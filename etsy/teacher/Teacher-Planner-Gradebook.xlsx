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eek" sheetId="2" state="visible" r:id="rId2"/>
    <sheet name="Lessons" sheetId="3" state="visible" r:id="rId3"/>
    <sheet name="Timetable" sheetId="4" state="visible" r:id="rId4"/>
    <sheet name="Class 1" sheetId="5" state="visible" r:id="rId5"/>
    <sheet name="Class 2" sheetId="6" state="visible" r:id="rId6"/>
    <sheet name="Class 3" sheetId="7" state="visible" r:id="rId7"/>
    <sheet name="Class 4" sheetId="8" state="visible" r:id="rId8"/>
    <sheet name="Class 5" sheetId="9" state="visible" r:id="rId9"/>
    <sheet name="Class 6" sheetId="10" state="visible" r:id="rId10"/>
    <sheet name="Absences" sheetId="11" state="visible" r:id="rId11"/>
    <sheet name="Settings" sheetId="12" state="visible" r:id="rId12"/>
    <sheet name="Start He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d d mmm yyyy"/>
    <numFmt numFmtId="165" formatCode="yyyy-mm-dd"/>
    <numFmt numFmtId="166" formatCode="d mmm"/>
    <numFmt numFmtId="167" formatCode="0.##"/>
    <numFmt numFmtId="168" formatCode="0.0%"/>
    <numFmt numFmtId="169" formatCode="DD MMM YYYY"/>
  </numFmts>
  <fonts count="20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15525A"/>
      <sz val="12"/>
    </font>
    <font>
      <name val="Arial"/>
      <color rgb="006B7B80"/>
      <sz val="10"/>
    </font>
    <font>
      <name val="Arial"/>
      <b val="1"/>
      <color rgb="0015525A"/>
      <sz val="11"/>
    </font>
    <font>
      <name val="Arial"/>
      <color rgb="001E2A2F"/>
      <sz val="11"/>
    </font>
    <font>
      <name val="Arial"/>
      <b val="1"/>
      <color rgb="00FFFFFF"/>
      <sz val="11"/>
    </font>
    <font>
      <name val="Arial"/>
      <b val="1"/>
      <color rgb="006B7B80"/>
      <sz val="10"/>
    </font>
    <font>
      <name val="Arial"/>
      <b val="1"/>
      <color rgb="0015525A"/>
      <sz val="9"/>
    </font>
    <font>
      <name val="Arial"/>
      <b val="1"/>
      <color rgb="0015525A"/>
      <sz val="10"/>
    </font>
    <font>
      <name val="Arial"/>
      <b val="1"/>
      <color rgb="0015525A"/>
      <sz val="20"/>
    </font>
    <font>
      <name val="Arial"/>
      <color rgb="001E2A2F"/>
      <sz val="10"/>
    </font>
    <font>
      <name val="Arial"/>
      <b val="1"/>
      <color rgb="001F6F78"/>
      <sz val="16"/>
    </font>
    <font>
      <name val="Arial"/>
      <b val="1"/>
      <color rgb="00B23B2E"/>
      <sz val="16"/>
    </font>
    <font>
      <name val="Arial"/>
      <b val="1"/>
      <color rgb="00B86E1C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  <border>
      <left/>
      <right/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0" fillId="2" borderId="1" pivotButton="0" quotePrefix="0" xfId="0"/>
    <xf numFmtId="0" fontId="0" fillId="0" borderId="4" pivotButton="0" quotePrefix="0" xfId="0"/>
    <xf numFmtId="1" fontId="15" fillId="2" borderId="1" applyAlignment="1" pivotButton="0" quotePrefix="0" xfId="0">
      <alignment horizontal="right"/>
    </xf>
    <xf numFmtId="0" fontId="15" fillId="2" borderId="1" applyAlignment="1" pivotButton="0" quotePrefix="0" xfId="0">
      <alignment horizontal="right"/>
    </xf>
    <xf numFmtId="1" fontId="16" fillId="2" borderId="1" applyAlignment="1" pivotButton="0" quotePrefix="0" xfId="0">
      <alignment horizontal="right"/>
    </xf>
    <xf numFmtId="1" fontId="17" fillId="2" borderId="1" applyAlignment="1" pivotButton="0" quotePrefix="0" xfId="0">
      <alignment horizontal="right"/>
    </xf>
    <xf numFmtId="0" fontId="9" fillId="4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1" fontId="8" fillId="2" borderId="1" applyAlignment="1" pivotButton="0" quotePrefix="0" xfId="0">
      <alignment horizontal="center" vertical="center"/>
    </xf>
    <xf numFmtId="9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8" fontId="8" fillId="2" borderId="1" applyAlignment="1" pivotButton="0" quotePrefix="0" xfId="0">
      <alignment horizontal="center" vertical="center"/>
    </xf>
    <xf numFmtId="0" fontId="13" fillId="2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 wrapText="1" indent="1"/>
    </xf>
    <xf numFmtId="0" fontId="5" fillId="2" borderId="0" pivotButton="0" quotePrefix="0" xfId="0"/>
    <xf numFmtId="0" fontId="0" fillId="0" borderId="5" pivotButton="0" quotePrefix="0" xfId="0"/>
    <xf numFmtId="0" fontId="3" fillId="2" borderId="1" pivotButton="0" quotePrefix="0" xfId="0"/>
    <xf numFmtId="0" fontId="8" fillId="2" borderId="1" pivotButton="0" quotePrefix="0" xfId="0"/>
    <xf numFmtId="169" fontId="8" fillId="3" borderId="1" applyAlignment="1" pivotButton="0" quotePrefix="0" xfId="0">
      <alignment horizontal="center" vertical="center"/>
    </xf>
    <xf numFmtId="1" fontId="8" fillId="3" borderId="1" applyAlignment="1" pivotButton="0" quotePrefix="0" xfId="0">
      <alignment horizontal="center" vertical="center"/>
    </xf>
    <xf numFmtId="0" fontId="8" fillId="3" borderId="1" pivotButton="0" quotePrefix="0" xfId="0"/>
    <xf numFmtId="0" fontId="3" fillId="3" borderId="1" pivotButton="0" quotePrefix="0" xfId="0"/>
    <xf numFmtId="0" fontId="8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20" fontId="8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right" vertical="bottom"/>
    </xf>
    <xf numFmtId="0" fontId="3" fillId="3" borderId="1" applyAlignment="1" pivotButton="0" quotePrefix="0" xfId="0">
      <alignment horizontal="center" vertical="bottom" textRotation="90" wrapText="1"/>
    </xf>
    <xf numFmtId="0" fontId="10" fillId="2" borderId="0" applyAlignment="1" pivotButton="0" quotePrefix="0" xfId="0">
      <alignment horizontal="right" vertical="center"/>
    </xf>
    <xf numFmtId="166" fontId="8" fillId="3" borderId="1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8" fontId="12" fillId="2" borderId="1" applyAlignment="1" pivotButton="0" quotePrefix="0" xfId="0">
      <alignment horizontal="center" vertical="center"/>
    </xf>
    <xf numFmtId="9" fontId="11" fillId="2" borderId="1" applyAlignment="1" pivotButton="0" quotePrefix="0" xfId="0">
      <alignment horizontal="center" vertical="center"/>
    </xf>
    <xf numFmtId="168" fontId="3" fillId="2" borderId="1" applyAlignment="1" pivotButton="0" quotePrefix="0" xfId="0">
      <alignment horizontal="center" vertical="center"/>
    </xf>
    <xf numFmtId="0" fontId="3" fillId="2" borderId="0" pivotButton="0" quotePrefix="0" xfId="0"/>
    <xf numFmtId="1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2" borderId="0" pivotButton="0" quotePrefix="0" xfId="0"/>
    <xf numFmtId="0" fontId="18" fillId="2" borderId="0" pivotButton="0" quotePrefix="0" xfId="0"/>
    <xf numFmtId="0" fontId="19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2B8"/>
          <bgColor rgb="00FFE2B8"/>
        </patternFill>
      </fill>
    </dxf>
    <dxf>
      <fill>
        <patternFill patternType="solid">
          <fgColor rgb="00F9C9C4"/>
          <bgColor rgb="00F9C9C4"/>
        </patternFill>
      </fill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Class averages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'Dashboard'!I7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'Dashboard'!$G$8:$G$13</f>
            </numRef>
          </cat>
          <val>
            <numRef>
              <f>'Dashboard'!$I$8:$I$13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450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18" customWidth="1" min="4" max="4"/>
    <col width="30" customWidth="1" min="5" max="5"/>
    <col width="3" customWidth="1" min="6" max="6"/>
    <col width="20" customWidth="1" min="7" max="7"/>
    <col width="12" customWidth="1" min="8" max="8"/>
    <col width="12" customWidth="1" min="9" max="9"/>
    <col width="12" customWidth="1" min="10" max="10"/>
    <col width="3" customWidth="1" min="11" max="11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>
        <f>Settings!$C$4</f>
        <v/>
      </c>
      <c r="P1">
        <f>'Class 1'!AD11</f>
        <v/>
      </c>
    </row>
    <row r="2" ht="32" customHeight="1">
      <c r="A2" s="1" t="n"/>
      <c r="B2" s="2" t="inlineStr">
        <is>
          <t>Teaching week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P2">
        <f>'Class 1'!AD12</f>
        <v/>
      </c>
    </row>
    <row r="3">
      <c r="A3" s="1" t="n"/>
      <c r="B3" s="3" t="inlineStr">
        <is>
          <t>Today's lessons, your classes and the students to watch.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P3">
        <f>'Class 1'!AD13</f>
        <v/>
      </c>
    </row>
    <row r="4">
      <c r="A4" s="1" t="n"/>
      <c r="B4" s="4" t="inlineStr">
        <is>
          <t>Today</t>
        </is>
      </c>
      <c r="C4" s="5" t="n"/>
      <c r="D4" s="4" t="inlineStr">
        <is>
          <t>Planned this week</t>
        </is>
      </c>
      <c r="E4" s="4" t="inlineStr">
        <is>
          <t>To mark</t>
        </is>
      </c>
      <c r="F4" s="1" t="n"/>
      <c r="G4" s="4" t="inlineStr">
        <is>
          <t>Students</t>
        </is>
      </c>
      <c r="H4" s="4" t="inlineStr">
        <is>
          <t>Below pass</t>
        </is>
      </c>
      <c r="I4" s="4" t="inlineStr">
        <is>
          <t>Missing work</t>
        </is>
      </c>
      <c r="J4" s="4" t="inlineStr">
        <is>
          <t>Absent this week</t>
        </is>
      </c>
      <c r="K4" s="1" t="n"/>
      <c r="L4" s="1" t="n"/>
      <c r="P4">
        <f>'Class 1'!AD14</f>
        <v/>
      </c>
    </row>
    <row r="5" ht="34" customHeight="1">
      <c r="A5" s="1" t="n"/>
      <c r="B5" s="6">
        <f>IF(WEEKDAY(TODAY(),2)&gt;5,0,SUMPRODUCT((Timetable!$E$6:$I$15&lt;&gt;"")*(COLUMN(Timetable!$E$6:$I$15)-4=WEEKDAY(TODAY(),2))))</f>
        <v/>
      </c>
      <c r="C5" s="5" t="n"/>
      <c r="D5" s="7">
        <f>COUNTIFS(Lessons!$B$6:$B$505,"&gt;="&amp;Settings!$C$6,Lessons!$B$6:$B$505,"&lt;="&amp;(Settings!$C$6+4))&amp;" of "&amp;SUMPRODUCT(--(Timetable!$E$6:$I$15&lt;&gt;""))</f>
        <v/>
      </c>
      <c r="E5" s="6">
        <f>SUM('Class 1'!H54:AA54)+SUM('Class 2'!H54:AA54)+SUM('Class 3'!H54:AA54)+SUM('Class 4'!H54:AA54)+SUM('Class 5'!H54:AA54)+SUM('Class 6'!H54:AA54)</f>
        <v/>
      </c>
      <c r="F5" s="1" t="n"/>
      <c r="G5" s="6">
        <f>COUNTA('Class 1'!B11:B50)+COUNTA('Class 2'!B11:B50)+COUNTA('Class 3'!B11:B50)+COUNTA('Class 4'!B11:B50)+COUNTA('Class 5'!B11:B50)+COUNTA('Class 6'!B11:B50)</f>
        <v/>
      </c>
      <c r="H5" s="8">
        <f>SUM('Class 1'!AE11:AE50)+SUM('Class 2'!AE11:AE50)+SUM('Class 3'!AE11:AE50)+SUM('Class 4'!AE11:AE50)+SUM('Class 5'!AE11:AE50)+SUM('Class 6'!AE11:AE50)</f>
        <v/>
      </c>
      <c r="I5" s="9">
        <f>SUM('Class 1'!E11:E50)+SUM('Class 2'!E11:E50)+SUM('Class 3'!E11:E50)+SUM('Class 4'!E11:E50)+SUM('Class 5'!E11:E50)+SUM('Class 6'!E11:E50)</f>
        <v/>
      </c>
      <c r="J5" s="6">
        <f>COUNTIFS(Absences!$B$6:$B$405,"&gt;="&amp;Settings!$C$6,Absences!$B$6:$B$405,"&lt;="&amp;(Settings!$C$6+6),Absences!$E$6:$E$405,"Absent")</f>
        <v/>
      </c>
      <c r="K5" s="1" t="n"/>
      <c r="L5" s="1" t="n"/>
      <c r="P5">
        <f>'Class 1'!AD15</f>
        <v/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P6">
        <f>'Class 1'!AD16</f>
        <v/>
      </c>
    </row>
    <row r="7" ht="30" customHeight="1">
      <c r="A7" s="1" t="n"/>
      <c r="B7" s="10" t="inlineStr">
        <is>
          <t>Today</t>
        </is>
      </c>
      <c r="C7" s="10" t="inlineStr">
        <is>
          <t>Time</t>
        </is>
      </c>
      <c r="D7" s="10" t="inlineStr">
        <is>
          <t>Class</t>
        </is>
      </c>
      <c r="E7" s="10" t="inlineStr">
        <is>
          <t>Topic</t>
        </is>
      </c>
      <c r="F7" s="1" t="n"/>
      <c r="G7" s="10" t="inlineStr">
        <is>
          <t>Class</t>
        </is>
      </c>
      <c r="H7" s="10" t="inlineStr">
        <is>
          <t>Students</t>
        </is>
      </c>
      <c r="I7" s="10" t="inlineStr">
        <is>
          <t>Average</t>
        </is>
      </c>
      <c r="J7" s="10" t="inlineStr">
        <is>
          <t>Below pass</t>
        </is>
      </c>
      <c r="K7" s="1" t="n"/>
      <c r="L7" s="1" t="n"/>
      <c r="P7">
        <f>'Class 1'!AD17</f>
        <v/>
      </c>
    </row>
    <row r="8" ht="18" customHeight="1">
      <c r="A8" s="1" t="n"/>
      <c r="B8" s="11" t="n">
        <v>1</v>
      </c>
      <c r="C8" s="12">
        <f>IF(ISNUMBER(Timetable!C6),HOUR(Timetable!C6)&amp;":"&amp;RIGHT("0"&amp;MINUTE(Timetable!C6),2),"")</f>
        <v/>
      </c>
      <c r="D8" s="13">
        <f>IF(IF(ISNUMBER(N8),INDEX(Lessons!$I$6:$I$505,N8),IF(WEEKDAY(TODAY(),2)&gt;5,"",IF(INDEX(Timetable!$E$6:$I$15,1,WEEKDAY(TODAY(),2))="","",INDEX(Timetable!$E$6:$I$15,1,WEEKDAY(TODAY(),2)))))="","",IF(ISNUMBER(N8),INDEX(Lessons!$I$6:$I$505,N8),IF(WEEKDAY(TODAY(),2)&gt;5,"",IF(INDEX(Timetable!$E$6:$I$15,1,WEEKDAY(TODAY(),2))="","",INDEX(Timetable!$E$6:$I$15,1,WEEKDAY(TODAY(),2))))))</f>
        <v/>
      </c>
      <c r="E8" s="14">
        <f>IF(ISNUMBER(N8),IF(INDEX(Lessons!$E$6:$E$505,N8)="","",INDEX(Lessons!$E$6:$E$505,N8)),IF(IF(WEEKDAY(TODAY(),2)&gt;5,"",IF(INDEX(Timetable!$E$6:$I$15,1,WEEKDAY(TODAY(),2))="","",INDEX(Timetable!$E$6:$I$15,1,WEEKDAY(TODAY(),2))))="","","Not planned yet"))</f>
        <v/>
      </c>
      <c r="F8" s="15" t="n"/>
      <c r="G8" s="13">
        <f>IF(Settings!$C$9="","",Settings!$C$9)</f>
        <v/>
      </c>
      <c r="H8" s="16">
        <f>IF(G8="","",COUNTA('Class 1'!B11:B50))</f>
        <v/>
      </c>
      <c r="I8" s="17">
        <f>IF(G8="","",'Class 1'!C9)</f>
        <v/>
      </c>
      <c r="J8" s="16">
        <f>IF(G8="","",SUM('Class 1'!AE11:AE50))</f>
        <v/>
      </c>
      <c r="K8" s="1" t="n"/>
      <c r="L8" s="1" t="n"/>
      <c r="N8">
        <f>IFERROR(MATCH(TODAY()*100+1,Lessons!$K$6:$K$505,0),"")</f>
        <v/>
      </c>
      <c r="P8">
        <f>'Class 1'!AD18</f>
        <v/>
      </c>
    </row>
    <row r="9" ht="18" customHeight="1">
      <c r="A9" s="1" t="n"/>
      <c r="B9" s="11" t="n">
        <v>2</v>
      </c>
      <c r="C9" s="12">
        <f>IF(ISNUMBER(Timetable!C7),HOUR(Timetable!C7)&amp;":"&amp;RIGHT("0"&amp;MINUTE(Timetable!C7),2),"")</f>
        <v/>
      </c>
      <c r="D9" s="13">
        <f>IF(IF(ISNUMBER(N9),INDEX(Lessons!$I$6:$I$505,N9),IF(WEEKDAY(TODAY(),2)&gt;5,"",IF(INDEX(Timetable!$E$6:$I$15,2,WEEKDAY(TODAY(),2))="","",INDEX(Timetable!$E$6:$I$15,2,WEEKDAY(TODAY(),2)))))="","",IF(ISNUMBER(N9),INDEX(Lessons!$I$6:$I$505,N9),IF(WEEKDAY(TODAY(),2)&gt;5,"",IF(INDEX(Timetable!$E$6:$I$15,2,WEEKDAY(TODAY(),2))="","",INDEX(Timetable!$E$6:$I$15,2,WEEKDAY(TODAY(),2))))))</f>
        <v/>
      </c>
      <c r="E9" s="14">
        <f>IF(ISNUMBER(N9),IF(INDEX(Lessons!$E$6:$E$505,N9)="","",INDEX(Lessons!$E$6:$E$505,N9)),IF(IF(WEEKDAY(TODAY(),2)&gt;5,"",IF(INDEX(Timetable!$E$6:$I$15,2,WEEKDAY(TODAY(),2))="","",INDEX(Timetable!$E$6:$I$15,2,WEEKDAY(TODAY(),2))))="","","Not planned yet"))</f>
        <v/>
      </c>
      <c r="F9" s="15" t="n"/>
      <c r="G9" s="13">
        <f>IF(Settings!$C$10="","",Settings!$C$10)</f>
        <v/>
      </c>
      <c r="H9" s="16">
        <f>IF(G9="","",COUNTA('Class 2'!B11:B50))</f>
        <v/>
      </c>
      <c r="I9" s="17">
        <f>IF(G9="","",'Class 2'!C9)</f>
        <v/>
      </c>
      <c r="J9" s="16">
        <f>IF(G9="","",SUM('Class 2'!AE11:AE50))</f>
        <v/>
      </c>
      <c r="K9" s="1" t="n"/>
      <c r="L9" s="1" t="n"/>
      <c r="N9">
        <f>IFERROR(MATCH(TODAY()*100+2,Lessons!$K$6:$K$505,0),"")</f>
        <v/>
      </c>
      <c r="P9">
        <f>'Class 1'!AD19</f>
        <v/>
      </c>
    </row>
    <row r="10" ht="18" customHeight="1">
      <c r="A10" s="1" t="n"/>
      <c r="B10" s="11" t="n">
        <v>3</v>
      </c>
      <c r="C10" s="12">
        <f>IF(ISNUMBER(Timetable!C8),HOUR(Timetable!C8)&amp;":"&amp;RIGHT("0"&amp;MINUTE(Timetable!C8),2),"")</f>
        <v/>
      </c>
      <c r="D10" s="13">
        <f>IF(IF(ISNUMBER(N10),INDEX(Lessons!$I$6:$I$505,N10),IF(WEEKDAY(TODAY(),2)&gt;5,"",IF(INDEX(Timetable!$E$6:$I$15,3,WEEKDAY(TODAY(),2))="","",INDEX(Timetable!$E$6:$I$15,3,WEEKDAY(TODAY(),2)))))="","",IF(ISNUMBER(N10),INDEX(Lessons!$I$6:$I$505,N10),IF(WEEKDAY(TODAY(),2)&gt;5,"",IF(INDEX(Timetable!$E$6:$I$15,3,WEEKDAY(TODAY(),2))="","",INDEX(Timetable!$E$6:$I$15,3,WEEKDAY(TODAY(),2))))))</f>
        <v/>
      </c>
      <c r="E10" s="14">
        <f>IF(ISNUMBER(N10),IF(INDEX(Lessons!$E$6:$E$505,N10)="","",INDEX(Lessons!$E$6:$E$505,N10)),IF(IF(WEEKDAY(TODAY(),2)&gt;5,"",IF(INDEX(Timetable!$E$6:$I$15,3,WEEKDAY(TODAY(),2))="","",INDEX(Timetable!$E$6:$I$15,3,WEEKDAY(TODAY(),2))))="","","Not planned yet"))</f>
        <v/>
      </c>
      <c r="F10" s="15" t="n"/>
      <c r="G10" s="13">
        <f>IF(Settings!$C$11="","",Settings!$C$11)</f>
        <v/>
      </c>
      <c r="H10" s="16">
        <f>IF(G10="","",COUNTA('Class 3'!B11:B50))</f>
        <v/>
      </c>
      <c r="I10" s="17">
        <f>IF(G10="","",'Class 3'!C9)</f>
        <v/>
      </c>
      <c r="J10" s="16">
        <f>IF(G10="","",SUM('Class 3'!AE11:AE50))</f>
        <v/>
      </c>
      <c r="K10" s="1" t="n"/>
      <c r="L10" s="1" t="n"/>
      <c r="N10">
        <f>IFERROR(MATCH(TODAY()*100+3,Lessons!$K$6:$K$505,0),"")</f>
        <v/>
      </c>
      <c r="P10">
        <f>'Class 1'!AD20</f>
        <v/>
      </c>
    </row>
    <row r="11" ht="18" customHeight="1">
      <c r="A11" s="1" t="n"/>
      <c r="B11" s="11" t="n">
        <v>4</v>
      </c>
      <c r="C11" s="12">
        <f>IF(ISNUMBER(Timetable!C9),HOUR(Timetable!C9)&amp;":"&amp;RIGHT("0"&amp;MINUTE(Timetable!C9),2),"")</f>
        <v/>
      </c>
      <c r="D11" s="13">
        <f>IF(IF(ISNUMBER(N11),INDEX(Lessons!$I$6:$I$505,N11),IF(WEEKDAY(TODAY(),2)&gt;5,"",IF(INDEX(Timetable!$E$6:$I$15,4,WEEKDAY(TODAY(),2))="","",INDEX(Timetable!$E$6:$I$15,4,WEEKDAY(TODAY(),2)))))="","",IF(ISNUMBER(N11),INDEX(Lessons!$I$6:$I$505,N11),IF(WEEKDAY(TODAY(),2)&gt;5,"",IF(INDEX(Timetable!$E$6:$I$15,4,WEEKDAY(TODAY(),2))="","",INDEX(Timetable!$E$6:$I$15,4,WEEKDAY(TODAY(),2))))))</f>
        <v/>
      </c>
      <c r="E11" s="14">
        <f>IF(ISNUMBER(N11),IF(INDEX(Lessons!$E$6:$E$505,N11)="","",INDEX(Lessons!$E$6:$E$505,N11)),IF(IF(WEEKDAY(TODAY(),2)&gt;5,"",IF(INDEX(Timetable!$E$6:$I$15,4,WEEKDAY(TODAY(),2))="","",INDEX(Timetable!$E$6:$I$15,4,WEEKDAY(TODAY(),2))))="","","Not planned yet"))</f>
        <v/>
      </c>
      <c r="F11" s="15" t="n"/>
      <c r="G11" s="13">
        <f>IF(Settings!$C$12="","",Settings!$C$12)</f>
        <v/>
      </c>
      <c r="H11" s="16">
        <f>IF(G11="","",COUNTA('Class 4'!B11:B50))</f>
        <v/>
      </c>
      <c r="I11" s="17">
        <f>IF(G11="","",'Class 4'!C9)</f>
        <v/>
      </c>
      <c r="J11" s="16">
        <f>IF(G11="","",SUM('Class 4'!AE11:AE50))</f>
        <v/>
      </c>
      <c r="K11" s="1" t="n"/>
      <c r="L11" s="1" t="n"/>
      <c r="N11">
        <f>IFERROR(MATCH(TODAY()*100+4,Lessons!$K$6:$K$505,0),"")</f>
        <v/>
      </c>
      <c r="P11">
        <f>'Class 1'!AD21</f>
        <v/>
      </c>
    </row>
    <row r="12" ht="18" customHeight="1">
      <c r="A12" s="1" t="n"/>
      <c r="B12" s="11" t="n">
        <v>5</v>
      </c>
      <c r="C12" s="12">
        <f>IF(ISNUMBER(Timetable!C10),HOUR(Timetable!C10)&amp;":"&amp;RIGHT("0"&amp;MINUTE(Timetable!C10),2),"")</f>
        <v/>
      </c>
      <c r="D12" s="13">
        <f>IF(IF(ISNUMBER(N12),INDEX(Lessons!$I$6:$I$505,N12),IF(WEEKDAY(TODAY(),2)&gt;5,"",IF(INDEX(Timetable!$E$6:$I$15,5,WEEKDAY(TODAY(),2))="","",INDEX(Timetable!$E$6:$I$15,5,WEEKDAY(TODAY(),2)))))="","",IF(ISNUMBER(N12),INDEX(Lessons!$I$6:$I$505,N12),IF(WEEKDAY(TODAY(),2)&gt;5,"",IF(INDEX(Timetable!$E$6:$I$15,5,WEEKDAY(TODAY(),2))="","",INDEX(Timetable!$E$6:$I$15,5,WEEKDAY(TODAY(),2))))))</f>
        <v/>
      </c>
      <c r="E12" s="14">
        <f>IF(ISNUMBER(N12),IF(INDEX(Lessons!$E$6:$E$505,N12)="","",INDEX(Lessons!$E$6:$E$505,N12)),IF(IF(WEEKDAY(TODAY(),2)&gt;5,"",IF(INDEX(Timetable!$E$6:$I$15,5,WEEKDAY(TODAY(),2))="","",INDEX(Timetable!$E$6:$I$15,5,WEEKDAY(TODAY(),2))))="","","Not planned yet"))</f>
        <v/>
      </c>
      <c r="F12" s="15" t="n"/>
      <c r="G12" s="13">
        <f>IF(Settings!$C$13="","",Settings!$C$13)</f>
        <v/>
      </c>
      <c r="H12" s="16">
        <f>IF(G12="","",COUNTA('Class 5'!B11:B50))</f>
        <v/>
      </c>
      <c r="I12" s="17">
        <f>IF(G12="","",'Class 5'!C9)</f>
        <v/>
      </c>
      <c r="J12" s="16">
        <f>IF(G12="","",SUM('Class 5'!AE11:AE50))</f>
        <v/>
      </c>
      <c r="K12" s="1" t="n"/>
      <c r="L12" s="1" t="n"/>
      <c r="N12">
        <f>IFERROR(MATCH(TODAY()*100+5,Lessons!$K$6:$K$505,0),"")</f>
        <v/>
      </c>
      <c r="P12">
        <f>'Class 1'!AD22</f>
        <v/>
      </c>
    </row>
    <row r="13" ht="18" customHeight="1">
      <c r="A13" s="1" t="n"/>
      <c r="B13" s="11" t="n">
        <v>6</v>
      </c>
      <c r="C13" s="12">
        <f>IF(ISNUMBER(Timetable!C11),HOUR(Timetable!C11)&amp;":"&amp;RIGHT("0"&amp;MINUTE(Timetable!C11),2),"")</f>
        <v/>
      </c>
      <c r="D13" s="13">
        <f>IF(IF(ISNUMBER(N13),INDEX(Lessons!$I$6:$I$505,N13),IF(WEEKDAY(TODAY(),2)&gt;5,"",IF(INDEX(Timetable!$E$6:$I$15,6,WEEKDAY(TODAY(),2))="","",INDEX(Timetable!$E$6:$I$15,6,WEEKDAY(TODAY(),2)))))="","",IF(ISNUMBER(N13),INDEX(Lessons!$I$6:$I$505,N13),IF(WEEKDAY(TODAY(),2)&gt;5,"",IF(INDEX(Timetable!$E$6:$I$15,6,WEEKDAY(TODAY(),2))="","",INDEX(Timetable!$E$6:$I$15,6,WEEKDAY(TODAY(),2))))))</f>
        <v/>
      </c>
      <c r="E13" s="14">
        <f>IF(ISNUMBER(N13),IF(INDEX(Lessons!$E$6:$E$505,N13)="","",INDEX(Lessons!$E$6:$E$505,N13)),IF(IF(WEEKDAY(TODAY(),2)&gt;5,"",IF(INDEX(Timetable!$E$6:$I$15,6,WEEKDAY(TODAY(),2))="","",INDEX(Timetable!$E$6:$I$15,6,WEEKDAY(TODAY(),2))))="","","Not planned yet"))</f>
        <v/>
      </c>
      <c r="F13" s="15" t="n"/>
      <c r="G13" s="13">
        <f>IF(Settings!$C$14="","",Settings!$C$14)</f>
        <v/>
      </c>
      <c r="H13" s="16">
        <f>IF(G13="","",COUNTA('Class 6'!B11:B50))</f>
        <v/>
      </c>
      <c r="I13" s="17">
        <f>IF(G13="","",'Class 6'!C9)</f>
        <v/>
      </c>
      <c r="J13" s="16">
        <f>IF(G13="","",SUM('Class 6'!AE11:AE50))</f>
        <v/>
      </c>
      <c r="K13" s="1" t="n"/>
      <c r="L13" s="1" t="n"/>
      <c r="N13">
        <f>IFERROR(MATCH(TODAY()*100+6,Lessons!$K$6:$K$505,0),"")</f>
        <v/>
      </c>
      <c r="P13">
        <f>'Class 1'!AD23</f>
        <v/>
      </c>
    </row>
    <row r="14" ht="18" customHeight="1">
      <c r="A14" s="1" t="n"/>
      <c r="B14" s="11" t="n">
        <v>7</v>
      </c>
      <c r="C14" s="12">
        <f>IF(ISNUMBER(Timetable!C12),HOUR(Timetable!C12)&amp;":"&amp;RIGHT("0"&amp;MINUTE(Timetable!C12),2),"")</f>
        <v/>
      </c>
      <c r="D14" s="13">
        <f>IF(IF(ISNUMBER(N14),INDEX(Lessons!$I$6:$I$505,N14),IF(WEEKDAY(TODAY(),2)&gt;5,"",IF(INDEX(Timetable!$E$6:$I$15,7,WEEKDAY(TODAY(),2))="","",INDEX(Timetable!$E$6:$I$15,7,WEEKDAY(TODAY(),2)))))="","",IF(ISNUMBER(N14),INDEX(Lessons!$I$6:$I$505,N14),IF(WEEKDAY(TODAY(),2)&gt;5,"",IF(INDEX(Timetable!$E$6:$I$15,7,WEEKDAY(TODAY(),2))="","",INDEX(Timetable!$E$6:$I$15,7,WEEKDAY(TODAY(),2))))))</f>
        <v/>
      </c>
      <c r="E14" s="14">
        <f>IF(ISNUMBER(N14),IF(INDEX(Lessons!$E$6:$E$505,N14)="","",INDEX(Lessons!$E$6:$E$505,N14)),IF(IF(WEEKDAY(TODAY(),2)&gt;5,"",IF(INDEX(Timetable!$E$6:$I$15,7,WEEKDAY(TODAY(),2))="","",INDEX(Timetable!$E$6:$I$15,7,WEEKDAY(TODAY(),2))))="","","Not planned yet"))</f>
        <v/>
      </c>
      <c r="F14" s="15" t="n"/>
      <c r="G14" s="15" t="n"/>
      <c r="H14" s="15" t="n"/>
      <c r="I14" s="15" t="n"/>
      <c r="J14" s="15" t="n"/>
      <c r="K14" s="1" t="n"/>
      <c r="L14" s="1" t="n"/>
      <c r="N14">
        <f>IFERROR(MATCH(TODAY()*100+7,Lessons!$K$6:$K$505,0),"")</f>
        <v/>
      </c>
      <c r="P14">
        <f>'Class 1'!AD24</f>
        <v/>
      </c>
    </row>
    <row r="15" ht="20" customHeight="1">
      <c r="A15" s="1" t="n"/>
      <c r="B15" s="11" t="n">
        <v>8</v>
      </c>
      <c r="C15" s="12">
        <f>IF(ISNUMBER(Timetable!C13),HOUR(Timetable!C13)&amp;":"&amp;RIGHT("0"&amp;MINUTE(Timetable!C13),2),"")</f>
        <v/>
      </c>
      <c r="D15" s="13">
        <f>IF(IF(ISNUMBER(N15),INDEX(Lessons!$I$6:$I$505,N15),IF(WEEKDAY(TODAY(),2)&gt;5,"",IF(INDEX(Timetable!$E$6:$I$15,8,WEEKDAY(TODAY(),2))="","",INDEX(Timetable!$E$6:$I$15,8,WEEKDAY(TODAY(),2)))))="","",IF(ISNUMBER(N15),INDEX(Lessons!$I$6:$I$505,N15),IF(WEEKDAY(TODAY(),2)&gt;5,"",IF(INDEX(Timetable!$E$6:$I$15,8,WEEKDAY(TODAY(),2))="","",INDEX(Timetable!$E$6:$I$15,8,WEEKDAY(TODAY(),2))))))</f>
        <v/>
      </c>
      <c r="E15" s="14">
        <f>IF(ISNUMBER(N15),IF(INDEX(Lessons!$E$6:$E$505,N15)="","",INDEX(Lessons!$E$6:$E$505,N15)),IF(IF(WEEKDAY(TODAY(),2)&gt;5,"",IF(INDEX(Timetable!$E$6:$I$15,8,WEEKDAY(TODAY(),2))="","",INDEX(Timetable!$E$6:$I$15,8,WEEKDAY(TODAY(),2))))="","","Not planned yet"))</f>
        <v/>
      </c>
      <c r="F15" s="15" t="n"/>
      <c r="G15" s="18" t="inlineStr">
        <is>
          <t>Students to watch</t>
        </is>
      </c>
      <c r="H15" s="18" t="inlineStr">
        <is>
          <t>Class</t>
        </is>
      </c>
      <c r="I15" s="18" t="inlineStr">
        <is>
          <t>Average</t>
        </is>
      </c>
      <c r="J15" s="18" t="inlineStr">
        <is>
          <t>Absent</t>
        </is>
      </c>
      <c r="K15" s="1" t="n"/>
      <c r="L15" s="1" t="n"/>
      <c r="N15">
        <f>IFERROR(MATCH(TODAY()*100+8,Lessons!$K$6:$K$505,0),"")</f>
        <v/>
      </c>
      <c r="P15">
        <f>'Class 1'!AD25</f>
        <v/>
      </c>
    </row>
    <row r="16" ht="18" customHeight="1">
      <c r="A16" s="1" t="n"/>
      <c r="B16" s="11" t="n">
        <v>9</v>
      </c>
      <c r="C16" s="12">
        <f>IF(ISNUMBER(Timetable!C14),HOUR(Timetable!C14)&amp;":"&amp;RIGHT("0"&amp;MINUTE(Timetable!C14),2),"")</f>
        <v/>
      </c>
      <c r="D16" s="13">
        <f>IF(IF(ISNUMBER(N16),INDEX(Lessons!$I$6:$I$505,N16),IF(WEEKDAY(TODAY(),2)&gt;5,"",IF(INDEX(Timetable!$E$6:$I$15,9,WEEKDAY(TODAY(),2))="","",INDEX(Timetable!$E$6:$I$15,9,WEEKDAY(TODAY(),2)))))="","",IF(ISNUMBER(N16),INDEX(Lessons!$I$6:$I$505,N16),IF(WEEKDAY(TODAY(),2)&gt;5,"",IF(INDEX(Timetable!$E$6:$I$15,9,WEEKDAY(TODAY(),2))="","",INDEX(Timetable!$E$6:$I$15,9,WEEKDAY(TODAY(),2))))))</f>
        <v/>
      </c>
      <c r="E16" s="14">
        <f>IF(ISNUMBER(N16),IF(INDEX(Lessons!$E$6:$E$505,N16)="","",INDEX(Lessons!$E$6:$E$505,N16)),IF(IF(WEEKDAY(TODAY(),2)&gt;5,"",IF(INDEX(Timetable!$E$6:$I$15,9,WEEKDAY(TODAY(),2))="","",INDEX(Timetable!$E$6:$I$15,9,WEEKDAY(TODAY(),2))))="","","Not planned yet"))</f>
        <v/>
      </c>
      <c r="F16" s="15" t="n"/>
      <c r="G16" s="13">
        <f>IF(O16="","",CHOOSE(INT(MOD(O16,1000)/100),INDEX('Class 1'!$B$1:$B$50,MOD(O16,100)+10),INDEX('Class 2'!$B$1:$B$50,MOD(O16,100)+10),INDEX('Class 3'!$B$1:$B$50,MOD(O16,100)+10),INDEX('Class 4'!$B$1:$B$50,MOD(O16,100)+10),INDEX('Class 5'!$B$1:$B$50,MOD(O16,100)+10),INDEX('Class 6'!$B$1:$B$50,MOD(O16,100)+10)))</f>
        <v/>
      </c>
      <c r="H16" s="12">
        <f>IF(O16="","",IF(CHOOSE(INT(MOD(O16,1000)/100),Settings!$C$9,Settings!$C$10,Settings!$C$11,Settings!$C$12,Settings!$C$13,Settings!$C$14)="","",CHOOSE(INT(MOD(O16,1000)/100),Settings!$C$9,Settings!$C$10,Settings!$C$11,Settings!$C$12,Settings!$C$13,Settings!$C$14)))</f>
        <v/>
      </c>
      <c r="I16" s="19">
        <f>IF(O16="","",CHOOSE(INT(MOD(O16,1000)/100),INDEX('Class 1'!$C$1:$C$50,MOD(O16,100)+10),INDEX('Class 2'!$C$1:$C$50,MOD(O16,100)+10),INDEX('Class 3'!$C$1:$C$50,MOD(O16,100)+10),INDEX('Class 4'!$C$1:$C$50,MOD(O16,100)+10),INDEX('Class 5'!$C$1:$C$50,MOD(O16,100)+10),INDEX('Class 6'!$C$1:$C$50,MOD(O16,100)+10)))</f>
        <v/>
      </c>
      <c r="J16" s="16">
        <f>IF(O16="","",CHOOSE(INT(MOD(O16,1000)/100),INDEX('Class 1'!$F$1:$F$50,MOD(O16,100)+10),INDEX('Class 2'!$F$1:$F$50,MOD(O16,100)+10),INDEX('Class 3'!$F$1:$F$50,MOD(O16,100)+10),INDEX('Class 4'!$F$1:$F$50,MOD(O16,100)+10),INDEX('Class 5'!$F$1:$F$50,MOD(O16,100)+10),INDEX('Class 6'!$F$1:$F$50,MOD(O16,100)+10)))</f>
        <v/>
      </c>
      <c r="K16" s="1" t="n"/>
      <c r="L16" s="1" t="n"/>
      <c r="N16">
        <f>IFERROR(MATCH(TODAY()*100+9,Lessons!$K$6:$K$505,0),"")</f>
        <v/>
      </c>
      <c r="O16">
        <f>IFERROR(SMALL($P$1:$P$240,1),"")</f>
        <v/>
      </c>
      <c r="P16">
        <f>'Class 1'!AD26</f>
        <v/>
      </c>
    </row>
    <row r="17" ht="18" customHeight="1">
      <c r="A17" s="1" t="n"/>
      <c r="B17" s="11" t="n">
        <v>10</v>
      </c>
      <c r="C17" s="12">
        <f>IF(ISNUMBER(Timetable!C15),HOUR(Timetable!C15)&amp;":"&amp;RIGHT("0"&amp;MINUTE(Timetable!C15),2),"")</f>
        <v/>
      </c>
      <c r="D17" s="13">
        <f>IF(IF(ISNUMBER(N17),INDEX(Lessons!$I$6:$I$505,N17),IF(WEEKDAY(TODAY(),2)&gt;5,"",IF(INDEX(Timetable!$E$6:$I$15,10,WEEKDAY(TODAY(),2))="","",INDEX(Timetable!$E$6:$I$15,10,WEEKDAY(TODAY(),2)))))="","",IF(ISNUMBER(N17),INDEX(Lessons!$I$6:$I$505,N17),IF(WEEKDAY(TODAY(),2)&gt;5,"",IF(INDEX(Timetable!$E$6:$I$15,10,WEEKDAY(TODAY(),2))="","",INDEX(Timetable!$E$6:$I$15,10,WEEKDAY(TODAY(),2))))))</f>
        <v/>
      </c>
      <c r="E17" s="14">
        <f>IF(ISNUMBER(N17),IF(INDEX(Lessons!$E$6:$E$505,N17)="","",INDEX(Lessons!$E$6:$E$505,N17)),IF(IF(WEEKDAY(TODAY(),2)&gt;5,"",IF(INDEX(Timetable!$E$6:$I$15,10,WEEKDAY(TODAY(),2))="","",INDEX(Timetable!$E$6:$I$15,10,WEEKDAY(TODAY(),2))))="","","Not planned yet"))</f>
        <v/>
      </c>
      <c r="F17" s="15" t="n"/>
      <c r="G17" s="13">
        <f>IF(O17="","",CHOOSE(INT(MOD(O17,1000)/100),INDEX('Class 1'!$B$1:$B$50,MOD(O17,100)+10),INDEX('Class 2'!$B$1:$B$50,MOD(O17,100)+10),INDEX('Class 3'!$B$1:$B$50,MOD(O17,100)+10),INDEX('Class 4'!$B$1:$B$50,MOD(O17,100)+10),INDEX('Class 5'!$B$1:$B$50,MOD(O17,100)+10),INDEX('Class 6'!$B$1:$B$50,MOD(O17,100)+10)))</f>
        <v/>
      </c>
      <c r="H17" s="12">
        <f>IF(O17="","",IF(CHOOSE(INT(MOD(O17,1000)/100),Settings!$C$9,Settings!$C$10,Settings!$C$11,Settings!$C$12,Settings!$C$13,Settings!$C$14)="","",CHOOSE(INT(MOD(O17,1000)/100),Settings!$C$9,Settings!$C$10,Settings!$C$11,Settings!$C$12,Settings!$C$13,Settings!$C$14)))</f>
        <v/>
      </c>
      <c r="I17" s="19">
        <f>IF(O17="","",CHOOSE(INT(MOD(O17,1000)/100),INDEX('Class 1'!$C$1:$C$50,MOD(O17,100)+10),INDEX('Class 2'!$C$1:$C$50,MOD(O17,100)+10),INDEX('Class 3'!$C$1:$C$50,MOD(O17,100)+10),INDEX('Class 4'!$C$1:$C$50,MOD(O17,100)+10),INDEX('Class 5'!$C$1:$C$50,MOD(O17,100)+10),INDEX('Class 6'!$C$1:$C$50,MOD(O17,100)+10)))</f>
        <v/>
      </c>
      <c r="J17" s="16">
        <f>IF(O17="","",CHOOSE(INT(MOD(O17,1000)/100),INDEX('Class 1'!$F$1:$F$50,MOD(O17,100)+10),INDEX('Class 2'!$F$1:$F$50,MOD(O17,100)+10),INDEX('Class 3'!$F$1:$F$50,MOD(O17,100)+10),INDEX('Class 4'!$F$1:$F$50,MOD(O17,100)+10),INDEX('Class 5'!$F$1:$F$50,MOD(O17,100)+10),INDEX('Class 6'!$F$1:$F$50,MOD(O17,100)+10)))</f>
        <v/>
      </c>
      <c r="K17" s="1" t="n"/>
      <c r="L17" s="1" t="n"/>
      <c r="N17">
        <f>IFERROR(MATCH(TODAY()*100+10,Lessons!$K$6:$K$505,0),"")</f>
        <v/>
      </c>
      <c r="O17">
        <f>IFERROR(SMALL($P$1:$P$240,2),"")</f>
        <v/>
      </c>
      <c r="P17">
        <f>'Class 1'!AD27</f>
        <v/>
      </c>
    </row>
    <row r="18" ht="18" customHeight="1">
      <c r="A18" s="1" t="n"/>
      <c r="B18" s="15" t="n"/>
      <c r="C18" s="15" t="n"/>
      <c r="D18" s="15" t="n"/>
      <c r="E18" s="15" t="n"/>
      <c r="F18" s="15" t="n"/>
      <c r="G18" s="13">
        <f>IF(O18="","",CHOOSE(INT(MOD(O18,1000)/100),INDEX('Class 1'!$B$1:$B$50,MOD(O18,100)+10),INDEX('Class 2'!$B$1:$B$50,MOD(O18,100)+10),INDEX('Class 3'!$B$1:$B$50,MOD(O18,100)+10),INDEX('Class 4'!$B$1:$B$50,MOD(O18,100)+10),INDEX('Class 5'!$B$1:$B$50,MOD(O18,100)+10),INDEX('Class 6'!$B$1:$B$50,MOD(O18,100)+10)))</f>
        <v/>
      </c>
      <c r="H18" s="12">
        <f>IF(O18="","",IF(CHOOSE(INT(MOD(O18,1000)/100),Settings!$C$9,Settings!$C$10,Settings!$C$11,Settings!$C$12,Settings!$C$13,Settings!$C$14)="","",CHOOSE(INT(MOD(O18,1000)/100),Settings!$C$9,Settings!$C$10,Settings!$C$11,Settings!$C$12,Settings!$C$13,Settings!$C$14)))</f>
        <v/>
      </c>
      <c r="I18" s="19">
        <f>IF(O18="","",CHOOSE(INT(MOD(O18,1000)/100),INDEX('Class 1'!$C$1:$C$50,MOD(O18,100)+10),INDEX('Class 2'!$C$1:$C$50,MOD(O18,100)+10),INDEX('Class 3'!$C$1:$C$50,MOD(O18,100)+10),INDEX('Class 4'!$C$1:$C$50,MOD(O18,100)+10),INDEX('Class 5'!$C$1:$C$50,MOD(O18,100)+10),INDEX('Class 6'!$C$1:$C$50,MOD(O18,100)+10)))</f>
        <v/>
      </c>
      <c r="J18" s="16">
        <f>IF(O18="","",CHOOSE(INT(MOD(O18,1000)/100),INDEX('Class 1'!$F$1:$F$50,MOD(O18,100)+10),INDEX('Class 2'!$F$1:$F$50,MOD(O18,100)+10),INDEX('Class 3'!$F$1:$F$50,MOD(O18,100)+10),INDEX('Class 4'!$F$1:$F$50,MOD(O18,100)+10),INDEX('Class 5'!$F$1:$F$50,MOD(O18,100)+10),INDEX('Class 6'!$F$1:$F$50,MOD(O18,100)+10)))</f>
        <v/>
      </c>
      <c r="K18" s="1" t="n"/>
      <c r="L18" s="1" t="n"/>
      <c r="O18">
        <f>IFERROR(SMALL($P$1:$P$240,3),"")</f>
        <v/>
      </c>
      <c r="P18">
        <f>'Class 1'!AD28</f>
        <v/>
      </c>
    </row>
    <row r="19" ht="18" customHeight="1">
      <c r="A19" s="1" t="n"/>
      <c r="B19" s="15" t="n"/>
      <c r="C19" s="15" t="n"/>
      <c r="D19" s="15" t="n"/>
      <c r="E19" s="15" t="n"/>
      <c r="F19" s="15" t="n"/>
      <c r="G19" s="13">
        <f>IF(O19="","",CHOOSE(INT(MOD(O19,1000)/100),INDEX('Class 1'!$B$1:$B$50,MOD(O19,100)+10),INDEX('Class 2'!$B$1:$B$50,MOD(O19,100)+10),INDEX('Class 3'!$B$1:$B$50,MOD(O19,100)+10),INDEX('Class 4'!$B$1:$B$50,MOD(O19,100)+10),INDEX('Class 5'!$B$1:$B$50,MOD(O19,100)+10),INDEX('Class 6'!$B$1:$B$50,MOD(O19,100)+10)))</f>
        <v/>
      </c>
      <c r="H19" s="12">
        <f>IF(O19="","",IF(CHOOSE(INT(MOD(O19,1000)/100),Settings!$C$9,Settings!$C$10,Settings!$C$11,Settings!$C$12,Settings!$C$13,Settings!$C$14)="","",CHOOSE(INT(MOD(O19,1000)/100),Settings!$C$9,Settings!$C$10,Settings!$C$11,Settings!$C$12,Settings!$C$13,Settings!$C$14)))</f>
        <v/>
      </c>
      <c r="I19" s="19">
        <f>IF(O19="","",CHOOSE(INT(MOD(O19,1000)/100),INDEX('Class 1'!$C$1:$C$50,MOD(O19,100)+10),INDEX('Class 2'!$C$1:$C$50,MOD(O19,100)+10),INDEX('Class 3'!$C$1:$C$50,MOD(O19,100)+10),INDEX('Class 4'!$C$1:$C$50,MOD(O19,100)+10),INDEX('Class 5'!$C$1:$C$50,MOD(O19,100)+10),INDEX('Class 6'!$C$1:$C$50,MOD(O19,100)+10)))</f>
        <v/>
      </c>
      <c r="J19" s="16">
        <f>IF(O19="","",CHOOSE(INT(MOD(O19,1000)/100),INDEX('Class 1'!$F$1:$F$50,MOD(O19,100)+10),INDEX('Class 2'!$F$1:$F$50,MOD(O19,100)+10),INDEX('Class 3'!$F$1:$F$50,MOD(O19,100)+10),INDEX('Class 4'!$F$1:$F$50,MOD(O19,100)+10),INDEX('Class 5'!$F$1:$F$50,MOD(O19,100)+10),INDEX('Class 6'!$F$1:$F$50,MOD(O19,100)+10)))</f>
        <v/>
      </c>
      <c r="K19" s="1" t="n"/>
      <c r="L19" s="1" t="n"/>
      <c r="O19">
        <f>IFERROR(SMALL($P$1:$P$240,4),"")</f>
        <v/>
      </c>
      <c r="P19">
        <f>'Class 1'!AD29</f>
        <v/>
      </c>
    </row>
    <row r="20" ht="18" customHeight="1">
      <c r="A20" s="1" t="n"/>
      <c r="B20" s="15" t="n"/>
      <c r="C20" s="15" t="n"/>
      <c r="D20" s="15" t="n"/>
      <c r="E20" s="15" t="n"/>
      <c r="F20" s="15" t="n"/>
      <c r="G20" s="13">
        <f>IF(O20="","",CHOOSE(INT(MOD(O20,1000)/100),INDEX('Class 1'!$B$1:$B$50,MOD(O20,100)+10),INDEX('Class 2'!$B$1:$B$50,MOD(O20,100)+10),INDEX('Class 3'!$B$1:$B$50,MOD(O20,100)+10),INDEX('Class 4'!$B$1:$B$50,MOD(O20,100)+10),INDEX('Class 5'!$B$1:$B$50,MOD(O20,100)+10),INDEX('Class 6'!$B$1:$B$50,MOD(O20,100)+10)))</f>
        <v/>
      </c>
      <c r="H20" s="12">
        <f>IF(O20="","",IF(CHOOSE(INT(MOD(O20,1000)/100),Settings!$C$9,Settings!$C$10,Settings!$C$11,Settings!$C$12,Settings!$C$13,Settings!$C$14)="","",CHOOSE(INT(MOD(O20,1000)/100),Settings!$C$9,Settings!$C$10,Settings!$C$11,Settings!$C$12,Settings!$C$13,Settings!$C$14)))</f>
        <v/>
      </c>
      <c r="I20" s="19">
        <f>IF(O20="","",CHOOSE(INT(MOD(O20,1000)/100),INDEX('Class 1'!$C$1:$C$50,MOD(O20,100)+10),INDEX('Class 2'!$C$1:$C$50,MOD(O20,100)+10),INDEX('Class 3'!$C$1:$C$50,MOD(O20,100)+10),INDEX('Class 4'!$C$1:$C$50,MOD(O20,100)+10),INDEX('Class 5'!$C$1:$C$50,MOD(O20,100)+10),INDEX('Class 6'!$C$1:$C$50,MOD(O20,100)+10)))</f>
        <v/>
      </c>
      <c r="J20" s="16">
        <f>IF(O20="","",CHOOSE(INT(MOD(O20,1000)/100),INDEX('Class 1'!$F$1:$F$50,MOD(O20,100)+10),INDEX('Class 2'!$F$1:$F$50,MOD(O20,100)+10),INDEX('Class 3'!$F$1:$F$50,MOD(O20,100)+10),INDEX('Class 4'!$F$1:$F$50,MOD(O20,100)+10),INDEX('Class 5'!$F$1:$F$50,MOD(O20,100)+10),INDEX('Class 6'!$F$1:$F$50,MOD(O20,100)+10)))</f>
        <v/>
      </c>
      <c r="K20" s="1" t="n"/>
      <c r="L20" s="1" t="n"/>
      <c r="O20">
        <f>IFERROR(SMALL($P$1:$P$240,5),"")</f>
        <v/>
      </c>
      <c r="P20">
        <f>'Class 1'!AD30</f>
        <v/>
      </c>
    </row>
    <row r="21" ht="18" customHeight="1">
      <c r="A21" s="1" t="n"/>
      <c r="B21" s="15" t="n"/>
      <c r="C21" s="15" t="n"/>
      <c r="D21" s="15" t="n"/>
      <c r="E21" s="15" t="n"/>
      <c r="F21" s="15" t="n"/>
      <c r="G21" s="13">
        <f>IF(O21="","",CHOOSE(INT(MOD(O21,1000)/100),INDEX('Class 1'!$B$1:$B$50,MOD(O21,100)+10),INDEX('Class 2'!$B$1:$B$50,MOD(O21,100)+10),INDEX('Class 3'!$B$1:$B$50,MOD(O21,100)+10),INDEX('Class 4'!$B$1:$B$50,MOD(O21,100)+10),INDEX('Class 5'!$B$1:$B$50,MOD(O21,100)+10),INDEX('Class 6'!$B$1:$B$50,MOD(O21,100)+10)))</f>
        <v/>
      </c>
      <c r="H21" s="12">
        <f>IF(O21="","",IF(CHOOSE(INT(MOD(O21,1000)/100),Settings!$C$9,Settings!$C$10,Settings!$C$11,Settings!$C$12,Settings!$C$13,Settings!$C$14)="","",CHOOSE(INT(MOD(O21,1000)/100),Settings!$C$9,Settings!$C$10,Settings!$C$11,Settings!$C$12,Settings!$C$13,Settings!$C$14)))</f>
        <v/>
      </c>
      <c r="I21" s="19">
        <f>IF(O21="","",CHOOSE(INT(MOD(O21,1000)/100),INDEX('Class 1'!$C$1:$C$50,MOD(O21,100)+10),INDEX('Class 2'!$C$1:$C$50,MOD(O21,100)+10),INDEX('Class 3'!$C$1:$C$50,MOD(O21,100)+10),INDEX('Class 4'!$C$1:$C$50,MOD(O21,100)+10),INDEX('Class 5'!$C$1:$C$50,MOD(O21,100)+10),INDEX('Class 6'!$C$1:$C$50,MOD(O21,100)+10)))</f>
        <v/>
      </c>
      <c r="J21" s="16">
        <f>IF(O21="","",CHOOSE(INT(MOD(O21,1000)/100),INDEX('Class 1'!$F$1:$F$50,MOD(O21,100)+10),INDEX('Class 2'!$F$1:$F$50,MOD(O21,100)+10),INDEX('Class 3'!$F$1:$F$50,MOD(O21,100)+10),INDEX('Class 4'!$F$1:$F$50,MOD(O21,100)+10),INDEX('Class 5'!$F$1:$F$50,MOD(O21,100)+10),INDEX('Class 6'!$F$1:$F$50,MOD(O21,100)+10)))</f>
        <v/>
      </c>
      <c r="K21" s="1" t="n"/>
      <c r="L21" s="1" t="n"/>
      <c r="O21">
        <f>IFERROR(SMALL($P$1:$P$240,6),"")</f>
        <v/>
      </c>
      <c r="P21">
        <f>'Class 1'!AD31</f>
        <v/>
      </c>
    </row>
    <row r="22" ht="18" customHeight="1">
      <c r="A22" s="1" t="n"/>
      <c r="B22" s="15" t="n"/>
      <c r="C22" s="15" t="n"/>
      <c r="D22" s="15" t="n"/>
      <c r="E22" s="15" t="n"/>
      <c r="F22" s="15" t="n"/>
      <c r="G22" s="13">
        <f>IF(O22="","",CHOOSE(INT(MOD(O22,1000)/100),INDEX('Class 1'!$B$1:$B$50,MOD(O22,100)+10),INDEX('Class 2'!$B$1:$B$50,MOD(O22,100)+10),INDEX('Class 3'!$B$1:$B$50,MOD(O22,100)+10),INDEX('Class 4'!$B$1:$B$50,MOD(O22,100)+10),INDEX('Class 5'!$B$1:$B$50,MOD(O22,100)+10),INDEX('Class 6'!$B$1:$B$50,MOD(O22,100)+10)))</f>
        <v/>
      </c>
      <c r="H22" s="12">
        <f>IF(O22="","",IF(CHOOSE(INT(MOD(O22,1000)/100),Settings!$C$9,Settings!$C$10,Settings!$C$11,Settings!$C$12,Settings!$C$13,Settings!$C$14)="","",CHOOSE(INT(MOD(O22,1000)/100),Settings!$C$9,Settings!$C$10,Settings!$C$11,Settings!$C$12,Settings!$C$13,Settings!$C$14)))</f>
        <v/>
      </c>
      <c r="I22" s="19">
        <f>IF(O22="","",CHOOSE(INT(MOD(O22,1000)/100),INDEX('Class 1'!$C$1:$C$50,MOD(O22,100)+10),INDEX('Class 2'!$C$1:$C$50,MOD(O22,100)+10),INDEX('Class 3'!$C$1:$C$50,MOD(O22,100)+10),INDEX('Class 4'!$C$1:$C$50,MOD(O22,100)+10),INDEX('Class 5'!$C$1:$C$50,MOD(O22,100)+10),INDEX('Class 6'!$C$1:$C$50,MOD(O22,100)+10)))</f>
        <v/>
      </c>
      <c r="J22" s="16">
        <f>IF(O22="","",CHOOSE(INT(MOD(O22,1000)/100),INDEX('Class 1'!$F$1:$F$50,MOD(O22,100)+10),INDEX('Class 2'!$F$1:$F$50,MOD(O22,100)+10),INDEX('Class 3'!$F$1:$F$50,MOD(O22,100)+10),INDEX('Class 4'!$F$1:$F$50,MOD(O22,100)+10),INDEX('Class 5'!$F$1:$F$50,MOD(O22,100)+10),INDEX('Class 6'!$F$1:$F$50,MOD(O22,100)+10)))</f>
        <v/>
      </c>
      <c r="K22" s="1" t="n"/>
      <c r="L22" s="1" t="n"/>
      <c r="O22">
        <f>IFERROR(SMALL($P$1:$P$240,7),"")</f>
        <v/>
      </c>
      <c r="P22">
        <f>'Class 1'!AD32</f>
        <v/>
      </c>
    </row>
    <row r="23" ht="18" customHeight="1">
      <c r="A23" s="1" t="n"/>
      <c r="B23" s="15" t="n"/>
      <c r="C23" s="15" t="n"/>
      <c r="D23" s="15" t="n"/>
      <c r="E23" s="15" t="n"/>
      <c r="F23" s="15" t="n"/>
      <c r="G23" s="13">
        <f>IF(O23="","",CHOOSE(INT(MOD(O23,1000)/100),INDEX('Class 1'!$B$1:$B$50,MOD(O23,100)+10),INDEX('Class 2'!$B$1:$B$50,MOD(O23,100)+10),INDEX('Class 3'!$B$1:$B$50,MOD(O23,100)+10),INDEX('Class 4'!$B$1:$B$50,MOD(O23,100)+10),INDEX('Class 5'!$B$1:$B$50,MOD(O23,100)+10),INDEX('Class 6'!$B$1:$B$50,MOD(O23,100)+10)))</f>
        <v/>
      </c>
      <c r="H23" s="12">
        <f>IF(O23="","",IF(CHOOSE(INT(MOD(O23,1000)/100),Settings!$C$9,Settings!$C$10,Settings!$C$11,Settings!$C$12,Settings!$C$13,Settings!$C$14)="","",CHOOSE(INT(MOD(O23,1000)/100),Settings!$C$9,Settings!$C$10,Settings!$C$11,Settings!$C$12,Settings!$C$13,Settings!$C$14)))</f>
        <v/>
      </c>
      <c r="I23" s="19">
        <f>IF(O23="","",CHOOSE(INT(MOD(O23,1000)/100),INDEX('Class 1'!$C$1:$C$50,MOD(O23,100)+10),INDEX('Class 2'!$C$1:$C$50,MOD(O23,100)+10),INDEX('Class 3'!$C$1:$C$50,MOD(O23,100)+10),INDEX('Class 4'!$C$1:$C$50,MOD(O23,100)+10),INDEX('Class 5'!$C$1:$C$50,MOD(O23,100)+10),INDEX('Class 6'!$C$1:$C$50,MOD(O23,100)+10)))</f>
        <v/>
      </c>
      <c r="J23" s="16">
        <f>IF(O23="","",CHOOSE(INT(MOD(O23,1000)/100),INDEX('Class 1'!$F$1:$F$50,MOD(O23,100)+10),INDEX('Class 2'!$F$1:$F$50,MOD(O23,100)+10),INDEX('Class 3'!$F$1:$F$50,MOD(O23,100)+10),INDEX('Class 4'!$F$1:$F$50,MOD(O23,100)+10),INDEX('Class 5'!$F$1:$F$50,MOD(O23,100)+10),INDEX('Class 6'!$F$1:$F$50,MOD(O23,100)+10)))</f>
        <v/>
      </c>
      <c r="K23" s="1" t="n"/>
      <c r="L23" s="1" t="n"/>
      <c r="O23">
        <f>IFERROR(SMALL($P$1:$P$240,8),"")</f>
        <v/>
      </c>
      <c r="P23">
        <f>'Class 1'!AD33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P24">
        <f>'Class 1'!AD34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P25">
        <f>'Class 1'!AD35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P26">
        <f>'Class 1'!AD36</f>
        <v/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P27">
        <f>'Class 1'!AD37</f>
        <v/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P28">
        <f>'Class 1'!AD38</f>
        <v/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P29">
        <f>'Class 1'!AD39</f>
        <v/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P30">
        <f>'Class 1'!AD40</f>
        <v/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P31">
        <f>'Class 1'!AD41</f>
        <v/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P32">
        <f>'Class 1'!AD42</f>
        <v/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P33">
        <f>'Class 1'!AD43</f>
        <v/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P34">
        <f>'Class 1'!AD44</f>
        <v/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P35">
        <f>'Class 1'!AD45</f>
        <v/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P36">
        <f>'Class 1'!AD46</f>
        <v/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P37">
        <f>'Class 1'!AD47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P38">
        <f>'Class 1'!AD48</f>
        <v/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P39">
        <f>'Class 1'!AD49</f>
        <v/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P40">
        <f>'Class 1'!AD50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P41">
        <f>'Class 2'!AD11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P42">
        <f>'Class 2'!AD12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P43">
        <f>'Class 2'!AD13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P44">
        <f>'Class 2'!AD14</f>
        <v/>
      </c>
    </row>
    <row r="45">
      <c r="P45">
        <f>'Class 2'!AD15</f>
        <v/>
      </c>
    </row>
    <row r="46">
      <c r="P46">
        <f>'Class 2'!AD16</f>
        <v/>
      </c>
    </row>
    <row r="47">
      <c r="P47">
        <f>'Class 2'!AD17</f>
        <v/>
      </c>
    </row>
    <row r="48">
      <c r="P48">
        <f>'Class 2'!AD18</f>
        <v/>
      </c>
    </row>
    <row r="49">
      <c r="P49">
        <f>'Class 2'!AD19</f>
        <v/>
      </c>
    </row>
    <row r="50">
      <c r="P50">
        <f>'Class 2'!AD20</f>
        <v/>
      </c>
    </row>
    <row r="51">
      <c r="P51">
        <f>'Class 2'!AD21</f>
        <v/>
      </c>
    </row>
    <row r="52">
      <c r="P52">
        <f>'Class 2'!AD22</f>
        <v/>
      </c>
    </row>
    <row r="53">
      <c r="P53">
        <f>'Class 2'!AD23</f>
        <v/>
      </c>
    </row>
    <row r="54">
      <c r="P54">
        <f>'Class 2'!AD24</f>
        <v/>
      </c>
    </row>
    <row r="55">
      <c r="P55">
        <f>'Class 2'!AD25</f>
        <v/>
      </c>
    </row>
    <row r="56">
      <c r="P56">
        <f>'Class 2'!AD26</f>
        <v/>
      </c>
    </row>
    <row r="57">
      <c r="P57">
        <f>'Class 2'!AD27</f>
        <v/>
      </c>
    </row>
    <row r="58">
      <c r="P58">
        <f>'Class 2'!AD28</f>
        <v/>
      </c>
    </row>
    <row r="59">
      <c r="P59">
        <f>'Class 2'!AD29</f>
        <v/>
      </c>
    </row>
    <row r="60">
      <c r="P60">
        <f>'Class 2'!AD30</f>
        <v/>
      </c>
    </row>
    <row r="61">
      <c r="P61">
        <f>'Class 2'!AD31</f>
        <v/>
      </c>
    </row>
    <row r="62">
      <c r="P62">
        <f>'Class 2'!AD32</f>
        <v/>
      </c>
    </row>
    <row r="63">
      <c r="P63">
        <f>'Class 2'!AD33</f>
        <v/>
      </c>
    </row>
    <row r="64">
      <c r="P64">
        <f>'Class 2'!AD34</f>
        <v/>
      </c>
    </row>
    <row r="65">
      <c r="P65">
        <f>'Class 2'!AD35</f>
        <v/>
      </c>
    </row>
    <row r="66">
      <c r="P66">
        <f>'Class 2'!AD36</f>
        <v/>
      </c>
    </row>
    <row r="67">
      <c r="P67">
        <f>'Class 2'!AD37</f>
        <v/>
      </c>
    </row>
    <row r="68">
      <c r="P68">
        <f>'Class 2'!AD38</f>
        <v/>
      </c>
    </row>
    <row r="69">
      <c r="P69">
        <f>'Class 2'!AD39</f>
        <v/>
      </c>
    </row>
    <row r="70">
      <c r="P70">
        <f>'Class 2'!AD40</f>
        <v/>
      </c>
    </row>
    <row r="71">
      <c r="P71">
        <f>'Class 2'!AD41</f>
        <v/>
      </c>
    </row>
    <row r="72">
      <c r="P72">
        <f>'Class 2'!AD42</f>
        <v/>
      </c>
    </row>
    <row r="73">
      <c r="P73">
        <f>'Class 2'!AD43</f>
        <v/>
      </c>
    </row>
    <row r="74">
      <c r="P74">
        <f>'Class 2'!AD44</f>
        <v/>
      </c>
    </row>
    <row r="75">
      <c r="P75">
        <f>'Class 2'!AD45</f>
        <v/>
      </c>
    </row>
    <row r="76">
      <c r="P76">
        <f>'Class 2'!AD46</f>
        <v/>
      </c>
    </row>
    <row r="77">
      <c r="P77">
        <f>'Class 2'!AD47</f>
        <v/>
      </c>
    </row>
    <row r="78">
      <c r="P78">
        <f>'Class 2'!AD48</f>
        <v/>
      </c>
    </row>
    <row r="79">
      <c r="P79">
        <f>'Class 2'!AD49</f>
        <v/>
      </c>
    </row>
    <row r="80">
      <c r="P80">
        <f>'Class 2'!AD50</f>
        <v/>
      </c>
    </row>
    <row r="81">
      <c r="P81">
        <f>'Class 3'!AD11</f>
        <v/>
      </c>
    </row>
    <row r="82">
      <c r="P82">
        <f>'Class 3'!AD12</f>
        <v/>
      </c>
    </row>
    <row r="83">
      <c r="P83">
        <f>'Class 3'!AD13</f>
        <v/>
      </c>
    </row>
    <row r="84">
      <c r="P84">
        <f>'Class 3'!AD14</f>
        <v/>
      </c>
    </row>
    <row r="85">
      <c r="P85">
        <f>'Class 3'!AD15</f>
        <v/>
      </c>
    </row>
    <row r="86">
      <c r="P86">
        <f>'Class 3'!AD16</f>
        <v/>
      </c>
    </row>
    <row r="87">
      <c r="P87">
        <f>'Class 3'!AD17</f>
        <v/>
      </c>
    </row>
    <row r="88">
      <c r="P88">
        <f>'Class 3'!AD18</f>
        <v/>
      </c>
    </row>
    <row r="89">
      <c r="P89">
        <f>'Class 3'!AD19</f>
        <v/>
      </c>
    </row>
    <row r="90">
      <c r="P90">
        <f>'Class 3'!AD20</f>
        <v/>
      </c>
    </row>
    <row r="91">
      <c r="P91">
        <f>'Class 3'!AD21</f>
        <v/>
      </c>
    </row>
    <row r="92">
      <c r="P92">
        <f>'Class 3'!AD22</f>
        <v/>
      </c>
    </row>
    <row r="93">
      <c r="P93">
        <f>'Class 3'!AD23</f>
        <v/>
      </c>
    </row>
    <row r="94">
      <c r="P94">
        <f>'Class 3'!AD24</f>
        <v/>
      </c>
    </row>
    <row r="95">
      <c r="P95">
        <f>'Class 3'!AD25</f>
        <v/>
      </c>
    </row>
    <row r="96">
      <c r="P96">
        <f>'Class 3'!AD26</f>
        <v/>
      </c>
    </row>
    <row r="97">
      <c r="P97">
        <f>'Class 3'!AD27</f>
        <v/>
      </c>
    </row>
    <row r="98">
      <c r="P98">
        <f>'Class 3'!AD28</f>
        <v/>
      </c>
    </row>
    <row r="99">
      <c r="P99">
        <f>'Class 3'!AD29</f>
        <v/>
      </c>
    </row>
    <row r="100">
      <c r="P100">
        <f>'Class 3'!AD30</f>
        <v/>
      </c>
    </row>
    <row r="101">
      <c r="P101">
        <f>'Class 3'!AD31</f>
        <v/>
      </c>
    </row>
    <row r="102">
      <c r="P102">
        <f>'Class 3'!AD32</f>
        <v/>
      </c>
    </row>
    <row r="103">
      <c r="P103">
        <f>'Class 3'!AD33</f>
        <v/>
      </c>
    </row>
    <row r="104">
      <c r="P104">
        <f>'Class 3'!AD34</f>
        <v/>
      </c>
    </row>
    <row r="105">
      <c r="P105">
        <f>'Class 3'!AD35</f>
        <v/>
      </c>
    </row>
    <row r="106">
      <c r="P106">
        <f>'Class 3'!AD36</f>
        <v/>
      </c>
    </row>
    <row r="107">
      <c r="P107">
        <f>'Class 3'!AD37</f>
        <v/>
      </c>
    </row>
    <row r="108">
      <c r="P108">
        <f>'Class 3'!AD38</f>
        <v/>
      </c>
    </row>
    <row r="109">
      <c r="P109">
        <f>'Class 3'!AD39</f>
        <v/>
      </c>
    </row>
    <row r="110">
      <c r="P110">
        <f>'Class 3'!AD40</f>
        <v/>
      </c>
    </row>
    <row r="111">
      <c r="P111">
        <f>'Class 3'!AD41</f>
        <v/>
      </c>
    </row>
    <row r="112">
      <c r="P112">
        <f>'Class 3'!AD42</f>
        <v/>
      </c>
    </row>
    <row r="113">
      <c r="P113">
        <f>'Class 3'!AD43</f>
        <v/>
      </c>
    </row>
    <row r="114">
      <c r="P114">
        <f>'Class 3'!AD44</f>
        <v/>
      </c>
    </row>
    <row r="115">
      <c r="P115">
        <f>'Class 3'!AD45</f>
        <v/>
      </c>
    </row>
    <row r="116">
      <c r="P116">
        <f>'Class 3'!AD46</f>
        <v/>
      </c>
    </row>
    <row r="117">
      <c r="P117">
        <f>'Class 3'!AD47</f>
        <v/>
      </c>
    </row>
    <row r="118">
      <c r="P118">
        <f>'Class 3'!AD48</f>
        <v/>
      </c>
    </row>
    <row r="119">
      <c r="P119">
        <f>'Class 3'!AD49</f>
        <v/>
      </c>
    </row>
    <row r="120">
      <c r="P120">
        <f>'Class 3'!AD50</f>
        <v/>
      </c>
    </row>
    <row r="121">
      <c r="P121">
        <f>'Class 4'!AD11</f>
        <v/>
      </c>
    </row>
    <row r="122">
      <c r="P122">
        <f>'Class 4'!AD12</f>
        <v/>
      </c>
    </row>
    <row r="123">
      <c r="P123">
        <f>'Class 4'!AD13</f>
        <v/>
      </c>
    </row>
    <row r="124">
      <c r="P124">
        <f>'Class 4'!AD14</f>
        <v/>
      </c>
    </row>
    <row r="125">
      <c r="P125">
        <f>'Class 4'!AD15</f>
        <v/>
      </c>
    </row>
    <row r="126">
      <c r="P126">
        <f>'Class 4'!AD16</f>
        <v/>
      </c>
    </row>
    <row r="127">
      <c r="P127">
        <f>'Class 4'!AD17</f>
        <v/>
      </c>
    </row>
    <row r="128">
      <c r="P128">
        <f>'Class 4'!AD18</f>
        <v/>
      </c>
    </row>
    <row r="129">
      <c r="P129">
        <f>'Class 4'!AD19</f>
        <v/>
      </c>
    </row>
    <row r="130">
      <c r="P130">
        <f>'Class 4'!AD20</f>
        <v/>
      </c>
    </row>
    <row r="131">
      <c r="P131">
        <f>'Class 4'!AD21</f>
        <v/>
      </c>
    </row>
    <row r="132">
      <c r="P132">
        <f>'Class 4'!AD22</f>
        <v/>
      </c>
    </row>
    <row r="133">
      <c r="P133">
        <f>'Class 4'!AD23</f>
        <v/>
      </c>
    </row>
    <row r="134">
      <c r="P134">
        <f>'Class 4'!AD24</f>
        <v/>
      </c>
    </row>
    <row r="135">
      <c r="P135">
        <f>'Class 4'!AD25</f>
        <v/>
      </c>
    </row>
    <row r="136">
      <c r="P136">
        <f>'Class 4'!AD26</f>
        <v/>
      </c>
    </row>
    <row r="137">
      <c r="P137">
        <f>'Class 4'!AD27</f>
        <v/>
      </c>
    </row>
    <row r="138">
      <c r="P138">
        <f>'Class 4'!AD28</f>
        <v/>
      </c>
    </row>
    <row r="139">
      <c r="P139">
        <f>'Class 4'!AD29</f>
        <v/>
      </c>
    </row>
    <row r="140">
      <c r="P140">
        <f>'Class 4'!AD30</f>
        <v/>
      </c>
    </row>
    <row r="141">
      <c r="P141">
        <f>'Class 4'!AD31</f>
        <v/>
      </c>
    </row>
    <row r="142">
      <c r="P142">
        <f>'Class 4'!AD32</f>
        <v/>
      </c>
    </row>
    <row r="143">
      <c r="P143">
        <f>'Class 4'!AD33</f>
        <v/>
      </c>
    </row>
    <row r="144">
      <c r="P144">
        <f>'Class 4'!AD34</f>
        <v/>
      </c>
    </row>
    <row r="145">
      <c r="P145">
        <f>'Class 4'!AD35</f>
        <v/>
      </c>
    </row>
    <row r="146">
      <c r="P146">
        <f>'Class 4'!AD36</f>
        <v/>
      </c>
    </row>
    <row r="147">
      <c r="P147">
        <f>'Class 4'!AD37</f>
        <v/>
      </c>
    </row>
    <row r="148">
      <c r="P148">
        <f>'Class 4'!AD38</f>
        <v/>
      </c>
    </row>
    <row r="149">
      <c r="P149">
        <f>'Class 4'!AD39</f>
        <v/>
      </c>
    </row>
    <row r="150">
      <c r="P150">
        <f>'Class 4'!AD40</f>
        <v/>
      </c>
    </row>
    <row r="151">
      <c r="P151">
        <f>'Class 4'!AD41</f>
        <v/>
      </c>
    </row>
    <row r="152">
      <c r="P152">
        <f>'Class 4'!AD42</f>
        <v/>
      </c>
    </row>
    <row r="153">
      <c r="P153">
        <f>'Class 4'!AD43</f>
        <v/>
      </c>
    </row>
    <row r="154">
      <c r="P154">
        <f>'Class 4'!AD44</f>
        <v/>
      </c>
    </row>
    <row r="155">
      <c r="P155">
        <f>'Class 4'!AD45</f>
        <v/>
      </c>
    </row>
    <row r="156">
      <c r="P156">
        <f>'Class 4'!AD46</f>
        <v/>
      </c>
    </row>
    <row r="157">
      <c r="P157">
        <f>'Class 4'!AD47</f>
        <v/>
      </c>
    </row>
    <row r="158">
      <c r="P158">
        <f>'Class 4'!AD48</f>
        <v/>
      </c>
    </row>
    <row r="159">
      <c r="P159">
        <f>'Class 4'!AD49</f>
        <v/>
      </c>
    </row>
    <row r="160">
      <c r="P160">
        <f>'Class 4'!AD50</f>
        <v/>
      </c>
    </row>
    <row r="161">
      <c r="P161">
        <f>'Class 5'!AD11</f>
        <v/>
      </c>
    </row>
    <row r="162">
      <c r="P162">
        <f>'Class 5'!AD12</f>
        <v/>
      </c>
    </row>
    <row r="163">
      <c r="P163">
        <f>'Class 5'!AD13</f>
        <v/>
      </c>
    </row>
    <row r="164">
      <c r="P164">
        <f>'Class 5'!AD14</f>
        <v/>
      </c>
    </row>
    <row r="165">
      <c r="P165">
        <f>'Class 5'!AD15</f>
        <v/>
      </c>
    </row>
    <row r="166">
      <c r="P166">
        <f>'Class 5'!AD16</f>
        <v/>
      </c>
    </row>
    <row r="167">
      <c r="P167">
        <f>'Class 5'!AD17</f>
        <v/>
      </c>
    </row>
    <row r="168">
      <c r="P168">
        <f>'Class 5'!AD18</f>
        <v/>
      </c>
    </row>
    <row r="169">
      <c r="P169">
        <f>'Class 5'!AD19</f>
        <v/>
      </c>
    </row>
    <row r="170">
      <c r="P170">
        <f>'Class 5'!AD20</f>
        <v/>
      </c>
    </row>
    <row r="171">
      <c r="P171">
        <f>'Class 5'!AD21</f>
        <v/>
      </c>
    </row>
    <row r="172">
      <c r="P172">
        <f>'Class 5'!AD22</f>
        <v/>
      </c>
    </row>
    <row r="173">
      <c r="P173">
        <f>'Class 5'!AD23</f>
        <v/>
      </c>
    </row>
    <row r="174">
      <c r="P174">
        <f>'Class 5'!AD24</f>
        <v/>
      </c>
    </row>
    <row r="175">
      <c r="P175">
        <f>'Class 5'!AD25</f>
        <v/>
      </c>
    </row>
    <row r="176">
      <c r="P176">
        <f>'Class 5'!AD26</f>
        <v/>
      </c>
    </row>
    <row r="177">
      <c r="P177">
        <f>'Class 5'!AD27</f>
        <v/>
      </c>
    </row>
    <row r="178">
      <c r="P178">
        <f>'Class 5'!AD28</f>
        <v/>
      </c>
    </row>
    <row r="179">
      <c r="P179">
        <f>'Class 5'!AD29</f>
        <v/>
      </c>
    </row>
    <row r="180">
      <c r="P180">
        <f>'Class 5'!AD30</f>
        <v/>
      </c>
    </row>
    <row r="181">
      <c r="P181">
        <f>'Class 5'!AD31</f>
        <v/>
      </c>
    </row>
    <row r="182">
      <c r="P182">
        <f>'Class 5'!AD32</f>
        <v/>
      </c>
    </row>
    <row r="183">
      <c r="P183">
        <f>'Class 5'!AD33</f>
        <v/>
      </c>
    </row>
    <row r="184">
      <c r="P184">
        <f>'Class 5'!AD34</f>
        <v/>
      </c>
    </row>
    <row r="185">
      <c r="P185">
        <f>'Class 5'!AD35</f>
        <v/>
      </c>
    </row>
    <row r="186">
      <c r="P186">
        <f>'Class 5'!AD36</f>
        <v/>
      </c>
    </row>
    <row r="187">
      <c r="P187">
        <f>'Class 5'!AD37</f>
        <v/>
      </c>
    </row>
    <row r="188">
      <c r="P188">
        <f>'Class 5'!AD38</f>
        <v/>
      </c>
    </row>
    <row r="189">
      <c r="P189">
        <f>'Class 5'!AD39</f>
        <v/>
      </c>
    </row>
    <row r="190">
      <c r="P190">
        <f>'Class 5'!AD40</f>
        <v/>
      </c>
    </row>
    <row r="191">
      <c r="P191">
        <f>'Class 5'!AD41</f>
        <v/>
      </c>
    </row>
    <row r="192">
      <c r="P192">
        <f>'Class 5'!AD42</f>
        <v/>
      </c>
    </row>
    <row r="193">
      <c r="P193">
        <f>'Class 5'!AD43</f>
        <v/>
      </c>
    </row>
    <row r="194">
      <c r="P194">
        <f>'Class 5'!AD44</f>
        <v/>
      </c>
    </row>
    <row r="195">
      <c r="P195">
        <f>'Class 5'!AD45</f>
        <v/>
      </c>
    </row>
    <row r="196">
      <c r="P196">
        <f>'Class 5'!AD46</f>
        <v/>
      </c>
    </row>
    <row r="197">
      <c r="P197">
        <f>'Class 5'!AD47</f>
        <v/>
      </c>
    </row>
    <row r="198">
      <c r="P198">
        <f>'Class 5'!AD48</f>
        <v/>
      </c>
    </row>
    <row r="199">
      <c r="P199">
        <f>'Class 5'!AD49</f>
        <v/>
      </c>
    </row>
    <row r="200">
      <c r="P200">
        <f>'Class 5'!AD50</f>
        <v/>
      </c>
    </row>
    <row r="201">
      <c r="P201">
        <f>'Class 6'!AD11</f>
        <v/>
      </c>
    </row>
    <row r="202">
      <c r="P202">
        <f>'Class 6'!AD12</f>
        <v/>
      </c>
    </row>
    <row r="203">
      <c r="P203">
        <f>'Class 6'!AD13</f>
        <v/>
      </c>
    </row>
    <row r="204">
      <c r="P204">
        <f>'Class 6'!AD14</f>
        <v/>
      </c>
    </row>
    <row r="205">
      <c r="P205">
        <f>'Class 6'!AD15</f>
        <v/>
      </c>
    </row>
    <row r="206">
      <c r="P206">
        <f>'Class 6'!AD16</f>
        <v/>
      </c>
    </row>
    <row r="207">
      <c r="P207">
        <f>'Class 6'!AD17</f>
        <v/>
      </c>
    </row>
    <row r="208">
      <c r="P208">
        <f>'Class 6'!AD18</f>
        <v/>
      </c>
    </row>
    <row r="209">
      <c r="P209">
        <f>'Class 6'!AD19</f>
        <v/>
      </c>
    </row>
    <row r="210">
      <c r="P210">
        <f>'Class 6'!AD20</f>
        <v/>
      </c>
    </row>
    <row r="211">
      <c r="P211">
        <f>'Class 6'!AD21</f>
        <v/>
      </c>
    </row>
    <row r="212">
      <c r="P212">
        <f>'Class 6'!AD22</f>
        <v/>
      </c>
    </row>
    <row r="213">
      <c r="P213">
        <f>'Class 6'!AD23</f>
        <v/>
      </c>
    </row>
    <row r="214">
      <c r="P214">
        <f>'Class 6'!AD24</f>
        <v/>
      </c>
    </row>
    <row r="215">
      <c r="P215">
        <f>'Class 6'!AD25</f>
        <v/>
      </c>
    </row>
    <row r="216">
      <c r="P216">
        <f>'Class 6'!AD26</f>
        <v/>
      </c>
    </row>
    <row r="217">
      <c r="P217">
        <f>'Class 6'!AD27</f>
        <v/>
      </c>
    </row>
    <row r="218">
      <c r="P218">
        <f>'Class 6'!AD28</f>
        <v/>
      </c>
    </row>
    <row r="219">
      <c r="P219">
        <f>'Class 6'!AD29</f>
        <v/>
      </c>
    </row>
    <row r="220">
      <c r="P220">
        <f>'Class 6'!AD30</f>
        <v/>
      </c>
    </row>
    <row r="221">
      <c r="P221">
        <f>'Class 6'!AD31</f>
        <v/>
      </c>
    </row>
    <row r="222">
      <c r="P222">
        <f>'Class 6'!AD32</f>
        <v/>
      </c>
    </row>
    <row r="223">
      <c r="P223">
        <f>'Class 6'!AD33</f>
        <v/>
      </c>
    </row>
    <row r="224">
      <c r="P224">
        <f>'Class 6'!AD34</f>
        <v/>
      </c>
    </row>
    <row r="225">
      <c r="P225">
        <f>'Class 6'!AD35</f>
        <v/>
      </c>
    </row>
    <row r="226">
      <c r="P226">
        <f>'Class 6'!AD36</f>
        <v/>
      </c>
    </row>
    <row r="227">
      <c r="P227">
        <f>'Class 6'!AD37</f>
        <v/>
      </c>
    </row>
    <row r="228">
      <c r="P228">
        <f>'Class 6'!AD38</f>
        <v/>
      </c>
    </row>
    <row r="229">
      <c r="P229">
        <f>'Class 6'!AD39</f>
        <v/>
      </c>
    </row>
    <row r="230">
      <c r="P230">
        <f>'Class 6'!AD40</f>
        <v/>
      </c>
    </row>
    <row r="231">
      <c r="P231">
        <f>'Class 6'!AD41</f>
        <v/>
      </c>
    </row>
    <row r="232">
      <c r="P232">
        <f>'Class 6'!AD42</f>
        <v/>
      </c>
    </row>
    <row r="233">
      <c r="P233">
        <f>'Class 6'!AD43</f>
        <v/>
      </c>
    </row>
    <row r="234">
      <c r="P234">
        <f>'Class 6'!AD44</f>
        <v/>
      </c>
    </row>
    <row r="235">
      <c r="P235">
        <f>'Class 6'!AD45</f>
        <v/>
      </c>
    </row>
    <row r="236">
      <c r="P236">
        <f>'Class 6'!AD46</f>
        <v/>
      </c>
    </row>
    <row r="237">
      <c r="P237">
        <f>'Class 6'!AD47</f>
        <v/>
      </c>
    </row>
    <row r="238">
      <c r="P238">
        <f>'Class 6'!AD48</f>
        <v/>
      </c>
    </row>
    <row r="239">
      <c r="P239">
        <f>'Class 6'!AD49</f>
        <v/>
      </c>
    </row>
    <row r="240">
      <c r="P240">
        <f>'Class 6'!AD50</f>
        <v/>
      </c>
    </row>
  </sheetData>
  <mergeCells count="2">
    <mergeCell ref="B5:C5"/>
    <mergeCell ref="B4:C4"/>
  </mergeCells>
  <conditionalFormatting sqref="E8:E17">
    <cfRule type="expression" priority="1" dxfId="0">
      <formula>E8="Not planned yet"</formula>
    </cfRule>
  </conditionalFormatting>
  <conditionalFormatting sqref="J8:J13">
    <cfRule type="expression" priority="2" dxfId="1">
      <formula>N(J8)&gt;0</formula>
    </cfRule>
  </conditionalFormatting>
  <conditionalFormatting sqref="G16:J23">
    <cfRule type="expression" priority="3" dxfId="1">
      <formula>AND(ISNUMBER($I16),ROUND($I16*100,1)&lt;N($M$1))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0">
        <f>"Week of "&amp;DAY(Settings!$C$6)&amp;" "&amp;CHOOSE(MONTH(Settings!$C$6),"Jan","Feb","Mar","Apr","May","Jun","Jul","Aug","Sep","Oct","Nov","Dec")&amp;" to "&amp;DAY((Settings!$C$6+4))&amp;" "&amp;CHOOSE(MONTH((Settings!$C$6+4)),"Jan","Feb","Mar","Apr","May","Jun","Jul","Aug","Sep","Oct","Nov","Dec")</f>
        <v/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21" t="inlineStr">
        <is>
          <t>The class and topic of each lesson. Shaded: a lesson on the timetable with no plan yet.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0" t="inlineStr">
        <is>
          <t>Period</t>
        </is>
      </c>
      <c r="C5" s="10" t="inlineStr">
        <is>
          <t>Time</t>
        </is>
      </c>
      <c r="D5" s="10">
        <f>"Mon "&amp;DAY(Settings!$C$6+0)</f>
        <v/>
      </c>
      <c r="E5" s="10">
        <f>"Tue "&amp;DAY(Settings!$C$6+1)</f>
        <v/>
      </c>
      <c r="F5" s="10">
        <f>"Wed "&amp;DAY(Settings!$C$6+2)</f>
        <v/>
      </c>
      <c r="G5" s="10">
        <f>"Thu "&amp;DAY(Settings!$C$6+3)</f>
        <v/>
      </c>
      <c r="H5" s="10">
        <f>"Fri "&amp;DAY(Settings!$C$6+4)</f>
        <v/>
      </c>
      <c r="I5" s="1" t="n"/>
    </row>
    <row r="6" ht="36" customHeight="1">
      <c r="A6" s="1" t="n"/>
      <c r="B6" s="22" t="n">
        <v>1</v>
      </c>
      <c r="C6" s="12">
        <f>IF(ISNUMBER(Timetable!C6),HOUR(Timetable!C6)&amp;":"&amp;RIGHT("0"&amp;MINUTE(Timetable!C6),2),"")</f>
        <v/>
      </c>
      <c r="D6" s="23">
        <f>IF(IF(ISNUMBER(M6),INDEX(Lessons!$I$6:$I$505,M6),IF(INDEX(Timetable!$E$6:$I$15,1,1)="","",INDEX(Timetable!$E$6:$I$15,1,1)))="","",IF(ISNUMBER(M6),INDEX(Lessons!$I$6:$I$505,M6),IF(INDEX(Timetable!$E$6:$I$15,1,1)="","",INDEX(Timetable!$E$6:$I$15,1,1)))&amp;IF(IF(ISNUMBER(M6),INDEX(Lessons!$E$6:$E$505,M6),"")="","",CHAR(10)&amp;IF(ISNUMBER(M6),INDEX(Lessons!$E$6:$E$505,M6),"")))</f>
        <v/>
      </c>
      <c r="E6" s="23">
        <f>IF(IF(ISNUMBER(N6),INDEX(Lessons!$I$6:$I$505,N6),IF(INDEX(Timetable!$E$6:$I$15,1,2)="","",INDEX(Timetable!$E$6:$I$15,1,2)))="","",IF(ISNUMBER(N6),INDEX(Lessons!$I$6:$I$505,N6),IF(INDEX(Timetable!$E$6:$I$15,1,2)="","",INDEX(Timetable!$E$6:$I$15,1,2)))&amp;IF(IF(ISNUMBER(N6),INDEX(Lessons!$E$6:$E$505,N6),"")="","",CHAR(10)&amp;IF(ISNUMBER(N6),INDEX(Lessons!$E$6:$E$505,N6),"")))</f>
        <v/>
      </c>
      <c r="F6" s="23">
        <f>IF(IF(ISNUMBER(O6),INDEX(Lessons!$I$6:$I$505,O6),IF(INDEX(Timetable!$E$6:$I$15,1,3)="","",INDEX(Timetable!$E$6:$I$15,1,3)))="","",IF(ISNUMBER(O6),INDEX(Lessons!$I$6:$I$505,O6),IF(INDEX(Timetable!$E$6:$I$15,1,3)="","",INDEX(Timetable!$E$6:$I$15,1,3)))&amp;IF(IF(ISNUMBER(O6),INDEX(Lessons!$E$6:$E$505,O6),"")="","",CHAR(10)&amp;IF(ISNUMBER(O6),INDEX(Lessons!$E$6:$E$505,O6),"")))</f>
        <v/>
      </c>
      <c r="G6" s="23">
        <f>IF(IF(ISNUMBER(P6),INDEX(Lessons!$I$6:$I$505,P6),IF(INDEX(Timetable!$E$6:$I$15,1,4)="","",INDEX(Timetable!$E$6:$I$15,1,4)))="","",IF(ISNUMBER(P6),INDEX(Lessons!$I$6:$I$505,P6),IF(INDEX(Timetable!$E$6:$I$15,1,4)="","",INDEX(Timetable!$E$6:$I$15,1,4)))&amp;IF(IF(ISNUMBER(P6),INDEX(Lessons!$E$6:$E$505,P6),"")="","",CHAR(10)&amp;IF(ISNUMBER(P6),INDEX(Lessons!$E$6:$E$505,P6),"")))</f>
        <v/>
      </c>
      <c r="H6" s="23">
        <f>IF(IF(ISNUMBER(Q6),INDEX(Lessons!$I$6:$I$505,Q6),IF(INDEX(Timetable!$E$6:$I$15,1,5)="","",INDEX(Timetable!$E$6:$I$15,1,5)))="","",IF(ISNUMBER(Q6),INDEX(Lessons!$I$6:$I$505,Q6),IF(INDEX(Timetable!$E$6:$I$15,1,5)="","",INDEX(Timetable!$E$6:$I$15,1,5)))&amp;IF(IF(ISNUMBER(Q6),INDEX(Lessons!$E$6:$E$505,Q6),"")="","",CHAR(10)&amp;IF(ISNUMBER(Q6),INDEX(Lessons!$E$6:$E$505,Q6),"")))</f>
        <v/>
      </c>
      <c r="I6" s="1" t="n"/>
      <c r="M6">
        <f>IFERROR(MATCH((Settings!$C$6+0)*100+1,Lessons!$K$6:$K$505,0),"")</f>
        <v/>
      </c>
      <c r="N6">
        <f>IFERROR(MATCH((Settings!$C$6+1)*100+1,Lessons!$K$6:$K$505,0),"")</f>
        <v/>
      </c>
      <c r="O6">
        <f>IFERROR(MATCH((Settings!$C$6+2)*100+1,Lessons!$K$6:$K$505,0),"")</f>
        <v/>
      </c>
      <c r="P6">
        <f>IFERROR(MATCH((Settings!$C$6+3)*100+1,Lessons!$K$6:$K$505,0),"")</f>
        <v/>
      </c>
      <c r="Q6">
        <f>IFERROR(MATCH((Settings!$C$6+4)*100+1,Lessons!$K$6:$K$505,0),"")</f>
        <v/>
      </c>
      <c r="R6">
        <f>IF(AND(NOT(ISNUMBER(M6)),IF(INDEX(Timetable!$E$6:$I$15,1,1)="","",INDEX(Timetable!$E$6:$I$15,1,1))&lt;&gt;""),1,0)</f>
        <v/>
      </c>
      <c r="S6">
        <f>IF(AND(NOT(ISNUMBER(N6)),IF(INDEX(Timetable!$E$6:$I$15,1,2)="","",INDEX(Timetable!$E$6:$I$15,1,2))&lt;&gt;""),1,0)</f>
        <v/>
      </c>
      <c r="T6">
        <f>IF(AND(NOT(ISNUMBER(O6)),IF(INDEX(Timetable!$E$6:$I$15,1,3)="","",INDEX(Timetable!$E$6:$I$15,1,3))&lt;&gt;""),1,0)</f>
        <v/>
      </c>
      <c r="U6">
        <f>IF(AND(NOT(ISNUMBER(P6)),IF(INDEX(Timetable!$E$6:$I$15,1,4)="","",INDEX(Timetable!$E$6:$I$15,1,4))&lt;&gt;""),1,0)</f>
        <v/>
      </c>
      <c r="V6">
        <f>IF(AND(NOT(ISNUMBER(Q6)),IF(INDEX(Timetable!$E$6:$I$15,1,5)="","",INDEX(Timetable!$E$6:$I$15,1,5))&lt;&gt;""),1,0)</f>
        <v/>
      </c>
    </row>
    <row r="7" ht="36" customHeight="1">
      <c r="A7" s="1" t="n"/>
      <c r="B7" s="22" t="n">
        <v>2</v>
      </c>
      <c r="C7" s="12">
        <f>IF(ISNUMBER(Timetable!C7),HOUR(Timetable!C7)&amp;":"&amp;RIGHT("0"&amp;MINUTE(Timetable!C7),2),"")</f>
        <v/>
      </c>
      <c r="D7" s="23">
        <f>IF(IF(ISNUMBER(M7),INDEX(Lessons!$I$6:$I$505,M7),IF(INDEX(Timetable!$E$6:$I$15,2,1)="","",INDEX(Timetable!$E$6:$I$15,2,1)))="","",IF(ISNUMBER(M7),INDEX(Lessons!$I$6:$I$505,M7),IF(INDEX(Timetable!$E$6:$I$15,2,1)="","",INDEX(Timetable!$E$6:$I$15,2,1)))&amp;IF(IF(ISNUMBER(M7),INDEX(Lessons!$E$6:$E$505,M7),"")="","",CHAR(10)&amp;IF(ISNUMBER(M7),INDEX(Lessons!$E$6:$E$505,M7),"")))</f>
        <v/>
      </c>
      <c r="E7" s="23">
        <f>IF(IF(ISNUMBER(N7),INDEX(Lessons!$I$6:$I$505,N7),IF(INDEX(Timetable!$E$6:$I$15,2,2)="","",INDEX(Timetable!$E$6:$I$15,2,2)))="","",IF(ISNUMBER(N7),INDEX(Lessons!$I$6:$I$505,N7),IF(INDEX(Timetable!$E$6:$I$15,2,2)="","",INDEX(Timetable!$E$6:$I$15,2,2)))&amp;IF(IF(ISNUMBER(N7),INDEX(Lessons!$E$6:$E$505,N7),"")="","",CHAR(10)&amp;IF(ISNUMBER(N7),INDEX(Lessons!$E$6:$E$505,N7),"")))</f>
        <v/>
      </c>
      <c r="F7" s="23">
        <f>IF(IF(ISNUMBER(O7),INDEX(Lessons!$I$6:$I$505,O7),IF(INDEX(Timetable!$E$6:$I$15,2,3)="","",INDEX(Timetable!$E$6:$I$15,2,3)))="","",IF(ISNUMBER(O7),INDEX(Lessons!$I$6:$I$505,O7),IF(INDEX(Timetable!$E$6:$I$15,2,3)="","",INDEX(Timetable!$E$6:$I$15,2,3)))&amp;IF(IF(ISNUMBER(O7),INDEX(Lessons!$E$6:$E$505,O7),"")="","",CHAR(10)&amp;IF(ISNUMBER(O7),INDEX(Lessons!$E$6:$E$505,O7),"")))</f>
        <v/>
      </c>
      <c r="G7" s="23">
        <f>IF(IF(ISNUMBER(P7),INDEX(Lessons!$I$6:$I$505,P7),IF(INDEX(Timetable!$E$6:$I$15,2,4)="","",INDEX(Timetable!$E$6:$I$15,2,4)))="","",IF(ISNUMBER(P7),INDEX(Lessons!$I$6:$I$505,P7),IF(INDEX(Timetable!$E$6:$I$15,2,4)="","",INDEX(Timetable!$E$6:$I$15,2,4)))&amp;IF(IF(ISNUMBER(P7),INDEX(Lessons!$E$6:$E$505,P7),"")="","",CHAR(10)&amp;IF(ISNUMBER(P7),INDEX(Lessons!$E$6:$E$505,P7),"")))</f>
        <v/>
      </c>
      <c r="H7" s="23">
        <f>IF(IF(ISNUMBER(Q7),INDEX(Lessons!$I$6:$I$505,Q7),IF(INDEX(Timetable!$E$6:$I$15,2,5)="","",INDEX(Timetable!$E$6:$I$15,2,5)))="","",IF(ISNUMBER(Q7),INDEX(Lessons!$I$6:$I$505,Q7),IF(INDEX(Timetable!$E$6:$I$15,2,5)="","",INDEX(Timetable!$E$6:$I$15,2,5)))&amp;IF(IF(ISNUMBER(Q7),INDEX(Lessons!$E$6:$E$505,Q7),"")="","",CHAR(10)&amp;IF(ISNUMBER(Q7),INDEX(Lessons!$E$6:$E$505,Q7),"")))</f>
        <v/>
      </c>
      <c r="I7" s="1" t="n"/>
      <c r="M7">
        <f>IFERROR(MATCH((Settings!$C$6+0)*100+2,Lessons!$K$6:$K$505,0),"")</f>
        <v/>
      </c>
      <c r="N7">
        <f>IFERROR(MATCH((Settings!$C$6+1)*100+2,Lessons!$K$6:$K$505,0),"")</f>
        <v/>
      </c>
      <c r="O7">
        <f>IFERROR(MATCH((Settings!$C$6+2)*100+2,Lessons!$K$6:$K$505,0),"")</f>
        <v/>
      </c>
      <c r="P7">
        <f>IFERROR(MATCH((Settings!$C$6+3)*100+2,Lessons!$K$6:$K$505,0),"")</f>
        <v/>
      </c>
      <c r="Q7">
        <f>IFERROR(MATCH((Settings!$C$6+4)*100+2,Lessons!$K$6:$K$505,0),"")</f>
        <v/>
      </c>
      <c r="R7">
        <f>IF(AND(NOT(ISNUMBER(M7)),IF(INDEX(Timetable!$E$6:$I$15,2,1)="","",INDEX(Timetable!$E$6:$I$15,2,1))&lt;&gt;""),1,0)</f>
        <v/>
      </c>
      <c r="S7">
        <f>IF(AND(NOT(ISNUMBER(N7)),IF(INDEX(Timetable!$E$6:$I$15,2,2)="","",INDEX(Timetable!$E$6:$I$15,2,2))&lt;&gt;""),1,0)</f>
        <v/>
      </c>
      <c r="T7">
        <f>IF(AND(NOT(ISNUMBER(O7)),IF(INDEX(Timetable!$E$6:$I$15,2,3)="","",INDEX(Timetable!$E$6:$I$15,2,3))&lt;&gt;""),1,0)</f>
        <v/>
      </c>
      <c r="U7">
        <f>IF(AND(NOT(ISNUMBER(P7)),IF(INDEX(Timetable!$E$6:$I$15,2,4)="","",INDEX(Timetable!$E$6:$I$15,2,4))&lt;&gt;""),1,0)</f>
        <v/>
      </c>
      <c r="V7">
        <f>IF(AND(NOT(ISNUMBER(Q7)),IF(INDEX(Timetable!$E$6:$I$15,2,5)="","",INDEX(Timetable!$E$6:$I$15,2,5))&lt;&gt;""),1,0)</f>
        <v/>
      </c>
    </row>
    <row r="8" ht="36" customHeight="1">
      <c r="A8" s="1" t="n"/>
      <c r="B8" s="22" t="n">
        <v>3</v>
      </c>
      <c r="C8" s="12">
        <f>IF(ISNUMBER(Timetable!C8),HOUR(Timetable!C8)&amp;":"&amp;RIGHT("0"&amp;MINUTE(Timetable!C8),2),"")</f>
        <v/>
      </c>
      <c r="D8" s="23">
        <f>IF(IF(ISNUMBER(M8),INDEX(Lessons!$I$6:$I$505,M8),IF(INDEX(Timetable!$E$6:$I$15,3,1)="","",INDEX(Timetable!$E$6:$I$15,3,1)))="","",IF(ISNUMBER(M8),INDEX(Lessons!$I$6:$I$505,M8),IF(INDEX(Timetable!$E$6:$I$15,3,1)="","",INDEX(Timetable!$E$6:$I$15,3,1)))&amp;IF(IF(ISNUMBER(M8),INDEX(Lessons!$E$6:$E$505,M8),"")="","",CHAR(10)&amp;IF(ISNUMBER(M8),INDEX(Lessons!$E$6:$E$505,M8),"")))</f>
        <v/>
      </c>
      <c r="E8" s="23">
        <f>IF(IF(ISNUMBER(N8),INDEX(Lessons!$I$6:$I$505,N8),IF(INDEX(Timetable!$E$6:$I$15,3,2)="","",INDEX(Timetable!$E$6:$I$15,3,2)))="","",IF(ISNUMBER(N8),INDEX(Lessons!$I$6:$I$505,N8),IF(INDEX(Timetable!$E$6:$I$15,3,2)="","",INDEX(Timetable!$E$6:$I$15,3,2)))&amp;IF(IF(ISNUMBER(N8),INDEX(Lessons!$E$6:$E$505,N8),"")="","",CHAR(10)&amp;IF(ISNUMBER(N8),INDEX(Lessons!$E$6:$E$505,N8),"")))</f>
        <v/>
      </c>
      <c r="F8" s="23">
        <f>IF(IF(ISNUMBER(O8),INDEX(Lessons!$I$6:$I$505,O8),IF(INDEX(Timetable!$E$6:$I$15,3,3)="","",INDEX(Timetable!$E$6:$I$15,3,3)))="","",IF(ISNUMBER(O8),INDEX(Lessons!$I$6:$I$505,O8),IF(INDEX(Timetable!$E$6:$I$15,3,3)="","",INDEX(Timetable!$E$6:$I$15,3,3)))&amp;IF(IF(ISNUMBER(O8),INDEX(Lessons!$E$6:$E$505,O8),"")="","",CHAR(10)&amp;IF(ISNUMBER(O8),INDEX(Lessons!$E$6:$E$505,O8),"")))</f>
        <v/>
      </c>
      <c r="G8" s="23">
        <f>IF(IF(ISNUMBER(P8),INDEX(Lessons!$I$6:$I$505,P8),IF(INDEX(Timetable!$E$6:$I$15,3,4)="","",INDEX(Timetable!$E$6:$I$15,3,4)))="","",IF(ISNUMBER(P8),INDEX(Lessons!$I$6:$I$505,P8),IF(INDEX(Timetable!$E$6:$I$15,3,4)="","",INDEX(Timetable!$E$6:$I$15,3,4)))&amp;IF(IF(ISNUMBER(P8),INDEX(Lessons!$E$6:$E$505,P8),"")="","",CHAR(10)&amp;IF(ISNUMBER(P8),INDEX(Lessons!$E$6:$E$505,P8),"")))</f>
        <v/>
      </c>
      <c r="H8" s="23">
        <f>IF(IF(ISNUMBER(Q8),INDEX(Lessons!$I$6:$I$505,Q8),IF(INDEX(Timetable!$E$6:$I$15,3,5)="","",INDEX(Timetable!$E$6:$I$15,3,5)))="","",IF(ISNUMBER(Q8),INDEX(Lessons!$I$6:$I$505,Q8),IF(INDEX(Timetable!$E$6:$I$15,3,5)="","",INDEX(Timetable!$E$6:$I$15,3,5)))&amp;IF(IF(ISNUMBER(Q8),INDEX(Lessons!$E$6:$E$505,Q8),"")="","",CHAR(10)&amp;IF(ISNUMBER(Q8),INDEX(Lessons!$E$6:$E$505,Q8),"")))</f>
        <v/>
      </c>
      <c r="I8" s="1" t="n"/>
      <c r="M8">
        <f>IFERROR(MATCH((Settings!$C$6+0)*100+3,Lessons!$K$6:$K$505,0),"")</f>
        <v/>
      </c>
      <c r="N8">
        <f>IFERROR(MATCH((Settings!$C$6+1)*100+3,Lessons!$K$6:$K$505,0),"")</f>
        <v/>
      </c>
      <c r="O8">
        <f>IFERROR(MATCH((Settings!$C$6+2)*100+3,Lessons!$K$6:$K$505,0),"")</f>
        <v/>
      </c>
      <c r="P8">
        <f>IFERROR(MATCH((Settings!$C$6+3)*100+3,Lessons!$K$6:$K$505,0),"")</f>
        <v/>
      </c>
      <c r="Q8">
        <f>IFERROR(MATCH((Settings!$C$6+4)*100+3,Lessons!$K$6:$K$505,0),"")</f>
        <v/>
      </c>
      <c r="R8">
        <f>IF(AND(NOT(ISNUMBER(M8)),IF(INDEX(Timetable!$E$6:$I$15,3,1)="","",INDEX(Timetable!$E$6:$I$15,3,1))&lt;&gt;""),1,0)</f>
        <v/>
      </c>
      <c r="S8">
        <f>IF(AND(NOT(ISNUMBER(N8)),IF(INDEX(Timetable!$E$6:$I$15,3,2)="","",INDEX(Timetable!$E$6:$I$15,3,2))&lt;&gt;""),1,0)</f>
        <v/>
      </c>
      <c r="T8">
        <f>IF(AND(NOT(ISNUMBER(O8)),IF(INDEX(Timetable!$E$6:$I$15,3,3)="","",INDEX(Timetable!$E$6:$I$15,3,3))&lt;&gt;""),1,0)</f>
        <v/>
      </c>
      <c r="U8">
        <f>IF(AND(NOT(ISNUMBER(P8)),IF(INDEX(Timetable!$E$6:$I$15,3,4)="","",INDEX(Timetable!$E$6:$I$15,3,4))&lt;&gt;""),1,0)</f>
        <v/>
      </c>
      <c r="V8">
        <f>IF(AND(NOT(ISNUMBER(Q8)),IF(INDEX(Timetable!$E$6:$I$15,3,5)="","",INDEX(Timetable!$E$6:$I$15,3,5))&lt;&gt;""),1,0)</f>
        <v/>
      </c>
    </row>
    <row r="9" ht="36" customHeight="1">
      <c r="A9" s="1" t="n"/>
      <c r="B9" s="22" t="n">
        <v>4</v>
      </c>
      <c r="C9" s="12">
        <f>IF(ISNUMBER(Timetable!C9),HOUR(Timetable!C9)&amp;":"&amp;RIGHT("0"&amp;MINUTE(Timetable!C9),2),"")</f>
        <v/>
      </c>
      <c r="D9" s="23">
        <f>IF(IF(ISNUMBER(M9),INDEX(Lessons!$I$6:$I$505,M9),IF(INDEX(Timetable!$E$6:$I$15,4,1)="","",INDEX(Timetable!$E$6:$I$15,4,1)))="","",IF(ISNUMBER(M9),INDEX(Lessons!$I$6:$I$505,M9),IF(INDEX(Timetable!$E$6:$I$15,4,1)="","",INDEX(Timetable!$E$6:$I$15,4,1)))&amp;IF(IF(ISNUMBER(M9),INDEX(Lessons!$E$6:$E$505,M9),"")="","",CHAR(10)&amp;IF(ISNUMBER(M9),INDEX(Lessons!$E$6:$E$505,M9),"")))</f>
        <v/>
      </c>
      <c r="E9" s="23">
        <f>IF(IF(ISNUMBER(N9),INDEX(Lessons!$I$6:$I$505,N9),IF(INDEX(Timetable!$E$6:$I$15,4,2)="","",INDEX(Timetable!$E$6:$I$15,4,2)))="","",IF(ISNUMBER(N9),INDEX(Lessons!$I$6:$I$505,N9),IF(INDEX(Timetable!$E$6:$I$15,4,2)="","",INDEX(Timetable!$E$6:$I$15,4,2)))&amp;IF(IF(ISNUMBER(N9),INDEX(Lessons!$E$6:$E$505,N9),"")="","",CHAR(10)&amp;IF(ISNUMBER(N9),INDEX(Lessons!$E$6:$E$505,N9),"")))</f>
        <v/>
      </c>
      <c r="F9" s="23">
        <f>IF(IF(ISNUMBER(O9),INDEX(Lessons!$I$6:$I$505,O9),IF(INDEX(Timetable!$E$6:$I$15,4,3)="","",INDEX(Timetable!$E$6:$I$15,4,3)))="","",IF(ISNUMBER(O9),INDEX(Lessons!$I$6:$I$505,O9),IF(INDEX(Timetable!$E$6:$I$15,4,3)="","",INDEX(Timetable!$E$6:$I$15,4,3)))&amp;IF(IF(ISNUMBER(O9),INDEX(Lessons!$E$6:$E$505,O9),"")="","",CHAR(10)&amp;IF(ISNUMBER(O9),INDEX(Lessons!$E$6:$E$505,O9),"")))</f>
        <v/>
      </c>
      <c r="G9" s="23">
        <f>IF(IF(ISNUMBER(P9),INDEX(Lessons!$I$6:$I$505,P9),IF(INDEX(Timetable!$E$6:$I$15,4,4)="","",INDEX(Timetable!$E$6:$I$15,4,4)))="","",IF(ISNUMBER(P9),INDEX(Lessons!$I$6:$I$505,P9),IF(INDEX(Timetable!$E$6:$I$15,4,4)="","",INDEX(Timetable!$E$6:$I$15,4,4)))&amp;IF(IF(ISNUMBER(P9),INDEX(Lessons!$E$6:$E$505,P9),"")="","",CHAR(10)&amp;IF(ISNUMBER(P9),INDEX(Lessons!$E$6:$E$505,P9),"")))</f>
        <v/>
      </c>
      <c r="H9" s="23">
        <f>IF(IF(ISNUMBER(Q9),INDEX(Lessons!$I$6:$I$505,Q9),IF(INDEX(Timetable!$E$6:$I$15,4,5)="","",INDEX(Timetable!$E$6:$I$15,4,5)))="","",IF(ISNUMBER(Q9),INDEX(Lessons!$I$6:$I$505,Q9),IF(INDEX(Timetable!$E$6:$I$15,4,5)="","",INDEX(Timetable!$E$6:$I$15,4,5)))&amp;IF(IF(ISNUMBER(Q9),INDEX(Lessons!$E$6:$E$505,Q9),"")="","",CHAR(10)&amp;IF(ISNUMBER(Q9),INDEX(Lessons!$E$6:$E$505,Q9),"")))</f>
        <v/>
      </c>
      <c r="I9" s="1" t="n"/>
      <c r="M9">
        <f>IFERROR(MATCH((Settings!$C$6+0)*100+4,Lessons!$K$6:$K$505,0),"")</f>
        <v/>
      </c>
      <c r="N9">
        <f>IFERROR(MATCH((Settings!$C$6+1)*100+4,Lessons!$K$6:$K$505,0),"")</f>
        <v/>
      </c>
      <c r="O9">
        <f>IFERROR(MATCH((Settings!$C$6+2)*100+4,Lessons!$K$6:$K$505,0),"")</f>
        <v/>
      </c>
      <c r="P9">
        <f>IFERROR(MATCH((Settings!$C$6+3)*100+4,Lessons!$K$6:$K$505,0),"")</f>
        <v/>
      </c>
      <c r="Q9">
        <f>IFERROR(MATCH((Settings!$C$6+4)*100+4,Lessons!$K$6:$K$505,0),"")</f>
        <v/>
      </c>
      <c r="R9">
        <f>IF(AND(NOT(ISNUMBER(M9)),IF(INDEX(Timetable!$E$6:$I$15,4,1)="","",INDEX(Timetable!$E$6:$I$15,4,1))&lt;&gt;""),1,0)</f>
        <v/>
      </c>
      <c r="S9">
        <f>IF(AND(NOT(ISNUMBER(N9)),IF(INDEX(Timetable!$E$6:$I$15,4,2)="","",INDEX(Timetable!$E$6:$I$15,4,2))&lt;&gt;""),1,0)</f>
        <v/>
      </c>
      <c r="T9">
        <f>IF(AND(NOT(ISNUMBER(O9)),IF(INDEX(Timetable!$E$6:$I$15,4,3)="","",INDEX(Timetable!$E$6:$I$15,4,3))&lt;&gt;""),1,0)</f>
        <v/>
      </c>
      <c r="U9">
        <f>IF(AND(NOT(ISNUMBER(P9)),IF(INDEX(Timetable!$E$6:$I$15,4,4)="","",INDEX(Timetable!$E$6:$I$15,4,4))&lt;&gt;""),1,0)</f>
        <v/>
      </c>
      <c r="V9">
        <f>IF(AND(NOT(ISNUMBER(Q9)),IF(INDEX(Timetable!$E$6:$I$15,4,5)="","",INDEX(Timetable!$E$6:$I$15,4,5))&lt;&gt;""),1,0)</f>
        <v/>
      </c>
    </row>
    <row r="10" ht="36" customHeight="1">
      <c r="A10" s="1" t="n"/>
      <c r="B10" s="22" t="n">
        <v>5</v>
      </c>
      <c r="C10" s="12">
        <f>IF(ISNUMBER(Timetable!C10),HOUR(Timetable!C10)&amp;":"&amp;RIGHT("0"&amp;MINUTE(Timetable!C10),2),"")</f>
        <v/>
      </c>
      <c r="D10" s="23">
        <f>IF(IF(ISNUMBER(M10),INDEX(Lessons!$I$6:$I$505,M10),IF(INDEX(Timetable!$E$6:$I$15,5,1)="","",INDEX(Timetable!$E$6:$I$15,5,1)))="","",IF(ISNUMBER(M10),INDEX(Lessons!$I$6:$I$505,M10),IF(INDEX(Timetable!$E$6:$I$15,5,1)="","",INDEX(Timetable!$E$6:$I$15,5,1)))&amp;IF(IF(ISNUMBER(M10),INDEX(Lessons!$E$6:$E$505,M10),"")="","",CHAR(10)&amp;IF(ISNUMBER(M10),INDEX(Lessons!$E$6:$E$505,M10),"")))</f>
        <v/>
      </c>
      <c r="E10" s="23">
        <f>IF(IF(ISNUMBER(N10),INDEX(Lessons!$I$6:$I$505,N10),IF(INDEX(Timetable!$E$6:$I$15,5,2)="","",INDEX(Timetable!$E$6:$I$15,5,2)))="","",IF(ISNUMBER(N10),INDEX(Lessons!$I$6:$I$505,N10),IF(INDEX(Timetable!$E$6:$I$15,5,2)="","",INDEX(Timetable!$E$6:$I$15,5,2)))&amp;IF(IF(ISNUMBER(N10),INDEX(Lessons!$E$6:$E$505,N10),"")="","",CHAR(10)&amp;IF(ISNUMBER(N10),INDEX(Lessons!$E$6:$E$505,N10),"")))</f>
        <v/>
      </c>
      <c r="F10" s="23">
        <f>IF(IF(ISNUMBER(O10),INDEX(Lessons!$I$6:$I$505,O10),IF(INDEX(Timetable!$E$6:$I$15,5,3)="","",INDEX(Timetable!$E$6:$I$15,5,3)))="","",IF(ISNUMBER(O10),INDEX(Lessons!$I$6:$I$505,O10),IF(INDEX(Timetable!$E$6:$I$15,5,3)="","",INDEX(Timetable!$E$6:$I$15,5,3)))&amp;IF(IF(ISNUMBER(O10),INDEX(Lessons!$E$6:$E$505,O10),"")="","",CHAR(10)&amp;IF(ISNUMBER(O10),INDEX(Lessons!$E$6:$E$505,O10),"")))</f>
        <v/>
      </c>
      <c r="G10" s="23">
        <f>IF(IF(ISNUMBER(P10),INDEX(Lessons!$I$6:$I$505,P10),IF(INDEX(Timetable!$E$6:$I$15,5,4)="","",INDEX(Timetable!$E$6:$I$15,5,4)))="","",IF(ISNUMBER(P10),INDEX(Lessons!$I$6:$I$505,P10),IF(INDEX(Timetable!$E$6:$I$15,5,4)="","",INDEX(Timetable!$E$6:$I$15,5,4)))&amp;IF(IF(ISNUMBER(P10),INDEX(Lessons!$E$6:$E$505,P10),"")="","",CHAR(10)&amp;IF(ISNUMBER(P10),INDEX(Lessons!$E$6:$E$505,P10),"")))</f>
        <v/>
      </c>
      <c r="H10" s="23">
        <f>IF(IF(ISNUMBER(Q10),INDEX(Lessons!$I$6:$I$505,Q10),IF(INDEX(Timetable!$E$6:$I$15,5,5)="","",INDEX(Timetable!$E$6:$I$15,5,5)))="","",IF(ISNUMBER(Q10),INDEX(Lessons!$I$6:$I$505,Q10),IF(INDEX(Timetable!$E$6:$I$15,5,5)="","",INDEX(Timetable!$E$6:$I$15,5,5)))&amp;IF(IF(ISNUMBER(Q10),INDEX(Lessons!$E$6:$E$505,Q10),"")="","",CHAR(10)&amp;IF(ISNUMBER(Q10),INDEX(Lessons!$E$6:$E$505,Q10),"")))</f>
        <v/>
      </c>
      <c r="I10" s="1" t="n"/>
      <c r="M10">
        <f>IFERROR(MATCH((Settings!$C$6+0)*100+5,Lessons!$K$6:$K$505,0),"")</f>
        <v/>
      </c>
      <c r="N10">
        <f>IFERROR(MATCH((Settings!$C$6+1)*100+5,Lessons!$K$6:$K$505,0),"")</f>
        <v/>
      </c>
      <c r="O10">
        <f>IFERROR(MATCH((Settings!$C$6+2)*100+5,Lessons!$K$6:$K$505,0),"")</f>
        <v/>
      </c>
      <c r="P10">
        <f>IFERROR(MATCH((Settings!$C$6+3)*100+5,Lessons!$K$6:$K$505,0),"")</f>
        <v/>
      </c>
      <c r="Q10">
        <f>IFERROR(MATCH((Settings!$C$6+4)*100+5,Lessons!$K$6:$K$505,0),"")</f>
        <v/>
      </c>
      <c r="R10">
        <f>IF(AND(NOT(ISNUMBER(M10)),IF(INDEX(Timetable!$E$6:$I$15,5,1)="","",INDEX(Timetable!$E$6:$I$15,5,1))&lt;&gt;""),1,0)</f>
        <v/>
      </c>
      <c r="S10">
        <f>IF(AND(NOT(ISNUMBER(N10)),IF(INDEX(Timetable!$E$6:$I$15,5,2)="","",INDEX(Timetable!$E$6:$I$15,5,2))&lt;&gt;""),1,0)</f>
        <v/>
      </c>
      <c r="T10">
        <f>IF(AND(NOT(ISNUMBER(O10)),IF(INDEX(Timetable!$E$6:$I$15,5,3)="","",INDEX(Timetable!$E$6:$I$15,5,3))&lt;&gt;""),1,0)</f>
        <v/>
      </c>
      <c r="U10">
        <f>IF(AND(NOT(ISNUMBER(P10)),IF(INDEX(Timetable!$E$6:$I$15,5,4)="","",INDEX(Timetable!$E$6:$I$15,5,4))&lt;&gt;""),1,0)</f>
        <v/>
      </c>
      <c r="V10">
        <f>IF(AND(NOT(ISNUMBER(Q10)),IF(INDEX(Timetable!$E$6:$I$15,5,5)="","",INDEX(Timetable!$E$6:$I$15,5,5))&lt;&gt;""),1,0)</f>
        <v/>
      </c>
    </row>
    <row r="11" ht="36" customHeight="1">
      <c r="A11" s="1" t="n"/>
      <c r="B11" s="22" t="n">
        <v>6</v>
      </c>
      <c r="C11" s="12">
        <f>IF(ISNUMBER(Timetable!C11),HOUR(Timetable!C11)&amp;":"&amp;RIGHT("0"&amp;MINUTE(Timetable!C11),2),"")</f>
        <v/>
      </c>
      <c r="D11" s="23">
        <f>IF(IF(ISNUMBER(M11),INDEX(Lessons!$I$6:$I$505,M11),IF(INDEX(Timetable!$E$6:$I$15,6,1)="","",INDEX(Timetable!$E$6:$I$15,6,1)))="","",IF(ISNUMBER(M11),INDEX(Lessons!$I$6:$I$505,M11),IF(INDEX(Timetable!$E$6:$I$15,6,1)="","",INDEX(Timetable!$E$6:$I$15,6,1)))&amp;IF(IF(ISNUMBER(M11),INDEX(Lessons!$E$6:$E$505,M11),"")="","",CHAR(10)&amp;IF(ISNUMBER(M11),INDEX(Lessons!$E$6:$E$505,M11),"")))</f>
        <v/>
      </c>
      <c r="E11" s="23">
        <f>IF(IF(ISNUMBER(N11),INDEX(Lessons!$I$6:$I$505,N11),IF(INDEX(Timetable!$E$6:$I$15,6,2)="","",INDEX(Timetable!$E$6:$I$15,6,2)))="","",IF(ISNUMBER(N11),INDEX(Lessons!$I$6:$I$505,N11),IF(INDEX(Timetable!$E$6:$I$15,6,2)="","",INDEX(Timetable!$E$6:$I$15,6,2)))&amp;IF(IF(ISNUMBER(N11),INDEX(Lessons!$E$6:$E$505,N11),"")="","",CHAR(10)&amp;IF(ISNUMBER(N11),INDEX(Lessons!$E$6:$E$505,N11),"")))</f>
        <v/>
      </c>
      <c r="F11" s="23">
        <f>IF(IF(ISNUMBER(O11),INDEX(Lessons!$I$6:$I$505,O11),IF(INDEX(Timetable!$E$6:$I$15,6,3)="","",INDEX(Timetable!$E$6:$I$15,6,3)))="","",IF(ISNUMBER(O11),INDEX(Lessons!$I$6:$I$505,O11),IF(INDEX(Timetable!$E$6:$I$15,6,3)="","",INDEX(Timetable!$E$6:$I$15,6,3)))&amp;IF(IF(ISNUMBER(O11),INDEX(Lessons!$E$6:$E$505,O11),"")="","",CHAR(10)&amp;IF(ISNUMBER(O11),INDEX(Lessons!$E$6:$E$505,O11),"")))</f>
        <v/>
      </c>
      <c r="G11" s="23">
        <f>IF(IF(ISNUMBER(P11),INDEX(Lessons!$I$6:$I$505,P11),IF(INDEX(Timetable!$E$6:$I$15,6,4)="","",INDEX(Timetable!$E$6:$I$15,6,4)))="","",IF(ISNUMBER(P11),INDEX(Lessons!$I$6:$I$505,P11),IF(INDEX(Timetable!$E$6:$I$15,6,4)="","",INDEX(Timetable!$E$6:$I$15,6,4)))&amp;IF(IF(ISNUMBER(P11),INDEX(Lessons!$E$6:$E$505,P11),"")="","",CHAR(10)&amp;IF(ISNUMBER(P11),INDEX(Lessons!$E$6:$E$505,P11),"")))</f>
        <v/>
      </c>
      <c r="H11" s="23">
        <f>IF(IF(ISNUMBER(Q11),INDEX(Lessons!$I$6:$I$505,Q11),IF(INDEX(Timetable!$E$6:$I$15,6,5)="","",INDEX(Timetable!$E$6:$I$15,6,5)))="","",IF(ISNUMBER(Q11),INDEX(Lessons!$I$6:$I$505,Q11),IF(INDEX(Timetable!$E$6:$I$15,6,5)="","",INDEX(Timetable!$E$6:$I$15,6,5)))&amp;IF(IF(ISNUMBER(Q11),INDEX(Lessons!$E$6:$E$505,Q11),"")="","",CHAR(10)&amp;IF(ISNUMBER(Q11),INDEX(Lessons!$E$6:$E$505,Q11),"")))</f>
        <v/>
      </c>
      <c r="I11" s="1" t="n"/>
      <c r="M11">
        <f>IFERROR(MATCH((Settings!$C$6+0)*100+6,Lessons!$K$6:$K$505,0),"")</f>
        <v/>
      </c>
      <c r="N11">
        <f>IFERROR(MATCH((Settings!$C$6+1)*100+6,Lessons!$K$6:$K$505,0),"")</f>
        <v/>
      </c>
      <c r="O11">
        <f>IFERROR(MATCH((Settings!$C$6+2)*100+6,Lessons!$K$6:$K$505,0),"")</f>
        <v/>
      </c>
      <c r="P11">
        <f>IFERROR(MATCH((Settings!$C$6+3)*100+6,Lessons!$K$6:$K$505,0),"")</f>
        <v/>
      </c>
      <c r="Q11">
        <f>IFERROR(MATCH((Settings!$C$6+4)*100+6,Lessons!$K$6:$K$505,0),"")</f>
        <v/>
      </c>
      <c r="R11">
        <f>IF(AND(NOT(ISNUMBER(M11)),IF(INDEX(Timetable!$E$6:$I$15,6,1)="","",INDEX(Timetable!$E$6:$I$15,6,1))&lt;&gt;""),1,0)</f>
        <v/>
      </c>
      <c r="S11">
        <f>IF(AND(NOT(ISNUMBER(N11)),IF(INDEX(Timetable!$E$6:$I$15,6,2)="","",INDEX(Timetable!$E$6:$I$15,6,2))&lt;&gt;""),1,0)</f>
        <v/>
      </c>
      <c r="T11">
        <f>IF(AND(NOT(ISNUMBER(O11)),IF(INDEX(Timetable!$E$6:$I$15,6,3)="","",INDEX(Timetable!$E$6:$I$15,6,3))&lt;&gt;""),1,0)</f>
        <v/>
      </c>
      <c r="U11">
        <f>IF(AND(NOT(ISNUMBER(P11)),IF(INDEX(Timetable!$E$6:$I$15,6,4)="","",INDEX(Timetable!$E$6:$I$15,6,4))&lt;&gt;""),1,0)</f>
        <v/>
      </c>
      <c r="V11">
        <f>IF(AND(NOT(ISNUMBER(Q11)),IF(INDEX(Timetable!$E$6:$I$15,6,5)="","",INDEX(Timetable!$E$6:$I$15,6,5))&lt;&gt;""),1,0)</f>
        <v/>
      </c>
    </row>
    <row r="12" ht="36" customHeight="1">
      <c r="A12" s="1" t="n"/>
      <c r="B12" s="22" t="n">
        <v>7</v>
      </c>
      <c r="C12" s="12">
        <f>IF(ISNUMBER(Timetable!C12),HOUR(Timetable!C12)&amp;":"&amp;RIGHT("0"&amp;MINUTE(Timetable!C12),2),"")</f>
        <v/>
      </c>
      <c r="D12" s="23">
        <f>IF(IF(ISNUMBER(M12),INDEX(Lessons!$I$6:$I$505,M12),IF(INDEX(Timetable!$E$6:$I$15,7,1)="","",INDEX(Timetable!$E$6:$I$15,7,1)))="","",IF(ISNUMBER(M12),INDEX(Lessons!$I$6:$I$505,M12),IF(INDEX(Timetable!$E$6:$I$15,7,1)="","",INDEX(Timetable!$E$6:$I$15,7,1)))&amp;IF(IF(ISNUMBER(M12),INDEX(Lessons!$E$6:$E$505,M12),"")="","",CHAR(10)&amp;IF(ISNUMBER(M12),INDEX(Lessons!$E$6:$E$505,M12),"")))</f>
        <v/>
      </c>
      <c r="E12" s="23">
        <f>IF(IF(ISNUMBER(N12),INDEX(Lessons!$I$6:$I$505,N12),IF(INDEX(Timetable!$E$6:$I$15,7,2)="","",INDEX(Timetable!$E$6:$I$15,7,2)))="","",IF(ISNUMBER(N12),INDEX(Lessons!$I$6:$I$505,N12),IF(INDEX(Timetable!$E$6:$I$15,7,2)="","",INDEX(Timetable!$E$6:$I$15,7,2)))&amp;IF(IF(ISNUMBER(N12),INDEX(Lessons!$E$6:$E$505,N12),"")="","",CHAR(10)&amp;IF(ISNUMBER(N12),INDEX(Lessons!$E$6:$E$505,N12),"")))</f>
        <v/>
      </c>
      <c r="F12" s="23">
        <f>IF(IF(ISNUMBER(O12),INDEX(Lessons!$I$6:$I$505,O12),IF(INDEX(Timetable!$E$6:$I$15,7,3)="","",INDEX(Timetable!$E$6:$I$15,7,3)))="","",IF(ISNUMBER(O12),INDEX(Lessons!$I$6:$I$505,O12),IF(INDEX(Timetable!$E$6:$I$15,7,3)="","",INDEX(Timetable!$E$6:$I$15,7,3)))&amp;IF(IF(ISNUMBER(O12),INDEX(Lessons!$E$6:$E$505,O12),"")="","",CHAR(10)&amp;IF(ISNUMBER(O12),INDEX(Lessons!$E$6:$E$505,O12),"")))</f>
        <v/>
      </c>
      <c r="G12" s="23">
        <f>IF(IF(ISNUMBER(P12),INDEX(Lessons!$I$6:$I$505,P12),IF(INDEX(Timetable!$E$6:$I$15,7,4)="","",INDEX(Timetable!$E$6:$I$15,7,4)))="","",IF(ISNUMBER(P12),INDEX(Lessons!$I$6:$I$505,P12),IF(INDEX(Timetable!$E$6:$I$15,7,4)="","",INDEX(Timetable!$E$6:$I$15,7,4)))&amp;IF(IF(ISNUMBER(P12),INDEX(Lessons!$E$6:$E$505,P12),"")="","",CHAR(10)&amp;IF(ISNUMBER(P12),INDEX(Lessons!$E$6:$E$505,P12),"")))</f>
        <v/>
      </c>
      <c r="H12" s="23">
        <f>IF(IF(ISNUMBER(Q12),INDEX(Lessons!$I$6:$I$505,Q12),IF(INDEX(Timetable!$E$6:$I$15,7,5)="","",INDEX(Timetable!$E$6:$I$15,7,5)))="","",IF(ISNUMBER(Q12),INDEX(Lessons!$I$6:$I$505,Q12),IF(INDEX(Timetable!$E$6:$I$15,7,5)="","",INDEX(Timetable!$E$6:$I$15,7,5)))&amp;IF(IF(ISNUMBER(Q12),INDEX(Lessons!$E$6:$E$505,Q12),"")="","",CHAR(10)&amp;IF(ISNUMBER(Q12),INDEX(Lessons!$E$6:$E$505,Q12),"")))</f>
        <v/>
      </c>
      <c r="I12" s="1" t="n"/>
      <c r="M12">
        <f>IFERROR(MATCH((Settings!$C$6+0)*100+7,Lessons!$K$6:$K$505,0),"")</f>
        <v/>
      </c>
      <c r="N12">
        <f>IFERROR(MATCH((Settings!$C$6+1)*100+7,Lessons!$K$6:$K$505,0),"")</f>
        <v/>
      </c>
      <c r="O12">
        <f>IFERROR(MATCH((Settings!$C$6+2)*100+7,Lessons!$K$6:$K$505,0),"")</f>
        <v/>
      </c>
      <c r="P12">
        <f>IFERROR(MATCH((Settings!$C$6+3)*100+7,Lessons!$K$6:$K$505,0),"")</f>
        <v/>
      </c>
      <c r="Q12">
        <f>IFERROR(MATCH((Settings!$C$6+4)*100+7,Lessons!$K$6:$K$505,0),"")</f>
        <v/>
      </c>
      <c r="R12">
        <f>IF(AND(NOT(ISNUMBER(M12)),IF(INDEX(Timetable!$E$6:$I$15,7,1)="","",INDEX(Timetable!$E$6:$I$15,7,1))&lt;&gt;""),1,0)</f>
        <v/>
      </c>
      <c r="S12">
        <f>IF(AND(NOT(ISNUMBER(N12)),IF(INDEX(Timetable!$E$6:$I$15,7,2)="","",INDEX(Timetable!$E$6:$I$15,7,2))&lt;&gt;""),1,0)</f>
        <v/>
      </c>
      <c r="T12">
        <f>IF(AND(NOT(ISNUMBER(O12)),IF(INDEX(Timetable!$E$6:$I$15,7,3)="","",INDEX(Timetable!$E$6:$I$15,7,3))&lt;&gt;""),1,0)</f>
        <v/>
      </c>
      <c r="U12">
        <f>IF(AND(NOT(ISNUMBER(P12)),IF(INDEX(Timetable!$E$6:$I$15,7,4)="","",INDEX(Timetable!$E$6:$I$15,7,4))&lt;&gt;""),1,0)</f>
        <v/>
      </c>
      <c r="V12">
        <f>IF(AND(NOT(ISNUMBER(Q12)),IF(INDEX(Timetable!$E$6:$I$15,7,5)="","",INDEX(Timetable!$E$6:$I$15,7,5))&lt;&gt;""),1,0)</f>
        <v/>
      </c>
    </row>
    <row r="13" ht="36" customHeight="1">
      <c r="A13" s="1" t="n"/>
      <c r="B13" s="22" t="n">
        <v>8</v>
      </c>
      <c r="C13" s="12">
        <f>IF(ISNUMBER(Timetable!C13),HOUR(Timetable!C13)&amp;":"&amp;RIGHT("0"&amp;MINUTE(Timetable!C13),2),"")</f>
        <v/>
      </c>
      <c r="D13" s="23">
        <f>IF(IF(ISNUMBER(M13),INDEX(Lessons!$I$6:$I$505,M13),IF(INDEX(Timetable!$E$6:$I$15,8,1)="","",INDEX(Timetable!$E$6:$I$15,8,1)))="","",IF(ISNUMBER(M13),INDEX(Lessons!$I$6:$I$505,M13),IF(INDEX(Timetable!$E$6:$I$15,8,1)="","",INDEX(Timetable!$E$6:$I$15,8,1)))&amp;IF(IF(ISNUMBER(M13),INDEX(Lessons!$E$6:$E$505,M13),"")="","",CHAR(10)&amp;IF(ISNUMBER(M13),INDEX(Lessons!$E$6:$E$505,M13),"")))</f>
        <v/>
      </c>
      <c r="E13" s="23">
        <f>IF(IF(ISNUMBER(N13),INDEX(Lessons!$I$6:$I$505,N13),IF(INDEX(Timetable!$E$6:$I$15,8,2)="","",INDEX(Timetable!$E$6:$I$15,8,2)))="","",IF(ISNUMBER(N13),INDEX(Lessons!$I$6:$I$505,N13),IF(INDEX(Timetable!$E$6:$I$15,8,2)="","",INDEX(Timetable!$E$6:$I$15,8,2)))&amp;IF(IF(ISNUMBER(N13),INDEX(Lessons!$E$6:$E$505,N13),"")="","",CHAR(10)&amp;IF(ISNUMBER(N13),INDEX(Lessons!$E$6:$E$505,N13),"")))</f>
        <v/>
      </c>
      <c r="F13" s="23">
        <f>IF(IF(ISNUMBER(O13),INDEX(Lessons!$I$6:$I$505,O13),IF(INDEX(Timetable!$E$6:$I$15,8,3)="","",INDEX(Timetable!$E$6:$I$15,8,3)))="","",IF(ISNUMBER(O13),INDEX(Lessons!$I$6:$I$505,O13),IF(INDEX(Timetable!$E$6:$I$15,8,3)="","",INDEX(Timetable!$E$6:$I$15,8,3)))&amp;IF(IF(ISNUMBER(O13),INDEX(Lessons!$E$6:$E$505,O13),"")="","",CHAR(10)&amp;IF(ISNUMBER(O13),INDEX(Lessons!$E$6:$E$505,O13),"")))</f>
        <v/>
      </c>
      <c r="G13" s="23">
        <f>IF(IF(ISNUMBER(P13),INDEX(Lessons!$I$6:$I$505,P13),IF(INDEX(Timetable!$E$6:$I$15,8,4)="","",INDEX(Timetable!$E$6:$I$15,8,4)))="","",IF(ISNUMBER(P13),INDEX(Lessons!$I$6:$I$505,P13),IF(INDEX(Timetable!$E$6:$I$15,8,4)="","",INDEX(Timetable!$E$6:$I$15,8,4)))&amp;IF(IF(ISNUMBER(P13),INDEX(Lessons!$E$6:$E$505,P13),"")="","",CHAR(10)&amp;IF(ISNUMBER(P13),INDEX(Lessons!$E$6:$E$505,P13),"")))</f>
        <v/>
      </c>
      <c r="H13" s="23">
        <f>IF(IF(ISNUMBER(Q13),INDEX(Lessons!$I$6:$I$505,Q13),IF(INDEX(Timetable!$E$6:$I$15,8,5)="","",INDEX(Timetable!$E$6:$I$15,8,5)))="","",IF(ISNUMBER(Q13),INDEX(Lessons!$I$6:$I$505,Q13),IF(INDEX(Timetable!$E$6:$I$15,8,5)="","",INDEX(Timetable!$E$6:$I$15,8,5)))&amp;IF(IF(ISNUMBER(Q13),INDEX(Lessons!$E$6:$E$505,Q13),"")="","",CHAR(10)&amp;IF(ISNUMBER(Q13),INDEX(Lessons!$E$6:$E$505,Q13),"")))</f>
        <v/>
      </c>
      <c r="I13" s="1" t="n"/>
      <c r="M13">
        <f>IFERROR(MATCH((Settings!$C$6+0)*100+8,Lessons!$K$6:$K$505,0),"")</f>
        <v/>
      </c>
      <c r="N13">
        <f>IFERROR(MATCH((Settings!$C$6+1)*100+8,Lessons!$K$6:$K$505,0),"")</f>
        <v/>
      </c>
      <c r="O13">
        <f>IFERROR(MATCH((Settings!$C$6+2)*100+8,Lessons!$K$6:$K$505,0),"")</f>
        <v/>
      </c>
      <c r="P13">
        <f>IFERROR(MATCH((Settings!$C$6+3)*100+8,Lessons!$K$6:$K$505,0),"")</f>
        <v/>
      </c>
      <c r="Q13">
        <f>IFERROR(MATCH((Settings!$C$6+4)*100+8,Lessons!$K$6:$K$505,0),"")</f>
        <v/>
      </c>
      <c r="R13">
        <f>IF(AND(NOT(ISNUMBER(M13)),IF(INDEX(Timetable!$E$6:$I$15,8,1)="","",INDEX(Timetable!$E$6:$I$15,8,1))&lt;&gt;""),1,0)</f>
        <v/>
      </c>
      <c r="S13">
        <f>IF(AND(NOT(ISNUMBER(N13)),IF(INDEX(Timetable!$E$6:$I$15,8,2)="","",INDEX(Timetable!$E$6:$I$15,8,2))&lt;&gt;""),1,0)</f>
        <v/>
      </c>
      <c r="T13">
        <f>IF(AND(NOT(ISNUMBER(O13)),IF(INDEX(Timetable!$E$6:$I$15,8,3)="","",INDEX(Timetable!$E$6:$I$15,8,3))&lt;&gt;""),1,0)</f>
        <v/>
      </c>
      <c r="U13">
        <f>IF(AND(NOT(ISNUMBER(P13)),IF(INDEX(Timetable!$E$6:$I$15,8,4)="","",INDEX(Timetable!$E$6:$I$15,8,4))&lt;&gt;""),1,0)</f>
        <v/>
      </c>
      <c r="V13">
        <f>IF(AND(NOT(ISNUMBER(Q13)),IF(INDEX(Timetable!$E$6:$I$15,8,5)="","",INDEX(Timetable!$E$6:$I$15,8,5))&lt;&gt;""),1,0)</f>
        <v/>
      </c>
    </row>
    <row r="14" ht="36" customHeight="1">
      <c r="A14" s="1" t="n"/>
      <c r="B14" s="22" t="n">
        <v>9</v>
      </c>
      <c r="C14" s="12">
        <f>IF(ISNUMBER(Timetable!C14),HOUR(Timetable!C14)&amp;":"&amp;RIGHT("0"&amp;MINUTE(Timetable!C14),2),"")</f>
        <v/>
      </c>
      <c r="D14" s="23">
        <f>IF(IF(ISNUMBER(M14),INDEX(Lessons!$I$6:$I$505,M14),IF(INDEX(Timetable!$E$6:$I$15,9,1)="","",INDEX(Timetable!$E$6:$I$15,9,1)))="","",IF(ISNUMBER(M14),INDEX(Lessons!$I$6:$I$505,M14),IF(INDEX(Timetable!$E$6:$I$15,9,1)="","",INDEX(Timetable!$E$6:$I$15,9,1)))&amp;IF(IF(ISNUMBER(M14),INDEX(Lessons!$E$6:$E$505,M14),"")="","",CHAR(10)&amp;IF(ISNUMBER(M14),INDEX(Lessons!$E$6:$E$505,M14),"")))</f>
        <v/>
      </c>
      <c r="E14" s="23">
        <f>IF(IF(ISNUMBER(N14),INDEX(Lessons!$I$6:$I$505,N14),IF(INDEX(Timetable!$E$6:$I$15,9,2)="","",INDEX(Timetable!$E$6:$I$15,9,2)))="","",IF(ISNUMBER(N14),INDEX(Lessons!$I$6:$I$505,N14),IF(INDEX(Timetable!$E$6:$I$15,9,2)="","",INDEX(Timetable!$E$6:$I$15,9,2)))&amp;IF(IF(ISNUMBER(N14),INDEX(Lessons!$E$6:$E$505,N14),"")="","",CHAR(10)&amp;IF(ISNUMBER(N14),INDEX(Lessons!$E$6:$E$505,N14),"")))</f>
        <v/>
      </c>
      <c r="F14" s="23">
        <f>IF(IF(ISNUMBER(O14),INDEX(Lessons!$I$6:$I$505,O14),IF(INDEX(Timetable!$E$6:$I$15,9,3)="","",INDEX(Timetable!$E$6:$I$15,9,3)))="","",IF(ISNUMBER(O14),INDEX(Lessons!$I$6:$I$505,O14),IF(INDEX(Timetable!$E$6:$I$15,9,3)="","",INDEX(Timetable!$E$6:$I$15,9,3)))&amp;IF(IF(ISNUMBER(O14),INDEX(Lessons!$E$6:$E$505,O14),"")="","",CHAR(10)&amp;IF(ISNUMBER(O14),INDEX(Lessons!$E$6:$E$505,O14),"")))</f>
        <v/>
      </c>
      <c r="G14" s="23">
        <f>IF(IF(ISNUMBER(P14),INDEX(Lessons!$I$6:$I$505,P14),IF(INDEX(Timetable!$E$6:$I$15,9,4)="","",INDEX(Timetable!$E$6:$I$15,9,4)))="","",IF(ISNUMBER(P14),INDEX(Lessons!$I$6:$I$505,P14),IF(INDEX(Timetable!$E$6:$I$15,9,4)="","",INDEX(Timetable!$E$6:$I$15,9,4)))&amp;IF(IF(ISNUMBER(P14),INDEX(Lessons!$E$6:$E$505,P14),"")="","",CHAR(10)&amp;IF(ISNUMBER(P14),INDEX(Lessons!$E$6:$E$505,P14),"")))</f>
        <v/>
      </c>
      <c r="H14" s="23">
        <f>IF(IF(ISNUMBER(Q14),INDEX(Lessons!$I$6:$I$505,Q14),IF(INDEX(Timetable!$E$6:$I$15,9,5)="","",INDEX(Timetable!$E$6:$I$15,9,5)))="","",IF(ISNUMBER(Q14),INDEX(Lessons!$I$6:$I$505,Q14),IF(INDEX(Timetable!$E$6:$I$15,9,5)="","",INDEX(Timetable!$E$6:$I$15,9,5)))&amp;IF(IF(ISNUMBER(Q14),INDEX(Lessons!$E$6:$E$505,Q14),"")="","",CHAR(10)&amp;IF(ISNUMBER(Q14),INDEX(Lessons!$E$6:$E$505,Q14),"")))</f>
        <v/>
      </c>
      <c r="I14" s="1" t="n"/>
      <c r="M14">
        <f>IFERROR(MATCH((Settings!$C$6+0)*100+9,Lessons!$K$6:$K$505,0),"")</f>
        <v/>
      </c>
      <c r="N14">
        <f>IFERROR(MATCH((Settings!$C$6+1)*100+9,Lessons!$K$6:$K$505,0),"")</f>
        <v/>
      </c>
      <c r="O14">
        <f>IFERROR(MATCH((Settings!$C$6+2)*100+9,Lessons!$K$6:$K$505,0),"")</f>
        <v/>
      </c>
      <c r="P14">
        <f>IFERROR(MATCH((Settings!$C$6+3)*100+9,Lessons!$K$6:$K$505,0),"")</f>
        <v/>
      </c>
      <c r="Q14">
        <f>IFERROR(MATCH((Settings!$C$6+4)*100+9,Lessons!$K$6:$K$505,0),"")</f>
        <v/>
      </c>
      <c r="R14">
        <f>IF(AND(NOT(ISNUMBER(M14)),IF(INDEX(Timetable!$E$6:$I$15,9,1)="","",INDEX(Timetable!$E$6:$I$15,9,1))&lt;&gt;""),1,0)</f>
        <v/>
      </c>
      <c r="S14">
        <f>IF(AND(NOT(ISNUMBER(N14)),IF(INDEX(Timetable!$E$6:$I$15,9,2)="","",INDEX(Timetable!$E$6:$I$15,9,2))&lt;&gt;""),1,0)</f>
        <v/>
      </c>
      <c r="T14">
        <f>IF(AND(NOT(ISNUMBER(O14)),IF(INDEX(Timetable!$E$6:$I$15,9,3)="","",INDEX(Timetable!$E$6:$I$15,9,3))&lt;&gt;""),1,0)</f>
        <v/>
      </c>
      <c r="U14">
        <f>IF(AND(NOT(ISNUMBER(P14)),IF(INDEX(Timetable!$E$6:$I$15,9,4)="","",INDEX(Timetable!$E$6:$I$15,9,4))&lt;&gt;""),1,0)</f>
        <v/>
      </c>
      <c r="V14">
        <f>IF(AND(NOT(ISNUMBER(Q14)),IF(INDEX(Timetable!$E$6:$I$15,9,5)="","",INDEX(Timetable!$E$6:$I$15,9,5))&lt;&gt;""),1,0)</f>
        <v/>
      </c>
    </row>
    <row r="15" ht="36" customHeight="1">
      <c r="A15" s="1" t="n"/>
      <c r="B15" s="22" t="n">
        <v>10</v>
      </c>
      <c r="C15" s="12">
        <f>IF(ISNUMBER(Timetable!C15),HOUR(Timetable!C15)&amp;":"&amp;RIGHT("0"&amp;MINUTE(Timetable!C15),2),"")</f>
        <v/>
      </c>
      <c r="D15" s="23">
        <f>IF(IF(ISNUMBER(M15),INDEX(Lessons!$I$6:$I$505,M15),IF(INDEX(Timetable!$E$6:$I$15,10,1)="","",INDEX(Timetable!$E$6:$I$15,10,1)))="","",IF(ISNUMBER(M15),INDEX(Lessons!$I$6:$I$505,M15),IF(INDEX(Timetable!$E$6:$I$15,10,1)="","",INDEX(Timetable!$E$6:$I$15,10,1)))&amp;IF(IF(ISNUMBER(M15),INDEX(Lessons!$E$6:$E$505,M15),"")="","",CHAR(10)&amp;IF(ISNUMBER(M15),INDEX(Lessons!$E$6:$E$505,M15),"")))</f>
        <v/>
      </c>
      <c r="E15" s="23">
        <f>IF(IF(ISNUMBER(N15),INDEX(Lessons!$I$6:$I$505,N15),IF(INDEX(Timetable!$E$6:$I$15,10,2)="","",INDEX(Timetable!$E$6:$I$15,10,2)))="","",IF(ISNUMBER(N15),INDEX(Lessons!$I$6:$I$505,N15),IF(INDEX(Timetable!$E$6:$I$15,10,2)="","",INDEX(Timetable!$E$6:$I$15,10,2)))&amp;IF(IF(ISNUMBER(N15),INDEX(Lessons!$E$6:$E$505,N15),"")="","",CHAR(10)&amp;IF(ISNUMBER(N15),INDEX(Lessons!$E$6:$E$505,N15),"")))</f>
        <v/>
      </c>
      <c r="F15" s="23">
        <f>IF(IF(ISNUMBER(O15),INDEX(Lessons!$I$6:$I$505,O15),IF(INDEX(Timetable!$E$6:$I$15,10,3)="","",INDEX(Timetable!$E$6:$I$15,10,3)))="","",IF(ISNUMBER(O15),INDEX(Lessons!$I$6:$I$505,O15),IF(INDEX(Timetable!$E$6:$I$15,10,3)="","",INDEX(Timetable!$E$6:$I$15,10,3)))&amp;IF(IF(ISNUMBER(O15),INDEX(Lessons!$E$6:$E$505,O15),"")="","",CHAR(10)&amp;IF(ISNUMBER(O15),INDEX(Lessons!$E$6:$E$505,O15),"")))</f>
        <v/>
      </c>
      <c r="G15" s="23">
        <f>IF(IF(ISNUMBER(P15),INDEX(Lessons!$I$6:$I$505,P15),IF(INDEX(Timetable!$E$6:$I$15,10,4)="","",INDEX(Timetable!$E$6:$I$15,10,4)))="","",IF(ISNUMBER(P15),INDEX(Lessons!$I$6:$I$505,P15),IF(INDEX(Timetable!$E$6:$I$15,10,4)="","",INDEX(Timetable!$E$6:$I$15,10,4)))&amp;IF(IF(ISNUMBER(P15),INDEX(Lessons!$E$6:$E$505,P15),"")="","",CHAR(10)&amp;IF(ISNUMBER(P15),INDEX(Lessons!$E$6:$E$505,P15),"")))</f>
        <v/>
      </c>
      <c r="H15" s="23">
        <f>IF(IF(ISNUMBER(Q15),INDEX(Lessons!$I$6:$I$505,Q15),IF(INDEX(Timetable!$E$6:$I$15,10,5)="","",INDEX(Timetable!$E$6:$I$15,10,5)))="","",IF(ISNUMBER(Q15),INDEX(Lessons!$I$6:$I$505,Q15),IF(INDEX(Timetable!$E$6:$I$15,10,5)="","",INDEX(Timetable!$E$6:$I$15,10,5)))&amp;IF(IF(ISNUMBER(Q15),INDEX(Lessons!$E$6:$E$505,Q15),"")="","",CHAR(10)&amp;IF(ISNUMBER(Q15),INDEX(Lessons!$E$6:$E$505,Q15),"")))</f>
        <v/>
      </c>
      <c r="I15" s="1" t="n"/>
      <c r="M15">
        <f>IFERROR(MATCH((Settings!$C$6+0)*100+10,Lessons!$K$6:$K$505,0),"")</f>
        <v/>
      </c>
      <c r="N15">
        <f>IFERROR(MATCH((Settings!$C$6+1)*100+10,Lessons!$K$6:$K$505,0),"")</f>
        <v/>
      </c>
      <c r="O15">
        <f>IFERROR(MATCH((Settings!$C$6+2)*100+10,Lessons!$K$6:$K$505,0),"")</f>
        <v/>
      </c>
      <c r="P15">
        <f>IFERROR(MATCH((Settings!$C$6+3)*100+10,Lessons!$K$6:$K$505,0),"")</f>
        <v/>
      </c>
      <c r="Q15">
        <f>IFERROR(MATCH((Settings!$C$6+4)*100+10,Lessons!$K$6:$K$505,0),"")</f>
        <v/>
      </c>
      <c r="R15">
        <f>IF(AND(NOT(ISNUMBER(M15)),IF(INDEX(Timetable!$E$6:$I$15,10,1)="","",INDEX(Timetable!$E$6:$I$15,10,1))&lt;&gt;""),1,0)</f>
        <v/>
      </c>
      <c r="S15">
        <f>IF(AND(NOT(ISNUMBER(N15)),IF(INDEX(Timetable!$E$6:$I$15,10,2)="","",INDEX(Timetable!$E$6:$I$15,10,2))&lt;&gt;""),1,0)</f>
        <v/>
      </c>
      <c r="T15">
        <f>IF(AND(NOT(ISNUMBER(O15)),IF(INDEX(Timetable!$E$6:$I$15,10,3)="","",INDEX(Timetable!$E$6:$I$15,10,3))&lt;&gt;""),1,0)</f>
        <v/>
      </c>
      <c r="U15">
        <f>IF(AND(NOT(ISNUMBER(P15)),IF(INDEX(Timetable!$E$6:$I$15,10,4)="","",INDEX(Timetable!$E$6:$I$15,10,4))&lt;&gt;""),1,0)</f>
        <v/>
      </c>
      <c r="V15">
        <f>IF(AND(NOT(ISNUMBER(Q15)),IF(INDEX(Timetable!$E$6:$I$15,10,5)="","",INDEX(Timetable!$E$6:$I$15,10,5))&lt;&gt;""),1,0)</f>
        <v/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24" t="inlineStr">
        <is>
          <t>Homework set this week</t>
        </is>
      </c>
      <c r="C17" s="1" t="n"/>
      <c r="D17" s="1" t="n"/>
      <c r="E17" s="1" t="n"/>
      <c r="F17" s="1" t="n"/>
      <c r="G17" s="1" t="n"/>
      <c r="H17" s="1" t="n"/>
      <c r="I17" s="1" t="n"/>
    </row>
    <row r="18" ht="20" customHeight="1">
      <c r="A18" s="1" t="n"/>
      <c r="B18" s="10" t="inlineStr">
        <is>
          <t>Day</t>
        </is>
      </c>
      <c r="C18" s="5" t="n"/>
      <c r="D18" s="10" t="inlineStr">
        <is>
          <t>Class</t>
        </is>
      </c>
      <c r="E18" s="10" t="inlineStr">
        <is>
          <t>Homework</t>
        </is>
      </c>
      <c r="F18" s="25" t="n"/>
      <c r="G18" s="25" t="n"/>
      <c r="H18" s="5" t="n"/>
      <c r="I18" s="1" t="n"/>
    </row>
    <row r="19">
      <c r="A19" s="1" t="n"/>
      <c r="B19" s="12">
        <f>IF(W19="","",CHOOSE(WEEKDAY(INDEX(Lessons!$B$1:$B$505,MOD(W19,1000)),2),"Mon","Tue","Wed","Thu","Fri","Sat","Sun")&amp;" "&amp;DAY(INDEX(Lessons!$B$1:$B$505,MOD(W19,1000))))</f>
        <v/>
      </c>
      <c r="C19" s="5" t="n"/>
      <c r="D19" s="26">
        <f>IF(W19="","",INDEX(Lessons!$I$1:$I$505,MOD(W19,1000)))</f>
        <v/>
      </c>
      <c r="E19" s="27">
        <f>IF(W19="","",INDEX(Lessons!$G$1:$G$505,MOD(W19,1000)))</f>
        <v/>
      </c>
      <c r="F19" s="25" t="n"/>
      <c r="G19" s="25" t="n"/>
      <c r="H19" s="5" t="n"/>
      <c r="I19" s="1" t="n"/>
      <c r="W19">
        <f>IFERROR(SMALL(Lessons!$L$6:$L$505,1),"")</f>
        <v/>
      </c>
    </row>
    <row r="20">
      <c r="A20" s="1" t="n"/>
      <c r="B20" s="12">
        <f>IF(W20="","",CHOOSE(WEEKDAY(INDEX(Lessons!$B$1:$B$505,MOD(W20,1000)),2),"Mon","Tue","Wed","Thu","Fri","Sat","Sun")&amp;" "&amp;DAY(INDEX(Lessons!$B$1:$B$505,MOD(W20,1000))))</f>
        <v/>
      </c>
      <c r="C20" s="5" t="n"/>
      <c r="D20" s="26">
        <f>IF(W20="","",INDEX(Lessons!$I$1:$I$505,MOD(W20,1000)))</f>
        <v/>
      </c>
      <c r="E20" s="27">
        <f>IF(W20="","",INDEX(Lessons!$G$1:$G$505,MOD(W20,1000)))</f>
        <v/>
      </c>
      <c r="F20" s="25" t="n"/>
      <c r="G20" s="25" t="n"/>
      <c r="H20" s="5" t="n"/>
      <c r="I20" s="1" t="n"/>
      <c r="W20">
        <f>IFERROR(SMALL(Lessons!$L$6:$L$505,2),"")</f>
        <v/>
      </c>
    </row>
    <row r="21">
      <c r="A21" s="1" t="n"/>
      <c r="B21" s="12">
        <f>IF(W21="","",CHOOSE(WEEKDAY(INDEX(Lessons!$B$1:$B$505,MOD(W21,1000)),2),"Mon","Tue","Wed","Thu","Fri","Sat","Sun")&amp;" "&amp;DAY(INDEX(Lessons!$B$1:$B$505,MOD(W21,1000))))</f>
        <v/>
      </c>
      <c r="C21" s="5" t="n"/>
      <c r="D21" s="26">
        <f>IF(W21="","",INDEX(Lessons!$I$1:$I$505,MOD(W21,1000)))</f>
        <v/>
      </c>
      <c r="E21" s="27">
        <f>IF(W21="","",INDEX(Lessons!$G$1:$G$505,MOD(W21,1000)))</f>
        <v/>
      </c>
      <c r="F21" s="25" t="n"/>
      <c r="G21" s="25" t="n"/>
      <c r="H21" s="5" t="n"/>
      <c r="I21" s="1" t="n"/>
      <c r="W21">
        <f>IFERROR(SMALL(Lessons!$L$6:$L$505,3),"")</f>
        <v/>
      </c>
    </row>
    <row r="22">
      <c r="A22" s="1" t="n"/>
      <c r="B22" s="12">
        <f>IF(W22="","",CHOOSE(WEEKDAY(INDEX(Lessons!$B$1:$B$505,MOD(W22,1000)),2),"Mon","Tue","Wed","Thu","Fri","Sat","Sun")&amp;" "&amp;DAY(INDEX(Lessons!$B$1:$B$505,MOD(W22,1000))))</f>
        <v/>
      </c>
      <c r="C22" s="5" t="n"/>
      <c r="D22" s="26">
        <f>IF(W22="","",INDEX(Lessons!$I$1:$I$505,MOD(W22,1000)))</f>
        <v/>
      </c>
      <c r="E22" s="27">
        <f>IF(W22="","",INDEX(Lessons!$G$1:$G$505,MOD(W22,1000)))</f>
        <v/>
      </c>
      <c r="F22" s="25" t="n"/>
      <c r="G22" s="25" t="n"/>
      <c r="H22" s="5" t="n"/>
      <c r="I22" s="1" t="n"/>
      <c r="W22">
        <f>IFERROR(SMALL(Lessons!$L$6:$L$505,4),"")</f>
        <v/>
      </c>
    </row>
    <row r="23">
      <c r="A23" s="1" t="n"/>
      <c r="B23" s="12">
        <f>IF(W23="","",CHOOSE(WEEKDAY(INDEX(Lessons!$B$1:$B$505,MOD(W23,1000)),2),"Mon","Tue","Wed","Thu","Fri","Sat","Sun")&amp;" "&amp;DAY(INDEX(Lessons!$B$1:$B$505,MOD(W23,1000))))</f>
        <v/>
      </c>
      <c r="C23" s="5" t="n"/>
      <c r="D23" s="26">
        <f>IF(W23="","",INDEX(Lessons!$I$1:$I$505,MOD(W23,1000)))</f>
        <v/>
      </c>
      <c r="E23" s="27">
        <f>IF(W23="","",INDEX(Lessons!$G$1:$G$505,MOD(W23,1000)))</f>
        <v/>
      </c>
      <c r="F23" s="25" t="n"/>
      <c r="G23" s="25" t="n"/>
      <c r="H23" s="5" t="n"/>
      <c r="I23" s="1" t="n"/>
      <c r="W23">
        <f>IFERROR(SMALL(Lessons!$L$6:$L$505,5),"")</f>
        <v/>
      </c>
    </row>
    <row r="24">
      <c r="A24" s="1" t="n"/>
      <c r="B24" s="12">
        <f>IF(W24="","",CHOOSE(WEEKDAY(INDEX(Lessons!$B$1:$B$505,MOD(W24,1000)),2),"Mon","Tue","Wed","Thu","Fri","Sat","Sun")&amp;" "&amp;DAY(INDEX(Lessons!$B$1:$B$505,MOD(W24,1000))))</f>
        <v/>
      </c>
      <c r="C24" s="5" t="n"/>
      <c r="D24" s="26">
        <f>IF(W24="","",INDEX(Lessons!$I$1:$I$505,MOD(W24,1000)))</f>
        <v/>
      </c>
      <c r="E24" s="27">
        <f>IF(W24="","",INDEX(Lessons!$G$1:$G$505,MOD(W24,1000)))</f>
        <v/>
      </c>
      <c r="F24" s="25" t="n"/>
      <c r="G24" s="25" t="n"/>
      <c r="H24" s="5" t="n"/>
      <c r="I24" s="1" t="n"/>
      <c r="W24">
        <f>IFERROR(SMALL(Lessons!$L$6:$L$505,6),"")</f>
        <v/>
      </c>
    </row>
    <row r="25">
      <c r="A25" s="1" t="n"/>
      <c r="B25" s="12">
        <f>IF(W25="","",CHOOSE(WEEKDAY(INDEX(Lessons!$B$1:$B$505,MOD(W25,1000)),2),"Mon","Tue","Wed","Thu","Fri","Sat","Sun")&amp;" "&amp;DAY(INDEX(Lessons!$B$1:$B$505,MOD(W25,1000))))</f>
        <v/>
      </c>
      <c r="C25" s="5" t="n"/>
      <c r="D25" s="26">
        <f>IF(W25="","",INDEX(Lessons!$I$1:$I$505,MOD(W25,1000)))</f>
        <v/>
      </c>
      <c r="E25" s="27">
        <f>IF(W25="","",INDEX(Lessons!$G$1:$G$505,MOD(W25,1000)))</f>
        <v/>
      </c>
      <c r="F25" s="25" t="n"/>
      <c r="G25" s="25" t="n"/>
      <c r="H25" s="5" t="n"/>
      <c r="I25" s="1" t="n"/>
      <c r="W25">
        <f>IFERROR(SMALL(Lessons!$L$6:$L$505,7),"")</f>
        <v/>
      </c>
    </row>
    <row r="26">
      <c r="A26" s="1" t="n"/>
      <c r="B26" s="12">
        <f>IF(W26="","",CHOOSE(WEEKDAY(INDEX(Lessons!$B$1:$B$505,MOD(W26,1000)),2),"Mon","Tue","Wed","Thu","Fri","Sat","Sun")&amp;" "&amp;DAY(INDEX(Lessons!$B$1:$B$505,MOD(W26,1000))))</f>
        <v/>
      </c>
      <c r="C26" s="5" t="n"/>
      <c r="D26" s="26">
        <f>IF(W26="","",INDEX(Lessons!$I$1:$I$505,MOD(W26,1000)))</f>
        <v/>
      </c>
      <c r="E26" s="27">
        <f>IF(W26="","",INDEX(Lessons!$G$1:$G$505,MOD(W26,1000)))</f>
        <v/>
      </c>
      <c r="F26" s="25" t="n"/>
      <c r="G26" s="25" t="n"/>
      <c r="H26" s="5" t="n"/>
      <c r="I26" s="1" t="n"/>
      <c r="W26">
        <f>IFERROR(SMALL(Lessons!$L$6:$L$505,8),"")</f>
        <v/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</sheetData>
  <mergeCells count="18">
    <mergeCell ref="B21:C21"/>
    <mergeCell ref="E23:H23"/>
    <mergeCell ref="E18:H18"/>
    <mergeCell ref="B24:C24"/>
    <mergeCell ref="E19:H19"/>
    <mergeCell ref="B25:C25"/>
    <mergeCell ref="E26:H26"/>
    <mergeCell ref="B19:C19"/>
    <mergeCell ref="B20:C20"/>
    <mergeCell ref="E20:H20"/>
    <mergeCell ref="E21:H21"/>
    <mergeCell ref="B23:C23"/>
    <mergeCell ref="B22:C22"/>
    <mergeCell ref="E25:H25"/>
    <mergeCell ref="B26:C26"/>
    <mergeCell ref="B18:C18"/>
    <mergeCell ref="E24:H24"/>
    <mergeCell ref="E22:H22"/>
  </mergeCells>
  <conditionalFormatting sqref="D6:H15">
    <cfRule type="expression" priority="1" dxfId="0">
      <formula>R6=1</formula>
    </cfRule>
  </conditionalFormatting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8" customWidth="1" min="3" max="3"/>
    <col width="16" customWidth="1" min="4" max="4"/>
    <col width="30" customWidth="1" min="5" max="5"/>
    <col width="30" customWidth="1" min="6" max="6"/>
    <col width="28" customWidth="1" min="7" max="7"/>
    <col width="7" customWidth="1" min="8" max="8"/>
    <col width="16" customWidth="1" min="9" max="9"/>
    <col hidden="1" width="13" customWidth="1" min="11" max="11"/>
    <col hidden="1" width="13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Lessons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Each lesson by date and period. Leave the class empty and it comes from the timetable.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10" t="inlineStr">
        <is>
          <t>Date</t>
        </is>
      </c>
      <c r="C5" s="10" t="inlineStr">
        <is>
          <t>Period</t>
        </is>
      </c>
      <c r="D5" s="10" t="inlineStr">
        <is>
          <t>Class</t>
        </is>
      </c>
      <c r="E5" s="10" t="inlineStr">
        <is>
          <t>Topic</t>
        </is>
      </c>
      <c r="F5" s="10" t="inlineStr">
        <is>
          <t>Aims</t>
        </is>
      </c>
      <c r="G5" s="10" t="inlineStr">
        <is>
          <t>Homework</t>
        </is>
      </c>
      <c r="H5" s="10" t="inlineStr">
        <is>
          <t>Done</t>
        </is>
      </c>
      <c r="I5" s="10" t="inlineStr">
        <is>
          <t>Class taught</t>
        </is>
      </c>
      <c r="J5" s="1" t="n"/>
    </row>
    <row r="6">
      <c r="A6" s="1" t="n"/>
      <c r="B6" s="28" t="n">
        <v>46286</v>
      </c>
      <c r="C6" s="29" t="n">
        <v>1</v>
      </c>
      <c r="D6" s="30" t="n"/>
      <c r="E6" s="31" t="inlineStr">
        <is>
          <t>Lab safety</t>
        </is>
      </c>
      <c r="F6" s="32" t="n"/>
      <c r="G6" s="32" t="n"/>
      <c r="H6" s="33" t="inlineStr">
        <is>
          <t>x</t>
        </is>
      </c>
      <c r="I6" s="34">
        <f>IF(B6="","",IF(D6&lt;&gt;"",D6,IF(AND(ISNUMBER(B6),ISNUMBER(C6)),IF(OR(WEEKDAY(B6,2)&gt;5,C6&lt;1,C6&gt;10),"",IF(INDEX(Timetable!$E$6:$I$15,C6,WEEKDAY(B6,2))="","",INDEX(Timetable!$E$6:$I$15,C6,WEEKDAY(B6,2)))),"")))</f>
        <v/>
      </c>
      <c r="J6" s="1" t="n"/>
      <c r="K6">
        <f>IF(AND(ISNUMBER(B6),ISNUMBER(C6)),B6*100+C6,"")</f>
        <v/>
      </c>
      <c r="L6">
        <f>IF(OR(G6="",NOT(ISNUMBER(B6))),"",IF(AND(B6&gt;=Settings!$C$6,B6&lt;=Settings!$C$6+6),B6*1000+ROW(),""))</f>
        <v/>
      </c>
    </row>
    <row r="7">
      <c r="A7" s="1" t="n"/>
      <c r="B7" s="28" t="n">
        <v>46286</v>
      </c>
      <c r="C7" s="29" t="n">
        <v>2</v>
      </c>
      <c r="D7" s="30" t="n"/>
      <c r="E7" s="31" t="inlineStr">
        <is>
          <t>Using a microscope</t>
        </is>
      </c>
      <c r="F7" s="32" t="inlineStr">
        <is>
          <t>Name the parts and focus on a slide</t>
        </is>
      </c>
      <c r="G7" s="32" t="n"/>
      <c r="H7" s="33" t="inlineStr">
        <is>
          <t>x</t>
        </is>
      </c>
      <c r="I7" s="34">
        <f>IF(B7="","",IF(D7&lt;&gt;"",D7,IF(AND(ISNUMBER(B7),ISNUMBER(C7)),IF(OR(WEEKDAY(B7,2)&gt;5,C7&lt;1,C7&gt;10),"",IF(INDEX(Timetable!$E$6:$I$15,C7,WEEKDAY(B7,2))="","",INDEX(Timetable!$E$6:$I$15,C7,WEEKDAY(B7,2)))),"")))</f>
        <v/>
      </c>
      <c r="J7" s="1" t="n"/>
      <c r="K7">
        <f>IF(AND(ISNUMBER(B7),ISNUMBER(C7)),B7*100+C7,"")</f>
        <v/>
      </c>
      <c r="L7">
        <f>IF(OR(G7="",NOT(ISNUMBER(B7))),"",IF(AND(B7&gt;=Settings!$C$6,B7&lt;=Settings!$C$6+6),B7*1000+ROW(),""))</f>
        <v/>
      </c>
    </row>
    <row r="8">
      <c r="A8" s="1" t="n"/>
      <c r="B8" s="28" t="n">
        <v>46286</v>
      </c>
      <c r="C8" s="29" t="n">
        <v>4</v>
      </c>
      <c r="D8" s="30" t="n"/>
      <c r="E8" s="31" t="inlineStr">
        <is>
          <t>Enzymes</t>
        </is>
      </c>
      <c r="F8" s="32" t="inlineStr">
        <is>
          <t>Explain the lock and key model</t>
        </is>
      </c>
      <c r="G8" s="32" t="n"/>
      <c r="H8" s="33" t="inlineStr">
        <is>
          <t>x</t>
        </is>
      </c>
      <c r="I8" s="34">
        <f>IF(B8="","",IF(D8&lt;&gt;"",D8,IF(AND(ISNUMBER(B8),ISNUMBER(C8)),IF(OR(WEEKDAY(B8,2)&gt;5,C8&lt;1,C8&gt;10),"",IF(INDEX(Timetable!$E$6:$I$15,C8,WEEKDAY(B8,2))="","",INDEX(Timetable!$E$6:$I$15,C8,WEEKDAY(B8,2)))),"")))</f>
        <v/>
      </c>
      <c r="J8" s="1" t="n"/>
      <c r="K8">
        <f>IF(AND(ISNUMBER(B8),ISNUMBER(C8)),B8*100+C8,"")</f>
        <v/>
      </c>
      <c r="L8">
        <f>IF(OR(G8="",NOT(ISNUMBER(B8))),"",IF(AND(B8&gt;=Settings!$C$6,B8&lt;=Settings!$C$6+6),B8*1000+ROW(),""))</f>
        <v/>
      </c>
    </row>
    <row r="9">
      <c r="A9" s="1" t="n"/>
      <c r="B9" s="28" t="n">
        <v>46286</v>
      </c>
      <c r="C9" s="29" t="n">
        <v>5</v>
      </c>
      <c r="D9" s="30" t="n"/>
      <c r="E9" s="31" t="inlineStr">
        <is>
          <t>Atomic structure</t>
        </is>
      </c>
      <c r="F9" s="32" t="n"/>
      <c r="G9" s="32" t="n"/>
      <c r="H9" s="33" t="inlineStr">
        <is>
          <t>x</t>
        </is>
      </c>
      <c r="I9" s="34">
        <f>IF(B9="","",IF(D9&lt;&gt;"",D9,IF(AND(ISNUMBER(B9),ISNUMBER(C9)),IF(OR(WEEKDAY(B9,2)&gt;5,C9&lt;1,C9&gt;10),"",IF(INDEX(Timetable!$E$6:$I$15,C9,WEEKDAY(B9,2))="","",INDEX(Timetable!$E$6:$I$15,C9,WEEKDAY(B9,2)))),"")))</f>
        <v/>
      </c>
      <c r="J9" s="1" t="n"/>
      <c r="K9">
        <f>IF(AND(ISNUMBER(B9),ISNUMBER(C9)),B9*100+C9,"")</f>
        <v/>
      </c>
      <c r="L9">
        <f>IF(OR(G9="",NOT(ISNUMBER(B9))),"",IF(AND(B9&gt;=Settings!$C$6,B9&lt;=Settings!$C$6+6),B9*1000+ROW(),""))</f>
        <v/>
      </c>
    </row>
    <row r="10">
      <c r="A10" s="1" t="n"/>
      <c r="B10" s="28" t="n">
        <v>46287</v>
      </c>
      <c r="C10" s="29" t="n">
        <v>2</v>
      </c>
      <c r="D10" s="30" t="n"/>
      <c r="E10" s="31" t="inlineStr">
        <is>
          <t>Isotopes</t>
        </is>
      </c>
      <c r="F10" s="32" t="n"/>
      <c r="G10" s="32" t="n"/>
      <c r="H10" s="33" t="inlineStr">
        <is>
          <t>x</t>
        </is>
      </c>
      <c r="I10" s="34">
        <f>IF(B10="","",IF(D10&lt;&gt;"",D10,IF(AND(ISNUMBER(B10),ISNUMBER(C10)),IF(OR(WEEKDAY(B10,2)&gt;5,C10&lt;1,C10&gt;10),"",IF(INDEX(Timetable!$E$6:$I$15,C10,WEEKDAY(B10,2))="","",INDEX(Timetable!$E$6:$I$15,C10,WEEKDAY(B10,2)))),"")))</f>
        <v/>
      </c>
      <c r="J10" s="1" t="n"/>
      <c r="K10">
        <f>IF(AND(ISNUMBER(B10),ISNUMBER(C10)),B10*100+C10,"")</f>
        <v/>
      </c>
      <c r="L10">
        <f>IF(OR(G10="",NOT(ISNUMBER(B10))),"",IF(AND(B10&gt;=Settings!$C$6,B10&lt;=Settings!$C$6+6),B10*1000+ROW(),""))</f>
        <v/>
      </c>
    </row>
    <row r="11">
      <c r="A11" s="1" t="n"/>
      <c r="B11" s="28" t="n">
        <v>46287</v>
      </c>
      <c r="C11" s="29" t="n">
        <v>3</v>
      </c>
      <c r="D11" s="30" t="n"/>
      <c r="E11" s="31" t="inlineStr">
        <is>
          <t>Particle model</t>
        </is>
      </c>
      <c r="F11" s="32" t="n"/>
      <c r="G11" s="32" t="n"/>
      <c r="H11" s="33" t="inlineStr">
        <is>
          <t>x</t>
        </is>
      </c>
      <c r="I11" s="34">
        <f>IF(B11="","",IF(D11&lt;&gt;"",D11,IF(AND(ISNUMBER(B11),ISNUMBER(C11)),IF(OR(WEEKDAY(B11,2)&gt;5,C11&lt;1,C11&gt;10),"",IF(INDEX(Timetable!$E$6:$I$15,C11,WEEKDAY(B11,2))="","",INDEX(Timetable!$E$6:$I$15,C11,WEEKDAY(B11,2)))),"")))</f>
        <v/>
      </c>
      <c r="J11" s="1" t="n"/>
      <c r="K11">
        <f>IF(AND(ISNUMBER(B11),ISNUMBER(C11)),B11*100+C11,"")</f>
        <v/>
      </c>
      <c r="L11">
        <f>IF(OR(G11="",NOT(ISNUMBER(B11))),"",IF(AND(B11&gt;=Settings!$C$6,B11&lt;=Settings!$C$6+6),B11*1000+ROW(),""))</f>
        <v/>
      </c>
    </row>
    <row r="12">
      <c r="A12" s="1" t="n"/>
      <c r="B12" s="28" t="n">
        <v>46287</v>
      </c>
      <c r="C12" s="29" t="n">
        <v>4</v>
      </c>
      <c r="D12" s="30" t="n"/>
      <c r="E12" s="31" t="inlineStr">
        <is>
          <t>States of matter</t>
        </is>
      </c>
      <c r="F12" s="32" t="n"/>
      <c r="G12" s="32" t="n"/>
      <c r="H12" s="33" t="inlineStr">
        <is>
          <t>x</t>
        </is>
      </c>
      <c r="I12" s="34">
        <f>IF(B12="","",IF(D12&lt;&gt;"",D12,IF(AND(ISNUMBER(B12),ISNUMBER(C12)),IF(OR(WEEKDAY(B12,2)&gt;5,C12&lt;1,C12&gt;10),"",IF(INDEX(Timetable!$E$6:$I$15,C12,WEEKDAY(B12,2))="","",INDEX(Timetable!$E$6:$I$15,C12,WEEKDAY(B12,2)))),"")))</f>
        <v/>
      </c>
      <c r="J12" s="1" t="n"/>
      <c r="K12">
        <f>IF(AND(ISNUMBER(B12),ISNUMBER(C12)),B12*100+C12,"")</f>
        <v/>
      </c>
      <c r="L12">
        <f>IF(OR(G12="",NOT(ISNUMBER(B12))),"",IF(AND(B12&gt;=Settings!$C$6,B12&lt;=Settings!$C$6+6),B12*1000+ROW(),""))</f>
        <v/>
      </c>
    </row>
    <row r="13">
      <c r="A13" s="1" t="n"/>
      <c r="B13" s="28" t="n">
        <v>46287</v>
      </c>
      <c r="C13" s="29" t="n">
        <v>6</v>
      </c>
      <c r="D13" s="30" t="n"/>
      <c r="E13" s="31" t="inlineStr">
        <is>
          <t>Enzyme practical</t>
        </is>
      </c>
      <c r="F13" s="32" t="n"/>
      <c r="G13" s="32" t="n"/>
      <c r="H13" s="33" t="inlineStr">
        <is>
          <t>x</t>
        </is>
      </c>
      <c r="I13" s="34">
        <f>IF(B13="","",IF(D13&lt;&gt;"",D13,IF(AND(ISNUMBER(B13),ISNUMBER(C13)),IF(OR(WEEKDAY(B13,2)&gt;5,C13&lt;1,C13&gt;10),"",IF(INDEX(Timetable!$E$6:$I$15,C13,WEEKDAY(B13,2))="","",INDEX(Timetable!$E$6:$I$15,C13,WEEKDAY(B13,2)))),"")))</f>
        <v/>
      </c>
      <c r="J13" s="1" t="n"/>
      <c r="K13">
        <f>IF(AND(ISNUMBER(B13),ISNUMBER(C13)),B13*100+C13,"")</f>
        <v/>
      </c>
      <c r="L13">
        <f>IF(OR(G13="",NOT(ISNUMBER(B13))),"",IF(AND(B13&gt;=Settings!$C$6,B13&lt;=Settings!$C$6+6),B13*1000+ROW(),""))</f>
        <v/>
      </c>
    </row>
    <row r="14">
      <c r="A14" s="1" t="n"/>
      <c r="B14" s="28" t="n">
        <v>46288</v>
      </c>
      <c r="C14" s="29" t="n">
        <v>1</v>
      </c>
      <c r="D14" s="30" t="n"/>
      <c r="E14" s="31" t="inlineStr">
        <is>
          <t>Food tests</t>
        </is>
      </c>
      <c r="F14" s="32" t="n"/>
      <c r="G14" s="32" t="inlineStr">
        <is>
          <t>Write up the results</t>
        </is>
      </c>
      <c r="H14" s="33" t="inlineStr">
        <is>
          <t>x</t>
        </is>
      </c>
      <c r="I14" s="34">
        <f>IF(B14="","",IF(D14&lt;&gt;"",D14,IF(AND(ISNUMBER(B14),ISNUMBER(C14)),IF(OR(WEEKDAY(B14,2)&gt;5,C14&lt;1,C14&gt;10),"",IF(INDEX(Timetable!$E$6:$I$15,C14,WEEKDAY(B14,2))="","",INDEX(Timetable!$E$6:$I$15,C14,WEEKDAY(B14,2)))),"")))</f>
        <v/>
      </c>
      <c r="J14" s="1" t="n"/>
      <c r="K14">
        <f>IF(AND(ISNUMBER(B14),ISNUMBER(C14)),B14*100+C14,"")</f>
        <v/>
      </c>
      <c r="L14">
        <f>IF(OR(G14="",NOT(ISNUMBER(B14))),"",IF(AND(B14&gt;=Settings!$C$6,B14&lt;=Settings!$C$6+6),B14*1000+ROW(),""))</f>
        <v/>
      </c>
    </row>
    <row r="15">
      <c r="A15" s="1" t="n"/>
      <c r="B15" s="28" t="n">
        <v>46288</v>
      </c>
      <c r="C15" s="29" t="n">
        <v>3</v>
      </c>
      <c r="D15" s="30" t="n"/>
      <c r="E15" s="31" t="inlineStr">
        <is>
          <t>Plant and animal cells</t>
        </is>
      </c>
      <c r="F15" s="32" t="inlineStr">
        <is>
          <t>Compare the two</t>
        </is>
      </c>
      <c r="G15" s="32" t="inlineStr">
        <is>
          <t>Cells worksheet</t>
        </is>
      </c>
      <c r="H15" s="33" t="inlineStr">
        <is>
          <t>x</t>
        </is>
      </c>
      <c r="I15" s="34">
        <f>IF(B15="","",IF(D15&lt;&gt;"",D15,IF(AND(ISNUMBER(B15),ISNUMBER(C15)),IF(OR(WEEKDAY(B15,2)&gt;5,C15&lt;1,C15&gt;10),"",IF(INDEX(Timetable!$E$6:$I$15,C15,WEEKDAY(B15,2))="","",INDEX(Timetable!$E$6:$I$15,C15,WEEKDAY(B15,2)))),"")))</f>
        <v/>
      </c>
      <c r="J15" s="1" t="n"/>
      <c r="K15">
        <f>IF(AND(ISNUMBER(B15),ISNUMBER(C15)),B15*100+C15,"")</f>
        <v/>
      </c>
      <c r="L15">
        <f>IF(OR(G15="",NOT(ISNUMBER(B15))),"",IF(AND(B15&gt;=Settings!$C$6,B15&lt;=Settings!$C$6+6),B15*1000+ROW(),""))</f>
        <v/>
      </c>
    </row>
    <row r="16">
      <c r="A16" s="1" t="n"/>
      <c r="B16" s="28" t="n">
        <v>46288</v>
      </c>
      <c r="C16" s="29" t="n">
        <v>4</v>
      </c>
      <c r="D16" s="30" t="n"/>
      <c r="E16" s="31" t="inlineStr">
        <is>
          <t>Specialised cells</t>
        </is>
      </c>
      <c r="F16" s="32" t="n"/>
      <c r="G16" s="32" t="n"/>
      <c r="H16" s="33" t="inlineStr">
        <is>
          <t>x</t>
        </is>
      </c>
      <c r="I16" s="34">
        <f>IF(B16="","",IF(D16&lt;&gt;"",D16,IF(AND(ISNUMBER(B16),ISNUMBER(C16)),IF(OR(WEEKDAY(B16,2)&gt;5,C16&lt;1,C16&gt;10),"",IF(INDEX(Timetable!$E$6:$I$15,C16,WEEKDAY(B16,2))="","",INDEX(Timetable!$E$6:$I$15,C16,WEEKDAY(B16,2)))),"")))</f>
        <v/>
      </c>
      <c r="J16" s="1" t="n"/>
      <c r="K16">
        <f>IF(AND(ISNUMBER(B16),ISNUMBER(C16)),B16*100+C16,"")</f>
        <v/>
      </c>
      <c r="L16">
        <f>IF(OR(G16="",NOT(ISNUMBER(B16))),"",IF(AND(B16&gt;=Settings!$C$6,B16&lt;=Settings!$C$6+6),B16*1000+ROW(),""))</f>
        <v/>
      </c>
    </row>
    <row r="17">
      <c r="A17" s="1" t="n"/>
      <c r="B17" s="28" t="n">
        <v>46288</v>
      </c>
      <c r="C17" s="29" t="n">
        <v>5</v>
      </c>
      <c r="D17" s="30" t="n"/>
      <c r="E17" s="31" t="inlineStr">
        <is>
          <t>Digestive system</t>
        </is>
      </c>
      <c r="F17" s="32" t="n"/>
      <c r="G17" s="32" t="n"/>
      <c r="H17" s="33" t="inlineStr">
        <is>
          <t>x</t>
        </is>
      </c>
      <c r="I17" s="34">
        <f>IF(B17="","",IF(D17&lt;&gt;"",D17,IF(AND(ISNUMBER(B17),ISNUMBER(C17)),IF(OR(WEEKDAY(B17,2)&gt;5,C17&lt;1,C17&gt;10),"",IF(INDEX(Timetable!$E$6:$I$15,C17,WEEKDAY(B17,2))="","",INDEX(Timetable!$E$6:$I$15,C17,WEEKDAY(B17,2)))),"")))</f>
        <v/>
      </c>
      <c r="J17" s="1" t="n"/>
      <c r="K17">
        <f>IF(AND(ISNUMBER(B17),ISNUMBER(C17)),B17*100+C17,"")</f>
        <v/>
      </c>
      <c r="L17">
        <f>IF(OR(G17="",NOT(ISNUMBER(B17))),"",IF(AND(B17&gt;=Settings!$C$6,B17&lt;=Settings!$C$6+6),B17*1000+ROW(),""))</f>
        <v/>
      </c>
    </row>
    <row r="18">
      <c r="A18" s="1" t="n"/>
      <c r="B18" s="28" t="n">
        <v>46288</v>
      </c>
      <c r="C18" s="29" t="n">
        <v>6</v>
      </c>
      <c r="D18" s="30" t="n"/>
      <c r="E18" s="31" t="inlineStr">
        <is>
          <t>Ionic bonding</t>
        </is>
      </c>
      <c r="F18" s="32" t="n"/>
      <c r="G18" s="32" t="n"/>
      <c r="H18" s="33" t="inlineStr">
        <is>
          <t>x</t>
        </is>
      </c>
      <c r="I18" s="34">
        <f>IF(B18="","",IF(D18&lt;&gt;"",D18,IF(AND(ISNUMBER(B18),ISNUMBER(C18)),IF(OR(WEEKDAY(B18,2)&gt;5,C18&lt;1,C18&gt;10),"",IF(INDEX(Timetable!$E$6:$I$15,C18,WEEKDAY(B18,2))="","",INDEX(Timetable!$E$6:$I$15,C18,WEEKDAY(B18,2)))),"")))</f>
        <v/>
      </c>
      <c r="J18" s="1" t="n"/>
      <c r="K18">
        <f>IF(AND(ISNUMBER(B18),ISNUMBER(C18)),B18*100+C18,"")</f>
        <v/>
      </c>
      <c r="L18">
        <f>IF(OR(G18="",NOT(ISNUMBER(B18))),"",IF(AND(B18&gt;=Settings!$C$6,B18&lt;=Settings!$C$6+6),B18*1000+ROW(),""))</f>
        <v/>
      </c>
    </row>
    <row r="19">
      <c r="A19" s="1" t="n"/>
      <c r="B19" s="28" t="n">
        <v>46289</v>
      </c>
      <c r="C19" s="29" t="n">
        <v>1</v>
      </c>
      <c r="D19" s="30" t="n"/>
      <c r="E19" s="31" t="inlineStr">
        <is>
          <t>Changes of state</t>
        </is>
      </c>
      <c r="F19" s="32" t="n"/>
      <c r="G19" s="32" t="inlineStr">
        <is>
          <t>Page 34, questions 1 to 6</t>
        </is>
      </c>
      <c r="H19" s="33" t="inlineStr">
        <is>
          <t>x</t>
        </is>
      </c>
      <c r="I19" s="34">
        <f>IF(B19="","",IF(D19&lt;&gt;"",D19,IF(AND(ISNUMBER(B19),ISNUMBER(C19)),IF(OR(WEEKDAY(B19,2)&gt;5,C19&lt;1,C19&gt;10),"",IF(INDEX(Timetable!$E$6:$I$15,C19,WEEKDAY(B19,2))="","",INDEX(Timetable!$E$6:$I$15,C19,WEEKDAY(B19,2)))),"")))</f>
        <v/>
      </c>
      <c r="J19" s="1" t="n"/>
      <c r="K19">
        <f>IF(AND(ISNUMBER(B19),ISNUMBER(C19)),B19*100+C19,"")</f>
        <v/>
      </c>
      <c r="L19">
        <f>IF(OR(G19="",NOT(ISNUMBER(B19))),"",IF(AND(B19&gt;=Settings!$C$6,B19&lt;=Settings!$C$6+6),B19*1000+ROW(),""))</f>
        <v/>
      </c>
    </row>
    <row r="20">
      <c r="A20" s="1" t="n"/>
      <c r="B20" s="28" t="n">
        <v>46289</v>
      </c>
      <c r="C20" s="29" t="n">
        <v>2</v>
      </c>
      <c r="D20" s="30" t="n"/>
      <c r="E20" s="31" t="inlineStr">
        <is>
          <t>Diffusion practical</t>
        </is>
      </c>
      <c r="F20" s="32" t="n"/>
      <c r="G20" s="32" t="n"/>
      <c r="H20" s="33" t="inlineStr">
        <is>
          <t>x</t>
        </is>
      </c>
      <c r="I20" s="34">
        <f>IF(B20="","",IF(D20&lt;&gt;"",D20,IF(AND(ISNUMBER(B20),ISNUMBER(C20)),IF(OR(WEEKDAY(B20,2)&gt;5,C20&lt;1,C20&gt;10),"",IF(INDEX(Timetable!$E$6:$I$15,C20,WEEKDAY(B20,2))="","",INDEX(Timetable!$E$6:$I$15,C20,WEEKDAY(B20,2)))),"")))</f>
        <v/>
      </c>
      <c r="J20" s="1" t="n"/>
      <c r="K20">
        <f>IF(AND(ISNUMBER(B20),ISNUMBER(C20)),B20*100+C20,"")</f>
        <v/>
      </c>
      <c r="L20">
        <f>IF(OR(G20="",NOT(ISNUMBER(B20))),"",IF(AND(B20&gt;=Settings!$C$6,B20&lt;=Settings!$C$6+6),B20*1000+ROW(),""))</f>
        <v/>
      </c>
    </row>
    <row r="21">
      <c r="A21" s="1" t="n"/>
      <c r="B21" s="28" t="n">
        <v>46289</v>
      </c>
      <c r="C21" s="29" t="n">
        <v>4</v>
      </c>
      <c r="D21" s="30" t="n"/>
      <c r="E21" s="31" t="inlineStr">
        <is>
          <t>Covalent bonding</t>
        </is>
      </c>
      <c r="F21" s="32" t="n"/>
      <c r="G21" s="32" t="inlineStr">
        <is>
          <t>Dot and cross diagrams</t>
        </is>
      </c>
      <c r="H21" s="33" t="inlineStr">
        <is>
          <t>x</t>
        </is>
      </c>
      <c r="I21" s="34">
        <f>IF(B21="","",IF(D21&lt;&gt;"",D21,IF(AND(ISNUMBER(B21),ISNUMBER(C21)),IF(OR(WEEKDAY(B21,2)&gt;5,C21&lt;1,C21&gt;10),"",IF(INDEX(Timetable!$E$6:$I$15,C21,WEEKDAY(B21,2))="","",INDEX(Timetable!$E$6:$I$15,C21,WEEKDAY(B21,2)))),"")))</f>
        <v/>
      </c>
      <c r="J21" s="1" t="n"/>
      <c r="K21">
        <f>IF(AND(ISNUMBER(B21),ISNUMBER(C21)),B21*100+C21,"")</f>
        <v/>
      </c>
      <c r="L21">
        <f>IF(OR(G21="",NOT(ISNUMBER(B21))),"",IF(AND(B21&gt;=Settings!$C$6,B21&lt;=Settings!$C$6+6),B21*1000+ROW(),""))</f>
        <v/>
      </c>
    </row>
    <row r="22">
      <c r="A22" s="1" t="n"/>
      <c r="B22" s="28" t="n">
        <v>46289</v>
      </c>
      <c r="C22" s="29" t="n">
        <v>5</v>
      </c>
      <c r="D22" s="30" t="n"/>
      <c r="E22" s="31" t="inlineStr">
        <is>
          <t>Unit 1 review</t>
        </is>
      </c>
      <c r="F22" s="32" t="n"/>
      <c r="G22" s="32" t="n"/>
      <c r="H22" s="33" t="inlineStr">
        <is>
          <t>x</t>
        </is>
      </c>
      <c r="I22" s="34">
        <f>IF(B22="","",IF(D22&lt;&gt;"",D22,IF(AND(ISNUMBER(B22),ISNUMBER(C22)),IF(OR(WEEKDAY(B22,2)&gt;5,C22&lt;1,C22&gt;10),"",IF(INDEX(Timetable!$E$6:$I$15,C22,WEEKDAY(B22,2))="","",INDEX(Timetable!$E$6:$I$15,C22,WEEKDAY(B22,2)))),"")))</f>
        <v/>
      </c>
      <c r="J22" s="1" t="n"/>
      <c r="K22">
        <f>IF(AND(ISNUMBER(B22),ISNUMBER(C22)),B22*100+C22,"")</f>
        <v/>
      </c>
      <c r="L22">
        <f>IF(OR(G22="",NOT(ISNUMBER(B22))),"",IF(AND(B22&gt;=Settings!$C$6,B22&lt;=Settings!$C$6+6),B22*1000+ROW(),""))</f>
        <v/>
      </c>
    </row>
    <row r="23">
      <c r="A23" s="1" t="n"/>
      <c r="B23" s="28" t="n">
        <v>46290</v>
      </c>
      <c r="C23" s="29" t="n">
        <v>2</v>
      </c>
      <c r="D23" s="30" t="n"/>
      <c r="E23" s="31" t="inlineStr">
        <is>
          <t>Enzymes test</t>
        </is>
      </c>
      <c r="F23" s="32" t="n"/>
      <c r="G23" s="32" t="n"/>
      <c r="H23" s="33" t="inlineStr">
        <is>
          <t>x</t>
        </is>
      </c>
      <c r="I23" s="34">
        <f>IF(B23="","",IF(D23&lt;&gt;"",D23,IF(AND(ISNUMBER(B23),ISNUMBER(C23)),IF(OR(WEEKDAY(B23,2)&gt;5,C23&lt;1,C23&gt;10),"",IF(INDEX(Timetable!$E$6:$I$15,C23,WEEKDAY(B23,2))="","",INDEX(Timetable!$E$6:$I$15,C23,WEEKDAY(B23,2)))),"")))</f>
        <v/>
      </c>
      <c r="J23" s="1" t="n"/>
      <c r="K23">
        <f>IF(AND(ISNUMBER(B23),ISNUMBER(C23)),B23*100+C23,"")</f>
        <v/>
      </c>
      <c r="L23">
        <f>IF(OR(G23="",NOT(ISNUMBER(B23))),"",IF(AND(B23&gt;=Settings!$C$6,B23&lt;=Settings!$C$6+6),B23*1000+ROW(),""))</f>
        <v/>
      </c>
    </row>
    <row r="24">
      <c r="A24" s="1" t="n"/>
      <c r="B24" s="28" t="n">
        <v>46290</v>
      </c>
      <c r="C24" s="29" t="n">
        <v>3</v>
      </c>
      <c r="D24" s="30" t="n"/>
      <c r="E24" s="31" t="inlineStr">
        <is>
          <t>Titration</t>
        </is>
      </c>
      <c r="F24" s="32" t="inlineStr">
        <is>
          <t>Carry out a titration safely</t>
        </is>
      </c>
      <c r="G24" s="32" t="n"/>
      <c r="H24" s="33" t="inlineStr">
        <is>
          <t>x</t>
        </is>
      </c>
      <c r="I24" s="34">
        <f>IF(B24="","",IF(D24&lt;&gt;"",D24,IF(AND(ISNUMBER(B24),ISNUMBER(C24)),IF(OR(WEEKDAY(B24,2)&gt;5,C24&lt;1,C24&gt;10),"",IF(INDEX(Timetable!$E$6:$I$15,C24,WEEKDAY(B24,2))="","",INDEX(Timetable!$E$6:$I$15,C24,WEEKDAY(B24,2)))),"")))</f>
        <v/>
      </c>
      <c r="J24" s="1" t="n"/>
      <c r="K24">
        <f>IF(AND(ISNUMBER(B24),ISNUMBER(C24)),B24*100+C24,"")</f>
        <v/>
      </c>
      <c r="L24">
        <f>IF(OR(G24="",NOT(ISNUMBER(B24))),"",IF(AND(B24&gt;=Settings!$C$6,B24&lt;=Settings!$C$6+6),B24*1000+ROW(),""))</f>
        <v/>
      </c>
    </row>
    <row r="25">
      <c r="A25" s="1" t="n"/>
      <c r="B25" s="28" t="n">
        <v>46290</v>
      </c>
      <c r="C25" s="29" t="n">
        <v>5</v>
      </c>
      <c r="D25" s="30" t="n"/>
      <c r="E25" s="31" t="inlineStr">
        <is>
          <t>Gas pressure</t>
        </is>
      </c>
      <c r="F25" s="32" t="n"/>
      <c r="G25" s="32" t="n"/>
      <c r="H25" s="33" t="inlineStr">
        <is>
          <t>x</t>
        </is>
      </c>
      <c r="I25" s="34">
        <f>IF(B25="","",IF(D25&lt;&gt;"",D25,IF(AND(ISNUMBER(B25),ISNUMBER(C25)),IF(OR(WEEKDAY(B25,2)&gt;5,C25&lt;1,C25&gt;10),"",IF(INDEX(Timetable!$E$6:$I$15,C25,WEEKDAY(B25,2))="","",INDEX(Timetable!$E$6:$I$15,C25,WEEKDAY(B25,2)))),"")))</f>
        <v/>
      </c>
      <c r="J25" s="1" t="n"/>
      <c r="K25">
        <f>IF(AND(ISNUMBER(B25),ISNUMBER(C25)),B25*100+C25,"")</f>
        <v/>
      </c>
      <c r="L25">
        <f>IF(OR(G25="",NOT(ISNUMBER(B25))),"",IF(AND(B25&gt;=Settings!$C$6,B25&lt;=Settings!$C$6+6),B25*1000+ROW(),""))</f>
        <v/>
      </c>
    </row>
    <row r="26">
      <c r="A26" s="1" t="n"/>
      <c r="B26" s="28" t="n">
        <v>46290</v>
      </c>
      <c r="C26" s="29" t="n">
        <v>6</v>
      </c>
      <c r="D26" s="30" t="n"/>
      <c r="E26" s="31" t="inlineStr">
        <is>
          <t>Cells test</t>
        </is>
      </c>
      <c r="F26" s="32" t="n"/>
      <c r="G26" s="32" t="n"/>
      <c r="H26" s="33" t="inlineStr">
        <is>
          <t>x</t>
        </is>
      </c>
      <c r="I26" s="34">
        <f>IF(B26="","",IF(D26&lt;&gt;"",D26,IF(AND(ISNUMBER(B26),ISNUMBER(C26)),IF(OR(WEEKDAY(B26,2)&gt;5,C26&lt;1,C26&gt;10),"",IF(INDEX(Timetable!$E$6:$I$15,C26,WEEKDAY(B26,2))="","",INDEX(Timetable!$E$6:$I$15,C26,WEEKDAY(B26,2)))),"")))</f>
        <v/>
      </c>
      <c r="J26" s="1" t="n"/>
      <c r="K26">
        <f>IF(AND(ISNUMBER(B26),ISNUMBER(C26)),B26*100+C26,"")</f>
        <v/>
      </c>
      <c r="L26">
        <f>IF(OR(G26="",NOT(ISNUMBER(B26))),"",IF(AND(B26&gt;=Settings!$C$6,B26&lt;=Settings!$C$6+6),B26*1000+ROW(),""))</f>
        <v/>
      </c>
    </row>
    <row r="27">
      <c r="A27" s="1" t="n"/>
      <c r="B27" s="28" t="n">
        <v>46293</v>
      </c>
      <c r="C27" s="29" t="n">
        <v>1</v>
      </c>
      <c r="D27" s="30" t="n"/>
      <c r="E27" s="31" t="inlineStr">
        <is>
          <t>Unit 2: tissues and organs</t>
        </is>
      </c>
      <c r="F27" s="32" t="n"/>
      <c r="G27" s="32" t="n"/>
      <c r="H27" s="33" t="n"/>
      <c r="I27" s="34">
        <f>IF(B27="","",IF(D27&lt;&gt;"",D27,IF(AND(ISNUMBER(B27),ISNUMBER(C27)),IF(OR(WEEKDAY(B27,2)&gt;5,C27&lt;1,C27&gt;10),"",IF(INDEX(Timetable!$E$6:$I$15,C27,WEEKDAY(B27,2))="","",INDEX(Timetable!$E$6:$I$15,C27,WEEKDAY(B27,2)))),"")))</f>
        <v/>
      </c>
      <c r="J27" s="1" t="n"/>
      <c r="K27">
        <f>IF(AND(ISNUMBER(B27),ISNUMBER(C27)),B27*100+C27,"")</f>
        <v/>
      </c>
      <c r="L27">
        <f>IF(OR(G27="",NOT(ISNUMBER(B27))),"",IF(AND(B27&gt;=Settings!$C$6,B27&lt;=Settings!$C$6+6),B27*1000+ROW(),""))</f>
        <v/>
      </c>
    </row>
    <row r="28">
      <c r="A28" s="1" t="n"/>
      <c r="B28" s="28" t="n">
        <v>46293</v>
      </c>
      <c r="C28" s="29" t="n">
        <v>2</v>
      </c>
      <c r="D28" s="30" t="n"/>
      <c r="E28" s="31" t="inlineStr">
        <is>
          <t>Organ systems</t>
        </is>
      </c>
      <c r="F28" s="32" t="inlineStr">
        <is>
          <t>Link organs to their systems</t>
        </is>
      </c>
      <c r="G28" s="32" t="inlineStr">
        <is>
          <t>Label the organ systems</t>
        </is>
      </c>
      <c r="H28" s="33" t="n"/>
      <c r="I28" s="34">
        <f>IF(B28="","",IF(D28&lt;&gt;"",D28,IF(AND(ISNUMBER(B28),ISNUMBER(C28)),IF(OR(WEEKDAY(B28,2)&gt;5,C28&lt;1,C28&gt;10),"",IF(INDEX(Timetable!$E$6:$I$15,C28,WEEKDAY(B28,2))="","",INDEX(Timetable!$E$6:$I$15,C28,WEEKDAY(B28,2)))),"")))</f>
        <v/>
      </c>
      <c r="J28" s="1" t="n"/>
      <c r="K28">
        <f>IF(AND(ISNUMBER(B28),ISNUMBER(C28)),B28*100+C28,"")</f>
        <v/>
      </c>
      <c r="L28">
        <f>IF(OR(G28="",NOT(ISNUMBER(B28))),"",IF(AND(B28&gt;=Settings!$C$6,B28&lt;=Settings!$C$6+6),B28*1000+ROW(),""))</f>
        <v/>
      </c>
    </row>
    <row r="29">
      <c r="A29" s="1" t="n"/>
      <c r="B29" s="28" t="n">
        <v>46293</v>
      </c>
      <c r="C29" s="29" t="n">
        <v>4</v>
      </c>
      <c r="D29" s="30" t="n"/>
      <c r="E29" s="31" t="inlineStr">
        <is>
          <t>Absorption</t>
        </is>
      </c>
      <c r="F29" s="32" t="n"/>
      <c r="G29" s="32" t="inlineStr">
        <is>
          <t>Plan the essay</t>
        </is>
      </c>
      <c r="H29" s="33" t="n"/>
      <c r="I29" s="34">
        <f>IF(B29="","",IF(D29&lt;&gt;"",D29,IF(AND(ISNUMBER(B29),ISNUMBER(C29)),IF(OR(WEEKDAY(B29,2)&gt;5,C29&lt;1,C29&gt;10),"",IF(INDEX(Timetable!$E$6:$I$15,C29,WEEKDAY(B29,2))="","",INDEX(Timetable!$E$6:$I$15,C29,WEEKDAY(B29,2)))),"")))</f>
        <v/>
      </c>
      <c r="J29" s="1" t="n"/>
      <c r="K29">
        <f>IF(AND(ISNUMBER(B29),ISNUMBER(C29)),B29*100+C29,"")</f>
        <v/>
      </c>
      <c r="L29">
        <f>IF(OR(G29="",NOT(ISNUMBER(B29))),"",IF(AND(B29&gt;=Settings!$C$6,B29&lt;=Settings!$C$6+6),B29*1000+ROW(),""))</f>
        <v/>
      </c>
    </row>
    <row r="30">
      <c r="A30" s="1" t="n"/>
      <c r="B30" s="28" t="n">
        <v>46293</v>
      </c>
      <c r="C30" s="29" t="n">
        <v>5</v>
      </c>
      <c r="D30" s="30" t="n"/>
      <c r="E30" s="31" t="inlineStr">
        <is>
          <t>Unit 1 test</t>
        </is>
      </c>
      <c r="F30" s="32" t="n"/>
      <c r="G30" s="32" t="n"/>
      <c r="H30" s="33" t="n"/>
      <c r="I30" s="34">
        <f>IF(B30="","",IF(D30&lt;&gt;"",D30,IF(AND(ISNUMBER(B30),ISNUMBER(C30)),IF(OR(WEEKDAY(B30,2)&gt;5,C30&lt;1,C30&gt;10),"",IF(INDEX(Timetable!$E$6:$I$15,C30,WEEKDAY(B30,2))="","",INDEX(Timetable!$E$6:$I$15,C30,WEEKDAY(B30,2)))),"")))</f>
        <v/>
      </c>
      <c r="J30" s="1" t="n"/>
      <c r="K30">
        <f>IF(AND(ISNUMBER(B30),ISNUMBER(C30)),B30*100+C30,"")</f>
        <v/>
      </c>
      <c r="L30">
        <f>IF(OR(G30="",NOT(ISNUMBER(B30))),"",IF(AND(B30&gt;=Settings!$C$6,B30&lt;=Settings!$C$6+6),B30*1000+ROW(),""))</f>
        <v/>
      </c>
    </row>
    <row r="31">
      <c r="A31" s="1" t="n"/>
      <c r="B31" s="28" t="n">
        <v>46294</v>
      </c>
      <c r="C31" s="29" t="n">
        <v>2</v>
      </c>
      <c r="D31" s="30" t="n"/>
      <c r="E31" s="31" t="inlineStr">
        <is>
          <t>Rates of reaction</t>
        </is>
      </c>
      <c r="F31" s="32" t="inlineStr">
        <is>
          <t>Name four factors</t>
        </is>
      </c>
      <c r="G31" s="32" t="inlineStr">
        <is>
          <t>Rates homework sheet</t>
        </is>
      </c>
      <c r="H31" s="33" t="n"/>
      <c r="I31" s="34">
        <f>IF(B31="","",IF(D31&lt;&gt;"",D31,IF(AND(ISNUMBER(B31),ISNUMBER(C31)),IF(OR(WEEKDAY(B31,2)&gt;5,C31&lt;1,C31&gt;10),"",IF(INDEX(Timetable!$E$6:$I$15,C31,WEEKDAY(B31,2))="","",INDEX(Timetable!$E$6:$I$15,C31,WEEKDAY(B31,2)))),"")))</f>
        <v/>
      </c>
      <c r="J31" s="1" t="n"/>
      <c r="K31">
        <f>IF(AND(ISNUMBER(B31),ISNUMBER(C31)),B31*100+C31,"")</f>
        <v/>
      </c>
      <c r="L31">
        <f>IF(OR(G31="",NOT(ISNUMBER(B31))),"",IF(AND(B31&gt;=Settings!$C$6,B31&lt;=Settings!$C$6+6),B31*1000+ROW(),""))</f>
        <v/>
      </c>
    </row>
    <row r="32">
      <c r="A32" s="1" t="n"/>
      <c r="B32" s="28" t="n">
        <v>46294</v>
      </c>
      <c r="C32" s="29" t="n">
        <v>3</v>
      </c>
      <c r="D32" s="30" t="n"/>
      <c r="E32" s="31" t="inlineStr">
        <is>
          <t>Unit 1 test</t>
        </is>
      </c>
      <c r="F32" s="32" t="n"/>
      <c r="G32" s="32" t="n"/>
      <c r="H32" s="33" t="n"/>
      <c r="I32" s="34">
        <f>IF(B32="","",IF(D32&lt;&gt;"",D32,IF(AND(ISNUMBER(B32),ISNUMBER(C32)),IF(OR(WEEKDAY(B32,2)&gt;5,C32&lt;1,C32&gt;10),"",IF(INDEX(Timetable!$E$6:$I$15,C32,WEEKDAY(B32,2))="","",INDEX(Timetable!$E$6:$I$15,C32,WEEKDAY(B32,2)))),"")))</f>
        <v/>
      </c>
      <c r="J32" s="1" t="n"/>
      <c r="K32">
        <f>IF(AND(ISNUMBER(B32),ISNUMBER(C32)),B32*100+C32,"")</f>
        <v/>
      </c>
      <c r="L32">
        <f>IF(OR(G32="",NOT(ISNUMBER(B32))),"",IF(AND(B32&gt;=Settings!$C$6,B32&lt;=Settings!$C$6+6),B32*1000+ROW(),""))</f>
        <v/>
      </c>
    </row>
    <row r="33">
      <c r="A33" s="1" t="n"/>
      <c r="B33" s="28" t="n">
        <v>46294</v>
      </c>
      <c r="C33" s="29" t="n">
        <v>4</v>
      </c>
      <c r="D33" s="30" t="n"/>
      <c r="E33" s="31" t="inlineStr">
        <is>
          <t>Pure substances</t>
        </is>
      </c>
      <c r="F33" s="32" t="n"/>
      <c r="G33" s="32" t="n"/>
      <c r="H33" s="33" t="n"/>
      <c r="I33" s="34">
        <f>IF(B33="","",IF(D33&lt;&gt;"",D33,IF(AND(ISNUMBER(B33),ISNUMBER(C33)),IF(OR(WEEKDAY(B33,2)&gt;5,C33&lt;1,C33&gt;10),"",IF(INDEX(Timetable!$E$6:$I$15,C33,WEEKDAY(B33,2))="","",INDEX(Timetable!$E$6:$I$15,C33,WEEKDAY(B33,2)))),"")))</f>
        <v/>
      </c>
      <c r="J33" s="1" t="n"/>
      <c r="K33">
        <f>IF(AND(ISNUMBER(B33),ISNUMBER(C33)),B33*100+C33,"")</f>
        <v/>
      </c>
      <c r="L33">
        <f>IF(OR(G33="",NOT(ISNUMBER(B33))),"",IF(AND(B33&gt;=Settings!$C$6,B33&lt;=Settings!$C$6+6),B33*1000+ROW(),""))</f>
        <v/>
      </c>
    </row>
    <row r="34">
      <c r="A34" s="1" t="n"/>
      <c r="B34" s="28" t="n">
        <v>46294</v>
      </c>
      <c r="C34" s="29" t="n">
        <v>6</v>
      </c>
      <c r="D34" s="30" t="n"/>
      <c r="E34" s="31" t="inlineStr">
        <is>
          <t>Essay planning</t>
        </is>
      </c>
      <c r="F34" s="32" t="n"/>
      <c r="G34" s="32" t="n"/>
      <c r="H34" s="33" t="n"/>
      <c r="I34" s="34">
        <f>IF(B34="","",IF(D34&lt;&gt;"",D34,IF(AND(ISNUMBER(B34),ISNUMBER(C34)),IF(OR(WEEKDAY(B34,2)&gt;5,C34&lt;1,C34&gt;10),"",IF(INDEX(Timetable!$E$6:$I$15,C34,WEEKDAY(B34,2))="","",INDEX(Timetable!$E$6:$I$15,C34,WEEKDAY(B34,2)))),"")))</f>
        <v/>
      </c>
      <c r="J34" s="1" t="n"/>
      <c r="K34">
        <f>IF(AND(ISNUMBER(B34),ISNUMBER(C34)),B34*100+C34,"")</f>
        <v/>
      </c>
      <c r="L34">
        <f>IF(OR(G34="",NOT(ISNUMBER(B34))),"",IF(AND(B34&gt;=Settings!$C$6,B34&lt;=Settings!$C$6+6),B34*1000+ROW(),""))</f>
        <v/>
      </c>
    </row>
    <row r="35">
      <c r="A35" s="1" t="n"/>
      <c r="B35" s="28" t="n">
        <v>46295</v>
      </c>
      <c r="C35" s="29" t="n">
        <v>1</v>
      </c>
      <c r="D35" s="30" t="n"/>
      <c r="E35" s="31" t="inlineStr">
        <is>
          <t>Heart and blood</t>
        </is>
      </c>
      <c r="F35" s="32" t="inlineStr">
        <is>
          <t>Trace the path of blood</t>
        </is>
      </c>
      <c r="G35" s="32" t="n"/>
      <c r="H35" s="33" t="n"/>
      <c r="I35" s="34">
        <f>IF(B35="","",IF(D35&lt;&gt;"",D35,IF(AND(ISNUMBER(B35),ISNUMBER(C35)),IF(OR(WEEKDAY(B35,2)&gt;5,C35&lt;1,C35&gt;10),"",IF(INDEX(Timetable!$E$6:$I$15,C35,WEEKDAY(B35,2))="","",INDEX(Timetable!$E$6:$I$15,C35,WEEKDAY(B35,2)))),"")))</f>
        <v/>
      </c>
      <c r="J35" s="1" t="n"/>
      <c r="K35">
        <f>IF(AND(ISNUMBER(B35),ISNUMBER(C35)),B35*100+C35,"")</f>
        <v/>
      </c>
      <c r="L35">
        <f>IF(OR(G35="",NOT(ISNUMBER(B35))),"",IF(AND(B35&gt;=Settings!$C$6,B35&lt;=Settings!$C$6+6),B35*1000+ROW(),""))</f>
        <v/>
      </c>
    </row>
    <row r="36">
      <c r="A36" s="1" t="n"/>
      <c r="B36" s="28" t="n">
        <v>46295</v>
      </c>
      <c r="C36" s="29" t="n">
        <v>3</v>
      </c>
      <c r="D36" s="30" t="n"/>
      <c r="E36" s="31" t="inlineStr">
        <is>
          <t>Diffusion demo</t>
        </is>
      </c>
      <c r="F36" s="32" t="n"/>
      <c r="G36" s="32" t="n"/>
      <c r="H36" s="33" t="n"/>
      <c r="I36" s="34">
        <f>IF(B36="","",IF(D36&lt;&gt;"",D36,IF(AND(ISNUMBER(B36),ISNUMBER(C36)),IF(OR(WEEKDAY(B36,2)&gt;5,C36&lt;1,C36&gt;10),"",IF(INDEX(Timetable!$E$6:$I$15,C36,WEEKDAY(B36,2))="","",INDEX(Timetable!$E$6:$I$15,C36,WEEKDAY(B36,2)))),"")))</f>
        <v/>
      </c>
      <c r="J36" s="1" t="n"/>
      <c r="K36">
        <f>IF(AND(ISNUMBER(B36),ISNUMBER(C36)),B36*100+C36,"")</f>
        <v/>
      </c>
      <c r="L36">
        <f>IF(OR(G36="",NOT(ISNUMBER(B36))),"",IF(AND(B36&gt;=Settings!$C$6,B36&lt;=Settings!$C$6+6),B36*1000+ROW(),""))</f>
        <v/>
      </c>
    </row>
    <row r="37">
      <c r="A37" s="1" t="n"/>
      <c r="B37" s="28" t="n">
        <v>46295</v>
      </c>
      <c r="C37" s="29" t="n">
        <v>4</v>
      </c>
      <c r="D37" s="30" t="n"/>
      <c r="E37" s="31" t="inlineStr">
        <is>
          <t>Organs quiz</t>
        </is>
      </c>
      <c r="F37" s="32" t="n"/>
      <c r="G37" s="32" t="n"/>
      <c r="H37" s="33" t="n"/>
      <c r="I37" s="34">
        <f>IF(B37="","",IF(D37&lt;&gt;"",D37,IF(AND(ISNUMBER(B37),ISNUMBER(C37)),IF(OR(WEEKDAY(B37,2)&gt;5,C37&lt;1,C37&gt;10),"",IF(INDEX(Timetable!$E$6:$I$15,C37,WEEKDAY(B37,2))="","",INDEX(Timetable!$E$6:$I$15,C37,WEEKDAY(B37,2)))),"")))</f>
        <v/>
      </c>
      <c r="J37" s="1" t="n"/>
      <c r="K37">
        <f>IF(AND(ISNUMBER(B37),ISNUMBER(C37)),B37*100+C37,"")</f>
        <v/>
      </c>
      <c r="L37">
        <f>IF(OR(G37="",NOT(ISNUMBER(B37))),"",IF(AND(B37&gt;=Settings!$C$6,B37&lt;=Settings!$C$6+6),B37*1000+ROW(),""))</f>
        <v/>
      </c>
    </row>
    <row r="38">
      <c r="A38" s="1" t="n"/>
      <c r="B38" s="28" t="n">
        <v>46295</v>
      </c>
      <c r="C38" s="29" t="n">
        <v>5</v>
      </c>
      <c r="D38" s="30" t="n"/>
      <c r="E38" s="31" t="inlineStr">
        <is>
          <t>Blood vessels</t>
        </is>
      </c>
      <c r="F38" s="32" t="n"/>
      <c r="G38" s="32" t="n"/>
      <c r="H38" s="33" t="n"/>
      <c r="I38" s="34">
        <f>IF(B38="","",IF(D38&lt;&gt;"",D38,IF(AND(ISNUMBER(B38),ISNUMBER(C38)),IF(OR(WEEKDAY(B38,2)&gt;5,C38&lt;1,C38&gt;10),"",IF(INDEX(Timetable!$E$6:$I$15,C38,WEEKDAY(B38,2))="","",INDEX(Timetable!$E$6:$I$15,C38,WEEKDAY(B38,2)))),"")))</f>
        <v/>
      </c>
      <c r="J38" s="1" t="n"/>
      <c r="K38">
        <f>IF(AND(ISNUMBER(B38),ISNUMBER(C38)),B38*100+C38,"")</f>
        <v/>
      </c>
      <c r="L38">
        <f>IF(OR(G38="",NOT(ISNUMBER(B38))),"",IF(AND(B38&gt;=Settings!$C$6,B38&lt;=Settings!$C$6+6),B38*1000+ROW(),""))</f>
        <v/>
      </c>
    </row>
    <row r="39">
      <c r="A39" s="1" t="n"/>
      <c r="B39" s="28" t="n">
        <v>46295</v>
      </c>
      <c r="C39" s="29" t="n">
        <v>6</v>
      </c>
      <c r="D39" s="30" t="n"/>
      <c r="E39" s="31" t="inlineStr">
        <is>
          <t>Rates practical</t>
        </is>
      </c>
      <c r="F39" s="32" t="n"/>
      <c r="G39" s="32" t="n"/>
      <c r="H39" s="33" t="n"/>
      <c r="I39" s="34">
        <f>IF(B39="","",IF(D39&lt;&gt;"",D39,IF(AND(ISNUMBER(B39),ISNUMBER(C39)),IF(OR(WEEKDAY(B39,2)&gt;5,C39&lt;1,C39&gt;10),"",IF(INDEX(Timetable!$E$6:$I$15,C39,WEEKDAY(B39,2))="","",INDEX(Timetable!$E$6:$I$15,C39,WEEKDAY(B39,2)))),"")))</f>
        <v/>
      </c>
      <c r="J39" s="1" t="n"/>
      <c r="K39">
        <f>IF(AND(ISNUMBER(B39),ISNUMBER(C39)),B39*100+C39,"")</f>
        <v/>
      </c>
      <c r="L39">
        <f>IF(OR(G39="",NOT(ISNUMBER(B39))),"",IF(AND(B39&gt;=Settings!$C$6,B39&lt;=Settings!$C$6+6),B39*1000+ROW(),""))</f>
        <v/>
      </c>
    </row>
    <row r="40">
      <c r="A40" s="1" t="n"/>
      <c r="B40" s="28" t="n">
        <v>46296</v>
      </c>
      <c r="C40" s="29" t="n">
        <v>1</v>
      </c>
      <c r="D40" s="30" t="n"/>
      <c r="E40" s="31" t="inlineStr">
        <is>
          <t>Mixtures</t>
        </is>
      </c>
      <c r="F40" s="32" t="inlineStr">
        <is>
          <t>Tell mixtures from compounds</t>
        </is>
      </c>
      <c r="G40" s="32" t="inlineStr">
        <is>
          <t>Revise for the quiz</t>
        </is>
      </c>
      <c r="H40" s="33" t="n"/>
      <c r="I40" s="34">
        <f>IF(B40="","",IF(D40&lt;&gt;"",D40,IF(AND(ISNUMBER(B40),ISNUMBER(C40)),IF(OR(WEEKDAY(B40,2)&gt;5,C40&lt;1,C40&gt;10),"",IF(INDEX(Timetable!$E$6:$I$15,C40,WEEKDAY(B40,2))="","",INDEX(Timetable!$E$6:$I$15,C40,WEEKDAY(B40,2)))),"")))</f>
        <v/>
      </c>
      <c r="J40" s="1" t="n"/>
      <c r="K40">
        <f>IF(AND(ISNUMBER(B40),ISNUMBER(C40)),B40*100+C40,"")</f>
        <v/>
      </c>
      <c r="L40">
        <f>IF(OR(G40="",NOT(ISNUMBER(B40))),"",IF(AND(B40&gt;=Settings!$C$6,B40&lt;=Settings!$C$6+6),B40*1000+ROW(),""))</f>
        <v/>
      </c>
    </row>
    <row r="41">
      <c r="A41" s="1" t="n"/>
      <c r="B41" s="28" t="n">
        <v>46296</v>
      </c>
      <c r="C41" s="29" t="n">
        <v>2</v>
      </c>
      <c r="D41" s="30" t="n"/>
      <c r="E41" s="31" t="inlineStr">
        <is>
          <t>Filtration practical</t>
        </is>
      </c>
      <c r="F41" s="32" t="n"/>
      <c r="G41" s="32" t="n"/>
      <c r="H41" s="33" t="n"/>
      <c r="I41" s="34">
        <f>IF(B41="","",IF(D41&lt;&gt;"",D41,IF(AND(ISNUMBER(B41),ISNUMBER(C41)),IF(OR(WEEKDAY(B41,2)&gt;5,C41&lt;1,C41&gt;10),"",IF(INDEX(Timetable!$E$6:$I$15,C41,WEEKDAY(B41,2))="","",INDEX(Timetable!$E$6:$I$15,C41,WEEKDAY(B41,2)))),"")))</f>
        <v/>
      </c>
      <c r="J41" s="1" t="n"/>
      <c r="K41">
        <f>IF(AND(ISNUMBER(B41),ISNUMBER(C41)),B41*100+C41,"")</f>
        <v/>
      </c>
      <c r="L41">
        <f>IF(OR(G41="",NOT(ISNUMBER(B41))),"",IF(AND(B41&gt;=Settings!$C$6,B41&lt;=Settings!$C$6+6),B41*1000+ROW(),""))</f>
        <v/>
      </c>
    </row>
    <row r="42">
      <c r="A42" s="1" t="n"/>
      <c r="B42" s="28" t="n">
        <v>46297</v>
      </c>
      <c r="C42" s="29" t="n">
        <v>2</v>
      </c>
      <c r="D42" s="30" t="n"/>
      <c r="E42" s="31" t="inlineStr">
        <is>
          <t>Heart dissection</t>
        </is>
      </c>
      <c r="F42" s="32" t="n"/>
      <c r="G42" s="32" t="n"/>
      <c r="H42" s="33" t="n"/>
      <c r="I42" s="34">
        <f>IF(B42="","",IF(D42&lt;&gt;"",D42,IF(AND(ISNUMBER(B42),ISNUMBER(C42)),IF(OR(WEEKDAY(B42,2)&gt;5,C42&lt;1,C42&gt;10),"",IF(INDEX(Timetable!$E$6:$I$15,C42,WEEKDAY(B42,2))="","",INDEX(Timetable!$E$6:$I$15,C42,WEEKDAY(B42,2)))),"")))</f>
        <v/>
      </c>
      <c r="J42" s="1" t="n"/>
      <c r="K42">
        <f>IF(AND(ISNUMBER(B42),ISNUMBER(C42)),B42*100+C42,"")</f>
        <v/>
      </c>
      <c r="L42">
        <f>IF(OR(G42="",NOT(ISNUMBER(B42))),"",IF(AND(B42&gt;=Settings!$C$6,B42&lt;=Settings!$C$6+6),B42*1000+ROW(),""))</f>
        <v/>
      </c>
    </row>
    <row r="43">
      <c r="A43" s="1" t="n"/>
      <c r="B43" s="28" t="n">
        <v>46297</v>
      </c>
      <c r="C43" s="29" t="n">
        <v>3</v>
      </c>
      <c r="D43" s="30" t="n"/>
      <c r="E43" s="31" t="inlineStr">
        <is>
          <t>Catalysts</t>
        </is>
      </c>
      <c r="F43" s="32" t="n"/>
      <c r="G43" s="32" t="n"/>
      <c r="H43" s="33" t="n"/>
      <c r="I43" s="34">
        <f>IF(B43="","",IF(D43&lt;&gt;"",D43,IF(AND(ISNUMBER(B43),ISNUMBER(C43)),IF(OR(WEEKDAY(B43,2)&gt;5,C43&lt;1,C43&gt;10),"",IF(INDEX(Timetable!$E$6:$I$15,C43,WEEKDAY(B43,2))="","",INDEX(Timetable!$E$6:$I$15,C43,WEEKDAY(B43,2)))),"")))</f>
        <v/>
      </c>
      <c r="J43" s="1" t="n"/>
      <c r="K43">
        <f>IF(AND(ISNUMBER(B43),ISNUMBER(C43)),B43*100+C43,"")</f>
        <v/>
      </c>
      <c r="L43">
        <f>IF(OR(G43="",NOT(ISNUMBER(B43))),"",IF(AND(B43&gt;=Settings!$C$6,B43&lt;=Settings!$C$6+6),B43*1000+ROW(),""))</f>
        <v/>
      </c>
    </row>
    <row r="44">
      <c r="A44" s="1" t="n"/>
      <c r="B44" s="28" t="n">
        <v>46297</v>
      </c>
      <c r="C44" s="29" t="n">
        <v>5</v>
      </c>
      <c r="D44" s="30" t="n"/>
      <c r="E44" s="31" t="inlineStr">
        <is>
          <t>Chromatography</t>
        </is>
      </c>
      <c r="F44" s="32" t="n"/>
      <c r="G44" s="32" t="n"/>
      <c r="H44" s="33" t="n"/>
      <c r="I44" s="34">
        <f>IF(B44="","",IF(D44&lt;&gt;"",D44,IF(AND(ISNUMBER(B44),ISNUMBER(C44)),IF(OR(WEEKDAY(B44,2)&gt;5,C44&lt;1,C44&gt;10),"",IF(INDEX(Timetable!$E$6:$I$15,C44,WEEKDAY(B44,2))="","",INDEX(Timetable!$E$6:$I$15,C44,WEEKDAY(B44,2)))),"")))</f>
        <v/>
      </c>
      <c r="J44" s="1" t="n"/>
      <c r="K44">
        <f>IF(AND(ISNUMBER(B44),ISNUMBER(C44)),B44*100+C44,"")</f>
        <v/>
      </c>
      <c r="L44">
        <f>IF(OR(G44="",NOT(ISNUMBER(B44))),"",IF(AND(B44&gt;=Settings!$C$6,B44&lt;=Settings!$C$6+6),B44*1000+ROW(),""))</f>
        <v/>
      </c>
    </row>
    <row r="45">
      <c r="A45" s="1" t="n"/>
      <c r="B45" s="28" t="n"/>
      <c r="C45" s="29" t="n"/>
      <c r="D45" s="30" t="n"/>
      <c r="E45" s="31" t="n"/>
      <c r="F45" s="32" t="n"/>
      <c r="G45" s="32" t="n"/>
      <c r="H45" s="33" t="n"/>
      <c r="I45" s="34">
        <f>IF(B45="","",IF(D45&lt;&gt;"",D45,IF(AND(ISNUMBER(B45),ISNUMBER(C45)),IF(OR(WEEKDAY(B45,2)&gt;5,C45&lt;1,C45&gt;10),"",IF(INDEX(Timetable!$E$6:$I$15,C45,WEEKDAY(B45,2))="","",INDEX(Timetable!$E$6:$I$15,C45,WEEKDAY(B45,2)))),"")))</f>
        <v/>
      </c>
      <c r="J45" s="1" t="n"/>
      <c r="K45">
        <f>IF(AND(ISNUMBER(B45),ISNUMBER(C45)),B45*100+C45,"")</f>
        <v/>
      </c>
      <c r="L45">
        <f>IF(OR(G45="",NOT(ISNUMBER(B45))),"",IF(AND(B45&gt;=Settings!$C$6,B45&lt;=Settings!$C$6+6),B45*1000+ROW(),""))</f>
        <v/>
      </c>
    </row>
    <row r="46">
      <c r="A46" s="1" t="n"/>
      <c r="B46" s="28" t="n"/>
      <c r="C46" s="29" t="n"/>
      <c r="D46" s="30" t="n"/>
      <c r="E46" s="31" t="n"/>
      <c r="F46" s="32" t="n"/>
      <c r="G46" s="32" t="n"/>
      <c r="H46" s="33" t="n"/>
      <c r="I46" s="34">
        <f>IF(B46="","",IF(D46&lt;&gt;"",D46,IF(AND(ISNUMBER(B46),ISNUMBER(C46)),IF(OR(WEEKDAY(B46,2)&gt;5,C46&lt;1,C46&gt;10),"",IF(INDEX(Timetable!$E$6:$I$15,C46,WEEKDAY(B46,2))="","",INDEX(Timetable!$E$6:$I$15,C46,WEEKDAY(B46,2)))),"")))</f>
        <v/>
      </c>
      <c r="J46" s="1" t="n"/>
      <c r="K46">
        <f>IF(AND(ISNUMBER(B46),ISNUMBER(C46)),B46*100+C46,"")</f>
        <v/>
      </c>
      <c r="L46">
        <f>IF(OR(G46="",NOT(ISNUMBER(B46))),"",IF(AND(B46&gt;=Settings!$C$6,B46&lt;=Settings!$C$6+6),B46*1000+ROW(),""))</f>
        <v/>
      </c>
    </row>
    <row r="47">
      <c r="A47" s="1" t="n"/>
      <c r="B47" s="28" t="n"/>
      <c r="C47" s="29" t="n"/>
      <c r="D47" s="30" t="n"/>
      <c r="E47" s="31" t="n"/>
      <c r="F47" s="32" t="n"/>
      <c r="G47" s="32" t="n"/>
      <c r="H47" s="33" t="n"/>
      <c r="I47" s="34">
        <f>IF(B47="","",IF(D47&lt;&gt;"",D47,IF(AND(ISNUMBER(B47),ISNUMBER(C47)),IF(OR(WEEKDAY(B47,2)&gt;5,C47&lt;1,C47&gt;10),"",IF(INDEX(Timetable!$E$6:$I$15,C47,WEEKDAY(B47,2))="","",INDEX(Timetable!$E$6:$I$15,C47,WEEKDAY(B47,2)))),"")))</f>
        <v/>
      </c>
      <c r="J47" s="1" t="n"/>
      <c r="K47">
        <f>IF(AND(ISNUMBER(B47),ISNUMBER(C47)),B47*100+C47,"")</f>
        <v/>
      </c>
      <c r="L47">
        <f>IF(OR(G47="",NOT(ISNUMBER(B47))),"",IF(AND(B47&gt;=Settings!$C$6,B47&lt;=Settings!$C$6+6),B47*1000+ROW(),""))</f>
        <v/>
      </c>
    </row>
    <row r="48">
      <c r="A48" s="1" t="n"/>
      <c r="B48" s="28" t="n"/>
      <c r="C48" s="29" t="n"/>
      <c r="D48" s="30" t="n"/>
      <c r="E48" s="31" t="n"/>
      <c r="F48" s="32" t="n"/>
      <c r="G48" s="32" t="n"/>
      <c r="H48" s="33" t="n"/>
      <c r="I48" s="34">
        <f>IF(B48="","",IF(D48&lt;&gt;"",D48,IF(AND(ISNUMBER(B48),ISNUMBER(C48)),IF(OR(WEEKDAY(B48,2)&gt;5,C48&lt;1,C48&gt;10),"",IF(INDEX(Timetable!$E$6:$I$15,C48,WEEKDAY(B48,2))="","",INDEX(Timetable!$E$6:$I$15,C48,WEEKDAY(B48,2)))),"")))</f>
        <v/>
      </c>
      <c r="J48" s="1" t="n"/>
      <c r="K48">
        <f>IF(AND(ISNUMBER(B48),ISNUMBER(C48)),B48*100+C48,"")</f>
        <v/>
      </c>
      <c r="L48">
        <f>IF(OR(G48="",NOT(ISNUMBER(B48))),"",IF(AND(B48&gt;=Settings!$C$6,B48&lt;=Settings!$C$6+6),B48*1000+ROW(),""))</f>
        <v/>
      </c>
    </row>
    <row r="49">
      <c r="A49" s="1" t="n"/>
      <c r="B49" s="28" t="n"/>
      <c r="C49" s="29" t="n"/>
      <c r="D49" s="30" t="n"/>
      <c r="E49" s="31" t="n"/>
      <c r="F49" s="32" t="n"/>
      <c r="G49" s="32" t="n"/>
      <c r="H49" s="33" t="n"/>
      <c r="I49" s="34">
        <f>IF(B49="","",IF(D49&lt;&gt;"",D49,IF(AND(ISNUMBER(B49),ISNUMBER(C49)),IF(OR(WEEKDAY(B49,2)&gt;5,C49&lt;1,C49&gt;10),"",IF(INDEX(Timetable!$E$6:$I$15,C49,WEEKDAY(B49,2))="","",INDEX(Timetable!$E$6:$I$15,C49,WEEKDAY(B49,2)))),"")))</f>
        <v/>
      </c>
      <c r="J49" s="1" t="n"/>
      <c r="K49">
        <f>IF(AND(ISNUMBER(B49),ISNUMBER(C49)),B49*100+C49,"")</f>
        <v/>
      </c>
      <c r="L49">
        <f>IF(OR(G49="",NOT(ISNUMBER(B49))),"",IF(AND(B49&gt;=Settings!$C$6,B49&lt;=Settings!$C$6+6),B49*1000+ROW(),""))</f>
        <v/>
      </c>
    </row>
    <row r="50">
      <c r="A50" s="1" t="n"/>
      <c r="B50" s="28" t="n"/>
      <c r="C50" s="29" t="n"/>
      <c r="D50" s="30" t="n"/>
      <c r="E50" s="31" t="n"/>
      <c r="F50" s="32" t="n"/>
      <c r="G50" s="32" t="n"/>
      <c r="H50" s="33" t="n"/>
      <c r="I50" s="34">
        <f>IF(B50="","",IF(D50&lt;&gt;"",D50,IF(AND(ISNUMBER(B50),ISNUMBER(C50)),IF(OR(WEEKDAY(B50,2)&gt;5,C50&lt;1,C50&gt;10),"",IF(INDEX(Timetable!$E$6:$I$15,C50,WEEKDAY(B50,2))="","",INDEX(Timetable!$E$6:$I$15,C50,WEEKDAY(B50,2)))),"")))</f>
        <v/>
      </c>
      <c r="J50" s="1" t="n"/>
      <c r="K50">
        <f>IF(AND(ISNUMBER(B50),ISNUMBER(C50)),B50*100+C50,"")</f>
        <v/>
      </c>
      <c r="L50">
        <f>IF(OR(G50="",NOT(ISNUMBER(B50))),"",IF(AND(B50&gt;=Settings!$C$6,B50&lt;=Settings!$C$6+6),B50*1000+ROW(),""))</f>
        <v/>
      </c>
    </row>
    <row r="51">
      <c r="A51" s="1" t="n"/>
      <c r="B51" s="28" t="n"/>
      <c r="C51" s="29" t="n"/>
      <c r="D51" s="30" t="n"/>
      <c r="E51" s="31" t="n"/>
      <c r="F51" s="32" t="n"/>
      <c r="G51" s="32" t="n"/>
      <c r="H51" s="33" t="n"/>
      <c r="I51" s="34">
        <f>IF(B51="","",IF(D51&lt;&gt;"",D51,IF(AND(ISNUMBER(B51),ISNUMBER(C51)),IF(OR(WEEKDAY(B51,2)&gt;5,C51&lt;1,C51&gt;10),"",IF(INDEX(Timetable!$E$6:$I$15,C51,WEEKDAY(B51,2))="","",INDEX(Timetable!$E$6:$I$15,C51,WEEKDAY(B51,2)))),"")))</f>
        <v/>
      </c>
      <c r="J51" s="1" t="n"/>
      <c r="K51">
        <f>IF(AND(ISNUMBER(B51),ISNUMBER(C51)),B51*100+C51,"")</f>
        <v/>
      </c>
      <c r="L51">
        <f>IF(OR(G51="",NOT(ISNUMBER(B51))),"",IF(AND(B51&gt;=Settings!$C$6,B51&lt;=Settings!$C$6+6),B51*1000+ROW(),""))</f>
        <v/>
      </c>
    </row>
    <row r="52">
      <c r="A52" s="1" t="n"/>
      <c r="B52" s="28" t="n"/>
      <c r="C52" s="29" t="n"/>
      <c r="D52" s="30" t="n"/>
      <c r="E52" s="31" t="n"/>
      <c r="F52" s="32" t="n"/>
      <c r="G52" s="32" t="n"/>
      <c r="H52" s="33" t="n"/>
      <c r="I52" s="34">
        <f>IF(B52="","",IF(D52&lt;&gt;"",D52,IF(AND(ISNUMBER(B52),ISNUMBER(C52)),IF(OR(WEEKDAY(B52,2)&gt;5,C52&lt;1,C52&gt;10),"",IF(INDEX(Timetable!$E$6:$I$15,C52,WEEKDAY(B52,2))="","",INDEX(Timetable!$E$6:$I$15,C52,WEEKDAY(B52,2)))),"")))</f>
        <v/>
      </c>
      <c r="J52" s="1" t="n"/>
      <c r="K52">
        <f>IF(AND(ISNUMBER(B52),ISNUMBER(C52)),B52*100+C52,"")</f>
        <v/>
      </c>
      <c r="L52">
        <f>IF(OR(G52="",NOT(ISNUMBER(B52))),"",IF(AND(B52&gt;=Settings!$C$6,B52&lt;=Settings!$C$6+6),B52*1000+ROW(),""))</f>
        <v/>
      </c>
    </row>
    <row r="53">
      <c r="A53" s="1" t="n"/>
      <c r="B53" s="28" t="n"/>
      <c r="C53" s="29" t="n"/>
      <c r="D53" s="30" t="n"/>
      <c r="E53" s="31" t="n"/>
      <c r="F53" s="32" t="n"/>
      <c r="G53" s="32" t="n"/>
      <c r="H53" s="33" t="n"/>
      <c r="I53" s="34">
        <f>IF(B53="","",IF(D53&lt;&gt;"",D53,IF(AND(ISNUMBER(B53),ISNUMBER(C53)),IF(OR(WEEKDAY(B53,2)&gt;5,C53&lt;1,C53&gt;10),"",IF(INDEX(Timetable!$E$6:$I$15,C53,WEEKDAY(B53,2))="","",INDEX(Timetable!$E$6:$I$15,C53,WEEKDAY(B53,2)))),"")))</f>
        <v/>
      </c>
      <c r="J53" s="1" t="n"/>
      <c r="K53">
        <f>IF(AND(ISNUMBER(B53),ISNUMBER(C53)),B53*100+C53,"")</f>
        <v/>
      </c>
      <c r="L53">
        <f>IF(OR(G53="",NOT(ISNUMBER(B53))),"",IF(AND(B53&gt;=Settings!$C$6,B53&lt;=Settings!$C$6+6),B53*1000+ROW(),""))</f>
        <v/>
      </c>
    </row>
    <row r="54">
      <c r="A54" s="1" t="n"/>
      <c r="B54" s="28" t="n"/>
      <c r="C54" s="29" t="n"/>
      <c r="D54" s="30" t="n"/>
      <c r="E54" s="31" t="n"/>
      <c r="F54" s="32" t="n"/>
      <c r="G54" s="32" t="n"/>
      <c r="H54" s="33" t="n"/>
      <c r="I54" s="34">
        <f>IF(B54="","",IF(D54&lt;&gt;"",D54,IF(AND(ISNUMBER(B54),ISNUMBER(C54)),IF(OR(WEEKDAY(B54,2)&gt;5,C54&lt;1,C54&gt;10),"",IF(INDEX(Timetable!$E$6:$I$15,C54,WEEKDAY(B54,2))="","",INDEX(Timetable!$E$6:$I$15,C54,WEEKDAY(B54,2)))),"")))</f>
        <v/>
      </c>
      <c r="J54" s="1" t="n"/>
      <c r="K54">
        <f>IF(AND(ISNUMBER(B54),ISNUMBER(C54)),B54*100+C54,"")</f>
        <v/>
      </c>
      <c r="L54">
        <f>IF(OR(G54="",NOT(ISNUMBER(B54))),"",IF(AND(B54&gt;=Settings!$C$6,B54&lt;=Settings!$C$6+6),B54*1000+ROW(),""))</f>
        <v/>
      </c>
    </row>
    <row r="55">
      <c r="A55" s="1" t="n"/>
      <c r="B55" s="28" t="n"/>
      <c r="C55" s="29" t="n"/>
      <c r="D55" s="30" t="n"/>
      <c r="E55" s="31" t="n"/>
      <c r="F55" s="32" t="n"/>
      <c r="G55" s="32" t="n"/>
      <c r="H55" s="33" t="n"/>
      <c r="I55" s="34">
        <f>IF(B55="","",IF(D55&lt;&gt;"",D55,IF(AND(ISNUMBER(B55),ISNUMBER(C55)),IF(OR(WEEKDAY(B55,2)&gt;5,C55&lt;1,C55&gt;10),"",IF(INDEX(Timetable!$E$6:$I$15,C55,WEEKDAY(B55,2))="","",INDEX(Timetable!$E$6:$I$15,C55,WEEKDAY(B55,2)))),"")))</f>
        <v/>
      </c>
      <c r="J55" s="1" t="n"/>
      <c r="K55">
        <f>IF(AND(ISNUMBER(B55),ISNUMBER(C55)),B55*100+C55,"")</f>
        <v/>
      </c>
      <c r="L55">
        <f>IF(OR(G55="",NOT(ISNUMBER(B55))),"",IF(AND(B55&gt;=Settings!$C$6,B55&lt;=Settings!$C$6+6),B55*1000+ROW(),""))</f>
        <v/>
      </c>
    </row>
    <row r="56">
      <c r="A56" s="1" t="n"/>
      <c r="B56" s="28" t="n"/>
      <c r="C56" s="29" t="n"/>
      <c r="D56" s="30" t="n"/>
      <c r="E56" s="31" t="n"/>
      <c r="F56" s="32" t="n"/>
      <c r="G56" s="32" t="n"/>
      <c r="H56" s="33" t="n"/>
      <c r="I56" s="34">
        <f>IF(B56="","",IF(D56&lt;&gt;"",D56,IF(AND(ISNUMBER(B56),ISNUMBER(C56)),IF(OR(WEEKDAY(B56,2)&gt;5,C56&lt;1,C56&gt;10),"",IF(INDEX(Timetable!$E$6:$I$15,C56,WEEKDAY(B56,2))="","",INDEX(Timetable!$E$6:$I$15,C56,WEEKDAY(B56,2)))),"")))</f>
        <v/>
      </c>
      <c r="J56" s="1" t="n"/>
      <c r="K56">
        <f>IF(AND(ISNUMBER(B56),ISNUMBER(C56)),B56*100+C56,"")</f>
        <v/>
      </c>
      <c r="L56">
        <f>IF(OR(G56="",NOT(ISNUMBER(B56))),"",IF(AND(B56&gt;=Settings!$C$6,B56&lt;=Settings!$C$6+6),B56*1000+ROW(),""))</f>
        <v/>
      </c>
    </row>
    <row r="57">
      <c r="A57" s="1" t="n"/>
      <c r="B57" s="28" t="n"/>
      <c r="C57" s="29" t="n"/>
      <c r="D57" s="30" t="n"/>
      <c r="E57" s="31" t="n"/>
      <c r="F57" s="32" t="n"/>
      <c r="G57" s="32" t="n"/>
      <c r="H57" s="33" t="n"/>
      <c r="I57" s="34">
        <f>IF(B57="","",IF(D57&lt;&gt;"",D57,IF(AND(ISNUMBER(B57),ISNUMBER(C57)),IF(OR(WEEKDAY(B57,2)&gt;5,C57&lt;1,C57&gt;10),"",IF(INDEX(Timetable!$E$6:$I$15,C57,WEEKDAY(B57,2))="","",INDEX(Timetable!$E$6:$I$15,C57,WEEKDAY(B57,2)))),"")))</f>
        <v/>
      </c>
      <c r="J57" s="1" t="n"/>
      <c r="K57">
        <f>IF(AND(ISNUMBER(B57),ISNUMBER(C57)),B57*100+C57,"")</f>
        <v/>
      </c>
      <c r="L57">
        <f>IF(OR(G57="",NOT(ISNUMBER(B57))),"",IF(AND(B57&gt;=Settings!$C$6,B57&lt;=Settings!$C$6+6),B57*1000+ROW(),""))</f>
        <v/>
      </c>
    </row>
    <row r="58">
      <c r="A58" s="1" t="n"/>
      <c r="B58" s="28" t="n"/>
      <c r="C58" s="29" t="n"/>
      <c r="D58" s="30" t="n"/>
      <c r="E58" s="31" t="n"/>
      <c r="F58" s="32" t="n"/>
      <c r="G58" s="32" t="n"/>
      <c r="H58" s="33" t="n"/>
      <c r="I58" s="34">
        <f>IF(B58="","",IF(D58&lt;&gt;"",D58,IF(AND(ISNUMBER(B58),ISNUMBER(C58)),IF(OR(WEEKDAY(B58,2)&gt;5,C58&lt;1,C58&gt;10),"",IF(INDEX(Timetable!$E$6:$I$15,C58,WEEKDAY(B58,2))="","",INDEX(Timetable!$E$6:$I$15,C58,WEEKDAY(B58,2)))),"")))</f>
        <v/>
      </c>
      <c r="J58" s="1" t="n"/>
      <c r="K58">
        <f>IF(AND(ISNUMBER(B58),ISNUMBER(C58)),B58*100+C58,"")</f>
        <v/>
      </c>
      <c r="L58">
        <f>IF(OR(G58="",NOT(ISNUMBER(B58))),"",IF(AND(B58&gt;=Settings!$C$6,B58&lt;=Settings!$C$6+6),B58*1000+ROW(),""))</f>
        <v/>
      </c>
    </row>
    <row r="59">
      <c r="A59" s="1" t="n"/>
      <c r="B59" s="28" t="n"/>
      <c r="C59" s="29" t="n"/>
      <c r="D59" s="30" t="n"/>
      <c r="E59" s="31" t="n"/>
      <c r="F59" s="32" t="n"/>
      <c r="G59" s="32" t="n"/>
      <c r="H59" s="33" t="n"/>
      <c r="I59" s="34">
        <f>IF(B59="","",IF(D59&lt;&gt;"",D59,IF(AND(ISNUMBER(B59),ISNUMBER(C59)),IF(OR(WEEKDAY(B59,2)&gt;5,C59&lt;1,C59&gt;10),"",IF(INDEX(Timetable!$E$6:$I$15,C59,WEEKDAY(B59,2))="","",INDEX(Timetable!$E$6:$I$15,C59,WEEKDAY(B59,2)))),"")))</f>
        <v/>
      </c>
      <c r="J59" s="1" t="n"/>
      <c r="K59">
        <f>IF(AND(ISNUMBER(B59),ISNUMBER(C59)),B59*100+C59,"")</f>
        <v/>
      </c>
      <c r="L59">
        <f>IF(OR(G59="",NOT(ISNUMBER(B59))),"",IF(AND(B59&gt;=Settings!$C$6,B59&lt;=Settings!$C$6+6),B59*1000+ROW(),""))</f>
        <v/>
      </c>
    </row>
    <row r="60">
      <c r="A60" s="1" t="n"/>
      <c r="B60" s="28" t="n"/>
      <c r="C60" s="29" t="n"/>
      <c r="D60" s="30" t="n"/>
      <c r="E60" s="31" t="n"/>
      <c r="F60" s="32" t="n"/>
      <c r="G60" s="32" t="n"/>
      <c r="H60" s="33" t="n"/>
      <c r="I60" s="34">
        <f>IF(B60="","",IF(D60&lt;&gt;"",D60,IF(AND(ISNUMBER(B60),ISNUMBER(C60)),IF(OR(WEEKDAY(B60,2)&gt;5,C60&lt;1,C60&gt;10),"",IF(INDEX(Timetable!$E$6:$I$15,C60,WEEKDAY(B60,2))="","",INDEX(Timetable!$E$6:$I$15,C60,WEEKDAY(B60,2)))),"")))</f>
        <v/>
      </c>
      <c r="J60" s="1" t="n"/>
      <c r="K60">
        <f>IF(AND(ISNUMBER(B60),ISNUMBER(C60)),B60*100+C60,"")</f>
        <v/>
      </c>
      <c r="L60">
        <f>IF(OR(G60="",NOT(ISNUMBER(B60))),"",IF(AND(B60&gt;=Settings!$C$6,B60&lt;=Settings!$C$6+6),B60*1000+ROW(),""))</f>
        <v/>
      </c>
    </row>
    <row r="61">
      <c r="A61" s="1" t="n"/>
      <c r="B61" s="28" t="n"/>
      <c r="C61" s="29" t="n"/>
      <c r="D61" s="30" t="n"/>
      <c r="E61" s="31" t="n"/>
      <c r="F61" s="32" t="n"/>
      <c r="G61" s="32" t="n"/>
      <c r="H61" s="33" t="n"/>
      <c r="I61" s="34">
        <f>IF(B61="","",IF(D61&lt;&gt;"",D61,IF(AND(ISNUMBER(B61),ISNUMBER(C61)),IF(OR(WEEKDAY(B61,2)&gt;5,C61&lt;1,C61&gt;10),"",IF(INDEX(Timetable!$E$6:$I$15,C61,WEEKDAY(B61,2))="","",INDEX(Timetable!$E$6:$I$15,C61,WEEKDAY(B61,2)))),"")))</f>
        <v/>
      </c>
      <c r="J61" s="1" t="n"/>
      <c r="K61">
        <f>IF(AND(ISNUMBER(B61),ISNUMBER(C61)),B61*100+C61,"")</f>
        <v/>
      </c>
      <c r="L61">
        <f>IF(OR(G61="",NOT(ISNUMBER(B61))),"",IF(AND(B61&gt;=Settings!$C$6,B61&lt;=Settings!$C$6+6),B61*1000+ROW(),""))</f>
        <v/>
      </c>
    </row>
    <row r="62">
      <c r="A62" s="1" t="n"/>
      <c r="B62" s="28" t="n"/>
      <c r="C62" s="29" t="n"/>
      <c r="D62" s="30" t="n"/>
      <c r="E62" s="31" t="n"/>
      <c r="F62" s="32" t="n"/>
      <c r="G62" s="32" t="n"/>
      <c r="H62" s="33" t="n"/>
      <c r="I62" s="34">
        <f>IF(B62="","",IF(D62&lt;&gt;"",D62,IF(AND(ISNUMBER(B62),ISNUMBER(C62)),IF(OR(WEEKDAY(B62,2)&gt;5,C62&lt;1,C62&gt;10),"",IF(INDEX(Timetable!$E$6:$I$15,C62,WEEKDAY(B62,2))="","",INDEX(Timetable!$E$6:$I$15,C62,WEEKDAY(B62,2)))),"")))</f>
        <v/>
      </c>
      <c r="J62" s="1" t="n"/>
      <c r="K62">
        <f>IF(AND(ISNUMBER(B62),ISNUMBER(C62)),B62*100+C62,"")</f>
        <v/>
      </c>
      <c r="L62">
        <f>IF(OR(G62="",NOT(ISNUMBER(B62))),"",IF(AND(B62&gt;=Settings!$C$6,B62&lt;=Settings!$C$6+6),B62*1000+ROW(),""))</f>
        <v/>
      </c>
    </row>
    <row r="63">
      <c r="A63" s="1" t="n"/>
      <c r="B63" s="28" t="n"/>
      <c r="C63" s="29" t="n"/>
      <c r="D63" s="30" t="n"/>
      <c r="E63" s="31" t="n"/>
      <c r="F63" s="32" t="n"/>
      <c r="G63" s="32" t="n"/>
      <c r="H63" s="33" t="n"/>
      <c r="I63" s="34">
        <f>IF(B63="","",IF(D63&lt;&gt;"",D63,IF(AND(ISNUMBER(B63),ISNUMBER(C63)),IF(OR(WEEKDAY(B63,2)&gt;5,C63&lt;1,C63&gt;10),"",IF(INDEX(Timetable!$E$6:$I$15,C63,WEEKDAY(B63,2))="","",INDEX(Timetable!$E$6:$I$15,C63,WEEKDAY(B63,2)))),"")))</f>
        <v/>
      </c>
      <c r="J63" s="1" t="n"/>
      <c r="K63">
        <f>IF(AND(ISNUMBER(B63),ISNUMBER(C63)),B63*100+C63,"")</f>
        <v/>
      </c>
      <c r="L63">
        <f>IF(OR(G63="",NOT(ISNUMBER(B63))),"",IF(AND(B63&gt;=Settings!$C$6,B63&lt;=Settings!$C$6+6),B63*1000+ROW(),""))</f>
        <v/>
      </c>
    </row>
    <row r="64">
      <c r="A64" s="1" t="n"/>
      <c r="B64" s="28" t="n"/>
      <c r="C64" s="29" t="n"/>
      <c r="D64" s="30" t="n"/>
      <c r="E64" s="31" t="n"/>
      <c r="F64" s="32" t="n"/>
      <c r="G64" s="32" t="n"/>
      <c r="H64" s="33" t="n"/>
      <c r="I64" s="34">
        <f>IF(B64="","",IF(D64&lt;&gt;"",D64,IF(AND(ISNUMBER(B64),ISNUMBER(C64)),IF(OR(WEEKDAY(B64,2)&gt;5,C64&lt;1,C64&gt;10),"",IF(INDEX(Timetable!$E$6:$I$15,C64,WEEKDAY(B64,2))="","",INDEX(Timetable!$E$6:$I$15,C64,WEEKDAY(B64,2)))),"")))</f>
        <v/>
      </c>
      <c r="J64" s="1" t="n"/>
      <c r="K64">
        <f>IF(AND(ISNUMBER(B64),ISNUMBER(C64)),B64*100+C64,"")</f>
        <v/>
      </c>
      <c r="L64">
        <f>IF(OR(G64="",NOT(ISNUMBER(B64))),"",IF(AND(B64&gt;=Settings!$C$6,B64&lt;=Settings!$C$6+6),B64*1000+ROW(),""))</f>
        <v/>
      </c>
    </row>
    <row r="65">
      <c r="A65" s="1" t="n"/>
      <c r="B65" s="28" t="n"/>
      <c r="C65" s="29" t="n"/>
      <c r="D65" s="30" t="n"/>
      <c r="E65" s="31" t="n"/>
      <c r="F65" s="32" t="n"/>
      <c r="G65" s="32" t="n"/>
      <c r="H65" s="33" t="n"/>
      <c r="I65" s="34">
        <f>IF(B65="","",IF(D65&lt;&gt;"",D65,IF(AND(ISNUMBER(B65),ISNUMBER(C65)),IF(OR(WEEKDAY(B65,2)&gt;5,C65&lt;1,C65&gt;10),"",IF(INDEX(Timetable!$E$6:$I$15,C65,WEEKDAY(B65,2))="","",INDEX(Timetable!$E$6:$I$15,C65,WEEKDAY(B65,2)))),"")))</f>
        <v/>
      </c>
      <c r="J65" s="1" t="n"/>
      <c r="K65">
        <f>IF(AND(ISNUMBER(B65),ISNUMBER(C65)),B65*100+C65,"")</f>
        <v/>
      </c>
      <c r="L65">
        <f>IF(OR(G65="",NOT(ISNUMBER(B65))),"",IF(AND(B65&gt;=Settings!$C$6,B65&lt;=Settings!$C$6+6),B65*1000+ROW(),""))</f>
        <v/>
      </c>
    </row>
    <row r="66">
      <c r="A66" s="1" t="n"/>
      <c r="B66" s="28" t="n"/>
      <c r="C66" s="29" t="n"/>
      <c r="D66" s="30" t="n"/>
      <c r="E66" s="31" t="n"/>
      <c r="F66" s="32" t="n"/>
      <c r="G66" s="32" t="n"/>
      <c r="H66" s="33" t="n"/>
      <c r="I66" s="34">
        <f>IF(B66="","",IF(D66&lt;&gt;"",D66,IF(AND(ISNUMBER(B66),ISNUMBER(C66)),IF(OR(WEEKDAY(B66,2)&gt;5,C66&lt;1,C66&gt;10),"",IF(INDEX(Timetable!$E$6:$I$15,C66,WEEKDAY(B66,2))="","",INDEX(Timetable!$E$6:$I$15,C66,WEEKDAY(B66,2)))),"")))</f>
        <v/>
      </c>
      <c r="J66" s="1" t="n"/>
      <c r="K66">
        <f>IF(AND(ISNUMBER(B66),ISNUMBER(C66)),B66*100+C66,"")</f>
        <v/>
      </c>
      <c r="L66">
        <f>IF(OR(G66="",NOT(ISNUMBER(B66))),"",IF(AND(B66&gt;=Settings!$C$6,B66&lt;=Settings!$C$6+6),B66*1000+ROW(),""))</f>
        <v/>
      </c>
    </row>
    <row r="67">
      <c r="A67" s="1" t="n"/>
      <c r="B67" s="28" t="n"/>
      <c r="C67" s="29" t="n"/>
      <c r="D67" s="30" t="n"/>
      <c r="E67" s="31" t="n"/>
      <c r="F67" s="32" t="n"/>
      <c r="G67" s="32" t="n"/>
      <c r="H67" s="33" t="n"/>
      <c r="I67" s="34">
        <f>IF(B67="","",IF(D67&lt;&gt;"",D67,IF(AND(ISNUMBER(B67),ISNUMBER(C67)),IF(OR(WEEKDAY(B67,2)&gt;5,C67&lt;1,C67&gt;10),"",IF(INDEX(Timetable!$E$6:$I$15,C67,WEEKDAY(B67,2))="","",INDEX(Timetable!$E$6:$I$15,C67,WEEKDAY(B67,2)))),"")))</f>
        <v/>
      </c>
      <c r="J67" s="1" t="n"/>
      <c r="K67">
        <f>IF(AND(ISNUMBER(B67),ISNUMBER(C67)),B67*100+C67,"")</f>
        <v/>
      </c>
      <c r="L67">
        <f>IF(OR(G67="",NOT(ISNUMBER(B67))),"",IF(AND(B67&gt;=Settings!$C$6,B67&lt;=Settings!$C$6+6),B67*1000+ROW(),""))</f>
        <v/>
      </c>
    </row>
    <row r="68">
      <c r="A68" s="1" t="n"/>
      <c r="B68" s="28" t="n"/>
      <c r="C68" s="29" t="n"/>
      <c r="D68" s="30" t="n"/>
      <c r="E68" s="31" t="n"/>
      <c r="F68" s="32" t="n"/>
      <c r="G68" s="32" t="n"/>
      <c r="H68" s="33" t="n"/>
      <c r="I68" s="34">
        <f>IF(B68="","",IF(D68&lt;&gt;"",D68,IF(AND(ISNUMBER(B68),ISNUMBER(C68)),IF(OR(WEEKDAY(B68,2)&gt;5,C68&lt;1,C68&gt;10),"",IF(INDEX(Timetable!$E$6:$I$15,C68,WEEKDAY(B68,2))="","",INDEX(Timetable!$E$6:$I$15,C68,WEEKDAY(B68,2)))),"")))</f>
        <v/>
      </c>
      <c r="J68" s="1" t="n"/>
      <c r="K68">
        <f>IF(AND(ISNUMBER(B68),ISNUMBER(C68)),B68*100+C68,"")</f>
        <v/>
      </c>
      <c r="L68">
        <f>IF(OR(G68="",NOT(ISNUMBER(B68))),"",IF(AND(B68&gt;=Settings!$C$6,B68&lt;=Settings!$C$6+6),B68*1000+ROW(),""))</f>
        <v/>
      </c>
    </row>
    <row r="69">
      <c r="A69" s="1" t="n"/>
      <c r="B69" s="28" t="n"/>
      <c r="C69" s="29" t="n"/>
      <c r="D69" s="30" t="n"/>
      <c r="E69" s="31" t="n"/>
      <c r="F69" s="32" t="n"/>
      <c r="G69" s="32" t="n"/>
      <c r="H69" s="33" t="n"/>
      <c r="I69" s="34">
        <f>IF(B69="","",IF(D69&lt;&gt;"",D69,IF(AND(ISNUMBER(B69),ISNUMBER(C69)),IF(OR(WEEKDAY(B69,2)&gt;5,C69&lt;1,C69&gt;10),"",IF(INDEX(Timetable!$E$6:$I$15,C69,WEEKDAY(B69,2))="","",INDEX(Timetable!$E$6:$I$15,C69,WEEKDAY(B69,2)))),"")))</f>
        <v/>
      </c>
      <c r="J69" s="1" t="n"/>
      <c r="K69">
        <f>IF(AND(ISNUMBER(B69),ISNUMBER(C69)),B69*100+C69,"")</f>
        <v/>
      </c>
      <c r="L69">
        <f>IF(OR(G69="",NOT(ISNUMBER(B69))),"",IF(AND(B69&gt;=Settings!$C$6,B69&lt;=Settings!$C$6+6),B69*1000+ROW(),""))</f>
        <v/>
      </c>
    </row>
    <row r="70">
      <c r="A70" s="1" t="n"/>
      <c r="B70" s="28" t="n"/>
      <c r="C70" s="29" t="n"/>
      <c r="D70" s="30" t="n"/>
      <c r="E70" s="31" t="n"/>
      <c r="F70" s="32" t="n"/>
      <c r="G70" s="32" t="n"/>
      <c r="H70" s="33" t="n"/>
      <c r="I70" s="34">
        <f>IF(B70="","",IF(D70&lt;&gt;"",D70,IF(AND(ISNUMBER(B70),ISNUMBER(C70)),IF(OR(WEEKDAY(B70,2)&gt;5,C70&lt;1,C70&gt;10),"",IF(INDEX(Timetable!$E$6:$I$15,C70,WEEKDAY(B70,2))="","",INDEX(Timetable!$E$6:$I$15,C70,WEEKDAY(B70,2)))),"")))</f>
        <v/>
      </c>
      <c r="J70" s="1" t="n"/>
      <c r="K70">
        <f>IF(AND(ISNUMBER(B70),ISNUMBER(C70)),B70*100+C70,"")</f>
        <v/>
      </c>
      <c r="L70">
        <f>IF(OR(G70="",NOT(ISNUMBER(B70))),"",IF(AND(B70&gt;=Settings!$C$6,B70&lt;=Settings!$C$6+6),B70*1000+ROW(),""))</f>
        <v/>
      </c>
    </row>
    <row r="71">
      <c r="A71" s="1" t="n"/>
      <c r="B71" s="28" t="n"/>
      <c r="C71" s="29" t="n"/>
      <c r="D71" s="30" t="n"/>
      <c r="E71" s="31" t="n"/>
      <c r="F71" s="32" t="n"/>
      <c r="G71" s="32" t="n"/>
      <c r="H71" s="33" t="n"/>
      <c r="I71" s="34">
        <f>IF(B71="","",IF(D71&lt;&gt;"",D71,IF(AND(ISNUMBER(B71),ISNUMBER(C71)),IF(OR(WEEKDAY(B71,2)&gt;5,C71&lt;1,C71&gt;10),"",IF(INDEX(Timetable!$E$6:$I$15,C71,WEEKDAY(B71,2))="","",INDEX(Timetable!$E$6:$I$15,C71,WEEKDAY(B71,2)))),"")))</f>
        <v/>
      </c>
      <c r="J71" s="1" t="n"/>
      <c r="K71">
        <f>IF(AND(ISNUMBER(B71),ISNUMBER(C71)),B71*100+C71,"")</f>
        <v/>
      </c>
      <c r="L71">
        <f>IF(OR(G71="",NOT(ISNUMBER(B71))),"",IF(AND(B71&gt;=Settings!$C$6,B71&lt;=Settings!$C$6+6),B71*1000+ROW(),""))</f>
        <v/>
      </c>
    </row>
    <row r="72">
      <c r="A72" s="1" t="n"/>
      <c r="B72" s="28" t="n"/>
      <c r="C72" s="29" t="n"/>
      <c r="D72" s="30" t="n"/>
      <c r="E72" s="31" t="n"/>
      <c r="F72" s="32" t="n"/>
      <c r="G72" s="32" t="n"/>
      <c r="H72" s="33" t="n"/>
      <c r="I72" s="34">
        <f>IF(B72="","",IF(D72&lt;&gt;"",D72,IF(AND(ISNUMBER(B72),ISNUMBER(C72)),IF(OR(WEEKDAY(B72,2)&gt;5,C72&lt;1,C72&gt;10),"",IF(INDEX(Timetable!$E$6:$I$15,C72,WEEKDAY(B72,2))="","",INDEX(Timetable!$E$6:$I$15,C72,WEEKDAY(B72,2)))),"")))</f>
        <v/>
      </c>
      <c r="J72" s="1" t="n"/>
      <c r="K72">
        <f>IF(AND(ISNUMBER(B72),ISNUMBER(C72)),B72*100+C72,"")</f>
        <v/>
      </c>
      <c r="L72">
        <f>IF(OR(G72="",NOT(ISNUMBER(B72))),"",IF(AND(B72&gt;=Settings!$C$6,B72&lt;=Settings!$C$6+6),B72*1000+ROW(),""))</f>
        <v/>
      </c>
    </row>
    <row r="73">
      <c r="A73" s="1" t="n"/>
      <c r="B73" s="28" t="n"/>
      <c r="C73" s="29" t="n"/>
      <c r="D73" s="30" t="n"/>
      <c r="E73" s="31" t="n"/>
      <c r="F73" s="32" t="n"/>
      <c r="G73" s="32" t="n"/>
      <c r="H73" s="33" t="n"/>
      <c r="I73" s="34">
        <f>IF(B73="","",IF(D73&lt;&gt;"",D73,IF(AND(ISNUMBER(B73),ISNUMBER(C73)),IF(OR(WEEKDAY(B73,2)&gt;5,C73&lt;1,C73&gt;10),"",IF(INDEX(Timetable!$E$6:$I$15,C73,WEEKDAY(B73,2))="","",INDEX(Timetable!$E$6:$I$15,C73,WEEKDAY(B73,2)))),"")))</f>
        <v/>
      </c>
      <c r="J73" s="1" t="n"/>
      <c r="K73">
        <f>IF(AND(ISNUMBER(B73),ISNUMBER(C73)),B73*100+C73,"")</f>
        <v/>
      </c>
      <c r="L73">
        <f>IF(OR(G73="",NOT(ISNUMBER(B73))),"",IF(AND(B73&gt;=Settings!$C$6,B73&lt;=Settings!$C$6+6),B73*1000+ROW(),""))</f>
        <v/>
      </c>
    </row>
    <row r="74">
      <c r="A74" s="1" t="n"/>
      <c r="B74" s="28" t="n"/>
      <c r="C74" s="29" t="n"/>
      <c r="D74" s="30" t="n"/>
      <c r="E74" s="31" t="n"/>
      <c r="F74" s="32" t="n"/>
      <c r="G74" s="32" t="n"/>
      <c r="H74" s="33" t="n"/>
      <c r="I74" s="34">
        <f>IF(B74="","",IF(D74&lt;&gt;"",D74,IF(AND(ISNUMBER(B74),ISNUMBER(C74)),IF(OR(WEEKDAY(B74,2)&gt;5,C74&lt;1,C74&gt;10),"",IF(INDEX(Timetable!$E$6:$I$15,C74,WEEKDAY(B74,2))="","",INDEX(Timetable!$E$6:$I$15,C74,WEEKDAY(B74,2)))),"")))</f>
        <v/>
      </c>
      <c r="J74" s="1" t="n"/>
      <c r="K74">
        <f>IF(AND(ISNUMBER(B74),ISNUMBER(C74)),B74*100+C74,"")</f>
        <v/>
      </c>
      <c r="L74">
        <f>IF(OR(G74="",NOT(ISNUMBER(B74))),"",IF(AND(B74&gt;=Settings!$C$6,B74&lt;=Settings!$C$6+6),B74*1000+ROW(),""))</f>
        <v/>
      </c>
    </row>
    <row r="75">
      <c r="A75" s="1" t="n"/>
      <c r="B75" s="28" t="n"/>
      <c r="C75" s="29" t="n"/>
      <c r="D75" s="30" t="n"/>
      <c r="E75" s="31" t="n"/>
      <c r="F75" s="32" t="n"/>
      <c r="G75" s="32" t="n"/>
      <c r="H75" s="33" t="n"/>
      <c r="I75" s="34">
        <f>IF(B75="","",IF(D75&lt;&gt;"",D75,IF(AND(ISNUMBER(B75),ISNUMBER(C75)),IF(OR(WEEKDAY(B75,2)&gt;5,C75&lt;1,C75&gt;10),"",IF(INDEX(Timetable!$E$6:$I$15,C75,WEEKDAY(B75,2))="","",INDEX(Timetable!$E$6:$I$15,C75,WEEKDAY(B75,2)))),"")))</f>
        <v/>
      </c>
      <c r="J75" s="1" t="n"/>
      <c r="K75">
        <f>IF(AND(ISNUMBER(B75),ISNUMBER(C75)),B75*100+C75,"")</f>
        <v/>
      </c>
      <c r="L75">
        <f>IF(OR(G75="",NOT(ISNUMBER(B75))),"",IF(AND(B75&gt;=Settings!$C$6,B75&lt;=Settings!$C$6+6),B75*1000+ROW(),""))</f>
        <v/>
      </c>
    </row>
    <row r="76">
      <c r="A76" s="1" t="n"/>
      <c r="B76" s="28" t="n"/>
      <c r="C76" s="29" t="n"/>
      <c r="D76" s="30" t="n"/>
      <c r="E76" s="31" t="n"/>
      <c r="F76" s="32" t="n"/>
      <c r="G76" s="32" t="n"/>
      <c r="H76" s="33" t="n"/>
      <c r="I76" s="34">
        <f>IF(B76="","",IF(D76&lt;&gt;"",D76,IF(AND(ISNUMBER(B76),ISNUMBER(C76)),IF(OR(WEEKDAY(B76,2)&gt;5,C76&lt;1,C76&gt;10),"",IF(INDEX(Timetable!$E$6:$I$15,C76,WEEKDAY(B76,2))="","",INDEX(Timetable!$E$6:$I$15,C76,WEEKDAY(B76,2)))),"")))</f>
        <v/>
      </c>
      <c r="J76" s="1" t="n"/>
      <c r="K76">
        <f>IF(AND(ISNUMBER(B76),ISNUMBER(C76)),B76*100+C76,"")</f>
        <v/>
      </c>
      <c r="L76">
        <f>IF(OR(G76="",NOT(ISNUMBER(B76))),"",IF(AND(B76&gt;=Settings!$C$6,B76&lt;=Settings!$C$6+6),B76*1000+ROW(),""))</f>
        <v/>
      </c>
    </row>
    <row r="77">
      <c r="A77" s="1" t="n"/>
      <c r="B77" s="28" t="n"/>
      <c r="C77" s="29" t="n"/>
      <c r="D77" s="30" t="n"/>
      <c r="E77" s="31" t="n"/>
      <c r="F77" s="32" t="n"/>
      <c r="G77" s="32" t="n"/>
      <c r="H77" s="33" t="n"/>
      <c r="I77" s="34">
        <f>IF(B77="","",IF(D77&lt;&gt;"",D77,IF(AND(ISNUMBER(B77),ISNUMBER(C77)),IF(OR(WEEKDAY(B77,2)&gt;5,C77&lt;1,C77&gt;10),"",IF(INDEX(Timetable!$E$6:$I$15,C77,WEEKDAY(B77,2))="","",INDEX(Timetable!$E$6:$I$15,C77,WEEKDAY(B77,2)))),"")))</f>
        <v/>
      </c>
      <c r="J77" s="1" t="n"/>
      <c r="K77">
        <f>IF(AND(ISNUMBER(B77),ISNUMBER(C77)),B77*100+C77,"")</f>
        <v/>
      </c>
      <c r="L77">
        <f>IF(OR(G77="",NOT(ISNUMBER(B77))),"",IF(AND(B77&gt;=Settings!$C$6,B77&lt;=Settings!$C$6+6),B77*1000+ROW(),""))</f>
        <v/>
      </c>
    </row>
    <row r="78">
      <c r="A78" s="1" t="n"/>
      <c r="B78" s="28" t="n"/>
      <c r="C78" s="29" t="n"/>
      <c r="D78" s="30" t="n"/>
      <c r="E78" s="31" t="n"/>
      <c r="F78" s="32" t="n"/>
      <c r="G78" s="32" t="n"/>
      <c r="H78" s="33" t="n"/>
      <c r="I78" s="34">
        <f>IF(B78="","",IF(D78&lt;&gt;"",D78,IF(AND(ISNUMBER(B78),ISNUMBER(C78)),IF(OR(WEEKDAY(B78,2)&gt;5,C78&lt;1,C78&gt;10),"",IF(INDEX(Timetable!$E$6:$I$15,C78,WEEKDAY(B78,2))="","",INDEX(Timetable!$E$6:$I$15,C78,WEEKDAY(B78,2)))),"")))</f>
        <v/>
      </c>
      <c r="J78" s="1" t="n"/>
      <c r="K78">
        <f>IF(AND(ISNUMBER(B78),ISNUMBER(C78)),B78*100+C78,"")</f>
        <v/>
      </c>
      <c r="L78">
        <f>IF(OR(G78="",NOT(ISNUMBER(B78))),"",IF(AND(B78&gt;=Settings!$C$6,B78&lt;=Settings!$C$6+6),B78*1000+ROW(),""))</f>
        <v/>
      </c>
    </row>
    <row r="79">
      <c r="A79" s="1" t="n"/>
      <c r="B79" s="28" t="n"/>
      <c r="C79" s="29" t="n"/>
      <c r="D79" s="30" t="n"/>
      <c r="E79" s="31" t="n"/>
      <c r="F79" s="32" t="n"/>
      <c r="G79" s="32" t="n"/>
      <c r="H79" s="33" t="n"/>
      <c r="I79" s="34">
        <f>IF(B79="","",IF(D79&lt;&gt;"",D79,IF(AND(ISNUMBER(B79),ISNUMBER(C79)),IF(OR(WEEKDAY(B79,2)&gt;5,C79&lt;1,C79&gt;10),"",IF(INDEX(Timetable!$E$6:$I$15,C79,WEEKDAY(B79,2))="","",INDEX(Timetable!$E$6:$I$15,C79,WEEKDAY(B79,2)))),"")))</f>
        <v/>
      </c>
      <c r="J79" s="1" t="n"/>
      <c r="K79">
        <f>IF(AND(ISNUMBER(B79),ISNUMBER(C79)),B79*100+C79,"")</f>
        <v/>
      </c>
      <c r="L79">
        <f>IF(OR(G79="",NOT(ISNUMBER(B79))),"",IF(AND(B79&gt;=Settings!$C$6,B79&lt;=Settings!$C$6+6),B79*1000+ROW(),""))</f>
        <v/>
      </c>
    </row>
    <row r="80">
      <c r="A80" s="1" t="n"/>
      <c r="B80" s="28" t="n"/>
      <c r="C80" s="29" t="n"/>
      <c r="D80" s="30" t="n"/>
      <c r="E80" s="31" t="n"/>
      <c r="F80" s="32" t="n"/>
      <c r="G80" s="32" t="n"/>
      <c r="H80" s="33" t="n"/>
      <c r="I80" s="34">
        <f>IF(B80="","",IF(D80&lt;&gt;"",D80,IF(AND(ISNUMBER(B80),ISNUMBER(C80)),IF(OR(WEEKDAY(B80,2)&gt;5,C80&lt;1,C80&gt;10),"",IF(INDEX(Timetable!$E$6:$I$15,C80,WEEKDAY(B80,2))="","",INDEX(Timetable!$E$6:$I$15,C80,WEEKDAY(B80,2)))),"")))</f>
        <v/>
      </c>
      <c r="J80" s="1" t="n"/>
      <c r="K80">
        <f>IF(AND(ISNUMBER(B80),ISNUMBER(C80)),B80*100+C80,"")</f>
        <v/>
      </c>
      <c r="L80">
        <f>IF(OR(G80="",NOT(ISNUMBER(B80))),"",IF(AND(B80&gt;=Settings!$C$6,B80&lt;=Settings!$C$6+6),B80*1000+ROW(),""))</f>
        <v/>
      </c>
    </row>
    <row r="81">
      <c r="A81" s="1" t="n"/>
      <c r="B81" s="28" t="n"/>
      <c r="C81" s="29" t="n"/>
      <c r="D81" s="30" t="n"/>
      <c r="E81" s="31" t="n"/>
      <c r="F81" s="32" t="n"/>
      <c r="G81" s="32" t="n"/>
      <c r="H81" s="33" t="n"/>
      <c r="I81" s="34">
        <f>IF(B81="","",IF(D81&lt;&gt;"",D81,IF(AND(ISNUMBER(B81),ISNUMBER(C81)),IF(OR(WEEKDAY(B81,2)&gt;5,C81&lt;1,C81&gt;10),"",IF(INDEX(Timetable!$E$6:$I$15,C81,WEEKDAY(B81,2))="","",INDEX(Timetable!$E$6:$I$15,C81,WEEKDAY(B81,2)))),"")))</f>
        <v/>
      </c>
      <c r="J81" s="1" t="n"/>
      <c r="K81">
        <f>IF(AND(ISNUMBER(B81),ISNUMBER(C81)),B81*100+C81,"")</f>
        <v/>
      </c>
      <c r="L81">
        <f>IF(OR(G81="",NOT(ISNUMBER(B81))),"",IF(AND(B81&gt;=Settings!$C$6,B81&lt;=Settings!$C$6+6),B81*1000+ROW(),""))</f>
        <v/>
      </c>
    </row>
    <row r="82">
      <c r="A82" s="1" t="n"/>
      <c r="B82" s="28" t="n"/>
      <c r="C82" s="29" t="n"/>
      <c r="D82" s="30" t="n"/>
      <c r="E82" s="31" t="n"/>
      <c r="F82" s="32" t="n"/>
      <c r="G82" s="32" t="n"/>
      <c r="H82" s="33" t="n"/>
      <c r="I82" s="34">
        <f>IF(B82="","",IF(D82&lt;&gt;"",D82,IF(AND(ISNUMBER(B82),ISNUMBER(C82)),IF(OR(WEEKDAY(B82,2)&gt;5,C82&lt;1,C82&gt;10),"",IF(INDEX(Timetable!$E$6:$I$15,C82,WEEKDAY(B82,2))="","",INDEX(Timetable!$E$6:$I$15,C82,WEEKDAY(B82,2)))),"")))</f>
        <v/>
      </c>
      <c r="J82" s="1" t="n"/>
      <c r="K82">
        <f>IF(AND(ISNUMBER(B82),ISNUMBER(C82)),B82*100+C82,"")</f>
        <v/>
      </c>
      <c r="L82">
        <f>IF(OR(G82="",NOT(ISNUMBER(B82))),"",IF(AND(B82&gt;=Settings!$C$6,B82&lt;=Settings!$C$6+6),B82*1000+ROW(),""))</f>
        <v/>
      </c>
    </row>
    <row r="83">
      <c r="A83" s="1" t="n"/>
      <c r="B83" s="28" t="n"/>
      <c r="C83" s="29" t="n"/>
      <c r="D83" s="30" t="n"/>
      <c r="E83" s="31" t="n"/>
      <c r="F83" s="32" t="n"/>
      <c r="G83" s="32" t="n"/>
      <c r="H83" s="33" t="n"/>
      <c r="I83" s="34">
        <f>IF(B83="","",IF(D83&lt;&gt;"",D83,IF(AND(ISNUMBER(B83),ISNUMBER(C83)),IF(OR(WEEKDAY(B83,2)&gt;5,C83&lt;1,C83&gt;10),"",IF(INDEX(Timetable!$E$6:$I$15,C83,WEEKDAY(B83,2))="","",INDEX(Timetable!$E$6:$I$15,C83,WEEKDAY(B83,2)))),"")))</f>
        <v/>
      </c>
      <c r="J83" s="1" t="n"/>
      <c r="K83">
        <f>IF(AND(ISNUMBER(B83),ISNUMBER(C83)),B83*100+C83,"")</f>
        <v/>
      </c>
      <c r="L83">
        <f>IF(OR(G83="",NOT(ISNUMBER(B83))),"",IF(AND(B83&gt;=Settings!$C$6,B83&lt;=Settings!$C$6+6),B83*1000+ROW(),""))</f>
        <v/>
      </c>
    </row>
    <row r="84">
      <c r="A84" s="1" t="n"/>
      <c r="B84" s="28" t="n"/>
      <c r="C84" s="29" t="n"/>
      <c r="D84" s="30" t="n"/>
      <c r="E84" s="31" t="n"/>
      <c r="F84" s="32" t="n"/>
      <c r="G84" s="32" t="n"/>
      <c r="H84" s="33" t="n"/>
      <c r="I84" s="34">
        <f>IF(B84="","",IF(D84&lt;&gt;"",D84,IF(AND(ISNUMBER(B84),ISNUMBER(C84)),IF(OR(WEEKDAY(B84,2)&gt;5,C84&lt;1,C84&gt;10),"",IF(INDEX(Timetable!$E$6:$I$15,C84,WEEKDAY(B84,2))="","",INDEX(Timetable!$E$6:$I$15,C84,WEEKDAY(B84,2)))),"")))</f>
        <v/>
      </c>
      <c r="J84" s="1" t="n"/>
      <c r="K84">
        <f>IF(AND(ISNUMBER(B84),ISNUMBER(C84)),B84*100+C84,"")</f>
        <v/>
      </c>
      <c r="L84">
        <f>IF(OR(G84="",NOT(ISNUMBER(B84))),"",IF(AND(B84&gt;=Settings!$C$6,B84&lt;=Settings!$C$6+6),B84*1000+ROW(),""))</f>
        <v/>
      </c>
    </row>
    <row r="85">
      <c r="A85" s="1" t="n"/>
      <c r="B85" s="28" t="n"/>
      <c r="C85" s="29" t="n"/>
      <c r="D85" s="30" t="n"/>
      <c r="E85" s="31" t="n"/>
      <c r="F85" s="32" t="n"/>
      <c r="G85" s="32" t="n"/>
      <c r="H85" s="33" t="n"/>
      <c r="I85" s="34">
        <f>IF(B85="","",IF(D85&lt;&gt;"",D85,IF(AND(ISNUMBER(B85),ISNUMBER(C85)),IF(OR(WEEKDAY(B85,2)&gt;5,C85&lt;1,C85&gt;10),"",IF(INDEX(Timetable!$E$6:$I$15,C85,WEEKDAY(B85,2))="","",INDEX(Timetable!$E$6:$I$15,C85,WEEKDAY(B85,2)))),"")))</f>
        <v/>
      </c>
      <c r="J85" s="1" t="n"/>
      <c r="K85">
        <f>IF(AND(ISNUMBER(B85),ISNUMBER(C85)),B85*100+C85,"")</f>
        <v/>
      </c>
      <c r="L85">
        <f>IF(OR(G85="",NOT(ISNUMBER(B85))),"",IF(AND(B85&gt;=Settings!$C$6,B85&lt;=Settings!$C$6+6),B85*1000+ROW(),""))</f>
        <v/>
      </c>
    </row>
    <row r="86">
      <c r="A86" s="1" t="n"/>
      <c r="B86" s="28" t="n"/>
      <c r="C86" s="29" t="n"/>
      <c r="D86" s="30" t="n"/>
      <c r="E86" s="31" t="n"/>
      <c r="F86" s="32" t="n"/>
      <c r="G86" s="32" t="n"/>
      <c r="H86" s="33" t="n"/>
      <c r="I86" s="34">
        <f>IF(B86="","",IF(D86&lt;&gt;"",D86,IF(AND(ISNUMBER(B86),ISNUMBER(C86)),IF(OR(WEEKDAY(B86,2)&gt;5,C86&lt;1,C86&gt;10),"",IF(INDEX(Timetable!$E$6:$I$15,C86,WEEKDAY(B86,2))="","",INDEX(Timetable!$E$6:$I$15,C86,WEEKDAY(B86,2)))),"")))</f>
        <v/>
      </c>
      <c r="J86" s="1" t="n"/>
      <c r="K86">
        <f>IF(AND(ISNUMBER(B86),ISNUMBER(C86)),B86*100+C86,"")</f>
        <v/>
      </c>
      <c r="L86">
        <f>IF(OR(G86="",NOT(ISNUMBER(B86))),"",IF(AND(B86&gt;=Settings!$C$6,B86&lt;=Settings!$C$6+6),B86*1000+ROW(),""))</f>
        <v/>
      </c>
    </row>
    <row r="87">
      <c r="A87" s="1" t="n"/>
      <c r="B87" s="28" t="n"/>
      <c r="C87" s="29" t="n"/>
      <c r="D87" s="30" t="n"/>
      <c r="E87" s="31" t="n"/>
      <c r="F87" s="32" t="n"/>
      <c r="G87" s="32" t="n"/>
      <c r="H87" s="33" t="n"/>
      <c r="I87" s="34">
        <f>IF(B87="","",IF(D87&lt;&gt;"",D87,IF(AND(ISNUMBER(B87),ISNUMBER(C87)),IF(OR(WEEKDAY(B87,2)&gt;5,C87&lt;1,C87&gt;10),"",IF(INDEX(Timetable!$E$6:$I$15,C87,WEEKDAY(B87,2))="","",INDEX(Timetable!$E$6:$I$15,C87,WEEKDAY(B87,2)))),"")))</f>
        <v/>
      </c>
      <c r="J87" s="1" t="n"/>
      <c r="K87">
        <f>IF(AND(ISNUMBER(B87),ISNUMBER(C87)),B87*100+C87,"")</f>
        <v/>
      </c>
      <c r="L87">
        <f>IF(OR(G87="",NOT(ISNUMBER(B87))),"",IF(AND(B87&gt;=Settings!$C$6,B87&lt;=Settings!$C$6+6),B87*1000+ROW(),""))</f>
        <v/>
      </c>
    </row>
    <row r="88">
      <c r="A88" s="1" t="n"/>
      <c r="B88" s="28" t="n"/>
      <c r="C88" s="29" t="n"/>
      <c r="D88" s="30" t="n"/>
      <c r="E88" s="31" t="n"/>
      <c r="F88" s="32" t="n"/>
      <c r="G88" s="32" t="n"/>
      <c r="H88" s="33" t="n"/>
      <c r="I88" s="34">
        <f>IF(B88="","",IF(D88&lt;&gt;"",D88,IF(AND(ISNUMBER(B88),ISNUMBER(C88)),IF(OR(WEEKDAY(B88,2)&gt;5,C88&lt;1,C88&gt;10),"",IF(INDEX(Timetable!$E$6:$I$15,C88,WEEKDAY(B88,2))="","",INDEX(Timetable!$E$6:$I$15,C88,WEEKDAY(B88,2)))),"")))</f>
        <v/>
      </c>
      <c r="J88" s="1" t="n"/>
      <c r="K88">
        <f>IF(AND(ISNUMBER(B88),ISNUMBER(C88)),B88*100+C88,"")</f>
        <v/>
      </c>
      <c r="L88">
        <f>IF(OR(G88="",NOT(ISNUMBER(B88))),"",IF(AND(B88&gt;=Settings!$C$6,B88&lt;=Settings!$C$6+6),B88*1000+ROW(),""))</f>
        <v/>
      </c>
    </row>
    <row r="89">
      <c r="A89" s="1" t="n"/>
      <c r="B89" s="28" t="n"/>
      <c r="C89" s="29" t="n"/>
      <c r="D89" s="30" t="n"/>
      <c r="E89" s="31" t="n"/>
      <c r="F89" s="32" t="n"/>
      <c r="G89" s="32" t="n"/>
      <c r="H89" s="33" t="n"/>
      <c r="I89" s="34">
        <f>IF(B89="","",IF(D89&lt;&gt;"",D89,IF(AND(ISNUMBER(B89),ISNUMBER(C89)),IF(OR(WEEKDAY(B89,2)&gt;5,C89&lt;1,C89&gt;10),"",IF(INDEX(Timetable!$E$6:$I$15,C89,WEEKDAY(B89,2))="","",INDEX(Timetable!$E$6:$I$15,C89,WEEKDAY(B89,2)))),"")))</f>
        <v/>
      </c>
      <c r="J89" s="1" t="n"/>
      <c r="K89">
        <f>IF(AND(ISNUMBER(B89),ISNUMBER(C89)),B89*100+C89,"")</f>
        <v/>
      </c>
      <c r="L89">
        <f>IF(OR(G89="",NOT(ISNUMBER(B89))),"",IF(AND(B89&gt;=Settings!$C$6,B89&lt;=Settings!$C$6+6),B89*1000+ROW(),""))</f>
        <v/>
      </c>
    </row>
    <row r="90">
      <c r="A90" s="1" t="n"/>
      <c r="B90" s="28" t="n"/>
      <c r="C90" s="29" t="n"/>
      <c r="D90" s="30" t="n"/>
      <c r="E90" s="31" t="n"/>
      <c r="F90" s="32" t="n"/>
      <c r="G90" s="32" t="n"/>
      <c r="H90" s="33" t="n"/>
      <c r="I90" s="34">
        <f>IF(B90="","",IF(D90&lt;&gt;"",D90,IF(AND(ISNUMBER(B90),ISNUMBER(C90)),IF(OR(WEEKDAY(B90,2)&gt;5,C90&lt;1,C90&gt;10),"",IF(INDEX(Timetable!$E$6:$I$15,C90,WEEKDAY(B90,2))="","",INDEX(Timetable!$E$6:$I$15,C90,WEEKDAY(B90,2)))),"")))</f>
        <v/>
      </c>
      <c r="J90" s="1" t="n"/>
      <c r="K90">
        <f>IF(AND(ISNUMBER(B90),ISNUMBER(C90)),B90*100+C90,"")</f>
        <v/>
      </c>
      <c r="L90">
        <f>IF(OR(G90="",NOT(ISNUMBER(B90))),"",IF(AND(B90&gt;=Settings!$C$6,B90&lt;=Settings!$C$6+6),B90*1000+ROW(),""))</f>
        <v/>
      </c>
    </row>
    <row r="91">
      <c r="A91" s="1" t="n"/>
      <c r="B91" s="28" t="n"/>
      <c r="C91" s="29" t="n"/>
      <c r="D91" s="30" t="n"/>
      <c r="E91" s="31" t="n"/>
      <c r="F91" s="32" t="n"/>
      <c r="G91" s="32" t="n"/>
      <c r="H91" s="33" t="n"/>
      <c r="I91" s="34">
        <f>IF(B91="","",IF(D91&lt;&gt;"",D91,IF(AND(ISNUMBER(B91),ISNUMBER(C91)),IF(OR(WEEKDAY(B91,2)&gt;5,C91&lt;1,C91&gt;10),"",IF(INDEX(Timetable!$E$6:$I$15,C91,WEEKDAY(B91,2))="","",INDEX(Timetable!$E$6:$I$15,C91,WEEKDAY(B91,2)))),"")))</f>
        <v/>
      </c>
      <c r="J91" s="1" t="n"/>
      <c r="K91">
        <f>IF(AND(ISNUMBER(B91),ISNUMBER(C91)),B91*100+C91,"")</f>
        <v/>
      </c>
      <c r="L91">
        <f>IF(OR(G91="",NOT(ISNUMBER(B91))),"",IF(AND(B91&gt;=Settings!$C$6,B91&lt;=Settings!$C$6+6),B91*1000+ROW(),""))</f>
        <v/>
      </c>
    </row>
    <row r="92">
      <c r="A92" s="1" t="n"/>
      <c r="B92" s="28" t="n"/>
      <c r="C92" s="29" t="n"/>
      <c r="D92" s="30" t="n"/>
      <c r="E92" s="31" t="n"/>
      <c r="F92" s="32" t="n"/>
      <c r="G92" s="32" t="n"/>
      <c r="H92" s="33" t="n"/>
      <c r="I92" s="34">
        <f>IF(B92="","",IF(D92&lt;&gt;"",D92,IF(AND(ISNUMBER(B92),ISNUMBER(C92)),IF(OR(WEEKDAY(B92,2)&gt;5,C92&lt;1,C92&gt;10),"",IF(INDEX(Timetable!$E$6:$I$15,C92,WEEKDAY(B92,2))="","",INDEX(Timetable!$E$6:$I$15,C92,WEEKDAY(B92,2)))),"")))</f>
        <v/>
      </c>
      <c r="J92" s="1" t="n"/>
      <c r="K92">
        <f>IF(AND(ISNUMBER(B92),ISNUMBER(C92)),B92*100+C92,"")</f>
        <v/>
      </c>
      <c r="L92">
        <f>IF(OR(G92="",NOT(ISNUMBER(B92))),"",IF(AND(B92&gt;=Settings!$C$6,B92&lt;=Settings!$C$6+6),B92*1000+ROW(),""))</f>
        <v/>
      </c>
    </row>
    <row r="93">
      <c r="A93" s="1" t="n"/>
      <c r="B93" s="28" t="n"/>
      <c r="C93" s="29" t="n"/>
      <c r="D93" s="30" t="n"/>
      <c r="E93" s="31" t="n"/>
      <c r="F93" s="32" t="n"/>
      <c r="G93" s="32" t="n"/>
      <c r="H93" s="33" t="n"/>
      <c r="I93" s="34">
        <f>IF(B93="","",IF(D93&lt;&gt;"",D93,IF(AND(ISNUMBER(B93),ISNUMBER(C93)),IF(OR(WEEKDAY(B93,2)&gt;5,C93&lt;1,C93&gt;10),"",IF(INDEX(Timetable!$E$6:$I$15,C93,WEEKDAY(B93,2))="","",INDEX(Timetable!$E$6:$I$15,C93,WEEKDAY(B93,2)))),"")))</f>
        <v/>
      </c>
      <c r="J93" s="1" t="n"/>
      <c r="K93">
        <f>IF(AND(ISNUMBER(B93),ISNUMBER(C93)),B93*100+C93,"")</f>
        <v/>
      </c>
      <c r="L93">
        <f>IF(OR(G93="",NOT(ISNUMBER(B93))),"",IF(AND(B93&gt;=Settings!$C$6,B93&lt;=Settings!$C$6+6),B93*1000+ROW(),""))</f>
        <v/>
      </c>
    </row>
    <row r="94">
      <c r="A94" s="1" t="n"/>
      <c r="B94" s="28" t="n"/>
      <c r="C94" s="29" t="n"/>
      <c r="D94" s="30" t="n"/>
      <c r="E94" s="31" t="n"/>
      <c r="F94" s="32" t="n"/>
      <c r="G94" s="32" t="n"/>
      <c r="H94" s="33" t="n"/>
      <c r="I94" s="34">
        <f>IF(B94="","",IF(D94&lt;&gt;"",D94,IF(AND(ISNUMBER(B94),ISNUMBER(C94)),IF(OR(WEEKDAY(B94,2)&gt;5,C94&lt;1,C94&gt;10),"",IF(INDEX(Timetable!$E$6:$I$15,C94,WEEKDAY(B94,2))="","",INDEX(Timetable!$E$6:$I$15,C94,WEEKDAY(B94,2)))),"")))</f>
        <v/>
      </c>
      <c r="J94" s="1" t="n"/>
      <c r="K94">
        <f>IF(AND(ISNUMBER(B94),ISNUMBER(C94)),B94*100+C94,"")</f>
        <v/>
      </c>
      <c r="L94">
        <f>IF(OR(G94="",NOT(ISNUMBER(B94))),"",IF(AND(B94&gt;=Settings!$C$6,B94&lt;=Settings!$C$6+6),B94*1000+ROW(),""))</f>
        <v/>
      </c>
    </row>
    <row r="95">
      <c r="A95" s="1" t="n"/>
      <c r="B95" s="28" t="n"/>
      <c r="C95" s="29" t="n"/>
      <c r="D95" s="30" t="n"/>
      <c r="E95" s="31" t="n"/>
      <c r="F95" s="32" t="n"/>
      <c r="G95" s="32" t="n"/>
      <c r="H95" s="33" t="n"/>
      <c r="I95" s="34">
        <f>IF(B95="","",IF(D95&lt;&gt;"",D95,IF(AND(ISNUMBER(B95),ISNUMBER(C95)),IF(OR(WEEKDAY(B95,2)&gt;5,C95&lt;1,C95&gt;10),"",IF(INDEX(Timetable!$E$6:$I$15,C95,WEEKDAY(B95,2))="","",INDEX(Timetable!$E$6:$I$15,C95,WEEKDAY(B95,2)))),"")))</f>
        <v/>
      </c>
      <c r="J95" s="1" t="n"/>
      <c r="K95">
        <f>IF(AND(ISNUMBER(B95),ISNUMBER(C95)),B95*100+C95,"")</f>
        <v/>
      </c>
      <c r="L95">
        <f>IF(OR(G95="",NOT(ISNUMBER(B95))),"",IF(AND(B95&gt;=Settings!$C$6,B95&lt;=Settings!$C$6+6),B95*1000+ROW(),""))</f>
        <v/>
      </c>
    </row>
    <row r="96">
      <c r="A96" s="1" t="n"/>
      <c r="B96" s="28" t="n"/>
      <c r="C96" s="29" t="n"/>
      <c r="D96" s="30" t="n"/>
      <c r="E96" s="31" t="n"/>
      <c r="F96" s="32" t="n"/>
      <c r="G96" s="32" t="n"/>
      <c r="H96" s="33" t="n"/>
      <c r="I96" s="34">
        <f>IF(B96="","",IF(D96&lt;&gt;"",D96,IF(AND(ISNUMBER(B96),ISNUMBER(C96)),IF(OR(WEEKDAY(B96,2)&gt;5,C96&lt;1,C96&gt;10),"",IF(INDEX(Timetable!$E$6:$I$15,C96,WEEKDAY(B96,2))="","",INDEX(Timetable!$E$6:$I$15,C96,WEEKDAY(B96,2)))),"")))</f>
        <v/>
      </c>
      <c r="J96" s="1" t="n"/>
      <c r="K96">
        <f>IF(AND(ISNUMBER(B96),ISNUMBER(C96)),B96*100+C96,"")</f>
        <v/>
      </c>
      <c r="L96">
        <f>IF(OR(G96="",NOT(ISNUMBER(B96))),"",IF(AND(B96&gt;=Settings!$C$6,B96&lt;=Settings!$C$6+6),B96*1000+ROW(),""))</f>
        <v/>
      </c>
    </row>
    <row r="97">
      <c r="A97" s="1" t="n"/>
      <c r="B97" s="28" t="n"/>
      <c r="C97" s="29" t="n"/>
      <c r="D97" s="30" t="n"/>
      <c r="E97" s="31" t="n"/>
      <c r="F97" s="32" t="n"/>
      <c r="G97" s="32" t="n"/>
      <c r="H97" s="33" t="n"/>
      <c r="I97" s="34">
        <f>IF(B97="","",IF(D97&lt;&gt;"",D97,IF(AND(ISNUMBER(B97),ISNUMBER(C97)),IF(OR(WEEKDAY(B97,2)&gt;5,C97&lt;1,C97&gt;10),"",IF(INDEX(Timetable!$E$6:$I$15,C97,WEEKDAY(B97,2))="","",INDEX(Timetable!$E$6:$I$15,C97,WEEKDAY(B97,2)))),"")))</f>
        <v/>
      </c>
      <c r="J97" s="1" t="n"/>
      <c r="K97">
        <f>IF(AND(ISNUMBER(B97),ISNUMBER(C97)),B97*100+C97,"")</f>
        <v/>
      </c>
      <c r="L97">
        <f>IF(OR(G97="",NOT(ISNUMBER(B97))),"",IF(AND(B97&gt;=Settings!$C$6,B97&lt;=Settings!$C$6+6),B97*1000+ROW(),""))</f>
        <v/>
      </c>
    </row>
    <row r="98">
      <c r="A98" s="1" t="n"/>
      <c r="B98" s="28" t="n"/>
      <c r="C98" s="29" t="n"/>
      <c r="D98" s="30" t="n"/>
      <c r="E98" s="31" t="n"/>
      <c r="F98" s="32" t="n"/>
      <c r="G98" s="32" t="n"/>
      <c r="H98" s="33" t="n"/>
      <c r="I98" s="34">
        <f>IF(B98="","",IF(D98&lt;&gt;"",D98,IF(AND(ISNUMBER(B98),ISNUMBER(C98)),IF(OR(WEEKDAY(B98,2)&gt;5,C98&lt;1,C98&gt;10),"",IF(INDEX(Timetable!$E$6:$I$15,C98,WEEKDAY(B98,2))="","",INDEX(Timetable!$E$6:$I$15,C98,WEEKDAY(B98,2)))),"")))</f>
        <v/>
      </c>
      <c r="J98" s="1" t="n"/>
      <c r="K98">
        <f>IF(AND(ISNUMBER(B98),ISNUMBER(C98)),B98*100+C98,"")</f>
        <v/>
      </c>
      <c r="L98">
        <f>IF(OR(G98="",NOT(ISNUMBER(B98))),"",IF(AND(B98&gt;=Settings!$C$6,B98&lt;=Settings!$C$6+6),B98*1000+ROW(),""))</f>
        <v/>
      </c>
    </row>
    <row r="99">
      <c r="A99" s="1" t="n"/>
      <c r="B99" s="28" t="n"/>
      <c r="C99" s="29" t="n"/>
      <c r="D99" s="30" t="n"/>
      <c r="E99" s="31" t="n"/>
      <c r="F99" s="32" t="n"/>
      <c r="G99" s="32" t="n"/>
      <c r="H99" s="33" t="n"/>
      <c r="I99" s="34">
        <f>IF(B99="","",IF(D99&lt;&gt;"",D99,IF(AND(ISNUMBER(B99),ISNUMBER(C99)),IF(OR(WEEKDAY(B99,2)&gt;5,C99&lt;1,C99&gt;10),"",IF(INDEX(Timetable!$E$6:$I$15,C99,WEEKDAY(B99,2))="","",INDEX(Timetable!$E$6:$I$15,C99,WEEKDAY(B99,2)))),"")))</f>
        <v/>
      </c>
      <c r="J99" s="1" t="n"/>
      <c r="K99">
        <f>IF(AND(ISNUMBER(B99),ISNUMBER(C99)),B99*100+C99,"")</f>
        <v/>
      </c>
      <c r="L99">
        <f>IF(OR(G99="",NOT(ISNUMBER(B99))),"",IF(AND(B99&gt;=Settings!$C$6,B99&lt;=Settings!$C$6+6),B99*1000+ROW(),""))</f>
        <v/>
      </c>
    </row>
    <row r="100">
      <c r="A100" s="1" t="n"/>
      <c r="B100" s="28" t="n"/>
      <c r="C100" s="29" t="n"/>
      <c r="D100" s="30" t="n"/>
      <c r="E100" s="31" t="n"/>
      <c r="F100" s="32" t="n"/>
      <c r="G100" s="32" t="n"/>
      <c r="H100" s="33" t="n"/>
      <c r="I100" s="34">
        <f>IF(B100="","",IF(D100&lt;&gt;"",D100,IF(AND(ISNUMBER(B100),ISNUMBER(C100)),IF(OR(WEEKDAY(B100,2)&gt;5,C100&lt;1,C100&gt;10),"",IF(INDEX(Timetable!$E$6:$I$15,C100,WEEKDAY(B100,2))="","",INDEX(Timetable!$E$6:$I$15,C100,WEEKDAY(B100,2)))),"")))</f>
        <v/>
      </c>
      <c r="J100" s="1" t="n"/>
      <c r="K100">
        <f>IF(AND(ISNUMBER(B100),ISNUMBER(C100)),B100*100+C100,"")</f>
        <v/>
      </c>
      <c r="L100">
        <f>IF(OR(G100="",NOT(ISNUMBER(B100))),"",IF(AND(B100&gt;=Settings!$C$6,B100&lt;=Settings!$C$6+6),B100*1000+ROW(),""))</f>
        <v/>
      </c>
    </row>
    <row r="101">
      <c r="A101" s="1" t="n"/>
      <c r="B101" s="28" t="n"/>
      <c r="C101" s="29" t="n"/>
      <c r="D101" s="30" t="n"/>
      <c r="E101" s="31" t="n"/>
      <c r="F101" s="32" t="n"/>
      <c r="G101" s="32" t="n"/>
      <c r="H101" s="33" t="n"/>
      <c r="I101" s="34">
        <f>IF(B101="","",IF(D101&lt;&gt;"",D101,IF(AND(ISNUMBER(B101),ISNUMBER(C101)),IF(OR(WEEKDAY(B101,2)&gt;5,C101&lt;1,C101&gt;10),"",IF(INDEX(Timetable!$E$6:$I$15,C101,WEEKDAY(B101,2))="","",INDEX(Timetable!$E$6:$I$15,C101,WEEKDAY(B101,2)))),"")))</f>
        <v/>
      </c>
      <c r="J101" s="1" t="n"/>
      <c r="K101">
        <f>IF(AND(ISNUMBER(B101),ISNUMBER(C101)),B101*100+C101,"")</f>
        <v/>
      </c>
      <c r="L101">
        <f>IF(OR(G101="",NOT(ISNUMBER(B101))),"",IF(AND(B101&gt;=Settings!$C$6,B101&lt;=Settings!$C$6+6),B101*1000+ROW(),""))</f>
        <v/>
      </c>
    </row>
    <row r="102">
      <c r="A102" s="1" t="n"/>
      <c r="B102" s="28" t="n"/>
      <c r="C102" s="29" t="n"/>
      <c r="D102" s="30" t="n"/>
      <c r="E102" s="31" t="n"/>
      <c r="F102" s="32" t="n"/>
      <c r="G102" s="32" t="n"/>
      <c r="H102" s="33" t="n"/>
      <c r="I102" s="34">
        <f>IF(B102="","",IF(D102&lt;&gt;"",D102,IF(AND(ISNUMBER(B102),ISNUMBER(C102)),IF(OR(WEEKDAY(B102,2)&gt;5,C102&lt;1,C102&gt;10),"",IF(INDEX(Timetable!$E$6:$I$15,C102,WEEKDAY(B102,2))="","",INDEX(Timetable!$E$6:$I$15,C102,WEEKDAY(B102,2)))),"")))</f>
        <v/>
      </c>
      <c r="J102" s="1" t="n"/>
      <c r="K102">
        <f>IF(AND(ISNUMBER(B102),ISNUMBER(C102)),B102*100+C102,"")</f>
        <v/>
      </c>
      <c r="L102">
        <f>IF(OR(G102="",NOT(ISNUMBER(B102))),"",IF(AND(B102&gt;=Settings!$C$6,B102&lt;=Settings!$C$6+6),B102*1000+ROW(),""))</f>
        <v/>
      </c>
    </row>
    <row r="103">
      <c r="A103" s="1" t="n"/>
      <c r="B103" s="28" t="n"/>
      <c r="C103" s="29" t="n"/>
      <c r="D103" s="30" t="n"/>
      <c r="E103" s="31" t="n"/>
      <c r="F103" s="32" t="n"/>
      <c r="G103" s="32" t="n"/>
      <c r="H103" s="33" t="n"/>
      <c r="I103" s="34">
        <f>IF(B103="","",IF(D103&lt;&gt;"",D103,IF(AND(ISNUMBER(B103),ISNUMBER(C103)),IF(OR(WEEKDAY(B103,2)&gt;5,C103&lt;1,C103&gt;10),"",IF(INDEX(Timetable!$E$6:$I$15,C103,WEEKDAY(B103,2))="","",INDEX(Timetable!$E$6:$I$15,C103,WEEKDAY(B103,2)))),"")))</f>
        <v/>
      </c>
      <c r="J103" s="1" t="n"/>
      <c r="K103">
        <f>IF(AND(ISNUMBER(B103),ISNUMBER(C103)),B103*100+C103,"")</f>
        <v/>
      </c>
      <c r="L103">
        <f>IF(OR(G103="",NOT(ISNUMBER(B103))),"",IF(AND(B103&gt;=Settings!$C$6,B103&lt;=Settings!$C$6+6),B103*1000+ROW(),""))</f>
        <v/>
      </c>
    </row>
    <row r="104">
      <c r="A104" s="1" t="n"/>
      <c r="B104" s="28" t="n"/>
      <c r="C104" s="29" t="n"/>
      <c r="D104" s="30" t="n"/>
      <c r="E104" s="31" t="n"/>
      <c r="F104" s="32" t="n"/>
      <c r="G104" s="32" t="n"/>
      <c r="H104" s="33" t="n"/>
      <c r="I104" s="34">
        <f>IF(B104="","",IF(D104&lt;&gt;"",D104,IF(AND(ISNUMBER(B104),ISNUMBER(C104)),IF(OR(WEEKDAY(B104,2)&gt;5,C104&lt;1,C104&gt;10),"",IF(INDEX(Timetable!$E$6:$I$15,C104,WEEKDAY(B104,2))="","",INDEX(Timetable!$E$6:$I$15,C104,WEEKDAY(B104,2)))),"")))</f>
        <v/>
      </c>
      <c r="J104" s="1" t="n"/>
      <c r="K104">
        <f>IF(AND(ISNUMBER(B104),ISNUMBER(C104)),B104*100+C104,"")</f>
        <v/>
      </c>
      <c r="L104">
        <f>IF(OR(G104="",NOT(ISNUMBER(B104))),"",IF(AND(B104&gt;=Settings!$C$6,B104&lt;=Settings!$C$6+6),B104*1000+ROW(),""))</f>
        <v/>
      </c>
    </row>
    <row r="105">
      <c r="A105" s="1" t="n"/>
      <c r="B105" s="28" t="n"/>
      <c r="C105" s="29" t="n"/>
      <c r="D105" s="30" t="n"/>
      <c r="E105" s="31" t="n"/>
      <c r="F105" s="32" t="n"/>
      <c r="G105" s="32" t="n"/>
      <c r="H105" s="33" t="n"/>
      <c r="I105" s="34">
        <f>IF(B105="","",IF(D105&lt;&gt;"",D105,IF(AND(ISNUMBER(B105),ISNUMBER(C105)),IF(OR(WEEKDAY(B105,2)&gt;5,C105&lt;1,C105&gt;10),"",IF(INDEX(Timetable!$E$6:$I$15,C105,WEEKDAY(B105,2))="","",INDEX(Timetable!$E$6:$I$15,C105,WEEKDAY(B105,2)))),"")))</f>
        <v/>
      </c>
      <c r="J105" s="1" t="n"/>
      <c r="K105">
        <f>IF(AND(ISNUMBER(B105),ISNUMBER(C105)),B105*100+C105,"")</f>
        <v/>
      </c>
      <c r="L105">
        <f>IF(OR(G105="",NOT(ISNUMBER(B105))),"",IF(AND(B105&gt;=Settings!$C$6,B105&lt;=Settings!$C$6+6),B105*1000+ROW(),""))</f>
        <v/>
      </c>
    </row>
    <row r="106">
      <c r="A106" s="1" t="n"/>
      <c r="B106" s="28" t="n"/>
      <c r="C106" s="29" t="n"/>
      <c r="D106" s="30" t="n"/>
      <c r="E106" s="31" t="n"/>
      <c r="F106" s="32" t="n"/>
      <c r="G106" s="32" t="n"/>
      <c r="H106" s="33" t="n"/>
      <c r="I106" s="34">
        <f>IF(B106="","",IF(D106&lt;&gt;"",D106,IF(AND(ISNUMBER(B106),ISNUMBER(C106)),IF(OR(WEEKDAY(B106,2)&gt;5,C106&lt;1,C106&gt;10),"",IF(INDEX(Timetable!$E$6:$I$15,C106,WEEKDAY(B106,2))="","",INDEX(Timetable!$E$6:$I$15,C106,WEEKDAY(B106,2)))),"")))</f>
        <v/>
      </c>
      <c r="J106" s="1" t="n"/>
      <c r="K106">
        <f>IF(AND(ISNUMBER(B106),ISNUMBER(C106)),B106*100+C106,"")</f>
        <v/>
      </c>
      <c r="L106">
        <f>IF(OR(G106="",NOT(ISNUMBER(B106))),"",IF(AND(B106&gt;=Settings!$C$6,B106&lt;=Settings!$C$6+6),B106*1000+ROW(),""))</f>
        <v/>
      </c>
    </row>
    <row r="107">
      <c r="A107" s="1" t="n"/>
      <c r="B107" s="28" t="n"/>
      <c r="C107" s="29" t="n"/>
      <c r="D107" s="30" t="n"/>
      <c r="E107" s="31" t="n"/>
      <c r="F107" s="32" t="n"/>
      <c r="G107" s="32" t="n"/>
      <c r="H107" s="33" t="n"/>
      <c r="I107" s="34">
        <f>IF(B107="","",IF(D107&lt;&gt;"",D107,IF(AND(ISNUMBER(B107),ISNUMBER(C107)),IF(OR(WEEKDAY(B107,2)&gt;5,C107&lt;1,C107&gt;10),"",IF(INDEX(Timetable!$E$6:$I$15,C107,WEEKDAY(B107,2))="","",INDEX(Timetable!$E$6:$I$15,C107,WEEKDAY(B107,2)))),"")))</f>
        <v/>
      </c>
      <c r="J107" s="1" t="n"/>
      <c r="K107">
        <f>IF(AND(ISNUMBER(B107),ISNUMBER(C107)),B107*100+C107,"")</f>
        <v/>
      </c>
      <c r="L107">
        <f>IF(OR(G107="",NOT(ISNUMBER(B107))),"",IF(AND(B107&gt;=Settings!$C$6,B107&lt;=Settings!$C$6+6),B107*1000+ROW(),""))</f>
        <v/>
      </c>
    </row>
    <row r="108">
      <c r="A108" s="1" t="n"/>
      <c r="B108" s="28" t="n"/>
      <c r="C108" s="29" t="n"/>
      <c r="D108" s="30" t="n"/>
      <c r="E108" s="31" t="n"/>
      <c r="F108" s="32" t="n"/>
      <c r="G108" s="32" t="n"/>
      <c r="H108" s="33" t="n"/>
      <c r="I108" s="34">
        <f>IF(B108="","",IF(D108&lt;&gt;"",D108,IF(AND(ISNUMBER(B108),ISNUMBER(C108)),IF(OR(WEEKDAY(B108,2)&gt;5,C108&lt;1,C108&gt;10),"",IF(INDEX(Timetable!$E$6:$I$15,C108,WEEKDAY(B108,2))="","",INDEX(Timetable!$E$6:$I$15,C108,WEEKDAY(B108,2)))),"")))</f>
        <v/>
      </c>
      <c r="J108" s="1" t="n"/>
      <c r="K108">
        <f>IF(AND(ISNUMBER(B108),ISNUMBER(C108)),B108*100+C108,"")</f>
        <v/>
      </c>
      <c r="L108">
        <f>IF(OR(G108="",NOT(ISNUMBER(B108))),"",IF(AND(B108&gt;=Settings!$C$6,B108&lt;=Settings!$C$6+6),B108*1000+ROW(),""))</f>
        <v/>
      </c>
    </row>
    <row r="109">
      <c r="A109" s="1" t="n"/>
      <c r="B109" s="28" t="n"/>
      <c r="C109" s="29" t="n"/>
      <c r="D109" s="30" t="n"/>
      <c r="E109" s="31" t="n"/>
      <c r="F109" s="32" t="n"/>
      <c r="G109" s="32" t="n"/>
      <c r="H109" s="33" t="n"/>
      <c r="I109" s="34">
        <f>IF(B109="","",IF(D109&lt;&gt;"",D109,IF(AND(ISNUMBER(B109),ISNUMBER(C109)),IF(OR(WEEKDAY(B109,2)&gt;5,C109&lt;1,C109&gt;10),"",IF(INDEX(Timetable!$E$6:$I$15,C109,WEEKDAY(B109,2))="","",INDEX(Timetable!$E$6:$I$15,C109,WEEKDAY(B109,2)))),"")))</f>
        <v/>
      </c>
      <c r="J109" s="1" t="n"/>
      <c r="K109">
        <f>IF(AND(ISNUMBER(B109),ISNUMBER(C109)),B109*100+C109,"")</f>
        <v/>
      </c>
      <c r="L109">
        <f>IF(OR(G109="",NOT(ISNUMBER(B109))),"",IF(AND(B109&gt;=Settings!$C$6,B109&lt;=Settings!$C$6+6),B109*1000+ROW(),""))</f>
        <v/>
      </c>
    </row>
    <row r="110">
      <c r="A110" s="1" t="n"/>
      <c r="B110" s="28" t="n"/>
      <c r="C110" s="29" t="n"/>
      <c r="D110" s="30" t="n"/>
      <c r="E110" s="31" t="n"/>
      <c r="F110" s="32" t="n"/>
      <c r="G110" s="32" t="n"/>
      <c r="H110" s="33" t="n"/>
      <c r="I110" s="34">
        <f>IF(B110="","",IF(D110&lt;&gt;"",D110,IF(AND(ISNUMBER(B110),ISNUMBER(C110)),IF(OR(WEEKDAY(B110,2)&gt;5,C110&lt;1,C110&gt;10),"",IF(INDEX(Timetable!$E$6:$I$15,C110,WEEKDAY(B110,2))="","",INDEX(Timetable!$E$6:$I$15,C110,WEEKDAY(B110,2)))),"")))</f>
        <v/>
      </c>
      <c r="J110" s="1" t="n"/>
      <c r="K110">
        <f>IF(AND(ISNUMBER(B110),ISNUMBER(C110)),B110*100+C110,"")</f>
        <v/>
      </c>
      <c r="L110">
        <f>IF(OR(G110="",NOT(ISNUMBER(B110))),"",IF(AND(B110&gt;=Settings!$C$6,B110&lt;=Settings!$C$6+6),B110*1000+ROW(),""))</f>
        <v/>
      </c>
    </row>
    <row r="111">
      <c r="A111" s="1" t="n"/>
      <c r="B111" s="28" t="n"/>
      <c r="C111" s="29" t="n"/>
      <c r="D111" s="30" t="n"/>
      <c r="E111" s="31" t="n"/>
      <c r="F111" s="32" t="n"/>
      <c r="G111" s="32" t="n"/>
      <c r="H111" s="33" t="n"/>
      <c r="I111" s="34">
        <f>IF(B111="","",IF(D111&lt;&gt;"",D111,IF(AND(ISNUMBER(B111),ISNUMBER(C111)),IF(OR(WEEKDAY(B111,2)&gt;5,C111&lt;1,C111&gt;10),"",IF(INDEX(Timetable!$E$6:$I$15,C111,WEEKDAY(B111,2))="","",INDEX(Timetable!$E$6:$I$15,C111,WEEKDAY(B111,2)))),"")))</f>
        <v/>
      </c>
      <c r="J111" s="1" t="n"/>
      <c r="K111">
        <f>IF(AND(ISNUMBER(B111),ISNUMBER(C111)),B111*100+C111,"")</f>
        <v/>
      </c>
      <c r="L111">
        <f>IF(OR(G111="",NOT(ISNUMBER(B111))),"",IF(AND(B111&gt;=Settings!$C$6,B111&lt;=Settings!$C$6+6),B111*1000+ROW(),""))</f>
        <v/>
      </c>
    </row>
    <row r="112">
      <c r="A112" s="1" t="n"/>
      <c r="B112" s="28" t="n"/>
      <c r="C112" s="29" t="n"/>
      <c r="D112" s="30" t="n"/>
      <c r="E112" s="31" t="n"/>
      <c r="F112" s="32" t="n"/>
      <c r="G112" s="32" t="n"/>
      <c r="H112" s="33" t="n"/>
      <c r="I112" s="34">
        <f>IF(B112="","",IF(D112&lt;&gt;"",D112,IF(AND(ISNUMBER(B112),ISNUMBER(C112)),IF(OR(WEEKDAY(B112,2)&gt;5,C112&lt;1,C112&gt;10),"",IF(INDEX(Timetable!$E$6:$I$15,C112,WEEKDAY(B112,2))="","",INDEX(Timetable!$E$6:$I$15,C112,WEEKDAY(B112,2)))),"")))</f>
        <v/>
      </c>
      <c r="J112" s="1" t="n"/>
      <c r="K112">
        <f>IF(AND(ISNUMBER(B112),ISNUMBER(C112)),B112*100+C112,"")</f>
        <v/>
      </c>
      <c r="L112">
        <f>IF(OR(G112="",NOT(ISNUMBER(B112))),"",IF(AND(B112&gt;=Settings!$C$6,B112&lt;=Settings!$C$6+6),B112*1000+ROW(),""))</f>
        <v/>
      </c>
    </row>
    <row r="113">
      <c r="A113" s="1" t="n"/>
      <c r="B113" s="28" t="n"/>
      <c r="C113" s="29" t="n"/>
      <c r="D113" s="30" t="n"/>
      <c r="E113" s="31" t="n"/>
      <c r="F113" s="32" t="n"/>
      <c r="G113" s="32" t="n"/>
      <c r="H113" s="33" t="n"/>
      <c r="I113" s="34">
        <f>IF(B113="","",IF(D113&lt;&gt;"",D113,IF(AND(ISNUMBER(B113),ISNUMBER(C113)),IF(OR(WEEKDAY(B113,2)&gt;5,C113&lt;1,C113&gt;10),"",IF(INDEX(Timetable!$E$6:$I$15,C113,WEEKDAY(B113,2))="","",INDEX(Timetable!$E$6:$I$15,C113,WEEKDAY(B113,2)))),"")))</f>
        <v/>
      </c>
      <c r="J113" s="1" t="n"/>
      <c r="K113">
        <f>IF(AND(ISNUMBER(B113),ISNUMBER(C113)),B113*100+C113,"")</f>
        <v/>
      </c>
      <c r="L113">
        <f>IF(OR(G113="",NOT(ISNUMBER(B113))),"",IF(AND(B113&gt;=Settings!$C$6,B113&lt;=Settings!$C$6+6),B113*1000+ROW(),""))</f>
        <v/>
      </c>
    </row>
    <row r="114">
      <c r="A114" s="1" t="n"/>
      <c r="B114" s="28" t="n"/>
      <c r="C114" s="29" t="n"/>
      <c r="D114" s="30" t="n"/>
      <c r="E114" s="31" t="n"/>
      <c r="F114" s="32" t="n"/>
      <c r="G114" s="32" t="n"/>
      <c r="H114" s="33" t="n"/>
      <c r="I114" s="34">
        <f>IF(B114="","",IF(D114&lt;&gt;"",D114,IF(AND(ISNUMBER(B114),ISNUMBER(C114)),IF(OR(WEEKDAY(B114,2)&gt;5,C114&lt;1,C114&gt;10),"",IF(INDEX(Timetable!$E$6:$I$15,C114,WEEKDAY(B114,2))="","",INDEX(Timetable!$E$6:$I$15,C114,WEEKDAY(B114,2)))),"")))</f>
        <v/>
      </c>
      <c r="J114" s="1" t="n"/>
      <c r="K114">
        <f>IF(AND(ISNUMBER(B114),ISNUMBER(C114)),B114*100+C114,"")</f>
        <v/>
      </c>
      <c r="L114">
        <f>IF(OR(G114="",NOT(ISNUMBER(B114))),"",IF(AND(B114&gt;=Settings!$C$6,B114&lt;=Settings!$C$6+6),B114*1000+ROW(),""))</f>
        <v/>
      </c>
    </row>
    <row r="115">
      <c r="A115" s="1" t="n"/>
      <c r="B115" s="28" t="n"/>
      <c r="C115" s="29" t="n"/>
      <c r="D115" s="30" t="n"/>
      <c r="E115" s="31" t="n"/>
      <c r="F115" s="32" t="n"/>
      <c r="G115" s="32" t="n"/>
      <c r="H115" s="33" t="n"/>
      <c r="I115" s="34">
        <f>IF(B115="","",IF(D115&lt;&gt;"",D115,IF(AND(ISNUMBER(B115),ISNUMBER(C115)),IF(OR(WEEKDAY(B115,2)&gt;5,C115&lt;1,C115&gt;10),"",IF(INDEX(Timetable!$E$6:$I$15,C115,WEEKDAY(B115,2))="","",INDEX(Timetable!$E$6:$I$15,C115,WEEKDAY(B115,2)))),"")))</f>
        <v/>
      </c>
      <c r="J115" s="1" t="n"/>
      <c r="K115">
        <f>IF(AND(ISNUMBER(B115),ISNUMBER(C115)),B115*100+C115,"")</f>
        <v/>
      </c>
      <c r="L115">
        <f>IF(OR(G115="",NOT(ISNUMBER(B115))),"",IF(AND(B115&gt;=Settings!$C$6,B115&lt;=Settings!$C$6+6),B115*1000+ROW(),""))</f>
        <v/>
      </c>
    </row>
    <row r="116">
      <c r="A116" s="1" t="n"/>
      <c r="B116" s="28" t="n"/>
      <c r="C116" s="29" t="n"/>
      <c r="D116" s="30" t="n"/>
      <c r="E116" s="31" t="n"/>
      <c r="F116" s="32" t="n"/>
      <c r="G116" s="32" t="n"/>
      <c r="H116" s="33" t="n"/>
      <c r="I116" s="34">
        <f>IF(B116="","",IF(D116&lt;&gt;"",D116,IF(AND(ISNUMBER(B116),ISNUMBER(C116)),IF(OR(WEEKDAY(B116,2)&gt;5,C116&lt;1,C116&gt;10),"",IF(INDEX(Timetable!$E$6:$I$15,C116,WEEKDAY(B116,2))="","",INDEX(Timetable!$E$6:$I$15,C116,WEEKDAY(B116,2)))),"")))</f>
        <v/>
      </c>
      <c r="J116" s="1" t="n"/>
      <c r="K116">
        <f>IF(AND(ISNUMBER(B116),ISNUMBER(C116)),B116*100+C116,"")</f>
        <v/>
      </c>
      <c r="L116">
        <f>IF(OR(G116="",NOT(ISNUMBER(B116))),"",IF(AND(B116&gt;=Settings!$C$6,B116&lt;=Settings!$C$6+6),B116*1000+ROW(),""))</f>
        <v/>
      </c>
    </row>
    <row r="117">
      <c r="A117" s="1" t="n"/>
      <c r="B117" s="28" t="n"/>
      <c r="C117" s="29" t="n"/>
      <c r="D117" s="30" t="n"/>
      <c r="E117" s="31" t="n"/>
      <c r="F117" s="32" t="n"/>
      <c r="G117" s="32" t="n"/>
      <c r="H117" s="33" t="n"/>
      <c r="I117" s="34">
        <f>IF(B117="","",IF(D117&lt;&gt;"",D117,IF(AND(ISNUMBER(B117),ISNUMBER(C117)),IF(OR(WEEKDAY(B117,2)&gt;5,C117&lt;1,C117&gt;10),"",IF(INDEX(Timetable!$E$6:$I$15,C117,WEEKDAY(B117,2))="","",INDEX(Timetable!$E$6:$I$15,C117,WEEKDAY(B117,2)))),"")))</f>
        <v/>
      </c>
      <c r="J117" s="1" t="n"/>
      <c r="K117">
        <f>IF(AND(ISNUMBER(B117),ISNUMBER(C117)),B117*100+C117,"")</f>
        <v/>
      </c>
      <c r="L117">
        <f>IF(OR(G117="",NOT(ISNUMBER(B117))),"",IF(AND(B117&gt;=Settings!$C$6,B117&lt;=Settings!$C$6+6),B117*1000+ROW(),""))</f>
        <v/>
      </c>
    </row>
    <row r="118">
      <c r="A118" s="1" t="n"/>
      <c r="B118" s="28" t="n"/>
      <c r="C118" s="29" t="n"/>
      <c r="D118" s="30" t="n"/>
      <c r="E118" s="31" t="n"/>
      <c r="F118" s="32" t="n"/>
      <c r="G118" s="32" t="n"/>
      <c r="H118" s="33" t="n"/>
      <c r="I118" s="34">
        <f>IF(B118="","",IF(D118&lt;&gt;"",D118,IF(AND(ISNUMBER(B118),ISNUMBER(C118)),IF(OR(WEEKDAY(B118,2)&gt;5,C118&lt;1,C118&gt;10),"",IF(INDEX(Timetable!$E$6:$I$15,C118,WEEKDAY(B118,2))="","",INDEX(Timetable!$E$6:$I$15,C118,WEEKDAY(B118,2)))),"")))</f>
        <v/>
      </c>
      <c r="J118" s="1" t="n"/>
      <c r="K118">
        <f>IF(AND(ISNUMBER(B118),ISNUMBER(C118)),B118*100+C118,"")</f>
        <v/>
      </c>
      <c r="L118">
        <f>IF(OR(G118="",NOT(ISNUMBER(B118))),"",IF(AND(B118&gt;=Settings!$C$6,B118&lt;=Settings!$C$6+6),B118*1000+ROW(),""))</f>
        <v/>
      </c>
    </row>
    <row r="119">
      <c r="A119" s="1" t="n"/>
      <c r="B119" s="28" t="n"/>
      <c r="C119" s="29" t="n"/>
      <c r="D119" s="30" t="n"/>
      <c r="E119" s="31" t="n"/>
      <c r="F119" s="32" t="n"/>
      <c r="G119" s="32" t="n"/>
      <c r="H119" s="33" t="n"/>
      <c r="I119" s="34">
        <f>IF(B119="","",IF(D119&lt;&gt;"",D119,IF(AND(ISNUMBER(B119),ISNUMBER(C119)),IF(OR(WEEKDAY(B119,2)&gt;5,C119&lt;1,C119&gt;10),"",IF(INDEX(Timetable!$E$6:$I$15,C119,WEEKDAY(B119,2))="","",INDEX(Timetable!$E$6:$I$15,C119,WEEKDAY(B119,2)))),"")))</f>
        <v/>
      </c>
      <c r="J119" s="1" t="n"/>
      <c r="K119">
        <f>IF(AND(ISNUMBER(B119),ISNUMBER(C119)),B119*100+C119,"")</f>
        <v/>
      </c>
      <c r="L119">
        <f>IF(OR(G119="",NOT(ISNUMBER(B119))),"",IF(AND(B119&gt;=Settings!$C$6,B119&lt;=Settings!$C$6+6),B119*1000+ROW(),""))</f>
        <v/>
      </c>
    </row>
    <row r="120">
      <c r="A120" s="1" t="n"/>
      <c r="B120" s="28" t="n"/>
      <c r="C120" s="29" t="n"/>
      <c r="D120" s="30" t="n"/>
      <c r="E120" s="31" t="n"/>
      <c r="F120" s="32" t="n"/>
      <c r="G120" s="32" t="n"/>
      <c r="H120" s="33" t="n"/>
      <c r="I120" s="34">
        <f>IF(B120="","",IF(D120&lt;&gt;"",D120,IF(AND(ISNUMBER(B120),ISNUMBER(C120)),IF(OR(WEEKDAY(B120,2)&gt;5,C120&lt;1,C120&gt;10),"",IF(INDEX(Timetable!$E$6:$I$15,C120,WEEKDAY(B120,2))="","",INDEX(Timetable!$E$6:$I$15,C120,WEEKDAY(B120,2)))),"")))</f>
        <v/>
      </c>
      <c r="J120" s="1" t="n"/>
      <c r="K120">
        <f>IF(AND(ISNUMBER(B120),ISNUMBER(C120)),B120*100+C120,"")</f>
        <v/>
      </c>
      <c r="L120">
        <f>IF(OR(G120="",NOT(ISNUMBER(B120))),"",IF(AND(B120&gt;=Settings!$C$6,B120&lt;=Settings!$C$6+6),B120*1000+ROW(),""))</f>
        <v/>
      </c>
    </row>
    <row r="121">
      <c r="A121" s="1" t="n"/>
      <c r="B121" s="28" t="n"/>
      <c r="C121" s="29" t="n"/>
      <c r="D121" s="30" t="n"/>
      <c r="E121" s="31" t="n"/>
      <c r="F121" s="32" t="n"/>
      <c r="G121" s="32" t="n"/>
      <c r="H121" s="33" t="n"/>
      <c r="I121" s="34">
        <f>IF(B121="","",IF(D121&lt;&gt;"",D121,IF(AND(ISNUMBER(B121),ISNUMBER(C121)),IF(OR(WEEKDAY(B121,2)&gt;5,C121&lt;1,C121&gt;10),"",IF(INDEX(Timetable!$E$6:$I$15,C121,WEEKDAY(B121,2))="","",INDEX(Timetable!$E$6:$I$15,C121,WEEKDAY(B121,2)))),"")))</f>
        <v/>
      </c>
      <c r="J121" s="1" t="n"/>
      <c r="K121">
        <f>IF(AND(ISNUMBER(B121),ISNUMBER(C121)),B121*100+C121,"")</f>
        <v/>
      </c>
      <c r="L121">
        <f>IF(OR(G121="",NOT(ISNUMBER(B121))),"",IF(AND(B121&gt;=Settings!$C$6,B121&lt;=Settings!$C$6+6),B121*1000+ROW(),""))</f>
        <v/>
      </c>
    </row>
    <row r="122">
      <c r="A122" s="1" t="n"/>
      <c r="B122" s="28" t="n"/>
      <c r="C122" s="29" t="n"/>
      <c r="D122" s="30" t="n"/>
      <c r="E122" s="31" t="n"/>
      <c r="F122" s="32" t="n"/>
      <c r="G122" s="32" t="n"/>
      <c r="H122" s="33" t="n"/>
      <c r="I122" s="34">
        <f>IF(B122="","",IF(D122&lt;&gt;"",D122,IF(AND(ISNUMBER(B122),ISNUMBER(C122)),IF(OR(WEEKDAY(B122,2)&gt;5,C122&lt;1,C122&gt;10),"",IF(INDEX(Timetable!$E$6:$I$15,C122,WEEKDAY(B122,2))="","",INDEX(Timetable!$E$6:$I$15,C122,WEEKDAY(B122,2)))),"")))</f>
        <v/>
      </c>
      <c r="J122" s="1" t="n"/>
      <c r="K122">
        <f>IF(AND(ISNUMBER(B122),ISNUMBER(C122)),B122*100+C122,"")</f>
        <v/>
      </c>
      <c r="L122">
        <f>IF(OR(G122="",NOT(ISNUMBER(B122))),"",IF(AND(B122&gt;=Settings!$C$6,B122&lt;=Settings!$C$6+6),B122*1000+ROW(),""))</f>
        <v/>
      </c>
    </row>
    <row r="123">
      <c r="A123" s="1" t="n"/>
      <c r="B123" s="28" t="n"/>
      <c r="C123" s="29" t="n"/>
      <c r="D123" s="30" t="n"/>
      <c r="E123" s="31" t="n"/>
      <c r="F123" s="32" t="n"/>
      <c r="G123" s="32" t="n"/>
      <c r="H123" s="33" t="n"/>
      <c r="I123" s="34">
        <f>IF(B123="","",IF(D123&lt;&gt;"",D123,IF(AND(ISNUMBER(B123),ISNUMBER(C123)),IF(OR(WEEKDAY(B123,2)&gt;5,C123&lt;1,C123&gt;10),"",IF(INDEX(Timetable!$E$6:$I$15,C123,WEEKDAY(B123,2))="","",INDEX(Timetable!$E$6:$I$15,C123,WEEKDAY(B123,2)))),"")))</f>
        <v/>
      </c>
      <c r="J123" s="1" t="n"/>
      <c r="K123">
        <f>IF(AND(ISNUMBER(B123),ISNUMBER(C123)),B123*100+C123,"")</f>
        <v/>
      </c>
      <c r="L123">
        <f>IF(OR(G123="",NOT(ISNUMBER(B123))),"",IF(AND(B123&gt;=Settings!$C$6,B123&lt;=Settings!$C$6+6),B123*1000+ROW(),""))</f>
        <v/>
      </c>
    </row>
    <row r="124">
      <c r="A124" s="1" t="n"/>
      <c r="B124" s="28" t="n"/>
      <c r="C124" s="29" t="n"/>
      <c r="D124" s="30" t="n"/>
      <c r="E124" s="31" t="n"/>
      <c r="F124" s="32" t="n"/>
      <c r="G124" s="32" t="n"/>
      <c r="H124" s="33" t="n"/>
      <c r="I124" s="34">
        <f>IF(B124="","",IF(D124&lt;&gt;"",D124,IF(AND(ISNUMBER(B124),ISNUMBER(C124)),IF(OR(WEEKDAY(B124,2)&gt;5,C124&lt;1,C124&gt;10),"",IF(INDEX(Timetable!$E$6:$I$15,C124,WEEKDAY(B124,2))="","",INDEX(Timetable!$E$6:$I$15,C124,WEEKDAY(B124,2)))),"")))</f>
        <v/>
      </c>
      <c r="J124" s="1" t="n"/>
      <c r="K124">
        <f>IF(AND(ISNUMBER(B124),ISNUMBER(C124)),B124*100+C124,"")</f>
        <v/>
      </c>
      <c r="L124">
        <f>IF(OR(G124="",NOT(ISNUMBER(B124))),"",IF(AND(B124&gt;=Settings!$C$6,B124&lt;=Settings!$C$6+6),B124*1000+ROW(),""))</f>
        <v/>
      </c>
    </row>
    <row r="125">
      <c r="A125" s="1" t="n"/>
      <c r="B125" s="28" t="n"/>
      <c r="C125" s="29" t="n"/>
      <c r="D125" s="30" t="n"/>
      <c r="E125" s="31" t="n"/>
      <c r="F125" s="32" t="n"/>
      <c r="G125" s="32" t="n"/>
      <c r="H125" s="33" t="n"/>
      <c r="I125" s="34">
        <f>IF(B125="","",IF(D125&lt;&gt;"",D125,IF(AND(ISNUMBER(B125),ISNUMBER(C125)),IF(OR(WEEKDAY(B125,2)&gt;5,C125&lt;1,C125&gt;10),"",IF(INDEX(Timetable!$E$6:$I$15,C125,WEEKDAY(B125,2))="","",INDEX(Timetable!$E$6:$I$15,C125,WEEKDAY(B125,2)))),"")))</f>
        <v/>
      </c>
      <c r="J125" s="1" t="n"/>
      <c r="K125">
        <f>IF(AND(ISNUMBER(B125),ISNUMBER(C125)),B125*100+C125,"")</f>
        <v/>
      </c>
      <c r="L125">
        <f>IF(OR(G125="",NOT(ISNUMBER(B125))),"",IF(AND(B125&gt;=Settings!$C$6,B125&lt;=Settings!$C$6+6),B125*1000+ROW(),""))</f>
        <v/>
      </c>
    </row>
    <row r="126">
      <c r="A126" s="1" t="n"/>
      <c r="B126" s="28" t="n"/>
      <c r="C126" s="29" t="n"/>
      <c r="D126" s="30" t="n"/>
      <c r="E126" s="31" t="n"/>
      <c r="F126" s="32" t="n"/>
      <c r="G126" s="32" t="n"/>
      <c r="H126" s="33" t="n"/>
      <c r="I126" s="34">
        <f>IF(B126="","",IF(D126&lt;&gt;"",D126,IF(AND(ISNUMBER(B126),ISNUMBER(C126)),IF(OR(WEEKDAY(B126,2)&gt;5,C126&lt;1,C126&gt;10),"",IF(INDEX(Timetable!$E$6:$I$15,C126,WEEKDAY(B126,2))="","",INDEX(Timetable!$E$6:$I$15,C126,WEEKDAY(B126,2)))),"")))</f>
        <v/>
      </c>
      <c r="J126" s="1" t="n"/>
      <c r="K126">
        <f>IF(AND(ISNUMBER(B126),ISNUMBER(C126)),B126*100+C126,"")</f>
        <v/>
      </c>
      <c r="L126">
        <f>IF(OR(G126="",NOT(ISNUMBER(B126))),"",IF(AND(B126&gt;=Settings!$C$6,B126&lt;=Settings!$C$6+6),B126*1000+ROW(),""))</f>
        <v/>
      </c>
    </row>
    <row r="127">
      <c r="A127" s="1" t="n"/>
      <c r="B127" s="28" t="n"/>
      <c r="C127" s="29" t="n"/>
      <c r="D127" s="30" t="n"/>
      <c r="E127" s="31" t="n"/>
      <c r="F127" s="32" t="n"/>
      <c r="G127" s="32" t="n"/>
      <c r="H127" s="33" t="n"/>
      <c r="I127" s="34">
        <f>IF(B127="","",IF(D127&lt;&gt;"",D127,IF(AND(ISNUMBER(B127),ISNUMBER(C127)),IF(OR(WEEKDAY(B127,2)&gt;5,C127&lt;1,C127&gt;10),"",IF(INDEX(Timetable!$E$6:$I$15,C127,WEEKDAY(B127,2))="","",INDEX(Timetable!$E$6:$I$15,C127,WEEKDAY(B127,2)))),"")))</f>
        <v/>
      </c>
      <c r="J127" s="1" t="n"/>
      <c r="K127">
        <f>IF(AND(ISNUMBER(B127),ISNUMBER(C127)),B127*100+C127,"")</f>
        <v/>
      </c>
      <c r="L127">
        <f>IF(OR(G127="",NOT(ISNUMBER(B127))),"",IF(AND(B127&gt;=Settings!$C$6,B127&lt;=Settings!$C$6+6),B127*1000+ROW(),""))</f>
        <v/>
      </c>
    </row>
    <row r="128">
      <c r="A128" s="1" t="n"/>
      <c r="B128" s="28" t="n"/>
      <c r="C128" s="29" t="n"/>
      <c r="D128" s="30" t="n"/>
      <c r="E128" s="31" t="n"/>
      <c r="F128" s="32" t="n"/>
      <c r="G128" s="32" t="n"/>
      <c r="H128" s="33" t="n"/>
      <c r="I128" s="34">
        <f>IF(B128="","",IF(D128&lt;&gt;"",D128,IF(AND(ISNUMBER(B128),ISNUMBER(C128)),IF(OR(WEEKDAY(B128,2)&gt;5,C128&lt;1,C128&gt;10),"",IF(INDEX(Timetable!$E$6:$I$15,C128,WEEKDAY(B128,2))="","",INDEX(Timetable!$E$6:$I$15,C128,WEEKDAY(B128,2)))),"")))</f>
        <v/>
      </c>
      <c r="J128" s="1" t="n"/>
      <c r="K128">
        <f>IF(AND(ISNUMBER(B128),ISNUMBER(C128)),B128*100+C128,"")</f>
        <v/>
      </c>
      <c r="L128">
        <f>IF(OR(G128="",NOT(ISNUMBER(B128))),"",IF(AND(B128&gt;=Settings!$C$6,B128&lt;=Settings!$C$6+6),B128*1000+ROW(),""))</f>
        <v/>
      </c>
    </row>
    <row r="129">
      <c r="A129" s="1" t="n"/>
      <c r="B129" s="28" t="n"/>
      <c r="C129" s="29" t="n"/>
      <c r="D129" s="30" t="n"/>
      <c r="E129" s="31" t="n"/>
      <c r="F129" s="32" t="n"/>
      <c r="G129" s="32" t="n"/>
      <c r="H129" s="33" t="n"/>
      <c r="I129" s="34">
        <f>IF(B129="","",IF(D129&lt;&gt;"",D129,IF(AND(ISNUMBER(B129),ISNUMBER(C129)),IF(OR(WEEKDAY(B129,2)&gt;5,C129&lt;1,C129&gt;10),"",IF(INDEX(Timetable!$E$6:$I$15,C129,WEEKDAY(B129,2))="","",INDEX(Timetable!$E$6:$I$15,C129,WEEKDAY(B129,2)))),"")))</f>
        <v/>
      </c>
      <c r="J129" s="1" t="n"/>
      <c r="K129">
        <f>IF(AND(ISNUMBER(B129),ISNUMBER(C129)),B129*100+C129,"")</f>
        <v/>
      </c>
      <c r="L129">
        <f>IF(OR(G129="",NOT(ISNUMBER(B129))),"",IF(AND(B129&gt;=Settings!$C$6,B129&lt;=Settings!$C$6+6),B129*1000+ROW(),""))</f>
        <v/>
      </c>
    </row>
    <row r="130">
      <c r="A130" s="1" t="n"/>
      <c r="B130" s="28" t="n"/>
      <c r="C130" s="29" t="n"/>
      <c r="D130" s="30" t="n"/>
      <c r="E130" s="31" t="n"/>
      <c r="F130" s="32" t="n"/>
      <c r="G130" s="32" t="n"/>
      <c r="H130" s="33" t="n"/>
      <c r="I130" s="34">
        <f>IF(B130="","",IF(D130&lt;&gt;"",D130,IF(AND(ISNUMBER(B130),ISNUMBER(C130)),IF(OR(WEEKDAY(B130,2)&gt;5,C130&lt;1,C130&gt;10),"",IF(INDEX(Timetable!$E$6:$I$15,C130,WEEKDAY(B130,2))="","",INDEX(Timetable!$E$6:$I$15,C130,WEEKDAY(B130,2)))),"")))</f>
        <v/>
      </c>
      <c r="J130" s="1" t="n"/>
      <c r="K130">
        <f>IF(AND(ISNUMBER(B130),ISNUMBER(C130)),B130*100+C130,"")</f>
        <v/>
      </c>
      <c r="L130">
        <f>IF(OR(G130="",NOT(ISNUMBER(B130))),"",IF(AND(B130&gt;=Settings!$C$6,B130&lt;=Settings!$C$6+6),B130*1000+ROW(),""))</f>
        <v/>
      </c>
    </row>
    <row r="131">
      <c r="A131" s="1" t="n"/>
      <c r="B131" s="28" t="n"/>
      <c r="C131" s="29" t="n"/>
      <c r="D131" s="30" t="n"/>
      <c r="E131" s="31" t="n"/>
      <c r="F131" s="32" t="n"/>
      <c r="G131" s="32" t="n"/>
      <c r="H131" s="33" t="n"/>
      <c r="I131" s="34">
        <f>IF(B131="","",IF(D131&lt;&gt;"",D131,IF(AND(ISNUMBER(B131),ISNUMBER(C131)),IF(OR(WEEKDAY(B131,2)&gt;5,C131&lt;1,C131&gt;10),"",IF(INDEX(Timetable!$E$6:$I$15,C131,WEEKDAY(B131,2))="","",INDEX(Timetable!$E$6:$I$15,C131,WEEKDAY(B131,2)))),"")))</f>
        <v/>
      </c>
      <c r="J131" s="1" t="n"/>
      <c r="K131">
        <f>IF(AND(ISNUMBER(B131),ISNUMBER(C131)),B131*100+C131,"")</f>
        <v/>
      </c>
      <c r="L131">
        <f>IF(OR(G131="",NOT(ISNUMBER(B131))),"",IF(AND(B131&gt;=Settings!$C$6,B131&lt;=Settings!$C$6+6),B131*1000+ROW(),""))</f>
        <v/>
      </c>
    </row>
    <row r="132">
      <c r="A132" s="1" t="n"/>
      <c r="B132" s="28" t="n"/>
      <c r="C132" s="29" t="n"/>
      <c r="D132" s="30" t="n"/>
      <c r="E132" s="31" t="n"/>
      <c r="F132" s="32" t="n"/>
      <c r="G132" s="32" t="n"/>
      <c r="H132" s="33" t="n"/>
      <c r="I132" s="34">
        <f>IF(B132="","",IF(D132&lt;&gt;"",D132,IF(AND(ISNUMBER(B132),ISNUMBER(C132)),IF(OR(WEEKDAY(B132,2)&gt;5,C132&lt;1,C132&gt;10),"",IF(INDEX(Timetable!$E$6:$I$15,C132,WEEKDAY(B132,2))="","",INDEX(Timetable!$E$6:$I$15,C132,WEEKDAY(B132,2)))),"")))</f>
        <v/>
      </c>
      <c r="J132" s="1" t="n"/>
      <c r="K132">
        <f>IF(AND(ISNUMBER(B132),ISNUMBER(C132)),B132*100+C132,"")</f>
        <v/>
      </c>
      <c r="L132">
        <f>IF(OR(G132="",NOT(ISNUMBER(B132))),"",IF(AND(B132&gt;=Settings!$C$6,B132&lt;=Settings!$C$6+6),B132*1000+ROW(),""))</f>
        <v/>
      </c>
    </row>
    <row r="133">
      <c r="A133" s="1" t="n"/>
      <c r="B133" s="28" t="n"/>
      <c r="C133" s="29" t="n"/>
      <c r="D133" s="30" t="n"/>
      <c r="E133" s="31" t="n"/>
      <c r="F133" s="32" t="n"/>
      <c r="G133" s="32" t="n"/>
      <c r="H133" s="33" t="n"/>
      <c r="I133" s="34">
        <f>IF(B133="","",IF(D133&lt;&gt;"",D133,IF(AND(ISNUMBER(B133),ISNUMBER(C133)),IF(OR(WEEKDAY(B133,2)&gt;5,C133&lt;1,C133&gt;10),"",IF(INDEX(Timetable!$E$6:$I$15,C133,WEEKDAY(B133,2))="","",INDEX(Timetable!$E$6:$I$15,C133,WEEKDAY(B133,2)))),"")))</f>
        <v/>
      </c>
      <c r="J133" s="1" t="n"/>
      <c r="K133">
        <f>IF(AND(ISNUMBER(B133),ISNUMBER(C133)),B133*100+C133,"")</f>
        <v/>
      </c>
      <c r="L133">
        <f>IF(OR(G133="",NOT(ISNUMBER(B133))),"",IF(AND(B133&gt;=Settings!$C$6,B133&lt;=Settings!$C$6+6),B133*1000+ROW(),""))</f>
        <v/>
      </c>
    </row>
    <row r="134">
      <c r="A134" s="1" t="n"/>
      <c r="B134" s="28" t="n"/>
      <c r="C134" s="29" t="n"/>
      <c r="D134" s="30" t="n"/>
      <c r="E134" s="31" t="n"/>
      <c r="F134" s="32" t="n"/>
      <c r="G134" s="32" t="n"/>
      <c r="H134" s="33" t="n"/>
      <c r="I134" s="34">
        <f>IF(B134="","",IF(D134&lt;&gt;"",D134,IF(AND(ISNUMBER(B134),ISNUMBER(C134)),IF(OR(WEEKDAY(B134,2)&gt;5,C134&lt;1,C134&gt;10),"",IF(INDEX(Timetable!$E$6:$I$15,C134,WEEKDAY(B134,2))="","",INDEX(Timetable!$E$6:$I$15,C134,WEEKDAY(B134,2)))),"")))</f>
        <v/>
      </c>
      <c r="J134" s="1" t="n"/>
      <c r="K134">
        <f>IF(AND(ISNUMBER(B134),ISNUMBER(C134)),B134*100+C134,"")</f>
        <v/>
      </c>
      <c r="L134">
        <f>IF(OR(G134="",NOT(ISNUMBER(B134))),"",IF(AND(B134&gt;=Settings!$C$6,B134&lt;=Settings!$C$6+6),B134*1000+ROW(),""))</f>
        <v/>
      </c>
    </row>
    <row r="135">
      <c r="A135" s="1" t="n"/>
      <c r="B135" s="28" t="n"/>
      <c r="C135" s="29" t="n"/>
      <c r="D135" s="30" t="n"/>
      <c r="E135" s="31" t="n"/>
      <c r="F135" s="32" t="n"/>
      <c r="G135" s="32" t="n"/>
      <c r="H135" s="33" t="n"/>
      <c r="I135" s="34">
        <f>IF(B135="","",IF(D135&lt;&gt;"",D135,IF(AND(ISNUMBER(B135),ISNUMBER(C135)),IF(OR(WEEKDAY(B135,2)&gt;5,C135&lt;1,C135&gt;10),"",IF(INDEX(Timetable!$E$6:$I$15,C135,WEEKDAY(B135,2))="","",INDEX(Timetable!$E$6:$I$15,C135,WEEKDAY(B135,2)))),"")))</f>
        <v/>
      </c>
      <c r="J135" s="1" t="n"/>
      <c r="K135">
        <f>IF(AND(ISNUMBER(B135),ISNUMBER(C135)),B135*100+C135,"")</f>
        <v/>
      </c>
      <c r="L135">
        <f>IF(OR(G135="",NOT(ISNUMBER(B135))),"",IF(AND(B135&gt;=Settings!$C$6,B135&lt;=Settings!$C$6+6),B135*1000+ROW(),""))</f>
        <v/>
      </c>
    </row>
    <row r="136">
      <c r="A136" s="1" t="n"/>
      <c r="B136" s="28" t="n"/>
      <c r="C136" s="29" t="n"/>
      <c r="D136" s="30" t="n"/>
      <c r="E136" s="31" t="n"/>
      <c r="F136" s="32" t="n"/>
      <c r="G136" s="32" t="n"/>
      <c r="H136" s="33" t="n"/>
      <c r="I136" s="34">
        <f>IF(B136="","",IF(D136&lt;&gt;"",D136,IF(AND(ISNUMBER(B136),ISNUMBER(C136)),IF(OR(WEEKDAY(B136,2)&gt;5,C136&lt;1,C136&gt;10),"",IF(INDEX(Timetable!$E$6:$I$15,C136,WEEKDAY(B136,2))="","",INDEX(Timetable!$E$6:$I$15,C136,WEEKDAY(B136,2)))),"")))</f>
        <v/>
      </c>
      <c r="J136" s="1" t="n"/>
      <c r="K136">
        <f>IF(AND(ISNUMBER(B136),ISNUMBER(C136)),B136*100+C136,"")</f>
        <v/>
      </c>
      <c r="L136">
        <f>IF(OR(G136="",NOT(ISNUMBER(B136))),"",IF(AND(B136&gt;=Settings!$C$6,B136&lt;=Settings!$C$6+6),B136*1000+ROW(),""))</f>
        <v/>
      </c>
    </row>
    <row r="137">
      <c r="A137" s="1" t="n"/>
      <c r="B137" s="28" t="n"/>
      <c r="C137" s="29" t="n"/>
      <c r="D137" s="30" t="n"/>
      <c r="E137" s="31" t="n"/>
      <c r="F137" s="32" t="n"/>
      <c r="G137" s="32" t="n"/>
      <c r="H137" s="33" t="n"/>
      <c r="I137" s="34">
        <f>IF(B137="","",IF(D137&lt;&gt;"",D137,IF(AND(ISNUMBER(B137),ISNUMBER(C137)),IF(OR(WEEKDAY(B137,2)&gt;5,C137&lt;1,C137&gt;10),"",IF(INDEX(Timetable!$E$6:$I$15,C137,WEEKDAY(B137,2))="","",INDEX(Timetable!$E$6:$I$15,C137,WEEKDAY(B137,2)))),"")))</f>
        <v/>
      </c>
      <c r="J137" s="1" t="n"/>
      <c r="K137">
        <f>IF(AND(ISNUMBER(B137),ISNUMBER(C137)),B137*100+C137,"")</f>
        <v/>
      </c>
      <c r="L137">
        <f>IF(OR(G137="",NOT(ISNUMBER(B137))),"",IF(AND(B137&gt;=Settings!$C$6,B137&lt;=Settings!$C$6+6),B137*1000+ROW(),""))</f>
        <v/>
      </c>
    </row>
    <row r="138">
      <c r="A138" s="1" t="n"/>
      <c r="B138" s="28" t="n"/>
      <c r="C138" s="29" t="n"/>
      <c r="D138" s="30" t="n"/>
      <c r="E138" s="31" t="n"/>
      <c r="F138" s="32" t="n"/>
      <c r="G138" s="32" t="n"/>
      <c r="H138" s="33" t="n"/>
      <c r="I138" s="34">
        <f>IF(B138="","",IF(D138&lt;&gt;"",D138,IF(AND(ISNUMBER(B138),ISNUMBER(C138)),IF(OR(WEEKDAY(B138,2)&gt;5,C138&lt;1,C138&gt;10),"",IF(INDEX(Timetable!$E$6:$I$15,C138,WEEKDAY(B138,2))="","",INDEX(Timetable!$E$6:$I$15,C138,WEEKDAY(B138,2)))),"")))</f>
        <v/>
      </c>
      <c r="J138" s="1" t="n"/>
      <c r="K138">
        <f>IF(AND(ISNUMBER(B138),ISNUMBER(C138)),B138*100+C138,"")</f>
        <v/>
      </c>
      <c r="L138">
        <f>IF(OR(G138="",NOT(ISNUMBER(B138))),"",IF(AND(B138&gt;=Settings!$C$6,B138&lt;=Settings!$C$6+6),B138*1000+ROW(),""))</f>
        <v/>
      </c>
    </row>
    <row r="139">
      <c r="A139" s="1" t="n"/>
      <c r="B139" s="28" t="n"/>
      <c r="C139" s="29" t="n"/>
      <c r="D139" s="30" t="n"/>
      <c r="E139" s="31" t="n"/>
      <c r="F139" s="32" t="n"/>
      <c r="G139" s="32" t="n"/>
      <c r="H139" s="33" t="n"/>
      <c r="I139" s="34">
        <f>IF(B139="","",IF(D139&lt;&gt;"",D139,IF(AND(ISNUMBER(B139),ISNUMBER(C139)),IF(OR(WEEKDAY(B139,2)&gt;5,C139&lt;1,C139&gt;10),"",IF(INDEX(Timetable!$E$6:$I$15,C139,WEEKDAY(B139,2))="","",INDEX(Timetable!$E$6:$I$15,C139,WEEKDAY(B139,2)))),"")))</f>
        <v/>
      </c>
      <c r="J139" s="1" t="n"/>
      <c r="K139">
        <f>IF(AND(ISNUMBER(B139),ISNUMBER(C139)),B139*100+C139,"")</f>
        <v/>
      </c>
      <c r="L139">
        <f>IF(OR(G139="",NOT(ISNUMBER(B139))),"",IF(AND(B139&gt;=Settings!$C$6,B139&lt;=Settings!$C$6+6),B139*1000+ROW(),""))</f>
        <v/>
      </c>
    </row>
    <row r="140">
      <c r="A140" s="1" t="n"/>
      <c r="B140" s="28" t="n"/>
      <c r="C140" s="29" t="n"/>
      <c r="D140" s="30" t="n"/>
      <c r="E140" s="31" t="n"/>
      <c r="F140" s="32" t="n"/>
      <c r="G140" s="32" t="n"/>
      <c r="H140" s="33" t="n"/>
      <c r="I140" s="34">
        <f>IF(B140="","",IF(D140&lt;&gt;"",D140,IF(AND(ISNUMBER(B140),ISNUMBER(C140)),IF(OR(WEEKDAY(B140,2)&gt;5,C140&lt;1,C140&gt;10),"",IF(INDEX(Timetable!$E$6:$I$15,C140,WEEKDAY(B140,2))="","",INDEX(Timetable!$E$6:$I$15,C140,WEEKDAY(B140,2)))),"")))</f>
        <v/>
      </c>
      <c r="J140" s="1" t="n"/>
      <c r="K140">
        <f>IF(AND(ISNUMBER(B140),ISNUMBER(C140)),B140*100+C140,"")</f>
        <v/>
      </c>
      <c r="L140">
        <f>IF(OR(G140="",NOT(ISNUMBER(B140))),"",IF(AND(B140&gt;=Settings!$C$6,B140&lt;=Settings!$C$6+6),B140*1000+ROW(),""))</f>
        <v/>
      </c>
    </row>
    <row r="141">
      <c r="A141" s="1" t="n"/>
      <c r="B141" s="28" t="n"/>
      <c r="C141" s="29" t="n"/>
      <c r="D141" s="30" t="n"/>
      <c r="E141" s="31" t="n"/>
      <c r="F141" s="32" t="n"/>
      <c r="G141" s="32" t="n"/>
      <c r="H141" s="33" t="n"/>
      <c r="I141" s="34">
        <f>IF(B141="","",IF(D141&lt;&gt;"",D141,IF(AND(ISNUMBER(B141),ISNUMBER(C141)),IF(OR(WEEKDAY(B141,2)&gt;5,C141&lt;1,C141&gt;10),"",IF(INDEX(Timetable!$E$6:$I$15,C141,WEEKDAY(B141,2))="","",INDEX(Timetable!$E$6:$I$15,C141,WEEKDAY(B141,2)))),"")))</f>
        <v/>
      </c>
      <c r="J141" s="1" t="n"/>
      <c r="K141">
        <f>IF(AND(ISNUMBER(B141),ISNUMBER(C141)),B141*100+C141,"")</f>
        <v/>
      </c>
      <c r="L141">
        <f>IF(OR(G141="",NOT(ISNUMBER(B141))),"",IF(AND(B141&gt;=Settings!$C$6,B141&lt;=Settings!$C$6+6),B141*1000+ROW(),""))</f>
        <v/>
      </c>
    </row>
    <row r="142">
      <c r="A142" s="1" t="n"/>
      <c r="B142" s="28" t="n"/>
      <c r="C142" s="29" t="n"/>
      <c r="D142" s="30" t="n"/>
      <c r="E142" s="31" t="n"/>
      <c r="F142" s="32" t="n"/>
      <c r="G142" s="32" t="n"/>
      <c r="H142" s="33" t="n"/>
      <c r="I142" s="34">
        <f>IF(B142="","",IF(D142&lt;&gt;"",D142,IF(AND(ISNUMBER(B142),ISNUMBER(C142)),IF(OR(WEEKDAY(B142,2)&gt;5,C142&lt;1,C142&gt;10),"",IF(INDEX(Timetable!$E$6:$I$15,C142,WEEKDAY(B142,2))="","",INDEX(Timetable!$E$6:$I$15,C142,WEEKDAY(B142,2)))),"")))</f>
        <v/>
      </c>
      <c r="J142" s="1" t="n"/>
      <c r="K142">
        <f>IF(AND(ISNUMBER(B142),ISNUMBER(C142)),B142*100+C142,"")</f>
        <v/>
      </c>
      <c r="L142">
        <f>IF(OR(G142="",NOT(ISNUMBER(B142))),"",IF(AND(B142&gt;=Settings!$C$6,B142&lt;=Settings!$C$6+6),B142*1000+ROW(),""))</f>
        <v/>
      </c>
    </row>
    <row r="143">
      <c r="A143" s="1" t="n"/>
      <c r="B143" s="28" t="n"/>
      <c r="C143" s="29" t="n"/>
      <c r="D143" s="30" t="n"/>
      <c r="E143" s="31" t="n"/>
      <c r="F143" s="32" t="n"/>
      <c r="G143" s="32" t="n"/>
      <c r="H143" s="33" t="n"/>
      <c r="I143" s="34">
        <f>IF(B143="","",IF(D143&lt;&gt;"",D143,IF(AND(ISNUMBER(B143),ISNUMBER(C143)),IF(OR(WEEKDAY(B143,2)&gt;5,C143&lt;1,C143&gt;10),"",IF(INDEX(Timetable!$E$6:$I$15,C143,WEEKDAY(B143,2))="","",INDEX(Timetable!$E$6:$I$15,C143,WEEKDAY(B143,2)))),"")))</f>
        <v/>
      </c>
      <c r="J143" s="1" t="n"/>
      <c r="K143">
        <f>IF(AND(ISNUMBER(B143),ISNUMBER(C143)),B143*100+C143,"")</f>
        <v/>
      </c>
      <c r="L143">
        <f>IF(OR(G143="",NOT(ISNUMBER(B143))),"",IF(AND(B143&gt;=Settings!$C$6,B143&lt;=Settings!$C$6+6),B143*1000+ROW(),""))</f>
        <v/>
      </c>
    </row>
    <row r="144">
      <c r="A144" s="1" t="n"/>
      <c r="B144" s="28" t="n"/>
      <c r="C144" s="29" t="n"/>
      <c r="D144" s="30" t="n"/>
      <c r="E144" s="31" t="n"/>
      <c r="F144" s="32" t="n"/>
      <c r="G144" s="32" t="n"/>
      <c r="H144" s="33" t="n"/>
      <c r="I144" s="34">
        <f>IF(B144="","",IF(D144&lt;&gt;"",D144,IF(AND(ISNUMBER(B144),ISNUMBER(C144)),IF(OR(WEEKDAY(B144,2)&gt;5,C144&lt;1,C144&gt;10),"",IF(INDEX(Timetable!$E$6:$I$15,C144,WEEKDAY(B144,2))="","",INDEX(Timetable!$E$6:$I$15,C144,WEEKDAY(B144,2)))),"")))</f>
        <v/>
      </c>
      <c r="J144" s="1" t="n"/>
      <c r="K144">
        <f>IF(AND(ISNUMBER(B144),ISNUMBER(C144)),B144*100+C144,"")</f>
        <v/>
      </c>
      <c r="L144">
        <f>IF(OR(G144="",NOT(ISNUMBER(B144))),"",IF(AND(B144&gt;=Settings!$C$6,B144&lt;=Settings!$C$6+6),B144*1000+ROW(),""))</f>
        <v/>
      </c>
    </row>
    <row r="145">
      <c r="A145" s="1" t="n"/>
      <c r="B145" s="28" t="n"/>
      <c r="C145" s="29" t="n"/>
      <c r="D145" s="30" t="n"/>
      <c r="E145" s="31" t="n"/>
      <c r="F145" s="32" t="n"/>
      <c r="G145" s="32" t="n"/>
      <c r="H145" s="33" t="n"/>
      <c r="I145" s="34">
        <f>IF(B145="","",IF(D145&lt;&gt;"",D145,IF(AND(ISNUMBER(B145),ISNUMBER(C145)),IF(OR(WEEKDAY(B145,2)&gt;5,C145&lt;1,C145&gt;10),"",IF(INDEX(Timetable!$E$6:$I$15,C145,WEEKDAY(B145,2))="","",INDEX(Timetable!$E$6:$I$15,C145,WEEKDAY(B145,2)))),"")))</f>
        <v/>
      </c>
      <c r="J145" s="1" t="n"/>
      <c r="K145">
        <f>IF(AND(ISNUMBER(B145),ISNUMBER(C145)),B145*100+C145,"")</f>
        <v/>
      </c>
      <c r="L145">
        <f>IF(OR(G145="",NOT(ISNUMBER(B145))),"",IF(AND(B145&gt;=Settings!$C$6,B145&lt;=Settings!$C$6+6),B145*1000+ROW(),""))</f>
        <v/>
      </c>
    </row>
    <row r="146">
      <c r="A146" s="1" t="n"/>
      <c r="B146" s="28" t="n"/>
      <c r="C146" s="29" t="n"/>
      <c r="D146" s="30" t="n"/>
      <c r="E146" s="31" t="n"/>
      <c r="F146" s="32" t="n"/>
      <c r="G146" s="32" t="n"/>
      <c r="H146" s="33" t="n"/>
      <c r="I146" s="34">
        <f>IF(B146="","",IF(D146&lt;&gt;"",D146,IF(AND(ISNUMBER(B146),ISNUMBER(C146)),IF(OR(WEEKDAY(B146,2)&gt;5,C146&lt;1,C146&gt;10),"",IF(INDEX(Timetable!$E$6:$I$15,C146,WEEKDAY(B146,2))="","",INDEX(Timetable!$E$6:$I$15,C146,WEEKDAY(B146,2)))),"")))</f>
        <v/>
      </c>
      <c r="J146" s="1" t="n"/>
      <c r="K146">
        <f>IF(AND(ISNUMBER(B146),ISNUMBER(C146)),B146*100+C146,"")</f>
        <v/>
      </c>
      <c r="L146">
        <f>IF(OR(G146="",NOT(ISNUMBER(B146))),"",IF(AND(B146&gt;=Settings!$C$6,B146&lt;=Settings!$C$6+6),B146*1000+ROW(),""))</f>
        <v/>
      </c>
    </row>
    <row r="147">
      <c r="A147" s="1" t="n"/>
      <c r="B147" s="28" t="n"/>
      <c r="C147" s="29" t="n"/>
      <c r="D147" s="30" t="n"/>
      <c r="E147" s="31" t="n"/>
      <c r="F147" s="32" t="n"/>
      <c r="G147" s="32" t="n"/>
      <c r="H147" s="33" t="n"/>
      <c r="I147" s="34">
        <f>IF(B147="","",IF(D147&lt;&gt;"",D147,IF(AND(ISNUMBER(B147),ISNUMBER(C147)),IF(OR(WEEKDAY(B147,2)&gt;5,C147&lt;1,C147&gt;10),"",IF(INDEX(Timetable!$E$6:$I$15,C147,WEEKDAY(B147,2))="","",INDEX(Timetable!$E$6:$I$15,C147,WEEKDAY(B147,2)))),"")))</f>
        <v/>
      </c>
      <c r="J147" s="1" t="n"/>
      <c r="K147">
        <f>IF(AND(ISNUMBER(B147),ISNUMBER(C147)),B147*100+C147,"")</f>
        <v/>
      </c>
      <c r="L147">
        <f>IF(OR(G147="",NOT(ISNUMBER(B147))),"",IF(AND(B147&gt;=Settings!$C$6,B147&lt;=Settings!$C$6+6),B147*1000+ROW(),""))</f>
        <v/>
      </c>
    </row>
    <row r="148">
      <c r="A148" s="1" t="n"/>
      <c r="B148" s="28" t="n"/>
      <c r="C148" s="29" t="n"/>
      <c r="D148" s="30" t="n"/>
      <c r="E148" s="31" t="n"/>
      <c r="F148" s="32" t="n"/>
      <c r="G148" s="32" t="n"/>
      <c r="H148" s="33" t="n"/>
      <c r="I148" s="34">
        <f>IF(B148="","",IF(D148&lt;&gt;"",D148,IF(AND(ISNUMBER(B148),ISNUMBER(C148)),IF(OR(WEEKDAY(B148,2)&gt;5,C148&lt;1,C148&gt;10),"",IF(INDEX(Timetable!$E$6:$I$15,C148,WEEKDAY(B148,2))="","",INDEX(Timetable!$E$6:$I$15,C148,WEEKDAY(B148,2)))),"")))</f>
        <v/>
      </c>
      <c r="J148" s="1" t="n"/>
      <c r="K148">
        <f>IF(AND(ISNUMBER(B148),ISNUMBER(C148)),B148*100+C148,"")</f>
        <v/>
      </c>
      <c r="L148">
        <f>IF(OR(G148="",NOT(ISNUMBER(B148))),"",IF(AND(B148&gt;=Settings!$C$6,B148&lt;=Settings!$C$6+6),B148*1000+ROW(),""))</f>
        <v/>
      </c>
    </row>
    <row r="149">
      <c r="A149" s="1" t="n"/>
      <c r="B149" s="28" t="n"/>
      <c r="C149" s="29" t="n"/>
      <c r="D149" s="30" t="n"/>
      <c r="E149" s="31" t="n"/>
      <c r="F149" s="32" t="n"/>
      <c r="G149" s="32" t="n"/>
      <c r="H149" s="33" t="n"/>
      <c r="I149" s="34">
        <f>IF(B149="","",IF(D149&lt;&gt;"",D149,IF(AND(ISNUMBER(B149),ISNUMBER(C149)),IF(OR(WEEKDAY(B149,2)&gt;5,C149&lt;1,C149&gt;10),"",IF(INDEX(Timetable!$E$6:$I$15,C149,WEEKDAY(B149,2))="","",INDEX(Timetable!$E$6:$I$15,C149,WEEKDAY(B149,2)))),"")))</f>
        <v/>
      </c>
      <c r="J149" s="1" t="n"/>
      <c r="K149">
        <f>IF(AND(ISNUMBER(B149),ISNUMBER(C149)),B149*100+C149,"")</f>
        <v/>
      </c>
      <c r="L149">
        <f>IF(OR(G149="",NOT(ISNUMBER(B149))),"",IF(AND(B149&gt;=Settings!$C$6,B149&lt;=Settings!$C$6+6),B149*1000+ROW(),""))</f>
        <v/>
      </c>
    </row>
    <row r="150">
      <c r="A150" s="1" t="n"/>
      <c r="B150" s="28" t="n"/>
      <c r="C150" s="29" t="n"/>
      <c r="D150" s="30" t="n"/>
      <c r="E150" s="31" t="n"/>
      <c r="F150" s="32" t="n"/>
      <c r="G150" s="32" t="n"/>
      <c r="H150" s="33" t="n"/>
      <c r="I150" s="34">
        <f>IF(B150="","",IF(D150&lt;&gt;"",D150,IF(AND(ISNUMBER(B150),ISNUMBER(C150)),IF(OR(WEEKDAY(B150,2)&gt;5,C150&lt;1,C150&gt;10),"",IF(INDEX(Timetable!$E$6:$I$15,C150,WEEKDAY(B150,2))="","",INDEX(Timetable!$E$6:$I$15,C150,WEEKDAY(B150,2)))),"")))</f>
        <v/>
      </c>
      <c r="J150" s="1" t="n"/>
      <c r="K150">
        <f>IF(AND(ISNUMBER(B150),ISNUMBER(C150)),B150*100+C150,"")</f>
        <v/>
      </c>
      <c r="L150">
        <f>IF(OR(G150="",NOT(ISNUMBER(B150))),"",IF(AND(B150&gt;=Settings!$C$6,B150&lt;=Settings!$C$6+6),B150*1000+ROW(),""))</f>
        <v/>
      </c>
    </row>
    <row r="151">
      <c r="A151" s="1" t="n"/>
      <c r="B151" s="28" t="n"/>
      <c r="C151" s="29" t="n"/>
      <c r="D151" s="30" t="n"/>
      <c r="E151" s="31" t="n"/>
      <c r="F151" s="32" t="n"/>
      <c r="G151" s="32" t="n"/>
      <c r="H151" s="33" t="n"/>
      <c r="I151" s="34">
        <f>IF(B151="","",IF(D151&lt;&gt;"",D151,IF(AND(ISNUMBER(B151),ISNUMBER(C151)),IF(OR(WEEKDAY(B151,2)&gt;5,C151&lt;1,C151&gt;10),"",IF(INDEX(Timetable!$E$6:$I$15,C151,WEEKDAY(B151,2))="","",INDEX(Timetable!$E$6:$I$15,C151,WEEKDAY(B151,2)))),"")))</f>
        <v/>
      </c>
      <c r="J151" s="1" t="n"/>
      <c r="K151">
        <f>IF(AND(ISNUMBER(B151),ISNUMBER(C151)),B151*100+C151,"")</f>
        <v/>
      </c>
      <c r="L151">
        <f>IF(OR(G151="",NOT(ISNUMBER(B151))),"",IF(AND(B151&gt;=Settings!$C$6,B151&lt;=Settings!$C$6+6),B151*1000+ROW(),""))</f>
        <v/>
      </c>
    </row>
    <row r="152">
      <c r="A152" s="1" t="n"/>
      <c r="B152" s="28" t="n"/>
      <c r="C152" s="29" t="n"/>
      <c r="D152" s="30" t="n"/>
      <c r="E152" s="31" t="n"/>
      <c r="F152" s="32" t="n"/>
      <c r="G152" s="32" t="n"/>
      <c r="H152" s="33" t="n"/>
      <c r="I152" s="34">
        <f>IF(B152="","",IF(D152&lt;&gt;"",D152,IF(AND(ISNUMBER(B152),ISNUMBER(C152)),IF(OR(WEEKDAY(B152,2)&gt;5,C152&lt;1,C152&gt;10),"",IF(INDEX(Timetable!$E$6:$I$15,C152,WEEKDAY(B152,2))="","",INDEX(Timetable!$E$6:$I$15,C152,WEEKDAY(B152,2)))),"")))</f>
        <v/>
      </c>
      <c r="J152" s="1" t="n"/>
      <c r="K152">
        <f>IF(AND(ISNUMBER(B152),ISNUMBER(C152)),B152*100+C152,"")</f>
        <v/>
      </c>
      <c r="L152">
        <f>IF(OR(G152="",NOT(ISNUMBER(B152))),"",IF(AND(B152&gt;=Settings!$C$6,B152&lt;=Settings!$C$6+6),B152*1000+ROW(),""))</f>
        <v/>
      </c>
    </row>
    <row r="153">
      <c r="A153" s="1" t="n"/>
      <c r="B153" s="28" t="n"/>
      <c r="C153" s="29" t="n"/>
      <c r="D153" s="30" t="n"/>
      <c r="E153" s="31" t="n"/>
      <c r="F153" s="32" t="n"/>
      <c r="G153" s="32" t="n"/>
      <c r="H153" s="33" t="n"/>
      <c r="I153" s="34">
        <f>IF(B153="","",IF(D153&lt;&gt;"",D153,IF(AND(ISNUMBER(B153),ISNUMBER(C153)),IF(OR(WEEKDAY(B153,2)&gt;5,C153&lt;1,C153&gt;10),"",IF(INDEX(Timetable!$E$6:$I$15,C153,WEEKDAY(B153,2))="","",INDEX(Timetable!$E$6:$I$15,C153,WEEKDAY(B153,2)))),"")))</f>
        <v/>
      </c>
      <c r="J153" s="1" t="n"/>
      <c r="K153">
        <f>IF(AND(ISNUMBER(B153),ISNUMBER(C153)),B153*100+C153,"")</f>
        <v/>
      </c>
      <c r="L153">
        <f>IF(OR(G153="",NOT(ISNUMBER(B153))),"",IF(AND(B153&gt;=Settings!$C$6,B153&lt;=Settings!$C$6+6),B153*1000+ROW(),""))</f>
        <v/>
      </c>
    </row>
    <row r="154">
      <c r="A154" s="1" t="n"/>
      <c r="B154" s="28" t="n"/>
      <c r="C154" s="29" t="n"/>
      <c r="D154" s="30" t="n"/>
      <c r="E154" s="31" t="n"/>
      <c r="F154" s="32" t="n"/>
      <c r="G154" s="32" t="n"/>
      <c r="H154" s="33" t="n"/>
      <c r="I154" s="34">
        <f>IF(B154="","",IF(D154&lt;&gt;"",D154,IF(AND(ISNUMBER(B154),ISNUMBER(C154)),IF(OR(WEEKDAY(B154,2)&gt;5,C154&lt;1,C154&gt;10),"",IF(INDEX(Timetable!$E$6:$I$15,C154,WEEKDAY(B154,2))="","",INDEX(Timetable!$E$6:$I$15,C154,WEEKDAY(B154,2)))),"")))</f>
        <v/>
      </c>
      <c r="J154" s="1" t="n"/>
      <c r="K154">
        <f>IF(AND(ISNUMBER(B154),ISNUMBER(C154)),B154*100+C154,"")</f>
        <v/>
      </c>
      <c r="L154">
        <f>IF(OR(G154="",NOT(ISNUMBER(B154))),"",IF(AND(B154&gt;=Settings!$C$6,B154&lt;=Settings!$C$6+6),B154*1000+ROW(),""))</f>
        <v/>
      </c>
    </row>
    <row r="155">
      <c r="A155" s="1" t="n"/>
      <c r="B155" s="28" t="n"/>
      <c r="C155" s="29" t="n"/>
      <c r="D155" s="30" t="n"/>
      <c r="E155" s="31" t="n"/>
      <c r="F155" s="32" t="n"/>
      <c r="G155" s="32" t="n"/>
      <c r="H155" s="33" t="n"/>
      <c r="I155" s="34">
        <f>IF(B155="","",IF(D155&lt;&gt;"",D155,IF(AND(ISNUMBER(B155),ISNUMBER(C155)),IF(OR(WEEKDAY(B155,2)&gt;5,C155&lt;1,C155&gt;10),"",IF(INDEX(Timetable!$E$6:$I$15,C155,WEEKDAY(B155,2))="","",INDEX(Timetable!$E$6:$I$15,C155,WEEKDAY(B155,2)))),"")))</f>
        <v/>
      </c>
      <c r="J155" s="1" t="n"/>
      <c r="K155">
        <f>IF(AND(ISNUMBER(B155),ISNUMBER(C155)),B155*100+C155,"")</f>
        <v/>
      </c>
      <c r="L155">
        <f>IF(OR(G155="",NOT(ISNUMBER(B155))),"",IF(AND(B155&gt;=Settings!$C$6,B155&lt;=Settings!$C$6+6),B155*1000+ROW(),""))</f>
        <v/>
      </c>
    </row>
    <row r="156">
      <c r="A156" s="1" t="n"/>
      <c r="B156" s="28" t="n"/>
      <c r="C156" s="29" t="n"/>
      <c r="D156" s="30" t="n"/>
      <c r="E156" s="31" t="n"/>
      <c r="F156" s="32" t="n"/>
      <c r="G156" s="32" t="n"/>
      <c r="H156" s="33" t="n"/>
      <c r="I156" s="34">
        <f>IF(B156="","",IF(D156&lt;&gt;"",D156,IF(AND(ISNUMBER(B156),ISNUMBER(C156)),IF(OR(WEEKDAY(B156,2)&gt;5,C156&lt;1,C156&gt;10),"",IF(INDEX(Timetable!$E$6:$I$15,C156,WEEKDAY(B156,2))="","",INDEX(Timetable!$E$6:$I$15,C156,WEEKDAY(B156,2)))),"")))</f>
        <v/>
      </c>
      <c r="J156" s="1" t="n"/>
      <c r="K156">
        <f>IF(AND(ISNUMBER(B156),ISNUMBER(C156)),B156*100+C156,"")</f>
        <v/>
      </c>
      <c r="L156">
        <f>IF(OR(G156="",NOT(ISNUMBER(B156))),"",IF(AND(B156&gt;=Settings!$C$6,B156&lt;=Settings!$C$6+6),B156*1000+ROW(),""))</f>
        <v/>
      </c>
    </row>
    <row r="157">
      <c r="A157" s="1" t="n"/>
      <c r="B157" s="28" t="n"/>
      <c r="C157" s="29" t="n"/>
      <c r="D157" s="30" t="n"/>
      <c r="E157" s="31" t="n"/>
      <c r="F157" s="32" t="n"/>
      <c r="G157" s="32" t="n"/>
      <c r="H157" s="33" t="n"/>
      <c r="I157" s="34">
        <f>IF(B157="","",IF(D157&lt;&gt;"",D157,IF(AND(ISNUMBER(B157),ISNUMBER(C157)),IF(OR(WEEKDAY(B157,2)&gt;5,C157&lt;1,C157&gt;10),"",IF(INDEX(Timetable!$E$6:$I$15,C157,WEEKDAY(B157,2))="","",INDEX(Timetable!$E$6:$I$15,C157,WEEKDAY(B157,2)))),"")))</f>
        <v/>
      </c>
      <c r="J157" s="1" t="n"/>
      <c r="K157">
        <f>IF(AND(ISNUMBER(B157),ISNUMBER(C157)),B157*100+C157,"")</f>
        <v/>
      </c>
      <c r="L157">
        <f>IF(OR(G157="",NOT(ISNUMBER(B157))),"",IF(AND(B157&gt;=Settings!$C$6,B157&lt;=Settings!$C$6+6),B157*1000+ROW(),""))</f>
        <v/>
      </c>
    </row>
    <row r="158">
      <c r="A158" s="1" t="n"/>
      <c r="B158" s="28" t="n"/>
      <c r="C158" s="29" t="n"/>
      <c r="D158" s="30" t="n"/>
      <c r="E158" s="31" t="n"/>
      <c r="F158" s="32" t="n"/>
      <c r="G158" s="32" t="n"/>
      <c r="H158" s="33" t="n"/>
      <c r="I158" s="34">
        <f>IF(B158="","",IF(D158&lt;&gt;"",D158,IF(AND(ISNUMBER(B158),ISNUMBER(C158)),IF(OR(WEEKDAY(B158,2)&gt;5,C158&lt;1,C158&gt;10),"",IF(INDEX(Timetable!$E$6:$I$15,C158,WEEKDAY(B158,2))="","",INDEX(Timetable!$E$6:$I$15,C158,WEEKDAY(B158,2)))),"")))</f>
        <v/>
      </c>
      <c r="J158" s="1" t="n"/>
      <c r="K158">
        <f>IF(AND(ISNUMBER(B158),ISNUMBER(C158)),B158*100+C158,"")</f>
        <v/>
      </c>
      <c r="L158">
        <f>IF(OR(G158="",NOT(ISNUMBER(B158))),"",IF(AND(B158&gt;=Settings!$C$6,B158&lt;=Settings!$C$6+6),B158*1000+ROW(),""))</f>
        <v/>
      </c>
    </row>
    <row r="159">
      <c r="A159" s="1" t="n"/>
      <c r="B159" s="28" t="n"/>
      <c r="C159" s="29" t="n"/>
      <c r="D159" s="30" t="n"/>
      <c r="E159" s="31" t="n"/>
      <c r="F159" s="32" t="n"/>
      <c r="G159" s="32" t="n"/>
      <c r="H159" s="33" t="n"/>
      <c r="I159" s="34">
        <f>IF(B159="","",IF(D159&lt;&gt;"",D159,IF(AND(ISNUMBER(B159),ISNUMBER(C159)),IF(OR(WEEKDAY(B159,2)&gt;5,C159&lt;1,C159&gt;10),"",IF(INDEX(Timetable!$E$6:$I$15,C159,WEEKDAY(B159,2))="","",INDEX(Timetable!$E$6:$I$15,C159,WEEKDAY(B159,2)))),"")))</f>
        <v/>
      </c>
      <c r="J159" s="1" t="n"/>
      <c r="K159">
        <f>IF(AND(ISNUMBER(B159),ISNUMBER(C159)),B159*100+C159,"")</f>
        <v/>
      </c>
      <c r="L159">
        <f>IF(OR(G159="",NOT(ISNUMBER(B159))),"",IF(AND(B159&gt;=Settings!$C$6,B159&lt;=Settings!$C$6+6),B159*1000+ROW(),""))</f>
        <v/>
      </c>
    </row>
    <row r="160">
      <c r="A160" s="1" t="n"/>
      <c r="B160" s="28" t="n"/>
      <c r="C160" s="29" t="n"/>
      <c r="D160" s="30" t="n"/>
      <c r="E160" s="31" t="n"/>
      <c r="F160" s="32" t="n"/>
      <c r="G160" s="32" t="n"/>
      <c r="H160" s="33" t="n"/>
      <c r="I160" s="34">
        <f>IF(B160="","",IF(D160&lt;&gt;"",D160,IF(AND(ISNUMBER(B160),ISNUMBER(C160)),IF(OR(WEEKDAY(B160,2)&gt;5,C160&lt;1,C160&gt;10),"",IF(INDEX(Timetable!$E$6:$I$15,C160,WEEKDAY(B160,2))="","",INDEX(Timetable!$E$6:$I$15,C160,WEEKDAY(B160,2)))),"")))</f>
        <v/>
      </c>
      <c r="J160" s="1" t="n"/>
      <c r="K160">
        <f>IF(AND(ISNUMBER(B160),ISNUMBER(C160)),B160*100+C160,"")</f>
        <v/>
      </c>
      <c r="L160">
        <f>IF(OR(G160="",NOT(ISNUMBER(B160))),"",IF(AND(B160&gt;=Settings!$C$6,B160&lt;=Settings!$C$6+6),B160*1000+ROW(),""))</f>
        <v/>
      </c>
    </row>
    <row r="161">
      <c r="A161" s="1" t="n"/>
      <c r="B161" s="28" t="n"/>
      <c r="C161" s="29" t="n"/>
      <c r="D161" s="30" t="n"/>
      <c r="E161" s="31" t="n"/>
      <c r="F161" s="32" t="n"/>
      <c r="G161" s="32" t="n"/>
      <c r="H161" s="33" t="n"/>
      <c r="I161" s="34">
        <f>IF(B161="","",IF(D161&lt;&gt;"",D161,IF(AND(ISNUMBER(B161),ISNUMBER(C161)),IF(OR(WEEKDAY(B161,2)&gt;5,C161&lt;1,C161&gt;10),"",IF(INDEX(Timetable!$E$6:$I$15,C161,WEEKDAY(B161,2))="","",INDEX(Timetable!$E$6:$I$15,C161,WEEKDAY(B161,2)))),"")))</f>
        <v/>
      </c>
      <c r="J161" s="1" t="n"/>
      <c r="K161">
        <f>IF(AND(ISNUMBER(B161),ISNUMBER(C161)),B161*100+C161,"")</f>
        <v/>
      </c>
      <c r="L161">
        <f>IF(OR(G161="",NOT(ISNUMBER(B161))),"",IF(AND(B161&gt;=Settings!$C$6,B161&lt;=Settings!$C$6+6),B161*1000+ROW(),""))</f>
        <v/>
      </c>
    </row>
    <row r="162">
      <c r="A162" s="1" t="n"/>
      <c r="B162" s="28" t="n"/>
      <c r="C162" s="29" t="n"/>
      <c r="D162" s="30" t="n"/>
      <c r="E162" s="31" t="n"/>
      <c r="F162" s="32" t="n"/>
      <c r="G162" s="32" t="n"/>
      <c r="H162" s="33" t="n"/>
      <c r="I162" s="34">
        <f>IF(B162="","",IF(D162&lt;&gt;"",D162,IF(AND(ISNUMBER(B162),ISNUMBER(C162)),IF(OR(WEEKDAY(B162,2)&gt;5,C162&lt;1,C162&gt;10),"",IF(INDEX(Timetable!$E$6:$I$15,C162,WEEKDAY(B162,2))="","",INDEX(Timetable!$E$6:$I$15,C162,WEEKDAY(B162,2)))),"")))</f>
        <v/>
      </c>
      <c r="J162" s="1" t="n"/>
      <c r="K162">
        <f>IF(AND(ISNUMBER(B162),ISNUMBER(C162)),B162*100+C162,"")</f>
        <v/>
      </c>
      <c r="L162">
        <f>IF(OR(G162="",NOT(ISNUMBER(B162))),"",IF(AND(B162&gt;=Settings!$C$6,B162&lt;=Settings!$C$6+6),B162*1000+ROW(),""))</f>
        <v/>
      </c>
    </row>
    <row r="163">
      <c r="A163" s="1" t="n"/>
      <c r="B163" s="28" t="n"/>
      <c r="C163" s="29" t="n"/>
      <c r="D163" s="30" t="n"/>
      <c r="E163" s="31" t="n"/>
      <c r="F163" s="32" t="n"/>
      <c r="G163" s="32" t="n"/>
      <c r="H163" s="33" t="n"/>
      <c r="I163" s="34">
        <f>IF(B163="","",IF(D163&lt;&gt;"",D163,IF(AND(ISNUMBER(B163),ISNUMBER(C163)),IF(OR(WEEKDAY(B163,2)&gt;5,C163&lt;1,C163&gt;10),"",IF(INDEX(Timetable!$E$6:$I$15,C163,WEEKDAY(B163,2))="","",INDEX(Timetable!$E$6:$I$15,C163,WEEKDAY(B163,2)))),"")))</f>
        <v/>
      </c>
      <c r="J163" s="1" t="n"/>
      <c r="K163">
        <f>IF(AND(ISNUMBER(B163),ISNUMBER(C163)),B163*100+C163,"")</f>
        <v/>
      </c>
      <c r="L163">
        <f>IF(OR(G163="",NOT(ISNUMBER(B163))),"",IF(AND(B163&gt;=Settings!$C$6,B163&lt;=Settings!$C$6+6),B163*1000+ROW(),""))</f>
        <v/>
      </c>
    </row>
    <row r="164">
      <c r="A164" s="1" t="n"/>
      <c r="B164" s="28" t="n"/>
      <c r="C164" s="29" t="n"/>
      <c r="D164" s="30" t="n"/>
      <c r="E164" s="31" t="n"/>
      <c r="F164" s="32" t="n"/>
      <c r="G164" s="32" t="n"/>
      <c r="H164" s="33" t="n"/>
      <c r="I164" s="34">
        <f>IF(B164="","",IF(D164&lt;&gt;"",D164,IF(AND(ISNUMBER(B164),ISNUMBER(C164)),IF(OR(WEEKDAY(B164,2)&gt;5,C164&lt;1,C164&gt;10),"",IF(INDEX(Timetable!$E$6:$I$15,C164,WEEKDAY(B164,2))="","",INDEX(Timetable!$E$6:$I$15,C164,WEEKDAY(B164,2)))),"")))</f>
        <v/>
      </c>
      <c r="J164" s="1" t="n"/>
      <c r="K164">
        <f>IF(AND(ISNUMBER(B164),ISNUMBER(C164)),B164*100+C164,"")</f>
        <v/>
      </c>
      <c r="L164">
        <f>IF(OR(G164="",NOT(ISNUMBER(B164))),"",IF(AND(B164&gt;=Settings!$C$6,B164&lt;=Settings!$C$6+6),B164*1000+ROW(),""))</f>
        <v/>
      </c>
    </row>
    <row r="165">
      <c r="A165" s="1" t="n"/>
      <c r="B165" s="28" t="n"/>
      <c r="C165" s="29" t="n"/>
      <c r="D165" s="30" t="n"/>
      <c r="E165" s="31" t="n"/>
      <c r="F165" s="32" t="n"/>
      <c r="G165" s="32" t="n"/>
      <c r="H165" s="33" t="n"/>
      <c r="I165" s="34">
        <f>IF(B165="","",IF(D165&lt;&gt;"",D165,IF(AND(ISNUMBER(B165),ISNUMBER(C165)),IF(OR(WEEKDAY(B165,2)&gt;5,C165&lt;1,C165&gt;10),"",IF(INDEX(Timetable!$E$6:$I$15,C165,WEEKDAY(B165,2))="","",INDEX(Timetable!$E$6:$I$15,C165,WEEKDAY(B165,2)))),"")))</f>
        <v/>
      </c>
      <c r="J165" s="1" t="n"/>
      <c r="K165">
        <f>IF(AND(ISNUMBER(B165),ISNUMBER(C165)),B165*100+C165,"")</f>
        <v/>
      </c>
      <c r="L165">
        <f>IF(OR(G165="",NOT(ISNUMBER(B165))),"",IF(AND(B165&gt;=Settings!$C$6,B165&lt;=Settings!$C$6+6),B165*1000+ROW(),""))</f>
        <v/>
      </c>
    </row>
    <row r="166">
      <c r="A166" s="1" t="n"/>
      <c r="B166" s="28" t="n"/>
      <c r="C166" s="29" t="n"/>
      <c r="D166" s="30" t="n"/>
      <c r="E166" s="31" t="n"/>
      <c r="F166" s="32" t="n"/>
      <c r="G166" s="32" t="n"/>
      <c r="H166" s="33" t="n"/>
      <c r="I166" s="34">
        <f>IF(B166="","",IF(D166&lt;&gt;"",D166,IF(AND(ISNUMBER(B166),ISNUMBER(C166)),IF(OR(WEEKDAY(B166,2)&gt;5,C166&lt;1,C166&gt;10),"",IF(INDEX(Timetable!$E$6:$I$15,C166,WEEKDAY(B166,2))="","",INDEX(Timetable!$E$6:$I$15,C166,WEEKDAY(B166,2)))),"")))</f>
        <v/>
      </c>
      <c r="J166" s="1" t="n"/>
      <c r="K166">
        <f>IF(AND(ISNUMBER(B166),ISNUMBER(C166)),B166*100+C166,"")</f>
        <v/>
      </c>
      <c r="L166">
        <f>IF(OR(G166="",NOT(ISNUMBER(B166))),"",IF(AND(B166&gt;=Settings!$C$6,B166&lt;=Settings!$C$6+6),B166*1000+ROW(),""))</f>
        <v/>
      </c>
    </row>
    <row r="167">
      <c r="A167" s="1" t="n"/>
      <c r="B167" s="28" t="n"/>
      <c r="C167" s="29" t="n"/>
      <c r="D167" s="30" t="n"/>
      <c r="E167" s="31" t="n"/>
      <c r="F167" s="32" t="n"/>
      <c r="G167" s="32" t="n"/>
      <c r="H167" s="33" t="n"/>
      <c r="I167" s="34">
        <f>IF(B167="","",IF(D167&lt;&gt;"",D167,IF(AND(ISNUMBER(B167),ISNUMBER(C167)),IF(OR(WEEKDAY(B167,2)&gt;5,C167&lt;1,C167&gt;10),"",IF(INDEX(Timetable!$E$6:$I$15,C167,WEEKDAY(B167,2))="","",INDEX(Timetable!$E$6:$I$15,C167,WEEKDAY(B167,2)))),"")))</f>
        <v/>
      </c>
      <c r="J167" s="1" t="n"/>
      <c r="K167">
        <f>IF(AND(ISNUMBER(B167),ISNUMBER(C167)),B167*100+C167,"")</f>
        <v/>
      </c>
      <c r="L167">
        <f>IF(OR(G167="",NOT(ISNUMBER(B167))),"",IF(AND(B167&gt;=Settings!$C$6,B167&lt;=Settings!$C$6+6),B167*1000+ROW(),""))</f>
        <v/>
      </c>
    </row>
    <row r="168">
      <c r="A168" s="1" t="n"/>
      <c r="B168" s="28" t="n"/>
      <c r="C168" s="29" t="n"/>
      <c r="D168" s="30" t="n"/>
      <c r="E168" s="31" t="n"/>
      <c r="F168" s="32" t="n"/>
      <c r="G168" s="32" t="n"/>
      <c r="H168" s="33" t="n"/>
      <c r="I168" s="34">
        <f>IF(B168="","",IF(D168&lt;&gt;"",D168,IF(AND(ISNUMBER(B168),ISNUMBER(C168)),IF(OR(WEEKDAY(B168,2)&gt;5,C168&lt;1,C168&gt;10),"",IF(INDEX(Timetable!$E$6:$I$15,C168,WEEKDAY(B168,2))="","",INDEX(Timetable!$E$6:$I$15,C168,WEEKDAY(B168,2)))),"")))</f>
        <v/>
      </c>
      <c r="J168" s="1" t="n"/>
      <c r="K168">
        <f>IF(AND(ISNUMBER(B168),ISNUMBER(C168)),B168*100+C168,"")</f>
        <v/>
      </c>
      <c r="L168">
        <f>IF(OR(G168="",NOT(ISNUMBER(B168))),"",IF(AND(B168&gt;=Settings!$C$6,B168&lt;=Settings!$C$6+6),B168*1000+ROW(),""))</f>
        <v/>
      </c>
    </row>
    <row r="169">
      <c r="A169" s="1" t="n"/>
      <c r="B169" s="28" t="n"/>
      <c r="C169" s="29" t="n"/>
      <c r="D169" s="30" t="n"/>
      <c r="E169" s="31" t="n"/>
      <c r="F169" s="32" t="n"/>
      <c r="G169" s="32" t="n"/>
      <c r="H169" s="33" t="n"/>
      <c r="I169" s="34">
        <f>IF(B169="","",IF(D169&lt;&gt;"",D169,IF(AND(ISNUMBER(B169),ISNUMBER(C169)),IF(OR(WEEKDAY(B169,2)&gt;5,C169&lt;1,C169&gt;10),"",IF(INDEX(Timetable!$E$6:$I$15,C169,WEEKDAY(B169,2))="","",INDEX(Timetable!$E$6:$I$15,C169,WEEKDAY(B169,2)))),"")))</f>
        <v/>
      </c>
      <c r="J169" s="1" t="n"/>
      <c r="K169">
        <f>IF(AND(ISNUMBER(B169),ISNUMBER(C169)),B169*100+C169,"")</f>
        <v/>
      </c>
      <c r="L169">
        <f>IF(OR(G169="",NOT(ISNUMBER(B169))),"",IF(AND(B169&gt;=Settings!$C$6,B169&lt;=Settings!$C$6+6),B169*1000+ROW(),""))</f>
        <v/>
      </c>
    </row>
    <row r="170">
      <c r="A170" s="1" t="n"/>
      <c r="B170" s="28" t="n"/>
      <c r="C170" s="29" t="n"/>
      <c r="D170" s="30" t="n"/>
      <c r="E170" s="31" t="n"/>
      <c r="F170" s="32" t="n"/>
      <c r="G170" s="32" t="n"/>
      <c r="H170" s="33" t="n"/>
      <c r="I170" s="34">
        <f>IF(B170="","",IF(D170&lt;&gt;"",D170,IF(AND(ISNUMBER(B170),ISNUMBER(C170)),IF(OR(WEEKDAY(B170,2)&gt;5,C170&lt;1,C170&gt;10),"",IF(INDEX(Timetable!$E$6:$I$15,C170,WEEKDAY(B170,2))="","",INDEX(Timetable!$E$6:$I$15,C170,WEEKDAY(B170,2)))),"")))</f>
        <v/>
      </c>
      <c r="J170" s="1" t="n"/>
      <c r="K170">
        <f>IF(AND(ISNUMBER(B170),ISNUMBER(C170)),B170*100+C170,"")</f>
        <v/>
      </c>
      <c r="L170">
        <f>IF(OR(G170="",NOT(ISNUMBER(B170))),"",IF(AND(B170&gt;=Settings!$C$6,B170&lt;=Settings!$C$6+6),B170*1000+ROW(),""))</f>
        <v/>
      </c>
    </row>
    <row r="171">
      <c r="A171" s="1" t="n"/>
      <c r="B171" s="28" t="n"/>
      <c r="C171" s="29" t="n"/>
      <c r="D171" s="30" t="n"/>
      <c r="E171" s="31" t="n"/>
      <c r="F171" s="32" t="n"/>
      <c r="G171" s="32" t="n"/>
      <c r="H171" s="33" t="n"/>
      <c r="I171" s="34">
        <f>IF(B171="","",IF(D171&lt;&gt;"",D171,IF(AND(ISNUMBER(B171),ISNUMBER(C171)),IF(OR(WEEKDAY(B171,2)&gt;5,C171&lt;1,C171&gt;10),"",IF(INDEX(Timetable!$E$6:$I$15,C171,WEEKDAY(B171,2))="","",INDEX(Timetable!$E$6:$I$15,C171,WEEKDAY(B171,2)))),"")))</f>
        <v/>
      </c>
      <c r="J171" s="1" t="n"/>
      <c r="K171">
        <f>IF(AND(ISNUMBER(B171),ISNUMBER(C171)),B171*100+C171,"")</f>
        <v/>
      </c>
      <c r="L171">
        <f>IF(OR(G171="",NOT(ISNUMBER(B171))),"",IF(AND(B171&gt;=Settings!$C$6,B171&lt;=Settings!$C$6+6),B171*1000+ROW(),""))</f>
        <v/>
      </c>
    </row>
    <row r="172">
      <c r="A172" s="1" t="n"/>
      <c r="B172" s="28" t="n"/>
      <c r="C172" s="29" t="n"/>
      <c r="D172" s="30" t="n"/>
      <c r="E172" s="31" t="n"/>
      <c r="F172" s="32" t="n"/>
      <c r="G172" s="32" t="n"/>
      <c r="H172" s="33" t="n"/>
      <c r="I172" s="34">
        <f>IF(B172="","",IF(D172&lt;&gt;"",D172,IF(AND(ISNUMBER(B172),ISNUMBER(C172)),IF(OR(WEEKDAY(B172,2)&gt;5,C172&lt;1,C172&gt;10),"",IF(INDEX(Timetable!$E$6:$I$15,C172,WEEKDAY(B172,2))="","",INDEX(Timetable!$E$6:$I$15,C172,WEEKDAY(B172,2)))),"")))</f>
        <v/>
      </c>
      <c r="J172" s="1" t="n"/>
      <c r="K172">
        <f>IF(AND(ISNUMBER(B172),ISNUMBER(C172)),B172*100+C172,"")</f>
        <v/>
      </c>
      <c r="L172">
        <f>IF(OR(G172="",NOT(ISNUMBER(B172))),"",IF(AND(B172&gt;=Settings!$C$6,B172&lt;=Settings!$C$6+6),B172*1000+ROW(),""))</f>
        <v/>
      </c>
    </row>
    <row r="173">
      <c r="A173" s="1" t="n"/>
      <c r="B173" s="28" t="n"/>
      <c r="C173" s="29" t="n"/>
      <c r="D173" s="30" t="n"/>
      <c r="E173" s="31" t="n"/>
      <c r="F173" s="32" t="n"/>
      <c r="G173" s="32" t="n"/>
      <c r="H173" s="33" t="n"/>
      <c r="I173" s="34">
        <f>IF(B173="","",IF(D173&lt;&gt;"",D173,IF(AND(ISNUMBER(B173),ISNUMBER(C173)),IF(OR(WEEKDAY(B173,2)&gt;5,C173&lt;1,C173&gt;10),"",IF(INDEX(Timetable!$E$6:$I$15,C173,WEEKDAY(B173,2))="","",INDEX(Timetable!$E$6:$I$15,C173,WEEKDAY(B173,2)))),"")))</f>
        <v/>
      </c>
      <c r="J173" s="1" t="n"/>
      <c r="K173">
        <f>IF(AND(ISNUMBER(B173),ISNUMBER(C173)),B173*100+C173,"")</f>
        <v/>
      </c>
      <c r="L173">
        <f>IF(OR(G173="",NOT(ISNUMBER(B173))),"",IF(AND(B173&gt;=Settings!$C$6,B173&lt;=Settings!$C$6+6),B173*1000+ROW(),""))</f>
        <v/>
      </c>
    </row>
    <row r="174">
      <c r="A174" s="1" t="n"/>
      <c r="B174" s="28" t="n"/>
      <c r="C174" s="29" t="n"/>
      <c r="D174" s="30" t="n"/>
      <c r="E174" s="31" t="n"/>
      <c r="F174" s="32" t="n"/>
      <c r="G174" s="32" t="n"/>
      <c r="H174" s="33" t="n"/>
      <c r="I174" s="34">
        <f>IF(B174="","",IF(D174&lt;&gt;"",D174,IF(AND(ISNUMBER(B174),ISNUMBER(C174)),IF(OR(WEEKDAY(B174,2)&gt;5,C174&lt;1,C174&gt;10),"",IF(INDEX(Timetable!$E$6:$I$15,C174,WEEKDAY(B174,2))="","",INDEX(Timetable!$E$6:$I$15,C174,WEEKDAY(B174,2)))),"")))</f>
        <v/>
      </c>
      <c r="J174" s="1" t="n"/>
      <c r="K174">
        <f>IF(AND(ISNUMBER(B174),ISNUMBER(C174)),B174*100+C174,"")</f>
        <v/>
      </c>
      <c r="L174">
        <f>IF(OR(G174="",NOT(ISNUMBER(B174))),"",IF(AND(B174&gt;=Settings!$C$6,B174&lt;=Settings!$C$6+6),B174*1000+ROW(),""))</f>
        <v/>
      </c>
    </row>
    <row r="175">
      <c r="A175" s="1" t="n"/>
      <c r="B175" s="28" t="n"/>
      <c r="C175" s="29" t="n"/>
      <c r="D175" s="30" t="n"/>
      <c r="E175" s="31" t="n"/>
      <c r="F175" s="32" t="n"/>
      <c r="G175" s="32" t="n"/>
      <c r="H175" s="33" t="n"/>
      <c r="I175" s="34">
        <f>IF(B175="","",IF(D175&lt;&gt;"",D175,IF(AND(ISNUMBER(B175),ISNUMBER(C175)),IF(OR(WEEKDAY(B175,2)&gt;5,C175&lt;1,C175&gt;10),"",IF(INDEX(Timetable!$E$6:$I$15,C175,WEEKDAY(B175,2))="","",INDEX(Timetable!$E$6:$I$15,C175,WEEKDAY(B175,2)))),"")))</f>
        <v/>
      </c>
      <c r="J175" s="1" t="n"/>
      <c r="K175">
        <f>IF(AND(ISNUMBER(B175),ISNUMBER(C175)),B175*100+C175,"")</f>
        <v/>
      </c>
      <c r="L175">
        <f>IF(OR(G175="",NOT(ISNUMBER(B175))),"",IF(AND(B175&gt;=Settings!$C$6,B175&lt;=Settings!$C$6+6),B175*1000+ROW(),""))</f>
        <v/>
      </c>
    </row>
    <row r="176">
      <c r="A176" s="1" t="n"/>
      <c r="B176" s="28" t="n"/>
      <c r="C176" s="29" t="n"/>
      <c r="D176" s="30" t="n"/>
      <c r="E176" s="31" t="n"/>
      <c r="F176" s="32" t="n"/>
      <c r="G176" s="32" t="n"/>
      <c r="H176" s="33" t="n"/>
      <c r="I176" s="34">
        <f>IF(B176="","",IF(D176&lt;&gt;"",D176,IF(AND(ISNUMBER(B176),ISNUMBER(C176)),IF(OR(WEEKDAY(B176,2)&gt;5,C176&lt;1,C176&gt;10),"",IF(INDEX(Timetable!$E$6:$I$15,C176,WEEKDAY(B176,2))="","",INDEX(Timetable!$E$6:$I$15,C176,WEEKDAY(B176,2)))),"")))</f>
        <v/>
      </c>
      <c r="J176" s="1" t="n"/>
      <c r="K176">
        <f>IF(AND(ISNUMBER(B176),ISNUMBER(C176)),B176*100+C176,"")</f>
        <v/>
      </c>
      <c r="L176">
        <f>IF(OR(G176="",NOT(ISNUMBER(B176))),"",IF(AND(B176&gt;=Settings!$C$6,B176&lt;=Settings!$C$6+6),B176*1000+ROW(),""))</f>
        <v/>
      </c>
    </row>
    <row r="177">
      <c r="A177" s="1" t="n"/>
      <c r="B177" s="28" t="n"/>
      <c r="C177" s="29" t="n"/>
      <c r="D177" s="30" t="n"/>
      <c r="E177" s="31" t="n"/>
      <c r="F177" s="32" t="n"/>
      <c r="G177" s="32" t="n"/>
      <c r="H177" s="33" t="n"/>
      <c r="I177" s="34">
        <f>IF(B177="","",IF(D177&lt;&gt;"",D177,IF(AND(ISNUMBER(B177),ISNUMBER(C177)),IF(OR(WEEKDAY(B177,2)&gt;5,C177&lt;1,C177&gt;10),"",IF(INDEX(Timetable!$E$6:$I$15,C177,WEEKDAY(B177,2))="","",INDEX(Timetable!$E$6:$I$15,C177,WEEKDAY(B177,2)))),"")))</f>
        <v/>
      </c>
      <c r="J177" s="1" t="n"/>
      <c r="K177">
        <f>IF(AND(ISNUMBER(B177),ISNUMBER(C177)),B177*100+C177,"")</f>
        <v/>
      </c>
      <c r="L177">
        <f>IF(OR(G177="",NOT(ISNUMBER(B177))),"",IF(AND(B177&gt;=Settings!$C$6,B177&lt;=Settings!$C$6+6),B177*1000+ROW(),""))</f>
        <v/>
      </c>
    </row>
    <row r="178">
      <c r="A178" s="1" t="n"/>
      <c r="B178" s="28" t="n"/>
      <c r="C178" s="29" t="n"/>
      <c r="D178" s="30" t="n"/>
      <c r="E178" s="31" t="n"/>
      <c r="F178" s="32" t="n"/>
      <c r="G178" s="32" t="n"/>
      <c r="H178" s="33" t="n"/>
      <c r="I178" s="34">
        <f>IF(B178="","",IF(D178&lt;&gt;"",D178,IF(AND(ISNUMBER(B178),ISNUMBER(C178)),IF(OR(WEEKDAY(B178,2)&gt;5,C178&lt;1,C178&gt;10),"",IF(INDEX(Timetable!$E$6:$I$15,C178,WEEKDAY(B178,2))="","",INDEX(Timetable!$E$6:$I$15,C178,WEEKDAY(B178,2)))),"")))</f>
        <v/>
      </c>
      <c r="J178" s="1" t="n"/>
      <c r="K178">
        <f>IF(AND(ISNUMBER(B178),ISNUMBER(C178)),B178*100+C178,"")</f>
        <v/>
      </c>
      <c r="L178">
        <f>IF(OR(G178="",NOT(ISNUMBER(B178))),"",IF(AND(B178&gt;=Settings!$C$6,B178&lt;=Settings!$C$6+6),B178*1000+ROW(),""))</f>
        <v/>
      </c>
    </row>
    <row r="179">
      <c r="A179" s="1" t="n"/>
      <c r="B179" s="28" t="n"/>
      <c r="C179" s="29" t="n"/>
      <c r="D179" s="30" t="n"/>
      <c r="E179" s="31" t="n"/>
      <c r="F179" s="32" t="n"/>
      <c r="G179" s="32" t="n"/>
      <c r="H179" s="33" t="n"/>
      <c r="I179" s="34">
        <f>IF(B179="","",IF(D179&lt;&gt;"",D179,IF(AND(ISNUMBER(B179),ISNUMBER(C179)),IF(OR(WEEKDAY(B179,2)&gt;5,C179&lt;1,C179&gt;10),"",IF(INDEX(Timetable!$E$6:$I$15,C179,WEEKDAY(B179,2))="","",INDEX(Timetable!$E$6:$I$15,C179,WEEKDAY(B179,2)))),"")))</f>
        <v/>
      </c>
      <c r="J179" s="1" t="n"/>
      <c r="K179">
        <f>IF(AND(ISNUMBER(B179),ISNUMBER(C179)),B179*100+C179,"")</f>
        <v/>
      </c>
      <c r="L179">
        <f>IF(OR(G179="",NOT(ISNUMBER(B179))),"",IF(AND(B179&gt;=Settings!$C$6,B179&lt;=Settings!$C$6+6),B179*1000+ROW(),""))</f>
        <v/>
      </c>
    </row>
    <row r="180">
      <c r="A180" s="1" t="n"/>
      <c r="B180" s="28" t="n"/>
      <c r="C180" s="29" t="n"/>
      <c r="D180" s="30" t="n"/>
      <c r="E180" s="31" t="n"/>
      <c r="F180" s="32" t="n"/>
      <c r="G180" s="32" t="n"/>
      <c r="H180" s="33" t="n"/>
      <c r="I180" s="34">
        <f>IF(B180="","",IF(D180&lt;&gt;"",D180,IF(AND(ISNUMBER(B180),ISNUMBER(C180)),IF(OR(WEEKDAY(B180,2)&gt;5,C180&lt;1,C180&gt;10),"",IF(INDEX(Timetable!$E$6:$I$15,C180,WEEKDAY(B180,2))="","",INDEX(Timetable!$E$6:$I$15,C180,WEEKDAY(B180,2)))),"")))</f>
        <v/>
      </c>
      <c r="J180" s="1" t="n"/>
      <c r="K180">
        <f>IF(AND(ISNUMBER(B180),ISNUMBER(C180)),B180*100+C180,"")</f>
        <v/>
      </c>
      <c r="L180">
        <f>IF(OR(G180="",NOT(ISNUMBER(B180))),"",IF(AND(B180&gt;=Settings!$C$6,B180&lt;=Settings!$C$6+6),B180*1000+ROW(),""))</f>
        <v/>
      </c>
    </row>
    <row r="181">
      <c r="A181" s="1" t="n"/>
      <c r="B181" s="28" t="n"/>
      <c r="C181" s="29" t="n"/>
      <c r="D181" s="30" t="n"/>
      <c r="E181" s="31" t="n"/>
      <c r="F181" s="32" t="n"/>
      <c r="G181" s="32" t="n"/>
      <c r="H181" s="33" t="n"/>
      <c r="I181" s="34">
        <f>IF(B181="","",IF(D181&lt;&gt;"",D181,IF(AND(ISNUMBER(B181),ISNUMBER(C181)),IF(OR(WEEKDAY(B181,2)&gt;5,C181&lt;1,C181&gt;10),"",IF(INDEX(Timetable!$E$6:$I$15,C181,WEEKDAY(B181,2))="","",INDEX(Timetable!$E$6:$I$15,C181,WEEKDAY(B181,2)))),"")))</f>
        <v/>
      </c>
      <c r="J181" s="1" t="n"/>
      <c r="K181">
        <f>IF(AND(ISNUMBER(B181),ISNUMBER(C181)),B181*100+C181,"")</f>
        <v/>
      </c>
      <c r="L181">
        <f>IF(OR(G181="",NOT(ISNUMBER(B181))),"",IF(AND(B181&gt;=Settings!$C$6,B181&lt;=Settings!$C$6+6),B181*1000+ROW(),""))</f>
        <v/>
      </c>
    </row>
    <row r="182">
      <c r="A182" s="1" t="n"/>
      <c r="B182" s="28" t="n"/>
      <c r="C182" s="29" t="n"/>
      <c r="D182" s="30" t="n"/>
      <c r="E182" s="31" t="n"/>
      <c r="F182" s="32" t="n"/>
      <c r="G182" s="32" t="n"/>
      <c r="H182" s="33" t="n"/>
      <c r="I182" s="34">
        <f>IF(B182="","",IF(D182&lt;&gt;"",D182,IF(AND(ISNUMBER(B182),ISNUMBER(C182)),IF(OR(WEEKDAY(B182,2)&gt;5,C182&lt;1,C182&gt;10),"",IF(INDEX(Timetable!$E$6:$I$15,C182,WEEKDAY(B182,2))="","",INDEX(Timetable!$E$6:$I$15,C182,WEEKDAY(B182,2)))),"")))</f>
        <v/>
      </c>
      <c r="J182" s="1" t="n"/>
      <c r="K182">
        <f>IF(AND(ISNUMBER(B182),ISNUMBER(C182)),B182*100+C182,"")</f>
        <v/>
      </c>
      <c r="L182">
        <f>IF(OR(G182="",NOT(ISNUMBER(B182))),"",IF(AND(B182&gt;=Settings!$C$6,B182&lt;=Settings!$C$6+6),B182*1000+ROW(),""))</f>
        <v/>
      </c>
    </row>
    <row r="183">
      <c r="A183" s="1" t="n"/>
      <c r="B183" s="28" t="n"/>
      <c r="C183" s="29" t="n"/>
      <c r="D183" s="30" t="n"/>
      <c r="E183" s="31" t="n"/>
      <c r="F183" s="32" t="n"/>
      <c r="G183" s="32" t="n"/>
      <c r="H183" s="33" t="n"/>
      <c r="I183" s="34">
        <f>IF(B183="","",IF(D183&lt;&gt;"",D183,IF(AND(ISNUMBER(B183),ISNUMBER(C183)),IF(OR(WEEKDAY(B183,2)&gt;5,C183&lt;1,C183&gt;10),"",IF(INDEX(Timetable!$E$6:$I$15,C183,WEEKDAY(B183,2))="","",INDEX(Timetable!$E$6:$I$15,C183,WEEKDAY(B183,2)))),"")))</f>
        <v/>
      </c>
      <c r="J183" s="1" t="n"/>
      <c r="K183">
        <f>IF(AND(ISNUMBER(B183),ISNUMBER(C183)),B183*100+C183,"")</f>
        <v/>
      </c>
      <c r="L183">
        <f>IF(OR(G183="",NOT(ISNUMBER(B183))),"",IF(AND(B183&gt;=Settings!$C$6,B183&lt;=Settings!$C$6+6),B183*1000+ROW(),""))</f>
        <v/>
      </c>
    </row>
    <row r="184">
      <c r="A184" s="1" t="n"/>
      <c r="B184" s="28" t="n"/>
      <c r="C184" s="29" t="n"/>
      <c r="D184" s="30" t="n"/>
      <c r="E184" s="31" t="n"/>
      <c r="F184" s="32" t="n"/>
      <c r="G184" s="32" t="n"/>
      <c r="H184" s="33" t="n"/>
      <c r="I184" s="34">
        <f>IF(B184="","",IF(D184&lt;&gt;"",D184,IF(AND(ISNUMBER(B184),ISNUMBER(C184)),IF(OR(WEEKDAY(B184,2)&gt;5,C184&lt;1,C184&gt;10),"",IF(INDEX(Timetable!$E$6:$I$15,C184,WEEKDAY(B184,2))="","",INDEX(Timetable!$E$6:$I$15,C184,WEEKDAY(B184,2)))),"")))</f>
        <v/>
      </c>
      <c r="J184" s="1" t="n"/>
      <c r="K184">
        <f>IF(AND(ISNUMBER(B184),ISNUMBER(C184)),B184*100+C184,"")</f>
        <v/>
      </c>
      <c r="L184">
        <f>IF(OR(G184="",NOT(ISNUMBER(B184))),"",IF(AND(B184&gt;=Settings!$C$6,B184&lt;=Settings!$C$6+6),B184*1000+ROW(),""))</f>
        <v/>
      </c>
    </row>
    <row r="185">
      <c r="A185" s="1" t="n"/>
      <c r="B185" s="28" t="n"/>
      <c r="C185" s="29" t="n"/>
      <c r="D185" s="30" t="n"/>
      <c r="E185" s="31" t="n"/>
      <c r="F185" s="32" t="n"/>
      <c r="G185" s="32" t="n"/>
      <c r="H185" s="33" t="n"/>
      <c r="I185" s="34">
        <f>IF(B185="","",IF(D185&lt;&gt;"",D185,IF(AND(ISNUMBER(B185),ISNUMBER(C185)),IF(OR(WEEKDAY(B185,2)&gt;5,C185&lt;1,C185&gt;10),"",IF(INDEX(Timetable!$E$6:$I$15,C185,WEEKDAY(B185,2))="","",INDEX(Timetable!$E$6:$I$15,C185,WEEKDAY(B185,2)))),"")))</f>
        <v/>
      </c>
      <c r="J185" s="1" t="n"/>
      <c r="K185">
        <f>IF(AND(ISNUMBER(B185),ISNUMBER(C185)),B185*100+C185,"")</f>
        <v/>
      </c>
      <c r="L185">
        <f>IF(OR(G185="",NOT(ISNUMBER(B185))),"",IF(AND(B185&gt;=Settings!$C$6,B185&lt;=Settings!$C$6+6),B185*1000+ROW(),""))</f>
        <v/>
      </c>
    </row>
    <row r="186">
      <c r="A186" s="1" t="n"/>
      <c r="B186" s="28" t="n"/>
      <c r="C186" s="29" t="n"/>
      <c r="D186" s="30" t="n"/>
      <c r="E186" s="31" t="n"/>
      <c r="F186" s="32" t="n"/>
      <c r="G186" s="32" t="n"/>
      <c r="H186" s="33" t="n"/>
      <c r="I186" s="34">
        <f>IF(B186="","",IF(D186&lt;&gt;"",D186,IF(AND(ISNUMBER(B186),ISNUMBER(C186)),IF(OR(WEEKDAY(B186,2)&gt;5,C186&lt;1,C186&gt;10),"",IF(INDEX(Timetable!$E$6:$I$15,C186,WEEKDAY(B186,2))="","",INDEX(Timetable!$E$6:$I$15,C186,WEEKDAY(B186,2)))),"")))</f>
        <v/>
      </c>
      <c r="J186" s="1" t="n"/>
      <c r="K186">
        <f>IF(AND(ISNUMBER(B186),ISNUMBER(C186)),B186*100+C186,"")</f>
        <v/>
      </c>
      <c r="L186">
        <f>IF(OR(G186="",NOT(ISNUMBER(B186))),"",IF(AND(B186&gt;=Settings!$C$6,B186&lt;=Settings!$C$6+6),B186*1000+ROW(),""))</f>
        <v/>
      </c>
    </row>
    <row r="187">
      <c r="A187" s="1" t="n"/>
      <c r="B187" s="28" t="n"/>
      <c r="C187" s="29" t="n"/>
      <c r="D187" s="30" t="n"/>
      <c r="E187" s="31" t="n"/>
      <c r="F187" s="32" t="n"/>
      <c r="G187" s="32" t="n"/>
      <c r="H187" s="33" t="n"/>
      <c r="I187" s="34">
        <f>IF(B187="","",IF(D187&lt;&gt;"",D187,IF(AND(ISNUMBER(B187),ISNUMBER(C187)),IF(OR(WEEKDAY(B187,2)&gt;5,C187&lt;1,C187&gt;10),"",IF(INDEX(Timetable!$E$6:$I$15,C187,WEEKDAY(B187,2))="","",INDEX(Timetable!$E$6:$I$15,C187,WEEKDAY(B187,2)))),"")))</f>
        <v/>
      </c>
      <c r="J187" s="1" t="n"/>
      <c r="K187">
        <f>IF(AND(ISNUMBER(B187),ISNUMBER(C187)),B187*100+C187,"")</f>
        <v/>
      </c>
      <c r="L187">
        <f>IF(OR(G187="",NOT(ISNUMBER(B187))),"",IF(AND(B187&gt;=Settings!$C$6,B187&lt;=Settings!$C$6+6),B187*1000+ROW(),""))</f>
        <v/>
      </c>
    </row>
    <row r="188">
      <c r="A188" s="1" t="n"/>
      <c r="B188" s="28" t="n"/>
      <c r="C188" s="29" t="n"/>
      <c r="D188" s="30" t="n"/>
      <c r="E188" s="31" t="n"/>
      <c r="F188" s="32" t="n"/>
      <c r="G188" s="32" t="n"/>
      <c r="H188" s="33" t="n"/>
      <c r="I188" s="34">
        <f>IF(B188="","",IF(D188&lt;&gt;"",D188,IF(AND(ISNUMBER(B188),ISNUMBER(C188)),IF(OR(WEEKDAY(B188,2)&gt;5,C188&lt;1,C188&gt;10),"",IF(INDEX(Timetable!$E$6:$I$15,C188,WEEKDAY(B188,2))="","",INDEX(Timetable!$E$6:$I$15,C188,WEEKDAY(B188,2)))),"")))</f>
        <v/>
      </c>
      <c r="J188" s="1" t="n"/>
      <c r="K188">
        <f>IF(AND(ISNUMBER(B188),ISNUMBER(C188)),B188*100+C188,"")</f>
        <v/>
      </c>
      <c r="L188">
        <f>IF(OR(G188="",NOT(ISNUMBER(B188))),"",IF(AND(B188&gt;=Settings!$C$6,B188&lt;=Settings!$C$6+6),B188*1000+ROW(),""))</f>
        <v/>
      </c>
    </row>
    <row r="189">
      <c r="A189" s="1" t="n"/>
      <c r="B189" s="28" t="n"/>
      <c r="C189" s="29" t="n"/>
      <c r="D189" s="30" t="n"/>
      <c r="E189" s="31" t="n"/>
      <c r="F189" s="32" t="n"/>
      <c r="G189" s="32" t="n"/>
      <c r="H189" s="33" t="n"/>
      <c r="I189" s="34">
        <f>IF(B189="","",IF(D189&lt;&gt;"",D189,IF(AND(ISNUMBER(B189),ISNUMBER(C189)),IF(OR(WEEKDAY(B189,2)&gt;5,C189&lt;1,C189&gt;10),"",IF(INDEX(Timetable!$E$6:$I$15,C189,WEEKDAY(B189,2))="","",INDEX(Timetable!$E$6:$I$15,C189,WEEKDAY(B189,2)))),"")))</f>
        <v/>
      </c>
      <c r="J189" s="1" t="n"/>
      <c r="K189">
        <f>IF(AND(ISNUMBER(B189),ISNUMBER(C189)),B189*100+C189,"")</f>
        <v/>
      </c>
      <c r="L189">
        <f>IF(OR(G189="",NOT(ISNUMBER(B189))),"",IF(AND(B189&gt;=Settings!$C$6,B189&lt;=Settings!$C$6+6),B189*1000+ROW(),""))</f>
        <v/>
      </c>
    </row>
    <row r="190">
      <c r="A190" s="1" t="n"/>
      <c r="B190" s="28" t="n"/>
      <c r="C190" s="29" t="n"/>
      <c r="D190" s="30" t="n"/>
      <c r="E190" s="31" t="n"/>
      <c r="F190" s="32" t="n"/>
      <c r="G190" s="32" t="n"/>
      <c r="H190" s="33" t="n"/>
      <c r="I190" s="34">
        <f>IF(B190="","",IF(D190&lt;&gt;"",D190,IF(AND(ISNUMBER(B190),ISNUMBER(C190)),IF(OR(WEEKDAY(B190,2)&gt;5,C190&lt;1,C190&gt;10),"",IF(INDEX(Timetable!$E$6:$I$15,C190,WEEKDAY(B190,2))="","",INDEX(Timetable!$E$6:$I$15,C190,WEEKDAY(B190,2)))),"")))</f>
        <v/>
      </c>
      <c r="J190" s="1" t="n"/>
      <c r="K190">
        <f>IF(AND(ISNUMBER(B190),ISNUMBER(C190)),B190*100+C190,"")</f>
        <v/>
      </c>
      <c r="L190">
        <f>IF(OR(G190="",NOT(ISNUMBER(B190))),"",IF(AND(B190&gt;=Settings!$C$6,B190&lt;=Settings!$C$6+6),B190*1000+ROW(),""))</f>
        <v/>
      </c>
    </row>
    <row r="191">
      <c r="A191" s="1" t="n"/>
      <c r="B191" s="28" t="n"/>
      <c r="C191" s="29" t="n"/>
      <c r="D191" s="30" t="n"/>
      <c r="E191" s="31" t="n"/>
      <c r="F191" s="32" t="n"/>
      <c r="G191" s="32" t="n"/>
      <c r="H191" s="33" t="n"/>
      <c r="I191" s="34">
        <f>IF(B191="","",IF(D191&lt;&gt;"",D191,IF(AND(ISNUMBER(B191),ISNUMBER(C191)),IF(OR(WEEKDAY(B191,2)&gt;5,C191&lt;1,C191&gt;10),"",IF(INDEX(Timetable!$E$6:$I$15,C191,WEEKDAY(B191,2))="","",INDEX(Timetable!$E$6:$I$15,C191,WEEKDAY(B191,2)))),"")))</f>
        <v/>
      </c>
      <c r="J191" s="1" t="n"/>
      <c r="K191">
        <f>IF(AND(ISNUMBER(B191),ISNUMBER(C191)),B191*100+C191,"")</f>
        <v/>
      </c>
      <c r="L191">
        <f>IF(OR(G191="",NOT(ISNUMBER(B191))),"",IF(AND(B191&gt;=Settings!$C$6,B191&lt;=Settings!$C$6+6),B191*1000+ROW(),""))</f>
        <v/>
      </c>
    </row>
    <row r="192">
      <c r="A192" s="1" t="n"/>
      <c r="B192" s="28" t="n"/>
      <c r="C192" s="29" t="n"/>
      <c r="D192" s="30" t="n"/>
      <c r="E192" s="31" t="n"/>
      <c r="F192" s="32" t="n"/>
      <c r="G192" s="32" t="n"/>
      <c r="H192" s="33" t="n"/>
      <c r="I192" s="34">
        <f>IF(B192="","",IF(D192&lt;&gt;"",D192,IF(AND(ISNUMBER(B192),ISNUMBER(C192)),IF(OR(WEEKDAY(B192,2)&gt;5,C192&lt;1,C192&gt;10),"",IF(INDEX(Timetable!$E$6:$I$15,C192,WEEKDAY(B192,2))="","",INDEX(Timetable!$E$6:$I$15,C192,WEEKDAY(B192,2)))),"")))</f>
        <v/>
      </c>
      <c r="J192" s="1" t="n"/>
      <c r="K192">
        <f>IF(AND(ISNUMBER(B192),ISNUMBER(C192)),B192*100+C192,"")</f>
        <v/>
      </c>
      <c r="L192">
        <f>IF(OR(G192="",NOT(ISNUMBER(B192))),"",IF(AND(B192&gt;=Settings!$C$6,B192&lt;=Settings!$C$6+6),B192*1000+ROW(),""))</f>
        <v/>
      </c>
    </row>
    <row r="193">
      <c r="A193" s="1" t="n"/>
      <c r="B193" s="28" t="n"/>
      <c r="C193" s="29" t="n"/>
      <c r="D193" s="30" t="n"/>
      <c r="E193" s="31" t="n"/>
      <c r="F193" s="32" t="n"/>
      <c r="G193" s="32" t="n"/>
      <c r="H193" s="33" t="n"/>
      <c r="I193" s="34">
        <f>IF(B193="","",IF(D193&lt;&gt;"",D193,IF(AND(ISNUMBER(B193),ISNUMBER(C193)),IF(OR(WEEKDAY(B193,2)&gt;5,C193&lt;1,C193&gt;10),"",IF(INDEX(Timetable!$E$6:$I$15,C193,WEEKDAY(B193,2))="","",INDEX(Timetable!$E$6:$I$15,C193,WEEKDAY(B193,2)))),"")))</f>
        <v/>
      </c>
      <c r="J193" s="1" t="n"/>
      <c r="K193">
        <f>IF(AND(ISNUMBER(B193),ISNUMBER(C193)),B193*100+C193,"")</f>
        <v/>
      </c>
      <c r="L193">
        <f>IF(OR(G193="",NOT(ISNUMBER(B193))),"",IF(AND(B193&gt;=Settings!$C$6,B193&lt;=Settings!$C$6+6),B193*1000+ROW(),""))</f>
        <v/>
      </c>
    </row>
    <row r="194">
      <c r="A194" s="1" t="n"/>
      <c r="B194" s="28" t="n"/>
      <c r="C194" s="29" t="n"/>
      <c r="D194" s="30" t="n"/>
      <c r="E194" s="31" t="n"/>
      <c r="F194" s="32" t="n"/>
      <c r="G194" s="32" t="n"/>
      <c r="H194" s="33" t="n"/>
      <c r="I194" s="34">
        <f>IF(B194="","",IF(D194&lt;&gt;"",D194,IF(AND(ISNUMBER(B194),ISNUMBER(C194)),IF(OR(WEEKDAY(B194,2)&gt;5,C194&lt;1,C194&gt;10),"",IF(INDEX(Timetable!$E$6:$I$15,C194,WEEKDAY(B194,2))="","",INDEX(Timetable!$E$6:$I$15,C194,WEEKDAY(B194,2)))),"")))</f>
        <v/>
      </c>
      <c r="J194" s="1" t="n"/>
      <c r="K194">
        <f>IF(AND(ISNUMBER(B194),ISNUMBER(C194)),B194*100+C194,"")</f>
        <v/>
      </c>
      <c r="L194">
        <f>IF(OR(G194="",NOT(ISNUMBER(B194))),"",IF(AND(B194&gt;=Settings!$C$6,B194&lt;=Settings!$C$6+6),B194*1000+ROW(),""))</f>
        <v/>
      </c>
    </row>
    <row r="195">
      <c r="A195" s="1" t="n"/>
      <c r="B195" s="28" t="n"/>
      <c r="C195" s="29" t="n"/>
      <c r="D195" s="30" t="n"/>
      <c r="E195" s="31" t="n"/>
      <c r="F195" s="32" t="n"/>
      <c r="G195" s="32" t="n"/>
      <c r="H195" s="33" t="n"/>
      <c r="I195" s="34">
        <f>IF(B195="","",IF(D195&lt;&gt;"",D195,IF(AND(ISNUMBER(B195),ISNUMBER(C195)),IF(OR(WEEKDAY(B195,2)&gt;5,C195&lt;1,C195&gt;10),"",IF(INDEX(Timetable!$E$6:$I$15,C195,WEEKDAY(B195,2))="","",INDEX(Timetable!$E$6:$I$15,C195,WEEKDAY(B195,2)))),"")))</f>
        <v/>
      </c>
      <c r="J195" s="1" t="n"/>
      <c r="K195">
        <f>IF(AND(ISNUMBER(B195),ISNUMBER(C195)),B195*100+C195,"")</f>
        <v/>
      </c>
      <c r="L195">
        <f>IF(OR(G195="",NOT(ISNUMBER(B195))),"",IF(AND(B195&gt;=Settings!$C$6,B195&lt;=Settings!$C$6+6),B195*1000+ROW(),""))</f>
        <v/>
      </c>
    </row>
    <row r="196">
      <c r="A196" s="1" t="n"/>
      <c r="B196" s="28" t="n"/>
      <c r="C196" s="29" t="n"/>
      <c r="D196" s="30" t="n"/>
      <c r="E196" s="31" t="n"/>
      <c r="F196" s="32" t="n"/>
      <c r="G196" s="32" t="n"/>
      <c r="H196" s="33" t="n"/>
      <c r="I196" s="34">
        <f>IF(B196="","",IF(D196&lt;&gt;"",D196,IF(AND(ISNUMBER(B196),ISNUMBER(C196)),IF(OR(WEEKDAY(B196,2)&gt;5,C196&lt;1,C196&gt;10),"",IF(INDEX(Timetable!$E$6:$I$15,C196,WEEKDAY(B196,2))="","",INDEX(Timetable!$E$6:$I$15,C196,WEEKDAY(B196,2)))),"")))</f>
        <v/>
      </c>
      <c r="J196" s="1" t="n"/>
      <c r="K196">
        <f>IF(AND(ISNUMBER(B196),ISNUMBER(C196)),B196*100+C196,"")</f>
        <v/>
      </c>
      <c r="L196">
        <f>IF(OR(G196="",NOT(ISNUMBER(B196))),"",IF(AND(B196&gt;=Settings!$C$6,B196&lt;=Settings!$C$6+6),B196*1000+ROW(),""))</f>
        <v/>
      </c>
    </row>
    <row r="197">
      <c r="A197" s="1" t="n"/>
      <c r="B197" s="28" t="n"/>
      <c r="C197" s="29" t="n"/>
      <c r="D197" s="30" t="n"/>
      <c r="E197" s="31" t="n"/>
      <c r="F197" s="32" t="n"/>
      <c r="G197" s="32" t="n"/>
      <c r="H197" s="33" t="n"/>
      <c r="I197" s="34">
        <f>IF(B197="","",IF(D197&lt;&gt;"",D197,IF(AND(ISNUMBER(B197),ISNUMBER(C197)),IF(OR(WEEKDAY(B197,2)&gt;5,C197&lt;1,C197&gt;10),"",IF(INDEX(Timetable!$E$6:$I$15,C197,WEEKDAY(B197,2))="","",INDEX(Timetable!$E$6:$I$15,C197,WEEKDAY(B197,2)))),"")))</f>
        <v/>
      </c>
      <c r="J197" s="1" t="n"/>
      <c r="K197">
        <f>IF(AND(ISNUMBER(B197),ISNUMBER(C197)),B197*100+C197,"")</f>
        <v/>
      </c>
      <c r="L197">
        <f>IF(OR(G197="",NOT(ISNUMBER(B197))),"",IF(AND(B197&gt;=Settings!$C$6,B197&lt;=Settings!$C$6+6),B197*1000+ROW(),""))</f>
        <v/>
      </c>
    </row>
    <row r="198">
      <c r="A198" s="1" t="n"/>
      <c r="B198" s="28" t="n"/>
      <c r="C198" s="29" t="n"/>
      <c r="D198" s="30" t="n"/>
      <c r="E198" s="31" t="n"/>
      <c r="F198" s="32" t="n"/>
      <c r="G198" s="32" t="n"/>
      <c r="H198" s="33" t="n"/>
      <c r="I198" s="34">
        <f>IF(B198="","",IF(D198&lt;&gt;"",D198,IF(AND(ISNUMBER(B198),ISNUMBER(C198)),IF(OR(WEEKDAY(B198,2)&gt;5,C198&lt;1,C198&gt;10),"",IF(INDEX(Timetable!$E$6:$I$15,C198,WEEKDAY(B198,2))="","",INDEX(Timetable!$E$6:$I$15,C198,WEEKDAY(B198,2)))),"")))</f>
        <v/>
      </c>
      <c r="J198" s="1" t="n"/>
      <c r="K198">
        <f>IF(AND(ISNUMBER(B198),ISNUMBER(C198)),B198*100+C198,"")</f>
        <v/>
      </c>
      <c r="L198">
        <f>IF(OR(G198="",NOT(ISNUMBER(B198))),"",IF(AND(B198&gt;=Settings!$C$6,B198&lt;=Settings!$C$6+6),B198*1000+ROW(),""))</f>
        <v/>
      </c>
    </row>
    <row r="199">
      <c r="A199" s="1" t="n"/>
      <c r="B199" s="28" t="n"/>
      <c r="C199" s="29" t="n"/>
      <c r="D199" s="30" t="n"/>
      <c r="E199" s="31" t="n"/>
      <c r="F199" s="32" t="n"/>
      <c r="G199" s="32" t="n"/>
      <c r="H199" s="33" t="n"/>
      <c r="I199" s="34">
        <f>IF(B199="","",IF(D199&lt;&gt;"",D199,IF(AND(ISNUMBER(B199),ISNUMBER(C199)),IF(OR(WEEKDAY(B199,2)&gt;5,C199&lt;1,C199&gt;10),"",IF(INDEX(Timetable!$E$6:$I$15,C199,WEEKDAY(B199,2))="","",INDEX(Timetable!$E$6:$I$15,C199,WEEKDAY(B199,2)))),"")))</f>
        <v/>
      </c>
      <c r="J199" s="1" t="n"/>
      <c r="K199">
        <f>IF(AND(ISNUMBER(B199),ISNUMBER(C199)),B199*100+C199,"")</f>
        <v/>
      </c>
      <c r="L199">
        <f>IF(OR(G199="",NOT(ISNUMBER(B199))),"",IF(AND(B199&gt;=Settings!$C$6,B199&lt;=Settings!$C$6+6),B199*1000+ROW(),""))</f>
        <v/>
      </c>
    </row>
    <row r="200">
      <c r="A200" s="1" t="n"/>
      <c r="B200" s="28" t="n"/>
      <c r="C200" s="29" t="n"/>
      <c r="D200" s="30" t="n"/>
      <c r="E200" s="31" t="n"/>
      <c r="F200" s="32" t="n"/>
      <c r="G200" s="32" t="n"/>
      <c r="H200" s="33" t="n"/>
      <c r="I200" s="34">
        <f>IF(B200="","",IF(D200&lt;&gt;"",D200,IF(AND(ISNUMBER(B200),ISNUMBER(C200)),IF(OR(WEEKDAY(B200,2)&gt;5,C200&lt;1,C200&gt;10),"",IF(INDEX(Timetable!$E$6:$I$15,C200,WEEKDAY(B200,2))="","",INDEX(Timetable!$E$6:$I$15,C200,WEEKDAY(B200,2)))),"")))</f>
        <v/>
      </c>
      <c r="J200" s="1" t="n"/>
      <c r="K200">
        <f>IF(AND(ISNUMBER(B200),ISNUMBER(C200)),B200*100+C200,"")</f>
        <v/>
      </c>
      <c r="L200">
        <f>IF(OR(G200="",NOT(ISNUMBER(B200))),"",IF(AND(B200&gt;=Settings!$C$6,B200&lt;=Settings!$C$6+6),B200*1000+ROW(),""))</f>
        <v/>
      </c>
    </row>
    <row r="201">
      <c r="A201" s="1" t="n"/>
      <c r="B201" s="28" t="n"/>
      <c r="C201" s="29" t="n"/>
      <c r="D201" s="30" t="n"/>
      <c r="E201" s="31" t="n"/>
      <c r="F201" s="32" t="n"/>
      <c r="G201" s="32" t="n"/>
      <c r="H201" s="33" t="n"/>
      <c r="I201" s="34">
        <f>IF(B201="","",IF(D201&lt;&gt;"",D201,IF(AND(ISNUMBER(B201),ISNUMBER(C201)),IF(OR(WEEKDAY(B201,2)&gt;5,C201&lt;1,C201&gt;10),"",IF(INDEX(Timetable!$E$6:$I$15,C201,WEEKDAY(B201,2))="","",INDEX(Timetable!$E$6:$I$15,C201,WEEKDAY(B201,2)))),"")))</f>
        <v/>
      </c>
      <c r="J201" s="1" t="n"/>
      <c r="K201">
        <f>IF(AND(ISNUMBER(B201),ISNUMBER(C201)),B201*100+C201,"")</f>
        <v/>
      </c>
      <c r="L201">
        <f>IF(OR(G201="",NOT(ISNUMBER(B201))),"",IF(AND(B201&gt;=Settings!$C$6,B201&lt;=Settings!$C$6+6),B201*1000+ROW(),""))</f>
        <v/>
      </c>
    </row>
    <row r="202">
      <c r="A202" s="1" t="n"/>
      <c r="B202" s="28" t="n"/>
      <c r="C202" s="29" t="n"/>
      <c r="D202" s="30" t="n"/>
      <c r="E202" s="31" t="n"/>
      <c r="F202" s="32" t="n"/>
      <c r="G202" s="32" t="n"/>
      <c r="H202" s="33" t="n"/>
      <c r="I202" s="34">
        <f>IF(B202="","",IF(D202&lt;&gt;"",D202,IF(AND(ISNUMBER(B202),ISNUMBER(C202)),IF(OR(WEEKDAY(B202,2)&gt;5,C202&lt;1,C202&gt;10),"",IF(INDEX(Timetable!$E$6:$I$15,C202,WEEKDAY(B202,2))="","",INDEX(Timetable!$E$6:$I$15,C202,WEEKDAY(B202,2)))),"")))</f>
        <v/>
      </c>
      <c r="J202" s="1" t="n"/>
      <c r="K202">
        <f>IF(AND(ISNUMBER(B202),ISNUMBER(C202)),B202*100+C202,"")</f>
        <v/>
      </c>
      <c r="L202">
        <f>IF(OR(G202="",NOT(ISNUMBER(B202))),"",IF(AND(B202&gt;=Settings!$C$6,B202&lt;=Settings!$C$6+6),B202*1000+ROW(),""))</f>
        <v/>
      </c>
    </row>
    <row r="203">
      <c r="A203" s="1" t="n"/>
      <c r="B203" s="28" t="n"/>
      <c r="C203" s="29" t="n"/>
      <c r="D203" s="30" t="n"/>
      <c r="E203" s="31" t="n"/>
      <c r="F203" s="32" t="n"/>
      <c r="G203" s="32" t="n"/>
      <c r="H203" s="33" t="n"/>
      <c r="I203" s="34">
        <f>IF(B203="","",IF(D203&lt;&gt;"",D203,IF(AND(ISNUMBER(B203),ISNUMBER(C203)),IF(OR(WEEKDAY(B203,2)&gt;5,C203&lt;1,C203&gt;10),"",IF(INDEX(Timetable!$E$6:$I$15,C203,WEEKDAY(B203,2))="","",INDEX(Timetable!$E$6:$I$15,C203,WEEKDAY(B203,2)))),"")))</f>
        <v/>
      </c>
      <c r="J203" s="1" t="n"/>
      <c r="K203">
        <f>IF(AND(ISNUMBER(B203),ISNUMBER(C203)),B203*100+C203,"")</f>
        <v/>
      </c>
      <c r="L203">
        <f>IF(OR(G203="",NOT(ISNUMBER(B203))),"",IF(AND(B203&gt;=Settings!$C$6,B203&lt;=Settings!$C$6+6),B203*1000+ROW(),""))</f>
        <v/>
      </c>
    </row>
    <row r="204">
      <c r="A204" s="1" t="n"/>
      <c r="B204" s="28" t="n"/>
      <c r="C204" s="29" t="n"/>
      <c r="D204" s="30" t="n"/>
      <c r="E204" s="31" t="n"/>
      <c r="F204" s="32" t="n"/>
      <c r="G204" s="32" t="n"/>
      <c r="H204" s="33" t="n"/>
      <c r="I204" s="34">
        <f>IF(B204="","",IF(D204&lt;&gt;"",D204,IF(AND(ISNUMBER(B204),ISNUMBER(C204)),IF(OR(WEEKDAY(B204,2)&gt;5,C204&lt;1,C204&gt;10),"",IF(INDEX(Timetable!$E$6:$I$15,C204,WEEKDAY(B204,2))="","",INDEX(Timetable!$E$6:$I$15,C204,WEEKDAY(B204,2)))),"")))</f>
        <v/>
      </c>
      <c r="J204" s="1" t="n"/>
      <c r="K204">
        <f>IF(AND(ISNUMBER(B204),ISNUMBER(C204)),B204*100+C204,"")</f>
        <v/>
      </c>
      <c r="L204">
        <f>IF(OR(G204="",NOT(ISNUMBER(B204))),"",IF(AND(B204&gt;=Settings!$C$6,B204&lt;=Settings!$C$6+6),B204*1000+ROW(),""))</f>
        <v/>
      </c>
    </row>
    <row r="205">
      <c r="A205" s="1" t="n"/>
      <c r="B205" s="28" t="n"/>
      <c r="C205" s="29" t="n"/>
      <c r="D205" s="30" t="n"/>
      <c r="E205" s="31" t="n"/>
      <c r="F205" s="32" t="n"/>
      <c r="G205" s="32" t="n"/>
      <c r="H205" s="33" t="n"/>
      <c r="I205" s="34">
        <f>IF(B205="","",IF(D205&lt;&gt;"",D205,IF(AND(ISNUMBER(B205),ISNUMBER(C205)),IF(OR(WEEKDAY(B205,2)&gt;5,C205&lt;1,C205&gt;10),"",IF(INDEX(Timetable!$E$6:$I$15,C205,WEEKDAY(B205,2))="","",INDEX(Timetable!$E$6:$I$15,C205,WEEKDAY(B205,2)))),"")))</f>
        <v/>
      </c>
      <c r="J205" s="1" t="n"/>
      <c r="K205">
        <f>IF(AND(ISNUMBER(B205),ISNUMBER(C205)),B205*100+C205,"")</f>
        <v/>
      </c>
      <c r="L205">
        <f>IF(OR(G205="",NOT(ISNUMBER(B205))),"",IF(AND(B205&gt;=Settings!$C$6,B205&lt;=Settings!$C$6+6),B205*1000+ROW(),""))</f>
        <v/>
      </c>
    </row>
    <row r="206">
      <c r="A206" s="1" t="n"/>
      <c r="B206" s="28" t="n"/>
      <c r="C206" s="29" t="n"/>
      <c r="D206" s="30" t="n"/>
      <c r="E206" s="31" t="n"/>
      <c r="F206" s="32" t="n"/>
      <c r="G206" s="32" t="n"/>
      <c r="H206" s="33" t="n"/>
      <c r="I206" s="34">
        <f>IF(B206="","",IF(D206&lt;&gt;"",D206,IF(AND(ISNUMBER(B206),ISNUMBER(C206)),IF(OR(WEEKDAY(B206,2)&gt;5,C206&lt;1,C206&gt;10),"",IF(INDEX(Timetable!$E$6:$I$15,C206,WEEKDAY(B206,2))="","",INDEX(Timetable!$E$6:$I$15,C206,WEEKDAY(B206,2)))),"")))</f>
        <v/>
      </c>
      <c r="J206" s="1" t="n"/>
      <c r="K206">
        <f>IF(AND(ISNUMBER(B206),ISNUMBER(C206)),B206*100+C206,"")</f>
        <v/>
      </c>
      <c r="L206">
        <f>IF(OR(G206="",NOT(ISNUMBER(B206))),"",IF(AND(B206&gt;=Settings!$C$6,B206&lt;=Settings!$C$6+6),B206*1000+ROW(),""))</f>
        <v/>
      </c>
    </row>
    <row r="207">
      <c r="A207" s="1" t="n"/>
      <c r="B207" s="28" t="n"/>
      <c r="C207" s="29" t="n"/>
      <c r="D207" s="30" t="n"/>
      <c r="E207" s="31" t="n"/>
      <c r="F207" s="32" t="n"/>
      <c r="G207" s="32" t="n"/>
      <c r="H207" s="33" t="n"/>
      <c r="I207" s="34">
        <f>IF(B207="","",IF(D207&lt;&gt;"",D207,IF(AND(ISNUMBER(B207),ISNUMBER(C207)),IF(OR(WEEKDAY(B207,2)&gt;5,C207&lt;1,C207&gt;10),"",IF(INDEX(Timetable!$E$6:$I$15,C207,WEEKDAY(B207,2))="","",INDEX(Timetable!$E$6:$I$15,C207,WEEKDAY(B207,2)))),"")))</f>
        <v/>
      </c>
      <c r="J207" s="1" t="n"/>
      <c r="K207">
        <f>IF(AND(ISNUMBER(B207),ISNUMBER(C207)),B207*100+C207,"")</f>
        <v/>
      </c>
      <c r="L207">
        <f>IF(OR(G207="",NOT(ISNUMBER(B207))),"",IF(AND(B207&gt;=Settings!$C$6,B207&lt;=Settings!$C$6+6),B207*1000+ROW(),""))</f>
        <v/>
      </c>
    </row>
    <row r="208">
      <c r="A208" s="1" t="n"/>
      <c r="B208" s="28" t="n"/>
      <c r="C208" s="29" t="n"/>
      <c r="D208" s="30" t="n"/>
      <c r="E208" s="31" t="n"/>
      <c r="F208" s="32" t="n"/>
      <c r="G208" s="32" t="n"/>
      <c r="H208" s="33" t="n"/>
      <c r="I208" s="34">
        <f>IF(B208="","",IF(D208&lt;&gt;"",D208,IF(AND(ISNUMBER(B208),ISNUMBER(C208)),IF(OR(WEEKDAY(B208,2)&gt;5,C208&lt;1,C208&gt;10),"",IF(INDEX(Timetable!$E$6:$I$15,C208,WEEKDAY(B208,2))="","",INDEX(Timetable!$E$6:$I$15,C208,WEEKDAY(B208,2)))),"")))</f>
        <v/>
      </c>
      <c r="J208" s="1" t="n"/>
      <c r="K208">
        <f>IF(AND(ISNUMBER(B208),ISNUMBER(C208)),B208*100+C208,"")</f>
        <v/>
      </c>
      <c r="L208">
        <f>IF(OR(G208="",NOT(ISNUMBER(B208))),"",IF(AND(B208&gt;=Settings!$C$6,B208&lt;=Settings!$C$6+6),B208*1000+ROW(),""))</f>
        <v/>
      </c>
    </row>
    <row r="209">
      <c r="A209" s="1" t="n"/>
      <c r="B209" s="28" t="n"/>
      <c r="C209" s="29" t="n"/>
      <c r="D209" s="30" t="n"/>
      <c r="E209" s="31" t="n"/>
      <c r="F209" s="32" t="n"/>
      <c r="G209" s="32" t="n"/>
      <c r="H209" s="33" t="n"/>
      <c r="I209" s="34">
        <f>IF(B209="","",IF(D209&lt;&gt;"",D209,IF(AND(ISNUMBER(B209),ISNUMBER(C209)),IF(OR(WEEKDAY(B209,2)&gt;5,C209&lt;1,C209&gt;10),"",IF(INDEX(Timetable!$E$6:$I$15,C209,WEEKDAY(B209,2))="","",INDEX(Timetable!$E$6:$I$15,C209,WEEKDAY(B209,2)))),"")))</f>
        <v/>
      </c>
      <c r="J209" s="1" t="n"/>
      <c r="K209">
        <f>IF(AND(ISNUMBER(B209),ISNUMBER(C209)),B209*100+C209,"")</f>
        <v/>
      </c>
      <c r="L209">
        <f>IF(OR(G209="",NOT(ISNUMBER(B209))),"",IF(AND(B209&gt;=Settings!$C$6,B209&lt;=Settings!$C$6+6),B209*1000+ROW(),""))</f>
        <v/>
      </c>
    </row>
    <row r="210">
      <c r="A210" s="1" t="n"/>
      <c r="B210" s="28" t="n"/>
      <c r="C210" s="29" t="n"/>
      <c r="D210" s="30" t="n"/>
      <c r="E210" s="31" t="n"/>
      <c r="F210" s="32" t="n"/>
      <c r="G210" s="32" t="n"/>
      <c r="H210" s="33" t="n"/>
      <c r="I210" s="34">
        <f>IF(B210="","",IF(D210&lt;&gt;"",D210,IF(AND(ISNUMBER(B210),ISNUMBER(C210)),IF(OR(WEEKDAY(B210,2)&gt;5,C210&lt;1,C210&gt;10),"",IF(INDEX(Timetable!$E$6:$I$15,C210,WEEKDAY(B210,2))="","",INDEX(Timetable!$E$6:$I$15,C210,WEEKDAY(B210,2)))),"")))</f>
        <v/>
      </c>
      <c r="J210" s="1" t="n"/>
      <c r="K210">
        <f>IF(AND(ISNUMBER(B210),ISNUMBER(C210)),B210*100+C210,"")</f>
        <v/>
      </c>
      <c r="L210">
        <f>IF(OR(G210="",NOT(ISNUMBER(B210))),"",IF(AND(B210&gt;=Settings!$C$6,B210&lt;=Settings!$C$6+6),B210*1000+ROW(),""))</f>
        <v/>
      </c>
    </row>
    <row r="211">
      <c r="A211" s="1" t="n"/>
      <c r="B211" s="28" t="n"/>
      <c r="C211" s="29" t="n"/>
      <c r="D211" s="30" t="n"/>
      <c r="E211" s="31" t="n"/>
      <c r="F211" s="32" t="n"/>
      <c r="G211" s="32" t="n"/>
      <c r="H211" s="33" t="n"/>
      <c r="I211" s="34">
        <f>IF(B211="","",IF(D211&lt;&gt;"",D211,IF(AND(ISNUMBER(B211),ISNUMBER(C211)),IF(OR(WEEKDAY(B211,2)&gt;5,C211&lt;1,C211&gt;10),"",IF(INDEX(Timetable!$E$6:$I$15,C211,WEEKDAY(B211,2))="","",INDEX(Timetable!$E$6:$I$15,C211,WEEKDAY(B211,2)))),"")))</f>
        <v/>
      </c>
      <c r="J211" s="1" t="n"/>
      <c r="K211">
        <f>IF(AND(ISNUMBER(B211),ISNUMBER(C211)),B211*100+C211,"")</f>
        <v/>
      </c>
      <c r="L211">
        <f>IF(OR(G211="",NOT(ISNUMBER(B211))),"",IF(AND(B211&gt;=Settings!$C$6,B211&lt;=Settings!$C$6+6),B211*1000+ROW(),""))</f>
        <v/>
      </c>
    </row>
    <row r="212">
      <c r="A212" s="1" t="n"/>
      <c r="B212" s="28" t="n"/>
      <c r="C212" s="29" t="n"/>
      <c r="D212" s="30" t="n"/>
      <c r="E212" s="31" t="n"/>
      <c r="F212" s="32" t="n"/>
      <c r="G212" s="32" t="n"/>
      <c r="H212" s="33" t="n"/>
      <c r="I212" s="34">
        <f>IF(B212="","",IF(D212&lt;&gt;"",D212,IF(AND(ISNUMBER(B212),ISNUMBER(C212)),IF(OR(WEEKDAY(B212,2)&gt;5,C212&lt;1,C212&gt;10),"",IF(INDEX(Timetable!$E$6:$I$15,C212,WEEKDAY(B212,2))="","",INDEX(Timetable!$E$6:$I$15,C212,WEEKDAY(B212,2)))),"")))</f>
        <v/>
      </c>
      <c r="J212" s="1" t="n"/>
      <c r="K212">
        <f>IF(AND(ISNUMBER(B212),ISNUMBER(C212)),B212*100+C212,"")</f>
        <v/>
      </c>
      <c r="L212">
        <f>IF(OR(G212="",NOT(ISNUMBER(B212))),"",IF(AND(B212&gt;=Settings!$C$6,B212&lt;=Settings!$C$6+6),B212*1000+ROW(),""))</f>
        <v/>
      </c>
    </row>
    <row r="213">
      <c r="A213" s="1" t="n"/>
      <c r="B213" s="28" t="n"/>
      <c r="C213" s="29" t="n"/>
      <c r="D213" s="30" t="n"/>
      <c r="E213" s="31" t="n"/>
      <c r="F213" s="32" t="n"/>
      <c r="G213" s="32" t="n"/>
      <c r="H213" s="33" t="n"/>
      <c r="I213" s="34">
        <f>IF(B213="","",IF(D213&lt;&gt;"",D213,IF(AND(ISNUMBER(B213),ISNUMBER(C213)),IF(OR(WEEKDAY(B213,2)&gt;5,C213&lt;1,C213&gt;10),"",IF(INDEX(Timetable!$E$6:$I$15,C213,WEEKDAY(B213,2))="","",INDEX(Timetable!$E$6:$I$15,C213,WEEKDAY(B213,2)))),"")))</f>
        <v/>
      </c>
      <c r="J213" s="1" t="n"/>
      <c r="K213">
        <f>IF(AND(ISNUMBER(B213),ISNUMBER(C213)),B213*100+C213,"")</f>
        <v/>
      </c>
      <c r="L213">
        <f>IF(OR(G213="",NOT(ISNUMBER(B213))),"",IF(AND(B213&gt;=Settings!$C$6,B213&lt;=Settings!$C$6+6),B213*1000+ROW(),""))</f>
        <v/>
      </c>
    </row>
    <row r="214">
      <c r="A214" s="1" t="n"/>
      <c r="B214" s="28" t="n"/>
      <c r="C214" s="29" t="n"/>
      <c r="D214" s="30" t="n"/>
      <c r="E214" s="31" t="n"/>
      <c r="F214" s="32" t="n"/>
      <c r="G214" s="32" t="n"/>
      <c r="H214" s="33" t="n"/>
      <c r="I214" s="34">
        <f>IF(B214="","",IF(D214&lt;&gt;"",D214,IF(AND(ISNUMBER(B214),ISNUMBER(C214)),IF(OR(WEEKDAY(B214,2)&gt;5,C214&lt;1,C214&gt;10),"",IF(INDEX(Timetable!$E$6:$I$15,C214,WEEKDAY(B214,2))="","",INDEX(Timetable!$E$6:$I$15,C214,WEEKDAY(B214,2)))),"")))</f>
        <v/>
      </c>
      <c r="J214" s="1" t="n"/>
      <c r="K214">
        <f>IF(AND(ISNUMBER(B214),ISNUMBER(C214)),B214*100+C214,"")</f>
        <v/>
      </c>
      <c r="L214">
        <f>IF(OR(G214="",NOT(ISNUMBER(B214))),"",IF(AND(B214&gt;=Settings!$C$6,B214&lt;=Settings!$C$6+6),B214*1000+ROW(),""))</f>
        <v/>
      </c>
    </row>
    <row r="215">
      <c r="A215" s="1" t="n"/>
      <c r="B215" s="28" t="n"/>
      <c r="C215" s="29" t="n"/>
      <c r="D215" s="30" t="n"/>
      <c r="E215" s="31" t="n"/>
      <c r="F215" s="32" t="n"/>
      <c r="G215" s="32" t="n"/>
      <c r="H215" s="33" t="n"/>
      <c r="I215" s="34">
        <f>IF(B215="","",IF(D215&lt;&gt;"",D215,IF(AND(ISNUMBER(B215),ISNUMBER(C215)),IF(OR(WEEKDAY(B215,2)&gt;5,C215&lt;1,C215&gt;10),"",IF(INDEX(Timetable!$E$6:$I$15,C215,WEEKDAY(B215,2))="","",INDEX(Timetable!$E$6:$I$15,C215,WEEKDAY(B215,2)))),"")))</f>
        <v/>
      </c>
      <c r="J215" s="1" t="n"/>
      <c r="K215">
        <f>IF(AND(ISNUMBER(B215),ISNUMBER(C215)),B215*100+C215,"")</f>
        <v/>
      </c>
      <c r="L215">
        <f>IF(OR(G215="",NOT(ISNUMBER(B215))),"",IF(AND(B215&gt;=Settings!$C$6,B215&lt;=Settings!$C$6+6),B215*1000+ROW(),""))</f>
        <v/>
      </c>
    </row>
    <row r="216">
      <c r="A216" s="1" t="n"/>
      <c r="B216" s="28" t="n"/>
      <c r="C216" s="29" t="n"/>
      <c r="D216" s="30" t="n"/>
      <c r="E216" s="31" t="n"/>
      <c r="F216" s="32" t="n"/>
      <c r="G216" s="32" t="n"/>
      <c r="H216" s="33" t="n"/>
      <c r="I216" s="34">
        <f>IF(B216="","",IF(D216&lt;&gt;"",D216,IF(AND(ISNUMBER(B216),ISNUMBER(C216)),IF(OR(WEEKDAY(B216,2)&gt;5,C216&lt;1,C216&gt;10),"",IF(INDEX(Timetable!$E$6:$I$15,C216,WEEKDAY(B216,2))="","",INDEX(Timetable!$E$6:$I$15,C216,WEEKDAY(B216,2)))),"")))</f>
        <v/>
      </c>
      <c r="J216" s="1" t="n"/>
      <c r="K216">
        <f>IF(AND(ISNUMBER(B216),ISNUMBER(C216)),B216*100+C216,"")</f>
        <v/>
      </c>
      <c r="L216">
        <f>IF(OR(G216="",NOT(ISNUMBER(B216))),"",IF(AND(B216&gt;=Settings!$C$6,B216&lt;=Settings!$C$6+6),B216*1000+ROW(),""))</f>
        <v/>
      </c>
    </row>
    <row r="217">
      <c r="A217" s="1" t="n"/>
      <c r="B217" s="28" t="n"/>
      <c r="C217" s="29" t="n"/>
      <c r="D217" s="30" t="n"/>
      <c r="E217" s="31" t="n"/>
      <c r="F217" s="32" t="n"/>
      <c r="G217" s="32" t="n"/>
      <c r="H217" s="33" t="n"/>
      <c r="I217" s="34">
        <f>IF(B217="","",IF(D217&lt;&gt;"",D217,IF(AND(ISNUMBER(B217),ISNUMBER(C217)),IF(OR(WEEKDAY(B217,2)&gt;5,C217&lt;1,C217&gt;10),"",IF(INDEX(Timetable!$E$6:$I$15,C217,WEEKDAY(B217,2))="","",INDEX(Timetable!$E$6:$I$15,C217,WEEKDAY(B217,2)))),"")))</f>
        <v/>
      </c>
      <c r="J217" s="1" t="n"/>
      <c r="K217">
        <f>IF(AND(ISNUMBER(B217),ISNUMBER(C217)),B217*100+C217,"")</f>
        <v/>
      </c>
      <c r="L217">
        <f>IF(OR(G217="",NOT(ISNUMBER(B217))),"",IF(AND(B217&gt;=Settings!$C$6,B217&lt;=Settings!$C$6+6),B217*1000+ROW(),""))</f>
        <v/>
      </c>
    </row>
    <row r="218">
      <c r="A218" s="1" t="n"/>
      <c r="B218" s="28" t="n"/>
      <c r="C218" s="29" t="n"/>
      <c r="D218" s="30" t="n"/>
      <c r="E218" s="31" t="n"/>
      <c r="F218" s="32" t="n"/>
      <c r="G218" s="32" t="n"/>
      <c r="H218" s="33" t="n"/>
      <c r="I218" s="34">
        <f>IF(B218="","",IF(D218&lt;&gt;"",D218,IF(AND(ISNUMBER(B218),ISNUMBER(C218)),IF(OR(WEEKDAY(B218,2)&gt;5,C218&lt;1,C218&gt;10),"",IF(INDEX(Timetable!$E$6:$I$15,C218,WEEKDAY(B218,2))="","",INDEX(Timetable!$E$6:$I$15,C218,WEEKDAY(B218,2)))),"")))</f>
        <v/>
      </c>
      <c r="J218" s="1" t="n"/>
      <c r="K218">
        <f>IF(AND(ISNUMBER(B218),ISNUMBER(C218)),B218*100+C218,"")</f>
        <v/>
      </c>
      <c r="L218">
        <f>IF(OR(G218="",NOT(ISNUMBER(B218))),"",IF(AND(B218&gt;=Settings!$C$6,B218&lt;=Settings!$C$6+6),B218*1000+ROW(),""))</f>
        <v/>
      </c>
    </row>
    <row r="219">
      <c r="A219" s="1" t="n"/>
      <c r="B219" s="28" t="n"/>
      <c r="C219" s="29" t="n"/>
      <c r="D219" s="30" t="n"/>
      <c r="E219" s="31" t="n"/>
      <c r="F219" s="32" t="n"/>
      <c r="G219" s="32" t="n"/>
      <c r="H219" s="33" t="n"/>
      <c r="I219" s="34">
        <f>IF(B219="","",IF(D219&lt;&gt;"",D219,IF(AND(ISNUMBER(B219),ISNUMBER(C219)),IF(OR(WEEKDAY(B219,2)&gt;5,C219&lt;1,C219&gt;10),"",IF(INDEX(Timetable!$E$6:$I$15,C219,WEEKDAY(B219,2))="","",INDEX(Timetable!$E$6:$I$15,C219,WEEKDAY(B219,2)))),"")))</f>
        <v/>
      </c>
      <c r="J219" s="1" t="n"/>
      <c r="K219">
        <f>IF(AND(ISNUMBER(B219),ISNUMBER(C219)),B219*100+C219,"")</f>
        <v/>
      </c>
      <c r="L219">
        <f>IF(OR(G219="",NOT(ISNUMBER(B219))),"",IF(AND(B219&gt;=Settings!$C$6,B219&lt;=Settings!$C$6+6),B219*1000+ROW(),""))</f>
        <v/>
      </c>
    </row>
    <row r="220">
      <c r="A220" s="1" t="n"/>
      <c r="B220" s="28" t="n"/>
      <c r="C220" s="29" t="n"/>
      <c r="D220" s="30" t="n"/>
      <c r="E220" s="31" t="n"/>
      <c r="F220" s="32" t="n"/>
      <c r="G220" s="32" t="n"/>
      <c r="H220" s="33" t="n"/>
      <c r="I220" s="34">
        <f>IF(B220="","",IF(D220&lt;&gt;"",D220,IF(AND(ISNUMBER(B220),ISNUMBER(C220)),IF(OR(WEEKDAY(B220,2)&gt;5,C220&lt;1,C220&gt;10),"",IF(INDEX(Timetable!$E$6:$I$15,C220,WEEKDAY(B220,2))="","",INDEX(Timetable!$E$6:$I$15,C220,WEEKDAY(B220,2)))),"")))</f>
        <v/>
      </c>
      <c r="J220" s="1" t="n"/>
      <c r="K220">
        <f>IF(AND(ISNUMBER(B220),ISNUMBER(C220)),B220*100+C220,"")</f>
        <v/>
      </c>
      <c r="L220">
        <f>IF(OR(G220="",NOT(ISNUMBER(B220))),"",IF(AND(B220&gt;=Settings!$C$6,B220&lt;=Settings!$C$6+6),B220*1000+ROW(),""))</f>
        <v/>
      </c>
    </row>
    <row r="221">
      <c r="A221" s="1" t="n"/>
      <c r="B221" s="28" t="n"/>
      <c r="C221" s="29" t="n"/>
      <c r="D221" s="30" t="n"/>
      <c r="E221" s="31" t="n"/>
      <c r="F221" s="32" t="n"/>
      <c r="G221" s="32" t="n"/>
      <c r="H221" s="33" t="n"/>
      <c r="I221" s="34">
        <f>IF(B221="","",IF(D221&lt;&gt;"",D221,IF(AND(ISNUMBER(B221),ISNUMBER(C221)),IF(OR(WEEKDAY(B221,2)&gt;5,C221&lt;1,C221&gt;10),"",IF(INDEX(Timetable!$E$6:$I$15,C221,WEEKDAY(B221,2))="","",INDEX(Timetable!$E$6:$I$15,C221,WEEKDAY(B221,2)))),"")))</f>
        <v/>
      </c>
      <c r="J221" s="1" t="n"/>
      <c r="K221">
        <f>IF(AND(ISNUMBER(B221),ISNUMBER(C221)),B221*100+C221,"")</f>
        <v/>
      </c>
      <c r="L221">
        <f>IF(OR(G221="",NOT(ISNUMBER(B221))),"",IF(AND(B221&gt;=Settings!$C$6,B221&lt;=Settings!$C$6+6),B221*1000+ROW(),""))</f>
        <v/>
      </c>
    </row>
    <row r="222">
      <c r="A222" s="1" t="n"/>
      <c r="B222" s="28" t="n"/>
      <c r="C222" s="29" t="n"/>
      <c r="D222" s="30" t="n"/>
      <c r="E222" s="31" t="n"/>
      <c r="F222" s="32" t="n"/>
      <c r="G222" s="32" t="n"/>
      <c r="H222" s="33" t="n"/>
      <c r="I222" s="34">
        <f>IF(B222="","",IF(D222&lt;&gt;"",D222,IF(AND(ISNUMBER(B222),ISNUMBER(C222)),IF(OR(WEEKDAY(B222,2)&gt;5,C222&lt;1,C222&gt;10),"",IF(INDEX(Timetable!$E$6:$I$15,C222,WEEKDAY(B222,2))="","",INDEX(Timetable!$E$6:$I$15,C222,WEEKDAY(B222,2)))),"")))</f>
        <v/>
      </c>
      <c r="J222" s="1" t="n"/>
      <c r="K222">
        <f>IF(AND(ISNUMBER(B222),ISNUMBER(C222)),B222*100+C222,"")</f>
        <v/>
      </c>
      <c r="L222">
        <f>IF(OR(G222="",NOT(ISNUMBER(B222))),"",IF(AND(B222&gt;=Settings!$C$6,B222&lt;=Settings!$C$6+6),B222*1000+ROW(),""))</f>
        <v/>
      </c>
    </row>
    <row r="223">
      <c r="A223" s="1" t="n"/>
      <c r="B223" s="28" t="n"/>
      <c r="C223" s="29" t="n"/>
      <c r="D223" s="30" t="n"/>
      <c r="E223" s="31" t="n"/>
      <c r="F223" s="32" t="n"/>
      <c r="G223" s="32" t="n"/>
      <c r="H223" s="33" t="n"/>
      <c r="I223" s="34">
        <f>IF(B223="","",IF(D223&lt;&gt;"",D223,IF(AND(ISNUMBER(B223),ISNUMBER(C223)),IF(OR(WEEKDAY(B223,2)&gt;5,C223&lt;1,C223&gt;10),"",IF(INDEX(Timetable!$E$6:$I$15,C223,WEEKDAY(B223,2))="","",INDEX(Timetable!$E$6:$I$15,C223,WEEKDAY(B223,2)))),"")))</f>
        <v/>
      </c>
      <c r="J223" s="1" t="n"/>
      <c r="K223">
        <f>IF(AND(ISNUMBER(B223),ISNUMBER(C223)),B223*100+C223,"")</f>
        <v/>
      </c>
      <c r="L223">
        <f>IF(OR(G223="",NOT(ISNUMBER(B223))),"",IF(AND(B223&gt;=Settings!$C$6,B223&lt;=Settings!$C$6+6),B223*1000+ROW(),""))</f>
        <v/>
      </c>
    </row>
    <row r="224">
      <c r="A224" s="1" t="n"/>
      <c r="B224" s="28" t="n"/>
      <c r="C224" s="29" t="n"/>
      <c r="D224" s="30" t="n"/>
      <c r="E224" s="31" t="n"/>
      <c r="F224" s="32" t="n"/>
      <c r="G224" s="32" t="n"/>
      <c r="H224" s="33" t="n"/>
      <c r="I224" s="34">
        <f>IF(B224="","",IF(D224&lt;&gt;"",D224,IF(AND(ISNUMBER(B224),ISNUMBER(C224)),IF(OR(WEEKDAY(B224,2)&gt;5,C224&lt;1,C224&gt;10),"",IF(INDEX(Timetable!$E$6:$I$15,C224,WEEKDAY(B224,2))="","",INDEX(Timetable!$E$6:$I$15,C224,WEEKDAY(B224,2)))),"")))</f>
        <v/>
      </c>
      <c r="J224" s="1" t="n"/>
      <c r="K224">
        <f>IF(AND(ISNUMBER(B224),ISNUMBER(C224)),B224*100+C224,"")</f>
        <v/>
      </c>
      <c r="L224">
        <f>IF(OR(G224="",NOT(ISNUMBER(B224))),"",IF(AND(B224&gt;=Settings!$C$6,B224&lt;=Settings!$C$6+6),B224*1000+ROW(),""))</f>
        <v/>
      </c>
    </row>
    <row r="225">
      <c r="A225" s="1" t="n"/>
      <c r="B225" s="28" t="n"/>
      <c r="C225" s="29" t="n"/>
      <c r="D225" s="30" t="n"/>
      <c r="E225" s="31" t="n"/>
      <c r="F225" s="32" t="n"/>
      <c r="G225" s="32" t="n"/>
      <c r="H225" s="33" t="n"/>
      <c r="I225" s="34">
        <f>IF(B225="","",IF(D225&lt;&gt;"",D225,IF(AND(ISNUMBER(B225),ISNUMBER(C225)),IF(OR(WEEKDAY(B225,2)&gt;5,C225&lt;1,C225&gt;10),"",IF(INDEX(Timetable!$E$6:$I$15,C225,WEEKDAY(B225,2))="","",INDEX(Timetable!$E$6:$I$15,C225,WEEKDAY(B225,2)))),"")))</f>
        <v/>
      </c>
      <c r="J225" s="1" t="n"/>
      <c r="K225">
        <f>IF(AND(ISNUMBER(B225),ISNUMBER(C225)),B225*100+C225,"")</f>
        <v/>
      </c>
      <c r="L225">
        <f>IF(OR(G225="",NOT(ISNUMBER(B225))),"",IF(AND(B225&gt;=Settings!$C$6,B225&lt;=Settings!$C$6+6),B225*1000+ROW(),""))</f>
        <v/>
      </c>
    </row>
    <row r="226">
      <c r="A226" s="1" t="n"/>
      <c r="B226" s="28" t="n"/>
      <c r="C226" s="29" t="n"/>
      <c r="D226" s="30" t="n"/>
      <c r="E226" s="31" t="n"/>
      <c r="F226" s="32" t="n"/>
      <c r="G226" s="32" t="n"/>
      <c r="H226" s="33" t="n"/>
      <c r="I226" s="34">
        <f>IF(B226="","",IF(D226&lt;&gt;"",D226,IF(AND(ISNUMBER(B226),ISNUMBER(C226)),IF(OR(WEEKDAY(B226,2)&gt;5,C226&lt;1,C226&gt;10),"",IF(INDEX(Timetable!$E$6:$I$15,C226,WEEKDAY(B226,2))="","",INDEX(Timetable!$E$6:$I$15,C226,WEEKDAY(B226,2)))),"")))</f>
        <v/>
      </c>
      <c r="J226" s="1" t="n"/>
      <c r="K226">
        <f>IF(AND(ISNUMBER(B226),ISNUMBER(C226)),B226*100+C226,"")</f>
        <v/>
      </c>
      <c r="L226">
        <f>IF(OR(G226="",NOT(ISNUMBER(B226))),"",IF(AND(B226&gt;=Settings!$C$6,B226&lt;=Settings!$C$6+6),B226*1000+ROW(),""))</f>
        <v/>
      </c>
    </row>
    <row r="227">
      <c r="A227" s="1" t="n"/>
      <c r="B227" s="28" t="n"/>
      <c r="C227" s="29" t="n"/>
      <c r="D227" s="30" t="n"/>
      <c r="E227" s="31" t="n"/>
      <c r="F227" s="32" t="n"/>
      <c r="G227" s="32" t="n"/>
      <c r="H227" s="33" t="n"/>
      <c r="I227" s="34">
        <f>IF(B227="","",IF(D227&lt;&gt;"",D227,IF(AND(ISNUMBER(B227),ISNUMBER(C227)),IF(OR(WEEKDAY(B227,2)&gt;5,C227&lt;1,C227&gt;10),"",IF(INDEX(Timetable!$E$6:$I$15,C227,WEEKDAY(B227,2))="","",INDEX(Timetable!$E$6:$I$15,C227,WEEKDAY(B227,2)))),"")))</f>
        <v/>
      </c>
      <c r="J227" s="1" t="n"/>
      <c r="K227">
        <f>IF(AND(ISNUMBER(B227),ISNUMBER(C227)),B227*100+C227,"")</f>
        <v/>
      </c>
      <c r="L227">
        <f>IF(OR(G227="",NOT(ISNUMBER(B227))),"",IF(AND(B227&gt;=Settings!$C$6,B227&lt;=Settings!$C$6+6),B227*1000+ROW(),""))</f>
        <v/>
      </c>
    </row>
    <row r="228">
      <c r="A228" s="1" t="n"/>
      <c r="B228" s="28" t="n"/>
      <c r="C228" s="29" t="n"/>
      <c r="D228" s="30" t="n"/>
      <c r="E228" s="31" t="n"/>
      <c r="F228" s="32" t="n"/>
      <c r="G228" s="32" t="n"/>
      <c r="H228" s="33" t="n"/>
      <c r="I228" s="34">
        <f>IF(B228="","",IF(D228&lt;&gt;"",D228,IF(AND(ISNUMBER(B228),ISNUMBER(C228)),IF(OR(WEEKDAY(B228,2)&gt;5,C228&lt;1,C228&gt;10),"",IF(INDEX(Timetable!$E$6:$I$15,C228,WEEKDAY(B228,2))="","",INDEX(Timetable!$E$6:$I$15,C228,WEEKDAY(B228,2)))),"")))</f>
        <v/>
      </c>
      <c r="J228" s="1" t="n"/>
      <c r="K228">
        <f>IF(AND(ISNUMBER(B228),ISNUMBER(C228)),B228*100+C228,"")</f>
        <v/>
      </c>
      <c r="L228">
        <f>IF(OR(G228="",NOT(ISNUMBER(B228))),"",IF(AND(B228&gt;=Settings!$C$6,B228&lt;=Settings!$C$6+6),B228*1000+ROW(),""))</f>
        <v/>
      </c>
    </row>
    <row r="229">
      <c r="A229" s="1" t="n"/>
      <c r="B229" s="28" t="n"/>
      <c r="C229" s="29" t="n"/>
      <c r="D229" s="30" t="n"/>
      <c r="E229" s="31" t="n"/>
      <c r="F229" s="32" t="n"/>
      <c r="G229" s="32" t="n"/>
      <c r="H229" s="33" t="n"/>
      <c r="I229" s="34">
        <f>IF(B229="","",IF(D229&lt;&gt;"",D229,IF(AND(ISNUMBER(B229),ISNUMBER(C229)),IF(OR(WEEKDAY(B229,2)&gt;5,C229&lt;1,C229&gt;10),"",IF(INDEX(Timetable!$E$6:$I$15,C229,WEEKDAY(B229,2))="","",INDEX(Timetable!$E$6:$I$15,C229,WEEKDAY(B229,2)))),"")))</f>
        <v/>
      </c>
      <c r="J229" s="1" t="n"/>
      <c r="K229">
        <f>IF(AND(ISNUMBER(B229),ISNUMBER(C229)),B229*100+C229,"")</f>
        <v/>
      </c>
      <c r="L229">
        <f>IF(OR(G229="",NOT(ISNUMBER(B229))),"",IF(AND(B229&gt;=Settings!$C$6,B229&lt;=Settings!$C$6+6),B229*1000+ROW(),""))</f>
        <v/>
      </c>
    </row>
    <row r="230">
      <c r="A230" s="1" t="n"/>
      <c r="B230" s="28" t="n"/>
      <c r="C230" s="29" t="n"/>
      <c r="D230" s="30" t="n"/>
      <c r="E230" s="31" t="n"/>
      <c r="F230" s="32" t="n"/>
      <c r="G230" s="32" t="n"/>
      <c r="H230" s="33" t="n"/>
      <c r="I230" s="34">
        <f>IF(B230="","",IF(D230&lt;&gt;"",D230,IF(AND(ISNUMBER(B230),ISNUMBER(C230)),IF(OR(WEEKDAY(B230,2)&gt;5,C230&lt;1,C230&gt;10),"",IF(INDEX(Timetable!$E$6:$I$15,C230,WEEKDAY(B230,2))="","",INDEX(Timetable!$E$6:$I$15,C230,WEEKDAY(B230,2)))),"")))</f>
        <v/>
      </c>
      <c r="J230" s="1" t="n"/>
      <c r="K230">
        <f>IF(AND(ISNUMBER(B230),ISNUMBER(C230)),B230*100+C230,"")</f>
        <v/>
      </c>
      <c r="L230">
        <f>IF(OR(G230="",NOT(ISNUMBER(B230))),"",IF(AND(B230&gt;=Settings!$C$6,B230&lt;=Settings!$C$6+6),B230*1000+ROW(),""))</f>
        <v/>
      </c>
    </row>
    <row r="231">
      <c r="A231" s="1" t="n"/>
      <c r="B231" s="28" t="n"/>
      <c r="C231" s="29" t="n"/>
      <c r="D231" s="30" t="n"/>
      <c r="E231" s="31" t="n"/>
      <c r="F231" s="32" t="n"/>
      <c r="G231" s="32" t="n"/>
      <c r="H231" s="33" t="n"/>
      <c r="I231" s="34">
        <f>IF(B231="","",IF(D231&lt;&gt;"",D231,IF(AND(ISNUMBER(B231),ISNUMBER(C231)),IF(OR(WEEKDAY(B231,2)&gt;5,C231&lt;1,C231&gt;10),"",IF(INDEX(Timetable!$E$6:$I$15,C231,WEEKDAY(B231,2))="","",INDEX(Timetable!$E$6:$I$15,C231,WEEKDAY(B231,2)))),"")))</f>
        <v/>
      </c>
      <c r="J231" s="1" t="n"/>
      <c r="K231">
        <f>IF(AND(ISNUMBER(B231),ISNUMBER(C231)),B231*100+C231,"")</f>
        <v/>
      </c>
      <c r="L231">
        <f>IF(OR(G231="",NOT(ISNUMBER(B231))),"",IF(AND(B231&gt;=Settings!$C$6,B231&lt;=Settings!$C$6+6),B231*1000+ROW(),""))</f>
        <v/>
      </c>
    </row>
    <row r="232">
      <c r="A232" s="1" t="n"/>
      <c r="B232" s="28" t="n"/>
      <c r="C232" s="29" t="n"/>
      <c r="D232" s="30" t="n"/>
      <c r="E232" s="31" t="n"/>
      <c r="F232" s="32" t="n"/>
      <c r="G232" s="32" t="n"/>
      <c r="H232" s="33" t="n"/>
      <c r="I232" s="34">
        <f>IF(B232="","",IF(D232&lt;&gt;"",D232,IF(AND(ISNUMBER(B232),ISNUMBER(C232)),IF(OR(WEEKDAY(B232,2)&gt;5,C232&lt;1,C232&gt;10),"",IF(INDEX(Timetable!$E$6:$I$15,C232,WEEKDAY(B232,2))="","",INDEX(Timetable!$E$6:$I$15,C232,WEEKDAY(B232,2)))),"")))</f>
        <v/>
      </c>
      <c r="J232" s="1" t="n"/>
      <c r="K232">
        <f>IF(AND(ISNUMBER(B232),ISNUMBER(C232)),B232*100+C232,"")</f>
        <v/>
      </c>
      <c r="L232">
        <f>IF(OR(G232="",NOT(ISNUMBER(B232))),"",IF(AND(B232&gt;=Settings!$C$6,B232&lt;=Settings!$C$6+6),B232*1000+ROW(),""))</f>
        <v/>
      </c>
    </row>
    <row r="233">
      <c r="A233" s="1" t="n"/>
      <c r="B233" s="28" t="n"/>
      <c r="C233" s="29" t="n"/>
      <c r="D233" s="30" t="n"/>
      <c r="E233" s="31" t="n"/>
      <c r="F233" s="32" t="n"/>
      <c r="G233" s="32" t="n"/>
      <c r="H233" s="33" t="n"/>
      <c r="I233" s="34">
        <f>IF(B233="","",IF(D233&lt;&gt;"",D233,IF(AND(ISNUMBER(B233),ISNUMBER(C233)),IF(OR(WEEKDAY(B233,2)&gt;5,C233&lt;1,C233&gt;10),"",IF(INDEX(Timetable!$E$6:$I$15,C233,WEEKDAY(B233,2))="","",INDEX(Timetable!$E$6:$I$15,C233,WEEKDAY(B233,2)))),"")))</f>
        <v/>
      </c>
      <c r="J233" s="1" t="n"/>
      <c r="K233">
        <f>IF(AND(ISNUMBER(B233),ISNUMBER(C233)),B233*100+C233,"")</f>
        <v/>
      </c>
      <c r="L233">
        <f>IF(OR(G233="",NOT(ISNUMBER(B233))),"",IF(AND(B233&gt;=Settings!$C$6,B233&lt;=Settings!$C$6+6),B233*1000+ROW(),""))</f>
        <v/>
      </c>
    </row>
    <row r="234">
      <c r="A234" s="1" t="n"/>
      <c r="B234" s="28" t="n"/>
      <c r="C234" s="29" t="n"/>
      <c r="D234" s="30" t="n"/>
      <c r="E234" s="31" t="n"/>
      <c r="F234" s="32" t="n"/>
      <c r="G234" s="32" t="n"/>
      <c r="H234" s="33" t="n"/>
      <c r="I234" s="34">
        <f>IF(B234="","",IF(D234&lt;&gt;"",D234,IF(AND(ISNUMBER(B234),ISNUMBER(C234)),IF(OR(WEEKDAY(B234,2)&gt;5,C234&lt;1,C234&gt;10),"",IF(INDEX(Timetable!$E$6:$I$15,C234,WEEKDAY(B234,2))="","",INDEX(Timetable!$E$6:$I$15,C234,WEEKDAY(B234,2)))),"")))</f>
        <v/>
      </c>
      <c r="J234" s="1" t="n"/>
      <c r="K234">
        <f>IF(AND(ISNUMBER(B234),ISNUMBER(C234)),B234*100+C234,"")</f>
        <v/>
      </c>
      <c r="L234">
        <f>IF(OR(G234="",NOT(ISNUMBER(B234))),"",IF(AND(B234&gt;=Settings!$C$6,B234&lt;=Settings!$C$6+6),B234*1000+ROW(),""))</f>
        <v/>
      </c>
    </row>
    <row r="235">
      <c r="A235" s="1" t="n"/>
      <c r="B235" s="28" t="n"/>
      <c r="C235" s="29" t="n"/>
      <c r="D235" s="30" t="n"/>
      <c r="E235" s="31" t="n"/>
      <c r="F235" s="32" t="n"/>
      <c r="G235" s="32" t="n"/>
      <c r="H235" s="33" t="n"/>
      <c r="I235" s="34">
        <f>IF(B235="","",IF(D235&lt;&gt;"",D235,IF(AND(ISNUMBER(B235),ISNUMBER(C235)),IF(OR(WEEKDAY(B235,2)&gt;5,C235&lt;1,C235&gt;10),"",IF(INDEX(Timetable!$E$6:$I$15,C235,WEEKDAY(B235,2))="","",INDEX(Timetable!$E$6:$I$15,C235,WEEKDAY(B235,2)))),"")))</f>
        <v/>
      </c>
      <c r="J235" s="1" t="n"/>
      <c r="K235">
        <f>IF(AND(ISNUMBER(B235),ISNUMBER(C235)),B235*100+C235,"")</f>
        <v/>
      </c>
      <c r="L235">
        <f>IF(OR(G235="",NOT(ISNUMBER(B235))),"",IF(AND(B235&gt;=Settings!$C$6,B235&lt;=Settings!$C$6+6),B235*1000+ROW(),""))</f>
        <v/>
      </c>
    </row>
    <row r="236">
      <c r="A236" s="1" t="n"/>
      <c r="B236" s="28" t="n"/>
      <c r="C236" s="29" t="n"/>
      <c r="D236" s="30" t="n"/>
      <c r="E236" s="31" t="n"/>
      <c r="F236" s="32" t="n"/>
      <c r="G236" s="32" t="n"/>
      <c r="H236" s="33" t="n"/>
      <c r="I236" s="34">
        <f>IF(B236="","",IF(D236&lt;&gt;"",D236,IF(AND(ISNUMBER(B236),ISNUMBER(C236)),IF(OR(WEEKDAY(B236,2)&gt;5,C236&lt;1,C236&gt;10),"",IF(INDEX(Timetable!$E$6:$I$15,C236,WEEKDAY(B236,2))="","",INDEX(Timetable!$E$6:$I$15,C236,WEEKDAY(B236,2)))),"")))</f>
        <v/>
      </c>
      <c r="J236" s="1" t="n"/>
      <c r="K236">
        <f>IF(AND(ISNUMBER(B236),ISNUMBER(C236)),B236*100+C236,"")</f>
        <v/>
      </c>
      <c r="L236">
        <f>IF(OR(G236="",NOT(ISNUMBER(B236))),"",IF(AND(B236&gt;=Settings!$C$6,B236&lt;=Settings!$C$6+6),B236*1000+ROW(),""))</f>
        <v/>
      </c>
    </row>
    <row r="237">
      <c r="A237" s="1" t="n"/>
      <c r="B237" s="28" t="n"/>
      <c r="C237" s="29" t="n"/>
      <c r="D237" s="30" t="n"/>
      <c r="E237" s="31" t="n"/>
      <c r="F237" s="32" t="n"/>
      <c r="G237" s="32" t="n"/>
      <c r="H237" s="33" t="n"/>
      <c r="I237" s="34">
        <f>IF(B237="","",IF(D237&lt;&gt;"",D237,IF(AND(ISNUMBER(B237),ISNUMBER(C237)),IF(OR(WEEKDAY(B237,2)&gt;5,C237&lt;1,C237&gt;10),"",IF(INDEX(Timetable!$E$6:$I$15,C237,WEEKDAY(B237,2))="","",INDEX(Timetable!$E$6:$I$15,C237,WEEKDAY(B237,2)))),"")))</f>
        <v/>
      </c>
      <c r="J237" s="1" t="n"/>
      <c r="K237">
        <f>IF(AND(ISNUMBER(B237),ISNUMBER(C237)),B237*100+C237,"")</f>
        <v/>
      </c>
      <c r="L237">
        <f>IF(OR(G237="",NOT(ISNUMBER(B237))),"",IF(AND(B237&gt;=Settings!$C$6,B237&lt;=Settings!$C$6+6),B237*1000+ROW(),""))</f>
        <v/>
      </c>
    </row>
    <row r="238">
      <c r="A238" s="1" t="n"/>
      <c r="B238" s="28" t="n"/>
      <c r="C238" s="29" t="n"/>
      <c r="D238" s="30" t="n"/>
      <c r="E238" s="31" t="n"/>
      <c r="F238" s="32" t="n"/>
      <c r="G238" s="32" t="n"/>
      <c r="H238" s="33" t="n"/>
      <c r="I238" s="34">
        <f>IF(B238="","",IF(D238&lt;&gt;"",D238,IF(AND(ISNUMBER(B238),ISNUMBER(C238)),IF(OR(WEEKDAY(B238,2)&gt;5,C238&lt;1,C238&gt;10),"",IF(INDEX(Timetable!$E$6:$I$15,C238,WEEKDAY(B238,2))="","",INDEX(Timetable!$E$6:$I$15,C238,WEEKDAY(B238,2)))),"")))</f>
        <v/>
      </c>
      <c r="J238" s="1" t="n"/>
      <c r="K238">
        <f>IF(AND(ISNUMBER(B238),ISNUMBER(C238)),B238*100+C238,"")</f>
        <v/>
      </c>
      <c r="L238">
        <f>IF(OR(G238="",NOT(ISNUMBER(B238))),"",IF(AND(B238&gt;=Settings!$C$6,B238&lt;=Settings!$C$6+6),B238*1000+ROW(),""))</f>
        <v/>
      </c>
    </row>
    <row r="239">
      <c r="A239" s="1" t="n"/>
      <c r="B239" s="28" t="n"/>
      <c r="C239" s="29" t="n"/>
      <c r="D239" s="30" t="n"/>
      <c r="E239" s="31" t="n"/>
      <c r="F239" s="32" t="n"/>
      <c r="G239" s="32" t="n"/>
      <c r="H239" s="33" t="n"/>
      <c r="I239" s="34">
        <f>IF(B239="","",IF(D239&lt;&gt;"",D239,IF(AND(ISNUMBER(B239),ISNUMBER(C239)),IF(OR(WEEKDAY(B239,2)&gt;5,C239&lt;1,C239&gt;10),"",IF(INDEX(Timetable!$E$6:$I$15,C239,WEEKDAY(B239,2))="","",INDEX(Timetable!$E$6:$I$15,C239,WEEKDAY(B239,2)))),"")))</f>
        <v/>
      </c>
      <c r="J239" s="1" t="n"/>
      <c r="K239">
        <f>IF(AND(ISNUMBER(B239),ISNUMBER(C239)),B239*100+C239,"")</f>
        <v/>
      </c>
      <c r="L239">
        <f>IF(OR(G239="",NOT(ISNUMBER(B239))),"",IF(AND(B239&gt;=Settings!$C$6,B239&lt;=Settings!$C$6+6),B239*1000+ROW(),""))</f>
        <v/>
      </c>
    </row>
    <row r="240">
      <c r="A240" s="1" t="n"/>
      <c r="B240" s="28" t="n"/>
      <c r="C240" s="29" t="n"/>
      <c r="D240" s="30" t="n"/>
      <c r="E240" s="31" t="n"/>
      <c r="F240" s="32" t="n"/>
      <c r="G240" s="32" t="n"/>
      <c r="H240" s="33" t="n"/>
      <c r="I240" s="34">
        <f>IF(B240="","",IF(D240&lt;&gt;"",D240,IF(AND(ISNUMBER(B240),ISNUMBER(C240)),IF(OR(WEEKDAY(B240,2)&gt;5,C240&lt;1,C240&gt;10),"",IF(INDEX(Timetable!$E$6:$I$15,C240,WEEKDAY(B240,2))="","",INDEX(Timetable!$E$6:$I$15,C240,WEEKDAY(B240,2)))),"")))</f>
        <v/>
      </c>
      <c r="J240" s="1" t="n"/>
      <c r="K240">
        <f>IF(AND(ISNUMBER(B240),ISNUMBER(C240)),B240*100+C240,"")</f>
        <v/>
      </c>
      <c r="L240">
        <f>IF(OR(G240="",NOT(ISNUMBER(B240))),"",IF(AND(B240&gt;=Settings!$C$6,B240&lt;=Settings!$C$6+6),B240*1000+ROW(),""))</f>
        <v/>
      </c>
    </row>
    <row r="241">
      <c r="A241" s="1" t="n"/>
      <c r="B241" s="28" t="n"/>
      <c r="C241" s="29" t="n"/>
      <c r="D241" s="30" t="n"/>
      <c r="E241" s="31" t="n"/>
      <c r="F241" s="32" t="n"/>
      <c r="G241" s="32" t="n"/>
      <c r="H241" s="33" t="n"/>
      <c r="I241" s="34">
        <f>IF(B241="","",IF(D241&lt;&gt;"",D241,IF(AND(ISNUMBER(B241),ISNUMBER(C241)),IF(OR(WEEKDAY(B241,2)&gt;5,C241&lt;1,C241&gt;10),"",IF(INDEX(Timetable!$E$6:$I$15,C241,WEEKDAY(B241,2))="","",INDEX(Timetable!$E$6:$I$15,C241,WEEKDAY(B241,2)))),"")))</f>
        <v/>
      </c>
      <c r="J241" s="1" t="n"/>
      <c r="K241">
        <f>IF(AND(ISNUMBER(B241),ISNUMBER(C241)),B241*100+C241,"")</f>
        <v/>
      </c>
      <c r="L241">
        <f>IF(OR(G241="",NOT(ISNUMBER(B241))),"",IF(AND(B241&gt;=Settings!$C$6,B241&lt;=Settings!$C$6+6),B241*1000+ROW(),""))</f>
        <v/>
      </c>
    </row>
    <row r="242">
      <c r="A242" s="1" t="n"/>
      <c r="B242" s="28" t="n"/>
      <c r="C242" s="29" t="n"/>
      <c r="D242" s="30" t="n"/>
      <c r="E242" s="31" t="n"/>
      <c r="F242" s="32" t="n"/>
      <c r="G242" s="32" t="n"/>
      <c r="H242" s="33" t="n"/>
      <c r="I242" s="34">
        <f>IF(B242="","",IF(D242&lt;&gt;"",D242,IF(AND(ISNUMBER(B242),ISNUMBER(C242)),IF(OR(WEEKDAY(B242,2)&gt;5,C242&lt;1,C242&gt;10),"",IF(INDEX(Timetable!$E$6:$I$15,C242,WEEKDAY(B242,2))="","",INDEX(Timetable!$E$6:$I$15,C242,WEEKDAY(B242,2)))),"")))</f>
        <v/>
      </c>
      <c r="J242" s="1" t="n"/>
      <c r="K242">
        <f>IF(AND(ISNUMBER(B242),ISNUMBER(C242)),B242*100+C242,"")</f>
        <v/>
      </c>
      <c r="L242">
        <f>IF(OR(G242="",NOT(ISNUMBER(B242))),"",IF(AND(B242&gt;=Settings!$C$6,B242&lt;=Settings!$C$6+6),B242*1000+ROW(),""))</f>
        <v/>
      </c>
    </row>
    <row r="243">
      <c r="A243" s="1" t="n"/>
      <c r="B243" s="28" t="n"/>
      <c r="C243" s="29" t="n"/>
      <c r="D243" s="30" t="n"/>
      <c r="E243" s="31" t="n"/>
      <c r="F243" s="32" t="n"/>
      <c r="G243" s="32" t="n"/>
      <c r="H243" s="33" t="n"/>
      <c r="I243" s="34">
        <f>IF(B243="","",IF(D243&lt;&gt;"",D243,IF(AND(ISNUMBER(B243),ISNUMBER(C243)),IF(OR(WEEKDAY(B243,2)&gt;5,C243&lt;1,C243&gt;10),"",IF(INDEX(Timetable!$E$6:$I$15,C243,WEEKDAY(B243,2))="","",INDEX(Timetable!$E$6:$I$15,C243,WEEKDAY(B243,2)))),"")))</f>
        <v/>
      </c>
      <c r="J243" s="1" t="n"/>
      <c r="K243">
        <f>IF(AND(ISNUMBER(B243),ISNUMBER(C243)),B243*100+C243,"")</f>
        <v/>
      </c>
      <c r="L243">
        <f>IF(OR(G243="",NOT(ISNUMBER(B243))),"",IF(AND(B243&gt;=Settings!$C$6,B243&lt;=Settings!$C$6+6),B243*1000+ROW(),""))</f>
        <v/>
      </c>
    </row>
    <row r="244">
      <c r="A244" s="1" t="n"/>
      <c r="B244" s="28" t="n"/>
      <c r="C244" s="29" t="n"/>
      <c r="D244" s="30" t="n"/>
      <c r="E244" s="31" t="n"/>
      <c r="F244" s="32" t="n"/>
      <c r="G244" s="32" t="n"/>
      <c r="H244" s="33" t="n"/>
      <c r="I244" s="34">
        <f>IF(B244="","",IF(D244&lt;&gt;"",D244,IF(AND(ISNUMBER(B244),ISNUMBER(C244)),IF(OR(WEEKDAY(B244,2)&gt;5,C244&lt;1,C244&gt;10),"",IF(INDEX(Timetable!$E$6:$I$15,C244,WEEKDAY(B244,2))="","",INDEX(Timetable!$E$6:$I$15,C244,WEEKDAY(B244,2)))),"")))</f>
        <v/>
      </c>
      <c r="J244" s="1" t="n"/>
      <c r="K244">
        <f>IF(AND(ISNUMBER(B244),ISNUMBER(C244)),B244*100+C244,"")</f>
        <v/>
      </c>
      <c r="L244">
        <f>IF(OR(G244="",NOT(ISNUMBER(B244))),"",IF(AND(B244&gt;=Settings!$C$6,B244&lt;=Settings!$C$6+6),B244*1000+ROW(),""))</f>
        <v/>
      </c>
    </row>
    <row r="245">
      <c r="A245" s="1" t="n"/>
      <c r="B245" s="28" t="n"/>
      <c r="C245" s="29" t="n"/>
      <c r="D245" s="30" t="n"/>
      <c r="E245" s="31" t="n"/>
      <c r="F245" s="32" t="n"/>
      <c r="G245" s="32" t="n"/>
      <c r="H245" s="33" t="n"/>
      <c r="I245" s="34">
        <f>IF(B245="","",IF(D245&lt;&gt;"",D245,IF(AND(ISNUMBER(B245),ISNUMBER(C245)),IF(OR(WEEKDAY(B245,2)&gt;5,C245&lt;1,C245&gt;10),"",IF(INDEX(Timetable!$E$6:$I$15,C245,WEEKDAY(B245,2))="","",INDEX(Timetable!$E$6:$I$15,C245,WEEKDAY(B245,2)))),"")))</f>
        <v/>
      </c>
      <c r="J245" s="1" t="n"/>
      <c r="K245">
        <f>IF(AND(ISNUMBER(B245),ISNUMBER(C245)),B245*100+C245,"")</f>
        <v/>
      </c>
      <c r="L245">
        <f>IF(OR(G245="",NOT(ISNUMBER(B245))),"",IF(AND(B245&gt;=Settings!$C$6,B245&lt;=Settings!$C$6+6),B245*1000+ROW(),""))</f>
        <v/>
      </c>
    </row>
    <row r="246">
      <c r="A246" s="1" t="n"/>
      <c r="B246" s="28" t="n"/>
      <c r="C246" s="29" t="n"/>
      <c r="D246" s="30" t="n"/>
      <c r="E246" s="31" t="n"/>
      <c r="F246" s="32" t="n"/>
      <c r="G246" s="32" t="n"/>
      <c r="H246" s="33" t="n"/>
      <c r="I246" s="34">
        <f>IF(B246="","",IF(D246&lt;&gt;"",D246,IF(AND(ISNUMBER(B246),ISNUMBER(C246)),IF(OR(WEEKDAY(B246,2)&gt;5,C246&lt;1,C246&gt;10),"",IF(INDEX(Timetable!$E$6:$I$15,C246,WEEKDAY(B246,2))="","",INDEX(Timetable!$E$6:$I$15,C246,WEEKDAY(B246,2)))),"")))</f>
        <v/>
      </c>
      <c r="J246" s="1" t="n"/>
      <c r="K246">
        <f>IF(AND(ISNUMBER(B246),ISNUMBER(C246)),B246*100+C246,"")</f>
        <v/>
      </c>
      <c r="L246">
        <f>IF(OR(G246="",NOT(ISNUMBER(B246))),"",IF(AND(B246&gt;=Settings!$C$6,B246&lt;=Settings!$C$6+6),B246*1000+ROW(),""))</f>
        <v/>
      </c>
    </row>
    <row r="247">
      <c r="A247" s="1" t="n"/>
      <c r="B247" s="28" t="n"/>
      <c r="C247" s="29" t="n"/>
      <c r="D247" s="30" t="n"/>
      <c r="E247" s="31" t="n"/>
      <c r="F247" s="32" t="n"/>
      <c r="G247" s="32" t="n"/>
      <c r="H247" s="33" t="n"/>
      <c r="I247" s="34">
        <f>IF(B247="","",IF(D247&lt;&gt;"",D247,IF(AND(ISNUMBER(B247),ISNUMBER(C247)),IF(OR(WEEKDAY(B247,2)&gt;5,C247&lt;1,C247&gt;10),"",IF(INDEX(Timetable!$E$6:$I$15,C247,WEEKDAY(B247,2))="","",INDEX(Timetable!$E$6:$I$15,C247,WEEKDAY(B247,2)))),"")))</f>
        <v/>
      </c>
      <c r="J247" s="1" t="n"/>
      <c r="K247">
        <f>IF(AND(ISNUMBER(B247),ISNUMBER(C247)),B247*100+C247,"")</f>
        <v/>
      </c>
      <c r="L247">
        <f>IF(OR(G247="",NOT(ISNUMBER(B247))),"",IF(AND(B247&gt;=Settings!$C$6,B247&lt;=Settings!$C$6+6),B247*1000+ROW(),""))</f>
        <v/>
      </c>
    </row>
    <row r="248">
      <c r="A248" s="1" t="n"/>
      <c r="B248" s="28" t="n"/>
      <c r="C248" s="29" t="n"/>
      <c r="D248" s="30" t="n"/>
      <c r="E248" s="31" t="n"/>
      <c r="F248" s="32" t="n"/>
      <c r="G248" s="32" t="n"/>
      <c r="H248" s="33" t="n"/>
      <c r="I248" s="34">
        <f>IF(B248="","",IF(D248&lt;&gt;"",D248,IF(AND(ISNUMBER(B248),ISNUMBER(C248)),IF(OR(WEEKDAY(B248,2)&gt;5,C248&lt;1,C248&gt;10),"",IF(INDEX(Timetable!$E$6:$I$15,C248,WEEKDAY(B248,2))="","",INDEX(Timetable!$E$6:$I$15,C248,WEEKDAY(B248,2)))),"")))</f>
        <v/>
      </c>
      <c r="J248" s="1" t="n"/>
      <c r="K248">
        <f>IF(AND(ISNUMBER(B248),ISNUMBER(C248)),B248*100+C248,"")</f>
        <v/>
      </c>
      <c r="L248">
        <f>IF(OR(G248="",NOT(ISNUMBER(B248))),"",IF(AND(B248&gt;=Settings!$C$6,B248&lt;=Settings!$C$6+6),B248*1000+ROW(),""))</f>
        <v/>
      </c>
    </row>
    <row r="249">
      <c r="A249" s="1" t="n"/>
      <c r="B249" s="28" t="n"/>
      <c r="C249" s="29" t="n"/>
      <c r="D249" s="30" t="n"/>
      <c r="E249" s="31" t="n"/>
      <c r="F249" s="32" t="n"/>
      <c r="G249" s="32" t="n"/>
      <c r="H249" s="33" t="n"/>
      <c r="I249" s="34">
        <f>IF(B249="","",IF(D249&lt;&gt;"",D249,IF(AND(ISNUMBER(B249),ISNUMBER(C249)),IF(OR(WEEKDAY(B249,2)&gt;5,C249&lt;1,C249&gt;10),"",IF(INDEX(Timetable!$E$6:$I$15,C249,WEEKDAY(B249,2))="","",INDEX(Timetable!$E$6:$I$15,C249,WEEKDAY(B249,2)))),"")))</f>
        <v/>
      </c>
      <c r="J249" s="1" t="n"/>
      <c r="K249">
        <f>IF(AND(ISNUMBER(B249),ISNUMBER(C249)),B249*100+C249,"")</f>
        <v/>
      </c>
      <c r="L249">
        <f>IF(OR(G249="",NOT(ISNUMBER(B249))),"",IF(AND(B249&gt;=Settings!$C$6,B249&lt;=Settings!$C$6+6),B249*1000+ROW(),""))</f>
        <v/>
      </c>
    </row>
    <row r="250">
      <c r="A250" s="1" t="n"/>
      <c r="B250" s="28" t="n"/>
      <c r="C250" s="29" t="n"/>
      <c r="D250" s="30" t="n"/>
      <c r="E250" s="31" t="n"/>
      <c r="F250" s="32" t="n"/>
      <c r="G250" s="32" t="n"/>
      <c r="H250" s="33" t="n"/>
      <c r="I250" s="34">
        <f>IF(B250="","",IF(D250&lt;&gt;"",D250,IF(AND(ISNUMBER(B250),ISNUMBER(C250)),IF(OR(WEEKDAY(B250,2)&gt;5,C250&lt;1,C250&gt;10),"",IF(INDEX(Timetable!$E$6:$I$15,C250,WEEKDAY(B250,2))="","",INDEX(Timetable!$E$6:$I$15,C250,WEEKDAY(B250,2)))),"")))</f>
        <v/>
      </c>
      <c r="J250" s="1" t="n"/>
      <c r="K250">
        <f>IF(AND(ISNUMBER(B250),ISNUMBER(C250)),B250*100+C250,"")</f>
        <v/>
      </c>
      <c r="L250">
        <f>IF(OR(G250="",NOT(ISNUMBER(B250))),"",IF(AND(B250&gt;=Settings!$C$6,B250&lt;=Settings!$C$6+6),B250*1000+ROW(),""))</f>
        <v/>
      </c>
    </row>
    <row r="251">
      <c r="A251" s="1" t="n"/>
      <c r="B251" s="28" t="n"/>
      <c r="C251" s="29" t="n"/>
      <c r="D251" s="30" t="n"/>
      <c r="E251" s="31" t="n"/>
      <c r="F251" s="32" t="n"/>
      <c r="G251" s="32" t="n"/>
      <c r="H251" s="33" t="n"/>
      <c r="I251" s="34">
        <f>IF(B251="","",IF(D251&lt;&gt;"",D251,IF(AND(ISNUMBER(B251),ISNUMBER(C251)),IF(OR(WEEKDAY(B251,2)&gt;5,C251&lt;1,C251&gt;10),"",IF(INDEX(Timetable!$E$6:$I$15,C251,WEEKDAY(B251,2))="","",INDEX(Timetable!$E$6:$I$15,C251,WEEKDAY(B251,2)))),"")))</f>
        <v/>
      </c>
      <c r="J251" s="1" t="n"/>
      <c r="K251">
        <f>IF(AND(ISNUMBER(B251),ISNUMBER(C251)),B251*100+C251,"")</f>
        <v/>
      </c>
      <c r="L251">
        <f>IF(OR(G251="",NOT(ISNUMBER(B251))),"",IF(AND(B251&gt;=Settings!$C$6,B251&lt;=Settings!$C$6+6),B251*1000+ROW(),""))</f>
        <v/>
      </c>
    </row>
    <row r="252">
      <c r="A252" s="1" t="n"/>
      <c r="B252" s="28" t="n"/>
      <c r="C252" s="29" t="n"/>
      <c r="D252" s="30" t="n"/>
      <c r="E252" s="31" t="n"/>
      <c r="F252" s="32" t="n"/>
      <c r="G252" s="32" t="n"/>
      <c r="H252" s="33" t="n"/>
      <c r="I252" s="34">
        <f>IF(B252="","",IF(D252&lt;&gt;"",D252,IF(AND(ISNUMBER(B252),ISNUMBER(C252)),IF(OR(WEEKDAY(B252,2)&gt;5,C252&lt;1,C252&gt;10),"",IF(INDEX(Timetable!$E$6:$I$15,C252,WEEKDAY(B252,2))="","",INDEX(Timetable!$E$6:$I$15,C252,WEEKDAY(B252,2)))),"")))</f>
        <v/>
      </c>
      <c r="J252" s="1" t="n"/>
      <c r="K252">
        <f>IF(AND(ISNUMBER(B252),ISNUMBER(C252)),B252*100+C252,"")</f>
        <v/>
      </c>
      <c r="L252">
        <f>IF(OR(G252="",NOT(ISNUMBER(B252))),"",IF(AND(B252&gt;=Settings!$C$6,B252&lt;=Settings!$C$6+6),B252*1000+ROW(),""))</f>
        <v/>
      </c>
    </row>
    <row r="253">
      <c r="A253" s="1" t="n"/>
      <c r="B253" s="28" t="n"/>
      <c r="C253" s="29" t="n"/>
      <c r="D253" s="30" t="n"/>
      <c r="E253" s="31" t="n"/>
      <c r="F253" s="32" t="n"/>
      <c r="G253" s="32" t="n"/>
      <c r="H253" s="33" t="n"/>
      <c r="I253" s="34">
        <f>IF(B253="","",IF(D253&lt;&gt;"",D253,IF(AND(ISNUMBER(B253),ISNUMBER(C253)),IF(OR(WEEKDAY(B253,2)&gt;5,C253&lt;1,C253&gt;10),"",IF(INDEX(Timetable!$E$6:$I$15,C253,WEEKDAY(B253,2))="","",INDEX(Timetable!$E$6:$I$15,C253,WEEKDAY(B253,2)))),"")))</f>
        <v/>
      </c>
      <c r="J253" s="1" t="n"/>
      <c r="K253">
        <f>IF(AND(ISNUMBER(B253),ISNUMBER(C253)),B253*100+C253,"")</f>
        <v/>
      </c>
      <c r="L253">
        <f>IF(OR(G253="",NOT(ISNUMBER(B253))),"",IF(AND(B253&gt;=Settings!$C$6,B253&lt;=Settings!$C$6+6),B253*1000+ROW(),""))</f>
        <v/>
      </c>
    </row>
    <row r="254">
      <c r="A254" s="1" t="n"/>
      <c r="B254" s="28" t="n"/>
      <c r="C254" s="29" t="n"/>
      <c r="D254" s="30" t="n"/>
      <c r="E254" s="31" t="n"/>
      <c r="F254" s="32" t="n"/>
      <c r="G254" s="32" t="n"/>
      <c r="H254" s="33" t="n"/>
      <c r="I254" s="34">
        <f>IF(B254="","",IF(D254&lt;&gt;"",D254,IF(AND(ISNUMBER(B254),ISNUMBER(C254)),IF(OR(WEEKDAY(B254,2)&gt;5,C254&lt;1,C254&gt;10),"",IF(INDEX(Timetable!$E$6:$I$15,C254,WEEKDAY(B254,2))="","",INDEX(Timetable!$E$6:$I$15,C254,WEEKDAY(B254,2)))),"")))</f>
        <v/>
      </c>
      <c r="J254" s="1" t="n"/>
      <c r="K254">
        <f>IF(AND(ISNUMBER(B254),ISNUMBER(C254)),B254*100+C254,"")</f>
        <v/>
      </c>
      <c r="L254">
        <f>IF(OR(G254="",NOT(ISNUMBER(B254))),"",IF(AND(B254&gt;=Settings!$C$6,B254&lt;=Settings!$C$6+6),B254*1000+ROW(),""))</f>
        <v/>
      </c>
    </row>
    <row r="255">
      <c r="A255" s="1" t="n"/>
      <c r="B255" s="28" t="n"/>
      <c r="C255" s="29" t="n"/>
      <c r="D255" s="30" t="n"/>
      <c r="E255" s="31" t="n"/>
      <c r="F255" s="32" t="n"/>
      <c r="G255" s="32" t="n"/>
      <c r="H255" s="33" t="n"/>
      <c r="I255" s="34">
        <f>IF(B255="","",IF(D255&lt;&gt;"",D255,IF(AND(ISNUMBER(B255),ISNUMBER(C255)),IF(OR(WEEKDAY(B255,2)&gt;5,C255&lt;1,C255&gt;10),"",IF(INDEX(Timetable!$E$6:$I$15,C255,WEEKDAY(B255,2))="","",INDEX(Timetable!$E$6:$I$15,C255,WEEKDAY(B255,2)))),"")))</f>
        <v/>
      </c>
      <c r="J255" s="1" t="n"/>
      <c r="K255">
        <f>IF(AND(ISNUMBER(B255),ISNUMBER(C255)),B255*100+C255,"")</f>
        <v/>
      </c>
      <c r="L255">
        <f>IF(OR(G255="",NOT(ISNUMBER(B255))),"",IF(AND(B255&gt;=Settings!$C$6,B255&lt;=Settings!$C$6+6),B255*1000+ROW(),""))</f>
        <v/>
      </c>
    </row>
    <row r="256">
      <c r="A256" s="1" t="n"/>
      <c r="B256" s="28" t="n"/>
      <c r="C256" s="29" t="n"/>
      <c r="D256" s="30" t="n"/>
      <c r="E256" s="31" t="n"/>
      <c r="F256" s="32" t="n"/>
      <c r="G256" s="32" t="n"/>
      <c r="H256" s="33" t="n"/>
      <c r="I256" s="34">
        <f>IF(B256="","",IF(D256&lt;&gt;"",D256,IF(AND(ISNUMBER(B256),ISNUMBER(C256)),IF(OR(WEEKDAY(B256,2)&gt;5,C256&lt;1,C256&gt;10),"",IF(INDEX(Timetable!$E$6:$I$15,C256,WEEKDAY(B256,2))="","",INDEX(Timetable!$E$6:$I$15,C256,WEEKDAY(B256,2)))),"")))</f>
        <v/>
      </c>
      <c r="J256" s="1" t="n"/>
      <c r="K256">
        <f>IF(AND(ISNUMBER(B256),ISNUMBER(C256)),B256*100+C256,"")</f>
        <v/>
      </c>
      <c r="L256">
        <f>IF(OR(G256="",NOT(ISNUMBER(B256))),"",IF(AND(B256&gt;=Settings!$C$6,B256&lt;=Settings!$C$6+6),B256*1000+ROW(),""))</f>
        <v/>
      </c>
    </row>
    <row r="257">
      <c r="A257" s="1" t="n"/>
      <c r="B257" s="28" t="n"/>
      <c r="C257" s="29" t="n"/>
      <c r="D257" s="30" t="n"/>
      <c r="E257" s="31" t="n"/>
      <c r="F257" s="32" t="n"/>
      <c r="G257" s="32" t="n"/>
      <c r="H257" s="33" t="n"/>
      <c r="I257" s="34">
        <f>IF(B257="","",IF(D257&lt;&gt;"",D257,IF(AND(ISNUMBER(B257),ISNUMBER(C257)),IF(OR(WEEKDAY(B257,2)&gt;5,C257&lt;1,C257&gt;10),"",IF(INDEX(Timetable!$E$6:$I$15,C257,WEEKDAY(B257,2))="","",INDEX(Timetable!$E$6:$I$15,C257,WEEKDAY(B257,2)))),"")))</f>
        <v/>
      </c>
      <c r="J257" s="1" t="n"/>
      <c r="K257">
        <f>IF(AND(ISNUMBER(B257),ISNUMBER(C257)),B257*100+C257,"")</f>
        <v/>
      </c>
      <c r="L257">
        <f>IF(OR(G257="",NOT(ISNUMBER(B257))),"",IF(AND(B257&gt;=Settings!$C$6,B257&lt;=Settings!$C$6+6),B257*1000+ROW(),""))</f>
        <v/>
      </c>
    </row>
    <row r="258">
      <c r="A258" s="1" t="n"/>
      <c r="B258" s="28" t="n"/>
      <c r="C258" s="29" t="n"/>
      <c r="D258" s="30" t="n"/>
      <c r="E258" s="31" t="n"/>
      <c r="F258" s="32" t="n"/>
      <c r="G258" s="32" t="n"/>
      <c r="H258" s="33" t="n"/>
      <c r="I258" s="34">
        <f>IF(B258="","",IF(D258&lt;&gt;"",D258,IF(AND(ISNUMBER(B258),ISNUMBER(C258)),IF(OR(WEEKDAY(B258,2)&gt;5,C258&lt;1,C258&gt;10),"",IF(INDEX(Timetable!$E$6:$I$15,C258,WEEKDAY(B258,2))="","",INDEX(Timetable!$E$6:$I$15,C258,WEEKDAY(B258,2)))),"")))</f>
        <v/>
      </c>
      <c r="J258" s="1" t="n"/>
      <c r="K258">
        <f>IF(AND(ISNUMBER(B258),ISNUMBER(C258)),B258*100+C258,"")</f>
        <v/>
      </c>
      <c r="L258">
        <f>IF(OR(G258="",NOT(ISNUMBER(B258))),"",IF(AND(B258&gt;=Settings!$C$6,B258&lt;=Settings!$C$6+6),B258*1000+ROW(),""))</f>
        <v/>
      </c>
    </row>
    <row r="259">
      <c r="A259" s="1" t="n"/>
      <c r="B259" s="28" t="n"/>
      <c r="C259" s="29" t="n"/>
      <c r="D259" s="30" t="n"/>
      <c r="E259" s="31" t="n"/>
      <c r="F259" s="32" t="n"/>
      <c r="G259" s="32" t="n"/>
      <c r="H259" s="33" t="n"/>
      <c r="I259" s="34">
        <f>IF(B259="","",IF(D259&lt;&gt;"",D259,IF(AND(ISNUMBER(B259),ISNUMBER(C259)),IF(OR(WEEKDAY(B259,2)&gt;5,C259&lt;1,C259&gt;10),"",IF(INDEX(Timetable!$E$6:$I$15,C259,WEEKDAY(B259,2))="","",INDEX(Timetable!$E$6:$I$15,C259,WEEKDAY(B259,2)))),"")))</f>
        <v/>
      </c>
      <c r="J259" s="1" t="n"/>
      <c r="K259">
        <f>IF(AND(ISNUMBER(B259),ISNUMBER(C259)),B259*100+C259,"")</f>
        <v/>
      </c>
      <c r="L259">
        <f>IF(OR(G259="",NOT(ISNUMBER(B259))),"",IF(AND(B259&gt;=Settings!$C$6,B259&lt;=Settings!$C$6+6),B259*1000+ROW(),""))</f>
        <v/>
      </c>
    </row>
    <row r="260">
      <c r="A260" s="1" t="n"/>
      <c r="B260" s="28" t="n"/>
      <c r="C260" s="29" t="n"/>
      <c r="D260" s="30" t="n"/>
      <c r="E260" s="31" t="n"/>
      <c r="F260" s="32" t="n"/>
      <c r="G260" s="32" t="n"/>
      <c r="H260" s="33" t="n"/>
      <c r="I260" s="34">
        <f>IF(B260="","",IF(D260&lt;&gt;"",D260,IF(AND(ISNUMBER(B260),ISNUMBER(C260)),IF(OR(WEEKDAY(B260,2)&gt;5,C260&lt;1,C260&gt;10),"",IF(INDEX(Timetable!$E$6:$I$15,C260,WEEKDAY(B260,2))="","",INDEX(Timetable!$E$6:$I$15,C260,WEEKDAY(B260,2)))),"")))</f>
        <v/>
      </c>
      <c r="J260" s="1" t="n"/>
      <c r="K260">
        <f>IF(AND(ISNUMBER(B260),ISNUMBER(C260)),B260*100+C260,"")</f>
        <v/>
      </c>
      <c r="L260">
        <f>IF(OR(G260="",NOT(ISNUMBER(B260))),"",IF(AND(B260&gt;=Settings!$C$6,B260&lt;=Settings!$C$6+6),B260*1000+ROW(),""))</f>
        <v/>
      </c>
    </row>
    <row r="261">
      <c r="A261" s="1" t="n"/>
      <c r="B261" s="28" t="n"/>
      <c r="C261" s="29" t="n"/>
      <c r="D261" s="30" t="n"/>
      <c r="E261" s="31" t="n"/>
      <c r="F261" s="32" t="n"/>
      <c r="G261" s="32" t="n"/>
      <c r="H261" s="33" t="n"/>
      <c r="I261" s="34">
        <f>IF(B261="","",IF(D261&lt;&gt;"",D261,IF(AND(ISNUMBER(B261),ISNUMBER(C261)),IF(OR(WEEKDAY(B261,2)&gt;5,C261&lt;1,C261&gt;10),"",IF(INDEX(Timetable!$E$6:$I$15,C261,WEEKDAY(B261,2))="","",INDEX(Timetable!$E$6:$I$15,C261,WEEKDAY(B261,2)))),"")))</f>
        <v/>
      </c>
      <c r="J261" s="1" t="n"/>
      <c r="K261">
        <f>IF(AND(ISNUMBER(B261),ISNUMBER(C261)),B261*100+C261,"")</f>
        <v/>
      </c>
      <c r="L261">
        <f>IF(OR(G261="",NOT(ISNUMBER(B261))),"",IF(AND(B261&gt;=Settings!$C$6,B261&lt;=Settings!$C$6+6),B261*1000+ROW(),""))</f>
        <v/>
      </c>
    </row>
    <row r="262">
      <c r="A262" s="1" t="n"/>
      <c r="B262" s="28" t="n"/>
      <c r="C262" s="29" t="n"/>
      <c r="D262" s="30" t="n"/>
      <c r="E262" s="31" t="n"/>
      <c r="F262" s="32" t="n"/>
      <c r="G262" s="32" t="n"/>
      <c r="H262" s="33" t="n"/>
      <c r="I262" s="34">
        <f>IF(B262="","",IF(D262&lt;&gt;"",D262,IF(AND(ISNUMBER(B262),ISNUMBER(C262)),IF(OR(WEEKDAY(B262,2)&gt;5,C262&lt;1,C262&gt;10),"",IF(INDEX(Timetable!$E$6:$I$15,C262,WEEKDAY(B262,2))="","",INDEX(Timetable!$E$6:$I$15,C262,WEEKDAY(B262,2)))),"")))</f>
        <v/>
      </c>
      <c r="J262" s="1" t="n"/>
      <c r="K262">
        <f>IF(AND(ISNUMBER(B262),ISNUMBER(C262)),B262*100+C262,"")</f>
        <v/>
      </c>
      <c r="L262">
        <f>IF(OR(G262="",NOT(ISNUMBER(B262))),"",IF(AND(B262&gt;=Settings!$C$6,B262&lt;=Settings!$C$6+6),B262*1000+ROW(),""))</f>
        <v/>
      </c>
    </row>
    <row r="263">
      <c r="A263" s="1" t="n"/>
      <c r="B263" s="28" t="n"/>
      <c r="C263" s="29" t="n"/>
      <c r="D263" s="30" t="n"/>
      <c r="E263" s="31" t="n"/>
      <c r="F263" s="32" t="n"/>
      <c r="G263" s="32" t="n"/>
      <c r="H263" s="33" t="n"/>
      <c r="I263" s="34">
        <f>IF(B263="","",IF(D263&lt;&gt;"",D263,IF(AND(ISNUMBER(B263),ISNUMBER(C263)),IF(OR(WEEKDAY(B263,2)&gt;5,C263&lt;1,C263&gt;10),"",IF(INDEX(Timetable!$E$6:$I$15,C263,WEEKDAY(B263,2))="","",INDEX(Timetable!$E$6:$I$15,C263,WEEKDAY(B263,2)))),"")))</f>
        <v/>
      </c>
      <c r="J263" s="1" t="n"/>
      <c r="K263">
        <f>IF(AND(ISNUMBER(B263),ISNUMBER(C263)),B263*100+C263,"")</f>
        <v/>
      </c>
      <c r="L263">
        <f>IF(OR(G263="",NOT(ISNUMBER(B263))),"",IF(AND(B263&gt;=Settings!$C$6,B263&lt;=Settings!$C$6+6),B263*1000+ROW(),""))</f>
        <v/>
      </c>
    </row>
    <row r="264">
      <c r="A264" s="1" t="n"/>
      <c r="B264" s="28" t="n"/>
      <c r="C264" s="29" t="n"/>
      <c r="D264" s="30" t="n"/>
      <c r="E264" s="31" t="n"/>
      <c r="F264" s="32" t="n"/>
      <c r="G264" s="32" t="n"/>
      <c r="H264" s="33" t="n"/>
      <c r="I264" s="34">
        <f>IF(B264="","",IF(D264&lt;&gt;"",D264,IF(AND(ISNUMBER(B264),ISNUMBER(C264)),IF(OR(WEEKDAY(B264,2)&gt;5,C264&lt;1,C264&gt;10),"",IF(INDEX(Timetable!$E$6:$I$15,C264,WEEKDAY(B264,2))="","",INDEX(Timetable!$E$6:$I$15,C264,WEEKDAY(B264,2)))),"")))</f>
        <v/>
      </c>
      <c r="J264" s="1" t="n"/>
      <c r="K264">
        <f>IF(AND(ISNUMBER(B264),ISNUMBER(C264)),B264*100+C264,"")</f>
        <v/>
      </c>
      <c r="L264">
        <f>IF(OR(G264="",NOT(ISNUMBER(B264))),"",IF(AND(B264&gt;=Settings!$C$6,B264&lt;=Settings!$C$6+6),B264*1000+ROW(),""))</f>
        <v/>
      </c>
    </row>
    <row r="265">
      <c r="A265" s="1" t="n"/>
      <c r="B265" s="28" t="n"/>
      <c r="C265" s="29" t="n"/>
      <c r="D265" s="30" t="n"/>
      <c r="E265" s="31" t="n"/>
      <c r="F265" s="32" t="n"/>
      <c r="G265" s="32" t="n"/>
      <c r="H265" s="33" t="n"/>
      <c r="I265" s="34">
        <f>IF(B265="","",IF(D265&lt;&gt;"",D265,IF(AND(ISNUMBER(B265),ISNUMBER(C265)),IF(OR(WEEKDAY(B265,2)&gt;5,C265&lt;1,C265&gt;10),"",IF(INDEX(Timetable!$E$6:$I$15,C265,WEEKDAY(B265,2))="","",INDEX(Timetable!$E$6:$I$15,C265,WEEKDAY(B265,2)))),"")))</f>
        <v/>
      </c>
      <c r="J265" s="1" t="n"/>
      <c r="K265">
        <f>IF(AND(ISNUMBER(B265),ISNUMBER(C265)),B265*100+C265,"")</f>
        <v/>
      </c>
      <c r="L265">
        <f>IF(OR(G265="",NOT(ISNUMBER(B265))),"",IF(AND(B265&gt;=Settings!$C$6,B265&lt;=Settings!$C$6+6),B265*1000+ROW(),""))</f>
        <v/>
      </c>
    </row>
    <row r="266">
      <c r="A266" s="1" t="n"/>
      <c r="B266" s="28" t="n"/>
      <c r="C266" s="29" t="n"/>
      <c r="D266" s="30" t="n"/>
      <c r="E266" s="31" t="n"/>
      <c r="F266" s="32" t="n"/>
      <c r="G266" s="32" t="n"/>
      <c r="H266" s="33" t="n"/>
      <c r="I266" s="34">
        <f>IF(B266="","",IF(D266&lt;&gt;"",D266,IF(AND(ISNUMBER(B266),ISNUMBER(C266)),IF(OR(WEEKDAY(B266,2)&gt;5,C266&lt;1,C266&gt;10),"",IF(INDEX(Timetable!$E$6:$I$15,C266,WEEKDAY(B266,2))="","",INDEX(Timetable!$E$6:$I$15,C266,WEEKDAY(B266,2)))),"")))</f>
        <v/>
      </c>
      <c r="J266" s="1" t="n"/>
      <c r="K266">
        <f>IF(AND(ISNUMBER(B266),ISNUMBER(C266)),B266*100+C266,"")</f>
        <v/>
      </c>
      <c r="L266">
        <f>IF(OR(G266="",NOT(ISNUMBER(B266))),"",IF(AND(B266&gt;=Settings!$C$6,B266&lt;=Settings!$C$6+6),B266*1000+ROW(),""))</f>
        <v/>
      </c>
    </row>
    <row r="267">
      <c r="A267" s="1" t="n"/>
      <c r="B267" s="28" t="n"/>
      <c r="C267" s="29" t="n"/>
      <c r="D267" s="30" t="n"/>
      <c r="E267" s="31" t="n"/>
      <c r="F267" s="32" t="n"/>
      <c r="G267" s="32" t="n"/>
      <c r="H267" s="33" t="n"/>
      <c r="I267" s="34">
        <f>IF(B267="","",IF(D267&lt;&gt;"",D267,IF(AND(ISNUMBER(B267),ISNUMBER(C267)),IF(OR(WEEKDAY(B267,2)&gt;5,C267&lt;1,C267&gt;10),"",IF(INDEX(Timetable!$E$6:$I$15,C267,WEEKDAY(B267,2))="","",INDEX(Timetable!$E$6:$I$15,C267,WEEKDAY(B267,2)))),"")))</f>
        <v/>
      </c>
      <c r="J267" s="1" t="n"/>
      <c r="K267">
        <f>IF(AND(ISNUMBER(B267),ISNUMBER(C267)),B267*100+C267,"")</f>
        <v/>
      </c>
      <c r="L267">
        <f>IF(OR(G267="",NOT(ISNUMBER(B267))),"",IF(AND(B267&gt;=Settings!$C$6,B267&lt;=Settings!$C$6+6),B267*1000+ROW(),""))</f>
        <v/>
      </c>
    </row>
    <row r="268">
      <c r="A268" s="1" t="n"/>
      <c r="B268" s="28" t="n"/>
      <c r="C268" s="29" t="n"/>
      <c r="D268" s="30" t="n"/>
      <c r="E268" s="31" t="n"/>
      <c r="F268" s="32" t="n"/>
      <c r="G268" s="32" t="n"/>
      <c r="H268" s="33" t="n"/>
      <c r="I268" s="34">
        <f>IF(B268="","",IF(D268&lt;&gt;"",D268,IF(AND(ISNUMBER(B268),ISNUMBER(C268)),IF(OR(WEEKDAY(B268,2)&gt;5,C268&lt;1,C268&gt;10),"",IF(INDEX(Timetable!$E$6:$I$15,C268,WEEKDAY(B268,2))="","",INDEX(Timetable!$E$6:$I$15,C268,WEEKDAY(B268,2)))),"")))</f>
        <v/>
      </c>
      <c r="J268" s="1" t="n"/>
      <c r="K268">
        <f>IF(AND(ISNUMBER(B268),ISNUMBER(C268)),B268*100+C268,"")</f>
        <v/>
      </c>
      <c r="L268">
        <f>IF(OR(G268="",NOT(ISNUMBER(B268))),"",IF(AND(B268&gt;=Settings!$C$6,B268&lt;=Settings!$C$6+6),B268*1000+ROW(),""))</f>
        <v/>
      </c>
    </row>
    <row r="269">
      <c r="A269" s="1" t="n"/>
      <c r="B269" s="28" t="n"/>
      <c r="C269" s="29" t="n"/>
      <c r="D269" s="30" t="n"/>
      <c r="E269" s="31" t="n"/>
      <c r="F269" s="32" t="n"/>
      <c r="G269" s="32" t="n"/>
      <c r="H269" s="33" t="n"/>
      <c r="I269" s="34">
        <f>IF(B269="","",IF(D269&lt;&gt;"",D269,IF(AND(ISNUMBER(B269),ISNUMBER(C269)),IF(OR(WEEKDAY(B269,2)&gt;5,C269&lt;1,C269&gt;10),"",IF(INDEX(Timetable!$E$6:$I$15,C269,WEEKDAY(B269,2))="","",INDEX(Timetable!$E$6:$I$15,C269,WEEKDAY(B269,2)))),"")))</f>
        <v/>
      </c>
      <c r="J269" s="1" t="n"/>
      <c r="K269">
        <f>IF(AND(ISNUMBER(B269),ISNUMBER(C269)),B269*100+C269,"")</f>
        <v/>
      </c>
      <c r="L269">
        <f>IF(OR(G269="",NOT(ISNUMBER(B269))),"",IF(AND(B269&gt;=Settings!$C$6,B269&lt;=Settings!$C$6+6),B269*1000+ROW(),""))</f>
        <v/>
      </c>
    </row>
    <row r="270">
      <c r="A270" s="1" t="n"/>
      <c r="B270" s="28" t="n"/>
      <c r="C270" s="29" t="n"/>
      <c r="D270" s="30" t="n"/>
      <c r="E270" s="31" t="n"/>
      <c r="F270" s="32" t="n"/>
      <c r="G270" s="32" t="n"/>
      <c r="H270" s="33" t="n"/>
      <c r="I270" s="34">
        <f>IF(B270="","",IF(D270&lt;&gt;"",D270,IF(AND(ISNUMBER(B270),ISNUMBER(C270)),IF(OR(WEEKDAY(B270,2)&gt;5,C270&lt;1,C270&gt;10),"",IF(INDEX(Timetable!$E$6:$I$15,C270,WEEKDAY(B270,2))="","",INDEX(Timetable!$E$6:$I$15,C270,WEEKDAY(B270,2)))),"")))</f>
        <v/>
      </c>
      <c r="J270" s="1" t="n"/>
      <c r="K270">
        <f>IF(AND(ISNUMBER(B270),ISNUMBER(C270)),B270*100+C270,"")</f>
        <v/>
      </c>
      <c r="L270">
        <f>IF(OR(G270="",NOT(ISNUMBER(B270))),"",IF(AND(B270&gt;=Settings!$C$6,B270&lt;=Settings!$C$6+6),B270*1000+ROW(),""))</f>
        <v/>
      </c>
    </row>
    <row r="271">
      <c r="A271" s="1" t="n"/>
      <c r="B271" s="28" t="n"/>
      <c r="C271" s="29" t="n"/>
      <c r="D271" s="30" t="n"/>
      <c r="E271" s="31" t="n"/>
      <c r="F271" s="32" t="n"/>
      <c r="G271" s="32" t="n"/>
      <c r="H271" s="33" t="n"/>
      <c r="I271" s="34">
        <f>IF(B271="","",IF(D271&lt;&gt;"",D271,IF(AND(ISNUMBER(B271),ISNUMBER(C271)),IF(OR(WEEKDAY(B271,2)&gt;5,C271&lt;1,C271&gt;10),"",IF(INDEX(Timetable!$E$6:$I$15,C271,WEEKDAY(B271,2))="","",INDEX(Timetable!$E$6:$I$15,C271,WEEKDAY(B271,2)))),"")))</f>
        <v/>
      </c>
      <c r="J271" s="1" t="n"/>
      <c r="K271">
        <f>IF(AND(ISNUMBER(B271),ISNUMBER(C271)),B271*100+C271,"")</f>
        <v/>
      </c>
      <c r="L271">
        <f>IF(OR(G271="",NOT(ISNUMBER(B271))),"",IF(AND(B271&gt;=Settings!$C$6,B271&lt;=Settings!$C$6+6),B271*1000+ROW(),""))</f>
        <v/>
      </c>
    </row>
    <row r="272">
      <c r="A272" s="1" t="n"/>
      <c r="B272" s="28" t="n"/>
      <c r="C272" s="29" t="n"/>
      <c r="D272" s="30" t="n"/>
      <c r="E272" s="31" t="n"/>
      <c r="F272" s="32" t="n"/>
      <c r="G272" s="32" t="n"/>
      <c r="H272" s="33" t="n"/>
      <c r="I272" s="34">
        <f>IF(B272="","",IF(D272&lt;&gt;"",D272,IF(AND(ISNUMBER(B272),ISNUMBER(C272)),IF(OR(WEEKDAY(B272,2)&gt;5,C272&lt;1,C272&gt;10),"",IF(INDEX(Timetable!$E$6:$I$15,C272,WEEKDAY(B272,2))="","",INDEX(Timetable!$E$6:$I$15,C272,WEEKDAY(B272,2)))),"")))</f>
        <v/>
      </c>
      <c r="J272" s="1" t="n"/>
      <c r="K272">
        <f>IF(AND(ISNUMBER(B272),ISNUMBER(C272)),B272*100+C272,"")</f>
        <v/>
      </c>
      <c r="L272">
        <f>IF(OR(G272="",NOT(ISNUMBER(B272))),"",IF(AND(B272&gt;=Settings!$C$6,B272&lt;=Settings!$C$6+6),B272*1000+ROW(),""))</f>
        <v/>
      </c>
    </row>
    <row r="273">
      <c r="A273" s="1" t="n"/>
      <c r="B273" s="28" t="n"/>
      <c r="C273" s="29" t="n"/>
      <c r="D273" s="30" t="n"/>
      <c r="E273" s="31" t="n"/>
      <c r="F273" s="32" t="n"/>
      <c r="G273" s="32" t="n"/>
      <c r="H273" s="33" t="n"/>
      <c r="I273" s="34">
        <f>IF(B273="","",IF(D273&lt;&gt;"",D273,IF(AND(ISNUMBER(B273),ISNUMBER(C273)),IF(OR(WEEKDAY(B273,2)&gt;5,C273&lt;1,C273&gt;10),"",IF(INDEX(Timetable!$E$6:$I$15,C273,WEEKDAY(B273,2))="","",INDEX(Timetable!$E$6:$I$15,C273,WEEKDAY(B273,2)))),"")))</f>
        <v/>
      </c>
      <c r="J273" s="1" t="n"/>
      <c r="K273">
        <f>IF(AND(ISNUMBER(B273),ISNUMBER(C273)),B273*100+C273,"")</f>
        <v/>
      </c>
      <c r="L273">
        <f>IF(OR(G273="",NOT(ISNUMBER(B273))),"",IF(AND(B273&gt;=Settings!$C$6,B273&lt;=Settings!$C$6+6),B273*1000+ROW(),""))</f>
        <v/>
      </c>
    </row>
    <row r="274">
      <c r="A274" s="1" t="n"/>
      <c r="B274" s="28" t="n"/>
      <c r="C274" s="29" t="n"/>
      <c r="D274" s="30" t="n"/>
      <c r="E274" s="31" t="n"/>
      <c r="F274" s="32" t="n"/>
      <c r="G274" s="32" t="n"/>
      <c r="H274" s="33" t="n"/>
      <c r="I274" s="34">
        <f>IF(B274="","",IF(D274&lt;&gt;"",D274,IF(AND(ISNUMBER(B274),ISNUMBER(C274)),IF(OR(WEEKDAY(B274,2)&gt;5,C274&lt;1,C274&gt;10),"",IF(INDEX(Timetable!$E$6:$I$15,C274,WEEKDAY(B274,2))="","",INDEX(Timetable!$E$6:$I$15,C274,WEEKDAY(B274,2)))),"")))</f>
        <v/>
      </c>
      <c r="J274" s="1" t="n"/>
      <c r="K274">
        <f>IF(AND(ISNUMBER(B274),ISNUMBER(C274)),B274*100+C274,"")</f>
        <v/>
      </c>
      <c r="L274">
        <f>IF(OR(G274="",NOT(ISNUMBER(B274))),"",IF(AND(B274&gt;=Settings!$C$6,B274&lt;=Settings!$C$6+6),B274*1000+ROW(),""))</f>
        <v/>
      </c>
    </row>
    <row r="275">
      <c r="A275" s="1" t="n"/>
      <c r="B275" s="28" t="n"/>
      <c r="C275" s="29" t="n"/>
      <c r="D275" s="30" t="n"/>
      <c r="E275" s="31" t="n"/>
      <c r="F275" s="32" t="n"/>
      <c r="G275" s="32" t="n"/>
      <c r="H275" s="33" t="n"/>
      <c r="I275" s="34">
        <f>IF(B275="","",IF(D275&lt;&gt;"",D275,IF(AND(ISNUMBER(B275),ISNUMBER(C275)),IF(OR(WEEKDAY(B275,2)&gt;5,C275&lt;1,C275&gt;10),"",IF(INDEX(Timetable!$E$6:$I$15,C275,WEEKDAY(B275,2))="","",INDEX(Timetable!$E$6:$I$15,C275,WEEKDAY(B275,2)))),"")))</f>
        <v/>
      </c>
      <c r="J275" s="1" t="n"/>
      <c r="K275">
        <f>IF(AND(ISNUMBER(B275),ISNUMBER(C275)),B275*100+C275,"")</f>
        <v/>
      </c>
      <c r="L275">
        <f>IF(OR(G275="",NOT(ISNUMBER(B275))),"",IF(AND(B275&gt;=Settings!$C$6,B275&lt;=Settings!$C$6+6),B275*1000+ROW(),""))</f>
        <v/>
      </c>
    </row>
    <row r="276">
      <c r="A276" s="1" t="n"/>
      <c r="B276" s="28" t="n"/>
      <c r="C276" s="29" t="n"/>
      <c r="D276" s="30" t="n"/>
      <c r="E276" s="31" t="n"/>
      <c r="F276" s="32" t="n"/>
      <c r="G276" s="32" t="n"/>
      <c r="H276" s="33" t="n"/>
      <c r="I276" s="34">
        <f>IF(B276="","",IF(D276&lt;&gt;"",D276,IF(AND(ISNUMBER(B276),ISNUMBER(C276)),IF(OR(WEEKDAY(B276,2)&gt;5,C276&lt;1,C276&gt;10),"",IF(INDEX(Timetable!$E$6:$I$15,C276,WEEKDAY(B276,2))="","",INDEX(Timetable!$E$6:$I$15,C276,WEEKDAY(B276,2)))),"")))</f>
        <v/>
      </c>
      <c r="J276" s="1" t="n"/>
      <c r="K276">
        <f>IF(AND(ISNUMBER(B276),ISNUMBER(C276)),B276*100+C276,"")</f>
        <v/>
      </c>
      <c r="L276">
        <f>IF(OR(G276="",NOT(ISNUMBER(B276))),"",IF(AND(B276&gt;=Settings!$C$6,B276&lt;=Settings!$C$6+6),B276*1000+ROW(),""))</f>
        <v/>
      </c>
    </row>
    <row r="277">
      <c r="A277" s="1" t="n"/>
      <c r="B277" s="28" t="n"/>
      <c r="C277" s="29" t="n"/>
      <c r="D277" s="30" t="n"/>
      <c r="E277" s="31" t="n"/>
      <c r="F277" s="32" t="n"/>
      <c r="G277" s="32" t="n"/>
      <c r="H277" s="33" t="n"/>
      <c r="I277" s="34">
        <f>IF(B277="","",IF(D277&lt;&gt;"",D277,IF(AND(ISNUMBER(B277),ISNUMBER(C277)),IF(OR(WEEKDAY(B277,2)&gt;5,C277&lt;1,C277&gt;10),"",IF(INDEX(Timetable!$E$6:$I$15,C277,WEEKDAY(B277,2))="","",INDEX(Timetable!$E$6:$I$15,C277,WEEKDAY(B277,2)))),"")))</f>
        <v/>
      </c>
      <c r="J277" s="1" t="n"/>
      <c r="K277">
        <f>IF(AND(ISNUMBER(B277),ISNUMBER(C277)),B277*100+C277,"")</f>
        <v/>
      </c>
      <c r="L277">
        <f>IF(OR(G277="",NOT(ISNUMBER(B277))),"",IF(AND(B277&gt;=Settings!$C$6,B277&lt;=Settings!$C$6+6),B277*1000+ROW(),""))</f>
        <v/>
      </c>
    </row>
    <row r="278">
      <c r="A278" s="1" t="n"/>
      <c r="B278" s="28" t="n"/>
      <c r="C278" s="29" t="n"/>
      <c r="D278" s="30" t="n"/>
      <c r="E278" s="31" t="n"/>
      <c r="F278" s="32" t="n"/>
      <c r="G278" s="32" t="n"/>
      <c r="H278" s="33" t="n"/>
      <c r="I278" s="34">
        <f>IF(B278="","",IF(D278&lt;&gt;"",D278,IF(AND(ISNUMBER(B278),ISNUMBER(C278)),IF(OR(WEEKDAY(B278,2)&gt;5,C278&lt;1,C278&gt;10),"",IF(INDEX(Timetable!$E$6:$I$15,C278,WEEKDAY(B278,2))="","",INDEX(Timetable!$E$6:$I$15,C278,WEEKDAY(B278,2)))),"")))</f>
        <v/>
      </c>
      <c r="J278" s="1" t="n"/>
      <c r="K278">
        <f>IF(AND(ISNUMBER(B278),ISNUMBER(C278)),B278*100+C278,"")</f>
        <v/>
      </c>
      <c r="L278">
        <f>IF(OR(G278="",NOT(ISNUMBER(B278))),"",IF(AND(B278&gt;=Settings!$C$6,B278&lt;=Settings!$C$6+6),B278*1000+ROW(),""))</f>
        <v/>
      </c>
    </row>
    <row r="279">
      <c r="A279" s="1" t="n"/>
      <c r="B279" s="28" t="n"/>
      <c r="C279" s="29" t="n"/>
      <c r="D279" s="30" t="n"/>
      <c r="E279" s="31" t="n"/>
      <c r="F279" s="32" t="n"/>
      <c r="G279" s="32" t="n"/>
      <c r="H279" s="33" t="n"/>
      <c r="I279" s="34">
        <f>IF(B279="","",IF(D279&lt;&gt;"",D279,IF(AND(ISNUMBER(B279),ISNUMBER(C279)),IF(OR(WEEKDAY(B279,2)&gt;5,C279&lt;1,C279&gt;10),"",IF(INDEX(Timetable!$E$6:$I$15,C279,WEEKDAY(B279,2))="","",INDEX(Timetable!$E$6:$I$15,C279,WEEKDAY(B279,2)))),"")))</f>
        <v/>
      </c>
      <c r="J279" s="1" t="n"/>
      <c r="K279">
        <f>IF(AND(ISNUMBER(B279),ISNUMBER(C279)),B279*100+C279,"")</f>
        <v/>
      </c>
      <c r="L279">
        <f>IF(OR(G279="",NOT(ISNUMBER(B279))),"",IF(AND(B279&gt;=Settings!$C$6,B279&lt;=Settings!$C$6+6),B279*1000+ROW(),""))</f>
        <v/>
      </c>
    </row>
    <row r="280">
      <c r="A280" s="1" t="n"/>
      <c r="B280" s="28" t="n"/>
      <c r="C280" s="29" t="n"/>
      <c r="D280" s="30" t="n"/>
      <c r="E280" s="31" t="n"/>
      <c r="F280" s="32" t="n"/>
      <c r="G280" s="32" t="n"/>
      <c r="H280" s="33" t="n"/>
      <c r="I280" s="34">
        <f>IF(B280="","",IF(D280&lt;&gt;"",D280,IF(AND(ISNUMBER(B280),ISNUMBER(C280)),IF(OR(WEEKDAY(B280,2)&gt;5,C280&lt;1,C280&gt;10),"",IF(INDEX(Timetable!$E$6:$I$15,C280,WEEKDAY(B280,2))="","",INDEX(Timetable!$E$6:$I$15,C280,WEEKDAY(B280,2)))),"")))</f>
        <v/>
      </c>
      <c r="J280" s="1" t="n"/>
      <c r="K280">
        <f>IF(AND(ISNUMBER(B280),ISNUMBER(C280)),B280*100+C280,"")</f>
        <v/>
      </c>
      <c r="L280">
        <f>IF(OR(G280="",NOT(ISNUMBER(B280))),"",IF(AND(B280&gt;=Settings!$C$6,B280&lt;=Settings!$C$6+6),B280*1000+ROW(),""))</f>
        <v/>
      </c>
    </row>
    <row r="281">
      <c r="A281" s="1" t="n"/>
      <c r="B281" s="28" t="n"/>
      <c r="C281" s="29" t="n"/>
      <c r="D281" s="30" t="n"/>
      <c r="E281" s="31" t="n"/>
      <c r="F281" s="32" t="n"/>
      <c r="G281" s="32" t="n"/>
      <c r="H281" s="33" t="n"/>
      <c r="I281" s="34">
        <f>IF(B281="","",IF(D281&lt;&gt;"",D281,IF(AND(ISNUMBER(B281),ISNUMBER(C281)),IF(OR(WEEKDAY(B281,2)&gt;5,C281&lt;1,C281&gt;10),"",IF(INDEX(Timetable!$E$6:$I$15,C281,WEEKDAY(B281,2))="","",INDEX(Timetable!$E$6:$I$15,C281,WEEKDAY(B281,2)))),"")))</f>
        <v/>
      </c>
      <c r="J281" s="1" t="n"/>
      <c r="K281">
        <f>IF(AND(ISNUMBER(B281),ISNUMBER(C281)),B281*100+C281,"")</f>
        <v/>
      </c>
      <c r="L281">
        <f>IF(OR(G281="",NOT(ISNUMBER(B281))),"",IF(AND(B281&gt;=Settings!$C$6,B281&lt;=Settings!$C$6+6),B281*1000+ROW(),""))</f>
        <v/>
      </c>
    </row>
    <row r="282">
      <c r="A282" s="1" t="n"/>
      <c r="B282" s="28" t="n"/>
      <c r="C282" s="29" t="n"/>
      <c r="D282" s="30" t="n"/>
      <c r="E282" s="31" t="n"/>
      <c r="F282" s="32" t="n"/>
      <c r="G282" s="32" t="n"/>
      <c r="H282" s="33" t="n"/>
      <c r="I282" s="34">
        <f>IF(B282="","",IF(D282&lt;&gt;"",D282,IF(AND(ISNUMBER(B282),ISNUMBER(C282)),IF(OR(WEEKDAY(B282,2)&gt;5,C282&lt;1,C282&gt;10),"",IF(INDEX(Timetable!$E$6:$I$15,C282,WEEKDAY(B282,2))="","",INDEX(Timetable!$E$6:$I$15,C282,WEEKDAY(B282,2)))),"")))</f>
        <v/>
      </c>
      <c r="J282" s="1" t="n"/>
      <c r="K282">
        <f>IF(AND(ISNUMBER(B282),ISNUMBER(C282)),B282*100+C282,"")</f>
        <v/>
      </c>
      <c r="L282">
        <f>IF(OR(G282="",NOT(ISNUMBER(B282))),"",IF(AND(B282&gt;=Settings!$C$6,B282&lt;=Settings!$C$6+6),B282*1000+ROW(),""))</f>
        <v/>
      </c>
    </row>
    <row r="283">
      <c r="A283" s="1" t="n"/>
      <c r="B283" s="28" t="n"/>
      <c r="C283" s="29" t="n"/>
      <c r="D283" s="30" t="n"/>
      <c r="E283" s="31" t="n"/>
      <c r="F283" s="32" t="n"/>
      <c r="G283" s="32" t="n"/>
      <c r="H283" s="33" t="n"/>
      <c r="I283" s="34">
        <f>IF(B283="","",IF(D283&lt;&gt;"",D283,IF(AND(ISNUMBER(B283),ISNUMBER(C283)),IF(OR(WEEKDAY(B283,2)&gt;5,C283&lt;1,C283&gt;10),"",IF(INDEX(Timetable!$E$6:$I$15,C283,WEEKDAY(B283,2))="","",INDEX(Timetable!$E$6:$I$15,C283,WEEKDAY(B283,2)))),"")))</f>
        <v/>
      </c>
      <c r="J283" s="1" t="n"/>
      <c r="K283">
        <f>IF(AND(ISNUMBER(B283),ISNUMBER(C283)),B283*100+C283,"")</f>
        <v/>
      </c>
      <c r="L283">
        <f>IF(OR(G283="",NOT(ISNUMBER(B283))),"",IF(AND(B283&gt;=Settings!$C$6,B283&lt;=Settings!$C$6+6),B283*1000+ROW(),""))</f>
        <v/>
      </c>
    </row>
    <row r="284">
      <c r="A284" s="1" t="n"/>
      <c r="B284" s="28" t="n"/>
      <c r="C284" s="29" t="n"/>
      <c r="D284" s="30" t="n"/>
      <c r="E284" s="31" t="n"/>
      <c r="F284" s="32" t="n"/>
      <c r="G284" s="32" t="n"/>
      <c r="H284" s="33" t="n"/>
      <c r="I284" s="34">
        <f>IF(B284="","",IF(D284&lt;&gt;"",D284,IF(AND(ISNUMBER(B284),ISNUMBER(C284)),IF(OR(WEEKDAY(B284,2)&gt;5,C284&lt;1,C284&gt;10),"",IF(INDEX(Timetable!$E$6:$I$15,C284,WEEKDAY(B284,2))="","",INDEX(Timetable!$E$6:$I$15,C284,WEEKDAY(B284,2)))),"")))</f>
        <v/>
      </c>
      <c r="J284" s="1" t="n"/>
      <c r="K284">
        <f>IF(AND(ISNUMBER(B284),ISNUMBER(C284)),B284*100+C284,"")</f>
        <v/>
      </c>
      <c r="L284">
        <f>IF(OR(G284="",NOT(ISNUMBER(B284))),"",IF(AND(B284&gt;=Settings!$C$6,B284&lt;=Settings!$C$6+6),B284*1000+ROW(),""))</f>
        <v/>
      </c>
    </row>
    <row r="285">
      <c r="A285" s="1" t="n"/>
      <c r="B285" s="28" t="n"/>
      <c r="C285" s="29" t="n"/>
      <c r="D285" s="30" t="n"/>
      <c r="E285" s="31" t="n"/>
      <c r="F285" s="32" t="n"/>
      <c r="G285" s="32" t="n"/>
      <c r="H285" s="33" t="n"/>
      <c r="I285" s="34">
        <f>IF(B285="","",IF(D285&lt;&gt;"",D285,IF(AND(ISNUMBER(B285),ISNUMBER(C285)),IF(OR(WEEKDAY(B285,2)&gt;5,C285&lt;1,C285&gt;10),"",IF(INDEX(Timetable!$E$6:$I$15,C285,WEEKDAY(B285,2))="","",INDEX(Timetable!$E$6:$I$15,C285,WEEKDAY(B285,2)))),"")))</f>
        <v/>
      </c>
      <c r="J285" s="1" t="n"/>
      <c r="K285">
        <f>IF(AND(ISNUMBER(B285),ISNUMBER(C285)),B285*100+C285,"")</f>
        <v/>
      </c>
      <c r="L285">
        <f>IF(OR(G285="",NOT(ISNUMBER(B285))),"",IF(AND(B285&gt;=Settings!$C$6,B285&lt;=Settings!$C$6+6),B285*1000+ROW(),""))</f>
        <v/>
      </c>
    </row>
    <row r="286">
      <c r="A286" s="1" t="n"/>
      <c r="B286" s="28" t="n"/>
      <c r="C286" s="29" t="n"/>
      <c r="D286" s="30" t="n"/>
      <c r="E286" s="31" t="n"/>
      <c r="F286" s="32" t="n"/>
      <c r="G286" s="32" t="n"/>
      <c r="H286" s="33" t="n"/>
      <c r="I286" s="34">
        <f>IF(B286="","",IF(D286&lt;&gt;"",D286,IF(AND(ISNUMBER(B286),ISNUMBER(C286)),IF(OR(WEEKDAY(B286,2)&gt;5,C286&lt;1,C286&gt;10),"",IF(INDEX(Timetable!$E$6:$I$15,C286,WEEKDAY(B286,2))="","",INDEX(Timetable!$E$6:$I$15,C286,WEEKDAY(B286,2)))),"")))</f>
        <v/>
      </c>
      <c r="J286" s="1" t="n"/>
      <c r="K286">
        <f>IF(AND(ISNUMBER(B286),ISNUMBER(C286)),B286*100+C286,"")</f>
        <v/>
      </c>
      <c r="L286">
        <f>IF(OR(G286="",NOT(ISNUMBER(B286))),"",IF(AND(B286&gt;=Settings!$C$6,B286&lt;=Settings!$C$6+6),B286*1000+ROW(),""))</f>
        <v/>
      </c>
    </row>
    <row r="287">
      <c r="A287" s="1" t="n"/>
      <c r="B287" s="28" t="n"/>
      <c r="C287" s="29" t="n"/>
      <c r="D287" s="30" t="n"/>
      <c r="E287" s="31" t="n"/>
      <c r="F287" s="32" t="n"/>
      <c r="G287" s="32" t="n"/>
      <c r="H287" s="33" t="n"/>
      <c r="I287" s="34">
        <f>IF(B287="","",IF(D287&lt;&gt;"",D287,IF(AND(ISNUMBER(B287),ISNUMBER(C287)),IF(OR(WEEKDAY(B287,2)&gt;5,C287&lt;1,C287&gt;10),"",IF(INDEX(Timetable!$E$6:$I$15,C287,WEEKDAY(B287,2))="","",INDEX(Timetable!$E$6:$I$15,C287,WEEKDAY(B287,2)))),"")))</f>
        <v/>
      </c>
      <c r="J287" s="1" t="n"/>
      <c r="K287">
        <f>IF(AND(ISNUMBER(B287),ISNUMBER(C287)),B287*100+C287,"")</f>
        <v/>
      </c>
      <c r="L287">
        <f>IF(OR(G287="",NOT(ISNUMBER(B287))),"",IF(AND(B287&gt;=Settings!$C$6,B287&lt;=Settings!$C$6+6),B287*1000+ROW(),""))</f>
        <v/>
      </c>
    </row>
    <row r="288">
      <c r="A288" s="1" t="n"/>
      <c r="B288" s="28" t="n"/>
      <c r="C288" s="29" t="n"/>
      <c r="D288" s="30" t="n"/>
      <c r="E288" s="31" t="n"/>
      <c r="F288" s="32" t="n"/>
      <c r="G288" s="32" t="n"/>
      <c r="H288" s="33" t="n"/>
      <c r="I288" s="34">
        <f>IF(B288="","",IF(D288&lt;&gt;"",D288,IF(AND(ISNUMBER(B288),ISNUMBER(C288)),IF(OR(WEEKDAY(B288,2)&gt;5,C288&lt;1,C288&gt;10),"",IF(INDEX(Timetable!$E$6:$I$15,C288,WEEKDAY(B288,2))="","",INDEX(Timetable!$E$6:$I$15,C288,WEEKDAY(B288,2)))),"")))</f>
        <v/>
      </c>
      <c r="J288" s="1" t="n"/>
      <c r="K288">
        <f>IF(AND(ISNUMBER(B288),ISNUMBER(C288)),B288*100+C288,"")</f>
        <v/>
      </c>
      <c r="L288">
        <f>IF(OR(G288="",NOT(ISNUMBER(B288))),"",IF(AND(B288&gt;=Settings!$C$6,B288&lt;=Settings!$C$6+6),B288*1000+ROW(),""))</f>
        <v/>
      </c>
    </row>
    <row r="289">
      <c r="A289" s="1" t="n"/>
      <c r="B289" s="28" t="n"/>
      <c r="C289" s="29" t="n"/>
      <c r="D289" s="30" t="n"/>
      <c r="E289" s="31" t="n"/>
      <c r="F289" s="32" t="n"/>
      <c r="G289" s="32" t="n"/>
      <c r="H289" s="33" t="n"/>
      <c r="I289" s="34">
        <f>IF(B289="","",IF(D289&lt;&gt;"",D289,IF(AND(ISNUMBER(B289),ISNUMBER(C289)),IF(OR(WEEKDAY(B289,2)&gt;5,C289&lt;1,C289&gt;10),"",IF(INDEX(Timetable!$E$6:$I$15,C289,WEEKDAY(B289,2))="","",INDEX(Timetable!$E$6:$I$15,C289,WEEKDAY(B289,2)))),"")))</f>
        <v/>
      </c>
      <c r="J289" s="1" t="n"/>
      <c r="K289">
        <f>IF(AND(ISNUMBER(B289),ISNUMBER(C289)),B289*100+C289,"")</f>
        <v/>
      </c>
      <c r="L289">
        <f>IF(OR(G289="",NOT(ISNUMBER(B289))),"",IF(AND(B289&gt;=Settings!$C$6,B289&lt;=Settings!$C$6+6),B289*1000+ROW(),""))</f>
        <v/>
      </c>
    </row>
    <row r="290">
      <c r="A290" s="1" t="n"/>
      <c r="B290" s="28" t="n"/>
      <c r="C290" s="29" t="n"/>
      <c r="D290" s="30" t="n"/>
      <c r="E290" s="31" t="n"/>
      <c r="F290" s="32" t="n"/>
      <c r="G290" s="32" t="n"/>
      <c r="H290" s="33" t="n"/>
      <c r="I290" s="34">
        <f>IF(B290="","",IF(D290&lt;&gt;"",D290,IF(AND(ISNUMBER(B290),ISNUMBER(C290)),IF(OR(WEEKDAY(B290,2)&gt;5,C290&lt;1,C290&gt;10),"",IF(INDEX(Timetable!$E$6:$I$15,C290,WEEKDAY(B290,2))="","",INDEX(Timetable!$E$6:$I$15,C290,WEEKDAY(B290,2)))),"")))</f>
        <v/>
      </c>
      <c r="J290" s="1" t="n"/>
      <c r="K290">
        <f>IF(AND(ISNUMBER(B290),ISNUMBER(C290)),B290*100+C290,"")</f>
        <v/>
      </c>
      <c r="L290">
        <f>IF(OR(G290="",NOT(ISNUMBER(B290))),"",IF(AND(B290&gt;=Settings!$C$6,B290&lt;=Settings!$C$6+6),B290*1000+ROW(),""))</f>
        <v/>
      </c>
    </row>
    <row r="291">
      <c r="A291" s="1" t="n"/>
      <c r="B291" s="28" t="n"/>
      <c r="C291" s="29" t="n"/>
      <c r="D291" s="30" t="n"/>
      <c r="E291" s="31" t="n"/>
      <c r="F291" s="32" t="n"/>
      <c r="G291" s="32" t="n"/>
      <c r="H291" s="33" t="n"/>
      <c r="I291" s="34">
        <f>IF(B291="","",IF(D291&lt;&gt;"",D291,IF(AND(ISNUMBER(B291),ISNUMBER(C291)),IF(OR(WEEKDAY(B291,2)&gt;5,C291&lt;1,C291&gt;10),"",IF(INDEX(Timetable!$E$6:$I$15,C291,WEEKDAY(B291,2))="","",INDEX(Timetable!$E$6:$I$15,C291,WEEKDAY(B291,2)))),"")))</f>
        <v/>
      </c>
      <c r="J291" s="1" t="n"/>
      <c r="K291">
        <f>IF(AND(ISNUMBER(B291),ISNUMBER(C291)),B291*100+C291,"")</f>
        <v/>
      </c>
      <c r="L291">
        <f>IF(OR(G291="",NOT(ISNUMBER(B291))),"",IF(AND(B291&gt;=Settings!$C$6,B291&lt;=Settings!$C$6+6),B291*1000+ROW(),""))</f>
        <v/>
      </c>
    </row>
    <row r="292">
      <c r="A292" s="1" t="n"/>
      <c r="B292" s="28" t="n"/>
      <c r="C292" s="29" t="n"/>
      <c r="D292" s="30" t="n"/>
      <c r="E292" s="31" t="n"/>
      <c r="F292" s="32" t="n"/>
      <c r="G292" s="32" t="n"/>
      <c r="H292" s="33" t="n"/>
      <c r="I292" s="34">
        <f>IF(B292="","",IF(D292&lt;&gt;"",D292,IF(AND(ISNUMBER(B292),ISNUMBER(C292)),IF(OR(WEEKDAY(B292,2)&gt;5,C292&lt;1,C292&gt;10),"",IF(INDEX(Timetable!$E$6:$I$15,C292,WEEKDAY(B292,2))="","",INDEX(Timetable!$E$6:$I$15,C292,WEEKDAY(B292,2)))),"")))</f>
        <v/>
      </c>
      <c r="J292" s="1" t="n"/>
      <c r="K292">
        <f>IF(AND(ISNUMBER(B292),ISNUMBER(C292)),B292*100+C292,"")</f>
        <v/>
      </c>
      <c r="L292">
        <f>IF(OR(G292="",NOT(ISNUMBER(B292))),"",IF(AND(B292&gt;=Settings!$C$6,B292&lt;=Settings!$C$6+6),B292*1000+ROW(),""))</f>
        <v/>
      </c>
    </row>
    <row r="293">
      <c r="A293" s="1" t="n"/>
      <c r="B293" s="28" t="n"/>
      <c r="C293" s="29" t="n"/>
      <c r="D293" s="30" t="n"/>
      <c r="E293" s="31" t="n"/>
      <c r="F293" s="32" t="n"/>
      <c r="G293" s="32" t="n"/>
      <c r="H293" s="33" t="n"/>
      <c r="I293" s="34">
        <f>IF(B293="","",IF(D293&lt;&gt;"",D293,IF(AND(ISNUMBER(B293),ISNUMBER(C293)),IF(OR(WEEKDAY(B293,2)&gt;5,C293&lt;1,C293&gt;10),"",IF(INDEX(Timetable!$E$6:$I$15,C293,WEEKDAY(B293,2))="","",INDEX(Timetable!$E$6:$I$15,C293,WEEKDAY(B293,2)))),"")))</f>
        <v/>
      </c>
      <c r="J293" s="1" t="n"/>
      <c r="K293">
        <f>IF(AND(ISNUMBER(B293),ISNUMBER(C293)),B293*100+C293,"")</f>
        <v/>
      </c>
      <c r="L293">
        <f>IF(OR(G293="",NOT(ISNUMBER(B293))),"",IF(AND(B293&gt;=Settings!$C$6,B293&lt;=Settings!$C$6+6),B293*1000+ROW(),""))</f>
        <v/>
      </c>
    </row>
    <row r="294">
      <c r="A294" s="1" t="n"/>
      <c r="B294" s="28" t="n"/>
      <c r="C294" s="29" t="n"/>
      <c r="D294" s="30" t="n"/>
      <c r="E294" s="31" t="n"/>
      <c r="F294" s="32" t="n"/>
      <c r="G294" s="32" t="n"/>
      <c r="H294" s="33" t="n"/>
      <c r="I294" s="34">
        <f>IF(B294="","",IF(D294&lt;&gt;"",D294,IF(AND(ISNUMBER(B294),ISNUMBER(C294)),IF(OR(WEEKDAY(B294,2)&gt;5,C294&lt;1,C294&gt;10),"",IF(INDEX(Timetable!$E$6:$I$15,C294,WEEKDAY(B294,2))="","",INDEX(Timetable!$E$6:$I$15,C294,WEEKDAY(B294,2)))),"")))</f>
        <v/>
      </c>
      <c r="J294" s="1" t="n"/>
      <c r="K294">
        <f>IF(AND(ISNUMBER(B294),ISNUMBER(C294)),B294*100+C294,"")</f>
        <v/>
      </c>
      <c r="L294">
        <f>IF(OR(G294="",NOT(ISNUMBER(B294))),"",IF(AND(B294&gt;=Settings!$C$6,B294&lt;=Settings!$C$6+6),B294*1000+ROW(),""))</f>
        <v/>
      </c>
    </row>
    <row r="295">
      <c r="A295" s="1" t="n"/>
      <c r="B295" s="28" t="n"/>
      <c r="C295" s="29" t="n"/>
      <c r="D295" s="30" t="n"/>
      <c r="E295" s="31" t="n"/>
      <c r="F295" s="32" t="n"/>
      <c r="G295" s="32" t="n"/>
      <c r="H295" s="33" t="n"/>
      <c r="I295" s="34">
        <f>IF(B295="","",IF(D295&lt;&gt;"",D295,IF(AND(ISNUMBER(B295),ISNUMBER(C295)),IF(OR(WEEKDAY(B295,2)&gt;5,C295&lt;1,C295&gt;10),"",IF(INDEX(Timetable!$E$6:$I$15,C295,WEEKDAY(B295,2))="","",INDEX(Timetable!$E$6:$I$15,C295,WEEKDAY(B295,2)))),"")))</f>
        <v/>
      </c>
      <c r="J295" s="1" t="n"/>
      <c r="K295">
        <f>IF(AND(ISNUMBER(B295),ISNUMBER(C295)),B295*100+C295,"")</f>
        <v/>
      </c>
      <c r="L295">
        <f>IF(OR(G295="",NOT(ISNUMBER(B295))),"",IF(AND(B295&gt;=Settings!$C$6,B295&lt;=Settings!$C$6+6),B295*1000+ROW(),""))</f>
        <v/>
      </c>
    </row>
    <row r="296">
      <c r="A296" s="1" t="n"/>
      <c r="B296" s="28" t="n"/>
      <c r="C296" s="29" t="n"/>
      <c r="D296" s="30" t="n"/>
      <c r="E296" s="31" t="n"/>
      <c r="F296" s="32" t="n"/>
      <c r="G296" s="32" t="n"/>
      <c r="H296" s="33" t="n"/>
      <c r="I296" s="34">
        <f>IF(B296="","",IF(D296&lt;&gt;"",D296,IF(AND(ISNUMBER(B296),ISNUMBER(C296)),IF(OR(WEEKDAY(B296,2)&gt;5,C296&lt;1,C296&gt;10),"",IF(INDEX(Timetable!$E$6:$I$15,C296,WEEKDAY(B296,2))="","",INDEX(Timetable!$E$6:$I$15,C296,WEEKDAY(B296,2)))),"")))</f>
        <v/>
      </c>
      <c r="J296" s="1" t="n"/>
      <c r="K296">
        <f>IF(AND(ISNUMBER(B296),ISNUMBER(C296)),B296*100+C296,"")</f>
        <v/>
      </c>
      <c r="L296">
        <f>IF(OR(G296="",NOT(ISNUMBER(B296))),"",IF(AND(B296&gt;=Settings!$C$6,B296&lt;=Settings!$C$6+6),B296*1000+ROW(),""))</f>
        <v/>
      </c>
    </row>
    <row r="297">
      <c r="A297" s="1" t="n"/>
      <c r="B297" s="28" t="n"/>
      <c r="C297" s="29" t="n"/>
      <c r="D297" s="30" t="n"/>
      <c r="E297" s="31" t="n"/>
      <c r="F297" s="32" t="n"/>
      <c r="G297" s="32" t="n"/>
      <c r="H297" s="33" t="n"/>
      <c r="I297" s="34">
        <f>IF(B297="","",IF(D297&lt;&gt;"",D297,IF(AND(ISNUMBER(B297),ISNUMBER(C297)),IF(OR(WEEKDAY(B297,2)&gt;5,C297&lt;1,C297&gt;10),"",IF(INDEX(Timetable!$E$6:$I$15,C297,WEEKDAY(B297,2))="","",INDEX(Timetable!$E$6:$I$15,C297,WEEKDAY(B297,2)))),"")))</f>
        <v/>
      </c>
      <c r="J297" s="1" t="n"/>
      <c r="K297">
        <f>IF(AND(ISNUMBER(B297),ISNUMBER(C297)),B297*100+C297,"")</f>
        <v/>
      </c>
      <c r="L297">
        <f>IF(OR(G297="",NOT(ISNUMBER(B297))),"",IF(AND(B297&gt;=Settings!$C$6,B297&lt;=Settings!$C$6+6),B297*1000+ROW(),""))</f>
        <v/>
      </c>
    </row>
    <row r="298">
      <c r="A298" s="1" t="n"/>
      <c r="B298" s="28" t="n"/>
      <c r="C298" s="29" t="n"/>
      <c r="D298" s="30" t="n"/>
      <c r="E298" s="31" t="n"/>
      <c r="F298" s="32" t="n"/>
      <c r="G298" s="32" t="n"/>
      <c r="H298" s="33" t="n"/>
      <c r="I298" s="34">
        <f>IF(B298="","",IF(D298&lt;&gt;"",D298,IF(AND(ISNUMBER(B298),ISNUMBER(C298)),IF(OR(WEEKDAY(B298,2)&gt;5,C298&lt;1,C298&gt;10),"",IF(INDEX(Timetable!$E$6:$I$15,C298,WEEKDAY(B298,2))="","",INDEX(Timetable!$E$6:$I$15,C298,WEEKDAY(B298,2)))),"")))</f>
        <v/>
      </c>
      <c r="J298" s="1" t="n"/>
      <c r="K298">
        <f>IF(AND(ISNUMBER(B298),ISNUMBER(C298)),B298*100+C298,"")</f>
        <v/>
      </c>
      <c r="L298">
        <f>IF(OR(G298="",NOT(ISNUMBER(B298))),"",IF(AND(B298&gt;=Settings!$C$6,B298&lt;=Settings!$C$6+6),B298*1000+ROW(),""))</f>
        <v/>
      </c>
    </row>
    <row r="299">
      <c r="A299" s="1" t="n"/>
      <c r="B299" s="28" t="n"/>
      <c r="C299" s="29" t="n"/>
      <c r="D299" s="30" t="n"/>
      <c r="E299" s="31" t="n"/>
      <c r="F299" s="32" t="n"/>
      <c r="G299" s="32" t="n"/>
      <c r="H299" s="33" t="n"/>
      <c r="I299" s="34">
        <f>IF(B299="","",IF(D299&lt;&gt;"",D299,IF(AND(ISNUMBER(B299),ISNUMBER(C299)),IF(OR(WEEKDAY(B299,2)&gt;5,C299&lt;1,C299&gt;10),"",IF(INDEX(Timetable!$E$6:$I$15,C299,WEEKDAY(B299,2))="","",INDEX(Timetable!$E$6:$I$15,C299,WEEKDAY(B299,2)))),"")))</f>
        <v/>
      </c>
      <c r="J299" s="1" t="n"/>
      <c r="K299">
        <f>IF(AND(ISNUMBER(B299),ISNUMBER(C299)),B299*100+C299,"")</f>
        <v/>
      </c>
      <c r="L299">
        <f>IF(OR(G299="",NOT(ISNUMBER(B299))),"",IF(AND(B299&gt;=Settings!$C$6,B299&lt;=Settings!$C$6+6),B299*1000+ROW(),""))</f>
        <v/>
      </c>
    </row>
    <row r="300">
      <c r="A300" s="1" t="n"/>
      <c r="B300" s="28" t="n"/>
      <c r="C300" s="29" t="n"/>
      <c r="D300" s="30" t="n"/>
      <c r="E300" s="31" t="n"/>
      <c r="F300" s="32" t="n"/>
      <c r="G300" s="32" t="n"/>
      <c r="H300" s="33" t="n"/>
      <c r="I300" s="34">
        <f>IF(B300="","",IF(D300&lt;&gt;"",D300,IF(AND(ISNUMBER(B300),ISNUMBER(C300)),IF(OR(WEEKDAY(B300,2)&gt;5,C300&lt;1,C300&gt;10),"",IF(INDEX(Timetable!$E$6:$I$15,C300,WEEKDAY(B300,2))="","",INDEX(Timetable!$E$6:$I$15,C300,WEEKDAY(B300,2)))),"")))</f>
        <v/>
      </c>
      <c r="J300" s="1" t="n"/>
      <c r="K300">
        <f>IF(AND(ISNUMBER(B300),ISNUMBER(C300)),B300*100+C300,"")</f>
        <v/>
      </c>
      <c r="L300">
        <f>IF(OR(G300="",NOT(ISNUMBER(B300))),"",IF(AND(B300&gt;=Settings!$C$6,B300&lt;=Settings!$C$6+6),B300*1000+ROW(),""))</f>
        <v/>
      </c>
    </row>
    <row r="301">
      <c r="A301" s="1" t="n"/>
      <c r="B301" s="28" t="n"/>
      <c r="C301" s="29" t="n"/>
      <c r="D301" s="30" t="n"/>
      <c r="E301" s="31" t="n"/>
      <c r="F301" s="32" t="n"/>
      <c r="G301" s="32" t="n"/>
      <c r="H301" s="33" t="n"/>
      <c r="I301" s="34">
        <f>IF(B301="","",IF(D301&lt;&gt;"",D301,IF(AND(ISNUMBER(B301),ISNUMBER(C301)),IF(OR(WEEKDAY(B301,2)&gt;5,C301&lt;1,C301&gt;10),"",IF(INDEX(Timetable!$E$6:$I$15,C301,WEEKDAY(B301,2))="","",INDEX(Timetable!$E$6:$I$15,C301,WEEKDAY(B301,2)))),"")))</f>
        <v/>
      </c>
      <c r="J301" s="1" t="n"/>
      <c r="K301">
        <f>IF(AND(ISNUMBER(B301),ISNUMBER(C301)),B301*100+C301,"")</f>
        <v/>
      </c>
      <c r="L301">
        <f>IF(OR(G301="",NOT(ISNUMBER(B301))),"",IF(AND(B301&gt;=Settings!$C$6,B301&lt;=Settings!$C$6+6),B301*1000+ROW(),""))</f>
        <v/>
      </c>
    </row>
    <row r="302">
      <c r="A302" s="1" t="n"/>
      <c r="B302" s="28" t="n"/>
      <c r="C302" s="29" t="n"/>
      <c r="D302" s="30" t="n"/>
      <c r="E302" s="31" t="n"/>
      <c r="F302" s="32" t="n"/>
      <c r="G302" s="32" t="n"/>
      <c r="H302" s="33" t="n"/>
      <c r="I302" s="34">
        <f>IF(B302="","",IF(D302&lt;&gt;"",D302,IF(AND(ISNUMBER(B302),ISNUMBER(C302)),IF(OR(WEEKDAY(B302,2)&gt;5,C302&lt;1,C302&gt;10),"",IF(INDEX(Timetable!$E$6:$I$15,C302,WEEKDAY(B302,2))="","",INDEX(Timetable!$E$6:$I$15,C302,WEEKDAY(B302,2)))),"")))</f>
        <v/>
      </c>
      <c r="J302" s="1" t="n"/>
      <c r="K302">
        <f>IF(AND(ISNUMBER(B302),ISNUMBER(C302)),B302*100+C302,"")</f>
        <v/>
      </c>
      <c r="L302">
        <f>IF(OR(G302="",NOT(ISNUMBER(B302))),"",IF(AND(B302&gt;=Settings!$C$6,B302&lt;=Settings!$C$6+6),B302*1000+ROW(),""))</f>
        <v/>
      </c>
    </row>
    <row r="303">
      <c r="A303" s="1" t="n"/>
      <c r="B303" s="28" t="n"/>
      <c r="C303" s="29" t="n"/>
      <c r="D303" s="30" t="n"/>
      <c r="E303" s="31" t="n"/>
      <c r="F303" s="32" t="n"/>
      <c r="G303" s="32" t="n"/>
      <c r="H303" s="33" t="n"/>
      <c r="I303" s="34">
        <f>IF(B303="","",IF(D303&lt;&gt;"",D303,IF(AND(ISNUMBER(B303),ISNUMBER(C303)),IF(OR(WEEKDAY(B303,2)&gt;5,C303&lt;1,C303&gt;10),"",IF(INDEX(Timetable!$E$6:$I$15,C303,WEEKDAY(B303,2))="","",INDEX(Timetable!$E$6:$I$15,C303,WEEKDAY(B303,2)))),"")))</f>
        <v/>
      </c>
      <c r="J303" s="1" t="n"/>
      <c r="K303">
        <f>IF(AND(ISNUMBER(B303),ISNUMBER(C303)),B303*100+C303,"")</f>
        <v/>
      </c>
      <c r="L303">
        <f>IF(OR(G303="",NOT(ISNUMBER(B303))),"",IF(AND(B303&gt;=Settings!$C$6,B303&lt;=Settings!$C$6+6),B303*1000+ROW(),""))</f>
        <v/>
      </c>
    </row>
    <row r="304">
      <c r="A304" s="1" t="n"/>
      <c r="B304" s="28" t="n"/>
      <c r="C304" s="29" t="n"/>
      <c r="D304" s="30" t="n"/>
      <c r="E304" s="31" t="n"/>
      <c r="F304" s="32" t="n"/>
      <c r="G304" s="32" t="n"/>
      <c r="H304" s="33" t="n"/>
      <c r="I304" s="34">
        <f>IF(B304="","",IF(D304&lt;&gt;"",D304,IF(AND(ISNUMBER(B304),ISNUMBER(C304)),IF(OR(WEEKDAY(B304,2)&gt;5,C304&lt;1,C304&gt;10),"",IF(INDEX(Timetable!$E$6:$I$15,C304,WEEKDAY(B304,2))="","",INDEX(Timetable!$E$6:$I$15,C304,WEEKDAY(B304,2)))),"")))</f>
        <v/>
      </c>
      <c r="J304" s="1" t="n"/>
      <c r="K304">
        <f>IF(AND(ISNUMBER(B304),ISNUMBER(C304)),B304*100+C304,"")</f>
        <v/>
      </c>
      <c r="L304">
        <f>IF(OR(G304="",NOT(ISNUMBER(B304))),"",IF(AND(B304&gt;=Settings!$C$6,B304&lt;=Settings!$C$6+6),B304*1000+ROW(),""))</f>
        <v/>
      </c>
    </row>
    <row r="305">
      <c r="A305" s="1" t="n"/>
      <c r="B305" s="28" t="n"/>
      <c r="C305" s="29" t="n"/>
      <c r="D305" s="30" t="n"/>
      <c r="E305" s="31" t="n"/>
      <c r="F305" s="32" t="n"/>
      <c r="G305" s="32" t="n"/>
      <c r="H305" s="33" t="n"/>
      <c r="I305" s="34">
        <f>IF(B305="","",IF(D305&lt;&gt;"",D305,IF(AND(ISNUMBER(B305),ISNUMBER(C305)),IF(OR(WEEKDAY(B305,2)&gt;5,C305&lt;1,C305&gt;10),"",IF(INDEX(Timetable!$E$6:$I$15,C305,WEEKDAY(B305,2))="","",INDEX(Timetable!$E$6:$I$15,C305,WEEKDAY(B305,2)))),"")))</f>
        <v/>
      </c>
      <c r="J305" s="1" t="n"/>
      <c r="K305">
        <f>IF(AND(ISNUMBER(B305),ISNUMBER(C305)),B305*100+C305,"")</f>
        <v/>
      </c>
      <c r="L305">
        <f>IF(OR(G305="",NOT(ISNUMBER(B305))),"",IF(AND(B305&gt;=Settings!$C$6,B305&lt;=Settings!$C$6+6),B305*1000+ROW(),""))</f>
        <v/>
      </c>
    </row>
    <row r="306">
      <c r="A306" s="1" t="n"/>
      <c r="B306" s="28" t="n"/>
      <c r="C306" s="29" t="n"/>
      <c r="D306" s="30" t="n"/>
      <c r="E306" s="31" t="n"/>
      <c r="F306" s="32" t="n"/>
      <c r="G306" s="32" t="n"/>
      <c r="H306" s="33" t="n"/>
      <c r="I306" s="34">
        <f>IF(B306="","",IF(D306&lt;&gt;"",D306,IF(AND(ISNUMBER(B306),ISNUMBER(C306)),IF(OR(WEEKDAY(B306,2)&gt;5,C306&lt;1,C306&gt;10),"",IF(INDEX(Timetable!$E$6:$I$15,C306,WEEKDAY(B306,2))="","",INDEX(Timetable!$E$6:$I$15,C306,WEEKDAY(B306,2)))),"")))</f>
        <v/>
      </c>
      <c r="J306" s="1" t="n"/>
      <c r="K306">
        <f>IF(AND(ISNUMBER(B306),ISNUMBER(C306)),B306*100+C306,"")</f>
        <v/>
      </c>
      <c r="L306">
        <f>IF(OR(G306="",NOT(ISNUMBER(B306))),"",IF(AND(B306&gt;=Settings!$C$6,B306&lt;=Settings!$C$6+6),B306*1000+ROW(),""))</f>
        <v/>
      </c>
    </row>
    <row r="307">
      <c r="A307" s="1" t="n"/>
      <c r="B307" s="28" t="n"/>
      <c r="C307" s="29" t="n"/>
      <c r="D307" s="30" t="n"/>
      <c r="E307" s="31" t="n"/>
      <c r="F307" s="32" t="n"/>
      <c r="G307" s="32" t="n"/>
      <c r="H307" s="33" t="n"/>
      <c r="I307" s="34">
        <f>IF(B307="","",IF(D307&lt;&gt;"",D307,IF(AND(ISNUMBER(B307),ISNUMBER(C307)),IF(OR(WEEKDAY(B307,2)&gt;5,C307&lt;1,C307&gt;10),"",IF(INDEX(Timetable!$E$6:$I$15,C307,WEEKDAY(B307,2))="","",INDEX(Timetable!$E$6:$I$15,C307,WEEKDAY(B307,2)))),"")))</f>
        <v/>
      </c>
      <c r="J307" s="1" t="n"/>
      <c r="K307">
        <f>IF(AND(ISNUMBER(B307),ISNUMBER(C307)),B307*100+C307,"")</f>
        <v/>
      </c>
      <c r="L307">
        <f>IF(OR(G307="",NOT(ISNUMBER(B307))),"",IF(AND(B307&gt;=Settings!$C$6,B307&lt;=Settings!$C$6+6),B307*1000+ROW(),""))</f>
        <v/>
      </c>
    </row>
    <row r="308">
      <c r="A308" s="1" t="n"/>
      <c r="B308" s="28" t="n"/>
      <c r="C308" s="29" t="n"/>
      <c r="D308" s="30" t="n"/>
      <c r="E308" s="31" t="n"/>
      <c r="F308" s="32" t="n"/>
      <c r="G308" s="32" t="n"/>
      <c r="H308" s="33" t="n"/>
      <c r="I308" s="34">
        <f>IF(B308="","",IF(D308&lt;&gt;"",D308,IF(AND(ISNUMBER(B308),ISNUMBER(C308)),IF(OR(WEEKDAY(B308,2)&gt;5,C308&lt;1,C308&gt;10),"",IF(INDEX(Timetable!$E$6:$I$15,C308,WEEKDAY(B308,2))="","",INDEX(Timetable!$E$6:$I$15,C308,WEEKDAY(B308,2)))),"")))</f>
        <v/>
      </c>
      <c r="J308" s="1" t="n"/>
      <c r="K308">
        <f>IF(AND(ISNUMBER(B308),ISNUMBER(C308)),B308*100+C308,"")</f>
        <v/>
      </c>
      <c r="L308">
        <f>IF(OR(G308="",NOT(ISNUMBER(B308))),"",IF(AND(B308&gt;=Settings!$C$6,B308&lt;=Settings!$C$6+6),B308*1000+ROW(),""))</f>
        <v/>
      </c>
    </row>
    <row r="309">
      <c r="A309" s="1" t="n"/>
      <c r="B309" s="28" t="n"/>
      <c r="C309" s="29" t="n"/>
      <c r="D309" s="30" t="n"/>
      <c r="E309" s="31" t="n"/>
      <c r="F309" s="32" t="n"/>
      <c r="G309" s="32" t="n"/>
      <c r="H309" s="33" t="n"/>
      <c r="I309" s="34">
        <f>IF(B309="","",IF(D309&lt;&gt;"",D309,IF(AND(ISNUMBER(B309),ISNUMBER(C309)),IF(OR(WEEKDAY(B309,2)&gt;5,C309&lt;1,C309&gt;10),"",IF(INDEX(Timetable!$E$6:$I$15,C309,WEEKDAY(B309,2))="","",INDEX(Timetable!$E$6:$I$15,C309,WEEKDAY(B309,2)))),"")))</f>
        <v/>
      </c>
      <c r="J309" s="1" t="n"/>
      <c r="K309">
        <f>IF(AND(ISNUMBER(B309),ISNUMBER(C309)),B309*100+C309,"")</f>
        <v/>
      </c>
      <c r="L309">
        <f>IF(OR(G309="",NOT(ISNUMBER(B309))),"",IF(AND(B309&gt;=Settings!$C$6,B309&lt;=Settings!$C$6+6),B309*1000+ROW(),""))</f>
        <v/>
      </c>
    </row>
    <row r="310">
      <c r="A310" s="1" t="n"/>
      <c r="B310" s="28" t="n"/>
      <c r="C310" s="29" t="n"/>
      <c r="D310" s="30" t="n"/>
      <c r="E310" s="31" t="n"/>
      <c r="F310" s="32" t="n"/>
      <c r="G310" s="32" t="n"/>
      <c r="H310" s="33" t="n"/>
      <c r="I310" s="34">
        <f>IF(B310="","",IF(D310&lt;&gt;"",D310,IF(AND(ISNUMBER(B310),ISNUMBER(C310)),IF(OR(WEEKDAY(B310,2)&gt;5,C310&lt;1,C310&gt;10),"",IF(INDEX(Timetable!$E$6:$I$15,C310,WEEKDAY(B310,2))="","",INDEX(Timetable!$E$6:$I$15,C310,WEEKDAY(B310,2)))),"")))</f>
        <v/>
      </c>
      <c r="J310" s="1" t="n"/>
      <c r="K310">
        <f>IF(AND(ISNUMBER(B310),ISNUMBER(C310)),B310*100+C310,"")</f>
        <v/>
      </c>
      <c r="L310">
        <f>IF(OR(G310="",NOT(ISNUMBER(B310))),"",IF(AND(B310&gt;=Settings!$C$6,B310&lt;=Settings!$C$6+6),B310*1000+ROW(),""))</f>
        <v/>
      </c>
    </row>
    <row r="311">
      <c r="A311" s="1" t="n"/>
      <c r="B311" s="28" t="n"/>
      <c r="C311" s="29" t="n"/>
      <c r="D311" s="30" t="n"/>
      <c r="E311" s="31" t="n"/>
      <c r="F311" s="32" t="n"/>
      <c r="G311" s="32" t="n"/>
      <c r="H311" s="33" t="n"/>
      <c r="I311" s="34">
        <f>IF(B311="","",IF(D311&lt;&gt;"",D311,IF(AND(ISNUMBER(B311),ISNUMBER(C311)),IF(OR(WEEKDAY(B311,2)&gt;5,C311&lt;1,C311&gt;10),"",IF(INDEX(Timetable!$E$6:$I$15,C311,WEEKDAY(B311,2))="","",INDEX(Timetable!$E$6:$I$15,C311,WEEKDAY(B311,2)))),"")))</f>
        <v/>
      </c>
      <c r="J311" s="1" t="n"/>
      <c r="K311">
        <f>IF(AND(ISNUMBER(B311),ISNUMBER(C311)),B311*100+C311,"")</f>
        <v/>
      </c>
      <c r="L311">
        <f>IF(OR(G311="",NOT(ISNUMBER(B311))),"",IF(AND(B311&gt;=Settings!$C$6,B311&lt;=Settings!$C$6+6),B311*1000+ROW(),""))</f>
        <v/>
      </c>
    </row>
    <row r="312">
      <c r="A312" s="1" t="n"/>
      <c r="B312" s="28" t="n"/>
      <c r="C312" s="29" t="n"/>
      <c r="D312" s="30" t="n"/>
      <c r="E312" s="31" t="n"/>
      <c r="F312" s="32" t="n"/>
      <c r="G312" s="32" t="n"/>
      <c r="H312" s="33" t="n"/>
      <c r="I312" s="34">
        <f>IF(B312="","",IF(D312&lt;&gt;"",D312,IF(AND(ISNUMBER(B312),ISNUMBER(C312)),IF(OR(WEEKDAY(B312,2)&gt;5,C312&lt;1,C312&gt;10),"",IF(INDEX(Timetable!$E$6:$I$15,C312,WEEKDAY(B312,2))="","",INDEX(Timetable!$E$6:$I$15,C312,WEEKDAY(B312,2)))),"")))</f>
        <v/>
      </c>
      <c r="J312" s="1" t="n"/>
      <c r="K312">
        <f>IF(AND(ISNUMBER(B312),ISNUMBER(C312)),B312*100+C312,"")</f>
        <v/>
      </c>
      <c r="L312">
        <f>IF(OR(G312="",NOT(ISNUMBER(B312))),"",IF(AND(B312&gt;=Settings!$C$6,B312&lt;=Settings!$C$6+6),B312*1000+ROW(),""))</f>
        <v/>
      </c>
    </row>
    <row r="313">
      <c r="A313" s="1" t="n"/>
      <c r="B313" s="28" t="n"/>
      <c r="C313" s="29" t="n"/>
      <c r="D313" s="30" t="n"/>
      <c r="E313" s="31" t="n"/>
      <c r="F313" s="32" t="n"/>
      <c r="G313" s="32" t="n"/>
      <c r="H313" s="33" t="n"/>
      <c r="I313" s="34">
        <f>IF(B313="","",IF(D313&lt;&gt;"",D313,IF(AND(ISNUMBER(B313),ISNUMBER(C313)),IF(OR(WEEKDAY(B313,2)&gt;5,C313&lt;1,C313&gt;10),"",IF(INDEX(Timetable!$E$6:$I$15,C313,WEEKDAY(B313,2))="","",INDEX(Timetable!$E$6:$I$15,C313,WEEKDAY(B313,2)))),"")))</f>
        <v/>
      </c>
      <c r="J313" s="1" t="n"/>
      <c r="K313">
        <f>IF(AND(ISNUMBER(B313),ISNUMBER(C313)),B313*100+C313,"")</f>
        <v/>
      </c>
      <c r="L313">
        <f>IF(OR(G313="",NOT(ISNUMBER(B313))),"",IF(AND(B313&gt;=Settings!$C$6,B313&lt;=Settings!$C$6+6),B313*1000+ROW(),""))</f>
        <v/>
      </c>
    </row>
    <row r="314">
      <c r="A314" s="1" t="n"/>
      <c r="B314" s="28" t="n"/>
      <c r="C314" s="29" t="n"/>
      <c r="D314" s="30" t="n"/>
      <c r="E314" s="31" t="n"/>
      <c r="F314" s="32" t="n"/>
      <c r="G314" s="32" t="n"/>
      <c r="H314" s="33" t="n"/>
      <c r="I314" s="34">
        <f>IF(B314="","",IF(D314&lt;&gt;"",D314,IF(AND(ISNUMBER(B314),ISNUMBER(C314)),IF(OR(WEEKDAY(B314,2)&gt;5,C314&lt;1,C314&gt;10),"",IF(INDEX(Timetable!$E$6:$I$15,C314,WEEKDAY(B314,2))="","",INDEX(Timetable!$E$6:$I$15,C314,WEEKDAY(B314,2)))),"")))</f>
        <v/>
      </c>
      <c r="J314" s="1" t="n"/>
      <c r="K314">
        <f>IF(AND(ISNUMBER(B314),ISNUMBER(C314)),B314*100+C314,"")</f>
        <v/>
      </c>
      <c r="L314">
        <f>IF(OR(G314="",NOT(ISNUMBER(B314))),"",IF(AND(B314&gt;=Settings!$C$6,B314&lt;=Settings!$C$6+6),B314*1000+ROW(),""))</f>
        <v/>
      </c>
    </row>
    <row r="315">
      <c r="A315" s="1" t="n"/>
      <c r="B315" s="28" t="n"/>
      <c r="C315" s="29" t="n"/>
      <c r="D315" s="30" t="n"/>
      <c r="E315" s="31" t="n"/>
      <c r="F315" s="32" t="n"/>
      <c r="G315" s="32" t="n"/>
      <c r="H315" s="33" t="n"/>
      <c r="I315" s="34">
        <f>IF(B315="","",IF(D315&lt;&gt;"",D315,IF(AND(ISNUMBER(B315),ISNUMBER(C315)),IF(OR(WEEKDAY(B315,2)&gt;5,C315&lt;1,C315&gt;10),"",IF(INDEX(Timetable!$E$6:$I$15,C315,WEEKDAY(B315,2))="","",INDEX(Timetable!$E$6:$I$15,C315,WEEKDAY(B315,2)))),"")))</f>
        <v/>
      </c>
      <c r="J315" s="1" t="n"/>
      <c r="K315">
        <f>IF(AND(ISNUMBER(B315),ISNUMBER(C315)),B315*100+C315,"")</f>
        <v/>
      </c>
      <c r="L315">
        <f>IF(OR(G315="",NOT(ISNUMBER(B315))),"",IF(AND(B315&gt;=Settings!$C$6,B315&lt;=Settings!$C$6+6),B315*1000+ROW(),""))</f>
        <v/>
      </c>
    </row>
    <row r="316">
      <c r="A316" s="1" t="n"/>
      <c r="B316" s="28" t="n"/>
      <c r="C316" s="29" t="n"/>
      <c r="D316" s="30" t="n"/>
      <c r="E316" s="31" t="n"/>
      <c r="F316" s="32" t="n"/>
      <c r="G316" s="32" t="n"/>
      <c r="H316" s="33" t="n"/>
      <c r="I316" s="34">
        <f>IF(B316="","",IF(D316&lt;&gt;"",D316,IF(AND(ISNUMBER(B316),ISNUMBER(C316)),IF(OR(WEEKDAY(B316,2)&gt;5,C316&lt;1,C316&gt;10),"",IF(INDEX(Timetable!$E$6:$I$15,C316,WEEKDAY(B316,2))="","",INDEX(Timetable!$E$6:$I$15,C316,WEEKDAY(B316,2)))),"")))</f>
        <v/>
      </c>
      <c r="J316" s="1" t="n"/>
      <c r="K316">
        <f>IF(AND(ISNUMBER(B316),ISNUMBER(C316)),B316*100+C316,"")</f>
        <v/>
      </c>
      <c r="L316">
        <f>IF(OR(G316="",NOT(ISNUMBER(B316))),"",IF(AND(B316&gt;=Settings!$C$6,B316&lt;=Settings!$C$6+6),B316*1000+ROW(),""))</f>
        <v/>
      </c>
    </row>
    <row r="317">
      <c r="A317" s="1" t="n"/>
      <c r="B317" s="28" t="n"/>
      <c r="C317" s="29" t="n"/>
      <c r="D317" s="30" t="n"/>
      <c r="E317" s="31" t="n"/>
      <c r="F317" s="32" t="n"/>
      <c r="G317" s="32" t="n"/>
      <c r="H317" s="33" t="n"/>
      <c r="I317" s="34">
        <f>IF(B317="","",IF(D317&lt;&gt;"",D317,IF(AND(ISNUMBER(B317),ISNUMBER(C317)),IF(OR(WEEKDAY(B317,2)&gt;5,C317&lt;1,C317&gt;10),"",IF(INDEX(Timetable!$E$6:$I$15,C317,WEEKDAY(B317,2))="","",INDEX(Timetable!$E$6:$I$15,C317,WEEKDAY(B317,2)))),"")))</f>
        <v/>
      </c>
      <c r="J317" s="1" t="n"/>
      <c r="K317">
        <f>IF(AND(ISNUMBER(B317),ISNUMBER(C317)),B317*100+C317,"")</f>
        <v/>
      </c>
      <c r="L317">
        <f>IF(OR(G317="",NOT(ISNUMBER(B317))),"",IF(AND(B317&gt;=Settings!$C$6,B317&lt;=Settings!$C$6+6),B317*1000+ROW(),""))</f>
        <v/>
      </c>
    </row>
    <row r="318">
      <c r="A318" s="1" t="n"/>
      <c r="B318" s="28" t="n"/>
      <c r="C318" s="29" t="n"/>
      <c r="D318" s="30" t="n"/>
      <c r="E318" s="31" t="n"/>
      <c r="F318" s="32" t="n"/>
      <c r="G318" s="32" t="n"/>
      <c r="H318" s="33" t="n"/>
      <c r="I318" s="34">
        <f>IF(B318="","",IF(D318&lt;&gt;"",D318,IF(AND(ISNUMBER(B318),ISNUMBER(C318)),IF(OR(WEEKDAY(B318,2)&gt;5,C318&lt;1,C318&gt;10),"",IF(INDEX(Timetable!$E$6:$I$15,C318,WEEKDAY(B318,2))="","",INDEX(Timetable!$E$6:$I$15,C318,WEEKDAY(B318,2)))),"")))</f>
        <v/>
      </c>
      <c r="J318" s="1" t="n"/>
      <c r="K318">
        <f>IF(AND(ISNUMBER(B318),ISNUMBER(C318)),B318*100+C318,"")</f>
        <v/>
      </c>
      <c r="L318">
        <f>IF(OR(G318="",NOT(ISNUMBER(B318))),"",IF(AND(B318&gt;=Settings!$C$6,B318&lt;=Settings!$C$6+6),B318*1000+ROW(),""))</f>
        <v/>
      </c>
    </row>
    <row r="319">
      <c r="A319" s="1" t="n"/>
      <c r="B319" s="28" t="n"/>
      <c r="C319" s="29" t="n"/>
      <c r="D319" s="30" t="n"/>
      <c r="E319" s="31" t="n"/>
      <c r="F319" s="32" t="n"/>
      <c r="G319" s="32" t="n"/>
      <c r="H319" s="33" t="n"/>
      <c r="I319" s="34">
        <f>IF(B319="","",IF(D319&lt;&gt;"",D319,IF(AND(ISNUMBER(B319),ISNUMBER(C319)),IF(OR(WEEKDAY(B319,2)&gt;5,C319&lt;1,C319&gt;10),"",IF(INDEX(Timetable!$E$6:$I$15,C319,WEEKDAY(B319,2))="","",INDEX(Timetable!$E$6:$I$15,C319,WEEKDAY(B319,2)))),"")))</f>
        <v/>
      </c>
      <c r="J319" s="1" t="n"/>
      <c r="K319">
        <f>IF(AND(ISNUMBER(B319),ISNUMBER(C319)),B319*100+C319,"")</f>
        <v/>
      </c>
      <c r="L319">
        <f>IF(OR(G319="",NOT(ISNUMBER(B319))),"",IF(AND(B319&gt;=Settings!$C$6,B319&lt;=Settings!$C$6+6),B319*1000+ROW(),""))</f>
        <v/>
      </c>
    </row>
    <row r="320">
      <c r="A320" s="1" t="n"/>
      <c r="B320" s="28" t="n"/>
      <c r="C320" s="29" t="n"/>
      <c r="D320" s="30" t="n"/>
      <c r="E320" s="31" t="n"/>
      <c r="F320" s="32" t="n"/>
      <c r="G320" s="32" t="n"/>
      <c r="H320" s="33" t="n"/>
      <c r="I320" s="34">
        <f>IF(B320="","",IF(D320&lt;&gt;"",D320,IF(AND(ISNUMBER(B320),ISNUMBER(C320)),IF(OR(WEEKDAY(B320,2)&gt;5,C320&lt;1,C320&gt;10),"",IF(INDEX(Timetable!$E$6:$I$15,C320,WEEKDAY(B320,2))="","",INDEX(Timetable!$E$6:$I$15,C320,WEEKDAY(B320,2)))),"")))</f>
        <v/>
      </c>
      <c r="J320" s="1" t="n"/>
      <c r="K320">
        <f>IF(AND(ISNUMBER(B320),ISNUMBER(C320)),B320*100+C320,"")</f>
        <v/>
      </c>
      <c r="L320">
        <f>IF(OR(G320="",NOT(ISNUMBER(B320))),"",IF(AND(B320&gt;=Settings!$C$6,B320&lt;=Settings!$C$6+6),B320*1000+ROW(),""))</f>
        <v/>
      </c>
    </row>
    <row r="321">
      <c r="A321" s="1" t="n"/>
      <c r="B321" s="28" t="n"/>
      <c r="C321" s="29" t="n"/>
      <c r="D321" s="30" t="n"/>
      <c r="E321" s="31" t="n"/>
      <c r="F321" s="32" t="n"/>
      <c r="G321" s="32" t="n"/>
      <c r="H321" s="33" t="n"/>
      <c r="I321" s="34">
        <f>IF(B321="","",IF(D321&lt;&gt;"",D321,IF(AND(ISNUMBER(B321),ISNUMBER(C321)),IF(OR(WEEKDAY(B321,2)&gt;5,C321&lt;1,C321&gt;10),"",IF(INDEX(Timetable!$E$6:$I$15,C321,WEEKDAY(B321,2))="","",INDEX(Timetable!$E$6:$I$15,C321,WEEKDAY(B321,2)))),"")))</f>
        <v/>
      </c>
      <c r="J321" s="1" t="n"/>
      <c r="K321">
        <f>IF(AND(ISNUMBER(B321),ISNUMBER(C321)),B321*100+C321,"")</f>
        <v/>
      </c>
      <c r="L321">
        <f>IF(OR(G321="",NOT(ISNUMBER(B321))),"",IF(AND(B321&gt;=Settings!$C$6,B321&lt;=Settings!$C$6+6),B321*1000+ROW(),""))</f>
        <v/>
      </c>
    </row>
    <row r="322">
      <c r="A322" s="1" t="n"/>
      <c r="B322" s="28" t="n"/>
      <c r="C322" s="29" t="n"/>
      <c r="D322" s="30" t="n"/>
      <c r="E322" s="31" t="n"/>
      <c r="F322" s="32" t="n"/>
      <c r="G322" s="32" t="n"/>
      <c r="H322" s="33" t="n"/>
      <c r="I322" s="34">
        <f>IF(B322="","",IF(D322&lt;&gt;"",D322,IF(AND(ISNUMBER(B322),ISNUMBER(C322)),IF(OR(WEEKDAY(B322,2)&gt;5,C322&lt;1,C322&gt;10),"",IF(INDEX(Timetable!$E$6:$I$15,C322,WEEKDAY(B322,2))="","",INDEX(Timetable!$E$6:$I$15,C322,WEEKDAY(B322,2)))),"")))</f>
        <v/>
      </c>
      <c r="J322" s="1" t="n"/>
      <c r="K322">
        <f>IF(AND(ISNUMBER(B322),ISNUMBER(C322)),B322*100+C322,"")</f>
        <v/>
      </c>
      <c r="L322">
        <f>IF(OR(G322="",NOT(ISNUMBER(B322))),"",IF(AND(B322&gt;=Settings!$C$6,B322&lt;=Settings!$C$6+6),B322*1000+ROW(),""))</f>
        <v/>
      </c>
    </row>
    <row r="323">
      <c r="A323" s="1" t="n"/>
      <c r="B323" s="28" t="n"/>
      <c r="C323" s="29" t="n"/>
      <c r="D323" s="30" t="n"/>
      <c r="E323" s="31" t="n"/>
      <c r="F323" s="32" t="n"/>
      <c r="G323" s="32" t="n"/>
      <c r="H323" s="33" t="n"/>
      <c r="I323" s="34">
        <f>IF(B323="","",IF(D323&lt;&gt;"",D323,IF(AND(ISNUMBER(B323),ISNUMBER(C323)),IF(OR(WEEKDAY(B323,2)&gt;5,C323&lt;1,C323&gt;10),"",IF(INDEX(Timetable!$E$6:$I$15,C323,WEEKDAY(B323,2))="","",INDEX(Timetable!$E$6:$I$15,C323,WEEKDAY(B323,2)))),"")))</f>
        <v/>
      </c>
      <c r="J323" s="1" t="n"/>
      <c r="K323">
        <f>IF(AND(ISNUMBER(B323),ISNUMBER(C323)),B323*100+C323,"")</f>
        <v/>
      </c>
      <c r="L323">
        <f>IF(OR(G323="",NOT(ISNUMBER(B323))),"",IF(AND(B323&gt;=Settings!$C$6,B323&lt;=Settings!$C$6+6),B323*1000+ROW(),""))</f>
        <v/>
      </c>
    </row>
    <row r="324">
      <c r="A324" s="1" t="n"/>
      <c r="B324" s="28" t="n"/>
      <c r="C324" s="29" t="n"/>
      <c r="D324" s="30" t="n"/>
      <c r="E324" s="31" t="n"/>
      <c r="F324" s="32" t="n"/>
      <c r="G324" s="32" t="n"/>
      <c r="H324" s="33" t="n"/>
      <c r="I324" s="34">
        <f>IF(B324="","",IF(D324&lt;&gt;"",D324,IF(AND(ISNUMBER(B324),ISNUMBER(C324)),IF(OR(WEEKDAY(B324,2)&gt;5,C324&lt;1,C324&gt;10),"",IF(INDEX(Timetable!$E$6:$I$15,C324,WEEKDAY(B324,2))="","",INDEX(Timetable!$E$6:$I$15,C324,WEEKDAY(B324,2)))),"")))</f>
        <v/>
      </c>
      <c r="J324" s="1" t="n"/>
      <c r="K324">
        <f>IF(AND(ISNUMBER(B324),ISNUMBER(C324)),B324*100+C324,"")</f>
        <v/>
      </c>
      <c r="L324">
        <f>IF(OR(G324="",NOT(ISNUMBER(B324))),"",IF(AND(B324&gt;=Settings!$C$6,B324&lt;=Settings!$C$6+6),B324*1000+ROW(),""))</f>
        <v/>
      </c>
    </row>
    <row r="325">
      <c r="A325" s="1" t="n"/>
      <c r="B325" s="28" t="n"/>
      <c r="C325" s="29" t="n"/>
      <c r="D325" s="30" t="n"/>
      <c r="E325" s="31" t="n"/>
      <c r="F325" s="32" t="n"/>
      <c r="G325" s="32" t="n"/>
      <c r="H325" s="33" t="n"/>
      <c r="I325" s="34">
        <f>IF(B325="","",IF(D325&lt;&gt;"",D325,IF(AND(ISNUMBER(B325),ISNUMBER(C325)),IF(OR(WEEKDAY(B325,2)&gt;5,C325&lt;1,C325&gt;10),"",IF(INDEX(Timetable!$E$6:$I$15,C325,WEEKDAY(B325,2))="","",INDEX(Timetable!$E$6:$I$15,C325,WEEKDAY(B325,2)))),"")))</f>
        <v/>
      </c>
      <c r="J325" s="1" t="n"/>
      <c r="K325">
        <f>IF(AND(ISNUMBER(B325),ISNUMBER(C325)),B325*100+C325,"")</f>
        <v/>
      </c>
      <c r="L325">
        <f>IF(OR(G325="",NOT(ISNUMBER(B325))),"",IF(AND(B325&gt;=Settings!$C$6,B325&lt;=Settings!$C$6+6),B325*1000+ROW(),""))</f>
        <v/>
      </c>
    </row>
    <row r="326">
      <c r="A326" s="1" t="n"/>
      <c r="B326" s="28" t="n"/>
      <c r="C326" s="29" t="n"/>
      <c r="D326" s="30" t="n"/>
      <c r="E326" s="31" t="n"/>
      <c r="F326" s="32" t="n"/>
      <c r="G326" s="32" t="n"/>
      <c r="H326" s="33" t="n"/>
      <c r="I326" s="34">
        <f>IF(B326="","",IF(D326&lt;&gt;"",D326,IF(AND(ISNUMBER(B326),ISNUMBER(C326)),IF(OR(WEEKDAY(B326,2)&gt;5,C326&lt;1,C326&gt;10),"",IF(INDEX(Timetable!$E$6:$I$15,C326,WEEKDAY(B326,2))="","",INDEX(Timetable!$E$6:$I$15,C326,WEEKDAY(B326,2)))),"")))</f>
        <v/>
      </c>
      <c r="J326" s="1" t="n"/>
      <c r="K326">
        <f>IF(AND(ISNUMBER(B326),ISNUMBER(C326)),B326*100+C326,"")</f>
        <v/>
      </c>
      <c r="L326">
        <f>IF(OR(G326="",NOT(ISNUMBER(B326))),"",IF(AND(B326&gt;=Settings!$C$6,B326&lt;=Settings!$C$6+6),B326*1000+ROW(),""))</f>
        <v/>
      </c>
    </row>
    <row r="327">
      <c r="A327" s="1" t="n"/>
      <c r="B327" s="28" t="n"/>
      <c r="C327" s="29" t="n"/>
      <c r="D327" s="30" t="n"/>
      <c r="E327" s="31" t="n"/>
      <c r="F327" s="32" t="n"/>
      <c r="G327" s="32" t="n"/>
      <c r="H327" s="33" t="n"/>
      <c r="I327" s="34">
        <f>IF(B327="","",IF(D327&lt;&gt;"",D327,IF(AND(ISNUMBER(B327),ISNUMBER(C327)),IF(OR(WEEKDAY(B327,2)&gt;5,C327&lt;1,C327&gt;10),"",IF(INDEX(Timetable!$E$6:$I$15,C327,WEEKDAY(B327,2))="","",INDEX(Timetable!$E$6:$I$15,C327,WEEKDAY(B327,2)))),"")))</f>
        <v/>
      </c>
      <c r="J327" s="1" t="n"/>
      <c r="K327">
        <f>IF(AND(ISNUMBER(B327),ISNUMBER(C327)),B327*100+C327,"")</f>
        <v/>
      </c>
      <c r="L327">
        <f>IF(OR(G327="",NOT(ISNUMBER(B327))),"",IF(AND(B327&gt;=Settings!$C$6,B327&lt;=Settings!$C$6+6),B327*1000+ROW(),""))</f>
        <v/>
      </c>
    </row>
    <row r="328">
      <c r="A328" s="1" t="n"/>
      <c r="B328" s="28" t="n"/>
      <c r="C328" s="29" t="n"/>
      <c r="D328" s="30" t="n"/>
      <c r="E328" s="31" t="n"/>
      <c r="F328" s="32" t="n"/>
      <c r="G328" s="32" t="n"/>
      <c r="H328" s="33" t="n"/>
      <c r="I328" s="34">
        <f>IF(B328="","",IF(D328&lt;&gt;"",D328,IF(AND(ISNUMBER(B328),ISNUMBER(C328)),IF(OR(WEEKDAY(B328,2)&gt;5,C328&lt;1,C328&gt;10),"",IF(INDEX(Timetable!$E$6:$I$15,C328,WEEKDAY(B328,2))="","",INDEX(Timetable!$E$6:$I$15,C328,WEEKDAY(B328,2)))),"")))</f>
        <v/>
      </c>
      <c r="J328" s="1" t="n"/>
      <c r="K328">
        <f>IF(AND(ISNUMBER(B328),ISNUMBER(C328)),B328*100+C328,"")</f>
        <v/>
      </c>
      <c r="L328">
        <f>IF(OR(G328="",NOT(ISNUMBER(B328))),"",IF(AND(B328&gt;=Settings!$C$6,B328&lt;=Settings!$C$6+6),B328*1000+ROW(),""))</f>
        <v/>
      </c>
    </row>
    <row r="329">
      <c r="A329" s="1" t="n"/>
      <c r="B329" s="28" t="n"/>
      <c r="C329" s="29" t="n"/>
      <c r="D329" s="30" t="n"/>
      <c r="E329" s="31" t="n"/>
      <c r="F329" s="32" t="n"/>
      <c r="G329" s="32" t="n"/>
      <c r="H329" s="33" t="n"/>
      <c r="I329" s="34">
        <f>IF(B329="","",IF(D329&lt;&gt;"",D329,IF(AND(ISNUMBER(B329),ISNUMBER(C329)),IF(OR(WEEKDAY(B329,2)&gt;5,C329&lt;1,C329&gt;10),"",IF(INDEX(Timetable!$E$6:$I$15,C329,WEEKDAY(B329,2))="","",INDEX(Timetable!$E$6:$I$15,C329,WEEKDAY(B329,2)))),"")))</f>
        <v/>
      </c>
      <c r="J329" s="1" t="n"/>
      <c r="K329">
        <f>IF(AND(ISNUMBER(B329),ISNUMBER(C329)),B329*100+C329,"")</f>
        <v/>
      </c>
      <c r="L329">
        <f>IF(OR(G329="",NOT(ISNUMBER(B329))),"",IF(AND(B329&gt;=Settings!$C$6,B329&lt;=Settings!$C$6+6),B329*1000+ROW(),""))</f>
        <v/>
      </c>
    </row>
    <row r="330">
      <c r="A330" s="1" t="n"/>
      <c r="B330" s="28" t="n"/>
      <c r="C330" s="29" t="n"/>
      <c r="D330" s="30" t="n"/>
      <c r="E330" s="31" t="n"/>
      <c r="F330" s="32" t="n"/>
      <c r="G330" s="32" t="n"/>
      <c r="H330" s="33" t="n"/>
      <c r="I330" s="34">
        <f>IF(B330="","",IF(D330&lt;&gt;"",D330,IF(AND(ISNUMBER(B330),ISNUMBER(C330)),IF(OR(WEEKDAY(B330,2)&gt;5,C330&lt;1,C330&gt;10),"",IF(INDEX(Timetable!$E$6:$I$15,C330,WEEKDAY(B330,2))="","",INDEX(Timetable!$E$6:$I$15,C330,WEEKDAY(B330,2)))),"")))</f>
        <v/>
      </c>
      <c r="J330" s="1" t="n"/>
      <c r="K330">
        <f>IF(AND(ISNUMBER(B330),ISNUMBER(C330)),B330*100+C330,"")</f>
        <v/>
      </c>
      <c r="L330">
        <f>IF(OR(G330="",NOT(ISNUMBER(B330))),"",IF(AND(B330&gt;=Settings!$C$6,B330&lt;=Settings!$C$6+6),B330*1000+ROW(),""))</f>
        <v/>
      </c>
    </row>
    <row r="331">
      <c r="A331" s="1" t="n"/>
      <c r="B331" s="28" t="n"/>
      <c r="C331" s="29" t="n"/>
      <c r="D331" s="30" t="n"/>
      <c r="E331" s="31" t="n"/>
      <c r="F331" s="32" t="n"/>
      <c r="G331" s="32" t="n"/>
      <c r="H331" s="33" t="n"/>
      <c r="I331" s="34">
        <f>IF(B331="","",IF(D331&lt;&gt;"",D331,IF(AND(ISNUMBER(B331),ISNUMBER(C331)),IF(OR(WEEKDAY(B331,2)&gt;5,C331&lt;1,C331&gt;10),"",IF(INDEX(Timetable!$E$6:$I$15,C331,WEEKDAY(B331,2))="","",INDEX(Timetable!$E$6:$I$15,C331,WEEKDAY(B331,2)))),"")))</f>
        <v/>
      </c>
      <c r="J331" s="1" t="n"/>
      <c r="K331">
        <f>IF(AND(ISNUMBER(B331),ISNUMBER(C331)),B331*100+C331,"")</f>
        <v/>
      </c>
      <c r="L331">
        <f>IF(OR(G331="",NOT(ISNUMBER(B331))),"",IF(AND(B331&gt;=Settings!$C$6,B331&lt;=Settings!$C$6+6),B331*1000+ROW(),""))</f>
        <v/>
      </c>
    </row>
    <row r="332">
      <c r="A332" s="1" t="n"/>
      <c r="B332" s="28" t="n"/>
      <c r="C332" s="29" t="n"/>
      <c r="D332" s="30" t="n"/>
      <c r="E332" s="31" t="n"/>
      <c r="F332" s="32" t="n"/>
      <c r="G332" s="32" t="n"/>
      <c r="H332" s="33" t="n"/>
      <c r="I332" s="34">
        <f>IF(B332="","",IF(D332&lt;&gt;"",D332,IF(AND(ISNUMBER(B332),ISNUMBER(C332)),IF(OR(WEEKDAY(B332,2)&gt;5,C332&lt;1,C332&gt;10),"",IF(INDEX(Timetable!$E$6:$I$15,C332,WEEKDAY(B332,2))="","",INDEX(Timetable!$E$6:$I$15,C332,WEEKDAY(B332,2)))),"")))</f>
        <v/>
      </c>
      <c r="J332" s="1" t="n"/>
      <c r="K332">
        <f>IF(AND(ISNUMBER(B332),ISNUMBER(C332)),B332*100+C332,"")</f>
        <v/>
      </c>
      <c r="L332">
        <f>IF(OR(G332="",NOT(ISNUMBER(B332))),"",IF(AND(B332&gt;=Settings!$C$6,B332&lt;=Settings!$C$6+6),B332*1000+ROW(),""))</f>
        <v/>
      </c>
    </row>
    <row r="333">
      <c r="A333" s="1" t="n"/>
      <c r="B333" s="28" t="n"/>
      <c r="C333" s="29" t="n"/>
      <c r="D333" s="30" t="n"/>
      <c r="E333" s="31" t="n"/>
      <c r="F333" s="32" t="n"/>
      <c r="G333" s="32" t="n"/>
      <c r="H333" s="33" t="n"/>
      <c r="I333" s="34">
        <f>IF(B333="","",IF(D333&lt;&gt;"",D333,IF(AND(ISNUMBER(B333),ISNUMBER(C333)),IF(OR(WEEKDAY(B333,2)&gt;5,C333&lt;1,C333&gt;10),"",IF(INDEX(Timetable!$E$6:$I$15,C333,WEEKDAY(B333,2))="","",INDEX(Timetable!$E$6:$I$15,C333,WEEKDAY(B333,2)))),"")))</f>
        <v/>
      </c>
      <c r="J333" s="1" t="n"/>
      <c r="K333">
        <f>IF(AND(ISNUMBER(B333),ISNUMBER(C333)),B333*100+C333,"")</f>
        <v/>
      </c>
      <c r="L333">
        <f>IF(OR(G333="",NOT(ISNUMBER(B333))),"",IF(AND(B333&gt;=Settings!$C$6,B333&lt;=Settings!$C$6+6),B333*1000+ROW(),""))</f>
        <v/>
      </c>
    </row>
    <row r="334">
      <c r="A334" s="1" t="n"/>
      <c r="B334" s="28" t="n"/>
      <c r="C334" s="29" t="n"/>
      <c r="D334" s="30" t="n"/>
      <c r="E334" s="31" t="n"/>
      <c r="F334" s="32" t="n"/>
      <c r="G334" s="32" t="n"/>
      <c r="H334" s="33" t="n"/>
      <c r="I334" s="34">
        <f>IF(B334="","",IF(D334&lt;&gt;"",D334,IF(AND(ISNUMBER(B334),ISNUMBER(C334)),IF(OR(WEEKDAY(B334,2)&gt;5,C334&lt;1,C334&gt;10),"",IF(INDEX(Timetable!$E$6:$I$15,C334,WEEKDAY(B334,2))="","",INDEX(Timetable!$E$6:$I$15,C334,WEEKDAY(B334,2)))),"")))</f>
        <v/>
      </c>
      <c r="J334" s="1" t="n"/>
      <c r="K334">
        <f>IF(AND(ISNUMBER(B334),ISNUMBER(C334)),B334*100+C334,"")</f>
        <v/>
      </c>
      <c r="L334">
        <f>IF(OR(G334="",NOT(ISNUMBER(B334))),"",IF(AND(B334&gt;=Settings!$C$6,B334&lt;=Settings!$C$6+6),B334*1000+ROW(),""))</f>
        <v/>
      </c>
    </row>
    <row r="335">
      <c r="A335" s="1" t="n"/>
      <c r="B335" s="28" t="n"/>
      <c r="C335" s="29" t="n"/>
      <c r="D335" s="30" t="n"/>
      <c r="E335" s="31" t="n"/>
      <c r="F335" s="32" t="n"/>
      <c r="G335" s="32" t="n"/>
      <c r="H335" s="33" t="n"/>
      <c r="I335" s="34">
        <f>IF(B335="","",IF(D335&lt;&gt;"",D335,IF(AND(ISNUMBER(B335),ISNUMBER(C335)),IF(OR(WEEKDAY(B335,2)&gt;5,C335&lt;1,C335&gt;10),"",IF(INDEX(Timetable!$E$6:$I$15,C335,WEEKDAY(B335,2))="","",INDEX(Timetable!$E$6:$I$15,C335,WEEKDAY(B335,2)))),"")))</f>
        <v/>
      </c>
      <c r="J335" s="1" t="n"/>
      <c r="K335">
        <f>IF(AND(ISNUMBER(B335),ISNUMBER(C335)),B335*100+C335,"")</f>
        <v/>
      </c>
      <c r="L335">
        <f>IF(OR(G335="",NOT(ISNUMBER(B335))),"",IF(AND(B335&gt;=Settings!$C$6,B335&lt;=Settings!$C$6+6),B335*1000+ROW(),""))</f>
        <v/>
      </c>
    </row>
    <row r="336">
      <c r="A336" s="1" t="n"/>
      <c r="B336" s="28" t="n"/>
      <c r="C336" s="29" t="n"/>
      <c r="D336" s="30" t="n"/>
      <c r="E336" s="31" t="n"/>
      <c r="F336" s="32" t="n"/>
      <c r="G336" s="32" t="n"/>
      <c r="H336" s="33" t="n"/>
      <c r="I336" s="34">
        <f>IF(B336="","",IF(D336&lt;&gt;"",D336,IF(AND(ISNUMBER(B336),ISNUMBER(C336)),IF(OR(WEEKDAY(B336,2)&gt;5,C336&lt;1,C336&gt;10),"",IF(INDEX(Timetable!$E$6:$I$15,C336,WEEKDAY(B336,2))="","",INDEX(Timetable!$E$6:$I$15,C336,WEEKDAY(B336,2)))),"")))</f>
        <v/>
      </c>
      <c r="J336" s="1" t="n"/>
      <c r="K336">
        <f>IF(AND(ISNUMBER(B336),ISNUMBER(C336)),B336*100+C336,"")</f>
        <v/>
      </c>
      <c r="L336">
        <f>IF(OR(G336="",NOT(ISNUMBER(B336))),"",IF(AND(B336&gt;=Settings!$C$6,B336&lt;=Settings!$C$6+6),B336*1000+ROW(),""))</f>
        <v/>
      </c>
    </row>
    <row r="337">
      <c r="A337" s="1" t="n"/>
      <c r="B337" s="28" t="n"/>
      <c r="C337" s="29" t="n"/>
      <c r="D337" s="30" t="n"/>
      <c r="E337" s="31" t="n"/>
      <c r="F337" s="32" t="n"/>
      <c r="G337" s="32" t="n"/>
      <c r="H337" s="33" t="n"/>
      <c r="I337" s="34">
        <f>IF(B337="","",IF(D337&lt;&gt;"",D337,IF(AND(ISNUMBER(B337),ISNUMBER(C337)),IF(OR(WEEKDAY(B337,2)&gt;5,C337&lt;1,C337&gt;10),"",IF(INDEX(Timetable!$E$6:$I$15,C337,WEEKDAY(B337,2))="","",INDEX(Timetable!$E$6:$I$15,C337,WEEKDAY(B337,2)))),"")))</f>
        <v/>
      </c>
      <c r="J337" s="1" t="n"/>
      <c r="K337">
        <f>IF(AND(ISNUMBER(B337),ISNUMBER(C337)),B337*100+C337,"")</f>
        <v/>
      </c>
      <c r="L337">
        <f>IF(OR(G337="",NOT(ISNUMBER(B337))),"",IF(AND(B337&gt;=Settings!$C$6,B337&lt;=Settings!$C$6+6),B337*1000+ROW(),""))</f>
        <v/>
      </c>
    </row>
    <row r="338">
      <c r="A338" s="1" t="n"/>
      <c r="B338" s="28" t="n"/>
      <c r="C338" s="29" t="n"/>
      <c r="D338" s="30" t="n"/>
      <c r="E338" s="31" t="n"/>
      <c r="F338" s="32" t="n"/>
      <c r="G338" s="32" t="n"/>
      <c r="H338" s="33" t="n"/>
      <c r="I338" s="34">
        <f>IF(B338="","",IF(D338&lt;&gt;"",D338,IF(AND(ISNUMBER(B338),ISNUMBER(C338)),IF(OR(WEEKDAY(B338,2)&gt;5,C338&lt;1,C338&gt;10),"",IF(INDEX(Timetable!$E$6:$I$15,C338,WEEKDAY(B338,2))="","",INDEX(Timetable!$E$6:$I$15,C338,WEEKDAY(B338,2)))),"")))</f>
        <v/>
      </c>
      <c r="J338" s="1" t="n"/>
      <c r="K338">
        <f>IF(AND(ISNUMBER(B338),ISNUMBER(C338)),B338*100+C338,"")</f>
        <v/>
      </c>
      <c r="L338">
        <f>IF(OR(G338="",NOT(ISNUMBER(B338))),"",IF(AND(B338&gt;=Settings!$C$6,B338&lt;=Settings!$C$6+6),B338*1000+ROW(),""))</f>
        <v/>
      </c>
    </row>
    <row r="339">
      <c r="A339" s="1" t="n"/>
      <c r="B339" s="28" t="n"/>
      <c r="C339" s="29" t="n"/>
      <c r="D339" s="30" t="n"/>
      <c r="E339" s="31" t="n"/>
      <c r="F339" s="32" t="n"/>
      <c r="G339" s="32" t="n"/>
      <c r="H339" s="33" t="n"/>
      <c r="I339" s="34">
        <f>IF(B339="","",IF(D339&lt;&gt;"",D339,IF(AND(ISNUMBER(B339),ISNUMBER(C339)),IF(OR(WEEKDAY(B339,2)&gt;5,C339&lt;1,C339&gt;10),"",IF(INDEX(Timetable!$E$6:$I$15,C339,WEEKDAY(B339,2))="","",INDEX(Timetable!$E$6:$I$15,C339,WEEKDAY(B339,2)))),"")))</f>
        <v/>
      </c>
      <c r="J339" s="1" t="n"/>
      <c r="K339">
        <f>IF(AND(ISNUMBER(B339),ISNUMBER(C339)),B339*100+C339,"")</f>
        <v/>
      </c>
      <c r="L339">
        <f>IF(OR(G339="",NOT(ISNUMBER(B339))),"",IF(AND(B339&gt;=Settings!$C$6,B339&lt;=Settings!$C$6+6),B339*1000+ROW(),""))</f>
        <v/>
      </c>
    </row>
    <row r="340">
      <c r="A340" s="1" t="n"/>
      <c r="B340" s="28" t="n"/>
      <c r="C340" s="29" t="n"/>
      <c r="D340" s="30" t="n"/>
      <c r="E340" s="31" t="n"/>
      <c r="F340" s="32" t="n"/>
      <c r="G340" s="32" t="n"/>
      <c r="H340" s="33" t="n"/>
      <c r="I340" s="34">
        <f>IF(B340="","",IF(D340&lt;&gt;"",D340,IF(AND(ISNUMBER(B340),ISNUMBER(C340)),IF(OR(WEEKDAY(B340,2)&gt;5,C340&lt;1,C340&gt;10),"",IF(INDEX(Timetable!$E$6:$I$15,C340,WEEKDAY(B340,2))="","",INDEX(Timetable!$E$6:$I$15,C340,WEEKDAY(B340,2)))),"")))</f>
        <v/>
      </c>
      <c r="J340" s="1" t="n"/>
      <c r="K340">
        <f>IF(AND(ISNUMBER(B340),ISNUMBER(C340)),B340*100+C340,"")</f>
        <v/>
      </c>
      <c r="L340">
        <f>IF(OR(G340="",NOT(ISNUMBER(B340))),"",IF(AND(B340&gt;=Settings!$C$6,B340&lt;=Settings!$C$6+6),B340*1000+ROW(),""))</f>
        <v/>
      </c>
    </row>
    <row r="341">
      <c r="A341" s="1" t="n"/>
      <c r="B341" s="28" t="n"/>
      <c r="C341" s="29" t="n"/>
      <c r="D341" s="30" t="n"/>
      <c r="E341" s="31" t="n"/>
      <c r="F341" s="32" t="n"/>
      <c r="G341" s="32" t="n"/>
      <c r="H341" s="33" t="n"/>
      <c r="I341" s="34">
        <f>IF(B341="","",IF(D341&lt;&gt;"",D341,IF(AND(ISNUMBER(B341),ISNUMBER(C341)),IF(OR(WEEKDAY(B341,2)&gt;5,C341&lt;1,C341&gt;10),"",IF(INDEX(Timetable!$E$6:$I$15,C341,WEEKDAY(B341,2))="","",INDEX(Timetable!$E$6:$I$15,C341,WEEKDAY(B341,2)))),"")))</f>
        <v/>
      </c>
      <c r="J341" s="1" t="n"/>
      <c r="K341">
        <f>IF(AND(ISNUMBER(B341),ISNUMBER(C341)),B341*100+C341,"")</f>
        <v/>
      </c>
      <c r="L341">
        <f>IF(OR(G341="",NOT(ISNUMBER(B341))),"",IF(AND(B341&gt;=Settings!$C$6,B341&lt;=Settings!$C$6+6),B341*1000+ROW(),""))</f>
        <v/>
      </c>
    </row>
    <row r="342">
      <c r="A342" s="1" t="n"/>
      <c r="B342" s="28" t="n"/>
      <c r="C342" s="29" t="n"/>
      <c r="D342" s="30" t="n"/>
      <c r="E342" s="31" t="n"/>
      <c r="F342" s="32" t="n"/>
      <c r="G342" s="32" t="n"/>
      <c r="H342" s="33" t="n"/>
      <c r="I342" s="34">
        <f>IF(B342="","",IF(D342&lt;&gt;"",D342,IF(AND(ISNUMBER(B342),ISNUMBER(C342)),IF(OR(WEEKDAY(B342,2)&gt;5,C342&lt;1,C342&gt;10),"",IF(INDEX(Timetable!$E$6:$I$15,C342,WEEKDAY(B342,2))="","",INDEX(Timetable!$E$6:$I$15,C342,WEEKDAY(B342,2)))),"")))</f>
        <v/>
      </c>
      <c r="J342" s="1" t="n"/>
      <c r="K342">
        <f>IF(AND(ISNUMBER(B342),ISNUMBER(C342)),B342*100+C342,"")</f>
        <v/>
      </c>
      <c r="L342">
        <f>IF(OR(G342="",NOT(ISNUMBER(B342))),"",IF(AND(B342&gt;=Settings!$C$6,B342&lt;=Settings!$C$6+6),B342*1000+ROW(),""))</f>
        <v/>
      </c>
    </row>
    <row r="343">
      <c r="A343" s="1" t="n"/>
      <c r="B343" s="28" t="n"/>
      <c r="C343" s="29" t="n"/>
      <c r="D343" s="30" t="n"/>
      <c r="E343" s="31" t="n"/>
      <c r="F343" s="32" t="n"/>
      <c r="G343" s="32" t="n"/>
      <c r="H343" s="33" t="n"/>
      <c r="I343" s="34">
        <f>IF(B343="","",IF(D343&lt;&gt;"",D343,IF(AND(ISNUMBER(B343),ISNUMBER(C343)),IF(OR(WEEKDAY(B343,2)&gt;5,C343&lt;1,C343&gt;10),"",IF(INDEX(Timetable!$E$6:$I$15,C343,WEEKDAY(B343,2))="","",INDEX(Timetable!$E$6:$I$15,C343,WEEKDAY(B343,2)))),"")))</f>
        <v/>
      </c>
      <c r="J343" s="1" t="n"/>
      <c r="K343">
        <f>IF(AND(ISNUMBER(B343),ISNUMBER(C343)),B343*100+C343,"")</f>
        <v/>
      </c>
      <c r="L343">
        <f>IF(OR(G343="",NOT(ISNUMBER(B343))),"",IF(AND(B343&gt;=Settings!$C$6,B343&lt;=Settings!$C$6+6),B343*1000+ROW(),""))</f>
        <v/>
      </c>
    </row>
    <row r="344">
      <c r="A344" s="1" t="n"/>
      <c r="B344" s="28" t="n"/>
      <c r="C344" s="29" t="n"/>
      <c r="D344" s="30" t="n"/>
      <c r="E344" s="31" t="n"/>
      <c r="F344" s="32" t="n"/>
      <c r="G344" s="32" t="n"/>
      <c r="H344" s="33" t="n"/>
      <c r="I344" s="34">
        <f>IF(B344="","",IF(D344&lt;&gt;"",D344,IF(AND(ISNUMBER(B344),ISNUMBER(C344)),IF(OR(WEEKDAY(B344,2)&gt;5,C344&lt;1,C344&gt;10),"",IF(INDEX(Timetable!$E$6:$I$15,C344,WEEKDAY(B344,2))="","",INDEX(Timetable!$E$6:$I$15,C344,WEEKDAY(B344,2)))),"")))</f>
        <v/>
      </c>
      <c r="J344" s="1" t="n"/>
      <c r="K344">
        <f>IF(AND(ISNUMBER(B344),ISNUMBER(C344)),B344*100+C344,"")</f>
        <v/>
      </c>
      <c r="L344">
        <f>IF(OR(G344="",NOT(ISNUMBER(B344))),"",IF(AND(B344&gt;=Settings!$C$6,B344&lt;=Settings!$C$6+6),B344*1000+ROW(),""))</f>
        <v/>
      </c>
    </row>
    <row r="345">
      <c r="A345" s="1" t="n"/>
      <c r="B345" s="28" t="n"/>
      <c r="C345" s="29" t="n"/>
      <c r="D345" s="30" t="n"/>
      <c r="E345" s="31" t="n"/>
      <c r="F345" s="32" t="n"/>
      <c r="G345" s="32" t="n"/>
      <c r="H345" s="33" t="n"/>
      <c r="I345" s="34">
        <f>IF(B345="","",IF(D345&lt;&gt;"",D345,IF(AND(ISNUMBER(B345),ISNUMBER(C345)),IF(OR(WEEKDAY(B345,2)&gt;5,C345&lt;1,C345&gt;10),"",IF(INDEX(Timetable!$E$6:$I$15,C345,WEEKDAY(B345,2))="","",INDEX(Timetable!$E$6:$I$15,C345,WEEKDAY(B345,2)))),"")))</f>
        <v/>
      </c>
      <c r="J345" s="1" t="n"/>
      <c r="K345">
        <f>IF(AND(ISNUMBER(B345),ISNUMBER(C345)),B345*100+C345,"")</f>
        <v/>
      </c>
      <c r="L345">
        <f>IF(OR(G345="",NOT(ISNUMBER(B345))),"",IF(AND(B345&gt;=Settings!$C$6,B345&lt;=Settings!$C$6+6),B345*1000+ROW(),""))</f>
        <v/>
      </c>
    </row>
    <row r="346">
      <c r="A346" s="1" t="n"/>
      <c r="B346" s="28" t="n"/>
      <c r="C346" s="29" t="n"/>
      <c r="D346" s="30" t="n"/>
      <c r="E346" s="31" t="n"/>
      <c r="F346" s="32" t="n"/>
      <c r="G346" s="32" t="n"/>
      <c r="H346" s="33" t="n"/>
      <c r="I346" s="34">
        <f>IF(B346="","",IF(D346&lt;&gt;"",D346,IF(AND(ISNUMBER(B346),ISNUMBER(C346)),IF(OR(WEEKDAY(B346,2)&gt;5,C346&lt;1,C346&gt;10),"",IF(INDEX(Timetable!$E$6:$I$15,C346,WEEKDAY(B346,2))="","",INDEX(Timetable!$E$6:$I$15,C346,WEEKDAY(B346,2)))),"")))</f>
        <v/>
      </c>
      <c r="J346" s="1" t="n"/>
      <c r="K346">
        <f>IF(AND(ISNUMBER(B346),ISNUMBER(C346)),B346*100+C346,"")</f>
        <v/>
      </c>
      <c r="L346">
        <f>IF(OR(G346="",NOT(ISNUMBER(B346))),"",IF(AND(B346&gt;=Settings!$C$6,B346&lt;=Settings!$C$6+6),B346*1000+ROW(),""))</f>
        <v/>
      </c>
    </row>
    <row r="347">
      <c r="A347" s="1" t="n"/>
      <c r="B347" s="28" t="n"/>
      <c r="C347" s="29" t="n"/>
      <c r="D347" s="30" t="n"/>
      <c r="E347" s="31" t="n"/>
      <c r="F347" s="32" t="n"/>
      <c r="G347" s="32" t="n"/>
      <c r="H347" s="33" t="n"/>
      <c r="I347" s="34">
        <f>IF(B347="","",IF(D347&lt;&gt;"",D347,IF(AND(ISNUMBER(B347),ISNUMBER(C347)),IF(OR(WEEKDAY(B347,2)&gt;5,C347&lt;1,C347&gt;10),"",IF(INDEX(Timetable!$E$6:$I$15,C347,WEEKDAY(B347,2))="","",INDEX(Timetable!$E$6:$I$15,C347,WEEKDAY(B347,2)))),"")))</f>
        <v/>
      </c>
      <c r="J347" s="1" t="n"/>
      <c r="K347">
        <f>IF(AND(ISNUMBER(B347),ISNUMBER(C347)),B347*100+C347,"")</f>
        <v/>
      </c>
      <c r="L347">
        <f>IF(OR(G347="",NOT(ISNUMBER(B347))),"",IF(AND(B347&gt;=Settings!$C$6,B347&lt;=Settings!$C$6+6),B347*1000+ROW(),""))</f>
        <v/>
      </c>
    </row>
    <row r="348">
      <c r="A348" s="1" t="n"/>
      <c r="B348" s="28" t="n"/>
      <c r="C348" s="29" t="n"/>
      <c r="D348" s="30" t="n"/>
      <c r="E348" s="31" t="n"/>
      <c r="F348" s="32" t="n"/>
      <c r="G348" s="32" t="n"/>
      <c r="H348" s="33" t="n"/>
      <c r="I348" s="34">
        <f>IF(B348="","",IF(D348&lt;&gt;"",D348,IF(AND(ISNUMBER(B348),ISNUMBER(C348)),IF(OR(WEEKDAY(B348,2)&gt;5,C348&lt;1,C348&gt;10),"",IF(INDEX(Timetable!$E$6:$I$15,C348,WEEKDAY(B348,2))="","",INDEX(Timetable!$E$6:$I$15,C348,WEEKDAY(B348,2)))),"")))</f>
        <v/>
      </c>
      <c r="J348" s="1" t="n"/>
      <c r="K348">
        <f>IF(AND(ISNUMBER(B348),ISNUMBER(C348)),B348*100+C348,"")</f>
        <v/>
      </c>
      <c r="L348">
        <f>IF(OR(G348="",NOT(ISNUMBER(B348))),"",IF(AND(B348&gt;=Settings!$C$6,B348&lt;=Settings!$C$6+6),B348*1000+ROW(),""))</f>
        <v/>
      </c>
    </row>
    <row r="349">
      <c r="A349" s="1" t="n"/>
      <c r="B349" s="28" t="n"/>
      <c r="C349" s="29" t="n"/>
      <c r="D349" s="30" t="n"/>
      <c r="E349" s="31" t="n"/>
      <c r="F349" s="32" t="n"/>
      <c r="G349" s="32" t="n"/>
      <c r="H349" s="33" t="n"/>
      <c r="I349" s="34">
        <f>IF(B349="","",IF(D349&lt;&gt;"",D349,IF(AND(ISNUMBER(B349),ISNUMBER(C349)),IF(OR(WEEKDAY(B349,2)&gt;5,C349&lt;1,C349&gt;10),"",IF(INDEX(Timetable!$E$6:$I$15,C349,WEEKDAY(B349,2))="","",INDEX(Timetable!$E$6:$I$15,C349,WEEKDAY(B349,2)))),"")))</f>
        <v/>
      </c>
      <c r="J349" s="1" t="n"/>
      <c r="K349">
        <f>IF(AND(ISNUMBER(B349),ISNUMBER(C349)),B349*100+C349,"")</f>
        <v/>
      </c>
      <c r="L349">
        <f>IF(OR(G349="",NOT(ISNUMBER(B349))),"",IF(AND(B349&gt;=Settings!$C$6,B349&lt;=Settings!$C$6+6),B349*1000+ROW(),""))</f>
        <v/>
      </c>
    </row>
    <row r="350">
      <c r="A350" s="1" t="n"/>
      <c r="B350" s="28" t="n"/>
      <c r="C350" s="29" t="n"/>
      <c r="D350" s="30" t="n"/>
      <c r="E350" s="31" t="n"/>
      <c r="F350" s="32" t="n"/>
      <c r="G350" s="32" t="n"/>
      <c r="H350" s="33" t="n"/>
      <c r="I350" s="34">
        <f>IF(B350="","",IF(D350&lt;&gt;"",D350,IF(AND(ISNUMBER(B350),ISNUMBER(C350)),IF(OR(WEEKDAY(B350,2)&gt;5,C350&lt;1,C350&gt;10),"",IF(INDEX(Timetable!$E$6:$I$15,C350,WEEKDAY(B350,2))="","",INDEX(Timetable!$E$6:$I$15,C350,WEEKDAY(B350,2)))),"")))</f>
        <v/>
      </c>
      <c r="J350" s="1" t="n"/>
      <c r="K350">
        <f>IF(AND(ISNUMBER(B350),ISNUMBER(C350)),B350*100+C350,"")</f>
        <v/>
      </c>
      <c r="L350">
        <f>IF(OR(G350="",NOT(ISNUMBER(B350))),"",IF(AND(B350&gt;=Settings!$C$6,B350&lt;=Settings!$C$6+6),B350*1000+ROW(),""))</f>
        <v/>
      </c>
    </row>
    <row r="351">
      <c r="A351" s="1" t="n"/>
      <c r="B351" s="28" t="n"/>
      <c r="C351" s="29" t="n"/>
      <c r="D351" s="30" t="n"/>
      <c r="E351" s="31" t="n"/>
      <c r="F351" s="32" t="n"/>
      <c r="G351" s="32" t="n"/>
      <c r="H351" s="33" t="n"/>
      <c r="I351" s="34">
        <f>IF(B351="","",IF(D351&lt;&gt;"",D351,IF(AND(ISNUMBER(B351),ISNUMBER(C351)),IF(OR(WEEKDAY(B351,2)&gt;5,C351&lt;1,C351&gt;10),"",IF(INDEX(Timetable!$E$6:$I$15,C351,WEEKDAY(B351,2))="","",INDEX(Timetable!$E$6:$I$15,C351,WEEKDAY(B351,2)))),"")))</f>
        <v/>
      </c>
      <c r="J351" s="1" t="n"/>
      <c r="K351">
        <f>IF(AND(ISNUMBER(B351),ISNUMBER(C351)),B351*100+C351,"")</f>
        <v/>
      </c>
      <c r="L351">
        <f>IF(OR(G351="",NOT(ISNUMBER(B351))),"",IF(AND(B351&gt;=Settings!$C$6,B351&lt;=Settings!$C$6+6),B351*1000+ROW(),""))</f>
        <v/>
      </c>
    </row>
    <row r="352">
      <c r="A352" s="1" t="n"/>
      <c r="B352" s="28" t="n"/>
      <c r="C352" s="29" t="n"/>
      <c r="D352" s="30" t="n"/>
      <c r="E352" s="31" t="n"/>
      <c r="F352" s="32" t="n"/>
      <c r="G352" s="32" t="n"/>
      <c r="H352" s="33" t="n"/>
      <c r="I352" s="34">
        <f>IF(B352="","",IF(D352&lt;&gt;"",D352,IF(AND(ISNUMBER(B352),ISNUMBER(C352)),IF(OR(WEEKDAY(B352,2)&gt;5,C352&lt;1,C352&gt;10),"",IF(INDEX(Timetable!$E$6:$I$15,C352,WEEKDAY(B352,2))="","",INDEX(Timetable!$E$6:$I$15,C352,WEEKDAY(B352,2)))),"")))</f>
        <v/>
      </c>
      <c r="J352" s="1" t="n"/>
      <c r="K352">
        <f>IF(AND(ISNUMBER(B352),ISNUMBER(C352)),B352*100+C352,"")</f>
        <v/>
      </c>
      <c r="L352">
        <f>IF(OR(G352="",NOT(ISNUMBER(B352))),"",IF(AND(B352&gt;=Settings!$C$6,B352&lt;=Settings!$C$6+6),B352*1000+ROW(),""))</f>
        <v/>
      </c>
    </row>
    <row r="353">
      <c r="A353" s="1" t="n"/>
      <c r="B353" s="28" t="n"/>
      <c r="C353" s="29" t="n"/>
      <c r="D353" s="30" t="n"/>
      <c r="E353" s="31" t="n"/>
      <c r="F353" s="32" t="n"/>
      <c r="G353" s="32" t="n"/>
      <c r="H353" s="33" t="n"/>
      <c r="I353" s="34">
        <f>IF(B353="","",IF(D353&lt;&gt;"",D353,IF(AND(ISNUMBER(B353),ISNUMBER(C353)),IF(OR(WEEKDAY(B353,2)&gt;5,C353&lt;1,C353&gt;10),"",IF(INDEX(Timetable!$E$6:$I$15,C353,WEEKDAY(B353,2))="","",INDEX(Timetable!$E$6:$I$15,C353,WEEKDAY(B353,2)))),"")))</f>
        <v/>
      </c>
      <c r="J353" s="1" t="n"/>
      <c r="K353">
        <f>IF(AND(ISNUMBER(B353),ISNUMBER(C353)),B353*100+C353,"")</f>
        <v/>
      </c>
      <c r="L353">
        <f>IF(OR(G353="",NOT(ISNUMBER(B353))),"",IF(AND(B353&gt;=Settings!$C$6,B353&lt;=Settings!$C$6+6),B353*1000+ROW(),""))</f>
        <v/>
      </c>
    </row>
    <row r="354">
      <c r="A354" s="1" t="n"/>
      <c r="B354" s="28" t="n"/>
      <c r="C354" s="29" t="n"/>
      <c r="D354" s="30" t="n"/>
      <c r="E354" s="31" t="n"/>
      <c r="F354" s="32" t="n"/>
      <c r="G354" s="32" t="n"/>
      <c r="H354" s="33" t="n"/>
      <c r="I354" s="34">
        <f>IF(B354="","",IF(D354&lt;&gt;"",D354,IF(AND(ISNUMBER(B354),ISNUMBER(C354)),IF(OR(WEEKDAY(B354,2)&gt;5,C354&lt;1,C354&gt;10),"",IF(INDEX(Timetable!$E$6:$I$15,C354,WEEKDAY(B354,2))="","",INDEX(Timetable!$E$6:$I$15,C354,WEEKDAY(B354,2)))),"")))</f>
        <v/>
      </c>
      <c r="J354" s="1" t="n"/>
      <c r="K354">
        <f>IF(AND(ISNUMBER(B354),ISNUMBER(C354)),B354*100+C354,"")</f>
        <v/>
      </c>
      <c r="L354">
        <f>IF(OR(G354="",NOT(ISNUMBER(B354))),"",IF(AND(B354&gt;=Settings!$C$6,B354&lt;=Settings!$C$6+6),B354*1000+ROW(),""))</f>
        <v/>
      </c>
    </row>
    <row r="355">
      <c r="A355" s="1" t="n"/>
      <c r="B355" s="28" t="n"/>
      <c r="C355" s="29" t="n"/>
      <c r="D355" s="30" t="n"/>
      <c r="E355" s="31" t="n"/>
      <c r="F355" s="32" t="n"/>
      <c r="G355" s="32" t="n"/>
      <c r="H355" s="33" t="n"/>
      <c r="I355" s="34">
        <f>IF(B355="","",IF(D355&lt;&gt;"",D355,IF(AND(ISNUMBER(B355),ISNUMBER(C355)),IF(OR(WEEKDAY(B355,2)&gt;5,C355&lt;1,C355&gt;10),"",IF(INDEX(Timetable!$E$6:$I$15,C355,WEEKDAY(B355,2))="","",INDEX(Timetable!$E$6:$I$15,C355,WEEKDAY(B355,2)))),"")))</f>
        <v/>
      </c>
      <c r="J355" s="1" t="n"/>
      <c r="K355">
        <f>IF(AND(ISNUMBER(B355),ISNUMBER(C355)),B355*100+C355,"")</f>
        <v/>
      </c>
      <c r="L355">
        <f>IF(OR(G355="",NOT(ISNUMBER(B355))),"",IF(AND(B355&gt;=Settings!$C$6,B355&lt;=Settings!$C$6+6),B355*1000+ROW(),""))</f>
        <v/>
      </c>
    </row>
    <row r="356">
      <c r="A356" s="1" t="n"/>
      <c r="B356" s="28" t="n"/>
      <c r="C356" s="29" t="n"/>
      <c r="D356" s="30" t="n"/>
      <c r="E356" s="31" t="n"/>
      <c r="F356" s="32" t="n"/>
      <c r="G356" s="32" t="n"/>
      <c r="H356" s="33" t="n"/>
      <c r="I356" s="34">
        <f>IF(B356="","",IF(D356&lt;&gt;"",D356,IF(AND(ISNUMBER(B356),ISNUMBER(C356)),IF(OR(WEEKDAY(B356,2)&gt;5,C356&lt;1,C356&gt;10),"",IF(INDEX(Timetable!$E$6:$I$15,C356,WEEKDAY(B356,2))="","",INDEX(Timetable!$E$6:$I$15,C356,WEEKDAY(B356,2)))),"")))</f>
        <v/>
      </c>
      <c r="J356" s="1" t="n"/>
      <c r="K356">
        <f>IF(AND(ISNUMBER(B356),ISNUMBER(C356)),B356*100+C356,"")</f>
        <v/>
      </c>
      <c r="L356">
        <f>IF(OR(G356="",NOT(ISNUMBER(B356))),"",IF(AND(B356&gt;=Settings!$C$6,B356&lt;=Settings!$C$6+6),B356*1000+ROW(),""))</f>
        <v/>
      </c>
    </row>
    <row r="357">
      <c r="A357" s="1" t="n"/>
      <c r="B357" s="28" t="n"/>
      <c r="C357" s="29" t="n"/>
      <c r="D357" s="30" t="n"/>
      <c r="E357" s="31" t="n"/>
      <c r="F357" s="32" t="n"/>
      <c r="G357" s="32" t="n"/>
      <c r="H357" s="33" t="n"/>
      <c r="I357" s="34">
        <f>IF(B357="","",IF(D357&lt;&gt;"",D357,IF(AND(ISNUMBER(B357),ISNUMBER(C357)),IF(OR(WEEKDAY(B357,2)&gt;5,C357&lt;1,C357&gt;10),"",IF(INDEX(Timetable!$E$6:$I$15,C357,WEEKDAY(B357,2))="","",INDEX(Timetable!$E$6:$I$15,C357,WEEKDAY(B357,2)))),"")))</f>
        <v/>
      </c>
      <c r="J357" s="1" t="n"/>
      <c r="K357">
        <f>IF(AND(ISNUMBER(B357),ISNUMBER(C357)),B357*100+C357,"")</f>
        <v/>
      </c>
      <c r="L357">
        <f>IF(OR(G357="",NOT(ISNUMBER(B357))),"",IF(AND(B357&gt;=Settings!$C$6,B357&lt;=Settings!$C$6+6),B357*1000+ROW(),""))</f>
        <v/>
      </c>
    </row>
    <row r="358">
      <c r="A358" s="1" t="n"/>
      <c r="B358" s="28" t="n"/>
      <c r="C358" s="29" t="n"/>
      <c r="D358" s="30" t="n"/>
      <c r="E358" s="31" t="n"/>
      <c r="F358" s="32" t="n"/>
      <c r="G358" s="32" t="n"/>
      <c r="H358" s="33" t="n"/>
      <c r="I358" s="34">
        <f>IF(B358="","",IF(D358&lt;&gt;"",D358,IF(AND(ISNUMBER(B358),ISNUMBER(C358)),IF(OR(WEEKDAY(B358,2)&gt;5,C358&lt;1,C358&gt;10),"",IF(INDEX(Timetable!$E$6:$I$15,C358,WEEKDAY(B358,2))="","",INDEX(Timetable!$E$6:$I$15,C358,WEEKDAY(B358,2)))),"")))</f>
        <v/>
      </c>
      <c r="J358" s="1" t="n"/>
      <c r="K358">
        <f>IF(AND(ISNUMBER(B358),ISNUMBER(C358)),B358*100+C358,"")</f>
        <v/>
      </c>
      <c r="L358">
        <f>IF(OR(G358="",NOT(ISNUMBER(B358))),"",IF(AND(B358&gt;=Settings!$C$6,B358&lt;=Settings!$C$6+6),B358*1000+ROW(),""))</f>
        <v/>
      </c>
    </row>
    <row r="359">
      <c r="A359" s="1" t="n"/>
      <c r="B359" s="28" t="n"/>
      <c r="C359" s="29" t="n"/>
      <c r="D359" s="30" t="n"/>
      <c r="E359" s="31" t="n"/>
      <c r="F359" s="32" t="n"/>
      <c r="G359" s="32" t="n"/>
      <c r="H359" s="33" t="n"/>
      <c r="I359" s="34">
        <f>IF(B359="","",IF(D359&lt;&gt;"",D359,IF(AND(ISNUMBER(B359),ISNUMBER(C359)),IF(OR(WEEKDAY(B359,2)&gt;5,C359&lt;1,C359&gt;10),"",IF(INDEX(Timetable!$E$6:$I$15,C359,WEEKDAY(B359,2))="","",INDEX(Timetable!$E$6:$I$15,C359,WEEKDAY(B359,2)))),"")))</f>
        <v/>
      </c>
      <c r="J359" s="1" t="n"/>
      <c r="K359">
        <f>IF(AND(ISNUMBER(B359),ISNUMBER(C359)),B359*100+C359,"")</f>
        <v/>
      </c>
      <c r="L359">
        <f>IF(OR(G359="",NOT(ISNUMBER(B359))),"",IF(AND(B359&gt;=Settings!$C$6,B359&lt;=Settings!$C$6+6),B359*1000+ROW(),""))</f>
        <v/>
      </c>
    </row>
    <row r="360">
      <c r="A360" s="1" t="n"/>
      <c r="B360" s="28" t="n"/>
      <c r="C360" s="29" t="n"/>
      <c r="D360" s="30" t="n"/>
      <c r="E360" s="31" t="n"/>
      <c r="F360" s="32" t="n"/>
      <c r="G360" s="32" t="n"/>
      <c r="H360" s="33" t="n"/>
      <c r="I360" s="34">
        <f>IF(B360="","",IF(D360&lt;&gt;"",D360,IF(AND(ISNUMBER(B360),ISNUMBER(C360)),IF(OR(WEEKDAY(B360,2)&gt;5,C360&lt;1,C360&gt;10),"",IF(INDEX(Timetable!$E$6:$I$15,C360,WEEKDAY(B360,2))="","",INDEX(Timetable!$E$6:$I$15,C360,WEEKDAY(B360,2)))),"")))</f>
        <v/>
      </c>
      <c r="J360" s="1" t="n"/>
      <c r="K360">
        <f>IF(AND(ISNUMBER(B360),ISNUMBER(C360)),B360*100+C360,"")</f>
        <v/>
      </c>
      <c r="L360">
        <f>IF(OR(G360="",NOT(ISNUMBER(B360))),"",IF(AND(B360&gt;=Settings!$C$6,B360&lt;=Settings!$C$6+6),B360*1000+ROW(),""))</f>
        <v/>
      </c>
    </row>
    <row r="361">
      <c r="A361" s="1" t="n"/>
      <c r="B361" s="28" t="n"/>
      <c r="C361" s="29" t="n"/>
      <c r="D361" s="30" t="n"/>
      <c r="E361" s="31" t="n"/>
      <c r="F361" s="32" t="n"/>
      <c r="G361" s="32" t="n"/>
      <c r="H361" s="33" t="n"/>
      <c r="I361" s="34">
        <f>IF(B361="","",IF(D361&lt;&gt;"",D361,IF(AND(ISNUMBER(B361),ISNUMBER(C361)),IF(OR(WEEKDAY(B361,2)&gt;5,C361&lt;1,C361&gt;10),"",IF(INDEX(Timetable!$E$6:$I$15,C361,WEEKDAY(B361,2))="","",INDEX(Timetable!$E$6:$I$15,C361,WEEKDAY(B361,2)))),"")))</f>
        <v/>
      </c>
      <c r="J361" s="1" t="n"/>
      <c r="K361">
        <f>IF(AND(ISNUMBER(B361),ISNUMBER(C361)),B361*100+C361,"")</f>
        <v/>
      </c>
      <c r="L361">
        <f>IF(OR(G361="",NOT(ISNUMBER(B361))),"",IF(AND(B361&gt;=Settings!$C$6,B361&lt;=Settings!$C$6+6),B361*1000+ROW(),""))</f>
        <v/>
      </c>
    </row>
    <row r="362">
      <c r="A362" s="1" t="n"/>
      <c r="B362" s="28" t="n"/>
      <c r="C362" s="29" t="n"/>
      <c r="D362" s="30" t="n"/>
      <c r="E362" s="31" t="n"/>
      <c r="F362" s="32" t="n"/>
      <c r="G362" s="32" t="n"/>
      <c r="H362" s="33" t="n"/>
      <c r="I362" s="34">
        <f>IF(B362="","",IF(D362&lt;&gt;"",D362,IF(AND(ISNUMBER(B362),ISNUMBER(C362)),IF(OR(WEEKDAY(B362,2)&gt;5,C362&lt;1,C362&gt;10),"",IF(INDEX(Timetable!$E$6:$I$15,C362,WEEKDAY(B362,2))="","",INDEX(Timetable!$E$6:$I$15,C362,WEEKDAY(B362,2)))),"")))</f>
        <v/>
      </c>
      <c r="J362" s="1" t="n"/>
      <c r="K362">
        <f>IF(AND(ISNUMBER(B362),ISNUMBER(C362)),B362*100+C362,"")</f>
        <v/>
      </c>
      <c r="L362">
        <f>IF(OR(G362="",NOT(ISNUMBER(B362))),"",IF(AND(B362&gt;=Settings!$C$6,B362&lt;=Settings!$C$6+6),B362*1000+ROW(),""))</f>
        <v/>
      </c>
    </row>
    <row r="363">
      <c r="A363" s="1" t="n"/>
      <c r="B363" s="28" t="n"/>
      <c r="C363" s="29" t="n"/>
      <c r="D363" s="30" t="n"/>
      <c r="E363" s="31" t="n"/>
      <c r="F363" s="32" t="n"/>
      <c r="G363" s="32" t="n"/>
      <c r="H363" s="33" t="n"/>
      <c r="I363" s="34">
        <f>IF(B363="","",IF(D363&lt;&gt;"",D363,IF(AND(ISNUMBER(B363),ISNUMBER(C363)),IF(OR(WEEKDAY(B363,2)&gt;5,C363&lt;1,C363&gt;10),"",IF(INDEX(Timetable!$E$6:$I$15,C363,WEEKDAY(B363,2))="","",INDEX(Timetable!$E$6:$I$15,C363,WEEKDAY(B363,2)))),"")))</f>
        <v/>
      </c>
      <c r="J363" s="1" t="n"/>
      <c r="K363">
        <f>IF(AND(ISNUMBER(B363),ISNUMBER(C363)),B363*100+C363,"")</f>
        <v/>
      </c>
      <c r="L363">
        <f>IF(OR(G363="",NOT(ISNUMBER(B363))),"",IF(AND(B363&gt;=Settings!$C$6,B363&lt;=Settings!$C$6+6),B363*1000+ROW(),""))</f>
        <v/>
      </c>
    </row>
    <row r="364">
      <c r="A364" s="1" t="n"/>
      <c r="B364" s="28" t="n"/>
      <c r="C364" s="29" t="n"/>
      <c r="D364" s="30" t="n"/>
      <c r="E364" s="31" t="n"/>
      <c r="F364" s="32" t="n"/>
      <c r="G364" s="32" t="n"/>
      <c r="H364" s="33" t="n"/>
      <c r="I364" s="34">
        <f>IF(B364="","",IF(D364&lt;&gt;"",D364,IF(AND(ISNUMBER(B364),ISNUMBER(C364)),IF(OR(WEEKDAY(B364,2)&gt;5,C364&lt;1,C364&gt;10),"",IF(INDEX(Timetable!$E$6:$I$15,C364,WEEKDAY(B364,2))="","",INDEX(Timetable!$E$6:$I$15,C364,WEEKDAY(B364,2)))),"")))</f>
        <v/>
      </c>
      <c r="J364" s="1" t="n"/>
      <c r="K364">
        <f>IF(AND(ISNUMBER(B364),ISNUMBER(C364)),B364*100+C364,"")</f>
        <v/>
      </c>
      <c r="L364">
        <f>IF(OR(G364="",NOT(ISNUMBER(B364))),"",IF(AND(B364&gt;=Settings!$C$6,B364&lt;=Settings!$C$6+6),B364*1000+ROW(),""))</f>
        <v/>
      </c>
    </row>
    <row r="365">
      <c r="A365" s="1" t="n"/>
      <c r="B365" s="28" t="n"/>
      <c r="C365" s="29" t="n"/>
      <c r="D365" s="30" t="n"/>
      <c r="E365" s="31" t="n"/>
      <c r="F365" s="32" t="n"/>
      <c r="G365" s="32" t="n"/>
      <c r="H365" s="33" t="n"/>
      <c r="I365" s="34">
        <f>IF(B365="","",IF(D365&lt;&gt;"",D365,IF(AND(ISNUMBER(B365),ISNUMBER(C365)),IF(OR(WEEKDAY(B365,2)&gt;5,C365&lt;1,C365&gt;10),"",IF(INDEX(Timetable!$E$6:$I$15,C365,WEEKDAY(B365,2))="","",INDEX(Timetable!$E$6:$I$15,C365,WEEKDAY(B365,2)))),"")))</f>
        <v/>
      </c>
      <c r="J365" s="1" t="n"/>
      <c r="K365">
        <f>IF(AND(ISNUMBER(B365),ISNUMBER(C365)),B365*100+C365,"")</f>
        <v/>
      </c>
      <c r="L365">
        <f>IF(OR(G365="",NOT(ISNUMBER(B365))),"",IF(AND(B365&gt;=Settings!$C$6,B365&lt;=Settings!$C$6+6),B365*1000+ROW(),""))</f>
        <v/>
      </c>
    </row>
    <row r="366">
      <c r="A366" s="1" t="n"/>
      <c r="B366" s="28" t="n"/>
      <c r="C366" s="29" t="n"/>
      <c r="D366" s="30" t="n"/>
      <c r="E366" s="31" t="n"/>
      <c r="F366" s="32" t="n"/>
      <c r="G366" s="32" t="n"/>
      <c r="H366" s="33" t="n"/>
      <c r="I366" s="34">
        <f>IF(B366="","",IF(D366&lt;&gt;"",D366,IF(AND(ISNUMBER(B366),ISNUMBER(C366)),IF(OR(WEEKDAY(B366,2)&gt;5,C366&lt;1,C366&gt;10),"",IF(INDEX(Timetable!$E$6:$I$15,C366,WEEKDAY(B366,2))="","",INDEX(Timetable!$E$6:$I$15,C366,WEEKDAY(B366,2)))),"")))</f>
        <v/>
      </c>
      <c r="J366" s="1" t="n"/>
      <c r="K366">
        <f>IF(AND(ISNUMBER(B366),ISNUMBER(C366)),B366*100+C366,"")</f>
        <v/>
      </c>
      <c r="L366">
        <f>IF(OR(G366="",NOT(ISNUMBER(B366))),"",IF(AND(B366&gt;=Settings!$C$6,B366&lt;=Settings!$C$6+6),B366*1000+ROW(),""))</f>
        <v/>
      </c>
    </row>
    <row r="367">
      <c r="A367" s="1" t="n"/>
      <c r="B367" s="28" t="n"/>
      <c r="C367" s="29" t="n"/>
      <c r="D367" s="30" t="n"/>
      <c r="E367" s="31" t="n"/>
      <c r="F367" s="32" t="n"/>
      <c r="G367" s="32" t="n"/>
      <c r="H367" s="33" t="n"/>
      <c r="I367" s="34">
        <f>IF(B367="","",IF(D367&lt;&gt;"",D367,IF(AND(ISNUMBER(B367),ISNUMBER(C367)),IF(OR(WEEKDAY(B367,2)&gt;5,C367&lt;1,C367&gt;10),"",IF(INDEX(Timetable!$E$6:$I$15,C367,WEEKDAY(B367,2))="","",INDEX(Timetable!$E$6:$I$15,C367,WEEKDAY(B367,2)))),"")))</f>
        <v/>
      </c>
      <c r="J367" s="1" t="n"/>
      <c r="K367">
        <f>IF(AND(ISNUMBER(B367),ISNUMBER(C367)),B367*100+C367,"")</f>
        <v/>
      </c>
      <c r="L367">
        <f>IF(OR(G367="",NOT(ISNUMBER(B367))),"",IF(AND(B367&gt;=Settings!$C$6,B367&lt;=Settings!$C$6+6),B367*1000+ROW(),""))</f>
        <v/>
      </c>
    </row>
    <row r="368">
      <c r="A368" s="1" t="n"/>
      <c r="B368" s="28" t="n"/>
      <c r="C368" s="29" t="n"/>
      <c r="D368" s="30" t="n"/>
      <c r="E368" s="31" t="n"/>
      <c r="F368" s="32" t="n"/>
      <c r="G368" s="32" t="n"/>
      <c r="H368" s="33" t="n"/>
      <c r="I368" s="34">
        <f>IF(B368="","",IF(D368&lt;&gt;"",D368,IF(AND(ISNUMBER(B368),ISNUMBER(C368)),IF(OR(WEEKDAY(B368,2)&gt;5,C368&lt;1,C368&gt;10),"",IF(INDEX(Timetable!$E$6:$I$15,C368,WEEKDAY(B368,2))="","",INDEX(Timetable!$E$6:$I$15,C368,WEEKDAY(B368,2)))),"")))</f>
        <v/>
      </c>
      <c r="J368" s="1" t="n"/>
      <c r="K368">
        <f>IF(AND(ISNUMBER(B368),ISNUMBER(C368)),B368*100+C368,"")</f>
        <v/>
      </c>
      <c r="L368">
        <f>IF(OR(G368="",NOT(ISNUMBER(B368))),"",IF(AND(B368&gt;=Settings!$C$6,B368&lt;=Settings!$C$6+6),B368*1000+ROW(),""))</f>
        <v/>
      </c>
    </row>
    <row r="369">
      <c r="A369" s="1" t="n"/>
      <c r="B369" s="28" t="n"/>
      <c r="C369" s="29" t="n"/>
      <c r="D369" s="30" t="n"/>
      <c r="E369" s="31" t="n"/>
      <c r="F369" s="32" t="n"/>
      <c r="G369" s="32" t="n"/>
      <c r="H369" s="33" t="n"/>
      <c r="I369" s="34">
        <f>IF(B369="","",IF(D369&lt;&gt;"",D369,IF(AND(ISNUMBER(B369),ISNUMBER(C369)),IF(OR(WEEKDAY(B369,2)&gt;5,C369&lt;1,C369&gt;10),"",IF(INDEX(Timetable!$E$6:$I$15,C369,WEEKDAY(B369,2))="","",INDEX(Timetable!$E$6:$I$15,C369,WEEKDAY(B369,2)))),"")))</f>
        <v/>
      </c>
      <c r="J369" s="1" t="n"/>
      <c r="K369">
        <f>IF(AND(ISNUMBER(B369),ISNUMBER(C369)),B369*100+C369,"")</f>
        <v/>
      </c>
      <c r="L369">
        <f>IF(OR(G369="",NOT(ISNUMBER(B369))),"",IF(AND(B369&gt;=Settings!$C$6,B369&lt;=Settings!$C$6+6),B369*1000+ROW(),""))</f>
        <v/>
      </c>
    </row>
    <row r="370">
      <c r="A370" s="1" t="n"/>
      <c r="B370" s="28" t="n"/>
      <c r="C370" s="29" t="n"/>
      <c r="D370" s="30" t="n"/>
      <c r="E370" s="31" t="n"/>
      <c r="F370" s="32" t="n"/>
      <c r="G370" s="32" t="n"/>
      <c r="H370" s="33" t="n"/>
      <c r="I370" s="34">
        <f>IF(B370="","",IF(D370&lt;&gt;"",D370,IF(AND(ISNUMBER(B370),ISNUMBER(C370)),IF(OR(WEEKDAY(B370,2)&gt;5,C370&lt;1,C370&gt;10),"",IF(INDEX(Timetable!$E$6:$I$15,C370,WEEKDAY(B370,2))="","",INDEX(Timetable!$E$6:$I$15,C370,WEEKDAY(B370,2)))),"")))</f>
        <v/>
      </c>
      <c r="J370" s="1" t="n"/>
      <c r="K370">
        <f>IF(AND(ISNUMBER(B370),ISNUMBER(C370)),B370*100+C370,"")</f>
        <v/>
      </c>
      <c r="L370">
        <f>IF(OR(G370="",NOT(ISNUMBER(B370))),"",IF(AND(B370&gt;=Settings!$C$6,B370&lt;=Settings!$C$6+6),B370*1000+ROW(),""))</f>
        <v/>
      </c>
    </row>
    <row r="371">
      <c r="A371" s="1" t="n"/>
      <c r="B371" s="28" t="n"/>
      <c r="C371" s="29" t="n"/>
      <c r="D371" s="30" t="n"/>
      <c r="E371" s="31" t="n"/>
      <c r="F371" s="32" t="n"/>
      <c r="G371" s="32" t="n"/>
      <c r="H371" s="33" t="n"/>
      <c r="I371" s="34">
        <f>IF(B371="","",IF(D371&lt;&gt;"",D371,IF(AND(ISNUMBER(B371),ISNUMBER(C371)),IF(OR(WEEKDAY(B371,2)&gt;5,C371&lt;1,C371&gt;10),"",IF(INDEX(Timetable!$E$6:$I$15,C371,WEEKDAY(B371,2))="","",INDEX(Timetable!$E$6:$I$15,C371,WEEKDAY(B371,2)))),"")))</f>
        <v/>
      </c>
      <c r="J371" s="1" t="n"/>
      <c r="K371">
        <f>IF(AND(ISNUMBER(B371),ISNUMBER(C371)),B371*100+C371,"")</f>
        <v/>
      </c>
      <c r="L371">
        <f>IF(OR(G371="",NOT(ISNUMBER(B371))),"",IF(AND(B371&gt;=Settings!$C$6,B371&lt;=Settings!$C$6+6),B371*1000+ROW(),""))</f>
        <v/>
      </c>
    </row>
    <row r="372">
      <c r="A372" s="1" t="n"/>
      <c r="B372" s="28" t="n"/>
      <c r="C372" s="29" t="n"/>
      <c r="D372" s="30" t="n"/>
      <c r="E372" s="31" t="n"/>
      <c r="F372" s="32" t="n"/>
      <c r="G372" s="32" t="n"/>
      <c r="H372" s="33" t="n"/>
      <c r="I372" s="34">
        <f>IF(B372="","",IF(D372&lt;&gt;"",D372,IF(AND(ISNUMBER(B372),ISNUMBER(C372)),IF(OR(WEEKDAY(B372,2)&gt;5,C372&lt;1,C372&gt;10),"",IF(INDEX(Timetable!$E$6:$I$15,C372,WEEKDAY(B372,2))="","",INDEX(Timetable!$E$6:$I$15,C372,WEEKDAY(B372,2)))),"")))</f>
        <v/>
      </c>
      <c r="J372" s="1" t="n"/>
      <c r="K372">
        <f>IF(AND(ISNUMBER(B372),ISNUMBER(C372)),B372*100+C372,"")</f>
        <v/>
      </c>
      <c r="L372">
        <f>IF(OR(G372="",NOT(ISNUMBER(B372))),"",IF(AND(B372&gt;=Settings!$C$6,B372&lt;=Settings!$C$6+6),B372*1000+ROW(),""))</f>
        <v/>
      </c>
    </row>
    <row r="373">
      <c r="A373" s="1" t="n"/>
      <c r="B373" s="28" t="n"/>
      <c r="C373" s="29" t="n"/>
      <c r="D373" s="30" t="n"/>
      <c r="E373" s="31" t="n"/>
      <c r="F373" s="32" t="n"/>
      <c r="G373" s="32" t="n"/>
      <c r="H373" s="33" t="n"/>
      <c r="I373" s="34">
        <f>IF(B373="","",IF(D373&lt;&gt;"",D373,IF(AND(ISNUMBER(B373),ISNUMBER(C373)),IF(OR(WEEKDAY(B373,2)&gt;5,C373&lt;1,C373&gt;10),"",IF(INDEX(Timetable!$E$6:$I$15,C373,WEEKDAY(B373,2))="","",INDEX(Timetable!$E$6:$I$15,C373,WEEKDAY(B373,2)))),"")))</f>
        <v/>
      </c>
      <c r="J373" s="1" t="n"/>
      <c r="K373">
        <f>IF(AND(ISNUMBER(B373),ISNUMBER(C373)),B373*100+C373,"")</f>
        <v/>
      </c>
      <c r="L373">
        <f>IF(OR(G373="",NOT(ISNUMBER(B373))),"",IF(AND(B373&gt;=Settings!$C$6,B373&lt;=Settings!$C$6+6),B373*1000+ROW(),""))</f>
        <v/>
      </c>
    </row>
    <row r="374">
      <c r="A374" s="1" t="n"/>
      <c r="B374" s="28" t="n"/>
      <c r="C374" s="29" t="n"/>
      <c r="D374" s="30" t="n"/>
      <c r="E374" s="31" t="n"/>
      <c r="F374" s="32" t="n"/>
      <c r="G374" s="32" t="n"/>
      <c r="H374" s="33" t="n"/>
      <c r="I374" s="34">
        <f>IF(B374="","",IF(D374&lt;&gt;"",D374,IF(AND(ISNUMBER(B374),ISNUMBER(C374)),IF(OR(WEEKDAY(B374,2)&gt;5,C374&lt;1,C374&gt;10),"",IF(INDEX(Timetable!$E$6:$I$15,C374,WEEKDAY(B374,2))="","",INDEX(Timetable!$E$6:$I$15,C374,WEEKDAY(B374,2)))),"")))</f>
        <v/>
      </c>
      <c r="J374" s="1" t="n"/>
      <c r="K374">
        <f>IF(AND(ISNUMBER(B374),ISNUMBER(C374)),B374*100+C374,"")</f>
        <v/>
      </c>
      <c r="L374">
        <f>IF(OR(G374="",NOT(ISNUMBER(B374))),"",IF(AND(B374&gt;=Settings!$C$6,B374&lt;=Settings!$C$6+6),B374*1000+ROW(),""))</f>
        <v/>
      </c>
    </row>
    <row r="375">
      <c r="A375" s="1" t="n"/>
      <c r="B375" s="28" t="n"/>
      <c r="C375" s="29" t="n"/>
      <c r="D375" s="30" t="n"/>
      <c r="E375" s="31" t="n"/>
      <c r="F375" s="32" t="n"/>
      <c r="G375" s="32" t="n"/>
      <c r="H375" s="33" t="n"/>
      <c r="I375" s="34">
        <f>IF(B375="","",IF(D375&lt;&gt;"",D375,IF(AND(ISNUMBER(B375),ISNUMBER(C375)),IF(OR(WEEKDAY(B375,2)&gt;5,C375&lt;1,C375&gt;10),"",IF(INDEX(Timetable!$E$6:$I$15,C375,WEEKDAY(B375,2))="","",INDEX(Timetable!$E$6:$I$15,C375,WEEKDAY(B375,2)))),"")))</f>
        <v/>
      </c>
      <c r="J375" s="1" t="n"/>
      <c r="K375">
        <f>IF(AND(ISNUMBER(B375),ISNUMBER(C375)),B375*100+C375,"")</f>
        <v/>
      </c>
      <c r="L375">
        <f>IF(OR(G375="",NOT(ISNUMBER(B375))),"",IF(AND(B375&gt;=Settings!$C$6,B375&lt;=Settings!$C$6+6),B375*1000+ROW(),""))</f>
        <v/>
      </c>
    </row>
    <row r="376">
      <c r="A376" s="1" t="n"/>
      <c r="B376" s="28" t="n"/>
      <c r="C376" s="29" t="n"/>
      <c r="D376" s="30" t="n"/>
      <c r="E376" s="31" t="n"/>
      <c r="F376" s="32" t="n"/>
      <c r="G376" s="32" t="n"/>
      <c r="H376" s="33" t="n"/>
      <c r="I376" s="34">
        <f>IF(B376="","",IF(D376&lt;&gt;"",D376,IF(AND(ISNUMBER(B376),ISNUMBER(C376)),IF(OR(WEEKDAY(B376,2)&gt;5,C376&lt;1,C376&gt;10),"",IF(INDEX(Timetable!$E$6:$I$15,C376,WEEKDAY(B376,2))="","",INDEX(Timetable!$E$6:$I$15,C376,WEEKDAY(B376,2)))),"")))</f>
        <v/>
      </c>
      <c r="J376" s="1" t="n"/>
      <c r="K376">
        <f>IF(AND(ISNUMBER(B376),ISNUMBER(C376)),B376*100+C376,"")</f>
        <v/>
      </c>
      <c r="L376">
        <f>IF(OR(G376="",NOT(ISNUMBER(B376))),"",IF(AND(B376&gt;=Settings!$C$6,B376&lt;=Settings!$C$6+6),B376*1000+ROW(),""))</f>
        <v/>
      </c>
    </row>
    <row r="377">
      <c r="A377" s="1" t="n"/>
      <c r="B377" s="28" t="n"/>
      <c r="C377" s="29" t="n"/>
      <c r="D377" s="30" t="n"/>
      <c r="E377" s="31" t="n"/>
      <c r="F377" s="32" t="n"/>
      <c r="G377" s="32" t="n"/>
      <c r="H377" s="33" t="n"/>
      <c r="I377" s="34">
        <f>IF(B377="","",IF(D377&lt;&gt;"",D377,IF(AND(ISNUMBER(B377),ISNUMBER(C377)),IF(OR(WEEKDAY(B377,2)&gt;5,C377&lt;1,C377&gt;10),"",IF(INDEX(Timetable!$E$6:$I$15,C377,WEEKDAY(B377,2))="","",INDEX(Timetable!$E$6:$I$15,C377,WEEKDAY(B377,2)))),"")))</f>
        <v/>
      </c>
      <c r="J377" s="1" t="n"/>
      <c r="K377">
        <f>IF(AND(ISNUMBER(B377),ISNUMBER(C377)),B377*100+C377,"")</f>
        <v/>
      </c>
      <c r="L377">
        <f>IF(OR(G377="",NOT(ISNUMBER(B377))),"",IF(AND(B377&gt;=Settings!$C$6,B377&lt;=Settings!$C$6+6),B377*1000+ROW(),""))</f>
        <v/>
      </c>
    </row>
    <row r="378">
      <c r="A378" s="1" t="n"/>
      <c r="B378" s="28" t="n"/>
      <c r="C378" s="29" t="n"/>
      <c r="D378" s="30" t="n"/>
      <c r="E378" s="31" t="n"/>
      <c r="F378" s="32" t="n"/>
      <c r="G378" s="32" t="n"/>
      <c r="H378" s="33" t="n"/>
      <c r="I378" s="34">
        <f>IF(B378="","",IF(D378&lt;&gt;"",D378,IF(AND(ISNUMBER(B378),ISNUMBER(C378)),IF(OR(WEEKDAY(B378,2)&gt;5,C378&lt;1,C378&gt;10),"",IF(INDEX(Timetable!$E$6:$I$15,C378,WEEKDAY(B378,2))="","",INDEX(Timetable!$E$6:$I$15,C378,WEEKDAY(B378,2)))),"")))</f>
        <v/>
      </c>
      <c r="J378" s="1" t="n"/>
      <c r="K378">
        <f>IF(AND(ISNUMBER(B378),ISNUMBER(C378)),B378*100+C378,"")</f>
        <v/>
      </c>
      <c r="L378">
        <f>IF(OR(G378="",NOT(ISNUMBER(B378))),"",IF(AND(B378&gt;=Settings!$C$6,B378&lt;=Settings!$C$6+6),B378*1000+ROW(),""))</f>
        <v/>
      </c>
    </row>
    <row r="379">
      <c r="A379" s="1" t="n"/>
      <c r="B379" s="28" t="n"/>
      <c r="C379" s="29" t="n"/>
      <c r="D379" s="30" t="n"/>
      <c r="E379" s="31" t="n"/>
      <c r="F379" s="32" t="n"/>
      <c r="G379" s="32" t="n"/>
      <c r="H379" s="33" t="n"/>
      <c r="I379" s="34">
        <f>IF(B379="","",IF(D379&lt;&gt;"",D379,IF(AND(ISNUMBER(B379),ISNUMBER(C379)),IF(OR(WEEKDAY(B379,2)&gt;5,C379&lt;1,C379&gt;10),"",IF(INDEX(Timetable!$E$6:$I$15,C379,WEEKDAY(B379,2))="","",INDEX(Timetable!$E$6:$I$15,C379,WEEKDAY(B379,2)))),"")))</f>
        <v/>
      </c>
      <c r="J379" s="1" t="n"/>
      <c r="K379">
        <f>IF(AND(ISNUMBER(B379),ISNUMBER(C379)),B379*100+C379,"")</f>
        <v/>
      </c>
      <c r="L379">
        <f>IF(OR(G379="",NOT(ISNUMBER(B379))),"",IF(AND(B379&gt;=Settings!$C$6,B379&lt;=Settings!$C$6+6),B379*1000+ROW(),""))</f>
        <v/>
      </c>
    </row>
    <row r="380">
      <c r="A380" s="1" t="n"/>
      <c r="B380" s="28" t="n"/>
      <c r="C380" s="29" t="n"/>
      <c r="D380" s="30" t="n"/>
      <c r="E380" s="31" t="n"/>
      <c r="F380" s="32" t="n"/>
      <c r="G380" s="32" t="n"/>
      <c r="H380" s="33" t="n"/>
      <c r="I380" s="34">
        <f>IF(B380="","",IF(D380&lt;&gt;"",D380,IF(AND(ISNUMBER(B380),ISNUMBER(C380)),IF(OR(WEEKDAY(B380,2)&gt;5,C380&lt;1,C380&gt;10),"",IF(INDEX(Timetable!$E$6:$I$15,C380,WEEKDAY(B380,2))="","",INDEX(Timetable!$E$6:$I$15,C380,WEEKDAY(B380,2)))),"")))</f>
        <v/>
      </c>
      <c r="J380" s="1" t="n"/>
      <c r="K380">
        <f>IF(AND(ISNUMBER(B380),ISNUMBER(C380)),B380*100+C380,"")</f>
        <v/>
      </c>
      <c r="L380">
        <f>IF(OR(G380="",NOT(ISNUMBER(B380))),"",IF(AND(B380&gt;=Settings!$C$6,B380&lt;=Settings!$C$6+6),B380*1000+ROW(),""))</f>
        <v/>
      </c>
    </row>
    <row r="381">
      <c r="A381" s="1" t="n"/>
      <c r="B381" s="28" t="n"/>
      <c r="C381" s="29" t="n"/>
      <c r="D381" s="30" t="n"/>
      <c r="E381" s="31" t="n"/>
      <c r="F381" s="32" t="n"/>
      <c r="G381" s="32" t="n"/>
      <c r="H381" s="33" t="n"/>
      <c r="I381" s="34">
        <f>IF(B381="","",IF(D381&lt;&gt;"",D381,IF(AND(ISNUMBER(B381),ISNUMBER(C381)),IF(OR(WEEKDAY(B381,2)&gt;5,C381&lt;1,C381&gt;10),"",IF(INDEX(Timetable!$E$6:$I$15,C381,WEEKDAY(B381,2))="","",INDEX(Timetable!$E$6:$I$15,C381,WEEKDAY(B381,2)))),"")))</f>
        <v/>
      </c>
      <c r="J381" s="1" t="n"/>
      <c r="K381">
        <f>IF(AND(ISNUMBER(B381),ISNUMBER(C381)),B381*100+C381,"")</f>
        <v/>
      </c>
      <c r="L381">
        <f>IF(OR(G381="",NOT(ISNUMBER(B381))),"",IF(AND(B381&gt;=Settings!$C$6,B381&lt;=Settings!$C$6+6),B381*1000+ROW(),""))</f>
        <v/>
      </c>
    </row>
    <row r="382">
      <c r="A382" s="1" t="n"/>
      <c r="B382" s="28" t="n"/>
      <c r="C382" s="29" t="n"/>
      <c r="D382" s="30" t="n"/>
      <c r="E382" s="31" t="n"/>
      <c r="F382" s="32" t="n"/>
      <c r="G382" s="32" t="n"/>
      <c r="H382" s="33" t="n"/>
      <c r="I382" s="34">
        <f>IF(B382="","",IF(D382&lt;&gt;"",D382,IF(AND(ISNUMBER(B382),ISNUMBER(C382)),IF(OR(WEEKDAY(B382,2)&gt;5,C382&lt;1,C382&gt;10),"",IF(INDEX(Timetable!$E$6:$I$15,C382,WEEKDAY(B382,2))="","",INDEX(Timetable!$E$6:$I$15,C382,WEEKDAY(B382,2)))),"")))</f>
        <v/>
      </c>
      <c r="J382" s="1" t="n"/>
      <c r="K382">
        <f>IF(AND(ISNUMBER(B382),ISNUMBER(C382)),B382*100+C382,"")</f>
        <v/>
      </c>
      <c r="L382">
        <f>IF(OR(G382="",NOT(ISNUMBER(B382))),"",IF(AND(B382&gt;=Settings!$C$6,B382&lt;=Settings!$C$6+6),B382*1000+ROW(),""))</f>
        <v/>
      </c>
    </row>
    <row r="383">
      <c r="A383" s="1" t="n"/>
      <c r="B383" s="28" t="n"/>
      <c r="C383" s="29" t="n"/>
      <c r="D383" s="30" t="n"/>
      <c r="E383" s="31" t="n"/>
      <c r="F383" s="32" t="n"/>
      <c r="G383" s="32" t="n"/>
      <c r="H383" s="33" t="n"/>
      <c r="I383" s="34">
        <f>IF(B383="","",IF(D383&lt;&gt;"",D383,IF(AND(ISNUMBER(B383),ISNUMBER(C383)),IF(OR(WEEKDAY(B383,2)&gt;5,C383&lt;1,C383&gt;10),"",IF(INDEX(Timetable!$E$6:$I$15,C383,WEEKDAY(B383,2))="","",INDEX(Timetable!$E$6:$I$15,C383,WEEKDAY(B383,2)))),"")))</f>
        <v/>
      </c>
      <c r="J383" s="1" t="n"/>
      <c r="K383">
        <f>IF(AND(ISNUMBER(B383),ISNUMBER(C383)),B383*100+C383,"")</f>
        <v/>
      </c>
      <c r="L383">
        <f>IF(OR(G383="",NOT(ISNUMBER(B383))),"",IF(AND(B383&gt;=Settings!$C$6,B383&lt;=Settings!$C$6+6),B383*1000+ROW(),""))</f>
        <v/>
      </c>
    </row>
    <row r="384">
      <c r="A384" s="1" t="n"/>
      <c r="B384" s="28" t="n"/>
      <c r="C384" s="29" t="n"/>
      <c r="D384" s="30" t="n"/>
      <c r="E384" s="31" t="n"/>
      <c r="F384" s="32" t="n"/>
      <c r="G384" s="32" t="n"/>
      <c r="H384" s="33" t="n"/>
      <c r="I384" s="34">
        <f>IF(B384="","",IF(D384&lt;&gt;"",D384,IF(AND(ISNUMBER(B384),ISNUMBER(C384)),IF(OR(WEEKDAY(B384,2)&gt;5,C384&lt;1,C384&gt;10),"",IF(INDEX(Timetable!$E$6:$I$15,C384,WEEKDAY(B384,2))="","",INDEX(Timetable!$E$6:$I$15,C384,WEEKDAY(B384,2)))),"")))</f>
        <v/>
      </c>
      <c r="J384" s="1" t="n"/>
      <c r="K384">
        <f>IF(AND(ISNUMBER(B384),ISNUMBER(C384)),B384*100+C384,"")</f>
        <v/>
      </c>
      <c r="L384">
        <f>IF(OR(G384="",NOT(ISNUMBER(B384))),"",IF(AND(B384&gt;=Settings!$C$6,B384&lt;=Settings!$C$6+6),B384*1000+ROW(),""))</f>
        <v/>
      </c>
    </row>
    <row r="385">
      <c r="A385" s="1" t="n"/>
      <c r="B385" s="28" t="n"/>
      <c r="C385" s="29" t="n"/>
      <c r="D385" s="30" t="n"/>
      <c r="E385" s="31" t="n"/>
      <c r="F385" s="32" t="n"/>
      <c r="G385" s="32" t="n"/>
      <c r="H385" s="33" t="n"/>
      <c r="I385" s="34">
        <f>IF(B385="","",IF(D385&lt;&gt;"",D385,IF(AND(ISNUMBER(B385),ISNUMBER(C385)),IF(OR(WEEKDAY(B385,2)&gt;5,C385&lt;1,C385&gt;10),"",IF(INDEX(Timetable!$E$6:$I$15,C385,WEEKDAY(B385,2))="","",INDEX(Timetable!$E$6:$I$15,C385,WEEKDAY(B385,2)))),"")))</f>
        <v/>
      </c>
      <c r="J385" s="1" t="n"/>
      <c r="K385">
        <f>IF(AND(ISNUMBER(B385),ISNUMBER(C385)),B385*100+C385,"")</f>
        <v/>
      </c>
      <c r="L385">
        <f>IF(OR(G385="",NOT(ISNUMBER(B385))),"",IF(AND(B385&gt;=Settings!$C$6,B385&lt;=Settings!$C$6+6),B385*1000+ROW(),""))</f>
        <v/>
      </c>
    </row>
    <row r="386">
      <c r="A386" s="1" t="n"/>
      <c r="B386" s="28" t="n"/>
      <c r="C386" s="29" t="n"/>
      <c r="D386" s="30" t="n"/>
      <c r="E386" s="31" t="n"/>
      <c r="F386" s="32" t="n"/>
      <c r="G386" s="32" t="n"/>
      <c r="H386" s="33" t="n"/>
      <c r="I386" s="34">
        <f>IF(B386="","",IF(D386&lt;&gt;"",D386,IF(AND(ISNUMBER(B386),ISNUMBER(C386)),IF(OR(WEEKDAY(B386,2)&gt;5,C386&lt;1,C386&gt;10),"",IF(INDEX(Timetable!$E$6:$I$15,C386,WEEKDAY(B386,2))="","",INDEX(Timetable!$E$6:$I$15,C386,WEEKDAY(B386,2)))),"")))</f>
        <v/>
      </c>
      <c r="J386" s="1" t="n"/>
      <c r="K386">
        <f>IF(AND(ISNUMBER(B386),ISNUMBER(C386)),B386*100+C386,"")</f>
        <v/>
      </c>
      <c r="L386">
        <f>IF(OR(G386="",NOT(ISNUMBER(B386))),"",IF(AND(B386&gt;=Settings!$C$6,B386&lt;=Settings!$C$6+6),B386*1000+ROW(),""))</f>
        <v/>
      </c>
    </row>
    <row r="387">
      <c r="A387" s="1" t="n"/>
      <c r="B387" s="28" t="n"/>
      <c r="C387" s="29" t="n"/>
      <c r="D387" s="30" t="n"/>
      <c r="E387" s="31" t="n"/>
      <c r="F387" s="32" t="n"/>
      <c r="G387" s="32" t="n"/>
      <c r="H387" s="33" t="n"/>
      <c r="I387" s="34">
        <f>IF(B387="","",IF(D387&lt;&gt;"",D387,IF(AND(ISNUMBER(B387),ISNUMBER(C387)),IF(OR(WEEKDAY(B387,2)&gt;5,C387&lt;1,C387&gt;10),"",IF(INDEX(Timetable!$E$6:$I$15,C387,WEEKDAY(B387,2))="","",INDEX(Timetable!$E$6:$I$15,C387,WEEKDAY(B387,2)))),"")))</f>
        <v/>
      </c>
      <c r="J387" s="1" t="n"/>
      <c r="K387">
        <f>IF(AND(ISNUMBER(B387),ISNUMBER(C387)),B387*100+C387,"")</f>
        <v/>
      </c>
      <c r="L387">
        <f>IF(OR(G387="",NOT(ISNUMBER(B387))),"",IF(AND(B387&gt;=Settings!$C$6,B387&lt;=Settings!$C$6+6),B387*1000+ROW(),""))</f>
        <v/>
      </c>
    </row>
    <row r="388">
      <c r="A388" s="1" t="n"/>
      <c r="B388" s="28" t="n"/>
      <c r="C388" s="29" t="n"/>
      <c r="D388" s="30" t="n"/>
      <c r="E388" s="31" t="n"/>
      <c r="F388" s="32" t="n"/>
      <c r="G388" s="32" t="n"/>
      <c r="H388" s="33" t="n"/>
      <c r="I388" s="34">
        <f>IF(B388="","",IF(D388&lt;&gt;"",D388,IF(AND(ISNUMBER(B388),ISNUMBER(C388)),IF(OR(WEEKDAY(B388,2)&gt;5,C388&lt;1,C388&gt;10),"",IF(INDEX(Timetable!$E$6:$I$15,C388,WEEKDAY(B388,2))="","",INDEX(Timetable!$E$6:$I$15,C388,WEEKDAY(B388,2)))),"")))</f>
        <v/>
      </c>
      <c r="J388" s="1" t="n"/>
      <c r="K388">
        <f>IF(AND(ISNUMBER(B388),ISNUMBER(C388)),B388*100+C388,"")</f>
        <v/>
      </c>
      <c r="L388">
        <f>IF(OR(G388="",NOT(ISNUMBER(B388))),"",IF(AND(B388&gt;=Settings!$C$6,B388&lt;=Settings!$C$6+6),B388*1000+ROW(),""))</f>
        <v/>
      </c>
    </row>
    <row r="389">
      <c r="A389" s="1" t="n"/>
      <c r="B389" s="28" t="n"/>
      <c r="C389" s="29" t="n"/>
      <c r="D389" s="30" t="n"/>
      <c r="E389" s="31" t="n"/>
      <c r="F389" s="32" t="n"/>
      <c r="G389" s="32" t="n"/>
      <c r="H389" s="33" t="n"/>
      <c r="I389" s="34">
        <f>IF(B389="","",IF(D389&lt;&gt;"",D389,IF(AND(ISNUMBER(B389),ISNUMBER(C389)),IF(OR(WEEKDAY(B389,2)&gt;5,C389&lt;1,C389&gt;10),"",IF(INDEX(Timetable!$E$6:$I$15,C389,WEEKDAY(B389,2))="","",INDEX(Timetable!$E$6:$I$15,C389,WEEKDAY(B389,2)))),"")))</f>
        <v/>
      </c>
      <c r="J389" s="1" t="n"/>
      <c r="K389">
        <f>IF(AND(ISNUMBER(B389),ISNUMBER(C389)),B389*100+C389,"")</f>
        <v/>
      </c>
      <c r="L389">
        <f>IF(OR(G389="",NOT(ISNUMBER(B389))),"",IF(AND(B389&gt;=Settings!$C$6,B389&lt;=Settings!$C$6+6),B389*1000+ROW(),""))</f>
        <v/>
      </c>
    </row>
    <row r="390">
      <c r="A390" s="1" t="n"/>
      <c r="B390" s="28" t="n"/>
      <c r="C390" s="29" t="n"/>
      <c r="D390" s="30" t="n"/>
      <c r="E390" s="31" t="n"/>
      <c r="F390" s="32" t="n"/>
      <c r="G390" s="32" t="n"/>
      <c r="H390" s="33" t="n"/>
      <c r="I390" s="34">
        <f>IF(B390="","",IF(D390&lt;&gt;"",D390,IF(AND(ISNUMBER(B390),ISNUMBER(C390)),IF(OR(WEEKDAY(B390,2)&gt;5,C390&lt;1,C390&gt;10),"",IF(INDEX(Timetable!$E$6:$I$15,C390,WEEKDAY(B390,2))="","",INDEX(Timetable!$E$6:$I$15,C390,WEEKDAY(B390,2)))),"")))</f>
        <v/>
      </c>
      <c r="J390" s="1" t="n"/>
      <c r="K390">
        <f>IF(AND(ISNUMBER(B390),ISNUMBER(C390)),B390*100+C390,"")</f>
        <v/>
      </c>
      <c r="L390">
        <f>IF(OR(G390="",NOT(ISNUMBER(B390))),"",IF(AND(B390&gt;=Settings!$C$6,B390&lt;=Settings!$C$6+6),B390*1000+ROW(),""))</f>
        <v/>
      </c>
    </row>
    <row r="391">
      <c r="A391" s="1" t="n"/>
      <c r="B391" s="28" t="n"/>
      <c r="C391" s="29" t="n"/>
      <c r="D391" s="30" t="n"/>
      <c r="E391" s="31" t="n"/>
      <c r="F391" s="32" t="n"/>
      <c r="G391" s="32" t="n"/>
      <c r="H391" s="33" t="n"/>
      <c r="I391" s="34">
        <f>IF(B391="","",IF(D391&lt;&gt;"",D391,IF(AND(ISNUMBER(B391),ISNUMBER(C391)),IF(OR(WEEKDAY(B391,2)&gt;5,C391&lt;1,C391&gt;10),"",IF(INDEX(Timetable!$E$6:$I$15,C391,WEEKDAY(B391,2))="","",INDEX(Timetable!$E$6:$I$15,C391,WEEKDAY(B391,2)))),"")))</f>
        <v/>
      </c>
      <c r="J391" s="1" t="n"/>
      <c r="K391">
        <f>IF(AND(ISNUMBER(B391),ISNUMBER(C391)),B391*100+C391,"")</f>
        <v/>
      </c>
      <c r="L391">
        <f>IF(OR(G391="",NOT(ISNUMBER(B391))),"",IF(AND(B391&gt;=Settings!$C$6,B391&lt;=Settings!$C$6+6),B391*1000+ROW(),""))</f>
        <v/>
      </c>
    </row>
    <row r="392">
      <c r="A392" s="1" t="n"/>
      <c r="B392" s="28" t="n"/>
      <c r="C392" s="29" t="n"/>
      <c r="D392" s="30" t="n"/>
      <c r="E392" s="31" t="n"/>
      <c r="F392" s="32" t="n"/>
      <c r="G392" s="32" t="n"/>
      <c r="H392" s="33" t="n"/>
      <c r="I392" s="34">
        <f>IF(B392="","",IF(D392&lt;&gt;"",D392,IF(AND(ISNUMBER(B392),ISNUMBER(C392)),IF(OR(WEEKDAY(B392,2)&gt;5,C392&lt;1,C392&gt;10),"",IF(INDEX(Timetable!$E$6:$I$15,C392,WEEKDAY(B392,2))="","",INDEX(Timetable!$E$6:$I$15,C392,WEEKDAY(B392,2)))),"")))</f>
        <v/>
      </c>
      <c r="J392" s="1" t="n"/>
      <c r="K392">
        <f>IF(AND(ISNUMBER(B392),ISNUMBER(C392)),B392*100+C392,"")</f>
        <v/>
      </c>
      <c r="L392">
        <f>IF(OR(G392="",NOT(ISNUMBER(B392))),"",IF(AND(B392&gt;=Settings!$C$6,B392&lt;=Settings!$C$6+6),B392*1000+ROW(),""))</f>
        <v/>
      </c>
    </row>
    <row r="393">
      <c r="A393" s="1" t="n"/>
      <c r="B393" s="28" t="n"/>
      <c r="C393" s="29" t="n"/>
      <c r="D393" s="30" t="n"/>
      <c r="E393" s="31" t="n"/>
      <c r="F393" s="32" t="n"/>
      <c r="G393" s="32" t="n"/>
      <c r="H393" s="33" t="n"/>
      <c r="I393" s="34">
        <f>IF(B393="","",IF(D393&lt;&gt;"",D393,IF(AND(ISNUMBER(B393),ISNUMBER(C393)),IF(OR(WEEKDAY(B393,2)&gt;5,C393&lt;1,C393&gt;10),"",IF(INDEX(Timetable!$E$6:$I$15,C393,WEEKDAY(B393,2))="","",INDEX(Timetable!$E$6:$I$15,C393,WEEKDAY(B393,2)))),"")))</f>
        <v/>
      </c>
      <c r="J393" s="1" t="n"/>
      <c r="K393">
        <f>IF(AND(ISNUMBER(B393),ISNUMBER(C393)),B393*100+C393,"")</f>
        <v/>
      </c>
      <c r="L393">
        <f>IF(OR(G393="",NOT(ISNUMBER(B393))),"",IF(AND(B393&gt;=Settings!$C$6,B393&lt;=Settings!$C$6+6),B393*1000+ROW(),""))</f>
        <v/>
      </c>
    </row>
    <row r="394">
      <c r="A394" s="1" t="n"/>
      <c r="B394" s="28" t="n"/>
      <c r="C394" s="29" t="n"/>
      <c r="D394" s="30" t="n"/>
      <c r="E394" s="31" t="n"/>
      <c r="F394" s="32" t="n"/>
      <c r="G394" s="32" t="n"/>
      <c r="H394" s="33" t="n"/>
      <c r="I394" s="34">
        <f>IF(B394="","",IF(D394&lt;&gt;"",D394,IF(AND(ISNUMBER(B394),ISNUMBER(C394)),IF(OR(WEEKDAY(B394,2)&gt;5,C394&lt;1,C394&gt;10),"",IF(INDEX(Timetable!$E$6:$I$15,C394,WEEKDAY(B394,2))="","",INDEX(Timetable!$E$6:$I$15,C394,WEEKDAY(B394,2)))),"")))</f>
        <v/>
      </c>
      <c r="J394" s="1" t="n"/>
      <c r="K394">
        <f>IF(AND(ISNUMBER(B394),ISNUMBER(C394)),B394*100+C394,"")</f>
        <v/>
      </c>
      <c r="L394">
        <f>IF(OR(G394="",NOT(ISNUMBER(B394))),"",IF(AND(B394&gt;=Settings!$C$6,B394&lt;=Settings!$C$6+6),B394*1000+ROW(),""))</f>
        <v/>
      </c>
    </row>
    <row r="395">
      <c r="A395" s="1" t="n"/>
      <c r="B395" s="28" t="n"/>
      <c r="C395" s="29" t="n"/>
      <c r="D395" s="30" t="n"/>
      <c r="E395" s="31" t="n"/>
      <c r="F395" s="32" t="n"/>
      <c r="G395" s="32" t="n"/>
      <c r="H395" s="33" t="n"/>
      <c r="I395" s="34">
        <f>IF(B395="","",IF(D395&lt;&gt;"",D395,IF(AND(ISNUMBER(B395),ISNUMBER(C395)),IF(OR(WEEKDAY(B395,2)&gt;5,C395&lt;1,C395&gt;10),"",IF(INDEX(Timetable!$E$6:$I$15,C395,WEEKDAY(B395,2))="","",INDEX(Timetable!$E$6:$I$15,C395,WEEKDAY(B395,2)))),"")))</f>
        <v/>
      </c>
      <c r="J395" s="1" t="n"/>
      <c r="K395">
        <f>IF(AND(ISNUMBER(B395),ISNUMBER(C395)),B395*100+C395,"")</f>
        <v/>
      </c>
      <c r="L395">
        <f>IF(OR(G395="",NOT(ISNUMBER(B395))),"",IF(AND(B395&gt;=Settings!$C$6,B395&lt;=Settings!$C$6+6),B395*1000+ROW(),""))</f>
        <v/>
      </c>
    </row>
    <row r="396">
      <c r="A396" s="1" t="n"/>
      <c r="B396" s="28" t="n"/>
      <c r="C396" s="29" t="n"/>
      <c r="D396" s="30" t="n"/>
      <c r="E396" s="31" t="n"/>
      <c r="F396" s="32" t="n"/>
      <c r="G396" s="32" t="n"/>
      <c r="H396" s="33" t="n"/>
      <c r="I396" s="34">
        <f>IF(B396="","",IF(D396&lt;&gt;"",D396,IF(AND(ISNUMBER(B396),ISNUMBER(C396)),IF(OR(WEEKDAY(B396,2)&gt;5,C396&lt;1,C396&gt;10),"",IF(INDEX(Timetable!$E$6:$I$15,C396,WEEKDAY(B396,2))="","",INDEX(Timetable!$E$6:$I$15,C396,WEEKDAY(B396,2)))),"")))</f>
        <v/>
      </c>
      <c r="J396" s="1" t="n"/>
      <c r="K396">
        <f>IF(AND(ISNUMBER(B396),ISNUMBER(C396)),B396*100+C396,"")</f>
        <v/>
      </c>
      <c r="L396">
        <f>IF(OR(G396="",NOT(ISNUMBER(B396))),"",IF(AND(B396&gt;=Settings!$C$6,B396&lt;=Settings!$C$6+6),B396*1000+ROW(),""))</f>
        <v/>
      </c>
    </row>
    <row r="397">
      <c r="A397" s="1" t="n"/>
      <c r="B397" s="28" t="n"/>
      <c r="C397" s="29" t="n"/>
      <c r="D397" s="30" t="n"/>
      <c r="E397" s="31" t="n"/>
      <c r="F397" s="32" t="n"/>
      <c r="G397" s="32" t="n"/>
      <c r="H397" s="33" t="n"/>
      <c r="I397" s="34">
        <f>IF(B397="","",IF(D397&lt;&gt;"",D397,IF(AND(ISNUMBER(B397),ISNUMBER(C397)),IF(OR(WEEKDAY(B397,2)&gt;5,C397&lt;1,C397&gt;10),"",IF(INDEX(Timetable!$E$6:$I$15,C397,WEEKDAY(B397,2))="","",INDEX(Timetable!$E$6:$I$15,C397,WEEKDAY(B397,2)))),"")))</f>
        <v/>
      </c>
      <c r="J397" s="1" t="n"/>
      <c r="K397">
        <f>IF(AND(ISNUMBER(B397),ISNUMBER(C397)),B397*100+C397,"")</f>
        <v/>
      </c>
      <c r="L397">
        <f>IF(OR(G397="",NOT(ISNUMBER(B397))),"",IF(AND(B397&gt;=Settings!$C$6,B397&lt;=Settings!$C$6+6),B397*1000+ROW(),""))</f>
        <v/>
      </c>
    </row>
    <row r="398">
      <c r="A398" s="1" t="n"/>
      <c r="B398" s="28" t="n"/>
      <c r="C398" s="29" t="n"/>
      <c r="D398" s="30" t="n"/>
      <c r="E398" s="31" t="n"/>
      <c r="F398" s="32" t="n"/>
      <c r="G398" s="32" t="n"/>
      <c r="H398" s="33" t="n"/>
      <c r="I398" s="34">
        <f>IF(B398="","",IF(D398&lt;&gt;"",D398,IF(AND(ISNUMBER(B398),ISNUMBER(C398)),IF(OR(WEEKDAY(B398,2)&gt;5,C398&lt;1,C398&gt;10),"",IF(INDEX(Timetable!$E$6:$I$15,C398,WEEKDAY(B398,2))="","",INDEX(Timetable!$E$6:$I$15,C398,WEEKDAY(B398,2)))),"")))</f>
        <v/>
      </c>
      <c r="J398" s="1" t="n"/>
      <c r="K398">
        <f>IF(AND(ISNUMBER(B398),ISNUMBER(C398)),B398*100+C398,"")</f>
        <v/>
      </c>
      <c r="L398">
        <f>IF(OR(G398="",NOT(ISNUMBER(B398))),"",IF(AND(B398&gt;=Settings!$C$6,B398&lt;=Settings!$C$6+6),B398*1000+ROW(),""))</f>
        <v/>
      </c>
    </row>
    <row r="399">
      <c r="A399" s="1" t="n"/>
      <c r="B399" s="28" t="n"/>
      <c r="C399" s="29" t="n"/>
      <c r="D399" s="30" t="n"/>
      <c r="E399" s="31" t="n"/>
      <c r="F399" s="32" t="n"/>
      <c r="G399" s="32" t="n"/>
      <c r="H399" s="33" t="n"/>
      <c r="I399" s="34">
        <f>IF(B399="","",IF(D399&lt;&gt;"",D399,IF(AND(ISNUMBER(B399),ISNUMBER(C399)),IF(OR(WEEKDAY(B399,2)&gt;5,C399&lt;1,C399&gt;10),"",IF(INDEX(Timetable!$E$6:$I$15,C399,WEEKDAY(B399,2))="","",INDEX(Timetable!$E$6:$I$15,C399,WEEKDAY(B399,2)))),"")))</f>
        <v/>
      </c>
      <c r="J399" s="1" t="n"/>
      <c r="K399">
        <f>IF(AND(ISNUMBER(B399),ISNUMBER(C399)),B399*100+C399,"")</f>
        <v/>
      </c>
      <c r="L399">
        <f>IF(OR(G399="",NOT(ISNUMBER(B399))),"",IF(AND(B399&gt;=Settings!$C$6,B399&lt;=Settings!$C$6+6),B399*1000+ROW(),""))</f>
        <v/>
      </c>
    </row>
    <row r="400">
      <c r="A400" s="1" t="n"/>
      <c r="B400" s="28" t="n"/>
      <c r="C400" s="29" t="n"/>
      <c r="D400" s="30" t="n"/>
      <c r="E400" s="31" t="n"/>
      <c r="F400" s="32" t="n"/>
      <c r="G400" s="32" t="n"/>
      <c r="H400" s="33" t="n"/>
      <c r="I400" s="34">
        <f>IF(B400="","",IF(D400&lt;&gt;"",D400,IF(AND(ISNUMBER(B400),ISNUMBER(C400)),IF(OR(WEEKDAY(B400,2)&gt;5,C400&lt;1,C400&gt;10),"",IF(INDEX(Timetable!$E$6:$I$15,C400,WEEKDAY(B400,2))="","",INDEX(Timetable!$E$6:$I$15,C400,WEEKDAY(B400,2)))),"")))</f>
        <v/>
      </c>
      <c r="J400" s="1" t="n"/>
      <c r="K400">
        <f>IF(AND(ISNUMBER(B400),ISNUMBER(C400)),B400*100+C400,"")</f>
        <v/>
      </c>
      <c r="L400">
        <f>IF(OR(G400="",NOT(ISNUMBER(B400))),"",IF(AND(B400&gt;=Settings!$C$6,B400&lt;=Settings!$C$6+6),B400*1000+ROW(),""))</f>
        <v/>
      </c>
    </row>
    <row r="401">
      <c r="A401" s="1" t="n"/>
      <c r="B401" s="28" t="n"/>
      <c r="C401" s="29" t="n"/>
      <c r="D401" s="30" t="n"/>
      <c r="E401" s="31" t="n"/>
      <c r="F401" s="32" t="n"/>
      <c r="G401" s="32" t="n"/>
      <c r="H401" s="33" t="n"/>
      <c r="I401" s="34">
        <f>IF(B401="","",IF(D401&lt;&gt;"",D401,IF(AND(ISNUMBER(B401),ISNUMBER(C401)),IF(OR(WEEKDAY(B401,2)&gt;5,C401&lt;1,C401&gt;10),"",IF(INDEX(Timetable!$E$6:$I$15,C401,WEEKDAY(B401,2))="","",INDEX(Timetable!$E$6:$I$15,C401,WEEKDAY(B401,2)))),"")))</f>
        <v/>
      </c>
      <c r="J401" s="1" t="n"/>
      <c r="K401">
        <f>IF(AND(ISNUMBER(B401),ISNUMBER(C401)),B401*100+C401,"")</f>
        <v/>
      </c>
      <c r="L401">
        <f>IF(OR(G401="",NOT(ISNUMBER(B401))),"",IF(AND(B401&gt;=Settings!$C$6,B401&lt;=Settings!$C$6+6),B401*1000+ROW(),""))</f>
        <v/>
      </c>
    </row>
    <row r="402">
      <c r="A402" s="1" t="n"/>
      <c r="B402" s="28" t="n"/>
      <c r="C402" s="29" t="n"/>
      <c r="D402" s="30" t="n"/>
      <c r="E402" s="31" t="n"/>
      <c r="F402" s="32" t="n"/>
      <c r="G402" s="32" t="n"/>
      <c r="H402" s="33" t="n"/>
      <c r="I402" s="34">
        <f>IF(B402="","",IF(D402&lt;&gt;"",D402,IF(AND(ISNUMBER(B402),ISNUMBER(C402)),IF(OR(WEEKDAY(B402,2)&gt;5,C402&lt;1,C402&gt;10),"",IF(INDEX(Timetable!$E$6:$I$15,C402,WEEKDAY(B402,2))="","",INDEX(Timetable!$E$6:$I$15,C402,WEEKDAY(B402,2)))),"")))</f>
        <v/>
      </c>
      <c r="J402" s="1" t="n"/>
      <c r="K402">
        <f>IF(AND(ISNUMBER(B402),ISNUMBER(C402)),B402*100+C402,"")</f>
        <v/>
      </c>
      <c r="L402">
        <f>IF(OR(G402="",NOT(ISNUMBER(B402))),"",IF(AND(B402&gt;=Settings!$C$6,B402&lt;=Settings!$C$6+6),B402*1000+ROW(),""))</f>
        <v/>
      </c>
    </row>
    <row r="403">
      <c r="A403" s="1" t="n"/>
      <c r="B403" s="28" t="n"/>
      <c r="C403" s="29" t="n"/>
      <c r="D403" s="30" t="n"/>
      <c r="E403" s="31" t="n"/>
      <c r="F403" s="32" t="n"/>
      <c r="G403" s="32" t="n"/>
      <c r="H403" s="33" t="n"/>
      <c r="I403" s="34">
        <f>IF(B403="","",IF(D403&lt;&gt;"",D403,IF(AND(ISNUMBER(B403),ISNUMBER(C403)),IF(OR(WEEKDAY(B403,2)&gt;5,C403&lt;1,C403&gt;10),"",IF(INDEX(Timetable!$E$6:$I$15,C403,WEEKDAY(B403,2))="","",INDEX(Timetable!$E$6:$I$15,C403,WEEKDAY(B403,2)))),"")))</f>
        <v/>
      </c>
      <c r="J403" s="1" t="n"/>
      <c r="K403">
        <f>IF(AND(ISNUMBER(B403),ISNUMBER(C403)),B403*100+C403,"")</f>
        <v/>
      </c>
      <c r="L403">
        <f>IF(OR(G403="",NOT(ISNUMBER(B403))),"",IF(AND(B403&gt;=Settings!$C$6,B403&lt;=Settings!$C$6+6),B403*1000+ROW(),""))</f>
        <v/>
      </c>
    </row>
    <row r="404">
      <c r="A404" s="1" t="n"/>
      <c r="B404" s="28" t="n"/>
      <c r="C404" s="29" t="n"/>
      <c r="D404" s="30" t="n"/>
      <c r="E404" s="31" t="n"/>
      <c r="F404" s="32" t="n"/>
      <c r="G404" s="32" t="n"/>
      <c r="H404" s="33" t="n"/>
      <c r="I404" s="34">
        <f>IF(B404="","",IF(D404&lt;&gt;"",D404,IF(AND(ISNUMBER(B404),ISNUMBER(C404)),IF(OR(WEEKDAY(B404,2)&gt;5,C404&lt;1,C404&gt;10),"",IF(INDEX(Timetable!$E$6:$I$15,C404,WEEKDAY(B404,2))="","",INDEX(Timetable!$E$6:$I$15,C404,WEEKDAY(B404,2)))),"")))</f>
        <v/>
      </c>
      <c r="J404" s="1" t="n"/>
      <c r="K404">
        <f>IF(AND(ISNUMBER(B404),ISNUMBER(C404)),B404*100+C404,"")</f>
        <v/>
      </c>
      <c r="L404">
        <f>IF(OR(G404="",NOT(ISNUMBER(B404))),"",IF(AND(B404&gt;=Settings!$C$6,B404&lt;=Settings!$C$6+6),B404*1000+ROW(),""))</f>
        <v/>
      </c>
    </row>
    <row r="405">
      <c r="A405" s="1" t="n"/>
      <c r="B405" s="28" t="n"/>
      <c r="C405" s="29" t="n"/>
      <c r="D405" s="30" t="n"/>
      <c r="E405" s="31" t="n"/>
      <c r="F405" s="32" t="n"/>
      <c r="G405" s="32" t="n"/>
      <c r="H405" s="33" t="n"/>
      <c r="I405" s="34">
        <f>IF(B405="","",IF(D405&lt;&gt;"",D405,IF(AND(ISNUMBER(B405),ISNUMBER(C405)),IF(OR(WEEKDAY(B405,2)&gt;5,C405&lt;1,C405&gt;10),"",IF(INDEX(Timetable!$E$6:$I$15,C405,WEEKDAY(B405,2))="","",INDEX(Timetable!$E$6:$I$15,C405,WEEKDAY(B405,2)))),"")))</f>
        <v/>
      </c>
      <c r="J405" s="1" t="n"/>
      <c r="K405">
        <f>IF(AND(ISNUMBER(B405),ISNUMBER(C405)),B405*100+C405,"")</f>
        <v/>
      </c>
      <c r="L405">
        <f>IF(OR(G405="",NOT(ISNUMBER(B405))),"",IF(AND(B405&gt;=Settings!$C$6,B405&lt;=Settings!$C$6+6),B405*1000+ROW(),""))</f>
        <v/>
      </c>
    </row>
    <row r="406">
      <c r="A406" s="1" t="n"/>
      <c r="B406" s="28" t="n"/>
      <c r="C406" s="29" t="n"/>
      <c r="D406" s="30" t="n"/>
      <c r="E406" s="31" t="n"/>
      <c r="F406" s="32" t="n"/>
      <c r="G406" s="32" t="n"/>
      <c r="H406" s="33" t="n"/>
      <c r="I406" s="34">
        <f>IF(B406="","",IF(D406&lt;&gt;"",D406,IF(AND(ISNUMBER(B406),ISNUMBER(C406)),IF(OR(WEEKDAY(B406,2)&gt;5,C406&lt;1,C406&gt;10),"",IF(INDEX(Timetable!$E$6:$I$15,C406,WEEKDAY(B406,2))="","",INDEX(Timetable!$E$6:$I$15,C406,WEEKDAY(B406,2)))),"")))</f>
        <v/>
      </c>
      <c r="J406" s="1" t="n"/>
      <c r="K406">
        <f>IF(AND(ISNUMBER(B406),ISNUMBER(C406)),B406*100+C406,"")</f>
        <v/>
      </c>
      <c r="L406">
        <f>IF(OR(G406="",NOT(ISNUMBER(B406))),"",IF(AND(B406&gt;=Settings!$C$6,B406&lt;=Settings!$C$6+6),B406*1000+ROW(),""))</f>
        <v/>
      </c>
    </row>
    <row r="407">
      <c r="A407" s="1" t="n"/>
      <c r="B407" s="28" t="n"/>
      <c r="C407" s="29" t="n"/>
      <c r="D407" s="30" t="n"/>
      <c r="E407" s="31" t="n"/>
      <c r="F407" s="32" t="n"/>
      <c r="G407" s="32" t="n"/>
      <c r="H407" s="33" t="n"/>
      <c r="I407" s="34">
        <f>IF(B407="","",IF(D407&lt;&gt;"",D407,IF(AND(ISNUMBER(B407),ISNUMBER(C407)),IF(OR(WEEKDAY(B407,2)&gt;5,C407&lt;1,C407&gt;10),"",IF(INDEX(Timetable!$E$6:$I$15,C407,WEEKDAY(B407,2))="","",INDEX(Timetable!$E$6:$I$15,C407,WEEKDAY(B407,2)))),"")))</f>
        <v/>
      </c>
      <c r="J407" s="1" t="n"/>
      <c r="K407">
        <f>IF(AND(ISNUMBER(B407),ISNUMBER(C407)),B407*100+C407,"")</f>
        <v/>
      </c>
      <c r="L407">
        <f>IF(OR(G407="",NOT(ISNUMBER(B407))),"",IF(AND(B407&gt;=Settings!$C$6,B407&lt;=Settings!$C$6+6),B407*1000+ROW(),""))</f>
        <v/>
      </c>
    </row>
    <row r="408">
      <c r="A408" s="1" t="n"/>
      <c r="B408" s="28" t="n"/>
      <c r="C408" s="29" t="n"/>
      <c r="D408" s="30" t="n"/>
      <c r="E408" s="31" t="n"/>
      <c r="F408" s="32" t="n"/>
      <c r="G408" s="32" t="n"/>
      <c r="H408" s="33" t="n"/>
      <c r="I408" s="34">
        <f>IF(B408="","",IF(D408&lt;&gt;"",D408,IF(AND(ISNUMBER(B408),ISNUMBER(C408)),IF(OR(WEEKDAY(B408,2)&gt;5,C408&lt;1,C408&gt;10),"",IF(INDEX(Timetable!$E$6:$I$15,C408,WEEKDAY(B408,2))="","",INDEX(Timetable!$E$6:$I$15,C408,WEEKDAY(B408,2)))),"")))</f>
        <v/>
      </c>
      <c r="J408" s="1" t="n"/>
      <c r="K408">
        <f>IF(AND(ISNUMBER(B408),ISNUMBER(C408)),B408*100+C408,"")</f>
        <v/>
      </c>
      <c r="L408">
        <f>IF(OR(G408="",NOT(ISNUMBER(B408))),"",IF(AND(B408&gt;=Settings!$C$6,B408&lt;=Settings!$C$6+6),B408*1000+ROW(),""))</f>
        <v/>
      </c>
    </row>
    <row r="409">
      <c r="A409" s="1" t="n"/>
      <c r="B409" s="28" t="n"/>
      <c r="C409" s="29" t="n"/>
      <c r="D409" s="30" t="n"/>
      <c r="E409" s="31" t="n"/>
      <c r="F409" s="32" t="n"/>
      <c r="G409" s="32" t="n"/>
      <c r="H409" s="33" t="n"/>
      <c r="I409" s="34">
        <f>IF(B409="","",IF(D409&lt;&gt;"",D409,IF(AND(ISNUMBER(B409),ISNUMBER(C409)),IF(OR(WEEKDAY(B409,2)&gt;5,C409&lt;1,C409&gt;10),"",IF(INDEX(Timetable!$E$6:$I$15,C409,WEEKDAY(B409,2))="","",INDEX(Timetable!$E$6:$I$15,C409,WEEKDAY(B409,2)))),"")))</f>
        <v/>
      </c>
      <c r="J409" s="1" t="n"/>
      <c r="K409">
        <f>IF(AND(ISNUMBER(B409),ISNUMBER(C409)),B409*100+C409,"")</f>
        <v/>
      </c>
      <c r="L409">
        <f>IF(OR(G409="",NOT(ISNUMBER(B409))),"",IF(AND(B409&gt;=Settings!$C$6,B409&lt;=Settings!$C$6+6),B409*1000+ROW(),""))</f>
        <v/>
      </c>
    </row>
    <row r="410">
      <c r="A410" s="1" t="n"/>
      <c r="B410" s="28" t="n"/>
      <c r="C410" s="29" t="n"/>
      <c r="D410" s="30" t="n"/>
      <c r="E410" s="31" t="n"/>
      <c r="F410" s="32" t="n"/>
      <c r="G410" s="32" t="n"/>
      <c r="H410" s="33" t="n"/>
      <c r="I410" s="34">
        <f>IF(B410="","",IF(D410&lt;&gt;"",D410,IF(AND(ISNUMBER(B410),ISNUMBER(C410)),IF(OR(WEEKDAY(B410,2)&gt;5,C410&lt;1,C410&gt;10),"",IF(INDEX(Timetable!$E$6:$I$15,C410,WEEKDAY(B410,2))="","",INDEX(Timetable!$E$6:$I$15,C410,WEEKDAY(B410,2)))),"")))</f>
        <v/>
      </c>
      <c r="J410" s="1" t="n"/>
      <c r="K410">
        <f>IF(AND(ISNUMBER(B410),ISNUMBER(C410)),B410*100+C410,"")</f>
        <v/>
      </c>
      <c r="L410">
        <f>IF(OR(G410="",NOT(ISNUMBER(B410))),"",IF(AND(B410&gt;=Settings!$C$6,B410&lt;=Settings!$C$6+6),B410*1000+ROW(),""))</f>
        <v/>
      </c>
    </row>
    <row r="411">
      <c r="A411" s="1" t="n"/>
      <c r="B411" s="28" t="n"/>
      <c r="C411" s="29" t="n"/>
      <c r="D411" s="30" t="n"/>
      <c r="E411" s="31" t="n"/>
      <c r="F411" s="32" t="n"/>
      <c r="G411" s="32" t="n"/>
      <c r="H411" s="33" t="n"/>
      <c r="I411" s="34">
        <f>IF(B411="","",IF(D411&lt;&gt;"",D411,IF(AND(ISNUMBER(B411),ISNUMBER(C411)),IF(OR(WEEKDAY(B411,2)&gt;5,C411&lt;1,C411&gt;10),"",IF(INDEX(Timetable!$E$6:$I$15,C411,WEEKDAY(B411,2))="","",INDEX(Timetable!$E$6:$I$15,C411,WEEKDAY(B411,2)))),"")))</f>
        <v/>
      </c>
      <c r="J411" s="1" t="n"/>
      <c r="K411">
        <f>IF(AND(ISNUMBER(B411),ISNUMBER(C411)),B411*100+C411,"")</f>
        <v/>
      </c>
      <c r="L411">
        <f>IF(OR(G411="",NOT(ISNUMBER(B411))),"",IF(AND(B411&gt;=Settings!$C$6,B411&lt;=Settings!$C$6+6),B411*1000+ROW(),""))</f>
        <v/>
      </c>
    </row>
    <row r="412">
      <c r="A412" s="1" t="n"/>
      <c r="B412" s="28" t="n"/>
      <c r="C412" s="29" t="n"/>
      <c r="D412" s="30" t="n"/>
      <c r="E412" s="31" t="n"/>
      <c r="F412" s="32" t="n"/>
      <c r="G412" s="32" t="n"/>
      <c r="H412" s="33" t="n"/>
      <c r="I412" s="34">
        <f>IF(B412="","",IF(D412&lt;&gt;"",D412,IF(AND(ISNUMBER(B412),ISNUMBER(C412)),IF(OR(WEEKDAY(B412,2)&gt;5,C412&lt;1,C412&gt;10),"",IF(INDEX(Timetable!$E$6:$I$15,C412,WEEKDAY(B412,2))="","",INDEX(Timetable!$E$6:$I$15,C412,WEEKDAY(B412,2)))),"")))</f>
        <v/>
      </c>
      <c r="J412" s="1" t="n"/>
      <c r="K412">
        <f>IF(AND(ISNUMBER(B412),ISNUMBER(C412)),B412*100+C412,"")</f>
        <v/>
      </c>
      <c r="L412">
        <f>IF(OR(G412="",NOT(ISNUMBER(B412))),"",IF(AND(B412&gt;=Settings!$C$6,B412&lt;=Settings!$C$6+6),B412*1000+ROW(),""))</f>
        <v/>
      </c>
    </row>
    <row r="413">
      <c r="A413" s="1" t="n"/>
      <c r="B413" s="28" t="n"/>
      <c r="C413" s="29" t="n"/>
      <c r="D413" s="30" t="n"/>
      <c r="E413" s="31" t="n"/>
      <c r="F413" s="32" t="n"/>
      <c r="G413" s="32" t="n"/>
      <c r="H413" s="33" t="n"/>
      <c r="I413" s="34">
        <f>IF(B413="","",IF(D413&lt;&gt;"",D413,IF(AND(ISNUMBER(B413),ISNUMBER(C413)),IF(OR(WEEKDAY(B413,2)&gt;5,C413&lt;1,C413&gt;10),"",IF(INDEX(Timetable!$E$6:$I$15,C413,WEEKDAY(B413,2))="","",INDEX(Timetable!$E$6:$I$15,C413,WEEKDAY(B413,2)))),"")))</f>
        <v/>
      </c>
      <c r="J413" s="1" t="n"/>
      <c r="K413">
        <f>IF(AND(ISNUMBER(B413),ISNUMBER(C413)),B413*100+C413,"")</f>
        <v/>
      </c>
      <c r="L413">
        <f>IF(OR(G413="",NOT(ISNUMBER(B413))),"",IF(AND(B413&gt;=Settings!$C$6,B413&lt;=Settings!$C$6+6),B413*1000+ROW(),""))</f>
        <v/>
      </c>
    </row>
    <row r="414">
      <c r="A414" s="1" t="n"/>
      <c r="B414" s="28" t="n"/>
      <c r="C414" s="29" t="n"/>
      <c r="D414" s="30" t="n"/>
      <c r="E414" s="31" t="n"/>
      <c r="F414" s="32" t="n"/>
      <c r="G414" s="32" t="n"/>
      <c r="H414" s="33" t="n"/>
      <c r="I414" s="34">
        <f>IF(B414="","",IF(D414&lt;&gt;"",D414,IF(AND(ISNUMBER(B414),ISNUMBER(C414)),IF(OR(WEEKDAY(B414,2)&gt;5,C414&lt;1,C414&gt;10),"",IF(INDEX(Timetable!$E$6:$I$15,C414,WEEKDAY(B414,2))="","",INDEX(Timetable!$E$6:$I$15,C414,WEEKDAY(B414,2)))),"")))</f>
        <v/>
      </c>
      <c r="J414" s="1" t="n"/>
      <c r="K414">
        <f>IF(AND(ISNUMBER(B414),ISNUMBER(C414)),B414*100+C414,"")</f>
        <v/>
      </c>
      <c r="L414">
        <f>IF(OR(G414="",NOT(ISNUMBER(B414))),"",IF(AND(B414&gt;=Settings!$C$6,B414&lt;=Settings!$C$6+6),B414*1000+ROW(),""))</f>
        <v/>
      </c>
    </row>
    <row r="415">
      <c r="A415" s="1" t="n"/>
      <c r="B415" s="28" t="n"/>
      <c r="C415" s="29" t="n"/>
      <c r="D415" s="30" t="n"/>
      <c r="E415" s="31" t="n"/>
      <c r="F415" s="32" t="n"/>
      <c r="G415" s="32" t="n"/>
      <c r="H415" s="33" t="n"/>
      <c r="I415" s="34">
        <f>IF(B415="","",IF(D415&lt;&gt;"",D415,IF(AND(ISNUMBER(B415),ISNUMBER(C415)),IF(OR(WEEKDAY(B415,2)&gt;5,C415&lt;1,C415&gt;10),"",IF(INDEX(Timetable!$E$6:$I$15,C415,WEEKDAY(B415,2))="","",INDEX(Timetable!$E$6:$I$15,C415,WEEKDAY(B415,2)))),"")))</f>
        <v/>
      </c>
      <c r="J415" s="1" t="n"/>
      <c r="K415">
        <f>IF(AND(ISNUMBER(B415),ISNUMBER(C415)),B415*100+C415,"")</f>
        <v/>
      </c>
      <c r="L415">
        <f>IF(OR(G415="",NOT(ISNUMBER(B415))),"",IF(AND(B415&gt;=Settings!$C$6,B415&lt;=Settings!$C$6+6),B415*1000+ROW(),""))</f>
        <v/>
      </c>
    </row>
    <row r="416">
      <c r="A416" s="1" t="n"/>
      <c r="B416" s="28" t="n"/>
      <c r="C416" s="29" t="n"/>
      <c r="D416" s="30" t="n"/>
      <c r="E416" s="31" t="n"/>
      <c r="F416" s="32" t="n"/>
      <c r="G416" s="32" t="n"/>
      <c r="H416" s="33" t="n"/>
      <c r="I416" s="34">
        <f>IF(B416="","",IF(D416&lt;&gt;"",D416,IF(AND(ISNUMBER(B416),ISNUMBER(C416)),IF(OR(WEEKDAY(B416,2)&gt;5,C416&lt;1,C416&gt;10),"",IF(INDEX(Timetable!$E$6:$I$15,C416,WEEKDAY(B416,2))="","",INDEX(Timetable!$E$6:$I$15,C416,WEEKDAY(B416,2)))),"")))</f>
        <v/>
      </c>
      <c r="J416" s="1" t="n"/>
      <c r="K416">
        <f>IF(AND(ISNUMBER(B416),ISNUMBER(C416)),B416*100+C416,"")</f>
        <v/>
      </c>
      <c r="L416">
        <f>IF(OR(G416="",NOT(ISNUMBER(B416))),"",IF(AND(B416&gt;=Settings!$C$6,B416&lt;=Settings!$C$6+6),B416*1000+ROW(),""))</f>
        <v/>
      </c>
    </row>
    <row r="417">
      <c r="A417" s="1" t="n"/>
      <c r="B417" s="28" t="n"/>
      <c r="C417" s="29" t="n"/>
      <c r="D417" s="30" t="n"/>
      <c r="E417" s="31" t="n"/>
      <c r="F417" s="32" t="n"/>
      <c r="G417" s="32" t="n"/>
      <c r="H417" s="33" t="n"/>
      <c r="I417" s="34">
        <f>IF(B417="","",IF(D417&lt;&gt;"",D417,IF(AND(ISNUMBER(B417),ISNUMBER(C417)),IF(OR(WEEKDAY(B417,2)&gt;5,C417&lt;1,C417&gt;10),"",IF(INDEX(Timetable!$E$6:$I$15,C417,WEEKDAY(B417,2))="","",INDEX(Timetable!$E$6:$I$15,C417,WEEKDAY(B417,2)))),"")))</f>
        <v/>
      </c>
      <c r="J417" s="1" t="n"/>
      <c r="K417">
        <f>IF(AND(ISNUMBER(B417),ISNUMBER(C417)),B417*100+C417,"")</f>
        <v/>
      </c>
      <c r="L417">
        <f>IF(OR(G417="",NOT(ISNUMBER(B417))),"",IF(AND(B417&gt;=Settings!$C$6,B417&lt;=Settings!$C$6+6),B417*1000+ROW(),""))</f>
        <v/>
      </c>
    </row>
    <row r="418">
      <c r="A418" s="1" t="n"/>
      <c r="B418" s="28" t="n"/>
      <c r="C418" s="29" t="n"/>
      <c r="D418" s="30" t="n"/>
      <c r="E418" s="31" t="n"/>
      <c r="F418" s="32" t="n"/>
      <c r="G418" s="32" t="n"/>
      <c r="H418" s="33" t="n"/>
      <c r="I418" s="34">
        <f>IF(B418="","",IF(D418&lt;&gt;"",D418,IF(AND(ISNUMBER(B418),ISNUMBER(C418)),IF(OR(WEEKDAY(B418,2)&gt;5,C418&lt;1,C418&gt;10),"",IF(INDEX(Timetable!$E$6:$I$15,C418,WEEKDAY(B418,2))="","",INDEX(Timetable!$E$6:$I$15,C418,WEEKDAY(B418,2)))),"")))</f>
        <v/>
      </c>
      <c r="J418" s="1" t="n"/>
      <c r="K418">
        <f>IF(AND(ISNUMBER(B418),ISNUMBER(C418)),B418*100+C418,"")</f>
        <v/>
      </c>
      <c r="L418">
        <f>IF(OR(G418="",NOT(ISNUMBER(B418))),"",IF(AND(B418&gt;=Settings!$C$6,B418&lt;=Settings!$C$6+6),B418*1000+ROW(),""))</f>
        <v/>
      </c>
    </row>
    <row r="419">
      <c r="A419" s="1" t="n"/>
      <c r="B419" s="28" t="n"/>
      <c r="C419" s="29" t="n"/>
      <c r="D419" s="30" t="n"/>
      <c r="E419" s="31" t="n"/>
      <c r="F419" s="32" t="n"/>
      <c r="G419" s="32" t="n"/>
      <c r="H419" s="33" t="n"/>
      <c r="I419" s="34">
        <f>IF(B419="","",IF(D419&lt;&gt;"",D419,IF(AND(ISNUMBER(B419),ISNUMBER(C419)),IF(OR(WEEKDAY(B419,2)&gt;5,C419&lt;1,C419&gt;10),"",IF(INDEX(Timetable!$E$6:$I$15,C419,WEEKDAY(B419,2))="","",INDEX(Timetable!$E$6:$I$15,C419,WEEKDAY(B419,2)))),"")))</f>
        <v/>
      </c>
      <c r="J419" s="1" t="n"/>
      <c r="K419">
        <f>IF(AND(ISNUMBER(B419),ISNUMBER(C419)),B419*100+C419,"")</f>
        <v/>
      </c>
      <c r="L419">
        <f>IF(OR(G419="",NOT(ISNUMBER(B419))),"",IF(AND(B419&gt;=Settings!$C$6,B419&lt;=Settings!$C$6+6),B419*1000+ROW(),""))</f>
        <v/>
      </c>
    </row>
    <row r="420">
      <c r="A420" s="1" t="n"/>
      <c r="B420" s="28" t="n"/>
      <c r="C420" s="29" t="n"/>
      <c r="D420" s="30" t="n"/>
      <c r="E420" s="31" t="n"/>
      <c r="F420" s="32" t="n"/>
      <c r="G420" s="32" t="n"/>
      <c r="H420" s="33" t="n"/>
      <c r="I420" s="34">
        <f>IF(B420="","",IF(D420&lt;&gt;"",D420,IF(AND(ISNUMBER(B420),ISNUMBER(C420)),IF(OR(WEEKDAY(B420,2)&gt;5,C420&lt;1,C420&gt;10),"",IF(INDEX(Timetable!$E$6:$I$15,C420,WEEKDAY(B420,2))="","",INDEX(Timetable!$E$6:$I$15,C420,WEEKDAY(B420,2)))),"")))</f>
        <v/>
      </c>
      <c r="J420" s="1" t="n"/>
      <c r="K420">
        <f>IF(AND(ISNUMBER(B420),ISNUMBER(C420)),B420*100+C420,"")</f>
        <v/>
      </c>
      <c r="L420">
        <f>IF(OR(G420="",NOT(ISNUMBER(B420))),"",IF(AND(B420&gt;=Settings!$C$6,B420&lt;=Settings!$C$6+6),B420*1000+ROW(),""))</f>
        <v/>
      </c>
    </row>
    <row r="421">
      <c r="A421" s="1" t="n"/>
      <c r="B421" s="28" t="n"/>
      <c r="C421" s="29" t="n"/>
      <c r="D421" s="30" t="n"/>
      <c r="E421" s="31" t="n"/>
      <c r="F421" s="32" t="n"/>
      <c r="G421" s="32" t="n"/>
      <c r="H421" s="33" t="n"/>
      <c r="I421" s="34">
        <f>IF(B421="","",IF(D421&lt;&gt;"",D421,IF(AND(ISNUMBER(B421),ISNUMBER(C421)),IF(OR(WEEKDAY(B421,2)&gt;5,C421&lt;1,C421&gt;10),"",IF(INDEX(Timetable!$E$6:$I$15,C421,WEEKDAY(B421,2))="","",INDEX(Timetable!$E$6:$I$15,C421,WEEKDAY(B421,2)))),"")))</f>
        <v/>
      </c>
      <c r="J421" s="1" t="n"/>
      <c r="K421">
        <f>IF(AND(ISNUMBER(B421),ISNUMBER(C421)),B421*100+C421,"")</f>
        <v/>
      </c>
      <c r="L421">
        <f>IF(OR(G421="",NOT(ISNUMBER(B421))),"",IF(AND(B421&gt;=Settings!$C$6,B421&lt;=Settings!$C$6+6),B421*1000+ROW(),""))</f>
        <v/>
      </c>
    </row>
    <row r="422">
      <c r="A422" s="1" t="n"/>
      <c r="B422" s="28" t="n"/>
      <c r="C422" s="29" t="n"/>
      <c r="D422" s="30" t="n"/>
      <c r="E422" s="31" t="n"/>
      <c r="F422" s="32" t="n"/>
      <c r="G422" s="32" t="n"/>
      <c r="H422" s="33" t="n"/>
      <c r="I422" s="34">
        <f>IF(B422="","",IF(D422&lt;&gt;"",D422,IF(AND(ISNUMBER(B422),ISNUMBER(C422)),IF(OR(WEEKDAY(B422,2)&gt;5,C422&lt;1,C422&gt;10),"",IF(INDEX(Timetable!$E$6:$I$15,C422,WEEKDAY(B422,2))="","",INDEX(Timetable!$E$6:$I$15,C422,WEEKDAY(B422,2)))),"")))</f>
        <v/>
      </c>
      <c r="J422" s="1" t="n"/>
      <c r="K422">
        <f>IF(AND(ISNUMBER(B422),ISNUMBER(C422)),B422*100+C422,"")</f>
        <v/>
      </c>
      <c r="L422">
        <f>IF(OR(G422="",NOT(ISNUMBER(B422))),"",IF(AND(B422&gt;=Settings!$C$6,B422&lt;=Settings!$C$6+6),B422*1000+ROW(),""))</f>
        <v/>
      </c>
    </row>
    <row r="423">
      <c r="A423" s="1" t="n"/>
      <c r="B423" s="28" t="n"/>
      <c r="C423" s="29" t="n"/>
      <c r="D423" s="30" t="n"/>
      <c r="E423" s="31" t="n"/>
      <c r="F423" s="32" t="n"/>
      <c r="G423" s="32" t="n"/>
      <c r="H423" s="33" t="n"/>
      <c r="I423" s="34">
        <f>IF(B423="","",IF(D423&lt;&gt;"",D423,IF(AND(ISNUMBER(B423),ISNUMBER(C423)),IF(OR(WEEKDAY(B423,2)&gt;5,C423&lt;1,C423&gt;10),"",IF(INDEX(Timetable!$E$6:$I$15,C423,WEEKDAY(B423,2))="","",INDEX(Timetable!$E$6:$I$15,C423,WEEKDAY(B423,2)))),"")))</f>
        <v/>
      </c>
      <c r="J423" s="1" t="n"/>
      <c r="K423">
        <f>IF(AND(ISNUMBER(B423),ISNUMBER(C423)),B423*100+C423,"")</f>
        <v/>
      </c>
      <c r="L423">
        <f>IF(OR(G423="",NOT(ISNUMBER(B423))),"",IF(AND(B423&gt;=Settings!$C$6,B423&lt;=Settings!$C$6+6),B423*1000+ROW(),""))</f>
        <v/>
      </c>
    </row>
    <row r="424">
      <c r="A424" s="1" t="n"/>
      <c r="B424" s="28" t="n"/>
      <c r="C424" s="29" t="n"/>
      <c r="D424" s="30" t="n"/>
      <c r="E424" s="31" t="n"/>
      <c r="F424" s="32" t="n"/>
      <c r="G424" s="32" t="n"/>
      <c r="H424" s="33" t="n"/>
      <c r="I424" s="34">
        <f>IF(B424="","",IF(D424&lt;&gt;"",D424,IF(AND(ISNUMBER(B424),ISNUMBER(C424)),IF(OR(WEEKDAY(B424,2)&gt;5,C424&lt;1,C424&gt;10),"",IF(INDEX(Timetable!$E$6:$I$15,C424,WEEKDAY(B424,2))="","",INDEX(Timetable!$E$6:$I$15,C424,WEEKDAY(B424,2)))),"")))</f>
        <v/>
      </c>
      <c r="J424" s="1" t="n"/>
      <c r="K424">
        <f>IF(AND(ISNUMBER(B424),ISNUMBER(C424)),B424*100+C424,"")</f>
        <v/>
      </c>
      <c r="L424">
        <f>IF(OR(G424="",NOT(ISNUMBER(B424))),"",IF(AND(B424&gt;=Settings!$C$6,B424&lt;=Settings!$C$6+6),B424*1000+ROW(),""))</f>
        <v/>
      </c>
    </row>
    <row r="425">
      <c r="A425" s="1" t="n"/>
      <c r="B425" s="28" t="n"/>
      <c r="C425" s="29" t="n"/>
      <c r="D425" s="30" t="n"/>
      <c r="E425" s="31" t="n"/>
      <c r="F425" s="32" t="n"/>
      <c r="G425" s="32" t="n"/>
      <c r="H425" s="33" t="n"/>
      <c r="I425" s="34">
        <f>IF(B425="","",IF(D425&lt;&gt;"",D425,IF(AND(ISNUMBER(B425),ISNUMBER(C425)),IF(OR(WEEKDAY(B425,2)&gt;5,C425&lt;1,C425&gt;10),"",IF(INDEX(Timetable!$E$6:$I$15,C425,WEEKDAY(B425,2))="","",INDEX(Timetable!$E$6:$I$15,C425,WEEKDAY(B425,2)))),"")))</f>
        <v/>
      </c>
      <c r="J425" s="1" t="n"/>
      <c r="K425">
        <f>IF(AND(ISNUMBER(B425),ISNUMBER(C425)),B425*100+C425,"")</f>
        <v/>
      </c>
      <c r="L425">
        <f>IF(OR(G425="",NOT(ISNUMBER(B425))),"",IF(AND(B425&gt;=Settings!$C$6,B425&lt;=Settings!$C$6+6),B425*1000+ROW(),""))</f>
        <v/>
      </c>
    </row>
    <row r="426">
      <c r="A426" s="1" t="n"/>
      <c r="B426" s="28" t="n"/>
      <c r="C426" s="29" t="n"/>
      <c r="D426" s="30" t="n"/>
      <c r="E426" s="31" t="n"/>
      <c r="F426" s="32" t="n"/>
      <c r="G426" s="32" t="n"/>
      <c r="H426" s="33" t="n"/>
      <c r="I426" s="34">
        <f>IF(B426="","",IF(D426&lt;&gt;"",D426,IF(AND(ISNUMBER(B426),ISNUMBER(C426)),IF(OR(WEEKDAY(B426,2)&gt;5,C426&lt;1,C426&gt;10),"",IF(INDEX(Timetable!$E$6:$I$15,C426,WEEKDAY(B426,2))="","",INDEX(Timetable!$E$6:$I$15,C426,WEEKDAY(B426,2)))),"")))</f>
        <v/>
      </c>
      <c r="J426" s="1" t="n"/>
      <c r="K426">
        <f>IF(AND(ISNUMBER(B426),ISNUMBER(C426)),B426*100+C426,"")</f>
        <v/>
      </c>
      <c r="L426">
        <f>IF(OR(G426="",NOT(ISNUMBER(B426))),"",IF(AND(B426&gt;=Settings!$C$6,B426&lt;=Settings!$C$6+6),B426*1000+ROW(),""))</f>
        <v/>
      </c>
    </row>
    <row r="427">
      <c r="A427" s="1" t="n"/>
      <c r="B427" s="28" t="n"/>
      <c r="C427" s="29" t="n"/>
      <c r="D427" s="30" t="n"/>
      <c r="E427" s="31" t="n"/>
      <c r="F427" s="32" t="n"/>
      <c r="G427" s="32" t="n"/>
      <c r="H427" s="33" t="n"/>
      <c r="I427" s="34">
        <f>IF(B427="","",IF(D427&lt;&gt;"",D427,IF(AND(ISNUMBER(B427),ISNUMBER(C427)),IF(OR(WEEKDAY(B427,2)&gt;5,C427&lt;1,C427&gt;10),"",IF(INDEX(Timetable!$E$6:$I$15,C427,WEEKDAY(B427,2))="","",INDEX(Timetable!$E$6:$I$15,C427,WEEKDAY(B427,2)))),"")))</f>
        <v/>
      </c>
      <c r="J427" s="1" t="n"/>
      <c r="K427">
        <f>IF(AND(ISNUMBER(B427),ISNUMBER(C427)),B427*100+C427,"")</f>
        <v/>
      </c>
      <c r="L427">
        <f>IF(OR(G427="",NOT(ISNUMBER(B427))),"",IF(AND(B427&gt;=Settings!$C$6,B427&lt;=Settings!$C$6+6),B427*1000+ROW(),""))</f>
        <v/>
      </c>
    </row>
    <row r="428">
      <c r="A428" s="1" t="n"/>
      <c r="B428" s="28" t="n"/>
      <c r="C428" s="29" t="n"/>
      <c r="D428" s="30" t="n"/>
      <c r="E428" s="31" t="n"/>
      <c r="F428" s="32" t="n"/>
      <c r="G428" s="32" t="n"/>
      <c r="H428" s="33" t="n"/>
      <c r="I428" s="34">
        <f>IF(B428="","",IF(D428&lt;&gt;"",D428,IF(AND(ISNUMBER(B428),ISNUMBER(C428)),IF(OR(WEEKDAY(B428,2)&gt;5,C428&lt;1,C428&gt;10),"",IF(INDEX(Timetable!$E$6:$I$15,C428,WEEKDAY(B428,2))="","",INDEX(Timetable!$E$6:$I$15,C428,WEEKDAY(B428,2)))),"")))</f>
        <v/>
      </c>
      <c r="J428" s="1" t="n"/>
      <c r="K428">
        <f>IF(AND(ISNUMBER(B428),ISNUMBER(C428)),B428*100+C428,"")</f>
        <v/>
      </c>
      <c r="L428">
        <f>IF(OR(G428="",NOT(ISNUMBER(B428))),"",IF(AND(B428&gt;=Settings!$C$6,B428&lt;=Settings!$C$6+6),B428*1000+ROW(),""))</f>
        <v/>
      </c>
    </row>
    <row r="429">
      <c r="A429" s="1" t="n"/>
      <c r="B429" s="28" t="n"/>
      <c r="C429" s="29" t="n"/>
      <c r="D429" s="30" t="n"/>
      <c r="E429" s="31" t="n"/>
      <c r="F429" s="32" t="n"/>
      <c r="G429" s="32" t="n"/>
      <c r="H429" s="33" t="n"/>
      <c r="I429" s="34">
        <f>IF(B429="","",IF(D429&lt;&gt;"",D429,IF(AND(ISNUMBER(B429),ISNUMBER(C429)),IF(OR(WEEKDAY(B429,2)&gt;5,C429&lt;1,C429&gt;10),"",IF(INDEX(Timetable!$E$6:$I$15,C429,WEEKDAY(B429,2))="","",INDEX(Timetable!$E$6:$I$15,C429,WEEKDAY(B429,2)))),"")))</f>
        <v/>
      </c>
      <c r="J429" s="1" t="n"/>
      <c r="K429">
        <f>IF(AND(ISNUMBER(B429),ISNUMBER(C429)),B429*100+C429,"")</f>
        <v/>
      </c>
      <c r="L429">
        <f>IF(OR(G429="",NOT(ISNUMBER(B429))),"",IF(AND(B429&gt;=Settings!$C$6,B429&lt;=Settings!$C$6+6),B429*1000+ROW(),""))</f>
        <v/>
      </c>
    </row>
    <row r="430">
      <c r="A430" s="1" t="n"/>
      <c r="B430" s="28" t="n"/>
      <c r="C430" s="29" t="n"/>
      <c r="D430" s="30" t="n"/>
      <c r="E430" s="31" t="n"/>
      <c r="F430" s="32" t="n"/>
      <c r="G430" s="32" t="n"/>
      <c r="H430" s="33" t="n"/>
      <c r="I430" s="34">
        <f>IF(B430="","",IF(D430&lt;&gt;"",D430,IF(AND(ISNUMBER(B430),ISNUMBER(C430)),IF(OR(WEEKDAY(B430,2)&gt;5,C430&lt;1,C430&gt;10),"",IF(INDEX(Timetable!$E$6:$I$15,C430,WEEKDAY(B430,2))="","",INDEX(Timetable!$E$6:$I$15,C430,WEEKDAY(B430,2)))),"")))</f>
        <v/>
      </c>
      <c r="J430" s="1" t="n"/>
      <c r="K430">
        <f>IF(AND(ISNUMBER(B430),ISNUMBER(C430)),B430*100+C430,"")</f>
        <v/>
      </c>
      <c r="L430">
        <f>IF(OR(G430="",NOT(ISNUMBER(B430))),"",IF(AND(B430&gt;=Settings!$C$6,B430&lt;=Settings!$C$6+6),B430*1000+ROW(),""))</f>
        <v/>
      </c>
    </row>
    <row r="431">
      <c r="A431" s="1" t="n"/>
      <c r="B431" s="28" t="n"/>
      <c r="C431" s="29" t="n"/>
      <c r="D431" s="30" t="n"/>
      <c r="E431" s="31" t="n"/>
      <c r="F431" s="32" t="n"/>
      <c r="G431" s="32" t="n"/>
      <c r="H431" s="33" t="n"/>
      <c r="I431" s="34">
        <f>IF(B431="","",IF(D431&lt;&gt;"",D431,IF(AND(ISNUMBER(B431),ISNUMBER(C431)),IF(OR(WEEKDAY(B431,2)&gt;5,C431&lt;1,C431&gt;10),"",IF(INDEX(Timetable!$E$6:$I$15,C431,WEEKDAY(B431,2))="","",INDEX(Timetable!$E$6:$I$15,C431,WEEKDAY(B431,2)))),"")))</f>
        <v/>
      </c>
      <c r="J431" s="1" t="n"/>
      <c r="K431">
        <f>IF(AND(ISNUMBER(B431),ISNUMBER(C431)),B431*100+C431,"")</f>
        <v/>
      </c>
      <c r="L431">
        <f>IF(OR(G431="",NOT(ISNUMBER(B431))),"",IF(AND(B431&gt;=Settings!$C$6,B431&lt;=Settings!$C$6+6),B431*1000+ROW(),""))</f>
        <v/>
      </c>
    </row>
    <row r="432">
      <c r="A432" s="1" t="n"/>
      <c r="B432" s="28" t="n"/>
      <c r="C432" s="29" t="n"/>
      <c r="D432" s="30" t="n"/>
      <c r="E432" s="31" t="n"/>
      <c r="F432" s="32" t="n"/>
      <c r="G432" s="32" t="n"/>
      <c r="H432" s="33" t="n"/>
      <c r="I432" s="34">
        <f>IF(B432="","",IF(D432&lt;&gt;"",D432,IF(AND(ISNUMBER(B432),ISNUMBER(C432)),IF(OR(WEEKDAY(B432,2)&gt;5,C432&lt;1,C432&gt;10),"",IF(INDEX(Timetable!$E$6:$I$15,C432,WEEKDAY(B432,2))="","",INDEX(Timetable!$E$6:$I$15,C432,WEEKDAY(B432,2)))),"")))</f>
        <v/>
      </c>
      <c r="J432" s="1" t="n"/>
      <c r="K432">
        <f>IF(AND(ISNUMBER(B432),ISNUMBER(C432)),B432*100+C432,"")</f>
        <v/>
      </c>
      <c r="L432">
        <f>IF(OR(G432="",NOT(ISNUMBER(B432))),"",IF(AND(B432&gt;=Settings!$C$6,B432&lt;=Settings!$C$6+6),B432*1000+ROW(),""))</f>
        <v/>
      </c>
    </row>
    <row r="433">
      <c r="A433" s="1" t="n"/>
      <c r="B433" s="28" t="n"/>
      <c r="C433" s="29" t="n"/>
      <c r="D433" s="30" t="n"/>
      <c r="E433" s="31" t="n"/>
      <c r="F433" s="32" t="n"/>
      <c r="G433" s="32" t="n"/>
      <c r="H433" s="33" t="n"/>
      <c r="I433" s="34">
        <f>IF(B433="","",IF(D433&lt;&gt;"",D433,IF(AND(ISNUMBER(B433),ISNUMBER(C433)),IF(OR(WEEKDAY(B433,2)&gt;5,C433&lt;1,C433&gt;10),"",IF(INDEX(Timetable!$E$6:$I$15,C433,WEEKDAY(B433,2))="","",INDEX(Timetable!$E$6:$I$15,C433,WEEKDAY(B433,2)))),"")))</f>
        <v/>
      </c>
      <c r="J433" s="1" t="n"/>
      <c r="K433">
        <f>IF(AND(ISNUMBER(B433),ISNUMBER(C433)),B433*100+C433,"")</f>
        <v/>
      </c>
      <c r="L433">
        <f>IF(OR(G433="",NOT(ISNUMBER(B433))),"",IF(AND(B433&gt;=Settings!$C$6,B433&lt;=Settings!$C$6+6),B433*1000+ROW(),""))</f>
        <v/>
      </c>
    </row>
    <row r="434">
      <c r="A434" s="1" t="n"/>
      <c r="B434" s="28" t="n"/>
      <c r="C434" s="29" t="n"/>
      <c r="D434" s="30" t="n"/>
      <c r="E434" s="31" t="n"/>
      <c r="F434" s="32" t="n"/>
      <c r="G434" s="32" t="n"/>
      <c r="H434" s="33" t="n"/>
      <c r="I434" s="34">
        <f>IF(B434="","",IF(D434&lt;&gt;"",D434,IF(AND(ISNUMBER(B434),ISNUMBER(C434)),IF(OR(WEEKDAY(B434,2)&gt;5,C434&lt;1,C434&gt;10),"",IF(INDEX(Timetable!$E$6:$I$15,C434,WEEKDAY(B434,2))="","",INDEX(Timetable!$E$6:$I$15,C434,WEEKDAY(B434,2)))),"")))</f>
        <v/>
      </c>
      <c r="J434" s="1" t="n"/>
      <c r="K434">
        <f>IF(AND(ISNUMBER(B434),ISNUMBER(C434)),B434*100+C434,"")</f>
        <v/>
      </c>
      <c r="L434">
        <f>IF(OR(G434="",NOT(ISNUMBER(B434))),"",IF(AND(B434&gt;=Settings!$C$6,B434&lt;=Settings!$C$6+6),B434*1000+ROW(),""))</f>
        <v/>
      </c>
    </row>
    <row r="435">
      <c r="A435" s="1" t="n"/>
      <c r="B435" s="28" t="n"/>
      <c r="C435" s="29" t="n"/>
      <c r="D435" s="30" t="n"/>
      <c r="E435" s="31" t="n"/>
      <c r="F435" s="32" t="n"/>
      <c r="G435" s="32" t="n"/>
      <c r="H435" s="33" t="n"/>
      <c r="I435" s="34">
        <f>IF(B435="","",IF(D435&lt;&gt;"",D435,IF(AND(ISNUMBER(B435),ISNUMBER(C435)),IF(OR(WEEKDAY(B435,2)&gt;5,C435&lt;1,C435&gt;10),"",IF(INDEX(Timetable!$E$6:$I$15,C435,WEEKDAY(B435,2))="","",INDEX(Timetable!$E$6:$I$15,C435,WEEKDAY(B435,2)))),"")))</f>
        <v/>
      </c>
      <c r="J435" s="1" t="n"/>
      <c r="K435">
        <f>IF(AND(ISNUMBER(B435),ISNUMBER(C435)),B435*100+C435,"")</f>
        <v/>
      </c>
      <c r="L435">
        <f>IF(OR(G435="",NOT(ISNUMBER(B435))),"",IF(AND(B435&gt;=Settings!$C$6,B435&lt;=Settings!$C$6+6),B435*1000+ROW(),""))</f>
        <v/>
      </c>
    </row>
    <row r="436">
      <c r="A436" s="1" t="n"/>
      <c r="B436" s="28" t="n"/>
      <c r="C436" s="29" t="n"/>
      <c r="D436" s="30" t="n"/>
      <c r="E436" s="31" t="n"/>
      <c r="F436" s="32" t="n"/>
      <c r="G436" s="32" t="n"/>
      <c r="H436" s="33" t="n"/>
      <c r="I436" s="34">
        <f>IF(B436="","",IF(D436&lt;&gt;"",D436,IF(AND(ISNUMBER(B436),ISNUMBER(C436)),IF(OR(WEEKDAY(B436,2)&gt;5,C436&lt;1,C436&gt;10),"",IF(INDEX(Timetable!$E$6:$I$15,C436,WEEKDAY(B436,2))="","",INDEX(Timetable!$E$6:$I$15,C436,WEEKDAY(B436,2)))),"")))</f>
        <v/>
      </c>
      <c r="J436" s="1" t="n"/>
      <c r="K436">
        <f>IF(AND(ISNUMBER(B436),ISNUMBER(C436)),B436*100+C436,"")</f>
        <v/>
      </c>
      <c r="L436">
        <f>IF(OR(G436="",NOT(ISNUMBER(B436))),"",IF(AND(B436&gt;=Settings!$C$6,B436&lt;=Settings!$C$6+6),B436*1000+ROW(),""))</f>
        <v/>
      </c>
    </row>
    <row r="437">
      <c r="A437" s="1" t="n"/>
      <c r="B437" s="28" t="n"/>
      <c r="C437" s="29" t="n"/>
      <c r="D437" s="30" t="n"/>
      <c r="E437" s="31" t="n"/>
      <c r="F437" s="32" t="n"/>
      <c r="G437" s="32" t="n"/>
      <c r="H437" s="33" t="n"/>
      <c r="I437" s="34">
        <f>IF(B437="","",IF(D437&lt;&gt;"",D437,IF(AND(ISNUMBER(B437),ISNUMBER(C437)),IF(OR(WEEKDAY(B437,2)&gt;5,C437&lt;1,C437&gt;10),"",IF(INDEX(Timetable!$E$6:$I$15,C437,WEEKDAY(B437,2))="","",INDEX(Timetable!$E$6:$I$15,C437,WEEKDAY(B437,2)))),"")))</f>
        <v/>
      </c>
      <c r="J437" s="1" t="n"/>
      <c r="K437">
        <f>IF(AND(ISNUMBER(B437),ISNUMBER(C437)),B437*100+C437,"")</f>
        <v/>
      </c>
      <c r="L437">
        <f>IF(OR(G437="",NOT(ISNUMBER(B437))),"",IF(AND(B437&gt;=Settings!$C$6,B437&lt;=Settings!$C$6+6),B437*1000+ROW(),""))</f>
        <v/>
      </c>
    </row>
    <row r="438">
      <c r="A438" s="1" t="n"/>
      <c r="B438" s="28" t="n"/>
      <c r="C438" s="29" t="n"/>
      <c r="D438" s="30" t="n"/>
      <c r="E438" s="31" t="n"/>
      <c r="F438" s="32" t="n"/>
      <c r="G438" s="32" t="n"/>
      <c r="H438" s="33" t="n"/>
      <c r="I438" s="34">
        <f>IF(B438="","",IF(D438&lt;&gt;"",D438,IF(AND(ISNUMBER(B438),ISNUMBER(C438)),IF(OR(WEEKDAY(B438,2)&gt;5,C438&lt;1,C438&gt;10),"",IF(INDEX(Timetable!$E$6:$I$15,C438,WEEKDAY(B438,2))="","",INDEX(Timetable!$E$6:$I$15,C438,WEEKDAY(B438,2)))),"")))</f>
        <v/>
      </c>
      <c r="J438" s="1" t="n"/>
      <c r="K438">
        <f>IF(AND(ISNUMBER(B438),ISNUMBER(C438)),B438*100+C438,"")</f>
        <v/>
      </c>
      <c r="L438">
        <f>IF(OR(G438="",NOT(ISNUMBER(B438))),"",IF(AND(B438&gt;=Settings!$C$6,B438&lt;=Settings!$C$6+6),B438*1000+ROW(),""))</f>
        <v/>
      </c>
    </row>
    <row r="439">
      <c r="A439" s="1" t="n"/>
      <c r="B439" s="28" t="n"/>
      <c r="C439" s="29" t="n"/>
      <c r="D439" s="30" t="n"/>
      <c r="E439" s="31" t="n"/>
      <c r="F439" s="32" t="n"/>
      <c r="G439" s="32" t="n"/>
      <c r="H439" s="33" t="n"/>
      <c r="I439" s="34">
        <f>IF(B439="","",IF(D439&lt;&gt;"",D439,IF(AND(ISNUMBER(B439),ISNUMBER(C439)),IF(OR(WEEKDAY(B439,2)&gt;5,C439&lt;1,C439&gt;10),"",IF(INDEX(Timetable!$E$6:$I$15,C439,WEEKDAY(B439,2))="","",INDEX(Timetable!$E$6:$I$15,C439,WEEKDAY(B439,2)))),"")))</f>
        <v/>
      </c>
      <c r="J439" s="1" t="n"/>
      <c r="K439">
        <f>IF(AND(ISNUMBER(B439),ISNUMBER(C439)),B439*100+C439,"")</f>
        <v/>
      </c>
      <c r="L439">
        <f>IF(OR(G439="",NOT(ISNUMBER(B439))),"",IF(AND(B439&gt;=Settings!$C$6,B439&lt;=Settings!$C$6+6),B439*1000+ROW(),""))</f>
        <v/>
      </c>
    </row>
    <row r="440">
      <c r="A440" s="1" t="n"/>
      <c r="B440" s="28" t="n"/>
      <c r="C440" s="29" t="n"/>
      <c r="D440" s="30" t="n"/>
      <c r="E440" s="31" t="n"/>
      <c r="F440" s="32" t="n"/>
      <c r="G440" s="32" t="n"/>
      <c r="H440" s="33" t="n"/>
      <c r="I440" s="34">
        <f>IF(B440="","",IF(D440&lt;&gt;"",D440,IF(AND(ISNUMBER(B440),ISNUMBER(C440)),IF(OR(WEEKDAY(B440,2)&gt;5,C440&lt;1,C440&gt;10),"",IF(INDEX(Timetable!$E$6:$I$15,C440,WEEKDAY(B440,2))="","",INDEX(Timetable!$E$6:$I$15,C440,WEEKDAY(B440,2)))),"")))</f>
        <v/>
      </c>
      <c r="J440" s="1" t="n"/>
      <c r="K440">
        <f>IF(AND(ISNUMBER(B440),ISNUMBER(C440)),B440*100+C440,"")</f>
        <v/>
      </c>
      <c r="L440">
        <f>IF(OR(G440="",NOT(ISNUMBER(B440))),"",IF(AND(B440&gt;=Settings!$C$6,B440&lt;=Settings!$C$6+6),B440*1000+ROW(),""))</f>
        <v/>
      </c>
    </row>
    <row r="441">
      <c r="A441" s="1" t="n"/>
      <c r="B441" s="28" t="n"/>
      <c r="C441" s="29" t="n"/>
      <c r="D441" s="30" t="n"/>
      <c r="E441" s="31" t="n"/>
      <c r="F441" s="32" t="n"/>
      <c r="G441" s="32" t="n"/>
      <c r="H441" s="33" t="n"/>
      <c r="I441" s="34">
        <f>IF(B441="","",IF(D441&lt;&gt;"",D441,IF(AND(ISNUMBER(B441),ISNUMBER(C441)),IF(OR(WEEKDAY(B441,2)&gt;5,C441&lt;1,C441&gt;10),"",IF(INDEX(Timetable!$E$6:$I$15,C441,WEEKDAY(B441,2))="","",INDEX(Timetable!$E$6:$I$15,C441,WEEKDAY(B441,2)))),"")))</f>
        <v/>
      </c>
      <c r="J441" s="1" t="n"/>
      <c r="K441">
        <f>IF(AND(ISNUMBER(B441),ISNUMBER(C441)),B441*100+C441,"")</f>
        <v/>
      </c>
      <c r="L441">
        <f>IF(OR(G441="",NOT(ISNUMBER(B441))),"",IF(AND(B441&gt;=Settings!$C$6,B441&lt;=Settings!$C$6+6),B441*1000+ROW(),""))</f>
        <v/>
      </c>
    </row>
    <row r="442">
      <c r="A442" s="1" t="n"/>
      <c r="B442" s="28" t="n"/>
      <c r="C442" s="29" t="n"/>
      <c r="D442" s="30" t="n"/>
      <c r="E442" s="31" t="n"/>
      <c r="F442" s="32" t="n"/>
      <c r="G442" s="32" t="n"/>
      <c r="H442" s="33" t="n"/>
      <c r="I442" s="34">
        <f>IF(B442="","",IF(D442&lt;&gt;"",D442,IF(AND(ISNUMBER(B442),ISNUMBER(C442)),IF(OR(WEEKDAY(B442,2)&gt;5,C442&lt;1,C442&gt;10),"",IF(INDEX(Timetable!$E$6:$I$15,C442,WEEKDAY(B442,2))="","",INDEX(Timetable!$E$6:$I$15,C442,WEEKDAY(B442,2)))),"")))</f>
        <v/>
      </c>
      <c r="J442" s="1" t="n"/>
      <c r="K442">
        <f>IF(AND(ISNUMBER(B442),ISNUMBER(C442)),B442*100+C442,"")</f>
        <v/>
      </c>
      <c r="L442">
        <f>IF(OR(G442="",NOT(ISNUMBER(B442))),"",IF(AND(B442&gt;=Settings!$C$6,B442&lt;=Settings!$C$6+6),B442*1000+ROW(),""))</f>
        <v/>
      </c>
    </row>
    <row r="443">
      <c r="A443" s="1" t="n"/>
      <c r="B443" s="28" t="n"/>
      <c r="C443" s="29" t="n"/>
      <c r="D443" s="30" t="n"/>
      <c r="E443" s="31" t="n"/>
      <c r="F443" s="32" t="n"/>
      <c r="G443" s="32" t="n"/>
      <c r="H443" s="33" t="n"/>
      <c r="I443" s="34">
        <f>IF(B443="","",IF(D443&lt;&gt;"",D443,IF(AND(ISNUMBER(B443),ISNUMBER(C443)),IF(OR(WEEKDAY(B443,2)&gt;5,C443&lt;1,C443&gt;10),"",IF(INDEX(Timetable!$E$6:$I$15,C443,WEEKDAY(B443,2))="","",INDEX(Timetable!$E$6:$I$15,C443,WEEKDAY(B443,2)))),"")))</f>
        <v/>
      </c>
      <c r="J443" s="1" t="n"/>
      <c r="K443">
        <f>IF(AND(ISNUMBER(B443),ISNUMBER(C443)),B443*100+C443,"")</f>
        <v/>
      </c>
      <c r="L443">
        <f>IF(OR(G443="",NOT(ISNUMBER(B443))),"",IF(AND(B443&gt;=Settings!$C$6,B443&lt;=Settings!$C$6+6),B443*1000+ROW(),""))</f>
        <v/>
      </c>
    </row>
    <row r="444">
      <c r="A444" s="1" t="n"/>
      <c r="B444" s="28" t="n"/>
      <c r="C444" s="29" t="n"/>
      <c r="D444" s="30" t="n"/>
      <c r="E444" s="31" t="n"/>
      <c r="F444" s="32" t="n"/>
      <c r="G444" s="32" t="n"/>
      <c r="H444" s="33" t="n"/>
      <c r="I444" s="34">
        <f>IF(B444="","",IF(D444&lt;&gt;"",D444,IF(AND(ISNUMBER(B444),ISNUMBER(C444)),IF(OR(WEEKDAY(B444,2)&gt;5,C444&lt;1,C444&gt;10),"",IF(INDEX(Timetable!$E$6:$I$15,C444,WEEKDAY(B444,2))="","",INDEX(Timetable!$E$6:$I$15,C444,WEEKDAY(B444,2)))),"")))</f>
        <v/>
      </c>
      <c r="J444" s="1" t="n"/>
      <c r="K444">
        <f>IF(AND(ISNUMBER(B444),ISNUMBER(C444)),B444*100+C444,"")</f>
        <v/>
      </c>
      <c r="L444">
        <f>IF(OR(G444="",NOT(ISNUMBER(B444))),"",IF(AND(B444&gt;=Settings!$C$6,B444&lt;=Settings!$C$6+6),B444*1000+ROW(),""))</f>
        <v/>
      </c>
    </row>
    <row r="445">
      <c r="A445" s="1" t="n"/>
      <c r="B445" s="28" t="n"/>
      <c r="C445" s="29" t="n"/>
      <c r="D445" s="30" t="n"/>
      <c r="E445" s="31" t="n"/>
      <c r="F445" s="32" t="n"/>
      <c r="G445" s="32" t="n"/>
      <c r="H445" s="33" t="n"/>
      <c r="I445" s="34">
        <f>IF(B445="","",IF(D445&lt;&gt;"",D445,IF(AND(ISNUMBER(B445),ISNUMBER(C445)),IF(OR(WEEKDAY(B445,2)&gt;5,C445&lt;1,C445&gt;10),"",IF(INDEX(Timetable!$E$6:$I$15,C445,WEEKDAY(B445,2))="","",INDEX(Timetable!$E$6:$I$15,C445,WEEKDAY(B445,2)))),"")))</f>
        <v/>
      </c>
      <c r="J445" s="1" t="n"/>
      <c r="K445">
        <f>IF(AND(ISNUMBER(B445),ISNUMBER(C445)),B445*100+C445,"")</f>
        <v/>
      </c>
      <c r="L445">
        <f>IF(OR(G445="",NOT(ISNUMBER(B445))),"",IF(AND(B445&gt;=Settings!$C$6,B445&lt;=Settings!$C$6+6),B445*1000+ROW(),""))</f>
        <v/>
      </c>
    </row>
    <row r="446">
      <c r="A446" s="1" t="n"/>
      <c r="B446" s="28" t="n"/>
      <c r="C446" s="29" t="n"/>
      <c r="D446" s="30" t="n"/>
      <c r="E446" s="31" t="n"/>
      <c r="F446" s="32" t="n"/>
      <c r="G446" s="32" t="n"/>
      <c r="H446" s="33" t="n"/>
      <c r="I446" s="34">
        <f>IF(B446="","",IF(D446&lt;&gt;"",D446,IF(AND(ISNUMBER(B446),ISNUMBER(C446)),IF(OR(WEEKDAY(B446,2)&gt;5,C446&lt;1,C446&gt;10),"",IF(INDEX(Timetable!$E$6:$I$15,C446,WEEKDAY(B446,2))="","",INDEX(Timetable!$E$6:$I$15,C446,WEEKDAY(B446,2)))),"")))</f>
        <v/>
      </c>
      <c r="J446" s="1" t="n"/>
      <c r="K446">
        <f>IF(AND(ISNUMBER(B446),ISNUMBER(C446)),B446*100+C446,"")</f>
        <v/>
      </c>
      <c r="L446">
        <f>IF(OR(G446="",NOT(ISNUMBER(B446))),"",IF(AND(B446&gt;=Settings!$C$6,B446&lt;=Settings!$C$6+6),B446*1000+ROW(),""))</f>
        <v/>
      </c>
    </row>
    <row r="447">
      <c r="A447" s="1" t="n"/>
      <c r="B447" s="28" t="n"/>
      <c r="C447" s="29" t="n"/>
      <c r="D447" s="30" t="n"/>
      <c r="E447" s="31" t="n"/>
      <c r="F447" s="32" t="n"/>
      <c r="G447" s="32" t="n"/>
      <c r="H447" s="33" t="n"/>
      <c r="I447" s="34">
        <f>IF(B447="","",IF(D447&lt;&gt;"",D447,IF(AND(ISNUMBER(B447),ISNUMBER(C447)),IF(OR(WEEKDAY(B447,2)&gt;5,C447&lt;1,C447&gt;10),"",IF(INDEX(Timetable!$E$6:$I$15,C447,WEEKDAY(B447,2))="","",INDEX(Timetable!$E$6:$I$15,C447,WEEKDAY(B447,2)))),"")))</f>
        <v/>
      </c>
      <c r="J447" s="1" t="n"/>
      <c r="K447">
        <f>IF(AND(ISNUMBER(B447),ISNUMBER(C447)),B447*100+C447,"")</f>
        <v/>
      </c>
      <c r="L447">
        <f>IF(OR(G447="",NOT(ISNUMBER(B447))),"",IF(AND(B447&gt;=Settings!$C$6,B447&lt;=Settings!$C$6+6),B447*1000+ROW(),""))</f>
        <v/>
      </c>
    </row>
    <row r="448">
      <c r="A448" s="1" t="n"/>
      <c r="B448" s="28" t="n"/>
      <c r="C448" s="29" t="n"/>
      <c r="D448" s="30" t="n"/>
      <c r="E448" s="31" t="n"/>
      <c r="F448" s="32" t="n"/>
      <c r="G448" s="32" t="n"/>
      <c r="H448" s="33" t="n"/>
      <c r="I448" s="34">
        <f>IF(B448="","",IF(D448&lt;&gt;"",D448,IF(AND(ISNUMBER(B448),ISNUMBER(C448)),IF(OR(WEEKDAY(B448,2)&gt;5,C448&lt;1,C448&gt;10),"",IF(INDEX(Timetable!$E$6:$I$15,C448,WEEKDAY(B448,2))="","",INDEX(Timetable!$E$6:$I$15,C448,WEEKDAY(B448,2)))),"")))</f>
        <v/>
      </c>
      <c r="J448" s="1" t="n"/>
      <c r="K448">
        <f>IF(AND(ISNUMBER(B448),ISNUMBER(C448)),B448*100+C448,"")</f>
        <v/>
      </c>
      <c r="L448">
        <f>IF(OR(G448="",NOT(ISNUMBER(B448))),"",IF(AND(B448&gt;=Settings!$C$6,B448&lt;=Settings!$C$6+6),B448*1000+ROW(),""))</f>
        <v/>
      </c>
    </row>
    <row r="449">
      <c r="A449" s="1" t="n"/>
      <c r="B449" s="28" t="n"/>
      <c r="C449" s="29" t="n"/>
      <c r="D449" s="30" t="n"/>
      <c r="E449" s="31" t="n"/>
      <c r="F449" s="32" t="n"/>
      <c r="G449" s="32" t="n"/>
      <c r="H449" s="33" t="n"/>
      <c r="I449" s="34">
        <f>IF(B449="","",IF(D449&lt;&gt;"",D449,IF(AND(ISNUMBER(B449),ISNUMBER(C449)),IF(OR(WEEKDAY(B449,2)&gt;5,C449&lt;1,C449&gt;10),"",IF(INDEX(Timetable!$E$6:$I$15,C449,WEEKDAY(B449,2))="","",INDEX(Timetable!$E$6:$I$15,C449,WEEKDAY(B449,2)))),"")))</f>
        <v/>
      </c>
      <c r="J449" s="1" t="n"/>
      <c r="K449">
        <f>IF(AND(ISNUMBER(B449),ISNUMBER(C449)),B449*100+C449,"")</f>
        <v/>
      </c>
      <c r="L449">
        <f>IF(OR(G449="",NOT(ISNUMBER(B449))),"",IF(AND(B449&gt;=Settings!$C$6,B449&lt;=Settings!$C$6+6),B449*1000+ROW(),""))</f>
        <v/>
      </c>
    </row>
    <row r="450">
      <c r="A450" s="1" t="n"/>
      <c r="B450" s="28" t="n"/>
      <c r="C450" s="29" t="n"/>
      <c r="D450" s="30" t="n"/>
      <c r="E450" s="31" t="n"/>
      <c r="F450" s="32" t="n"/>
      <c r="G450" s="32" t="n"/>
      <c r="H450" s="33" t="n"/>
      <c r="I450" s="34">
        <f>IF(B450="","",IF(D450&lt;&gt;"",D450,IF(AND(ISNUMBER(B450),ISNUMBER(C450)),IF(OR(WEEKDAY(B450,2)&gt;5,C450&lt;1,C450&gt;10),"",IF(INDEX(Timetable!$E$6:$I$15,C450,WEEKDAY(B450,2))="","",INDEX(Timetable!$E$6:$I$15,C450,WEEKDAY(B450,2)))),"")))</f>
        <v/>
      </c>
      <c r="J450" s="1" t="n"/>
      <c r="K450">
        <f>IF(AND(ISNUMBER(B450),ISNUMBER(C450)),B450*100+C450,"")</f>
        <v/>
      </c>
      <c r="L450">
        <f>IF(OR(G450="",NOT(ISNUMBER(B450))),"",IF(AND(B450&gt;=Settings!$C$6,B450&lt;=Settings!$C$6+6),B450*1000+ROW(),""))</f>
        <v/>
      </c>
    </row>
    <row r="451">
      <c r="A451" s="1" t="n"/>
      <c r="B451" s="28" t="n"/>
      <c r="C451" s="29" t="n"/>
      <c r="D451" s="30" t="n"/>
      <c r="E451" s="31" t="n"/>
      <c r="F451" s="32" t="n"/>
      <c r="G451" s="32" t="n"/>
      <c r="H451" s="33" t="n"/>
      <c r="I451" s="34">
        <f>IF(B451="","",IF(D451&lt;&gt;"",D451,IF(AND(ISNUMBER(B451),ISNUMBER(C451)),IF(OR(WEEKDAY(B451,2)&gt;5,C451&lt;1,C451&gt;10),"",IF(INDEX(Timetable!$E$6:$I$15,C451,WEEKDAY(B451,2))="","",INDEX(Timetable!$E$6:$I$15,C451,WEEKDAY(B451,2)))),"")))</f>
        <v/>
      </c>
      <c r="J451" s="1" t="n"/>
      <c r="K451">
        <f>IF(AND(ISNUMBER(B451),ISNUMBER(C451)),B451*100+C451,"")</f>
        <v/>
      </c>
      <c r="L451">
        <f>IF(OR(G451="",NOT(ISNUMBER(B451))),"",IF(AND(B451&gt;=Settings!$C$6,B451&lt;=Settings!$C$6+6),B451*1000+ROW(),""))</f>
        <v/>
      </c>
    </row>
    <row r="452">
      <c r="A452" s="1" t="n"/>
      <c r="B452" s="28" t="n"/>
      <c r="C452" s="29" t="n"/>
      <c r="D452" s="30" t="n"/>
      <c r="E452" s="31" t="n"/>
      <c r="F452" s="32" t="n"/>
      <c r="G452" s="32" t="n"/>
      <c r="H452" s="33" t="n"/>
      <c r="I452" s="34">
        <f>IF(B452="","",IF(D452&lt;&gt;"",D452,IF(AND(ISNUMBER(B452),ISNUMBER(C452)),IF(OR(WEEKDAY(B452,2)&gt;5,C452&lt;1,C452&gt;10),"",IF(INDEX(Timetable!$E$6:$I$15,C452,WEEKDAY(B452,2))="","",INDEX(Timetable!$E$6:$I$15,C452,WEEKDAY(B452,2)))),"")))</f>
        <v/>
      </c>
      <c r="J452" s="1" t="n"/>
      <c r="K452">
        <f>IF(AND(ISNUMBER(B452),ISNUMBER(C452)),B452*100+C452,"")</f>
        <v/>
      </c>
      <c r="L452">
        <f>IF(OR(G452="",NOT(ISNUMBER(B452))),"",IF(AND(B452&gt;=Settings!$C$6,B452&lt;=Settings!$C$6+6),B452*1000+ROW(),""))</f>
        <v/>
      </c>
    </row>
    <row r="453">
      <c r="A453" s="1" t="n"/>
      <c r="B453" s="28" t="n"/>
      <c r="C453" s="29" t="n"/>
      <c r="D453" s="30" t="n"/>
      <c r="E453" s="31" t="n"/>
      <c r="F453" s="32" t="n"/>
      <c r="G453" s="32" t="n"/>
      <c r="H453" s="33" t="n"/>
      <c r="I453" s="34">
        <f>IF(B453="","",IF(D453&lt;&gt;"",D453,IF(AND(ISNUMBER(B453),ISNUMBER(C453)),IF(OR(WEEKDAY(B453,2)&gt;5,C453&lt;1,C453&gt;10),"",IF(INDEX(Timetable!$E$6:$I$15,C453,WEEKDAY(B453,2))="","",INDEX(Timetable!$E$6:$I$15,C453,WEEKDAY(B453,2)))),"")))</f>
        <v/>
      </c>
      <c r="J453" s="1" t="n"/>
      <c r="K453">
        <f>IF(AND(ISNUMBER(B453),ISNUMBER(C453)),B453*100+C453,"")</f>
        <v/>
      </c>
      <c r="L453">
        <f>IF(OR(G453="",NOT(ISNUMBER(B453))),"",IF(AND(B453&gt;=Settings!$C$6,B453&lt;=Settings!$C$6+6),B453*1000+ROW(),""))</f>
        <v/>
      </c>
    </row>
    <row r="454">
      <c r="A454" s="1" t="n"/>
      <c r="B454" s="28" t="n"/>
      <c r="C454" s="29" t="n"/>
      <c r="D454" s="30" t="n"/>
      <c r="E454" s="31" t="n"/>
      <c r="F454" s="32" t="n"/>
      <c r="G454" s="32" t="n"/>
      <c r="H454" s="33" t="n"/>
      <c r="I454" s="34">
        <f>IF(B454="","",IF(D454&lt;&gt;"",D454,IF(AND(ISNUMBER(B454),ISNUMBER(C454)),IF(OR(WEEKDAY(B454,2)&gt;5,C454&lt;1,C454&gt;10),"",IF(INDEX(Timetable!$E$6:$I$15,C454,WEEKDAY(B454,2))="","",INDEX(Timetable!$E$6:$I$15,C454,WEEKDAY(B454,2)))),"")))</f>
        <v/>
      </c>
      <c r="J454" s="1" t="n"/>
      <c r="K454">
        <f>IF(AND(ISNUMBER(B454),ISNUMBER(C454)),B454*100+C454,"")</f>
        <v/>
      </c>
      <c r="L454">
        <f>IF(OR(G454="",NOT(ISNUMBER(B454))),"",IF(AND(B454&gt;=Settings!$C$6,B454&lt;=Settings!$C$6+6),B454*1000+ROW(),""))</f>
        <v/>
      </c>
    </row>
    <row r="455">
      <c r="A455" s="1" t="n"/>
      <c r="B455" s="28" t="n"/>
      <c r="C455" s="29" t="n"/>
      <c r="D455" s="30" t="n"/>
      <c r="E455" s="31" t="n"/>
      <c r="F455" s="32" t="n"/>
      <c r="G455" s="32" t="n"/>
      <c r="H455" s="33" t="n"/>
      <c r="I455" s="34">
        <f>IF(B455="","",IF(D455&lt;&gt;"",D455,IF(AND(ISNUMBER(B455),ISNUMBER(C455)),IF(OR(WEEKDAY(B455,2)&gt;5,C455&lt;1,C455&gt;10),"",IF(INDEX(Timetable!$E$6:$I$15,C455,WEEKDAY(B455,2))="","",INDEX(Timetable!$E$6:$I$15,C455,WEEKDAY(B455,2)))),"")))</f>
        <v/>
      </c>
      <c r="J455" s="1" t="n"/>
      <c r="K455">
        <f>IF(AND(ISNUMBER(B455),ISNUMBER(C455)),B455*100+C455,"")</f>
        <v/>
      </c>
      <c r="L455">
        <f>IF(OR(G455="",NOT(ISNUMBER(B455))),"",IF(AND(B455&gt;=Settings!$C$6,B455&lt;=Settings!$C$6+6),B455*1000+ROW(),""))</f>
        <v/>
      </c>
    </row>
    <row r="456">
      <c r="A456" s="1" t="n"/>
      <c r="B456" s="28" t="n"/>
      <c r="C456" s="29" t="n"/>
      <c r="D456" s="30" t="n"/>
      <c r="E456" s="31" t="n"/>
      <c r="F456" s="32" t="n"/>
      <c r="G456" s="32" t="n"/>
      <c r="H456" s="33" t="n"/>
      <c r="I456" s="34">
        <f>IF(B456="","",IF(D456&lt;&gt;"",D456,IF(AND(ISNUMBER(B456),ISNUMBER(C456)),IF(OR(WEEKDAY(B456,2)&gt;5,C456&lt;1,C456&gt;10),"",IF(INDEX(Timetable!$E$6:$I$15,C456,WEEKDAY(B456,2))="","",INDEX(Timetable!$E$6:$I$15,C456,WEEKDAY(B456,2)))),"")))</f>
        <v/>
      </c>
      <c r="J456" s="1" t="n"/>
      <c r="K456">
        <f>IF(AND(ISNUMBER(B456),ISNUMBER(C456)),B456*100+C456,"")</f>
        <v/>
      </c>
      <c r="L456">
        <f>IF(OR(G456="",NOT(ISNUMBER(B456))),"",IF(AND(B456&gt;=Settings!$C$6,B456&lt;=Settings!$C$6+6),B456*1000+ROW(),""))</f>
        <v/>
      </c>
    </row>
    <row r="457">
      <c r="A457" s="1" t="n"/>
      <c r="B457" s="28" t="n"/>
      <c r="C457" s="29" t="n"/>
      <c r="D457" s="30" t="n"/>
      <c r="E457" s="31" t="n"/>
      <c r="F457" s="32" t="n"/>
      <c r="G457" s="32" t="n"/>
      <c r="H457" s="33" t="n"/>
      <c r="I457" s="34">
        <f>IF(B457="","",IF(D457&lt;&gt;"",D457,IF(AND(ISNUMBER(B457),ISNUMBER(C457)),IF(OR(WEEKDAY(B457,2)&gt;5,C457&lt;1,C457&gt;10),"",IF(INDEX(Timetable!$E$6:$I$15,C457,WEEKDAY(B457,2))="","",INDEX(Timetable!$E$6:$I$15,C457,WEEKDAY(B457,2)))),"")))</f>
        <v/>
      </c>
      <c r="J457" s="1" t="n"/>
      <c r="K457">
        <f>IF(AND(ISNUMBER(B457),ISNUMBER(C457)),B457*100+C457,"")</f>
        <v/>
      </c>
      <c r="L457">
        <f>IF(OR(G457="",NOT(ISNUMBER(B457))),"",IF(AND(B457&gt;=Settings!$C$6,B457&lt;=Settings!$C$6+6),B457*1000+ROW(),""))</f>
        <v/>
      </c>
    </row>
    <row r="458">
      <c r="A458" s="1" t="n"/>
      <c r="B458" s="28" t="n"/>
      <c r="C458" s="29" t="n"/>
      <c r="D458" s="30" t="n"/>
      <c r="E458" s="31" t="n"/>
      <c r="F458" s="32" t="n"/>
      <c r="G458" s="32" t="n"/>
      <c r="H458" s="33" t="n"/>
      <c r="I458" s="34">
        <f>IF(B458="","",IF(D458&lt;&gt;"",D458,IF(AND(ISNUMBER(B458),ISNUMBER(C458)),IF(OR(WEEKDAY(B458,2)&gt;5,C458&lt;1,C458&gt;10),"",IF(INDEX(Timetable!$E$6:$I$15,C458,WEEKDAY(B458,2))="","",INDEX(Timetable!$E$6:$I$15,C458,WEEKDAY(B458,2)))),"")))</f>
        <v/>
      </c>
      <c r="J458" s="1" t="n"/>
      <c r="K458">
        <f>IF(AND(ISNUMBER(B458),ISNUMBER(C458)),B458*100+C458,"")</f>
        <v/>
      </c>
      <c r="L458">
        <f>IF(OR(G458="",NOT(ISNUMBER(B458))),"",IF(AND(B458&gt;=Settings!$C$6,B458&lt;=Settings!$C$6+6),B458*1000+ROW(),""))</f>
        <v/>
      </c>
    </row>
    <row r="459">
      <c r="A459" s="1" t="n"/>
      <c r="B459" s="28" t="n"/>
      <c r="C459" s="29" t="n"/>
      <c r="D459" s="30" t="n"/>
      <c r="E459" s="31" t="n"/>
      <c r="F459" s="32" t="n"/>
      <c r="G459" s="32" t="n"/>
      <c r="H459" s="33" t="n"/>
      <c r="I459" s="34">
        <f>IF(B459="","",IF(D459&lt;&gt;"",D459,IF(AND(ISNUMBER(B459),ISNUMBER(C459)),IF(OR(WEEKDAY(B459,2)&gt;5,C459&lt;1,C459&gt;10),"",IF(INDEX(Timetable!$E$6:$I$15,C459,WEEKDAY(B459,2))="","",INDEX(Timetable!$E$6:$I$15,C459,WEEKDAY(B459,2)))),"")))</f>
        <v/>
      </c>
      <c r="J459" s="1" t="n"/>
      <c r="K459">
        <f>IF(AND(ISNUMBER(B459),ISNUMBER(C459)),B459*100+C459,"")</f>
        <v/>
      </c>
      <c r="L459">
        <f>IF(OR(G459="",NOT(ISNUMBER(B459))),"",IF(AND(B459&gt;=Settings!$C$6,B459&lt;=Settings!$C$6+6),B459*1000+ROW(),""))</f>
        <v/>
      </c>
    </row>
    <row r="460">
      <c r="A460" s="1" t="n"/>
      <c r="B460" s="28" t="n"/>
      <c r="C460" s="29" t="n"/>
      <c r="D460" s="30" t="n"/>
      <c r="E460" s="31" t="n"/>
      <c r="F460" s="32" t="n"/>
      <c r="G460" s="32" t="n"/>
      <c r="H460" s="33" t="n"/>
      <c r="I460" s="34">
        <f>IF(B460="","",IF(D460&lt;&gt;"",D460,IF(AND(ISNUMBER(B460),ISNUMBER(C460)),IF(OR(WEEKDAY(B460,2)&gt;5,C460&lt;1,C460&gt;10),"",IF(INDEX(Timetable!$E$6:$I$15,C460,WEEKDAY(B460,2))="","",INDEX(Timetable!$E$6:$I$15,C460,WEEKDAY(B460,2)))),"")))</f>
        <v/>
      </c>
      <c r="J460" s="1" t="n"/>
      <c r="K460">
        <f>IF(AND(ISNUMBER(B460),ISNUMBER(C460)),B460*100+C460,"")</f>
        <v/>
      </c>
      <c r="L460">
        <f>IF(OR(G460="",NOT(ISNUMBER(B460))),"",IF(AND(B460&gt;=Settings!$C$6,B460&lt;=Settings!$C$6+6),B460*1000+ROW(),""))</f>
        <v/>
      </c>
    </row>
    <row r="461">
      <c r="A461" s="1" t="n"/>
      <c r="B461" s="28" t="n"/>
      <c r="C461" s="29" t="n"/>
      <c r="D461" s="30" t="n"/>
      <c r="E461" s="31" t="n"/>
      <c r="F461" s="32" t="n"/>
      <c r="G461" s="32" t="n"/>
      <c r="H461" s="33" t="n"/>
      <c r="I461" s="34">
        <f>IF(B461="","",IF(D461&lt;&gt;"",D461,IF(AND(ISNUMBER(B461),ISNUMBER(C461)),IF(OR(WEEKDAY(B461,2)&gt;5,C461&lt;1,C461&gt;10),"",IF(INDEX(Timetable!$E$6:$I$15,C461,WEEKDAY(B461,2))="","",INDEX(Timetable!$E$6:$I$15,C461,WEEKDAY(B461,2)))),"")))</f>
        <v/>
      </c>
      <c r="J461" s="1" t="n"/>
      <c r="K461">
        <f>IF(AND(ISNUMBER(B461),ISNUMBER(C461)),B461*100+C461,"")</f>
        <v/>
      </c>
      <c r="L461">
        <f>IF(OR(G461="",NOT(ISNUMBER(B461))),"",IF(AND(B461&gt;=Settings!$C$6,B461&lt;=Settings!$C$6+6),B461*1000+ROW(),""))</f>
        <v/>
      </c>
    </row>
    <row r="462">
      <c r="A462" s="1" t="n"/>
      <c r="B462" s="28" t="n"/>
      <c r="C462" s="29" t="n"/>
      <c r="D462" s="30" t="n"/>
      <c r="E462" s="31" t="n"/>
      <c r="F462" s="32" t="n"/>
      <c r="G462" s="32" t="n"/>
      <c r="H462" s="33" t="n"/>
      <c r="I462" s="34">
        <f>IF(B462="","",IF(D462&lt;&gt;"",D462,IF(AND(ISNUMBER(B462),ISNUMBER(C462)),IF(OR(WEEKDAY(B462,2)&gt;5,C462&lt;1,C462&gt;10),"",IF(INDEX(Timetable!$E$6:$I$15,C462,WEEKDAY(B462,2))="","",INDEX(Timetable!$E$6:$I$15,C462,WEEKDAY(B462,2)))),"")))</f>
        <v/>
      </c>
      <c r="J462" s="1" t="n"/>
      <c r="K462">
        <f>IF(AND(ISNUMBER(B462),ISNUMBER(C462)),B462*100+C462,"")</f>
        <v/>
      </c>
      <c r="L462">
        <f>IF(OR(G462="",NOT(ISNUMBER(B462))),"",IF(AND(B462&gt;=Settings!$C$6,B462&lt;=Settings!$C$6+6),B462*1000+ROW(),""))</f>
        <v/>
      </c>
    </row>
    <row r="463">
      <c r="A463" s="1" t="n"/>
      <c r="B463" s="28" t="n"/>
      <c r="C463" s="29" t="n"/>
      <c r="D463" s="30" t="n"/>
      <c r="E463" s="31" t="n"/>
      <c r="F463" s="32" t="n"/>
      <c r="G463" s="32" t="n"/>
      <c r="H463" s="33" t="n"/>
      <c r="I463" s="34">
        <f>IF(B463="","",IF(D463&lt;&gt;"",D463,IF(AND(ISNUMBER(B463),ISNUMBER(C463)),IF(OR(WEEKDAY(B463,2)&gt;5,C463&lt;1,C463&gt;10),"",IF(INDEX(Timetable!$E$6:$I$15,C463,WEEKDAY(B463,2))="","",INDEX(Timetable!$E$6:$I$15,C463,WEEKDAY(B463,2)))),"")))</f>
        <v/>
      </c>
      <c r="J463" s="1" t="n"/>
      <c r="K463">
        <f>IF(AND(ISNUMBER(B463),ISNUMBER(C463)),B463*100+C463,"")</f>
        <v/>
      </c>
      <c r="L463">
        <f>IF(OR(G463="",NOT(ISNUMBER(B463))),"",IF(AND(B463&gt;=Settings!$C$6,B463&lt;=Settings!$C$6+6),B463*1000+ROW(),""))</f>
        <v/>
      </c>
    </row>
    <row r="464">
      <c r="A464" s="1" t="n"/>
      <c r="B464" s="28" t="n"/>
      <c r="C464" s="29" t="n"/>
      <c r="D464" s="30" t="n"/>
      <c r="E464" s="31" t="n"/>
      <c r="F464" s="32" t="n"/>
      <c r="G464" s="32" t="n"/>
      <c r="H464" s="33" t="n"/>
      <c r="I464" s="34">
        <f>IF(B464="","",IF(D464&lt;&gt;"",D464,IF(AND(ISNUMBER(B464),ISNUMBER(C464)),IF(OR(WEEKDAY(B464,2)&gt;5,C464&lt;1,C464&gt;10),"",IF(INDEX(Timetable!$E$6:$I$15,C464,WEEKDAY(B464,2))="","",INDEX(Timetable!$E$6:$I$15,C464,WEEKDAY(B464,2)))),"")))</f>
        <v/>
      </c>
      <c r="J464" s="1" t="n"/>
      <c r="K464">
        <f>IF(AND(ISNUMBER(B464),ISNUMBER(C464)),B464*100+C464,"")</f>
        <v/>
      </c>
      <c r="L464">
        <f>IF(OR(G464="",NOT(ISNUMBER(B464))),"",IF(AND(B464&gt;=Settings!$C$6,B464&lt;=Settings!$C$6+6),B464*1000+ROW(),""))</f>
        <v/>
      </c>
    </row>
    <row r="465">
      <c r="A465" s="1" t="n"/>
      <c r="B465" s="28" t="n"/>
      <c r="C465" s="29" t="n"/>
      <c r="D465" s="30" t="n"/>
      <c r="E465" s="31" t="n"/>
      <c r="F465" s="32" t="n"/>
      <c r="G465" s="32" t="n"/>
      <c r="H465" s="33" t="n"/>
      <c r="I465" s="34">
        <f>IF(B465="","",IF(D465&lt;&gt;"",D465,IF(AND(ISNUMBER(B465),ISNUMBER(C465)),IF(OR(WEEKDAY(B465,2)&gt;5,C465&lt;1,C465&gt;10),"",IF(INDEX(Timetable!$E$6:$I$15,C465,WEEKDAY(B465,2))="","",INDEX(Timetable!$E$6:$I$15,C465,WEEKDAY(B465,2)))),"")))</f>
        <v/>
      </c>
      <c r="J465" s="1" t="n"/>
      <c r="K465">
        <f>IF(AND(ISNUMBER(B465),ISNUMBER(C465)),B465*100+C465,"")</f>
        <v/>
      </c>
      <c r="L465">
        <f>IF(OR(G465="",NOT(ISNUMBER(B465))),"",IF(AND(B465&gt;=Settings!$C$6,B465&lt;=Settings!$C$6+6),B465*1000+ROW(),""))</f>
        <v/>
      </c>
    </row>
    <row r="466">
      <c r="A466" s="1" t="n"/>
      <c r="B466" s="28" t="n"/>
      <c r="C466" s="29" t="n"/>
      <c r="D466" s="30" t="n"/>
      <c r="E466" s="31" t="n"/>
      <c r="F466" s="32" t="n"/>
      <c r="G466" s="32" t="n"/>
      <c r="H466" s="33" t="n"/>
      <c r="I466" s="34">
        <f>IF(B466="","",IF(D466&lt;&gt;"",D466,IF(AND(ISNUMBER(B466),ISNUMBER(C466)),IF(OR(WEEKDAY(B466,2)&gt;5,C466&lt;1,C466&gt;10),"",IF(INDEX(Timetable!$E$6:$I$15,C466,WEEKDAY(B466,2))="","",INDEX(Timetable!$E$6:$I$15,C466,WEEKDAY(B466,2)))),"")))</f>
        <v/>
      </c>
      <c r="J466" s="1" t="n"/>
      <c r="K466">
        <f>IF(AND(ISNUMBER(B466),ISNUMBER(C466)),B466*100+C466,"")</f>
        <v/>
      </c>
      <c r="L466">
        <f>IF(OR(G466="",NOT(ISNUMBER(B466))),"",IF(AND(B466&gt;=Settings!$C$6,B466&lt;=Settings!$C$6+6),B466*1000+ROW(),""))</f>
        <v/>
      </c>
    </row>
    <row r="467">
      <c r="A467" s="1" t="n"/>
      <c r="B467" s="28" t="n"/>
      <c r="C467" s="29" t="n"/>
      <c r="D467" s="30" t="n"/>
      <c r="E467" s="31" t="n"/>
      <c r="F467" s="32" t="n"/>
      <c r="G467" s="32" t="n"/>
      <c r="H467" s="33" t="n"/>
      <c r="I467" s="34">
        <f>IF(B467="","",IF(D467&lt;&gt;"",D467,IF(AND(ISNUMBER(B467),ISNUMBER(C467)),IF(OR(WEEKDAY(B467,2)&gt;5,C467&lt;1,C467&gt;10),"",IF(INDEX(Timetable!$E$6:$I$15,C467,WEEKDAY(B467,2))="","",INDEX(Timetable!$E$6:$I$15,C467,WEEKDAY(B467,2)))),"")))</f>
        <v/>
      </c>
      <c r="J467" s="1" t="n"/>
      <c r="K467">
        <f>IF(AND(ISNUMBER(B467),ISNUMBER(C467)),B467*100+C467,"")</f>
        <v/>
      </c>
      <c r="L467">
        <f>IF(OR(G467="",NOT(ISNUMBER(B467))),"",IF(AND(B467&gt;=Settings!$C$6,B467&lt;=Settings!$C$6+6),B467*1000+ROW(),""))</f>
        <v/>
      </c>
    </row>
    <row r="468">
      <c r="A468" s="1" t="n"/>
      <c r="B468" s="28" t="n"/>
      <c r="C468" s="29" t="n"/>
      <c r="D468" s="30" t="n"/>
      <c r="E468" s="31" t="n"/>
      <c r="F468" s="32" t="n"/>
      <c r="G468" s="32" t="n"/>
      <c r="H468" s="33" t="n"/>
      <c r="I468" s="34">
        <f>IF(B468="","",IF(D468&lt;&gt;"",D468,IF(AND(ISNUMBER(B468),ISNUMBER(C468)),IF(OR(WEEKDAY(B468,2)&gt;5,C468&lt;1,C468&gt;10),"",IF(INDEX(Timetable!$E$6:$I$15,C468,WEEKDAY(B468,2))="","",INDEX(Timetable!$E$6:$I$15,C468,WEEKDAY(B468,2)))),"")))</f>
        <v/>
      </c>
      <c r="J468" s="1" t="n"/>
      <c r="K468">
        <f>IF(AND(ISNUMBER(B468),ISNUMBER(C468)),B468*100+C468,"")</f>
        <v/>
      </c>
      <c r="L468">
        <f>IF(OR(G468="",NOT(ISNUMBER(B468))),"",IF(AND(B468&gt;=Settings!$C$6,B468&lt;=Settings!$C$6+6),B468*1000+ROW(),""))</f>
        <v/>
      </c>
    </row>
    <row r="469">
      <c r="A469" s="1" t="n"/>
      <c r="B469" s="28" t="n"/>
      <c r="C469" s="29" t="n"/>
      <c r="D469" s="30" t="n"/>
      <c r="E469" s="31" t="n"/>
      <c r="F469" s="32" t="n"/>
      <c r="G469" s="32" t="n"/>
      <c r="H469" s="33" t="n"/>
      <c r="I469" s="34">
        <f>IF(B469="","",IF(D469&lt;&gt;"",D469,IF(AND(ISNUMBER(B469),ISNUMBER(C469)),IF(OR(WEEKDAY(B469,2)&gt;5,C469&lt;1,C469&gt;10),"",IF(INDEX(Timetable!$E$6:$I$15,C469,WEEKDAY(B469,2))="","",INDEX(Timetable!$E$6:$I$15,C469,WEEKDAY(B469,2)))),"")))</f>
        <v/>
      </c>
      <c r="J469" s="1" t="n"/>
      <c r="K469">
        <f>IF(AND(ISNUMBER(B469),ISNUMBER(C469)),B469*100+C469,"")</f>
        <v/>
      </c>
      <c r="L469">
        <f>IF(OR(G469="",NOT(ISNUMBER(B469))),"",IF(AND(B469&gt;=Settings!$C$6,B469&lt;=Settings!$C$6+6),B469*1000+ROW(),""))</f>
        <v/>
      </c>
    </row>
    <row r="470">
      <c r="A470" s="1" t="n"/>
      <c r="B470" s="28" t="n"/>
      <c r="C470" s="29" t="n"/>
      <c r="D470" s="30" t="n"/>
      <c r="E470" s="31" t="n"/>
      <c r="F470" s="32" t="n"/>
      <c r="G470" s="32" t="n"/>
      <c r="H470" s="33" t="n"/>
      <c r="I470" s="34">
        <f>IF(B470="","",IF(D470&lt;&gt;"",D470,IF(AND(ISNUMBER(B470),ISNUMBER(C470)),IF(OR(WEEKDAY(B470,2)&gt;5,C470&lt;1,C470&gt;10),"",IF(INDEX(Timetable!$E$6:$I$15,C470,WEEKDAY(B470,2))="","",INDEX(Timetable!$E$6:$I$15,C470,WEEKDAY(B470,2)))),"")))</f>
        <v/>
      </c>
      <c r="J470" s="1" t="n"/>
      <c r="K470">
        <f>IF(AND(ISNUMBER(B470),ISNUMBER(C470)),B470*100+C470,"")</f>
        <v/>
      </c>
      <c r="L470">
        <f>IF(OR(G470="",NOT(ISNUMBER(B470))),"",IF(AND(B470&gt;=Settings!$C$6,B470&lt;=Settings!$C$6+6),B470*1000+ROW(),""))</f>
        <v/>
      </c>
    </row>
    <row r="471">
      <c r="A471" s="1" t="n"/>
      <c r="B471" s="28" t="n"/>
      <c r="C471" s="29" t="n"/>
      <c r="D471" s="30" t="n"/>
      <c r="E471" s="31" t="n"/>
      <c r="F471" s="32" t="n"/>
      <c r="G471" s="32" t="n"/>
      <c r="H471" s="33" t="n"/>
      <c r="I471" s="34">
        <f>IF(B471="","",IF(D471&lt;&gt;"",D471,IF(AND(ISNUMBER(B471),ISNUMBER(C471)),IF(OR(WEEKDAY(B471,2)&gt;5,C471&lt;1,C471&gt;10),"",IF(INDEX(Timetable!$E$6:$I$15,C471,WEEKDAY(B471,2))="","",INDEX(Timetable!$E$6:$I$15,C471,WEEKDAY(B471,2)))),"")))</f>
        <v/>
      </c>
      <c r="J471" s="1" t="n"/>
      <c r="K471">
        <f>IF(AND(ISNUMBER(B471),ISNUMBER(C471)),B471*100+C471,"")</f>
        <v/>
      </c>
      <c r="L471">
        <f>IF(OR(G471="",NOT(ISNUMBER(B471))),"",IF(AND(B471&gt;=Settings!$C$6,B471&lt;=Settings!$C$6+6),B471*1000+ROW(),""))</f>
        <v/>
      </c>
    </row>
    <row r="472">
      <c r="A472" s="1" t="n"/>
      <c r="B472" s="28" t="n"/>
      <c r="C472" s="29" t="n"/>
      <c r="D472" s="30" t="n"/>
      <c r="E472" s="31" t="n"/>
      <c r="F472" s="32" t="n"/>
      <c r="G472" s="32" t="n"/>
      <c r="H472" s="33" t="n"/>
      <c r="I472" s="34">
        <f>IF(B472="","",IF(D472&lt;&gt;"",D472,IF(AND(ISNUMBER(B472),ISNUMBER(C472)),IF(OR(WEEKDAY(B472,2)&gt;5,C472&lt;1,C472&gt;10),"",IF(INDEX(Timetable!$E$6:$I$15,C472,WEEKDAY(B472,2))="","",INDEX(Timetable!$E$6:$I$15,C472,WEEKDAY(B472,2)))),"")))</f>
        <v/>
      </c>
      <c r="J472" s="1" t="n"/>
      <c r="K472">
        <f>IF(AND(ISNUMBER(B472),ISNUMBER(C472)),B472*100+C472,"")</f>
        <v/>
      </c>
      <c r="L472">
        <f>IF(OR(G472="",NOT(ISNUMBER(B472))),"",IF(AND(B472&gt;=Settings!$C$6,B472&lt;=Settings!$C$6+6),B472*1000+ROW(),""))</f>
        <v/>
      </c>
    </row>
    <row r="473">
      <c r="A473" s="1" t="n"/>
      <c r="B473" s="28" t="n"/>
      <c r="C473" s="29" t="n"/>
      <c r="D473" s="30" t="n"/>
      <c r="E473" s="31" t="n"/>
      <c r="F473" s="32" t="n"/>
      <c r="G473" s="32" t="n"/>
      <c r="H473" s="33" t="n"/>
      <c r="I473" s="34">
        <f>IF(B473="","",IF(D473&lt;&gt;"",D473,IF(AND(ISNUMBER(B473),ISNUMBER(C473)),IF(OR(WEEKDAY(B473,2)&gt;5,C473&lt;1,C473&gt;10),"",IF(INDEX(Timetable!$E$6:$I$15,C473,WEEKDAY(B473,2))="","",INDEX(Timetable!$E$6:$I$15,C473,WEEKDAY(B473,2)))),"")))</f>
        <v/>
      </c>
      <c r="J473" s="1" t="n"/>
      <c r="K473">
        <f>IF(AND(ISNUMBER(B473),ISNUMBER(C473)),B473*100+C473,"")</f>
        <v/>
      </c>
      <c r="L473">
        <f>IF(OR(G473="",NOT(ISNUMBER(B473))),"",IF(AND(B473&gt;=Settings!$C$6,B473&lt;=Settings!$C$6+6),B473*1000+ROW(),""))</f>
        <v/>
      </c>
    </row>
    <row r="474">
      <c r="A474" s="1" t="n"/>
      <c r="B474" s="28" t="n"/>
      <c r="C474" s="29" t="n"/>
      <c r="D474" s="30" t="n"/>
      <c r="E474" s="31" t="n"/>
      <c r="F474" s="32" t="n"/>
      <c r="G474" s="32" t="n"/>
      <c r="H474" s="33" t="n"/>
      <c r="I474" s="34">
        <f>IF(B474="","",IF(D474&lt;&gt;"",D474,IF(AND(ISNUMBER(B474),ISNUMBER(C474)),IF(OR(WEEKDAY(B474,2)&gt;5,C474&lt;1,C474&gt;10),"",IF(INDEX(Timetable!$E$6:$I$15,C474,WEEKDAY(B474,2))="","",INDEX(Timetable!$E$6:$I$15,C474,WEEKDAY(B474,2)))),"")))</f>
        <v/>
      </c>
      <c r="J474" s="1" t="n"/>
      <c r="K474">
        <f>IF(AND(ISNUMBER(B474),ISNUMBER(C474)),B474*100+C474,"")</f>
        <v/>
      </c>
      <c r="L474">
        <f>IF(OR(G474="",NOT(ISNUMBER(B474))),"",IF(AND(B474&gt;=Settings!$C$6,B474&lt;=Settings!$C$6+6),B474*1000+ROW(),""))</f>
        <v/>
      </c>
    </row>
    <row r="475">
      <c r="A475" s="1" t="n"/>
      <c r="B475" s="28" t="n"/>
      <c r="C475" s="29" t="n"/>
      <c r="D475" s="30" t="n"/>
      <c r="E475" s="31" t="n"/>
      <c r="F475" s="32" t="n"/>
      <c r="G475" s="32" t="n"/>
      <c r="H475" s="33" t="n"/>
      <c r="I475" s="34">
        <f>IF(B475="","",IF(D475&lt;&gt;"",D475,IF(AND(ISNUMBER(B475),ISNUMBER(C475)),IF(OR(WEEKDAY(B475,2)&gt;5,C475&lt;1,C475&gt;10),"",IF(INDEX(Timetable!$E$6:$I$15,C475,WEEKDAY(B475,2))="","",INDEX(Timetable!$E$6:$I$15,C475,WEEKDAY(B475,2)))),"")))</f>
        <v/>
      </c>
      <c r="J475" s="1" t="n"/>
      <c r="K475">
        <f>IF(AND(ISNUMBER(B475),ISNUMBER(C475)),B475*100+C475,"")</f>
        <v/>
      </c>
      <c r="L475">
        <f>IF(OR(G475="",NOT(ISNUMBER(B475))),"",IF(AND(B475&gt;=Settings!$C$6,B475&lt;=Settings!$C$6+6),B475*1000+ROW(),""))</f>
        <v/>
      </c>
    </row>
    <row r="476">
      <c r="A476" s="1" t="n"/>
      <c r="B476" s="28" t="n"/>
      <c r="C476" s="29" t="n"/>
      <c r="D476" s="30" t="n"/>
      <c r="E476" s="31" t="n"/>
      <c r="F476" s="32" t="n"/>
      <c r="G476" s="32" t="n"/>
      <c r="H476" s="33" t="n"/>
      <c r="I476" s="34">
        <f>IF(B476="","",IF(D476&lt;&gt;"",D476,IF(AND(ISNUMBER(B476),ISNUMBER(C476)),IF(OR(WEEKDAY(B476,2)&gt;5,C476&lt;1,C476&gt;10),"",IF(INDEX(Timetable!$E$6:$I$15,C476,WEEKDAY(B476,2))="","",INDEX(Timetable!$E$6:$I$15,C476,WEEKDAY(B476,2)))),"")))</f>
        <v/>
      </c>
      <c r="J476" s="1" t="n"/>
      <c r="K476">
        <f>IF(AND(ISNUMBER(B476),ISNUMBER(C476)),B476*100+C476,"")</f>
        <v/>
      </c>
      <c r="L476">
        <f>IF(OR(G476="",NOT(ISNUMBER(B476))),"",IF(AND(B476&gt;=Settings!$C$6,B476&lt;=Settings!$C$6+6),B476*1000+ROW(),""))</f>
        <v/>
      </c>
    </row>
    <row r="477">
      <c r="A477" s="1" t="n"/>
      <c r="B477" s="28" t="n"/>
      <c r="C477" s="29" t="n"/>
      <c r="D477" s="30" t="n"/>
      <c r="E477" s="31" t="n"/>
      <c r="F477" s="32" t="n"/>
      <c r="G477" s="32" t="n"/>
      <c r="H477" s="33" t="n"/>
      <c r="I477" s="34">
        <f>IF(B477="","",IF(D477&lt;&gt;"",D477,IF(AND(ISNUMBER(B477),ISNUMBER(C477)),IF(OR(WEEKDAY(B477,2)&gt;5,C477&lt;1,C477&gt;10),"",IF(INDEX(Timetable!$E$6:$I$15,C477,WEEKDAY(B477,2))="","",INDEX(Timetable!$E$6:$I$15,C477,WEEKDAY(B477,2)))),"")))</f>
        <v/>
      </c>
      <c r="J477" s="1" t="n"/>
      <c r="K477">
        <f>IF(AND(ISNUMBER(B477),ISNUMBER(C477)),B477*100+C477,"")</f>
        <v/>
      </c>
      <c r="L477">
        <f>IF(OR(G477="",NOT(ISNUMBER(B477))),"",IF(AND(B477&gt;=Settings!$C$6,B477&lt;=Settings!$C$6+6),B477*1000+ROW(),""))</f>
        <v/>
      </c>
    </row>
    <row r="478">
      <c r="A478" s="1" t="n"/>
      <c r="B478" s="28" t="n"/>
      <c r="C478" s="29" t="n"/>
      <c r="D478" s="30" t="n"/>
      <c r="E478" s="31" t="n"/>
      <c r="F478" s="32" t="n"/>
      <c r="G478" s="32" t="n"/>
      <c r="H478" s="33" t="n"/>
      <c r="I478" s="34">
        <f>IF(B478="","",IF(D478&lt;&gt;"",D478,IF(AND(ISNUMBER(B478),ISNUMBER(C478)),IF(OR(WEEKDAY(B478,2)&gt;5,C478&lt;1,C478&gt;10),"",IF(INDEX(Timetable!$E$6:$I$15,C478,WEEKDAY(B478,2))="","",INDEX(Timetable!$E$6:$I$15,C478,WEEKDAY(B478,2)))),"")))</f>
        <v/>
      </c>
      <c r="J478" s="1" t="n"/>
      <c r="K478">
        <f>IF(AND(ISNUMBER(B478),ISNUMBER(C478)),B478*100+C478,"")</f>
        <v/>
      </c>
      <c r="L478">
        <f>IF(OR(G478="",NOT(ISNUMBER(B478))),"",IF(AND(B478&gt;=Settings!$C$6,B478&lt;=Settings!$C$6+6),B478*1000+ROW(),""))</f>
        <v/>
      </c>
    </row>
    <row r="479">
      <c r="A479" s="1" t="n"/>
      <c r="B479" s="28" t="n"/>
      <c r="C479" s="29" t="n"/>
      <c r="D479" s="30" t="n"/>
      <c r="E479" s="31" t="n"/>
      <c r="F479" s="32" t="n"/>
      <c r="G479" s="32" t="n"/>
      <c r="H479" s="33" t="n"/>
      <c r="I479" s="34">
        <f>IF(B479="","",IF(D479&lt;&gt;"",D479,IF(AND(ISNUMBER(B479),ISNUMBER(C479)),IF(OR(WEEKDAY(B479,2)&gt;5,C479&lt;1,C479&gt;10),"",IF(INDEX(Timetable!$E$6:$I$15,C479,WEEKDAY(B479,2))="","",INDEX(Timetable!$E$6:$I$15,C479,WEEKDAY(B479,2)))),"")))</f>
        <v/>
      </c>
      <c r="J479" s="1" t="n"/>
      <c r="K479">
        <f>IF(AND(ISNUMBER(B479),ISNUMBER(C479)),B479*100+C479,"")</f>
        <v/>
      </c>
      <c r="L479">
        <f>IF(OR(G479="",NOT(ISNUMBER(B479))),"",IF(AND(B479&gt;=Settings!$C$6,B479&lt;=Settings!$C$6+6),B479*1000+ROW(),""))</f>
        <v/>
      </c>
    </row>
    <row r="480">
      <c r="A480" s="1" t="n"/>
      <c r="B480" s="28" t="n"/>
      <c r="C480" s="29" t="n"/>
      <c r="D480" s="30" t="n"/>
      <c r="E480" s="31" t="n"/>
      <c r="F480" s="32" t="n"/>
      <c r="G480" s="32" t="n"/>
      <c r="H480" s="33" t="n"/>
      <c r="I480" s="34">
        <f>IF(B480="","",IF(D480&lt;&gt;"",D480,IF(AND(ISNUMBER(B480),ISNUMBER(C480)),IF(OR(WEEKDAY(B480,2)&gt;5,C480&lt;1,C480&gt;10),"",IF(INDEX(Timetable!$E$6:$I$15,C480,WEEKDAY(B480,2))="","",INDEX(Timetable!$E$6:$I$15,C480,WEEKDAY(B480,2)))),"")))</f>
        <v/>
      </c>
      <c r="J480" s="1" t="n"/>
      <c r="K480">
        <f>IF(AND(ISNUMBER(B480),ISNUMBER(C480)),B480*100+C480,"")</f>
        <v/>
      </c>
      <c r="L480">
        <f>IF(OR(G480="",NOT(ISNUMBER(B480))),"",IF(AND(B480&gt;=Settings!$C$6,B480&lt;=Settings!$C$6+6),B480*1000+ROW(),""))</f>
        <v/>
      </c>
    </row>
    <row r="481">
      <c r="A481" s="1" t="n"/>
      <c r="B481" s="28" t="n"/>
      <c r="C481" s="29" t="n"/>
      <c r="D481" s="30" t="n"/>
      <c r="E481" s="31" t="n"/>
      <c r="F481" s="32" t="n"/>
      <c r="G481" s="32" t="n"/>
      <c r="H481" s="33" t="n"/>
      <c r="I481" s="34">
        <f>IF(B481="","",IF(D481&lt;&gt;"",D481,IF(AND(ISNUMBER(B481),ISNUMBER(C481)),IF(OR(WEEKDAY(B481,2)&gt;5,C481&lt;1,C481&gt;10),"",IF(INDEX(Timetable!$E$6:$I$15,C481,WEEKDAY(B481,2))="","",INDEX(Timetable!$E$6:$I$15,C481,WEEKDAY(B481,2)))),"")))</f>
        <v/>
      </c>
      <c r="J481" s="1" t="n"/>
      <c r="K481">
        <f>IF(AND(ISNUMBER(B481),ISNUMBER(C481)),B481*100+C481,"")</f>
        <v/>
      </c>
      <c r="L481">
        <f>IF(OR(G481="",NOT(ISNUMBER(B481))),"",IF(AND(B481&gt;=Settings!$C$6,B481&lt;=Settings!$C$6+6),B481*1000+ROW(),""))</f>
        <v/>
      </c>
    </row>
    <row r="482">
      <c r="A482" s="1" t="n"/>
      <c r="B482" s="28" t="n"/>
      <c r="C482" s="29" t="n"/>
      <c r="D482" s="30" t="n"/>
      <c r="E482" s="31" t="n"/>
      <c r="F482" s="32" t="n"/>
      <c r="G482" s="32" t="n"/>
      <c r="H482" s="33" t="n"/>
      <c r="I482" s="34">
        <f>IF(B482="","",IF(D482&lt;&gt;"",D482,IF(AND(ISNUMBER(B482),ISNUMBER(C482)),IF(OR(WEEKDAY(B482,2)&gt;5,C482&lt;1,C482&gt;10),"",IF(INDEX(Timetable!$E$6:$I$15,C482,WEEKDAY(B482,2))="","",INDEX(Timetable!$E$6:$I$15,C482,WEEKDAY(B482,2)))),"")))</f>
        <v/>
      </c>
      <c r="J482" s="1" t="n"/>
      <c r="K482">
        <f>IF(AND(ISNUMBER(B482),ISNUMBER(C482)),B482*100+C482,"")</f>
        <v/>
      </c>
      <c r="L482">
        <f>IF(OR(G482="",NOT(ISNUMBER(B482))),"",IF(AND(B482&gt;=Settings!$C$6,B482&lt;=Settings!$C$6+6),B482*1000+ROW(),""))</f>
        <v/>
      </c>
    </row>
    <row r="483">
      <c r="A483" s="1" t="n"/>
      <c r="B483" s="28" t="n"/>
      <c r="C483" s="29" t="n"/>
      <c r="D483" s="30" t="n"/>
      <c r="E483" s="31" t="n"/>
      <c r="F483" s="32" t="n"/>
      <c r="G483" s="32" t="n"/>
      <c r="H483" s="33" t="n"/>
      <c r="I483" s="34">
        <f>IF(B483="","",IF(D483&lt;&gt;"",D483,IF(AND(ISNUMBER(B483),ISNUMBER(C483)),IF(OR(WEEKDAY(B483,2)&gt;5,C483&lt;1,C483&gt;10),"",IF(INDEX(Timetable!$E$6:$I$15,C483,WEEKDAY(B483,2))="","",INDEX(Timetable!$E$6:$I$15,C483,WEEKDAY(B483,2)))),"")))</f>
        <v/>
      </c>
      <c r="J483" s="1" t="n"/>
      <c r="K483">
        <f>IF(AND(ISNUMBER(B483),ISNUMBER(C483)),B483*100+C483,"")</f>
        <v/>
      </c>
      <c r="L483">
        <f>IF(OR(G483="",NOT(ISNUMBER(B483))),"",IF(AND(B483&gt;=Settings!$C$6,B483&lt;=Settings!$C$6+6),B483*1000+ROW(),""))</f>
        <v/>
      </c>
    </row>
    <row r="484">
      <c r="A484" s="1" t="n"/>
      <c r="B484" s="28" t="n"/>
      <c r="C484" s="29" t="n"/>
      <c r="D484" s="30" t="n"/>
      <c r="E484" s="31" t="n"/>
      <c r="F484" s="32" t="n"/>
      <c r="G484" s="32" t="n"/>
      <c r="H484" s="33" t="n"/>
      <c r="I484" s="34">
        <f>IF(B484="","",IF(D484&lt;&gt;"",D484,IF(AND(ISNUMBER(B484),ISNUMBER(C484)),IF(OR(WEEKDAY(B484,2)&gt;5,C484&lt;1,C484&gt;10),"",IF(INDEX(Timetable!$E$6:$I$15,C484,WEEKDAY(B484,2))="","",INDEX(Timetable!$E$6:$I$15,C484,WEEKDAY(B484,2)))),"")))</f>
        <v/>
      </c>
      <c r="J484" s="1" t="n"/>
      <c r="K484">
        <f>IF(AND(ISNUMBER(B484),ISNUMBER(C484)),B484*100+C484,"")</f>
        <v/>
      </c>
      <c r="L484">
        <f>IF(OR(G484="",NOT(ISNUMBER(B484))),"",IF(AND(B484&gt;=Settings!$C$6,B484&lt;=Settings!$C$6+6),B484*1000+ROW(),""))</f>
        <v/>
      </c>
    </row>
    <row r="485">
      <c r="A485" s="1" t="n"/>
      <c r="B485" s="28" t="n"/>
      <c r="C485" s="29" t="n"/>
      <c r="D485" s="30" t="n"/>
      <c r="E485" s="31" t="n"/>
      <c r="F485" s="32" t="n"/>
      <c r="G485" s="32" t="n"/>
      <c r="H485" s="33" t="n"/>
      <c r="I485" s="34">
        <f>IF(B485="","",IF(D485&lt;&gt;"",D485,IF(AND(ISNUMBER(B485),ISNUMBER(C485)),IF(OR(WEEKDAY(B485,2)&gt;5,C485&lt;1,C485&gt;10),"",IF(INDEX(Timetable!$E$6:$I$15,C485,WEEKDAY(B485,2))="","",INDEX(Timetable!$E$6:$I$15,C485,WEEKDAY(B485,2)))),"")))</f>
        <v/>
      </c>
      <c r="J485" s="1" t="n"/>
      <c r="K485">
        <f>IF(AND(ISNUMBER(B485),ISNUMBER(C485)),B485*100+C485,"")</f>
        <v/>
      </c>
      <c r="L485">
        <f>IF(OR(G485="",NOT(ISNUMBER(B485))),"",IF(AND(B485&gt;=Settings!$C$6,B485&lt;=Settings!$C$6+6),B485*1000+ROW(),""))</f>
        <v/>
      </c>
    </row>
    <row r="486">
      <c r="A486" s="1" t="n"/>
      <c r="B486" s="28" t="n"/>
      <c r="C486" s="29" t="n"/>
      <c r="D486" s="30" t="n"/>
      <c r="E486" s="31" t="n"/>
      <c r="F486" s="32" t="n"/>
      <c r="G486" s="32" t="n"/>
      <c r="H486" s="33" t="n"/>
      <c r="I486" s="34">
        <f>IF(B486="","",IF(D486&lt;&gt;"",D486,IF(AND(ISNUMBER(B486),ISNUMBER(C486)),IF(OR(WEEKDAY(B486,2)&gt;5,C486&lt;1,C486&gt;10),"",IF(INDEX(Timetable!$E$6:$I$15,C486,WEEKDAY(B486,2))="","",INDEX(Timetable!$E$6:$I$15,C486,WEEKDAY(B486,2)))),"")))</f>
        <v/>
      </c>
      <c r="J486" s="1" t="n"/>
      <c r="K486">
        <f>IF(AND(ISNUMBER(B486),ISNUMBER(C486)),B486*100+C486,"")</f>
        <v/>
      </c>
      <c r="L486">
        <f>IF(OR(G486="",NOT(ISNUMBER(B486))),"",IF(AND(B486&gt;=Settings!$C$6,B486&lt;=Settings!$C$6+6),B486*1000+ROW(),""))</f>
        <v/>
      </c>
    </row>
    <row r="487">
      <c r="A487" s="1" t="n"/>
      <c r="B487" s="28" t="n"/>
      <c r="C487" s="29" t="n"/>
      <c r="D487" s="30" t="n"/>
      <c r="E487" s="31" t="n"/>
      <c r="F487" s="32" t="n"/>
      <c r="G487" s="32" t="n"/>
      <c r="H487" s="33" t="n"/>
      <c r="I487" s="34">
        <f>IF(B487="","",IF(D487&lt;&gt;"",D487,IF(AND(ISNUMBER(B487),ISNUMBER(C487)),IF(OR(WEEKDAY(B487,2)&gt;5,C487&lt;1,C487&gt;10),"",IF(INDEX(Timetable!$E$6:$I$15,C487,WEEKDAY(B487,2))="","",INDEX(Timetable!$E$6:$I$15,C487,WEEKDAY(B487,2)))),"")))</f>
        <v/>
      </c>
      <c r="J487" s="1" t="n"/>
      <c r="K487">
        <f>IF(AND(ISNUMBER(B487),ISNUMBER(C487)),B487*100+C487,"")</f>
        <v/>
      </c>
      <c r="L487">
        <f>IF(OR(G487="",NOT(ISNUMBER(B487))),"",IF(AND(B487&gt;=Settings!$C$6,B487&lt;=Settings!$C$6+6),B487*1000+ROW(),""))</f>
        <v/>
      </c>
    </row>
    <row r="488">
      <c r="A488" s="1" t="n"/>
      <c r="B488" s="28" t="n"/>
      <c r="C488" s="29" t="n"/>
      <c r="D488" s="30" t="n"/>
      <c r="E488" s="31" t="n"/>
      <c r="F488" s="32" t="n"/>
      <c r="G488" s="32" t="n"/>
      <c r="H488" s="33" t="n"/>
      <c r="I488" s="34">
        <f>IF(B488="","",IF(D488&lt;&gt;"",D488,IF(AND(ISNUMBER(B488),ISNUMBER(C488)),IF(OR(WEEKDAY(B488,2)&gt;5,C488&lt;1,C488&gt;10),"",IF(INDEX(Timetable!$E$6:$I$15,C488,WEEKDAY(B488,2))="","",INDEX(Timetable!$E$6:$I$15,C488,WEEKDAY(B488,2)))),"")))</f>
        <v/>
      </c>
      <c r="J488" s="1" t="n"/>
      <c r="K488">
        <f>IF(AND(ISNUMBER(B488),ISNUMBER(C488)),B488*100+C488,"")</f>
        <v/>
      </c>
      <c r="L488">
        <f>IF(OR(G488="",NOT(ISNUMBER(B488))),"",IF(AND(B488&gt;=Settings!$C$6,B488&lt;=Settings!$C$6+6),B488*1000+ROW(),""))</f>
        <v/>
      </c>
    </row>
    <row r="489">
      <c r="A489" s="1" t="n"/>
      <c r="B489" s="28" t="n"/>
      <c r="C489" s="29" t="n"/>
      <c r="D489" s="30" t="n"/>
      <c r="E489" s="31" t="n"/>
      <c r="F489" s="32" t="n"/>
      <c r="G489" s="32" t="n"/>
      <c r="H489" s="33" t="n"/>
      <c r="I489" s="34">
        <f>IF(B489="","",IF(D489&lt;&gt;"",D489,IF(AND(ISNUMBER(B489),ISNUMBER(C489)),IF(OR(WEEKDAY(B489,2)&gt;5,C489&lt;1,C489&gt;10),"",IF(INDEX(Timetable!$E$6:$I$15,C489,WEEKDAY(B489,2))="","",INDEX(Timetable!$E$6:$I$15,C489,WEEKDAY(B489,2)))),"")))</f>
        <v/>
      </c>
      <c r="J489" s="1" t="n"/>
      <c r="K489">
        <f>IF(AND(ISNUMBER(B489),ISNUMBER(C489)),B489*100+C489,"")</f>
        <v/>
      </c>
      <c r="L489">
        <f>IF(OR(G489="",NOT(ISNUMBER(B489))),"",IF(AND(B489&gt;=Settings!$C$6,B489&lt;=Settings!$C$6+6),B489*1000+ROW(),""))</f>
        <v/>
      </c>
    </row>
    <row r="490">
      <c r="A490" s="1" t="n"/>
      <c r="B490" s="28" t="n"/>
      <c r="C490" s="29" t="n"/>
      <c r="D490" s="30" t="n"/>
      <c r="E490" s="31" t="n"/>
      <c r="F490" s="32" t="n"/>
      <c r="G490" s="32" t="n"/>
      <c r="H490" s="33" t="n"/>
      <c r="I490" s="34">
        <f>IF(B490="","",IF(D490&lt;&gt;"",D490,IF(AND(ISNUMBER(B490),ISNUMBER(C490)),IF(OR(WEEKDAY(B490,2)&gt;5,C490&lt;1,C490&gt;10),"",IF(INDEX(Timetable!$E$6:$I$15,C490,WEEKDAY(B490,2))="","",INDEX(Timetable!$E$6:$I$15,C490,WEEKDAY(B490,2)))),"")))</f>
        <v/>
      </c>
      <c r="J490" s="1" t="n"/>
      <c r="K490">
        <f>IF(AND(ISNUMBER(B490),ISNUMBER(C490)),B490*100+C490,"")</f>
        <v/>
      </c>
      <c r="L490">
        <f>IF(OR(G490="",NOT(ISNUMBER(B490))),"",IF(AND(B490&gt;=Settings!$C$6,B490&lt;=Settings!$C$6+6),B490*1000+ROW(),""))</f>
        <v/>
      </c>
    </row>
    <row r="491">
      <c r="A491" s="1" t="n"/>
      <c r="B491" s="28" t="n"/>
      <c r="C491" s="29" t="n"/>
      <c r="D491" s="30" t="n"/>
      <c r="E491" s="31" t="n"/>
      <c r="F491" s="32" t="n"/>
      <c r="G491" s="32" t="n"/>
      <c r="H491" s="33" t="n"/>
      <c r="I491" s="34">
        <f>IF(B491="","",IF(D491&lt;&gt;"",D491,IF(AND(ISNUMBER(B491),ISNUMBER(C491)),IF(OR(WEEKDAY(B491,2)&gt;5,C491&lt;1,C491&gt;10),"",IF(INDEX(Timetable!$E$6:$I$15,C491,WEEKDAY(B491,2))="","",INDEX(Timetable!$E$6:$I$15,C491,WEEKDAY(B491,2)))),"")))</f>
        <v/>
      </c>
      <c r="J491" s="1" t="n"/>
      <c r="K491">
        <f>IF(AND(ISNUMBER(B491),ISNUMBER(C491)),B491*100+C491,"")</f>
        <v/>
      </c>
      <c r="L491">
        <f>IF(OR(G491="",NOT(ISNUMBER(B491))),"",IF(AND(B491&gt;=Settings!$C$6,B491&lt;=Settings!$C$6+6),B491*1000+ROW(),""))</f>
        <v/>
      </c>
    </row>
    <row r="492">
      <c r="A492" s="1" t="n"/>
      <c r="B492" s="28" t="n"/>
      <c r="C492" s="29" t="n"/>
      <c r="D492" s="30" t="n"/>
      <c r="E492" s="31" t="n"/>
      <c r="F492" s="32" t="n"/>
      <c r="G492" s="32" t="n"/>
      <c r="H492" s="33" t="n"/>
      <c r="I492" s="34">
        <f>IF(B492="","",IF(D492&lt;&gt;"",D492,IF(AND(ISNUMBER(B492),ISNUMBER(C492)),IF(OR(WEEKDAY(B492,2)&gt;5,C492&lt;1,C492&gt;10),"",IF(INDEX(Timetable!$E$6:$I$15,C492,WEEKDAY(B492,2))="","",INDEX(Timetable!$E$6:$I$15,C492,WEEKDAY(B492,2)))),"")))</f>
        <v/>
      </c>
      <c r="J492" s="1" t="n"/>
      <c r="K492">
        <f>IF(AND(ISNUMBER(B492),ISNUMBER(C492)),B492*100+C492,"")</f>
        <v/>
      </c>
      <c r="L492">
        <f>IF(OR(G492="",NOT(ISNUMBER(B492))),"",IF(AND(B492&gt;=Settings!$C$6,B492&lt;=Settings!$C$6+6),B492*1000+ROW(),""))</f>
        <v/>
      </c>
    </row>
    <row r="493">
      <c r="A493" s="1" t="n"/>
      <c r="B493" s="28" t="n"/>
      <c r="C493" s="29" t="n"/>
      <c r="D493" s="30" t="n"/>
      <c r="E493" s="31" t="n"/>
      <c r="F493" s="32" t="n"/>
      <c r="G493" s="32" t="n"/>
      <c r="H493" s="33" t="n"/>
      <c r="I493" s="34">
        <f>IF(B493="","",IF(D493&lt;&gt;"",D493,IF(AND(ISNUMBER(B493),ISNUMBER(C493)),IF(OR(WEEKDAY(B493,2)&gt;5,C493&lt;1,C493&gt;10),"",IF(INDEX(Timetable!$E$6:$I$15,C493,WEEKDAY(B493,2))="","",INDEX(Timetable!$E$6:$I$15,C493,WEEKDAY(B493,2)))),"")))</f>
        <v/>
      </c>
      <c r="J493" s="1" t="n"/>
      <c r="K493">
        <f>IF(AND(ISNUMBER(B493),ISNUMBER(C493)),B493*100+C493,"")</f>
        <v/>
      </c>
      <c r="L493">
        <f>IF(OR(G493="",NOT(ISNUMBER(B493))),"",IF(AND(B493&gt;=Settings!$C$6,B493&lt;=Settings!$C$6+6),B493*1000+ROW(),""))</f>
        <v/>
      </c>
    </row>
    <row r="494">
      <c r="A494" s="1" t="n"/>
      <c r="B494" s="28" t="n"/>
      <c r="C494" s="29" t="n"/>
      <c r="D494" s="30" t="n"/>
      <c r="E494" s="31" t="n"/>
      <c r="F494" s="32" t="n"/>
      <c r="G494" s="32" t="n"/>
      <c r="H494" s="33" t="n"/>
      <c r="I494" s="34">
        <f>IF(B494="","",IF(D494&lt;&gt;"",D494,IF(AND(ISNUMBER(B494),ISNUMBER(C494)),IF(OR(WEEKDAY(B494,2)&gt;5,C494&lt;1,C494&gt;10),"",IF(INDEX(Timetable!$E$6:$I$15,C494,WEEKDAY(B494,2))="","",INDEX(Timetable!$E$6:$I$15,C494,WEEKDAY(B494,2)))),"")))</f>
        <v/>
      </c>
      <c r="J494" s="1" t="n"/>
      <c r="K494">
        <f>IF(AND(ISNUMBER(B494),ISNUMBER(C494)),B494*100+C494,"")</f>
        <v/>
      </c>
      <c r="L494">
        <f>IF(OR(G494="",NOT(ISNUMBER(B494))),"",IF(AND(B494&gt;=Settings!$C$6,B494&lt;=Settings!$C$6+6),B494*1000+ROW(),""))</f>
        <v/>
      </c>
    </row>
    <row r="495">
      <c r="A495" s="1" t="n"/>
      <c r="B495" s="28" t="n"/>
      <c r="C495" s="29" t="n"/>
      <c r="D495" s="30" t="n"/>
      <c r="E495" s="31" t="n"/>
      <c r="F495" s="32" t="n"/>
      <c r="G495" s="32" t="n"/>
      <c r="H495" s="33" t="n"/>
      <c r="I495" s="34">
        <f>IF(B495="","",IF(D495&lt;&gt;"",D495,IF(AND(ISNUMBER(B495),ISNUMBER(C495)),IF(OR(WEEKDAY(B495,2)&gt;5,C495&lt;1,C495&gt;10),"",IF(INDEX(Timetable!$E$6:$I$15,C495,WEEKDAY(B495,2))="","",INDEX(Timetable!$E$6:$I$15,C495,WEEKDAY(B495,2)))),"")))</f>
        <v/>
      </c>
      <c r="J495" s="1" t="n"/>
      <c r="K495">
        <f>IF(AND(ISNUMBER(B495),ISNUMBER(C495)),B495*100+C495,"")</f>
        <v/>
      </c>
      <c r="L495">
        <f>IF(OR(G495="",NOT(ISNUMBER(B495))),"",IF(AND(B495&gt;=Settings!$C$6,B495&lt;=Settings!$C$6+6),B495*1000+ROW(),""))</f>
        <v/>
      </c>
    </row>
    <row r="496">
      <c r="A496" s="1" t="n"/>
      <c r="B496" s="28" t="n"/>
      <c r="C496" s="29" t="n"/>
      <c r="D496" s="30" t="n"/>
      <c r="E496" s="31" t="n"/>
      <c r="F496" s="32" t="n"/>
      <c r="G496" s="32" t="n"/>
      <c r="H496" s="33" t="n"/>
      <c r="I496" s="34">
        <f>IF(B496="","",IF(D496&lt;&gt;"",D496,IF(AND(ISNUMBER(B496),ISNUMBER(C496)),IF(OR(WEEKDAY(B496,2)&gt;5,C496&lt;1,C496&gt;10),"",IF(INDEX(Timetable!$E$6:$I$15,C496,WEEKDAY(B496,2))="","",INDEX(Timetable!$E$6:$I$15,C496,WEEKDAY(B496,2)))),"")))</f>
        <v/>
      </c>
      <c r="J496" s="1" t="n"/>
      <c r="K496">
        <f>IF(AND(ISNUMBER(B496),ISNUMBER(C496)),B496*100+C496,"")</f>
        <v/>
      </c>
      <c r="L496">
        <f>IF(OR(G496="",NOT(ISNUMBER(B496))),"",IF(AND(B496&gt;=Settings!$C$6,B496&lt;=Settings!$C$6+6),B496*1000+ROW(),""))</f>
        <v/>
      </c>
    </row>
    <row r="497">
      <c r="A497" s="1" t="n"/>
      <c r="B497" s="28" t="n"/>
      <c r="C497" s="29" t="n"/>
      <c r="D497" s="30" t="n"/>
      <c r="E497" s="31" t="n"/>
      <c r="F497" s="32" t="n"/>
      <c r="G497" s="32" t="n"/>
      <c r="H497" s="33" t="n"/>
      <c r="I497" s="34">
        <f>IF(B497="","",IF(D497&lt;&gt;"",D497,IF(AND(ISNUMBER(B497),ISNUMBER(C497)),IF(OR(WEEKDAY(B497,2)&gt;5,C497&lt;1,C497&gt;10),"",IF(INDEX(Timetable!$E$6:$I$15,C497,WEEKDAY(B497,2))="","",INDEX(Timetable!$E$6:$I$15,C497,WEEKDAY(B497,2)))),"")))</f>
        <v/>
      </c>
      <c r="J497" s="1" t="n"/>
      <c r="K497">
        <f>IF(AND(ISNUMBER(B497),ISNUMBER(C497)),B497*100+C497,"")</f>
        <v/>
      </c>
      <c r="L497">
        <f>IF(OR(G497="",NOT(ISNUMBER(B497))),"",IF(AND(B497&gt;=Settings!$C$6,B497&lt;=Settings!$C$6+6),B497*1000+ROW(),""))</f>
        <v/>
      </c>
    </row>
    <row r="498">
      <c r="A498" s="1" t="n"/>
      <c r="B498" s="28" t="n"/>
      <c r="C498" s="29" t="n"/>
      <c r="D498" s="30" t="n"/>
      <c r="E498" s="31" t="n"/>
      <c r="F498" s="32" t="n"/>
      <c r="G498" s="32" t="n"/>
      <c r="H498" s="33" t="n"/>
      <c r="I498" s="34">
        <f>IF(B498="","",IF(D498&lt;&gt;"",D498,IF(AND(ISNUMBER(B498),ISNUMBER(C498)),IF(OR(WEEKDAY(B498,2)&gt;5,C498&lt;1,C498&gt;10),"",IF(INDEX(Timetable!$E$6:$I$15,C498,WEEKDAY(B498,2))="","",INDEX(Timetable!$E$6:$I$15,C498,WEEKDAY(B498,2)))),"")))</f>
        <v/>
      </c>
      <c r="J498" s="1" t="n"/>
      <c r="K498">
        <f>IF(AND(ISNUMBER(B498),ISNUMBER(C498)),B498*100+C498,"")</f>
        <v/>
      </c>
      <c r="L498">
        <f>IF(OR(G498="",NOT(ISNUMBER(B498))),"",IF(AND(B498&gt;=Settings!$C$6,B498&lt;=Settings!$C$6+6),B498*1000+ROW(),""))</f>
        <v/>
      </c>
    </row>
    <row r="499">
      <c r="A499" s="1" t="n"/>
      <c r="B499" s="28" t="n"/>
      <c r="C499" s="29" t="n"/>
      <c r="D499" s="30" t="n"/>
      <c r="E499" s="31" t="n"/>
      <c r="F499" s="32" t="n"/>
      <c r="G499" s="32" t="n"/>
      <c r="H499" s="33" t="n"/>
      <c r="I499" s="34">
        <f>IF(B499="","",IF(D499&lt;&gt;"",D499,IF(AND(ISNUMBER(B499),ISNUMBER(C499)),IF(OR(WEEKDAY(B499,2)&gt;5,C499&lt;1,C499&gt;10),"",IF(INDEX(Timetable!$E$6:$I$15,C499,WEEKDAY(B499,2))="","",INDEX(Timetable!$E$6:$I$15,C499,WEEKDAY(B499,2)))),"")))</f>
        <v/>
      </c>
      <c r="J499" s="1" t="n"/>
      <c r="K499">
        <f>IF(AND(ISNUMBER(B499),ISNUMBER(C499)),B499*100+C499,"")</f>
        <v/>
      </c>
      <c r="L499">
        <f>IF(OR(G499="",NOT(ISNUMBER(B499))),"",IF(AND(B499&gt;=Settings!$C$6,B499&lt;=Settings!$C$6+6),B499*1000+ROW(),""))</f>
        <v/>
      </c>
    </row>
    <row r="500">
      <c r="A500" s="1" t="n"/>
      <c r="B500" s="28" t="n"/>
      <c r="C500" s="29" t="n"/>
      <c r="D500" s="30" t="n"/>
      <c r="E500" s="31" t="n"/>
      <c r="F500" s="32" t="n"/>
      <c r="G500" s="32" t="n"/>
      <c r="H500" s="33" t="n"/>
      <c r="I500" s="34">
        <f>IF(B500="","",IF(D500&lt;&gt;"",D500,IF(AND(ISNUMBER(B500),ISNUMBER(C500)),IF(OR(WEEKDAY(B500,2)&gt;5,C500&lt;1,C500&gt;10),"",IF(INDEX(Timetable!$E$6:$I$15,C500,WEEKDAY(B500,2))="","",INDEX(Timetable!$E$6:$I$15,C500,WEEKDAY(B500,2)))),"")))</f>
        <v/>
      </c>
      <c r="J500" s="1" t="n"/>
      <c r="K500">
        <f>IF(AND(ISNUMBER(B500),ISNUMBER(C500)),B500*100+C500,"")</f>
        <v/>
      </c>
      <c r="L500">
        <f>IF(OR(G500="",NOT(ISNUMBER(B500))),"",IF(AND(B500&gt;=Settings!$C$6,B500&lt;=Settings!$C$6+6),B500*1000+ROW(),""))</f>
        <v/>
      </c>
    </row>
    <row r="501">
      <c r="A501" s="1" t="n"/>
      <c r="B501" s="28" t="n"/>
      <c r="C501" s="29" t="n"/>
      <c r="D501" s="30" t="n"/>
      <c r="E501" s="31" t="n"/>
      <c r="F501" s="32" t="n"/>
      <c r="G501" s="32" t="n"/>
      <c r="H501" s="33" t="n"/>
      <c r="I501" s="34">
        <f>IF(B501="","",IF(D501&lt;&gt;"",D501,IF(AND(ISNUMBER(B501),ISNUMBER(C501)),IF(OR(WEEKDAY(B501,2)&gt;5,C501&lt;1,C501&gt;10),"",IF(INDEX(Timetable!$E$6:$I$15,C501,WEEKDAY(B501,2))="","",INDEX(Timetable!$E$6:$I$15,C501,WEEKDAY(B501,2)))),"")))</f>
        <v/>
      </c>
      <c r="J501" s="1" t="n"/>
      <c r="K501">
        <f>IF(AND(ISNUMBER(B501),ISNUMBER(C501)),B501*100+C501,"")</f>
        <v/>
      </c>
      <c r="L501">
        <f>IF(OR(G501="",NOT(ISNUMBER(B501))),"",IF(AND(B501&gt;=Settings!$C$6,B501&lt;=Settings!$C$6+6),B501*1000+ROW(),""))</f>
        <v/>
      </c>
    </row>
    <row r="502">
      <c r="A502" s="1" t="n"/>
      <c r="B502" s="28" t="n"/>
      <c r="C502" s="29" t="n"/>
      <c r="D502" s="30" t="n"/>
      <c r="E502" s="31" t="n"/>
      <c r="F502" s="32" t="n"/>
      <c r="G502" s="32" t="n"/>
      <c r="H502" s="33" t="n"/>
      <c r="I502" s="34">
        <f>IF(B502="","",IF(D502&lt;&gt;"",D502,IF(AND(ISNUMBER(B502),ISNUMBER(C502)),IF(OR(WEEKDAY(B502,2)&gt;5,C502&lt;1,C502&gt;10),"",IF(INDEX(Timetable!$E$6:$I$15,C502,WEEKDAY(B502,2))="","",INDEX(Timetable!$E$6:$I$15,C502,WEEKDAY(B502,2)))),"")))</f>
        <v/>
      </c>
      <c r="J502" s="1" t="n"/>
      <c r="K502">
        <f>IF(AND(ISNUMBER(B502),ISNUMBER(C502)),B502*100+C502,"")</f>
        <v/>
      </c>
      <c r="L502">
        <f>IF(OR(G502="",NOT(ISNUMBER(B502))),"",IF(AND(B502&gt;=Settings!$C$6,B502&lt;=Settings!$C$6+6),B502*1000+ROW(),""))</f>
        <v/>
      </c>
    </row>
    <row r="503">
      <c r="A503" s="1" t="n"/>
      <c r="B503" s="28" t="n"/>
      <c r="C503" s="29" t="n"/>
      <c r="D503" s="30" t="n"/>
      <c r="E503" s="31" t="n"/>
      <c r="F503" s="32" t="n"/>
      <c r="G503" s="32" t="n"/>
      <c r="H503" s="33" t="n"/>
      <c r="I503" s="34">
        <f>IF(B503="","",IF(D503&lt;&gt;"",D503,IF(AND(ISNUMBER(B503),ISNUMBER(C503)),IF(OR(WEEKDAY(B503,2)&gt;5,C503&lt;1,C503&gt;10),"",IF(INDEX(Timetable!$E$6:$I$15,C503,WEEKDAY(B503,2))="","",INDEX(Timetable!$E$6:$I$15,C503,WEEKDAY(B503,2)))),"")))</f>
        <v/>
      </c>
      <c r="J503" s="1" t="n"/>
      <c r="K503">
        <f>IF(AND(ISNUMBER(B503),ISNUMBER(C503)),B503*100+C503,"")</f>
        <v/>
      </c>
      <c r="L503">
        <f>IF(OR(G503="",NOT(ISNUMBER(B503))),"",IF(AND(B503&gt;=Settings!$C$6,B503&lt;=Settings!$C$6+6),B503*1000+ROW(),""))</f>
        <v/>
      </c>
    </row>
    <row r="504">
      <c r="A504" s="1" t="n"/>
      <c r="B504" s="28" t="n"/>
      <c r="C504" s="29" t="n"/>
      <c r="D504" s="30" t="n"/>
      <c r="E504" s="31" t="n"/>
      <c r="F504" s="32" t="n"/>
      <c r="G504" s="32" t="n"/>
      <c r="H504" s="33" t="n"/>
      <c r="I504" s="34">
        <f>IF(B504="","",IF(D504&lt;&gt;"",D504,IF(AND(ISNUMBER(B504),ISNUMBER(C504)),IF(OR(WEEKDAY(B504,2)&gt;5,C504&lt;1,C504&gt;10),"",IF(INDEX(Timetable!$E$6:$I$15,C504,WEEKDAY(B504,2))="","",INDEX(Timetable!$E$6:$I$15,C504,WEEKDAY(B504,2)))),"")))</f>
        <v/>
      </c>
      <c r="J504" s="1" t="n"/>
      <c r="K504">
        <f>IF(AND(ISNUMBER(B504),ISNUMBER(C504)),B504*100+C504,"")</f>
        <v/>
      </c>
      <c r="L504">
        <f>IF(OR(G504="",NOT(ISNUMBER(B504))),"",IF(AND(B504&gt;=Settings!$C$6,B504&lt;=Settings!$C$6+6),B504*1000+ROW(),""))</f>
        <v/>
      </c>
    </row>
    <row r="505">
      <c r="A505" s="1" t="n"/>
      <c r="B505" s="28" t="n"/>
      <c r="C505" s="29" t="n"/>
      <c r="D505" s="30" t="n"/>
      <c r="E505" s="31" t="n"/>
      <c r="F505" s="32" t="n"/>
      <c r="G505" s="32" t="n"/>
      <c r="H505" s="33" t="n"/>
      <c r="I505" s="34">
        <f>IF(B505="","",IF(D505&lt;&gt;"",D505,IF(AND(ISNUMBER(B505),ISNUMBER(C505)),IF(OR(WEEKDAY(B505,2)&gt;5,C505&lt;1,C505&gt;10),"",IF(INDEX(Timetable!$E$6:$I$15,C505,WEEKDAY(B505,2))="","",INDEX(Timetable!$E$6:$I$15,C505,WEEKDAY(B505,2)))),"")))</f>
        <v/>
      </c>
      <c r="J505" s="1" t="n"/>
      <c r="K505">
        <f>IF(AND(ISNUMBER(B505),ISNUMBER(C505)),B505*100+C505,"")</f>
        <v/>
      </c>
      <c r="L505">
        <f>IF(OR(G505="",NOT(ISNUMBER(B505))),"",IF(AND(B505&gt;=Settings!$C$6,B505&lt;=Settings!$C$6+6),B505*1000+ROW(),""))</f>
        <v/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</row>
  </sheetData>
  <dataValidations count="1">
    <dataValidation sqref="D6:D505" showDropDown="0" showInputMessage="0" showErrorMessage="1" allowBlank="1" type="list">
      <formula1>=Settings!$C$9:$C$14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Timetable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Your usual week: the class in each period. Leave free periods empty.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10" t="inlineStr">
        <is>
          <t>Period</t>
        </is>
      </c>
      <c r="C5" s="10" t="inlineStr">
        <is>
          <t>Starts</t>
        </is>
      </c>
      <c r="D5" s="10" t="inlineStr">
        <is>
          <t>Ends</t>
        </is>
      </c>
      <c r="E5" s="10" t="inlineStr">
        <is>
          <t>Monday</t>
        </is>
      </c>
      <c r="F5" s="10" t="inlineStr">
        <is>
          <t>Tuesday</t>
        </is>
      </c>
      <c r="G5" s="10" t="inlineStr">
        <is>
          <t>Wednesday</t>
        </is>
      </c>
      <c r="H5" s="10" t="inlineStr">
        <is>
          <t>Thursday</t>
        </is>
      </c>
      <c r="I5" s="10" t="inlineStr">
        <is>
          <t>Friday</t>
        </is>
      </c>
      <c r="J5" s="1" t="n"/>
    </row>
    <row r="6" ht="22" customHeight="1">
      <c r="A6" s="1" t="n"/>
      <c r="B6" s="22" t="n">
        <v>1</v>
      </c>
      <c r="C6" s="35" t="n">
        <v>0.3645833333333333</v>
      </c>
      <c r="D6" s="35" t="n">
        <v>0.4027777777777778</v>
      </c>
      <c r="E6" s="36" t="inlineStr">
        <is>
          <t>7B Science</t>
        </is>
      </c>
      <c r="F6" s="36" t="n"/>
      <c r="G6" s="36" t="inlineStr">
        <is>
          <t>9C Biology</t>
        </is>
      </c>
      <c r="H6" s="36" t="inlineStr">
        <is>
          <t>8A Science</t>
        </is>
      </c>
      <c r="I6" s="36" t="n"/>
      <c r="J6" s="1" t="n"/>
    </row>
    <row r="7" ht="22" customHeight="1">
      <c r="A7" s="1" t="n"/>
      <c r="B7" s="22" t="n">
        <v>2</v>
      </c>
      <c r="C7" s="35" t="n">
        <v>0.4027777777777778</v>
      </c>
      <c r="D7" s="35" t="n">
        <v>0.4409722222222222</v>
      </c>
      <c r="E7" s="36" t="inlineStr">
        <is>
          <t>7B Science</t>
        </is>
      </c>
      <c r="F7" s="36" t="inlineStr">
        <is>
          <t>10D Chemistry</t>
        </is>
      </c>
      <c r="G7" s="36" t="n"/>
      <c r="H7" s="36" t="inlineStr">
        <is>
          <t>8A Science</t>
        </is>
      </c>
      <c r="I7" s="36" t="inlineStr">
        <is>
          <t>9C Biology</t>
        </is>
      </c>
      <c r="J7" s="1" t="n"/>
    </row>
    <row r="8" ht="22" customHeight="1">
      <c r="A8" s="1" t="n"/>
      <c r="B8" s="22" t="n">
        <v>3</v>
      </c>
      <c r="C8" s="35" t="n">
        <v>0.4513888888888889</v>
      </c>
      <c r="D8" s="35" t="n">
        <v>0.4895833333333333</v>
      </c>
      <c r="E8" s="36" t="n"/>
      <c r="F8" s="36" t="inlineStr">
        <is>
          <t>8A Science</t>
        </is>
      </c>
      <c r="G8" s="36" t="inlineStr">
        <is>
          <t>7B Science</t>
        </is>
      </c>
      <c r="H8" s="36" t="n"/>
      <c r="I8" s="36" t="inlineStr">
        <is>
          <t>10D Chemistry</t>
        </is>
      </c>
      <c r="J8" s="1" t="n"/>
    </row>
    <row r="9" ht="22" customHeight="1">
      <c r="A9" s="1" t="n"/>
      <c r="B9" s="22" t="n">
        <v>4</v>
      </c>
      <c r="C9" s="35" t="n">
        <v>0.4895833333333333</v>
      </c>
      <c r="D9" s="35" t="n">
        <v>0.5277777777777778</v>
      </c>
      <c r="E9" s="36" t="inlineStr">
        <is>
          <t>9C Biology</t>
        </is>
      </c>
      <c r="F9" s="36" t="inlineStr">
        <is>
          <t>8A Science</t>
        </is>
      </c>
      <c r="G9" s="36" t="inlineStr">
        <is>
          <t>7B Science</t>
        </is>
      </c>
      <c r="H9" s="36" t="inlineStr">
        <is>
          <t>10D Chemistry</t>
        </is>
      </c>
      <c r="I9" s="36" t="n"/>
      <c r="J9" s="1" t="n"/>
    </row>
    <row r="10" ht="22" customHeight="1">
      <c r="A10" s="1" t="n"/>
      <c r="B10" s="22" t="n">
        <v>5</v>
      </c>
      <c r="C10" s="35" t="n">
        <v>0.5625</v>
      </c>
      <c r="D10" s="35" t="n">
        <v>0.6006944444444444</v>
      </c>
      <c r="E10" s="36" t="inlineStr">
        <is>
          <t>10D Chemistry</t>
        </is>
      </c>
      <c r="F10" s="36" t="n"/>
      <c r="G10" s="36" t="inlineStr">
        <is>
          <t>9C Biology</t>
        </is>
      </c>
      <c r="H10" s="36" t="inlineStr">
        <is>
          <t>7B Science</t>
        </is>
      </c>
      <c r="I10" s="36" t="inlineStr">
        <is>
          <t>8A Science</t>
        </is>
      </c>
      <c r="J10" s="1" t="n"/>
    </row>
    <row r="11" ht="22" customHeight="1">
      <c r="A11" s="1" t="n"/>
      <c r="B11" s="22" t="n">
        <v>6</v>
      </c>
      <c r="C11" s="35" t="n">
        <v>0.6006944444444444</v>
      </c>
      <c r="D11" s="35" t="n">
        <v>0.6388888888888888</v>
      </c>
      <c r="E11" s="36" t="n"/>
      <c r="F11" s="36" t="inlineStr">
        <is>
          <t>9C Biology</t>
        </is>
      </c>
      <c r="G11" s="36" t="inlineStr">
        <is>
          <t>10D Chemistry</t>
        </is>
      </c>
      <c r="H11" s="36" t="n"/>
      <c r="I11" s="36" t="inlineStr">
        <is>
          <t>7B Science</t>
        </is>
      </c>
      <c r="J11" s="1" t="n"/>
    </row>
    <row r="12" ht="22" customHeight="1">
      <c r="A12" s="1" t="n"/>
      <c r="B12" s="22" t="n">
        <v>7</v>
      </c>
      <c r="C12" s="35" t="n"/>
      <c r="D12" s="35" t="n"/>
      <c r="E12" s="36" t="n"/>
      <c r="F12" s="36" t="n"/>
      <c r="G12" s="36" t="n"/>
      <c r="H12" s="36" t="n"/>
      <c r="I12" s="36" t="n"/>
      <c r="J12" s="1" t="n"/>
    </row>
    <row r="13" ht="22" customHeight="1">
      <c r="A13" s="1" t="n"/>
      <c r="B13" s="22" t="n">
        <v>8</v>
      </c>
      <c r="C13" s="35" t="n"/>
      <c r="D13" s="35" t="n"/>
      <c r="E13" s="36" t="n"/>
      <c r="F13" s="36" t="n"/>
      <c r="G13" s="36" t="n"/>
      <c r="H13" s="36" t="n"/>
      <c r="I13" s="36" t="n"/>
      <c r="J13" s="1" t="n"/>
    </row>
    <row r="14" ht="22" customHeight="1">
      <c r="A14" s="1" t="n"/>
      <c r="B14" s="22" t="n">
        <v>9</v>
      </c>
      <c r="C14" s="35" t="n"/>
      <c r="D14" s="35" t="n"/>
      <c r="E14" s="36" t="n"/>
      <c r="F14" s="36" t="n"/>
      <c r="G14" s="36" t="n"/>
      <c r="H14" s="36" t="n"/>
      <c r="I14" s="36" t="n"/>
      <c r="J14" s="1" t="n"/>
    </row>
    <row r="15" ht="22" customHeight="1">
      <c r="A15" s="1" t="n"/>
      <c r="B15" s="22" t="n">
        <v>10</v>
      </c>
      <c r="C15" s="35" t="n"/>
      <c r="D15" s="35" t="n"/>
      <c r="E15" s="36" t="n"/>
      <c r="F15" s="36" t="n"/>
      <c r="G15" s="36" t="n"/>
      <c r="H15" s="36" t="n"/>
      <c r="I15" s="36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</sheetData>
  <dataValidations count="1">
    <dataValidation sqref="E6:I15" showDropDown="0" showInputMessage="0" showErrorMessage="1" allowBlank="1" type="list">
      <formula1>=Settings!$C$9:$C$14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E54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7" customWidth="1" min="4" max="4"/>
    <col width="8" customWidth="1" min="5" max="5"/>
    <col width="8" customWidth="1" min="6" max="6"/>
    <col width="7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hidden="1" width="13" customWidth="1" min="29" max="29"/>
    <col hidden="1" width="13" customWidth="1" min="30" max="30"/>
    <col hidden="1" width="13" customWidth="1" min="31" max="3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2">
        <f>IF(Settings!$C$9="","Class 1",Settings!$C$9)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>
        <f>Settings!$C$4</f>
        <v/>
      </c>
    </row>
    <row r="3">
      <c r="A3" s="1" t="n"/>
      <c r="B3" s="3" t="inlineStr">
        <is>
          <t>Scores as numbers. M for missing work (counts as 0), Ex for excused (left out), empty for not marked yet.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92" customHeight="1">
      <c r="A5" s="1" t="n"/>
      <c r="B5" s="1" t="n"/>
      <c r="C5" s="1" t="n"/>
      <c r="D5" s="1" t="n"/>
      <c r="E5" s="1" t="n"/>
      <c r="F5" s="1" t="n"/>
      <c r="G5" s="37" t="inlineStr">
        <is>
          <t>Assessment</t>
        </is>
      </c>
      <c r="H5" s="38" t="inlineStr">
        <is>
          <t>Lab safety quiz</t>
        </is>
      </c>
      <c r="I5" s="38" t="inlineStr">
        <is>
          <t>Cells homework</t>
        </is>
      </c>
      <c r="J5" s="38" t="inlineStr">
        <is>
          <t>Microscope practical</t>
        </is>
      </c>
      <c r="K5" s="38" t="inlineStr">
        <is>
          <t>Unit 1 test</t>
        </is>
      </c>
      <c r="L5" s="38" t="inlineStr">
        <is>
          <t>Cell model</t>
        </is>
      </c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1" t="n"/>
    </row>
    <row r="6">
      <c r="A6" s="1" t="n"/>
      <c r="B6" s="1" t="n"/>
      <c r="C6" s="1" t="n"/>
      <c r="D6" s="1" t="n"/>
      <c r="E6" s="1" t="n"/>
      <c r="F6" s="1" t="n"/>
      <c r="G6" s="39" t="inlineStr">
        <is>
          <t>Date</t>
        </is>
      </c>
      <c r="H6" s="40" t="n">
        <v>46269</v>
      </c>
      <c r="I6" s="40" t="n">
        <v>46276</v>
      </c>
      <c r="J6" s="40" t="n">
        <v>46281</v>
      </c>
      <c r="K6" s="40" t="n">
        <v>46288</v>
      </c>
      <c r="L6" s="40" t="n">
        <v>46292</v>
      </c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1" t="n"/>
    </row>
    <row r="7">
      <c r="A7" s="1" t="n"/>
      <c r="B7" s="1" t="n"/>
      <c r="C7" s="1" t="n"/>
      <c r="D7" s="1" t="n"/>
      <c r="E7" s="1" t="n"/>
      <c r="F7" s="1" t="n"/>
      <c r="G7" s="39" t="inlineStr">
        <is>
          <t>Out of</t>
        </is>
      </c>
      <c r="H7" s="29" t="n">
        <v>10</v>
      </c>
      <c r="I7" s="29" t="n">
        <v>20</v>
      </c>
      <c r="J7" s="29" t="n">
        <v>25</v>
      </c>
      <c r="K7" s="29" t="n">
        <v>50</v>
      </c>
      <c r="L7" s="29" t="n">
        <v>20</v>
      </c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1" t="n"/>
    </row>
    <row r="8">
      <c r="A8" s="1" t="n"/>
      <c r="B8" s="1" t="n"/>
      <c r="C8" s="1" t="n"/>
      <c r="D8" s="1" t="n"/>
      <c r="E8" s="1" t="n"/>
      <c r="F8" s="1" t="n"/>
      <c r="G8" s="39" t="inlineStr">
        <is>
          <t>Weight</t>
        </is>
      </c>
      <c r="H8" s="41" t="n">
        <v>1</v>
      </c>
      <c r="I8" s="41" t="n">
        <v>1</v>
      </c>
      <c r="J8" s="41" t="n">
        <v>1</v>
      </c>
      <c r="K8" s="41" t="n">
        <v>2</v>
      </c>
      <c r="L8" s="41" t="n">
        <v>1</v>
      </c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1" t="n"/>
    </row>
    <row r="9">
      <c r="A9" s="1" t="n"/>
      <c r="B9" s="1" t="n"/>
      <c r="C9" s="42">
        <f>IF(COUNT(C11:C50)=0,"",AVERAGE(C11:C50))</f>
        <v/>
      </c>
      <c r="D9" s="1" t="n"/>
      <c r="E9" s="1" t="n"/>
      <c r="F9" s="1" t="n"/>
      <c r="G9" s="39" t="inlineStr">
        <is>
          <t>Class average</t>
        </is>
      </c>
      <c r="H9" s="43">
        <f>IF(OR(N(H7)&lt;=0,COUNT(H11:H50)=0),"",AVERAGE(H11:H50)/H7)</f>
        <v/>
      </c>
      <c r="I9" s="43">
        <f>IF(OR(N(I7)&lt;=0,COUNT(I11:I50)=0),"",AVERAGE(I11:I50)/I7)</f>
        <v/>
      </c>
      <c r="J9" s="43">
        <f>IF(OR(N(J7)&lt;=0,COUNT(J11:J50)=0),"",AVERAGE(J11:J50)/J7)</f>
        <v/>
      </c>
      <c r="K9" s="43">
        <f>IF(OR(N(K7)&lt;=0,COUNT(K11:K50)=0),"",AVERAGE(K11:K50)/K7)</f>
        <v/>
      </c>
      <c r="L9" s="43">
        <f>IF(OR(N(L7)&lt;=0,COUNT(L11:L50)=0),"",AVERAGE(L11:L50)/L7)</f>
        <v/>
      </c>
      <c r="M9" s="43">
        <f>IF(OR(N(M7)&lt;=0,COUNT(M11:M50)=0),"",AVERAGE(M11:M50)/M7)</f>
        <v/>
      </c>
      <c r="N9" s="43">
        <f>IF(OR(N(N7)&lt;=0,COUNT(N11:N50)=0),"",AVERAGE(N11:N50)/N7)</f>
        <v/>
      </c>
      <c r="O9" s="43">
        <f>IF(OR(N(O7)&lt;=0,COUNT(O11:O50)=0),"",AVERAGE(O11:O50)/O7)</f>
        <v/>
      </c>
      <c r="P9" s="43">
        <f>IF(OR(N(P7)&lt;=0,COUNT(P11:P50)=0),"",AVERAGE(P11:P50)/P7)</f>
        <v/>
      </c>
      <c r="Q9" s="43">
        <f>IF(OR(N(Q7)&lt;=0,COUNT(Q11:Q50)=0),"",AVERAGE(Q11:Q50)/Q7)</f>
        <v/>
      </c>
      <c r="R9" s="43">
        <f>IF(OR(N(R7)&lt;=0,COUNT(R11:R50)=0),"",AVERAGE(R11:R50)/R7)</f>
        <v/>
      </c>
      <c r="S9" s="43">
        <f>IF(OR(N(S7)&lt;=0,COUNT(S11:S50)=0),"",AVERAGE(S11:S50)/S7)</f>
        <v/>
      </c>
      <c r="T9" s="43">
        <f>IF(OR(N(T7)&lt;=0,COUNT(T11:T50)=0),"",AVERAGE(T11:T50)/T7)</f>
        <v/>
      </c>
      <c r="U9" s="43">
        <f>IF(OR(N(U7)&lt;=0,COUNT(U11:U50)=0),"",AVERAGE(U11:U50)/U7)</f>
        <v/>
      </c>
      <c r="V9" s="43">
        <f>IF(OR(N(V7)&lt;=0,COUNT(V11:V50)=0),"",AVERAGE(V11:V50)/V7)</f>
        <v/>
      </c>
      <c r="W9" s="43">
        <f>IF(OR(N(W7)&lt;=0,COUNT(W11:W50)=0),"",AVERAGE(W11:W50)/W7)</f>
        <v/>
      </c>
      <c r="X9" s="43">
        <f>IF(OR(N(X7)&lt;=0,COUNT(X11:X50)=0),"",AVERAGE(X11:X50)/X7)</f>
        <v/>
      </c>
      <c r="Y9" s="43">
        <f>IF(OR(N(Y7)&lt;=0,COUNT(Y11:Y50)=0),"",AVERAGE(Y11:Y50)/Y7)</f>
        <v/>
      </c>
      <c r="Z9" s="43">
        <f>IF(OR(N(Z7)&lt;=0,COUNT(Z11:Z50)=0),"",AVERAGE(Z11:Z50)/Z7)</f>
        <v/>
      </c>
      <c r="AA9" s="43">
        <f>IF(OR(N(AA7)&lt;=0,COUNT(AA11:AA50)=0),"",AVERAGE(AA11:AA50)/AA7)</f>
        <v/>
      </c>
      <c r="AB9" s="1" t="n"/>
    </row>
    <row r="10" ht="30" customHeight="1">
      <c r="A10" s="1" t="n"/>
      <c r="B10" s="10" t="inlineStr">
        <is>
          <t>Student</t>
        </is>
      </c>
      <c r="C10" s="10" t="inlineStr">
        <is>
          <t>Average</t>
        </is>
      </c>
      <c r="D10" s="10" t="inlineStr">
        <is>
          <t>Grade</t>
        </is>
      </c>
      <c r="E10" s="10" t="inlineStr">
        <is>
          <t>Missing</t>
        </is>
      </c>
      <c r="F10" s="10" t="inlineStr">
        <is>
          <t>Absent</t>
        </is>
      </c>
      <c r="G10" s="10" t="inlineStr">
        <is>
          <t>Late</t>
        </is>
      </c>
      <c r="H10" s="10" t="n">
        <v>1</v>
      </c>
      <c r="I10" s="10" t="n">
        <v>2</v>
      </c>
      <c r="J10" s="10" t="n">
        <v>3</v>
      </c>
      <c r="K10" s="10" t="n">
        <v>4</v>
      </c>
      <c r="L10" s="10" t="n">
        <v>5</v>
      </c>
      <c r="M10" s="10" t="n">
        <v>6</v>
      </c>
      <c r="N10" s="10" t="n">
        <v>7</v>
      </c>
      <c r="O10" s="10" t="n">
        <v>8</v>
      </c>
      <c r="P10" s="10" t="n">
        <v>9</v>
      </c>
      <c r="Q10" s="10" t="n">
        <v>10</v>
      </c>
      <c r="R10" s="10" t="n">
        <v>11</v>
      </c>
      <c r="S10" s="10" t="n">
        <v>12</v>
      </c>
      <c r="T10" s="10" t="n">
        <v>13</v>
      </c>
      <c r="U10" s="10" t="n">
        <v>14</v>
      </c>
      <c r="V10" s="10" t="n">
        <v>15</v>
      </c>
      <c r="W10" s="10" t="n">
        <v>16</v>
      </c>
      <c r="X10" s="10" t="n">
        <v>17</v>
      </c>
      <c r="Y10" s="10" t="n">
        <v>18</v>
      </c>
      <c r="Z10" s="10" t="n">
        <v>19</v>
      </c>
      <c r="AA10" s="10" t="n">
        <v>20</v>
      </c>
      <c r="AB10" s="1" t="n"/>
    </row>
    <row r="11">
      <c r="A11" s="1" t="n"/>
      <c r="B11" s="31" t="inlineStr">
        <is>
          <t>Talia K.</t>
        </is>
      </c>
      <c r="C11" s="44">
        <f>IF(B11="","",IF((SUMPRODUCT(--ISNUMBER(H11:AA11),$H$52:$AA$52)+SUMPRODUCT(--(H11:AA11="M"),$H$52:$AA$52))=0,"",ROUND(SUMPRODUCT(H11:AA11,$H$53:$AA$53)/(SUMPRODUCT(--ISNUMBER(H11:AA11),$H$52:$AA$52)+SUMPRODUCT(--(H11:AA11="M"),$H$52:$AA$52))*100,1)/100))</f>
        <v/>
      </c>
      <c r="D11" s="34">
        <f>IF(C11="","",IFERROR(INDEX(Settings!$C$17:$C$26,MATCH(AC11,Settings!$B$17:$B$26,0)),""))</f>
        <v/>
      </c>
      <c r="E11" s="16">
        <f>IF(B11="","",COUNTIF(H11:AA11,"M"))</f>
        <v/>
      </c>
      <c r="F11" s="16">
        <f>IF(B11="","",COUNTIFS(Absences!$C$6:$C$405,Settings!$C$9,Absences!$D$6:$D$405,B11,Absences!$E$6:$E$405,"Absent"))</f>
        <v/>
      </c>
      <c r="G11" s="16">
        <f>IF(B11="","",COUNTIFS(Absences!$C$6:$C$405,Settings!$C$9,Absences!$D$6:$D$405,B11,Absences!$E$6:$E$405,"Late"))</f>
        <v/>
      </c>
      <c r="H11" s="33" t="n">
        <v>10</v>
      </c>
      <c r="I11" s="33" t="n">
        <v>20</v>
      </c>
      <c r="J11" s="33" t="n">
        <v>24</v>
      </c>
      <c r="K11" s="33" t="n">
        <v>48</v>
      </c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1" t="n"/>
      <c r="AC11">
        <f>IF(C11="","",SUMPRODUCT(MAX(ISNUMBER(Settings!$B$17:$B$26)*(Settings!$B$17:$B$26&lt;=ROUND(C11*100,1))*Settings!$B$17:$B$26)))</f>
        <v/>
      </c>
      <c r="AD11">
        <f>IF(C11="","",ROUND(C11*1000,0)*1000+101)</f>
        <v/>
      </c>
      <c r="AE11">
        <f>IF(C11="",0,IF(ROUND(C11*100,1)&lt;N($AC$2),1,0))</f>
        <v/>
      </c>
    </row>
    <row r="12">
      <c r="A12" s="1" t="n"/>
      <c r="B12" s="31" t="inlineStr">
        <is>
          <t>Noah M.</t>
        </is>
      </c>
      <c r="C12" s="44">
        <f>IF(B12="","",IF((SUMPRODUCT(--ISNUMBER(H12:AA12),$H$52:$AA$52)+SUMPRODUCT(--(H12:AA12="M"),$H$52:$AA$52))=0,"",ROUND(SUMPRODUCT(H12:AA12,$H$53:$AA$53)/(SUMPRODUCT(--ISNUMBER(H12:AA12),$H$52:$AA$52)+SUMPRODUCT(--(H12:AA12="M"),$H$52:$AA$52))*100,1)/100))</f>
        <v/>
      </c>
      <c r="D12" s="34">
        <f>IF(C12="","",IFERROR(INDEX(Settings!$C$17:$C$26,MATCH(AC12,Settings!$B$17:$B$26,0)),""))</f>
        <v/>
      </c>
      <c r="E12" s="16">
        <f>IF(B12="","",COUNTIF(H12:AA12,"M"))</f>
        <v/>
      </c>
      <c r="F12" s="16">
        <f>IF(B12="","",COUNTIFS(Absences!$C$6:$C$405,Settings!$C$9,Absences!$D$6:$D$405,B12,Absences!$E$6:$E$405,"Absent"))</f>
        <v/>
      </c>
      <c r="G12" s="16">
        <f>IF(B12="","",COUNTIFS(Absences!$C$6:$C$405,Settings!$C$9,Absences!$D$6:$D$405,B12,Absences!$E$6:$E$405,"Late"))</f>
        <v/>
      </c>
      <c r="H12" s="33" t="n">
        <v>7</v>
      </c>
      <c r="I12" s="33" t="n">
        <v>14</v>
      </c>
      <c r="J12" s="33" t="n">
        <v>18</v>
      </c>
      <c r="K12" s="33" t="n">
        <v>38</v>
      </c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1" t="n"/>
      <c r="AC12">
        <f>IF(C12="","",SUMPRODUCT(MAX(ISNUMBER(Settings!$B$17:$B$26)*(Settings!$B$17:$B$26&lt;=ROUND(C12*100,1))*Settings!$B$17:$B$26)))</f>
        <v/>
      </c>
      <c r="AD12">
        <f>IF(C12="","",ROUND(C12*1000,0)*1000+102)</f>
        <v/>
      </c>
      <c r="AE12">
        <f>IF(C12="",0,IF(ROUND(C12*100,1)&lt;N($AC$2),1,0))</f>
        <v/>
      </c>
    </row>
    <row r="13">
      <c r="A13" s="1" t="n"/>
      <c r="B13" s="31" t="inlineStr">
        <is>
          <t>Farah O.</t>
        </is>
      </c>
      <c r="C13" s="44">
        <f>IF(B13="","",IF((SUMPRODUCT(--ISNUMBER(H13:AA13),$H$52:$AA$52)+SUMPRODUCT(--(H13:AA13="M"),$H$52:$AA$52))=0,"",ROUND(SUMPRODUCT(H13:AA13,$H$53:$AA$53)/(SUMPRODUCT(--ISNUMBER(H13:AA13),$H$52:$AA$52)+SUMPRODUCT(--(H13:AA13="M"),$H$52:$AA$52))*100,1)/100))</f>
        <v/>
      </c>
      <c r="D13" s="34">
        <f>IF(C13="","",IFERROR(INDEX(Settings!$C$17:$C$26,MATCH(AC13,Settings!$B$17:$B$26,0)),""))</f>
        <v/>
      </c>
      <c r="E13" s="16">
        <f>IF(B13="","",COUNTIF(H13:AA13,"M"))</f>
        <v/>
      </c>
      <c r="F13" s="16">
        <f>IF(B13="","",COUNTIFS(Absences!$C$6:$C$405,Settings!$C$9,Absences!$D$6:$D$405,B13,Absences!$E$6:$E$405,"Absent"))</f>
        <v/>
      </c>
      <c r="G13" s="16">
        <f>IF(B13="","",COUNTIFS(Absences!$C$6:$C$405,Settings!$C$9,Absences!$D$6:$D$405,B13,Absences!$E$6:$E$405,"Late"))</f>
        <v/>
      </c>
      <c r="H13" s="33" t="n">
        <v>7</v>
      </c>
      <c r="I13" s="33" t="n">
        <v>9</v>
      </c>
      <c r="J13" s="33" t="n">
        <v>13</v>
      </c>
      <c r="K13" s="33" t="n">
        <v>31</v>
      </c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1" t="n"/>
      <c r="AC13">
        <f>IF(C13="","",SUMPRODUCT(MAX(ISNUMBER(Settings!$B$17:$B$26)*(Settings!$B$17:$B$26&lt;=ROUND(C13*100,1))*Settings!$B$17:$B$26)))</f>
        <v/>
      </c>
      <c r="AD13">
        <f>IF(C13="","",ROUND(C13*1000,0)*1000+103)</f>
        <v/>
      </c>
      <c r="AE13">
        <f>IF(C13="",0,IF(ROUND(C13*100,1)&lt;N($AC$2),1,0))</f>
        <v/>
      </c>
    </row>
    <row r="14">
      <c r="A14" s="1" t="n"/>
      <c r="B14" s="31" t="inlineStr">
        <is>
          <t>Olive W.</t>
        </is>
      </c>
      <c r="C14" s="44">
        <f>IF(B14="","",IF((SUMPRODUCT(--ISNUMBER(H14:AA14),$H$52:$AA$52)+SUMPRODUCT(--(H14:AA14="M"),$H$52:$AA$52))=0,"",ROUND(SUMPRODUCT(H14:AA14,$H$53:$AA$53)/(SUMPRODUCT(--ISNUMBER(H14:AA14),$H$52:$AA$52)+SUMPRODUCT(--(H14:AA14="M"),$H$52:$AA$52))*100,1)/100))</f>
        <v/>
      </c>
      <c r="D14" s="34">
        <f>IF(C14="","",IFERROR(INDEX(Settings!$C$17:$C$26,MATCH(AC14,Settings!$B$17:$B$26,0)),""))</f>
        <v/>
      </c>
      <c r="E14" s="16">
        <f>IF(B14="","",COUNTIF(H14:AA14,"M"))</f>
        <v/>
      </c>
      <c r="F14" s="16">
        <f>IF(B14="","",COUNTIFS(Absences!$C$6:$C$405,Settings!$C$9,Absences!$D$6:$D$405,B14,Absences!$E$6:$E$405,"Absent"))</f>
        <v/>
      </c>
      <c r="G14" s="16">
        <f>IF(B14="","",COUNTIFS(Absences!$C$6:$C$405,Settings!$C$9,Absences!$D$6:$D$405,B14,Absences!$E$6:$E$405,"Late"))</f>
        <v/>
      </c>
      <c r="H14" s="33" t="n">
        <v>9</v>
      </c>
      <c r="I14" s="33" t="n">
        <v>19</v>
      </c>
      <c r="J14" s="33" t="n">
        <v>25</v>
      </c>
      <c r="K14" s="33" t="n">
        <v>44</v>
      </c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1" t="n"/>
      <c r="AC14">
        <f>IF(C14="","",SUMPRODUCT(MAX(ISNUMBER(Settings!$B$17:$B$26)*(Settings!$B$17:$B$26&lt;=ROUND(C14*100,1))*Settings!$B$17:$B$26)))</f>
        <v/>
      </c>
      <c r="AD14">
        <f>IF(C14="","",ROUND(C14*1000,0)*1000+104)</f>
        <v/>
      </c>
      <c r="AE14">
        <f>IF(C14="",0,IF(ROUND(C14*100,1)&lt;N($AC$2),1,0))</f>
        <v/>
      </c>
    </row>
    <row r="15">
      <c r="A15" s="1" t="n"/>
      <c r="B15" s="31" t="inlineStr">
        <is>
          <t>Seth W.</t>
        </is>
      </c>
      <c r="C15" s="44">
        <f>IF(B15="","",IF((SUMPRODUCT(--ISNUMBER(H15:AA15),$H$52:$AA$52)+SUMPRODUCT(--(H15:AA15="M"),$H$52:$AA$52))=0,"",ROUND(SUMPRODUCT(H15:AA15,$H$53:$AA$53)/(SUMPRODUCT(--ISNUMBER(H15:AA15),$H$52:$AA$52)+SUMPRODUCT(--(H15:AA15="M"),$H$52:$AA$52))*100,1)/100))</f>
        <v/>
      </c>
      <c r="D15" s="34">
        <f>IF(C15="","",IFERROR(INDEX(Settings!$C$17:$C$26,MATCH(AC15,Settings!$B$17:$B$26,0)),""))</f>
        <v/>
      </c>
      <c r="E15" s="16">
        <f>IF(B15="","",COUNTIF(H15:AA15,"M"))</f>
        <v/>
      </c>
      <c r="F15" s="16">
        <f>IF(B15="","",COUNTIFS(Absences!$C$6:$C$405,Settings!$C$9,Absences!$D$6:$D$405,B15,Absences!$E$6:$E$405,"Absent"))</f>
        <v/>
      </c>
      <c r="G15" s="16">
        <f>IF(B15="","",COUNTIFS(Absences!$C$6:$C$405,Settings!$C$9,Absences!$D$6:$D$405,B15,Absences!$E$6:$E$405,"Late"))</f>
        <v/>
      </c>
      <c r="H15" s="33" t="n">
        <v>7</v>
      </c>
      <c r="I15" s="33" t="n">
        <v>14</v>
      </c>
      <c r="J15" s="33" t="n">
        <v>18</v>
      </c>
      <c r="K15" s="33" t="n">
        <v>30</v>
      </c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1" t="n"/>
      <c r="AC15">
        <f>IF(C15="","",SUMPRODUCT(MAX(ISNUMBER(Settings!$B$17:$B$26)*(Settings!$B$17:$B$26&lt;=ROUND(C15*100,1))*Settings!$B$17:$B$26)))</f>
        <v/>
      </c>
      <c r="AD15">
        <f>IF(C15="","",ROUND(C15*1000,0)*1000+105)</f>
        <v/>
      </c>
      <c r="AE15">
        <f>IF(C15="",0,IF(ROUND(C15*100,1)&lt;N($AC$2),1,0))</f>
        <v/>
      </c>
    </row>
    <row r="16">
      <c r="A16" s="1" t="n"/>
      <c r="B16" s="31" t="inlineStr">
        <is>
          <t>Pavel M.</t>
        </is>
      </c>
      <c r="C16" s="44">
        <f>IF(B16="","",IF((SUMPRODUCT(--ISNUMBER(H16:AA16),$H$52:$AA$52)+SUMPRODUCT(--(H16:AA16="M"),$H$52:$AA$52))=0,"",ROUND(SUMPRODUCT(H16:AA16,$H$53:$AA$53)/(SUMPRODUCT(--ISNUMBER(H16:AA16),$H$52:$AA$52)+SUMPRODUCT(--(H16:AA16="M"),$H$52:$AA$52))*100,1)/100))</f>
        <v/>
      </c>
      <c r="D16" s="34">
        <f>IF(C16="","",IFERROR(INDEX(Settings!$C$17:$C$26,MATCH(AC16,Settings!$B$17:$B$26,0)),""))</f>
        <v/>
      </c>
      <c r="E16" s="16">
        <f>IF(B16="","",COUNTIF(H16:AA16,"M"))</f>
        <v/>
      </c>
      <c r="F16" s="16">
        <f>IF(B16="","",COUNTIFS(Absences!$C$6:$C$405,Settings!$C$9,Absences!$D$6:$D$405,B16,Absences!$E$6:$E$405,"Absent"))</f>
        <v/>
      </c>
      <c r="G16" s="16">
        <f>IF(B16="","",COUNTIFS(Absences!$C$6:$C$405,Settings!$C$9,Absences!$D$6:$D$405,B16,Absences!$E$6:$E$405,"Late"))</f>
        <v/>
      </c>
      <c r="H16" s="33" t="n">
        <v>7</v>
      </c>
      <c r="I16" s="33" t="n">
        <v>14</v>
      </c>
      <c r="J16" s="33" t="n">
        <v>17</v>
      </c>
      <c r="K16" s="33" t="n">
        <v>28</v>
      </c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1" t="n"/>
      <c r="AC16">
        <f>IF(C16="","",SUMPRODUCT(MAX(ISNUMBER(Settings!$B$17:$B$26)*(Settings!$B$17:$B$26&lt;=ROUND(C16*100,1))*Settings!$B$17:$B$26)))</f>
        <v/>
      </c>
      <c r="AD16">
        <f>IF(C16="","",ROUND(C16*1000,0)*1000+106)</f>
        <v/>
      </c>
      <c r="AE16">
        <f>IF(C16="",0,IF(ROUND(C16*100,1)&lt;N($AC$2),1,0))</f>
        <v/>
      </c>
    </row>
    <row r="17">
      <c r="A17" s="1" t="n"/>
      <c r="B17" s="31" t="inlineStr">
        <is>
          <t>Holly W.</t>
        </is>
      </c>
      <c r="C17" s="44">
        <f>IF(B17="","",IF((SUMPRODUCT(--ISNUMBER(H17:AA17),$H$52:$AA$52)+SUMPRODUCT(--(H17:AA17="M"),$H$52:$AA$52))=0,"",ROUND(SUMPRODUCT(H17:AA17,$H$53:$AA$53)/(SUMPRODUCT(--ISNUMBER(H17:AA17),$H$52:$AA$52)+SUMPRODUCT(--(H17:AA17="M"),$H$52:$AA$52))*100,1)/100))</f>
        <v/>
      </c>
      <c r="D17" s="34">
        <f>IF(C17="","",IFERROR(INDEX(Settings!$C$17:$C$26,MATCH(AC17,Settings!$B$17:$B$26,0)),""))</f>
        <v/>
      </c>
      <c r="E17" s="16">
        <f>IF(B17="","",COUNTIF(H17:AA17,"M"))</f>
        <v/>
      </c>
      <c r="F17" s="16">
        <f>IF(B17="","",COUNTIFS(Absences!$C$6:$C$405,Settings!$C$9,Absences!$D$6:$D$405,B17,Absences!$E$6:$E$405,"Absent"))</f>
        <v/>
      </c>
      <c r="G17" s="16">
        <f>IF(B17="","",COUNTIFS(Absences!$C$6:$C$405,Settings!$C$9,Absences!$D$6:$D$405,B17,Absences!$E$6:$E$405,"Late"))</f>
        <v/>
      </c>
      <c r="H17" s="33" t="n">
        <v>8</v>
      </c>
      <c r="I17" s="33" t="n">
        <v>14</v>
      </c>
      <c r="J17" s="33" t="n">
        <v>18</v>
      </c>
      <c r="K17" s="33" t="n">
        <v>35</v>
      </c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1" t="n"/>
      <c r="AC17">
        <f>IF(C17="","",SUMPRODUCT(MAX(ISNUMBER(Settings!$B$17:$B$26)*(Settings!$B$17:$B$26&lt;=ROUND(C17*100,1))*Settings!$B$17:$B$26)))</f>
        <v/>
      </c>
      <c r="AD17">
        <f>IF(C17="","",ROUND(C17*1000,0)*1000+107)</f>
        <v/>
      </c>
      <c r="AE17">
        <f>IF(C17="",0,IF(ROUND(C17*100,1)&lt;N($AC$2),1,0))</f>
        <v/>
      </c>
    </row>
    <row r="18">
      <c r="A18" s="1" t="n"/>
      <c r="B18" s="31" t="inlineStr">
        <is>
          <t>Chloe B.</t>
        </is>
      </c>
      <c r="C18" s="44">
        <f>IF(B18="","",IF((SUMPRODUCT(--ISNUMBER(H18:AA18),$H$52:$AA$52)+SUMPRODUCT(--(H18:AA18="M"),$H$52:$AA$52))=0,"",ROUND(SUMPRODUCT(H18:AA18,$H$53:$AA$53)/(SUMPRODUCT(--ISNUMBER(H18:AA18),$H$52:$AA$52)+SUMPRODUCT(--(H18:AA18="M"),$H$52:$AA$52))*100,1)/100))</f>
        <v/>
      </c>
      <c r="D18" s="34">
        <f>IF(C18="","",IFERROR(INDEX(Settings!$C$17:$C$26,MATCH(AC18,Settings!$B$17:$B$26,0)),""))</f>
        <v/>
      </c>
      <c r="E18" s="16">
        <f>IF(B18="","",COUNTIF(H18:AA18,"M"))</f>
        <v/>
      </c>
      <c r="F18" s="16">
        <f>IF(B18="","",COUNTIFS(Absences!$C$6:$C$405,Settings!$C$9,Absences!$D$6:$D$405,B18,Absences!$E$6:$E$405,"Absent"))</f>
        <v/>
      </c>
      <c r="G18" s="16">
        <f>IF(B18="","",COUNTIFS(Absences!$C$6:$C$405,Settings!$C$9,Absences!$D$6:$D$405,B18,Absences!$E$6:$E$405,"Late"))</f>
        <v/>
      </c>
      <c r="H18" s="33" t="n">
        <v>6</v>
      </c>
      <c r="I18" s="33" t="n">
        <v>11</v>
      </c>
      <c r="J18" s="33" t="n">
        <v>14</v>
      </c>
      <c r="K18" s="33" t="n">
        <v>27</v>
      </c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1" t="n"/>
      <c r="AC18">
        <f>IF(C18="","",SUMPRODUCT(MAX(ISNUMBER(Settings!$B$17:$B$26)*(Settings!$B$17:$B$26&lt;=ROUND(C18*100,1))*Settings!$B$17:$B$26)))</f>
        <v/>
      </c>
      <c r="AD18">
        <f>IF(C18="","",ROUND(C18*1000,0)*1000+108)</f>
        <v/>
      </c>
      <c r="AE18">
        <f>IF(C18="",0,IF(ROUND(C18*100,1)&lt;N($AC$2),1,0))</f>
        <v/>
      </c>
    </row>
    <row r="19">
      <c r="A19" s="1" t="n"/>
      <c r="B19" s="31" t="inlineStr">
        <is>
          <t>Yara S.</t>
        </is>
      </c>
      <c r="C19" s="44">
        <f>IF(B19="","",IF((SUMPRODUCT(--ISNUMBER(H19:AA19),$H$52:$AA$52)+SUMPRODUCT(--(H19:AA19="M"),$H$52:$AA$52))=0,"",ROUND(SUMPRODUCT(H19:AA19,$H$53:$AA$53)/(SUMPRODUCT(--ISNUMBER(H19:AA19),$H$52:$AA$52)+SUMPRODUCT(--(H19:AA19="M"),$H$52:$AA$52))*100,1)/100))</f>
        <v/>
      </c>
      <c r="D19" s="34">
        <f>IF(C19="","",IFERROR(INDEX(Settings!$C$17:$C$26,MATCH(AC19,Settings!$B$17:$B$26,0)),""))</f>
        <v/>
      </c>
      <c r="E19" s="16">
        <f>IF(B19="","",COUNTIF(H19:AA19,"M"))</f>
        <v/>
      </c>
      <c r="F19" s="16">
        <f>IF(B19="","",COUNTIFS(Absences!$C$6:$C$405,Settings!$C$9,Absences!$D$6:$D$405,B19,Absences!$E$6:$E$405,"Absent"))</f>
        <v/>
      </c>
      <c r="G19" s="16">
        <f>IF(B19="","",COUNTIFS(Absences!$C$6:$C$405,Settings!$C$9,Absences!$D$6:$D$405,B19,Absences!$E$6:$E$405,"Late"))</f>
        <v/>
      </c>
      <c r="H19" s="33" t="n">
        <v>5</v>
      </c>
      <c r="I19" s="33" t="n">
        <v>13</v>
      </c>
      <c r="J19" s="33" t="n">
        <v>16</v>
      </c>
      <c r="K19" s="33" t="n">
        <v>28</v>
      </c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1" t="n"/>
      <c r="AC19">
        <f>IF(C19="","",SUMPRODUCT(MAX(ISNUMBER(Settings!$B$17:$B$26)*(Settings!$B$17:$B$26&lt;=ROUND(C19*100,1))*Settings!$B$17:$B$26)))</f>
        <v/>
      </c>
      <c r="AD19">
        <f>IF(C19="","",ROUND(C19*1000,0)*1000+109)</f>
        <v/>
      </c>
      <c r="AE19">
        <f>IF(C19="",0,IF(ROUND(C19*100,1)&lt;N($AC$2),1,0))</f>
        <v/>
      </c>
    </row>
    <row r="20">
      <c r="A20" s="1" t="n"/>
      <c r="B20" s="31" t="inlineStr">
        <is>
          <t>Dina G.</t>
        </is>
      </c>
      <c r="C20" s="44">
        <f>IF(B20="","",IF((SUMPRODUCT(--ISNUMBER(H20:AA20),$H$52:$AA$52)+SUMPRODUCT(--(H20:AA20="M"),$H$52:$AA$52))=0,"",ROUND(SUMPRODUCT(H20:AA20,$H$53:$AA$53)/(SUMPRODUCT(--ISNUMBER(H20:AA20),$H$52:$AA$52)+SUMPRODUCT(--(H20:AA20="M"),$H$52:$AA$52))*100,1)/100))</f>
        <v/>
      </c>
      <c r="D20" s="34">
        <f>IF(C20="","",IFERROR(INDEX(Settings!$C$17:$C$26,MATCH(AC20,Settings!$B$17:$B$26,0)),""))</f>
        <v/>
      </c>
      <c r="E20" s="16">
        <f>IF(B20="","",COUNTIF(H20:AA20,"M"))</f>
        <v/>
      </c>
      <c r="F20" s="16">
        <f>IF(B20="","",COUNTIFS(Absences!$C$6:$C$405,Settings!$C$9,Absences!$D$6:$D$405,B20,Absences!$E$6:$E$405,"Absent"))</f>
        <v/>
      </c>
      <c r="G20" s="16">
        <f>IF(B20="","",COUNTIFS(Absences!$C$6:$C$405,Settings!$C$9,Absences!$D$6:$D$405,B20,Absences!$E$6:$E$405,"Late"))</f>
        <v/>
      </c>
      <c r="H20" s="33" t="n">
        <v>7</v>
      </c>
      <c r="I20" s="33" t="n">
        <v>14</v>
      </c>
      <c r="J20" s="33" t="n">
        <v>20</v>
      </c>
      <c r="K20" s="33" t="n">
        <v>38</v>
      </c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1" t="n"/>
      <c r="AC20">
        <f>IF(C20="","",SUMPRODUCT(MAX(ISNUMBER(Settings!$B$17:$B$26)*(Settings!$B$17:$B$26&lt;=ROUND(C20*100,1))*Settings!$B$17:$B$26)))</f>
        <v/>
      </c>
      <c r="AD20">
        <f>IF(C20="","",ROUND(C20*1000,0)*1000+110)</f>
        <v/>
      </c>
      <c r="AE20">
        <f>IF(C20="",0,IF(ROUND(C20*100,1)&lt;N($AC$2),1,0))</f>
        <v/>
      </c>
    </row>
    <row r="21">
      <c r="A21" s="1" t="n"/>
      <c r="B21" s="31" t="inlineStr">
        <is>
          <t>Ivan S.</t>
        </is>
      </c>
      <c r="C21" s="44">
        <f>IF(B21="","",IF((SUMPRODUCT(--ISNUMBER(H21:AA21),$H$52:$AA$52)+SUMPRODUCT(--(H21:AA21="M"),$H$52:$AA$52))=0,"",ROUND(SUMPRODUCT(H21:AA21,$H$53:$AA$53)/(SUMPRODUCT(--ISNUMBER(H21:AA21),$H$52:$AA$52)+SUMPRODUCT(--(H21:AA21="M"),$H$52:$AA$52))*100,1)/100))</f>
        <v/>
      </c>
      <c r="D21" s="34">
        <f>IF(C21="","",IFERROR(INDEX(Settings!$C$17:$C$26,MATCH(AC21,Settings!$B$17:$B$26,0)),""))</f>
        <v/>
      </c>
      <c r="E21" s="16">
        <f>IF(B21="","",COUNTIF(H21:AA21,"M"))</f>
        <v/>
      </c>
      <c r="F21" s="16">
        <f>IF(B21="","",COUNTIFS(Absences!$C$6:$C$405,Settings!$C$9,Absences!$D$6:$D$405,B21,Absences!$E$6:$E$405,"Absent"))</f>
        <v/>
      </c>
      <c r="G21" s="16">
        <f>IF(B21="","",COUNTIFS(Absences!$C$6:$C$405,Settings!$C$9,Absences!$D$6:$D$405,B21,Absences!$E$6:$E$405,"Late"))</f>
        <v/>
      </c>
      <c r="H21" s="33" t="n">
        <v>10</v>
      </c>
      <c r="I21" s="33" t="inlineStr">
        <is>
          <t>Ex</t>
        </is>
      </c>
      <c r="J21" s="33" t="n">
        <v>21</v>
      </c>
      <c r="K21" s="33" t="n">
        <v>50</v>
      </c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1" t="n"/>
      <c r="AC21">
        <f>IF(C21="","",SUMPRODUCT(MAX(ISNUMBER(Settings!$B$17:$B$26)*(Settings!$B$17:$B$26&lt;=ROUND(C21*100,1))*Settings!$B$17:$B$26)))</f>
        <v/>
      </c>
      <c r="AD21">
        <f>IF(C21="","",ROUND(C21*1000,0)*1000+111)</f>
        <v/>
      </c>
      <c r="AE21">
        <f>IF(C21="",0,IF(ROUND(C21*100,1)&lt;N($AC$2),1,0))</f>
        <v/>
      </c>
    </row>
    <row r="22">
      <c r="A22" s="1" t="n"/>
      <c r="B22" s="31" t="inlineStr">
        <is>
          <t>George O.</t>
        </is>
      </c>
      <c r="C22" s="44">
        <f>IF(B22="","",IF((SUMPRODUCT(--ISNUMBER(H22:AA22),$H$52:$AA$52)+SUMPRODUCT(--(H22:AA22="M"),$H$52:$AA$52))=0,"",ROUND(SUMPRODUCT(H22:AA22,$H$53:$AA$53)/(SUMPRODUCT(--ISNUMBER(H22:AA22),$H$52:$AA$52)+SUMPRODUCT(--(H22:AA22="M"),$H$52:$AA$52))*100,1)/100))</f>
        <v/>
      </c>
      <c r="D22" s="34">
        <f>IF(C22="","",IFERROR(INDEX(Settings!$C$17:$C$26,MATCH(AC22,Settings!$B$17:$B$26,0)),""))</f>
        <v/>
      </c>
      <c r="E22" s="16">
        <f>IF(B22="","",COUNTIF(H22:AA22,"M"))</f>
        <v/>
      </c>
      <c r="F22" s="16">
        <f>IF(B22="","",COUNTIFS(Absences!$C$6:$C$405,Settings!$C$9,Absences!$D$6:$D$405,B22,Absences!$E$6:$E$405,"Absent"))</f>
        <v/>
      </c>
      <c r="G22" s="16">
        <f>IF(B22="","",COUNTIFS(Absences!$C$6:$C$405,Settings!$C$9,Absences!$D$6:$D$405,B22,Absences!$E$6:$E$405,"Late"))</f>
        <v/>
      </c>
      <c r="H22" s="33" t="n">
        <v>9</v>
      </c>
      <c r="I22" s="33" t="n">
        <v>16</v>
      </c>
      <c r="J22" s="33" t="n">
        <v>20</v>
      </c>
      <c r="K22" s="33" t="n">
        <v>46</v>
      </c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1" t="n"/>
      <c r="AC22">
        <f>IF(C22="","",SUMPRODUCT(MAX(ISNUMBER(Settings!$B$17:$B$26)*(Settings!$B$17:$B$26&lt;=ROUND(C22*100,1))*Settings!$B$17:$B$26)))</f>
        <v/>
      </c>
      <c r="AD22">
        <f>IF(C22="","",ROUND(C22*1000,0)*1000+112)</f>
        <v/>
      </c>
      <c r="AE22">
        <f>IF(C22="",0,IF(ROUND(C22*100,1)&lt;N($AC$2),1,0))</f>
        <v/>
      </c>
    </row>
    <row r="23">
      <c r="A23" s="1" t="n"/>
      <c r="B23" s="31" t="inlineStr">
        <is>
          <t>Eli C.</t>
        </is>
      </c>
      <c r="C23" s="44">
        <f>IF(B23="","",IF((SUMPRODUCT(--ISNUMBER(H23:AA23),$H$52:$AA$52)+SUMPRODUCT(--(H23:AA23="M"),$H$52:$AA$52))=0,"",ROUND(SUMPRODUCT(H23:AA23,$H$53:$AA$53)/(SUMPRODUCT(--ISNUMBER(H23:AA23),$H$52:$AA$52)+SUMPRODUCT(--(H23:AA23="M"),$H$52:$AA$52))*100,1)/100))</f>
        <v/>
      </c>
      <c r="D23" s="34">
        <f>IF(C23="","",IFERROR(INDEX(Settings!$C$17:$C$26,MATCH(AC23,Settings!$B$17:$B$26,0)),""))</f>
        <v/>
      </c>
      <c r="E23" s="16">
        <f>IF(B23="","",COUNTIF(H23:AA23,"M"))</f>
        <v/>
      </c>
      <c r="F23" s="16">
        <f>IF(B23="","",COUNTIFS(Absences!$C$6:$C$405,Settings!$C$9,Absences!$D$6:$D$405,B23,Absences!$E$6:$E$405,"Absent"))</f>
        <v/>
      </c>
      <c r="G23" s="16">
        <f>IF(B23="","",COUNTIFS(Absences!$C$6:$C$405,Settings!$C$9,Absences!$D$6:$D$405,B23,Absences!$E$6:$E$405,"Late"))</f>
        <v/>
      </c>
      <c r="H23" s="33" t="n">
        <v>7</v>
      </c>
      <c r="I23" s="33" t="n">
        <v>13</v>
      </c>
      <c r="J23" s="33" t="n">
        <v>20</v>
      </c>
      <c r="K23" s="33" t="n">
        <v>37</v>
      </c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1" t="n"/>
      <c r="AC23">
        <f>IF(C23="","",SUMPRODUCT(MAX(ISNUMBER(Settings!$B$17:$B$26)*(Settings!$B$17:$B$26&lt;=ROUND(C23*100,1))*Settings!$B$17:$B$26)))</f>
        <v/>
      </c>
      <c r="AD23">
        <f>IF(C23="","",ROUND(C23*1000,0)*1000+113)</f>
        <v/>
      </c>
      <c r="AE23">
        <f>IF(C23="",0,IF(ROUND(C23*100,1)&lt;N($AC$2),1,0))</f>
        <v/>
      </c>
    </row>
    <row r="24">
      <c r="A24" s="1" t="n"/>
      <c r="B24" s="31" t="inlineStr">
        <is>
          <t>Sami A.</t>
        </is>
      </c>
      <c r="C24" s="44">
        <f>IF(B24="","",IF((SUMPRODUCT(--ISNUMBER(H24:AA24),$H$52:$AA$52)+SUMPRODUCT(--(H24:AA24="M"),$H$52:$AA$52))=0,"",ROUND(SUMPRODUCT(H24:AA24,$H$53:$AA$53)/(SUMPRODUCT(--ISNUMBER(H24:AA24),$H$52:$AA$52)+SUMPRODUCT(--(H24:AA24="M"),$H$52:$AA$52))*100,1)/100))</f>
        <v/>
      </c>
      <c r="D24" s="34">
        <f>IF(C24="","",IFERROR(INDEX(Settings!$C$17:$C$26,MATCH(AC24,Settings!$B$17:$B$26,0)),""))</f>
        <v/>
      </c>
      <c r="E24" s="16">
        <f>IF(B24="","",COUNTIF(H24:AA24,"M"))</f>
        <v/>
      </c>
      <c r="F24" s="16">
        <f>IF(B24="","",COUNTIFS(Absences!$C$6:$C$405,Settings!$C$9,Absences!$D$6:$D$405,B24,Absences!$E$6:$E$405,"Absent"))</f>
        <v/>
      </c>
      <c r="G24" s="16">
        <f>IF(B24="","",COUNTIFS(Absences!$C$6:$C$405,Settings!$C$9,Absences!$D$6:$D$405,B24,Absences!$E$6:$E$405,"Late"))</f>
        <v/>
      </c>
      <c r="H24" s="33" t="n">
        <v>8</v>
      </c>
      <c r="I24" s="33" t="n">
        <v>14</v>
      </c>
      <c r="J24" s="33" t="n">
        <v>23</v>
      </c>
      <c r="K24" s="33" t="n">
        <v>41</v>
      </c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1" t="n"/>
      <c r="AC24">
        <f>IF(C24="","",SUMPRODUCT(MAX(ISNUMBER(Settings!$B$17:$B$26)*(Settings!$B$17:$B$26&lt;=ROUND(C24*100,1))*Settings!$B$17:$B$26)))</f>
        <v/>
      </c>
      <c r="AD24">
        <f>IF(C24="","",ROUND(C24*1000,0)*1000+114)</f>
        <v/>
      </c>
      <c r="AE24">
        <f>IF(C24="",0,IF(ROUND(C24*100,1)&lt;N($AC$2),1,0))</f>
        <v/>
      </c>
    </row>
    <row r="25">
      <c r="A25" s="1" t="n"/>
      <c r="B25" s="31" t="inlineStr">
        <is>
          <t>Zane A.</t>
        </is>
      </c>
      <c r="C25" s="44">
        <f>IF(B25="","",IF((SUMPRODUCT(--ISNUMBER(H25:AA25),$H$52:$AA$52)+SUMPRODUCT(--(H25:AA25="M"),$H$52:$AA$52))=0,"",ROUND(SUMPRODUCT(H25:AA25,$H$53:$AA$53)/(SUMPRODUCT(--ISNUMBER(H25:AA25),$H$52:$AA$52)+SUMPRODUCT(--(H25:AA25="M"),$H$52:$AA$52))*100,1)/100))</f>
        <v/>
      </c>
      <c r="D25" s="34">
        <f>IF(C25="","",IFERROR(INDEX(Settings!$C$17:$C$26,MATCH(AC25,Settings!$B$17:$B$26,0)),""))</f>
        <v/>
      </c>
      <c r="E25" s="16">
        <f>IF(B25="","",COUNTIF(H25:AA25,"M"))</f>
        <v/>
      </c>
      <c r="F25" s="16">
        <f>IF(B25="","",COUNTIFS(Absences!$C$6:$C$405,Settings!$C$9,Absences!$D$6:$D$405,B25,Absences!$E$6:$E$405,"Absent"))</f>
        <v/>
      </c>
      <c r="G25" s="16">
        <f>IF(B25="","",COUNTIFS(Absences!$C$6:$C$405,Settings!$C$9,Absences!$D$6:$D$405,B25,Absences!$E$6:$E$405,"Late"))</f>
        <v/>
      </c>
      <c r="H25" s="33" t="n">
        <v>9</v>
      </c>
      <c r="I25" s="33" t="n">
        <v>20</v>
      </c>
      <c r="J25" s="33" t="n">
        <v>22</v>
      </c>
      <c r="K25" s="33" t="n">
        <v>47</v>
      </c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1" t="n"/>
      <c r="AC25">
        <f>IF(C25="","",SUMPRODUCT(MAX(ISNUMBER(Settings!$B$17:$B$26)*(Settings!$B$17:$B$26&lt;=ROUND(C25*100,1))*Settings!$B$17:$B$26)))</f>
        <v/>
      </c>
      <c r="AD25">
        <f>IF(C25="","",ROUND(C25*1000,0)*1000+115)</f>
        <v/>
      </c>
      <c r="AE25">
        <f>IF(C25="",0,IF(ROUND(C25*100,1)&lt;N($AC$2),1,0))</f>
        <v/>
      </c>
    </row>
    <row r="26">
      <c r="A26" s="1" t="n"/>
      <c r="B26" s="31" t="inlineStr">
        <is>
          <t>Caleb S.</t>
        </is>
      </c>
      <c r="C26" s="44">
        <f>IF(B26="","",IF((SUMPRODUCT(--ISNUMBER(H26:AA26),$H$52:$AA$52)+SUMPRODUCT(--(H26:AA26="M"),$H$52:$AA$52))=0,"",ROUND(SUMPRODUCT(H26:AA26,$H$53:$AA$53)/(SUMPRODUCT(--ISNUMBER(H26:AA26),$H$52:$AA$52)+SUMPRODUCT(--(H26:AA26="M"),$H$52:$AA$52))*100,1)/100))</f>
        <v/>
      </c>
      <c r="D26" s="34">
        <f>IF(C26="","",IFERROR(INDEX(Settings!$C$17:$C$26,MATCH(AC26,Settings!$B$17:$B$26,0)),""))</f>
        <v/>
      </c>
      <c r="E26" s="16">
        <f>IF(B26="","",COUNTIF(H26:AA26,"M"))</f>
        <v/>
      </c>
      <c r="F26" s="16">
        <f>IF(B26="","",COUNTIFS(Absences!$C$6:$C$405,Settings!$C$9,Absences!$D$6:$D$405,B26,Absences!$E$6:$E$405,"Absent"))</f>
        <v/>
      </c>
      <c r="G26" s="16">
        <f>IF(B26="","",COUNTIFS(Absences!$C$6:$C$405,Settings!$C$9,Absences!$D$6:$D$405,B26,Absences!$E$6:$E$405,"Late"))</f>
        <v/>
      </c>
      <c r="H26" s="33" t="inlineStr">
        <is>
          <t>M</t>
        </is>
      </c>
      <c r="I26" s="33" t="n">
        <v>15</v>
      </c>
      <c r="J26" s="33" t="n">
        <v>19</v>
      </c>
      <c r="K26" s="33" t="n">
        <v>33</v>
      </c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1" t="n"/>
      <c r="AC26">
        <f>IF(C26="","",SUMPRODUCT(MAX(ISNUMBER(Settings!$B$17:$B$26)*(Settings!$B$17:$B$26&lt;=ROUND(C26*100,1))*Settings!$B$17:$B$26)))</f>
        <v/>
      </c>
      <c r="AD26">
        <f>IF(C26="","",ROUND(C26*1000,0)*1000+116)</f>
        <v/>
      </c>
      <c r="AE26">
        <f>IF(C26="",0,IF(ROUND(C26*100,1)&lt;N($AC$2),1,0))</f>
        <v/>
      </c>
    </row>
    <row r="27">
      <c r="A27" s="1" t="n"/>
      <c r="B27" s="31" t="inlineStr">
        <is>
          <t>Xavi M.</t>
        </is>
      </c>
      <c r="C27" s="44">
        <f>IF(B27="","",IF((SUMPRODUCT(--ISNUMBER(H27:AA27),$H$52:$AA$52)+SUMPRODUCT(--(H27:AA27="M"),$H$52:$AA$52))=0,"",ROUND(SUMPRODUCT(H27:AA27,$H$53:$AA$53)/(SUMPRODUCT(--ISNUMBER(H27:AA27),$H$52:$AA$52)+SUMPRODUCT(--(H27:AA27="M"),$H$52:$AA$52))*100,1)/100))</f>
        <v/>
      </c>
      <c r="D27" s="34">
        <f>IF(C27="","",IFERROR(INDEX(Settings!$C$17:$C$26,MATCH(AC27,Settings!$B$17:$B$26,0)),""))</f>
        <v/>
      </c>
      <c r="E27" s="16">
        <f>IF(B27="","",COUNTIF(H27:AA27,"M"))</f>
        <v/>
      </c>
      <c r="F27" s="16">
        <f>IF(B27="","",COUNTIFS(Absences!$C$6:$C$405,Settings!$C$9,Absences!$D$6:$D$405,B27,Absences!$E$6:$E$405,"Absent"))</f>
        <v/>
      </c>
      <c r="G27" s="16">
        <f>IF(B27="","",COUNTIFS(Absences!$C$6:$C$405,Settings!$C$9,Absences!$D$6:$D$405,B27,Absences!$E$6:$E$405,"Late"))</f>
        <v/>
      </c>
      <c r="H27" s="33" t="n">
        <v>9</v>
      </c>
      <c r="I27" s="33" t="n">
        <v>16</v>
      </c>
      <c r="J27" s="33" t="n">
        <v>18</v>
      </c>
      <c r="K27" s="33" t="n">
        <v>41</v>
      </c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1" t="n"/>
      <c r="AC27">
        <f>IF(C27="","",SUMPRODUCT(MAX(ISNUMBER(Settings!$B$17:$B$26)*(Settings!$B$17:$B$26&lt;=ROUND(C27*100,1))*Settings!$B$17:$B$26)))</f>
        <v/>
      </c>
      <c r="AD27">
        <f>IF(C27="","",ROUND(C27*1000,0)*1000+117)</f>
        <v/>
      </c>
      <c r="AE27">
        <f>IF(C27="",0,IF(ROUND(C27*100,1)&lt;N($AC$2),1,0))</f>
        <v/>
      </c>
    </row>
    <row r="28">
      <c r="A28" s="1" t="n"/>
      <c r="B28" s="31" t="inlineStr">
        <is>
          <t>Ella C.</t>
        </is>
      </c>
      <c r="C28" s="44">
        <f>IF(B28="","",IF((SUMPRODUCT(--ISNUMBER(H28:AA28),$H$52:$AA$52)+SUMPRODUCT(--(H28:AA28="M"),$H$52:$AA$52))=0,"",ROUND(SUMPRODUCT(H28:AA28,$H$53:$AA$53)/(SUMPRODUCT(--ISNUMBER(H28:AA28),$H$52:$AA$52)+SUMPRODUCT(--(H28:AA28="M"),$H$52:$AA$52))*100,1)/100))</f>
        <v/>
      </c>
      <c r="D28" s="34">
        <f>IF(C28="","",IFERROR(INDEX(Settings!$C$17:$C$26,MATCH(AC28,Settings!$B$17:$B$26,0)),""))</f>
        <v/>
      </c>
      <c r="E28" s="16">
        <f>IF(B28="","",COUNTIF(H28:AA28,"M"))</f>
        <v/>
      </c>
      <c r="F28" s="16">
        <f>IF(B28="","",COUNTIFS(Absences!$C$6:$C$405,Settings!$C$9,Absences!$D$6:$D$405,B28,Absences!$E$6:$E$405,"Absent"))</f>
        <v/>
      </c>
      <c r="G28" s="16">
        <f>IF(B28="","",COUNTIFS(Absences!$C$6:$C$405,Settings!$C$9,Absences!$D$6:$D$405,B28,Absences!$E$6:$E$405,"Late"))</f>
        <v/>
      </c>
      <c r="H28" s="33" t="n">
        <v>6</v>
      </c>
      <c r="I28" s="33" t="n">
        <v>12</v>
      </c>
      <c r="J28" s="33" t="n">
        <v>16</v>
      </c>
      <c r="K28" s="33" t="n">
        <v>30</v>
      </c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1" t="n"/>
      <c r="AC28">
        <f>IF(C28="","",SUMPRODUCT(MAX(ISNUMBER(Settings!$B$17:$B$26)*(Settings!$B$17:$B$26&lt;=ROUND(C28*100,1))*Settings!$B$17:$B$26)))</f>
        <v/>
      </c>
      <c r="AD28">
        <f>IF(C28="","",ROUND(C28*1000,0)*1000+118)</f>
        <v/>
      </c>
      <c r="AE28">
        <f>IF(C28="",0,IF(ROUND(C28*100,1)&lt;N($AC$2),1,0))</f>
        <v/>
      </c>
    </row>
    <row r="29">
      <c r="A29" s="1" t="n"/>
      <c r="B29" s="31" t="inlineStr">
        <is>
          <t>Aiden W.</t>
        </is>
      </c>
      <c r="C29" s="44">
        <f>IF(B29="","",IF((SUMPRODUCT(--ISNUMBER(H29:AA29),$H$52:$AA$52)+SUMPRODUCT(--(H29:AA29="M"),$H$52:$AA$52))=0,"",ROUND(SUMPRODUCT(H29:AA29,$H$53:$AA$53)/(SUMPRODUCT(--ISNUMBER(H29:AA29),$H$52:$AA$52)+SUMPRODUCT(--(H29:AA29="M"),$H$52:$AA$52))*100,1)/100))</f>
        <v/>
      </c>
      <c r="D29" s="34">
        <f>IF(C29="","",IFERROR(INDEX(Settings!$C$17:$C$26,MATCH(AC29,Settings!$B$17:$B$26,0)),""))</f>
        <v/>
      </c>
      <c r="E29" s="16">
        <f>IF(B29="","",COUNTIF(H29:AA29,"M"))</f>
        <v/>
      </c>
      <c r="F29" s="16">
        <f>IF(B29="","",COUNTIFS(Absences!$C$6:$C$405,Settings!$C$9,Absences!$D$6:$D$405,B29,Absences!$E$6:$E$405,"Absent"))</f>
        <v/>
      </c>
      <c r="G29" s="16">
        <f>IF(B29="","",COUNTIFS(Absences!$C$6:$C$405,Settings!$C$9,Absences!$D$6:$D$405,B29,Absences!$E$6:$E$405,"Late"))</f>
        <v/>
      </c>
      <c r="H29" s="33" t="n">
        <v>7</v>
      </c>
      <c r="I29" s="33" t="n">
        <v>12</v>
      </c>
      <c r="J29" s="33" t="n">
        <v>14</v>
      </c>
      <c r="K29" s="33" t="n">
        <v>35</v>
      </c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1" t="n"/>
      <c r="AC29">
        <f>IF(C29="","",SUMPRODUCT(MAX(ISNUMBER(Settings!$B$17:$B$26)*(Settings!$B$17:$B$26&lt;=ROUND(C29*100,1))*Settings!$B$17:$B$26)))</f>
        <v/>
      </c>
      <c r="AD29">
        <f>IF(C29="","",ROUND(C29*1000,0)*1000+119)</f>
        <v/>
      </c>
      <c r="AE29">
        <f>IF(C29="",0,IF(ROUND(C29*100,1)&lt;N($AC$2),1,0))</f>
        <v/>
      </c>
    </row>
    <row r="30">
      <c r="A30" s="1" t="n"/>
      <c r="B30" s="31" t="inlineStr">
        <is>
          <t>Gabe H.</t>
        </is>
      </c>
      <c r="C30" s="44">
        <f>IF(B30="","",IF((SUMPRODUCT(--ISNUMBER(H30:AA30),$H$52:$AA$52)+SUMPRODUCT(--(H30:AA30="M"),$H$52:$AA$52))=0,"",ROUND(SUMPRODUCT(H30:AA30,$H$53:$AA$53)/(SUMPRODUCT(--ISNUMBER(H30:AA30),$H$52:$AA$52)+SUMPRODUCT(--(H30:AA30="M"),$H$52:$AA$52))*100,1)/100))</f>
        <v/>
      </c>
      <c r="D30" s="34">
        <f>IF(C30="","",IFERROR(INDEX(Settings!$C$17:$C$26,MATCH(AC30,Settings!$B$17:$B$26,0)),""))</f>
        <v/>
      </c>
      <c r="E30" s="16">
        <f>IF(B30="","",COUNTIF(H30:AA30,"M"))</f>
        <v/>
      </c>
      <c r="F30" s="16">
        <f>IF(B30="","",COUNTIFS(Absences!$C$6:$C$405,Settings!$C$9,Absences!$D$6:$D$405,B30,Absences!$E$6:$E$405,"Absent"))</f>
        <v/>
      </c>
      <c r="G30" s="16">
        <f>IF(B30="","",COUNTIFS(Absences!$C$6:$C$405,Settings!$C$9,Absences!$D$6:$D$405,B30,Absences!$E$6:$E$405,"Late"))</f>
        <v/>
      </c>
      <c r="H30" s="33" t="n">
        <v>6</v>
      </c>
      <c r="I30" s="33" t="n">
        <v>15</v>
      </c>
      <c r="J30" s="33" t="n">
        <v>19</v>
      </c>
      <c r="K30" s="33" t="n">
        <v>32</v>
      </c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1" t="n"/>
      <c r="AC30">
        <f>IF(C30="","",SUMPRODUCT(MAX(ISNUMBER(Settings!$B$17:$B$26)*(Settings!$B$17:$B$26&lt;=ROUND(C30*100,1))*Settings!$B$17:$B$26)))</f>
        <v/>
      </c>
      <c r="AD30">
        <f>IF(C30="","",ROUND(C30*1000,0)*1000+120)</f>
        <v/>
      </c>
      <c r="AE30">
        <f>IF(C30="",0,IF(ROUND(C30*100,1)&lt;N($AC$2),1,0))</f>
        <v/>
      </c>
    </row>
    <row r="31">
      <c r="A31" s="1" t="n"/>
      <c r="B31" s="31" t="inlineStr">
        <is>
          <t>Bella A.</t>
        </is>
      </c>
      <c r="C31" s="44">
        <f>IF(B31="","",IF((SUMPRODUCT(--ISNUMBER(H31:AA31),$H$52:$AA$52)+SUMPRODUCT(--(H31:AA31="M"),$H$52:$AA$52))=0,"",ROUND(SUMPRODUCT(H31:AA31,$H$53:$AA$53)/(SUMPRODUCT(--ISNUMBER(H31:AA31),$H$52:$AA$52)+SUMPRODUCT(--(H31:AA31="M"),$H$52:$AA$52))*100,1)/100))</f>
        <v/>
      </c>
      <c r="D31" s="34">
        <f>IF(C31="","",IFERROR(INDEX(Settings!$C$17:$C$26,MATCH(AC31,Settings!$B$17:$B$26,0)),""))</f>
        <v/>
      </c>
      <c r="E31" s="16">
        <f>IF(B31="","",COUNTIF(H31:AA31,"M"))</f>
        <v/>
      </c>
      <c r="F31" s="16">
        <f>IF(B31="","",COUNTIFS(Absences!$C$6:$C$405,Settings!$C$9,Absences!$D$6:$D$405,B31,Absences!$E$6:$E$405,"Absent"))</f>
        <v/>
      </c>
      <c r="G31" s="16">
        <f>IF(B31="","",COUNTIFS(Absences!$C$6:$C$405,Settings!$C$9,Absences!$D$6:$D$405,B31,Absences!$E$6:$E$405,"Late"))</f>
        <v/>
      </c>
      <c r="H31" s="33" t="n">
        <v>7</v>
      </c>
      <c r="I31" s="33" t="n">
        <v>13</v>
      </c>
      <c r="J31" s="33" t="n">
        <v>15</v>
      </c>
      <c r="K31" s="33" t="n">
        <v>27</v>
      </c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1" t="n"/>
      <c r="AC31">
        <f>IF(C31="","",SUMPRODUCT(MAX(ISNUMBER(Settings!$B$17:$B$26)*(Settings!$B$17:$B$26&lt;=ROUND(C31*100,1))*Settings!$B$17:$B$26)))</f>
        <v/>
      </c>
      <c r="AD31">
        <f>IF(C31="","",ROUND(C31*1000,0)*1000+121)</f>
        <v/>
      </c>
      <c r="AE31">
        <f>IF(C31="",0,IF(ROUND(C31*100,1)&lt;N($AC$2),1,0))</f>
        <v/>
      </c>
    </row>
    <row r="32">
      <c r="A32" s="1" t="n"/>
      <c r="B32" s="31" t="inlineStr">
        <is>
          <t>Ben L.</t>
        </is>
      </c>
      <c r="C32" s="44">
        <f>IF(B32="","",IF((SUMPRODUCT(--ISNUMBER(H32:AA32),$H$52:$AA$52)+SUMPRODUCT(--(H32:AA32="M"),$H$52:$AA$52))=0,"",ROUND(SUMPRODUCT(H32:AA32,$H$53:$AA$53)/(SUMPRODUCT(--ISNUMBER(H32:AA32),$H$52:$AA$52)+SUMPRODUCT(--(H32:AA32="M"),$H$52:$AA$52))*100,1)/100))</f>
        <v/>
      </c>
      <c r="D32" s="34">
        <f>IF(C32="","",IFERROR(INDEX(Settings!$C$17:$C$26,MATCH(AC32,Settings!$B$17:$B$26,0)),""))</f>
        <v/>
      </c>
      <c r="E32" s="16">
        <f>IF(B32="","",COUNTIF(H32:AA32,"M"))</f>
        <v/>
      </c>
      <c r="F32" s="16">
        <f>IF(B32="","",COUNTIFS(Absences!$C$6:$C$405,Settings!$C$9,Absences!$D$6:$D$405,B32,Absences!$E$6:$E$405,"Absent"))</f>
        <v/>
      </c>
      <c r="G32" s="16">
        <f>IF(B32="","",COUNTIFS(Absences!$C$6:$C$405,Settings!$C$9,Absences!$D$6:$D$405,B32,Absences!$E$6:$E$405,"Late"))</f>
        <v/>
      </c>
      <c r="H32" s="33" t="n">
        <v>6</v>
      </c>
      <c r="I32" s="33" t="n">
        <v>18</v>
      </c>
      <c r="J32" s="33" t="n">
        <v>20</v>
      </c>
      <c r="K32" s="33" t="n">
        <v>36</v>
      </c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1" t="n"/>
      <c r="AC32">
        <f>IF(C32="","",SUMPRODUCT(MAX(ISNUMBER(Settings!$B$17:$B$26)*(Settings!$B$17:$B$26&lt;=ROUND(C32*100,1))*Settings!$B$17:$B$26)))</f>
        <v/>
      </c>
      <c r="AD32">
        <f>IF(C32="","",ROUND(C32*1000,0)*1000+122)</f>
        <v/>
      </c>
      <c r="AE32">
        <f>IF(C32="",0,IF(ROUND(C32*100,1)&lt;N($AC$2),1,0))</f>
        <v/>
      </c>
    </row>
    <row r="33">
      <c r="A33" s="1" t="n"/>
      <c r="B33" s="31" t="inlineStr">
        <is>
          <t>Zoe M.</t>
        </is>
      </c>
      <c r="C33" s="44">
        <f>IF(B33="","",IF((SUMPRODUCT(--ISNUMBER(H33:AA33),$H$52:$AA$52)+SUMPRODUCT(--(H33:AA33="M"),$H$52:$AA$52))=0,"",ROUND(SUMPRODUCT(H33:AA33,$H$53:$AA$53)/(SUMPRODUCT(--ISNUMBER(H33:AA33),$H$52:$AA$52)+SUMPRODUCT(--(H33:AA33="M"),$H$52:$AA$52))*100,1)/100))</f>
        <v/>
      </c>
      <c r="D33" s="34">
        <f>IF(C33="","",IFERROR(INDEX(Settings!$C$17:$C$26,MATCH(AC33,Settings!$B$17:$B$26,0)),""))</f>
        <v/>
      </c>
      <c r="E33" s="16">
        <f>IF(B33="","",COUNTIF(H33:AA33,"M"))</f>
        <v/>
      </c>
      <c r="F33" s="16">
        <f>IF(B33="","",COUNTIFS(Absences!$C$6:$C$405,Settings!$C$9,Absences!$D$6:$D$405,B33,Absences!$E$6:$E$405,"Absent"))</f>
        <v/>
      </c>
      <c r="G33" s="16">
        <f>IF(B33="","",COUNTIFS(Absences!$C$6:$C$405,Settings!$C$9,Absences!$D$6:$D$405,B33,Absences!$E$6:$E$405,"Late"))</f>
        <v/>
      </c>
      <c r="H33" s="33" t="n">
        <v>8</v>
      </c>
      <c r="I33" s="33" t="n">
        <v>17</v>
      </c>
      <c r="J33" s="33" t="n">
        <v>18</v>
      </c>
      <c r="K33" s="33" t="n">
        <v>38</v>
      </c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1" t="n"/>
      <c r="AC33">
        <f>IF(C33="","",SUMPRODUCT(MAX(ISNUMBER(Settings!$B$17:$B$26)*(Settings!$B$17:$B$26&lt;=ROUND(C33*100,1))*Settings!$B$17:$B$26)))</f>
        <v/>
      </c>
      <c r="AD33">
        <f>IF(C33="","",ROUND(C33*1000,0)*1000+123)</f>
        <v/>
      </c>
      <c r="AE33">
        <f>IF(C33="",0,IF(ROUND(C33*100,1)&lt;N($AC$2),1,0))</f>
        <v/>
      </c>
    </row>
    <row r="34">
      <c r="A34" s="1" t="n"/>
      <c r="B34" s="31" t="inlineStr">
        <is>
          <t>Nadia S.</t>
        </is>
      </c>
      <c r="C34" s="44">
        <f>IF(B34="","",IF((SUMPRODUCT(--ISNUMBER(H34:AA34),$H$52:$AA$52)+SUMPRODUCT(--(H34:AA34="M"),$H$52:$AA$52))=0,"",ROUND(SUMPRODUCT(H34:AA34,$H$53:$AA$53)/(SUMPRODUCT(--ISNUMBER(H34:AA34),$H$52:$AA$52)+SUMPRODUCT(--(H34:AA34="M"),$H$52:$AA$52))*100,1)/100))</f>
        <v/>
      </c>
      <c r="D34" s="34">
        <f>IF(C34="","",IFERROR(INDEX(Settings!$C$17:$C$26,MATCH(AC34,Settings!$B$17:$B$26,0)),""))</f>
        <v/>
      </c>
      <c r="E34" s="16">
        <f>IF(B34="","",COUNTIF(H34:AA34,"M"))</f>
        <v/>
      </c>
      <c r="F34" s="16">
        <f>IF(B34="","",COUNTIFS(Absences!$C$6:$C$405,Settings!$C$9,Absences!$D$6:$D$405,B34,Absences!$E$6:$E$405,"Absent"))</f>
        <v/>
      </c>
      <c r="G34" s="16">
        <f>IF(B34="","",COUNTIFS(Absences!$C$6:$C$405,Settings!$C$9,Absences!$D$6:$D$405,B34,Absences!$E$6:$E$405,"Late"))</f>
        <v/>
      </c>
      <c r="H34" s="33" t="n">
        <v>5</v>
      </c>
      <c r="I34" s="33" t="n">
        <v>14</v>
      </c>
      <c r="J34" s="33" t="n">
        <v>16</v>
      </c>
      <c r="K34" s="33" t="n">
        <v>28</v>
      </c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1" t="n"/>
      <c r="AC34">
        <f>IF(C34="","",SUMPRODUCT(MAX(ISNUMBER(Settings!$B$17:$B$26)*(Settings!$B$17:$B$26&lt;=ROUND(C34*100,1))*Settings!$B$17:$B$26)))</f>
        <v/>
      </c>
      <c r="AD34">
        <f>IF(C34="","",ROUND(C34*1000,0)*1000+124)</f>
        <v/>
      </c>
      <c r="AE34">
        <f>IF(C34="",0,IF(ROUND(C34*100,1)&lt;N($AC$2),1,0))</f>
        <v/>
      </c>
    </row>
    <row r="35">
      <c r="A35" s="1" t="n"/>
      <c r="B35" s="31" t="inlineStr">
        <is>
          <t>Kira F.</t>
        </is>
      </c>
      <c r="C35" s="44">
        <f>IF(B35="","",IF((SUMPRODUCT(--ISNUMBER(H35:AA35),$H$52:$AA$52)+SUMPRODUCT(--(H35:AA35="M"),$H$52:$AA$52))=0,"",ROUND(SUMPRODUCT(H35:AA35,$H$53:$AA$53)/(SUMPRODUCT(--ISNUMBER(H35:AA35),$H$52:$AA$52)+SUMPRODUCT(--(H35:AA35="M"),$H$52:$AA$52))*100,1)/100))</f>
        <v/>
      </c>
      <c r="D35" s="34">
        <f>IF(C35="","",IFERROR(INDEX(Settings!$C$17:$C$26,MATCH(AC35,Settings!$B$17:$B$26,0)),""))</f>
        <v/>
      </c>
      <c r="E35" s="16">
        <f>IF(B35="","",COUNTIF(H35:AA35,"M"))</f>
        <v/>
      </c>
      <c r="F35" s="16">
        <f>IF(B35="","",COUNTIFS(Absences!$C$6:$C$405,Settings!$C$9,Absences!$D$6:$D$405,B35,Absences!$E$6:$E$405,"Absent"))</f>
        <v/>
      </c>
      <c r="G35" s="16">
        <f>IF(B35="","",COUNTIFS(Absences!$C$6:$C$405,Settings!$C$9,Absences!$D$6:$D$405,B35,Absences!$E$6:$E$405,"Late"))</f>
        <v/>
      </c>
      <c r="H35" s="33" t="n">
        <v>6</v>
      </c>
      <c r="I35" s="33" t="n">
        <v>14</v>
      </c>
      <c r="J35" s="33" t="n">
        <v>14</v>
      </c>
      <c r="K35" s="33" t="n">
        <v>35</v>
      </c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1" t="n"/>
      <c r="AC35">
        <f>IF(C35="","",SUMPRODUCT(MAX(ISNUMBER(Settings!$B$17:$B$26)*(Settings!$B$17:$B$26&lt;=ROUND(C35*100,1))*Settings!$B$17:$B$26)))</f>
        <v/>
      </c>
      <c r="AD35">
        <f>IF(C35="","",ROUND(C35*1000,0)*1000+125)</f>
        <v/>
      </c>
      <c r="AE35">
        <f>IF(C35="",0,IF(ROUND(C35*100,1)&lt;N($AC$2),1,0))</f>
        <v/>
      </c>
    </row>
    <row r="36">
      <c r="A36" s="1" t="n"/>
      <c r="B36" s="31" t="inlineStr">
        <is>
          <t>Rosa A.</t>
        </is>
      </c>
      <c r="C36" s="44">
        <f>IF(B36="","",IF((SUMPRODUCT(--ISNUMBER(H36:AA36),$H$52:$AA$52)+SUMPRODUCT(--(H36:AA36="M"),$H$52:$AA$52))=0,"",ROUND(SUMPRODUCT(H36:AA36,$H$53:$AA$53)/(SUMPRODUCT(--ISNUMBER(H36:AA36),$H$52:$AA$52)+SUMPRODUCT(--(H36:AA36="M"),$H$52:$AA$52))*100,1)/100))</f>
        <v/>
      </c>
      <c r="D36" s="34">
        <f>IF(C36="","",IFERROR(INDEX(Settings!$C$17:$C$26,MATCH(AC36,Settings!$B$17:$B$26,0)),""))</f>
        <v/>
      </c>
      <c r="E36" s="16">
        <f>IF(B36="","",COUNTIF(H36:AA36,"M"))</f>
        <v/>
      </c>
      <c r="F36" s="16">
        <f>IF(B36="","",COUNTIFS(Absences!$C$6:$C$405,Settings!$C$9,Absences!$D$6:$D$405,B36,Absences!$E$6:$E$405,"Absent"))</f>
        <v/>
      </c>
      <c r="G36" s="16">
        <f>IF(B36="","",COUNTIFS(Absences!$C$6:$C$405,Settings!$C$9,Absences!$D$6:$D$405,B36,Absences!$E$6:$E$405,"Late"))</f>
        <v/>
      </c>
      <c r="H36" s="33" t="n">
        <v>8</v>
      </c>
      <c r="I36" s="33" t="n">
        <v>15</v>
      </c>
      <c r="J36" s="33" t="n">
        <v>19</v>
      </c>
      <c r="K36" s="33" t="n">
        <v>39</v>
      </c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1" t="n"/>
      <c r="AC36">
        <f>IF(C36="","",SUMPRODUCT(MAX(ISNUMBER(Settings!$B$17:$B$26)*(Settings!$B$17:$B$26&lt;=ROUND(C36*100,1))*Settings!$B$17:$B$26)))</f>
        <v/>
      </c>
      <c r="AD36">
        <f>IF(C36="","",ROUND(C36*1000,0)*1000+126)</f>
        <v/>
      </c>
      <c r="AE36">
        <f>IF(C36="",0,IF(ROUND(C36*100,1)&lt;N($AC$2),1,0))</f>
        <v/>
      </c>
    </row>
    <row r="37">
      <c r="A37" s="1" t="n"/>
      <c r="B37" s="31" t="n"/>
      <c r="C37" s="44">
        <f>IF(B37="","",IF((SUMPRODUCT(--ISNUMBER(H37:AA37),$H$52:$AA$52)+SUMPRODUCT(--(H37:AA37="M"),$H$52:$AA$52))=0,"",ROUND(SUMPRODUCT(H37:AA37,$H$53:$AA$53)/(SUMPRODUCT(--ISNUMBER(H37:AA37),$H$52:$AA$52)+SUMPRODUCT(--(H37:AA37="M"),$H$52:$AA$52))*100,1)/100))</f>
        <v/>
      </c>
      <c r="D37" s="34">
        <f>IF(C37="","",IFERROR(INDEX(Settings!$C$17:$C$26,MATCH(AC37,Settings!$B$17:$B$26,0)),""))</f>
        <v/>
      </c>
      <c r="E37" s="16">
        <f>IF(B37="","",COUNTIF(H37:AA37,"M"))</f>
        <v/>
      </c>
      <c r="F37" s="16">
        <f>IF(B37="","",COUNTIFS(Absences!$C$6:$C$405,Settings!$C$9,Absences!$D$6:$D$405,B37,Absences!$E$6:$E$405,"Absent"))</f>
        <v/>
      </c>
      <c r="G37" s="16">
        <f>IF(B37="","",COUNTIFS(Absences!$C$6:$C$405,Settings!$C$9,Absences!$D$6:$D$405,B37,Absences!$E$6:$E$405,"Late"))</f>
        <v/>
      </c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1" t="n"/>
      <c r="AC37">
        <f>IF(C37="","",SUMPRODUCT(MAX(ISNUMBER(Settings!$B$17:$B$26)*(Settings!$B$17:$B$26&lt;=ROUND(C37*100,1))*Settings!$B$17:$B$26)))</f>
        <v/>
      </c>
      <c r="AD37">
        <f>IF(C37="","",ROUND(C37*1000,0)*1000+127)</f>
        <v/>
      </c>
      <c r="AE37">
        <f>IF(C37="",0,IF(ROUND(C37*100,1)&lt;N($AC$2),1,0))</f>
        <v/>
      </c>
    </row>
    <row r="38">
      <c r="A38" s="1" t="n"/>
      <c r="B38" s="31" t="n"/>
      <c r="C38" s="44">
        <f>IF(B38="","",IF((SUMPRODUCT(--ISNUMBER(H38:AA38),$H$52:$AA$52)+SUMPRODUCT(--(H38:AA38="M"),$H$52:$AA$52))=0,"",ROUND(SUMPRODUCT(H38:AA38,$H$53:$AA$53)/(SUMPRODUCT(--ISNUMBER(H38:AA38),$H$52:$AA$52)+SUMPRODUCT(--(H38:AA38="M"),$H$52:$AA$52))*100,1)/100))</f>
        <v/>
      </c>
      <c r="D38" s="34">
        <f>IF(C38="","",IFERROR(INDEX(Settings!$C$17:$C$26,MATCH(AC38,Settings!$B$17:$B$26,0)),""))</f>
        <v/>
      </c>
      <c r="E38" s="16">
        <f>IF(B38="","",COUNTIF(H38:AA38,"M"))</f>
        <v/>
      </c>
      <c r="F38" s="16">
        <f>IF(B38="","",COUNTIFS(Absences!$C$6:$C$405,Settings!$C$9,Absences!$D$6:$D$405,B38,Absences!$E$6:$E$405,"Absent"))</f>
        <v/>
      </c>
      <c r="G38" s="16">
        <f>IF(B38="","",COUNTIFS(Absences!$C$6:$C$405,Settings!$C$9,Absences!$D$6:$D$405,B38,Absences!$E$6:$E$405,"Late"))</f>
        <v/>
      </c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1" t="n"/>
      <c r="AC38">
        <f>IF(C38="","",SUMPRODUCT(MAX(ISNUMBER(Settings!$B$17:$B$26)*(Settings!$B$17:$B$26&lt;=ROUND(C38*100,1))*Settings!$B$17:$B$26)))</f>
        <v/>
      </c>
      <c r="AD38">
        <f>IF(C38="","",ROUND(C38*1000,0)*1000+128)</f>
        <v/>
      </c>
      <c r="AE38">
        <f>IF(C38="",0,IF(ROUND(C38*100,1)&lt;N($AC$2),1,0))</f>
        <v/>
      </c>
    </row>
    <row r="39">
      <c r="A39" s="1" t="n"/>
      <c r="B39" s="31" t="n"/>
      <c r="C39" s="44">
        <f>IF(B39="","",IF((SUMPRODUCT(--ISNUMBER(H39:AA39),$H$52:$AA$52)+SUMPRODUCT(--(H39:AA39="M"),$H$52:$AA$52))=0,"",ROUND(SUMPRODUCT(H39:AA39,$H$53:$AA$53)/(SUMPRODUCT(--ISNUMBER(H39:AA39),$H$52:$AA$52)+SUMPRODUCT(--(H39:AA39="M"),$H$52:$AA$52))*100,1)/100))</f>
        <v/>
      </c>
      <c r="D39" s="34">
        <f>IF(C39="","",IFERROR(INDEX(Settings!$C$17:$C$26,MATCH(AC39,Settings!$B$17:$B$26,0)),""))</f>
        <v/>
      </c>
      <c r="E39" s="16">
        <f>IF(B39="","",COUNTIF(H39:AA39,"M"))</f>
        <v/>
      </c>
      <c r="F39" s="16">
        <f>IF(B39="","",COUNTIFS(Absences!$C$6:$C$405,Settings!$C$9,Absences!$D$6:$D$405,B39,Absences!$E$6:$E$405,"Absent"))</f>
        <v/>
      </c>
      <c r="G39" s="16">
        <f>IF(B39="","",COUNTIFS(Absences!$C$6:$C$405,Settings!$C$9,Absences!$D$6:$D$405,B39,Absences!$E$6:$E$405,"Late"))</f>
        <v/>
      </c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1" t="n"/>
      <c r="AC39">
        <f>IF(C39="","",SUMPRODUCT(MAX(ISNUMBER(Settings!$B$17:$B$26)*(Settings!$B$17:$B$26&lt;=ROUND(C39*100,1))*Settings!$B$17:$B$26)))</f>
        <v/>
      </c>
      <c r="AD39">
        <f>IF(C39="","",ROUND(C39*1000,0)*1000+129)</f>
        <v/>
      </c>
      <c r="AE39">
        <f>IF(C39="",0,IF(ROUND(C39*100,1)&lt;N($AC$2),1,0))</f>
        <v/>
      </c>
    </row>
    <row r="40">
      <c r="A40" s="1" t="n"/>
      <c r="B40" s="31" t="n"/>
      <c r="C40" s="44">
        <f>IF(B40="","",IF((SUMPRODUCT(--ISNUMBER(H40:AA40),$H$52:$AA$52)+SUMPRODUCT(--(H40:AA40="M"),$H$52:$AA$52))=0,"",ROUND(SUMPRODUCT(H40:AA40,$H$53:$AA$53)/(SUMPRODUCT(--ISNUMBER(H40:AA40),$H$52:$AA$52)+SUMPRODUCT(--(H40:AA40="M"),$H$52:$AA$52))*100,1)/100))</f>
        <v/>
      </c>
      <c r="D40" s="34">
        <f>IF(C40="","",IFERROR(INDEX(Settings!$C$17:$C$26,MATCH(AC40,Settings!$B$17:$B$26,0)),""))</f>
        <v/>
      </c>
      <c r="E40" s="16">
        <f>IF(B40="","",COUNTIF(H40:AA40,"M"))</f>
        <v/>
      </c>
      <c r="F40" s="16">
        <f>IF(B40="","",COUNTIFS(Absences!$C$6:$C$405,Settings!$C$9,Absences!$D$6:$D$405,B40,Absences!$E$6:$E$405,"Absent"))</f>
        <v/>
      </c>
      <c r="G40" s="16">
        <f>IF(B40="","",COUNTIFS(Absences!$C$6:$C$405,Settings!$C$9,Absences!$D$6:$D$405,B40,Absences!$E$6:$E$405,"Late"))</f>
        <v/>
      </c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1" t="n"/>
      <c r="AC40">
        <f>IF(C40="","",SUMPRODUCT(MAX(ISNUMBER(Settings!$B$17:$B$26)*(Settings!$B$17:$B$26&lt;=ROUND(C40*100,1))*Settings!$B$17:$B$26)))</f>
        <v/>
      </c>
      <c r="AD40">
        <f>IF(C40="","",ROUND(C40*1000,0)*1000+130)</f>
        <v/>
      </c>
      <c r="AE40">
        <f>IF(C40="",0,IF(ROUND(C40*100,1)&lt;N($AC$2),1,0))</f>
        <v/>
      </c>
    </row>
    <row r="41">
      <c r="A41" s="1" t="n"/>
      <c r="B41" s="31" t="n"/>
      <c r="C41" s="44">
        <f>IF(B41="","",IF((SUMPRODUCT(--ISNUMBER(H41:AA41),$H$52:$AA$52)+SUMPRODUCT(--(H41:AA41="M"),$H$52:$AA$52))=0,"",ROUND(SUMPRODUCT(H41:AA41,$H$53:$AA$53)/(SUMPRODUCT(--ISNUMBER(H41:AA41),$H$52:$AA$52)+SUMPRODUCT(--(H41:AA41="M"),$H$52:$AA$52))*100,1)/100))</f>
        <v/>
      </c>
      <c r="D41" s="34">
        <f>IF(C41="","",IFERROR(INDEX(Settings!$C$17:$C$26,MATCH(AC41,Settings!$B$17:$B$26,0)),""))</f>
        <v/>
      </c>
      <c r="E41" s="16">
        <f>IF(B41="","",COUNTIF(H41:AA41,"M"))</f>
        <v/>
      </c>
      <c r="F41" s="16">
        <f>IF(B41="","",COUNTIFS(Absences!$C$6:$C$405,Settings!$C$9,Absences!$D$6:$D$405,B41,Absences!$E$6:$E$405,"Absent"))</f>
        <v/>
      </c>
      <c r="G41" s="16">
        <f>IF(B41="","",COUNTIFS(Absences!$C$6:$C$405,Settings!$C$9,Absences!$D$6:$D$405,B41,Absences!$E$6:$E$405,"Late"))</f>
        <v/>
      </c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1" t="n"/>
      <c r="AC41">
        <f>IF(C41="","",SUMPRODUCT(MAX(ISNUMBER(Settings!$B$17:$B$26)*(Settings!$B$17:$B$26&lt;=ROUND(C41*100,1))*Settings!$B$17:$B$26)))</f>
        <v/>
      </c>
      <c r="AD41">
        <f>IF(C41="","",ROUND(C41*1000,0)*1000+131)</f>
        <v/>
      </c>
      <c r="AE41">
        <f>IF(C41="",0,IF(ROUND(C41*100,1)&lt;N($AC$2),1,0))</f>
        <v/>
      </c>
    </row>
    <row r="42">
      <c r="A42" s="1" t="n"/>
      <c r="B42" s="31" t="n"/>
      <c r="C42" s="44">
        <f>IF(B42="","",IF((SUMPRODUCT(--ISNUMBER(H42:AA42),$H$52:$AA$52)+SUMPRODUCT(--(H42:AA42="M"),$H$52:$AA$52))=0,"",ROUND(SUMPRODUCT(H42:AA42,$H$53:$AA$53)/(SUMPRODUCT(--ISNUMBER(H42:AA42),$H$52:$AA$52)+SUMPRODUCT(--(H42:AA42="M"),$H$52:$AA$52))*100,1)/100))</f>
        <v/>
      </c>
      <c r="D42" s="34">
        <f>IF(C42="","",IFERROR(INDEX(Settings!$C$17:$C$26,MATCH(AC42,Settings!$B$17:$B$26,0)),""))</f>
        <v/>
      </c>
      <c r="E42" s="16">
        <f>IF(B42="","",COUNTIF(H42:AA42,"M"))</f>
        <v/>
      </c>
      <c r="F42" s="16">
        <f>IF(B42="","",COUNTIFS(Absences!$C$6:$C$405,Settings!$C$9,Absences!$D$6:$D$405,B42,Absences!$E$6:$E$405,"Absent"))</f>
        <v/>
      </c>
      <c r="G42" s="16">
        <f>IF(B42="","",COUNTIFS(Absences!$C$6:$C$405,Settings!$C$9,Absences!$D$6:$D$405,B42,Absences!$E$6:$E$405,"Late"))</f>
        <v/>
      </c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1" t="n"/>
      <c r="AC42">
        <f>IF(C42="","",SUMPRODUCT(MAX(ISNUMBER(Settings!$B$17:$B$26)*(Settings!$B$17:$B$26&lt;=ROUND(C42*100,1))*Settings!$B$17:$B$26)))</f>
        <v/>
      </c>
      <c r="AD42">
        <f>IF(C42="","",ROUND(C42*1000,0)*1000+132)</f>
        <v/>
      </c>
      <c r="AE42">
        <f>IF(C42="",0,IF(ROUND(C42*100,1)&lt;N($AC$2),1,0))</f>
        <v/>
      </c>
    </row>
    <row r="43">
      <c r="A43" s="1" t="n"/>
      <c r="B43" s="31" t="n"/>
      <c r="C43" s="44">
        <f>IF(B43="","",IF((SUMPRODUCT(--ISNUMBER(H43:AA43),$H$52:$AA$52)+SUMPRODUCT(--(H43:AA43="M"),$H$52:$AA$52))=0,"",ROUND(SUMPRODUCT(H43:AA43,$H$53:$AA$53)/(SUMPRODUCT(--ISNUMBER(H43:AA43),$H$52:$AA$52)+SUMPRODUCT(--(H43:AA43="M"),$H$52:$AA$52))*100,1)/100))</f>
        <v/>
      </c>
      <c r="D43" s="34">
        <f>IF(C43="","",IFERROR(INDEX(Settings!$C$17:$C$26,MATCH(AC43,Settings!$B$17:$B$26,0)),""))</f>
        <v/>
      </c>
      <c r="E43" s="16">
        <f>IF(B43="","",COUNTIF(H43:AA43,"M"))</f>
        <v/>
      </c>
      <c r="F43" s="16">
        <f>IF(B43="","",COUNTIFS(Absences!$C$6:$C$405,Settings!$C$9,Absences!$D$6:$D$405,B43,Absences!$E$6:$E$405,"Absent"))</f>
        <v/>
      </c>
      <c r="G43" s="16">
        <f>IF(B43="","",COUNTIFS(Absences!$C$6:$C$405,Settings!$C$9,Absences!$D$6:$D$405,B43,Absences!$E$6:$E$405,"Late"))</f>
        <v/>
      </c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1" t="n"/>
      <c r="AC43">
        <f>IF(C43="","",SUMPRODUCT(MAX(ISNUMBER(Settings!$B$17:$B$26)*(Settings!$B$17:$B$26&lt;=ROUND(C43*100,1))*Settings!$B$17:$B$26)))</f>
        <v/>
      </c>
      <c r="AD43">
        <f>IF(C43="","",ROUND(C43*1000,0)*1000+133)</f>
        <v/>
      </c>
      <c r="AE43">
        <f>IF(C43="",0,IF(ROUND(C43*100,1)&lt;N($AC$2),1,0))</f>
        <v/>
      </c>
    </row>
    <row r="44">
      <c r="A44" s="1" t="n"/>
      <c r="B44" s="31" t="n"/>
      <c r="C44" s="44">
        <f>IF(B44="","",IF((SUMPRODUCT(--ISNUMBER(H44:AA44),$H$52:$AA$52)+SUMPRODUCT(--(H44:AA44="M"),$H$52:$AA$52))=0,"",ROUND(SUMPRODUCT(H44:AA44,$H$53:$AA$53)/(SUMPRODUCT(--ISNUMBER(H44:AA44),$H$52:$AA$52)+SUMPRODUCT(--(H44:AA44="M"),$H$52:$AA$52))*100,1)/100))</f>
        <v/>
      </c>
      <c r="D44" s="34">
        <f>IF(C44="","",IFERROR(INDEX(Settings!$C$17:$C$26,MATCH(AC44,Settings!$B$17:$B$26,0)),""))</f>
        <v/>
      </c>
      <c r="E44" s="16">
        <f>IF(B44="","",COUNTIF(H44:AA44,"M"))</f>
        <v/>
      </c>
      <c r="F44" s="16">
        <f>IF(B44="","",COUNTIFS(Absences!$C$6:$C$405,Settings!$C$9,Absences!$D$6:$D$405,B44,Absences!$E$6:$E$405,"Absent"))</f>
        <v/>
      </c>
      <c r="G44" s="16">
        <f>IF(B44="","",COUNTIFS(Absences!$C$6:$C$405,Settings!$C$9,Absences!$D$6:$D$405,B44,Absences!$E$6:$E$405,"Late"))</f>
        <v/>
      </c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1" t="n"/>
      <c r="AC44">
        <f>IF(C44="","",SUMPRODUCT(MAX(ISNUMBER(Settings!$B$17:$B$26)*(Settings!$B$17:$B$26&lt;=ROUND(C44*100,1))*Settings!$B$17:$B$26)))</f>
        <v/>
      </c>
      <c r="AD44">
        <f>IF(C44="","",ROUND(C44*1000,0)*1000+134)</f>
        <v/>
      </c>
      <c r="AE44">
        <f>IF(C44="",0,IF(ROUND(C44*100,1)&lt;N($AC$2),1,0))</f>
        <v/>
      </c>
    </row>
    <row r="45">
      <c r="A45" s="1" t="n"/>
      <c r="B45" s="31" t="n"/>
      <c r="C45" s="44">
        <f>IF(B45="","",IF((SUMPRODUCT(--ISNUMBER(H45:AA45),$H$52:$AA$52)+SUMPRODUCT(--(H45:AA45="M"),$H$52:$AA$52))=0,"",ROUND(SUMPRODUCT(H45:AA45,$H$53:$AA$53)/(SUMPRODUCT(--ISNUMBER(H45:AA45),$H$52:$AA$52)+SUMPRODUCT(--(H45:AA45="M"),$H$52:$AA$52))*100,1)/100))</f>
        <v/>
      </c>
      <c r="D45" s="34">
        <f>IF(C45="","",IFERROR(INDEX(Settings!$C$17:$C$26,MATCH(AC45,Settings!$B$17:$B$26,0)),""))</f>
        <v/>
      </c>
      <c r="E45" s="16">
        <f>IF(B45="","",COUNTIF(H45:AA45,"M"))</f>
        <v/>
      </c>
      <c r="F45" s="16">
        <f>IF(B45="","",COUNTIFS(Absences!$C$6:$C$405,Settings!$C$9,Absences!$D$6:$D$405,B45,Absences!$E$6:$E$405,"Absent"))</f>
        <v/>
      </c>
      <c r="G45" s="16">
        <f>IF(B45="","",COUNTIFS(Absences!$C$6:$C$405,Settings!$C$9,Absences!$D$6:$D$405,B45,Absences!$E$6:$E$405,"Late"))</f>
        <v/>
      </c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1" t="n"/>
      <c r="AC45">
        <f>IF(C45="","",SUMPRODUCT(MAX(ISNUMBER(Settings!$B$17:$B$26)*(Settings!$B$17:$B$26&lt;=ROUND(C45*100,1))*Settings!$B$17:$B$26)))</f>
        <v/>
      </c>
      <c r="AD45">
        <f>IF(C45="","",ROUND(C45*1000,0)*1000+135)</f>
        <v/>
      </c>
      <c r="AE45">
        <f>IF(C45="",0,IF(ROUND(C45*100,1)&lt;N($AC$2),1,0))</f>
        <v/>
      </c>
    </row>
    <row r="46">
      <c r="A46" s="1" t="n"/>
      <c r="B46" s="31" t="n"/>
      <c r="C46" s="44">
        <f>IF(B46="","",IF((SUMPRODUCT(--ISNUMBER(H46:AA46),$H$52:$AA$52)+SUMPRODUCT(--(H46:AA46="M"),$H$52:$AA$52))=0,"",ROUND(SUMPRODUCT(H46:AA46,$H$53:$AA$53)/(SUMPRODUCT(--ISNUMBER(H46:AA46),$H$52:$AA$52)+SUMPRODUCT(--(H46:AA46="M"),$H$52:$AA$52))*100,1)/100))</f>
        <v/>
      </c>
      <c r="D46" s="34">
        <f>IF(C46="","",IFERROR(INDEX(Settings!$C$17:$C$26,MATCH(AC46,Settings!$B$17:$B$26,0)),""))</f>
        <v/>
      </c>
      <c r="E46" s="16">
        <f>IF(B46="","",COUNTIF(H46:AA46,"M"))</f>
        <v/>
      </c>
      <c r="F46" s="16">
        <f>IF(B46="","",COUNTIFS(Absences!$C$6:$C$405,Settings!$C$9,Absences!$D$6:$D$405,B46,Absences!$E$6:$E$405,"Absent"))</f>
        <v/>
      </c>
      <c r="G46" s="16">
        <f>IF(B46="","",COUNTIFS(Absences!$C$6:$C$405,Settings!$C$9,Absences!$D$6:$D$405,B46,Absences!$E$6:$E$405,"Late"))</f>
        <v/>
      </c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1" t="n"/>
      <c r="AC46">
        <f>IF(C46="","",SUMPRODUCT(MAX(ISNUMBER(Settings!$B$17:$B$26)*(Settings!$B$17:$B$26&lt;=ROUND(C46*100,1))*Settings!$B$17:$B$26)))</f>
        <v/>
      </c>
      <c r="AD46">
        <f>IF(C46="","",ROUND(C46*1000,0)*1000+136)</f>
        <v/>
      </c>
      <c r="AE46">
        <f>IF(C46="",0,IF(ROUND(C46*100,1)&lt;N($AC$2),1,0))</f>
        <v/>
      </c>
    </row>
    <row r="47">
      <c r="A47" s="1" t="n"/>
      <c r="B47" s="31" t="n"/>
      <c r="C47" s="44">
        <f>IF(B47="","",IF((SUMPRODUCT(--ISNUMBER(H47:AA47),$H$52:$AA$52)+SUMPRODUCT(--(H47:AA47="M"),$H$52:$AA$52))=0,"",ROUND(SUMPRODUCT(H47:AA47,$H$53:$AA$53)/(SUMPRODUCT(--ISNUMBER(H47:AA47),$H$52:$AA$52)+SUMPRODUCT(--(H47:AA47="M"),$H$52:$AA$52))*100,1)/100))</f>
        <v/>
      </c>
      <c r="D47" s="34">
        <f>IF(C47="","",IFERROR(INDEX(Settings!$C$17:$C$26,MATCH(AC47,Settings!$B$17:$B$26,0)),""))</f>
        <v/>
      </c>
      <c r="E47" s="16">
        <f>IF(B47="","",COUNTIF(H47:AA47,"M"))</f>
        <v/>
      </c>
      <c r="F47" s="16">
        <f>IF(B47="","",COUNTIFS(Absences!$C$6:$C$405,Settings!$C$9,Absences!$D$6:$D$405,B47,Absences!$E$6:$E$405,"Absent"))</f>
        <v/>
      </c>
      <c r="G47" s="16">
        <f>IF(B47="","",COUNTIFS(Absences!$C$6:$C$405,Settings!$C$9,Absences!$D$6:$D$405,B47,Absences!$E$6:$E$405,"Late"))</f>
        <v/>
      </c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1" t="n"/>
      <c r="AC47">
        <f>IF(C47="","",SUMPRODUCT(MAX(ISNUMBER(Settings!$B$17:$B$26)*(Settings!$B$17:$B$26&lt;=ROUND(C47*100,1))*Settings!$B$17:$B$26)))</f>
        <v/>
      </c>
      <c r="AD47">
        <f>IF(C47="","",ROUND(C47*1000,0)*1000+137)</f>
        <v/>
      </c>
      <c r="AE47">
        <f>IF(C47="",0,IF(ROUND(C47*100,1)&lt;N($AC$2),1,0))</f>
        <v/>
      </c>
    </row>
    <row r="48">
      <c r="A48" s="1" t="n"/>
      <c r="B48" s="31" t="n"/>
      <c r="C48" s="44">
        <f>IF(B48="","",IF((SUMPRODUCT(--ISNUMBER(H48:AA48),$H$52:$AA$52)+SUMPRODUCT(--(H48:AA48="M"),$H$52:$AA$52))=0,"",ROUND(SUMPRODUCT(H48:AA48,$H$53:$AA$53)/(SUMPRODUCT(--ISNUMBER(H48:AA48),$H$52:$AA$52)+SUMPRODUCT(--(H48:AA48="M"),$H$52:$AA$52))*100,1)/100))</f>
        <v/>
      </c>
      <c r="D48" s="34">
        <f>IF(C48="","",IFERROR(INDEX(Settings!$C$17:$C$26,MATCH(AC48,Settings!$B$17:$B$26,0)),""))</f>
        <v/>
      </c>
      <c r="E48" s="16">
        <f>IF(B48="","",COUNTIF(H48:AA48,"M"))</f>
        <v/>
      </c>
      <c r="F48" s="16">
        <f>IF(B48="","",COUNTIFS(Absences!$C$6:$C$405,Settings!$C$9,Absences!$D$6:$D$405,B48,Absences!$E$6:$E$405,"Absent"))</f>
        <v/>
      </c>
      <c r="G48" s="16">
        <f>IF(B48="","",COUNTIFS(Absences!$C$6:$C$405,Settings!$C$9,Absences!$D$6:$D$405,B48,Absences!$E$6:$E$405,"Late"))</f>
        <v/>
      </c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1" t="n"/>
      <c r="AC48">
        <f>IF(C48="","",SUMPRODUCT(MAX(ISNUMBER(Settings!$B$17:$B$26)*(Settings!$B$17:$B$26&lt;=ROUND(C48*100,1))*Settings!$B$17:$B$26)))</f>
        <v/>
      </c>
      <c r="AD48">
        <f>IF(C48="","",ROUND(C48*1000,0)*1000+138)</f>
        <v/>
      </c>
      <c r="AE48">
        <f>IF(C48="",0,IF(ROUND(C48*100,1)&lt;N($AC$2),1,0))</f>
        <v/>
      </c>
    </row>
    <row r="49">
      <c r="A49" s="1" t="n"/>
      <c r="B49" s="31" t="n"/>
      <c r="C49" s="44">
        <f>IF(B49="","",IF((SUMPRODUCT(--ISNUMBER(H49:AA49),$H$52:$AA$52)+SUMPRODUCT(--(H49:AA49="M"),$H$52:$AA$52))=0,"",ROUND(SUMPRODUCT(H49:AA49,$H$53:$AA$53)/(SUMPRODUCT(--ISNUMBER(H49:AA49),$H$52:$AA$52)+SUMPRODUCT(--(H49:AA49="M"),$H$52:$AA$52))*100,1)/100))</f>
        <v/>
      </c>
      <c r="D49" s="34">
        <f>IF(C49="","",IFERROR(INDEX(Settings!$C$17:$C$26,MATCH(AC49,Settings!$B$17:$B$26,0)),""))</f>
        <v/>
      </c>
      <c r="E49" s="16">
        <f>IF(B49="","",COUNTIF(H49:AA49,"M"))</f>
        <v/>
      </c>
      <c r="F49" s="16">
        <f>IF(B49="","",COUNTIFS(Absences!$C$6:$C$405,Settings!$C$9,Absences!$D$6:$D$405,B49,Absences!$E$6:$E$405,"Absent"))</f>
        <v/>
      </c>
      <c r="G49" s="16">
        <f>IF(B49="","",COUNTIFS(Absences!$C$6:$C$405,Settings!$C$9,Absences!$D$6:$D$405,B49,Absences!$E$6:$E$405,"Late"))</f>
        <v/>
      </c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1" t="n"/>
      <c r="AC49">
        <f>IF(C49="","",SUMPRODUCT(MAX(ISNUMBER(Settings!$B$17:$B$26)*(Settings!$B$17:$B$26&lt;=ROUND(C49*100,1))*Settings!$B$17:$B$26)))</f>
        <v/>
      </c>
      <c r="AD49">
        <f>IF(C49="","",ROUND(C49*1000,0)*1000+139)</f>
        <v/>
      </c>
      <c r="AE49">
        <f>IF(C49="",0,IF(ROUND(C49*100,1)&lt;N($AC$2),1,0))</f>
        <v/>
      </c>
    </row>
    <row r="50">
      <c r="A50" s="1" t="n"/>
      <c r="B50" s="31" t="n"/>
      <c r="C50" s="44">
        <f>IF(B50="","",IF((SUMPRODUCT(--ISNUMBER(H50:AA50),$H$52:$AA$52)+SUMPRODUCT(--(H50:AA50="M"),$H$52:$AA$52))=0,"",ROUND(SUMPRODUCT(H50:AA50,$H$53:$AA$53)/(SUMPRODUCT(--ISNUMBER(H50:AA50),$H$52:$AA$52)+SUMPRODUCT(--(H50:AA50="M"),$H$52:$AA$52))*100,1)/100))</f>
        <v/>
      </c>
      <c r="D50" s="34">
        <f>IF(C50="","",IFERROR(INDEX(Settings!$C$17:$C$26,MATCH(AC50,Settings!$B$17:$B$26,0)),""))</f>
        <v/>
      </c>
      <c r="E50" s="16">
        <f>IF(B50="","",COUNTIF(H50:AA50,"M"))</f>
        <v/>
      </c>
      <c r="F50" s="16">
        <f>IF(B50="","",COUNTIFS(Absences!$C$6:$C$405,Settings!$C$9,Absences!$D$6:$D$405,B50,Absences!$E$6:$E$405,"Absent"))</f>
        <v/>
      </c>
      <c r="G50" s="16">
        <f>IF(B50="","",COUNTIFS(Absences!$C$6:$C$405,Settings!$C$9,Absences!$D$6:$D$405,B50,Absences!$E$6:$E$405,"Late"))</f>
        <v/>
      </c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1" t="n"/>
      <c r="AC50">
        <f>IF(C50="","",SUMPRODUCT(MAX(ISNUMBER(Settings!$B$17:$B$26)*(Settings!$B$17:$B$26&lt;=ROUND(C50*100,1))*Settings!$B$17:$B$26)))</f>
        <v/>
      </c>
      <c r="AD50">
        <f>IF(C50="","",ROUND(C50*1000,0)*1000+140)</f>
        <v/>
      </c>
      <c r="AE50">
        <f>IF(C50="",0,IF(ROUND(C50*100,1)&lt;N($AC$2),1,0))</f>
        <v/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idden="1">
      <c r="H52">
        <f>IF(N(H7)&lt;=0,0,IF(H8="",1,N(H8)))</f>
        <v/>
      </c>
      <c r="I52">
        <f>IF(N(I7)&lt;=0,0,IF(I8="",1,N(I8)))</f>
        <v/>
      </c>
      <c r="J52">
        <f>IF(N(J7)&lt;=0,0,IF(J8="",1,N(J8)))</f>
        <v/>
      </c>
      <c r="K52">
        <f>IF(N(K7)&lt;=0,0,IF(K8="",1,N(K8)))</f>
        <v/>
      </c>
      <c r="L52">
        <f>IF(N(L7)&lt;=0,0,IF(L8="",1,N(L8)))</f>
        <v/>
      </c>
      <c r="M52">
        <f>IF(N(M7)&lt;=0,0,IF(M8="",1,N(M8)))</f>
        <v/>
      </c>
      <c r="N52">
        <f>IF(N(N7)&lt;=0,0,IF(N8="",1,N(N8)))</f>
        <v/>
      </c>
      <c r="O52">
        <f>IF(N(O7)&lt;=0,0,IF(O8="",1,N(O8)))</f>
        <v/>
      </c>
      <c r="P52">
        <f>IF(N(P7)&lt;=0,0,IF(P8="",1,N(P8)))</f>
        <v/>
      </c>
      <c r="Q52">
        <f>IF(N(Q7)&lt;=0,0,IF(Q8="",1,N(Q8)))</f>
        <v/>
      </c>
      <c r="R52">
        <f>IF(N(R7)&lt;=0,0,IF(R8="",1,N(R8)))</f>
        <v/>
      </c>
      <c r="S52">
        <f>IF(N(S7)&lt;=0,0,IF(S8="",1,N(S8)))</f>
        <v/>
      </c>
      <c r="T52">
        <f>IF(N(T7)&lt;=0,0,IF(T8="",1,N(T8)))</f>
        <v/>
      </c>
      <c r="U52">
        <f>IF(N(U7)&lt;=0,0,IF(U8="",1,N(U8)))</f>
        <v/>
      </c>
      <c r="V52">
        <f>IF(N(V7)&lt;=0,0,IF(V8="",1,N(V8)))</f>
        <v/>
      </c>
      <c r="W52">
        <f>IF(N(W7)&lt;=0,0,IF(W8="",1,N(W8)))</f>
        <v/>
      </c>
      <c r="X52">
        <f>IF(N(X7)&lt;=0,0,IF(X8="",1,N(X8)))</f>
        <v/>
      </c>
      <c r="Y52">
        <f>IF(N(Y7)&lt;=0,0,IF(Y8="",1,N(Y8)))</f>
        <v/>
      </c>
      <c r="Z52">
        <f>IF(N(Z7)&lt;=0,0,IF(Z8="",1,N(Z8)))</f>
        <v/>
      </c>
      <c r="AA52">
        <f>IF(N(AA7)&lt;=0,0,IF(AA8="",1,N(AA8)))</f>
        <v/>
      </c>
    </row>
    <row r="53" hidden="1">
      <c r="H53">
        <f>IF(H52=0,0,H52/H7)</f>
        <v/>
      </c>
      <c r="I53">
        <f>IF(I52=0,0,I52/I7)</f>
        <v/>
      </c>
      <c r="J53">
        <f>IF(J52=0,0,J52/J7)</f>
        <v/>
      </c>
      <c r="K53">
        <f>IF(K52=0,0,K52/K7)</f>
        <v/>
      </c>
      <c r="L53">
        <f>IF(L52=0,0,L52/L7)</f>
        <v/>
      </c>
      <c r="M53">
        <f>IF(M52=0,0,M52/M7)</f>
        <v/>
      </c>
      <c r="N53">
        <f>IF(N52=0,0,N52/N7)</f>
        <v/>
      </c>
      <c r="O53">
        <f>IF(O52=0,0,O52/O7)</f>
        <v/>
      </c>
      <c r="P53">
        <f>IF(P52=0,0,P52/P7)</f>
        <v/>
      </c>
      <c r="Q53">
        <f>IF(Q52=0,0,Q52/Q7)</f>
        <v/>
      </c>
      <c r="R53">
        <f>IF(R52=0,0,R52/R7)</f>
        <v/>
      </c>
      <c r="S53">
        <f>IF(S52=0,0,S52/S7)</f>
        <v/>
      </c>
      <c r="T53">
        <f>IF(T52=0,0,T52/T7)</f>
        <v/>
      </c>
      <c r="U53">
        <f>IF(U52=0,0,U52/U7)</f>
        <v/>
      </c>
      <c r="V53">
        <f>IF(V52=0,0,V52/V7)</f>
        <v/>
      </c>
      <c r="W53">
        <f>IF(W52=0,0,W52/W7)</f>
        <v/>
      </c>
      <c r="X53">
        <f>IF(X52=0,0,X52/X7)</f>
        <v/>
      </c>
      <c r="Y53">
        <f>IF(Y52=0,0,Y52/Y7)</f>
        <v/>
      </c>
      <c r="Z53">
        <f>IF(Z52=0,0,Z52/Z7)</f>
        <v/>
      </c>
      <c r="AA53">
        <f>IF(AA52=0,0,AA52/AA7)</f>
        <v/>
      </c>
    </row>
    <row r="54" hidden="1">
      <c r="H54">
        <f>IF(AND(H5&lt;&gt;"",ISNUMBER(H6)),IF(AND(H6&lt;=TODAY(),COUNT(H11:H50)+COUNTIF(H11:H50,"M")=0),1,0),0)</f>
        <v/>
      </c>
      <c r="I54">
        <f>IF(AND(I5&lt;&gt;"",ISNUMBER(I6)),IF(AND(I6&lt;=TODAY(),COUNT(I11:I50)+COUNTIF(I11:I50,"M")=0),1,0),0)</f>
        <v/>
      </c>
      <c r="J54">
        <f>IF(AND(J5&lt;&gt;"",ISNUMBER(J6)),IF(AND(J6&lt;=TODAY(),COUNT(J11:J50)+COUNTIF(J11:J50,"M")=0),1,0),0)</f>
        <v/>
      </c>
      <c r="K54">
        <f>IF(AND(K5&lt;&gt;"",ISNUMBER(K6)),IF(AND(K6&lt;=TODAY(),COUNT(K11:K50)+COUNTIF(K11:K50,"M")=0),1,0),0)</f>
        <v/>
      </c>
      <c r="L54">
        <f>IF(AND(L5&lt;&gt;"",ISNUMBER(L6)),IF(AND(L6&lt;=TODAY(),COUNT(L11:L50)+COUNTIF(L11:L50,"M")=0),1,0),0)</f>
        <v/>
      </c>
      <c r="M54">
        <f>IF(AND(M5&lt;&gt;"",ISNUMBER(M6)),IF(AND(M6&lt;=TODAY(),COUNT(M11:M50)+COUNTIF(M11:M50,"M")=0),1,0),0)</f>
        <v/>
      </c>
      <c r="N54">
        <f>IF(AND(N5&lt;&gt;"",ISNUMBER(N6)),IF(AND(N6&lt;=TODAY(),COUNT(N11:N50)+COUNTIF(N11:N50,"M")=0),1,0),0)</f>
        <v/>
      </c>
      <c r="O54">
        <f>IF(AND(O5&lt;&gt;"",ISNUMBER(O6)),IF(AND(O6&lt;=TODAY(),COUNT(O11:O50)+COUNTIF(O11:O50,"M")=0),1,0),0)</f>
        <v/>
      </c>
      <c r="P54">
        <f>IF(AND(P5&lt;&gt;"",ISNUMBER(P6)),IF(AND(P6&lt;=TODAY(),COUNT(P11:P50)+COUNTIF(P11:P50,"M")=0),1,0),0)</f>
        <v/>
      </c>
      <c r="Q54">
        <f>IF(AND(Q5&lt;&gt;"",ISNUMBER(Q6)),IF(AND(Q6&lt;=TODAY(),COUNT(Q11:Q50)+COUNTIF(Q11:Q50,"M")=0),1,0),0)</f>
        <v/>
      </c>
      <c r="R54">
        <f>IF(AND(R5&lt;&gt;"",ISNUMBER(R6)),IF(AND(R6&lt;=TODAY(),COUNT(R11:R50)+COUNTIF(R11:R50,"M")=0),1,0),0)</f>
        <v/>
      </c>
      <c r="S54">
        <f>IF(AND(S5&lt;&gt;"",ISNUMBER(S6)),IF(AND(S6&lt;=TODAY(),COUNT(S11:S50)+COUNTIF(S11:S50,"M")=0),1,0),0)</f>
        <v/>
      </c>
      <c r="T54">
        <f>IF(AND(T5&lt;&gt;"",ISNUMBER(T6)),IF(AND(T6&lt;=TODAY(),COUNT(T11:T50)+COUNTIF(T11:T50,"M")=0),1,0),0)</f>
        <v/>
      </c>
      <c r="U54">
        <f>IF(AND(U5&lt;&gt;"",ISNUMBER(U6)),IF(AND(U6&lt;=TODAY(),COUNT(U11:U50)+COUNTIF(U11:U50,"M")=0),1,0),0)</f>
        <v/>
      </c>
      <c r="V54">
        <f>IF(AND(V5&lt;&gt;"",ISNUMBER(V6)),IF(AND(V6&lt;=TODAY(),COUNT(V11:V50)+COUNTIF(V11:V50,"M")=0),1,0),0)</f>
        <v/>
      </c>
      <c r="W54">
        <f>IF(AND(W5&lt;&gt;"",ISNUMBER(W6)),IF(AND(W6&lt;=TODAY(),COUNT(W11:W50)+COUNTIF(W11:W50,"M")=0),1,0),0)</f>
        <v/>
      </c>
      <c r="X54">
        <f>IF(AND(X5&lt;&gt;"",ISNUMBER(X6)),IF(AND(X6&lt;=TODAY(),COUNT(X11:X50)+COUNTIF(X11:X50,"M")=0),1,0),0)</f>
        <v/>
      </c>
      <c r="Y54">
        <f>IF(AND(Y5&lt;&gt;"",ISNUMBER(Y6)),IF(AND(Y6&lt;=TODAY(),COUNT(Y11:Y50)+COUNTIF(Y11:Y50,"M")=0),1,0),0)</f>
        <v/>
      </c>
      <c r="Z54">
        <f>IF(AND(Z5&lt;&gt;"",ISNUMBER(Z6)),IF(AND(Z6&lt;=TODAY(),COUNT(Z11:Z50)+COUNTIF(Z11:Z50,"M")=0),1,0),0)</f>
        <v/>
      </c>
      <c r="AA54">
        <f>IF(AND(AA5&lt;&gt;"",ISNUMBER(AA6)),IF(AND(AA6&lt;=TODAY(),COUNT(AA11:AA50)+COUNTIF(AA11:AA50,"M")=0),1,0),0)</f>
        <v/>
      </c>
    </row>
  </sheetData>
  <conditionalFormatting sqref="C11:D50">
    <cfRule type="expression" priority="1" dxfId="1">
      <formula>AND(ISNUMBER($C11),ROUND($C11*100,1)&lt;N($AC$2))</formula>
    </cfRule>
  </conditionalFormatting>
  <conditionalFormatting sqref="E11:E50">
    <cfRule type="expression" priority="2" dxfId="0">
      <formula>N(E11)&gt;0</formula>
    </cfRule>
  </conditionalFormatting>
  <conditionalFormatting sqref="H11:AA50">
    <cfRule type="expression" priority="3" dxfId="1">
      <formula>H11="M"</formula>
    </cfRule>
    <cfRule type="expression" priority="4" dxfId="2">
      <formula>AND(ISNUMBER(H11),H11&gt;N(H$7))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54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7" customWidth="1" min="4" max="4"/>
    <col width="8" customWidth="1" min="5" max="5"/>
    <col width="8" customWidth="1" min="6" max="6"/>
    <col width="7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hidden="1" width="13" customWidth="1" min="29" max="29"/>
    <col hidden="1" width="13" customWidth="1" min="30" max="30"/>
    <col hidden="1" width="13" customWidth="1" min="31" max="3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2">
        <f>IF(Settings!$C$10="","Class 2",Settings!$C$10)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>
        <f>Settings!$C$4</f>
        <v/>
      </c>
    </row>
    <row r="3">
      <c r="A3" s="1" t="n"/>
      <c r="B3" s="3" t="inlineStr">
        <is>
          <t>Scores as numbers. M for missing work (counts as 0), Ex for excused (left out), empty for not marked yet.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92" customHeight="1">
      <c r="A5" s="1" t="n"/>
      <c r="B5" s="1" t="n"/>
      <c r="C5" s="1" t="n"/>
      <c r="D5" s="1" t="n"/>
      <c r="E5" s="1" t="n"/>
      <c r="F5" s="1" t="n"/>
      <c r="G5" s="37" t="inlineStr">
        <is>
          <t>Assessment</t>
        </is>
      </c>
      <c r="H5" s="38" t="inlineStr">
        <is>
          <t>Particles quiz</t>
        </is>
      </c>
      <c r="I5" s="38" t="inlineStr">
        <is>
          <t>States of matter</t>
        </is>
      </c>
      <c r="J5" s="38" t="inlineStr">
        <is>
          <t>Diffusion practical</t>
        </is>
      </c>
      <c r="K5" s="38" t="inlineStr">
        <is>
          <t>Unit 1 test</t>
        </is>
      </c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1" t="n"/>
    </row>
    <row r="6">
      <c r="A6" s="1" t="n"/>
      <c r="B6" s="1" t="n"/>
      <c r="C6" s="1" t="n"/>
      <c r="D6" s="1" t="n"/>
      <c r="E6" s="1" t="n"/>
      <c r="F6" s="1" t="n"/>
      <c r="G6" s="39" t="inlineStr">
        <is>
          <t>Date</t>
        </is>
      </c>
      <c r="H6" s="40" t="n">
        <v>46270</v>
      </c>
      <c r="I6" s="40" t="n">
        <v>46277</v>
      </c>
      <c r="J6" s="40" t="n">
        <v>46283</v>
      </c>
      <c r="K6" s="40" t="n">
        <v>46289</v>
      </c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1" t="n"/>
    </row>
    <row r="7">
      <c r="A7" s="1" t="n"/>
      <c r="B7" s="1" t="n"/>
      <c r="C7" s="1" t="n"/>
      <c r="D7" s="1" t="n"/>
      <c r="E7" s="1" t="n"/>
      <c r="F7" s="1" t="n"/>
      <c r="G7" s="39" t="inlineStr">
        <is>
          <t>Out of</t>
        </is>
      </c>
      <c r="H7" s="29" t="n">
        <v>10</v>
      </c>
      <c r="I7" s="29" t="n">
        <v>20</v>
      </c>
      <c r="J7" s="29" t="n">
        <v>25</v>
      </c>
      <c r="K7" s="29" t="n">
        <v>60</v>
      </c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1" t="n"/>
    </row>
    <row r="8">
      <c r="A8" s="1" t="n"/>
      <c r="B8" s="1" t="n"/>
      <c r="C8" s="1" t="n"/>
      <c r="D8" s="1" t="n"/>
      <c r="E8" s="1" t="n"/>
      <c r="F8" s="1" t="n"/>
      <c r="G8" s="39" t="inlineStr">
        <is>
          <t>Weight</t>
        </is>
      </c>
      <c r="H8" s="41" t="n">
        <v>1</v>
      </c>
      <c r="I8" s="41" t="n">
        <v>1</v>
      </c>
      <c r="J8" s="41" t="n">
        <v>1</v>
      </c>
      <c r="K8" s="41" t="n">
        <v>2</v>
      </c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1" t="n"/>
    </row>
    <row r="9">
      <c r="A9" s="1" t="n"/>
      <c r="B9" s="1" t="n"/>
      <c r="C9" s="42">
        <f>IF(COUNT(C11:C50)=0,"",AVERAGE(C11:C50))</f>
        <v/>
      </c>
      <c r="D9" s="1" t="n"/>
      <c r="E9" s="1" t="n"/>
      <c r="F9" s="1" t="n"/>
      <c r="G9" s="39" t="inlineStr">
        <is>
          <t>Class average</t>
        </is>
      </c>
      <c r="H9" s="43">
        <f>IF(OR(N(H7)&lt;=0,COUNT(H11:H50)=0),"",AVERAGE(H11:H50)/H7)</f>
        <v/>
      </c>
      <c r="I9" s="43">
        <f>IF(OR(N(I7)&lt;=0,COUNT(I11:I50)=0),"",AVERAGE(I11:I50)/I7)</f>
        <v/>
      </c>
      <c r="J9" s="43">
        <f>IF(OR(N(J7)&lt;=0,COUNT(J11:J50)=0),"",AVERAGE(J11:J50)/J7)</f>
        <v/>
      </c>
      <c r="K9" s="43">
        <f>IF(OR(N(K7)&lt;=0,COUNT(K11:K50)=0),"",AVERAGE(K11:K50)/K7)</f>
        <v/>
      </c>
      <c r="L9" s="43">
        <f>IF(OR(N(L7)&lt;=0,COUNT(L11:L50)=0),"",AVERAGE(L11:L50)/L7)</f>
        <v/>
      </c>
      <c r="M9" s="43">
        <f>IF(OR(N(M7)&lt;=0,COUNT(M11:M50)=0),"",AVERAGE(M11:M50)/M7)</f>
        <v/>
      </c>
      <c r="N9" s="43">
        <f>IF(OR(N(N7)&lt;=0,COUNT(N11:N50)=0),"",AVERAGE(N11:N50)/N7)</f>
        <v/>
      </c>
      <c r="O9" s="43">
        <f>IF(OR(N(O7)&lt;=0,COUNT(O11:O50)=0),"",AVERAGE(O11:O50)/O7)</f>
        <v/>
      </c>
      <c r="P9" s="43">
        <f>IF(OR(N(P7)&lt;=0,COUNT(P11:P50)=0),"",AVERAGE(P11:P50)/P7)</f>
        <v/>
      </c>
      <c r="Q9" s="43">
        <f>IF(OR(N(Q7)&lt;=0,COUNT(Q11:Q50)=0),"",AVERAGE(Q11:Q50)/Q7)</f>
        <v/>
      </c>
      <c r="R9" s="43">
        <f>IF(OR(N(R7)&lt;=0,COUNT(R11:R50)=0),"",AVERAGE(R11:R50)/R7)</f>
        <v/>
      </c>
      <c r="S9" s="43">
        <f>IF(OR(N(S7)&lt;=0,COUNT(S11:S50)=0),"",AVERAGE(S11:S50)/S7)</f>
        <v/>
      </c>
      <c r="T9" s="43">
        <f>IF(OR(N(T7)&lt;=0,COUNT(T11:T50)=0),"",AVERAGE(T11:T50)/T7)</f>
        <v/>
      </c>
      <c r="U9" s="43">
        <f>IF(OR(N(U7)&lt;=0,COUNT(U11:U50)=0),"",AVERAGE(U11:U50)/U7)</f>
        <v/>
      </c>
      <c r="V9" s="43">
        <f>IF(OR(N(V7)&lt;=0,COUNT(V11:V50)=0),"",AVERAGE(V11:V50)/V7)</f>
        <v/>
      </c>
      <c r="W9" s="43">
        <f>IF(OR(N(W7)&lt;=0,COUNT(W11:W50)=0),"",AVERAGE(W11:W50)/W7)</f>
        <v/>
      </c>
      <c r="X9" s="43">
        <f>IF(OR(N(X7)&lt;=0,COUNT(X11:X50)=0),"",AVERAGE(X11:X50)/X7)</f>
        <v/>
      </c>
      <c r="Y9" s="43">
        <f>IF(OR(N(Y7)&lt;=0,COUNT(Y11:Y50)=0),"",AVERAGE(Y11:Y50)/Y7)</f>
        <v/>
      </c>
      <c r="Z9" s="43">
        <f>IF(OR(N(Z7)&lt;=0,COUNT(Z11:Z50)=0),"",AVERAGE(Z11:Z50)/Z7)</f>
        <v/>
      </c>
      <c r="AA9" s="43">
        <f>IF(OR(N(AA7)&lt;=0,COUNT(AA11:AA50)=0),"",AVERAGE(AA11:AA50)/AA7)</f>
        <v/>
      </c>
      <c r="AB9" s="1" t="n"/>
    </row>
    <row r="10" ht="30" customHeight="1">
      <c r="A10" s="1" t="n"/>
      <c r="B10" s="10" t="inlineStr">
        <is>
          <t>Student</t>
        </is>
      </c>
      <c r="C10" s="10" t="inlineStr">
        <is>
          <t>Average</t>
        </is>
      </c>
      <c r="D10" s="10" t="inlineStr">
        <is>
          <t>Grade</t>
        </is>
      </c>
      <c r="E10" s="10" t="inlineStr">
        <is>
          <t>Missing</t>
        </is>
      </c>
      <c r="F10" s="10" t="inlineStr">
        <is>
          <t>Absent</t>
        </is>
      </c>
      <c r="G10" s="10" t="inlineStr">
        <is>
          <t>Late</t>
        </is>
      </c>
      <c r="H10" s="10" t="n">
        <v>1</v>
      </c>
      <c r="I10" s="10" t="n">
        <v>2</v>
      </c>
      <c r="J10" s="10" t="n">
        <v>3</v>
      </c>
      <c r="K10" s="10" t="n">
        <v>4</v>
      </c>
      <c r="L10" s="10" t="n">
        <v>5</v>
      </c>
      <c r="M10" s="10" t="n">
        <v>6</v>
      </c>
      <c r="N10" s="10" t="n">
        <v>7</v>
      </c>
      <c r="O10" s="10" t="n">
        <v>8</v>
      </c>
      <c r="P10" s="10" t="n">
        <v>9</v>
      </c>
      <c r="Q10" s="10" t="n">
        <v>10</v>
      </c>
      <c r="R10" s="10" t="n">
        <v>11</v>
      </c>
      <c r="S10" s="10" t="n">
        <v>12</v>
      </c>
      <c r="T10" s="10" t="n">
        <v>13</v>
      </c>
      <c r="U10" s="10" t="n">
        <v>14</v>
      </c>
      <c r="V10" s="10" t="n">
        <v>15</v>
      </c>
      <c r="W10" s="10" t="n">
        <v>16</v>
      </c>
      <c r="X10" s="10" t="n">
        <v>17</v>
      </c>
      <c r="Y10" s="10" t="n">
        <v>18</v>
      </c>
      <c r="Z10" s="10" t="n">
        <v>19</v>
      </c>
      <c r="AA10" s="10" t="n">
        <v>20</v>
      </c>
      <c r="AB10" s="1" t="n"/>
    </row>
    <row r="11">
      <c r="A11" s="1" t="n"/>
      <c r="B11" s="31" t="inlineStr">
        <is>
          <t>Xavi A.</t>
        </is>
      </c>
      <c r="C11" s="44">
        <f>IF(B11="","",IF((SUMPRODUCT(--ISNUMBER(H11:AA11),$H$52:$AA$52)+SUMPRODUCT(--(H11:AA11="M"),$H$52:$AA$52))=0,"",ROUND(SUMPRODUCT(H11:AA11,$H$53:$AA$53)/(SUMPRODUCT(--ISNUMBER(H11:AA11),$H$52:$AA$52)+SUMPRODUCT(--(H11:AA11="M"),$H$52:$AA$52))*100,1)/100))</f>
        <v/>
      </c>
      <c r="D11" s="34">
        <f>IF(C11="","",IFERROR(INDEX(Settings!$C$17:$C$26,MATCH(AC11,Settings!$B$17:$B$26,0)),""))</f>
        <v/>
      </c>
      <c r="E11" s="16">
        <f>IF(B11="","",COUNTIF(H11:AA11,"M"))</f>
        <v/>
      </c>
      <c r="F11" s="16">
        <f>IF(B11="","",COUNTIFS(Absences!$C$6:$C$405,Settings!$C$10,Absences!$D$6:$D$405,B11,Absences!$E$6:$E$405,"Absent"))</f>
        <v/>
      </c>
      <c r="G11" s="16">
        <f>IF(B11="","",COUNTIFS(Absences!$C$6:$C$405,Settings!$C$10,Absences!$D$6:$D$405,B11,Absences!$E$6:$E$405,"Late"))</f>
        <v/>
      </c>
      <c r="H11" s="33" t="n">
        <v>9</v>
      </c>
      <c r="I11" s="33" t="n">
        <v>16</v>
      </c>
      <c r="J11" s="33" t="n">
        <v>22</v>
      </c>
      <c r="K11" s="33" t="n">
        <v>51</v>
      </c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1" t="n"/>
      <c r="AC11">
        <f>IF(C11="","",SUMPRODUCT(MAX(ISNUMBER(Settings!$B$17:$B$26)*(Settings!$B$17:$B$26&lt;=ROUND(C11*100,1))*Settings!$B$17:$B$26)))</f>
        <v/>
      </c>
      <c r="AD11">
        <f>IF(C11="","",ROUND(C11*1000,0)*1000+201)</f>
        <v/>
      </c>
      <c r="AE11">
        <f>IF(C11="",0,IF(ROUND(C11*100,1)&lt;N($AC$2),1,0))</f>
        <v/>
      </c>
    </row>
    <row r="12">
      <c r="A12" s="1" t="n"/>
      <c r="B12" s="31" t="inlineStr">
        <is>
          <t>Amara J.</t>
        </is>
      </c>
      <c r="C12" s="44">
        <f>IF(B12="","",IF((SUMPRODUCT(--ISNUMBER(H12:AA12),$H$52:$AA$52)+SUMPRODUCT(--(H12:AA12="M"),$H$52:$AA$52))=0,"",ROUND(SUMPRODUCT(H12:AA12,$H$53:$AA$53)/(SUMPRODUCT(--ISNUMBER(H12:AA12),$H$52:$AA$52)+SUMPRODUCT(--(H12:AA12="M"),$H$52:$AA$52))*100,1)/100))</f>
        <v/>
      </c>
      <c r="D12" s="34">
        <f>IF(C12="","",IFERROR(INDEX(Settings!$C$17:$C$26,MATCH(AC12,Settings!$B$17:$B$26,0)),""))</f>
        <v/>
      </c>
      <c r="E12" s="16">
        <f>IF(B12="","",COUNTIF(H12:AA12,"M"))</f>
        <v/>
      </c>
      <c r="F12" s="16">
        <f>IF(B12="","",COUNTIFS(Absences!$C$6:$C$405,Settings!$C$10,Absences!$D$6:$D$405,B12,Absences!$E$6:$E$405,"Absent"))</f>
        <v/>
      </c>
      <c r="G12" s="16">
        <f>IF(B12="","",COUNTIFS(Absences!$C$6:$C$405,Settings!$C$10,Absences!$D$6:$D$405,B12,Absences!$E$6:$E$405,"Late"))</f>
        <v/>
      </c>
      <c r="H12" s="33" t="n">
        <v>9</v>
      </c>
      <c r="I12" s="33" t="n">
        <v>15</v>
      </c>
      <c r="J12" s="33" t="n">
        <v>17</v>
      </c>
      <c r="K12" s="33" t="n">
        <v>49</v>
      </c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1" t="n"/>
      <c r="AC12">
        <f>IF(C12="","",SUMPRODUCT(MAX(ISNUMBER(Settings!$B$17:$B$26)*(Settings!$B$17:$B$26&lt;=ROUND(C12*100,1))*Settings!$B$17:$B$26)))</f>
        <v/>
      </c>
      <c r="AD12">
        <f>IF(C12="","",ROUND(C12*1000,0)*1000+202)</f>
        <v/>
      </c>
      <c r="AE12">
        <f>IF(C12="",0,IF(ROUND(C12*100,1)&lt;N($AC$2),1,0))</f>
        <v/>
      </c>
    </row>
    <row r="13">
      <c r="A13" s="1" t="n"/>
      <c r="B13" s="31" t="inlineStr">
        <is>
          <t>Nadia H.</t>
        </is>
      </c>
      <c r="C13" s="44">
        <f>IF(B13="","",IF((SUMPRODUCT(--ISNUMBER(H13:AA13),$H$52:$AA$52)+SUMPRODUCT(--(H13:AA13="M"),$H$52:$AA$52))=0,"",ROUND(SUMPRODUCT(H13:AA13,$H$53:$AA$53)/(SUMPRODUCT(--ISNUMBER(H13:AA13),$H$52:$AA$52)+SUMPRODUCT(--(H13:AA13="M"),$H$52:$AA$52))*100,1)/100))</f>
        <v/>
      </c>
      <c r="D13" s="34">
        <f>IF(C13="","",IFERROR(INDEX(Settings!$C$17:$C$26,MATCH(AC13,Settings!$B$17:$B$26,0)),""))</f>
        <v/>
      </c>
      <c r="E13" s="16">
        <f>IF(B13="","",COUNTIF(H13:AA13,"M"))</f>
        <v/>
      </c>
      <c r="F13" s="16">
        <f>IF(B13="","",COUNTIFS(Absences!$C$6:$C$405,Settings!$C$10,Absences!$D$6:$D$405,B13,Absences!$E$6:$E$405,"Absent"))</f>
        <v/>
      </c>
      <c r="G13" s="16">
        <f>IF(B13="","",COUNTIFS(Absences!$C$6:$C$405,Settings!$C$10,Absences!$D$6:$D$405,B13,Absences!$E$6:$E$405,"Late"))</f>
        <v/>
      </c>
      <c r="H13" s="33" t="n">
        <v>7</v>
      </c>
      <c r="I13" s="33" t="n">
        <v>16</v>
      </c>
      <c r="J13" s="33" t="n">
        <v>14</v>
      </c>
      <c r="K13" s="33" t="n">
        <v>39</v>
      </c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1" t="n"/>
      <c r="AC13">
        <f>IF(C13="","",SUMPRODUCT(MAX(ISNUMBER(Settings!$B$17:$B$26)*(Settings!$B$17:$B$26&lt;=ROUND(C13*100,1))*Settings!$B$17:$B$26)))</f>
        <v/>
      </c>
      <c r="AD13">
        <f>IF(C13="","",ROUND(C13*1000,0)*1000+203)</f>
        <v/>
      </c>
      <c r="AE13">
        <f>IF(C13="",0,IF(ROUND(C13*100,1)&lt;N($AC$2),1,0))</f>
        <v/>
      </c>
    </row>
    <row r="14">
      <c r="A14" s="1" t="n"/>
      <c r="B14" s="31" t="inlineStr">
        <is>
          <t>Tara C.</t>
        </is>
      </c>
      <c r="C14" s="44">
        <f>IF(B14="","",IF((SUMPRODUCT(--ISNUMBER(H14:AA14),$H$52:$AA$52)+SUMPRODUCT(--(H14:AA14="M"),$H$52:$AA$52))=0,"",ROUND(SUMPRODUCT(H14:AA14,$H$53:$AA$53)/(SUMPRODUCT(--ISNUMBER(H14:AA14),$H$52:$AA$52)+SUMPRODUCT(--(H14:AA14="M"),$H$52:$AA$52))*100,1)/100))</f>
        <v/>
      </c>
      <c r="D14" s="34">
        <f>IF(C14="","",IFERROR(INDEX(Settings!$C$17:$C$26,MATCH(AC14,Settings!$B$17:$B$26,0)),""))</f>
        <v/>
      </c>
      <c r="E14" s="16">
        <f>IF(B14="","",COUNTIF(H14:AA14,"M"))</f>
        <v/>
      </c>
      <c r="F14" s="16">
        <f>IF(B14="","",COUNTIFS(Absences!$C$6:$C$405,Settings!$C$10,Absences!$D$6:$D$405,B14,Absences!$E$6:$E$405,"Absent"))</f>
        <v/>
      </c>
      <c r="G14" s="16">
        <f>IF(B14="","",COUNTIFS(Absences!$C$6:$C$405,Settings!$C$10,Absences!$D$6:$D$405,B14,Absences!$E$6:$E$405,"Late"))</f>
        <v/>
      </c>
      <c r="H14" s="33" t="n">
        <v>10</v>
      </c>
      <c r="I14" s="33" t="n">
        <v>19</v>
      </c>
      <c r="J14" s="33" t="n">
        <v>23</v>
      </c>
      <c r="K14" s="33" t="n">
        <v>55</v>
      </c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1" t="n"/>
      <c r="AC14">
        <f>IF(C14="","",SUMPRODUCT(MAX(ISNUMBER(Settings!$B$17:$B$26)*(Settings!$B$17:$B$26&lt;=ROUND(C14*100,1))*Settings!$B$17:$B$26)))</f>
        <v/>
      </c>
      <c r="AD14">
        <f>IF(C14="","",ROUND(C14*1000,0)*1000+204)</f>
        <v/>
      </c>
      <c r="AE14">
        <f>IF(C14="",0,IF(ROUND(C14*100,1)&lt;N($AC$2),1,0))</f>
        <v/>
      </c>
    </row>
    <row r="15">
      <c r="A15" s="1" t="n"/>
      <c r="B15" s="31" t="inlineStr">
        <is>
          <t>Oscar P.</t>
        </is>
      </c>
      <c r="C15" s="44">
        <f>IF(B15="","",IF((SUMPRODUCT(--ISNUMBER(H15:AA15),$H$52:$AA$52)+SUMPRODUCT(--(H15:AA15="M"),$H$52:$AA$52))=0,"",ROUND(SUMPRODUCT(H15:AA15,$H$53:$AA$53)/(SUMPRODUCT(--ISNUMBER(H15:AA15),$H$52:$AA$52)+SUMPRODUCT(--(H15:AA15="M"),$H$52:$AA$52))*100,1)/100))</f>
        <v/>
      </c>
      <c r="D15" s="34">
        <f>IF(C15="","",IFERROR(INDEX(Settings!$C$17:$C$26,MATCH(AC15,Settings!$B$17:$B$26,0)),""))</f>
        <v/>
      </c>
      <c r="E15" s="16">
        <f>IF(B15="","",COUNTIF(H15:AA15,"M"))</f>
        <v/>
      </c>
      <c r="F15" s="16">
        <f>IF(B15="","",COUNTIFS(Absences!$C$6:$C$405,Settings!$C$10,Absences!$D$6:$D$405,B15,Absences!$E$6:$E$405,"Absent"))</f>
        <v/>
      </c>
      <c r="G15" s="16">
        <f>IF(B15="","",COUNTIFS(Absences!$C$6:$C$405,Settings!$C$10,Absences!$D$6:$D$405,B15,Absences!$E$6:$E$405,"Late"))</f>
        <v/>
      </c>
      <c r="H15" s="33" t="n">
        <v>6</v>
      </c>
      <c r="I15" s="33" t="n">
        <v>11</v>
      </c>
      <c r="J15" s="33" t="n">
        <v>17</v>
      </c>
      <c r="K15" s="33" t="n">
        <v>37</v>
      </c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1" t="n"/>
      <c r="AC15">
        <f>IF(C15="","",SUMPRODUCT(MAX(ISNUMBER(Settings!$B$17:$B$26)*(Settings!$B$17:$B$26&lt;=ROUND(C15*100,1))*Settings!$B$17:$B$26)))</f>
        <v/>
      </c>
      <c r="AD15">
        <f>IF(C15="","",ROUND(C15*1000,0)*1000+205)</f>
        <v/>
      </c>
      <c r="AE15">
        <f>IF(C15="",0,IF(ROUND(C15*100,1)&lt;N($AC$2),1,0))</f>
        <v/>
      </c>
    </row>
    <row r="16">
      <c r="A16" s="1" t="n"/>
      <c r="B16" s="31" t="inlineStr">
        <is>
          <t>Holly E.</t>
        </is>
      </c>
      <c r="C16" s="44">
        <f>IF(B16="","",IF((SUMPRODUCT(--ISNUMBER(H16:AA16),$H$52:$AA$52)+SUMPRODUCT(--(H16:AA16="M"),$H$52:$AA$52))=0,"",ROUND(SUMPRODUCT(H16:AA16,$H$53:$AA$53)/(SUMPRODUCT(--ISNUMBER(H16:AA16),$H$52:$AA$52)+SUMPRODUCT(--(H16:AA16="M"),$H$52:$AA$52))*100,1)/100))</f>
        <v/>
      </c>
      <c r="D16" s="34">
        <f>IF(C16="","",IFERROR(INDEX(Settings!$C$17:$C$26,MATCH(AC16,Settings!$B$17:$B$26,0)),""))</f>
        <v/>
      </c>
      <c r="E16" s="16">
        <f>IF(B16="","",COUNTIF(H16:AA16,"M"))</f>
        <v/>
      </c>
      <c r="F16" s="16">
        <f>IF(B16="","",COUNTIFS(Absences!$C$6:$C$405,Settings!$C$10,Absences!$D$6:$D$405,B16,Absences!$E$6:$E$405,"Absent"))</f>
        <v/>
      </c>
      <c r="G16" s="16">
        <f>IF(B16="","",COUNTIFS(Absences!$C$6:$C$405,Settings!$C$10,Absences!$D$6:$D$405,B16,Absences!$E$6:$E$405,"Late"))</f>
        <v/>
      </c>
      <c r="H16" s="33" t="n">
        <v>9</v>
      </c>
      <c r="I16" s="33" t="n">
        <v>19</v>
      </c>
      <c r="J16" s="33" t="n">
        <v>19</v>
      </c>
      <c r="K16" s="33" t="n">
        <v>49</v>
      </c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1" t="n"/>
      <c r="AC16">
        <f>IF(C16="","",SUMPRODUCT(MAX(ISNUMBER(Settings!$B$17:$B$26)*(Settings!$B$17:$B$26&lt;=ROUND(C16*100,1))*Settings!$B$17:$B$26)))</f>
        <v/>
      </c>
      <c r="AD16">
        <f>IF(C16="","",ROUND(C16*1000,0)*1000+206)</f>
        <v/>
      </c>
      <c r="AE16">
        <f>IF(C16="",0,IF(ROUND(C16*100,1)&lt;N($AC$2),1,0))</f>
        <v/>
      </c>
    </row>
    <row r="17">
      <c r="A17" s="1" t="n"/>
      <c r="B17" s="31" t="inlineStr">
        <is>
          <t>Ruby L.</t>
        </is>
      </c>
      <c r="C17" s="44">
        <f>IF(B17="","",IF((SUMPRODUCT(--ISNUMBER(H17:AA17),$H$52:$AA$52)+SUMPRODUCT(--(H17:AA17="M"),$H$52:$AA$52))=0,"",ROUND(SUMPRODUCT(H17:AA17,$H$53:$AA$53)/(SUMPRODUCT(--ISNUMBER(H17:AA17),$H$52:$AA$52)+SUMPRODUCT(--(H17:AA17="M"),$H$52:$AA$52))*100,1)/100))</f>
        <v/>
      </c>
      <c r="D17" s="34">
        <f>IF(C17="","",IFERROR(INDEX(Settings!$C$17:$C$26,MATCH(AC17,Settings!$B$17:$B$26,0)),""))</f>
        <v/>
      </c>
      <c r="E17" s="16">
        <f>IF(B17="","",COUNTIF(H17:AA17,"M"))</f>
        <v/>
      </c>
      <c r="F17" s="16">
        <f>IF(B17="","",COUNTIFS(Absences!$C$6:$C$405,Settings!$C$10,Absences!$D$6:$D$405,B17,Absences!$E$6:$E$405,"Absent"))</f>
        <v/>
      </c>
      <c r="G17" s="16">
        <f>IF(B17="","",COUNTIFS(Absences!$C$6:$C$405,Settings!$C$10,Absences!$D$6:$D$405,B17,Absences!$E$6:$E$405,"Late"))</f>
        <v/>
      </c>
      <c r="H17" s="33" t="n">
        <v>9</v>
      </c>
      <c r="I17" s="33" t="n">
        <v>15</v>
      </c>
      <c r="J17" s="33" t="n">
        <v>18</v>
      </c>
      <c r="K17" s="33" t="n">
        <v>50</v>
      </c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1" t="n"/>
      <c r="AC17">
        <f>IF(C17="","",SUMPRODUCT(MAX(ISNUMBER(Settings!$B$17:$B$26)*(Settings!$B$17:$B$26&lt;=ROUND(C17*100,1))*Settings!$B$17:$B$26)))</f>
        <v/>
      </c>
      <c r="AD17">
        <f>IF(C17="","",ROUND(C17*1000,0)*1000+207)</f>
        <v/>
      </c>
      <c r="AE17">
        <f>IF(C17="",0,IF(ROUND(C17*100,1)&lt;N($AC$2),1,0))</f>
        <v/>
      </c>
    </row>
    <row r="18">
      <c r="A18" s="1" t="n"/>
      <c r="B18" s="31" t="inlineStr">
        <is>
          <t>Vikram M.</t>
        </is>
      </c>
      <c r="C18" s="44">
        <f>IF(B18="","",IF((SUMPRODUCT(--ISNUMBER(H18:AA18),$H$52:$AA$52)+SUMPRODUCT(--(H18:AA18="M"),$H$52:$AA$52))=0,"",ROUND(SUMPRODUCT(H18:AA18,$H$53:$AA$53)/(SUMPRODUCT(--ISNUMBER(H18:AA18),$H$52:$AA$52)+SUMPRODUCT(--(H18:AA18="M"),$H$52:$AA$52))*100,1)/100))</f>
        <v/>
      </c>
      <c r="D18" s="34">
        <f>IF(C18="","",IFERROR(INDEX(Settings!$C$17:$C$26,MATCH(AC18,Settings!$B$17:$B$26,0)),""))</f>
        <v/>
      </c>
      <c r="E18" s="16">
        <f>IF(B18="","",COUNTIF(H18:AA18,"M"))</f>
        <v/>
      </c>
      <c r="F18" s="16">
        <f>IF(B18="","",COUNTIFS(Absences!$C$6:$C$405,Settings!$C$10,Absences!$D$6:$D$405,B18,Absences!$E$6:$E$405,"Absent"))</f>
        <v/>
      </c>
      <c r="G18" s="16">
        <f>IF(B18="","",COUNTIFS(Absences!$C$6:$C$405,Settings!$C$10,Absences!$D$6:$D$405,B18,Absences!$E$6:$E$405,"Late"))</f>
        <v/>
      </c>
      <c r="H18" s="33" t="n">
        <v>7</v>
      </c>
      <c r="I18" s="33" t="n">
        <v>16</v>
      </c>
      <c r="J18" s="33" t="n">
        <v>20</v>
      </c>
      <c r="K18" s="33" t="n">
        <v>45</v>
      </c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1" t="n"/>
      <c r="AC18">
        <f>IF(C18="","",SUMPRODUCT(MAX(ISNUMBER(Settings!$B$17:$B$26)*(Settings!$B$17:$B$26&lt;=ROUND(C18*100,1))*Settings!$B$17:$B$26)))</f>
        <v/>
      </c>
      <c r="AD18">
        <f>IF(C18="","",ROUND(C18*1000,0)*1000+208)</f>
        <v/>
      </c>
      <c r="AE18">
        <f>IF(C18="",0,IF(ROUND(C18*100,1)&lt;N($AC$2),1,0))</f>
        <v/>
      </c>
    </row>
    <row r="19">
      <c r="A19" s="1" t="n"/>
      <c r="B19" s="31" t="inlineStr">
        <is>
          <t>Olive A.</t>
        </is>
      </c>
      <c r="C19" s="44">
        <f>IF(B19="","",IF((SUMPRODUCT(--ISNUMBER(H19:AA19),$H$52:$AA$52)+SUMPRODUCT(--(H19:AA19="M"),$H$52:$AA$52))=0,"",ROUND(SUMPRODUCT(H19:AA19,$H$53:$AA$53)/(SUMPRODUCT(--ISNUMBER(H19:AA19),$H$52:$AA$52)+SUMPRODUCT(--(H19:AA19="M"),$H$52:$AA$52))*100,1)/100))</f>
        <v/>
      </c>
      <c r="D19" s="34">
        <f>IF(C19="","",IFERROR(INDEX(Settings!$C$17:$C$26,MATCH(AC19,Settings!$B$17:$B$26,0)),""))</f>
        <v/>
      </c>
      <c r="E19" s="16">
        <f>IF(B19="","",COUNTIF(H19:AA19,"M"))</f>
        <v/>
      </c>
      <c r="F19" s="16">
        <f>IF(B19="","",COUNTIFS(Absences!$C$6:$C$405,Settings!$C$10,Absences!$D$6:$D$405,B19,Absences!$E$6:$E$405,"Absent"))</f>
        <v/>
      </c>
      <c r="G19" s="16">
        <f>IF(B19="","",COUNTIFS(Absences!$C$6:$C$405,Settings!$C$10,Absences!$D$6:$D$405,B19,Absences!$E$6:$E$405,"Late"))</f>
        <v/>
      </c>
      <c r="H19" s="33" t="n">
        <v>10</v>
      </c>
      <c r="I19" s="33" t="n">
        <v>17</v>
      </c>
      <c r="J19" s="33" t="n">
        <v>24</v>
      </c>
      <c r="K19" s="33" t="n">
        <v>58</v>
      </c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1" t="n"/>
      <c r="AC19">
        <f>IF(C19="","",SUMPRODUCT(MAX(ISNUMBER(Settings!$B$17:$B$26)*(Settings!$B$17:$B$26&lt;=ROUND(C19*100,1))*Settings!$B$17:$B$26)))</f>
        <v/>
      </c>
      <c r="AD19">
        <f>IF(C19="","",ROUND(C19*1000,0)*1000+209)</f>
        <v/>
      </c>
      <c r="AE19">
        <f>IF(C19="",0,IF(ROUND(C19*100,1)&lt;N($AC$2),1,0))</f>
        <v/>
      </c>
    </row>
    <row r="20">
      <c r="A20" s="1" t="n"/>
      <c r="B20" s="31" t="inlineStr">
        <is>
          <t>Chloe D.</t>
        </is>
      </c>
      <c r="C20" s="44">
        <f>IF(B20="","",IF((SUMPRODUCT(--ISNUMBER(H20:AA20),$H$52:$AA$52)+SUMPRODUCT(--(H20:AA20="M"),$H$52:$AA$52))=0,"",ROUND(SUMPRODUCT(H20:AA20,$H$53:$AA$53)/(SUMPRODUCT(--ISNUMBER(H20:AA20),$H$52:$AA$52)+SUMPRODUCT(--(H20:AA20="M"),$H$52:$AA$52))*100,1)/100))</f>
        <v/>
      </c>
      <c r="D20" s="34">
        <f>IF(C20="","",IFERROR(INDEX(Settings!$C$17:$C$26,MATCH(AC20,Settings!$B$17:$B$26,0)),""))</f>
        <v/>
      </c>
      <c r="E20" s="16">
        <f>IF(B20="","",COUNTIF(H20:AA20,"M"))</f>
        <v/>
      </c>
      <c r="F20" s="16">
        <f>IF(B20="","",COUNTIFS(Absences!$C$6:$C$405,Settings!$C$10,Absences!$D$6:$D$405,B20,Absences!$E$6:$E$405,"Absent"))</f>
        <v/>
      </c>
      <c r="G20" s="16">
        <f>IF(B20="","",COUNTIFS(Absences!$C$6:$C$405,Settings!$C$10,Absences!$D$6:$D$405,B20,Absences!$E$6:$E$405,"Late"))</f>
        <v/>
      </c>
      <c r="H20" s="33" t="n">
        <v>9</v>
      </c>
      <c r="I20" s="33" t="n">
        <v>19</v>
      </c>
      <c r="J20" s="33" t="n">
        <v>25</v>
      </c>
      <c r="K20" s="33" t="n">
        <v>57</v>
      </c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1" t="n"/>
      <c r="AC20">
        <f>IF(C20="","",SUMPRODUCT(MAX(ISNUMBER(Settings!$B$17:$B$26)*(Settings!$B$17:$B$26&lt;=ROUND(C20*100,1))*Settings!$B$17:$B$26)))</f>
        <v/>
      </c>
      <c r="AD20">
        <f>IF(C20="","",ROUND(C20*1000,0)*1000+210)</f>
        <v/>
      </c>
      <c r="AE20">
        <f>IF(C20="",0,IF(ROUND(C20*100,1)&lt;N($AC$2),1,0))</f>
        <v/>
      </c>
    </row>
    <row r="21">
      <c r="A21" s="1" t="n"/>
      <c r="B21" s="31" t="inlineStr">
        <is>
          <t>Sami E.</t>
        </is>
      </c>
      <c r="C21" s="44">
        <f>IF(B21="","",IF((SUMPRODUCT(--ISNUMBER(H21:AA21),$H$52:$AA$52)+SUMPRODUCT(--(H21:AA21="M"),$H$52:$AA$52))=0,"",ROUND(SUMPRODUCT(H21:AA21,$H$53:$AA$53)/(SUMPRODUCT(--ISNUMBER(H21:AA21),$H$52:$AA$52)+SUMPRODUCT(--(H21:AA21="M"),$H$52:$AA$52))*100,1)/100))</f>
        <v/>
      </c>
      <c r="D21" s="34">
        <f>IF(C21="","",IFERROR(INDEX(Settings!$C$17:$C$26,MATCH(AC21,Settings!$B$17:$B$26,0)),""))</f>
        <v/>
      </c>
      <c r="E21" s="16">
        <f>IF(B21="","",COUNTIF(H21:AA21,"M"))</f>
        <v/>
      </c>
      <c r="F21" s="16">
        <f>IF(B21="","",COUNTIFS(Absences!$C$6:$C$405,Settings!$C$10,Absences!$D$6:$D$405,B21,Absences!$E$6:$E$405,"Absent"))</f>
        <v/>
      </c>
      <c r="G21" s="16">
        <f>IF(B21="","",COUNTIFS(Absences!$C$6:$C$405,Settings!$C$10,Absences!$D$6:$D$405,B21,Absences!$E$6:$E$405,"Late"))</f>
        <v/>
      </c>
      <c r="H21" s="33" t="n">
        <v>7</v>
      </c>
      <c r="I21" s="33" t="n">
        <v>13</v>
      </c>
      <c r="J21" s="33" t="n">
        <v>19</v>
      </c>
      <c r="K21" s="33" t="n">
        <v>45</v>
      </c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1" t="n"/>
      <c r="AC21">
        <f>IF(C21="","",SUMPRODUCT(MAX(ISNUMBER(Settings!$B$17:$B$26)*(Settings!$B$17:$B$26&lt;=ROUND(C21*100,1))*Settings!$B$17:$B$26)))</f>
        <v/>
      </c>
      <c r="AD21">
        <f>IF(C21="","",ROUND(C21*1000,0)*1000+211)</f>
        <v/>
      </c>
      <c r="AE21">
        <f>IF(C21="",0,IF(ROUND(C21*100,1)&lt;N($AC$2),1,0))</f>
        <v/>
      </c>
    </row>
    <row r="22">
      <c r="A22" s="1" t="n"/>
      <c r="B22" s="31" t="inlineStr">
        <is>
          <t>Rosa C.</t>
        </is>
      </c>
      <c r="C22" s="44">
        <f>IF(B22="","",IF((SUMPRODUCT(--ISNUMBER(H22:AA22),$H$52:$AA$52)+SUMPRODUCT(--(H22:AA22="M"),$H$52:$AA$52))=0,"",ROUND(SUMPRODUCT(H22:AA22,$H$53:$AA$53)/(SUMPRODUCT(--ISNUMBER(H22:AA22),$H$52:$AA$52)+SUMPRODUCT(--(H22:AA22="M"),$H$52:$AA$52))*100,1)/100))</f>
        <v/>
      </c>
      <c r="D22" s="34">
        <f>IF(C22="","",IFERROR(INDEX(Settings!$C$17:$C$26,MATCH(AC22,Settings!$B$17:$B$26,0)),""))</f>
        <v/>
      </c>
      <c r="E22" s="16">
        <f>IF(B22="","",COUNTIF(H22:AA22,"M"))</f>
        <v/>
      </c>
      <c r="F22" s="16">
        <f>IF(B22="","",COUNTIFS(Absences!$C$6:$C$405,Settings!$C$10,Absences!$D$6:$D$405,B22,Absences!$E$6:$E$405,"Absent"))</f>
        <v/>
      </c>
      <c r="G22" s="16">
        <f>IF(B22="","",COUNTIFS(Absences!$C$6:$C$405,Settings!$C$10,Absences!$D$6:$D$405,B22,Absences!$E$6:$E$405,"Late"))</f>
        <v/>
      </c>
      <c r="H22" s="33" t="n">
        <v>8</v>
      </c>
      <c r="I22" s="33" t="n">
        <v>15</v>
      </c>
      <c r="J22" s="33" t="n">
        <v>21</v>
      </c>
      <c r="K22" s="33" t="n">
        <v>43</v>
      </c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1" t="n"/>
      <c r="AC22">
        <f>IF(C22="","",SUMPRODUCT(MAX(ISNUMBER(Settings!$B$17:$B$26)*(Settings!$B$17:$B$26&lt;=ROUND(C22*100,1))*Settings!$B$17:$B$26)))</f>
        <v/>
      </c>
      <c r="AD22">
        <f>IF(C22="","",ROUND(C22*1000,0)*1000+212)</f>
        <v/>
      </c>
      <c r="AE22">
        <f>IF(C22="",0,IF(ROUND(C22*100,1)&lt;N($AC$2),1,0))</f>
        <v/>
      </c>
    </row>
    <row r="23">
      <c r="A23" s="1" t="n"/>
      <c r="B23" s="31" t="inlineStr">
        <is>
          <t>Willow W.</t>
        </is>
      </c>
      <c r="C23" s="44">
        <f>IF(B23="","",IF((SUMPRODUCT(--ISNUMBER(H23:AA23),$H$52:$AA$52)+SUMPRODUCT(--(H23:AA23="M"),$H$52:$AA$52))=0,"",ROUND(SUMPRODUCT(H23:AA23,$H$53:$AA$53)/(SUMPRODUCT(--ISNUMBER(H23:AA23),$H$52:$AA$52)+SUMPRODUCT(--(H23:AA23="M"),$H$52:$AA$52))*100,1)/100))</f>
        <v/>
      </c>
      <c r="D23" s="34">
        <f>IF(C23="","",IFERROR(INDEX(Settings!$C$17:$C$26,MATCH(AC23,Settings!$B$17:$B$26,0)),""))</f>
        <v/>
      </c>
      <c r="E23" s="16">
        <f>IF(B23="","",COUNTIF(H23:AA23,"M"))</f>
        <v/>
      </c>
      <c r="F23" s="16">
        <f>IF(B23="","",COUNTIFS(Absences!$C$6:$C$405,Settings!$C$10,Absences!$D$6:$D$405,B23,Absences!$E$6:$E$405,"Absent"))</f>
        <v/>
      </c>
      <c r="G23" s="16">
        <f>IF(B23="","",COUNTIFS(Absences!$C$6:$C$405,Settings!$C$10,Absences!$D$6:$D$405,B23,Absences!$E$6:$E$405,"Late"))</f>
        <v/>
      </c>
      <c r="H23" s="33" t="n">
        <v>8</v>
      </c>
      <c r="I23" s="33" t="n">
        <v>14</v>
      </c>
      <c r="J23" s="33" t="n">
        <v>18</v>
      </c>
      <c r="K23" s="33" t="n">
        <v>49</v>
      </c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1" t="n"/>
      <c r="AC23">
        <f>IF(C23="","",SUMPRODUCT(MAX(ISNUMBER(Settings!$B$17:$B$26)*(Settings!$B$17:$B$26&lt;=ROUND(C23*100,1))*Settings!$B$17:$B$26)))</f>
        <v/>
      </c>
      <c r="AD23">
        <f>IF(C23="","",ROUND(C23*1000,0)*1000+213)</f>
        <v/>
      </c>
      <c r="AE23">
        <f>IF(C23="",0,IF(ROUND(C23*100,1)&lt;N($AC$2),1,0))</f>
        <v/>
      </c>
    </row>
    <row r="24">
      <c r="A24" s="1" t="n"/>
      <c r="B24" s="31" t="inlineStr">
        <is>
          <t>Freya F.</t>
        </is>
      </c>
      <c r="C24" s="44">
        <f>IF(B24="","",IF((SUMPRODUCT(--ISNUMBER(H24:AA24),$H$52:$AA$52)+SUMPRODUCT(--(H24:AA24="M"),$H$52:$AA$52))=0,"",ROUND(SUMPRODUCT(H24:AA24,$H$53:$AA$53)/(SUMPRODUCT(--ISNUMBER(H24:AA24),$H$52:$AA$52)+SUMPRODUCT(--(H24:AA24="M"),$H$52:$AA$52))*100,1)/100))</f>
        <v/>
      </c>
      <c r="D24" s="34">
        <f>IF(C24="","",IFERROR(INDEX(Settings!$C$17:$C$26,MATCH(AC24,Settings!$B$17:$B$26,0)),""))</f>
        <v/>
      </c>
      <c r="E24" s="16">
        <f>IF(B24="","",COUNTIF(H24:AA24,"M"))</f>
        <v/>
      </c>
      <c r="F24" s="16">
        <f>IF(B24="","",COUNTIFS(Absences!$C$6:$C$405,Settings!$C$10,Absences!$D$6:$D$405,B24,Absences!$E$6:$E$405,"Absent"))</f>
        <v/>
      </c>
      <c r="G24" s="16">
        <f>IF(B24="","",COUNTIFS(Absences!$C$6:$C$405,Settings!$C$10,Absences!$D$6:$D$405,B24,Absences!$E$6:$E$405,"Late"))</f>
        <v/>
      </c>
      <c r="H24" s="33" t="n">
        <v>7</v>
      </c>
      <c r="I24" s="33" t="n">
        <v>17</v>
      </c>
      <c r="J24" s="33" t="n">
        <v>19</v>
      </c>
      <c r="K24" s="33" t="n">
        <v>45</v>
      </c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1" t="n"/>
      <c r="AC24">
        <f>IF(C24="","",SUMPRODUCT(MAX(ISNUMBER(Settings!$B$17:$B$26)*(Settings!$B$17:$B$26&lt;=ROUND(C24*100,1))*Settings!$B$17:$B$26)))</f>
        <v/>
      </c>
      <c r="AD24">
        <f>IF(C24="","",ROUND(C24*1000,0)*1000+214)</f>
        <v/>
      </c>
      <c r="AE24">
        <f>IF(C24="",0,IF(ROUND(C24*100,1)&lt;N($AC$2),1,0))</f>
        <v/>
      </c>
    </row>
    <row r="25">
      <c r="A25" s="1" t="n"/>
      <c r="B25" s="31" t="inlineStr">
        <is>
          <t>Jade S.</t>
        </is>
      </c>
      <c r="C25" s="44">
        <f>IF(B25="","",IF((SUMPRODUCT(--ISNUMBER(H25:AA25),$H$52:$AA$52)+SUMPRODUCT(--(H25:AA25="M"),$H$52:$AA$52))=0,"",ROUND(SUMPRODUCT(H25:AA25,$H$53:$AA$53)/(SUMPRODUCT(--ISNUMBER(H25:AA25),$H$52:$AA$52)+SUMPRODUCT(--(H25:AA25="M"),$H$52:$AA$52))*100,1)/100))</f>
        <v/>
      </c>
      <c r="D25" s="34">
        <f>IF(C25="","",IFERROR(INDEX(Settings!$C$17:$C$26,MATCH(AC25,Settings!$B$17:$B$26,0)),""))</f>
        <v/>
      </c>
      <c r="E25" s="16">
        <f>IF(B25="","",COUNTIF(H25:AA25,"M"))</f>
        <v/>
      </c>
      <c r="F25" s="16">
        <f>IF(B25="","",COUNTIFS(Absences!$C$6:$C$405,Settings!$C$10,Absences!$D$6:$D$405,B25,Absences!$E$6:$E$405,"Absent"))</f>
        <v/>
      </c>
      <c r="G25" s="16">
        <f>IF(B25="","",COUNTIFS(Absences!$C$6:$C$405,Settings!$C$10,Absences!$D$6:$D$405,B25,Absences!$E$6:$E$405,"Late"))</f>
        <v/>
      </c>
      <c r="H25" s="33" t="n">
        <v>10</v>
      </c>
      <c r="I25" s="33" t="n">
        <v>20</v>
      </c>
      <c r="J25" s="33" t="n">
        <v>24</v>
      </c>
      <c r="K25" s="33" t="n">
        <v>58</v>
      </c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1" t="n"/>
      <c r="AC25">
        <f>IF(C25="","",SUMPRODUCT(MAX(ISNUMBER(Settings!$B$17:$B$26)*(Settings!$B$17:$B$26&lt;=ROUND(C25*100,1))*Settings!$B$17:$B$26)))</f>
        <v/>
      </c>
      <c r="AD25">
        <f>IF(C25="","",ROUND(C25*1000,0)*1000+215)</f>
        <v/>
      </c>
      <c r="AE25">
        <f>IF(C25="",0,IF(ROUND(C25*100,1)&lt;N($AC$2),1,0))</f>
        <v/>
      </c>
    </row>
    <row r="26">
      <c r="A26" s="1" t="n"/>
      <c r="B26" s="31" t="inlineStr">
        <is>
          <t>Kira H.</t>
        </is>
      </c>
      <c r="C26" s="44">
        <f>IF(B26="","",IF((SUMPRODUCT(--ISNUMBER(H26:AA26),$H$52:$AA$52)+SUMPRODUCT(--(H26:AA26="M"),$H$52:$AA$52))=0,"",ROUND(SUMPRODUCT(H26:AA26,$H$53:$AA$53)/(SUMPRODUCT(--ISNUMBER(H26:AA26),$H$52:$AA$52)+SUMPRODUCT(--(H26:AA26="M"),$H$52:$AA$52))*100,1)/100))</f>
        <v/>
      </c>
      <c r="D26" s="34">
        <f>IF(C26="","",IFERROR(INDEX(Settings!$C$17:$C$26,MATCH(AC26,Settings!$B$17:$B$26,0)),""))</f>
        <v/>
      </c>
      <c r="E26" s="16">
        <f>IF(B26="","",COUNTIF(H26:AA26,"M"))</f>
        <v/>
      </c>
      <c r="F26" s="16">
        <f>IF(B26="","",COUNTIFS(Absences!$C$6:$C$405,Settings!$C$10,Absences!$D$6:$D$405,B26,Absences!$E$6:$E$405,"Absent"))</f>
        <v/>
      </c>
      <c r="G26" s="16">
        <f>IF(B26="","",COUNTIFS(Absences!$C$6:$C$405,Settings!$C$10,Absences!$D$6:$D$405,B26,Absences!$E$6:$E$405,"Late"))</f>
        <v/>
      </c>
      <c r="H26" s="33" t="n">
        <v>8</v>
      </c>
      <c r="I26" s="33" t="n">
        <v>17</v>
      </c>
      <c r="J26" s="33" t="n">
        <v>15</v>
      </c>
      <c r="K26" s="33" t="n">
        <v>48</v>
      </c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1" t="n"/>
      <c r="AC26">
        <f>IF(C26="","",SUMPRODUCT(MAX(ISNUMBER(Settings!$B$17:$B$26)*(Settings!$B$17:$B$26&lt;=ROUND(C26*100,1))*Settings!$B$17:$B$26)))</f>
        <v/>
      </c>
      <c r="AD26">
        <f>IF(C26="","",ROUND(C26*1000,0)*1000+216)</f>
        <v/>
      </c>
      <c r="AE26">
        <f>IF(C26="",0,IF(ROUND(C26*100,1)&lt;N($AC$2),1,0))</f>
        <v/>
      </c>
    </row>
    <row r="27">
      <c r="A27" s="1" t="n"/>
      <c r="B27" s="31" t="inlineStr">
        <is>
          <t>Liam S.</t>
        </is>
      </c>
      <c r="C27" s="44">
        <f>IF(B27="","",IF((SUMPRODUCT(--ISNUMBER(H27:AA27),$H$52:$AA$52)+SUMPRODUCT(--(H27:AA27="M"),$H$52:$AA$52))=0,"",ROUND(SUMPRODUCT(H27:AA27,$H$53:$AA$53)/(SUMPRODUCT(--ISNUMBER(H27:AA27),$H$52:$AA$52)+SUMPRODUCT(--(H27:AA27="M"),$H$52:$AA$52))*100,1)/100))</f>
        <v/>
      </c>
      <c r="D27" s="34">
        <f>IF(C27="","",IFERROR(INDEX(Settings!$C$17:$C$26,MATCH(AC27,Settings!$B$17:$B$26,0)),""))</f>
        <v/>
      </c>
      <c r="E27" s="16">
        <f>IF(B27="","",COUNTIF(H27:AA27,"M"))</f>
        <v/>
      </c>
      <c r="F27" s="16">
        <f>IF(B27="","",COUNTIFS(Absences!$C$6:$C$405,Settings!$C$10,Absences!$D$6:$D$405,B27,Absences!$E$6:$E$405,"Absent"))</f>
        <v/>
      </c>
      <c r="G27" s="16">
        <f>IF(B27="","",COUNTIFS(Absences!$C$6:$C$405,Settings!$C$10,Absences!$D$6:$D$405,B27,Absences!$E$6:$E$405,"Late"))</f>
        <v/>
      </c>
      <c r="H27" s="33" t="n">
        <v>9</v>
      </c>
      <c r="I27" s="33" t="n">
        <v>17</v>
      </c>
      <c r="J27" s="33" t="n">
        <v>23</v>
      </c>
      <c r="K27" s="33" t="n">
        <v>47</v>
      </c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1" t="n"/>
      <c r="AC27">
        <f>IF(C27="","",SUMPRODUCT(MAX(ISNUMBER(Settings!$B$17:$B$26)*(Settings!$B$17:$B$26&lt;=ROUND(C27*100,1))*Settings!$B$17:$B$26)))</f>
        <v/>
      </c>
      <c r="AD27">
        <f>IF(C27="","",ROUND(C27*1000,0)*1000+217)</f>
        <v/>
      </c>
      <c r="AE27">
        <f>IF(C27="",0,IF(ROUND(C27*100,1)&lt;N($AC$2),1,0))</f>
        <v/>
      </c>
    </row>
    <row r="28">
      <c r="A28" s="1" t="n"/>
      <c r="B28" s="31" t="inlineStr">
        <is>
          <t>Pavel K.</t>
        </is>
      </c>
      <c r="C28" s="44">
        <f>IF(B28="","",IF((SUMPRODUCT(--ISNUMBER(H28:AA28),$H$52:$AA$52)+SUMPRODUCT(--(H28:AA28="M"),$H$52:$AA$52))=0,"",ROUND(SUMPRODUCT(H28:AA28,$H$53:$AA$53)/(SUMPRODUCT(--ISNUMBER(H28:AA28),$H$52:$AA$52)+SUMPRODUCT(--(H28:AA28="M"),$H$52:$AA$52))*100,1)/100))</f>
        <v/>
      </c>
      <c r="D28" s="34">
        <f>IF(C28="","",IFERROR(INDEX(Settings!$C$17:$C$26,MATCH(AC28,Settings!$B$17:$B$26,0)),""))</f>
        <v/>
      </c>
      <c r="E28" s="16">
        <f>IF(B28="","",COUNTIF(H28:AA28,"M"))</f>
        <v/>
      </c>
      <c r="F28" s="16">
        <f>IF(B28="","",COUNTIFS(Absences!$C$6:$C$405,Settings!$C$10,Absences!$D$6:$D$405,B28,Absences!$E$6:$E$405,"Absent"))</f>
        <v/>
      </c>
      <c r="G28" s="16">
        <f>IF(B28="","",COUNTIFS(Absences!$C$6:$C$405,Settings!$C$10,Absences!$D$6:$D$405,B28,Absences!$E$6:$E$405,"Late"))</f>
        <v/>
      </c>
      <c r="H28" s="33" t="n">
        <v>9</v>
      </c>
      <c r="I28" s="33" t="n">
        <v>16</v>
      </c>
      <c r="J28" s="33" t="n">
        <v>21</v>
      </c>
      <c r="K28" s="33" t="n">
        <v>48</v>
      </c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1" t="n"/>
      <c r="AC28">
        <f>IF(C28="","",SUMPRODUCT(MAX(ISNUMBER(Settings!$B$17:$B$26)*(Settings!$B$17:$B$26&lt;=ROUND(C28*100,1))*Settings!$B$17:$B$26)))</f>
        <v/>
      </c>
      <c r="AD28">
        <f>IF(C28="","",ROUND(C28*1000,0)*1000+218)</f>
        <v/>
      </c>
      <c r="AE28">
        <f>IF(C28="",0,IF(ROUND(C28*100,1)&lt;N($AC$2),1,0))</f>
        <v/>
      </c>
    </row>
    <row r="29">
      <c r="A29" s="1" t="n"/>
      <c r="B29" s="31" t="inlineStr">
        <is>
          <t>Umar R.</t>
        </is>
      </c>
      <c r="C29" s="44">
        <f>IF(B29="","",IF((SUMPRODUCT(--ISNUMBER(H29:AA29),$H$52:$AA$52)+SUMPRODUCT(--(H29:AA29="M"),$H$52:$AA$52))=0,"",ROUND(SUMPRODUCT(H29:AA29,$H$53:$AA$53)/(SUMPRODUCT(--ISNUMBER(H29:AA29),$H$52:$AA$52)+SUMPRODUCT(--(H29:AA29="M"),$H$52:$AA$52))*100,1)/100))</f>
        <v/>
      </c>
      <c r="D29" s="34">
        <f>IF(C29="","",IFERROR(INDEX(Settings!$C$17:$C$26,MATCH(AC29,Settings!$B$17:$B$26,0)),""))</f>
        <v/>
      </c>
      <c r="E29" s="16">
        <f>IF(B29="","",COUNTIF(H29:AA29,"M"))</f>
        <v/>
      </c>
      <c r="F29" s="16">
        <f>IF(B29="","",COUNTIFS(Absences!$C$6:$C$405,Settings!$C$10,Absences!$D$6:$D$405,B29,Absences!$E$6:$E$405,"Absent"))</f>
        <v/>
      </c>
      <c r="G29" s="16">
        <f>IF(B29="","",COUNTIFS(Absences!$C$6:$C$405,Settings!$C$10,Absences!$D$6:$D$405,B29,Absences!$E$6:$E$405,"Late"))</f>
        <v/>
      </c>
      <c r="H29" s="33" t="n">
        <v>5</v>
      </c>
      <c r="I29" s="33" t="n">
        <v>10</v>
      </c>
      <c r="J29" s="33" t="n">
        <v>16</v>
      </c>
      <c r="K29" s="33" t="inlineStr">
        <is>
          <t>M</t>
        </is>
      </c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1" t="n"/>
      <c r="AC29">
        <f>IF(C29="","",SUMPRODUCT(MAX(ISNUMBER(Settings!$B$17:$B$26)*(Settings!$B$17:$B$26&lt;=ROUND(C29*100,1))*Settings!$B$17:$B$26)))</f>
        <v/>
      </c>
      <c r="AD29">
        <f>IF(C29="","",ROUND(C29*1000,0)*1000+219)</f>
        <v/>
      </c>
      <c r="AE29">
        <f>IF(C29="",0,IF(ROUND(C29*100,1)&lt;N($AC$2),1,0))</f>
        <v/>
      </c>
    </row>
    <row r="30">
      <c r="A30" s="1" t="n"/>
      <c r="B30" s="31" t="inlineStr">
        <is>
          <t>Ben A.</t>
        </is>
      </c>
      <c r="C30" s="44">
        <f>IF(B30="","",IF((SUMPRODUCT(--ISNUMBER(H30:AA30),$H$52:$AA$52)+SUMPRODUCT(--(H30:AA30="M"),$H$52:$AA$52))=0,"",ROUND(SUMPRODUCT(H30:AA30,$H$53:$AA$53)/(SUMPRODUCT(--ISNUMBER(H30:AA30),$H$52:$AA$52)+SUMPRODUCT(--(H30:AA30="M"),$H$52:$AA$52))*100,1)/100))</f>
        <v/>
      </c>
      <c r="D30" s="34">
        <f>IF(C30="","",IFERROR(INDEX(Settings!$C$17:$C$26,MATCH(AC30,Settings!$B$17:$B$26,0)),""))</f>
        <v/>
      </c>
      <c r="E30" s="16">
        <f>IF(B30="","",COUNTIF(H30:AA30,"M"))</f>
        <v/>
      </c>
      <c r="F30" s="16">
        <f>IF(B30="","",COUNTIFS(Absences!$C$6:$C$405,Settings!$C$10,Absences!$D$6:$D$405,B30,Absences!$E$6:$E$405,"Absent"))</f>
        <v/>
      </c>
      <c r="G30" s="16">
        <f>IF(B30="","",COUNTIFS(Absences!$C$6:$C$405,Settings!$C$10,Absences!$D$6:$D$405,B30,Absences!$E$6:$E$405,"Late"))</f>
        <v/>
      </c>
      <c r="H30" s="33" t="n">
        <v>8</v>
      </c>
      <c r="I30" s="33" t="n">
        <v>19</v>
      </c>
      <c r="J30" s="33" t="n">
        <v>21</v>
      </c>
      <c r="K30" s="33" t="n">
        <v>51</v>
      </c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1" t="n"/>
      <c r="AC30">
        <f>IF(C30="","",SUMPRODUCT(MAX(ISNUMBER(Settings!$B$17:$B$26)*(Settings!$B$17:$B$26&lt;=ROUND(C30*100,1))*Settings!$B$17:$B$26)))</f>
        <v/>
      </c>
      <c r="AD30">
        <f>IF(C30="","",ROUND(C30*1000,0)*1000+220)</f>
        <v/>
      </c>
      <c r="AE30">
        <f>IF(C30="",0,IF(ROUND(C30*100,1)&lt;N($AC$2),1,0))</f>
        <v/>
      </c>
    </row>
    <row r="31">
      <c r="A31" s="1" t="n"/>
      <c r="B31" s="31" t="inlineStr">
        <is>
          <t>Talia W.</t>
        </is>
      </c>
      <c r="C31" s="44">
        <f>IF(B31="","",IF((SUMPRODUCT(--ISNUMBER(H31:AA31),$H$52:$AA$52)+SUMPRODUCT(--(H31:AA31="M"),$H$52:$AA$52))=0,"",ROUND(SUMPRODUCT(H31:AA31,$H$53:$AA$53)/(SUMPRODUCT(--ISNUMBER(H31:AA31),$H$52:$AA$52)+SUMPRODUCT(--(H31:AA31="M"),$H$52:$AA$52))*100,1)/100))</f>
        <v/>
      </c>
      <c r="D31" s="34">
        <f>IF(C31="","",IFERROR(INDEX(Settings!$C$17:$C$26,MATCH(AC31,Settings!$B$17:$B$26,0)),""))</f>
        <v/>
      </c>
      <c r="E31" s="16">
        <f>IF(B31="","",COUNTIF(H31:AA31,"M"))</f>
        <v/>
      </c>
      <c r="F31" s="16">
        <f>IF(B31="","",COUNTIFS(Absences!$C$6:$C$405,Settings!$C$10,Absences!$D$6:$D$405,B31,Absences!$E$6:$E$405,"Absent"))</f>
        <v/>
      </c>
      <c r="G31" s="16">
        <f>IF(B31="","",COUNTIFS(Absences!$C$6:$C$405,Settings!$C$10,Absences!$D$6:$D$405,B31,Absences!$E$6:$E$405,"Late"))</f>
        <v/>
      </c>
      <c r="H31" s="33" t="n">
        <v>8</v>
      </c>
      <c r="I31" s="33" t="n">
        <v>19</v>
      </c>
      <c r="J31" s="33" t="n">
        <v>24</v>
      </c>
      <c r="K31" s="33" t="n">
        <v>60</v>
      </c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1" t="n"/>
      <c r="AC31">
        <f>IF(C31="","",SUMPRODUCT(MAX(ISNUMBER(Settings!$B$17:$B$26)*(Settings!$B$17:$B$26&lt;=ROUND(C31*100,1))*Settings!$B$17:$B$26)))</f>
        <v/>
      </c>
      <c r="AD31">
        <f>IF(C31="","",ROUND(C31*1000,0)*1000+221)</f>
        <v/>
      </c>
      <c r="AE31">
        <f>IF(C31="",0,IF(ROUND(C31*100,1)&lt;N($AC$2),1,0))</f>
        <v/>
      </c>
    </row>
    <row r="32">
      <c r="A32" s="1" t="n"/>
      <c r="B32" s="31" t="inlineStr">
        <is>
          <t>Caleb F.</t>
        </is>
      </c>
      <c r="C32" s="44">
        <f>IF(B32="","",IF((SUMPRODUCT(--ISNUMBER(H32:AA32),$H$52:$AA$52)+SUMPRODUCT(--(H32:AA32="M"),$H$52:$AA$52))=0,"",ROUND(SUMPRODUCT(H32:AA32,$H$53:$AA$53)/(SUMPRODUCT(--ISNUMBER(H32:AA32),$H$52:$AA$52)+SUMPRODUCT(--(H32:AA32="M"),$H$52:$AA$52))*100,1)/100))</f>
        <v/>
      </c>
      <c r="D32" s="34">
        <f>IF(C32="","",IFERROR(INDEX(Settings!$C$17:$C$26,MATCH(AC32,Settings!$B$17:$B$26,0)),""))</f>
        <v/>
      </c>
      <c r="E32" s="16">
        <f>IF(B32="","",COUNTIF(H32:AA32,"M"))</f>
        <v/>
      </c>
      <c r="F32" s="16">
        <f>IF(B32="","",COUNTIFS(Absences!$C$6:$C$405,Settings!$C$10,Absences!$D$6:$D$405,B32,Absences!$E$6:$E$405,"Absent"))</f>
        <v/>
      </c>
      <c r="G32" s="16">
        <f>IF(B32="","",COUNTIFS(Absences!$C$6:$C$405,Settings!$C$10,Absences!$D$6:$D$405,B32,Absences!$E$6:$E$405,"Late"))</f>
        <v/>
      </c>
      <c r="H32" s="33" t="n">
        <v>6</v>
      </c>
      <c r="I32" s="33" t="n">
        <v>10</v>
      </c>
      <c r="J32" s="33" t="n">
        <v>13</v>
      </c>
      <c r="K32" s="33" t="n">
        <v>37</v>
      </c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1" t="n"/>
      <c r="AC32">
        <f>IF(C32="","",SUMPRODUCT(MAX(ISNUMBER(Settings!$B$17:$B$26)*(Settings!$B$17:$B$26&lt;=ROUND(C32*100,1))*Settings!$B$17:$B$26)))</f>
        <v/>
      </c>
      <c r="AD32">
        <f>IF(C32="","",ROUND(C32*1000,0)*1000+222)</f>
        <v/>
      </c>
      <c r="AE32">
        <f>IF(C32="",0,IF(ROUND(C32*100,1)&lt;N($AC$2),1,0))</f>
        <v/>
      </c>
    </row>
    <row r="33">
      <c r="A33" s="1" t="n"/>
      <c r="B33" s="31" t="inlineStr">
        <is>
          <t>Daniel T.</t>
        </is>
      </c>
      <c r="C33" s="44">
        <f>IF(B33="","",IF((SUMPRODUCT(--ISNUMBER(H33:AA33),$H$52:$AA$52)+SUMPRODUCT(--(H33:AA33="M"),$H$52:$AA$52))=0,"",ROUND(SUMPRODUCT(H33:AA33,$H$53:$AA$53)/(SUMPRODUCT(--ISNUMBER(H33:AA33),$H$52:$AA$52)+SUMPRODUCT(--(H33:AA33="M"),$H$52:$AA$52))*100,1)/100))</f>
        <v/>
      </c>
      <c r="D33" s="34">
        <f>IF(C33="","",IFERROR(INDEX(Settings!$C$17:$C$26,MATCH(AC33,Settings!$B$17:$B$26,0)),""))</f>
        <v/>
      </c>
      <c r="E33" s="16">
        <f>IF(B33="","",COUNTIF(H33:AA33,"M"))</f>
        <v/>
      </c>
      <c r="F33" s="16">
        <f>IF(B33="","",COUNTIFS(Absences!$C$6:$C$405,Settings!$C$10,Absences!$D$6:$D$405,B33,Absences!$E$6:$E$405,"Absent"))</f>
        <v/>
      </c>
      <c r="G33" s="16">
        <f>IF(B33="","",COUNTIFS(Absences!$C$6:$C$405,Settings!$C$10,Absences!$D$6:$D$405,B33,Absences!$E$6:$E$405,"Late"))</f>
        <v/>
      </c>
      <c r="H33" s="33" t="n">
        <v>7</v>
      </c>
      <c r="I33" s="33" t="n">
        <v>13</v>
      </c>
      <c r="J33" s="33" t="n">
        <v>18</v>
      </c>
      <c r="K33" s="33" t="n">
        <v>44</v>
      </c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1" t="n"/>
      <c r="AC33">
        <f>IF(C33="","",SUMPRODUCT(MAX(ISNUMBER(Settings!$B$17:$B$26)*(Settings!$B$17:$B$26&lt;=ROUND(C33*100,1))*Settings!$B$17:$B$26)))</f>
        <v/>
      </c>
      <c r="AD33">
        <f>IF(C33="","",ROUND(C33*1000,0)*1000+223)</f>
        <v/>
      </c>
      <c r="AE33">
        <f>IF(C33="",0,IF(ROUND(C33*100,1)&lt;N($AC$2),1,0))</f>
        <v/>
      </c>
    </row>
    <row r="34">
      <c r="A34" s="1" t="n"/>
      <c r="B34" s="31" t="inlineStr">
        <is>
          <t>Gabe K.</t>
        </is>
      </c>
      <c r="C34" s="44">
        <f>IF(B34="","",IF((SUMPRODUCT(--ISNUMBER(H34:AA34),$H$52:$AA$52)+SUMPRODUCT(--(H34:AA34="M"),$H$52:$AA$52))=0,"",ROUND(SUMPRODUCT(H34:AA34,$H$53:$AA$53)/(SUMPRODUCT(--ISNUMBER(H34:AA34),$H$52:$AA$52)+SUMPRODUCT(--(H34:AA34="M"),$H$52:$AA$52))*100,1)/100))</f>
        <v/>
      </c>
      <c r="D34" s="34">
        <f>IF(C34="","",IFERROR(INDEX(Settings!$C$17:$C$26,MATCH(AC34,Settings!$B$17:$B$26,0)),""))</f>
        <v/>
      </c>
      <c r="E34" s="16">
        <f>IF(B34="","",COUNTIF(H34:AA34,"M"))</f>
        <v/>
      </c>
      <c r="F34" s="16">
        <f>IF(B34="","",COUNTIFS(Absences!$C$6:$C$405,Settings!$C$10,Absences!$D$6:$D$405,B34,Absences!$E$6:$E$405,"Absent"))</f>
        <v/>
      </c>
      <c r="G34" s="16">
        <f>IF(B34="","",COUNTIFS(Absences!$C$6:$C$405,Settings!$C$10,Absences!$D$6:$D$405,B34,Absences!$E$6:$E$405,"Late"))</f>
        <v/>
      </c>
      <c r="H34" s="33" t="n">
        <v>10</v>
      </c>
      <c r="I34" s="33" t="n">
        <v>17</v>
      </c>
      <c r="J34" s="33" t="n">
        <v>23</v>
      </c>
      <c r="K34" s="33" t="n">
        <v>57</v>
      </c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1" t="n"/>
      <c r="AC34">
        <f>IF(C34="","",SUMPRODUCT(MAX(ISNUMBER(Settings!$B$17:$B$26)*(Settings!$B$17:$B$26&lt;=ROUND(C34*100,1))*Settings!$B$17:$B$26)))</f>
        <v/>
      </c>
      <c r="AD34">
        <f>IF(C34="","",ROUND(C34*1000,0)*1000+224)</f>
        <v/>
      </c>
      <c r="AE34">
        <f>IF(C34="",0,IF(ROUND(C34*100,1)&lt;N($AC$2),1,0))</f>
        <v/>
      </c>
    </row>
    <row r="35">
      <c r="A35" s="1" t="n"/>
      <c r="B35" s="31" t="n"/>
      <c r="C35" s="44">
        <f>IF(B35="","",IF((SUMPRODUCT(--ISNUMBER(H35:AA35),$H$52:$AA$52)+SUMPRODUCT(--(H35:AA35="M"),$H$52:$AA$52))=0,"",ROUND(SUMPRODUCT(H35:AA35,$H$53:$AA$53)/(SUMPRODUCT(--ISNUMBER(H35:AA35),$H$52:$AA$52)+SUMPRODUCT(--(H35:AA35="M"),$H$52:$AA$52))*100,1)/100))</f>
        <v/>
      </c>
      <c r="D35" s="34">
        <f>IF(C35="","",IFERROR(INDEX(Settings!$C$17:$C$26,MATCH(AC35,Settings!$B$17:$B$26,0)),""))</f>
        <v/>
      </c>
      <c r="E35" s="16">
        <f>IF(B35="","",COUNTIF(H35:AA35,"M"))</f>
        <v/>
      </c>
      <c r="F35" s="16">
        <f>IF(B35="","",COUNTIFS(Absences!$C$6:$C$405,Settings!$C$10,Absences!$D$6:$D$405,B35,Absences!$E$6:$E$405,"Absent"))</f>
        <v/>
      </c>
      <c r="G35" s="16">
        <f>IF(B35="","",COUNTIFS(Absences!$C$6:$C$405,Settings!$C$10,Absences!$D$6:$D$405,B35,Absences!$E$6:$E$405,"Late"))</f>
        <v/>
      </c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1" t="n"/>
      <c r="AC35">
        <f>IF(C35="","",SUMPRODUCT(MAX(ISNUMBER(Settings!$B$17:$B$26)*(Settings!$B$17:$B$26&lt;=ROUND(C35*100,1))*Settings!$B$17:$B$26)))</f>
        <v/>
      </c>
      <c r="AD35">
        <f>IF(C35="","",ROUND(C35*1000,0)*1000+225)</f>
        <v/>
      </c>
      <c r="AE35">
        <f>IF(C35="",0,IF(ROUND(C35*100,1)&lt;N($AC$2),1,0))</f>
        <v/>
      </c>
    </row>
    <row r="36">
      <c r="A36" s="1" t="n"/>
      <c r="B36" s="31" t="n"/>
      <c r="C36" s="44">
        <f>IF(B36="","",IF((SUMPRODUCT(--ISNUMBER(H36:AA36),$H$52:$AA$52)+SUMPRODUCT(--(H36:AA36="M"),$H$52:$AA$52))=0,"",ROUND(SUMPRODUCT(H36:AA36,$H$53:$AA$53)/(SUMPRODUCT(--ISNUMBER(H36:AA36),$H$52:$AA$52)+SUMPRODUCT(--(H36:AA36="M"),$H$52:$AA$52))*100,1)/100))</f>
        <v/>
      </c>
      <c r="D36" s="34">
        <f>IF(C36="","",IFERROR(INDEX(Settings!$C$17:$C$26,MATCH(AC36,Settings!$B$17:$B$26,0)),""))</f>
        <v/>
      </c>
      <c r="E36" s="16">
        <f>IF(B36="","",COUNTIF(H36:AA36,"M"))</f>
        <v/>
      </c>
      <c r="F36" s="16">
        <f>IF(B36="","",COUNTIFS(Absences!$C$6:$C$405,Settings!$C$10,Absences!$D$6:$D$405,B36,Absences!$E$6:$E$405,"Absent"))</f>
        <v/>
      </c>
      <c r="G36" s="16">
        <f>IF(B36="","",COUNTIFS(Absences!$C$6:$C$405,Settings!$C$10,Absences!$D$6:$D$405,B36,Absences!$E$6:$E$405,"Late"))</f>
        <v/>
      </c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1" t="n"/>
      <c r="AC36">
        <f>IF(C36="","",SUMPRODUCT(MAX(ISNUMBER(Settings!$B$17:$B$26)*(Settings!$B$17:$B$26&lt;=ROUND(C36*100,1))*Settings!$B$17:$B$26)))</f>
        <v/>
      </c>
      <c r="AD36">
        <f>IF(C36="","",ROUND(C36*1000,0)*1000+226)</f>
        <v/>
      </c>
      <c r="AE36">
        <f>IF(C36="",0,IF(ROUND(C36*100,1)&lt;N($AC$2),1,0))</f>
        <v/>
      </c>
    </row>
    <row r="37">
      <c r="A37" s="1" t="n"/>
      <c r="B37" s="31" t="n"/>
      <c r="C37" s="44">
        <f>IF(B37="","",IF((SUMPRODUCT(--ISNUMBER(H37:AA37),$H$52:$AA$52)+SUMPRODUCT(--(H37:AA37="M"),$H$52:$AA$52))=0,"",ROUND(SUMPRODUCT(H37:AA37,$H$53:$AA$53)/(SUMPRODUCT(--ISNUMBER(H37:AA37),$H$52:$AA$52)+SUMPRODUCT(--(H37:AA37="M"),$H$52:$AA$52))*100,1)/100))</f>
        <v/>
      </c>
      <c r="D37" s="34">
        <f>IF(C37="","",IFERROR(INDEX(Settings!$C$17:$C$26,MATCH(AC37,Settings!$B$17:$B$26,0)),""))</f>
        <v/>
      </c>
      <c r="E37" s="16">
        <f>IF(B37="","",COUNTIF(H37:AA37,"M"))</f>
        <v/>
      </c>
      <c r="F37" s="16">
        <f>IF(B37="","",COUNTIFS(Absences!$C$6:$C$405,Settings!$C$10,Absences!$D$6:$D$405,B37,Absences!$E$6:$E$405,"Absent"))</f>
        <v/>
      </c>
      <c r="G37" s="16">
        <f>IF(B37="","",COUNTIFS(Absences!$C$6:$C$405,Settings!$C$10,Absences!$D$6:$D$405,B37,Absences!$E$6:$E$405,"Late"))</f>
        <v/>
      </c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1" t="n"/>
      <c r="AC37">
        <f>IF(C37="","",SUMPRODUCT(MAX(ISNUMBER(Settings!$B$17:$B$26)*(Settings!$B$17:$B$26&lt;=ROUND(C37*100,1))*Settings!$B$17:$B$26)))</f>
        <v/>
      </c>
      <c r="AD37">
        <f>IF(C37="","",ROUND(C37*1000,0)*1000+227)</f>
        <v/>
      </c>
      <c r="AE37">
        <f>IF(C37="",0,IF(ROUND(C37*100,1)&lt;N($AC$2),1,0))</f>
        <v/>
      </c>
    </row>
    <row r="38">
      <c r="A38" s="1" t="n"/>
      <c r="B38" s="31" t="n"/>
      <c r="C38" s="44">
        <f>IF(B38="","",IF((SUMPRODUCT(--ISNUMBER(H38:AA38),$H$52:$AA$52)+SUMPRODUCT(--(H38:AA38="M"),$H$52:$AA$52))=0,"",ROUND(SUMPRODUCT(H38:AA38,$H$53:$AA$53)/(SUMPRODUCT(--ISNUMBER(H38:AA38),$H$52:$AA$52)+SUMPRODUCT(--(H38:AA38="M"),$H$52:$AA$52))*100,1)/100))</f>
        <v/>
      </c>
      <c r="D38" s="34">
        <f>IF(C38="","",IFERROR(INDEX(Settings!$C$17:$C$26,MATCH(AC38,Settings!$B$17:$B$26,0)),""))</f>
        <v/>
      </c>
      <c r="E38" s="16">
        <f>IF(B38="","",COUNTIF(H38:AA38,"M"))</f>
        <v/>
      </c>
      <c r="F38" s="16">
        <f>IF(B38="","",COUNTIFS(Absences!$C$6:$C$405,Settings!$C$10,Absences!$D$6:$D$405,B38,Absences!$E$6:$E$405,"Absent"))</f>
        <v/>
      </c>
      <c r="G38" s="16">
        <f>IF(B38="","",COUNTIFS(Absences!$C$6:$C$405,Settings!$C$10,Absences!$D$6:$D$405,B38,Absences!$E$6:$E$405,"Late"))</f>
        <v/>
      </c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1" t="n"/>
      <c r="AC38">
        <f>IF(C38="","",SUMPRODUCT(MAX(ISNUMBER(Settings!$B$17:$B$26)*(Settings!$B$17:$B$26&lt;=ROUND(C38*100,1))*Settings!$B$17:$B$26)))</f>
        <v/>
      </c>
      <c r="AD38">
        <f>IF(C38="","",ROUND(C38*1000,0)*1000+228)</f>
        <v/>
      </c>
      <c r="AE38">
        <f>IF(C38="",0,IF(ROUND(C38*100,1)&lt;N($AC$2),1,0))</f>
        <v/>
      </c>
    </row>
    <row r="39">
      <c r="A39" s="1" t="n"/>
      <c r="B39" s="31" t="n"/>
      <c r="C39" s="44">
        <f>IF(B39="","",IF((SUMPRODUCT(--ISNUMBER(H39:AA39),$H$52:$AA$52)+SUMPRODUCT(--(H39:AA39="M"),$H$52:$AA$52))=0,"",ROUND(SUMPRODUCT(H39:AA39,$H$53:$AA$53)/(SUMPRODUCT(--ISNUMBER(H39:AA39),$H$52:$AA$52)+SUMPRODUCT(--(H39:AA39="M"),$H$52:$AA$52))*100,1)/100))</f>
        <v/>
      </c>
      <c r="D39" s="34">
        <f>IF(C39="","",IFERROR(INDEX(Settings!$C$17:$C$26,MATCH(AC39,Settings!$B$17:$B$26,0)),""))</f>
        <v/>
      </c>
      <c r="E39" s="16">
        <f>IF(B39="","",COUNTIF(H39:AA39,"M"))</f>
        <v/>
      </c>
      <c r="F39" s="16">
        <f>IF(B39="","",COUNTIFS(Absences!$C$6:$C$405,Settings!$C$10,Absences!$D$6:$D$405,B39,Absences!$E$6:$E$405,"Absent"))</f>
        <v/>
      </c>
      <c r="G39" s="16">
        <f>IF(B39="","",COUNTIFS(Absences!$C$6:$C$405,Settings!$C$10,Absences!$D$6:$D$405,B39,Absences!$E$6:$E$405,"Late"))</f>
        <v/>
      </c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1" t="n"/>
      <c r="AC39">
        <f>IF(C39="","",SUMPRODUCT(MAX(ISNUMBER(Settings!$B$17:$B$26)*(Settings!$B$17:$B$26&lt;=ROUND(C39*100,1))*Settings!$B$17:$B$26)))</f>
        <v/>
      </c>
      <c r="AD39">
        <f>IF(C39="","",ROUND(C39*1000,0)*1000+229)</f>
        <v/>
      </c>
      <c r="AE39">
        <f>IF(C39="",0,IF(ROUND(C39*100,1)&lt;N($AC$2),1,0))</f>
        <v/>
      </c>
    </row>
    <row r="40">
      <c r="A40" s="1" t="n"/>
      <c r="B40" s="31" t="n"/>
      <c r="C40" s="44">
        <f>IF(B40="","",IF((SUMPRODUCT(--ISNUMBER(H40:AA40),$H$52:$AA$52)+SUMPRODUCT(--(H40:AA40="M"),$H$52:$AA$52))=0,"",ROUND(SUMPRODUCT(H40:AA40,$H$53:$AA$53)/(SUMPRODUCT(--ISNUMBER(H40:AA40),$H$52:$AA$52)+SUMPRODUCT(--(H40:AA40="M"),$H$52:$AA$52))*100,1)/100))</f>
        <v/>
      </c>
      <c r="D40" s="34">
        <f>IF(C40="","",IFERROR(INDEX(Settings!$C$17:$C$26,MATCH(AC40,Settings!$B$17:$B$26,0)),""))</f>
        <v/>
      </c>
      <c r="E40" s="16">
        <f>IF(B40="","",COUNTIF(H40:AA40,"M"))</f>
        <v/>
      </c>
      <c r="F40" s="16">
        <f>IF(B40="","",COUNTIFS(Absences!$C$6:$C$405,Settings!$C$10,Absences!$D$6:$D$405,B40,Absences!$E$6:$E$405,"Absent"))</f>
        <v/>
      </c>
      <c r="G40" s="16">
        <f>IF(B40="","",COUNTIFS(Absences!$C$6:$C$405,Settings!$C$10,Absences!$D$6:$D$405,B40,Absences!$E$6:$E$405,"Late"))</f>
        <v/>
      </c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1" t="n"/>
      <c r="AC40">
        <f>IF(C40="","",SUMPRODUCT(MAX(ISNUMBER(Settings!$B$17:$B$26)*(Settings!$B$17:$B$26&lt;=ROUND(C40*100,1))*Settings!$B$17:$B$26)))</f>
        <v/>
      </c>
      <c r="AD40">
        <f>IF(C40="","",ROUND(C40*1000,0)*1000+230)</f>
        <v/>
      </c>
      <c r="AE40">
        <f>IF(C40="",0,IF(ROUND(C40*100,1)&lt;N($AC$2),1,0))</f>
        <v/>
      </c>
    </row>
    <row r="41">
      <c r="A41" s="1" t="n"/>
      <c r="B41" s="31" t="n"/>
      <c r="C41" s="44">
        <f>IF(B41="","",IF((SUMPRODUCT(--ISNUMBER(H41:AA41),$H$52:$AA$52)+SUMPRODUCT(--(H41:AA41="M"),$H$52:$AA$52))=0,"",ROUND(SUMPRODUCT(H41:AA41,$H$53:$AA$53)/(SUMPRODUCT(--ISNUMBER(H41:AA41),$H$52:$AA$52)+SUMPRODUCT(--(H41:AA41="M"),$H$52:$AA$52))*100,1)/100))</f>
        <v/>
      </c>
      <c r="D41" s="34">
        <f>IF(C41="","",IFERROR(INDEX(Settings!$C$17:$C$26,MATCH(AC41,Settings!$B$17:$B$26,0)),""))</f>
        <v/>
      </c>
      <c r="E41" s="16">
        <f>IF(B41="","",COUNTIF(H41:AA41,"M"))</f>
        <v/>
      </c>
      <c r="F41" s="16">
        <f>IF(B41="","",COUNTIFS(Absences!$C$6:$C$405,Settings!$C$10,Absences!$D$6:$D$405,B41,Absences!$E$6:$E$405,"Absent"))</f>
        <v/>
      </c>
      <c r="G41" s="16">
        <f>IF(B41="","",COUNTIFS(Absences!$C$6:$C$405,Settings!$C$10,Absences!$D$6:$D$405,B41,Absences!$E$6:$E$405,"Late"))</f>
        <v/>
      </c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1" t="n"/>
      <c r="AC41">
        <f>IF(C41="","",SUMPRODUCT(MAX(ISNUMBER(Settings!$B$17:$B$26)*(Settings!$B$17:$B$26&lt;=ROUND(C41*100,1))*Settings!$B$17:$B$26)))</f>
        <v/>
      </c>
      <c r="AD41">
        <f>IF(C41="","",ROUND(C41*1000,0)*1000+231)</f>
        <v/>
      </c>
      <c r="AE41">
        <f>IF(C41="",0,IF(ROUND(C41*100,1)&lt;N($AC$2),1,0))</f>
        <v/>
      </c>
    </row>
    <row r="42">
      <c r="A42" s="1" t="n"/>
      <c r="B42" s="31" t="n"/>
      <c r="C42" s="44">
        <f>IF(B42="","",IF((SUMPRODUCT(--ISNUMBER(H42:AA42),$H$52:$AA$52)+SUMPRODUCT(--(H42:AA42="M"),$H$52:$AA$52))=0,"",ROUND(SUMPRODUCT(H42:AA42,$H$53:$AA$53)/(SUMPRODUCT(--ISNUMBER(H42:AA42),$H$52:$AA$52)+SUMPRODUCT(--(H42:AA42="M"),$H$52:$AA$52))*100,1)/100))</f>
        <v/>
      </c>
      <c r="D42" s="34">
        <f>IF(C42="","",IFERROR(INDEX(Settings!$C$17:$C$26,MATCH(AC42,Settings!$B$17:$B$26,0)),""))</f>
        <v/>
      </c>
      <c r="E42" s="16">
        <f>IF(B42="","",COUNTIF(H42:AA42,"M"))</f>
        <v/>
      </c>
      <c r="F42" s="16">
        <f>IF(B42="","",COUNTIFS(Absences!$C$6:$C$405,Settings!$C$10,Absences!$D$6:$D$405,B42,Absences!$E$6:$E$405,"Absent"))</f>
        <v/>
      </c>
      <c r="G42" s="16">
        <f>IF(B42="","",COUNTIFS(Absences!$C$6:$C$405,Settings!$C$10,Absences!$D$6:$D$405,B42,Absences!$E$6:$E$405,"Late"))</f>
        <v/>
      </c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1" t="n"/>
      <c r="AC42">
        <f>IF(C42="","",SUMPRODUCT(MAX(ISNUMBER(Settings!$B$17:$B$26)*(Settings!$B$17:$B$26&lt;=ROUND(C42*100,1))*Settings!$B$17:$B$26)))</f>
        <v/>
      </c>
      <c r="AD42">
        <f>IF(C42="","",ROUND(C42*1000,0)*1000+232)</f>
        <v/>
      </c>
      <c r="AE42">
        <f>IF(C42="",0,IF(ROUND(C42*100,1)&lt;N($AC$2),1,0))</f>
        <v/>
      </c>
    </row>
    <row r="43">
      <c r="A43" s="1" t="n"/>
      <c r="B43" s="31" t="n"/>
      <c r="C43" s="44">
        <f>IF(B43="","",IF((SUMPRODUCT(--ISNUMBER(H43:AA43),$H$52:$AA$52)+SUMPRODUCT(--(H43:AA43="M"),$H$52:$AA$52))=0,"",ROUND(SUMPRODUCT(H43:AA43,$H$53:$AA$53)/(SUMPRODUCT(--ISNUMBER(H43:AA43),$H$52:$AA$52)+SUMPRODUCT(--(H43:AA43="M"),$H$52:$AA$52))*100,1)/100))</f>
        <v/>
      </c>
      <c r="D43" s="34">
        <f>IF(C43="","",IFERROR(INDEX(Settings!$C$17:$C$26,MATCH(AC43,Settings!$B$17:$B$26,0)),""))</f>
        <v/>
      </c>
      <c r="E43" s="16">
        <f>IF(B43="","",COUNTIF(H43:AA43,"M"))</f>
        <v/>
      </c>
      <c r="F43" s="16">
        <f>IF(B43="","",COUNTIFS(Absences!$C$6:$C$405,Settings!$C$10,Absences!$D$6:$D$405,B43,Absences!$E$6:$E$405,"Absent"))</f>
        <v/>
      </c>
      <c r="G43" s="16">
        <f>IF(B43="","",COUNTIFS(Absences!$C$6:$C$405,Settings!$C$10,Absences!$D$6:$D$405,B43,Absences!$E$6:$E$405,"Late"))</f>
        <v/>
      </c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1" t="n"/>
      <c r="AC43">
        <f>IF(C43="","",SUMPRODUCT(MAX(ISNUMBER(Settings!$B$17:$B$26)*(Settings!$B$17:$B$26&lt;=ROUND(C43*100,1))*Settings!$B$17:$B$26)))</f>
        <v/>
      </c>
      <c r="AD43">
        <f>IF(C43="","",ROUND(C43*1000,0)*1000+233)</f>
        <v/>
      </c>
      <c r="AE43">
        <f>IF(C43="",0,IF(ROUND(C43*100,1)&lt;N($AC$2),1,0))</f>
        <v/>
      </c>
    </row>
    <row r="44">
      <c r="A44" s="1" t="n"/>
      <c r="B44" s="31" t="n"/>
      <c r="C44" s="44">
        <f>IF(B44="","",IF((SUMPRODUCT(--ISNUMBER(H44:AA44),$H$52:$AA$52)+SUMPRODUCT(--(H44:AA44="M"),$H$52:$AA$52))=0,"",ROUND(SUMPRODUCT(H44:AA44,$H$53:$AA$53)/(SUMPRODUCT(--ISNUMBER(H44:AA44),$H$52:$AA$52)+SUMPRODUCT(--(H44:AA44="M"),$H$52:$AA$52))*100,1)/100))</f>
        <v/>
      </c>
      <c r="D44" s="34">
        <f>IF(C44="","",IFERROR(INDEX(Settings!$C$17:$C$26,MATCH(AC44,Settings!$B$17:$B$26,0)),""))</f>
        <v/>
      </c>
      <c r="E44" s="16">
        <f>IF(B44="","",COUNTIF(H44:AA44,"M"))</f>
        <v/>
      </c>
      <c r="F44" s="16">
        <f>IF(B44="","",COUNTIFS(Absences!$C$6:$C$405,Settings!$C$10,Absences!$D$6:$D$405,B44,Absences!$E$6:$E$405,"Absent"))</f>
        <v/>
      </c>
      <c r="G44" s="16">
        <f>IF(B44="","",COUNTIFS(Absences!$C$6:$C$405,Settings!$C$10,Absences!$D$6:$D$405,B44,Absences!$E$6:$E$405,"Late"))</f>
        <v/>
      </c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1" t="n"/>
      <c r="AC44">
        <f>IF(C44="","",SUMPRODUCT(MAX(ISNUMBER(Settings!$B$17:$B$26)*(Settings!$B$17:$B$26&lt;=ROUND(C44*100,1))*Settings!$B$17:$B$26)))</f>
        <v/>
      </c>
      <c r="AD44">
        <f>IF(C44="","",ROUND(C44*1000,0)*1000+234)</f>
        <v/>
      </c>
      <c r="AE44">
        <f>IF(C44="",0,IF(ROUND(C44*100,1)&lt;N($AC$2),1,0))</f>
        <v/>
      </c>
    </row>
    <row r="45">
      <c r="A45" s="1" t="n"/>
      <c r="B45" s="31" t="n"/>
      <c r="C45" s="44">
        <f>IF(B45="","",IF((SUMPRODUCT(--ISNUMBER(H45:AA45),$H$52:$AA$52)+SUMPRODUCT(--(H45:AA45="M"),$H$52:$AA$52))=0,"",ROUND(SUMPRODUCT(H45:AA45,$H$53:$AA$53)/(SUMPRODUCT(--ISNUMBER(H45:AA45),$H$52:$AA$52)+SUMPRODUCT(--(H45:AA45="M"),$H$52:$AA$52))*100,1)/100))</f>
        <v/>
      </c>
      <c r="D45" s="34">
        <f>IF(C45="","",IFERROR(INDEX(Settings!$C$17:$C$26,MATCH(AC45,Settings!$B$17:$B$26,0)),""))</f>
        <v/>
      </c>
      <c r="E45" s="16">
        <f>IF(B45="","",COUNTIF(H45:AA45,"M"))</f>
        <v/>
      </c>
      <c r="F45" s="16">
        <f>IF(B45="","",COUNTIFS(Absences!$C$6:$C$405,Settings!$C$10,Absences!$D$6:$D$405,B45,Absences!$E$6:$E$405,"Absent"))</f>
        <v/>
      </c>
      <c r="G45" s="16">
        <f>IF(B45="","",COUNTIFS(Absences!$C$6:$C$405,Settings!$C$10,Absences!$D$6:$D$405,B45,Absences!$E$6:$E$405,"Late"))</f>
        <v/>
      </c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1" t="n"/>
      <c r="AC45">
        <f>IF(C45="","",SUMPRODUCT(MAX(ISNUMBER(Settings!$B$17:$B$26)*(Settings!$B$17:$B$26&lt;=ROUND(C45*100,1))*Settings!$B$17:$B$26)))</f>
        <v/>
      </c>
      <c r="AD45">
        <f>IF(C45="","",ROUND(C45*1000,0)*1000+235)</f>
        <v/>
      </c>
      <c r="AE45">
        <f>IF(C45="",0,IF(ROUND(C45*100,1)&lt;N($AC$2),1,0))</f>
        <v/>
      </c>
    </row>
    <row r="46">
      <c r="A46" s="1" t="n"/>
      <c r="B46" s="31" t="n"/>
      <c r="C46" s="44">
        <f>IF(B46="","",IF((SUMPRODUCT(--ISNUMBER(H46:AA46),$H$52:$AA$52)+SUMPRODUCT(--(H46:AA46="M"),$H$52:$AA$52))=0,"",ROUND(SUMPRODUCT(H46:AA46,$H$53:$AA$53)/(SUMPRODUCT(--ISNUMBER(H46:AA46),$H$52:$AA$52)+SUMPRODUCT(--(H46:AA46="M"),$H$52:$AA$52))*100,1)/100))</f>
        <v/>
      </c>
      <c r="D46" s="34">
        <f>IF(C46="","",IFERROR(INDEX(Settings!$C$17:$C$26,MATCH(AC46,Settings!$B$17:$B$26,0)),""))</f>
        <v/>
      </c>
      <c r="E46" s="16">
        <f>IF(B46="","",COUNTIF(H46:AA46,"M"))</f>
        <v/>
      </c>
      <c r="F46" s="16">
        <f>IF(B46="","",COUNTIFS(Absences!$C$6:$C$405,Settings!$C$10,Absences!$D$6:$D$405,B46,Absences!$E$6:$E$405,"Absent"))</f>
        <v/>
      </c>
      <c r="G46" s="16">
        <f>IF(B46="","",COUNTIFS(Absences!$C$6:$C$405,Settings!$C$10,Absences!$D$6:$D$405,B46,Absences!$E$6:$E$405,"Late"))</f>
        <v/>
      </c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1" t="n"/>
      <c r="AC46">
        <f>IF(C46="","",SUMPRODUCT(MAX(ISNUMBER(Settings!$B$17:$B$26)*(Settings!$B$17:$B$26&lt;=ROUND(C46*100,1))*Settings!$B$17:$B$26)))</f>
        <v/>
      </c>
      <c r="AD46">
        <f>IF(C46="","",ROUND(C46*1000,0)*1000+236)</f>
        <v/>
      </c>
      <c r="AE46">
        <f>IF(C46="",0,IF(ROUND(C46*100,1)&lt;N($AC$2),1,0))</f>
        <v/>
      </c>
    </row>
    <row r="47">
      <c r="A47" s="1" t="n"/>
      <c r="B47" s="31" t="n"/>
      <c r="C47" s="44">
        <f>IF(B47="","",IF((SUMPRODUCT(--ISNUMBER(H47:AA47),$H$52:$AA$52)+SUMPRODUCT(--(H47:AA47="M"),$H$52:$AA$52))=0,"",ROUND(SUMPRODUCT(H47:AA47,$H$53:$AA$53)/(SUMPRODUCT(--ISNUMBER(H47:AA47),$H$52:$AA$52)+SUMPRODUCT(--(H47:AA47="M"),$H$52:$AA$52))*100,1)/100))</f>
        <v/>
      </c>
      <c r="D47" s="34">
        <f>IF(C47="","",IFERROR(INDEX(Settings!$C$17:$C$26,MATCH(AC47,Settings!$B$17:$B$26,0)),""))</f>
        <v/>
      </c>
      <c r="E47" s="16">
        <f>IF(B47="","",COUNTIF(H47:AA47,"M"))</f>
        <v/>
      </c>
      <c r="F47" s="16">
        <f>IF(B47="","",COUNTIFS(Absences!$C$6:$C$405,Settings!$C$10,Absences!$D$6:$D$405,B47,Absences!$E$6:$E$405,"Absent"))</f>
        <v/>
      </c>
      <c r="G47" s="16">
        <f>IF(B47="","",COUNTIFS(Absences!$C$6:$C$405,Settings!$C$10,Absences!$D$6:$D$405,B47,Absences!$E$6:$E$405,"Late"))</f>
        <v/>
      </c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1" t="n"/>
      <c r="AC47">
        <f>IF(C47="","",SUMPRODUCT(MAX(ISNUMBER(Settings!$B$17:$B$26)*(Settings!$B$17:$B$26&lt;=ROUND(C47*100,1))*Settings!$B$17:$B$26)))</f>
        <v/>
      </c>
      <c r="AD47">
        <f>IF(C47="","",ROUND(C47*1000,0)*1000+237)</f>
        <v/>
      </c>
      <c r="AE47">
        <f>IF(C47="",0,IF(ROUND(C47*100,1)&lt;N($AC$2),1,0))</f>
        <v/>
      </c>
    </row>
    <row r="48">
      <c r="A48" s="1" t="n"/>
      <c r="B48" s="31" t="n"/>
      <c r="C48" s="44">
        <f>IF(B48="","",IF((SUMPRODUCT(--ISNUMBER(H48:AA48),$H$52:$AA$52)+SUMPRODUCT(--(H48:AA48="M"),$H$52:$AA$52))=0,"",ROUND(SUMPRODUCT(H48:AA48,$H$53:$AA$53)/(SUMPRODUCT(--ISNUMBER(H48:AA48),$H$52:$AA$52)+SUMPRODUCT(--(H48:AA48="M"),$H$52:$AA$52))*100,1)/100))</f>
        <v/>
      </c>
      <c r="D48" s="34">
        <f>IF(C48="","",IFERROR(INDEX(Settings!$C$17:$C$26,MATCH(AC48,Settings!$B$17:$B$26,0)),""))</f>
        <v/>
      </c>
      <c r="E48" s="16">
        <f>IF(B48="","",COUNTIF(H48:AA48,"M"))</f>
        <v/>
      </c>
      <c r="F48" s="16">
        <f>IF(B48="","",COUNTIFS(Absences!$C$6:$C$405,Settings!$C$10,Absences!$D$6:$D$405,B48,Absences!$E$6:$E$405,"Absent"))</f>
        <v/>
      </c>
      <c r="G48" s="16">
        <f>IF(B48="","",COUNTIFS(Absences!$C$6:$C$405,Settings!$C$10,Absences!$D$6:$D$405,B48,Absences!$E$6:$E$405,"Late"))</f>
        <v/>
      </c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1" t="n"/>
      <c r="AC48">
        <f>IF(C48="","",SUMPRODUCT(MAX(ISNUMBER(Settings!$B$17:$B$26)*(Settings!$B$17:$B$26&lt;=ROUND(C48*100,1))*Settings!$B$17:$B$26)))</f>
        <v/>
      </c>
      <c r="AD48">
        <f>IF(C48="","",ROUND(C48*1000,0)*1000+238)</f>
        <v/>
      </c>
      <c r="AE48">
        <f>IF(C48="",0,IF(ROUND(C48*100,1)&lt;N($AC$2),1,0))</f>
        <v/>
      </c>
    </row>
    <row r="49">
      <c r="A49" s="1" t="n"/>
      <c r="B49" s="31" t="n"/>
      <c r="C49" s="44">
        <f>IF(B49="","",IF((SUMPRODUCT(--ISNUMBER(H49:AA49),$H$52:$AA$52)+SUMPRODUCT(--(H49:AA49="M"),$H$52:$AA$52))=0,"",ROUND(SUMPRODUCT(H49:AA49,$H$53:$AA$53)/(SUMPRODUCT(--ISNUMBER(H49:AA49),$H$52:$AA$52)+SUMPRODUCT(--(H49:AA49="M"),$H$52:$AA$52))*100,1)/100))</f>
        <v/>
      </c>
      <c r="D49" s="34">
        <f>IF(C49="","",IFERROR(INDEX(Settings!$C$17:$C$26,MATCH(AC49,Settings!$B$17:$B$26,0)),""))</f>
        <v/>
      </c>
      <c r="E49" s="16">
        <f>IF(B49="","",COUNTIF(H49:AA49,"M"))</f>
        <v/>
      </c>
      <c r="F49" s="16">
        <f>IF(B49="","",COUNTIFS(Absences!$C$6:$C$405,Settings!$C$10,Absences!$D$6:$D$405,B49,Absences!$E$6:$E$405,"Absent"))</f>
        <v/>
      </c>
      <c r="G49" s="16">
        <f>IF(B49="","",COUNTIFS(Absences!$C$6:$C$405,Settings!$C$10,Absences!$D$6:$D$405,B49,Absences!$E$6:$E$405,"Late"))</f>
        <v/>
      </c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1" t="n"/>
      <c r="AC49">
        <f>IF(C49="","",SUMPRODUCT(MAX(ISNUMBER(Settings!$B$17:$B$26)*(Settings!$B$17:$B$26&lt;=ROUND(C49*100,1))*Settings!$B$17:$B$26)))</f>
        <v/>
      </c>
      <c r="AD49">
        <f>IF(C49="","",ROUND(C49*1000,0)*1000+239)</f>
        <v/>
      </c>
      <c r="AE49">
        <f>IF(C49="",0,IF(ROUND(C49*100,1)&lt;N($AC$2),1,0))</f>
        <v/>
      </c>
    </row>
    <row r="50">
      <c r="A50" s="1" t="n"/>
      <c r="B50" s="31" t="n"/>
      <c r="C50" s="44">
        <f>IF(B50="","",IF((SUMPRODUCT(--ISNUMBER(H50:AA50),$H$52:$AA$52)+SUMPRODUCT(--(H50:AA50="M"),$H$52:$AA$52))=0,"",ROUND(SUMPRODUCT(H50:AA50,$H$53:$AA$53)/(SUMPRODUCT(--ISNUMBER(H50:AA50),$H$52:$AA$52)+SUMPRODUCT(--(H50:AA50="M"),$H$52:$AA$52))*100,1)/100))</f>
        <v/>
      </c>
      <c r="D50" s="34">
        <f>IF(C50="","",IFERROR(INDEX(Settings!$C$17:$C$26,MATCH(AC50,Settings!$B$17:$B$26,0)),""))</f>
        <v/>
      </c>
      <c r="E50" s="16">
        <f>IF(B50="","",COUNTIF(H50:AA50,"M"))</f>
        <v/>
      </c>
      <c r="F50" s="16">
        <f>IF(B50="","",COUNTIFS(Absences!$C$6:$C$405,Settings!$C$10,Absences!$D$6:$D$405,B50,Absences!$E$6:$E$405,"Absent"))</f>
        <v/>
      </c>
      <c r="G50" s="16">
        <f>IF(B50="","",COUNTIFS(Absences!$C$6:$C$405,Settings!$C$10,Absences!$D$6:$D$405,B50,Absences!$E$6:$E$405,"Late"))</f>
        <v/>
      </c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1" t="n"/>
      <c r="AC50">
        <f>IF(C50="","",SUMPRODUCT(MAX(ISNUMBER(Settings!$B$17:$B$26)*(Settings!$B$17:$B$26&lt;=ROUND(C50*100,1))*Settings!$B$17:$B$26)))</f>
        <v/>
      </c>
      <c r="AD50">
        <f>IF(C50="","",ROUND(C50*1000,0)*1000+240)</f>
        <v/>
      </c>
      <c r="AE50">
        <f>IF(C50="",0,IF(ROUND(C50*100,1)&lt;N($AC$2),1,0))</f>
        <v/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idden="1">
      <c r="H52">
        <f>IF(N(H7)&lt;=0,0,IF(H8="",1,N(H8)))</f>
        <v/>
      </c>
      <c r="I52">
        <f>IF(N(I7)&lt;=0,0,IF(I8="",1,N(I8)))</f>
        <v/>
      </c>
      <c r="J52">
        <f>IF(N(J7)&lt;=0,0,IF(J8="",1,N(J8)))</f>
        <v/>
      </c>
      <c r="K52">
        <f>IF(N(K7)&lt;=0,0,IF(K8="",1,N(K8)))</f>
        <v/>
      </c>
      <c r="L52">
        <f>IF(N(L7)&lt;=0,0,IF(L8="",1,N(L8)))</f>
        <v/>
      </c>
      <c r="M52">
        <f>IF(N(M7)&lt;=0,0,IF(M8="",1,N(M8)))</f>
        <v/>
      </c>
      <c r="N52">
        <f>IF(N(N7)&lt;=0,0,IF(N8="",1,N(N8)))</f>
        <v/>
      </c>
      <c r="O52">
        <f>IF(N(O7)&lt;=0,0,IF(O8="",1,N(O8)))</f>
        <v/>
      </c>
      <c r="P52">
        <f>IF(N(P7)&lt;=0,0,IF(P8="",1,N(P8)))</f>
        <v/>
      </c>
      <c r="Q52">
        <f>IF(N(Q7)&lt;=0,0,IF(Q8="",1,N(Q8)))</f>
        <v/>
      </c>
      <c r="R52">
        <f>IF(N(R7)&lt;=0,0,IF(R8="",1,N(R8)))</f>
        <v/>
      </c>
      <c r="S52">
        <f>IF(N(S7)&lt;=0,0,IF(S8="",1,N(S8)))</f>
        <v/>
      </c>
      <c r="T52">
        <f>IF(N(T7)&lt;=0,0,IF(T8="",1,N(T8)))</f>
        <v/>
      </c>
      <c r="U52">
        <f>IF(N(U7)&lt;=0,0,IF(U8="",1,N(U8)))</f>
        <v/>
      </c>
      <c r="V52">
        <f>IF(N(V7)&lt;=0,0,IF(V8="",1,N(V8)))</f>
        <v/>
      </c>
      <c r="W52">
        <f>IF(N(W7)&lt;=0,0,IF(W8="",1,N(W8)))</f>
        <v/>
      </c>
      <c r="X52">
        <f>IF(N(X7)&lt;=0,0,IF(X8="",1,N(X8)))</f>
        <v/>
      </c>
      <c r="Y52">
        <f>IF(N(Y7)&lt;=0,0,IF(Y8="",1,N(Y8)))</f>
        <v/>
      </c>
      <c r="Z52">
        <f>IF(N(Z7)&lt;=0,0,IF(Z8="",1,N(Z8)))</f>
        <v/>
      </c>
      <c r="AA52">
        <f>IF(N(AA7)&lt;=0,0,IF(AA8="",1,N(AA8)))</f>
        <v/>
      </c>
    </row>
    <row r="53" hidden="1">
      <c r="H53">
        <f>IF(H52=0,0,H52/H7)</f>
        <v/>
      </c>
      <c r="I53">
        <f>IF(I52=0,0,I52/I7)</f>
        <v/>
      </c>
      <c r="J53">
        <f>IF(J52=0,0,J52/J7)</f>
        <v/>
      </c>
      <c r="K53">
        <f>IF(K52=0,0,K52/K7)</f>
        <v/>
      </c>
      <c r="L53">
        <f>IF(L52=0,0,L52/L7)</f>
        <v/>
      </c>
      <c r="M53">
        <f>IF(M52=0,0,M52/M7)</f>
        <v/>
      </c>
      <c r="N53">
        <f>IF(N52=0,0,N52/N7)</f>
        <v/>
      </c>
      <c r="O53">
        <f>IF(O52=0,0,O52/O7)</f>
        <v/>
      </c>
      <c r="P53">
        <f>IF(P52=0,0,P52/P7)</f>
        <v/>
      </c>
      <c r="Q53">
        <f>IF(Q52=0,0,Q52/Q7)</f>
        <v/>
      </c>
      <c r="R53">
        <f>IF(R52=0,0,R52/R7)</f>
        <v/>
      </c>
      <c r="S53">
        <f>IF(S52=0,0,S52/S7)</f>
        <v/>
      </c>
      <c r="T53">
        <f>IF(T52=0,0,T52/T7)</f>
        <v/>
      </c>
      <c r="U53">
        <f>IF(U52=0,0,U52/U7)</f>
        <v/>
      </c>
      <c r="V53">
        <f>IF(V52=0,0,V52/V7)</f>
        <v/>
      </c>
      <c r="W53">
        <f>IF(W52=0,0,W52/W7)</f>
        <v/>
      </c>
      <c r="X53">
        <f>IF(X52=0,0,X52/X7)</f>
        <v/>
      </c>
      <c r="Y53">
        <f>IF(Y52=0,0,Y52/Y7)</f>
        <v/>
      </c>
      <c r="Z53">
        <f>IF(Z52=0,0,Z52/Z7)</f>
        <v/>
      </c>
      <c r="AA53">
        <f>IF(AA52=0,0,AA52/AA7)</f>
        <v/>
      </c>
    </row>
    <row r="54" hidden="1">
      <c r="H54">
        <f>IF(AND(H5&lt;&gt;"",ISNUMBER(H6)),IF(AND(H6&lt;=TODAY(),COUNT(H11:H50)+COUNTIF(H11:H50,"M")=0),1,0),0)</f>
        <v/>
      </c>
      <c r="I54">
        <f>IF(AND(I5&lt;&gt;"",ISNUMBER(I6)),IF(AND(I6&lt;=TODAY(),COUNT(I11:I50)+COUNTIF(I11:I50,"M")=0),1,0),0)</f>
        <v/>
      </c>
      <c r="J54">
        <f>IF(AND(J5&lt;&gt;"",ISNUMBER(J6)),IF(AND(J6&lt;=TODAY(),COUNT(J11:J50)+COUNTIF(J11:J50,"M")=0),1,0),0)</f>
        <v/>
      </c>
      <c r="K54">
        <f>IF(AND(K5&lt;&gt;"",ISNUMBER(K6)),IF(AND(K6&lt;=TODAY(),COUNT(K11:K50)+COUNTIF(K11:K50,"M")=0),1,0),0)</f>
        <v/>
      </c>
      <c r="L54">
        <f>IF(AND(L5&lt;&gt;"",ISNUMBER(L6)),IF(AND(L6&lt;=TODAY(),COUNT(L11:L50)+COUNTIF(L11:L50,"M")=0),1,0),0)</f>
        <v/>
      </c>
      <c r="M54">
        <f>IF(AND(M5&lt;&gt;"",ISNUMBER(M6)),IF(AND(M6&lt;=TODAY(),COUNT(M11:M50)+COUNTIF(M11:M50,"M")=0),1,0),0)</f>
        <v/>
      </c>
      <c r="N54">
        <f>IF(AND(N5&lt;&gt;"",ISNUMBER(N6)),IF(AND(N6&lt;=TODAY(),COUNT(N11:N50)+COUNTIF(N11:N50,"M")=0),1,0),0)</f>
        <v/>
      </c>
      <c r="O54">
        <f>IF(AND(O5&lt;&gt;"",ISNUMBER(O6)),IF(AND(O6&lt;=TODAY(),COUNT(O11:O50)+COUNTIF(O11:O50,"M")=0),1,0),0)</f>
        <v/>
      </c>
      <c r="P54">
        <f>IF(AND(P5&lt;&gt;"",ISNUMBER(P6)),IF(AND(P6&lt;=TODAY(),COUNT(P11:P50)+COUNTIF(P11:P50,"M")=0),1,0),0)</f>
        <v/>
      </c>
      <c r="Q54">
        <f>IF(AND(Q5&lt;&gt;"",ISNUMBER(Q6)),IF(AND(Q6&lt;=TODAY(),COUNT(Q11:Q50)+COUNTIF(Q11:Q50,"M")=0),1,0),0)</f>
        <v/>
      </c>
      <c r="R54">
        <f>IF(AND(R5&lt;&gt;"",ISNUMBER(R6)),IF(AND(R6&lt;=TODAY(),COUNT(R11:R50)+COUNTIF(R11:R50,"M")=0),1,0),0)</f>
        <v/>
      </c>
      <c r="S54">
        <f>IF(AND(S5&lt;&gt;"",ISNUMBER(S6)),IF(AND(S6&lt;=TODAY(),COUNT(S11:S50)+COUNTIF(S11:S50,"M")=0),1,0),0)</f>
        <v/>
      </c>
      <c r="T54">
        <f>IF(AND(T5&lt;&gt;"",ISNUMBER(T6)),IF(AND(T6&lt;=TODAY(),COUNT(T11:T50)+COUNTIF(T11:T50,"M")=0),1,0),0)</f>
        <v/>
      </c>
      <c r="U54">
        <f>IF(AND(U5&lt;&gt;"",ISNUMBER(U6)),IF(AND(U6&lt;=TODAY(),COUNT(U11:U50)+COUNTIF(U11:U50,"M")=0),1,0),0)</f>
        <v/>
      </c>
      <c r="V54">
        <f>IF(AND(V5&lt;&gt;"",ISNUMBER(V6)),IF(AND(V6&lt;=TODAY(),COUNT(V11:V50)+COUNTIF(V11:V50,"M")=0),1,0),0)</f>
        <v/>
      </c>
      <c r="W54">
        <f>IF(AND(W5&lt;&gt;"",ISNUMBER(W6)),IF(AND(W6&lt;=TODAY(),COUNT(W11:W50)+COUNTIF(W11:W50,"M")=0),1,0),0)</f>
        <v/>
      </c>
      <c r="X54">
        <f>IF(AND(X5&lt;&gt;"",ISNUMBER(X6)),IF(AND(X6&lt;=TODAY(),COUNT(X11:X50)+COUNTIF(X11:X50,"M")=0),1,0),0)</f>
        <v/>
      </c>
      <c r="Y54">
        <f>IF(AND(Y5&lt;&gt;"",ISNUMBER(Y6)),IF(AND(Y6&lt;=TODAY(),COUNT(Y11:Y50)+COUNTIF(Y11:Y50,"M")=0),1,0),0)</f>
        <v/>
      </c>
      <c r="Z54">
        <f>IF(AND(Z5&lt;&gt;"",ISNUMBER(Z6)),IF(AND(Z6&lt;=TODAY(),COUNT(Z11:Z50)+COUNTIF(Z11:Z50,"M")=0),1,0),0)</f>
        <v/>
      </c>
      <c r="AA54">
        <f>IF(AND(AA5&lt;&gt;"",ISNUMBER(AA6)),IF(AND(AA6&lt;=TODAY(),COUNT(AA11:AA50)+COUNTIF(AA11:AA50,"M")=0),1,0),0)</f>
        <v/>
      </c>
    </row>
  </sheetData>
  <conditionalFormatting sqref="C11:D50">
    <cfRule type="expression" priority="1" dxfId="1">
      <formula>AND(ISNUMBER($C11),ROUND($C11*100,1)&lt;N($AC$2))</formula>
    </cfRule>
  </conditionalFormatting>
  <conditionalFormatting sqref="E11:E50">
    <cfRule type="expression" priority="2" dxfId="0">
      <formula>N(E11)&gt;0</formula>
    </cfRule>
  </conditionalFormatting>
  <conditionalFormatting sqref="H11:AA50">
    <cfRule type="expression" priority="3" dxfId="1">
      <formula>H11="M"</formula>
    </cfRule>
    <cfRule type="expression" priority="4" dxfId="2">
      <formula>AND(ISNUMBER(H11),H11&gt;N(H$7))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E54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7" customWidth="1" min="4" max="4"/>
    <col width="8" customWidth="1" min="5" max="5"/>
    <col width="8" customWidth="1" min="6" max="6"/>
    <col width="7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hidden="1" width="13" customWidth="1" min="29" max="29"/>
    <col hidden="1" width="13" customWidth="1" min="30" max="30"/>
    <col hidden="1" width="13" customWidth="1" min="31" max="3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2">
        <f>IF(Settings!$C$11="","Class 3",Settings!$C$11)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>
        <f>Settings!$C$4</f>
        <v/>
      </c>
    </row>
    <row r="3">
      <c r="A3" s="1" t="n"/>
      <c r="B3" s="3" t="inlineStr">
        <is>
          <t>Scores as numbers. M for missing work (counts as 0), Ex for excused (left out), empty for not marked yet.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92" customHeight="1">
      <c r="A5" s="1" t="n"/>
      <c r="B5" s="1" t="n"/>
      <c r="C5" s="1" t="n"/>
      <c r="D5" s="1" t="n"/>
      <c r="E5" s="1" t="n"/>
      <c r="F5" s="1" t="n"/>
      <c r="G5" s="37" t="inlineStr">
        <is>
          <t>Assessment</t>
        </is>
      </c>
      <c r="H5" s="38" t="inlineStr">
        <is>
          <t>Enzymes homework</t>
        </is>
      </c>
      <c r="I5" s="38" t="inlineStr">
        <is>
          <t>Food tests practical</t>
        </is>
      </c>
      <c r="J5" s="38" t="inlineStr">
        <is>
          <t>Enzymes test</t>
        </is>
      </c>
      <c r="K5" s="38" t="inlineStr">
        <is>
          <t>Digestion essay</t>
        </is>
      </c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1" t="n"/>
    </row>
    <row r="6">
      <c r="A6" s="1" t="n"/>
      <c r="B6" s="1" t="n"/>
      <c r="C6" s="1" t="n"/>
      <c r="D6" s="1" t="n"/>
      <c r="E6" s="1" t="n"/>
      <c r="F6" s="1" t="n"/>
      <c r="G6" s="39" t="inlineStr">
        <is>
          <t>Date</t>
        </is>
      </c>
      <c r="H6" s="40" t="n">
        <v>46271</v>
      </c>
      <c r="I6" s="40" t="n">
        <v>46278</v>
      </c>
      <c r="J6" s="40" t="n">
        <v>46285</v>
      </c>
      <c r="K6" s="40" t="n">
        <v>46291</v>
      </c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1" t="n"/>
    </row>
    <row r="7">
      <c r="A7" s="1" t="n"/>
      <c r="B7" s="1" t="n"/>
      <c r="C7" s="1" t="n"/>
      <c r="D7" s="1" t="n"/>
      <c r="E7" s="1" t="n"/>
      <c r="F7" s="1" t="n"/>
      <c r="G7" s="39" t="inlineStr">
        <is>
          <t>Out of</t>
        </is>
      </c>
      <c r="H7" s="29" t="n">
        <v>20</v>
      </c>
      <c r="I7" s="29" t="n">
        <v>30</v>
      </c>
      <c r="J7" s="29" t="n">
        <v>50</v>
      </c>
      <c r="K7" s="29" t="n">
        <v>25</v>
      </c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1" t="n"/>
    </row>
    <row r="8">
      <c r="A8" s="1" t="n"/>
      <c r="B8" s="1" t="n"/>
      <c r="C8" s="1" t="n"/>
      <c r="D8" s="1" t="n"/>
      <c r="E8" s="1" t="n"/>
      <c r="F8" s="1" t="n"/>
      <c r="G8" s="39" t="inlineStr">
        <is>
          <t>Weight</t>
        </is>
      </c>
      <c r="H8" s="41" t="n">
        <v>1</v>
      </c>
      <c r="I8" s="41" t="n">
        <v>1</v>
      </c>
      <c r="J8" s="41" t="n">
        <v>2</v>
      </c>
      <c r="K8" s="41" t="n">
        <v>1</v>
      </c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1" t="n"/>
    </row>
    <row r="9">
      <c r="A9" s="1" t="n"/>
      <c r="B9" s="1" t="n"/>
      <c r="C9" s="42">
        <f>IF(COUNT(C11:C50)=0,"",AVERAGE(C11:C50))</f>
        <v/>
      </c>
      <c r="D9" s="1" t="n"/>
      <c r="E9" s="1" t="n"/>
      <c r="F9" s="1" t="n"/>
      <c r="G9" s="39" t="inlineStr">
        <is>
          <t>Class average</t>
        </is>
      </c>
      <c r="H9" s="43">
        <f>IF(OR(N(H7)&lt;=0,COUNT(H11:H50)=0),"",AVERAGE(H11:H50)/H7)</f>
        <v/>
      </c>
      <c r="I9" s="43">
        <f>IF(OR(N(I7)&lt;=0,COUNT(I11:I50)=0),"",AVERAGE(I11:I50)/I7)</f>
        <v/>
      </c>
      <c r="J9" s="43">
        <f>IF(OR(N(J7)&lt;=0,COUNT(J11:J50)=0),"",AVERAGE(J11:J50)/J7)</f>
        <v/>
      </c>
      <c r="K9" s="43">
        <f>IF(OR(N(K7)&lt;=0,COUNT(K11:K50)=0),"",AVERAGE(K11:K50)/K7)</f>
        <v/>
      </c>
      <c r="L9" s="43">
        <f>IF(OR(N(L7)&lt;=0,COUNT(L11:L50)=0),"",AVERAGE(L11:L50)/L7)</f>
        <v/>
      </c>
      <c r="M9" s="43">
        <f>IF(OR(N(M7)&lt;=0,COUNT(M11:M50)=0),"",AVERAGE(M11:M50)/M7)</f>
        <v/>
      </c>
      <c r="N9" s="43">
        <f>IF(OR(N(N7)&lt;=0,COUNT(N11:N50)=0),"",AVERAGE(N11:N50)/N7)</f>
        <v/>
      </c>
      <c r="O9" s="43">
        <f>IF(OR(N(O7)&lt;=0,COUNT(O11:O50)=0),"",AVERAGE(O11:O50)/O7)</f>
        <v/>
      </c>
      <c r="P9" s="43">
        <f>IF(OR(N(P7)&lt;=0,COUNT(P11:P50)=0),"",AVERAGE(P11:P50)/P7)</f>
        <v/>
      </c>
      <c r="Q9" s="43">
        <f>IF(OR(N(Q7)&lt;=0,COUNT(Q11:Q50)=0),"",AVERAGE(Q11:Q50)/Q7)</f>
        <v/>
      </c>
      <c r="R9" s="43">
        <f>IF(OR(N(R7)&lt;=0,COUNT(R11:R50)=0),"",AVERAGE(R11:R50)/R7)</f>
        <v/>
      </c>
      <c r="S9" s="43">
        <f>IF(OR(N(S7)&lt;=0,COUNT(S11:S50)=0),"",AVERAGE(S11:S50)/S7)</f>
        <v/>
      </c>
      <c r="T9" s="43">
        <f>IF(OR(N(T7)&lt;=0,COUNT(T11:T50)=0),"",AVERAGE(T11:T50)/T7)</f>
        <v/>
      </c>
      <c r="U9" s="43">
        <f>IF(OR(N(U7)&lt;=0,COUNT(U11:U50)=0),"",AVERAGE(U11:U50)/U7)</f>
        <v/>
      </c>
      <c r="V9" s="43">
        <f>IF(OR(N(V7)&lt;=0,COUNT(V11:V50)=0),"",AVERAGE(V11:V50)/V7)</f>
        <v/>
      </c>
      <c r="W9" s="43">
        <f>IF(OR(N(W7)&lt;=0,COUNT(W11:W50)=0),"",AVERAGE(W11:W50)/W7)</f>
        <v/>
      </c>
      <c r="X9" s="43">
        <f>IF(OR(N(X7)&lt;=0,COUNT(X11:X50)=0),"",AVERAGE(X11:X50)/X7)</f>
        <v/>
      </c>
      <c r="Y9" s="43">
        <f>IF(OR(N(Y7)&lt;=0,COUNT(Y11:Y50)=0),"",AVERAGE(Y11:Y50)/Y7)</f>
        <v/>
      </c>
      <c r="Z9" s="43">
        <f>IF(OR(N(Z7)&lt;=0,COUNT(Z11:Z50)=0),"",AVERAGE(Z11:Z50)/Z7)</f>
        <v/>
      </c>
      <c r="AA9" s="43">
        <f>IF(OR(N(AA7)&lt;=0,COUNT(AA11:AA50)=0),"",AVERAGE(AA11:AA50)/AA7)</f>
        <v/>
      </c>
      <c r="AB9" s="1" t="n"/>
    </row>
    <row r="10" ht="30" customHeight="1">
      <c r="A10" s="1" t="n"/>
      <c r="B10" s="10" t="inlineStr">
        <is>
          <t>Student</t>
        </is>
      </c>
      <c r="C10" s="10" t="inlineStr">
        <is>
          <t>Average</t>
        </is>
      </c>
      <c r="D10" s="10" t="inlineStr">
        <is>
          <t>Grade</t>
        </is>
      </c>
      <c r="E10" s="10" t="inlineStr">
        <is>
          <t>Missing</t>
        </is>
      </c>
      <c r="F10" s="10" t="inlineStr">
        <is>
          <t>Absent</t>
        </is>
      </c>
      <c r="G10" s="10" t="inlineStr">
        <is>
          <t>Late</t>
        </is>
      </c>
      <c r="H10" s="10" t="n">
        <v>1</v>
      </c>
      <c r="I10" s="10" t="n">
        <v>2</v>
      </c>
      <c r="J10" s="10" t="n">
        <v>3</v>
      </c>
      <c r="K10" s="10" t="n">
        <v>4</v>
      </c>
      <c r="L10" s="10" t="n">
        <v>5</v>
      </c>
      <c r="M10" s="10" t="n">
        <v>6</v>
      </c>
      <c r="N10" s="10" t="n">
        <v>7</v>
      </c>
      <c r="O10" s="10" t="n">
        <v>8</v>
      </c>
      <c r="P10" s="10" t="n">
        <v>9</v>
      </c>
      <c r="Q10" s="10" t="n">
        <v>10</v>
      </c>
      <c r="R10" s="10" t="n">
        <v>11</v>
      </c>
      <c r="S10" s="10" t="n">
        <v>12</v>
      </c>
      <c r="T10" s="10" t="n">
        <v>13</v>
      </c>
      <c r="U10" s="10" t="n">
        <v>14</v>
      </c>
      <c r="V10" s="10" t="n">
        <v>15</v>
      </c>
      <c r="W10" s="10" t="n">
        <v>16</v>
      </c>
      <c r="X10" s="10" t="n">
        <v>17</v>
      </c>
      <c r="Y10" s="10" t="n">
        <v>18</v>
      </c>
      <c r="Z10" s="10" t="n">
        <v>19</v>
      </c>
      <c r="AA10" s="10" t="n">
        <v>20</v>
      </c>
      <c r="AB10" s="1" t="n"/>
    </row>
    <row r="11">
      <c r="A11" s="1" t="n"/>
      <c r="B11" s="31" t="inlineStr">
        <is>
          <t>Isaac K.</t>
        </is>
      </c>
      <c r="C11" s="44">
        <f>IF(B11="","",IF((SUMPRODUCT(--ISNUMBER(H11:AA11),$H$52:$AA$52)+SUMPRODUCT(--(H11:AA11="M"),$H$52:$AA$52))=0,"",ROUND(SUMPRODUCT(H11:AA11,$H$53:$AA$53)/(SUMPRODUCT(--ISNUMBER(H11:AA11),$H$52:$AA$52)+SUMPRODUCT(--(H11:AA11="M"),$H$52:$AA$52))*100,1)/100))</f>
        <v/>
      </c>
      <c r="D11" s="34">
        <f>IF(C11="","",IFERROR(INDEX(Settings!$C$17:$C$26,MATCH(AC11,Settings!$B$17:$B$26,0)),""))</f>
        <v/>
      </c>
      <c r="E11" s="16">
        <f>IF(B11="","",COUNTIF(H11:AA11,"M"))</f>
        <v/>
      </c>
      <c r="F11" s="16">
        <f>IF(B11="","",COUNTIFS(Absences!$C$6:$C$405,Settings!$C$11,Absences!$D$6:$D$405,B11,Absences!$E$6:$E$405,"Absent"))</f>
        <v/>
      </c>
      <c r="G11" s="16">
        <f>IF(B11="","",COUNTIFS(Absences!$C$6:$C$405,Settings!$C$11,Absences!$D$6:$D$405,B11,Absences!$E$6:$E$405,"Late"))</f>
        <v/>
      </c>
      <c r="H11" s="33" t="n">
        <v>19</v>
      </c>
      <c r="I11" s="33" t="n">
        <v>29</v>
      </c>
      <c r="J11" s="33" t="n">
        <v>50</v>
      </c>
      <c r="K11" s="33" t="n">
        <v>24</v>
      </c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1" t="n"/>
      <c r="AC11">
        <f>IF(C11="","",SUMPRODUCT(MAX(ISNUMBER(Settings!$B$17:$B$26)*(Settings!$B$17:$B$26&lt;=ROUND(C11*100,1))*Settings!$B$17:$B$26)))</f>
        <v/>
      </c>
      <c r="AD11">
        <f>IF(C11="","",ROUND(C11*1000,0)*1000+301)</f>
        <v/>
      </c>
      <c r="AE11">
        <f>IF(C11="",0,IF(ROUND(C11*100,1)&lt;N($AC$2),1,0))</f>
        <v/>
      </c>
    </row>
    <row r="12">
      <c r="A12" s="1" t="n"/>
      <c r="B12" s="31" t="inlineStr">
        <is>
          <t>Nadia B.</t>
        </is>
      </c>
      <c r="C12" s="44">
        <f>IF(B12="","",IF((SUMPRODUCT(--ISNUMBER(H12:AA12),$H$52:$AA$52)+SUMPRODUCT(--(H12:AA12="M"),$H$52:$AA$52))=0,"",ROUND(SUMPRODUCT(H12:AA12,$H$53:$AA$53)/(SUMPRODUCT(--ISNUMBER(H12:AA12),$H$52:$AA$52)+SUMPRODUCT(--(H12:AA12="M"),$H$52:$AA$52))*100,1)/100))</f>
        <v/>
      </c>
      <c r="D12" s="34">
        <f>IF(C12="","",IFERROR(INDEX(Settings!$C$17:$C$26,MATCH(AC12,Settings!$B$17:$B$26,0)),""))</f>
        <v/>
      </c>
      <c r="E12" s="16">
        <f>IF(B12="","",COUNTIF(H12:AA12,"M"))</f>
        <v/>
      </c>
      <c r="F12" s="16">
        <f>IF(B12="","",COUNTIFS(Absences!$C$6:$C$405,Settings!$C$11,Absences!$D$6:$D$405,B12,Absences!$E$6:$E$405,"Absent"))</f>
        <v/>
      </c>
      <c r="G12" s="16">
        <f>IF(B12="","",COUNTIFS(Absences!$C$6:$C$405,Settings!$C$11,Absences!$D$6:$D$405,B12,Absences!$E$6:$E$405,"Late"))</f>
        <v/>
      </c>
      <c r="H12" s="33" t="inlineStr">
        <is>
          <t>M</t>
        </is>
      </c>
      <c r="I12" s="33" t="inlineStr">
        <is>
          <t>M</t>
        </is>
      </c>
      <c r="J12" s="33" t="n">
        <v>50</v>
      </c>
      <c r="K12" s="33" t="inlineStr">
        <is>
          <t>Ex</t>
        </is>
      </c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1" t="n"/>
      <c r="AC12">
        <f>IF(C12="","",SUMPRODUCT(MAX(ISNUMBER(Settings!$B$17:$B$26)*(Settings!$B$17:$B$26&lt;=ROUND(C12*100,1))*Settings!$B$17:$B$26)))</f>
        <v/>
      </c>
      <c r="AD12">
        <f>IF(C12="","",ROUND(C12*1000,0)*1000+302)</f>
        <v/>
      </c>
      <c r="AE12">
        <f>IF(C12="",0,IF(ROUND(C12*100,1)&lt;N($AC$2),1,0))</f>
        <v/>
      </c>
    </row>
    <row r="13">
      <c r="A13" s="1" t="n"/>
      <c r="B13" s="31" t="inlineStr">
        <is>
          <t>Hana G.</t>
        </is>
      </c>
      <c r="C13" s="44">
        <f>IF(B13="","",IF((SUMPRODUCT(--ISNUMBER(H13:AA13),$H$52:$AA$52)+SUMPRODUCT(--(H13:AA13="M"),$H$52:$AA$52))=0,"",ROUND(SUMPRODUCT(H13:AA13,$H$53:$AA$53)/(SUMPRODUCT(--ISNUMBER(H13:AA13),$H$52:$AA$52)+SUMPRODUCT(--(H13:AA13="M"),$H$52:$AA$52))*100,1)/100))</f>
        <v/>
      </c>
      <c r="D13" s="34">
        <f>IF(C13="","",IFERROR(INDEX(Settings!$C$17:$C$26,MATCH(AC13,Settings!$B$17:$B$26,0)),""))</f>
        <v/>
      </c>
      <c r="E13" s="16">
        <f>IF(B13="","",COUNTIF(H13:AA13,"M"))</f>
        <v/>
      </c>
      <c r="F13" s="16">
        <f>IF(B13="","",COUNTIFS(Absences!$C$6:$C$405,Settings!$C$11,Absences!$D$6:$D$405,B13,Absences!$E$6:$E$405,"Absent"))</f>
        <v/>
      </c>
      <c r="G13" s="16">
        <f>IF(B13="","",COUNTIFS(Absences!$C$6:$C$405,Settings!$C$11,Absences!$D$6:$D$405,B13,Absences!$E$6:$E$405,"Late"))</f>
        <v/>
      </c>
      <c r="H13" s="33" t="n">
        <v>12</v>
      </c>
      <c r="I13" s="33" t="n">
        <v>21</v>
      </c>
      <c r="J13" s="33" t="n">
        <v>28</v>
      </c>
      <c r="K13" s="33" t="n">
        <v>15</v>
      </c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1" t="n"/>
      <c r="AC13">
        <f>IF(C13="","",SUMPRODUCT(MAX(ISNUMBER(Settings!$B$17:$B$26)*(Settings!$B$17:$B$26&lt;=ROUND(C13*100,1))*Settings!$B$17:$B$26)))</f>
        <v/>
      </c>
      <c r="AD13">
        <f>IF(C13="","",ROUND(C13*1000,0)*1000+303)</f>
        <v/>
      </c>
      <c r="AE13">
        <f>IF(C13="",0,IF(ROUND(C13*100,1)&lt;N($AC$2),1,0))</f>
        <v/>
      </c>
    </row>
    <row r="14">
      <c r="A14" s="1" t="n"/>
      <c r="B14" s="31" t="inlineStr">
        <is>
          <t>Vikram H.</t>
        </is>
      </c>
      <c r="C14" s="44">
        <f>IF(B14="","",IF((SUMPRODUCT(--ISNUMBER(H14:AA14),$H$52:$AA$52)+SUMPRODUCT(--(H14:AA14="M"),$H$52:$AA$52))=0,"",ROUND(SUMPRODUCT(H14:AA14,$H$53:$AA$53)/(SUMPRODUCT(--ISNUMBER(H14:AA14),$H$52:$AA$52)+SUMPRODUCT(--(H14:AA14="M"),$H$52:$AA$52))*100,1)/100))</f>
        <v/>
      </c>
      <c r="D14" s="34">
        <f>IF(C14="","",IFERROR(INDEX(Settings!$C$17:$C$26,MATCH(AC14,Settings!$B$17:$B$26,0)),""))</f>
        <v/>
      </c>
      <c r="E14" s="16">
        <f>IF(B14="","",COUNTIF(H14:AA14,"M"))</f>
        <v/>
      </c>
      <c r="F14" s="16">
        <f>IF(B14="","",COUNTIFS(Absences!$C$6:$C$405,Settings!$C$11,Absences!$D$6:$D$405,B14,Absences!$E$6:$E$405,"Absent"))</f>
        <v/>
      </c>
      <c r="G14" s="16">
        <f>IF(B14="","",COUNTIFS(Absences!$C$6:$C$405,Settings!$C$11,Absences!$D$6:$D$405,B14,Absences!$E$6:$E$405,"Late"))</f>
        <v/>
      </c>
      <c r="H14" s="33" t="n">
        <v>17</v>
      </c>
      <c r="I14" s="33" t="n">
        <v>29</v>
      </c>
      <c r="J14" s="33" t="n">
        <v>49</v>
      </c>
      <c r="K14" s="33" t="n">
        <v>24</v>
      </c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1" t="n"/>
      <c r="AC14">
        <f>IF(C14="","",SUMPRODUCT(MAX(ISNUMBER(Settings!$B$17:$B$26)*(Settings!$B$17:$B$26&lt;=ROUND(C14*100,1))*Settings!$B$17:$B$26)))</f>
        <v/>
      </c>
      <c r="AD14">
        <f>IF(C14="","",ROUND(C14*1000,0)*1000+304)</f>
        <v/>
      </c>
      <c r="AE14">
        <f>IF(C14="",0,IF(ROUND(C14*100,1)&lt;N($AC$2),1,0))</f>
        <v/>
      </c>
    </row>
    <row r="15">
      <c r="A15" s="1" t="n"/>
      <c r="B15" s="31" t="inlineStr">
        <is>
          <t>Kofi P.</t>
        </is>
      </c>
      <c r="C15" s="44">
        <f>IF(B15="","",IF((SUMPRODUCT(--ISNUMBER(H15:AA15),$H$52:$AA$52)+SUMPRODUCT(--(H15:AA15="M"),$H$52:$AA$52))=0,"",ROUND(SUMPRODUCT(H15:AA15,$H$53:$AA$53)/(SUMPRODUCT(--ISNUMBER(H15:AA15),$H$52:$AA$52)+SUMPRODUCT(--(H15:AA15="M"),$H$52:$AA$52))*100,1)/100))</f>
        <v/>
      </c>
      <c r="D15" s="34">
        <f>IF(C15="","",IFERROR(INDEX(Settings!$C$17:$C$26,MATCH(AC15,Settings!$B$17:$B$26,0)),""))</f>
        <v/>
      </c>
      <c r="E15" s="16">
        <f>IF(B15="","",COUNTIF(H15:AA15,"M"))</f>
        <v/>
      </c>
      <c r="F15" s="16">
        <f>IF(B15="","",COUNTIFS(Absences!$C$6:$C$405,Settings!$C$11,Absences!$D$6:$D$405,B15,Absences!$E$6:$E$405,"Absent"))</f>
        <v/>
      </c>
      <c r="G15" s="16">
        <f>IF(B15="","",COUNTIFS(Absences!$C$6:$C$405,Settings!$C$11,Absences!$D$6:$D$405,B15,Absences!$E$6:$E$405,"Late"))</f>
        <v/>
      </c>
      <c r="H15" s="33" t="n">
        <v>15</v>
      </c>
      <c r="I15" s="33" t="n">
        <v>22</v>
      </c>
      <c r="J15" s="33" t="n">
        <v>30</v>
      </c>
      <c r="K15" s="33" t="n">
        <v>16</v>
      </c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1" t="n"/>
      <c r="AC15">
        <f>IF(C15="","",SUMPRODUCT(MAX(ISNUMBER(Settings!$B$17:$B$26)*(Settings!$B$17:$B$26&lt;=ROUND(C15*100,1))*Settings!$B$17:$B$26)))</f>
        <v/>
      </c>
      <c r="AD15">
        <f>IF(C15="","",ROUND(C15*1000,0)*1000+305)</f>
        <v/>
      </c>
      <c r="AE15">
        <f>IF(C15="",0,IF(ROUND(C15*100,1)&lt;N($AC$2),1,0))</f>
        <v/>
      </c>
    </row>
    <row r="16">
      <c r="A16" s="1" t="n"/>
      <c r="B16" s="31" t="inlineStr">
        <is>
          <t>Caleb W.</t>
        </is>
      </c>
      <c r="C16" s="44">
        <f>IF(B16="","",IF((SUMPRODUCT(--ISNUMBER(H16:AA16),$H$52:$AA$52)+SUMPRODUCT(--(H16:AA16="M"),$H$52:$AA$52))=0,"",ROUND(SUMPRODUCT(H16:AA16,$H$53:$AA$53)/(SUMPRODUCT(--ISNUMBER(H16:AA16),$H$52:$AA$52)+SUMPRODUCT(--(H16:AA16="M"),$H$52:$AA$52))*100,1)/100))</f>
        <v/>
      </c>
      <c r="D16" s="34">
        <f>IF(C16="","",IFERROR(INDEX(Settings!$C$17:$C$26,MATCH(AC16,Settings!$B$17:$B$26,0)),""))</f>
        <v/>
      </c>
      <c r="E16" s="16">
        <f>IF(B16="","",COUNTIF(H16:AA16,"M"))</f>
        <v/>
      </c>
      <c r="F16" s="16">
        <f>IF(B16="","",COUNTIFS(Absences!$C$6:$C$405,Settings!$C$11,Absences!$D$6:$D$405,B16,Absences!$E$6:$E$405,"Absent"))</f>
        <v/>
      </c>
      <c r="G16" s="16">
        <f>IF(B16="","",COUNTIFS(Absences!$C$6:$C$405,Settings!$C$11,Absences!$D$6:$D$405,B16,Absences!$E$6:$E$405,"Late"))</f>
        <v/>
      </c>
      <c r="H16" s="33" t="n">
        <v>20</v>
      </c>
      <c r="I16" s="33" t="n">
        <v>30</v>
      </c>
      <c r="J16" s="33" t="n">
        <v>44</v>
      </c>
      <c r="K16" s="33" t="n">
        <v>25</v>
      </c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1" t="n"/>
      <c r="AC16">
        <f>IF(C16="","",SUMPRODUCT(MAX(ISNUMBER(Settings!$B$17:$B$26)*(Settings!$B$17:$B$26&lt;=ROUND(C16*100,1))*Settings!$B$17:$B$26)))</f>
        <v/>
      </c>
      <c r="AD16">
        <f>IF(C16="","",ROUND(C16*1000,0)*1000+306)</f>
        <v/>
      </c>
      <c r="AE16">
        <f>IF(C16="",0,IF(ROUND(C16*100,1)&lt;N($AC$2),1,0))</f>
        <v/>
      </c>
    </row>
    <row r="17">
      <c r="A17" s="1" t="n"/>
      <c r="B17" s="31" t="inlineStr">
        <is>
          <t>Maya R.</t>
        </is>
      </c>
      <c r="C17" s="44">
        <f>IF(B17="","",IF((SUMPRODUCT(--ISNUMBER(H17:AA17),$H$52:$AA$52)+SUMPRODUCT(--(H17:AA17="M"),$H$52:$AA$52))=0,"",ROUND(SUMPRODUCT(H17:AA17,$H$53:$AA$53)/(SUMPRODUCT(--ISNUMBER(H17:AA17),$H$52:$AA$52)+SUMPRODUCT(--(H17:AA17="M"),$H$52:$AA$52))*100,1)/100))</f>
        <v/>
      </c>
      <c r="D17" s="34">
        <f>IF(C17="","",IFERROR(INDEX(Settings!$C$17:$C$26,MATCH(AC17,Settings!$B$17:$B$26,0)),""))</f>
        <v/>
      </c>
      <c r="E17" s="16">
        <f>IF(B17="","",COUNTIF(H17:AA17,"M"))</f>
        <v/>
      </c>
      <c r="F17" s="16">
        <f>IF(B17="","",COUNTIFS(Absences!$C$6:$C$405,Settings!$C$11,Absences!$D$6:$D$405,B17,Absences!$E$6:$E$405,"Absent"))</f>
        <v/>
      </c>
      <c r="G17" s="16">
        <f>IF(B17="","",COUNTIFS(Absences!$C$6:$C$405,Settings!$C$11,Absences!$D$6:$D$405,B17,Absences!$E$6:$E$405,"Late"))</f>
        <v/>
      </c>
      <c r="H17" s="33" t="n">
        <v>13</v>
      </c>
      <c r="I17" s="33" t="n">
        <v>19</v>
      </c>
      <c r="J17" s="33" t="n">
        <v>34</v>
      </c>
      <c r="K17" s="33" t="n">
        <v>18</v>
      </c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1" t="n"/>
      <c r="AC17">
        <f>IF(C17="","",SUMPRODUCT(MAX(ISNUMBER(Settings!$B$17:$B$26)*(Settings!$B$17:$B$26&lt;=ROUND(C17*100,1))*Settings!$B$17:$B$26)))</f>
        <v/>
      </c>
      <c r="AD17">
        <f>IF(C17="","",ROUND(C17*1000,0)*1000+307)</f>
        <v/>
      </c>
      <c r="AE17">
        <f>IF(C17="",0,IF(ROUND(C17*100,1)&lt;N($AC$2),1,0))</f>
        <v/>
      </c>
    </row>
    <row r="18">
      <c r="A18" s="1" t="n"/>
      <c r="B18" s="31" t="inlineStr">
        <is>
          <t>Ivan M.</t>
        </is>
      </c>
      <c r="C18" s="44">
        <f>IF(B18="","",IF((SUMPRODUCT(--ISNUMBER(H18:AA18),$H$52:$AA$52)+SUMPRODUCT(--(H18:AA18="M"),$H$52:$AA$52))=0,"",ROUND(SUMPRODUCT(H18:AA18,$H$53:$AA$53)/(SUMPRODUCT(--ISNUMBER(H18:AA18),$H$52:$AA$52)+SUMPRODUCT(--(H18:AA18="M"),$H$52:$AA$52))*100,1)/100))</f>
        <v/>
      </c>
      <c r="D18" s="34">
        <f>IF(C18="","",IFERROR(INDEX(Settings!$C$17:$C$26,MATCH(AC18,Settings!$B$17:$B$26,0)),""))</f>
        <v/>
      </c>
      <c r="E18" s="16">
        <f>IF(B18="","",COUNTIF(H18:AA18,"M"))</f>
        <v/>
      </c>
      <c r="F18" s="16">
        <f>IF(B18="","",COUNTIFS(Absences!$C$6:$C$405,Settings!$C$11,Absences!$D$6:$D$405,B18,Absences!$E$6:$E$405,"Absent"))</f>
        <v/>
      </c>
      <c r="G18" s="16">
        <f>IF(B18="","",COUNTIFS(Absences!$C$6:$C$405,Settings!$C$11,Absences!$D$6:$D$405,B18,Absences!$E$6:$E$405,"Late"))</f>
        <v/>
      </c>
      <c r="H18" s="33" t="n">
        <v>14</v>
      </c>
      <c r="I18" s="33" t="n">
        <v>22</v>
      </c>
      <c r="J18" s="33" t="n">
        <v>30</v>
      </c>
      <c r="K18" s="33" t="n">
        <v>15</v>
      </c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1" t="n"/>
      <c r="AC18">
        <f>IF(C18="","",SUMPRODUCT(MAX(ISNUMBER(Settings!$B$17:$B$26)*(Settings!$B$17:$B$26&lt;=ROUND(C18*100,1))*Settings!$B$17:$B$26)))</f>
        <v/>
      </c>
      <c r="AD18">
        <f>IF(C18="","",ROUND(C18*1000,0)*1000+308)</f>
        <v/>
      </c>
      <c r="AE18">
        <f>IF(C18="",0,IF(ROUND(C18*100,1)&lt;N($AC$2),1,0))</f>
        <v/>
      </c>
    </row>
    <row r="19">
      <c r="A19" s="1" t="n"/>
      <c r="B19" s="31" t="inlineStr">
        <is>
          <t>Jonah T.</t>
        </is>
      </c>
      <c r="C19" s="44">
        <f>IF(B19="","",IF((SUMPRODUCT(--ISNUMBER(H19:AA19),$H$52:$AA$52)+SUMPRODUCT(--(H19:AA19="M"),$H$52:$AA$52))=0,"",ROUND(SUMPRODUCT(H19:AA19,$H$53:$AA$53)/(SUMPRODUCT(--ISNUMBER(H19:AA19),$H$52:$AA$52)+SUMPRODUCT(--(H19:AA19="M"),$H$52:$AA$52))*100,1)/100))</f>
        <v/>
      </c>
      <c r="D19" s="34">
        <f>IF(C19="","",IFERROR(INDEX(Settings!$C$17:$C$26,MATCH(AC19,Settings!$B$17:$B$26,0)),""))</f>
        <v/>
      </c>
      <c r="E19" s="16">
        <f>IF(B19="","",COUNTIF(H19:AA19,"M"))</f>
        <v/>
      </c>
      <c r="F19" s="16">
        <f>IF(B19="","",COUNTIFS(Absences!$C$6:$C$405,Settings!$C$11,Absences!$D$6:$D$405,B19,Absences!$E$6:$E$405,"Absent"))</f>
        <v/>
      </c>
      <c r="G19" s="16">
        <f>IF(B19="","",COUNTIFS(Absences!$C$6:$C$405,Settings!$C$11,Absences!$D$6:$D$405,B19,Absences!$E$6:$E$405,"Late"))</f>
        <v/>
      </c>
      <c r="H19" s="33" t="n">
        <v>14</v>
      </c>
      <c r="I19" s="33" t="n">
        <v>19</v>
      </c>
      <c r="J19" s="33" t="n">
        <v>37</v>
      </c>
      <c r="K19" s="33" t="n">
        <v>15</v>
      </c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1" t="n"/>
      <c r="AC19">
        <f>IF(C19="","",SUMPRODUCT(MAX(ISNUMBER(Settings!$B$17:$B$26)*(Settings!$B$17:$B$26&lt;=ROUND(C19*100,1))*Settings!$B$17:$B$26)))</f>
        <v/>
      </c>
      <c r="AD19">
        <f>IF(C19="","",ROUND(C19*1000,0)*1000+309)</f>
        <v/>
      </c>
      <c r="AE19">
        <f>IF(C19="",0,IF(ROUND(C19*100,1)&lt;N($AC$2),1,0))</f>
        <v/>
      </c>
    </row>
    <row r="20">
      <c r="A20" s="1" t="n"/>
      <c r="B20" s="31" t="inlineStr">
        <is>
          <t>Amara J.</t>
        </is>
      </c>
      <c r="C20" s="44">
        <f>IF(B20="","",IF((SUMPRODUCT(--ISNUMBER(H20:AA20),$H$52:$AA$52)+SUMPRODUCT(--(H20:AA20="M"),$H$52:$AA$52))=0,"",ROUND(SUMPRODUCT(H20:AA20,$H$53:$AA$53)/(SUMPRODUCT(--ISNUMBER(H20:AA20),$H$52:$AA$52)+SUMPRODUCT(--(H20:AA20="M"),$H$52:$AA$52))*100,1)/100))</f>
        <v/>
      </c>
      <c r="D20" s="34">
        <f>IF(C20="","",IFERROR(INDEX(Settings!$C$17:$C$26,MATCH(AC20,Settings!$B$17:$B$26,0)),""))</f>
        <v/>
      </c>
      <c r="E20" s="16">
        <f>IF(B20="","",COUNTIF(H20:AA20,"M"))</f>
        <v/>
      </c>
      <c r="F20" s="16">
        <f>IF(B20="","",COUNTIFS(Absences!$C$6:$C$405,Settings!$C$11,Absences!$D$6:$D$405,B20,Absences!$E$6:$E$405,"Absent"))</f>
        <v/>
      </c>
      <c r="G20" s="16">
        <f>IF(B20="","",COUNTIFS(Absences!$C$6:$C$405,Settings!$C$11,Absences!$D$6:$D$405,B20,Absences!$E$6:$E$405,"Late"))</f>
        <v/>
      </c>
      <c r="H20" s="33" t="n">
        <v>19</v>
      </c>
      <c r="I20" s="33" t="n">
        <v>30</v>
      </c>
      <c r="J20" s="33" t="n">
        <v>47</v>
      </c>
      <c r="K20" s="33" t="n">
        <v>25</v>
      </c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1" t="n"/>
      <c r="AC20">
        <f>IF(C20="","",SUMPRODUCT(MAX(ISNUMBER(Settings!$B$17:$B$26)*(Settings!$B$17:$B$26&lt;=ROUND(C20*100,1))*Settings!$B$17:$B$26)))</f>
        <v/>
      </c>
      <c r="AD20">
        <f>IF(C20="","",ROUND(C20*1000,0)*1000+310)</f>
        <v/>
      </c>
      <c r="AE20">
        <f>IF(C20="",0,IF(ROUND(C20*100,1)&lt;N($AC$2),1,0))</f>
        <v/>
      </c>
    </row>
    <row r="21">
      <c r="A21" s="1" t="n"/>
      <c r="B21" s="31" t="inlineStr">
        <is>
          <t>Wes B.</t>
        </is>
      </c>
      <c r="C21" s="44">
        <f>IF(B21="","",IF((SUMPRODUCT(--ISNUMBER(H21:AA21),$H$52:$AA$52)+SUMPRODUCT(--(H21:AA21="M"),$H$52:$AA$52))=0,"",ROUND(SUMPRODUCT(H21:AA21,$H$53:$AA$53)/(SUMPRODUCT(--ISNUMBER(H21:AA21),$H$52:$AA$52)+SUMPRODUCT(--(H21:AA21="M"),$H$52:$AA$52))*100,1)/100))</f>
        <v/>
      </c>
      <c r="D21" s="34">
        <f>IF(C21="","",IFERROR(INDEX(Settings!$C$17:$C$26,MATCH(AC21,Settings!$B$17:$B$26,0)),""))</f>
        <v/>
      </c>
      <c r="E21" s="16">
        <f>IF(B21="","",COUNTIF(H21:AA21,"M"))</f>
        <v/>
      </c>
      <c r="F21" s="16">
        <f>IF(B21="","",COUNTIFS(Absences!$C$6:$C$405,Settings!$C$11,Absences!$D$6:$D$405,B21,Absences!$E$6:$E$405,"Absent"))</f>
        <v/>
      </c>
      <c r="G21" s="16">
        <f>IF(B21="","",COUNTIFS(Absences!$C$6:$C$405,Settings!$C$11,Absences!$D$6:$D$405,B21,Absences!$E$6:$E$405,"Late"))</f>
        <v/>
      </c>
      <c r="H21" s="33" t="n">
        <v>19</v>
      </c>
      <c r="I21" s="33" t="n">
        <v>26</v>
      </c>
      <c r="J21" s="33" t="n">
        <v>47</v>
      </c>
      <c r="K21" s="33" t="n">
        <v>24</v>
      </c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1" t="n"/>
      <c r="AC21">
        <f>IF(C21="","",SUMPRODUCT(MAX(ISNUMBER(Settings!$B$17:$B$26)*(Settings!$B$17:$B$26&lt;=ROUND(C21*100,1))*Settings!$B$17:$B$26)))</f>
        <v/>
      </c>
      <c r="AD21">
        <f>IF(C21="","",ROUND(C21*1000,0)*1000+311)</f>
        <v/>
      </c>
      <c r="AE21">
        <f>IF(C21="",0,IF(ROUND(C21*100,1)&lt;N($AC$2),1,0))</f>
        <v/>
      </c>
    </row>
    <row r="22">
      <c r="A22" s="1" t="n"/>
      <c r="B22" s="31" t="inlineStr">
        <is>
          <t>Rosa T.</t>
        </is>
      </c>
      <c r="C22" s="44">
        <f>IF(B22="","",IF((SUMPRODUCT(--ISNUMBER(H22:AA22),$H$52:$AA$52)+SUMPRODUCT(--(H22:AA22="M"),$H$52:$AA$52))=0,"",ROUND(SUMPRODUCT(H22:AA22,$H$53:$AA$53)/(SUMPRODUCT(--ISNUMBER(H22:AA22),$H$52:$AA$52)+SUMPRODUCT(--(H22:AA22="M"),$H$52:$AA$52))*100,1)/100))</f>
        <v/>
      </c>
      <c r="D22" s="34">
        <f>IF(C22="","",IFERROR(INDEX(Settings!$C$17:$C$26,MATCH(AC22,Settings!$B$17:$B$26,0)),""))</f>
        <v/>
      </c>
      <c r="E22" s="16">
        <f>IF(B22="","",COUNTIF(H22:AA22,"M"))</f>
        <v/>
      </c>
      <c r="F22" s="16">
        <f>IF(B22="","",COUNTIFS(Absences!$C$6:$C$405,Settings!$C$11,Absences!$D$6:$D$405,B22,Absences!$E$6:$E$405,"Absent"))</f>
        <v/>
      </c>
      <c r="G22" s="16">
        <f>IF(B22="","",COUNTIFS(Absences!$C$6:$C$405,Settings!$C$11,Absences!$D$6:$D$405,B22,Absences!$E$6:$E$405,"Late"))</f>
        <v/>
      </c>
      <c r="H22" s="33" t="n">
        <v>10</v>
      </c>
      <c r="I22" s="33" t="n">
        <v>16</v>
      </c>
      <c r="J22" s="33" t="n">
        <v>33</v>
      </c>
      <c r="K22" s="33" t="n">
        <v>17</v>
      </c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1" t="n"/>
      <c r="AC22">
        <f>IF(C22="","",SUMPRODUCT(MAX(ISNUMBER(Settings!$B$17:$B$26)*(Settings!$B$17:$B$26&lt;=ROUND(C22*100,1))*Settings!$B$17:$B$26)))</f>
        <v/>
      </c>
      <c r="AD22">
        <f>IF(C22="","",ROUND(C22*1000,0)*1000+312)</f>
        <v/>
      </c>
      <c r="AE22">
        <f>IF(C22="",0,IF(ROUND(C22*100,1)&lt;N($AC$2),1,0))</f>
        <v/>
      </c>
    </row>
    <row r="23">
      <c r="A23" s="1" t="n"/>
      <c r="B23" s="31" t="inlineStr">
        <is>
          <t>Ella G.</t>
        </is>
      </c>
      <c r="C23" s="44">
        <f>IF(B23="","",IF((SUMPRODUCT(--ISNUMBER(H23:AA23),$H$52:$AA$52)+SUMPRODUCT(--(H23:AA23="M"),$H$52:$AA$52))=0,"",ROUND(SUMPRODUCT(H23:AA23,$H$53:$AA$53)/(SUMPRODUCT(--ISNUMBER(H23:AA23),$H$52:$AA$52)+SUMPRODUCT(--(H23:AA23="M"),$H$52:$AA$52))*100,1)/100))</f>
        <v/>
      </c>
      <c r="D23" s="34">
        <f>IF(C23="","",IFERROR(INDEX(Settings!$C$17:$C$26,MATCH(AC23,Settings!$B$17:$B$26,0)),""))</f>
        <v/>
      </c>
      <c r="E23" s="16">
        <f>IF(B23="","",COUNTIF(H23:AA23,"M"))</f>
        <v/>
      </c>
      <c r="F23" s="16">
        <f>IF(B23="","",COUNTIFS(Absences!$C$6:$C$405,Settings!$C$11,Absences!$D$6:$D$405,B23,Absences!$E$6:$E$405,"Absent"))</f>
        <v/>
      </c>
      <c r="G23" s="16">
        <f>IF(B23="","",COUNTIFS(Absences!$C$6:$C$405,Settings!$C$11,Absences!$D$6:$D$405,B23,Absences!$E$6:$E$405,"Late"))</f>
        <v/>
      </c>
      <c r="H23" s="33" t="n">
        <v>18</v>
      </c>
      <c r="I23" s="33" t="n">
        <v>28</v>
      </c>
      <c r="J23" s="33" t="n">
        <v>48</v>
      </c>
      <c r="K23" s="33" t="n">
        <v>25</v>
      </c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1" t="n"/>
      <c r="AC23">
        <f>IF(C23="","",SUMPRODUCT(MAX(ISNUMBER(Settings!$B$17:$B$26)*(Settings!$B$17:$B$26&lt;=ROUND(C23*100,1))*Settings!$B$17:$B$26)))</f>
        <v/>
      </c>
      <c r="AD23">
        <f>IF(C23="","",ROUND(C23*1000,0)*1000+313)</f>
        <v/>
      </c>
      <c r="AE23">
        <f>IF(C23="",0,IF(ROUND(C23*100,1)&lt;N($AC$2),1,0))</f>
        <v/>
      </c>
    </row>
    <row r="24">
      <c r="A24" s="1" t="n"/>
      <c r="B24" s="31" t="inlineStr">
        <is>
          <t>Daniel K.</t>
        </is>
      </c>
      <c r="C24" s="44">
        <f>IF(B24="","",IF((SUMPRODUCT(--ISNUMBER(H24:AA24),$H$52:$AA$52)+SUMPRODUCT(--(H24:AA24="M"),$H$52:$AA$52))=0,"",ROUND(SUMPRODUCT(H24:AA24,$H$53:$AA$53)/(SUMPRODUCT(--ISNUMBER(H24:AA24),$H$52:$AA$52)+SUMPRODUCT(--(H24:AA24="M"),$H$52:$AA$52))*100,1)/100))</f>
        <v/>
      </c>
      <c r="D24" s="34">
        <f>IF(C24="","",IFERROR(INDEX(Settings!$C$17:$C$26,MATCH(AC24,Settings!$B$17:$B$26,0)),""))</f>
        <v/>
      </c>
      <c r="E24" s="16">
        <f>IF(B24="","",COUNTIF(H24:AA24,"M"))</f>
        <v/>
      </c>
      <c r="F24" s="16">
        <f>IF(B24="","",COUNTIFS(Absences!$C$6:$C$405,Settings!$C$11,Absences!$D$6:$D$405,B24,Absences!$E$6:$E$405,"Absent"))</f>
        <v/>
      </c>
      <c r="G24" s="16">
        <f>IF(B24="","",COUNTIFS(Absences!$C$6:$C$405,Settings!$C$11,Absences!$D$6:$D$405,B24,Absences!$E$6:$E$405,"Late"))</f>
        <v/>
      </c>
      <c r="H24" s="33" t="n">
        <v>20</v>
      </c>
      <c r="I24" s="33" t="n">
        <v>29</v>
      </c>
      <c r="J24" s="33" t="n">
        <v>45</v>
      </c>
      <c r="K24" s="33" t="n">
        <v>23</v>
      </c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1" t="n"/>
      <c r="AC24">
        <f>IF(C24="","",SUMPRODUCT(MAX(ISNUMBER(Settings!$B$17:$B$26)*(Settings!$B$17:$B$26&lt;=ROUND(C24*100,1))*Settings!$B$17:$B$26)))</f>
        <v/>
      </c>
      <c r="AD24">
        <f>IF(C24="","",ROUND(C24*1000,0)*1000+314)</f>
        <v/>
      </c>
      <c r="AE24">
        <f>IF(C24="",0,IF(ROUND(C24*100,1)&lt;N($AC$2),1,0))</f>
        <v/>
      </c>
    </row>
    <row r="25">
      <c r="A25" s="1" t="n"/>
      <c r="B25" s="31" t="inlineStr">
        <is>
          <t>Oscar A.</t>
        </is>
      </c>
      <c r="C25" s="44">
        <f>IF(B25="","",IF((SUMPRODUCT(--ISNUMBER(H25:AA25),$H$52:$AA$52)+SUMPRODUCT(--(H25:AA25="M"),$H$52:$AA$52))=0,"",ROUND(SUMPRODUCT(H25:AA25,$H$53:$AA$53)/(SUMPRODUCT(--ISNUMBER(H25:AA25),$H$52:$AA$52)+SUMPRODUCT(--(H25:AA25="M"),$H$52:$AA$52))*100,1)/100))</f>
        <v/>
      </c>
      <c r="D25" s="34">
        <f>IF(C25="","",IFERROR(INDEX(Settings!$C$17:$C$26,MATCH(AC25,Settings!$B$17:$B$26,0)),""))</f>
        <v/>
      </c>
      <c r="E25" s="16">
        <f>IF(B25="","",COUNTIF(H25:AA25,"M"))</f>
        <v/>
      </c>
      <c r="F25" s="16">
        <f>IF(B25="","",COUNTIFS(Absences!$C$6:$C$405,Settings!$C$11,Absences!$D$6:$D$405,B25,Absences!$E$6:$E$405,"Absent"))</f>
        <v/>
      </c>
      <c r="G25" s="16">
        <f>IF(B25="","",COUNTIFS(Absences!$C$6:$C$405,Settings!$C$11,Absences!$D$6:$D$405,B25,Absences!$E$6:$E$405,"Late"))</f>
        <v/>
      </c>
      <c r="H25" s="33" t="n">
        <v>20</v>
      </c>
      <c r="I25" s="33" t="n">
        <v>28</v>
      </c>
      <c r="J25" s="33" t="n">
        <v>50</v>
      </c>
      <c r="K25" s="33" t="n">
        <v>22</v>
      </c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1" t="n"/>
      <c r="AC25">
        <f>IF(C25="","",SUMPRODUCT(MAX(ISNUMBER(Settings!$B$17:$B$26)*(Settings!$B$17:$B$26&lt;=ROUND(C25*100,1))*Settings!$B$17:$B$26)))</f>
        <v/>
      </c>
      <c r="AD25">
        <f>IF(C25="","",ROUND(C25*1000,0)*1000+315)</f>
        <v/>
      </c>
      <c r="AE25">
        <f>IF(C25="",0,IF(ROUND(C25*100,1)&lt;N($AC$2),1,0))</f>
        <v/>
      </c>
    </row>
    <row r="26">
      <c r="A26" s="1" t="n"/>
      <c r="B26" s="31" t="inlineStr">
        <is>
          <t>Talia J.</t>
        </is>
      </c>
      <c r="C26" s="44">
        <f>IF(B26="","",IF((SUMPRODUCT(--ISNUMBER(H26:AA26),$H$52:$AA$52)+SUMPRODUCT(--(H26:AA26="M"),$H$52:$AA$52))=0,"",ROUND(SUMPRODUCT(H26:AA26,$H$53:$AA$53)/(SUMPRODUCT(--ISNUMBER(H26:AA26),$H$52:$AA$52)+SUMPRODUCT(--(H26:AA26="M"),$H$52:$AA$52))*100,1)/100))</f>
        <v/>
      </c>
      <c r="D26" s="34">
        <f>IF(C26="","",IFERROR(INDEX(Settings!$C$17:$C$26,MATCH(AC26,Settings!$B$17:$B$26,0)),""))</f>
        <v/>
      </c>
      <c r="E26" s="16">
        <f>IF(B26="","",COUNTIF(H26:AA26,"M"))</f>
        <v/>
      </c>
      <c r="F26" s="16">
        <f>IF(B26="","",COUNTIFS(Absences!$C$6:$C$405,Settings!$C$11,Absences!$D$6:$D$405,B26,Absences!$E$6:$E$405,"Absent"))</f>
        <v/>
      </c>
      <c r="G26" s="16">
        <f>IF(B26="","",COUNTIFS(Absences!$C$6:$C$405,Settings!$C$11,Absences!$D$6:$D$405,B26,Absences!$E$6:$E$405,"Late"))</f>
        <v/>
      </c>
      <c r="H26" s="33" t="n">
        <v>11</v>
      </c>
      <c r="I26" s="33" t="n">
        <v>16</v>
      </c>
      <c r="J26" s="33" t="n">
        <v>27</v>
      </c>
      <c r="K26" s="33" t="n">
        <v>19</v>
      </c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1" t="n"/>
      <c r="AC26">
        <f>IF(C26="","",SUMPRODUCT(MAX(ISNUMBER(Settings!$B$17:$B$26)*(Settings!$B$17:$B$26&lt;=ROUND(C26*100,1))*Settings!$B$17:$B$26)))</f>
        <v/>
      </c>
      <c r="AD26">
        <f>IF(C26="","",ROUND(C26*1000,0)*1000+316)</f>
        <v/>
      </c>
      <c r="AE26">
        <f>IF(C26="",0,IF(ROUND(C26*100,1)&lt;N($AC$2),1,0))</f>
        <v/>
      </c>
    </row>
    <row r="27">
      <c r="A27" s="1" t="n"/>
      <c r="B27" s="31" t="inlineStr">
        <is>
          <t>Aiden W.</t>
        </is>
      </c>
      <c r="C27" s="44">
        <f>IF(B27="","",IF((SUMPRODUCT(--ISNUMBER(H27:AA27),$H$52:$AA$52)+SUMPRODUCT(--(H27:AA27="M"),$H$52:$AA$52))=0,"",ROUND(SUMPRODUCT(H27:AA27,$H$53:$AA$53)/(SUMPRODUCT(--ISNUMBER(H27:AA27),$H$52:$AA$52)+SUMPRODUCT(--(H27:AA27="M"),$H$52:$AA$52))*100,1)/100))</f>
        <v/>
      </c>
      <c r="D27" s="34">
        <f>IF(C27="","",IFERROR(INDEX(Settings!$C$17:$C$26,MATCH(AC27,Settings!$B$17:$B$26,0)),""))</f>
        <v/>
      </c>
      <c r="E27" s="16">
        <f>IF(B27="","",COUNTIF(H27:AA27,"M"))</f>
        <v/>
      </c>
      <c r="F27" s="16">
        <f>IF(B27="","",COUNTIFS(Absences!$C$6:$C$405,Settings!$C$11,Absences!$D$6:$D$405,B27,Absences!$E$6:$E$405,"Absent"))</f>
        <v/>
      </c>
      <c r="G27" s="16">
        <f>IF(B27="","",COUNTIFS(Absences!$C$6:$C$405,Settings!$C$11,Absences!$D$6:$D$405,B27,Absences!$E$6:$E$405,"Late"))</f>
        <v/>
      </c>
      <c r="H27" s="33" t="n">
        <v>20</v>
      </c>
      <c r="I27" s="33" t="n">
        <v>30</v>
      </c>
      <c r="J27" s="33" t="n">
        <v>40</v>
      </c>
      <c r="K27" s="33" t="n">
        <v>23</v>
      </c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1" t="n"/>
      <c r="AC27">
        <f>IF(C27="","",SUMPRODUCT(MAX(ISNUMBER(Settings!$B$17:$B$26)*(Settings!$B$17:$B$26&lt;=ROUND(C27*100,1))*Settings!$B$17:$B$26)))</f>
        <v/>
      </c>
      <c r="AD27">
        <f>IF(C27="","",ROUND(C27*1000,0)*1000+317)</f>
        <v/>
      </c>
      <c r="AE27">
        <f>IF(C27="",0,IF(ROUND(C27*100,1)&lt;N($AC$2),1,0))</f>
        <v/>
      </c>
    </row>
    <row r="28">
      <c r="A28" s="1" t="n"/>
      <c r="B28" s="31" t="inlineStr">
        <is>
          <t>Pavel S.</t>
        </is>
      </c>
      <c r="C28" s="44">
        <f>IF(B28="","",IF((SUMPRODUCT(--ISNUMBER(H28:AA28),$H$52:$AA$52)+SUMPRODUCT(--(H28:AA28="M"),$H$52:$AA$52))=0,"",ROUND(SUMPRODUCT(H28:AA28,$H$53:$AA$53)/(SUMPRODUCT(--ISNUMBER(H28:AA28),$H$52:$AA$52)+SUMPRODUCT(--(H28:AA28="M"),$H$52:$AA$52))*100,1)/100))</f>
        <v/>
      </c>
      <c r="D28" s="34">
        <f>IF(C28="","",IFERROR(INDEX(Settings!$C$17:$C$26,MATCH(AC28,Settings!$B$17:$B$26,0)),""))</f>
        <v/>
      </c>
      <c r="E28" s="16">
        <f>IF(B28="","",COUNTIF(H28:AA28,"M"))</f>
        <v/>
      </c>
      <c r="F28" s="16">
        <f>IF(B28="","",COUNTIFS(Absences!$C$6:$C$405,Settings!$C$11,Absences!$D$6:$D$405,B28,Absences!$E$6:$E$405,"Absent"))</f>
        <v/>
      </c>
      <c r="G28" s="16">
        <f>IF(B28="","",COUNTIFS(Absences!$C$6:$C$405,Settings!$C$11,Absences!$D$6:$D$405,B28,Absences!$E$6:$E$405,"Late"))</f>
        <v/>
      </c>
      <c r="H28" s="33" t="inlineStr">
        <is>
          <t>M</t>
        </is>
      </c>
      <c r="I28" s="33" t="n">
        <v>30</v>
      </c>
      <c r="J28" s="33" t="n">
        <v>45</v>
      </c>
      <c r="K28" s="33" t="n">
        <v>21</v>
      </c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1" t="n"/>
      <c r="AC28">
        <f>IF(C28="","",SUMPRODUCT(MAX(ISNUMBER(Settings!$B$17:$B$26)*(Settings!$B$17:$B$26&lt;=ROUND(C28*100,1))*Settings!$B$17:$B$26)))</f>
        <v/>
      </c>
      <c r="AD28">
        <f>IF(C28="","",ROUND(C28*1000,0)*1000+318)</f>
        <v/>
      </c>
      <c r="AE28">
        <f>IF(C28="",0,IF(ROUND(C28*100,1)&lt;N($AC$2),1,0))</f>
        <v/>
      </c>
    </row>
    <row r="29">
      <c r="A29" s="1" t="n"/>
      <c r="B29" s="31" t="inlineStr">
        <is>
          <t>Holly A.</t>
        </is>
      </c>
      <c r="C29" s="44">
        <f>IF(B29="","",IF((SUMPRODUCT(--ISNUMBER(H29:AA29),$H$52:$AA$52)+SUMPRODUCT(--(H29:AA29="M"),$H$52:$AA$52))=0,"",ROUND(SUMPRODUCT(H29:AA29,$H$53:$AA$53)/(SUMPRODUCT(--ISNUMBER(H29:AA29),$H$52:$AA$52)+SUMPRODUCT(--(H29:AA29="M"),$H$52:$AA$52))*100,1)/100))</f>
        <v/>
      </c>
      <c r="D29" s="34">
        <f>IF(C29="","",IFERROR(INDEX(Settings!$C$17:$C$26,MATCH(AC29,Settings!$B$17:$B$26,0)),""))</f>
        <v/>
      </c>
      <c r="E29" s="16">
        <f>IF(B29="","",COUNTIF(H29:AA29,"M"))</f>
        <v/>
      </c>
      <c r="F29" s="16">
        <f>IF(B29="","",COUNTIFS(Absences!$C$6:$C$405,Settings!$C$11,Absences!$D$6:$D$405,B29,Absences!$E$6:$E$405,"Absent"))</f>
        <v/>
      </c>
      <c r="G29" s="16">
        <f>IF(B29="","",COUNTIFS(Absences!$C$6:$C$405,Settings!$C$11,Absences!$D$6:$D$405,B29,Absences!$E$6:$E$405,"Late"))</f>
        <v/>
      </c>
      <c r="H29" s="33" t="n">
        <v>19</v>
      </c>
      <c r="I29" s="33" t="n">
        <v>30</v>
      </c>
      <c r="J29" s="33" t="n">
        <v>50</v>
      </c>
      <c r="K29" s="33" t="n">
        <v>24</v>
      </c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1" t="n"/>
      <c r="AC29">
        <f>IF(C29="","",SUMPRODUCT(MAX(ISNUMBER(Settings!$B$17:$B$26)*(Settings!$B$17:$B$26&lt;=ROUND(C29*100,1))*Settings!$B$17:$B$26)))</f>
        <v/>
      </c>
      <c r="AD29">
        <f>IF(C29="","",ROUND(C29*1000,0)*1000+319)</f>
        <v/>
      </c>
      <c r="AE29">
        <f>IF(C29="",0,IF(ROUND(C29*100,1)&lt;N($AC$2),1,0))</f>
        <v/>
      </c>
    </row>
    <row r="30">
      <c r="A30" s="1" t="n"/>
      <c r="B30" s="31" t="inlineStr">
        <is>
          <t>Chloe J.</t>
        </is>
      </c>
      <c r="C30" s="44">
        <f>IF(B30="","",IF((SUMPRODUCT(--ISNUMBER(H30:AA30),$H$52:$AA$52)+SUMPRODUCT(--(H30:AA30="M"),$H$52:$AA$52))=0,"",ROUND(SUMPRODUCT(H30:AA30,$H$53:$AA$53)/(SUMPRODUCT(--ISNUMBER(H30:AA30),$H$52:$AA$52)+SUMPRODUCT(--(H30:AA30="M"),$H$52:$AA$52))*100,1)/100))</f>
        <v/>
      </c>
      <c r="D30" s="34">
        <f>IF(C30="","",IFERROR(INDEX(Settings!$C$17:$C$26,MATCH(AC30,Settings!$B$17:$B$26,0)),""))</f>
        <v/>
      </c>
      <c r="E30" s="16">
        <f>IF(B30="","",COUNTIF(H30:AA30,"M"))</f>
        <v/>
      </c>
      <c r="F30" s="16">
        <f>IF(B30="","",COUNTIFS(Absences!$C$6:$C$405,Settings!$C$11,Absences!$D$6:$D$405,B30,Absences!$E$6:$E$405,"Absent"))</f>
        <v/>
      </c>
      <c r="G30" s="16">
        <f>IF(B30="","",COUNTIFS(Absences!$C$6:$C$405,Settings!$C$11,Absences!$D$6:$D$405,B30,Absences!$E$6:$E$405,"Late"))</f>
        <v/>
      </c>
      <c r="H30" s="33" t="n">
        <v>16</v>
      </c>
      <c r="I30" s="33" t="n">
        <v>25</v>
      </c>
      <c r="J30" s="33" t="n">
        <v>43</v>
      </c>
      <c r="K30" s="33" t="n">
        <v>21</v>
      </c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1" t="n"/>
      <c r="AC30">
        <f>IF(C30="","",SUMPRODUCT(MAX(ISNUMBER(Settings!$B$17:$B$26)*(Settings!$B$17:$B$26&lt;=ROUND(C30*100,1))*Settings!$B$17:$B$26)))</f>
        <v/>
      </c>
      <c r="AD30">
        <f>IF(C30="","",ROUND(C30*1000,0)*1000+320)</f>
        <v/>
      </c>
      <c r="AE30">
        <f>IF(C30="",0,IF(ROUND(C30*100,1)&lt;N($AC$2),1,0))</f>
        <v/>
      </c>
    </row>
    <row r="31">
      <c r="A31" s="1" t="n"/>
      <c r="B31" s="31" t="inlineStr">
        <is>
          <t>George W.</t>
        </is>
      </c>
      <c r="C31" s="44">
        <f>IF(B31="","",IF((SUMPRODUCT(--ISNUMBER(H31:AA31),$H$52:$AA$52)+SUMPRODUCT(--(H31:AA31="M"),$H$52:$AA$52))=0,"",ROUND(SUMPRODUCT(H31:AA31,$H$53:$AA$53)/(SUMPRODUCT(--ISNUMBER(H31:AA31),$H$52:$AA$52)+SUMPRODUCT(--(H31:AA31="M"),$H$52:$AA$52))*100,1)/100))</f>
        <v/>
      </c>
      <c r="D31" s="34">
        <f>IF(C31="","",IFERROR(INDEX(Settings!$C$17:$C$26,MATCH(AC31,Settings!$B$17:$B$26,0)),""))</f>
        <v/>
      </c>
      <c r="E31" s="16">
        <f>IF(B31="","",COUNTIF(H31:AA31,"M"))</f>
        <v/>
      </c>
      <c r="F31" s="16">
        <f>IF(B31="","",COUNTIFS(Absences!$C$6:$C$405,Settings!$C$11,Absences!$D$6:$D$405,B31,Absences!$E$6:$E$405,"Absent"))</f>
        <v/>
      </c>
      <c r="G31" s="16">
        <f>IF(B31="","",COUNTIFS(Absences!$C$6:$C$405,Settings!$C$11,Absences!$D$6:$D$405,B31,Absences!$E$6:$E$405,"Late"))</f>
        <v/>
      </c>
      <c r="H31" s="33" t="n">
        <v>19</v>
      </c>
      <c r="I31" s="33" t="n">
        <v>20</v>
      </c>
      <c r="J31" s="33" t="n">
        <v>36</v>
      </c>
      <c r="K31" s="33" t="n">
        <v>19</v>
      </c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1" t="n"/>
      <c r="AC31">
        <f>IF(C31="","",SUMPRODUCT(MAX(ISNUMBER(Settings!$B$17:$B$26)*(Settings!$B$17:$B$26&lt;=ROUND(C31*100,1))*Settings!$B$17:$B$26)))</f>
        <v/>
      </c>
      <c r="AD31">
        <f>IF(C31="","",ROUND(C31*1000,0)*1000+321)</f>
        <v/>
      </c>
      <c r="AE31">
        <f>IF(C31="",0,IF(ROUND(C31*100,1)&lt;N($AC$2),1,0))</f>
        <v/>
      </c>
    </row>
    <row r="32">
      <c r="A32" s="1" t="n"/>
      <c r="B32" s="31" t="inlineStr">
        <is>
          <t>Dina P.</t>
        </is>
      </c>
      <c r="C32" s="44">
        <f>IF(B32="","",IF((SUMPRODUCT(--ISNUMBER(H32:AA32),$H$52:$AA$52)+SUMPRODUCT(--(H32:AA32="M"),$H$52:$AA$52))=0,"",ROUND(SUMPRODUCT(H32:AA32,$H$53:$AA$53)/(SUMPRODUCT(--ISNUMBER(H32:AA32),$H$52:$AA$52)+SUMPRODUCT(--(H32:AA32="M"),$H$52:$AA$52))*100,1)/100))</f>
        <v/>
      </c>
      <c r="D32" s="34">
        <f>IF(C32="","",IFERROR(INDEX(Settings!$C$17:$C$26,MATCH(AC32,Settings!$B$17:$B$26,0)),""))</f>
        <v/>
      </c>
      <c r="E32" s="16">
        <f>IF(B32="","",COUNTIF(H32:AA32,"M"))</f>
        <v/>
      </c>
      <c r="F32" s="16">
        <f>IF(B32="","",COUNTIFS(Absences!$C$6:$C$405,Settings!$C$11,Absences!$D$6:$D$405,B32,Absences!$E$6:$E$405,"Absent"))</f>
        <v/>
      </c>
      <c r="G32" s="16">
        <f>IF(B32="","",COUNTIFS(Absences!$C$6:$C$405,Settings!$C$11,Absences!$D$6:$D$405,B32,Absences!$E$6:$E$405,"Late"))</f>
        <v/>
      </c>
      <c r="H32" s="33" t="n">
        <v>15</v>
      </c>
      <c r="I32" s="33" t="n">
        <v>25</v>
      </c>
      <c r="J32" s="33" t="n">
        <v>42</v>
      </c>
      <c r="K32" s="33" t="n">
        <v>20</v>
      </c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1" t="n"/>
      <c r="AC32">
        <f>IF(C32="","",SUMPRODUCT(MAX(ISNUMBER(Settings!$B$17:$B$26)*(Settings!$B$17:$B$26&lt;=ROUND(C32*100,1))*Settings!$B$17:$B$26)))</f>
        <v/>
      </c>
      <c r="AD32">
        <f>IF(C32="","",ROUND(C32*1000,0)*1000+322)</f>
        <v/>
      </c>
      <c r="AE32">
        <f>IF(C32="",0,IF(ROUND(C32*100,1)&lt;N($AC$2),1,0))</f>
        <v/>
      </c>
    </row>
    <row r="33">
      <c r="A33" s="1" t="n"/>
      <c r="B33" s="31" t="n"/>
      <c r="C33" s="44">
        <f>IF(B33="","",IF((SUMPRODUCT(--ISNUMBER(H33:AA33),$H$52:$AA$52)+SUMPRODUCT(--(H33:AA33="M"),$H$52:$AA$52))=0,"",ROUND(SUMPRODUCT(H33:AA33,$H$53:$AA$53)/(SUMPRODUCT(--ISNUMBER(H33:AA33),$H$52:$AA$52)+SUMPRODUCT(--(H33:AA33="M"),$H$52:$AA$52))*100,1)/100))</f>
        <v/>
      </c>
      <c r="D33" s="34">
        <f>IF(C33="","",IFERROR(INDEX(Settings!$C$17:$C$26,MATCH(AC33,Settings!$B$17:$B$26,0)),""))</f>
        <v/>
      </c>
      <c r="E33" s="16">
        <f>IF(B33="","",COUNTIF(H33:AA33,"M"))</f>
        <v/>
      </c>
      <c r="F33" s="16">
        <f>IF(B33="","",COUNTIFS(Absences!$C$6:$C$405,Settings!$C$11,Absences!$D$6:$D$405,B33,Absences!$E$6:$E$405,"Absent"))</f>
        <v/>
      </c>
      <c r="G33" s="16">
        <f>IF(B33="","",COUNTIFS(Absences!$C$6:$C$405,Settings!$C$11,Absences!$D$6:$D$405,B33,Absences!$E$6:$E$405,"Late"))</f>
        <v/>
      </c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1" t="n"/>
      <c r="AC33">
        <f>IF(C33="","",SUMPRODUCT(MAX(ISNUMBER(Settings!$B$17:$B$26)*(Settings!$B$17:$B$26&lt;=ROUND(C33*100,1))*Settings!$B$17:$B$26)))</f>
        <v/>
      </c>
      <c r="AD33">
        <f>IF(C33="","",ROUND(C33*1000,0)*1000+323)</f>
        <v/>
      </c>
      <c r="AE33">
        <f>IF(C33="",0,IF(ROUND(C33*100,1)&lt;N($AC$2),1,0))</f>
        <v/>
      </c>
    </row>
    <row r="34">
      <c r="A34" s="1" t="n"/>
      <c r="B34" s="31" t="n"/>
      <c r="C34" s="44">
        <f>IF(B34="","",IF((SUMPRODUCT(--ISNUMBER(H34:AA34),$H$52:$AA$52)+SUMPRODUCT(--(H34:AA34="M"),$H$52:$AA$52))=0,"",ROUND(SUMPRODUCT(H34:AA34,$H$53:$AA$53)/(SUMPRODUCT(--ISNUMBER(H34:AA34),$H$52:$AA$52)+SUMPRODUCT(--(H34:AA34="M"),$H$52:$AA$52))*100,1)/100))</f>
        <v/>
      </c>
      <c r="D34" s="34">
        <f>IF(C34="","",IFERROR(INDEX(Settings!$C$17:$C$26,MATCH(AC34,Settings!$B$17:$B$26,0)),""))</f>
        <v/>
      </c>
      <c r="E34" s="16">
        <f>IF(B34="","",COUNTIF(H34:AA34,"M"))</f>
        <v/>
      </c>
      <c r="F34" s="16">
        <f>IF(B34="","",COUNTIFS(Absences!$C$6:$C$405,Settings!$C$11,Absences!$D$6:$D$405,B34,Absences!$E$6:$E$405,"Absent"))</f>
        <v/>
      </c>
      <c r="G34" s="16">
        <f>IF(B34="","",COUNTIFS(Absences!$C$6:$C$405,Settings!$C$11,Absences!$D$6:$D$405,B34,Absences!$E$6:$E$405,"Late"))</f>
        <v/>
      </c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1" t="n"/>
      <c r="AC34">
        <f>IF(C34="","",SUMPRODUCT(MAX(ISNUMBER(Settings!$B$17:$B$26)*(Settings!$B$17:$B$26&lt;=ROUND(C34*100,1))*Settings!$B$17:$B$26)))</f>
        <v/>
      </c>
      <c r="AD34">
        <f>IF(C34="","",ROUND(C34*1000,0)*1000+324)</f>
        <v/>
      </c>
      <c r="AE34">
        <f>IF(C34="",0,IF(ROUND(C34*100,1)&lt;N($AC$2),1,0))</f>
        <v/>
      </c>
    </row>
    <row r="35">
      <c r="A35" s="1" t="n"/>
      <c r="B35" s="31" t="n"/>
      <c r="C35" s="44">
        <f>IF(B35="","",IF((SUMPRODUCT(--ISNUMBER(H35:AA35),$H$52:$AA$52)+SUMPRODUCT(--(H35:AA35="M"),$H$52:$AA$52))=0,"",ROUND(SUMPRODUCT(H35:AA35,$H$53:$AA$53)/(SUMPRODUCT(--ISNUMBER(H35:AA35),$H$52:$AA$52)+SUMPRODUCT(--(H35:AA35="M"),$H$52:$AA$52))*100,1)/100))</f>
        <v/>
      </c>
      <c r="D35" s="34">
        <f>IF(C35="","",IFERROR(INDEX(Settings!$C$17:$C$26,MATCH(AC35,Settings!$B$17:$B$26,0)),""))</f>
        <v/>
      </c>
      <c r="E35" s="16">
        <f>IF(B35="","",COUNTIF(H35:AA35,"M"))</f>
        <v/>
      </c>
      <c r="F35" s="16">
        <f>IF(B35="","",COUNTIFS(Absences!$C$6:$C$405,Settings!$C$11,Absences!$D$6:$D$405,B35,Absences!$E$6:$E$405,"Absent"))</f>
        <v/>
      </c>
      <c r="G35" s="16">
        <f>IF(B35="","",COUNTIFS(Absences!$C$6:$C$405,Settings!$C$11,Absences!$D$6:$D$405,B35,Absences!$E$6:$E$405,"Late"))</f>
        <v/>
      </c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1" t="n"/>
      <c r="AC35">
        <f>IF(C35="","",SUMPRODUCT(MAX(ISNUMBER(Settings!$B$17:$B$26)*(Settings!$B$17:$B$26&lt;=ROUND(C35*100,1))*Settings!$B$17:$B$26)))</f>
        <v/>
      </c>
      <c r="AD35">
        <f>IF(C35="","",ROUND(C35*1000,0)*1000+325)</f>
        <v/>
      </c>
      <c r="AE35">
        <f>IF(C35="",0,IF(ROUND(C35*100,1)&lt;N($AC$2),1,0))</f>
        <v/>
      </c>
    </row>
    <row r="36">
      <c r="A36" s="1" t="n"/>
      <c r="B36" s="31" t="n"/>
      <c r="C36" s="44">
        <f>IF(B36="","",IF((SUMPRODUCT(--ISNUMBER(H36:AA36),$H$52:$AA$52)+SUMPRODUCT(--(H36:AA36="M"),$H$52:$AA$52))=0,"",ROUND(SUMPRODUCT(H36:AA36,$H$53:$AA$53)/(SUMPRODUCT(--ISNUMBER(H36:AA36),$H$52:$AA$52)+SUMPRODUCT(--(H36:AA36="M"),$H$52:$AA$52))*100,1)/100))</f>
        <v/>
      </c>
      <c r="D36" s="34">
        <f>IF(C36="","",IFERROR(INDEX(Settings!$C$17:$C$26,MATCH(AC36,Settings!$B$17:$B$26,0)),""))</f>
        <v/>
      </c>
      <c r="E36" s="16">
        <f>IF(B36="","",COUNTIF(H36:AA36,"M"))</f>
        <v/>
      </c>
      <c r="F36" s="16">
        <f>IF(B36="","",COUNTIFS(Absences!$C$6:$C$405,Settings!$C$11,Absences!$D$6:$D$405,B36,Absences!$E$6:$E$405,"Absent"))</f>
        <v/>
      </c>
      <c r="G36" s="16">
        <f>IF(B36="","",COUNTIFS(Absences!$C$6:$C$405,Settings!$C$11,Absences!$D$6:$D$405,B36,Absences!$E$6:$E$405,"Late"))</f>
        <v/>
      </c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1" t="n"/>
      <c r="AC36">
        <f>IF(C36="","",SUMPRODUCT(MAX(ISNUMBER(Settings!$B$17:$B$26)*(Settings!$B$17:$B$26&lt;=ROUND(C36*100,1))*Settings!$B$17:$B$26)))</f>
        <v/>
      </c>
      <c r="AD36">
        <f>IF(C36="","",ROUND(C36*1000,0)*1000+326)</f>
        <v/>
      </c>
      <c r="AE36">
        <f>IF(C36="",0,IF(ROUND(C36*100,1)&lt;N($AC$2),1,0))</f>
        <v/>
      </c>
    </row>
    <row r="37">
      <c r="A37" s="1" t="n"/>
      <c r="B37" s="31" t="n"/>
      <c r="C37" s="44">
        <f>IF(B37="","",IF((SUMPRODUCT(--ISNUMBER(H37:AA37),$H$52:$AA$52)+SUMPRODUCT(--(H37:AA37="M"),$H$52:$AA$52))=0,"",ROUND(SUMPRODUCT(H37:AA37,$H$53:$AA$53)/(SUMPRODUCT(--ISNUMBER(H37:AA37),$H$52:$AA$52)+SUMPRODUCT(--(H37:AA37="M"),$H$52:$AA$52))*100,1)/100))</f>
        <v/>
      </c>
      <c r="D37" s="34">
        <f>IF(C37="","",IFERROR(INDEX(Settings!$C$17:$C$26,MATCH(AC37,Settings!$B$17:$B$26,0)),""))</f>
        <v/>
      </c>
      <c r="E37" s="16">
        <f>IF(B37="","",COUNTIF(H37:AA37,"M"))</f>
        <v/>
      </c>
      <c r="F37" s="16">
        <f>IF(B37="","",COUNTIFS(Absences!$C$6:$C$405,Settings!$C$11,Absences!$D$6:$D$405,B37,Absences!$E$6:$E$405,"Absent"))</f>
        <v/>
      </c>
      <c r="G37" s="16">
        <f>IF(B37="","",COUNTIFS(Absences!$C$6:$C$405,Settings!$C$11,Absences!$D$6:$D$405,B37,Absences!$E$6:$E$405,"Late"))</f>
        <v/>
      </c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1" t="n"/>
      <c r="AC37">
        <f>IF(C37="","",SUMPRODUCT(MAX(ISNUMBER(Settings!$B$17:$B$26)*(Settings!$B$17:$B$26&lt;=ROUND(C37*100,1))*Settings!$B$17:$B$26)))</f>
        <v/>
      </c>
      <c r="AD37">
        <f>IF(C37="","",ROUND(C37*1000,0)*1000+327)</f>
        <v/>
      </c>
      <c r="AE37">
        <f>IF(C37="",0,IF(ROUND(C37*100,1)&lt;N($AC$2),1,0))</f>
        <v/>
      </c>
    </row>
    <row r="38">
      <c r="A38" s="1" t="n"/>
      <c r="B38" s="31" t="n"/>
      <c r="C38" s="44">
        <f>IF(B38="","",IF((SUMPRODUCT(--ISNUMBER(H38:AA38),$H$52:$AA$52)+SUMPRODUCT(--(H38:AA38="M"),$H$52:$AA$52))=0,"",ROUND(SUMPRODUCT(H38:AA38,$H$53:$AA$53)/(SUMPRODUCT(--ISNUMBER(H38:AA38),$H$52:$AA$52)+SUMPRODUCT(--(H38:AA38="M"),$H$52:$AA$52))*100,1)/100))</f>
        <v/>
      </c>
      <c r="D38" s="34">
        <f>IF(C38="","",IFERROR(INDEX(Settings!$C$17:$C$26,MATCH(AC38,Settings!$B$17:$B$26,0)),""))</f>
        <v/>
      </c>
      <c r="E38" s="16">
        <f>IF(B38="","",COUNTIF(H38:AA38,"M"))</f>
        <v/>
      </c>
      <c r="F38" s="16">
        <f>IF(B38="","",COUNTIFS(Absences!$C$6:$C$405,Settings!$C$11,Absences!$D$6:$D$405,B38,Absences!$E$6:$E$405,"Absent"))</f>
        <v/>
      </c>
      <c r="G38" s="16">
        <f>IF(B38="","",COUNTIFS(Absences!$C$6:$C$405,Settings!$C$11,Absences!$D$6:$D$405,B38,Absences!$E$6:$E$405,"Late"))</f>
        <v/>
      </c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1" t="n"/>
      <c r="AC38">
        <f>IF(C38="","",SUMPRODUCT(MAX(ISNUMBER(Settings!$B$17:$B$26)*(Settings!$B$17:$B$26&lt;=ROUND(C38*100,1))*Settings!$B$17:$B$26)))</f>
        <v/>
      </c>
      <c r="AD38">
        <f>IF(C38="","",ROUND(C38*1000,0)*1000+328)</f>
        <v/>
      </c>
      <c r="AE38">
        <f>IF(C38="",0,IF(ROUND(C38*100,1)&lt;N($AC$2),1,0))</f>
        <v/>
      </c>
    </row>
    <row r="39">
      <c r="A39" s="1" t="n"/>
      <c r="B39" s="31" t="n"/>
      <c r="C39" s="44">
        <f>IF(B39="","",IF((SUMPRODUCT(--ISNUMBER(H39:AA39),$H$52:$AA$52)+SUMPRODUCT(--(H39:AA39="M"),$H$52:$AA$52))=0,"",ROUND(SUMPRODUCT(H39:AA39,$H$53:$AA$53)/(SUMPRODUCT(--ISNUMBER(H39:AA39),$H$52:$AA$52)+SUMPRODUCT(--(H39:AA39="M"),$H$52:$AA$52))*100,1)/100))</f>
        <v/>
      </c>
      <c r="D39" s="34">
        <f>IF(C39="","",IFERROR(INDEX(Settings!$C$17:$C$26,MATCH(AC39,Settings!$B$17:$B$26,0)),""))</f>
        <v/>
      </c>
      <c r="E39" s="16">
        <f>IF(B39="","",COUNTIF(H39:AA39,"M"))</f>
        <v/>
      </c>
      <c r="F39" s="16">
        <f>IF(B39="","",COUNTIFS(Absences!$C$6:$C$405,Settings!$C$11,Absences!$D$6:$D$405,B39,Absences!$E$6:$E$405,"Absent"))</f>
        <v/>
      </c>
      <c r="G39" s="16">
        <f>IF(B39="","",COUNTIFS(Absences!$C$6:$C$405,Settings!$C$11,Absences!$D$6:$D$405,B39,Absences!$E$6:$E$405,"Late"))</f>
        <v/>
      </c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1" t="n"/>
      <c r="AC39">
        <f>IF(C39="","",SUMPRODUCT(MAX(ISNUMBER(Settings!$B$17:$B$26)*(Settings!$B$17:$B$26&lt;=ROUND(C39*100,1))*Settings!$B$17:$B$26)))</f>
        <v/>
      </c>
      <c r="AD39">
        <f>IF(C39="","",ROUND(C39*1000,0)*1000+329)</f>
        <v/>
      </c>
      <c r="AE39">
        <f>IF(C39="",0,IF(ROUND(C39*100,1)&lt;N($AC$2),1,0))</f>
        <v/>
      </c>
    </row>
    <row r="40">
      <c r="A40" s="1" t="n"/>
      <c r="B40" s="31" t="n"/>
      <c r="C40" s="44">
        <f>IF(B40="","",IF((SUMPRODUCT(--ISNUMBER(H40:AA40),$H$52:$AA$52)+SUMPRODUCT(--(H40:AA40="M"),$H$52:$AA$52))=0,"",ROUND(SUMPRODUCT(H40:AA40,$H$53:$AA$53)/(SUMPRODUCT(--ISNUMBER(H40:AA40),$H$52:$AA$52)+SUMPRODUCT(--(H40:AA40="M"),$H$52:$AA$52))*100,1)/100))</f>
        <v/>
      </c>
      <c r="D40" s="34">
        <f>IF(C40="","",IFERROR(INDEX(Settings!$C$17:$C$26,MATCH(AC40,Settings!$B$17:$B$26,0)),""))</f>
        <v/>
      </c>
      <c r="E40" s="16">
        <f>IF(B40="","",COUNTIF(H40:AA40,"M"))</f>
        <v/>
      </c>
      <c r="F40" s="16">
        <f>IF(B40="","",COUNTIFS(Absences!$C$6:$C$405,Settings!$C$11,Absences!$D$6:$D$405,B40,Absences!$E$6:$E$405,"Absent"))</f>
        <v/>
      </c>
      <c r="G40" s="16">
        <f>IF(B40="","",COUNTIFS(Absences!$C$6:$C$405,Settings!$C$11,Absences!$D$6:$D$405,B40,Absences!$E$6:$E$405,"Late"))</f>
        <v/>
      </c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1" t="n"/>
      <c r="AC40">
        <f>IF(C40="","",SUMPRODUCT(MAX(ISNUMBER(Settings!$B$17:$B$26)*(Settings!$B$17:$B$26&lt;=ROUND(C40*100,1))*Settings!$B$17:$B$26)))</f>
        <v/>
      </c>
      <c r="AD40">
        <f>IF(C40="","",ROUND(C40*1000,0)*1000+330)</f>
        <v/>
      </c>
      <c r="AE40">
        <f>IF(C40="",0,IF(ROUND(C40*100,1)&lt;N($AC$2),1,0))</f>
        <v/>
      </c>
    </row>
    <row r="41">
      <c r="A41" s="1" t="n"/>
      <c r="B41" s="31" t="n"/>
      <c r="C41" s="44">
        <f>IF(B41="","",IF((SUMPRODUCT(--ISNUMBER(H41:AA41),$H$52:$AA$52)+SUMPRODUCT(--(H41:AA41="M"),$H$52:$AA$52))=0,"",ROUND(SUMPRODUCT(H41:AA41,$H$53:$AA$53)/(SUMPRODUCT(--ISNUMBER(H41:AA41),$H$52:$AA$52)+SUMPRODUCT(--(H41:AA41="M"),$H$52:$AA$52))*100,1)/100))</f>
        <v/>
      </c>
      <c r="D41" s="34">
        <f>IF(C41="","",IFERROR(INDEX(Settings!$C$17:$C$26,MATCH(AC41,Settings!$B$17:$B$26,0)),""))</f>
        <v/>
      </c>
      <c r="E41" s="16">
        <f>IF(B41="","",COUNTIF(H41:AA41,"M"))</f>
        <v/>
      </c>
      <c r="F41" s="16">
        <f>IF(B41="","",COUNTIFS(Absences!$C$6:$C$405,Settings!$C$11,Absences!$D$6:$D$405,B41,Absences!$E$6:$E$405,"Absent"))</f>
        <v/>
      </c>
      <c r="G41" s="16">
        <f>IF(B41="","",COUNTIFS(Absences!$C$6:$C$405,Settings!$C$11,Absences!$D$6:$D$405,B41,Absences!$E$6:$E$405,"Late"))</f>
        <v/>
      </c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1" t="n"/>
      <c r="AC41">
        <f>IF(C41="","",SUMPRODUCT(MAX(ISNUMBER(Settings!$B$17:$B$26)*(Settings!$B$17:$B$26&lt;=ROUND(C41*100,1))*Settings!$B$17:$B$26)))</f>
        <v/>
      </c>
      <c r="AD41">
        <f>IF(C41="","",ROUND(C41*1000,0)*1000+331)</f>
        <v/>
      </c>
      <c r="AE41">
        <f>IF(C41="",0,IF(ROUND(C41*100,1)&lt;N($AC$2),1,0))</f>
        <v/>
      </c>
    </row>
    <row r="42">
      <c r="A42" s="1" t="n"/>
      <c r="B42" s="31" t="n"/>
      <c r="C42" s="44">
        <f>IF(B42="","",IF((SUMPRODUCT(--ISNUMBER(H42:AA42),$H$52:$AA$52)+SUMPRODUCT(--(H42:AA42="M"),$H$52:$AA$52))=0,"",ROUND(SUMPRODUCT(H42:AA42,$H$53:$AA$53)/(SUMPRODUCT(--ISNUMBER(H42:AA42),$H$52:$AA$52)+SUMPRODUCT(--(H42:AA42="M"),$H$52:$AA$52))*100,1)/100))</f>
        <v/>
      </c>
      <c r="D42" s="34">
        <f>IF(C42="","",IFERROR(INDEX(Settings!$C$17:$C$26,MATCH(AC42,Settings!$B$17:$B$26,0)),""))</f>
        <v/>
      </c>
      <c r="E42" s="16">
        <f>IF(B42="","",COUNTIF(H42:AA42,"M"))</f>
        <v/>
      </c>
      <c r="F42" s="16">
        <f>IF(B42="","",COUNTIFS(Absences!$C$6:$C$405,Settings!$C$11,Absences!$D$6:$D$405,B42,Absences!$E$6:$E$405,"Absent"))</f>
        <v/>
      </c>
      <c r="G42" s="16">
        <f>IF(B42="","",COUNTIFS(Absences!$C$6:$C$405,Settings!$C$11,Absences!$D$6:$D$405,B42,Absences!$E$6:$E$405,"Late"))</f>
        <v/>
      </c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1" t="n"/>
      <c r="AC42">
        <f>IF(C42="","",SUMPRODUCT(MAX(ISNUMBER(Settings!$B$17:$B$26)*(Settings!$B$17:$B$26&lt;=ROUND(C42*100,1))*Settings!$B$17:$B$26)))</f>
        <v/>
      </c>
      <c r="AD42">
        <f>IF(C42="","",ROUND(C42*1000,0)*1000+332)</f>
        <v/>
      </c>
      <c r="AE42">
        <f>IF(C42="",0,IF(ROUND(C42*100,1)&lt;N($AC$2),1,0))</f>
        <v/>
      </c>
    </row>
    <row r="43">
      <c r="A43" s="1" t="n"/>
      <c r="B43" s="31" t="n"/>
      <c r="C43" s="44">
        <f>IF(B43="","",IF((SUMPRODUCT(--ISNUMBER(H43:AA43),$H$52:$AA$52)+SUMPRODUCT(--(H43:AA43="M"),$H$52:$AA$52))=0,"",ROUND(SUMPRODUCT(H43:AA43,$H$53:$AA$53)/(SUMPRODUCT(--ISNUMBER(H43:AA43),$H$52:$AA$52)+SUMPRODUCT(--(H43:AA43="M"),$H$52:$AA$52))*100,1)/100))</f>
        <v/>
      </c>
      <c r="D43" s="34">
        <f>IF(C43="","",IFERROR(INDEX(Settings!$C$17:$C$26,MATCH(AC43,Settings!$B$17:$B$26,0)),""))</f>
        <v/>
      </c>
      <c r="E43" s="16">
        <f>IF(B43="","",COUNTIF(H43:AA43,"M"))</f>
        <v/>
      </c>
      <c r="F43" s="16">
        <f>IF(B43="","",COUNTIFS(Absences!$C$6:$C$405,Settings!$C$11,Absences!$D$6:$D$405,B43,Absences!$E$6:$E$405,"Absent"))</f>
        <v/>
      </c>
      <c r="G43" s="16">
        <f>IF(B43="","",COUNTIFS(Absences!$C$6:$C$405,Settings!$C$11,Absences!$D$6:$D$405,B43,Absences!$E$6:$E$405,"Late"))</f>
        <v/>
      </c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1" t="n"/>
      <c r="AC43">
        <f>IF(C43="","",SUMPRODUCT(MAX(ISNUMBER(Settings!$B$17:$B$26)*(Settings!$B$17:$B$26&lt;=ROUND(C43*100,1))*Settings!$B$17:$B$26)))</f>
        <v/>
      </c>
      <c r="AD43">
        <f>IF(C43="","",ROUND(C43*1000,0)*1000+333)</f>
        <v/>
      </c>
      <c r="AE43">
        <f>IF(C43="",0,IF(ROUND(C43*100,1)&lt;N($AC$2),1,0))</f>
        <v/>
      </c>
    </row>
    <row r="44">
      <c r="A44" s="1" t="n"/>
      <c r="B44" s="31" t="n"/>
      <c r="C44" s="44">
        <f>IF(B44="","",IF((SUMPRODUCT(--ISNUMBER(H44:AA44),$H$52:$AA$52)+SUMPRODUCT(--(H44:AA44="M"),$H$52:$AA$52))=0,"",ROUND(SUMPRODUCT(H44:AA44,$H$53:$AA$53)/(SUMPRODUCT(--ISNUMBER(H44:AA44),$H$52:$AA$52)+SUMPRODUCT(--(H44:AA44="M"),$H$52:$AA$52))*100,1)/100))</f>
        <v/>
      </c>
      <c r="D44" s="34">
        <f>IF(C44="","",IFERROR(INDEX(Settings!$C$17:$C$26,MATCH(AC44,Settings!$B$17:$B$26,0)),""))</f>
        <v/>
      </c>
      <c r="E44" s="16">
        <f>IF(B44="","",COUNTIF(H44:AA44,"M"))</f>
        <v/>
      </c>
      <c r="F44" s="16">
        <f>IF(B44="","",COUNTIFS(Absences!$C$6:$C$405,Settings!$C$11,Absences!$D$6:$D$405,B44,Absences!$E$6:$E$405,"Absent"))</f>
        <v/>
      </c>
      <c r="G44" s="16">
        <f>IF(B44="","",COUNTIFS(Absences!$C$6:$C$405,Settings!$C$11,Absences!$D$6:$D$405,B44,Absences!$E$6:$E$405,"Late"))</f>
        <v/>
      </c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1" t="n"/>
      <c r="AC44">
        <f>IF(C44="","",SUMPRODUCT(MAX(ISNUMBER(Settings!$B$17:$B$26)*(Settings!$B$17:$B$26&lt;=ROUND(C44*100,1))*Settings!$B$17:$B$26)))</f>
        <v/>
      </c>
      <c r="AD44">
        <f>IF(C44="","",ROUND(C44*1000,0)*1000+334)</f>
        <v/>
      </c>
      <c r="AE44">
        <f>IF(C44="",0,IF(ROUND(C44*100,1)&lt;N($AC$2),1,0))</f>
        <v/>
      </c>
    </row>
    <row r="45">
      <c r="A45" s="1" t="n"/>
      <c r="B45" s="31" t="n"/>
      <c r="C45" s="44">
        <f>IF(B45="","",IF((SUMPRODUCT(--ISNUMBER(H45:AA45),$H$52:$AA$52)+SUMPRODUCT(--(H45:AA45="M"),$H$52:$AA$52))=0,"",ROUND(SUMPRODUCT(H45:AA45,$H$53:$AA$53)/(SUMPRODUCT(--ISNUMBER(H45:AA45),$H$52:$AA$52)+SUMPRODUCT(--(H45:AA45="M"),$H$52:$AA$52))*100,1)/100))</f>
        <v/>
      </c>
      <c r="D45" s="34">
        <f>IF(C45="","",IFERROR(INDEX(Settings!$C$17:$C$26,MATCH(AC45,Settings!$B$17:$B$26,0)),""))</f>
        <v/>
      </c>
      <c r="E45" s="16">
        <f>IF(B45="","",COUNTIF(H45:AA45,"M"))</f>
        <v/>
      </c>
      <c r="F45" s="16">
        <f>IF(B45="","",COUNTIFS(Absences!$C$6:$C$405,Settings!$C$11,Absences!$D$6:$D$405,B45,Absences!$E$6:$E$405,"Absent"))</f>
        <v/>
      </c>
      <c r="G45" s="16">
        <f>IF(B45="","",COUNTIFS(Absences!$C$6:$C$405,Settings!$C$11,Absences!$D$6:$D$405,B45,Absences!$E$6:$E$405,"Late"))</f>
        <v/>
      </c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1" t="n"/>
      <c r="AC45">
        <f>IF(C45="","",SUMPRODUCT(MAX(ISNUMBER(Settings!$B$17:$B$26)*(Settings!$B$17:$B$26&lt;=ROUND(C45*100,1))*Settings!$B$17:$B$26)))</f>
        <v/>
      </c>
      <c r="AD45">
        <f>IF(C45="","",ROUND(C45*1000,0)*1000+335)</f>
        <v/>
      </c>
      <c r="AE45">
        <f>IF(C45="",0,IF(ROUND(C45*100,1)&lt;N($AC$2),1,0))</f>
        <v/>
      </c>
    </row>
    <row r="46">
      <c r="A46" s="1" t="n"/>
      <c r="B46" s="31" t="n"/>
      <c r="C46" s="44">
        <f>IF(B46="","",IF((SUMPRODUCT(--ISNUMBER(H46:AA46),$H$52:$AA$52)+SUMPRODUCT(--(H46:AA46="M"),$H$52:$AA$52))=0,"",ROUND(SUMPRODUCT(H46:AA46,$H$53:$AA$53)/(SUMPRODUCT(--ISNUMBER(H46:AA46),$H$52:$AA$52)+SUMPRODUCT(--(H46:AA46="M"),$H$52:$AA$52))*100,1)/100))</f>
        <v/>
      </c>
      <c r="D46" s="34">
        <f>IF(C46="","",IFERROR(INDEX(Settings!$C$17:$C$26,MATCH(AC46,Settings!$B$17:$B$26,0)),""))</f>
        <v/>
      </c>
      <c r="E46" s="16">
        <f>IF(B46="","",COUNTIF(H46:AA46,"M"))</f>
        <v/>
      </c>
      <c r="F46" s="16">
        <f>IF(B46="","",COUNTIFS(Absences!$C$6:$C$405,Settings!$C$11,Absences!$D$6:$D$405,B46,Absences!$E$6:$E$405,"Absent"))</f>
        <v/>
      </c>
      <c r="G46" s="16">
        <f>IF(B46="","",COUNTIFS(Absences!$C$6:$C$405,Settings!$C$11,Absences!$D$6:$D$405,B46,Absences!$E$6:$E$405,"Late"))</f>
        <v/>
      </c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1" t="n"/>
      <c r="AC46">
        <f>IF(C46="","",SUMPRODUCT(MAX(ISNUMBER(Settings!$B$17:$B$26)*(Settings!$B$17:$B$26&lt;=ROUND(C46*100,1))*Settings!$B$17:$B$26)))</f>
        <v/>
      </c>
      <c r="AD46">
        <f>IF(C46="","",ROUND(C46*1000,0)*1000+336)</f>
        <v/>
      </c>
      <c r="AE46">
        <f>IF(C46="",0,IF(ROUND(C46*100,1)&lt;N($AC$2),1,0))</f>
        <v/>
      </c>
    </row>
    <row r="47">
      <c r="A47" s="1" t="n"/>
      <c r="B47" s="31" t="n"/>
      <c r="C47" s="44">
        <f>IF(B47="","",IF((SUMPRODUCT(--ISNUMBER(H47:AA47),$H$52:$AA$52)+SUMPRODUCT(--(H47:AA47="M"),$H$52:$AA$52))=0,"",ROUND(SUMPRODUCT(H47:AA47,$H$53:$AA$53)/(SUMPRODUCT(--ISNUMBER(H47:AA47),$H$52:$AA$52)+SUMPRODUCT(--(H47:AA47="M"),$H$52:$AA$52))*100,1)/100))</f>
        <v/>
      </c>
      <c r="D47" s="34">
        <f>IF(C47="","",IFERROR(INDEX(Settings!$C$17:$C$26,MATCH(AC47,Settings!$B$17:$B$26,0)),""))</f>
        <v/>
      </c>
      <c r="E47" s="16">
        <f>IF(B47="","",COUNTIF(H47:AA47,"M"))</f>
        <v/>
      </c>
      <c r="F47" s="16">
        <f>IF(B47="","",COUNTIFS(Absences!$C$6:$C$405,Settings!$C$11,Absences!$D$6:$D$405,B47,Absences!$E$6:$E$405,"Absent"))</f>
        <v/>
      </c>
      <c r="G47" s="16">
        <f>IF(B47="","",COUNTIFS(Absences!$C$6:$C$405,Settings!$C$11,Absences!$D$6:$D$405,B47,Absences!$E$6:$E$405,"Late"))</f>
        <v/>
      </c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1" t="n"/>
      <c r="AC47">
        <f>IF(C47="","",SUMPRODUCT(MAX(ISNUMBER(Settings!$B$17:$B$26)*(Settings!$B$17:$B$26&lt;=ROUND(C47*100,1))*Settings!$B$17:$B$26)))</f>
        <v/>
      </c>
      <c r="AD47">
        <f>IF(C47="","",ROUND(C47*1000,0)*1000+337)</f>
        <v/>
      </c>
      <c r="AE47">
        <f>IF(C47="",0,IF(ROUND(C47*100,1)&lt;N($AC$2),1,0))</f>
        <v/>
      </c>
    </row>
    <row r="48">
      <c r="A48" s="1" t="n"/>
      <c r="B48" s="31" t="n"/>
      <c r="C48" s="44">
        <f>IF(B48="","",IF((SUMPRODUCT(--ISNUMBER(H48:AA48),$H$52:$AA$52)+SUMPRODUCT(--(H48:AA48="M"),$H$52:$AA$52))=0,"",ROUND(SUMPRODUCT(H48:AA48,$H$53:$AA$53)/(SUMPRODUCT(--ISNUMBER(H48:AA48),$H$52:$AA$52)+SUMPRODUCT(--(H48:AA48="M"),$H$52:$AA$52))*100,1)/100))</f>
        <v/>
      </c>
      <c r="D48" s="34">
        <f>IF(C48="","",IFERROR(INDEX(Settings!$C$17:$C$26,MATCH(AC48,Settings!$B$17:$B$26,0)),""))</f>
        <v/>
      </c>
      <c r="E48" s="16">
        <f>IF(B48="","",COUNTIF(H48:AA48,"M"))</f>
        <v/>
      </c>
      <c r="F48" s="16">
        <f>IF(B48="","",COUNTIFS(Absences!$C$6:$C$405,Settings!$C$11,Absences!$D$6:$D$405,B48,Absences!$E$6:$E$405,"Absent"))</f>
        <v/>
      </c>
      <c r="G48" s="16">
        <f>IF(B48="","",COUNTIFS(Absences!$C$6:$C$405,Settings!$C$11,Absences!$D$6:$D$405,B48,Absences!$E$6:$E$405,"Late"))</f>
        <v/>
      </c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1" t="n"/>
      <c r="AC48">
        <f>IF(C48="","",SUMPRODUCT(MAX(ISNUMBER(Settings!$B$17:$B$26)*(Settings!$B$17:$B$26&lt;=ROUND(C48*100,1))*Settings!$B$17:$B$26)))</f>
        <v/>
      </c>
      <c r="AD48">
        <f>IF(C48="","",ROUND(C48*1000,0)*1000+338)</f>
        <v/>
      </c>
      <c r="AE48">
        <f>IF(C48="",0,IF(ROUND(C48*100,1)&lt;N($AC$2),1,0))</f>
        <v/>
      </c>
    </row>
    <row r="49">
      <c r="A49" s="1" t="n"/>
      <c r="B49" s="31" t="n"/>
      <c r="C49" s="44">
        <f>IF(B49="","",IF((SUMPRODUCT(--ISNUMBER(H49:AA49),$H$52:$AA$52)+SUMPRODUCT(--(H49:AA49="M"),$H$52:$AA$52))=0,"",ROUND(SUMPRODUCT(H49:AA49,$H$53:$AA$53)/(SUMPRODUCT(--ISNUMBER(H49:AA49),$H$52:$AA$52)+SUMPRODUCT(--(H49:AA49="M"),$H$52:$AA$52))*100,1)/100))</f>
        <v/>
      </c>
      <c r="D49" s="34">
        <f>IF(C49="","",IFERROR(INDEX(Settings!$C$17:$C$26,MATCH(AC49,Settings!$B$17:$B$26,0)),""))</f>
        <v/>
      </c>
      <c r="E49" s="16">
        <f>IF(B49="","",COUNTIF(H49:AA49,"M"))</f>
        <v/>
      </c>
      <c r="F49" s="16">
        <f>IF(B49="","",COUNTIFS(Absences!$C$6:$C$405,Settings!$C$11,Absences!$D$6:$D$405,B49,Absences!$E$6:$E$405,"Absent"))</f>
        <v/>
      </c>
      <c r="G49" s="16">
        <f>IF(B49="","",COUNTIFS(Absences!$C$6:$C$405,Settings!$C$11,Absences!$D$6:$D$405,B49,Absences!$E$6:$E$405,"Late"))</f>
        <v/>
      </c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1" t="n"/>
      <c r="AC49">
        <f>IF(C49="","",SUMPRODUCT(MAX(ISNUMBER(Settings!$B$17:$B$26)*(Settings!$B$17:$B$26&lt;=ROUND(C49*100,1))*Settings!$B$17:$B$26)))</f>
        <v/>
      </c>
      <c r="AD49">
        <f>IF(C49="","",ROUND(C49*1000,0)*1000+339)</f>
        <v/>
      </c>
      <c r="AE49">
        <f>IF(C49="",0,IF(ROUND(C49*100,1)&lt;N($AC$2),1,0))</f>
        <v/>
      </c>
    </row>
    <row r="50">
      <c r="A50" s="1" t="n"/>
      <c r="B50" s="31" t="n"/>
      <c r="C50" s="44">
        <f>IF(B50="","",IF((SUMPRODUCT(--ISNUMBER(H50:AA50),$H$52:$AA$52)+SUMPRODUCT(--(H50:AA50="M"),$H$52:$AA$52))=0,"",ROUND(SUMPRODUCT(H50:AA50,$H$53:$AA$53)/(SUMPRODUCT(--ISNUMBER(H50:AA50),$H$52:$AA$52)+SUMPRODUCT(--(H50:AA50="M"),$H$52:$AA$52))*100,1)/100))</f>
        <v/>
      </c>
      <c r="D50" s="34">
        <f>IF(C50="","",IFERROR(INDEX(Settings!$C$17:$C$26,MATCH(AC50,Settings!$B$17:$B$26,0)),""))</f>
        <v/>
      </c>
      <c r="E50" s="16">
        <f>IF(B50="","",COUNTIF(H50:AA50,"M"))</f>
        <v/>
      </c>
      <c r="F50" s="16">
        <f>IF(B50="","",COUNTIFS(Absences!$C$6:$C$405,Settings!$C$11,Absences!$D$6:$D$405,B50,Absences!$E$6:$E$405,"Absent"))</f>
        <v/>
      </c>
      <c r="G50" s="16">
        <f>IF(B50="","",COUNTIFS(Absences!$C$6:$C$405,Settings!$C$11,Absences!$D$6:$D$405,B50,Absences!$E$6:$E$405,"Late"))</f>
        <v/>
      </c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1" t="n"/>
      <c r="AC50">
        <f>IF(C50="","",SUMPRODUCT(MAX(ISNUMBER(Settings!$B$17:$B$26)*(Settings!$B$17:$B$26&lt;=ROUND(C50*100,1))*Settings!$B$17:$B$26)))</f>
        <v/>
      </c>
      <c r="AD50">
        <f>IF(C50="","",ROUND(C50*1000,0)*1000+340)</f>
        <v/>
      </c>
      <c r="AE50">
        <f>IF(C50="",0,IF(ROUND(C50*100,1)&lt;N($AC$2),1,0))</f>
        <v/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idden="1">
      <c r="H52">
        <f>IF(N(H7)&lt;=0,0,IF(H8="",1,N(H8)))</f>
        <v/>
      </c>
      <c r="I52">
        <f>IF(N(I7)&lt;=0,0,IF(I8="",1,N(I8)))</f>
        <v/>
      </c>
      <c r="J52">
        <f>IF(N(J7)&lt;=0,0,IF(J8="",1,N(J8)))</f>
        <v/>
      </c>
      <c r="K52">
        <f>IF(N(K7)&lt;=0,0,IF(K8="",1,N(K8)))</f>
        <v/>
      </c>
      <c r="L52">
        <f>IF(N(L7)&lt;=0,0,IF(L8="",1,N(L8)))</f>
        <v/>
      </c>
      <c r="M52">
        <f>IF(N(M7)&lt;=0,0,IF(M8="",1,N(M8)))</f>
        <v/>
      </c>
      <c r="N52">
        <f>IF(N(N7)&lt;=0,0,IF(N8="",1,N(N8)))</f>
        <v/>
      </c>
      <c r="O52">
        <f>IF(N(O7)&lt;=0,0,IF(O8="",1,N(O8)))</f>
        <v/>
      </c>
      <c r="P52">
        <f>IF(N(P7)&lt;=0,0,IF(P8="",1,N(P8)))</f>
        <v/>
      </c>
      <c r="Q52">
        <f>IF(N(Q7)&lt;=0,0,IF(Q8="",1,N(Q8)))</f>
        <v/>
      </c>
      <c r="R52">
        <f>IF(N(R7)&lt;=0,0,IF(R8="",1,N(R8)))</f>
        <v/>
      </c>
      <c r="S52">
        <f>IF(N(S7)&lt;=0,0,IF(S8="",1,N(S8)))</f>
        <v/>
      </c>
      <c r="T52">
        <f>IF(N(T7)&lt;=0,0,IF(T8="",1,N(T8)))</f>
        <v/>
      </c>
      <c r="U52">
        <f>IF(N(U7)&lt;=0,0,IF(U8="",1,N(U8)))</f>
        <v/>
      </c>
      <c r="V52">
        <f>IF(N(V7)&lt;=0,0,IF(V8="",1,N(V8)))</f>
        <v/>
      </c>
      <c r="W52">
        <f>IF(N(W7)&lt;=0,0,IF(W8="",1,N(W8)))</f>
        <v/>
      </c>
      <c r="X52">
        <f>IF(N(X7)&lt;=0,0,IF(X8="",1,N(X8)))</f>
        <v/>
      </c>
      <c r="Y52">
        <f>IF(N(Y7)&lt;=0,0,IF(Y8="",1,N(Y8)))</f>
        <v/>
      </c>
      <c r="Z52">
        <f>IF(N(Z7)&lt;=0,0,IF(Z8="",1,N(Z8)))</f>
        <v/>
      </c>
      <c r="AA52">
        <f>IF(N(AA7)&lt;=0,0,IF(AA8="",1,N(AA8)))</f>
        <v/>
      </c>
    </row>
    <row r="53" hidden="1">
      <c r="H53">
        <f>IF(H52=0,0,H52/H7)</f>
        <v/>
      </c>
      <c r="I53">
        <f>IF(I52=0,0,I52/I7)</f>
        <v/>
      </c>
      <c r="J53">
        <f>IF(J52=0,0,J52/J7)</f>
        <v/>
      </c>
      <c r="K53">
        <f>IF(K52=0,0,K52/K7)</f>
        <v/>
      </c>
      <c r="L53">
        <f>IF(L52=0,0,L52/L7)</f>
        <v/>
      </c>
      <c r="M53">
        <f>IF(M52=0,0,M52/M7)</f>
        <v/>
      </c>
      <c r="N53">
        <f>IF(N52=0,0,N52/N7)</f>
        <v/>
      </c>
      <c r="O53">
        <f>IF(O52=0,0,O52/O7)</f>
        <v/>
      </c>
      <c r="P53">
        <f>IF(P52=0,0,P52/P7)</f>
        <v/>
      </c>
      <c r="Q53">
        <f>IF(Q52=0,0,Q52/Q7)</f>
        <v/>
      </c>
      <c r="R53">
        <f>IF(R52=0,0,R52/R7)</f>
        <v/>
      </c>
      <c r="S53">
        <f>IF(S52=0,0,S52/S7)</f>
        <v/>
      </c>
      <c r="T53">
        <f>IF(T52=0,0,T52/T7)</f>
        <v/>
      </c>
      <c r="U53">
        <f>IF(U52=0,0,U52/U7)</f>
        <v/>
      </c>
      <c r="V53">
        <f>IF(V52=0,0,V52/V7)</f>
        <v/>
      </c>
      <c r="W53">
        <f>IF(W52=0,0,W52/W7)</f>
        <v/>
      </c>
      <c r="X53">
        <f>IF(X52=0,0,X52/X7)</f>
        <v/>
      </c>
      <c r="Y53">
        <f>IF(Y52=0,0,Y52/Y7)</f>
        <v/>
      </c>
      <c r="Z53">
        <f>IF(Z52=0,0,Z52/Z7)</f>
        <v/>
      </c>
      <c r="AA53">
        <f>IF(AA52=0,0,AA52/AA7)</f>
        <v/>
      </c>
    </row>
    <row r="54" hidden="1">
      <c r="H54">
        <f>IF(AND(H5&lt;&gt;"",ISNUMBER(H6)),IF(AND(H6&lt;=TODAY(),COUNT(H11:H50)+COUNTIF(H11:H50,"M")=0),1,0),0)</f>
        <v/>
      </c>
      <c r="I54">
        <f>IF(AND(I5&lt;&gt;"",ISNUMBER(I6)),IF(AND(I6&lt;=TODAY(),COUNT(I11:I50)+COUNTIF(I11:I50,"M")=0),1,0),0)</f>
        <v/>
      </c>
      <c r="J54">
        <f>IF(AND(J5&lt;&gt;"",ISNUMBER(J6)),IF(AND(J6&lt;=TODAY(),COUNT(J11:J50)+COUNTIF(J11:J50,"M")=0),1,0),0)</f>
        <v/>
      </c>
      <c r="K54">
        <f>IF(AND(K5&lt;&gt;"",ISNUMBER(K6)),IF(AND(K6&lt;=TODAY(),COUNT(K11:K50)+COUNTIF(K11:K50,"M")=0),1,0),0)</f>
        <v/>
      </c>
      <c r="L54">
        <f>IF(AND(L5&lt;&gt;"",ISNUMBER(L6)),IF(AND(L6&lt;=TODAY(),COUNT(L11:L50)+COUNTIF(L11:L50,"M")=0),1,0),0)</f>
        <v/>
      </c>
      <c r="M54">
        <f>IF(AND(M5&lt;&gt;"",ISNUMBER(M6)),IF(AND(M6&lt;=TODAY(),COUNT(M11:M50)+COUNTIF(M11:M50,"M")=0),1,0),0)</f>
        <v/>
      </c>
      <c r="N54">
        <f>IF(AND(N5&lt;&gt;"",ISNUMBER(N6)),IF(AND(N6&lt;=TODAY(),COUNT(N11:N50)+COUNTIF(N11:N50,"M")=0),1,0),0)</f>
        <v/>
      </c>
      <c r="O54">
        <f>IF(AND(O5&lt;&gt;"",ISNUMBER(O6)),IF(AND(O6&lt;=TODAY(),COUNT(O11:O50)+COUNTIF(O11:O50,"M")=0),1,0),0)</f>
        <v/>
      </c>
      <c r="P54">
        <f>IF(AND(P5&lt;&gt;"",ISNUMBER(P6)),IF(AND(P6&lt;=TODAY(),COUNT(P11:P50)+COUNTIF(P11:P50,"M")=0),1,0),0)</f>
        <v/>
      </c>
      <c r="Q54">
        <f>IF(AND(Q5&lt;&gt;"",ISNUMBER(Q6)),IF(AND(Q6&lt;=TODAY(),COUNT(Q11:Q50)+COUNTIF(Q11:Q50,"M")=0),1,0),0)</f>
        <v/>
      </c>
      <c r="R54">
        <f>IF(AND(R5&lt;&gt;"",ISNUMBER(R6)),IF(AND(R6&lt;=TODAY(),COUNT(R11:R50)+COUNTIF(R11:R50,"M")=0),1,0),0)</f>
        <v/>
      </c>
      <c r="S54">
        <f>IF(AND(S5&lt;&gt;"",ISNUMBER(S6)),IF(AND(S6&lt;=TODAY(),COUNT(S11:S50)+COUNTIF(S11:S50,"M")=0),1,0),0)</f>
        <v/>
      </c>
      <c r="T54">
        <f>IF(AND(T5&lt;&gt;"",ISNUMBER(T6)),IF(AND(T6&lt;=TODAY(),COUNT(T11:T50)+COUNTIF(T11:T50,"M")=0),1,0),0)</f>
        <v/>
      </c>
      <c r="U54">
        <f>IF(AND(U5&lt;&gt;"",ISNUMBER(U6)),IF(AND(U6&lt;=TODAY(),COUNT(U11:U50)+COUNTIF(U11:U50,"M")=0),1,0),0)</f>
        <v/>
      </c>
      <c r="V54">
        <f>IF(AND(V5&lt;&gt;"",ISNUMBER(V6)),IF(AND(V6&lt;=TODAY(),COUNT(V11:V50)+COUNTIF(V11:V50,"M")=0),1,0),0)</f>
        <v/>
      </c>
      <c r="W54">
        <f>IF(AND(W5&lt;&gt;"",ISNUMBER(W6)),IF(AND(W6&lt;=TODAY(),COUNT(W11:W50)+COUNTIF(W11:W50,"M")=0),1,0),0)</f>
        <v/>
      </c>
      <c r="X54">
        <f>IF(AND(X5&lt;&gt;"",ISNUMBER(X6)),IF(AND(X6&lt;=TODAY(),COUNT(X11:X50)+COUNTIF(X11:X50,"M")=0),1,0),0)</f>
        <v/>
      </c>
      <c r="Y54">
        <f>IF(AND(Y5&lt;&gt;"",ISNUMBER(Y6)),IF(AND(Y6&lt;=TODAY(),COUNT(Y11:Y50)+COUNTIF(Y11:Y50,"M")=0),1,0),0)</f>
        <v/>
      </c>
      <c r="Z54">
        <f>IF(AND(Z5&lt;&gt;"",ISNUMBER(Z6)),IF(AND(Z6&lt;=TODAY(),COUNT(Z11:Z50)+COUNTIF(Z11:Z50,"M")=0),1,0),0)</f>
        <v/>
      </c>
      <c r="AA54">
        <f>IF(AND(AA5&lt;&gt;"",ISNUMBER(AA6)),IF(AND(AA6&lt;=TODAY(),COUNT(AA11:AA50)+COUNTIF(AA11:AA50,"M")=0),1,0),0)</f>
        <v/>
      </c>
    </row>
  </sheetData>
  <conditionalFormatting sqref="C11:D50">
    <cfRule type="expression" priority="1" dxfId="1">
      <formula>AND(ISNUMBER($C11),ROUND($C11*100,1)&lt;N($AC$2))</formula>
    </cfRule>
  </conditionalFormatting>
  <conditionalFormatting sqref="E11:E50">
    <cfRule type="expression" priority="2" dxfId="0">
      <formula>N(E11)&gt;0</formula>
    </cfRule>
  </conditionalFormatting>
  <conditionalFormatting sqref="H11:AA50">
    <cfRule type="expression" priority="3" dxfId="1">
      <formula>H11="M"</formula>
    </cfRule>
    <cfRule type="expression" priority="4" dxfId="2">
      <formula>AND(ISNUMBER(H11),H11&gt;N(H$7))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E54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7" customWidth="1" min="4" max="4"/>
    <col width="8" customWidth="1" min="5" max="5"/>
    <col width="8" customWidth="1" min="6" max="6"/>
    <col width="7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hidden="1" width="13" customWidth="1" min="29" max="29"/>
    <col hidden="1" width="13" customWidth="1" min="30" max="30"/>
    <col hidden="1" width="13" customWidth="1" min="31" max="3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2">
        <f>IF(Settings!$C$12="","Class 4",Settings!$C$12)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>
        <f>Settings!$C$4</f>
        <v/>
      </c>
    </row>
    <row r="3">
      <c r="A3" s="1" t="n"/>
      <c r="B3" s="3" t="inlineStr">
        <is>
          <t>Scores as numbers. M for missing work (counts as 0), Ex for excused (left out), empty for not marked yet.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92" customHeight="1">
      <c r="A5" s="1" t="n"/>
      <c r="B5" s="1" t="n"/>
      <c r="C5" s="1" t="n"/>
      <c r="D5" s="1" t="n"/>
      <c r="E5" s="1" t="n"/>
      <c r="F5" s="1" t="n"/>
      <c r="G5" s="37" t="inlineStr">
        <is>
          <t>Assessment</t>
        </is>
      </c>
      <c r="H5" s="38" t="inlineStr">
        <is>
          <t>Atoms quiz</t>
        </is>
      </c>
      <c r="I5" s="38" t="inlineStr">
        <is>
          <t>Bonding homework</t>
        </is>
      </c>
      <c r="J5" s="38" t="inlineStr">
        <is>
          <t>Titration practical</t>
        </is>
      </c>
      <c r="K5" s="38" t="inlineStr">
        <is>
          <t>Unit 1 test</t>
        </is>
      </c>
      <c r="L5" s="38" t="inlineStr">
        <is>
          <t>Rates homework</t>
        </is>
      </c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1" t="n"/>
    </row>
    <row r="6">
      <c r="A6" s="1" t="n"/>
      <c r="B6" s="1" t="n"/>
      <c r="C6" s="1" t="n"/>
      <c r="D6" s="1" t="n"/>
      <c r="E6" s="1" t="n"/>
      <c r="F6" s="1" t="n"/>
      <c r="G6" s="39" t="inlineStr">
        <is>
          <t>Date</t>
        </is>
      </c>
      <c r="H6" s="40" t="n">
        <v>46272</v>
      </c>
      <c r="I6" s="40" t="n">
        <v>46279</v>
      </c>
      <c r="J6" s="40" t="n">
        <v>46284</v>
      </c>
      <c r="K6" s="40" t="n">
        <v>46290</v>
      </c>
      <c r="L6" s="40" t="n">
        <v>46293</v>
      </c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1" t="n"/>
    </row>
    <row r="7">
      <c r="A7" s="1" t="n"/>
      <c r="B7" s="1" t="n"/>
      <c r="C7" s="1" t="n"/>
      <c r="D7" s="1" t="n"/>
      <c r="E7" s="1" t="n"/>
      <c r="F7" s="1" t="n"/>
      <c r="G7" s="39" t="inlineStr">
        <is>
          <t>Out of</t>
        </is>
      </c>
      <c r="H7" s="29" t="n">
        <v>10</v>
      </c>
      <c r="I7" s="29" t="n">
        <v>20</v>
      </c>
      <c r="J7" s="29" t="n">
        <v>40</v>
      </c>
      <c r="K7" s="29" t="n">
        <v>80</v>
      </c>
      <c r="L7" s="29" t="n">
        <v>20</v>
      </c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1" t="n"/>
    </row>
    <row r="8">
      <c r="A8" s="1" t="n"/>
      <c r="B8" s="1" t="n"/>
      <c r="C8" s="1" t="n"/>
      <c r="D8" s="1" t="n"/>
      <c r="E8" s="1" t="n"/>
      <c r="F8" s="1" t="n"/>
      <c r="G8" s="39" t="inlineStr">
        <is>
          <t>Weight</t>
        </is>
      </c>
      <c r="H8" s="41" t="n">
        <v>1</v>
      </c>
      <c r="I8" s="41" t="n">
        <v>1</v>
      </c>
      <c r="J8" s="41" t="n">
        <v>1</v>
      </c>
      <c r="K8" s="41" t="n">
        <v>2</v>
      </c>
      <c r="L8" s="41" t="n">
        <v>1</v>
      </c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1" t="n"/>
    </row>
    <row r="9">
      <c r="A9" s="1" t="n"/>
      <c r="B9" s="1" t="n"/>
      <c r="C9" s="42">
        <f>IF(COUNT(C11:C50)=0,"",AVERAGE(C11:C50))</f>
        <v/>
      </c>
      <c r="D9" s="1" t="n"/>
      <c r="E9" s="1" t="n"/>
      <c r="F9" s="1" t="n"/>
      <c r="G9" s="39" t="inlineStr">
        <is>
          <t>Class average</t>
        </is>
      </c>
      <c r="H9" s="43">
        <f>IF(OR(N(H7)&lt;=0,COUNT(H11:H50)=0),"",AVERAGE(H11:H50)/H7)</f>
        <v/>
      </c>
      <c r="I9" s="43">
        <f>IF(OR(N(I7)&lt;=0,COUNT(I11:I50)=0),"",AVERAGE(I11:I50)/I7)</f>
        <v/>
      </c>
      <c r="J9" s="43">
        <f>IF(OR(N(J7)&lt;=0,COUNT(J11:J50)=0),"",AVERAGE(J11:J50)/J7)</f>
        <v/>
      </c>
      <c r="K9" s="43">
        <f>IF(OR(N(K7)&lt;=0,COUNT(K11:K50)=0),"",AVERAGE(K11:K50)/K7)</f>
        <v/>
      </c>
      <c r="L9" s="43">
        <f>IF(OR(N(L7)&lt;=0,COUNT(L11:L50)=0),"",AVERAGE(L11:L50)/L7)</f>
        <v/>
      </c>
      <c r="M9" s="43">
        <f>IF(OR(N(M7)&lt;=0,COUNT(M11:M50)=0),"",AVERAGE(M11:M50)/M7)</f>
        <v/>
      </c>
      <c r="N9" s="43">
        <f>IF(OR(N(N7)&lt;=0,COUNT(N11:N50)=0),"",AVERAGE(N11:N50)/N7)</f>
        <v/>
      </c>
      <c r="O9" s="43">
        <f>IF(OR(N(O7)&lt;=0,COUNT(O11:O50)=0),"",AVERAGE(O11:O50)/O7)</f>
        <v/>
      </c>
      <c r="P9" s="43">
        <f>IF(OR(N(P7)&lt;=0,COUNT(P11:P50)=0),"",AVERAGE(P11:P50)/P7)</f>
        <v/>
      </c>
      <c r="Q9" s="43">
        <f>IF(OR(N(Q7)&lt;=0,COUNT(Q11:Q50)=0),"",AVERAGE(Q11:Q50)/Q7)</f>
        <v/>
      </c>
      <c r="R9" s="43">
        <f>IF(OR(N(R7)&lt;=0,COUNT(R11:R50)=0),"",AVERAGE(R11:R50)/R7)</f>
        <v/>
      </c>
      <c r="S9" s="43">
        <f>IF(OR(N(S7)&lt;=0,COUNT(S11:S50)=0),"",AVERAGE(S11:S50)/S7)</f>
        <v/>
      </c>
      <c r="T9" s="43">
        <f>IF(OR(N(T7)&lt;=0,COUNT(T11:T50)=0),"",AVERAGE(T11:T50)/T7)</f>
        <v/>
      </c>
      <c r="U9" s="43">
        <f>IF(OR(N(U7)&lt;=0,COUNT(U11:U50)=0),"",AVERAGE(U11:U50)/U7)</f>
        <v/>
      </c>
      <c r="V9" s="43">
        <f>IF(OR(N(V7)&lt;=0,COUNT(V11:V50)=0),"",AVERAGE(V11:V50)/V7)</f>
        <v/>
      </c>
      <c r="W9" s="43">
        <f>IF(OR(N(W7)&lt;=0,COUNT(W11:W50)=0),"",AVERAGE(W11:W50)/W7)</f>
        <v/>
      </c>
      <c r="X9" s="43">
        <f>IF(OR(N(X7)&lt;=0,COUNT(X11:X50)=0),"",AVERAGE(X11:X50)/X7)</f>
        <v/>
      </c>
      <c r="Y9" s="43">
        <f>IF(OR(N(Y7)&lt;=0,COUNT(Y11:Y50)=0),"",AVERAGE(Y11:Y50)/Y7)</f>
        <v/>
      </c>
      <c r="Z9" s="43">
        <f>IF(OR(N(Z7)&lt;=0,COUNT(Z11:Z50)=0),"",AVERAGE(Z11:Z50)/Z7)</f>
        <v/>
      </c>
      <c r="AA9" s="43">
        <f>IF(OR(N(AA7)&lt;=0,COUNT(AA11:AA50)=0),"",AVERAGE(AA11:AA50)/AA7)</f>
        <v/>
      </c>
      <c r="AB9" s="1" t="n"/>
    </row>
    <row r="10" ht="30" customHeight="1">
      <c r="A10" s="1" t="n"/>
      <c r="B10" s="10" t="inlineStr">
        <is>
          <t>Student</t>
        </is>
      </c>
      <c r="C10" s="10" t="inlineStr">
        <is>
          <t>Average</t>
        </is>
      </c>
      <c r="D10" s="10" t="inlineStr">
        <is>
          <t>Grade</t>
        </is>
      </c>
      <c r="E10" s="10" t="inlineStr">
        <is>
          <t>Missing</t>
        </is>
      </c>
      <c r="F10" s="10" t="inlineStr">
        <is>
          <t>Absent</t>
        </is>
      </c>
      <c r="G10" s="10" t="inlineStr">
        <is>
          <t>Late</t>
        </is>
      </c>
      <c r="H10" s="10" t="n">
        <v>1</v>
      </c>
      <c r="I10" s="10" t="n">
        <v>2</v>
      </c>
      <c r="J10" s="10" t="n">
        <v>3</v>
      </c>
      <c r="K10" s="10" t="n">
        <v>4</v>
      </c>
      <c r="L10" s="10" t="n">
        <v>5</v>
      </c>
      <c r="M10" s="10" t="n">
        <v>6</v>
      </c>
      <c r="N10" s="10" t="n">
        <v>7</v>
      </c>
      <c r="O10" s="10" t="n">
        <v>8</v>
      </c>
      <c r="P10" s="10" t="n">
        <v>9</v>
      </c>
      <c r="Q10" s="10" t="n">
        <v>10</v>
      </c>
      <c r="R10" s="10" t="n">
        <v>11</v>
      </c>
      <c r="S10" s="10" t="n">
        <v>12</v>
      </c>
      <c r="T10" s="10" t="n">
        <v>13</v>
      </c>
      <c r="U10" s="10" t="n">
        <v>14</v>
      </c>
      <c r="V10" s="10" t="n">
        <v>15</v>
      </c>
      <c r="W10" s="10" t="n">
        <v>16</v>
      </c>
      <c r="X10" s="10" t="n">
        <v>17</v>
      </c>
      <c r="Y10" s="10" t="n">
        <v>18</v>
      </c>
      <c r="Z10" s="10" t="n">
        <v>19</v>
      </c>
      <c r="AA10" s="10" t="n">
        <v>20</v>
      </c>
      <c r="AB10" s="1" t="n"/>
    </row>
    <row r="11">
      <c r="A11" s="1" t="n"/>
      <c r="B11" s="31" t="inlineStr">
        <is>
          <t>Oscar R.</t>
        </is>
      </c>
      <c r="C11" s="44">
        <f>IF(B11="","",IF((SUMPRODUCT(--ISNUMBER(H11:AA11),$H$52:$AA$52)+SUMPRODUCT(--(H11:AA11="M"),$H$52:$AA$52))=0,"",ROUND(SUMPRODUCT(H11:AA11,$H$53:$AA$53)/(SUMPRODUCT(--ISNUMBER(H11:AA11),$H$52:$AA$52)+SUMPRODUCT(--(H11:AA11="M"),$H$52:$AA$52))*100,1)/100))</f>
        <v/>
      </c>
      <c r="D11" s="34">
        <f>IF(C11="","",IFERROR(INDEX(Settings!$C$17:$C$26,MATCH(AC11,Settings!$B$17:$B$26,0)),""))</f>
        <v/>
      </c>
      <c r="E11" s="16">
        <f>IF(B11="","",COUNTIF(H11:AA11,"M"))</f>
        <v/>
      </c>
      <c r="F11" s="16">
        <f>IF(B11="","",COUNTIFS(Absences!$C$6:$C$405,Settings!$C$12,Absences!$D$6:$D$405,B11,Absences!$E$6:$E$405,"Absent"))</f>
        <v/>
      </c>
      <c r="G11" s="16">
        <f>IF(B11="","",COUNTIFS(Absences!$C$6:$C$405,Settings!$C$12,Absences!$D$6:$D$405,B11,Absences!$E$6:$E$405,"Late"))</f>
        <v/>
      </c>
      <c r="H11" s="33" t="n">
        <v>9</v>
      </c>
      <c r="I11" s="33" t="n">
        <v>20</v>
      </c>
      <c r="J11" s="33" t="n">
        <v>34</v>
      </c>
      <c r="K11" s="33" t="n">
        <v>67</v>
      </c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1" t="n"/>
      <c r="AC11">
        <f>IF(C11="","",SUMPRODUCT(MAX(ISNUMBER(Settings!$B$17:$B$26)*(Settings!$B$17:$B$26&lt;=ROUND(C11*100,1))*Settings!$B$17:$B$26)))</f>
        <v/>
      </c>
      <c r="AD11">
        <f>IF(C11="","",ROUND(C11*1000,0)*1000+401)</f>
        <v/>
      </c>
      <c r="AE11">
        <f>IF(C11="",0,IF(ROUND(C11*100,1)&lt;N($AC$2),1,0))</f>
        <v/>
      </c>
    </row>
    <row r="12">
      <c r="A12" s="1" t="n"/>
      <c r="B12" s="31" t="inlineStr">
        <is>
          <t>Vera E.</t>
        </is>
      </c>
      <c r="C12" s="44">
        <f>IF(B12="","",IF((SUMPRODUCT(--ISNUMBER(H12:AA12),$H$52:$AA$52)+SUMPRODUCT(--(H12:AA12="M"),$H$52:$AA$52))=0,"",ROUND(SUMPRODUCT(H12:AA12,$H$53:$AA$53)/(SUMPRODUCT(--ISNUMBER(H12:AA12),$H$52:$AA$52)+SUMPRODUCT(--(H12:AA12="M"),$H$52:$AA$52))*100,1)/100))</f>
        <v/>
      </c>
      <c r="D12" s="34">
        <f>IF(C12="","",IFERROR(INDEX(Settings!$C$17:$C$26,MATCH(AC12,Settings!$B$17:$B$26,0)),""))</f>
        <v/>
      </c>
      <c r="E12" s="16">
        <f>IF(B12="","",COUNTIF(H12:AA12,"M"))</f>
        <v/>
      </c>
      <c r="F12" s="16">
        <f>IF(B12="","",COUNTIFS(Absences!$C$6:$C$405,Settings!$C$12,Absences!$D$6:$D$405,B12,Absences!$E$6:$E$405,"Absent"))</f>
        <v/>
      </c>
      <c r="G12" s="16">
        <f>IF(B12="","",COUNTIFS(Absences!$C$6:$C$405,Settings!$C$12,Absences!$D$6:$D$405,B12,Absences!$E$6:$E$405,"Late"))</f>
        <v/>
      </c>
      <c r="H12" s="33" t="n">
        <v>9</v>
      </c>
      <c r="I12" s="33" t="n">
        <v>13</v>
      </c>
      <c r="J12" s="33" t="n">
        <v>32</v>
      </c>
      <c r="K12" s="33" t="inlineStr">
        <is>
          <t>M</t>
        </is>
      </c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1" t="n"/>
      <c r="AC12">
        <f>IF(C12="","",SUMPRODUCT(MAX(ISNUMBER(Settings!$B$17:$B$26)*(Settings!$B$17:$B$26&lt;=ROUND(C12*100,1))*Settings!$B$17:$B$26)))</f>
        <v/>
      </c>
      <c r="AD12">
        <f>IF(C12="","",ROUND(C12*1000,0)*1000+402)</f>
        <v/>
      </c>
      <c r="AE12">
        <f>IF(C12="",0,IF(ROUND(C12*100,1)&lt;N($AC$2),1,0))</f>
        <v/>
      </c>
    </row>
    <row r="13">
      <c r="A13" s="1" t="n"/>
      <c r="B13" s="31" t="inlineStr">
        <is>
          <t>Olive B.</t>
        </is>
      </c>
      <c r="C13" s="44">
        <f>IF(B13="","",IF((SUMPRODUCT(--ISNUMBER(H13:AA13),$H$52:$AA$52)+SUMPRODUCT(--(H13:AA13="M"),$H$52:$AA$52))=0,"",ROUND(SUMPRODUCT(H13:AA13,$H$53:$AA$53)/(SUMPRODUCT(--ISNUMBER(H13:AA13),$H$52:$AA$52)+SUMPRODUCT(--(H13:AA13="M"),$H$52:$AA$52))*100,1)/100))</f>
        <v/>
      </c>
      <c r="D13" s="34">
        <f>IF(C13="","",IFERROR(INDEX(Settings!$C$17:$C$26,MATCH(AC13,Settings!$B$17:$B$26,0)),""))</f>
        <v/>
      </c>
      <c r="E13" s="16">
        <f>IF(B13="","",COUNTIF(H13:AA13,"M"))</f>
        <v/>
      </c>
      <c r="F13" s="16">
        <f>IF(B13="","",COUNTIFS(Absences!$C$6:$C$405,Settings!$C$12,Absences!$D$6:$D$405,B13,Absences!$E$6:$E$405,"Absent"))</f>
        <v/>
      </c>
      <c r="G13" s="16">
        <f>IF(B13="","",COUNTIFS(Absences!$C$6:$C$405,Settings!$C$12,Absences!$D$6:$D$405,B13,Absences!$E$6:$E$405,"Late"))</f>
        <v/>
      </c>
      <c r="H13" s="33" t="n">
        <v>10</v>
      </c>
      <c r="I13" s="33" t="n">
        <v>17</v>
      </c>
      <c r="J13" s="33" t="n">
        <v>32</v>
      </c>
      <c r="K13" s="33" t="n">
        <v>78</v>
      </c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1" t="n"/>
      <c r="AC13">
        <f>IF(C13="","",SUMPRODUCT(MAX(ISNUMBER(Settings!$B$17:$B$26)*(Settings!$B$17:$B$26&lt;=ROUND(C13*100,1))*Settings!$B$17:$B$26)))</f>
        <v/>
      </c>
      <c r="AD13">
        <f>IF(C13="","",ROUND(C13*1000,0)*1000+403)</f>
        <v/>
      </c>
      <c r="AE13">
        <f>IF(C13="",0,IF(ROUND(C13*100,1)&lt;N($AC$2),1,0))</f>
        <v/>
      </c>
    </row>
    <row r="14">
      <c r="A14" s="1" t="n"/>
      <c r="B14" s="31" t="inlineStr">
        <is>
          <t>Wes L.</t>
        </is>
      </c>
      <c r="C14" s="44">
        <f>IF(B14="","",IF((SUMPRODUCT(--ISNUMBER(H14:AA14),$H$52:$AA$52)+SUMPRODUCT(--(H14:AA14="M"),$H$52:$AA$52))=0,"",ROUND(SUMPRODUCT(H14:AA14,$H$53:$AA$53)/(SUMPRODUCT(--ISNUMBER(H14:AA14),$H$52:$AA$52)+SUMPRODUCT(--(H14:AA14="M"),$H$52:$AA$52))*100,1)/100))</f>
        <v/>
      </c>
      <c r="D14" s="34">
        <f>IF(C14="","",IFERROR(INDEX(Settings!$C$17:$C$26,MATCH(AC14,Settings!$B$17:$B$26,0)),""))</f>
        <v/>
      </c>
      <c r="E14" s="16">
        <f>IF(B14="","",COUNTIF(H14:AA14,"M"))</f>
        <v/>
      </c>
      <c r="F14" s="16">
        <f>IF(B14="","",COUNTIFS(Absences!$C$6:$C$405,Settings!$C$12,Absences!$D$6:$D$405,B14,Absences!$E$6:$E$405,"Absent"))</f>
        <v/>
      </c>
      <c r="G14" s="16">
        <f>IF(B14="","",COUNTIFS(Absences!$C$6:$C$405,Settings!$C$12,Absences!$D$6:$D$405,B14,Absences!$E$6:$E$405,"Late"))</f>
        <v/>
      </c>
      <c r="H14" s="33" t="n">
        <v>8</v>
      </c>
      <c r="I14" s="33" t="n">
        <v>17</v>
      </c>
      <c r="J14" s="33" t="n">
        <v>32</v>
      </c>
      <c r="K14" s="33" t="n">
        <v>68</v>
      </c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1" t="n"/>
      <c r="AC14">
        <f>IF(C14="","",SUMPRODUCT(MAX(ISNUMBER(Settings!$B$17:$B$26)*(Settings!$B$17:$B$26&lt;=ROUND(C14*100,1))*Settings!$B$17:$B$26)))</f>
        <v/>
      </c>
      <c r="AD14">
        <f>IF(C14="","",ROUND(C14*1000,0)*1000+404)</f>
        <v/>
      </c>
      <c r="AE14">
        <f>IF(C14="",0,IF(ROUND(C14*100,1)&lt;N($AC$2),1,0))</f>
        <v/>
      </c>
    </row>
    <row r="15">
      <c r="A15" s="1" t="n"/>
      <c r="B15" s="31" t="inlineStr">
        <is>
          <t>Nadia P.</t>
        </is>
      </c>
      <c r="C15" s="44">
        <f>IF(B15="","",IF((SUMPRODUCT(--ISNUMBER(H15:AA15),$H$52:$AA$52)+SUMPRODUCT(--(H15:AA15="M"),$H$52:$AA$52))=0,"",ROUND(SUMPRODUCT(H15:AA15,$H$53:$AA$53)/(SUMPRODUCT(--ISNUMBER(H15:AA15),$H$52:$AA$52)+SUMPRODUCT(--(H15:AA15="M"),$H$52:$AA$52))*100,1)/100))</f>
        <v/>
      </c>
      <c r="D15" s="34">
        <f>IF(C15="","",IFERROR(INDEX(Settings!$C$17:$C$26,MATCH(AC15,Settings!$B$17:$B$26,0)),""))</f>
        <v/>
      </c>
      <c r="E15" s="16">
        <f>IF(B15="","",COUNTIF(H15:AA15,"M"))</f>
        <v/>
      </c>
      <c r="F15" s="16">
        <f>IF(B15="","",COUNTIFS(Absences!$C$6:$C$405,Settings!$C$12,Absences!$D$6:$D$405,B15,Absences!$E$6:$E$405,"Absent"))</f>
        <v/>
      </c>
      <c r="G15" s="16">
        <f>IF(B15="","",COUNTIFS(Absences!$C$6:$C$405,Settings!$C$12,Absences!$D$6:$D$405,B15,Absences!$E$6:$E$405,"Late"))</f>
        <v/>
      </c>
      <c r="H15" s="33" t="n">
        <v>6</v>
      </c>
      <c r="I15" s="33" t="n">
        <v>12</v>
      </c>
      <c r="J15" s="33" t="n">
        <v>23</v>
      </c>
      <c r="K15" s="33" t="n">
        <v>44</v>
      </c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1" t="n"/>
      <c r="AC15">
        <f>IF(C15="","",SUMPRODUCT(MAX(ISNUMBER(Settings!$B$17:$B$26)*(Settings!$B$17:$B$26&lt;=ROUND(C15*100,1))*Settings!$B$17:$B$26)))</f>
        <v/>
      </c>
      <c r="AD15">
        <f>IF(C15="","",ROUND(C15*1000,0)*1000+405)</f>
        <v/>
      </c>
      <c r="AE15">
        <f>IF(C15="",0,IF(ROUND(C15*100,1)&lt;N($AC$2),1,0))</f>
        <v/>
      </c>
    </row>
    <row r="16">
      <c r="A16" s="1" t="n"/>
      <c r="B16" s="31" t="inlineStr">
        <is>
          <t>Pavel W.</t>
        </is>
      </c>
      <c r="C16" s="44">
        <f>IF(B16="","",IF((SUMPRODUCT(--ISNUMBER(H16:AA16),$H$52:$AA$52)+SUMPRODUCT(--(H16:AA16="M"),$H$52:$AA$52))=0,"",ROUND(SUMPRODUCT(H16:AA16,$H$53:$AA$53)/(SUMPRODUCT(--ISNUMBER(H16:AA16),$H$52:$AA$52)+SUMPRODUCT(--(H16:AA16="M"),$H$52:$AA$52))*100,1)/100))</f>
        <v/>
      </c>
      <c r="D16" s="34">
        <f>IF(C16="","",IFERROR(INDEX(Settings!$C$17:$C$26,MATCH(AC16,Settings!$B$17:$B$26,0)),""))</f>
        <v/>
      </c>
      <c r="E16" s="16">
        <f>IF(B16="","",COUNTIF(H16:AA16,"M"))</f>
        <v/>
      </c>
      <c r="F16" s="16">
        <f>IF(B16="","",COUNTIFS(Absences!$C$6:$C$405,Settings!$C$12,Absences!$D$6:$D$405,B16,Absences!$E$6:$E$405,"Absent"))</f>
        <v/>
      </c>
      <c r="G16" s="16">
        <f>IF(B16="","",COUNTIFS(Absences!$C$6:$C$405,Settings!$C$12,Absences!$D$6:$D$405,B16,Absences!$E$6:$E$405,"Late"))</f>
        <v/>
      </c>
      <c r="H16" s="33" t="n">
        <v>6</v>
      </c>
      <c r="I16" s="33" t="n">
        <v>11</v>
      </c>
      <c r="J16" s="33" t="n">
        <v>20</v>
      </c>
      <c r="K16" s="33" t="n">
        <v>49</v>
      </c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1" t="n"/>
      <c r="AC16">
        <f>IF(C16="","",SUMPRODUCT(MAX(ISNUMBER(Settings!$B$17:$B$26)*(Settings!$B$17:$B$26&lt;=ROUND(C16*100,1))*Settings!$B$17:$B$26)))</f>
        <v/>
      </c>
      <c r="AD16">
        <f>IF(C16="","",ROUND(C16*1000,0)*1000+406)</f>
        <v/>
      </c>
      <c r="AE16">
        <f>IF(C16="",0,IF(ROUND(C16*100,1)&lt;N($AC$2),1,0))</f>
        <v/>
      </c>
    </row>
    <row r="17">
      <c r="A17" s="1" t="n"/>
      <c r="B17" s="31" t="inlineStr">
        <is>
          <t>Yara C.</t>
        </is>
      </c>
      <c r="C17" s="44">
        <f>IF(B17="","",IF((SUMPRODUCT(--ISNUMBER(H17:AA17),$H$52:$AA$52)+SUMPRODUCT(--(H17:AA17="M"),$H$52:$AA$52))=0,"",ROUND(SUMPRODUCT(H17:AA17,$H$53:$AA$53)/(SUMPRODUCT(--ISNUMBER(H17:AA17),$H$52:$AA$52)+SUMPRODUCT(--(H17:AA17="M"),$H$52:$AA$52))*100,1)/100))</f>
        <v/>
      </c>
      <c r="D17" s="34">
        <f>IF(C17="","",IFERROR(INDEX(Settings!$C$17:$C$26,MATCH(AC17,Settings!$B$17:$B$26,0)),""))</f>
        <v/>
      </c>
      <c r="E17" s="16">
        <f>IF(B17="","",COUNTIF(H17:AA17,"M"))</f>
        <v/>
      </c>
      <c r="F17" s="16">
        <f>IF(B17="","",COUNTIFS(Absences!$C$6:$C$405,Settings!$C$12,Absences!$D$6:$D$405,B17,Absences!$E$6:$E$405,"Absent"))</f>
        <v/>
      </c>
      <c r="G17" s="16">
        <f>IF(B17="","",COUNTIFS(Absences!$C$6:$C$405,Settings!$C$12,Absences!$D$6:$D$405,B17,Absences!$E$6:$E$405,"Late"))</f>
        <v/>
      </c>
      <c r="H17" s="33" t="n">
        <v>8</v>
      </c>
      <c r="I17" s="33" t="n">
        <v>15</v>
      </c>
      <c r="J17" s="33" t="n">
        <v>30</v>
      </c>
      <c r="K17" s="33" t="n">
        <v>45</v>
      </c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1" t="n"/>
      <c r="AC17">
        <f>IF(C17="","",SUMPRODUCT(MAX(ISNUMBER(Settings!$B$17:$B$26)*(Settings!$B$17:$B$26&lt;=ROUND(C17*100,1))*Settings!$B$17:$B$26)))</f>
        <v/>
      </c>
      <c r="AD17">
        <f>IF(C17="","",ROUND(C17*1000,0)*1000+407)</f>
        <v/>
      </c>
      <c r="AE17">
        <f>IF(C17="",0,IF(ROUND(C17*100,1)&lt;N($AC$2),1,0))</f>
        <v/>
      </c>
    </row>
    <row r="18">
      <c r="A18" s="1" t="n"/>
      <c r="B18" s="31" t="inlineStr">
        <is>
          <t>Hana R.</t>
        </is>
      </c>
      <c r="C18" s="44">
        <f>IF(B18="","",IF((SUMPRODUCT(--ISNUMBER(H18:AA18),$H$52:$AA$52)+SUMPRODUCT(--(H18:AA18="M"),$H$52:$AA$52))=0,"",ROUND(SUMPRODUCT(H18:AA18,$H$53:$AA$53)/(SUMPRODUCT(--ISNUMBER(H18:AA18),$H$52:$AA$52)+SUMPRODUCT(--(H18:AA18="M"),$H$52:$AA$52))*100,1)/100))</f>
        <v/>
      </c>
      <c r="D18" s="34">
        <f>IF(C18="","",IFERROR(INDEX(Settings!$C$17:$C$26,MATCH(AC18,Settings!$B$17:$B$26,0)),""))</f>
        <v/>
      </c>
      <c r="E18" s="16">
        <f>IF(B18="","",COUNTIF(H18:AA18,"M"))</f>
        <v/>
      </c>
      <c r="F18" s="16">
        <f>IF(B18="","",COUNTIFS(Absences!$C$6:$C$405,Settings!$C$12,Absences!$D$6:$D$405,B18,Absences!$E$6:$E$405,"Absent"))</f>
        <v/>
      </c>
      <c r="G18" s="16">
        <f>IF(B18="","",COUNTIFS(Absences!$C$6:$C$405,Settings!$C$12,Absences!$D$6:$D$405,B18,Absences!$E$6:$E$405,"Late"))</f>
        <v/>
      </c>
      <c r="H18" s="33" t="n">
        <v>7</v>
      </c>
      <c r="I18" s="33" t="n">
        <v>13</v>
      </c>
      <c r="J18" s="33" t="n">
        <v>27</v>
      </c>
      <c r="K18" s="33" t="n">
        <v>64</v>
      </c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1" t="n"/>
      <c r="AC18">
        <f>IF(C18="","",SUMPRODUCT(MAX(ISNUMBER(Settings!$B$17:$B$26)*(Settings!$B$17:$B$26&lt;=ROUND(C18*100,1))*Settings!$B$17:$B$26)))</f>
        <v/>
      </c>
      <c r="AD18">
        <f>IF(C18="","",ROUND(C18*1000,0)*1000+408)</f>
        <v/>
      </c>
      <c r="AE18">
        <f>IF(C18="",0,IF(ROUND(C18*100,1)&lt;N($AC$2),1,0))</f>
        <v/>
      </c>
    </row>
    <row r="19">
      <c r="A19" s="1" t="n"/>
      <c r="B19" s="31" t="inlineStr">
        <is>
          <t>Ruby F.</t>
        </is>
      </c>
      <c r="C19" s="44">
        <f>IF(B19="","",IF((SUMPRODUCT(--ISNUMBER(H19:AA19),$H$52:$AA$52)+SUMPRODUCT(--(H19:AA19="M"),$H$52:$AA$52))=0,"",ROUND(SUMPRODUCT(H19:AA19,$H$53:$AA$53)/(SUMPRODUCT(--ISNUMBER(H19:AA19),$H$52:$AA$52)+SUMPRODUCT(--(H19:AA19="M"),$H$52:$AA$52))*100,1)/100))</f>
        <v/>
      </c>
      <c r="D19" s="34">
        <f>IF(C19="","",IFERROR(INDEX(Settings!$C$17:$C$26,MATCH(AC19,Settings!$B$17:$B$26,0)),""))</f>
        <v/>
      </c>
      <c r="E19" s="16">
        <f>IF(B19="","",COUNTIF(H19:AA19,"M"))</f>
        <v/>
      </c>
      <c r="F19" s="16">
        <f>IF(B19="","",COUNTIFS(Absences!$C$6:$C$405,Settings!$C$12,Absences!$D$6:$D$405,B19,Absences!$E$6:$E$405,"Absent"))</f>
        <v/>
      </c>
      <c r="G19" s="16">
        <f>IF(B19="","",COUNTIFS(Absences!$C$6:$C$405,Settings!$C$12,Absences!$D$6:$D$405,B19,Absences!$E$6:$E$405,"Late"))</f>
        <v/>
      </c>
      <c r="H19" s="33" t="n">
        <v>10</v>
      </c>
      <c r="I19" s="33" t="n">
        <v>20</v>
      </c>
      <c r="J19" s="33" t="n">
        <v>39</v>
      </c>
      <c r="K19" s="33" t="n">
        <v>80</v>
      </c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1" t="n"/>
      <c r="AC19">
        <f>IF(C19="","",SUMPRODUCT(MAX(ISNUMBER(Settings!$B$17:$B$26)*(Settings!$B$17:$B$26&lt;=ROUND(C19*100,1))*Settings!$B$17:$B$26)))</f>
        <v/>
      </c>
      <c r="AD19">
        <f>IF(C19="","",ROUND(C19*1000,0)*1000+409)</f>
        <v/>
      </c>
      <c r="AE19">
        <f>IF(C19="",0,IF(ROUND(C19*100,1)&lt;N($AC$2),1,0))</f>
        <v/>
      </c>
    </row>
    <row r="20">
      <c r="A20" s="1" t="n"/>
      <c r="B20" s="31" t="inlineStr">
        <is>
          <t>Gabe E.</t>
        </is>
      </c>
      <c r="C20" s="44">
        <f>IF(B20="","",IF((SUMPRODUCT(--ISNUMBER(H20:AA20),$H$52:$AA$52)+SUMPRODUCT(--(H20:AA20="M"),$H$52:$AA$52))=0,"",ROUND(SUMPRODUCT(H20:AA20,$H$53:$AA$53)/(SUMPRODUCT(--ISNUMBER(H20:AA20),$H$52:$AA$52)+SUMPRODUCT(--(H20:AA20="M"),$H$52:$AA$52))*100,1)/100))</f>
        <v/>
      </c>
      <c r="D20" s="34">
        <f>IF(C20="","",IFERROR(INDEX(Settings!$C$17:$C$26,MATCH(AC20,Settings!$B$17:$B$26,0)),""))</f>
        <v/>
      </c>
      <c r="E20" s="16">
        <f>IF(B20="","",COUNTIF(H20:AA20,"M"))</f>
        <v/>
      </c>
      <c r="F20" s="16">
        <f>IF(B20="","",COUNTIFS(Absences!$C$6:$C$405,Settings!$C$12,Absences!$D$6:$D$405,B20,Absences!$E$6:$E$405,"Absent"))</f>
        <v/>
      </c>
      <c r="G20" s="16">
        <f>IF(B20="","",COUNTIFS(Absences!$C$6:$C$405,Settings!$C$12,Absences!$D$6:$D$405,B20,Absences!$E$6:$E$405,"Late"))</f>
        <v/>
      </c>
      <c r="H20" s="33" t="n">
        <v>8</v>
      </c>
      <c r="I20" s="33" t="n">
        <v>15</v>
      </c>
      <c r="J20" s="33" t="n">
        <v>29</v>
      </c>
      <c r="K20" s="33" t="n">
        <v>58</v>
      </c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1" t="n"/>
      <c r="AC20">
        <f>IF(C20="","",SUMPRODUCT(MAX(ISNUMBER(Settings!$B$17:$B$26)*(Settings!$B$17:$B$26&lt;=ROUND(C20*100,1))*Settings!$B$17:$B$26)))</f>
        <v/>
      </c>
      <c r="AD20">
        <f>IF(C20="","",ROUND(C20*1000,0)*1000+410)</f>
        <v/>
      </c>
      <c r="AE20">
        <f>IF(C20="",0,IF(ROUND(C20*100,1)&lt;N($AC$2),1,0))</f>
        <v/>
      </c>
    </row>
    <row r="21">
      <c r="A21" s="1" t="n"/>
      <c r="B21" s="31" t="inlineStr">
        <is>
          <t>Ella M.</t>
        </is>
      </c>
      <c r="C21" s="44">
        <f>IF(B21="","",IF((SUMPRODUCT(--ISNUMBER(H21:AA21),$H$52:$AA$52)+SUMPRODUCT(--(H21:AA21="M"),$H$52:$AA$52))=0,"",ROUND(SUMPRODUCT(H21:AA21,$H$53:$AA$53)/(SUMPRODUCT(--ISNUMBER(H21:AA21),$H$52:$AA$52)+SUMPRODUCT(--(H21:AA21="M"),$H$52:$AA$52))*100,1)/100))</f>
        <v/>
      </c>
      <c r="D21" s="34">
        <f>IF(C21="","",IFERROR(INDEX(Settings!$C$17:$C$26,MATCH(AC21,Settings!$B$17:$B$26,0)),""))</f>
        <v/>
      </c>
      <c r="E21" s="16">
        <f>IF(B21="","",COUNTIF(H21:AA21,"M"))</f>
        <v/>
      </c>
      <c r="F21" s="16">
        <f>IF(B21="","",COUNTIFS(Absences!$C$6:$C$405,Settings!$C$12,Absences!$D$6:$D$405,B21,Absences!$E$6:$E$405,"Absent"))</f>
        <v/>
      </c>
      <c r="G21" s="16">
        <f>IF(B21="","",COUNTIFS(Absences!$C$6:$C$405,Settings!$C$12,Absences!$D$6:$D$405,B21,Absences!$E$6:$E$405,"Late"))</f>
        <v/>
      </c>
      <c r="H21" s="33" t="n">
        <v>6</v>
      </c>
      <c r="I21" s="33" t="n">
        <v>12</v>
      </c>
      <c r="J21" s="33" t="n">
        <v>25</v>
      </c>
      <c r="K21" s="33" t="n">
        <v>54</v>
      </c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1" t="n"/>
      <c r="AC21">
        <f>IF(C21="","",SUMPRODUCT(MAX(ISNUMBER(Settings!$B$17:$B$26)*(Settings!$B$17:$B$26&lt;=ROUND(C21*100,1))*Settings!$B$17:$B$26)))</f>
        <v/>
      </c>
      <c r="AD21">
        <f>IF(C21="","",ROUND(C21*1000,0)*1000+411)</f>
        <v/>
      </c>
      <c r="AE21">
        <f>IF(C21="",0,IF(ROUND(C21*100,1)&lt;N($AC$2),1,0))</f>
        <v/>
      </c>
    </row>
    <row r="22">
      <c r="A22" s="1" t="n"/>
      <c r="B22" s="31" t="inlineStr">
        <is>
          <t>Dina G.</t>
        </is>
      </c>
      <c r="C22" s="44">
        <f>IF(B22="","",IF((SUMPRODUCT(--ISNUMBER(H22:AA22),$H$52:$AA$52)+SUMPRODUCT(--(H22:AA22="M"),$H$52:$AA$52))=0,"",ROUND(SUMPRODUCT(H22:AA22,$H$53:$AA$53)/(SUMPRODUCT(--ISNUMBER(H22:AA22),$H$52:$AA$52)+SUMPRODUCT(--(H22:AA22="M"),$H$52:$AA$52))*100,1)/100))</f>
        <v/>
      </c>
      <c r="D22" s="34">
        <f>IF(C22="","",IFERROR(INDEX(Settings!$C$17:$C$26,MATCH(AC22,Settings!$B$17:$B$26,0)),""))</f>
        <v/>
      </c>
      <c r="E22" s="16">
        <f>IF(B22="","",COUNTIF(H22:AA22,"M"))</f>
        <v/>
      </c>
      <c r="F22" s="16">
        <f>IF(B22="","",COUNTIFS(Absences!$C$6:$C$405,Settings!$C$12,Absences!$D$6:$D$405,B22,Absences!$E$6:$E$405,"Absent"))</f>
        <v/>
      </c>
      <c r="G22" s="16">
        <f>IF(B22="","",COUNTIFS(Absences!$C$6:$C$405,Settings!$C$12,Absences!$D$6:$D$405,B22,Absences!$E$6:$E$405,"Late"))</f>
        <v/>
      </c>
      <c r="H22" s="33" t="n">
        <v>8</v>
      </c>
      <c r="I22" s="33" t="n">
        <v>13</v>
      </c>
      <c r="J22" s="33" t="n">
        <v>25</v>
      </c>
      <c r="K22" s="33" t="n">
        <v>52</v>
      </c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1" t="n"/>
      <c r="AC22">
        <f>IF(C22="","",SUMPRODUCT(MAX(ISNUMBER(Settings!$B$17:$B$26)*(Settings!$B$17:$B$26&lt;=ROUND(C22*100,1))*Settings!$B$17:$B$26)))</f>
        <v/>
      </c>
      <c r="AD22">
        <f>IF(C22="","",ROUND(C22*1000,0)*1000+412)</f>
        <v/>
      </c>
      <c r="AE22">
        <f>IF(C22="",0,IF(ROUND(C22*100,1)&lt;N($AC$2),1,0))</f>
        <v/>
      </c>
    </row>
    <row r="23">
      <c r="A23" s="1" t="n"/>
      <c r="B23" s="31" t="inlineStr">
        <is>
          <t>Kira F.</t>
        </is>
      </c>
      <c r="C23" s="44">
        <f>IF(B23="","",IF((SUMPRODUCT(--ISNUMBER(H23:AA23),$H$52:$AA$52)+SUMPRODUCT(--(H23:AA23="M"),$H$52:$AA$52))=0,"",ROUND(SUMPRODUCT(H23:AA23,$H$53:$AA$53)/(SUMPRODUCT(--ISNUMBER(H23:AA23),$H$52:$AA$52)+SUMPRODUCT(--(H23:AA23="M"),$H$52:$AA$52))*100,1)/100))</f>
        <v/>
      </c>
      <c r="D23" s="34">
        <f>IF(C23="","",IFERROR(INDEX(Settings!$C$17:$C$26,MATCH(AC23,Settings!$B$17:$B$26,0)),""))</f>
        <v/>
      </c>
      <c r="E23" s="16">
        <f>IF(B23="","",COUNTIF(H23:AA23,"M"))</f>
        <v/>
      </c>
      <c r="F23" s="16">
        <f>IF(B23="","",COUNTIFS(Absences!$C$6:$C$405,Settings!$C$12,Absences!$D$6:$D$405,B23,Absences!$E$6:$E$405,"Absent"))</f>
        <v/>
      </c>
      <c r="G23" s="16">
        <f>IF(B23="","",COUNTIFS(Absences!$C$6:$C$405,Settings!$C$12,Absences!$D$6:$D$405,B23,Absences!$E$6:$E$405,"Late"))</f>
        <v/>
      </c>
      <c r="H23" s="33" t="n">
        <v>8</v>
      </c>
      <c r="I23" s="33" t="n">
        <v>16</v>
      </c>
      <c r="J23" s="33" t="n">
        <v>29</v>
      </c>
      <c r="K23" s="33" t="n">
        <v>47</v>
      </c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1" t="n"/>
      <c r="AC23">
        <f>IF(C23="","",SUMPRODUCT(MAX(ISNUMBER(Settings!$B$17:$B$26)*(Settings!$B$17:$B$26&lt;=ROUND(C23*100,1))*Settings!$B$17:$B$26)))</f>
        <v/>
      </c>
      <c r="AD23">
        <f>IF(C23="","",ROUND(C23*1000,0)*1000+413)</f>
        <v/>
      </c>
      <c r="AE23">
        <f>IF(C23="",0,IF(ROUND(C23*100,1)&lt;N($AC$2),1,0))</f>
        <v/>
      </c>
    </row>
    <row r="24">
      <c r="A24" s="1" t="n"/>
      <c r="B24" s="31" t="inlineStr">
        <is>
          <t>Kofi F.</t>
        </is>
      </c>
      <c r="C24" s="44">
        <f>IF(B24="","",IF((SUMPRODUCT(--ISNUMBER(H24:AA24),$H$52:$AA$52)+SUMPRODUCT(--(H24:AA24="M"),$H$52:$AA$52))=0,"",ROUND(SUMPRODUCT(H24:AA24,$H$53:$AA$53)/(SUMPRODUCT(--ISNUMBER(H24:AA24),$H$52:$AA$52)+SUMPRODUCT(--(H24:AA24="M"),$H$52:$AA$52))*100,1)/100))</f>
        <v/>
      </c>
      <c r="D24" s="34">
        <f>IF(C24="","",IFERROR(INDEX(Settings!$C$17:$C$26,MATCH(AC24,Settings!$B$17:$B$26,0)),""))</f>
        <v/>
      </c>
      <c r="E24" s="16">
        <f>IF(B24="","",COUNTIF(H24:AA24,"M"))</f>
        <v/>
      </c>
      <c r="F24" s="16">
        <f>IF(B24="","",COUNTIFS(Absences!$C$6:$C$405,Settings!$C$12,Absences!$D$6:$D$405,B24,Absences!$E$6:$E$405,"Absent"))</f>
        <v/>
      </c>
      <c r="G24" s="16">
        <f>IF(B24="","",COUNTIFS(Absences!$C$6:$C$405,Settings!$C$12,Absences!$D$6:$D$405,B24,Absences!$E$6:$E$405,"Late"))</f>
        <v/>
      </c>
      <c r="H24" s="33" t="n">
        <v>10</v>
      </c>
      <c r="I24" s="33" t="n">
        <v>19</v>
      </c>
      <c r="J24" s="33" t="n">
        <v>36</v>
      </c>
      <c r="K24" s="33" t="n">
        <v>71</v>
      </c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1" t="n"/>
      <c r="AC24">
        <f>IF(C24="","",SUMPRODUCT(MAX(ISNUMBER(Settings!$B$17:$B$26)*(Settings!$B$17:$B$26&lt;=ROUND(C24*100,1))*Settings!$B$17:$B$26)))</f>
        <v/>
      </c>
      <c r="AD24">
        <f>IF(C24="","",ROUND(C24*1000,0)*1000+414)</f>
        <v/>
      </c>
      <c r="AE24">
        <f>IF(C24="",0,IF(ROUND(C24*100,1)&lt;N($AC$2),1,0))</f>
        <v/>
      </c>
    </row>
    <row r="25">
      <c r="A25" s="1" t="n"/>
      <c r="B25" s="31" t="inlineStr">
        <is>
          <t>Farah H.</t>
        </is>
      </c>
      <c r="C25" s="44">
        <f>IF(B25="","",IF((SUMPRODUCT(--ISNUMBER(H25:AA25),$H$52:$AA$52)+SUMPRODUCT(--(H25:AA25="M"),$H$52:$AA$52))=0,"",ROUND(SUMPRODUCT(H25:AA25,$H$53:$AA$53)/(SUMPRODUCT(--ISNUMBER(H25:AA25),$H$52:$AA$52)+SUMPRODUCT(--(H25:AA25="M"),$H$52:$AA$52))*100,1)/100))</f>
        <v/>
      </c>
      <c r="D25" s="34">
        <f>IF(C25="","",IFERROR(INDEX(Settings!$C$17:$C$26,MATCH(AC25,Settings!$B$17:$B$26,0)),""))</f>
        <v/>
      </c>
      <c r="E25" s="16">
        <f>IF(B25="","",COUNTIF(H25:AA25,"M"))</f>
        <v/>
      </c>
      <c r="F25" s="16">
        <f>IF(B25="","",COUNTIFS(Absences!$C$6:$C$405,Settings!$C$12,Absences!$D$6:$D$405,B25,Absences!$E$6:$E$405,"Absent"))</f>
        <v/>
      </c>
      <c r="G25" s="16">
        <f>IF(B25="","",COUNTIFS(Absences!$C$6:$C$405,Settings!$C$12,Absences!$D$6:$D$405,B25,Absences!$E$6:$E$405,"Late"))</f>
        <v/>
      </c>
      <c r="H25" s="33" t="inlineStr">
        <is>
          <t>M</t>
        </is>
      </c>
      <c r="I25" s="33" t="n">
        <v>15</v>
      </c>
      <c r="J25" s="33" t="n">
        <v>36</v>
      </c>
      <c r="K25" s="33" t="n">
        <v>67</v>
      </c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1" t="n"/>
      <c r="AC25">
        <f>IF(C25="","",SUMPRODUCT(MAX(ISNUMBER(Settings!$B$17:$B$26)*(Settings!$B$17:$B$26&lt;=ROUND(C25*100,1))*Settings!$B$17:$B$26)))</f>
        <v/>
      </c>
      <c r="AD25">
        <f>IF(C25="","",ROUND(C25*1000,0)*1000+415)</f>
        <v/>
      </c>
      <c r="AE25">
        <f>IF(C25="",0,IF(ROUND(C25*100,1)&lt;N($AC$2),1,0))</f>
        <v/>
      </c>
    </row>
    <row r="26">
      <c r="A26" s="1" t="n"/>
      <c r="B26" s="31" t="inlineStr">
        <is>
          <t>Sami L.</t>
        </is>
      </c>
      <c r="C26" s="44">
        <f>IF(B26="","",IF((SUMPRODUCT(--ISNUMBER(H26:AA26),$H$52:$AA$52)+SUMPRODUCT(--(H26:AA26="M"),$H$52:$AA$52))=0,"",ROUND(SUMPRODUCT(H26:AA26,$H$53:$AA$53)/(SUMPRODUCT(--ISNUMBER(H26:AA26),$H$52:$AA$52)+SUMPRODUCT(--(H26:AA26="M"),$H$52:$AA$52))*100,1)/100))</f>
        <v/>
      </c>
      <c r="D26" s="34">
        <f>IF(C26="","",IFERROR(INDEX(Settings!$C$17:$C$26,MATCH(AC26,Settings!$B$17:$B$26,0)),""))</f>
        <v/>
      </c>
      <c r="E26" s="16">
        <f>IF(B26="","",COUNTIF(H26:AA26,"M"))</f>
        <v/>
      </c>
      <c r="F26" s="16">
        <f>IF(B26="","",COUNTIFS(Absences!$C$6:$C$405,Settings!$C$12,Absences!$D$6:$D$405,B26,Absences!$E$6:$E$405,"Absent"))</f>
        <v/>
      </c>
      <c r="G26" s="16">
        <f>IF(B26="","",COUNTIFS(Absences!$C$6:$C$405,Settings!$C$12,Absences!$D$6:$D$405,B26,Absences!$E$6:$E$405,"Late"))</f>
        <v/>
      </c>
      <c r="H26" s="33" t="n">
        <v>7</v>
      </c>
      <c r="I26" s="33" t="n">
        <v>13</v>
      </c>
      <c r="J26" s="33" t="n">
        <v>23</v>
      </c>
      <c r="K26" s="33" t="n">
        <v>49</v>
      </c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1" t="n"/>
      <c r="AC26">
        <f>IF(C26="","",SUMPRODUCT(MAX(ISNUMBER(Settings!$B$17:$B$26)*(Settings!$B$17:$B$26&lt;=ROUND(C26*100,1))*Settings!$B$17:$B$26)))</f>
        <v/>
      </c>
      <c r="AD26">
        <f>IF(C26="","",ROUND(C26*1000,0)*1000+416)</f>
        <v/>
      </c>
      <c r="AE26">
        <f>IF(C26="",0,IF(ROUND(C26*100,1)&lt;N($AC$2),1,0))</f>
        <v/>
      </c>
    </row>
    <row r="27">
      <c r="A27" s="1" t="n"/>
      <c r="B27" s="31" t="inlineStr">
        <is>
          <t>Umar C.</t>
        </is>
      </c>
      <c r="C27" s="44">
        <f>IF(B27="","",IF((SUMPRODUCT(--ISNUMBER(H27:AA27),$H$52:$AA$52)+SUMPRODUCT(--(H27:AA27="M"),$H$52:$AA$52))=0,"",ROUND(SUMPRODUCT(H27:AA27,$H$53:$AA$53)/(SUMPRODUCT(--ISNUMBER(H27:AA27),$H$52:$AA$52)+SUMPRODUCT(--(H27:AA27="M"),$H$52:$AA$52))*100,1)/100))</f>
        <v/>
      </c>
      <c r="D27" s="34">
        <f>IF(C27="","",IFERROR(INDEX(Settings!$C$17:$C$26,MATCH(AC27,Settings!$B$17:$B$26,0)),""))</f>
        <v/>
      </c>
      <c r="E27" s="16">
        <f>IF(B27="","",COUNTIF(H27:AA27,"M"))</f>
        <v/>
      </c>
      <c r="F27" s="16">
        <f>IF(B27="","",COUNTIFS(Absences!$C$6:$C$405,Settings!$C$12,Absences!$D$6:$D$405,B27,Absences!$E$6:$E$405,"Absent"))</f>
        <v/>
      </c>
      <c r="G27" s="16">
        <f>IF(B27="","",COUNTIFS(Absences!$C$6:$C$405,Settings!$C$12,Absences!$D$6:$D$405,B27,Absences!$E$6:$E$405,"Late"))</f>
        <v/>
      </c>
      <c r="H27" s="33" t="n">
        <v>8</v>
      </c>
      <c r="I27" s="33" t="n">
        <v>19</v>
      </c>
      <c r="J27" s="33" t="n">
        <v>33</v>
      </c>
      <c r="K27" s="33" t="n">
        <v>75</v>
      </c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1" t="n"/>
      <c r="AC27">
        <f>IF(C27="","",SUMPRODUCT(MAX(ISNUMBER(Settings!$B$17:$B$26)*(Settings!$B$17:$B$26&lt;=ROUND(C27*100,1))*Settings!$B$17:$B$26)))</f>
        <v/>
      </c>
      <c r="AD27">
        <f>IF(C27="","",ROUND(C27*1000,0)*1000+417)</f>
        <v/>
      </c>
      <c r="AE27">
        <f>IF(C27="",0,IF(ROUND(C27*100,1)&lt;N($AC$2),1,0))</f>
        <v/>
      </c>
    </row>
    <row r="28">
      <c r="A28" s="1" t="n"/>
      <c r="B28" s="31" t="inlineStr">
        <is>
          <t>Ben F.</t>
        </is>
      </c>
      <c r="C28" s="44">
        <f>IF(B28="","",IF((SUMPRODUCT(--ISNUMBER(H28:AA28),$H$52:$AA$52)+SUMPRODUCT(--(H28:AA28="M"),$H$52:$AA$52))=0,"",ROUND(SUMPRODUCT(H28:AA28,$H$53:$AA$53)/(SUMPRODUCT(--ISNUMBER(H28:AA28),$H$52:$AA$52)+SUMPRODUCT(--(H28:AA28="M"),$H$52:$AA$52))*100,1)/100))</f>
        <v/>
      </c>
      <c r="D28" s="34">
        <f>IF(C28="","",IFERROR(INDEX(Settings!$C$17:$C$26,MATCH(AC28,Settings!$B$17:$B$26,0)),""))</f>
        <v/>
      </c>
      <c r="E28" s="16">
        <f>IF(B28="","",COUNTIF(H28:AA28,"M"))</f>
        <v/>
      </c>
      <c r="F28" s="16">
        <f>IF(B28="","",COUNTIFS(Absences!$C$6:$C$405,Settings!$C$12,Absences!$D$6:$D$405,B28,Absences!$E$6:$E$405,"Absent"))</f>
        <v/>
      </c>
      <c r="G28" s="16">
        <f>IF(B28="","",COUNTIFS(Absences!$C$6:$C$405,Settings!$C$12,Absences!$D$6:$D$405,B28,Absences!$E$6:$E$405,"Late"))</f>
        <v/>
      </c>
      <c r="H28" s="33" t="n">
        <v>8</v>
      </c>
      <c r="I28" s="33" t="n">
        <v>14</v>
      </c>
      <c r="J28" s="33" t="n">
        <v>28</v>
      </c>
      <c r="K28" s="33" t="n">
        <v>72</v>
      </c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1" t="n"/>
      <c r="AC28">
        <f>IF(C28="","",SUMPRODUCT(MAX(ISNUMBER(Settings!$B$17:$B$26)*(Settings!$B$17:$B$26&lt;=ROUND(C28*100,1))*Settings!$B$17:$B$26)))</f>
        <v/>
      </c>
      <c r="AD28">
        <f>IF(C28="","",ROUND(C28*1000,0)*1000+418)</f>
        <v/>
      </c>
      <c r="AE28">
        <f>IF(C28="",0,IF(ROUND(C28*100,1)&lt;N($AC$2),1,0))</f>
        <v/>
      </c>
    </row>
    <row r="29">
      <c r="A29" s="1" t="n"/>
      <c r="B29" s="31" t="n"/>
      <c r="C29" s="44">
        <f>IF(B29="","",IF((SUMPRODUCT(--ISNUMBER(H29:AA29),$H$52:$AA$52)+SUMPRODUCT(--(H29:AA29="M"),$H$52:$AA$52))=0,"",ROUND(SUMPRODUCT(H29:AA29,$H$53:$AA$53)/(SUMPRODUCT(--ISNUMBER(H29:AA29),$H$52:$AA$52)+SUMPRODUCT(--(H29:AA29="M"),$H$52:$AA$52))*100,1)/100))</f>
        <v/>
      </c>
      <c r="D29" s="34">
        <f>IF(C29="","",IFERROR(INDEX(Settings!$C$17:$C$26,MATCH(AC29,Settings!$B$17:$B$26,0)),""))</f>
        <v/>
      </c>
      <c r="E29" s="16">
        <f>IF(B29="","",COUNTIF(H29:AA29,"M"))</f>
        <v/>
      </c>
      <c r="F29" s="16">
        <f>IF(B29="","",COUNTIFS(Absences!$C$6:$C$405,Settings!$C$12,Absences!$D$6:$D$405,B29,Absences!$E$6:$E$405,"Absent"))</f>
        <v/>
      </c>
      <c r="G29" s="16">
        <f>IF(B29="","",COUNTIFS(Absences!$C$6:$C$405,Settings!$C$12,Absences!$D$6:$D$405,B29,Absences!$E$6:$E$405,"Late"))</f>
        <v/>
      </c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1" t="n"/>
      <c r="AC29">
        <f>IF(C29="","",SUMPRODUCT(MAX(ISNUMBER(Settings!$B$17:$B$26)*(Settings!$B$17:$B$26&lt;=ROUND(C29*100,1))*Settings!$B$17:$B$26)))</f>
        <v/>
      </c>
      <c r="AD29">
        <f>IF(C29="","",ROUND(C29*1000,0)*1000+419)</f>
        <v/>
      </c>
      <c r="AE29">
        <f>IF(C29="",0,IF(ROUND(C29*100,1)&lt;N($AC$2),1,0))</f>
        <v/>
      </c>
    </row>
    <row r="30">
      <c r="A30" s="1" t="n"/>
      <c r="B30" s="31" t="n"/>
      <c r="C30" s="44">
        <f>IF(B30="","",IF((SUMPRODUCT(--ISNUMBER(H30:AA30),$H$52:$AA$52)+SUMPRODUCT(--(H30:AA30="M"),$H$52:$AA$52))=0,"",ROUND(SUMPRODUCT(H30:AA30,$H$53:$AA$53)/(SUMPRODUCT(--ISNUMBER(H30:AA30),$H$52:$AA$52)+SUMPRODUCT(--(H30:AA30="M"),$H$52:$AA$52))*100,1)/100))</f>
        <v/>
      </c>
      <c r="D30" s="34">
        <f>IF(C30="","",IFERROR(INDEX(Settings!$C$17:$C$26,MATCH(AC30,Settings!$B$17:$B$26,0)),""))</f>
        <v/>
      </c>
      <c r="E30" s="16">
        <f>IF(B30="","",COUNTIF(H30:AA30,"M"))</f>
        <v/>
      </c>
      <c r="F30" s="16">
        <f>IF(B30="","",COUNTIFS(Absences!$C$6:$C$405,Settings!$C$12,Absences!$D$6:$D$405,B30,Absences!$E$6:$E$405,"Absent"))</f>
        <v/>
      </c>
      <c r="G30" s="16">
        <f>IF(B30="","",COUNTIFS(Absences!$C$6:$C$405,Settings!$C$12,Absences!$D$6:$D$405,B30,Absences!$E$6:$E$405,"Late"))</f>
        <v/>
      </c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1" t="n"/>
      <c r="AC30">
        <f>IF(C30="","",SUMPRODUCT(MAX(ISNUMBER(Settings!$B$17:$B$26)*(Settings!$B$17:$B$26&lt;=ROUND(C30*100,1))*Settings!$B$17:$B$26)))</f>
        <v/>
      </c>
      <c r="AD30">
        <f>IF(C30="","",ROUND(C30*1000,0)*1000+420)</f>
        <v/>
      </c>
      <c r="AE30">
        <f>IF(C30="",0,IF(ROUND(C30*100,1)&lt;N($AC$2),1,0))</f>
        <v/>
      </c>
    </row>
    <row r="31">
      <c r="A31" s="1" t="n"/>
      <c r="B31" s="31" t="n"/>
      <c r="C31" s="44">
        <f>IF(B31="","",IF((SUMPRODUCT(--ISNUMBER(H31:AA31),$H$52:$AA$52)+SUMPRODUCT(--(H31:AA31="M"),$H$52:$AA$52))=0,"",ROUND(SUMPRODUCT(H31:AA31,$H$53:$AA$53)/(SUMPRODUCT(--ISNUMBER(H31:AA31),$H$52:$AA$52)+SUMPRODUCT(--(H31:AA31="M"),$H$52:$AA$52))*100,1)/100))</f>
        <v/>
      </c>
      <c r="D31" s="34">
        <f>IF(C31="","",IFERROR(INDEX(Settings!$C$17:$C$26,MATCH(AC31,Settings!$B$17:$B$26,0)),""))</f>
        <v/>
      </c>
      <c r="E31" s="16">
        <f>IF(B31="","",COUNTIF(H31:AA31,"M"))</f>
        <v/>
      </c>
      <c r="F31" s="16">
        <f>IF(B31="","",COUNTIFS(Absences!$C$6:$C$405,Settings!$C$12,Absences!$D$6:$D$405,B31,Absences!$E$6:$E$405,"Absent"))</f>
        <v/>
      </c>
      <c r="G31" s="16">
        <f>IF(B31="","",COUNTIFS(Absences!$C$6:$C$405,Settings!$C$12,Absences!$D$6:$D$405,B31,Absences!$E$6:$E$405,"Late"))</f>
        <v/>
      </c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1" t="n"/>
      <c r="AC31">
        <f>IF(C31="","",SUMPRODUCT(MAX(ISNUMBER(Settings!$B$17:$B$26)*(Settings!$B$17:$B$26&lt;=ROUND(C31*100,1))*Settings!$B$17:$B$26)))</f>
        <v/>
      </c>
      <c r="AD31">
        <f>IF(C31="","",ROUND(C31*1000,0)*1000+421)</f>
        <v/>
      </c>
      <c r="AE31">
        <f>IF(C31="",0,IF(ROUND(C31*100,1)&lt;N($AC$2),1,0))</f>
        <v/>
      </c>
    </row>
    <row r="32">
      <c r="A32" s="1" t="n"/>
      <c r="B32" s="31" t="n"/>
      <c r="C32" s="44">
        <f>IF(B32="","",IF((SUMPRODUCT(--ISNUMBER(H32:AA32),$H$52:$AA$52)+SUMPRODUCT(--(H32:AA32="M"),$H$52:$AA$52))=0,"",ROUND(SUMPRODUCT(H32:AA32,$H$53:$AA$53)/(SUMPRODUCT(--ISNUMBER(H32:AA32),$H$52:$AA$52)+SUMPRODUCT(--(H32:AA32="M"),$H$52:$AA$52))*100,1)/100))</f>
        <v/>
      </c>
      <c r="D32" s="34">
        <f>IF(C32="","",IFERROR(INDEX(Settings!$C$17:$C$26,MATCH(AC32,Settings!$B$17:$B$26,0)),""))</f>
        <v/>
      </c>
      <c r="E32" s="16">
        <f>IF(B32="","",COUNTIF(H32:AA32,"M"))</f>
        <v/>
      </c>
      <c r="F32" s="16">
        <f>IF(B32="","",COUNTIFS(Absences!$C$6:$C$405,Settings!$C$12,Absences!$D$6:$D$405,B32,Absences!$E$6:$E$405,"Absent"))</f>
        <v/>
      </c>
      <c r="G32" s="16">
        <f>IF(B32="","",COUNTIFS(Absences!$C$6:$C$405,Settings!$C$12,Absences!$D$6:$D$405,B32,Absences!$E$6:$E$405,"Late"))</f>
        <v/>
      </c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1" t="n"/>
      <c r="AC32">
        <f>IF(C32="","",SUMPRODUCT(MAX(ISNUMBER(Settings!$B$17:$B$26)*(Settings!$B$17:$B$26&lt;=ROUND(C32*100,1))*Settings!$B$17:$B$26)))</f>
        <v/>
      </c>
      <c r="AD32">
        <f>IF(C32="","",ROUND(C32*1000,0)*1000+422)</f>
        <v/>
      </c>
      <c r="AE32">
        <f>IF(C32="",0,IF(ROUND(C32*100,1)&lt;N($AC$2),1,0))</f>
        <v/>
      </c>
    </row>
    <row r="33">
      <c r="A33" s="1" t="n"/>
      <c r="B33" s="31" t="n"/>
      <c r="C33" s="44">
        <f>IF(B33="","",IF((SUMPRODUCT(--ISNUMBER(H33:AA33),$H$52:$AA$52)+SUMPRODUCT(--(H33:AA33="M"),$H$52:$AA$52))=0,"",ROUND(SUMPRODUCT(H33:AA33,$H$53:$AA$53)/(SUMPRODUCT(--ISNUMBER(H33:AA33),$H$52:$AA$52)+SUMPRODUCT(--(H33:AA33="M"),$H$52:$AA$52))*100,1)/100))</f>
        <v/>
      </c>
      <c r="D33" s="34">
        <f>IF(C33="","",IFERROR(INDEX(Settings!$C$17:$C$26,MATCH(AC33,Settings!$B$17:$B$26,0)),""))</f>
        <v/>
      </c>
      <c r="E33" s="16">
        <f>IF(B33="","",COUNTIF(H33:AA33,"M"))</f>
        <v/>
      </c>
      <c r="F33" s="16">
        <f>IF(B33="","",COUNTIFS(Absences!$C$6:$C$405,Settings!$C$12,Absences!$D$6:$D$405,B33,Absences!$E$6:$E$405,"Absent"))</f>
        <v/>
      </c>
      <c r="G33" s="16">
        <f>IF(B33="","",COUNTIFS(Absences!$C$6:$C$405,Settings!$C$12,Absences!$D$6:$D$405,B33,Absences!$E$6:$E$405,"Late"))</f>
        <v/>
      </c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1" t="n"/>
      <c r="AC33">
        <f>IF(C33="","",SUMPRODUCT(MAX(ISNUMBER(Settings!$B$17:$B$26)*(Settings!$B$17:$B$26&lt;=ROUND(C33*100,1))*Settings!$B$17:$B$26)))</f>
        <v/>
      </c>
      <c r="AD33">
        <f>IF(C33="","",ROUND(C33*1000,0)*1000+423)</f>
        <v/>
      </c>
      <c r="AE33">
        <f>IF(C33="",0,IF(ROUND(C33*100,1)&lt;N($AC$2),1,0))</f>
        <v/>
      </c>
    </row>
    <row r="34">
      <c r="A34" s="1" t="n"/>
      <c r="B34" s="31" t="n"/>
      <c r="C34" s="44">
        <f>IF(B34="","",IF((SUMPRODUCT(--ISNUMBER(H34:AA34),$H$52:$AA$52)+SUMPRODUCT(--(H34:AA34="M"),$H$52:$AA$52))=0,"",ROUND(SUMPRODUCT(H34:AA34,$H$53:$AA$53)/(SUMPRODUCT(--ISNUMBER(H34:AA34),$H$52:$AA$52)+SUMPRODUCT(--(H34:AA34="M"),$H$52:$AA$52))*100,1)/100))</f>
        <v/>
      </c>
      <c r="D34" s="34">
        <f>IF(C34="","",IFERROR(INDEX(Settings!$C$17:$C$26,MATCH(AC34,Settings!$B$17:$B$26,0)),""))</f>
        <v/>
      </c>
      <c r="E34" s="16">
        <f>IF(B34="","",COUNTIF(H34:AA34,"M"))</f>
        <v/>
      </c>
      <c r="F34" s="16">
        <f>IF(B34="","",COUNTIFS(Absences!$C$6:$C$405,Settings!$C$12,Absences!$D$6:$D$405,B34,Absences!$E$6:$E$405,"Absent"))</f>
        <v/>
      </c>
      <c r="G34" s="16">
        <f>IF(B34="","",COUNTIFS(Absences!$C$6:$C$405,Settings!$C$12,Absences!$D$6:$D$405,B34,Absences!$E$6:$E$405,"Late"))</f>
        <v/>
      </c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1" t="n"/>
      <c r="AC34">
        <f>IF(C34="","",SUMPRODUCT(MAX(ISNUMBER(Settings!$B$17:$B$26)*(Settings!$B$17:$B$26&lt;=ROUND(C34*100,1))*Settings!$B$17:$B$26)))</f>
        <v/>
      </c>
      <c r="AD34">
        <f>IF(C34="","",ROUND(C34*1000,0)*1000+424)</f>
        <v/>
      </c>
      <c r="AE34">
        <f>IF(C34="",0,IF(ROUND(C34*100,1)&lt;N($AC$2),1,0))</f>
        <v/>
      </c>
    </row>
    <row r="35">
      <c r="A35" s="1" t="n"/>
      <c r="B35" s="31" t="n"/>
      <c r="C35" s="44">
        <f>IF(B35="","",IF((SUMPRODUCT(--ISNUMBER(H35:AA35),$H$52:$AA$52)+SUMPRODUCT(--(H35:AA35="M"),$H$52:$AA$52))=0,"",ROUND(SUMPRODUCT(H35:AA35,$H$53:$AA$53)/(SUMPRODUCT(--ISNUMBER(H35:AA35),$H$52:$AA$52)+SUMPRODUCT(--(H35:AA35="M"),$H$52:$AA$52))*100,1)/100))</f>
        <v/>
      </c>
      <c r="D35" s="34">
        <f>IF(C35="","",IFERROR(INDEX(Settings!$C$17:$C$26,MATCH(AC35,Settings!$B$17:$B$26,0)),""))</f>
        <v/>
      </c>
      <c r="E35" s="16">
        <f>IF(B35="","",COUNTIF(H35:AA35,"M"))</f>
        <v/>
      </c>
      <c r="F35" s="16">
        <f>IF(B35="","",COUNTIFS(Absences!$C$6:$C$405,Settings!$C$12,Absences!$D$6:$D$405,B35,Absences!$E$6:$E$405,"Absent"))</f>
        <v/>
      </c>
      <c r="G35" s="16">
        <f>IF(B35="","",COUNTIFS(Absences!$C$6:$C$405,Settings!$C$12,Absences!$D$6:$D$405,B35,Absences!$E$6:$E$405,"Late"))</f>
        <v/>
      </c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1" t="n"/>
      <c r="AC35">
        <f>IF(C35="","",SUMPRODUCT(MAX(ISNUMBER(Settings!$B$17:$B$26)*(Settings!$B$17:$B$26&lt;=ROUND(C35*100,1))*Settings!$B$17:$B$26)))</f>
        <v/>
      </c>
      <c r="AD35">
        <f>IF(C35="","",ROUND(C35*1000,0)*1000+425)</f>
        <v/>
      </c>
      <c r="AE35">
        <f>IF(C35="",0,IF(ROUND(C35*100,1)&lt;N($AC$2),1,0))</f>
        <v/>
      </c>
    </row>
    <row r="36">
      <c r="A36" s="1" t="n"/>
      <c r="B36" s="31" t="n"/>
      <c r="C36" s="44">
        <f>IF(B36="","",IF((SUMPRODUCT(--ISNUMBER(H36:AA36),$H$52:$AA$52)+SUMPRODUCT(--(H36:AA36="M"),$H$52:$AA$52))=0,"",ROUND(SUMPRODUCT(H36:AA36,$H$53:$AA$53)/(SUMPRODUCT(--ISNUMBER(H36:AA36),$H$52:$AA$52)+SUMPRODUCT(--(H36:AA36="M"),$H$52:$AA$52))*100,1)/100))</f>
        <v/>
      </c>
      <c r="D36" s="34">
        <f>IF(C36="","",IFERROR(INDEX(Settings!$C$17:$C$26,MATCH(AC36,Settings!$B$17:$B$26,0)),""))</f>
        <v/>
      </c>
      <c r="E36" s="16">
        <f>IF(B36="","",COUNTIF(H36:AA36,"M"))</f>
        <v/>
      </c>
      <c r="F36" s="16">
        <f>IF(B36="","",COUNTIFS(Absences!$C$6:$C$405,Settings!$C$12,Absences!$D$6:$D$405,B36,Absences!$E$6:$E$405,"Absent"))</f>
        <v/>
      </c>
      <c r="G36" s="16">
        <f>IF(B36="","",COUNTIFS(Absences!$C$6:$C$405,Settings!$C$12,Absences!$D$6:$D$405,B36,Absences!$E$6:$E$405,"Late"))</f>
        <v/>
      </c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1" t="n"/>
      <c r="AC36">
        <f>IF(C36="","",SUMPRODUCT(MAX(ISNUMBER(Settings!$B$17:$B$26)*(Settings!$B$17:$B$26&lt;=ROUND(C36*100,1))*Settings!$B$17:$B$26)))</f>
        <v/>
      </c>
      <c r="AD36">
        <f>IF(C36="","",ROUND(C36*1000,0)*1000+426)</f>
        <v/>
      </c>
      <c r="AE36">
        <f>IF(C36="",0,IF(ROUND(C36*100,1)&lt;N($AC$2),1,0))</f>
        <v/>
      </c>
    </row>
    <row r="37">
      <c r="A37" s="1" t="n"/>
      <c r="B37" s="31" t="n"/>
      <c r="C37" s="44">
        <f>IF(B37="","",IF((SUMPRODUCT(--ISNUMBER(H37:AA37),$H$52:$AA$52)+SUMPRODUCT(--(H37:AA37="M"),$H$52:$AA$52))=0,"",ROUND(SUMPRODUCT(H37:AA37,$H$53:$AA$53)/(SUMPRODUCT(--ISNUMBER(H37:AA37),$H$52:$AA$52)+SUMPRODUCT(--(H37:AA37="M"),$H$52:$AA$52))*100,1)/100))</f>
        <v/>
      </c>
      <c r="D37" s="34">
        <f>IF(C37="","",IFERROR(INDEX(Settings!$C$17:$C$26,MATCH(AC37,Settings!$B$17:$B$26,0)),""))</f>
        <v/>
      </c>
      <c r="E37" s="16">
        <f>IF(B37="","",COUNTIF(H37:AA37,"M"))</f>
        <v/>
      </c>
      <c r="F37" s="16">
        <f>IF(B37="","",COUNTIFS(Absences!$C$6:$C$405,Settings!$C$12,Absences!$D$6:$D$405,B37,Absences!$E$6:$E$405,"Absent"))</f>
        <v/>
      </c>
      <c r="G37" s="16">
        <f>IF(B37="","",COUNTIFS(Absences!$C$6:$C$405,Settings!$C$12,Absences!$D$6:$D$405,B37,Absences!$E$6:$E$405,"Late"))</f>
        <v/>
      </c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1" t="n"/>
      <c r="AC37">
        <f>IF(C37="","",SUMPRODUCT(MAX(ISNUMBER(Settings!$B$17:$B$26)*(Settings!$B$17:$B$26&lt;=ROUND(C37*100,1))*Settings!$B$17:$B$26)))</f>
        <v/>
      </c>
      <c r="AD37">
        <f>IF(C37="","",ROUND(C37*1000,0)*1000+427)</f>
        <v/>
      </c>
      <c r="AE37">
        <f>IF(C37="",0,IF(ROUND(C37*100,1)&lt;N($AC$2),1,0))</f>
        <v/>
      </c>
    </row>
    <row r="38">
      <c r="A38" s="1" t="n"/>
      <c r="B38" s="31" t="n"/>
      <c r="C38" s="44">
        <f>IF(B38="","",IF((SUMPRODUCT(--ISNUMBER(H38:AA38),$H$52:$AA$52)+SUMPRODUCT(--(H38:AA38="M"),$H$52:$AA$52))=0,"",ROUND(SUMPRODUCT(H38:AA38,$H$53:$AA$53)/(SUMPRODUCT(--ISNUMBER(H38:AA38),$H$52:$AA$52)+SUMPRODUCT(--(H38:AA38="M"),$H$52:$AA$52))*100,1)/100))</f>
        <v/>
      </c>
      <c r="D38" s="34">
        <f>IF(C38="","",IFERROR(INDEX(Settings!$C$17:$C$26,MATCH(AC38,Settings!$B$17:$B$26,0)),""))</f>
        <v/>
      </c>
      <c r="E38" s="16">
        <f>IF(B38="","",COUNTIF(H38:AA38,"M"))</f>
        <v/>
      </c>
      <c r="F38" s="16">
        <f>IF(B38="","",COUNTIFS(Absences!$C$6:$C$405,Settings!$C$12,Absences!$D$6:$D$405,B38,Absences!$E$6:$E$405,"Absent"))</f>
        <v/>
      </c>
      <c r="G38" s="16">
        <f>IF(B38="","",COUNTIFS(Absences!$C$6:$C$405,Settings!$C$12,Absences!$D$6:$D$405,B38,Absences!$E$6:$E$405,"Late"))</f>
        <v/>
      </c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1" t="n"/>
      <c r="AC38">
        <f>IF(C38="","",SUMPRODUCT(MAX(ISNUMBER(Settings!$B$17:$B$26)*(Settings!$B$17:$B$26&lt;=ROUND(C38*100,1))*Settings!$B$17:$B$26)))</f>
        <v/>
      </c>
      <c r="AD38">
        <f>IF(C38="","",ROUND(C38*1000,0)*1000+428)</f>
        <v/>
      </c>
      <c r="AE38">
        <f>IF(C38="",0,IF(ROUND(C38*100,1)&lt;N($AC$2),1,0))</f>
        <v/>
      </c>
    </row>
    <row r="39">
      <c r="A39" s="1" t="n"/>
      <c r="B39" s="31" t="n"/>
      <c r="C39" s="44">
        <f>IF(B39="","",IF((SUMPRODUCT(--ISNUMBER(H39:AA39),$H$52:$AA$52)+SUMPRODUCT(--(H39:AA39="M"),$H$52:$AA$52))=0,"",ROUND(SUMPRODUCT(H39:AA39,$H$53:$AA$53)/(SUMPRODUCT(--ISNUMBER(H39:AA39),$H$52:$AA$52)+SUMPRODUCT(--(H39:AA39="M"),$H$52:$AA$52))*100,1)/100))</f>
        <v/>
      </c>
      <c r="D39" s="34">
        <f>IF(C39="","",IFERROR(INDEX(Settings!$C$17:$C$26,MATCH(AC39,Settings!$B$17:$B$26,0)),""))</f>
        <v/>
      </c>
      <c r="E39" s="16">
        <f>IF(B39="","",COUNTIF(H39:AA39,"M"))</f>
        <v/>
      </c>
      <c r="F39" s="16">
        <f>IF(B39="","",COUNTIFS(Absences!$C$6:$C$405,Settings!$C$12,Absences!$D$6:$D$405,B39,Absences!$E$6:$E$405,"Absent"))</f>
        <v/>
      </c>
      <c r="G39" s="16">
        <f>IF(B39="","",COUNTIFS(Absences!$C$6:$C$405,Settings!$C$12,Absences!$D$6:$D$405,B39,Absences!$E$6:$E$405,"Late"))</f>
        <v/>
      </c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1" t="n"/>
      <c r="AC39">
        <f>IF(C39="","",SUMPRODUCT(MAX(ISNUMBER(Settings!$B$17:$B$26)*(Settings!$B$17:$B$26&lt;=ROUND(C39*100,1))*Settings!$B$17:$B$26)))</f>
        <v/>
      </c>
      <c r="AD39">
        <f>IF(C39="","",ROUND(C39*1000,0)*1000+429)</f>
        <v/>
      </c>
      <c r="AE39">
        <f>IF(C39="",0,IF(ROUND(C39*100,1)&lt;N($AC$2),1,0))</f>
        <v/>
      </c>
    </row>
    <row r="40">
      <c r="A40" s="1" t="n"/>
      <c r="B40" s="31" t="n"/>
      <c r="C40" s="44">
        <f>IF(B40="","",IF((SUMPRODUCT(--ISNUMBER(H40:AA40),$H$52:$AA$52)+SUMPRODUCT(--(H40:AA40="M"),$H$52:$AA$52))=0,"",ROUND(SUMPRODUCT(H40:AA40,$H$53:$AA$53)/(SUMPRODUCT(--ISNUMBER(H40:AA40),$H$52:$AA$52)+SUMPRODUCT(--(H40:AA40="M"),$H$52:$AA$52))*100,1)/100))</f>
        <v/>
      </c>
      <c r="D40" s="34">
        <f>IF(C40="","",IFERROR(INDEX(Settings!$C$17:$C$26,MATCH(AC40,Settings!$B$17:$B$26,0)),""))</f>
        <v/>
      </c>
      <c r="E40" s="16">
        <f>IF(B40="","",COUNTIF(H40:AA40,"M"))</f>
        <v/>
      </c>
      <c r="F40" s="16">
        <f>IF(B40="","",COUNTIFS(Absences!$C$6:$C$405,Settings!$C$12,Absences!$D$6:$D$405,B40,Absences!$E$6:$E$405,"Absent"))</f>
        <v/>
      </c>
      <c r="G40" s="16">
        <f>IF(B40="","",COUNTIFS(Absences!$C$6:$C$405,Settings!$C$12,Absences!$D$6:$D$405,B40,Absences!$E$6:$E$405,"Late"))</f>
        <v/>
      </c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1" t="n"/>
      <c r="AC40">
        <f>IF(C40="","",SUMPRODUCT(MAX(ISNUMBER(Settings!$B$17:$B$26)*(Settings!$B$17:$B$26&lt;=ROUND(C40*100,1))*Settings!$B$17:$B$26)))</f>
        <v/>
      </c>
      <c r="AD40">
        <f>IF(C40="","",ROUND(C40*1000,0)*1000+430)</f>
        <v/>
      </c>
      <c r="AE40">
        <f>IF(C40="",0,IF(ROUND(C40*100,1)&lt;N($AC$2),1,0))</f>
        <v/>
      </c>
    </row>
    <row r="41">
      <c r="A41" s="1" t="n"/>
      <c r="B41" s="31" t="n"/>
      <c r="C41" s="44">
        <f>IF(B41="","",IF((SUMPRODUCT(--ISNUMBER(H41:AA41),$H$52:$AA$52)+SUMPRODUCT(--(H41:AA41="M"),$H$52:$AA$52))=0,"",ROUND(SUMPRODUCT(H41:AA41,$H$53:$AA$53)/(SUMPRODUCT(--ISNUMBER(H41:AA41),$H$52:$AA$52)+SUMPRODUCT(--(H41:AA41="M"),$H$52:$AA$52))*100,1)/100))</f>
        <v/>
      </c>
      <c r="D41" s="34">
        <f>IF(C41="","",IFERROR(INDEX(Settings!$C$17:$C$26,MATCH(AC41,Settings!$B$17:$B$26,0)),""))</f>
        <v/>
      </c>
      <c r="E41" s="16">
        <f>IF(B41="","",COUNTIF(H41:AA41,"M"))</f>
        <v/>
      </c>
      <c r="F41" s="16">
        <f>IF(B41="","",COUNTIFS(Absences!$C$6:$C$405,Settings!$C$12,Absences!$D$6:$D$405,B41,Absences!$E$6:$E$405,"Absent"))</f>
        <v/>
      </c>
      <c r="G41" s="16">
        <f>IF(B41="","",COUNTIFS(Absences!$C$6:$C$405,Settings!$C$12,Absences!$D$6:$D$405,B41,Absences!$E$6:$E$405,"Late"))</f>
        <v/>
      </c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1" t="n"/>
      <c r="AC41">
        <f>IF(C41="","",SUMPRODUCT(MAX(ISNUMBER(Settings!$B$17:$B$26)*(Settings!$B$17:$B$26&lt;=ROUND(C41*100,1))*Settings!$B$17:$B$26)))</f>
        <v/>
      </c>
      <c r="AD41">
        <f>IF(C41="","",ROUND(C41*1000,0)*1000+431)</f>
        <v/>
      </c>
      <c r="AE41">
        <f>IF(C41="",0,IF(ROUND(C41*100,1)&lt;N($AC$2),1,0))</f>
        <v/>
      </c>
    </row>
    <row r="42">
      <c r="A42" s="1" t="n"/>
      <c r="B42" s="31" t="n"/>
      <c r="C42" s="44">
        <f>IF(B42="","",IF((SUMPRODUCT(--ISNUMBER(H42:AA42),$H$52:$AA$52)+SUMPRODUCT(--(H42:AA42="M"),$H$52:$AA$52))=0,"",ROUND(SUMPRODUCT(H42:AA42,$H$53:$AA$53)/(SUMPRODUCT(--ISNUMBER(H42:AA42),$H$52:$AA$52)+SUMPRODUCT(--(H42:AA42="M"),$H$52:$AA$52))*100,1)/100))</f>
        <v/>
      </c>
      <c r="D42" s="34">
        <f>IF(C42="","",IFERROR(INDEX(Settings!$C$17:$C$26,MATCH(AC42,Settings!$B$17:$B$26,0)),""))</f>
        <v/>
      </c>
      <c r="E42" s="16">
        <f>IF(B42="","",COUNTIF(H42:AA42,"M"))</f>
        <v/>
      </c>
      <c r="F42" s="16">
        <f>IF(B42="","",COUNTIFS(Absences!$C$6:$C$405,Settings!$C$12,Absences!$D$6:$D$405,B42,Absences!$E$6:$E$405,"Absent"))</f>
        <v/>
      </c>
      <c r="G42" s="16">
        <f>IF(B42="","",COUNTIFS(Absences!$C$6:$C$405,Settings!$C$12,Absences!$D$6:$D$405,B42,Absences!$E$6:$E$405,"Late"))</f>
        <v/>
      </c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1" t="n"/>
      <c r="AC42">
        <f>IF(C42="","",SUMPRODUCT(MAX(ISNUMBER(Settings!$B$17:$B$26)*(Settings!$B$17:$B$26&lt;=ROUND(C42*100,1))*Settings!$B$17:$B$26)))</f>
        <v/>
      </c>
      <c r="AD42">
        <f>IF(C42="","",ROUND(C42*1000,0)*1000+432)</f>
        <v/>
      </c>
      <c r="AE42">
        <f>IF(C42="",0,IF(ROUND(C42*100,1)&lt;N($AC$2),1,0))</f>
        <v/>
      </c>
    </row>
    <row r="43">
      <c r="A43" s="1" t="n"/>
      <c r="B43" s="31" t="n"/>
      <c r="C43" s="44">
        <f>IF(B43="","",IF((SUMPRODUCT(--ISNUMBER(H43:AA43),$H$52:$AA$52)+SUMPRODUCT(--(H43:AA43="M"),$H$52:$AA$52))=0,"",ROUND(SUMPRODUCT(H43:AA43,$H$53:$AA$53)/(SUMPRODUCT(--ISNUMBER(H43:AA43),$H$52:$AA$52)+SUMPRODUCT(--(H43:AA43="M"),$H$52:$AA$52))*100,1)/100))</f>
        <v/>
      </c>
      <c r="D43" s="34">
        <f>IF(C43="","",IFERROR(INDEX(Settings!$C$17:$C$26,MATCH(AC43,Settings!$B$17:$B$26,0)),""))</f>
        <v/>
      </c>
      <c r="E43" s="16">
        <f>IF(B43="","",COUNTIF(H43:AA43,"M"))</f>
        <v/>
      </c>
      <c r="F43" s="16">
        <f>IF(B43="","",COUNTIFS(Absences!$C$6:$C$405,Settings!$C$12,Absences!$D$6:$D$405,B43,Absences!$E$6:$E$405,"Absent"))</f>
        <v/>
      </c>
      <c r="G43" s="16">
        <f>IF(B43="","",COUNTIFS(Absences!$C$6:$C$405,Settings!$C$12,Absences!$D$6:$D$405,B43,Absences!$E$6:$E$405,"Late"))</f>
        <v/>
      </c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1" t="n"/>
      <c r="AC43">
        <f>IF(C43="","",SUMPRODUCT(MAX(ISNUMBER(Settings!$B$17:$B$26)*(Settings!$B$17:$B$26&lt;=ROUND(C43*100,1))*Settings!$B$17:$B$26)))</f>
        <v/>
      </c>
      <c r="AD43">
        <f>IF(C43="","",ROUND(C43*1000,0)*1000+433)</f>
        <v/>
      </c>
      <c r="AE43">
        <f>IF(C43="",0,IF(ROUND(C43*100,1)&lt;N($AC$2),1,0))</f>
        <v/>
      </c>
    </row>
    <row r="44">
      <c r="A44" s="1" t="n"/>
      <c r="B44" s="31" t="n"/>
      <c r="C44" s="44">
        <f>IF(B44="","",IF((SUMPRODUCT(--ISNUMBER(H44:AA44),$H$52:$AA$52)+SUMPRODUCT(--(H44:AA44="M"),$H$52:$AA$52))=0,"",ROUND(SUMPRODUCT(H44:AA44,$H$53:$AA$53)/(SUMPRODUCT(--ISNUMBER(H44:AA44),$H$52:$AA$52)+SUMPRODUCT(--(H44:AA44="M"),$H$52:$AA$52))*100,1)/100))</f>
        <v/>
      </c>
      <c r="D44" s="34">
        <f>IF(C44="","",IFERROR(INDEX(Settings!$C$17:$C$26,MATCH(AC44,Settings!$B$17:$B$26,0)),""))</f>
        <v/>
      </c>
      <c r="E44" s="16">
        <f>IF(B44="","",COUNTIF(H44:AA44,"M"))</f>
        <v/>
      </c>
      <c r="F44" s="16">
        <f>IF(B44="","",COUNTIFS(Absences!$C$6:$C$405,Settings!$C$12,Absences!$D$6:$D$405,B44,Absences!$E$6:$E$405,"Absent"))</f>
        <v/>
      </c>
      <c r="G44" s="16">
        <f>IF(B44="","",COUNTIFS(Absences!$C$6:$C$405,Settings!$C$12,Absences!$D$6:$D$405,B44,Absences!$E$6:$E$405,"Late"))</f>
        <v/>
      </c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1" t="n"/>
      <c r="AC44">
        <f>IF(C44="","",SUMPRODUCT(MAX(ISNUMBER(Settings!$B$17:$B$26)*(Settings!$B$17:$B$26&lt;=ROUND(C44*100,1))*Settings!$B$17:$B$26)))</f>
        <v/>
      </c>
      <c r="AD44">
        <f>IF(C44="","",ROUND(C44*1000,0)*1000+434)</f>
        <v/>
      </c>
      <c r="AE44">
        <f>IF(C44="",0,IF(ROUND(C44*100,1)&lt;N($AC$2),1,0))</f>
        <v/>
      </c>
    </row>
    <row r="45">
      <c r="A45" s="1" t="n"/>
      <c r="B45" s="31" t="n"/>
      <c r="C45" s="44">
        <f>IF(B45="","",IF((SUMPRODUCT(--ISNUMBER(H45:AA45),$H$52:$AA$52)+SUMPRODUCT(--(H45:AA45="M"),$H$52:$AA$52))=0,"",ROUND(SUMPRODUCT(H45:AA45,$H$53:$AA$53)/(SUMPRODUCT(--ISNUMBER(H45:AA45),$H$52:$AA$52)+SUMPRODUCT(--(H45:AA45="M"),$H$52:$AA$52))*100,1)/100))</f>
        <v/>
      </c>
      <c r="D45" s="34">
        <f>IF(C45="","",IFERROR(INDEX(Settings!$C$17:$C$26,MATCH(AC45,Settings!$B$17:$B$26,0)),""))</f>
        <v/>
      </c>
      <c r="E45" s="16">
        <f>IF(B45="","",COUNTIF(H45:AA45,"M"))</f>
        <v/>
      </c>
      <c r="F45" s="16">
        <f>IF(B45="","",COUNTIFS(Absences!$C$6:$C$405,Settings!$C$12,Absences!$D$6:$D$405,B45,Absences!$E$6:$E$405,"Absent"))</f>
        <v/>
      </c>
      <c r="G45" s="16">
        <f>IF(B45="","",COUNTIFS(Absences!$C$6:$C$405,Settings!$C$12,Absences!$D$6:$D$405,B45,Absences!$E$6:$E$405,"Late"))</f>
        <v/>
      </c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1" t="n"/>
      <c r="AC45">
        <f>IF(C45="","",SUMPRODUCT(MAX(ISNUMBER(Settings!$B$17:$B$26)*(Settings!$B$17:$B$26&lt;=ROUND(C45*100,1))*Settings!$B$17:$B$26)))</f>
        <v/>
      </c>
      <c r="AD45">
        <f>IF(C45="","",ROUND(C45*1000,0)*1000+435)</f>
        <v/>
      </c>
      <c r="AE45">
        <f>IF(C45="",0,IF(ROUND(C45*100,1)&lt;N($AC$2),1,0))</f>
        <v/>
      </c>
    </row>
    <row r="46">
      <c r="A46" s="1" t="n"/>
      <c r="B46" s="31" t="n"/>
      <c r="C46" s="44">
        <f>IF(B46="","",IF((SUMPRODUCT(--ISNUMBER(H46:AA46),$H$52:$AA$52)+SUMPRODUCT(--(H46:AA46="M"),$H$52:$AA$52))=0,"",ROUND(SUMPRODUCT(H46:AA46,$H$53:$AA$53)/(SUMPRODUCT(--ISNUMBER(H46:AA46),$H$52:$AA$52)+SUMPRODUCT(--(H46:AA46="M"),$H$52:$AA$52))*100,1)/100))</f>
        <v/>
      </c>
      <c r="D46" s="34">
        <f>IF(C46="","",IFERROR(INDEX(Settings!$C$17:$C$26,MATCH(AC46,Settings!$B$17:$B$26,0)),""))</f>
        <v/>
      </c>
      <c r="E46" s="16">
        <f>IF(B46="","",COUNTIF(H46:AA46,"M"))</f>
        <v/>
      </c>
      <c r="F46" s="16">
        <f>IF(B46="","",COUNTIFS(Absences!$C$6:$C$405,Settings!$C$12,Absences!$D$6:$D$405,B46,Absences!$E$6:$E$405,"Absent"))</f>
        <v/>
      </c>
      <c r="G46" s="16">
        <f>IF(B46="","",COUNTIFS(Absences!$C$6:$C$405,Settings!$C$12,Absences!$D$6:$D$405,B46,Absences!$E$6:$E$405,"Late"))</f>
        <v/>
      </c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1" t="n"/>
      <c r="AC46">
        <f>IF(C46="","",SUMPRODUCT(MAX(ISNUMBER(Settings!$B$17:$B$26)*(Settings!$B$17:$B$26&lt;=ROUND(C46*100,1))*Settings!$B$17:$B$26)))</f>
        <v/>
      </c>
      <c r="AD46">
        <f>IF(C46="","",ROUND(C46*1000,0)*1000+436)</f>
        <v/>
      </c>
      <c r="AE46">
        <f>IF(C46="",0,IF(ROUND(C46*100,1)&lt;N($AC$2),1,0))</f>
        <v/>
      </c>
    </row>
    <row r="47">
      <c r="A47" s="1" t="n"/>
      <c r="B47" s="31" t="n"/>
      <c r="C47" s="44">
        <f>IF(B47="","",IF((SUMPRODUCT(--ISNUMBER(H47:AA47),$H$52:$AA$52)+SUMPRODUCT(--(H47:AA47="M"),$H$52:$AA$52))=0,"",ROUND(SUMPRODUCT(H47:AA47,$H$53:$AA$53)/(SUMPRODUCT(--ISNUMBER(H47:AA47),$H$52:$AA$52)+SUMPRODUCT(--(H47:AA47="M"),$H$52:$AA$52))*100,1)/100))</f>
        <v/>
      </c>
      <c r="D47" s="34">
        <f>IF(C47="","",IFERROR(INDEX(Settings!$C$17:$C$26,MATCH(AC47,Settings!$B$17:$B$26,0)),""))</f>
        <v/>
      </c>
      <c r="E47" s="16">
        <f>IF(B47="","",COUNTIF(H47:AA47,"M"))</f>
        <v/>
      </c>
      <c r="F47" s="16">
        <f>IF(B47="","",COUNTIFS(Absences!$C$6:$C$405,Settings!$C$12,Absences!$D$6:$D$405,B47,Absences!$E$6:$E$405,"Absent"))</f>
        <v/>
      </c>
      <c r="G47" s="16">
        <f>IF(B47="","",COUNTIFS(Absences!$C$6:$C$405,Settings!$C$12,Absences!$D$6:$D$405,B47,Absences!$E$6:$E$405,"Late"))</f>
        <v/>
      </c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1" t="n"/>
      <c r="AC47">
        <f>IF(C47="","",SUMPRODUCT(MAX(ISNUMBER(Settings!$B$17:$B$26)*(Settings!$B$17:$B$26&lt;=ROUND(C47*100,1))*Settings!$B$17:$B$26)))</f>
        <v/>
      </c>
      <c r="AD47">
        <f>IF(C47="","",ROUND(C47*1000,0)*1000+437)</f>
        <v/>
      </c>
      <c r="AE47">
        <f>IF(C47="",0,IF(ROUND(C47*100,1)&lt;N($AC$2),1,0))</f>
        <v/>
      </c>
    </row>
    <row r="48">
      <c r="A48" s="1" t="n"/>
      <c r="B48" s="31" t="n"/>
      <c r="C48" s="44">
        <f>IF(B48="","",IF((SUMPRODUCT(--ISNUMBER(H48:AA48),$H$52:$AA$52)+SUMPRODUCT(--(H48:AA48="M"),$H$52:$AA$52))=0,"",ROUND(SUMPRODUCT(H48:AA48,$H$53:$AA$53)/(SUMPRODUCT(--ISNUMBER(H48:AA48),$H$52:$AA$52)+SUMPRODUCT(--(H48:AA48="M"),$H$52:$AA$52))*100,1)/100))</f>
        <v/>
      </c>
      <c r="D48" s="34">
        <f>IF(C48="","",IFERROR(INDEX(Settings!$C$17:$C$26,MATCH(AC48,Settings!$B$17:$B$26,0)),""))</f>
        <v/>
      </c>
      <c r="E48" s="16">
        <f>IF(B48="","",COUNTIF(H48:AA48,"M"))</f>
        <v/>
      </c>
      <c r="F48" s="16">
        <f>IF(B48="","",COUNTIFS(Absences!$C$6:$C$405,Settings!$C$12,Absences!$D$6:$D$405,B48,Absences!$E$6:$E$405,"Absent"))</f>
        <v/>
      </c>
      <c r="G48" s="16">
        <f>IF(B48="","",COUNTIFS(Absences!$C$6:$C$405,Settings!$C$12,Absences!$D$6:$D$405,B48,Absences!$E$6:$E$405,"Late"))</f>
        <v/>
      </c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1" t="n"/>
      <c r="AC48">
        <f>IF(C48="","",SUMPRODUCT(MAX(ISNUMBER(Settings!$B$17:$B$26)*(Settings!$B$17:$B$26&lt;=ROUND(C48*100,1))*Settings!$B$17:$B$26)))</f>
        <v/>
      </c>
      <c r="AD48">
        <f>IF(C48="","",ROUND(C48*1000,0)*1000+438)</f>
        <v/>
      </c>
      <c r="AE48">
        <f>IF(C48="",0,IF(ROUND(C48*100,1)&lt;N($AC$2),1,0))</f>
        <v/>
      </c>
    </row>
    <row r="49">
      <c r="A49" s="1" t="n"/>
      <c r="B49" s="31" t="n"/>
      <c r="C49" s="44">
        <f>IF(B49="","",IF((SUMPRODUCT(--ISNUMBER(H49:AA49),$H$52:$AA$52)+SUMPRODUCT(--(H49:AA49="M"),$H$52:$AA$52))=0,"",ROUND(SUMPRODUCT(H49:AA49,$H$53:$AA$53)/(SUMPRODUCT(--ISNUMBER(H49:AA49),$H$52:$AA$52)+SUMPRODUCT(--(H49:AA49="M"),$H$52:$AA$52))*100,1)/100))</f>
        <v/>
      </c>
      <c r="D49" s="34">
        <f>IF(C49="","",IFERROR(INDEX(Settings!$C$17:$C$26,MATCH(AC49,Settings!$B$17:$B$26,0)),""))</f>
        <v/>
      </c>
      <c r="E49" s="16">
        <f>IF(B49="","",COUNTIF(H49:AA49,"M"))</f>
        <v/>
      </c>
      <c r="F49" s="16">
        <f>IF(B49="","",COUNTIFS(Absences!$C$6:$C$405,Settings!$C$12,Absences!$D$6:$D$405,B49,Absences!$E$6:$E$405,"Absent"))</f>
        <v/>
      </c>
      <c r="G49" s="16">
        <f>IF(B49="","",COUNTIFS(Absences!$C$6:$C$405,Settings!$C$12,Absences!$D$6:$D$405,B49,Absences!$E$6:$E$405,"Late"))</f>
        <v/>
      </c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1" t="n"/>
      <c r="AC49">
        <f>IF(C49="","",SUMPRODUCT(MAX(ISNUMBER(Settings!$B$17:$B$26)*(Settings!$B$17:$B$26&lt;=ROUND(C49*100,1))*Settings!$B$17:$B$26)))</f>
        <v/>
      </c>
      <c r="AD49">
        <f>IF(C49="","",ROUND(C49*1000,0)*1000+439)</f>
        <v/>
      </c>
      <c r="AE49">
        <f>IF(C49="",0,IF(ROUND(C49*100,1)&lt;N($AC$2),1,0))</f>
        <v/>
      </c>
    </row>
    <row r="50">
      <c r="A50" s="1" t="n"/>
      <c r="B50" s="31" t="n"/>
      <c r="C50" s="44">
        <f>IF(B50="","",IF((SUMPRODUCT(--ISNUMBER(H50:AA50),$H$52:$AA$52)+SUMPRODUCT(--(H50:AA50="M"),$H$52:$AA$52))=0,"",ROUND(SUMPRODUCT(H50:AA50,$H$53:$AA$53)/(SUMPRODUCT(--ISNUMBER(H50:AA50),$H$52:$AA$52)+SUMPRODUCT(--(H50:AA50="M"),$H$52:$AA$52))*100,1)/100))</f>
        <v/>
      </c>
      <c r="D50" s="34">
        <f>IF(C50="","",IFERROR(INDEX(Settings!$C$17:$C$26,MATCH(AC50,Settings!$B$17:$B$26,0)),""))</f>
        <v/>
      </c>
      <c r="E50" s="16">
        <f>IF(B50="","",COUNTIF(H50:AA50,"M"))</f>
        <v/>
      </c>
      <c r="F50" s="16">
        <f>IF(B50="","",COUNTIFS(Absences!$C$6:$C$405,Settings!$C$12,Absences!$D$6:$D$405,B50,Absences!$E$6:$E$405,"Absent"))</f>
        <v/>
      </c>
      <c r="G50" s="16">
        <f>IF(B50="","",COUNTIFS(Absences!$C$6:$C$405,Settings!$C$12,Absences!$D$6:$D$405,B50,Absences!$E$6:$E$405,"Late"))</f>
        <v/>
      </c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1" t="n"/>
      <c r="AC50">
        <f>IF(C50="","",SUMPRODUCT(MAX(ISNUMBER(Settings!$B$17:$B$26)*(Settings!$B$17:$B$26&lt;=ROUND(C50*100,1))*Settings!$B$17:$B$26)))</f>
        <v/>
      </c>
      <c r="AD50">
        <f>IF(C50="","",ROUND(C50*1000,0)*1000+440)</f>
        <v/>
      </c>
      <c r="AE50">
        <f>IF(C50="",0,IF(ROUND(C50*100,1)&lt;N($AC$2),1,0))</f>
        <v/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idden="1">
      <c r="H52">
        <f>IF(N(H7)&lt;=0,0,IF(H8="",1,N(H8)))</f>
        <v/>
      </c>
      <c r="I52">
        <f>IF(N(I7)&lt;=0,0,IF(I8="",1,N(I8)))</f>
        <v/>
      </c>
      <c r="J52">
        <f>IF(N(J7)&lt;=0,0,IF(J8="",1,N(J8)))</f>
        <v/>
      </c>
      <c r="K52">
        <f>IF(N(K7)&lt;=0,0,IF(K8="",1,N(K8)))</f>
        <v/>
      </c>
      <c r="L52">
        <f>IF(N(L7)&lt;=0,0,IF(L8="",1,N(L8)))</f>
        <v/>
      </c>
      <c r="M52">
        <f>IF(N(M7)&lt;=0,0,IF(M8="",1,N(M8)))</f>
        <v/>
      </c>
      <c r="N52">
        <f>IF(N(N7)&lt;=0,0,IF(N8="",1,N(N8)))</f>
        <v/>
      </c>
      <c r="O52">
        <f>IF(N(O7)&lt;=0,0,IF(O8="",1,N(O8)))</f>
        <v/>
      </c>
      <c r="P52">
        <f>IF(N(P7)&lt;=0,0,IF(P8="",1,N(P8)))</f>
        <v/>
      </c>
      <c r="Q52">
        <f>IF(N(Q7)&lt;=0,0,IF(Q8="",1,N(Q8)))</f>
        <v/>
      </c>
      <c r="R52">
        <f>IF(N(R7)&lt;=0,0,IF(R8="",1,N(R8)))</f>
        <v/>
      </c>
      <c r="S52">
        <f>IF(N(S7)&lt;=0,0,IF(S8="",1,N(S8)))</f>
        <v/>
      </c>
      <c r="T52">
        <f>IF(N(T7)&lt;=0,0,IF(T8="",1,N(T8)))</f>
        <v/>
      </c>
      <c r="U52">
        <f>IF(N(U7)&lt;=0,0,IF(U8="",1,N(U8)))</f>
        <v/>
      </c>
      <c r="V52">
        <f>IF(N(V7)&lt;=0,0,IF(V8="",1,N(V8)))</f>
        <v/>
      </c>
      <c r="W52">
        <f>IF(N(W7)&lt;=0,0,IF(W8="",1,N(W8)))</f>
        <v/>
      </c>
      <c r="X52">
        <f>IF(N(X7)&lt;=0,0,IF(X8="",1,N(X8)))</f>
        <v/>
      </c>
      <c r="Y52">
        <f>IF(N(Y7)&lt;=0,0,IF(Y8="",1,N(Y8)))</f>
        <v/>
      </c>
      <c r="Z52">
        <f>IF(N(Z7)&lt;=0,0,IF(Z8="",1,N(Z8)))</f>
        <v/>
      </c>
      <c r="AA52">
        <f>IF(N(AA7)&lt;=0,0,IF(AA8="",1,N(AA8)))</f>
        <v/>
      </c>
    </row>
    <row r="53" hidden="1">
      <c r="H53">
        <f>IF(H52=0,0,H52/H7)</f>
        <v/>
      </c>
      <c r="I53">
        <f>IF(I52=0,0,I52/I7)</f>
        <v/>
      </c>
      <c r="J53">
        <f>IF(J52=0,0,J52/J7)</f>
        <v/>
      </c>
      <c r="K53">
        <f>IF(K52=0,0,K52/K7)</f>
        <v/>
      </c>
      <c r="L53">
        <f>IF(L52=0,0,L52/L7)</f>
        <v/>
      </c>
      <c r="M53">
        <f>IF(M52=0,0,M52/M7)</f>
        <v/>
      </c>
      <c r="N53">
        <f>IF(N52=0,0,N52/N7)</f>
        <v/>
      </c>
      <c r="O53">
        <f>IF(O52=0,0,O52/O7)</f>
        <v/>
      </c>
      <c r="P53">
        <f>IF(P52=0,0,P52/P7)</f>
        <v/>
      </c>
      <c r="Q53">
        <f>IF(Q52=0,0,Q52/Q7)</f>
        <v/>
      </c>
      <c r="R53">
        <f>IF(R52=0,0,R52/R7)</f>
        <v/>
      </c>
      <c r="S53">
        <f>IF(S52=0,0,S52/S7)</f>
        <v/>
      </c>
      <c r="T53">
        <f>IF(T52=0,0,T52/T7)</f>
        <v/>
      </c>
      <c r="U53">
        <f>IF(U52=0,0,U52/U7)</f>
        <v/>
      </c>
      <c r="V53">
        <f>IF(V52=0,0,V52/V7)</f>
        <v/>
      </c>
      <c r="W53">
        <f>IF(W52=0,0,W52/W7)</f>
        <v/>
      </c>
      <c r="X53">
        <f>IF(X52=0,0,X52/X7)</f>
        <v/>
      </c>
      <c r="Y53">
        <f>IF(Y52=0,0,Y52/Y7)</f>
        <v/>
      </c>
      <c r="Z53">
        <f>IF(Z52=0,0,Z52/Z7)</f>
        <v/>
      </c>
      <c r="AA53">
        <f>IF(AA52=0,0,AA52/AA7)</f>
        <v/>
      </c>
    </row>
    <row r="54" hidden="1">
      <c r="H54">
        <f>IF(AND(H5&lt;&gt;"",ISNUMBER(H6)),IF(AND(H6&lt;=TODAY(),COUNT(H11:H50)+COUNTIF(H11:H50,"M")=0),1,0),0)</f>
        <v/>
      </c>
      <c r="I54">
        <f>IF(AND(I5&lt;&gt;"",ISNUMBER(I6)),IF(AND(I6&lt;=TODAY(),COUNT(I11:I50)+COUNTIF(I11:I50,"M")=0),1,0),0)</f>
        <v/>
      </c>
      <c r="J54">
        <f>IF(AND(J5&lt;&gt;"",ISNUMBER(J6)),IF(AND(J6&lt;=TODAY(),COUNT(J11:J50)+COUNTIF(J11:J50,"M")=0),1,0),0)</f>
        <v/>
      </c>
      <c r="K54">
        <f>IF(AND(K5&lt;&gt;"",ISNUMBER(K6)),IF(AND(K6&lt;=TODAY(),COUNT(K11:K50)+COUNTIF(K11:K50,"M")=0),1,0),0)</f>
        <v/>
      </c>
      <c r="L54">
        <f>IF(AND(L5&lt;&gt;"",ISNUMBER(L6)),IF(AND(L6&lt;=TODAY(),COUNT(L11:L50)+COUNTIF(L11:L50,"M")=0),1,0),0)</f>
        <v/>
      </c>
      <c r="M54">
        <f>IF(AND(M5&lt;&gt;"",ISNUMBER(M6)),IF(AND(M6&lt;=TODAY(),COUNT(M11:M50)+COUNTIF(M11:M50,"M")=0),1,0),0)</f>
        <v/>
      </c>
      <c r="N54">
        <f>IF(AND(N5&lt;&gt;"",ISNUMBER(N6)),IF(AND(N6&lt;=TODAY(),COUNT(N11:N50)+COUNTIF(N11:N50,"M")=0),1,0),0)</f>
        <v/>
      </c>
      <c r="O54">
        <f>IF(AND(O5&lt;&gt;"",ISNUMBER(O6)),IF(AND(O6&lt;=TODAY(),COUNT(O11:O50)+COUNTIF(O11:O50,"M")=0),1,0),0)</f>
        <v/>
      </c>
      <c r="P54">
        <f>IF(AND(P5&lt;&gt;"",ISNUMBER(P6)),IF(AND(P6&lt;=TODAY(),COUNT(P11:P50)+COUNTIF(P11:P50,"M")=0),1,0),0)</f>
        <v/>
      </c>
      <c r="Q54">
        <f>IF(AND(Q5&lt;&gt;"",ISNUMBER(Q6)),IF(AND(Q6&lt;=TODAY(),COUNT(Q11:Q50)+COUNTIF(Q11:Q50,"M")=0),1,0),0)</f>
        <v/>
      </c>
      <c r="R54">
        <f>IF(AND(R5&lt;&gt;"",ISNUMBER(R6)),IF(AND(R6&lt;=TODAY(),COUNT(R11:R50)+COUNTIF(R11:R50,"M")=0),1,0),0)</f>
        <v/>
      </c>
      <c r="S54">
        <f>IF(AND(S5&lt;&gt;"",ISNUMBER(S6)),IF(AND(S6&lt;=TODAY(),COUNT(S11:S50)+COUNTIF(S11:S50,"M")=0),1,0),0)</f>
        <v/>
      </c>
      <c r="T54">
        <f>IF(AND(T5&lt;&gt;"",ISNUMBER(T6)),IF(AND(T6&lt;=TODAY(),COUNT(T11:T50)+COUNTIF(T11:T50,"M")=0),1,0),0)</f>
        <v/>
      </c>
      <c r="U54">
        <f>IF(AND(U5&lt;&gt;"",ISNUMBER(U6)),IF(AND(U6&lt;=TODAY(),COUNT(U11:U50)+COUNTIF(U11:U50,"M")=0),1,0),0)</f>
        <v/>
      </c>
      <c r="V54">
        <f>IF(AND(V5&lt;&gt;"",ISNUMBER(V6)),IF(AND(V6&lt;=TODAY(),COUNT(V11:V50)+COUNTIF(V11:V50,"M")=0),1,0),0)</f>
        <v/>
      </c>
      <c r="W54">
        <f>IF(AND(W5&lt;&gt;"",ISNUMBER(W6)),IF(AND(W6&lt;=TODAY(),COUNT(W11:W50)+COUNTIF(W11:W50,"M")=0),1,0),0)</f>
        <v/>
      </c>
      <c r="X54">
        <f>IF(AND(X5&lt;&gt;"",ISNUMBER(X6)),IF(AND(X6&lt;=TODAY(),COUNT(X11:X50)+COUNTIF(X11:X50,"M")=0),1,0),0)</f>
        <v/>
      </c>
      <c r="Y54">
        <f>IF(AND(Y5&lt;&gt;"",ISNUMBER(Y6)),IF(AND(Y6&lt;=TODAY(),COUNT(Y11:Y50)+COUNTIF(Y11:Y50,"M")=0),1,0),0)</f>
        <v/>
      </c>
      <c r="Z54">
        <f>IF(AND(Z5&lt;&gt;"",ISNUMBER(Z6)),IF(AND(Z6&lt;=TODAY(),COUNT(Z11:Z50)+COUNTIF(Z11:Z50,"M")=0),1,0),0)</f>
        <v/>
      </c>
      <c r="AA54">
        <f>IF(AND(AA5&lt;&gt;"",ISNUMBER(AA6)),IF(AND(AA6&lt;=TODAY(),COUNT(AA11:AA50)+COUNTIF(AA11:AA50,"M")=0),1,0),0)</f>
        <v/>
      </c>
    </row>
  </sheetData>
  <conditionalFormatting sqref="C11:D50">
    <cfRule type="expression" priority="1" dxfId="1">
      <formula>AND(ISNUMBER($C11),ROUND($C11*100,1)&lt;N($AC$2))</formula>
    </cfRule>
  </conditionalFormatting>
  <conditionalFormatting sqref="E11:E50">
    <cfRule type="expression" priority="2" dxfId="0">
      <formula>N(E11)&gt;0</formula>
    </cfRule>
  </conditionalFormatting>
  <conditionalFormatting sqref="H11:AA50">
    <cfRule type="expression" priority="3" dxfId="1">
      <formula>H11="M"</formula>
    </cfRule>
    <cfRule type="expression" priority="4" dxfId="2">
      <formula>AND(ISNUMBER(H11),H11&gt;N(H$7))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E54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7" customWidth="1" min="4" max="4"/>
    <col width="8" customWidth="1" min="5" max="5"/>
    <col width="8" customWidth="1" min="6" max="6"/>
    <col width="7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hidden="1" width="13" customWidth="1" min="29" max="29"/>
    <col hidden="1" width="13" customWidth="1" min="30" max="30"/>
    <col hidden="1" width="13" customWidth="1" min="31" max="3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2">
        <f>IF(Settings!$C$13="","Class 5",Settings!$C$13)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>
        <f>Settings!$C$4</f>
        <v/>
      </c>
    </row>
    <row r="3">
      <c r="A3" s="1" t="n"/>
      <c r="B3" s="3" t="inlineStr">
        <is>
          <t>Scores as numbers. M for missing work (counts as 0), Ex for excused (left out), empty for not marked yet.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92" customHeight="1">
      <c r="A5" s="1" t="n"/>
      <c r="B5" s="1" t="n"/>
      <c r="C5" s="1" t="n"/>
      <c r="D5" s="1" t="n"/>
      <c r="E5" s="1" t="n"/>
      <c r="F5" s="1" t="n"/>
      <c r="G5" s="37" t="inlineStr">
        <is>
          <t>Assessment</t>
        </is>
      </c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1" t="n"/>
    </row>
    <row r="6">
      <c r="A6" s="1" t="n"/>
      <c r="B6" s="1" t="n"/>
      <c r="C6" s="1" t="n"/>
      <c r="D6" s="1" t="n"/>
      <c r="E6" s="1" t="n"/>
      <c r="F6" s="1" t="n"/>
      <c r="G6" s="39" t="inlineStr">
        <is>
          <t>Date</t>
        </is>
      </c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1" t="n"/>
    </row>
    <row r="7">
      <c r="A7" s="1" t="n"/>
      <c r="B7" s="1" t="n"/>
      <c r="C7" s="1" t="n"/>
      <c r="D7" s="1" t="n"/>
      <c r="E7" s="1" t="n"/>
      <c r="F7" s="1" t="n"/>
      <c r="G7" s="39" t="inlineStr">
        <is>
          <t>Out of</t>
        </is>
      </c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1" t="n"/>
    </row>
    <row r="8">
      <c r="A8" s="1" t="n"/>
      <c r="B8" s="1" t="n"/>
      <c r="C8" s="1" t="n"/>
      <c r="D8" s="1" t="n"/>
      <c r="E8" s="1" t="n"/>
      <c r="F8" s="1" t="n"/>
      <c r="G8" s="39" t="inlineStr">
        <is>
          <t>Weight</t>
        </is>
      </c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1" t="n"/>
    </row>
    <row r="9">
      <c r="A9" s="1" t="n"/>
      <c r="B9" s="1" t="n"/>
      <c r="C9" s="42">
        <f>IF(COUNT(C11:C50)=0,"",AVERAGE(C11:C50))</f>
        <v/>
      </c>
      <c r="D9" s="1" t="n"/>
      <c r="E9" s="1" t="n"/>
      <c r="F9" s="1" t="n"/>
      <c r="G9" s="39" t="inlineStr">
        <is>
          <t>Class average</t>
        </is>
      </c>
      <c r="H9" s="43">
        <f>IF(OR(N(H7)&lt;=0,COUNT(H11:H50)=0),"",AVERAGE(H11:H50)/H7)</f>
        <v/>
      </c>
      <c r="I9" s="43">
        <f>IF(OR(N(I7)&lt;=0,COUNT(I11:I50)=0),"",AVERAGE(I11:I50)/I7)</f>
        <v/>
      </c>
      <c r="J9" s="43">
        <f>IF(OR(N(J7)&lt;=0,COUNT(J11:J50)=0),"",AVERAGE(J11:J50)/J7)</f>
        <v/>
      </c>
      <c r="K9" s="43">
        <f>IF(OR(N(K7)&lt;=0,COUNT(K11:K50)=0),"",AVERAGE(K11:K50)/K7)</f>
        <v/>
      </c>
      <c r="L9" s="43">
        <f>IF(OR(N(L7)&lt;=0,COUNT(L11:L50)=0),"",AVERAGE(L11:L50)/L7)</f>
        <v/>
      </c>
      <c r="M9" s="43">
        <f>IF(OR(N(M7)&lt;=0,COUNT(M11:M50)=0),"",AVERAGE(M11:M50)/M7)</f>
        <v/>
      </c>
      <c r="N9" s="43">
        <f>IF(OR(N(N7)&lt;=0,COUNT(N11:N50)=0),"",AVERAGE(N11:N50)/N7)</f>
        <v/>
      </c>
      <c r="O9" s="43">
        <f>IF(OR(N(O7)&lt;=0,COUNT(O11:O50)=0),"",AVERAGE(O11:O50)/O7)</f>
        <v/>
      </c>
      <c r="P9" s="43">
        <f>IF(OR(N(P7)&lt;=0,COUNT(P11:P50)=0),"",AVERAGE(P11:P50)/P7)</f>
        <v/>
      </c>
      <c r="Q9" s="43">
        <f>IF(OR(N(Q7)&lt;=0,COUNT(Q11:Q50)=0),"",AVERAGE(Q11:Q50)/Q7)</f>
        <v/>
      </c>
      <c r="R9" s="43">
        <f>IF(OR(N(R7)&lt;=0,COUNT(R11:R50)=0),"",AVERAGE(R11:R50)/R7)</f>
        <v/>
      </c>
      <c r="S9" s="43">
        <f>IF(OR(N(S7)&lt;=0,COUNT(S11:S50)=0),"",AVERAGE(S11:S50)/S7)</f>
        <v/>
      </c>
      <c r="T9" s="43">
        <f>IF(OR(N(T7)&lt;=0,COUNT(T11:T50)=0),"",AVERAGE(T11:T50)/T7)</f>
        <v/>
      </c>
      <c r="U9" s="43">
        <f>IF(OR(N(U7)&lt;=0,COUNT(U11:U50)=0),"",AVERAGE(U11:U50)/U7)</f>
        <v/>
      </c>
      <c r="V9" s="43">
        <f>IF(OR(N(V7)&lt;=0,COUNT(V11:V50)=0),"",AVERAGE(V11:V50)/V7)</f>
        <v/>
      </c>
      <c r="W9" s="43">
        <f>IF(OR(N(W7)&lt;=0,COUNT(W11:W50)=0),"",AVERAGE(W11:W50)/W7)</f>
        <v/>
      </c>
      <c r="X9" s="43">
        <f>IF(OR(N(X7)&lt;=0,COUNT(X11:X50)=0),"",AVERAGE(X11:X50)/X7)</f>
        <v/>
      </c>
      <c r="Y9" s="43">
        <f>IF(OR(N(Y7)&lt;=0,COUNT(Y11:Y50)=0),"",AVERAGE(Y11:Y50)/Y7)</f>
        <v/>
      </c>
      <c r="Z9" s="43">
        <f>IF(OR(N(Z7)&lt;=0,COUNT(Z11:Z50)=0),"",AVERAGE(Z11:Z50)/Z7)</f>
        <v/>
      </c>
      <c r="AA9" s="43">
        <f>IF(OR(N(AA7)&lt;=0,COUNT(AA11:AA50)=0),"",AVERAGE(AA11:AA50)/AA7)</f>
        <v/>
      </c>
      <c r="AB9" s="1" t="n"/>
    </row>
    <row r="10" ht="30" customHeight="1">
      <c r="A10" s="1" t="n"/>
      <c r="B10" s="10" t="inlineStr">
        <is>
          <t>Student</t>
        </is>
      </c>
      <c r="C10" s="10" t="inlineStr">
        <is>
          <t>Average</t>
        </is>
      </c>
      <c r="D10" s="10" t="inlineStr">
        <is>
          <t>Grade</t>
        </is>
      </c>
      <c r="E10" s="10" t="inlineStr">
        <is>
          <t>Missing</t>
        </is>
      </c>
      <c r="F10" s="10" t="inlineStr">
        <is>
          <t>Absent</t>
        </is>
      </c>
      <c r="G10" s="10" t="inlineStr">
        <is>
          <t>Late</t>
        </is>
      </c>
      <c r="H10" s="10" t="n">
        <v>1</v>
      </c>
      <c r="I10" s="10" t="n">
        <v>2</v>
      </c>
      <c r="J10" s="10" t="n">
        <v>3</v>
      </c>
      <c r="K10" s="10" t="n">
        <v>4</v>
      </c>
      <c r="L10" s="10" t="n">
        <v>5</v>
      </c>
      <c r="M10" s="10" t="n">
        <v>6</v>
      </c>
      <c r="N10" s="10" t="n">
        <v>7</v>
      </c>
      <c r="O10" s="10" t="n">
        <v>8</v>
      </c>
      <c r="P10" s="10" t="n">
        <v>9</v>
      </c>
      <c r="Q10" s="10" t="n">
        <v>10</v>
      </c>
      <c r="R10" s="10" t="n">
        <v>11</v>
      </c>
      <c r="S10" s="10" t="n">
        <v>12</v>
      </c>
      <c r="T10" s="10" t="n">
        <v>13</v>
      </c>
      <c r="U10" s="10" t="n">
        <v>14</v>
      </c>
      <c r="V10" s="10" t="n">
        <v>15</v>
      </c>
      <c r="W10" s="10" t="n">
        <v>16</v>
      </c>
      <c r="X10" s="10" t="n">
        <v>17</v>
      </c>
      <c r="Y10" s="10" t="n">
        <v>18</v>
      </c>
      <c r="Z10" s="10" t="n">
        <v>19</v>
      </c>
      <c r="AA10" s="10" t="n">
        <v>20</v>
      </c>
      <c r="AB10" s="1" t="n"/>
    </row>
    <row r="11">
      <c r="A11" s="1" t="n"/>
      <c r="B11" s="31" t="n"/>
      <c r="C11" s="44">
        <f>IF(B11="","",IF((SUMPRODUCT(--ISNUMBER(H11:AA11),$H$52:$AA$52)+SUMPRODUCT(--(H11:AA11="M"),$H$52:$AA$52))=0,"",ROUND(SUMPRODUCT(H11:AA11,$H$53:$AA$53)/(SUMPRODUCT(--ISNUMBER(H11:AA11),$H$52:$AA$52)+SUMPRODUCT(--(H11:AA11="M"),$H$52:$AA$52))*100,1)/100))</f>
        <v/>
      </c>
      <c r="D11" s="34">
        <f>IF(C11="","",IFERROR(INDEX(Settings!$C$17:$C$26,MATCH(AC11,Settings!$B$17:$B$26,0)),""))</f>
        <v/>
      </c>
      <c r="E11" s="16">
        <f>IF(B11="","",COUNTIF(H11:AA11,"M"))</f>
        <v/>
      </c>
      <c r="F11" s="16">
        <f>IF(B11="","",COUNTIFS(Absences!$C$6:$C$405,Settings!$C$13,Absences!$D$6:$D$405,B11,Absences!$E$6:$E$405,"Absent"))</f>
        <v/>
      </c>
      <c r="G11" s="16">
        <f>IF(B11="","",COUNTIFS(Absences!$C$6:$C$405,Settings!$C$13,Absences!$D$6:$D$405,B11,Absences!$E$6:$E$405,"Late"))</f>
        <v/>
      </c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1" t="n"/>
      <c r="AC11">
        <f>IF(C11="","",SUMPRODUCT(MAX(ISNUMBER(Settings!$B$17:$B$26)*(Settings!$B$17:$B$26&lt;=ROUND(C11*100,1))*Settings!$B$17:$B$26)))</f>
        <v/>
      </c>
      <c r="AD11">
        <f>IF(C11="","",ROUND(C11*1000,0)*1000+501)</f>
        <v/>
      </c>
      <c r="AE11">
        <f>IF(C11="",0,IF(ROUND(C11*100,1)&lt;N($AC$2),1,0))</f>
        <v/>
      </c>
    </row>
    <row r="12">
      <c r="A12" s="1" t="n"/>
      <c r="B12" s="31" t="n"/>
      <c r="C12" s="44">
        <f>IF(B12="","",IF((SUMPRODUCT(--ISNUMBER(H12:AA12),$H$52:$AA$52)+SUMPRODUCT(--(H12:AA12="M"),$H$52:$AA$52))=0,"",ROUND(SUMPRODUCT(H12:AA12,$H$53:$AA$53)/(SUMPRODUCT(--ISNUMBER(H12:AA12),$H$52:$AA$52)+SUMPRODUCT(--(H12:AA12="M"),$H$52:$AA$52))*100,1)/100))</f>
        <v/>
      </c>
      <c r="D12" s="34">
        <f>IF(C12="","",IFERROR(INDEX(Settings!$C$17:$C$26,MATCH(AC12,Settings!$B$17:$B$26,0)),""))</f>
        <v/>
      </c>
      <c r="E12" s="16">
        <f>IF(B12="","",COUNTIF(H12:AA12,"M"))</f>
        <v/>
      </c>
      <c r="F12" s="16">
        <f>IF(B12="","",COUNTIFS(Absences!$C$6:$C$405,Settings!$C$13,Absences!$D$6:$D$405,B12,Absences!$E$6:$E$405,"Absent"))</f>
        <v/>
      </c>
      <c r="G12" s="16">
        <f>IF(B12="","",COUNTIFS(Absences!$C$6:$C$405,Settings!$C$13,Absences!$D$6:$D$405,B12,Absences!$E$6:$E$405,"Late"))</f>
        <v/>
      </c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1" t="n"/>
      <c r="AC12">
        <f>IF(C12="","",SUMPRODUCT(MAX(ISNUMBER(Settings!$B$17:$B$26)*(Settings!$B$17:$B$26&lt;=ROUND(C12*100,1))*Settings!$B$17:$B$26)))</f>
        <v/>
      </c>
      <c r="AD12">
        <f>IF(C12="","",ROUND(C12*1000,0)*1000+502)</f>
        <v/>
      </c>
      <c r="AE12">
        <f>IF(C12="",0,IF(ROUND(C12*100,1)&lt;N($AC$2),1,0))</f>
        <v/>
      </c>
    </row>
    <row r="13">
      <c r="A13" s="1" t="n"/>
      <c r="B13" s="31" t="n"/>
      <c r="C13" s="44">
        <f>IF(B13="","",IF((SUMPRODUCT(--ISNUMBER(H13:AA13),$H$52:$AA$52)+SUMPRODUCT(--(H13:AA13="M"),$H$52:$AA$52))=0,"",ROUND(SUMPRODUCT(H13:AA13,$H$53:$AA$53)/(SUMPRODUCT(--ISNUMBER(H13:AA13),$H$52:$AA$52)+SUMPRODUCT(--(H13:AA13="M"),$H$52:$AA$52))*100,1)/100))</f>
        <v/>
      </c>
      <c r="D13" s="34">
        <f>IF(C13="","",IFERROR(INDEX(Settings!$C$17:$C$26,MATCH(AC13,Settings!$B$17:$B$26,0)),""))</f>
        <v/>
      </c>
      <c r="E13" s="16">
        <f>IF(B13="","",COUNTIF(H13:AA13,"M"))</f>
        <v/>
      </c>
      <c r="F13" s="16">
        <f>IF(B13="","",COUNTIFS(Absences!$C$6:$C$405,Settings!$C$13,Absences!$D$6:$D$405,B13,Absences!$E$6:$E$405,"Absent"))</f>
        <v/>
      </c>
      <c r="G13" s="16">
        <f>IF(B13="","",COUNTIFS(Absences!$C$6:$C$405,Settings!$C$13,Absences!$D$6:$D$405,B13,Absences!$E$6:$E$405,"Late"))</f>
        <v/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1" t="n"/>
      <c r="AC13">
        <f>IF(C13="","",SUMPRODUCT(MAX(ISNUMBER(Settings!$B$17:$B$26)*(Settings!$B$17:$B$26&lt;=ROUND(C13*100,1))*Settings!$B$17:$B$26)))</f>
        <v/>
      </c>
      <c r="AD13">
        <f>IF(C13="","",ROUND(C13*1000,0)*1000+503)</f>
        <v/>
      </c>
      <c r="AE13">
        <f>IF(C13="",0,IF(ROUND(C13*100,1)&lt;N($AC$2),1,0))</f>
        <v/>
      </c>
    </row>
    <row r="14">
      <c r="A14" s="1" t="n"/>
      <c r="B14" s="31" t="n"/>
      <c r="C14" s="44">
        <f>IF(B14="","",IF((SUMPRODUCT(--ISNUMBER(H14:AA14),$H$52:$AA$52)+SUMPRODUCT(--(H14:AA14="M"),$H$52:$AA$52))=0,"",ROUND(SUMPRODUCT(H14:AA14,$H$53:$AA$53)/(SUMPRODUCT(--ISNUMBER(H14:AA14),$H$52:$AA$52)+SUMPRODUCT(--(H14:AA14="M"),$H$52:$AA$52))*100,1)/100))</f>
        <v/>
      </c>
      <c r="D14" s="34">
        <f>IF(C14="","",IFERROR(INDEX(Settings!$C$17:$C$26,MATCH(AC14,Settings!$B$17:$B$26,0)),""))</f>
        <v/>
      </c>
      <c r="E14" s="16">
        <f>IF(B14="","",COUNTIF(H14:AA14,"M"))</f>
        <v/>
      </c>
      <c r="F14" s="16">
        <f>IF(B14="","",COUNTIFS(Absences!$C$6:$C$405,Settings!$C$13,Absences!$D$6:$D$405,B14,Absences!$E$6:$E$405,"Absent"))</f>
        <v/>
      </c>
      <c r="G14" s="16">
        <f>IF(B14="","",COUNTIFS(Absences!$C$6:$C$405,Settings!$C$13,Absences!$D$6:$D$405,B14,Absences!$E$6:$E$405,"Late"))</f>
        <v/>
      </c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1" t="n"/>
      <c r="AC14">
        <f>IF(C14="","",SUMPRODUCT(MAX(ISNUMBER(Settings!$B$17:$B$26)*(Settings!$B$17:$B$26&lt;=ROUND(C14*100,1))*Settings!$B$17:$B$26)))</f>
        <v/>
      </c>
      <c r="AD14">
        <f>IF(C14="","",ROUND(C14*1000,0)*1000+504)</f>
        <v/>
      </c>
      <c r="AE14">
        <f>IF(C14="",0,IF(ROUND(C14*100,1)&lt;N($AC$2),1,0))</f>
        <v/>
      </c>
    </row>
    <row r="15">
      <c r="A15" s="1" t="n"/>
      <c r="B15" s="31" t="n"/>
      <c r="C15" s="44">
        <f>IF(B15="","",IF((SUMPRODUCT(--ISNUMBER(H15:AA15),$H$52:$AA$52)+SUMPRODUCT(--(H15:AA15="M"),$H$52:$AA$52))=0,"",ROUND(SUMPRODUCT(H15:AA15,$H$53:$AA$53)/(SUMPRODUCT(--ISNUMBER(H15:AA15),$H$52:$AA$52)+SUMPRODUCT(--(H15:AA15="M"),$H$52:$AA$52))*100,1)/100))</f>
        <v/>
      </c>
      <c r="D15" s="34">
        <f>IF(C15="","",IFERROR(INDEX(Settings!$C$17:$C$26,MATCH(AC15,Settings!$B$17:$B$26,0)),""))</f>
        <v/>
      </c>
      <c r="E15" s="16">
        <f>IF(B15="","",COUNTIF(H15:AA15,"M"))</f>
        <v/>
      </c>
      <c r="F15" s="16">
        <f>IF(B15="","",COUNTIFS(Absences!$C$6:$C$405,Settings!$C$13,Absences!$D$6:$D$405,B15,Absences!$E$6:$E$405,"Absent"))</f>
        <v/>
      </c>
      <c r="G15" s="16">
        <f>IF(B15="","",COUNTIFS(Absences!$C$6:$C$405,Settings!$C$13,Absences!$D$6:$D$405,B15,Absences!$E$6:$E$405,"Late"))</f>
        <v/>
      </c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1" t="n"/>
      <c r="AC15">
        <f>IF(C15="","",SUMPRODUCT(MAX(ISNUMBER(Settings!$B$17:$B$26)*(Settings!$B$17:$B$26&lt;=ROUND(C15*100,1))*Settings!$B$17:$B$26)))</f>
        <v/>
      </c>
      <c r="AD15">
        <f>IF(C15="","",ROUND(C15*1000,0)*1000+505)</f>
        <v/>
      </c>
      <c r="AE15">
        <f>IF(C15="",0,IF(ROUND(C15*100,1)&lt;N($AC$2),1,0))</f>
        <v/>
      </c>
    </row>
    <row r="16">
      <c r="A16" s="1" t="n"/>
      <c r="B16" s="31" t="n"/>
      <c r="C16" s="44">
        <f>IF(B16="","",IF((SUMPRODUCT(--ISNUMBER(H16:AA16),$H$52:$AA$52)+SUMPRODUCT(--(H16:AA16="M"),$H$52:$AA$52))=0,"",ROUND(SUMPRODUCT(H16:AA16,$H$53:$AA$53)/(SUMPRODUCT(--ISNUMBER(H16:AA16),$H$52:$AA$52)+SUMPRODUCT(--(H16:AA16="M"),$H$52:$AA$52))*100,1)/100))</f>
        <v/>
      </c>
      <c r="D16" s="34">
        <f>IF(C16="","",IFERROR(INDEX(Settings!$C$17:$C$26,MATCH(AC16,Settings!$B$17:$B$26,0)),""))</f>
        <v/>
      </c>
      <c r="E16" s="16">
        <f>IF(B16="","",COUNTIF(H16:AA16,"M"))</f>
        <v/>
      </c>
      <c r="F16" s="16">
        <f>IF(B16="","",COUNTIFS(Absences!$C$6:$C$405,Settings!$C$13,Absences!$D$6:$D$405,B16,Absences!$E$6:$E$405,"Absent"))</f>
        <v/>
      </c>
      <c r="G16" s="16">
        <f>IF(B16="","",COUNTIFS(Absences!$C$6:$C$405,Settings!$C$13,Absences!$D$6:$D$405,B16,Absences!$E$6:$E$405,"Late"))</f>
        <v/>
      </c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1" t="n"/>
      <c r="AC16">
        <f>IF(C16="","",SUMPRODUCT(MAX(ISNUMBER(Settings!$B$17:$B$26)*(Settings!$B$17:$B$26&lt;=ROUND(C16*100,1))*Settings!$B$17:$B$26)))</f>
        <v/>
      </c>
      <c r="AD16">
        <f>IF(C16="","",ROUND(C16*1000,0)*1000+506)</f>
        <v/>
      </c>
      <c r="AE16">
        <f>IF(C16="",0,IF(ROUND(C16*100,1)&lt;N($AC$2),1,0))</f>
        <v/>
      </c>
    </row>
    <row r="17">
      <c r="A17" s="1" t="n"/>
      <c r="B17" s="31" t="n"/>
      <c r="C17" s="44">
        <f>IF(B17="","",IF((SUMPRODUCT(--ISNUMBER(H17:AA17),$H$52:$AA$52)+SUMPRODUCT(--(H17:AA17="M"),$H$52:$AA$52))=0,"",ROUND(SUMPRODUCT(H17:AA17,$H$53:$AA$53)/(SUMPRODUCT(--ISNUMBER(H17:AA17),$H$52:$AA$52)+SUMPRODUCT(--(H17:AA17="M"),$H$52:$AA$52))*100,1)/100))</f>
        <v/>
      </c>
      <c r="D17" s="34">
        <f>IF(C17="","",IFERROR(INDEX(Settings!$C$17:$C$26,MATCH(AC17,Settings!$B$17:$B$26,0)),""))</f>
        <v/>
      </c>
      <c r="E17" s="16">
        <f>IF(B17="","",COUNTIF(H17:AA17,"M"))</f>
        <v/>
      </c>
      <c r="F17" s="16">
        <f>IF(B17="","",COUNTIFS(Absences!$C$6:$C$405,Settings!$C$13,Absences!$D$6:$D$405,B17,Absences!$E$6:$E$405,"Absent"))</f>
        <v/>
      </c>
      <c r="G17" s="16">
        <f>IF(B17="","",COUNTIFS(Absences!$C$6:$C$405,Settings!$C$13,Absences!$D$6:$D$405,B17,Absences!$E$6:$E$405,"Late"))</f>
        <v/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1" t="n"/>
      <c r="AC17">
        <f>IF(C17="","",SUMPRODUCT(MAX(ISNUMBER(Settings!$B$17:$B$26)*(Settings!$B$17:$B$26&lt;=ROUND(C17*100,1))*Settings!$B$17:$B$26)))</f>
        <v/>
      </c>
      <c r="AD17">
        <f>IF(C17="","",ROUND(C17*1000,0)*1000+507)</f>
        <v/>
      </c>
      <c r="AE17">
        <f>IF(C17="",0,IF(ROUND(C17*100,1)&lt;N($AC$2),1,0))</f>
        <v/>
      </c>
    </row>
    <row r="18">
      <c r="A18" s="1" t="n"/>
      <c r="B18" s="31" t="n"/>
      <c r="C18" s="44">
        <f>IF(B18="","",IF((SUMPRODUCT(--ISNUMBER(H18:AA18),$H$52:$AA$52)+SUMPRODUCT(--(H18:AA18="M"),$H$52:$AA$52))=0,"",ROUND(SUMPRODUCT(H18:AA18,$H$53:$AA$53)/(SUMPRODUCT(--ISNUMBER(H18:AA18),$H$52:$AA$52)+SUMPRODUCT(--(H18:AA18="M"),$H$52:$AA$52))*100,1)/100))</f>
        <v/>
      </c>
      <c r="D18" s="34">
        <f>IF(C18="","",IFERROR(INDEX(Settings!$C$17:$C$26,MATCH(AC18,Settings!$B$17:$B$26,0)),""))</f>
        <v/>
      </c>
      <c r="E18" s="16">
        <f>IF(B18="","",COUNTIF(H18:AA18,"M"))</f>
        <v/>
      </c>
      <c r="F18" s="16">
        <f>IF(B18="","",COUNTIFS(Absences!$C$6:$C$405,Settings!$C$13,Absences!$D$6:$D$405,B18,Absences!$E$6:$E$405,"Absent"))</f>
        <v/>
      </c>
      <c r="G18" s="16">
        <f>IF(B18="","",COUNTIFS(Absences!$C$6:$C$405,Settings!$C$13,Absences!$D$6:$D$405,B18,Absences!$E$6:$E$405,"Late"))</f>
        <v/>
      </c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1" t="n"/>
      <c r="AC18">
        <f>IF(C18="","",SUMPRODUCT(MAX(ISNUMBER(Settings!$B$17:$B$26)*(Settings!$B$17:$B$26&lt;=ROUND(C18*100,1))*Settings!$B$17:$B$26)))</f>
        <v/>
      </c>
      <c r="AD18">
        <f>IF(C18="","",ROUND(C18*1000,0)*1000+508)</f>
        <v/>
      </c>
      <c r="AE18">
        <f>IF(C18="",0,IF(ROUND(C18*100,1)&lt;N($AC$2),1,0))</f>
        <v/>
      </c>
    </row>
    <row r="19">
      <c r="A19" s="1" t="n"/>
      <c r="B19" s="31" t="n"/>
      <c r="C19" s="44">
        <f>IF(B19="","",IF((SUMPRODUCT(--ISNUMBER(H19:AA19),$H$52:$AA$52)+SUMPRODUCT(--(H19:AA19="M"),$H$52:$AA$52))=0,"",ROUND(SUMPRODUCT(H19:AA19,$H$53:$AA$53)/(SUMPRODUCT(--ISNUMBER(H19:AA19),$H$52:$AA$52)+SUMPRODUCT(--(H19:AA19="M"),$H$52:$AA$52))*100,1)/100))</f>
        <v/>
      </c>
      <c r="D19" s="34">
        <f>IF(C19="","",IFERROR(INDEX(Settings!$C$17:$C$26,MATCH(AC19,Settings!$B$17:$B$26,0)),""))</f>
        <v/>
      </c>
      <c r="E19" s="16">
        <f>IF(B19="","",COUNTIF(H19:AA19,"M"))</f>
        <v/>
      </c>
      <c r="F19" s="16">
        <f>IF(B19="","",COUNTIFS(Absences!$C$6:$C$405,Settings!$C$13,Absences!$D$6:$D$405,B19,Absences!$E$6:$E$405,"Absent"))</f>
        <v/>
      </c>
      <c r="G19" s="16">
        <f>IF(B19="","",COUNTIFS(Absences!$C$6:$C$405,Settings!$C$13,Absences!$D$6:$D$405,B19,Absences!$E$6:$E$405,"Late"))</f>
        <v/>
      </c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1" t="n"/>
      <c r="AC19">
        <f>IF(C19="","",SUMPRODUCT(MAX(ISNUMBER(Settings!$B$17:$B$26)*(Settings!$B$17:$B$26&lt;=ROUND(C19*100,1))*Settings!$B$17:$B$26)))</f>
        <v/>
      </c>
      <c r="AD19">
        <f>IF(C19="","",ROUND(C19*1000,0)*1000+509)</f>
        <v/>
      </c>
      <c r="AE19">
        <f>IF(C19="",0,IF(ROUND(C19*100,1)&lt;N($AC$2),1,0))</f>
        <v/>
      </c>
    </row>
    <row r="20">
      <c r="A20" s="1" t="n"/>
      <c r="B20" s="31" t="n"/>
      <c r="C20" s="44">
        <f>IF(B20="","",IF((SUMPRODUCT(--ISNUMBER(H20:AA20),$H$52:$AA$52)+SUMPRODUCT(--(H20:AA20="M"),$H$52:$AA$52))=0,"",ROUND(SUMPRODUCT(H20:AA20,$H$53:$AA$53)/(SUMPRODUCT(--ISNUMBER(H20:AA20),$H$52:$AA$52)+SUMPRODUCT(--(H20:AA20="M"),$H$52:$AA$52))*100,1)/100))</f>
        <v/>
      </c>
      <c r="D20" s="34">
        <f>IF(C20="","",IFERROR(INDEX(Settings!$C$17:$C$26,MATCH(AC20,Settings!$B$17:$B$26,0)),""))</f>
        <v/>
      </c>
      <c r="E20" s="16">
        <f>IF(B20="","",COUNTIF(H20:AA20,"M"))</f>
        <v/>
      </c>
      <c r="F20" s="16">
        <f>IF(B20="","",COUNTIFS(Absences!$C$6:$C$405,Settings!$C$13,Absences!$D$6:$D$405,B20,Absences!$E$6:$E$405,"Absent"))</f>
        <v/>
      </c>
      <c r="G20" s="16">
        <f>IF(B20="","",COUNTIFS(Absences!$C$6:$C$405,Settings!$C$13,Absences!$D$6:$D$405,B20,Absences!$E$6:$E$405,"Late"))</f>
        <v/>
      </c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1" t="n"/>
      <c r="AC20">
        <f>IF(C20="","",SUMPRODUCT(MAX(ISNUMBER(Settings!$B$17:$B$26)*(Settings!$B$17:$B$26&lt;=ROUND(C20*100,1))*Settings!$B$17:$B$26)))</f>
        <v/>
      </c>
      <c r="AD20">
        <f>IF(C20="","",ROUND(C20*1000,0)*1000+510)</f>
        <v/>
      </c>
      <c r="AE20">
        <f>IF(C20="",0,IF(ROUND(C20*100,1)&lt;N($AC$2),1,0))</f>
        <v/>
      </c>
    </row>
    <row r="21">
      <c r="A21" s="1" t="n"/>
      <c r="B21" s="31" t="n"/>
      <c r="C21" s="44">
        <f>IF(B21="","",IF((SUMPRODUCT(--ISNUMBER(H21:AA21),$H$52:$AA$52)+SUMPRODUCT(--(H21:AA21="M"),$H$52:$AA$52))=0,"",ROUND(SUMPRODUCT(H21:AA21,$H$53:$AA$53)/(SUMPRODUCT(--ISNUMBER(H21:AA21),$H$52:$AA$52)+SUMPRODUCT(--(H21:AA21="M"),$H$52:$AA$52))*100,1)/100))</f>
        <v/>
      </c>
      <c r="D21" s="34">
        <f>IF(C21="","",IFERROR(INDEX(Settings!$C$17:$C$26,MATCH(AC21,Settings!$B$17:$B$26,0)),""))</f>
        <v/>
      </c>
      <c r="E21" s="16">
        <f>IF(B21="","",COUNTIF(H21:AA21,"M"))</f>
        <v/>
      </c>
      <c r="F21" s="16">
        <f>IF(B21="","",COUNTIFS(Absences!$C$6:$C$405,Settings!$C$13,Absences!$D$6:$D$405,B21,Absences!$E$6:$E$405,"Absent"))</f>
        <v/>
      </c>
      <c r="G21" s="16">
        <f>IF(B21="","",COUNTIFS(Absences!$C$6:$C$405,Settings!$C$13,Absences!$D$6:$D$405,B21,Absences!$E$6:$E$405,"Late"))</f>
        <v/>
      </c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1" t="n"/>
      <c r="AC21">
        <f>IF(C21="","",SUMPRODUCT(MAX(ISNUMBER(Settings!$B$17:$B$26)*(Settings!$B$17:$B$26&lt;=ROUND(C21*100,1))*Settings!$B$17:$B$26)))</f>
        <v/>
      </c>
      <c r="AD21">
        <f>IF(C21="","",ROUND(C21*1000,0)*1000+511)</f>
        <v/>
      </c>
      <c r="AE21">
        <f>IF(C21="",0,IF(ROUND(C21*100,1)&lt;N($AC$2),1,0))</f>
        <v/>
      </c>
    </row>
    <row r="22">
      <c r="A22" s="1" t="n"/>
      <c r="B22" s="31" t="n"/>
      <c r="C22" s="44">
        <f>IF(B22="","",IF((SUMPRODUCT(--ISNUMBER(H22:AA22),$H$52:$AA$52)+SUMPRODUCT(--(H22:AA22="M"),$H$52:$AA$52))=0,"",ROUND(SUMPRODUCT(H22:AA22,$H$53:$AA$53)/(SUMPRODUCT(--ISNUMBER(H22:AA22),$H$52:$AA$52)+SUMPRODUCT(--(H22:AA22="M"),$H$52:$AA$52))*100,1)/100))</f>
        <v/>
      </c>
      <c r="D22" s="34">
        <f>IF(C22="","",IFERROR(INDEX(Settings!$C$17:$C$26,MATCH(AC22,Settings!$B$17:$B$26,0)),""))</f>
        <v/>
      </c>
      <c r="E22" s="16">
        <f>IF(B22="","",COUNTIF(H22:AA22,"M"))</f>
        <v/>
      </c>
      <c r="F22" s="16">
        <f>IF(B22="","",COUNTIFS(Absences!$C$6:$C$405,Settings!$C$13,Absences!$D$6:$D$405,B22,Absences!$E$6:$E$405,"Absent"))</f>
        <v/>
      </c>
      <c r="G22" s="16">
        <f>IF(B22="","",COUNTIFS(Absences!$C$6:$C$405,Settings!$C$13,Absences!$D$6:$D$405,B22,Absences!$E$6:$E$405,"Late"))</f>
        <v/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1" t="n"/>
      <c r="AC22">
        <f>IF(C22="","",SUMPRODUCT(MAX(ISNUMBER(Settings!$B$17:$B$26)*(Settings!$B$17:$B$26&lt;=ROUND(C22*100,1))*Settings!$B$17:$B$26)))</f>
        <v/>
      </c>
      <c r="AD22">
        <f>IF(C22="","",ROUND(C22*1000,0)*1000+512)</f>
        <v/>
      </c>
      <c r="AE22">
        <f>IF(C22="",0,IF(ROUND(C22*100,1)&lt;N($AC$2),1,0))</f>
        <v/>
      </c>
    </row>
    <row r="23">
      <c r="A23" s="1" t="n"/>
      <c r="B23" s="31" t="n"/>
      <c r="C23" s="44">
        <f>IF(B23="","",IF((SUMPRODUCT(--ISNUMBER(H23:AA23),$H$52:$AA$52)+SUMPRODUCT(--(H23:AA23="M"),$H$52:$AA$52))=0,"",ROUND(SUMPRODUCT(H23:AA23,$H$53:$AA$53)/(SUMPRODUCT(--ISNUMBER(H23:AA23),$H$52:$AA$52)+SUMPRODUCT(--(H23:AA23="M"),$H$52:$AA$52))*100,1)/100))</f>
        <v/>
      </c>
      <c r="D23" s="34">
        <f>IF(C23="","",IFERROR(INDEX(Settings!$C$17:$C$26,MATCH(AC23,Settings!$B$17:$B$26,0)),""))</f>
        <v/>
      </c>
      <c r="E23" s="16">
        <f>IF(B23="","",COUNTIF(H23:AA23,"M"))</f>
        <v/>
      </c>
      <c r="F23" s="16">
        <f>IF(B23="","",COUNTIFS(Absences!$C$6:$C$405,Settings!$C$13,Absences!$D$6:$D$405,B23,Absences!$E$6:$E$405,"Absent"))</f>
        <v/>
      </c>
      <c r="G23" s="16">
        <f>IF(B23="","",COUNTIFS(Absences!$C$6:$C$405,Settings!$C$13,Absences!$D$6:$D$405,B23,Absences!$E$6:$E$405,"Late"))</f>
        <v/>
      </c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1" t="n"/>
      <c r="AC23">
        <f>IF(C23="","",SUMPRODUCT(MAX(ISNUMBER(Settings!$B$17:$B$26)*(Settings!$B$17:$B$26&lt;=ROUND(C23*100,1))*Settings!$B$17:$B$26)))</f>
        <v/>
      </c>
      <c r="AD23">
        <f>IF(C23="","",ROUND(C23*1000,0)*1000+513)</f>
        <v/>
      </c>
      <c r="AE23">
        <f>IF(C23="",0,IF(ROUND(C23*100,1)&lt;N($AC$2),1,0))</f>
        <v/>
      </c>
    </row>
    <row r="24">
      <c r="A24" s="1" t="n"/>
      <c r="B24" s="31" t="n"/>
      <c r="C24" s="44">
        <f>IF(B24="","",IF((SUMPRODUCT(--ISNUMBER(H24:AA24),$H$52:$AA$52)+SUMPRODUCT(--(H24:AA24="M"),$H$52:$AA$52))=0,"",ROUND(SUMPRODUCT(H24:AA24,$H$53:$AA$53)/(SUMPRODUCT(--ISNUMBER(H24:AA24),$H$52:$AA$52)+SUMPRODUCT(--(H24:AA24="M"),$H$52:$AA$52))*100,1)/100))</f>
        <v/>
      </c>
      <c r="D24" s="34">
        <f>IF(C24="","",IFERROR(INDEX(Settings!$C$17:$C$26,MATCH(AC24,Settings!$B$17:$B$26,0)),""))</f>
        <v/>
      </c>
      <c r="E24" s="16">
        <f>IF(B24="","",COUNTIF(H24:AA24,"M"))</f>
        <v/>
      </c>
      <c r="F24" s="16">
        <f>IF(B24="","",COUNTIFS(Absences!$C$6:$C$405,Settings!$C$13,Absences!$D$6:$D$405,B24,Absences!$E$6:$E$405,"Absent"))</f>
        <v/>
      </c>
      <c r="G24" s="16">
        <f>IF(B24="","",COUNTIFS(Absences!$C$6:$C$405,Settings!$C$13,Absences!$D$6:$D$405,B24,Absences!$E$6:$E$405,"Late"))</f>
        <v/>
      </c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1" t="n"/>
      <c r="AC24">
        <f>IF(C24="","",SUMPRODUCT(MAX(ISNUMBER(Settings!$B$17:$B$26)*(Settings!$B$17:$B$26&lt;=ROUND(C24*100,1))*Settings!$B$17:$B$26)))</f>
        <v/>
      </c>
      <c r="AD24">
        <f>IF(C24="","",ROUND(C24*1000,0)*1000+514)</f>
        <v/>
      </c>
      <c r="AE24">
        <f>IF(C24="",0,IF(ROUND(C24*100,1)&lt;N($AC$2),1,0))</f>
        <v/>
      </c>
    </row>
    <row r="25">
      <c r="A25" s="1" t="n"/>
      <c r="B25" s="31" t="n"/>
      <c r="C25" s="44">
        <f>IF(B25="","",IF((SUMPRODUCT(--ISNUMBER(H25:AA25),$H$52:$AA$52)+SUMPRODUCT(--(H25:AA25="M"),$H$52:$AA$52))=0,"",ROUND(SUMPRODUCT(H25:AA25,$H$53:$AA$53)/(SUMPRODUCT(--ISNUMBER(H25:AA25),$H$52:$AA$52)+SUMPRODUCT(--(H25:AA25="M"),$H$52:$AA$52))*100,1)/100))</f>
        <v/>
      </c>
      <c r="D25" s="34">
        <f>IF(C25="","",IFERROR(INDEX(Settings!$C$17:$C$26,MATCH(AC25,Settings!$B$17:$B$26,0)),""))</f>
        <v/>
      </c>
      <c r="E25" s="16">
        <f>IF(B25="","",COUNTIF(H25:AA25,"M"))</f>
        <v/>
      </c>
      <c r="F25" s="16">
        <f>IF(B25="","",COUNTIFS(Absences!$C$6:$C$405,Settings!$C$13,Absences!$D$6:$D$405,B25,Absences!$E$6:$E$405,"Absent"))</f>
        <v/>
      </c>
      <c r="G25" s="16">
        <f>IF(B25="","",COUNTIFS(Absences!$C$6:$C$405,Settings!$C$13,Absences!$D$6:$D$405,B25,Absences!$E$6:$E$405,"Late"))</f>
        <v/>
      </c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1" t="n"/>
      <c r="AC25">
        <f>IF(C25="","",SUMPRODUCT(MAX(ISNUMBER(Settings!$B$17:$B$26)*(Settings!$B$17:$B$26&lt;=ROUND(C25*100,1))*Settings!$B$17:$B$26)))</f>
        <v/>
      </c>
      <c r="AD25">
        <f>IF(C25="","",ROUND(C25*1000,0)*1000+515)</f>
        <v/>
      </c>
      <c r="AE25">
        <f>IF(C25="",0,IF(ROUND(C25*100,1)&lt;N($AC$2),1,0))</f>
        <v/>
      </c>
    </row>
    <row r="26">
      <c r="A26" s="1" t="n"/>
      <c r="B26" s="31" t="n"/>
      <c r="C26" s="44">
        <f>IF(B26="","",IF((SUMPRODUCT(--ISNUMBER(H26:AA26),$H$52:$AA$52)+SUMPRODUCT(--(H26:AA26="M"),$H$52:$AA$52))=0,"",ROUND(SUMPRODUCT(H26:AA26,$H$53:$AA$53)/(SUMPRODUCT(--ISNUMBER(H26:AA26),$H$52:$AA$52)+SUMPRODUCT(--(H26:AA26="M"),$H$52:$AA$52))*100,1)/100))</f>
        <v/>
      </c>
      <c r="D26" s="34">
        <f>IF(C26="","",IFERROR(INDEX(Settings!$C$17:$C$26,MATCH(AC26,Settings!$B$17:$B$26,0)),""))</f>
        <v/>
      </c>
      <c r="E26" s="16">
        <f>IF(B26="","",COUNTIF(H26:AA26,"M"))</f>
        <v/>
      </c>
      <c r="F26" s="16">
        <f>IF(B26="","",COUNTIFS(Absences!$C$6:$C$405,Settings!$C$13,Absences!$D$6:$D$405,B26,Absences!$E$6:$E$405,"Absent"))</f>
        <v/>
      </c>
      <c r="G26" s="16">
        <f>IF(B26="","",COUNTIFS(Absences!$C$6:$C$405,Settings!$C$13,Absences!$D$6:$D$405,B26,Absences!$E$6:$E$405,"Late"))</f>
        <v/>
      </c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1" t="n"/>
      <c r="AC26">
        <f>IF(C26="","",SUMPRODUCT(MAX(ISNUMBER(Settings!$B$17:$B$26)*(Settings!$B$17:$B$26&lt;=ROUND(C26*100,1))*Settings!$B$17:$B$26)))</f>
        <v/>
      </c>
      <c r="AD26">
        <f>IF(C26="","",ROUND(C26*1000,0)*1000+516)</f>
        <v/>
      </c>
      <c r="AE26">
        <f>IF(C26="",0,IF(ROUND(C26*100,1)&lt;N($AC$2),1,0))</f>
        <v/>
      </c>
    </row>
    <row r="27">
      <c r="A27" s="1" t="n"/>
      <c r="B27" s="31" t="n"/>
      <c r="C27" s="44">
        <f>IF(B27="","",IF((SUMPRODUCT(--ISNUMBER(H27:AA27),$H$52:$AA$52)+SUMPRODUCT(--(H27:AA27="M"),$H$52:$AA$52))=0,"",ROUND(SUMPRODUCT(H27:AA27,$H$53:$AA$53)/(SUMPRODUCT(--ISNUMBER(H27:AA27),$H$52:$AA$52)+SUMPRODUCT(--(H27:AA27="M"),$H$52:$AA$52))*100,1)/100))</f>
        <v/>
      </c>
      <c r="D27" s="34">
        <f>IF(C27="","",IFERROR(INDEX(Settings!$C$17:$C$26,MATCH(AC27,Settings!$B$17:$B$26,0)),""))</f>
        <v/>
      </c>
      <c r="E27" s="16">
        <f>IF(B27="","",COUNTIF(H27:AA27,"M"))</f>
        <v/>
      </c>
      <c r="F27" s="16">
        <f>IF(B27="","",COUNTIFS(Absences!$C$6:$C$405,Settings!$C$13,Absences!$D$6:$D$405,B27,Absences!$E$6:$E$405,"Absent"))</f>
        <v/>
      </c>
      <c r="G27" s="16">
        <f>IF(B27="","",COUNTIFS(Absences!$C$6:$C$405,Settings!$C$13,Absences!$D$6:$D$405,B27,Absences!$E$6:$E$405,"Late"))</f>
        <v/>
      </c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1" t="n"/>
      <c r="AC27">
        <f>IF(C27="","",SUMPRODUCT(MAX(ISNUMBER(Settings!$B$17:$B$26)*(Settings!$B$17:$B$26&lt;=ROUND(C27*100,1))*Settings!$B$17:$B$26)))</f>
        <v/>
      </c>
      <c r="AD27">
        <f>IF(C27="","",ROUND(C27*1000,0)*1000+517)</f>
        <v/>
      </c>
      <c r="AE27">
        <f>IF(C27="",0,IF(ROUND(C27*100,1)&lt;N($AC$2),1,0))</f>
        <v/>
      </c>
    </row>
    <row r="28">
      <c r="A28" s="1" t="n"/>
      <c r="B28" s="31" t="n"/>
      <c r="C28" s="44">
        <f>IF(B28="","",IF((SUMPRODUCT(--ISNUMBER(H28:AA28),$H$52:$AA$52)+SUMPRODUCT(--(H28:AA28="M"),$H$52:$AA$52))=0,"",ROUND(SUMPRODUCT(H28:AA28,$H$53:$AA$53)/(SUMPRODUCT(--ISNUMBER(H28:AA28),$H$52:$AA$52)+SUMPRODUCT(--(H28:AA28="M"),$H$52:$AA$52))*100,1)/100))</f>
        <v/>
      </c>
      <c r="D28" s="34">
        <f>IF(C28="","",IFERROR(INDEX(Settings!$C$17:$C$26,MATCH(AC28,Settings!$B$17:$B$26,0)),""))</f>
        <v/>
      </c>
      <c r="E28" s="16">
        <f>IF(B28="","",COUNTIF(H28:AA28,"M"))</f>
        <v/>
      </c>
      <c r="F28" s="16">
        <f>IF(B28="","",COUNTIFS(Absences!$C$6:$C$405,Settings!$C$13,Absences!$D$6:$D$405,B28,Absences!$E$6:$E$405,"Absent"))</f>
        <v/>
      </c>
      <c r="G28" s="16">
        <f>IF(B28="","",COUNTIFS(Absences!$C$6:$C$405,Settings!$C$13,Absences!$D$6:$D$405,B28,Absences!$E$6:$E$405,"Late"))</f>
        <v/>
      </c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1" t="n"/>
      <c r="AC28">
        <f>IF(C28="","",SUMPRODUCT(MAX(ISNUMBER(Settings!$B$17:$B$26)*(Settings!$B$17:$B$26&lt;=ROUND(C28*100,1))*Settings!$B$17:$B$26)))</f>
        <v/>
      </c>
      <c r="AD28">
        <f>IF(C28="","",ROUND(C28*1000,0)*1000+518)</f>
        <v/>
      </c>
      <c r="AE28">
        <f>IF(C28="",0,IF(ROUND(C28*100,1)&lt;N($AC$2),1,0))</f>
        <v/>
      </c>
    </row>
    <row r="29">
      <c r="A29" s="1" t="n"/>
      <c r="B29" s="31" t="n"/>
      <c r="C29" s="44">
        <f>IF(B29="","",IF((SUMPRODUCT(--ISNUMBER(H29:AA29),$H$52:$AA$52)+SUMPRODUCT(--(H29:AA29="M"),$H$52:$AA$52))=0,"",ROUND(SUMPRODUCT(H29:AA29,$H$53:$AA$53)/(SUMPRODUCT(--ISNUMBER(H29:AA29),$H$52:$AA$52)+SUMPRODUCT(--(H29:AA29="M"),$H$52:$AA$52))*100,1)/100))</f>
        <v/>
      </c>
      <c r="D29" s="34">
        <f>IF(C29="","",IFERROR(INDEX(Settings!$C$17:$C$26,MATCH(AC29,Settings!$B$17:$B$26,0)),""))</f>
        <v/>
      </c>
      <c r="E29" s="16">
        <f>IF(B29="","",COUNTIF(H29:AA29,"M"))</f>
        <v/>
      </c>
      <c r="F29" s="16">
        <f>IF(B29="","",COUNTIFS(Absences!$C$6:$C$405,Settings!$C$13,Absences!$D$6:$D$405,B29,Absences!$E$6:$E$405,"Absent"))</f>
        <v/>
      </c>
      <c r="G29" s="16">
        <f>IF(B29="","",COUNTIFS(Absences!$C$6:$C$405,Settings!$C$13,Absences!$D$6:$D$405,B29,Absences!$E$6:$E$405,"Late"))</f>
        <v/>
      </c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1" t="n"/>
      <c r="AC29">
        <f>IF(C29="","",SUMPRODUCT(MAX(ISNUMBER(Settings!$B$17:$B$26)*(Settings!$B$17:$B$26&lt;=ROUND(C29*100,1))*Settings!$B$17:$B$26)))</f>
        <v/>
      </c>
      <c r="AD29">
        <f>IF(C29="","",ROUND(C29*1000,0)*1000+519)</f>
        <v/>
      </c>
      <c r="AE29">
        <f>IF(C29="",0,IF(ROUND(C29*100,1)&lt;N($AC$2),1,0))</f>
        <v/>
      </c>
    </row>
    <row r="30">
      <c r="A30" s="1" t="n"/>
      <c r="B30" s="31" t="n"/>
      <c r="C30" s="44">
        <f>IF(B30="","",IF((SUMPRODUCT(--ISNUMBER(H30:AA30),$H$52:$AA$52)+SUMPRODUCT(--(H30:AA30="M"),$H$52:$AA$52))=0,"",ROUND(SUMPRODUCT(H30:AA30,$H$53:$AA$53)/(SUMPRODUCT(--ISNUMBER(H30:AA30),$H$52:$AA$52)+SUMPRODUCT(--(H30:AA30="M"),$H$52:$AA$52))*100,1)/100))</f>
        <v/>
      </c>
      <c r="D30" s="34">
        <f>IF(C30="","",IFERROR(INDEX(Settings!$C$17:$C$26,MATCH(AC30,Settings!$B$17:$B$26,0)),""))</f>
        <v/>
      </c>
      <c r="E30" s="16">
        <f>IF(B30="","",COUNTIF(H30:AA30,"M"))</f>
        <v/>
      </c>
      <c r="F30" s="16">
        <f>IF(B30="","",COUNTIFS(Absences!$C$6:$C$405,Settings!$C$13,Absences!$D$6:$D$405,B30,Absences!$E$6:$E$405,"Absent"))</f>
        <v/>
      </c>
      <c r="G30" s="16">
        <f>IF(B30="","",COUNTIFS(Absences!$C$6:$C$405,Settings!$C$13,Absences!$D$6:$D$405,B30,Absences!$E$6:$E$405,"Late"))</f>
        <v/>
      </c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1" t="n"/>
      <c r="AC30">
        <f>IF(C30="","",SUMPRODUCT(MAX(ISNUMBER(Settings!$B$17:$B$26)*(Settings!$B$17:$B$26&lt;=ROUND(C30*100,1))*Settings!$B$17:$B$26)))</f>
        <v/>
      </c>
      <c r="AD30">
        <f>IF(C30="","",ROUND(C30*1000,0)*1000+520)</f>
        <v/>
      </c>
      <c r="AE30">
        <f>IF(C30="",0,IF(ROUND(C30*100,1)&lt;N($AC$2),1,0))</f>
        <v/>
      </c>
    </row>
    <row r="31">
      <c r="A31" s="1" t="n"/>
      <c r="B31" s="31" t="n"/>
      <c r="C31" s="44">
        <f>IF(B31="","",IF((SUMPRODUCT(--ISNUMBER(H31:AA31),$H$52:$AA$52)+SUMPRODUCT(--(H31:AA31="M"),$H$52:$AA$52))=0,"",ROUND(SUMPRODUCT(H31:AA31,$H$53:$AA$53)/(SUMPRODUCT(--ISNUMBER(H31:AA31),$H$52:$AA$52)+SUMPRODUCT(--(H31:AA31="M"),$H$52:$AA$52))*100,1)/100))</f>
        <v/>
      </c>
      <c r="D31" s="34">
        <f>IF(C31="","",IFERROR(INDEX(Settings!$C$17:$C$26,MATCH(AC31,Settings!$B$17:$B$26,0)),""))</f>
        <v/>
      </c>
      <c r="E31" s="16">
        <f>IF(B31="","",COUNTIF(H31:AA31,"M"))</f>
        <v/>
      </c>
      <c r="F31" s="16">
        <f>IF(B31="","",COUNTIFS(Absences!$C$6:$C$405,Settings!$C$13,Absences!$D$6:$D$405,B31,Absences!$E$6:$E$405,"Absent"))</f>
        <v/>
      </c>
      <c r="G31" s="16">
        <f>IF(B31="","",COUNTIFS(Absences!$C$6:$C$405,Settings!$C$13,Absences!$D$6:$D$405,B31,Absences!$E$6:$E$405,"Late"))</f>
        <v/>
      </c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1" t="n"/>
      <c r="AC31">
        <f>IF(C31="","",SUMPRODUCT(MAX(ISNUMBER(Settings!$B$17:$B$26)*(Settings!$B$17:$B$26&lt;=ROUND(C31*100,1))*Settings!$B$17:$B$26)))</f>
        <v/>
      </c>
      <c r="AD31">
        <f>IF(C31="","",ROUND(C31*1000,0)*1000+521)</f>
        <v/>
      </c>
      <c r="AE31">
        <f>IF(C31="",0,IF(ROUND(C31*100,1)&lt;N($AC$2),1,0))</f>
        <v/>
      </c>
    </row>
    <row r="32">
      <c r="A32" s="1" t="n"/>
      <c r="B32" s="31" t="n"/>
      <c r="C32" s="44">
        <f>IF(B32="","",IF((SUMPRODUCT(--ISNUMBER(H32:AA32),$H$52:$AA$52)+SUMPRODUCT(--(H32:AA32="M"),$H$52:$AA$52))=0,"",ROUND(SUMPRODUCT(H32:AA32,$H$53:$AA$53)/(SUMPRODUCT(--ISNUMBER(H32:AA32),$H$52:$AA$52)+SUMPRODUCT(--(H32:AA32="M"),$H$52:$AA$52))*100,1)/100))</f>
        <v/>
      </c>
      <c r="D32" s="34">
        <f>IF(C32="","",IFERROR(INDEX(Settings!$C$17:$C$26,MATCH(AC32,Settings!$B$17:$B$26,0)),""))</f>
        <v/>
      </c>
      <c r="E32" s="16">
        <f>IF(B32="","",COUNTIF(H32:AA32,"M"))</f>
        <v/>
      </c>
      <c r="F32" s="16">
        <f>IF(B32="","",COUNTIFS(Absences!$C$6:$C$405,Settings!$C$13,Absences!$D$6:$D$405,B32,Absences!$E$6:$E$405,"Absent"))</f>
        <v/>
      </c>
      <c r="G32" s="16">
        <f>IF(B32="","",COUNTIFS(Absences!$C$6:$C$405,Settings!$C$13,Absences!$D$6:$D$405,B32,Absences!$E$6:$E$405,"Late"))</f>
        <v/>
      </c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1" t="n"/>
      <c r="AC32">
        <f>IF(C32="","",SUMPRODUCT(MAX(ISNUMBER(Settings!$B$17:$B$26)*(Settings!$B$17:$B$26&lt;=ROUND(C32*100,1))*Settings!$B$17:$B$26)))</f>
        <v/>
      </c>
      <c r="AD32">
        <f>IF(C32="","",ROUND(C32*1000,0)*1000+522)</f>
        <v/>
      </c>
      <c r="AE32">
        <f>IF(C32="",0,IF(ROUND(C32*100,1)&lt;N($AC$2),1,0))</f>
        <v/>
      </c>
    </row>
    <row r="33">
      <c r="A33" s="1" t="n"/>
      <c r="B33" s="31" t="n"/>
      <c r="C33" s="44">
        <f>IF(B33="","",IF((SUMPRODUCT(--ISNUMBER(H33:AA33),$H$52:$AA$52)+SUMPRODUCT(--(H33:AA33="M"),$H$52:$AA$52))=0,"",ROUND(SUMPRODUCT(H33:AA33,$H$53:$AA$53)/(SUMPRODUCT(--ISNUMBER(H33:AA33),$H$52:$AA$52)+SUMPRODUCT(--(H33:AA33="M"),$H$52:$AA$52))*100,1)/100))</f>
        <v/>
      </c>
      <c r="D33" s="34">
        <f>IF(C33="","",IFERROR(INDEX(Settings!$C$17:$C$26,MATCH(AC33,Settings!$B$17:$B$26,0)),""))</f>
        <v/>
      </c>
      <c r="E33" s="16">
        <f>IF(B33="","",COUNTIF(H33:AA33,"M"))</f>
        <v/>
      </c>
      <c r="F33" s="16">
        <f>IF(B33="","",COUNTIFS(Absences!$C$6:$C$405,Settings!$C$13,Absences!$D$6:$D$405,B33,Absences!$E$6:$E$405,"Absent"))</f>
        <v/>
      </c>
      <c r="G33" s="16">
        <f>IF(B33="","",COUNTIFS(Absences!$C$6:$C$405,Settings!$C$13,Absences!$D$6:$D$405,B33,Absences!$E$6:$E$405,"Late"))</f>
        <v/>
      </c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1" t="n"/>
      <c r="AC33">
        <f>IF(C33="","",SUMPRODUCT(MAX(ISNUMBER(Settings!$B$17:$B$26)*(Settings!$B$17:$B$26&lt;=ROUND(C33*100,1))*Settings!$B$17:$B$26)))</f>
        <v/>
      </c>
      <c r="AD33">
        <f>IF(C33="","",ROUND(C33*1000,0)*1000+523)</f>
        <v/>
      </c>
      <c r="AE33">
        <f>IF(C33="",0,IF(ROUND(C33*100,1)&lt;N($AC$2),1,0))</f>
        <v/>
      </c>
    </row>
    <row r="34">
      <c r="A34" s="1" t="n"/>
      <c r="B34" s="31" t="n"/>
      <c r="C34" s="44">
        <f>IF(B34="","",IF((SUMPRODUCT(--ISNUMBER(H34:AA34),$H$52:$AA$52)+SUMPRODUCT(--(H34:AA34="M"),$H$52:$AA$52))=0,"",ROUND(SUMPRODUCT(H34:AA34,$H$53:$AA$53)/(SUMPRODUCT(--ISNUMBER(H34:AA34),$H$52:$AA$52)+SUMPRODUCT(--(H34:AA34="M"),$H$52:$AA$52))*100,1)/100))</f>
        <v/>
      </c>
      <c r="D34" s="34">
        <f>IF(C34="","",IFERROR(INDEX(Settings!$C$17:$C$26,MATCH(AC34,Settings!$B$17:$B$26,0)),""))</f>
        <v/>
      </c>
      <c r="E34" s="16">
        <f>IF(B34="","",COUNTIF(H34:AA34,"M"))</f>
        <v/>
      </c>
      <c r="F34" s="16">
        <f>IF(B34="","",COUNTIFS(Absences!$C$6:$C$405,Settings!$C$13,Absences!$D$6:$D$405,B34,Absences!$E$6:$E$405,"Absent"))</f>
        <v/>
      </c>
      <c r="G34" s="16">
        <f>IF(B34="","",COUNTIFS(Absences!$C$6:$C$405,Settings!$C$13,Absences!$D$6:$D$405,B34,Absences!$E$6:$E$405,"Late"))</f>
        <v/>
      </c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1" t="n"/>
      <c r="AC34">
        <f>IF(C34="","",SUMPRODUCT(MAX(ISNUMBER(Settings!$B$17:$B$26)*(Settings!$B$17:$B$26&lt;=ROUND(C34*100,1))*Settings!$B$17:$B$26)))</f>
        <v/>
      </c>
      <c r="AD34">
        <f>IF(C34="","",ROUND(C34*1000,0)*1000+524)</f>
        <v/>
      </c>
      <c r="AE34">
        <f>IF(C34="",0,IF(ROUND(C34*100,1)&lt;N($AC$2),1,0))</f>
        <v/>
      </c>
    </row>
    <row r="35">
      <c r="A35" s="1" t="n"/>
      <c r="B35" s="31" t="n"/>
      <c r="C35" s="44">
        <f>IF(B35="","",IF((SUMPRODUCT(--ISNUMBER(H35:AA35),$H$52:$AA$52)+SUMPRODUCT(--(H35:AA35="M"),$H$52:$AA$52))=0,"",ROUND(SUMPRODUCT(H35:AA35,$H$53:$AA$53)/(SUMPRODUCT(--ISNUMBER(H35:AA35),$H$52:$AA$52)+SUMPRODUCT(--(H35:AA35="M"),$H$52:$AA$52))*100,1)/100))</f>
        <v/>
      </c>
      <c r="D35" s="34">
        <f>IF(C35="","",IFERROR(INDEX(Settings!$C$17:$C$26,MATCH(AC35,Settings!$B$17:$B$26,0)),""))</f>
        <v/>
      </c>
      <c r="E35" s="16">
        <f>IF(B35="","",COUNTIF(H35:AA35,"M"))</f>
        <v/>
      </c>
      <c r="F35" s="16">
        <f>IF(B35="","",COUNTIFS(Absences!$C$6:$C$405,Settings!$C$13,Absences!$D$6:$D$405,B35,Absences!$E$6:$E$405,"Absent"))</f>
        <v/>
      </c>
      <c r="G35" s="16">
        <f>IF(B35="","",COUNTIFS(Absences!$C$6:$C$405,Settings!$C$13,Absences!$D$6:$D$405,B35,Absences!$E$6:$E$405,"Late"))</f>
        <v/>
      </c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1" t="n"/>
      <c r="AC35">
        <f>IF(C35="","",SUMPRODUCT(MAX(ISNUMBER(Settings!$B$17:$B$26)*(Settings!$B$17:$B$26&lt;=ROUND(C35*100,1))*Settings!$B$17:$B$26)))</f>
        <v/>
      </c>
      <c r="AD35">
        <f>IF(C35="","",ROUND(C35*1000,0)*1000+525)</f>
        <v/>
      </c>
      <c r="AE35">
        <f>IF(C35="",0,IF(ROUND(C35*100,1)&lt;N($AC$2),1,0))</f>
        <v/>
      </c>
    </row>
    <row r="36">
      <c r="A36" s="1" t="n"/>
      <c r="B36" s="31" t="n"/>
      <c r="C36" s="44">
        <f>IF(B36="","",IF((SUMPRODUCT(--ISNUMBER(H36:AA36),$H$52:$AA$52)+SUMPRODUCT(--(H36:AA36="M"),$H$52:$AA$52))=0,"",ROUND(SUMPRODUCT(H36:AA36,$H$53:$AA$53)/(SUMPRODUCT(--ISNUMBER(H36:AA36),$H$52:$AA$52)+SUMPRODUCT(--(H36:AA36="M"),$H$52:$AA$52))*100,1)/100))</f>
        <v/>
      </c>
      <c r="D36" s="34">
        <f>IF(C36="","",IFERROR(INDEX(Settings!$C$17:$C$26,MATCH(AC36,Settings!$B$17:$B$26,0)),""))</f>
        <v/>
      </c>
      <c r="E36" s="16">
        <f>IF(B36="","",COUNTIF(H36:AA36,"M"))</f>
        <v/>
      </c>
      <c r="F36" s="16">
        <f>IF(B36="","",COUNTIFS(Absences!$C$6:$C$405,Settings!$C$13,Absences!$D$6:$D$405,B36,Absences!$E$6:$E$405,"Absent"))</f>
        <v/>
      </c>
      <c r="G36" s="16">
        <f>IF(B36="","",COUNTIFS(Absences!$C$6:$C$405,Settings!$C$13,Absences!$D$6:$D$405,B36,Absences!$E$6:$E$405,"Late"))</f>
        <v/>
      </c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1" t="n"/>
      <c r="AC36">
        <f>IF(C36="","",SUMPRODUCT(MAX(ISNUMBER(Settings!$B$17:$B$26)*(Settings!$B$17:$B$26&lt;=ROUND(C36*100,1))*Settings!$B$17:$B$26)))</f>
        <v/>
      </c>
      <c r="AD36">
        <f>IF(C36="","",ROUND(C36*1000,0)*1000+526)</f>
        <v/>
      </c>
      <c r="AE36">
        <f>IF(C36="",0,IF(ROUND(C36*100,1)&lt;N($AC$2),1,0))</f>
        <v/>
      </c>
    </row>
    <row r="37">
      <c r="A37" s="1" t="n"/>
      <c r="B37" s="31" t="n"/>
      <c r="C37" s="44">
        <f>IF(B37="","",IF((SUMPRODUCT(--ISNUMBER(H37:AA37),$H$52:$AA$52)+SUMPRODUCT(--(H37:AA37="M"),$H$52:$AA$52))=0,"",ROUND(SUMPRODUCT(H37:AA37,$H$53:$AA$53)/(SUMPRODUCT(--ISNUMBER(H37:AA37),$H$52:$AA$52)+SUMPRODUCT(--(H37:AA37="M"),$H$52:$AA$52))*100,1)/100))</f>
        <v/>
      </c>
      <c r="D37" s="34">
        <f>IF(C37="","",IFERROR(INDEX(Settings!$C$17:$C$26,MATCH(AC37,Settings!$B$17:$B$26,0)),""))</f>
        <v/>
      </c>
      <c r="E37" s="16">
        <f>IF(B37="","",COUNTIF(H37:AA37,"M"))</f>
        <v/>
      </c>
      <c r="F37" s="16">
        <f>IF(B37="","",COUNTIFS(Absences!$C$6:$C$405,Settings!$C$13,Absences!$D$6:$D$405,B37,Absences!$E$6:$E$405,"Absent"))</f>
        <v/>
      </c>
      <c r="G37" s="16">
        <f>IF(B37="","",COUNTIFS(Absences!$C$6:$C$405,Settings!$C$13,Absences!$D$6:$D$405,B37,Absences!$E$6:$E$405,"Late"))</f>
        <v/>
      </c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1" t="n"/>
      <c r="AC37">
        <f>IF(C37="","",SUMPRODUCT(MAX(ISNUMBER(Settings!$B$17:$B$26)*(Settings!$B$17:$B$26&lt;=ROUND(C37*100,1))*Settings!$B$17:$B$26)))</f>
        <v/>
      </c>
      <c r="AD37">
        <f>IF(C37="","",ROUND(C37*1000,0)*1000+527)</f>
        <v/>
      </c>
      <c r="AE37">
        <f>IF(C37="",0,IF(ROUND(C37*100,1)&lt;N($AC$2),1,0))</f>
        <v/>
      </c>
    </row>
    <row r="38">
      <c r="A38" s="1" t="n"/>
      <c r="B38" s="31" t="n"/>
      <c r="C38" s="44">
        <f>IF(B38="","",IF((SUMPRODUCT(--ISNUMBER(H38:AA38),$H$52:$AA$52)+SUMPRODUCT(--(H38:AA38="M"),$H$52:$AA$52))=0,"",ROUND(SUMPRODUCT(H38:AA38,$H$53:$AA$53)/(SUMPRODUCT(--ISNUMBER(H38:AA38),$H$52:$AA$52)+SUMPRODUCT(--(H38:AA38="M"),$H$52:$AA$52))*100,1)/100))</f>
        <v/>
      </c>
      <c r="D38" s="34">
        <f>IF(C38="","",IFERROR(INDEX(Settings!$C$17:$C$26,MATCH(AC38,Settings!$B$17:$B$26,0)),""))</f>
        <v/>
      </c>
      <c r="E38" s="16">
        <f>IF(B38="","",COUNTIF(H38:AA38,"M"))</f>
        <v/>
      </c>
      <c r="F38" s="16">
        <f>IF(B38="","",COUNTIFS(Absences!$C$6:$C$405,Settings!$C$13,Absences!$D$6:$D$405,B38,Absences!$E$6:$E$405,"Absent"))</f>
        <v/>
      </c>
      <c r="G38" s="16">
        <f>IF(B38="","",COUNTIFS(Absences!$C$6:$C$405,Settings!$C$13,Absences!$D$6:$D$405,B38,Absences!$E$6:$E$405,"Late"))</f>
        <v/>
      </c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1" t="n"/>
      <c r="AC38">
        <f>IF(C38="","",SUMPRODUCT(MAX(ISNUMBER(Settings!$B$17:$B$26)*(Settings!$B$17:$B$26&lt;=ROUND(C38*100,1))*Settings!$B$17:$B$26)))</f>
        <v/>
      </c>
      <c r="AD38">
        <f>IF(C38="","",ROUND(C38*1000,0)*1000+528)</f>
        <v/>
      </c>
      <c r="AE38">
        <f>IF(C38="",0,IF(ROUND(C38*100,1)&lt;N($AC$2),1,0))</f>
        <v/>
      </c>
    </row>
    <row r="39">
      <c r="A39" s="1" t="n"/>
      <c r="B39" s="31" t="n"/>
      <c r="C39" s="44">
        <f>IF(B39="","",IF((SUMPRODUCT(--ISNUMBER(H39:AA39),$H$52:$AA$52)+SUMPRODUCT(--(H39:AA39="M"),$H$52:$AA$52))=0,"",ROUND(SUMPRODUCT(H39:AA39,$H$53:$AA$53)/(SUMPRODUCT(--ISNUMBER(H39:AA39),$H$52:$AA$52)+SUMPRODUCT(--(H39:AA39="M"),$H$52:$AA$52))*100,1)/100))</f>
        <v/>
      </c>
      <c r="D39" s="34">
        <f>IF(C39="","",IFERROR(INDEX(Settings!$C$17:$C$26,MATCH(AC39,Settings!$B$17:$B$26,0)),""))</f>
        <v/>
      </c>
      <c r="E39" s="16">
        <f>IF(B39="","",COUNTIF(H39:AA39,"M"))</f>
        <v/>
      </c>
      <c r="F39" s="16">
        <f>IF(B39="","",COUNTIFS(Absences!$C$6:$C$405,Settings!$C$13,Absences!$D$6:$D$405,B39,Absences!$E$6:$E$405,"Absent"))</f>
        <v/>
      </c>
      <c r="G39" s="16">
        <f>IF(B39="","",COUNTIFS(Absences!$C$6:$C$405,Settings!$C$13,Absences!$D$6:$D$405,B39,Absences!$E$6:$E$405,"Late"))</f>
        <v/>
      </c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1" t="n"/>
      <c r="AC39">
        <f>IF(C39="","",SUMPRODUCT(MAX(ISNUMBER(Settings!$B$17:$B$26)*(Settings!$B$17:$B$26&lt;=ROUND(C39*100,1))*Settings!$B$17:$B$26)))</f>
        <v/>
      </c>
      <c r="AD39">
        <f>IF(C39="","",ROUND(C39*1000,0)*1000+529)</f>
        <v/>
      </c>
      <c r="AE39">
        <f>IF(C39="",0,IF(ROUND(C39*100,1)&lt;N($AC$2),1,0))</f>
        <v/>
      </c>
    </row>
    <row r="40">
      <c r="A40" s="1" t="n"/>
      <c r="B40" s="31" t="n"/>
      <c r="C40" s="44">
        <f>IF(B40="","",IF((SUMPRODUCT(--ISNUMBER(H40:AA40),$H$52:$AA$52)+SUMPRODUCT(--(H40:AA40="M"),$H$52:$AA$52))=0,"",ROUND(SUMPRODUCT(H40:AA40,$H$53:$AA$53)/(SUMPRODUCT(--ISNUMBER(H40:AA40),$H$52:$AA$52)+SUMPRODUCT(--(H40:AA40="M"),$H$52:$AA$52))*100,1)/100))</f>
        <v/>
      </c>
      <c r="D40" s="34">
        <f>IF(C40="","",IFERROR(INDEX(Settings!$C$17:$C$26,MATCH(AC40,Settings!$B$17:$B$26,0)),""))</f>
        <v/>
      </c>
      <c r="E40" s="16">
        <f>IF(B40="","",COUNTIF(H40:AA40,"M"))</f>
        <v/>
      </c>
      <c r="F40" s="16">
        <f>IF(B40="","",COUNTIFS(Absences!$C$6:$C$405,Settings!$C$13,Absences!$D$6:$D$405,B40,Absences!$E$6:$E$405,"Absent"))</f>
        <v/>
      </c>
      <c r="G40" s="16">
        <f>IF(B40="","",COUNTIFS(Absences!$C$6:$C$405,Settings!$C$13,Absences!$D$6:$D$405,B40,Absences!$E$6:$E$405,"Late"))</f>
        <v/>
      </c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1" t="n"/>
      <c r="AC40">
        <f>IF(C40="","",SUMPRODUCT(MAX(ISNUMBER(Settings!$B$17:$B$26)*(Settings!$B$17:$B$26&lt;=ROUND(C40*100,1))*Settings!$B$17:$B$26)))</f>
        <v/>
      </c>
      <c r="AD40">
        <f>IF(C40="","",ROUND(C40*1000,0)*1000+530)</f>
        <v/>
      </c>
      <c r="AE40">
        <f>IF(C40="",0,IF(ROUND(C40*100,1)&lt;N($AC$2),1,0))</f>
        <v/>
      </c>
    </row>
    <row r="41">
      <c r="A41" s="1" t="n"/>
      <c r="B41" s="31" t="n"/>
      <c r="C41" s="44">
        <f>IF(B41="","",IF((SUMPRODUCT(--ISNUMBER(H41:AA41),$H$52:$AA$52)+SUMPRODUCT(--(H41:AA41="M"),$H$52:$AA$52))=0,"",ROUND(SUMPRODUCT(H41:AA41,$H$53:$AA$53)/(SUMPRODUCT(--ISNUMBER(H41:AA41),$H$52:$AA$52)+SUMPRODUCT(--(H41:AA41="M"),$H$52:$AA$52))*100,1)/100))</f>
        <v/>
      </c>
      <c r="D41" s="34">
        <f>IF(C41="","",IFERROR(INDEX(Settings!$C$17:$C$26,MATCH(AC41,Settings!$B$17:$B$26,0)),""))</f>
        <v/>
      </c>
      <c r="E41" s="16">
        <f>IF(B41="","",COUNTIF(H41:AA41,"M"))</f>
        <v/>
      </c>
      <c r="F41" s="16">
        <f>IF(B41="","",COUNTIFS(Absences!$C$6:$C$405,Settings!$C$13,Absences!$D$6:$D$405,B41,Absences!$E$6:$E$405,"Absent"))</f>
        <v/>
      </c>
      <c r="G41" s="16">
        <f>IF(B41="","",COUNTIFS(Absences!$C$6:$C$405,Settings!$C$13,Absences!$D$6:$D$405,B41,Absences!$E$6:$E$405,"Late"))</f>
        <v/>
      </c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1" t="n"/>
      <c r="AC41">
        <f>IF(C41="","",SUMPRODUCT(MAX(ISNUMBER(Settings!$B$17:$B$26)*(Settings!$B$17:$B$26&lt;=ROUND(C41*100,1))*Settings!$B$17:$B$26)))</f>
        <v/>
      </c>
      <c r="AD41">
        <f>IF(C41="","",ROUND(C41*1000,0)*1000+531)</f>
        <v/>
      </c>
      <c r="AE41">
        <f>IF(C41="",0,IF(ROUND(C41*100,1)&lt;N($AC$2),1,0))</f>
        <v/>
      </c>
    </row>
    <row r="42">
      <c r="A42" s="1" t="n"/>
      <c r="B42" s="31" t="n"/>
      <c r="C42" s="44">
        <f>IF(B42="","",IF((SUMPRODUCT(--ISNUMBER(H42:AA42),$H$52:$AA$52)+SUMPRODUCT(--(H42:AA42="M"),$H$52:$AA$52))=0,"",ROUND(SUMPRODUCT(H42:AA42,$H$53:$AA$53)/(SUMPRODUCT(--ISNUMBER(H42:AA42),$H$52:$AA$52)+SUMPRODUCT(--(H42:AA42="M"),$H$52:$AA$52))*100,1)/100))</f>
        <v/>
      </c>
      <c r="D42" s="34">
        <f>IF(C42="","",IFERROR(INDEX(Settings!$C$17:$C$26,MATCH(AC42,Settings!$B$17:$B$26,0)),""))</f>
        <v/>
      </c>
      <c r="E42" s="16">
        <f>IF(B42="","",COUNTIF(H42:AA42,"M"))</f>
        <v/>
      </c>
      <c r="F42" s="16">
        <f>IF(B42="","",COUNTIFS(Absences!$C$6:$C$405,Settings!$C$13,Absences!$D$6:$D$405,B42,Absences!$E$6:$E$405,"Absent"))</f>
        <v/>
      </c>
      <c r="G42" s="16">
        <f>IF(B42="","",COUNTIFS(Absences!$C$6:$C$405,Settings!$C$13,Absences!$D$6:$D$405,B42,Absences!$E$6:$E$405,"Late"))</f>
        <v/>
      </c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1" t="n"/>
      <c r="AC42">
        <f>IF(C42="","",SUMPRODUCT(MAX(ISNUMBER(Settings!$B$17:$B$26)*(Settings!$B$17:$B$26&lt;=ROUND(C42*100,1))*Settings!$B$17:$B$26)))</f>
        <v/>
      </c>
      <c r="AD42">
        <f>IF(C42="","",ROUND(C42*1000,0)*1000+532)</f>
        <v/>
      </c>
      <c r="AE42">
        <f>IF(C42="",0,IF(ROUND(C42*100,1)&lt;N($AC$2),1,0))</f>
        <v/>
      </c>
    </row>
    <row r="43">
      <c r="A43" s="1" t="n"/>
      <c r="B43" s="31" t="n"/>
      <c r="C43" s="44">
        <f>IF(B43="","",IF((SUMPRODUCT(--ISNUMBER(H43:AA43),$H$52:$AA$52)+SUMPRODUCT(--(H43:AA43="M"),$H$52:$AA$52))=0,"",ROUND(SUMPRODUCT(H43:AA43,$H$53:$AA$53)/(SUMPRODUCT(--ISNUMBER(H43:AA43),$H$52:$AA$52)+SUMPRODUCT(--(H43:AA43="M"),$H$52:$AA$52))*100,1)/100))</f>
        <v/>
      </c>
      <c r="D43" s="34">
        <f>IF(C43="","",IFERROR(INDEX(Settings!$C$17:$C$26,MATCH(AC43,Settings!$B$17:$B$26,0)),""))</f>
        <v/>
      </c>
      <c r="E43" s="16">
        <f>IF(B43="","",COUNTIF(H43:AA43,"M"))</f>
        <v/>
      </c>
      <c r="F43" s="16">
        <f>IF(B43="","",COUNTIFS(Absences!$C$6:$C$405,Settings!$C$13,Absences!$D$6:$D$405,B43,Absences!$E$6:$E$405,"Absent"))</f>
        <v/>
      </c>
      <c r="G43" s="16">
        <f>IF(B43="","",COUNTIFS(Absences!$C$6:$C$405,Settings!$C$13,Absences!$D$6:$D$405,B43,Absences!$E$6:$E$405,"Late"))</f>
        <v/>
      </c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1" t="n"/>
      <c r="AC43">
        <f>IF(C43="","",SUMPRODUCT(MAX(ISNUMBER(Settings!$B$17:$B$26)*(Settings!$B$17:$B$26&lt;=ROUND(C43*100,1))*Settings!$B$17:$B$26)))</f>
        <v/>
      </c>
      <c r="AD43">
        <f>IF(C43="","",ROUND(C43*1000,0)*1000+533)</f>
        <v/>
      </c>
      <c r="AE43">
        <f>IF(C43="",0,IF(ROUND(C43*100,1)&lt;N($AC$2),1,0))</f>
        <v/>
      </c>
    </row>
    <row r="44">
      <c r="A44" s="1" t="n"/>
      <c r="B44" s="31" t="n"/>
      <c r="C44" s="44">
        <f>IF(B44="","",IF((SUMPRODUCT(--ISNUMBER(H44:AA44),$H$52:$AA$52)+SUMPRODUCT(--(H44:AA44="M"),$H$52:$AA$52))=0,"",ROUND(SUMPRODUCT(H44:AA44,$H$53:$AA$53)/(SUMPRODUCT(--ISNUMBER(H44:AA44),$H$52:$AA$52)+SUMPRODUCT(--(H44:AA44="M"),$H$52:$AA$52))*100,1)/100))</f>
        <v/>
      </c>
      <c r="D44" s="34">
        <f>IF(C44="","",IFERROR(INDEX(Settings!$C$17:$C$26,MATCH(AC44,Settings!$B$17:$B$26,0)),""))</f>
        <v/>
      </c>
      <c r="E44" s="16">
        <f>IF(B44="","",COUNTIF(H44:AA44,"M"))</f>
        <v/>
      </c>
      <c r="F44" s="16">
        <f>IF(B44="","",COUNTIFS(Absences!$C$6:$C$405,Settings!$C$13,Absences!$D$6:$D$405,B44,Absences!$E$6:$E$405,"Absent"))</f>
        <v/>
      </c>
      <c r="G44" s="16">
        <f>IF(B44="","",COUNTIFS(Absences!$C$6:$C$405,Settings!$C$13,Absences!$D$6:$D$405,B44,Absences!$E$6:$E$405,"Late"))</f>
        <v/>
      </c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1" t="n"/>
      <c r="AC44">
        <f>IF(C44="","",SUMPRODUCT(MAX(ISNUMBER(Settings!$B$17:$B$26)*(Settings!$B$17:$B$26&lt;=ROUND(C44*100,1))*Settings!$B$17:$B$26)))</f>
        <v/>
      </c>
      <c r="AD44">
        <f>IF(C44="","",ROUND(C44*1000,0)*1000+534)</f>
        <v/>
      </c>
      <c r="AE44">
        <f>IF(C44="",0,IF(ROUND(C44*100,1)&lt;N($AC$2),1,0))</f>
        <v/>
      </c>
    </row>
    <row r="45">
      <c r="A45" s="1" t="n"/>
      <c r="B45" s="31" t="n"/>
      <c r="C45" s="44">
        <f>IF(B45="","",IF((SUMPRODUCT(--ISNUMBER(H45:AA45),$H$52:$AA$52)+SUMPRODUCT(--(H45:AA45="M"),$H$52:$AA$52))=0,"",ROUND(SUMPRODUCT(H45:AA45,$H$53:$AA$53)/(SUMPRODUCT(--ISNUMBER(H45:AA45),$H$52:$AA$52)+SUMPRODUCT(--(H45:AA45="M"),$H$52:$AA$52))*100,1)/100))</f>
        <v/>
      </c>
      <c r="D45" s="34">
        <f>IF(C45="","",IFERROR(INDEX(Settings!$C$17:$C$26,MATCH(AC45,Settings!$B$17:$B$26,0)),""))</f>
        <v/>
      </c>
      <c r="E45" s="16">
        <f>IF(B45="","",COUNTIF(H45:AA45,"M"))</f>
        <v/>
      </c>
      <c r="F45" s="16">
        <f>IF(B45="","",COUNTIFS(Absences!$C$6:$C$405,Settings!$C$13,Absences!$D$6:$D$405,B45,Absences!$E$6:$E$405,"Absent"))</f>
        <v/>
      </c>
      <c r="G45" s="16">
        <f>IF(B45="","",COUNTIFS(Absences!$C$6:$C$405,Settings!$C$13,Absences!$D$6:$D$405,B45,Absences!$E$6:$E$405,"Late"))</f>
        <v/>
      </c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1" t="n"/>
      <c r="AC45">
        <f>IF(C45="","",SUMPRODUCT(MAX(ISNUMBER(Settings!$B$17:$B$26)*(Settings!$B$17:$B$26&lt;=ROUND(C45*100,1))*Settings!$B$17:$B$26)))</f>
        <v/>
      </c>
      <c r="AD45">
        <f>IF(C45="","",ROUND(C45*1000,0)*1000+535)</f>
        <v/>
      </c>
      <c r="AE45">
        <f>IF(C45="",0,IF(ROUND(C45*100,1)&lt;N($AC$2),1,0))</f>
        <v/>
      </c>
    </row>
    <row r="46">
      <c r="A46" s="1" t="n"/>
      <c r="B46" s="31" t="n"/>
      <c r="C46" s="44">
        <f>IF(B46="","",IF((SUMPRODUCT(--ISNUMBER(H46:AA46),$H$52:$AA$52)+SUMPRODUCT(--(H46:AA46="M"),$H$52:$AA$52))=0,"",ROUND(SUMPRODUCT(H46:AA46,$H$53:$AA$53)/(SUMPRODUCT(--ISNUMBER(H46:AA46),$H$52:$AA$52)+SUMPRODUCT(--(H46:AA46="M"),$H$52:$AA$52))*100,1)/100))</f>
        <v/>
      </c>
      <c r="D46" s="34">
        <f>IF(C46="","",IFERROR(INDEX(Settings!$C$17:$C$26,MATCH(AC46,Settings!$B$17:$B$26,0)),""))</f>
        <v/>
      </c>
      <c r="E46" s="16">
        <f>IF(B46="","",COUNTIF(H46:AA46,"M"))</f>
        <v/>
      </c>
      <c r="F46" s="16">
        <f>IF(B46="","",COUNTIFS(Absences!$C$6:$C$405,Settings!$C$13,Absences!$D$6:$D$405,B46,Absences!$E$6:$E$405,"Absent"))</f>
        <v/>
      </c>
      <c r="G46" s="16">
        <f>IF(B46="","",COUNTIFS(Absences!$C$6:$C$405,Settings!$C$13,Absences!$D$6:$D$405,B46,Absences!$E$6:$E$405,"Late"))</f>
        <v/>
      </c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1" t="n"/>
      <c r="AC46">
        <f>IF(C46="","",SUMPRODUCT(MAX(ISNUMBER(Settings!$B$17:$B$26)*(Settings!$B$17:$B$26&lt;=ROUND(C46*100,1))*Settings!$B$17:$B$26)))</f>
        <v/>
      </c>
      <c r="AD46">
        <f>IF(C46="","",ROUND(C46*1000,0)*1000+536)</f>
        <v/>
      </c>
      <c r="AE46">
        <f>IF(C46="",0,IF(ROUND(C46*100,1)&lt;N($AC$2),1,0))</f>
        <v/>
      </c>
    </row>
    <row r="47">
      <c r="A47" s="1" t="n"/>
      <c r="B47" s="31" t="n"/>
      <c r="C47" s="44">
        <f>IF(B47="","",IF((SUMPRODUCT(--ISNUMBER(H47:AA47),$H$52:$AA$52)+SUMPRODUCT(--(H47:AA47="M"),$H$52:$AA$52))=0,"",ROUND(SUMPRODUCT(H47:AA47,$H$53:$AA$53)/(SUMPRODUCT(--ISNUMBER(H47:AA47),$H$52:$AA$52)+SUMPRODUCT(--(H47:AA47="M"),$H$52:$AA$52))*100,1)/100))</f>
        <v/>
      </c>
      <c r="D47" s="34">
        <f>IF(C47="","",IFERROR(INDEX(Settings!$C$17:$C$26,MATCH(AC47,Settings!$B$17:$B$26,0)),""))</f>
        <v/>
      </c>
      <c r="E47" s="16">
        <f>IF(B47="","",COUNTIF(H47:AA47,"M"))</f>
        <v/>
      </c>
      <c r="F47" s="16">
        <f>IF(B47="","",COUNTIFS(Absences!$C$6:$C$405,Settings!$C$13,Absences!$D$6:$D$405,B47,Absences!$E$6:$E$405,"Absent"))</f>
        <v/>
      </c>
      <c r="G47" s="16">
        <f>IF(B47="","",COUNTIFS(Absences!$C$6:$C$405,Settings!$C$13,Absences!$D$6:$D$405,B47,Absences!$E$6:$E$405,"Late"))</f>
        <v/>
      </c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1" t="n"/>
      <c r="AC47">
        <f>IF(C47="","",SUMPRODUCT(MAX(ISNUMBER(Settings!$B$17:$B$26)*(Settings!$B$17:$B$26&lt;=ROUND(C47*100,1))*Settings!$B$17:$B$26)))</f>
        <v/>
      </c>
      <c r="AD47">
        <f>IF(C47="","",ROUND(C47*1000,0)*1000+537)</f>
        <v/>
      </c>
      <c r="AE47">
        <f>IF(C47="",0,IF(ROUND(C47*100,1)&lt;N($AC$2),1,0))</f>
        <v/>
      </c>
    </row>
    <row r="48">
      <c r="A48" s="1" t="n"/>
      <c r="B48" s="31" t="n"/>
      <c r="C48" s="44">
        <f>IF(B48="","",IF((SUMPRODUCT(--ISNUMBER(H48:AA48),$H$52:$AA$52)+SUMPRODUCT(--(H48:AA48="M"),$H$52:$AA$52))=0,"",ROUND(SUMPRODUCT(H48:AA48,$H$53:$AA$53)/(SUMPRODUCT(--ISNUMBER(H48:AA48),$H$52:$AA$52)+SUMPRODUCT(--(H48:AA48="M"),$H$52:$AA$52))*100,1)/100))</f>
        <v/>
      </c>
      <c r="D48" s="34">
        <f>IF(C48="","",IFERROR(INDEX(Settings!$C$17:$C$26,MATCH(AC48,Settings!$B$17:$B$26,0)),""))</f>
        <v/>
      </c>
      <c r="E48" s="16">
        <f>IF(B48="","",COUNTIF(H48:AA48,"M"))</f>
        <v/>
      </c>
      <c r="F48" s="16">
        <f>IF(B48="","",COUNTIFS(Absences!$C$6:$C$405,Settings!$C$13,Absences!$D$6:$D$405,B48,Absences!$E$6:$E$405,"Absent"))</f>
        <v/>
      </c>
      <c r="G48" s="16">
        <f>IF(B48="","",COUNTIFS(Absences!$C$6:$C$405,Settings!$C$13,Absences!$D$6:$D$405,B48,Absences!$E$6:$E$405,"Late"))</f>
        <v/>
      </c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1" t="n"/>
      <c r="AC48">
        <f>IF(C48="","",SUMPRODUCT(MAX(ISNUMBER(Settings!$B$17:$B$26)*(Settings!$B$17:$B$26&lt;=ROUND(C48*100,1))*Settings!$B$17:$B$26)))</f>
        <v/>
      </c>
      <c r="AD48">
        <f>IF(C48="","",ROUND(C48*1000,0)*1000+538)</f>
        <v/>
      </c>
      <c r="AE48">
        <f>IF(C48="",0,IF(ROUND(C48*100,1)&lt;N($AC$2),1,0))</f>
        <v/>
      </c>
    </row>
    <row r="49">
      <c r="A49" s="1" t="n"/>
      <c r="B49" s="31" t="n"/>
      <c r="C49" s="44">
        <f>IF(B49="","",IF((SUMPRODUCT(--ISNUMBER(H49:AA49),$H$52:$AA$52)+SUMPRODUCT(--(H49:AA49="M"),$H$52:$AA$52))=0,"",ROUND(SUMPRODUCT(H49:AA49,$H$53:$AA$53)/(SUMPRODUCT(--ISNUMBER(H49:AA49),$H$52:$AA$52)+SUMPRODUCT(--(H49:AA49="M"),$H$52:$AA$52))*100,1)/100))</f>
        <v/>
      </c>
      <c r="D49" s="34">
        <f>IF(C49="","",IFERROR(INDEX(Settings!$C$17:$C$26,MATCH(AC49,Settings!$B$17:$B$26,0)),""))</f>
        <v/>
      </c>
      <c r="E49" s="16">
        <f>IF(B49="","",COUNTIF(H49:AA49,"M"))</f>
        <v/>
      </c>
      <c r="F49" s="16">
        <f>IF(B49="","",COUNTIFS(Absences!$C$6:$C$405,Settings!$C$13,Absences!$D$6:$D$405,B49,Absences!$E$6:$E$405,"Absent"))</f>
        <v/>
      </c>
      <c r="G49" s="16">
        <f>IF(B49="","",COUNTIFS(Absences!$C$6:$C$405,Settings!$C$13,Absences!$D$6:$D$405,B49,Absences!$E$6:$E$405,"Late"))</f>
        <v/>
      </c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1" t="n"/>
      <c r="AC49">
        <f>IF(C49="","",SUMPRODUCT(MAX(ISNUMBER(Settings!$B$17:$B$26)*(Settings!$B$17:$B$26&lt;=ROUND(C49*100,1))*Settings!$B$17:$B$26)))</f>
        <v/>
      </c>
      <c r="AD49">
        <f>IF(C49="","",ROUND(C49*1000,0)*1000+539)</f>
        <v/>
      </c>
      <c r="AE49">
        <f>IF(C49="",0,IF(ROUND(C49*100,1)&lt;N($AC$2),1,0))</f>
        <v/>
      </c>
    </row>
    <row r="50">
      <c r="A50" s="1" t="n"/>
      <c r="B50" s="31" t="n"/>
      <c r="C50" s="44">
        <f>IF(B50="","",IF((SUMPRODUCT(--ISNUMBER(H50:AA50),$H$52:$AA$52)+SUMPRODUCT(--(H50:AA50="M"),$H$52:$AA$52))=0,"",ROUND(SUMPRODUCT(H50:AA50,$H$53:$AA$53)/(SUMPRODUCT(--ISNUMBER(H50:AA50),$H$52:$AA$52)+SUMPRODUCT(--(H50:AA50="M"),$H$52:$AA$52))*100,1)/100))</f>
        <v/>
      </c>
      <c r="D50" s="34">
        <f>IF(C50="","",IFERROR(INDEX(Settings!$C$17:$C$26,MATCH(AC50,Settings!$B$17:$B$26,0)),""))</f>
        <v/>
      </c>
      <c r="E50" s="16">
        <f>IF(B50="","",COUNTIF(H50:AA50,"M"))</f>
        <v/>
      </c>
      <c r="F50" s="16">
        <f>IF(B50="","",COUNTIFS(Absences!$C$6:$C$405,Settings!$C$13,Absences!$D$6:$D$405,B50,Absences!$E$6:$E$405,"Absent"))</f>
        <v/>
      </c>
      <c r="G50" s="16">
        <f>IF(B50="","",COUNTIFS(Absences!$C$6:$C$405,Settings!$C$13,Absences!$D$6:$D$405,B50,Absences!$E$6:$E$405,"Late"))</f>
        <v/>
      </c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1" t="n"/>
      <c r="AC50">
        <f>IF(C50="","",SUMPRODUCT(MAX(ISNUMBER(Settings!$B$17:$B$26)*(Settings!$B$17:$B$26&lt;=ROUND(C50*100,1))*Settings!$B$17:$B$26)))</f>
        <v/>
      </c>
      <c r="AD50">
        <f>IF(C50="","",ROUND(C50*1000,0)*1000+540)</f>
        <v/>
      </c>
      <c r="AE50">
        <f>IF(C50="",0,IF(ROUND(C50*100,1)&lt;N($AC$2),1,0))</f>
        <v/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idden="1">
      <c r="H52">
        <f>IF(N(H7)&lt;=0,0,IF(H8="",1,N(H8)))</f>
        <v/>
      </c>
      <c r="I52">
        <f>IF(N(I7)&lt;=0,0,IF(I8="",1,N(I8)))</f>
        <v/>
      </c>
      <c r="J52">
        <f>IF(N(J7)&lt;=0,0,IF(J8="",1,N(J8)))</f>
        <v/>
      </c>
      <c r="K52">
        <f>IF(N(K7)&lt;=0,0,IF(K8="",1,N(K8)))</f>
        <v/>
      </c>
      <c r="L52">
        <f>IF(N(L7)&lt;=0,0,IF(L8="",1,N(L8)))</f>
        <v/>
      </c>
      <c r="M52">
        <f>IF(N(M7)&lt;=0,0,IF(M8="",1,N(M8)))</f>
        <v/>
      </c>
      <c r="N52">
        <f>IF(N(N7)&lt;=0,0,IF(N8="",1,N(N8)))</f>
        <v/>
      </c>
      <c r="O52">
        <f>IF(N(O7)&lt;=0,0,IF(O8="",1,N(O8)))</f>
        <v/>
      </c>
      <c r="P52">
        <f>IF(N(P7)&lt;=0,0,IF(P8="",1,N(P8)))</f>
        <v/>
      </c>
      <c r="Q52">
        <f>IF(N(Q7)&lt;=0,0,IF(Q8="",1,N(Q8)))</f>
        <v/>
      </c>
      <c r="R52">
        <f>IF(N(R7)&lt;=0,0,IF(R8="",1,N(R8)))</f>
        <v/>
      </c>
      <c r="S52">
        <f>IF(N(S7)&lt;=0,0,IF(S8="",1,N(S8)))</f>
        <v/>
      </c>
      <c r="T52">
        <f>IF(N(T7)&lt;=0,0,IF(T8="",1,N(T8)))</f>
        <v/>
      </c>
      <c r="U52">
        <f>IF(N(U7)&lt;=0,0,IF(U8="",1,N(U8)))</f>
        <v/>
      </c>
      <c r="V52">
        <f>IF(N(V7)&lt;=0,0,IF(V8="",1,N(V8)))</f>
        <v/>
      </c>
      <c r="W52">
        <f>IF(N(W7)&lt;=0,0,IF(W8="",1,N(W8)))</f>
        <v/>
      </c>
      <c r="X52">
        <f>IF(N(X7)&lt;=0,0,IF(X8="",1,N(X8)))</f>
        <v/>
      </c>
      <c r="Y52">
        <f>IF(N(Y7)&lt;=0,0,IF(Y8="",1,N(Y8)))</f>
        <v/>
      </c>
      <c r="Z52">
        <f>IF(N(Z7)&lt;=0,0,IF(Z8="",1,N(Z8)))</f>
        <v/>
      </c>
      <c r="AA52">
        <f>IF(N(AA7)&lt;=0,0,IF(AA8="",1,N(AA8)))</f>
        <v/>
      </c>
    </row>
    <row r="53" hidden="1">
      <c r="H53">
        <f>IF(H52=0,0,H52/H7)</f>
        <v/>
      </c>
      <c r="I53">
        <f>IF(I52=0,0,I52/I7)</f>
        <v/>
      </c>
      <c r="J53">
        <f>IF(J52=0,0,J52/J7)</f>
        <v/>
      </c>
      <c r="K53">
        <f>IF(K52=0,0,K52/K7)</f>
        <v/>
      </c>
      <c r="L53">
        <f>IF(L52=0,0,L52/L7)</f>
        <v/>
      </c>
      <c r="M53">
        <f>IF(M52=0,0,M52/M7)</f>
        <v/>
      </c>
      <c r="N53">
        <f>IF(N52=0,0,N52/N7)</f>
        <v/>
      </c>
      <c r="O53">
        <f>IF(O52=0,0,O52/O7)</f>
        <v/>
      </c>
      <c r="P53">
        <f>IF(P52=0,0,P52/P7)</f>
        <v/>
      </c>
      <c r="Q53">
        <f>IF(Q52=0,0,Q52/Q7)</f>
        <v/>
      </c>
      <c r="R53">
        <f>IF(R52=0,0,R52/R7)</f>
        <v/>
      </c>
      <c r="S53">
        <f>IF(S52=0,0,S52/S7)</f>
        <v/>
      </c>
      <c r="T53">
        <f>IF(T52=0,0,T52/T7)</f>
        <v/>
      </c>
      <c r="U53">
        <f>IF(U52=0,0,U52/U7)</f>
        <v/>
      </c>
      <c r="V53">
        <f>IF(V52=0,0,V52/V7)</f>
        <v/>
      </c>
      <c r="W53">
        <f>IF(W52=0,0,W52/W7)</f>
        <v/>
      </c>
      <c r="X53">
        <f>IF(X52=0,0,X52/X7)</f>
        <v/>
      </c>
      <c r="Y53">
        <f>IF(Y52=0,0,Y52/Y7)</f>
        <v/>
      </c>
      <c r="Z53">
        <f>IF(Z52=0,0,Z52/Z7)</f>
        <v/>
      </c>
      <c r="AA53">
        <f>IF(AA52=0,0,AA52/AA7)</f>
        <v/>
      </c>
    </row>
    <row r="54" hidden="1">
      <c r="H54">
        <f>IF(AND(H5&lt;&gt;"",ISNUMBER(H6)),IF(AND(H6&lt;=TODAY(),COUNT(H11:H50)+COUNTIF(H11:H50,"M")=0),1,0),0)</f>
        <v/>
      </c>
      <c r="I54">
        <f>IF(AND(I5&lt;&gt;"",ISNUMBER(I6)),IF(AND(I6&lt;=TODAY(),COUNT(I11:I50)+COUNTIF(I11:I50,"M")=0),1,0),0)</f>
        <v/>
      </c>
      <c r="J54">
        <f>IF(AND(J5&lt;&gt;"",ISNUMBER(J6)),IF(AND(J6&lt;=TODAY(),COUNT(J11:J50)+COUNTIF(J11:J50,"M")=0),1,0),0)</f>
        <v/>
      </c>
      <c r="K54">
        <f>IF(AND(K5&lt;&gt;"",ISNUMBER(K6)),IF(AND(K6&lt;=TODAY(),COUNT(K11:K50)+COUNTIF(K11:K50,"M")=0),1,0),0)</f>
        <v/>
      </c>
      <c r="L54">
        <f>IF(AND(L5&lt;&gt;"",ISNUMBER(L6)),IF(AND(L6&lt;=TODAY(),COUNT(L11:L50)+COUNTIF(L11:L50,"M")=0),1,0),0)</f>
        <v/>
      </c>
      <c r="M54">
        <f>IF(AND(M5&lt;&gt;"",ISNUMBER(M6)),IF(AND(M6&lt;=TODAY(),COUNT(M11:M50)+COUNTIF(M11:M50,"M")=0),1,0),0)</f>
        <v/>
      </c>
      <c r="N54">
        <f>IF(AND(N5&lt;&gt;"",ISNUMBER(N6)),IF(AND(N6&lt;=TODAY(),COUNT(N11:N50)+COUNTIF(N11:N50,"M")=0),1,0),0)</f>
        <v/>
      </c>
      <c r="O54">
        <f>IF(AND(O5&lt;&gt;"",ISNUMBER(O6)),IF(AND(O6&lt;=TODAY(),COUNT(O11:O50)+COUNTIF(O11:O50,"M")=0),1,0),0)</f>
        <v/>
      </c>
      <c r="P54">
        <f>IF(AND(P5&lt;&gt;"",ISNUMBER(P6)),IF(AND(P6&lt;=TODAY(),COUNT(P11:P50)+COUNTIF(P11:P50,"M")=0),1,0),0)</f>
        <v/>
      </c>
      <c r="Q54">
        <f>IF(AND(Q5&lt;&gt;"",ISNUMBER(Q6)),IF(AND(Q6&lt;=TODAY(),COUNT(Q11:Q50)+COUNTIF(Q11:Q50,"M")=0),1,0),0)</f>
        <v/>
      </c>
      <c r="R54">
        <f>IF(AND(R5&lt;&gt;"",ISNUMBER(R6)),IF(AND(R6&lt;=TODAY(),COUNT(R11:R50)+COUNTIF(R11:R50,"M")=0),1,0),0)</f>
        <v/>
      </c>
      <c r="S54">
        <f>IF(AND(S5&lt;&gt;"",ISNUMBER(S6)),IF(AND(S6&lt;=TODAY(),COUNT(S11:S50)+COUNTIF(S11:S50,"M")=0),1,0),0)</f>
        <v/>
      </c>
      <c r="T54">
        <f>IF(AND(T5&lt;&gt;"",ISNUMBER(T6)),IF(AND(T6&lt;=TODAY(),COUNT(T11:T50)+COUNTIF(T11:T50,"M")=0),1,0),0)</f>
        <v/>
      </c>
      <c r="U54">
        <f>IF(AND(U5&lt;&gt;"",ISNUMBER(U6)),IF(AND(U6&lt;=TODAY(),COUNT(U11:U50)+COUNTIF(U11:U50,"M")=0),1,0),0)</f>
        <v/>
      </c>
      <c r="V54">
        <f>IF(AND(V5&lt;&gt;"",ISNUMBER(V6)),IF(AND(V6&lt;=TODAY(),COUNT(V11:V50)+COUNTIF(V11:V50,"M")=0),1,0),0)</f>
        <v/>
      </c>
      <c r="W54">
        <f>IF(AND(W5&lt;&gt;"",ISNUMBER(W6)),IF(AND(W6&lt;=TODAY(),COUNT(W11:W50)+COUNTIF(W11:W50,"M")=0),1,0),0)</f>
        <v/>
      </c>
      <c r="X54">
        <f>IF(AND(X5&lt;&gt;"",ISNUMBER(X6)),IF(AND(X6&lt;=TODAY(),COUNT(X11:X50)+COUNTIF(X11:X50,"M")=0),1,0),0)</f>
        <v/>
      </c>
      <c r="Y54">
        <f>IF(AND(Y5&lt;&gt;"",ISNUMBER(Y6)),IF(AND(Y6&lt;=TODAY(),COUNT(Y11:Y50)+COUNTIF(Y11:Y50,"M")=0),1,0),0)</f>
        <v/>
      </c>
      <c r="Z54">
        <f>IF(AND(Z5&lt;&gt;"",ISNUMBER(Z6)),IF(AND(Z6&lt;=TODAY(),COUNT(Z11:Z50)+COUNTIF(Z11:Z50,"M")=0),1,0),0)</f>
        <v/>
      </c>
      <c r="AA54">
        <f>IF(AND(AA5&lt;&gt;"",ISNUMBER(AA6)),IF(AND(AA6&lt;=TODAY(),COUNT(AA11:AA50)+COUNTIF(AA11:AA50,"M")=0),1,0),0)</f>
        <v/>
      </c>
    </row>
  </sheetData>
  <conditionalFormatting sqref="C11:D50">
    <cfRule type="expression" priority="1" dxfId="1">
      <formula>AND(ISNUMBER($C11),ROUND($C11*100,1)&lt;N($AC$2))</formula>
    </cfRule>
  </conditionalFormatting>
  <conditionalFormatting sqref="E11:E50">
    <cfRule type="expression" priority="2" dxfId="0">
      <formula>N(E11)&gt;0</formula>
    </cfRule>
  </conditionalFormatting>
  <conditionalFormatting sqref="H11:AA50">
    <cfRule type="expression" priority="3" dxfId="1">
      <formula>H11="M"</formula>
    </cfRule>
    <cfRule type="expression" priority="4" dxfId="2">
      <formula>AND(ISNUMBER(H11),H11&gt;N(H$7))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E54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7" customWidth="1" min="4" max="4"/>
    <col width="8" customWidth="1" min="5" max="5"/>
    <col width="8" customWidth="1" min="6" max="6"/>
    <col width="7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hidden="1" width="13" customWidth="1" min="29" max="29"/>
    <col hidden="1" width="13" customWidth="1" min="30" max="30"/>
    <col hidden="1" width="13" customWidth="1" min="31" max="3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2" customHeight="1">
      <c r="A2" s="1" t="n"/>
      <c r="B2" s="2">
        <f>IF(Settings!$C$14="","Class 6",Settings!$C$14)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>
        <f>Settings!$C$4</f>
        <v/>
      </c>
    </row>
    <row r="3">
      <c r="A3" s="1" t="n"/>
      <c r="B3" s="3" t="inlineStr">
        <is>
          <t>Scores as numbers. M for missing work (counts as 0), Ex for excused (left out), empty for not marked yet.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92" customHeight="1">
      <c r="A5" s="1" t="n"/>
      <c r="B5" s="1" t="n"/>
      <c r="C5" s="1" t="n"/>
      <c r="D5" s="1" t="n"/>
      <c r="E5" s="1" t="n"/>
      <c r="F5" s="1" t="n"/>
      <c r="G5" s="37" t="inlineStr">
        <is>
          <t>Assessment</t>
        </is>
      </c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1" t="n"/>
    </row>
    <row r="6">
      <c r="A6" s="1" t="n"/>
      <c r="B6" s="1" t="n"/>
      <c r="C6" s="1" t="n"/>
      <c r="D6" s="1" t="n"/>
      <c r="E6" s="1" t="n"/>
      <c r="F6" s="1" t="n"/>
      <c r="G6" s="39" t="inlineStr">
        <is>
          <t>Date</t>
        </is>
      </c>
      <c r="H6" s="40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1" t="n"/>
    </row>
    <row r="7">
      <c r="A7" s="1" t="n"/>
      <c r="B7" s="1" t="n"/>
      <c r="C7" s="1" t="n"/>
      <c r="D7" s="1" t="n"/>
      <c r="E7" s="1" t="n"/>
      <c r="F7" s="1" t="n"/>
      <c r="G7" s="39" t="inlineStr">
        <is>
          <t>Out of</t>
        </is>
      </c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1" t="n"/>
    </row>
    <row r="8">
      <c r="A8" s="1" t="n"/>
      <c r="B8" s="1" t="n"/>
      <c r="C8" s="1" t="n"/>
      <c r="D8" s="1" t="n"/>
      <c r="E8" s="1" t="n"/>
      <c r="F8" s="1" t="n"/>
      <c r="G8" s="39" t="inlineStr">
        <is>
          <t>Weight</t>
        </is>
      </c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1" t="n"/>
    </row>
    <row r="9">
      <c r="A9" s="1" t="n"/>
      <c r="B9" s="1" t="n"/>
      <c r="C9" s="42">
        <f>IF(COUNT(C11:C50)=0,"",AVERAGE(C11:C50))</f>
        <v/>
      </c>
      <c r="D9" s="1" t="n"/>
      <c r="E9" s="1" t="n"/>
      <c r="F9" s="1" t="n"/>
      <c r="G9" s="39" t="inlineStr">
        <is>
          <t>Class average</t>
        </is>
      </c>
      <c r="H9" s="43">
        <f>IF(OR(N(H7)&lt;=0,COUNT(H11:H50)=0),"",AVERAGE(H11:H50)/H7)</f>
        <v/>
      </c>
      <c r="I9" s="43">
        <f>IF(OR(N(I7)&lt;=0,COUNT(I11:I50)=0),"",AVERAGE(I11:I50)/I7)</f>
        <v/>
      </c>
      <c r="J9" s="43">
        <f>IF(OR(N(J7)&lt;=0,COUNT(J11:J50)=0),"",AVERAGE(J11:J50)/J7)</f>
        <v/>
      </c>
      <c r="K9" s="43">
        <f>IF(OR(N(K7)&lt;=0,COUNT(K11:K50)=0),"",AVERAGE(K11:K50)/K7)</f>
        <v/>
      </c>
      <c r="L9" s="43">
        <f>IF(OR(N(L7)&lt;=0,COUNT(L11:L50)=0),"",AVERAGE(L11:L50)/L7)</f>
        <v/>
      </c>
      <c r="M9" s="43">
        <f>IF(OR(N(M7)&lt;=0,COUNT(M11:M50)=0),"",AVERAGE(M11:M50)/M7)</f>
        <v/>
      </c>
      <c r="N9" s="43">
        <f>IF(OR(N(N7)&lt;=0,COUNT(N11:N50)=0),"",AVERAGE(N11:N50)/N7)</f>
        <v/>
      </c>
      <c r="O9" s="43">
        <f>IF(OR(N(O7)&lt;=0,COUNT(O11:O50)=0),"",AVERAGE(O11:O50)/O7)</f>
        <v/>
      </c>
      <c r="P9" s="43">
        <f>IF(OR(N(P7)&lt;=0,COUNT(P11:P50)=0),"",AVERAGE(P11:P50)/P7)</f>
        <v/>
      </c>
      <c r="Q9" s="43">
        <f>IF(OR(N(Q7)&lt;=0,COUNT(Q11:Q50)=0),"",AVERAGE(Q11:Q50)/Q7)</f>
        <v/>
      </c>
      <c r="R9" s="43">
        <f>IF(OR(N(R7)&lt;=0,COUNT(R11:R50)=0),"",AVERAGE(R11:R50)/R7)</f>
        <v/>
      </c>
      <c r="S9" s="43">
        <f>IF(OR(N(S7)&lt;=0,COUNT(S11:S50)=0),"",AVERAGE(S11:S50)/S7)</f>
        <v/>
      </c>
      <c r="T9" s="43">
        <f>IF(OR(N(T7)&lt;=0,COUNT(T11:T50)=0),"",AVERAGE(T11:T50)/T7)</f>
        <v/>
      </c>
      <c r="U9" s="43">
        <f>IF(OR(N(U7)&lt;=0,COUNT(U11:U50)=0),"",AVERAGE(U11:U50)/U7)</f>
        <v/>
      </c>
      <c r="V9" s="43">
        <f>IF(OR(N(V7)&lt;=0,COUNT(V11:V50)=0),"",AVERAGE(V11:V50)/V7)</f>
        <v/>
      </c>
      <c r="W9" s="43">
        <f>IF(OR(N(W7)&lt;=0,COUNT(W11:W50)=0),"",AVERAGE(W11:W50)/W7)</f>
        <v/>
      </c>
      <c r="X9" s="43">
        <f>IF(OR(N(X7)&lt;=0,COUNT(X11:X50)=0),"",AVERAGE(X11:X50)/X7)</f>
        <v/>
      </c>
      <c r="Y9" s="43">
        <f>IF(OR(N(Y7)&lt;=0,COUNT(Y11:Y50)=0),"",AVERAGE(Y11:Y50)/Y7)</f>
        <v/>
      </c>
      <c r="Z9" s="43">
        <f>IF(OR(N(Z7)&lt;=0,COUNT(Z11:Z50)=0),"",AVERAGE(Z11:Z50)/Z7)</f>
        <v/>
      </c>
      <c r="AA9" s="43">
        <f>IF(OR(N(AA7)&lt;=0,COUNT(AA11:AA50)=0),"",AVERAGE(AA11:AA50)/AA7)</f>
        <v/>
      </c>
      <c r="AB9" s="1" t="n"/>
    </row>
    <row r="10" ht="30" customHeight="1">
      <c r="A10" s="1" t="n"/>
      <c r="B10" s="10" t="inlineStr">
        <is>
          <t>Student</t>
        </is>
      </c>
      <c r="C10" s="10" t="inlineStr">
        <is>
          <t>Average</t>
        </is>
      </c>
      <c r="D10" s="10" t="inlineStr">
        <is>
          <t>Grade</t>
        </is>
      </c>
      <c r="E10" s="10" t="inlineStr">
        <is>
          <t>Missing</t>
        </is>
      </c>
      <c r="F10" s="10" t="inlineStr">
        <is>
          <t>Absent</t>
        </is>
      </c>
      <c r="G10" s="10" t="inlineStr">
        <is>
          <t>Late</t>
        </is>
      </c>
      <c r="H10" s="10" t="n">
        <v>1</v>
      </c>
      <c r="I10" s="10" t="n">
        <v>2</v>
      </c>
      <c r="J10" s="10" t="n">
        <v>3</v>
      </c>
      <c r="K10" s="10" t="n">
        <v>4</v>
      </c>
      <c r="L10" s="10" t="n">
        <v>5</v>
      </c>
      <c r="M10" s="10" t="n">
        <v>6</v>
      </c>
      <c r="N10" s="10" t="n">
        <v>7</v>
      </c>
      <c r="O10" s="10" t="n">
        <v>8</v>
      </c>
      <c r="P10" s="10" t="n">
        <v>9</v>
      </c>
      <c r="Q10" s="10" t="n">
        <v>10</v>
      </c>
      <c r="R10" s="10" t="n">
        <v>11</v>
      </c>
      <c r="S10" s="10" t="n">
        <v>12</v>
      </c>
      <c r="T10" s="10" t="n">
        <v>13</v>
      </c>
      <c r="U10" s="10" t="n">
        <v>14</v>
      </c>
      <c r="V10" s="10" t="n">
        <v>15</v>
      </c>
      <c r="W10" s="10" t="n">
        <v>16</v>
      </c>
      <c r="X10" s="10" t="n">
        <v>17</v>
      </c>
      <c r="Y10" s="10" t="n">
        <v>18</v>
      </c>
      <c r="Z10" s="10" t="n">
        <v>19</v>
      </c>
      <c r="AA10" s="10" t="n">
        <v>20</v>
      </c>
      <c r="AB10" s="1" t="n"/>
    </row>
    <row r="11">
      <c r="A11" s="1" t="n"/>
      <c r="B11" s="31" t="n"/>
      <c r="C11" s="44">
        <f>IF(B11="","",IF((SUMPRODUCT(--ISNUMBER(H11:AA11),$H$52:$AA$52)+SUMPRODUCT(--(H11:AA11="M"),$H$52:$AA$52))=0,"",ROUND(SUMPRODUCT(H11:AA11,$H$53:$AA$53)/(SUMPRODUCT(--ISNUMBER(H11:AA11),$H$52:$AA$52)+SUMPRODUCT(--(H11:AA11="M"),$H$52:$AA$52))*100,1)/100))</f>
        <v/>
      </c>
      <c r="D11" s="34">
        <f>IF(C11="","",IFERROR(INDEX(Settings!$C$17:$C$26,MATCH(AC11,Settings!$B$17:$B$26,0)),""))</f>
        <v/>
      </c>
      <c r="E11" s="16">
        <f>IF(B11="","",COUNTIF(H11:AA11,"M"))</f>
        <v/>
      </c>
      <c r="F11" s="16">
        <f>IF(B11="","",COUNTIFS(Absences!$C$6:$C$405,Settings!$C$14,Absences!$D$6:$D$405,B11,Absences!$E$6:$E$405,"Absent"))</f>
        <v/>
      </c>
      <c r="G11" s="16">
        <f>IF(B11="","",COUNTIFS(Absences!$C$6:$C$405,Settings!$C$14,Absences!$D$6:$D$405,B11,Absences!$E$6:$E$405,"Late"))</f>
        <v/>
      </c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1" t="n"/>
      <c r="AC11">
        <f>IF(C11="","",SUMPRODUCT(MAX(ISNUMBER(Settings!$B$17:$B$26)*(Settings!$B$17:$B$26&lt;=ROUND(C11*100,1))*Settings!$B$17:$B$26)))</f>
        <v/>
      </c>
      <c r="AD11">
        <f>IF(C11="","",ROUND(C11*1000,0)*1000+601)</f>
        <v/>
      </c>
      <c r="AE11">
        <f>IF(C11="",0,IF(ROUND(C11*100,1)&lt;N($AC$2),1,0))</f>
        <v/>
      </c>
    </row>
    <row r="12">
      <c r="A12" s="1" t="n"/>
      <c r="B12" s="31" t="n"/>
      <c r="C12" s="44">
        <f>IF(B12="","",IF((SUMPRODUCT(--ISNUMBER(H12:AA12),$H$52:$AA$52)+SUMPRODUCT(--(H12:AA12="M"),$H$52:$AA$52))=0,"",ROUND(SUMPRODUCT(H12:AA12,$H$53:$AA$53)/(SUMPRODUCT(--ISNUMBER(H12:AA12),$H$52:$AA$52)+SUMPRODUCT(--(H12:AA12="M"),$H$52:$AA$52))*100,1)/100))</f>
        <v/>
      </c>
      <c r="D12" s="34">
        <f>IF(C12="","",IFERROR(INDEX(Settings!$C$17:$C$26,MATCH(AC12,Settings!$B$17:$B$26,0)),""))</f>
        <v/>
      </c>
      <c r="E12" s="16">
        <f>IF(B12="","",COUNTIF(H12:AA12,"M"))</f>
        <v/>
      </c>
      <c r="F12" s="16">
        <f>IF(B12="","",COUNTIFS(Absences!$C$6:$C$405,Settings!$C$14,Absences!$D$6:$D$405,B12,Absences!$E$6:$E$405,"Absent"))</f>
        <v/>
      </c>
      <c r="G12" s="16">
        <f>IF(B12="","",COUNTIFS(Absences!$C$6:$C$405,Settings!$C$14,Absences!$D$6:$D$405,B12,Absences!$E$6:$E$405,"Late"))</f>
        <v/>
      </c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1" t="n"/>
      <c r="AC12">
        <f>IF(C12="","",SUMPRODUCT(MAX(ISNUMBER(Settings!$B$17:$B$26)*(Settings!$B$17:$B$26&lt;=ROUND(C12*100,1))*Settings!$B$17:$B$26)))</f>
        <v/>
      </c>
      <c r="AD12">
        <f>IF(C12="","",ROUND(C12*1000,0)*1000+602)</f>
        <v/>
      </c>
      <c r="AE12">
        <f>IF(C12="",0,IF(ROUND(C12*100,1)&lt;N($AC$2),1,0))</f>
        <v/>
      </c>
    </row>
    <row r="13">
      <c r="A13" s="1" t="n"/>
      <c r="B13" s="31" t="n"/>
      <c r="C13" s="44">
        <f>IF(B13="","",IF((SUMPRODUCT(--ISNUMBER(H13:AA13),$H$52:$AA$52)+SUMPRODUCT(--(H13:AA13="M"),$H$52:$AA$52))=0,"",ROUND(SUMPRODUCT(H13:AA13,$H$53:$AA$53)/(SUMPRODUCT(--ISNUMBER(H13:AA13),$H$52:$AA$52)+SUMPRODUCT(--(H13:AA13="M"),$H$52:$AA$52))*100,1)/100))</f>
        <v/>
      </c>
      <c r="D13" s="34">
        <f>IF(C13="","",IFERROR(INDEX(Settings!$C$17:$C$26,MATCH(AC13,Settings!$B$17:$B$26,0)),""))</f>
        <v/>
      </c>
      <c r="E13" s="16">
        <f>IF(B13="","",COUNTIF(H13:AA13,"M"))</f>
        <v/>
      </c>
      <c r="F13" s="16">
        <f>IF(B13="","",COUNTIFS(Absences!$C$6:$C$405,Settings!$C$14,Absences!$D$6:$D$405,B13,Absences!$E$6:$E$405,"Absent"))</f>
        <v/>
      </c>
      <c r="G13" s="16">
        <f>IF(B13="","",COUNTIFS(Absences!$C$6:$C$405,Settings!$C$14,Absences!$D$6:$D$405,B13,Absences!$E$6:$E$405,"Late"))</f>
        <v/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1" t="n"/>
      <c r="AC13">
        <f>IF(C13="","",SUMPRODUCT(MAX(ISNUMBER(Settings!$B$17:$B$26)*(Settings!$B$17:$B$26&lt;=ROUND(C13*100,1))*Settings!$B$17:$B$26)))</f>
        <v/>
      </c>
      <c r="AD13">
        <f>IF(C13="","",ROUND(C13*1000,0)*1000+603)</f>
        <v/>
      </c>
      <c r="AE13">
        <f>IF(C13="",0,IF(ROUND(C13*100,1)&lt;N($AC$2),1,0))</f>
        <v/>
      </c>
    </row>
    <row r="14">
      <c r="A14" s="1" t="n"/>
      <c r="B14" s="31" t="n"/>
      <c r="C14" s="44">
        <f>IF(B14="","",IF((SUMPRODUCT(--ISNUMBER(H14:AA14),$H$52:$AA$52)+SUMPRODUCT(--(H14:AA14="M"),$H$52:$AA$52))=0,"",ROUND(SUMPRODUCT(H14:AA14,$H$53:$AA$53)/(SUMPRODUCT(--ISNUMBER(H14:AA14),$H$52:$AA$52)+SUMPRODUCT(--(H14:AA14="M"),$H$52:$AA$52))*100,1)/100))</f>
        <v/>
      </c>
      <c r="D14" s="34">
        <f>IF(C14="","",IFERROR(INDEX(Settings!$C$17:$C$26,MATCH(AC14,Settings!$B$17:$B$26,0)),""))</f>
        <v/>
      </c>
      <c r="E14" s="16">
        <f>IF(B14="","",COUNTIF(H14:AA14,"M"))</f>
        <v/>
      </c>
      <c r="F14" s="16">
        <f>IF(B14="","",COUNTIFS(Absences!$C$6:$C$405,Settings!$C$14,Absences!$D$6:$D$405,B14,Absences!$E$6:$E$405,"Absent"))</f>
        <v/>
      </c>
      <c r="G14" s="16">
        <f>IF(B14="","",COUNTIFS(Absences!$C$6:$C$405,Settings!$C$14,Absences!$D$6:$D$405,B14,Absences!$E$6:$E$405,"Late"))</f>
        <v/>
      </c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1" t="n"/>
      <c r="AC14">
        <f>IF(C14="","",SUMPRODUCT(MAX(ISNUMBER(Settings!$B$17:$B$26)*(Settings!$B$17:$B$26&lt;=ROUND(C14*100,1))*Settings!$B$17:$B$26)))</f>
        <v/>
      </c>
      <c r="AD14">
        <f>IF(C14="","",ROUND(C14*1000,0)*1000+604)</f>
        <v/>
      </c>
      <c r="AE14">
        <f>IF(C14="",0,IF(ROUND(C14*100,1)&lt;N($AC$2),1,0))</f>
        <v/>
      </c>
    </row>
    <row r="15">
      <c r="A15" s="1" t="n"/>
      <c r="B15" s="31" t="n"/>
      <c r="C15" s="44">
        <f>IF(B15="","",IF((SUMPRODUCT(--ISNUMBER(H15:AA15),$H$52:$AA$52)+SUMPRODUCT(--(H15:AA15="M"),$H$52:$AA$52))=0,"",ROUND(SUMPRODUCT(H15:AA15,$H$53:$AA$53)/(SUMPRODUCT(--ISNUMBER(H15:AA15),$H$52:$AA$52)+SUMPRODUCT(--(H15:AA15="M"),$H$52:$AA$52))*100,1)/100))</f>
        <v/>
      </c>
      <c r="D15" s="34">
        <f>IF(C15="","",IFERROR(INDEX(Settings!$C$17:$C$26,MATCH(AC15,Settings!$B$17:$B$26,0)),""))</f>
        <v/>
      </c>
      <c r="E15" s="16">
        <f>IF(B15="","",COUNTIF(H15:AA15,"M"))</f>
        <v/>
      </c>
      <c r="F15" s="16">
        <f>IF(B15="","",COUNTIFS(Absences!$C$6:$C$405,Settings!$C$14,Absences!$D$6:$D$405,B15,Absences!$E$6:$E$405,"Absent"))</f>
        <v/>
      </c>
      <c r="G15" s="16">
        <f>IF(B15="","",COUNTIFS(Absences!$C$6:$C$405,Settings!$C$14,Absences!$D$6:$D$405,B15,Absences!$E$6:$E$405,"Late"))</f>
        <v/>
      </c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1" t="n"/>
      <c r="AC15">
        <f>IF(C15="","",SUMPRODUCT(MAX(ISNUMBER(Settings!$B$17:$B$26)*(Settings!$B$17:$B$26&lt;=ROUND(C15*100,1))*Settings!$B$17:$B$26)))</f>
        <v/>
      </c>
      <c r="AD15">
        <f>IF(C15="","",ROUND(C15*1000,0)*1000+605)</f>
        <v/>
      </c>
      <c r="AE15">
        <f>IF(C15="",0,IF(ROUND(C15*100,1)&lt;N($AC$2),1,0))</f>
        <v/>
      </c>
    </row>
    <row r="16">
      <c r="A16" s="1" t="n"/>
      <c r="B16" s="31" t="n"/>
      <c r="C16" s="44">
        <f>IF(B16="","",IF((SUMPRODUCT(--ISNUMBER(H16:AA16),$H$52:$AA$52)+SUMPRODUCT(--(H16:AA16="M"),$H$52:$AA$52))=0,"",ROUND(SUMPRODUCT(H16:AA16,$H$53:$AA$53)/(SUMPRODUCT(--ISNUMBER(H16:AA16),$H$52:$AA$52)+SUMPRODUCT(--(H16:AA16="M"),$H$52:$AA$52))*100,1)/100))</f>
        <v/>
      </c>
      <c r="D16" s="34">
        <f>IF(C16="","",IFERROR(INDEX(Settings!$C$17:$C$26,MATCH(AC16,Settings!$B$17:$B$26,0)),""))</f>
        <v/>
      </c>
      <c r="E16" s="16">
        <f>IF(B16="","",COUNTIF(H16:AA16,"M"))</f>
        <v/>
      </c>
      <c r="F16" s="16">
        <f>IF(B16="","",COUNTIFS(Absences!$C$6:$C$405,Settings!$C$14,Absences!$D$6:$D$405,B16,Absences!$E$6:$E$405,"Absent"))</f>
        <v/>
      </c>
      <c r="G16" s="16">
        <f>IF(B16="","",COUNTIFS(Absences!$C$6:$C$405,Settings!$C$14,Absences!$D$6:$D$405,B16,Absences!$E$6:$E$405,"Late"))</f>
        <v/>
      </c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1" t="n"/>
      <c r="AC16">
        <f>IF(C16="","",SUMPRODUCT(MAX(ISNUMBER(Settings!$B$17:$B$26)*(Settings!$B$17:$B$26&lt;=ROUND(C16*100,1))*Settings!$B$17:$B$26)))</f>
        <v/>
      </c>
      <c r="AD16">
        <f>IF(C16="","",ROUND(C16*1000,0)*1000+606)</f>
        <v/>
      </c>
      <c r="AE16">
        <f>IF(C16="",0,IF(ROUND(C16*100,1)&lt;N($AC$2),1,0))</f>
        <v/>
      </c>
    </row>
    <row r="17">
      <c r="A17" s="1" t="n"/>
      <c r="B17" s="31" t="n"/>
      <c r="C17" s="44">
        <f>IF(B17="","",IF((SUMPRODUCT(--ISNUMBER(H17:AA17),$H$52:$AA$52)+SUMPRODUCT(--(H17:AA17="M"),$H$52:$AA$52))=0,"",ROUND(SUMPRODUCT(H17:AA17,$H$53:$AA$53)/(SUMPRODUCT(--ISNUMBER(H17:AA17),$H$52:$AA$52)+SUMPRODUCT(--(H17:AA17="M"),$H$52:$AA$52))*100,1)/100))</f>
        <v/>
      </c>
      <c r="D17" s="34">
        <f>IF(C17="","",IFERROR(INDEX(Settings!$C$17:$C$26,MATCH(AC17,Settings!$B$17:$B$26,0)),""))</f>
        <v/>
      </c>
      <c r="E17" s="16">
        <f>IF(B17="","",COUNTIF(H17:AA17,"M"))</f>
        <v/>
      </c>
      <c r="F17" s="16">
        <f>IF(B17="","",COUNTIFS(Absences!$C$6:$C$405,Settings!$C$14,Absences!$D$6:$D$405,B17,Absences!$E$6:$E$405,"Absent"))</f>
        <v/>
      </c>
      <c r="G17" s="16">
        <f>IF(B17="","",COUNTIFS(Absences!$C$6:$C$405,Settings!$C$14,Absences!$D$6:$D$405,B17,Absences!$E$6:$E$405,"Late"))</f>
        <v/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1" t="n"/>
      <c r="AC17">
        <f>IF(C17="","",SUMPRODUCT(MAX(ISNUMBER(Settings!$B$17:$B$26)*(Settings!$B$17:$B$26&lt;=ROUND(C17*100,1))*Settings!$B$17:$B$26)))</f>
        <v/>
      </c>
      <c r="AD17">
        <f>IF(C17="","",ROUND(C17*1000,0)*1000+607)</f>
        <v/>
      </c>
      <c r="AE17">
        <f>IF(C17="",0,IF(ROUND(C17*100,1)&lt;N($AC$2),1,0))</f>
        <v/>
      </c>
    </row>
    <row r="18">
      <c r="A18" s="1" t="n"/>
      <c r="B18" s="31" t="n"/>
      <c r="C18" s="44">
        <f>IF(B18="","",IF((SUMPRODUCT(--ISNUMBER(H18:AA18),$H$52:$AA$52)+SUMPRODUCT(--(H18:AA18="M"),$H$52:$AA$52))=0,"",ROUND(SUMPRODUCT(H18:AA18,$H$53:$AA$53)/(SUMPRODUCT(--ISNUMBER(H18:AA18),$H$52:$AA$52)+SUMPRODUCT(--(H18:AA18="M"),$H$52:$AA$52))*100,1)/100))</f>
        <v/>
      </c>
      <c r="D18" s="34">
        <f>IF(C18="","",IFERROR(INDEX(Settings!$C$17:$C$26,MATCH(AC18,Settings!$B$17:$B$26,0)),""))</f>
        <v/>
      </c>
      <c r="E18" s="16">
        <f>IF(B18="","",COUNTIF(H18:AA18,"M"))</f>
        <v/>
      </c>
      <c r="F18" s="16">
        <f>IF(B18="","",COUNTIFS(Absences!$C$6:$C$405,Settings!$C$14,Absences!$D$6:$D$405,B18,Absences!$E$6:$E$405,"Absent"))</f>
        <v/>
      </c>
      <c r="G18" s="16">
        <f>IF(B18="","",COUNTIFS(Absences!$C$6:$C$405,Settings!$C$14,Absences!$D$6:$D$405,B18,Absences!$E$6:$E$405,"Late"))</f>
        <v/>
      </c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1" t="n"/>
      <c r="AC18">
        <f>IF(C18="","",SUMPRODUCT(MAX(ISNUMBER(Settings!$B$17:$B$26)*(Settings!$B$17:$B$26&lt;=ROUND(C18*100,1))*Settings!$B$17:$B$26)))</f>
        <v/>
      </c>
      <c r="AD18">
        <f>IF(C18="","",ROUND(C18*1000,0)*1000+608)</f>
        <v/>
      </c>
      <c r="AE18">
        <f>IF(C18="",0,IF(ROUND(C18*100,1)&lt;N($AC$2),1,0))</f>
        <v/>
      </c>
    </row>
    <row r="19">
      <c r="A19" s="1" t="n"/>
      <c r="B19" s="31" t="n"/>
      <c r="C19" s="44">
        <f>IF(B19="","",IF((SUMPRODUCT(--ISNUMBER(H19:AA19),$H$52:$AA$52)+SUMPRODUCT(--(H19:AA19="M"),$H$52:$AA$52))=0,"",ROUND(SUMPRODUCT(H19:AA19,$H$53:$AA$53)/(SUMPRODUCT(--ISNUMBER(H19:AA19),$H$52:$AA$52)+SUMPRODUCT(--(H19:AA19="M"),$H$52:$AA$52))*100,1)/100))</f>
        <v/>
      </c>
      <c r="D19" s="34">
        <f>IF(C19="","",IFERROR(INDEX(Settings!$C$17:$C$26,MATCH(AC19,Settings!$B$17:$B$26,0)),""))</f>
        <v/>
      </c>
      <c r="E19" s="16">
        <f>IF(B19="","",COUNTIF(H19:AA19,"M"))</f>
        <v/>
      </c>
      <c r="F19" s="16">
        <f>IF(B19="","",COUNTIFS(Absences!$C$6:$C$405,Settings!$C$14,Absences!$D$6:$D$405,B19,Absences!$E$6:$E$405,"Absent"))</f>
        <v/>
      </c>
      <c r="G19" s="16">
        <f>IF(B19="","",COUNTIFS(Absences!$C$6:$C$405,Settings!$C$14,Absences!$D$6:$D$405,B19,Absences!$E$6:$E$405,"Late"))</f>
        <v/>
      </c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1" t="n"/>
      <c r="AC19">
        <f>IF(C19="","",SUMPRODUCT(MAX(ISNUMBER(Settings!$B$17:$B$26)*(Settings!$B$17:$B$26&lt;=ROUND(C19*100,1))*Settings!$B$17:$B$26)))</f>
        <v/>
      </c>
      <c r="AD19">
        <f>IF(C19="","",ROUND(C19*1000,0)*1000+609)</f>
        <v/>
      </c>
      <c r="AE19">
        <f>IF(C19="",0,IF(ROUND(C19*100,1)&lt;N($AC$2),1,0))</f>
        <v/>
      </c>
    </row>
    <row r="20">
      <c r="A20" s="1" t="n"/>
      <c r="B20" s="31" t="n"/>
      <c r="C20" s="44">
        <f>IF(B20="","",IF((SUMPRODUCT(--ISNUMBER(H20:AA20),$H$52:$AA$52)+SUMPRODUCT(--(H20:AA20="M"),$H$52:$AA$52))=0,"",ROUND(SUMPRODUCT(H20:AA20,$H$53:$AA$53)/(SUMPRODUCT(--ISNUMBER(H20:AA20),$H$52:$AA$52)+SUMPRODUCT(--(H20:AA20="M"),$H$52:$AA$52))*100,1)/100))</f>
        <v/>
      </c>
      <c r="D20" s="34">
        <f>IF(C20="","",IFERROR(INDEX(Settings!$C$17:$C$26,MATCH(AC20,Settings!$B$17:$B$26,0)),""))</f>
        <v/>
      </c>
      <c r="E20" s="16">
        <f>IF(B20="","",COUNTIF(H20:AA20,"M"))</f>
        <v/>
      </c>
      <c r="F20" s="16">
        <f>IF(B20="","",COUNTIFS(Absences!$C$6:$C$405,Settings!$C$14,Absences!$D$6:$D$405,B20,Absences!$E$6:$E$405,"Absent"))</f>
        <v/>
      </c>
      <c r="G20" s="16">
        <f>IF(B20="","",COUNTIFS(Absences!$C$6:$C$405,Settings!$C$14,Absences!$D$6:$D$405,B20,Absences!$E$6:$E$405,"Late"))</f>
        <v/>
      </c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1" t="n"/>
      <c r="AC20">
        <f>IF(C20="","",SUMPRODUCT(MAX(ISNUMBER(Settings!$B$17:$B$26)*(Settings!$B$17:$B$26&lt;=ROUND(C20*100,1))*Settings!$B$17:$B$26)))</f>
        <v/>
      </c>
      <c r="AD20">
        <f>IF(C20="","",ROUND(C20*1000,0)*1000+610)</f>
        <v/>
      </c>
      <c r="AE20">
        <f>IF(C20="",0,IF(ROUND(C20*100,1)&lt;N($AC$2),1,0))</f>
        <v/>
      </c>
    </row>
    <row r="21">
      <c r="A21" s="1" t="n"/>
      <c r="B21" s="31" t="n"/>
      <c r="C21" s="44">
        <f>IF(B21="","",IF((SUMPRODUCT(--ISNUMBER(H21:AA21),$H$52:$AA$52)+SUMPRODUCT(--(H21:AA21="M"),$H$52:$AA$52))=0,"",ROUND(SUMPRODUCT(H21:AA21,$H$53:$AA$53)/(SUMPRODUCT(--ISNUMBER(H21:AA21),$H$52:$AA$52)+SUMPRODUCT(--(H21:AA21="M"),$H$52:$AA$52))*100,1)/100))</f>
        <v/>
      </c>
      <c r="D21" s="34">
        <f>IF(C21="","",IFERROR(INDEX(Settings!$C$17:$C$26,MATCH(AC21,Settings!$B$17:$B$26,0)),""))</f>
        <v/>
      </c>
      <c r="E21" s="16">
        <f>IF(B21="","",COUNTIF(H21:AA21,"M"))</f>
        <v/>
      </c>
      <c r="F21" s="16">
        <f>IF(B21="","",COUNTIFS(Absences!$C$6:$C$405,Settings!$C$14,Absences!$D$6:$D$405,B21,Absences!$E$6:$E$405,"Absent"))</f>
        <v/>
      </c>
      <c r="G21" s="16">
        <f>IF(B21="","",COUNTIFS(Absences!$C$6:$C$405,Settings!$C$14,Absences!$D$6:$D$405,B21,Absences!$E$6:$E$405,"Late"))</f>
        <v/>
      </c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1" t="n"/>
      <c r="AC21">
        <f>IF(C21="","",SUMPRODUCT(MAX(ISNUMBER(Settings!$B$17:$B$26)*(Settings!$B$17:$B$26&lt;=ROUND(C21*100,1))*Settings!$B$17:$B$26)))</f>
        <v/>
      </c>
      <c r="AD21">
        <f>IF(C21="","",ROUND(C21*1000,0)*1000+611)</f>
        <v/>
      </c>
      <c r="AE21">
        <f>IF(C21="",0,IF(ROUND(C21*100,1)&lt;N($AC$2),1,0))</f>
        <v/>
      </c>
    </row>
    <row r="22">
      <c r="A22" s="1" t="n"/>
      <c r="B22" s="31" t="n"/>
      <c r="C22" s="44">
        <f>IF(B22="","",IF((SUMPRODUCT(--ISNUMBER(H22:AA22),$H$52:$AA$52)+SUMPRODUCT(--(H22:AA22="M"),$H$52:$AA$52))=0,"",ROUND(SUMPRODUCT(H22:AA22,$H$53:$AA$53)/(SUMPRODUCT(--ISNUMBER(H22:AA22),$H$52:$AA$52)+SUMPRODUCT(--(H22:AA22="M"),$H$52:$AA$52))*100,1)/100))</f>
        <v/>
      </c>
      <c r="D22" s="34">
        <f>IF(C22="","",IFERROR(INDEX(Settings!$C$17:$C$26,MATCH(AC22,Settings!$B$17:$B$26,0)),""))</f>
        <v/>
      </c>
      <c r="E22" s="16">
        <f>IF(B22="","",COUNTIF(H22:AA22,"M"))</f>
        <v/>
      </c>
      <c r="F22" s="16">
        <f>IF(B22="","",COUNTIFS(Absences!$C$6:$C$405,Settings!$C$14,Absences!$D$6:$D$405,B22,Absences!$E$6:$E$405,"Absent"))</f>
        <v/>
      </c>
      <c r="G22" s="16">
        <f>IF(B22="","",COUNTIFS(Absences!$C$6:$C$405,Settings!$C$14,Absences!$D$6:$D$405,B22,Absences!$E$6:$E$405,"Late"))</f>
        <v/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1" t="n"/>
      <c r="AC22">
        <f>IF(C22="","",SUMPRODUCT(MAX(ISNUMBER(Settings!$B$17:$B$26)*(Settings!$B$17:$B$26&lt;=ROUND(C22*100,1))*Settings!$B$17:$B$26)))</f>
        <v/>
      </c>
      <c r="AD22">
        <f>IF(C22="","",ROUND(C22*1000,0)*1000+612)</f>
        <v/>
      </c>
      <c r="AE22">
        <f>IF(C22="",0,IF(ROUND(C22*100,1)&lt;N($AC$2),1,0))</f>
        <v/>
      </c>
    </row>
    <row r="23">
      <c r="A23" s="1" t="n"/>
      <c r="B23" s="31" t="n"/>
      <c r="C23" s="44">
        <f>IF(B23="","",IF((SUMPRODUCT(--ISNUMBER(H23:AA23),$H$52:$AA$52)+SUMPRODUCT(--(H23:AA23="M"),$H$52:$AA$52))=0,"",ROUND(SUMPRODUCT(H23:AA23,$H$53:$AA$53)/(SUMPRODUCT(--ISNUMBER(H23:AA23),$H$52:$AA$52)+SUMPRODUCT(--(H23:AA23="M"),$H$52:$AA$52))*100,1)/100))</f>
        <v/>
      </c>
      <c r="D23" s="34">
        <f>IF(C23="","",IFERROR(INDEX(Settings!$C$17:$C$26,MATCH(AC23,Settings!$B$17:$B$26,0)),""))</f>
        <v/>
      </c>
      <c r="E23" s="16">
        <f>IF(B23="","",COUNTIF(H23:AA23,"M"))</f>
        <v/>
      </c>
      <c r="F23" s="16">
        <f>IF(B23="","",COUNTIFS(Absences!$C$6:$C$405,Settings!$C$14,Absences!$D$6:$D$405,B23,Absences!$E$6:$E$405,"Absent"))</f>
        <v/>
      </c>
      <c r="G23" s="16">
        <f>IF(B23="","",COUNTIFS(Absences!$C$6:$C$405,Settings!$C$14,Absences!$D$6:$D$405,B23,Absences!$E$6:$E$405,"Late"))</f>
        <v/>
      </c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1" t="n"/>
      <c r="AC23">
        <f>IF(C23="","",SUMPRODUCT(MAX(ISNUMBER(Settings!$B$17:$B$26)*(Settings!$B$17:$B$26&lt;=ROUND(C23*100,1))*Settings!$B$17:$B$26)))</f>
        <v/>
      </c>
      <c r="AD23">
        <f>IF(C23="","",ROUND(C23*1000,0)*1000+613)</f>
        <v/>
      </c>
      <c r="AE23">
        <f>IF(C23="",0,IF(ROUND(C23*100,1)&lt;N($AC$2),1,0))</f>
        <v/>
      </c>
    </row>
    <row r="24">
      <c r="A24" s="1" t="n"/>
      <c r="B24" s="31" t="n"/>
      <c r="C24" s="44">
        <f>IF(B24="","",IF((SUMPRODUCT(--ISNUMBER(H24:AA24),$H$52:$AA$52)+SUMPRODUCT(--(H24:AA24="M"),$H$52:$AA$52))=0,"",ROUND(SUMPRODUCT(H24:AA24,$H$53:$AA$53)/(SUMPRODUCT(--ISNUMBER(H24:AA24),$H$52:$AA$52)+SUMPRODUCT(--(H24:AA24="M"),$H$52:$AA$52))*100,1)/100))</f>
        <v/>
      </c>
      <c r="D24" s="34">
        <f>IF(C24="","",IFERROR(INDEX(Settings!$C$17:$C$26,MATCH(AC24,Settings!$B$17:$B$26,0)),""))</f>
        <v/>
      </c>
      <c r="E24" s="16">
        <f>IF(B24="","",COUNTIF(H24:AA24,"M"))</f>
        <v/>
      </c>
      <c r="F24" s="16">
        <f>IF(B24="","",COUNTIFS(Absences!$C$6:$C$405,Settings!$C$14,Absences!$D$6:$D$405,B24,Absences!$E$6:$E$405,"Absent"))</f>
        <v/>
      </c>
      <c r="G24" s="16">
        <f>IF(B24="","",COUNTIFS(Absences!$C$6:$C$405,Settings!$C$14,Absences!$D$6:$D$405,B24,Absences!$E$6:$E$405,"Late"))</f>
        <v/>
      </c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1" t="n"/>
      <c r="AC24">
        <f>IF(C24="","",SUMPRODUCT(MAX(ISNUMBER(Settings!$B$17:$B$26)*(Settings!$B$17:$B$26&lt;=ROUND(C24*100,1))*Settings!$B$17:$B$26)))</f>
        <v/>
      </c>
      <c r="AD24">
        <f>IF(C24="","",ROUND(C24*1000,0)*1000+614)</f>
        <v/>
      </c>
      <c r="AE24">
        <f>IF(C24="",0,IF(ROUND(C24*100,1)&lt;N($AC$2),1,0))</f>
        <v/>
      </c>
    </row>
    <row r="25">
      <c r="A25" s="1" t="n"/>
      <c r="B25" s="31" t="n"/>
      <c r="C25" s="44">
        <f>IF(B25="","",IF((SUMPRODUCT(--ISNUMBER(H25:AA25),$H$52:$AA$52)+SUMPRODUCT(--(H25:AA25="M"),$H$52:$AA$52))=0,"",ROUND(SUMPRODUCT(H25:AA25,$H$53:$AA$53)/(SUMPRODUCT(--ISNUMBER(H25:AA25),$H$52:$AA$52)+SUMPRODUCT(--(H25:AA25="M"),$H$52:$AA$52))*100,1)/100))</f>
        <v/>
      </c>
      <c r="D25" s="34">
        <f>IF(C25="","",IFERROR(INDEX(Settings!$C$17:$C$26,MATCH(AC25,Settings!$B$17:$B$26,0)),""))</f>
        <v/>
      </c>
      <c r="E25" s="16">
        <f>IF(B25="","",COUNTIF(H25:AA25,"M"))</f>
        <v/>
      </c>
      <c r="F25" s="16">
        <f>IF(B25="","",COUNTIFS(Absences!$C$6:$C$405,Settings!$C$14,Absences!$D$6:$D$405,B25,Absences!$E$6:$E$405,"Absent"))</f>
        <v/>
      </c>
      <c r="G25" s="16">
        <f>IF(B25="","",COUNTIFS(Absences!$C$6:$C$405,Settings!$C$14,Absences!$D$6:$D$405,B25,Absences!$E$6:$E$405,"Late"))</f>
        <v/>
      </c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1" t="n"/>
      <c r="AC25">
        <f>IF(C25="","",SUMPRODUCT(MAX(ISNUMBER(Settings!$B$17:$B$26)*(Settings!$B$17:$B$26&lt;=ROUND(C25*100,1))*Settings!$B$17:$B$26)))</f>
        <v/>
      </c>
      <c r="AD25">
        <f>IF(C25="","",ROUND(C25*1000,0)*1000+615)</f>
        <v/>
      </c>
      <c r="AE25">
        <f>IF(C25="",0,IF(ROUND(C25*100,1)&lt;N($AC$2),1,0))</f>
        <v/>
      </c>
    </row>
    <row r="26">
      <c r="A26" s="1" t="n"/>
      <c r="B26" s="31" t="n"/>
      <c r="C26" s="44">
        <f>IF(B26="","",IF((SUMPRODUCT(--ISNUMBER(H26:AA26),$H$52:$AA$52)+SUMPRODUCT(--(H26:AA26="M"),$H$52:$AA$52))=0,"",ROUND(SUMPRODUCT(H26:AA26,$H$53:$AA$53)/(SUMPRODUCT(--ISNUMBER(H26:AA26),$H$52:$AA$52)+SUMPRODUCT(--(H26:AA26="M"),$H$52:$AA$52))*100,1)/100))</f>
        <v/>
      </c>
      <c r="D26" s="34">
        <f>IF(C26="","",IFERROR(INDEX(Settings!$C$17:$C$26,MATCH(AC26,Settings!$B$17:$B$26,0)),""))</f>
        <v/>
      </c>
      <c r="E26" s="16">
        <f>IF(B26="","",COUNTIF(H26:AA26,"M"))</f>
        <v/>
      </c>
      <c r="F26" s="16">
        <f>IF(B26="","",COUNTIFS(Absences!$C$6:$C$405,Settings!$C$14,Absences!$D$6:$D$405,B26,Absences!$E$6:$E$405,"Absent"))</f>
        <v/>
      </c>
      <c r="G26" s="16">
        <f>IF(B26="","",COUNTIFS(Absences!$C$6:$C$405,Settings!$C$14,Absences!$D$6:$D$405,B26,Absences!$E$6:$E$405,"Late"))</f>
        <v/>
      </c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1" t="n"/>
      <c r="AC26">
        <f>IF(C26="","",SUMPRODUCT(MAX(ISNUMBER(Settings!$B$17:$B$26)*(Settings!$B$17:$B$26&lt;=ROUND(C26*100,1))*Settings!$B$17:$B$26)))</f>
        <v/>
      </c>
      <c r="AD26">
        <f>IF(C26="","",ROUND(C26*1000,0)*1000+616)</f>
        <v/>
      </c>
      <c r="AE26">
        <f>IF(C26="",0,IF(ROUND(C26*100,1)&lt;N($AC$2),1,0))</f>
        <v/>
      </c>
    </row>
    <row r="27">
      <c r="A27" s="1" t="n"/>
      <c r="B27" s="31" t="n"/>
      <c r="C27" s="44">
        <f>IF(B27="","",IF((SUMPRODUCT(--ISNUMBER(H27:AA27),$H$52:$AA$52)+SUMPRODUCT(--(H27:AA27="M"),$H$52:$AA$52))=0,"",ROUND(SUMPRODUCT(H27:AA27,$H$53:$AA$53)/(SUMPRODUCT(--ISNUMBER(H27:AA27),$H$52:$AA$52)+SUMPRODUCT(--(H27:AA27="M"),$H$52:$AA$52))*100,1)/100))</f>
        <v/>
      </c>
      <c r="D27" s="34">
        <f>IF(C27="","",IFERROR(INDEX(Settings!$C$17:$C$26,MATCH(AC27,Settings!$B$17:$B$26,0)),""))</f>
        <v/>
      </c>
      <c r="E27" s="16">
        <f>IF(B27="","",COUNTIF(H27:AA27,"M"))</f>
        <v/>
      </c>
      <c r="F27" s="16">
        <f>IF(B27="","",COUNTIFS(Absences!$C$6:$C$405,Settings!$C$14,Absences!$D$6:$D$405,B27,Absences!$E$6:$E$405,"Absent"))</f>
        <v/>
      </c>
      <c r="G27" s="16">
        <f>IF(B27="","",COUNTIFS(Absences!$C$6:$C$405,Settings!$C$14,Absences!$D$6:$D$405,B27,Absences!$E$6:$E$405,"Late"))</f>
        <v/>
      </c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1" t="n"/>
      <c r="AC27">
        <f>IF(C27="","",SUMPRODUCT(MAX(ISNUMBER(Settings!$B$17:$B$26)*(Settings!$B$17:$B$26&lt;=ROUND(C27*100,1))*Settings!$B$17:$B$26)))</f>
        <v/>
      </c>
      <c r="AD27">
        <f>IF(C27="","",ROUND(C27*1000,0)*1000+617)</f>
        <v/>
      </c>
      <c r="AE27">
        <f>IF(C27="",0,IF(ROUND(C27*100,1)&lt;N($AC$2),1,0))</f>
        <v/>
      </c>
    </row>
    <row r="28">
      <c r="A28" s="1" t="n"/>
      <c r="B28" s="31" t="n"/>
      <c r="C28" s="44">
        <f>IF(B28="","",IF((SUMPRODUCT(--ISNUMBER(H28:AA28),$H$52:$AA$52)+SUMPRODUCT(--(H28:AA28="M"),$H$52:$AA$52))=0,"",ROUND(SUMPRODUCT(H28:AA28,$H$53:$AA$53)/(SUMPRODUCT(--ISNUMBER(H28:AA28),$H$52:$AA$52)+SUMPRODUCT(--(H28:AA28="M"),$H$52:$AA$52))*100,1)/100))</f>
        <v/>
      </c>
      <c r="D28" s="34">
        <f>IF(C28="","",IFERROR(INDEX(Settings!$C$17:$C$26,MATCH(AC28,Settings!$B$17:$B$26,0)),""))</f>
        <v/>
      </c>
      <c r="E28" s="16">
        <f>IF(B28="","",COUNTIF(H28:AA28,"M"))</f>
        <v/>
      </c>
      <c r="F28" s="16">
        <f>IF(B28="","",COUNTIFS(Absences!$C$6:$C$405,Settings!$C$14,Absences!$D$6:$D$405,B28,Absences!$E$6:$E$405,"Absent"))</f>
        <v/>
      </c>
      <c r="G28" s="16">
        <f>IF(B28="","",COUNTIFS(Absences!$C$6:$C$405,Settings!$C$14,Absences!$D$6:$D$405,B28,Absences!$E$6:$E$405,"Late"))</f>
        <v/>
      </c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1" t="n"/>
      <c r="AC28">
        <f>IF(C28="","",SUMPRODUCT(MAX(ISNUMBER(Settings!$B$17:$B$26)*(Settings!$B$17:$B$26&lt;=ROUND(C28*100,1))*Settings!$B$17:$B$26)))</f>
        <v/>
      </c>
      <c r="AD28">
        <f>IF(C28="","",ROUND(C28*1000,0)*1000+618)</f>
        <v/>
      </c>
      <c r="AE28">
        <f>IF(C28="",0,IF(ROUND(C28*100,1)&lt;N($AC$2),1,0))</f>
        <v/>
      </c>
    </row>
    <row r="29">
      <c r="A29" s="1" t="n"/>
      <c r="B29" s="31" t="n"/>
      <c r="C29" s="44">
        <f>IF(B29="","",IF((SUMPRODUCT(--ISNUMBER(H29:AA29),$H$52:$AA$52)+SUMPRODUCT(--(H29:AA29="M"),$H$52:$AA$52))=0,"",ROUND(SUMPRODUCT(H29:AA29,$H$53:$AA$53)/(SUMPRODUCT(--ISNUMBER(H29:AA29),$H$52:$AA$52)+SUMPRODUCT(--(H29:AA29="M"),$H$52:$AA$52))*100,1)/100))</f>
        <v/>
      </c>
      <c r="D29" s="34">
        <f>IF(C29="","",IFERROR(INDEX(Settings!$C$17:$C$26,MATCH(AC29,Settings!$B$17:$B$26,0)),""))</f>
        <v/>
      </c>
      <c r="E29" s="16">
        <f>IF(B29="","",COUNTIF(H29:AA29,"M"))</f>
        <v/>
      </c>
      <c r="F29" s="16">
        <f>IF(B29="","",COUNTIFS(Absences!$C$6:$C$405,Settings!$C$14,Absences!$D$6:$D$405,B29,Absences!$E$6:$E$405,"Absent"))</f>
        <v/>
      </c>
      <c r="G29" s="16">
        <f>IF(B29="","",COUNTIFS(Absences!$C$6:$C$405,Settings!$C$14,Absences!$D$6:$D$405,B29,Absences!$E$6:$E$405,"Late"))</f>
        <v/>
      </c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1" t="n"/>
      <c r="AC29">
        <f>IF(C29="","",SUMPRODUCT(MAX(ISNUMBER(Settings!$B$17:$B$26)*(Settings!$B$17:$B$26&lt;=ROUND(C29*100,1))*Settings!$B$17:$B$26)))</f>
        <v/>
      </c>
      <c r="AD29">
        <f>IF(C29="","",ROUND(C29*1000,0)*1000+619)</f>
        <v/>
      </c>
      <c r="AE29">
        <f>IF(C29="",0,IF(ROUND(C29*100,1)&lt;N($AC$2),1,0))</f>
        <v/>
      </c>
    </row>
    <row r="30">
      <c r="A30" s="1" t="n"/>
      <c r="B30" s="31" t="n"/>
      <c r="C30" s="44">
        <f>IF(B30="","",IF((SUMPRODUCT(--ISNUMBER(H30:AA30),$H$52:$AA$52)+SUMPRODUCT(--(H30:AA30="M"),$H$52:$AA$52))=0,"",ROUND(SUMPRODUCT(H30:AA30,$H$53:$AA$53)/(SUMPRODUCT(--ISNUMBER(H30:AA30),$H$52:$AA$52)+SUMPRODUCT(--(H30:AA30="M"),$H$52:$AA$52))*100,1)/100))</f>
        <v/>
      </c>
      <c r="D30" s="34">
        <f>IF(C30="","",IFERROR(INDEX(Settings!$C$17:$C$26,MATCH(AC30,Settings!$B$17:$B$26,0)),""))</f>
        <v/>
      </c>
      <c r="E30" s="16">
        <f>IF(B30="","",COUNTIF(H30:AA30,"M"))</f>
        <v/>
      </c>
      <c r="F30" s="16">
        <f>IF(B30="","",COUNTIFS(Absences!$C$6:$C$405,Settings!$C$14,Absences!$D$6:$D$405,B30,Absences!$E$6:$E$405,"Absent"))</f>
        <v/>
      </c>
      <c r="G30" s="16">
        <f>IF(B30="","",COUNTIFS(Absences!$C$6:$C$405,Settings!$C$14,Absences!$D$6:$D$405,B30,Absences!$E$6:$E$405,"Late"))</f>
        <v/>
      </c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1" t="n"/>
      <c r="AC30">
        <f>IF(C30="","",SUMPRODUCT(MAX(ISNUMBER(Settings!$B$17:$B$26)*(Settings!$B$17:$B$26&lt;=ROUND(C30*100,1))*Settings!$B$17:$B$26)))</f>
        <v/>
      </c>
      <c r="AD30">
        <f>IF(C30="","",ROUND(C30*1000,0)*1000+620)</f>
        <v/>
      </c>
      <c r="AE30">
        <f>IF(C30="",0,IF(ROUND(C30*100,1)&lt;N($AC$2),1,0))</f>
        <v/>
      </c>
    </row>
    <row r="31">
      <c r="A31" s="1" t="n"/>
      <c r="B31" s="31" t="n"/>
      <c r="C31" s="44">
        <f>IF(B31="","",IF((SUMPRODUCT(--ISNUMBER(H31:AA31),$H$52:$AA$52)+SUMPRODUCT(--(H31:AA31="M"),$H$52:$AA$52))=0,"",ROUND(SUMPRODUCT(H31:AA31,$H$53:$AA$53)/(SUMPRODUCT(--ISNUMBER(H31:AA31),$H$52:$AA$52)+SUMPRODUCT(--(H31:AA31="M"),$H$52:$AA$52))*100,1)/100))</f>
        <v/>
      </c>
      <c r="D31" s="34">
        <f>IF(C31="","",IFERROR(INDEX(Settings!$C$17:$C$26,MATCH(AC31,Settings!$B$17:$B$26,0)),""))</f>
        <v/>
      </c>
      <c r="E31" s="16">
        <f>IF(B31="","",COUNTIF(H31:AA31,"M"))</f>
        <v/>
      </c>
      <c r="F31" s="16">
        <f>IF(B31="","",COUNTIFS(Absences!$C$6:$C$405,Settings!$C$14,Absences!$D$6:$D$405,B31,Absences!$E$6:$E$405,"Absent"))</f>
        <v/>
      </c>
      <c r="G31" s="16">
        <f>IF(B31="","",COUNTIFS(Absences!$C$6:$C$405,Settings!$C$14,Absences!$D$6:$D$405,B31,Absences!$E$6:$E$405,"Late"))</f>
        <v/>
      </c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1" t="n"/>
      <c r="AC31">
        <f>IF(C31="","",SUMPRODUCT(MAX(ISNUMBER(Settings!$B$17:$B$26)*(Settings!$B$17:$B$26&lt;=ROUND(C31*100,1))*Settings!$B$17:$B$26)))</f>
        <v/>
      </c>
      <c r="AD31">
        <f>IF(C31="","",ROUND(C31*1000,0)*1000+621)</f>
        <v/>
      </c>
      <c r="AE31">
        <f>IF(C31="",0,IF(ROUND(C31*100,1)&lt;N($AC$2),1,0))</f>
        <v/>
      </c>
    </row>
    <row r="32">
      <c r="A32" s="1" t="n"/>
      <c r="B32" s="31" t="n"/>
      <c r="C32" s="44">
        <f>IF(B32="","",IF((SUMPRODUCT(--ISNUMBER(H32:AA32),$H$52:$AA$52)+SUMPRODUCT(--(H32:AA32="M"),$H$52:$AA$52))=0,"",ROUND(SUMPRODUCT(H32:AA32,$H$53:$AA$53)/(SUMPRODUCT(--ISNUMBER(H32:AA32),$H$52:$AA$52)+SUMPRODUCT(--(H32:AA32="M"),$H$52:$AA$52))*100,1)/100))</f>
        <v/>
      </c>
      <c r="D32" s="34">
        <f>IF(C32="","",IFERROR(INDEX(Settings!$C$17:$C$26,MATCH(AC32,Settings!$B$17:$B$26,0)),""))</f>
        <v/>
      </c>
      <c r="E32" s="16">
        <f>IF(B32="","",COUNTIF(H32:AA32,"M"))</f>
        <v/>
      </c>
      <c r="F32" s="16">
        <f>IF(B32="","",COUNTIFS(Absences!$C$6:$C$405,Settings!$C$14,Absences!$D$6:$D$405,B32,Absences!$E$6:$E$405,"Absent"))</f>
        <v/>
      </c>
      <c r="G32" s="16">
        <f>IF(B32="","",COUNTIFS(Absences!$C$6:$C$405,Settings!$C$14,Absences!$D$6:$D$405,B32,Absences!$E$6:$E$405,"Late"))</f>
        <v/>
      </c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1" t="n"/>
      <c r="AC32">
        <f>IF(C32="","",SUMPRODUCT(MAX(ISNUMBER(Settings!$B$17:$B$26)*(Settings!$B$17:$B$26&lt;=ROUND(C32*100,1))*Settings!$B$17:$B$26)))</f>
        <v/>
      </c>
      <c r="AD32">
        <f>IF(C32="","",ROUND(C32*1000,0)*1000+622)</f>
        <v/>
      </c>
      <c r="AE32">
        <f>IF(C32="",0,IF(ROUND(C32*100,1)&lt;N($AC$2),1,0))</f>
        <v/>
      </c>
    </row>
    <row r="33">
      <c r="A33" s="1" t="n"/>
      <c r="B33" s="31" t="n"/>
      <c r="C33" s="44">
        <f>IF(B33="","",IF((SUMPRODUCT(--ISNUMBER(H33:AA33),$H$52:$AA$52)+SUMPRODUCT(--(H33:AA33="M"),$H$52:$AA$52))=0,"",ROUND(SUMPRODUCT(H33:AA33,$H$53:$AA$53)/(SUMPRODUCT(--ISNUMBER(H33:AA33),$H$52:$AA$52)+SUMPRODUCT(--(H33:AA33="M"),$H$52:$AA$52))*100,1)/100))</f>
        <v/>
      </c>
      <c r="D33" s="34">
        <f>IF(C33="","",IFERROR(INDEX(Settings!$C$17:$C$26,MATCH(AC33,Settings!$B$17:$B$26,0)),""))</f>
        <v/>
      </c>
      <c r="E33" s="16">
        <f>IF(B33="","",COUNTIF(H33:AA33,"M"))</f>
        <v/>
      </c>
      <c r="F33" s="16">
        <f>IF(B33="","",COUNTIFS(Absences!$C$6:$C$405,Settings!$C$14,Absences!$D$6:$D$405,B33,Absences!$E$6:$E$405,"Absent"))</f>
        <v/>
      </c>
      <c r="G33" s="16">
        <f>IF(B33="","",COUNTIFS(Absences!$C$6:$C$405,Settings!$C$14,Absences!$D$6:$D$405,B33,Absences!$E$6:$E$405,"Late"))</f>
        <v/>
      </c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1" t="n"/>
      <c r="AC33">
        <f>IF(C33="","",SUMPRODUCT(MAX(ISNUMBER(Settings!$B$17:$B$26)*(Settings!$B$17:$B$26&lt;=ROUND(C33*100,1))*Settings!$B$17:$B$26)))</f>
        <v/>
      </c>
      <c r="AD33">
        <f>IF(C33="","",ROUND(C33*1000,0)*1000+623)</f>
        <v/>
      </c>
      <c r="AE33">
        <f>IF(C33="",0,IF(ROUND(C33*100,1)&lt;N($AC$2),1,0))</f>
        <v/>
      </c>
    </row>
    <row r="34">
      <c r="A34" s="1" t="n"/>
      <c r="B34" s="31" t="n"/>
      <c r="C34" s="44">
        <f>IF(B34="","",IF((SUMPRODUCT(--ISNUMBER(H34:AA34),$H$52:$AA$52)+SUMPRODUCT(--(H34:AA34="M"),$H$52:$AA$52))=0,"",ROUND(SUMPRODUCT(H34:AA34,$H$53:$AA$53)/(SUMPRODUCT(--ISNUMBER(H34:AA34),$H$52:$AA$52)+SUMPRODUCT(--(H34:AA34="M"),$H$52:$AA$52))*100,1)/100))</f>
        <v/>
      </c>
      <c r="D34" s="34">
        <f>IF(C34="","",IFERROR(INDEX(Settings!$C$17:$C$26,MATCH(AC34,Settings!$B$17:$B$26,0)),""))</f>
        <v/>
      </c>
      <c r="E34" s="16">
        <f>IF(B34="","",COUNTIF(H34:AA34,"M"))</f>
        <v/>
      </c>
      <c r="F34" s="16">
        <f>IF(B34="","",COUNTIFS(Absences!$C$6:$C$405,Settings!$C$14,Absences!$D$6:$D$405,B34,Absences!$E$6:$E$405,"Absent"))</f>
        <v/>
      </c>
      <c r="G34" s="16">
        <f>IF(B34="","",COUNTIFS(Absences!$C$6:$C$405,Settings!$C$14,Absences!$D$6:$D$405,B34,Absences!$E$6:$E$405,"Late"))</f>
        <v/>
      </c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1" t="n"/>
      <c r="AC34">
        <f>IF(C34="","",SUMPRODUCT(MAX(ISNUMBER(Settings!$B$17:$B$26)*(Settings!$B$17:$B$26&lt;=ROUND(C34*100,1))*Settings!$B$17:$B$26)))</f>
        <v/>
      </c>
      <c r="AD34">
        <f>IF(C34="","",ROUND(C34*1000,0)*1000+624)</f>
        <v/>
      </c>
      <c r="AE34">
        <f>IF(C34="",0,IF(ROUND(C34*100,1)&lt;N($AC$2),1,0))</f>
        <v/>
      </c>
    </row>
    <row r="35">
      <c r="A35" s="1" t="n"/>
      <c r="B35" s="31" t="n"/>
      <c r="C35" s="44">
        <f>IF(B35="","",IF((SUMPRODUCT(--ISNUMBER(H35:AA35),$H$52:$AA$52)+SUMPRODUCT(--(H35:AA35="M"),$H$52:$AA$52))=0,"",ROUND(SUMPRODUCT(H35:AA35,$H$53:$AA$53)/(SUMPRODUCT(--ISNUMBER(H35:AA35),$H$52:$AA$52)+SUMPRODUCT(--(H35:AA35="M"),$H$52:$AA$52))*100,1)/100))</f>
        <v/>
      </c>
      <c r="D35" s="34">
        <f>IF(C35="","",IFERROR(INDEX(Settings!$C$17:$C$26,MATCH(AC35,Settings!$B$17:$B$26,0)),""))</f>
        <v/>
      </c>
      <c r="E35" s="16">
        <f>IF(B35="","",COUNTIF(H35:AA35,"M"))</f>
        <v/>
      </c>
      <c r="F35" s="16">
        <f>IF(B35="","",COUNTIFS(Absences!$C$6:$C$405,Settings!$C$14,Absences!$D$6:$D$405,B35,Absences!$E$6:$E$405,"Absent"))</f>
        <v/>
      </c>
      <c r="G35" s="16">
        <f>IF(B35="","",COUNTIFS(Absences!$C$6:$C$405,Settings!$C$14,Absences!$D$6:$D$405,B35,Absences!$E$6:$E$405,"Late"))</f>
        <v/>
      </c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1" t="n"/>
      <c r="AC35">
        <f>IF(C35="","",SUMPRODUCT(MAX(ISNUMBER(Settings!$B$17:$B$26)*(Settings!$B$17:$B$26&lt;=ROUND(C35*100,1))*Settings!$B$17:$B$26)))</f>
        <v/>
      </c>
      <c r="AD35">
        <f>IF(C35="","",ROUND(C35*1000,0)*1000+625)</f>
        <v/>
      </c>
      <c r="AE35">
        <f>IF(C35="",0,IF(ROUND(C35*100,1)&lt;N($AC$2),1,0))</f>
        <v/>
      </c>
    </row>
    <row r="36">
      <c r="A36" s="1" t="n"/>
      <c r="B36" s="31" t="n"/>
      <c r="C36" s="44">
        <f>IF(B36="","",IF((SUMPRODUCT(--ISNUMBER(H36:AA36),$H$52:$AA$52)+SUMPRODUCT(--(H36:AA36="M"),$H$52:$AA$52))=0,"",ROUND(SUMPRODUCT(H36:AA36,$H$53:$AA$53)/(SUMPRODUCT(--ISNUMBER(H36:AA36),$H$52:$AA$52)+SUMPRODUCT(--(H36:AA36="M"),$H$52:$AA$52))*100,1)/100))</f>
        <v/>
      </c>
      <c r="D36" s="34">
        <f>IF(C36="","",IFERROR(INDEX(Settings!$C$17:$C$26,MATCH(AC36,Settings!$B$17:$B$26,0)),""))</f>
        <v/>
      </c>
      <c r="E36" s="16">
        <f>IF(B36="","",COUNTIF(H36:AA36,"M"))</f>
        <v/>
      </c>
      <c r="F36" s="16">
        <f>IF(B36="","",COUNTIFS(Absences!$C$6:$C$405,Settings!$C$14,Absences!$D$6:$D$405,B36,Absences!$E$6:$E$405,"Absent"))</f>
        <v/>
      </c>
      <c r="G36" s="16">
        <f>IF(B36="","",COUNTIFS(Absences!$C$6:$C$405,Settings!$C$14,Absences!$D$6:$D$405,B36,Absences!$E$6:$E$405,"Late"))</f>
        <v/>
      </c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1" t="n"/>
      <c r="AC36">
        <f>IF(C36="","",SUMPRODUCT(MAX(ISNUMBER(Settings!$B$17:$B$26)*(Settings!$B$17:$B$26&lt;=ROUND(C36*100,1))*Settings!$B$17:$B$26)))</f>
        <v/>
      </c>
      <c r="AD36">
        <f>IF(C36="","",ROUND(C36*1000,0)*1000+626)</f>
        <v/>
      </c>
      <c r="AE36">
        <f>IF(C36="",0,IF(ROUND(C36*100,1)&lt;N($AC$2),1,0))</f>
        <v/>
      </c>
    </row>
    <row r="37">
      <c r="A37" s="1" t="n"/>
      <c r="B37" s="31" t="n"/>
      <c r="C37" s="44">
        <f>IF(B37="","",IF((SUMPRODUCT(--ISNUMBER(H37:AA37),$H$52:$AA$52)+SUMPRODUCT(--(H37:AA37="M"),$H$52:$AA$52))=0,"",ROUND(SUMPRODUCT(H37:AA37,$H$53:$AA$53)/(SUMPRODUCT(--ISNUMBER(H37:AA37),$H$52:$AA$52)+SUMPRODUCT(--(H37:AA37="M"),$H$52:$AA$52))*100,1)/100))</f>
        <v/>
      </c>
      <c r="D37" s="34">
        <f>IF(C37="","",IFERROR(INDEX(Settings!$C$17:$C$26,MATCH(AC37,Settings!$B$17:$B$26,0)),""))</f>
        <v/>
      </c>
      <c r="E37" s="16">
        <f>IF(B37="","",COUNTIF(H37:AA37,"M"))</f>
        <v/>
      </c>
      <c r="F37" s="16">
        <f>IF(B37="","",COUNTIFS(Absences!$C$6:$C$405,Settings!$C$14,Absences!$D$6:$D$405,B37,Absences!$E$6:$E$405,"Absent"))</f>
        <v/>
      </c>
      <c r="G37" s="16">
        <f>IF(B37="","",COUNTIFS(Absences!$C$6:$C$405,Settings!$C$14,Absences!$D$6:$D$405,B37,Absences!$E$6:$E$405,"Late"))</f>
        <v/>
      </c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1" t="n"/>
      <c r="AC37">
        <f>IF(C37="","",SUMPRODUCT(MAX(ISNUMBER(Settings!$B$17:$B$26)*(Settings!$B$17:$B$26&lt;=ROUND(C37*100,1))*Settings!$B$17:$B$26)))</f>
        <v/>
      </c>
      <c r="AD37">
        <f>IF(C37="","",ROUND(C37*1000,0)*1000+627)</f>
        <v/>
      </c>
      <c r="AE37">
        <f>IF(C37="",0,IF(ROUND(C37*100,1)&lt;N($AC$2),1,0))</f>
        <v/>
      </c>
    </row>
    <row r="38">
      <c r="A38" s="1" t="n"/>
      <c r="B38" s="31" t="n"/>
      <c r="C38" s="44">
        <f>IF(B38="","",IF((SUMPRODUCT(--ISNUMBER(H38:AA38),$H$52:$AA$52)+SUMPRODUCT(--(H38:AA38="M"),$H$52:$AA$52))=0,"",ROUND(SUMPRODUCT(H38:AA38,$H$53:$AA$53)/(SUMPRODUCT(--ISNUMBER(H38:AA38),$H$52:$AA$52)+SUMPRODUCT(--(H38:AA38="M"),$H$52:$AA$52))*100,1)/100))</f>
        <v/>
      </c>
      <c r="D38" s="34">
        <f>IF(C38="","",IFERROR(INDEX(Settings!$C$17:$C$26,MATCH(AC38,Settings!$B$17:$B$26,0)),""))</f>
        <v/>
      </c>
      <c r="E38" s="16">
        <f>IF(B38="","",COUNTIF(H38:AA38,"M"))</f>
        <v/>
      </c>
      <c r="F38" s="16">
        <f>IF(B38="","",COUNTIFS(Absences!$C$6:$C$405,Settings!$C$14,Absences!$D$6:$D$405,B38,Absences!$E$6:$E$405,"Absent"))</f>
        <v/>
      </c>
      <c r="G38" s="16">
        <f>IF(B38="","",COUNTIFS(Absences!$C$6:$C$405,Settings!$C$14,Absences!$D$6:$D$405,B38,Absences!$E$6:$E$405,"Late"))</f>
        <v/>
      </c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1" t="n"/>
      <c r="AC38">
        <f>IF(C38="","",SUMPRODUCT(MAX(ISNUMBER(Settings!$B$17:$B$26)*(Settings!$B$17:$B$26&lt;=ROUND(C38*100,1))*Settings!$B$17:$B$26)))</f>
        <v/>
      </c>
      <c r="AD38">
        <f>IF(C38="","",ROUND(C38*1000,0)*1000+628)</f>
        <v/>
      </c>
      <c r="AE38">
        <f>IF(C38="",0,IF(ROUND(C38*100,1)&lt;N($AC$2),1,0))</f>
        <v/>
      </c>
    </row>
    <row r="39">
      <c r="A39" s="1" t="n"/>
      <c r="B39" s="31" t="n"/>
      <c r="C39" s="44">
        <f>IF(B39="","",IF((SUMPRODUCT(--ISNUMBER(H39:AA39),$H$52:$AA$52)+SUMPRODUCT(--(H39:AA39="M"),$H$52:$AA$52))=0,"",ROUND(SUMPRODUCT(H39:AA39,$H$53:$AA$53)/(SUMPRODUCT(--ISNUMBER(H39:AA39),$H$52:$AA$52)+SUMPRODUCT(--(H39:AA39="M"),$H$52:$AA$52))*100,1)/100))</f>
        <v/>
      </c>
      <c r="D39" s="34">
        <f>IF(C39="","",IFERROR(INDEX(Settings!$C$17:$C$26,MATCH(AC39,Settings!$B$17:$B$26,0)),""))</f>
        <v/>
      </c>
      <c r="E39" s="16">
        <f>IF(B39="","",COUNTIF(H39:AA39,"M"))</f>
        <v/>
      </c>
      <c r="F39" s="16">
        <f>IF(B39="","",COUNTIFS(Absences!$C$6:$C$405,Settings!$C$14,Absences!$D$6:$D$405,B39,Absences!$E$6:$E$405,"Absent"))</f>
        <v/>
      </c>
      <c r="G39" s="16">
        <f>IF(B39="","",COUNTIFS(Absences!$C$6:$C$405,Settings!$C$14,Absences!$D$6:$D$405,B39,Absences!$E$6:$E$405,"Late"))</f>
        <v/>
      </c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1" t="n"/>
      <c r="AC39">
        <f>IF(C39="","",SUMPRODUCT(MAX(ISNUMBER(Settings!$B$17:$B$26)*(Settings!$B$17:$B$26&lt;=ROUND(C39*100,1))*Settings!$B$17:$B$26)))</f>
        <v/>
      </c>
      <c r="AD39">
        <f>IF(C39="","",ROUND(C39*1000,0)*1000+629)</f>
        <v/>
      </c>
      <c r="AE39">
        <f>IF(C39="",0,IF(ROUND(C39*100,1)&lt;N($AC$2),1,0))</f>
        <v/>
      </c>
    </row>
    <row r="40">
      <c r="A40" s="1" t="n"/>
      <c r="B40" s="31" t="n"/>
      <c r="C40" s="44">
        <f>IF(B40="","",IF((SUMPRODUCT(--ISNUMBER(H40:AA40),$H$52:$AA$52)+SUMPRODUCT(--(H40:AA40="M"),$H$52:$AA$52))=0,"",ROUND(SUMPRODUCT(H40:AA40,$H$53:$AA$53)/(SUMPRODUCT(--ISNUMBER(H40:AA40),$H$52:$AA$52)+SUMPRODUCT(--(H40:AA40="M"),$H$52:$AA$52))*100,1)/100))</f>
        <v/>
      </c>
      <c r="D40" s="34">
        <f>IF(C40="","",IFERROR(INDEX(Settings!$C$17:$C$26,MATCH(AC40,Settings!$B$17:$B$26,0)),""))</f>
        <v/>
      </c>
      <c r="E40" s="16">
        <f>IF(B40="","",COUNTIF(H40:AA40,"M"))</f>
        <v/>
      </c>
      <c r="F40" s="16">
        <f>IF(B40="","",COUNTIFS(Absences!$C$6:$C$405,Settings!$C$14,Absences!$D$6:$D$405,B40,Absences!$E$6:$E$405,"Absent"))</f>
        <v/>
      </c>
      <c r="G40" s="16">
        <f>IF(B40="","",COUNTIFS(Absences!$C$6:$C$405,Settings!$C$14,Absences!$D$6:$D$405,B40,Absences!$E$6:$E$405,"Late"))</f>
        <v/>
      </c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1" t="n"/>
      <c r="AC40">
        <f>IF(C40="","",SUMPRODUCT(MAX(ISNUMBER(Settings!$B$17:$B$26)*(Settings!$B$17:$B$26&lt;=ROUND(C40*100,1))*Settings!$B$17:$B$26)))</f>
        <v/>
      </c>
      <c r="AD40">
        <f>IF(C40="","",ROUND(C40*1000,0)*1000+630)</f>
        <v/>
      </c>
      <c r="AE40">
        <f>IF(C40="",0,IF(ROUND(C40*100,1)&lt;N($AC$2),1,0))</f>
        <v/>
      </c>
    </row>
    <row r="41">
      <c r="A41" s="1" t="n"/>
      <c r="B41" s="31" t="n"/>
      <c r="C41" s="44">
        <f>IF(B41="","",IF((SUMPRODUCT(--ISNUMBER(H41:AA41),$H$52:$AA$52)+SUMPRODUCT(--(H41:AA41="M"),$H$52:$AA$52))=0,"",ROUND(SUMPRODUCT(H41:AA41,$H$53:$AA$53)/(SUMPRODUCT(--ISNUMBER(H41:AA41),$H$52:$AA$52)+SUMPRODUCT(--(H41:AA41="M"),$H$52:$AA$52))*100,1)/100))</f>
        <v/>
      </c>
      <c r="D41" s="34">
        <f>IF(C41="","",IFERROR(INDEX(Settings!$C$17:$C$26,MATCH(AC41,Settings!$B$17:$B$26,0)),""))</f>
        <v/>
      </c>
      <c r="E41" s="16">
        <f>IF(B41="","",COUNTIF(H41:AA41,"M"))</f>
        <v/>
      </c>
      <c r="F41" s="16">
        <f>IF(B41="","",COUNTIFS(Absences!$C$6:$C$405,Settings!$C$14,Absences!$D$6:$D$405,B41,Absences!$E$6:$E$405,"Absent"))</f>
        <v/>
      </c>
      <c r="G41" s="16">
        <f>IF(B41="","",COUNTIFS(Absences!$C$6:$C$405,Settings!$C$14,Absences!$D$6:$D$405,B41,Absences!$E$6:$E$405,"Late"))</f>
        <v/>
      </c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1" t="n"/>
      <c r="AC41">
        <f>IF(C41="","",SUMPRODUCT(MAX(ISNUMBER(Settings!$B$17:$B$26)*(Settings!$B$17:$B$26&lt;=ROUND(C41*100,1))*Settings!$B$17:$B$26)))</f>
        <v/>
      </c>
      <c r="AD41">
        <f>IF(C41="","",ROUND(C41*1000,0)*1000+631)</f>
        <v/>
      </c>
      <c r="AE41">
        <f>IF(C41="",0,IF(ROUND(C41*100,1)&lt;N($AC$2),1,0))</f>
        <v/>
      </c>
    </row>
    <row r="42">
      <c r="A42" s="1" t="n"/>
      <c r="B42" s="31" t="n"/>
      <c r="C42" s="44">
        <f>IF(B42="","",IF((SUMPRODUCT(--ISNUMBER(H42:AA42),$H$52:$AA$52)+SUMPRODUCT(--(H42:AA42="M"),$H$52:$AA$52))=0,"",ROUND(SUMPRODUCT(H42:AA42,$H$53:$AA$53)/(SUMPRODUCT(--ISNUMBER(H42:AA42),$H$52:$AA$52)+SUMPRODUCT(--(H42:AA42="M"),$H$52:$AA$52))*100,1)/100))</f>
        <v/>
      </c>
      <c r="D42" s="34">
        <f>IF(C42="","",IFERROR(INDEX(Settings!$C$17:$C$26,MATCH(AC42,Settings!$B$17:$B$26,0)),""))</f>
        <v/>
      </c>
      <c r="E42" s="16">
        <f>IF(B42="","",COUNTIF(H42:AA42,"M"))</f>
        <v/>
      </c>
      <c r="F42" s="16">
        <f>IF(B42="","",COUNTIFS(Absences!$C$6:$C$405,Settings!$C$14,Absences!$D$6:$D$405,B42,Absences!$E$6:$E$405,"Absent"))</f>
        <v/>
      </c>
      <c r="G42" s="16">
        <f>IF(B42="","",COUNTIFS(Absences!$C$6:$C$405,Settings!$C$14,Absences!$D$6:$D$405,B42,Absences!$E$6:$E$405,"Late"))</f>
        <v/>
      </c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1" t="n"/>
      <c r="AC42">
        <f>IF(C42="","",SUMPRODUCT(MAX(ISNUMBER(Settings!$B$17:$B$26)*(Settings!$B$17:$B$26&lt;=ROUND(C42*100,1))*Settings!$B$17:$B$26)))</f>
        <v/>
      </c>
      <c r="AD42">
        <f>IF(C42="","",ROUND(C42*1000,0)*1000+632)</f>
        <v/>
      </c>
      <c r="AE42">
        <f>IF(C42="",0,IF(ROUND(C42*100,1)&lt;N($AC$2),1,0))</f>
        <v/>
      </c>
    </row>
    <row r="43">
      <c r="A43" s="1" t="n"/>
      <c r="B43" s="31" t="n"/>
      <c r="C43" s="44">
        <f>IF(B43="","",IF((SUMPRODUCT(--ISNUMBER(H43:AA43),$H$52:$AA$52)+SUMPRODUCT(--(H43:AA43="M"),$H$52:$AA$52))=0,"",ROUND(SUMPRODUCT(H43:AA43,$H$53:$AA$53)/(SUMPRODUCT(--ISNUMBER(H43:AA43),$H$52:$AA$52)+SUMPRODUCT(--(H43:AA43="M"),$H$52:$AA$52))*100,1)/100))</f>
        <v/>
      </c>
      <c r="D43" s="34">
        <f>IF(C43="","",IFERROR(INDEX(Settings!$C$17:$C$26,MATCH(AC43,Settings!$B$17:$B$26,0)),""))</f>
        <v/>
      </c>
      <c r="E43" s="16">
        <f>IF(B43="","",COUNTIF(H43:AA43,"M"))</f>
        <v/>
      </c>
      <c r="F43" s="16">
        <f>IF(B43="","",COUNTIFS(Absences!$C$6:$C$405,Settings!$C$14,Absences!$D$6:$D$405,B43,Absences!$E$6:$E$405,"Absent"))</f>
        <v/>
      </c>
      <c r="G43" s="16">
        <f>IF(B43="","",COUNTIFS(Absences!$C$6:$C$405,Settings!$C$14,Absences!$D$6:$D$405,B43,Absences!$E$6:$E$405,"Late"))</f>
        <v/>
      </c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1" t="n"/>
      <c r="AC43">
        <f>IF(C43="","",SUMPRODUCT(MAX(ISNUMBER(Settings!$B$17:$B$26)*(Settings!$B$17:$B$26&lt;=ROUND(C43*100,1))*Settings!$B$17:$B$26)))</f>
        <v/>
      </c>
      <c r="AD43">
        <f>IF(C43="","",ROUND(C43*1000,0)*1000+633)</f>
        <v/>
      </c>
      <c r="AE43">
        <f>IF(C43="",0,IF(ROUND(C43*100,1)&lt;N($AC$2),1,0))</f>
        <v/>
      </c>
    </row>
    <row r="44">
      <c r="A44" s="1" t="n"/>
      <c r="B44" s="31" t="n"/>
      <c r="C44" s="44">
        <f>IF(B44="","",IF((SUMPRODUCT(--ISNUMBER(H44:AA44),$H$52:$AA$52)+SUMPRODUCT(--(H44:AA44="M"),$H$52:$AA$52))=0,"",ROUND(SUMPRODUCT(H44:AA44,$H$53:$AA$53)/(SUMPRODUCT(--ISNUMBER(H44:AA44),$H$52:$AA$52)+SUMPRODUCT(--(H44:AA44="M"),$H$52:$AA$52))*100,1)/100))</f>
        <v/>
      </c>
      <c r="D44" s="34">
        <f>IF(C44="","",IFERROR(INDEX(Settings!$C$17:$C$26,MATCH(AC44,Settings!$B$17:$B$26,0)),""))</f>
        <v/>
      </c>
      <c r="E44" s="16">
        <f>IF(B44="","",COUNTIF(H44:AA44,"M"))</f>
        <v/>
      </c>
      <c r="F44" s="16">
        <f>IF(B44="","",COUNTIFS(Absences!$C$6:$C$405,Settings!$C$14,Absences!$D$6:$D$405,B44,Absences!$E$6:$E$405,"Absent"))</f>
        <v/>
      </c>
      <c r="G44" s="16">
        <f>IF(B44="","",COUNTIFS(Absences!$C$6:$C$405,Settings!$C$14,Absences!$D$6:$D$405,B44,Absences!$E$6:$E$405,"Late"))</f>
        <v/>
      </c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3" t="n"/>
      <c r="Z44" s="33" t="n"/>
      <c r="AA44" s="33" t="n"/>
      <c r="AB44" s="1" t="n"/>
      <c r="AC44">
        <f>IF(C44="","",SUMPRODUCT(MAX(ISNUMBER(Settings!$B$17:$B$26)*(Settings!$B$17:$B$26&lt;=ROUND(C44*100,1))*Settings!$B$17:$B$26)))</f>
        <v/>
      </c>
      <c r="AD44">
        <f>IF(C44="","",ROUND(C44*1000,0)*1000+634)</f>
        <v/>
      </c>
      <c r="AE44">
        <f>IF(C44="",0,IF(ROUND(C44*100,1)&lt;N($AC$2),1,0))</f>
        <v/>
      </c>
    </row>
    <row r="45">
      <c r="A45" s="1" t="n"/>
      <c r="B45" s="31" t="n"/>
      <c r="C45" s="44">
        <f>IF(B45="","",IF((SUMPRODUCT(--ISNUMBER(H45:AA45),$H$52:$AA$52)+SUMPRODUCT(--(H45:AA45="M"),$H$52:$AA$52))=0,"",ROUND(SUMPRODUCT(H45:AA45,$H$53:$AA$53)/(SUMPRODUCT(--ISNUMBER(H45:AA45),$H$52:$AA$52)+SUMPRODUCT(--(H45:AA45="M"),$H$52:$AA$52))*100,1)/100))</f>
        <v/>
      </c>
      <c r="D45" s="34">
        <f>IF(C45="","",IFERROR(INDEX(Settings!$C$17:$C$26,MATCH(AC45,Settings!$B$17:$B$26,0)),""))</f>
        <v/>
      </c>
      <c r="E45" s="16">
        <f>IF(B45="","",COUNTIF(H45:AA45,"M"))</f>
        <v/>
      </c>
      <c r="F45" s="16">
        <f>IF(B45="","",COUNTIFS(Absences!$C$6:$C$405,Settings!$C$14,Absences!$D$6:$D$405,B45,Absences!$E$6:$E$405,"Absent"))</f>
        <v/>
      </c>
      <c r="G45" s="16">
        <f>IF(B45="","",COUNTIFS(Absences!$C$6:$C$405,Settings!$C$14,Absences!$D$6:$D$405,B45,Absences!$E$6:$E$405,"Late"))</f>
        <v/>
      </c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3" t="n"/>
      <c r="X45" s="33" t="n"/>
      <c r="Y45" s="33" t="n"/>
      <c r="Z45" s="33" t="n"/>
      <c r="AA45" s="33" t="n"/>
      <c r="AB45" s="1" t="n"/>
      <c r="AC45">
        <f>IF(C45="","",SUMPRODUCT(MAX(ISNUMBER(Settings!$B$17:$B$26)*(Settings!$B$17:$B$26&lt;=ROUND(C45*100,1))*Settings!$B$17:$B$26)))</f>
        <v/>
      </c>
      <c r="AD45">
        <f>IF(C45="","",ROUND(C45*1000,0)*1000+635)</f>
        <v/>
      </c>
      <c r="AE45">
        <f>IF(C45="",0,IF(ROUND(C45*100,1)&lt;N($AC$2),1,0))</f>
        <v/>
      </c>
    </row>
    <row r="46">
      <c r="A46" s="1" t="n"/>
      <c r="B46" s="31" t="n"/>
      <c r="C46" s="44">
        <f>IF(B46="","",IF((SUMPRODUCT(--ISNUMBER(H46:AA46),$H$52:$AA$52)+SUMPRODUCT(--(H46:AA46="M"),$H$52:$AA$52))=0,"",ROUND(SUMPRODUCT(H46:AA46,$H$53:$AA$53)/(SUMPRODUCT(--ISNUMBER(H46:AA46),$H$52:$AA$52)+SUMPRODUCT(--(H46:AA46="M"),$H$52:$AA$52))*100,1)/100))</f>
        <v/>
      </c>
      <c r="D46" s="34">
        <f>IF(C46="","",IFERROR(INDEX(Settings!$C$17:$C$26,MATCH(AC46,Settings!$B$17:$B$26,0)),""))</f>
        <v/>
      </c>
      <c r="E46" s="16">
        <f>IF(B46="","",COUNTIF(H46:AA46,"M"))</f>
        <v/>
      </c>
      <c r="F46" s="16">
        <f>IF(B46="","",COUNTIFS(Absences!$C$6:$C$405,Settings!$C$14,Absences!$D$6:$D$405,B46,Absences!$E$6:$E$405,"Absent"))</f>
        <v/>
      </c>
      <c r="G46" s="16">
        <f>IF(B46="","",COUNTIFS(Absences!$C$6:$C$405,Settings!$C$14,Absences!$D$6:$D$405,B46,Absences!$E$6:$E$405,"Late"))</f>
        <v/>
      </c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1" t="n"/>
      <c r="AC46">
        <f>IF(C46="","",SUMPRODUCT(MAX(ISNUMBER(Settings!$B$17:$B$26)*(Settings!$B$17:$B$26&lt;=ROUND(C46*100,1))*Settings!$B$17:$B$26)))</f>
        <v/>
      </c>
      <c r="AD46">
        <f>IF(C46="","",ROUND(C46*1000,0)*1000+636)</f>
        <v/>
      </c>
      <c r="AE46">
        <f>IF(C46="",0,IF(ROUND(C46*100,1)&lt;N($AC$2),1,0))</f>
        <v/>
      </c>
    </row>
    <row r="47">
      <c r="A47" s="1" t="n"/>
      <c r="B47" s="31" t="n"/>
      <c r="C47" s="44">
        <f>IF(B47="","",IF((SUMPRODUCT(--ISNUMBER(H47:AA47),$H$52:$AA$52)+SUMPRODUCT(--(H47:AA47="M"),$H$52:$AA$52))=0,"",ROUND(SUMPRODUCT(H47:AA47,$H$53:$AA$53)/(SUMPRODUCT(--ISNUMBER(H47:AA47),$H$52:$AA$52)+SUMPRODUCT(--(H47:AA47="M"),$H$52:$AA$52))*100,1)/100))</f>
        <v/>
      </c>
      <c r="D47" s="34">
        <f>IF(C47="","",IFERROR(INDEX(Settings!$C$17:$C$26,MATCH(AC47,Settings!$B$17:$B$26,0)),""))</f>
        <v/>
      </c>
      <c r="E47" s="16">
        <f>IF(B47="","",COUNTIF(H47:AA47,"M"))</f>
        <v/>
      </c>
      <c r="F47" s="16">
        <f>IF(B47="","",COUNTIFS(Absences!$C$6:$C$405,Settings!$C$14,Absences!$D$6:$D$405,B47,Absences!$E$6:$E$405,"Absent"))</f>
        <v/>
      </c>
      <c r="G47" s="16">
        <f>IF(B47="","",COUNTIFS(Absences!$C$6:$C$405,Settings!$C$14,Absences!$D$6:$D$405,B47,Absences!$E$6:$E$405,"Late"))</f>
        <v/>
      </c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1" t="n"/>
      <c r="AC47">
        <f>IF(C47="","",SUMPRODUCT(MAX(ISNUMBER(Settings!$B$17:$B$26)*(Settings!$B$17:$B$26&lt;=ROUND(C47*100,1))*Settings!$B$17:$B$26)))</f>
        <v/>
      </c>
      <c r="AD47">
        <f>IF(C47="","",ROUND(C47*1000,0)*1000+637)</f>
        <v/>
      </c>
      <c r="AE47">
        <f>IF(C47="",0,IF(ROUND(C47*100,1)&lt;N($AC$2),1,0))</f>
        <v/>
      </c>
    </row>
    <row r="48">
      <c r="A48" s="1" t="n"/>
      <c r="B48" s="31" t="n"/>
      <c r="C48" s="44">
        <f>IF(B48="","",IF((SUMPRODUCT(--ISNUMBER(H48:AA48),$H$52:$AA$52)+SUMPRODUCT(--(H48:AA48="M"),$H$52:$AA$52))=0,"",ROUND(SUMPRODUCT(H48:AA48,$H$53:$AA$53)/(SUMPRODUCT(--ISNUMBER(H48:AA48),$H$52:$AA$52)+SUMPRODUCT(--(H48:AA48="M"),$H$52:$AA$52))*100,1)/100))</f>
        <v/>
      </c>
      <c r="D48" s="34">
        <f>IF(C48="","",IFERROR(INDEX(Settings!$C$17:$C$26,MATCH(AC48,Settings!$B$17:$B$26,0)),""))</f>
        <v/>
      </c>
      <c r="E48" s="16">
        <f>IF(B48="","",COUNTIF(H48:AA48,"M"))</f>
        <v/>
      </c>
      <c r="F48" s="16">
        <f>IF(B48="","",COUNTIFS(Absences!$C$6:$C$405,Settings!$C$14,Absences!$D$6:$D$405,B48,Absences!$E$6:$E$405,"Absent"))</f>
        <v/>
      </c>
      <c r="G48" s="16">
        <f>IF(B48="","",COUNTIFS(Absences!$C$6:$C$405,Settings!$C$14,Absences!$D$6:$D$405,B48,Absences!$E$6:$E$405,"Late"))</f>
        <v/>
      </c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  <c r="AB48" s="1" t="n"/>
      <c r="AC48">
        <f>IF(C48="","",SUMPRODUCT(MAX(ISNUMBER(Settings!$B$17:$B$26)*(Settings!$B$17:$B$26&lt;=ROUND(C48*100,1))*Settings!$B$17:$B$26)))</f>
        <v/>
      </c>
      <c r="AD48">
        <f>IF(C48="","",ROUND(C48*1000,0)*1000+638)</f>
        <v/>
      </c>
      <c r="AE48">
        <f>IF(C48="",0,IF(ROUND(C48*100,1)&lt;N($AC$2),1,0))</f>
        <v/>
      </c>
    </row>
    <row r="49">
      <c r="A49" s="1" t="n"/>
      <c r="B49" s="31" t="n"/>
      <c r="C49" s="44">
        <f>IF(B49="","",IF((SUMPRODUCT(--ISNUMBER(H49:AA49),$H$52:$AA$52)+SUMPRODUCT(--(H49:AA49="M"),$H$52:$AA$52))=0,"",ROUND(SUMPRODUCT(H49:AA49,$H$53:$AA$53)/(SUMPRODUCT(--ISNUMBER(H49:AA49),$H$52:$AA$52)+SUMPRODUCT(--(H49:AA49="M"),$H$52:$AA$52))*100,1)/100))</f>
        <v/>
      </c>
      <c r="D49" s="34">
        <f>IF(C49="","",IFERROR(INDEX(Settings!$C$17:$C$26,MATCH(AC49,Settings!$B$17:$B$26,0)),""))</f>
        <v/>
      </c>
      <c r="E49" s="16">
        <f>IF(B49="","",COUNTIF(H49:AA49,"M"))</f>
        <v/>
      </c>
      <c r="F49" s="16">
        <f>IF(B49="","",COUNTIFS(Absences!$C$6:$C$405,Settings!$C$14,Absences!$D$6:$D$405,B49,Absences!$E$6:$E$405,"Absent"))</f>
        <v/>
      </c>
      <c r="G49" s="16">
        <f>IF(B49="","",COUNTIFS(Absences!$C$6:$C$405,Settings!$C$14,Absences!$D$6:$D$405,B49,Absences!$E$6:$E$405,"Late"))</f>
        <v/>
      </c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  <c r="AB49" s="1" t="n"/>
      <c r="AC49">
        <f>IF(C49="","",SUMPRODUCT(MAX(ISNUMBER(Settings!$B$17:$B$26)*(Settings!$B$17:$B$26&lt;=ROUND(C49*100,1))*Settings!$B$17:$B$26)))</f>
        <v/>
      </c>
      <c r="AD49">
        <f>IF(C49="","",ROUND(C49*1000,0)*1000+639)</f>
        <v/>
      </c>
      <c r="AE49">
        <f>IF(C49="",0,IF(ROUND(C49*100,1)&lt;N($AC$2),1,0))</f>
        <v/>
      </c>
    </row>
    <row r="50">
      <c r="A50" s="1" t="n"/>
      <c r="B50" s="31" t="n"/>
      <c r="C50" s="44">
        <f>IF(B50="","",IF((SUMPRODUCT(--ISNUMBER(H50:AA50),$H$52:$AA$52)+SUMPRODUCT(--(H50:AA50="M"),$H$52:$AA$52))=0,"",ROUND(SUMPRODUCT(H50:AA50,$H$53:$AA$53)/(SUMPRODUCT(--ISNUMBER(H50:AA50),$H$52:$AA$52)+SUMPRODUCT(--(H50:AA50="M"),$H$52:$AA$52))*100,1)/100))</f>
        <v/>
      </c>
      <c r="D50" s="34">
        <f>IF(C50="","",IFERROR(INDEX(Settings!$C$17:$C$26,MATCH(AC50,Settings!$B$17:$B$26,0)),""))</f>
        <v/>
      </c>
      <c r="E50" s="16">
        <f>IF(B50="","",COUNTIF(H50:AA50,"M"))</f>
        <v/>
      </c>
      <c r="F50" s="16">
        <f>IF(B50="","",COUNTIFS(Absences!$C$6:$C$405,Settings!$C$14,Absences!$D$6:$D$405,B50,Absences!$E$6:$E$405,"Absent"))</f>
        <v/>
      </c>
      <c r="G50" s="16">
        <f>IF(B50="","",COUNTIFS(Absences!$C$6:$C$405,Settings!$C$14,Absences!$D$6:$D$405,B50,Absences!$E$6:$E$405,"Late"))</f>
        <v/>
      </c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1" t="n"/>
      <c r="AC50">
        <f>IF(C50="","",SUMPRODUCT(MAX(ISNUMBER(Settings!$B$17:$B$26)*(Settings!$B$17:$B$26&lt;=ROUND(C50*100,1))*Settings!$B$17:$B$26)))</f>
        <v/>
      </c>
      <c r="AD50">
        <f>IF(C50="","",ROUND(C50*1000,0)*1000+640)</f>
        <v/>
      </c>
      <c r="AE50">
        <f>IF(C50="",0,IF(ROUND(C50*100,1)&lt;N($AC$2),1,0))</f>
        <v/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idden="1">
      <c r="H52">
        <f>IF(N(H7)&lt;=0,0,IF(H8="",1,N(H8)))</f>
        <v/>
      </c>
      <c r="I52">
        <f>IF(N(I7)&lt;=0,0,IF(I8="",1,N(I8)))</f>
        <v/>
      </c>
      <c r="J52">
        <f>IF(N(J7)&lt;=0,0,IF(J8="",1,N(J8)))</f>
        <v/>
      </c>
      <c r="K52">
        <f>IF(N(K7)&lt;=0,0,IF(K8="",1,N(K8)))</f>
        <v/>
      </c>
      <c r="L52">
        <f>IF(N(L7)&lt;=0,0,IF(L8="",1,N(L8)))</f>
        <v/>
      </c>
      <c r="M52">
        <f>IF(N(M7)&lt;=0,0,IF(M8="",1,N(M8)))</f>
        <v/>
      </c>
      <c r="N52">
        <f>IF(N(N7)&lt;=0,0,IF(N8="",1,N(N8)))</f>
        <v/>
      </c>
      <c r="O52">
        <f>IF(N(O7)&lt;=0,0,IF(O8="",1,N(O8)))</f>
        <v/>
      </c>
      <c r="P52">
        <f>IF(N(P7)&lt;=0,0,IF(P8="",1,N(P8)))</f>
        <v/>
      </c>
      <c r="Q52">
        <f>IF(N(Q7)&lt;=0,0,IF(Q8="",1,N(Q8)))</f>
        <v/>
      </c>
      <c r="R52">
        <f>IF(N(R7)&lt;=0,0,IF(R8="",1,N(R8)))</f>
        <v/>
      </c>
      <c r="S52">
        <f>IF(N(S7)&lt;=0,0,IF(S8="",1,N(S8)))</f>
        <v/>
      </c>
      <c r="T52">
        <f>IF(N(T7)&lt;=0,0,IF(T8="",1,N(T8)))</f>
        <v/>
      </c>
      <c r="U52">
        <f>IF(N(U7)&lt;=0,0,IF(U8="",1,N(U8)))</f>
        <v/>
      </c>
      <c r="V52">
        <f>IF(N(V7)&lt;=0,0,IF(V8="",1,N(V8)))</f>
        <v/>
      </c>
      <c r="W52">
        <f>IF(N(W7)&lt;=0,0,IF(W8="",1,N(W8)))</f>
        <v/>
      </c>
      <c r="X52">
        <f>IF(N(X7)&lt;=0,0,IF(X8="",1,N(X8)))</f>
        <v/>
      </c>
      <c r="Y52">
        <f>IF(N(Y7)&lt;=0,0,IF(Y8="",1,N(Y8)))</f>
        <v/>
      </c>
      <c r="Z52">
        <f>IF(N(Z7)&lt;=0,0,IF(Z8="",1,N(Z8)))</f>
        <v/>
      </c>
      <c r="AA52">
        <f>IF(N(AA7)&lt;=0,0,IF(AA8="",1,N(AA8)))</f>
        <v/>
      </c>
    </row>
    <row r="53" hidden="1">
      <c r="H53">
        <f>IF(H52=0,0,H52/H7)</f>
        <v/>
      </c>
      <c r="I53">
        <f>IF(I52=0,0,I52/I7)</f>
        <v/>
      </c>
      <c r="J53">
        <f>IF(J52=0,0,J52/J7)</f>
        <v/>
      </c>
      <c r="K53">
        <f>IF(K52=0,0,K52/K7)</f>
        <v/>
      </c>
      <c r="L53">
        <f>IF(L52=0,0,L52/L7)</f>
        <v/>
      </c>
      <c r="M53">
        <f>IF(M52=0,0,M52/M7)</f>
        <v/>
      </c>
      <c r="N53">
        <f>IF(N52=0,0,N52/N7)</f>
        <v/>
      </c>
      <c r="O53">
        <f>IF(O52=0,0,O52/O7)</f>
        <v/>
      </c>
      <c r="P53">
        <f>IF(P52=0,0,P52/P7)</f>
        <v/>
      </c>
      <c r="Q53">
        <f>IF(Q52=0,0,Q52/Q7)</f>
        <v/>
      </c>
      <c r="R53">
        <f>IF(R52=0,0,R52/R7)</f>
        <v/>
      </c>
      <c r="S53">
        <f>IF(S52=0,0,S52/S7)</f>
        <v/>
      </c>
      <c r="T53">
        <f>IF(T52=0,0,T52/T7)</f>
        <v/>
      </c>
      <c r="U53">
        <f>IF(U52=0,0,U52/U7)</f>
        <v/>
      </c>
      <c r="V53">
        <f>IF(V52=0,0,V52/V7)</f>
        <v/>
      </c>
      <c r="W53">
        <f>IF(W52=0,0,W52/W7)</f>
        <v/>
      </c>
      <c r="X53">
        <f>IF(X52=0,0,X52/X7)</f>
        <v/>
      </c>
      <c r="Y53">
        <f>IF(Y52=0,0,Y52/Y7)</f>
        <v/>
      </c>
      <c r="Z53">
        <f>IF(Z52=0,0,Z52/Z7)</f>
        <v/>
      </c>
      <c r="AA53">
        <f>IF(AA52=0,0,AA52/AA7)</f>
        <v/>
      </c>
    </row>
    <row r="54" hidden="1">
      <c r="H54">
        <f>IF(AND(H5&lt;&gt;"",ISNUMBER(H6)),IF(AND(H6&lt;=TODAY(),COUNT(H11:H50)+COUNTIF(H11:H50,"M")=0),1,0),0)</f>
        <v/>
      </c>
      <c r="I54">
        <f>IF(AND(I5&lt;&gt;"",ISNUMBER(I6)),IF(AND(I6&lt;=TODAY(),COUNT(I11:I50)+COUNTIF(I11:I50,"M")=0),1,0),0)</f>
        <v/>
      </c>
      <c r="J54">
        <f>IF(AND(J5&lt;&gt;"",ISNUMBER(J6)),IF(AND(J6&lt;=TODAY(),COUNT(J11:J50)+COUNTIF(J11:J50,"M")=0),1,0),0)</f>
        <v/>
      </c>
      <c r="K54">
        <f>IF(AND(K5&lt;&gt;"",ISNUMBER(K6)),IF(AND(K6&lt;=TODAY(),COUNT(K11:K50)+COUNTIF(K11:K50,"M")=0),1,0),0)</f>
        <v/>
      </c>
      <c r="L54">
        <f>IF(AND(L5&lt;&gt;"",ISNUMBER(L6)),IF(AND(L6&lt;=TODAY(),COUNT(L11:L50)+COUNTIF(L11:L50,"M")=0),1,0),0)</f>
        <v/>
      </c>
      <c r="M54">
        <f>IF(AND(M5&lt;&gt;"",ISNUMBER(M6)),IF(AND(M6&lt;=TODAY(),COUNT(M11:M50)+COUNTIF(M11:M50,"M")=0),1,0),0)</f>
        <v/>
      </c>
      <c r="N54">
        <f>IF(AND(N5&lt;&gt;"",ISNUMBER(N6)),IF(AND(N6&lt;=TODAY(),COUNT(N11:N50)+COUNTIF(N11:N50,"M")=0),1,0),0)</f>
        <v/>
      </c>
      <c r="O54">
        <f>IF(AND(O5&lt;&gt;"",ISNUMBER(O6)),IF(AND(O6&lt;=TODAY(),COUNT(O11:O50)+COUNTIF(O11:O50,"M")=0),1,0),0)</f>
        <v/>
      </c>
      <c r="P54">
        <f>IF(AND(P5&lt;&gt;"",ISNUMBER(P6)),IF(AND(P6&lt;=TODAY(),COUNT(P11:P50)+COUNTIF(P11:P50,"M")=0),1,0),0)</f>
        <v/>
      </c>
      <c r="Q54">
        <f>IF(AND(Q5&lt;&gt;"",ISNUMBER(Q6)),IF(AND(Q6&lt;=TODAY(),COUNT(Q11:Q50)+COUNTIF(Q11:Q50,"M")=0),1,0),0)</f>
        <v/>
      </c>
      <c r="R54">
        <f>IF(AND(R5&lt;&gt;"",ISNUMBER(R6)),IF(AND(R6&lt;=TODAY(),COUNT(R11:R50)+COUNTIF(R11:R50,"M")=0),1,0),0)</f>
        <v/>
      </c>
      <c r="S54">
        <f>IF(AND(S5&lt;&gt;"",ISNUMBER(S6)),IF(AND(S6&lt;=TODAY(),COUNT(S11:S50)+COUNTIF(S11:S50,"M")=0),1,0),0)</f>
        <v/>
      </c>
      <c r="T54">
        <f>IF(AND(T5&lt;&gt;"",ISNUMBER(T6)),IF(AND(T6&lt;=TODAY(),COUNT(T11:T50)+COUNTIF(T11:T50,"M")=0),1,0),0)</f>
        <v/>
      </c>
      <c r="U54">
        <f>IF(AND(U5&lt;&gt;"",ISNUMBER(U6)),IF(AND(U6&lt;=TODAY(),COUNT(U11:U50)+COUNTIF(U11:U50,"M")=0),1,0),0)</f>
        <v/>
      </c>
      <c r="V54">
        <f>IF(AND(V5&lt;&gt;"",ISNUMBER(V6)),IF(AND(V6&lt;=TODAY(),COUNT(V11:V50)+COUNTIF(V11:V50,"M")=0),1,0),0)</f>
        <v/>
      </c>
      <c r="W54">
        <f>IF(AND(W5&lt;&gt;"",ISNUMBER(W6)),IF(AND(W6&lt;=TODAY(),COUNT(W11:W50)+COUNTIF(W11:W50,"M")=0),1,0),0)</f>
        <v/>
      </c>
      <c r="X54">
        <f>IF(AND(X5&lt;&gt;"",ISNUMBER(X6)),IF(AND(X6&lt;=TODAY(),COUNT(X11:X50)+COUNTIF(X11:X50,"M")=0),1,0),0)</f>
        <v/>
      </c>
      <c r="Y54">
        <f>IF(AND(Y5&lt;&gt;"",ISNUMBER(Y6)),IF(AND(Y6&lt;=TODAY(),COUNT(Y11:Y50)+COUNTIF(Y11:Y50,"M")=0),1,0),0)</f>
        <v/>
      </c>
      <c r="Z54">
        <f>IF(AND(Z5&lt;&gt;"",ISNUMBER(Z6)),IF(AND(Z6&lt;=TODAY(),COUNT(Z11:Z50)+COUNTIF(Z11:Z50,"M")=0),1,0),0)</f>
        <v/>
      </c>
      <c r="AA54">
        <f>IF(AND(AA5&lt;&gt;"",ISNUMBER(AA6)),IF(AND(AA6&lt;=TODAY(),COUNT(AA11:AA50)+COUNTIF(AA11:AA50,"M")=0),1,0),0)</f>
        <v/>
      </c>
    </row>
  </sheetData>
  <conditionalFormatting sqref="C11:D50">
    <cfRule type="expression" priority="1" dxfId="1">
      <formula>AND(ISNUMBER($C11),ROUND($C11*100,1)&lt;N($AC$2))</formula>
    </cfRule>
  </conditionalFormatting>
  <conditionalFormatting sqref="E11:E50">
    <cfRule type="expression" priority="2" dxfId="0">
      <formula>N(E11)&gt;0</formula>
    </cfRule>
  </conditionalFormatting>
  <conditionalFormatting sqref="H11:AA50">
    <cfRule type="expression" priority="3" dxfId="1">
      <formula>H11="M"</formula>
    </cfRule>
    <cfRule type="expression" priority="4" dxfId="2">
      <formula>AND(ISNUMBER(H11),H11&gt;N(H$7))</formula>
    </cfRule>
  </conditionalFormatting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6" customWidth="1" min="3" max="3"/>
    <col width="22" customWidth="1" min="4" max="4"/>
    <col width="11" customWidth="1" min="5" max="5"/>
    <col width="26" customWidth="1" min="6" max="6"/>
    <col width="20" customWidth="1" min="7" max="7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Absences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Only the students who were absent or late. Everyone else counts as present.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0" t="inlineStr">
        <is>
          <t>Date</t>
        </is>
      </c>
      <c r="C5" s="10" t="inlineStr">
        <is>
          <t>Class</t>
        </is>
      </c>
      <c r="D5" s="10" t="inlineStr">
        <is>
          <t>Student</t>
        </is>
      </c>
      <c r="E5" s="10" t="inlineStr">
        <is>
          <t>Type</t>
        </is>
      </c>
      <c r="F5" s="10" t="inlineStr">
        <is>
          <t>Note</t>
        </is>
      </c>
      <c r="G5" s="10" t="inlineStr">
        <is>
          <t>Check</t>
        </is>
      </c>
      <c r="H5" s="1" t="n"/>
    </row>
    <row r="6">
      <c r="A6" s="1" t="n"/>
      <c r="B6" s="28" t="n">
        <v>46276</v>
      </c>
      <c r="C6" s="30" t="inlineStr">
        <is>
          <t>9C Biology</t>
        </is>
      </c>
      <c r="D6" s="31" t="inlineStr">
        <is>
          <t>Caleb W.</t>
        </is>
      </c>
      <c r="E6" s="33" t="inlineStr">
        <is>
          <t>Absent</t>
        </is>
      </c>
      <c r="F6" s="30" t="n"/>
      <c r="G6" s="12">
        <f>IF(OR(C6="",D6=""),"",IF(ISNA(MATCH(C6,Settings!$C$9:$C$14,0)),"Class not on Settings",IF(CHOOSE(MATCH(C6,Settings!$C$9:$C$14,0),COUNTIF('Class 1'!$B$11:$B$50,D6),COUNTIF('Class 2'!$B$11:$B$50,D6),COUNTIF('Class 3'!$B$11:$B$50,D6),COUNTIF('Class 4'!$B$11:$B$50,D6),COUNTIF('Class 5'!$B$11:$B$50,D6),COUNTIF('Class 6'!$B$11:$B$50,D6))=0,"Not on the class list","")))</f>
        <v/>
      </c>
      <c r="H6" s="1" t="n"/>
      <c r="J6">
        <f>IF('Class 1'!B11="","",'Class 1'!B11)</f>
        <v/>
      </c>
    </row>
    <row r="7">
      <c r="A7" s="1" t="n"/>
      <c r="B7" s="28" t="n">
        <v>46276</v>
      </c>
      <c r="C7" s="30" t="inlineStr">
        <is>
          <t>10D Chemistry</t>
        </is>
      </c>
      <c r="D7" s="31" t="inlineStr">
        <is>
          <t>Oscar R.</t>
        </is>
      </c>
      <c r="E7" s="33" t="inlineStr">
        <is>
          <t>Late</t>
        </is>
      </c>
      <c r="F7" s="30" t="n"/>
      <c r="G7" s="12">
        <f>IF(OR(C7="",D7=""),"",IF(ISNA(MATCH(C7,Settings!$C$9:$C$14,0)),"Class not on Settings",IF(CHOOSE(MATCH(C7,Settings!$C$9:$C$14,0),COUNTIF('Class 1'!$B$11:$B$50,D7),COUNTIF('Class 2'!$B$11:$B$50,D7),COUNTIF('Class 3'!$B$11:$B$50,D7),COUNTIF('Class 4'!$B$11:$B$50,D7),COUNTIF('Class 5'!$B$11:$B$50,D7),COUNTIF('Class 6'!$B$11:$B$50,D7))=0,"Not on the class list","")))</f>
        <v/>
      </c>
      <c r="H7" s="1" t="n"/>
      <c r="J7">
        <f>IF('Class 1'!B12="","",'Class 1'!B12)</f>
        <v/>
      </c>
    </row>
    <row r="8">
      <c r="A8" s="1" t="n"/>
      <c r="B8" s="28" t="n">
        <v>46276</v>
      </c>
      <c r="C8" s="30" t="inlineStr">
        <is>
          <t>7B Science</t>
        </is>
      </c>
      <c r="D8" s="31" t="inlineStr">
        <is>
          <t>Bella A.</t>
        </is>
      </c>
      <c r="E8" s="33" t="inlineStr">
        <is>
          <t>Absent</t>
        </is>
      </c>
      <c r="F8" s="30" t="n"/>
      <c r="G8" s="12">
        <f>IF(OR(C8="",D8=""),"",IF(ISNA(MATCH(C8,Settings!$C$9:$C$14,0)),"Class not on Settings",IF(CHOOSE(MATCH(C8,Settings!$C$9:$C$14,0),COUNTIF('Class 1'!$B$11:$B$50,D8),COUNTIF('Class 2'!$B$11:$B$50,D8),COUNTIF('Class 3'!$B$11:$B$50,D8),COUNTIF('Class 4'!$B$11:$B$50,D8),COUNTIF('Class 5'!$B$11:$B$50,D8),COUNTIF('Class 6'!$B$11:$B$50,D8))=0,"Not on the class list","")))</f>
        <v/>
      </c>
      <c r="H8" s="1" t="n"/>
      <c r="J8">
        <f>IF('Class 1'!B13="","",'Class 1'!B13)</f>
        <v/>
      </c>
    </row>
    <row r="9">
      <c r="A9" s="1" t="n"/>
      <c r="B9" s="28" t="n">
        <v>46276</v>
      </c>
      <c r="C9" s="30" t="inlineStr">
        <is>
          <t>8A Science</t>
        </is>
      </c>
      <c r="D9" s="31" t="inlineStr">
        <is>
          <t>Pavel K.</t>
        </is>
      </c>
      <c r="E9" s="33" t="inlineStr">
        <is>
          <t>Absent</t>
        </is>
      </c>
      <c r="F9" s="30" t="n"/>
      <c r="G9" s="12">
        <f>IF(OR(C9="",D9=""),"",IF(ISNA(MATCH(C9,Settings!$C$9:$C$14,0)),"Class not on Settings",IF(CHOOSE(MATCH(C9,Settings!$C$9:$C$14,0),COUNTIF('Class 1'!$B$11:$B$50,D9),COUNTIF('Class 2'!$B$11:$B$50,D9),COUNTIF('Class 3'!$B$11:$B$50,D9),COUNTIF('Class 4'!$B$11:$B$50,D9),COUNTIF('Class 5'!$B$11:$B$50,D9),COUNTIF('Class 6'!$B$11:$B$50,D9))=0,"Not on the class list","")))</f>
        <v/>
      </c>
      <c r="H9" s="1" t="n"/>
      <c r="J9">
        <f>IF('Class 1'!B14="","",'Class 1'!B14)</f>
        <v/>
      </c>
    </row>
    <row r="10">
      <c r="A10" s="1" t="n"/>
      <c r="B10" s="28" t="n">
        <v>46280</v>
      </c>
      <c r="C10" s="30" t="inlineStr">
        <is>
          <t>7B Science</t>
        </is>
      </c>
      <c r="D10" s="31" t="inlineStr">
        <is>
          <t>Kira F.</t>
        </is>
      </c>
      <c r="E10" s="33" t="inlineStr">
        <is>
          <t>Absent</t>
        </is>
      </c>
      <c r="F10" s="30" t="n"/>
      <c r="G10" s="12">
        <f>IF(OR(C10="",D10=""),"",IF(ISNA(MATCH(C10,Settings!$C$9:$C$14,0)),"Class not on Settings",IF(CHOOSE(MATCH(C10,Settings!$C$9:$C$14,0),COUNTIF('Class 1'!$B$11:$B$50,D10),COUNTIF('Class 2'!$B$11:$B$50,D10),COUNTIF('Class 3'!$B$11:$B$50,D10),COUNTIF('Class 4'!$B$11:$B$50,D10),COUNTIF('Class 5'!$B$11:$B$50,D10),COUNTIF('Class 6'!$B$11:$B$50,D10))=0,"Not on the class list","")))</f>
        <v/>
      </c>
      <c r="H10" s="1" t="n"/>
      <c r="J10">
        <f>IF('Class 1'!B15="","",'Class 1'!B15)</f>
        <v/>
      </c>
    </row>
    <row r="11">
      <c r="A11" s="1" t="n"/>
      <c r="B11" s="28" t="n">
        <v>46283</v>
      </c>
      <c r="C11" s="30" t="inlineStr">
        <is>
          <t>9C Biology</t>
        </is>
      </c>
      <c r="D11" s="31" t="inlineStr">
        <is>
          <t>Pavel S.</t>
        </is>
      </c>
      <c r="E11" s="33" t="inlineStr">
        <is>
          <t>Excused</t>
        </is>
      </c>
      <c r="F11" s="30" t="inlineStr">
        <is>
          <t>Doctor's note</t>
        </is>
      </c>
      <c r="G11" s="12">
        <f>IF(OR(C11="",D11=""),"",IF(ISNA(MATCH(C11,Settings!$C$9:$C$14,0)),"Class not on Settings",IF(CHOOSE(MATCH(C11,Settings!$C$9:$C$14,0),COUNTIF('Class 1'!$B$11:$B$50,D11),COUNTIF('Class 2'!$B$11:$B$50,D11),COUNTIF('Class 3'!$B$11:$B$50,D11),COUNTIF('Class 4'!$B$11:$B$50,D11),COUNTIF('Class 5'!$B$11:$B$50,D11),COUNTIF('Class 6'!$B$11:$B$50,D11))=0,"Not on the class list","")))</f>
        <v/>
      </c>
      <c r="H11" s="1" t="n"/>
      <c r="J11">
        <f>IF('Class 1'!B16="","",'Class 1'!B16)</f>
        <v/>
      </c>
    </row>
    <row r="12">
      <c r="A12" s="1" t="n"/>
      <c r="B12" s="28" t="n">
        <v>46283</v>
      </c>
      <c r="C12" s="30" t="inlineStr">
        <is>
          <t>8A Science</t>
        </is>
      </c>
      <c r="D12" s="31" t="inlineStr">
        <is>
          <t>Holly E.</t>
        </is>
      </c>
      <c r="E12" s="33" t="inlineStr">
        <is>
          <t>Absent</t>
        </is>
      </c>
      <c r="F12" s="30" t="n"/>
      <c r="G12" s="12">
        <f>IF(OR(C12="",D12=""),"",IF(ISNA(MATCH(C12,Settings!$C$9:$C$14,0)),"Class not on Settings",IF(CHOOSE(MATCH(C12,Settings!$C$9:$C$14,0),COUNTIF('Class 1'!$B$11:$B$50,D12),COUNTIF('Class 2'!$B$11:$B$50,D12),COUNTIF('Class 3'!$B$11:$B$50,D12),COUNTIF('Class 4'!$B$11:$B$50,D12),COUNTIF('Class 5'!$B$11:$B$50,D12),COUNTIF('Class 6'!$B$11:$B$50,D12))=0,"Not on the class list","")))</f>
        <v/>
      </c>
      <c r="H12" s="1" t="n"/>
      <c r="J12">
        <f>IF('Class 1'!B17="","",'Class 1'!B17)</f>
        <v/>
      </c>
    </row>
    <row r="13">
      <c r="A13" s="1" t="n"/>
      <c r="B13" s="28" t="n">
        <v>46283</v>
      </c>
      <c r="C13" s="30" t="inlineStr">
        <is>
          <t>10D Chemistry</t>
        </is>
      </c>
      <c r="D13" s="31" t="inlineStr">
        <is>
          <t>Umar C.</t>
        </is>
      </c>
      <c r="E13" s="33" t="inlineStr">
        <is>
          <t>Absent</t>
        </is>
      </c>
      <c r="F13" s="30" t="n"/>
      <c r="G13" s="12">
        <f>IF(OR(C13="",D13=""),"",IF(ISNA(MATCH(C13,Settings!$C$9:$C$14,0)),"Class not on Settings",IF(CHOOSE(MATCH(C13,Settings!$C$9:$C$14,0),COUNTIF('Class 1'!$B$11:$B$50,D13),COUNTIF('Class 2'!$B$11:$B$50,D13),COUNTIF('Class 3'!$B$11:$B$50,D13),COUNTIF('Class 4'!$B$11:$B$50,D13),COUNTIF('Class 5'!$B$11:$B$50,D13),COUNTIF('Class 6'!$B$11:$B$50,D13))=0,"Not on the class list","")))</f>
        <v/>
      </c>
      <c r="H13" s="1" t="n"/>
      <c r="J13">
        <f>IF('Class 1'!B18="","",'Class 1'!B18)</f>
        <v/>
      </c>
    </row>
    <row r="14">
      <c r="A14" s="1" t="n"/>
      <c r="B14" s="28" t="n">
        <v>46283</v>
      </c>
      <c r="C14" s="30" t="inlineStr">
        <is>
          <t>9C Biology</t>
        </is>
      </c>
      <c r="D14" s="31" t="inlineStr">
        <is>
          <t>Jonah T.</t>
        </is>
      </c>
      <c r="E14" s="33" t="inlineStr">
        <is>
          <t>Late</t>
        </is>
      </c>
      <c r="F14" s="30" t="n"/>
      <c r="G14" s="12">
        <f>IF(OR(C14="",D14=""),"",IF(ISNA(MATCH(C14,Settings!$C$9:$C$14,0)),"Class not on Settings",IF(CHOOSE(MATCH(C14,Settings!$C$9:$C$14,0),COUNTIF('Class 1'!$B$11:$B$50,D14),COUNTIF('Class 2'!$B$11:$B$50,D14),COUNTIF('Class 3'!$B$11:$B$50,D14),COUNTIF('Class 4'!$B$11:$B$50,D14),COUNTIF('Class 5'!$B$11:$B$50,D14),COUNTIF('Class 6'!$B$11:$B$50,D14))=0,"Not on the class list","")))</f>
        <v/>
      </c>
      <c r="H14" s="1" t="n"/>
      <c r="J14">
        <f>IF('Class 1'!B19="","",'Class 1'!B19)</f>
        <v/>
      </c>
    </row>
    <row r="15">
      <c r="A15" s="1" t="n"/>
      <c r="B15" s="28" t="n">
        <v>46283</v>
      </c>
      <c r="C15" s="30" t="inlineStr">
        <is>
          <t>9C Biology</t>
        </is>
      </c>
      <c r="D15" s="31" t="inlineStr">
        <is>
          <t>Caleb W.</t>
        </is>
      </c>
      <c r="E15" s="33" t="inlineStr">
        <is>
          <t>Absent</t>
        </is>
      </c>
      <c r="F15" s="30" t="n"/>
      <c r="G15" s="12">
        <f>IF(OR(C15="",D15=""),"",IF(ISNA(MATCH(C15,Settings!$C$9:$C$14,0)),"Class not on Settings",IF(CHOOSE(MATCH(C15,Settings!$C$9:$C$14,0),COUNTIF('Class 1'!$B$11:$B$50,D15),COUNTIF('Class 2'!$B$11:$B$50,D15),COUNTIF('Class 3'!$B$11:$B$50,D15),COUNTIF('Class 4'!$B$11:$B$50,D15),COUNTIF('Class 5'!$B$11:$B$50,D15),COUNTIF('Class 6'!$B$11:$B$50,D15))=0,"Not on the class list","")))</f>
        <v/>
      </c>
      <c r="H15" s="1" t="n"/>
      <c r="J15">
        <f>IF('Class 1'!B20="","",'Class 1'!B20)</f>
        <v/>
      </c>
    </row>
    <row r="16">
      <c r="A16" s="1" t="n"/>
      <c r="B16" s="28" t="n">
        <v>46283</v>
      </c>
      <c r="C16" s="30" t="inlineStr">
        <is>
          <t>8A Science</t>
        </is>
      </c>
      <c r="D16" s="31" t="inlineStr">
        <is>
          <t>Caleb F.</t>
        </is>
      </c>
      <c r="E16" s="33" t="inlineStr">
        <is>
          <t>Absent</t>
        </is>
      </c>
      <c r="F16" s="30" t="n"/>
      <c r="G16" s="12">
        <f>IF(OR(C16="",D16=""),"",IF(ISNA(MATCH(C16,Settings!$C$9:$C$14,0)),"Class not on Settings",IF(CHOOSE(MATCH(C16,Settings!$C$9:$C$14,0),COUNTIF('Class 1'!$B$11:$B$50,D16),COUNTIF('Class 2'!$B$11:$B$50,D16),COUNTIF('Class 3'!$B$11:$B$50,D16),COUNTIF('Class 4'!$B$11:$B$50,D16),COUNTIF('Class 5'!$B$11:$B$50,D16),COUNTIF('Class 6'!$B$11:$B$50,D16))=0,"Not on the class list","")))</f>
        <v/>
      </c>
      <c r="H16" s="1" t="n"/>
      <c r="J16">
        <f>IF('Class 1'!B21="","",'Class 1'!B21)</f>
        <v/>
      </c>
    </row>
    <row r="17">
      <c r="A17" s="1" t="n"/>
      <c r="B17" s="28" t="n">
        <v>46286</v>
      </c>
      <c r="C17" s="30" t="inlineStr">
        <is>
          <t>8A Science</t>
        </is>
      </c>
      <c r="D17" s="31" t="inlineStr">
        <is>
          <t>Pavel K.</t>
        </is>
      </c>
      <c r="E17" s="33" t="inlineStr">
        <is>
          <t>Absent</t>
        </is>
      </c>
      <c r="F17" s="30" t="n"/>
      <c r="G17" s="12">
        <f>IF(OR(C17="",D17=""),"",IF(ISNA(MATCH(C17,Settings!$C$9:$C$14,0)),"Class not on Settings",IF(CHOOSE(MATCH(C17,Settings!$C$9:$C$14,0),COUNTIF('Class 1'!$B$11:$B$50,D17),COUNTIF('Class 2'!$B$11:$B$50,D17),COUNTIF('Class 3'!$B$11:$B$50,D17),COUNTIF('Class 4'!$B$11:$B$50,D17),COUNTIF('Class 5'!$B$11:$B$50,D17),COUNTIF('Class 6'!$B$11:$B$50,D17))=0,"Not on the class list","")))</f>
        <v/>
      </c>
      <c r="H17" s="1" t="n"/>
      <c r="J17">
        <f>IF('Class 1'!B22="","",'Class 1'!B22)</f>
        <v/>
      </c>
    </row>
    <row r="18">
      <c r="A18" s="1" t="n"/>
      <c r="B18" s="28" t="n">
        <v>46287</v>
      </c>
      <c r="C18" s="30" t="inlineStr">
        <is>
          <t>8A Science</t>
        </is>
      </c>
      <c r="D18" s="31" t="inlineStr">
        <is>
          <t>Sami E.</t>
        </is>
      </c>
      <c r="E18" s="33" t="inlineStr">
        <is>
          <t>Absent</t>
        </is>
      </c>
      <c r="F18" s="30" t="n"/>
      <c r="G18" s="12">
        <f>IF(OR(C18="",D18=""),"",IF(ISNA(MATCH(C18,Settings!$C$9:$C$14,0)),"Class not on Settings",IF(CHOOSE(MATCH(C18,Settings!$C$9:$C$14,0),COUNTIF('Class 1'!$B$11:$B$50,D18),COUNTIF('Class 2'!$B$11:$B$50,D18),COUNTIF('Class 3'!$B$11:$B$50,D18),COUNTIF('Class 4'!$B$11:$B$50,D18),COUNTIF('Class 5'!$B$11:$B$50,D18),COUNTIF('Class 6'!$B$11:$B$50,D18))=0,"Not on the class list","")))</f>
        <v/>
      </c>
      <c r="H18" s="1" t="n"/>
      <c r="J18">
        <f>IF('Class 1'!B23="","",'Class 1'!B23)</f>
        <v/>
      </c>
    </row>
    <row r="19">
      <c r="A19" s="1" t="n"/>
      <c r="B19" s="28" t="n">
        <v>46287</v>
      </c>
      <c r="C19" s="30" t="inlineStr">
        <is>
          <t>10D Chemistry</t>
        </is>
      </c>
      <c r="D19" s="31" t="inlineStr">
        <is>
          <t>Umar C.</t>
        </is>
      </c>
      <c r="E19" s="33" t="inlineStr">
        <is>
          <t>Absent</t>
        </is>
      </c>
      <c r="F19" s="30" t="n"/>
      <c r="G19" s="12">
        <f>IF(OR(C19="",D19=""),"",IF(ISNA(MATCH(C19,Settings!$C$9:$C$14,0)),"Class not on Settings",IF(CHOOSE(MATCH(C19,Settings!$C$9:$C$14,0),COUNTIF('Class 1'!$B$11:$B$50,D19),COUNTIF('Class 2'!$B$11:$B$50,D19),COUNTIF('Class 3'!$B$11:$B$50,D19),COUNTIF('Class 4'!$B$11:$B$50,D19),COUNTIF('Class 5'!$B$11:$B$50,D19),COUNTIF('Class 6'!$B$11:$B$50,D19))=0,"Not on the class list","")))</f>
        <v/>
      </c>
      <c r="H19" s="1" t="n"/>
      <c r="J19">
        <f>IF('Class 1'!B24="","",'Class 1'!B24)</f>
        <v/>
      </c>
    </row>
    <row r="20">
      <c r="A20" s="1" t="n"/>
      <c r="B20" s="28" t="n">
        <v>46290</v>
      </c>
      <c r="C20" s="30" t="inlineStr">
        <is>
          <t>7B Science</t>
        </is>
      </c>
      <c r="D20" s="31" t="inlineStr">
        <is>
          <t>Xavi M.</t>
        </is>
      </c>
      <c r="E20" s="33" t="inlineStr">
        <is>
          <t>Absent</t>
        </is>
      </c>
      <c r="F20" s="30" t="n"/>
      <c r="G20" s="12">
        <f>IF(OR(C20="",D20=""),"",IF(ISNA(MATCH(C20,Settings!$C$9:$C$14,0)),"Class not on Settings",IF(CHOOSE(MATCH(C20,Settings!$C$9:$C$14,0),COUNTIF('Class 1'!$B$11:$B$50,D20),COUNTIF('Class 2'!$B$11:$B$50,D20),COUNTIF('Class 3'!$B$11:$B$50,D20),COUNTIF('Class 4'!$B$11:$B$50,D20),COUNTIF('Class 5'!$B$11:$B$50,D20),COUNTIF('Class 6'!$B$11:$B$50,D20))=0,"Not on the class list","")))</f>
        <v/>
      </c>
      <c r="H20" s="1" t="n"/>
      <c r="J20">
        <f>IF('Class 1'!B25="","",'Class 1'!B25)</f>
        <v/>
      </c>
    </row>
    <row r="21">
      <c r="A21" s="1" t="n"/>
      <c r="B21" s="28" t="n">
        <v>46290</v>
      </c>
      <c r="C21" s="30" t="inlineStr">
        <is>
          <t>10D Chemistry</t>
        </is>
      </c>
      <c r="D21" s="31" t="inlineStr">
        <is>
          <t>Gabe E.</t>
        </is>
      </c>
      <c r="E21" s="33" t="inlineStr">
        <is>
          <t>Absent</t>
        </is>
      </c>
      <c r="F21" s="30" t="n"/>
      <c r="G21" s="12">
        <f>IF(OR(C21="",D21=""),"",IF(ISNA(MATCH(C21,Settings!$C$9:$C$14,0)),"Class not on Settings",IF(CHOOSE(MATCH(C21,Settings!$C$9:$C$14,0),COUNTIF('Class 1'!$B$11:$B$50,D21),COUNTIF('Class 2'!$B$11:$B$50,D21),COUNTIF('Class 3'!$B$11:$B$50,D21),COUNTIF('Class 4'!$B$11:$B$50,D21),COUNTIF('Class 5'!$B$11:$B$50,D21),COUNTIF('Class 6'!$B$11:$B$50,D21))=0,"Not on the class list","")))</f>
        <v/>
      </c>
      <c r="H21" s="1" t="n"/>
      <c r="J21">
        <f>IF('Class 1'!B26="","",'Class 1'!B26)</f>
        <v/>
      </c>
    </row>
    <row r="22">
      <c r="A22" s="1" t="n"/>
      <c r="B22" s="28" t="n">
        <v>46290</v>
      </c>
      <c r="C22" s="30" t="inlineStr">
        <is>
          <t>9C Biology</t>
        </is>
      </c>
      <c r="D22" s="31" t="inlineStr">
        <is>
          <t>Pavel S.</t>
        </is>
      </c>
      <c r="E22" s="33" t="inlineStr">
        <is>
          <t>Absent</t>
        </is>
      </c>
      <c r="F22" s="30" t="n"/>
      <c r="G22" s="12">
        <f>IF(OR(C22="",D22=""),"",IF(ISNA(MATCH(C22,Settings!$C$9:$C$14,0)),"Class not on Settings",IF(CHOOSE(MATCH(C22,Settings!$C$9:$C$14,0),COUNTIF('Class 1'!$B$11:$B$50,D22),COUNTIF('Class 2'!$B$11:$B$50,D22),COUNTIF('Class 3'!$B$11:$B$50,D22),COUNTIF('Class 4'!$B$11:$B$50,D22),COUNTIF('Class 5'!$B$11:$B$50,D22),COUNTIF('Class 6'!$B$11:$B$50,D22))=0,"Not on the class list","")))</f>
        <v/>
      </c>
      <c r="H22" s="1" t="n"/>
      <c r="J22">
        <f>IF('Class 1'!B27="","",'Class 1'!B27)</f>
        <v/>
      </c>
    </row>
    <row r="23">
      <c r="A23" s="1" t="n"/>
      <c r="B23" s="28" t="n">
        <v>46290</v>
      </c>
      <c r="C23" s="30" t="inlineStr">
        <is>
          <t>10D Chemistry</t>
        </is>
      </c>
      <c r="D23" s="31" t="inlineStr">
        <is>
          <t>Ben F.</t>
        </is>
      </c>
      <c r="E23" s="33" t="inlineStr">
        <is>
          <t>Absent</t>
        </is>
      </c>
      <c r="F23" s="30" t="n"/>
      <c r="G23" s="12">
        <f>IF(OR(C23="",D23=""),"",IF(ISNA(MATCH(C23,Settings!$C$9:$C$14,0)),"Class not on Settings",IF(CHOOSE(MATCH(C23,Settings!$C$9:$C$14,0),COUNTIF('Class 1'!$B$11:$B$50,D23),COUNTIF('Class 2'!$B$11:$B$50,D23),COUNTIF('Class 3'!$B$11:$B$50,D23),COUNTIF('Class 4'!$B$11:$B$50,D23),COUNTIF('Class 5'!$B$11:$B$50,D23),COUNTIF('Class 6'!$B$11:$B$50,D23))=0,"Not on the class list","")))</f>
        <v/>
      </c>
      <c r="H23" s="1" t="n"/>
      <c r="J23">
        <f>IF('Class 1'!B28="","",'Class 1'!B28)</f>
        <v/>
      </c>
    </row>
    <row r="24">
      <c r="A24" s="1" t="n"/>
      <c r="B24" s="28" t="n">
        <v>46290</v>
      </c>
      <c r="C24" s="30" t="inlineStr">
        <is>
          <t>7B Science</t>
        </is>
      </c>
      <c r="D24" s="31" t="inlineStr">
        <is>
          <t>Sami A.</t>
        </is>
      </c>
      <c r="E24" s="33" t="inlineStr">
        <is>
          <t>Late</t>
        </is>
      </c>
      <c r="F24" s="30" t="n"/>
      <c r="G24" s="12">
        <f>IF(OR(C24="",D24=""),"",IF(ISNA(MATCH(C24,Settings!$C$9:$C$14,0)),"Class not on Settings",IF(CHOOSE(MATCH(C24,Settings!$C$9:$C$14,0),COUNTIF('Class 1'!$B$11:$B$50,D24),COUNTIF('Class 2'!$B$11:$B$50,D24),COUNTIF('Class 3'!$B$11:$B$50,D24),COUNTIF('Class 4'!$B$11:$B$50,D24),COUNTIF('Class 5'!$B$11:$B$50,D24),COUNTIF('Class 6'!$B$11:$B$50,D24))=0,"Not on the class list","")))</f>
        <v/>
      </c>
      <c r="H24" s="1" t="n"/>
      <c r="J24">
        <f>IF('Class 1'!B29="","",'Class 1'!B29)</f>
        <v/>
      </c>
    </row>
    <row r="25">
      <c r="A25" s="1" t="n"/>
      <c r="B25" s="28" t="n">
        <v>46290</v>
      </c>
      <c r="C25" s="30" t="inlineStr">
        <is>
          <t>10D Chemistry</t>
        </is>
      </c>
      <c r="D25" s="31" t="inlineStr">
        <is>
          <t>Hana R.</t>
        </is>
      </c>
      <c r="E25" s="33" t="inlineStr">
        <is>
          <t>Absent</t>
        </is>
      </c>
      <c r="F25" s="30" t="n"/>
      <c r="G25" s="12">
        <f>IF(OR(C25="",D25=""),"",IF(ISNA(MATCH(C25,Settings!$C$9:$C$14,0)),"Class not on Settings",IF(CHOOSE(MATCH(C25,Settings!$C$9:$C$14,0),COUNTIF('Class 1'!$B$11:$B$50,D25),COUNTIF('Class 2'!$B$11:$B$50,D25),COUNTIF('Class 3'!$B$11:$B$50,D25),COUNTIF('Class 4'!$B$11:$B$50,D25),COUNTIF('Class 5'!$B$11:$B$50,D25),COUNTIF('Class 6'!$B$11:$B$50,D25))=0,"Not on the class list","")))</f>
        <v/>
      </c>
      <c r="H25" s="1" t="n"/>
      <c r="J25">
        <f>IF('Class 1'!B30="","",'Class 1'!B30)</f>
        <v/>
      </c>
    </row>
    <row r="26">
      <c r="A26" s="1" t="n"/>
      <c r="B26" s="28" t="n">
        <v>46290</v>
      </c>
      <c r="C26" s="30" t="inlineStr">
        <is>
          <t>9C Biology</t>
        </is>
      </c>
      <c r="D26" s="31" t="inlineStr">
        <is>
          <t>Holly A.</t>
        </is>
      </c>
      <c r="E26" s="33" t="inlineStr">
        <is>
          <t>Absent</t>
        </is>
      </c>
      <c r="F26" s="30" t="n"/>
      <c r="G26" s="12">
        <f>IF(OR(C26="",D26=""),"",IF(ISNA(MATCH(C26,Settings!$C$9:$C$14,0)),"Class not on Settings",IF(CHOOSE(MATCH(C26,Settings!$C$9:$C$14,0),COUNTIF('Class 1'!$B$11:$B$50,D26),COUNTIF('Class 2'!$B$11:$B$50,D26),COUNTIF('Class 3'!$B$11:$B$50,D26),COUNTIF('Class 4'!$B$11:$B$50,D26),COUNTIF('Class 5'!$B$11:$B$50,D26),COUNTIF('Class 6'!$B$11:$B$50,D26))=0,"Not on the class list","")))</f>
        <v/>
      </c>
      <c r="H26" s="1" t="n"/>
      <c r="J26">
        <f>IF('Class 1'!B31="","",'Class 1'!B31)</f>
        <v/>
      </c>
    </row>
    <row r="27">
      <c r="A27" s="1" t="n"/>
      <c r="B27" s="28" t="n">
        <v>46293</v>
      </c>
      <c r="C27" s="30" t="inlineStr">
        <is>
          <t>10D Chemistry</t>
        </is>
      </c>
      <c r="D27" s="31" t="inlineStr">
        <is>
          <t>Vera E.</t>
        </is>
      </c>
      <c r="E27" s="33" t="inlineStr">
        <is>
          <t>Late</t>
        </is>
      </c>
      <c r="F27" s="30" t="n"/>
      <c r="G27" s="12">
        <f>IF(OR(C27="",D27=""),"",IF(ISNA(MATCH(C27,Settings!$C$9:$C$14,0)),"Class not on Settings",IF(CHOOSE(MATCH(C27,Settings!$C$9:$C$14,0),COUNTIF('Class 1'!$B$11:$B$50,D27),COUNTIF('Class 2'!$B$11:$B$50,D27),COUNTIF('Class 3'!$B$11:$B$50,D27),COUNTIF('Class 4'!$B$11:$B$50,D27),COUNTIF('Class 5'!$B$11:$B$50,D27),COUNTIF('Class 6'!$B$11:$B$50,D27))=0,"Not on the class list","")))</f>
        <v/>
      </c>
      <c r="H27" s="1" t="n"/>
      <c r="J27">
        <f>IF('Class 1'!B32="","",'Class 1'!B32)</f>
        <v/>
      </c>
    </row>
    <row r="28">
      <c r="A28" s="1" t="n"/>
      <c r="B28" s="28" t="n">
        <v>46293</v>
      </c>
      <c r="C28" s="30" t="inlineStr">
        <is>
          <t>7B Science</t>
        </is>
      </c>
      <c r="D28" s="31" t="inlineStr">
        <is>
          <t>Olive W.</t>
        </is>
      </c>
      <c r="E28" s="33" t="inlineStr">
        <is>
          <t>Late</t>
        </is>
      </c>
      <c r="F28" s="30" t="n"/>
      <c r="G28" s="12">
        <f>IF(OR(C28="",D28=""),"",IF(ISNA(MATCH(C28,Settings!$C$9:$C$14,0)),"Class not on Settings",IF(CHOOSE(MATCH(C28,Settings!$C$9:$C$14,0),COUNTIF('Class 1'!$B$11:$B$50,D28),COUNTIF('Class 2'!$B$11:$B$50,D28),COUNTIF('Class 3'!$B$11:$B$50,D28),COUNTIF('Class 4'!$B$11:$B$50,D28),COUNTIF('Class 5'!$B$11:$B$50,D28),COUNTIF('Class 6'!$B$11:$B$50,D28))=0,"Not on the class list","")))</f>
        <v/>
      </c>
      <c r="H28" s="1" t="n"/>
      <c r="J28">
        <f>IF('Class 1'!B33="","",'Class 1'!B33)</f>
        <v/>
      </c>
    </row>
    <row r="29">
      <c r="A29" s="1" t="n"/>
      <c r="B29" s="28" t="n">
        <v>46293</v>
      </c>
      <c r="C29" s="30" t="inlineStr">
        <is>
          <t>9C Biology</t>
        </is>
      </c>
      <c r="D29" s="31" t="inlineStr">
        <is>
          <t>Caleb W.</t>
        </is>
      </c>
      <c r="E29" s="33" t="inlineStr">
        <is>
          <t>Absent</t>
        </is>
      </c>
      <c r="F29" s="30" t="n"/>
      <c r="G29" s="12">
        <f>IF(OR(C29="",D29=""),"",IF(ISNA(MATCH(C29,Settings!$C$9:$C$14,0)),"Class not on Settings",IF(CHOOSE(MATCH(C29,Settings!$C$9:$C$14,0),COUNTIF('Class 1'!$B$11:$B$50,D29),COUNTIF('Class 2'!$B$11:$B$50,D29),COUNTIF('Class 3'!$B$11:$B$50,D29),COUNTIF('Class 4'!$B$11:$B$50,D29),COUNTIF('Class 5'!$B$11:$B$50,D29),COUNTIF('Class 6'!$B$11:$B$50,D29))=0,"Not on the class list","")))</f>
        <v/>
      </c>
      <c r="H29" s="1" t="n"/>
      <c r="J29">
        <f>IF('Class 1'!B34="","",'Class 1'!B34)</f>
        <v/>
      </c>
    </row>
    <row r="30">
      <c r="A30" s="1" t="n"/>
      <c r="B30" s="28" t="n"/>
      <c r="C30" s="30" t="n"/>
      <c r="D30" s="31" t="n"/>
      <c r="E30" s="33" t="n"/>
      <c r="F30" s="30" t="n"/>
      <c r="G30" s="12">
        <f>IF(OR(C30="",D30=""),"",IF(ISNA(MATCH(C30,Settings!$C$9:$C$14,0)),"Class not on Settings",IF(CHOOSE(MATCH(C30,Settings!$C$9:$C$14,0),COUNTIF('Class 1'!$B$11:$B$50,D30),COUNTIF('Class 2'!$B$11:$B$50,D30),COUNTIF('Class 3'!$B$11:$B$50,D30),COUNTIF('Class 4'!$B$11:$B$50,D30),COUNTIF('Class 5'!$B$11:$B$50,D30),COUNTIF('Class 6'!$B$11:$B$50,D30))=0,"Not on the class list","")))</f>
        <v/>
      </c>
      <c r="H30" s="1" t="n"/>
      <c r="J30">
        <f>IF('Class 1'!B35="","",'Class 1'!B35)</f>
        <v/>
      </c>
    </row>
    <row r="31">
      <c r="A31" s="1" t="n"/>
      <c r="B31" s="28" t="n"/>
      <c r="C31" s="30" t="n"/>
      <c r="D31" s="31" t="n"/>
      <c r="E31" s="33" t="n"/>
      <c r="F31" s="30" t="n"/>
      <c r="G31" s="12">
        <f>IF(OR(C31="",D31=""),"",IF(ISNA(MATCH(C31,Settings!$C$9:$C$14,0)),"Class not on Settings",IF(CHOOSE(MATCH(C31,Settings!$C$9:$C$14,0),COUNTIF('Class 1'!$B$11:$B$50,D31),COUNTIF('Class 2'!$B$11:$B$50,D31),COUNTIF('Class 3'!$B$11:$B$50,D31),COUNTIF('Class 4'!$B$11:$B$50,D31),COUNTIF('Class 5'!$B$11:$B$50,D31),COUNTIF('Class 6'!$B$11:$B$50,D31))=0,"Not on the class list","")))</f>
        <v/>
      </c>
      <c r="H31" s="1" t="n"/>
      <c r="J31">
        <f>IF('Class 1'!B36="","",'Class 1'!B36)</f>
        <v/>
      </c>
    </row>
    <row r="32">
      <c r="A32" s="1" t="n"/>
      <c r="B32" s="28" t="n"/>
      <c r="C32" s="30" t="n"/>
      <c r="D32" s="31" t="n"/>
      <c r="E32" s="33" t="n"/>
      <c r="F32" s="30" t="n"/>
      <c r="G32" s="12">
        <f>IF(OR(C32="",D32=""),"",IF(ISNA(MATCH(C32,Settings!$C$9:$C$14,0)),"Class not on Settings",IF(CHOOSE(MATCH(C32,Settings!$C$9:$C$14,0),COUNTIF('Class 1'!$B$11:$B$50,D32),COUNTIF('Class 2'!$B$11:$B$50,D32),COUNTIF('Class 3'!$B$11:$B$50,D32),COUNTIF('Class 4'!$B$11:$B$50,D32),COUNTIF('Class 5'!$B$11:$B$50,D32),COUNTIF('Class 6'!$B$11:$B$50,D32))=0,"Not on the class list","")))</f>
        <v/>
      </c>
      <c r="H32" s="1" t="n"/>
      <c r="J32">
        <f>IF('Class 1'!B37="","",'Class 1'!B37)</f>
        <v/>
      </c>
    </row>
    <row r="33">
      <c r="A33" s="1" t="n"/>
      <c r="B33" s="28" t="n"/>
      <c r="C33" s="30" t="n"/>
      <c r="D33" s="31" t="n"/>
      <c r="E33" s="33" t="n"/>
      <c r="F33" s="30" t="n"/>
      <c r="G33" s="12">
        <f>IF(OR(C33="",D33=""),"",IF(ISNA(MATCH(C33,Settings!$C$9:$C$14,0)),"Class not on Settings",IF(CHOOSE(MATCH(C33,Settings!$C$9:$C$14,0),COUNTIF('Class 1'!$B$11:$B$50,D33),COUNTIF('Class 2'!$B$11:$B$50,D33),COUNTIF('Class 3'!$B$11:$B$50,D33),COUNTIF('Class 4'!$B$11:$B$50,D33),COUNTIF('Class 5'!$B$11:$B$50,D33),COUNTIF('Class 6'!$B$11:$B$50,D33))=0,"Not on the class list","")))</f>
        <v/>
      </c>
      <c r="H33" s="1" t="n"/>
      <c r="J33">
        <f>IF('Class 1'!B38="","",'Class 1'!B38)</f>
        <v/>
      </c>
    </row>
    <row r="34">
      <c r="A34" s="1" t="n"/>
      <c r="B34" s="28" t="n"/>
      <c r="C34" s="30" t="n"/>
      <c r="D34" s="31" t="n"/>
      <c r="E34" s="33" t="n"/>
      <c r="F34" s="30" t="n"/>
      <c r="G34" s="12">
        <f>IF(OR(C34="",D34=""),"",IF(ISNA(MATCH(C34,Settings!$C$9:$C$14,0)),"Class not on Settings",IF(CHOOSE(MATCH(C34,Settings!$C$9:$C$14,0),COUNTIF('Class 1'!$B$11:$B$50,D34),COUNTIF('Class 2'!$B$11:$B$50,D34),COUNTIF('Class 3'!$B$11:$B$50,D34),COUNTIF('Class 4'!$B$11:$B$50,D34),COUNTIF('Class 5'!$B$11:$B$50,D34),COUNTIF('Class 6'!$B$11:$B$50,D34))=0,"Not on the class list","")))</f>
        <v/>
      </c>
      <c r="H34" s="1" t="n"/>
      <c r="J34">
        <f>IF('Class 1'!B39="","",'Class 1'!B39)</f>
        <v/>
      </c>
    </row>
    <row r="35">
      <c r="A35" s="1" t="n"/>
      <c r="B35" s="28" t="n"/>
      <c r="C35" s="30" t="n"/>
      <c r="D35" s="31" t="n"/>
      <c r="E35" s="33" t="n"/>
      <c r="F35" s="30" t="n"/>
      <c r="G35" s="12">
        <f>IF(OR(C35="",D35=""),"",IF(ISNA(MATCH(C35,Settings!$C$9:$C$14,0)),"Class not on Settings",IF(CHOOSE(MATCH(C35,Settings!$C$9:$C$14,0),COUNTIF('Class 1'!$B$11:$B$50,D35),COUNTIF('Class 2'!$B$11:$B$50,D35),COUNTIF('Class 3'!$B$11:$B$50,D35),COUNTIF('Class 4'!$B$11:$B$50,D35),COUNTIF('Class 5'!$B$11:$B$50,D35),COUNTIF('Class 6'!$B$11:$B$50,D35))=0,"Not on the class list","")))</f>
        <v/>
      </c>
      <c r="H35" s="1" t="n"/>
      <c r="J35">
        <f>IF('Class 1'!B40="","",'Class 1'!B40)</f>
        <v/>
      </c>
    </row>
    <row r="36">
      <c r="A36" s="1" t="n"/>
      <c r="B36" s="28" t="n"/>
      <c r="C36" s="30" t="n"/>
      <c r="D36" s="31" t="n"/>
      <c r="E36" s="33" t="n"/>
      <c r="F36" s="30" t="n"/>
      <c r="G36" s="12">
        <f>IF(OR(C36="",D36=""),"",IF(ISNA(MATCH(C36,Settings!$C$9:$C$14,0)),"Class not on Settings",IF(CHOOSE(MATCH(C36,Settings!$C$9:$C$14,0),COUNTIF('Class 1'!$B$11:$B$50,D36),COUNTIF('Class 2'!$B$11:$B$50,D36),COUNTIF('Class 3'!$B$11:$B$50,D36),COUNTIF('Class 4'!$B$11:$B$50,D36),COUNTIF('Class 5'!$B$11:$B$50,D36),COUNTIF('Class 6'!$B$11:$B$50,D36))=0,"Not on the class list","")))</f>
        <v/>
      </c>
      <c r="H36" s="1" t="n"/>
      <c r="J36">
        <f>IF('Class 1'!B41="","",'Class 1'!B41)</f>
        <v/>
      </c>
    </row>
    <row r="37">
      <c r="A37" s="1" t="n"/>
      <c r="B37" s="28" t="n"/>
      <c r="C37" s="30" t="n"/>
      <c r="D37" s="31" t="n"/>
      <c r="E37" s="33" t="n"/>
      <c r="F37" s="30" t="n"/>
      <c r="G37" s="12">
        <f>IF(OR(C37="",D37=""),"",IF(ISNA(MATCH(C37,Settings!$C$9:$C$14,0)),"Class not on Settings",IF(CHOOSE(MATCH(C37,Settings!$C$9:$C$14,0),COUNTIF('Class 1'!$B$11:$B$50,D37),COUNTIF('Class 2'!$B$11:$B$50,D37),COUNTIF('Class 3'!$B$11:$B$50,D37),COUNTIF('Class 4'!$B$11:$B$50,D37),COUNTIF('Class 5'!$B$11:$B$50,D37),COUNTIF('Class 6'!$B$11:$B$50,D37))=0,"Not on the class list","")))</f>
        <v/>
      </c>
      <c r="H37" s="1" t="n"/>
      <c r="J37">
        <f>IF('Class 1'!B42="","",'Class 1'!B42)</f>
        <v/>
      </c>
    </row>
    <row r="38">
      <c r="A38" s="1" t="n"/>
      <c r="B38" s="28" t="n"/>
      <c r="C38" s="30" t="n"/>
      <c r="D38" s="31" t="n"/>
      <c r="E38" s="33" t="n"/>
      <c r="F38" s="30" t="n"/>
      <c r="G38" s="12">
        <f>IF(OR(C38="",D38=""),"",IF(ISNA(MATCH(C38,Settings!$C$9:$C$14,0)),"Class not on Settings",IF(CHOOSE(MATCH(C38,Settings!$C$9:$C$14,0),COUNTIF('Class 1'!$B$11:$B$50,D38),COUNTIF('Class 2'!$B$11:$B$50,D38),COUNTIF('Class 3'!$B$11:$B$50,D38),COUNTIF('Class 4'!$B$11:$B$50,D38),COUNTIF('Class 5'!$B$11:$B$50,D38),COUNTIF('Class 6'!$B$11:$B$50,D38))=0,"Not on the class list","")))</f>
        <v/>
      </c>
      <c r="H38" s="1" t="n"/>
      <c r="J38">
        <f>IF('Class 1'!B43="","",'Class 1'!B43)</f>
        <v/>
      </c>
    </row>
    <row r="39">
      <c r="A39" s="1" t="n"/>
      <c r="B39" s="28" t="n"/>
      <c r="C39" s="30" t="n"/>
      <c r="D39" s="31" t="n"/>
      <c r="E39" s="33" t="n"/>
      <c r="F39" s="30" t="n"/>
      <c r="G39" s="12">
        <f>IF(OR(C39="",D39=""),"",IF(ISNA(MATCH(C39,Settings!$C$9:$C$14,0)),"Class not on Settings",IF(CHOOSE(MATCH(C39,Settings!$C$9:$C$14,0),COUNTIF('Class 1'!$B$11:$B$50,D39),COUNTIF('Class 2'!$B$11:$B$50,D39),COUNTIF('Class 3'!$B$11:$B$50,D39),COUNTIF('Class 4'!$B$11:$B$50,D39),COUNTIF('Class 5'!$B$11:$B$50,D39),COUNTIF('Class 6'!$B$11:$B$50,D39))=0,"Not on the class list","")))</f>
        <v/>
      </c>
      <c r="H39" s="1" t="n"/>
      <c r="J39">
        <f>IF('Class 1'!B44="","",'Class 1'!B44)</f>
        <v/>
      </c>
    </row>
    <row r="40">
      <c r="A40" s="1" t="n"/>
      <c r="B40" s="28" t="n"/>
      <c r="C40" s="30" t="n"/>
      <c r="D40" s="31" t="n"/>
      <c r="E40" s="33" t="n"/>
      <c r="F40" s="30" t="n"/>
      <c r="G40" s="12">
        <f>IF(OR(C40="",D40=""),"",IF(ISNA(MATCH(C40,Settings!$C$9:$C$14,0)),"Class not on Settings",IF(CHOOSE(MATCH(C40,Settings!$C$9:$C$14,0),COUNTIF('Class 1'!$B$11:$B$50,D40),COUNTIF('Class 2'!$B$11:$B$50,D40),COUNTIF('Class 3'!$B$11:$B$50,D40),COUNTIF('Class 4'!$B$11:$B$50,D40),COUNTIF('Class 5'!$B$11:$B$50,D40),COUNTIF('Class 6'!$B$11:$B$50,D40))=0,"Not on the class list","")))</f>
        <v/>
      </c>
      <c r="H40" s="1" t="n"/>
      <c r="J40">
        <f>IF('Class 1'!B45="","",'Class 1'!B45)</f>
        <v/>
      </c>
    </row>
    <row r="41">
      <c r="A41" s="1" t="n"/>
      <c r="B41" s="28" t="n"/>
      <c r="C41" s="30" t="n"/>
      <c r="D41" s="31" t="n"/>
      <c r="E41" s="33" t="n"/>
      <c r="F41" s="30" t="n"/>
      <c r="G41" s="12">
        <f>IF(OR(C41="",D41=""),"",IF(ISNA(MATCH(C41,Settings!$C$9:$C$14,0)),"Class not on Settings",IF(CHOOSE(MATCH(C41,Settings!$C$9:$C$14,0),COUNTIF('Class 1'!$B$11:$B$50,D41),COUNTIF('Class 2'!$B$11:$B$50,D41),COUNTIF('Class 3'!$B$11:$B$50,D41),COUNTIF('Class 4'!$B$11:$B$50,D41),COUNTIF('Class 5'!$B$11:$B$50,D41),COUNTIF('Class 6'!$B$11:$B$50,D41))=0,"Not on the class list","")))</f>
        <v/>
      </c>
      <c r="H41" s="1" t="n"/>
      <c r="J41">
        <f>IF('Class 1'!B46="","",'Class 1'!B46)</f>
        <v/>
      </c>
    </row>
    <row r="42">
      <c r="A42" s="1" t="n"/>
      <c r="B42" s="28" t="n"/>
      <c r="C42" s="30" t="n"/>
      <c r="D42" s="31" t="n"/>
      <c r="E42" s="33" t="n"/>
      <c r="F42" s="30" t="n"/>
      <c r="G42" s="12">
        <f>IF(OR(C42="",D42=""),"",IF(ISNA(MATCH(C42,Settings!$C$9:$C$14,0)),"Class not on Settings",IF(CHOOSE(MATCH(C42,Settings!$C$9:$C$14,0),COUNTIF('Class 1'!$B$11:$B$50,D42),COUNTIF('Class 2'!$B$11:$B$50,D42),COUNTIF('Class 3'!$B$11:$B$50,D42),COUNTIF('Class 4'!$B$11:$B$50,D42),COUNTIF('Class 5'!$B$11:$B$50,D42),COUNTIF('Class 6'!$B$11:$B$50,D42))=0,"Not on the class list","")))</f>
        <v/>
      </c>
      <c r="H42" s="1" t="n"/>
      <c r="J42">
        <f>IF('Class 1'!B47="","",'Class 1'!B47)</f>
        <v/>
      </c>
    </row>
    <row r="43">
      <c r="A43" s="1" t="n"/>
      <c r="B43" s="28" t="n"/>
      <c r="C43" s="30" t="n"/>
      <c r="D43" s="31" t="n"/>
      <c r="E43" s="33" t="n"/>
      <c r="F43" s="30" t="n"/>
      <c r="G43" s="12">
        <f>IF(OR(C43="",D43=""),"",IF(ISNA(MATCH(C43,Settings!$C$9:$C$14,0)),"Class not on Settings",IF(CHOOSE(MATCH(C43,Settings!$C$9:$C$14,0),COUNTIF('Class 1'!$B$11:$B$50,D43),COUNTIF('Class 2'!$B$11:$B$50,D43),COUNTIF('Class 3'!$B$11:$B$50,D43),COUNTIF('Class 4'!$B$11:$B$50,D43),COUNTIF('Class 5'!$B$11:$B$50,D43),COUNTIF('Class 6'!$B$11:$B$50,D43))=0,"Not on the class list","")))</f>
        <v/>
      </c>
      <c r="H43" s="1" t="n"/>
      <c r="J43">
        <f>IF('Class 1'!B48="","",'Class 1'!B48)</f>
        <v/>
      </c>
    </row>
    <row r="44">
      <c r="A44" s="1" t="n"/>
      <c r="B44" s="28" t="n"/>
      <c r="C44" s="30" t="n"/>
      <c r="D44" s="31" t="n"/>
      <c r="E44" s="33" t="n"/>
      <c r="F44" s="30" t="n"/>
      <c r="G44" s="12">
        <f>IF(OR(C44="",D44=""),"",IF(ISNA(MATCH(C44,Settings!$C$9:$C$14,0)),"Class not on Settings",IF(CHOOSE(MATCH(C44,Settings!$C$9:$C$14,0),COUNTIF('Class 1'!$B$11:$B$50,D44),COUNTIF('Class 2'!$B$11:$B$50,D44),COUNTIF('Class 3'!$B$11:$B$50,D44),COUNTIF('Class 4'!$B$11:$B$50,D44),COUNTIF('Class 5'!$B$11:$B$50,D44),COUNTIF('Class 6'!$B$11:$B$50,D44))=0,"Not on the class list","")))</f>
        <v/>
      </c>
      <c r="H44" s="1" t="n"/>
      <c r="J44">
        <f>IF('Class 1'!B49="","",'Class 1'!B49)</f>
        <v/>
      </c>
    </row>
    <row r="45">
      <c r="A45" s="1" t="n"/>
      <c r="B45" s="28" t="n"/>
      <c r="C45" s="30" t="n"/>
      <c r="D45" s="31" t="n"/>
      <c r="E45" s="33" t="n"/>
      <c r="F45" s="30" t="n"/>
      <c r="G45" s="12">
        <f>IF(OR(C45="",D45=""),"",IF(ISNA(MATCH(C45,Settings!$C$9:$C$14,0)),"Class not on Settings",IF(CHOOSE(MATCH(C45,Settings!$C$9:$C$14,0),COUNTIF('Class 1'!$B$11:$B$50,D45),COUNTIF('Class 2'!$B$11:$B$50,D45),COUNTIF('Class 3'!$B$11:$B$50,D45),COUNTIF('Class 4'!$B$11:$B$50,D45),COUNTIF('Class 5'!$B$11:$B$50,D45),COUNTIF('Class 6'!$B$11:$B$50,D45))=0,"Not on the class list","")))</f>
        <v/>
      </c>
      <c r="H45" s="1" t="n"/>
      <c r="J45">
        <f>IF('Class 1'!B50="","",'Class 1'!B50)</f>
        <v/>
      </c>
    </row>
    <row r="46">
      <c r="A46" s="1" t="n"/>
      <c r="B46" s="28" t="n"/>
      <c r="C46" s="30" t="n"/>
      <c r="D46" s="31" t="n"/>
      <c r="E46" s="33" t="n"/>
      <c r="F46" s="30" t="n"/>
      <c r="G46" s="12">
        <f>IF(OR(C46="",D46=""),"",IF(ISNA(MATCH(C46,Settings!$C$9:$C$14,0)),"Class not on Settings",IF(CHOOSE(MATCH(C46,Settings!$C$9:$C$14,0),COUNTIF('Class 1'!$B$11:$B$50,D46),COUNTIF('Class 2'!$B$11:$B$50,D46),COUNTIF('Class 3'!$B$11:$B$50,D46),COUNTIF('Class 4'!$B$11:$B$50,D46),COUNTIF('Class 5'!$B$11:$B$50,D46),COUNTIF('Class 6'!$B$11:$B$50,D46))=0,"Not on the class list","")))</f>
        <v/>
      </c>
      <c r="H46" s="1" t="n"/>
      <c r="J46">
        <f>IF('Class 2'!B11="","",'Class 2'!B11)</f>
        <v/>
      </c>
    </row>
    <row r="47">
      <c r="A47" s="1" t="n"/>
      <c r="B47" s="28" t="n"/>
      <c r="C47" s="30" t="n"/>
      <c r="D47" s="31" t="n"/>
      <c r="E47" s="33" t="n"/>
      <c r="F47" s="30" t="n"/>
      <c r="G47" s="12">
        <f>IF(OR(C47="",D47=""),"",IF(ISNA(MATCH(C47,Settings!$C$9:$C$14,0)),"Class not on Settings",IF(CHOOSE(MATCH(C47,Settings!$C$9:$C$14,0),COUNTIF('Class 1'!$B$11:$B$50,D47),COUNTIF('Class 2'!$B$11:$B$50,D47),COUNTIF('Class 3'!$B$11:$B$50,D47),COUNTIF('Class 4'!$B$11:$B$50,D47),COUNTIF('Class 5'!$B$11:$B$50,D47),COUNTIF('Class 6'!$B$11:$B$50,D47))=0,"Not on the class list","")))</f>
        <v/>
      </c>
      <c r="H47" s="1" t="n"/>
      <c r="J47">
        <f>IF('Class 2'!B12="","",'Class 2'!B12)</f>
        <v/>
      </c>
    </row>
    <row r="48">
      <c r="A48" s="1" t="n"/>
      <c r="B48" s="28" t="n"/>
      <c r="C48" s="30" t="n"/>
      <c r="D48" s="31" t="n"/>
      <c r="E48" s="33" t="n"/>
      <c r="F48" s="30" t="n"/>
      <c r="G48" s="12">
        <f>IF(OR(C48="",D48=""),"",IF(ISNA(MATCH(C48,Settings!$C$9:$C$14,0)),"Class not on Settings",IF(CHOOSE(MATCH(C48,Settings!$C$9:$C$14,0),COUNTIF('Class 1'!$B$11:$B$50,D48),COUNTIF('Class 2'!$B$11:$B$50,D48),COUNTIF('Class 3'!$B$11:$B$50,D48),COUNTIF('Class 4'!$B$11:$B$50,D48),COUNTIF('Class 5'!$B$11:$B$50,D48),COUNTIF('Class 6'!$B$11:$B$50,D48))=0,"Not on the class list","")))</f>
        <v/>
      </c>
      <c r="H48" s="1" t="n"/>
      <c r="J48">
        <f>IF('Class 2'!B13="","",'Class 2'!B13)</f>
        <v/>
      </c>
    </row>
    <row r="49">
      <c r="A49" s="1" t="n"/>
      <c r="B49" s="28" t="n"/>
      <c r="C49" s="30" t="n"/>
      <c r="D49" s="31" t="n"/>
      <c r="E49" s="33" t="n"/>
      <c r="F49" s="30" t="n"/>
      <c r="G49" s="12">
        <f>IF(OR(C49="",D49=""),"",IF(ISNA(MATCH(C49,Settings!$C$9:$C$14,0)),"Class not on Settings",IF(CHOOSE(MATCH(C49,Settings!$C$9:$C$14,0),COUNTIF('Class 1'!$B$11:$B$50,D49),COUNTIF('Class 2'!$B$11:$B$50,D49),COUNTIF('Class 3'!$B$11:$B$50,D49),COUNTIF('Class 4'!$B$11:$B$50,D49),COUNTIF('Class 5'!$B$11:$B$50,D49),COUNTIF('Class 6'!$B$11:$B$50,D49))=0,"Not on the class list","")))</f>
        <v/>
      </c>
      <c r="H49" s="1" t="n"/>
      <c r="J49">
        <f>IF('Class 2'!B14="","",'Class 2'!B14)</f>
        <v/>
      </c>
    </row>
    <row r="50">
      <c r="A50" s="1" t="n"/>
      <c r="B50" s="28" t="n"/>
      <c r="C50" s="30" t="n"/>
      <c r="D50" s="31" t="n"/>
      <c r="E50" s="33" t="n"/>
      <c r="F50" s="30" t="n"/>
      <c r="G50" s="12">
        <f>IF(OR(C50="",D50=""),"",IF(ISNA(MATCH(C50,Settings!$C$9:$C$14,0)),"Class not on Settings",IF(CHOOSE(MATCH(C50,Settings!$C$9:$C$14,0),COUNTIF('Class 1'!$B$11:$B$50,D50),COUNTIF('Class 2'!$B$11:$B$50,D50),COUNTIF('Class 3'!$B$11:$B$50,D50),COUNTIF('Class 4'!$B$11:$B$50,D50),COUNTIF('Class 5'!$B$11:$B$50,D50),COUNTIF('Class 6'!$B$11:$B$50,D50))=0,"Not on the class list","")))</f>
        <v/>
      </c>
      <c r="H50" s="1" t="n"/>
      <c r="J50">
        <f>IF('Class 2'!B15="","",'Class 2'!B15)</f>
        <v/>
      </c>
    </row>
    <row r="51">
      <c r="A51" s="1" t="n"/>
      <c r="B51" s="28" t="n"/>
      <c r="C51" s="30" t="n"/>
      <c r="D51" s="31" t="n"/>
      <c r="E51" s="33" t="n"/>
      <c r="F51" s="30" t="n"/>
      <c r="G51" s="12">
        <f>IF(OR(C51="",D51=""),"",IF(ISNA(MATCH(C51,Settings!$C$9:$C$14,0)),"Class not on Settings",IF(CHOOSE(MATCH(C51,Settings!$C$9:$C$14,0),COUNTIF('Class 1'!$B$11:$B$50,D51),COUNTIF('Class 2'!$B$11:$B$50,D51),COUNTIF('Class 3'!$B$11:$B$50,D51),COUNTIF('Class 4'!$B$11:$B$50,D51),COUNTIF('Class 5'!$B$11:$B$50,D51),COUNTIF('Class 6'!$B$11:$B$50,D51))=0,"Not on the class list","")))</f>
        <v/>
      </c>
      <c r="H51" s="1" t="n"/>
      <c r="J51">
        <f>IF('Class 2'!B16="","",'Class 2'!B16)</f>
        <v/>
      </c>
    </row>
    <row r="52">
      <c r="A52" s="1" t="n"/>
      <c r="B52" s="28" t="n"/>
      <c r="C52" s="30" t="n"/>
      <c r="D52" s="31" t="n"/>
      <c r="E52" s="33" t="n"/>
      <c r="F52" s="30" t="n"/>
      <c r="G52" s="12">
        <f>IF(OR(C52="",D52=""),"",IF(ISNA(MATCH(C52,Settings!$C$9:$C$14,0)),"Class not on Settings",IF(CHOOSE(MATCH(C52,Settings!$C$9:$C$14,0),COUNTIF('Class 1'!$B$11:$B$50,D52),COUNTIF('Class 2'!$B$11:$B$50,D52),COUNTIF('Class 3'!$B$11:$B$50,D52),COUNTIF('Class 4'!$B$11:$B$50,D52),COUNTIF('Class 5'!$B$11:$B$50,D52),COUNTIF('Class 6'!$B$11:$B$50,D52))=0,"Not on the class list","")))</f>
        <v/>
      </c>
      <c r="H52" s="1" t="n"/>
      <c r="J52">
        <f>IF('Class 2'!B17="","",'Class 2'!B17)</f>
        <v/>
      </c>
    </row>
    <row r="53">
      <c r="A53" s="1" t="n"/>
      <c r="B53" s="28" t="n"/>
      <c r="C53" s="30" t="n"/>
      <c r="D53" s="31" t="n"/>
      <c r="E53" s="33" t="n"/>
      <c r="F53" s="30" t="n"/>
      <c r="G53" s="12">
        <f>IF(OR(C53="",D53=""),"",IF(ISNA(MATCH(C53,Settings!$C$9:$C$14,0)),"Class not on Settings",IF(CHOOSE(MATCH(C53,Settings!$C$9:$C$14,0),COUNTIF('Class 1'!$B$11:$B$50,D53),COUNTIF('Class 2'!$B$11:$B$50,D53),COUNTIF('Class 3'!$B$11:$B$50,D53),COUNTIF('Class 4'!$B$11:$B$50,D53),COUNTIF('Class 5'!$B$11:$B$50,D53),COUNTIF('Class 6'!$B$11:$B$50,D53))=0,"Not on the class list","")))</f>
        <v/>
      </c>
      <c r="H53" s="1" t="n"/>
      <c r="J53">
        <f>IF('Class 2'!B18="","",'Class 2'!B18)</f>
        <v/>
      </c>
    </row>
    <row r="54">
      <c r="A54" s="1" t="n"/>
      <c r="B54" s="28" t="n"/>
      <c r="C54" s="30" t="n"/>
      <c r="D54" s="31" t="n"/>
      <c r="E54" s="33" t="n"/>
      <c r="F54" s="30" t="n"/>
      <c r="G54" s="12">
        <f>IF(OR(C54="",D54=""),"",IF(ISNA(MATCH(C54,Settings!$C$9:$C$14,0)),"Class not on Settings",IF(CHOOSE(MATCH(C54,Settings!$C$9:$C$14,0),COUNTIF('Class 1'!$B$11:$B$50,D54),COUNTIF('Class 2'!$B$11:$B$50,D54),COUNTIF('Class 3'!$B$11:$B$50,D54),COUNTIF('Class 4'!$B$11:$B$50,D54),COUNTIF('Class 5'!$B$11:$B$50,D54),COUNTIF('Class 6'!$B$11:$B$50,D54))=0,"Not on the class list","")))</f>
        <v/>
      </c>
      <c r="H54" s="1" t="n"/>
      <c r="J54">
        <f>IF('Class 2'!B19="","",'Class 2'!B19)</f>
        <v/>
      </c>
    </row>
    <row r="55">
      <c r="A55" s="1" t="n"/>
      <c r="B55" s="28" t="n"/>
      <c r="C55" s="30" t="n"/>
      <c r="D55" s="31" t="n"/>
      <c r="E55" s="33" t="n"/>
      <c r="F55" s="30" t="n"/>
      <c r="G55" s="12">
        <f>IF(OR(C55="",D55=""),"",IF(ISNA(MATCH(C55,Settings!$C$9:$C$14,0)),"Class not on Settings",IF(CHOOSE(MATCH(C55,Settings!$C$9:$C$14,0),COUNTIF('Class 1'!$B$11:$B$50,D55),COUNTIF('Class 2'!$B$11:$B$50,D55),COUNTIF('Class 3'!$B$11:$B$50,D55),COUNTIF('Class 4'!$B$11:$B$50,D55),COUNTIF('Class 5'!$B$11:$B$50,D55),COUNTIF('Class 6'!$B$11:$B$50,D55))=0,"Not on the class list","")))</f>
        <v/>
      </c>
      <c r="H55" s="1" t="n"/>
      <c r="J55">
        <f>IF('Class 2'!B20="","",'Class 2'!B20)</f>
        <v/>
      </c>
    </row>
    <row r="56">
      <c r="A56" s="1" t="n"/>
      <c r="B56" s="28" t="n"/>
      <c r="C56" s="30" t="n"/>
      <c r="D56" s="31" t="n"/>
      <c r="E56" s="33" t="n"/>
      <c r="F56" s="30" t="n"/>
      <c r="G56" s="12">
        <f>IF(OR(C56="",D56=""),"",IF(ISNA(MATCH(C56,Settings!$C$9:$C$14,0)),"Class not on Settings",IF(CHOOSE(MATCH(C56,Settings!$C$9:$C$14,0),COUNTIF('Class 1'!$B$11:$B$50,D56),COUNTIF('Class 2'!$B$11:$B$50,D56),COUNTIF('Class 3'!$B$11:$B$50,D56),COUNTIF('Class 4'!$B$11:$B$50,D56),COUNTIF('Class 5'!$B$11:$B$50,D56),COUNTIF('Class 6'!$B$11:$B$50,D56))=0,"Not on the class list","")))</f>
        <v/>
      </c>
      <c r="H56" s="1" t="n"/>
      <c r="J56">
        <f>IF('Class 2'!B21="","",'Class 2'!B21)</f>
        <v/>
      </c>
    </row>
    <row r="57">
      <c r="A57" s="1" t="n"/>
      <c r="B57" s="28" t="n"/>
      <c r="C57" s="30" t="n"/>
      <c r="D57" s="31" t="n"/>
      <c r="E57" s="33" t="n"/>
      <c r="F57" s="30" t="n"/>
      <c r="G57" s="12">
        <f>IF(OR(C57="",D57=""),"",IF(ISNA(MATCH(C57,Settings!$C$9:$C$14,0)),"Class not on Settings",IF(CHOOSE(MATCH(C57,Settings!$C$9:$C$14,0),COUNTIF('Class 1'!$B$11:$B$50,D57),COUNTIF('Class 2'!$B$11:$B$50,D57),COUNTIF('Class 3'!$B$11:$B$50,D57),COUNTIF('Class 4'!$B$11:$B$50,D57),COUNTIF('Class 5'!$B$11:$B$50,D57),COUNTIF('Class 6'!$B$11:$B$50,D57))=0,"Not on the class list","")))</f>
        <v/>
      </c>
      <c r="H57" s="1" t="n"/>
      <c r="J57">
        <f>IF('Class 2'!B22="","",'Class 2'!B22)</f>
        <v/>
      </c>
    </row>
    <row r="58">
      <c r="A58" s="1" t="n"/>
      <c r="B58" s="28" t="n"/>
      <c r="C58" s="30" t="n"/>
      <c r="D58" s="31" t="n"/>
      <c r="E58" s="33" t="n"/>
      <c r="F58" s="30" t="n"/>
      <c r="G58" s="12">
        <f>IF(OR(C58="",D58=""),"",IF(ISNA(MATCH(C58,Settings!$C$9:$C$14,0)),"Class not on Settings",IF(CHOOSE(MATCH(C58,Settings!$C$9:$C$14,0),COUNTIF('Class 1'!$B$11:$B$50,D58),COUNTIF('Class 2'!$B$11:$B$50,D58),COUNTIF('Class 3'!$B$11:$B$50,D58),COUNTIF('Class 4'!$B$11:$B$50,D58),COUNTIF('Class 5'!$B$11:$B$50,D58),COUNTIF('Class 6'!$B$11:$B$50,D58))=0,"Not on the class list","")))</f>
        <v/>
      </c>
      <c r="H58" s="1" t="n"/>
      <c r="J58">
        <f>IF('Class 2'!B23="","",'Class 2'!B23)</f>
        <v/>
      </c>
    </row>
    <row r="59">
      <c r="A59" s="1" t="n"/>
      <c r="B59" s="28" t="n"/>
      <c r="C59" s="30" t="n"/>
      <c r="D59" s="31" t="n"/>
      <c r="E59" s="33" t="n"/>
      <c r="F59" s="30" t="n"/>
      <c r="G59" s="12">
        <f>IF(OR(C59="",D59=""),"",IF(ISNA(MATCH(C59,Settings!$C$9:$C$14,0)),"Class not on Settings",IF(CHOOSE(MATCH(C59,Settings!$C$9:$C$14,0),COUNTIF('Class 1'!$B$11:$B$50,D59),COUNTIF('Class 2'!$B$11:$B$50,D59),COUNTIF('Class 3'!$B$11:$B$50,D59),COUNTIF('Class 4'!$B$11:$B$50,D59),COUNTIF('Class 5'!$B$11:$B$50,D59),COUNTIF('Class 6'!$B$11:$B$50,D59))=0,"Not on the class list","")))</f>
        <v/>
      </c>
      <c r="H59" s="1" t="n"/>
      <c r="J59">
        <f>IF('Class 2'!B24="","",'Class 2'!B24)</f>
        <v/>
      </c>
    </row>
    <row r="60">
      <c r="A60" s="1" t="n"/>
      <c r="B60" s="28" t="n"/>
      <c r="C60" s="30" t="n"/>
      <c r="D60" s="31" t="n"/>
      <c r="E60" s="33" t="n"/>
      <c r="F60" s="30" t="n"/>
      <c r="G60" s="12">
        <f>IF(OR(C60="",D60=""),"",IF(ISNA(MATCH(C60,Settings!$C$9:$C$14,0)),"Class not on Settings",IF(CHOOSE(MATCH(C60,Settings!$C$9:$C$14,0),COUNTIF('Class 1'!$B$11:$B$50,D60),COUNTIF('Class 2'!$B$11:$B$50,D60),COUNTIF('Class 3'!$B$11:$B$50,D60),COUNTIF('Class 4'!$B$11:$B$50,D60),COUNTIF('Class 5'!$B$11:$B$50,D60),COUNTIF('Class 6'!$B$11:$B$50,D60))=0,"Not on the class list","")))</f>
        <v/>
      </c>
      <c r="H60" s="1" t="n"/>
      <c r="J60">
        <f>IF('Class 2'!B25="","",'Class 2'!B25)</f>
        <v/>
      </c>
    </row>
    <row r="61">
      <c r="A61" s="1" t="n"/>
      <c r="B61" s="28" t="n"/>
      <c r="C61" s="30" t="n"/>
      <c r="D61" s="31" t="n"/>
      <c r="E61" s="33" t="n"/>
      <c r="F61" s="30" t="n"/>
      <c r="G61" s="12">
        <f>IF(OR(C61="",D61=""),"",IF(ISNA(MATCH(C61,Settings!$C$9:$C$14,0)),"Class not on Settings",IF(CHOOSE(MATCH(C61,Settings!$C$9:$C$14,0),COUNTIF('Class 1'!$B$11:$B$50,D61),COUNTIF('Class 2'!$B$11:$B$50,D61),COUNTIF('Class 3'!$B$11:$B$50,D61),COUNTIF('Class 4'!$B$11:$B$50,D61),COUNTIF('Class 5'!$B$11:$B$50,D61),COUNTIF('Class 6'!$B$11:$B$50,D61))=0,"Not on the class list","")))</f>
        <v/>
      </c>
      <c r="H61" s="1" t="n"/>
      <c r="J61">
        <f>IF('Class 2'!B26="","",'Class 2'!B26)</f>
        <v/>
      </c>
    </row>
    <row r="62">
      <c r="A62" s="1" t="n"/>
      <c r="B62" s="28" t="n"/>
      <c r="C62" s="30" t="n"/>
      <c r="D62" s="31" t="n"/>
      <c r="E62" s="33" t="n"/>
      <c r="F62" s="30" t="n"/>
      <c r="G62" s="12">
        <f>IF(OR(C62="",D62=""),"",IF(ISNA(MATCH(C62,Settings!$C$9:$C$14,0)),"Class not on Settings",IF(CHOOSE(MATCH(C62,Settings!$C$9:$C$14,0),COUNTIF('Class 1'!$B$11:$B$50,D62),COUNTIF('Class 2'!$B$11:$B$50,D62),COUNTIF('Class 3'!$B$11:$B$50,D62),COUNTIF('Class 4'!$B$11:$B$50,D62),COUNTIF('Class 5'!$B$11:$B$50,D62),COUNTIF('Class 6'!$B$11:$B$50,D62))=0,"Not on the class list","")))</f>
        <v/>
      </c>
      <c r="H62" s="1" t="n"/>
      <c r="J62">
        <f>IF('Class 2'!B27="","",'Class 2'!B27)</f>
        <v/>
      </c>
    </row>
    <row r="63">
      <c r="A63" s="1" t="n"/>
      <c r="B63" s="28" t="n"/>
      <c r="C63" s="30" t="n"/>
      <c r="D63" s="31" t="n"/>
      <c r="E63" s="33" t="n"/>
      <c r="F63" s="30" t="n"/>
      <c r="G63" s="12">
        <f>IF(OR(C63="",D63=""),"",IF(ISNA(MATCH(C63,Settings!$C$9:$C$14,0)),"Class not on Settings",IF(CHOOSE(MATCH(C63,Settings!$C$9:$C$14,0),COUNTIF('Class 1'!$B$11:$B$50,D63),COUNTIF('Class 2'!$B$11:$B$50,D63),COUNTIF('Class 3'!$B$11:$B$50,D63),COUNTIF('Class 4'!$B$11:$B$50,D63),COUNTIF('Class 5'!$B$11:$B$50,D63),COUNTIF('Class 6'!$B$11:$B$50,D63))=0,"Not on the class list","")))</f>
        <v/>
      </c>
      <c r="H63" s="1" t="n"/>
      <c r="J63">
        <f>IF('Class 2'!B28="","",'Class 2'!B28)</f>
        <v/>
      </c>
    </row>
    <row r="64">
      <c r="A64" s="1" t="n"/>
      <c r="B64" s="28" t="n"/>
      <c r="C64" s="30" t="n"/>
      <c r="D64" s="31" t="n"/>
      <c r="E64" s="33" t="n"/>
      <c r="F64" s="30" t="n"/>
      <c r="G64" s="12">
        <f>IF(OR(C64="",D64=""),"",IF(ISNA(MATCH(C64,Settings!$C$9:$C$14,0)),"Class not on Settings",IF(CHOOSE(MATCH(C64,Settings!$C$9:$C$14,0),COUNTIF('Class 1'!$B$11:$B$50,D64),COUNTIF('Class 2'!$B$11:$B$50,D64),COUNTIF('Class 3'!$B$11:$B$50,D64),COUNTIF('Class 4'!$B$11:$B$50,D64),COUNTIF('Class 5'!$B$11:$B$50,D64),COUNTIF('Class 6'!$B$11:$B$50,D64))=0,"Not on the class list","")))</f>
        <v/>
      </c>
      <c r="H64" s="1" t="n"/>
      <c r="J64">
        <f>IF('Class 2'!B29="","",'Class 2'!B29)</f>
        <v/>
      </c>
    </row>
    <row r="65">
      <c r="A65" s="1" t="n"/>
      <c r="B65" s="28" t="n"/>
      <c r="C65" s="30" t="n"/>
      <c r="D65" s="31" t="n"/>
      <c r="E65" s="33" t="n"/>
      <c r="F65" s="30" t="n"/>
      <c r="G65" s="12">
        <f>IF(OR(C65="",D65=""),"",IF(ISNA(MATCH(C65,Settings!$C$9:$C$14,0)),"Class not on Settings",IF(CHOOSE(MATCH(C65,Settings!$C$9:$C$14,0),COUNTIF('Class 1'!$B$11:$B$50,D65),COUNTIF('Class 2'!$B$11:$B$50,D65),COUNTIF('Class 3'!$B$11:$B$50,D65),COUNTIF('Class 4'!$B$11:$B$50,D65),COUNTIF('Class 5'!$B$11:$B$50,D65),COUNTIF('Class 6'!$B$11:$B$50,D65))=0,"Not on the class list","")))</f>
        <v/>
      </c>
      <c r="H65" s="1" t="n"/>
      <c r="J65">
        <f>IF('Class 2'!B30="","",'Class 2'!B30)</f>
        <v/>
      </c>
    </row>
    <row r="66">
      <c r="A66" s="1" t="n"/>
      <c r="B66" s="28" t="n"/>
      <c r="C66" s="30" t="n"/>
      <c r="D66" s="31" t="n"/>
      <c r="E66" s="33" t="n"/>
      <c r="F66" s="30" t="n"/>
      <c r="G66" s="12">
        <f>IF(OR(C66="",D66=""),"",IF(ISNA(MATCH(C66,Settings!$C$9:$C$14,0)),"Class not on Settings",IF(CHOOSE(MATCH(C66,Settings!$C$9:$C$14,0),COUNTIF('Class 1'!$B$11:$B$50,D66),COUNTIF('Class 2'!$B$11:$B$50,D66),COUNTIF('Class 3'!$B$11:$B$50,D66),COUNTIF('Class 4'!$B$11:$B$50,D66),COUNTIF('Class 5'!$B$11:$B$50,D66),COUNTIF('Class 6'!$B$11:$B$50,D66))=0,"Not on the class list","")))</f>
        <v/>
      </c>
      <c r="H66" s="1" t="n"/>
      <c r="J66">
        <f>IF('Class 2'!B31="","",'Class 2'!B31)</f>
        <v/>
      </c>
    </row>
    <row r="67">
      <c r="A67" s="1" t="n"/>
      <c r="B67" s="28" t="n"/>
      <c r="C67" s="30" t="n"/>
      <c r="D67" s="31" t="n"/>
      <c r="E67" s="33" t="n"/>
      <c r="F67" s="30" t="n"/>
      <c r="G67" s="12">
        <f>IF(OR(C67="",D67=""),"",IF(ISNA(MATCH(C67,Settings!$C$9:$C$14,0)),"Class not on Settings",IF(CHOOSE(MATCH(C67,Settings!$C$9:$C$14,0),COUNTIF('Class 1'!$B$11:$B$50,D67),COUNTIF('Class 2'!$B$11:$B$50,D67),COUNTIF('Class 3'!$B$11:$B$50,D67),COUNTIF('Class 4'!$B$11:$B$50,D67),COUNTIF('Class 5'!$B$11:$B$50,D67),COUNTIF('Class 6'!$B$11:$B$50,D67))=0,"Not on the class list","")))</f>
        <v/>
      </c>
      <c r="H67" s="1" t="n"/>
      <c r="J67">
        <f>IF('Class 2'!B32="","",'Class 2'!B32)</f>
        <v/>
      </c>
    </row>
    <row r="68">
      <c r="A68" s="1" t="n"/>
      <c r="B68" s="28" t="n"/>
      <c r="C68" s="30" t="n"/>
      <c r="D68" s="31" t="n"/>
      <c r="E68" s="33" t="n"/>
      <c r="F68" s="30" t="n"/>
      <c r="G68" s="12">
        <f>IF(OR(C68="",D68=""),"",IF(ISNA(MATCH(C68,Settings!$C$9:$C$14,0)),"Class not on Settings",IF(CHOOSE(MATCH(C68,Settings!$C$9:$C$14,0),COUNTIF('Class 1'!$B$11:$B$50,D68),COUNTIF('Class 2'!$B$11:$B$50,D68),COUNTIF('Class 3'!$B$11:$B$50,D68),COUNTIF('Class 4'!$B$11:$B$50,D68),COUNTIF('Class 5'!$B$11:$B$50,D68),COUNTIF('Class 6'!$B$11:$B$50,D68))=0,"Not on the class list","")))</f>
        <v/>
      </c>
      <c r="H68" s="1" t="n"/>
      <c r="J68">
        <f>IF('Class 2'!B33="","",'Class 2'!B33)</f>
        <v/>
      </c>
    </row>
    <row r="69">
      <c r="A69" s="1" t="n"/>
      <c r="B69" s="28" t="n"/>
      <c r="C69" s="30" t="n"/>
      <c r="D69" s="31" t="n"/>
      <c r="E69" s="33" t="n"/>
      <c r="F69" s="30" t="n"/>
      <c r="G69" s="12">
        <f>IF(OR(C69="",D69=""),"",IF(ISNA(MATCH(C69,Settings!$C$9:$C$14,0)),"Class not on Settings",IF(CHOOSE(MATCH(C69,Settings!$C$9:$C$14,0),COUNTIF('Class 1'!$B$11:$B$50,D69),COUNTIF('Class 2'!$B$11:$B$50,D69),COUNTIF('Class 3'!$B$11:$B$50,D69),COUNTIF('Class 4'!$B$11:$B$50,D69),COUNTIF('Class 5'!$B$11:$B$50,D69),COUNTIF('Class 6'!$B$11:$B$50,D69))=0,"Not on the class list","")))</f>
        <v/>
      </c>
      <c r="H69" s="1" t="n"/>
      <c r="J69">
        <f>IF('Class 2'!B34="","",'Class 2'!B34)</f>
        <v/>
      </c>
    </row>
    <row r="70">
      <c r="A70" s="1" t="n"/>
      <c r="B70" s="28" t="n"/>
      <c r="C70" s="30" t="n"/>
      <c r="D70" s="31" t="n"/>
      <c r="E70" s="33" t="n"/>
      <c r="F70" s="30" t="n"/>
      <c r="G70" s="12">
        <f>IF(OR(C70="",D70=""),"",IF(ISNA(MATCH(C70,Settings!$C$9:$C$14,0)),"Class not on Settings",IF(CHOOSE(MATCH(C70,Settings!$C$9:$C$14,0),COUNTIF('Class 1'!$B$11:$B$50,D70),COUNTIF('Class 2'!$B$11:$B$50,D70),COUNTIF('Class 3'!$B$11:$B$50,D70),COUNTIF('Class 4'!$B$11:$B$50,D70),COUNTIF('Class 5'!$B$11:$B$50,D70),COUNTIF('Class 6'!$B$11:$B$50,D70))=0,"Not on the class list","")))</f>
        <v/>
      </c>
      <c r="H70" s="1" t="n"/>
      <c r="J70">
        <f>IF('Class 2'!B35="","",'Class 2'!B35)</f>
        <v/>
      </c>
    </row>
    <row r="71">
      <c r="A71" s="1" t="n"/>
      <c r="B71" s="28" t="n"/>
      <c r="C71" s="30" t="n"/>
      <c r="D71" s="31" t="n"/>
      <c r="E71" s="33" t="n"/>
      <c r="F71" s="30" t="n"/>
      <c r="G71" s="12">
        <f>IF(OR(C71="",D71=""),"",IF(ISNA(MATCH(C71,Settings!$C$9:$C$14,0)),"Class not on Settings",IF(CHOOSE(MATCH(C71,Settings!$C$9:$C$14,0),COUNTIF('Class 1'!$B$11:$B$50,D71),COUNTIF('Class 2'!$B$11:$B$50,D71),COUNTIF('Class 3'!$B$11:$B$50,D71),COUNTIF('Class 4'!$B$11:$B$50,D71),COUNTIF('Class 5'!$B$11:$B$50,D71),COUNTIF('Class 6'!$B$11:$B$50,D71))=0,"Not on the class list","")))</f>
        <v/>
      </c>
      <c r="H71" s="1" t="n"/>
      <c r="J71">
        <f>IF('Class 2'!B36="","",'Class 2'!B36)</f>
        <v/>
      </c>
    </row>
    <row r="72">
      <c r="A72" s="1" t="n"/>
      <c r="B72" s="28" t="n"/>
      <c r="C72" s="30" t="n"/>
      <c r="D72" s="31" t="n"/>
      <c r="E72" s="33" t="n"/>
      <c r="F72" s="30" t="n"/>
      <c r="G72" s="12">
        <f>IF(OR(C72="",D72=""),"",IF(ISNA(MATCH(C72,Settings!$C$9:$C$14,0)),"Class not on Settings",IF(CHOOSE(MATCH(C72,Settings!$C$9:$C$14,0),COUNTIF('Class 1'!$B$11:$B$50,D72),COUNTIF('Class 2'!$B$11:$B$50,D72),COUNTIF('Class 3'!$B$11:$B$50,D72),COUNTIF('Class 4'!$B$11:$B$50,D72),COUNTIF('Class 5'!$B$11:$B$50,D72),COUNTIF('Class 6'!$B$11:$B$50,D72))=0,"Not on the class list","")))</f>
        <v/>
      </c>
      <c r="H72" s="1" t="n"/>
      <c r="J72">
        <f>IF('Class 2'!B37="","",'Class 2'!B37)</f>
        <v/>
      </c>
    </row>
    <row r="73">
      <c r="A73" s="1" t="n"/>
      <c r="B73" s="28" t="n"/>
      <c r="C73" s="30" t="n"/>
      <c r="D73" s="31" t="n"/>
      <c r="E73" s="33" t="n"/>
      <c r="F73" s="30" t="n"/>
      <c r="G73" s="12">
        <f>IF(OR(C73="",D73=""),"",IF(ISNA(MATCH(C73,Settings!$C$9:$C$14,0)),"Class not on Settings",IF(CHOOSE(MATCH(C73,Settings!$C$9:$C$14,0),COUNTIF('Class 1'!$B$11:$B$50,D73),COUNTIF('Class 2'!$B$11:$B$50,D73),COUNTIF('Class 3'!$B$11:$B$50,D73),COUNTIF('Class 4'!$B$11:$B$50,D73),COUNTIF('Class 5'!$B$11:$B$50,D73),COUNTIF('Class 6'!$B$11:$B$50,D73))=0,"Not on the class list","")))</f>
        <v/>
      </c>
      <c r="H73" s="1" t="n"/>
      <c r="J73">
        <f>IF('Class 2'!B38="","",'Class 2'!B38)</f>
        <v/>
      </c>
    </row>
    <row r="74">
      <c r="A74" s="1" t="n"/>
      <c r="B74" s="28" t="n"/>
      <c r="C74" s="30" t="n"/>
      <c r="D74" s="31" t="n"/>
      <c r="E74" s="33" t="n"/>
      <c r="F74" s="30" t="n"/>
      <c r="G74" s="12">
        <f>IF(OR(C74="",D74=""),"",IF(ISNA(MATCH(C74,Settings!$C$9:$C$14,0)),"Class not on Settings",IF(CHOOSE(MATCH(C74,Settings!$C$9:$C$14,0),COUNTIF('Class 1'!$B$11:$B$50,D74),COUNTIF('Class 2'!$B$11:$B$50,D74),COUNTIF('Class 3'!$B$11:$B$50,D74),COUNTIF('Class 4'!$B$11:$B$50,D74),COUNTIF('Class 5'!$B$11:$B$50,D74),COUNTIF('Class 6'!$B$11:$B$50,D74))=0,"Not on the class list","")))</f>
        <v/>
      </c>
      <c r="H74" s="1" t="n"/>
      <c r="J74">
        <f>IF('Class 2'!B39="","",'Class 2'!B39)</f>
        <v/>
      </c>
    </row>
    <row r="75">
      <c r="A75" s="1" t="n"/>
      <c r="B75" s="28" t="n"/>
      <c r="C75" s="30" t="n"/>
      <c r="D75" s="31" t="n"/>
      <c r="E75" s="33" t="n"/>
      <c r="F75" s="30" t="n"/>
      <c r="G75" s="12">
        <f>IF(OR(C75="",D75=""),"",IF(ISNA(MATCH(C75,Settings!$C$9:$C$14,0)),"Class not on Settings",IF(CHOOSE(MATCH(C75,Settings!$C$9:$C$14,0),COUNTIF('Class 1'!$B$11:$B$50,D75),COUNTIF('Class 2'!$B$11:$B$50,D75),COUNTIF('Class 3'!$B$11:$B$50,D75),COUNTIF('Class 4'!$B$11:$B$50,D75),COUNTIF('Class 5'!$B$11:$B$50,D75),COUNTIF('Class 6'!$B$11:$B$50,D75))=0,"Not on the class list","")))</f>
        <v/>
      </c>
      <c r="H75" s="1" t="n"/>
      <c r="J75">
        <f>IF('Class 2'!B40="","",'Class 2'!B40)</f>
        <v/>
      </c>
    </row>
    <row r="76">
      <c r="A76" s="1" t="n"/>
      <c r="B76" s="28" t="n"/>
      <c r="C76" s="30" t="n"/>
      <c r="D76" s="31" t="n"/>
      <c r="E76" s="33" t="n"/>
      <c r="F76" s="30" t="n"/>
      <c r="G76" s="12">
        <f>IF(OR(C76="",D76=""),"",IF(ISNA(MATCH(C76,Settings!$C$9:$C$14,0)),"Class not on Settings",IF(CHOOSE(MATCH(C76,Settings!$C$9:$C$14,0),COUNTIF('Class 1'!$B$11:$B$50,D76),COUNTIF('Class 2'!$B$11:$B$50,D76),COUNTIF('Class 3'!$B$11:$B$50,D76),COUNTIF('Class 4'!$B$11:$B$50,D76),COUNTIF('Class 5'!$B$11:$B$50,D76),COUNTIF('Class 6'!$B$11:$B$50,D76))=0,"Not on the class list","")))</f>
        <v/>
      </c>
      <c r="H76" s="1" t="n"/>
      <c r="J76">
        <f>IF('Class 2'!B41="","",'Class 2'!B41)</f>
        <v/>
      </c>
    </row>
    <row r="77">
      <c r="A77" s="1" t="n"/>
      <c r="B77" s="28" t="n"/>
      <c r="C77" s="30" t="n"/>
      <c r="D77" s="31" t="n"/>
      <c r="E77" s="33" t="n"/>
      <c r="F77" s="30" t="n"/>
      <c r="G77" s="12">
        <f>IF(OR(C77="",D77=""),"",IF(ISNA(MATCH(C77,Settings!$C$9:$C$14,0)),"Class not on Settings",IF(CHOOSE(MATCH(C77,Settings!$C$9:$C$14,0),COUNTIF('Class 1'!$B$11:$B$50,D77),COUNTIF('Class 2'!$B$11:$B$50,D77),COUNTIF('Class 3'!$B$11:$B$50,D77),COUNTIF('Class 4'!$B$11:$B$50,D77),COUNTIF('Class 5'!$B$11:$B$50,D77),COUNTIF('Class 6'!$B$11:$B$50,D77))=0,"Not on the class list","")))</f>
        <v/>
      </c>
      <c r="H77" s="1" t="n"/>
      <c r="J77">
        <f>IF('Class 2'!B42="","",'Class 2'!B42)</f>
        <v/>
      </c>
    </row>
    <row r="78">
      <c r="A78" s="1" t="n"/>
      <c r="B78" s="28" t="n"/>
      <c r="C78" s="30" t="n"/>
      <c r="D78" s="31" t="n"/>
      <c r="E78" s="33" t="n"/>
      <c r="F78" s="30" t="n"/>
      <c r="G78" s="12">
        <f>IF(OR(C78="",D78=""),"",IF(ISNA(MATCH(C78,Settings!$C$9:$C$14,0)),"Class not on Settings",IF(CHOOSE(MATCH(C78,Settings!$C$9:$C$14,0),COUNTIF('Class 1'!$B$11:$B$50,D78),COUNTIF('Class 2'!$B$11:$B$50,D78),COUNTIF('Class 3'!$B$11:$B$50,D78),COUNTIF('Class 4'!$B$11:$B$50,D78),COUNTIF('Class 5'!$B$11:$B$50,D78),COUNTIF('Class 6'!$B$11:$B$50,D78))=0,"Not on the class list","")))</f>
        <v/>
      </c>
      <c r="H78" s="1" t="n"/>
      <c r="J78">
        <f>IF('Class 2'!B43="","",'Class 2'!B43)</f>
        <v/>
      </c>
    </row>
    <row r="79">
      <c r="A79" s="1" t="n"/>
      <c r="B79" s="28" t="n"/>
      <c r="C79" s="30" t="n"/>
      <c r="D79" s="31" t="n"/>
      <c r="E79" s="33" t="n"/>
      <c r="F79" s="30" t="n"/>
      <c r="G79" s="12">
        <f>IF(OR(C79="",D79=""),"",IF(ISNA(MATCH(C79,Settings!$C$9:$C$14,0)),"Class not on Settings",IF(CHOOSE(MATCH(C79,Settings!$C$9:$C$14,0),COUNTIF('Class 1'!$B$11:$B$50,D79),COUNTIF('Class 2'!$B$11:$B$50,D79),COUNTIF('Class 3'!$B$11:$B$50,D79),COUNTIF('Class 4'!$B$11:$B$50,D79),COUNTIF('Class 5'!$B$11:$B$50,D79),COUNTIF('Class 6'!$B$11:$B$50,D79))=0,"Not on the class list","")))</f>
        <v/>
      </c>
      <c r="H79" s="1" t="n"/>
      <c r="J79">
        <f>IF('Class 2'!B44="","",'Class 2'!B44)</f>
        <v/>
      </c>
    </row>
    <row r="80">
      <c r="A80" s="1" t="n"/>
      <c r="B80" s="28" t="n"/>
      <c r="C80" s="30" t="n"/>
      <c r="D80" s="31" t="n"/>
      <c r="E80" s="33" t="n"/>
      <c r="F80" s="30" t="n"/>
      <c r="G80" s="12">
        <f>IF(OR(C80="",D80=""),"",IF(ISNA(MATCH(C80,Settings!$C$9:$C$14,0)),"Class not on Settings",IF(CHOOSE(MATCH(C80,Settings!$C$9:$C$14,0),COUNTIF('Class 1'!$B$11:$B$50,D80),COUNTIF('Class 2'!$B$11:$B$50,D80),COUNTIF('Class 3'!$B$11:$B$50,D80),COUNTIF('Class 4'!$B$11:$B$50,D80),COUNTIF('Class 5'!$B$11:$B$50,D80),COUNTIF('Class 6'!$B$11:$B$50,D80))=0,"Not on the class list","")))</f>
        <v/>
      </c>
      <c r="H80" s="1" t="n"/>
      <c r="J80">
        <f>IF('Class 2'!B45="","",'Class 2'!B45)</f>
        <v/>
      </c>
    </row>
    <row r="81">
      <c r="A81" s="1" t="n"/>
      <c r="B81" s="28" t="n"/>
      <c r="C81" s="30" t="n"/>
      <c r="D81" s="31" t="n"/>
      <c r="E81" s="33" t="n"/>
      <c r="F81" s="30" t="n"/>
      <c r="G81" s="12">
        <f>IF(OR(C81="",D81=""),"",IF(ISNA(MATCH(C81,Settings!$C$9:$C$14,0)),"Class not on Settings",IF(CHOOSE(MATCH(C81,Settings!$C$9:$C$14,0),COUNTIF('Class 1'!$B$11:$B$50,D81),COUNTIF('Class 2'!$B$11:$B$50,D81),COUNTIF('Class 3'!$B$11:$B$50,D81),COUNTIF('Class 4'!$B$11:$B$50,D81),COUNTIF('Class 5'!$B$11:$B$50,D81),COUNTIF('Class 6'!$B$11:$B$50,D81))=0,"Not on the class list","")))</f>
        <v/>
      </c>
      <c r="H81" s="1" t="n"/>
      <c r="J81">
        <f>IF('Class 2'!B46="","",'Class 2'!B46)</f>
        <v/>
      </c>
    </row>
    <row r="82">
      <c r="A82" s="1" t="n"/>
      <c r="B82" s="28" t="n"/>
      <c r="C82" s="30" t="n"/>
      <c r="D82" s="31" t="n"/>
      <c r="E82" s="33" t="n"/>
      <c r="F82" s="30" t="n"/>
      <c r="G82" s="12">
        <f>IF(OR(C82="",D82=""),"",IF(ISNA(MATCH(C82,Settings!$C$9:$C$14,0)),"Class not on Settings",IF(CHOOSE(MATCH(C82,Settings!$C$9:$C$14,0),COUNTIF('Class 1'!$B$11:$B$50,D82),COUNTIF('Class 2'!$B$11:$B$50,D82),COUNTIF('Class 3'!$B$11:$B$50,D82),COUNTIF('Class 4'!$B$11:$B$50,D82),COUNTIF('Class 5'!$B$11:$B$50,D82),COUNTIF('Class 6'!$B$11:$B$50,D82))=0,"Not on the class list","")))</f>
        <v/>
      </c>
      <c r="H82" s="1" t="n"/>
      <c r="J82">
        <f>IF('Class 2'!B47="","",'Class 2'!B47)</f>
        <v/>
      </c>
    </row>
    <row r="83">
      <c r="A83" s="1" t="n"/>
      <c r="B83" s="28" t="n"/>
      <c r="C83" s="30" t="n"/>
      <c r="D83" s="31" t="n"/>
      <c r="E83" s="33" t="n"/>
      <c r="F83" s="30" t="n"/>
      <c r="G83" s="12">
        <f>IF(OR(C83="",D83=""),"",IF(ISNA(MATCH(C83,Settings!$C$9:$C$14,0)),"Class not on Settings",IF(CHOOSE(MATCH(C83,Settings!$C$9:$C$14,0),COUNTIF('Class 1'!$B$11:$B$50,D83),COUNTIF('Class 2'!$B$11:$B$50,D83),COUNTIF('Class 3'!$B$11:$B$50,D83),COUNTIF('Class 4'!$B$11:$B$50,D83),COUNTIF('Class 5'!$B$11:$B$50,D83),COUNTIF('Class 6'!$B$11:$B$50,D83))=0,"Not on the class list","")))</f>
        <v/>
      </c>
      <c r="H83" s="1" t="n"/>
      <c r="J83">
        <f>IF('Class 2'!B48="","",'Class 2'!B48)</f>
        <v/>
      </c>
    </row>
    <row r="84">
      <c r="A84" s="1" t="n"/>
      <c r="B84" s="28" t="n"/>
      <c r="C84" s="30" t="n"/>
      <c r="D84" s="31" t="n"/>
      <c r="E84" s="33" t="n"/>
      <c r="F84" s="30" t="n"/>
      <c r="G84" s="12">
        <f>IF(OR(C84="",D84=""),"",IF(ISNA(MATCH(C84,Settings!$C$9:$C$14,0)),"Class not on Settings",IF(CHOOSE(MATCH(C84,Settings!$C$9:$C$14,0),COUNTIF('Class 1'!$B$11:$B$50,D84),COUNTIF('Class 2'!$B$11:$B$50,D84),COUNTIF('Class 3'!$B$11:$B$50,D84),COUNTIF('Class 4'!$B$11:$B$50,D84),COUNTIF('Class 5'!$B$11:$B$50,D84),COUNTIF('Class 6'!$B$11:$B$50,D84))=0,"Not on the class list","")))</f>
        <v/>
      </c>
      <c r="H84" s="1" t="n"/>
      <c r="J84">
        <f>IF('Class 2'!B49="","",'Class 2'!B49)</f>
        <v/>
      </c>
    </row>
    <row r="85">
      <c r="A85" s="1" t="n"/>
      <c r="B85" s="28" t="n"/>
      <c r="C85" s="30" t="n"/>
      <c r="D85" s="31" t="n"/>
      <c r="E85" s="33" t="n"/>
      <c r="F85" s="30" t="n"/>
      <c r="G85" s="12">
        <f>IF(OR(C85="",D85=""),"",IF(ISNA(MATCH(C85,Settings!$C$9:$C$14,0)),"Class not on Settings",IF(CHOOSE(MATCH(C85,Settings!$C$9:$C$14,0),COUNTIF('Class 1'!$B$11:$B$50,D85),COUNTIF('Class 2'!$B$11:$B$50,D85),COUNTIF('Class 3'!$B$11:$B$50,D85),COUNTIF('Class 4'!$B$11:$B$50,D85),COUNTIF('Class 5'!$B$11:$B$50,D85),COUNTIF('Class 6'!$B$11:$B$50,D85))=0,"Not on the class list","")))</f>
        <v/>
      </c>
      <c r="H85" s="1" t="n"/>
      <c r="J85">
        <f>IF('Class 2'!B50="","",'Class 2'!B50)</f>
        <v/>
      </c>
    </row>
    <row r="86">
      <c r="A86" s="1" t="n"/>
      <c r="B86" s="28" t="n"/>
      <c r="C86" s="30" t="n"/>
      <c r="D86" s="31" t="n"/>
      <c r="E86" s="33" t="n"/>
      <c r="F86" s="30" t="n"/>
      <c r="G86" s="12">
        <f>IF(OR(C86="",D86=""),"",IF(ISNA(MATCH(C86,Settings!$C$9:$C$14,0)),"Class not on Settings",IF(CHOOSE(MATCH(C86,Settings!$C$9:$C$14,0),COUNTIF('Class 1'!$B$11:$B$50,D86),COUNTIF('Class 2'!$B$11:$B$50,D86),COUNTIF('Class 3'!$B$11:$B$50,D86),COUNTIF('Class 4'!$B$11:$B$50,D86),COUNTIF('Class 5'!$B$11:$B$50,D86),COUNTIF('Class 6'!$B$11:$B$50,D86))=0,"Not on the class list","")))</f>
        <v/>
      </c>
      <c r="H86" s="1" t="n"/>
      <c r="J86">
        <f>IF('Class 3'!B11="","",'Class 3'!B11)</f>
        <v/>
      </c>
    </row>
    <row r="87">
      <c r="A87" s="1" t="n"/>
      <c r="B87" s="28" t="n"/>
      <c r="C87" s="30" t="n"/>
      <c r="D87" s="31" t="n"/>
      <c r="E87" s="33" t="n"/>
      <c r="F87" s="30" t="n"/>
      <c r="G87" s="12">
        <f>IF(OR(C87="",D87=""),"",IF(ISNA(MATCH(C87,Settings!$C$9:$C$14,0)),"Class not on Settings",IF(CHOOSE(MATCH(C87,Settings!$C$9:$C$14,0),COUNTIF('Class 1'!$B$11:$B$50,D87),COUNTIF('Class 2'!$B$11:$B$50,D87),COUNTIF('Class 3'!$B$11:$B$50,D87),COUNTIF('Class 4'!$B$11:$B$50,D87),COUNTIF('Class 5'!$B$11:$B$50,D87),COUNTIF('Class 6'!$B$11:$B$50,D87))=0,"Not on the class list","")))</f>
        <v/>
      </c>
      <c r="H87" s="1" t="n"/>
      <c r="J87">
        <f>IF('Class 3'!B12="","",'Class 3'!B12)</f>
        <v/>
      </c>
    </row>
    <row r="88">
      <c r="A88" s="1" t="n"/>
      <c r="B88" s="28" t="n"/>
      <c r="C88" s="30" t="n"/>
      <c r="D88" s="31" t="n"/>
      <c r="E88" s="33" t="n"/>
      <c r="F88" s="30" t="n"/>
      <c r="G88" s="12">
        <f>IF(OR(C88="",D88=""),"",IF(ISNA(MATCH(C88,Settings!$C$9:$C$14,0)),"Class not on Settings",IF(CHOOSE(MATCH(C88,Settings!$C$9:$C$14,0),COUNTIF('Class 1'!$B$11:$B$50,D88),COUNTIF('Class 2'!$B$11:$B$50,D88),COUNTIF('Class 3'!$B$11:$B$50,D88),COUNTIF('Class 4'!$B$11:$B$50,D88),COUNTIF('Class 5'!$B$11:$B$50,D88),COUNTIF('Class 6'!$B$11:$B$50,D88))=0,"Not on the class list","")))</f>
        <v/>
      </c>
      <c r="H88" s="1" t="n"/>
      <c r="J88">
        <f>IF('Class 3'!B13="","",'Class 3'!B13)</f>
        <v/>
      </c>
    </row>
    <row r="89">
      <c r="A89" s="1" t="n"/>
      <c r="B89" s="28" t="n"/>
      <c r="C89" s="30" t="n"/>
      <c r="D89" s="31" t="n"/>
      <c r="E89" s="33" t="n"/>
      <c r="F89" s="30" t="n"/>
      <c r="G89" s="12">
        <f>IF(OR(C89="",D89=""),"",IF(ISNA(MATCH(C89,Settings!$C$9:$C$14,0)),"Class not on Settings",IF(CHOOSE(MATCH(C89,Settings!$C$9:$C$14,0),COUNTIF('Class 1'!$B$11:$B$50,D89),COUNTIF('Class 2'!$B$11:$B$50,D89),COUNTIF('Class 3'!$B$11:$B$50,D89),COUNTIF('Class 4'!$B$11:$B$50,D89),COUNTIF('Class 5'!$B$11:$B$50,D89),COUNTIF('Class 6'!$B$11:$B$50,D89))=0,"Not on the class list","")))</f>
        <v/>
      </c>
      <c r="H89" s="1" t="n"/>
      <c r="J89">
        <f>IF('Class 3'!B14="","",'Class 3'!B14)</f>
        <v/>
      </c>
    </row>
    <row r="90">
      <c r="A90" s="1" t="n"/>
      <c r="B90" s="28" t="n"/>
      <c r="C90" s="30" t="n"/>
      <c r="D90" s="31" t="n"/>
      <c r="E90" s="33" t="n"/>
      <c r="F90" s="30" t="n"/>
      <c r="G90" s="12">
        <f>IF(OR(C90="",D90=""),"",IF(ISNA(MATCH(C90,Settings!$C$9:$C$14,0)),"Class not on Settings",IF(CHOOSE(MATCH(C90,Settings!$C$9:$C$14,0),COUNTIF('Class 1'!$B$11:$B$50,D90),COUNTIF('Class 2'!$B$11:$B$50,D90),COUNTIF('Class 3'!$B$11:$B$50,D90),COUNTIF('Class 4'!$B$11:$B$50,D90),COUNTIF('Class 5'!$B$11:$B$50,D90),COUNTIF('Class 6'!$B$11:$B$50,D90))=0,"Not on the class list","")))</f>
        <v/>
      </c>
      <c r="H90" s="1" t="n"/>
      <c r="J90">
        <f>IF('Class 3'!B15="","",'Class 3'!B15)</f>
        <v/>
      </c>
    </row>
    <row r="91">
      <c r="A91" s="1" t="n"/>
      <c r="B91" s="28" t="n"/>
      <c r="C91" s="30" t="n"/>
      <c r="D91" s="31" t="n"/>
      <c r="E91" s="33" t="n"/>
      <c r="F91" s="30" t="n"/>
      <c r="G91" s="12">
        <f>IF(OR(C91="",D91=""),"",IF(ISNA(MATCH(C91,Settings!$C$9:$C$14,0)),"Class not on Settings",IF(CHOOSE(MATCH(C91,Settings!$C$9:$C$14,0),COUNTIF('Class 1'!$B$11:$B$50,D91),COUNTIF('Class 2'!$B$11:$B$50,D91),COUNTIF('Class 3'!$B$11:$B$50,D91),COUNTIF('Class 4'!$B$11:$B$50,D91),COUNTIF('Class 5'!$B$11:$B$50,D91),COUNTIF('Class 6'!$B$11:$B$50,D91))=0,"Not on the class list","")))</f>
        <v/>
      </c>
      <c r="H91" s="1" t="n"/>
      <c r="J91">
        <f>IF('Class 3'!B16="","",'Class 3'!B16)</f>
        <v/>
      </c>
    </row>
    <row r="92">
      <c r="A92" s="1" t="n"/>
      <c r="B92" s="28" t="n"/>
      <c r="C92" s="30" t="n"/>
      <c r="D92" s="31" t="n"/>
      <c r="E92" s="33" t="n"/>
      <c r="F92" s="30" t="n"/>
      <c r="G92" s="12">
        <f>IF(OR(C92="",D92=""),"",IF(ISNA(MATCH(C92,Settings!$C$9:$C$14,0)),"Class not on Settings",IF(CHOOSE(MATCH(C92,Settings!$C$9:$C$14,0),COUNTIF('Class 1'!$B$11:$B$50,D92),COUNTIF('Class 2'!$B$11:$B$50,D92),COUNTIF('Class 3'!$B$11:$B$50,D92),COUNTIF('Class 4'!$B$11:$B$50,D92),COUNTIF('Class 5'!$B$11:$B$50,D92),COUNTIF('Class 6'!$B$11:$B$50,D92))=0,"Not on the class list","")))</f>
        <v/>
      </c>
      <c r="H92" s="1" t="n"/>
      <c r="J92">
        <f>IF('Class 3'!B17="","",'Class 3'!B17)</f>
        <v/>
      </c>
    </row>
    <row r="93">
      <c r="A93" s="1" t="n"/>
      <c r="B93" s="28" t="n"/>
      <c r="C93" s="30" t="n"/>
      <c r="D93" s="31" t="n"/>
      <c r="E93" s="33" t="n"/>
      <c r="F93" s="30" t="n"/>
      <c r="G93" s="12">
        <f>IF(OR(C93="",D93=""),"",IF(ISNA(MATCH(C93,Settings!$C$9:$C$14,0)),"Class not on Settings",IF(CHOOSE(MATCH(C93,Settings!$C$9:$C$14,0),COUNTIF('Class 1'!$B$11:$B$50,D93),COUNTIF('Class 2'!$B$11:$B$50,D93),COUNTIF('Class 3'!$B$11:$B$50,D93),COUNTIF('Class 4'!$B$11:$B$50,D93),COUNTIF('Class 5'!$B$11:$B$50,D93),COUNTIF('Class 6'!$B$11:$B$50,D93))=0,"Not on the class list","")))</f>
        <v/>
      </c>
      <c r="H93" s="1" t="n"/>
      <c r="J93">
        <f>IF('Class 3'!B18="","",'Class 3'!B18)</f>
        <v/>
      </c>
    </row>
    <row r="94">
      <c r="A94" s="1" t="n"/>
      <c r="B94" s="28" t="n"/>
      <c r="C94" s="30" t="n"/>
      <c r="D94" s="31" t="n"/>
      <c r="E94" s="33" t="n"/>
      <c r="F94" s="30" t="n"/>
      <c r="G94" s="12">
        <f>IF(OR(C94="",D94=""),"",IF(ISNA(MATCH(C94,Settings!$C$9:$C$14,0)),"Class not on Settings",IF(CHOOSE(MATCH(C94,Settings!$C$9:$C$14,0),COUNTIF('Class 1'!$B$11:$B$50,D94),COUNTIF('Class 2'!$B$11:$B$50,D94),COUNTIF('Class 3'!$B$11:$B$50,D94),COUNTIF('Class 4'!$B$11:$B$50,D94),COUNTIF('Class 5'!$B$11:$B$50,D94),COUNTIF('Class 6'!$B$11:$B$50,D94))=0,"Not on the class list","")))</f>
        <v/>
      </c>
      <c r="H94" s="1" t="n"/>
      <c r="J94">
        <f>IF('Class 3'!B19="","",'Class 3'!B19)</f>
        <v/>
      </c>
    </row>
    <row r="95">
      <c r="A95" s="1" t="n"/>
      <c r="B95" s="28" t="n"/>
      <c r="C95" s="30" t="n"/>
      <c r="D95" s="31" t="n"/>
      <c r="E95" s="33" t="n"/>
      <c r="F95" s="30" t="n"/>
      <c r="G95" s="12">
        <f>IF(OR(C95="",D95=""),"",IF(ISNA(MATCH(C95,Settings!$C$9:$C$14,0)),"Class not on Settings",IF(CHOOSE(MATCH(C95,Settings!$C$9:$C$14,0),COUNTIF('Class 1'!$B$11:$B$50,D95),COUNTIF('Class 2'!$B$11:$B$50,D95),COUNTIF('Class 3'!$B$11:$B$50,D95),COUNTIF('Class 4'!$B$11:$B$50,D95),COUNTIF('Class 5'!$B$11:$B$50,D95),COUNTIF('Class 6'!$B$11:$B$50,D95))=0,"Not on the class list","")))</f>
        <v/>
      </c>
      <c r="H95" s="1" t="n"/>
      <c r="J95">
        <f>IF('Class 3'!B20="","",'Class 3'!B20)</f>
        <v/>
      </c>
    </row>
    <row r="96">
      <c r="A96" s="1" t="n"/>
      <c r="B96" s="28" t="n"/>
      <c r="C96" s="30" t="n"/>
      <c r="D96" s="31" t="n"/>
      <c r="E96" s="33" t="n"/>
      <c r="F96" s="30" t="n"/>
      <c r="G96" s="12">
        <f>IF(OR(C96="",D96=""),"",IF(ISNA(MATCH(C96,Settings!$C$9:$C$14,0)),"Class not on Settings",IF(CHOOSE(MATCH(C96,Settings!$C$9:$C$14,0),COUNTIF('Class 1'!$B$11:$B$50,D96),COUNTIF('Class 2'!$B$11:$B$50,D96),COUNTIF('Class 3'!$B$11:$B$50,D96),COUNTIF('Class 4'!$B$11:$B$50,D96),COUNTIF('Class 5'!$B$11:$B$50,D96),COUNTIF('Class 6'!$B$11:$B$50,D96))=0,"Not on the class list","")))</f>
        <v/>
      </c>
      <c r="H96" s="1" t="n"/>
      <c r="J96">
        <f>IF('Class 3'!B21="","",'Class 3'!B21)</f>
        <v/>
      </c>
    </row>
    <row r="97">
      <c r="A97" s="1" t="n"/>
      <c r="B97" s="28" t="n"/>
      <c r="C97" s="30" t="n"/>
      <c r="D97" s="31" t="n"/>
      <c r="E97" s="33" t="n"/>
      <c r="F97" s="30" t="n"/>
      <c r="G97" s="12">
        <f>IF(OR(C97="",D97=""),"",IF(ISNA(MATCH(C97,Settings!$C$9:$C$14,0)),"Class not on Settings",IF(CHOOSE(MATCH(C97,Settings!$C$9:$C$14,0),COUNTIF('Class 1'!$B$11:$B$50,D97),COUNTIF('Class 2'!$B$11:$B$50,D97),COUNTIF('Class 3'!$B$11:$B$50,D97),COUNTIF('Class 4'!$B$11:$B$50,D97),COUNTIF('Class 5'!$B$11:$B$50,D97),COUNTIF('Class 6'!$B$11:$B$50,D97))=0,"Not on the class list","")))</f>
        <v/>
      </c>
      <c r="H97" s="1" t="n"/>
      <c r="J97">
        <f>IF('Class 3'!B22="","",'Class 3'!B22)</f>
        <v/>
      </c>
    </row>
    <row r="98">
      <c r="A98" s="1" t="n"/>
      <c r="B98" s="28" t="n"/>
      <c r="C98" s="30" t="n"/>
      <c r="D98" s="31" t="n"/>
      <c r="E98" s="33" t="n"/>
      <c r="F98" s="30" t="n"/>
      <c r="G98" s="12">
        <f>IF(OR(C98="",D98=""),"",IF(ISNA(MATCH(C98,Settings!$C$9:$C$14,0)),"Class not on Settings",IF(CHOOSE(MATCH(C98,Settings!$C$9:$C$14,0),COUNTIF('Class 1'!$B$11:$B$50,D98),COUNTIF('Class 2'!$B$11:$B$50,D98),COUNTIF('Class 3'!$B$11:$B$50,D98),COUNTIF('Class 4'!$B$11:$B$50,D98),COUNTIF('Class 5'!$B$11:$B$50,D98),COUNTIF('Class 6'!$B$11:$B$50,D98))=0,"Not on the class list","")))</f>
        <v/>
      </c>
      <c r="H98" s="1" t="n"/>
      <c r="J98">
        <f>IF('Class 3'!B23="","",'Class 3'!B23)</f>
        <v/>
      </c>
    </row>
    <row r="99">
      <c r="A99" s="1" t="n"/>
      <c r="B99" s="28" t="n"/>
      <c r="C99" s="30" t="n"/>
      <c r="D99" s="31" t="n"/>
      <c r="E99" s="33" t="n"/>
      <c r="F99" s="30" t="n"/>
      <c r="G99" s="12">
        <f>IF(OR(C99="",D99=""),"",IF(ISNA(MATCH(C99,Settings!$C$9:$C$14,0)),"Class not on Settings",IF(CHOOSE(MATCH(C99,Settings!$C$9:$C$14,0),COUNTIF('Class 1'!$B$11:$B$50,D99),COUNTIF('Class 2'!$B$11:$B$50,D99),COUNTIF('Class 3'!$B$11:$B$50,D99),COUNTIF('Class 4'!$B$11:$B$50,D99),COUNTIF('Class 5'!$B$11:$B$50,D99),COUNTIF('Class 6'!$B$11:$B$50,D99))=0,"Not on the class list","")))</f>
        <v/>
      </c>
      <c r="H99" s="1" t="n"/>
      <c r="J99">
        <f>IF('Class 3'!B24="","",'Class 3'!B24)</f>
        <v/>
      </c>
    </row>
    <row r="100">
      <c r="A100" s="1" t="n"/>
      <c r="B100" s="28" t="n"/>
      <c r="C100" s="30" t="n"/>
      <c r="D100" s="31" t="n"/>
      <c r="E100" s="33" t="n"/>
      <c r="F100" s="30" t="n"/>
      <c r="G100" s="12">
        <f>IF(OR(C100="",D100=""),"",IF(ISNA(MATCH(C100,Settings!$C$9:$C$14,0)),"Class not on Settings",IF(CHOOSE(MATCH(C100,Settings!$C$9:$C$14,0),COUNTIF('Class 1'!$B$11:$B$50,D100),COUNTIF('Class 2'!$B$11:$B$50,D100),COUNTIF('Class 3'!$B$11:$B$50,D100),COUNTIF('Class 4'!$B$11:$B$50,D100),COUNTIF('Class 5'!$B$11:$B$50,D100),COUNTIF('Class 6'!$B$11:$B$50,D100))=0,"Not on the class list","")))</f>
        <v/>
      </c>
      <c r="H100" s="1" t="n"/>
      <c r="J100">
        <f>IF('Class 3'!B25="","",'Class 3'!B25)</f>
        <v/>
      </c>
    </row>
    <row r="101">
      <c r="A101" s="1" t="n"/>
      <c r="B101" s="28" t="n"/>
      <c r="C101" s="30" t="n"/>
      <c r="D101" s="31" t="n"/>
      <c r="E101" s="33" t="n"/>
      <c r="F101" s="30" t="n"/>
      <c r="G101" s="12">
        <f>IF(OR(C101="",D101=""),"",IF(ISNA(MATCH(C101,Settings!$C$9:$C$14,0)),"Class not on Settings",IF(CHOOSE(MATCH(C101,Settings!$C$9:$C$14,0),COUNTIF('Class 1'!$B$11:$B$50,D101),COUNTIF('Class 2'!$B$11:$B$50,D101),COUNTIF('Class 3'!$B$11:$B$50,D101),COUNTIF('Class 4'!$B$11:$B$50,D101),COUNTIF('Class 5'!$B$11:$B$50,D101),COUNTIF('Class 6'!$B$11:$B$50,D101))=0,"Not on the class list","")))</f>
        <v/>
      </c>
      <c r="H101" s="1" t="n"/>
      <c r="J101">
        <f>IF('Class 3'!B26="","",'Class 3'!B26)</f>
        <v/>
      </c>
    </row>
    <row r="102">
      <c r="A102" s="1" t="n"/>
      <c r="B102" s="28" t="n"/>
      <c r="C102" s="30" t="n"/>
      <c r="D102" s="31" t="n"/>
      <c r="E102" s="33" t="n"/>
      <c r="F102" s="30" t="n"/>
      <c r="G102" s="12">
        <f>IF(OR(C102="",D102=""),"",IF(ISNA(MATCH(C102,Settings!$C$9:$C$14,0)),"Class not on Settings",IF(CHOOSE(MATCH(C102,Settings!$C$9:$C$14,0),COUNTIF('Class 1'!$B$11:$B$50,D102),COUNTIF('Class 2'!$B$11:$B$50,D102),COUNTIF('Class 3'!$B$11:$B$50,D102),COUNTIF('Class 4'!$B$11:$B$50,D102),COUNTIF('Class 5'!$B$11:$B$50,D102),COUNTIF('Class 6'!$B$11:$B$50,D102))=0,"Not on the class list","")))</f>
        <v/>
      </c>
      <c r="H102" s="1" t="n"/>
      <c r="J102">
        <f>IF('Class 3'!B27="","",'Class 3'!B27)</f>
        <v/>
      </c>
    </row>
    <row r="103">
      <c r="A103" s="1" t="n"/>
      <c r="B103" s="28" t="n"/>
      <c r="C103" s="30" t="n"/>
      <c r="D103" s="31" t="n"/>
      <c r="E103" s="33" t="n"/>
      <c r="F103" s="30" t="n"/>
      <c r="G103" s="12">
        <f>IF(OR(C103="",D103=""),"",IF(ISNA(MATCH(C103,Settings!$C$9:$C$14,0)),"Class not on Settings",IF(CHOOSE(MATCH(C103,Settings!$C$9:$C$14,0),COUNTIF('Class 1'!$B$11:$B$50,D103),COUNTIF('Class 2'!$B$11:$B$50,D103),COUNTIF('Class 3'!$B$11:$B$50,D103),COUNTIF('Class 4'!$B$11:$B$50,D103),COUNTIF('Class 5'!$B$11:$B$50,D103),COUNTIF('Class 6'!$B$11:$B$50,D103))=0,"Not on the class list","")))</f>
        <v/>
      </c>
      <c r="H103" s="1" t="n"/>
      <c r="J103">
        <f>IF('Class 3'!B28="","",'Class 3'!B28)</f>
        <v/>
      </c>
    </row>
    <row r="104">
      <c r="A104" s="1" t="n"/>
      <c r="B104" s="28" t="n"/>
      <c r="C104" s="30" t="n"/>
      <c r="D104" s="31" t="n"/>
      <c r="E104" s="33" t="n"/>
      <c r="F104" s="30" t="n"/>
      <c r="G104" s="12">
        <f>IF(OR(C104="",D104=""),"",IF(ISNA(MATCH(C104,Settings!$C$9:$C$14,0)),"Class not on Settings",IF(CHOOSE(MATCH(C104,Settings!$C$9:$C$14,0),COUNTIF('Class 1'!$B$11:$B$50,D104),COUNTIF('Class 2'!$B$11:$B$50,D104),COUNTIF('Class 3'!$B$11:$B$50,D104),COUNTIF('Class 4'!$B$11:$B$50,D104),COUNTIF('Class 5'!$B$11:$B$50,D104),COUNTIF('Class 6'!$B$11:$B$50,D104))=0,"Not on the class list","")))</f>
        <v/>
      </c>
      <c r="H104" s="1" t="n"/>
      <c r="J104">
        <f>IF('Class 3'!B29="","",'Class 3'!B29)</f>
        <v/>
      </c>
    </row>
    <row r="105">
      <c r="A105" s="1" t="n"/>
      <c r="B105" s="28" t="n"/>
      <c r="C105" s="30" t="n"/>
      <c r="D105" s="31" t="n"/>
      <c r="E105" s="33" t="n"/>
      <c r="F105" s="30" t="n"/>
      <c r="G105" s="12">
        <f>IF(OR(C105="",D105=""),"",IF(ISNA(MATCH(C105,Settings!$C$9:$C$14,0)),"Class not on Settings",IF(CHOOSE(MATCH(C105,Settings!$C$9:$C$14,0),COUNTIF('Class 1'!$B$11:$B$50,D105),COUNTIF('Class 2'!$B$11:$B$50,D105),COUNTIF('Class 3'!$B$11:$B$50,D105),COUNTIF('Class 4'!$B$11:$B$50,D105),COUNTIF('Class 5'!$B$11:$B$50,D105),COUNTIF('Class 6'!$B$11:$B$50,D105))=0,"Not on the class list","")))</f>
        <v/>
      </c>
      <c r="H105" s="1" t="n"/>
      <c r="J105">
        <f>IF('Class 3'!B30="","",'Class 3'!B30)</f>
        <v/>
      </c>
    </row>
    <row r="106">
      <c r="A106" s="1" t="n"/>
      <c r="B106" s="28" t="n"/>
      <c r="C106" s="30" t="n"/>
      <c r="D106" s="31" t="n"/>
      <c r="E106" s="33" t="n"/>
      <c r="F106" s="30" t="n"/>
      <c r="G106" s="12">
        <f>IF(OR(C106="",D106=""),"",IF(ISNA(MATCH(C106,Settings!$C$9:$C$14,0)),"Class not on Settings",IF(CHOOSE(MATCH(C106,Settings!$C$9:$C$14,0),COUNTIF('Class 1'!$B$11:$B$50,D106),COUNTIF('Class 2'!$B$11:$B$50,D106),COUNTIF('Class 3'!$B$11:$B$50,D106),COUNTIF('Class 4'!$B$11:$B$50,D106),COUNTIF('Class 5'!$B$11:$B$50,D106),COUNTIF('Class 6'!$B$11:$B$50,D106))=0,"Not on the class list","")))</f>
        <v/>
      </c>
      <c r="H106" s="1" t="n"/>
      <c r="J106">
        <f>IF('Class 3'!B31="","",'Class 3'!B31)</f>
        <v/>
      </c>
    </row>
    <row r="107">
      <c r="A107" s="1" t="n"/>
      <c r="B107" s="28" t="n"/>
      <c r="C107" s="30" t="n"/>
      <c r="D107" s="31" t="n"/>
      <c r="E107" s="33" t="n"/>
      <c r="F107" s="30" t="n"/>
      <c r="G107" s="12">
        <f>IF(OR(C107="",D107=""),"",IF(ISNA(MATCH(C107,Settings!$C$9:$C$14,0)),"Class not on Settings",IF(CHOOSE(MATCH(C107,Settings!$C$9:$C$14,0),COUNTIF('Class 1'!$B$11:$B$50,D107),COUNTIF('Class 2'!$B$11:$B$50,D107),COUNTIF('Class 3'!$B$11:$B$50,D107),COUNTIF('Class 4'!$B$11:$B$50,D107),COUNTIF('Class 5'!$B$11:$B$50,D107),COUNTIF('Class 6'!$B$11:$B$50,D107))=0,"Not on the class list","")))</f>
        <v/>
      </c>
      <c r="H107" s="1" t="n"/>
      <c r="J107">
        <f>IF('Class 3'!B32="","",'Class 3'!B32)</f>
        <v/>
      </c>
    </row>
    <row r="108">
      <c r="A108" s="1" t="n"/>
      <c r="B108" s="28" t="n"/>
      <c r="C108" s="30" t="n"/>
      <c r="D108" s="31" t="n"/>
      <c r="E108" s="33" t="n"/>
      <c r="F108" s="30" t="n"/>
      <c r="G108" s="12">
        <f>IF(OR(C108="",D108=""),"",IF(ISNA(MATCH(C108,Settings!$C$9:$C$14,0)),"Class not on Settings",IF(CHOOSE(MATCH(C108,Settings!$C$9:$C$14,0),COUNTIF('Class 1'!$B$11:$B$50,D108),COUNTIF('Class 2'!$B$11:$B$50,D108),COUNTIF('Class 3'!$B$11:$B$50,D108),COUNTIF('Class 4'!$B$11:$B$50,D108),COUNTIF('Class 5'!$B$11:$B$50,D108),COUNTIF('Class 6'!$B$11:$B$50,D108))=0,"Not on the class list","")))</f>
        <v/>
      </c>
      <c r="H108" s="1" t="n"/>
      <c r="J108">
        <f>IF('Class 3'!B33="","",'Class 3'!B33)</f>
        <v/>
      </c>
    </row>
    <row r="109">
      <c r="A109" s="1" t="n"/>
      <c r="B109" s="28" t="n"/>
      <c r="C109" s="30" t="n"/>
      <c r="D109" s="31" t="n"/>
      <c r="E109" s="33" t="n"/>
      <c r="F109" s="30" t="n"/>
      <c r="G109" s="12">
        <f>IF(OR(C109="",D109=""),"",IF(ISNA(MATCH(C109,Settings!$C$9:$C$14,0)),"Class not on Settings",IF(CHOOSE(MATCH(C109,Settings!$C$9:$C$14,0),COUNTIF('Class 1'!$B$11:$B$50,D109),COUNTIF('Class 2'!$B$11:$B$50,D109),COUNTIF('Class 3'!$B$11:$B$50,D109),COUNTIF('Class 4'!$B$11:$B$50,D109),COUNTIF('Class 5'!$B$11:$B$50,D109),COUNTIF('Class 6'!$B$11:$B$50,D109))=0,"Not on the class list","")))</f>
        <v/>
      </c>
      <c r="H109" s="1" t="n"/>
      <c r="J109">
        <f>IF('Class 3'!B34="","",'Class 3'!B34)</f>
        <v/>
      </c>
    </row>
    <row r="110">
      <c r="A110" s="1" t="n"/>
      <c r="B110" s="28" t="n"/>
      <c r="C110" s="30" t="n"/>
      <c r="D110" s="31" t="n"/>
      <c r="E110" s="33" t="n"/>
      <c r="F110" s="30" t="n"/>
      <c r="G110" s="12">
        <f>IF(OR(C110="",D110=""),"",IF(ISNA(MATCH(C110,Settings!$C$9:$C$14,0)),"Class not on Settings",IF(CHOOSE(MATCH(C110,Settings!$C$9:$C$14,0),COUNTIF('Class 1'!$B$11:$B$50,D110),COUNTIF('Class 2'!$B$11:$B$50,D110),COUNTIF('Class 3'!$B$11:$B$50,D110),COUNTIF('Class 4'!$B$11:$B$50,D110),COUNTIF('Class 5'!$B$11:$B$50,D110),COUNTIF('Class 6'!$B$11:$B$50,D110))=0,"Not on the class list","")))</f>
        <v/>
      </c>
      <c r="H110" s="1" t="n"/>
      <c r="J110">
        <f>IF('Class 3'!B35="","",'Class 3'!B35)</f>
        <v/>
      </c>
    </row>
    <row r="111">
      <c r="A111" s="1" t="n"/>
      <c r="B111" s="28" t="n"/>
      <c r="C111" s="30" t="n"/>
      <c r="D111" s="31" t="n"/>
      <c r="E111" s="33" t="n"/>
      <c r="F111" s="30" t="n"/>
      <c r="G111" s="12">
        <f>IF(OR(C111="",D111=""),"",IF(ISNA(MATCH(C111,Settings!$C$9:$C$14,0)),"Class not on Settings",IF(CHOOSE(MATCH(C111,Settings!$C$9:$C$14,0),COUNTIF('Class 1'!$B$11:$B$50,D111),COUNTIF('Class 2'!$B$11:$B$50,D111),COUNTIF('Class 3'!$B$11:$B$50,D111),COUNTIF('Class 4'!$B$11:$B$50,D111),COUNTIF('Class 5'!$B$11:$B$50,D111),COUNTIF('Class 6'!$B$11:$B$50,D111))=0,"Not on the class list","")))</f>
        <v/>
      </c>
      <c r="H111" s="1" t="n"/>
      <c r="J111">
        <f>IF('Class 3'!B36="","",'Class 3'!B36)</f>
        <v/>
      </c>
    </row>
    <row r="112">
      <c r="A112" s="1" t="n"/>
      <c r="B112" s="28" t="n"/>
      <c r="C112" s="30" t="n"/>
      <c r="D112" s="31" t="n"/>
      <c r="E112" s="33" t="n"/>
      <c r="F112" s="30" t="n"/>
      <c r="G112" s="12">
        <f>IF(OR(C112="",D112=""),"",IF(ISNA(MATCH(C112,Settings!$C$9:$C$14,0)),"Class not on Settings",IF(CHOOSE(MATCH(C112,Settings!$C$9:$C$14,0),COUNTIF('Class 1'!$B$11:$B$50,D112),COUNTIF('Class 2'!$B$11:$B$50,D112),COUNTIF('Class 3'!$B$11:$B$50,D112),COUNTIF('Class 4'!$B$11:$B$50,D112),COUNTIF('Class 5'!$B$11:$B$50,D112),COUNTIF('Class 6'!$B$11:$B$50,D112))=0,"Not on the class list","")))</f>
        <v/>
      </c>
      <c r="H112" s="1" t="n"/>
      <c r="J112">
        <f>IF('Class 3'!B37="","",'Class 3'!B37)</f>
        <v/>
      </c>
    </row>
    <row r="113">
      <c r="A113" s="1" t="n"/>
      <c r="B113" s="28" t="n"/>
      <c r="C113" s="30" t="n"/>
      <c r="D113" s="31" t="n"/>
      <c r="E113" s="33" t="n"/>
      <c r="F113" s="30" t="n"/>
      <c r="G113" s="12">
        <f>IF(OR(C113="",D113=""),"",IF(ISNA(MATCH(C113,Settings!$C$9:$C$14,0)),"Class not on Settings",IF(CHOOSE(MATCH(C113,Settings!$C$9:$C$14,0),COUNTIF('Class 1'!$B$11:$B$50,D113),COUNTIF('Class 2'!$B$11:$B$50,D113),COUNTIF('Class 3'!$B$11:$B$50,D113),COUNTIF('Class 4'!$B$11:$B$50,D113),COUNTIF('Class 5'!$B$11:$B$50,D113),COUNTIF('Class 6'!$B$11:$B$50,D113))=0,"Not on the class list","")))</f>
        <v/>
      </c>
      <c r="H113" s="1" t="n"/>
      <c r="J113">
        <f>IF('Class 3'!B38="","",'Class 3'!B38)</f>
        <v/>
      </c>
    </row>
    <row r="114">
      <c r="A114" s="1" t="n"/>
      <c r="B114" s="28" t="n"/>
      <c r="C114" s="30" t="n"/>
      <c r="D114" s="31" t="n"/>
      <c r="E114" s="33" t="n"/>
      <c r="F114" s="30" t="n"/>
      <c r="G114" s="12">
        <f>IF(OR(C114="",D114=""),"",IF(ISNA(MATCH(C114,Settings!$C$9:$C$14,0)),"Class not on Settings",IF(CHOOSE(MATCH(C114,Settings!$C$9:$C$14,0),COUNTIF('Class 1'!$B$11:$B$50,D114),COUNTIF('Class 2'!$B$11:$B$50,D114),COUNTIF('Class 3'!$B$11:$B$50,D114),COUNTIF('Class 4'!$B$11:$B$50,D114),COUNTIF('Class 5'!$B$11:$B$50,D114),COUNTIF('Class 6'!$B$11:$B$50,D114))=0,"Not on the class list","")))</f>
        <v/>
      </c>
      <c r="H114" s="1" t="n"/>
      <c r="J114">
        <f>IF('Class 3'!B39="","",'Class 3'!B39)</f>
        <v/>
      </c>
    </row>
    <row r="115">
      <c r="A115" s="1" t="n"/>
      <c r="B115" s="28" t="n"/>
      <c r="C115" s="30" t="n"/>
      <c r="D115" s="31" t="n"/>
      <c r="E115" s="33" t="n"/>
      <c r="F115" s="30" t="n"/>
      <c r="G115" s="12">
        <f>IF(OR(C115="",D115=""),"",IF(ISNA(MATCH(C115,Settings!$C$9:$C$14,0)),"Class not on Settings",IF(CHOOSE(MATCH(C115,Settings!$C$9:$C$14,0),COUNTIF('Class 1'!$B$11:$B$50,D115),COUNTIF('Class 2'!$B$11:$B$50,D115),COUNTIF('Class 3'!$B$11:$B$50,D115),COUNTIF('Class 4'!$B$11:$B$50,D115),COUNTIF('Class 5'!$B$11:$B$50,D115),COUNTIF('Class 6'!$B$11:$B$50,D115))=0,"Not on the class list","")))</f>
        <v/>
      </c>
      <c r="H115" s="1" t="n"/>
      <c r="J115">
        <f>IF('Class 3'!B40="","",'Class 3'!B40)</f>
        <v/>
      </c>
    </row>
    <row r="116">
      <c r="A116" s="1" t="n"/>
      <c r="B116" s="28" t="n"/>
      <c r="C116" s="30" t="n"/>
      <c r="D116" s="31" t="n"/>
      <c r="E116" s="33" t="n"/>
      <c r="F116" s="30" t="n"/>
      <c r="G116" s="12">
        <f>IF(OR(C116="",D116=""),"",IF(ISNA(MATCH(C116,Settings!$C$9:$C$14,0)),"Class not on Settings",IF(CHOOSE(MATCH(C116,Settings!$C$9:$C$14,0),COUNTIF('Class 1'!$B$11:$B$50,D116),COUNTIF('Class 2'!$B$11:$B$50,D116),COUNTIF('Class 3'!$B$11:$B$50,D116),COUNTIF('Class 4'!$B$11:$B$50,D116),COUNTIF('Class 5'!$B$11:$B$50,D116),COUNTIF('Class 6'!$B$11:$B$50,D116))=0,"Not on the class list","")))</f>
        <v/>
      </c>
      <c r="H116" s="1" t="n"/>
      <c r="J116">
        <f>IF('Class 3'!B41="","",'Class 3'!B41)</f>
        <v/>
      </c>
    </row>
    <row r="117">
      <c r="A117" s="1" t="n"/>
      <c r="B117" s="28" t="n"/>
      <c r="C117" s="30" t="n"/>
      <c r="D117" s="31" t="n"/>
      <c r="E117" s="33" t="n"/>
      <c r="F117" s="30" t="n"/>
      <c r="G117" s="12">
        <f>IF(OR(C117="",D117=""),"",IF(ISNA(MATCH(C117,Settings!$C$9:$C$14,0)),"Class not on Settings",IF(CHOOSE(MATCH(C117,Settings!$C$9:$C$14,0),COUNTIF('Class 1'!$B$11:$B$50,D117),COUNTIF('Class 2'!$B$11:$B$50,D117),COUNTIF('Class 3'!$B$11:$B$50,D117),COUNTIF('Class 4'!$B$11:$B$50,D117),COUNTIF('Class 5'!$B$11:$B$50,D117),COUNTIF('Class 6'!$B$11:$B$50,D117))=0,"Not on the class list","")))</f>
        <v/>
      </c>
      <c r="H117" s="1" t="n"/>
      <c r="J117">
        <f>IF('Class 3'!B42="","",'Class 3'!B42)</f>
        <v/>
      </c>
    </row>
    <row r="118">
      <c r="A118" s="1" t="n"/>
      <c r="B118" s="28" t="n"/>
      <c r="C118" s="30" t="n"/>
      <c r="D118" s="31" t="n"/>
      <c r="E118" s="33" t="n"/>
      <c r="F118" s="30" t="n"/>
      <c r="G118" s="12">
        <f>IF(OR(C118="",D118=""),"",IF(ISNA(MATCH(C118,Settings!$C$9:$C$14,0)),"Class not on Settings",IF(CHOOSE(MATCH(C118,Settings!$C$9:$C$14,0),COUNTIF('Class 1'!$B$11:$B$50,D118),COUNTIF('Class 2'!$B$11:$B$50,D118),COUNTIF('Class 3'!$B$11:$B$50,D118),COUNTIF('Class 4'!$B$11:$B$50,D118),COUNTIF('Class 5'!$B$11:$B$50,D118),COUNTIF('Class 6'!$B$11:$B$50,D118))=0,"Not on the class list","")))</f>
        <v/>
      </c>
      <c r="H118" s="1" t="n"/>
      <c r="J118">
        <f>IF('Class 3'!B43="","",'Class 3'!B43)</f>
        <v/>
      </c>
    </row>
    <row r="119">
      <c r="A119" s="1" t="n"/>
      <c r="B119" s="28" t="n"/>
      <c r="C119" s="30" t="n"/>
      <c r="D119" s="31" t="n"/>
      <c r="E119" s="33" t="n"/>
      <c r="F119" s="30" t="n"/>
      <c r="G119" s="12">
        <f>IF(OR(C119="",D119=""),"",IF(ISNA(MATCH(C119,Settings!$C$9:$C$14,0)),"Class not on Settings",IF(CHOOSE(MATCH(C119,Settings!$C$9:$C$14,0),COUNTIF('Class 1'!$B$11:$B$50,D119),COUNTIF('Class 2'!$B$11:$B$50,D119),COUNTIF('Class 3'!$B$11:$B$50,D119),COUNTIF('Class 4'!$B$11:$B$50,D119),COUNTIF('Class 5'!$B$11:$B$50,D119),COUNTIF('Class 6'!$B$11:$B$50,D119))=0,"Not on the class list","")))</f>
        <v/>
      </c>
      <c r="H119" s="1" t="n"/>
      <c r="J119">
        <f>IF('Class 3'!B44="","",'Class 3'!B44)</f>
        <v/>
      </c>
    </row>
    <row r="120">
      <c r="A120" s="1" t="n"/>
      <c r="B120" s="28" t="n"/>
      <c r="C120" s="30" t="n"/>
      <c r="D120" s="31" t="n"/>
      <c r="E120" s="33" t="n"/>
      <c r="F120" s="30" t="n"/>
      <c r="G120" s="12">
        <f>IF(OR(C120="",D120=""),"",IF(ISNA(MATCH(C120,Settings!$C$9:$C$14,0)),"Class not on Settings",IF(CHOOSE(MATCH(C120,Settings!$C$9:$C$14,0),COUNTIF('Class 1'!$B$11:$B$50,D120),COUNTIF('Class 2'!$B$11:$B$50,D120),COUNTIF('Class 3'!$B$11:$B$50,D120),COUNTIF('Class 4'!$B$11:$B$50,D120),COUNTIF('Class 5'!$B$11:$B$50,D120),COUNTIF('Class 6'!$B$11:$B$50,D120))=0,"Not on the class list","")))</f>
        <v/>
      </c>
      <c r="H120" s="1" t="n"/>
      <c r="J120">
        <f>IF('Class 3'!B45="","",'Class 3'!B45)</f>
        <v/>
      </c>
    </row>
    <row r="121">
      <c r="A121" s="1" t="n"/>
      <c r="B121" s="28" t="n"/>
      <c r="C121" s="30" t="n"/>
      <c r="D121" s="31" t="n"/>
      <c r="E121" s="33" t="n"/>
      <c r="F121" s="30" t="n"/>
      <c r="G121" s="12">
        <f>IF(OR(C121="",D121=""),"",IF(ISNA(MATCH(C121,Settings!$C$9:$C$14,0)),"Class not on Settings",IF(CHOOSE(MATCH(C121,Settings!$C$9:$C$14,0),COUNTIF('Class 1'!$B$11:$B$50,D121),COUNTIF('Class 2'!$B$11:$B$50,D121),COUNTIF('Class 3'!$B$11:$B$50,D121),COUNTIF('Class 4'!$B$11:$B$50,D121),COUNTIF('Class 5'!$B$11:$B$50,D121),COUNTIF('Class 6'!$B$11:$B$50,D121))=0,"Not on the class list","")))</f>
        <v/>
      </c>
      <c r="H121" s="1" t="n"/>
      <c r="J121">
        <f>IF('Class 3'!B46="","",'Class 3'!B46)</f>
        <v/>
      </c>
    </row>
    <row r="122">
      <c r="A122" s="1" t="n"/>
      <c r="B122" s="28" t="n"/>
      <c r="C122" s="30" t="n"/>
      <c r="D122" s="31" t="n"/>
      <c r="E122" s="33" t="n"/>
      <c r="F122" s="30" t="n"/>
      <c r="G122" s="12">
        <f>IF(OR(C122="",D122=""),"",IF(ISNA(MATCH(C122,Settings!$C$9:$C$14,0)),"Class not on Settings",IF(CHOOSE(MATCH(C122,Settings!$C$9:$C$14,0),COUNTIF('Class 1'!$B$11:$B$50,D122),COUNTIF('Class 2'!$B$11:$B$50,D122),COUNTIF('Class 3'!$B$11:$B$50,D122),COUNTIF('Class 4'!$B$11:$B$50,D122),COUNTIF('Class 5'!$B$11:$B$50,D122),COUNTIF('Class 6'!$B$11:$B$50,D122))=0,"Not on the class list","")))</f>
        <v/>
      </c>
      <c r="H122" s="1" t="n"/>
      <c r="J122">
        <f>IF('Class 3'!B47="","",'Class 3'!B47)</f>
        <v/>
      </c>
    </row>
    <row r="123">
      <c r="A123" s="1" t="n"/>
      <c r="B123" s="28" t="n"/>
      <c r="C123" s="30" t="n"/>
      <c r="D123" s="31" t="n"/>
      <c r="E123" s="33" t="n"/>
      <c r="F123" s="30" t="n"/>
      <c r="G123" s="12">
        <f>IF(OR(C123="",D123=""),"",IF(ISNA(MATCH(C123,Settings!$C$9:$C$14,0)),"Class not on Settings",IF(CHOOSE(MATCH(C123,Settings!$C$9:$C$14,0),COUNTIF('Class 1'!$B$11:$B$50,D123),COUNTIF('Class 2'!$B$11:$B$50,D123),COUNTIF('Class 3'!$B$11:$B$50,D123),COUNTIF('Class 4'!$B$11:$B$50,D123),COUNTIF('Class 5'!$B$11:$B$50,D123),COUNTIF('Class 6'!$B$11:$B$50,D123))=0,"Not on the class list","")))</f>
        <v/>
      </c>
      <c r="H123" s="1" t="n"/>
      <c r="J123">
        <f>IF('Class 3'!B48="","",'Class 3'!B48)</f>
        <v/>
      </c>
    </row>
    <row r="124">
      <c r="A124" s="1" t="n"/>
      <c r="B124" s="28" t="n"/>
      <c r="C124" s="30" t="n"/>
      <c r="D124" s="31" t="n"/>
      <c r="E124" s="33" t="n"/>
      <c r="F124" s="30" t="n"/>
      <c r="G124" s="12">
        <f>IF(OR(C124="",D124=""),"",IF(ISNA(MATCH(C124,Settings!$C$9:$C$14,0)),"Class not on Settings",IF(CHOOSE(MATCH(C124,Settings!$C$9:$C$14,0),COUNTIF('Class 1'!$B$11:$B$50,D124),COUNTIF('Class 2'!$B$11:$B$50,D124),COUNTIF('Class 3'!$B$11:$B$50,D124),COUNTIF('Class 4'!$B$11:$B$50,D124),COUNTIF('Class 5'!$B$11:$B$50,D124),COUNTIF('Class 6'!$B$11:$B$50,D124))=0,"Not on the class list","")))</f>
        <v/>
      </c>
      <c r="H124" s="1" t="n"/>
      <c r="J124">
        <f>IF('Class 3'!B49="","",'Class 3'!B49)</f>
        <v/>
      </c>
    </row>
    <row r="125">
      <c r="A125" s="1" t="n"/>
      <c r="B125" s="28" t="n"/>
      <c r="C125" s="30" t="n"/>
      <c r="D125" s="31" t="n"/>
      <c r="E125" s="33" t="n"/>
      <c r="F125" s="30" t="n"/>
      <c r="G125" s="12">
        <f>IF(OR(C125="",D125=""),"",IF(ISNA(MATCH(C125,Settings!$C$9:$C$14,0)),"Class not on Settings",IF(CHOOSE(MATCH(C125,Settings!$C$9:$C$14,0),COUNTIF('Class 1'!$B$11:$B$50,D125),COUNTIF('Class 2'!$B$11:$B$50,D125),COUNTIF('Class 3'!$B$11:$B$50,D125),COUNTIF('Class 4'!$B$11:$B$50,D125),COUNTIF('Class 5'!$B$11:$B$50,D125),COUNTIF('Class 6'!$B$11:$B$50,D125))=0,"Not on the class list","")))</f>
        <v/>
      </c>
      <c r="H125" s="1" t="n"/>
      <c r="J125">
        <f>IF('Class 3'!B50="","",'Class 3'!B50)</f>
        <v/>
      </c>
    </row>
    <row r="126">
      <c r="A126" s="1" t="n"/>
      <c r="B126" s="28" t="n"/>
      <c r="C126" s="30" t="n"/>
      <c r="D126" s="31" t="n"/>
      <c r="E126" s="33" t="n"/>
      <c r="F126" s="30" t="n"/>
      <c r="G126" s="12">
        <f>IF(OR(C126="",D126=""),"",IF(ISNA(MATCH(C126,Settings!$C$9:$C$14,0)),"Class not on Settings",IF(CHOOSE(MATCH(C126,Settings!$C$9:$C$14,0),COUNTIF('Class 1'!$B$11:$B$50,D126),COUNTIF('Class 2'!$B$11:$B$50,D126),COUNTIF('Class 3'!$B$11:$B$50,D126),COUNTIF('Class 4'!$B$11:$B$50,D126),COUNTIF('Class 5'!$B$11:$B$50,D126),COUNTIF('Class 6'!$B$11:$B$50,D126))=0,"Not on the class list","")))</f>
        <v/>
      </c>
      <c r="H126" s="1" t="n"/>
      <c r="J126">
        <f>IF('Class 4'!B11="","",'Class 4'!B11)</f>
        <v/>
      </c>
    </row>
    <row r="127">
      <c r="A127" s="1" t="n"/>
      <c r="B127" s="28" t="n"/>
      <c r="C127" s="30" t="n"/>
      <c r="D127" s="31" t="n"/>
      <c r="E127" s="33" t="n"/>
      <c r="F127" s="30" t="n"/>
      <c r="G127" s="12">
        <f>IF(OR(C127="",D127=""),"",IF(ISNA(MATCH(C127,Settings!$C$9:$C$14,0)),"Class not on Settings",IF(CHOOSE(MATCH(C127,Settings!$C$9:$C$14,0),COUNTIF('Class 1'!$B$11:$B$50,D127),COUNTIF('Class 2'!$B$11:$B$50,D127),COUNTIF('Class 3'!$B$11:$B$50,D127),COUNTIF('Class 4'!$B$11:$B$50,D127),COUNTIF('Class 5'!$B$11:$B$50,D127),COUNTIF('Class 6'!$B$11:$B$50,D127))=0,"Not on the class list","")))</f>
        <v/>
      </c>
      <c r="H127" s="1" t="n"/>
      <c r="J127">
        <f>IF('Class 4'!B12="","",'Class 4'!B12)</f>
        <v/>
      </c>
    </row>
    <row r="128">
      <c r="A128" s="1" t="n"/>
      <c r="B128" s="28" t="n"/>
      <c r="C128" s="30" t="n"/>
      <c r="D128" s="31" t="n"/>
      <c r="E128" s="33" t="n"/>
      <c r="F128" s="30" t="n"/>
      <c r="G128" s="12">
        <f>IF(OR(C128="",D128=""),"",IF(ISNA(MATCH(C128,Settings!$C$9:$C$14,0)),"Class not on Settings",IF(CHOOSE(MATCH(C128,Settings!$C$9:$C$14,0),COUNTIF('Class 1'!$B$11:$B$50,D128),COUNTIF('Class 2'!$B$11:$B$50,D128),COUNTIF('Class 3'!$B$11:$B$50,D128),COUNTIF('Class 4'!$B$11:$B$50,D128),COUNTIF('Class 5'!$B$11:$B$50,D128),COUNTIF('Class 6'!$B$11:$B$50,D128))=0,"Not on the class list","")))</f>
        <v/>
      </c>
      <c r="H128" s="1" t="n"/>
      <c r="J128">
        <f>IF('Class 4'!B13="","",'Class 4'!B13)</f>
        <v/>
      </c>
    </row>
    <row r="129">
      <c r="A129" s="1" t="n"/>
      <c r="B129" s="28" t="n"/>
      <c r="C129" s="30" t="n"/>
      <c r="D129" s="31" t="n"/>
      <c r="E129" s="33" t="n"/>
      <c r="F129" s="30" t="n"/>
      <c r="G129" s="12">
        <f>IF(OR(C129="",D129=""),"",IF(ISNA(MATCH(C129,Settings!$C$9:$C$14,0)),"Class not on Settings",IF(CHOOSE(MATCH(C129,Settings!$C$9:$C$14,0),COUNTIF('Class 1'!$B$11:$B$50,D129),COUNTIF('Class 2'!$B$11:$B$50,D129),COUNTIF('Class 3'!$B$11:$B$50,D129),COUNTIF('Class 4'!$B$11:$B$50,D129),COUNTIF('Class 5'!$B$11:$B$50,D129),COUNTIF('Class 6'!$B$11:$B$50,D129))=0,"Not on the class list","")))</f>
        <v/>
      </c>
      <c r="H129" s="1" t="n"/>
      <c r="J129">
        <f>IF('Class 4'!B14="","",'Class 4'!B14)</f>
        <v/>
      </c>
    </row>
    <row r="130">
      <c r="A130" s="1" t="n"/>
      <c r="B130" s="28" t="n"/>
      <c r="C130" s="30" t="n"/>
      <c r="D130" s="31" t="n"/>
      <c r="E130" s="33" t="n"/>
      <c r="F130" s="30" t="n"/>
      <c r="G130" s="12">
        <f>IF(OR(C130="",D130=""),"",IF(ISNA(MATCH(C130,Settings!$C$9:$C$14,0)),"Class not on Settings",IF(CHOOSE(MATCH(C130,Settings!$C$9:$C$14,0),COUNTIF('Class 1'!$B$11:$B$50,D130),COUNTIF('Class 2'!$B$11:$B$50,D130),COUNTIF('Class 3'!$B$11:$B$50,D130),COUNTIF('Class 4'!$B$11:$B$50,D130),COUNTIF('Class 5'!$B$11:$B$50,D130),COUNTIF('Class 6'!$B$11:$B$50,D130))=0,"Not on the class list","")))</f>
        <v/>
      </c>
      <c r="H130" s="1" t="n"/>
      <c r="J130">
        <f>IF('Class 4'!B15="","",'Class 4'!B15)</f>
        <v/>
      </c>
    </row>
    <row r="131">
      <c r="A131" s="1" t="n"/>
      <c r="B131" s="28" t="n"/>
      <c r="C131" s="30" t="n"/>
      <c r="D131" s="31" t="n"/>
      <c r="E131" s="33" t="n"/>
      <c r="F131" s="30" t="n"/>
      <c r="G131" s="12">
        <f>IF(OR(C131="",D131=""),"",IF(ISNA(MATCH(C131,Settings!$C$9:$C$14,0)),"Class not on Settings",IF(CHOOSE(MATCH(C131,Settings!$C$9:$C$14,0),COUNTIF('Class 1'!$B$11:$B$50,D131),COUNTIF('Class 2'!$B$11:$B$50,D131),COUNTIF('Class 3'!$B$11:$B$50,D131),COUNTIF('Class 4'!$B$11:$B$50,D131),COUNTIF('Class 5'!$B$11:$B$50,D131),COUNTIF('Class 6'!$B$11:$B$50,D131))=0,"Not on the class list","")))</f>
        <v/>
      </c>
      <c r="H131" s="1" t="n"/>
      <c r="J131">
        <f>IF('Class 4'!B16="","",'Class 4'!B16)</f>
        <v/>
      </c>
    </row>
    <row r="132">
      <c r="A132" s="1" t="n"/>
      <c r="B132" s="28" t="n"/>
      <c r="C132" s="30" t="n"/>
      <c r="D132" s="31" t="n"/>
      <c r="E132" s="33" t="n"/>
      <c r="F132" s="30" t="n"/>
      <c r="G132" s="12">
        <f>IF(OR(C132="",D132=""),"",IF(ISNA(MATCH(C132,Settings!$C$9:$C$14,0)),"Class not on Settings",IF(CHOOSE(MATCH(C132,Settings!$C$9:$C$14,0),COUNTIF('Class 1'!$B$11:$B$50,D132),COUNTIF('Class 2'!$B$11:$B$50,D132),COUNTIF('Class 3'!$B$11:$B$50,D132),COUNTIF('Class 4'!$B$11:$B$50,D132),COUNTIF('Class 5'!$B$11:$B$50,D132),COUNTIF('Class 6'!$B$11:$B$50,D132))=0,"Not on the class list","")))</f>
        <v/>
      </c>
      <c r="H132" s="1" t="n"/>
      <c r="J132">
        <f>IF('Class 4'!B17="","",'Class 4'!B17)</f>
        <v/>
      </c>
    </row>
    <row r="133">
      <c r="A133" s="1" t="n"/>
      <c r="B133" s="28" t="n"/>
      <c r="C133" s="30" t="n"/>
      <c r="D133" s="31" t="n"/>
      <c r="E133" s="33" t="n"/>
      <c r="F133" s="30" t="n"/>
      <c r="G133" s="12">
        <f>IF(OR(C133="",D133=""),"",IF(ISNA(MATCH(C133,Settings!$C$9:$C$14,0)),"Class not on Settings",IF(CHOOSE(MATCH(C133,Settings!$C$9:$C$14,0),COUNTIF('Class 1'!$B$11:$B$50,D133),COUNTIF('Class 2'!$B$11:$B$50,D133),COUNTIF('Class 3'!$B$11:$B$50,D133),COUNTIF('Class 4'!$B$11:$B$50,D133),COUNTIF('Class 5'!$B$11:$B$50,D133),COUNTIF('Class 6'!$B$11:$B$50,D133))=0,"Not on the class list","")))</f>
        <v/>
      </c>
      <c r="H133" s="1" t="n"/>
      <c r="J133">
        <f>IF('Class 4'!B18="","",'Class 4'!B18)</f>
        <v/>
      </c>
    </row>
    <row r="134">
      <c r="A134" s="1" t="n"/>
      <c r="B134" s="28" t="n"/>
      <c r="C134" s="30" t="n"/>
      <c r="D134" s="31" t="n"/>
      <c r="E134" s="33" t="n"/>
      <c r="F134" s="30" t="n"/>
      <c r="G134" s="12">
        <f>IF(OR(C134="",D134=""),"",IF(ISNA(MATCH(C134,Settings!$C$9:$C$14,0)),"Class not on Settings",IF(CHOOSE(MATCH(C134,Settings!$C$9:$C$14,0),COUNTIF('Class 1'!$B$11:$B$50,D134),COUNTIF('Class 2'!$B$11:$B$50,D134),COUNTIF('Class 3'!$B$11:$B$50,D134),COUNTIF('Class 4'!$B$11:$B$50,D134),COUNTIF('Class 5'!$B$11:$B$50,D134),COUNTIF('Class 6'!$B$11:$B$50,D134))=0,"Not on the class list","")))</f>
        <v/>
      </c>
      <c r="H134" s="1" t="n"/>
      <c r="J134">
        <f>IF('Class 4'!B19="","",'Class 4'!B19)</f>
        <v/>
      </c>
    </row>
    <row r="135">
      <c r="A135" s="1" t="n"/>
      <c r="B135" s="28" t="n"/>
      <c r="C135" s="30" t="n"/>
      <c r="D135" s="31" t="n"/>
      <c r="E135" s="33" t="n"/>
      <c r="F135" s="30" t="n"/>
      <c r="G135" s="12">
        <f>IF(OR(C135="",D135=""),"",IF(ISNA(MATCH(C135,Settings!$C$9:$C$14,0)),"Class not on Settings",IF(CHOOSE(MATCH(C135,Settings!$C$9:$C$14,0),COUNTIF('Class 1'!$B$11:$B$50,D135),COUNTIF('Class 2'!$B$11:$B$50,D135),COUNTIF('Class 3'!$B$11:$B$50,D135),COUNTIF('Class 4'!$B$11:$B$50,D135),COUNTIF('Class 5'!$B$11:$B$50,D135),COUNTIF('Class 6'!$B$11:$B$50,D135))=0,"Not on the class list","")))</f>
        <v/>
      </c>
      <c r="H135" s="1" t="n"/>
      <c r="J135">
        <f>IF('Class 4'!B20="","",'Class 4'!B20)</f>
        <v/>
      </c>
    </row>
    <row r="136">
      <c r="A136" s="1" t="n"/>
      <c r="B136" s="28" t="n"/>
      <c r="C136" s="30" t="n"/>
      <c r="D136" s="31" t="n"/>
      <c r="E136" s="33" t="n"/>
      <c r="F136" s="30" t="n"/>
      <c r="G136" s="12">
        <f>IF(OR(C136="",D136=""),"",IF(ISNA(MATCH(C136,Settings!$C$9:$C$14,0)),"Class not on Settings",IF(CHOOSE(MATCH(C136,Settings!$C$9:$C$14,0),COUNTIF('Class 1'!$B$11:$B$50,D136),COUNTIF('Class 2'!$B$11:$B$50,D136),COUNTIF('Class 3'!$B$11:$B$50,D136),COUNTIF('Class 4'!$B$11:$B$50,D136),COUNTIF('Class 5'!$B$11:$B$50,D136),COUNTIF('Class 6'!$B$11:$B$50,D136))=0,"Not on the class list","")))</f>
        <v/>
      </c>
      <c r="H136" s="1" t="n"/>
      <c r="J136">
        <f>IF('Class 4'!B21="","",'Class 4'!B21)</f>
        <v/>
      </c>
    </row>
    <row r="137">
      <c r="A137" s="1" t="n"/>
      <c r="B137" s="28" t="n"/>
      <c r="C137" s="30" t="n"/>
      <c r="D137" s="31" t="n"/>
      <c r="E137" s="33" t="n"/>
      <c r="F137" s="30" t="n"/>
      <c r="G137" s="12">
        <f>IF(OR(C137="",D137=""),"",IF(ISNA(MATCH(C137,Settings!$C$9:$C$14,0)),"Class not on Settings",IF(CHOOSE(MATCH(C137,Settings!$C$9:$C$14,0),COUNTIF('Class 1'!$B$11:$B$50,D137),COUNTIF('Class 2'!$B$11:$B$50,D137),COUNTIF('Class 3'!$B$11:$B$50,D137),COUNTIF('Class 4'!$B$11:$B$50,D137),COUNTIF('Class 5'!$B$11:$B$50,D137),COUNTIF('Class 6'!$B$11:$B$50,D137))=0,"Not on the class list","")))</f>
        <v/>
      </c>
      <c r="H137" s="1" t="n"/>
      <c r="J137">
        <f>IF('Class 4'!B22="","",'Class 4'!B22)</f>
        <v/>
      </c>
    </row>
    <row r="138">
      <c r="A138" s="1" t="n"/>
      <c r="B138" s="28" t="n"/>
      <c r="C138" s="30" t="n"/>
      <c r="D138" s="31" t="n"/>
      <c r="E138" s="33" t="n"/>
      <c r="F138" s="30" t="n"/>
      <c r="G138" s="12">
        <f>IF(OR(C138="",D138=""),"",IF(ISNA(MATCH(C138,Settings!$C$9:$C$14,0)),"Class not on Settings",IF(CHOOSE(MATCH(C138,Settings!$C$9:$C$14,0),COUNTIF('Class 1'!$B$11:$B$50,D138),COUNTIF('Class 2'!$B$11:$B$50,D138),COUNTIF('Class 3'!$B$11:$B$50,D138),COUNTIF('Class 4'!$B$11:$B$50,D138),COUNTIF('Class 5'!$B$11:$B$50,D138),COUNTIF('Class 6'!$B$11:$B$50,D138))=0,"Not on the class list","")))</f>
        <v/>
      </c>
      <c r="H138" s="1" t="n"/>
      <c r="J138">
        <f>IF('Class 4'!B23="","",'Class 4'!B23)</f>
        <v/>
      </c>
    </row>
    <row r="139">
      <c r="A139" s="1" t="n"/>
      <c r="B139" s="28" t="n"/>
      <c r="C139" s="30" t="n"/>
      <c r="D139" s="31" t="n"/>
      <c r="E139" s="33" t="n"/>
      <c r="F139" s="30" t="n"/>
      <c r="G139" s="12">
        <f>IF(OR(C139="",D139=""),"",IF(ISNA(MATCH(C139,Settings!$C$9:$C$14,0)),"Class not on Settings",IF(CHOOSE(MATCH(C139,Settings!$C$9:$C$14,0),COUNTIF('Class 1'!$B$11:$B$50,D139),COUNTIF('Class 2'!$B$11:$B$50,D139),COUNTIF('Class 3'!$B$11:$B$50,D139),COUNTIF('Class 4'!$B$11:$B$50,D139),COUNTIF('Class 5'!$B$11:$B$50,D139),COUNTIF('Class 6'!$B$11:$B$50,D139))=0,"Not on the class list","")))</f>
        <v/>
      </c>
      <c r="H139" s="1" t="n"/>
      <c r="J139">
        <f>IF('Class 4'!B24="","",'Class 4'!B24)</f>
        <v/>
      </c>
    </row>
    <row r="140">
      <c r="A140" s="1" t="n"/>
      <c r="B140" s="28" t="n"/>
      <c r="C140" s="30" t="n"/>
      <c r="D140" s="31" t="n"/>
      <c r="E140" s="33" t="n"/>
      <c r="F140" s="30" t="n"/>
      <c r="G140" s="12">
        <f>IF(OR(C140="",D140=""),"",IF(ISNA(MATCH(C140,Settings!$C$9:$C$14,0)),"Class not on Settings",IF(CHOOSE(MATCH(C140,Settings!$C$9:$C$14,0),COUNTIF('Class 1'!$B$11:$B$50,D140),COUNTIF('Class 2'!$B$11:$B$50,D140),COUNTIF('Class 3'!$B$11:$B$50,D140),COUNTIF('Class 4'!$B$11:$B$50,D140),COUNTIF('Class 5'!$B$11:$B$50,D140),COUNTIF('Class 6'!$B$11:$B$50,D140))=0,"Not on the class list","")))</f>
        <v/>
      </c>
      <c r="H140" s="1" t="n"/>
      <c r="J140">
        <f>IF('Class 4'!B25="","",'Class 4'!B25)</f>
        <v/>
      </c>
    </row>
    <row r="141">
      <c r="A141" s="1" t="n"/>
      <c r="B141" s="28" t="n"/>
      <c r="C141" s="30" t="n"/>
      <c r="D141" s="31" t="n"/>
      <c r="E141" s="33" t="n"/>
      <c r="F141" s="30" t="n"/>
      <c r="G141" s="12">
        <f>IF(OR(C141="",D141=""),"",IF(ISNA(MATCH(C141,Settings!$C$9:$C$14,0)),"Class not on Settings",IF(CHOOSE(MATCH(C141,Settings!$C$9:$C$14,0),COUNTIF('Class 1'!$B$11:$B$50,D141),COUNTIF('Class 2'!$B$11:$B$50,D141),COUNTIF('Class 3'!$B$11:$B$50,D141),COUNTIF('Class 4'!$B$11:$B$50,D141),COUNTIF('Class 5'!$B$11:$B$50,D141),COUNTIF('Class 6'!$B$11:$B$50,D141))=0,"Not on the class list","")))</f>
        <v/>
      </c>
      <c r="H141" s="1" t="n"/>
      <c r="J141">
        <f>IF('Class 4'!B26="","",'Class 4'!B26)</f>
        <v/>
      </c>
    </row>
    <row r="142">
      <c r="A142" s="1" t="n"/>
      <c r="B142" s="28" t="n"/>
      <c r="C142" s="30" t="n"/>
      <c r="D142" s="31" t="n"/>
      <c r="E142" s="33" t="n"/>
      <c r="F142" s="30" t="n"/>
      <c r="G142" s="12">
        <f>IF(OR(C142="",D142=""),"",IF(ISNA(MATCH(C142,Settings!$C$9:$C$14,0)),"Class not on Settings",IF(CHOOSE(MATCH(C142,Settings!$C$9:$C$14,0),COUNTIF('Class 1'!$B$11:$B$50,D142),COUNTIF('Class 2'!$B$11:$B$50,D142),COUNTIF('Class 3'!$B$11:$B$50,D142),COUNTIF('Class 4'!$B$11:$B$50,D142),COUNTIF('Class 5'!$B$11:$B$50,D142),COUNTIF('Class 6'!$B$11:$B$50,D142))=0,"Not on the class list","")))</f>
        <v/>
      </c>
      <c r="H142" s="1" t="n"/>
      <c r="J142">
        <f>IF('Class 4'!B27="","",'Class 4'!B27)</f>
        <v/>
      </c>
    </row>
    <row r="143">
      <c r="A143" s="1" t="n"/>
      <c r="B143" s="28" t="n"/>
      <c r="C143" s="30" t="n"/>
      <c r="D143" s="31" t="n"/>
      <c r="E143" s="33" t="n"/>
      <c r="F143" s="30" t="n"/>
      <c r="G143" s="12">
        <f>IF(OR(C143="",D143=""),"",IF(ISNA(MATCH(C143,Settings!$C$9:$C$14,0)),"Class not on Settings",IF(CHOOSE(MATCH(C143,Settings!$C$9:$C$14,0),COUNTIF('Class 1'!$B$11:$B$50,D143),COUNTIF('Class 2'!$B$11:$B$50,D143),COUNTIF('Class 3'!$B$11:$B$50,D143),COUNTIF('Class 4'!$B$11:$B$50,D143),COUNTIF('Class 5'!$B$11:$B$50,D143),COUNTIF('Class 6'!$B$11:$B$50,D143))=0,"Not on the class list","")))</f>
        <v/>
      </c>
      <c r="H143" s="1" t="n"/>
      <c r="J143">
        <f>IF('Class 4'!B28="","",'Class 4'!B28)</f>
        <v/>
      </c>
    </row>
    <row r="144">
      <c r="A144" s="1" t="n"/>
      <c r="B144" s="28" t="n"/>
      <c r="C144" s="30" t="n"/>
      <c r="D144" s="31" t="n"/>
      <c r="E144" s="33" t="n"/>
      <c r="F144" s="30" t="n"/>
      <c r="G144" s="12">
        <f>IF(OR(C144="",D144=""),"",IF(ISNA(MATCH(C144,Settings!$C$9:$C$14,0)),"Class not on Settings",IF(CHOOSE(MATCH(C144,Settings!$C$9:$C$14,0),COUNTIF('Class 1'!$B$11:$B$50,D144),COUNTIF('Class 2'!$B$11:$B$50,D144),COUNTIF('Class 3'!$B$11:$B$50,D144),COUNTIF('Class 4'!$B$11:$B$50,D144),COUNTIF('Class 5'!$B$11:$B$50,D144),COUNTIF('Class 6'!$B$11:$B$50,D144))=0,"Not on the class list","")))</f>
        <v/>
      </c>
      <c r="H144" s="1" t="n"/>
      <c r="J144">
        <f>IF('Class 4'!B29="","",'Class 4'!B29)</f>
        <v/>
      </c>
    </row>
    <row r="145">
      <c r="A145" s="1" t="n"/>
      <c r="B145" s="28" t="n"/>
      <c r="C145" s="30" t="n"/>
      <c r="D145" s="31" t="n"/>
      <c r="E145" s="33" t="n"/>
      <c r="F145" s="30" t="n"/>
      <c r="G145" s="12">
        <f>IF(OR(C145="",D145=""),"",IF(ISNA(MATCH(C145,Settings!$C$9:$C$14,0)),"Class not on Settings",IF(CHOOSE(MATCH(C145,Settings!$C$9:$C$14,0),COUNTIF('Class 1'!$B$11:$B$50,D145),COUNTIF('Class 2'!$B$11:$B$50,D145),COUNTIF('Class 3'!$B$11:$B$50,D145),COUNTIF('Class 4'!$B$11:$B$50,D145),COUNTIF('Class 5'!$B$11:$B$50,D145),COUNTIF('Class 6'!$B$11:$B$50,D145))=0,"Not on the class list","")))</f>
        <v/>
      </c>
      <c r="H145" s="1" t="n"/>
      <c r="J145">
        <f>IF('Class 4'!B30="","",'Class 4'!B30)</f>
        <v/>
      </c>
    </row>
    <row r="146">
      <c r="A146" s="1" t="n"/>
      <c r="B146" s="28" t="n"/>
      <c r="C146" s="30" t="n"/>
      <c r="D146" s="31" t="n"/>
      <c r="E146" s="33" t="n"/>
      <c r="F146" s="30" t="n"/>
      <c r="G146" s="12">
        <f>IF(OR(C146="",D146=""),"",IF(ISNA(MATCH(C146,Settings!$C$9:$C$14,0)),"Class not on Settings",IF(CHOOSE(MATCH(C146,Settings!$C$9:$C$14,0),COUNTIF('Class 1'!$B$11:$B$50,D146),COUNTIF('Class 2'!$B$11:$B$50,D146),COUNTIF('Class 3'!$B$11:$B$50,D146),COUNTIF('Class 4'!$B$11:$B$50,D146),COUNTIF('Class 5'!$B$11:$B$50,D146),COUNTIF('Class 6'!$B$11:$B$50,D146))=0,"Not on the class list","")))</f>
        <v/>
      </c>
      <c r="H146" s="1" t="n"/>
      <c r="J146">
        <f>IF('Class 4'!B31="","",'Class 4'!B31)</f>
        <v/>
      </c>
    </row>
    <row r="147">
      <c r="A147" s="1" t="n"/>
      <c r="B147" s="28" t="n"/>
      <c r="C147" s="30" t="n"/>
      <c r="D147" s="31" t="n"/>
      <c r="E147" s="33" t="n"/>
      <c r="F147" s="30" t="n"/>
      <c r="G147" s="12">
        <f>IF(OR(C147="",D147=""),"",IF(ISNA(MATCH(C147,Settings!$C$9:$C$14,0)),"Class not on Settings",IF(CHOOSE(MATCH(C147,Settings!$C$9:$C$14,0),COUNTIF('Class 1'!$B$11:$B$50,D147),COUNTIF('Class 2'!$B$11:$B$50,D147),COUNTIF('Class 3'!$B$11:$B$50,D147),COUNTIF('Class 4'!$B$11:$B$50,D147),COUNTIF('Class 5'!$B$11:$B$50,D147),COUNTIF('Class 6'!$B$11:$B$50,D147))=0,"Not on the class list","")))</f>
        <v/>
      </c>
      <c r="H147" s="1" t="n"/>
      <c r="J147">
        <f>IF('Class 4'!B32="","",'Class 4'!B32)</f>
        <v/>
      </c>
    </row>
    <row r="148">
      <c r="A148" s="1" t="n"/>
      <c r="B148" s="28" t="n"/>
      <c r="C148" s="30" t="n"/>
      <c r="D148" s="31" t="n"/>
      <c r="E148" s="33" t="n"/>
      <c r="F148" s="30" t="n"/>
      <c r="G148" s="12">
        <f>IF(OR(C148="",D148=""),"",IF(ISNA(MATCH(C148,Settings!$C$9:$C$14,0)),"Class not on Settings",IF(CHOOSE(MATCH(C148,Settings!$C$9:$C$14,0),COUNTIF('Class 1'!$B$11:$B$50,D148),COUNTIF('Class 2'!$B$11:$B$50,D148),COUNTIF('Class 3'!$B$11:$B$50,D148),COUNTIF('Class 4'!$B$11:$B$50,D148),COUNTIF('Class 5'!$B$11:$B$50,D148),COUNTIF('Class 6'!$B$11:$B$50,D148))=0,"Not on the class list","")))</f>
        <v/>
      </c>
      <c r="H148" s="1" t="n"/>
      <c r="J148">
        <f>IF('Class 4'!B33="","",'Class 4'!B33)</f>
        <v/>
      </c>
    </row>
    <row r="149">
      <c r="A149" s="1" t="n"/>
      <c r="B149" s="28" t="n"/>
      <c r="C149" s="30" t="n"/>
      <c r="D149" s="31" t="n"/>
      <c r="E149" s="33" t="n"/>
      <c r="F149" s="30" t="n"/>
      <c r="G149" s="12">
        <f>IF(OR(C149="",D149=""),"",IF(ISNA(MATCH(C149,Settings!$C$9:$C$14,0)),"Class not on Settings",IF(CHOOSE(MATCH(C149,Settings!$C$9:$C$14,0),COUNTIF('Class 1'!$B$11:$B$50,D149),COUNTIF('Class 2'!$B$11:$B$50,D149),COUNTIF('Class 3'!$B$11:$B$50,D149),COUNTIF('Class 4'!$B$11:$B$50,D149),COUNTIF('Class 5'!$B$11:$B$50,D149),COUNTIF('Class 6'!$B$11:$B$50,D149))=0,"Not on the class list","")))</f>
        <v/>
      </c>
      <c r="H149" s="1" t="n"/>
      <c r="J149">
        <f>IF('Class 4'!B34="","",'Class 4'!B34)</f>
        <v/>
      </c>
    </row>
    <row r="150">
      <c r="A150" s="1" t="n"/>
      <c r="B150" s="28" t="n"/>
      <c r="C150" s="30" t="n"/>
      <c r="D150" s="31" t="n"/>
      <c r="E150" s="33" t="n"/>
      <c r="F150" s="30" t="n"/>
      <c r="G150" s="12">
        <f>IF(OR(C150="",D150=""),"",IF(ISNA(MATCH(C150,Settings!$C$9:$C$14,0)),"Class not on Settings",IF(CHOOSE(MATCH(C150,Settings!$C$9:$C$14,0),COUNTIF('Class 1'!$B$11:$B$50,D150),COUNTIF('Class 2'!$B$11:$B$50,D150),COUNTIF('Class 3'!$B$11:$B$50,D150),COUNTIF('Class 4'!$B$11:$B$50,D150),COUNTIF('Class 5'!$B$11:$B$50,D150),COUNTIF('Class 6'!$B$11:$B$50,D150))=0,"Not on the class list","")))</f>
        <v/>
      </c>
      <c r="H150" s="1" t="n"/>
      <c r="J150">
        <f>IF('Class 4'!B35="","",'Class 4'!B35)</f>
        <v/>
      </c>
    </row>
    <row r="151">
      <c r="A151" s="1" t="n"/>
      <c r="B151" s="28" t="n"/>
      <c r="C151" s="30" t="n"/>
      <c r="D151" s="31" t="n"/>
      <c r="E151" s="33" t="n"/>
      <c r="F151" s="30" t="n"/>
      <c r="G151" s="12">
        <f>IF(OR(C151="",D151=""),"",IF(ISNA(MATCH(C151,Settings!$C$9:$C$14,0)),"Class not on Settings",IF(CHOOSE(MATCH(C151,Settings!$C$9:$C$14,0),COUNTIF('Class 1'!$B$11:$B$50,D151),COUNTIF('Class 2'!$B$11:$B$50,D151),COUNTIF('Class 3'!$B$11:$B$50,D151),COUNTIF('Class 4'!$B$11:$B$50,D151),COUNTIF('Class 5'!$B$11:$B$50,D151),COUNTIF('Class 6'!$B$11:$B$50,D151))=0,"Not on the class list","")))</f>
        <v/>
      </c>
      <c r="H151" s="1" t="n"/>
      <c r="J151">
        <f>IF('Class 4'!B36="","",'Class 4'!B36)</f>
        <v/>
      </c>
    </row>
    <row r="152">
      <c r="A152" s="1" t="n"/>
      <c r="B152" s="28" t="n"/>
      <c r="C152" s="30" t="n"/>
      <c r="D152" s="31" t="n"/>
      <c r="E152" s="33" t="n"/>
      <c r="F152" s="30" t="n"/>
      <c r="G152" s="12">
        <f>IF(OR(C152="",D152=""),"",IF(ISNA(MATCH(C152,Settings!$C$9:$C$14,0)),"Class not on Settings",IF(CHOOSE(MATCH(C152,Settings!$C$9:$C$14,0),COUNTIF('Class 1'!$B$11:$B$50,D152),COUNTIF('Class 2'!$B$11:$B$50,D152),COUNTIF('Class 3'!$B$11:$B$50,D152),COUNTIF('Class 4'!$B$11:$B$50,D152),COUNTIF('Class 5'!$B$11:$B$50,D152),COUNTIF('Class 6'!$B$11:$B$50,D152))=0,"Not on the class list","")))</f>
        <v/>
      </c>
      <c r="H152" s="1" t="n"/>
      <c r="J152">
        <f>IF('Class 4'!B37="","",'Class 4'!B37)</f>
        <v/>
      </c>
    </row>
    <row r="153">
      <c r="A153" s="1" t="n"/>
      <c r="B153" s="28" t="n"/>
      <c r="C153" s="30" t="n"/>
      <c r="D153" s="31" t="n"/>
      <c r="E153" s="33" t="n"/>
      <c r="F153" s="30" t="n"/>
      <c r="G153" s="12">
        <f>IF(OR(C153="",D153=""),"",IF(ISNA(MATCH(C153,Settings!$C$9:$C$14,0)),"Class not on Settings",IF(CHOOSE(MATCH(C153,Settings!$C$9:$C$14,0),COUNTIF('Class 1'!$B$11:$B$50,D153),COUNTIF('Class 2'!$B$11:$B$50,D153),COUNTIF('Class 3'!$B$11:$B$50,D153),COUNTIF('Class 4'!$B$11:$B$50,D153),COUNTIF('Class 5'!$B$11:$B$50,D153),COUNTIF('Class 6'!$B$11:$B$50,D153))=0,"Not on the class list","")))</f>
        <v/>
      </c>
      <c r="H153" s="1" t="n"/>
      <c r="J153">
        <f>IF('Class 4'!B38="","",'Class 4'!B38)</f>
        <v/>
      </c>
    </row>
    <row r="154">
      <c r="A154" s="1" t="n"/>
      <c r="B154" s="28" t="n"/>
      <c r="C154" s="30" t="n"/>
      <c r="D154" s="31" t="n"/>
      <c r="E154" s="33" t="n"/>
      <c r="F154" s="30" t="n"/>
      <c r="G154" s="12">
        <f>IF(OR(C154="",D154=""),"",IF(ISNA(MATCH(C154,Settings!$C$9:$C$14,0)),"Class not on Settings",IF(CHOOSE(MATCH(C154,Settings!$C$9:$C$14,0),COUNTIF('Class 1'!$B$11:$B$50,D154),COUNTIF('Class 2'!$B$11:$B$50,D154),COUNTIF('Class 3'!$B$11:$B$50,D154),COUNTIF('Class 4'!$B$11:$B$50,D154),COUNTIF('Class 5'!$B$11:$B$50,D154),COUNTIF('Class 6'!$B$11:$B$50,D154))=0,"Not on the class list","")))</f>
        <v/>
      </c>
      <c r="H154" s="1" t="n"/>
      <c r="J154">
        <f>IF('Class 4'!B39="","",'Class 4'!B39)</f>
        <v/>
      </c>
    </row>
    <row r="155">
      <c r="A155" s="1" t="n"/>
      <c r="B155" s="28" t="n"/>
      <c r="C155" s="30" t="n"/>
      <c r="D155" s="31" t="n"/>
      <c r="E155" s="33" t="n"/>
      <c r="F155" s="30" t="n"/>
      <c r="G155" s="12">
        <f>IF(OR(C155="",D155=""),"",IF(ISNA(MATCH(C155,Settings!$C$9:$C$14,0)),"Class not on Settings",IF(CHOOSE(MATCH(C155,Settings!$C$9:$C$14,0),COUNTIF('Class 1'!$B$11:$B$50,D155),COUNTIF('Class 2'!$B$11:$B$50,D155),COUNTIF('Class 3'!$B$11:$B$50,D155),COUNTIF('Class 4'!$B$11:$B$50,D155),COUNTIF('Class 5'!$B$11:$B$50,D155),COUNTIF('Class 6'!$B$11:$B$50,D155))=0,"Not on the class list","")))</f>
        <v/>
      </c>
      <c r="H155" s="1" t="n"/>
      <c r="J155">
        <f>IF('Class 4'!B40="","",'Class 4'!B40)</f>
        <v/>
      </c>
    </row>
    <row r="156">
      <c r="A156" s="1" t="n"/>
      <c r="B156" s="28" t="n"/>
      <c r="C156" s="30" t="n"/>
      <c r="D156" s="31" t="n"/>
      <c r="E156" s="33" t="n"/>
      <c r="F156" s="30" t="n"/>
      <c r="G156" s="12">
        <f>IF(OR(C156="",D156=""),"",IF(ISNA(MATCH(C156,Settings!$C$9:$C$14,0)),"Class not on Settings",IF(CHOOSE(MATCH(C156,Settings!$C$9:$C$14,0),COUNTIF('Class 1'!$B$11:$B$50,D156),COUNTIF('Class 2'!$B$11:$B$50,D156),COUNTIF('Class 3'!$B$11:$B$50,D156),COUNTIF('Class 4'!$B$11:$B$50,D156),COUNTIF('Class 5'!$B$11:$B$50,D156),COUNTIF('Class 6'!$B$11:$B$50,D156))=0,"Not on the class list","")))</f>
        <v/>
      </c>
      <c r="H156" s="1" t="n"/>
      <c r="J156">
        <f>IF('Class 4'!B41="","",'Class 4'!B41)</f>
        <v/>
      </c>
    </row>
    <row r="157">
      <c r="A157" s="1" t="n"/>
      <c r="B157" s="28" t="n"/>
      <c r="C157" s="30" t="n"/>
      <c r="D157" s="31" t="n"/>
      <c r="E157" s="33" t="n"/>
      <c r="F157" s="30" t="n"/>
      <c r="G157" s="12">
        <f>IF(OR(C157="",D157=""),"",IF(ISNA(MATCH(C157,Settings!$C$9:$C$14,0)),"Class not on Settings",IF(CHOOSE(MATCH(C157,Settings!$C$9:$C$14,0),COUNTIF('Class 1'!$B$11:$B$50,D157),COUNTIF('Class 2'!$B$11:$B$50,D157),COUNTIF('Class 3'!$B$11:$B$50,D157),COUNTIF('Class 4'!$B$11:$B$50,D157),COUNTIF('Class 5'!$B$11:$B$50,D157),COUNTIF('Class 6'!$B$11:$B$50,D157))=0,"Not on the class list","")))</f>
        <v/>
      </c>
      <c r="H157" s="1" t="n"/>
      <c r="J157">
        <f>IF('Class 4'!B42="","",'Class 4'!B42)</f>
        <v/>
      </c>
    </row>
    <row r="158">
      <c r="A158" s="1" t="n"/>
      <c r="B158" s="28" t="n"/>
      <c r="C158" s="30" t="n"/>
      <c r="D158" s="31" t="n"/>
      <c r="E158" s="33" t="n"/>
      <c r="F158" s="30" t="n"/>
      <c r="G158" s="12">
        <f>IF(OR(C158="",D158=""),"",IF(ISNA(MATCH(C158,Settings!$C$9:$C$14,0)),"Class not on Settings",IF(CHOOSE(MATCH(C158,Settings!$C$9:$C$14,0),COUNTIF('Class 1'!$B$11:$B$50,D158),COUNTIF('Class 2'!$B$11:$B$50,D158),COUNTIF('Class 3'!$B$11:$B$50,D158),COUNTIF('Class 4'!$B$11:$B$50,D158),COUNTIF('Class 5'!$B$11:$B$50,D158),COUNTIF('Class 6'!$B$11:$B$50,D158))=0,"Not on the class list","")))</f>
        <v/>
      </c>
      <c r="H158" s="1" t="n"/>
      <c r="J158">
        <f>IF('Class 4'!B43="","",'Class 4'!B43)</f>
        <v/>
      </c>
    </row>
    <row r="159">
      <c r="A159" s="1" t="n"/>
      <c r="B159" s="28" t="n"/>
      <c r="C159" s="30" t="n"/>
      <c r="D159" s="31" t="n"/>
      <c r="E159" s="33" t="n"/>
      <c r="F159" s="30" t="n"/>
      <c r="G159" s="12">
        <f>IF(OR(C159="",D159=""),"",IF(ISNA(MATCH(C159,Settings!$C$9:$C$14,0)),"Class not on Settings",IF(CHOOSE(MATCH(C159,Settings!$C$9:$C$14,0),COUNTIF('Class 1'!$B$11:$B$50,D159),COUNTIF('Class 2'!$B$11:$B$50,D159),COUNTIF('Class 3'!$B$11:$B$50,D159),COUNTIF('Class 4'!$B$11:$B$50,D159),COUNTIF('Class 5'!$B$11:$B$50,D159),COUNTIF('Class 6'!$B$11:$B$50,D159))=0,"Not on the class list","")))</f>
        <v/>
      </c>
      <c r="H159" s="1" t="n"/>
      <c r="J159">
        <f>IF('Class 4'!B44="","",'Class 4'!B44)</f>
        <v/>
      </c>
    </row>
    <row r="160">
      <c r="A160" s="1" t="n"/>
      <c r="B160" s="28" t="n"/>
      <c r="C160" s="30" t="n"/>
      <c r="D160" s="31" t="n"/>
      <c r="E160" s="33" t="n"/>
      <c r="F160" s="30" t="n"/>
      <c r="G160" s="12">
        <f>IF(OR(C160="",D160=""),"",IF(ISNA(MATCH(C160,Settings!$C$9:$C$14,0)),"Class not on Settings",IF(CHOOSE(MATCH(C160,Settings!$C$9:$C$14,0),COUNTIF('Class 1'!$B$11:$B$50,D160),COUNTIF('Class 2'!$B$11:$B$50,D160),COUNTIF('Class 3'!$B$11:$B$50,D160),COUNTIF('Class 4'!$B$11:$B$50,D160),COUNTIF('Class 5'!$B$11:$B$50,D160),COUNTIF('Class 6'!$B$11:$B$50,D160))=0,"Not on the class list","")))</f>
        <v/>
      </c>
      <c r="H160" s="1" t="n"/>
      <c r="J160">
        <f>IF('Class 4'!B45="","",'Class 4'!B45)</f>
        <v/>
      </c>
    </row>
    <row r="161">
      <c r="A161" s="1" t="n"/>
      <c r="B161" s="28" t="n"/>
      <c r="C161" s="30" t="n"/>
      <c r="D161" s="31" t="n"/>
      <c r="E161" s="33" t="n"/>
      <c r="F161" s="30" t="n"/>
      <c r="G161" s="12">
        <f>IF(OR(C161="",D161=""),"",IF(ISNA(MATCH(C161,Settings!$C$9:$C$14,0)),"Class not on Settings",IF(CHOOSE(MATCH(C161,Settings!$C$9:$C$14,0),COUNTIF('Class 1'!$B$11:$B$50,D161),COUNTIF('Class 2'!$B$11:$B$50,D161),COUNTIF('Class 3'!$B$11:$B$50,D161),COUNTIF('Class 4'!$B$11:$B$50,D161),COUNTIF('Class 5'!$B$11:$B$50,D161),COUNTIF('Class 6'!$B$11:$B$50,D161))=0,"Not on the class list","")))</f>
        <v/>
      </c>
      <c r="H161" s="1" t="n"/>
      <c r="J161">
        <f>IF('Class 4'!B46="","",'Class 4'!B46)</f>
        <v/>
      </c>
    </row>
    <row r="162">
      <c r="A162" s="1" t="n"/>
      <c r="B162" s="28" t="n"/>
      <c r="C162" s="30" t="n"/>
      <c r="D162" s="31" t="n"/>
      <c r="E162" s="33" t="n"/>
      <c r="F162" s="30" t="n"/>
      <c r="G162" s="12">
        <f>IF(OR(C162="",D162=""),"",IF(ISNA(MATCH(C162,Settings!$C$9:$C$14,0)),"Class not on Settings",IF(CHOOSE(MATCH(C162,Settings!$C$9:$C$14,0),COUNTIF('Class 1'!$B$11:$B$50,D162),COUNTIF('Class 2'!$B$11:$B$50,D162),COUNTIF('Class 3'!$B$11:$B$50,D162),COUNTIF('Class 4'!$B$11:$B$50,D162),COUNTIF('Class 5'!$B$11:$B$50,D162),COUNTIF('Class 6'!$B$11:$B$50,D162))=0,"Not on the class list","")))</f>
        <v/>
      </c>
      <c r="H162" s="1" t="n"/>
      <c r="J162">
        <f>IF('Class 4'!B47="","",'Class 4'!B47)</f>
        <v/>
      </c>
    </row>
    <row r="163">
      <c r="A163" s="1" t="n"/>
      <c r="B163" s="28" t="n"/>
      <c r="C163" s="30" t="n"/>
      <c r="D163" s="31" t="n"/>
      <c r="E163" s="33" t="n"/>
      <c r="F163" s="30" t="n"/>
      <c r="G163" s="12">
        <f>IF(OR(C163="",D163=""),"",IF(ISNA(MATCH(C163,Settings!$C$9:$C$14,0)),"Class not on Settings",IF(CHOOSE(MATCH(C163,Settings!$C$9:$C$14,0),COUNTIF('Class 1'!$B$11:$B$50,D163),COUNTIF('Class 2'!$B$11:$B$50,D163),COUNTIF('Class 3'!$B$11:$B$50,D163),COUNTIF('Class 4'!$B$11:$B$50,D163),COUNTIF('Class 5'!$B$11:$B$50,D163),COUNTIF('Class 6'!$B$11:$B$50,D163))=0,"Not on the class list","")))</f>
        <v/>
      </c>
      <c r="H163" s="1" t="n"/>
      <c r="J163">
        <f>IF('Class 4'!B48="","",'Class 4'!B48)</f>
        <v/>
      </c>
    </row>
    <row r="164">
      <c r="A164" s="1" t="n"/>
      <c r="B164" s="28" t="n"/>
      <c r="C164" s="30" t="n"/>
      <c r="D164" s="31" t="n"/>
      <c r="E164" s="33" t="n"/>
      <c r="F164" s="30" t="n"/>
      <c r="G164" s="12">
        <f>IF(OR(C164="",D164=""),"",IF(ISNA(MATCH(C164,Settings!$C$9:$C$14,0)),"Class not on Settings",IF(CHOOSE(MATCH(C164,Settings!$C$9:$C$14,0),COUNTIF('Class 1'!$B$11:$B$50,D164),COUNTIF('Class 2'!$B$11:$B$50,D164),COUNTIF('Class 3'!$B$11:$B$50,D164),COUNTIF('Class 4'!$B$11:$B$50,D164),COUNTIF('Class 5'!$B$11:$B$50,D164),COUNTIF('Class 6'!$B$11:$B$50,D164))=0,"Not on the class list","")))</f>
        <v/>
      </c>
      <c r="H164" s="1" t="n"/>
      <c r="J164">
        <f>IF('Class 4'!B49="","",'Class 4'!B49)</f>
        <v/>
      </c>
    </row>
    <row r="165">
      <c r="A165" s="1" t="n"/>
      <c r="B165" s="28" t="n"/>
      <c r="C165" s="30" t="n"/>
      <c r="D165" s="31" t="n"/>
      <c r="E165" s="33" t="n"/>
      <c r="F165" s="30" t="n"/>
      <c r="G165" s="12">
        <f>IF(OR(C165="",D165=""),"",IF(ISNA(MATCH(C165,Settings!$C$9:$C$14,0)),"Class not on Settings",IF(CHOOSE(MATCH(C165,Settings!$C$9:$C$14,0),COUNTIF('Class 1'!$B$11:$B$50,D165),COUNTIF('Class 2'!$B$11:$B$50,D165),COUNTIF('Class 3'!$B$11:$B$50,D165),COUNTIF('Class 4'!$B$11:$B$50,D165),COUNTIF('Class 5'!$B$11:$B$50,D165),COUNTIF('Class 6'!$B$11:$B$50,D165))=0,"Not on the class list","")))</f>
        <v/>
      </c>
      <c r="H165" s="1" t="n"/>
      <c r="J165">
        <f>IF('Class 4'!B50="","",'Class 4'!B50)</f>
        <v/>
      </c>
    </row>
    <row r="166">
      <c r="A166" s="1" t="n"/>
      <c r="B166" s="28" t="n"/>
      <c r="C166" s="30" t="n"/>
      <c r="D166" s="31" t="n"/>
      <c r="E166" s="33" t="n"/>
      <c r="F166" s="30" t="n"/>
      <c r="G166" s="12">
        <f>IF(OR(C166="",D166=""),"",IF(ISNA(MATCH(C166,Settings!$C$9:$C$14,0)),"Class not on Settings",IF(CHOOSE(MATCH(C166,Settings!$C$9:$C$14,0),COUNTIF('Class 1'!$B$11:$B$50,D166),COUNTIF('Class 2'!$B$11:$B$50,D166),COUNTIF('Class 3'!$B$11:$B$50,D166),COUNTIF('Class 4'!$B$11:$B$50,D166),COUNTIF('Class 5'!$B$11:$B$50,D166),COUNTIF('Class 6'!$B$11:$B$50,D166))=0,"Not on the class list","")))</f>
        <v/>
      </c>
      <c r="H166" s="1" t="n"/>
      <c r="J166">
        <f>IF('Class 5'!B11="","",'Class 5'!B11)</f>
        <v/>
      </c>
    </row>
    <row r="167">
      <c r="A167" s="1" t="n"/>
      <c r="B167" s="28" t="n"/>
      <c r="C167" s="30" t="n"/>
      <c r="D167" s="31" t="n"/>
      <c r="E167" s="33" t="n"/>
      <c r="F167" s="30" t="n"/>
      <c r="G167" s="12">
        <f>IF(OR(C167="",D167=""),"",IF(ISNA(MATCH(C167,Settings!$C$9:$C$14,0)),"Class not on Settings",IF(CHOOSE(MATCH(C167,Settings!$C$9:$C$14,0),COUNTIF('Class 1'!$B$11:$B$50,D167),COUNTIF('Class 2'!$B$11:$B$50,D167),COUNTIF('Class 3'!$B$11:$B$50,D167),COUNTIF('Class 4'!$B$11:$B$50,D167),COUNTIF('Class 5'!$B$11:$B$50,D167),COUNTIF('Class 6'!$B$11:$B$50,D167))=0,"Not on the class list","")))</f>
        <v/>
      </c>
      <c r="H167" s="1" t="n"/>
      <c r="J167">
        <f>IF('Class 5'!B12="","",'Class 5'!B12)</f>
        <v/>
      </c>
    </row>
    <row r="168">
      <c r="A168" s="1" t="n"/>
      <c r="B168" s="28" t="n"/>
      <c r="C168" s="30" t="n"/>
      <c r="D168" s="31" t="n"/>
      <c r="E168" s="33" t="n"/>
      <c r="F168" s="30" t="n"/>
      <c r="G168" s="12">
        <f>IF(OR(C168="",D168=""),"",IF(ISNA(MATCH(C168,Settings!$C$9:$C$14,0)),"Class not on Settings",IF(CHOOSE(MATCH(C168,Settings!$C$9:$C$14,0),COUNTIF('Class 1'!$B$11:$B$50,D168),COUNTIF('Class 2'!$B$11:$B$50,D168),COUNTIF('Class 3'!$B$11:$B$50,D168),COUNTIF('Class 4'!$B$11:$B$50,D168),COUNTIF('Class 5'!$B$11:$B$50,D168),COUNTIF('Class 6'!$B$11:$B$50,D168))=0,"Not on the class list","")))</f>
        <v/>
      </c>
      <c r="H168" s="1" t="n"/>
      <c r="J168">
        <f>IF('Class 5'!B13="","",'Class 5'!B13)</f>
        <v/>
      </c>
    </row>
    <row r="169">
      <c r="A169" s="1" t="n"/>
      <c r="B169" s="28" t="n"/>
      <c r="C169" s="30" t="n"/>
      <c r="D169" s="31" t="n"/>
      <c r="E169" s="33" t="n"/>
      <c r="F169" s="30" t="n"/>
      <c r="G169" s="12">
        <f>IF(OR(C169="",D169=""),"",IF(ISNA(MATCH(C169,Settings!$C$9:$C$14,0)),"Class not on Settings",IF(CHOOSE(MATCH(C169,Settings!$C$9:$C$14,0),COUNTIF('Class 1'!$B$11:$B$50,D169),COUNTIF('Class 2'!$B$11:$B$50,D169),COUNTIF('Class 3'!$B$11:$B$50,D169),COUNTIF('Class 4'!$B$11:$B$50,D169),COUNTIF('Class 5'!$B$11:$B$50,D169),COUNTIF('Class 6'!$B$11:$B$50,D169))=0,"Not on the class list","")))</f>
        <v/>
      </c>
      <c r="H169" s="1" t="n"/>
      <c r="J169">
        <f>IF('Class 5'!B14="","",'Class 5'!B14)</f>
        <v/>
      </c>
    </row>
    <row r="170">
      <c r="A170" s="1" t="n"/>
      <c r="B170" s="28" t="n"/>
      <c r="C170" s="30" t="n"/>
      <c r="D170" s="31" t="n"/>
      <c r="E170" s="33" t="n"/>
      <c r="F170" s="30" t="n"/>
      <c r="G170" s="12">
        <f>IF(OR(C170="",D170=""),"",IF(ISNA(MATCH(C170,Settings!$C$9:$C$14,0)),"Class not on Settings",IF(CHOOSE(MATCH(C170,Settings!$C$9:$C$14,0),COUNTIF('Class 1'!$B$11:$B$50,D170),COUNTIF('Class 2'!$B$11:$B$50,D170),COUNTIF('Class 3'!$B$11:$B$50,D170),COUNTIF('Class 4'!$B$11:$B$50,D170),COUNTIF('Class 5'!$B$11:$B$50,D170),COUNTIF('Class 6'!$B$11:$B$50,D170))=0,"Not on the class list","")))</f>
        <v/>
      </c>
      <c r="H170" s="1" t="n"/>
      <c r="J170">
        <f>IF('Class 5'!B15="","",'Class 5'!B15)</f>
        <v/>
      </c>
    </row>
    <row r="171">
      <c r="A171" s="1" t="n"/>
      <c r="B171" s="28" t="n"/>
      <c r="C171" s="30" t="n"/>
      <c r="D171" s="31" t="n"/>
      <c r="E171" s="33" t="n"/>
      <c r="F171" s="30" t="n"/>
      <c r="G171" s="12">
        <f>IF(OR(C171="",D171=""),"",IF(ISNA(MATCH(C171,Settings!$C$9:$C$14,0)),"Class not on Settings",IF(CHOOSE(MATCH(C171,Settings!$C$9:$C$14,0),COUNTIF('Class 1'!$B$11:$B$50,D171),COUNTIF('Class 2'!$B$11:$B$50,D171),COUNTIF('Class 3'!$B$11:$B$50,D171),COUNTIF('Class 4'!$B$11:$B$50,D171),COUNTIF('Class 5'!$B$11:$B$50,D171),COUNTIF('Class 6'!$B$11:$B$50,D171))=0,"Not on the class list","")))</f>
        <v/>
      </c>
      <c r="H171" s="1" t="n"/>
      <c r="J171">
        <f>IF('Class 5'!B16="","",'Class 5'!B16)</f>
        <v/>
      </c>
    </row>
    <row r="172">
      <c r="A172" s="1" t="n"/>
      <c r="B172" s="28" t="n"/>
      <c r="C172" s="30" t="n"/>
      <c r="D172" s="31" t="n"/>
      <c r="E172" s="33" t="n"/>
      <c r="F172" s="30" t="n"/>
      <c r="G172" s="12">
        <f>IF(OR(C172="",D172=""),"",IF(ISNA(MATCH(C172,Settings!$C$9:$C$14,0)),"Class not on Settings",IF(CHOOSE(MATCH(C172,Settings!$C$9:$C$14,0),COUNTIF('Class 1'!$B$11:$B$50,D172),COUNTIF('Class 2'!$B$11:$B$50,D172),COUNTIF('Class 3'!$B$11:$B$50,D172),COUNTIF('Class 4'!$B$11:$B$50,D172),COUNTIF('Class 5'!$B$11:$B$50,D172),COUNTIF('Class 6'!$B$11:$B$50,D172))=0,"Not on the class list","")))</f>
        <v/>
      </c>
      <c r="H172" s="1" t="n"/>
      <c r="J172">
        <f>IF('Class 5'!B17="","",'Class 5'!B17)</f>
        <v/>
      </c>
    </row>
    <row r="173">
      <c r="A173" s="1" t="n"/>
      <c r="B173" s="28" t="n"/>
      <c r="C173" s="30" t="n"/>
      <c r="D173" s="31" t="n"/>
      <c r="E173" s="33" t="n"/>
      <c r="F173" s="30" t="n"/>
      <c r="G173" s="12">
        <f>IF(OR(C173="",D173=""),"",IF(ISNA(MATCH(C173,Settings!$C$9:$C$14,0)),"Class not on Settings",IF(CHOOSE(MATCH(C173,Settings!$C$9:$C$14,0),COUNTIF('Class 1'!$B$11:$B$50,D173),COUNTIF('Class 2'!$B$11:$B$50,D173),COUNTIF('Class 3'!$B$11:$B$50,D173),COUNTIF('Class 4'!$B$11:$B$50,D173),COUNTIF('Class 5'!$B$11:$B$50,D173),COUNTIF('Class 6'!$B$11:$B$50,D173))=0,"Not on the class list","")))</f>
        <v/>
      </c>
      <c r="H173" s="1" t="n"/>
      <c r="J173">
        <f>IF('Class 5'!B18="","",'Class 5'!B18)</f>
        <v/>
      </c>
    </row>
    <row r="174">
      <c r="A174" s="1" t="n"/>
      <c r="B174" s="28" t="n"/>
      <c r="C174" s="30" t="n"/>
      <c r="D174" s="31" t="n"/>
      <c r="E174" s="33" t="n"/>
      <c r="F174" s="30" t="n"/>
      <c r="G174" s="12">
        <f>IF(OR(C174="",D174=""),"",IF(ISNA(MATCH(C174,Settings!$C$9:$C$14,0)),"Class not on Settings",IF(CHOOSE(MATCH(C174,Settings!$C$9:$C$14,0),COUNTIF('Class 1'!$B$11:$B$50,D174),COUNTIF('Class 2'!$B$11:$B$50,D174),COUNTIF('Class 3'!$B$11:$B$50,D174),COUNTIF('Class 4'!$B$11:$B$50,D174),COUNTIF('Class 5'!$B$11:$B$50,D174),COUNTIF('Class 6'!$B$11:$B$50,D174))=0,"Not on the class list","")))</f>
        <v/>
      </c>
      <c r="H174" s="1" t="n"/>
      <c r="J174">
        <f>IF('Class 5'!B19="","",'Class 5'!B19)</f>
        <v/>
      </c>
    </row>
    <row r="175">
      <c r="A175" s="1" t="n"/>
      <c r="B175" s="28" t="n"/>
      <c r="C175" s="30" t="n"/>
      <c r="D175" s="31" t="n"/>
      <c r="E175" s="33" t="n"/>
      <c r="F175" s="30" t="n"/>
      <c r="G175" s="12">
        <f>IF(OR(C175="",D175=""),"",IF(ISNA(MATCH(C175,Settings!$C$9:$C$14,0)),"Class not on Settings",IF(CHOOSE(MATCH(C175,Settings!$C$9:$C$14,0),COUNTIF('Class 1'!$B$11:$B$50,D175),COUNTIF('Class 2'!$B$11:$B$50,D175),COUNTIF('Class 3'!$B$11:$B$50,D175),COUNTIF('Class 4'!$B$11:$B$50,D175),COUNTIF('Class 5'!$B$11:$B$50,D175),COUNTIF('Class 6'!$B$11:$B$50,D175))=0,"Not on the class list","")))</f>
        <v/>
      </c>
      <c r="H175" s="1" t="n"/>
      <c r="J175">
        <f>IF('Class 5'!B20="","",'Class 5'!B20)</f>
        <v/>
      </c>
    </row>
    <row r="176">
      <c r="A176" s="1" t="n"/>
      <c r="B176" s="28" t="n"/>
      <c r="C176" s="30" t="n"/>
      <c r="D176" s="31" t="n"/>
      <c r="E176" s="33" t="n"/>
      <c r="F176" s="30" t="n"/>
      <c r="G176" s="12">
        <f>IF(OR(C176="",D176=""),"",IF(ISNA(MATCH(C176,Settings!$C$9:$C$14,0)),"Class not on Settings",IF(CHOOSE(MATCH(C176,Settings!$C$9:$C$14,0),COUNTIF('Class 1'!$B$11:$B$50,D176),COUNTIF('Class 2'!$B$11:$B$50,D176),COUNTIF('Class 3'!$B$11:$B$50,D176),COUNTIF('Class 4'!$B$11:$B$50,D176),COUNTIF('Class 5'!$B$11:$B$50,D176),COUNTIF('Class 6'!$B$11:$B$50,D176))=0,"Not on the class list","")))</f>
        <v/>
      </c>
      <c r="H176" s="1" t="n"/>
      <c r="J176">
        <f>IF('Class 5'!B21="","",'Class 5'!B21)</f>
        <v/>
      </c>
    </row>
    <row r="177">
      <c r="A177" s="1" t="n"/>
      <c r="B177" s="28" t="n"/>
      <c r="C177" s="30" t="n"/>
      <c r="D177" s="31" t="n"/>
      <c r="E177" s="33" t="n"/>
      <c r="F177" s="30" t="n"/>
      <c r="G177" s="12">
        <f>IF(OR(C177="",D177=""),"",IF(ISNA(MATCH(C177,Settings!$C$9:$C$14,0)),"Class not on Settings",IF(CHOOSE(MATCH(C177,Settings!$C$9:$C$14,0),COUNTIF('Class 1'!$B$11:$B$50,D177),COUNTIF('Class 2'!$B$11:$B$50,D177),COUNTIF('Class 3'!$B$11:$B$50,D177),COUNTIF('Class 4'!$B$11:$B$50,D177),COUNTIF('Class 5'!$B$11:$B$50,D177),COUNTIF('Class 6'!$B$11:$B$50,D177))=0,"Not on the class list","")))</f>
        <v/>
      </c>
      <c r="H177" s="1" t="n"/>
      <c r="J177">
        <f>IF('Class 5'!B22="","",'Class 5'!B22)</f>
        <v/>
      </c>
    </row>
    <row r="178">
      <c r="A178" s="1" t="n"/>
      <c r="B178" s="28" t="n"/>
      <c r="C178" s="30" t="n"/>
      <c r="D178" s="31" t="n"/>
      <c r="E178" s="33" t="n"/>
      <c r="F178" s="30" t="n"/>
      <c r="G178" s="12">
        <f>IF(OR(C178="",D178=""),"",IF(ISNA(MATCH(C178,Settings!$C$9:$C$14,0)),"Class not on Settings",IF(CHOOSE(MATCH(C178,Settings!$C$9:$C$14,0),COUNTIF('Class 1'!$B$11:$B$50,D178),COUNTIF('Class 2'!$B$11:$B$50,D178),COUNTIF('Class 3'!$B$11:$B$50,D178),COUNTIF('Class 4'!$B$11:$B$50,D178),COUNTIF('Class 5'!$B$11:$B$50,D178),COUNTIF('Class 6'!$B$11:$B$50,D178))=0,"Not on the class list","")))</f>
        <v/>
      </c>
      <c r="H178" s="1" t="n"/>
      <c r="J178">
        <f>IF('Class 5'!B23="","",'Class 5'!B23)</f>
        <v/>
      </c>
    </row>
    <row r="179">
      <c r="A179" s="1" t="n"/>
      <c r="B179" s="28" t="n"/>
      <c r="C179" s="30" t="n"/>
      <c r="D179" s="31" t="n"/>
      <c r="E179" s="33" t="n"/>
      <c r="F179" s="30" t="n"/>
      <c r="G179" s="12">
        <f>IF(OR(C179="",D179=""),"",IF(ISNA(MATCH(C179,Settings!$C$9:$C$14,0)),"Class not on Settings",IF(CHOOSE(MATCH(C179,Settings!$C$9:$C$14,0),COUNTIF('Class 1'!$B$11:$B$50,D179),COUNTIF('Class 2'!$B$11:$B$50,D179),COUNTIF('Class 3'!$B$11:$B$50,D179),COUNTIF('Class 4'!$B$11:$B$50,D179),COUNTIF('Class 5'!$B$11:$B$50,D179),COUNTIF('Class 6'!$B$11:$B$50,D179))=0,"Not on the class list","")))</f>
        <v/>
      </c>
      <c r="H179" s="1" t="n"/>
      <c r="J179">
        <f>IF('Class 5'!B24="","",'Class 5'!B24)</f>
        <v/>
      </c>
    </row>
    <row r="180">
      <c r="A180" s="1" t="n"/>
      <c r="B180" s="28" t="n"/>
      <c r="C180" s="30" t="n"/>
      <c r="D180" s="31" t="n"/>
      <c r="E180" s="33" t="n"/>
      <c r="F180" s="30" t="n"/>
      <c r="G180" s="12">
        <f>IF(OR(C180="",D180=""),"",IF(ISNA(MATCH(C180,Settings!$C$9:$C$14,0)),"Class not on Settings",IF(CHOOSE(MATCH(C180,Settings!$C$9:$C$14,0),COUNTIF('Class 1'!$B$11:$B$50,D180),COUNTIF('Class 2'!$B$11:$B$50,D180),COUNTIF('Class 3'!$B$11:$B$50,D180),COUNTIF('Class 4'!$B$11:$B$50,D180),COUNTIF('Class 5'!$B$11:$B$50,D180),COUNTIF('Class 6'!$B$11:$B$50,D180))=0,"Not on the class list","")))</f>
        <v/>
      </c>
      <c r="H180" s="1" t="n"/>
      <c r="J180">
        <f>IF('Class 5'!B25="","",'Class 5'!B25)</f>
        <v/>
      </c>
    </row>
    <row r="181">
      <c r="A181" s="1" t="n"/>
      <c r="B181" s="28" t="n"/>
      <c r="C181" s="30" t="n"/>
      <c r="D181" s="31" t="n"/>
      <c r="E181" s="33" t="n"/>
      <c r="F181" s="30" t="n"/>
      <c r="G181" s="12">
        <f>IF(OR(C181="",D181=""),"",IF(ISNA(MATCH(C181,Settings!$C$9:$C$14,0)),"Class not on Settings",IF(CHOOSE(MATCH(C181,Settings!$C$9:$C$14,0),COUNTIF('Class 1'!$B$11:$B$50,D181),COUNTIF('Class 2'!$B$11:$B$50,D181),COUNTIF('Class 3'!$B$11:$B$50,D181),COUNTIF('Class 4'!$B$11:$B$50,D181),COUNTIF('Class 5'!$B$11:$B$50,D181),COUNTIF('Class 6'!$B$11:$B$50,D181))=0,"Not on the class list","")))</f>
        <v/>
      </c>
      <c r="H181" s="1" t="n"/>
      <c r="J181">
        <f>IF('Class 5'!B26="","",'Class 5'!B26)</f>
        <v/>
      </c>
    </row>
    <row r="182">
      <c r="A182" s="1" t="n"/>
      <c r="B182" s="28" t="n"/>
      <c r="C182" s="30" t="n"/>
      <c r="D182" s="31" t="n"/>
      <c r="E182" s="33" t="n"/>
      <c r="F182" s="30" t="n"/>
      <c r="G182" s="12">
        <f>IF(OR(C182="",D182=""),"",IF(ISNA(MATCH(C182,Settings!$C$9:$C$14,0)),"Class not on Settings",IF(CHOOSE(MATCH(C182,Settings!$C$9:$C$14,0),COUNTIF('Class 1'!$B$11:$B$50,D182),COUNTIF('Class 2'!$B$11:$B$50,D182),COUNTIF('Class 3'!$B$11:$B$50,D182),COUNTIF('Class 4'!$B$11:$B$50,D182),COUNTIF('Class 5'!$B$11:$B$50,D182),COUNTIF('Class 6'!$B$11:$B$50,D182))=0,"Not on the class list","")))</f>
        <v/>
      </c>
      <c r="H182" s="1" t="n"/>
      <c r="J182">
        <f>IF('Class 5'!B27="","",'Class 5'!B27)</f>
        <v/>
      </c>
    </row>
    <row r="183">
      <c r="A183" s="1" t="n"/>
      <c r="B183" s="28" t="n"/>
      <c r="C183" s="30" t="n"/>
      <c r="D183" s="31" t="n"/>
      <c r="E183" s="33" t="n"/>
      <c r="F183" s="30" t="n"/>
      <c r="G183" s="12">
        <f>IF(OR(C183="",D183=""),"",IF(ISNA(MATCH(C183,Settings!$C$9:$C$14,0)),"Class not on Settings",IF(CHOOSE(MATCH(C183,Settings!$C$9:$C$14,0),COUNTIF('Class 1'!$B$11:$B$50,D183),COUNTIF('Class 2'!$B$11:$B$50,D183),COUNTIF('Class 3'!$B$11:$B$50,D183),COUNTIF('Class 4'!$B$11:$B$50,D183),COUNTIF('Class 5'!$B$11:$B$50,D183),COUNTIF('Class 6'!$B$11:$B$50,D183))=0,"Not on the class list","")))</f>
        <v/>
      </c>
      <c r="H183" s="1" t="n"/>
      <c r="J183">
        <f>IF('Class 5'!B28="","",'Class 5'!B28)</f>
        <v/>
      </c>
    </row>
    <row r="184">
      <c r="A184" s="1" t="n"/>
      <c r="B184" s="28" t="n"/>
      <c r="C184" s="30" t="n"/>
      <c r="D184" s="31" t="n"/>
      <c r="E184" s="33" t="n"/>
      <c r="F184" s="30" t="n"/>
      <c r="G184" s="12">
        <f>IF(OR(C184="",D184=""),"",IF(ISNA(MATCH(C184,Settings!$C$9:$C$14,0)),"Class not on Settings",IF(CHOOSE(MATCH(C184,Settings!$C$9:$C$14,0),COUNTIF('Class 1'!$B$11:$B$50,D184),COUNTIF('Class 2'!$B$11:$B$50,D184),COUNTIF('Class 3'!$B$11:$B$50,D184),COUNTIF('Class 4'!$B$11:$B$50,D184),COUNTIF('Class 5'!$B$11:$B$50,D184),COUNTIF('Class 6'!$B$11:$B$50,D184))=0,"Not on the class list","")))</f>
        <v/>
      </c>
      <c r="H184" s="1" t="n"/>
      <c r="J184">
        <f>IF('Class 5'!B29="","",'Class 5'!B29)</f>
        <v/>
      </c>
    </row>
    <row r="185">
      <c r="A185" s="1" t="n"/>
      <c r="B185" s="28" t="n"/>
      <c r="C185" s="30" t="n"/>
      <c r="D185" s="31" t="n"/>
      <c r="E185" s="33" t="n"/>
      <c r="F185" s="30" t="n"/>
      <c r="G185" s="12">
        <f>IF(OR(C185="",D185=""),"",IF(ISNA(MATCH(C185,Settings!$C$9:$C$14,0)),"Class not on Settings",IF(CHOOSE(MATCH(C185,Settings!$C$9:$C$14,0),COUNTIF('Class 1'!$B$11:$B$50,D185),COUNTIF('Class 2'!$B$11:$B$50,D185),COUNTIF('Class 3'!$B$11:$B$50,D185),COUNTIF('Class 4'!$B$11:$B$50,D185),COUNTIF('Class 5'!$B$11:$B$50,D185),COUNTIF('Class 6'!$B$11:$B$50,D185))=0,"Not on the class list","")))</f>
        <v/>
      </c>
      <c r="H185" s="1" t="n"/>
      <c r="J185">
        <f>IF('Class 5'!B30="","",'Class 5'!B30)</f>
        <v/>
      </c>
    </row>
    <row r="186">
      <c r="A186" s="1" t="n"/>
      <c r="B186" s="28" t="n"/>
      <c r="C186" s="30" t="n"/>
      <c r="D186" s="31" t="n"/>
      <c r="E186" s="33" t="n"/>
      <c r="F186" s="30" t="n"/>
      <c r="G186" s="12">
        <f>IF(OR(C186="",D186=""),"",IF(ISNA(MATCH(C186,Settings!$C$9:$C$14,0)),"Class not on Settings",IF(CHOOSE(MATCH(C186,Settings!$C$9:$C$14,0),COUNTIF('Class 1'!$B$11:$B$50,D186),COUNTIF('Class 2'!$B$11:$B$50,D186),COUNTIF('Class 3'!$B$11:$B$50,D186),COUNTIF('Class 4'!$B$11:$B$50,D186),COUNTIF('Class 5'!$B$11:$B$50,D186),COUNTIF('Class 6'!$B$11:$B$50,D186))=0,"Not on the class list","")))</f>
        <v/>
      </c>
      <c r="H186" s="1" t="n"/>
      <c r="J186">
        <f>IF('Class 5'!B31="","",'Class 5'!B31)</f>
        <v/>
      </c>
    </row>
    <row r="187">
      <c r="A187" s="1" t="n"/>
      <c r="B187" s="28" t="n"/>
      <c r="C187" s="30" t="n"/>
      <c r="D187" s="31" t="n"/>
      <c r="E187" s="33" t="n"/>
      <c r="F187" s="30" t="n"/>
      <c r="G187" s="12">
        <f>IF(OR(C187="",D187=""),"",IF(ISNA(MATCH(C187,Settings!$C$9:$C$14,0)),"Class not on Settings",IF(CHOOSE(MATCH(C187,Settings!$C$9:$C$14,0),COUNTIF('Class 1'!$B$11:$B$50,D187),COUNTIF('Class 2'!$B$11:$B$50,D187),COUNTIF('Class 3'!$B$11:$B$50,D187),COUNTIF('Class 4'!$B$11:$B$50,D187),COUNTIF('Class 5'!$B$11:$B$50,D187),COUNTIF('Class 6'!$B$11:$B$50,D187))=0,"Not on the class list","")))</f>
        <v/>
      </c>
      <c r="H187" s="1" t="n"/>
      <c r="J187">
        <f>IF('Class 5'!B32="","",'Class 5'!B32)</f>
        <v/>
      </c>
    </row>
    <row r="188">
      <c r="A188" s="1" t="n"/>
      <c r="B188" s="28" t="n"/>
      <c r="C188" s="30" t="n"/>
      <c r="D188" s="31" t="n"/>
      <c r="E188" s="33" t="n"/>
      <c r="F188" s="30" t="n"/>
      <c r="G188" s="12">
        <f>IF(OR(C188="",D188=""),"",IF(ISNA(MATCH(C188,Settings!$C$9:$C$14,0)),"Class not on Settings",IF(CHOOSE(MATCH(C188,Settings!$C$9:$C$14,0),COUNTIF('Class 1'!$B$11:$B$50,D188),COUNTIF('Class 2'!$B$11:$B$50,D188),COUNTIF('Class 3'!$B$11:$B$50,D188),COUNTIF('Class 4'!$B$11:$B$50,D188),COUNTIF('Class 5'!$B$11:$B$50,D188),COUNTIF('Class 6'!$B$11:$B$50,D188))=0,"Not on the class list","")))</f>
        <v/>
      </c>
      <c r="H188" s="1" t="n"/>
      <c r="J188">
        <f>IF('Class 5'!B33="","",'Class 5'!B33)</f>
        <v/>
      </c>
    </row>
    <row r="189">
      <c r="A189" s="1" t="n"/>
      <c r="B189" s="28" t="n"/>
      <c r="C189" s="30" t="n"/>
      <c r="D189" s="31" t="n"/>
      <c r="E189" s="33" t="n"/>
      <c r="F189" s="30" t="n"/>
      <c r="G189" s="12">
        <f>IF(OR(C189="",D189=""),"",IF(ISNA(MATCH(C189,Settings!$C$9:$C$14,0)),"Class not on Settings",IF(CHOOSE(MATCH(C189,Settings!$C$9:$C$14,0),COUNTIF('Class 1'!$B$11:$B$50,D189),COUNTIF('Class 2'!$B$11:$B$50,D189),COUNTIF('Class 3'!$B$11:$B$50,D189),COUNTIF('Class 4'!$B$11:$B$50,D189),COUNTIF('Class 5'!$B$11:$B$50,D189),COUNTIF('Class 6'!$B$11:$B$50,D189))=0,"Not on the class list","")))</f>
        <v/>
      </c>
      <c r="H189" s="1" t="n"/>
      <c r="J189">
        <f>IF('Class 5'!B34="","",'Class 5'!B34)</f>
        <v/>
      </c>
    </row>
    <row r="190">
      <c r="A190" s="1" t="n"/>
      <c r="B190" s="28" t="n"/>
      <c r="C190" s="30" t="n"/>
      <c r="D190" s="31" t="n"/>
      <c r="E190" s="33" t="n"/>
      <c r="F190" s="30" t="n"/>
      <c r="G190" s="12">
        <f>IF(OR(C190="",D190=""),"",IF(ISNA(MATCH(C190,Settings!$C$9:$C$14,0)),"Class not on Settings",IF(CHOOSE(MATCH(C190,Settings!$C$9:$C$14,0),COUNTIF('Class 1'!$B$11:$B$50,D190),COUNTIF('Class 2'!$B$11:$B$50,D190),COUNTIF('Class 3'!$B$11:$B$50,D190),COUNTIF('Class 4'!$B$11:$B$50,D190),COUNTIF('Class 5'!$B$11:$B$50,D190),COUNTIF('Class 6'!$B$11:$B$50,D190))=0,"Not on the class list","")))</f>
        <v/>
      </c>
      <c r="H190" s="1" t="n"/>
      <c r="J190">
        <f>IF('Class 5'!B35="","",'Class 5'!B35)</f>
        <v/>
      </c>
    </row>
    <row r="191">
      <c r="A191" s="1" t="n"/>
      <c r="B191" s="28" t="n"/>
      <c r="C191" s="30" t="n"/>
      <c r="D191" s="31" t="n"/>
      <c r="E191" s="33" t="n"/>
      <c r="F191" s="30" t="n"/>
      <c r="G191" s="12">
        <f>IF(OR(C191="",D191=""),"",IF(ISNA(MATCH(C191,Settings!$C$9:$C$14,0)),"Class not on Settings",IF(CHOOSE(MATCH(C191,Settings!$C$9:$C$14,0),COUNTIF('Class 1'!$B$11:$B$50,D191),COUNTIF('Class 2'!$B$11:$B$50,D191),COUNTIF('Class 3'!$B$11:$B$50,D191),COUNTIF('Class 4'!$B$11:$B$50,D191),COUNTIF('Class 5'!$B$11:$B$50,D191),COUNTIF('Class 6'!$B$11:$B$50,D191))=0,"Not on the class list","")))</f>
        <v/>
      </c>
      <c r="H191" s="1" t="n"/>
      <c r="J191">
        <f>IF('Class 5'!B36="","",'Class 5'!B36)</f>
        <v/>
      </c>
    </row>
    <row r="192">
      <c r="A192" s="1" t="n"/>
      <c r="B192" s="28" t="n"/>
      <c r="C192" s="30" t="n"/>
      <c r="D192" s="31" t="n"/>
      <c r="E192" s="33" t="n"/>
      <c r="F192" s="30" t="n"/>
      <c r="G192" s="12">
        <f>IF(OR(C192="",D192=""),"",IF(ISNA(MATCH(C192,Settings!$C$9:$C$14,0)),"Class not on Settings",IF(CHOOSE(MATCH(C192,Settings!$C$9:$C$14,0),COUNTIF('Class 1'!$B$11:$B$50,D192),COUNTIF('Class 2'!$B$11:$B$50,D192),COUNTIF('Class 3'!$B$11:$B$50,D192),COUNTIF('Class 4'!$B$11:$B$50,D192),COUNTIF('Class 5'!$B$11:$B$50,D192),COUNTIF('Class 6'!$B$11:$B$50,D192))=0,"Not on the class list","")))</f>
        <v/>
      </c>
      <c r="H192" s="1" t="n"/>
      <c r="J192">
        <f>IF('Class 5'!B37="","",'Class 5'!B37)</f>
        <v/>
      </c>
    </row>
    <row r="193">
      <c r="A193" s="1" t="n"/>
      <c r="B193" s="28" t="n"/>
      <c r="C193" s="30" t="n"/>
      <c r="D193" s="31" t="n"/>
      <c r="E193" s="33" t="n"/>
      <c r="F193" s="30" t="n"/>
      <c r="G193" s="12">
        <f>IF(OR(C193="",D193=""),"",IF(ISNA(MATCH(C193,Settings!$C$9:$C$14,0)),"Class not on Settings",IF(CHOOSE(MATCH(C193,Settings!$C$9:$C$14,0),COUNTIF('Class 1'!$B$11:$B$50,D193),COUNTIF('Class 2'!$B$11:$B$50,D193),COUNTIF('Class 3'!$B$11:$B$50,D193),COUNTIF('Class 4'!$B$11:$B$50,D193),COUNTIF('Class 5'!$B$11:$B$50,D193),COUNTIF('Class 6'!$B$11:$B$50,D193))=0,"Not on the class list","")))</f>
        <v/>
      </c>
      <c r="H193" s="1" t="n"/>
      <c r="J193">
        <f>IF('Class 5'!B38="","",'Class 5'!B38)</f>
        <v/>
      </c>
    </row>
    <row r="194">
      <c r="A194" s="1" t="n"/>
      <c r="B194" s="28" t="n"/>
      <c r="C194" s="30" t="n"/>
      <c r="D194" s="31" t="n"/>
      <c r="E194" s="33" t="n"/>
      <c r="F194" s="30" t="n"/>
      <c r="G194" s="12">
        <f>IF(OR(C194="",D194=""),"",IF(ISNA(MATCH(C194,Settings!$C$9:$C$14,0)),"Class not on Settings",IF(CHOOSE(MATCH(C194,Settings!$C$9:$C$14,0),COUNTIF('Class 1'!$B$11:$B$50,D194),COUNTIF('Class 2'!$B$11:$B$50,D194),COUNTIF('Class 3'!$B$11:$B$50,D194),COUNTIF('Class 4'!$B$11:$B$50,D194),COUNTIF('Class 5'!$B$11:$B$50,D194),COUNTIF('Class 6'!$B$11:$B$50,D194))=0,"Not on the class list","")))</f>
        <v/>
      </c>
      <c r="H194" s="1" t="n"/>
      <c r="J194">
        <f>IF('Class 5'!B39="","",'Class 5'!B39)</f>
        <v/>
      </c>
    </row>
    <row r="195">
      <c r="A195" s="1" t="n"/>
      <c r="B195" s="28" t="n"/>
      <c r="C195" s="30" t="n"/>
      <c r="D195" s="31" t="n"/>
      <c r="E195" s="33" t="n"/>
      <c r="F195" s="30" t="n"/>
      <c r="G195" s="12">
        <f>IF(OR(C195="",D195=""),"",IF(ISNA(MATCH(C195,Settings!$C$9:$C$14,0)),"Class not on Settings",IF(CHOOSE(MATCH(C195,Settings!$C$9:$C$14,0),COUNTIF('Class 1'!$B$11:$B$50,D195),COUNTIF('Class 2'!$B$11:$B$50,D195),COUNTIF('Class 3'!$B$11:$B$50,D195),COUNTIF('Class 4'!$B$11:$B$50,D195),COUNTIF('Class 5'!$B$11:$B$50,D195),COUNTIF('Class 6'!$B$11:$B$50,D195))=0,"Not on the class list","")))</f>
        <v/>
      </c>
      <c r="H195" s="1" t="n"/>
      <c r="J195">
        <f>IF('Class 5'!B40="","",'Class 5'!B40)</f>
        <v/>
      </c>
    </row>
    <row r="196">
      <c r="A196" s="1" t="n"/>
      <c r="B196" s="28" t="n"/>
      <c r="C196" s="30" t="n"/>
      <c r="D196" s="31" t="n"/>
      <c r="E196" s="33" t="n"/>
      <c r="F196" s="30" t="n"/>
      <c r="G196" s="12">
        <f>IF(OR(C196="",D196=""),"",IF(ISNA(MATCH(C196,Settings!$C$9:$C$14,0)),"Class not on Settings",IF(CHOOSE(MATCH(C196,Settings!$C$9:$C$14,0),COUNTIF('Class 1'!$B$11:$B$50,D196),COUNTIF('Class 2'!$B$11:$B$50,D196),COUNTIF('Class 3'!$B$11:$B$50,D196),COUNTIF('Class 4'!$B$11:$B$50,D196),COUNTIF('Class 5'!$B$11:$B$50,D196),COUNTIF('Class 6'!$B$11:$B$50,D196))=0,"Not on the class list","")))</f>
        <v/>
      </c>
      <c r="H196" s="1" t="n"/>
      <c r="J196">
        <f>IF('Class 5'!B41="","",'Class 5'!B41)</f>
        <v/>
      </c>
    </row>
    <row r="197">
      <c r="A197" s="1" t="n"/>
      <c r="B197" s="28" t="n"/>
      <c r="C197" s="30" t="n"/>
      <c r="D197" s="31" t="n"/>
      <c r="E197" s="33" t="n"/>
      <c r="F197" s="30" t="n"/>
      <c r="G197" s="12">
        <f>IF(OR(C197="",D197=""),"",IF(ISNA(MATCH(C197,Settings!$C$9:$C$14,0)),"Class not on Settings",IF(CHOOSE(MATCH(C197,Settings!$C$9:$C$14,0),COUNTIF('Class 1'!$B$11:$B$50,D197),COUNTIF('Class 2'!$B$11:$B$50,D197),COUNTIF('Class 3'!$B$11:$B$50,D197),COUNTIF('Class 4'!$B$11:$B$50,D197),COUNTIF('Class 5'!$B$11:$B$50,D197),COUNTIF('Class 6'!$B$11:$B$50,D197))=0,"Not on the class list","")))</f>
        <v/>
      </c>
      <c r="H197" s="1" t="n"/>
      <c r="J197">
        <f>IF('Class 5'!B42="","",'Class 5'!B42)</f>
        <v/>
      </c>
    </row>
    <row r="198">
      <c r="A198" s="1" t="n"/>
      <c r="B198" s="28" t="n"/>
      <c r="C198" s="30" t="n"/>
      <c r="D198" s="31" t="n"/>
      <c r="E198" s="33" t="n"/>
      <c r="F198" s="30" t="n"/>
      <c r="G198" s="12">
        <f>IF(OR(C198="",D198=""),"",IF(ISNA(MATCH(C198,Settings!$C$9:$C$14,0)),"Class not on Settings",IF(CHOOSE(MATCH(C198,Settings!$C$9:$C$14,0),COUNTIF('Class 1'!$B$11:$B$50,D198),COUNTIF('Class 2'!$B$11:$B$50,D198),COUNTIF('Class 3'!$B$11:$B$50,D198),COUNTIF('Class 4'!$B$11:$B$50,D198),COUNTIF('Class 5'!$B$11:$B$50,D198),COUNTIF('Class 6'!$B$11:$B$50,D198))=0,"Not on the class list","")))</f>
        <v/>
      </c>
      <c r="H198" s="1" t="n"/>
      <c r="J198">
        <f>IF('Class 5'!B43="","",'Class 5'!B43)</f>
        <v/>
      </c>
    </row>
    <row r="199">
      <c r="A199" s="1" t="n"/>
      <c r="B199" s="28" t="n"/>
      <c r="C199" s="30" t="n"/>
      <c r="D199" s="31" t="n"/>
      <c r="E199" s="33" t="n"/>
      <c r="F199" s="30" t="n"/>
      <c r="G199" s="12">
        <f>IF(OR(C199="",D199=""),"",IF(ISNA(MATCH(C199,Settings!$C$9:$C$14,0)),"Class not on Settings",IF(CHOOSE(MATCH(C199,Settings!$C$9:$C$14,0),COUNTIF('Class 1'!$B$11:$B$50,D199),COUNTIF('Class 2'!$B$11:$B$50,D199),COUNTIF('Class 3'!$B$11:$B$50,D199),COUNTIF('Class 4'!$B$11:$B$50,D199),COUNTIF('Class 5'!$B$11:$B$50,D199),COUNTIF('Class 6'!$B$11:$B$50,D199))=0,"Not on the class list","")))</f>
        <v/>
      </c>
      <c r="H199" s="1" t="n"/>
      <c r="J199">
        <f>IF('Class 5'!B44="","",'Class 5'!B44)</f>
        <v/>
      </c>
    </row>
    <row r="200">
      <c r="A200" s="1" t="n"/>
      <c r="B200" s="28" t="n"/>
      <c r="C200" s="30" t="n"/>
      <c r="D200" s="31" t="n"/>
      <c r="E200" s="33" t="n"/>
      <c r="F200" s="30" t="n"/>
      <c r="G200" s="12">
        <f>IF(OR(C200="",D200=""),"",IF(ISNA(MATCH(C200,Settings!$C$9:$C$14,0)),"Class not on Settings",IF(CHOOSE(MATCH(C200,Settings!$C$9:$C$14,0),COUNTIF('Class 1'!$B$11:$B$50,D200),COUNTIF('Class 2'!$B$11:$B$50,D200),COUNTIF('Class 3'!$B$11:$B$50,D200),COUNTIF('Class 4'!$B$11:$B$50,D200),COUNTIF('Class 5'!$B$11:$B$50,D200),COUNTIF('Class 6'!$B$11:$B$50,D200))=0,"Not on the class list","")))</f>
        <v/>
      </c>
      <c r="H200" s="1" t="n"/>
      <c r="J200">
        <f>IF('Class 5'!B45="","",'Class 5'!B45)</f>
        <v/>
      </c>
    </row>
    <row r="201">
      <c r="A201" s="1" t="n"/>
      <c r="B201" s="28" t="n"/>
      <c r="C201" s="30" t="n"/>
      <c r="D201" s="31" t="n"/>
      <c r="E201" s="33" t="n"/>
      <c r="F201" s="30" t="n"/>
      <c r="G201" s="12">
        <f>IF(OR(C201="",D201=""),"",IF(ISNA(MATCH(C201,Settings!$C$9:$C$14,0)),"Class not on Settings",IF(CHOOSE(MATCH(C201,Settings!$C$9:$C$14,0),COUNTIF('Class 1'!$B$11:$B$50,D201),COUNTIF('Class 2'!$B$11:$B$50,D201),COUNTIF('Class 3'!$B$11:$B$50,D201),COUNTIF('Class 4'!$B$11:$B$50,D201),COUNTIF('Class 5'!$B$11:$B$50,D201),COUNTIF('Class 6'!$B$11:$B$50,D201))=0,"Not on the class list","")))</f>
        <v/>
      </c>
      <c r="H201" s="1" t="n"/>
      <c r="J201">
        <f>IF('Class 5'!B46="","",'Class 5'!B46)</f>
        <v/>
      </c>
    </row>
    <row r="202">
      <c r="A202" s="1" t="n"/>
      <c r="B202" s="28" t="n"/>
      <c r="C202" s="30" t="n"/>
      <c r="D202" s="31" t="n"/>
      <c r="E202" s="33" t="n"/>
      <c r="F202" s="30" t="n"/>
      <c r="G202" s="12">
        <f>IF(OR(C202="",D202=""),"",IF(ISNA(MATCH(C202,Settings!$C$9:$C$14,0)),"Class not on Settings",IF(CHOOSE(MATCH(C202,Settings!$C$9:$C$14,0),COUNTIF('Class 1'!$B$11:$B$50,D202),COUNTIF('Class 2'!$B$11:$B$50,D202),COUNTIF('Class 3'!$B$11:$B$50,D202),COUNTIF('Class 4'!$B$11:$B$50,D202),COUNTIF('Class 5'!$B$11:$B$50,D202),COUNTIF('Class 6'!$B$11:$B$50,D202))=0,"Not on the class list","")))</f>
        <v/>
      </c>
      <c r="H202" s="1" t="n"/>
      <c r="J202">
        <f>IF('Class 5'!B47="","",'Class 5'!B47)</f>
        <v/>
      </c>
    </row>
    <row r="203">
      <c r="A203" s="1" t="n"/>
      <c r="B203" s="28" t="n"/>
      <c r="C203" s="30" t="n"/>
      <c r="D203" s="31" t="n"/>
      <c r="E203" s="33" t="n"/>
      <c r="F203" s="30" t="n"/>
      <c r="G203" s="12">
        <f>IF(OR(C203="",D203=""),"",IF(ISNA(MATCH(C203,Settings!$C$9:$C$14,0)),"Class not on Settings",IF(CHOOSE(MATCH(C203,Settings!$C$9:$C$14,0),COUNTIF('Class 1'!$B$11:$B$50,D203),COUNTIF('Class 2'!$B$11:$B$50,D203),COUNTIF('Class 3'!$B$11:$B$50,D203),COUNTIF('Class 4'!$B$11:$B$50,D203),COUNTIF('Class 5'!$B$11:$B$50,D203),COUNTIF('Class 6'!$B$11:$B$50,D203))=0,"Not on the class list","")))</f>
        <v/>
      </c>
      <c r="H203" s="1" t="n"/>
      <c r="J203">
        <f>IF('Class 5'!B48="","",'Class 5'!B48)</f>
        <v/>
      </c>
    </row>
    <row r="204">
      <c r="A204" s="1" t="n"/>
      <c r="B204" s="28" t="n"/>
      <c r="C204" s="30" t="n"/>
      <c r="D204" s="31" t="n"/>
      <c r="E204" s="33" t="n"/>
      <c r="F204" s="30" t="n"/>
      <c r="G204" s="12">
        <f>IF(OR(C204="",D204=""),"",IF(ISNA(MATCH(C204,Settings!$C$9:$C$14,0)),"Class not on Settings",IF(CHOOSE(MATCH(C204,Settings!$C$9:$C$14,0),COUNTIF('Class 1'!$B$11:$B$50,D204),COUNTIF('Class 2'!$B$11:$B$50,D204),COUNTIF('Class 3'!$B$11:$B$50,D204),COUNTIF('Class 4'!$B$11:$B$50,D204),COUNTIF('Class 5'!$B$11:$B$50,D204),COUNTIF('Class 6'!$B$11:$B$50,D204))=0,"Not on the class list","")))</f>
        <v/>
      </c>
      <c r="H204" s="1" t="n"/>
      <c r="J204">
        <f>IF('Class 5'!B49="","",'Class 5'!B49)</f>
        <v/>
      </c>
    </row>
    <row r="205">
      <c r="A205" s="1" t="n"/>
      <c r="B205" s="28" t="n"/>
      <c r="C205" s="30" t="n"/>
      <c r="D205" s="31" t="n"/>
      <c r="E205" s="33" t="n"/>
      <c r="F205" s="30" t="n"/>
      <c r="G205" s="12">
        <f>IF(OR(C205="",D205=""),"",IF(ISNA(MATCH(C205,Settings!$C$9:$C$14,0)),"Class not on Settings",IF(CHOOSE(MATCH(C205,Settings!$C$9:$C$14,0),COUNTIF('Class 1'!$B$11:$B$50,D205),COUNTIF('Class 2'!$B$11:$B$50,D205),COUNTIF('Class 3'!$B$11:$B$50,D205),COUNTIF('Class 4'!$B$11:$B$50,D205),COUNTIF('Class 5'!$B$11:$B$50,D205),COUNTIF('Class 6'!$B$11:$B$50,D205))=0,"Not on the class list","")))</f>
        <v/>
      </c>
      <c r="H205" s="1" t="n"/>
      <c r="J205">
        <f>IF('Class 5'!B50="","",'Class 5'!B50)</f>
        <v/>
      </c>
    </row>
    <row r="206">
      <c r="A206" s="1" t="n"/>
      <c r="B206" s="28" t="n"/>
      <c r="C206" s="30" t="n"/>
      <c r="D206" s="31" t="n"/>
      <c r="E206" s="33" t="n"/>
      <c r="F206" s="30" t="n"/>
      <c r="G206" s="12">
        <f>IF(OR(C206="",D206=""),"",IF(ISNA(MATCH(C206,Settings!$C$9:$C$14,0)),"Class not on Settings",IF(CHOOSE(MATCH(C206,Settings!$C$9:$C$14,0),COUNTIF('Class 1'!$B$11:$B$50,D206),COUNTIF('Class 2'!$B$11:$B$50,D206),COUNTIF('Class 3'!$B$11:$B$50,D206),COUNTIF('Class 4'!$B$11:$B$50,D206),COUNTIF('Class 5'!$B$11:$B$50,D206),COUNTIF('Class 6'!$B$11:$B$50,D206))=0,"Not on the class list","")))</f>
        <v/>
      </c>
      <c r="H206" s="1" t="n"/>
      <c r="J206">
        <f>IF('Class 6'!B11="","",'Class 6'!B11)</f>
        <v/>
      </c>
    </row>
    <row r="207">
      <c r="A207" s="1" t="n"/>
      <c r="B207" s="28" t="n"/>
      <c r="C207" s="30" t="n"/>
      <c r="D207" s="31" t="n"/>
      <c r="E207" s="33" t="n"/>
      <c r="F207" s="30" t="n"/>
      <c r="G207" s="12">
        <f>IF(OR(C207="",D207=""),"",IF(ISNA(MATCH(C207,Settings!$C$9:$C$14,0)),"Class not on Settings",IF(CHOOSE(MATCH(C207,Settings!$C$9:$C$14,0),COUNTIF('Class 1'!$B$11:$B$50,D207),COUNTIF('Class 2'!$B$11:$B$50,D207),COUNTIF('Class 3'!$B$11:$B$50,D207),COUNTIF('Class 4'!$B$11:$B$50,D207),COUNTIF('Class 5'!$B$11:$B$50,D207),COUNTIF('Class 6'!$B$11:$B$50,D207))=0,"Not on the class list","")))</f>
        <v/>
      </c>
      <c r="H207" s="1" t="n"/>
      <c r="J207">
        <f>IF('Class 6'!B12="","",'Class 6'!B12)</f>
        <v/>
      </c>
    </row>
    <row r="208">
      <c r="A208" s="1" t="n"/>
      <c r="B208" s="28" t="n"/>
      <c r="C208" s="30" t="n"/>
      <c r="D208" s="31" t="n"/>
      <c r="E208" s="33" t="n"/>
      <c r="F208" s="30" t="n"/>
      <c r="G208" s="12">
        <f>IF(OR(C208="",D208=""),"",IF(ISNA(MATCH(C208,Settings!$C$9:$C$14,0)),"Class not on Settings",IF(CHOOSE(MATCH(C208,Settings!$C$9:$C$14,0),COUNTIF('Class 1'!$B$11:$B$50,D208),COUNTIF('Class 2'!$B$11:$B$50,D208),COUNTIF('Class 3'!$B$11:$B$50,D208),COUNTIF('Class 4'!$B$11:$B$50,D208),COUNTIF('Class 5'!$B$11:$B$50,D208),COUNTIF('Class 6'!$B$11:$B$50,D208))=0,"Not on the class list","")))</f>
        <v/>
      </c>
      <c r="H208" s="1" t="n"/>
      <c r="J208">
        <f>IF('Class 6'!B13="","",'Class 6'!B13)</f>
        <v/>
      </c>
    </row>
    <row r="209">
      <c r="A209" s="1" t="n"/>
      <c r="B209" s="28" t="n"/>
      <c r="C209" s="30" t="n"/>
      <c r="D209" s="31" t="n"/>
      <c r="E209" s="33" t="n"/>
      <c r="F209" s="30" t="n"/>
      <c r="G209" s="12">
        <f>IF(OR(C209="",D209=""),"",IF(ISNA(MATCH(C209,Settings!$C$9:$C$14,0)),"Class not on Settings",IF(CHOOSE(MATCH(C209,Settings!$C$9:$C$14,0),COUNTIF('Class 1'!$B$11:$B$50,D209),COUNTIF('Class 2'!$B$11:$B$50,D209),COUNTIF('Class 3'!$B$11:$B$50,D209),COUNTIF('Class 4'!$B$11:$B$50,D209),COUNTIF('Class 5'!$B$11:$B$50,D209),COUNTIF('Class 6'!$B$11:$B$50,D209))=0,"Not on the class list","")))</f>
        <v/>
      </c>
      <c r="H209" s="1" t="n"/>
      <c r="J209">
        <f>IF('Class 6'!B14="","",'Class 6'!B14)</f>
        <v/>
      </c>
    </row>
    <row r="210">
      <c r="A210" s="1" t="n"/>
      <c r="B210" s="28" t="n"/>
      <c r="C210" s="30" t="n"/>
      <c r="D210" s="31" t="n"/>
      <c r="E210" s="33" t="n"/>
      <c r="F210" s="30" t="n"/>
      <c r="G210" s="12">
        <f>IF(OR(C210="",D210=""),"",IF(ISNA(MATCH(C210,Settings!$C$9:$C$14,0)),"Class not on Settings",IF(CHOOSE(MATCH(C210,Settings!$C$9:$C$14,0),COUNTIF('Class 1'!$B$11:$B$50,D210),COUNTIF('Class 2'!$B$11:$B$50,D210),COUNTIF('Class 3'!$B$11:$B$50,D210),COUNTIF('Class 4'!$B$11:$B$50,D210),COUNTIF('Class 5'!$B$11:$B$50,D210),COUNTIF('Class 6'!$B$11:$B$50,D210))=0,"Not on the class list","")))</f>
        <v/>
      </c>
      <c r="H210" s="1" t="n"/>
      <c r="J210">
        <f>IF('Class 6'!B15="","",'Class 6'!B15)</f>
        <v/>
      </c>
    </row>
    <row r="211">
      <c r="A211" s="1" t="n"/>
      <c r="B211" s="28" t="n"/>
      <c r="C211" s="30" t="n"/>
      <c r="D211" s="31" t="n"/>
      <c r="E211" s="33" t="n"/>
      <c r="F211" s="30" t="n"/>
      <c r="G211" s="12">
        <f>IF(OR(C211="",D211=""),"",IF(ISNA(MATCH(C211,Settings!$C$9:$C$14,0)),"Class not on Settings",IF(CHOOSE(MATCH(C211,Settings!$C$9:$C$14,0),COUNTIF('Class 1'!$B$11:$B$50,D211),COUNTIF('Class 2'!$B$11:$B$50,D211),COUNTIF('Class 3'!$B$11:$B$50,D211),COUNTIF('Class 4'!$B$11:$B$50,D211),COUNTIF('Class 5'!$B$11:$B$50,D211),COUNTIF('Class 6'!$B$11:$B$50,D211))=0,"Not on the class list","")))</f>
        <v/>
      </c>
      <c r="H211" s="1" t="n"/>
      <c r="J211">
        <f>IF('Class 6'!B16="","",'Class 6'!B16)</f>
        <v/>
      </c>
    </row>
    <row r="212">
      <c r="A212" s="1" t="n"/>
      <c r="B212" s="28" t="n"/>
      <c r="C212" s="30" t="n"/>
      <c r="D212" s="31" t="n"/>
      <c r="E212" s="33" t="n"/>
      <c r="F212" s="30" t="n"/>
      <c r="G212" s="12">
        <f>IF(OR(C212="",D212=""),"",IF(ISNA(MATCH(C212,Settings!$C$9:$C$14,0)),"Class not on Settings",IF(CHOOSE(MATCH(C212,Settings!$C$9:$C$14,0),COUNTIF('Class 1'!$B$11:$B$50,D212),COUNTIF('Class 2'!$B$11:$B$50,D212),COUNTIF('Class 3'!$B$11:$B$50,D212),COUNTIF('Class 4'!$B$11:$B$50,D212),COUNTIF('Class 5'!$B$11:$B$50,D212),COUNTIF('Class 6'!$B$11:$B$50,D212))=0,"Not on the class list","")))</f>
        <v/>
      </c>
      <c r="H212" s="1" t="n"/>
      <c r="J212">
        <f>IF('Class 6'!B17="","",'Class 6'!B17)</f>
        <v/>
      </c>
    </row>
    <row r="213">
      <c r="A213" s="1" t="n"/>
      <c r="B213" s="28" t="n"/>
      <c r="C213" s="30" t="n"/>
      <c r="D213" s="31" t="n"/>
      <c r="E213" s="33" t="n"/>
      <c r="F213" s="30" t="n"/>
      <c r="G213" s="12">
        <f>IF(OR(C213="",D213=""),"",IF(ISNA(MATCH(C213,Settings!$C$9:$C$14,0)),"Class not on Settings",IF(CHOOSE(MATCH(C213,Settings!$C$9:$C$14,0),COUNTIF('Class 1'!$B$11:$B$50,D213),COUNTIF('Class 2'!$B$11:$B$50,D213),COUNTIF('Class 3'!$B$11:$B$50,D213),COUNTIF('Class 4'!$B$11:$B$50,D213),COUNTIF('Class 5'!$B$11:$B$50,D213),COUNTIF('Class 6'!$B$11:$B$50,D213))=0,"Not on the class list","")))</f>
        <v/>
      </c>
      <c r="H213" s="1" t="n"/>
      <c r="J213">
        <f>IF('Class 6'!B18="","",'Class 6'!B18)</f>
        <v/>
      </c>
    </row>
    <row r="214">
      <c r="A214" s="1" t="n"/>
      <c r="B214" s="28" t="n"/>
      <c r="C214" s="30" t="n"/>
      <c r="D214" s="31" t="n"/>
      <c r="E214" s="33" t="n"/>
      <c r="F214" s="30" t="n"/>
      <c r="G214" s="12">
        <f>IF(OR(C214="",D214=""),"",IF(ISNA(MATCH(C214,Settings!$C$9:$C$14,0)),"Class not on Settings",IF(CHOOSE(MATCH(C214,Settings!$C$9:$C$14,0),COUNTIF('Class 1'!$B$11:$B$50,D214),COUNTIF('Class 2'!$B$11:$B$50,D214),COUNTIF('Class 3'!$B$11:$B$50,D214),COUNTIF('Class 4'!$B$11:$B$50,D214),COUNTIF('Class 5'!$B$11:$B$50,D214),COUNTIF('Class 6'!$B$11:$B$50,D214))=0,"Not on the class list","")))</f>
        <v/>
      </c>
      <c r="H214" s="1" t="n"/>
      <c r="J214">
        <f>IF('Class 6'!B19="","",'Class 6'!B19)</f>
        <v/>
      </c>
    </row>
    <row r="215">
      <c r="A215" s="1" t="n"/>
      <c r="B215" s="28" t="n"/>
      <c r="C215" s="30" t="n"/>
      <c r="D215" s="31" t="n"/>
      <c r="E215" s="33" t="n"/>
      <c r="F215" s="30" t="n"/>
      <c r="G215" s="12">
        <f>IF(OR(C215="",D215=""),"",IF(ISNA(MATCH(C215,Settings!$C$9:$C$14,0)),"Class not on Settings",IF(CHOOSE(MATCH(C215,Settings!$C$9:$C$14,0),COUNTIF('Class 1'!$B$11:$B$50,D215),COUNTIF('Class 2'!$B$11:$B$50,D215),COUNTIF('Class 3'!$B$11:$B$50,D215),COUNTIF('Class 4'!$B$11:$B$50,D215),COUNTIF('Class 5'!$B$11:$B$50,D215),COUNTIF('Class 6'!$B$11:$B$50,D215))=0,"Not on the class list","")))</f>
        <v/>
      </c>
      <c r="H215" s="1" t="n"/>
      <c r="J215">
        <f>IF('Class 6'!B20="","",'Class 6'!B20)</f>
        <v/>
      </c>
    </row>
    <row r="216">
      <c r="A216" s="1" t="n"/>
      <c r="B216" s="28" t="n"/>
      <c r="C216" s="30" t="n"/>
      <c r="D216" s="31" t="n"/>
      <c r="E216" s="33" t="n"/>
      <c r="F216" s="30" t="n"/>
      <c r="G216" s="12">
        <f>IF(OR(C216="",D216=""),"",IF(ISNA(MATCH(C216,Settings!$C$9:$C$14,0)),"Class not on Settings",IF(CHOOSE(MATCH(C216,Settings!$C$9:$C$14,0),COUNTIF('Class 1'!$B$11:$B$50,D216),COUNTIF('Class 2'!$B$11:$B$50,D216),COUNTIF('Class 3'!$B$11:$B$50,D216),COUNTIF('Class 4'!$B$11:$B$50,D216),COUNTIF('Class 5'!$B$11:$B$50,D216),COUNTIF('Class 6'!$B$11:$B$50,D216))=0,"Not on the class list","")))</f>
        <v/>
      </c>
      <c r="H216" s="1" t="n"/>
      <c r="J216">
        <f>IF('Class 6'!B21="","",'Class 6'!B21)</f>
        <v/>
      </c>
    </row>
    <row r="217">
      <c r="A217" s="1" t="n"/>
      <c r="B217" s="28" t="n"/>
      <c r="C217" s="30" t="n"/>
      <c r="D217" s="31" t="n"/>
      <c r="E217" s="33" t="n"/>
      <c r="F217" s="30" t="n"/>
      <c r="G217" s="12">
        <f>IF(OR(C217="",D217=""),"",IF(ISNA(MATCH(C217,Settings!$C$9:$C$14,0)),"Class not on Settings",IF(CHOOSE(MATCH(C217,Settings!$C$9:$C$14,0),COUNTIF('Class 1'!$B$11:$B$50,D217),COUNTIF('Class 2'!$B$11:$B$50,D217),COUNTIF('Class 3'!$B$11:$B$50,D217),COUNTIF('Class 4'!$B$11:$B$50,D217),COUNTIF('Class 5'!$B$11:$B$50,D217),COUNTIF('Class 6'!$B$11:$B$50,D217))=0,"Not on the class list","")))</f>
        <v/>
      </c>
      <c r="H217" s="1" t="n"/>
      <c r="J217">
        <f>IF('Class 6'!B22="","",'Class 6'!B22)</f>
        <v/>
      </c>
    </row>
    <row r="218">
      <c r="A218" s="1" t="n"/>
      <c r="B218" s="28" t="n"/>
      <c r="C218" s="30" t="n"/>
      <c r="D218" s="31" t="n"/>
      <c r="E218" s="33" t="n"/>
      <c r="F218" s="30" t="n"/>
      <c r="G218" s="12">
        <f>IF(OR(C218="",D218=""),"",IF(ISNA(MATCH(C218,Settings!$C$9:$C$14,0)),"Class not on Settings",IF(CHOOSE(MATCH(C218,Settings!$C$9:$C$14,0),COUNTIF('Class 1'!$B$11:$B$50,D218),COUNTIF('Class 2'!$B$11:$B$50,D218),COUNTIF('Class 3'!$B$11:$B$50,D218),COUNTIF('Class 4'!$B$11:$B$50,D218),COUNTIF('Class 5'!$B$11:$B$50,D218),COUNTIF('Class 6'!$B$11:$B$50,D218))=0,"Not on the class list","")))</f>
        <v/>
      </c>
      <c r="H218" s="1" t="n"/>
      <c r="J218">
        <f>IF('Class 6'!B23="","",'Class 6'!B23)</f>
        <v/>
      </c>
    </row>
    <row r="219">
      <c r="A219" s="1" t="n"/>
      <c r="B219" s="28" t="n"/>
      <c r="C219" s="30" t="n"/>
      <c r="D219" s="31" t="n"/>
      <c r="E219" s="33" t="n"/>
      <c r="F219" s="30" t="n"/>
      <c r="G219" s="12">
        <f>IF(OR(C219="",D219=""),"",IF(ISNA(MATCH(C219,Settings!$C$9:$C$14,0)),"Class not on Settings",IF(CHOOSE(MATCH(C219,Settings!$C$9:$C$14,0),COUNTIF('Class 1'!$B$11:$B$50,D219),COUNTIF('Class 2'!$B$11:$B$50,D219),COUNTIF('Class 3'!$B$11:$B$50,D219),COUNTIF('Class 4'!$B$11:$B$50,D219),COUNTIF('Class 5'!$B$11:$B$50,D219),COUNTIF('Class 6'!$B$11:$B$50,D219))=0,"Not on the class list","")))</f>
        <v/>
      </c>
      <c r="H219" s="1" t="n"/>
      <c r="J219">
        <f>IF('Class 6'!B24="","",'Class 6'!B24)</f>
        <v/>
      </c>
    </row>
    <row r="220">
      <c r="A220" s="1" t="n"/>
      <c r="B220" s="28" t="n"/>
      <c r="C220" s="30" t="n"/>
      <c r="D220" s="31" t="n"/>
      <c r="E220" s="33" t="n"/>
      <c r="F220" s="30" t="n"/>
      <c r="G220" s="12">
        <f>IF(OR(C220="",D220=""),"",IF(ISNA(MATCH(C220,Settings!$C$9:$C$14,0)),"Class not on Settings",IF(CHOOSE(MATCH(C220,Settings!$C$9:$C$14,0),COUNTIF('Class 1'!$B$11:$B$50,D220),COUNTIF('Class 2'!$B$11:$B$50,D220),COUNTIF('Class 3'!$B$11:$B$50,D220),COUNTIF('Class 4'!$B$11:$B$50,D220),COUNTIF('Class 5'!$B$11:$B$50,D220),COUNTIF('Class 6'!$B$11:$B$50,D220))=0,"Not on the class list","")))</f>
        <v/>
      </c>
      <c r="H220" s="1" t="n"/>
      <c r="J220">
        <f>IF('Class 6'!B25="","",'Class 6'!B25)</f>
        <v/>
      </c>
    </row>
    <row r="221">
      <c r="A221" s="1" t="n"/>
      <c r="B221" s="28" t="n"/>
      <c r="C221" s="30" t="n"/>
      <c r="D221" s="31" t="n"/>
      <c r="E221" s="33" t="n"/>
      <c r="F221" s="30" t="n"/>
      <c r="G221" s="12">
        <f>IF(OR(C221="",D221=""),"",IF(ISNA(MATCH(C221,Settings!$C$9:$C$14,0)),"Class not on Settings",IF(CHOOSE(MATCH(C221,Settings!$C$9:$C$14,0),COUNTIF('Class 1'!$B$11:$B$50,D221),COUNTIF('Class 2'!$B$11:$B$50,D221),COUNTIF('Class 3'!$B$11:$B$50,D221),COUNTIF('Class 4'!$B$11:$B$50,D221),COUNTIF('Class 5'!$B$11:$B$50,D221),COUNTIF('Class 6'!$B$11:$B$50,D221))=0,"Not on the class list","")))</f>
        <v/>
      </c>
      <c r="H221" s="1" t="n"/>
      <c r="J221">
        <f>IF('Class 6'!B26="","",'Class 6'!B26)</f>
        <v/>
      </c>
    </row>
    <row r="222">
      <c r="A222" s="1" t="n"/>
      <c r="B222" s="28" t="n"/>
      <c r="C222" s="30" t="n"/>
      <c r="D222" s="31" t="n"/>
      <c r="E222" s="33" t="n"/>
      <c r="F222" s="30" t="n"/>
      <c r="G222" s="12">
        <f>IF(OR(C222="",D222=""),"",IF(ISNA(MATCH(C222,Settings!$C$9:$C$14,0)),"Class not on Settings",IF(CHOOSE(MATCH(C222,Settings!$C$9:$C$14,0),COUNTIF('Class 1'!$B$11:$B$50,D222),COUNTIF('Class 2'!$B$11:$B$50,D222),COUNTIF('Class 3'!$B$11:$B$50,D222),COUNTIF('Class 4'!$B$11:$B$50,D222),COUNTIF('Class 5'!$B$11:$B$50,D222),COUNTIF('Class 6'!$B$11:$B$50,D222))=0,"Not on the class list","")))</f>
        <v/>
      </c>
      <c r="H222" s="1" t="n"/>
      <c r="J222">
        <f>IF('Class 6'!B27="","",'Class 6'!B27)</f>
        <v/>
      </c>
    </row>
    <row r="223">
      <c r="A223" s="1" t="n"/>
      <c r="B223" s="28" t="n"/>
      <c r="C223" s="30" t="n"/>
      <c r="D223" s="31" t="n"/>
      <c r="E223" s="33" t="n"/>
      <c r="F223" s="30" t="n"/>
      <c r="G223" s="12">
        <f>IF(OR(C223="",D223=""),"",IF(ISNA(MATCH(C223,Settings!$C$9:$C$14,0)),"Class not on Settings",IF(CHOOSE(MATCH(C223,Settings!$C$9:$C$14,0),COUNTIF('Class 1'!$B$11:$B$50,D223),COUNTIF('Class 2'!$B$11:$B$50,D223),COUNTIF('Class 3'!$B$11:$B$50,D223),COUNTIF('Class 4'!$B$11:$B$50,D223),COUNTIF('Class 5'!$B$11:$B$50,D223),COUNTIF('Class 6'!$B$11:$B$50,D223))=0,"Not on the class list","")))</f>
        <v/>
      </c>
      <c r="H223" s="1" t="n"/>
      <c r="J223">
        <f>IF('Class 6'!B28="","",'Class 6'!B28)</f>
        <v/>
      </c>
    </row>
    <row r="224">
      <c r="A224" s="1" t="n"/>
      <c r="B224" s="28" t="n"/>
      <c r="C224" s="30" t="n"/>
      <c r="D224" s="31" t="n"/>
      <c r="E224" s="33" t="n"/>
      <c r="F224" s="30" t="n"/>
      <c r="G224" s="12">
        <f>IF(OR(C224="",D224=""),"",IF(ISNA(MATCH(C224,Settings!$C$9:$C$14,0)),"Class not on Settings",IF(CHOOSE(MATCH(C224,Settings!$C$9:$C$14,0),COUNTIF('Class 1'!$B$11:$B$50,D224),COUNTIF('Class 2'!$B$11:$B$50,D224),COUNTIF('Class 3'!$B$11:$B$50,D224),COUNTIF('Class 4'!$B$11:$B$50,D224),COUNTIF('Class 5'!$B$11:$B$50,D224),COUNTIF('Class 6'!$B$11:$B$50,D224))=0,"Not on the class list","")))</f>
        <v/>
      </c>
      <c r="H224" s="1" t="n"/>
      <c r="J224">
        <f>IF('Class 6'!B29="","",'Class 6'!B29)</f>
        <v/>
      </c>
    </row>
    <row r="225">
      <c r="A225" s="1" t="n"/>
      <c r="B225" s="28" t="n"/>
      <c r="C225" s="30" t="n"/>
      <c r="D225" s="31" t="n"/>
      <c r="E225" s="33" t="n"/>
      <c r="F225" s="30" t="n"/>
      <c r="G225" s="12">
        <f>IF(OR(C225="",D225=""),"",IF(ISNA(MATCH(C225,Settings!$C$9:$C$14,0)),"Class not on Settings",IF(CHOOSE(MATCH(C225,Settings!$C$9:$C$14,0),COUNTIF('Class 1'!$B$11:$B$50,D225),COUNTIF('Class 2'!$B$11:$B$50,D225),COUNTIF('Class 3'!$B$11:$B$50,D225),COUNTIF('Class 4'!$B$11:$B$50,D225),COUNTIF('Class 5'!$B$11:$B$50,D225),COUNTIF('Class 6'!$B$11:$B$50,D225))=0,"Not on the class list","")))</f>
        <v/>
      </c>
      <c r="H225" s="1" t="n"/>
      <c r="J225">
        <f>IF('Class 6'!B30="","",'Class 6'!B30)</f>
        <v/>
      </c>
    </row>
    <row r="226">
      <c r="A226" s="1" t="n"/>
      <c r="B226" s="28" t="n"/>
      <c r="C226" s="30" t="n"/>
      <c r="D226" s="31" t="n"/>
      <c r="E226" s="33" t="n"/>
      <c r="F226" s="30" t="n"/>
      <c r="G226" s="12">
        <f>IF(OR(C226="",D226=""),"",IF(ISNA(MATCH(C226,Settings!$C$9:$C$14,0)),"Class not on Settings",IF(CHOOSE(MATCH(C226,Settings!$C$9:$C$14,0),COUNTIF('Class 1'!$B$11:$B$50,D226),COUNTIF('Class 2'!$B$11:$B$50,D226),COUNTIF('Class 3'!$B$11:$B$50,D226),COUNTIF('Class 4'!$B$11:$B$50,D226),COUNTIF('Class 5'!$B$11:$B$50,D226),COUNTIF('Class 6'!$B$11:$B$50,D226))=0,"Not on the class list","")))</f>
        <v/>
      </c>
      <c r="H226" s="1" t="n"/>
      <c r="J226">
        <f>IF('Class 6'!B31="","",'Class 6'!B31)</f>
        <v/>
      </c>
    </row>
    <row r="227">
      <c r="A227" s="1" t="n"/>
      <c r="B227" s="28" t="n"/>
      <c r="C227" s="30" t="n"/>
      <c r="D227" s="31" t="n"/>
      <c r="E227" s="33" t="n"/>
      <c r="F227" s="30" t="n"/>
      <c r="G227" s="12">
        <f>IF(OR(C227="",D227=""),"",IF(ISNA(MATCH(C227,Settings!$C$9:$C$14,0)),"Class not on Settings",IF(CHOOSE(MATCH(C227,Settings!$C$9:$C$14,0),COUNTIF('Class 1'!$B$11:$B$50,D227),COUNTIF('Class 2'!$B$11:$B$50,D227),COUNTIF('Class 3'!$B$11:$B$50,D227),COUNTIF('Class 4'!$B$11:$B$50,D227),COUNTIF('Class 5'!$B$11:$B$50,D227),COUNTIF('Class 6'!$B$11:$B$50,D227))=0,"Not on the class list","")))</f>
        <v/>
      </c>
      <c r="H227" s="1" t="n"/>
      <c r="J227">
        <f>IF('Class 6'!B32="","",'Class 6'!B32)</f>
        <v/>
      </c>
    </row>
    <row r="228">
      <c r="A228" s="1" t="n"/>
      <c r="B228" s="28" t="n"/>
      <c r="C228" s="30" t="n"/>
      <c r="D228" s="31" t="n"/>
      <c r="E228" s="33" t="n"/>
      <c r="F228" s="30" t="n"/>
      <c r="G228" s="12">
        <f>IF(OR(C228="",D228=""),"",IF(ISNA(MATCH(C228,Settings!$C$9:$C$14,0)),"Class not on Settings",IF(CHOOSE(MATCH(C228,Settings!$C$9:$C$14,0),COUNTIF('Class 1'!$B$11:$B$50,D228),COUNTIF('Class 2'!$B$11:$B$50,D228),COUNTIF('Class 3'!$B$11:$B$50,D228),COUNTIF('Class 4'!$B$11:$B$50,D228),COUNTIF('Class 5'!$B$11:$B$50,D228),COUNTIF('Class 6'!$B$11:$B$50,D228))=0,"Not on the class list","")))</f>
        <v/>
      </c>
      <c r="H228" s="1" t="n"/>
      <c r="J228">
        <f>IF('Class 6'!B33="","",'Class 6'!B33)</f>
        <v/>
      </c>
    </row>
    <row r="229">
      <c r="A229" s="1" t="n"/>
      <c r="B229" s="28" t="n"/>
      <c r="C229" s="30" t="n"/>
      <c r="D229" s="31" t="n"/>
      <c r="E229" s="33" t="n"/>
      <c r="F229" s="30" t="n"/>
      <c r="G229" s="12">
        <f>IF(OR(C229="",D229=""),"",IF(ISNA(MATCH(C229,Settings!$C$9:$C$14,0)),"Class not on Settings",IF(CHOOSE(MATCH(C229,Settings!$C$9:$C$14,0),COUNTIF('Class 1'!$B$11:$B$50,D229),COUNTIF('Class 2'!$B$11:$B$50,D229),COUNTIF('Class 3'!$B$11:$B$50,D229),COUNTIF('Class 4'!$B$11:$B$50,D229),COUNTIF('Class 5'!$B$11:$B$50,D229),COUNTIF('Class 6'!$B$11:$B$50,D229))=0,"Not on the class list","")))</f>
        <v/>
      </c>
      <c r="H229" s="1" t="n"/>
      <c r="J229">
        <f>IF('Class 6'!B34="","",'Class 6'!B34)</f>
        <v/>
      </c>
    </row>
    <row r="230">
      <c r="A230" s="1" t="n"/>
      <c r="B230" s="28" t="n"/>
      <c r="C230" s="30" t="n"/>
      <c r="D230" s="31" t="n"/>
      <c r="E230" s="33" t="n"/>
      <c r="F230" s="30" t="n"/>
      <c r="G230" s="12">
        <f>IF(OR(C230="",D230=""),"",IF(ISNA(MATCH(C230,Settings!$C$9:$C$14,0)),"Class not on Settings",IF(CHOOSE(MATCH(C230,Settings!$C$9:$C$14,0),COUNTIF('Class 1'!$B$11:$B$50,D230),COUNTIF('Class 2'!$B$11:$B$50,D230),COUNTIF('Class 3'!$B$11:$B$50,D230),COUNTIF('Class 4'!$B$11:$B$50,D230),COUNTIF('Class 5'!$B$11:$B$50,D230),COUNTIF('Class 6'!$B$11:$B$50,D230))=0,"Not on the class list","")))</f>
        <v/>
      </c>
      <c r="H230" s="1" t="n"/>
      <c r="J230">
        <f>IF('Class 6'!B35="","",'Class 6'!B35)</f>
        <v/>
      </c>
    </row>
    <row r="231">
      <c r="A231" s="1" t="n"/>
      <c r="B231" s="28" t="n"/>
      <c r="C231" s="30" t="n"/>
      <c r="D231" s="31" t="n"/>
      <c r="E231" s="33" t="n"/>
      <c r="F231" s="30" t="n"/>
      <c r="G231" s="12">
        <f>IF(OR(C231="",D231=""),"",IF(ISNA(MATCH(C231,Settings!$C$9:$C$14,0)),"Class not on Settings",IF(CHOOSE(MATCH(C231,Settings!$C$9:$C$14,0),COUNTIF('Class 1'!$B$11:$B$50,D231),COUNTIF('Class 2'!$B$11:$B$50,D231),COUNTIF('Class 3'!$B$11:$B$50,D231),COUNTIF('Class 4'!$B$11:$B$50,D231),COUNTIF('Class 5'!$B$11:$B$50,D231),COUNTIF('Class 6'!$B$11:$B$50,D231))=0,"Not on the class list","")))</f>
        <v/>
      </c>
      <c r="H231" s="1" t="n"/>
      <c r="J231">
        <f>IF('Class 6'!B36="","",'Class 6'!B36)</f>
        <v/>
      </c>
    </row>
    <row r="232">
      <c r="A232" s="1" t="n"/>
      <c r="B232" s="28" t="n"/>
      <c r="C232" s="30" t="n"/>
      <c r="D232" s="31" t="n"/>
      <c r="E232" s="33" t="n"/>
      <c r="F232" s="30" t="n"/>
      <c r="G232" s="12">
        <f>IF(OR(C232="",D232=""),"",IF(ISNA(MATCH(C232,Settings!$C$9:$C$14,0)),"Class not on Settings",IF(CHOOSE(MATCH(C232,Settings!$C$9:$C$14,0),COUNTIF('Class 1'!$B$11:$B$50,D232),COUNTIF('Class 2'!$B$11:$B$50,D232),COUNTIF('Class 3'!$B$11:$B$50,D232),COUNTIF('Class 4'!$B$11:$B$50,D232),COUNTIF('Class 5'!$B$11:$B$50,D232),COUNTIF('Class 6'!$B$11:$B$50,D232))=0,"Not on the class list","")))</f>
        <v/>
      </c>
      <c r="H232" s="1" t="n"/>
      <c r="J232">
        <f>IF('Class 6'!B37="","",'Class 6'!B37)</f>
        <v/>
      </c>
    </row>
    <row r="233">
      <c r="A233" s="1" t="n"/>
      <c r="B233" s="28" t="n"/>
      <c r="C233" s="30" t="n"/>
      <c r="D233" s="31" t="n"/>
      <c r="E233" s="33" t="n"/>
      <c r="F233" s="30" t="n"/>
      <c r="G233" s="12">
        <f>IF(OR(C233="",D233=""),"",IF(ISNA(MATCH(C233,Settings!$C$9:$C$14,0)),"Class not on Settings",IF(CHOOSE(MATCH(C233,Settings!$C$9:$C$14,0),COUNTIF('Class 1'!$B$11:$B$50,D233),COUNTIF('Class 2'!$B$11:$B$50,D233),COUNTIF('Class 3'!$B$11:$B$50,D233),COUNTIF('Class 4'!$B$11:$B$50,D233),COUNTIF('Class 5'!$B$11:$B$50,D233),COUNTIF('Class 6'!$B$11:$B$50,D233))=0,"Not on the class list","")))</f>
        <v/>
      </c>
      <c r="H233" s="1" t="n"/>
      <c r="J233">
        <f>IF('Class 6'!B38="","",'Class 6'!B38)</f>
        <v/>
      </c>
    </row>
    <row r="234">
      <c r="A234" s="1" t="n"/>
      <c r="B234" s="28" t="n"/>
      <c r="C234" s="30" t="n"/>
      <c r="D234" s="31" t="n"/>
      <c r="E234" s="33" t="n"/>
      <c r="F234" s="30" t="n"/>
      <c r="G234" s="12">
        <f>IF(OR(C234="",D234=""),"",IF(ISNA(MATCH(C234,Settings!$C$9:$C$14,0)),"Class not on Settings",IF(CHOOSE(MATCH(C234,Settings!$C$9:$C$14,0),COUNTIF('Class 1'!$B$11:$B$50,D234),COUNTIF('Class 2'!$B$11:$B$50,D234),COUNTIF('Class 3'!$B$11:$B$50,D234),COUNTIF('Class 4'!$B$11:$B$50,D234),COUNTIF('Class 5'!$B$11:$B$50,D234),COUNTIF('Class 6'!$B$11:$B$50,D234))=0,"Not on the class list","")))</f>
        <v/>
      </c>
      <c r="H234" s="1" t="n"/>
      <c r="J234">
        <f>IF('Class 6'!B39="","",'Class 6'!B39)</f>
        <v/>
      </c>
    </row>
    <row r="235">
      <c r="A235" s="1" t="n"/>
      <c r="B235" s="28" t="n"/>
      <c r="C235" s="30" t="n"/>
      <c r="D235" s="31" t="n"/>
      <c r="E235" s="33" t="n"/>
      <c r="F235" s="30" t="n"/>
      <c r="G235" s="12">
        <f>IF(OR(C235="",D235=""),"",IF(ISNA(MATCH(C235,Settings!$C$9:$C$14,0)),"Class not on Settings",IF(CHOOSE(MATCH(C235,Settings!$C$9:$C$14,0),COUNTIF('Class 1'!$B$11:$B$50,D235),COUNTIF('Class 2'!$B$11:$B$50,D235),COUNTIF('Class 3'!$B$11:$B$50,D235),COUNTIF('Class 4'!$B$11:$B$50,D235),COUNTIF('Class 5'!$B$11:$B$50,D235),COUNTIF('Class 6'!$B$11:$B$50,D235))=0,"Not on the class list","")))</f>
        <v/>
      </c>
      <c r="H235" s="1" t="n"/>
      <c r="J235">
        <f>IF('Class 6'!B40="","",'Class 6'!B40)</f>
        <v/>
      </c>
    </row>
    <row r="236">
      <c r="A236" s="1" t="n"/>
      <c r="B236" s="28" t="n"/>
      <c r="C236" s="30" t="n"/>
      <c r="D236" s="31" t="n"/>
      <c r="E236" s="33" t="n"/>
      <c r="F236" s="30" t="n"/>
      <c r="G236" s="12">
        <f>IF(OR(C236="",D236=""),"",IF(ISNA(MATCH(C236,Settings!$C$9:$C$14,0)),"Class not on Settings",IF(CHOOSE(MATCH(C236,Settings!$C$9:$C$14,0),COUNTIF('Class 1'!$B$11:$B$50,D236),COUNTIF('Class 2'!$B$11:$B$50,D236),COUNTIF('Class 3'!$B$11:$B$50,D236),COUNTIF('Class 4'!$B$11:$B$50,D236),COUNTIF('Class 5'!$B$11:$B$50,D236),COUNTIF('Class 6'!$B$11:$B$50,D236))=0,"Not on the class list","")))</f>
        <v/>
      </c>
      <c r="H236" s="1" t="n"/>
      <c r="J236">
        <f>IF('Class 6'!B41="","",'Class 6'!B41)</f>
        <v/>
      </c>
    </row>
    <row r="237">
      <c r="A237" s="1" t="n"/>
      <c r="B237" s="28" t="n"/>
      <c r="C237" s="30" t="n"/>
      <c r="D237" s="31" t="n"/>
      <c r="E237" s="33" t="n"/>
      <c r="F237" s="30" t="n"/>
      <c r="G237" s="12">
        <f>IF(OR(C237="",D237=""),"",IF(ISNA(MATCH(C237,Settings!$C$9:$C$14,0)),"Class not on Settings",IF(CHOOSE(MATCH(C237,Settings!$C$9:$C$14,0),COUNTIF('Class 1'!$B$11:$B$50,D237),COUNTIF('Class 2'!$B$11:$B$50,D237),COUNTIF('Class 3'!$B$11:$B$50,D237),COUNTIF('Class 4'!$B$11:$B$50,D237),COUNTIF('Class 5'!$B$11:$B$50,D237),COUNTIF('Class 6'!$B$11:$B$50,D237))=0,"Not on the class list","")))</f>
        <v/>
      </c>
      <c r="H237" s="1" t="n"/>
      <c r="J237">
        <f>IF('Class 6'!B42="","",'Class 6'!B42)</f>
        <v/>
      </c>
    </row>
    <row r="238">
      <c r="A238" s="1" t="n"/>
      <c r="B238" s="28" t="n"/>
      <c r="C238" s="30" t="n"/>
      <c r="D238" s="31" t="n"/>
      <c r="E238" s="33" t="n"/>
      <c r="F238" s="30" t="n"/>
      <c r="G238" s="12">
        <f>IF(OR(C238="",D238=""),"",IF(ISNA(MATCH(C238,Settings!$C$9:$C$14,0)),"Class not on Settings",IF(CHOOSE(MATCH(C238,Settings!$C$9:$C$14,0),COUNTIF('Class 1'!$B$11:$B$50,D238),COUNTIF('Class 2'!$B$11:$B$50,D238),COUNTIF('Class 3'!$B$11:$B$50,D238),COUNTIF('Class 4'!$B$11:$B$50,D238),COUNTIF('Class 5'!$B$11:$B$50,D238),COUNTIF('Class 6'!$B$11:$B$50,D238))=0,"Not on the class list","")))</f>
        <v/>
      </c>
      <c r="H238" s="1" t="n"/>
      <c r="J238">
        <f>IF('Class 6'!B43="","",'Class 6'!B43)</f>
        <v/>
      </c>
    </row>
    <row r="239">
      <c r="A239" s="1" t="n"/>
      <c r="B239" s="28" t="n"/>
      <c r="C239" s="30" t="n"/>
      <c r="D239" s="31" t="n"/>
      <c r="E239" s="33" t="n"/>
      <c r="F239" s="30" t="n"/>
      <c r="G239" s="12">
        <f>IF(OR(C239="",D239=""),"",IF(ISNA(MATCH(C239,Settings!$C$9:$C$14,0)),"Class not on Settings",IF(CHOOSE(MATCH(C239,Settings!$C$9:$C$14,0),COUNTIF('Class 1'!$B$11:$B$50,D239),COUNTIF('Class 2'!$B$11:$B$50,D239),COUNTIF('Class 3'!$B$11:$B$50,D239),COUNTIF('Class 4'!$B$11:$B$50,D239),COUNTIF('Class 5'!$B$11:$B$50,D239),COUNTIF('Class 6'!$B$11:$B$50,D239))=0,"Not on the class list","")))</f>
        <v/>
      </c>
      <c r="H239" s="1" t="n"/>
      <c r="J239">
        <f>IF('Class 6'!B44="","",'Class 6'!B44)</f>
        <v/>
      </c>
    </row>
    <row r="240">
      <c r="A240" s="1" t="n"/>
      <c r="B240" s="28" t="n"/>
      <c r="C240" s="30" t="n"/>
      <c r="D240" s="31" t="n"/>
      <c r="E240" s="33" t="n"/>
      <c r="F240" s="30" t="n"/>
      <c r="G240" s="12">
        <f>IF(OR(C240="",D240=""),"",IF(ISNA(MATCH(C240,Settings!$C$9:$C$14,0)),"Class not on Settings",IF(CHOOSE(MATCH(C240,Settings!$C$9:$C$14,0),COUNTIF('Class 1'!$B$11:$B$50,D240),COUNTIF('Class 2'!$B$11:$B$50,D240),COUNTIF('Class 3'!$B$11:$B$50,D240),COUNTIF('Class 4'!$B$11:$B$50,D240),COUNTIF('Class 5'!$B$11:$B$50,D240),COUNTIF('Class 6'!$B$11:$B$50,D240))=0,"Not on the class list","")))</f>
        <v/>
      </c>
      <c r="H240" s="1" t="n"/>
      <c r="J240">
        <f>IF('Class 6'!B45="","",'Class 6'!B45)</f>
        <v/>
      </c>
    </row>
    <row r="241">
      <c r="A241" s="1" t="n"/>
      <c r="B241" s="28" t="n"/>
      <c r="C241" s="30" t="n"/>
      <c r="D241" s="31" t="n"/>
      <c r="E241" s="33" t="n"/>
      <c r="F241" s="30" t="n"/>
      <c r="G241" s="12">
        <f>IF(OR(C241="",D241=""),"",IF(ISNA(MATCH(C241,Settings!$C$9:$C$14,0)),"Class not on Settings",IF(CHOOSE(MATCH(C241,Settings!$C$9:$C$14,0),COUNTIF('Class 1'!$B$11:$B$50,D241),COUNTIF('Class 2'!$B$11:$B$50,D241),COUNTIF('Class 3'!$B$11:$B$50,D241),COUNTIF('Class 4'!$B$11:$B$50,D241),COUNTIF('Class 5'!$B$11:$B$50,D241),COUNTIF('Class 6'!$B$11:$B$50,D241))=0,"Not on the class list","")))</f>
        <v/>
      </c>
      <c r="H241" s="1" t="n"/>
      <c r="J241">
        <f>IF('Class 6'!B46="","",'Class 6'!B46)</f>
        <v/>
      </c>
    </row>
    <row r="242">
      <c r="A242" s="1" t="n"/>
      <c r="B242" s="28" t="n"/>
      <c r="C242" s="30" t="n"/>
      <c r="D242" s="31" t="n"/>
      <c r="E242" s="33" t="n"/>
      <c r="F242" s="30" t="n"/>
      <c r="G242" s="12">
        <f>IF(OR(C242="",D242=""),"",IF(ISNA(MATCH(C242,Settings!$C$9:$C$14,0)),"Class not on Settings",IF(CHOOSE(MATCH(C242,Settings!$C$9:$C$14,0),COUNTIF('Class 1'!$B$11:$B$50,D242),COUNTIF('Class 2'!$B$11:$B$50,D242),COUNTIF('Class 3'!$B$11:$B$50,D242),COUNTIF('Class 4'!$B$11:$B$50,D242),COUNTIF('Class 5'!$B$11:$B$50,D242),COUNTIF('Class 6'!$B$11:$B$50,D242))=0,"Not on the class list","")))</f>
        <v/>
      </c>
      <c r="H242" s="1" t="n"/>
      <c r="J242">
        <f>IF('Class 6'!B47="","",'Class 6'!B47)</f>
        <v/>
      </c>
    </row>
    <row r="243">
      <c r="A243" s="1" t="n"/>
      <c r="B243" s="28" t="n"/>
      <c r="C243" s="30" t="n"/>
      <c r="D243" s="31" t="n"/>
      <c r="E243" s="33" t="n"/>
      <c r="F243" s="30" t="n"/>
      <c r="G243" s="12">
        <f>IF(OR(C243="",D243=""),"",IF(ISNA(MATCH(C243,Settings!$C$9:$C$14,0)),"Class not on Settings",IF(CHOOSE(MATCH(C243,Settings!$C$9:$C$14,0),COUNTIF('Class 1'!$B$11:$B$50,D243),COUNTIF('Class 2'!$B$11:$B$50,D243),COUNTIF('Class 3'!$B$11:$B$50,D243),COUNTIF('Class 4'!$B$11:$B$50,D243),COUNTIF('Class 5'!$B$11:$B$50,D243),COUNTIF('Class 6'!$B$11:$B$50,D243))=0,"Not on the class list","")))</f>
        <v/>
      </c>
      <c r="H243" s="1" t="n"/>
      <c r="J243">
        <f>IF('Class 6'!B48="","",'Class 6'!B48)</f>
        <v/>
      </c>
    </row>
    <row r="244">
      <c r="A244" s="1" t="n"/>
      <c r="B244" s="28" t="n"/>
      <c r="C244" s="30" t="n"/>
      <c r="D244" s="31" t="n"/>
      <c r="E244" s="33" t="n"/>
      <c r="F244" s="30" t="n"/>
      <c r="G244" s="12">
        <f>IF(OR(C244="",D244=""),"",IF(ISNA(MATCH(C244,Settings!$C$9:$C$14,0)),"Class not on Settings",IF(CHOOSE(MATCH(C244,Settings!$C$9:$C$14,0),COUNTIF('Class 1'!$B$11:$B$50,D244),COUNTIF('Class 2'!$B$11:$B$50,D244),COUNTIF('Class 3'!$B$11:$B$50,D244),COUNTIF('Class 4'!$B$11:$B$50,D244),COUNTIF('Class 5'!$B$11:$B$50,D244),COUNTIF('Class 6'!$B$11:$B$50,D244))=0,"Not on the class list","")))</f>
        <v/>
      </c>
      <c r="H244" s="1" t="n"/>
      <c r="J244">
        <f>IF('Class 6'!B49="","",'Class 6'!B49)</f>
        <v/>
      </c>
    </row>
    <row r="245">
      <c r="A245" s="1" t="n"/>
      <c r="B245" s="28" t="n"/>
      <c r="C245" s="30" t="n"/>
      <c r="D245" s="31" t="n"/>
      <c r="E245" s="33" t="n"/>
      <c r="F245" s="30" t="n"/>
      <c r="G245" s="12">
        <f>IF(OR(C245="",D245=""),"",IF(ISNA(MATCH(C245,Settings!$C$9:$C$14,0)),"Class not on Settings",IF(CHOOSE(MATCH(C245,Settings!$C$9:$C$14,0),COUNTIF('Class 1'!$B$11:$B$50,D245),COUNTIF('Class 2'!$B$11:$B$50,D245),COUNTIF('Class 3'!$B$11:$B$50,D245),COUNTIF('Class 4'!$B$11:$B$50,D245),COUNTIF('Class 5'!$B$11:$B$50,D245),COUNTIF('Class 6'!$B$11:$B$50,D245))=0,"Not on the class list","")))</f>
        <v/>
      </c>
      <c r="H245" s="1" t="n"/>
      <c r="J245">
        <f>IF('Class 6'!B50="","",'Class 6'!B50)</f>
        <v/>
      </c>
    </row>
    <row r="246">
      <c r="A246" s="1" t="n"/>
      <c r="B246" s="28" t="n"/>
      <c r="C246" s="30" t="n"/>
      <c r="D246" s="31" t="n"/>
      <c r="E246" s="33" t="n"/>
      <c r="F246" s="30" t="n"/>
      <c r="G246" s="12">
        <f>IF(OR(C246="",D246=""),"",IF(ISNA(MATCH(C246,Settings!$C$9:$C$14,0)),"Class not on Settings",IF(CHOOSE(MATCH(C246,Settings!$C$9:$C$14,0),COUNTIF('Class 1'!$B$11:$B$50,D246),COUNTIF('Class 2'!$B$11:$B$50,D246),COUNTIF('Class 3'!$B$11:$B$50,D246),COUNTIF('Class 4'!$B$11:$B$50,D246),COUNTIF('Class 5'!$B$11:$B$50,D246),COUNTIF('Class 6'!$B$11:$B$50,D246))=0,"Not on the class list","")))</f>
        <v/>
      </c>
      <c r="H246" s="1" t="n"/>
    </row>
    <row r="247">
      <c r="A247" s="1" t="n"/>
      <c r="B247" s="28" t="n"/>
      <c r="C247" s="30" t="n"/>
      <c r="D247" s="31" t="n"/>
      <c r="E247" s="33" t="n"/>
      <c r="F247" s="30" t="n"/>
      <c r="G247" s="12">
        <f>IF(OR(C247="",D247=""),"",IF(ISNA(MATCH(C247,Settings!$C$9:$C$14,0)),"Class not on Settings",IF(CHOOSE(MATCH(C247,Settings!$C$9:$C$14,0),COUNTIF('Class 1'!$B$11:$B$50,D247),COUNTIF('Class 2'!$B$11:$B$50,D247),COUNTIF('Class 3'!$B$11:$B$50,D247),COUNTIF('Class 4'!$B$11:$B$50,D247),COUNTIF('Class 5'!$B$11:$B$50,D247),COUNTIF('Class 6'!$B$11:$B$50,D247))=0,"Not on the class list","")))</f>
        <v/>
      </c>
      <c r="H247" s="1" t="n"/>
    </row>
    <row r="248">
      <c r="A248" s="1" t="n"/>
      <c r="B248" s="28" t="n"/>
      <c r="C248" s="30" t="n"/>
      <c r="D248" s="31" t="n"/>
      <c r="E248" s="33" t="n"/>
      <c r="F248" s="30" t="n"/>
      <c r="G248" s="12">
        <f>IF(OR(C248="",D248=""),"",IF(ISNA(MATCH(C248,Settings!$C$9:$C$14,0)),"Class not on Settings",IF(CHOOSE(MATCH(C248,Settings!$C$9:$C$14,0),COUNTIF('Class 1'!$B$11:$B$50,D248),COUNTIF('Class 2'!$B$11:$B$50,D248),COUNTIF('Class 3'!$B$11:$B$50,D248),COUNTIF('Class 4'!$B$11:$B$50,D248),COUNTIF('Class 5'!$B$11:$B$50,D248),COUNTIF('Class 6'!$B$11:$B$50,D248))=0,"Not on the class list","")))</f>
        <v/>
      </c>
      <c r="H248" s="1" t="n"/>
    </row>
    <row r="249">
      <c r="A249" s="1" t="n"/>
      <c r="B249" s="28" t="n"/>
      <c r="C249" s="30" t="n"/>
      <c r="D249" s="31" t="n"/>
      <c r="E249" s="33" t="n"/>
      <c r="F249" s="30" t="n"/>
      <c r="G249" s="12">
        <f>IF(OR(C249="",D249=""),"",IF(ISNA(MATCH(C249,Settings!$C$9:$C$14,0)),"Class not on Settings",IF(CHOOSE(MATCH(C249,Settings!$C$9:$C$14,0),COUNTIF('Class 1'!$B$11:$B$50,D249),COUNTIF('Class 2'!$B$11:$B$50,D249),COUNTIF('Class 3'!$B$11:$B$50,D249),COUNTIF('Class 4'!$B$11:$B$50,D249),COUNTIF('Class 5'!$B$11:$B$50,D249),COUNTIF('Class 6'!$B$11:$B$50,D249))=0,"Not on the class list","")))</f>
        <v/>
      </c>
      <c r="H249" s="1" t="n"/>
    </row>
    <row r="250">
      <c r="A250" s="1" t="n"/>
      <c r="B250" s="28" t="n"/>
      <c r="C250" s="30" t="n"/>
      <c r="D250" s="31" t="n"/>
      <c r="E250" s="33" t="n"/>
      <c r="F250" s="30" t="n"/>
      <c r="G250" s="12">
        <f>IF(OR(C250="",D250=""),"",IF(ISNA(MATCH(C250,Settings!$C$9:$C$14,0)),"Class not on Settings",IF(CHOOSE(MATCH(C250,Settings!$C$9:$C$14,0),COUNTIF('Class 1'!$B$11:$B$50,D250),COUNTIF('Class 2'!$B$11:$B$50,D250),COUNTIF('Class 3'!$B$11:$B$50,D250),COUNTIF('Class 4'!$B$11:$B$50,D250),COUNTIF('Class 5'!$B$11:$B$50,D250),COUNTIF('Class 6'!$B$11:$B$50,D250))=0,"Not on the class list","")))</f>
        <v/>
      </c>
      <c r="H250" s="1" t="n"/>
    </row>
    <row r="251">
      <c r="A251" s="1" t="n"/>
      <c r="B251" s="28" t="n"/>
      <c r="C251" s="30" t="n"/>
      <c r="D251" s="31" t="n"/>
      <c r="E251" s="33" t="n"/>
      <c r="F251" s="30" t="n"/>
      <c r="G251" s="12">
        <f>IF(OR(C251="",D251=""),"",IF(ISNA(MATCH(C251,Settings!$C$9:$C$14,0)),"Class not on Settings",IF(CHOOSE(MATCH(C251,Settings!$C$9:$C$14,0),COUNTIF('Class 1'!$B$11:$B$50,D251),COUNTIF('Class 2'!$B$11:$B$50,D251),COUNTIF('Class 3'!$B$11:$B$50,D251),COUNTIF('Class 4'!$B$11:$B$50,D251),COUNTIF('Class 5'!$B$11:$B$50,D251),COUNTIF('Class 6'!$B$11:$B$50,D251))=0,"Not on the class list","")))</f>
        <v/>
      </c>
      <c r="H251" s="1" t="n"/>
    </row>
    <row r="252">
      <c r="A252" s="1" t="n"/>
      <c r="B252" s="28" t="n"/>
      <c r="C252" s="30" t="n"/>
      <c r="D252" s="31" t="n"/>
      <c r="E252" s="33" t="n"/>
      <c r="F252" s="30" t="n"/>
      <c r="G252" s="12">
        <f>IF(OR(C252="",D252=""),"",IF(ISNA(MATCH(C252,Settings!$C$9:$C$14,0)),"Class not on Settings",IF(CHOOSE(MATCH(C252,Settings!$C$9:$C$14,0),COUNTIF('Class 1'!$B$11:$B$50,D252),COUNTIF('Class 2'!$B$11:$B$50,D252),COUNTIF('Class 3'!$B$11:$B$50,D252),COUNTIF('Class 4'!$B$11:$B$50,D252),COUNTIF('Class 5'!$B$11:$B$50,D252),COUNTIF('Class 6'!$B$11:$B$50,D252))=0,"Not on the class list","")))</f>
        <v/>
      </c>
      <c r="H252" s="1" t="n"/>
    </row>
    <row r="253">
      <c r="A253" s="1" t="n"/>
      <c r="B253" s="28" t="n"/>
      <c r="C253" s="30" t="n"/>
      <c r="D253" s="31" t="n"/>
      <c r="E253" s="33" t="n"/>
      <c r="F253" s="30" t="n"/>
      <c r="G253" s="12">
        <f>IF(OR(C253="",D253=""),"",IF(ISNA(MATCH(C253,Settings!$C$9:$C$14,0)),"Class not on Settings",IF(CHOOSE(MATCH(C253,Settings!$C$9:$C$14,0),COUNTIF('Class 1'!$B$11:$B$50,D253),COUNTIF('Class 2'!$B$11:$B$50,D253),COUNTIF('Class 3'!$B$11:$B$50,D253),COUNTIF('Class 4'!$B$11:$B$50,D253),COUNTIF('Class 5'!$B$11:$B$50,D253),COUNTIF('Class 6'!$B$11:$B$50,D253))=0,"Not on the class list","")))</f>
        <v/>
      </c>
      <c r="H253" s="1" t="n"/>
    </row>
    <row r="254">
      <c r="A254" s="1" t="n"/>
      <c r="B254" s="28" t="n"/>
      <c r="C254" s="30" t="n"/>
      <c r="D254" s="31" t="n"/>
      <c r="E254" s="33" t="n"/>
      <c r="F254" s="30" t="n"/>
      <c r="G254" s="12">
        <f>IF(OR(C254="",D254=""),"",IF(ISNA(MATCH(C254,Settings!$C$9:$C$14,0)),"Class not on Settings",IF(CHOOSE(MATCH(C254,Settings!$C$9:$C$14,0),COUNTIF('Class 1'!$B$11:$B$50,D254),COUNTIF('Class 2'!$B$11:$B$50,D254),COUNTIF('Class 3'!$B$11:$B$50,D254),COUNTIF('Class 4'!$B$11:$B$50,D254),COUNTIF('Class 5'!$B$11:$B$50,D254),COUNTIF('Class 6'!$B$11:$B$50,D254))=0,"Not on the class list","")))</f>
        <v/>
      </c>
      <c r="H254" s="1" t="n"/>
    </row>
    <row r="255">
      <c r="A255" s="1" t="n"/>
      <c r="B255" s="28" t="n"/>
      <c r="C255" s="30" t="n"/>
      <c r="D255" s="31" t="n"/>
      <c r="E255" s="33" t="n"/>
      <c r="F255" s="30" t="n"/>
      <c r="G255" s="12">
        <f>IF(OR(C255="",D255=""),"",IF(ISNA(MATCH(C255,Settings!$C$9:$C$14,0)),"Class not on Settings",IF(CHOOSE(MATCH(C255,Settings!$C$9:$C$14,0),COUNTIF('Class 1'!$B$11:$B$50,D255),COUNTIF('Class 2'!$B$11:$B$50,D255),COUNTIF('Class 3'!$B$11:$B$50,D255),COUNTIF('Class 4'!$B$11:$B$50,D255),COUNTIF('Class 5'!$B$11:$B$50,D255),COUNTIF('Class 6'!$B$11:$B$50,D255))=0,"Not on the class list","")))</f>
        <v/>
      </c>
      <c r="H255" s="1" t="n"/>
    </row>
    <row r="256">
      <c r="A256" s="1" t="n"/>
      <c r="B256" s="28" t="n"/>
      <c r="C256" s="30" t="n"/>
      <c r="D256" s="31" t="n"/>
      <c r="E256" s="33" t="n"/>
      <c r="F256" s="30" t="n"/>
      <c r="G256" s="12">
        <f>IF(OR(C256="",D256=""),"",IF(ISNA(MATCH(C256,Settings!$C$9:$C$14,0)),"Class not on Settings",IF(CHOOSE(MATCH(C256,Settings!$C$9:$C$14,0),COUNTIF('Class 1'!$B$11:$B$50,D256),COUNTIF('Class 2'!$B$11:$B$50,D256),COUNTIF('Class 3'!$B$11:$B$50,D256),COUNTIF('Class 4'!$B$11:$B$50,D256),COUNTIF('Class 5'!$B$11:$B$50,D256),COUNTIF('Class 6'!$B$11:$B$50,D256))=0,"Not on the class list","")))</f>
        <v/>
      </c>
      <c r="H256" s="1" t="n"/>
    </row>
    <row r="257">
      <c r="A257" s="1" t="n"/>
      <c r="B257" s="28" t="n"/>
      <c r="C257" s="30" t="n"/>
      <c r="D257" s="31" t="n"/>
      <c r="E257" s="33" t="n"/>
      <c r="F257" s="30" t="n"/>
      <c r="G257" s="12">
        <f>IF(OR(C257="",D257=""),"",IF(ISNA(MATCH(C257,Settings!$C$9:$C$14,0)),"Class not on Settings",IF(CHOOSE(MATCH(C257,Settings!$C$9:$C$14,0),COUNTIF('Class 1'!$B$11:$B$50,D257),COUNTIF('Class 2'!$B$11:$B$50,D257),COUNTIF('Class 3'!$B$11:$B$50,D257),COUNTIF('Class 4'!$B$11:$B$50,D257),COUNTIF('Class 5'!$B$11:$B$50,D257),COUNTIF('Class 6'!$B$11:$B$50,D257))=0,"Not on the class list","")))</f>
        <v/>
      </c>
      <c r="H257" s="1" t="n"/>
    </row>
    <row r="258">
      <c r="A258" s="1" t="n"/>
      <c r="B258" s="28" t="n"/>
      <c r="C258" s="30" t="n"/>
      <c r="D258" s="31" t="n"/>
      <c r="E258" s="33" t="n"/>
      <c r="F258" s="30" t="n"/>
      <c r="G258" s="12">
        <f>IF(OR(C258="",D258=""),"",IF(ISNA(MATCH(C258,Settings!$C$9:$C$14,0)),"Class not on Settings",IF(CHOOSE(MATCH(C258,Settings!$C$9:$C$14,0),COUNTIF('Class 1'!$B$11:$B$50,D258),COUNTIF('Class 2'!$B$11:$B$50,D258),COUNTIF('Class 3'!$B$11:$B$50,D258),COUNTIF('Class 4'!$B$11:$B$50,D258),COUNTIF('Class 5'!$B$11:$B$50,D258),COUNTIF('Class 6'!$B$11:$B$50,D258))=0,"Not on the class list","")))</f>
        <v/>
      </c>
      <c r="H258" s="1" t="n"/>
    </row>
    <row r="259">
      <c r="A259" s="1" t="n"/>
      <c r="B259" s="28" t="n"/>
      <c r="C259" s="30" t="n"/>
      <c r="D259" s="31" t="n"/>
      <c r="E259" s="33" t="n"/>
      <c r="F259" s="30" t="n"/>
      <c r="G259" s="12">
        <f>IF(OR(C259="",D259=""),"",IF(ISNA(MATCH(C259,Settings!$C$9:$C$14,0)),"Class not on Settings",IF(CHOOSE(MATCH(C259,Settings!$C$9:$C$14,0),COUNTIF('Class 1'!$B$11:$B$50,D259),COUNTIF('Class 2'!$B$11:$B$50,D259),COUNTIF('Class 3'!$B$11:$B$50,D259),COUNTIF('Class 4'!$B$11:$B$50,D259),COUNTIF('Class 5'!$B$11:$B$50,D259),COUNTIF('Class 6'!$B$11:$B$50,D259))=0,"Not on the class list","")))</f>
        <v/>
      </c>
      <c r="H259" s="1" t="n"/>
    </row>
    <row r="260">
      <c r="A260" s="1" t="n"/>
      <c r="B260" s="28" t="n"/>
      <c r="C260" s="30" t="n"/>
      <c r="D260" s="31" t="n"/>
      <c r="E260" s="33" t="n"/>
      <c r="F260" s="30" t="n"/>
      <c r="G260" s="12">
        <f>IF(OR(C260="",D260=""),"",IF(ISNA(MATCH(C260,Settings!$C$9:$C$14,0)),"Class not on Settings",IF(CHOOSE(MATCH(C260,Settings!$C$9:$C$14,0),COUNTIF('Class 1'!$B$11:$B$50,D260),COUNTIF('Class 2'!$B$11:$B$50,D260),COUNTIF('Class 3'!$B$11:$B$50,D260),COUNTIF('Class 4'!$B$11:$B$50,D260),COUNTIF('Class 5'!$B$11:$B$50,D260),COUNTIF('Class 6'!$B$11:$B$50,D260))=0,"Not on the class list","")))</f>
        <v/>
      </c>
      <c r="H260" s="1" t="n"/>
    </row>
    <row r="261">
      <c r="A261" s="1" t="n"/>
      <c r="B261" s="28" t="n"/>
      <c r="C261" s="30" t="n"/>
      <c r="D261" s="31" t="n"/>
      <c r="E261" s="33" t="n"/>
      <c r="F261" s="30" t="n"/>
      <c r="G261" s="12">
        <f>IF(OR(C261="",D261=""),"",IF(ISNA(MATCH(C261,Settings!$C$9:$C$14,0)),"Class not on Settings",IF(CHOOSE(MATCH(C261,Settings!$C$9:$C$14,0),COUNTIF('Class 1'!$B$11:$B$50,D261),COUNTIF('Class 2'!$B$11:$B$50,D261),COUNTIF('Class 3'!$B$11:$B$50,D261),COUNTIF('Class 4'!$B$11:$B$50,D261),COUNTIF('Class 5'!$B$11:$B$50,D261),COUNTIF('Class 6'!$B$11:$B$50,D261))=0,"Not on the class list","")))</f>
        <v/>
      </c>
      <c r="H261" s="1" t="n"/>
    </row>
    <row r="262">
      <c r="A262" s="1" t="n"/>
      <c r="B262" s="28" t="n"/>
      <c r="C262" s="30" t="n"/>
      <c r="D262" s="31" t="n"/>
      <c r="E262" s="33" t="n"/>
      <c r="F262" s="30" t="n"/>
      <c r="G262" s="12">
        <f>IF(OR(C262="",D262=""),"",IF(ISNA(MATCH(C262,Settings!$C$9:$C$14,0)),"Class not on Settings",IF(CHOOSE(MATCH(C262,Settings!$C$9:$C$14,0),COUNTIF('Class 1'!$B$11:$B$50,D262),COUNTIF('Class 2'!$B$11:$B$50,D262),COUNTIF('Class 3'!$B$11:$B$50,D262),COUNTIF('Class 4'!$B$11:$B$50,D262),COUNTIF('Class 5'!$B$11:$B$50,D262),COUNTIF('Class 6'!$B$11:$B$50,D262))=0,"Not on the class list","")))</f>
        <v/>
      </c>
      <c r="H262" s="1" t="n"/>
    </row>
    <row r="263">
      <c r="A263" s="1" t="n"/>
      <c r="B263" s="28" t="n"/>
      <c r="C263" s="30" t="n"/>
      <c r="D263" s="31" t="n"/>
      <c r="E263" s="33" t="n"/>
      <c r="F263" s="30" t="n"/>
      <c r="G263" s="12">
        <f>IF(OR(C263="",D263=""),"",IF(ISNA(MATCH(C263,Settings!$C$9:$C$14,0)),"Class not on Settings",IF(CHOOSE(MATCH(C263,Settings!$C$9:$C$14,0),COUNTIF('Class 1'!$B$11:$B$50,D263),COUNTIF('Class 2'!$B$11:$B$50,D263),COUNTIF('Class 3'!$B$11:$B$50,D263),COUNTIF('Class 4'!$B$11:$B$50,D263),COUNTIF('Class 5'!$B$11:$B$50,D263),COUNTIF('Class 6'!$B$11:$B$50,D263))=0,"Not on the class list","")))</f>
        <v/>
      </c>
      <c r="H263" s="1" t="n"/>
    </row>
    <row r="264">
      <c r="A264" s="1" t="n"/>
      <c r="B264" s="28" t="n"/>
      <c r="C264" s="30" t="n"/>
      <c r="D264" s="31" t="n"/>
      <c r="E264" s="33" t="n"/>
      <c r="F264" s="30" t="n"/>
      <c r="G264" s="12">
        <f>IF(OR(C264="",D264=""),"",IF(ISNA(MATCH(C264,Settings!$C$9:$C$14,0)),"Class not on Settings",IF(CHOOSE(MATCH(C264,Settings!$C$9:$C$14,0),COUNTIF('Class 1'!$B$11:$B$50,D264),COUNTIF('Class 2'!$B$11:$B$50,D264),COUNTIF('Class 3'!$B$11:$B$50,D264),COUNTIF('Class 4'!$B$11:$B$50,D264),COUNTIF('Class 5'!$B$11:$B$50,D264),COUNTIF('Class 6'!$B$11:$B$50,D264))=0,"Not on the class list","")))</f>
        <v/>
      </c>
      <c r="H264" s="1" t="n"/>
    </row>
    <row r="265">
      <c r="A265" s="1" t="n"/>
      <c r="B265" s="28" t="n"/>
      <c r="C265" s="30" t="n"/>
      <c r="D265" s="31" t="n"/>
      <c r="E265" s="33" t="n"/>
      <c r="F265" s="30" t="n"/>
      <c r="G265" s="12">
        <f>IF(OR(C265="",D265=""),"",IF(ISNA(MATCH(C265,Settings!$C$9:$C$14,0)),"Class not on Settings",IF(CHOOSE(MATCH(C265,Settings!$C$9:$C$14,0),COUNTIF('Class 1'!$B$11:$B$50,D265),COUNTIF('Class 2'!$B$11:$B$50,D265),COUNTIF('Class 3'!$B$11:$B$50,D265),COUNTIF('Class 4'!$B$11:$B$50,D265),COUNTIF('Class 5'!$B$11:$B$50,D265),COUNTIF('Class 6'!$B$11:$B$50,D265))=0,"Not on the class list","")))</f>
        <v/>
      </c>
      <c r="H265" s="1" t="n"/>
    </row>
    <row r="266">
      <c r="A266" s="1" t="n"/>
      <c r="B266" s="28" t="n"/>
      <c r="C266" s="30" t="n"/>
      <c r="D266" s="31" t="n"/>
      <c r="E266" s="33" t="n"/>
      <c r="F266" s="30" t="n"/>
      <c r="G266" s="12">
        <f>IF(OR(C266="",D266=""),"",IF(ISNA(MATCH(C266,Settings!$C$9:$C$14,0)),"Class not on Settings",IF(CHOOSE(MATCH(C266,Settings!$C$9:$C$14,0),COUNTIF('Class 1'!$B$11:$B$50,D266),COUNTIF('Class 2'!$B$11:$B$50,D266),COUNTIF('Class 3'!$B$11:$B$50,D266),COUNTIF('Class 4'!$B$11:$B$50,D266),COUNTIF('Class 5'!$B$11:$B$50,D266),COUNTIF('Class 6'!$B$11:$B$50,D266))=0,"Not on the class list","")))</f>
        <v/>
      </c>
      <c r="H266" s="1" t="n"/>
    </row>
    <row r="267">
      <c r="A267" s="1" t="n"/>
      <c r="B267" s="28" t="n"/>
      <c r="C267" s="30" t="n"/>
      <c r="D267" s="31" t="n"/>
      <c r="E267" s="33" t="n"/>
      <c r="F267" s="30" t="n"/>
      <c r="G267" s="12">
        <f>IF(OR(C267="",D267=""),"",IF(ISNA(MATCH(C267,Settings!$C$9:$C$14,0)),"Class not on Settings",IF(CHOOSE(MATCH(C267,Settings!$C$9:$C$14,0),COUNTIF('Class 1'!$B$11:$B$50,D267),COUNTIF('Class 2'!$B$11:$B$50,D267),COUNTIF('Class 3'!$B$11:$B$50,D267),COUNTIF('Class 4'!$B$11:$B$50,D267),COUNTIF('Class 5'!$B$11:$B$50,D267),COUNTIF('Class 6'!$B$11:$B$50,D267))=0,"Not on the class list","")))</f>
        <v/>
      </c>
      <c r="H267" s="1" t="n"/>
    </row>
    <row r="268">
      <c r="A268" s="1" t="n"/>
      <c r="B268" s="28" t="n"/>
      <c r="C268" s="30" t="n"/>
      <c r="D268" s="31" t="n"/>
      <c r="E268" s="33" t="n"/>
      <c r="F268" s="30" t="n"/>
      <c r="G268" s="12">
        <f>IF(OR(C268="",D268=""),"",IF(ISNA(MATCH(C268,Settings!$C$9:$C$14,0)),"Class not on Settings",IF(CHOOSE(MATCH(C268,Settings!$C$9:$C$14,0),COUNTIF('Class 1'!$B$11:$B$50,D268),COUNTIF('Class 2'!$B$11:$B$50,D268),COUNTIF('Class 3'!$B$11:$B$50,D268),COUNTIF('Class 4'!$B$11:$B$50,D268),COUNTIF('Class 5'!$B$11:$B$50,D268),COUNTIF('Class 6'!$B$11:$B$50,D268))=0,"Not on the class list","")))</f>
        <v/>
      </c>
      <c r="H268" s="1" t="n"/>
    </row>
    <row r="269">
      <c r="A269" s="1" t="n"/>
      <c r="B269" s="28" t="n"/>
      <c r="C269" s="30" t="n"/>
      <c r="D269" s="31" t="n"/>
      <c r="E269" s="33" t="n"/>
      <c r="F269" s="30" t="n"/>
      <c r="G269" s="12">
        <f>IF(OR(C269="",D269=""),"",IF(ISNA(MATCH(C269,Settings!$C$9:$C$14,0)),"Class not on Settings",IF(CHOOSE(MATCH(C269,Settings!$C$9:$C$14,0),COUNTIF('Class 1'!$B$11:$B$50,D269),COUNTIF('Class 2'!$B$11:$B$50,D269),COUNTIF('Class 3'!$B$11:$B$50,D269),COUNTIF('Class 4'!$B$11:$B$50,D269),COUNTIF('Class 5'!$B$11:$B$50,D269),COUNTIF('Class 6'!$B$11:$B$50,D269))=0,"Not on the class list","")))</f>
        <v/>
      </c>
      <c r="H269" s="1" t="n"/>
    </row>
    <row r="270">
      <c r="A270" s="1" t="n"/>
      <c r="B270" s="28" t="n"/>
      <c r="C270" s="30" t="n"/>
      <c r="D270" s="31" t="n"/>
      <c r="E270" s="33" t="n"/>
      <c r="F270" s="30" t="n"/>
      <c r="G270" s="12">
        <f>IF(OR(C270="",D270=""),"",IF(ISNA(MATCH(C270,Settings!$C$9:$C$14,0)),"Class not on Settings",IF(CHOOSE(MATCH(C270,Settings!$C$9:$C$14,0),COUNTIF('Class 1'!$B$11:$B$50,D270),COUNTIF('Class 2'!$B$11:$B$50,D270),COUNTIF('Class 3'!$B$11:$B$50,D270),COUNTIF('Class 4'!$B$11:$B$50,D270),COUNTIF('Class 5'!$B$11:$B$50,D270),COUNTIF('Class 6'!$B$11:$B$50,D270))=0,"Not on the class list","")))</f>
        <v/>
      </c>
      <c r="H270" s="1" t="n"/>
    </row>
    <row r="271">
      <c r="A271" s="1" t="n"/>
      <c r="B271" s="28" t="n"/>
      <c r="C271" s="30" t="n"/>
      <c r="D271" s="31" t="n"/>
      <c r="E271" s="33" t="n"/>
      <c r="F271" s="30" t="n"/>
      <c r="G271" s="12">
        <f>IF(OR(C271="",D271=""),"",IF(ISNA(MATCH(C271,Settings!$C$9:$C$14,0)),"Class not on Settings",IF(CHOOSE(MATCH(C271,Settings!$C$9:$C$14,0),COUNTIF('Class 1'!$B$11:$B$50,D271),COUNTIF('Class 2'!$B$11:$B$50,D271),COUNTIF('Class 3'!$B$11:$B$50,D271),COUNTIF('Class 4'!$B$11:$B$50,D271),COUNTIF('Class 5'!$B$11:$B$50,D271),COUNTIF('Class 6'!$B$11:$B$50,D271))=0,"Not on the class list","")))</f>
        <v/>
      </c>
      <c r="H271" s="1" t="n"/>
    </row>
    <row r="272">
      <c r="A272" s="1" t="n"/>
      <c r="B272" s="28" t="n"/>
      <c r="C272" s="30" t="n"/>
      <c r="D272" s="31" t="n"/>
      <c r="E272" s="33" t="n"/>
      <c r="F272" s="30" t="n"/>
      <c r="G272" s="12">
        <f>IF(OR(C272="",D272=""),"",IF(ISNA(MATCH(C272,Settings!$C$9:$C$14,0)),"Class not on Settings",IF(CHOOSE(MATCH(C272,Settings!$C$9:$C$14,0),COUNTIF('Class 1'!$B$11:$B$50,D272),COUNTIF('Class 2'!$B$11:$B$50,D272),COUNTIF('Class 3'!$B$11:$B$50,D272),COUNTIF('Class 4'!$B$11:$B$50,D272),COUNTIF('Class 5'!$B$11:$B$50,D272),COUNTIF('Class 6'!$B$11:$B$50,D272))=0,"Not on the class list","")))</f>
        <v/>
      </c>
      <c r="H272" s="1" t="n"/>
    </row>
    <row r="273">
      <c r="A273" s="1" t="n"/>
      <c r="B273" s="28" t="n"/>
      <c r="C273" s="30" t="n"/>
      <c r="D273" s="31" t="n"/>
      <c r="E273" s="33" t="n"/>
      <c r="F273" s="30" t="n"/>
      <c r="G273" s="12">
        <f>IF(OR(C273="",D273=""),"",IF(ISNA(MATCH(C273,Settings!$C$9:$C$14,0)),"Class not on Settings",IF(CHOOSE(MATCH(C273,Settings!$C$9:$C$14,0),COUNTIF('Class 1'!$B$11:$B$50,D273),COUNTIF('Class 2'!$B$11:$B$50,D273),COUNTIF('Class 3'!$B$11:$B$50,D273),COUNTIF('Class 4'!$B$11:$B$50,D273),COUNTIF('Class 5'!$B$11:$B$50,D273),COUNTIF('Class 6'!$B$11:$B$50,D273))=0,"Not on the class list","")))</f>
        <v/>
      </c>
      <c r="H273" s="1" t="n"/>
    </row>
    <row r="274">
      <c r="A274" s="1" t="n"/>
      <c r="B274" s="28" t="n"/>
      <c r="C274" s="30" t="n"/>
      <c r="D274" s="31" t="n"/>
      <c r="E274" s="33" t="n"/>
      <c r="F274" s="30" t="n"/>
      <c r="G274" s="12">
        <f>IF(OR(C274="",D274=""),"",IF(ISNA(MATCH(C274,Settings!$C$9:$C$14,0)),"Class not on Settings",IF(CHOOSE(MATCH(C274,Settings!$C$9:$C$14,0),COUNTIF('Class 1'!$B$11:$B$50,D274),COUNTIF('Class 2'!$B$11:$B$50,D274),COUNTIF('Class 3'!$B$11:$B$50,D274),COUNTIF('Class 4'!$B$11:$B$50,D274),COUNTIF('Class 5'!$B$11:$B$50,D274),COUNTIF('Class 6'!$B$11:$B$50,D274))=0,"Not on the class list","")))</f>
        <v/>
      </c>
      <c r="H274" s="1" t="n"/>
    </row>
    <row r="275">
      <c r="A275" s="1" t="n"/>
      <c r="B275" s="28" t="n"/>
      <c r="C275" s="30" t="n"/>
      <c r="D275" s="31" t="n"/>
      <c r="E275" s="33" t="n"/>
      <c r="F275" s="30" t="n"/>
      <c r="G275" s="12">
        <f>IF(OR(C275="",D275=""),"",IF(ISNA(MATCH(C275,Settings!$C$9:$C$14,0)),"Class not on Settings",IF(CHOOSE(MATCH(C275,Settings!$C$9:$C$14,0),COUNTIF('Class 1'!$B$11:$B$50,D275),COUNTIF('Class 2'!$B$11:$B$50,D275),COUNTIF('Class 3'!$B$11:$B$50,D275),COUNTIF('Class 4'!$B$11:$B$50,D275),COUNTIF('Class 5'!$B$11:$B$50,D275),COUNTIF('Class 6'!$B$11:$B$50,D275))=0,"Not on the class list","")))</f>
        <v/>
      </c>
      <c r="H275" s="1" t="n"/>
    </row>
    <row r="276">
      <c r="A276" s="1" t="n"/>
      <c r="B276" s="28" t="n"/>
      <c r="C276" s="30" t="n"/>
      <c r="D276" s="31" t="n"/>
      <c r="E276" s="33" t="n"/>
      <c r="F276" s="30" t="n"/>
      <c r="G276" s="12">
        <f>IF(OR(C276="",D276=""),"",IF(ISNA(MATCH(C276,Settings!$C$9:$C$14,0)),"Class not on Settings",IF(CHOOSE(MATCH(C276,Settings!$C$9:$C$14,0),COUNTIF('Class 1'!$B$11:$B$50,D276),COUNTIF('Class 2'!$B$11:$B$50,D276),COUNTIF('Class 3'!$B$11:$B$50,D276),COUNTIF('Class 4'!$B$11:$B$50,D276),COUNTIF('Class 5'!$B$11:$B$50,D276),COUNTIF('Class 6'!$B$11:$B$50,D276))=0,"Not on the class list","")))</f>
        <v/>
      </c>
      <c r="H276" s="1" t="n"/>
    </row>
    <row r="277">
      <c r="A277" s="1" t="n"/>
      <c r="B277" s="28" t="n"/>
      <c r="C277" s="30" t="n"/>
      <c r="D277" s="31" t="n"/>
      <c r="E277" s="33" t="n"/>
      <c r="F277" s="30" t="n"/>
      <c r="G277" s="12">
        <f>IF(OR(C277="",D277=""),"",IF(ISNA(MATCH(C277,Settings!$C$9:$C$14,0)),"Class not on Settings",IF(CHOOSE(MATCH(C277,Settings!$C$9:$C$14,0),COUNTIF('Class 1'!$B$11:$B$50,D277),COUNTIF('Class 2'!$B$11:$B$50,D277),COUNTIF('Class 3'!$B$11:$B$50,D277),COUNTIF('Class 4'!$B$11:$B$50,D277),COUNTIF('Class 5'!$B$11:$B$50,D277),COUNTIF('Class 6'!$B$11:$B$50,D277))=0,"Not on the class list","")))</f>
        <v/>
      </c>
      <c r="H277" s="1" t="n"/>
    </row>
    <row r="278">
      <c r="A278" s="1" t="n"/>
      <c r="B278" s="28" t="n"/>
      <c r="C278" s="30" t="n"/>
      <c r="D278" s="31" t="n"/>
      <c r="E278" s="33" t="n"/>
      <c r="F278" s="30" t="n"/>
      <c r="G278" s="12">
        <f>IF(OR(C278="",D278=""),"",IF(ISNA(MATCH(C278,Settings!$C$9:$C$14,0)),"Class not on Settings",IF(CHOOSE(MATCH(C278,Settings!$C$9:$C$14,0),COUNTIF('Class 1'!$B$11:$B$50,D278),COUNTIF('Class 2'!$B$11:$B$50,D278),COUNTIF('Class 3'!$B$11:$B$50,D278),COUNTIF('Class 4'!$B$11:$B$50,D278),COUNTIF('Class 5'!$B$11:$B$50,D278),COUNTIF('Class 6'!$B$11:$B$50,D278))=0,"Not on the class list","")))</f>
        <v/>
      </c>
      <c r="H278" s="1" t="n"/>
    </row>
    <row r="279">
      <c r="A279" s="1" t="n"/>
      <c r="B279" s="28" t="n"/>
      <c r="C279" s="30" t="n"/>
      <c r="D279" s="31" t="n"/>
      <c r="E279" s="33" t="n"/>
      <c r="F279" s="30" t="n"/>
      <c r="G279" s="12">
        <f>IF(OR(C279="",D279=""),"",IF(ISNA(MATCH(C279,Settings!$C$9:$C$14,0)),"Class not on Settings",IF(CHOOSE(MATCH(C279,Settings!$C$9:$C$14,0),COUNTIF('Class 1'!$B$11:$B$50,D279),COUNTIF('Class 2'!$B$11:$B$50,D279),COUNTIF('Class 3'!$B$11:$B$50,D279),COUNTIF('Class 4'!$B$11:$B$50,D279),COUNTIF('Class 5'!$B$11:$B$50,D279),COUNTIF('Class 6'!$B$11:$B$50,D279))=0,"Not on the class list","")))</f>
        <v/>
      </c>
      <c r="H279" s="1" t="n"/>
    </row>
    <row r="280">
      <c r="A280" s="1" t="n"/>
      <c r="B280" s="28" t="n"/>
      <c r="C280" s="30" t="n"/>
      <c r="D280" s="31" t="n"/>
      <c r="E280" s="33" t="n"/>
      <c r="F280" s="30" t="n"/>
      <c r="G280" s="12">
        <f>IF(OR(C280="",D280=""),"",IF(ISNA(MATCH(C280,Settings!$C$9:$C$14,0)),"Class not on Settings",IF(CHOOSE(MATCH(C280,Settings!$C$9:$C$14,0),COUNTIF('Class 1'!$B$11:$B$50,D280),COUNTIF('Class 2'!$B$11:$B$50,D280),COUNTIF('Class 3'!$B$11:$B$50,D280),COUNTIF('Class 4'!$B$11:$B$50,D280),COUNTIF('Class 5'!$B$11:$B$50,D280),COUNTIF('Class 6'!$B$11:$B$50,D280))=0,"Not on the class list","")))</f>
        <v/>
      </c>
      <c r="H280" s="1" t="n"/>
    </row>
    <row r="281">
      <c r="A281" s="1" t="n"/>
      <c r="B281" s="28" t="n"/>
      <c r="C281" s="30" t="n"/>
      <c r="D281" s="31" t="n"/>
      <c r="E281" s="33" t="n"/>
      <c r="F281" s="30" t="n"/>
      <c r="G281" s="12">
        <f>IF(OR(C281="",D281=""),"",IF(ISNA(MATCH(C281,Settings!$C$9:$C$14,0)),"Class not on Settings",IF(CHOOSE(MATCH(C281,Settings!$C$9:$C$14,0),COUNTIF('Class 1'!$B$11:$B$50,D281),COUNTIF('Class 2'!$B$11:$B$50,D281),COUNTIF('Class 3'!$B$11:$B$50,D281),COUNTIF('Class 4'!$B$11:$B$50,D281),COUNTIF('Class 5'!$B$11:$B$50,D281),COUNTIF('Class 6'!$B$11:$B$50,D281))=0,"Not on the class list","")))</f>
        <v/>
      </c>
      <c r="H281" s="1" t="n"/>
    </row>
    <row r="282">
      <c r="A282" s="1" t="n"/>
      <c r="B282" s="28" t="n"/>
      <c r="C282" s="30" t="n"/>
      <c r="D282" s="31" t="n"/>
      <c r="E282" s="33" t="n"/>
      <c r="F282" s="30" t="n"/>
      <c r="G282" s="12">
        <f>IF(OR(C282="",D282=""),"",IF(ISNA(MATCH(C282,Settings!$C$9:$C$14,0)),"Class not on Settings",IF(CHOOSE(MATCH(C282,Settings!$C$9:$C$14,0),COUNTIF('Class 1'!$B$11:$B$50,D282),COUNTIF('Class 2'!$B$11:$B$50,D282),COUNTIF('Class 3'!$B$11:$B$50,D282),COUNTIF('Class 4'!$B$11:$B$50,D282),COUNTIF('Class 5'!$B$11:$B$50,D282),COUNTIF('Class 6'!$B$11:$B$50,D282))=0,"Not on the class list","")))</f>
        <v/>
      </c>
      <c r="H282" s="1" t="n"/>
    </row>
    <row r="283">
      <c r="A283" s="1" t="n"/>
      <c r="B283" s="28" t="n"/>
      <c r="C283" s="30" t="n"/>
      <c r="D283" s="31" t="n"/>
      <c r="E283" s="33" t="n"/>
      <c r="F283" s="30" t="n"/>
      <c r="G283" s="12">
        <f>IF(OR(C283="",D283=""),"",IF(ISNA(MATCH(C283,Settings!$C$9:$C$14,0)),"Class not on Settings",IF(CHOOSE(MATCH(C283,Settings!$C$9:$C$14,0),COUNTIF('Class 1'!$B$11:$B$50,D283),COUNTIF('Class 2'!$B$11:$B$50,D283),COUNTIF('Class 3'!$B$11:$B$50,D283),COUNTIF('Class 4'!$B$11:$B$50,D283),COUNTIF('Class 5'!$B$11:$B$50,D283),COUNTIF('Class 6'!$B$11:$B$50,D283))=0,"Not on the class list","")))</f>
        <v/>
      </c>
      <c r="H283" s="1" t="n"/>
    </row>
    <row r="284">
      <c r="A284" s="1" t="n"/>
      <c r="B284" s="28" t="n"/>
      <c r="C284" s="30" t="n"/>
      <c r="D284" s="31" t="n"/>
      <c r="E284" s="33" t="n"/>
      <c r="F284" s="30" t="n"/>
      <c r="G284" s="12">
        <f>IF(OR(C284="",D284=""),"",IF(ISNA(MATCH(C284,Settings!$C$9:$C$14,0)),"Class not on Settings",IF(CHOOSE(MATCH(C284,Settings!$C$9:$C$14,0),COUNTIF('Class 1'!$B$11:$B$50,D284),COUNTIF('Class 2'!$B$11:$B$50,D284),COUNTIF('Class 3'!$B$11:$B$50,D284),COUNTIF('Class 4'!$B$11:$B$50,D284),COUNTIF('Class 5'!$B$11:$B$50,D284),COUNTIF('Class 6'!$B$11:$B$50,D284))=0,"Not on the class list","")))</f>
        <v/>
      </c>
      <c r="H284" s="1" t="n"/>
    </row>
    <row r="285">
      <c r="A285" s="1" t="n"/>
      <c r="B285" s="28" t="n"/>
      <c r="C285" s="30" t="n"/>
      <c r="D285" s="31" t="n"/>
      <c r="E285" s="33" t="n"/>
      <c r="F285" s="30" t="n"/>
      <c r="G285" s="12">
        <f>IF(OR(C285="",D285=""),"",IF(ISNA(MATCH(C285,Settings!$C$9:$C$14,0)),"Class not on Settings",IF(CHOOSE(MATCH(C285,Settings!$C$9:$C$14,0),COUNTIF('Class 1'!$B$11:$B$50,D285),COUNTIF('Class 2'!$B$11:$B$50,D285),COUNTIF('Class 3'!$B$11:$B$50,D285),COUNTIF('Class 4'!$B$11:$B$50,D285),COUNTIF('Class 5'!$B$11:$B$50,D285),COUNTIF('Class 6'!$B$11:$B$50,D285))=0,"Not on the class list","")))</f>
        <v/>
      </c>
      <c r="H285" s="1" t="n"/>
    </row>
    <row r="286">
      <c r="A286" s="1" t="n"/>
      <c r="B286" s="28" t="n"/>
      <c r="C286" s="30" t="n"/>
      <c r="D286" s="31" t="n"/>
      <c r="E286" s="33" t="n"/>
      <c r="F286" s="30" t="n"/>
      <c r="G286" s="12">
        <f>IF(OR(C286="",D286=""),"",IF(ISNA(MATCH(C286,Settings!$C$9:$C$14,0)),"Class not on Settings",IF(CHOOSE(MATCH(C286,Settings!$C$9:$C$14,0),COUNTIF('Class 1'!$B$11:$B$50,D286),COUNTIF('Class 2'!$B$11:$B$50,D286),COUNTIF('Class 3'!$B$11:$B$50,D286),COUNTIF('Class 4'!$B$11:$B$50,D286),COUNTIF('Class 5'!$B$11:$B$50,D286),COUNTIF('Class 6'!$B$11:$B$50,D286))=0,"Not on the class list","")))</f>
        <v/>
      </c>
      <c r="H286" s="1" t="n"/>
    </row>
    <row r="287">
      <c r="A287" s="1" t="n"/>
      <c r="B287" s="28" t="n"/>
      <c r="C287" s="30" t="n"/>
      <c r="D287" s="31" t="n"/>
      <c r="E287" s="33" t="n"/>
      <c r="F287" s="30" t="n"/>
      <c r="G287" s="12">
        <f>IF(OR(C287="",D287=""),"",IF(ISNA(MATCH(C287,Settings!$C$9:$C$14,0)),"Class not on Settings",IF(CHOOSE(MATCH(C287,Settings!$C$9:$C$14,0),COUNTIF('Class 1'!$B$11:$B$50,D287),COUNTIF('Class 2'!$B$11:$B$50,D287),COUNTIF('Class 3'!$B$11:$B$50,D287),COUNTIF('Class 4'!$B$11:$B$50,D287),COUNTIF('Class 5'!$B$11:$B$50,D287),COUNTIF('Class 6'!$B$11:$B$50,D287))=0,"Not on the class list","")))</f>
        <v/>
      </c>
      <c r="H287" s="1" t="n"/>
    </row>
    <row r="288">
      <c r="A288" s="1" t="n"/>
      <c r="B288" s="28" t="n"/>
      <c r="C288" s="30" t="n"/>
      <c r="D288" s="31" t="n"/>
      <c r="E288" s="33" t="n"/>
      <c r="F288" s="30" t="n"/>
      <c r="G288" s="12">
        <f>IF(OR(C288="",D288=""),"",IF(ISNA(MATCH(C288,Settings!$C$9:$C$14,0)),"Class not on Settings",IF(CHOOSE(MATCH(C288,Settings!$C$9:$C$14,0),COUNTIF('Class 1'!$B$11:$B$50,D288),COUNTIF('Class 2'!$B$11:$B$50,D288),COUNTIF('Class 3'!$B$11:$B$50,D288),COUNTIF('Class 4'!$B$11:$B$50,D288),COUNTIF('Class 5'!$B$11:$B$50,D288),COUNTIF('Class 6'!$B$11:$B$50,D288))=0,"Not on the class list","")))</f>
        <v/>
      </c>
      <c r="H288" s="1" t="n"/>
    </row>
    <row r="289">
      <c r="A289" s="1" t="n"/>
      <c r="B289" s="28" t="n"/>
      <c r="C289" s="30" t="n"/>
      <c r="D289" s="31" t="n"/>
      <c r="E289" s="33" t="n"/>
      <c r="F289" s="30" t="n"/>
      <c r="G289" s="12">
        <f>IF(OR(C289="",D289=""),"",IF(ISNA(MATCH(C289,Settings!$C$9:$C$14,0)),"Class not on Settings",IF(CHOOSE(MATCH(C289,Settings!$C$9:$C$14,0),COUNTIF('Class 1'!$B$11:$B$50,D289),COUNTIF('Class 2'!$B$11:$B$50,D289),COUNTIF('Class 3'!$B$11:$B$50,D289),COUNTIF('Class 4'!$B$11:$B$50,D289),COUNTIF('Class 5'!$B$11:$B$50,D289),COUNTIF('Class 6'!$B$11:$B$50,D289))=0,"Not on the class list","")))</f>
        <v/>
      </c>
      <c r="H289" s="1" t="n"/>
    </row>
    <row r="290">
      <c r="A290" s="1" t="n"/>
      <c r="B290" s="28" t="n"/>
      <c r="C290" s="30" t="n"/>
      <c r="D290" s="31" t="n"/>
      <c r="E290" s="33" t="n"/>
      <c r="F290" s="30" t="n"/>
      <c r="G290" s="12">
        <f>IF(OR(C290="",D290=""),"",IF(ISNA(MATCH(C290,Settings!$C$9:$C$14,0)),"Class not on Settings",IF(CHOOSE(MATCH(C290,Settings!$C$9:$C$14,0),COUNTIF('Class 1'!$B$11:$B$50,D290),COUNTIF('Class 2'!$B$11:$B$50,D290),COUNTIF('Class 3'!$B$11:$B$50,D290),COUNTIF('Class 4'!$B$11:$B$50,D290),COUNTIF('Class 5'!$B$11:$B$50,D290),COUNTIF('Class 6'!$B$11:$B$50,D290))=0,"Not on the class list","")))</f>
        <v/>
      </c>
      <c r="H290" s="1" t="n"/>
    </row>
    <row r="291">
      <c r="A291" s="1" t="n"/>
      <c r="B291" s="28" t="n"/>
      <c r="C291" s="30" t="n"/>
      <c r="D291" s="31" t="n"/>
      <c r="E291" s="33" t="n"/>
      <c r="F291" s="30" t="n"/>
      <c r="G291" s="12">
        <f>IF(OR(C291="",D291=""),"",IF(ISNA(MATCH(C291,Settings!$C$9:$C$14,0)),"Class not on Settings",IF(CHOOSE(MATCH(C291,Settings!$C$9:$C$14,0),COUNTIF('Class 1'!$B$11:$B$50,D291),COUNTIF('Class 2'!$B$11:$B$50,D291),COUNTIF('Class 3'!$B$11:$B$50,D291),COUNTIF('Class 4'!$B$11:$B$50,D291),COUNTIF('Class 5'!$B$11:$B$50,D291),COUNTIF('Class 6'!$B$11:$B$50,D291))=0,"Not on the class list","")))</f>
        <v/>
      </c>
      <c r="H291" s="1" t="n"/>
    </row>
    <row r="292">
      <c r="A292" s="1" t="n"/>
      <c r="B292" s="28" t="n"/>
      <c r="C292" s="30" t="n"/>
      <c r="D292" s="31" t="n"/>
      <c r="E292" s="33" t="n"/>
      <c r="F292" s="30" t="n"/>
      <c r="G292" s="12">
        <f>IF(OR(C292="",D292=""),"",IF(ISNA(MATCH(C292,Settings!$C$9:$C$14,0)),"Class not on Settings",IF(CHOOSE(MATCH(C292,Settings!$C$9:$C$14,0),COUNTIF('Class 1'!$B$11:$B$50,D292),COUNTIF('Class 2'!$B$11:$B$50,D292),COUNTIF('Class 3'!$B$11:$B$50,D292),COUNTIF('Class 4'!$B$11:$B$50,D292),COUNTIF('Class 5'!$B$11:$B$50,D292),COUNTIF('Class 6'!$B$11:$B$50,D292))=0,"Not on the class list","")))</f>
        <v/>
      </c>
      <c r="H292" s="1" t="n"/>
    </row>
    <row r="293">
      <c r="A293" s="1" t="n"/>
      <c r="B293" s="28" t="n"/>
      <c r="C293" s="30" t="n"/>
      <c r="D293" s="31" t="n"/>
      <c r="E293" s="33" t="n"/>
      <c r="F293" s="30" t="n"/>
      <c r="G293" s="12">
        <f>IF(OR(C293="",D293=""),"",IF(ISNA(MATCH(C293,Settings!$C$9:$C$14,0)),"Class not on Settings",IF(CHOOSE(MATCH(C293,Settings!$C$9:$C$14,0),COUNTIF('Class 1'!$B$11:$B$50,D293),COUNTIF('Class 2'!$B$11:$B$50,D293),COUNTIF('Class 3'!$B$11:$B$50,D293),COUNTIF('Class 4'!$B$11:$B$50,D293),COUNTIF('Class 5'!$B$11:$B$50,D293),COUNTIF('Class 6'!$B$11:$B$50,D293))=0,"Not on the class list","")))</f>
        <v/>
      </c>
      <c r="H293" s="1" t="n"/>
    </row>
    <row r="294">
      <c r="A294" s="1" t="n"/>
      <c r="B294" s="28" t="n"/>
      <c r="C294" s="30" t="n"/>
      <c r="D294" s="31" t="n"/>
      <c r="E294" s="33" t="n"/>
      <c r="F294" s="30" t="n"/>
      <c r="G294" s="12">
        <f>IF(OR(C294="",D294=""),"",IF(ISNA(MATCH(C294,Settings!$C$9:$C$14,0)),"Class not on Settings",IF(CHOOSE(MATCH(C294,Settings!$C$9:$C$14,0),COUNTIF('Class 1'!$B$11:$B$50,D294),COUNTIF('Class 2'!$B$11:$B$50,D294),COUNTIF('Class 3'!$B$11:$B$50,D294),COUNTIF('Class 4'!$B$11:$B$50,D294),COUNTIF('Class 5'!$B$11:$B$50,D294),COUNTIF('Class 6'!$B$11:$B$50,D294))=0,"Not on the class list","")))</f>
        <v/>
      </c>
      <c r="H294" s="1" t="n"/>
    </row>
    <row r="295">
      <c r="A295" s="1" t="n"/>
      <c r="B295" s="28" t="n"/>
      <c r="C295" s="30" t="n"/>
      <c r="D295" s="31" t="n"/>
      <c r="E295" s="33" t="n"/>
      <c r="F295" s="30" t="n"/>
      <c r="G295" s="12">
        <f>IF(OR(C295="",D295=""),"",IF(ISNA(MATCH(C295,Settings!$C$9:$C$14,0)),"Class not on Settings",IF(CHOOSE(MATCH(C295,Settings!$C$9:$C$14,0),COUNTIF('Class 1'!$B$11:$B$50,D295),COUNTIF('Class 2'!$B$11:$B$50,D295),COUNTIF('Class 3'!$B$11:$B$50,D295),COUNTIF('Class 4'!$B$11:$B$50,D295),COUNTIF('Class 5'!$B$11:$B$50,D295),COUNTIF('Class 6'!$B$11:$B$50,D295))=0,"Not on the class list","")))</f>
        <v/>
      </c>
      <c r="H295" s="1" t="n"/>
    </row>
    <row r="296">
      <c r="A296" s="1" t="n"/>
      <c r="B296" s="28" t="n"/>
      <c r="C296" s="30" t="n"/>
      <c r="D296" s="31" t="n"/>
      <c r="E296" s="33" t="n"/>
      <c r="F296" s="30" t="n"/>
      <c r="G296" s="12">
        <f>IF(OR(C296="",D296=""),"",IF(ISNA(MATCH(C296,Settings!$C$9:$C$14,0)),"Class not on Settings",IF(CHOOSE(MATCH(C296,Settings!$C$9:$C$14,0),COUNTIF('Class 1'!$B$11:$B$50,D296),COUNTIF('Class 2'!$B$11:$B$50,D296),COUNTIF('Class 3'!$B$11:$B$50,D296),COUNTIF('Class 4'!$B$11:$B$50,D296),COUNTIF('Class 5'!$B$11:$B$50,D296),COUNTIF('Class 6'!$B$11:$B$50,D296))=0,"Not on the class list","")))</f>
        <v/>
      </c>
      <c r="H296" s="1" t="n"/>
    </row>
    <row r="297">
      <c r="A297" s="1" t="n"/>
      <c r="B297" s="28" t="n"/>
      <c r="C297" s="30" t="n"/>
      <c r="D297" s="31" t="n"/>
      <c r="E297" s="33" t="n"/>
      <c r="F297" s="30" t="n"/>
      <c r="G297" s="12">
        <f>IF(OR(C297="",D297=""),"",IF(ISNA(MATCH(C297,Settings!$C$9:$C$14,0)),"Class not on Settings",IF(CHOOSE(MATCH(C297,Settings!$C$9:$C$14,0),COUNTIF('Class 1'!$B$11:$B$50,D297),COUNTIF('Class 2'!$B$11:$B$50,D297),COUNTIF('Class 3'!$B$11:$B$50,D297),COUNTIF('Class 4'!$B$11:$B$50,D297),COUNTIF('Class 5'!$B$11:$B$50,D297),COUNTIF('Class 6'!$B$11:$B$50,D297))=0,"Not on the class list","")))</f>
        <v/>
      </c>
      <c r="H297" s="1" t="n"/>
    </row>
    <row r="298">
      <c r="A298" s="1" t="n"/>
      <c r="B298" s="28" t="n"/>
      <c r="C298" s="30" t="n"/>
      <c r="D298" s="31" t="n"/>
      <c r="E298" s="33" t="n"/>
      <c r="F298" s="30" t="n"/>
      <c r="G298" s="12">
        <f>IF(OR(C298="",D298=""),"",IF(ISNA(MATCH(C298,Settings!$C$9:$C$14,0)),"Class not on Settings",IF(CHOOSE(MATCH(C298,Settings!$C$9:$C$14,0),COUNTIF('Class 1'!$B$11:$B$50,D298),COUNTIF('Class 2'!$B$11:$B$50,D298),COUNTIF('Class 3'!$B$11:$B$50,D298),COUNTIF('Class 4'!$B$11:$B$50,D298),COUNTIF('Class 5'!$B$11:$B$50,D298),COUNTIF('Class 6'!$B$11:$B$50,D298))=0,"Not on the class list","")))</f>
        <v/>
      </c>
      <c r="H298" s="1" t="n"/>
    </row>
    <row r="299">
      <c r="A299" s="1" t="n"/>
      <c r="B299" s="28" t="n"/>
      <c r="C299" s="30" t="n"/>
      <c r="D299" s="31" t="n"/>
      <c r="E299" s="33" t="n"/>
      <c r="F299" s="30" t="n"/>
      <c r="G299" s="12">
        <f>IF(OR(C299="",D299=""),"",IF(ISNA(MATCH(C299,Settings!$C$9:$C$14,0)),"Class not on Settings",IF(CHOOSE(MATCH(C299,Settings!$C$9:$C$14,0),COUNTIF('Class 1'!$B$11:$B$50,D299),COUNTIF('Class 2'!$B$11:$B$50,D299),COUNTIF('Class 3'!$B$11:$B$50,D299),COUNTIF('Class 4'!$B$11:$B$50,D299),COUNTIF('Class 5'!$B$11:$B$50,D299),COUNTIF('Class 6'!$B$11:$B$50,D299))=0,"Not on the class list","")))</f>
        <v/>
      </c>
      <c r="H299" s="1" t="n"/>
    </row>
    <row r="300">
      <c r="A300" s="1" t="n"/>
      <c r="B300" s="28" t="n"/>
      <c r="C300" s="30" t="n"/>
      <c r="D300" s="31" t="n"/>
      <c r="E300" s="33" t="n"/>
      <c r="F300" s="30" t="n"/>
      <c r="G300" s="12">
        <f>IF(OR(C300="",D300=""),"",IF(ISNA(MATCH(C300,Settings!$C$9:$C$14,0)),"Class not on Settings",IF(CHOOSE(MATCH(C300,Settings!$C$9:$C$14,0),COUNTIF('Class 1'!$B$11:$B$50,D300),COUNTIF('Class 2'!$B$11:$B$50,D300),COUNTIF('Class 3'!$B$11:$B$50,D300),COUNTIF('Class 4'!$B$11:$B$50,D300),COUNTIF('Class 5'!$B$11:$B$50,D300),COUNTIF('Class 6'!$B$11:$B$50,D300))=0,"Not on the class list","")))</f>
        <v/>
      </c>
      <c r="H300" s="1" t="n"/>
    </row>
    <row r="301">
      <c r="A301" s="1" t="n"/>
      <c r="B301" s="28" t="n"/>
      <c r="C301" s="30" t="n"/>
      <c r="D301" s="31" t="n"/>
      <c r="E301" s="33" t="n"/>
      <c r="F301" s="30" t="n"/>
      <c r="G301" s="12">
        <f>IF(OR(C301="",D301=""),"",IF(ISNA(MATCH(C301,Settings!$C$9:$C$14,0)),"Class not on Settings",IF(CHOOSE(MATCH(C301,Settings!$C$9:$C$14,0),COUNTIF('Class 1'!$B$11:$B$50,D301),COUNTIF('Class 2'!$B$11:$B$50,D301),COUNTIF('Class 3'!$B$11:$B$50,D301),COUNTIF('Class 4'!$B$11:$B$50,D301),COUNTIF('Class 5'!$B$11:$B$50,D301),COUNTIF('Class 6'!$B$11:$B$50,D301))=0,"Not on the class list","")))</f>
        <v/>
      </c>
      <c r="H301" s="1" t="n"/>
    </row>
    <row r="302">
      <c r="A302" s="1" t="n"/>
      <c r="B302" s="28" t="n"/>
      <c r="C302" s="30" t="n"/>
      <c r="D302" s="31" t="n"/>
      <c r="E302" s="33" t="n"/>
      <c r="F302" s="30" t="n"/>
      <c r="G302" s="12">
        <f>IF(OR(C302="",D302=""),"",IF(ISNA(MATCH(C302,Settings!$C$9:$C$14,0)),"Class not on Settings",IF(CHOOSE(MATCH(C302,Settings!$C$9:$C$14,0),COUNTIF('Class 1'!$B$11:$B$50,D302),COUNTIF('Class 2'!$B$11:$B$50,D302),COUNTIF('Class 3'!$B$11:$B$50,D302),COUNTIF('Class 4'!$B$11:$B$50,D302),COUNTIF('Class 5'!$B$11:$B$50,D302),COUNTIF('Class 6'!$B$11:$B$50,D302))=0,"Not on the class list","")))</f>
        <v/>
      </c>
      <c r="H302" s="1" t="n"/>
    </row>
    <row r="303">
      <c r="A303" s="1" t="n"/>
      <c r="B303" s="28" t="n"/>
      <c r="C303" s="30" t="n"/>
      <c r="D303" s="31" t="n"/>
      <c r="E303" s="33" t="n"/>
      <c r="F303" s="30" t="n"/>
      <c r="G303" s="12">
        <f>IF(OR(C303="",D303=""),"",IF(ISNA(MATCH(C303,Settings!$C$9:$C$14,0)),"Class not on Settings",IF(CHOOSE(MATCH(C303,Settings!$C$9:$C$14,0),COUNTIF('Class 1'!$B$11:$B$50,D303),COUNTIF('Class 2'!$B$11:$B$50,D303),COUNTIF('Class 3'!$B$11:$B$50,D303),COUNTIF('Class 4'!$B$11:$B$50,D303),COUNTIF('Class 5'!$B$11:$B$50,D303),COUNTIF('Class 6'!$B$11:$B$50,D303))=0,"Not on the class list","")))</f>
        <v/>
      </c>
      <c r="H303" s="1" t="n"/>
    </row>
    <row r="304">
      <c r="A304" s="1" t="n"/>
      <c r="B304" s="28" t="n"/>
      <c r="C304" s="30" t="n"/>
      <c r="D304" s="31" t="n"/>
      <c r="E304" s="33" t="n"/>
      <c r="F304" s="30" t="n"/>
      <c r="G304" s="12">
        <f>IF(OR(C304="",D304=""),"",IF(ISNA(MATCH(C304,Settings!$C$9:$C$14,0)),"Class not on Settings",IF(CHOOSE(MATCH(C304,Settings!$C$9:$C$14,0),COUNTIF('Class 1'!$B$11:$B$50,D304),COUNTIF('Class 2'!$B$11:$B$50,D304),COUNTIF('Class 3'!$B$11:$B$50,D304),COUNTIF('Class 4'!$B$11:$B$50,D304),COUNTIF('Class 5'!$B$11:$B$50,D304),COUNTIF('Class 6'!$B$11:$B$50,D304))=0,"Not on the class list","")))</f>
        <v/>
      </c>
      <c r="H304" s="1" t="n"/>
    </row>
    <row r="305">
      <c r="A305" s="1" t="n"/>
      <c r="B305" s="28" t="n"/>
      <c r="C305" s="30" t="n"/>
      <c r="D305" s="31" t="n"/>
      <c r="E305" s="33" t="n"/>
      <c r="F305" s="30" t="n"/>
      <c r="G305" s="12">
        <f>IF(OR(C305="",D305=""),"",IF(ISNA(MATCH(C305,Settings!$C$9:$C$14,0)),"Class not on Settings",IF(CHOOSE(MATCH(C305,Settings!$C$9:$C$14,0),COUNTIF('Class 1'!$B$11:$B$50,D305),COUNTIF('Class 2'!$B$11:$B$50,D305),COUNTIF('Class 3'!$B$11:$B$50,D305),COUNTIF('Class 4'!$B$11:$B$50,D305),COUNTIF('Class 5'!$B$11:$B$50,D305),COUNTIF('Class 6'!$B$11:$B$50,D305))=0,"Not on the class list","")))</f>
        <v/>
      </c>
      <c r="H305" s="1" t="n"/>
    </row>
    <row r="306">
      <c r="A306" s="1" t="n"/>
      <c r="B306" s="28" t="n"/>
      <c r="C306" s="30" t="n"/>
      <c r="D306" s="31" t="n"/>
      <c r="E306" s="33" t="n"/>
      <c r="F306" s="30" t="n"/>
      <c r="G306" s="12">
        <f>IF(OR(C306="",D306=""),"",IF(ISNA(MATCH(C306,Settings!$C$9:$C$14,0)),"Class not on Settings",IF(CHOOSE(MATCH(C306,Settings!$C$9:$C$14,0),COUNTIF('Class 1'!$B$11:$B$50,D306),COUNTIF('Class 2'!$B$11:$B$50,D306),COUNTIF('Class 3'!$B$11:$B$50,D306),COUNTIF('Class 4'!$B$11:$B$50,D306),COUNTIF('Class 5'!$B$11:$B$50,D306),COUNTIF('Class 6'!$B$11:$B$50,D306))=0,"Not on the class list","")))</f>
        <v/>
      </c>
      <c r="H306" s="1" t="n"/>
    </row>
    <row r="307">
      <c r="A307" s="1" t="n"/>
      <c r="B307" s="28" t="n"/>
      <c r="C307" s="30" t="n"/>
      <c r="D307" s="31" t="n"/>
      <c r="E307" s="33" t="n"/>
      <c r="F307" s="30" t="n"/>
      <c r="G307" s="12">
        <f>IF(OR(C307="",D307=""),"",IF(ISNA(MATCH(C307,Settings!$C$9:$C$14,0)),"Class not on Settings",IF(CHOOSE(MATCH(C307,Settings!$C$9:$C$14,0),COUNTIF('Class 1'!$B$11:$B$50,D307),COUNTIF('Class 2'!$B$11:$B$50,D307),COUNTIF('Class 3'!$B$11:$B$50,D307),COUNTIF('Class 4'!$B$11:$B$50,D307),COUNTIF('Class 5'!$B$11:$B$50,D307),COUNTIF('Class 6'!$B$11:$B$50,D307))=0,"Not on the class list","")))</f>
        <v/>
      </c>
      <c r="H307" s="1" t="n"/>
    </row>
    <row r="308">
      <c r="A308" s="1" t="n"/>
      <c r="B308" s="28" t="n"/>
      <c r="C308" s="30" t="n"/>
      <c r="D308" s="31" t="n"/>
      <c r="E308" s="33" t="n"/>
      <c r="F308" s="30" t="n"/>
      <c r="G308" s="12">
        <f>IF(OR(C308="",D308=""),"",IF(ISNA(MATCH(C308,Settings!$C$9:$C$14,0)),"Class not on Settings",IF(CHOOSE(MATCH(C308,Settings!$C$9:$C$14,0),COUNTIF('Class 1'!$B$11:$B$50,D308),COUNTIF('Class 2'!$B$11:$B$50,D308),COUNTIF('Class 3'!$B$11:$B$50,D308),COUNTIF('Class 4'!$B$11:$B$50,D308),COUNTIF('Class 5'!$B$11:$B$50,D308),COUNTIF('Class 6'!$B$11:$B$50,D308))=0,"Not on the class list","")))</f>
        <v/>
      </c>
      <c r="H308" s="1" t="n"/>
    </row>
    <row r="309">
      <c r="A309" s="1" t="n"/>
      <c r="B309" s="28" t="n"/>
      <c r="C309" s="30" t="n"/>
      <c r="D309" s="31" t="n"/>
      <c r="E309" s="33" t="n"/>
      <c r="F309" s="30" t="n"/>
      <c r="G309" s="12">
        <f>IF(OR(C309="",D309=""),"",IF(ISNA(MATCH(C309,Settings!$C$9:$C$14,0)),"Class not on Settings",IF(CHOOSE(MATCH(C309,Settings!$C$9:$C$14,0),COUNTIF('Class 1'!$B$11:$B$50,D309),COUNTIF('Class 2'!$B$11:$B$50,D309),COUNTIF('Class 3'!$B$11:$B$50,D309),COUNTIF('Class 4'!$B$11:$B$50,D309),COUNTIF('Class 5'!$B$11:$B$50,D309),COUNTIF('Class 6'!$B$11:$B$50,D309))=0,"Not on the class list","")))</f>
        <v/>
      </c>
      <c r="H309" s="1" t="n"/>
    </row>
    <row r="310">
      <c r="A310" s="1" t="n"/>
      <c r="B310" s="28" t="n"/>
      <c r="C310" s="30" t="n"/>
      <c r="D310" s="31" t="n"/>
      <c r="E310" s="33" t="n"/>
      <c r="F310" s="30" t="n"/>
      <c r="G310" s="12">
        <f>IF(OR(C310="",D310=""),"",IF(ISNA(MATCH(C310,Settings!$C$9:$C$14,0)),"Class not on Settings",IF(CHOOSE(MATCH(C310,Settings!$C$9:$C$14,0),COUNTIF('Class 1'!$B$11:$B$50,D310),COUNTIF('Class 2'!$B$11:$B$50,D310),COUNTIF('Class 3'!$B$11:$B$50,D310),COUNTIF('Class 4'!$B$11:$B$50,D310),COUNTIF('Class 5'!$B$11:$B$50,D310),COUNTIF('Class 6'!$B$11:$B$50,D310))=0,"Not on the class list","")))</f>
        <v/>
      </c>
      <c r="H310" s="1" t="n"/>
    </row>
    <row r="311">
      <c r="A311" s="1" t="n"/>
      <c r="B311" s="28" t="n"/>
      <c r="C311" s="30" t="n"/>
      <c r="D311" s="31" t="n"/>
      <c r="E311" s="33" t="n"/>
      <c r="F311" s="30" t="n"/>
      <c r="G311" s="12">
        <f>IF(OR(C311="",D311=""),"",IF(ISNA(MATCH(C311,Settings!$C$9:$C$14,0)),"Class not on Settings",IF(CHOOSE(MATCH(C311,Settings!$C$9:$C$14,0),COUNTIF('Class 1'!$B$11:$B$50,D311),COUNTIF('Class 2'!$B$11:$B$50,D311),COUNTIF('Class 3'!$B$11:$B$50,D311),COUNTIF('Class 4'!$B$11:$B$50,D311),COUNTIF('Class 5'!$B$11:$B$50,D311),COUNTIF('Class 6'!$B$11:$B$50,D311))=0,"Not on the class list","")))</f>
        <v/>
      </c>
      <c r="H311" s="1" t="n"/>
    </row>
    <row r="312">
      <c r="A312" s="1" t="n"/>
      <c r="B312" s="28" t="n"/>
      <c r="C312" s="30" t="n"/>
      <c r="D312" s="31" t="n"/>
      <c r="E312" s="33" t="n"/>
      <c r="F312" s="30" t="n"/>
      <c r="G312" s="12">
        <f>IF(OR(C312="",D312=""),"",IF(ISNA(MATCH(C312,Settings!$C$9:$C$14,0)),"Class not on Settings",IF(CHOOSE(MATCH(C312,Settings!$C$9:$C$14,0),COUNTIF('Class 1'!$B$11:$B$50,D312),COUNTIF('Class 2'!$B$11:$B$50,D312),COUNTIF('Class 3'!$B$11:$B$50,D312),COUNTIF('Class 4'!$B$11:$B$50,D312),COUNTIF('Class 5'!$B$11:$B$50,D312),COUNTIF('Class 6'!$B$11:$B$50,D312))=0,"Not on the class list","")))</f>
        <v/>
      </c>
      <c r="H312" s="1" t="n"/>
    </row>
    <row r="313">
      <c r="A313" s="1" t="n"/>
      <c r="B313" s="28" t="n"/>
      <c r="C313" s="30" t="n"/>
      <c r="D313" s="31" t="n"/>
      <c r="E313" s="33" t="n"/>
      <c r="F313" s="30" t="n"/>
      <c r="G313" s="12">
        <f>IF(OR(C313="",D313=""),"",IF(ISNA(MATCH(C313,Settings!$C$9:$C$14,0)),"Class not on Settings",IF(CHOOSE(MATCH(C313,Settings!$C$9:$C$14,0),COUNTIF('Class 1'!$B$11:$B$50,D313),COUNTIF('Class 2'!$B$11:$B$50,D313),COUNTIF('Class 3'!$B$11:$B$50,D313),COUNTIF('Class 4'!$B$11:$B$50,D313),COUNTIF('Class 5'!$B$11:$B$50,D313),COUNTIF('Class 6'!$B$11:$B$50,D313))=0,"Not on the class list","")))</f>
        <v/>
      </c>
      <c r="H313" s="1" t="n"/>
    </row>
    <row r="314">
      <c r="A314" s="1" t="n"/>
      <c r="B314" s="28" t="n"/>
      <c r="C314" s="30" t="n"/>
      <c r="D314" s="31" t="n"/>
      <c r="E314" s="33" t="n"/>
      <c r="F314" s="30" t="n"/>
      <c r="G314" s="12">
        <f>IF(OR(C314="",D314=""),"",IF(ISNA(MATCH(C314,Settings!$C$9:$C$14,0)),"Class not on Settings",IF(CHOOSE(MATCH(C314,Settings!$C$9:$C$14,0),COUNTIF('Class 1'!$B$11:$B$50,D314),COUNTIF('Class 2'!$B$11:$B$50,D314),COUNTIF('Class 3'!$B$11:$B$50,D314),COUNTIF('Class 4'!$B$11:$B$50,D314),COUNTIF('Class 5'!$B$11:$B$50,D314),COUNTIF('Class 6'!$B$11:$B$50,D314))=0,"Not on the class list","")))</f>
        <v/>
      </c>
      <c r="H314" s="1" t="n"/>
    </row>
    <row r="315">
      <c r="A315" s="1" t="n"/>
      <c r="B315" s="28" t="n"/>
      <c r="C315" s="30" t="n"/>
      <c r="D315" s="31" t="n"/>
      <c r="E315" s="33" t="n"/>
      <c r="F315" s="30" t="n"/>
      <c r="G315" s="12">
        <f>IF(OR(C315="",D315=""),"",IF(ISNA(MATCH(C315,Settings!$C$9:$C$14,0)),"Class not on Settings",IF(CHOOSE(MATCH(C315,Settings!$C$9:$C$14,0),COUNTIF('Class 1'!$B$11:$B$50,D315),COUNTIF('Class 2'!$B$11:$B$50,D315),COUNTIF('Class 3'!$B$11:$B$50,D315),COUNTIF('Class 4'!$B$11:$B$50,D315),COUNTIF('Class 5'!$B$11:$B$50,D315),COUNTIF('Class 6'!$B$11:$B$50,D315))=0,"Not on the class list","")))</f>
        <v/>
      </c>
      <c r="H315" s="1" t="n"/>
    </row>
    <row r="316">
      <c r="A316" s="1" t="n"/>
      <c r="B316" s="28" t="n"/>
      <c r="C316" s="30" t="n"/>
      <c r="D316" s="31" t="n"/>
      <c r="E316" s="33" t="n"/>
      <c r="F316" s="30" t="n"/>
      <c r="G316" s="12">
        <f>IF(OR(C316="",D316=""),"",IF(ISNA(MATCH(C316,Settings!$C$9:$C$14,0)),"Class not on Settings",IF(CHOOSE(MATCH(C316,Settings!$C$9:$C$14,0),COUNTIF('Class 1'!$B$11:$B$50,D316),COUNTIF('Class 2'!$B$11:$B$50,D316),COUNTIF('Class 3'!$B$11:$B$50,D316),COUNTIF('Class 4'!$B$11:$B$50,D316),COUNTIF('Class 5'!$B$11:$B$50,D316),COUNTIF('Class 6'!$B$11:$B$50,D316))=0,"Not on the class list","")))</f>
        <v/>
      </c>
      <c r="H316" s="1" t="n"/>
    </row>
    <row r="317">
      <c r="A317" s="1" t="n"/>
      <c r="B317" s="28" t="n"/>
      <c r="C317" s="30" t="n"/>
      <c r="D317" s="31" t="n"/>
      <c r="E317" s="33" t="n"/>
      <c r="F317" s="30" t="n"/>
      <c r="G317" s="12">
        <f>IF(OR(C317="",D317=""),"",IF(ISNA(MATCH(C317,Settings!$C$9:$C$14,0)),"Class not on Settings",IF(CHOOSE(MATCH(C317,Settings!$C$9:$C$14,0),COUNTIF('Class 1'!$B$11:$B$50,D317),COUNTIF('Class 2'!$B$11:$B$50,D317),COUNTIF('Class 3'!$B$11:$B$50,D317),COUNTIF('Class 4'!$B$11:$B$50,D317),COUNTIF('Class 5'!$B$11:$B$50,D317),COUNTIF('Class 6'!$B$11:$B$50,D317))=0,"Not on the class list","")))</f>
        <v/>
      </c>
      <c r="H317" s="1" t="n"/>
    </row>
    <row r="318">
      <c r="A318" s="1" t="n"/>
      <c r="B318" s="28" t="n"/>
      <c r="C318" s="30" t="n"/>
      <c r="D318" s="31" t="n"/>
      <c r="E318" s="33" t="n"/>
      <c r="F318" s="30" t="n"/>
      <c r="G318" s="12">
        <f>IF(OR(C318="",D318=""),"",IF(ISNA(MATCH(C318,Settings!$C$9:$C$14,0)),"Class not on Settings",IF(CHOOSE(MATCH(C318,Settings!$C$9:$C$14,0),COUNTIF('Class 1'!$B$11:$B$50,D318),COUNTIF('Class 2'!$B$11:$B$50,D318),COUNTIF('Class 3'!$B$11:$B$50,D318),COUNTIF('Class 4'!$B$11:$B$50,D318),COUNTIF('Class 5'!$B$11:$B$50,D318),COUNTIF('Class 6'!$B$11:$B$50,D318))=0,"Not on the class list","")))</f>
        <v/>
      </c>
      <c r="H318" s="1" t="n"/>
    </row>
    <row r="319">
      <c r="A319" s="1" t="n"/>
      <c r="B319" s="28" t="n"/>
      <c r="C319" s="30" t="n"/>
      <c r="D319" s="31" t="n"/>
      <c r="E319" s="33" t="n"/>
      <c r="F319" s="30" t="n"/>
      <c r="G319" s="12">
        <f>IF(OR(C319="",D319=""),"",IF(ISNA(MATCH(C319,Settings!$C$9:$C$14,0)),"Class not on Settings",IF(CHOOSE(MATCH(C319,Settings!$C$9:$C$14,0),COUNTIF('Class 1'!$B$11:$B$50,D319),COUNTIF('Class 2'!$B$11:$B$50,D319),COUNTIF('Class 3'!$B$11:$B$50,D319),COUNTIF('Class 4'!$B$11:$B$50,D319),COUNTIF('Class 5'!$B$11:$B$50,D319),COUNTIF('Class 6'!$B$11:$B$50,D319))=0,"Not on the class list","")))</f>
        <v/>
      </c>
      <c r="H319" s="1" t="n"/>
    </row>
    <row r="320">
      <c r="A320" s="1" t="n"/>
      <c r="B320" s="28" t="n"/>
      <c r="C320" s="30" t="n"/>
      <c r="D320" s="31" t="n"/>
      <c r="E320" s="33" t="n"/>
      <c r="F320" s="30" t="n"/>
      <c r="G320" s="12">
        <f>IF(OR(C320="",D320=""),"",IF(ISNA(MATCH(C320,Settings!$C$9:$C$14,0)),"Class not on Settings",IF(CHOOSE(MATCH(C320,Settings!$C$9:$C$14,0),COUNTIF('Class 1'!$B$11:$B$50,D320),COUNTIF('Class 2'!$B$11:$B$50,D320),COUNTIF('Class 3'!$B$11:$B$50,D320),COUNTIF('Class 4'!$B$11:$B$50,D320),COUNTIF('Class 5'!$B$11:$B$50,D320),COUNTIF('Class 6'!$B$11:$B$50,D320))=0,"Not on the class list","")))</f>
        <v/>
      </c>
      <c r="H320" s="1" t="n"/>
    </row>
    <row r="321">
      <c r="A321" s="1" t="n"/>
      <c r="B321" s="28" t="n"/>
      <c r="C321" s="30" t="n"/>
      <c r="D321" s="31" t="n"/>
      <c r="E321" s="33" t="n"/>
      <c r="F321" s="30" t="n"/>
      <c r="G321" s="12">
        <f>IF(OR(C321="",D321=""),"",IF(ISNA(MATCH(C321,Settings!$C$9:$C$14,0)),"Class not on Settings",IF(CHOOSE(MATCH(C321,Settings!$C$9:$C$14,0),COUNTIF('Class 1'!$B$11:$B$50,D321),COUNTIF('Class 2'!$B$11:$B$50,D321),COUNTIF('Class 3'!$B$11:$B$50,D321),COUNTIF('Class 4'!$B$11:$B$50,D321),COUNTIF('Class 5'!$B$11:$B$50,D321),COUNTIF('Class 6'!$B$11:$B$50,D321))=0,"Not on the class list","")))</f>
        <v/>
      </c>
      <c r="H321" s="1" t="n"/>
    </row>
    <row r="322">
      <c r="A322" s="1" t="n"/>
      <c r="B322" s="28" t="n"/>
      <c r="C322" s="30" t="n"/>
      <c r="D322" s="31" t="n"/>
      <c r="E322" s="33" t="n"/>
      <c r="F322" s="30" t="n"/>
      <c r="G322" s="12">
        <f>IF(OR(C322="",D322=""),"",IF(ISNA(MATCH(C322,Settings!$C$9:$C$14,0)),"Class not on Settings",IF(CHOOSE(MATCH(C322,Settings!$C$9:$C$14,0),COUNTIF('Class 1'!$B$11:$B$50,D322),COUNTIF('Class 2'!$B$11:$B$50,D322),COUNTIF('Class 3'!$B$11:$B$50,D322),COUNTIF('Class 4'!$B$11:$B$50,D322),COUNTIF('Class 5'!$B$11:$B$50,D322),COUNTIF('Class 6'!$B$11:$B$50,D322))=0,"Not on the class list","")))</f>
        <v/>
      </c>
      <c r="H322" s="1" t="n"/>
    </row>
    <row r="323">
      <c r="A323" s="1" t="n"/>
      <c r="B323" s="28" t="n"/>
      <c r="C323" s="30" t="n"/>
      <c r="D323" s="31" t="n"/>
      <c r="E323" s="33" t="n"/>
      <c r="F323" s="30" t="n"/>
      <c r="G323" s="12">
        <f>IF(OR(C323="",D323=""),"",IF(ISNA(MATCH(C323,Settings!$C$9:$C$14,0)),"Class not on Settings",IF(CHOOSE(MATCH(C323,Settings!$C$9:$C$14,0),COUNTIF('Class 1'!$B$11:$B$50,D323),COUNTIF('Class 2'!$B$11:$B$50,D323),COUNTIF('Class 3'!$B$11:$B$50,D323),COUNTIF('Class 4'!$B$11:$B$50,D323),COUNTIF('Class 5'!$B$11:$B$50,D323),COUNTIF('Class 6'!$B$11:$B$50,D323))=0,"Not on the class list","")))</f>
        <v/>
      </c>
      <c r="H323" s="1" t="n"/>
    </row>
    <row r="324">
      <c r="A324" s="1" t="n"/>
      <c r="B324" s="28" t="n"/>
      <c r="C324" s="30" t="n"/>
      <c r="D324" s="31" t="n"/>
      <c r="E324" s="33" t="n"/>
      <c r="F324" s="30" t="n"/>
      <c r="G324" s="12">
        <f>IF(OR(C324="",D324=""),"",IF(ISNA(MATCH(C324,Settings!$C$9:$C$14,0)),"Class not on Settings",IF(CHOOSE(MATCH(C324,Settings!$C$9:$C$14,0),COUNTIF('Class 1'!$B$11:$B$50,D324),COUNTIF('Class 2'!$B$11:$B$50,D324),COUNTIF('Class 3'!$B$11:$B$50,D324),COUNTIF('Class 4'!$B$11:$B$50,D324),COUNTIF('Class 5'!$B$11:$B$50,D324),COUNTIF('Class 6'!$B$11:$B$50,D324))=0,"Not on the class list","")))</f>
        <v/>
      </c>
      <c r="H324" s="1" t="n"/>
    </row>
    <row r="325">
      <c r="A325" s="1" t="n"/>
      <c r="B325" s="28" t="n"/>
      <c r="C325" s="30" t="n"/>
      <c r="D325" s="31" t="n"/>
      <c r="E325" s="33" t="n"/>
      <c r="F325" s="30" t="n"/>
      <c r="G325" s="12">
        <f>IF(OR(C325="",D325=""),"",IF(ISNA(MATCH(C325,Settings!$C$9:$C$14,0)),"Class not on Settings",IF(CHOOSE(MATCH(C325,Settings!$C$9:$C$14,0),COUNTIF('Class 1'!$B$11:$B$50,D325),COUNTIF('Class 2'!$B$11:$B$50,D325),COUNTIF('Class 3'!$B$11:$B$50,D325),COUNTIF('Class 4'!$B$11:$B$50,D325),COUNTIF('Class 5'!$B$11:$B$50,D325),COUNTIF('Class 6'!$B$11:$B$50,D325))=0,"Not on the class list","")))</f>
        <v/>
      </c>
      <c r="H325" s="1" t="n"/>
    </row>
    <row r="326">
      <c r="A326" s="1" t="n"/>
      <c r="B326" s="28" t="n"/>
      <c r="C326" s="30" t="n"/>
      <c r="D326" s="31" t="n"/>
      <c r="E326" s="33" t="n"/>
      <c r="F326" s="30" t="n"/>
      <c r="G326" s="12">
        <f>IF(OR(C326="",D326=""),"",IF(ISNA(MATCH(C326,Settings!$C$9:$C$14,0)),"Class not on Settings",IF(CHOOSE(MATCH(C326,Settings!$C$9:$C$14,0),COUNTIF('Class 1'!$B$11:$B$50,D326),COUNTIF('Class 2'!$B$11:$B$50,D326),COUNTIF('Class 3'!$B$11:$B$50,D326),COUNTIF('Class 4'!$B$11:$B$50,D326),COUNTIF('Class 5'!$B$11:$B$50,D326),COUNTIF('Class 6'!$B$11:$B$50,D326))=0,"Not on the class list","")))</f>
        <v/>
      </c>
      <c r="H326" s="1" t="n"/>
    </row>
    <row r="327">
      <c r="A327" s="1" t="n"/>
      <c r="B327" s="28" t="n"/>
      <c r="C327" s="30" t="n"/>
      <c r="D327" s="31" t="n"/>
      <c r="E327" s="33" t="n"/>
      <c r="F327" s="30" t="n"/>
      <c r="G327" s="12">
        <f>IF(OR(C327="",D327=""),"",IF(ISNA(MATCH(C327,Settings!$C$9:$C$14,0)),"Class not on Settings",IF(CHOOSE(MATCH(C327,Settings!$C$9:$C$14,0),COUNTIF('Class 1'!$B$11:$B$50,D327),COUNTIF('Class 2'!$B$11:$B$50,D327),COUNTIF('Class 3'!$B$11:$B$50,D327),COUNTIF('Class 4'!$B$11:$B$50,D327),COUNTIF('Class 5'!$B$11:$B$50,D327),COUNTIF('Class 6'!$B$11:$B$50,D327))=0,"Not on the class list","")))</f>
        <v/>
      </c>
      <c r="H327" s="1" t="n"/>
    </row>
    <row r="328">
      <c r="A328" s="1" t="n"/>
      <c r="B328" s="28" t="n"/>
      <c r="C328" s="30" t="n"/>
      <c r="D328" s="31" t="n"/>
      <c r="E328" s="33" t="n"/>
      <c r="F328" s="30" t="n"/>
      <c r="G328" s="12">
        <f>IF(OR(C328="",D328=""),"",IF(ISNA(MATCH(C328,Settings!$C$9:$C$14,0)),"Class not on Settings",IF(CHOOSE(MATCH(C328,Settings!$C$9:$C$14,0),COUNTIF('Class 1'!$B$11:$B$50,D328),COUNTIF('Class 2'!$B$11:$B$50,D328),COUNTIF('Class 3'!$B$11:$B$50,D328),COUNTIF('Class 4'!$B$11:$B$50,D328),COUNTIF('Class 5'!$B$11:$B$50,D328),COUNTIF('Class 6'!$B$11:$B$50,D328))=0,"Not on the class list","")))</f>
        <v/>
      </c>
      <c r="H328" s="1" t="n"/>
    </row>
    <row r="329">
      <c r="A329" s="1" t="n"/>
      <c r="B329" s="28" t="n"/>
      <c r="C329" s="30" t="n"/>
      <c r="D329" s="31" t="n"/>
      <c r="E329" s="33" t="n"/>
      <c r="F329" s="30" t="n"/>
      <c r="G329" s="12">
        <f>IF(OR(C329="",D329=""),"",IF(ISNA(MATCH(C329,Settings!$C$9:$C$14,0)),"Class not on Settings",IF(CHOOSE(MATCH(C329,Settings!$C$9:$C$14,0),COUNTIF('Class 1'!$B$11:$B$50,D329),COUNTIF('Class 2'!$B$11:$B$50,D329),COUNTIF('Class 3'!$B$11:$B$50,D329),COUNTIF('Class 4'!$B$11:$B$50,D329),COUNTIF('Class 5'!$B$11:$B$50,D329),COUNTIF('Class 6'!$B$11:$B$50,D329))=0,"Not on the class list","")))</f>
        <v/>
      </c>
      <c r="H329" s="1" t="n"/>
    </row>
    <row r="330">
      <c r="A330" s="1" t="n"/>
      <c r="B330" s="28" t="n"/>
      <c r="C330" s="30" t="n"/>
      <c r="D330" s="31" t="n"/>
      <c r="E330" s="33" t="n"/>
      <c r="F330" s="30" t="n"/>
      <c r="G330" s="12">
        <f>IF(OR(C330="",D330=""),"",IF(ISNA(MATCH(C330,Settings!$C$9:$C$14,0)),"Class not on Settings",IF(CHOOSE(MATCH(C330,Settings!$C$9:$C$14,0),COUNTIF('Class 1'!$B$11:$B$50,D330),COUNTIF('Class 2'!$B$11:$B$50,D330),COUNTIF('Class 3'!$B$11:$B$50,D330),COUNTIF('Class 4'!$B$11:$B$50,D330),COUNTIF('Class 5'!$B$11:$B$50,D330),COUNTIF('Class 6'!$B$11:$B$50,D330))=0,"Not on the class list","")))</f>
        <v/>
      </c>
      <c r="H330" s="1" t="n"/>
    </row>
    <row r="331">
      <c r="A331" s="1" t="n"/>
      <c r="B331" s="28" t="n"/>
      <c r="C331" s="30" t="n"/>
      <c r="D331" s="31" t="n"/>
      <c r="E331" s="33" t="n"/>
      <c r="F331" s="30" t="n"/>
      <c r="G331" s="12">
        <f>IF(OR(C331="",D331=""),"",IF(ISNA(MATCH(C331,Settings!$C$9:$C$14,0)),"Class not on Settings",IF(CHOOSE(MATCH(C331,Settings!$C$9:$C$14,0),COUNTIF('Class 1'!$B$11:$B$50,D331),COUNTIF('Class 2'!$B$11:$B$50,D331),COUNTIF('Class 3'!$B$11:$B$50,D331),COUNTIF('Class 4'!$B$11:$B$50,D331),COUNTIF('Class 5'!$B$11:$B$50,D331),COUNTIF('Class 6'!$B$11:$B$50,D331))=0,"Not on the class list","")))</f>
        <v/>
      </c>
      <c r="H331" s="1" t="n"/>
    </row>
    <row r="332">
      <c r="A332" s="1" t="n"/>
      <c r="B332" s="28" t="n"/>
      <c r="C332" s="30" t="n"/>
      <c r="D332" s="31" t="n"/>
      <c r="E332" s="33" t="n"/>
      <c r="F332" s="30" t="n"/>
      <c r="G332" s="12">
        <f>IF(OR(C332="",D332=""),"",IF(ISNA(MATCH(C332,Settings!$C$9:$C$14,0)),"Class not on Settings",IF(CHOOSE(MATCH(C332,Settings!$C$9:$C$14,0),COUNTIF('Class 1'!$B$11:$B$50,D332),COUNTIF('Class 2'!$B$11:$B$50,D332),COUNTIF('Class 3'!$B$11:$B$50,D332),COUNTIF('Class 4'!$B$11:$B$50,D332),COUNTIF('Class 5'!$B$11:$B$50,D332),COUNTIF('Class 6'!$B$11:$B$50,D332))=0,"Not on the class list","")))</f>
        <v/>
      </c>
      <c r="H332" s="1" t="n"/>
    </row>
    <row r="333">
      <c r="A333" s="1" t="n"/>
      <c r="B333" s="28" t="n"/>
      <c r="C333" s="30" t="n"/>
      <c r="D333" s="31" t="n"/>
      <c r="E333" s="33" t="n"/>
      <c r="F333" s="30" t="n"/>
      <c r="G333" s="12">
        <f>IF(OR(C333="",D333=""),"",IF(ISNA(MATCH(C333,Settings!$C$9:$C$14,0)),"Class not on Settings",IF(CHOOSE(MATCH(C333,Settings!$C$9:$C$14,0),COUNTIF('Class 1'!$B$11:$B$50,D333),COUNTIF('Class 2'!$B$11:$B$50,D333),COUNTIF('Class 3'!$B$11:$B$50,D333),COUNTIF('Class 4'!$B$11:$B$50,D333),COUNTIF('Class 5'!$B$11:$B$50,D333),COUNTIF('Class 6'!$B$11:$B$50,D333))=0,"Not on the class list","")))</f>
        <v/>
      </c>
      <c r="H333" s="1" t="n"/>
    </row>
    <row r="334">
      <c r="A334" s="1" t="n"/>
      <c r="B334" s="28" t="n"/>
      <c r="C334" s="30" t="n"/>
      <c r="D334" s="31" t="n"/>
      <c r="E334" s="33" t="n"/>
      <c r="F334" s="30" t="n"/>
      <c r="G334" s="12">
        <f>IF(OR(C334="",D334=""),"",IF(ISNA(MATCH(C334,Settings!$C$9:$C$14,0)),"Class not on Settings",IF(CHOOSE(MATCH(C334,Settings!$C$9:$C$14,0),COUNTIF('Class 1'!$B$11:$B$50,D334),COUNTIF('Class 2'!$B$11:$B$50,D334),COUNTIF('Class 3'!$B$11:$B$50,D334),COUNTIF('Class 4'!$B$11:$B$50,D334),COUNTIF('Class 5'!$B$11:$B$50,D334),COUNTIF('Class 6'!$B$11:$B$50,D334))=0,"Not on the class list","")))</f>
        <v/>
      </c>
      <c r="H334" s="1" t="n"/>
    </row>
    <row r="335">
      <c r="A335" s="1" t="n"/>
      <c r="B335" s="28" t="n"/>
      <c r="C335" s="30" t="n"/>
      <c r="D335" s="31" t="n"/>
      <c r="E335" s="33" t="n"/>
      <c r="F335" s="30" t="n"/>
      <c r="G335" s="12">
        <f>IF(OR(C335="",D335=""),"",IF(ISNA(MATCH(C335,Settings!$C$9:$C$14,0)),"Class not on Settings",IF(CHOOSE(MATCH(C335,Settings!$C$9:$C$14,0),COUNTIF('Class 1'!$B$11:$B$50,D335),COUNTIF('Class 2'!$B$11:$B$50,D335),COUNTIF('Class 3'!$B$11:$B$50,D335),COUNTIF('Class 4'!$B$11:$B$50,D335),COUNTIF('Class 5'!$B$11:$B$50,D335),COUNTIF('Class 6'!$B$11:$B$50,D335))=0,"Not on the class list","")))</f>
        <v/>
      </c>
      <c r="H335" s="1" t="n"/>
    </row>
    <row r="336">
      <c r="A336" s="1" t="n"/>
      <c r="B336" s="28" t="n"/>
      <c r="C336" s="30" t="n"/>
      <c r="D336" s="31" t="n"/>
      <c r="E336" s="33" t="n"/>
      <c r="F336" s="30" t="n"/>
      <c r="G336" s="12">
        <f>IF(OR(C336="",D336=""),"",IF(ISNA(MATCH(C336,Settings!$C$9:$C$14,0)),"Class not on Settings",IF(CHOOSE(MATCH(C336,Settings!$C$9:$C$14,0),COUNTIF('Class 1'!$B$11:$B$50,D336),COUNTIF('Class 2'!$B$11:$B$50,D336),COUNTIF('Class 3'!$B$11:$B$50,D336),COUNTIF('Class 4'!$B$11:$B$50,D336),COUNTIF('Class 5'!$B$11:$B$50,D336),COUNTIF('Class 6'!$B$11:$B$50,D336))=0,"Not on the class list","")))</f>
        <v/>
      </c>
      <c r="H336" s="1" t="n"/>
    </row>
    <row r="337">
      <c r="A337" s="1" t="n"/>
      <c r="B337" s="28" t="n"/>
      <c r="C337" s="30" t="n"/>
      <c r="D337" s="31" t="n"/>
      <c r="E337" s="33" t="n"/>
      <c r="F337" s="30" t="n"/>
      <c r="G337" s="12">
        <f>IF(OR(C337="",D337=""),"",IF(ISNA(MATCH(C337,Settings!$C$9:$C$14,0)),"Class not on Settings",IF(CHOOSE(MATCH(C337,Settings!$C$9:$C$14,0),COUNTIF('Class 1'!$B$11:$B$50,D337),COUNTIF('Class 2'!$B$11:$B$50,D337),COUNTIF('Class 3'!$B$11:$B$50,D337),COUNTIF('Class 4'!$B$11:$B$50,D337),COUNTIF('Class 5'!$B$11:$B$50,D337),COUNTIF('Class 6'!$B$11:$B$50,D337))=0,"Not on the class list","")))</f>
        <v/>
      </c>
      <c r="H337" s="1" t="n"/>
    </row>
    <row r="338">
      <c r="A338" s="1" t="n"/>
      <c r="B338" s="28" t="n"/>
      <c r="C338" s="30" t="n"/>
      <c r="D338" s="31" t="n"/>
      <c r="E338" s="33" t="n"/>
      <c r="F338" s="30" t="n"/>
      <c r="G338" s="12">
        <f>IF(OR(C338="",D338=""),"",IF(ISNA(MATCH(C338,Settings!$C$9:$C$14,0)),"Class not on Settings",IF(CHOOSE(MATCH(C338,Settings!$C$9:$C$14,0),COUNTIF('Class 1'!$B$11:$B$50,D338),COUNTIF('Class 2'!$B$11:$B$50,D338),COUNTIF('Class 3'!$B$11:$B$50,D338),COUNTIF('Class 4'!$B$11:$B$50,D338),COUNTIF('Class 5'!$B$11:$B$50,D338),COUNTIF('Class 6'!$B$11:$B$50,D338))=0,"Not on the class list","")))</f>
        <v/>
      </c>
      <c r="H338" s="1" t="n"/>
    </row>
    <row r="339">
      <c r="A339" s="1" t="n"/>
      <c r="B339" s="28" t="n"/>
      <c r="C339" s="30" t="n"/>
      <c r="D339" s="31" t="n"/>
      <c r="E339" s="33" t="n"/>
      <c r="F339" s="30" t="n"/>
      <c r="G339" s="12">
        <f>IF(OR(C339="",D339=""),"",IF(ISNA(MATCH(C339,Settings!$C$9:$C$14,0)),"Class not on Settings",IF(CHOOSE(MATCH(C339,Settings!$C$9:$C$14,0),COUNTIF('Class 1'!$B$11:$B$50,D339),COUNTIF('Class 2'!$B$11:$B$50,D339),COUNTIF('Class 3'!$B$11:$B$50,D339),COUNTIF('Class 4'!$B$11:$B$50,D339),COUNTIF('Class 5'!$B$11:$B$50,D339),COUNTIF('Class 6'!$B$11:$B$50,D339))=0,"Not on the class list","")))</f>
        <v/>
      </c>
      <c r="H339" s="1" t="n"/>
    </row>
    <row r="340">
      <c r="A340" s="1" t="n"/>
      <c r="B340" s="28" t="n"/>
      <c r="C340" s="30" t="n"/>
      <c r="D340" s="31" t="n"/>
      <c r="E340" s="33" t="n"/>
      <c r="F340" s="30" t="n"/>
      <c r="G340" s="12">
        <f>IF(OR(C340="",D340=""),"",IF(ISNA(MATCH(C340,Settings!$C$9:$C$14,0)),"Class not on Settings",IF(CHOOSE(MATCH(C340,Settings!$C$9:$C$14,0),COUNTIF('Class 1'!$B$11:$B$50,D340),COUNTIF('Class 2'!$B$11:$B$50,D340),COUNTIF('Class 3'!$B$11:$B$50,D340),COUNTIF('Class 4'!$B$11:$B$50,D340),COUNTIF('Class 5'!$B$11:$B$50,D340),COUNTIF('Class 6'!$B$11:$B$50,D340))=0,"Not on the class list","")))</f>
        <v/>
      </c>
      <c r="H340" s="1" t="n"/>
    </row>
    <row r="341">
      <c r="A341" s="1" t="n"/>
      <c r="B341" s="28" t="n"/>
      <c r="C341" s="30" t="n"/>
      <c r="D341" s="31" t="n"/>
      <c r="E341" s="33" t="n"/>
      <c r="F341" s="30" t="n"/>
      <c r="G341" s="12">
        <f>IF(OR(C341="",D341=""),"",IF(ISNA(MATCH(C341,Settings!$C$9:$C$14,0)),"Class not on Settings",IF(CHOOSE(MATCH(C341,Settings!$C$9:$C$14,0),COUNTIF('Class 1'!$B$11:$B$50,D341),COUNTIF('Class 2'!$B$11:$B$50,D341),COUNTIF('Class 3'!$B$11:$B$50,D341),COUNTIF('Class 4'!$B$11:$B$50,D341),COUNTIF('Class 5'!$B$11:$B$50,D341),COUNTIF('Class 6'!$B$11:$B$50,D341))=0,"Not on the class list","")))</f>
        <v/>
      </c>
      <c r="H341" s="1" t="n"/>
    </row>
    <row r="342">
      <c r="A342" s="1" t="n"/>
      <c r="B342" s="28" t="n"/>
      <c r="C342" s="30" t="n"/>
      <c r="D342" s="31" t="n"/>
      <c r="E342" s="33" t="n"/>
      <c r="F342" s="30" t="n"/>
      <c r="G342" s="12">
        <f>IF(OR(C342="",D342=""),"",IF(ISNA(MATCH(C342,Settings!$C$9:$C$14,0)),"Class not on Settings",IF(CHOOSE(MATCH(C342,Settings!$C$9:$C$14,0),COUNTIF('Class 1'!$B$11:$B$50,D342),COUNTIF('Class 2'!$B$11:$B$50,D342),COUNTIF('Class 3'!$B$11:$B$50,D342),COUNTIF('Class 4'!$B$11:$B$50,D342),COUNTIF('Class 5'!$B$11:$B$50,D342),COUNTIF('Class 6'!$B$11:$B$50,D342))=0,"Not on the class list","")))</f>
        <v/>
      </c>
      <c r="H342" s="1" t="n"/>
    </row>
    <row r="343">
      <c r="A343" s="1" t="n"/>
      <c r="B343" s="28" t="n"/>
      <c r="C343" s="30" t="n"/>
      <c r="D343" s="31" t="n"/>
      <c r="E343" s="33" t="n"/>
      <c r="F343" s="30" t="n"/>
      <c r="G343" s="12">
        <f>IF(OR(C343="",D343=""),"",IF(ISNA(MATCH(C343,Settings!$C$9:$C$14,0)),"Class not on Settings",IF(CHOOSE(MATCH(C343,Settings!$C$9:$C$14,0),COUNTIF('Class 1'!$B$11:$B$50,D343),COUNTIF('Class 2'!$B$11:$B$50,D343),COUNTIF('Class 3'!$B$11:$B$50,D343),COUNTIF('Class 4'!$B$11:$B$50,D343),COUNTIF('Class 5'!$B$11:$B$50,D343),COUNTIF('Class 6'!$B$11:$B$50,D343))=0,"Not on the class list","")))</f>
        <v/>
      </c>
      <c r="H343" s="1" t="n"/>
    </row>
    <row r="344">
      <c r="A344" s="1" t="n"/>
      <c r="B344" s="28" t="n"/>
      <c r="C344" s="30" t="n"/>
      <c r="D344" s="31" t="n"/>
      <c r="E344" s="33" t="n"/>
      <c r="F344" s="30" t="n"/>
      <c r="G344" s="12">
        <f>IF(OR(C344="",D344=""),"",IF(ISNA(MATCH(C344,Settings!$C$9:$C$14,0)),"Class not on Settings",IF(CHOOSE(MATCH(C344,Settings!$C$9:$C$14,0),COUNTIF('Class 1'!$B$11:$B$50,D344),COUNTIF('Class 2'!$B$11:$B$50,D344),COUNTIF('Class 3'!$B$11:$B$50,D344),COUNTIF('Class 4'!$B$11:$B$50,D344),COUNTIF('Class 5'!$B$11:$B$50,D344),COUNTIF('Class 6'!$B$11:$B$50,D344))=0,"Not on the class list","")))</f>
        <v/>
      </c>
      <c r="H344" s="1" t="n"/>
    </row>
    <row r="345">
      <c r="A345" s="1" t="n"/>
      <c r="B345" s="28" t="n"/>
      <c r="C345" s="30" t="n"/>
      <c r="D345" s="31" t="n"/>
      <c r="E345" s="33" t="n"/>
      <c r="F345" s="30" t="n"/>
      <c r="G345" s="12">
        <f>IF(OR(C345="",D345=""),"",IF(ISNA(MATCH(C345,Settings!$C$9:$C$14,0)),"Class not on Settings",IF(CHOOSE(MATCH(C345,Settings!$C$9:$C$14,0),COUNTIF('Class 1'!$B$11:$B$50,D345),COUNTIF('Class 2'!$B$11:$B$50,D345),COUNTIF('Class 3'!$B$11:$B$50,D345),COUNTIF('Class 4'!$B$11:$B$50,D345),COUNTIF('Class 5'!$B$11:$B$50,D345),COUNTIF('Class 6'!$B$11:$B$50,D345))=0,"Not on the class list","")))</f>
        <v/>
      </c>
      <c r="H345" s="1" t="n"/>
    </row>
    <row r="346">
      <c r="A346" s="1" t="n"/>
      <c r="B346" s="28" t="n"/>
      <c r="C346" s="30" t="n"/>
      <c r="D346" s="31" t="n"/>
      <c r="E346" s="33" t="n"/>
      <c r="F346" s="30" t="n"/>
      <c r="G346" s="12">
        <f>IF(OR(C346="",D346=""),"",IF(ISNA(MATCH(C346,Settings!$C$9:$C$14,0)),"Class not on Settings",IF(CHOOSE(MATCH(C346,Settings!$C$9:$C$14,0),COUNTIF('Class 1'!$B$11:$B$50,D346),COUNTIF('Class 2'!$B$11:$B$50,D346),COUNTIF('Class 3'!$B$11:$B$50,D346),COUNTIF('Class 4'!$B$11:$B$50,D346),COUNTIF('Class 5'!$B$11:$B$50,D346),COUNTIF('Class 6'!$B$11:$B$50,D346))=0,"Not on the class list","")))</f>
        <v/>
      </c>
      <c r="H346" s="1" t="n"/>
    </row>
    <row r="347">
      <c r="A347" s="1" t="n"/>
      <c r="B347" s="28" t="n"/>
      <c r="C347" s="30" t="n"/>
      <c r="D347" s="31" t="n"/>
      <c r="E347" s="33" t="n"/>
      <c r="F347" s="30" t="n"/>
      <c r="G347" s="12">
        <f>IF(OR(C347="",D347=""),"",IF(ISNA(MATCH(C347,Settings!$C$9:$C$14,0)),"Class not on Settings",IF(CHOOSE(MATCH(C347,Settings!$C$9:$C$14,0),COUNTIF('Class 1'!$B$11:$B$50,D347),COUNTIF('Class 2'!$B$11:$B$50,D347),COUNTIF('Class 3'!$B$11:$B$50,D347),COUNTIF('Class 4'!$B$11:$B$50,D347),COUNTIF('Class 5'!$B$11:$B$50,D347),COUNTIF('Class 6'!$B$11:$B$50,D347))=0,"Not on the class list","")))</f>
        <v/>
      </c>
      <c r="H347" s="1" t="n"/>
    </row>
    <row r="348">
      <c r="A348" s="1" t="n"/>
      <c r="B348" s="28" t="n"/>
      <c r="C348" s="30" t="n"/>
      <c r="D348" s="31" t="n"/>
      <c r="E348" s="33" t="n"/>
      <c r="F348" s="30" t="n"/>
      <c r="G348" s="12">
        <f>IF(OR(C348="",D348=""),"",IF(ISNA(MATCH(C348,Settings!$C$9:$C$14,0)),"Class not on Settings",IF(CHOOSE(MATCH(C348,Settings!$C$9:$C$14,0),COUNTIF('Class 1'!$B$11:$B$50,D348),COUNTIF('Class 2'!$B$11:$B$50,D348),COUNTIF('Class 3'!$B$11:$B$50,D348),COUNTIF('Class 4'!$B$11:$B$50,D348),COUNTIF('Class 5'!$B$11:$B$50,D348),COUNTIF('Class 6'!$B$11:$B$50,D348))=0,"Not on the class list","")))</f>
        <v/>
      </c>
      <c r="H348" s="1" t="n"/>
    </row>
    <row r="349">
      <c r="A349" s="1" t="n"/>
      <c r="B349" s="28" t="n"/>
      <c r="C349" s="30" t="n"/>
      <c r="D349" s="31" t="n"/>
      <c r="E349" s="33" t="n"/>
      <c r="F349" s="30" t="n"/>
      <c r="G349" s="12">
        <f>IF(OR(C349="",D349=""),"",IF(ISNA(MATCH(C349,Settings!$C$9:$C$14,0)),"Class not on Settings",IF(CHOOSE(MATCH(C349,Settings!$C$9:$C$14,0),COUNTIF('Class 1'!$B$11:$B$50,D349),COUNTIF('Class 2'!$B$11:$B$50,D349),COUNTIF('Class 3'!$B$11:$B$50,D349),COUNTIF('Class 4'!$B$11:$B$50,D349),COUNTIF('Class 5'!$B$11:$B$50,D349),COUNTIF('Class 6'!$B$11:$B$50,D349))=0,"Not on the class list","")))</f>
        <v/>
      </c>
      <c r="H349" s="1" t="n"/>
    </row>
    <row r="350">
      <c r="A350" s="1" t="n"/>
      <c r="B350" s="28" t="n"/>
      <c r="C350" s="30" t="n"/>
      <c r="D350" s="31" t="n"/>
      <c r="E350" s="33" t="n"/>
      <c r="F350" s="30" t="n"/>
      <c r="G350" s="12">
        <f>IF(OR(C350="",D350=""),"",IF(ISNA(MATCH(C350,Settings!$C$9:$C$14,0)),"Class not on Settings",IF(CHOOSE(MATCH(C350,Settings!$C$9:$C$14,0),COUNTIF('Class 1'!$B$11:$B$50,D350),COUNTIF('Class 2'!$B$11:$B$50,D350),COUNTIF('Class 3'!$B$11:$B$50,D350),COUNTIF('Class 4'!$B$11:$B$50,D350),COUNTIF('Class 5'!$B$11:$B$50,D350),COUNTIF('Class 6'!$B$11:$B$50,D350))=0,"Not on the class list","")))</f>
        <v/>
      </c>
      <c r="H350" s="1" t="n"/>
    </row>
    <row r="351">
      <c r="A351" s="1" t="n"/>
      <c r="B351" s="28" t="n"/>
      <c r="C351" s="30" t="n"/>
      <c r="D351" s="31" t="n"/>
      <c r="E351" s="33" t="n"/>
      <c r="F351" s="30" t="n"/>
      <c r="G351" s="12">
        <f>IF(OR(C351="",D351=""),"",IF(ISNA(MATCH(C351,Settings!$C$9:$C$14,0)),"Class not on Settings",IF(CHOOSE(MATCH(C351,Settings!$C$9:$C$14,0),COUNTIF('Class 1'!$B$11:$B$50,D351),COUNTIF('Class 2'!$B$11:$B$50,D351),COUNTIF('Class 3'!$B$11:$B$50,D351),COUNTIF('Class 4'!$B$11:$B$50,D351),COUNTIF('Class 5'!$B$11:$B$50,D351),COUNTIF('Class 6'!$B$11:$B$50,D351))=0,"Not on the class list","")))</f>
        <v/>
      </c>
      <c r="H351" s="1" t="n"/>
    </row>
    <row r="352">
      <c r="A352" s="1" t="n"/>
      <c r="B352" s="28" t="n"/>
      <c r="C352" s="30" t="n"/>
      <c r="D352" s="31" t="n"/>
      <c r="E352" s="33" t="n"/>
      <c r="F352" s="30" t="n"/>
      <c r="G352" s="12">
        <f>IF(OR(C352="",D352=""),"",IF(ISNA(MATCH(C352,Settings!$C$9:$C$14,0)),"Class not on Settings",IF(CHOOSE(MATCH(C352,Settings!$C$9:$C$14,0),COUNTIF('Class 1'!$B$11:$B$50,D352),COUNTIF('Class 2'!$B$11:$B$50,D352),COUNTIF('Class 3'!$B$11:$B$50,D352),COUNTIF('Class 4'!$B$11:$B$50,D352),COUNTIF('Class 5'!$B$11:$B$50,D352),COUNTIF('Class 6'!$B$11:$B$50,D352))=0,"Not on the class list","")))</f>
        <v/>
      </c>
      <c r="H352" s="1" t="n"/>
    </row>
    <row r="353">
      <c r="A353" s="1" t="n"/>
      <c r="B353" s="28" t="n"/>
      <c r="C353" s="30" t="n"/>
      <c r="D353" s="31" t="n"/>
      <c r="E353" s="33" t="n"/>
      <c r="F353" s="30" t="n"/>
      <c r="G353" s="12">
        <f>IF(OR(C353="",D353=""),"",IF(ISNA(MATCH(C353,Settings!$C$9:$C$14,0)),"Class not on Settings",IF(CHOOSE(MATCH(C353,Settings!$C$9:$C$14,0),COUNTIF('Class 1'!$B$11:$B$50,D353),COUNTIF('Class 2'!$B$11:$B$50,D353),COUNTIF('Class 3'!$B$11:$B$50,D353),COUNTIF('Class 4'!$B$11:$B$50,D353),COUNTIF('Class 5'!$B$11:$B$50,D353),COUNTIF('Class 6'!$B$11:$B$50,D353))=0,"Not on the class list","")))</f>
        <v/>
      </c>
      <c r="H353" s="1" t="n"/>
    </row>
    <row r="354">
      <c r="A354" s="1" t="n"/>
      <c r="B354" s="28" t="n"/>
      <c r="C354" s="30" t="n"/>
      <c r="D354" s="31" t="n"/>
      <c r="E354" s="33" t="n"/>
      <c r="F354" s="30" t="n"/>
      <c r="G354" s="12">
        <f>IF(OR(C354="",D354=""),"",IF(ISNA(MATCH(C354,Settings!$C$9:$C$14,0)),"Class not on Settings",IF(CHOOSE(MATCH(C354,Settings!$C$9:$C$14,0),COUNTIF('Class 1'!$B$11:$B$50,D354),COUNTIF('Class 2'!$B$11:$B$50,D354),COUNTIF('Class 3'!$B$11:$B$50,D354),COUNTIF('Class 4'!$B$11:$B$50,D354),COUNTIF('Class 5'!$B$11:$B$50,D354),COUNTIF('Class 6'!$B$11:$B$50,D354))=0,"Not on the class list","")))</f>
        <v/>
      </c>
      <c r="H354" s="1" t="n"/>
    </row>
    <row r="355">
      <c r="A355" s="1" t="n"/>
      <c r="B355" s="28" t="n"/>
      <c r="C355" s="30" t="n"/>
      <c r="D355" s="31" t="n"/>
      <c r="E355" s="33" t="n"/>
      <c r="F355" s="30" t="n"/>
      <c r="G355" s="12">
        <f>IF(OR(C355="",D355=""),"",IF(ISNA(MATCH(C355,Settings!$C$9:$C$14,0)),"Class not on Settings",IF(CHOOSE(MATCH(C355,Settings!$C$9:$C$14,0),COUNTIF('Class 1'!$B$11:$B$50,D355),COUNTIF('Class 2'!$B$11:$B$50,D355),COUNTIF('Class 3'!$B$11:$B$50,D355),COUNTIF('Class 4'!$B$11:$B$50,D355),COUNTIF('Class 5'!$B$11:$B$50,D355),COUNTIF('Class 6'!$B$11:$B$50,D355))=0,"Not on the class list","")))</f>
        <v/>
      </c>
      <c r="H355" s="1" t="n"/>
    </row>
    <row r="356">
      <c r="A356" s="1" t="n"/>
      <c r="B356" s="28" t="n"/>
      <c r="C356" s="30" t="n"/>
      <c r="D356" s="31" t="n"/>
      <c r="E356" s="33" t="n"/>
      <c r="F356" s="30" t="n"/>
      <c r="G356" s="12">
        <f>IF(OR(C356="",D356=""),"",IF(ISNA(MATCH(C356,Settings!$C$9:$C$14,0)),"Class not on Settings",IF(CHOOSE(MATCH(C356,Settings!$C$9:$C$14,0),COUNTIF('Class 1'!$B$11:$B$50,D356),COUNTIF('Class 2'!$B$11:$B$50,D356),COUNTIF('Class 3'!$B$11:$B$50,D356),COUNTIF('Class 4'!$B$11:$B$50,D356),COUNTIF('Class 5'!$B$11:$B$50,D356),COUNTIF('Class 6'!$B$11:$B$50,D356))=0,"Not on the class list","")))</f>
        <v/>
      </c>
      <c r="H356" s="1" t="n"/>
    </row>
    <row r="357">
      <c r="A357" s="1" t="n"/>
      <c r="B357" s="28" t="n"/>
      <c r="C357" s="30" t="n"/>
      <c r="D357" s="31" t="n"/>
      <c r="E357" s="33" t="n"/>
      <c r="F357" s="30" t="n"/>
      <c r="G357" s="12">
        <f>IF(OR(C357="",D357=""),"",IF(ISNA(MATCH(C357,Settings!$C$9:$C$14,0)),"Class not on Settings",IF(CHOOSE(MATCH(C357,Settings!$C$9:$C$14,0),COUNTIF('Class 1'!$B$11:$B$50,D357),COUNTIF('Class 2'!$B$11:$B$50,D357),COUNTIF('Class 3'!$B$11:$B$50,D357),COUNTIF('Class 4'!$B$11:$B$50,D357),COUNTIF('Class 5'!$B$11:$B$50,D357),COUNTIF('Class 6'!$B$11:$B$50,D357))=0,"Not on the class list","")))</f>
        <v/>
      </c>
      <c r="H357" s="1" t="n"/>
    </row>
    <row r="358">
      <c r="A358" s="1" t="n"/>
      <c r="B358" s="28" t="n"/>
      <c r="C358" s="30" t="n"/>
      <c r="D358" s="31" t="n"/>
      <c r="E358" s="33" t="n"/>
      <c r="F358" s="30" t="n"/>
      <c r="G358" s="12">
        <f>IF(OR(C358="",D358=""),"",IF(ISNA(MATCH(C358,Settings!$C$9:$C$14,0)),"Class not on Settings",IF(CHOOSE(MATCH(C358,Settings!$C$9:$C$14,0),COUNTIF('Class 1'!$B$11:$B$50,D358),COUNTIF('Class 2'!$B$11:$B$50,D358),COUNTIF('Class 3'!$B$11:$B$50,D358),COUNTIF('Class 4'!$B$11:$B$50,D358),COUNTIF('Class 5'!$B$11:$B$50,D358),COUNTIF('Class 6'!$B$11:$B$50,D358))=0,"Not on the class list","")))</f>
        <v/>
      </c>
      <c r="H358" s="1" t="n"/>
    </row>
    <row r="359">
      <c r="A359" s="1" t="n"/>
      <c r="B359" s="28" t="n"/>
      <c r="C359" s="30" t="n"/>
      <c r="D359" s="31" t="n"/>
      <c r="E359" s="33" t="n"/>
      <c r="F359" s="30" t="n"/>
      <c r="G359" s="12">
        <f>IF(OR(C359="",D359=""),"",IF(ISNA(MATCH(C359,Settings!$C$9:$C$14,0)),"Class not on Settings",IF(CHOOSE(MATCH(C359,Settings!$C$9:$C$14,0),COUNTIF('Class 1'!$B$11:$B$50,D359),COUNTIF('Class 2'!$B$11:$B$50,D359),COUNTIF('Class 3'!$B$11:$B$50,D359),COUNTIF('Class 4'!$B$11:$B$50,D359),COUNTIF('Class 5'!$B$11:$B$50,D359),COUNTIF('Class 6'!$B$11:$B$50,D359))=0,"Not on the class list","")))</f>
        <v/>
      </c>
      <c r="H359" s="1" t="n"/>
    </row>
    <row r="360">
      <c r="A360" s="1" t="n"/>
      <c r="B360" s="28" t="n"/>
      <c r="C360" s="30" t="n"/>
      <c r="D360" s="31" t="n"/>
      <c r="E360" s="33" t="n"/>
      <c r="F360" s="30" t="n"/>
      <c r="G360" s="12">
        <f>IF(OR(C360="",D360=""),"",IF(ISNA(MATCH(C360,Settings!$C$9:$C$14,0)),"Class not on Settings",IF(CHOOSE(MATCH(C360,Settings!$C$9:$C$14,0),COUNTIF('Class 1'!$B$11:$B$50,D360),COUNTIF('Class 2'!$B$11:$B$50,D360),COUNTIF('Class 3'!$B$11:$B$50,D360),COUNTIF('Class 4'!$B$11:$B$50,D360),COUNTIF('Class 5'!$B$11:$B$50,D360),COUNTIF('Class 6'!$B$11:$B$50,D360))=0,"Not on the class list","")))</f>
        <v/>
      </c>
      <c r="H360" s="1" t="n"/>
    </row>
    <row r="361">
      <c r="A361" s="1" t="n"/>
      <c r="B361" s="28" t="n"/>
      <c r="C361" s="30" t="n"/>
      <c r="D361" s="31" t="n"/>
      <c r="E361" s="33" t="n"/>
      <c r="F361" s="30" t="n"/>
      <c r="G361" s="12">
        <f>IF(OR(C361="",D361=""),"",IF(ISNA(MATCH(C361,Settings!$C$9:$C$14,0)),"Class not on Settings",IF(CHOOSE(MATCH(C361,Settings!$C$9:$C$14,0),COUNTIF('Class 1'!$B$11:$B$50,D361),COUNTIF('Class 2'!$B$11:$B$50,D361),COUNTIF('Class 3'!$B$11:$B$50,D361),COUNTIF('Class 4'!$B$11:$B$50,D361),COUNTIF('Class 5'!$B$11:$B$50,D361),COUNTIF('Class 6'!$B$11:$B$50,D361))=0,"Not on the class list","")))</f>
        <v/>
      </c>
      <c r="H361" s="1" t="n"/>
    </row>
    <row r="362">
      <c r="A362" s="1" t="n"/>
      <c r="B362" s="28" t="n"/>
      <c r="C362" s="30" t="n"/>
      <c r="D362" s="31" t="n"/>
      <c r="E362" s="33" t="n"/>
      <c r="F362" s="30" t="n"/>
      <c r="G362" s="12">
        <f>IF(OR(C362="",D362=""),"",IF(ISNA(MATCH(C362,Settings!$C$9:$C$14,0)),"Class not on Settings",IF(CHOOSE(MATCH(C362,Settings!$C$9:$C$14,0),COUNTIF('Class 1'!$B$11:$B$50,D362),COUNTIF('Class 2'!$B$11:$B$50,D362),COUNTIF('Class 3'!$B$11:$B$50,D362),COUNTIF('Class 4'!$B$11:$B$50,D362),COUNTIF('Class 5'!$B$11:$B$50,D362),COUNTIF('Class 6'!$B$11:$B$50,D362))=0,"Not on the class list","")))</f>
        <v/>
      </c>
      <c r="H362" s="1" t="n"/>
    </row>
    <row r="363">
      <c r="A363" s="1" t="n"/>
      <c r="B363" s="28" t="n"/>
      <c r="C363" s="30" t="n"/>
      <c r="D363" s="31" t="n"/>
      <c r="E363" s="33" t="n"/>
      <c r="F363" s="30" t="n"/>
      <c r="G363" s="12">
        <f>IF(OR(C363="",D363=""),"",IF(ISNA(MATCH(C363,Settings!$C$9:$C$14,0)),"Class not on Settings",IF(CHOOSE(MATCH(C363,Settings!$C$9:$C$14,0),COUNTIF('Class 1'!$B$11:$B$50,D363),COUNTIF('Class 2'!$B$11:$B$50,D363),COUNTIF('Class 3'!$B$11:$B$50,D363),COUNTIF('Class 4'!$B$11:$B$50,D363),COUNTIF('Class 5'!$B$11:$B$50,D363),COUNTIF('Class 6'!$B$11:$B$50,D363))=0,"Not on the class list","")))</f>
        <v/>
      </c>
      <c r="H363" s="1" t="n"/>
    </row>
    <row r="364">
      <c r="A364" s="1" t="n"/>
      <c r="B364" s="28" t="n"/>
      <c r="C364" s="30" t="n"/>
      <c r="D364" s="31" t="n"/>
      <c r="E364" s="33" t="n"/>
      <c r="F364" s="30" t="n"/>
      <c r="G364" s="12">
        <f>IF(OR(C364="",D364=""),"",IF(ISNA(MATCH(C364,Settings!$C$9:$C$14,0)),"Class not on Settings",IF(CHOOSE(MATCH(C364,Settings!$C$9:$C$14,0),COUNTIF('Class 1'!$B$11:$B$50,D364),COUNTIF('Class 2'!$B$11:$B$50,D364),COUNTIF('Class 3'!$B$11:$B$50,D364),COUNTIF('Class 4'!$B$11:$B$50,D364),COUNTIF('Class 5'!$B$11:$B$50,D364),COUNTIF('Class 6'!$B$11:$B$50,D364))=0,"Not on the class list","")))</f>
        <v/>
      </c>
      <c r="H364" s="1" t="n"/>
    </row>
    <row r="365">
      <c r="A365" s="1" t="n"/>
      <c r="B365" s="28" t="n"/>
      <c r="C365" s="30" t="n"/>
      <c r="D365" s="31" t="n"/>
      <c r="E365" s="33" t="n"/>
      <c r="F365" s="30" t="n"/>
      <c r="G365" s="12">
        <f>IF(OR(C365="",D365=""),"",IF(ISNA(MATCH(C365,Settings!$C$9:$C$14,0)),"Class not on Settings",IF(CHOOSE(MATCH(C365,Settings!$C$9:$C$14,0),COUNTIF('Class 1'!$B$11:$B$50,D365),COUNTIF('Class 2'!$B$11:$B$50,D365),COUNTIF('Class 3'!$B$11:$B$50,D365),COUNTIF('Class 4'!$B$11:$B$50,D365),COUNTIF('Class 5'!$B$11:$B$50,D365),COUNTIF('Class 6'!$B$11:$B$50,D365))=0,"Not on the class list","")))</f>
        <v/>
      </c>
      <c r="H365" s="1" t="n"/>
    </row>
    <row r="366">
      <c r="A366" s="1" t="n"/>
      <c r="B366" s="28" t="n"/>
      <c r="C366" s="30" t="n"/>
      <c r="D366" s="31" t="n"/>
      <c r="E366" s="33" t="n"/>
      <c r="F366" s="30" t="n"/>
      <c r="G366" s="12">
        <f>IF(OR(C366="",D366=""),"",IF(ISNA(MATCH(C366,Settings!$C$9:$C$14,0)),"Class not on Settings",IF(CHOOSE(MATCH(C366,Settings!$C$9:$C$14,0),COUNTIF('Class 1'!$B$11:$B$50,D366),COUNTIF('Class 2'!$B$11:$B$50,D366),COUNTIF('Class 3'!$B$11:$B$50,D366),COUNTIF('Class 4'!$B$11:$B$50,D366),COUNTIF('Class 5'!$B$11:$B$50,D366),COUNTIF('Class 6'!$B$11:$B$50,D366))=0,"Not on the class list","")))</f>
        <v/>
      </c>
      <c r="H366" s="1" t="n"/>
    </row>
    <row r="367">
      <c r="A367" s="1" t="n"/>
      <c r="B367" s="28" t="n"/>
      <c r="C367" s="30" t="n"/>
      <c r="D367" s="31" t="n"/>
      <c r="E367" s="33" t="n"/>
      <c r="F367" s="30" t="n"/>
      <c r="G367" s="12">
        <f>IF(OR(C367="",D367=""),"",IF(ISNA(MATCH(C367,Settings!$C$9:$C$14,0)),"Class not on Settings",IF(CHOOSE(MATCH(C367,Settings!$C$9:$C$14,0),COUNTIF('Class 1'!$B$11:$B$50,D367),COUNTIF('Class 2'!$B$11:$B$50,D367),COUNTIF('Class 3'!$B$11:$B$50,D367),COUNTIF('Class 4'!$B$11:$B$50,D367),COUNTIF('Class 5'!$B$11:$B$50,D367),COUNTIF('Class 6'!$B$11:$B$50,D367))=0,"Not on the class list","")))</f>
        <v/>
      </c>
      <c r="H367" s="1" t="n"/>
    </row>
    <row r="368">
      <c r="A368" s="1" t="n"/>
      <c r="B368" s="28" t="n"/>
      <c r="C368" s="30" t="n"/>
      <c r="D368" s="31" t="n"/>
      <c r="E368" s="33" t="n"/>
      <c r="F368" s="30" t="n"/>
      <c r="G368" s="12">
        <f>IF(OR(C368="",D368=""),"",IF(ISNA(MATCH(C368,Settings!$C$9:$C$14,0)),"Class not on Settings",IF(CHOOSE(MATCH(C368,Settings!$C$9:$C$14,0),COUNTIF('Class 1'!$B$11:$B$50,D368),COUNTIF('Class 2'!$B$11:$B$50,D368),COUNTIF('Class 3'!$B$11:$B$50,D368),COUNTIF('Class 4'!$B$11:$B$50,D368),COUNTIF('Class 5'!$B$11:$B$50,D368),COUNTIF('Class 6'!$B$11:$B$50,D368))=0,"Not on the class list","")))</f>
        <v/>
      </c>
      <c r="H368" s="1" t="n"/>
    </row>
    <row r="369">
      <c r="A369" s="1" t="n"/>
      <c r="B369" s="28" t="n"/>
      <c r="C369" s="30" t="n"/>
      <c r="D369" s="31" t="n"/>
      <c r="E369" s="33" t="n"/>
      <c r="F369" s="30" t="n"/>
      <c r="G369" s="12">
        <f>IF(OR(C369="",D369=""),"",IF(ISNA(MATCH(C369,Settings!$C$9:$C$14,0)),"Class not on Settings",IF(CHOOSE(MATCH(C369,Settings!$C$9:$C$14,0),COUNTIF('Class 1'!$B$11:$B$50,D369),COUNTIF('Class 2'!$B$11:$B$50,D369),COUNTIF('Class 3'!$B$11:$B$50,D369),COUNTIF('Class 4'!$B$11:$B$50,D369),COUNTIF('Class 5'!$B$11:$B$50,D369),COUNTIF('Class 6'!$B$11:$B$50,D369))=0,"Not on the class list","")))</f>
        <v/>
      </c>
      <c r="H369" s="1" t="n"/>
    </row>
    <row r="370">
      <c r="A370" s="1" t="n"/>
      <c r="B370" s="28" t="n"/>
      <c r="C370" s="30" t="n"/>
      <c r="D370" s="31" t="n"/>
      <c r="E370" s="33" t="n"/>
      <c r="F370" s="30" t="n"/>
      <c r="G370" s="12">
        <f>IF(OR(C370="",D370=""),"",IF(ISNA(MATCH(C370,Settings!$C$9:$C$14,0)),"Class not on Settings",IF(CHOOSE(MATCH(C370,Settings!$C$9:$C$14,0),COUNTIF('Class 1'!$B$11:$B$50,D370),COUNTIF('Class 2'!$B$11:$B$50,D370),COUNTIF('Class 3'!$B$11:$B$50,D370),COUNTIF('Class 4'!$B$11:$B$50,D370),COUNTIF('Class 5'!$B$11:$B$50,D370),COUNTIF('Class 6'!$B$11:$B$50,D370))=0,"Not on the class list","")))</f>
        <v/>
      </c>
      <c r="H370" s="1" t="n"/>
    </row>
    <row r="371">
      <c r="A371" s="1" t="n"/>
      <c r="B371" s="28" t="n"/>
      <c r="C371" s="30" t="n"/>
      <c r="D371" s="31" t="n"/>
      <c r="E371" s="33" t="n"/>
      <c r="F371" s="30" t="n"/>
      <c r="G371" s="12">
        <f>IF(OR(C371="",D371=""),"",IF(ISNA(MATCH(C371,Settings!$C$9:$C$14,0)),"Class not on Settings",IF(CHOOSE(MATCH(C371,Settings!$C$9:$C$14,0),COUNTIF('Class 1'!$B$11:$B$50,D371),COUNTIF('Class 2'!$B$11:$B$50,D371),COUNTIF('Class 3'!$B$11:$B$50,D371),COUNTIF('Class 4'!$B$11:$B$50,D371),COUNTIF('Class 5'!$B$11:$B$50,D371),COUNTIF('Class 6'!$B$11:$B$50,D371))=0,"Not on the class list","")))</f>
        <v/>
      </c>
      <c r="H371" s="1" t="n"/>
    </row>
    <row r="372">
      <c r="A372" s="1" t="n"/>
      <c r="B372" s="28" t="n"/>
      <c r="C372" s="30" t="n"/>
      <c r="D372" s="31" t="n"/>
      <c r="E372" s="33" t="n"/>
      <c r="F372" s="30" t="n"/>
      <c r="G372" s="12">
        <f>IF(OR(C372="",D372=""),"",IF(ISNA(MATCH(C372,Settings!$C$9:$C$14,0)),"Class not on Settings",IF(CHOOSE(MATCH(C372,Settings!$C$9:$C$14,0),COUNTIF('Class 1'!$B$11:$B$50,D372),COUNTIF('Class 2'!$B$11:$B$50,D372),COUNTIF('Class 3'!$B$11:$B$50,D372),COUNTIF('Class 4'!$B$11:$B$50,D372),COUNTIF('Class 5'!$B$11:$B$50,D372),COUNTIF('Class 6'!$B$11:$B$50,D372))=0,"Not on the class list","")))</f>
        <v/>
      </c>
      <c r="H372" s="1" t="n"/>
    </row>
    <row r="373">
      <c r="A373" s="1" t="n"/>
      <c r="B373" s="28" t="n"/>
      <c r="C373" s="30" t="n"/>
      <c r="D373" s="31" t="n"/>
      <c r="E373" s="33" t="n"/>
      <c r="F373" s="30" t="n"/>
      <c r="G373" s="12">
        <f>IF(OR(C373="",D373=""),"",IF(ISNA(MATCH(C373,Settings!$C$9:$C$14,0)),"Class not on Settings",IF(CHOOSE(MATCH(C373,Settings!$C$9:$C$14,0),COUNTIF('Class 1'!$B$11:$B$50,D373),COUNTIF('Class 2'!$B$11:$B$50,D373),COUNTIF('Class 3'!$B$11:$B$50,D373),COUNTIF('Class 4'!$B$11:$B$50,D373),COUNTIF('Class 5'!$B$11:$B$50,D373),COUNTIF('Class 6'!$B$11:$B$50,D373))=0,"Not on the class list","")))</f>
        <v/>
      </c>
      <c r="H373" s="1" t="n"/>
    </row>
    <row r="374">
      <c r="A374" s="1" t="n"/>
      <c r="B374" s="28" t="n"/>
      <c r="C374" s="30" t="n"/>
      <c r="D374" s="31" t="n"/>
      <c r="E374" s="33" t="n"/>
      <c r="F374" s="30" t="n"/>
      <c r="G374" s="12">
        <f>IF(OR(C374="",D374=""),"",IF(ISNA(MATCH(C374,Settings!$C$9:$C$14,0)),"Class not on Settings",IF(CHOOSE(MATCH(C374,Settings!$C$9:$C$14,0),COUNTIF('Class 1'!$B$11:$B$50,D374),COUNTIF('Class 2'!$B$11:$B$50,D374),COUNTIF('Class 3'!$B$11:$B$50,D374),COUNTIF('Class 4'!$B$11:$B$50,D374),COUNTIF('Class 5'!$B$11:$B$50,D374),COUNTIF('Class 6'!$B$11:$B$50,D374))=0,"Not on the class list","")))</f>
        <v/>
      </c>
      <c r="H374" s="1" t="n"/>
    </row>
    <row r="375">
      <c r="A375" s="1" t="n"/>
      <c r="B375" s="28" t="n"/>
      <c r="C375" s="30" t="n"/>
      <c r="D375" s="31" t="n"/>
      <c r="E375" s="33" t="n"/>
      <c r="F375" s="30" t="n"/>
      <c r="G375" s="12">
        <f>IF(OR(C375="",D375=""),"",IF(ISNA(MATCH(C375,Settings!$C$9:$C$14,0)),"Class not on Settings",IF(CHOOSE(MATCH(C375,Settings!$C$9:$C$14,0),COUNTIF('Class 1'!$B$11:$B$50,D375),COUNTIF('Class 2'!$B$11:$B$50,D375),COUNTIF('Class 3'!$B$11:$B$50,D375),COUNTIF('Class 4'!$B$11:$B$50,D375),COUNTIF('Class 5'!$B$11:$B$50,D375),COUNTIF('Class 6'!$B$11:$B$50,D375))=0,"Not on the class list","")))</f>
        <v/>
      </c>
      <c r="H375" s="1" t="n"/>
    </row>
    <row r="376">
      <c r="A376" s="1" t="n"/>
      <c r="B376" s="28" t="n"/>
      <c r="C376" s="30" t="n"/>
      <c r="D376" s="31" t="n"/>
      <c r="E376" s="33" t="n"/>
      <c r="F376" s="30" t="n"/>
      <c r="G376" s="12">
        <f>IF(OR(C376="",D376=""),"",IF(ISNA(MATCH(C376,Settings!$C$9:$C$14,0)),"Class not on Settings",IF(CHOOSE(MATCH(C376,Settings!$C$9:$C$14,0),COUNTIF('Class 1'!$B$11:$B$50,D376),COUNTIF('Class 2'!$B$11:$B$50,D376),COUNTIF('Class 3'!$B$11:$B$50,D376),COUNTIF('Class 4'!$B$11:$B$50,D376),COUNTIF('Class 5'!$B$11:$B$50,D376),COUNTIF('Class 6'!$B$11:$B$50,D376))=0,"Not on the class list","")))</f>
        <v/>
      </c>
      <c r="H376" s="1" t="n"/>
    </row>
    <row r="377">
      <c r="A377" s="1" t="n"/>
      <c r="B377" s="28" t="n"/>
      <c r="C377" s="30" t="n"/>
      <c r="D377" s="31" t="n"/>
      <c r="E377" s="33" t="n"/>
      <c r="F377" s="30" t="n"/>
      <c r="G377" s="12">
        <f>IF(OR(C377="",D377=""),"",IF(ISNA(MATCH(C377,Settings!$C$9:$C$14,0)),"Class not on Settings",IF(CHOOSE(MATCH(C377,Settings!$C$9:$C$14,0),COUNTIF('Class 1'!$B$11:$B$50,D377),COUNTIF('Class 2'!$B$11:$B$50,D377),COUNTIF('Class 3'!$B$11:$B$50,D377),COUNTIF('Class 4'!$B$11:$B$50,D377),COUNTIF('Class 5'!$B$11:$B$50,D377),COUNTIF('Class 6'!$B$11:$B$50,D377))=0,"Not on the class list","")))</f>
        <v/>
      </c>
      <c r="H377" s="1" t="n"/>
    </row>
    <row r="378">
      <c r="A378" s="1" t="n"/>
      <c r="B378" s="28" t="n"/>
      <c r="C378" s="30" t="n"/>
      <c r="D378" s="31" t="n"/>
      <c r="E378" s="33" t="n"/>
      <c r="F378" s="30" t="n"/>
      <c r="G378" s="12">
        <f>IF(OR(C378="",D378=""),"",IF(ISNA(MATCH(C378,Settings!$C$9:$C$14,0)),"Class not on Settings",IF(CHOOSE(MATCH(C378,Settings!$C$9:$C$14,0),COUNTIF('Class 1'!$B$11:$B$50,D378),COUNTIF('Class 2'!$B$11:$B$50,D378),COUNTIF('Class 3'!$B$11:$B$50,D378),COUNTIF('Class 4'!$B$11:$B$50,D378),COUNTIF('Class 5'!$B$11:$B$50,D378),COUNTIF('Class 6'!$B$11:$B$50,D378))=0,"Not on the class list","")))</f>
        <v/>
      </c>
      <c r="H378" s="1" t="n"/>
    </row>
    <row r="379">
      <c r="A379" s="1" t="n"/>
      <c r="B379" s="28" t="n"/>
      <c r="C379" s="30" t="n"/>
      <c r="D379" s="31" t="n"/>
      <c r="E379" s="33" t="n"/>
      <c r="F379" s="30" t="n"/>
      <c r="G379" s="12">
        <f>IF(OR(C379="",D379=""),"",IF(ISNA(MATCH(C379,Settings!$C$9:$C$14,0)),"Class not on Settings",IF(CHOOSE(MATCH(C379,Settings!$C$9:$C$14,0),COUNTIF('Class 1'!$B$11:$B$50,D379),COUNTIF('Class 2'!$B$11:$B$50,D379),COUNTIF('Class 3'!$B$11:$B$50,D379),COUNTIF('Class 4'!$B$11:$B$50,D379),COUNTIF('Class 5'!$B$11:$B$50,D379),COUNTIF('Class 6'!$B$11:$B$50,D379))=0,"Not on the class list","")))</f>
        <v/>
      </c>
      <c r="H379" s="1" t="n"/>
    </row>
    <row r="380">
      <c r="A380" s="1" t="n"/>
      <c r="B380" s="28" t="n"/>
      <c r="C380" s="30" t="n"/>
      <c r="D380" s="31" t="n"/>
      <c r="E380" s="33" t="n"/>
      <c r="F380" s="30" t="n"/>
      <c r="G380" s="12">
        <f>IF(OR(C380="",D380=""),"",IF(ISNA(MATCH(C380,Settings!$C$9:$C$14,0)),"Class not on Settings",IF(CHOOSE(MATCH(C380,Settings!$C$9:$C$14,0),COUNTIF('Class 1'!$B$11:$B$50,D380),COUNTIF('Class 2'!$B$11:$B$50,D380),COUNTIF('Class 3'!$B$11:$B$50,D380),COUNTIF('Class 4'!$B$11:$B$50,D380),COUNTIF('Class 5'!$B$11:$B$50,D380),COUNTIF('Class 6'!$B$11:$B$50,D380))=0,"Not on the class list","")))</f>
        <v/>
      </c>
      <c r="H380" s="1" t="n"/>
    </row>
    <row r="381">
      <c r="A381" s="1" t="n"/>
      <c r="B381" s="28" t="n"/>
      <c r="C381" s="30" t="n"/>
      <c r="D381" s="31" t="n"/>
      <c r="E381" s="33" t="n"/>
      <c r="F381" s="30" t="n"/>
      <c r="G381" s="12">
        <f>IF(OR(C381="",D381=""),"",IF(ISNA(MATCH(C381,Settings!$C$9:$C$14,0)),"Class not on Settings",IF(CHOOSE(MATCH(C381,Settings!$C$9:$C$14,0),COUNTIF('Class 1'!$B$11:$B$50,D381),COUNTIF('Class 2'!$B$11:$B$50,D381),COUNTIF('Class 3'!$B$11:$B$50,D381),COUNTIF('Class 4'!$B$11:$B$50,D381),COUNTIF('Class 5'!$B$11:$B$50,D381),COUNTIF('Class 6'!$B$11:$B$50,D381))=0,"Not on the class list","")))</f>
        <v/>
      </c>
      <c r="H381" s="1" t="n"/>
    </row>
    <row r="382">
      <c r="A382" s="1" t="n"/>
      <c r="B382" s="28" t="n"/>
      <c r="C382" s="30" t="n"/>
      <c r="D382" s="31" t="n"/>
      <c r="E382" s="33" t="n"/>
      <c r="F382" s="30" t="n"/>
      <c r="G382" s="12">
        <f>IF(OR(C382="",D382=""),"",IF(ISNA(MATCH(C382,Settings!$C$9:$C$14,0)),"Class not on Settings",IF(CHOOSE(MATCH(C382,Settings!$C$9:$C$14,0),COUNTIF('Class 1'!$B$11:$B$50,D382),COUNTIF('Class 2'!$B$11:$B$50,D382),COUNTIF('Class 3'!$B$11:$B$50,D382),COUNTIF('Class 4'!$B$11:$B$50,D382),COUNTIF('Class 5'!$B$11:$B$50,D382),COUNTIF('Class 6'!$B$11:$B$50,D382))=0,"Not on the class list","")))</f>
        <v/>
      </c>
      <c r="H382" s="1" t="n"/>
    </row>
    <row r="383">
      <c r="A383" s="1" t="n"/>
      <c r="B383" s="28" t="n"/>
      <c r="C383" s="30" t="n"/>
      <c r="D383" s="31" t="n"/>
      <c r="E383" s="33" t="n"/>
      <c r="F383" s="30" t="n"/>
      <c r="G383" s="12">
        <f>IF(OR(C383="",D383=""),"",IF(ISNA(MATCH(C383,Settings!$C$9:$C$14,0)),"Class not on Settings",IF(CHOOSE(MATCH(C383,Settings!$C$9:$C$14,0),COUNTIF('Class 1'!$B$11:$B$50,D383),COUNTIF('Class 2'!$B$11:$B$50,D383),COUNTIF('Class 3'!$B$11:$B$50,D383),COUNTIF('Class 4'!$B$11:$B$50,D383),COUNTIF('Class 5'!$B$11:$B$50,D383),COUNTIF('Class 6'!$B$11:$B$50,D383))=0,"Not on the class list","")))</f>
        <v/>
      </c>
      <c r="H383" s="1" t="n"/>
    </row>
    <row r="384">
      <c r="A384" s="1" t="n"/>
      <c r="B384" s="28" t="n"/>
      <c r="C384" s="30" t="n"/>
      <c r="D384" s="31" t="n"/>
      <c r="E384" s="33" t="n"/>
      <c r="F384" s="30" t="n"/>
      <c r="G384" s="12">
        <f>IF(OR(C384="",D384=""),"",IF(ISNA(MATCH(C384,Settings!$C$9:$C$14,0)),"Class not on Settings",IF(CHOOSE(MATCH(C384,Settings!$C$9:$C$14,0),COUNTIF('Class 1'!$B$11:$B$50,D384),COUNTIF('Class 2'!$B$11:$B$50,D384),COUNTIF('Class 3'!$B$11:$B$50,D384),COUNTIF('Class 4'!$B$11:$B$50,D384),COUNTIF('Class 5'!$B$11:$B$50,D384),COUNTIF('Class 6'!$B$11:$B$50,D384))=0,"Not on the class list","")))</f>
        <v/>
      </c>
      <c r="H384" s="1" t="n"/>
    </row>
    <row r="385">
      <c r="A385" s="1" t="n"/>
      <c r="B385" s="28" t="n"/>
      <c r="C385" s="30" t="n"/>
      <c r="D385" s="31" t="n"/>
      <c r="E385" s="33" t="n"/>
      <c r="F385" s="30" t="n"/>
      <c r="G385" s="12">
        <f>IF(OR(C385="",D385=""),"",IF(ISNA(MATCH(C385,Settings!$C$9:$C$14,0)),"Class not on Settings",IF(CHOOSE(MATCH(C385,Settings!$C$9:$C$14,0),COUNTIF('Class 1'!$B$11:$B$50,D385),COUNTIF('Class 2'!$B$11:$B$50,D385),COUNTIF('Class 3'!$B$11:$B$50,D385),COUNTIF('Class 4'!$B$11:$B$50,D385),COUNTIF('Class 5'!$B$11:$B$50,D385),COUNTIF('Class 6'!$B$11:$B$50,D385))=0,"Not on the class list","")))</f>
        <v/>
      </c>
      <c r="H385" s="1" t="n"/>
    </row>
    <row r="386">
      <c r="A386" s="1" t="n"/>
      <c r="B386" s="28" t="n"/>
      <c r="C386" s="30" t="n"/>
      <c r="D386" s="31" t="n"/>
      <c r="E386" s="33" t="n"/>
      <c r="F386" s="30" t="n"/>
      <c r="G386" s="12">
        <f>IF(OR(C386="",D386=""),"",IF(ISNA(MATCH(C386,Settings!$C$9:$C$14,0)),"Class not on Settings",IF(CHOOSE(MATCH(C386,Settings!$C$9:$C$14,0),COUNTIF('Class 1'!$B$11:$B$50,D386),COUNTIF('Class 2'!$B$11:$B$50,D386),COUNTIF('Class 3'!$B$11:$B$50,D386),COUNTIF('Class 4'!$B$11:$B$50,D386),COUNTIF('Class 5'!$B$11:$B$50,D386),COUNTIF('Class 6'!$B$11:$B$50,D386))=0,"Not on the class list","")))</f>
        <v/>
      </c>
      <c r="H386" s="1" t="n"/>
    </row>
    <row r="387">
      <c r="A387" s="1" t="n"/>
      <c r="B387" s="28" t="n"/>
      <c r="C387" s="30" t="n"/>
      <c r="D387" s="31" t="n"/>
      <c r="E387" s="33" t="n"/>
      <c r="F387" s="30" t="n"/>
      <c r="G387" s="12">
        <f>IF(OR(C387="",D387=""),"",IF(ISNA(MATCH(C387,Settings!$C$9:$C$14,0)),"Class not on Settings",IF(CHOOSE(MATCH(C387,Settings!$C$9:$C$14,0),COUNTIF('Class 1'!$B$11:$B$50,D387),COUNTIF('Class 2'!$B$11:$B$50,D387),COUNTIF('Class 3'!$B$11:$B$50,D387),COUNTIF('Class 4'!$B$11:$B$50,D387),COUNTIF('Class 5'!$B$11:$B$50,D387),COUNTIF('Class 6'!$B$11:$B$50,D387))=0,"Not on the class list","")))</f>
        <v/>
      </c>
      <c r="H387" s="1" t="n"/>
    </row>
    <row r="388">
      <c r="A388" s="1" t="n"/>
      <c r="B388" s="28" t="n"/>
      <c r="C388" s="30" t="n"/>
      <c r="D388" s="31" t="n"/>
      <c r="E388" s="33" t="n"/>
      <c r="F388" s="30" t="n"/>
      <c r="G388" s="12">
        <f>IF(OR(C388="",D388=""),"",IF(ISNA(MATCH(C388,Settings!$C$9:$C$14,0)),"Class not on Settings",IF(CHOOSE(MATCH(C388,Settings!$C$9:$C$14,0),COUNTIF('Class 1'!$B$11:$B$50,D388),COUNTIF('Class 2'!$B$11:$B$50,D388),COUNTIF('Class 3'!$B$11:$B$50,D388),COUNTIF('Class 4'!$B$11:$B$50,D388),COUNTIF('Class 5'!$B$11:$B$50,D388),COUNTIF('Class 6'!$B$11:$B$50,D388))=0,"Not on the class list","")))</f>
        <v/>
      </c>
      <c r="H388" s="1" t="n"/>
    </row>
    <row r="389">
      <c r="A389" s="1" t="n"/>
      <c r="B389" s="28" t="n"/>
      <c r="C389" s="30" t="n"/>
      <c r="D389" s="31" t="n"/>
      <c r="E389" s="33" t="n"/>
      <c r="F389" s="30" t="n"/>
      <c r="G389" s="12">
        <f>IF(OR(C389="",D389=""),"",IF(ISNA(MATCH(C389,Settings!$C$9:$C$14,0)),"Class not on Settings",IF(CHOOSE(MATCH(C389,Settings!$C$9:$C$14,0),COUNTIF('Class 1'!$B$11:$B$50,D389),COUNTIF('Class 2'!$B$11:$B$50,D389),COUNTIF('Class 3'!$B$11:$B$50,D389),COUNTIF('Class 4'!$B$11:$B$50,D389),COUNTIF('Class 5'!$B$11:$B$50,D389),COUNTIF('Class 6'!$B$11:$B$50,D389))=0,"Not on the class list","")))</f>
        <v/>
      </c>
      <c r="H389" s="1" t="n"/>
    </row>
    <row r="390">
      <c r="A390" s="1" t="n"/>
      <c r="B390" s="28" t="n"/>
      <c r="C390" s="30" t="n"/>
      <c r="D390" s="31" t="n"/>
      <c r="E390" s="33" t="n"/>
      <c r="F390" s="30" t="n"/>
      <c r="G390" s="12">
        <f>IF(OR(C390="",D390=""),"",IF(ISNA(MATCH(C390,Settings!$C$9:$C$14,0)),"Class not on Settings",IF(CHOOSE(MATCH(C390,Settings!$C$9:$C$14,0),COUNTIF('Class 1'!$B$11:$B$50,D390),COUNTIF('Class 2'!$B$11:$B$50,D390),COUNTIF('Class 3'!$B$11:$B$50,D390),COUNTIF('Class 4'!$B$11:$B$50,D390),COUNTIF('Class 5'!$B$11:$B$50,D390),COUNTIF('Class 6'!$B$11:$B$50,D390))=0,"Not on the class list","")))</f>
        <v/>
      </c>
      <c r="H390" s="1" t="n"/>
    </row>
    <row r="391">
      <c r="A391" s="1" t="n"/>
      <c r="B391" s="28" t="n"/>
      <c r="C391" s="30" t="n"/>
      <c r="D391" s="31" t="n"/>
      <c r="E391" s="33" t="n"/>
      <c r="F391" s="30" t="n"/>
      <c r="G391" s="12">
        <f>IF(OR(C391="",D391=""),"",IF(ISNA(MATCH(C391,Settings!$C$9:$C$14,0)),"Class not on Settings",IF(CHOOSE(MATCH(C391,Settings!$C$9:$C$14,0),COUNTIF('Class 1'!$B$11:$B$50,D391),COUNTIF('Class 2'!$B$11:$B$50,D391),COUNTIF('Class 3'!$B$11:$B$50,D391),COUNTIF('Class 4'!$B$11:$B$50,D391),COUNTIF('Class 5'!$B$11:$B$50,D391),COUNTIF('Class 6'!$B$11:$B$50,D391))=0,"Not on the class list","")))</f>
        <v/>
      </c>
      <c r="H391" s="1" t="n"/>
    </row>
    <row r="392">
      <c r="A392" s="1" t="n"/>
      <c r="B392" s="28" t="n"/>
      <c r="C392" s="30" t="n"/>
      <c r="D392" s="31" t="n"/>
      <c r="E392" s="33" t="n"/>
      <c r="F392" s="30" t="n"/>
      <c r="G392" s="12">
        <f>IF(OR(C392="",D392=""),"",IF(ISNA(MATCH(C392,Settings!$C$9:$C$14,0)),"Class not on Settings",IF(CHOOSE(MATCH(C392,Settings!$C$9:$C$14,0),COUNTIF('Class 1'!$B$11:$B$50,D392),COUNTIF('Class 2'!$B$11:$B$50,D392),COUNTIF('Class 3'!$B$11:$B$50,D392),COUNTIF('Class 4'!$B$11:$B$50,D392),COUNTIF('Class 5'!$B$11:$B$50,D392),COUNTIF('Class 6'!$B$11:$B$50,D392))=0,"Not on the class list","")))</f>
        <v/>
      </c>
      <c r="H392" s="1" t="n"/>
    </row>
    <row r="393">
      <c r="A393" s="1" t="n"/>
      <c r="B393" s="28" t="n"/>
      <c r="C393" s="30" t="n"/>
      <c r="D393" s="31" t="n"/>
      <c r="E393" s="33" t="n"/>
      <c r="F393" s="30" t="n"/>
      <c r="G393" s="12">
        <f>IF(OR(C393="",D393=""),"",IF(ISNA(MATCH(C393,Settings!$C$9:$C$14,0)),"Class not on Settings",IF(CHOOSE(MATCH(C393,Settings!$C$9:$C$14,0),COUNTIF('Class 1'!$B$11:$B$50,D393),COUNTIF('Class 2'!$B$11:$B$50,D393),COUNTIF('Class 3'!$B$11:$B$50,D393),COUNTIF('Class 4'!$B$11:$B$50,D393),COUNTIF('Class 5'!$B$11:$B$50,D393),COUNTIF('Class 6'!$B$11:$B$50,D393))=0,"Not on the class list","")))</f>
        <v/>
      </c>
      <c r="H393" s="1" t="n"/>
    </row>
    <row r="394">
      <c r="A394" s="1" t="n"/>
      <c r="B394" s="28" t="n"/>
      <c r="C394" s="30" t="n"/>
      <c r="D394" s="31" t="n"/>
      <c r="E394" s="33" t="n"/>
      <c r="F394" s="30" t="n"/>
      <c r="G394" s="12">
        <f>IF(OR(C394="",D394=""),"",IF(ISNA(MATCH(C394,Settings!$C$9:$C$14,0)),"Class not on Settings",IF(CHOOSE(MATCH(C394,Settings!$C$9:$C$14,0),COUNTIF('Class 1'!$B$11:$B$50,D394),COUNTIF('Class 2'!$B$11:$B$50,D394),COUNTIF('Class 3'!$B$11:$B$50,D394),COUNTIF('Class 4'!$B$11:$B$50,D394),COUNTIF('Class 5'!$B$11:$B$50,D394),COUNTIF('Class 6'!$B$11:$B$50,D394))=0,"Not on the class list","")))</f>
        <v/>
      </c>
      <c r="H394" s="1" t="n"/>
    </row>
    <row r="395">
      <c r="A395" s="1" t="n"/>
      <c r="B395" s="28" t="n"/>
      <c r="C395" s="30" t="n"/>
      <c r="D395" s="31" t="n"/>
      <c r="E395" s="33" t="n"/>
      <c r="F395" s="30" t="n"/>
      <c r="G395" s="12">
        <f>IF(OR(C395="",D395=""),"",IF(ISNA(MATCH(C395,Settings!$C$9:$C$14,0)),"Class not on Settings",IF(CHOOSE(MATCH(C395,Settings!$C$9:$C$14,0),COUNTIF('Class 1'!$B$11:$B$50,D395),COUNTIF('Class 2'!$B$11:$B$50,D395),COUNTIF('Class 3'!$B$11:$B$50,D395),COUNTIF('Class 4'!$B$11:$B$50,D395),COUNTIF('Class 5'!$B$11:$B$50,D395),COUNTIF('Class 6'!$B$11:$B$50,D395))=0,"Not on the class list","")))</f>
        <v/>
      </c>
      <c r="H395" s="1" t="n"/>
    </row>
    <row r="396">
      <c r="A396" s="1" t="n"/>
      <c r="B396" s="28" t="n"/>
      <c r="C396" s="30" t="n"/>
      <c r="D396" s="31" t="n"/>
      <c r="E396" s="33" t="n"/>
      <c r="F396" s="30" t="n"/>
      <c r="G396" s="12">
        <f>IF(OR(C396="",D396=""),"",IF(ISNA(MATCH(C396,Settings!$C$9:$C$14,0)),"Class not on Settings",IF(CHOOSE(MATCH(C396,Settings!$C$9:$C$14,0),COUNTIF('Class 1'!$B$11:$B$50,D396),COUNTIF('Class 2'!$B$11:$B$50,D396),COUNTIF('Class 3'!$B$11:$B$50,D396),COUNTIF('Class 4'!$B$11:$B$50,D396),COUNTIF('Class 5'!$B$11:$B$50,D396),COUNTIF('Class 6'!$B$11:$B$50,D396))=0,"Not on the class list","")))</f>
        <v/>
      </c>
      <c r="H396" s="1" t="n"/>
    </row>
    <row r="397">
      <c r="A397" s="1" t="n"/>
      <c r="B397" s="28" t="n"/>
      <c r="C397" s="30" t="n"/>
      <c r="D397" s="31" t="n"/>
      <c r="E397" s="33" t="n"/>
      <c r="F397" s="30" t="n"/>
      <c r="G397" s="12">
        <f>IF(OR(C397="",D397=""),"",IF(ISNA(MATCH(C397,Settings!$C$9:$C$14,0)),"Class not on Settings",IF(CHOOSE(MATCH(C397,Settings!$C$9:$C$14,0),COUNTIF('Class 1'!$B$11:$B$50,D397),COUNTIF('Class 2'!$B$11:$B$50,D397),COUNTIF('Class 3'!$B$11:$B$50,D397),COUNTIF('Class 4'!$B$11:$B$50,D397),COUNTIF('Class 5'!$B$11:$B$50,D397),COUNTIF('Class 6'!$B$11:$B$50,D397))=0,"Not on the class list","")))</f>
        <v/>
      </c>
      <c r="H397" s="1" t="n"/>
    </row>
    <row r="398">
      <c r="A398" s="1" t="n"/>
      <c r="B398" s="28" t="n"/>
      <c r="C398" s="30" t="n"/>
      <c r="D398" s="31" t="n"/>
      <c r="E398" s="33" t="n"/>
      <c r="F398" s="30" t="n"/>
      <c r="G398" s="12">
        <f>IF(OR(C398="",D398=""),"",IF(ISNA(MATCH(C398,Settings!$C$9:$C$14,0)),"Class not on Settings",IF(CHOOSE(MATCH(C398,Settings!$C$9:$C$14,0),COUNTIF('Class 1'!$B$11:$B$50,D398),COUNTIF('Class 2'!$B$11:$B$50,D398),COUNTIF('Class 3'!$B$11:$B$50,D398),COUNTIF('Class 4'!$B$11:$B$50,D398),COUNTIF('Class 5'!$B$11:$B$50,D398),COUNTIF('Class 6'!$B$11:$B$50,D398))=0,"Not on the class list","")))</f>
        <v/>
      </c>
      <c r="H398" s="1" t="n"/>
    </row>
    <row r="399">
      <c r="A399" s="1" t="n"/>
      <c r="B399" s="28" t="n"/>
      <c r="C399" s="30" t="n"/>
      <c r="D399" s="31" t="n"/>
      <c r="E399" s="33" t="n"/>
      <c r="F399" s="30" t="n"/>
      <c r="G399" s="12">
        <f>IF(OR(C399="",D399=""),"",IF(ISNA(MATCH(C399,Settings!$C$9:$C$14,0)),"Class not on Settings",IF(CHOOSE(MATCH(C399,Settings!$C$9:$C$14,0),COUNTIF('Class 1'!$B$11:$B$50,D399),COUNTIF('Class 2'!$B$11:$B$50,D399),COUNTIF('Class 3'!$B$11:$B$50,D399),COUNTIF('Class 4'!$B$11:$B$50,D399),COUNTIF('Class 5'!$B$11:$B$50,D399),COUNTIF('Class 6'!$B$11:$B$50,D399))=0,"Not on the class list","")))</f>
        <v/>
      </c>
      <c r="H399" s="1" t="n"/>
    </row>
    <row r="400">
      <c r="A400" s="1" t="n"/>
      <c r="B400" s="28" t="n"/>
      <c r="C400" s="30" t="n"/>
      <c r="D400" s="31" t="n"/>
      <c r="E400" s="33" t="n"/>
      <c r="F400" s="30" t="n"/>
      <c r="G400" s="12">
        <f>IF(OR(C400="",D400=""),"",IF(ISNA(MATCH(C400,Settings!$C$9:$C$14,0)),"Class not on Settings",IF(CHOOSE(MATCH(C400,Settings!$C$9:$C$14,0),COUNTIF('Class 1'!$B$11:$B$50,D400),COUNTIF('Class 2'!$B$11:$B$50,D400),COUNTIF('Class 3'!$B$11:$B$50,D400),COUNTIF('Class 4'!$B$11:$B$50,D400),COUNTIF('Class 5'!$B$11:$B$50,D400),COUNTIF('Class 6'!$B$11:$B$50,D400))=0,"Not on the class list","")))</f>
        <v/>
      </c>
      <c r="H400" s="1" t="n"/>
    </row>
    <row r="401">
      <c r="A401" s="1" t="n"/>
      <c r="B401" s="28" t="n"/>
      <c r="C401" s="30" t="n"/>
      <c r="D401" s="31" t="n"/>
      <c r="E401" s="33" t="n"/>
      <c r="F401" s="30" t="n"/>
      <c r="G401" s="12">
        <f>IF(OR(C401="",D401=""),"",IF(ISNA(MATCH(C401,Settings!$C$9:$C$14,0)),"Class not on Settings",IF(CHOOSE(MATCH(C401,Settings!$C$9:$C$14,0),COUNTIF('Class 1'!$B$11:$B$50,D401),COUNTIF('Class 2'!$B$11:$B$50,D401),COUNTIF('Class 3'!$B$11:$B$50,D401),COUNTIF('Class 4'!$B$11:$B$50,D401),COUNTIF('Class 5'!$B$11:$B$50,D401),COUNTIF('Class 6'!$B$11:$B$50,D401))=0,"Not on the class list","")))</f>
        <v/>
      </c>
      <c r="H401" s="1" t="n"/>
    </row>
    <row r="402">
      <c r="A402" s="1" t="n"/>
      <c r="B402" s="28" t="n"/>
      <c r="C402" s="30" t="n"/>
      <c r="D402" s="31" t="n"/>
      <c r="E402" s="33" t="n"/>
      <c r="F402" s="30" t="n"/>
      <c r="G402" s="12">
        <f>IF(OR(C402="",D402=""),"",IF(ISNA(MATCH(C402,Settings!$C$9:$C$14,0)),"Class not on Settings",IF(CHOOSE(MATCH(C402,Settings!$C$9:$C$14,0),COUNTIF('Class 1'!$B$11:$B$50,D402),COUNTIF('Class 2'!$B$11:$B$50,D402),COUNTIF('Class 3'!$B$11:$B$50,D402),COUNTIF('Class 4'!$B$11:$B$50,D402),COUNTIF('Class 5'!$B$11:$B$50,D402),COUNTIF('Class 6'!$B$11:$B$50,D402))=0,"Not on the class list","")))</f>
        <v/>
      </c>
      <c r="H402" s="1" t="n"/>
    </row>
    <row r="403">
      <c r="A403" s="1" t="n"/>
      <c r="B403" s="28" t="n"/>
      <c r="C403" s="30" t="n"/>
      <c r="D403" s="31" t="n"/>
      <c r="E403" s="33" t="n"/>
      <c r="F403" s="30" t="n"/>
      <c r="G403" s="12">
        <f>IF(OR(C403="",D403=""),"",IF(ISNA(MATCH(C403,Settings!$C$9:$C$14,0)),"Class not on Settings",IF(CHOOSE(MATCH(C403,Settings!$C$9:$C$14,0),COUNTIF('Class 1'!$B$11:$B$50,D403),COUNTIF('Class 2'!$B$11:$B$50,D403),COUNTIF('Class 3'!$B$11:$B$50,D403),COUNTIF('Class 4'!$B$11:$B$50,D403),COUNTIF('Class 5'!$B$11:$B$50,D403),COUNTIF('Class 6'!$B$11:$B$50,D403))=0,"Not on the class list","")))</f>
        <v/>
      </c>
      <c r="H403" s="1" t="n"/>
    </row>
    <row r="404">
      <c r="A404" s="1" t="n"/>
      <c r="B404" s="28" t="n"/>
      <c r="C404" s="30" t="n"/>
      <c r="D404" s="31" t="n"/>
      <c r="E404" s="33" t="n"/>
      <c r="F404" s="30" t="n"/>
      <c r="G404" s="12">
        <f>IF(OR(C404="",D404=""),"",IF(ISNA(MATCH(C404,Settings!$C$9:$C$14,0)),"Class not on Settings",IF(CHOOSE(MATCH(C404,Settings!$C$9:$C$14,0),COUNTIF('Class 1'!$B$11:$B$50,D404),COUNTIF('Class 2'!$B$11:$B$50,D404),COUNTIF('Class 3'!$B$11:$B$50,D404),COUNTIF('Class 4'!$B$11:$B$50,D404),COUNTIF('Class 5'!$B$11:$B$50,D404),COUNTIF('Class 6'!$B$11:$B$50,D404))=0,"Not on the class list","")))</f>
        <v/>
      </c>
      <c r="H404" s="1" t="n"/>
    </row>
    <row r="405">
      <c r="A405" s="1" t="n"/>
      <c r="B405" s="28" t="n"/>
      <c r="C405" s="30" t="n"/>
      <c r="D405" s="31" t="n"/>
      <c r="E405" s="33" t="n"/>
      <c r="F405" s="30" t="n"/>
      <c r="G405" s="12">
        <f>IF(OR(C405="",D405=""),"",IF(ISNA(MATCH(C405,Settings!$C$9:$C$14,0)),"Class not on Settings",IF(CHOOSE(MATCH(C405,Settings!$C$9:$C$14,0),COUNTIF('Class 1'!$B$11:$B$50,D405),COUNTIF('Class 2'!$B$11:$B$50,D405),COUNTIF('Class 3'!$B$11:$B$50,D405),COUNTIF('Class 4'!$B$11:$B$50,D405),COUNTIF('Class 5'!$B$11:$B$50,D405),COUNTIF('Class 6'!$B$11:$B$50,D405))=0,"Not on the class list","")))</f>
        <v/>
      </c>
      <c r="H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</row>
  </sheetData>
  <conditionalFormatting sqref="G6:G405">
    <cfRule type="expression" priority="1" dxfId="1">
      <formula>G6&lt;&gt;""</formula>
    </cfRule>
  </conditionalFormatting>
  <dataValidations count="3">
    <dataValidation sqref="C6:C405" showDropDown="0" showInputMessage="0" showErrorMessage="1" allowBlank="1" type="list">
      <formula1>=Settings!$C$9:$C$14</formula1>
    </dataValidation>
    <dataValidation sqref="D6:D405" showDropDown="0" showInputMessage="0" showErrorMessage="0" allowBlank="1" type="list">
      <formula1>=$J$6:$J$245</formula1>
    </dataValidation>
    <dataValidation sqref="E6:E405" showDropDown="0" showInputMessage="0" showErrorMessage="1" allowBlank="1" type="list">
      <formula1>"Absent,Late,Excused"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The pass mark, the week the plan shows, your classes and your grade scale.</t>
        </is>
      </c>
      <c r="C3" s="1" t="n"/>
      <c r="D3" s="1" t="n"/>
      <c r="E3" s="1" t="n"/>
      <c r="F3" s="1" t="n"/>
    </row>
    <row r="4">
      <c r="A4" s="1" t="n"/>
      <c r="B4" s="45" t="inlineStr">
        <is>
          <t>Pass mark (percent)</t>
        </is>
      </c>
      <c r="C4" s="46" t="n">
        <v>60</v>
      </c>
      <c r="D4" s="1" t="n"/>
      <c r="E4" s="21" t="inlineStr">
        <is>
          <t>Students below it show in red.</t>
        </is>
      </c>
      <c r="F4" s="1" t="n"/>
    </row>
    <row r="5">
      <c r="A5" s="1" t="n"/>
      <c r="B5" s="45" t="inlineStr">
        <is>
          <t>Show another week</t>
        </is>
      </c>
      <c r="C5" s="47" t="n"/>
      <c r="D5" s="1" t="n"/>
      <c r="E5" s="21" t="inlineStr">
        <is>
          <t>Leave it empty for the week we are in. Type any day to see and print its week.</t>
        </is>
      </c>
      <c r="F5" s="1" t="n"/>
    </row>
    <row r="6">
      <c r="A6" s="1" t="n"/>
      <c r="B6" s="45" t="inlineStr">
        <is>
          <t>The week starts on</t>
        </is>
      </c>
      <c r="C6" s="48">
        <f>IF(C5="",TODAY(),C5)-WEEKDAY(IF(C5="",TODAY(),C5),3)</f>
        <v/>
      </c>
      <c r="D6" s="1" t="n"/>
      <c r="E6" s="21" t="inlineStr">
        <is>
          <t>The Monday of that week.</t>
        </is>
      </c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24" t="inlineStr">
        <is>
          <t>Classes</t>
        </is>
      </c>
      <c r="C8" s="1" t="n"/>
      <c r="D8" s="1" t="n"/>
      <c r="E8" s="21" t="inlineStr">
        <is>
          <t>One for each of the tabs Class 1 to Class 6. The timetable and the lessons use these names.</t>
        </is>
      </c>
      <c r="F8" s="1" t="n"/>
    </row>
    <row r="9">
      <c r="A9" s="1" t="n"/>
      <c r="B9" s="49" t="inlineStr">
        <is>
          <t>Class 1</t>
        </is>
      </c>
      <c r="C9" s="31" t="inlineStr">
        <is>
          <t>7B Science</t>
        </is>
      </c>
      <c r="D9" s="1" t="n"/>
      <c r="E9" s="1" t="n"/>
      <c r="F9" s="1" t="n"/>
    </row>
    <row r="10">
      <c r="A10" s="1" t="n"/>
      <c r="B10" s="49" t="inlineStr">
        <is>
          <t>Class 2</t>
        </is>
      </c>
      <c r="C10" s="31" t="inlineStr">
        <is>
          <t>8A Science</t>
        </is>
      </c>
      <c r="D10" s="1" t="n"/>
      <c r="E10" s="1" t="n"/>
      <c r="F10" s="1" t="n"/>
    </row>
    <row r="11">
      <c r="A11" s="1" t="n"/>
      <c r="B11" s="49" t="inlineStr">
        <is>
          <t>Class 3</t>
        </is>
      </c>
      <c r="C11" s="31" t="inlineStr">
        <is>
          <t>9C Biology</t>
        </is>
      </c>
      <c r="D11" s="1" t="n"/>
      <c r="E11" s="1" t="n"/>
      <c r="F11" s="1" t="n"/>
    </row>
    <row r="12">
      <c r="A12" s="1" t="n"/>
      <c r="B12" s="49" t="inlineStr">
        <is>
          <t>Class 4</t>
        </is>
      </c>
      <c r="C12" s="31" t="inlineStr">
        <is>
          <t>10D Chemistry</t>
        </is>
      </c>
      <c r="D12" s="1" t="n"/>
      <c r="E12" s="1" t="n"/>
      <c r="F12" s="1" t="n"/>
    </row>
    <row r="13">
      <c r="A13" s="1" t="n"/>
      <c r="B13" s="49" t="inlineStr">
        <is>
          <t>Class 5</t>
        </is>
      </c>
      <c r="C13" s="31" t="n"/>
      <c r="D13" s="1" t="n"/>
      <c r="E13" s="1" t="n"/>
      <c r="F13" s="1" t="n"/>
    </row>
    <row r="14">
      <c r="A14" s="1" t="n"/>
      <c r="B14" s="49" t="inlineStr">
        <is>
          <t>Class 6</t>
        </is>
      </c>
      <c r="C14" s="3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50" t="inlineStr">
        <is>
          <t>Grade scale: from (percent)</t>
        </is>
      </c>
      <c r="C16" s="50" t="inlineStr">
        <is>
          <t>Grade</t>
        </is>
      </c>
      <c r="D16" s="1" t="n"/>
      <c r="E16" s="21" t="inlineStr">
        <is>
          <t>A grade applies from its percent up to the next one. Change them to your school's scale.</t>
        </is>
      </c>
      <c r="F16" s="1" t="n"/>
    </row>
    <row r="17">
      <c r="A17" s="1" t="n"/>
      <c r="B17" s="29" t="n">
        <v>90</v>
      </c>
      <c r="C17" s="36" t="inlineStr">
        <is>
          <t>A</t>
        </is>
      </c>
      <c r="D17" s="1" t="n"/>
      <c r="E17" s="1" t="n"/>
      <c r="F17" s="1" t="n"/>
    </row>
    <row r="18">
      <c r="A18" s="1" t="n"/>
      <c r="B18" s="29" t="n">
        <v>80</v>
      </c>
      <c r="C18" s="36" t="inlineStr">
        <is>
          <t>B</t>
        </is>
      </c>
      <c r="D18" s="1" t="n"/>
      <c r="E18" s="1" t="n"/>
      <c r="F18" s="1" t="n"/>
    </row>
    <row r="19">
      <c r="A19" s="1" t="n"/>
      <c r="B19" s="29" t="n">
        <v>70</v>
      </c>
      <c r="C19" s="36" t="inlineStr">
        <is>
          <t>C</t>
        </is>
      </c>
      <c r="D19" s="1" t="n"/>
      <c r="E19" s="1" t="n"/>
      <c r="F19" s="1" t="n"/>
    </row>
    <row r="20">
      <c r="A20" s="1" t="n"/>
      <c r="B20" s="29" t="n">
        <v>60</v>
      </c>
      <c r="C20" s="36" t="inlineStr">
        <is>
          <t>D</t>
        </is>
      </c>
      <c r="D20" s="1" t="n"/>
      <c r="E20" s="1" t="n"/>
      <c r="F20" s="1" t="n"/>
    </row>
    <row r="21">
      <c r="A21" s="1" t="n"/>
      <c r="B21" s="29" t="n">
        <v>0</v>
      </c>
      <c r="C21" s="36" t="inlineStr">
        <is>
          <t>F</t>
        </is>
      </c>
      <c r="D21" s="1" t="n"/>
      <c r="E21" s="1" t="n"/>
      <c r="F21" s="1" t="n"/>
    </row>
    <row r="22">
      <c r="A22" s="1" t="n"/>
      <c r="B22" s="29" t="n"/>
      <c r="C22" s="36" t="n"/>
      <c r="D22" s="1" t="n"/>
      <c r="E22" s="1" t="n"/>
      <c r="F22" s="1" t="n"/>
    </row>
    <row r="23">
      <c r="A23" s="1" t="n"/>
      <c r="B23" s="29" t="n"/>
      <c r="C23" s="36" t="n"/>
      <c r="D23" s="1" t="n"/>
      <c r="E23" s="1" t="n"/>
      <c r="F23" s="1" t="n"/>
    </row>
    <row r="24">
      <c r="A24" s="1" t="n"/>
      <c r="B24" s="29" t="n"/>
      <c r="C24" s="36" t="n"/>
      <c r="D24" s="1" t="n"/>
      <c r="E24" s="1" t="n"/>
      <c r="F24" s="1" t="n"/>
    </row>
    <row r="25">
      <c r="A25" s="1" t="n"/>
      <c r="B25" s="29" t="n"/>
      <c r="C25" s="36" t="n"/>
      <c r="D25" s="1" t="n"/>
      <c r="E25" s="1" t="n"/>
      <c r="F25" s="1" t="n"/>
    </row>
    <row r="26">
      <c r="A26" s="1" t="n"/>
      <c r="B26" s="29" t="n"/>
      <c r="C26" s="36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8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51" t="inlineStr">
        <is>
          <t>1</t>
        </is>
      </c>
      <c r="C5" s="52" t="inlineStr">
        <is>
          <t>Settings: your classes, the pass mark and your grade scale.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51" t="inlineStr">
        <is>
          <t>2</t>
        </is>
      </c>
      <c r="C7" s="52" t="inlineStr">
        <is>
          <t>Timetable: the class in each period of your usual week, with the start times.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51" t="inlineStr">
        <is>
          <t>3</t>
        </is>
      </c>
      <c r="C9" s="52" t="inlineStr">
        <is>
          <t>Lessons: a line for each lesson, by date and period. The class fills in from the timetable.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51" t="inlineStr">
        <is>
          <t>4</t>
        </is>
      </c>
      <c r="C11" s="52" t="inlineStr">
        <is>
          <t>Week: the plan for the week, ready to print. Settings shows another week if you type a day.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51" t="inlineStr">
        <is>
          <t>5</t>
        </is>
      </c>
      <c r="C13" s="52" t="inlineStr">
        <is>
          <t>Class 1 to Class 6: the students, then each assessment with its date, marks out of and weight.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51" t="inlineStr">
        <is>
          <t>6</t>
        </is>
      </c>
      <c r="C15" s="52" t="inlineStr">
        <is>
          <t>Absences: only the students who were absent or late.</t>
        </is>
      </c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classes and students are made up. Delete them and add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Averages are weighted: a test with weight 2 counts twice as much as one with weight 1.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Works in Google Sheets and Microsoft Excel.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2026-09-28T19:09:38Z</dcterms:created>
  <dcterms:modified xsi:type="dcterms:W3CDTF">2026-09-28T19:09:40Z</dcterms:modified>
</cp:coreProperties>
</file>