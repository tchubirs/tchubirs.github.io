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sks" sheetId="2" state="visible" r:id="rId2"/>
    <sheet name="Boxes" sheetId="3" state="visible" r:id="rId3"/>
    <sheet name="Movers" sheetId="4" state="visible" r:id="rId4"/>
    <sheet name="Costs" sheetId="5" state="visible" r:id="rId5"/>
    <sheet name="New address" sheetId="6" state="visible" r:id="rId6"/>
    <sheet name="Settings" sheetId="7" state="visible" r:id="rId7"/>
    <sheet name="Start He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d d mmm"/>
    <numFmt numFmtId="165" formatCode="yyyy-mm-dd"/>
    <numFmt numFmtId="166" formatCode="DD MMM YYYY"/>
    <numFmt numFmtId="167" formatCode="0;;"/>
    <numFmt numFmtId="168" formatCode="#,##0.00;;"/>
  </numFmts>
  <fonts count="15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color rgb="001E2A2F"/>
      <sz val="11"/>
    </font>
    <font>
      <name val="Arial"/>
      <i val="1"/>
      <color rgb="006B7B80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color rgb="001F6F78"/>
      <sz val="12"/>
    </font>
    <font>
      <name val="Arial"/>
      <b val="1"/>
      <color rgb="0015525A"/>
      <sz val="10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/>
      <top style="thin">
        <color rgb="00D5DBDB"/>
      </top>
      <bottom style="thin">
        <color rgb="00D5DBDB"/>
      </bottom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166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4" fontId="4" fillId="4" borderId="1" applyAlignment="1" pivotButton="0" quotePrefix="0" xfId="0">
      <alignment horizontal="center" vertical="center"/>
    </xf>
    <xf numFmtId="0" fontId="8" fillId="2" borderId="1" pivotButton="0" quotePrefix="0" xfId="0"/>
    <xf numFmtId="49" fontId="9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4" fontId="9" fillId="2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4" fillId="2" borderId="1" pivotButton="0" quotePrefix="0" xfId="0"/>
    <xf numFmtId="164" fontId="6" fillId="2" borderId="1" applyAlignment="1" pivotButton="0" quotePrefix="0" xfId="0">
      <alignment horizontal="center" vertical="center"/>
    </xf>
    <xf numFmtId="0" fontId="6" fillId="2" borderId="1" pivotButton="0" quotePrefix="0" xfId="0"/>
    <xf numFmtId="0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6" fillId="2" borderId="1" pivotButton="0" quotePrefix="0" xfId="0"/>
    <xf numFmtId="1" fontId="6" fillId="2" borderId="1" applyAlignment="1" pivotButton="0" quotePrefix="0" xfId="0">
      <alignment horizontal="center" vertical="center"/>
    </xf>
    <xf numFmtId="0" fontId="12" fillId="2" borderId="0" pivotButton="0" quotePrefix="0" xfId="0"/>
    <xf numFmtId="4" fontId="4" fillId="2" borderId="1" pivotButton="0" quotePrefix="0" xfId="0"/>
    <xf numFmtId="0" fontId="11" fillId="2" borderId="0" pivotButton="0" quotePrefix="0" xfId="0"/>
    <xf numFmtId="1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6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4" fontId="6" fillId="4" borderId="1" pivotButton="0" quotePrefix="0" xfId="0"/>
    <xf numFmtId="166" fontId="6" fillId="4" borderId="1" pivotButton="0" quotePrefix="0" xfId="0"/>
    <xf numFmtId="0" fontId="7" fillId="2" borderId="0" pivotButton="0" quotePrefix="0" xfId="0"/>
    <xf numFmtId="4" fontId="6" fillId="2" borderId="1" pivotButton="0" quotePrefix="0" xfId="0"/>
    <xf numFmtId="1" fontId="6" fillId="4" borderId="1" pivotButton="0" quotePrefix="0" xfId="0"/>
    <xf numFmtId="0" fontId="5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7">
    <dxf>
      <font>
        <name val="Arial"/>
        <b val="1"/>
        <color rgb="00B4541F"/>
        <sz val="16"/>
      </font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color rgb="009AA7A9"/>
      </font>
    </dxf>
    <dxf>
      <fill>
        <patternFill patternType="solid">
          <fgColor rgb="00CFE8E4"/>
          <bgColor rgb="00CFE8E4"/>
        </patternFill>
      </fill>
    </dxf>
    <dxf>
      <font>
        <name val="Arial"/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3" customWidth="1" min="14" max="14"/>
    <col hidden="1" width="13" customWidth="1" min="16" max="16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>
        <f>IF(C5="","Moving day","Moving to "&amp;C5)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The countdown, the checklist, the boxes, the money and who still needs your new address.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4" t="inlineStr">
        <is>
          <t>Moving day</t>
        </is>
      </c>
      <c r="C4" s="5" t="n">
        <v>46319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4" t="inlineStr">
        <is>
          <t>New home</t>
        </is>
      </c>
      <c r="C5" s="6" t="inlineStr">
        <is>
          <t>Maple Road</t>
        </is>
      </c>
      <c r="D5" s="7" t="n"/>
      <c r="E5" s="8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4" t="inlineStr">
        <is>
          <t>Budget</t>
        </is>
      </c>
      <c r="C6" s="9" t="n">
        <v>1800</v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0" t="inlineStr">
        <is>
          <t>Countdown</t>
        </is>
      </c>
      <c r="C8" s="10" t="inlineStr">
        <is>
          <t>Tasks done</t>
        </is>
      </c>
      <c r="D8" s="10" t="inlineStr">
        <is>
          <t>Late tasks</t>
        </is>
      </c>
      <c r="E8" s="10" t="inlineStr">
        <is>
          <t>Boxes packed</t>
        </is>
      </c>
      <c r="F8" s="10" t="inlineStr">
        <is>
          <t>Told new address</t>
        </is>
      </c>
      <c r="G8" s="10" t="inlineStr">
        <is>
          <t>Budget left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 ht="34" customHeight="1">
      <c r="A9" s="1" t="n"/>
      <c r="B9" s="11">
        <f>IF($C$4="","",IF($C$4-TODAY()&gt;1,($C$4-TODAY())&amp;" days",IF($C$4-TODAY()=1,"Tomorrow",IF($C$4=TODAY(),"Today","Moved"))))</f>
        <v/>
      </c>
      <c r="C9" s="11">
        <f>COUNTIFS(Tasks!$B$6:$B$75,"&lt;&gt;",Tasks!$F$6:$F$75,"&lt;&gt;")&amp;" of "&amp;COUNTIF(Tasks!$B$6:$B$75,"?*")</f>
        <v/>
      </c>
      <c r="D9" s="12">
        <f>COUNTIF(Tasks!$G$6:$G$75,"Late")</f>
        <v/>
      </c>
      <c r="E9" s="11">
        <f>(COUNTIF(Boxes!$K$6:$K$305,"Packed")+COUNTIF(Boxes!$K$6:$K$305,"Arrived"))&amp;" of "&amp;COUNTIF(Boxes!$K$6:$K$305,"?*")</f>
        <v/>
      </c>
      <c r="F9" s="11">
        <f>COUNTIFS('New address'!$B$6:$B$65,"&lt;&gt;",'New address'!$F$6:$F$65,"&lt;&gt;")&amp;" of "&amp;COUNTIF('New address'!$B$6:$B$65,"?*")</f>
        <v/>
      </c>
      <c r="G9" s="13">
        <f>IF(N($C$6)=0,"",$C$6-SUM(Costs!$M$6:$M$55))</f>
        <v/>
      </c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30" customHeight="1">
      <c r="A11" s="1" t="n"/>
      <c r="B11" s="14" t="inlineStr">
        <is>
          <t>Next up</t>
        </is>
      </c>
      <c r="C11" s="7" t="n"/>
      <c r="D11" s="8" t="n"/>
      <c r="E11" s="14" t="inlineStr">
        <is>
          <t>Date</t>
        </is>
      </c>
      <c r="F11" s="14" t="inlineStr">
        <is>
          <t>Who</t>
        </is>
      </c>
      <c r="G11" s="14" t="inlineStr">
        <is>
          <t>Status</t>
        </is>
      </c>
      <c r="H11" s="1" t="n"/>
      <c r="I11" s="14" t="inlineStr">
        <is>
          <t>Boxes by room</t>
        </is>
      </c>
      <c r="J11" s="14" t="inlineStr">
        <is>
          <t>Boxes</t>
        </is>
      </c>
      <c r="K11" s="14" t="inlineStr">
        <is>
          <t>Packed</t>
        </is>
      </c>
      <c r="L11" s="14" t="inlineStr">
        <is>
          <t>Fragile</t>
        </is>
      </c>
      <c r="M11" s="14" t="inlineStr">
        <is>
          <t>Arrived</t>
        </is>
      </c>
      <c r="N11" s="1" t="n"/>
      <c r="O11" s="1" t="n"/>
    </row>
    <row r="12">
      <c r="A12" s="1" t="n"/>
      <c r="B12" s="15">
        <f>IF(P12="",IF($C$4="","Type moving day first","Nothing left to do"),INDEX(Tasks!$B$6:$B$75,MATCH(P12,Tasks!$J$6:$J$75,0)))</f>
        <v/>
      </c>
      <c r="C12" s="7" t="n"/>
      <c r="D12" s="8" t="n"/>
      <c r="E12" s="16">
        <f>IF(P12="","",INT(P12))</f>
        <v/>
      </c>
      <c r="F12" s="17">
        <f>IF(P12="","",INDEX(Tasks!$E$6:$E$75,MATCH(P12,Tasks!$J$6:$J$75,0)))</f>
        <v/>
      </c>
      <c r="G12" s="18">
        <f>IF(P12="","",INDEX(Tasks!$G$6:$G$75,MATCH(P12,Tasks!$J$6:$J$75,0)))</f>
        <v/>
      </c>
      <c r="H12" s="1" t="n"/>
      <c r="I12" s="15">
        <f>IF(Settings!B6="","",Settings!B6)</f>
        <v/>
      </c>
      <c r="J12" s="19">
        <f>IF(I12="","",COUNTIF(Boxes!$C$6:$C$305,I12))</f>
        <v/>
      </c>
      <c r="K12" s="19">
        <f>IF(I12="","",COUNTIFS(Boxes!$C$6:$C$305,I12,Boxes!$K$6:$K$305,"Packed")+COUNTIFS(Boxes!$C$6:$C$305,I12,Boxes!$K$6:$K$305,"Arrived"))</f>
        <v/>
      </c>
      <c r="L12" s="19">
        <f>IF(I12="","",COUNTIFS(Boxes!$C$6:$C$305,I12,Boxes!$G$6:$G$305,"&lt;&gt;"))</f>
        <v/>
      </c>
      <c r="M12" s="19">
        <f>IF(I12="","",COUNTIFS(Boxes!$C$6:$C$305,I12,Boxes!$K$6:$K$305,"Arrived"))</f>
        <v/>
      </c>
      <c r="N12" s="1" t="n"/>
      <c r="O12" s="1" t="n"/>
      <c r="P12">
        <f>IFERROR(SMALL(Tasks!$J$6:$J$75,1),"")</f>
        <v/>
      </c>
    </row>
    <row r="13">
      <c r="A13" s="1" t="n"/>
      <c r="B13" s="15">
        <f>IF(P13="","",INDEX(Tasks!$B$6:$B$75,MATCH(P13,Tasks!$J$6:$J$75,0)))</f>
        <v/>
      </c>
      <c r="C13" s="7" t="n"/>
      <c r="D13" s="8" t="n"/>
      <c r="E13" s="16">
        <f>IF(P13="","",INT(P13))</f>
        <v/>
      </c>
      <c r="F13" s="17">
        <f>IF(P13="","",INDEX(Tasks!$E$6:$E$75,MATCH(P13,Tasks!$J$6:$J$75,0)))</f>
        <v/>
      </c>
      <c r="G13" s="18">
        <f>IF(P13="","",INDEX(Tasks!$G$6:$G$75,MATCH(P13,Tasks!$J$6:$J$75,0)))</f>
        <v/>
      </c>
      <c r="H13" s="1" t="n"/>
      <c r="I13" s="15">
        <f>IF(Settings!B7="","",Settings!B7)</f>
        <v/>
      </c>
      <c r="J13" s="19">
        <f>IF(I13="","",COUNTIF(Boxes!$C$6:$C$305,I13))</f>
        <v/>
      </c>
      <c r="K13" s="19">
        <f>IF(I13="","",COUNTIFS(Boxes!$C$6:$C$305,I13,Boxes!$K$6:$K$305,"Packed")+COUNTIFS(Boxes!$C$6:$C$305,I13,Boxes!$K$6:$K$305,"Arrived"))</f>
        <v/>
      </c>
      <c r="L13" s="19">
        <f>IF(I13="","",COUNTIFS(Boxes!$C$6:$C$305,I13,Boxes!$G$6:$G$305,"&lt;&gt;"))</f>
        <v/>
      </c>
      <c r="M13" s="19">
        <f>IF(I13="","",COUNTIFS(Boxes!$C$6:$C$305,I13,Boxes!$K$6:$K$305,"Arrived"))</f>
        <v/>
      </c>
      <c r="N13" s="1" t="n"/>
      <c r="O13" s="1" t="n"/>
      <c r="P13">
        <f>IFERROR(SMALL(Tasks!$J$6:$J$75,2),"")</f>
        <v/>
      </c>
    </row>
    <row r="14">
      <c r="A14" s="1" t="n"/>
      <c r="B14" s="15">
        <f>IF(P14="","",INDEX(Tasks!$B$6:$B$75,MATCH(P14,Tasks!$J$6:$J$75,0)))</f>
        <v/>
      </c>
      <c r="C14" s="7" t="n"/>
      <c r="D14" s="8" t="n"/>
      <c r="E14" s="16">
        <f>IF(P14="","",INT(P14))</f>
        <v/>
      </c>
      <c r="F14" s="17">
        <f>IF(P14="","",INDEX(Tasks!$E$6:$E$75,MATCH(P14,Tasks!$J$6:$J$75,0)))</f>
        <v/>
      </c>
      <c r="G14" s="18">
        <f>IF(P14="","",INDEX(Tasks!$G$6:$G$75,MATCH(P14,Tasks!$J$6:$J$75,0)))</f>
        <v/>
      </c>
      <c r="H14" s="1" t="n"/>
      <c r="I14" s="15">
        <f>IF(Settings!B8="","",Settings!B8)</f>
        <v/>
      </c>
      <c r="J14" s="19">
        <f>IF(I14="","",COUNTIF(Boxes!$C$6:$C$305,I14))</f>
        <v/>
      </c>
      <c r="K14" s="19">
        <f>IF(I14="","",COUNTIFS(Boxes!$C$6:$C$305,I14,Boxes!$K$6:$K$305,"Packed")+COUNTIFS(Boxes!$C$6:$C$305,I14,Boxes!$K$6:$K$305,"Arrived"))</f>
        <v/>
      </c>
      <c r="L14" s="19">
        <f>IF(I14="","",COUNTIFS(Boxes!$C$6:$C$305,I14,Boxes!$G$6:$G$305,"&lt;&gt;"))</f>
        <v/>
      </c>
      <c r="M14" s="19">
        <f>IF(I14="","",COUNTIFS(Boxes!$C$6:$C$305,I14,Boxes!$K$6:$K$305,"Arrived"))</f>
        <v/>
      </c>
      <c r="N14" s="1" t="n"/>
      <c r="O14" s="1" t="n"/>
      <c r="P14">
        <f>IFERROR(SMALL(Tasks!$J$6:$J$75,3),"")</f>
        <v/>
      </c>
    </row>
    <row r="15">
      <c r="A15" s="1" t="n"/>
      <c r="B15" s="15">
        <f>IF(P15="","",INDEX(Tasks!$B$6:$B$75,MATCH(P15,Tasks!$J$6:$J$75,0)))</f>
        <v/>
      </c>
      <c r="C15" s="7" t="n"/>
      <c r="D15" s="8" t="n"/>
      <c r="E15" s="16">
        <f>IF(P15="","",INT(P15))</f>
        <v/>
      </c>
      <c r="F15" s="17">
        <f>IF(P15="","",INDEX(Tasks!$E$6:$E$75,MATCH(P15,Tasks!$J$6:$J$75,0)))</f>
        <v/>
      </c>
      <c r="G15" s="18">
        <f>IF(P15="","",INDEX(Tasks!$G$6:$G$75,MATCH(P15,Tasks!$J$6:$J$75,0)))</f>
        <v/>
      </c>
      <c r="H15" s="1" t="n"/>
      <c r="I15" s="15">
        <f>IF(Settings!B9="","",Settings!B9)</f>
        <v/>
      </c>
      <c r="J15" s="19">
        <f>IF(I15="","",COUNTIF(Boxes!$C$6:$C$305,I15))</f>
        <v/>
      </c>
      <c r="K15" s="19">
        <f>IF(I15="","",COUNTIFS(Boxes!$C$6:$C$305,I15,Boxes!$K$6:$K$305,"Packed")+COUNTIFS(Boxes!$C$6:$C$305,I15,Boxes!$K$6:$K$305,"Arrived"))</f>
        <v/>
      </c>
      <c r="L15" s="19">
        <f>IF(I15="","",COUNTIFS(Boxes!$C$6:$C$305,I15,Boxes!$G$6:$G$305,"&lt;&gt;"))</f>
        <v/>
      </c>
      <c r="M15" s="19">
        <f>IF(I15="","",COUNTIFS(Boxes!$C$6:$C$305,I15,Boxes!$K$6:$K$305,"Arrived"))</f>
        <v/>
      </c>
      <c r="N15" s="1" t="n"/>
      <c r="O15" s="1" t="n"/>
      <c r="P15">
        <f>IFERROR(SMALL(Tasks!$J$6:$J$75,4),"")</f>
        <v/>
      </c>
    </row>
    <row r="16">
      <c r="A16" s="1" t="n"/>
      <c r="B16" s="15">
        <f>IF(P16="","",INDEX(Tasks!$B$6:$B$75,MATCH(P16,Tasks!$J$6:$J$75,0)))</f>
        <v/>
      </c>
      <c r="C16" s="7" t="n"/>
      <c r="D16" s="8" t="n"/>
      <c r="E16" s="16">
        <f>IF(P16="","",INT(P16))</f>
        <v/>
      </c>
      <c r="F16" s="17">
        <f>IF(P16="","",INDEX(Tasks!$E$6:$E$75,MATCH(P16,Tasks!$J$6:$J$75,0)))</f>
        <v/>
      </c>
      <c r="G16" s="18">
        <f>IF(P16="","",INDEX(Tasks!$G$6:$G$75,MATCH(P16,Tasks!$J$6:$J$75,0)))</f>
        <v/>
      </c>
      <c r="H16" s="1" t="n"/>
      <c r="I16" s="15">
        <f>IF(Settings!B10="","",Settings!B10)</f>
        <v/>
      </c>
      <c r="J16" s="19">
        <f>IF(I16="","",COUNTIF(Boxes!$C$6:$C$305,I16))</f>
        <v/>
      </c>
      <c r="K16" s="19">
        <f>IF(I16="","",COUNTIFS(Boxes!$C$6:$C$305,I16,Boxes!$K$6:$K$305,"Packed")+COUNTIFS(Boxes!$C$6:$C$305,I16,Boxes!$K$6:$K$305,"Arrived"))</f>
        <v/>
      </c>
      <c r="L16" s="19">
        <f>IF(I16="","",COUNTIFS(Boxes!$C$6:$C$305,I16,Boxes!$G$6:$G$305,"&lt;&gt;"))</f>
        <v/>
      </c>
      <c r="M16" s="19">
        <f>IF(I16="","",COUNTIFS(Boxes!$C$6:$C$305,I16,Boxes!$K$6:$K$305,"Arrived"))</f>
        <v/>
      </c>
      <c r="N16" s="1" t="n"/>
      <c r="O16" s="1" t="n"/>
      <c r="P16">
        <f>IFERROR(SMALL(Tasks!$J$6:$J$75,5),"")</f>
        <v/>
      </c>
    </row>
    <row r="17">
      <c r="A17" s="1" t="n"/>
      <c r="B17" s="15">
        <f>IF(P17="","",INDEX(Tasks!$B$6:$B$75,MATCH(P17,Tasks!$J$6:$J$75,0)))</f>
        <v/>
      </c>
      <c r="C17" s="7" t="n"/>
      <c r="D17" s="8" t="n"/>
      <c r="E17" s="16">
        <f>IF(P17="","",INT(P17))</f>
        <v/>
      </c>
      <c r="F17" s="17">
        <f>IF(P17="","",INDEX(Tasks!$E$6:$E$75,MATCH(P17,Tasks!$J$6:$J$75,0)))</f>
        <v/>
      </c>
      <c r="G17" s="18">
        <f>IF(P17="","",INDEX(Tasks!$G$6:$G$75,MATCH(P17,Tasks!$J$6:$J$75,0)))</f>
        <v/>
      </c>
      <c r="H17" s="1" t="n"/>
      <c r="I17" s="15">
        <f>IF(Settings!B11="","",Settings!B11)</f>
        <v/>
      </c>
      <c r="J17" s="19">
        <f>IF(I17="","",COUNTIF(Boxes!$C$6:$C$305,I17))</f>
        <v/>
      </c>
      <c r="K17" s="19">
        <f>IF(I17="","",COUNTIFS(Boxes!$C$6:$C$305,I17,Boxes!$K$6:$K$305,"Packed")+COUNTIFS(Boxes!$C$6:$C$305,I17,Boxes!$K$6:$K$305,"Arrived"))</f>
        <v/>
      </c>
      <c r="L17" s="19">
        <f>IF(I17="","",COUNTIFS(Boxes!$C$6:$C$305,I17,Boxes!$G$6:$G$305,"&lt;&gt;"))</f>
        <v/>
      </c>
      <c r="M17" s="19">
        <f>IF(I17="","",COUNTIFS(Boxes!$C$6:$C$305,I17,Boxes!$K$6:$K$305,"Arrived"))</f>
        <v/>
      </c>
      <c r="N17" s="1" t="n"/>
      <c r="O17" s="1" t="n"/>
      <c r="P17">
        <f>IFERROR(SMALL(Tasks!$J$6:$J$75,6),"")</f>
        <v/>
      </c>
    </row>
    <row r="18">
      <c r="A18" s="1" t="n"/>
      <c r="B18" s="15">
        <f>IF(P18="","",INDEX(Tasks!$B$6:$B$75,MATCH(P18,Tasks!$J$6:$J$75,0)))</f>
        <v/>
      </c>
      <c r="C18" s="7" t="n"/>
      <c r="D18" s="8" t="n"/>
      <c r="E18" s="16">
        <f>IF(P18="","",INT(P18))</f>
        <v/>
      </c>
      <c r="F18" s="17">
        <f>IF(P18="","",INDEX(Tasks!$E$6:$E$75,MATCH(P18,Tasks!$J$6:$J$75,0)))</f>
        <v/>
      </c>
      <c r="G18" s="18">
        <f>IF(P18="","",INDEX(Tasks!$G$6:$G$75,MATCH(P18,Tasks!$J$6:$J$75,0)))</f>
        <v/>
      </c>
      <c r="H18" s="1" t="n"/>
      <c r="I18" s="15">
        <f>IF(Settings!B12="","",Settings!B12)</f>
        <v/>
      </c>
      <c r="J18" s="19">
        <f>IF(I18="","",COUNTIF(Boxes!$C$6:$C$305,I18))</f>
        <v/>
      </c>
      <c r="K18" s="19">
        <f>IF(I18="","",COUNTIFS(Boxes!$C$6:$C$305,I18,Boxes!$K$6:$K$305,"Packed")+COUNTIFS(Boxes!$C$6:$C$305,I18,Boxes!$K$6:$K$305,"Arrived"))</f>
        <v/>
      </c>
      <c r="L18" s="19">
        <f>IF(I18="","",COUNTIFS(Boxes!$C$6:$C$305,I18,Boxes!$G$6:$G$305,"&lt;&gt;"))</f>
        <v/>
      </c>
      <c r="M18" s="19">
        <f>IF(I18="","",COUNTIFS(Boxes!$C$6:$C$305,I18,Boxes!$K$6:$K$305,"Arrived"))</f>
        <v/>
      </c>
      <c r="N18" s="1" t="n"/>
      <c r="O18" s="1" t="n"/>
      <c r="P18">
        <f>IFERROR(SMALL(Tasks!$J$6:$J$75,7),"")</f>
        <v/>
      </c>
    </row>
    <row r="19">
      <c r="A19" s="1" t="n"/>
      <c r="B19" s="15">
        <f>IF(P19="","",INDEX(Tasks!$B$6:$B$75,MATCH(P19,Tasks!$J$6:$J$75,0)))</f>
        <v/>
      </c>
      <c r="C19" s="7" t="n"/>
      <c r="D19" s="8" t="n"/>
      <c r="E19" s="16">
        <f>IF(P19="","",INT(P19))</f>
        <v/>
      </c>
      <c r="F19" s="17">
        <f>IF(P19="","",INDEX(Tasks!$E$6:$E$75,MATCH(P19,Tasks!$J$6:$J$75,0)))</f>
        <v/>
      </c>
      <c r="G19" s="18">
        <f>IF(P19="","",INDEX(Tasks!$G$6:$G$75,MATCH(P19,Tasks!$J$6:$J$75,0)))</f>
        <v/>
      </c>
      <c r="H19" s="1" t="n"/>
      <c r="I19" s="15">
        <f>IF(Settings!B13="","",Settings!B13)</f>
        <v/>
      </c>
      <c r="J19" s="19">
        <f>IF(I19="","",COUNTIF(Boxes!$C$6:$C$305,I19))</f>
        <v/>
      </c>
      <c r="K19" s="19">
        <f>IF(I19="","",COUNTIFS(Boxes!$C$6:$C$305,I19,Boxes!$K$6:$K$305,"Packed")+COUNTIFS(Boxes!$C$6:$C$305,I19,Boxes!$K$6:$K$305,"Arrived"))</f>
        <v/>
      </c>
      <c r="L19" s="19">
        <f>IF(I19="","",COUNTIFS(Boxes!$C$6:$C$305,I19,Boxes!$G$6:$G$305,"&lt;&gt;"))</f>
        <v/>
      </c>
      <c r="M19" s="19">
        <f>IF(I19="","",COUNTIFS(Boxes!$C$6:$C$305,I19,Boxes!$K$6:$K$305,"Arrived"))</f>
        <v/>
      </c>
      <c r="N19" s="1" t="n"/>
      <c r="O19" s="1" t="n"/>
      <c r="P19">
        <f>IFERROR(SMALL(Tasks!$J$6:$J$75,8),"")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5">
        <f>IF(Settings!B14="","",Settings!B14)</f>
        <v/>
      </c>
      <c r="J20" s="19">
        <f>IF(I20="","",COUNTIF(Boxes!$C$6:$C$305,I20))</f>
        <v/>
      </c>
      <c r="K20" s="19">
        <f>IF(I20="","",COUNTIFS(Boxes!$C$6:$C$305,I20,Boxes!$K$6:$K$305,"Packed")+COUNTIFS(Boxes!$C$6:$C$305,I20,Boxes!$K$6:$K$305,"Arrived"))</f>
        <v/>
      </c>
      <c r="L20" s="19">
        <f>IF(I20="","",COUNTIFS(Boxes!$C$6:$C$305,I20,Boxes!$G$6:$G$305,"&lt;&gt;"))</f>
        <v/>
      </c>
      <c r="M20" s="19">
        <f>IF(I20="","",COUNTIFS(Boxes!$C$6:$C$305,I20,Boxes!$K$6:$K$305,"Arrived"))</f>
        <v/>
      </c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5">
        <f>IF(Settings!B15="","",Settings!B15)</f>
        <v/>
      </c>
      <c r="J21" s="19">
        <f>IF(I21="","",COUNTIF(Boxes!$C$6:$C$305,I21))</f>
        <v/>
      </c>
      <c r="K21" s="19">
        <f>IF(I21="","",COUNTIFS(Boxes!$C$6:$C$305,I21,Boxes!$K$6:$K$305,"Packed")+COUNTIFS(Boxes!$C$6:$C$305,I21,Boxes!$K$6:$K$305,"Arrived"))</f>
        <v/>
      </c>
      <c r="L21" s="19">
        <f>IF(I21="","",COUNTIFS(Boxes!$C$6:$C$305,I21,Boxes!$G$6:$G$305,"&lt;&gt;"))</f>
        <v/>
      </c>
      <c r="M21" s="19">
        <f>IF(I21="","",COUNTIFS(Boxes!$C$6:$C$305,I21,Boxes!$K$6:$K$305,"Arrived"))</f>
        <v/>
      </c>
      <c r="N21" s="1" t="n"/>
      <c r="O21" s="1" t="n"/>
    </row>
    <row r="22" ht="30" customHeight="1">
      <c r="A22" s="1" t="n"/>
      <c r="B22" s="14" t="inlineStr">
        <is>
          <t>Money</t>
        </is>
      </c>
      <c r="C22" s="14" t="inlineStr">
        <is>
          <t>Planned</t>
        </is>
      </c>
      <c r="D22" s="14" t="inlineStr">
        <is>
          <t>Paid</t>
        </is>
      </c>
      <c r="E22" s="14" t="inlineStr">
        <is>
          <t>Still to pay</t>
        </is>
      </c>
      <c r="F22" s="1" t="n"/>
      <c r="G22" s="1" t="n"/>
      <c r="H22" s="1" t="n"/>
      <c r="I22" s="14" t="inlineStr">
        <is>
          <t>Open first</t>
        </is>
      </c>
      <c r="J22" s="14" t="inlineStr">
        <is>
          <t>Box</t>
        </is>
      </c>
      <c r="K22" s="14" t="inlineStr">
        <is>
          <t>To</t>
        </is>
      </c>
      <c r="L22" s="7" t="n"/>
      <c r="M22" s="8" t="n"/>
      <c r="N22" s="1" t="n"/>
      <c r="O22" s="1" t="n"/>
    </row>
    <row r="23">
      <c r="A23" s="1" t="n"/>
      <c r="B23" s="15" t="inlineStr">
        <is>
          <t>Movers</t>
        </is>
      </c>
      <c r="C23" s="20">
        <f>SUMIFS(Costs!$M$6:$M$55,Costs!$C$6:$C$55,B23)</f>
        <v/>
      </c>
      <c r="D23" s="20">
        <f>SUMIFS(Costs!$G$6:$G$55,Costs!$C$6:$C$55,B23)</f>
        <v/>
      </c>
      <c r="E23" s="20">
        <f>SUMIFS(Costs!$H$6:$H$55,Costs!$C$6:$C$55,B23)</f>
        <v/>
      </c>
      <c r="F23" s="1" t="n"/>
      <c r="G23" s="1" t="n"/>
      <c r="H23" s="1" t="n"/>
      <c r="I23" s="15">
        <f>IF(Q23="","No box marked open first",INDEX(Boxes!$E$6:$E$305,MATCH(Q23,Boxes!$N$6:$N$305,0)))</f>
        <v/>
      </c>
      <c r="J23" s="21">
        <f>IF(Q23="","",INT(Q23))</f>
        <v/>
      </c>
      <c r="K23" s="17">
        <f>IF(Q23="","",INDEX(Boxes!$D$6:$D$305,MATCH(Q23,Boxes!$N$6:$N$305,0)))</f>
        <v/>
      </c>
      <c r="L23" s="7" t="n"/>
      <c r="M23" s="8" t="n"/>
      <c r="N23" s="1" t="n"/>
      <c r="O23" s="1" t="n"/>
      <c r="Q23">
        <f>IFERROR(SMALL(Boxes!$N$6:$N$305,1),"")</f>
        <v/>
      </c>
    </row>
    <row r="24">
      <c r="A24" s="1" t="n"/>
      <c r="B24" s="15" t="inlineStr">
        <is>
          <t>Van and fuel</t>
        </is>
      </c>
      <c r="C24" s="20">
        <f>SUMIFS(Costs!$M$6:$M$55,Costs!$C$6:$C$55,B24)</f>
        <v/>
      </c>
      <c r="D24" s="20">
        <f>SUMIFS(Costs!$G$6:$G$55,Costs!$C$6:$C$55,B24)</f>
        <v/>
      </c>
      <c r="E24" s="20">
        <f>SUMIFS(Costs!$H$6:$H$55,Costs!$C$6:$C$55,B24)</f>
        <v/>
      </c>
      <c r="F24" s="1" t="n"/>
      <c r="G24" s="1" t="n"/>
      <c r="H24" s="1" t="n"/>
      <c r="I24" s="15">
        <f>IF(Q24="","",INDEX(Boxes!$E$6:$E$305,MATCH(Q24,Boxes!$N$6:$N$305,0)))</f>
        <v/>
      </c>
      <c r="J24" s="21">
        <f>IF(Q24="","",INT(Q24))</f>
        <v/>
      </c>
      <c r="K24" s="17">
        <f>IF(Q24="","",INDEX(Boxes!$D$6:$D$305,MATCH(Q24,Boxes!$N$6:$N$305,0)))</f>
        <v/>
      </c>
      <c r="L24" s="7" t="n"/>
      <c r="M24" s="8" t="n"/>
      <c r="N24" s="1" t="n"/>
      <c r="O24" s="1" t="n"/>
      <c r="Q24">
        <f>IFERROR(SMALL(Boxes!$N$6:$N$305,2),"")</f>
        <v/>
      </c>
    </row>
    <row r="25">
      <c r="A25" s="1" t="n"/>
      <c r="B25" s="15" t="inlineStr">
        <is>
          <t>Packing</t>
        </is>
      </c>
      <c r="C25" s="20">
        <f>SUMIFS(Costs!$M$6:$M$55,Costs!$C$6:$C$55,B25)</f>
        <v/>
      </c>
      <c r="D25" s="20">
        <f>SUMIFS(Costs!$G$6:$G$55,Costs!$C$6:$C$55,B25)</f>
        <v/>
      </c>
      <c r="E25" s="20">
        <f>SUMIFS(Costs!$H$6:$H$55,Costs!$C$6:$C$55,B25)</f>
        <v/>
      </c>
      <c r="F25" s="1" t="n"/>
      <c r="G25" s="1" t="n"/>
      <c r="H25" s="1" t="n"/>
      <c r="I25" s="15">
        <f>IF(Q25="","",INDEX(Boxes!$E$6:$E$305,MATCH(Q25,Boxes!$N$6:$N$305,0)))</f>
        <v/>
      </c>
      <c r="J25" s="21">
        <f>IF(Q25="","",INT(Q25))</f>
        <v/>
      </c>
      <c r="K25" s="17">
        <f>IF(Q25="","",INDEX(Boxes!$D$6:$D$305,MATCH(Q25,Boxes!$N$6:$N$305,0)))</f>
        <v/>
      </c>
      <c r="L25" s="7" t="n"/>
      <c r="M25" s="8" t="n"/>
      <c r="N25" s="1" t="n"/>
      <c r="O25" s="1" t="n"/>
      <c r="Q25">
        <f>IFERROR(SMALL(Boxes!$N$6:$N$305,3),"")</f>
        <v/>
      </c>
    </row>
    <row r="26">
      <c r="A26" s="1" t="n"/>
      <c r="B26" s="15" t="inlineStr">
        <is>
          <t>Cleaning</t>
        </is>
      </c>
      <c r="C26" s="20">
        <f>SUMIFS(Costs!$M$6:$M$55,Costs!$C$6:$C$55,B26)</f>
        <v/>
      </c>
      <c r="D26" s="20">
        <f>SUMIFS(Costs!$G$6:$G$55,Costs!$C$6:$C$55,B26)</f>
        <v/>
      </c>
      <c r="E26" s="20">
        <f>SUMIFS(Costs!$H$6:$H$55,Costs!$C$6:$C$55,B26)</f>
        <v/>
      </c>
      <c r="F26" s="1" t="n"/>
      <c r="G26" s="1" t="n"/>
      <c r="H26" s="1" t="n"/>
      <c r="I26" s="15">
        <f>IF(Q26="","",INDEX(Boxes!$E$6:$E$305,MATCH(Q26,Boxes!$N$6:$N$305,0)))</f>
        <v/>
      </c>
      <c r="J26" s="21">
        <f>IF(Q26="","",INT(Q26))</f>
        <v/>
      </c>
      <c r="K26" s="17">
        <f>IF(Q26="","",INDEX(Boxes!$D$6:$D$305,MATCH(Q26,Boxes!$N$6:$N$305,0)))</f>
        <v/>
      </c>
      <c r="L26" s="7" t="n"/>
      <c r="M26" s="8" t="n"/>
      <c r="N26" s="1" t="n"/>
      <c r="O26" s="1" t="n"/>
      <c r="Q26">
        <f>IFERROR(SMALL(Boxes!$N$6:$N$305,4),"")</f>
        <v/>
      </c>
    </row>
    <row r="27">
      <c r="A27" s="1" t="n"/>
      <c r="B27" s="15" t="inlineStr">
        <is>
          <t>Storage</t>
        </is>
      </c>
      <c r="C27" s="20">
        <f>SUMIFS(Costs!$M$6:$M$55,Costs!$C$6:$C$55,B27)</f>
        <v/>
      </c>
      <c r="D27" s="20">
        <f>SUMIFS(Costs!$G$6:$G$55,Costs!$C$6:$C$55,B27)</f>
        <v/>
      </c>
      <c r="E27" s="20">
        <f>SUMIFS(Costs!$H$6:$H$55,Costs!$C$6:$C$55,B27)</f>
        <v/>
      </c>
      <c r="F27" s="1" t="n"/>
      <c r="G27" s="1" t="n"/>
      <c r="H27" s="1" t="n"/>
      <c r="I27" s="15">
        <f>IF(Q27="","",INDEX(Boxes!$E$6:$E$305,MATCH(Q27,Boxes!$N$6:$N$305,0)))</f>
        <v/>
      </c>
      <c r="J27" s="21">
        <f>IF(Q27="","",INT(Q27))</f>
        <v/>
      </c>
      <c r="K27" s="17">
        <f>IF(Q27="","",INDEX(Boxes!$D$6:$D$305,MATCH(Q27,Boxes!$N$6:$N$305,0)))</f>
        <v/>
      </c>
      <c r="L27" s="7" t="n"/>
      <c r="M27" s="8" t="n"/>
      <c r="N27" s="1" t="n"/>
      <c r="O27" s="1" t="n"/>
      <c r="Q27">
        <f>IFERROR(SMALL(Boxes!$N$6:$N$305,5),"")</f>
        <v/>
      </c>
    </row>
    <row r="28">
      <c r="A28" s="1" t="n"/>
      <c r="B28" s="15" t="inlineStr">
        <is>
          <t>Deposits</t>
        </is>
      </c>
      <c r="C28" s="20">
        <f>SUMIFS(Costs!$M$6:$M$55,Costs!$C$6:$C$55,B28)</f>
        <v/>
      </c>
      <c r="D28" s="20">
        <f>SUMIFS(Costs!$G$6:$G$55,Costs!$C$6:$C$55,B28)</f>
        <v/>
      </c>
      <c r="E28" s="20">
        <f>SUMIFS(Costs!$H$6:$H$55,Costs!$C$6:$C$55,B28)</f>
        <v/>
      </c>
      <c r="F28" s="1" t="n"/>
      <c r="G28" s="1" t="n"/>
      <c r="H28" s="1" t="n"/>
      <c r="I28" s="15">
        <f>IF(Q28="","",INDEX(Boxes!$E$6:$E$305,MATCH(Q28,Boxes!$N$6:$N$305,0)))</f>
        <v/>
      </c>
      <c r="J28" s="21">
        <f>IF(Q28="","",INT(Q28))</f>
        <v/>
      </c>
      <c r="K28" s="17">
        <f>IF(Q28="","",INDEX(Boxes!$D$6:$D$305,MATCH(Q28,Boxes!$N$6:$N$305,0)))</f>
        <v/>
      </c>
      <c r="L28" s="7" t="n"/>
      <c r="M28" s="8" t="n"/>
      <c r="N28" s="1" t="n"/>
      <c r="O28" s="1" t="n"/>
      <c r="Q28">
        <f>IFERROR(SMALL(Boxes!$N$6:$N$305,6),"")</f>
        <v/>
      </c>
    </row>
    <row r="29">
      <c r="A29" s="1" t="n"/>
      <c r="B29" s="15" t="inlineStr">
        <is>
          <t>Utilities</t>
        </is>
      </c>
      <c r="C29" s="20">
        <f>SUMIFS(Costs!$M$6:$M$55,Costs!$C$6:$C$55,B29)</f>
        <v/>
      </c>
      <c r="D29" s="20">
        <f>SUMIFS(Costs!$G$6:$G$55,Costs!$C$6:$C$55,B29)</f>
        <v/>
      </c>
      <c r="E29" s="20">
        <f>SUMIFS(Costs!$H$6:$H$55,Costs!$C$6:$C$55,B29)</f>
        <v/>
      </c>
      <c r="F29" s="1" t="n"/>
      <c r="G29" s="1" t="n"/>
      <c r="H29" s="1" t="n"/>
      <c r="I29" s="15">
        <f>IF(Q29="","",INDEX(Boxes!$E$6:$E$305,MATCH(Q29,Boxes!$N$6:$N$305,0)))</f>
        <v/>
      </c>
      <c r="J29" s="21">
        <f>IF(Q29="","",INT(Q29))</f>
        <v/>
      </c>
      <c r="K29" s="17">
        <f>IF(Q29="","",INDEX(Boxes!$D$6:$D$305,MATCH(Q29,Boxes!$N$6:$N$305,0)))</f>
        <v/>
      </c>
      <c r="L29" s="7" t="n"/>
      <c r="M29" s="8" t="n"/>
      <c r="N29" s="1" t="n"/>
      <c r="O29" s="1" t="n"/>
      <c r="Q29">
        <f>IFERROR(SMALL(Boxes!$N$6:$N$305,7),"")</f>
        <v/>
      </c>
    </row>
    <row r="30">
      <c r="A30" s="1" t="n"/>
      <c r="B30" s="15" t="inlineStr">
        <is>
          <t>Furniture</t>
        </is>
      </c>
      <c r="C30" s="20">
        <f>SUMIFS(Costs!$M$6:$M$55,Costs!$C$6:$C$55,B30)</f>
        <v/>
      </c>
      <c r="D30" s="20">
        <f>SUMIFS(Costs!$G$6:$G$55,Costs!$C$6:$C$55,B30)</f>
        <v/>
      </c>
      <c r="E30" s="20">
        <f>SUMIFS(Costs!$H$6:$H$55,Costs!$C$6:$C$55,B30)</f>
        <v/>
      </c>
      <c r="F30" s="1" t="n"/>
      <c r="G30" s="1" t="n"/>
      <c r="H30" s="1" t="n"/>
      <c r="I30" s="15">
        <f>IF(Q30="","",INDEX(Boxes!$E$6:$E$305,MATCH(Q30,Boxes!$N$6:$N$305,0)))</f>
        <v/>
      </c>
      <c r="J30" s="21">
        <f>IF(Q30="","",INT(Q30))</f>
        <v/>
      </c>
      <c r="K30" s="17">
        <f>IF(Q30="","",INDEX(Boxes!$D$6:$D$305,MATCH(Q30,Boxes!$N$6:$N$305,0)))</f>
        <v/>
      </c>
      <c r="L30" s="7" t="n"/>
      <c r="M30" s="8" t="n"/>
      <c r="N30" s="1" t="n"/>
      <c r="O30" s="1" t="n"/>
      <c r="Q30">
        <f>IFERROR(SMALL(Boxes!$N$6:$N$305,8),"")</f>
        <v/>
      </c>
    </row>
    <row r="31">
      <c r="A31" s="1" t="n"/>
      <c r="B31" s="15" t="inlineStr">
        <is>
          <t>Travel</t>
        </is>
      </c>
      <c r="C31" s="20">
        <f>SUMIFS(Costs!$M$6:$M$55,Costs!$C$6:$C$55,B31)</f>
        <v/>
      </c>
      <c r="D31" s="20">
        <f>SUMIFS(Costs!$G$6:$G$55,Costs!$C$6:$C$55,B31)</f>
        <v/>
      </c>
      <c r="E31" s="20">
        <f>SUMIFS(Costs!$H$6:$H$55,Costs!$C$6:$C$55,B31)</f>
        <v/>
      </c>
      <c r="F31" s="1" t="n"/>
      <c r="G31" s="1" t="n"/>
      <c r="H31" s="1" t="n"/>
      <c r="I31" s="22">
        <f>"Next box number: "&amp;(MAX(Boxes!$B$6:$B$305)+1)</f>
        <v/>
      </c>
      <c r="J31" s="1" t="n"/>
      <c r="K31" s="1" t="n"/>
      <c r="L31" s="1" t="n"/>
      <c r="M31" s="1" t="n"/>
      <c r="N31" s="1" t="n"/>
      <c r="O31" s="1" t="n"/>
    </row>
    <row r="32">
      <c r="A32" s="1" t="n"/>
      <c r="B32" s="15" t="inlineStr">
        <is>
          <t>Other</t>
        </is>
      </c>
      <c r="C32" s="20">
        <f>SUMIFS(Costs!$M$6:$M$55,Costs!$C$6:$C$55,B32)</f>
        <v/>
      </c>
      <c r="D32" s="20">
        <f>SUMIFS(Costs!$G$6:$G$55,Costs!$C$6:$C$55,B32)</f>
        <v/>
      </c>
      <c r="E32" s="20">
        <f>SUMIFS(Costs!$H$6:$H$55,Costs!$C$6:$C$55,B32)</f>
        <v/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5" t="inlineStr">
        <is>
          <t>Total</t>
        </is>
      </c>
      <c r="C33" s="23">
        <f>SUM(Costs!$M$6:$M$55)</f>
        <v/>
      </c>
      <c r="D33" s="23">
        <f>SUM(Costs!$G$6:$G$55)</f>
        <v/>
      </c>
      <c r="E33" s="23">
        <f>SUM(Costs!$H$6:$H$55)</f>
        <v/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24">
        <f>IF(N($C$6)=0,"",REPT("█",MIN(24,MAX(0,ROUND((MIN(1,C33/$C$6))*24,0))))&amp;REPT("░",24-MIN(24,MAX(0,ROUND((MIN(1,C33/$C$6))*24,0)))))</f>
        <v/>
      </c>
      <c r="E34" s="22">
        <f>IF(N($C$6)=0,"",IF(C33&gt;$C$6,"Over by "&amp;FIXED(C33-$C$6,2),FIXED(C33/$C$6*100,0)&amp;"% of the budget"))</f>
        <v/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</sheetData>
  <mergeCells count="20">
    <mergeCell ref="B11:D11"/>
    <mergeCell ref="B14:D14"/>
    <mergeCell ref="K22:M22"/>
    <mergeCell ref="B17:D17"/>
    <mergeCell ref="B13:D13"/>
    <mergeCell ref="B34:D34"/>
    <mergeCell ref="B19:D19"/>
    <mergeCell ref="K27:M27"/>
    <mergeCell ref="K23:M23"/>
    <mergeCell ref="B15:D15"/>
    <mergeCell ref="K28:M28"/>
    <mergeCell ref="K30:M30"/>
    <mergeCell ref="K25:M25"/>
    <mergeCell ref="B16:D16"/>
    <mergeCell ref="K24:M24"/>
    <mergeCell ref="C5:E5"/>
    <mergeCell ref="B18:D18"/>
    <mergeCell ref="K26:M26"/>
    <mergeCell ref="B12:D12"/>
    <mergeCell ref="K29:M29"/>
  </mergeCells>
  <conditionalFormatting sqref="G9">
    <cfRule type="expression" priority="1" dxfId="0">
      <formula>AND(ISNUMBER(G9),G9&lt;0)</formula>
    </cfRule>
  </conditionalFormatting>
  <conditionalFormatting sqref="G12:G19">
    <cfRule type="expression" priority="2" dxfId="1">
      <formula>G12="Late"</formula>
    </cfRule>
    <cfRule type="expression" priority="3" dxfId="2">
      <formula>G12="This week"</formula>
    </cfRule>
  </conditionalFormatting>
  <conditionalFormatting sqref="K12:K21">
    <cfRule type="expression" priority="4" dxfId="3">
      <formula>AND(N(J12)&gt;0,K12=J12)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9" customWidth="1" min="3" max="3"/>
    <col width="16" customWidth="1" min="4" max="4"/>
    <col width="14" customWidth="1" min="5" max="5"/>
    <col width="8" customWidth="1" min="6" max="6"/>
    <col width="12" customWidth="1" min="7" max="7"/>
    <col width="30" customWidth="1" min="8" max="8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Tasks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The checklist, counted back from moving day. Change the days before and the dates follow. 0 is moving day, and a minus number is after it.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4" t="inlineStr">
        <is>
          <t>Task</t>
        </is>
      </c>
      <c r="C5" s="14" t="inlineStr">
        <is>
          <t>Days before</t>
        </is>
      </c>
      <c r="D5" s="14" t="inlineStr">
        <is>
          <t>Date</t>
        </is>
      </c>
      <c r="E5" s="14" t="inlineStr">
        <is>
          <t>Who</t>
        </is>
      </c>
      <c r="F5" s="14" t="inlineStr">
        <is>
          <t>Done</t>
        </is>
      </c>
      <c r="G5" s="14" t="inlineStr">
        <is>
          <t>Status</t>
        </is>
      </c>
      <c r="H5" s="14" t="inlineStr">
        <is>
          <t>Notes</t>
        </is>
      </c>
      <c r="I5" s="1" t="n"/>
    </row>
    <row r="6">
      <c r="A6" s="1" t="n"/>
      <c r="B6" s="6" t="inlineStr">
        <is>
          <t>Set a budget and the moving date</t>
        </is>
      </c>
      <c r="C6" s="25" t="n">
        <v>56</v>
      </c>
      <c r="D6" s="16">
        <f>IF(OR(B6="",C6="",Dashboard!$C$4=""),"",Dashboard!$C$4-C6)</f>
        <v/>
      </c>
      <c r="E6" s="26" t="inlineStr">
        <is>
          <t>Both</t>
        </is>
      </c>
      <c r="F6" s="27" t="inlineStr">
        <is>
          <t>x</t>
        </is>
      </c>
      <c r="G6" s="18">
        <f>IF(B6="","",IF(F6&lt;&gt;"","Done",IF(D6="","",IF(D6&lt;TODAY(),"Late",IF(D6-TODAY()&lt;=7,"This week","Coming")))))</f>
        <v/>
      </c>
      <c r="H6" s="26" t="n"/>
      <c r="I6" s="1" t="n"/>
      <c r="J6">
        <f>IF(AND(B6&lt;&gt;"",F6="",D6&lt;&gt;""),D6+ROW()/10000000,"")</f>
        <v/>
      </c>
    </row>
    <row r="7">
      <c r="A7" s="1" t="n"/>
      <c r="B7" s="6" t="inlineStr">
        <is>
          <t>Get three quotes from movers</t>
        </is>
      </c>
      <c r="C7" s="25" t="n">
        <v>56</v>
      </c>
      <c r="D7" s="16">
        <f>IF(OR(B7="",C7="",Dashboard!$C$4=""),"",Dashboard!$C$4-C7)</f>
        <v/>
      </c>
      <c r="E7" s="26" t="inlineStr">
        <is>
          <t>Sam</t>
        </is>
      </c>
      <c r="F7" s="27" t="inlineStr">
        <is>
          <t>x</t>
        </is>
      </c>
      <c r="G7" s="18">
        <f>IF(B7="","",IF(F7&lt;&gt;"","Done",IF(D7="","",IF(D7&lt;TODAY(),"Late",IF(D7-TODAY()&lt;=7,"This week","Coming")))))</f>
        <v/>
      </c>
      <c r="H7" s="26" t="n"/>
      <c r="I7" s="1" t="n"/>
      <c r="J7">
        <f>IF(AND(B7&lt;&gt;"",F7="",D7&lt;&gt;""),D7+ROW()/10000000,"")</f>
        <v/>
      </c>
    </row>
    <row r="8">
      <c r="A8" s="1" t="n"/>
      <c r="B8" s="6" t="inlineStr">
        <is>
          <t>Book the movers</t>
        </is>
      </c>
      <c r="C8" s="25" t="n">
        <v>49</v>
      </c>
      <c r="D8" s="16">
        <f>IF(OR(B8="",C8="",Dashboard!$C$4=""),"",Dashboard!$C$4-C8)</f>
        <v/>
      </c>
      <c r="E8" s="26" t="inlineStr">
        <is>
          <t>Sam</t>
        </is>
      </c>
      <c r="F8" s="27" t="inlineStr">
        <is>
          <t>x</t>
        </is>
      </c>
      <c r="G8" s="18">
        <f>IF(B8="","",IF(F8&lt;&gt;"","Done",IF(D8="","",IF(D8&lt;TODAY(),"Late",IF(D8-TODAY()&lt;=7,"This week","Coming")))))</f>
        <v/>
      </c>
      <c r="H8" s="26" t="n"/>
      <c r="I8" s="1" t="n"/>
      <c r="J8">
        <f>IF(AND(B8&lt;&gt;"",F8="",D8&lt;&gt;""),D8+ROW()/10000000,"")</f>
        <v/>
      </c>
    </row>
    <row r="9">
      <c r="A9" s="1" t="n"/>
      <c r="B9" s="6" t="inlineStr">
        <is>
          <t>Start clearing out, room by room</t>
        </is>
      </c>
      <c r="C9" s="25" t="n">
        <v>49</v>
      </c>
      <c r="D9" s="16">
        <f>IF(OR(B9="",C9="",Dashboard!$C$4=""),"",Dashboard!$C$4-C9)</f>
        <v/>
      </c>
      <c r="E9" s="26" t="inlineStr">
        <is>
          <t>Both</t>
        </is>
      </c>
      <c r="F9" s="27" t="inlineStr">
        <is>
          <t>x</t>
        </is>
      </c>
      <c r="G9" s="18">
        <f>IF(B9="","",IF(F9&lt;&gt;"","Done",IF(D9="","",IF(D9&lt;TODAY(),"Late",IF(D9-TODAY()&lt;=7,"This week","Coming")))))</f>
        <v/>
      </c>
      <c r="H9" s="26" t="n"/>
      <c r="I9" s="1" t="n"/>
      <c r="J9">
        <f>IF(AND(B9&lt;&gt;"",F9="",D9&lt;&gt;""),D9+ROW()/10000000,"")</f>
        <v/>
      </c>
    </row>
    <row r="10">
      <c r="A10" s="1" t="n"/>
      <c r="B10" s="6" t="inlineStr">
        <is>
          <t>Order boxes, tape and bubble wrap</t>
        </is>
      </c>
      <c r="C10" s="25" t="n">
        <v>42</v>
      </c>
      <c r="D10" s="16">
        <f>IF(OR(B10="",C10="",Dashboard!$C$4=""),"",Dashboard!$C$4-C10)</f>
        <v/>
      </c>
      <c r="E10" s="26" t="inlineStr">
        <is>
          <t>Alex</t>
        </is>
      </c>
      <c r="F10" s="27" t="inlineStr">
        <is>
          <t>x</t>
        </is>
      </c>
      <c r="G10" s="18">
        <f>IF(B10="","",IF(F10&lt;&gt;"","Done",IF(D10="","",IF(D10&lt;TODAY(),"Late",IF(D10-TODAY()&lt;=7,"This week","Coming")))))</f>
        <v/>
      </c>
      <c r="H10" s="26" t="n"/>
      <c r="I10" s="1" t="n"/>
      <c r="J10">
        <f>IF(AND(B10&lt;&gt;"",F10="",D10&lt;&gt;""),D10+ROW()/10000000,"")</f>
        <v/>
      </c>
    </row>
    <row r="11">
      <c r="A11" s="1" t="n"/>
      <c r="B11" s="6" t="inlineStr">
        <is>
          <t>Book the day off work</t>
        </is>
      </c>
      <c r="C11" s="25" t="n">
        <v>42</v>
      </c>
      <c r="D11" s="16">
        <f>IF(OR(B11="",C11="",Dashboard!$C$4=""),"",Dashboard!$C$4-C11)</f>
        <v/>
      </c>
      <c r="E11" s="26" t="inlineStr">
        <is>
          <t>Both</t>
        </is>
      </c>
      <c r="F11" s="27" t="inlineStr">
        <is>
          <t>x</t>
        </is>
      </c>
      <c r="G11" s="18">
        <f>IF(B11="","",IF(F11&lt;&gt;"","Done",IF(D11="","",IF(D11&lt;TODAY(),"Late",IF(D11-TODAY()&lt;=7,"This week","Coming")))))</f>
        <v/>
      </c>
      <c r="H11" s="26" t="n"/>
      <c r="I11" s="1" t="n"/>
      <c r="J11">
        <f>IF(AND(B11&lt;&gt;"",F11="",D11&lt;&gt;""),D11+ROW()/10000000,"")</f>
        <v/>
      </c>
    </row>
    <row r="12">
      <c r="A12" s="1" t="n"/>
      <c r="B12" s="6" t="inlineStr">
        <is>
          <t>Sell or give away what does not come</t>
        </is>
      </c>
      <c r="C12" s="25" t="n">
        <v>35</v>
      </c>
      <c r="D12" s="16">
        <f>IF(OR(B12="",C12="",Dashboard!$C$4=""),"",Dashboard!$C$4-C12)</f>
        <v/>
      </c>
      <c r="E12" s="26" t="inlineStr">
        <is>
          <t>Alex</t>
        </is>
      </c>
      <c r="F12" s="27" t="n"/>
      <c r="G12" s="18">
        <f>IF(B12="","",IF(F12&lt;&gt;"","Done",IF(D12="","",IF(D12&lt;TODAY(),"Late",IF(D12-TODAY()&lt;=7,"This week","Coming")))))</f>
        <v/>
      </c>
      <c r="H12" s="26" t="n"/>
      <c r="I12" s="1" t="n"/>
      <c r="J12">
        <f>IF(AND(B12&lt;&gt;"",F12="",D12&lt;&gt;""),D12+ROW()/10000000,"")</f>
        <v/>
      </c>
    </row>
    <row r="13">
      <c r="A13" s="1" t="n"/>
      <c r="B13" s="6" t="inlineStr">
        <is>
          <t>Measure the new home for the furniture</t>
        </is>
      </c>
      <c r="C13" s="25" t="n">
        <v>35</v>
      </c>
      <c r="D13" s="16">
        <f>IF(OR(B13="",C13="",Dashboard!$C$4=""),"",Dashboard!$C$4-C13)</f>
        <v/>
      </c>
      <c r="E13" s="26" t="inlineStr">
        <is>
          <t>Sam</t>
        </is>
      </c>
      <c r="F13" s="27" t="inlineStr">
        <is>
          <t>x</t>
        </is>
      </c>
      <c r="G13" s="18">
        <f>IF(B13="","",IF(F13&lt;&gt;"","Done",IF(D13="","",IF(D13&lt;TODAY(),"Late",IF(D13-TODAY()&lt;=7,"This week","Coming")))))</f>
        <v/>
      </c>
      <c r="H13" s="26" t="n"/>
      <c r="I13" s="1" t="n"/>
      <c r="J13">
        <f>IF(AND(B13&lt;&gt;"",F13="",D13&lt;&gt;""),D13+ROW()/10000000,"")</f>
        <v/>
      </c>
    </row>
    <row r="14">
      <c r="A14" s="1" t="n"/>
      <c r="B14" s="6" t="inlineStr">
        <is>
          <t>Give notice on the old flat</t>
        </is>
      </c>
      <c r="C14" s="25" t="n">
        <v>30</v>
      </c>
      <c r="D14" s="16">
        <f>IF(OR(B14="",C14="",Dashboard!$C$4=""),"",Dashboard!$C$4-C14)</f>
        <v/>
      </c>
      <c r="E14" s="26" t="inlineStr">
        <is>
          <t>Sam</t>
        </is>
      </c>
      <c r="F14" s="27" t="inlineStr">
        <is>
          <t>x</t>
        </is>
      </c>
      <c r="G14" s="18">
        <f>IF(B14="","",IF(F14&lt;&gt;"","Done",IF(D14="","",IF(D14&lt;TODAY(),"Late",IF(D14-TODAY()&lt;=7,"This week","Coming")))))</f>
        <v/>
      </c>
      <c r="H14" s="26" t="n"/>
      <c r="I14" s="1" t="n"/>
      <c r="J14">
        <f>IF(AND(B14&lt;&gt;"",F14="",D14&lt;&gt;""),D14+ROW()/10000000,"")</f>
        <v/>
      </c>
    </row>
    <row r="15">
      <c r="A15" s="1" t="n"/>
      <c r="B15" s="6" t="inlineStr">
        <is>
          <t>Pack the rooms you rarely use</t>
        </is>
      </c>
      <c r="C15" s="25" t="n">
        <v>28</v>
      </c>
      <c r="D15" s="16">
        <f>IF(OR(B15="",C15="",Dashboard!$C$4=""),"",Dashboard!$C$4-C15)</f>
        <v/>
      </c>
      <c r="E15" s="26" t="inlineStr">
        <is>
          <t>Both</t>
        </is>
      </c>
      <c r="F15" s="27" t="inlineStr">
        <is>
          <t>x</t>
        </is>
      </c>
      <c r="G15" s="18">
        <f>IF(B15="","",IF(F15&lt;&gt;"","Done",IF(D15="","",IF(D15&lt;TODAY(),"Late",IF(D15-TODAY()&lt;=7,"This week","Coming")))))</f>
        <v/>
      </c>
      <c r="H15" s="26" t="n"/>
      <c r="I15" s="1" t="n"/>
      <c r="J15">
        <f>IF(AND(B15&lt;&gt;"",F15="",D15&lt;&gt;""),D15+ROW()/10000000,"")</f>
        <v/>
      </c>
    </row>
    <row r="16">
      <c r="A16" s="1" t="n"/>
      <c r="B16" s="6" t="inlineStr">
        <is>
          <t>Set up mail forwarding</t>
        </is>
      </c>
      <c r="C16" s="25" t="n">
        <v>21</v>
      </c>
      <c r="D16" s="16">
        <f>IF(OR(B16="",C16="",Dashboard!$C$4=""),"",Dashboard!$C$4-C16)</f>
        <v/>
      </c>
      <c r="E16" s="26" t="inlineStr">
        <is>
          <t>Alex</t>
        </is>
      </c>
      <c r="F16" s="27" t="inlineStr">
        <is>
          <t>x</t>
        </is>
      </c>
      <c r="G16" s="18">
        <f>IF(B16="","",IF(F16&lt;&gt;"","Done",IF(D16="","",IF(D16&lt;TODAY(),"Late",IF(D16-TODAY()&lt;=7,"This week","Coming")))))</f>
        <v/>
      </c>
      <c r="H16" s="26" t="n"/>
      <c r="I16" s="1" t="n"/>
      <c r="J16">
        <f>IF(AND(B16&lt;&gt;"",F16="",D16&lt;&gt;""),D16+ROW()/10000000,"")</f>
        <v/>
      </c>
    </row>
    <row r="17">
      <c r="A17" s="1" t="n"/>
      <c r="B17" s="6" t="inlineStr">
        <is>
          <t>Book internet at the new home</t>
        </is>
      </c>
      <c r="C17" s="25" t="n">
        <v>21</v>
      </c>
      <c r="D17" s="16">
        <f>IF(OR(B17="",C17="",Dashboard!$C$4=""),"",Dashboard!$C$4-C17)</f>
        <v/>
      </c>
      <c r="E17" s="26" t="inlineStr">
        <is>
          <t>Sam</t>
        </is>
      </c>
      <c r="F17" s="27" t="n"/>
      <c r="G17" s="18">
        <f>IF(B17="","",IF(F17&lt;&gt;"","Done",IF(D17="","",IF(D17&lt;TODAY(),"Late",IF(D17-TODAY()&lt;=7,"This week","Coming")))))</f>
        <v/>
      </c>
      <c r="H17" s="26" t="n"/>
      <c r="I17" s="1" t="n"/>
      <c r="J17">
        <f>IF(AND(B17&lt;&gt;"",F17="",D17&lt;&gt;""),D17+ROW()/10000000,"")</f>
        <v/>
      </c>
    </row>
    <row r="18">
      <c r="A18" s="1" t="n"/>
      <c r="B18" s="6" t="inlineStr">
        <is>
          <t>Tell the bank, work and the doctor</t>
        </is>
      </c>
      <c r="C18" s="25" t="n">
        <v>14</v>
      </c>
      <c r="D18" s="16">
        <f>IF(OR(B18="",C18="",Dashboard!$C$4=""),"",Dashboard!$C$4-C18)</f>
        <v/>
      </c>
      <c r="E18" s="26" t="inlineStr">
        <is>
          <t>Both</t>
        </is>
      </c>
      <c r="F18" s="27" t="n"/>
      <c r="G18" s="18">
        <f>IF(B18="","",IF(F18&lt;&gt;"","Done",IF(D18="","",IF(D18&lt;TODAY(),"Late",IF(D18-TODAY()&lt;=7,"This week","Coming")))))</f>
        <v/>
      </c>
      <c r="H18" s="26" t="n"/>
      <c r="I18" s="1" t="n"/>
      <c r="J18">
        <f>IF(AND(B18&lt;&gt;"",F18="",D18&lt;&gt;""),D18+ROW()/10000000,"")</f>
        <v/>
      </c>
    </row>
    <row r="19">
      <c r="A19" s="1" t="n"/>
      <c r="B19" s="6" t="inlineStr">
        <is>
          <t>Book cleaning for the old flat</t>
        </is>
      </c>
      <c r="C19" s="25" t="n">
        <v>14</v>
      </c>
      <c r="D19" s="16">
        <f>IF(OR(B19="",C19="",Dashboard!$C$4=""),"",Dashboard!$C$4-C19)</f>
        <v/>
      </c>
      <c r="E19" s="26" t="inlineStr">
        <is>
          <t>Alex</t>
        </is>
      </c>
      <c r="F19" s="27" t="n"/>
      <c r="G19" s="18">
        <f>IF(B19="","",IF(F19&lt;&gt;"","Done",IF(D19="","",IF(D19&lt;TODAY(),"Late",IF(D19-TODAY()&lt;=7,"This week","Coming")))))</f>
        <v/>
      </c>
      <c r="H19" s="26" t="n"/>
      <c r="I19" s="1" t="n"/>
      <c r="J19">
        <f>IF(AND(B19&lt;&gt;"",F19="",D19&lt;&gt;""),D19+ROW()/10000000,"")</f>
        <v/>
      </c>
    </row>
    <row r="20">
      <c r="A20" s="1" t="n"/>
      <c r="B20" s="6" t="inlineStr">
        <is>
          <t>Confirm the movers and the time</t>
        </is>
      </c>
      <c r="C20" s="25" t="n">
        <v>10</v>
      </c>
      <c r="D20" s="16">
        <f>IF(OR(B20="",C20="",Dashboard!$C$4=""),"",Dashboard!$C$4-C20)</f>
        <v/>
      </c>
      <c r="E20" s="26" t="inlineStr">
        <is>
          <t>Sam</t>
        </is>
      </c>
      <c r="F20" s="27" t="n"/>
      <c r="G20" s="18">
        <f>IF(B20="","",IF(F20&lt;&gt;"","Done",IF(D20="","",IF(D20&lt;TODAY(),"Late",IF(D20-TODAY()&lt;=7,"This week","Coming")))))</f>
        <v/>
      </c>
      <c r="H20" s="26" t="n"/>
      <c r="I20" s="1" t="n"/>
      <c r="J20">
        <f>IF(AND(B20&lt;&gt;"",F20="",D20&lt;&gt;""),D20+ROW()/10000000,"")</f>
        <v/>
      </c>
    </row>
    <row r="21">
      <c r="A21" s="1" t="n"/>
      <c r="B21" s="6" t="inlineStr">
        <is>
          <t>Arrange parking for the van</t>
        </is>
      </c>
      <c r="C21" s="25" t="n">
        <v>10</v>
      </c>
      <c r="D21" s="16">
        <f>IF(OR(B21="",C21="",Dashboard!$C$4=""),"",Dashboard!$C$4-C21)</f>
        <v/>
      </c>
      <c r="E21" s="26" t="inlineStr">
        <is>
          <t>Sam</t>
        </is>
      </c>
      <c r="F21" s="27" t="n"/>
      <c r="G21" s="18">
        <f>IF(B21="","",IF(F21&lt;&gt;"","Done",IF(D21="","",IF(D21&lt;TODAY(),"Late",IF(D21-TODAY()&lt;=7,"This week","Coming")))))</f>
        <v/>
      </c>
      <c r="H21" s="26" t="n"/>
      <c r="I21" s="1" t="n"/>
      <c r="J21">
        <f>IF(AND(B21&lt;&gt;"",F21="",D21&lt;&gt;""),D21+ROW()/10000000,"")</f>
        <v/>
      </c>
    </row>
    <row r="22">
      <c r="A22" s="1" t="n"/>
      <c r="B22" s="6" t="inlineStr">
        <is>
          <t>Use up the frozen food</t>
        </is>
      </c>
      <c r="C22" s="25" t="n">
        <v>7</v>
      </c>
      <c r="D22" s="16">
        <f>IF(OR(B22="",C22="",Dashboard!$C$4=""),"",Dashboard!$C$4-C22)</f>
        <v/>
      </c>
      <c r="E22" s="26" t="inlineStr">
        <is>
          <t>Both</t>
        </is>
      </c>
      <c r="F22" s="27" t="n"/>
      <c r="G22" s="18">
        <f>IF(B22="","",IF(F22&lt;&gt;"","Done",IF(D22="","",IF(D22&lt;TODAY(),"Late",IF(D22-TODAY()&lt;=7,"This week","Coming")))))</f>
        <v/>
      </c>
      <c r="H22" s="26" t="n"/>
      <c r="I22" s="1" t="n"/>
      <c r="J22">
        <f>IF(AND(B22&lt;&gt;"",F22="",D22&lt;&gt;""),D22+ROW()/10000000,"")</f>
        <v/>
      </c>
    </row>
    <row r="23">
      <c r="A23" s="1" t="n"/>
      <c r="B23" s="6" t="inlineStr">
        <is>
          <t>Pack all but the essentials</t>
        </is>
      </c>
      <c r="C23" s="25" t="n">
        <v>7</v>
      </c>
      <c r="D23" s="16">
        <f>IF(OR(B23="",C23="",Dashboard!$C$4=""),"",Dashboard!$C$4-C23)</f>
        <v/>
      </c>
      <c r="E23" s="26" t="inlineStr">
        <is>
          <t>Both</t>
        </is>
      </c>
      <c r="F23" s="27" t="n"/>
      <c r="G23" s="18">
        <f>IF(B23="","",IF(F23&lt;&gt;"","Done",IF(D23="","",IF(D23&lt;TODAY(),"Late",IF(D23-TODAY()&lt;=7,"This week","Coming")))))</f>
        <v/>
      </c>
      <c r="H23" s="26" t="n"/>
      <c r="I23" s="1" t="n"/>
      <c r="J23">
        <f>IF(AND(B23&lt;&gt;"",F23="",D23&lt;&gt;""),D23+ROW()/10000000,"")</f>
        <v/>
      </c>
    </row>
    <row r="24">
      <c r="A24" s="1" t="n"/>
      <c r="B24" s="6" t="inlineStr">
        <is>
          <t>Pack the open-first boxes</t>
        </is>
      </c>
      <c r="C24" s="25" t="n">
        <v>3</v>
      </c>
      <c r="D24" s="16">
        <f>IF(OR(B24="",C24="",Dashboard!$C$4=""),"",Dashboard!$C$4-C24)</f>
        <v/>
      </c>
      <c r="E24" s="26" t="inlineStr">
        <is>
          <t>Alex</t>
        </is>
      </c>
      <c r="F24" s="27" t="n"/>
      <c r="G24" s="18">
        <f>IF(B24="","",IF(F24&lt;&gt;"","Done",IF(D24="","",IF(D24&lt;TODAY(),"Late",IF(D24-TODAY()&lt;=7,"This week","Coming")))))</f>
        <v/>
      </c>
      <c r="H24" s="26" t="n"/>
      <c r="I24" s="1" t="n"/>
      <c r="J24">
        <f>IF(AND(B24&lt;&gt;"",F24="",D24&lt;&gt;""),D24+ROW()/10000000,"")</f>
        <v/>
      </c>
    </row>
    <row r="25">
      <c r="A25" s="1" t="n"/>
      <c r="B25" s="6" t="inlineStr">
        <is>
          <t>Defrost the fridge</t>
        </is>
      </c>
      <c r="C25" s="25" t="n">
        <v>2</v>
      </c>
      <c r="D25" s="16">
        <f>IF(OR(B25="",C25="",Dashboard!$C$4=""),"",Dashboard!$C$4-C25)</f>
        <v/>
      </c>
      <c r="E25" s="26" t="inlineStr">
        <is>
          <t>Alex</t>
        </is>
      </c>
      <c r="F25" s="27" t="n"/>
      <c r="G25" s="18">
        <f>IF(B25="","",IF(F25&lt;&gt;"","Done",IF(D25="","",IF(D25&lt;TODAY(),"Late",IF(D25-TODAY()&lt;=7,"This week","Coming")))))</f>
        <v/>
      </c>
      <c r="H25" s="26" t="n"/>
      <c r="I25" s="1" t="n"/>
      <c r="J25">
        <f>IF(AND(B25&lt;&gt;"",F25="",D25&lt;&gt;""),D25+ROW()/10000000,"")</f>
        <v/>
      </c>
    </row>
    <row r="26">
      <c r="A26" s="1" t="n"/>
      <c r="B26" s="6" t="inlineStr">
        <is>
          <t>Take photos of the old flat</t>
        </is>
      </c>
      <c r="C26" s="25" t="n">
        <v>1</v>
      </c>
      <c r="D26" s="16">
        <f>IF(OR(B26="",C26="",Dashboard!$C$4=""),"",Dashboard!$C$4-C26)</f>
        <v/>
      </c>
      <c r="E26" s="26" t="inlineStr">
        <is>
          <t>Sam</t>
        </is>
      </c>
      <c r="F26" s="27" t="n"/>
      <c r="G26" s="18">
        <f>IF(B26="","",IF(F26&lt;&gt;"","Done",IF(D26="","",IF(D26&lt;TODAY(),"Late",IF(D26-TODAY()&lt;=7,"This week","Coming")))))</f>
        <v/>
      </c>
      <c r="H26" s="26" t="n"/>
      <c r="I26" s="1" t="n"/>
      <c r="J26">
        <f>IF(AND(B26&lt;&gt;"",F26="",D26&lt;&gt;""),D26+ROW()/10000000,"")</f>
        <v/>
      </c>
    </row>
    <row r="27">
      <c r="A27" s="1" t="n"/>
      <c r="B27" s="6" t="inlineStr">
        <is>
          <t>Take the meter readings</t>
        </is>
      </c>
      <c r="C27" s="25" t="n">
        <v>0</v>
      </c>
      <c r="D27" s="16">
        <f>IF(OR(B27="",C27="",Dashboard!$C$4=""),"",Dashboard!$C$4-C27)</f>
        <v/>
      </c>
      <c r="E27" s="26" t="inlineStr">
        <is>
          <t>Sam</t>
        </is>
      </c>
      <c r="F27" s="27" t="n"/>
      <c r="G27" s="18">
        <f>IF(B27="","",IF(F27&lt;&gt;"","Done",IF(D27="","",IF(D27&lt;TODAY(),"Late",IF(D27-TODAY()&lt;=7,"This week","Coming")))))</f>
        <v/>
      </c>
      <c r="H27" s="26" t="n"/>
      <c r="I27" s="1" t="n"/>
      <c r="J27">
        <f>IF(AND(B27&lt;&gt;"",F27="",D27&lt;&gt;""),D27+ROW()/10000000,"")</f>
        <v/>
      </c>
    </row>
    <row r="28">
      <c r="A28" s="1" t="n"/>
      <c r="B28" s="6" t="inlineStr">
        <is>
          <t>Check every room and cupboard</t>
        </is>
      </c>
      <c r="C28" s="25" t="n">
        <v>0</v>
      </c>
      <c r="D28" s="16">
        <f>IF(OR(B28="",C28="",Dashboard!$C$4=""),"",Dashboard!$C$4-C28)</f>
        <v/>
      </c>
      <c r="E28" s="26" t="inlineStr">
        <is>
          <t>Both</t>
        </is>
      </c>
      <c r="F28" s="27" t="n"/>
      <c r="G28" s="18">
        <f>IF(B28="","",IF(F28&lt;&gt;"","Done",IF(D28="","",IF(D28&lt;TODAY(),"Late",IF(D28-TODAY()&lt;=7,"This week","Coming")))))</f>
        <v/>
      </c>
      <c r="H28" s="26" t="n"/>
      <c r="I28" s="1" t="n"/>
      <c r="J28">
        <f>IF(AND(B28&lt;&gt;"",F28="",D28&lt;&gt;""),D28+ROW()/10000000,"")</f>
        <v/>
      </c>
    </row>
    <row r="29">
      <c r="A29" s="1" t="n"/>
      <c r="B29" s="6" t="inlineStr">
        <is>
          <t>Hand over the keys</t>
        </is>
      </c>
      <c r="C29" s="25" t="n">
        <v>0</v>
      </c>
      <c r="D29" s="16">
        <f>IF(OR(B29="",C29="",Dashboard!$C$4=""),"",Dashboard!$C$4-C29)</f>
        <v/>
      </c>
      <c r="E29" s="26" t="inlineStr">
        <is>
          <t>Sam</t>
        </is>
      </c>
      <c r="F29" s="27" t="n"/>
      <c r="G29" s="18">
        <f>IF(B29="","",IF(F29&lt;&gt;"","Done",IF(D29="","",IF(D29&lt;TODAY(),"Late",IF(D29-TODAY()&lt;=7,"This week","Coming")))))</f>
        <v/>
      </c>
      <c r="H29" s="26" t="n"/>
      <c r="I29" s="1" t="n"/>
      <c r="J29">
        <f>IF(AND(B29&lt;&gt;"",F29="",D29&lt;&gt;""),D29+ROW()/10000000,"")</f>
        <v/>
      </c>
    </row>
    <row r="30">
      <c r="A30" s="1" t="n"/>
      <c r="B30" s="6" t="inlineStr">
        <is>
          <t>Unpack the open-first boxes</t>
        </is>
      </c>
      <c r="C30" s="25" t="n">
        <v>-1</v>
      </c>
      <c r="D30" s="16">
        <f>IF(OR(B30="",C30="",Dashboard!$C$4=""),"",Dashboard!$C$4-C30)</f>
        <v/>
      </c>
      <c r="E30" s="26" t="inlineStr">
        <is>
          <t>Both</t>
        </is>
      </c>
      <c r="F30" s="27" t="n"/>
      <c r="G30" s="18">
        <f>IF(B30="","",IF(F30&lt;&gt;"","Done",IF(D30="","",IF(D30&lt;TODAY(),"Late",IF(D30-TODAY()&lt;=7,"This week","Coming")))))</f>
        <v/>
      </c>
      <c r="H30" s="26" t="n"/>
      <c r="I30" s="1" t="n"/>
      <c r="J30">
        <f>IF(AND(B30&lt;&gt;"",F30="",D30&lt;&gt;""),D30+ROW()/10000000,"")</f>
        <v/>
      </c>
    </row>
    <row r="31">
      <c r="A31" s="1" t="n"/>
      <c r="B31" s="6" t="inlineStr">
        <is>
          <t>Register with a new doctor</t>
        </is>
      </c>
      <c r="C31" s="25" t="n">
        <v>-7</v>
      </c>
      <c r="D31" s="16">
        <f>IF(OR(B31="",C31="",Dashboard!$C$4=""),"",Dashboard!$C$4-C31)</f>
        <v/>
      </c>
      <c r="E31" s="26" t="inlineStr">
        <is>
          <t>Alex</t>
        </is>
      </c>
      <c r="F31" s="27" t="n"/>
      <c r="G31" s="18">
        <f>IF(B31="","",IF(F31&lt;&gt;"","Done",IF(D31="","",IF(D31&lt;TODAY(),"Late",IF(D31-TODAY()&lt;=7,"This week","Coming")))))</f>
        <v/>
      </c>
      <c r="H31" s="26" t="n"/>
      <c r="I31" s="1" t="n"/>
      <c r="J31">
        <f>IF(AND(B31&lt;&gt;"",F31="",D31&lt;&gt;""),D31+ROW()/10000000,"")</f>
        <v/>
      </c>
    </row>
    <row r="32">
      <c r="A32" s="1" t="n"/>
      <c r="B32" s="6" t="inlineStr">
        <is>
          <t>Get the deposit back</t>
        </is>
      </c>
      <c r="C32" s="25" t="n">
        <v>-14</v>
      </c>
      <c r="D32" s="16">
        <f>IF(OR(B32="",C32="",Dashboard!$C$4=""),"",Dashboard!$C$4-C32)</f>
        <v/>
      </c>
      <c r="E32" s="26" t="inlineStr">
        <is>
          <t>Sam</t>
        </is>
      </c>
      <c r="F32" s="27" t="n"/>
      <c r="G32" s="18">
        <f>IF(B32="","",IF(F32&lt;&gt;"","Done",IF(D32="","",IF(D32&lt;TODAY(),"Late",IF(D32-TODAY()&lt;=7,"This week","Coming")))))</f>
        <v/>
      </c>
      <c r="H32" s="26" t="n"/>
      <c r="I32" s="1" t="n"/>
      <c r="J32">
        <f>IF(AND(B32&lt;&gt;"",F32="",D32&lt;&gt;""),D32+ROW()/10000000,"")</f>
        <v/>
      </c>
    </row>
    <row r="33">
      <c r="A33" s="1" t="n"/>
      <c r="B33" s="6" t="inlineStr">
        <is>
          <t>Unpack the last boxes</t>
        </is>
      </c>
      <c r="C33" s="25" t="n">
        <v>-21</v>
      </c>
      <c r="D33" s="16">
        <f>IF(OR(B33="",C33="",Dashboard!$C$4=""),"",Dashboard!$C$4-C33)</f>
        <v/>
      </c>
      <c r="E33" s="26" t="inlineStr">
        <is>
          <t>Both</t>
        </is>
      </c>
      <c r="F33" s="27" t="n"/>
      <c r="G33" s="18">
        <f>IF(B33="","",IF(F33&lt;&gt;"","Done",IF(D33="","",IF(D33&lt;TODAY(),"Late",IF(D33-TODAY()&lt;=7,"This week","Coming")))))</f>
        <v/>
      </c>
      <c r="H33" s="26" t="n"/>
      <c r="I33" s="1" t="n"/>
      <c r="J33">
        <f>IF(AND(B33&lt;&gt;"",F33="",D33&lt;&gt;""),D33+ROW()/10000000,"")</f>
        <v/>
      </c>
    </row>
    <row r="34">
      <c r="A34" s="1" t="n"/>
      <c r="B34" s="6" t="n"/>
      <c r="C34" s="25" t="n"/>
      <c r="D34" s="16">
        <f>IF(OR(B34="",C34="",Dashboard!$C$4=""),"",Dashboard!$C$4-C34)</f>
        <v/>
      </c>
      <c r="E34" s="26" t="n"/>
      <c r="F34" s="27" t="n"/>
      <c r="G34" s="18">
        <f>IF(B34="","",IF(F34&lt;&gt;"","Done",IF(D34="","",IF(D34&lt;TODAY(),"Late",IF(D34-TODAY()&lt;=7,"This week","Coming")))))</f>
        <v/>
      </c>
      <c r="H34" s="26" t="n"/>
      <c r="I34" s="1" t="n"/>
      <c r="J34">
        <f>IF(AND(B34&lt;&gt;"",F34="",D34&lt;&gt;""),D34+ROW()/10000000,"")</f>
        <v/>
      </c>
    </row>
    <row r="35">
      <c r="A35" s="1" t="n"/>
      <c r="B35" s="6" t="n"/>
      <c r="C35" s="25" t="n"/>
      <c r="D35" s="16">
        <f>IF(OR(B35="",C35="",Dashboard!$C$4=""),"",Dashboard!$C$4-C35)</f>
        <v/>
      </c>
      <c r="E35" s="26" t="n"/>
      <c r="F35" s="27" t="n"/>
      <c r="G35" s="18">
        <f>IF(B35="","",IF(F35&lt;&gt;"","Done",IF(D35="","",IF(D35&lt;TODAY(),"Late",IF(D35-TODAY()&lt;=7,"This week","Coming")))))</f>
        <v/>
      </c>
      <c r="H35" s="26" t="n"/>
      <c r="I35" s="1" t="n"/>
      <c r="J35">
        <f>IF(AND(B35&lt;&gt;"",F35="",D35&lt;&gt;""),D35+ROW()/10000000,"")</f>
        <v/>
      </c>
    </row>
    <row r="36">
      <c r="A36" s="1" t="n"/>
      <c r="B36" s="6" t="n"/>
      <c r="C36" s="25" t="n"/>
      <c r="D36" s="16">
        <f>IF(OR(B36="",C36="",Dashboard!$C$4=""),"",Dashboard!$C$4-C36)</f>
        <v/>
      </c>
      <c r="E36" s="26" t="n"/>
      <c r="F36" s="27" t="n"/>
      <c r="G36" s="18">
        <f>IF(B36="","",IF(F36&lt;&gt;"","Done",IF(D36="","",IF(D36&lt;TODAY(),"Late",IF(D36-TODAY()&lt;=7,"This week","Coming")))))</f>
        <v/>
      </c>
      <c r="H36" s="26" t="n"/>
      <c r="I36" s="1" t="n"/>
      <c r="J36">
        <f>IF(AND(B36&lt;&gt;"",F36="",D36&lt;&gt;""),D36+ROW()/10000000,"")</f>
        <v/>
      </c>
    </row>
    <row r="37">
      <c r="A37" s="1" t="n"/>
      <c r="B37" s="6" t="n"/>
      <c r="C37" s="25" t="n"/>
      <c r="D37" s="16">
        <f>IF(OR(B37="",C37="",Dashboard!$C$4=""),"",Dashboard!$C$4-C37)</f>
        <v/>
      </c>
      <c r="E37" s="26" t="n"/>
      <c r="F37" s="27" t="n"/>
      <c r="G37" s="18">
        <f>IF(B37="","",IF(F37&lt;&gt;"","Done",IF(D37="","",IF(D37&lt;TODAY(),"Late",IF(D37-TODAY()&lt;=7,"This week","Coming")))))</f>
        <v/>
      </c>
      <c r="H37" s="26" t="n"/>
      <c r="I37" s="1" t="n"/>
      <c r="J37">
        <f>IF(AND(B37&lt;&gt;"",F37="",D37&lt;&gt;""),D37+ROW()/10000000,"")</f>
        <v/>
      </c>
    </row>
    <row r="38">
      <c r="A38" s="1" t="n"/>
      <c r="B38" s="6" t="n"/>
      <c r="C38" s="25" t="n"/>
      <c r="D38" s="16">
        <f>IF(OR(B38="",C38="",Dashboard!$C$4=""),"",Dashboard!$C$4-C38)</f>
        <v/>
      </c>
      <c r="E38" s="26" t="n"/>
      <c r="F38" s="27" t="n"/>
      <c r="G38" s="18">
        <f>IF(B38="","",IF(F38&lt;&gt;"","Done",IF(D38="","",IF(D38&lt;TODAY(),"Late",IF(D38-TODAY()&lt;=7,"This week","Coming")))))</f>
        <v/>
      </c>
      <c r="H38" s="26" t="n"/>
      <c r="I38" s="1" t="n"/>
      <c r="J38">
        <f>IF(AND(B38&lt;&gt;"",F38="",D38&lt;&gt;""),D38+ROW()/10000000,"")</f>
        <v/>
      </c>
    </row>
    <row r="39">
      <c r="A39" s="1" t="n"/>
      <c r="B39" s="6" t="n"/>
      <c r="C39" s="25" t="n"/>
      <c r="D39" s="16">
        <f>IF(OR(B39="",C39="",Dashboard!$C$4=""),"",Dashboard!$C$4-C39)</f>
        <v/>
      </c>
      <c r="E39" s="26" t="n"/>
      <c r="F39" s="27" t="n"/>
      <c r="G39" s="18">
        <f>IF(B39="","",IF(F39&lt;&gt;"","Done",IF(D39="","",IF(D39&lt;TODAY(),"Late",IF(D39-TODAY()&lt;=7,"This week","Coming")))))</f>
        <v/>
      </c>
      <c r="H39" s="26" t="n"/>
      <c r="I39" s="1" t="n"/>
      <c r="J39">
        <f>IF(AND(B39&lt;&gt;"",F39="",D39&lt;&gt;""),D39+ROW()/10000000,"")</f>
        <v/>
      </c>
    </row>
    <row r="40">
      <c r="A40" s="1" t="n"/>
      <c r="B40" s="6" t="n"/>
      <c r="C40" s="25" t="n"/>
      <c r="D40" s="16">
        <f>IF(OR(B40="",C40="",Dashboard!$C$4=""),"",Dashboard!$C$4-C40)</f>
        <v/>
      </c>
      <c r="E40" s="26" t="n"/>
      <c r="F40" s="27" t="n"/>
      <c r="G40" s="18">
        <f>IF(B40="","",IF(F40&lt;&gt;"","Done",IF(D40="","",IF(D40&lt;TODAY(),"Late",IF(D40-TODAY()&lt;=7,"This week","Coming")))))</f>
        <v/>
      </c>
      <c r="H40" s="26" t="n"/>
      <c r="I40" s="1" t="n"/>
      <c r="J40">
        <f>IF(AND(B40&lt;&gt;"",F40="",D40&lt;&gt;""),D40+ROW()/10000000,"")</f>
        <v/>
      </c>
    </row>
    <row r="41">
      <c r="A41" s="1" t="n"/>
      <c r="B41" s="6" t="n"/>
      <c r="C41" s="25" t="n"/>
      <c r="D41" s="16">
        <f>IF(OR(B41="",C41="",Dashboard!$C$4=""),"",Dashboard!$C$4-C41)</f>
        <v/>
      </c>
      <c r="E41" s="26" t="n"/>
      <c r="F41" s="27" t="n"/>
      <c r="G41" s="18">
        <f>IF(B41="","",IF(F41&lt;&gt;"","Done",IF(D41="","",IF(D41&lt;TODAY(),"Late",IF(D41-TODAY()&lt;=7,"This week","Coming")))))</f>
        <v/>
      </c>
      <c r="H41" s="26" t="n"/>
      <c r="I41" s="1" t="n"/>
      <c r="J41">
        <f>IF(AND(B41&lt;&gt;"",F41="",D41&lt;&gt;""),D41+ROW()/10000000,"")</f>
        <v/>
      </c>
    </row>
    <row r="42">
      <c r="A42" s="1" t="n"/>
      <c r="B42" s="6" t="n"/>
      <c r="C42" s="25" t="n"/>
      <c r="D42" s="16">
        <f>IF(OR(B42="",C42="",Dashboard!$C$4=""),"",Dashboard!$C$4-C42)</f>
        <v/>
      </c>
      <c r="E42" s="26" t="n"/>
      <c r="F42" s="27" t="n"/>
      <c r="G42" s="18">
        <f>IF(B42="","",IF(F42&lt;&gt;"","Done",IF(D42="","",IF(D42&lt;TODAY(),"Late",IF(D42-TODAY()&lt;=7,"This week","Coming")))))</f>
        <v/>
      </c>
      <c r="H42" s="26" t="n"/>
      <c r="I42" s="1" t="n"/>
      <c r="J42">
        <f>IF(AND(B42&lt;&gt;"",F42="",D42&lt;&gt;""),D42+ROW()/10000000,"")</f>
        <v/>
      </c>
    </row>
    <row r="43">
      <c r="A43" s="1" t="n"/>
      <c r="B43" s="6" t="n"/>
      <c r="C43" s="25" t="n"/>
      <c r="D43" s="16">
        <f>IF(OR(B43="",C43="",Dashboard!$C$4=""),"",Dashboard!$C$4-C43)</f>
        <v/>
      </c>
      <c r="E43" s="26" t="n"/>
      <c r="F43" s="27" t="n"/>
      <c r="G43" s="18">
        <f>IF(B43="","",IF(F43&lt;&gt;"","Done",IF(D43="","",IF(D43&lt;TODAY(),"Late",IF(D43-TODAY()&lt;=7,"This week","Coming")))))</f>
        <v/>
      </c>
      <c r="H43" s="26" t="n"/>
      <c r="I43" s="1" t="n"/>
      <c r="J43">
        <f>IF(AND(B43&lt;&gt;"",F43="",D43&lt;&gt;""),D43+ROW()/10000000,"")</f>
        <v/>
      </c>
    </row>
    <row r="44">
      <c r="A44" s="1" t="n"/>
      <c r="B44" s="6" t="n"/>
      <c r="C44" s="25" t="n"/>
      <c r="D44" s="16">
        <f>IF(OR(B44="",C44="",Dashboard!$C$4=""),"",Dashboard!$C$4-C44)</f>
        <v/>
      </c>
      <c r="E44" s="26" t="n"/>
      <c r="F44" s="27" t="n"/>
      <c r="G44" s="18">
        <f>IF(B44="","",IF(F44&lt;&gt;"","Done",IF(D44="","",IF(D44&lt;TODAY(),"Late",IF(D44-TODAY()&lt;=7,"This week","Coming")))))</f>
        <v/>
      </c>
      <c r="H44" s="26" t="n"/>
      <c r="I44" s="1" t="n"/>
      <c r="J44">
        <f>IF(AND(B44&lt;&gt;"",F44="",D44&lt;&gt;""),D44+ROW()/10000000,"")</f>
        <v/>
      </c>
    </row>
    <row r="45">
      <c r="A45" s="1" t="n"/>
      <c r="B45" s="6" t="n"/>
      <c r="C45" s="25" t="n"/>
      <c r="D45" s="16">
        <f>IF(OR(B45="",C45="",Dashboard!$C$4=""),"",Dashboard!$C$4-C45)</f>
        <v/>
      </c>
      <c r="E45" s="26" t="n"/>
      <c r="F45" s="27" t="n"/>
      <c r="G45" s="18">
        <f>IF(B45="","",IF(F45&lt;&gt;"","Done",IF(D45="","",IF(D45&lt;TODAY(),"Late",IF(D45-TODAY()&lt;=7,"This week","Coming")))))</f>
        <v/>
      </c>
      <c r="H45" s="26" t="n"/>
      <c r="I45" s="1" t="n"/>
      <c r="J45">
        <f>IF(AND(B45&lt;&gt;"",F45="",D45&lt;&gt;""),D45+ROW()/10000000,"")</f>
        <v/>
      </c>
    </row>
    <row r="46">
      <c r="A46" s="1" t="n"/>
      <c r="B46" s="6" t="n"/>
      <c r="C46" s="25" t="n"/>
      <c r="D46" s="16">
        <f>IF(OR(B46="",C46="",Dashboard!$C$4=""),"",Dashboard!$C$4-C46)</f>
        <v/>
      </c>
      <c r="E46" s="26" t="n"/>
      <c r="F46" s="27" t="n"/>
      <c r="G46" s="18">
        <f>IF(B46="","",IF(F46&lt;&gt;"","Done",IF(D46="","",IF(D46&lt;TODAY(),"Late",IF(D46-TODAY()&lt;=7,"This week","Coming")))))</f>
        <v/>
      </c>
      <c r="H46" s="26" t="n"/>
      <c r="I46" s="1" t="n"/>
      <c r="J46">
        <f>IF(AND(B46&lt;&gt;"",F46="",D46&lt;&gt;""),D46+ROW()/10000000,"")</f>
        <v/>
      </c>
    </row>
    <row r="47">
      <c r="A47" s="1" t="n"/>
      <c r="B47" s="6" t="n"/>
      <c r="C47" s="25" t="n"/>
      <c r="D47" s="16">
        <f>IF(OR(B47="",C47="",Dashboard!$C$4=""),"",Dashboard!$C$4-C47)</f>
        <v/>
      </c>
      <c r="E47" s="26" t="n"/>
      <c r="F47" s="27" t="n"/>
      <c r="G47" s="18">
        <f>IF(B47="","",IF(F47&lt;&gt;"","Done",IF(D47="","",IF(D47&lt;TODAY(),"Late",IF(D47-TODAY()&lt;=7,"This week","Coming")))))</f>
        <v/>
      </c>
      <c r="H47" s="26" t="n"/>
      <c r="I47" s="1" t="n"/>
      <c r="J47">
        <f>IF(AND(B47&lt;&gt;"",F47="",D47&lt;&gt;""),D47+ROW()/10000000,"")</f>
        <v/>
      </c>
    </row>
    <row r="48">
      <c r="A48" s="1" t="n"/>
      <c r="B48" s="6" t="n"/>
      <c r="C48" s="25" t="n"/>
      <c r="D48" s="16">
        <f>IF(OR(B48="",C48="",Dashboard!$C$4=""),"",Dashboard!$C$4-C48)</f>
        <v/>
      </c>
      <c r="E48" s="26" t="n"/>
      <c r="F48" s="27" t="n"/>
      <c r="G48" s="18">
        <f>IF(B48="","",IF(F48&lt;&gt;"","Done",IF(D48="","",IF(D48&lt;TODAY(),"Late",IF(D48-TODAY()&lt;=7,"This week","Coming")))))</f>
        <v/>
      </c>
      <c r="H48" s="26" t="n"/>
      <c r="I48" s="1" t="n"/>
      <c r="J48">
        <f>IF(AND(B48&lt;&gt;"",F48="",D48&lt;&gt;""),D48+ROW()/10000000,"")</f>
        <v/>
      </c>
    </row>
    <row r="49">
      <c r="A49" s="1" t="n"/>
      <c r="B49" s="6" t="n"/>
      <c r="C49" s="25" t="n"/>
      <c r="D49" s="16">
        <f>IF(OR(B49="",C49="",Dashboard!$C$4=""),"",Dashboard!$C$4-C49)</f>
        <v/>
      </c>
      <c r="E49" s="26" t="n"/>
      <c r="F49" s="27" t="n"/>
      <c r="G49" s="18">
        <f>IF(B49="","",IF(F49&lt;&gt;"","Done",IF(D49="","",IF(D49&lt;TODAY(),"Late",IF(D49-TODAY()&lt;=7,"This week","Coming")))))</f>
        <v/>
      </c>
      <c r="H49" s="26" t="n"/>
      <c r="I49" s="1" t="n"/>
      <c r="J49">
        <f>IF(AND(B49&lt;&gt;"",F49="",D49&lt;&gt;""),D49+ROW()/10000000,"")</f>
        <v/>
      </c>
    </row>
    <row r="50">
      <c r="A50" s="1" t="n"/>
      <c r="B50" s="6" t="n"/>
      <c r="C50" s="25" t="n"/>
      <c r="D50" s="16">
        <f>IF(OR(B50="",C50="",Dashboard!$C$4=""),"",Dashboard!$C$4-C50)</f>
        <v/>
      </c>
      <c r="E50" s="26" t="n"/>
      <c r="F50" s="27" t="n"/>
      <c r="G50" s="18">
        <f>IF(B50="","",IF(F50&lt;&gt;"","Done",IF(D50="","",IF(D50&lt;TODAY(),"Late",IF(D50-TODAY()&lt;=7,"This week","Coming")))))</f>
        <v/>
      </c>
      <c r="H50" s="26" t="n"/>
      <c r="I50" s="1" t="n"/>
      <c r="J50">
        <f>IF(AND(B50&lt;&gt;"",F50="",D50&lt;&gt;""),D50+ROW()/10000000,"")</f>
        <v/>
      </c>
    </row>
    <row r="51">
      <c r="A51" s="1" t="n"/>
      <c r="B51" s="6" t="n"/>
      <c r="C51" s="25" t="n"/>
      <c r="D51" s="16">
        <f>IF(OR(B51="",C51="",Dashboard!$C$4=""),"",Dashboard!$C$4-C51)</f>
        <v/>
      </c>
      <c r="E51" s="26" t="n"/>
      <c r="F51" s="27" t="n"/>
      <c r="G51" s="18">
        <f>IF(B51="","",IF(F51&lt;&gt;"","Done",IF(D51="","",IF(D51&lt;TODAY(),"Late",IF(D51-TODAY()&lt;=7,"This week","Coming")))))</f>
        <v/>
      </c>
      <c r="H51" s="26" t="n"/>
      <c r="I51" s="1" t="n"/>
      <c r="J51">
        <f>IF(AND(B51&lt;&gt;"",F51="",D51&lt;&gt;""),D51+ROW()/10000000,"")</f>
        <v/>
      </c>
    </row>
    <row r="52">
      <c r="A52" s="1" t="n"/>
      <c r="B52" s="6" t="n"/>
      <c r="C52" s="25" t="n"/>
      <c r="D52" s="16">
        <f>IF(OR(B52="",C52="",Dashboard!$C$4=""),"",Dashboard!$C$4-C52)</f>
        <v/>
      </c>
      <c r="E52" s="26" t="n"/>
      <c r="F52" s="27" t="n"/>
      <c r="G52" s="18">
        <f>IF(B52="","",IF(F52&lt;&gt;"","Done",IF(D52="","",IF(D52&lt;TODAY(),"Late",IF(D52-TODAY()&lt;=7,"This week","Coming")))))</f>
        <v/>
      </c>
      <c r="H52" s="26" t="n"/>
      <c r="I52" s="1" t="n"/>
      <c r="J52">
        <f>IF(AND(B52&lt;&gt;"",F52="",D52&lt;&gt;""),D52+ROW()/10000000,"")</f>
        <v/>
      </c>
    </row>
    <row r="53">
      <c r="A53" s="1" t="n"/>
      <c r="B53" s="6" t="n"/>
      <c r="C53" s="25" t="n"/>
      <c r="D53" s="16">
        <f>IF(OR(B53="",C53="",Dashboard!$C$4=""),"",Dashboard!$C$4-C53)</f>
        <v/>
      </c>
      <c r="E53" s="26" t="n"/>
      <c r="F53" s="27" t="n"/>
      <c r="G53" s="18">
        <f>IF(B53="","",IF(F53&lt;&gt;"","Done",IF(D53="","",IF(D53&lt;TODAY(),"Late",IF(D53-TODAY()&lt;=7,"This week","Coming")))))</f>
        <v/>
      </c>
      <c r="H53" s="26" t="n"/>
      <c r="I53" s="1" t="n"/>
      <c r="J53">
        <f>IF(AND(B53&lt;&gt;"",F53="",D53&lt;&gt;""),D53+ROW()/10000000,"")</f>
        <v/>
      </c>
    </row>
    <row r="54">
      <c r="A54" s="1" t="n"/>
      <c r="B54" s="6" t="n"/>
      <c r="C54" s="25" t="n"/>
      <c r="D54" s="16">
        <f>IF(OR(B54="",C54="",Dashboard!$C$4=""),"",Dashboard!$C$4-C54)</f>
        <v/>
      </c>
      <c r="E54" s="26" t="n"/>
      <c r="F54" s="27" t="n"/>
      <c r="G54" s="18">
        <f>IF(B54="","",IF(F54&lt;&gt;"","Done",IF(D54="","",IF(D54&lt;TODAY(),"Late",IF(D54-TODAY()&lt;=7,"This week","Coming")))))</f>
        <v/>
      </c>
      <c r="H54" s="26" t="n"/>
      <c r="I54" s="1" t="n"/>
      <c r="J54">
        <f>IF(AND(B54&lt;&gt;"",F54="",D54&lt;&gt;""),D54+ROW()/10000000,"")</f>
        <v/>
      </c>
    </row>
    <row r="55">
      <c r="A55" s="1" t="n"/>
      <c r="B55" s="6" t="n"/>
      <c r="C55" s="25" t="n"/>
      <c r="D55" s="16">
        <f>IF(OR(B55="",C55="",Dashboard!$C$4=""),"",Dashboard!$C$4-C55)</f>
        <v/>
      </c>
      <c r="E55" s="26" t="n"/>
      <c r="F55" s="27" t="n"/>
      <c r="G55" s="18">
        <f>IF(B55="","",IF(F55&lt;&gt;"","Done",IF(D55="","",IF(D55&lt;TODAY(),"Late",IF(D55-TODAY()&lt;=7,"This week","Coming")))))</f>
        <v/>
      </c>
      <c r="H55" s="26" t="n"/>
      <c r="I55" s="1" t="n"/>
      <c r="J55">
        <f>IF(AND(B55&lt;&gt;"",F55="",D55&lt;&gt;""),D55+ROW()/10000000,"")</f>
        <v/>
      </c>
    </row>
    <row r="56">
      <c r="A56" s="1" t="n"/>
      <c r="B56" s="6" t="n"/>
      <c r="C56" s="25" t="n"/>
      <c r="D56" s="16">
        <f>IF(OR(B56="",C56="",Dashboard!$C$4=""),"",Dashboard!$C$4-C56)</f>
        <v/>
      </c>
      <c r="E56" s="26" t="n"/>
      <c r="F56" s="27" t="n"/>
      <c r="G56" s="18">
        <f>IF(B56="","",IF(F56&lt;&gt;"","Done",IF(D56="","",IF(D56&lt;TODAY(),"Late",IF(D56-TODAY()&lt;=7,"This week","Coming")))))</f>
        <v/>
      </c>
      <c r="H56" s="26" t="n"/>
      <c r="I56" s="1" t="n"/>
      <c r="J56">
        <f>IF(AND(B56&lt;&gt;"",F56="",D56&lt;&gt;""),D56+ROW()/10000000,"")</f>
        <v/>
      </c>
    </row>
    <row r="57">
      <c r="A57" s="1" t="n"/>
      <c r="B57" s="6" t="n"/>
      <c r="C57" s="25" t="n"/>
      <c r="D57" s="16">
        <f>IF(OR(B57="",C57="",Dashboard!$C$4=""),"",Dashboard!$C$4-C57)</f>
        <v/>
      </c>
      <c r="E57" s="26" t="n"/>
      <c r="F57" s="27" t="n"/>
      <c r="G57" s="18">
        <f>IF(B57="","",IF(F57&lt;&gt;"","Done",IF(D57="","",IF(D57&lt;TODAY(),"Late",IF(D57-TODAY()&lt;=7,"This week","Coming")))))</f>
        <v/>
      </c>
      <c r="H57" s="26" t="n"/>
      <c r="I57" s="1" t="n"/>
      <c r="J57">
        <f>IF(AND(B57&lt;&gt;"",F57="",D57&lt;&gt;""),D57+ROW()/10000000,"")</f>
        <v/>
      </c>
    </row>
    <row r="58">
      <c r="A58" s="1" t="n"/>
      <c r="B58" s="6" t="n"/>
      <c r="C58" s="25" t="n"/>
      <c r="D58" s="16">
        <f>IF(OR(B58="",C58="",Dashboard!$C$4=""),"",Dashboard!$C$4-C58)</f>
        <v/>
      </c>
      <c r="E58" s="26" t="n"/>
      <c r="F58" s="27" t="n"/>
      <c r="G58" s="18">
        <f>IF(B58="","",IF(F58&lt;&gt;"","Done",IF(D58="","",IF(D58&lt;TODAY(),"Late",IF(D58-TODAY()&lt;=7,"This week","Coming")))))</f>
        <v/>
      </c>
      <c r="H58" s="26" t="n"/>
      <c r="I58" s="1" t="n"/>
      <c r="J58">
        <f>IF(AND(B58&lt;&gt;"",F58="",D58&lt;&gt;""),D58+ROW()/10000000,"")</f>
        <v/>
      </c>
    </row>
    <row r="59">
      <c r="A59" s="1" t="n"/>
      <c r="B59" s="6" t="n"/>
      <c r="C59" s="25" t="n"/>
      <c r="D59" s="16">
        <f>IF(OR(B59="",C59="",Dashboard!$C$4=""),"",Dashboard!$C$4-C59)</f>
        <v/>
      </c>
      <c r="E59" s="26" t="n"/>
      <c r="F59" s="27" t="n"/>
      <c r="G59" s="18">
        <f>IF(B59="","",IF(F59&lt;&gt;"","Done",IF(D59="","",IF(D59&lt;TODAY(),"Late",IF(D59-TODAY()&lt;=7,"This week","Coming")))))</f>
        <v/>
      </c>
      <c r="H59" s="26" t="n"/>
      <c r="I59" s="1" t="n"/>
      <c r="J59">
        <f>IF(AND(B59&lt;&gt;"",F59="",D59&lt;&gt;""),D59+ROW()/10000000,"")</f>
        <v/>
      </c>
    </row>
    <row r="60">
      <c r="A60" s="1" t="n"/>
      <c r="B60" s="6" t="n"/>
      <c r="C60" s="25" t="n"/>
      <c r="D60" s="16">
        <f>IF(OR(B60="",C60="",Dashboard!$C$4=""),"",Dashboard!$C$4-C60)</f>
        <v/>
      </c>
      <c r="E60" s="26" t="n"/>
      <c r="F60" s="27" t="n"/>
      <c r="G60" s="18">
        <f>IF(B60="","",IF(F60&lt;&gt;"","Done",IF(D60="","",IF(D60&lt;TODAY(),"Late",IF(D60-TODAY()&lt;=7,"This week","Coming")))))</f>
        <v/>
      </c>
      <c r="H60" s="26" t="n"/>
      <c r="I60" s="1" t="n"/>
      <c r="J60">
        <f>IF(AND(B60&lt;&gt;"",F60="",D60&lt;&gt;""),D60+ROW()/10000000,"")</f>
        <v/>
      </c>
    </row>
    <row r="61">
      <c r="A61" s="1" t="n"/>
      <c r="B61" s="6" t="n"/>
      <c r="C61" s="25" t="n"/>
      <c r="D61" s="16">
        <f>IF(OR(B61="",C61="",Dashboard!$C$4=""),"",Dashboard!$C$4-C61)</f>
        <v/>
      </c>
      <c r="E61" s="26" t="n"/>
      <c r="F61" s="27" t="n"/>
      <c r="G61" s="18">
        <f>IF(B61="","",IF(F61&lt;&gt;"","Done",IF(D61="","",IF(D61&lt;TODAY(),"Late",IF(D61-TODAY()&lt;=7,"This week","Coming")))))</f>
        <v/>
      </c>
      <c r="H61" s="26" t="n"/>
      <c r="I61" s="1" t="n"/>
      <c r="J61">
        <f>IF(AND(B61&lt;&gt;"",F61="",D61&lt;&gt;""),D61+ROW()/10000000,"")</f>
        <v/>
      </c>
    </row>
    <row r="62">
      <c r="A62" s="1" t="n"/>
      <c r="B62" s="6" t="n"/>
      <c r="C62" s="25" t="n"/>
      <c r="D62" s="16">
        <f>IF(OR(B62="",C62="",Dashboard!$C$4=""),"",Dashboard!$C$4-C62)</f>
        <v/>
      </c>
      <c r="E62" s="26" t="n"/>
      <c r="F62" s="27" t="n"/>
      <c r="G62" s="18">
        <f>IF(B62="","",IF(F62&lt;&gt;"","Done",IF(D62="","",IF(D62&lt;TODAY(),"Late",IF(D62-TODAY()&lt;=7,"This week","Coming")))))</f>
        <v/>
      </c>
      <c r="H62" s="26" t="n"/>
      <c r="I62" s="1" t="n"/>
      <c r="J62">
        <f>IF(AND(B62&lt;&gt;"",F62="",D62&lt;&gt;""),D62+ROW()/10000000,"")</f>
        <v/>
      </c>
    </row>
    <row r="63">
      <c r="A63" s="1" t="n"/>
      <c r="B63" s="6" t="n"/>
      <c r="C63" s="25" t="n"/>
      <c r="D63" s="16">
        <f>IF(OR(B63="",C63="",Dashboard!$C$4=""),"",Dashboard!$C$4-C63)</f>
        <v/>
      </c>
      <c r="E63" s="26" t="n"/>
      <c r="F63" s="27" t="n"/>
      <c r="G63" s="18">
        <f>IF(B63="","",IF(F63&lt;&gt;"","Done",IF(D63="","",IF(D63&lt;TODAY(),"Late",IF(D63-TODAY()&lt;=7,"This week","Coming")))))</f>
        <v/>
      </c>
      <c r="H63" s="26" t="n"/>
      <c r="I63" s="1" t="n"/>
      <c r="J63">
        <f>IF(AND(B63&lt;&gt;"",F63="",D63&lt;&gt;""),D63+ROW()/10000000,"")</f>
        <v/>
      </c>
    </row>
    <row r="64">
      <c r="A64" s="1" t="n"/>
      <c r="B64" s="6" t="n"/>
      <c r="C64" s="25" t="n"/>
      <c r="D64" s="16">
        <f>IF(OR(B64="",C64="",Dashboard!$C$4=""),"",Dashboard!$C$4-C64)</f>
        <v/>
      </c>
      <c r="E64" s="26" t="n"/>
      <c r="F64" s="27" t="n"/>
      <c r="G64" s="18">
        <f>IF(B64="","",IF(F64&lt;&gt;"","Done",IF(D64="","",IF(D64&lt;TODAY(),"Late",IF(D64-TODAY()&lt;=7,"This week","Coming")))))</f>
        <v/>
      </c>
      <c r="H64" s="26" t="n"/>
      <c r="I64" s="1" t="n"/>
      <c r="J64">
        <f>IF(AND(B64&lt;&gt;"",F64="",D64&lt;&gt;""),D64+ROW()/10000000,"")</f>
        <v/>
      </c>
    </row>
    <row r="65">
      <c r="A65" s="1" t="n"/>
      <c r="B65" s="6" t="n"/>
      <c r="C65" s="25" t="n"/>
      <c r="D65" s="16">
        <f>IF(OR(B65="",C65="",Dashboard!$C$4=""),"",Dashboard!$C$4-C65)</f>
        <v/>
      </c>
      <c r="E65" s="26" t="n"/>
      <c r="F65" s="27" t="n"/>
      <c r="G65" s="18">
        <f>IF(B65="","",IF(F65&lt;&gt;"","Done",IF(D65="","",IF(D65&lt;TODAY(),"Late",IF(D65-TODAY()&lt;=7,"This week","Coming")))))</f>
        <v/>
      </c>
      <c r="H65" s="26" t="n"/>
      <c r="I65" s="1" t="n"/>
      <c r="J65">
        <f>IF(AND(B65&lt;&gt;"",F65="",D65&lt;&gt;""),D65+ROW()/10000000,"")</f>
        <v/>
      </c>
    </row>
    <row r="66">
      <c r="A66" s="1" t="n"/>
      <c r="B66" s="6" t="n"/>
      <c r="C66" s="25" t="n"/>
      <c r="D66" s="16">
        <f>IF(OR(B66="",C66="",Dashboard!$C$4=""),"",Dashboard!$C$4-C66)</f>
        <v/>
      </c>
      <c r="E66" s="26" t="n"/>
      <c r="F66" s="27" t="n"/>
      <c r="G66" s="18">
        <f>IF(B66="","",IF(F66&lt;&gt;"","Done",IF(D66="","",IF(D66&lt;TODAY(),"Late",IF(D66-TODAY()&lt;=7,"This week","Coming")))))</f>
        <v/>
      </c>
      <c r="H66" s="26" t="n"/>
      <c r="I66" s="1" t="n"/>
      <c r="J66">
        <f>IF(AND(B66&lt;&gt;"",F66="",D66&lt;&gt;""),D66+ROW()/10000000,"")</f>
        <v/>
      </c>
    </row>
    <row r="67">
      <c r="A67" s="1" t="n"/>
      <c r="B67" s="6" t="n"/>
      <c r="C67" s="25" t="n"/>
      <c r="D67" s="16">
        <f>IF(OR(B67="",C67="",Dashboard!$C$4=""),"",Dashboard!$C$4-C67)</f>
        <v/>
      </c>
      <c r="E67" s="26" t="n"/>
      <c r="F67" s="27" t="n"/>
      <c r="G67" s="18">
        <f>IF(B67="","",IF(F67&lt;&gt;"","Done",IF(D67="","",IF(D67&lt;TODAY(),"Late",IF(D67-TODAY()&lt;=7,"This week","Coming")))))</f>
        <v/>
      </c>
      <c r="H67" s="26" t="n"/>
      <c r="I67" s="1" t="n"/>
      <c r="J67">
        <f>IF(AND(B67&lt;&gt;"",F67="",D67&lt;&gt;""),D67+ROW()/10000000,"")</f>
        <v/>
      </c>
    </row>
    <row r="68">
      <c r="A68" s="1" t="n"/>
      <c r="B68" s="6" t="n"/>
      <c r="C68" s="25" t="n"/>
      <c r="D68" s="16">
        <f>IF(OR(B68="",C68="",Dashboard!$C$4=""),"",Dashboard!$C$4-C68)</f>
        <v/>
      </c>
      <c r="E68" s="26" t="n"/>
      <c r="F68" s="27" t="n"/>
      <c r="G68" s="18">
        <f>IF(B68="","",IF(F68&lt;&gt;"","Done",IF(D68="","",IF(D68&lt;TODAY(),"Late",IF(D68-TODAY()&lt;=7,"This week","Coming")))))</f>
        <v/>
      </c>
      <c r="H68" s="26" t="n"/>
      <c r="I68" s="1" t="n"/>
      <c r="J68">
        <f>IF(AND(B68&lt;&gt;"",F68="",D68&lt;&gt;""),D68+ROW()/10000000,"")</f>
        <v/>
      </c>
    </row>
    <row r="69">
      <c r="A69" s="1" t="n"/>
      <c r="B69" s="6" t="n"/>
      <c r="C69" s="25" t="n"/>
      <c r="D69" s="16">
        <f>IF(OR(B69="",C69="",Dashboard!$C$4=""),"",Dashboard!$C$4-C69)</f>
        <v/>
      </c>
      <c r="E69" s="26" t="n"/>
      <c r="F69" s="27" t="n"/>
      <c r="G69" s="18">
        <f>IF(B69="","",IF(F69&lt;&gt;"","Done",IF(D69="","",IF(D69&lt;TODAY(),"Late",IF(D69-TODAY()&lt;=7,"This week","Coming")))))</f>
        <v/>
      </c>
      <c r="H69" s="26" t="n"/>
      <c r="I69" s="1" t="n"/>
      <c r="J69">
        <f>IF(AND(B69&lt;&gt;"",F69="",D69&lt;&gt;""),D69+ROW()/10000000,"")</f>
        <v/>
      </c>
    </row>
    <row r="70">
      <c r="A70" s="1" t="n"/>
      <c r="B70" s="6" t="n"/>
      <c r="C70" s="25" t="n"/>
      <c r="D70" s="16">
        <f>IF(OR(B70="",C70="",Dashboard!$C$4=""),"",Dashboard!$C$4-C70)</f>
        <v/>
      </c>
      <c r="E70" s="26" t="n"/>
      <c r="F70" s="27" t="n"/>
      <c r="G70" s="18">
        <f>IF(B70="","",IF(F70&lt;&gt;"","Done",IF(D70="","",IF(D70&lt;TODAY(),"Late",IF(D70-TODAY()&lt;=7,"This week","Coming")))))</f>
        <v/>
      </c>
      <c r="H70" s="26" t="n"/>
      <c r="I70" s="1" t="n"/>
      <c r="J70">
        <f>IF(AND(B70&lt;&gt;"",F70="",D70&lt;&gt;""),D70+ROW()/10000000,"")</f>
        <v/>
      </c>
    </row>
    <row r="71">
      <c r="A71" s="1" t="n"/>
      <c r="B71" s="6" t="n"/>
      <c r="C71" s="25" t="n"/>
      <c r="D71" s="16">
        <f>IF(OR(B71="",C71="",Dashboard!$C$4=""),"",Dashboard!$C$4-C71)</f>
        <v/>
      </c>
      <c r="E71" s="26" t="n"/>
      <c r="F71" s="27" t="n"/>
      <c r="G71" s="18">
        <f>IF(B71="","",IF(F71&lt;&gt;"","Done",IF(D71="","",IF(D71&lt;TODAY(),"Late",IF(D71-TODAY()&lt;=7,"This week","Coming")))))</f>
        <v/>
      </c>
      <c r="H71" s="26" t="n"/>
      <c r="I71" s="1" t="n"/>
      <c r="J71">
        <f>IF(AND(B71&lt;&gt;"",F71="",D71&lt;&gt;""),D71+ROW()/10000000,"")</f>
        <v/>
      </c>
    </row>
    <row r="72">
      <c r="A72" s="1" t="n"/>
      <c r="B72" s="6" t="n"/>
      <c r="C72" s="25" t="n"/>
      <c r="D72" s="16">
        <f>IF(OR(B72="",C72="",Dashboard!$C$4=""),"",Dashboard!$C$4-C72)</f>
        <v/>
      </c>
      <c r="E72" s="26" t="n"/>
      <c r="F72" s="27" t="n"/>
      <c r="G72" s="18">
        <f>IF(B72="","",IF(F72&lt;&gt;"","Done",IF(D72="","",IF(D72&lt;TODAY(),"Late",IF(D72-TODAY()&lt;=7,"This week","Coming")))))</f>
        <v/>
      </c>
      <c r="H72" s="26" t="n"/>
      <c r="I72" s="1" t="n"/>
      <c r="J72">
        <f>IF(AND(B72&lt;&gt;"",F72="",D72&lt;&gt;""),D72+ROW()/10000000,"")</f>
        <v/>
      </c>
    </row>
    <row r="73">
      <c r="A73" s="1" t="n"/>
      <c r="B73" s="6" t="n"/>
      <c r="C73" s="25" t="n"/>
      <c r="D73" s="16">
        <f>IF(OR(B73="",C73="",Dashboard!$C$4=""),"",Dashboard!$C$4-C73)</f>
        <v/>
      </c>
      <c r="E73" s="26" t="n"/>
      <c r="F73" s="27" t="n"/>
      <c r="G73" s="18">
        <f>IF(B73="","",IF(F73&lt;&gt;"","Done",IF(D73="","",IF(D73&lt;TODAY(),"Late",IF(D73-TODAY()&lt;=7,"This week","Coming")))))</f>
        <v/>
      </c>
      <c r="H73" s="26" t="n"/>
      <c r="I73" s="1" t="n"/>
      <c r="J73">
        <f>IF(AND(B73&lt;&gt;"",F73="",D73&lt;&gt;""),D73+ROW()/10000000,"")</f>
        <v/>
      </c>
    </row>
    <row r="74">
      <c r="A74" s="1" t="n"/>
      <c r="B74" s="6" t="n"/>
      <c r="C74" s="25" t="n"/>
      <c r="D74" s="16">
        <f>IF(OR(B74="",C74="",Dashboard!$C$4=""),"",Dashboard!$C$4-C74)</f>
        <v/>
      </c>
      <c r="E74" s="26" t="n"/>
      <c r="F74" s="27" t="n"/>
      <c r="G74" s="18">
        <f>IF(B74="","",IF(F74&lt;&gt;"","Done",IF(D74="","",IF(D74&lt;TODAY(),"Late",IF(D74-TODAY()&lt;=7,"This week","Coming")))))</f>
        <v/>
      </c>
      <c r="H74" s="26" t="n"/>
      <c r="I74" s="1" t="n"/>
      <c r="J74">
        <f>IF(AND(B74&lt;&gt;"",F74="",D74&lt;&gt;""),D74+ROW()/10000000,"")</f>
        <v/>
      </c>
    </row>
    <row r="75">
      <c r="A75" s="1" t="n"/>
      <c r="B75" s="6" t="n"/>
      <c r="C75" s="25" t="n"/>
      <c r="D75" s="16">
        <f>IF(OR(B75="",C75="",Dashboard!$C$4=""),"",Dashboard!$C$4-C75)</f>
        <v/>
      </c>
      <c r="E75" s="26" t="n"/>
      <c r="F75" s="27" t="n"/>
      <c r="G75" s="18">
        <f>IF(B75="","",IF(F75&lt;&gt;"","Done",IF(D75="","",IF(D75&lt;TODAY(),"Late",IF(D75-TODAY()&lt;=7,"This week","Coming")))))</f>
        <v/>
      </c>
      <c r="H75" s="26" t="n"/>
      <c r="I75" s="1" t="n"/>
      <c r="J75">
        <f>IF(AND(B75&lt;&gt;"",F75="",D75&lt;&gt;""),D75+ROW()/10000000,"")</f>
        <v/>
      </c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</sheetData>
  <conditionalFormatting sqref="G6:G75">
    <cfRule type="expression" priority="1" dxfId="3">
      <formula>G6="Done"</formula>
    </cfRule>
    <cfRule type="expression" priority="2" dxfId="1">
      <formula>G6="Late"</formula>
    </cfRule>
    <cfRule type="expression" priority="3" dxfId="2">
      <formula>G6="This week"</formula>
    </cfRule>
  </conditionalFormatting>
  <conditionalFormatting sqref="B6:E75">
    <cfRule type="expression" priority="4" dxfId="4">
      <formula>$F6&lt;&gt;""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5" customWidth="1" min="3" max="3"/>
    <col width="15" customWidth="1" min="4" max="4"/>
    <col width="34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24" customWidth="1" min="12" max="12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 t="inlineStr">
        <is>
          <t>Boxes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Write the number on the box and one line here: the room it leaves, the room it goes to and what is inside. Put an x as it is packed and when it arrives.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0" customHeight="1">
      <c r="A5" s="1" t="n"/>
      <c r="B5" s="14" t="inlineStr">
        <is>
          <t>Box</t>
        </is>
      </c>
      <c r="C5" s="14" t="inlineStr">
        <is>
          <t>From</t>
        </is>
      </c>
      <c r="D5" s="14" t="inlineStr">
        <is>
          <t>To</t>
        </is>
      </c>
      <c r="E5" s="14" t="inlineStr">
        <is>
          <t>What is inside</t>
        </is>
      </c>
      <c r="F5" s="14" t="inlineStr">
        <is>
          <t>Size</t>
        </is>
      </c>
      <c r="G5" s="14" t="inlineStr">
        <is>
          <t>Fragile</t>
        </is>
      </c>
      <c r="H5" s="14" t="inlineStr">
        <is>
          <t>Open first</t>
        </is>
      </c>
      <c r="I5" s="14" t="inlineStr">
        <is>
          <t>Packed</t>
        </is>
      </c>
      <c r="J5" s="14" t="inlineStr">
        <is>
          <t>Arrived</t>
        </is>
      </c>
      <c r="K5" s="14" t="inlineStr">
        <is>
          <t>Status</t>
        </is>
      </c>
      <c r="L5" s="14" t="inlineStr">
        <is>
          <t>Notes</t>
        </is>
      </c>
      <c r="M5" s="1" t="n"/>
    </row>
    <row r="6">
      <c r="A6" s="1" t="n"/>
      <c r="B6" s="28" t="n">
        <v>1</v>
      </c>
      <c r="C6" s="26" t="inlineStr">
        <is>
          <t>Kitchen</t>
        </is>
      </c>
      <c r="D6" s="26" t="inlineStr">
        <is>
          <t>Kitchen</t>
        </is>
      </c>
      <c r="E6" s="26" t="inlineStr">
        <is>
          <t>Plates and bowls</t>
        </is>
      </c>
      <c r="F6" s="27" t="inlineStr">
        <is>
          <t>Medium</t>
        </is>
      </c>
      <c r="G6" s="27" t="inlineStr">
        <is>
          <t>x</t>
        </is>
      </c>
      <c r="H6" s="27" t="n"/>
      <c r="I6" s="27" t="n"/>
      <c r="J6" s="27" t="n"/>
      <c r="K6" s="18">
        <f>IF(AND(B6="",E6=""),"",IF(J6&lt;&gt;"","Arrived",IF(I6&lt;&gt;"","Packed","To pack")))</f>
        <v/>
      </c>
      <c r="L6" s="26" t="n"/>
      <c r="M6" s="1" t="n"/>
      <c r="N6">
        <f>IF(AND(H6&lt;&gt;"",B6&lt;&gt;""),B6+ROW()/10000000,"")</f>
        <v/>
      </c>
    </row>
    <row r="7">
      <c r="A7" s="1" t="n"/>
      <c r="B7" s="28" t="n">
        <v>2</v>
      </c>
      <c r="C7" s="26" t="inlineStr">
        <is>
          <t>Kitchen</t>
        </is>
      </c>
      <c r="D7" s="26" t="inlineStr">
        <is>
          <t>Kitchen</t>
        </is>
      </c>
      <c r="E7" s="26" t="inlineStr">
        <is>
          <t>Glasses</t>
        </is>
      </c>
      <c r="F7" s="27" t="inlineStr">
        <is>
          <t>Small</t>
        </is>
      </c>
      <c r="G7" s="27" t="inlineStr">
        <is>
          <t>x</t>
        </is>
      </c>
      <c r="H7" s="27" t="n"/>
      <c r="I7" s="27" t="n"/>
      <c r="J7" s="27" t="n"/>
      <c r="K7" s="18">
        <f>IF(AND(B7="",E7=""),"",IF(J7&lt;&gt;"","Arrived",IF(I7&lt;&gt;"","Packed","To pack")))</f>
        <v/>
      </c>
      <c r="L7" s="26" t="n"/>
      <c r="M7" s="1" t="n"/>
      <c r="N7">
        <f>IF(AND(H7&lt;&gt;"",B7&lt;&gt;""),B7+ROW()/10000000,"")</f>
        <v/>
      </c>
    </row>
    <row r="8">
      <c r="A8" s="1" t="n"/>
      <c r="B8" s="28" t="n">
        <v>3</v>
      </c>
      <c r="C8" s="26" t="inlineStr">
        <is>
          <t>Kitchen</t>
        </is>
      </c>
      <c r="D8" s="26" t="inlineStr">
        <is>
          <t>Kitchen</t>
        </is>
      </c>
      <c r="E8" s="26" t="inlineStr">
        <is>
          <t>Pots and pans</t>
        </is>
      </c>
      <c r="F8" s="27" t="inlineStr">
        <is>
          <t>Large</t>
        </is>
      </c>
      <c r="G8" s="27" t="n"/>
      <c r="H8" s="27" t="n"/>
      <c r="I8" s="27" t="n"/>
      <c r="J8" s="27" t="n"/>
      <c r="K8" s="18">
        <f>IF(AND(B8="",E8=""),"",IF(J8&lt;&gt;"","Arrived",IF(I8&lt;&gt;"","Packed","To pack")))</f>
        <v/>
      </c>
      <c r="L8" s="26" t="n"/>
      <c r="M8" s="1" t="n"/>
      <c r="N8">
        <f>IF(AND(H8&lt;&gt;"",B8&lt;&gt;""),B8+ROW()/10000000,"")</f>
        <v/>
      </c>
    </row>
    <row r="9">
      <c r="A9" s="1" t="n"/>
      <c r="B9" s="28" t="n">
        <v>4</v>
      </c>
      <c r="C9" s="26" t="inlineStr">
        <is>
          <t>Kitchen</t>
        </is>
      </c>
      <c r="D9" s="26" t="inlineStr">
        <is>
          <t>Kitchen</t>
        </is>
      </c>
      <c r="E9" s="26" t="inlineStr">
        <is>
          <t>Baking things</t>
        </is>
      </c>
      <c r="F9" s="27" t="inlineStr">
        <is>
          <t>Medium</t>
        </is>
      </c>
      <c r="G9" s="27" t="n"/>
      <c r="H9" s="27" t="n"/>
      <c r="I9" s="27" t="inlineStr">
        <is>
          <t>x</t>
        </is>
      </c>
      <c r="J9" s="27" t="n"/>
      <c r="K9" s="18">
        <f>IF(AND(B9="",E9=""),"",IF(J9&lt;&gt;"","Arrived",IF(I9&lt;&gt;"","Packed","To pack")))</f>
        <v/>
      </c>
      <c r="L9" s="26" t="n"/>
      <c r="M9" s="1" t="n"/>
      <c r="N9">
        <f>IF(AND(H9&lt;&gt;"",B9&lt;&gt;""),B9+ROW()/10000000,"")</f>
        <v/>
      </c>
    </row>
    <row r="10">
      <c r="A10" s="1" t="n"/>
      <c r="B10" s="28" t="n">
        <v>5</v>
      </c>
      <c r="C10" s="26" t="inlineStr">
        <is>
          <t>Kitchen</t>
        </is>
      </c>
      <c r="D10" s="26" t="inlineStr">
        <is>
          <t>Kitchen</t>
        </is>
      </c>
      <c r="E10" s="26" t="inlineStr">
        <is>
          <t>Mugs and the kettle</t>
        </is>
      </c>
      <c r="F10" s="27" t="inlineStr">
        <is>
          <t>Small</t>
        </is>
      </c>
      <c r="G10" s="27" t="inlineStr">
        <is>
          <t>x</t>
        </is>
      </c>
      <c r="H10" s="27" t="inlineStr">
        <is>
          <t>x</t>
        </is>
      </c>
      <c r="I10" s="27" t="n"/>
      <c r="J10" s="27" t="n"/>
      <c r="K10" s="18">
        <f>IF(AND(B10="",E10=""),"",IF(J10&lt;&gt;"","Arrived",IF(I10&lt;&gt;"","Packed","To pack")))</f>
        <v/>
      </c>
      <c r="L10" s="26" t="n"/>
      <c r="M10" s="1" t="n"/>
      <c r="N10">
        <f>IF(AND(H10&lt;&gt;"",B10&lt;&gt;""),B10+ROW()/10000000,"")</f>
        <v/>
      </c>
    </row>
    <row r="11">
      <c r="A11" s="1" t="n"/>
      <c r="B11" s="28" t="n">
        <v>6</v>
      </c>
      <c r="C11" s="26" t="inlineStr">
        <is>
          <t>Kitchen</t>
        </is>
      </c>
      <c r="D11" s="26" t="inlineStr">
        <is>
          <t>Kitchen</t>
        </is>
      </c>
      <c r="E11" s="26" t="inlineStr">
        <is>
          <t>Cutlery and knives</t>
        </is>
      </c>
      <c r="F11" s="27" t="inlineStr">
        <is>
          <t>Small</t>
        </is>
      </c>
      <c r="G11" s="27" t="n"/>
      <c r="H11" s="27" t="n"/>
      <c r="I11" s="27" t="n"/>
      <c r="J11" s="27" t="n"/>
      <c r="K11" s="18">
        <f>IF(AND(B11="",E11=""),"",IF(J11&lt;&gt;"","Arrived",IF(I11&lt;&gt;"","Packed","To pack")))</f>
        <v/>
      </c>
      <c r="L11" s="26" t="n"/>
      <c r="M11" s="1" t="n"/>
      <c r="N11">
        <f>IF(AND(H11&lt;&gt;"",B11&lt;&gt;""),B11+ROW()/10000000,"")</f>
        <v/>
      </c>
    </row>
    <row r="12">
      <c r="A12" s="1" t="n"/>
      <c r="B12" s="28" t="n">
        <v>7</v>
      </c>
      <c r="C12" s="26" t="inlineStr">
        <is>
          <t>Kitchen</t>
        </is>
      </c>
      <c r="D12" s="26" t="inlineStr">
        <is>
          <t>Kitchen</t>
        </is>
      </c>
      <c r="E12" s="26" t="inlineStr">
        <is>
          <t>Food cupboard</t>
        </is>
      </c>
      <c r="F12" s="27" t="inlineStr">
        <is>
          <t>Medium</t>
        </is>
      </c>
      <c r="G12" s="27" t="n"/>
      <c r="H12" s="27" t="n"/>
      <c r="I12" s="27" t="n"/>
      <c r="J12" s="27" t="n"/>
      <c r="K12" s="18">
        <f>IF(AND(B12="",E12=""),"",IF(J12&lt;&gt;"","Arrived",IF(I12&lt;&gt;"","Packed","To pack")))</f>
        <v/>
      </c>
      <c r="L12" s="26" t="n"/>
      <c r="M12" s="1" t="n"/>
      <c r="N12">
        <f>IF(AND(H12&lt;&gt;"",B12&lt;&gt;""),B12+ROW()/10000000,"")</f>
        <v/>
      </c>
    </row>
    <row r="13">
      <c r="A13" s="1" t="n"/>
      <c r="B13" s="28" t="n">
        <v>8</v>
      </c>
      <c r="C13" s="26" t="inlineStr">
        <is>
          <t>Kitchen</t>
        </is>
      </c>
      <c r="D13" s="26" t="inlineStr">
        <is>
          <t>Kitchen</t>
        </is>
      </c>
      <c r="E13" s="26" t="inlineStr">
        <is>
          <t>Small appliances</t>
        </is>
      </c>
      <c r="F13" s="27" t="inlineStr">
        <is>
          <t>Large</t>
        </is>
      </c>
      <c r="G13" s="27" t="n"/>
      <c r="H13" s="27" t="n"/>
      <c r="I13" s="27" t="n"/>
      <c r="J13" s="27" t="n"/>
      <c r="K13" s="18">
        <f>IF(AND(B13="",E13=""),"",IF(J13&lt;&gt;"","Arrived",IF(I13&lt;&gt;"","Packed","To pack")))</f>
        <v/>
      </c>
      <c r="L13" s="26" t="n"/>
      <c r="M13" s="1" t="n"/>
      <c r="N13">
        <f>IF(AND(H13&lt;&gt;"",B13&lt;&gt;""),B13+ROW()/10000000,"")</f>
        <v/>
      </c>
    </row>
    <row r="14">
      <c r="A14" s="1" t="n"/>
      <c r="B14" s="28" t="n">
        <v>9</v>
      </c>
      <c r="C14" s="26" t="inlineStr">
        <is>
          <t>Kitchen</t>
        </is>
      </c>
      <c r="D14" s="26" t="inlineStr">
        <is>
          <t>Kitchen</t>
        </is>
      </c>
      <c r="E14" s="26" t="inlineStr">
        <is>
          <t>Tea towels and aprons</t>
        </is>
      </c>
      <c r="F14" s="27" t="inlineStr">
        <is>
          <t>Small</t>
        </is>
      </c>
      <c r="G14" s="27" t="n"/>
      <c r="H14" s="27" t="n"/>
      <c r="I14" s="27" t="n"/>
      <c r="J14" s="27" t="n"/>
      <c r="K14" s="18">
        <f>IF(AND(B14="",E14=""),"",IF(J14&lt;&gt;"","Arrived",IF(I14&lt;&gt;"","Packed","To pack")))</f>
        <v/>
      </c>
      <c r="L14" s="26" t="n"/>
      <c r="M14" s="1" t="n"/>
      <c r="N14">
        <f>IF(AND(H14&lt;&gt;"",B14&lt;&gt;""),B14+ROW()/10000000,"")</f>
        <v/>
      </c>
    </row>
    <row r="15">
      <c r="A15" s="1" t="n"/>
      <c r="B15" s="28" t="n">
        <v>10</v>
      </c>
      <c r="C15" s="26" t="inlineStr">
        <is>
          <t>Living room</t>
        </is>
      </c>
      <c r="D15" s="26" t="inlineStr">
        <is>
          <t>Living room</t>
        </is>
      </c>
      <c r="E15" s="26" t="inlineStr">
        <is>
          <t>Books A to M</t>
        </is>
      </c>
      <c r="F15" s="27" t="inlineStr">
        <is>
          <t>Small</t>
        </is>
      </c>
      <c r="G15" s="27" t="n"/>
      <c r="H15" s="27" t="n"/>
      <c r="I15" s="27" t="inlineStr">
        <is>
          <t>x</t>
        </is>
      </c>
      <c r="J15" s="27" t="n"/>
      <c r="K15" s="18">
        <f>IF(AND(B15="",E15=""),"",IF(J15&lt;&gt;"","Arrived",IF(I15&lt;&gt;"","Packed","To pack")))</f>
        <v/>
      </c>
      <c r="L15" s="26" t="n"/>
      <c r="M15" s="1" t="n"/>
      <c r="N15">
        <f>IF(AND(H15&lt;&gt;"",B15&lt;&gt;""),B15+ROW()/10000000,"")</f>
        <v/>
      </c>
    </row>
    <row r="16">
      <c r="A16" s="1" t="n"/>
      <c r="B16" s="28" t="n">
        <v>11</v>
      </c>
      <c r="C16" s="26" t="inlineStr">
        <is>
          <t>Living room</t>
        </is>
      </c>
      <c r="D16" s="26" t="inlineStr">
        <is>
          <t>Living room</t>
        </is>
      </c>
      <c r="E16" s="26" t="inlineStr">
        <is>
          <t>Books N to Z</t>
        </is>
      </c>
      <c r="F16" s="27" t="inlineStr">
        <is>
          <t>Small</t>
        </is>
      </c>
      <c r="G16" s="27" t="n"/>
      <c r="H16" s="27" t="n"/>
      <c r="I16" s="27" t="inlineStr">
        <is>
          <t>x</t>
        </is>
      </c>
      <c r="J16" s="27" t="n"/>
      <c r="K16" s="18">
        <f>IF(AND(B16="",E16=""),"",IF(J16&lt;&gt;"","Arrived",IF(I16&lt;&gt;"","Packed","To pack")))</f>
        <v/>
      </c>
      <c r="L16" s="26" t="n"/>
      <c r="M16" s="1" t="n"/>
      <c r="N16">
        <f>IF(AND(H16&lt;&gt;"",B16&lt;&gt;""),B16+ROW()/10000000,"")</f>
        <v/>
      </c>
    </row>
    <row r="17">
      <c r="A17" s="1" t="n"/>
      <c r="B17" s="28" t="n">
        <v>12</v>
      </c>
      <c r="C17" s="26" t="inlineStr">
        <is>
          <t>Living room</t>
        </is>
      </c>
      <c r="D17" s="26" t="inlineStr">
        <is>
          <t>Living room</t>
        </is>
      </c>
      <c r="E17" s="26" t="inlineStr">
        <is>
          <t>Lamps</t>
        </is>
      </c>
      <c r="F17" s="27" t="inlineStr">
        <is>
          <t>Medium</t>
        </is>
      </c>
      <c r="G17" s="27" t="inlineStr">
        <is>
          <t>x</t>
        </is>
      </c>
      <c r="H17" s="27" t="n"/>
      <c r="I17" s="27" t="inlineStr">
        <is>
          <t>x</t>
        </is>
      </c>
      <c r="J17" s="27" t="n"/>
      <c r="K17" s="18">
        <f>IF(AND(B17="",E17=""),"",IF(J17&lt;&gt;"","Arrived",IF(I17&lt;&gt;"","Packed","To pack")))</f>
        <v/>
      </c>
      <c r="L17" s="26" t="n"/>
      <c r="M17" s="1" t="n"/>
      <c r="N17">
        <f>IF(AND(H17&lt;&gt;"",B17&lt;&gt;""),B17+ROW()/10000000,"")</f>
        <v/>
      </c>
    </row>
    <row r="18">
      <c r="A18" s="1" t="n"/>
      <c r="B18" s="28" t="n">
        <v>13</v>
      </c>
      <c r="C18" s="26" t="inlineStr">
        <is>
          <t>Living room</t>
        </is>
      </c>
      <c r="D18" s="26" t="inlineStr">
        <is>
          <t>Living room</t>
        </is>
      </c>
      <c r="E18" s="26" t="inlineStr">
        <is>
          <t>Cushions and throws</t>
        </is>
      </c>
      <c r="F18" s="27" t="inlineStr">
        <is>
          <t>Large</t>
        </is>
      </c>
      <c r="G18" s="27" t="n"/>
      <c r="H18" s="27" t="n"/>
      <c r="I18" s="27" t="inlineStr">
        <is>
          <t>x</t>
        </is>
      </c>
      <c r="J18" s="27" t="n"/>
      <c r="K18" s="18">
        <f>IF(AND(B18="",E18=""),"",IF(J18&lt;&gt;"","Arrived",IF(I18&lt;&gt;"","Packed","To pack")))</f>
        <v/>
      </c>
      <c r="L18" s="26" t="n"/>
      <c r="M18" s="1" t="n"/>
      <c r="N18">
        <f>IF(AND(H18&lt;&gt;"",B18&lt;&gt;""),B18+ROW()/10000000,"")</f>
        <v/>
      </c>
    </row>
    <row r="19">
      <c r="A19" s="1" t="n"/>
      <c r="B19" s="28" t="n">
        <v>14</v>
      </c>
      <c r="C19" s="26" t="inlineStr">
        <is>
          <t>Living room</t>
        </is>
      </c>
      <c r="D19" s="26" t="inlineStr">
        <is>
          <t>Living room</t>
        </is>
      </c>
      <c r="E19" s="26" t="inlineStr">
        <is>
          <t>Board games</t>
        </is>
      </c>
      <c r="F19" s="27" t="inlineStr">
        <is>
          <t>Medium</t>
        </is>
      </c>
      <c r="G19" s="27" t="n"/>
      <c r="H19" s="27" t="n"/>
      <c r="I19" s="27" t="inlineStr">
        <is>
          <t>x</t>
        </is>
      </c>
      <c r="J19" s="27" t="n"/>
      <c r="K19" s="18">
        <f>IF(AND(B19="",E19=""),"",IF(J19&lt;&gt;"","Arrived",IF(I19&lt;&gt;"","Packed","To pack")))</f>
        <v/>
      </c>
      <c r="L19" s="26" t="n"/>
      <c r="M19" s="1" t="n"/>
      <c r="N19">
        <f>IF(AND(H19&lt;&gt;"",B19&lt;&gt;""),B19+ROW()/10000000,"")</f>
        <v/>
      </c>
    </row>
    <row r="20">
      <c r="A20" s="1" t="n"/>
      <c r="B20" s="28" t="n">
        <v>15</v>
      </c>
      <c r="C20" s="26" t="inlineStr">
        <is>
          <t>Living room</t>
        </is>
      </c>
      <c r="D20" s="26" t="inlineStr">
        <is>
          <t>Living room</t>
        </is>
      </c>
      <c r="E20" s="26" t="inlineStr">
        <is>
          <t>Photo frames</t>
        </is>
      </c>
      <c r="F20" s="27" t="inlineStr">
        <is>
          <t>Small</t>
        </is>
      </c>
      <c r="G20" s="27" t="inlineStr">
        <is>
          <t>x</t>
        </is>
      </c>
      <c r="H20" s="27" t="n"/>
      <c r="I20" s="27" t="inlineStr">
        <is>
          <t>x</t>
        </is>
      </c>
      <c r="J20" s="27" t="n"/>
      <c r="K20" s="18">
        <f>IF(AND(B20="",E20=""),"",IF(J20&lt;&gt;"","Arrived",IF(I20&lt;&gt;"","Packed","To pack")))</f>
        <v/>
      </c>
      <c r="L20" s="26" t="n"/>
      <c r="M20" s="1" t="n"/>
      <c r="N20">
        <f>IF(AND(H20&lt;&gt;"",B20&lt;&gt;""),B20+ROW()/10000000,"")</f>
        <v/>
      </c>
    </row>
    <row r="21">
      <c r="A21" s="1" t="n"/>
      <c r="B21" s="28" t="n">
        <v>16</v>
      </c>
      <c r="C21" s="26" t="inlineStr">
        <is>
          <t>Living room</t>
        </is>
      </c>
      <c r="D21" s="26" t="inlineStr">
        <is>
          <t>Living room</t>
        </is>
      </c>
      <c r="E21" s="26" t="inlineStr">
        <is>
          <t>Speakers and cables</t>
        </is>
      </c>
      <c r="F21" s="27" t="inlineStr">
        <is>
          <t>Medium</t>
        </is>
      </c>
      <c r="G21" s="27" t="inlineStr">
        <is>
          <t>x</t>
        </is>
      </c>
      <c r="H21" s="27" t="n"/>
      <c r="I21" s="27" t="n"/>
      <c r="J21" s="27" t="n"/>
      <c r="K21" s="18">
        <f>IF(AND(B21="",E21=""),"",IF(J21&lt;&gt;"","Arrived",IF(I21&lt;&gt;"","Packed","To pack")))</f>
        <v/>
      </c>
      <c r="L21" s="26" t="n"/>
      <c r="M21" s="1" t="n"/>
      <c r="N21">
        <f>IF(AND(H21&lt;&gt;"",B21&lt;&gt;""),B21+ROW()/10000000,"")</f>
        <v/>
      </c>
    </row>
    <row r="22">
      <c r="A22" s="1" t="n"/>
      <c r="B22" s="28" t="n">
        <v>17</v>
      </c>
      <c r="C22" s="26" t="inlineStr">
        <is>
          <t>Bedroom</t>
        </is>
      </c>
      <c r="D22" s="26" t="inlineStr">
        <is>
          <t>Bedroom</t>
        </is>
      </c>
      <c r="E22" s="26" t="inlineStr">
        <is>
          <t>Bedding</t>
        </is>
      </c>
      <c r="F22" s="27" t="inlineStr">
        <is>
          <t>Large</t>
        </is>
      </c>
      <c r="G22" s="27" t="n"/>
      <c r="H22" s="27" t="inlineStr">
        <is>
          <t>x</t>
        </is>
      </c>
      <c r="I22" s="27" t="n"/>
      <c r="J22" s="27" t="n"/>
      <c r="K22" s="18">
        <f>IF(AND(B22="",E22=""),"",IF(J22&lt;&gt;"","Arrived",IF(I22&lt;&gt;"","Packed","To pack")))</f>
        <v/>
      </c>
      <c r="L22" s="26" t="n"/>
      <c r="M22" s="1" t="n"/>
      <c r="N22">
        <f>IF(AND(H22&lt;&gt;"",B22&lt;&gt;""),B22+ROW()/10000000,"")</f>
        <v/>
      </c>
    </row>
    <row r="23">
      <c r="A23" s="1" t="n"/>
      <c r="B23" s="28" t="n">
        <v>18</v>
      </c>
      <c r="C23" s="26" t="inlineStr">
        <is>
          <t>Bedroom</t>
        </is>
      </c>
      <c r="D23" s="26" t="inlineStr">
        <is>
          <t>Bedroom</t>
        </is>
      </c>
      <c r="E23" s="26" t="inlineStr">
        <is>
          <t>Winter clothes</t>
        </is>
      </c>
      <c r="F23" s="27" t="inlineStr">
        <is>
          <t>Large</t>
        </is>
      </c>
      <c r="G23" s="27" t="n"/>
      <c r="H23" s="27" t="n"/>
      <c r="I23" s="27" t="inlineStr">
        <is>
          <t>x</t>
        </is>
      </c>
      <c r="J23" s="27" t="n"/>
      <c r="K23" s="18">
        <f>IF(AND(B23="",E23=""),"",IF(J23&lt;&gt;"","Arrived",IF(I23&lt;&gt;"","Packed","To pack")))</f>
        <v/>
      </c>
      <c r="L23" s="26" t="n"/>
      <c r="M23" s="1" t="n"/>
      <c r="N23">
        <f>IF(AND(H23&lt;&gt;"",B23&lt;&gt;""),B23+ROW()/10000000,"")</f>
        <v/>
      </c>
    </row>
    <row r="24">
      <c r="A24" s="1" t="n"/>
      <c r="B24" s="28" t="n">
        <v>19</v>
      </c>
      <c r="C24" s="26" t="inlineStr">
        <is>
          <t>Bedroom</t>
        </is>
      </c>
      <c r="D24" s="26" t="inlineStr">
        <is>
          <t>Bedroom</t>
        </is>
      </c>
      <c r="E24" s="26" t="inlineStr">
        <is>
          <t>Shoes</t>
        </is>
      </c>
      <c r="F24" s="27" t="inlineStr">
        <is>
          <t>Medium</t>
        </is>
      </c>
      <c r="G24" s="27" t="n"/>
      <c r="H24" s="27" t="n"/>
      <c r="I24" s="27" t="n"/>
      <c r="J24" s="27" t="n"/>
      <c r="K24" s="18">
        <f>IF(AND(B24="",E24=""),"",IF(J24&lt;&gt;"","Arrived",IF(I24&lt;&gt;"","Packed","To pack")))</f>
        <v/>
      </c>
      <c r="L24" s="26" t="n"/>
      <c r="M24" s="1" t="n"/>
      <c r="N24">
        <f>IF(AND(H24&lt;&gt;"",B24&lt;&gt;""),B24+ROW()/10000000,"")</f>
        <v/>
      </c>
    </row>
    <row r="25">
      <c r="A25" s="1" t="n"/>
      <c r="B25" s="28" t="n">
        <v>20</v>
      </c>
      <c r="C25" s="26" t="inlineStr">
        <is>
          <t>Bedroom</t>
        </is>
      </c>
      <c r="D25" s="26" t="inlineStr">
        <is>
          <t>Bedroom</t>
        </is>
      </c>
      <c r="E25" s="26" t="inlineStr">
        <is>
          <t>Summer clothes</t>
        </is>
      </c>
      <c r="F25" s="27" t="inlineStr">
        <is>
          <t>Large</t>
        </is>
      </c>
      <c r="G25" s="27" t="n"/>
      <c r="H25" s="27" t="n"/>
      <c r="I25" s="27" t="inlineStr">
        <is>
          <t>x</t>
        </is>
      </c>
      <c r="J25" s="27" t="n"/>
      <c r="K25" s="18">
        <f>IF(AND(B25="",E25=""),"",IF(J25&lt;&gt;"","Arrived",IF(I25&lt;&gt;"","Packed","To pack")))</f>
        <v/>
      </c>
      <c r="L25" s="26" t="n"/>
      <c r="M25" s="1" t="n"/>
      <c r="N25">
        <f>IF(AND(H25&lt;&gt;"",B25&lt;&gt;""),B25+ROW()/10000000,"")</f>
        <v/>
      </c>
    </row>
    <row r="26">
      <c r="A26" s="1" t="n"/>
      <c r="B26" s="28" t="n">
        <v>21</v>
      </c>
      <c r="C26" s="26" t="inlineStr">
        <is>
          <t>Bedroom</t>
        </is>
      </c>
      <c r="D26" s="26" t="inlineStr">
        <is>
          <t>Bedroom</t>
        </is>
      </c>
      <c r="E26" s="26" t="inlineStr">
        <is>
          <t>Jewellery box and watch</t>
        </is>
      </c>
      <c r="F26" s="27" t="inlineStr">
        <is>
          <t>Small</t>
        </is>
      </c>
      <c r="G26" s="27" t="inlineStr">
        <is>
          <t>x</t>
        </is>
      </c>
      <c r="H26" s="27" t="n"/>
      <c r="I26" s="27" t="n"/>
      <c r="J26" s="27" t="n"/>
      <c r="K26" s="18">
        <f>IF(AND(B26="",E26=""),"",IF(J26&lt;&gt;"","Arrived",IF(I26&lt;&gt;"","Packed","To pack")))</f>
        <v/>
      </c>
      <c r="L26" s="26" t="n"/>
      <c r="M26" s="1" t="n"/>
      <c r="N26">
        <f>IF(AND(H26&lt;&gt;"",B26&lt;&gt;""),B26+ROW()/10000000,"")</f>
        <v/>
      </c>
    </row>
    <row r="27">
      <c r="A27" s="1" t="n"/>
      <c r="B27" s="28" t="n">
        <v>22</v>
      </c>
      <c r="C27" s="26" t="inlineStr">
        <is>
          <t>Bedroom</t>
        </is>
      </c>
      <c r="D27" s="26" t="inlineStr">
        <is>
          <t>Bedroom</t>
        </is>
      </c>
      <c r="E27" s="26" t="inlineStr">
        <is>
          <t>Towels</t>
        </is>
      </c>
      <c r="F27" s="27" t="inlineStr">
        <is>
          <t>Medium</t>
        </is>
      </c>
      <c r="G27" s="27" t="n"/>
      <c r="H27" s="27" t="n"/>
      <c r="I27" s="27" t="n"/>
      <c r="J27" s="27" t="n"/>
      <c r="K27" s="18">
        <f>IF(AND(B27="",E27=""),"",IF(J27&lt;&gt;"","Arrived",IF(I27&lt;&gt;"","Packed","To pack")))</f>
        <v/>
      </c>
      <c r="L27" s="26" t="n"/>
      <c r="M27" s="1" t="n"/>
      <c r="N27">
        <f>IF(AND(H27&lt;&gt;"",B27&lt;&gt;""),B27+ROW()/10000000,"")</f>
        <v/>
      </c>
    </row>
    <row r="28">
      <c r="A28" s="1" t="n"/>
      <c r="B28" s="28" t="n">
        <v>23</v>
      </c>
      <c r="C28" s="26" t="inlineStr">
        <is>
          <t>Kids room</t>
        </is>
      </c>
      <c r="D28" s="26" t="inlineStr">
        <is>
          <t>Kids room</t>
        </is>
      </c>
      <c r="E28" s="26" t="inlineStr">
        <is>
          <t>Toys</t>
        </is>
      </c>
      <c r="F28" s="27" t="inlineStr">
        <is>
          <t>Large</t>
        </is>
      </c>
      <c r="G28" s="27" t="n"/>
      <c r="H28" s="27" t="n"/>
      <c r="I28" s="27" t="n"/>
      <c r="J28" s="27" t="n"/>
      <c r="K28" s="18">
        <f>IF(AND(B28="",E28=""),"",IF(J28&lt;&gt;"","Arrived",IF(I28&lt;&gt;"","Packed","To pack")))</f>
        <v/>
      </c>
      <c r="L28" s="26" t="n"/>
      <c r="M28" s="1" t="n"/>
      <c r="N28">
        <f>IF(AND(H28&lt;&gt;"",B28&lt;&gt;""),B28+ROW()/10000000,"")</f>
        <v/>
      </c>
    </row>
    <row r="29">
      <c r="A29" s="1" t="n"/>
      <c r="B29" s="28" t="n">
        <v>24</v>
      </c>
      <c r="C29" s="26" t="inlineStr">
        <is>
          <t>Kids room</t>
        </is>
      </c>
      <c r="D29" s="26" t="inlineStr">
        <is>
          <t>Kids room</t>
        </is>
      </c>
      <c r="E29" s="26" t="inlineStr">
        <is>
          <t>Kids books</t>
        </is>
      </c>
      <c r="F29" s="27" t="inlineStr">
        <is>
          <t>Small</t>
        </is>
      </c>
      <c r="G29" s="27" t="n"/>
      <c r="H29" s="27" t="n"/>
      <c r="I29" s="27" t="n"/>
      <c r="J29" s="27" t="n"/>
      <c r="K29" s="18">
        <f>IF(AND(B29="",E29=""),"",IF(J29&lt;&gt;"","Arrived",IF(I29&lt;&gt;"","Packed","To pack")))</f>
        <v/>
      </c>
      <c r="L29" s="26" t="n"/>
      <c r="M29" s="1" t="n"/>
      <c r="N29">
        <f>IF(AND(H29&lt;&gt;"",B29&lt;&gt;""),B29+ROW()/10000000,"")</f>
        <v/>
      </c>
    </row>
    <row r="30">
      <c r="A30" s="1" t="n"/>
      <c r="B30" s="28" t="n">
        <v>25</v>
      </c>
      <c r="C30" s="26" t="inlineStr">
        <is>
          <t>Kids room</t>
        </is>
      </c>
      <c r="D30" s="26" t="inlineStr">
        <is>
          <t>Kids room</t>
        </is>
      </c>
      <c r="E30" s="26" t="inlineStr">
        <is>
          <t>Kids clothes</t>
        </is>
      </c>
      <c r="F30" s="27" t="inlineStr">
        <is>
          <t>Large</t>
        </is>
      </c>
      <c r="G30" s="27" t="n"/>
      <c r="H30" s="27" t="n"/>
      <c r="I30" s="27" t="n"/>
      <c r="J30" s="27" t="n"/>
      <c r="K30" s="18">
        <f>IF(AND(B30="",E30=""),"",IF(J30&lt;&gt;"","Arrived",IF(I30&lt;&gt;"","Packed","To pack")))</f>
        <v/>
      </c>
      <c r="L30" s="26" t="n"/>
      <c r="M30" s="1" t="n"/>
      <c r="N30">
        <f>IF(AND(H30&lt;&gt;"",B30&lt;&gt;""),B30+ROW()/10000000,"")</f>
        <v/>
      </c>
    </row>
    <row r="31">
      <c r="A31" s="1" t="n"/>
      <c r="B31" s="28" t="n">
        <v>26</v>
      </c>
      <c r="C31" s="26" t="inlineStr">
        <is>
          <t>Kids room</t>
        </is>
      </c>
      <c r="D31" s="26" t="inlineStr">
        <is>
          <t>Kids room</t>
        </is>
      </c>
      <c r="E31" s="26" t="inlineStr">
        <is>
          <t>Night light and bedding</t>
        </is>
      </c>
      <c r="F31" s="27" t="inlineStr">
        <is>
          <t>Medium</t>
        </is>
      </c>
      <c r="G31" s="27" t="n"/>
      <c r="H31" s="27" t="inlineStr">
        <is>
          <t>x</t>
        </is>
      </c>
      <c r="I31" s="27" t="n"/>
      <c r="J31" s="27" t="n"/>
      <c r="K31" s="18">
        <f>IF(AND(B31="",E31=""),"",IF(J31&lt;&gt;"","Arrived",IF(I31&lt;&gt;"","Packed","To pack")))</f>
        <v/>
      </c>
      <c r="L31" s="26" t="n"/>
      <c r="M31" s="1" t="n"/>
      <c r="N31">
        <f>IF(AND(H31&lt;&gt;"",B31&lt;&gt;""),B31+ROW()/10000000,"")</f>
        <v/>
      </c>
    </row>
    <row r="32">
      <c r="A32" s="1" t="n"/>
      <c r="B32" s="28" t="n">
        <v>27</v>
      </c>
      <c r="C32" s="26" t="inlineStr">
        <is>
          <t>Bathroom</t>
        </is>
      </c>
      <c r="D32" s="26" t="inlineStr">
        <is>
          <t>Bathroom</t>
        </is>
      </c>
      <c r="E32" s="26" t="inlineStr">
        <is>
          <t>Bathroom things</t>
        </is>
      </c>
      <c r="F32" s="27" t="inlineStr">
        <is>
          <t>Small</t>
        </is>
      </c>
      <c r="G32" s="27" t="n"/>
      <c r="H32" s="27" t="inlineStr">
        <is>
          <t>x</t>
        </is>
      </c>
      <c r="I32" s="27" t="n"/>
      <c r="J32" s="27" t="n"/>
      <c r="K32" s="18">
        <f>IF(AND(B32="",E32=""),"",IF(J32&lt;&gt;"","Arrived",IF(I32&lt;&gt;"","Packed","To pack")))</f>
        <v/>
      </c>
      <c r="L32" s="26" t="n"/>
      <c r="M32" s="1" t="n"/>
      <c r="N32">
        <f>IF(AND(H32&lt;&gt;"",B32&lt;&gt;""),B32+ROW()/10000000,"")</f>
        <v/>
      </c>
    </row>
    <row r="33">
      <c r="A33" s="1" t="n"/>
      <c r="B33" s="28" t="n">
        <v>28</v>
      </c>
      <c r="C33" s="26" t="inlineStr">
        <is>
          <t>Bathroom</t>
        </is>
      </c>
      <c r="D33" s="26" t="inlineStr">
        <is>
          <t>Bathroom</t>
        </is>
      </c>
      <c r="E33" s="26" t="inlineStr">
        <is>
          <t>Medicine box</t>
        </is>
      </c>
      <c r="F33" s="27" t="inlineStr">
        <is>
          <t>Small</t>
        </is>
      </c>
      <c r="G33" s="27" t="n"/>
      <c r="H33" s="27" t="n"/>
      <c r="I33" s="27" t="n"/>
      <c r="J33" s="27" t="n"/>
      <c r="K33" s="18">
        <f>IF(AND(B33="",E33=""),"",IF(J33&lt;&gt;"","Arrived",IF(I33&lt;&gt;"","Packed","To pack")))</f>
        <v/>
      </c>
      <c r="L33" s="26" t="n"/>
      <c r="M33" s="1" t="n"/>
      <c r="N33">
        <f>IF(AND(H33&lt;&gt;"",B33&lt;&gt;""),B33+ROW()/10000000,"")</f>
        <v/>
      </c>
    </row>
    <row r="34">
      <c r="A34" s="1" t="n"/>
      <c r="B34" s="28" t="n">
        <v>29</v>
      </c>
      <c r="C34" s="26" t="inlineStr">
        <is>
          <t>Office</t>
        </is>
      </c>
      <c r="D34" s="26" t="inlineStr">
        <is>
          <t>Study</t>
        </is>
      </c>
      <c r="E34" s="26" t="inlineStr">
        <is>
          <t>Files and papers</t>
        </is>
      </c>
      <c r="F34" s="27" t="inlineStr">
        <is>
          <t>Small</t>
        </is>
      </c>
      <c r="G34" s="27" t="n"/>
      <c r="H34" s="27" t="n"/>
      <c r="I34" s="27" t="inlineStr">
        <is>
          <t>x</t>
        </is>
      </c>
      <c r="J34" s="27" t="n"/>
      <c r="K34" s="18">
        <f>IF(AND(B34="",E34=""),"",IF(J34&lt;&gt;"","Arrived",IF(I34&lt;&gt;"","Packed","To pack")))</f>
        <v/>
      </c>
      <c r="L34" s="26" t="n"/>
      <c r="M34" s="1" t="n"/>
      <c r="N34">
        <f>IF(AND(H34&lt;&gt;"",B34&lt;&gt;""),B34+ROW()/10000000,"")</f>
        <v/>
      </c>
    </row>
    <row r="35">
      <c r="A35" s="1" t="n"/>
      <c r="B35" s="28" t="n">
        <v>30</v>
      </c>
      <c r="C35" s="26" t="inlineStr">
        <is>
          <t>Office</t>
        </is>
      </c>
      <c r="D35" s="26" t="inlineStr">
        <is>
          <t>Study</t>
        </is>
      </c>
      <c r="E35" s="26" t="inlineStr">
        <is>
          <t>Monitor</t>
        </is>
      </c>
      <c r="F35" s="27" t="inlineStr">
        <is>
          <t>Large</t>
        </is>
      </c>
      <c r="G35" s="27" t="inlineStr">
        <is>
          <t>x</t>
        </is>
      </c>
      <c r="H35" s="27" t="n"/>
      <c r="I35" s="27" t="inlineStr">
        <is>
          <t>x</t>
        </is>
      </c>
      <c r="J35" s="27" t="n"/>
      <c r="K35" s="18">
        <f>IF(AND(B35="",E35=""),"",IF(J35&lt;&gt;"","Arrived",IF(I35&lt;&gt;"","Packed","To pack")))</f>
        <v/>
      </c>
      <c r="L35" s="26" t="n"/>
      <c r="M35" s="1" t="n"/>
      <c r="N35">
        <f>IF(AND(H35&lt;&gt;"",B35&lt;&gt;""),B35+ROW()/10000000,"")</f>
        <v/>
      </c>
    </row>
    <row r="36">
      <c r="A36" s="1" t="n"/>
      <c r="B36" s="28" t="n">
        <v>31</v>
      </c>
      <c r="C36" s="26" t="inlineStr">
        <is>
          <t>Office</t>
        </is>
      </c>
      <c r="D36" s="26" t="inlineStr">
        <is>
          <t>Study</t>
        </is>
      </c>
      <c r="E36" s="26" t="inlineStr">
        <is>
          <t>Printer</t>
        </is>
      </c>
      <c r="F36" s="27" t="inlineStr">
        <is>
          <t>Medium</t>
        </is>
      </c>
      <c r="G36" s="27" t="inlineStr">
        <is>
          <t>x</t>
        </is>
      </c>
      <c r="H36" s="27" t="n"/>
      <c r="I36" s="27" t="inlineStr">
        <is>
          <t>x</t>
        </is>
      </c>
      <c r="J36" s="27" t="n"/>
      <c r="K36" s="18">
        <f>IF(AND(B36="",E36=""),"",IF(J36&lt;&gt;"","Arrived",IF(I36&lt;&gt;"","Packed","To pack")))</f>
        <v/>
      </c>
      <c r="L36" s="26" t="n"/>
      <c r="M36" s="1" t="n"/>
      <c r="N36">
        <f>IF(AND(H36&lt;&gt;"",B36&lt;&gt;""),B36+ROW()/10000000,"")</f>
        <v/>
      </c>
    </row>
    <row r="37">
      <c r="A37" s="1" t="n"/>
      <c r="B37" s="28" t="n">
        <v>32</v>
      </c>
      <c r="C37" s="26" t="inlineStr">
        <is>
          <t>Office</t>
        </is>
      </c>
      <c r="D37" s="26" t="inlineStr">
        <is>
          <t>Study</t>
        </is>
      </c>
      <c r="E37" s="26" t="inlineStr">
        <is>
          <t>Stationery</t>
        </is>
      </c>
      <c r="F37" s="27" t="inlineStr">
        <is>
          <t>Small</t>
        </is>
      </c>
      <c r="G37" s="27" t="n"/>
      <c r="H37" s="27" t="n"/>
      <c r="I37" s="27" t="inlineStr">
        <is>
          <t>x</t>
        </is>
      </c>
      <c r="J37" s="27" t="n"/>
      <c r="K37" s="18">
        <f>IF(AND(B37="",E37=""),"",IF(J37&lt;&gt;"","Arrived",IF(I37&lt;&gt;"","Packed","To pack")))</f>
        <v/>
      </c>
      <c r="L37" s="26" t="n"/>
      <c r="M37" s="1" t="n"/>
      <c r="N37">
        <f>IF(AND(H37&lt;&gt;"",B37&lt;&gt;""),B37+ROW()/10000000,"")</f>
        <v/>
      </c>
    </row>
    <row r="38">
      <c r="A38" s="1" t="n"/>
      <c r="B38" s="28" t="n">
        <v>33</v>
      </c>
      <c r="C38" s="26" t="inlineStr">
        <is>
          <t>Office</t>
        </is>
      </c>
      <c r="D38" s="26" t="inlineStr">
        <is>
          <t>Study</t>
        </is>
      </c>
      <c r="E38" s="26" t="inlineStr">
        <is>
          <t>Cables and chargers</t>
        </is>
      </c>
      <c r="F38" s="27" t="inlineStr">
        <is>
          <t>Small</t>
        </is>
      </c>
      <c r="G38" s="27" t="n"/>
      <c r="H38" s="27" t="inlineStr">
        <is>
          <t>x</t>
        </is>
      </c>
      <c r="I38" s="27" t="n"/>
      <c r="J38" s="27" t="n"/>
      <c r="K38" s="18">
        <f>IF(AND(B38="",E38=""),"",IF(J38&lt;&gt;"","Arrived",IF(I38&lt;&gt;"","Packed","To pack")))</f>
        <v/>
      </c>
      <c r="L38" s="26" t="n"/>
      <c r="M38" s="1" t="n"/>
      <c r="N38">
        <f>IF(AND(H38&lt;&gt;"",B38&lt;&gt;""),B38+ROW()/10000000,"")</f>
        <v/>
      </c>
    </row>
    <row r="39">
      <c r="A39" s="1" t="n"/>
      <c r="B39" s="28" t="n">
        <v>34</v>
      </c>
      <c r="C39" s="26" t="inlineStr">
        <is>
          <t>Hallway</t>
        </is>
      </c>
      <c r="D39" s="26" t="inlineStr">
        <is>
          <t>Hall</t>
        </is>
      </c>
      <c r="E39" s="26" t="inlineStr">
        <is>
          <t>Coats</t>
        </is>
      </c>
      <c r="F39" s="27" t="inlineStr">
        <is>
          <t>Large</t>
        </is>
      </c>
      <c r="G39" s="27" t="n"/>
      <c r="H39" s="27" t="n"/>
      <c r="I39" s="27" t="n"/>
      <c r="J39" s="27" t="n"/>
      <c r="K39" s="18">
        <f>IF(AND(B39="",E39=""),"",IF(J39&lt;&gt;"","Arrived",IF(I39&lt;&gt;"","Packed","To pack")))</f>
        <v/>
      </c>
      <c r="L39" s="26" t="n"/>
      <c r="M39" s="1" t="n"/>
      <c r="N39">
        <f>IF(AND(H39&lt;&gt;"",B39&lt;&gt;""),B39+ROW()/10000000,"")</f>
        <v/>
      </c>
    </row>
    <row r="40">
      <c r="A40" s="1" t="n"/>
      <c r="B40" s="28" t="n">
        <v>35</v>
      </c>
      <c r="C40" s="26" t="inlineStr">
        <is>
          <t>Hallway</t>
        </is>
      </c>
      <c r="D40" s="26" t="inlineStr">
        <is>
          <t>Hall</t>
        </is>
      </c>
      <c r="E40" s="26" t="inlineStr">
        <is>
          <t>Umbrellas and bags</t>
        </is>
      </c>
      <c r="F40" s="27" t="inlineStr">
        <is>
          <t>Medium</t>
        </is>
      </c>
      <c r="G40" s="27" t="n"/>
      <c r="H40" s="27" t="n"/>
      <c r="I40" s="27" t="n"/>
      <c r="J40" s="27" t="n"/>
      <c r="K40" s="18">
        <f>IF(AND(B40="",E40=""),"",IF(J40&lt;&gt;"","Arrived",IF(I40&lt;&gt;"","Packed","To pack")))</f>
        <v/>
      </c>
      <c r="L40" s="26" t="n"/>
      <c r="M40" s="1" t="n"/>
      <c r="N40">
        <f>IF(AND(H40&lt;&gt;"",B40&lt;&gt;""),B40+ROW()/10000000,"")</f>
        <v/>
      </c>
    </row>
    <row r="41">
      <c r="A41" s="1" t="n"/>
      <c r="B41" s="28" t="n">
        <v>36</v>
      </c>
      <c r="C41" s="26" t="inlineStr">
        <is>
          <t>Garage</t>
        </is>
      </c>
      <c r="D41" s="26" t="inlineStr">
        <is>
          <t>Garage</t>
        </is>
      </c>
      <c r="E41" s="26" t="inlineStr">
        <is>
          <t>Tools</t>
        </is>
      </c>
      <c r="F41" s="27" t="inlineStr">
        <is>
          <t>Medium</t>
        </is>
      </c>
      <c r="G41" s="27" t="n"/>
      <c r="H41" s="27" t="n"/>
      <c r="I41" s="27" t="inlineStr">
        <is>
          <t>x</t>
        </is>
      </c>
      <c r="J41" s="27" t="n"/>
      <c r="K41" s="18">
        <f>IF(AND(B41="",E41=""),"",IF(J41&lt;&gt;"","Arrived",IF(I41&lt;&gt;"","Packed","To pack")))</f>
        <v/>
      </c>
      <c r="L41" s="26" t="n"/>
      <c r="M41" s="1" t="n"/>
      <c r="N41">
        <f>IF(AND(H41&lt;&gt;"",B41&lt;&gt;""),B41+ROW()/10000000,"")</f>
        <v/>
      </c>
    </row>
    <row r="42">
      <c r="A42" s="1" t="n"/>
      <c r="B42" s="28" t="n">
        <v>37</v>
      </c>
      <c r="C42" s="26" t="inlineStr">
        <is>
          <t>Garage</t>
        </is>
      </c>
      <c r="D42" s="26" t="inlineStr">
        <is>
          <t>Garage</t>
        </is>
      </c>
      <c r="E42" s="26" t="inlineStr">
        <is>
          <t>Garden things</t>
        </is>
      </c>
      <c r="F42" s="27" t="inlineStr">
        <is>
          <t>Large</t>
        </is>
      </c>
      <c r="G42" s="27" t="n"/>
      <c r="H42" s="27" t="n"/>
      <c r="I42" s="27" t="inlineStr">
        <is>
          <t>x</t>
        </is>
      </c>
      <c r="J42" s="27" t="n"/>
      <c r="K42" s="18">
        <f>IF(AND(B42="",E42=""),"",IF(J42&lt;&gt;"","Arrived",IF(I42&lt;&gt;"","Packed","To pack")))</f>
        <v/>
      </c>
      <c r="L42" s="26" t="n"/>
      <c r="M42" s="1" t="n"/>
      <c r="N42">
        <f>IF(AND(H42&lt;&gt;"",B42&lt;&gt;""),B42+ROW()/10000000,"")</f>
        <v/>
      </c>
    </row>
    <row r="43">
      <c r="A43" s="1" t="n"/>
      <c r="B43" s="28" t="n">
        <v>38</v>
      </c>
      <c r="C43" s="26" t="inlineStr">
        <is>
          <t>Garage</t>
        </is>
      </c>
      <c r="D43" s="26" t="inlineStr">
        <is>
          <t>Garage</t>
        </is>
      </c>
      <c r="E43" s="26" t="inlineStr">
        <is>
          <t>Bike gear</t>
        </is>
      </c>
      <c r="F43" s="27" t="inlineStr">
        <is>
          <t>Medium</t>
        </is>
      </c>
      <c r="G43" s="27" t="n"/>
      <c r="H43" s="27" t="n"/>
      <c r="I43" s="27" t="inlineStr">
        <is>
          <t>x</t>
        </is>
      </c>
      <c r="J43" s="27" t="n"/>
      <c r="K43" s="18">
        <f>IF(AND(B43="",E43=""),"",IF(J43&lt;&gt;"","Arrived",IF(I43&lt;&gt;"","Packed","To pack")))</f>
        <v/>
      </c>
      <c r="L43" s="26" t="n"/>
      <c r="M43" s="1" t="n"/>
      <c r="N43">
        <f>IF(AND(H43&lt;&gt;"",B43&lt;&gt;""),B43+ROW()/10000000,"")</f>
        <v/>
      </c>
    </row>
    <row r="44">
      <c r="A44" s="1" t="n"/>
      <c r="B44" s="28" t="n">
        <v>39</v>
      </c>
      <c r="C44" s="26" t="inlineStr">
        <is>
          <t>Garage</t>
        </is>
      </c>
      <c r="D44" s="26" t="inlineStr">
        <is>
          <t>Garage</t>
        </is>
      </c>
      <c r="E44" s="26" t="inlineStr">
        <is>
          <t>Christmas decorations</t>
        </is>
      </c>
      <c r="F44" s="27" t="inlineStr">
        <is>
          <t>Large</t>
        </is>
      </c>
      <c r="G44" s="27" t="n"/>
      <c r="H44" s="27" t="n"/>
      <c r="I44" s="27" t="inlineStr">
        <is>
          <t>x</t>
        </is>
      </c>
      <c r="J44" s="27" t="n"/>
      <c r="K44" s="18">
        <f>IF(AND(B44="",E44=""),"",IF(J44&lt;&gt;"","Arrived",IF(I44&lt;&gt;"","Packed","To pack")))</f>
        <v/>
      </c>
      <c r="L44" s="26" t="n"/>
      <c r="M44" s="1" t="n"/>
      <c r="N44">
        <f>IF(AND(H44&lt;&gt;"",B44&lt;&gt;""),B44+ROW()/10000000,"")</f>
        <v/>
      </c>
    </row>
    <row r="45">
      <c r="A45" s="1" t="n"/>
      <c r="B45" s="28" t="n"/>
      <c r="C45" s="26" t="n"/>
      <c r="D45" s="26" t="n"/>
      <c r="E45" s="26" t="n"/>
      <c r="F45" s="27" t="n"/>
      <c r="G45" s="27" t="n"/>
      <c r="H45" s="27" t="n"/>
      <c r="I45" s="27" t="n"/>
      <c r="J45" s="27" t="n"/>
      <c r="K45" s="18">
        <f>IF(AND(B45="",E45=""),"",IF(J45&lt;&gt;"","Arrived",IF(I45&lt;&gt;"","Packed","To pack")))</f>
        <v/>
      </c>
      <c r="L45" s="26" t="n"/>
      <c r="M45" s="1" t="n"/>
      <c r="N45">
        <f>IF(AND(H45&lt;&gt;"",B45&lt;&gt;""),B45+ROW()/10000000,"")</f>
        <v/>
      </c>
    </row>
    <row r="46">
      <c r="A46" s="1" t="n"/>
      <c r="B46" s="28" t="n"/>
      <c r="C46" s="26" t="n"/>
      <c r="D46" s="26" t="n"/>
      <c r="E46" s="26" t="n"/>
      <c r="F46" s="27" t="n"/>
      <c r="G46" s="27" t="n"/>
      <c r="H46" s="27" t="n"/>
      <c r="I46" s="27" t="n"/>
      <c r="J46" s="27" t="n"/>
      <c r="K46" s="18">
        <f>IF(AND(B46="",E46=""),"",IF(J46&lt;&gt;"","Arrived",IF(I46&lt;&gt;"","Packed","To pack")))</f>
        <v/>
      </c>
      <c r="L46" s="26" t="n"/>
      <c r="M46" s="1" t="n"/>
      <c r="N46">
        <f>IF(AND(H46&lt;&gt;"",B46&lt;&gt;""),B46+ROW()/10000000,"")</f>
        <v/>
      </c>
    </row>
    <row r="47">
      <c r="A47" s="1" t="n"/>
      <c r="B47" s="28" t="n"/>
      <c r="C47" s="26" t="n"/>
      <c r="D47" s="26" t="n"/>
      <c r="E47" s="26" t="n"/>
      <c r="F47" s="27" t="n"/>
      <c r="G47" s="27" t="n"/>
      <c r="H47" s="27" t="n"/>
      <c r="I47" s="27" t="n"/>
      <c r="J47" s="27" t="n"/>
      <c r="K47" s="18">
        <f>IF(AND(B47="",E47=""),"",IF(J47&lt;&gt;"","Arrived",IF(I47&lt;&gt;"","Packed","To pack")))</f>
        <v/>
      </c>
      <c r="L47" s="26" t="n"/>
      <c r="M47" s="1" t="n"/>
      <c r="N47">
        <f>IF(AND(H47&lt;&gt;"",B47&lt;&gt;""),B47+ROW()/10000000,"")</f>
        <v/>
      </c>
    </row>
    <row r="48">
      <c r="A48" s="1" t="n"/>
      <c r="B48" s="28" t="n"/>
      <c r="C48" s="26" t="n"/>
      <c r="D48" s="26" t="n"/>
      <c r="E48" s="26" t="n"/>
      <c r="F48" s="27" t="n"/>
      <c r="G48" s="27" t="n"/>
      <c r="H48" s="27" t="n"/>
      <c r="I48" s="27" t="n"/>
      <c r="J48" s="27" t="n"/>
      <c r="K48" s="18">
        <f>IF(AND(B48="",E48=""),"",IF(J48&lt;&gt;"","Arrived",IF(I48&lt;&gt;"","Packed","To pack")))</f>
        <v/>
      </c>
      <c r="L48" s="26" t="n"/>
      <c r="M48" s="1" t="n"/>
      <c r="N48">
        <f>IF(AND(H48&lt;&gt;"",B48&lt;&gt;""),B48+ROW()/10000000,"")</f>
        <v/>
      </c>
    </row>
    <row r="49">
      <c r="A49" s="1" t="n"/>
      <c r="B49" s="28" t="n"/>
      <c r="C49" s="26" t="n"/>
      <c r="D49" s="26" t="n"/>
      <c r="E49" s="26" t="n"/>
      <c r="F49" s="27" t="n"/>
      <c r="G49" s="27" t="n"/>
      <c r="H49" s="27" t="n"/>
      <c r="I49" s="27" t="n"/>
      <c r="J49" s="27" t="n"/>
      <c r="K49" s="18">
        <f>IF(AND(B49="",E49=""),"",IF(J49&lt;&gt;"","Arrived",IF(I49&lt;&gt;"","Packed","To pack")))</f>
        <v/>
      </c>
      <c r="L49" s="26" t="n"/>
      <c r="M49" s="1" t="n"/>
      <c r="N49">
        <f>IF(AND(H49&lt;&gt;"",B49&lt;&gt;""),B49+ROW()/10000000,"")</f>
        <v/>
      </c>
    </row>
    <row r="50">
      <c r="A50" s="1" t="n"/>
      <c r="B50" s="28" t="n"/>
      <c r="C50" s="26" t="n"/>
      <c r="D50" s="26" t="n"/>
      <c r="E50" s="26" t="n"/>
      <c r="F50" s="27" t="n"/>
      <c r="G50" s="27" t="n"/>
      <c r="H50" s="27" t="n"/>
      <c r="I50" s="27" t="n"/>
      <c r="J50" s="27" t="n"/>
      <c r="K50" s="18">
        <f>IF(AND(B50="",E50=""),"",IF(J50&lt;&gt;"","Arrived",IF(I50&lt;&gt;"","Packed","To pack")))</f>
        <v/>
      </c>
      <c r="L50" s="26" t="n"/>
      <c r="M50" s="1" t="n"/>
      <c r="N50">
        <f>IF(AND(H50&lt;&gt;"",B50&lt;&gt;""),B50+ROW()/10000000,"")</f>
        <v/>
      </c>
    </row>
    <row r="51">
      <c r="A51" s="1" t="n"/>
      <c r="B51" s="28" t="n"/>
      <c r="C51" s="26" t="n"/>
      <c r="D51" s="26" t="n"/>
      <c r="E51" s="26" t="n"/>
      <c r="F51" s="27" t="n"/>
      <c r="G51" s="27" t="n"/>
      <c r="H51" s="27" t="n"/>
      <c r="I51" s="27" t="n"/>
      <c r="J51" s="27" t="n"/>
      <c r="K51" s="18">
        <f>IF(AND(B51="",E51=""),"",IF(J51&lt;&gt;"","Arrived",IF(I51&lt;&gt;"","Packed","To pack")))</f>
        <v/>
      </c>
      <c r="L51" s="26" t="n"/>
      <c r="M51" s="1" t="n"/>
      <c r="N51">
        <f>IF(AND(H51&lt;&gt;"",B51&lt;&gt;""),B51+ROW()/10000000,"")</f>
        <v/>
      </c>
    </row>
    <row r="52">
      <c r="A52" s="1" t="n"/>
      <c r="B52" s="28" t="n"/>
      <c r="C52" s="26" t="n"/>
      <c r="D52" s="26" t="n"/>
      <c r="E52" s="26" t="n"/>
      <c r="F52" s="27" t="n"/>
      <c r="G52" s="27" t="n"/>
      <c r="H52" s="27" t="n"/>
      <c r="I52" s="27" t="n"/>
      <c r="J52" s="27" t="n"/>
      <c r="K52" s="18">
        <f>IF(AND(B52="",E52=""),"",IF(J52&lt;&gt;"","Arrived",IF(I52&lt;&gt;"","Packed","To pack")))</f>
        <v/>
      </c>
      <c r="L52" s="26" t="n"/>
      <c r="M52" s="1" t="n"/>
      <c r="N52">
        <f>IF(AND(H52&lt;&gt;"",B52&lt;&gt;""),B52+ROW()/10000000,"")</f>
        <v/>
      </c>
    </row>
    <row r="53">
      <c r="A53" s="1" t="n"/>
      <c r="B53" s="28" t="n"/>
      <c r="C53" s="26" t="n"/>
      <c r="D53" s="26" t="n"/>
      <c r="E53" s="26" t="n"/>
      <c r="F53" s="27" t="n"/>
      <c r="G53" s="27" t="n"/>
      <c r="H53" s="27" t="n"/>
      <c r="I53" s="27" t="n"/>
      <c r="J53" s="27" t="n"/>
      <c r="K53" s="18">
        <f>IF(AND(B53="",E53=""),"",IF(J53&lt;&gt;"","Arrived",IF(I53&lt;&gt;"","Packed","To pack")))</f>
        <v/>
      </c>
      <c r="L53" s="26" t="n"/>
      <c r="M53" s="1" t="n"/>
      <c r="N53">
        <f>IF(AND(H53&lt;&gt;"",B53&lt;&gt;""),B53+ROW()/10000000,"")</f>
        <v/>
      </c>
    </row>
    <row r="54">
      <c r="A54" s="1" t="n"/>
      <c r="B54" s="28" t="n"/>
      <c r="C54" s="26" t="n"/>
      <c r="D54" s="26" t="n"/>
      <c r="E54" s="26" t="n"/>
      <c r="F54" s="27" t="n"/>
      <c r="G54" s="27" t="n"/>
      <c r="H54" s="27" t="n"/>
      <c r="I54" s="27" t="n"/>
      <c r="J54" s="27" t="n"/>
      <c r="K54" s="18">
        <f>IF(AND(B54="",E54=""),"",IF(J54&lt;&gt;"","Arrived",IF(I54&lt;&gt;"","Packed","To pack")))</f>
        <v/>
      </c>
      <c r="L54" s="26" t="n"/>
      <c r="M54" s="1" t="n"/>
      <c r="N54">
        <f>IF(AND(H54&lt;&gt;"",B54&lt;&gt;""),B54+ROW()/10000000,"")</f>
        <v/>
      </c>
    </row>
    <row r="55">
      <c r="A55" s="1" t="n"/>
      <c r="B55" s="28" t="n"/>
      <c r="C55" s="26" t="n"/>
      <c r="D55" s="26" t="n"/>
      <c r="E55" s="26" t="n"/>
      <c r="F55" s="27" t="n"/>
      <c r="G55" s="27" t="n"/>
      <c r="H55" s="27" t="n"/>
      <c r="I55" s="27" t="n"/>
      <c r="J55" s="27" t="n"/>
      <c r="K55" s="18">
        <f>IF(AND(B55="",E55=""),"",IF(J55&lt;&gt;"","Arrived",IF(I55&lt;&gt;"","Packed","To pack")))</f>
        <v/>
      </c>
      <c r="L55" s="26" t="n"/>
      <c r="M55" s="1" t="n"/>
      <c r="N55">
        <f>IF(AND(H55&lt;&gt;"",B55&lt;&gt;""),B55+ROW()/10000000,"")</f>
        <v/>
      </c>
    </row>
    <row r="56">
      <c r="A56" s="1" t="n"/>
      <c r="B56" s="28" t="n"/>
      <c r="C56" s="26" t="n"/>
      <c r="D56" s="26" t="n"/>
      <c r="E56" s="26" t="n"/>
      <c r="F56" s="27" t="n"/>
      <c r="G56" s="27" t="n"/>
      <c r="H56" s="27" t="n"/>
      <c r="I56" s="27" t="n"/>
      <c r="J56" s="27" t="n"/>
      <c r="K56" s="18">
        <f>IF(AND(B56="",E56=""),"",IF(J56&lt;&gt;"","Arrived",IF(I56&lt;&gt;"","Packed","To pack")))</f>
        <v/>
      </c>
      <c r="L56" s="26" t="n"/>
      <c r="M56" s="1" t="n"/>
      <c r="N56">
        <f>IF(AND(H56&lt;&gt;"",B56&lt;&gt;""),B56+ROW()/10000000,"")</f>
        <v/>
      </c>
    </row>
    <row r="57">
      <c r="A57" s="1" t="n"/>
      <c r="B57" s="28" t="n"/>
      <c r="C57" s="26" t="n"/>
      <c r="D57" s="26" t="n"/>
      <c r="E57" s="26" t="n"/>
      <c r="F57" s="27" t="n"/>
      <c r="G57" s="27" t="n"/>
      <c r="H57" s="27" t="n"/>
      <c r="I57" s="27" t="n"/>
      <c r="J57" s="27" t="n"/>
      <c r="K57" s="18">
        <f>IF(AND(B57="",E57=""),"",IF(J57&lt;&gt;"","Arrived",IF(I57&lt;&gt;"","Packed","To pack")))</f>
        <v/>
      </c>
      <c r="L57" s="26" t="n"/>
      <c r="M57" s="1" t="n"/>
      <c r="N57">
        <f>IF(AND(H57&lt;&gt;"",B57&lt;&gt;""),B57+ROW()/10000000,"")</f>
        <v/>
      </c>
    </row>
    <row r="58">
      <c r="A58" s="1" t="n"/>
      <c r="B58" s="28" t="n"/>
      <c r="C58" s="26" t="n"/>
      <c r="D58" s="26" t="n"/>
      <c r="E58" s="26" t="n"/>
      <c r="F58" s="27" t="n"/>
      <c r="G58" s="27" t="n"/>
      <c r="H58" s="27" t="n"/>
      <c r="I58" s="27" t="n"/>
      <c r="J58" s="27" t="n"/>
      <c r="K58" s="18">
        <f>IF(AND(B58="",E58=""),"",IF(J58&lt;&gt;"","Arrived",IF(I58&lt;&gt;"","Packed","To pack")))</f>
        <v/>
      </c>
      <c r="L58" s="26" t="n"/>
      <c r="M58" s="1" t="n"/>
      <c r="N58">
        <f>IF(AND(H58&lt;&gt;"",B58&lt;&gt;""),B58+ROW()/10000000,"")</f>
        <v/>
      </c>
    </row>
    <row r="59">
      <c r="A59" s="1" t="n"/>
      <c r="B59" s="28" t="n"/>
      <c r="C59" s="26" t="n"/>
      <c r="D59" s="26" t="n"/>
      <c r="E59" s="26" t="n"/>
      <c r="F59" s="27" t="n"/>
      <c r="G59" s="27" t="n"/>
      <c r="H59" s="27" t="n"/>
      <c r="I59" s="27" t="n"/>
      <c r="J59" s="27" t="n"/>
      <c r="K59" s="18">
        <f>IF(AND(B59="",E59=""),"",IF(J59&lt;&gt;"","Arrived",IF(I59&lt;&gt;"","Packed","To pack")))</f>
        <v/>
      </c>
      <c r="L59" s="26" t="n"/>
      <c r="M59" s="1" t="n"/>
      <c r="N59">
        <f>IF(AND(H59&lt;&gt;"",B59&lt;&gt;""),B59+ROW()/10000000,"")</f>
        <v/>
      </c>
    </row>
    <row r="60">
      <c r="A60" s="1" t="n"/>
      <c r="B60" s="28" t="n"/>
      <c r="C60" s="26" t="n"/>
      <c r="D60" s="26" t="n"/>
      <c r="E60" s="26" t="n"/>
      <c r="F60" s="27" t="n"/>
      <c r="G60" s="27" t="n"/>
      <c r="H60" s="27" t="n"/>
      <c r="I60" s="27" t="n"/>
      <c r="J60" s="27" t="n"/>
      <c r="K60" s="18">
        <f>IF(AND(B60="",E60=""),"",IF(J60&lt;&gt;"","Arrived",IF(I60&lt;&gt;"","Packed","To pack")))</f>
        <v/>
      </c>
      <c r="L60" s="26" t="n"/>
      <c r="M60" s="1" t="n"/>
      <c r="N60">
        <f>IF(AND(H60&lt;&gt;"",B60&lt;&gt;""),B60+ROW()/10000000,"")</f>
        <v/>
      </c>
    </row>
    <row r="61">
      <c r="A61" s="1" t="n"/>
      <c r="B61" s="28" t="n"/>
      <c r="C61" s="26" t="n"/>
      <c r="D61" s="26" t="n"/>
      <c r="E61" s="26" t="n"/>
      <c r="F61" s="27" t="n"/>
      <c r="G61" s="27" t="n"/>
      <c r="H61" s="27" t="n"/>
      <c r="I61" s="27" t="n"/>
      <c r="J61" s="27" t="n"/>
      <c r="K61" s="18">
        <f>IF(AND(B61="",E61=""),"",IF(J61&lt;&gt;"","Arrived",IF(I61&lt;&gt;"","Packed","To pack")))</f>
        <v/>
      </c>
      <c r="L61" s="26" t="n"/>
      <c r="M61" s="1" t="n"/>
      <c r="N61">
        <f>IF(AND(H61&lt;&gt;"",B61&lt;&gt;""),B61+ROW()/10000000,"")</f>
        <v/>
      </c>
    </row>
    <row r="62">
      <c r="A62" s="1" t="n"/>
      <c r="B62" s="28" t="n"/>
      <c r="C62" s="26" t="n"/>
      <c r="D62" s="26" t="n"/>
      <c r="E62" s="26" t="n"/>
      <c r="F62" s="27" t="n"/>
      <c r="G62" s="27" t="n"/>
      <c r="H62" s="27" t="n"/>
      <c r="I62" s="27" t="n"/>
      <c r="J62" s="27" t="n"/>
      <c r="K62" s="18">
        <f>IF(AND(B62="",E62=""),"",IF(J62&lt;&gt;"","Arrived",IF(I62&lt;&gt;"","Packed","To pack")))</f>
        <v/>
      </c>
      <c r="L62" s="26" t="n"/>
      <c r="M62" s="1" t="n"/>
      <c r="N62">
        <f>IF(AND(H62&lt;&gt;"",B62&lt;&gt;""),B62+ROW()/10000000,"")</f>
        <v/>
      </c>
    </row>
    <row r="63">
      <c r="A63" s="1" t="n"/>
      <c r="B63" s="28" t="n"/>
      <c r="C63" s="26" t="n"/>
      <c r="D63" s="26" t="n"/>
      <c r="E63" s="26" t="n"/>
      <c r="F63" s="27" t="n"/>
      <c r="G63" s="27" t="n"/>
      <c r="H63" s="27" t="n"/>
      <c r="I63" s="27" t="n"/>
      <c r="J63" s="27" t="n"/>
      <c r="K63" s="18">
        <f>IF(AND(B63="",E63=""),"",IF(J63&lt;&gt;"","Arrived",IF(I63&lt;&gt;"","Packed","To pack")))</f>
        <v/>
      </c>
      <c r="L63" s="26" t="n"/>
      <c r="M63" s="1" t="n"/>
      <c r="N63">
        <f>IF(AND(H63&lt;&gt;"",B63&lt;&gt;""),B63+ROW()/10000000,"")</f>
        <v/>
      </c>
    </row>
    <row r="64">
      <c r="A64" s="1" t="n"/>
      <c r="B64" s="28" t="n"/>
      <c r="C64" s="26" t="n"/>
      <c r="D64" s="26" t="n"/>
      <c r="E64" s="26" t="n"/>
      <c r="F64" s="27" t="n"/>
      <c r="G64" s="27" t="n"/>
      <c r="H64" s="27" t="n"/>
      <c r="I64" s="27" t="n"/>
      <c r="J64" s="27" t="n"/>
      <c r="K64" s="18">
        <f>IF(AND(B64="",E64=""),"",IF(J64&lt;&gt;"","Arrived",IF(I64&lt;&gt;"","Packed","To pack")))</f>
        <v/>
      </c>
      <c r="L64" s="26" t="n"/>
      <c r="M64" s="1" t="n"/>
      <c r="N64">
        <f>IF(AND(H64&lt;&gt;"",B64&lt;&gt;""),B64+ROW()/10000000,"")</f>
        <v/>
      </c>
    </row>
    <row r="65">
      <c r="A65" s="1" t="n"/>
      <c r="B65" s="28" t="n"/>
      <c r="C65" s="26" t="n"/>
      <c r="D65" s="26" t="n"/>
      <c r="E65" s="26" t="n"/>
      <c r="F65" s="27" t="n"/>
      <c r="G65" s="27" t="n"/>
      <c r="H65" s="27" t="n"/>
      <c r="I65" s="27" t="n"/>
      <c r="J65" s="27" t="n"/>
      <c r="K65" s="18">
        <f>IF(AND(B65="",E65=""),"",IF(J65&lt;&gt;"","Arrived",IF(I65&lt;&gt;"","Packed","To pack")))</f>
        <v/>
      </c>
      <c r="L65" s="26" t="n"/>
      <c r="M65" s="1" t="n"/>
      <c r="N65">
        <f>IF(AND(H65&lt;&gt;"",B65&lt;&gt;""),B65+ROW()/10000000,"")</f>
        <v/>
      </c>
    </row>
    <row r="66">
      <c r="A66" s="1" t="n"/>
      <c r="B66" s="28" t="n"/>
      <c r="C66" s="26" t="n"/>
      <c r="D66" s="26" t="n"/>
      <c r="E66" s="26" t="n"/>
      <c r="F66" s="27" t="n"/>
      <c r="G66" s="27" t="n"/>
      <c r="H66" s="27" t="n"/>
      <c r="I66" s="27" t="n"/>
      <c r="J66" s="27" t="n"/>
      <c r="K66" s="18">
        <f>IF(AND(B66="",E66=""),"",IF(J66&lt;&gt;"","Arrived",IF(I66&lt;&gt;"","Packed","To pack")))</f>
        <v/>
      </c>
      <c r="L66" s="26" t="n"/>
      <c r="M66" s="1" t="n"/>
      <c r="N66">
        <f>IF(AND(H66&lt;&gt;"",B66&lt;&gt;""),B66+ROW()/10000000,"")</f>
        <v/>
      </c>
    </row>
    <row r="67">
      <c r="A67" s="1" t="n"/>
      <c r="B67" s="28" t="n"/>
      <c r="C67" s="26" t="n"/>
      <c r="D67" s="26" t="n"/>
      <c r="E67" s="26" t="n"/>
      <c r="F67" s="27" t="n"/>
      <c r="G67" s="27" t="n"/>
      <c r="H67" s="27" t="n"/>
      <c r="I67" s="27" t="n"/>
      <c r="J67" s="27" t="n"/>
      <c r="K67" s="18">
        <f>IF(AND(B67="",E67=""),"",IF(J67&lt;&gt;"","Arrived",IF(I67&lt;&gt;"","Packed","To pack")))</f>
        <v/>
      </c>
      <c r="L67" s="26" t="n"/>
      <c r="M67" s="1" t="n"/>
      <c r="N67">
        <f>IF(AND(H67&lt;&gt;"",B67&lt;&gt;""),B67+ROW()/10000000,"")</f>
        <v/>
      </c>
    </row>
    <row r="68">
      <c r="A68" s="1" t="n"/>
      <c r="B68" s="28" t="n"/>
      <c r="C68" s="26" t="n"/>
      <c r="D68" s="26" t="n"/>
      <c r="E68" s="26" t="n"/>
      <c r="F68" s="27" t="n"/>
      <c r="G68" s="27" t="n"/>
      <c r="H68" s="27" t="n"/>
      <c r="I68" s="27" t="n"/>
      <c r="J68" s="27" t="n"/>
      <c r="K68" s="18">
        <f>IF(AND(B68="",E68=""),"",IF(J68&lt;&gt;"","Arrived",IF(I68&lt;&gt;"","Packed","To pack")))</f>
        <v/>
      </c>
      <c r="L68" s="26" t="n"/>
      <c r="M68" s="1" t="n"/>
      <c r="N68">
        <f>IF(AND(H68&lt;&gt;"",B68&lt;&gt;""),B68+ROW()/10000000,"")</f>
        <v/>
      </c>
    </row>
    <row r="69">
      <c r="A69" s="1" t="n"/>
      <c r="B69" s="28" t="n"/>
      <c r="C69" s="26" t="n"/>
      <c r="D69" s="26" t="n"/>
      <c r="E69" s="26" t="n"/>
      <c r="F69" s="27" t="n"/>
      <c r="G69" s="27" t="n"/>
      <c r="H69" s="27" t="n"/>
      <c r="I69" s="27" t="n"/>
      <c r="J69" s="27" t="n"/>
      <c r="K69" s="18">
        <f>IF(AND(B69="",E69=""),"",IF(J69&lt;&gt;"","Arrived",IF(I69&lt;&gt;"","Packed","To pack")))</f>
        <v/>
      </c>
      <c r="L69" s="26" t="n"/>
      <c r="M69" s="1" t="n"/>
      <c r="N69">
        <f>IF(AND(H69&lt;&gt;"",B69&lt;&gt;""),B69+ROW()/10000000,"")</f>
        <v/>
      </c>
    </row>
    <row r="70">
      <c r="A70" s="1" t="n"/>
      <c r="B70" s="28" t="n"/>
      <c r="C70" s="26" t="n"/>
      <c r="D70" s="26" t="n"/>
      <c r="E70" s="26" t="n"/>
      <c r="F70" s="27" t="n"/>
      <c r="G70" s="27" t="n"/>
      <c r="H70" s="27" t="n"/>
      <c r="I70" s="27" t="n"/>
      <c r="J70" s="27" t="n"/>
      <c r="K70" s="18">
        <f>IF(AND(B70="",E70=""),"",IF(J70&lt;&gt;"","Arrived",IF(I70&lt;&gt;"","Packed","To pack")))</f>
        <v/>
      </c>
      <c r="L70" s="26" t="n"/>
      <c r="M70" s="1" t="n"/>
      <c r="N70">
        <f>IF(AND(H70&lt;&gt;"",B70&lt;&gt;""),B70+ROW()/10000000,"")</f>
        <v/>
      </c>
    </row>
    <row r="71">
      <c r="A71" s="1" t="n"/>
      <c r="B71" s="28" t="n"/>
      <c r="C71" s="26" t="n"/>
      <c r="D71" s="26" t="n"/>
      <c r="E71" s="26" t="n"/>
      <c r="F71" s="27" t="n"/>
      <c r="G71" s="27" t="n"/>
      <c r="H71" s="27" t="n"/>
      <c r="I71" s="27" t="n"/>
      <c r="J71" s="27" t="n"/>
      <c r="K71" s="18">
        <f>IF(AND(B71="",E71=""),"",IF(J71&lt;&gt;"","Arrived",IF(I71&lt;&gt;"","Packed","To pack")))</f>
        <v/>
      </c>
      <c r="L71" s="26" t="n"/>
      <c r="M71" s="1" t="n"/>
      <c r="N71">
        <f>IF(AND(H71&lt;&gt;"",B71&lt;&gt;""),B71+ROW()/10000000,"")</f>
        <v/>
      </c>
    </row>
    <row r="72">
      <c r="A72" s="1" t="n"/>
      <c r="B72" s="28" t="n"/>
      <c r="C72" s="26" t="n"/>
      <c r="D72" s="26" t="n"/>
      <c r="E72" s="26" t="n"/>
      <c r="F72" s="27" t="n"/>
      <c r="G72" s="27" t="n"/>
      <c r="H72" s="27" t="n"/>
      <c r="I72" s="27" t="n"/>
      <c r="J72" s="27" t="n"/>
      <c r="K72" s="18">
        <f>IF(AND(B72="",E72=""),"",IF(J72&lt;&gt;"","Arrived",IF(I72&lt;&gt;"","Packed","To pack")))</f>
        <v/>
      </c>
      <c r="L72" s="26" t="n"/>
      <c r="M72" s="1" t="n"/>
      <c r="N72">
        <f>IF(AND(H72&lt;&gt;"",B72&lt;&gt;""),B72+ROW()/10000000,"")</f>
        <v/>
      </c>
    </row>
    <row r="73">
      <c r="A73" s="1" t="n"/>
      <c r="B73" s="28" t="n"/>
      <c r="C73" s="26" t="n"/>
      <c r="D73" s="26" t="n"/>
      <c r="E73" s="26" t="n"/>
      <c r="F73" s="27" t="n"/>
      <c r="G73" s="27" t="n"/>
      <c r="H73" s="27" t="n"/>
      <c r="I73" s="27" t="n"/>
      <c r="J73" s="27" t="n"/>
      <c r="K73" s="18">
        <f>IF(AND(B73="",E73=""),"",IF(J73&lt;&gt;"","Arrived",IF(I73&lt;&gt;"","Packed","To pack")))</f>
        <v/>
      </c>
      <c r="L73" s="26" t="n"/>
      <c r="M73" s="1" t="n"/>
      <c r="N73">
        <f>IF(AND(H73&lt;&gt;"",B73&lt;&gt;""),B73+ROW()/10000000,"")</f>
        <v/>
      </c>
    </row>
    <row r="74">
      <c r="A74" s="1" t="n"/>
      <c r="B74" s="28" t="n"/>
      <c r="C74" s="26" t="n"/>
      <c r="D74" s="26" t="n"/>
      <c r="E74" s="26" t="n"/>
      <c r="F74" s="27" t="n"/>
      <c r="G74" s="27" t="n"/>
      <c r="H74" s="27" t="n"/>
      <c r="I74" s="27" t="n"/>
      <c r="J74" s="27" t="n"/>
      <c r="K74" s="18">
        <f>IF(AND(B74="",E74=""),"",IF(J74&lt;&gt;"","Arrived",IF(I74&lt;&gt;"","Packed","To pack")))</f>
        <v/>
      </c>
      <c r="L74" s="26" t="n"/>
      <c r="M74" s="1" t="n"/>
      <c r="N74">
        <f>IF(AND(H74&lt;&gt;"",B74&lt;&gt;""),B74+ROW()/10000000,"")</f>
        <v/>
      </c>
    </row>
    <row r="75">
      <c r="A75" s="1" t="n"/>
      <c r="B75" s="28" t="n"/>
      <c r="C75" s="26" t="n"/>
      <c r="D75" s="26" t="n"/>
      <c r="E75" s="26" t="n"/>
      <c r="F75" s="27" t="n"/>
      <c r="G75" s="27" t="n"/>
      <c r="H75" s="27" t="n"/>
      <c r="I75" s="27" t="n"/>
      <c r="J75" s="27" t="n"/>
      <c r="K75" s="18">
        <f>IF(AND(B75="",E75=""),"",IF(J75&lt;&gt;"","Arrived",IF(I75&lt;&gt;"","Packed","To pack")))</f>
        <v/>
      </c>
      <c r="L75" s="26" t="n"/>
      <c r="M75" s="1" t="n"/>
      <c r="N75">
        <f>IF(AND(H75&lt;&gt;"",B75&lt;&gt;""),B75+ROW()/10000000,"")</f>
        <v/>
      </c>
    </row>
    <row r="76">
      <c r="A76" s="1" t="n"/>
      <c r="B76" s="28" t="n"/>
      <c r="C76" s="26" t="n"/>
      <c r="D76" s="26" t="n"/>
      <c r="E76" s="26" t="n"/>
      <c r="F76" s="27" t="n"/>
      <c r="G76" s="27" t="n"/>
      <c r="H76" s="27" t="n"/>
      <c r="I76" s="27" t="n"/>
      <c r="J76" s="27" t="n"/>
      <c r="K76" s="18">
        <f>IF(AND(B76="",E76=""),"",IF(J76&lt;&gt;"","Arrived",IF(I76&lt;&gt;"","Packed","To pack")))</f>
        <v/>
      </c>
      <c r="L76" s="26" t="n"/>
      <c r="M76" s="1" t="n"/>
      <c r="N76">
        <f>IF(AND(H76&lt;&gt;"",B76&lt;&gt;""),B76+ROW()/10000000,"")</f>
        <v/>
      </c>
    </row>
    <row r="77">
      <c r="A77" s="1" t="n"/>
      <c r="B77" s="28" t="n"/>
      <c r="C77" s="26" t="n"/>
      <c r="D77" s="26" t="n"/>
      <c r="E77" s="26" t="n"/>
      <c r="F77" s="27" t="n"/>
      <c r="G77" s="27" t="n"/>
      <c r="H77" s="27" t="n"/>
      <c r="I77" s="27" t="n"/>
      <c r="J77" s="27" t="n"/>
      <c r="K77" s="18">
        <f>IF(AND(B77="",E77=""),"",IF(J77&lt;&gt;"","Arrived",IF(I77&lt;&gt;"","Packed","To pack")))</f>
        <v/>
      </c>
      <c r="L77" s="26" t="n"/>
      <c r="M77" s="1" t="n"/>
      <c r="N77">
        <f>IF(AND(H77&lt;&gt;"",B77&lt;&gt;""),B77+ROW()/10000000,"")</f>
        <v/>
      </c>
    </row>
    <row r="78">
      <c r="A78" s="1" t="n"/>
      <c r="B78" s="28" t="n"/>
      <c r="C78" s="26" t="n"/>
      <c r="D78" s="26" t="n"/>
      <c r="E78" s="26" t="n"/>
      <c r="F78" s="27" t="n"/>
      <c r="G78" s="27" t="n"/>
      <c r="H78" s="27" t="n"/>
      <c r="I78" s="27" t="n"/>
      <c r="J78" s="27" t="n"/>
      <c r="K78" s="18">
        <f>IF(AND(B78="",E78=""),"",IF(J78&lt;&gt;"","Arrived",IF(I78&lt;&gt;"","Packed","To pack")))</f>
        <v/>
      </c>
      <c r="L78" s="26" t="n"/>
      <c r="M78" s="1" t="n"/>
      <c r="N78">
        <f>IF(AND(H78&lt;&gt;"",B78&lt;&gt;""),B78+ROW()/10000000,"")</f>
        <v/>
      </c>
    </row>
    <row r="79">
      <c r="A79" s="1" t="n"/>
      <c r="B79" s="28" t="n"/>
      <c r="C79" s="26" t="n"/>
      <c r="D79" s="26" t="n"/>
      <c r="E79" s="26" t="n"/>
      <c r="F79" s="27" t="n"/>
      <c r="G79" s="27" t="n"/>
      <c r="H79" s="27" t="n"/>
      <c r="I79" s="27" t="n"/>
      <c r="J79" s="27" t="n"/>
      <c r="K79" s="18">
        <f>IF(AND(B79="",E79=""),"",IF(J79&lt;&gt;"","Arrived",IF(I79&lt;&gt;"","Packed","To pack")))</f>
        <v/>
      </c>
      <c r="L79" s="26" t="n"/>
      <c r="M79" s="1" t="n"/>
      <c r="N79">
        <f>IF(AND(H79&lt;&gt;"",B79&lt;&gt;""),B79+ROW()/10000000,"")</f>
        <v/>
      </c>
    </row>
    <row r="80">
      <c r="A80" s="1" t="n"/>
      <c r="B80" s="28" t="n"/>
      <c r="C80" s="26" t="n"/>
      <c r="D80" s="26" t="n"/>
      <c r="E80" s="26" t="n"/>
      <c r="F80" s="27" t="n"/>
      <c r="G80" s="27" t="n"/>
      <c r="H80" s="27" t="n"/>
      <c r="I80" s="27" t="n"/>
      <c r="J80" s="27" t="n"/>
      <c r="K80" s="18">
        <f>IF(AND(B80="",E80=""),"",IF(J80&lt;&gt;"","Arrived",IF(I80&lt;&gt;"","Packed","To pack")))</f>
        <v/>
      </c>
      <c r="L80" s="26" t="n"/>
      <c r="M80" s="1" t="n"/>
      <c r="N80">
        <f>IF(AND(H80&lt;&gt;"",B80&lt;&gt;""),B80+ROW()/10000000,"")</f>
        <v/>
      </c>
    </row>
    <row r="81">
      <c r="A81" s="1" t="n"/>
      <c r="B81" s="28" t="n"/>
      <c r="C81" s="26" t="n"/>
      <c r="D81" s="26" t="n"/>
      <c r="E81" s="26" t="n"/>
      <c r="F81" s="27" t="n"/>
      <c r="G81" s="27" t="n"/>
      <c r="H81" s="27" t="n"/>
      <c r="I81" s="27" t="n"/>
      <c r="J81" s="27" t="n"/>
      <c r="K81" s="18">
        <f>IF(AND(B81="",E81=""),"",IF(J81&lt;&gt;"","Arrived",IF(I81&lt;&gt;"","Packed","To pack")))</f>
        <v/>
      </c>
      <c r="L81" s="26" t="n"/>
      <c r="M81" s="1" t="n"/>
      <c r="N81">
        <f>IF(AND(H81&lt;&gt;"",B81&lt;&gt;""),B81+ROW()/10000000,"")</f>
        <v/>
      </c>
    </row>
    <row r="82">
      <c r="A82" s="1" t="n"/>
      <c r="B82" s="28" t="n"/>
      <c r="C82" s="26" t="n"/>
      <c r="D82" s="26" t="n"/>
      <c r="E82" s="26" t="n"/>
      <c r="F82" s="27" t="n"/>
      <c r="G82" s="27" t="n"/>
      <c r="H82" s="27" t="n"/>
      <c r="I82" s="27" t="n"/>
      <c r="J82" s="27" t="n"/>
      <c r="K82" s="18">
        <f>IF(AND(B82="",E82=""),"",IF(J82&lt;&gt;"","Arrived",IF(I82&lt;&gt;"","Packed","To pack")))</f>
        <v/>
      </c>
      <c r="L82" s="26" t="n"/>
      <c r="M82" s="1" t="n"/>
      <c r="N82">
        <f>IF(AND(H82&lt;&gt;"",B82&lt;&gt;""),B82+ROW()/10000000,"")</f>
        <v/>
      </c>
    </row>
    <row r="83">
      <c r="A83" s="1" t="n"/>
      <c r="B83" s="28" t="n"/>
      <c r="C83" s="26" t="n"/>
      <c r="D83" s="26" t="n"/>
      <c r="E83" s="26" t="n"/>
      <c r="F83" s="27" t="n"/>
      <c r="G83" s="27" t="n"/>
      <c r="H83" s="27" t="n"/>
      <c r="I83" s="27" t="n"/>
      <c r="J83" s="27" t="n"/>
      <c r="K83" s="18">
        <f>IF(AND(B83="",E83=""),"",IF(J83&lt;&gt;"","Arrived",IF(I83&lt;&gt;"","Packed","To pack")))</f>
        <v/>
      </c>
      <c r="L83" s="26" t="n"/>
      <c r="M83" s="1" t="n"/>
      <c r="N83">
        <f>IF(AND(H83&lt;&gt;"",B83&lt;&gt;""),B83+ROW()/10000000,"")</f>
        <v/>
      </c>
    </row>
    <row r="84">
      <c r="A84" s="1" t="n"/>
      <c r="B84" s="28" t="n"/>
      <c r="C84" s="26" t="n"/>
      <c r="D84" s="26" t="n"/>
      <c r="E84" s="26" t="n"/>
      <c r="F84" s="27" t="n"/>
      <c r="G84" s="27" t="n"/>
      <c r="H84" s="27" t="n"/>
      <c r="I84" s="27" t="n"/>
      <c r="J84" s="27" t="n"/>
      <c r="K84" s="18">
        <f>IF(AND(B84="",E84=""),"",IF(J84&lt;&gt;"","Arrived",IF(I84&lt;&gt;"","Packed","To pack")))</f>
        <v/>
      </c>
      <c r="L84" s="26" t="n"/>
      <c r="M84" s="1" t="n"/>
      <c r="N84">
        <f>IF(AND(H84&lt;&gt;"",B84&lt;&gt;""),B84+ROW()/10000000,"")</f>
        <v/>
      </c>
    </row>
    <row r="85">
      <c r="A85" s="1" t="n"/>
      <c r="B85" s="28" t="n"/>
      <c r="C85" s="26" t="n"/>
      <c r="D85" s="26" t="n"/>
      <c r="E85" s="26" t="n"/>
      <c r="F85" s="27" t="n"/>
      <c r="G85" s="27" t="n"/>
      <c r="H85" s="27" t="n"/>
      <c r="I85" s="27" t="n"/>
      <c r="J85" s="27" t="n"/>
      <c r="K85" s="18">
        <f>IF(AND(B85="",E85=""),"",IF(J85&lt;&gt;"","Arrived",IF(I85&lt;&gt;"","Packed","To pack")))</f>
        <v/>
      </c>
      <c r="L85" s="26" t="n"/>
      <c r="M85" s="1" t="n"/>
      <c r="N85">
        <f>IF(AND(H85&lt;&gt;"",B85&lt;&gt;""),B85+ROW()/10000000,"")</f>
        <v/>
      </c>
    </row>
    <row r="86">
      <c r="A86" s="1" t="n"/>
      <c r="B86" s="28" t="n"/>
      <c r="C86" s="26" t="n"/>
      <c r="D86" s="26" t="n"/>
      <c r="E86" s="26" t="n"/>
      <c r="F86" s="27" t="n"/>
      <c r="G86" s="27" t="n"/>
      <c r="H86" s="27" t="n"/>
      <c r="I86" s="27" t="n"/>
      <c r="J86" s="27" t="n"/>
      <c r="K86" s="18">
        <f>IF(AND(B86="",E86=""),"",IF(J86&lt;&gt;"","Arrived",IF(I86&lt;&gt;"","Packed","To pack")))</f>
        <v/>
      </c>
      <c r="L86" s="26" t="n"/>
      <c r="M86" s="1" t="n"/>
      <c r="N86">
        <f>IF(AND(H86&lt;&gt;"",B86&lt;&gt;""),B86+ROW()/10000000,"")</f>
        <v/>
      </c>
    </row>
    <row r="87">
      <c r="A87" s="1" t="n"/>
      <c r="B87" s="28" t="n"/>
      <c r="C87" s="26" t="n"/>
      <c r="D87" s="26" t="n"/>
      <c r="E87" s="26" t="n"/>
      <c r="F87" s="27" t="n"/>
      <c r="G87" s="27" t="n"/>
      <c r="H87" s="27" t="n"/>
      <c r="I87" s="27" t="n"/>
      <c r="J87" s="27" t="n"/>
      <c r="K87" s="18">
        <f>IF(AND(B87="",E87=""),"",IF(J87&lt;&gt;"","Arrived",IF(I87&lt;&gt;"","Packed","To pack")))</f>
        <v/>
      </c>
      <c r="L87" s="26" t="n"/>
      <c r="M87" s="1" t="n"/>
      <c r="N87">
        <f>IF(AND(H87&lt;&gt;"",B87&lt;&gt;""),B87+ROW()/10000000,"")</f>
        <v/>
      </c>
    </row>
    <row r="88">
      <c r="A88" s="1" t="n"/>
      <c r="B88" s="28" t="n"/>
      <c r="C88" s="26" t="n"/>
      <c r="D88" s="26" t="n"/>
      <c r="E88" s="26" t="n"/>
      <c r="F88" s="27" t="n"/>
      <c r="G88" s="27" t="n"/>
      <c r="H88" s="27" t="n"/>
      <c r="I88" s="27" t="n"/>
      <c r="J88" s="27" t="n"/>
      <c r="K88" s="18">
        <f>IF(AND(B88="",E88=""),"",IF(J88&lt;&gt;"","Arrived",IF(I88&lt;&gt;"","Packed","To pack")))</f>
        <v/>
      </c>
      <c r="L88" s="26" t="n"/>
      <c r="M88" s="1" t="n"/>
      <c r="N88">
        <f>IF(AND(H88&lt;&gt;"",B88&lt;&gt;""),B88+ROW()/10000000,"")</f>
        <v/>
      </c>
    </row>
    <row r="89">
      <c r="A89" s="1" t="n"/>
      <c r="B89" s="28" t="n"/>
      <c r="C89" s="26" t="n"/>
      <c r="D89" s="26" t="n"/>
      <c r="E89" s="26" t="n"/>
      <c r="F89" s="27" t="n"/>
      <c r="G89" s="27" t="n"/>
      <c r="H89" s="27" t="n"/>
      <c r="I89" s="27" t="n"/>
      <c r="J89" s="27" t="n"/>
      <c r="K89" s="18">
        <f>IF(AND(B89="",E89=""),"",IF(J89&lt;&gt;"","Arrived",IF(I89&lt;&gt;"","Packed","To pack")))</f>
        <v/>
      </c>
      <c r="L89" s="26" t="n"/>
      <c r="M89" s="1" t="n"/>
      <c r="N89">
        <f>IF(AND(H89&lt;&gt;"",B89&lt;&gt;""),B89+ROW()/10000000,"")</f>
        <v/>
      </c>
    </row>
    <row r="90">
      <c r="A90" s="1" t="n"/>
      <c r="B90" s="28" t="n"/>
      <c r="C90" s="26" t="n"/>
      <c r="D90" s="26" t="n"/>
      <c r="E90" s="26" t="n"/>
      <c r="F90" s="27" t="n"/>
      <c r="G90" s="27" t="n"/>
      <c r="H90" s="27" t="n"/>
      <c r="I90" s="27" t="n"/>
      <c r="J90" s="27" t="n"/>
      <c r="K90" s="18">
        <f>IF(AND(B90="",E90=""),"",IF(J90&lt;&gt;"","Arrived",IF(I90&lt;&gt;"","Packed","To pack")))</f>
        <v/>
      </c>
      <c r="L90" s="26" t="n"/>
      <c r="M90" s="1" t="n"/>
      <c r="N90">
        <f>IF(AND(H90&lt;&gt;"",B90&lt;&gt;""),B90+ROW()/10000000,"")</f>
        <v/>
      </c>
    </row>
    <row r="91">
      <c r="A91" s="1" t="n"/>
      <c r="B91" s="28" t="n"/>
      <c r="C91" s="26" t="n"/>
      <c r="D91" s="26" t="n"/>
      <c r="E91" s="26" t="n"/>
      <c r="F91" s="27" t="n"/>
      <c r="G91" s="27" t="n"/>
      <c r="H91" s="27" t="n"/>
      <c r="I91" s="27" t="n"/>
      <c r="J91" s="27" t="n"/>
      <c r="K91" s="18">
        <f>IF(AND(B91="",E91=""),"",IF(J91&lt;&gt;"","Arrived",IF(I91&lt;&gt;"","Packed","To pack")))</f>
        <v/>
      </c>
      <c r="L91" s="26" t="n"/>
      <c r="M91" s="1" t="n"/>
      <c r="N91">
        <f>IF(AND(H91&lt;&gt;"",B91&lt;&gt;""),B91+ROW()/10000000,"")</f>
        <v/>
      </c>
    </row>
    <row r="92">
      <c r="A92" s="1" t="n"/>
      <c r="B92" s="28" t="n"/>
      <c r="C92" s="26" t="n"/>
      <c r="D92" s="26" t="n"/>
      <c r="E92" s="26" t="n"/>
      <c r="F92" s="27" t="n"/>
      <c r="G92" s="27" t="n"/>
      <c r="H92" s="27" t="n"/>
      <c r="I92" s="27" t="n"/>
      <c r="J92" s="27" t="n"/>
      <c r="K92" s="18">
        <f>IF(AND(B92="",E92=""),"",IF(J92&lt;&gt;"","Arrived",IF(I92&lt;&gt;"","Packed","To pack")))</f>
        <v/>
      </c>
      <c r="L92" s="26" t="n"/>
      <c r="M92" s="1" t="n"/>
      <c r="N92">
        <f>IF(AND(H92&lt;&gt;"",B92&lt;&gt;""),B92+ROW()/10000000,"")</f>
        <v/>
      </c>
    </row>
    <row r="93">
      <c r="A93" s="1" t="n"/>
      <c r="B93" s="28" t="n"/>
      <c r="C93" s="26" t="n"/>
      <c r="D93" s="26" t="n"/>
      <c r="E93" s="26" t="n"/>
      <c r="F93" s="27" t="n"/>
      <c r="G93" s="27" t="n"/>
      <c r="H93" s="27" t="n"/>
      <c r="I93" s="27" t="n"/>
      <c r="J93" s="27" t="n"/>
      <c r="K93" s="18">
        <f>IF(AND(B93="",E93=""),"",IF(J93&lt;&gt;"","Arrived",IF(I93&lt;&gt;"","Packed","To pack")))</f>
        <v/>
      </c>
      <c r="L93" s="26" t="n"/>
      <c r="M93" s="1" t="n"/>
      <c r="N93">
        <f>IF(AND(H93&lt;&gt;"",B93&lt;&gt;""),B93+ROW()/10000000,"")</f>
        <v/>
      </c>
    </row>
    <row r="94">
      <c r="A94" s="1" t="n"/>
      <c r="B94" s="28" t="n"/>
      <c r="C94" s="26" t="n"/>
      <c r="D94" s="26" t="n"/>
      <c r="E94" s="26" t="n"/>
      <c r="F94" s="27" t="n"/>
      <c r="G94" s="27" t="n"/>
      <c r="H94" s="27" t="n"/>
      <c r="I94" s="27" t="n"/>
      <c r="J94" s="27" t="n"/>
      <c r="K94" s="18">
        <f>IF(AND(B94="",E94=""),"",IF(J94&lt;&gt;"","Arrived",IF(I94&lt;&gt;"","Packed","To pack")))</f>
        <v/>
      </c>
      <c r="L94" s="26" t="n"/>
      <c r="M94" s="1" t="n"/>
      <c r="N94">
        <f>IF(AND(H94&lt;&gt;"",B94&lt;&gt;""),B94+ROW()/10000000,"")</f>
        <v/>
      </c>
    </row>
    <row r="95">
      <c r="A95" s="1" t="n"/>
      <c r="B95" s="28" t="n"/>
      <c r="C95" s="26" t="n"/>
      <c r="D95" s="26" t="n"/>
      <c r="E95" s="26" t="n"/>
      <c r="F95" s="27" t="n"/>
      <c r="G95" s="27" t="n"/>
      <c r="H95" s="27" t="n"/>
      <c r="I95" s="27" t="n"/>
      <c r="J95" s="27" t="n"/>
      <c r="K95" s="18">
        <f>IF(AND(B95="",E95=""),"",IF(J95&lt;&gt;"","Arrived",IF(I95&lt;&gt;"","Packed","To pack")))</f>
        <v/>
      </c>
      <c r="L95" s="26" t="n"/>
      <c r="M95" s="1" t="n"/>
      <c r="N95">
        <f>IF(AND(H95&lt;&gt;"",B95&lt;&gt;""),B95+ROW()/10000000,"")</f>
        <v/>
      </c>
    </row>
    <row r="96">
      <c r="A96" s="1" t="n"/>
      <c r="B96" s="28" t="n"/>
      <c r="C96" s="26" t="n"/>
      <c r="D96" s="26" t="n"/>
      <c r="E96" s="26" t="n"/>
      <c r="F96" s="27" t="n"/>
      <c r="G96" s="27" t="n"/>
      <c r="H96" s="27" t="n"/>
      <c r="I96" s="27" t="n"/>
      <c r="J96" s="27" t="n"/>
      <c r="K96" s="18">
        <f>IF(AND(B96="",E96=""),"",IF(J96&lt;&gt;"","Arrived",IF(I96&lt;&gt;"","Packed","To pack")))</f>
        <v/>
      </c>
      <c r="L96" s="26" t="n"/>
      <c r="M96" s="1" t="n"/>
      <c r="N96">
        <f>IF(AND(H96&lt;&gt;"",B96&lt;&gt;""),B96+ROW()/10000000,"")</f>
        <v/>
      </c>
    </row>
    <row r="97">
      <c r="A97" s="1" t="n"/>
      <c r="B97" s="28" t="n"/>
      <c r="C97" s="26" t="n"/>
      <c r="D97" s="26" t="n"/>
      <c r="E97" s="26" t="n"/>
      <c r="F97" s="27" t="n"/>
      <c r="G97" s="27" t="n"/>
      <c r="H97" s="27" t="n"/>
      <c r="I97" s="27" t="n"/>
      <c r="J97" s="27" t="n"/>
      <c r="K97" s="18">
        <f>IF(AND(B97="",E97=""),"",IF(J97&lt;&gt;"","Arrived",IF(I97&lt;&gt;"","Packed","To pack")))</f>
        <v/>
      </c>
      <c r="L97" s="26" t="n"/>
      <c r="M97" s="1" t="n"/>
      <c r="N97">
        <f>IF(AND(H97&lt;&gt;"",B97&lt;&gt;""),B97+ROW()/10000000,"")</f>
        <v/>
      </c>
    </row>
    <row r="98">
      <c r="A98" s="1" t="n"/>
      <c r="B98" s="28" t="n"/>
      <c r="C98" s="26" t="n"/>
      <c r="D98" s="26" t="n"/>
      <c r="E98" s="26" t="n"/>
      <c r="F98" s="27" t="n"/>
      <c r="G98" s="27" t="n"/>
      <c r="H98" s="27" t="n"/>
      <c r="I98" s="27" t="n"/>
      <c r="J98" s="27" t="n"/>
      <c r="K98" s="18">
        <f>IF(AND(B98="",E98=""),"",IF(J98&lt;&gt;"","Arrived",IF(I98&lt;&gt;"","Packed","To pack")))</f>
        <v/>
      </c>
      <c r="L98" s="26" t="n"/>
      <c r="M98" s="1" t="n"/>
      <c r="N98">
        <f>IF(AND(H98&lt;&gt;"",B98&lt;&gt;""),B98+ROW()/10000000,"")</f>
        <v/>
      </c>
    </row>
    <row r="99">
      <c r="A99" s="1" t="n"/>
      <c r="B99" s="28" t="n"/>
      <c r="C99" s="26" t="n"/>
      <c r="D99" s="26" t="n"/>
      <c r="E99" s="26" t="n"/>
      <c r="F99" s="27" t="n"/>
      <c r="G99" s="27" t="n"/>
      <c r="H99" s="27" t="n"/>
      <c r="I99" s="27" t="n"/>
      <c r="J99" s="27" t="n"/>
      <c r="K99" s="18">
        <f>IF(AND(B99="",E99=""),"",IF(J99&lt;&gt;"","Arrived",IF(I99&lt;&gt;"","Packed","To pack")))</f>
        <v/>
      </c>
      <c r="L99" s="26" t="n"/>
      <c r="M99" s="1" t="n"/>
      <c r="N99">
        <f>IF(AND(H99&lt;&gt;"",B99&lt;&gt;""),B99+ROW()/10000000,"")</f>
        <v/>
      </c>
    </row>
    <row r="100">
      <c r="A100" s="1" t="n"/>
      <c r="B100" s="28" t="n"/>
      <c r="C100" s="26" t="n"/>
      <c r="D100" s="26" t="n"/>
      <c r="E100" s="26" t="n"/>
      <c r="F100" s="27" t="n"/>
      <c r="G100" s="27" t="n"/>
      <c r="H100" s="27" t="n"/>
      <c r="I100" s="27" t="n"/>
      <c r="J100" s="27" t="n"/>
      <c r="K100" s="18">
        <f>IF(AND(B100="",E100=""),"",IF(J100&lt;&gt;"","Arrived",IF(I100&lt;&gt;"","Packed","To pack")))</f>
        <v/>
      </c>
      <c r="L100" s="26" t="n"/>
      <c r="M100" s="1" t="n"/>
      <c r="N100">
        <f>IF(AND(H100&lt;&gt;"",B100&lt;&gt;""),B100+ROW()/10000000,"")</f>
        <v/>
      </c>
    </row>
    <row r="101">
      <c r="A101" s="1" t="n"/>
      <c r="B101" s="28" t="n"/>
      <c r="C101" s="26" t="n"/>
      <c r="D101" s="26" t="n"/>
      <c r="E101" s="26" t="n"/>
      <c r="F101" s="27" t="n"/>
      <c r="G101" s="27" t="n"/>
      <c r="H101" s="27" t="n"/>
      <c r="I101" s="27" t="n"/>
      <c r="J101" s="27" t="n"/>
      <c r="K101" s="18">
        <f>IF(AND(B101="",E101=""),"",IF(J101&lt;&gt;"","Arrived",IF(I101&lt;&gt;"","Packed","To pack")))</f>
        <v/>
      </c>
      <c r="L101" s="26" t="n"/>
      <c r="M101" s="1" t="n"/>
      <c r="N101">
        <f>IF(AND(H101&lt;&gt;"",B101&lt;&gt;""),B101+ROW()/10000000,"")</f>
        <v/>
      </c>
    </row>
    <row r="102">
      <c r="A102" s="1" t="n"/>
      <c r="B102" s="28" t="n"/>
      <c r="C102" s="26" t="n"/>
      <c r="D102" s="26" t="n"/>
      <c r="E102" s="26" t="n"/>
      <c r="F102" s="27" t="n"/>
      <c r="G102" s="27" t="n"/>
      <c r="H102" s="27" t="n"/>
      <c r="I102" s="27" t="n"/>
      <c r="J102" s="27" t="n"/>
      <c r="K102" s="18">
        <f>IF(AND(B102="",E102=""),"",IF(J102&lt;&gt;"","Arrived",IF(I102&lt;&gt;"","Packed","To pack")))</f>
        <v/>
      </c>
      <c r="L102" s="26" t="n"/>
      <c r="M102" s="1" t="n"/>
      <c r="N102">
        <f>IF(AND(H102&lt;&gt;"",B102&lt;&gt;""),B102+ROW()/10000000,"")</f>
        <v/>
      </c>
    </row>
    <row r="103">
      <c r="A103" s="1" t="n"/>
      <c r="B103" s="28" t="n"/>
      <c r="C103" s="26" t="n"/>
      <c r="D103" s="26" t="n"/>
      <c r="E103" s="26" t="n"/>
      <c r="F103" s="27" t="n"/>
      <c r="G103" s="27" t="n"/>
      <c r="H103" s="27" t="n"/>
      <c r="I103" s="27" t="n"/>
      <c r="J103" s="27" t="n"/>
      <c r="K103" s="18">
        <f>IF(AND(B103="",E103=""),"",IF(J103&lt;&gt;"","Arrived",IF(I103&lt;&gt;"","Packed","To pack")))</f>
        <v/>
      </c>
      <c r="L103" s="26" t="n"/>
      <c r="M103" s="1" t="n"/>
      <c r="N103">
        <f>IF(AND(H103&lt;&gt;"",B103&lt;&gt;""),B103+ROW()/10000000,"")</f>
        <v/>
      </c>
    </row>
    <row r="104">
      <c r="A104" s="1" t="n"/>
      <c r="B104" s="28" t="n"/>
      <c r="C104" s="26" t="n"/>
      <c r="D104" s="26" t="n"/>
      <c r="E104" s="26" t="n"/>
      <c r="F104" s="27" t="n"/>
      <c r="G104" s="27" t="n"/>
      <c r="H104" s="27" t="n"/>
      <c r="I104" s="27" t="n"/>
      <c r="J104" s="27" t="n"/>
      <c r="K104" s="18">
        <f>IF(AND(B104="",E104=""),"",IF(J104&lt;&gt;"","Arrived",IF(I104&lt;&gt;"","Packed","To pack")))</f>
        <v/>
      </c>
      <c r="L104" s="26" t="n"/>
      <c r="M104" s="1" t="n"/>
      <c r="N104">
        <f>IF(AND(H104&lt;&gt;"",B104&lt;&gt;""),B104+ROW()/10000000,"")</f>
        <v/>
      </c>
    </row>
    <row r="105">
      <c r="A105" s="1" t="n"/>
      <c r="B105" s="28" t="n"/>
      <c r="C105" s="26" t="n"/>
      <c r="D105" s="26" t="n"/>
      <c r="E105" s="26" t="n"/>
      <c r="F105" s="27" t="n"/>
      <c r="G105" s="27" t="n"/>
      <c r="H105" s="27" t="n"/>
      <c r="I105" s="27" t="n"/>
      <c r="J105" s="27" t="n"/>
      <c r="K105" s="18">
        <f>IF(AND(B105="",E105=""),"",IF(J105&lt;&gt;"","Arrived",IF(I105&lt;&gt;"","Packed","To pack")))</f>
        <v/>
      </c>
      <c r="L105" s="26" t="n"/>
      <c r="M105" s="1" t="n"/>
      <c r="N105">
        <f>IF(AND(H105&lt;&gt;"",B105&lt;&gt;""),B105+ROW()/10000000,"")</f>
        <v/>
      </c>
    </row>
    <row r="106">
      <c r="A106" s="1" t="n"/>
      <c r="B106" s="28" t="n"/>
      <c r="C106" s="26" t="n"/>
      <c r="D106" s="26" t="n"/>
      <c r="E106" s="26" t="n"/>
      <c r="F106" s="27" t="n"/>
      <c r="G106" s="27" t="n"/>
      <c r="H106" s="27" t="n"/>
      <c r="I106" s="27" t="n"/>
      <c r="J106" s="27" t="n"/>
      <c r="K106" s="18">
        <f>IF(AND(B106="",E106=""),"",IF(J106&lt;&gt;"","Arrived",IF(I106&lt;&gt;"","Packed","To pack")))</f>
        <v/>
      </c>
      <c r="L106" s="26" t="n"/>
      <c r="M106" s="1" t="n"/>
      <c r="N106">
        <f>IF(AND(H106&lt;&gt;"",B106&lt;&gt;""),B106+ROW()/10000000,"")</f>
        <v/>
      </c>
    </row>
    <row r="107">
      <c r="A107" s="1" t="n"/>
      <c r="B107" s="28" t="n"/>
      <c r="C107" s="26" t="n"/>
      <c r="D107" s="26" t="n"/>
      <c r="E107" s="26" t="n"/>
      <c r="F107" s="27" t="n"/>
      <c r="G107" s="27" t="n"/>
      <c r="H107" s="27" t="n"/>
      <c r="I107" s="27" t="n"/>
      <c r="J107" s="27" t="n"/>
      <c r="K107" s="18">
        <f>IF(AND(B107="",E107=""),"",IF(J107&lt;&gt;"","Arrived",IF(I107&lt;&gt;"","Packed","To pack")))</f>
        <v/>
      </c>
      <c r="L107" s="26" t="n"/>
      <c r="M107" s="1" t="n"/>
      <c r="N107">
        <f>IF(AND(H107&lt;&gt;"",B107&lt;&gt;""),B107+ROW()/10000000,"")</f>
        <v/>
      </c>
    </row>
    <row r="108">
      <c r="A108" s="1" t="n"/>
      <c r="B108" s="28" t="n"/>
      <c r="C108" s="26" t="n"/>
      <c r="D108" s="26" t="n"/>
      <c r="E108" s="26" t="n"/>
      <c r="F108" s="27" t="n"/>
      <c r="G108" s="27" t="n"/>
      <c r="H108" s="27" t="n"/>
      <c r="I108" s="27" t="n"/>
      <c r="J108" s="27" t="n"/>
      <c r="K108" s="18">
        <f>IF(AND(B108="",E108=""),"",IF(J108&lt;&gt;"","Arrived",IF(I108&lt;&gt;"","Packed","To pack")))</f>
        <v/>
      </c>
      <c r="L108" s="26" t="n"/>
      <c r="M108" s="1" t="n"/>
      <c r="N108">
        <f>IF(AND(H108&lt;&gt;"",B108&lt;&gt;""),B108+ROW()/10000000,"")</f>
        <v/>
      </c>
    </row>
    <row r="109">
      <c r="A109" s="1" t="n"/>
      <c r="B109" s="28" t="n"/>
      <c r="C109" s="26" t="n"/>
      <c r="D109" s="26" t="n"/>
      <c r="E109" s="26" t="n"/>
      <c r="F109" s="27" t="n"/>
      <c r="G109" s="27" t="n"/>
      <c r="H109" s="27" t="n"/>
      <c r="I109" s="27" t="n"/>
      <c r="J109" s="27" t="n"/>
      <c r="K109" s="18">
        <f>IF(AND(B109="",E109=""),"",IF(J109&lt;&gt;"","Arrived",IF(I109&lt;&gt;"","Packed","To pack")))</f>
        <v/>
      </c>
      <c r="L109" s="26" t="n"/>
      <c r="M109" s="1" t="n"/>
      <c r="N109">
        <f>IF(AND(H109&lt;&gt;"",B109&lt;&gt;""),B109+ROW()/10000000,"")</f>
        <v/>
      </c>
    </row>
    <row r="110">
      <c r="A110" s="1" t="n"/>
      <c r="B110" s="28" t="n"/>
      <c r="C110" s="26" t="n"/>
      <c r="D110" s="26" t="n"/>
      <c r="E110" s="26" t="n"/>
      <c r="F110" s="27" t="n"/>
      <c r="G110" s="27" t="n"/>
      <c r="H110" s="27" t="n"/>
      <c r="I110" s="27" t="n"/>
      <c r="J110" s="27" t="n"/>
      <c r="K110" s="18">
        <f>IF(AND(B110="",E110=""),"",IF(J110&lt;&gt;"","Arrived",IF(I110&lt;&gt;"","Packed","To pack")))</f>
        <v/>
      </c>
      <c r="L110" s="26" t="n"/>
      <c r="M110" s="1" t="n"/>
      <c r="N110">
        <f>IF(AND(H110&lt;&gt;"",B110&lt;&gt;""),B110+ROW()/10000000,"")</f>
        <v/>
      </c>
    </row>
    <row r="111">
      <c r="A111" s="1" t="n"/>
      <c r="B111" s="28" t="n"/>
      <c r="C111" s="26" t="n"/>
      <c r="D111" s="26" t="n"/>
      <c r="E111" s="26" t="n"/>
      <c r="F111" s="27" t="n"/>
      <c r="G111" s="27" t="n"/>
      <c r="H111" s="27" t="n"/>
      <c r="I111" s="27" t="n"/>
      <c r="J111" s="27" t="n"/>
      <c r="K111" s="18">
        <f>IF(AND(B111="",E111=""),"",IF(J111&lt;&gt;"","Arrived",IF(I111&lt;&gt;"","Packed","To pack")))</f>
        <v/>
      </c>
      <c r="L111" s="26" t="n"/>
      <c r="M111" s="1" t="n"/>
      <c r="N111">
        <f>IF(AND(H111&lt;&gt;"",B111&lt;&gt;""),B111+ROW()/10000000,"")</f>
        <v/>
      </c>
    </row>
    <row r="112">
      <c r="A112" s="1" t="n"/>
      <c r="B112" s="28" t="n"/>
      <c r="C112" s="26" t="n"/>
      <c r="D112" s="26" t="n"/>
      <c r="E112" s="26" t="n"/>
      <c r="F112" s="27" t="n"/>
      <c r="G112" s="27" t="n"/>
      <c r="H112" s="27" t="n"/>
      <c r="I112" s="27" t="n"/>
      <c r="J112" s="27" t="n"/>
      <c r="K112" s="18">
        <f>IF(AND(B112="",E112=""),"",IF(J112&lt;&gt;"","Arrived",IF(I112&lt;&gt;"","Packed","To pack")))</f>
        <v/>
      </c>
      <c r="L112" s="26" t="n"/>
      <c r="M112" s="1" t="n"/>
      <c r="N112">
        <f>IF(AND(H112&lt;&gt;"",B112&lt;&gt;""),B112+ROW()/10000000,"")</f>
        <v/>
      </c>
    </row>
    <row r="113">
      <c r="A113" s="1" t="n"/>
      <c r="B113" s="28" t="n"/>
      <c r="C113" s="26" t="n"/>
      <c r="D113" s="26" t="n"/>
      <c r="E113" s="26" t="n"/>
      <c r="F113" s="27" t="n"/>
      <c r="G113" s="27" t="n"/>
      <c r="H113" s="27" t="n"/>
      <c r="I113" s="27" t="n"/>
      <c r="J113" s="27" t="n"/>
      <c r="K113" s="18">
        <f>IF(AND(B113="",E113=""),"",IF(J113&lt;&gt;"","Arrived",IF(I113&lt;&gt;"","Packed","To pack")))</f>
        <v/>
      </c>
      <c r="L113" s="26" t="n"/>
      <c r="M113" s="1" t="n"/>
      <c r="N113">
        <f>IF(AND(H113&lt;&gt;"",B113&lt;&gt;""),B113+ROW()/10000000,"")</f>
        <v/>
      </c>
    </row>
    <row r="114">
      <c r="A114" s="1" t="n"/>
      <c r="B114" s="28" t="n"/>
      <c r="C114" s="26" t="n"/>
      <c r="D114" s="26" t="n"/>
      <c r="E114" s="26" t="n"/>
      <c r="F114" s="27" t="n"/>
      <c r="G114" s="27" t="n"/>
      <c r="H114" s="27" t="n"/>
      <c r="I114" s="27" t="n"/>
      <c r="J114" s="27" t="n"/>
      <c r="K114" s="18">
        <f>IF(AND(B114="",E114=""),"",IF(J114&lt;&gt;"","Arrived",IF(I114&lt;&gt;"","Packed","To pack")))</f>
        <v/>
      </c>
      <c r="L114" s="26" t="n"/>
      <c r="M114" s="1" t="n"/>
      <c r="N114">
        <f>IF(AND(H114&lt;&gt;"",B114&lt;&gt;""),B114+ROW()/10000000,"")</f>
        <v/>
      </c>
    </row>
    <row r="115">
      <c r="A115" s="1" t="n"/>
      <c r="B115" s="28" t="n"/>
      <c r="C115" s="26" t="n"/>
      <c r="D115" s="26" t="n"/>
      <c r="E115" s="26" t="n"/>
      <c r="F115" s="27" t="n"/>
      <c r="G115" s="27" t="n"/>
      <c r="H115" s="27" t="n"/>
      <c r="I115" s="27" t="n"/>
      <c r="J115" s="27" t="n"/>
      <c r="K115" s="18">
        <f>IF(AND(B115="",E115=""),"",IF(J115&lt;&gt;"","Arrived",IF(I115&lt;&gt;"","Packed","To pack")))</f>
        <v/>
      </c>
      <c r="L115" s="26" t="n"/>
      <c r="M115" s="1" t="n"/>
      <c r="N115">
        <f>IF(AND(H115&lt;&gt;"",B115&lt;&gt;""),B115+ROW()/10000000,"")</f>
        <v/>
      </c>
    </row>
    <row r="116">
      <c r="A116" s="1" t="n"/>
      <c r="B116" s="28" t="n"/>
      <c r="C116" s="26" t="n"/>
      <c r="D116" s="26" t="n"/>
      <c r="E116" s="26" t="n"/>
      <c r="F116" s="27" t="n"/>
      <c r="G116" s="27" t="n"/>
      <c r="H116" s="27" t="n"/>
      <c r="I116" s="27" t="n"/>
      <c r="J116" s="27" t="n"/>
      <c r="K116" s="18">
        <f>IF(AND(B116="",E116=""),"",IF(J116&lt;&gt;"","Arrived",IF(I116&lt;&gt;"","Packed","To pack")))</f>
        <v/>
      </c>
      <c r="L116" s="26" t="n"/>
      <c r="M116" s="1" t="n"/>
      <c r="N116">
        <f>IF(AND(H116&lt;&gt;"",B116&lt;&gt;""),B116+ROW()/10000000,"")</f>
        <v/>
      </c>
    </row>
    <row r="117">
      <c r="A117" s="1" t="n"/>
      <c r="B117" s="28" t="n"/>
      <c r="C117" s="26" t="n"/>
      <c r="D117" s="26" t="n"/>
      <c r="E117" s="26" t="n"/>
      <c r="F117" s="27" t="n"/>
      <c r="G117" s="27" t="n"/>
      <c r="H117" s="27" t="n"/>
      <c r="I117" s="27" t="n"/>
      <c r="J117" s="27" t="n"/>
      <c r="K117" s="18">
        <f>IF(AND(B117="",E117=""),"",IF(J117&lt;&gt;"","Arrived",IF(I117&lt;&gt;"","Packed","To pack")))</f>
        <v/>
      </c>
      <c r="L117" s="26" t="n"/>
      <c r="M117" s="1" t="n"/>
      <c r="N117">
        <f>IF(AND(H117&lt;&gt;"",B117&lt;&gt;""),B117+ROW()/10000000,"")</f>
        <v/>
      </c>
    </row>
    <row r="118">
      <c r="A118" s="1" t="n"/>
      <c r="B118" s="28" t="n"/>
      <c r="C118" s="26" t="n"/>
      <c r="D118" s="26" t="n"/>
      <c r="E118" s="26" t="n"/>
      <c r="F118" s="27" t="n"/>
      <c r="G118" s="27" t="n"/>
      <c r="H118" s="27" t="n"/>
      <c r="I118" s="27" t="n"/>
      <c r="J118" s="27" t="n"/>
      <c r="K118" s="18">
        <f>IF(AND(B118="",E118=""),"",IF(J118&lt;&gt;"","Arrived",IF(I118&lt;&gt;"","Packed","To pack")))</f>
        <v/>
      </c>
      <c r="L118" s="26" t="n"/>
      <c r="M118" s="1" t="n"/>
      <c r="N118">
        <f>IF(AND(H118&lt;&gt;"",B118&lt;&gt;""),B118+ROW()/10000000,"")</f>
        <v/>
      </c>
    </row>
    <row r="119">
      <c r="A119" s="1" t="n"/>
      <c r="B119" s="28" t="n"/>
      <c r="C119" s="26" t="n"/>
      <c r="D119" s="26" t="n"/>
      <c r="E119" s="26" t="n"/>
      <c r="F119" s="27" t="n"/>
      <c r="G119" s="27" t="n"/>
      <c r="H119" s="27" t="n"/>
      <c r="I119" s="27" t="n"/>
      <c r="J119" s="27" t="n"/>
      <c r="K119" s="18">
        <f>IF(AND(B119="",E119=""),"",IF(J119&lt;&gt;"","Arrived",IF(I119&lt;&gt;"","Packed","To pack")))</f>
        <v/>
      </c>
      <c r="L119" s="26" t="n"/>
      <c r="M119" s="1" t="n"/>
      <c r="N119">
        <f>IF(AND(H119&lt;&gt;"",B119&lt;&gt;""),B119+ROW()/10000000,"")</f>
        <v/>
      </c>
    </row>
    <row r="120">
      <c r="A120" s="1" t="n"/>
      <c r="B120" s="28" t="n"/>
      <c r="C120" s="26" t="n"/>
      <c r="D120" s="26" t="n"/>
      <c r="E120" s="26" t="n"/>
      <c r="F120" s="27" t="n"/>
      <c r="G120" s="27" t="n"/>
      <c r="H120" s="27" t="n"/>
      <c r="I120" s="27" t="n"/>
      <c r="J120" s="27" t="n"/>
      <c r="K120" s="18">
        <f>IF(AND(B120="",E120=""),"",IF(J120&lt;&gt;"","Arrived",IF(I120&lt;&gt;"","Packed","To pack")))</f>
        <v/>
      </c>
      <c r="L120" s="26" t="n"/>
      <c r="M120" s="1" t="n"/>
      <c r="N120">
        <f>IF(AND(H120&lt;&gt;"",B120&lt;&gt;""),B120+ROW()/10000000,"")</f>
        <v/>
      </c>
    </row>
    <row r="121">
      <c r="A121" s="1" t="n"/>
      <c r="B121" s="28" t="n"/>
      <c r="C121" s="26" t="n"/>
      <c r="D121" s="26" t="n"/>
      <c r="E121" s="26" t="n"/>
      <c r="F121" s="27" t="n"/>
      <c r="G121" s="27" t="n"/>
      <c r="H121" s="27" t="n"/>
      <c r="I121" s="27" t="n"/>
      <c r="J121" s="27" t="n"/>
      <c r="K121" s="18">
        <f>IF(AND(B121="",E121=""),"",IF(J121&lt;&gt;"","Arrived",IF(I121&lt;&gt;"","Packed","To pack")))</f>
        <v/>
      </c>
      <c r="L121" s="26" t="n"/>
      <c r="M121" s="1" t="n"/>
      <c r="N121">
        <f>IF(AND(H121&lt;&gt;"",B121&lt;&gt;""),B121+ROW()/10000000,"")</f>
        <v/>
      </c>
    </row>
    <row r="122">
      <c r="A122" s="1" t="n"/>
      <c r="B122" s="28" t="n"/>
      <c r="C122" s="26" t="n"/>
      <c r="D122" s="26" t="n"/>
      <c r="E122" s="26" t="n"/>
      <c r="F122" s="27" t="n"/>
      <c r="G122" s="27" t="n"/>
      <c r="H122" s="27" t="n"/>
      <c r="I122" s="27" t="n"/>
      <c r="J122" s="27" t="n"/>
      <c r="K122" s="18">
        <f>IF(AND(B122="",E122=""),"",IF(J122&lt;&gt;"","Arrived",IF(I122&lt;&gt;"","Packed","To pack")))</f>
        <v/>
      </c>
      <c r="L122" s="26" t="n"/>
      <c r="M122" s="1" t="n"/>
      <c r="N122">
        <f>IF(AND(H122&lt;&gt;"",B122&lt;&gt;""),B122+ROW()/10000000,"")</f>
        <v/>
      </c>
    </row>
    <row r="123">
      <c r="A123" s="1" t="n"/>
      <c r="B123" s="28" t="n"/>
      <c r="C123" s="26" t="n"/>
      <c r="D123" s="26" t="n"/>
      <c r="E123" s="26" t="n"/>
      <c r="F123" s="27" t="n"/>
      <c r="G123" s="27" t="n"/>
      <c r="H123" s="27" t="n"/>
      <c r="I123" s="27" t="n"/>
      <c r="J123" s="27" t="n"/>
      <c r="K123" s="18">
        <f>IF(AND(B123="",E123=""),"",IF(J123&lt;&gt;"","Arrived",IF(I123&lt;&gt;"","Packed","To pack")))</f>
        <v/>
      </c>
      <c r="L123" s="26" t="n"/>
      <c r="M123" s="1" t="n"/>
      <c r="N123">
        <f>IF(AND(H123&lt;&gt;"",B123&lt;&gt;""),B123+ROW()/10000000,"")</f>
        <v/>
      </c>
    </row>
    <row r="124">
      <c r="A124" s="1" t="n"/>
      <c r="B124" s="28" t="n"/>
      <c r="C124" s="26" t="n"/>
      <c r="D124" s="26" t="n"/>
      <c r="E124" s="26" t="n"/>
      <c r="F124" s="27" t="n"/>
      <c r="G124" s="27" t="n"/>
      <c r="H124" s="27" t="n"/>
      <c r="I124" s="27" t="n"/>
      <c r="J124" s="27" t="n"/>
      <c r="K124" s="18">
        <f>IF(AND(B124="",E124=""),"",IF(J124&lt;&gt;"","Arrived",IF(I124&lt;&gt;"","Packed","To pack")))</f>
        <v/>
      </c>
      <c r="L124" s="26" t="n"/>
      <c r="M124" s="1" t="n"/>
      <c r="N124">
        <f>IF(AND(H124&lt;&gt;"",B124&lt;&gt;""),B124+ROW()/10000000,"")</f>
        <v/>
      </c>
    </row>
    <row r="125">
      <c r="A125" s="1" t="n"/>
      <c r="B125" s="28" t="n"/>
      <c r="C125" s="26" t="n"/>
      <c r="D125" s="26" t="n"/>
      <c r="E125" s="26" t="n"/>
      <c r="F125" s="27" t="n"/>
      <c r="G125" s="27" t="n"/>
      <c r="H125" s="27" t="n"/>
      <c r="I125" s="27" t="n"/>
      <c r="J125" s="27" t="n"/>
      <c r="K125" s="18">
        <f>IF(AND(B125="",E125=""),"",IF(J125&lt;&gt;"","Arrived",IF(I125&lt;&gt;"","Packed","To pack")))</f>
        <v/>
      </c>
      <c r="L125" s="26" t="n"/>
      <c r="M125" s="1" t="n"/>
      <c r="N125">
        <f>IF(AND(H125&lt;&gt;"",B125&lt;&gt;""),B125+ROW()/10000000,"")</f>
        <v/>
      </c>
    </row>
    <row r="126">
      <c r="A126" s="1" t="n"/>
      <c r="B126" s="28" t="n"/>
      <c r="C126" s="26" t="n"/>
      <c r="D126" s="26" t="n"/>
      <c r="E126" s="26" t="n"/>
      <c r="F126" s="27" t="n"/>
      <c r="G126" s="27" t="n"/>
      <c r="H126" s="27" t="n"/>
      <c r="I126" s="27" t="n"/>
      <c r="J126" s="27" t="n"/>
      <c r="K126" s="18">
        <f>IF(AND(B126="",E126=""),"",IF(J126&lt;&gt;"","Arrived",IF(I126&lt;&gt;"","Packed","To pack")))</f>
        <v/>
      </c>
      <c r="L126" s="26" t="n"/>
      <c r="M126" s="1" t="n"/>
      <c r="N126">
        <f>IF(AND(H126&lt;&gt;"",B126&lt;&gt;""),B126+ROW()/10000000,"")</f>
        <v/>
      </c>
    </row>
    <row r="127">
      <c r="A127" s="1" t="n"/>
      <c r="B127" s="28" t="n"/>
      <c r="C127" s="26" t="n"/>
      <c r="D127" s="26" t="n"/>
      <c r="E127" s="26" t="n"/>
      <c r="F127" s="27" t="n"/>
      <c r="G127" s="27" t="n"/>
      <c r="H127" s="27" t="n"/>
      <c r="I127" s="27" t="n"/>
      <c r="J127" s="27" t="n"/>
      <c r="K127" s="18">
        <f>IF(AND(B127="",E127=""),"",IF(J127&lt;&gt;"","Arrived",IF(I127&lt;&gt;"","Packed","To pack")))</f>
        <v/>
      </c>
      <c r="L127" s="26" t="n"/>
      <c r="M127" s="1" t="n"/>
      <c r="N127">
        <f>IF(AND(H127&lt;&gt;"",B127&lt;&gt;""),B127+ROW()/10000000,"")</f>
        <v/>
      </c>
    </row>
    <row r="128">
      <c r="A128" s="1" t="n"/>
      <c r="B128" s="28" t="n"/>
      <c r="C128" s="26" t="n"/>
      <c r="D128" s="26" t="n"/>
      <c r="E128" s="26" t="n"/>
      <c r="F128" s="27" t="n"/>
      <c r="G128" s="27" t="n"/>
      <c r="H128" s="27" t="n"/>
      <c r="I128" s="27" t="n"/>
      <c r="J128" s="27" t="n"/>
      <c r="K128" s="18">
        <f>IF(AND(B128="",E128=""),"",IF(J128&lt;&gt;"","Arrived",IF(I128&lt;&gt;"","Packed","To pack")))</f>
        <v/>
      </c>
      <c r="L128" s="26" t="n"/>
      <c r="M128" s="1" t="n"/>
      <c r="N128">
        <f>IF(AND(H128&lt;&gt;"",B128&lt;&gt;""),B128+ROW()/10000000,"")</f>
        <v/>
      </c>
    </row>
    <row r="129">
      <c r="A129" s="1" t="n"/>
      <c r="B129" s="28" t="n"/>
      <c r="C129" s="26" t="n"/>
      <c r="D129" s="26" t="n"/>
      <c r="E129" s="26" t="n"/>
      <c r="F129" s="27" t="n"/>
      <c r="G129" s="27" t="n"/>
      <c r="H129" s="27" t="n"/>
      <c r="I129" s="27" t="n"/>
      <c r="J129" s="27" t="n"/>
      <c r="K129" s="18">
        <f>IF(AND(B129="",E129=""),"",IF(J129&lt;&gt;"","Arrived",IF(I129&lt;&gt;"","Packed","To pack")))</f>
        <v/>
      </c>
      <c r="L129" s="26" t="n"/>
      <c r="M129" s="1" t="n"/>
      <c r="N129">
        <f>IF(AND(H129&lt;&gt;"",B129&lt;&gt;""),B129+ROW()/10000000,"")</f>
        <v/>
      </c>
    </row>
    <row r="130">
      <c r="A130" s="1" t="n"/>
      <c r="B130" s="28" t="n"/>
      <c r="C130" s="26" t="n"/>
      <c r="D130" s="26" t="n"/>
      <c r="E130" s="26" t="n"/>
      <c r="F130" s="27" t="n"/>
      <c r="G130" s="27" t="n"/>
      <c r="H130" s="27" t="n"/>
      <c r="I130" s="27" t="n"/>
      <c r="J130" s="27" t="n"/>
      <c r="K130" s="18">
        <f>IF(AND(B130="",E130=""),"",IF(J130&lt;&gt;"","Arrived",IF(I130&lt;&gt;"","Packed","To pack")))</f>
        <v/>
      </c>
      <c r="L130" s="26" t="n"/>
      <c r="M130" s="1" t="n"/>
      <c r="N130">
        <f>IF(AND(H130&lt;&gt;"",B130&lt;&gt;""),B130+ROW()/10000000,"")</f>
        <v/>
      </c>
    </row>
    <row r="131">
      <c r="A131" s="1" t="n"/>
      <c r="B131" s="28" t="n"/>
      <c r="C131" s="26" t="n"/>
      <c r="D131" s="26" t="n"/>
      <c r="E131" s="26" t="n"/>
      <c r="F131" s="27" t="n"/>
      <c r="G131" s="27" t="n"/>
      <c r="H131" s="27" t="n"/>
      <c r="I131" s="27" t="n"/>
      <c r="J131" s="27" t="n"/>
      <c r="K131" s="18">
        <f>IF(AND(B131="",E131=""),"",IF(J131&lt;&gt;"","Arrived",IF(I131&lt;&gt;"","Packed","To pack")))</f>
        <v/>
      </c>
      <c r="L131" s="26" t="n"/>
      <c r="M131" s="1" t="n"/>
      <c r="N131">
        <f>IF(AND(H131&lt;&gt;"",B131&lt;&gt;""),B131+ROW()/10000000,"")</f>
        <v/>
      </c>
    </row>
    <row r="132">
      <c r="A132" s="1" t="n"/>
      <c r="B132" s="28" t="n"/>
      <c r="C132" s="26" t="n"/>
      <c r="D132" s="26" t="n"/>
      <c r="E132" s="26" t="n"/>
      <c r="F132" s="27" t="n"/>
      <c r="G132" s="27" t="n"/>
      <c r="H132" s="27" t="n"/>
      <c r="I132" s="27" t="n"/>
      <c r="J132" s="27" t="n"/>
      <c r="K132" s="18">
        <f>IF(AND(B132="",E132=""),"",IF(J132&lt;&gt;"","Arrived",IF(I132&lt;&gt;"","Packed","To pack")))</f>
        <v/>
      </c>
      <c r="L132" s="26" t="n"/>
      <c r="M132" s="1" t="n"/>
      <c r="N132">
        <f>IF(AND(H132&lt;&gt;"",B132&lt;&gt;""),B132+ROW()/10000000,"")</f>
        <v/>
      </c>
    </row>
    <row r="133">
      <c r="A133" s="1" t="n"/>
      <c r="B133" s="28" t="n"/>
      <c r="C133" s="26" t="n"/>
      <c r="D133" s="26" t="n"/>
      <c r="E133" s="26" t="n"/>
      <c r="F133" s="27" t="n"/>
      <c r="G133" s="27" t="n"/>
      <c r="H133" s="27" t="n"/>
      <c r="I133" s="27" t="n"/>
      <c r="J133" s="27" t="n"/>
      <c r="K133" s="18">
        <f>IF(AND(B133="",E133=""),"",IF(J133&lt;&gt;"","Arrived",IF(I133&lt;&gt;"","Packed","To pack")))</f>
        <v/>
      </c>
      <c r="L133" s="26" t="n"/>
      <c r="M133" s="1" t="n"/>
      <c r="N133">
        <f>IF(AND(H133&lt;&gt;"",B133&lt;&gt;""),B133+ROW()/10000000,"")</f>
        <v/>
      </c>
    </row>
    <row r="134">
      <c r="A134" s="1" t="n"/>
      <c r="B134" s="28" t="n"/>
      <c r="C134" s="26" t="n"/>
      <c r="D134" s="26" t="n"/>
      <c r="E134" s="26" t="n"/>
      <c r="F134" s="27" t="n"/>
      <c r="G134" s="27" t="n"/>
      <c r="H134" s="27" t="n"/>
      <c r="I134" s="27" t="n"/>
      <c r="J134" s="27" t="n"/>
      <c r="K134" s="18">
        <f>IF(AND(B134="",E134=""),"",IF(J134&lt;&gt;"","Arrived",IF(I134&lt;&gt;"","Packed","To pack")))</f>
        <v/>
      </c>
      <c r="L134" s="26" t="n"/>
      <c r="M134" s="1" t="n"/>
      <c r="N134">
        <f>IF(AND(H134&lt;&gt;"",B134&lt;&gt;""),B134+ROW()/10000000,"")</f>
        <v/>
      </c>
    </row>
    <row r="135">
      <c r="A135" s="1" t="n"/>
      <c r="B135" s="28" t="n"/>
      <c r="C135" s="26" t="n"/>
      <c r="D135" s="26" t="n"/>
      <c r="E135" s="26" t="n"/>
      <c r="F135" s="27" t="n"/>
      <c r="G135" s="27" t="n"/>
      <c r="H135" s="27" t="n"/>
      <c r="I135" s="27" t="n"/>
      <c r="J135" s="27" t="n"/>
      <c r="K135" s="18">
        <f>IF(AND(B135="",E135=""),"",IF(J135&lt;&gt;"","Arrived",IF(I135&lt;&gt;"","Packed","To pack")))</f>
        <v/>
      </c>
      <c r="L135" s="26" t="n"/>
      <c r="M135" s="1" t="n"/>
      <c r="N135">
        <f>IF(AND(H135&lt;&gt;"",B135&lt;&gt;""),B135+ROW()/10000000,"")</f>
        <v/>
      </c>
    </row>
    <row r="136">
      <c r="A136" s="1" t="n"/>
      <c r="B136" s="28" t="n"/>
      <c r="C136" s="26" t="n"/>
      <c r="D136" s="26" t="n"/>
      <c r="E136" s="26" t="n"/>
      <c r="F136" s="27" t="n"/>
      <c r="G136" s="27" t="n"/>
      <c r="H136" s="27" t="n"/>
      <c r="I136" s="27" t="n"/>
      <c r="J136" s="27" t="n"/>
      <c r="K136" s="18">
        <f>IF(AND(B136="",E136=""),"",IF(J136&lt;&gt;"","Arrived",IF(I136&lt;&gt;"","Packed","To pack")))</f>
        <v/>
      </c>
      <c r="L136" s="26" t="n"/>
      <c r="M136" s="1" t="n"/>
      <c r="N136">
        <f>IF(AND(H136&lt;&gt;"",B136&lt;&gt;""),B136+ROW()/10000000,"")</f>
        <v/>
      </c>
    </row>
    <row r="137">
      <c r="A137" s="1" t="n"/>
      <c r="B137" s="28" t="n"/>
      <c r="C137" s="26" t="n"/>
      <c r="D137" s="26" t="n"/>
      <c r="E137" s="26" t="n"/>
      <c r="F137" s="27" t="n"/>
      <c r="G137" s="27" t="n"/>
      <c r="H137" s="27" t="n"/>
      <c r="I137" s="27" t="n"/>
      <c r="J137" s="27" t="n"/>
      <c r="K137" s="18">
        <f>IF(AND(B137="",E137=""),"",IF(J137&lt;&gt;"","Arrived",IF(I137&lt;&gt;"","Packed","To pack")))</f>
        <v/>
      </c>
      <c r="L137" s="26" t="n"/>
      <c r="M137" s="1" t="n"/>
      <c r="N137">
        <f>IF(AND(H137&lt;&gt;"",B137&lt;&gt;""),B137+ROW()/10000000,"")</f>
        <v/>
      </c>
    </row>
    <row r="138">
      <c r="A138" s="1" t="n"/>
      <c r="B138" s="28" t="n"/>
      <c r="C138" s="26" t="n"/>
      <c r="D138" s="26" t="n"/>
      <c r="E138" s="26" t="n"/>
      <c r="F138" s="27" t="n"/>
      <c r="G138" s="27" t="n"/>
      <c r="H138" s="27" t="n"/>
      <c r="I138" s="27" t="n"/>
      <c r="J138" s="27" t="n"/>
      <c r="K138" s="18">
        <f>IF(AND(B138="",E138=""),"",IF(J138&lt;&gt;"","Arrived",IF(I138&lt;&gt;"","Packed","To pack")))</f>
        <v/>
      </c>
      <c r="L138" s="26" t="n"/>
      <c r="M138" s="1" t="n"/>
      <c r="N138">
        <f>IF(AND(H138&lt;&gt;"",B138&lt;&gt;""),B138+ROW()/10000000,"")</f>
        <v/>
      </c>
    </row>
    <row r="139">
      <c r="A139" s="1" t="n"/>
      <c r="B139" s="28" t="n"/>
      <c r="C139" s="26" t="n"/>
      <c r="D139" s="26" t="n"/>
      <c r="E139" s="26" t="n"/>
      <c r="F139" s="27" t="n"/>
      <c r="G139" s="27" t="n"/>
      <c r="H139" s="27" t="n"/>
      <c r="I139" s="27" t="n"/>
      <c r="J139" s="27" t="n"/>
      <c r="K139" s="18">
        <f>IF(AND(B139="",E139=""),"",IF(J139&lt;&gt;"","Arrived",IF(I139&lt;&gt;"","Packed","To pack")))</f>
        <v/>
      </c>
      <c r="L139" s="26" t="n"/>
      <c r="M139" s="1" t="n"/>
      <c r="N139">
        <f>IF(AND(H139&lt;&gt;"",B139&lt;&gt;""),B139+ROW()/10000000,"")</f>
        <v/>
      </c>
    </row>
    <row r="140">
      <c r="A140" s="1" t="n"/>
      <c r="B140" s="28" t="n"/>
      <c r="C140" s="26" t="n"/>
      <c r="D140" s="26" t="n"/>
      <c r="E140" s="26" t="n"/>
      <c r="F140" s="27" t="n"/>
      <c r="G140" s="27" t="n"/>
      <c r="H140" s="27" t="n"/>
      <c r="I140" s="27" t="n"/>
      <c r="J140" s="27" t="n"/>
      <c r="K140" s="18">
        <f>IF(AND(B140="",E140=""),"",IF(J140&lt;&gt;"","Arrived",IF(I140&lt;&gt;"","Packed","To pack")))</f>
        <v/>
      </c>
      <c r="L140" s="26" t="n"/>
      <c r="M140" s="1" t="n"/>
      <c r="N140">
        <f>IF(AND(H140&lt;&gt;"",B140&lt;&gt;""),B140+ROW()/10000000,"")</f>
        <v/>
      </c>
    </row>
    <row r="141">
      <c r="A141" s="1" t="n"/>
      <c r="B141" s="28" t="n"/>
      <c r="C141" s="26" t="n"/>
      <c r="D141" s="26" t="n"/>
      <c r="E141" s="26" t="n"/>
      <c r="F141" s="27" t="n"/>
      <c r="G141" s="27" t="n"/>
      <c r="H141" s="27" t="n"/>
      <c r="I141" s="27" t="n"/>
      <c r="J141" s="27" t="n"/>
      <c r="K141" s="18">
        <f>IF(AND(B141="",E141=""),"",IF(J141&lt;&gt;"","Arrived",IF(I141&lt;&gt;"","Packed","To pack")))</f>
        <v/>
      </c>
      <c r="L141" s="26" t="n"/>
      <c r="M141" s="1" t="n"/>
      <c r="N141">
        <f>IF(AND(H141&lt;&gt;"",B141&lt;&gt;""),B141+ROW()/10000000,"")</f>
        <v/>
      </c>
    </row>
    <row r="142">
      <c r="A142" s="1" t="n"/>
      <c r="B142" s="28" t="n"/>
      <c r="C142" s="26" t="n"/>
      <c r="D142" s="26" t="n"/>
      <c r="E142" s="26" t="n"/>
      <c r="F142" s="27" t="n"/>
      <c r="G142" s="27" t="n"/>
      <c r="H142" s="27" t="n"/>
      <c r="I142" s="27" t="n"/>
      <c r="J142" s="27" t="n"/>
      <c r="K142" s="18">
        <f>IF(AND(B142="",E142=""),"",IF(J142&lt;&gt;"","Arrived",IF(I142&lt;&gt;"","Packed","To pack")))</f>
        <v/>
      </c>
      <c r="L142" s="26" t="n"/>
      <c r="M142" s="1" t="n"/>
      <c r="N142">
        <f>IF(AND(H142&lt;&gt;"",B142&lt;&gt;""),B142+ROW()/10000000,"")</f>
        <v/>
      </c>
    </row>
    <row r="143">
      <c r="A143" s="1" t="n"/>
      <c r="B143" s="28" t="n"/>
      <c r="C143" s="26" t="n"/>
      <c r="D143" s="26" t="n"/>
      <c r="E143" s="26" t="n"/>
      <c r="F143" s="27" t="n"/>
      <c r="G143" s="27" t="n"/>
      <c r="H143" s="27" t="n"/>
      <c r="I143" s="27" t="n"/>
      <c r="J143" s="27" t="n"/>
      <c r="K143" s="18">
        <f>IF(AND(B143="",E143=""),"",IF(J143&lt;&gt;"","Arrived",IF(I143&lt;&gt;"","Packed","To pack")))</f>
        <v/>
      </c>
      <c r="L143" s="26" t="n"/>
      <c r="M143" s="1" t="n"/>
      <c r="N143">
        <f>IF(AND(H143&lt;&gt;"",B143&lt;&gt;""),B143+ROW()/10000000,"")</f>
        <v/>
      </c>
    </row>
    <row r="144">
      <c r="A144" s="1" t="n"/>
      <c r="B144" s="28" t="n"/>
      <c r="C144" s="26" t="n"/>
      <c r="D144" s="26" t="n"/>
      <c r="E144" s="26" t="n"/>
      <c r="F144" s="27" t="n"/>
      <c r="G144" s="27" t="n"/>
      <c r="H144" s="27" t="n"/>
      <c r="I144" s="27" t="n"/>
      <c r="J144" s="27" t="n"/>
      <c r="K144" s="18">
        <f>IF(AND(B144="",E144=""),"",IF(J144&lt;&gt;"","Arrived",IF(I144&lt;&gt;"","Packed","To pack")))</f>
        <v/>
      </c>
      <c r="L144" s="26" t="n"/>
      <c r="M144" s="1" t="n"/>
      <c r="N144">
        <f>IF(AND(H144&lt;&gt;"",B144&lt;&gt;""),B144+ROW()/10000000,"")</f>
        <v/>
      </c>
    </row>
    <row r="145">
      <c r="A145" s="1" t="n"/>
      <c r="B145" s="28" t="n"/>
      <c r="C145" s="26" t="n"/>
      <c r="D145" s="26" t="n"/>
      <c r="E145" s="26" t="n"/>
      <c r="F145" s="27" t="n"/>
      <c r="G145" s="27" t="n"/>
      <c r="H145" s="27" t="n"/>
      <c r="I145" s="27" t="n"/>
      <c r="J145" s="27" t="n"/>
      <c r="K145" s="18">
        <f>IF(AND(B145="",E145=""),"",IF(J145&lt;&gt;"","Arrived",IF(I145&lt;&gt;"","Packed","To pack")))</f>
        <v/>
      </c>
      <c r="L145" s="26" t="n"/>
      <c r="M145" s="1" t="n"/>
      <c r="N145">
        <f>IF(AND(H145&lt;&gt;"",B145&lt;&gt;""),B145+ROW()/10000000,"")</f>
        <v/>
      </c>
    </row>
    <row r="146">
      <c r="A146" s="1" t="n"/>
      <c r="B146" s="28" t="n"/>
      <c r="C146" s="26" t="n"/>
      <c r="D146" s="26" t="n"/>
      <c r="E146" s="26" t="n"/>
      <c r="F146" s="27" t="n"/>
      <c r="G146" s="27" t="n"/>
      <c r="H146" s="27" t="n"/>
      <c r="I146" s="27" t="n"/>
      <c r="J146" s="27" t="n"/>
      <c r="K146" s="18">
        <f>IF(AND(B146="",E146=""),"",IF(J146&lt;&gt;"","Arrived",IF(I146&lt;&gt;"","Packed","To pack")))</f>
        <v/>
      </c>
      <c r="L146" s="26" t="n"/>
      <c r="M146" s="1" t="n"/>
      <c r="N146">
        <f>IF(AND(H146&lt;&gt;"",B146&lt;&gt;""),B146+ROW()/10000000,"")</f>
        <v/>
      </c>
    </row>
    <row r="147">
      <c r="A147" s="1" t="n"/>
      <c r="B147" s="28" t="n"/>
      <c r="C147" s="26" t="n"/>
      <c r="D147" s="26" t="n"/>
      <c r="E147" s="26" t="n"/>
      <c r="F147" s="27" t="n"/>
      <c r="G147" s="27" t="n"/>
      <c r="H147" s="27" t="n"/>
      <c r="I147" s="27" t="n"/>
      <c r="J147" s="27" t="n"/>
      <c r="K147" s="18">
        <f>IF(AND(B147="",E147=""),"",IF(J147&lt;&gt;"","Arrived",IF(I147&lt;&gt;"","Packed","To pack")))</f>
        <v/>
      </c>
      <c r="L147" s="26" t="n"/>
      <c r="M147" s="1" t="n"/>
      <c r="N147">
        <f>IF(AND(H147&lt;&gt;"",B147&lt;&gt;""),B147+ROW()/10000000,"")</f>
        <v/>
      </c>
    </row>
    <row r="148">
      <c r="A148" s="1" t="n"/>
      <c r="B148" s="28" t="n"/>
      <c r="C148" s="26" t="n"/>
      <c r="D148" s="26" t="n"/>
      <c r="E148" s="26" t="n"/>
      <c r="F148" s="27" t="n"/>
      <c r="G148" s="27" t="n"/>
      <c r="H148" s="27" t="n"/>
      <c r="I148" s="27" t="n"/>
      <c r="J148" s="27" t="n"/>
      <c r="K148" s="18">
        <f>IF(AND(B148="",E148=""),"",IF(J148&lt;&gt;"","Arrived",IF(I148&lt;&gt;"","Packed","To pack")))</f>
        <v/>
      </c>
      <c r="L148" s="26" t="n"/>
      <c r="M148" s="1" t="n"/>
      <c r="N148">
        <f>IF(AND(H148&lt;&gt;"",B148&lt;&gt;""),B148+ROW()/10000000,"")</f>
        <v/>
      </c>
    </row>
    <row r="149">
      <c r="A149" s="1" t="n"/>
      <c r="B149" s="28" t="n"/>
      <c r="C149" s="26" t="n"/>
      <c r="D149" s="26" t="n"/>
      <c r="E149" s="26" t="n"/>
      <c r="F149" s="27" t="n"/>
      <c r="G149" s="27" t="n"/>
      <c r="H149" s="27" t="n"/>
      <c r="I149" s="27" t="n"/>
      <c r="J149" s="27" t="n"/>
      <c r="K149" s="18">
        <f>IF(AND(B149="",E149=""),"",IF(J149&lt;&gt;"","Arrived",IF(I149&lt;&gt;"","Packed","To pack")))</f>
        <v/>
      </c>
      <c r="L149" s="26" t="n"/>
      <c r="M149" s="1" t="n"/>
      <c r="N149">
        <f>IF(AND(H149&lt;&gt;"",B149&lt;&gt;""),B149+ROW()/10000000,"")</f>
        <v/>
      </c>
    </row>
    <row r="150">
      <c r="A150" s="1" t="n"/>
      <c r="B150" s="28" t="n"/>
      <c r="C150" s="26" t="n"/>
      <c r="D150" s="26" t="n"/>
      <c r="E150" s="26" t="n"/>
      <c r="F150" s="27" t="n"/>
      <c r="G150" s="27" t="n"/>
      <c r="H150" s="27" t="n"/>
      <c r="I150" s="27" t="n"/>
      <c r="J150" s="27" t="n"/>
      <c r="K150" s="18">
        <f>IF(AND(B150="",E150=""),"",IF(J150&lt;&gt;"","Arrived",IF(I150&lt;&gt;"","Packed","To pack")))</f>
        <v/>
      </c>
      <c r="L150" s="26" t="n"/>
      <c r="M150" s="1" t="n"/>
      <c r="N150">
        <f>IF(AND(H150&lt;&gt;"",B150&lt;&gt;""),B150+ROW()/10000000,"")</f>
        <v/>
      </c>
    </row>
    <row r="151">
      <c r="A151" s="1" t="n"/>
      <c r="B151" s="28" t="n"/>
      <c r="C151" s="26" t="n"/>
      <c r="D151" s="26" t="n"/>
      <c r="E151" s="26" t="n"/>
      <c r="F151" s="27" t="n"/>
      <c r="G151" s="27" t="n"/>
      <c r="H151" s="27" t="n"/>
      <c r="I151" s="27" t="n"/>
      <c r="J151" s="27" t="n"/>
      <c r="K151" s="18">
        <f>IF(AND(B151="",E151=""),"",IF(J151&lt;&gt;"","Arrived",IF(I151&lt;&gt;"","Packed","To pack")))</f>
        <v/>
      </c>
      <c r="L151" s="26" t="n"/>
      <c r="M151" s="1" t="n"/>
      <c r="N151">
        <f>IF(AND(H151&lt;&gt;"",B151&lt;&gt;""),B151+ROW()/10000000,"")</f>
        <v/>
      </c>
    </row>
    <row r="152">
      <c r="A152" s="1" t="n"/>
      <c r="B152" s="28" t="n"/>
      <c r="C152" s="26" t="n"/>
      <c r="D152" s="26" t="n"/>
      <c r="E152" s="26" t="n"/>
      <c r="F152" s="27" t="n"/>
      <c r="G152" s="27" t="n"/>
      <c r="H152" s="27" t="n"/>
      <c r="I152" s="27" t="n"/>
      <c r="J152" s="27" t="n"/>
      <c r="K152" s="18">
        <f>IF(AND(B152="",E152=""),"",IF(J152&lt;&gt;"","Arrived",IF(I152&lt;&gt;"","Packed","To pack")))</f>
        <v/>
      </c>
      <c r="L152" s="26" t="n"/>
      <c r="M152" s="1" t="n"/>
      <c r="N152">
        <f>IF(AND(H152&lt;&gt;"",B152&lt;&gt;""),B152+ROW()/10000000,"")</f>
        <v/>
      </c>
    </row>
    <row r="153">
      <c r="A153" s="1" t="n"/>
      <c r="B153" s="28" t="n"/>
      <c r="C153" s="26" t="n"/>
      <c r="D153" s="26" t="n"/>
      <c r="E153" s="26" t="n"/>
      <c r="F153" s="27" t="n"/>
      <c r="G153" s="27" t="n"/>
      <c r="H153" s="27" t="n"/>
      <c r="I153" s="27" t="n"/>
      <c r="J153" s="27" t="n"/>
      <c r="K153" s="18">
        <f>IF(AND(B153="",E153=""),"",IF(J153&lt;&gt;"","Arrived",IF(I153&lt;&gt;"","Packed","To pack")))</f>
        <v/>
      </c>
      <c r="L153" s="26" t="n"/>
      <c r="M153" s="1" t="n"/>
      <c r="N153">
        <f>IF(AND(H153&lt;&gt;"",B153&lt;&gt;""),B153+ROW()/10000000,"")</f>
        <v/>
      </c>
    </row>
    <row r="154">
      <c r="A154" s="1" t="n"/>
      <c r="B154" s="28" t="n"/>
      <c r="C154" s="26" t="n"/>
      <c r="D154" s="26" t="n"/>
      <c r="E154" s="26" t="n"/>
      <c r="F154" s="27" t="n"/>
      <c r="G154" s="27" t="n"/>
      <c r="H154" s="27" t="n"/>
      <c r="I154" s="27" t="n"/>
      <c r="J154" s="27" t="n"/>
      <c r="K154" s="18">
        <f>IF(AND(B154="",E154=""),"",IF(J154&lt;&gt;"","Arrived",IF(I154&lt;&gt;"","Packed","To pack")))</f>
        <v/>
      </c>
      <c r="L154" s="26" t="n"/>
      <c r="M154" s="1" t="n"/>
      <c r="N154">
        <f>IF(AND(H154&lt;&gt;"",B154&lt;&gt;""),B154+ROW()/10000000,"")</f>
        <v/>
      </c>
    </row>
    <row r="155">
      <c r="A155" s="1" t="n"/>
      <c r="B155" s="28" t="n"/>
      <c r="C155" s="26" t="n"/>
      <c r="D155" s="26" t="n"/>
      <c r="E155" s="26" t="n"/>
      <c r="F155" s="27" t="n"/>
      <c r="G155" s="27" t="n"/>
      <c r="H155" s="27" t="n"/>
      <c r="I155" s="27" t="n"/>
      <c r="J155" s="27" t="n"/>
      <c r="K155" s="18">
        <f>IF(AND(B155="",E155=""),"",IF(J155&lt;&gt;"","Arrived",IF(I155&lt;&gt;"","Packed","To pack")))</f>
        <v/>
      </c>
      <c r="L155" s="26" t="n"/>
      <c r="M155" s="1" t="n"/>
      <c r="N155">
        <f>IF(AND(H155&lt;&gt;"",B155&lt;&gt;""),B155+ROW()/10000000,"")</f>
        <v/>
      </c>
    </row>
    <row r="156">
      <c r="A156" s="1" t="n"/>
      <c r="B156" s="28" t="n"/>
      <c r="C156" s="26" t="n"/>
      <c r="D156" s="26" t="n"/>
      <c r="E156" s="26" t="n"/>
      <c r="F156" s="27" t="n"/>
      <c r="G156" s="27" t="n"/>
      <c r="H156" s="27" t="n"/>
      <c r="I156" s="27" t="n"/>
      <c r="J156" s="27" t="n"/>
      <c r="K156" s="18">
        <f>IF(AND(B156="",E156=""),"",IF(J156&lt;&gt;"","Arrived",IF(I156&lt;&gt;"","Packed","To pack")))</f>
        <v/>
      </c>
      <c r="L156" s="26" t="n"/>
      <c r="M156" s="1" t="n"/>
      <c r="N156">
        <f>IF(AND(H156&lt;&gt;"",B156&lt;&gt;""),B156+ROW()/10000000,"")</f>
        <v/>
      </c>
    </row>
    <row r="157">
      <c r="A157" s="1" t="n"/>
      <c r="B157" s="28" t="n"/>
      <c r="C157" s="26" t="n"/>
      <c r="D157" s="26" t="n"/>
      <c r="E157" s="26" t="n"/>
      <c r="F157" s="27" t="n"/>
      <c r="G157" s="27" t="n"/>
      <c r="H157" s="27" t="n"/>
      <c r="I157" s="27" t="n"/>
      <c r="J157" s="27" t="n"/>
      <c r="K157" s="18">
        <f>IF(AND(B157="",E157=""),"",IF(J157&lt;&gt;"","Arrived",IF(I157&lt;&gt;"","Packed","To pack")))</f>
        <v/>
      </c>
      <c r="L157" s="26" t="n"/>
      <c r="M157" s="1" t="n"/>
      <c r="N157">
        <f>IF(AND(H157&lt;&gt;"",B157&lt;&gt;""),B157+ROW()/10000000,"")</f>
        <v/>
      </c>
    </row>
    <row r="158">
      <c r="A158" s="1" t="n"/>
      <c r="B158" s="28" t="n"/>
      <c r="C158" s="26" t="n"/>
      <c r="D158" s="26" t="n"/>
      <c r="E158" s="26" t="n"/>
      <c r="F158" s="27" t="n"/>
      <c r="G158" s="27" t="n"/>
      <c r="H158" s="27" t="n"/>
      <c r="I158" s="27" t="n"/>
      <c r="J158" s="27" t="n"/>
      <c r="K158" s="18">
        <f>IF(AND(B158="",E158=""),"",IF(J158&lt;&gt;"","Arrived",IF(I158&lt;&gt;"","Packed","To pack")))</f>
        <v/>
      </c>
      <c r="L158" s="26" t="n"/>
      <c r="M158" s="1" t="n"/>
      <c r="N158">
        <f>IF(AND(H158&lt;&gt;"",B158&lt;&gt;""),B158+ROW()/10000000,"")</f>
        <v/>
      </c>
    </row>
    <row r="159">
      <c r="A159" s="1" t="n"/>
      <c r="B159" s="28" t="n"/>
      <c r="C159" s="26" t="n"/>
      <c r="D159" s="26" t="n"/>
      <c r="E159" s="26" t="n"/>
      <c r="F159" s="27" t="n"/>
      <c r="G159" s="27" t="n"/>
      <c r="H159" s="27" t="n"/>
      <c r="I159" s="27" t="n"/>
      <c r="J159" s="27" t="n"/>
      <c r="K159" s="18">
        <f>IF(AND(B159="",E159=""),"",IF(J159&lt;&gt;"","Arrived",IF(I159&lt;&gt;"","Packed","To pack")))</f>
        <v/>
      </c>
      <c r="L159" s="26" t="n"/>
      <c r="M159" s="1" t="n"/>
      <c r="N159">
        <f>IF(AND(H159&lt;&gt;"",B159&lt;&gt;""),B159+ROW()/10000000,"")</f>
        <v/>
      </c>
    </row>
    <row r="160">
      <c r="A160" s="1" t="n"/>
      <c r="B160" s="28" t="n"/>
      <c r="C160" s="26" t="n"/>
      <c r="D160" s="26" t="n"/>
      <c r="E160" s="26" t="n"/>
      <c r="F160" s="27" t="n"/>
      <c r="G160" s="27" t="n"/>
      <c r="H160" s="27" t="n"/>
      <c r="I160" s="27" t="n"/>
      <c r="J160" s="27" t="n"/>
      <c r="K160" s="18">
        <f>IF(AND(B160="",E160=""),"",IF(J160&lt;&gt;"","Arrived",IF(I160&lt;&gt;"","Packed","To pack")))</f>
        <v/>
      </c>
      <c r="L160" s="26" t="n"/>
      <c r="M160" s="1" t="n"/>
      <c r="N160">
        <f>IF(AND(H160&lt;&gt;"",B160&lt;&gt;""),B160+ROW()/10000000,"")</f>
        <v/>
      </c>
    </row>
    <row r="161">
      <c r="A161" s="1" t="n"/>
      <c r="B161" s="28" t="n"/>
      <c r="C161" s="26" t="n"/>
      <c r="D161" s="26" t="n"/>
      <c r="E161" s="26" t="n"/>
      <c r="F161" s="27" t="n"/>
      <c r="G161" s="27" t="n"/>
      <c r="H161" s="27" t="n"/>
      <c r="I161" s="27" t="n"/>
      <c r="J161" s="27" t="n"/>
      <c r="K161" s="18">
        <f>IF(AND(B161="",E161=""),"",IF(J161&lt;&gt;"","Arrived",IF(I161&lt;&gt;"","Packed","To pack")))</f>
        <v/>
      </c>
      <c r="L161" s="26" t="n"/>
      <c r="M161" s="1" t="n"/>
      <c r="N161">
        <f>IF(AND(H161&lt;&gt;"",B161&lt;&gt;""),B161+ROW()/10000000,"")</f>
        <v/>
      </c>
    </row>
    <row r="162">
      <c r="A162" s="1" t="n"/>
      <c r="B162" s="28" t="n"/>
      <c r="C162" s="26" t="n"/>
      <c r="D162" s="26" t="n"/>
      <c r="E162" s="26" t="n"/>
      <c r="F162" s="27" t="n"/>
      <c r="G162" s="27" t="n"/>
      <c r="H162" s="27" t="n"/>
      <c r="I162" s="27" t="n"/>
      <c r="J162" s="27" t="n"/>
      <c r="K162" s="18">
        <f>IF(AND(B162="",E162=""),"",IF(J162&lt;&gt;"","Arrived",IF(I162&lt;&gt;"","Packed","To pack")))</f>
        <v/>
      </c>
      <c r="L162" s="26" t="n"/>
      <c r="M162" s="1" t="n"/>
      <c r="N162">
        <f>IF(AND(H162&lt;&gt;"",B162&lt;&gt;""),B162+ROW()/10000000,"")</f>
        <v/>
      </c>
    </row>
    <row r="163">
      <c r="A163" s="1" t="n"/>
      <c r="B163" s="28" t="n"/>
      <c r="C163" s="26" t="n"/>
      <c r="D163" s="26" t="n"/>
      <c r="E163" s="26" t="n"/>
      <c r="F163" s="27" t="n"/>
      <c r="G163" s="27" t="n"/>
      <c r="H163" s="27" t="n"/>
      <c r="I163" s="27" t="n"/>
      <c r="J163" s="27" t="n"/>
      <c r="K163" s="18">
        <f>IF(AND(B163="",E163=""),"",IF(J163&lt;&gt;"","Arrived",IF(I163&lt;&gt;"","Packed","To pack")))</f>
        <v/>
      </c>
      <c r="L163" s="26" t="n"/>
      <c r="M163" s="1" t="n"/>
      <c r="N163">
        <f>IF(AND(H163&lt;&gt;"",B163&lt;&gt;""),B163+ROW()/10000000,"")</f>
        <v/>
      </c>
    </row>
    <row r="164">
      <c r="A164" s="1" t="n"/>
      <c r="B164" s="28" t="n"/>
      <c r="C164" s="26" t="n"/>
      <c r="D164" s="26" t="n"/>
      <c r="E164" s="26" t="n"/>
      <c r="F164" s="27" t="n"/>
      <c r="G164" s="27" t="n"/>
      <c r="H164" s="27" t="n"/>
      <c r="I164" s="27" t="n"/>
      <c r="J164" s="27" t="n"/>
      <c r="K164" s="18">
        <f>IF(AND(B164="",E164=""),"",IF(J164&lt;&gt;"","Arrived",IF(I164&lt;&gt;"","Packed","To pack")))</f>
        <v/>
      </c>
      <c r="L164" s="26" t="n"/>
      <c r="M164" s="1" t="n"/>
      <c r="N164">
        <f>IF(AND(H164&lt;&gt;"",B164&lt;&gt;""),B164+ROW()/10000000,"")</f>
        <v/>
      </c>
    </row>
    <row r="165">
      <c r="A165" s="1" t="n"/>
      <c r="B165" s="28" t="n"/>
      <c r="C165" s="26" t="n"/>
      <c r="D165" s="26" t="n"/>
      <c r="E165" s="26" t="n"/>
      <c r="F165" s="27" t="n"/>
      <c r="G165" s="27" t="n"/>
      <c r="H165" s="27" t="n"/>
      <c r="I165" s="27" t="n"/>
      <c r="J165" s="27" t="n"/>
      <c r="K165" s="18">
        <f>IF(AND(B165="",E165=""),"",IF(J165&lt;&gt;"","Arrived",IF(I165&lt;&gt;"","Packed","To pack")))</f>
        <v/>
      </c>
      <c r="L165" s="26" t="n"/>
      <c r="M165" s="1" t="n"/>
      <c r="N165">
        <f>IF(AND(H165&lt;&gt;"",B165&lt;&gt;""),B165+ROW()/10000000,"")</f>
        <v/>
      </c>
    </row>
    <row r="166">
      <c r="A166" s="1" t="n"/>
      <c r="B166" s="28" t="n"/>
      <c r="C166" s="26" t="n"/>
      <c r="D166" s="26" t="n"/>
      <c r="E166" s="26" t="n"/>
      <c r="F166" s="27" t="n"/>
      <c r="G166" s="27" t="n"/>
      <c r="H166" s="27" t="n"/>
      <c r="I166" s="27" t="n"/>
      <c r="J166" s="27" t="n"/>
      <c r="K166" s="18">
        <f>IF(AND(B166="",E166=""),"",IF(J166&lt;&gt;"","Arrived",IF(I166&lt;&gt;"","Packed","To pack")))</f>
        <v/>
      </c>
      <c r="L166" s="26" t="n"/>
      <c r="M166" s="1" t="n"/>
      <c r="N166">
        <f>IF(AND(H166&lt;&gt;"",B166&lt;&gt;""),B166+ROW()/10000000,"")</f>
        <v/>
      </c>
    </row>
    <row r="167">
      <c r="A167" s="1" t="n"/>
      <c r="B167" s="28" t="n"/>
      <c r="C167" s="26" t="n"/>
      <c r="D167" s="26" t="n"/>
      <c r="E167" s="26" t="n"/>
      <c r="F167" s="27" t="n"/>
      <c r="G167" s="27" t="n"/>
      <c r="H167" s="27" t="n"/>
      <c r="I167" s="27" t="n"/>
      <c r="J167" s="27" t="n"/>
      <c r="K167" s="18">
        <f>IF(AND(B167="",E167=""),"",IF(J167&lt;&gt;"","Arrived",IF(I167&lt;&gt;"","Packed","To pack")))</f>
        <v/>
      </c>
      <c r="L167" s="26" t="n"/>
      <c r="M167" s="1" t="n"/>
      <c r="N167">
        <f>IF(AND(H167&lt;&gt;"",B167&lt;&gt;""),B167+ROW()/10000000,"")</f>
        <v/>
      </c>
    </row>
    <row r="168">
      <c r="A168" s="1" t="n"/>
      <c r="B168" s="28" t="n"/>
      <c r="C168" s="26" t="n"/>
      <c r="D168" s="26" t="n"/>
      <c r="E168" s="26" t="n"/>
      <c r="F168" s="27" t="n"/>
      <c r="G168" s="27" t="n"/>
      <c r="H168" s="27" t="n"/>
      <c r="I168" s="27" t="n"/>
      <c r="J168" s="27" t="n"/>
      <c r="K168" s="18">
        <f>IF(AND(B168="",E168=""),"",IF(J168&lt;&gt;"","Arrived",IF(I168&lt;&gt;"","Packed","To pack")))</f>
        <v/>
      </c>
      <c r="L168" s="26" t="n"/>
      <c r="M168" s="1" t="n"/>
      <c r="N168">
        <f>IF(AND(H168&lt;&gt;"",B168&lt;&gt;""),B168+ROW()/10000000,"")</f>
        <v/>
      </c>
    </row>
    <row r="169">
      <c r="A169" s="1" t="n"/>
      <c r="B169" s="28" t="n"/>
      <c r="C169" s="26" t="n"/>
      <c r="D169" s="26" t="n"/>
      <c r="E169" s="26" t="n"/>
      <c r="F169" s="27" t="n"/>
      <c r="G169" s="27" t="n"/>
      <c r="H169" s="27" t="n"/>
      <c r="I169" s="27" t="n"/>
      <c r="J169" s="27" t="n"/>
      <c r="K169" s="18">
        <f>IF(AND(B169="",E169=""),"",IF(J169&lt;&gt;"","Arrived",IF(I169&lt;&gt;"","Packed","To pack")))</f>
        <v/>
      </c>
      <c r="L169" s="26" t="n"/>
      <c r="M169" s="1" t="n"/>
      <c r="N169">
        <f>IF(AND(H169&lt;&gt;"",B169&lt;&gt;""),B169+ROW()/10000000,"")</f>
        <v/>
      </c>
    </row>
    <row r="170">
      <c r="A170" s="1" t="n"/>
      <c r="B170" s="28" t="n"/>
      <c r="C170" s="26" t="n"/>
      <c r="D170" s="26" t="n"/>
      <c r="E170" s="26" t="n"/>
      <c r="F170" s="27" t="n"/>
      <c r="G170" s="27" t="n"/>
      <c r="H170" s="27" t="n"/>
      <c r="I170" s="27" t="n"/>
      <c r="J170" s="27" t="n"/>
      <c r="K170" s="18">
        <f>IF(AND(B170="",E170=""),"",IF(J170&lt;&gt;"","Arrived",IF(I170&lt;&gt;"","Packed","To pack")))</f>
        <v/>
      </c>
      <c r="L170" s="26" t="n"/>
      <c r="M170" s="1" t="n"/>
      <c r="N170">
        <f>IF(AND(H170&lt;&gt;"",B170&lt;&gt;""),B170+ROW()/10000000,"")</f>
        <v/>
      </c>
    </row>
    <row r="171">
      <c r="A171" s="1" t="n"/>
      <c r="B171" s="28" t="n"/>
      <c r="C171" s="26" t="n"/>
      <c r="D171" s="26" t="n"/>
      <c r="E171" s="26" t="n"/>
      <c r="F171" s="27" t="n"/>
      <c r="G171" s="27" t="n"/>
      <c r="H171" s="27" t="n"/>
      <c r="I171" s="27" t="n"/>
      <c r="J171" s="27" t="n"/>
      <c r="K171" s="18">
        <f>IF(AND(B171="",E171=""),"",IF(J171&lt;&gt;"","Arrived",IF(I171&lt;&gt;"","Packed","To pack")))</f>
        <v/>
      </c>
      <c r="L171" s="26" t="n"/>
      <c r="M171" s="1" t="n"/>
      <c r="N171">
        <f>IF(AND(H171&lt;&gt;"",B171&lt;&gt;""),B171+ROW()/10000000,"")</f>
        <v/>
      </c>
    </row>
    <row r="172">
      <c r="A172" s="1" t="n"/>
      <c r="B172" s="28" t="n"/>
      <c r="C172" s="26" t="n"/>
      <c r="D172" s="26" t="n"/>
      <c r="E172" s="26" t="n"/>
      <c r="F172" s="27" t="n"/>
      <c r="G172" s="27" t="n"/>
      <c r="H172" s="27" t="n"/>
      <c r="I172" s="27" t="n"/>
      <c r="J172" s="27" t="n"/>
      <c r="K172" s="18">
        <f>IF(AND(B172="",E172=""),"",IF(J172&lt;&gt;"","Arrived",IF(I172&lt;&gt;"","Packed","To pack")))</f>
        <v/>
      </c>
      <c r="L172" s="26" t="n"/>
      <c r="M172" s="1" t="n"/>
      <c r="N172">
        <f>IF(AND(H172&lt;&gt;"",B172&lt;&gt;""),B172+ROW()/10000000,"")</f>
        <v/>
      </c>
    </row>
    <row r="173">
      <c r="A173" s="1" t="n"/>
      <c r="B173" s="28" t="n"/>
      <c r="C173" s="26" t="n"/>
      <c r="D173" s="26" t="n"/>
      <c r="E173" s="26" t="n"/>
      <c r="F173" s="27" t="n"/>
      <c r="G173" s="27" t="n"/>
      <c r="H173" s="27" t="n"/>
      <c r="I173" s="27" t="n"/>
      <c r="J173" s="27" t="n"/>
      <c r="K173" s="18">
        <f>IF(AND(B173="",E173=""),"",IF(J173&lt;&gt;"","Arrived",IF(I173&lt;&gt;"","Packed","To pack")))</f>
        <v/>
      </c>
      <c r="L173" s="26" t="n"/>
      <c r="M173" s="1" t="n"/>
      <c r="N173">
        <f>IF(AND(H173&lt;&gt;"",B173&lt;&gt;""),B173+ROW()/10000000,"")</f>
        <v/>
      </c>
    </row>
    <row r="174">
      <c r="A174" s="1" t="n"/>
      <c r="B174" s="28" t="n"/>
      <c r="C174" s="26" t="n"/>
      <c r="D174" s="26" t="n"/>
      <c r="E174" s="26" t="n"/>
      <c r="F174" s="27" t="n"/>
      <c r="G174" s="27" t="n"/>
      <c r="H174" s="27" t="n"/>
      <c r="I174" s="27" t="n"/>
      <c r="J174" s="27" t="n"/>
      <c r="K174" s="18">
        <f>IF(AND(B174="",E174=""),"",IF(J174&lt;&gt;"","Arrived",IF(I174&lt;&gt;"","Packed","To pack")))</f>
        <v/>
      </c>
      <c r="L174" s="26" t="n"/>
      <c r="M174" s="1" t="n"/>
      <c r="N174">
        <f>IF(AND(H174&lt;&gt;"",B174&lt;&gt;""),B174+ROW()/10000000,"")</f>
        <v/>
      </c>
    </row>
    <row r="175">
      <c r="A175" s="1" t="n"/>
      <c r="B175" s="28" t="n"/>
      <c r="C175" s="26" t="n"/>
      <c r="D175" s="26" t="n"/>
      <c r="E175" s="26" t="n"/>
      <c r="F175" s="27" t="n"/>
      <c r="G175" s="27" t="n"/>
      <c r="H175" s="27" t="n"/>
      <c r="I175" s="27" t="n"/>
      <c r="J175" s="27" t="n"/>
      <c r="K175" s="18">
        <f>IF(AND(B175="",E175=""),"",IF(J175&lt;&gt;"","Arrived",IF(I175&lt;&gt;"","Packed","To pack")))</f>
        <v/>
      </c>
      <c r="L175" s="26" t="n"/>
      <c r="M175" s="1" t="n"/>
      <c r="N175">
        <f>IF(AND(H175&lt;&gt;"",B175&lt;&gt;""),B175+ROW()/10000000,"")</f>
        <v/>
      </c>
    </row>
    <row r="176">
      <c r="A176" s="1" t="n"/>
      <c r="B176" s="28" t="n"/>
      <c r="C176" s="26" t="n"/>
      <c r="D176" s="26" t="n"/>
      <c r="E176" s="26" t="n"/>
      <c r="F176" s="27" t="n"/>
      <c r="G176" s="27" t="n"/>
      <c r="H176" s="27" t="n"/>
      <c r="I176" s="27" t="n"/>
      <c r="J176" s="27" t="n"/>
      <c r="K176" s="18">
        <f>IF(AND(B176="",E176=""),"",IF(J176&lt;&gt;"","Arrived",IF(I176&lt;&gt;"","Packed","To pack")))</f>
        <v/>
      </c>
      <c r="L176" s="26" t="n"/>
      <c r="M176" s="1" t="n"/>
      <c r="N176">
        <f>IF(AND(H176&lt;&gt;"",B176&lt;&gt;""),B176+ROW()/10000000,"")</f>
        <v/>
      </c>
    </row>
    <row r="177">
      <c r="A177" s="1" t="n"/>
      <c r="B177" s="28" t="n"/>
      <c r="C177" s="26" t="n"/>
      <c r="D177" s="26" t="n"/>
      <c r="E177" s="26" t="n"/>
      <c r="F177" s="27" t="n"/>
      <c r="G177" s="27" t="n"/>
      <c r="H177" s="27" t="n"/>
      <c r="I177" s="27" t="n"/>
      <c r="J177" s="27" t="n"/>
      <c r="K177" s="18">
        <f>IF(AND(B177="",E177=""),"",IF(J177&lt;&gt;"","Arrived",IF(I177&lt;&gt;"","Packed","To pack")))</f>
        <v/>
      </c>
      <c r="L177" s="26" t="n"/>
      <c r="M177" s="1" t="n"/>
      <c r="N177">
        <f>IF(AND(H177&lt;&gt;"",B177&lt;&gt;""),B177+ROW()/10000000,"")</f>
        <v/>
      </c>
    </row>
    <row r="178">
      <c r="A178" s="1" t="n"/>
      <c r="B178" s="28" t="n"/>
      <c r="C178" s="26" t="n"/>
      <c r="D178" s="26" t="n"/>
      <c r="E178" s="26" t="n"/>
      <c r="F178" s="27" t="n"/>
      <c r="G178" s="27" t="n"/>
      <c r="H178" s="27" t="n"/>
      <c r="I178" s="27" t="n"/>
      <c r="J178" s="27" t="n"/>
      <c r="K178" s="18">
        <f>IF(AND(B178="",E178=""),"",IF(J178&lt;&gt;"","Arrived",IF(I178&lt;&gt;"","Packed","To pack")))</f>
        <v/>
      </c>
      <c r="L178" s="26" t="n"/>
      <c r="M178" s="1" t="n"/>
      <c r="N178">
        <f>IF(AND(H178&lt;&gt;"",B178&lt;&gt;""),B178+ROW()/10000000,"")</f>
        <v/>
      </c>
    </row>
    <row r="179">
      <c r="A179" s="1" t="n"/>
      <c r="B179" s="28" t="n"/>
      <c r="C179" s="26" t="n"/>
      <c r="D179" s="26" t="n"/>
      <c r="E179" s="26" t="n"/>
      <c r="F179" s="27" t="n"/>
      <c r="G179" s="27" t="n"/>
      <c r="H179" s="27" t="n"/>
      <c r="I179" s="27" t="n"/>
      <c r="J179" s="27" t="n"/>
      <c r="K179" s="18">
        <f>IF(AND(B179="",E179=""),"",IF(J179&lt;&gt;"","Arrived",IF(I179&lt;&gt;"","Packed","To pack")))</f>
        <v/>
      </c>
      <c r="L179" s="26" t="n"/>
      <c r="M179" s="1" t="n"/>
      <c r="N179">
        <f>IF(AND(H179&lt;&gt;"",B179&lt;&gt;""),B179+ROW()/10000000,"")</f>
        <v/>
      </c>
    </row>
    <row r="180">
      <c r="A180" s="1" t="n"/>
      <c r="B180" s="28" t="n"/>
      <c r="C180" s="26" t="n"/>
      <c r="D180" s="26" t="n"/>
      <c r="E180" s="26" t="n"/>
      <c r="F180" s="27" t="n"/>
      <c r="G180" s="27" t="n"/>
      <c r="H180" s="27" t="n"/>
      <c r="I180" s="27" t="n"/>
      <c r="J180" s="27" t="n"/>
      <c r="K180" s="18">
        <f>IF(AND(B180="",E180=""),"",IF(J180&lt;&gt;"","Arrived",IF(I180&lt;&gt;"","Packed","To pack")))</f>
        <v/>
      </c>
      <c r="L180" s="26" t="n"/>
      <c r="M180" s="1" t="n"/>
      <c r="N180">
        <f>IF(AND(H180&lt;&gt;"",B180&lt;&gt;""),B180+ROW()/10000000,"")</f>
        <v/>
      </c>
    </row>
    <row r="181">
      <c r="A181" s="1" t="n"/>
      <c r="B181" s="28" t="n"/>
      <c r="C181" s="26" t="n"/>
      <c r="D181" s="26" t="n"/>
      <c r="E181" s="26" t="n"/>
      <c r="F181" s="27" t="n"/>
      <c r="G181" s="27" t="n"/>
      <c r="H181" s="27" t="n"/>
      <c r="I181" s="27" t="n"/>
      <c r="J181" s="27" t="n"/>
      <c r="K181" s="18">
        <f>IF(AND(B181="",E181=""),"",IF(J181&lt;&gt;"","Arrived",IF(I181&lt;&gt;"","Packed","To pack")))</f>
        <v/>
      </c>
      <c r="L181" s="26" t="n"/>
      <c r="M181" s="1" t="n"/>
      <c r="N181">
        <f>IF(AND(H181&lt;&gt;"",B181&lt;&gt;""),B181+ROW()/10000000,"")</f>
        <v/>
      </c>
    </row>
    <row r="182">
      <c r="A182" s="1" t="n"/>
      <c r="B182" s="28" t="n"/>
      <c r="C182" s="26" t="n"/>
      <c r="D182" s="26" t="n"/>
      <c r="E182" s="26" t="n"/>
      <c r="F182" s="27" t="n"/>
      <c r="G182" s="27" t="n"/>
      <c r="H182" s="27" t="n"/>
      <c r="I182" s="27" t="n"/>
      <c r="J182" s="27" t="n"/>
      <c r="K182" s="18">
        <f>IF(AND(B182="",E182=""),"",IF(J182&lt;&gt;"","Arrived",IF(I182&lt;&gt;"","Packed","To pack")))</f>
        <v/>
      </c>
      <c r="L182" s="26" t="n"/>
      <c r="M182" s="1" t="n"/>
      <c r="N182">
        <f>IF(AND(H182&lt;&gt;"",B182&lt;&gt;""),B182+ROW()/10000000,"")</f>
        <v/>
      </c>
    </row>
    <row r="183">
      <c r="A183" s="1" t="n"/>
      <c r="B183" s="28" t="n"/>
      <c r="C183" s="26" t="n"/>
      <c r="D183" s="26" t="n"/>
      <c r="E183" s="26" t="n"/>
      <c r="F183" s="27" t="n"/>
      <c r="G183" s="27" t="n"/>
      <c r="H183" s="27" t="n"/>
      <c r="I183" s="27" t="n"/>
      <c r="J183" s="27" t="n"/>
      <c r="K183" s="18">
        <f>IF(AND(B183="",E183=""),"",IF(J183&lt;&gt;"","Arrived",IF(I183&lt;&gt;"","Packed","To pack")))</f>
        <v/>
      </c>
      <c r="L183" s="26" t="n"/>
      <c r="M183" s="1" t="n"/>
      <c r="N183">
        <f>IF(AND(H183&lt;&gt;"",B183&lt;&gt;""),B183+ROW()/10000000,"")</f>
        <v/>
      </c>
    </row>
    <row r="184">
      <c r="A184" s="1" t="n"/>
      <c r="B184" s="28" t="n"/>
      <c r="C184" s="26" t="n"/>
      <c r="D184" s="26" t="n"/>
      <c r="E184" s="26" t="n"/>
      <c r="F184" s="27" t="n"/>
      <c r="G184" s="27" t="n"/>
      <c r="H184" s="27" t="n"/>
      <c r="I184" s="27" t="n"/>
      <c r="J184" s="27" t="n"/>
      <c r="K184" s="18">
        <f>IF(AND(B184="",E184=""),"",IF(J184&lt;&gt;"","Arrived",IF(I184&lt;&gt;"","Packed","To pack")))</f>
        <v/>
      </c>
      <c r="L184" s="26" t="n"/>
      <c r="M184" s="1" t="n"/>
      <c r="N184">
        <f>IF(AND(H184&lt;&gt;"",B184&lt;&gt;""),B184+ROW()/10000000,"")</f>
        <v/>
      </c>
    </row>
    <row r="185">
      <c r="A185" s="1" t="n"/>
      <c r="B185" s="28" t="n"/>
      <c r="C185" s="26" t="n"/>
      <c r="D185" s="26" t="n"/>
      <c r="E185" s="26" t="n"/>
      <c r="F185" s="27" t="n"/>
      <c r="G185" s="27" t="n"/>
      <c r="H185" s="27" t="n"/>
      <c r="I185" s="27" t="n"/>
      <c r="J185" s="27" t="n"/>
      <c r="K185" s="18">
        <f>IF(AND(B185="",E185=""),"",IF(J185&lt;&gt;"","Arrived",IF(I185&lt;&gt;"","Packed","To pack")))</f>
        <v/>
      </c>
      <c r="L185" s="26" t="n"/>
      <c r="M185" s="1" t="n"/>
      <c r="N185">
        <f>IF(AND(H185&lt;&gt;"",B185&lt;&gt;""),B185+ROW()/10000000,"")</f>
        <v/>
      </c>
    </row>
    <row r="186">
      <c r="A186" s="1" t="n"/>
      <c r="B186" s="28" t="n"/>
      <c r="C186" s="26" t="n"/>
      <c r="D186" s="26" t="n"/>
      <c r="E186" s="26" t="n"/>
      <c r="F186" s="27" t="n"/>
      <c r="G186" s="27" t="n"/>
      <c r="H186" s="27" t="n"/>
      <c r="I186" s="27" t="n"/>
      <c r="J186" s="27" t="n"/>
      <c r="K186" s="18">
        <f>IF(AND(B186="",E186=""),"",IF(J186&lt;&gt;"","Arrived",IF(I186&lt;&gt;"","Packed","To pack")))</f>
        <v/>
      </c>
      <c r="L186" s="26" t="n"/>
      <c r="M186" s="1" t="n"/>
      <c r="N186">
        <f>IF(AND(H186&lt;&gt;"",B186&lt;&gt;""),B186+ROW()/10000000,"")</f>
        <v/>
      </c>
    </row>
    <row r="187">
      <c r="A187" s="1" t="n"/>
      <c r="B187" s="28" t="n"/>
      <c r="C187" s="26" t="n"/>
      <c r="D187" s="26" t="n"/>
      <c r="E187" s="26" t="n"/>
      <c r="F187" s="27" t="n"/>
      <c r="G187" s="27" t="n"/>
      <c r="H187" s="27" t="n"/>
      <c r="I187" s="27" t="n"/>
      <c r="J187" s="27" t="n"/>
      <c r="K187" s="18">
        <f>IF(AND(B187="",E187=""),"",IF(J187&lt;&gt;"","Arrived",IF(I187&lt;&gt;"","Packed","To pack")))</f>
        <v/>
      </c>
      <c r="L187" s="26" t="n"/>
      <c r="M187" s="1" t="n"/>
      <c r="N187">
        <f>IF(AND(H187&lt;&gt;"",B187&lt;&gt;""),B187+ROW()/10000000,"")</f>
        <v/>
      </c>
    </row>
    <row r="188">
      <c r="A188" s="1" t="n"/>
      <c r="B188" s="28" t="n"/>
      <c r="C188" s="26" t="n"/>
      <c r="D188" s="26" t="n"/>
      <c r="E188" s="26" t="n"/>
      <c r="F188" s="27" t="n"/>
      <c r="G188" s="27" t="n"/>
      <c r="H188" s="27" t="n"/>
      <c r="I188" s="27" t="n"/>
      <c r="J188" s="27" t="n"/>
      <c r="K188" s="18">
        <f>IF(AND(B188="",E188=""),"",IF(J188&lt;&gt;"","Arrived",IF(I188&lt;&gt;"","Packed","To pack")))</f>
        <v/>
      </c>
      <c r="L188" s="26" t="n"/>
      <c r="M188" s="1" t="n"/>
      <c r="N188">
        <f>IF(AND(H188&lt;&gt;"",B188&lt;&gt;""),B188+ROW()/10000000,"")</f>
        <v/>
      </c>
    </row>
    <row r="189">
      <c r="A189" s="1" t="n"/>
      <c r="B189" s="28" t="n"/>
      <c r="C189" s="26" t="n"/>
      <c r="D189" s="26" t="n"/>
      <c r="E189" s="26" t="n"/>
      <c r="F189" s="27" t="n"/>
      <c r="G189" s="27" t="n"/>
      <c r="H189" s="27" t="n"/>
      <c r="I189" s="27" t="n"/>
      <c r="J189" s="27" t="n"/>
      <c r="K189" s="18">
        <f>IF(AND(B189="",E189=""),"",IF(J189&lt;&gt;"","Arrived",IF(I189&lt;&gt;"","Packed","To pack")))</f>
        <v/>
      </c>
      <c r="L189" s="26" t="n"/>
      <c r="M189" s="1" t="n"/>
      <c r="N189">
        <f>IF(AND(H189&lt;&gt;"",B189&lt;&gt;""),B189+ROW()/10000000,"")</f>
        <v/>
      </c>
    </row>
    <row r="190">
      <c r="A190" s="1" t="n"/>
      <c r="B190" s="28" t="n"/>
      <c r="C190" s="26" t="n"/>
      <c r="D190" s="26" t="n"/>
      <c r="E190" s="26" t="n"/>
      <c r="F190" s="27" t="n"/>
      <c r="G190" s="27" t="n"/>
      <c r="H190" s="27" t="n"/>
      <c r="I190" s="27" t="n"/>
      <c r="J190" s="27" t="n"/>
      <c r="K190" s="18">
        <f>IF(AND(B190="",E190=""),"",IF(J190&lt;&gt;"","Arrived",IF(I190&lt;&gt;"","Packed","To pack")))</f>
        <v/>
      </c>
      <c r="L190" s="26" t="n"/>
      <c r="M190" s="1" t="n"/>
      <c r="N190">
        <f>IF(AND(H190&lt;&gt;"",B190&lt;&gt;""),B190+ROW()/10000000,"")</f>
        <v/>
      </c>
    </row>
    <row r="191">
      <c r="A191" s="1" t="n"/>
      <c r="B191" s="28" t="n"/>
      <c r="C191" s="26" t="n"/>
      <c r="D191" s="26" t="n"/>
      <c r="E191" s="26" t="n"/>
      <c r="F191" s="27" t="n"/>
      <c r="G191" s="27" t="n"/>
      <c r="H191" s="27" t="n"/>
      <c r="I191" s="27" t="n"/>
      <c r="J191" s="27" t="n"/>
      <c r="K191" s="18">
        <f>IF(AND(B191="",E191=""),"",IF(J191&lt;&gt;"","Arrived",IF(I191&lt;&gt;"","Packed","To pack")))</f>
        <v/>
      </c>
      <c r="L191" s="26" t="n"/>
      <c r="M191" s="1" t="n"/>
      <c r="N191">
        <f>IF(AND(H191&lt;&gt;"",B191&lt;&gt;""),B191+ROW()/10000000,"")</f>
        <v/>
      </c>
    </row>
    <row r="192">
      <c r="A192" s="1" t="n"/>
      <c r="B192" s="28" t="n"/>
      <c r="C192" s="26" t="n"/>
      <c r="D192" s="26" t="n"/>
      <c r="E192" s="26" t="n"/>
      <c r="F192" s="27" t="n"/>
      <c r="G192" s="27" t="n"/>
      <c r="H192" s="27" t="n"/>
      <c r="I192" s="27" t="n"/>
      <c r="J192" s="27" t="n"/>
      <c r="K192" s="18">
        <f>IF(AND(B192="",E192=""),"",IF(J192&lt;&gt;"","Arrived",IF(I192&lt;&gt;"","Packed","To pack")))</f>
        <v/>
      </c>
      <c r="L192" s="26" t="n"/>
      <c r="M192" s="1" t="n"/>
      <c r="N192">
        <f>IF(AND(H192&lt;&gt;"",B192&lt;&gt;""),B192+ROW()/10000000,"")</f>
        <v/>
      </c>
    </row>
    <row r="193">
      <c r="A193" s="1" t="n"/>
      <c r="B193" s="28" t="n"/>
      <c r="C193" s="26" t="n"/>
      <c r="D193" s="26" t="n"/>
      <c r="E193" s="26" t="n"/>
      <c r="F193" s="27" t="n"/>
      <c r="G193" s="27" t="n"/>
      <c r="H193" s="27" t="n"/>
      <c r="I193" s="27" t="n"/>
      <c r="J193" s="27" t="n"/>
      <c r="K193" s="18">
        <f>IF(AND(B193="",E193=""),"",IF(J193&lt;&gt;"","Arrived",IF(I193&lt;&gt;"","Packed","To pack")))</f>
        <v/>
      </c>
      <c r="L193" s="26" t="n"/>
      <c r="M193" s="1" t="n"/>
      <c r="N193">
        <f>IF(AND(H193&lt;&gt;"",B193&lt;&gt;""),B193+ROW()/10000000,"")</f>
        <v/>
      </c>
    </row>
    <row r="194">
      <c r="A194" s="1" t="n"/>
      <c r="B194" s="28" t="n"/>
      <c r="C194" s="26" t="n"/>
      <c r="D194" s="26" t="n"/>
      <c r="E194" s="26" t="n"/>
      <c r="F194" s="27" t="n"/>
      <c r="G194" s="27" t="n"/>
      <c r="H194" s="27" t="n"/>
      <c r="I194" s="27" t="n"/>
      <c r="J194" s="27" t="n"/>
      <c r="K194" s="18">
        <f>IF(AND(B194="",E194=""),"",IF(J194&lt;&gt;"","Arrived",IF(I194&lt;&gt;"","Packed","To pack")))</f>
        <v/>
      </c>
      <c r="L194" s="26" t="n"/>
      <c r="M194" s="1" t="n"/>
      <c r="N194">
        <f>IF(AND(H194&lt;&gt;"",B194&lt;&gt;""),B194+ROW()/10000000,"")</f>
        <v/>
      </c>
    </row>
    <row r="195">
      <c r="A195" s="1" t="n"/>
      <c r="B195" s="28" t="n"/>
      <c r="C195" s="26" t="n"/>
      <c r="D195" s="26" t="n"/>
      <c r="E195" s="26" t="n"/>
      <c r="F195" s="27" t="n"/>
      <c r="G195" s="27" t="n"/>
      <c r="H195" s="27" t="n"/>
      <c r="I195" s="27" t="n"/>
      <c r="J195" s="27" t="n"/>
      <c r="K195" s="18">
        <f>IF(AND(B195="",E195=""),"",IF(J195&lt;&gt;"","Arrived",IF(I195&lt;&gt;"","Packed","To pack")))</f>
        <v/>
      </c>
      <c r="L195" s="26" t="n"/>
      <c r="M195" s="1" t="n"/>
      <c r="N195">
        <f>IF(AND(H195&lt;&gt;"",B195&lt;&gt;""),B195+ROW()/10000000,"")</f>
        <v/>
      </c>
    </row>
    <row r="196">
      <c r="A196" s="1" t="n"/>
      <c r="B196" s="28" t="n"/>
      <c r="C196" s="26" t="n"/>
      <c r="D196" s="26" t="n"/>
      <c r="E196" s="26" t="n"/>
      <c r="F196" s="27" t="n"/>
      <c r="G196" s="27" t="n"/>
      <c r="H196" s="27" t="n"/>
      <c r="I196" s="27" t="n"/>
      <c r="J196" s="27" t="n"/>
      <c r="K196" s="18">
        <f>IF(AND(B196="",E196=""),"",IF(J196&lt;&gt;"","Arrived",IF(I196&lt;&gt;"","Packed","To pack")))</f>
        <v/>
      </c>
      <c r="L196" s="26" t="n"/>
      <c r="M196" s="1" t="n"/>
      <c r="N196">
        <f>IF(AND(H196&lt;&gt;"",B196&lt;&gt;""),B196+ROW()/10000000,"")</f>
        <v/>
      </c>
    </row>
    <row r="197">
      <c r="A197" s="1" t="n"/>
      <c r="B197" s="28" t="n"/>
      <c r="C197" s="26" t="n"/>
      <c r="D197" s="26" t="n"/>
      <c r="E197" s="26" t="n"/>
      <c r="F197" s="27" t="n"/>
      <c r="G197" s="27" t="n"/>
      <c r="H197" s="27" t="n"/>
      <c r="I197" s="27" t="n"/>
      <c r="J197" s="27" t="n"/>
      <c r="K197" s="18">
        <f>IF(AND(B197="",E197=""),"",IF(J197&lt;&gt;"","Arrived",IF(I197&lt;&gt;"","Packed","To pack")))</f>
        <v/>
      </c>
      <c r="L197" s="26" t="n"/>
      <c r="M197" s="1" t="n"/>
      <c r="N197">
        <f>IF(AND(H197&lt;&gt;"",B197&lt;&gt;""),B197+ROW()/10000000,"")</f>
        <v/>
      </c>
    </row>
    <row r="198">
      <c r="A198" s="1" t="n"/>
      <c r="B198" s="28" t="n"/>
      <c r="C198" s="26" t="n"/>
      <c r="D198" s="26" t="n"/>
      <c r="E198" s="26" t="n"/>
      <c r="F198" s="27" t="n"/>
      <c r="G198" s="27" t="n"/>
      <c r="H198" s="27" t="n"/>
      <c r="I198" s="27" t="n"/>
      <c r="J198" s="27" t="n"/>
      <c r="K198" s="18">
        <f>IF(AND(B198="",E198=""),"",IF(J198&lt;&gt;"","Arrived",IF(I198&lt;&gt;"","Packed","To pack")))</f>
        <v/>
      </c>
      <c r="L198" s="26" t="n"/>
      <c r="M198" s="1" t="n"/>
      <c r="N198">
        <f>IF(AND(H198&lt;&gt;"",B198&lt;&gt;""),B198+ROW()/10000000,"")</f>
        <v/>
      </c>
    </row>
    <row r="199">
      <c r="A199" s="1" t="n"/>
      <c r="B199" s="28" t="n"/>
      <c r="C199" s="26" t="n"/>
      <c r="D199" s="26" t="n"/>
      <c r="E199" s="26" t="n"/>
      <c r="F199" s="27" t="n"/>
      <c r="G199" s="27" t="n"/>
      <c r="H199" s="27" t="n"/>
      <c r="I199" s="27" t="n"/>
      <c r="J199" s="27" t="n"/>
      <c r="K199" s="18">
        <f>IF(AND(B199="",E199=""),"",IF(J199&lt;&gt;"","Arrived",IF(I199&lt;&gt;"","Packed","To pack")))</f>
        <v/>
      </c>
      <c r="L199" s="26" t="n"/>
      <c r="M199" s="1" t="n"/>
      <c r="N199">
        <f>IF(AND(H199&lt;&gt;"",B199&lt;&gt;""),B199+ROW()/10000000,"")</f>
        <v/>
      </c>
    </row>
    <row r="200">
      <c r="A200" s="1" t="n"/>
      <c r="B200" s="28" t="n"/>
      <c r="C200" s="26" t="n"/>
      <c r="D200" s="26" t="n"/>
      <c r="E200" s="26" t="n"/>
      <c r="F200" s="27" t="n"/>
      <c r="G200" s="27" t="n"/>
      <c r="H200" s="27" t="n"/>
      <c r="I200" s="27" t="n"/>
      <c r="J200" s="27" t="n"/>
      <c r="K200" s="18">
        <f>IF(AND(B200="",E200=""),"",IF(J200&lt;&gt;"","Arrived",IF(I200&lt;&gt;"","Packed","To pack")))</f>
        <v/>
      </c>
      <c r="L200" s="26" t="n"/>
      <c r="M200" s="1" t="n"/>
      <c r="N200">
        <f>IF(AND(H200&lt;&gt;"",B200&lt;&gt;""),B200+ROW()/10000000,"")</f>
        <v/>
      </c>
    </row>
    <row r="201">
      <c r="A201" s="1" t="n"/>
      <c r="B201" s="28" t="n"/>
      <c r="C201" s="26" t="n"/>
      <c r="D201" s="26" t="n"/>
      <c r="E201" s="26" t="n"/>
      <c r="F201" s="27" t="n"/>
      <c r="G201" s="27" t="n"/>
      <c r="H201" s="27" t="n"/>
      <c r="I201" s="27" t="n"/>
      <c r="J201" s="27" t="n"/>
      <c r="K201" s="18">
        <f>IF(AND(B201="",E201=""),"",IF(J201&lt;&gt;"","Arrived",IF(I201&lt;&gt;"","Packed","To pack")))</f>
        <v/>
      </c>
      <c r="L201" s="26" t="n"/>
      <c r="M201" s="1" t="n"/>
      <c r="N201">
        <f>IF(AND(H201&lt;&gt;"",B201&lt;&gt;""),B201+ROW()/10000000,"")</f>
        <v/>
      </c>
    </row>
    <row r="202">
      <c r="A202" s="1" t="n"/>
      <c r="B202" s="28" t="n"/>
      <c r="C202" s="26" t="n"/>
      <c r="D202" s="26" t="n"/>
      <c r="E202" s="26" t="n"/>
      <c r="F202" s="27" t="n"/>
      <c r="G202" s="27" t="n"/>
      <c r="H202" s="27" t="n"/>
      <c r="I202" s="27" t="n"/>
      <c r="J202" s="27" t="n"/>
      <c r="K202" s="18">
        <f>IF(AND(B202="",E202=""),"",IF(J202&lt;&gt;"","Arrived",IF(I202&lt;&gt;"","Packed","To pack")))</f>
        <v/>
      </c>
      <c r="L202" s="26" t="n"/>
      <c r="M202" s="1" t="n"/>
      <c r="N202">
        <f>IF(AND(H202&lt;&gt;"",B202&lt;&gt;""),B202+ROW()/10000000,"")</f>
        <v/>
      </c>
    </row>
    <row r="203">
      <c r="A203" s="1" t="n"/>
      <c r="B203" s="28" t="n"/>
      <c r="C203" s="26" t="n"/>
      <c r="D203" s="26" t="n"/>
      <c r="E203" s="26" t="n"/>
      <c r="F203" s="27" t="n"/>
      <c r="G203" s="27" t="n"/>
      <c r="H203" s="27" t="n"/>
      <c r="I203" s="27" t="n"/>
      <c r="J203" s="27" t="n"/>
      <c r="K203" s="18">
        <f>IF(AND(B203="",E203=""),"",IF(J203&lt;&gt;"","Arrived",IF(I203&lt;&gt;"","Packed","To pack")))</f>
        <v/>
      </c>
      <c r="L203" s="26" t="n"/>
      <c r="M203" s="1" t="n"/>
      <c r="N203">
        <f>IF(AND(H203&lt;&gt;"",B203&lt;&gt;""),B203+ROW()/10000000,"")</f>
        <v/>
      </c>
    </row>
    <row r="204">
      <c r="A204" s="1" t="n"/>
      <c r="B204" s="28" t="n"/>
      <c r="C204" s="26" t="n"/>
      <c r="D204" s="26" t="n"/>
      <c r="E204" s="26" t="n"/>
      <c r="F204" s="27" t="n"/>
      <c r="G204" s="27" t="n"/>
      <c r="H204" s="27" t="n"/>
      <c r="I204" s="27" t="n"/>
      <c r="J204" s="27" t="n"/>
      <c r="K204" s="18">
        <f>IF(AND(B204="",E204=""),"",IF(J204&lt;&gt;"","Arrived",IF(I204&lt;&gt;"","Packed","To pack")))</f>
        <v/>
      </c>
      <c r="L204" s="26" t="n"/>
      <c r="M204" s="1" t="n"/>
      <c r="N204">
        <f>IF(AND(H204&lt;&gt;"",B204&lt;&gt;""),B204+ROW()/10000000,"")</f>
        <v/>
      </c>
    </row>
    <row r="205">
      <c r="A205" s="1" t="n"/>
      <c r="B205" s="28" t="n"/>
      <c r="C205" s="26" t="n"/>
      <c r="D205" s="26" t="n"/>
      <c r="E205" s="26" t="n"/>
      <c r="F205" s="27" t="n"/>
      <c r="G205" s="27" t="n"/>
      <c r="H205" s="27" t="n"/>
      <c r="I205" s="27" t="n"/>
      <c r="J205" s="27" t="n"/>
      <c r="K205" s="18">
        <f>IF(AND(B205="",E205=""),"",IF(J205&lt;&gt;"","Arrived",IF(I205&lt;&gt;"","Packed","To pack")))</f>
        <v/>
      </c>
      <c r="L205" s="26" t="n"/>
      <c r="M205" s="1" t="n"/>
      <c r="N205">
        <f>IF(AND(H205&lt;&gt;"",B205&lt;&gt;""),B205+ROW()/10000000,"")</f>
        <v/>
      </c>
    </row>
    <row r="206">
      <c r="A206" s="1" t="n"/>
      <c r="B206" s="28" t="n"/>
      <c r="C206" s="26" t="n"/>
      <c r="D206" s="26" t="n"/>
      <c r="E206" s="26" t="n"/>
      <c r="F206" s="27" t="n"/>
      <c r="G206" s="27" t="n"/>
      <c r="H206" s="27" t="n"/>
      <c r="I206" s="27" t="n"/>
      <c r="J206" s="27" t="n"/>
      <c r="K206" s="18">
        <f>IF(AND(B206="",E206=""),"",IF(J206&lt;&gt;"","Arrived",IF(I206&lt;&gt;"","Packed","To pack")))</f>
        <v/>
      </c>
      <c r="L206" s="26" t="n"/>
      <c r="M206" s="1" t="n"/>
      <c r="N206">
        <f>IF(AND(H206&lt;&gt;"",B206&lt;&gt;""),B206+ROW()/10000000,"")</f>
        <v/>
      </c>
    </row>
    <row r="207">
      <c r="A207" s="1" t="n"/>
      <c r="B207" s="28" t="n"/>
      <c r="C207" s="26" t="n"/>
      <c r="D207" s="26" t="n"/>
      <c r="E207" s="26" t="n"/>
      <c r="F207" s="27" t="n"/>
      <c r="G207" s="27" t="n"/>
      <c r="H207" s="27" t="n"/>
      <c r="I207" s="27" t="n"/>
      <c r="J207" s="27" t="n"/>
      <c r="K207" s="18">
        <f>IF(AND(B207="",E207=""),"",IF(J207&lt;&gt;"","Arrived",IF(I207&lt;&gt;"","Packed","To pack")))</f>
        <v/>
      </c>
      <c r="L207" s="26" t="n"/>
      <c r="M207" s="1" t="n"/>
      <c r="N207">
        <f>IF(AND(H207&lt;&gt;"",B207&lt;&gt;""),B207+ROW()/10000000,"")</f>
        <v/>
      </c>
    </row>
    <row r="208">
      <c r="A208" s="1" t="n"/>
      <c r="B208" s="28" t="n"/>
      <c r="C208" s="26" t="n"/>
      <c r="D208" s="26" t="n"/>
      <c r="E208" s="26" t="n"/>
      <c r="F208" s="27" t="n"/>
      <c r="G208" s="27" t="n"/>
      <c r="H208" s="27" t="n"/>
      <c r="I208" s="27" t="n"/>
      <c r="J208" s="27" t="n"/>
      <c r="K208" s="18">
        <f>IF(AND(B208="",E208=""),"",IF(J208&lt;&gt;"","Arrived",IF(I208&lt;&gt;"","Packed","To pack")))</f>
        <v/>
      </c>
      <c r="L208" s="26" t="n"/>
      <c r="M208" s="1" t="n"/>
      <c r="N208">
        <f>IF(AND(H208&lt;&gt;"",B208&lt;&gt;""),B208+ROW()/10000000,"")</f>
        <v/>
      </c>
    </row>
    <row r="209">
      <c r="A209" s="1" t="n"/>
      <c r="B209" s="28" t="n"/>
      <c r="C209" s="26" t="n"/>
      <c r="D209" s="26" t="n"/>
      <c r="E209" s="26" t="n"/>
      <c r="F209" s="27" t="n"/>
      <c r="G209" s="27" t="n"/>
      <c r="H209" s="27" t="n"/>
      <c r="I209" s="27" t="n"/>
      <c r="J209" s="27" t="n"/>
      <c r="K209" s="18">
        <f>IF(AND(B209="",E209=""),"",IF(J209&lt;&gt;"","Arrived",IF(I209&lt;&gt;"","Packed","To pack")))</f>
        <v/>
      </c>
      <c r="L209" s="26" t="n"/>
      <c r="M209" s="1" t="n"/>
      <c r="N209">
        <f>IF(AND(H209&lt;&gt;"",B209&lt;&gt;""),B209+ROW()/10000000,"")</f>
        <v/>
      </c>
    </row>
    <row r="210">
      <c r="A210" s="1" t="n"/>
      <c r="B210" s="28" t="n"/>
      <c r="C210" s="26" t="n"/>
      <c r="D210" s="26" t="n"/>
      <c r="E210" s="26" t="n"/>
      <c r="F210" s="27" t="n"/>
      <c r="G210" s="27" t="n"/>
      <c r="H210" s="27" t="n"/>
      <c r="I210" s="27" t="n"/>
      <c r="J210" s="27" t="n"/>
      <c r="K210" s="18">
        <f>IF(AND(B210="",E210=""),"",IF(J210&lt;&gt;"","Arrived",IF(I210&lt;&gt;"","Packed","To pack")))</f>
        <v/>
      </c>
      <c r="L210" s="26" t="n"/>
      <c r="M210" s="1" t="n"/>
      <c r="N210">
        <f>IF(AND(H210&lt;&gt;"",B210&lt;&gt;""),B210+ROW()/10000000,"")</f>
        <v/>
      </c>
    </row>
    <row r="211">
      <c r="A211" s="1" t="n"/>
      <c r="B211" s="28" t="n"/>
      <c r="C211" s="26" t="n"/>
      <c r="D211" s="26" t="n"/>
      <c r="E211" s="26" t="n"/>
      <c r="F211" s="27" t="n"/>
      <c r="G211" s="27" t="n"/>
      <c r="H211" s="27" t="n"/>
      <c r="I211" s="27" t="n"/>
      <c r="J211" s="27" t="n"/>
      <c r="K211" s="18">
        <f>IF(AND(B211="",E211=""),"",IF(J211&lt;&gt;"","Arrived",IF(I211&lt;&gt;"","Packed","To pack")))</f>
        <v/>
      </c>
      <c r="L211" s="26" t="n"/>
      <c r="M211" s="1" t="n"/>
      <c r="N211">
        <f>IF(AND(H211&lt;&gt;"",B211&lt;&gt;""),B211+ROW()/10000000,"")</f>
        <v/>
      </c>
    </row>
    <row r="212">
      <c r="A212" s="1" t="n"/>
      <c r="B212" s="28" t="n"/>
      <c r="C212" s="26" t="n"/>
      <c r="D212" s="26" t="n"/>
      <c r="E212" s="26" t="n"/>
      <c r="F212" s="27" t="n"/>
      <c r="G212" s="27" t="n"/>
      <c r="H212" s="27" t="n"/>
      <c r="I212" s="27" t="n"/>
      <c r="J212" s="27" t="n"/>
      <c r="K212" s="18">
        <f>IF(AND(B212="",E212=""),"",IF(J212&lt;&gt;"","Arrived",IF(I212&lt;&gt;"","Packed","To pack")))</f>
        <v/>
      </c>
      <c r="L212" s="26" t="n"/>
      <c r="M212" s="1" t="n"/>
      <c r="N212">
        <f>IF(AND(H212&lt;&gt;"",B212&lt;&gt;""),B212+ROW()/10000000,"")</f>
        <v/>
      </c>
    </row>
    <row r="213">
      <c r="A213" s="1" t="n"/>
      <c r="B213" s="28" t="n"/>
      <c r="C213" s="26" t="n"/>
      <c r="D213" s="26" t="n"/>
      <c r="E213" s="26" t="n"/>
      <c r="F213" s="27" t="n"/>
      <c r="G213" s="27" t="n"/>
      <c r="H213" s="27" t="n"/>
      <c r="I213" s="27" t="n"/>
      <c r="J213" s="27" t="n"/>
      <c r="K213" s="18">
        <f>IF(AND(B213="",E213=""),"",IF(J213&lt;&gt;"","Arrived",IF(I213&lt;&gt;"","Packed","To pack")))</f>
        <v/>
      </c>
      <c r="L213" s="26" t="n"/>
      <c r="M213" s="1" t="n"/>
      <c r="N213">
        <f>IF(AND(H213&lt;&gt;"",B213&lt;&gt;""),B213+ROW()/10000000,"")</f>
        <v/>
      </c>
    </row>
    <row r="214">
      <c r="A214" s="1" t="n"/>
      <c r="B214" s="28" t="n"/>
      <c r="C214" s="26" t="n"/>
      <c r="D214" s="26" t="n"/>
      <c r="E214" s="26" t="n"/>
      <c r="F214" s="27" t="n"/>
      <c r="G214" s="27" t="n"/>
      <c r="H214" s="27" t="n"/>
      <c r="I214" s="27" t="n"/>
      <c r="J214" s="27" t="n"/>
      <c r="K214" s="18">
        <f>IF(AND(B214="",E214=""),"",IF(J214&lt;&gt;"","Arrived",IF(I214&lt;&gt;"","Packed","To pack")))</f>
        <v/>
      </c>
      <c r="L214" s="26" t="n"/>
      <c r="M214" s="1" t="n"/>
      <c r="N214">
        <f>IF(AND(H214&lt;&gt;"",B214&lt;&gt;""),B214+ROW()/10000000,"")</f>
        <v/>
      </c>
    </row>
    <row r="215">
      <c r="A215" s="1" t="n"/>
      <c r="B215" s="28" t="n"/>
      <c r="C215" s="26" t="n"/>
      <c r="D215" s="26" t="n"/>
      <c r="E215" s="26" t="n"/>
      <c r="F215" s="27" t="n"/>
      <c r="G215" s="27" t="n"/>
      <c r="H215" s="27" t="n"/>
      <c r="I215" s="27" t="n"/>
      <c r="J215" s="27" t="n"/>
      <c r="K215" s="18">
        <f>IF(AND(B215="",E215=""),"",IF(J215&lt;&gt;"","Arrived",IF(I215&lt;&gt;"","Packed","To pack")))</f>
        <v/>
      </c>
      <c r="L215" s="26" t="n"/>
      <c r="M215" s="1" t="n"/>
      <c r="N215">
        <f>IF(AND(H215&lt;&gt;"",B215&lt;&gt;""),B215+ROW()/10000000,"")</f>
        <v/>
      </c>
    </row>
    <row r="216">
      <c r="A216" s="1" t="n"/>
      <c r="B216" s="28" t="n"/>
      <c r="C216" s="26" t="n"/>
      <c r="D216" s="26" t="n"/>
      <c r="E216" s="26" t="n"/>
      <c r="F216" s="27" t="n"/>
      <c r="G216" s="27" t="n"/>
      <c r="H216" s="27" t="n"/>
      <c r="I216" s="27" t="n"/>
      <c r="J216" s="27" t="n"/>
      <c r="K216" s="18">
        <f>IF(AND(B216="",E216=""),"",IF(J216&lt;&gt;"","Arrived",IF(I216&lt;&gt;"","Packed","To pack")))</f>
        <v/>
      </c>
      <c r="L216" s="26" t="n"/>
      <c r="M216" s="1" t="n"/>
      <c r="N216">
        <f>IF(AND(H216&lt;&gt;"",B216&lt;&gt;""),B216+ROW()/10000000,"")</f>
        <v/>
      </c>
    </row>
    <row r="217">
      <c r="A217" s="1" t="n"/>
      <c r="B217" s="28" t="n"/>
      <c r="C217" s="26" t="n"/>
      <c r="D217" s="26" t="n"/>
      <c r="E217" s="26" t="n"/>
      <c r="F217" s="27" t="n"/>
      <c r="G217" s="27" t="n"/>
      <c r="H217" s="27" t="n"/>
      <c r="I217" s="27" t="n"/>
      <c r="J217" s="27" t="n"/>
      <c r="K217" s="18">
        <f>IF(AND(B217="",E217=""),"",IF(J217&lt;&gt;"","Arrived",IF(I217&lt;&gt;"","Packed","To pack")))</f>
        <v/>
      </c>
      <c r="L217" s="26" t="n"/>
      <c r="M217" s="1" t="n"/>
      <c r="N217">
        <f>IF(AND(H217&lt;&gt;"",B217&lt;&gt;""),B217+ROW()/10000000,"")</f>
        <v/>
      </c>
    </row>
    <row r="218">
      <c r="A218" s="1" t="n"/>
      <c r="B218" s="28" t="n"/>
      <c r="C218" s="26" t="n"/>
      <c r="D218" s="26" t="n"/>
      <c r="E218" s="26" t="n"/>
      <c r="F218" s="27" t="n"/>
      <c r="G218" s="27" t="n"/>
      <c r="H218" s="27" t="n"/>
      <c r="I218" s="27" t="n"/>
      <c r="J218" s="27" t="n"/>
      <c r="K218" s="18">
        <f>IF(AND(B218="",E218=""),"",IF(J218&lt;&gt;"","Arrived",IF(I218&lt;&gt;"","Packed","To pack")))</f>
        <v/>
      </c>
      <c r="L218" s="26" t="n"/>
      <c r="M218" s="1" t="n"/>
      <c r="N218">
        <f>IF(AND(H218&lt;&gt;"",B218&lt;&gt;""),B218+ROW()/10000000,"")</f>
        <v/>
      </c>
    </row>
    <row r="219">
      <c r="A219" s="1" t="n"/>
      <c r="B219" s="28" t="n"/>
      <c r="C219" s="26" t="n"/>
      <c r="D219" s="26" t="n"/>
      <c r="E219" s="26" t="n"/>
      <c r="F219" s="27" t="n"/>
      <c r="G219" s="27" t="n"/>
      <c r="H219" s="27" t="n"/>
      <c r="I219" s="27" t="n"/>
      <c r="J219" s="27" t="n"/>
      <c r="K219" s="18">
        <f>IF(AND(B219="",E219=""),"",IF(J219&lt;&gt;"","Arrived",IF(I219&lt;&gt;"","Packed","To pack")))</f>
        <v/>
      </c>
      <c r="L219" s="26" t="n"/>
      <c r="M219" s="1" t="n"/>
      <c r="N219">
        <f>IF(AND(H219&lt;&gt;"",B219&lt;&gt;""),B219+ROW()/10000000,"")</f>
        <v/>
      </c>
    </row>
    <row r="220">
      <c r="A220" s="1" t="n"/>
      <c r="B220" s="28" t="n"/>
      <c r="C220" s="26" t="n"/>
      <c r="D220" s="26" t="n"/>
      <c r="E220" s="26" t="n"/>
      <c r="F220" s="27" t="n"/>
      <c r="G220" s="27" t="n"/>
      <c r="H220" s="27" t="n"/>
      <c r="I220" s="27" t="n"/>
      <c r="J220" s="27" t="n"/>
      <c r="K220" s="18">
        <f>IF(AND(B220="",E220=""),"",IF(J220&lt;&gt;"","Arrived",IF(I220&lt;&gt;"","Packed","To pack")))</f>
        <v/>
      </c>
      <c r="L220" s="26" t="n"/>
      <c r="M220" s="1" t="n"/>
      <c r="N220">
        <f>IF(AND(H220&lt;&gt;"",B220&lt;&gt;""),B220+ROW()/10000000,"")</f>
        <v/>
      </c>
    </row>
    <row r="221">
      <c r="A221" s="1" t="n"/>
      <c r="B221" s="28" t="n"/>
      <c r="C221" s="26" t="n"/>
      <c r="D221" s="26" t="n"/>
      <c r="E221" s="26" t="n"/>
      <c r="F221" s="27" t="n"/>
      <c r="G221" s="27" t="n"/>
      <c r="H221" s="27" t="n"/>
      <c r="I221" s="27" t="n"/>
      <c r="J221" s="27" t="n"/>
      <c r="K221" s="18">
        <f>IF(AND(B221="",E221=""),"",IF(J221&lt;&gt;"","Arrived",IF(I221&lt;&gt;"","Packed","To pack")))</f>
        <v/>
      </c>
      <c r="L221" s="26" t="n"/>
      <c r="M221" s="1" t="n"/>
      <c r="N221">
        <f>IF(AND(H221&lt;&gt;"",B221&lt;&gt;""),B221+ROW()/10000000,"")</f>
        <v/>
      </c>
    </row>
    <row r="222">
      <c r="A222" s="1" t="n"/>
      <c r="B222" s="28" t="n"/>
      <c r="C222" s="26" t="n"/>
      <c r="D222" s="26" t="n"/>
      <c r="E222" s="26" t="n"/>
      <c r="F222" s="27" t="n"/>
      <c r="G222" s="27" t="n"/>
      <c r="H222" s="27" t="n"/>
      <c r="I222" s="27" t="n"/>
      <c r="J222" s="27" t="n"/>
      <c r="K222" s="18">
        <f>IF(AND(B222="",E222=""),"",IF(J222&lt;&gt;"","Arrived",IF(I222&lt;&gt;"","Packed","To pack")))</f>
        <v/>
      </c>
      <c r="L222" s="26" t="n"/>
      <c r="M222" s="1" t="n"/>
      <c r="N222">
        <f>IF(AND(H222&lt;&gt;"",B222&lt;&gt;""),B222+ROW()/10000000,"")</f>
        <v/>
      </c>
    </row>
    <row r="223">
      <c r="A223" s="1" t="n"/>
      <c r="B223" s="28" t="n"/>
      <c r="C223" s="26" t="n"/>
      <c r="D223" s="26" t="n"/>
      <c r="E223" s="26" t="n"/>
      <c r="F223" s="27" t="n"/>
      <c r="G223" s="27" t="n"/>
      <c r="H223" s="27" t="n"/>
      <c r="I223" s="27" t="n"/>
      <c r="J223" s="27" t="n"/>
      <c r="K223" s="18">
        <f>IF(AND(B223="",E223=""),"",IF(J223&lt;&gt;"","Arrived",IF(I223&lt;&gt;"","Packed","To pack")))</f>
        <v/>
      </c>
      <c r="L223" s="26" t="n"/>
      <c r="M223" s="1" t="n"/>
      <c r="N223">
        <f>IF(AND(H223&lt;&gt;"",B223&lt;&gt;""),B223+ROW()/10000000,"")</f>
        <v/>
      </c>
    </row>
    <row r="224">
      <c r="A224" s="1" t="n"/>
      <c r="B224" s="28" t="n"/>
      <c r="C224" s="26" t="n"/>
      <c r="D224" s="26" t="n"/>
      <c r="E224" s="26" t="n"/>
      <c r="F224" s="27" t="n"/>
      <c r="G224" s="27" t="n"/>
      <c r="H224" s="27" t="n"/>
      <c r="I224" s="27" t="n"/>
      <c r="J224" s="27" t="n"/>
      <c r="K224" s="18">
        <f>IF(AND(B224="",E224=""),"",IF(J224&lt;&gt;"","Arrived",IF(I224&lt;&gt;"","Packed","To pack")))</f>
        <v/>
      </c>
      <c r="L224" s="26" t="n"/>
      <c r="M224" s="1" t="n"/>
      <c r="N224">
        <f>IF(AND(H224&lt;&gt;"",B224&lt;&gt;""),B224+ROW()/10000000,"")</f>
        <v/>
      </c>
    </row>
    <row r="225">
      <c r="A225" s="1" t="n"/>
      <c r="B225" s="28" t="n"/>
      <c r="C225" s="26" t="n"/>
      <c r="D225" s="26" t="n"/>
      <c r="E225" s="26" t="n"/>
      <c r="F225" s="27" t="n"/>
      <c r="G225" s="27" t="n"/>
      <c r="H225" s="27" t="n"/>
      <c r="I225" s="27" t="n"/>
      <c r="J225" s="27" t="n"/>
      <c r="K225" s="18">
        <f>IF(AND(B225="",E225=""),"",IF(J225&lt;&gt;"","Arrived",IF(I225&lt;&gt;"","Packed","To pack")))</f>
        <v/>
      </c>
      <c r="L225" s="26" t="n"/>
      <c r="M225" s="1" t="n"/>
      <c r="N225">
        <f>IF(AND(H225&lt;&gt;"",B225&lt;&gt;""),B225+ROW()/10000000,"")</f>
        <v/>
      </c>
    </row>
    <row r="226">
      <c r="A226" s="1" t="n"/>
      <c r="B226" s="28" t="n"/>
      <c r="C226" s="26" t="n"/>
      <c r="D226" s="26" t="n"/>
      <c r="E226" s="26" t="n"/>
      <c r="F226" s="27" t="n"/>
      <c r="G226" s="27" t="n"/>
      <c r="H226" s="27" t="n"/>
      <c r="I226" s="27" t="n"/>
      <c r="J226" s="27" t="n"/>
      <c r="K226" s="18">
        <f>IF(AND(B226="",E226=""),"",IF(J226&lt;&gt;"","Arrived",IF(I226&lt;&gt;"","Packed","To pack")))</f>
        <v/>
      </c>
      <c r="L226" s="26" t="n"/>
      <c r="M226" s="1" t="n"/>
      <c r="N226">
        <f>IF(AND(H226&lt;&gt;"",B226&lt;&gt;""),B226+ROW()/10000000,"")</f>
        <v/>
      </c>
    </row>
    <row r="227">
      <c r="A227" s="1" t="n"/>
      <c r="B227" s="28" t="n"/>
      <c r="C227" s="26" t="n"/>
      <c r="D227" s="26" t="n"/>
      <c r="E227" s="26" t="n"/>
      <c r="F227" s="27" t="n"/>
      <c r="G227" s="27" t="n"/>
      <c r="H227" s="27" t="n"/>
      <c r="I227" s="27" t="n"/>
      <c r="J227" s="27" t="n"/>
      <c r="K227" s="18">
        <f>IF(AND(B227="",E227=""),"",IF(J227&lt;&gt;"","Arrived",IF(I227&lt;&gt;"","Packed","To pack")))</f>
        <v/>
      </c>
      <c r="L227" s="26" t="n"/>
      <c r="M227" s="1" t="n"/>
      <c r="N227">
        <f>IF(AND(H227&lt;&gt;"",B227&lt;&gt;""),B227+ROW()/10000000,"")</f>
        <v/>
      </c>
    </row>
    <row r="228">
      <c r="A228" s="1" t="n"/>
      <c r="B228" s="28" t="n"/>
      <c r="C228" s="26" t="n"/>
      <c r="D228" s="26" t="n"/>
      <c r="E228" s="26" t="n"/>
      <c r="F228" s="27" t="n"/>
      <c r="G228" s="27" t="n"/>
      <c r="H228" s="27" t="n"/>
      <c r="I228" s="27" t="n"/>
      <c r="J228" s="27" t="n"/>
      <c r="K228" s="18">
        <f>IF(AND(B228="",E228=""),"",IF(J228&lt;&gt;"","Arrived",IF(I228&lt;&gt;"","Packed","To pack")))</f>
        <v/>
      </c>
      <c r="L228" s="26" t="n"/>
      <c r="M228" s="1" t="n"/>
      <c r="N228">
        <f>IF(AND(H228&lt;&gt;"",B228&lt;&gt;""),B228+ROW()/10000000,"")</f>
        <v/>
      </c>
    </row>
    <row r="229">
      <c r="A229" s="1" t="n"/>
      <c r="B229" s="28" t="n"/>
      <c r="C229" s="26" t="n"/>
      <c r="D229" s="26" t="n"/>
      <c r="E229" s="26" t="n"/>
      <c r="F229" s="27" t="n"/>
      <c r="G229" s="27" t="n"/>
      <c r="H229" s="27" t="n"/>
      <c r="I229" s="27" t="n"/>
      <c r="J229" s="27" t="n"/>
      <c r="K229" s="18">
        <f>IF(AND(B229="",E229=""),"",IF(J229&lt;&gt;"","Arrived",IF(I229&lt;&gt;"","Packed","To pack")))</f>
        <v/>
      </c>
      <c r="L229" s="26" t="n"/>
      <c r="M229" s="1" t="n"/>
      <c r="N229">
        <f>IF(AND(H229&lt;&gt;"",B229&lt;&gt;""),B229+ROW()/10000000,"")</f>
        <v/>
      </c>
    </row>
    <row r="230">
      <c r="A230" s="1" t="n"/>
      <c r="B230" s="28" t="n"/>
      <c r="C230" s="26" t="n"/>
      <c r="D230" s="26" t="n"/>
      <c r="E230" s="26" t="n"/>
      <c r="F230" s="27" t="n"/>
      <c r="G230" s="27" t="n"/>
      <c r="H230" s="27" t="n"/>
      <c r="I230" s="27" t="n"/>
      <c r="J230" s="27" t="n"/>
      <c r="K230" s="18">
        <f>IF(AND(B230="",E230=""),"",IF(J230&lt;&gt;"","Arrived",IF(I230&lt;&gt;"","Packed","To pack")))</f>
        <v/>
      </c>
      <c r="L230" s="26" t="n"/>
      <c r="M230" s="1" t="n"/>
      <c r="N230">
        <f>IF(AND(H230&lt;&gt;"",B230&lt;&gt;""),B230+ROW()/10000000,"")</f>
        <v/>
      </c>
    </row>
    <row r="231">
      <c r="A231" s="1" t="n"/>
      <c r="B231" s="28" t="n"/>
      <c r="C231" s="26" t="n"/>
      <c r="D231" s="26" t="n"/>
      <c r="E231" s="26" t="n"/>
      <c r="F231" s="27" t="n"/>
      <c r="G231" s="27" t="n"/>
      <c r="H231" s="27" t="n"/>
      <c r="I231" s="27" t="n"/>
      <c r="J231" s="27" t="n"/>
      <c r="K231" s="18">
        <f>IF(AND(B231="",E231=""),"",IF(J231&lt;&gt;"","Arrived",IF(I231&lt;&gt;"","Packed","To pack")))</f>
        <v/>
      </c>
      <c r="L231" s="26" t="n"/>
      <c r="M231" s="1" t="n"/>
      <c r="N231">
        <f>IF(AND(H231&lt;&gt;"",B231&lt;&gt;""),B231+ROW()/10000000,"")</f>
        <v/>
      </c>
    </row>
    <row r="232">
      <c r="A232" s="1" t="n"/>
      <c r="B232" s="28" t="n"/>
      <c r="C232" s="26" t="n"/>
      <c r="D232" s="26" t="n"/>
      <c r="E232" s="26" t="n"/>
      <c r="F232" s="27" t="n"/>
      <c r="G232" s="27" t="n"/>
      <c r="H232" s="27" t="n"/>
      <c r="I232" s="27" t="n"/>
      <c r="J232" s="27" t="n"/>
      <c r="K232" s="18">
        <f>IF(AND(B232="",E232=""),"",IF(J232&lt;&gt;"","Arrived",IF(I232&lt;&gt;"","Packed","To pack")))</f>
        <v/>
      </c>
      <c r="L232" s="26" t="n"/>
      <c r="M232" s="1" t="n"/>
      <c r="N232">
        <f>IF(AND(H232&lt;&gt;"",B232&lt;&gt;""),B232+ROW()/10000000,"")</f>
        <v/>
      </c>
    </row>
    <row r="233">
      <c r="A233" s="1" t="n"/>
      <c r="B233" s="28" t="n"/>
      <c r="C233" s="26" t="n"/>
      <c r="D233" s="26" t="n"/>
      <c r="E233" s="26" t="n"/>
      <c r="F233" s="27" t="n"/>
      <c r="G233" s="27" t="n"/>
      <c r="H233" s="27" t="n"/>
      <c r="I233" s="27" t="n"/>
      <c r="J233" s="27" t="n"/>
      <c r="K233" s="18">
        <f>IF(AND(B233="",E233=""),"",IF(J233&lt;&gt;"","Arrived",IF(I233&lt;&gt;"","Packed","To pack")))</f>
        <v/>
      </c>
      <c r="L233" s="26" t="n"/>
      <c r="M233" s="1" t="n"/>
      <c r="N233">
        <f>IF(AND(H233&lt;&gt;"",B233&lt;&gt;""),B233+ROW()/10000000,"")</f>
        <v/>
      </c>
    </row>
    <row r="234">
      <c r="A234" s="1" t="n"/>
      <c r="B234" s="28" t="n"/>
      <c r="C234" s="26" t="n"/>
      <c r="D234" s="26" t="n"/>
      <c r="E234" s="26" t="n"/>
      <c r="F234" s="27" t="n"/>
      <c r="G234" s="27" t="n"/>
      <c r="H234" s="27" t="n"/>
      <c r="I234" s="27" t="n"/>
      <c r="J234" s="27" t="n"/>
      <c r="K234" s="18">
        <f>IF(AND(B234="",E234=""),"",IF(J234&lt;&gt;"","Arrived",IF(I234&lt;&gt;"","Packed","To pack")))</f>
        <v/>
      </c>
      <c r="L234" s="26" t="n"/>
      <c r="M234" s="1" t="n"/>
      <c r="N234">
        <f>IF(AND(H234&lt;&gt;"",B234&lt;&gt;""),B234+ROW()/10000000,"")</f>
        <v/>
      </c>
    </row>
    <row r="235">
      <c r="A235" s="1" t="n"/>
      <c r="B235" s="28" t="n"/>
      <c r="C235" s="26" t="n"/>
      <c r="D235" s="26" t="n"/>
      <c r="E235" s="26" t="n"/>
      <c r="F235" s="27" t="n"/>
      <c r="G235" s="27" t="n"/>
      <c r="H235" s="27" t="n"/>
      <c r="I235" s="27" t="n"/>
      <c r="J235" s="27" t="n"/>
      <c r="K235" s="18">
        <f>IF(AND(B235="",E235=""),"",IF(J235&lt;&gt;"","Arrived",IF(I235&lt;&gt;"","Packed","To pack")))</f>
        <v/>
      </c>
      <c r="L235" s="26" t="n"/>
      <c r="M235" s="1" t="n"/>
      <c r="N235">
        <f>IF(AND(H235&lt;&gt;"",B235&lt;&gt;""),B235+ROW()/10000000,"")</f>
        <v/>
      </c>
    </row>
    <row r="236">
      <c r="A236" s="1" t="n"/>
      <c r="B236" s="28" t="n"/>
      <c r="C236" s="26" t="n"/>
      <c r="D236" s="26" t="n"/>
      <c r="E236" s="26" t="n"/>
      <c r="F236" s="27" t="n"/>
      <c r="G236" s="27" t="n"/>
      <c r="H236" s="27" t="n"/>
      <c r="I236" s="27" t="n"/>
      <c r="J236" s="27" t="n"/>
      <c r="K236" s="18">
        <f>IF(AND(B236="",E236=""),"",IF(J236&lt;&gt;"","Arrived",IF(I236&lt;&gt;"","Packed","To pack")))</f>
        <v/>
      </c>
      <c r="L236" s="26" t="n"/>
      <c r="M236" s="1" t="n"/>
      <c r="N236">
        <f>IF(AND(H236&lt;&gt;"",B236&lt;&gt;""),B236+ROW()/10000000,"")</f>
        <v/>
      </c>
    </row>
    <row r="237">
      <c r="A237" s="1" t="n"/>
      <c r="B237" s="28" t="n"/>
      <c r="C237" s="26" t="n"/>
      <c r="D237" s="26" t="n"/>
      <c r="E237" s="26" t="n"/>
      <c r="F237" s="27" t="n"/>
      <c r="G237" s="27" t="n"/>
      <c r="H237" s="27" t="n"/>
      <c r="I237" s="27" t="n"/>
      <c r="J237" s="27" t="n"/>
      <c r="K237" s="18">
        <f>IF(AND(B237="",E237=""),"",IF(J237&lt;&gt;"","Arrived",IF(I237&lt;&gt;"","Packed","To pack")))</f>
        <v/>
      </c>
      <c r="L237" s="26" t="n"/>
      <c r="M237" s="1" t="n"/>
      <c r="N237">
        <f>IF(AND(H237&lt;&gt;"",B237&lt;&gt;""),B237+ROW()/10000000,"")</f>
        <v/>
      </c>
    </row>
    <row r="238">
      <c r="A238" s="1" t="n"/>
      <c r="B238" s="28" t="n"/>
      <c r="C238" s="26" t="n"/>
      <c r="D238" s="26" t="n"/>
      <c r="E238" s="26" t="n"/>
      <c r="F238" s="27" t="n"/>
      <c r="G238" s="27" t="n"/>
      <c r="H238" s="27" t="n"/>
      <c r="I238" s="27" t="n"/>
      <c r="J238" s="27" t="n"/>
      <c r="K238" s="18">
        <f>IF(AND(B238="",E238=""),"",IF(J238&lt;&gt;"","Arrived",IF(I238&lt;&gt;"","Packed","To pack")))</f>
        <v/>
      </c>
      <c r="L238" s="26" t="n"/>
      <c r="M238" s="1" t="n"/>
      <c r="N238">
        <f>IF(AND(H238&lt;&gt;"",B238&lt;&gt;""),B238+ROW()/10000000,"")</f>
        <v/>
      </c>
    </row>
    <row r="239">
      <c r="A239" s="1" t="n"/>
      <c r="B239" s="28" t="n"/>
      <c r="C239" s="26" t="n"/>
      <c r="D239" s="26" t="n"/>
      <c r="E239" s="26" t="n"/>
      <c r="F239" s="27" t="n"/>
      <c r="G239" s="27" t="n"/>
      <c r="H239" s="27" t="n"/>
      <c r="I239" s="27" t="n"/>
      <c r="J239" s="27" t="n"/>
      <c r="K239" s="18">
        <f>IF(AND(B239="",E239=""),"",IF(J239&lt;&gt;"","Arrived",IF(I239&lt;&gt;"","Packed","To pack")))</f>
        <v/>
      </c>
      <c r="L239" s="26" t="n"/>
      <c r="M239" s="1" t="n"/>
      <c r="N239">
        <f>IF(AND(H239&lt;&gt;"",B239&lt;&gt;""),B239+ROW()/10000000,"")</f>
        <v/>
      </c>
    </row>
    <row r="240">
      <c r="A240" s="1" t="n"/>
      <c r="B240" s="28" t="n"/>
      <c r="C240" s="26" t="n"/>
      <c r="D240" s="26" t="n"/>
      <c r="E240" s="26" t="n"/>
      <c r="F240" s="27" t="n"/>
      <c r="G240" s="27" t="n"/>
      <c r="H240" s="27" t="n"/>
      <c r="I240" s="27" t="n"/>
      <c r="J240" s="27" t="n"/>
      <c r="K240" s="18">
        <f>IF(AND(B240="",E240=""),"",IF(J240&lt;&gt;"","Arrived",IF(I240&lt;&gt;"","Packed","To pack")))</f>
        <v/>
      </c>
      <c r="L240" s="26" t="n"/>
      <c r="M240" s="1" t="n"/>
      <c r="N240">
        <f>IF(AND(H240&lt;&gt;"",B240&lt;&gt;""),B240+ROW()/10000000,"")</f>
        <v/>
      </c>
    </row>
    <row r="241">
      <c r="A241" s="1" t="n"/>
      <c r="B241" s="28" t="n"/>
      <c r="C241" s="26" t="n"/>
      <c r="D241" s="26" t="n"/>
      <c r="E241" s="26" t="n"/>
      <c r="F241" s="27" t="n"/>
      <c r="G241" s="27" t="n"/>
      <c r="H241" s="27" t="n"/>
      <c r="I241" s="27" t="n"/>
      <c r="J241" s="27" t="n"/>
      <c r="K241" s="18">
        <f>IF(AND(B241="",E241=""),"",IF(J241&lt;&gt;"","Arrived",IF(I241&lt;&gt;"","Packed","To pack")))</f>
        <v/>
      </c>
      <c r="L241" s="26" t="n"/>
      <c r="M241" s="1" t="n"/>
      <c r="N241">
        <f>IF(AND(H241&lt;&gt;"",B241&lt;&gt;""),B241+ROW()/10000000,"")</f>
        <v/>
      </c>
    </row>
    <row r="242">
      <c r="A242" s="1" t="n"/>
      <c r="B242" s="28" t="n"/>
      <c r="C242" s="26" t="n"/>
      <c r="D242" s="26" t="n"/>
      <c r="E242" s="26" t="n"/>
      <c r="F242" s="27" t="n"/>
      <c r="G242" s="27" t="n"/>
      <c r="H242" s="27" t="n"/>
      <c r="I242" s="27" t="n"/>
      <c r="J242" s="27" t="n"/>
      <c r="K242" s="18">
        <f>IF(AND(B242="",E242=""),"",IF(J242&lt;&gt;"","Arrived",IF(I242&lt;&gt;"","Packed","To pack")))</f>
        <v/>
      </c>
      <c r="L242" s="26" t="n"/>
      <c r="M242" s="1" t="n"/>
      <c r="N242">
        <f>IF(AND(H242&lt;&gt;"",B242&lt;&gt;""),B242+ROW()/10000000,"")</f>
        <v/>
      </c>
    </row>
    <row r="243">
      <c r="A243" s="1" t="n"/>
      <c r="B243" s="28" t="n"/>
      <c r="C243" s="26" t="n"/>
      <c r="D243" s="26" t="n"/>
      <c r="E243" s="26" t="n"/>
      <c r="F243" s="27" t="n"/>
      <c r="G243" s="27" t="n"/>
      <c r="H243" s="27" t="n"/>
      <c r="I243" s="27" t="n"/>
      <c r="J243" s="27" t="n"/>
      <c r="K243" s="18">
        <f>IF(AND(B243="",E243=""),"",IF(J243&lt;&gt;"","Arrived",IF(I243&lt;&gt;"","Packed","To pack")))</f>
        <v/>
      </c>
      <c r="L243" s="26" t="n"/>
      <c r="M243" s="1" t="n"/>
      <c r="N243">
        <f>IF(AND(H243&lt;&gt;"",B243&lt;&gt;""),B243+ROW()/10000000,"")</f>
        <v/>
      </c>
    </row>
    <row r="244">
      <c r="A244" s="1" t="n"/>
      <c r="B244" s="28" t="n"/>
      <c r="C244" s="26" t="n"/>
      <c r="D244" s="26" t="n"/>
      <c r="E244" s="26" t="n"/>
      <c r="F244" s="27" t="n"/>
      <c r="G244" s="27" t="n"/>
      <c r="H244" s="27" t="n"/>
      <c r="I244" s="27" t="n"/>
      <c r="J244" s="27" t="n"/>
      <c r="K244" s="18">
        <f>IF(AND(B244="",E244=""),"",IF(J244&lt;&gt;"","Arrived",IF(I244&lt;&gt;"","Packed","To pack")))</f>
        <v/>
      </c>
      <c r="L244" s="26" t="n"/>
      <c r="M244" s="1" t="n"/>
      <c r="N244">
        <f>IF(AND(H244&lt;&gt;"",B244&lt;&gt;""),B244+ROW()/10000000,"")</f>
        <v/>
      </c>
    </row>
    <row r="245">
      <c r="A245" s="1" t="n"/>
      <c r="B245" s="28" t="n"/>
      <c r="C245" s="26" t="n"/>
      <c r="D245" s="26" t="n"/>
      <c r="E245" s="26" t="n"/>
      <c r="F245" s="27" t="n"/>
      <c r="G245" s="27" t="n"/>
      <c r="H245" s="27" t="n"/>
      <c r="I245" s="27" t="n"/>
      <c r="J245" s="27" t="n"/>
      <c r="K245" s="18">
        <f>IF(AND(B245="",E245=""),"",IF(J245&lt;&gt;"","Arrived",IF(I245&lt;&gt;"","Packed","To pack")))</f>
        <v/>
      </c>
      <c r="L245" s="26" t="n"/>
      <c r="M245" s="1" t="n"/>
      <c r="N245">
        <f>IF(AND(H245&lt;&gt;"",B245&lt;&gt;""),B245+ROW()/10000000,"")</f>
        <v/>
      </c>
    </row>
    <row r="246">
      <c r="A246" s="1" t="n"/>
      <c r="B246" s="28" t="n"/>
      <c r="C246" s="26" t="n"/>
      <c r="D246" s="26" t="n"/>
      <c r="E246" s="26" t="n"/>
      <c r="F246" s="27" t="n"/>
      <c r="G246" s="27" t="n"/>
      <c r="H246" s="27" t="n"/>
      <c r="I246" s="27" t="n"/>
      <c r="J246" s="27" t="n"/>
      <c r="K246" s="18">
        <f>IF(AND(B246="",E246=""),"",IF(J246&lt;&gt;"","Arrived",IF(I246&lt;&gt;"","Packed","To pack")))</f>
        <v/>
      </c>
      <c r="L246" s="26" t="n"/>
      <c r="M246" s="1" t="n"/>
      <c r="N246">
        <f>IF(AND(H246&lt;&gt;"",B246&lt;&gt;""),B246+ROW()/10000000,"")</f>
        <v/>
      </c>
    </row>
    <row r="247">
      <c r="A247" s="1" t="n"/>
      <c r="B247" s="28" t="n"/>
      <c r="C247" s="26" t="n"/>
      <c r="D247" s="26" t="n"/>
      <c r="E247" s="26" t="n"/>
      <c r="F247" s="27" t="n"/>
      <c r="G247" s="27" t="n"/>
      <c r="H247" s="27" t="n"/>
      <c r="I247" s="27" t="n"/>
      <c r="J247" s="27" t="n"/>
      <c r="K247" s="18">
        <f>IF(AND(B247="",E247=""),"",IF(J247&lt;&gt;"","Arrived",IF(I247&lt;&gt;"","Packed","To pack")))</f>
        <v/>
      </c>
      <c r="L247" s="26" t="n"/>
      <c r="M247" s="1" t="n"/>
      <c r="N247">
        <f>IF(AND(H247&lt;&gt;"",B247&lt;&gt;""),B247+ROW()/10000000,"")</f>
        <v/>
      </c>
    </row>
    <row r="248">
      <c r="A248" s="1" t="n"/>
      <c r="B248" s="28" t="n"/>
      <c r="C248" s="26" t="n"/>
      <c r="D248" s="26" t="n"/>
      <c r="E248" s="26" t="n"/>
      <c r="F248" s="27" t="n"/>
      <c r="G248" s="27" t="n"/>
      <c r="H248" s="27" t="n"/>
      <c r="I248" s="27" t="n"/>
      <c r="J248" s="27" t="n"/>
      <c r="K248" s="18">
        <f>IF(AND(B248="",E248=""),"",IF(J248&lt;&gt;"","Arrived",IF(I248&lt;&gt;"","Packed","To pack")))</f>
        <v/>
      </c>
      <c r="L248" s="26" t="n"/>
      <c r="M248" s="1" t="n"/>
      <c r="N248">
        <f>IF(AND(H248&lt;&gt;"",B248&lt;&gt;""),B248+ROW()/10000000,"")</f>
        <v/>
      </c>
    </row>
    <row r="249">
      <c r="A249" s="1" t="n"/>
      <c r="B249" s="28" t="n"/>
      <c r="C249" s="26" t="n"/>
      <c r="D249" s="26" t="n"/>
      <c r="E249" s="26" t="n"/>
      <c r="F249" s="27" t="n"/>
      <c r="G249" s="27" t="n"/>
      <c r="H249" s="27" t="n"/>
      <c r="I249" s="27" t="n"/>
      <c r="J249" s="27" t="n"/>
      <c r="K249" s="18">
        <f>IF(AND(B249="",E249=""),"",IF(J249&lt;&gt;"","Arrived",IF(I249&lt;&gt;"","Packed","To pack")))</f>
        <v/>
      </c>
      <c r="L249" s="26" t="n"/>
      <c r="M249" s="1" t="n"/>
      <c r="N249">
        <f>IF(AND(H249&lt;&gt;"",B249&lt;&gt;""),B249+ROW()/10000000,"")</f>
        <v/>
      </c>
    </row>
    <row r="250">
      <c r="A250" s="1" t="n"/>
      <c r="B250" s="28" t="n"/>
      <c r="C250" s="26" t="n"/>
      <c r="D250" s="26" t="n"/>
      <c r="E250" s="26" t="n"/>
      <c r="F250" s="27" t="n"/>
      <c r="G250" s="27" t="n"/>
      <c r="H250" s="27" t="n"/>
      <c r="I250" s="27" t="n"/>
      <c r="J250" s="27" t="n"/>
      <c r="K250" s="18">
        <f>IF(AND(B250="",E250=""),"",IF(J250&lt;&gt;"","Arrived",IF(I250&lt;&gt;"","Packed","To pack")))</f>
        <v/>
      </c>
      <c r="L250" s="26" t="n"/>
      <c r="M250" s="1" t="n"/>
      <c r="N250">
        <f>IF(AND(H250&lt;&gt;"",B250&lt;&gt;""),B250+ROW()/10000000,"")</f>
        <v/>
      </c>
    </row>
    <row r="251">
      <c r="A251" s="1" t="n"/>
      <c r="B251" s="28" t="n"/>
      <c r="C251" s="26" t="n"/>
      <c r="D251" s="26" t="n"/>
      <c r="E251" s="26" t="n"/>
      <c r="F251" s="27" t="n"/>
      <c r="G251" s="27" t="n"/>
      <c r="H251" s="27" t="n"/>
      <c r="I251" s="27" t="n"/>
      <c r="J251" s="27" t="n"/>
      <c r="K251" s="18">
        <f>IF(AND(B251="",E251=""),"",IF(J251&lt;&gt;"","Arrived",IF(I251&lt;&gt;"","Packed","To pack")))</f>
        <v/>
      </c>
      <c r="L251" s="26" t="n"/>
      <c r="M251" s="1" t="n"/>
      <c r="N251">
        <f>IF(AND(H251&lt;&gt;"",B251&lt;&gt;""),B251+ROW()/10000000,"")</f>
        <v/>
      </c>
    </row>
    <row r="252">
      <c r="A252" s="1" t="n"/>
      <c r="B252" s="28" t="n"/>
      <c r="C252" s="26" t="n"/>
      <c r="D252" s="26" t="n"/>
      <c r="E252" s="26" t="n"/>
      <c r="F252" s="27" t="n"/>
      <c r="G252" s="27" t="n"/>
      <c r="H252" s="27" t="n"/>
      <c r="I252" s="27" t="n"/>
      <c r="J252" s="27" t="n"/>
      <c r="K252" s="18">
        <f>IF(AND(B252="",E252=""),"",IF(J252&lt;&gt;"","Arrived",IF(I252&lt;&gt;"","Packed","To pack")))</f>
        <v/>
      </c>
      <c r="L252" s="26" t="n"/>
      <c r="M252" s="1" t="n"/>
      <c r="N252">
        <f>IF(AND(H252&lt;&gt;"",B252&lt;&gt;""),B252+ROW()/10000000,"")</f>
        <v/>
      </c>
    </row>
    <row r="253">
      <c r="A253" s="1" t="n"/>
      <c r="B253" s="28" t="n"/>
      <c r="C253" s="26" t="n"/>
      <c r="D253" s="26" t="n"/>
      <c r="E253" s="26" t="n"/>
      <c r="F253" s="27" t="n"/>
      <c r="G253" s="27" t="n"/>
      <c r="H253" s="27" t="n"/>
      <c r="I253" s="27" t="n"/>
      <c r="J253" s="27" t="n"/>
      <c r="K253" s="18">
        <f>IF(AND(B253="",E253=""),"",IF(J253&lt;&gt;"","Arrived",IF(I253&lt;&gt;"","Packed","To pack")))</f>
        <v/>
      </c>
      <c r="L253" s="26" t="n"/>
      <c r="M253" s="1" t="n"/>
      <c r="N253">
        <f>IF(AND(H253&lt;&gt;"",B253&lt;&gt;""),B253+ROW()/10000000,"")</f>
        <v/>
      </c>
    </row>
    <row r="254">
      <c r="A254" s="1" t="n"/>
      <c r="B254" s="28" t="n"/>
      <c r="C254" s="26" t="n"/>
      <c r="D254" s="26" t="n"/>
      <c r="E254" s="26" t="n"/>
      <c r="F254" s="27" t="n"/>
      <c r="G254" s="27" t="n"/>
      <c r="H254" s="27" t="n"/>
      <c r="I254" s="27" t="n"/>
      <c r="J254" s="27" t="n"/>
      <c r="K254" s="18">
        <f>IF(AND(B254="",E254=""),"",IF(J254&lt;&gt;"","Arrived",IF(I254&lt;&gt;"","Packed","To pack")))</f>
        <v/>
      </c>
      <c r="L254" s="26" t="n"/>
      <c r="M254" s="1" t="n"/>
      <c r="N254">
        <f>IF(AND(H254&lt;&gt;"",B254&lt;&gt;""),B254+ROW()/10000000,"")</f>
        <v/>
      </c>
    </row>
    <row r="255">
      <c r="A255" s="1" t="n"/>
      <c r="B255" s="28" t="n"/>
      <c r="C255" s="26" t="n"/>
      <c r="D255" s="26" t="n"/>
      <c r="E255" s="26" t="n"/>
      <c r="F255" s="27" t="n"/>
      <c r="G255" s="27" t="n"/>
      <c r="H255" s="27" t="n"/>
      <c r="I255" s="27" t="n"/>
      <c r="J255" s="27" t="n"/>
      <c r="K255" s="18">
        <f>IF(AND(B255="",E255=""),"",IF(J255&lt;&gt;"","Arrived",IF(I255&lt;&gt;"","Packed","To pack")))</f>
        <v/>
      </c>
      <c r="L255" s="26" t="n"/>
      <c r="M255" s="1" t="n"/>
      <c r="N255">
        <f>IF(AND(H255&lt;&gt;"",B255&lt;&gt;""),B255+ROW()/10000000,"")</f>
        <v/>
      </c>
    </row>
    <row r="256">
      <c r="A256" s="1" t="n"/>
      <c r="B256" s="28" t="n"/>
      <c r="C256" s="26" t="n"/>
      <c r="D256" s="26" t="n"/>
      <c r="E256" s="26" t="n"/>
      <c r="F256" s="27" t="n"/>
      <c r="G256" s="27" t="n"/>
      <c r="H256" s="27" t="n"/>
      <c r="I256" s="27" t="n"/>
      <c r="J256" s="27" t="n"/>
      <c r="K256" s="18">
        <f>IF(AND(B256="",E256=""),"",IF(J256&lt;&gt;"","Arrived",IF(I256&lt;&gt;"","Packed","To pack")))</f>
        <v/>
      </c>
      <c r="L256" s="26" t="n"/>
      <c r="M256" s="1" t="n"/>
      <c r="N256">
        <f>IF(AND(H256&lt;&gt;"",B256&lt;&gt;""),B256+ROW()/10000000,"")</f>
        <v/>
      </c>
    </row>
    <row r="257">
      <c r="A257" s="1" t="n"/>
      <c r="B257" s="28" t="n"/>
      <c r="C257" s="26" t="n"/>
      <c r="D257" s="26" t="n"/>
      <c r="E257" s="26" t="n"/>
      <c r="F257" s="27" t="n"/>
      <c r="G257" s="27" t="n"/>
      <c r="H257" s="27" t="n"/>
      <c r="I257" s="27" t="n"/>
      <c r="J257" s="27" t="n"/>
      <c r="K257" s="18">
        <f>IF(AND(B257="",E257=""),"",IF(J257&lt;&gt;"","Arrived",IF(I257&lt;&gt;"","Packed","To pack")))</f>
        <v/>
      </c>
      <c r="L257" s="26" t="n"/>
      <c r="M257" s="1" t="n"/>
      <c r="N257">
        <f>IF(AND(H257&lt;&gt;"",B257&lt;&gt;""),B257+ROW()/10000000,"")</f>
        <v/>
      </c>
    </row>
    <row r="258">
      <c r="A258" s="1" t="n"/>
      <c r="B258" s="28" t="n"/>
      <c r="C258" s="26" t="n"/>
      <c r="D258" s="26" t="n"/>
      <c r="E258" s="26" t="n"/>
      <c r="F258" s="27" t="n"/>
      <c r="G258" s="27" t="n"/>
      <c r="H258" s="27" t="n"/>
      <c r="I258" s="27" t="n"/>
      <c r="J258" s="27" t="n"/>
      <c r="K258" s="18">
        <f>IF(AND(B258="",E258=""),"",IF(J258&lt;&gt;"","Arrived",IF(I258&lt;&gt;"","Packed","To pack")))</f>
        <v/>
      </c>
      <c r="L258" s="26" t="n"/>
      <c r="M258" s="1" t="n"/>
      <c r="N258">
        <f>IF(AND(H258&lt;&gt;"",B258&lt;&gt;""),B258+ROW()/10000000,"")</f>
        <v/>
      </c>
    </row>
    <row r="259">
      <c r="A259" s="1" t="n"/>
      <c r="B259" s="28" t="n"/>
      <c r="C259" s="26" t="n"/>
      <c r="D259" s="26" t="n"/>
      <c r="E259" s="26" t="n"/>
      <c r="F259" s="27" t="n"/>
      <c r="G259" s="27" t="n"/>
      <c r="H259" s="27" t="n"/>
      <c r="I259" s="27" t="n"/>
      <c r="J259" s="27" t="n"/>
      <c r="K259" s="18">
        <f>IF(AND(B259="",E259=""),"",IF(J259&lt;&gt;"","Arrived",IF(I259&lt;&gt;"","Packed","To pack")))</f>
        <v/>
      </c>
      <c r="L259" s="26" t="n"/>
      <c r="M259" s="1" t="n"/>
      <c r="N259">
        <f>IF(AND(H259&lt;&gt;"",B259&lt;&gt;""),B259+ROW()/10000000,"")</f>
        <v/>
      </c>
    </row>
    <row r="260">
      <c r="A260" s="1" t="n"/>
      <c r="B260" s="28" t="n"/>
      <c r="C260" s="26" t="n"/>
      <c r="D260" s="26" t="n"/>
      <c r="E260" s="26" t="n"/>
      <c r="F260" s="27" t="n"/>
      <c r="G260" s="27" t="n"/>
      <c r="H260" s="27" t="n"/>
      <c r="I260" s="27" t="n"/>
      <c r="J260" s="27" t="n"/>
      <c r="K260" s="18">
        <f>IF(AND(B260="",E260=""),"",IF(J260&lt;&gt;"","Arrived",IF(I260&lt;&gt;"","Packed","To pack")))</f>
        <v/>
      </c>
      <c r="L260" s="26" t="n"/>
      <c r="M260" s="1" t="n"/>
      <c r="N260">
        <f>IF(AND(H260&lt;&gt;"",B260&lt;&gt;""),B260+ROW()/10000000,"")</f>
        <v/>
      </c>
    </row>
    <row r="261">
      <c r="A261" s="1" t="n"/>
      <c r="B261" s="28" t="n"/>
      <c r="C261" s="26" t="n"/>
      <c r="D261" s="26" t="n"/>
      <c r="E261" s="26" t="n"/>
      <c r="F261" s="27" t="n"/>
      <c r="G261" s="27" t="n"/>
      <c r="H261" s="27" t="n"/>
      <c r="I261" s="27" t="n"/>
      <c r="J261" s="27" t="n"/>
      <c r="K261" s="18">
        <f>IF(AND(B261="",E261=""),"",IF(J261&lt;&gt;"","Arrived",IF(I261&lt;&gt;"","Packed","To pack")))</f>
        <v/>
      </c>
      <c r="L261" s="26" t="n"/>
      <c r="M261" s="1" t="n"/>
      <c r="N261">
        <f>IF(AND(H261&lt;&gt;"",B261&lt;&gt;""),B261+ROW()/10000000,"")</f>
        <v/>
      </c>
    </row>
    <row r="262">
      <c r="A262" s="1" t="n"/>
      <c r="B262" s="28" t="n"/>
      <c r="C262" s="26" t="n"/>
      <c r="D262" s="26" t="n"/>
      <c r="E262" s="26" t="n"/>
      <c r="F262" s="27" t="n"/>
      <c r="G262" s="27" t="n"/>
      <c r="H262" s="27" t="n"/>
      <c r="I262" s="27" t="n"/>
      <c r="J262" s="27" t="n"/>
      <c r="K262" s="18">
        <f>IF(AND(B262="",E262=""),"",IF(J262&lt;&gt;"","Arrived",IF(I262&lt;&gt;"","Packed","To pack")))</f>
        <v/>
      </c>
      <c r="L262" s="26" t="n"/>
      <c r="M262" s="1" t="n"/>
      <c r="N262">
        <f>IF(AND(H262&lt;&gt;"",B262&lt;&gt;""),B262+ROW()/10000000,"")</f>
        <v/>
      </c>
    </row>
    <row r="263">
      <c r="A263" s="1" t="n"/>
      <c r="B263" s="28" t="n"/>
      <c r="C263" s="26" t="n"/>
      <c r="D263" s="26" t="n"/>
      <c r="E263" s="26" t="n"/>
      <c r="F263" s="27" t="n"/>
      <c r="G263" s="27" t="n"/>
      <c r="H263" s="27" t="n"/>
      <c r="I263" s="27" t="n"/>
      <c r="J263" s="27" t="n"/>
      <c r="K263" s="18">
        <f>IF(AND(B263="",E263=""),"",IF(J263&lt;&gt;"","Arrived",IF(I263&lt;&gt;"","Packed","To pack")))</f>
        <v/>
      </c>
      <c r="L263" s="26" t="n"/>
      <c r="M263" s="1" t="n"/>
      <c r="N263">
        <f>IF(AND(H263&lt;&gt;"",B263&lt;&gt;""),B263+ROW()/10000000,"")</f>
        <v/>
      </c>
    </row>
    <row r="264">
      <c r="A264" s="1" t="n"/>
      <c r="B264" s="28" t="n"/>
      <c r="C264" s="26" t="n"/>
      <c r="D264" s="26" t="n"/>
      <c r="E264" s="26" t="n"/>
      <c r="F264" s="27" t="n"/>
      <c r="G264" s="27" t="n"/>
      <c r="H264" s="27" t="n"/>
      <c r="I264" s="27" t="n"/>
      <c r="J264" s="27" t="n"/>
      <c r="K264" s="18">
        <f>IF(AND(B264="",E264=""),"",IF(J264&lt;&gt;"","Arrived",IF(I264&lt;&gt;"","Packed","To pack")))</f>
        <v/>
      </c>
      <c r="L264" s="26" t="n"/>
      <c r="M264" s="1" t="n"/>
      <c r="N264">
        <f>IF(AND(H264&lt;&gt;"",B264&lt;&gt;""),B264+ROW()/10000000,"")</f>
        <v/>
      </c>
    </row>
    <row r="265">
      <c r="A265" s="1" t="n"/>
      <c r="B265" s="28" t="n"/>
      <c r="C265" s="26" t="n"/>
      <c r="D265" s="26" t="n"/>
      <c r="E265" s="26" t="n"/>
      <c r="F265" s="27" t="n"/>
      <c r="G265" s="27" t="n"/>
      <c r="H265" s="27" t="n"/>
      <c r="I265" s="27" t="n"/>
      <c r="J265" s="27" t="n"/>
      <c r="K265" s="18">
        <f>IF(AND(B265="",E265=""),"",IF(J265&lt;&gt;"","Arrived",IF(I265&lt;&gt;"","Packed","To pack")))</f>
        <v/>
      </c>
      <c r="L265" s="26" t="n"/>
      <c r="M265" s="1" t="n"/>
      <c r="N265">
        <f>IF(AND(H265&lt;&gt;"",B265&lt;&gt;""),B265+ROW()/10000000,"")</f>
        <v/>
      </c>
    </row>
    <row r="266">
      <c r="A266" s="1" t="n"/>
      <c r="B266" s="28" t="n"/>
      <c r="C266" s="26" t="n"/>
      <c r="D266" s="26" t="n"/>
      <c r="E266" s="26" t="n"/>
      <c r="F266" s="27" t="n"/>
      <c r="G266" s="27" t="n"/>
      <c r="H266" s="27" t="n"/>
      <c r="I266" s="27" t="n"/>
      <c r="J266" s="27" t="n"/>
      <c r="K266" s="18">
        <f>IF(AND(B266="",E266=""),"",IF(J266&lt;&gt;"","Arrived",IF(I266&lt;&gt;"","Packed","To pack")))</f>
        <v/>
      </c>
      <c r="L266" s="26" t="n"/>
      <c r="M266" s="1" t="n"/>
      <c r="N266">
        <f>IF(AND(H266&lt;&gt;"",B266&lt;&gt;""),B266+ROW()/10000000,"")</f>
        <v/>
      </c>
    </row>
    <row r="267">
      <c r="A267" s="1" t="n"/>
      <c r="B267" s="28" t="n"/>
      <c r="C267" s="26" t="n"/>
      <c r="D267" s="26" t="n"/>
      <c r="E267" s="26" t="n"/>
      <c r="F267" s="27" t="n"/>
      <c r="G267" s="27" t="n"/>
      <c r="H267" s="27" t="n"/>
      <c r="I267" s="27" t="n"/>
      <c r="J267" s="27" t="n"/>
      <c r="K267" s="18">
        <f>IF(AND(B267="",E267=""),"",IF(J267&lt;&gt;"","Arrived",IF(I267&lt;&gt;"","Packed","To pack")))</f>
        <v/>
      </c>
      <c r="L267" s="26" t="n"/>
      <c r="M267" s="1" t="n"/>
      <c r="N267">
        <f>IF(AND(H267&lt;&gt;"",B267&lt;&gt;""),B267+ROW()/10000000,"")</f>
        <v/>
      </c>
    </row>
    <row r="268">
      <c r="A268" s="1" t="n"/>
      <c r="B268" s="28" t="n"/>
      <c r="C268" s="26" t="n"/>
      <c r="D268" s="26" t="n"/>
      <c r="E268" s="26" t="n"/>
      <c r="F268" s="27" t="n"/>
      <c r="G268" s="27" t="n"/>
      <c r="H268" s="27" t="n"/>
      <c r="I268" s="27" t="n"/>
      <c r="J268" s="27" t="n"/>
      <c r="K268" s="18">
        <f>IF(AND(B268="",E268=""),"",IF(J268&lt;&gt;"","Arrived",IF(I268&lt;&gt;"","Packed","To pack")))</f>
        <v/>
      </c>
      <c r="L268" s="26" t="n"/>
      <c r="M268" s="1" t="n"/>
      <c r="N268">
        <f>IF(AND(H268&lt;&gt;"",B268&lt;&gt;""),B268+ROW()/10000000,"")</f>
        <v/>
      </c>
    </row>
    <row r="269">
      <c r="A269" s="1" t="n"/>
      <c r="B269" s="28" t="n"/>
      <c r="C269" s="26" t="n"/>
      <c r="D269" s="26" t="n"/>
      <c r="E269" s="26" t="n"/>
      <c r="F269" s="27" t="n"/>
      <c r="G269" s="27" t="n"/>
      <c r="H269" s="27" t="n"/>
      <c r="I269" s="27" t="n"/>
      <c r="J269" s="27" t="n"/>
      <c r="K269" s="18">
        <f>IF(AND(B269="",E269=""),"",IF(J269&lt;&gt;"","Arrived",IF(I269&lt;&gt;"","Packed","To pack")))</f>
        <v/>
      </c>
      <c r="L269" s="26" t="n"/>
      <c r="M269" s="1" t="n"/>
      <c r="N269">
        <f>IF(AND(H269&lt;&gt;"",B269&lt;&gt;""),B269+ROW()/10000000,"")</f>
        <v/>
      </c>
    </row>
    <row r="270">
      <c r="A270" s="1" t="n"/>
      <c r="B270" s="28" t="n"/>
      <c r="C270" s="26" t="n"/>
      <c r="D270" s="26" t="n"/>
      <c r="E270" s="26" t="n"/>
      <c r="F270" s="27" t="n"/>
      <c r="G270" s="27" t="n"/>
      <c r="H270" s="27" t="n"/>
      <c r="I270" s="27" t="n"/>
      <c r="J270" s="27" t="n"/>
      <c r="K270" s="18">
        <f>IF(AND(B270="",E270=""),"",IF(J270&lt;&gt;"","Arrived",IF(I270&lt;&gt;"","Packed","To pack")))</f>
        <v/>
      </c>
      <c r="L270" s="26" t="n"/>
      <c r="M270" s="1" t="n"/>
      <c r="N270">
        <f>IF(AND(H270&lt;&gt;"",B270&lt;&gt;""),B270+ROW()/10000000,"")</f>
        <v/>
      </c>
    </row>
    <row r="271">
      <c r="A271" s="1" t="n"/>
      <c r="B271" s="28" t="n"/>
      <c r="C271" s="26" t="n"/>
      <c r="D271" s="26" t="n"/>
      <c r="E271" s="26" t="n"/>
      <c r="F271" s="27" t="n"/>
      <c r="G271" s="27" t="n"/>
      <c r="H271" s="27" t="n"/>
      <c r="I271" s="27" t="n"/>
      <c r="J271" s="27" t="n"/>
      <c r="K271" s="18">
        <f>IF(AND(B271="",E271=""),"",IF(J271&lt;&gt;"","Arrived",IF(I271&lt;&gt;"","Packed","To pack")))</f>
        <v/>
      </c>
      <c r="L271" s="26" t="n"/>
      <c r="M271" s="1" t="n"/>
      <c r="N271">
        <f>IF(AND(H271&lt;&gt;"",B271&lt;&gt;""),B271+ROW()/10000000,"")</f>
        <v/>
      </c>
    </row>
    <row r="272">
      <c r="A272" s="1" t="n"/>
      <c r="B272" s="28" t="n"/>
      <c r="C272" s="26" t="n"/>
      <c r="D272" s="26" t="n"/>
      <c r="E272" s="26" t="n"/>
      <c r="F272" s="27" t="n"/>
      <c r="G272" s="27" t="n"/>
      <c r="H272" s="27" t="n"/>
      <c r="I272" s="27" t="n"/>
      <c r="J272" s="27" t="n"/>
      <c r="K272" s="18">
        <f>IF(AND(B272="",E272=""),"",IF(J272&lt;&gt;"","Arrived",IF(I272&lt;&gt;"","Packed","To pack")))</f>
        <v/>
      </c>
      <c r="L272" s="26" t="n"/>
      <c r="M272" s="1" t="n"/>
      <c r="N272">
        <f>IF(AND(H272&lt;&gt;"",B272&lt;&gt;""),B272+ROW()/10000000,"")</f>
        <v/>
      </c>
    </row>
    <row r="273">
      <c r="A273" s="1" t="n"/>
      <c r="B273" s="28" t="n"/>
      <c r="C273" s="26" t="n"/>
      <c r="D273" s="26" t="n"/>
      <c r="E273" s="26" t="n"/>
      <c r="F273" s="27" t="n"/>
      <c r="G273" s="27" t="n"/>
      <c r="H273" s="27" t="n"/>
      <c r="I273" s="27" t="n"/>
      <c r="J273" s="27" t="n"/>
      <c r="K273" s="18">
        <f>IF(AND(B273="",E273=""),"",IF(J273&lt;&gt;"","Arrived",IF(I273&lt;&gt;"","Packed","To pack")))</f>
        <v/>
      </c>
      <c r="L273" s="26" t="n"/>
      <c r="M273" s="1" t="n"/>
      <c r="N273">
        <f>IF(AND(H273&lt;&gt;"",B273&lt;&gt;""),B273+ROW()/10000000,"")</f>
        <v/>
      </c>
    </row>
    <row r="274">
      <c r="A274" s="1" t="n"/>
      <c r="B274" s="28" t="n"/>
      <c r="C274" s="26" t="n"/>
      <c r="D274" s="26" t="n"/>
      <c r="E274" s="26" t="n"/>
      <c r="F274" s="27" t="n"/>
      <c r="G274" s="27" t="n"/>
      <c r="H274" s="27" t="n"/>
      <c r="I274" s="27" t="n"/>
      <c r="J274" s="27" t="n"/>
      <c r="K274" s="18">
        <f>IF(AND(B274="",E274=""),"",IF(J274&lt;&gt;"","Arrived",IF(I274&lt;&gt;"","Packed","To pack")))</f>
        <v/>
      </c>
      <c r="L274" s="26" t="n"/>
      <c r="M274" s="1" t="n"/>
      <c r="N274">
        <f>IF(AND(H274&lt;&gt;"",B274&lt;&gt;""),B274+ROW()/10000000,"")</f>
        <v/>
      </c>
    </row>
    <row r="275">
      <c r="A275" s="1" t="n"/>
      <c r="B275" s="28" t="n"/>
      <c r="C275" s="26" t="n"/>
      <c r="D275" s="26" t="n"/>
      <c r="E275" s="26" t="n"/>
      <c r="F275" s="27" t="n"/>
      <c r="G275" s="27" t="n"/>
      <c r="H275" s="27" t="n"/>
      <c r="I275" s="27" t="n"/>
      <c r="J275" s="27" t="n"/>
      <c r="K275" s="18">
        <f>IF(AND(B275="",E275=""),"",IF(J275&lt;&gt;"","Arrived",IF(I275&lt;&gt;"","Packed","To pack")))</f>
        <v/>
      </c>
      <c r="L275" s="26" t="n"/>
      <c r="M275" s="1" t="n"/>
      <c r="N275">
        <f>IF(AND(H275&lt;&gt;"",B275&lt;&gt;""),B275+ROW()/10000000,"")</f>
        <v/>
      </c>
    </row>
    <row r="276">
      <c r="A276" s="1" t="n"/>
      <c r="B276" s="28" t="n"/>
      <c r="C276" s="26" t="n"/>
      <c r="D276" s="26" t="n"/>
      <c r="E276" s="26" t="n"/>
      <c r="F276" s="27" t="n"/>
      <c r="G276" s="27" t="n"/>
      <c r="H276" s="27" t="n"/>
      <c r="I276" s="27" t="n"/>
      <c r="J276" s="27" t="n"/>
      <c r="K276" s="18">
        <f>IF(AND(B276="",E276=""),"",IF(J276&lt;&gt;"","Arrived",IF(I276&lt;&gt;"","Packed","To pack")))</f>
        <v/>
      </c>
      <c r="L276" s="26" t="n"/>
      <c r="M276" s="1" t="n"/>
      <c r="N276">
        <f>IF(AND(H276&lt;&gt;"",B276&lt;&gt;""),B276+ROW()/10000000,"")</f>
        <v/>
      </c>
    </row>
    <row r="277">
      <c r="A277" s="1" t="n"/>
      <c r="B277" s="28" t="n"/>
      <c r="C277" s="26" t="n"/>
      <c r="D277" s="26" t="n"/>
      <c r="E277" s="26" t="n"/>
      <c r="F277" s="27" t="n"/>
      <c r="G277" s="27" t="n"/>
      <c r="H277" s="27" t="n"/>
      <c r="I277" s="27" t="n"/>
      <c r="J277" s="27" t="n"/>
      <c r="K277" s="18">
        <f>IF(AND(B277="",E277=""),"",IF(J277&lt;&gt;"","Arrived",IF(I277&lt;&gt;"","Packed","To pack")))</f>
        <v/>
      </c>
      <c r="L277" s="26" t="n"/>
      <c r="M277" s="1" t="n"/>
      <c r="N277">
        <f>IF(AND(H277&lt;&gt;"",B277&lt;&gt;""),B277+ROW()/10000000,"")</f>
        <v/>
      </c>
    </row>
    <row r="278">
      <c r="A278" s="1" t="n"/>
      <c r="B278" s="28" t="n"/>
      <c r="C278" s="26" t="n"/>
      <c r="D278" s="26" t="n"/>
      <c r="E278" s="26" t="n"/>
      <c r="F278" s="27" t="n"/>
      <c r="G278" s="27" t="n"/>
      <c r="H278" s="27" t="n"/>
      <c r="I278" s="27" t="n"/>
      <c r="J278" s="27" t="n"/>
      <c r="K278" s="18">
        <f>IF(AND(B278="",E278=""),"",IF(J278&lt;&gt;"","Arrived",IF(I278&lt;&gt;"","Packed","To pack")))</f>
        <v/>
      </c>
      <c r="L278" s="26" t="n"/>
      <c r="M278" s="1" t="n"/>
      <c r="N278">
        <f>IF(AND(H278&lt;&gt;"",B278&lt;&gt;""),B278+ROW()/10000000,"")</f>
        <v/>
      </c>
    </row>
    <row r="279">
      <c r="A279" s="1" t="n"/>
      <c r="B279" s="28" t="n"/>
      <c r="C279" s="26" t="n"/>
      <c r="D279" s="26" t="n"/>
      <c r="E279" s="26" t="n"/>
      <c r="F279" s="27" t="n"/>
      <c r="G279" s="27" t="n"/>
      <c r="H279" s="27" t="n"/>
      <c r="I279" s="27" t="n"/>
      <c r="J279" s="27" t="n"/>
      <c r="K279" s="18">
        <f>IF(AND(B279="",E279=""),"",IF(J279&lt;&gt;"","Arrived",IF(I279&lt;&gt;"","Packed","To pack")))</f>
        <v/>
      </c>
      <c r="L279" s="26" t="n"/>
      <c r="M279" s="1" t="n"/>
      <c r="N279">
        <f>IF(AND(H279&lt;&gt;"",B279&lt;&gt;""),B279+ROW()/10000000,"")</f>
        <v/>
      </c>
    </row>
    <row r="280">
      <c r="A280" s="1" t="n"/>
      <c r="B280" s="28" t="n"/>
      <c r="C280" s="26" t="n"/>
      <c r="D280" s="26" t="n"/>
      <c r="E280" s="26" t="n"/>
      <c r="F280" s="27" t="n"/>
      <c r="G280" s="27" t="n"/>
      <c r="H280" s="27" t="n"/>
      <c r="I280" s="27" t="n"/>
      <c r="J280" s="27" t="n"/>
      <c r="K280" s="18">
        <f>IF(AND(B280="",E280=""),"",IF(J280&lt;&gt;"","Arrived",IF(I280&lt;&gt;"","Packed","To pack")))</f>
        <v/>
      </c>
      <c r="L280" s="26" t="n"/>
      <c r="M280" s="1" t="n"/>
      <c r="N280">
        <f>IF(AND(H280&lt;&gt;"",B280&lt;&gt;""),B280+ROW()/10000000,"")</f>
        <v/>
      </c>
    </row>
    <row r="281">
      <c r="A281" s="1" t="n"/>
      <c r="B281" s="28" t="n"/>
      <c r="C281" s="26" t="n"/>
      <c r="D281" s="26" t="n"/>
      <c r="E281" s="26" t="n"/>
      <c r="F281" s="27" t="n"/>
      <c r="G281" s="27" t="n"/>
      <c r="H281" s="27" t="n"/>
      <c r="I281" s="27" t="n"/>
      <c r="J281" s="27" t="n"/>
      <c r="K281" s="18">
        <f>IF(AND(B281="",E281=""),"",IF(J281&lt;&gt;"","Arrived",IF(I281&lt;&gt;"","Packed","To pack")))</f>
        <v/>
      </c>
      <c r="L281" s="26" t="n"/>
      <c r="M281" s="1" t="n"/>
      <c r="N281">
        <f>IF(AND(H281&lt;&gt;"",B281&lt;&gt;""),B281+ROW()/10000000,"")</f>
        <v/>
      </c>
    </row>
    <row r="282">
      <c r="A282" s="1" t="n"/>
      <c r="B282" s="28" t="n"/>
      <c r="C282" s="26" t="n"/>
      <c r="D282" s="26" t="n"/>
      <c r="E282" s="26" t="n"/>
      <c r="F282" s="27" t="n"/>
      <c r="G282" s="27" t="n"/>
      <c r="H282" s="27" t="n"/>
      <c r="I282" s="27" t="n"/>
      <c r="J282" s="27" t="n"/>
      <c r="K282" s="18">
        <f>IF(AND(B282="",E282=""),"",IF(J282&lt;&gt;"","Arrived",IF(I282&lt;&gt;"","Packed","To pack")))</f>
        <v/>
      </c>
      <c r="L282" s="26" t="n"/>
      <c r="M282" s="1" t="n"/>
      <c r="N282">
        <f>IF(AND(H282&lt;&gt;"",B282&lt;&gt;""),B282+ROW()/10000000,"")</f>
        <v/>
      </c>
    </row>
    <row r="283">
      <c r="A283" s="1" t="n"/>
      <c r="B283" s="28" t="n"/>
      <c r="C283" s="26" t="n"/>
      <c r="D283" s="26" t="n"/>
      <c r="E283" s="26" t="n"/>
      <c r="F283" s="27" t="n"/>
      <c r="G283" s="27" t="n"/>
      <c r="H283" s="27" t="n"/>
      <c r="I283" s="27" t="n"/>
      <c r="J283" s="27" t="n"/>
      <c r="K283" s="18">
        <f>IF(AND(B283="",E283=""),"",IF(J283&lt;&gt;"","Arrived",IF(I283&lt;&gt;"","Packed","To pack")))</f>
        <v/>
      </c>
      <c r="L283" s="26" t="n"/>
      <c r="M283" s="1" t="n"/>
      <c r="N283">
        <f>IF(AND(H283&lt;&gt;"",B283&lt;&gt;""),B283+ROW()/10000000,"")</f>
        <v/>
      </c>
    </row>
    <row r="284">
      <c r="A284" s="1" t="n"/>
      <c r="B284" s="28" t="n"/>
      <c r="C284" s="26" t="n"/>
      <c r="D284" s="26" t="n"/>
      <c r="E284" s="26" t="n"/>
      <c r="F284" s="27" t="n"/>
      <c r="G284" s="27" t="n"/>
      <c r="H284" s="27" t="n"/>
      <c r="I284" s="27" t="n"/>
      <c r="J284" s="27" t="n"/>
      <c r="K284" s="18">
        <f>IF(AND(B284="",E284=""),"",IF(J284&lt;&gt;"","Arrived",IF(I284&lt;&gt;"","Packed","To pack")))</f>
        <v/>
      </c>
      <c r="L284" s="26" t="n"/>
      <c r="M284" s="1" t="n"/>
      <c r="N284">
        <f>IF(AND(H284&lt;&gt;"",B284&lt;&gt;""),B284+ROW()/10000000,"")</f>
        <v/>
      </c>
    </row>
    <row r="285">
      <c r="A285" s="1" t="n"/>
      <c r="B285" s="28" t="n"/>
      <c r="C285" s="26" t="n"/>
      <c r="D285" s="26" t="n"/>
      <c r="E285" s="26" t="n"/>
      <c r="F285" s="27" t="n"/>
      <c r="G285" s="27" t="n"/>
      <c r="H285" s="27" t="n"/>
      <c r="I285" s="27" t="n"/>
      <c r="J285" s="27" t="n"/>
      <c r="K285" s="18">
        <f>IF(AND(B285="",E285=""),"",IF(J285&lt;&gt;"","Arrived",IF(I285&lt;&gt;"","Packed","To pack")))</f>
        <v/>
      </c>
      <c r="L285" s="26" t="n"/>
      <c r="M285" s="1" t="n"/>
      <c r="N285">
        <f>IF(AND(H285&lt;&gt;"",B285&lt;&gt;""),B285+ROW()/10000000,"")</f>
        <v/>
      </c>
    </row>
    <row r="286">
      <c r="A286" s="1" t="n"/>
      <c r="B286" s="28" t="n"/>
      <c r="C286" s="26" t="n"/>
      <c r="D286" s="26" t="n"/>
      <c r="E286" s="26" t="n"/>
      <c r="F286" s="27" t="n"/>
      <c r="G286" s="27" t="n"/>
      <c r="H286" s="27" t="n"/>
      <c r="I286" s="27" t="n"/>
      <c r="J286" s="27" t="n"/>
      <c r="K286" s="18">
        <f>IF(AND(B286="",E286=""),"",IF(J286&lt;&gt;"","Arrived",IF(I286&lt;&gt;"","Packed","To pack")))</f>
        <v/>
      </c>
      <c r="L286" s="26" t="n"/>
      <c r="M286" s="1" t="n"/>
      <c r="N286">
        <f>IF(AND(H286&lt;&gt;"",B286&lt;&gt;""),B286+ROW()/10000000,"")</f>
        <v/>
      </c>
    </row>
    <row r="287">
      <c r="A287" s="1" t="n"/>
      <c r="B287" s="28" t="n"/>
      <c r="C287" s="26" t="n"/>
      <c r="D287" s="26" t="n"/>
      <c r="E287" s="26" t="n"/>
      <c r="F287" s="27" t="n"/>
      <c r="G287" s="27" t="n"/>
      <c r="H287" s="27" t="n"/>
      <c r="I287" s="27" t="n"/>
      <c r="J287" s="27" t="n"/>
      <c r="K287" s="18">
        <f>IF(AND(B287="",E287=""),"",IF(J287&lt;&gt;"","Arrived",IF(I287&lt;&gt;"","Packed","To pack")))</f>
        <v/>
      </c>
      <c r="L287" s="26" t="n"/>
      <c r="M287" s="1" t="n"/>
      <c r="N287">
        <f>IF(AND(H287&lt;&gt;"",B287&lt;&gt;""),B287+ROW()/10000000,"")</f>
        <v/>
      </c>
    </row>
    <row r="288">
      <c r="A288" s="1" t="n"/>
      <c r="B288" s="28" t="n"/>
      <c r="C288" s="26" t="n"/>
      <c r="D288" s="26" t="n"/>
      <c r="E288" s="26" t="n"/>
      <c r="F288" s="27" t="n"/>
      <c r="G288" s="27" t="n"/>
      <c r="H288" s="27" t="n"/>
      <c r="I288" s="27" t="n"/>
      <c r="J288" s="27" t="n"/>
      <c r="K288" s="18">
        <f>IF(AND(B288="",E288=""),"",IF(J288&lt;&gt;"","Arrived",IF(I288&lt;&gt;"","Packed","To pack")))</f>
        <v/>
      </c>
      <c r="L288" s="26" t="n"/>
      <c r="M288" s="1" t="n"/>
      <c r="N288">
        <f>IF(AND(H288&lt;&gt;"",B288&lt;&gt;""),B288+ROW()/10000000,"")</f>
        <v/>
      </c>
    </row>
    <row r="289">
      <c r="A289" s="1" t="n"/>
      <c r="B289" s="28" t="n"/>
      <c r="C289" s="26" t="n"/>
      <c r="D289" s="26" t="n"/>
      <c r="E289" s="26" t="n"/>
      <c r="F289" s="27" t="n"/>
      <c r="G289" s="27" t="n"/>
      <c r="H289" s="27" t="n"/>
      <c r="I289" s="27" t="n"/>
      <c r="J289" s="27" t="n"/>
      <c r="K289" s="18">
        <f>IF(AND(B289="",E289=""),"",IF(J289&lt;&gt;"","Arrived",IF(I289&lt;&gt;"","Packed","To pack")))</f>
        <v/>
      </c>
      <c r="L289" s="26" t="n"/>
      <c r="M289" s="1" t="n"/>
      <c r="N289">
        <f>IF(AND(H289&lt;&gt;"",B289&lt;&gt;""),B289+ROW()/10000000,"")</f>
        <v/>
      </c>
    </row>
    <row r="290">
      <c r="A290" s="1" t="n"/>
      <c r="B290" s="28" t="n"/>
      <c r="C290" s="26" t="n"/>
      <c r="D290" s="26" t="n"/>
      <c r="E290" s="26" t="n"/>
      <c r="F290" s="27" t="n"/>
      <c r="G290" s="27" t="n"/>
      <c r="H290" s="27" t="n"/>
      <c r="I290" s="27" t="n"/>
      <c r="J290" s="27" t="n"/>
      <c r="K290" s="18">
        <f>IF(AND(B290="",E290=""),"",IF(J290&lt;&gt;"","Arrived",IF(I290&lt;&gt;"","Packed","To pack")))</f>
        <v/>
      </c>
      <c r="L290" s="26" t="n"/>
      <c r="M290" s="1" t="n"/>
      <c r="N290">
        <f>IF(AND(H290&lt;&gt;"",B290&lt;&gt;""),B290+ROW()/10000000,"")</f>
        <v/>
      </c>
    </row>
    <row r="291">
      <c r="A291" s="1" t="n"/>
      <c r="B291" s="28" t="n"/>
      <c r="C291" s="26" t="n"/>
      <c r="D291" s="26" t="n"/>
      <c r="E291" s="26" t="n"/>
      <c r="F291" s="27" t="n"/>
      <c r="G291" s="27" t="n"/>
      <c r="H291" s="27" t="n"/>
      <c r="I291" s="27" t="n"/>
      <c r="J291" s="27" t="n"/>
      <c r="K291" s="18">
        <f>IF(AND(B291="",E291=""),"",IF(J291&lt;&gt;"","Arrived",IF(I291&lt;&gt;"","Packed","To pack")))</f>
        <v/>
      </c>
      <c r="L291" s="26" t="n"/>
      <c r="M291" s="1" t="n"/>
      <c r="N291">
        <f>IF(AND(H291&lt;&gt;"",B291&lt;&gt;""),B291+ROW()/10000000,"")</f>
        <v/>
      </c>
    </row>
    <row r="292">
      <c r="A292" s="1" t="n"/>
      <c r="B292" s="28" t="n"/>
      <c r="C292" s="26" t="n"/>
      <c r="D292" s="26" t="n"/>
      <c r="E292" s="26" t="n"/>
      <c r="F292" s="27" t="n"/>
      <c r="G292" s="27" t="n"/>
      <c r="H292" s="27" t="n"/>
      <c r="I292" s="27" t="n"/>
      <c r="J292" s="27" t="n"/>
      <c r="K292" s="18">
        <f>IF(AND(B292="",E292=""),"",IF(J292&lt;&gt;"","Arrived",IF(I292&lt;&gt;"","Packed","To pack")))</f>
        <v/>
      </c>
      <c r="L292" s="26" t="n"/>
      <c r="M292" s="1" t="n"/>
      <c r="N292">
        <f>IF(AND(H292&lt;&gt;"",B292&lt;&gt;""),B292+ROW()/10000000,"")</f>
        <v/>
      </c>
    </row>
    <row r="293">
      <c r="A293" s="1" t="n"/>
      <c r="B293" s="28" t="n"/>
      <c r="C293" s="26" t="n"/>
      <c r="D293" s="26" t="n"/>
      <c r="E293" s="26" t="n"/>
      <c r="F293" s="27" t="n"/>
      <c r="G293" s="27" t="n"/>
      <c r="H293" s="27" t="n"/>
      <c r="I293" s="27" t="n"/>
      <c r="J293" s="27" t="n"/>
      <c r="K293" s="18">
        <f>IF(AND(B293="",E293=""),"",IF(J293&lt;&gt;"","Arrived",IF(I293&lt;&gt;"","Packed","To pack")))</f>
        <v/>
      </c>
      <c r="L293" s="26" t="n"/>
      <c r="M293" s="1" t="n"/>
      <c r="N293">
        <f>IF(AND(H293&lt;&gt;"",B293&lt;&gt;""),B293+ROW()/10000000,"")</f>
        <v/>
      </c>
    </row>
    <row r="294">
      <c r="A294" s="1" t="n"/>
      <c r="B294" s="28" t="n"/>
      <c r="C294" s="26" t="n"/>
      <c r="D294" s="26" t="n"/>
      <c r="E294" s="26" t="n"/>
      <c r="F294" s="27" t="n"/>
      <c r="G294" s="27" t="n"/>
      <c r="H294" s="27" t="n"/>
      <c r="I294" s="27" t="n"/>
      <c r="J294" s="27" t="n"/>
      <c r="K294" s="18">
        <f>IF(AND(B294="",E294=""),"",IF(J294&lt;&gt;"","Arrived",IF(I294&lt;&gt;"","Packed","To pack")))</f>
        <v/>
      </c>
      <c r="L294" s="26" t="n"/>
      <c r="M294" s="1" t="n"/>
      <c r="N294">
        <f>IF(AND(H294&lt;&gt;"",B294&lt;&gt;""),B294+ROW()/10000000,"")</f>
        <v/>
      </c>
    </row>
    <row r="295">
      <c r="A295" s="1" t="n"/>
      <c r="B295" s="28" t="n"/>
      <c r="C295" s="26" t="n"/>
      <c r="D295" s="26" t="n"/>
      <c r="E295" s="26" t="n"/>
      <c r="F295" s="27" t="n"/>
      <c r="G295" s="27" t="n"/>
      <c r="H295" s="27" t="n"/>
      <c r="I295" s="27" t="n"/>
      <c r="J295" s="27" t="n"/>
      <c r="K295" s="18">
        <f>IF(AND(B295="",E295=""),"",IF(J295&lt;&gt;"","Arrived",IF(I295&lt;&gt;"","Packed","To pack")))</f>
        <v/>
      </c>
      <c r="L295" s="26" t="n"/>
      <c r="M295" s="1" t="n"/>
      <c r="N295">
        <f>IF(AND(H295&lt;&gt;"",B295&lt;&gt;""),B295+ROW()/10000000,"")</f>
        <v/>
      </c>
    </row>
    <row r="296">
      <c r="A296" s="1" t="n"/>
      <c r="B296" s="28" t="n"/>
      <c r="C296" s="26" t="n"/>
      <c r="D296" s="26" t="n"/>
      <c r="E296" s="26" t="n"/>
      <c r="F296" s="27" t="n"/>
      <c r="G296" s="27" t="n"/>
      <c r="H296" s="27" t="n"/>
      <c r="I296" s="27" t="n"/>
      <c r="J296" s="27" t="n"/>
      <c r="K296" s="18">
        <f>IF(AND(B296="",E296=""),"",IF(J296&lt;&gt;"","Arrived",IF(I296&lt;&gt;"","Packed","To pack")))</f>
        <v/>
      </c>
      <c r="L296" s="26" t="n"/>
      <c r="M296" s="1" t="n"/>
      <c r="N296">
        <f>IF(AND(H296&lt;&gt;"",B296&lt;&gt;""),B296+ROW()/10000000,"")</f>
        <v/>
      </c>
    </row>
    <row r="297">
      <c r="A297" s="1" t="n"/>
      <c r="B297" s="28" t="n"/>
      <c r="C297" s="26" t="n"/>
      <c r="D297" s="26" t="n"/>
      <c r="E297" s="26" t="n"/>
      <c r="F297" s="27" t="n"/>
      <c r="G297" s="27" t="n"/>
      <c r="H297" s="27" t="n"/>
      <c r="I297" s="27" t="n"/>
      <c r="J297" s="27" t="n"/>
      <c r="K297" s="18">
        <f>IF(AND(B297="",E297=""),"",IF(J297&lt;&gt;"","Arrived",IF(I297&lt;&gt;"","Packed","To pack")))</f>
        <v/>
      </c>
      <c r="L297" s="26" t="n"/>
      <c r="M297" s="1" t="n"/>
      <c r="N297">
        <f>IF(AND(H297&lt;&gt;"",B297&lt;&gt;""),B297+ROW()/10000000,"")</f>
        <v/>
      </c>
    </row>
    <row r="298">
      <c r="A298" s="1" t="n"/>
      <c r="B298" s="28" t="n"/>
      <c r="C298" s="26" t="n"/>
      <c r="D298" s="26" t="n"/>
      <c r="E298" s="26" t="n"/>
      <c r="F298" s="27" t="n"/>
      <c r="G298" s="27" t="n"/>
      <c r="H298" s="27" t="n"/>
      <c r="I298" s="27" t="n"/>
      <c r="J298" s="27" t="n"/>
      <c r="K298" s="18">
        <f>IF(AND(B298="",E298=""),"",IF(J298&lt;&gt;"","Arrived",IF(I298&lt;&gt;"","Packed","To pack")))</f>
        <v/>
      </c>
      <c r="L298" s="26" t="n"/>
      <c r="M298" s="1" t="n"/>
      <c r="N298">
        <f>IF(AND(H298&lt;&gt;"",B298&lt;&gt;""),B298+ROW()/10000000,"")</f>
        <v/>
      </c>
    </row>
    <row r="299">
      <c r="A299" s="1" t="n"/>
      <c r="B299" s="28" t="n"/>
      <c r="C299" s="26" t="n"/>
      <c r="D299" s="26" t="n"/>
      <c r="E299" s="26" t="n"/>
      <c r="F299" s="27" t="n"/>
      <c r="G299" s="27" t="n"/>
      <c r="H299" s="27" t="n"/>
      <c r="I299" s="27" t="n"/>
      <c r="J299" s="27" t="n"/>
      <c r="K299" s="18">
        <f>IF(AND(B299="",E299=""),"",IF(J299&lt;&gt;"","Arrived",IF(I299&lt;&gt;"","Packed","To pack")))</f>
        <v/>
      </c>
      <c r="L299" s="26" t="n"/>
      <c r="M299" s="1" t="n"/>
      <c r="N299">
        <f>IF(AND(H299&lt;&gt;"",B299&lt;&gt;""),B299+ROW()/10000000,"")</f>
        <v/>
      </c>
    </row>
    <row r="300">
      <c r="A300" s="1" t="n"/>
      <c r="B300" s="28" t="n"/>
      <c r="C300" s="26" t="n"/>
      <c r="D300" s="26" t="n"/>
      <c r="E300" s="26" t="n"/>
      <c r="F300" s="27" t="n"/>
      <c r="G300" s="27" t="n"/>
      <c r="H300" s="27" t="n"/>
      <c r="I300" s="27" t="n"/>
      <c r="J300" s="27" t="n"/>
      <c r="K300" s="18">
        <f>IF(AND(B300="",E300=""),"",IF(J300&lt;&gt;"","Arrived",IF(I300&lt;&gt;"","Packed","To pack")))</f>
        <v/>
      </c>
      <c r="L300" s="26" t="n"/>
      <c r="M300" s="1" t="n"/>
      <c r="N300">
        <f>IF(AND(H300&lt;&gt;"",B300&lt;&gt;""),B300+ROW()/10000000,"")</f>
        <v/>
      </c>
    </row>
    <row r="301">
      <c r="A301" s="1" t="n"/>
      <c r="B301" s="28" t="n"/>
      <c r="C301" s="26" t="n"/>
      <c r="D301" s="26" t="n"/>
      <c r="E301" s="26" t="n"/>
      <c r="F301" s="27" t="n"/>
      <c r="G301" s="27" t="n"/>
      <c r="H301" s="27" t="n"/>
      <c r="I301" s="27" t="n"/>
      <c r="J301" s="27" t="n"/>
      <c r="K301" s="18">
        <f>IF(AND(B301="",E301=""),"",IF(J301&lt;&gt;"","Arrived",IF(I301&lt;&gt;"","Packed","To pack")))</f>
        <v/>
      </c>
      <c r="L301" s="26" t="n"/>
      <c r="M301" s="1" t="n"/>
      <c r="N301">
        <f>IF(AND(H301&lt;&gt;"",B301&lt;&gt;""),B301+ROW()/10000000,"")</f>
        <v/>
      </c>
    </row>
    <row r="302">
      <c r="A302" s="1" t="n"/>
      <c r="B302" s="28" t="n"/>
      <c r="C302" s="26" t="n"/>
      <c r="D302" s="26" t="n"/>
      <c r="E302" s="26" t="n"/>
      <c r="F302" s="27" t="n"/>
      <c r="G302" s="27" t="n"/>
      <c r="H302" s="27" t="n"/>
      <c r="I302" s="27" t="n"/>
      <c r="J302" s="27" t="n"/>
      <c r="K302" s="18">
        <f>IF(AND(B302="",E302=""),"",IF(J302&lt;&gt;"","Arrived",IF(I302&lt;&gt;"","Packed","To pack")))</f>
        <v/>
      </c>
      <c r="L302" s="26" t="n"/>
      <c r="M302" s="1" t="n"/>
      <c r="N302">
        <f>IF(AND(H302&lt;&gt;"",B302&lt;&gt;""),B302+ROW()/10000000,"")</f>
        <v/>
      </c>
    </row>
    <row r="303">
      <c r="A303" s="1" t="n"/>
      <c r="B303" s="28" t="n"/>
      <c r="C303" s="26" t="n"/>
      <c r="D303" s="26" t="n"/>
      <c r="E303" s="26" t="n"/>
      <c r="F303" s="27" t="n"/>
      <c r="G303" s="27" t="n"/>
      <c r="H303" s="27" t="n"/>
      <c r="I303" s="27" t="n"/>
      <c r="J303" s="27" t="n"/>
      <c r="K303" s="18">
        <f>IF(AND(B303="",E303=""),"",IF(J303&lt;&gt;"","Arrived",IF(I303&lt;&gt;"","Packed","To pack")))</f>
        <v/>
      </c>
      <c r="L303" s="26" t="n"/>
      <c r="M303" s="1" t="n"/>
      <c r="N303">
        <f>IF(AND(H303&lt;&gt;"",B303&lt;&gt;""),B303+ROW()/10000000,"")</f>
        <v/>
      </c>
    </row>
    <row r="304">
      <c r="A304" s="1" t="n"/>
      <c r="B304" s="28" t="n"/>
      <c r="C304" s="26" t="n"/>
      <c r="D304" s="26" t="n"/>
      <c r="E304" s="26" t="n"/>
      <c r="F304" s="27" t="n"/>
      <c r="G304" s="27" t="n"/>
      <c r="H304" s="27" t="n"/>
      <c r="I304" s="27" t="n"/>
      <c r="J304" s="27" t="n"/>
      <c r="K304" s="18">
        <f>IF(AND(B304="",E304=""),"",IF(J304&lt;&gt;"","Arrived",IF(I304&lt;&gt;"","Packed","To pack")))</f>
        <v/>
      </c>
      <c r="L304" s="26" t="n"/>
      <c r="M304" s="1" t="n"/>
      <c r="N304">
        <f>IF(AND(H304&lt;&gt;"",B304&lt;&gt;""),B304+ROW()/10000000,"")</f>
        <v/>
      </c>
    </row>
    <row r="305">
      <c r="A305" s="1" t="n"/>
      <c r="B305" s="28" t="n"/>
      <c r="C305" s="26" t="n"/>
      <c r="D305" s="26" t="n"/>
      <c r="E305" s="26" t="n"/>
      <c r="F305" s="27" t="n"/>
      <c r="G305" s="27" t="n"/>
      <c r="H305" s="27" t="n"/>
      <c r="I305" s="27" t="n"/>
      <c r="J305" s="27" t="n"/>
      <c r="K305" s="18">
        <f>IF(AND(B305="",E305=""),"",IF(J305&lt;&gt;"","Arrived",IF(I305&lt;&gt;"","Packed","To pack")))</f>
        <v/>
      </c>
      <c r="L305" s="26" t="n"/>
      <c r="M305" s="1" t="n"/>
      <c r="N305">
        <f>IF(AND(H305&lt;&gt;"",B305&lt;&gt;""),B305+ROW()/10000000,"")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</row>
  </sheetData>
  <conditionalFormatting sqref="K6:K305">
    <cfRule type="expression" priority="1" dxfId="3">
      <formula>K6="Arrived"</formula>
    </cfRule>
    <cfRule type="expression" priority="2" dxfId="5">
      <formula>K6="Packed"</formula>
    </cfRule>
  </conditionalFormatting>
  <conditionalFormatting sqref="G6:G305">
    <cfRule type="expression" priority="3" dxfId="1">
      <formula>G6&lt;&gt;""</formula>
    </cfRule>
  </conditionalFormatting>
  <conditionalFormatting sqref="H6:H305">
    <cfRule type="expression" priority="4" dxfId="2">
      <formula>H6&lt;&gt;""</formula>
    </cfRule>
  </conditionalFormatting>
  <conditionalFormatting sqref="B6:B305">
    <cfRule type="expression" priority="5" dxfId="1">
      <formula>AND(B6&lt;&gt;"",COUNTIF(Boxes!$B$6:$B$305,B6)&gt;1)</formula>
    </cfRule>
  </conditionalFormatting>
  <dataValidations count="2">
    <dataValidation sqref="C6:C305" showDropDown="0" showInputMessage="0" showErrorMessage="0" allowBlank="1" type="list">
      <formula1>=Settings!$B$6:$B$15</formula1>
    </dataValidation>
    <dataValidation sqref="F6:F305" showDropDown="0" showInputMessage="0" showErrorMessage="1" allowBlank="1" type="list">
      <formula1>"Small,Medium,Large"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4" customWidth="1" min="4" max="4"/>
    <col width="10" customWidth="1" min="5" max="5"/>
    <col width="10" customWidth="1" min="6" max="6"/>
    <col width="34" customWidth="1" min="7" max="7"/>
    <col width="9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Movers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Quotes side by side. Put an x under Chosen for the one you book, and add it to Costs.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4" t="inlineStr">
        <is>
          <t>Company</t>
        </is>
      </c>
      <c r="C5" s="14" t="inlineStr">
        <is>
          <t>Price</t>
        </is>
      </c>
      <c r="D5" s="14" t="inlineStr">
        <is>
          <t>Free on</t>
        </is>
      </c>
      <c r="E5" s="14" t="inlineStr">
        <is>
          <t>Packing</t>
        </is>
      </c>
      <c r="F5" s="14" t="inlineStr">
        <is>
          <t>Insurance</t>
        </is>
      </c>
      <c r="G5" s="14" t="inlineStr">
        <is>
          <t>Notes</t>
        </is>
      </c>
      <c r="H5" s="14" t="inlineStr">
        <is>
          <t>Chosen</t>
        </is>
      </c>
      <c r="I5" s="1" t="n"/>
    </row>
    <row r="6">
      <c r="A6" s="1" t="n"/>
      <c r="B6" s="6" t="inlineStr">
        <is>
          <t>Oak Lane Removals</t>
        </is>
      </c>
      <c r="C6" s="29" t="n">
        <v>1150</v>
      </c>
      <c r="D6" s="30" t="n">
        <v>46319</v>
      </c>
      <c r="E6" s="27" t="inlineStr">
        <is>
          <t>x</t>
        </is>
      </c>
      <c r="F6" s="27" t="inlineStr">
        <is>
          <t>x</t>
        </is>
      </c>
      <c r="G6" s="26" t="inlineStr">
        <is>
          <t>Pack the kitchen for us</t>
        </is>
      </c>
      <c r="H6" s="27" t="n"/>
      <c r="I6" s="1" t="n"/>
    </row>
    <row r="7">
      <c r="A7" s="1" t="n"/>
      <c r="B7" s="6" t="inlineStr">
        <is>
          <t>City Van Movers</t>
        </is>
      </c>
      <c r="C7" s="29" t="n">
        <v>890</v>
      </c>
      <c r="D7" s="30" t="n">
        <v>46326</v>
      </c>
      <c r="E7" s="27" t="n"/>
      <c r="F7" s="27" t="n"/>
      <c r="G7" s="26" t="inlineStr">
        <is>
          <t>Only free the week after</t>
        </is>
      </c>
      <c r="H7" s="27" t="n"/>
      <c r="I7" s="1" t="n"/>
    </row>
    <row r="8">
      <c r="A8" s="1" t="n"/>
      <c r="B8" s="6" t="inlineStr">
        <is>
          <t>Blue Box Removals</t>
        </is>
      </c>
      <c r="C8" s="29" t="n">
        <v>950</v>
      </c>
      <c r="D8" s="30" t="n">
        <v>46319</v>
      </c>
      <c r="E8" s="27" t="n"/>
      <c r="F8" s="27" t="inlineStr">
        <is>
          <t>x</t>
        </is>
      </c>
      <c r="G8" s="26" t="inlineStr">
        <is>
          <t>Good reviews, can store for a week</t>
        </is>
      </c>
      <c r="H8" s="27" t="inlineStr">
        <is>
          <t>x</t>
        </is>
      </c>
      <c r="I8" s="1" t="n"/>
    </row>
    <row r="9">
      <c r="A9" s="1" t="n"/>
      <c r="B9" s="6" t="n"/>
      <c r="C9" s="29" t="n"/>
      <c r="D9" s="30" t="n"/>
      <c r="E9" s="27" t="n"/>
      <c r="F9" s="27" t="n"/>
      <c r="G9" s="26" t="n"/>
      <c r="H9" s="27" t="n"/>
      <c r="I9" s="1" t="n"/>
    </row>
    <row r="10">
      <c r="A10" s="1" t="n"/>
      <c r="B10" s="6" t="n"/>
      <c r="C10" s="29" t="n"/>
      <c r="D10" s="30" t="n"/>
      <c r="E10" s="27" t="n"/>
      <c r="F10" s="27" t="n"/>
      <c r="G10" s="26" t="n"/>
      <c r="H10" s="27" t="n"/>
      <c r="I10" s="1" t="n"/>
    </row>
    <row r="11">
      <c r="A11" s="1" t="n"/>
      <c r="B11" s="6" t="n"/>
      <c r="C11" s="29" t="n"/>
      <c r="D11" s="30" t="n"/>
      <c r="E11" s="27" t="n"/>
      <c r="F11" s="27" t="n"/>
      <c r="G11" s="26" t="n"/>
      <c r="H11" s="27" t="n"/>
      <c r="I11" s="1" t="n"/>
    </row>
    <row r="12">
      <c r="A12" s="1" t="n"/>
      <c r="B12" s="6" t="n"/>
      <c r="C12" s="29" t="n"/>
      <c r="D12" s="30" t="n"/>
      <c r="E12" s="27" t="n"/>
      <c r="F12" s="27" t="n"/>
      <c r="G12" s="26" t="n"/>
      <c r="H12" s="27" t="n"/>
      <c r="I12" s="1" t="n"/>
    </row>
    <row r="13">
      <c r="A13" s="1" t="n"/>
      <c r="B13" s="6" t="n"/>
      <c r="C13" s="29" t="n"/>
      <c r="D13" s="30" t="n"/>
      <c r="E13" s="27" t="n"/>
      <c r="F13" s="27" t="n"/>
      <c r="G13" s="26" t="n"/>
      <c r="H13" s="27" t="n"/>
      <c r="I13" s="1" t="n"/>
    </row>
    <row r="14">
      <c r="A14" s="1" t="n"/>
      <c r="B14" s="6" t="n"/>
      <c r="C14" s="29" t="n"/>
      <c r="D14" s="30" t="n"/>
      <c r="E14" s="27" t="n"/>
      <c r="F14" s="27" t="n"/>
      <c r="G14" s="26" t="n"/>
      <c r="H14" s="27" t="n"/>
      <c r="I14" s="1" t="n"/>
    </row>
    <row r="15">
      <c r="A15" s="1" t="n"/>
      <c r="B15" s="6" t="n"/>
      <c r="C15" s="29" t="n"/>
      <c r="D15" s="30" t="n"/>
      <c r="E15" s="27" t="n"/>
      <c r="F15" s="27" t="n"/>
      <c r="G15" s="26" t="n"/>
      <c r="H15" s="27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31" t="inlineStr">
        <is>
          <t>The cheapest price is in green. A date in orange is not moving day.</t>
        </is>
      </c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</sheetData>
  <conditionalFormatting sqref="B6:H15">
    <cfRule type="expression" priority="1" dxfId="3">
      <formula>$H6&lt;&gt;""</formula>
    </cfRule>
  </conditionalFormatting>
  <conditionalFormatting sqref="C6:C15">
    <cfRule type="expression" priority="2" dxfId="6">
      <formula>AND(ISNUMBER(C6),C6=MIN(Movers!$C$6:$C$15))</formula>
    </cfRule>
  </conditionalFormatting>
  <conditionalFormatting sqref="D6:D15">
    <cfRule type="expression" priority="3" dxfId="2">
      <formula>AND(ISNUMBER(D6),Dashboard!$C$4&lt;&gt;"",D6&lt;&gt;Dashboard!$C$4)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22" customWidth="1" min="11" max="11"/>
    <col hidden="1" width="1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Costs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Everything the move costs: what you booked, what you paid and when the rest is due.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4" t="inlineStr">
        <is>
          <t>Item</t>
        </is>
      </c>
      <c r="C5" s="14" t="inlineStr">
        <is>
          <t>Category</t>
        </is>
      </c>
      <c r="D5" s="14" t="inlineStr">
        <is>
          <t>Company or shop</t>
        </is>
      </c>
      <c r="E5" s="14" t="inlineStr">
        <is>
          <t>Estimate</t>
        </is>
      </c>
      <c r="F5" s="14" t="inlineStr">
        <is>
          <t>Final price</t>
        </is>
      </c>
      <c r="G5" s="14" t="inlineStr">
        <is>
          <t>Paid</t>
        </is>
      </c>
      <c r="H5" s="14" t="inlineStr">
        <is>
          <t>Still to pay</t>
        </is>
      </c>
      <c r="I5" s="14" t="inlineStr">
        <is>
          <t>Pay by</t>
        </is>
      </c>
      <c r="J5" s="14" t="inlineStr">
        <is>
          <t>Status</t>
        </is>
      </c>
      <c r="K5" s="14" t="inlineStr">
        <is>
          <t>Notes</t>
        </is>
      </c>
      <c r="L5" s="1" t="n"/>
    </row>
    <row r="6">
      <c r="A6" s="1" t="n"/>
      <c r="B6" s="6" t="inlineStr">
        <is>
          <t>Removal, 2 movers and a truck</t>
        </is>
      </c>
      <c r="C6" s="26" t="inlineStr">
        <is>
          <t>Movers</t>
        </is>
      </c>
      <c r="D6" s="26" t="inlineStr">
        <is>
          <t>Blue Box Removals</t>
        </is>
      </c>
      <c r="E6" s="29" t="n">
        <v>950</v>
      </c>
      <c r="F6" s="29" t="n">
        <v>950</v>
      </c>
      <c r="G6" s="29" t="n">
        <v>200</v>
      </c>
      <c r="H6" s="32">
        <f>IF(B6="","",MAX(0,IF(F6&lt;&gt;"",F6,N(E6))-N(G6)))</f>
        <v/>
      </c>
      <c r="I6" s="30" t="n">
        <v>46319</v>
      </c>
      <c r="J6" s="18">
        <f>IF(B6="","",IF(H6&lt;=0,"Paid",IF(I6="","To pay",IF(I6&lt;TODAY(),"Late",IF(I6-TODAY()&lt;=7,"Due soon","To pay")))))</f>
        <v/>
      </c>
      <c r="K6" s="26" t="n"/>
      <c r="L6" s="1" t="n"/>
      <c r="M6">
        <f>IF(B6="",0,IF(F6&lt;&gt;"",F6,N(E6)))</f>
        <v/>
      </c>
    </row>
    <row r="7">
      <c r="A7" s="1" t="n"/>
      <c r="B7" s="6" t="inlineStr">
        <is>
          <t>Boxes, tape and bubble wrap</t>
        </is>
      </c>
      <c r="C7" s="26" t="inlineStr">
        <is>
          <t>Packing</t>
        </is>
      </c>
      <c r="D7" s="26" t="inlineStr">
        <is>
          <t>Box shop</t>
        </is>
      </c>
      <c r="E7" s="29" t="n">
        <v>90</v>
      </c>
      <c r="F7" s="29" t="n">
        <v>86.40000000000001</v>
      </c>
      <c r="G7" s="29" t="n">
        <v>86.40000000000001</v>
      </c>
      <c r="H7" s="32">
        <f>IF(B7="","",MAX(0,IF(F7&lt;&gt;"",F7,N(E7))-N(G7)))</f>
        <v/>
      </c>
      <c r="I7" s="30" t="n"/>
      <c r="J7" s="18">
        <f>IF(B7="","",IF(H7&lt;=0,"Paid",IF(I7="","To pay",IF(I7&lt;TODAY(),"Late",IF(I7-TODAY()&lt;=7,"Due soon","To pay")))))</f>
        <v/>
      </c>
      <c r="K7" s="26" t="n"/>
      <c r="L7" s="1" t="n"/>
      <c r="M7">
        <f>IF(B7="",0,IF(F7&lt;&gt;"",F7,N(E7)))</f>
        <v/>
      </c>
    </row>
    <row r="8">
      <c r="A8" s="1" t="n"/>
      <c r="B8" s="6" t="inlineStr">
        <is>
          <t>End of tenancy cleaning</t>
        </is>
      </c>
      <c r="C8" s="26" t="inlineStr">
        <is>
          <t>Cleaning</t>
        </is>
      </c>
      <c r="D8" s="26" t="inlineStr">
        <is>
          <t>Sparkle Clean</t>
        </is>
      </c>
      <c r="E8" s="29" t="n">
        <v>180</v>
      </c>
      <c r="F8" s="29" t="n">
        <v>180</v>
      </c>
      <c r="G8" s="29" t="n">
        <v>0</v>
      </c>
      <c r="H8" s="32">
        <f>IF(B8="","",MAX(0,IF(F8&lt;&gt;"",F8,N(E8))-N(G8)))</f>
        <v/>
      </c>
      <c r="I8" s="30" t="n">
        <v>46320</v>
      </c>
      <c r="J8" s="18">
        <f>IF(B8="","",IF(H8&lt;=0,"Paid",IF(I8="","To pay",IF(I8&lt;TODAY(),"Late",IF(I8-TODAY()&lt;=7,"Due soon","To pay")))))</f>
        <v/>
      </c>
      <c r="K8" s="26" t="n"/>
      <c r="L8" s="1" t="n"/>
      <c r="M8">
        <f>IF(B8="",0,IF(F8&lt;&gt;"",F8,N(E8)))</f>
        <v/>
      </c>
    </row>
    <row r="9">
      <c r="A9" s="1" t="n"/>
      <c r="B9" s="6" t="inlineStr">
        <is>
          <t>Mail forwarding, 6 months</t>
        </is>
      </c>
      <c r="C9" s="26" t="inlineStr">
        <is>
          <t>Other</t>
        </is>
      </c>
      <c r="D9" s="26" t="inlineStr">
        <is>
          <t>Post office</t>
        </is>
      </c>
      <c r="E9" s="29" t="n">
        <v>35</v>
      </c>
      <c r="F9" s="29" t="n">
        <v>34.5</v>
      </c>
      <c r="G9" s="29" t="n">
        <v>34.5</v>
      </c>
      <c r="H9" s="32">
        <f>IF(B9="","",MAX(0,IF(F9&lt;&gt;"",F9,N(E9))-N(G9)))</f>
        <v/>
      </c>
      <c r="I9" s="30" t="n"/>
      <c r="J9" s="18">
        <f>IF(B9="","",IF(H9&lt;=0,"Paid",IF(I9="","To pay",IF(I9&lt;TODAY(),"Late",IF(I9-TODAY()&lt;=7,"Due soon","To pay")))))</f>
        <v/>
      </c>
      <c r="K9" s="26" t="n"/>
      <c r="L9" s="1" t="n"/>
      <c r="M9">
        <f>IF(B9="",0,IF(F9&lt;&gt;"",F9,N(E9)))</f>
        <v/>
      </c>
    </row>
    <row r="10">
      <c r="A10" s="1" t="n"/>
      <c r="B10" s="6" t="inlineStr">
        <is>
          <t>Internet set-up</t>
        </is>
      </c>
      <c r="C10" s="26" t="inlineStr">
        <is>
          <t>Utilities</t>
        </is>
      </c>
      <c r="D10" s="26" t="inlineStr">
        <is>
          <t>Fibre company</t>
        </is>
      </c>
      <c r="E10" s="29" t="n">
        <v>49</v>
      </c>
      <c r="F10" s="29" t="n"/>
      <c r="G10" s="29" t="n">
        <v>0</v>
      </c>
      <c r="H10" s="32">
        <f>IF(B10="","",MAX(0,IF(F10&lt;&gt;"",F10,N(E10))-N(G10)))</f>
        <v/>
      </c>
      <c r="I10" s="30" t="n">
        <v>46298</v>
      </c>
      <c r="J10" s="18">
        <f>IF(B10="","",IF(H10&lt;=0,"Paid",IF(I10="","To pay",IF(I10&lt;TODAY(),"Late",IF(I10-TODAY()&lt;=7,"Due soon","To pay")))))</f>
        <v/>
      </c>
      <c r="K10" s="26" t="n"/>
      <c r="L10" s="1" t="n"/>
      <c r="M10">
        <f>IF(B10="",0,IF(F10&lt;&gt;"",F10,N(E10)))</f>
        <v/>
      </c>
    </row>
    <row r="11">
      <c r="A11" s="1" t="n"/>
      <c r="B11" s="6" t="inlineStr">
        <is>
          <t>Van parking permit</t>
        </is>
      </c>
      <c r="C11" s="26" t="inlineStr">
        <is>
          <t>Van and fuel</t>
        </is>
      </c>
      <c r="D11" s="26" t="inlineStr">
        <is>
          <t>Council</t>
        </is>
      </c>
      <c r="E11" s="29" t="n">
        <v>25</v>
      </c>
      <c r="F11" s="29" t="n"/>
      <c r="G11" s="29" t="n">
        <v>0</v>
      </c>
      <c r="H11" s="32">
        <f>IF(B11="","",MAX(0,IF(F11&lt;&gt;"",F11,N(E11))-N(G11)))</f>
        <v/>
      </c>
      <c r="I11" s="30" t="n">
        <v>46309</v>
      </c>
      <c r="J11" s="18">
        <f>IF(B11="","",IF(H11&lt;=0,"Paid",IF(I11="","To pay",IF(I11&lt;TODAY(),"Late",IF(I11-TODAY()&lt;=7,"Due soon","To pay")))))</f>
        <v/>
      </c>
      <c r="K11" s="26" t="n"/>
      <c r="L11" s="1" t="n"/>
      <c r="M11">
        <f>IF(B11="",0,IF(F11&lt;&gt;"",F11,N(E11)))</f>
        <v/>
      </c>
    </row>
    <row r="12">
      <c r="A12" s="1" t="n"/>
      <c r="B12" s="6" t="inlineStr">
        <is>
          <t>Takeaway on moving day</t>
        </is>
      </c>
      <c r="C12" s="26" t="inlineStr">
        <is>
          <t>Other</t>
        </is>
      </c>
      <c r="D12" s="26" t="n"/>
      <c r="E12" s="29" t="n">
        <v>40</v>
      </c>
      <c r="F12" s="29" t="n"/>
      <c r="G12" s="29" t="n">
        <v>0</v>
      </c>
      <c r="H12" s="32">
        <f>IF(B12="","",MAX(0,IF(F12&lt;&gt;"",F12,N(E12))-N(G12)))</f>
        <v/>
      </c>
      <c r="I12" s="30" t="n"/>
      <c r="J12" s="18">
        <f>IF(B12="","",IF(H12&lt;=0,"Paid",IF(I12="","To pay",IF(I12&lt;TODAY(),"Late",IF(I12-TODAY()&lt;=7,"Due soon","To pay")))))</f>
        <v/>
      </c>
      <c r="K12" s="26" t="n"/>
      <c r="L12" s="1" t="n"/>
      <c r="M12">
        <f>IF(B12="",0,IF(F12&lt;&gt;"",F12,N(E12)))</f>
        <v/>
      </c>
    </row>
    <row r="13">
      <c r="A13" s="1" t="n"/>
      <c r="B13" s="6" t="inlineStr">
        <is>
          <t>Curtains for the new bedroom</t>
        </is>
      </c>
      <c r="C13" s="26" t="inlineStr">
        <is>
          <t>Furniture</t>
        </is>
      </c>
      <c r="D13" s="26" t="n"/>
      <c r="E13" s="29" t="n">
        <v>120</v>
      </c>
      <c r="F13" s="29" t="n"/>
      <c r="G13" s="29" t="n">
        <v>0</v>
      </c>
      <c r="H13" s="32">
        <f>IF(B13="","",MAX(0,IF(F13&lt;&gt;"",F13,N(E13))-N(G13)))</f>
        <v/>
      </c>
      <c r="I13" s="30" t="n"/>
      <c r="J13" s="18">
        <f>IF(B13="","",IF(H13&lt;=0,"Paid",IF(I13="","To pay",IF(I13&lt;TODAY(),"Late",IF(I13-TODAY()&lt;=7,"Due soon","To pay")))))</f>
        <v/>
      </c>
      <c r="K13" s="26" t="n"/>
      <c r="L13" s="1" t="n"/>
      <c r="M13">
        <f>IF(B13="",0,IF(F13&lt;&gt;"",F13,N(E13)))</f>
        <v/>
      </c>
    </row>
    <row r="14">
      <c r="A14" s="1" t="n"/>
      <c r="B14" s="6" t="n"/>
      <c r="C14" s="26" t="n"/>
      <c r="D14" s="26" t="n"/>
      <c r="E14" s="29" t="n"/>
      <c r="F14" s="29" t="n"/>
      <c r="G14" s="29" t="n"/>
      <c r="H14" s="32">
        <f>IF(B14="","",MAX(0,IF(F14&lt;&gt;"",F14,N(E14))-N(G14)))</f>
        <v/>
      </c>
      <c r="I14" s="30" t="n"/>
      <c r="J14" s="18">
        <f>IF(B14="","",IF(H14&lt;=0,"Paid",IF(I14="","To pay",IF(I14&lt;TODAY(),"Late",IF(I14-TODAY()&lt;=7,"Due soon","To pay")))))</f>
        <v/>
      </c>
      <c r="K14" s="26" t="n"/>
      <c r="L14" s="1" t="n"/>
      <c r="M14">
        <f>IF(B14="",0,IF(F14&lt;&gt;"",F14,N(E14)))</f>
        <v/>
      </c>
    </row>
    <row r="15">
      <c r="A15" s="1" t="n"/>
      <c r="B15" s="6" t="n"/>
      <c r="C15" s="26" t="n"/>
      <c r="D15" s="26" t="n"/>
      <c r="E15" s="29" t="n"/>
      <c r="F15" s="29" t="n"/>
      <c r="G15" s="29" t="n"/>
      <c r="H15" s="32">
        <f>IF(B15="","",MAX(0,IF(F15&lt;&gt;"",F15,N(E15))-N(G15)))</f>
        <v/>
      </c>
      <c r="I15" s="30" t="n"/>
      <c r="J15" s="18">
        <f>IF(B15="","",IF(H15&lt;=0,"Paid",IF(I15="","To pay",IF(I15&lt;TODAY(),"Late",IF(I15-TODAY()&lt;=7,"Due soon","To pay")))))</f>
        <v/>
      </c>
      <c r="K15" s="26" t="n"/>
      <c r="L15" s="1" t="n"/>
      <c r="M15">
        <f>IF(B15="",0,IF(F15&lt;&gt;"",F15,N(E15)))</f>
        <v/>
      </c>
    </row>
    <row r="16">
      <c r="A16" s="1" t="n"/>
      <c r="B16" s="6" t="n"/>
      <c r="C16" s="26" t="n"/>
      <c r="D16" s="26" t="n"/>
      <c r="E16" s="29" t="n"/>
      <c r="F16" s="29" t="n"/>
      <c r="G16" s="29" t="n"/>
      <c r="H16" s="32">
        <f>IF(B16="","",MAX(0,IF(F16&lt;&gt;"",F16,N(E16))-N(G16)))</f>
        <v/>
      </c>
      <c r="I16" s="30" t="n"/>
      <c r="J16" s="18">
        <f>IF(B16="","",IF(H16&lt;=0,"Paid",IF(I16="","To pay",IF(I16&lt;TODAY(),"Late",IF(I16-TODAY()&lt;=7,"Due soon","To pay")))))</f>
        <v/>
      </c>
      <c r="K16" s="26" t="n"/>
      <c r="L16" s="1" t="n"/>
      <c r="M16">
        <f>IF(B16="",0,IF(F16&lt;&gt;"",F16,N(E16)))</f>
        <v/>
      </c>
    </row>
    <row r="17">
      <c r="A17" s="1" t="n"/>
      <c r="B17" s="6" t="n"/>
      <c r="C17" s="26" t="n"/>
      <c r="D17" s="26" t="n"/>
      <c r="E17" s="29" t="n"/>
      <c r="F17" s="29" t="n"/>
      <c r="G17" s="29" t="n"/>
      <c r="H17" s="32">
        <f>IF(B17="","",MAX(0,IF(F17&lt;&gt;"",F17,N(E17))-N(G17)))</f>
        <v/>
      </c>
      <c r="I17" s="30" t="n"/>
      <c r="J17" s="18">
        <f>IF(B17="","",IF(H17&lt;=0,"Paid",IF(I17="","To pay",IF(I17&lt;TODAY(),"Late",IF(I17-TODAY()&lt;=7,"Due soon","To pay")))))</f>
        <v/>
      </c>
      <c r="K17" s="26" t="n"/>
      <c r="L17" s="1" t="n"/>
      <c r="M17">
        <f>IF(B17="",0,IF(F17&lt;&gt;"",F17,N(E17)))</f>
        <v/>
      </c>
    </row>
    <row r="18">
      <c r="A18" s="1" t="n"/>
      <c r="B18" s="6" t="n"/>
      <c r="C18" s="26" t="n"/>
      <c r="D18" s="26" t="n"/>
      <c r="E18" s="29" t="n"/>
      <c r="F18" s="29" t="n"/>
      <c r="G18" s="29" t="n"/>
      <c r="H18" s="32">
        <f>IF(B18="","",MAX(0,IF(F18&lt;&gt;"",F18,N(E18))-N(G18)))</f>
        <v/>
      </c>
      <c r="I18" s="30" t="n"/>
      <c r="J18" s="18">
        <f>IF(B18="","",IF(H18&lt;=0,"Paid",IF(I18="","To pay",IF(I18&lt;TODAY(),"Late",IF(I18-TODAY()&lt;=7,"Due soon","To pay")))))</f>
        <v/>
      </c>
      <c r="K18" s="26" t="n"/>
      <c r="L18" s="1" t="n"/>
      <c r="M18">
        <f>IF(B18="",0,IF(F18&lt;&gt;"",F18,N(E18)))</f>
        <v/>
      </c>
    </row>
    <row r="19">
      <c r="A19" s="1" t="n"/>
      <c r="B19" s="6" t="n"/>
      <c r="C19" s="26" t="n"/>
      <c r="D19" s="26" t="n"/>
      <c r="E19" s="29" t="n"/>
      <c r="F19" s="29" t="n"/>
      <c r="G19" s="29" t="n"/>
      <c r="H19" s="32">
        <f>IF(B19="","",MAX(0,IF(F19&lt;&gt;"",F19,N(E19))-N(G19)))</f>
        <v/>
      </c>
      <c r="I19" s="30" t="n"/>
      <c r="J19" s="18">
        <f>IF(B19="","",IF(H19&lt;=0,"Paid",IF(I19="","To pay",IF(I19&lt;TODAY(),"Late",IF(I19-TODAY()&lt;=7,"Due soon","To pay")))))</f>
        <v/>
      </c>
      <c r="K19" s="26" t="n"/>
      <c r="L19" s="1" t="n"/>
      <c r="M19">
        <f>IF(B19="",0,IF(F19&lt;&gt;"",F19,N(E19)))</f>
        <v/>
      </c>
    </row>
    <row r="20">
      <c r="A20" s="1" t="n"/>
      <c r="B20" s="6" t="n"/>
      <c r="C20" s="26" t="n"/>
      <c r="D20" s="26" t="n"/>
      <c r="E20" s="29" t="n"/>
      <c r="F20" s="29" t="n"/>
      <c r="G20" s="29" t="n"/>
      <c r="H20" s="32">
        <f>IF(B20="","",MAX(0,IF(F20&lt;&gt;"",F20,N(E20))-N(G20)))</f>
        <v/>
      </c>
      <c r="I20" s="30" t="n"/>
      <c r="J20" s="18">
        <f>IF(B20="","",IF(H20&lt;=0,"Paid",IF(I20="","To pay",IF(I20&lt;TODAY(),"Late",IF(I20-TODAY()&lt;=7,"Due soon","To pay")))))</f>
        <v/>
      </c>
      <c r="K20" s="26" t="n"/>
      <c r="L20" s="1" t="n"/>
      <c r="M20">
        <f>IF(B20="",0,IF(F20&lt;&gt;"",F20,N(E20)))</f>
        <v/>
      </c>
    </row>
    <row r="21">
      <c r="A21" s="1" t="n"/>
      <c r="B21" s="6" t="n"/>
      <c r="C21" s="26" t="n"/>
      <c r="D21" s="26" t="n"/>
      <c r="E21" s="29" t="n"/>
      <c r="F21" s="29" t="n"/>
      <c r="G21" s="29" t="n"/>
      <c r="H21" s="32">
        <f>IF(B21="","",MAX(0,IF(F21&lt;&gt;"",F21,N(E21))-N(G21)))</f>
        <v/>
      </c>
      <c r="I21" s="30" t="n"/>
      <c r="J21" s="18">
        <f>IF(B21="","",IF(H21&lt;=0,"Paid",IF(I21="","To pay",IF(I21&lt;TODAY(),"Late",IF(I21-TODAY()&lt;=7,"Due soon","To pay")))))</f>
        <v/>
      </c>
      <c r="K21" s="26" t="n"/>
      <c r="L21" s="1" t="n"/>
      <c r="M21">
        <f>IF(B21="",0,IF(F21&lt;&gt;"",F21,N(E21)))</f>
        <v/>
      </c>
    </row>
    <row r="22">
      <c r="A22" s="1" t="n"/>
      <c r="B22" s="6" t="n"/>
      <c r="C22" s="26" t="n"/>
      <c r="D22" s="26" t="n"/>
      <c r="E22" s="29" t="n"/>
      <c r="F22" s="29" t="n"/>
      <c r="G22" s="29" t="n"/>
      <c r="H22" s="32">
        <f>IF(B22="","",MAX(0,IF(F22&lt;&gt;"",F22,N(E22))-N(G22)))</f>
        <v/>
      </c>
      <c r="I22" s="30" t="n"/>
      <c r="J22" s="18">
        <f>IF(B22="","",IF(H22&lt;=0,"Paid",IF(I22="","To pay",IF(I22&lt;TODAY(),"Late",IF(I22-TODAY()&lt;=7,"Due soon","To pay")))))</f>
        <v/>
      </c>
      <c r="K22" s="26" t="n"/>
      <c r="L22" s="1" t="n"/>
      <c r="M22">
        <f>IF(B22="",0,IF(F22&lt;&gt;"",F22,N(E22)))</f>
        <v/>
      </c>
    </row>
    <row r="23">
      <c r="A23" s="1" t="n"/>
      <c r="B23" s="6" t="n"/>
      <c r="C23" s="26" t="n"/>
      <c r="D23" s="26" t="n"/>
      <c r="E23" s="29" t="n"/>
      <c r="F23" s="29" t="n"/>
      <c r="G23" s="29" t="n"/>
      <c r="H23" s="32">
        <f>IF(B23="","",MAX(0,IF(F23&lt;&gt;"",F23,N(E23))-N(G23)))</f>
        <v/>
      </c>
      <c r="I23" s="30" t="n"/>
      <c r="J23" s="18">
        <f>IF(B23="","",IF(H23&lt;=0,"Paid",IF(I23="","To pay",IF(I23&lt;TODAY(),"Late",IF(I23-TODAY()&lt;=7,"Due soon","To pay")))))</f>
        <v/>
      </c>
      <c r="K23" s="26" t="n"/>
      <c r="L23" s="1" t="n"/>
      <c r="M23">
        <f>IF(B23="",0,IF(F23&lt;&gt;"",F23,N(E23)))</f>
        <v/>
      </c>
    </row>
    <row r="24">
      <c r="A24" s="1" t="n"/>
      <c r="B24" s="6" t="n"/>
      <c r="C24" s="26" t="n"/>
      <c r="D24" s="26" t="n"/>
      <c r="E24" s="29" t="n"/>
      <c r="F24" s="29" t="n"/>
      <c r="G24" s="29" t="n"/>
      <c r="H24" s="32">
        <f>IF(B24="","",MAX(0,IF(F24&lt;&gt;"",F24,N(E24))-N(G24)))</f>
        <v/>
      </c>
      <c r="I24" s="30" t="n"/>
      <c r="J24" s="18">
        <f>IF(B24="","",IF(H24&lt;=0,"Paid",IF(I24="","To pay",IF(I24&lt;TODAY(),"Late",IF(I24-TODAY()&lt;=7,"Due soon","To pay")))))</f>
        <v/>
      </c>
      <c r="K24" s="26" t="n"/>
      <c r="L24" s="1" t="n"/>
      <c r="M24">
        <f>IF(B24="",0,IF(F24&lt;&gt;"",F24,N(E24)))</f>
        <v/>
      </c>
    </row>
    <row r="25">
      <c r="A25" s="1" t="n"/>
      <c r="B25" s="6" t="n"/>
      <c r="C25" s="26" t="n"/>
      <c r="D25" s="26" t="n"/>
      <c r="E25" s="29" t="n"/>
      <c r="F25" s="29" t="n"/>
      <c r="G25" s="29" t="n"/>
      <c r="H25" s="32">
        <f>IF(B25="","",MAX(0,IF(F25&lt;&gt;"",F25,N(E25))-N(G25)))</f>
        <v/>
      </c>
      <c r="I25" s="30" t="n"/>
      <c r="J25" s="18">
        <f>IF(B25="","",IF(H25&lt;=0,"Paid",IF(I25="","To pay",IF(I25&lt;TODAY(),"Late",IF(I25-TODAY()&lt;=7,"Due soon","To pay")))))</f>
        <v/>
      </c>
      <c r="K25" s="26" t="n"/>
      <c r="L25" s="1" t="n"/>
      <c r="M25">
        <f>IF(B25="",0,IF(F25&lt;&gt;"",F25,N(E25)))</f>
        <v/>
      </c>
    </row>
    <row r="26">
      <c r="A26" s="1" t="n"/>
      <c r="B26" s="6" t="n"/>
      <c r="C26" s="26" t="n"/>
      <c r="D26" s="26" t="n"/>
      <c r="E26" s="29" t="n"/>
      <c r="F26" s="29" t="n"/>
      <c r="G26" s="29" t="n"/>
      <c r="H26" s="32">
        <f>IF(B26="","",MAX(0,IF(F26&lt;&gt;"",F26,N(E26))-N(G26)))</f>
        <v/>
      </c>
      <c r="I26" s="30" t="n"/>
      <c r="J26" s="18">
        <f>IF(B26="","",IF(H26&lt;=0,"Paid",IF(I26="","To pay",IF(I26&lt;TODAY(),"Late",IF(I26-TODAY()&lt;=7,"Due soon","To pay")))))</f>
        <v/>
      </c>
      <c r="K26" s="26" t="n"/>
      <c r="L26" s="1" t="n"/>
      <c r="M26">
        <f>IF(B26="",0,IF(F26&lt;&gt;"",F26,N(E26)))</f>
        <v/>
      </c>
    </row>
    <row r="27">
      <c r="A27" s="1" t="n"/>
      <c r="B27" s="6" t="n"/>
      <c r="C27" s="26" t="n"/>
      <c r="D27" s="26" t="n"/>
      <c r="E27" s="29" t="n"/>
      <c r="F27" s="29" t="n"/>
      <c r="G27" s="29" t="n"/>
      <c r="H27" s="32">
        <f>IF(B27="","",MAX(0,IF(F27&lt;&gt;"",F27,N(E27))-N(G27)))</f>
        <v/>
      </c>
      <c r="I27" s="30" t="n"/>
      <c r="J27" s="18">
        <f>IF(B27="","",IF(H27&lt;=0,"Paid",IF(I27="","To pay",IF(I27&lt;TODAY(),"Late",IF(I27-TODAY()&lt;=7,"Due soon","To pay")))))</f>
        <v/>
      </c>
      <c r="K27" s="26" t="n"/>
      <c r="L27" s="1" t="n"/>
      <c r="M27">
        <f>IF(B27="",0,IF(F27&lt;&gt;"",F27,N(E27)))</f>
        <v/>
      </c>
    </row>
    <row r="28">
      <c r="A28" s="1" t="n"/>
      <c r="B28" s="6" t="n"/>
      <c r="C28" s="26" t="n"/>
      <c r="D28" s="26" t="n"/>
      <c r="E28" s="29" t="n"/>
      <c r="F28" s="29" t="n"/>
      <c r="G28" s="29" t="n"/>
      <c r="H28" s="32">
        <f>IF(B28="","",MAX(0,IF(F28&lt;&gt;"",F28,N(E28))-N(G28)))</f>
        <v/>
      </c>
      <c r="I28" s="30" t="n"/>
      <c r="J28" s="18">
        <f>IF(B28="","",IF(H28&lt;=0,"Paid",IF(I28="","To pay",IF(I28&lt;TODAY(),"Late",IF(I28-TODAY()&lt;=7,"Due soon","To pay")))))</f>
        <v/>
      </c>
      <c r="K28" s="26" t="n"/>
      <c r="L28" s="1" t="n"/>
      <c r="M28">
        <f>IF(B28="",0,IF(F28&lt;&gt;"",F28,N(E28)))</f>
        <v/>
      </c>
    </row>
    <row r="29">
      <c r="A29" s="1" t="n"/>
      <c r="B29" s="6" t="n"/>
      <c r="C29" s="26" t="n"/>
      <c r="D29" s="26" t="n"/>
      <c r="E29" s="29" t="n"/>
      <c r="F29" s="29" t="n"/>
      <c r="G29" s="29" t="n"/>
      <c r="H29" s="32">
        <f>IF(B29="","",MAX(0,IF(F29&lt;&gt;"",F29,N(E29))-N(G29)))</f>
        <v/>
      </c>
      <c r="I29" s="30" t="n"/>
      <c r="J29" s="18">
        <f>IF(B29="","",IF(H29&lt;=0,"Paid",IF(I29="","To pay",IF(I29&lt;TODAY(),"Late",IF(I29-TODAY()&lt;=7,"Due soon","To pay")))))</f>
        <v/>
      </c>
      <c r="K29" s="26" t="n"/>
      <c r="L29" s="1" t="n"/>
      <c r="M29">
        <f>IF(B29="",0,IF(F29&lt;&gt;"",F29,N(E29)))</f>
        <v/>
      </c>
    </row>
    <row r="30">
      <c r="A30" s="1" t="n"/>
      <c r="B30" s="6" t="n"/>
      <c r="C30" s="26" t="n"/>
      <c r="D30" s="26" t="n"/>
      <c r="E30" s="29" t="n"/>
      <c r="F30" s="29" t="n"/>
      <c r="G30" s="29" t="n"/>
      <c r="H30" s="32">
        <f>IF(B30="","",MAX(0,IF(F30&lt;&gt;"",F30,N(E30))-N(G30)))</f>
        <v/>
      </c>
      <c r="I30" s="30" t="n"/>
      <c r="J30" s="18">
        <f>IF(B30="","",IF(H30&lt;=0,"Paid",IF(I30="","To pay",IF(I30&lt;TODAY(),"Late",IF(I30-TODAY()&lt;=7,"Due soon","To pay")))))</f>
        <v/>
      </c>
      <c r="K30" s="26" t="n"/>
      <c r="L30" s="1" t="n"/>
      <c r="M30">
        <f>IF(B30="",0,IF(F30&lt;&gt;"",F30,N(E30)))</f>
        <v/>
      </c>
    </row>
    <row r="31">
      <c r="A31" s="1" t="n"/>
      <c r="B31" s="6" t="n"/>
      <c r="C31" s="26" t="n"/>
      <c r="D31" s="26" t="n"/>
      <c r="E31" s="29" t="n"/>
      <c r="F31" s="29" t="n"/>
      <c r="G31" s="29" t="n"/>
      <c r="H31" s="32">
        <f>IF(B31="","",MAX(0,IF(F31&lt;&gt;"",F31,N(E31))-N(G31)))</f>
        <v/>
      </c>
      <c r="I31" s="30" t="n"/>
      <c r="J31" s="18">
        <f>IF(B31="","",IF(H31&lt;=0,"Paid",IF(I31="","To pay",IF(I31&lt;TODAY(),"Late",IF(I31-TODAY()&lt;=7,"Due soon","To pay")))))</f>
        <v/>
      </c>
      <c r="K31" s="26" t="n"/>
      <c r="L31" s="1" t="n"/>
      <c r="M31">
        <f>IF(B31="",0,IF(F31&lt;&gt;"",F31,N(E31)))</f>
        <v/>
      </c>
    </row>
    <row r="32">
      <c r="A32" s="1" t="n"/>
      <c r="B32" s="6" t="n"/>
      <c r="C32" s="26" t="n"/>
      <c r="D32" s="26" t="n"/>
      <c r="E32" s="29" t="n"/>
      <c r="F32" s="29" t="n"/>
      <c r="G32" s="29" t="n"/>
      <c r="H32" s="32">
        <f>IF(B32="","",MAX(0,IF(F32&lt;&gt;"",F32,N(E32))-N(G32)))</f>
        <v/>
      </c>
      <c r="I32" s="30" t="n"/>
      <c r="J32" s="18">
        <f>IF(B32="","",IF(H32&lt;=0,"Paid",IF(I32="","To pay",IF(I32&lt;TODAY(),"Late",IF(I32-TODAY()&lt;=7,"Due soon","To pay")))))</f>
        <v/>
      </c>
      <c r="K32" s="26" t="n"/>
      <c r="L32" s="1" t="n"/>
      <c r="M32">
        <f>IF(B32="",0,IF(F32&lt;&gt;"",F32,N(E32)))</f>
        <v/>
      </c>
    </row>
    <row r="33">
      <c r="A33" s="1" t="n"/>
      <c r="B33" s="6" t="n"/>
      <c r="C33" s="26" t="n"/>
      <c r="D33" s="26" t="n"/>
      <c r="E33" s="29" t="n"/>
      <c r="F33" s="29" t="n"/>
      <c r="G33" s="29" t="n"/>
      <c r="H33" s="32">
        <f>IF(B33="","",MAX(0,IF(F33&lt;&gt;"",F33,N(E33))-N(G33)))</f>
        <v/>
      </c>
      <c r="I33" s="30" t="n"/>
      <c r="J33" s="18">
        <f>IF(B33="","",IF(H33&lt;=0,"Paid",IF(I33="","To pay",IF(I33&lt;TODAY(),"Late",IF(I33-TODAY()&lt;=7,"Due soon","To pay")))))</f>
        <v/>
      </c>
      <c r="K33" s="26" t="n"/>
      <c r="L33" s="1" t="n"/>
      <c r="M33">
        <f>IF(B33="",0,IF(F33&lt;&gt;"",F33,N(E33)))</f>
        <v/>
      </c>
    </row>
    <row r="34">
      <c r="A34" s="1" t="n"/>
      <c r="B34" s="6" t="n"/>
      <c r="C34" s="26" t="n"/>
      <c r="D34" s="26" t="n"/>
      <c r="E34" s="29" t="n"/>
      <c r="F34" s="29" t="n"/>
      <c r="G34" s="29" t="n"/>
      <c r="H34" s="32">
        <f>IF(B34="","",MAX(0,IF(F34&lt;&gt;"",F34,N(E34))-N(G34)))</f>
        <v/>
      </c>
      <c r="I34" s="30" t="n"/>
      <c r="J34" s="18">
        <f>IF(B34="","",IF(H34&lt;=0,"Paid",IF(I34="","To pay",IF(I34&lt;TODAY(),"Late",IF(I34-TODAY()&lt;=7,"Due soon","To pay")))))</f>
        <v/>
      </c>
      <c r="K34" s="26" t="n"/>
      <c r="L34" s="1" t="n"/>
      <c r="M34">
        <f>IF(B34="",0,IF(F34&lt;&gt;"",F34,N(E34)))</f>
        <v/>
      </c>
    </row>
    <row r="35">
      <c r="A35" s="1" t="n"/>
      <c r="B35" s="6" t="n"/>
      <c r="C35" s="26" t="n"/>
      <c r="D35" s="26" t="n"/>
      <c r="E35" s="29" t="n"/>
      <c r="F35" s="29" t="n"/>
      <c r="G35" s="29" t="n"/>
      <c r="H35" s="32">
        <f>IF(B35="","",MAX(0,IF(F35&lt;&gt;"",F35,N(E35))-N(G35)))</f>
        <v/>
      </c>
      <c r="I35" s="30" t="n"/>
      <c r="J35" s="18">
        <f>IF(B35="","",IF(H35&lt;=0,"Paid",IF(I35="","To pay",IF(I35&lt;TODAY(),"Late",IF(I35-TODAY()&lt;=7,"Due soon","To pay")))))</f>
        <v/>
      </c>
      <c r="K35" s="26" t="n"/>
      <c r="L35" s="1" t="n"/>
      <c r="M35">
        <f>IF(B35="",0,IF(F35&lt;&gt;"",F35,N(E35)))</f>
        <v/>
      </c>
    </row>
    <row r="36">
      <c r="A36" s="1" t="n"/>
      <c r="B36" s="6" t="n"/>
      <c r="C36" s="26" t="n"/>
      <c r="D36" s="26" t="n"/>
      <c r="E36" s="29" t="n"/>
      <c r="F36" s="29" t="n"/>
      <c r="G36" s="29" t="n"/>
      <c r="H36" s="32">
        <f>IF(B36="","",MAX(0,IF(F36&lt;&gt;"",F36,N(E36))-N(G36)))</f>
        <v/>
      </c>
      <c r="I36" s="30" t="n"/>
      <c r="J36" s="18">
        <f>IF(B36="","",IF(H36&lt;=0,"Paid",IF(I36="","To pay",IF(I36&lt;TODAY(),"Late",IF(I36-TODAY()&lt;=7,"Due soon","To pay")))))</f>
        <v/>
      </c>
      <c r="K36" s="26" t="n"/>
      <c r="L36" s="1" t="n"/>
      <c r="M36">
        <f>IF(B36="",0,IF(F36&lt;&gt;"",F36,N(E36)))</f>
        <v/>
      </c>
    </row>
    <row r="37">
      <c r="A37" s="1" t="n"/>
      <c r="B37" s="6" t="n"/>
      <c r="C37" s="26" t="n"/>
      <c r="D37" s="26" t="n"/>
      <c r="E37" s="29" t="n"/>
      <c r="F37" s="29" t="n"/>
      <c r="G37" s="29" t="n"/>
      <c r="H37" s="32">
        <f>IF(B37="","",MAX(0,IF(F37&lt;&gt;"",F37,N(E37))-N(G37)))</f>
        <v/>
      </c>
      <c r="I37" s="30" t="n"/>
      <c r="J37" s="18">
        <f>IF(B37="","",IF(H37&lt;=0,"Paid",IF(I37="","To pay",IF(I37&lt;TODAY(),"Late",IF(I37-TODAY()&lt;=7,"Due soon","To pay")))))</f>
        <v/>
      </c>
      <c r="K37" s="26" t="n"/>
      <c r="L37" s="1" t="n"/>
      <c r="M37">
        <f>IF(B37="",0,IF(F37&lt;&gt;"",F37,N(E37)))</f>
        <v/>
      </c>
    </row>
    <row r="38">
      <c r="A38" s="1" t="n"/>
      <c r="B38" s="6" t="n"/>
      <c r="C38" s="26" t="n"/>
      <c r="D38" s="26" t="n"/>
      <c r="E38" s="29" t="n"/>
      <c r="F38" s="29" t="n"/>
      <c r="G38" s="29" t="n"/>
      <c r="H38" s="32">
        <f>IF(B38="","",MAX(0,IF(F38&lt;&gt;"",F38,N(E38))-N(G38)))</f>
        <v/>
      </c>
      <c r="I38" s="30" t="n"/>
      <c r="J38" s="18">
        <f>IF(B38="","",IF(H38&lt;=0,"Paid",IF(I38="","To pay",IF(I38&lt;TODAY(),"Late",IF(I38-TODAY()&lt;=7,"Due soon","To pay")))))</f>
        <v/>
      </c>
      <c r="K38" s="26" t="n"/>
      <c r="L38" s="1" t="n"/>
      <c r="M38">
        <f>IF(B38="",0,IF(F38&lt;&gt;"",F38,N(E38)))</f>
        <v/>
      </c>
    </row>
    <row r="39">
      <c r="A39" s="1" t="n"/>
      <c r="B39" s="6" t="n"/>
      <c r="C39" s="26" t="n"/>
      <c r="D39" s="26" t="n"/>
      <c r="E39" s="29" t="n"/>
      <c r="F39" s="29" t="n"/>
      <c r="G39" s="29" t="n"/>
      <c r="H39" s="32">
        <f>IF(B39="","",MAX(0,IF(F39&lt;&gt;"",F39,N(E39))-N(G39)))</f>
        <v/>
      </c>
      <c r="I39" s="30" t="n"/>
      <c r="J39" s="18">
        <f>IF(B39="","",IF(H39&lt;=0,"Paid",IF(I39="","To pay",IF(I39&lt;TODAY(),"Late",IF(I39-TODAY()&lt;=7,"Due soon","To pay")))))</f>
        <v/>
      </c>
      <c r="K39" s="26" t="n"/>
      <c r="L39" s="1" t="n"/>
      <c r="M39">
        <f>IF(B39="",0,IF(F39&lt;&gt;"",F39,N(E39)))</f>
        <v/>
      </c>
    </row>
    <row r="40">
      <c r="A40" s="1" t="n"/>
      <c r="B40" s="6" t="n"/>
      <c r="C40" s="26" t="n"/>
      <c r="D40" s="26" t="n"/>
      <c r="E40" s="29" t="n"/>
      <c r="F40" s="29" t="n"/>
      <c r="G40" s="29" t="n"/>
      <c r="H40" s="32">
        <f>IF(B40="","",MAX(0,IF(F40&lt;&gt;"",F40,N(E40))-N(G40)))</f>
        <v/>
      </c>
      <c r="I40" s="30" t="n"/>
      <c r="J40" s="18">
        <f>IF(B40="","",IF(H40&lt;=0,"Paid",IF(I40="","To pay",IF(I40&lt;TODAY(),"Late",IF(I40-TODAY()&lt;=7,"Due soon","To pay")))))</f>
        <v/>
      </c>
      <c r="K40" s="26" t="n"/>
      <c r="L40" s="1" t="n"/>
      <c r="M40">
        <f>IF(B40="",0,IF(F40&lt;&gt;"",F40,N(E40)))</f>
        <v/>
      </c>
    </row>
    <row r="41">
      <c r="A41" s="1" t="n"/>
      <c r="B41" s="6" t="n"/>
      <c r="C41" s="26" t="n"/>
      <c r="D41" s="26" t="n"/>
      <c r="E41" s="29" t="n"/>
      <c r="F41" s="29" t="n"/>
      <c r="G41" s="29" t="n"/>
      <c r="H41" s="32">
        <f>IF(B41="","",MAX(0,IF(F41&lt;&gt;"",F41,N(E41))-N(G41)))</f>
        <v/>
      </c>
      <c r="I41" s="30" t="n"/>
      <c r="J41" s="18">
        <f>IF(B41="","",IF(H41&lt;=0,"Paid",IF(I41="","To pay",IF(I41&lt;TODAY(),"Late",IF(I41-TODAY()&lt;=7,"Due soon","To pay")))))</f>
        <v/>
      </c>
      <c r="K41" s="26" t="n"/>
      <c r="L41" s="1" t="n"/>
      <c r="M41">
        <f>IF(B41="",0,IF(F41&lt;&gt;"",F41,N(E41)))</f>
        <v/>
      </c>
    </row>
    <row r="42">
      <c r="A42" s="1" t="n"/>
      <c r="B42" s="6" t="n"/>
      <c r="C42" s="26" t="n"/>
      <c r="D42" s="26" t="n"/>
      <c r="E42" s="29" t="n"/>
      <c r="F42" s="29" t="n"/>
      <c r="G42" s="29" t="n"/>
      <c r="H42" s="32">
        <f>IF(B42="","",MAX(0,IF(F42&lt;&gt;"",F42,N(E42))-N(G42)))</f>
        <v/>
      </c>
      <c r="I42" s="30" t="n"/>
      <c r="J42" s="18">
        <f>IF(B42="","",IF(H42&lt;=0,"Paid",IF(I42="","To pay",IF(I42&lt;TODAY(),"Late",IF(I42-TODAY()&lt;=7,"Due soon","To pay")))))</f>
        <v/>
      </c>
      <c r="K42" s="26" t="n"/>
      <c r="L42" s="1" t="n"/>
      <c r="M42">
        <f>IF(B42="",0,IF(F42&lt;&gt;"",F42,N(E42)))</f>
        <v/>
      </c>
    </row>
    <row r="43">
      <c r="A43" s="1" t="n"/>
      <c r="B43" s="6" t="n"/>
      <c r="C43" s="26" t="n"/>
      <c r="D43" s="26" t="n"/>
      <c r="E43" s="29" t="n"/>
      <c r="F43" s="29" t="n"/>
      <c r="G43" s="29" t="n"/>
      <c r="H43" s="32">
        <f>IF(B43="","",MAX(0,IF(F43&lt;&gt;"",F43,N(E43))-N(G43)))</f>
        <v/>
      </c>
      <c r="I43" s="30" t="n"/>
      <c r="J43" s="18">
        <f>IF(B43="","",IF(H43&lt;=0,"Paid",IF(I43="","To pay",IF(I43&lt;TODAY(),"Late",IF(I43-TODAY()&lt;=7,"Due soon","To pay")))))</f>
        <v/>
      </c>
      <c r="K43" s="26" t="n"/>
      <c r="L43" s="1" t="n"/>
      <c r="M43">
        <f>IF(B43="",0,IF(F43&lt;&gt;"",F43,N(E43)))</f>
        <v/>
      </c>
    </row>
    <row r="44">
      <c r="A44" s="1" t="n"/>
      <c r="B44" s="6" t="n"/>
      <c r="C44" s="26" t="n"/>
      <c r="D44" s="26" t="n"/>
      <c r="E44" s="29" t="n"/>
      <c r="F44" s="29" t="n"/>
      <c r="G44" s="29" t="n"/>
      <c r="H44" s="32">
        <f>IF(B44="","",MAX(0,IF(F44&lt;&gt;"",F44,N(E44))-N(G44)))</f>
        <v/>
      </c>
      <c r="I44" s="30" t="n"/>
      <c r="J44" s="18">
        <f>IF(B44="","",IF(H44&lt;=0,"Paid",IF(I44="","To pay",IF(I44&lt;TODAY(),"Late",IF(I44-TODAY()&lt;=7,"Due soon","To pay")))))</f>
        <v/>
      </c>
      <c r="K44" s="26" t="n"/>
      <c r="L44" s="1" t="n"/>
      <c r="M44">
        <f>IF(B44="",0,IF(F44&lt;&gt;"",F44,N(E44)))</f>
        <v/>
      </c>
    </row>
    <row r="45">
      <c r="A45" s="1" t="n"/>
      <c r="B45" s="6" t="n"/>
      <c r="C45" s="26" t="n"/>
      <c r="D45" s="26" t="n"/>
      <c r="E45" s="29" t="n"/>
      <c r="F45" s="29" t="n"/>
      <c r="G45" s="29" t="n"/>
      <c r="H45" s="32">
        <f>IF(B45="","",MAX(0,IF(F45&lt;&gt;"",F45,N(E45))-N(G45)))</f>
        <v/>
      </c>
      <c r="I45" s="30" t="n"/>
      <c r="J45" s="18">
        <f>IF(B45="","",IF(H45&lt;=0,"Paid",IF(I45="","To pay",IF(I45&lt;TODAY(),"Late",IF(I45-TODAY()&lt;=7,"Due soon","To pay")))))</f>
        <v/>
      </c>
      <c r="K45" s="26" t="n"/>
      <c r="L45" s="1" t="n"/>
      <c r="M45">
        <f>IF(B45="",0,IF(F45&lt;&gt;"",F45,N(E45)))</f>
        <v/>
      </c>
    </row>
    <row r="46">
      <c r="A46" s="1" t="n"/>
      <c r="B46" s="6" t="n"/>
      <c r="C46" s="26" t="n"/>
      <c r="D46" s="26" t="n"/>
      <c r="E46" s="29" t="n"/>
      <c r="F46" s="29" t="n"/>
      <c r="G46" s="29" t="n"/>
      <c r="H46" s="32">
        <f>IF(B46="","",MAX(0,IF(F46&lt;&gt;"",F46,N(E46))-N(G46)))</f>
        <v/>
      </c>
      <c r="I46" s="30" t="n"/>
      <c r="J46" s="18">
        <f>IF(B46="","",IF(H46&lt;=0,"Paid",IF(I46="","To pay",IF(I46&lt;TODAY(),"Late",IF(I46-TODAY()&lt;=7,"Due soon","To pay")))))</f>
        <v/>
      </c>
      <c r="K46" s="26" t="n"/>
      <c r="L46" s="1" t="n"/>
      <c r="M46">
        <f>IF(B46="",0,IF(F46&lt;&gt;"",F46,N(E46)))</f>
        <v/>
      </c>
    </row>
    <row r="47">
      <c r="A47" s="1" t="n"/>
      <c r="B47" s="6" t="n"/>
      <c r="C47" s="26" t="n"/>
      <c r="D47" s="26" t="n"/>
      <c r="E47" s="29" t="n"/>
      <c r="F47" s="29" t="n"/>
      <c r="G47" s="29" t="n"/>
      <c r="H47" s="32">
        <f>IF(B47="","",MAX(0,IF(F47&lt;&gt;"",F47,N(E47))-N(G47)))</f>
        <v/>
      </c>
      <c r="I47" s="30" t="n"/>
      <c r="J47" s="18">
        <f>IF(B47="","",IF(H47&lt;=0,"Paid",IF(I47="","To pay",IF(I47&lt;TODAY(),"Late",IF(I47-TODAY()&lt;=7,"Due soon","To pay")))))</f>
        <v/>
      </c>
      <c r="K47" s="26" t="n"/>
      <c r="L47" s="1" t="n"/>
      <c r="M47">
        <f>IF(B47="",0,IF(F47&lt;&gt;"",F47,N(E47)))</f>
        <v/>
      </c>
    </row>
    <row r="48">
      <c r="A48" s="1" t="n"/>
      <c r="B48" s="6" t="n"/>
      <c r="C48" s="26" t="n"/>
      <c r="D48" s="26" t="n"/>
      <c r="E48" s="29" t="n"/>
      <c r="F48" s="29" t="n"/>
      <c r="G48" s="29" t="n"/>
      <c r="H48" s="32">
        <f>IF(B48="","",MAX(0,IF(F48&lt;&gt;"",F48,N(E48))-N(G48)))</f>
        <v/>
      </c>
      <c r="I48" s="30" t="n"/>
      <c r="J48" s="18">
        <f>IF(B48="","",IF(H48&lt;=0,"Paid",IF(I48="","To pay",IF(I48&lt;TODAY(),"Late",IF(I48-TODAY()&lt;=7,"Due soon","To pay")))))</f>
        <v/>
      </c>
      <c r="K48" s="26" t="n"/>
      <c r="L48" s="1" t="n"/>
      <c r="M48">
        <f>IF(B48="",0,IF(F48&lt;&gt;"",F48,N(E48)))</f>
        <v/>
      </c>
    </row>
    <row r="49">
      <c r="A49" s="1" t="n"/>
      <c r="B49" s="6" t="n"/>
      <c r="C49" s="26" t="n"/>
      <c r="D49" s="26" t="n"/>
      <c r="E49" s="29" t="n"/>
      <c r="F49" s="29" t="n"/>
      <c r="G49" s="29" t="n"/>
      <c r="H49" s="32">
        <f>IF(B49="","",MAX(0,IF(F49&lt;&gt;"",F49,N(E49))-N(G49)))</f>
        <v/>
      </c>
      <c r="I49" s="30" t="n"/>
      <c r="J49" s="18">
        <f>IF(B49="","",IF(H49&lt;=0,"Paid",IF(I49="","To pay",IF(I49&lt;TODAY(),"Late",IF(I49-TODAY()&lt;=7,"Due soon","To pay")))))</f>
        <v/>
      </c>
      <c r="K49" s="26" t="n"/>
      <c r="L49" s="1" t="n"/>
      <c r="M49">
        <f>IF(B49="",0,IF(F49&lt;&gt;"",F49,N(E49)))</f>
        <v/>
      </c>
    </row>
    <row r="50">
      <c r="A50" s="1" t="n"/>
      <c r="B50" s="6" t="n"/>
      <c r="C50" s="26" t="n"/>
      <c r="D50" s="26" t="n"/>
      <c r="E50" s="29" t="n"/>
      <c r="F50" s="29" t="n"/>
      <c r="G50" s="29" t="n"/>
      <c r="H50" s="32">
        <f>IF(B50="","",MAX(0,IF(F50&lt;&gt;"",F50,N(E50))-N(G50)))</f>
        <v/>
      </c>
      <c r="I50" s="30" t="n"/>
      <c r="J50" s="18">
        <f>IF(B50="","",IF(H50&lt;=0,"Paid",IF(I50="","To pay",IF(I50&lt;TODAY(),"Late",IF(I50-TODAY()&lt;=7,"Due soon","To pay")))))</f>
        <v/>
      </c>
      <c r="K50" s="26" t="n"/>
      <c r="L50" s="1" t="n"/>
      <c r="M50">
        <f>IF(B50="",0,IF(F50&lt;&gt;"",F50,N(E50)))</f>
        <v/>
      </c>
    </row>
    <row r="51">
      <c r="A51" s="1" t="n"/>
      <c r="B51" s="6" t="n"/>
      <c r="C51" s="26" t="n"/>
      <c r="D51" s="26" t="n"/>
      <c r="E51" s="29" t="n"/>
      <c r="F51" s="29" t="n"/>
      <c r="G51" s="29" t="n"/>
      <c r="H51" s="32">
        <f>IF(B51="","",MAX(0,IF(F51&lt;&gt;"",F51,N(E51))-N(G51)))</f>
        <v/>
      </c>
      <c r="I51" s="30" t="n"/>
      <c r="J51" s="18">
        <f>IF(B51="","",IF(H51&lt;=0,"Paid",IF(I51="","To pay",IF(I51&lt;TODAY(),"Late",IF(I51-TODAY()&lt;=7,"Due soon","To pay")))))</f>
        <v/>
      </c>
      <c r="K51" s="26" t="n"/>
      <c r="L51" s="1" t="n"/>
      <c r="M51">
        <f>IF(B51="",0,IF(F51&lt;&gt;"",F51,N(E51)))</f>
        <v/>
      </c>
    </row>
    <row r="52">
      <c r="A52" s="1" t="n"/>
      <c r="B52" s="6" t="n"/>
      <c r="C52" s="26" t="n"/>
      <c r="D52" s="26" t="n"/>
      <c r="E52" s="29" t="n"/>
      <c r="F52" s="29" t="n"/>
      <c r="G52" s="29" t="n"/>
      <c r="H52" s="32">
        <f>IF(B52="","",MAX(0,IF(F52&lt;&gt;"",F52,N(E52))-N(G52)))</f>
        <v/>
      </c>
      <c r="I52" s="30" t="n"/>
      <c r="J52" s="18">
        <f>IF(B52="","",IF(H52&lt;=0,"Paid",IF(I52="","To pay",IF(I52&lt;TODAY(),"Late",IF(I52-TODAY()&lt;=7,"Due soon","To pay")))))</f>
        <v/>
      </c>
      <c r="K52" s="26" t="n"/>
      <c r="L52" s="1" t="n"/>
      <c r="M52">
        <f>IF(B52="",0,IF(F52&lt;&gt;"",F52,N(E52)))</f>
        <v/>
      </c>
    </row>
    <row r="53">
      <c r="A53" s="1" t="n"/>
      <c r="B53" s="6" t="n"/>
      <c r="C53" s="26" t="n"/>
      <c r="D53" s="26" t="n"/>
      <c r="E53" s="29" t="n"/>
      <c r="F53" s="29" t="n"/>
      <c r="G53" s="29" t="n"/>
      <c r="H53" s="32">
        <f>IF(B53="","",MAX(0,IF(F53&lt;&gt;"",F53,N(E53))-N(G53)))</f>
        <v/>
      </c>
      <c r="I53" s="30" t="n"/>
      <c r="J53" s="18">
        <f>IF(B53="","",IF(H53&lt;=0,"Paid",IF(I53="","To pay",IF(I53&lt;TODAY(),"Late",IF(I53-TODAY()&lt;=7,"Due soon","To pay")))))</f>
        <v/>
      </c>
      <c r="K53" s="26" t="n"/>
      <c r="L53" s="1" t="n"/>
      <c r="M53">
        <f>IF(B53="",0,IF(F53&lt;&gt;"",F53,N(E53)))</f>
        <v/>
      </c>
    </row>
    <row r="54">
      <c r="A54" s="1" t="n"/>
      <c r="B54" s="6" t="n"/>
      <c r="C54" s="26" t="n"/>
      <c r="D54" s="26" t="n"/>
      <c r="E54" s="29" t="n"/>
      <c r="F54" s="29" t="n"/>
      <c r="G54" s="29" t="n"/>
      <c r="H54" s="32">
        <f>IF(B54="","",MAX(0,IF(F54&lt;&gt;"",F54,N(E54))-N(G54)))</f>
        <v/>
      </c>
      <c r="I54" s="30" t="n"/>
      <c r="J54" s="18">
        <f>IF(B54="","",IF(H54&lt;=0,"Paid",IF(I54="","To pay",IF(I54&lt;TODAY(),"Late",IF(I54-TODAY()&lt;=7,"Due soon","To pay")))))</f>
        <v/>
      </c>
      <c r="K54" s="26" t="n"/>
      <c r="L54" s="1" t="n"/>
      <c r="M54">
        <f>IF(B54="",0,IF(F54&lt;&gt;"",F54,N(E54)))</f>
        <v/>
      </c>
    </row>
    <row r="55">
      <c r="A55" s="1" t="n"/>
      <c r="B55" s="6" t="n"/>
      <c r="C55" s="26" t="n"/>
      <c r="D55" s="26" t="n"/>
      <c r="E55" s="29" t="n"/>
      <c r="F55" s="29" t="n"/>
      <c r="G55" s="29" t="n"/>
      <c r="H55" s="32">
        <f>IF(B55="","",MAX(0,IF(F55&lt;&gt;"",F55,N(E55))-N(G55)))</f>
        <v/>
      </c>
      <c r="I55" s="30" t="n"/>
      <c r="J55" s="18">
        <f>IF(B55="","",IF(H55&lt;=0,"Paid",IF(I55="","To pay",IF(I55&lt;TODAY(),"Late",IF(I55-TODAY()&lt;=7,"Due soon","To pay")))))</f>
        <v/>
      </c>
      <c r="K55" s="26" t="n"/>
      <c r="L55" s="1" t="n"/>
      <c r="M55">
        <f>IF(B55="",0,IF(F55&lt;&gt;"",F55,N(E55)))</f>
        <v/>
      </c>
    </row>
    <row r="56">
      <c r="A56" s="1" t="n"/>
      <c r="B56" s="31" t="inlineStr">
        <is>
          <t>The final price counts once you know it. Until then the estimate does.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</sheetData>
  <conditionalFormatting sqref="J6:J55">
    <cfRule type="expression" priority="1" dxfId="3">
      <formula>J6="Paid"</formula>
    </cfRule>
    <cfRule type="expression" priority="2" dxfId="1">
      <formula>J6="Late"</formula>
    </cfRule>
    <cfRule type="expression" priority="3" dxfId="2">
      <formula>J6="Due soon"</formula>
    </cfRule>
  </conditionalFormatting>
  <dataValidations count="1">
    <dataValidation sqref="C6:C55" showDropDown="0" showInputMessage="0" showErrorMessage="0" allowBlank="1" type="list">
      <formula1>"Movers,Van and fuel,Packing,Cleaning,Storage,Deposits,Utilities,Furniture,Travel,Other"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22" customWidth="1" min="4" max="4"/>
    <col width="22" customWidth="1" min="5" max="5"/>
    <col width="7" customWidth="1" min="6" max="6"/>
    <col width="24" customWidth="1" min="7" max="7"/>
    <col width="3" customWidth="1" min="8" max="8"/>
    <col width="16" customWidth="1" min="9" max="9"/>
    <col width="14" customWidth="1" min="10" max="10"/>
    <col width="14" customWidth="1" min="11" max="11"/>
    <col width="12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 t="inlineStr">
        <is>
          <t>New address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Everyone who needs your new address. Put an x under Done when you have told them.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0" customHeight="1">
      <c r="A5" s="1" t="n"/>
      <c r="B5" s="14" t="inlineStr">
        <is>
          <t>Who</t>
        </is>
      </c>
      <c r="C5" s="14" t="inlineStr">
        <is>
          <t>Kind</t>
        </is>
      </c>
      <c r="D5" s="14" t="inlineStr">
        <is>
          <t>How</t>
        </is>
      </c>
      <c r="E5" s="14" t="inlineStr">
        <is>
          <t>Account or reference</t>
        </is>
      </c>
      <c r="F5" s="14" t="inlineStr">
        <is>
          <t>Done</t>
        </is>
      </c>
      <c r="G5" s="14" t="inlineStr">
        <is>
          <t>Notes</t>
        </is>
      </c>
      <c r="H5" s="1" t="n"/>
      <c r="I5" s="14" t="inlineStr">
        <is>
          <t>Meter</t>
        </is>
      </c>
      <c r="J5" s="14" t="inlineStr">
        <is>
          <t>Old home</t>
        </is>
      </c>
      <c r="K5" s="14" t="inlineStr">
        <is>
          <t>New home</t>
        </is>
      </c>
      <c r="L5" s="14" t="inlineStr">
        <is>
          <t>Date</t>
        </is>
      </c>
      <c r="M5" s="1" t="n"/>
    </row>
    <row r="6">
      <c r="A6" s="1" t="n"/>
      <c r="B6" s="6" t="inlineStr">
        <is>
          <t>Bank</t>
        </is>
      </c>
      <c r="C6" s="26" t="inlineStr">
        <is>
          <t>Money</t>
        </is>
      </c>
      <c r="D6" s="26" t="inlineStr">
        <is>
          <t>Online</t>
        </is>
      </c>
      <c r="E6" s="26" t="inlineStr">
        <is>
          <t>Current account</t>
        </is>
      </c>
      <c r="F6" s="27" t="inlineStr">
        <is>
          <t>x</t>
        </is>
      </c>
      <c r="G6" s="26" t="n"/>
      <c r="H6" s="1" t="n"/>
      <c r="I6" s="6" t="inlineStr">
        <is>
          <t>Electricity</t>
        </is>
      </c>
      <c r="J6" s="33" t="n"/>
      <c r="K6" s="33" t="n"/>
      <c r="L6" s="30" t="n">
        <v>46319</v>
      </c>
      <c r="M6" s="1" t="n"/>
    </row>
    <row r="7">
      <c r="A7" s="1" t="n"/>
      <c r="B7" s="6" t="inlineStr">
        <is>
          <t>Credit card</t>
        </is>
      </c>
      <c r="C7" s="26" t="inlineStr">
        <is>
          <t>Money</t>
        </is>
      </c>
      <c r="D7" s="26" t="inlineStr">
        <is>
          <t>App</t>
        </is>
      </c>
      <c r="E7" s="26" t="n"/>
      <c r="F7" s="27" t="inlineStr">
        <is>
          <t>x</t>
        </is>
      </c>
      <c r="G7" s="26" t="n"/>
      <c r="H7" s="1" t="n"/>
      <c r="I7" s="6" t="inlineStr">
        <is>
          <t>Gas</t>
        </is>
      </c>
      <c r="J7" s="33" t="n"/>
      <c r="K7" s="33" t="n"/>
      <c r="L7" s="30" t="n">
        <v>46319</v>
      </c>
      <c r="M7" s="1" t="n"/>
    </row>
    <row r="8">
      <c r="A8" s="1" t="n"/>
      <c r="B8" s="6" t="inlineStr">
        <is>
          <t>Employer</t>
        </is>
      </c>
      <c r="C8" s="26" t="inlineStr">
        <is>
          <t>Work</t>
        </is>
      </c>
      <c r="D8" s="26" t="inlineStr">
        <is>
          <t>Email to HR</t>
        </is>
      </c>
      <c r="E8" s="26" t="n"/>
      <c r="F8" s="27" t="inlineStr">
        <is>
          <t>x</t>
        </is>
      </c>
      <c r="G8" s="26" t="n"/>
      <c r="H8" s="1" t="n"/>
      <c r="I8" s="6" t="inlineStr">
        <is>
          <t>Water</t>
        </is>
      </c>
      <c r="J8" s="33" t="n"/>
      <c r="K8" s="33" t="n"/>
      <c r="L8" s="30" t="n">
        <v>46319</v>
      </c>
      <c r="M8" s="1" t="n"/>
    </row>
    <row r="9">
      <c r="A9" s="1" t="n"/>
      <c r="B9" s="6" t="inlineStr">
        <is>
          <t>Doctor</t>
        </is>
      </c>
      <c r="C9" s="26" t="inlineStr">
        <is>
          <t>Health</t>
        </is>
      </c>
      <c r="D9" s="26" t="inlineStr">
        <is>
          <t>Form at the surgery</t>
        </is>
      </c>
      <c r="E9" s="26" t="n"/>
      <c r="F9" s="27" t="n"/>
      <c r="G9" s="26" t="n"/>
      <c r="H9" s="1" t="n"/>
      <c r="I9" s="6" t="inlineStr">
        <is>
          <t>Other</t>
        </is>
      </c>
      <c r="J9" s="33" t="n"/>
      <c r="K9" s="33" t="n"/>
      <c r="L9" s="30" t="n"/>
      <c r="M9" s="1" t="n"/>
    </row>
    <row r="10">
      <c r="A10" s="1" t="n"/>
      <c r="B10" s="6" t="inlineStr">
        <is>
          <t>Dentist</t>
        </is>
      </c>
      <c r="C10" s="26" t="inlineStr">
        <is>
          <t>Health</t>
        </is>
      </c>
      <c r="D10" s="26" t="inlineStr">
        <is>
          <t>Phone</t>
        </is>
      </c>
      <c r="E10" s="26" t="n"/>
      <c r="F10" s="27" t="n"/>
      <c r="G10" s="26" t="n"/>
      <c r="H10" s="1" t="n"/>
      <c r="I10" s="1" t="n"/>
      <c r="J10" s="1" t="n"/>
      <c r="K10" s="1" t="n"/>
      <c r="L10" s="1" t="n"/>
      <c r="M10" s="1" t="n"/>
    </row>
    <row r="11">
      <c r="A11" s="1" t="n"/>
      <c r="B11" s="6" t="inlineStr">
        <is>
          <t>Car insurance</t>
        </is>
      </c>
      <c r="C11" s="26" t="inlineStr">
        <is>
          <t>Money</t>
        </is>
      </c>
      <c r="D11" s="26" t="inlineStr">
        <is>
          <t>Online</t>
        </is>
      </c>
      <c r="E11" s="26" t="inlineStr">
        <is>
          <t>Policy number</t>
        </is>
      </c>
      <c r="F11" s="27" t="n"/>
      <c r="G11" s="26" t="n"/>
      <c r="H11" s="1" t="n"/>
      <c r="I11" s="31" t="inlineStr">
        <is>
          <t>Take the readings on moving day, with a photo.</t>
        </is>
      </c>
      <c r="J11" s="1" t="n"/>
      <c r="K11" s="1" t="n"/>
      <c r="L11" s="1" t="n"/>
      <c r="M11" s="1" t="n"/>
    </row>
    <row r="12">
      <c r="A12" s="1" t="n"/>
      <c r="B12" s="6" t="inlineStr">
        <is>
          <t>Home insurance</t>
        </is>
      </c>
      <c r="C12" s="26" t="inlineStr">
        <is>
          <t>Money</t>
        </is>
      </c>
      <c r="D12" s="26" t="inlineStr">
        <is>
          <t>Phone</t>
        </is>
      </c>
      <c r="E12" s="26" t="inlineStr">
        <is>
          <t>Policy number</t>
        </is>
      </c>
      <c r="F12" s="27" t="n"/>
      <c r="G12" s="26" t="n"/>
      <c r="H12" s="1" t="n"/>
      <c r="I12" s="1" t="n"/>
      <c r="J12" s="1" t="n"/>
      <c r="K12" s="1" t="n"/>
      <c r="L12" s="1" t="n"/>
      <c r="M12" s="1" t="n"/>
    </row>
    <row r="13">
      <c r="A13" s="1" t="n"/>
      <c r="B13" s="6" t="inlineStr">
        <is>
          <t>Electricity</t>
        </is>
      </c>
      <c r="C13" s="26" t="inlineStr">
        <is>
          <t>Home</t>
        </is>
      </c>
      <c r="D13" s="26" t="inlineStr">
        <is>
          <t>Online</t>
        </is>
      </c>
      <c r="E13" s="26" t="inlineStr">
        <is>
          <t>Meter reading</t>
        </is>
      </c>
      <c r="F13" s="27" t="n"/>
      <c r="G13" s="26" t="n"/>
      <c r="H13" s="1" t="n"/>
      <c r="I13" s="1" t="n"/>
      <c r="J13" s="1" t="n"/>
      <c r="K13" s="1" t="n"/>
      <c r="L13" s="1" t="n"/>
      <c r="M13" s="1" t="n"/>
    </row>
    <row r="14">
      <c r="A14" s="1" t="n"/>
      <c r="B14" s="6" t="inlineStr">
        <is>
          <t>Gas</t>
        </is>
      </c>
      <c r="C14" s="26" t="inlineStr">
        <is>
          <t>Home</t>
        </is>
      </c>
      <c r="D14" s="26" t="inlineStr">
        <is>
          <t>Online</t>
        </is>
      </c>
      <c r="E14" s="26" t="inlineStr">
        <is>
          <t>Meter reading</t>
        </is>
      </c>
      <c r="F14" s="27" t="n"/>
      <c r="G14" s="26" t="n"/>
      <c r="H14" s="1" t="n"/>
      <c r="I14" s="1" t="n"/>
      <c r="J14" s="1" t="n"/>
      <c r="K14" s="1" t="n"/>
      <c r="L14" s="1" t="n"/>
      <c r="M14" s="1" t="n"/>
    </row>
    <row r="15">
      <c r="A15" s="1" t="n"/>
      <c r="B15" s="6" t="inlineStr">
        <is>
          <t>Water</t>
        </is>
      </c>
      <c r="C15" s="26" t="inlineStr">
        <is>
          <t>Home</t>
        </is>
      </c>
      <c r="D15" s="26" t="inlineStr">
        <is>
          <t>Phone</t>
        </is>
      </c>
      <c r="E15" s="26" t="n"/>
      <c r="F15" s="27" t="n"/>
      <c r="G15" s="26" t="n"/>
      <c r="H15" s="1" t="n"/>
      <c r="I15" s="1" t="n"/>
      <c r="J15" s="1" t="n"/>
      <c r="K15" s="1" t="n"/>
      <c r="L15" s="1" t="n"/>
      <c r="M15" s="1" t="n"/>
    </row>
    <row r="16">
      <c r="A16" s="1" t="n"/>
      <c r="B16" s="6" t="inlineStr">
        <is>
          <t>Internet</t>
        </is>
      </c>
      <c r="C16" s="26" t="inlineStr">
        <is>
          <t>Home</t>
        </is>
      </c>
      <c r="D16" s="26" t="inlineStr">
        <is>
          <t>Online</t>
        </is>
      </c>
      <c r="E16" s="26" t="inlineStr">
        <is>
          <t>Booked for the new home</t>
        </is>
      </c>
      <c r="F16" s="27" t="inlineStr">
        <is>
          <t>x</t>
        </is>
      </c>
      <c r="G16" s="26" t="n"/>
      <c r="H16" s="1" t="n"/>
      <c r="I16" s="1" t="n"/>
      <c r="J16" s="1" t="n"/>
      <c r="K16" s="1" t="n"/>
      <c r="L16" s="1" t="n"/>
      <c r="M16" s="1" t="n"/>
    </row>
    <row r="17">
      <c r="A17" s="1" t="n"/>
      <c r="B17" s="6" t="inlineStr">
        <is>
          <t>Local council</t>
        </is>
      </c>
      <c r="C17" s="26" t="inlineStr">
        <is>
          <t>Government</t>
        </is>
      </c>
      <c r="D17" s="26" t="inlineStr">
        <is>
          <t>Online form</t>
        </is>
      </c>
      <c r="E17" s="26" t="n"/>
      <c r="F17" s="27" t="n"/>
      <c r="G17" s="26" t="n"/>
      <c r="H17" s="1" t="n"/>
      <c r="I17" s="1" t="n"/>
      <c r="J17" s="1" t="n"/>
      <c r="K17" s="1" t="n"/>
      <c r="L17" s="1" t="n"/>
      <c r="M17" s="1" t="n"/>
    </row>
    <row r="18">
      <c r="A18" s="1" t="n"/>
      <c r="B18" s="6" t="inlineStr">
        <is>
          <t>Tax office</t>
        </is>
      </c>
      <c r="C18" s="26" t="inlineStr">
        <is>
          <t>Government</t>
        </is>
      </c>
      <c r="D18" s="26" t="inlineStr">
        <is>
          <t>Online</t>
        </is>
      </c>
      <c r="E18" s="26" t="n"/>
      <c r="F18" s="27" t="n"/>
      <c r="G18" s="26" t="n"/>
      <c r="H18" s="1" t="n"/>
      <c r="I18" s="1" t="n"/>
      <c r="J18" s="1" t="n"/>
      <c r="K18" s="1" t="n"/>
      <c r="L18" s="1" t="n"/>
      <c r="M18" s="1" t="n"/>
    </row>
    <row r="19">
      <c r="A19" s="1" t="n"/>
      <c r="B19" s="6" t="inlineStr">
        <is>
          <t>Driving licence</t>
        </is>
      </c>
      <c r="C19" s="26" t="inlineStr">
        <is>
          <t>Government</t>
        </is>
      </c>
      <c r="D19" s="26" t="inlineStr">
        <is>
          <t>Online</t>
        </is>
      </c>
      <c r="E19" s="26" t="n"/>
      <c r="F19" s="27" t="n"/>
      <c r="G19" s="26" t="n"/>
      <c r="H19" s="1" t="n"/>
      <c r="I19" s="1" t="n"/>
      <c r="J19" s="1" t="n"/>
      <c r="K19" s="1" t="n"/>
      <c r="L19" s="1" t="n"/>
      <c r="M19" s="1" t="n"/>
    </row>
    <row r="20">
      <c r="A20" s="1" t="n"/>
      <c r="B20" s="6" t="inlineStr">
        <is>
          <t>Mail forwarding</t>
        </is>
      </c>
      <c r="C20" s="26" t="inlineStr">
        <is>
          <t>Post</t>
        </is>
      </c>
      <c r="D20" s="26" t="inlineStr">
        <is>
          <t>Post office</t>
        </is>
      </c>
      <c r="E20" s="26" t="inlineStr">
        <is>
          <t>6 months</t>
        </is>
      </c>
      <c r="F20" s="27" t="inlineStr">
        <is>
          <t>x</t>
        </is>
      </c>
      <c r="G20" s="26" t="n"/>
      <c r="H20" s="1" t="n"/>
      <c r="I20" s="1" t="n"/>
      <c r="J20" s="1" t="n"/>
      <c r="K20" s="1" t="n"/>
      <c r="L20" s="1" t="n"/>
      <c r="M20" s="1" t="n"/>
    </row>
    <row r="21">
      <c r="A21" s="1" t="n"/>
      <c r="B21" s="6" t="inlineStr">
        <is>
          <t>Mobile phone</t>
        </is>
      </c>
      <c r="C21" s="26" t="inlineStr">
        <is>
          <t>Subscriptions</t>
        </is>
      </c>
      <c r="D21" s="26" t="inlineStr">
        <is>
          <t>App</t>
        </is>
      </c>
      <c r="E21" s="26" t="n"/>
      <c r="F21" s="27" t="inlineStr">
        <is>
          <t>x</t>
        </is>
      </c>
      <c r="G21" s="26" t="n"/>
      <c r="H21" s="1" t="n"/>
      <c r="I21" s="1" t="n"/>
      <c r="J21" s="1" t="n"/>
      <c r="K21" s="1" t="n"/>
      <c r="L21" s="1" t="n"/>
      <c r="M21" s="1" t="n"/>
    </row>
    <row r="22">
      <c r="A22" s="1" t="n"/>
      <c r="B22" s="6" t="inlineStr">
        <is>
          <t>Streaming and magazines</t>
        </is>
      </c>
      <c r="C22" s="26" t="inlineStr">
        <is>
          <t>Subscriptions</t>
        </is>
      </c>
      <c r="D22" s="26" t="inlineStr">
        <is>
          <t>Online</t>
        </is>
      </c>
      <c r="E22" s="26" t="n"/>
      <c r="F22" s="27" t="n"/>
      <c r="G22" s="26" t="n"/>
      <c r="H22" s="1" t="n"/>
      <c r="I22" s="1" t="n"/>
      <c r="J22" s="1" t="n"/>
      <c r="K22" s="1" t="n"/>
      <c r="L22" s="1" t="n"/>
      <c r="M22" s="1" t="n"/>
    </row>
    <row r="23">
      <c r="A23" s="1" t="n"/>
      <c r="B23" s="6" t="inlineStr">
        <is>
          <t>Gym</t>
        </is>
      </c>
      <c r="C23" s="26" t="inlineStr">
        <is>
          <t>Subscriptions</t>
        </is>
      </c>
      <c r="D23" s="26" t="inlineStr">
        <is>
          <t>At the desk</t>
        </is>
      </c>
      <c r="E23" s="26" t="n"/>
      <c r="F23" s="27" t="n"/>
      <c r="G23" s="26" t="n"/>
      <c r="H23" s="1" t="n"/>
      <c r="I23" s="1" t="n"/>
      <c r="J23" s="1" t="n"/>
      <c r="K23" s="1" t="n"/>
      <c r="L23" s="1" t="n"/>
      <c r="M23" s="1" t="n"/>
    </row>
    <row r="24">
      <c r="A24" s="1" t="n"/>
      <c r="B24" s="6" t="inlineStr">
        <is>
          <t>School</t>
        </is>
      </c>
      <c r="C24" s="26" t="inlineStr">
        <is>
          <t>Other</t>
        </is>
      </c>
      <c r="D24" s="26" t="inlineStr">
        <is>
          <t>Letter</t>
        </is>
      </c>
      <c r="E24" s="26" t="n"/>
      <c r="F24" s="27" t="inlineStr">
        <is>
          <t>x</t>
        </is>
      </c>
      <c r="G24" s="26" t="n"/>
      <c r="H24" s="1" t="n"/>
      <c r="I24" s="1" t="n"/>
      <c r="J24" s="1" t="n"/>
      <c r="K24" s="1" t="n"/>
      <c r="L24" s="1" t="n"/>
      <c r="M24" s="1" t="n"/>
    </row>
    <row r="25">
      <c r="A25" s="1" t="n"/>
      <c r="B25" s="6" t="inlineStr">
        <is>
          <t>Family and friends</t>
        </is>
      </c>
      <c r="C25" s="26" t="inlineStr">
        <is>
          <t>People</t>
        </is>
      </c>
      <c r="D25" s="26" t="inlineStr">
        <is>
          <t>Card with the new address</t>
        </is>
      </c>
      <c r="E25" s="26" t="n"/>
      <c r="F25" s="27" t="n"/>
      <c r="G25" s="26" t="n"/>
      <c r="H25" s="1" t="n"/>
      <c r="I25" s="1" t="n"/>
      <c r="J25" s="1" t="n"/>
      <c r="K25" s="1" t="n"/>
      <c r="L25" s="1" t="n"/>
      <c r="M25" s="1" t="n"/>
    </row>
    <row r="26">
      <c r="A26" s="1" t="n"/>
      <c r="B26" s="6" t="inlineStr">
        <is>
          <t>Vet</t>
        </is>
      </c>
      <c r="C26" s="26" t="inlineStr">
        <is>
          <t>Health</t>
        </is>
      </c>
      <c r="D26" s="26" t="inlineStr">
        <is>
          <t>Phone</t>
        </is>
      </c>
      <c r="E26" s="26" t="n"/>
      <c r="F26" s="27" t="n"/>
      <c r="G26" s="26" t="n"/>
      <c r="H26" s="1" t="n"/>
      <c r="I26" s="1" t="n"/>
      <c r="J26" s="1" t="n"/>
      <c r="K26" s="1" t="n"/>
      <c r="L26" s="1" t="n"/>
      <c r="M26" s="1" t="n"/>
    </row>
    <row r="27">
      <c r="A27" s="1" t="n"/>
      <c r="B27" s="6" t="inlineStr">
        <is>
          <t>Online shops</t>
        </is>
      </c>
      <c r="C27" s="26" t="inlineStr">
        <is>
          <t>Subscriptions</t>
        </is>
      </c>
      <c r="D27" s="26" t="inlineStr">
        <is>
          <t>Each account</t>
        </is>
      </c>
      <c r="E27" s="26" t="n"/>
      <c r="F27" s="27" t="n"/>
      <c r="G27" s="26" t="n"/>
      <c r="H27" s="1" t="n"/>
      <c r="I27" s="1" t="n"/>
      <c r="J27" s="1" t="n"/>
      <c r="K27" s="1" t="n"/>
      <c r="L27" s="1" t="n"/>
      <c r="M27" s="1" t="n"/>
    </row>
    <row r="28">
      <c r="A28" s="1" t="n"/>
      <c r="B28" s="6" t="n"/>
      <c r="C28" s="26" t="n"/>
      <c r="D28" s="26" t="n"/>
      <c r="E28" s="26" t="n"/>
      <c r="F28" s="27" t="n"/>
      <c r="G28" s="26" t="n"/>
      <c r="H28" s="1" t="n"/>
      <c r="I28" s="1" t="n"/>
      <c r="J28" s="1" t="n"/>
      <c r="K28" s="1" t="n"/>
      <c r="L28" s="1" t="n"/>
      <c r="M28" s="1" t="n"/>
    </row>
    <row r="29">
      <c r="A29" s="1" t="n"/>
      <c r="B29" s="6" t="n"/>
      <c r="C29" s="26" t="n"/>
      <c r="D29" s="26" t="n"/>
      <c r="E29" s="26" t="n"/>
      <c r="F29" s="27" t="n"/>
      <c r="G29" s="26" t="n"/>
      <c r="H29" s="1" t="n"/>
      <c r="I29" s="1" t="n"/>
      <c r="J29" s="1" t="n"/>
      <c r="K29" s="1" t="n"/>
      <c r="L29" s="1" t="n"/>
      <c r="M29" s="1" t="n"/>
    </row>
    <row r="30">
      <c r="A30" s="1" t="n"/>
      <c r="B30" s="6" t="n"/>
      <c r="C30" s="26" t="n"/>
      <c r="D30" s="26" t="n"/>
      <c r="E30" s="26" t="n"/>
      <c r="F30" s="27" t="n"/>
      <c r="G30" s="26" t="n"/>
      <c r="H30" s="1" t="n"/>
      <c r="I30" s="1" t="n"/>
      <c r="J30" s="1" t="n"/>
      <c r="K30" s="1" t="n"/>
      <c r="L30" s="1" t="n"/>
      <c r="M30" s="1" t="n"/>
    </row>
    <row r="31">
      <c r="A31" s="1" t="n"/>
      <c r="B31" s="6" t="n"/>
      <c r="C31" s="26" t="n"/>
      <c r="D31" s="26" t="n"/>
      <c r="E31" s="26" t="n"/>
      <c r="F31" s="27" t="n"/>
      <c r="G31" s="26" t="n"/>
      <c r="H31" s="1" t="n"/>
      <c r="I31" s="1" t="n"/>
      <c r="J31" s="1" t="n"/>
      <c r="K31" s="1" t="n"/>
      <c r="L31" s="1" t="n"/>
      <c r="M31" s="1" t="n"/>
    </row>
    <row r="32">
      <c r="A32" s="1" t="n"/>
      <c r="B32" s="6" t="n"/>
      <c r="C32" s="26" t="n"/>
      <c r="D32" s="26" t="n"/>
      <c r="E32" s="26" t="n"/>
      <c r="F32" s="27" t="n"/>
      <c r="G32" s="26" t="n"/>
      <c r="H32" s="1" t="n"/>
      <c r="I32" s="1" t="n"/>
      <c r="J32" s="1" t="n"/>
      <c r="K32" s="1" t="n"/>
      <c r="L32" s="1" t="n"/>
      <c r="M32" s="1" t="n"/>
    </row>
    <row r="33">
      <c r="A33" s="1" t="n"/>
      <c r="B33" s="6" t="n"/>
      <c r="C33" s="26" t="n"/>
      <c r="D33" s="26" t="n"/>
      <c r="E33" s="26" t="n"/>
      <c r="F33" s="27" t="n"/>
      <c r="G33" s="26" t="n"/>
      <c r="H33" s="1" t="n"/>
      <c r="I33" s="1" t="n"/>
      <c r="J33" s="1" t="n"/>
      <c r="K33" s="1" t="n"/>
      <c r="L33" s="1" t="n"/>
      <c r="M33" s="1" t="n"/>
    </row>
    <row r="34">
      <c r="A34" s="1" t="n"/>
      <c r="B34" s="6" t="n"/>
      <c r="C34" s="26" t="n"/>
      <c r="D34" s="26" t="n"/>
      <c r="E34" s="26" t="n"/>
      <c r="F34" s="27" t="n"/>
      <c r="G34" s="26" t="n"/>
      <c r="H34" s="1" t="n"/>
      <c r="I34" s="1" t="n"/>
      <c r="J34" s="1" t="n"/>
      <c r="K34" s="1" t="n"/>
      <c r="L34" s="1" t="n"/>
      <c r="M34" s="1" t="n"/>
    </row>
    <row r="35">
      <c r="A35" s="1" t="n"/>
      <c r="B35" s="6" t="n"/>
      <c r="C35" s="26" t="n"/>
      <c r="D35" s="26" t="n"/>
      <c r="E35" s="26" t="n"/>
      <c r="F35" s="27" t="n"/>
      <c r="G35" s="26" t="n"/>
      <c r="H35" s="1" t="n"/>
      <c r="I35" s="1" t="n"/>
      <c r="J35" s="1" t="n"/>
      <c r="K35" s="1" t="n"/>
      <c r="L35" s="1" t="n"/>
      <c r="M35" s="1" t="n"/>
    </row>
    <row r="36">
      <c r="A36" s="1" t="n"/>
      <c r="B36" s="6" t="n"/>
      <c r="C36" s="26" t="n"/>
      <c r="D36" s="26" t="n"/>
      <c r="E36" s="26" t="n"/>
      <c r="F36" s="27" t="n"/>
      <c r="G36" s="26" t="n"/>
      <c r="H36" s="1" t="n"/>
      <c r="I36" s="1" t="n"/>
      <c r="J36" s="1" t="n"/>
      <c r="K36" s="1" t="n"/>
      <c r="L36" s="1" t="n"/>
      <c r="M36" s="1" t="n"/>
    </row>
    <row r="37">
      <c r="A37" s="1" t="n"/>
      <c r="B37" s="6" t="n"/>
      <c r="C37" s="26" t="n"/>
      <c r="D37" s="26" t="n"/>
      <c r="E37" s="26" t="n"/>
      <c r="F37" s="27" t="n"/>
      <c r="G37" s="26" t="n"/>
      <c r="H37" s="1" t="n"/>
      <c r="I37" s="1" t="n"/>
      <c r="J37" s="1" t="n"/>
      <c r="K37" s="1" t="n"/>
      <c r="L37" s="1" t="n"/>
      <c r="M37" s="1" t="n"/>
    </row>
    <row r="38">
      <c r="A38" s="1" t="n"/>
      <c r="B38" s="6" t="n"/>
      <c r="C38" s="26" t="n"/>
      <c r="D38" s="26" t="n"/>
      <c r="E38" s="26" t="n"/>
      <c r="F38" s="27" t="n"/>
      <c r="G38" s="26" t="n"/>
      <c r="H38" s="1" t="n"/>
      <c r="I38" s="1" t="n"/>
      <c r="J38" s="1" t="n"/>
      <c r="K38" s="1" t="n"/>
      <c r="L38" s="1" t="n"/>
      <c r="M38" s="1" t="n"/>
    </row>
    <row r="39">
      <c r="A39" s="1" t="n"/>
      <c r="B39" s="6" t="n"/>
      <c r="C39" s="26" t="n"/>
      <c r="D39" s="26" t="n"/>
      <c r="E39" s="26" t="n"/>
      <c r="F39" s="27" t="n"/>
      <c r="G39" s="26" t="n"/>
      <c r="H39" s="1" t="n"/>
      <c r="I39" s="1" t="n"/>
      <c r="J39" s="1" t="n"/>
      <c r="K39" s="1" t="n"/>
      <c r="L39" s="1" t="n"/>
      <c r="M39" s="1" t="n"/>
    </row>
    <row r="40">
      <c r="A40" s="1" t="n"/>
      <c r="B40" s="6" t="n"/>
      <c r="C40" s="26" t="n"/>
      <c r="D40" s="26" t="n"/>
      <c r="E40" s="26" t="n"/>
      <c r="F40" s="27" t="n"/>
      <c r="G40" s="26" t="n"/>
      <c r="H40" s="1" t="n"/>
      <c r="I40" s="1" t="n"/>
      <c r="J40" s="1" t="n"/>
      <c r="K40" s="1" t="n"/>
      <c r="L40" s="1" t="n"/>
      <c r="M40" s="1" t="n"/>
    </row>
    <row r="41">
      <c r="A41" s="1" t="n"/>
      <c r="B41" s="6" t="n"/>
      <c r="C41" s="26" t="n"/>
      <c r="D41" s="26" t="n"/>
      <c r="E41" s="26" t="n"/>
      <c r="F41" s="27" t="n"/>
      <c r="G41" s="26" t="n"/>
      <c r="H41" s="1" t="n"/>
      <c r="I41" s="1" t="n"/>
      <c r="J41" s="1" t="n"/>
      <c r="K41" s="1" t="n"/>
      <c r="L41" s="1" t="n"/>
      <c r="M41" s="1" t="n"/>
    </row>
    <row r="42">
      <c r="A42" s="1" t="n"/>
      <c r="B42" s="6" t="n"/>
      <c r="C42" s="26" t="n"/>
      <c r="D42" s="26" t="n"/>
      <c r="E42" s="26" t="n"/>
      <c r="F42" s="27" t="n"/>
      <c r="G42" s="26" t="n"/>
      <c r="H42" s="1" t="n"/>
      <c r="I42" s="1" t="n"/>
      <c r="J42" s="1" t="n"/>
      <c r="K42" s="1" t="n"/>
      <c r="L42" s="1" t="n"/>
      <c r="M42" s="1" t="n"/>
    </row>
    <row r="43">
      <c r="A43" s="1" t="n"/>
      <c r="B43" s="6" t="n"/>
      <c r="C43" s="26" t="n"/>
      <c r="D43" s="26" t="n"/>
      <c r="E43" s="26" t="n"/>
      <c r="F43" s="27" t="n"/>
      <c r="G43" s="26" t="n"/>
      <c r="H43" s="1" t="n"/>
      <c r="I43" s="1" t="n"/>
      <c r="J43" s="1" t="n"/>
      <c r="K43" s="1" t="n"/>
      <c r="L43" s="1" t="n"/>
      <c r="M43" s="1" t="n"/>
    </row>
    <row r="44">
      <c r="A44" s="1" t="n"/>
      <c r="B44" s="6" t="n"/>
      <c r="C44" s="26" t="n"/>
      <c r="D44" s="26" t="n"/>
      <c r="E44" s="26" t="n"/>
      <c r="F44" s="27" t="n"/>
      <c r="G44" s="26" t="n"/>
      <c r="H44" s="1" t="n"/>
      <c r="I44" s="1" t="n"/>
      <c r="J44" s="1" t="n"/>
      <c r="K44" s="1" t="n"/>
      <c r="L44" s="1" t="n"/>
      <c r="M44" s="1" t="n"/>
    </row>
    <row r="45">
      <c r="A45" s="1" t="n"/>
      <c r="B45" s="6" t="n"/>
      <c r="C45" s="26" t="n"/>
      <c r="D45" s="26" t="n"/>
      <c r="E45" s="26" t="n"/>
      <c r="F45" s="27" t="n"/>
      <c r="G45" s="26" t="n"/>
      <c r="H45" s="1" t="n"/>
      <c r="I45" s="1" t="n"/>
      <c r="J45" s="1" t="n"/>
      <c r="K45" s="1" t="n"/>
      <c r="L45" s="1" t="n"/>
      <c r="M45" s="1" t="n"/>
    </row>
    <row r="46">
      <c r="A46" s="1" t="n"/>
      <c r="B46" s="6" t="n"/>
      <c r="C46" s="26" t="n"/>
      <c r="D46" s="26" t="n"/>
      <c r="E46" s="26" t="n"/>
      <c r="F46" s="27" t="n"/>
      <c r="G46" s="26" t="n"/>
      <c r="H46" s="1" t="n"/>
      <c r="I46" s="1" t="n"/>
      <c r="J46" s="1" t="n"/>
      <c r="K46" s="1" t="n"/>
      <c r="L46" s="1" t="n"/>
      <c r="M46" s="1" t="n"/>
    </row>
    <row r="47">
      <c r="A47" s="1" t="n"/>
      <c r="B47" s="6" t="n"/>
      <c r="C47" s="26" t="n"/>
      <c r="D47" s="26" t="n"/>
      <c r="E47" s="26" t="n"/>
      <c r="F47" s="27" t="n"/>
      <c r="G47" s="26" t="n"/>
      <c r="H47" s="1" t="n"/>
      <c r="I47" s="1" t="n"/>
      <c r="J47" s="1" t="n"/>
      <c r="K47" s="1" t="n"/>
      <c r="L47" s="1" t="n"/>
      <c r="M47" s="1" t="n"/>
    </row>
    <row r="48">
      <c r="A48" s="1" t="n"/>
      <c r="B48" s="6" t="n"/>
      <c r="C48" s="26" t="n"/>
      <c r="D48" s="26" t="n"/>
      <c r="E48" s="26" t="n"/>
      <c r="F48" s="27" t="n"/>
      <c r="G48" s="26" t="n"/>
      <c r="H48" s="1" t="n"/>
      <c r="I48" s="1" t="n"/>
      <c r="J48" s="1" t="n"/>
      <c r="K48" s="1" t="n"/>
      <c r="L48" s="1" t="n"/>
      <c r="M48" s="1" t="n"/>
    </row>
    <row r="49">
      <c r="A49" s="1" t="n"/>
      <c r="B49" s="6" t="n"/>
      <c r="C49" s="26" t="n"/>
      <c r="D49" s="26" t="n"/>
      <c r="E49" s="26" t="n"/>
      <c r="F49" s="27" t="n"/>
      <c r="G49" s="26" t="n"/>
      <c r="H49" s="1" t="n"/>
      <c r="I49" s="1" t="n"/>
      <c r="J49" s="1" t="n"/>
      <c r="K49" s="1" t="n"/>
      <c r="L49" s="1" t="n"/>
      <c r="M49" s="1" t="n"/>
    </row>
    <row r="50">
      <c r="A50" s="1" t="n"/>
      <c r="B50" s="6" t="n"/>
      <c r="C50" s="26" t="n"/>
      <c r="D50" s="26" t="n"/>
      <c r="E50" s="26" t="n"/>
      <c r="F50" s="27" t="n"/>
      <c r="G50" s="26" t="n"/>
      <c r="H50" s="1" t="n"/>
      <c r="I50" s="1" t="n"/>
      <c r="J50" s="1" t="n"/>
      <c r="K50" s="1" t="n"/>
      <c r="L50" s="1" t="n"/>
      <c r="M50" s="1" t="n"/>
    </row>
    <row r="51">
      <c r="A51" s="1" t="n"/>
      <c r="B51" s="6" t="n"/>
      <c r="C51" s="26" t="n"/>
      <c r="D51" s="26" t="n"/>
      <c r="E51" s="26" t="n"/>
      <c r="F51" s="27" t="n"/>
      <c r="G51" s="26" t="n"/>
      <c r="H51" s="1" t="n"/>
      <c r="I51" s="1" t="n"/>
      <c r="J51" s="1" t="n"/>
      <c r="K51" s="1" t="n"/>
      <c r="L51" s="1" t="n"/>
      <c r="M51" s="1" t="n"/>
    </row>
    <row r="52">
      <c r="A52" s="1" t="n"/>
      <c r="B52" s="6" t="n"/>
      <c r="C52" s="26" t="n"/>
      <c r="D52" s="26" t="n"/>
      <c r="E52" s="26" t="n"/>
      <c r="F52" s="27" t="n"/>
      <c r="G52" s="26" t="n"/>
      <c r="H52" s="1" t="n"/>
      <c r="I52" s="1" t="n"/>
      <c r="J52" s="1" t="n"/>
      <c r="K52" s="1" t="n"/>
      <c r="L52" s="1" t="n"/>
      <c r="M52" s="1" t="n"/>
    </row>
    <row r="53">
      <c r="A53" s="1" t="n"/>
      <c r="B53" s="6" t="n"/>
      <c r="C53" s="26" t="n"/>
      <c r="D53" s="26" t="n"/>
      <c r="E53" s="26" t="n"/>
      <c r="F53" s="27" t="n"/>
      <c r="G53" s="26" t="n"/>
      <c r="H53" s="1" t="n"/>
      <c r="I53" s="1" t="n"/>
      <c r="J53" s="1" t="n"/>
      <c r="K53" s="1" t="n"/>
      <c r="L53" s="1" t="n"/>
      <c r="M53" s="1" t="n"/>
    </row>
    <row r="54">
      <c r="A54" s="1" t="n"/>
      <c r="B54" s="6" t="n"/>
      <c r="C54" s="26" t="n"/>
      <c r="D54" s="26" t="n"/>
      <c r="E54" s="26" t="n"/>
      <c r="F54" s="27" t="n"/>
      <c r="G54" s="26" t="n"/>
      <c r="H54" s="1" t="n"/>
      <c r="I54" s="1" t="n"/>
      <c r="J54" s="1" t="n"/>
      <c r="K54" s="1" t="n"/>
      <c r="L54" s="1" t="n"/>
      <c r="M54" s="1" t="n"/>
    </row>
    <row r="55">
      <c r="A55" s="1" t="n"/>
      <c r="B55" s="6" t="n"/>
      <c r="C55" s="26" t="n"/>
      <c r="D55" s="26" t="n"/>
      <c r="E55" s="26" t="n"/>
      <c r="F55" s="27" t="n"/>
      <c r="G55" s="26" t="n"/>
      <c r="H55" s="1" t="n"/>
      <c r="I55" s="1" t="n"/>
      <c r="J55" s="1" t="n"/>
      <c r="K55" s="1" t="n"/>
      <c r="L55" s="1" t="n"/>
      <c r="M55" s="1" t="n"/>
    </row>
    <row r="56">
      <c r="A56" s="1" t="n"/>
      <c r="B56" s="6" t="n"/>
      <c r="C56" s="26" t="n"/>
      <c r="D56" s="26" t="n"/>
      <c r="E56" s="26" t="n"/>
      <c r="F56" s="27" t="n"/>
      <c r="G56" s="26" t="n"/>
      <c r="H56" s="1" t="n"/>
      <c r="I56" s="1" t="n"/>
      <c r="J56" s="1" t="n"/>
      <c r="K56" s="1" t="n"/>
      <c r="L56" s="1" t="n"/>
      <c r="M56" s="1" t="n"/>
    </row>
    <row r="57">
      <c r="A57" s="1" t="n"/>
      <c r="B57" s="6" t="n"/>
      <c r="C57" s="26" t="n"/>
      <c r="D57" s="26" t="n"/>
      <c r="E57" s="26" t="n"/>
      <c r="F57" s="27" t="n"/>
      <c r="G57" s="26" t="n"/>
      <c r="H57" s="1" t="n"/>
      <c r="I57" s="1" t="n"/>
      <c r="J57" s="1" t="n"/>
      <c r="K57" s="1" t="n"/>
      <c r="L57" s="1" t="n"/>
      <c r="M57" s="1" t="n"/>
    </row>
    <row r="58">
      <c r="A58" s="1" t="n"/>
      <c r="B58" s="6" t="n"/>
      <c r="C58" s="26" t="n"/>
      <c r="D58" s="26" t="n"/>
      <c r="E58" s="26" t="n"/>
      <c r="F58" s="27" t="n"/>
      <c r="G58" s="26" t="n"/>
      <c r="H58" s="1" t="n"/>
      <c r="I58" s="1" t="n"/>
      <c r="J58" s="1" t="n"/>
      <c r="K58" s="1" t="n"/>
      <c r="L58" s="1" t="n"/>
      <c r="M58" s="1" t="n"/>
    </row>
    <row r="59">
      <c r="A59" s="1" t="n"/>
      <c r="B59" s="6" t="n"/>
      <c r="C59" s="26" t="n"/>
      <c r="D59" s="26" t="n"/>
      <c r="E59" s="26" t="n"/>
      <c r="F59" s="27" t="n"/>
      <c r="G59" s="26" t="n"/>
      <c r="H59" s="1" t="n"/>
      <c r="I59" s="1" t="n"/>
      <c r="J59" s="1" t="n"/>
      <c r="K59" s="1" t="n"/>
      <c r="L59" s="1" t="n"/>
      <c r="M59" s="1" t="n"/>
    </row>
    <row r="60">
      <c r="A60" s="1" t="n"/>
      <c r="B60" s="6" t="n"/>
      <c r="C60" s="26" t="n"/>
      <c r="D60" s="26" t="n"/>
      <c r="E60" s="26" t="n"/>
      <c r="F60" s="27" t="n"/>
      <c r="G60" s="26" t="n"/>
      <c r="H60" s="1" t="n"/>
      <c r="I60" s="1" t="n"/>
      <c r="J60" s="1" t="n"/>
      <c r="K60" s="1" t="n"/>
      <c r="L60" s="1" t="n"/>
      <c r="M60" s="1" t="n"/>
    </row>
    <row r="61">
      <c r="A61" s="1" t="n"/>
      <c r="B61" s="6" t="n"/>
      <c r="C61" s="26" t="n"/>
      <c r="D61" s="26" t="n"/>
      <c r="E61" s="26" t="n"/>
      <c r="F61" s="27" t="n"/>
      <c r="G61" s="26" t="n"/>
      <c r="H61" s="1" t="n"/>
      <c r="I61" s="1" t="n"/>
      <c r="J61" s="1" t="n"/>
      <c r="K61" s="1" t="n"/>
      <c r="L61" s="1" t="n"/>
      <c r="M61" s="1" t="n"/>
    </row>
    <row r="62">
      <c r="A62" s="1" t="n"/>
      <c r="B62" s="6" t="n"/>
      <c r="C62" s="26" t="n"/>
      <c r="D62" s="26" t="n"/>
      <c r="E62" s="26" t="n"/>
      <c r="F62" s="27" t="n"/>
      <c r="G62" s="26" t="n"/>
      <c r="H62" s="1" t="n"/>
      <c r="I62" s="1" t="n"/>
      <c r="J62" s="1" t="n"/>
      <c r="K62" s="1" t="n"/>
      <c r="L62" s="1" t="n"/>
      <c r="M62" s="1" t="n"/>
    </row>
    <row r="63">
      <c r="A63" s="1" t="n"/>
      <c r="B63" s="6" t="n"/>
      <c r="C63" s="26" t="n"/>
      <c r="D63" s="26" t="n"/>
      <c r="E63" s="26" t="n"/>
      <c r="F63" s="27" t="n"/>
      <c r="G63" s="26" t="n"/>
      <c r="H63" s="1" t="n"/>
      <c r="I63" s="1" t="n"/>
      <c r="J63" s="1" t="n"/>
      <c r="K63" s="1" t="n"/>
      <c r="L63" s="1" t="n"/>
      <c r="M63" s="1" t="n"/>
    </row>
    <row r="64">
      <c r="A64" s="1" t="n"/>
      <c r="B64" s="6" t="n"/>
      <c r="C64" s="26" t="n"/>
      <c r="D64" s="26" t="n"/>
      <c r="E64" s="26" t="n"/>
      <c r="F64" s="27" t="n"/>
      <c r="G64" s="26" t="n"/>
      <c r="H64" s="1" t="n"/>
      <c r="I64" s="1" t="n"/>
      <c r="J64" s="1" t="n"/>
      <c r="K64" s="1" t="n"/>
      <c r="L64" s="1" t="n"/>
      <c r="M64" s="1" t="n"/>
    </row>
    <row r="65">
      <c r="A65" s="1" t="n"/>
      <c r="B65" s="6" t="n"/>
      <c r="C65" s="26" t="n"/>
      <c r="D65" s="26" t="n"/>
      <c r="E65" s="26" t="n"/>
      <c r="F65" s="27" t="n"/>
      <c r="G65" s="26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</sheetData>
  <conditionalFormatting sqref="B6:G65">
    <cfRule type="expression" priority="1" dxfId="4">
      <formula>$F6&lt;&gt;""</formula>
    </cfRule>
  </conditionalFormatting>
  <conditionalFormatting sqref="F6:F65">
    <cfRule type="expression" priority="2" dxfId="3">
      <formula>F6&lt;&gt;""</formula>
    </cfRule>
  </conditionalFormatting>
  <dataValidations count="1">
    <dataValidation sqref="C6:C65" showDropDown="0" showInputMessage="0" showErrorMessage="0" allowBlank="1" type="list">
      <formula1>"Money,Work,Health,Home,Government,Post,Subscriptions,People,Other"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" customWidth="1" min="3" max="3"/>
    <col width="60" customWidth="1" min="4" max="4"/>
  </cols>
  <sheetData>
    <row r="1">
      <c r="A1" s="1" t="n"/>
      <c r="B1" s="1" t="n"/>
      <c r="C1" s="1" t="n"/>
      <c r="D1" s="1" t="n"/>
      <c r="E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</row>
    <row r="3">
      <c r="A3" s="1" t="n"/>
      <c r="B3" s="3" t="inlineStr">
        <is>
          <t>The rooms of the home you are leaving, for the boxes and the Dashboard.</t>
        </is>
      </c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 ht="30" customHeight="1">
      <c r="A5" s="1" t="n"/>
      <c r="B5" s="14" t="inlineStr">
        <is>
          <t>Rooms</t>
        </is>
      </c>
      <c r="C5" s="1" t="n"/>
      <c r="D5" s="1" t="n"/>
      <c r="E5" s="1" t="n"/>
    </row>
    <row r="6">
      <c r="A6" s="1" t="n"/>
      <c r="B6" s="6" t="inlineStr">
        <is>
          <t>Kitchen</t>
        </is>
      </c>
      <c r="C6" s="1" t="n"/>
      <c r="D6" s="34" t="inlineStr">
        <is>
          <t>The Dashboard counts the boxes of each room on this list.</t>
        </is>
      </c>
      <c r="E6" s="1" t="n"/>
    </row>
    <row r="7">
      <c r="A7" s="1" t="n"/>
      <c r="B7" s="6" t="inlineStr">
        <is>
          <t>Living room</t>
        </is>
      </c>
      <c r="C7" s="1" t="n"/>
      <c r="D7" s="1" t="n"/>
      <c r="E7" s="1" t="n"/>
    </row>
    <row r="8">
      <c r="A8" s="1" t="n"/>
      <c r="B8" s="6" t="inlineStr">
        <is>
          <t>Bedroom</t>
        </is>
      </c>
      <c r="C8" s="1" t="n"/>
      <c r="D8" s="1" t="n"/>
      <c r="E8" s="1" t="n"/>
    </row>
    <row r="9">
      <c r="A9" s="1" t="n"/>
      <c r="B9" s="6" t="inlineStr">
        <is>
          <t>Kids room</t>
        </is>
      </c>
      <c r="C9" s="1" t="n"/>
      <c r="D9" s="1" t="n"/>
      <c r="E9" s="1" t="n"/>
    </row>
    <row r="10">
      <c r="A10" s="1" t="n"/>
      <c r="B10" s="6" t="inlineStr">
        <is>
          <t>Bathroom</t>
        </is>
      </c>
      <c r="C10" s="1" t="n"/>
      <c r="D10" s="1" t="n"/>
      <c r="E10" s="1" t="n"/>
    </row>
    <row r="11">
      <c r="A11" s="1" t="n"/>
      <c r="B11" s="6" t="inlineStr">
        <is>
          <t>Office</t>
        </is>
      </c>
      <c r="C11" s="1" t="n"/>
      <c r="D11" s="1" t="n"/>
      <c r="E11" s="1" t="n"/>
    </row>
    <row r="12">
      <c r="A12" s="1" t="n"/>
      <c r="B12" s="6" t="inlineStr">
        <is>
          <t>Hallway</t>
        </is>
      </c>
      <c r="C12" s="1" t="n"/>
      <c r="D12" s="1" t="n"/>
      <c r="E12" s="1" t="n"/>
    </row>
    <row r="13">
      <c r="A13" s="1" t="n"/>
      <c r="B13" s="6" t="inlineStr">
        <is>
          <t>Garage</t>
        </is>
      </c>
      <c r="C13" s="1" t="n"/>
      <c r="D13" s="1" t="n"/>
      <c r="E13" s="1" t="n"/>
    </row>
    <row r="14">
      <c r="A14" s="1" t="n"/>
      <c r="B14" s="6" t="n"/>
      <c r="C14" s="1" t="n"/>
      <c r="D14" s="1" t="n"/>
      <c r="E14" s="1" t="n"/>
    </row>
    <row r="15">
      <c r="A15" s="1" t="n"/>
      <c r="B15" s="6" t="n"/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5" t="inlineStr">
        <is>
          <t>1</t>
        </is>
      </c>
      <c r="C5" s="36" t="inlineStr">
        <is>
          <t>Dashboard: moving day, the new home and your budget. Settings: the rooms of the home you leave.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5" t="inlineStr">
        <is>
          <t>2</t>
        </is>
      </c>
      <c r="C7" s="36" t="inlineStr">
        <is>
          <t>Tasks: a checklist is ready, counted back from moving day. Put an x under Done as you go.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5" t="inlineStr">
        <is>
          <t>3</t>
        </is>
      </c>
      <c r="C9" s="36" t="inlineStr">
        <is>
          <t>Boxes: write a number on each box and one line here. Put an x when it is packed and when it arrives.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5" t="inlineStr">
        <is>
          <t>4</t>
        </is>
      </c>
      <c r="C11" s="36" t="inlineStr">
        <is>
          <t>Movers and Costs: compare the quotes, then note what you book, what you paid and when the rest is due.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5" t="inlineStr">
        <is>
          <t>5</t>
        </is>
      </c>
      <c r="C13" s="36" t="inlineStr">
        <is>
          <t>New address: everyone who needs it, with the meter readings to take on moving day.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move, its companies and its places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Change moving day and every task date moves with it.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2026-09-28T15:18:25Z</dcterms:created>
  <dcterms:modified xsi:type="dcterms:W3CDTF">2026-09-28T15:18:25Z</dcterms:modified>
</cp:coreProperties>
</file>