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Bookings" sheetId="3" state="visible" r:id="rId3"/>
    <sheet name="Expenses" sheetId="4" state="visible" r:id="rId4"/>
    <sheet name="Start H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-#,##0.00"/>
  </numFmts>
  <fonts count="13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  <fill>
      <patternFill patternType="solid">
        <fgColor rgb="00FFE2B8"/>
        <bgColor rgb="00FFE2B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/>
    </xf>
    <xf numFmtId="0" fontId="4" fillId="4" borderId="1" pivotButton="0" quotePrefix="0" xfId="0"/>
    <xf numFmtId="0" fontId="0" fillId="0" borderId="4" pivotButton="0" quotePrefix="0" xfId="0"/>
    <xf numFmtId="0" fontId="7" fillId="2" borderId="1" pivotButton="0" quotePrefix="0" xfId="0"/>
    <xf numFmtId="4" fontId="8" fillId="2" borderId="1" pivotButton="0" quotePrefix="0" xfId="0"/>
    <xf numFmtId="4" fontId="9" fillId="2" borderId="1" pivotButton="0" quotePrefix="0" xfId="0"/>
    <xf numFmtId="166" fontId="8" fillId="2" borderId="1" pivotButton="0" quotePrefix="0" xfId="0"/>
    <xf numFmtId="1" fontId="8" fillId="2" borderId="1" pivotButton="0" quotePrefix="0" xfId="0"/>
    <xf numFmtId="9" fontId="8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9" fontId="5" fillId="2" borderId="1" applyAlignment="1" pivotButton="0" quotePrefix="0" xfId="0">
      <alignment horizontal="center" vertical="center"/>
    </xf>
    <xf numFmtId="4" fontId="5" fillId="2" borderId="1" pivotButton="0" quotePrefix="0" xfId="0"/>
    <xf numFmtId="166" fontId="4" fillId="2" borderId="1" pivotButton="0" quotePrefix="0" xfId="0"/>
    <xf numFmtId="0" fontId="5" fillId="5" borderId="1" applyAlignment="1" pivotButton="0" quotePrefix="0" xfId="0">
      <alignment vertical="center"/>
    </xf>
    <xf numFmtId="0" fontId="0" fillId="0" borderId="1" pivotButton="0" quotePrefix="0" xfId="0"/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5" fontId="5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4" fontId="4" fillId="2" borderId="1" pivotButton="0" quotePrefix="0" xfId="0"/>
    <xf numFmtId="0" fontId="4" fillId="2" borderId="1" pivotButton="0" quotePrefix="0" xfId="0"/>
    <xf numFmtId="0" fontId="10" fillId="2" borderId="0" pivotButton="0" quotePrefix="0" xfId="0"/>
    <xf numFmtId="0" fontId="6" fillId="2" borderId="0" pivotButton="0" quotePrefix="0" xfId="0"/>
    <xf numFmtId="0" fontId="5" fillId="4" borderId="1" pivotButton="0" quotePrefix="0" xfId="0"/>
    <xf numFmtId="165" fontId="5" fillId="4" borderId="1" pivotButton="0" quotePrefix="0" xfId="0"/>
    <xf numFmtId="1" fontId="5" fillId="4" borderId="1" applyAlignment="1" pivotButton="0" quotePrefix="0" xfId="0">
      <alignment horizontal="center" vertical="center"/>
    </xf>
    <xf numFmtId="4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6F2F2"/>
          <bgColor rgb="00E6F2F2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b val="1"/>
      </font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  <dxf>
      <font>
        <name val="Arial"/>
        <b val="1"/>
      </font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and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'Dashboard'!$E$10:$E$21</f>
            </numRef>
          </val>
        </ser>
        <ser>
          <idx val="1"/>
          <order val="1"/>
          <tx>
            <strRef>
              <f>'Dashboard'!F9</f>
            </strRef>
          </tx>
          <spPr>
            <a:solidFill>
              <a:srgbClr val="E0A21B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3" customWidth="1" min="8" max="8"/>
    <col width="15" customWidth="1" min="9" max="9"/>
    <col width="22" customWidth="1" min="10" max="10"/>
    <col width="20" customWidth="1" min="11" max="11"/>
    <col width="3" customWidth="1" min="12" max="12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>
        <f>IF($C$4&lt;YEAR(TODAY()),12,IF($C$4&gt;YEAR(TODAY()),0,MONTH(TODAY())))</f>
        <v/>
      </c>
    </row>
    <row r="2" ht="32" customHeight="1">
      <c r="A2" s="1" t="n"/>
      <c r="B2" s="2" t="inlineStr">
        <is>
          <t>Rental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>
        <f>IF($N$1=0,0,DATE($C$4,$N$1+1,1)-DATE($C$4,1,1))</f>
        <v/>
      </c>
    </row>
    <row r="3">
      <c r="A3" s="1" t="n"/>
      <c r="B3" s="3" t="inlineStr">
        <is>
          <t>Pick a year and a property. Nights are counted in the month they fall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4" t="inlineStr">
        <is>
          <t>Year</t>
        </is>
      </c>
      <c r="C4" s="5" t="n">
        <v>2026</v>
      </c>
      <c r="D4" s="6" t="inlineStr">
        <is>
          <t>Property</t>
        </is>
      </c>
      <c r="E4" s="7" t="inlineStr">
        <is>
          <t>All properties</t>
        </is>
      </c>
      <c r="F4" s="8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9" t="inlineStr">
        <is>
          <t>Revenue</t>
        </is>
      </c>
      <c r="C6" s="9" t="inlineStr">
        <is>
          <t>Expenses</t>
        </is>
      </c>
      <c r="D6" s="9" t="inlineStr">
        <is>
          <t>Profit</t>
        </is>
      </c>
      <c r="E6" s="9" t="inlineStr">
        <is>
          <t>Nights booked</t>
        </is>
      </c>
      <c r="F6" s="9" t="inlineStr">
        <is>
          <t>Occupancy to date</t>
        </is>
      </c>
      <c r="G6" s="9" t="inlineStr">
        <is>
          <t>Nightly rate</t>
        </is>
      </c>
      <c r="H6" s="1" t="n"/>
      <c r="I6" s="1" t="n"/>
      <c r="J6" s="1" t="n"/>
      <c r="K6" s="1" t="n"/>
      <c r="L6" s="1" t="n"/>
      <c r="M6" s="1" t="n"/>
    </row>
    <row r="7" ht="34" customHeight="1">
      <c r="A7" s="1" t="n"/>
      <c r="B7" s="10">
        <f>IF(Dashboard!$E$4="All properties",SUM(Bookings!$AF$6:$AF$505),SUMIFS(Bookings!$AF$6:$AF$505,Bookings!$B$6:$B$505,$E$4))</f>
        <v/>
      </c>
      <c r="C7" s="11">
        <f>IF(Dashboard!$E$4="All properties",SUMIFS(Expenses!$E$6:$E$505,Expenses!$B$6:$B$505,"&gt;="&amp;DATE($C$4,1,1),Expenses!$B$6:$B$505,"&lt;="&amp;DATE($C$4,12,31)),SUMIFS(Expenses!$E$6:$E$505,Expenses!$B$6:$B$505,"&gt;="&amp;DATE($C$4,1,1),Expenses!$B$6:$B$505,"&lt;="&amp;DATE($C$4,12,31),Expenses!$C$6:$C$505,$E$4))</f>
        <v/>
      </c>
      <c r="D7" s="12">
        <f>B7-C7</f>
        <v/>
      </c>
      <c r="E7" s="13">
        <f>IF(Dashboard!$E$4="All properties",SUM(Bookings!$AE$6:$AE$505),SUMIFS(Bookings!$AE$6:$AE$505,Bookings!$B$6:$B$505,$E$4))</f>
        <v/>
      </c>
      <c r="F7" s="14">
        <f>IF(OR($N$2=0,IF(Dashboard!$E$4="All properties",COUNTA(Settings!$B$6:$B$11),1)=0),"",IF(Dashboard!$E$4="All properties",SUM(Bookings!$AH$6:$AH$505),SUMIFS(Bookings!$AH$6:$AH$505,Bookings!$B$6:$B$505,$E$4))/(IF(Dashboard!$E$4="All properties",COUNTA(Settings!$B$6:$B$11),1)*$N$2))</f>
        <v/>
      </c>
      <c r="G7" s="10">
        <f>IF(E7=0,"",IF(Dashboard!$E$4="All properties",SUM(Bookings!$AG$6:$AG$505),SUMIFS(Bookings!$AG$6:$AG$505,Bookings!$B$6:$B$505,$E$4))/E7)</f>
        <v/>
      </c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30" customHeight="1">
      <c r="A9" s="1" t="n"/>
      <c r="B9" s="15" t="inlineStr">
        <is>
          <t>Month</t>
        </is>
      </c>
      <c r="C9" s="15" t="inlineStr">
        <is>
          <t>Nights</t>
        </is>
      </c>
      <c r="D9" s="15" t="inlineStr">
        <is>
          <t>Occupancy</t>
        </is>
      </c>
      <c r="E9" s="15" t="inlineStr">
        <is>
          <t>Revenue</t>
        </is>
      </c>
      <c r="F9" s="15" t="inlineStr">
        <is>
          <t>Expenses</t>
        </is>
      </c>
      <c r="G9" s="15" t="inlineStr">
        <is>
          <t>Profit</t>
        </is>
      </c>
      <c r="H9" s="1" t="n"/>
      <c r="I9" s="16" t="inlineStr">
        <is>
          <t>Heads-up</t>
        </is>
      </c>
      <c r="L9" s="1" t="n"/>
      <c r="M9" s="1" t="n"/>
    </row>
    <row r="10">
      <c r="A10" s="1" t="n"/>
      <c r="B10" s="17" t="inlineStr">
        <is>
          <t>Jan</t>
        </is>
      </c>
      <c r="C10" s="18">
        <f>IF(Dashboard!$E$4="All properties",SUM(Bookings!$S$6:$S$505),SUMIFS(Bookings!$S$6:$S$505,Bookings!$B$6:$B$505,$E$4))</f>
        <v/>
      </c>
      <c r="D10" s="19">
        <f>IF($N10=0,"",C10/$N10)</f>
        <v/>
      </c>
      <c r="E10" s="20">
        <f>IF(Dashboard!$E$4="All properties",SUMPRODUCT(Bookings!$S$6:$S$505,Bookings!$Q$6:$Q$505),SUMPRODUCT(Bookings!$S$6:$S$505,Bookings!$Q$6:$Q$505,--(Bookings!$B$6:$B$505=$E$4)))</f>
        <v/>
      </c>
      <c r="F10" s="20">
        <f>IF(Dashboard!$E$4="All properties",SUMIFS(Expenses!$E$6:$E$505,Expenses!$B$6:$B$505,"&gt;="&amp;DATE($C$4,1,1),Expenses!$B$6:$B$505,"&lt;="&amp;EOMONTH(DATE($C$4,1,1),0)),SUMIFS(Expenses!$E$6:$E$505,Expenses!$B$6:$B$505,"&gt;="&amp;DATE($C$4,1,1),Expenses!$B$6:$B$505,"&lt;="&amp;EOMONTH(DATE($C$4,1,1),0),Expenses!$C$6:$C$505,$E$4))</f>
        <v/>
      </c>
      <c r="G10" s="21">
        <f>E10-F10</f>
        <v/>
      </c>
      <c r="H10" s="1" t="n"/>
      <c r="I10" s="22">
        <f>IF(COUNTIFS(Bookings!$E$6:$E$505,"&gt;="&amp;TODAY(),Bookings!$E$6:$E$505,"&lt;="&amp;TODAY()+7)=0,"No check-ins in the next 7 days",IF(COUNTIFS(Bookings!$E$6:$E$505,"&gt;="&amp;TODAY(),Bookings!$E$6:$E$505,"&lt;="&amp;TODAY()+7)=1,"1 check-in",COUNTIFS(Bookings!$E$6:$E$505,"&gt;="&amp;TODAY(),Bookings!$E$6:$E$505,"&lt;="&amp;TODAY()+7)&amp;" check-ins")&amp;" in the next 7 days")</f>
        <v/>
      </c>
      <c r="J10" s="23" t="n"/>
      <c r="K10" s="23" t="n"/>
      <c r="L10" s="1" t="n"/>
      <c r="M10" s="1" t="n"/>
      <c r="N10">
        <f>DAY(EOMONTH(DATE($C$4,1,1),0))*IF(Dashboard!$E$4="All properties",COUNTA(Settings!$B$6:$B$11),1)</f>
        <v/>
      </c>
    </row>
    <row r="11">
      <c r="A11" s="1" t="n"/>
      <c r="B11" s="17" t="inlineStr">
        <is>
          <t>Feb</t>
        </is>
      </c>
      <c r="C11" s="18">
        <f>IF(Dashboard!$E$4="All properties",SUM(Bookings!$T$6:$T$505),SUMIFS(Bookings!$T$6:$T$505,Bookings!$B$6:$B$505,$E$4))</f>
        <v/>
      </c>
      <c r="D11" s="19">
        <f>IF($N11=0,"",C11/$N11)</f>
        <v/>
      </c>
      <c r="E11" s="20">
        <f>IF(Dashboard!$E$4="All properties",SUMPRODUCT(Bookings!$T$6:$T$505,Bookings!$Q$6:$Q$505),SUMPRODUCT(Bookings!$T$6:$T$505,Bookings!$Q$6:$Q$505,--(Bookings!$B$6:$B$505=$E$4)))</f>
        <v/>
      </c>
      <c r="F11" s="20">
        <f>IF(Dashboard!$E$4="All properties",SUMIFS(Expenses!$E$6:$E$505,Expenses!$B$6:$B$505,"&gt;="&amp;DATE($C$4,2,1),Expenses!$B$6:$B$505,"&lt;="&amp;EOMONTH(DATE($C$4,2,1),0)),SUMIFS(Expenses!$E$6:$E$505,Expenses!$B$6:$B$505,"&gt;="&amp;DATE($C$4,2,1),Expenses!$B$6:$B$505,"&lt;="&amp;EOMONTH(DATE($C$4,2,1),0),Expenses!$C$6:$C$505,$E$4))</f>
        <v/>
      </c>
      <c r="G11" s="21">
        <f>E11-F11</f>
        <v/>
      </c>
      <c r="H11" s="1" t="n"/>
      <c r="I11" s="24">
        <f>IF(COUNTIFS(Bookings!$N$6:$N$505,"Staying now")=0,"Nobody is staying right now",IF(COUNTIFS(Bookings!$N$6:$N$505,"Staying now")=1,"1 booking is",COUNTIFS(Bookings!$N$6:$N$505,"Staying now")&amp;" bookings are")&amp;" staying right now")</f>
        <v/>
      </c>
      <c r="J11" s="23" t="n"/>
      <c r="K11" s="23" t="n"/>
      <c r="L11" s="1" t="n"/>
      <c r="M11" s="1" t="n"/>
      <c r="N11">
        <f>DAY(EOMONTH(DATE($C$4,2,1),0))*IF(Dashboard!$E$4="All properties",COUNTA(Settings!$B$6:$B$11),1)</f>
        <v/>
      </c>
    </row>
    <row r="12">
      <c r="A12" s="1" t="n"/>
      <c r="B12" s="17" t="inlineStr">
        <is>
          <t>Mar</t>
        </is>
      </c>
      <c r="C12" s="18">
        <f>IF(Dashboard!$E$4="All properties",SUM(Bookings!$U$6:$U$505),SUMIFS(Bookings!$U$6:$U$505,Bookings!$B$6:$B$505,$E$4))</f>
        <v/>
      </c>
      <c r="D12" s="19">
        <f>IF($N12=0,"",C12/$N12)</f>
        <v/>
      </c>
      <c r="E12" s="20">
        <f>IF(Dashboard!$E$4="All properties",SUMPRODUCT(Bookings!$U$6:$U$505,Bookings!$Q$6:$Q$505),SUMPRODUCT(Bookings!$U$6:$U$505,Bookings!$Q$6:$Q$505,--(Bookings!$B$6:$B$505=$E$4)))</f>
        <v/>
      </c>
      <c r="F12" s="20">
        <f>IF(Dashboard!$E$4="All properties",SUMIFS(Expenses!$E$6:$E$505,Expenses!$B$6:$B$505,"&gt;="&amp;DATE($C$4,3,1),Expenses!$B$6:$B$505,"&lt;="&amp;EOMONTH(DATE($C$4,3,1),0)),SUMIFS(Expenses!$E$6:$E$505,Expenses!$B$6:$B$505,"&gt;="&amp;DATE($C$4,3,1),Expenses!$B$6:$B$505,"&lt;="&amp;EOMONTH(DATE($C$4,3,1),0),Expenses!$C$6:$C$505,$E$4))</f>
        <v/>
      </c>
      <c r="G12" s="21">
        <f>E12-F12</f>
        <v/>
      </c>
      <c r="H12" s="1" t="n"/>
      <c r="I12" s="25">
        <f>IF(COUNTIFS(Bookings!$N$6:$N$505,"Payout not received")=0,"All payouts received",IF(COUNTIFS(Bookings!$N$6:$N$505,"Payout not received")=1,"1 payout",COUNTIFS(Bookings!$N$6:$N$505,"Payout not received")&amp;" payouts")&amp;" not received yet: "&amp;FIXED(SUMIFS(Bookings!$L$6:$L$505,Bookings!$N$6:$N$505,"Payout not received"),2))</f>
        <v/>
      </c>
      <c r="J12" s="23" t="n"/>
      <c r="K12" s="23" t="n"/>
      <c r="L12" s="1" t="n"/>
      <c r="M12" s="1" t="n"/>
      <c r="N12">
        <f>DAY(EOMONTH(DATE($C$4,3,1),0))*IF(Dashboard!$E$4="All properties",COUNTA(Settings!$B$6:$B$11),1)</f>
        <v/>
      </c>
    </row>
    <row r="13">
      <c r="A13" s="1" t="n"/>
      <c r="B13" s="17" t="inlineStr">
        <is>
          <t>Apr</t>
        </is>
      </c>
      <c r="C13" s="18">
        <f>IF(Dashboard!$E$4="All properties",SUM(Bookings!$V$6:$V$505),SUMIFS(Bookings!$V$6:$V$505,Bookings!$B$6:$B$505,$E$4))</f>
        <v/>
      </c>
      <c r="D13" s="19">
        <f>IF($N13=0,"",C13/$N13)</f>
        <v/>
      </c>
      <c r="E13" s="20">
        <f>IF(Dashboard!$E$4="All properties",SUMPRODUCT(Bookings!$V$6:$V$505,Bookings!$Q$6:$Q$505),SUMPRODUCT(Bookings!$V$6:$V$505,Bookings!$Q$6:$Q$505,--(Bookings!$B$6:$B$505=$E$4)))</f>
        <v/>
      </c>
      <c r="F13" s="20">
        <f>IF(Dashboard!$E$4="All properties",SUMIFS(Expenses!$E$6:$E$505,Expenses!$B$6:$B$505,"&gt;="&amp;DATE($C$4,4,1),Expenses!$B$6:$B$505,"&lt;="&amp;EOMONTH(DATE($C$4,4,1),0)),SUMIFS(Expenses!$E$6:$E$505,Expenses!$B$6:$B$505,"&gt;="&amp;DATE($C$4,4,1),Expenses!$B$6:$B$505,"&lt;="&amp;EOMONTH(DATE($C$4,4,1),0),Expenses!$C$6:$C$505,$E$4))</f>
        <v/>
      </c>
      <c r="G13" s="21">
        <f>E13-F13</f>
        <v/>
      </c>
      <c r="H13" s="1" t="n"/>
      <c r="I13" s="22">
        <f>IF(MAX(E10:E21)&lt;=0,"No revenue yet this year","Best month so far: "&amp;INDEX(B10:B21,MATCH(MAX(E10:E21),E10:E21,0)))</f>
        <v/>
      </c>
      <c r="J13" s="23" t="n"/>
      <c r="K13" s="23" t="n"/>
      <c r="L13" s="1" t="n"/>
      <c r="M13" s="1" t="n"/>
      <c r="N13">
        <f>DAY(EOMONTH(DATE($C$4,4,1),0))*IF(Dashboard!$E$4="All properties",COUNTA(Settings!$B$6:$B$11),1)</f>
        <v/>
      </c>
    </row>
    <row r="14">
      <c r="A14" s="1" t="n"/>
      <c r="B14" s="17" t="inlineStr">
        <is>
          <t>May</t>
        </is>
      </c>
      <c r="C14" s="18">
        <f>IF(Dashboard!$E$4="All properties",SUM(Bookings!$W$6:$W$505),SUMIFS(Bookings!$W$6:$W$505,Bookings!$B$6:$B$505,$E$4))</f>
        <v/>
      </c>
      <c r="D14" s="19">
        <f>IF($N14=0,"",C14/$N14)</f>
        <v/>
      </c>
      <c r="E14" s="20">
        <f>IF(Dashboard!$E$4="All properties",SUMPRODUCT(Bookings!$W$6:$W$505,Bookings!$Q$6:$Q$505),SUMPRODUCT(Bookings!$W$6:$W$505,Bookings!$Q$6:$Q$505,--(Bookings!$B$6:$B$505=$E$4)))</f>
        <v/>
      </c>
      <c r="F14" s="20">
        <f>IF(Dashboard!$E$4="All properties",SUMIFS(Expenses!$E$6:$E$505,Expenses!$B$6:$B$505,"&gt;="&amp;DATE($C$4,5,1),Expenses!$B$6:$B$505,"&lt;="&amp;EOMONTH(DATE($C$4,5,1),0)),SUMIFS(Expenses!$E$6:$E$505,Expenses!$B$6:$B$505,"&gt;="&amp;DATE($C$4,5,1),Expenses!$B$6:$B$505,"&lt;="&amp;EOMONTH(DATE($C$4,5,1),0),Expenses!$C$6:$C$505,$E$4))</f>
        <v/>
      </c>
      <c r="G14" s="21">
        <f>E14-F14</f>
        <v/>
      </c>
      <c r="H14" s="1" t="n"/>
      <c r="I14" s="1" t="n"/>
      <c r="J14" s="1" t="n"/>
      <c r="K14" s="1" t="n"/>
      <c r="L14" s="1" t="n"/>
      <c r="M14" s="1" t="n"/>
      <c r="N14">
        <f>DAY(EOMONTH(DATE($C$4,5,1),0))*IF(Dashboard!$E$4="All properties",COUNTA(Settings!$B$6:$B$11),1)</f>
        <v/>
      </c>
    </row>
    <row r="15">
      <c r="A15" s="1" t="n"/>
      <c r="B15" s="17" t="inlineStr">
        <is>
          <t>Jun</t>
        </is>
      </c>
      <c r="C15" s="18">
        <f>IF(Dashboard!$E$4="All properties",SUM(Bookings!$X$6:$X$505),SUMIFS(Bookings!$X$6:$X$505,Bookings!$B$6:$B$505,$E$4))</f>
        <v/>
      </c>
      <c r="D15" s="19">
        <f>IF($N15=0,"",C15/$N15)</f>
        <v/>
      </c>
      <c r="E15" s="20">
        <f>IF(Dashboard!$E$4="All properties",SUMPRODUCT(Bookings!$X$6:$X$505,Bookings!$Q$6:$Q$505),SUMPRODUCT(Bookings!$X$6:$X$505,Bookings!$Q$6:$Q$505,--(Bookings!$B$6:$B$505=$E$4)))</f>
        <v/>
      </c>
      <c r="F15" s="20">
        <f>IF(Dashboard!$E$4="All properties",SUMIFS(Expenses!$E$6:$E$505,Expenses!$B$6:$B$505,"&gt;="&amp;DATE($C$4,6,1),Expenses!$B$6:$B$505,"&lt;="&amp;EOMONTH(DATE($C$4,6,1),0)),SUMIFS(Expenses!$E$6:$E$505,Expenses!$B$6:$B$505,"&gt;="&amp;DATE($C$4,6,1),Expenses!$B$6:$B$505,"&lt;="&amp;EOMONTH(DATE($C$4,6,1),0),Expenses!$C$6:$C$505,$E$4))</f>
        <v/>
      </c>
      <c r="G15" s="21">
        <f>E15-F15</f>
        <v/>
      </c>
      <c r="H15" s="1" t="n"/>
      <c r="I15" s="15" t="inlineStr">
        <is>
          <t>Next check-ins</t>
        </is>
      </c>
      <c r="J15" s="15" t="inlineStr">
        <is>
          <t>Property</t>
        </is>
      </c>
      <c r="K15" s="15" t="inlineStr">
        <is>
          <t>Guest</t>
        </is>
      </c>
      <c r="L15" s="1" t="n"/>
      <c r="M15" s="1" t="n"/>
      <c r="N15">
        <f>DAY(EOMONTH(DATE($C$4,6,1),0))*IF(Dashboard!$E$4="All properties",COUNTA(Settings!$B$6:$B$11),1)</f>
        <v/>
      </c>
    </row>
    <row r="16">
      <c r="A16" s="1" t="n"/>
      <c r="B16" s="17" t="inlineStr">
        <is>
          <t>Jul</t>
        </is>
      </c>
      <c r="C16" s="18">
        <f>IF(Dashboard!$E$4="All properties",SUM(Bookings!$Y$6:$Y$505),SUMIFS(Bookings!$Y$6:$Y$505,Bookings!$B$6:$B$505,$E$4))</f>
        <v/>
      </c>
      <c r="D16" s="19">
        <f>IF($N16=0,"",C16/$N16)</f>
        <v/>
      </c>
      <c r="E16" s="20">
        <f>IF(Dashboard!$E$4="All properties",SUMPRODUCT(Bookings!$Y$6:$Y$505,Bookings!$Q$6:$Q$505),SUMPRODUCT(Bookings!$Y$6:$Y$505,Bookings!$Q$6:$Q$505,--(Bookings!$B$6:$B$505=$E$4)))</f>
        <v/>
      </c>
      <c r="F16" s="20">
        <f>IF(Dashboard!$E$4="All properties",SUMIFS(Expenses!$E$6:$E$505,Expenses!$B$6:$B$505,"&gt;="&amp;DATE($C$4,7,1),Expenses!$B$6:$B$505,"&lt;="&amp;EOMONTH(DATE($C$4,7,1),0)),SUMIFS(Expenses!$E$6:$E$505,Expenses!$B$6:$B$505,"&gt;="&amp;DATE($C$4,7,1),Expenses!$B$6:$B$505,"&lt;="&amp;EOMONTH(DATE($C$4,7,1),0),Expenses!$C$6:$C$505,$E$4))</f>
        <v/>
      </c>
      <c r="G16" s="21">
        <f>E16-F16</f>
        <v/>
      </c>
      <c r="H16" s="1" t="n"/>
      <c r="I16" s="26">
        <f>IF($M16="","",INT($M16))</f>
        <v/>
      </c>
      <c r="J16" s="27">
        <f>IF($M16="","",INDEX(Bookings!$B$6:$B$505,MATCH($M16,Bookings!$AI$6:$AI$505,0)))</f>
        <v/>
      </c>
      <c r="K16" s="28">
        <f>IF($M16="","",INDEX(Bookings!$C$6:$C$505,MATCH($M16,Bookings!$AI$6:$AI$505,0)))</f>
        <v/>
      </c>
      <c r="L16" s="1" t="n"/>
      <c r="M16" s="1">
        <f>IFERROR(SMALL(Bookings!$AI$6:$AI$505,1),"")</f>
        <v/>
      </c>
      <c r="N16">
        <f>DAY(EOMONTH(DATE($C$4,7,1),0))*IF(Dashboard!$E$4="All properties",COUNTA(Settings!$B$6:$B$11),1)</f>
        <v/>
      </c>
    </row>
    <row r="17">
      <c r="A17" s="1" t="n"/>
      <c r="B17" s="17" t="inlineStr">
        <is>
          <t>Aug</t>
        </is>
      </c>
      <c r="C17" s="18">
        <f>IF(Dashboard!$E$4="All properties",SUM(Bookings!$Z$6:$Z$505),SUMIFS(Bookings!$Z$6:$Z$505,Bookings!$B$6:$B$505,$E$4))</f>
        <v/>
      </c>
      <c r="D17" s="19">
        <f>IF($N17=0,"",C17/$N17)</f>
        <v/>
      </c>
      <c r="E17" s="20">
        <f>IF(Dashboard!$E$4="All properties",SUMPRODUCT(Bookings!$Z$6:$Z$505,Bookings!$Q$6:$Q$505),SUMPRODUCT(Bookings!$Z$6:$Z$505,Bookings!$Q$6:$Q$505,--(Bookings!$B$6:$B$505=$E$4)))</f>
        <v/>
      </c>
      <c r="F17" s="20">
        <f>IF(Dashboard!$E$4="All properties",SUMIFS(Expenses!$E$6:$E$505,Expenses!$B$6:$B$505,"&gt;="&amp;DATE($C$4,8,1),Expenses!$B$6:$B$505,"&lt;="&amp;EOMONTH(DATE($C$4,8,1),0)),SUMIFS(Expenses!$E$6:$E$505,Expenses!$B$6:$B$505,"&gt;="&amp;DATE($C$4,8,1),Expenses!$B$6:$B$505,"&lt;="&amp;EOMONTH(DATE($C$4,8,1),0),Expenses!$C$6:$C$505,$E$4))</f>
        <v/>
      </c>
      <c r="G17" s="21">
        <f>E17-F17</f>
        <v/>
      </c>
      <c r="H17" s="1" t="n"/>
      <c r="I17" s="26">
        <f>IF($M17="","",INT($M17))</f>
        <v/>
      </c>
      <c r="J17" s="27">
        <f>IF($M17="","",INDEX(Bookings!$B$6:$B$505,MATCH($M17,Bookings!$AI$6:$AI$505,0)))</f>
        <v/>
      </c>
      <c r="K17" s="28">
        <f>IF($M17="","",INDEX(Bookings!$C$6:$C$505,MATCH($M17,Bookings!$AI$6:$AI$505,0)))</f>
        <v/>
      </c>
      <c r="L17" s="1" t="n"/>
      <c r="M17" s="1">
        <f>IFERROR(SMALL(Bookings!$AI$6:$AI$505,2),"")</f>
        <v/>
      </c>
      <c r="N17">
        <f>DAY(EOMONTH(DATE($C$4,8,1),0))*IF(Dashboard!$E$4="All properties",COUNTA(Settings!$B$6:$B$11),1)</f>
        <v/>
      </c>
    </row>
    <row r="18">
      <c r="A18" s="1" t="n"/>
      <c r="B18" s="17" t="inlineStr">
        <is>
          <t>Sep</t>
        </is>
      </c>
      <c r="C18" s="18">
        <f>IF(Dashboard!$E$4="All properties",SUM(Bookings!$AA$6:$AA$505),SUMIFS(Bookings!$AA$6:$AA$505,Bookings!$B$6:$B$505,$E$4))</f>
        <v/>
      </c>
      <c r="D18" s="19">
        <f>IF($N18=0,"",C18/$N18)</f>
        <v/>
      </c>
      <c r="E18" s="20">
        <f>IF(Dashboard!$E$4="All properties",SUMPRODUCT(Bookings!$AA$6:$AA$505,Bookings!$Q$6:$Q$505),SUMPRODUCT(Bookings!$AA$6:$AA$505,Bookings!$Q$6:$Q$505,--(Bookings!$B$6:$B$505=$E$4)))</f>
        <v/>
      </c>
      <c r="F18" s="20">
        <f>IF(Dashboard!$E$4="All properties",SUMIFS(Expenses!$E$6:$E$505,Expenses!$B$6:$B$505,"&gt;="&amp;DATE($C$4,9,1),Expenses!$B$6:$B$505,"&lt;="&amp;EOMONTH(DATE($C$4,9,1),0)),SUMIFS(Expenses!$E$6:$E$505,Expenses!$B$6:$B$505,"&gt;="&amp;DATE($C$4,9,1),Expenses!$B$6:$B$505,"&lt;="&amp;EOMONTH(DATE($C$4,9,1),0),Expenses!$C$6:$C$505,$E$4))</f>
        <v/>
      </c>
      <c r="G18" s="21">
        <f>E18-F18</f>
        <v/>
      </c>
      <c r="H18" s="1" t="n"/>
      <c r="I18" s="26">
        <f>IF($M18="","",INT($M18))</f>
        <v/>
      </c>
      <c r="J18" s="27">
        <f>IF($M18="","",INDEX(Bookings!$B$6:$B$505,MATCH($M18,Bookings!$AI$6:$AI$505,0)))</f>
        <v/>
      </c>
      <c r="K18" s="28">
        <f>IF($M18="","",INDEX(Bookings!$C$6:$C$505,MATCH($M18,Bookings!$AI$6:$AI$505,0)))</f>
        <v/>
      </c>
      <c r="L18" s="1" t="n"/>
      <c r="M18" s="1">
        <f>IFERROR(SMALL(Bookings!$AI$6:$AI$505,3),"")</f>
        <v/>
      </c>
      <c r="N18">
        <f>DAY(EOMONTH(DATE($C$4,9,1),0))*IF(Dashboard!$E$4="All properties",COUNTA(Settings!$B$6:$B$11),1)</f>
        <v/>
      </c>
    </row>
    <row r="19">
      <c r="A19" s="1" t="n"/>
      <c r="B19" s="17" t="inlineStr">
        <is>
          <t>Oct</t>
        </is>
      </c>
      <c r="C19" s="18">
        <f>IF(Dashboard!$E$4="All properties",SUM(Bookings!$AB$6:$AB$505),SUMIFS(Bookings!$AB$6:$AB$505,Bookings!$B$6:$B$505,$E$4))</f>
        <v/>
      </c>
      <c r="D19" s="19">
        <f>IF($N19=0,"",C19/$N19)</f>
        <v/>
      </c>
      <c r="E19" s="20">
        <f>IF(Dashboard!$E$4="All properties",SUMPRODUCT(Bookings!$AB$6:$AB$505,Bookings!$Q$6:$Q$505),SUMPRODUCT(Bookings!$AB$6:$AB$505,Bookings!$Q$6:$Q$505,--(Bookings!$B$6:$B$505=$E$4)))</f>
        <v/>
      </c>
      <c r="F19" s="20">
        <f>IF(Dashboard!$E$4="All properties",SUMIFS(Expenses!$E$6:$E$505,Expenses!$B$6:$B$505,"&gt;="&amp;DATE($C$4,10,1),Expenses!$B$6:$B$505,"&lt;="&amp;EOMONTH(DATE($C$4,10,1),0)),SUMIFS(Expenses!$E$6:$E$505,Expenses!$B$6:$B$505,"&gt;="&amp;DATE($C$4,10,1),Expenses!$B$6:$B$505,"&lt;="&amp;EOMONTH(DATE($C$4,10,1),0),Expenses!$C$6:$C$505,$E$4))</f>
        <v/>
      </c>
      <c r="G19" s="21">
        <f>E19-F19</f>
        <v/>
      </c>
      <c r="H19" s="1" t="n"/>
      <c r="I19" s="26">
        <f>IF($M19="","",INT($M19))</f>
        <v/>
      </c>
      <c r="J19" s="27">
        <f>IF($M19="","",INDEX(Bookings!$B$6:$B$505,MATCH($M19,Bookings!$AI$6:$AI$505,0)))</f>
        <v/>
      </c>
      <c r="K19" s="28">
        <f>IF($M19="","",INDEX(Bookings!$C$6:$C$505,MATCH($M19,Bookings!$AI$6:$AI$505,0)))</f>
        <v/>
      </c>
      <c r="L19" s="1" t="n"/>
      <c r="M19" s="1">
        <f>IFERROR(SMALL(Bookings!$AI$6:$AI$505,4),"")</f>
        <v/>
      </c>
      <c r="N19">
        <f>DAY(EOMONTH(DATE($C$4,10,1),0))*IF(Dashboard!$E$4="All properties",COUNTA(Settings!$B$6:$B$11),1)</f>
        <v/>
      </c>
    </row>
    <row r="20">
      <c r="A20" s="1" t="n"/>
      <c r="B20" s="17" t="inlineStr">
        <is>
          <t>Nov</t>
        </is>
      </c>
      <c r="C20" s="18">
        <f>IF(Dashboard!$E$4="All properties",SUM(Bookings!$AC$6:$AC$505),SUMIFS(Bookings!$AC$6:$AC$505,Bookings!$B$6:$B$505,$E$4))</f>
        <v/>
      </c>
      <c r="D20" s="19">
        <f>IF($N20=0,"",C20/$N20)</f>
        <v/>
      </c>
      <c r="E20" s="20">
        <f>IF(Dashboard!$E$4="All properties",SUMPRODUCT(Bookings!$AC$6:$AC$505,Bookings!$Q$6:$Q$505),SUMPRODUCT(Bookings!$AC$6:$AC$505,Bookings!$Q$6:$Q$505,--(Bookings!$B$6:$B$505=$E$4)))</f>
        <v/>
      </c>
      <c r="F20" s="20">
        <f>IF(Dashboard!$E$4="All properties",SUMIFS(Expenses!$E$6:$E$505,Expenses!$B$6:$B$505,"&gt;="&amp;DATE($C$4,11,1),Expenses!$B$6:$B$505,"&lt;="&amp;EOMONTH(DATE($C$4,11,1),0)),SUMIFS(Expenses!$E$6:$E$505,Expenses!$B$6:$B$505,"&gt;="&amp;DATE($C$4,11,1),Expenses!$B$6:$B$505,"&lt;="&amp;EOMONTH(DATE($C$4,11,1),0),Expenses!$C$6:$C$505,$E$4))</f>
        <v/>
      </c>
      <c r="G20" s="21">
        <f>E20-F20</f>
        <v/>
      </c>
      <c r="H20" s="1" t="n"/>
      <c r="I20" s="26">
        <f>IF($M20="","",INT($M20))</f>
        <v/>
      </c>
      <c r="J20" s="27">
        <f>IF($M20="","",INDEX(Bookings!$B$6:$B$505,MATCH($M20,Bookings!$AI$6:$AI$505,0)))</f>
        <v/>
      </c>
      <c r="K20" s="28">
        <f>IF($M20="","",INDEX(Bookings!$C$6:$C$505,MATCH($M20,Bookings!$AI$6:$AI$505,0)))</f>
        <v/>
      </c>
      <c r="L20" s="1" t="n"/>
      <c r="M20" s="1">
        <f>IFERROR(SMALL(Bookings!$AI$6:$AI$505,5),"")</f>
        <v/>
      </c>
      <c r="N20">
        <f>DAY(EOMONTH(DATE($C$4,11,1),0))*IF(Dashboard!$E$4="All properties",COUNTA(Settings!$B$6:$B$11),1)</f>
        <v/>
      </c>
    </row>
    <row r="21">
      <c r="A21" s="1" t="n"/>
      <c r="B21" s="17" t="inlineStr">
        <is>
          <t>Dec</t>
        </is>
      </c>
      <c r="C21" s="18">
        <f>IF(Dashboard!$E$4="All properties",SUM(Bookings!$AD$6:$AD$505),SUMIFS(Bookings!$AD$6:$AD$505,Bookings!$B$6:$B$505,$E$4))</f>
        <v/>
      </c>
      <c r="D21" s="19">
        <f>IF($N21=0,"",C21/$N21)</f>
        <v/>
      </c>
      <c r="E21" s="20">
        <f>IF(Dashboard!$E$4="All properties",SUMPRODUCT(Bookings!$AD$6:$AD$505,Bookings!$Q$6:$Q$505),SUMPRODUCT(Bookings!$AD$6:$AD$505,Bookings!$Q$6:$Q$505,--(Bookings!$B$6:$B$505=$E$4)))</f>
        <v/>
      </c>
      <c r="F21" s="20">
        <f>IF(Dashboard!$E$4="All properties",SUMIFS(Expenses!$E$6:$E$505,Expenses!$B$6:$B$505,"&gt;="&amp;DATE($C$4,12,1),Expenses!$B$6:$B$505,"&lt;="&amp;EOMONTH(DATE($C$4,12,1),0)),SUMIFS(Expenses!$E$6:$E$505,Expenses!$B$6:$B$505,"&gt;="&amp;DATE($C$4,12,1),Expenses!$B$6:$B$505,"&lt;="&amp;EOMONTH(DATE($C$4,12,1),0),Expenses!$C$6:$C$505,$E$4))</f>
        <v/>
      </c>
      <c r="G21" s="21">
        <f>E21-F21</f>
        <v/>
      </c>
      <c r="H21" s="1" t="n"/>
      <c r="I21" s="1" t="n"/>
      <c r="J21" s="1" t="n"/>
      <c r="K21" s="1" t="n"/>
      <c r="L21" s="1" t="n"/>
      <c r="M21" s="1" t="n"/>
      <c r="N21">
        <f>DAY(EOMONTH(DATE($C$4,12,1),0))*IF(Dashboard!$E$4="All properties",COUNTA(Settings!$B$6:$B$11),1)</f>
        <v/>
      </c>
    </row>
    <row r="22">
      <c r="A22" s="1" t="n"/>
      <c r="B22" s="17" t="inlineStr">
        <is>
          <t>Year</t>
        </is>
      </c>
      <c r="C22" s="29">
        <f>SUM(C10:C21)</f>
        <v/>
      </c>
      <c r="D22" s="30">
        <f>IF(SUM(N10:N21)=0,"",C22/SUM(N10:N21))</f>
        <v/>
      </c>
      <c r="E22" s="31">
        <f>SUM(E10:E21)</f>
        <v/>
      </c>
      <c r="F22" s="31">
        <f>SUM(F10:F21)</f>
        <v/>
      </c>
      <c r="G22" s="21">
        <f>SUM(G10:G21)</f>
        <v/>
      </c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30" customHeight="1">
      <c r="A24" s="1" t="n"/>
      <c r="B24" s="15" t="inlineStr">
        <is>
          <t>Property</t>
        </is>
      </c>
      <c r="C24" s="15" t="inlineStr">
        <is>
          <t>Nights</t>
        </is>
      </c>
      <c r="D24" s="15" t="inlineStr">
        <is>
          <t>Occupancy</t>
        </is>
      </c>
      <c r="E24" s="15" t="inlineStr">
        <is>
          <t>Revenue</t>
        </is>
      </c>
      <c r="F24" s="15" t="inlineStr">
        <is>
          <t>Expenses</t>
        </is>
      </c>
      <c r="G24" s="15" t="inlineStr">
        <is>
          <t>Profit</t>
        </is>
      </c>
      <c r="H24" s="1" t="n"/>
      <c r="I24" s="1" t="n"/>
      <c r="J24" s="1" t="n"/>
      <c r="K24" s="1" t="n"/>
      <c r="L24" s="1" t="n"/>
      <c r="M24" s="1" t="n"/>
    </row>
    <row r="25">
      <c r="A25" s="1" t="n"/>
      <c r="B25" s="32">
        <f>IF(Settings!B6="","",Settings!B6)</f>
        <v/>
      </c>
      <c r="C25" s="18">
        <f>IF(B25="","",SUMIFS(Bookings!$AE$6:$AE$505,Bookings!$B$6:$B$505,B25))</f>
        <v/>
      </c>
      <c r="D25" s="19">
        <f>IF(OR(B25="",$N$2=0),"",SUMIFS(Bookings!$AH$6:$AH$505,Bookings!$B$6:$B$505,B25)/$N$2)</f>
        <v/>
      </c>
      <c r="E25" s="20">
        <f>IF(B25="","",SUMIFS(Bookings!$AF$6:$AF$505,Bookings!$B$6:$B$505,B25))</f>
        <v/>
      </c>
      <c r="F25" s="20">
        <f>IF(B25="","",SUMIFS(Expenses!$E$6:$E$505,Expenses!$C$6:$C$505,B25,Expenses!$B$6:$B$505,"&gt;="&amp;DATE($C$4,1,1),Expenses!$B$6:$B$505,"&lt;="&amp;DATE($C$4,12,31)))</f>
        <v/>
      </c>
      <c r="G25" s="21">
        <f>IF(B25="","",E25-F25)</f>
        <v/>
      </c>
      <c r="H25" s="1" t="n"/>
      <c r="I25" s="15" t="inlineStr">
        <is>
          <t>Next check-outs</t>
        </is>
      </c>
      <c r="J25" s="15" t="inlineStr">
        <is>
          <t>Property</t>
        </is>
      </c>
      <c r="K25" s="15" t="inlineStr">
        <is>
          <t>Same-day arrival</t>
        </is>
      </c>
      <c r="L25" s="1" t="n"/>
      <c r="M25" s="1" t="n"/>
    </row>
    <row r="26">
      <c r="A26" s="1" t="n"/>
      <c r="B26" s="32">
        <f>IF(Settings!B7="","",Settings!B7)</f>
        <v/>
      </c>
      <c r="C26" s="18">
        <f>IF(B26="","",SUMIFS(Bookings!$AE$6:$AE$505,Bookings!$B$6:$B$505,B26))</f>
        <v/>
      </c>
      <c r="D26" s="19">
        <f>IF(OR(B26="",$N$2=0),"",SUMIFS(Bookings!$AH$6:$AH$505,Bookings!$B$6:$B$505,B26)/$N$2)</f>
        <v/>
      </c>
      <c r="E26" s="20">
        <f>IF(B26="","",SUMIFS(Bookings!$AF$6:$AF$505,Bookings!$B$6:$B$505,B26))</f>
        <v/>
      </c>
      <c r="F26" s="20">
        <f>IF(B26="","",SUMIFS(Expenses!$E$6:$E$505,Expenses!$C$6:$C$505,B26,Expenses!$B$6:$B$505,"&gt;="&amp;DATE($C$4,1,1),Expenses!$B$6:$B$505,"&lt;="&amp;DATE($C$4,12,31)))</f>
        <v/>
      </c>
      <c r="G26" s="21">
        <f>IF(B26="","",E26-F26)</f>
        <v/>
      </c>
      <c r="H26" s="1" t="n"/>
      <c r="I26" s="26">
        <f>IF($M26="","",INT($M26))</f>
        <v/>
      </c>
      <c r="J26" s="27">
        <f>IF($M26="","",INDEX(Bookings!$B$6:$B$505,MATCH($M26,Bookings!$AJ$6:$AJ$505,0)))</f>
        <v/>
      </c>
      <c r="K26" s="28">
        <f>IF($M26="","",IF(COUNTIFS(Bookings!$B$6:$B$505,J26,Bookings!$E$6:$E$505,I26)&gt;0,"Yes","No"))</f>
        <v/>
      </c>
      <c r="L26" s="1" t="n"/>
      <c r="M26" s="1">
        <f>IFERROR(SMALL(Bookings!$AJ$6:$AJ$505,1),"")</f>
        <v/>
      </c>
    </row>
    <row r="27">
      <c r="A27" s="1" t="n"/>
      <c r="B27" s="32">
        <f>IF(Settings!B8="","",Settings!B8)</f>
        <v/>
      </c>
      <c r="C27" s="18">
        <f>IF(B27="","",SUMIFS(Bookings!$AE$6:$AE$505,Bookings!$B$6:$B$505,B27))</f>
        <v/>
      </c>
      <c r="D27" s="19">
        <f>IF(OR(B27="",$N$2=0),"",SUMIFS(Bookings!$AH$6:$AH$505,Bookings!$B$6:$B$505,B27)/$N$2)</f>
        <v/>
      </c>
      <c r="E27" s="20">
        <f>IF(B27="","",SUMIFS(Bookings!$AF$6:$AF$505,Bookings!$B$6:$B$505,B27))</f>
        <v/>
      </c>
      <c r="F27" s="20">
        <f>IF(B27="","",SUMIFS(Expenses!$E$6:$E$505,Expenses!$C$6:$C$505,B27,Expenses!$B$6:$B$505,"&gt;="&amp;DATE($C$4,1,1),Expenses!$B$6:$B$505,"&lt;="&amp;DATE($C$4,12,31)))</f>
        <v/>
      </c>
      <c r="G27" s="21">
        <f>IF(B27="","",E27-F27)</f>
        <v/>
      </c>
      <c r="H27" s="1" t="n"/>
      <c r="I27" s="26">
        <f>IF($M27="","",INT($M27))</f>
        <v/>
      </c>
      <c r="J27" s="27">
        <f>IF($M27="","",INDEX(Bookings!$B$6:$B$505,MATCH($M27,Bookings!$AJ$6:$AJ$505,0)))</f>
        <v/>
      </c>
      <c r="K27" s="28">
        <f>IF($M27="","",IF(COUNTIFS(Bookings!$B$6:$B$505,J27,Bookings!$E$6:$E$505,I27)&gt;0,"Yes","No"))</f>
        <v/>
      </c>
      <c r="L27" s="1" t="n"/>
      <c r="M27" s="1">
        <f>IFERROR(SMALL(Bookings!$AJ$6:$AJ$505,2),"")</f>
        <v/>
      </c>
    </row>
    <row r="28">
      <c r="A28" s="1" t="n"/>
      <c r="B28" s="32">
        <f>IF(Settings!B9="","",Settings!B9)</f>
        <v/>
      </c>
      <c r="C28" s="18">
        <f>IF(B28="","",SUMIFS(Bookings!$AE$6:$AE$505,Bookings!$B$6:$B$505,B28))</f>
        <v/>
      </c>
      <c r="D28" s="19">
        <f>IF(OR(B28="",$N$2=0),"",SUMIFS(Bookings!$AH$6:$AH$505,Bookings!$B$6:$B$505,B28)/$N$2)</f>
        <v/>
      </c>
      <c r="E28" s="20">
        <f>IF(B28="","",SUMIFS(Bookings!$AF$6:$AF$505,Bookings!$B$6:$B$505,B28))</f>
        <v/>
      </c>
      <c r="F28" s="20">
        <f>IF(B28="","",SUMIFS(Expenses!$E$6:$E$505,Expenses!$C$6:$C$505,B28,Expenses!$B$6:$B$505,"&gt;="&amp;DATE($C$4,1,1),Expenses!$B$6:$B$505,"&lt;="&amp;DATE($C$4,12,31)))</f>
        <v/>
      </c>
      <c r="G28" s="21">
        <f>IF(B28="","",E28-F28)</f>
        <v/>
      </c>
      <c r="H28" s="1" t="n"/>
      <c r="I28" s="26">
        <f>IF($M28="","",INT($M28))</f>
        <v/>
      </c>
      <c r="J28" s="27">
        <f>IF($M28="","",INDEX(Bookings!$B$6:$B$505,MATCH($M28,Bookings!$AJ$6:$AJ$505,0)))</f>
        <v/>
      </c>
      <c r="K28" s="28">
        <f>IF($M28="","",IF(COUNTIFS(Bookings!$B$6:$B$505,J28,Bookings!$E$6:$E$505,I28)&gt;0,"Yes","No"))</f>
        <v/>
      </c>
      <c r="L28" s="1" t="n"/>
      <c r="M28" s="1">
        <f>IFERROR(SMALL(Bookings!$AJ$6:$AJ$505,3),"")</f>
        <v/>
      </c>
    </row>
    <row r="29">
      <c r="A29" s="1" t="n"/>
      <c r="B29" s="32">
        <f>IF(Settings!B10="","",Settings!B10)</f>
        <v/>
      </c>
      <c r="C29" s="18">
        <f>IF(B29="","",SUMIFS(Bookings!$AE$6:$AE$505,Bookings!$B$6:$B$505,B29))</f>
        <v/>
      </c>
      <c r="D29" s="19">
        <f>IF(OR(B29="",$N$2=0),"",SUMIFS(Bookings!$AH$6:$AH$505,Bookings!$B$6:$B$505,B29)/$N$2)</f>
        <v/>
      </c>
      <c r="E29" s="20">
        <f>IF(B29="","",SUMIFS(Bookings!$AF$6:$AF$505,Bookings!$B$6:$B$505,B29))</f>
        <v/>
      </c>
      <c r="F29" s="20">
        <f>IF(B29="","",SUMIFS(Expenses!$E$6:$E$505,Expenses!$C$6:$C$505,B29,Expenses!$B$6:$B$505,"&gt;="&amp;DATE($C$4,1,1),Expenses!$B$6:$B$505,"&lt;="&amp;DATE($C$4,12,31)))</f>
        <v/>
      </c>
      <c r="G29" s="21">
        <f>IF(B29="","",E29-F29)</f>
        <v/>
      </c>
      <c r="H29" s="1" t="n"/>
      <c r="I29" s="26">
        <f>IF($M29="","",INT($M29))</f>
        <v/>
      </c>
      <c r="J29" s="27">
        <f>IF($M29="","",INDEX(Bookings!$B$6:$B$505,MATCH($M29,Bookings!$AJ$6:$AJ$505,0)))</f>
        <v/>
      </c>
      <c r="K29" s="28">
        <f>IF($M29="","",IF(COUNTIFS(Bookings!$B$6:$B$505,J29,Bookings!$E$6:$E$505,I29)&gt;0,"Yes","No"))</f>
        <v/>
      </c>
      <c r="L29" s="1" t="n"/>
      <c r="M29" s="1">
        <f>IFERROR(SMALL(Bookings!$AJ$6:$AJ$505,4),"")</f>
        <v/>
      </c>
    </row>
    <row r="30">
      <c r="A30" s="1" t="n"/>
      <c r="B30" s="32">
        <f>IF(Settings!B11="","",Settings!B11)</f>
        <v/>
      </c>
      <c r="C30" s="18">
        <f>IF(B30="","",SUMIFS(Bookings!$AE$6:$AE$505,Bookings!$B$6:$B$505,B30))</f>
        <v/>
      </c>
      <c r="D30" s="19">
        <f>IF(OR(B30="",$N$2=0),"",SUMIFS(Bookings!$AH$6:$AH$505,Bookings!$B$6:$B$505,B30)/$N$2)</f>
        <v/>
      </c>
      <c r="E30" s="20">
        <f>IF(B30="","",SUMIFS(Bookings!$AF$6:$AF$505,Bookings!$B$6:$B$505,B30))</f>
        <v/>
      </c>
      <c r="F30" s="20">
        <f>IF(B30="","",SUMIFS(Expenses!$E$6:$E$505,Expenses!$C$6:$C$505,B30,Expenses!$B$6:$B$505,"&gt;="&amp;DATE($C$4,1,1),Expenses!$B$6:$B$505,"&lt;="&amp;DATE($C$4,12,31)))</f>
        <v/>
      </c>
      <c r="G30" s="21">
        <f>IF(B30="","",E30-F30)</f>
        <v/>
      </c>
      <c r="H30" s="1" t="n"/>
      <c r="I30" s="26">
        <f>IF($M30="","",INT($M30))</f>
        <v/>
      </c>
      <c r="J30" s="27">
        <f>IF($M30="","",INDEX(Bookings!$B$6:$B$505,MATCH($M30,Bookings!$AJ$6:$AJ$505,0)))</f>
        <v/>
      </c>
      <c r="K30" s="28">
        <f>IF($M30="","",IF(COUNTIFS(Bookings!$B$6:$B$505,J30,Bookings!$E$6:$E$505,I30)&gt;0,"Yes","No"))</f>
        <v/>
      </c>
      <c r="L30" s="1" t="n"/>
      <c r="M30" s="1">
        <f>IFERROR(SMALL(Bookings!$AJ$6:$AJ$505,5),"")</f>
        <v/>
      </c>
    </row>
    <row r="31">
      <c r="A31" s="1" t="n"/>
      <c r="B31" s="32" t="inlineStr">
        <is>
          <t>Shared costs</t>
        </is>
      </c>
      <c r="C31" s="27" t="n"/>
      <c r="D31" s="27" t="n"/>
      <c r="E31" s="27" t="n"/>
      <c r="F31" s="20">
        <f>SUMIFS(Expenses!$E$6:$E$505,Expenses!$C$6:$C$505,"Shared",Expenses!$B$6:$B$505,"&gt;="&amp;DATE($C$4,1,1),Expenses!$B$6:$B$505,"&lt;="&amp;DATE($C$4,12,31))</f>
        <v/>
      </c>
      <c r="G31" s="21">
        <f>-F31</f>
        <v/>
      </c>
      <c r="H31" s="1" t="n"/>
      <c r="I31" s="1" t="n"/>
      <c r="J31" s="1" t="n"/>
      <c r="K31" s="1" t="n"/>
      <c r="L31" s="1" t="n"/>
      <c r="M31" s="1" t="n"/>
    </row>
    <row r="32">
      <c r="A32" s="1" t="n"/>
      <c r="B32" s="33" t="inlineStr">
        <is>
          <t>Occupancy here counts the months up to today. Shared costs belong to no single property.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</sheetData>
  <mergeCells count="6">
    <mergeCell ref="I11:K11"/>
    <mergeCell ref="E4:F4"/>
    <mergeCell ref="I10:K10"/>
    <mergeCell ref="I13:K13"/>
    <mergeCell ref="I9:K9"/>
    <mergeCell ref="I12:K12"/>
  </mergeCells>
  <conditionalFormatting sqref="B10:G21">
    <cfRule type="expression" priority="1" dxfId="0">
      <formula>AND($C$4=YEAR(TODAY()),ROW()-9=MONTH(TODAY()))</formula>
    </cfRule>
  </conditionalFormatting>
  <conditionalFormatting sqref="I12">
    <cfRule type="expression" priority="2" dxfId="1">
      <formula>LEFT(I12,3)="All"</formula>
    </cfRule>
  </conditionalFormatting>
  <conditionalFormatting sqref="K26:K30">
    <cfRule type="expression" priority="3" dxfId="2">
      <formula>$K26="Yes"</formula>
    </cfRule>
  </conditionalFormatting>
  <dataValidations count="1">
    <dataValidation sqref="E4" showDropDown="0" showInputMessage="0" showErrorMessage="0" allowBlank="0" type="list">
      <formula1>=Settings!$F$6:$F$12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60" customWidth="1" min="4" max="4"/>
    <col hidden="1" width="13" customWidth="1" min="6" max="6"/>
    <col hidden="1" width="13" customWidth="1" min="7" max="7"/>
  </cols>
  <sheetData>
    <row r="1">
      <c r="A1" s="1" t="n"/>
      <c r="B1" s="1" t="n"/>
      <c r="C1" s="1" t="n"/>
      <c r="D1" s="1" t="n"/>
      <c r="E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</row>
    <row r="3">
      <c r="A3" s="1" t="n"/>
      <c r="B3" s="3" t="inlineStr">
        <is>
          <t>Your properties and expense categories. The lists in the other tabs follow them.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30" customHeight="1">
      <c r="A5" s="1" t="n"/>
      <c r="B5" s="15" t="inlineStr">
        <is>
          <t>Properties (up to 6)</t>
        </is>
      </c>
      <c r="C5" s="1" t="n"/>
      <c r="D5" s="1" t="n"/>
      <c r="E5" s="1" t="n"/>
    </row>
    <row r="6">
      <c r="A6" s="1" t="n"/>
      <c r="B6" s="7" t="inlineStr">
        <is>
          <t>Beach apartment</t>
        </is>
      </c>
      <c r="C6" s="1" t="n"/>
      <c r="D6" s="34" t="inlineStr">
        <is>
          <t>Rename a property here and its bookings and expenses need the same new name.</t>
        </is>
      </c>
      <c r="E6" s="1" t="n"/>
      <c r="F6" t="inlineStr">
        <is>
          <t>All properties</t>
        </is>
      </c>
      <c r="G6" t="inlineStr">
        <is>
          <t>Shared</t>
        </is>
      </c>
    </row>
    <row r="7">
      <c r="A7" s="1" t="n"/>
      <c r="B7" s="7" t="inlineStr">
        <is>
          <t>Mountain cabin</t>
        </is>
      </c>
      <c r="C7" s="1" t="n"/>
      <c r="D7" s="1" t="n"/>
      <c r="E7" s="1" t="n"/>
      <c r="F7">
        <f>IF(B6="","",B6)</f>
        <v/>
      </c>
      <c r="G7">
        <f>IF(B6="","",B6)</f>
        <v/>
      </c>
    </row>
    <row r="8">
      <c r="A8" s="1" t="n"/>
      <c r="B8" s="7" t="n"/>
      <c r="C8" s="1" t="n"/>
      <c r="D8" s="1" t="n"/>
      <c r="E8" s="1" t="n"/>
      <c r="F8">
        <f>IF(B7="","",B7)</f>
        <v/>
      </c>
      <c r="G8">
        <f>IF(B7="","",B7)</f>
        <v/>
      </c>
    </row>
    <row r="9">
      <c r="A9" s="1" t="n"/>
      <c r="B9" s="7" t="n"/>
      <c r="C9" s="1" t="n"/>
      <c r="D9" s="1" t="n"/>
      <c r="E9" s="1" t="n"/>
      <c r="F9">
        <f>IF(B8="","",B8)</f>
        <v/>
      </c>
      <c r="G9">
        <f>IF(B8="","",B8)</f>
        <v/>
      </c>
    </row>
    <row r="10">
      <c r="A10" s="1" t="n"/>
      <c r="B10" s="7" t="n"/>
      <c r="C10" s="1" t="n"/>
      <c r="D10" s="1" t="n"/>
      <c r="E10" s="1" t="n"/>
      <c r="F10">
        <f>IF(B9="","",B9)</f>
        <v/>
      </c>
      <c r="G10">
        <f>IF(B9="","",B9)</f>
        <v/>
      </c>
    </row>
    <row r="11">
      <c r="A11" s="1" t="n"/>
      <c r="B11" s="7" t="n"/>
      <c r="C11" s="1" t="n"/>
      <c r="D11" s="1" t="n"/>
      <c r="E11" s="1" t="n"/>
      <c r="F11">
        <f>IF(B10="","",B10)</f>
        <v/>
      </c>
      <c r="G11">
        <f>IF(B10="","",B10)</f>
        <v/>
      </c>
    </row>
    <row r="12">
      <c r="A12" s="1" t="n"/>
      <c r="B12" s="1" t="n"/>
      <c r="C12" s="1" t="n"/>
      <c r="D12" s="1" t="n"/>
      <c r="E12" s="1" t="n"/>
      <c r="F12">
        <f>IF(B11="","",B11)</f>
        <v/>
      </c>
      <c r="G12">
        <f>IF(B11="","",B11)</f>
        <v/>
      </c>
    </row>
    <row r="13">
      <c r="A13" s="1" t="n"/>
      <c r="B13" s="1" t="n"/>
      <c r="C13" s="1" t="n"/>
      <c r="D13" s="1" t="n"/>
      <c r="E13" s="1" t="n"/>
    </row>
    <row r="14" ht="30" customHeight="1">
      <c r="A14" s="1" t="n"/>
      <c r="B14" s="15" t="inlineStr">
        <is>
          <t>Expense categories</t>
        </is>
      </c>
      <c r="C14" s="1" t="n"/>
      <c r="D14" s="1" t="n"/>
      <c r="E14" s="1" t="n"/>
    </row>
    <row r="15">
      <c r="A15" s="1" t="n"/>
      <c r="B15" s="35" t="inlineStr">
        <is>
          <t>Cleaning</t>
        </is>
      </c>
      <c r="C15" s="1" t="n"/>
      <c r="D15" s="1" t="n"/>
      <c r="E15" s="1" t="n"/>
    </row>
    <row r="16">
      <c r="A16" s="1" t="n"/>
      <c r="B16" s="35" t="inlineStr">
        <is>
          <t>Supplies</t>
        </is>
      </c>
      <c r="C16" s="1" t="n"/>
      <c r="D16" s="1" t="n"/>
      <c r="E16" s="1" t="n"/>
    </row>
    <row r="17">
      <c r="A17" s="1" t="n"/>
      <c r="B17" s="35" t="inlineStr">
        <is>
          <t>Utilities</t>
        </is>
      </c>
      <c r="C17" s="1" t="n"/>
      <c r="D17" s="1" t="n"/>
      <c r="E17" s="1" t="n"/>
    </row>
    <row r="18">
      <c r="A18" s="1" t="n"/>
      <c r="B18" s="35" t="inlineStr">
        <is>
          <t>Repairs</t>
        </is>
      </c>
      <c r="C18" s="1" t="n"/>
      <c r="D18" s="1" t="n"/>
      <c r="E18" s="1" t="n"/>
    </row>
    <row r="19">
      <c r="A19" s="1" t="n"/>
      <c r="B19" s="35" t="inlineStr">
        <is>
          <t>Furnishing</t>
        </is>
      </c>
      <c r="C19" s="1" t="n"/>
      <c r="D19" s="1" t="n"/>
      <c r="E19" s="1" t="n"/>
    </row>
    <row r="20">
      <c r="A20" s="1" t="n"/>
      <c r="B20" s="35" t="inlineStr">
        <is>
          <t>Insurance</t>
        </is>
      </c>
      <c r="C20" s="1" t="n"/>
      <c r="D20" s="1" t="n"/>
      <c r="E20" s="1" t="n"/>
    </row>
    <row r="21">
      <c r="A21" s="1" t="n"/>
      <c r="B21" s="35" t="inlineStr">
        <is>
          <t>Taxes and fees</t>
        </is>
      </c>
      <c r="C21" s="1" t="n"/>
      <c r="D21" s="1" t="n"/>
      <c r="E21" s="1" t="n"/>
    </row>
    <row r="22">
      <c r="A22" s="1" t="n"/>
      <c r="B22" s="35" t="inlineStr">
        <is>
          <t>Marketing</t>
        </is>
      </c>
      <c r="C22" s="1" t="n"/>
      <c r="D22" s="1" t="n"/>
      <c r="E22" s="1" t="n"/>
    </row>
    <row r="23">
      <c r="A23" s="1" t="n"/>
      <c r="B23" s="35" t="inlineStr">
        <is>
          <t>Mortgage or rent</t>
        </is>
      </c>
      <c r="C23" s="1" t="n"/>
      <c r="D23" s="1" t="n"/>
      <c r="E23" s="1" t="n"/>
    </row>
    <row r="24">
      <c r="A24" s="1" t="n"/>
      <c r="B24" s="35" t="inlineStr">
        <is>
          <t>Other</t>
        </is>
      </c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8" customWidth="1" min="7" max="7"/>
    <col width="8" customWidth="1" min="8" max="8"/>
    <col width="13" customWidth="1" min="9" max="9"/>
    <col width="12" customWidth="1" min="10" max="10"/>
    <col width="12" customWidth="1" min="11" max="11"/>
    <col width="13" customWidth="1" min="12" max="12"/>
    <col width="10" customWidth="1" min="13" max="13"/>
    <col width="20" customWidth="1" min="14" max="14"/>
    <col width="22" customWidth="1" min="15" max="15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Bookings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One line per stay, from any platform. Nights, payout and status are calculated.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15" t="inlineStr">
        <is>
          <t>Property</t>
        </is>
      </c>
      <c r="C5" s="15" t="inlineStr">
        <is>
          <t>Guest</t>
        </is>
      </c>
      <c r="D5" s="15" t="inlineStr">
        <is>
          <t>Platform</t>
        </is>
      </c>
      <c r="E5" s="15" t="inlineStr">
        <is>
          <t>Check-in</t>
        </is>
      </c>
      <c r="F5" s="15" t="inlineStr">
        <is>
          <t>Check-out</t>
        </is>
      </c>
      <c r="G5" s="15" t="inlineStr">
        <is>
          <t>Nights</t>
        </is>
      </c>
      <c r="H5" s="15" t="inlineStr">
        <is>
          <t>Guests</t>
        </is>
      </c>
      <c r="I5" s="15" t="inlineStr">
        <is>
          <t>Booking total</t>
        </is>
      </c>
      <c r="J5" s="15" t="inlineStr">
        <is>
          <t>Cleaning fee</t>
        </is>
      </c>
      <c r="K5" s="15" t="inlineStr">
        <is>
          <t>Platform fee</t>
        </is>
      </c>
      <c r="L5" s="15" t="inlineStr">
        <is>
          <t>Payout</t>
        </is>
      </c>
      <c r="M5" s="15" t="inlineStr">
        <is>
          <t>Paid out?</t>
        </is>
      </c>
      <c r="N5" s="15" t="inlineStr">
        <is>
          <t>Status</t>
        </is>
      </c>
      <c r="O5" s="15" t="inlineStr">
        <is>
          <t>Note</t>
        </is>
      </c>
      <c r="P5" s="1" t="n"/>
    </row>
    <row r="6">
      <c r="A6" s="1" t="n"/>
      <c r="B6" s="35" t="inlineStr">
        <is>
          <t>Mountain cabin</t>
        </is>
      </c>
      <c r="C6" s="35" t="inlineStr">
        <is>
          <t>Chloe A.</t>
        </is>
      </c>
      <c r="D6" s="35" t="inlineStr">
        <is>
          <t>Airbnb</t>
        </is>
      </c>
      <c r="E6" s="36" t="n">
        <v>46024</v>
      </c>
      <c r="F6" s="36" t="n">
        <v>46029</v>
      </c>
      <c r="G6" s="18">
        <f>IF(OR(E6="",F6=""),"",F6-E6)</f>
        <v/>
      </c>
      <c r="H6" s="37" t="n">
        <v>4</v>
      </c>
      <c r="I6" s="38" t="n">
        <v>700</v>
      </c>
      <c r="J6" s="38" t="n">
        <v>80</v>
      </c>
      <c r="K6" s="38" t="n">
        <v>23.4</v>
      </c>
      <c r="L6" s="31">
        <f>IF(E6="","",N(I6)+N(J6)-N(K6))</f>
        <v/>
      </c>
      <c r="M6" s="39" t="inlineStr">
        <is>
          <t>Yes</t>
        </is>
      </c>
      <c r="N6" s="27">
        <f>IF(E6="","",IF(TODAY()&lt;E6,"Upcoming",IF(TODAY()&lt;F6,"Staying now",IF(M6="Yes","Checked out","Payout not received"))))</f>
        <v/>
      </c>
      <c r="O6" s="35" t="n"/>
      <c r="P6" s="1" t="n"/>
      <c r="Q6">
        <f>IF(N(G6)&gt;0,L6/G6,0)</f>
        <v/>
      </c>
      <c r="R6">
        <f>IF(N(G6)&gt;0,N(I6)/G6,0)</f>
        <v/>
      </c>
      <c r="S6">
        <f>IF(OR($E6="",$F6=""),0,MAX(0,MIN($F6,DATE(Dashboard!$C$4,2,1))-MAX($E6,DATE(Dashboard!$C$4,1,1))))</f>
        <v/>
      </c>
      <c r="T6">
        <f>IF(OR($E6="",$F6=""),0,MAX(0,MIN($F6,DATE(Dashboard!$C$4,3,1))-MAX($E6,DATE(Dashboard!$C$4,2,1))))</f>
        <v/>
      </c>
      <c r="U6">
        <f>IF(OR($E6="",$F6=""),0,MAX(0,MIN($F6,DATE(Dashboard!$C$4,4,1))-MAX($E6,DATE(Dashboard!$C$4,3,1))))</f>
        <v/>
      </c>
      <c r="V6">
        <f>IF(OR($E6="",$F6=""),0,MAX(0,MIN($F6,DATE(Dashboard!$C$4,5,1))-MAX($E6,DATE(Dashboard!$C$4,4,1))))</f>
        <v/>
      </c>
      <c r="W6">
        <f>IF(OR($E6="",$F6=""),0,MAX(0,MIN($F6,DATE(Dashboard!$C$4,6,1))-MAX($E6,DATE(Dashboard!$C$4,5,1))))</f>
        <v/>
      </c>
      <c r="X6">
        <f>IF(OR($E6="",$F6=""),0,MAX(0,MIN($F6,DATE(Dashboard!$C$4,7,1))-MAX($E6,DATE(Dashboard!$C$4,6,1))))</f>
        <v/>
      </c>
      <c r="Y6">
        <f>IF(OR($E6="",$F6=""),0,MAX(0,MIN($F6,DATE(Dashboard!$C$4,8,1))-MAX($E6,DATE(Dashboard!$C$4,7,1))))</f>
        <v/>
      </c>
      <c r="Z6">
        <f>IF(OR($E6="",$F6=""),0,MAX(0,MIN($F6,DATE(Dashboard!$C$4,9,1))-MAX($E6,DATE(Dashboard!$C$4,8,1))))</f>
        <v/>
      </c>
      <c r="AA6">
        <f>IF(OR($E6="",$F6=""),0,MAX(0,MIN($F6,DATE(Dashboard!$C$4,10,1))-MAX($E6,DATE(Dashboard!$C$4,9,1))))</f>
        <v/>
      </c>
      <c r="AB6">
        <f>IF(OR($E6="",$F6=""),0,MAX(0,MIN($F6,DATE(Dashboard!$C$4,11,1))-MAX($E6,DATE(Dashboard!$C$4,10,1))))</f>
        <v/>
      </c>
      <c r="AC6">
        <f>IF(OR($E6="",$F6=""),0,MAX(0,MIN($F6,DATE(Dashboard!$C$4,12,1))-MAX($E6,DATE(Dashboard!$C$4,11,1))))</f>
        <v/>
      </c>
      <c r="AD6">
        <f>IF(OR($E6="",$F6=""),0,MAX(0,MIN($F6,DATE(Dashboard!$C$4,13,1))-MAX($E6,DATE(Dashboard!$C$4,12,1))))</f>
        <v/>
      </c>
      <c r="AE6">
        <f>SUM(S6:AD6)</f>
        <v/>
      </c>
      <c r="AF6">
        <f>Q6*AE6</f>
        <v/>
      </c>
      <c r="AG6">
        <f>R6*AE6</f>
        <v/>
      </c>
      <c r="AH6">
        <f>SUMPRODUCT(S6:AD6,--(COLUMN(S6:AD6)-COLUMN(S6)+1&lt;=Dashboard!$N$1))</f>
        <v/>
      </c>
      <c r="AI6">
        <f>IF(OR(E6="",E6&lt;TODAY()),"",E6+ROW()/100000)</f>
        <v/>
      </c>
      <c r="AJ6">
        <f>IF(OR(F6="",F6&lt;TODAY()),"",F6+ROW()/100000)</f>
        <v/>
      </c>
    </row>
    <row r="7">
      <c r="A7" s="1" t="n"/>
      <c r="B7" s="35" t="inlineStr">
        <is>
          <t>Mountain cabin</t>
        </is>
      </c>
      <c r="C7" s="35" t="inlineStr">
        <is>
          <t>Nora C.</t>
        </is>
      </c>
      <c r="D7" s="35" t="inlineStr">
        <is>
          <t>Booking.com</t>
        </is>
      </c>
      <c r="E7" s="36" t="n">
        <v>46029</v>
      </c>
      <c r="F7" s="36" t="n">
        <v>46033</v>
      </c>
      <c r="G7" s="18">
        <f>IF(OR(E7="",F7=""),"",F7-E7)</f>
        <v/>
      </c>
      <c r="H7" s="37" t="n">
        <v>2</v>
      </c>
      <c r="I7" s="38" t="n">
        <v>560</v>
      </c>
      <c r="J7" s="38" t="n">
        <v>80</v>
      </c>
      <c r="K7" s="38" t="n">
        <v>96</v>
      </c>
      <c r="L7" s="31">
        <f>IF(E7="","",N(I7)+N(J7)-N(K7))</f>
        <v/>
      </c>
      <c r="M7" s="39" t="inlineStr">
        <is>
          <t>Yes</t>
        </is>
      </c>
      <c r="N7" s="27">
        <f>IF(E7="","",IF(TODAY()&lt;E7,"Upcoming",IF(TODAY()&lt;F7,"Staying now",IF(M7="Yes","Checked out","Payout not received"))))</f>
        <v/>
      </c>
      <c r="O7" s="35" t="n"/>
      <c r="P7" s="1" t="n"/>
      <c r="Q7">
        <f>IF(N(G7)&gt;0,L7/G7,0)</f>
        <v/>
      </c>
      <c r="R7">
        <f>IF(N(G7)&gt;0,N(I7)/G7,0)</f>
        <v/>
      </c>
      <c r="S7">
        <f>IF(OR($E7="",$F7=""),0,MAX(0,MIN($F7,DATE(Dashboard!$C$4,2,1))-MAX($E7,DATE(Dashboard!$C$4,1,1))))</f>
        <v/>
      </c>
      <c r="T7">
        <f>IF(OR($E7="",$F7=""),0,MAX(0,MIN($F7,DATE(Dashboard!$C$4,3,1))-MAX($E7,DATE(Dashboard!$C$4,2,1))))</f>
        <v/>
      </c>
      <c r="U7">
        <f>IF(OR($E7="",$F7=""),0,MAX(0,MIN($F7,DATE(Dashboard!$C$4,4,1))-MAX($E7,DATE(Dashboard!$C$4,3,1))))</f>
        <v/>
      </c>
      <c r="V7">
        <f>IF(OR($E7="",$F7=""),0,MAX(0,MIN($F7,DATE(Dashboard!$C$4,5,1))-MAX($E7,DATE(Dashboard!$C$4,4,1))))</f>
        <v/>
      </c>
      <c r="W7">
        <f>IF(OR($E7="",$F7=""),0,MAX(0,MIN($F7,DATE(Dashboard!$C$4,6,1))-MAX($E7,DATE(Dashboard!$C$4,5,1))))</f>
        <v/>
      </c>
      <c r="X7">
        <f>IF(OR($E7="",$F7=""),0,MAX(0,MIN($F7,DATE(Dashboard!$C$4,7,1))-MAX($E7,DATE(Dashboard!$C$4,6,1))))</f>
        <v/>
      </c>
      <c r="Y7">
        <f>IF(OR($E7="",$F7=""),0,MAX(0,MIN($F7,DATE(Dashboard!$C$4,8,1))-MAX($E7,DATE(Dashboard!$C$4,7,1))))</f>
        <v/>
      </c>
      <c r="Z7">
        <f>IF(OR($E7="",$F7=""),0,MAX(0,MIN($F7,DATE(Dashboard!$C$4,9,1))-MAX($E7,DATE(Dashboard!$C$4,8,1))))</f>
        <v/>
      </c>
      <c r="AA7">
        <f>IF(OR($E7="",$F7=""),0,MAX(0,MIN($F7,DATE(Dashboard!$C$4,10,1))-MAX($E7,DATE(Dashboard!$C$4,9,1))))</f>
        <v/>
      </c>
      <c r="AB7">
        <f>IF(OR($E7="",$F7=""),0,MAX(0,MIN($F7,DATE(Dashboard!$C$4,11,1))-MAX($E7,DATE(Dashboard!$C$4,10,1))))</f>
        <v/>
      </c>
      <c r="AC7">
        <f>IF(OR($E7="",$F7=""),0,MAX(0,MIN($F7,DATE(Dashboard!$C$4,12,1))-MAX($E7,DATE(Dashboard!$C$4,11,1))))</f>
        <v/>
      </c>
      <c r="AD7">
        <f>IF(OR($E7="",$F7=""),0,MAX(0,MIN($F7,DATE(Dashboard!$C$4,13,1))-MAX($E7,DATE(Dashboard!$C$4,12,1))))</f>
        <v/>
      </c>
      <c r="AE7">
        <f>SUM(S7:AD7)</f>
        <v/>
      </c>
      <c r="AF7">
        <f>Q7*AE7</f>
        <v/>
      </c>
      <c r="AG7">
        <f>R7*AE7</f>
        <v/>
      </c>
      <c r="AH7">
        <f>SUMPRODUCT(S7:AD7,--(COLUMN(S7:AD7)-COLUMN(S7)+1&lt;=Dashboard!$N$1))</f>
        <v/>
      </c>
      <c r="AI7">
        <f>IF(OR(E7="",E7&lt;TODAY()),"",E7+ROW()/100000)</f>
        <v/>
      </c>
      <c r="AJ7">
        <f>IF(OR(F7="",F7&lt;TODAY()),"",F7+ROW()/100000)</f>
        <v/>
      </c>
    </row>
    <row r="8">
      <c r="A8" s="1" t="n"/>
      <c r="B8" s="35" t="inlineStr">
        <is>
          <t>Beach apartment</t>
        </is>
      </c>
      <c r="C8" s="35" t="inlineStr">
        <is>
          <t>Ruby J.</t>
        </is>
      </c>
      <c r="D8" s="35" t="inlineStr">
        <is>
          <t>Airbnb</t>
        </is>
      </c>
      <c r="E8" s="36" t="n">
        <v>46033</v>
      </c>
      <c r="F8" s="36" t="n">
        <v>46039</v>
      </c>
      <c r="G8" s="18">
        <f>IF(OR(E8="",F8=""),"",F8-E8)</f>
        <v/>
      </c>
      <c r="H8" s="37" t="n">
        <v>2</v>
      </c>
      <c r="I8" s="38" t="n">
        <v>570</v>
      </c>
      <c r="J8" s="38" t="n">
        <v>60</v>
      </c>
      <c r="K8" s="38" t="n">
        <v>18.9</v>
      </c>
      <c r="L8" s="31">
        <f>IF(E8="","",N(I8)+N(J8)-N(K8))</f>
        <v/>
      </c>
      <c r="M8" s="39" t="inlineStr">
        <is>
          <t>Yes</t>
        </is>
      </c>
      <c r="N8" s="27">
        <f>IF(E8="","",IF(TODAY()&lt;E8,"Upcoming",IF(TODAY()&lt;F8,"Staying now",IF(M8="Yes","Checked out","Payout not received"))))</f>
        <v/>
      </c>
      <c r="O8" s="35" t="n"/>
      <c r="P8" s="1" t="n"/>
      <c r="Q8">
        <f>IF(N(G8)&gt;0,L8/G8,0)</f>
        <v/>
      </c>
      <c r="R8">
        <f>IF(N(G8)&gt;0,N(I8)/G8,0)</f>
        <v/>
      </c>
      <c r="S8">
        <f>IF(OR($E8="",$F8=""),0,MAX(0,MIN($F8,DATE(Dashboard!$C$4,2,1))-MAX($E8,DATE(Dashboard!$C$4,1,1))))</f>
        <v/>
      </c>
      <c r="T8">
        <f>IF(OR($E8="",$F8=""),0,MAX(0,MIN($F8,DATE(Dashboard!$C$4,3,1))-MAX($E8,DATE(Dashboard!$C$4,2,1))))</f>
        <v/>
      </c>
      <c r="U8">
        <f>IF(OR($E8="",$F8=""),0,MAX(0,MIN($F8,DATE(Dashboard!$C$4,4,1))-MAX($E8,DATE(Dashboard!$C$4,3,1))))</f>
        <v/>
      </c>
      <c r="V8">
        <f>IF(OR($E8="",$F8=""),0,MAX(0,MIN($F8,DATE(Dashboard!$C$4,5,1))-MAX($E8,DATE(Dashboard!$C$4,4,1))))</f>
        <v/>
      </c>
      <c r="W8">
        <f>IF(OR($E8="",$F8=""),0,MAX(0,MIN($F8,DATE(Dashboard!$C$4,6,1))-MAX($E8,DATE(Dashboard!$C$4,5,1))))</f>
        <v/>
      </c>
      <c r="X8">
        <f>IF(OR($E8="",$F8=""),0,MAX(0,MIN($F8,DATE(Dashboard!$C$4,7,1))-MAX($E8,DATE(Dashboard!$C$4,6,1))))</f>
        <v/>
      </c>
      <c r="Y8">
        <f>IF(OR($E8="",$F8=""),0,MAX(0,MIN($F8,DATE(Dashboard!$C$4,8,1))-MAX($E8,DATE(Dashboard!$C$4,7,1))))</f>
        <v/>
      </c>
      <c r="Z8">
        <f>IF(OR($E8="",$F8=""),0,MAX(0,MIN($F8,DATE(Dashboard!$C$4,9,1))-MAX($E8,DATE(Dashboard!$C$4,8,1))))</f>
        <v/>
      </c>
      <c r="AA8">
        <f>IF(OR($E8="",$F8=""),0,MAX(0,MIN($F8,DATE(Dashboard!$C$4,10,1))-MAX($E8,DATE(Dashboard!$C$4,9,1))))</f>
        <v/>
      </c>
      <c r="AB8">
        <f>IF(OR($E8="",$F8=""),0,MAX(0,MIN($F8,DATE(Dashboard!$C$4,11,1))-MAX($E8,DATE(Dashboard!$C$4,10,1))))</f>
        <v/>
      </c>
      <c r="AC8">
        <f>IF(OR($E8="",$F8=""),0,MAX(0,MIN($F8,DATE(Dashboard!$C$4,12,1))-MAX($E8,DATE(Dashboard!$C$4,11,1))))</f>
        <v/>
      </c>
      <c r="AD8">
        <f>IF(OR($E8="",$F8=""),0,MAX(0,MIN($F8,DATE(Dashboard!$C$4,13,1))-MAX($E8,DATE(Dashboard!$C$4,12,1))))</f>
        <v/>
      </c>
      <c r="AE8">
        <f>SUM(S8:AD8)</f>
        <v/>
      </c>
      <c r="AF8">
        <f>Q8*AE8</f>
        <v/>
      </c>
      <c r="AG8">
        <f>R8*AE8</f>
        <v/>
      </c>
      <c r="AH8">
        <f>SUMPRODUCT(S8:AD8,--(COLUMN(S8:AD8)-COLUMN(S8)+1&lt;=Dashboard!$N$1))</f>
        <v/>
      </c>
      <c r="AI8">
        <f>IF(OR(E8="",E8&lt;TODAY()),"",E8+ROW()/100000)</f>
        <v/>
      </c>
      <c r="AJ8">
        <f>IF(OR(F8="",F8&lt;TODAY()),"",F8+ROW()/100000)</f>
        <v/>
      </c>
    </row>
    <row r="9">
      <c r="A9" s="1" t="n"/>
      <c r="B9" s="35" t="inlineStr">
        <is>
          <t>Mountain cabin</t>
        </is>
      </c>
      <c r="C9" s="35" t="inlineStr">
        <is>
          <t>Ethan S.</t>
        </is>
      </c>
      <c r="D9" s="35" t="inlineStr">
        <is>
          <t>Vrbo</t>
        </is>
      </c>
      <c r="E9" s="36" t="n">
        <v>46036</v>
      </c>
      <c r="F9" s="36" t="n">
        <v>46038</v>
      </c>
      <c r="G9" s="18">
        <f>IF(OR(E9="",F9=""),"",F9-E9)</f>
        <v/>
      </c>
      <c r="H9" s="37" t="n">
        <v>3</v>
      </c>
      <c r="I9" s="38" t="n">
        <v>280</v>
      </c>
      <c r="J9" s="38" t="n">
        <v>80</v>
      </c>
      <c r="K9" s="38" t="n">
        <v>18</v>
      </c>
      <c r="L9" s="31">
        <f>IF(E9="","",N(I9)+N(J9)-N(K9))</f>
        <v/>
      </c>
      <c r="M9" s="39" t="inlineStr">
        <is>
          <t>Yes</t>
        </is>
      </c>
      <c r="N9" s="27">
        <f>IF(E9="","",IF(TODAY()&lt;E9,"Upcoming",IF(TODAY()&lt;F9,"Staying now",IF(M9="Yes","Checked out","Payout not received"))))</f>
        <v/>
      </c>
      <c r="O9" s="35" t="n"/>
      <c r="P9" s="1" t="n"/>
      <c r="Q9">
        <f>IF(N(G9)&gt;0,L9/G9,0)</f>
        <v/>
      </c>
      <c r="R9">
        <f>IF(N(G9)&gt;0,N(I9)/G9,0)</f>
        <v/>
      </c>
      <c r="S9">
        <f>IF(OR($E9="",$F9=""),0,MAX(0,MIN($F9,DATE(Dashboard!$C$4,2,1))-MAX($E9,DATE(Dashboard!$C$4,1,1))))</f>
        <v/>
      </c>
      <c r="T9">
        <f>IF(OR($E9="",$F9=""),0,MAX(0,MIN($F9,DATE(Dashboard!$C$4,3,1))-MAX($E9,DATE(Dashboard!$C$4,2,1))))</f>
        <v/>
      </c>
      <c r="U9">
        <f>IF(OR($E9="",$F9=""),0,MAX(0,MIN($F9,DATE(Dashboard!$C$4,4,1))-MAX($E9,DATE(Dashboard!$C$4,3,1))))</f>
        <v/>
      </c>
      <c r="V9">
        <f>IF(OR($E9="",$F9=""),0,MAX(0,MIN($F9,DATE(Dashboard!$C$4,5,1))-MAX($E9,DATE(Dashboard!$C$4,4,1))))</f>
        <v/>
      </c>
      <c r="W9">
        <f>IF(OR($E9="",$F9=""),0,MAX(0,MIN($F9,DATE(Dashboard!$C$4,6,1))-MAX($E9,DATE(Dashboard!$C$4,5,1))))</f>
        <v/>
      </c>
      <c r="X9">
        <f>IF(OR($E9="",$F9=""),0,MAX(0,MIN($F9,DATE(Dashboard!$C$4,7,1))-MAX($E9,DATE(Dashboard!$C$4,6,1))))</f>
        <v/>
      </c>
      <c r="Y9">
        <f>IF(OR($E9="",$F9=""),0,MAX(0,MIN($F9,DATE(Dashboard!$C$4,8,1))-MAX($E9,DATE(Dashboard!$C$4,7,1))))</f>
        <v/>
      </c>
      <c r="Z9">
        <f>IF(OR($E9="",$F9=""),0,MAX(0,MIN($F9,DATE(Dashboard!$C$4,9,1))-MAX($E9,DATE(Dashboard!$C$4,8,1))))</f>
        <v/>
      </c>
      <c r="AA9">
        <f>IF(OR($E9="",$F9=""),0,MAX(0,MIN($F9,DATE(Dashboard!$C$4,10,1))-MAX($E9,DATE(Dashboard!$C$4,9,1))))</f>
        <v/>
      </c>
      <c r="AB9">
        <f>IF(OR($E9="",$F9=""),0,MAX(0,MIN($F9,DATE(Dashboard!$C$4,11,1))-MAX($E9,DATE(Dashboard!$C$4,10,1))))</f>
        <v/>
      </c>
      <c r="AC9">
        <f>IF(OR($E9="",$F9=""),0,MAX(0,MIN($F9,DATE(Dashboard!$C$4,12,1))-MAX($E9,DATE(Dashboard!$C$4,11,1))))</f>
        <v/>
      </c>
      <c r="AD9">
        <f>IF(OR($E9="",$F9=""),0,MAX(0,MIN($F9,DATE(Dashboard!$C$4,13,1))-MAX($E9,DATE(Dashboard!$C$4,12,1))))</f>
        <v/>
      </c>
      <c r="AE9">
        <f>SUM(S9:AD9)</f>
        <v/>
      </c>
      <c r="AF9">
        <f>Q9*AE9</f>
        <v/>
      </c>
      <c r="AG9">
        <f>R9*AE9</f>
        <v/>
      </c>
      <c r="AH9">
        <f>SUMPRODUCT(S9:AD9,--(COLUMN(S9:AD9)-COLUMN(S9)+1&lt;=Dashboard!$N$1))</f>
        <v/>
      </c>
      <c r="AI9">
        <f>IF(OR(E9="",E9&lt;TODAY()),"",E9+ROW()/100000)</f>
        <v/>
      </c>
      <c r="AJ9">
        <f>IF(OR(F9="",F9&lt;TODAY()),"",F9+ROW()/100000)</f>
        <v/>
      </c>
    </row>
    <row r="10">
      <c r="A10" s="1" t="n"/>
      <c r="B10" s="35" t="inlineStr">
        <is>
          <t>Mountain cabin</t>
        </is>
      </c>
      <c r="C10" s="35" t="inlineStr">
        <is>
          <t>Owen E.</t>
        </is>
      </c>
      <c r="D10" s="35" t="inlineStr">
        <is>
          <t>Direct</t>
        </is>
      </c>
      <c r="E10" s="36" t="n">
        <v>46038</v>
      </c>
      <c r="F10" s="36" t="n">
        <v>46045</v>
      </c>
      <c r="G10" s="18">
        <f>IF(OR(E10="",F10=""),"",F10-E10)</f>
        <v/>
      </c>
      <c r="H10" s="37" t="n">
        <v>5</v>
      </c>
      <c r="I10" s="38" t="n">
        <v>980</v>
      </c>
      <c r="J10" s="38" t="n">
        <v>80</v>
      </c>
      <c r="K10" s="38" t="n">
        <v>0</v>
      </c>
      <c r="L10" s="31">
        <f>IF(E10="","",N(I10)+N(J10)-N(K10))</f>
        <v/>
      </c>
      <c r="M10" s="39" t="inlineStr">
        <is>
          <t>Yes</t>
        </is>
      </c>
      <c r="N10" s="27">
        <f>IF(E10="","",IF(TODAY()&lt;E10,"Upcoming",IF(TODAY()&lt;F10,"Staying now",IF(M10="Yes","Checked out","Payout not received"))))</f>
        <v/>
      </c>
      <c r="O10" s="35" t="n"/>
      <c r="P10" s="1" t="n"/>
      <c r="Q10">
        <f>IF(N(G10)&gt;0,L10/G10,0)</f>
        <v/>
      </c>
      <c r="R10">
        <f>IF(N(G10)&gt;0,N(I10)/G10,0)</f>
        <v/>
      </c>
      <c r="S10">
        <f>IF(OR($E10="",$F10=""),0,MAX(0,MIN($F10,DATE(Dashboard!$C$4,2,1))-MAX($E10,DATE(Dashboard!$C$4,1,1))))</f>
        <v/>
      </c>
      <c r="T10">
        <f>IF(OR($E10="",$F10=""),0,MAX(0,MIN($F10,DATE(Dashboard!$C$4,3,1))-MAX($E10,DATE(Dashboard!$C$4,2,1))))</f>
        <v/>
      </c>
      <c r="U10">
        <f>IF(OR($E10="",$F10=""),0,MAX(0,MIN($F10,DATE(Dashboard!$C$4,4,1))-MAX($E10,DATE(Dashboard!$C$4,3,1))))</f>
        <v/>
      </c>
      <c r="V10">
        <f>IF(OR($E10="",$F10=""),0,MAX(0,MIN($F10,DATE(Dashboard!$C$4,5,1))-MAX($E10,DATE(Dashboard!$C$4,4,1))))</f>
        <v/>
      </c>
      <c r="W10">
        <f>IF(OR($E10="",$F10=""),0,MAX(0,MIN($F10,DATE(Dashboard!$C$4,6,1))-MAX($E10,DATE(Dashboard!$C$4,5,1))))</f>
        <v/>
      </c>
      <c r="X10">
        <f>IF(OR($E10="",$F10=""),0,MAX(0,MIN($F10,DATE(Dashboard!$C$4,7,1))-MAX($E10,DATE(Dashboard!$C$4,6,1))))</f>
        <v/>
      </c>
      <c r="Y10">
        <f>IF(OR($E10="",$F10=""),0,MAX(0,MIN($F10,DATE(Dashboard!$C$4,8,1))-MAX($E10,DATE(Dashboard!$C$4,7,1))))</f>
        <v/>
      </c>
      <c r="Z10">
        <f>IF(OR($E10="",$F10=""),0,MAX(0,MIN($F10,DATE(Dashboard!$C$4,9,1))-MAX($E10,DATE(Dashboard!$C$4,8,1))))</f>
        <v/>
      </c>
      <c r="AA10">
        <f>IF(OR($E10="",$F10=""),0,MAX(0,MIN($F10,DATE(Dashboard!$C$4,10,1))-MAX($E10,DATE(Dashboard!$C$4,9,1))))</f>
        <v/>
      </c>
      <c r="AB10">
        <f>IF(OR($E10="",$F10=""),0,MAX(0,MIN($F10,DATE(Dashboard!$C$4,11,1))-MAX($E10,DATE(Dashboard!$C$4,10,1))))</f>
        <v/>
      </c>
      <c r="AC10">
        <f>IF(OR($E10="",$F10=""),0,MAX(0,MIN($F10,DATE(Dashboard!$C$4,12,1))-MAX($E10,DATE(Dashboard!$C$4,11,1))))</f>
        <v/>
      </c>
      <c r="AD10">
        <f>IF(OR($E10="",$F10=""),0,MAX(0,MIN($F10,DATE(Dashboard!$C$4,13,1))-MAX($E10,DATE(Dashboard!$C$4,12,1))))</f>
        <v/>
      </c>
      <c r="AE10">
        <f>SUM(S10:AD10)</f>
        <v/>
      </c>
      <c r="AF10">
        <f>Q10*AE10</f>
        <v/>
      </c>
      <c r="AG10">
        <f>R10*AE10</f>
        <v/>
      </c>
      <c r="AH10">
        <f>SUMPRODUCT(S10:AD10,--(COLUMN(S10:AD10)-COLUMN(S10)+1&lt;=Dashboard!$N$1))</f>
        <v/>
      </c>
      <c r="AI10">
        <f>IF(OR(E10="",E10&lt;TODAY()),"",E10+ROW()/100000)</f>
        <v/>
      </c>
      <c r="AJ10">
        <f>IF(OR(F10="",F10&lt;TODAY()),"",F10+ROW()/100000)</f>
        <v/>
      </c>
    </row>
    <row r="11">
      <c r="A11" s="1" t="n"/>
      <c r="B11" s="35" t="inlineStr">
        <is>
          <t>Mountain cabin</t>
        </is>
      </c>
      <c r="C11" s="35" t="inlineStr">
        <is>
          <t>Olivia L.</t>
        </is>
      </c>
      <c r="D11" s="35" t="inlineStr">
        <is>
          <t>Airbnb</t>
        </is>
      </c>
      <c r="E11" s="36" t="n">
        <v>46045</v>
      </c>
      <c r="F11" s="36" t="n">
        <v>46048</v>
      </c>
      <c r="G11" s="18">
        <f>IF(OR(E11="",F11=""),"",F11-E11)</f>
        <v/>
      </c>
      <c r="H11" s="37" t="n">
        <v>3</v>
      </c>
      <c r="I11" s="38" t="n">
        <v>420</v>
      </c>
      <c r="J11" s="38" t="n">
        <v>80</v>
      </c>
      <c r="K11" s="38" t="n">
        <v>15</v>
      </c>
      <c r="L11" s="31">
        <f>IF(E11="","",N(I11)+N(J11)-N(K11))</f>
        <v/>
      </c>
      <c r="M11" s="39" t="inlineStr">
        <is>
          <t>Yes</t>
        </is>
      </c>
      <c r="N11" s="27">
        <f>IF(E11="","",IF(TODAY()&lt;E11,"Upcoming",IF(TODAY()&lt;F11,"Staying now",IF(M11="Yes","Checked out","Payout not received"))))</f>
        <v/>
      </c>
      <c r="O11" s="35" t="n"/>
      <c r="P11" s="1" t="n"/>
      <c r="Q11">
        <f>IF(N(G11)&gt;0,L11/G11,0)</f>
        <v/>
      </c>
      <c r="R11">
        <f>IF(N(G11)&gt;0,N(I11)/G11,0)</f>
        <v/>
      </c>
      <c r="S11">
        <f>IF(OR($E11="",$F11=""),0,MAX(0,MIN($F11,DATE(Dashboard!$C$4,2,1))-MAX($E11,DATE(Dashboard!$C$4,1,1))))</f>
        <v/>
      </c>
      <c r="T11">
        <f>IF(OR($E11="",$F11=""),0,MAX(0,MIN($F11,DATE(Dashboard!$C$4,3,1))-MAX($E11,DATE(Dashboard!$C$4,2,1))))</f>
        <v/>
      </c>
      <c r="U11">
        <f>IF(OR($E11="",$F11=""),0,MAX(0,MIN($F11,DATE(Dashboard!$C$4,4,1))-MAX($E11,DATE(Dashboard!$C$4,3,1))))</f>
        <v/>
      </c>
      <c r="V11">
        <f>IF(OR($E11="",$F11=""),0,MAX(0,MIN($F11,DATE(Dashboard!$C$4,5,1))-MAX($E11,DATE(Dashboard!$C$4,4,1))))</f>
        <v/>
      </c>
      <c r="W11">
        <f>IF(OR($E11="",$F11=""),0,MAX(0,MIN($F11,DATE(Dashboard!$C$4,6,1))-MAX($E11,DATE(Dashboard!$C$4,5,1))))</f>
        <v/>
      </c>
      <c r="X11">
        <f>IF(OR($E11="",$F11=""),0,MAX(0,MIN($F11,DATE(Dashboard!$C$4,7,1))-MAX($E11,DATE(Dashboard!$C$4,6,1))))</f>
        <v/>
      </c>
      <c r="Y11">
        <f>IF(OR($E11="",$F11=""),0,MAX(0,MIN($F11,DATE(Dashboard!$C$4,8,1))-MAX($E11,DATE(Dashboard!$C$4,7,1))))</f>
        <v/>
      </c>
      <c r="Z11">
        <f>IF(OR($E11="",$F11=""),0,MAX(0,MIN($F11,DATE(Dashboard!$C$4,9,1))-MAX($E11,DATE(Dashboard!$C$4,8,1))))</f>
        <v/>
      </c>
      <c r="AA11">
        <f>IF(OR($E11="",$F11=""),0,MAX(0,MIN($F11,DATE(Dashboard!$C$4,10,1))-MAX($E11,DATE(Dashboard!$C$4,9,1))))</f>
        <v/>
      </c>
      <c r="AB11">
        <f>IF(OR($E11="",$F11=""),0,MAX(0,MIN($F11,DATE(Dashboard!$C$4,11,1))-MAX($E11,DATE(Dashboard!$C$4,10,1))))</f>
        <v/>
      </c>
      <c r="AC11">
        <f>IF(OR($E11="",$F11=""),0,MAX(0,MIN($F11,DATE(Dashboard!$C$4,12,1))-MAX($E11,DATE(Dashboard!$C$4,11,1))))</f>
        <v/>
      </c>
      <c r="AD11">
        <f>IF(OR($E11="",$F11=""),0,MAX(0,MIN($F11,DATE(Dashboard!$C$4,13,1))-MAX($E11,DATE(Dashboard!$C$4,12,1))))</f>
        <v/>
      </c>
      <c r="AE11">
        <f>SUM(S11:AD11)</f>
        <v/>
      </c>
      <c r="AF11">
        <f>Q11*AE11</f>
        <v/>
      </c>
      <c r="AG11">
        <f>R11*AE11</f>
        <v/>
      </c>
      <c r="AH11">
        <f>SUMPRODUCT(S11:AD11,--(COLUMN(S11:AD11)-COLUMN(S11)+1&lt;=Dashboard!$N$1))</f>
        <v/>
      </c>
      <c r="AI11">
        <f>IF(OR(E11="",E11&lt;TODAY()),"",E11+ROW()/100000)</f>
        <v/>
      </c>
      <c r="AJ11">
        <f>IF(OR(F11="",F11&lt;TODAY()),"",F11+ROW()/100000)</f>
        <v/>
      </c>
    </row>
    <row r="12">
      <c r="A12" s="1" t="n"/>
      <c r="B12" s="35" t="inlineStr">
        <is>
          <t>Beach apartment</t>
        </is>
      </c>
      <c r="C12" s="35" t="inlineStr">
        <is>
          <t>Hugo H.</t>
        </is>
      </c>
      <c r="D12" s="35" t="inlineStr">
        <is>
          <t>Booking.com</t>
        </is>
      </c>
      <c r="E12" s="36" t="n">
        <v>46048</v>
      </c>
      <c r="F12" s="36" t="n">
        <v>46053</v>
      </c>
      <c r="G12" s="18">
        <f>IF(OR(E12="",F12=""),"",F12-E12)</f>
        <v/>
      </c>
      <c r="H12" s="37" t="n">
        <v>3</v>
      </c>
      <c r="I12" s="38" t="n">
        <v>475</v>
      </c>
      <c r="J12" s="38" t="n">
        <v>60</v>
      </c>
      <c r="K12" s="38" t="n">
        <v>80.25</v>
      </c>
      <c r="L12" s="31">
        <f>IF(E12="","",N(I12)+N(J12)-N(K12))</f>
        <v/>
      </c>
      <c r="M12" s="39" t="inlineStr">
        <is>
          <t>Yes</t>
        </is>
      </c>
      <c r="N12" s="27">
        <f>IF(E12="","",IF(TODAY()&lt;E12,"Upcoming",IF(TODAY()&lt;F12,"Staying now",IF(M12="Yes","Checked out","Payout not received"))))</f>
        <v/>
      </c>
      <c r="O12" s="35" t="n"/>
      <c r="P12" s="1" t="n"/>
      <c r="Q12">
        <f>IF(N(G12)&gt;0,L12/G12,0)</f>
        <v/>
      </c>
      <c r="R12">
        <f>IF(N(G12)&gt;0,N(I12)/G12,0)</f>
        <v/>
      </c>
      <c r="S12">
        <f>IF(OR($E12="",$F12=""),0,MAX(0,MIN($F12,DATE(Dashboard!$C$4,2,1))-MAX($E12,DATE(Dashboard!$C$4,1,1))))</f>
        <v/>
      </c>
      <c r="T12">
        <f>IF(OR($E12="",$F12=""),0,MAX(0,MIN($F12,DATE(Dashboard!$C$4,3,1))-MAX($E12,DATE(Dashboard!$C$4,2,1))))</f>
        <v/>
      </c>
      <c r="U12">
        <f>IF(OR($E12="",$F12=""),0,MAX(0,MIN($F12,DATE(Dashboard!$C$4,4,1))-MAX($E12,DATE(Dashboard!$C$4,3,1))))</f>
        <v/>
      </c>
      <c r="V12">
        <f>IF(OR($E12="",$F12=""),0,MAX(0,MIN($F12,DATE(Dashboard!$C$4,5,1))-MAX($E12,DATE(Dashboard!$C$4,4,1))))</f>
        <v/>
      </c>
      <c r="W12">
        <f>IF(OR($E12="",$F12=""),0,MAX(0,MIN($F12,DATE(Dashboard!$C$4,6,1))-MAX($E12,DATE(Dashboard!$C$4,5,1))))</f>
        <v/>
      </c>
      <c r="X12">
        <f>IF(OR($E12="",$F12=""),0,MAX(0,MIN($F12,DATE(Dashboard!$C$4,7,1))-MAX($E12,DATE(Dashboard!$C$4,6,1))))</f>
        <v/>
      </c>
      <c r="Y12">
        <f>IF(OR($E12="",$F12=""),0,MAX(0,MIN($F12,DATE(Dashboard!$C$4,8,1))-MAX($E12,DATE(Dashboard!$C$4,7,1))))</f>
        <v/>
      </c>
      <c r="Z12">
        <f>IF(OR($E12="",$F12=""),0,MAX(0,MIN($F12,DATE(Dashboard!$C$4,9,1))-MAX($E12,DATE(Dashboard!$C$4,8,1))))</f>
        <v/>
      </c>
      <c r="AA12">
        <f>IF(OR($E12="",$F12=""),0,MAX(0,MIN($F12,DATE(Dashboard!$C$4,10,1))-MAX($E12,DATE(Dashboard!$C$4,9,1))))</f>
        <v/>
      </c>
      <c r="AB12">
        <f>IF(OR($E12="",$F12=""),0,MAX(0,MIN($F12,DATE(Dashboard!$C$4,11,1))-MAX($E12,DATE(Dashboard!$C$4,10,1))))</f>
        <v/>
      </c>
      <c r="AC12">
        <f>IF(OR($E12="",$F12=""),0,MAX(0,MIN($F12,DATE(Dashboard!$C$4,12,1))-MAX($E12,DATE(Dashboard!$C$4,11,1))))</f>
        <v/>
      </c>
      <c r="AD12">
        <f>IF(OR($E12="",$F12=""),0,MAX(0,MIN($F12,DATE(Dashboard!$C$4,13,1))-MAX($E12,DATE(Dashboard!$C$4,12,1))))</f>
        <v/>
      </c>
      <c r="AE12">
        <f>SUM(S12:AD12)</f>
        <v/>
      </c>
      <c r="AF12">
        <f>Q12*AE12</f>
        <v/>
      </c>
      <c r="AG12">
        <f>R12*AE12</f>
        <v/>
      </c>
      <c r="AH12">
        <f>SUMPRODUCT(S12:AD12,--(COLUMN(S12:AD12)-COLUMN(S12)+1&lt;=Dashboard!$N$1))</f>
        <v/>
      </c>
      <c r="AI12">
        <f>IF(OR(E12="",E12&lt;TODAY()),"",E12+ROW()/100000)</f>
        <v/>
      </c>
      <c r="AJ12">
        <f>IF(OR(F12="",F12&lt;TODAY()),"",F12+ROW()/100000)</f>
        <v/>
      </c>
    </row>
    <row r="13">
      <c r="A13" s="1" t="n"/>
      <c r="B13" s="35" t="inlineStr">
        <is>
          <t>Mountain cabin</t>
        </is>
      </c>
      <c r="C13" s="35" t="inlineStr">
        <is>
          <t>Max H.</t>
        </is>
      </c>
      <c r="D13" s="35" t="inlineStr">
        <is>
          <t>Vrbo</t>
        </is>
      </c>
      <c r="E13" s="36" t="n">
        <v>46049</v>
      </c>
      <c r="F13" s="36" t="n">
        <v>46051</v>
      </c>
      <c r="G13" s="18">
        <f>IF(OR(E13="",F13=""),"",F13-E13)</f>
        <v/>
      </c>
      <c r="H13" s="37" t="n">
        <v>5</v>
      </c>
      <c r="I13" s="38" t="n">
        <v>280</v>
      </c>
      <c r="J13" s="38" t="n">
        <v>80</v>
      </c>
      <c r="K13" s="38" t="n">
        <v>18</v>
      </c>
      <c r="L13" s="31">
        <f>IF(E13="","",N(I13)+N(J13)-N(K13))</f>
        <v/>
      </c>
      <c r="M13" s="39" t="inlineStr">
        <is>
          <t>Yes</t>
        </is>
      </c>
      <c r="N13" s="27">
        <f>IF(E13="","",IF(TODAY()&lt;E13,"Upcoming",IF(TODAY()&lt;F13,"Staying now",IF(M13="Yes","Checked out","Payout not received"))))</f>
        <v/>
      </c>
      <c r="O13" s="35" t="n"/>
      <c r="P13" s="1" t="n"/>
      <c r="Q13">
        <f>IF(N(G13)&gt;0,L13/G13,0)</f>
        <v/>
      </c>
      <c r="R13">
        <f>IF(N(G13)&gt;0,N(I13)/G13,0)</f>
        <v/>
      </c>
      <c r="S13">
        <f>IF(OR($E13="",$F13=""),0,MAX(0,MIN($F13,DATE(Dashboard!$C$4,2,1))-MAX($E13,DATE(Dashboard!$C$4,1,1))))</f>
        <v/>
      </c>
      <c r="T13">
        <f>IF(OR($E13="",$F13=""),0,MAX(0,MIN($F13,DATE(Dashboard!$C$4,3,1))-MAX($E13,DATE(Dashboard!$C$4,2,1))))</f>
        <v/>
      </c>
      <c r="U13">
        <f>IF(OR($E13="",$F13=""),0,MAX(0,MIN($F13,DATE(Dashboard!$C$4,4,1))-MAX($E13,DATE(Dashboard!$C$4,3,1))))</f>
        <v/>
      </c>
      <c r="V13">
        <f>IF(OR($E13="",$F13=""),0,MAX(0,MIN($F13,DATE(Dashboard!$C$4,5,1))-MAX($E13,DATE(Dashboard!$C$4,4,1))))</f>
        <v/>
      </c>
      <c r="W13">
        <f>IF(OR($E13="",$F13=""),0,MAX(0,MIN($F13,DATE(Dashboard!$C$4,6,1))-MAX($E13,DATE(Dashboard!$C$4,5,1))))</f>
        <v/>
      </c>
      <c r="X13">
        <f>IF(OR($E13="",$F13=""),0,MAX(0,MIN($F13,DATE(Dashboard!$C$4,7,1))-MAX($E13,DATE(Dashboard!$C$4,6,1))))</f>
        <v/>
      </c>
      <c r="Y13">
        <f>IF(OR($E13="",$F13=""),0,MAX(0,MIN($F13,DATE(Dashboard!$C$4,8,1))-MAX($E13,DATE(Dashboard!$C$4,7,1))))</f>
        <v/>
      </c>
      <c r="Z13">
        <f>IF(OR($E13="",$F13=""),0,MAX(0,MIN($F13,DATE(Dashboard!$C$4,9,1))-MAX($E13,DATE(Dashboard!$C$4,8,1))))</f>
        <v/>
      </c>
      <c r="AA13">
        <f>IF(OR($E13="",$F13=""),0,MAX(0,MIN($F13,DATE(Dashboard!$C$4,10,1))-MAX($E13,DATE(Dashboard!$C$4,9,1))))</f>
        <v/>
      </c>
      <c r="AB13">
        <f>IF(OR($E13="",$F13=""),0,MAX(0,MIN($F13,DATE(Dashboard!$C$4,11,1))-MAX($E13,DATE(Dashboard!$C$4,10,1))))</f>
        <v/>
      </c>
      <c r="AC13">
        <f>IF(OR($E13="",$F13=""),0,MAX(0,MIN($F13,DATE(Dashboard!$C$4,12,1))-MAX($E13,DATE(Dashboard!$C$4,11,1))))</f>
        <v/>
      </c>
      <c r="AD13">
        <f>IF(OR($E13="",$F13=""),0,MAX(0,MIN($F13,DATE(Dashboard!$C$4,13,1))-MAX($E13,DATE(Dashboard!$C$4,12,1))))</f>
        <v/>
      </c>
      <c r="AE13">
        <f>SUM(S13:AD13)</f>
        <v/>
      </c>
      <c r="AF13">
        <f>Q13*AE13</f>
        <v/>
      </c>
      <c r="AG13">
        <f>R13*AE13</f>
        <v/>
      </c>
      <c r="AH13">
        <f>SUMPRODUCT(S13:AD13,--(COLUMN(S13:AD13)-COLUMN(S13)+1&lt;=Dashboard!$N$1))</f>
        <v/>
      </c>
      <c r="AI13">
        <f>IF(OR(E13="",E13&lt;TODAY()),"",E13+ROW()/100000)</f>
        <v/>
      </c>
      <c r="AJ13">
        <f>IF(OR(F13="",F13&lt;TODAY()),"",F13+ROW()/100000)</f>
        <v/>
      </c>
    </row>
    <row r="14">
      <c r="A14" s="1" t="n"/>
      <c r="B14" s="35" t="inlineStr">
        <is>
          <t>Mountain cabin</t>
        </is>
      </c>
      <c r="C14" s="35" t="inlineStr">
        <is>
          <t>Sam C.</t>
        </is>
      </c>
      <c r="D14" s="35" t="inlineStr">
        <is>
          <t>Booking.com</t>
        </is>
      </c>
      <c r="E14" s="36" t="n">
        <v>46054</v>
      </c>
      <c r="F14" s="36" t="n">
        <v>46059</v>
      </c>
      <c r="G14" s="18">
        <f>IF(OR(E14="",F14=""),"",F14-E14)</f>
        <v/>
      </c>
      <c r="H14" s="37" t="n">
        <v>5</v>
      </c>
      <c r="I14" s="38" t="n">
        <v>700</v>
      </c>
      <c r="J14" s="38" t="n">
        <v>80</v>
      </c>
      <c r="K14" s="38" t="n">
        <v>117</v>
      </c>
      <c r="L14" s="31">
        <f>IF(E14="","",N(I14)+N(J14)-N(K14))</f>
        <v/>
      </c>
      <c r="M14" s="39" t="inlineStr">
        <is>
          <t>Yes</t>
        </is>
      </c>
      <c r="N14" s="27">
        <f>IF(E14="","",IF(TODAY()&lt;E14,"Upcoming",IF(TODAY()&lt;F14,"Staying now",IF(M14="Yes","Checked out","Payout not received"))))</f>
        <v/>
      </c>
      <c r="O14" s="35" t="n"/>
      <c r="P14" s="1" t="n"/>
      <c r="Q14">
        <f>IF(N(G14)&gt;0,L14/G14,0)</f>
        <v/>
      </c>
      <c r="R14">
        <f>IF(N(G14)&gt;0,N(I14)/G14,0)</f>
        <v/>
      </c>
      <c r="S14">
        <f>IF(OR($E14="",$F14=""),0,MAX(0,MIN($F14,DATE(Dashboard!$C$4,2,1))-MAX($E14,DATE(Dashboard!$C$4,1,1))))</f>
        <v/>
      </c>
      <c r="T14">
        <f>IF(OR($E14="",$F14=""),0,MAX(0,MIN($F14,DATE(Dashboard!$C$4,3,1))-MAX($E14,DATE(Dashboard!$C$4,2,1))))</f>
        <v/>
      </c>
      <c r="U14">
        <f>IF(OR($E14="",$F14=""),0,MAX(0,MIN($F14,DATE(Dashboard!$C$4,4,1))-MAX($E14,DATE(Dashboard!$C$4,3,1))))</f>
        <v/>
      </c>
      <c r="V14">
        <f>IF(OR($E14="",$F14=""),0,MAX(0,MIN($F14,DATE(Dashboard!$C$4,5,1))-MAX($E14,DATE(Dashboard!$C$4,4,1))))</f>
        <v/>
      </c>
      <c r="W14">
        <f>IF(OR($E14="",$F14=""),0,MAX(0,MIN($F14,DATE(Dashboard!$C$4,6,1))-MAX($E14,DATE(Dashboard!$C$4,5,1))))</f>
        <v/>
      </c>
      <c r="X14">
        <f>IF(OR($E14="",$F14=""),0,MAX(0,MIN($F14,DATE(Dashboard!$C$4,7,1))-MAX($E14,DATE(Dashboard!$C$4,6,1))))</f>
        <v/>
      </c>
      <c r="Y14">
        <f>IF(OR($E14="",$F14=""),0,MAX(0,MIN($F14,DATE(Dashboard!$C$4,8,1))-MAX($E14,DATE(Dashboard!$C$4,7,1))))</f>
        <v/>
      </c>
      <c r="Z14">
        <f>IF(OR($E14="",$F14=""),0,MAX(0,MIN($F14,DATE(Dashboard!$C$4,9,1))-MAX($E14,DATE(Dashboard!$C$4,8,1))))</f>
        <v/>
      </c>
      <c r="AA14">
        <f>IF(OR($E14="",$F14=""),0,MAX(0,MIN($F14,DATE(Dashboard!$C$4,10,1))-MAX($E14,DATE(Dashboard!$C$4,9,1))))</f>
        <v/>
      </c>
      <c r="AB14">
        <f>IF(OR($E14="",$F14=""),0,MAX(0,MIN($F14,DATE(Dashboard!$C$4,11,1))-MAX($E14,DATE(Dashboard!$C$4,10,1))))</f>
        <v/>
      </c>
      <c r="AC14">
        <f>IF(OR($E14="",$F14=""),0,MAX(0,MIN($F14,DATE(Dashboard!$C$4,12,1))-MAX($E14,DATE(Dashboard!$C$4,11,1))))</f>
        <v/>
      </c>
      <c r="AD14">
        <f>IF(OR($E14="",$F14=""),0,MAX(0,MIN($F14,DATE(Dashboard!$C$4,13,1))-MAX($E14,DATE(Dashboard!$C$4,12,1))))</f>
        <v/>
      </c>
      <c r="AE14">
        <f>SUM(S14:AD14)</f>
        <v/>
      </c>
      <c r="AF14">
        <f>Q14*AE14</f>
        <v/>
      </c>
      <c r="AG14">
        <f>R14*AE14</f>
        <v/>
      </c>
      <c r="AH14">
        <f>SUMPRODUCT(S14:AD14,--(COLUMN(S14:AD14)-COLUMN(S14)+1&lt;=Dashboard!$N$1))</f>
        <v/>
      </c>
      <c r="AI14">
        <f>IF(OR(E14="",E14&lt;TODAY()),"",E14+ROW()/100000)</f>
        <v/>
      </c>
      <c r="AJ14">
        <f>IF(OR(F14="",F14&lt;TODAY()),"",F14+ROW()/100000)</f>
        <v/>
      </c>
    </row>
    <row r="15">
      <c r="A15" s="1" t="n"/>
      <c r="B15" s="35" t="inlineStr">
        <is>
          <t>Mountain cabin</t>
        </is>
      </c>
      <c r="C15" s="35" t="inlineStr">
        <is>
          <t>Noah B.</t>
        </is>
      </c>
      <c r="D15" s="35" t="inlineStr">
        <is>
          <t>Airbnb</t>
        </is>
      </c>
      <c r="E15" s="36" t="n">
        <v>46062</v>
      </c>
      <c r="F15" s="36" t="n">
        <v>46067</v>
      </c>
      <c r="G15" s="18">
        <f>IF(OR(E15="",F15=""),"",F15-E15)</f>
        <v/>
      </c>
      <c r="H15" s="37" t="n">
        <v>4</v>
      </c>
      <c r="I15" s="38" t="n">
        <v>700</v>
      </c>
      <c r="J15" s="38" t="n">
        <v>80</v>
      </c>
      <c r="K15" s="38" t="n">
        <v>23.4</v>
      </c>
      <c r="L15" s="31">
        <f>IF(E15="","",N(I15)+N(J15)-N(K15))</f>
        <v/>
      </c>
      <c r="M15" s="39" t="inlineStr">
        <is>
          <t>Yes</t>
        </is>
      </c>
      <c r="N15" s="27">
        <f>IF(E15="","",IF(TODAY()&lt;E15,"Upcoming",IF(TODAY()&lt;F15,"Staying now",IF(M15="Yes","Checked out","Payout not received"))))</f>
        <v/>
      </c>
      <c r="O15" s="35" t="n"/>
      <c r="P15" s="1" t="n"/>
      <c r="Q15">
        <f>IF(N(G15)&gt;0,L15/G15,0)</f>
        <v/>
      </c>
      <c r="R15">
        <f>IF(N(G15)&gt;0,N(I15)/G15,0)</f>
        <v/>
      </c>
      <c r="S15">
        <f>IF(OR($E15="",$F15=""),0,MAX(0,MIN($F15,DATE(Dashboard!$C$4,2,1))-MAX($E15,DATE(Dashboard!$C$4,1,1))))</f>
        <v/>
      </c>
      <c r="T15">
        <f>IF(OR($E15="",$F15=""),0,MAX(0,MIN($F15,DATE(Dashboard!$C$4,3,1))-MAX($E15,DATE(Dashboard!$C$4,2,1))))</f>
        <v/>
      </c>
      <c r="U15">
        <f>IF(OR($E15="",$F15=""),0,MAX(0,MIN($F15,DATE(Dashboard!$C$4,4,1))-MAX($E15,DATE(Dashboard!$C$4,3,1))))</f>
        <v/>
      </c>
      <c r="V15">
        <f>IF(OR($E15="",$F15=""),0,MAX(0,MIN($F15,DATE(Dashboard!$C$4,5,1))-MAX($E15,DATE(Dashboard!$C$4,4,1))))</f>
        <v/>
      </c>
      <c r="W15">
        <f>IF(OR($E15="",$F15=""),0,MAX(0,MIN($F15,DATE(Dashboard!$C$4,6,1))-MAX($E15,DATE(Dashboard!$C$4,5,1))))</f>
        <v/>
      </c>
      <c r="X15">
        <f>IF(OR($E15="",$F15=""),0,MAX(0,MIN($F15,DATE(Dashboard!$C$4,7,1))-MAX($E15,DATE(Dashboard!$C$4,6,1))))</f>
        <v/>
      </c>
      <c r="Y15">
        <f>IF(OR($E15="",$F15=""),0,MAX(0,MIN($F15,DATE(Dashboard!$C$4,8,1))-MAX($E15,DATE(Dashboard!$C$4,7,1))))</f>
        <v/>
      </c>
      <c r="Z15">
        <f>IF(OR($E15="",$F15=""),0,MAX(0,MIN($F15,DATE(Dashboard!$C$4,9,1))-MAX($E15,DATE(Dashboard!$C$4,8,1))))</f>
        <v/>
      </c>
      <c r="AA15">
        <f>IF(OR($E15="",$F15=""),0,MAX(0,MIN($F15,DATE(Dashboard!$C$4,10,1))-MAX($E15,DATE(Dashboard!$C$4,9,1))))</f>
        <v/>
      </c>
      <c r="AB15">
        <f>IF(OR($E15="",$F15=""),0,MAX(0,MIN($F15,DATE(Dashboard!$C$4,11,1))-MAX($E15,DATE(Dashboard!$C$4,10,1))))</f>
        <v/>
      </c>
      <c r="AC15">
        <f>IF(OR($E15="",$F15=""),0,MAX(0,MIN($F15,DATE(Dashboard!$C$4,12,1))-MAX($E15,DATE(Dashboard!$C$4,11,1))))</f>
        <v/>
      </c>
      <c r="AD15">
        <f>IF(OR($E15="",$F15=""),0,MAX(0,MIN($F15,DATE(Dashboard!$C$4,13,1))-MAX($E15,DATE(Dashboard!$C$4,12,1))))</f>
        <v/>
      </c>
      <c r="AE15">
        <f>SUM(S15:AD15)</f>
        <v/>
      </c>
      <c r="AF15">
        <f>Q15*AE15</f>
        <v/>
      </c>
      <c r="AG15">
        <f>R15*AE15</f>
        <v/>
      </c>
      <c r="AH15">
        <f>SUMPRODUCT(S15:AD15,--(COLUMN(S15:AD15)-COLUMN(S15)+1&lt;=Dashboard!$N$1))</f>
        <v/>
      </c>
      <c r="AI15">
        <f>IF(OR(E15="",E15&lt;TODAY()),"",E15+ROW()/100000)</f>
        <v/>
      </c>
      <c r="AJ15">
        <f>IF(OR(F15="",F15&lt;TODAY()),"",F15+ROW()/100000)</f>
        <v/>
      </c>
    </row>
    <row r="16">
      <c r="A16" s="1" t="n"/>
      <c r="B16" s="35" t="inlineStr">
        <is>
          <t>Beach apartment</t>
        </is>
      </c>
      <c r="C16" s="35" t="inlineStr">
        <is>
          <t>Nora K.</t>
        </is>
      </c>
      <c r="D16" s="35" t="inlineStr">
        <is>
          <t>Airbnb</t>
        </is>
      </c>
      <c r="E16" s="36" t="n">
        <v>46063</v>
      </c>
      <c r="F16" s="36" t="n">
        <v>46069</v>
      </c>
      <c r="G16" s="18">
        <f>IF(OR(E16="",F16=""),"",F16-E16)</f>
        <v/>
      </c>
      <c r="H16" s="37" t="n">
        <v>5</v>
      </c>
      <c r="I16" s="38" t="n">
        <v>570</v>
      </c>
      <c r="J16" s="38" t="n">
        <v>60</v>
      </c>
      <c r="K16" s="38" t="n">
        <v>18.9</v>
      </c>
      <c r="L16" s="31">
        <f>IF(E16="","",N(I16)+N(J16)-N(K16))</f>
        <v/>
      </c>
      <c r="M16" s="39" t="inlineStr">
        <is>
          <t>Yes</t>
        </is>
      </c>
      <c r="N16" s="27">
        <f>IF(E16="","",IF(TODAY()&lt;E16,"Upcoming",IF(TODAY()&lt;F16,"Staying now",IF(M16="Yes","Checked out","Payout not received"))))</f>
        <v/>
      </c>
      <c r="O16" s="35" t="n"/>
      <c r="P16" s="1" t="n"/>
      <c r="Q16">
        <f>IF(N(G16)&gt;0,L16/G16,0)</f>
        <v/>
      </c>
      <c r="R16">
        <f>IF(N(G16)&gt;0,N(I16)/G16,0)</f>
        <v/>
      </c>
      <c r="S16">
        <f>IF(OR($E16="",$F16=""),0,MAX(0,MIN($F16,DATE(Dashboard!$C$4,2,1))-MAX($E16,DATE(Dashboard!$C$4,1,1))))</f>
        <v/>
      </c>
      <c r="T16">
        <f>IF(OR($E16="",$F16=""),0,MAX(0,MIN($F16,DATE(Dashboard!$C$4,3,1))-MAX($E16,DATE(Dashboard!$C$4,2,1))))</f>
        <v/>
      </c>
      <c r="U16">
        <f>IF(OR($E16="",$F16=""),0,MAX(0,MIN($F16,DATE(Dashboard!$C$4,4,1))-MAX($E16,DATE(Dashboard!$C$4,3,1))))</f>
        <v/>
      </c>
      <c r="V16">
        <f>IF(OR($E16="",$F16=""),0,MAX(0,MIN($F16,DATE(Dashboard!$C$4,5,1))-MAX($E16,DATE(Dashboard!$C$4,4,1))))</f>
        <v/>
      </c>
      <c r="W16">
        <f>IF(OR($E16="",$F16=""),0,MAX(0,MIN($F16,DATE(Dashboard!$C$4,6,1))-MAX($E16,DATE(Dashboard!$C$4,5,1))))</f>
        <v/>
      </c>
      <c r="X16">
        <f>IF(OR($E16="",$F16=""),0,MAX(0,MIN($F16,DATE(Dashboard!$C$4,7,1))-MAX($E16,DATE(Dashboard!$C$4,6,1))))</f>
        <v/>
      </c>
      <c r="Y16">
        <f>IF(OR($E16="",$F16=""),0,MAX(0,MIN($F16,DATE(Dashboard!$C$4,8,1))-MAX($E16,DATE(Dashboard!$C$4,7,1))))</f>
        <v/>
      </c>
      <c r="Z16">
        <f>IF(OR($E16="",$F16=""),0,MAX(0,MIN($F16,DATE(Dashboard!$C$4,9,1))-MAX($E16,DATE(Dashboard!$C$4,8,1))))</f>
        <v/>
      </c>
      <c r="AA16">
        <f>IF(OR($E16="",$F16=""),0,MAX(0,MIN($F16,DATE(Dashboard!$C$4,10,1))-MAX($E16,DATE(Dashboard!$C$4,9,1))))</f>
        <v/>
      </c>
      <c r="AB16">
        <f>IF(OR($E16="",$F16=""),0,MAX(0,MIN($F16,DATE(Dashboard!$C$4,11,1))-MAX($E16,DATE(Dashboard!$C$4,10,1))))</f>
        <v/>
      </c>
      <c r="AC16">
        <f>IF(OR($E16="",$F16=""),0,MAX(0,MIN($F16,DATE(Dashboard!$C$4,12,1))-MAX($E16,DATE(Dashboard!$C$4,11,1))))</f>
        <v/>
      </c>
      <c r="AD16">
        <f>IF(OR($E16="",$F16=""),0,MAX(0,MIN($F16,DATE(Dashboard!$C$4,13,1))-MAX($E16,DATE(Dashboard!$C$4,12,1))))</f>
        <v/>
      </c>
      <c r="AE16">
        <f>SUM(S16:AD16)</f>
        <v/>
      </c>
      <c r="AF16">
        <f>Q16*AE16</f>
        <v/>
      </c>
      <c r="AG16">
        <f>R16*AE16</f>
        <v/>
      </c>
      <c r="AH16">
        <f>SUMPRODUCT(S16:AD16,--(COLUMN(S16:AD16)-COLUMN(S16)+1&lt;=Dashboard!$N$1))</f>
        <v/>
      </c>
      <c r="AI16">
        <f>IF(OR(E16="",E16&lt;TODAY()),"",E16+ROW()/100000)</f>
        <v/>
      </c>
      <c r="AJ16">
        <f>IF(OR(F16="",F16&lt;TODAY()),"",F16+ROW()/100000)</f>
        <v/>
      </c>
    </row>
    <row r="17">
      <c r="A17" s="1" t="n"/>
      <c r="B17" s="35" t="inlineStr">
        <is>
          <t>Mountain cabin</t>
        </is>
      </c>
      <c r="C17" s="35" t="inlineStr">
        <is>
          <t>Sam T.</t>
        </is>
      </c>
      <c r="D17" s="35" t="inlineStr">
        <is>
          <t>Booking.com</t>
        </is>
      </c>
      <c r="E17" s="36" t="n">
        <v>46067</v>
      </c>
      <c r="F17" s="36" t="n">
        <v>46073</v>
      </c>
      <c r="G17" s="18">
        <f>IF(OR(E17="",F17=""),"",F17-E17)</f>
        <v/>
      </c>
      <c r="H17" s="37" t="n">
        <v>4</v>
      </c>
      <c r="I17" s="38" t="n">
        <v>840</v>
      </c>
      <c r="J17" s="38" t="n">
        <v>80</v>
      </c>
      <c r="K17" s="38" t="n">
        <v>138</v>
      </c>
      <c r="L17" s="31">
        <f>IF(E17="","",N(I17)+N(J17)-N(K17))</f>
        <v/>
      </c>
      <c r="M17" s="39" t="inlineStr">
        <is>
          <t>Yes</t>
        </is>
      </c>
      <c r="N17" s="27">
        <f>IF(E17="","",IF(TODAY()&lt;E17,"Upcoming",IF(TODAY()&lt;F17,"Staying now",IF(M17="Yes","Checked out","Payout not received"))))</f>
        <v/>
      </c>
      <c r="O17" s="35" t="n"/>
      <c r="P17" s="1" t="n"/>
      <c r="Q17">
        <f>IF(N(G17)&gt;0,L17/G17,0)</f>
        <v/>
      </c>
      <c r="R17">
        <f>IF(N(G17)&gt;0,N(I17)/G17,0)</f>
        <v/>
      </c>
      <c r="S17">
        <f>IF(OR($E17="",$F17=""),0,MAX(0,MIN($F17,DATE(Dashboard!$C$4,2,1))-MAX($E17,DATE(Dashboard!$C$4,1,1))))</f>
        <v/>
      </c>
      <c r="T17">
        <f>IF(OR($E17="",$F17=""),0,MAX(0,MIN($F17,DATE(Dashboard!$C$4,3,1))-MAX($E17,DATE(Dashboard!$C$4,2,1))))</f>
        <v/>
      </c>
      <c r="U17">
        <f>IF(OR($E17="",$F17=""),0,MAX(0,MIN($F17,DATE(Dashboard!$C$4,4,1))-MAX($E17,DATE(Dashboard!$C$4,3,1))))</f>
        <v/>
      </c>
      <c r="V17">
        <f>IF(OR($E17="",$F17=""),0,MAX(0,MIN($F17,DATE(Dashboard!$C$4,5,1))-MAX($E17,DATE(Dashboard!$C$4,4,1))))</f>
        <v/>
      </c>
      <c r="W17">
        <f>IF(OR($E17="",$F17=""),0,MAX(0,MIN($F17,DATE(Dashboard!$C$4,6,1))-MAX($E17,DATE(Dashboard!$C$4,5,1))))</f>
        <v/>
      </c>
      <c r="X17">
        <f>IF(OR($E17="",$F17=""),0,MAX(0,MIN($F17,DATE(Dashboard!$C$4,7,1))-MAX($E17,DATE(Dashboard!$C$4,6,1))))</f>
        <v/>
      </c>
      <c r="Y17">
        <f>IF(OR($E17="",$F17=""),0,MAX(0,MIN($F17,DATE(Dashboard!$C$4,8,1))-MAX($E17,DATE(Dashboard!$C$4,7,1))))</f>
        <v/>
      </c>
      <c r="Z17">
        <f>IF(OR($E17="",$F17=""),0,MAX(0,MIN($F17,DATE(Dashboard!$C$4,9,1))-MAX($E17,DATE(Dashboard!$C$4,8,1))))</f>
        <v/>
      </c>
      <c r="AA17">
        <f>IF(OR($E17="",$F17=""),0,MAX(0,MIN($F17,DATE(Dashboard!$C$4,10,1))-MAX($E17,DATE(Dashboard!$C$4,9,1))))</f>
        <v/>
      </c>
      <c r="AB17">
        <f>IF(OR($E17="",$F17=""),0,MAX(0,MIN($F17,DATE(Dashboard!$C$4,11,1))-MAX($E17,DATE(Dashboard!$C$4,10,1))))</f>
        <v/>
      </c>
      <c r="AC17">
        <f>IF(OR($E17="",$F17=""),0,MAX(0,MIN($F17,DATE(Dashboard!$C$4,12,1))-MAX($E17,DATE(Dashboard!$C$4,11,1))))</f>
        <v/>
      </c>
      <c r="AD17">
        <f>IF(OR($E17="",$F17=""),0,MAX(0,MIN($F17,DATE(Dashboard!$C$4,13,1))-MAX($E17,DATE(Dashboard!$C$4,12,1))))</f>
        <v/>
      </c>
      <c r="AE17">
        <f>SUM(S17:AD17)</f>
        <v/>
      </c>
      <c r="AF17">
        <f>Q17*AE17</f>
        <v/>
      </c>
      <c r="AG17">
        <f>R17*AE17</f>
        <v/>
      </c>
      <c r="AH17">
        <f>SUMPRODUCT(S17:AD17,--(COLUMN(S17:AD17)-COLUMN(S17)+1&lt;=Dashboard!$N$1))</f>
        <v/>
      </c>
      <c r="AI17">
        <f>IF(OR(E17="",E17&lt;TODAY()),"",E17+ROW()/100000)</f>
        <v/>
      </c>
      <c r="AJ17">
        <f>IF(OR(F17="",F17&lt;TODAY()),"",F17+ROW()/100000)</f>
        <v/>
      </c>
    </row>
    <row r="18">
      <c r="A18" s="1" t="n"/>
      <c r="B18" s="35" t="inlineStr">
        <is>
          <t>Beach apartment</t>
        </is>
      </c>
      <c r="C18" s="35" t="inlineStr">
        <is>
          <t>Mia E.</t>
        </is>
      </c>
      <c r="D18" s="35" t="inlineStr">
        <is>
          <t>Airbnb</t>
        </is>
      </c>
      <c r="E18" s="36" t="n">
        <v>46074</v>
      </c>
      <c r="F18" s="36" t="n">
        <v>46077</v>
      </c>
      <c r="G18" s="18">
        <f>IF(OR(E18="",F18=""),"",F18-E18)</f>
        <v/>
      </c>
      <c r="H18" s="37" t="n">
        <v>3</v>
      </c>
      <c r="I18" s="38" t="n">
        <v>285</v>
      </c>
      <c r="J18" s="38" t="n">
        <v>60</v>
      </c>
      <c r="K18" s="38" t="n">
        <v>10.35</v>
      </c>
      <c r="L18" s="31">
        <f>IF(E18="","",N(I18)+N(J18)-N(K18))</f>
        <v/>
      </c>
      <c r="M18" s="39" t="inlineStr">
        <is>
          <t>Yes</t>
        </is>
      </c>
      <c r="N18" s="27">
        <f>IF(E18="","",IF(TODAY()&lt;E18,"Upcoming",IF(TODAY()&lt;F18,"Staying now",IF(M18="Yes","Checked out","Payout not received"))))</f>
        <v/>
      </c>
      <c r="O18" s="35" t="n"/>
      <c r="P18" s="1" t="n"/>
      <c r="Q18">
        <f>IF(N(G18)&gt;0,L18/G18,0)</f>
        <v/>
      </c>
      <c r="R18">
        <f>IF(N(G18)&gt;0,N(I18)/G18,0)</f>
        <v/>
      </c>
      <c r="S18">
        <f>IF(OR($E18="",$F18=""),0,MAX(0,MIN($F18,DATE(Dashboard!$C$4,2,1))-MAX($E18,DATE(Dashboard!$C$4,1,1))))</f>
        <v/>
      </c>
      <c r="T18">
        <f>IF(OR($E18="",$F18=""),0,MAX(0,MIN($F18,DATE(Dashboard!$C$4,3,1))-MAX($E18,DATE(Dashboard!$C$4,2,1))))</f>
        <v/>
      </c>
      <c r="U18">
        <f>IF(OR($E18="",$F18=""),0,MAX(0,MIN($F18,DATE(Dashboard!$C$4,4,1))-MAX($E18,DATE(Dashboard!$C$4,3,1))))</f>
        <v/>
      </c>
      <c r="V18">
        <f>IF(OR($E18="",$F18=""),0,MAX(0,MIN($F18,DATE(Dashboard!$C$4,5,1))-MAX($E18,DATE(Dashboard!$C$4,4,1))))</f>
        <v/>
      </c>
      <c r="W18">
        <f>IF(OR($E18="",$F18=""),0,MAX(0,MIN($F18,DATE(Dashboard!$C$4,6,1))-MAX($E18,DATE(Dashboard!$C$4,5,1))))</f>
        <v/>
      </c>
      <c r="X18">
        <f>IF(OR($E18="",$F18=""),0,MAX(0,MIN($F18,DATE(Dashboard!$C$4,7,1))-MAX($E18,DATE(Dashboard!$C$4,6,1))))</f>
        <v/>
      </c>
      <c r="Y18">
        <f>IF(OR($E18="",$F18=""),0,MAX(0,MIN($F18,DATE(Dashboard!$C$4,8,1))-MAX($E18,DATE(Dashboard!$C$4,7,1))))</f>
        <v/>
      </c>
      <c r="Z18">
        <f>IF(OR($E18="",$F18=""),0,MAX(0,MIN($F18,DATE(Dashboard!$C$4,9,1))-MAX($E18,DATE(Dashboard!$C$4,8,1))))</f>
        <v/>
      </c>
      <c r="AA18">
        <f>IF(OR($E18="",$F18=""),0,MAX(0,MIN($F18,DATE(Dashboard!$C$4,10,1))-MAX($E18,DATE(Dashboard!$C$4,9,1))))</f>
        <v/>
      </c>
      <c r="AB18">
        <f>IF(OR($E18="",$F18=""),0,MAX(0,MIN($F18,DATE(Dashboard!$C$4,11,1))-MAX($E18,DATE(Dashboard!$C$4,10,1))))</f>
        <v/>
      </c>
      <c r="AC18">
        <f>IF(OR($E18="",$F18=""),0,MAX(0,MIN($F18,DATE(Dashboard!$C$4,12,1))-MAX($E18,DATE(Dashboard!$C$4,11,1))))</f>
        <v/>
      </c>
      <c r="AD18">
        <f>IF(OR($E18="",$F18=""),0,MAX(0,MIN($F18,DATE(Dashboard!$C$4,13,1))-MAX($E18,DATE(Dashboard!$C$4,12,1))))</f>
        <v/>
      </c>
      <c r="AE18">
        <f>SUM(S18:AD18)</f>
        <v/>
      </c>
      <c r="AF18">
        <f>Q18*AE18</f>
        <v/>
      </c>
      <c r="AG18">
        <f>R18*AE18</f>
        <v/>
      </c>
      <c r="AH18">
        <f>SUMPRODUCT(S18:AD18,--(COLUMN(S18:AD18)-COLUMN(S18)+1&lt;=Dashboard!$N$1))</f>
        <v/>
      </c>
      <c r="AI18">
        <f>IF(OR(E18="",E18&lt;TODAY()),"",E18+ROW()/100000)</f>
        <v/>
      </c>
      <c r="AJ18">
        <f>IF(OR(F18="",F18&lt;TODAY()),"",F18+ROW()/100000)</f>
        <v/>
      </c>
    </row>
    <row r="19">
      <c r="A19" s="1" t="n"/>
      <c r="B19" s="35" t="inlineStr">
        <is>
          <t>Mountain cabin</t>
        </is>
      </c>
      <c r="C19" s="35" t="inlineStr">
        <is>
          <t>Sam C.</t>
        </is>
      </c>
      <c r="D19" s="35" t="inlineStr">
        <is>
          <t>Airbnb</t>
        </is>
      </c>
      <c r="E19" s="36" t="n">
        <v>46074</v>
      </c>
      <c r="F19" s="36" t="n">
        <v>46081</v>
      </c>
      <c r="G19" s="18">
        <f>IF(OR(E19="",F19=""),"",F19-E19)</f>
        <v/>
      </c>
      <c r="H19" s="37" t="n">
        <v>4</v>
      </c>
      <c r="I19" s="38" t="n">
        <v>980</v>
      </c>
      <c r="J19" s="38" t="n">
        <v>80</v>
      </c>
      <c r="K19" s="38" t="n">
        <v>31.8</v>
      </c>
      <c r="L19" s="31">
        <f>IF(E19="","",N(I19)+N(J19)-N(K19))</f>
        <v/>
      </c>
      <c r="M19" s="39" t="inlineStr">
        <is>
          <t>Yes</t>
        </is>
      </c>
      <c r="N19" s="27">
        <f>IF(E19="","",IF(TODAY()&lt;E19,"Upcoming",IF(TODAY()&lt;F19,"Staying now",IF(M19="Yes","Checked out","Payout not received"))))</f>
        <v/>
      </c>
      <c r="O19" s="35" t="n"/>
      <c r="P19" s="1" t="n"/>
      <c r="Q19">
        <f>IF(N(G19)&gt;0,L19/G19,0)</f>
        <v/>
      </c>
      <c r="R19">
        <f>IF(N(G19)&gt;0,N(I19)/G19,0)</f>
        <v/>
      </c>
      <c r="S19">
        <f>IF(OR($E19="",$F19=""),0,MAX(0,MIN($F19,DATE(Dashboard!$C$4,2,1))-MAX($E19,DATE(Dashboard!$C$4,1,1))))</f>
        <v/>
      </c>
      <c r="T19">
        <f>IF(OR($E19="",$F19=""),0,MAX(0,MIN($F19,DATE(Dashboard!$C$4,3,1))-MAX($E19,DATE(Dashboard!$C$4,2,1))))</f>
        <v/>
      </c>
      <c r="U19">
        <f>IF(OR($E19="",$F19=""),0,MAX(0,MIN($F19,DATE(Dashboard!$C$4,4,1))-MAX($E19,DATE(Dashboard!$C$4,3,1))))</f>
        <v/>
      </c>
      <c r="V19">
        <f>IF(OR($E19="",$F19=""),0,MAX(0,MIN($F19,DATE(Dashboard!$C$4,5,1))-MAX($E19,DATE(Dashboard!$C$4,4,1))))</f>
        <v/>
      </c>
      <c r="W19">
        <f>IF(OR($E19="",$F19=""),0,MAX(0,MIN($F19,DATE(Dashboard!$C$4,6,1))-MAX($E19,DATE(Dashboard!$C$4,5,1))))</f>
        <v/>
      </c>
      <c r="X19">
        <f>IF(OR($E19="",$F19=""),0,MAX(0,MIN($F19,DATE(Dashboard!$C$4,7,1))-MAX($E19,DATE(Dashboard!$C$4,6,1))))</f>
        <v/>
      </c>
      <c r="Y19">
        <f>IF(OR($E19="",$F19=""),0,MAX(0,MIN($F19,DATE(Dashboard!$C$4,8,1))-MAX($E19,DATE(Dashboard!$C$4,7,1))))</f>
        <v/>
      </c>
      <c r="Z19">
        <f>IF(OR($E19="",$F19=""),0,MAX(0,MIN($F19,DATE(Dashboard!$C$4,9,1))-MAX($E19,DATE(Dashboard!$C$4,8,1))))</f>
        <v/>
      </c>
      <c r="AA19">
        <f>IF(OR($E19="",$F19=""),0,MAX(0,MIN($F19,DATE(Dashboard!$C$4,10,1))-MAX($E19,DATE(Dashboard!$C$4,9,1))))</f>
        <v/>
      </c>
      <c r="AB19">
        <f>IF(OR($E19="",$F19=""),0,MAX(0,MIN($F19,DATE(Dashboard!$C$4,11,1))-MAX($E19,DATE(Dashboard!$C$4,10,1))))</f>
        <v/>
      </c>
      <c r="AC19">
        <f>IF(OR($E19="",$F19=""),0,MAX(0,MIN($F19,DATE(Dashboard!$C$4,12,1))-MAX($E19,DATE(Dashboard!$C$4,11,1))))</f>
        <v/>
      </c>
      <c r="AD19">
        <f>IF(OR($E19="",$F19=""),0,MAX(0,MIN($F19,DATE(Dashboard!$C$4,13,1))-MAX($E19,DATE(Dashboard!$C$4,12,1))))</f>
        <v/>
      </c>
      <c r="AE19">
        <f>SUM(S19:AD19)</f>
        <v/>
      </c>
      <c r="AF19">
        <f>Q19*AE19</f>
        <v/>
      </c>
      <c r="AG19">
        <f>R19*AE19</f>
        <v/>
      </c>
      <c r="AH19">
        <f>SUMPRODUCT(S19:AD19,--(COLUMN(S19:AD19)-COLUMN(S19)+1&lt;=Dashboard!$N$1))</f>
        <v/>
      </c>
      <c r="AI19">
        <f>IF(OR(E19="",E19&lt;TODAY()),"",E19+ROW()/100000)</f>
        <v/>
      </c>
      <c r="AJ19">
        <f>IF(OR(F19="",F19&lt;TODAY()),"",F19+ROW()/100000)</f>
        <v/>
      </c>
    </row>
    <row r="20">
      <c r="A20" s="1" t="n"/>
      <c r="B20" s="35" t="inlineStr">
        <is>
          <t>Mountain cabin</t>
        </is>
      </c>
      <c r="C20" s="35" t="inlineStr">
        <is>
          <t>Ava A.</t>
        </is>
      </c>
      <c r="D20" s="35" t="inlineStr">
        <is>
          <t>Airbnb</t>
        </is>
      </c>
      <c r="E20" s="36" t="n">
        <v>46083</v>
      </c>
      <c r="F20" s="36" t="n">
        <v>46087</v>
      </c>
      <c r="G20" s="18">
        <f>IF(OR(E20="",F20=""),"",F20-E20)</f>
        <v/>
      </c>
      <c r="H20" s="37" t="n">
        <v>2</v>
      </c>
      <c r="I20" s="38" t="n">
        <v>560</v>
      </c>
      <c r="J20" s="38" t="n">
        <v>80</v>
      </c>
      <c r="K20" s="38" t="n">
        <v>19.2</v>
      </c>
      <c r="L20" s="31">
        <f>IF(E20="","",N(I20)+N(J20)-N(K20))</f>
        <v/>
      </c>
      <c r="M20" s="39" t="inlineStr">
        <is>
          <t>Yes</t>
        </is>
      </c>
      <c r="N20" s="27">
        <f>IF(E20="","",IF(TODAY()&lt;E20,"Upcoming",IF(TODAY()&lt;F20,"Staying now",IF(M20="Yes","Checked out","Payout not received"))))</f>
        <v/>
      </c>
      <c r="O20" s="35" t="n"/>
      <c r="P20" s="1" t="n"/>
      <c r="Q20">
        <f>IF(N(G20)&gt;0,L20/G20,0)</f>
        <v/>
      </c>
      <c r="R20">
        <f>IF(N(G20)&gt;0,N(I20)/G20,0)</f>
        <v/>
      </c>
      <c r="S20">
        <f>IF(OR($E20="",$F20=""),0,MAX(0,MIN($F20,DATE(Dashboard!$C$4,2,1))-MAX($E20,DATE(Dashboard!$C$4,1,1))))</f>
        <v/>
      </c>
      <c r="T20">
        <f>IF(OR($E20="",$F20=""),0,MAX(0,MIN($F20,DATE(Dashboard!$C$4,3,1))-MAX($E20,DATE(Dashboard!$C$4,2,1))))</f>
        <v/>
      </c>
      <c r="U20">
        <f>IF(OR($E20="",$F20=""),0,MAX(0,MIN($F20,DATE(Dashboard!$C$4,4,1))-MAX($E20,DATE(Dashboard!$C$4,3,1))))</f>
        <v/>
      </c>
      <c r="V20">
        <f>IF(OR($E20="",$F20=""),0,MAX(0,MIN($F20,DATE(Dashboard!$C$4,5,1))-MAX($E20,DATE(Dashboard!$C$4,4,1))))</f>
        <v/>
      </c>
      <c r="W20">
        <f>IF(OR($E20="",$F20=""),0,MAX(0,MIN($F20,DATE(Dashboard!$C$4,6,1))-MAX($E20,DATE(Dashboard!$C$4,5,1))))</f>
        <v/>
      </c>
      <c r="X20">
        <f>IF(OR($E20="",$F20=""),0,MAX(0,MIN($F20,DATE(Dashboard!$C$4,7,1))-MAX($E20,DATE(Dashboard!$C$4,6,1))))</f>
        <v/>
      </c>
      <c r="Y20">
        <f>IF(OR($E20="",$F20=""),0,MAX(0,MIN($F20,DATE(Dashboard!$C$4,8,1))-MAX($E20,DATE(Dashboard!$C$4,7,1))))</f>
        <v/>
      </c>
      <c r="Z20">
        <f>IF(OR($E20="",$F20=""),0,MAX(0,MIN($F20,DATE(Dashboard!$C$4,9,1))-MAX($E20,DATE(Dashboard!$C$4,8,1))))</f>
        <v/>
      </c>
      <c r="AA20">
        <f>IF(OR($E20="",$F20=""),0,MAX(0,MIN($F20,DATE(Dashboard!$C$4,10,1))-MAX($E20,DATE(Dashboard!$C$4,9,1))))</f>
        <v/>
      </c>
      <c r="AB20">
        <f>IF(OR($E20="",$F20=""),0,MAX(0,MIN($F20,DATE(Dashboard!$C$4,11,1))-MAX($E20,DATE(Dashboard!$C$4,10,1))))</f>
        <v/>
      </c>
      <c r="AC20">
        <f>IF(OR($E20="",$F20=""),0,MAX(0,MIN($F20,DATE(Dashboard!$C$4,12,1))-MAX($E20,DATE(Dashboard!$C$4,11,1))))</f>
        <v/>
      </c>
      <c r="AD20">
        <f>IF(OR($E20="",$F20=""),0,MAX(0,MIN($F20,DATE(Dashboard!$C$4,13,1))-MAX($E20,DATE(Dashboard!$C$4,12,1))))</f>
        <v/>
      </c>
      <c r="AE20">
        <f>SUM(S20:AD20)</f>
        <v/>
      </c>
      <c r="AF20">
        <f>Q20*AE20</f>
        <v/>
      </c>
      <c r="AG20">
        <f>R20*AE20</f>
        <v/>
      </c>
      <c r="AH20">
        <f>SUMPRODUCT(S20:AD20,--(COLUMN(S20:AD20)-COLUMN(S20)+1&lt;=Dashboard!$N$1))</f>
        <v/>
      </c>
      <c r="AI20">
        <f>IF(OR(E20="",E20&lt;TODAY()),"",E20+ROW()/100000)</f>
        <v/>
      </c>
      <c r="AJ20">
        <f>IF(OR(F20="",F20&lt;TODAY()),"",F20+ROW()/100000)</f>
        <v/>
      </c>
    </row>
    <row r="21">
      <c r="A21" s="1" t="n"/>
      <c r="B21" s="35" t="inlineStr">
        <is>
          <t>Beach apartment</t>
        </is>
      </c>
      <c r="C21" s="35" t="inlineStr">
        <is>
          <t>Lily J.</t>
        </is>
      </c>
      <c r="D21" s="35" t="inlineStr">
        <is>
          <t>Airbnb</t>
        </is>
      </c>
      <c r="E21" s="36" t="n">
        <v>46087</v>
      </c>
      <c r="F21" s="36" t="n">
        <v>46092</v>
      </c>
      <c r="G21" s="18">
        <f>IF(OR(E21="",F21=""),"",F21-E21)</f>
        <v/>
      </c>
      <c r="H21" s="37" t="n">
        <v>2</v>
      </c>
      <c r="I21" s="38" t="n">
        <v>475</v>
      </c>
      <c r="J21" s="38" t="n">
        <v>60</v>
      </c>
      <c r="K21" s="38" t="n">
        <v>16.05</v>
      </c>
      <c r="L21" s="31">
        <f>IF(E21="","",N(I21)+N(J21)-N(K21))</f>
        <v/>
      </c>
      <c r="M21" s="39" t="inlineStr">
        <is>
          <t>Yes</t>
        </is>
      </c>
      <c r="N21" s="27">
        <f>IF(E21="","",IF(TODAY()&lt;E21,"Upcoming",IF(TODAY()&lt;F21,"Staying now",IF(M21="Yes","Checked out","Payout not received"))))</f>
        <v/>
      </c>
      <c r="O21" s="35" t="n"/>
      <c r="P21" s="1" t="n"/>
      <c r="Q21">
        <f>IF(N(G21)&gt;0,L21/G21,0)</f>
        <v/>
      </c>
      <c r="R21">
        <f>IF(N(G21)&gt;0,N(I21)/G21,0)</f>
        <v/>
      </c>
      <c r="S21">
        <f>IF(OR($E21="",$F21=""),0,MAX(0,MIN($F21,DATE(Dashboard!$C$4,2,1))-MAX($E21,DATE(Dashboard!$C$4,1,1))))</f>
        <v/>
      </c>
      <c r="T21">
        <f>IF(OR($E21="",$F21=""),0,MAX(0,MIN($F21,DATE(Dashboard!$C$4,3,1))-MAX($E21,DATE(Dashboard!$C$4,2,1))))</f>
        <v/>
      </c>
      <c r="U21">
        <f>IF(OR($E21="",$F21=""),0,MAX(0,MIN($F21,DATE(Dashboard!$C$4,4,1))-MAX($E21,DATE(Dashboard!$C$4,3,1))))</f>
        <v/>
      </c>
      <c r="V21">
        <f>IF(OR($E21="",$F21=""),0,MAX(0,MIN($F21,DATE(Dashboard!$C$4,5,1))-MAX($E21,DATE(Dashboard!$C$4,4,1))))</f>
        <v/>
      </c>
      <c r="W21">
        <f>IF(OR($E21="",$F21=""),0,MAX(0,MIN($F21,DATE(Dashboard!$C$4,6,1))-MAX($E21,DATE(Dashboard!$C$4,5,1))))</f>
        <v/>
      </c>
      <c r="X21">
        <f>IF(OR($E21="",$F21=""),0,MAX(0,MIN($F21,DATE(Dashboard!$C$4,7,1))-MAX($E21,DATE(Dashboard!$C$4,6,1))))</f>
        <v/>
      </c>
      <c r="Y21">
        <f>IF(OR($E21="",$F21=""),0,MAX(0,MIN($F21,DATE(Dashboard!$C$4,8,1))-MAX($E21,DATE(Dashboard!$C$4,7,1))))</f>
        <v/>
      </c>
      <c r="Z21">
        <f>IF(OR($E21="",$F21=""),0,MAX(0,MIN($F21,DATE(Dashboard!$C$4,9,1))-MAX($E21,DATE(Dashboard!$C$4,8,1))))</f>
        <v/>
      </c>
      <c r="AA21">
        <f>IF(OR($E21="",$F21=""),0,MAX(0,MIN($F21,DATE(Dashboard!$C$4,10,1))-MAX($E21,DATE(Dashboard!$C$4,9,1))))</f>
        <v/>
      </c>
      <c r="AB21">
        <f>IF(OR($E21="",$F21=""),0,MAX(0,MIN($F21,DATE(Dashboard!$C$4,11,1))-MAX($E21,DATE(Dashboard!$C$4,10,1))))</f>
        <v/>
      </c>
      <c r="AC21">
        <f>IF(OR($E21="",$F21=""),0,MAX(0,MIN($F21,DATE(Dashboard!$C$4,12,1))-MAX($E21,DATE(Dashboard!$C$4,11,1))))</f>
        <v/>
      </c>
      <c r="AD21">
        <f>IF(OR($E21="",$F21=""),0,MAX(0,MIN($F21,DATE(Dashboard!$C$4,13,1))-MAX($E21,DATE(Dashboard!$C$4,12,1))))</f>
        <v/>
      </c>
      <c r="AE21">
        <f>SUM(S21:AD21)</f>
        <v/>
      </c>
      <c r="AF21">
        <f>Q21*AE21</f>
        <v/>
      </c>
      <c r="AG21">
        <f>R21*AE21</f>
        <v/>
      </c>
      <c r="AH21">
        <f>SUMPRODUCT(S21:AD21,--(COLUMN(S21:AD21)-COLUMN(S21)+1&lt;=Dashboard!$N$1))</f>
        <v/>
      </c>
      <c r="AI21">
        <f>IF(OR(E21="",E21&lt;TODAY()),"",E21+ROW()/100000)</f>
        <v/>
      </c>
      <c r="AJ21">
        <f>IF(OR(F21="",F21&lt;TODAY()),"",F21+ROW()/100000)</f>
        <v/>
      </c>
    </row>
    <row r="22">
      <c r="A22" s="1" t="n"/>
      <c r="B22" s="35" t="inlineStr">
        <is>
          <t>Mountain cabin</t>
        </is>
      </c>
      <c r="C22" s="35" t="inlineStr">
        <is>
          <t>Liam N.</t>
        </is>
      </c>
      <c r="D22" s="35" t="inlineStr">
        <is>
          <t>Airbnb</t>
        </is>
      </c>
      <c r="E22" s="36" t="n">
        <v>46090</v>
      </c>
      <c r="F22" s="36" t="n">
        <v>46094</v>
      </c>
      <c r="G22" s="18">
        <f>IF(OR(E22="",F22=""),"",F22-E22)</f>
        <v/>
      </c>
      <c r="H22" s="37" t="n">
        <v>3</v>
      </c>
      <c r="I22" s="38" t="n">
        <v>560</v>
      </c>
      <c r="J22" s="38" t="n">
        <v>80</v>
      </c>
      <c r="K22" s="38" t="n">
        <v>19.2</v>
      </c>
      <c r="L22" s="31">
        <f>IF(E22="","",N(I22)+N(J22)-N(K22))</f>
        <v/>
      </c>
      <c r="M22" s="39" t="inlineStr">
        <is>
          <t>Yes</t>
        </is>
      </c>
      <c r="N22" s="27">
        <f>IF(E22="","",IF(TODAY()&lt;E22,"Upcoming",IF(TODAY()&lt;F22,"Staying now",IF(M22="Yes","Checked out","Payout not received"))))</f>
        <v/>
      </c>
      <c r="O22" s="35" t="n"/>
      <c r="P22" s="1" t="n"/>
      <c r="Q22">
        <f>IF(N(G22)&gt;0,L22/G22,0)</f>
        <v/>
      </c>
      <c r="R22">
        <f>IF(N(G22)&gt;0,N(I22)/G22,0)</f>
        <v/>
      </c>
      <c r="S22">
        <f>IF(OR($E22="",$F22=""),0,MAX(0,MIN($F22,DATE(Dashboard!$C$4,2,1))-MAX($E22,DATE(Dashboard!$C$4,1,1))))</f>
        <v/>
      </c>
      <c r="T22">
        <f>IF(OR($E22="",$F22=""),0,MAX(0,MIN($F22,DATE(Dashboard!$C$4,3,1))-MAX($E22,DATE(Dashboard!$C$4,2,1))))</f>
        <v/>
      </c>
      <c r="U22">
        <f>IF(OR($E22="",$F22=""),0,MAX(0,MIN($F22,DATE(Dashboard!$C$4,4,1))-MAX($E22,DATE(Dashboard!$C$4,3,1))))</f>
        <v/>
      </c>
      <c r="V22">
        <f>IF(OR($E22="",$F22=""),0,MAX(0,MIN($F22,DATE(Dashboard!$C$4,5,1))-MAX($E22,DATE(Dashboard!$C$4,4,1))))</f>
        <v/>
      </c>
      <c r="W22">
        <f>IF(OR($E22="",$F22=""),0,MAX(0,MIN($F22,DATE(Dashboard!$C$4,6,1))-MAX($E22,DATE(Dashboard!$C$4,5,1))))</f>
        <v/>
      </c>
      <c r="X22">
        <f>IF(OR($E22="",$F22=""),0,MAX(0,MIN($F22,DATE(Dashboard!$C$4,7,1))-MAX($E22,DATE(Dashboard!$C$4,6,1))))</f>
        <v/>
      </c>
      <c r="Y22">
        <f>IF(OR($E22="",$F22=""),0,MAX(0,MIN($F22,DATE(Dashboard!$C$4,8,1))-MAX($E22,DATE(Dashboard!$C$4,7,1))))</f>
        <v/>
      </c>
      <c r="Z22">
        <f>IF(OR($E22="",$F22=""),0,MAX(0,MIN($F22,DATE(Dashboard!$C$4,9,1))-MAX($E22,DATE(Dashboard!$C$4,8,1))))</f>
        <v/>
      </c>
      <c r="AA22">
        <f>IF(OR($E22="",$F22=""),0,MAX(0,MIN($F22,DATE(Dashboard!$C$4,10,1))-MAX($E22,DATE(Dashboard!$C$4,9,1))))</f>
        <v/>
      </c>
      <c r="AB22">
        <f>IF(OR($E22="",$F22=""),0,MAX(0,MIN($F22,DATE(Dashboard!$C$4,11,1))-MAX($E22,DATE(Dashboard!$C$4,10,1))))</f>
        <v/>
      </c>
      <c r="AC22">
        <f>IF(OR($E22="",$F22=""),0,MAX(0,MIN($F22,DATE(Dashboard!$C$4,12,1))-MAX($E22,DATE(Dashboard!$C$4,11,1))))</f>
        <v/>
      </c>
      <c r="AD22">
        <f>IF(OR($E22="",$F22=""),0,MAX(0,MIN($F22,DATE(Dashboard!$C$4,13,1))-MAX($E22,DATE(Dashboard!$C$4,12,1))))</f>
        <v/>
      </c>
      <c r="AE22">
        <f>SUM(S22:AD22)</f>
        <v/>
      </c>
      <c r="AF22">
        <f>Q22*AE22</f>
        <v/>
      </c>
      <c r="AG22">
        <f>R22*AE22</f>
        <v/>
      </c>
      <c r="AH22">
        <f>SUMPRODUCT(S22:AD22,--(COLUMN(S22:AD22)-COLUMN(S22)+1&lt;=Dashboard!$N$1))</f>
        <v/>
      </c>
      <c r="AI22">
        <f>IF(OR(E22="",E22&lt;TODAY()),"",E22+ROW()/100000)</f>
        <v/>
      </c>
      <c r="AJ22">
        <f>IF(OR(F22="",F22&lt;TODAY()),"",F22+ROW()/100000)</f>
        <v/>
      </c>
    </row>
    <row r="23">
      <c r="A23" s="1" t="n"/>
      <c r="B23" s="35" t="inlineStr">
        <is>
          <t>Mountain cabin</t>
        </is>
      </c>
      <c r="C23" s="35" t="inlineStr">
        <is>
          <t>Olivia S.</t>
        </is>
      </c>
      <c r="D23" s="35" t="inlineStr">
        <is>
          <t>Airbnb</t>
        </is>
      </c>
      <c r="E23" s="36" t="n">
        <v>46101</v>
      </c>
      <c r="F23" s="36" t="n">
        <v>46103</v>
      </c>
      <c r="G23" s="18">
        <f>IF(OR(E23="",F23=""),"",F23-E23)</f>
        <v/>
      </c>
      <c r="H23" s="37" t="n">
        <v>4</v>
      </c>
      <c r="I23" s="38" t="n">
        <v>280</v>
      </c>
      <c r="J23" s="38" t="n">
        <v>80</v>
      </c>
      <c r="K23" s="38" t="n">
        <v>10.8</v>
      </c>
      <c r="L23" s="31">
        <f>IF(E23="","",N(I23)+N(J23)-N(K23))</f>
        <v/>
      </c>
      <c r="M23" s="39" t="inlineStr">
        <is>
          <t>Yes</t>
        </is>
      </c>
      <c r="N23" s="27">
        <f>IF(E23="","",IF(TODAY()&lt;E23,"Upcoming",IF(TODAY()&lt;F23,"Staying now",IF(M23="Yes","Checked out","Payout not received"))))</f>
        <v/>
      </c>
      <c r="O23" s="35" t="n"/>
      <c r="P23" s="1" t="n"/>
      <c r="Q23">
        <f>IF(N(G23)&gt;0,L23/G23,0)</f>
        <v/>
      </c>
      <c r="R23">
        <f>IF(N(G23)&gt;0,N(I23)/G23,0)</f>
        <v/>
      </c>
      <c r="S23">
        <f>IF(OR($E23="",$F23=""),0,MAX(0,MIN($F23,DATE(Dashboard!$C$4,2,1))-MAX($E23,DATE(Dashboard!$C$4,1,1))))</f>
        <v/>
      </c>
      <c r="T23">
        <f>IF(OR($E23="",$F23=""),0,MAX(0,MIN($F23,DATE(Dashboard!$C$4,3,1))-MAX($E23,DATE(Dashboard!$C$4,2,1))))</f>
        <v/>
      </c>
      <c r="U23">
        <f>IF(OR($E23="",$F23=""),0,MAX(0,MIN($F23,DATE(Dashboard!$C$4,4,1))-MAX($E23,DATE(Dashboard!$C$4,3,1))))</f>
        <v/>
      </c>
      <c r="V23">
        <f>IF(OR($E23="",$F23=""),0,MAX(0,MIN($F23,DATE(Dashboard!$C$4,5,1))-MAX($E23,DATE(Dashboard!$C$4,4,1))))</f>
        <v/>
      </c>
      <c r="W23">
        <f>IF(OR($E23="",$F23=""),0,MAX(0,MIN($F23,DATE(Dashboard!$C$4,6,1))-MAX($E23,DATE(Dashboard!$C$4,5,1))))</f>
        <v/>
      </c>
      <c r="X23">
        <f>IF(OR($E23="",$F23=""),0,MAX(0,MIN($F23,DATE(Dashboard!$C$4,7,1))-MAX($E23,DATE(Dashboard!$C$4,6,1))))</f>
        <v/>
      </c>
      <c r="Y23">
        <f>IF(OR($E23="",$F23=""),0,MAX(0,MIN($F23,DATE(Dashboard!$C$4,8,1))-MAX($E23,DATE(Dashboard!$C$4,7,1))))</f>
        <v/>
      </c>
      <c r="Z23">
        <f>IF(OR($E23="",$F23=""),0,MAX(0,MIN($F23,DATE(Dashboard!$C$4,9,1))-MAX($E23,DATE(Dashboard!$C$4,8,1))))</f>
        <v/>
      </c>
      <c r="AA23">
        <f>IF(OR($E23="",$F23=""),0,MAX(0,MIN($F23,DATE(Dashboard!$C$4,10,1))-MAX($E23,DATE(Dashboard!$C$4,9,1))))</f>
        <v/>
      </c>
      <c r="AB23">
        <f>IF(OR($E23="",$F23=""),0,MAX(0,MIN($F23,DATE(Dashboard!$C$4,11,1))-MAX($E23,DATE(Dashboard!$C$4,10,1))))</f>
        <v/>
      </c>
      <c r="AC23">
        <f>IF(OR($E23="",$F23=""),0,MAX(0,MIN($F23,DATE(Dashboard!$C$4,12,1))-MAX($E23,DATE(Dashboard!$C$4,11,1))))</f>
        <v/>
      </c>
      <c r="AD23">
        <f>IF(OR($E23="",$F23=""),0,MAX(0,MIN($F23,DATE(Dashboard!$C$4,13,1))-MAX($E23,DATE(Dashboard!$C$4,12,1))))</f>
        <v/>
      </c>
      <c r="AE23">
        <f>SUM(S23:AD23)</f>
        <v/>
      </c>
      <c r="AF23">
        <f>Q23*AE23</f>
        <v/>
      </c>
      <c r="AG23">
        <f>R23*AE23</f>
        <v/>
      </c>
      <c r="AH23">
        <f>SUMPRODUCT(S23:AD23,--(COLUMN(S23:AD23)-COLUMN(S23)+1&lt;=Dashboard!$N$1))</f>
        <v/>
      </c>
      <c r="AI23">
        <f>IF(OR(E23="",E23&lt;TODAY()),"",E23+ROW()/100000)</f>
        <v/>
      </c>
      <c r="AJ23">
        <f>IF(OR(F23="",F23&lt;TODAY()),"",F23+ROW()/100000)</f>
        <v/>
      </c>
    </row>
    <row r="24">
      <c r="A24" s="1" t="n"/>
      <c r="B24" s="35" t="inlineStr">
        <is>
          <t>Beach apartment</t>
        </is>
      </c>
      <c r="C24" s="35" t="inlineStr">
        <is>
          <t>Zoe E.</t>
        </is>
      </c>
      <c r="D24" s="35" t="inlineStr">
        <is>
          <t>Vrbo</t>
        </is>
      </c>
      <c r="E24" s="36" t="n">
        <v>46103</v>
      </c>
      <c r="F24" s="36" t="n">
        <v>46106</v>
      </c>
      <c r="G24" s="18">
        <f>IF(OR(E24="",F24=""),"",F24-E24)</f>
        <v/>
      </c>
      <c r="H24" s="37" t="n">
        <v>2</v>
      </c>
      <c r="I24" s="38" t="n">
        <v>285</v>
      </c>
      <c r="J24" s="38" t="n">
        <v>60</v>
      </c>
      <c r="K24" s="38" t="n">
        <v>17.25</v>
      </c>
      <c r="L24" s="31">
        <f>IF(E24="","",N(I24)+N(J24)-N(K24))</f>
        <v/>
      </c>
      <c r="M24" s="39" t="inlineStr">
        <is>
          <t>Yes</t>
        </is>
      </c>
      <c r="N24" s="27">
        <f>IF(E24="","",IF(TODAY()&lt;E24,"Upcoming",IF(TODAY()&lt;F24,"Staying now",IF(M24="Yes","Checked out","Payout not received"))))</f>
        <v/>
      </c>
      <c r="O24" s="35" t="n"/>
      <c r="P24" s="1" t="n"/>
      <c r="Q24">
        <f>IF(N(G24)&gt;0,L24/G24,0)</f>
        <v/>
      </c>
      <c r="R24">
        <f>IF(N(G24)&gt;0,N(I24)/G24,0)</f>
        <v/>
      </c>
      <c r="S24">
        <f>IF(OR($E24="",$F24=""),0,MAX(0,MIN($F24,DATE(Dashboard!$C$4,2,1))-MAX($E24,DATE(Dashboard!$C$4,1,1))))</f>
        <v/>
      </c>
      <c r="T24">
        <f>IF(OR($E24="",$F24=""),0,MAX(0,MIN($F24,DATE(Dashboard!$C$4,3,1))-MAX($E24,DATE(Dashboard!$C$4,2,1))))</f>
        <v/>
      </c>
      <c r="U24">
        <f>IF(OR($E24="",$F24=""),0,MAX(0,MIN($F24,DATE(Dashboard!$C$4,4,1))-MAX($E24,DATE(Dashboard!$C$4,3,1))))</f>
        <v/>
      </c>
      <c r="V24">
        <f>IF(OR($E24="",$F24=""),0,MAX(0,MIN($F24,DATE(Dashboard!$C$4,5,1))-MAX($E24,DATE(Dashboard!$C$4,4,1))))</f>
        <v/>
      </c>
      <c r="W24">
        <f>IF(OR($E24="",$F24=""),0,MAX(0,MIN($F24,DATE(Dashboard!$C$4,6,1))-MAX($E24,DATE(Dashboard!$C$4,5,1))))</f>
        <v/>
      </c>
      <c r="X24">
        <f>IF(OR($E24="",$F24=""),0,MAX(0,MIN($F24,DATE(Dashboard!$C$4,7,1))-MAX($E24,DATE(Dashboard!$C$4,6,1))))</f>
        <v/>
      </c>
      <c r="Y24">
        <f>IF(OR($E24="",$F24=""),0,MAX(0,MIN($F24,DATE(Dashboard!$C$4,8,1))-MAX($E24,DATE(Dashboard!$C$4,7,1))))</f>
        <v/>
      </c>
      <c r="Z24">
        <f>IF(OR($E24="",$F24=""),0,MAX(0,MIN($F24,DATE(Dashboard!$C$4,9,1))-MAX($E24,DATE(Dashboard!$C$4,8,1))))</f>
        <v/>
      </c>
      <c r="AA24">
        <f>IF(OR($E24="",$F24=""),0,MAX(0,MIN($F24,DATE(Dashboard!$C$4,10,1))-MAX($E24,DATE(Dashboard!$C$4,9,1))))</f>
        <v/>
      </c>
      <c r="AB24">
        <f>IF(OR($E24="",$F24=""),0,MAX(0,MIN($F24,DATE(Dashboard!$C$4,11,1))-MAX($E24,DATE(Dashboard!$C$4,10,1))))</f>
        <v/>
      </c>
      <c r="AC24">
        <f>IF(OR($E24="",$F24=""),0,MAX(0,MIN($F24,DATE(Dashboard!$C$4,12,1))-MAX($E24,DATE(Dashboard!$C$4,11,1))))</f>
        <v/>
      </c>
      <c r="AD24">
        <f>IF(OR($E24="",$F24=""),0,MAX(0,MIN($F24,DATE(Dashboard!$C$4,13,1))-MAX($E24,DATE(Dashboard!$C$4,12,1))))</f>
        <v/>
      </c>
      <c r="AE24">
        <f>SUM(S24:AD24)</f>
        <v/>
      </c>
      <c r="AF24">
        <f>Q24*AE24</f>
        <v/>
      </c>
      <c r="AG24">
        <f>R24*AE24</f>
        <v/>
      </c>
      <c r="AH24">
        <f>SUMPRODUCT(S24:AD24,--(COLUMN(S24:AD24)-COLUMN(S24)+1&lt;=Dashboard!$N$1))</f>
        <v/>
      </c>
      <c r="AI24">
        <f>IF(OR(E24="",E24&lt;TODAY()),"",E24+ROW()/100000)</f>
        <v/>
      </c>
      <c r="AJ24">
        <f>IF(OR(F24="",F24&lt;TODAY()),"",F24+ROW()/100000)</f>
        <v/>
      </c>
    </row>
    <row r="25">
      <c r="A25" s="1" t="n"/>
      <c r="B25" s="35" t="inlineStr">
        <is>
          <t>Beach apartment</t>
        </is>
      </c>
      <c r="C25" s="35" t="inlineStr">
        <is>
          <t>Owen N.</t>
        </is>
      </c>
      <c r="D25" s="35" t="inlineStr">
        <is>
          <t>Direct</t>
        </is>
      </c>
      <c r="E25" s="36" t="n">
        <v>46109</v>
      </c>
      <c r="F25" s="36" t="n">
        <v>46114</v>
      </c>
      <c r="G25" s="18">
        <f>IF(OR(E25="",F25=""),"",F25-E25)</f>
        <v/>
      </c>
      <c r="H25" s="37" t="n">
        <v>4</v>
      </c>
      <c r="I25" s="38" t="n">
        <v>475</v>
      </c>
      <c r="J25" s="38" t="n">
        <v>60</v>
      </c>
      <c r="K25" s="38" t="n">
        <v>0</v>
      </c>
      <c r="L25" s="31">
        <f>IF(E25="","",N(I25)+N(J25)-N(K25))</f>
        <v/>
      </c>
      <c r="M25" s="39" t="inlineStr">
        <is>
          <t>Yes</t>
        </is>
      </c>
      <c r="N25" s="27">
        <f>IF(E25="","",IF(TODAY()&lt;E25,"Upcoming",IF(TODAY()&lt;F25,"Staying now",IF(M25="Yes","Checked out","Payout not received"))))</f>
        <v/>
      </c>
      <c r="O25" s="35" t="n"/>
      <c r="P25" s="1" t="n"/>
      <c r="Q25">
        <f>IF(N(G25)&gt;0,L25/G25,0)</f>
        <v/>
      </c>
      <c r="R25">
        <f>IF(N(G25)&gt;0,N(I25)/G25,0)</f>
        <v/>
      </c>
      <c r="S25">
        <f>IF(OR($E25="",$F25=""),0,MAX(0,MIN($F25,DATE(Dashboard!$C$4,2,1))-MAX($E25,DATE(Dashboard!$C$4,1,1))))</f>
        <v/>
      </c>
      <c r="T25">
        <f>IF(OR($E25="",$F25=""),0,MAX(0,MIN($F25,DATE(Dashboard!$C$4,3,1))-MAX($E25,DATE(Dashboard!$C$4,2,1))))</f>
        <v/>
      </c>
      <c r="U25">
        <f>IF(OR($E25="",$F25=""),0,MAX(0,MIN($F25,DATE(Dashboard!$C$4,4,1))-MAX($E25,DATE(Dashboard!$C$4,3,1))))</f>
        <v/>
      </c>
      <c r="V25">
        <f>IF(OR($E25="",$F25=""),0,MAX(0,MIN($F25,DATE(Dashboard!$C$4,5,1))-MAX($E25,DATE(Dashboard!$C$4,4,1))))</f>
        <v/>
      </c>
      <c r="W25">
        <f>IF(OR($E25="",$F25=""),0,MAX(0,MIN($F25,DATE(Dashboard!$C$4,6,1))-MAX($E25,DATE(Dashboard!$C$4,5,1))))</f>
        <v/>
      </c>
      <c r="X25">
        <f>IF(OR($E25="",$F25=""),0,MAX(0,MIN($F25,DATE(Dashboard!$C$4,7,1))-MAX($E25,DATE(Dashboard!$C$4,6,1))))</f>
        <v/>
      </c>
      <c r="Y25">
        <f>IF(OR($E25="",$F25=""),0,MAX(0,MIN($F25,DATE(Dashboard!$C$4,8,1))-MAX($E25,DATE(Dashboard!$C$4,7,1))))</f>
        <v/>
      </c>
      <c r="Z25">
        <f>IF(OR($E25="",$F25=""),0,MAX(0,MIN($F25,DATE(Dashboard!$C$4,9,1))-MAX($E25,DATE(Dashboard!$C$4,8,1))))</f>
        <v/>
      </c>
      <c r="AA25">
        <f>IF(OR($E25="",$F25=""),0,MAX(0,MIN($F25,DATE(Dashboard!$C$4,10,1))-MAX($E25,DATE(Dashboard!$C$4,9,1))))</f>
        <v/>
      </c>
      <c r="AB25">
        <f>IF(OR($E25="",$F25=""),0,MAX(0,MIN($F25,DATE(Dashboard!$C$4,11,1))-MAX($E25,DATE(Dashboard!$C$4,10,1))))</f>
        <v/>
      </c>
      <c r="AC25">
        <f>IF(OR($E25="",$F25=""),0,MAX(0,MIN($F25,DATE(Dashboard!$C$4,12,1))-MAX($E25,DATE(Dashboard!$C$4,11,1))))</f>
        <v/>
      </c>
      <c r="AD25">
        <f>IF(OR($E25="",$F25=""),0,MAX(0,MIN($F25,DATE(Dashboard!$C$4,13,1))-MAX($E25,DATE(Dashboard!$C$4,12,1))))</f>
        <v/>
      </c>
      <c r="AE25">
        <f>SUM(S25:AD25)</f>
        <v/>
      </c>
      <c r="AF25">
        <f>Q25*AE25</f>
        <v/>
      </c>
      <c r="AG25">
        <f>R25*AE25</f>
        <v/>
      </c>
      <c r="AH25">
        <f>SUMPRODUCT(S25:AD25,--(COLUMN(S25:AD25)-COLUMN(S25)+1&lt;=Dashboard!$N$1))</f>
        <v/>
      </c>
      <c r="AI25">
        <f>IF(OR(E25="",E25&lt;TODAY()),"",E25+ROW()/100000)</f>
        <v/>
      </c>
      <c r="AJ25">
        <f>IF(OR(F25="",F25&lt;TODAY()),"",F25+ROW()/100000)</f>
        <v/>
      </c>
    </row>
    <row r="26">
      <c r="A26" s="1" t="n"/>
      <c r="B26" s="35" t="inlineStr">
        <is>
          <t>Mountain cabin</t>
        </is>
      </c>
      <c r="C26" s="35" t="inlineStr">
        <is>
          <t>Emma C.</t>
        </is>
      </c>
      <c r="D26" s="35" t="inlineStr">
        <is>
          <t>Direct</t>
        </is>
      </c>
      <c r="E26" s="36" t="n">
        <v>46111</v>
      </c>
      <c r="F26" s="36" t="n">
        <v>46113</v>
      </c>
      <c r="G26" s="18">
        <f>IF(OR(E26="",F26=""),"",F26-E26)</f>
        <v/>
      </c>
      <c r="H26" s="37" t="n">
        <v>5</v>
      </c>
      <c r="I26" s="38" t="n">
        <v>280</v>
      </c>
      <c r="J26" s="38" t="n">
        <v>80</v>
      </c>
      <c r="K26" s="38" t="n">
        <v>0</v>
      </c>
      <c r="L26" s="31">
        <f>IF(E26="","",N(I26)+N(J26)-N(K26))</f>
        <v/>
      </c>
      <c r="M26" s="39" t="inlineStr">
        <is>
          <t>Yes</t>
        </is>
      </c>
      <c r="N26" s="27">
        <f>IF(E26="","",IF(TODAY()&lt;E26,"Upcoming",IF(TODAY()&lt;F26,"Staying now",IF(M26="Yes","Checked out","Payout not received"))))</f>
        <v/>
      </c>
      <c r="O26" s="35" t="n"/>
      <c r="P26" s="1" t="n"/>
      <c r="Q26">
        <f>IF(N(G26)&gt;0,L26/G26,0)</f>
        <v/>
      </c>
      <c r="R26">
        <f>IF(N(G26)&gt;0,N(I26)/G26,0)</f>
        <v/>
      </c>
      <c r="S26">
        <f>IF(OR($E26="",$F26=""),0,MAX(0,MIN($F26,DATE(Dashboard!$C$4,2,1))-MAX($E26,DATE(Dashboard!$C$4,1,1))))</f>
        <v/>
      </c>
      <c r="T26">
        <f>IF(OR($E26="",$F26=""),0,MAX(0,MIN($F26,DATE(Dashboard!$C$4,3,1))-MAX($E26,DATE(Dashboard!$C$4,2,1))))</f>
        <v/>
      </c>
      <c r="U26">
        <f>IF(OR($E26="",$F26=""),0,MAX(0,MIN($F26,DATE(Dashboard!$C$4,4,1))-MAX($E26,DATE(Dashboard!$C$4,3,1))))</f>
        <v/>
      </c>
      <c r="V26">
        <f>IF(OR($E26="",$F26=""),0,MAX(0,MIN($F26,DATE(Dashboard!$C$4,5,1))-MAX($E26,DATE(Dashboard!$C$4,4,1))))</f>
        <v/>
      </c>
      <c r="W26">
        <f>IF(OR($E26="",$F26=""),0,MAX(0,MIN($F26,DATE(Dashboard!$C$4,6,1))-MAX($E26,DATE(Dashboard!$C$4,5,1))))</f>
        <v/>
      </c>
      <c r="X26">
        <f>IF(OR($E26="",$F26=""),0,MAX(0,MIN($F26,DATE(Dashboard!$C$4,7,1))-MAX($E26,DATE(Dashboard!$C$4,6,1))))</f>
        <v/>
      </c>
      <c r="Y26">
        <f>IF(OR($E26="",$F26=""),0,MAX(0,MIN($F26,DATE(Dashboard!$C$4,8,1))-MAX($E26,DATE(Dashboard!$C$4,7,1))))</f>
        <v/>
      </c>
      <c r="Z26">
        <f>IF(OR($E26="",$F26=""),0,MAX(0,MIN($F26,DATE(Dashboard!$C$4,9,1))-MAX($E26,DATE(Dashboard!$C$4,8,1))))</f>
        <v/>
      </c>
      <c r="AA26">
        <f>IF(OR($E26="",$F26=""),0,MAX(0,MIN($F26,DATE(Dashboard!$C$4,10,1))-MAX($E26,DATE(Dashboard!$C$4,9,1))))</f>
        <v/>
      </c>
      <c r="AB26">
        <f>IF(OR($E26="",$F26=""),0,MAX(0,MIN($F26,DATE(Dashboard!$C$4,11,1))-MAX($E26,DATE(Dashboard!$C$4,10,1))))</f>
        <v/>
      </c>
      <c r="AC26">
        <f>IF(OR($E26="",$F26=""),0,MAX(0,MIN($F26,DATE(Dashboard!$C$4,12,1))-MAX($E26,DATE(Dashboard!$C$4,11,1))))</f>
        <v/>
      </c>
      <c r="AD26">
        <f>IF(OR($E26="",$F26=""),0,MAX(0,MIN($F26,DATE(Dashboard!$C$4,13,1))-MAX($E26,DATE(Dashboard!$C$4,12,1))))</f>
        <v/>
      </c>
      <c r="AE26">
        <f>SUM(S26:AD26)</f>
        <v/>
      </c>
      <c r="AF26">
        <f>Q26*AE26</f>
        <v/>
      </c>
      <c r="AG26">
        <f>R26*AE26</f>
        <v/>
      </c>
      <c r="AH26">
        <f>SUMPRODUCT(S26:AD26,--(COLUMN(S26:AD26)-COLUMN(S26)+1&lt;=Dashboard!$N$1))</f>
        <v/>
      </c>
      <c r="AI26">
        <f>IF(OR(E26="",E26&lt;TODAY()),"",E26+ROW()/100000)</f>
        <v/>
      </c>
      <c r="AJ26">
        <f>IF(OR(F26="",F26&lt;TODAY()),"",F26+ROW()/100000)</f>
        <v/>
      </c>
    </row>
    <row r="27">
      <c r="A27" s="1" t="n"/>
      <c r="B27" s="35" t="inlineStr">
        <is>
          <t>Mountain cabin</t>
        </is>
      </c>
      <c r="C27" s="35" t="inlineStr">
        <is>
          <t>Liam M.</t>
        </is>
      </c>
      <c r="D27" s="35" t="inlineStr">
        <is>
          <t>Airbnb</t>
        </is>
      </c>
      <c r="E27" s="36" t="n">
        <v>46117</v>
      </c>
      <c r="F27" s="36" t="n">
        <v>46120</v>
      </c>
      <c r="G27" s="18">
        <f>IF(OR(E27="",F27=""),"",F27-E27)</f>
        <v/>
      </c>
      <c r="H27" s="37" t="n">
        <v>3</v>
      </c>
      <c r="I27" s="38" t="n">
        <v>330</v>
      </c>
      <c r="J27" s="38" t="n">
        <v>80</v>
      </c>
      <c r="K27" s="38" t="n">
        <v>12.3</v>
      </c>
      <c r="L27" s="31">
        <f>IF(E27="","",N(I27)+N(J27)-N(K27))</f>
        <v/>
      </c>
      <c r="M27" s="39" t="inlineStr">
        <is>
          <t>Yes</t>
        </is>
      </c>
      <c r="N27" s="27">
        <f>IF(E27="","",IF(TODAY()&lt;E27,"Upcoming",IF(TODAY()&lt;F27,"Staying now",IF(M27="Yes","Checked out","Payout not received"))))</f>
        <v/>
      </c>
      <c r="O27" s="35" t="n"/>
      <c r="P27" s="1" t="n"/>
      <c r="Q27">
        <f>IF(N(G27)&gt;0,L27/G27,0)</f>
        <v/>
      </c>
      <c r="R27">
        <f>IF(N(G27)&gt;0,N(I27)/G27,0)</f>
        <v/>
      </c>
      <c r="S27">
        <f>IF(OR($E27="",$F27=""),0,MAX(0,MIN($F27,DATE(Dashboard!$C$4,2,1))-MAX($E27,DATE(Dashboard!$C$4,1,1))))</f>
        <v/>
      </c>
      <c r="T27">
        <f>IF(OR($E27="",$F27=""),0,MAX(0,MIN($F27,DATE(Dashboard!$C$4,3,1))-MAX($E27,DATE(Dashboard!$C$4,2,1))))</f>
        <v/>
      </c>
      <c r="U27">
        <f>IF(OR($E27="",$F27=""),0,MAX(0,MIN($F27,DATE(Dashboard!$C$4,4,1))-MAX($E27,DATE(Dashboard!$C$4,3,1))))</f>
        <v/>
      </c>
      <c r="V27">
        <f>IF(OR($E27="",$F27=""),0,MAX(0,MIN($F27,DATE(Dashboard!$C$4,5,1))-MAX($E27,DATE(Dashboard!$C$4,4,1))))</f>
        <v/>
      </c>
      <c r="W27">
        <f>IF(OR($E27="",$F27=""),0,MAX(0,MIN($F27,DATE(Dashboard!$C$4,6,1))-MAX($E27,DATE(Dashboard!$C$4,5,1))))</f>
        <v/>
      </c>
      <c r="X27">
        <f>IF(OR($E27="",$F27=""),0,MAX(0,MIN($F27,DATE(Dashboard!$C$4,7,1))-MAX($E27,DATE(Dashboard!$C$4,6,1))))</f>
        <v/>
      </c>
      <c r="Y27">
        <f>IF(OR($E27="",$F27=""),0,MAX(0,MIN($F27,DATE(Dashboard!$C$4,8,1))-MAX($E27,DATE(Dashboard!$C$4,7,1))))</f>
        <v/>
      </c>
      <c r="Z27">
        <f>IF(OR($E27="",$F27=""),0,MAX(0,MIN($F27,DATE(Dashboard!$C$4,9,1))-MAX($E27,DATE(Dashboard!$C$4,8,1))))</f>
        <v/>
      </c>
      <c r="AA27">
        <f>IF(OR($E27="",$F27=""),0,MAX(0,MIN($F27,DATE(Dashboard!$C$4,10,1))-MAX($E27,DATE(Dashboard!$C$4,9,1))))</f>
        <v/>
      </c>
      <c r="AB27">
        <f>IF(OR($E27="",$F27=""),0,MAX(0,MIN($F27,DATE(Dashboard!$C$4,11,1))-MAX($E27,DATE(Dashboard!$C$4,10,1))))</f>
        <v/>
      </c>
      <c r="AC27">
        <f>IF(OR($E27="",$F27=""),0,MAX(0,MIN($F27,DATE(Dashboard!$C$4,12,1))-MAX($E27,DATE(Dashboard!$C$4,11,1))))</f>
        <v/>
      </c>
      <c r="AD27">
        <f>IF(OR($E27="",$F27=""),0,MAX(0,MIN($F27,DATE(Dashboard!$C$4,13,1))-MAX($E27,DATE(Dashboard!$C$4,12,1))))</f>
        <v/>
      </c>
      <c r="AE27">
        <f>SUM(S27:AD27)</f>
        <v/>
      </c>
      <c r="AF27">
        <f>Q27*AE27</f>
        <v/>
      </c>
      <c r="AG27">
        <f>R27*AE27</f>
        <v/>
      </c>
      <c r="AH27">
        <f>SUMPRODUCT(S27:AD27,--(COLUMN(S27:AD27)-COLUMN(S27)+1&lt;=Dashboard!$N$1))</f>
        <v/>
      </c>
      <c r="AI27">
        <f>IF(OR(E27="",E27&lt;TODAY()),"",E27+ROW()/100000)</f>
        <v/>
      </c>
      <c r="AJ27">
        <f>IF(OR(F27="",F27&lt;TODAY()),"",F27+ROW()/100000)</f>
        <v/>
      </c>
    </row>
    <row r="28">
      <c r="A28" s="1" t="n"/>
      <c r="B28" s="35" t="inlineStr">
        <is>
          <t>Beach apartment</t>
        </is>
      </c>
      <c r="C28" s="35" t="inlineStr">
        <is>
          <t>Mia S.</t>
        </is>
      </c>
      <c r="D28" s="35" t="inlineStr">
        <is>
          <t>Direct</t>
        </is>
      </c>
      <c r="E28" s="36" t="n">
        <v>46120</v>
      </c>
      <c r="F28" s="36" t="n">
        <v>46123</v>
      </c>
      <c r="G28" s="18">
        <f>IF(OR(E28="",F28=""),"",F28-E28)</f>
        <v/>
      </c>
      <c r="H28" s="37" t="n">
        <v>4</v>
      </c>
      <c r="I28" s="38" t="n">
        <v>285</v>
      </c>
      <c r="J28" s="38" t="n">
        <v>60</v>
      </c>
      <c r="K28" s="38" t="n">
        <v>0</v>
      </c>
      <c r="L28" s="31">
        <f>IF(E28="","",N(I28)+N(J28)-N(K28))</f>
        <v/>
      </c>
      <c r="M28" s="39" t="inlineStr">
        <is>
          <t>Yes</t>
        </is>
      </c>
      <c r="N28" s="27">
        <f>IF(E28="","",IF(TODAY()&lt;E28,"Upcoming",IF(TODAY()&lt;F28,"Staying now",IF(M28="Yes","Checked out","Payout not received"))))</f>
        <v/>
      </c>
      <c r="O28" s="35" t="n"/>
      <c r="P28" s="1" t="n"/>
      <c r="Q28">
        <f>IF(N(G28)&gt;0,L28/G28,0)</f>
        <v/>
      </c>
      <c r="R28">
        <f>IF(N(G28)&gt;0,N(I28)/G28,0)</f>
        <v/>
      </c>
      <c r="S28">
        <f>IF(OR($E28="",$F28=""),0,MAX(0,MIN($F28,DATE(Dashboard!$C$4,2,1))-MAX($E28,DATE(Dashboard!$C$4,1,1))))</f>
        <v/>
      </c>
      <c r="T28">
        <f>IF(OR($E28="",$F28=""),0,MAX(0,MIN($F28,DATE(Dashboard!$C$4,3,1))-MAX($E28,DATE(Dashboard!$C$4,2,1))))</f>
        <v/>
      </c>
      <c r="U28">
        <f>IF(OR($E28="",$F28=""),0,MAX(0,MIN($F28,DATE(Dashboard!$C$4,4,1))-MAX($E28,DATE(Dashboard!$C$4,3,1))))</f>
        <v/>
      </c>
      <c r="V28">
        <f>IF(OR($E28="",$F28=""),0,MAX(0,MIN($F28,DATE(Dashboard!$C$4,5,1))-MAX($E28,DATE(Dashboard!$C$4,4,1))))</f>
        <v/>
      </c>
      <c r="W28">
        <f>IF(OR($E28="",$F28=""),0,MAX(0,MIN($F28,DATE(Dashboard!$C$4,6,1))-MAX($E28,DATE(Dashboard!$C$4,5,1))))</f>
        <v/>
      </c>
      <c r="X28">
        <f>IF(OR($E28="",$F28=""),0,MAX(0,MIN($F28,DATE(Dashboard!$C$4,7,1))-MAX($E28,DATE(Dashboard!$C$4,6,1))))</f>
        <v/>
      </c>
      <c r="Y28">
        <f>IF(OR($E28="",$F28=""),0,MAX(0,MIN($F28,DATE(Dashboard!$C$4,8,1))-MAX($E28,DATE(Dashboard!$C$4,7,1))))</f>
        <v/>
      </c>
      <c r="Z28">
        <f>IF(OR($E28="",$F28=""),0,MAX(0,MIN($F28,DATE(Dashboard!$C$4,9,1))-MAX($E28,DATE(Dashboard!$C$4,8,1))))</f>
        <v/>
      </c>
      <c r="AA28">
        <f>IF(OR($E28="",$F28=""),0,MAX(0,MIN($F28,DATE(Dashboard!$C$4,10,1))-MAX($E28,DATE(Dashboard!$C$4,9,1))))</f>
        <v/>
      </c>
      <c r="AB28">
        <f>IF(OR($E28="",$F28=""),0,MAX(0,MIN($F28,DATE(Dashboard!$C$4,11,1))-MAX($E28,DATE(Dashboard!$C$4,10,1))))</f>
        <v/>
      </c>
      <c r="AC28">
        <f>IF(OR($E28="",$F28=""),0,MAX(0,MIN($F28,DATE(Dashboard!$C$4,12,1))-MAX($E28,DATE(Dashboard!$C$4,11,1))))</f>
        <v/>
      </c>
      <c r="AD28">
        <f>IF(OR($E28="",$F28=""),0,MAX(0,MIN($F28,DATE(Dashboard!$C$4,13,1))-MAX($E28,DATE(Dashboard!$C$4,12,1))))</f>
        <v/>
      </c>
      <c r="AE28">
        <f>SUM(S28:AD28)</f>
        <v/>
      </c>
      <c r="AF28">
        <f>Q28*AE28</f>
        <v/>
      </c>
      <c r="AG28">
        <f>R28*AE28</f>
        <v/>
      </c>
      <c r="AH28">
        <f>SUMPRODUCT(S28:AD28,--(COLUMN(S28:AD28)-COLUMN(S28)+1&lt;=Dashboard!$N$1))</f>
        <v/>
      </c>
      <c r="AI28">
        <f>IF(OR(E28="",E28&lt;TODAY()),"",E28+ROW()/100000)</f>
        <v/>
      </c>
      <c r="AJ28">
        <f>IF(OR(F28="",F28&lt;TODAY()),"",F28+ROW()/100000)</f>
        <v/>
      </c>
    </row>
    <row r="29">
      <c r="A29" s="1" t="n"/>
      <c r="B29" s="35" t="inlineStr">
        <is>
          <t>Mountain cabin</t>
        </is>
      </c>
      <c r="C29" s="35" t="inlineStr">
        <is>
          <t>Olivia M.</t>
        </is>
      </c>
      <c r="D29" s="35" t="inlineStr">
        <is>
          <t>Vrbo</t>
        </is>
      </c>
      <c r="E29" s="36" t="n">
        <v>46123</v>
      </c>
      <c r="F29" s="36" t="n">
        <v>46125</v>
      </c>
      <c r="G29" s="18">
        <f>IF(OR(E29="",F29=""),"",F29-E29)</f>
        <v/>
      </c>
      <c r="H29" s="37" t="n">
        <v>4</v>
      </c>
      <c r="I29" s="38" t="n">
        <v>220</v>
      </c>
      <c r="J29" s="38" t="n">
        <v>80</v>
      </c>
      <c r="K29" s="38" t="n">
        <v>15</v>
      </c>
      <c r="L29" s="31">
        <f>IF(E29="","",N(I29)+N(J29)-N(K29))</f>
        <v/>
      </c>
      <c r="M29" s="39" t="inlineStr">
        <is>
          <t>Yes</t>
        </is>
      </c>
      <c r="N29" s="27">
        <f>IF(E29="","",IF(TODAY()&lt;E29,"Upcoming",IF(TODAY()&lt;F29,"Staying now",IF(M29="Yes","Checked out","Payout not received"))))</f>
        <v/>
      </c>
      <c r="O29" s="35" t="n"/>
      <c r="P29" s="1" t="n"/>
      <c r="Q29">
        <f>IF(N(G29)&gt;0,L29/G29,0)</f>
        <v/>
      </c>
      <c r="R29">
        <f>IF(N(G29)&gt;0,N(I29)/G29,0)</f>
        <v/>
      </c>
      <c r="S29">
        <f>IF(OR($E29="",$F29=""),0,MAX(0,MIN($F29,DATE(Dashboard!$C$4,2,1))-MAX($E29,DATE(Dashboard!$C$4,1,1))))</f>
        <v/>
      </c>
      <c r="T29">
        <f>IF(OR($E29="",$F29=""),0,MAX(0,MIN($F29,DATE(Dashboard!$C$4,3,1))-MAX($E29,DATE(Dashboard!$C$4,2,1))))</f>
        <v/>
      </c>
      <c r="U29">
        <f>IF(OR($E29="",$F29=""),0,MAX(0,MIN($F29,DATE(Dashboard!$C$4,4,1))-MAX($E29,DATE(Dashboard!$C$4,3,1))))</f>
        <v/>
      </c>
      <c r="V29">
        <f>IF(OR($E29="",$F29=""),0,MAX(0,MIN($F29,DATE(Dashboard!$C$4,5,1))-MAX($E29,DATE(Dashboard!$C$4,4,1))))</f>
        <v/>
      </c>
      <c r="W29">
        <f>IF(OR($E29="",$F29=""),0,MAX(0,MIN($F29,DATE(Dashboard!$C$4,6,1))-MAX($E29,DATE(Dashboard!$C$4,5,1))))</f>
        <v/>
      </c>
      <c r="X29">
        <f>IF(OR($E29="",$F29=""),0,MAX(0,MIN($F29,DATE(Dashboard!$C$4,7,1))-MAX($E29,DATE(Dashboard!$C$4,6,1))))</f>
        <v/>
      </c>
      <c r="Y29">
        <f>IF(OR($E29="",$F29=""),0,MAX(0,MIN($F29,DATE(Dashboard!$C$4,8,1))-MAX($E29,DATE(Dashboard!$C$4,7,1))))</f>
        <v/>
      </c>
      <c r="Z29">
        <f>IF(OR($E29="",$F29=""),0,MAX(0,MIN($F29,DATE(Dashboard!$C$4,9,1))-MAX($E29,DATE(Dashboard!$C$4,8,1))))</f>
        <v/>
      </c>
      <c r="AA29">
        <f>IF(OR($E29="",$F29=""),0,MAX(0,MIN($F29,DATE(Dashboard!$C$4,10,1))-MAX($E29,DATE(Dashboard!$C$4,9,1))))</f>
        <v/>
      </c>
      <c r="AB29">
        <f>IF(OR($E29="",$F29=""),0,MAX(0,MIN($F29,DATE(Dashboard!$C$4,11,1))-MAX($E29,DATE(Dashboard!$C$4,10,1))))</f>
        <v/>
      </c>
      <c r="AC29">
        <f>IF(OR($E29="",$F29=""),0,MAX(0,MIN($F29,DATE(Dashboard!$C$4,12,1))-MAX($E29,DATE(Dashboard!$C$4,11,1))))</f>
        <v/>
      </c>
      <c r="AD29">
        <f>IF(OR($E29="",$F29=""),0,MAX(0,MIN($F29,DATE(Dashboard!$C$4,13,1))-MAX($E29,DATE(Dashboard!$C$4,12,1))))</f>
        <v/>
      </c>
      <c r="AE29">
        <f>SUM(S29:AD29)</f>
        <v/>
      </c>
      <c r="AF29">
        <f>Q29*AE29</f>
        <v/>
      </c>
      <c r="AG29">
        <f>R29*AE29</f>
        <v/>
      </c>
      <c r="AH29">
        <f>SUMPRODUCT(S29:AD29,--(COLUMN(S29:AD29)-COLUMN(S29)+1&lt;=Dashboard!$N$1))</f>
        <v/>
      </c>
      <c r="AI29">
        <f>IF(OR(E29="",E29&lt;TODAY()),"",E29+ROW()/100000)</f>
        <v/>
      </c>
      <c r="AJ29">
        <f>IF(OR(F29="",F29&lt;TODAY()),"",F29+ROW()/100000)</f>
        <v/>
      </c>
    </row>
    <row r="30">
      <c r="A30" s="1" t="n"/>
      <c r="B30" s="35" t="inlineStr">
        <is>
          <t>Beach apartment</t>
        </is>
      </c>
      <c r="C30" s="35" t="inlineStr">
        <is>
          <t>Owen C.</t>
        </is>
      </c>
      <c r="D30" s="35" t="inlineStr">
        <is>
          <t>Airbnb</t>
        </is>
      </c>
      <c r="E30" s="36" t="n">
        <v>46126</v>
      </c>
      <c r="F30" s="36" t="n">
        <v>46132</v>
      </c>
      <c r="G30" s="18">
        <f>IF(OR(E30="",F30=""),"",F30-E30)</f>
        <v/>
      </c>
      <c r="H30" s="37" t="n">
        <v>5</v>
      </c>
      <c r="I30" s="38" t="n">
        <v>570</v>
      </c>
      <c r="J30" s="38" t="n">
        <v>60</v>
      </c>
      <c r="K30" s="38" t="n">
        <v>18.9</v>
      </c>
      <c r="L30" s="31">
        <f>IF(E30="","",N(I30)+N(J30)-N(K30))</f>
        <v/>
      </c>
      <c r="M30" s="39" t="inlineStr">
        <is>
          <t>Yes</t>
        </is>
      </c>
      <c r="N30" s="27">
        <f>IF(E30="","",IF(TODAY()&lt;E30,"Upcoming",IF(TODAY()&lt;F30,"Staying now",IF(M30="Yes","Checked out","Payout not received"))))</f>
        <v/>
      </c>
      <c r="O30" s="35" t="n"/>
      <c r="P30" s="1" t="n"/>
      <c r="Q30">
        <f>IF(N(G30)&gt;0,L30/G30,0)</f>
        <v/>
      </c>
      <c r="R30">
        <f>IF(N(G30)&gt;0,N(I30)/G30,0)</f>
        <v/>
      </c>
      <c r="S30">
        <f>IF(OR($E30="",$F30=""),0,MAX(0,MIN($F30,DATE(Dashboard!$C$4,2,1))-MAX($E30,DATE(Dashboard!$C$4,1,1))))</f>
        <v/>
      </c>
      <c r="T30">
        <f>IF(OR($E30="",$F30=""),0,MAX(0,MIN($F30,DATE(Dashboard!$C$4,3,1))-MAX($E30,DATE(Dashboard!$C$4,2,1))))</f>
        <v/>
      </c>
      <c r="U30">
        <f>IF(OR($E30="",$F30=""),0,MAX(0,MIN($F30,DATE(Dashboard!$C$4,4,1))-MAX($E30,DATE(Dashboard!$C$4,3,1))))</f>
        <v/>
      </c>
      <c r="V30">
        <f>IF(OR($E30="",$F30=""),0,MAX(0,MIN($F30,DATE(Dashboard!$C$4,5,1))-MAX($E30,DATE(Dashboard!$C$4,4,1))))</f>
        <v/>
      </c>
      <c r="W30">
        <f>IF(OR($E30="",$F30=""),0,MAX(0,MIN($F30,DATE(Dashboard!$C$4,6,1))-MAX($E30,DATE(Dashboard!$C$4,5,1))))</f>
        <v/>
      </c>
      <c r="X30">
        <f>IF(OR($E30="",$F30=""),0,MAX(0,MIN($F30,DATE(Dashboard!$C$4,7,1))-MAX($E30,DATE(Dashboard!$C$4,6,1))))</f>
        <v/>
      </c>
      <c r="Y30">
        <f>IF(OR($E30="",$F30=""),0,MAX(0,MIN($F30,DATE(Dashboard!$C$4,8,1))-MAX($E30,DATE(Dashboard!$C$4,7,1))))</f>
        <v/>
      </c>
      <c r="Z30">
        <f>IF(OR($E30="",$F30=""),0,MAX(0,MIN($F30,DATE(Dashboard!$C$4,9,1))-MAX($E30,DATE(Dashboard!$C$4,8,1))))</f>
        <v/>
      </c>
      <c r="AA30">
        <f>IF(OR($E30="",$F30=""),0,MAX(0,MIN($F30,DATE(Dashboard!$C$4,10,1))-MAX($E30,DATE(Dashboard!$C$4,9,1))))</f>
        <v/>
      </c>
      <c r="AB30">
        <f>IF(OR($E30="",$F30=""),0,MAX(0,MIN($F30,DATE(Dashboard!$C$4,11,1))-MAX($E30,DATE(Dashboard!$C$4,10,1))))</f>
        <v/>
      </c>
      <c r="AC30">
        <f>IF(OR($E30="",$F30=""),0,MAX(0,MIN($F30,DATE(Dashboard!$C$4,12,1))-MAX($E30,DATE(Dashboard!$C$4,11,1))))</f>
        <v/>
      </c>
      <c r="AD30">
        <f>IF(OR($E30="",$F30=""),0,MAX(0,MIN($F30,DATE(Dashboard!$C$4,13,1))-MAX($E30,DATE(Dashboard!$C$4,12,1))))</f>
        <v/>
      </c>
      <c r="AE30">
        <f>SUM(S30:AD30)</f>
        <v/>
      </c>
      <c r="AF30">
        <f>Q30*AE30</f>
        <v/>
      </c>
      <c r="AG30">
        <f>R30*AE30</f>
        <v/>
      </c>
      <c r="AH30">
        <f>SUMPRODUCT(S30:AD30,--(COLUMN(S30:AD30)-COLUMN(S30)+1&lt;=Dashboard!$N$1))</f>
        <v/>
      </c>
      <c r="AI30">
        <f>IF(OR(E30="",E30&lt;TODAY()),"",E30+ROW()/100000)</f>
        <v/>
      </c>
      <c r="AJ30">
        <f>IF(OR(F30="",F30&lt;TODAY()),"",F30+ROW()/100000)</f>
        <v/>
      </c>
    </row>
    <row r="31">
      <c r="A31" s="1" t="n"/>
      <c r="B31" s="35" t="inlineStr">
        <is>
          <t>Mountain cabin</t>
        </is>
      </c>
      <c r="C31" s="35" t="inlineStr">
        <is>
          <t>Emma T.</t>
        </is>
      </c>
      <c r="D31" s="35" t="inlineStr">
        <is>
          <t>Direct</t>
        </is>
      </c>
      <c r="E31" s="36" t="n">
        <v>46127</v>
      </c>
      <c r="F31" s="36" t="n">
        <v>46132</v>
      </c>
      <c r="G31" s="18">
        <f>IF(OR(E31="",F31=""),"",F31-E31)</f>
        <v/>
      </c>
      <c r="H31" s="37" t="n">
        <v>2</v>
      </c>
      <c r="I31" s="38" t="n">
        <v>550</v>
      </c>
      <c r="J31" s="38" t="n">
        <v>80</v>
      </c>
      <c r="K31" s="38" t="n">
        <v>0</v>
      </c>
      <c r="L31" s="31">
        <f>IF(E31="","",N(I31)+N(J31)-N(K31))</f>
        <v/>
      </c>
      <c r="M31" s="39" t="inlineStr">
        <is>
          <t>Yes</t>
        </is>
      </c>
      <c r="N31" s="27">
        <f>IF(E31="","",IF(TODAY()&lt;E31,"Upcoming",IF(TODAY()&lt;F31,"Staying now",IF(M31="Yes","Checked out","Payout not received"))))</f>
        <v/>
      </c>
      <c r="O31" s="35" t="n"/>
      <c r="P31" s="1" t="n"/>
      <c r="Q31">
        <f>IF(N(G31)&gt;0,L31/G31,0)</f>
        <v/>
      </c>
      <c r="R31">
        <f>IF(N(G31)&gt;0,N(I31)/G31,0)</f>
        <v/>
      </c>
      <c r="S31">
        <f>IF(OR($E31="",$F31=""),0,MAX(0,MIN($F31,DATE(Dashboard!$C$4,2,1))-MAX($E31,DATE(Dashboard!$C$4,1,1))))</f>
        <v/>
      </c>
      <c r="T31">
        <f>IF(OR($E31="",$F31=""),0,MAX(0,MIN($F31,DATE(Dashboard!$C$4,3,1))-MAX($E31,DATE(Dashboard!$C$4,2,1))))</f>
        <v/>
      </c>
      <c r="U31">
        <f>IF(OR($E31="",$F31=""),0,MAX(0,MIN($F31,DATE(Dashboard!$C$4,4,1))-MAX($E31,DATE(Dashboard!$C$4,3,1))))</f>
        <v/>
      </c>
      <c r="V31">
        <f>IF(OR($E31="",$F31=""),0,MAX(0,MIN($F31,DATE(Dashboard!$C$4,5,1))-MAX($E31,DATE(Dashboard!$C$4,4,1))))</f>
        <v/>
      </c>
      <c r="W31">
        <f>IF(OR($E31="",$F31=""),0,MAX(0,MIN($F31,DATE(Dashboard!$C$4,6,1))-MAX($E31,DATE(Dashboard!$C$4,5,1))))</f>
        <v/>
      </c>
      <c r="X31">
        <f>IF(OR($E31="",$F31=""),0,MAX(0,MIN($F31,DATE(Dashboard!$C$4,7,1))-MAX($E31,DATE(Dashboard!$C$4,6,1))))</f>
        <v/>
      </c>
      <c r="Y31">
        <f>IF(OR($E31="",$F31=""),0,MAX(0,MIN($F31,DATE(Dashboard!$C$4,8,1))-MAX($E31,DATE(Dashboard!$C$4,7,1))))</f>
        <v/>
      </c>
      <c r="Z31">
        <f>IF(OR($E31="",$F31=""),0,MAX(0,MIN($F31,DATE(Dashboard!$C$4,9,1))-MAX($E31,DATE(Dashboard!$C$4,8,1))))</f>
        <v/>
      </c>
      <c r="AA31">
        <f>IF(OR($E31="",$F31=""),0,MAX(0,MIN($F31,DATE(Dashboard!$C$4,10,1))-MAX($E31,DATE(Dashboard!$C$4,9,1))))</f>
        <v/>
      </c>
      <c r="AB31">
        <f>IF(OR($E31="",$F31=""),0,MAX(0,MIN($F31,DATE(Dashboard!$C$4,11,1))-MAX($E31,DATE(Dashboard!$C$4,10,1))))</f>
        <v/>
      </c>
      <c r="AC31">
        <f>IF(OR($E31="",$F31=""),0,MAX(0,MIN($F31,DATE(Dashboard!$C$4,12,1))-MAX($E31,DATE(Dashboard!$C$4,11,1))))</f>
        <v/>
      </c>
      <c r="AD31">
        <f>IF(OR($E31="",$F31=""),0,MAX(0,MIN($F31,DATE(Dashboard!$C$4,13,1))-MAX($E31,DATE(Dashboard!$C$4,12,1))))</f>
        <v/>
      </c>
      <c r="AE31">
        <f>SUM(S31:AD31)</f>
        <v/>
      </c>
      <c r="AF31">
        <f>Q31*AE31</f>
        <v/>
      </c>
      <c r="AG31">
        <f>R31*AE31</f>
        <v/>
      </c>
      <c r="AH31">
        <f>SUMPRODUCT(S31:AD31,--(COLUMN(S31:AD31)-COLUMN(S31)+1&lt;=Dashboard!$N$1))</f>
        <v/>
      </c>
      <c r="AI31">
        <f>IF(OR(E31="",E31&lt;TODAY()),"",E31+ROW()/100000)</f>
        <v/>
      </c>
      <c r="AJ31">
        <f>IF(OR(F31="",F31&lt;TODAY()),"",F31+ROW()/100000)</f>
        <v/>
      </c>
    </row>
    <row r="32">
      <c r="A32" s="1" t="n"/>
      <c r="B32" s="35" t="inlineStr">
        <is>
          <t>Beach apartment</t>
        </is>
      </c>
      <c r="C32" s="35" t="inlineStr">
        <is>
          <t>Nora P.</t>
        </is>
      </c>
      <c r="D32" s="35" t="inlineStr">
        <is>
          <t>Vrbo</t>
        </is>
      </c>
      <c r="E32" s="36" t="n">
        <v>46134</v>
      </c>
      <c r="F32" s="36" t="n">
        <v>46140</v>
      </c>
      <c r="G32" s="18">
        <f>IF(OR(E32="",F32=""),"",F32-E32)</f>
        <v/>
      </c>
      <c r="H32" s="37" t="n">
        <v>2</v>
      </c>
      <c r="I32" s="38" t="n">
        <v>570</v>
      </c>
      <c r="J32" s="38" t="n">
        <v>60</v>
      </c>
      <c r="K32" s="38" t="n">
        <v>31.5</v>
      </c>
      <c r="L32" s="31">
        <f>IF(E32="","",N(I32)+N(J32)-N(K32))</f>
        <v/>
      </c>
      <c r="M32" s="39" t="inlineStr">
        <is>
          <t>Yes</t>
        </is>
      </c>
      <c r="N32" s="27">
        <f>IF(E32="","",IF(TODAY()&lt;E32,"Upcoming",IF(TODAY()&lt;F32,"Staying now",IF(M32="Yes","Checked out","Payout not received"))))</f>
        <v/>
      </c>
      <c r="O32" s="35" t="n"/>
      <c r="P32" s="1" t="n"/>
      <c r="Q32">
        <f>IF(N(G32)&gt;0,L32/G32,0)</f>
        <v/>
      </c>
      <c r="R32">
        <f>IF(N(G32)&gt;0,N(I32)/G32,0)</f>
        <v/>
      </c>
      <c r="S32">
        <f>IF(OR($E32="",$F32=""),0,MAX(0,MIN($F32,DATE(Dashboard!$C$4,2,1))-MAX($E32,DATE(Dashboard!$C$4,1,1))))</f>
        <v/>
      </c>
      <c r="T32">
        <f>IF(OR($E32="",$F32=""),0,MAX(0,MIN($F32,DATE(Dashboard!$C$4,3,1))-MAX($E32,DATE(Dashboard!$C$4,2,1))))</f>
        <v/>
      </c>
      <c r="U32">
        <f>IF(OR($E32="",$F32=""),0,MAX(0,MIN($F32,DATE(Dashboard!$C$4,4,1))-MAX($E32,DATE(Dashboard!$C$4,3,1))))</f>
        <v/>
      </c>
      <c r="V32">
        <f>IF(OR($E32="",$F32=""),0,MAX(0,MIN($F32,DATE(Dashboard!$C$4,5,1))-MAX($E32,DATE(Dashboard!$C$4,4,1))))</f>
        <v/>
      </c>
      <c r="W32">
        <f>IF(OR($E32="",$F32=""),0,MAX(0,MIN($F32,DATE(Dashboard!$C$4,6,1))-MAX($E32,DATE(Dashboard!$C$4,5,1))))</f>
        <v/>
      </c>
      <c r="X32">
        <f>IF(OR($E32="",$F32=""),0,MAX(0,MIN($F32,DATE(Dashboard!$C$4,7,1))-MAX($E32,DATE(Dashboard!$C$4,6,1))))</f>
        <v/>
      </c>
      <c r="Y32">
        <f>IF(OR($E32="",$F32=""),0,MAX(0,MIN($F32,DATE(Dashboard!$C$4,8,1))-MAX($E32,DATE(Dashboard!$C$4,7,1))))</f>
        <v/>
      </c>
      <c r="Z32">
        <f>IF(OR($E32="",$F32=""),0,MAX(0,MIN($F32,DATE(Dashboard!$C$4,9,1))-MAX($E32,DATE(Dashboard!$C$4,8,1))))</f>
        <v/>
      </c>
      <c r="AA32">
        <f>IF(OR($E32="",$F32=""),0,MAX(0,MIN($F32,DATE(Dashboard!$C$4,10,1))-MAX($E32,DATE(Dashboard!$C$4,9,1))))</f>
        <v/>
      </c>
      <c r="AB32">
        <f>IF(OR($E32="",$F32=""),0,MAX(0,MIN($F32,DATE(Dashboard!$C$4,11,1))-MAX($E32,DATE(Dashboard!$C$4,10,1))))</f>
        <v/>
      </c>
      <c r="AC32">
        <f>IF(OR($E32="",$F32=""),0,MAX(0,MIN($F32,DATE(Dashboard!$C$4,12,1))-MAX($E32,DATE(Dashboard!$C$4,11,1))))</f>
        <v/>
      </c>
      <c r="AD32">
        <f>IF(OR($E32="",$F32=""),0,MAX(0,MIN($F32,DATE(Dashboard!$C$4,13,1))-MAX($E32,DATE(Dashboard!$C$4,12,1))))</f>
        <v/>
      </c>
      <c r="AE32">
        <f>SUM(S32:AD32)</f>
        <v/>
      </c>
      <c r="AF32">
        <f>Q32*AE32</f>
        <v/>
      </c>
      <c r="AG32">
        <f>R32*AE32</f>
        <v/>
      </c>
      <c r="AH32">
        <f>SUMPRODUCT(S32:AD32,--(COLUMN(S32:AD32)-COLUMN(S32)+1&lt;=Dashboard!$N$1))</f>
        <v/>
      </c>
      <c r="AI32">
        <f>IF(OR(E32="",E32&lt;TODAY()),"",E32+ROW()/100000)</f>
        <v/>
      </c>
      <c r="AJ32">
        <f>IF(OR(F32="",F32&lt;TODAY()),"",F32+ROW()/100000)</f>
        <v/>
      </c>
    </row>
    <row r="33">
      <c r="A33" s="1" t="n"/>
      <c r="B33" s="35" t="inlineStr">
        <is>
          <t>Mountain cabin</t>
        </is>
      </c>
      <c r="C33" s="35" t="inlineStr">
        <is>
          <t>Mia C.</t>
        </is>
      </c>
      <c r="D33" s="35" t="inlineStr">
        <is>
          <t>Vrbo</t>
        </is>
      </c>
      <c r="E33" s="36" t="n">
        <v>46141</v>
      </c>
      <c r="F33" s="36" t="n">
        <v>46144</v>
      </c>
      <c r="G33" s="18">
        <f>IF(OR(E33="",F33=""),"",F33-E33)</f>
        <v/>
      </c>
      <c r="H33" s="37" t="n">
        <v>2</v>
      </c>
      <c r="I33" s="38" t="n">
        <v>330</v>
      </c>
      <c r="J33" s="38" t="n">
        <v>80</v>
      </c>
      <c r="K33" s="38" t="n">
        <v>20.5</v>
      </c>
      <c r="L33" s="31">
        <f>IF(E33="","",N(I33)+N(J33)-N(K33))</f>
        <v/>
      </c>
      <c r="M33" s="39" t="inlineStr">
        <is>
          <t>Yes</t>
        </is>
      </c>
      <c r="N33" s="27">
        <f>IF(E33="","",IF(TODAY()&lt;E33,"Upcoming",IF(TODAY()&lt;F33,"Staying now",IF(M33="Yes","Checked out","Payout not received"))))</f>
        <v/>
      </c>
      <c r="O33" s="35" t="n"/>
      <c r="P33" s="1" t="n"/>
      <c r="Q33">
        <f>IF(N(G33)&gt;0,L33/G33,0)</f>
        <v/>
      </c>
      <c r="R33">
        <f>IF(N(G33)&gt;0,N(I33)/G33,0)</f>
        <v/>
      </c>
      <c r="S33">
        <f>IF(OR($E33="",$F33=""),0,MAX(0,MIN($F33,DATE(Dashboard!$C$4,2,1))-MAX($E33,DATE(Dashboard!$C$4,1,1))))</f>
        <v/>
      </c>
      <c r="T33">
        <f>IF(OR($E33="",$F33=""),0,MAX(0,MIN($F33,DATE(Dashboard!$C$4,3,1))-MAX($E33,DATE(Dashboard!$C$4,2,1))))</f>
        <v/>
      </c>
      <c r="U33">
        <f>IF(OR($E33="",$F33=""),0,MAX(0,MIN($F33,DATE(Dashboard!$C$4,4,1))-MAX($E33,DATE(Dashboard!$C$4,3,1))))</f>
        <v/>
      </c>
      <c r="V33">
        <f>IF(OR($E33="",$F33=""),0,MAX(0,MIN($F33,DATE(Dashboard!$C$4,5,1))-MAX($E33,DATE(Dashboard!$C$4,4,1))))</f>
        <v/>
      </c>
      <c r="W33">
        <f>IF(OR($E33="",$F33=""),0,MAX(0,MIN($F33,DATE(Dashboard!$C$4,6,1))-MAX($E33,DATE(Dashboard!$C$4,5,1))))</f>
        <v/>
      </c>
      <c r="X33">
        <f>IF(OR($E33="",$F33=""),0,MAX(0,MIN($F33,DATE(Dashboard!$C$4,7,1))-MAX($E33,DATE(Dashboard!$C$4,6,1))))</f>
        <v/>
      </c>
      <c r="Y33">
        <f>IF(OR($E33="",$F33=""),0,MAX(0,MIN($F33,DATE(Dashboard!$C$4,8,1))-MAX($E33,DATE(Dashboard!$C$4,7,1))))</f>
        <v/>
      </c>
      <c r="Z33">
        <f>IF(OR($E33="",$F33=""),0,MAX(0,MIN($F33,DATE(Dashboard!$C$4,9,1))-MAX($E33,DATE(Dashboard!$C$4,8,1))))</f>
        <v/>
      </c>
      <c r="AA33">
        <f>IF(OR($E33="",$F33=""),0,MAX(0,MIN($F33,DATE(Dashboard!$C$4,10,1))-MAX($E33,DATE(Dashboard!$C$4,9,1))))</f>
        <v/>
      </c>
      <c r="AB33">
        <f>IF(OR($E33="",$F33=""),0,MAX(0,MIN($F33,DATE(Dashboard!$C$4,11,1))-MAX($E33,DATE(Dashboard!$C$4,10,1))))</f>
        <v/>
      </c>
      <c r="AC33">
        <f>IF(OR($E33="",$F33=""),0,MAX(0,MIN($F33,DATE(Dashboard!$C$4,12,1))-MAX($E33,DATE(Dashboard!$C$4,11,1))))</f>
        <v/>
      </c>
      <c r="AD33">
        <f>IF(OR($E33="",$F33=""),0,MAX(0,MIN($F33,DATE(Dashboard!$C$4,13,1))-MAX($E33,DATE(Dashboard!$C$4,12,1))))</f>
        <v/>
      </c>
      <c r="AE33">
        <f>SUM(S33:AD33)</f>
        <v/>
      </c>
      <c r="AF33">
        <f>Q33*AE33</f>
        <v/>
      </c>
      <c r="AG33">
        <f>R33*AE33</f>
        <v/>
      </c>
      <c r="AH33">
        <f>SUMPRODUCT(S33:AD33,--(COLUMN(S33:AD33)-COLUMN(S33)+1&lt;=Dashboard!$N$1))</f>
        <v/>
      </c>
      <c r="AI33">
        <f>IF(OR(E33="",E33&lt;TODAY()),"",E33+ROW()/100000)</f>
        <v/>
      </c>
      <c r="AJ33">
        <f>IF(OR(F33="",F33&lt;TODAY()),"",F33+ROW()/100000)</f>
        <v/>
      </c>
    </row>
    <row r="34">
      <c r="A34" s="1" t="n"/>
      <c r="B34" s="35" t="inlineStr">
        <is>
          <t>Beach apartment</t>
        </is>
      </c>
      <c r="C34" s="35" t="inlineStr">
        <is>
          <t>Adam M.</t>
        </is>
      </c>
      <c r="D34" s="35" t="inlineStr">
        <is>
          <t>Direct</t>
        </is>
      </c>
      <c r="E34" s="36" t="n">
        <v>46148</v>
      </c>
      <c r="F34" s="36" t="n">
        <v>46153</v>
      </c>
      <c r="G34" s="18">
        <f>IF(OR(E34="",F34=""),"",F34-E34)</f>
        <v/>
      </c>
      <c r="H34" s="37" t="n">
        <v>5</v>
      </c>
      <c r="I34" s="38" t="n">
        <v>625</v>
      </c>
      <c r="J34" s="38" t="n">
        <v>60</v>
      </c>
      <c r="K34" s="38" t="n">
        <v>0</v>
      </c>
      <c r="L34" s="31">
        <f>IF(E34="","",N(I34)+N(J34)-N(K34))</f>
        <v/>
      </c>
      <c r="M34" s="39" t="inlineStr">
        <is>
          <t>Yes</t>
        </is>
      </c>
      <c r="N34" s="27">
        <f>IF(E34="","",IF(TODAY()&lt;E34,"Upcoming",IF(TODAY()&lt;F34,"Staying now",IF(M34="Yes","Checked out","Payout not received"))))</f>
        <v/>
      </c>
      <c r="O34" s="35" t="n"/>
      <c r="P34" s="1" t="n"/>
      <c r="Q34">
        <f>IF(N(G34)&gt;0,L34/G34,0)</f>
        <v/>
      </c>
      <c r="R34">
        <f>IF(N(G34)&gt;0,N(I34)/G34,0)</f>
        <v/>
      </c>
      <c r="S34">
        <f>IF(OR($E34="",$F34=""),0,MAX(0,MIN($F34,DATE(Dashboard!$C$4,2,1))-MAX($E34,DATE(Dashboard!$C$4,1,1))))</f>
        <v/>
      </c>
      <c r="T34">
        <f>IF(OR($E34="",$F34=""),0,MAX(0,MIN($F34,DATE(Dashboard!$C$4,3,1))-MAX($E34,DATE(Dashboard!$C$4,2,1))))</f>
        <v/>
      </c>
      <c r="U34">
        <f>IF(OR($E34="",$F34=""),0,MAX(0,MIN($F34,DATE(Dashboard!$C$4,4,1))-MAX($E34,DATE(Dashboard!$C$4,3,1))))</f>
        <v/>
      </c>
      <c r="V34">
        <f>IF(OR($E34="",$F34=""),0,MAX(0,MIN($F34,DATE(Dashboard!$C$4,5,1))-MAX($E34,DATE(Dashboard!$C$4,4,1))))</f>
        <v/>
      </c>
      <c r="W34">
        <f>IF(OR($E34="",$F34=""),0,MAX(0,MIN($F34,DATE(Dashboard!$C$4,6,1))-MAX($E34,DATE(Dashboard!$C$4,5,1))))</f>
        <v/>
      </c>
      <c r="X34">
        <f>IF(OR($E34="",$F34=""),0,MAX(0,MIN($F34,DATE(Dashboard!$C$4,7,1))-MAX($E34,DATE(Dashboard!$C$4,6,1))))</f>
        <v/>
      </c>
      <c r="Y34">
        <f>IF(OR($E34="",$F34=""),0,MAX(0,MIN($F34,DATE(Dashboard!$C$4,8,1))-MAX($E34,DATE(Dashboard!$C$4,7,1))))</f>
        <v/>
      </c>
      <c r="Z34">
        <f>IF(OR($E34="",$F34=""),0,MAX(0,MIN($F34,DATE(Dashboard!$C$4,9,1))-MAX($E34,DATE(Dashboard!$C$4,8,1))))</f>
        <v/>
      </c>
      <c r="AA34">
        <f>IF(OR($E34="",$F34=""),0,MAX(0,MIN($F34,DATE(Dashboard!$C$4,10,1))-MAX($E34,DATE(Dashboard!$C$4,9,1))))</f>
        <v/>
      </c>
      <c r="AB34">
        <f>IF(OR($E34="",$F34=""),0,MAX(0,MIN($F34,DATE(Dashboard!$C$4,11,1))-MAX($E34,DATE(Dashboard!$C$4,10,1))))</f>
        <v/>
      </c>
      <c r="AC34">
        <f>IF(OR($E34="",$F34=""),0,MAX(0,MIN($F34,DATE(Dashboard!$C$4,12,1))-MAX($E34,DATE(Dashboard!$C$4,11,1))))</f>
        <v/>
      </c>
      <c r="AD34">
        <f>IF(OR($E34="",$F34=""),0,MAX(0,MIN($F34,DATE(Dashboard!$C$4,13,1))-MAX($E34,DATE(Dashboard!$C$4,12,1))))</f>
        <v/>
      </c>
      <c r="AE34">
        <f>SUM(S34:AD34)</f>
        <v/>
      </c>
      <c r="AF34">
        <f>Q34*AE34</f>
        <v/>
      </c>
      <c r="AG34">
        <f>R34*AE34</f>
        <v/>
      </c>
      <c r="AH34">
        <f>SUMPRODUCT(S34:AD34,--(COLUMN(S34:AD34)-COLUMN(S34)+1&lt;=Dashboard!$N$1))</f>
        <v/>
      </c>
      <c r="AI34">
        <f>IF(OR(E34="",E34&lt;TODAY()),"",E34+ROW()/100000)</f>
        <v/>
      </c>
      <c r="AJ34">
        <f>IF(OR(F34="",F34&lt;TODAY()),"",F34+ROW()/100000)</f>
        <v/>
      </c>
    </row>
    <row r="35">
      <c r="A35" s="1" t="n"/>
      <c r="B35" s="35" t="inlineStr">
        <is>
          <t>Mountain cabin</t>
        </is>
      </c>
      <c r="C35" s="35" t="inlineStr">
        <is>
          <t>Ruby S.</t>
        </is>
      </c>
      <c r="D35" s="35" t="inlineStr">
        <is>
          <t>Direct</t>
        </is>
      </c>
      <c r="E35" s="36" t="n">
        <v>46154</v>
      </c>
      <c r="F35" s="36" t="n">
        <v>46157</v>
      </c>
      <c r="G35" s="18">
        <f>IF(OR(E35="",F35=""),"",F35-E35)</f>
        <v/>
      </c>
      <c r="H35" s="37" t="n">
        <v>5</v>
      </c>
      <c r="I35" s="38" t="n">
        <v>330</v>
      </c>
      <c r="J35" s="38" t="n">
        <v>80</v>
      </c>
      <c r="K35" s="38" t="n">
        <v>0</v>
      </c>
      <c r="L35" s="31">
        <f>IF(E35="","",N(I35)+N(J35)-N(K35))</f>
        <v/>
      </c>
      <c r="M35" s="39" t="inlineStr">
        <is>
          <t>Yes</t>
        </is>
      </c>
      <c r="N35" s="27">
        <f>IF(E35="","",IF(TODAY()&lt;E35,"Upcoming",IF(TODAY()&lt;F35,"Staying now",IF(M35="Yes","Checked out","Payout not received"))))</f>
        <v/>
      </c>
      <c r="O35" s="35" t="n"/>
      <c r="P35" s="1" t="n"/>
      <c r="Q35">
        <f>IF(N(G35)&gt;0,L35/G35,0)</f>
        <v/>
      </c>
      <c r="R35">
        <f>IF(N(G35)&gt;0,N(I35)/G35,0)</f>
        <v/>
      </c>
      <c r="S35">
        <f>IF(OR($E35="",$F35=""),0,MAX(0,MIN($F35,DATE(Dashboard!$C$4,2,1))-MAX($E35,DATE(Dashboard!$C$4,1,1))))</f>
        <v/>
      </c>
      <c r="T35">
        <f>IF(OR($E35="",$F35=""),0,MAX(0,MIN($F35,DATE(Dashboard!$C$4,3,1))-MAX($E35,DATE(Dashboard!$C$4,2,1))))</f>
        <v/>
      </c>
      <c r="U35">
        <f>IF(OR($E35="",$F35=""),0,MAX(0,MIN($F35,DATE(Dashboard!$C$4,4,1))-MAX($E35,DATE(Dashboard!$C$4,3,1))))</f>
        <v/>
      </c>
      <c r="V35">
        <f>IF(OR($E35="",$F35=""),0,MAX(0,MIN($F35,DATE(Dashboard!$C$4,5,1))-MAX($E35,DATE(Dashboard!$C$4,4,1))))</f>
        <v/>
      </c>
      <c r="W35">
        <f>IF(OR($E35="",$F35=""),0,MAX(0,MIN($F35,DATE(Dashboard!$C$4,6,1))-MAX($E35,DATE(Dashboard!$C$4,5,1))))</f>
        <v/>
      </c>
      <c r="X35">
        <f>IF(OR($E35="",$F35=""),0,MAX(0,MIN($F35,DATE(Dashboard!$C$4,7,1))-MAX($E35,DATE(Dashboard!$C$4,6,1))))</f>
        <v/>
      </c>
      <c r="Y35">
        <f>IF(OR($E35="",$F35=""),0,MAX(0,MIN($F35,DATE(Dashboard!$C$4,8,1))-MAX($E35,DATE(Dashboard!$C$4,7,1))))</f>
        <v/>
      </c>
      <c r="Z35">
        <f>IF(OR($E35="",$F35=""),0,MAX(0,MIN($F35,DATE(Dashboard!$C$4,9,1))-MAX($E35,DATE(Dashboard!$C$4,8,1))))</f>
        <v/>
      </c>
      <c r="AA35">
        <f>IF(OR($E35="",$F35=""),0,MAX(0,MIN($F35,DATE(Dashboard!$C$4,10,1))-MAX($E35,DATE(Dashboard!$C$4,9,1))))</f>
        <v/>
      </c>
      <c r="AB35">
        <f>IF(OR($E35="",$F35=""),0,MAX(0,MIN($F35,DATE(Dashboard!$C$4,11,1))-MAX($E35,DATE(Dashboard!$C$4,10,1))))</f>
        <v/>
      </c>
      <c r="AC35">
        <f>IF(OR($E35="",$F35=""),0,MAX(0,MIN($F35,DATE(Dashboard!$C$4,12,1))-MAX($E35,DATE(Dashboard!$C$4,11,1))))</f>
        <v/>
      </c>
      <c r="AD35">
        <f>IF(OR($E35="",$F35=""),0,MAX(0,MIN($F35,DATE(Dashboard!$C$4,13,1))-MAX($E35,DATE(Dashboard!$C$4,12,1))))</f>
        <v/>
      </c>
      <c r="AE35">
        <f>SUM(S35:AD35)</f>
        <v/>
      </c>
      <c r="AF35">
        <f>Q35*AE35</f>
        <v/>
      </c>
      <c r="AG35">
        <f>R35*AE35</f>
        <v/>
      </c>
      <c r="AH35">
        <f>SUMPRODUCT(S35:AD35,--(COLUMN(S35:AD35)-COLUMN(S35)+1&lt;=Dashboard!$N$1))</f>
        <v/>
      </c>
      <c r="AI35">
        <f>IF(OR(E35="",E35&lt;TODAY()),"",E35+ROW()/100000)</f>
        <v/>
      </c>
      <c r="AJ35">
        <f>IF(OR(F35="",F35&lt;TODAY()),"",F35+ROW()/100000)</f>
        <v/>
      </c>
    </row>
    <row r="36">
      <c r="A36" s="1" t="n"/>
      <c r="B36" s="35" t="inlineStr">
        <is>
          <t>Beach apartment</t>
        </is>
      </c>
      <c r="C36" s="35" t="inlineStr">
        <is>
          <t>Max C.</t>
        </is>
      </c>
      <c r="D36" s="35" t="inlineStr">
        <is>
          <t>Airbnb</t>
        </is>
      </c>
      <c r="E36" s="36" t="n">
        <v>46164</v>
      </c>
      <c r="F36" s="36" t="n">
        <v>46171</v>
      </c>
      <c r="G36" s="18">
        <f>IF(OR(E36="",F36=""),"",F36-E36)</f>
        <v/>
      </c>
      <c r="H36" s="37" t="n">
        <v>2</v>
      </c>
      <c r="I36" s="38" t="n">
        <v>875</v>
      </c>
      <c r="J36" s="38" t="n">
        <v>60</v>
      </c>
      <c r="K36" s="38" t="n">
        <v>28.05</v>
      </c>
      <c r="L36" s="31">
        <f>IF(E36="","",N(I36)+N(J36)-N(K36))</f>
        <v/>
      </c>
      <c r="M36" s="39" t="inlineStr">
        <is>
          <t>Yes</t>
        </is>
      </c>
      <c r="N36" s="27">
        <f>IF(E36="","",IF(TODAY()&lt;E36,"Upcoming",IF(TODAY()&lt;F36,"Staying now",IF(M36="Yes","Checked out","Payout not received"))))</f>
        <v/>
      </c>
      <c r="O36" s="35" t="n"/>
      <c r="P36" s="1" t="n"/>
      <c r="Q36">
        <f>IF(N(G36)&gt;0,L36/G36,0)</f>
        <v/>
      </c>
      <c r="R36">
        <f>IF(N(G36)&gt;0,N(I36)/G36,0)</f>
        <v/>
      </c>
      <c r="S36">
        <f>IF(OR($E36="",$F36=""),0,MAX(0,MIN($F36,DATE(Dashboard!$C$4,2,1))-MAX($E36,DATE(Dashboard!$C$4,1,1))))</f>
        <v/>
      </c>
      <c r="T36">
        <f>IF(OR($E36="",$F36=""),0,MAX(0,MIN($F36,DATE(Dashboard!$C$4,3,1))-MAX($E36,DATE(Dashboard!$C$4,2,1))))</f>
        <v/>
      </c>
      <c r="U36">
        <f>IF(OR($E36="",$F36=""),0,MAX(0,MIN($F36,DATE(Dashboard!$C$4,4,1))-MAX($E36,DATE(Dashboard!$C$4,3,1))))</f>
        <v/>
      </c>
      <c r="V36">
        <f>IF(OR($E36="",$F36=""),0,MAX(0,MIN($F36,DATE(Dashboard!$C$4,5,1))-MAX($E36,DATE(Dashboard!$C$4,4,1))))</f>
        <v/>
      </c>
      <c r="W36">
        <f>IF(OR($E36="",$F36=""),0,MAX(0,MIN($F36,DATE(Dashboard!$C$4,6,1))-MAX($E36,DATE(Dashboard!$C$4,5,1))))</f>
        <v/>
      </c>
      <c r="X36">
        <f>IF(OR($E36="",$F36=""),0,MAX(0,MIN($F36,DATE(Dashboard!$C$4,7,1))-MAX($E36,DATE(Dashboard!$C$4,6,1))))</f>
        <v/>
      </c>
      <c r="Y36">
        <f>IF(OR($E36="",$F36=""),0,MAX(0,MIN($F36,DATE(Dashboard!$C$4,8,1))-MAX($E36,DATE(Dashboard!$C$4,7,1))))</f>
        <v/>
      </c>
      <c r="Z36">
        <f>IF(OR($E36="",$F36=""),0,MAX(0,MIN($F36,DATE(Dashboard!$C$4,9,1))-MAX($E36,DATE(Dashboard!$C$4,8,1))))</f>
        <v/>
      </c>
      <c r="AA36">
        <f>IF(OR($E36="",$F36=""),0,MAX(0,MIN($F36,DATE(Dashboard!$C$4,10,1))-MAX($E36,DATE(Dashboard!$C$4,9,1))))</f>
        <v/>
      </c>
      <c r="AB36">
        <f>IF(OR($E36="",$F36=""),0,MAX(0,MIN($F36,DATE(Dashboard!$C$4,11,1))-MAX($E36,DATE(Dashboard!$C$4,10,1))))</f>
        <v/>
      </c>
      <c r="AC36">
        <f>IF(OR($E36="",$F36=""),0,MAX(0,MIN($F36,DATE(Dashboard!$C$4,12,1))-MAX($E36,DATE(Dashboard!$C$4,11,1))))</f>
        <v/>
      </c>
      <c r="AD36">
        <f>IF(OR($E36="",$F36=""),0,MAX(0,MIN($F36,DATE(Dashboard!$C$4,13,1))-MAX($E36,DATE(Dashboard!$C$4,12,1))))</f>
        <v/>
      </c>
      <c r="AE36">
        <f>SUM(S36:AD36)</f>
        <v/>
      </c>
      <c r="AF36">
        <f>Q36*AE36</f>
        <v/>
      </c>
      <c r="AG36">
        <f>R36*AE36</f>
        <v/>
      </c>
      <c r="AH36">
        <f>SUMPRODUCT(S36:AD36,--(COLUMN(S36:AD36)-COLUMN(S36)+1&lt;=Dashboard!$N$1))</f>
        <v/>
      </c>
      <c r="AI36">
        <f>IF(OR(E36="",E36&lt;TODAY()),"",E36+ROW()/100000)</f>
        <v/>
      </c>
      <c r="AJ36">
        <f>IF(OR(F36="",F36&lt;TODAY()),"",F36+ROW()/100000)</f>
        <v/>
      </c>
    </row>
    <row r="37">
      <c r="A37" s="1" t="n"/>
      <c r="B37" s="35" t="inlineStr">
        <is>
          <t>Mountain cabin</t>
        </is>
      </c>
      <c r="C37" s="35" t="inlineStr">
        <is>
          <t>Mia T.</t>
        </is>
      </c>
      <c r="D37" s="35" t="inlineStr">
        <is>
          <t>Airbnb</t>
        </is>
      </c>
      <c r="E37" s="36" t="n">
        <v>46166</v>
      </c>
      <c r="F37" s="36" t="n">
        <v>46172</v>
      </c>
      <c r="G37" s="18">
        <f>IF(OR(E37="",F37=""),"",F37-E37)</f>
        <v/>
      </c>
      <c r="H37" s="37" t="n">
        <v>2</v>
      </c>
      <c r="I37" s="38" t="n">
        <v>660</v>
      </c>
      <c r="J37" s="38" t="n">
        <v>80</v>
      </c>
      <c r="K37" s="38" t="n">
        <v>22.2</v>
      </c>
      <c r="L37" s="31">
        <f>IF(E37="","",N(I37)+N(J37)-N(K37))</f>
        <v/>
      </c>
      <c r="M37" s="39" t="inlineStr">
        <is>
          <t>Yes</t>
        </is>
      </c>
      <c r="N37" s="27">
        <f>IF(E37="","",IF(TODAY()&lt;E37,"Upcoming",IF(TODAY()&lt;F37,"Staying now",IF(M37="Yes","Checked out","Payout not received"))))</f>
        <v/>
      </c>
      <c r="O37" s="35" t="n"/>
      <c r="P37" s="1" t="n"/>
      <c r="Q37">
        <f>IF(N(G37)&gt;0,L37/G37,0)</f>
        <v/>
      </c>
      <c r="R37">
        <f>IF(N(G37)&gt;0,N(I37)/G37,0)</f>
        <v/>
      </c>
      <c r="S37">
        <f>IF(OR($E37="",$F37=""),0,MAX(0,MIN($F37,DATE(Dashboard!$C$4,2,1))-MAX($E37,DATE(Dashboard!$C$4,1,1))))</f>
        <v/>
      </c>
      <c r="T37">
        <f>IF(OR($E37="",$F37=""),0,MAX(0,MIN($F37,DATE(Dashboard!$C$4,3,1))-MAX($E37,DATE(Dashboard!$C$4,2,1))))</f>
        <v/>
      </c>
      <c r="U37">
        <f>IF(OR($E37="",$F37=""),0,MAX(0,MIN($F37,DATE(Dashboard!$C$4,4,1))-MAX($E37,DATE(Dashboard!$C$4,3,1))))</f>
        <v/>
      </c>
      <c r="V37">
        <f>IF(OR($E37="",$F37=""),0,MAX(0,MIN($F37,DATE(Dashboard!$C$4,5,1))-MAX($E37,DATE(Dashboard!$C$4,4,1))))</f>
        <v/>
      </c>
      <c r="W37">
        <f>IF(OR($E37="",$F37=""),0,MAX(0,MIN($F37,DATE(Dashboard!$C$4,6,1))-MAX($E37,DATE(Dashboard!$C$4,5,1))))</f>
        <v/>
      </c>
      <c r="X37">
        <f>IF(OR($E37="",$F37=""),0,MAX(0,MIN($F37,DATE(Dashboard!$C$4,7,1))-MAX($E37,DATE(Dashboard!$C$4,6,1))))</f>
        <v/>
      </c>
      <c r="Y37">
        <f>IF(OR($E37="",$F37=""),0,MAX(0,MIN($F37,DATE(Dashboard!$C$4,8,1))-MAX($E37,DATE(Dashboard!$C$4,7,1))))</f>
        <v/>
      </c>
      <c r="Z37">
        <f>IF(OR($E37="",$F37=""),0,MAX(0,MIN($F37,DATE(Dashboard!$C$4,9,1))-MAX($E37,DATE(Dashboard!$C$4,8,1))))</f>
        <v/>
      </c>
      <c r="AA37">
        <f>IF(OR($E37="",$F37=""),0,MAX(0,MIN($F37,DATE(Dashboard!$C$4,10,1))-MAX($E37,DATE(Dashboard!$C$4,9,1))))</f>
        <v/>
      </c>
      <c r="AB37">
        <f>IF(OR($E37="",$F37=""),0,MAX(0,MIN($F37,DATE(Dashboard!$C$4,11,1))-MAX($E37,DATE(Dashboard!$C$4,10,1))))</f>
        <v/>
      </c>
      <c r="AC37">
        <f>IF(OR($E37="",$F37=""),0,MAX(0,MIN($F37,DATE(Dashboard!$C$4,12,1))-MAX($E37,DATE(Dashboard!$C$4,11,1))))</f>
        <v/>
      </c>
      <c r="AD37">
        <f>IF(OR($E37="",$F37=""),0,MAX(0,MIN($F37,DATE(Dashboard!$C$4,13,1))-MAX($E37,DATE(Dashboard!$C$4,12,1))))</f>
        <v/>
      </c>
      <c r="AE37">
        <f>SUM(S37:AD37)</f>
        <v/>
      </c>
      <c r="AF37">
        <f>Q37*AE37</f>
        <v/>
      </c>
      <c r="AG37">
        <f>R37*AE37</f>
        <v/>
      </c>
      <c r="AH37">
        <f>SUMPRODUCT(S37:AD37,--(COLUMN(S37:AD37)-COLUMN(S37)+1&lt;=Dashboard!$N$1))</f>
        <v/>
      </c>
      <c r="AI37">
        <f>IF(OR(E37="",E37&lt;TODAY()),"",E37+ROW()/100000)</f>
        <v/>
      </c>
      <c r="AJ37">
        <f>IF(OR(F37="",F37&lt;TODAY()),"",F37+ROW()/100000)</f>
        <v/>
      </c>
    </row>
    <row r="38">
      <c r="A38" s="1" t="n"/>
      <c r="B38" s="35" t="inlineStr">
        <is>
          <t>Beach apartment</t>
        </is>
      </c>
      <c r="C38" s="35" t="inlineStr">
        <is>
          <t>Noah T.</t>
        </is>
      </c>
      <c r="D38" s="35" t="inlineStr">
        <is>
          <t>Airbnb</t>
        </is>
      </c>
      <c r="E38" s="36" t="n">
        <v>46175</v>
      </c>
      <c r="F38" s="36" t="n">
        <v>46181</v>
      </c>
      <c r="G38" s="18">
        <f>IF(OR(E38="",F38=""),"",F38-E38)</f>
        <v/>
      </c>
      <c r="H38" s="37" t="n">
        <v>5</v>
      </c>
      <c r="I38" s="38" t="n">
        <v>990</v>
      </c>
      <c r="J38" s="38" t="n">
        <v>60</v>
      </c>
      <c r="K38" s="38" t="n">
        <v>31.5</v>
      </c>
      <c r="L38" s="31">
        <f>IF(E38="","",N(I38)+N(J38)-N(K38))</f>
        <v/>
      </c>
      <c r="M38" s="39" t="inlineStr">
        <is>
          <t>Yes</t>
        </is>
      </c>
      <c r="N38" s="27">
        <f>IF(E38="","",IF(TODAY()&lt;E38,"Upcoming",IF(TODAY()&lt;F38,"Staying now",IF(M38="Yes","Checked out","Payout not received"))))</f>
        <v/>
      </c>
      <c r="O38" s="35" t="n"/>
      <c r="P38" s="1" t="n"/>
      <c r="Q38">
        <f>IF(N(G38)&gt;0,L38/G38,0)</f>
        <v/>
      </c>
      <c r="R38">
        <f>IF(N(G38)&gt;0,N(I38)/G38,0)</f>
        <v/>
      </c>
      <c r="S38">
        <f>IF(OR($E38="",$F38=""),0,MAX(0,MIN($F38,DATE(Dashboard!$C$4,2,1))-MAX($E38,DATE(Dashboard!$C$4,1,1))))</f>
        <v/>
      </c>
      <c r="T38">
        <f>IF(OR($E38="",$F38=""),0,MAX(0,MIN($F38,DATE(Dashboard!$C$4,3,1))-MAX($E38,DATE(Dashboard!$C$4,2,1))))</f>
        <v/>
      </c>
      <c r="U38">
        <f>IF(OR($E38="",$F38=""),0,MAX(0,MIN($F38,DATE(Dashboard!$C$4,4,1))-MAX($E38,DATE(Dashboard!$C$4,3,1))))</f>
        <v/>
      </c>
      <c r="V38">
        <f>IF(OR($E38="",$F38=""),0,MAX(0,MIN($F38,DATE(Dashboard!$C$4,5,1))-MAX($E38,DATE(Dashboard!$C$4,4,1))))</f>
        <v/>
      </c>
      <c r="W38">
        <f>IF(OR($E38="",$F38=""),0,MAX(0,MIN($F38,DATE(Dashboard!$C$4,6,1))-MAX($E38,DATE(Dashboard!$C$4,5,1))))</f>
        <v/>
      </c>
      <c r="X38">
        <f>IF(OR($E38="",$F38=""),0,MAX(0,MIN($F38,DATE(Dashboard!$C$4,7,1))-MAX($E38,DATE(Dashboard!$C$4,6,1))))</f>
        <v/>
      </c>
      <c r="Y38">
        <f>IF(OR($E38="",$F38=""),0,MAX(0,MIN($F38,DATE(Dashboard!$C$4,8,1))-MAX($E38,DATE(Dashboard!$C$4,7,1))))</f>
        <v/>
      </c>
      <c r="Z38">
        <f>IF(OR($E38="",$F38=""),0,MAX(0,MIN($F38,DATE(Dashboard!$C$4,9,1))-MAX($E38,DATE(Dashboard!$C$4,8,1))))</f>
        <v/>
      </c>
      <c r="AA38">
        <f>IF(OR($E38="",$F38=""),0,MAX(0,MIN($F38,DATE(Dashboard!$C$4,10,1))-MAX($E38,DATE(Dashboard!$C$4,9,1))))</f>
        <v/>
      </c>
      <c r="AB38">
        <f>IF(OR($E38="",$F38=""),0,MAX(0,MIN($F38,DATE(Dashboard!$C$4,11,1))-MAX($E38,DATE(Dashboard!$C$4,10,1))))</f>
        <v/>
      </c>
      <c r="AC38">
        <f>IF(OR($E38="",$F38=""),0,MAX(0,MIN($F38,DATE(Dashboard!$C$4,12,1))-MAX($E38,DATE(Dashboard!$C$4,11,1))))</f>
        <v/>
      </c>
      <c r="AD38">
        <f>IF(OR($E38="",$F38=""),0,MAX(0,MIN($F38,DATE(Dashboard!$C$4,13,1))-MAX($E38,DATE(Dashboard!$C$4,12,1))))</f>
        <v/>
      </c>
      <c r="AE38">
        <f>SUM(S38:AD38)</f>
        <v/>
      </c>
      <c r="AF38">
        <f>Q38*AE38</f>
        <v/>
      </c>
      <c r="AG38">
        <f>R38*AE38</f>
        <v/>
      </c>
      <c r="AH38">
        <f>SUMPRODUCT(S38:AD38,--(COLUMN(S38:AD38)-COLUMN(S38)+1&lt;=Dashboard!$N$1))</f>
        <v/>
      </c>
      <c r="AI38">
        <f>IF(OR(E38="",E38&lt;TODAY()),"",E38+ROW()/100000)</f>
        <v/>
      </c>
      <c r="AJ38">
        <f>IF(OR(F38="",F38&lt;TODAY()),"",F38+ROW()/100000)</f>
        <v/>
      </c>
    </row>
    <row r="39">
      <c r="A39" s="1" t="n"/>
      <c r="B39" s="35" t="inlineStr">
        <is>
          <t>Mountain cabin</t>
        </is>
      </c>
      <c r="C39" s="35" t="inlineStr">
        <is>
          <t>Emma N.</t>
        </is>
      </c>
      <c r="D39" s="35" t="inlineStr">
        <is>
          <t>Airbnb</t>
        </is>
      </c>
      <c r="E39" s="36" t="n">
        <v>46177</v>
      </c>
      <c r="F39" s="36" t="n">
        <v>46184</v>
      </c>
      <c r="G39" s="18">
        <f>IF(OR(E39="",F39=""),"",F39-E39)</f>
        <v/>
      </c>
      <c r="H39" s="37" t="n">
        <v>4</v>
      </c>
      <c r="I39" s="38" t="n">
        <v>770</v>
      </c>
      <c r="J39" s="38" t="n">
        <v>80</v>
      </c>
      <c r="K39" s="38" t="n">
        <v>25.5</v>
      </c>
      <c r="L39" s="31">
        <f>IF(E39="","",N(I39)+N(J39)-N(K39))</f>
        <v/>
      </c>
      <c r="M39" s="39" t="inlineStr">
        <is>
          <t>Yes</t>
        </is>
      </c>
      <c r="N39" s="27">
        <f>IF(E39="","",IF(TODAY()&lt;E39,"Upcoming",IF(TODAY()&lt;F39,"Staying now",IF(M39="Yes","Checked out","Payout not received"))))</f>
        <v/>
      </c>
      <c r="O39" s="35" t="n"/>
      <c r="P39" s="1" t="n"/>
      <c r="Q39">
        <f>IF(N(G39)&gt;0,L39/G39,0)</f>
        <v/>
      </c>
      <c r="R39">
        <f>IF(N(G39)&gt;0,N(I39)/G39,0)</f>
        <v/>
      </c>
      <c r="S39">
        <f>IF(OR($E39="",$F39=""),0,MAX(0,MIN($F39,DATE(Dashboard!$C$4,2,1))-MAX($E39,DATE(Dashboard!$C$4,1,1))))</f>
        <v/>
      </c>
      <c r="T39">
        <f>IF(OR($E39="",$F39=""),0,MAX(0,MIN($F39,DATE(Dashboard!$C$4,3,1))-MAX($E39,DATE(Dashboard!$C$4,2,1))))</f>
        <v/>
      </c>
      <c r="U39">
        <f>IF(OR($E39="",$F39=""),0,MAX(0,MIN($F39,DATE(Dashboard!$C$4,4,1))-MAX($E39,DATE(Dashboard!$C$4,3,1))))</f>
        <v/>
      </c>
      <c r="V39">
        <f>IF(OR($E39="",$F39=""),0,MAX(0,MIN($F39,DATE(Dashboard!$C$4,5,1))-MAX($E39,DATE(Dashboard!$C$4,4,1))))</f>
        <v/>
      </c>
      <c r="W39">
        <f>IF(OR($E39="",$F39=""),0,MAX(0,MIN($F39,DATE(Dashboard!$C$4,6,1))-MAX($E39,DATE(Dashboard!$C$4,5,1))))</f>
        <v/>
      </c>
      <c r="X39">
        <f>IF(OR($E39="",$F39=""),0,MAX(0,MIN($F39,DATE(Dashboard!$C$4,7,1))-MAX($E39,DATE(Dashboard!$C$4,6,1))))</f>
        <v/>
      </c>
      <c r="Y39">
        <f>IF(OR($E39="",$F39=""),0,MAX(0,MIN($F39,DATE(Dashboard!$C$4,8,1))-MAX($E39,DATE(Dashboard!$C$4,7,1))))</f>
        <v/>
      </c>
      <c r="Z39">
        <f>IF(OR($E39="",$F39=""),0,MAX(0,MIN($F39,DATE(Dashboard!$C$4,9,1))-MAX($E39,DATE(Dashboard!$C$4,8,1))))</f>
        <v/>
      </c>
      <c r="AA39">
        <f>IF(OR($E39="",$F39=""),0,MAX(0,MIN($F39,DATE(Dashboard!$C$4,10,1))-MAX($E39,DATE(Dashboard!$C$4,9,1))))</f>
        <v/>
      </c>
      <c r="AB39">
        <f>IF(OR($E39="",$F39=""),0,MAX(0,MIN($F39,DATE(Dashboard!$C$4,11,1))-MAX($E39,DATE(Dashboard!$C$4,10,1))))</f>
        <v/>
      </c>
      <c r="AC39">
        <f>IF(OR($E39="",$F39=""),0,MAX(0,MIN($F39,DATE(Dashboard!$C$4,12,1))-MAX($E39,DATE(Dashboard!$C$4,11,1))))</f>
        <v/>
      </c>
      <c r="AD39">
        <f>IF(OR($E39="",$F39=""),0,MAX(0,MIN($F39,DATE(Dashboard!$C$4,13,1))-MAX($E39,DATE(Dashboard!$C$4,12,1))))</f>
        <v/>
      </c>
      <c r="AE39">
        <f>SUM(S39:AD39)</f>
        <v/>
      </c>
      <c r="AF39">
        <f>Q39*AE39</f>
        <v/>
      </c>
      <c r="AG39">
        <f>R39*AE39</f>
        <v/>
      </c>
      <c r="AH39">
        <f>SUMPRODUCT(S39:AD39,--(COLUMN(S39:AD39)-COLUMN(S39)+1&lt;=Dashboard!$N$1))</f>
        <v/>
      </c>
      <c r="AI39">
        <f>IF(OR(E39="",E39&lt;TODAY()),"",E39+ROW()/100000)</f>
        <v/>
      </c>
      <c r="AJ39">
        <f>IF(OR(F39="",F39&lt;TODAY()),"",F39+ROW()/100000)</f>
        <v/>
      </c>
    </row>
    <row r="40">
      <c r="A40" s="1" t="n"/>
      <c r="B40" s="35" t="inlineStr">
        <is>
          <t>Beach apartment</t>
        </is>
      </c>
      <c r="C40" s="35" t="inlineStr">
        <is>
          <t>Sam H.</t>
        </is>
      </c>
      <c r="D40" s="35" t="inlineStr">
        <is>
          <t>Airbnb</t>
        </is>
      </c>
      <c r="E40" s="36" t="n">
        <v>46181</v>
      </c>
      <c r="F40" s="36" t="n">
        <v>46187</v>
      </c>
      <c r="G40" s="18">
        <f>IF(OR(E40="",F40=""),"",F40-E40)</f>
        <v/>
      </c>
      <c r="H40" s="37" t="n">
        <v>3</v>
      </c>
      <c r="I40" s="38" t="n">
        <v>990</v>
      </c>
      <c r="J40" s="38" t="n">
        <v>60</v>
      </c>
      <c r="K40" s="38" t="n">
        <v>31.5</v>
      </c>
      <c r="L40" s="31">
        <f>IF(E40="","",N(I40)+N(J40)-N(K40))</f>
        <v/>
      </c>
      <c r="M40" s="39" t="inlineStr">
        <is>
          <t>Yes</t>
        </is>
      </c>
      <c r="N40" s="27">
        <f>IF(E40="","",IF(TODAY()&lt;E40,"Upcoming",IF(TODAY()&lt;F40,"Staying now",IF(M40="Yes","Checked out","Payout not received"))))</f>
        <v/>
      </c>
      <c r="O40" s="35" t="n"/>
      <c r="P40" s="1" t="n"/>
      <c r="Q40">
        <f>IF(N(G40)&gt;0,L40/G40,0)</f>
        <v/>
      </c>
      <c r="R40">
        <f>IF(N(G40)&gt;0,N(I40)/G40,0)</f>
        <v/>
      </c>
      <c r="S40">
        <f>IF(OR($E40="",$F40=""),0,MAX(0,MIN($F40,DATE(Dashboard!$C$4,2,1))-MAX($E40,DATE(Dashboard!$C$4,1,1))))</f>
        <v/>
      </c>
      <c r="T40">
        <f>IF(OR($E40="",$F40=""),0,MAX(0,MIN($F40,DATE(Dashboard!$C$4,3,1))-MAX($E40,DATE(Dashboard!$C$4,2,1))))</f>
        <v/>
      </c>
      <c r="U40">
        <f>IF(OR($E40="",$F40=""),0,MAX(0,MIN($F40,DATE(Dashboard!$C$4,4,1))-MAX($E40,DATE(Dashboard!$C$4,3,1))))</f>
        <v/>
      </c>
      <c r="V40">
        <f>IF(OR($E40="",$F40=""),0,MAX(0,MIN($F40,DATE(Dashboard!$C$4,5,1))-MAX($E40,DATE(Dashboard!$C$4,4,1))))</f>
        <v/>
      </c>
      <c r="W40">
        <f>IF(OR($E40="",$F40=""),0,MAX(0,MIN($F40,DATE(Dashboard!$C$4,6,1))-MAX($E40,DATE(Dashboard!$C$4,5,1))))</f>
        <v/>
      </c>
      <c r="X40">
        <f>IF(OR($E40="",$F40=""),0,MAX(0,MIN($F40,DATE(Dashboard!$C$4,7,1))-MAX($E40,DATE(Dashboard!$C$4,6,1))))</f>
        <v/>
      </c>
      <c r="Y40">
        <f>IF(OR($E40="",$F40=""),0,MAX(0,MIN($F40,DATE(Dashboard!$C$4,8,1))-MAX($E40,DATE(Dashboard!$C$4,7,1))))</f>
        <v/>
      </c>
      <c r="Z40">
        <f>IF(OR($E40="",$F40=""),0,MAX(0,MIN($F40,DATE(Dashboard!$C$4,9,1))-MAX($E40,DATE(Dashboard!$C$4,8,1))))</f>
        <v/>
      </c>
      <c r="AA40">
        <f>IF(OR($E40="",$F40=""),0,MAX(0,MIN($F40,DATE(Dashboard!$C$4,10,1))-MAX($E40,DATE(Dashboard!$C$4,9,1))))</f>
        <v/>
      </c>
      <c r="AB40">
        <f>IF(OR($E40="",$F40=""),0,MAX(0,MIN($F40,DATE(Dashboard!$C$4,11,1))-MAX($E40,DATE(Dashboard!$C$4,10,1))))</f>
        <v/>
      </c>
      <c r="AC40">
        <f>IF(OR($E40="",$F40=""),0,MAX(0,MIN($F40,DATE(Dashboard!$C$4,12,1))-MAX($E40,DATE(Dashboard!$C$4,11,1))))</f>
        <v/>
      </c>
      <c r="AD40">
        <f>IF(OR($E40="",$F40=""),0,MAX(0,MIN($F40,DATE(Dashboard!$C$4,13,1))-MAX($E40,DATE(Dashboard!$C$4,12,1))))</f>
        <v/>
      </c>
      <c r="AE40">
        <f>SUM(S40:AD40)</f>
        <v/>
      </c>
      <c r="AF40">
        <f>Q40*AE40</f>
        <v/>
      </c>
      <c r="AG40">
        <f>R40*AE40</f>
        <v/>
      </c>
      <c r="AH40">
        <f>SUMPRODUCT(S40:AD40,--(COLUMN(S40:AD40)-COLUMN(S40)+1&lt;=Dashboard!$N$1))</f>
        <v/>
      </c>
      <c r="AI40">
        <f>IF(OR(E40="",E40&lt;TODAY()),"",E40+ROW()/100000)</f>
        <v/>
      </c>
      <c r="AJ40">
        <f>IF(OR(F40="",F40&lt;TODAY()),"",F40+ROW()/100000)</f>
        <v/>
      </c>
    </row>
    <row r="41">
      <c r="A41" s="1" t="n"/>
      <c r="B41" s="35" t="inlineStr">
        <is>
          <t>Beach apartment</t>
        </is>
      </c>
      <c r="C41" s="35" t="inlineStr">
        <is>
          <t>Sofia S.</t>
        </is>
      </c>
      <c r="D41" s="35" t="inlineStr">
        <is>
          <t>Booking.com</t>
        </is>
      </c>
      <c r="E41" s="36" t="n">
        <v>46187</v>
      </c>
      <c r="F41" s="36" t="n">
        <v>46189</v>
      </c>
      <c r="G41" s="18">
        <f>IF(OR(E41="",F41=""),"",F41-E41)</f>
        <v/>
      </c>
      <c r="H41" s="37" t="n">
        <v>5</v>
      </c>
      <c r="I41" s="38" t="n">
        <v>330</v>
      </c>
      <c r="J41" s="38" t="n">
        <v>60</v>
      </c>
      <c r="K41" s="38" t="n">
        <v>58.5</v>
      </c>
      <c r="L41" s="31">
        <f>IF(E41="","",N(I41)+N(J41)-N(K41))</f>
        <v/>
      </c>
      <c r="M41" s="39" t="inlineStr">
        <is>
          <t>Yes</t>
        </is>
      </c>
      <c r="N41" s="27">
        <f>IF(E41="","",IF(TODAY()&lt;E41,"Upcoming",IF(TODAY()&lt;F41,"Staying now",IF(M41="Yes","Checked out","Payout not received"))))</f>
        <v/>
      </c>
      <c r="O41" s="35" t="n"/>
      <c r="P41" s="1" t="n"/>
      <c r="Q41">
        <f>IF(N(G41)&gt;0,L41/G41,0)</f>
        <v/>
      </c>
      <c r="R41">
        <f>IF(N(G41)&gt;0,N(I41)/G41,0)</f>
        <v/>
      </c>
      <c r="S41">
        <f>IF(OR($E41="",$F41=""),0,MAX(0,MIN($F41,DATE(Dashboard!$C$4,2,1))-MAX($E41,DATE(Dashboard!$C$4,1,1))))</f>
        <v/>
      </c>
      <c r="T41">
        <f>IF(OR($E41="",$F41=""),0,MAX(0,MIN($F41,DATE(Dashboard!$C$4,3,1))-MAX($E41,DATE(Dashboard!$C$4,2,1))))</f>
        <v/>
      </c>
      <c r="U41">
        <f>IF(OR($E41="",$F41=""),0,MAX(0,MIN($F41,DATE(Dashboard!$C$4,4,1))-MAX($E41,DATE(Dashboard!$C$4,3,1))))</f>
        <v/>
      </c>
      <c r="V41">
        <f>IF(OR($E41="",$F41=""),0,MAX(0,MIN($F41,DATE(Dashboard!$C$4,5,1))-MAX($E41,DATE(Dashboard!$C$4,4,1))))</f>
        <v/>
      </c>
      <c r="W41">
        <f>IF(OR($E41="",$F41=""),0,MAX(0,MIN($F41,DATE(Dashboard!$C$4,6,1))-MAX($E41,DATE(Dashboard!$C$4,5,1))))</f>
        <v/>
      </c>
      <c r="X41">
        <f>IF(OR($E41="",$F41=""),0,MAX(0,MIN($F41,DATE(Dashboard!$C$4,7,1))-MAX($E41,DATE(Dashboard!$C$4,6,1))))</f>
        <v/>
      </c>
      <c r="Y41">
        <f>IF(OR($E41="",$F41=""),0,MAX(0,MIN($F41,DATE(Dashboard!$C$4,8,1))-MAX($E41,DATE(Dashboard!$C$4,7,1))))</f>
        <v/>
      </c>
      <c r="Z41">
        <f>IF(OR($E41="",$F41=""),0,MAX(0,MIN($F41,DATE(Dashboard!$C$4,9,1))-MAX($E41,DATE(Dashboard!$C$4,8,1))))</f>
        <v/>
      </c>
      <c r="AA41">
        <f>IF(OR($E41="",$F41=""),0,MAX(0,MIN($F41,DATE(Dashboard!$C$4,10,1))-MAX($E41,DATE(Dashboard!$C$4,9,1))))</f>
        <v/>
      </c>
      <c r="AB41">
        <f>IF(OR($E41="",$F41=""),0,MAX(0,MIN($F41,DATE(Dashboard!$C$4,11,1))-MAX($E41,DATE(Dashboard!$C$4,10,1))))</f>
        <v/>
      </c>
      <c r="AC41">
        <f>IF(OR($E41="",$F41=""),0,MAX(0,MIN($F41,DATE(Dashboard!$C$4,12,1))-MAX($E41,DATE(Dashboard!$C$4,11,1))))</f>
        <v/>
      </c>
      <c r="AD41">
        <f>IF(OR($E41="",$F41=""),0,MAX(0,MIN($F41,DATE(Dashboard!$C$4,13,1))-MAX($E41,DATE(Dashboard!$C$4,12,1))))</f>
        <v/>
      </c>
      <c r="AE41">
        <f>SUM(S41:AD41)</f>
        <v/>
      </c>
      <c r="AF41">
        <f>Q41*AE41</f>
        <v/>
      </c>
      <c r="AG41">
        <f>R41*AE41</f>
        <v/>
      </c>
      <c r="AH41">
        <f>SUMPRODUCT(S41:AD41,--(COLUMN(S41:AD41)-COLUMN(S41)+1&lt;=Dashboard!$N$1))</f>
        <v/>
      </c>
      <c r="AI41">
        <f>IF(OR(E41="",E41&lt;TODAY()),"",E41+ROW()/100000)</f>
        <v/>
      </c>
      <c r="AJ41">
        <f>IF(OR(F41="",F41&lt;TODAY()),"",F41+ROW()/100000)</f>
        <v/>
      </c>
    </row>
    <row r="42">
      <c r="A42" s="1" t="n"/>
      <c r="B42" s="35" t="inlineStr">
        <is>
          <t>Mountain cabin</t>
        </is>
      </c>
      <c r="C42" s="35" t="inlineStr">
        <is>
          <t>Sofia P.</t>
        </is>
      </c>
      <c r="D42" s="35" t="inlineStr">
        <is>
          <t>Booking.com</t>
        </is>
      </c>
      <c r="E42" s="36" t="n">
        <v>46188</v>
      </c>
      <c r="F42" s="36" t="n">
        <v>46193</v>
      </c>
      <c r="G42" s="18">
        <f>IF(OR(E42="",F42=""),"",F42-E42)</f>
        <v/>
      </c>
      <c r="H42" s="37" t="n">
        <v>4</v>
      </c>
      <c r="I42" s="38" t="n">
        <v>550</v>
      </c>
      <c r="J42" s="38" t="n">
        <v>80</v>
      </c>
      <c r="K42" s="38" t="n">
        <v>94.5</v>
      </c>
      <c r="L42" s="31">
        <f>IF(E42="","",N(I42)+N(J42)-N(K42))</f>
        <v/>
      </c>
      <c r="M42" s="39" t="inlineStr">
        <is>
          <t>Yes</t>
        </is>
      </c>
      <c r="N42" s="27">
        <f>IF(E42="","",IF(TODAY()&lt;E42,"Upcoming",IF(TODAY()&lt;F42,"Staying now",IF(M42="Yes","Checked out","Payout not received"))))</f>
        <v/>
      </c>
      <c r="O42" s="35" t="n"/>
      <c r="P42" s="1" t="n"/>
      <c r="Q42">
        <f>IF(N(G42)&gt;0,L42/G42,0)</f>
        <v/>
      </c>
      <c r="R42">
        <f>IF(N(G42)&gt;0,N(I42)/G42,0)</f>
        <v/>
      </c>
      <c r="S42">
        <f>IF(OR($E42="",$F42=""),0,MAX(0,MIN($F42,DATE(Dashboard!$C$4,2,1))-MAX($E42,DATE(Dashboard!$C$4,1,1))))</f>
        <v/>
      </c>
      <c r="T42">
        <f>IF(OR($E42="",$F42=""),0,MAX(0,MIN($F42,DATE(Dashboard!$C$4,3,1))-MAX($E42,DATE(Dashboard!$C$4,2,1))))</f>
        <v/>
      </c>
      <c r="U42">
        <f>IF(OR($E42="",$F42=""),0,MAX(0,MIN($F42,DATE(Dashboard!$C$4,4,1))-MAX($E42,DATE(Dashboard!$C$4,3,1))))</f>
        <v/>
      </c>
      <c r="V42">
        <f>IF(OR($E42="",$F42=""),0,MAX(0,MIN($F42,DATE(Dashboard!$C$4,5,1))-MAX($E42,DATE(Dashboard!$C$4,4,1))))</f>
        <v/>
      </c>
      <c r="W42">
        <f>IF(OR($E42="",$F42=""),0,MAX(0,MIN($F42,DATE(Dashboard!$C$4,6,1))-MAX($E42,DATE(Dashboard!$C$4,5,1))))</f>
        <v/>
      </c>
      <c r="X42">
        <f>IF(OR($E42="",$F42=""),0,MAX(0,MIN($F42,DATE(Dashboard!$C$4,7,1))-MAX($E42,DATE(Dashboard!$C$4,6,1))))</f>
        <v/>
      </c>
      <c r="Y42">
        <f>IF(OR($E42="",$F42=""),0,MAX(0,MIN($F42,DATE(Dashboard!$C$4,8,1))-MAX($E42,DATE(Dashboard!$C$4,7,1))))</f>
        <v/>
      </c>
      <c r="Z42">
        <f>IF(OR($E42="",$F42=""),0,MAX(0,MIN($F42,DATE(Dashboard!$C$4,9,1))-MAX($E42,DATE(Dashboard!$C$4,8,1))))</f>
        <v/>
      </c>
      <c r="AA42">
        <f>IF(OR($E42="",$F42=""),0,MAX(0,MIN($F42,DATE(Dashboard!$C$4,10,1))-MAX($E42,DATE(Dashboard!$C$4,9,1))))</f>
        <v/>
      </c>
      <c r="AB42">
        <f>IF(OR($E42="",$F42=""),0,MAX(0,MIN($F42,DATE(Dashboard!$C$4,11,1))-MAX($E42,DATE(Dashboard!$C$4,10,1))))</f>
        <v/>
      </c>
      <c r="AC42">
        <f>IF(OR($E42="",$F42=""),0,MAX(0,MIN($F42,DATE(Dashboard!$C$4,12,1))-MAX($E42,DATE(Dashboard!$C$4,11,1))))</f>
        <v/>
      </c>
      <c r="AD42">
        <f>IF(OR($E42="",$F42=""),0,MAX(0,MIN($F42,DATE(Dashboard!$C$4,13,1))-MAX($E42,DATE(Dashboard!$C$4,12,1))))</f>
        <v/>
      </c>
      <c r="AE42">
        <f>SUM(S42:AD42)</f>
        <v/>
      </c>
      <c r="AF42">
        <f>Q42*AE42</f>
        <v/>
      </c>
      <c r="AG42">
        <f>R42*AE42</f>
        <v/>
      </c>
      <c r="AH42">
        <f>SUMPRODUCT(S42:AD42,--(COLUMN(S42:AD42)-COLUMN(S42)+1&lt;=Dashboard!$N$1))</f>
        <v/>
      </c>
      <c r="AI42">
        <f>IF(OR(E42="",E42&lt;TODAY()),"",E42+ROW()/100000)</f>
        <v/>
      </c>
      <c r="AJ42">
        <f>IF(OR(F42="",F42&lt;TODAY()),"",F42+ROW()/100000)</f>
        <v/>
      </c>
    </row>
    <row r="43">
      <c r="A43" s="1" t="n"/>
      <c r="B43" s="35" t="inlineStr">
        <is>
          <t>Beach apartment</t>
        </is>
      </c>
      <c r="C43" s="35" t="inlineStr">
        <is>
          <t>Adam H.</t>
        </is>
      </c>
      <c r="D43" s="35" t="inlineStr">
        <is>
          <t>Airbnb</t>
        </is>
      </c>
      <c r="E43" s="36" t="n">
        <v>46189</v>
      </c>
      <c r="F43" s="36" t="n">
        <v>46192</v>
      </c>
      <c r="G43" s="18">
        <f>IF(OR(E43="",F43=""),"",F43-E43)</f>
        <v/>
      </c>
      <c r="H43" s="37" t="n">
        <v>3</v>
      </c>
      <c r="I43" s="38" t="n">
        <v>495</v>
      </c>
      <c r="J43" s="38" t="n">
        <v>60</v>
      </c>
      <c r="K43" s="38" t="n">
        <v>16.65</v>
      </c>
      <c r="L43" s="31">
        <f>IF(E43="","",N(I43)+N(J43)-N(K43))</f>
        <v/>
      </c>
      <c r="M43" s="39" t="inlineStr">
        <is>
          <t>Yes</t>
        </is>
      </c>
      <c r="N43" s="27">
        <f>IF(E43="","",IF(TODAY()&lt;E43,"Upcoming",IF(TODAY()&lt;F43,"Staying now",IF(M43="Yes","Checked out","Payout not received"))))</f>
        <v/>
      </c>
      <c r="O43" s="35" t="n"/>
      <c r="P43" s="1" t="n"/>
      <c r="Q43">
        <f>IF(N(G43)&gt;0,L43/G43,0)</f>
        <v/>
      </c>
      <c r="R43">
        <f>IF(N(G43)&gt;0,N(I43)/G43,0)</f>
        <v/>
      </c>
      <c r="S43">
        <f>IF(OR($E43="",$F43=""),0,MAX(0,MIN($F43,DATE(Dashboard!$C$4,2,1))-MAX($E43,DATE(Dashboard!$C$4,1,1))))</f>
        <v/>
      </c>
      <c r="T43">
        <f>IF(OR($E43="",$F43=""),0,MAX(0,MIN($F43,DATE(Dashboard!$C$4,3,1))-MAX($E43,DATE(Dashboard!$C$4,2,1))))</f>
        <v/>
      </c>
      <c r="U43">
        <f>IF(OR($E43="",$F43=""),0,MAX(0,MIN($F43,DATE(Dashboard!$C$4,4,1))-MAX($E43,DATE(Dashboard!$C$4,3,1))))</f>
        <v/>
      </c>
      <c r="V43">
        <f>IF(OR($E43="",$F43=""),0,MAX(0,MIN($F43,DATE(Dashboard!$C$4,5,1))-MAX($E43,DATE(Dashboard!$C$4,4,1))))</f>
        <v/>
      </c>
      <c r="W43">
        <f>IF(OR($E43="",$F43=""),0,MAX(0,MIN($F43,DATE(Dashboard!$C$4,6,1))-MAX($E43,DATE(Dashboard!$C$4,5,1))))</f>
        <v/>
      </c>
      <c r="X43">
        <f>IF(OR($E43="",$F43=""),0,MAX(0,MIN($F43,DATE(Dashboard!$C$4,7,1))-MAX($E43,DATE(Dashboard!$C$4,6,1))))</f>
        <v/>
      </c>
      <c r="Y43">
        <f>IF(OR($E43="",$F43=""),0,MAX(0,MIN($F43,DATE(Dashboard!$C$4,8,1))-MAX($E43,DATE(Dashboard!$C$4,7,1))))</f>
        <v/>
      </c>
      <c r="Z43">
        <f>IF(OR($E43="",$F43=""),0,MAX(0,MIN($F43,DATE(Dashboard!$C$4,9,1))-MAX($E43,DATE(Dashboard!$C$4,8,1))))</f>
        <v/>
      </c>
      <c r="AA43">
        <f>IF(OR($E43="",$F43=""),0,MAX(0,MIN($F43,DATE(Dashboard!$C$4,10,1))-MAX($E43,DATE(Dashboard!$C$4,9,1))))</f>
        <v/>
      </c>
      <c r="AB43">
        <f>IF(OR($E43="",$F43=""),0,MAX(0,MIN($F43,DATE(Dashboard!$C$4,11,1))-MAX($E43,DATE(Dashboard!$C$4,10,1))))</f>
        <v/>
      </c>
      <c r="AC43">
        <f>IF(OR($E43="",$F43=""),0,MAX(0,MIN($F43,DATE(Dashboard!$C$4,12,1))-MAX($E43,DATE(Dashboard!$C$4,11,1))))</f>
        <v/>
      </c>
      <c r="AD43">
        <f>IF(OR($E43="",$F43=""),0,MAX(0,MIN($F43,DATE(Dashboard!$C$4,13,1))-MAX($E43,DATE(Dashboard!$C$4,12,1))))</f>
        <v/>
      </c>
      <c r="AE43">
        <f>SUM(S43:AD43)</f>
        <v/>
      </c>
      <c r="AF43">
        <f>Q43*AE43</f>
        <v/>
      </c>
      <c r="AG43">
        <f>R43*AE43</f>
        <v/>
      </c>
      <c r="AH43">
        <f>SUMPRODUCT(S43:AD43,--(COLUMN(S43:AD43)-COLUMN(S43)+1&lt;=Dashboard!$N$1))</f>
        <v/>
      </c>
      <c r="AI43">
        <f>IF(OR(E43="",E43&lt;TODAY()),"",E43+ROW()/100000)</f>
        <v/>
      </c>
      <c r="AJ43">
        <f>IF(OR(F43="",F43&lt;TODAY()),"",F43+ROW()/100000)</f>
        <v/>
      </c>
    </row>
    <row r="44">
      <c r="A44" s="1" t="n"/>
      <c r="B44" s="35" t="inlineStr">
        <is>
          <t>Beach apartment</t>
        </is>
      </c>
      <c r="C44" s="35" t="inlineStr">
        <is>
          <t>Ruby M.</t>
        </is>
      </c>
      <c r="D44" s="35" t="inlineStr">
        <is>
          <t>Airbnb</t>
        </is>
      </c>
      <c r="E44" s="36" t="n">
        <v>46193</v>
      </c>
      <c r="F44" s="36" t="n">
        <v>46199</v>
      </c>
      <c r="G44" s="18">
        <f>IF(OR(E44="",F44=""),"",F44-E44)</f>
        <v/>
      </c>
      <c r="H44" s="37" t="n">
        <v>3</v>
      </c>
      <c r="I44" s="38" t="n">
        <v>990</v>
      </c>
      <c r="J44" s="38" t="n">
        <v>60</v>
      </c>
      <c r="K44" s="38" t="n">
        <v>31.5</v>
      </c>
      <c r="L44" s="31">
        <f>IF(E44="","",N(I44)+N(J44)-N(K44))</f>
        <v/>
      </c>
      <c r="M44" s="39" t="inlineStr">
        <is>
          <t>Yes</t>
        </is>
      </c>
      <c r="N44" s="27">
        <f>IF(E44="","",IF(TODAY()&lt;E44,"Upcoming",IF(TODAY()&lt;F44,"Staying now",IF(M44="Yes","Checked out","Payout not received"))))</f>
        <v/>
      </c>
      <c r="O44" s="35" t="n"/>
      <c r="P44" s="1" t="n"/>
      <c r="Q44">
        <f>IF(N(G44)&gt;0,L44/G44,0)</f>
        <v/>
      </c>
      <c r="R44">
        <f>IF(N(G44)&gt;0,N(I44)/G44,0)</f>
        <v/>
      </c>
      <c r="S44">
        <f>IF(OR($E44="",$F44=""),0,MAX(0,MIN($F44,DATE(Dashboard!$C$4,2,1))-MAX($E44,DATE(Dashboard!$C$4,1,1))))</f>
        <v/>
      </c>
      <c r="T44">
        <f>IF(OR($E44="",$F44=""),0,MAX(0,MIN($F44,DATE(Dashboard!$C$4,3,1))-MAX($E44,DATE(Dashboard!$C$4,2,1))))</f>
        <v/>
      </c>
      <c r="U44">
        <f>IF(OR($E44="",$F44=""),0,MAX(0,MIN($F44,DATE(Dashboard!$C$4,4,1))-MAX($E44,DATE(Dashboard!$C$4,3,1))))</f>
        <v/>
      </c>
      <c r="V44">
        <f>IF(OR($E44="",$F44=""),0,MAX(0,MIN($F44,DATE(Dashboard!$C$4,5,1))-MAX($E44,DATE(Dashboard!$C$4,4,1))))</f>
        <v/>
      </c>
      <c r="W44">
        <f>IF(OR($E44="",$F44=""),0,MAX(0,MIN($F44,DATE(Dashboard!$C$4,6,1))-MAX($E44,DATE(Dashboard!$C$4,5,1))))</f>
        <v/>
      </c>
      <c r="X44">
        <f>IF(OR($E44="",$F44=""),0,MAX(0,MIN($F44,DATE(Dashboard!$C$4,7,1))-MAX($E44,DATE(Dashboard!$C$4,6,1))))</f>
        <v/>
      </c>
      <c r="Y44">
        <f>IF(OR($E44="",$F44=""),0,MAX(0,MIN($F44,DATE(Dashboard!$C$4,8,1))-MAX($E44,DATE(Dashboard!$C$4,7,1))))</f>
        <v/>
      </c>
      <c r="Z44">
        <f>IF(OR($E44="",$F44=""),0,MAX(0,MIN($F44,DATE(Dashboard!$C$4,9,1))-MAX($E44,DATE(Dashboard!$C$4,8,1))))</f>
        <v/>
      </c>
      <c r="AA44">
        <f>IF(OR($E44="",$F44=""),0,MAX(0,MIN($F44,DATE(Dashboard!$C$4,10,1))-MAX($E44,DATE(Dashboard!$C$4,9,1))))</f>
        <v/>
      </c>
      <c r="AB44">
        <f>IF(OR($E44="",$F44=""),0,MAX(0,MIN($F44,DATE(Dashboard!$C$4,11,1))-MAX($E44,DATE(Dashboard!$C$4,10,1))))</f>
        <v/>
      </c>
      <c r="AC44">
        <f>IF(OR($E44="",$F44=""),0,MAX(0,MIN($F44,DATE(Dashboard!$C$4,12,1))-MAX($E44,DATE(Dashboard!$C$4,11,1))))</f>
        <v/>
      </c>
      <c r="AD44">
        <f>IF(OR($E44="",$F44=""),0,MAX(0,MIN($F44,DATE(Dashboard!$C$4,13,1))-MAX($E44,DATE(Dashboard!$C$4,12,1))))</f>
        <v/>
      </c>
      <c r="AE44">
        <f>SUM(S44:AD44)</f>
        <v/>
      </c>
      <c r="AF44">
        <f>Q44*AE44</f>
        <v/>
      </c>
      <c r="AG44">
        <f>R44*AE44</f>
        <v/>
      </c>
      <c r="AH44">
        <f>SUMPRODUCT(S44:AD44,--(COLUMN(S44:AD44)-COLUMN(S44)+1&lt;=Dashboard!$N$1))</f>
        <v/>
      </c>
      <c r="AI44">
        <f>IF(OR(E44="",E44&lt;TODAY()),"",E44+ROW()/100000)</f>
        <v/>
      </c>
      <c r="AJ44">
        <f>IF(OR(F44="",F44&lt;TODAY()),"",F44+ROW()/100000)</f>
        <v/>
      </c>
    </row>
    <row r="45">
      <c r="A45" s="1" t="n"/>
      <c r="B45" s="35" t="inlineStr">
        <is>
          <t>Beach apartment</t>
        </is>
      </c>
      <c r="C45" s="35" t="inlineStr">
        <is>
          <t>Owen N.</t>
        </is>
      </c>
      <c r="D45" s="35" t="inlineStr">
        <is>
          <t>Airbnb</t>
        </is>
      </c>
      <c r="E45" s="36" t="n">
        <v>46199</v>
      </c>
      <c r="F45" s="36" t="n">
        <v>46204</v>
      </c>
      <c r="G45" s="18">
        <f>IF(OR(E45="",F45=""),"",F45-E45)</f>
        <v/>
      </c>
      <c r="H45" s="37" t="n">
        <v>2</v>
      </c>
      <c r="I45" s="38" t="n">
        <v>825</v>
      </c>
      <c r="J45" s="38" t="n">
        <v>60</v>
      </c>
      <c r="K45" s="38" t="n">
        <v>26.55</v>
      </c>
      <c r="L45" s="31">
        <f>IF(E45="","",N(I45)+N(J45)-N(K45))</f>
        <v/>
      </c>
      <c r="M45" s="39" t="inlineStr">
        <is>
          <t>Yes</t>
        </is>
      </c>
      <c r="N45" s="27">
        <f>IF(E45="","",IF(TODAY()&lt;E45,"Upcoming",IF(TODAY()&lt;F45,"Staying now",IF(M45="Yes","Checked out","Payout not received"))))</f>
        <v/>
      </c>
      <c r="O45" s="35" t="n"/>
      <c r="P45" s="1" t="n"/>
      <c r="Q45">
        <f>IF(N(G45)&gt;0,L45/G45,0)</f>
        <v/>
      </c>
      <c r="R45">
        <f>IF(N(G45)&gt;0,N(I45)/G45,0)</f>
        <v/>
      </c>
      <c r="S45">
        <f>IF(OR($E45="",$F45=""),0,MAX(0,MIN($F45,DATE(Dashboard!$C$4,2,1))-MAX($E45,DATE(Dashboard!$C$4,1,1))))</f>
        <v/>
      </c>
      <c r="T45">
        <f>IF(OR($E45="",$F45=""),0,MAX(0,MIN($F45,DATE(Dashboard!$C$4,3,1))-MAX($E45,DATE(Dashboard!$C$4,2,1))))</f>
        <v/>
      </c>
      <c r="U45">
        <f>IF(OR($E45="",$F45=""),0,MAX(0,MIN($F45,DATE(Dashboard!$C$4,4,1))-MAX($E45,DATE(Dashboard!$C$4,3,1))))</f>
        <v/>
      </c>
      <c r="V45">
        <f>IF(OR($E45="",$F45=""),0,MAX(0,MIN($F45,DATE(Dashboard!$C$4,5,1))-MAX($E45,DATE(Dashboard!$C$4,4,1))))</f>
        <v/>
      </c>
      <c r="W45">
        <f>IF(OR($E45="",$F45=""),0,MAX(0,MIN($F45,DATE(Dashboard!$C$4,6,1))-MAX($E45,DATE(Dashboard!$C$4,5,1))))</f>
        <v/>
      </c>
      <c r="X45">
        <f>IF(OR($E45="",$F45=""),0,MAX(0,MIN($F45,DATE(Dashboard!$C$4,7,1))-MAX($E45,DATE(Dashboard!$C$4,6,1))))</f>
        <v/>
      </c>
      <c r="Y45">
        <f>IF(OR($E45="",$F45=""),0,MAX(0,MIN($F45,DATE(Dashboard!$C$4,8,1))-MAX($E45,DATE(Dashboard!$C$4,7,1))))</f>
        <v/>
      </c>
      <c r="Z45">
        <f>IF(OR($E45="",$F45=""),0,MAX(0,MIN($F45,DATE(Dashboard!$C$4,9,1))-MAX($E45,DATE(Dashboard!$C$4,8,1))))</f>
        <v/>
      </c>
      <c r="AA45">
        <f>IF(OR($E45="",$F45=""),0,MAX(0,MIN($F45,DATE(Dashboard!$C$4,10,1))-MAX($E45,DATE(Dashboard!$C$4,9,1))))</f>
        <v/>
      </c>
      <c r="AB45">
        <f>IF(OR($E45="",$F45=""),0,MAX(0,MIN($F45,DATE(Dashboard!$C$4,11,1))-MAX($E45,DATE(Dashboard!$C$4,10,1))))</f>
        <v/>
      </c>
      <c r="AC45">
        <f>IF(OR($E45="",$F45=""),0,MAX(0,MIN($F45,DATE(Dashboard!$C$4,12,1))-MAX($E45,DATE(Dashboard!$C$4,11,1))))</f>
        <v/>
      </c>
      <c r="AD45">
        <f>IF(OR($E45="",$F45=""),0,MAX(0,MIN($F45,DATE(Dashboard!$C$4,13,1))-MAX($E45,DATE(Dashboard!$C$4,12,1))))</f>
        <v/>
      </c>
      <c r="AE45">
        <f>SUM(S45:AD45)</f>
        <v/>
      </c>
      <c r="AF45">
        <f>Q45*AE45</f>
        <v/>
      </c>
      <c r="AG45">
        <f>R45*AE45</f>
        <v/>
      </c>
      <c r="AH45">
        <f>SUMPRODUCT(S45:AD45,--(COLUMN(S45:AD45)-COLUMN(S45)+1&lt;=Dashboard!$N$1))</f>
        <v/>
      </c>
      <c r="AI45">
        <f>IF(OR(E45="",E45&lt;TODAY()),"",E45+ROW()/100000)</f>
        <v/>
      </c>
      <c r="AJ45">
        <f>IF(OR(F45="",F45&lt;TODAY()),"",F45+ROW()/100000)</f>
        <v/>
      </c>
    </row>
    <row r="46">
      <c r="A46" s="1" t="n"/>
      <c r="B46" s="35" t="inlineStr">
        <is>
          <t>Mountain cabin</t>
        </is>
      </c>
      <c r="C46" s="35" t="inlineStr">
        <is>
          <t>Chloe G.</t>
        </is>
      </c>
      <c r="D46" s="35" t="inlineStr">
        <is>
          <t>Vrbo</t>
        </is>
      </c>
      <c r="E46" s="36" t="n">
        <v>46201</v>
      </c>
      <c r="F46" s="36" t="n">
        <v>46203</v>
      </c>
      <c r="G46" s="18">
        <f>IF(OR(E46="",F46=""),"",F46-E46)</f>
        <v/>
      </c>
      <c r="H46" s="37" t="n">
        <v>2</v>
      </c>
      <c r="I46" s="38" t="n">
        <v>220</v>
      </c>
      <c r="J46" s="38" t="n">
        <v>80</v>
      </c>
      <c r="K46" s="38" t="n">
        <v>15</v>
      </c>
      <c r="L46" s="31">
        <f>IF(E46="","",N(I46)+N(J46)-N(K46))</f>
        <v/>
      </c>
      <c r="M46" s="39" t="inlineStr">
        <is>
          <t>Yes</t>
        </is>
      </c>
      <c r="N46" s="27">
        <f>IF(E46="","",IF(TODAY()&lt;E46,"Upcoming",IF(TODAY()&lt;F46,"Staying now",IF(M46="Yes","Checked out","Payout not received"))))</f>
        <v/>
      </c>
      <c r="O46" s="35" t="n"/>
      <c r="P46" s="1" t="n"/>
      <c r="Q46">
        <f>IF(N(G46)&gt;0,L46/G46,0)</f>
        <v/>
      </c>
      <c r="R46">
        <f>IF(N(G46)&gt;0,N(I46)/G46,0)</f>
        <v/>
      </c>
      <c r="S46">
        <f>IF(OR($E46="",$F46=""),0,MAX(0,MIN($F46,DATE(Dashboard!$C$4,2,1))-MAX($E46,DATE(Dashboard!$C$4,1,1))))</f>
        <v/>
      </c>
      <c r="T46">
        <f>IF(OR($E46="",$F46=""),0,MAX(0,MIN($F46,DATE(Dashboard!$C$4,3,1))-MAX($E46,DATE(Dashboard!$C$4,2,1))))</f>
        <v/>
      </c>
      <c r="U46">
        <f>IF(OR($E46="",$F46=""),0,MAX(0,MIN($F46,DATE(Dashboard!$C$4,4,1))-MAX($E46,DATE(Dashboard!$C$4,3,1))))</f>
        <v/>
      </c>
      <c r="V46">
        <f>IF(OR($E46="",$F46=""),0,MAX(0,MIN($F46,DATE(Dashboard!$C$4,5,1))-MAX($E46,DATE(Dashboard!$C$4,4,1))))</f>
        <v/>
      </c>
      <c r="W46">
        <f>IF(OR($E46="",$F46=""),0,MAX(0,MIN($F46,DATE(Dashboard!$C$4,6,1))-MAX($E46,DATE(Dashboard!$C$4,5,1))))</f>
        <v/>
      </c>
      <c r="X46">
        <f>IF(OR($E46="",$F46=""),0,MAX(0,MIN($F46,DATE(Dashboard!$C$4,7,1))-MAX($E46,DATE(Dashboard!$C$4,6,1))))</f>
        <v/>
      </c>
      <c r="Y46">
        <f>IF(OR($E46="",$F46=""),0,MAX(0,MIN($F46,DATE(Dashboard!$C$4,8,1))-MAX($E46,DATE(Dashboard!$C$4,7,1))))</f>
        <v/>
      </c>
      <c r="Z46">
        <f>IF(OR($E46="",$F46=""),0,MAX(0,MIN($F46,DATE(Dashboard!$C$4,9,1))-MAX($E46,DATE(Dashboard!$C$4,8,1))))</f>
        <v/>
      </c>
      <c r="AA46">
        <f>IF(OR($E46="",$F46=""),0,MAX(0,MIN($F46,DATE(Dashboard!$C$4,10,1))-MAX($E46,DATE(Dashboard!$C$4,9,1))))</f>
        <v/>
      </c>
      <c r="AB46">
        <f>IF(OR($E46="",$F46=""),0,MAX(0,MIN($F46,DATE(Dashboard!$C$4,11,1))-MAX($E46,DATE(Dashboard!$C$4,10,1))))</f>
        <v/>
      </c>
      <c r="AC46">
        <f>IF(OR($E46="",$F46=""),0,MAX(0,MIN($F46,DATE(Dashboard!$C$4,12,1))-MAX($E46,DATE(Dashboard!$C$4,11,1))))</f>
        <v/>
      </c>
      <c r="AD46">
        <f>IF(OR($E46="",$F46=""),0,MAX(0,MIN($F46,DATE(Dashboard!$C$4,13,1))-MAX($E46,DATE(Dashboard!$C$4,12,1))))</f>
        <v/>
      </c>
      <c r="AE46">
        <f>SUM(S46:AD46)</f>
        <v/>
      </c>
      <c r="AF46">
        <f>Q46*AE46</f>
        <v/>
      </c>
      <c r="AG46">
        <f>R46*AE46</f>
        <v/>
      </c>
      <c r="AH46">
        <f>SUMPRODUCT(S46:AD46,--(COLUMN(S46:AD46)-COLUMN(S46)+1&lt;=Dashboard!$N$1))</f>
        <v/>
      </c>
      <c r="AI46">
        <f>IF(OR(E46="",E46&lt;TODAY()),"",E46+ROW()/100000)</f>
        <v/>
      </c>
      <c r="AJ46">
        <f>IF(OR(F46="",F46&lt;TODAY()),"",F46+ROW()/100000)</f>
        <v/>
      </c>
    </row>
    <row r="47">
      <c r="A47" s="1" t="n"/>
      <c r="B47" s="35" t="inlineStr">
        <is>
          <t>Beach apartment</t>
        </is>
      </c>
      <c r="C47" s="35" t="inlineStr">
        <is>
          <t>Chloe H.</t>
        </is>
      </c>
      <c r="D47" s="35" t="inlineStr">
        <is>
          <t>Airbnb</t>
        </is>
      </c>
      <c r="E47" s="36" t="n">
        <v>46206</v>
      </c>
      <c r="F47" s="36" t="n">
        <v>46211</v>
      </c>
      <c r="G47" s="18">
        <f>IF(OR(E47="",F47=""),"",F47-E47)</f>
        <v/>
      </c>
      <c r="H47" s="37" t="n">
        <v>5</v>
      </c>
      <c r="I47" s="38" t="n">
        <v>825</v>
      </c>
      <c r="J47" s="38" t="n">
        <v>60</v>
      </c>
      <c r="K47" s="38" t="n">
        <v>26.55</v>
      </c>
      <c r="L47" s="31">
        <f>IF(E47="","",N(I47)+N(J47)-N(K47))</f>
        <v/>
      </c>
      <c r="M47" s="39" t="inlineStr">
        <is>
          <t>Yes</t>
        </is>
      </c>
      <c r="N47" s="27">
        <f>IF(E47="","",IF(TODAY()&lt;E47,"Upcoming",IF(TODAY()&lt;F47,"Staying now",IF(M47="Yes","Checked out","Payout not received"))))</f>
        <v/>
      </c>
      <c r="O47" s="35" t="n"/>
      <c r="P47" s="1" t="n"/>
      <c r="Q47">
        <f>IF(N(G47)&gt;0,L47/G47,0)</f>
        <v/>
      </c>
      <c r="R47">
        <f>IF(N(G47)&gt;0,N(I47)/G47,0)</f>
        <v/>
      </c>
      <c r="S47">
        <f>IF(OR($E47="",$F47=""),0,MAX(0,MIN($F47,DATE(Dashboard!$C$4,2,1))-MAX($E47,DATE(Dashboard!$C$4,1,1))))</f>
        <v/>
      </c>
      <c r="T47">
        <f>IF(OR($E47="",$F47=""),0,MAX(0,MIN($F47,DATE(Dashboard!$C$4,3,1))-MAX($E47,DATE(Dashboard!$C$4,2,1))))</f>
        <v/>
      </c>
      <c r="U47">
        <f>IF(OR($E47="",$F47=""),0,MAX(0,MIN($F47,DATE(Dashboard!$C$4,4,1))-MAX($E47,DATE(Dashboard!$C$4,3,1))))</f>
        <v/>
      </c>
      <c r="V47">
        <f>IF(OR($E47="",$F47=""),0,MAX(0,MIN($F47,DATE(Dashboard!$C$4,5,1))-MAX($E47,DATE(Dashboard!$C$4,4,1))))</f>
        <v/>
      </c>
      <c r="W47">
        <f>IF(OR($E47="",$F47=""),0,MAX(0,MIN($F47,DATE(Dashboard!$C$4,6,1))-MAX($E47,DATE(Dashboard!$C$4,5,1))))</f>
        <v/>
      </c>
      <c r="X47">
        <f>IF(OR($E47="",$F47=""),0,MAX(0,MIN($F47,DATE(Dashboard!$C$4,7,1))-MAX($E47,DATE(Dashboard!$C$4,6,1))))</f>
        <v/>
      </c>
      <c r="Y47">
        <f>IF(OR($E47="",$F47=""),0,MAX(0,MIN($F47,DATE(Dashboard!$C$4,8,1))-MAX($E47,DATE(Dashboard!$C$4,7,1))))</f>
        <v/>
      </c>
      <c r="Z47">
        <f>IF(OR($E47="",$F47=""),0,MAX(0,MIN($F47,DATE(Dashboard!$C$4,9,1))-MAX($E47,DATE(Dashboard!$C$4,8,1))))</f>
        <v/>
      </c>
      <c r="AA47">
        <f>IF(OR($E47="",$F47=""),0,MAX(0,MIN($F47,DATE(Dashboard!$C$4,10,1))-MAX($E47,DATE(Dashboard!$C$4,9,1))))</f>
        <v/>
      </c>
      <c r="AB47">
        <f>IF(OR($E47="",$F47=""),0,MAX(0,MIN($F47,DATE(Dashboard!$C$4,11,1))-MAX($E47,DATE(Dashboard!$C$4,10,1))))</f>
        <v/>
      </c>
      <c r="AC47">
        <f>IF(OR($E47="",$F47=""),0,MAX(0,MIN($F47,DATE(Dashboard!$C$4,12,1))-MAX($E47,DATE(Dashboard!$C$4,11,1))))</f>
        <v/>
      </c>
      <c r="AD47">
        <f>IF(OR($E47="",$F47=""),0,MAX(0,MIN($F47,DATE(Dashboard!$C$4,13,1))-MAX($E47,DATE(Dashboard!$C$4,12,1))))</f>
        <v/>
      </c>
      <c r="AE47">
        <f>SUM(S47:AD47)</f>
        <v/>
      </c>
      <c r="AF47">
        <f>Q47*AE47</f>
        <v/>
      </c>
      <c r="AG47">
        <f>R47*AE47</f>
        <v/>
      </c>
      <c r="AH47">
        <f>SUMPRODUCT(S47:AD47,--(COLUMN(S47:AD47)-COLUMN(S47)+1&lt;=Dashboard!$N$1))</f>
        <v/>
      </c>
      <c r="AI47">
        <f>IF(OR(E47="",E47&lt;TODAY()),"",E47+ROW()/100000)</f>
        <v/>
      </c>
      <c r="AJ47">
        <f>IF(OR(F47="",F47&lt;TODAY()),"",F47+ROW()/100000)</f>
        <v/>
      </c>
    </row>
    <row r="48">
      <c r="A48" s="1" t="n"/>
      <c r="B48" s="35" t="inlineStr">
        <is>
          <t>Mountain cabin</t>
        </is>
      </c>
      <c r="C48" s="35" t="inlineStr">
        <is>
          <t>Zoe T.</t>
        </is>
      </c>
      <c r="D48" s="35" t="inlineStr">
        <is>
          <t>Airbnb</t>
        </is>
      </c>
      <c r="E48" s="36" t="n">
        <v>46211</v>
      </c>
      <c r="F48" s="36" t="n">
        <v>46216</v>
      </c>
      <c r="G48" s="18">
        <f>IF(OR(E48="",F48=""),"",F48-E48)</f>
        <v/>
      </c>
      <c r="H48" s="37" t="n">
        <v>4</v>
      </c>
      <c r="I48" s="38" t="n">
        <v>550</v>
      </c>
      <c r="J48" s="38" t="n">
        <v>80</v>
      </c>
      <c r="K48" s="38" t="n">
        <v>18.9</v>
      </c>
      <c r="L48" s="31">
        <f>IF(E48="","",N(I48)+N(J48)-N(K48))</f>
        <v/>
      </c>
      <c r="M48" s="39" t="inlineStr">
        <is>
          <t>Yes</t>
        </is>
      </c>
      <c r="N48" s="27">
        <f>IF(E48="","",IF(TODAY()&lt;E48,"Upcoming",IF(TODAY()&lt;F48,"Staying now",IF(M48="Yes","Checked out","Payout not received"))))</f>
        <v/>
      </c>
      <c r="O48" s="35" t="n"/>
      <c r="P48" s="1" t="n"/>
      <c r="Q48">
        <f>IF(N(G48)&gt;0,L48/G48,0)</f>
        <v/>
      </c>
      <c r="R48">
        <f>IF(N(G48)&gt;0,N(I48)/G48,0)</f>
        <v/>
      </c>
      <c r="S48">
        <f>IF(OR($E48="",$F48=""),0,MAX(0,MIN($F48,DATE(Dashboard!$C$4,2,1))-MAX($E48,DATE(Dashboard!$C$4,1,1))))</f>
        <v/>
      </c>
      <c r="T48">
        <f>IF(OR($E48="",$F48=""),0,MAX(0,MIN($F48,DATE(Dashboard!$C$4,3,1))-MAX($E48,DATE(Dashboard!$C$4,2,1))))</f>
        <v/>
      </c>
      <c r="U48">
        <f>IF(OR($E48="",$F48=""),0,MAX(0,MIN($F48,DATE(Dashboard!$C$4,4,1))-MAX($E48,DATE(Dashboard!$C$4,3,1))))</f>
        <v/>
      </c>
      <c r="V48">
        <f>IF(OR($E48="",$F48=""),0,MAX(0,MIN($F48,DATE(Dashboard!$C$4,5,1))-MAX($E48,DATE(Dashboard!$C$4,4,1))))</f>
        <v/>
      </c>
      <c r="W48">
        <f>IF(OR($E48="",$F48=""),0,MAX(0,MIN($F48,DATE(Dashboard!$C$4,6,1))-MAX($E48,DATE(Dashboard!$C$4,5,1))))</f>
        <v/>
      </c>
      <c r="X48">
        <f>IF(OR($E48="",$F48=""),0,MAX(0,MIN($F48,DATE(Dashboard!$C$4,7,1))-MAX($E48,DATE(Dashboard!$C$4,6,1))))</f>
        <v/>
      </c>
      <c r="Y48">
        <f>IF(OR($E48="",$F48=""),0,MAX(0,MIN($F48,DATE(Dashboard!$C$4,8,1))-MAX($E48,DATE(Dashboard!$C$4,7,1))))</f>
        <v/>
      </c>
      <c r="Z48">
        <f>IF(OR($E48="",$F48=""),0,MAX(0,MIN($F48,DATE(Dashboard!$C$4,9,1))-MAX($E48,DATE(Dashboard!$C$4,8,1))))</f>
        <v/>
      </c>
      <c r="AA48">
        <f>IF(OR($E48="",$F48=""),0,MAX(0,MIN($F48,DATE(Dashboard!$C$4,10,1))-MAX($E48,DATE(Dashboard!$C$4,9,1))))</f>
        <v/>
      </c>
      <c r="AB48">
        <f>IF(OR($E48="",$F48=""),0,MAX(0,MIN($F48,DATE(Dashboard!$C$4,11,1))-MAX($E48,DATE(Dashboard!$C$4,10,1))))</f>
        <v/>
      </c>
      <c r="AC48">
        <f>IF(OR($E48="",$F48=""),0,MAX(0,MIN($F48,DATE(Dashboard!$C$4,12,1))-MAX($E48,DATE(Dashboard!$C$4,11,1))))</f>
        <v/>
      </c>
      <c r="AD48">
        <f>IF(OR($E48="",$F48=""),0,MAX(0,MIN($F48,DATE(Dashboard!$C$4,13,1))-MAX($E48,DATE(Dashboard!$C$4,12,1))))</f>
        <v/>
      </c>
      <c r="AE48">
        <f>SUM(S48:AD48)</f>
        <v/>
      </c>
      <c r="AF48">
        <f>Q48*AE48</f>
        <v/>
      </c>
      <c r="AG48">
        <f>R48*AE48</f>
        <v/>
      </c>
      <c r="AH48">
        <f>SUMPRODUCT(S48:AD48,--(COLUMN(S48:AD48)-COLUMN(S48)+1&lt;=Dashboard!$N$1))</f>
        <v/>
      </c>
      <c r="AI48">
        <f>IF(OR(E48="",E48&lt;TODAY()),"",E48+ROW()/100000)</f>
        <v/>
      </c>
      <c r="AJ48">
        <f>IF(OR(F48="",F48&lt;TODAY()),"",F48+ROW()/100000)</f>
        <v/>
      </c>
    </row>
    <row r="49">
      <c r="A49" s="1" t="n"/>
      <c r="B49" s="35" t="inlineStr">
        <is>
          <t>Beach apartment</t>
        </is>
      </c>
      <c r="C49" s="35" t="inlineStr">
        <is>
          <t>Sam S.</t>
        </is>
      </c>
      <c r="D49" s="35" t="inlineStr">
        <is>
          <t>Vrbo</t>
        </is>
      </c>
      <c r="E49" s="36" t="n">
        <v>46212</v>
      </c>
      <c r="F49" s="36" t="n">
        <v>46218</v>
      </c>
      <c r="G49" s="18">
        <f>IF(OR(E49="",F49=""),"",F49-E49)</f>
        <v/>
      </c>
      <c r="H49" s="37" t="n">
        <v>4</v>
      </c>
      <c r="I49" s="38" t="n">
        <v>990</v>
      </c>
      <c r="J49" s="38" t="n">
        <v>60</v>
      </c>
      <c r="K49" s="38" t="n">
        <v>52.5</v>
      </c>
      <c r="L49" s="31">
        <f>IF(E49="","",N(I49)+N(J49)-N(K49))</f>
        <v/>
      </c>
      <c r="M49" s="39" t="inlineStr">
        <is>
          <t>Yes</t>
        </is>
      </c>
      <c r="N49" s="27">
        <f>IF(E49="","",IF(TODAY()&lt;E49,"Upcoming",IF(TODAY()&lt;F49,"Staying now",IF(M49="Yes","Checked out","Payout not received"))))</f>
        <v/>
      </c>
      <c r="O49" s="35" t="n"/>
      <c r="P49" s="1" t="n"/>
      <c r="Q49">
        <f>IF(N(G49)&gt;0,L49/G49,0)</f>
        <v/>
      </c>
      <c r="R49">
        <f>IF(N(G49)&gt;0,N(I49)/G49,0)</f>
        <v/>
      </c>
      <c r="S49">
        <f>IF(OR($E49="",$F49=""),0,MAX(0,MIN($F49,DATE(Dashboard!$C$4,2,1))-MAX($E49,DATE(Dashboard!$C$4,1,1))))</f>
        <v/>
      </c>
      <c r="T49">
        <f>IF(OR($E49="",$F49=""),0,MAX(0,MIN($F49,DATE(Dashboard!$C$4,3,1))-MAX($E49,DATE(Dashboard!$C$4,2,1))))</f>
        <v/>
      </c>
      <c r="U49">
        <f>IF(OR($E49="",$F49=""),0,MAX(0,MIN($F49,DATE(Dashboard!$C$4,4,1))-MAX($E49,DATE(Dashboard!$C$4,3,1))))</f>
        <v/>
      </c>
      <c r="V49">
        <f>IF(OR($E49="",$F49=""),0,MAX(0,MIN($F49,DATE(Dashboard!$C$4,5,1))-MAX($E49,DATE(Dashboard!$C$4,4,1))))</f>
        <v/>
      </c>
      <c r="W49">
        <f>IF(OR($E49="",$F49=""),0,MAX(0,MIN($F49,DATE(Dashboard!$C$4,6,1))-MAX($E49,DATE(Dashboard!$C$4,5,1))))</f>
        <v/>
      </c>
      <c r="X49">
        <f>IF(OR($E49="",$F49=""),0,MAX(0,MIN($F49,DATE(Dashboard!$C$4,7,1))-MAX($E49,DATE(Dashboard!$C$4,6,1))))</f>
        <v/>
      </c>
      <c r="Y49">
        <f>IF(OR($E49="",$F49=""),0,MAX(0,MIN($F49,DATE(Dashboard!$C$4,8,1))-MAX($E49,DATE(Dashboard!$C$4,7,1))))</f>
        <v/>
      </c>
      <c r="Z49">
        <f>IF(OR($E49="",$F49=""),0,MAX(0,MIN($F49,DATE(Dashboard!$C$4,9,1))-MAX($E49,DATE(Dashboard!$C$4,8,1))))</f>
        <v/>
      </c>
      <c r="AA49">
        <f>IF(OR($E49="",$F49=""),0,MAX(0,MIN($F49,DATE(Dashboard!$C$4,10,1))-MAX($E49,DATE(Dashboard!$C$4,9,1))))</f>
        <v/>
      </c>
      <c r="AB49">
        <f>IF(OR($E49="",$F49=""),0,MAX(0,MIN($F49,DATE(Dashboard!$C$4,11,1))-MAX($E49,DATE(Dashboard!$C$4,10,1))))</f>
        <v/>
      </c>
      <c r="AC49">
        <f>IF(OR($E49="",$F49=""),0,MAX(0,MIN($F49,DATE(Dashboard!$C$4,12,1))-MAX($E49,DATE(Dashboard!$C$4,11,1))))</f>
        <v/>
      </c>
      <c r="AD49">
        <f>IF(OR($E49="",$F49=""),0,MAX(0,MIN($F49,DATE(Dashboard!$C$4,13,1))-MAX($E49,DATE(Dashboard!$C$4,12,1))))</f>
        <v/>
      </c>
      <c r="AE49">
        <f>SUM(S49:AD49)</f>
        <v/>
      </c>
      <c r="AF49">
        <f>Q49*AE49</f>
        <v/>
      </c>
      <c r="AG49">
        <f>R49*AE49</f>
        <v/>
      </c>
      <c r="AH49">
        <f>SUMPRODUCT(S49:AD49,--(COLUMN(S49:AD49)-COLUMN(S49)+1&lt;=Dashboard!$N$1))</f>
        <v/>
      </c>
      <c r="AI49">
        <f>IF(OR(E49="",E49&lt;TODAY()),"",E49+ROW()/100000)</f>
        <v/>
      </c>
      <c r="AJ49">
        <f>IF(OR(F49="",F49&lt;TODAY()),"",F49+ROW()/100000)</f>
        <v/>
      </c>
    </row>
    <row r="50">
      <c r="A50" s="1" t="n"/>
      <c r="B50" s="35" t="inlineStr">
        <is>
          <t>Beach apartment</t>
        </is>
      </c>
      <c r="C50" s="35" t="inlineStr">
        <is>
          <t>Lucas K.</t>
        </is>
      </c>
      <c r="D50" s="35" t="inlineStr">
        <is>
          <t>Airbnb</t>
        </is>
      </c>
      <c r="E50" s="36" t="n">
        <v>46219</v>
      </c>
      <c r="F50" s="36" t="n">
        <v>46226</v>
      </c>
      <c r="G50" s="18">
        <f>IF(OR(E50="",F50=""),"",F50-E50)</f>
        <v/>
      </c>
      <c r="H50" s="37" t="n">
        <v>2</v>
      </c>
      <c r="I50" s="38" t="n">
        <v>1155</v>
      </c>
      <c r="J50" s="38" t="n">
        <v>60</v>
      </c>
      <c r="K50" s="38" t="n">
        <v>36.45</v>
      </c>
      <c r="L50" s="31">
        <f>IF(E50="","",N(I50)+N(J50)-N(K50))</f>
        <v/>
      </c>
      <c r="M50" s="39" t="inlineStr">
        <is>
          <t>Yes</t>
        </is>
      </c>
      <c r="N50" s="27">
        <f>IF(E50="","",IF(TODAY()&lt;E50,"Upcoming",IF(TODAY()&lt;F50,"Staying now",IF(M50="Yes","Checked out","Payout not received"))))</f>
        <v/>
      </c>
      <c r="O50" s="35" t="n"/>
      <c r="P50" s="1" t="n"/>
      <c r="Q50">
        <f>IF(N(G50)&gt;0,L50/G50,0)</f>
        <v/>
      </c>
      <c r="R50">
        <f>IF(N(G50)&gt;0,N(I50)/G50,0)</f>
        <v/>
      </c>
      <c r="S50">
        <f>IF(OR($E50="",$F50=""),0,MAX(0,MIN($F50,DATE(Dashboard!$C$4,2,1))-MAX($E50,DATE(Dashboard!$C$4,1,1))))</f>
        <v/>
      </c>
      <c r="T50">
        <f>IF(OR($E50="",$F50=""),0,MAX(0,MIN($F50,DATE(Dashboard!$C$4,3,1))-MAX($E50,DATE(Dashboard!$C$4,2,1))))</f>
        <v/>
      </c>
      <c r="U50">
        <f>IF(OR($E50="",$F50=""),0,MAX(0,MIN($F50,DATE(Dashboard!$C$4,4,1))-MAX($E50,DATE(Dashboard!$C$4,3,1))))</f>
        <v/>
      </c>
      <c r="V50">
        <f>IF(OR($E50="",$F50=""),0,MAX(0,MIN($F50,DATE(Dashboard!$C$4,5,1))-MAX($E50,DATE(Dashboard!$C$4,4,1))))</f>
        <v/>
      </c>
      <c r="W50">
        <f>IF(OR($E50="",$F50=""),0,MAX(0,MIN($F50,DATE(Dashboard!$C$4,6,1))-MAX($E50,DATE(Dashboard!$C$4,5,1))))</f>
        <v/>
      </c>
      <c r="X50">
        <f>IF(OR($E50="",$F50=""),0,MAX(0,MIN($F50,DATE(Dashboard!$C$4,7,1))-MAX($E50,DATE(Dashboard!$C$4,6,1))))</f>
        <v/>
      </c>
      <c r="Y50">
        <f>IF(OR($E50="",$F50=""),0,MAX(0,MIN($F50,DATE(Dashboard!$C$4,8,1))-MAX($E50,DATE(Dashboard!$C$4,7,1))))</f>
        <v/>
      </c>
      <c r="Z50">
        <f>IF(OR($E50="",$F50=""),0,MAX(0,MIN($F50,DATE(Dashboard!$C$4,9,1))-MAX($E50,DATE(Dashboard!$C$4,8,1))))</f>
        <v/>
      </c>
      <c r="AA50">
        <f>IF(OR($E50="",$F50=""),0,MAX(0,MIN($F50,DATE(Dashboard!$C$4,10,1))-MAX($E50,DATE(Dashboard!$C$4,9,1))))</f>
        <v/>
      </c>
      <c r="AB50">
        <f>IF(OR($E50="",$F50=""),0,MAX(0,MIN($F50,DATE(Dashboard!$C$4,11,1))-MAX($E50,DATE(Dashboard!$C$4,10,1))))</f>
        <v/>
      </c>
      <c r="AC50">
        <f>IF(OR($E50="",$F50=""),0,MAX(0,MIN($F50,DATE(Dashboard!$C$4,12,1))-MAX($E50,DATE(Dashboard!$C$4,11,1))))</f>
        <v/>
      </c>
      <c r="AD50">
        <f>IF(OR($E50="",$F50=""),0,MAX(0,MIN($F50,DATE(Dashboard!$C$4,13,1))-MAX($E50,DATE(Dashboard!$C$4,12,1))))</f>
        <v/>
      </c>
      <c r="AE50">
        <f>SUM(S50:AD50)</f>
        <v/>
      </c>
      <c r="AF50">
        <f>Q50*AE50</f>
        <v/>
      </c>
      <c r="AG50">
        <f>R50*AE50</f>
        <v/>
      </c>
      <c r="AH50">
        <f>SUMPRODUCT(S50:AD50,--(COLUMN(S50:AD50)-COLUMN(S50)+1&lt;=Dashboard!$N$1))</f>
        <v/>
      </c>
      <c r="AI50">
        <f>IF(OR(E50="",E50&lt;TODAY()),"",E50+ROW()/100000)</f>
        <v/>
      </c>
      <c r="AJ50">
        <f>IF(OR(F50="",F50&lt;TODAY()),"",F50+ROW()/100000)</f>
        <v/>
      </c>
    </row>
    <row r="51">
      <c r="A51" s="1" t="n"/>
      <c r="B51" s="35" t="inlineStr">
        <is>
          <t>Mountain cabin</t>
        </is>
      </c>
      <c r="C51" s="35" t="inlineStr">
        <is>
          <t>Chloe N.</t>
        </is>
      </c>
      <c r="D51" s="35" t="inlineStr">
        <is>
          <t>Vrbo</t>
        </is>
      </c>
      <c r="E51" s="36" t="n">
        <v>46221</v>
      </c>
      <c r="F51" s="36" t="n">
        <v>46223</v>
      </c>
      <c r="G51" s="18">
        <f>IF(OR(E51="",F51=""),"",F51-E51)</f>
        <v/>
      </c>
      <c r="H51" s="37" t="n">
        <v>4</v>
      </c>
      <c r="I51" s="38" t="n">
        <v>220</v>
      </c>
      <c r="J51" s="38" t="n">
        <v>80</v>
      </c>
      <c r="K51" s="38" t="n">
        <v>15</v>
      </c>
      <c r="L51" s="31">
        <f>IF(E51="","",N(I51)+N(J51)-N(K51))</f>
        <v/>
      </c>
      <c r="M51" s="39" t="inlineStr">
        <is>
          <t>Yes</t>
        </is>
      </c>
      <c r="N51" s="27">
        <f>IF(E51="","",IF(TODAY()&lt;E51,"Upcoming",IF(TODAY()&lt;F51,"Staying now",IF(M51="Yes","Checked out","Payout not received"))))</f>
        <v/>
      </c>
      <c r="O51" s="35" t="n"/>
      <c r="P51" s="1" t="n"/>
      <c r="Q51">
        <f>IF(N(G51)&gt;0,L51/G51,0)</f>
        <v/>
      </c>
      <c r="R51">
        <f>IF(N(G51)&gt;0,N(I51)/G51,0)</f>
        <v/>
      </c>
      <c r="S51">
        <f>IF(OR($E51="",$F51=""),0,MAX(0,MIN($F51,DATE(Dashboard!$C$4,2,1))-MAX($E51,DATE(Dashboard!$C$4,1,1))))</f>
        <v/>
      </c>
      <c r="T51">
        <f>IF(OR($E51="",$F51=""),0,MAX(0,MIN($F51,DATE(Dashboard!$C$4,3,1))-MAX($E51,DATE(Dashboard!$C$4,2,1))))</f>
        <v/>
      </c>
      <c r="U51">
        <f>IF(OR($E51="",$F51=""),0,MAX(0,MIN($F51,DATE(Dashboard!$C$4,4,1))-MAX($E51,DATE(Dashboard!$C$4,3,1))))</f>
        <v/>
      </c>
      <c r="V51">
        <f>IF(OR($E51="",$F51=""),0,MAX(0,MIN($F51,DATE(Dashboard!$C$4,5,1))-MAX($E51,DATE(Dashboard!$C$4,4,1))))</f>
        <v/>
      </c>
      <c r="W51">
        <f>IF(OR($E51="",$F51=""),0,MAX(0,MIN($F51,DATE(Dashboard!$C$4,6,1))-MAX($E51,DATE(Dashboard!$C$4,5,1))))</f>
        <v/>
      </c>
      <c r="X51">
        <f>IF(OR($E51="",$F51=""),0,MAX(0,MIN($F51,DATE(Dashboard!$C$4,7,1))-MAX($E51,DATE(Dashboard!$C$4,6,1))))</f>
        <v/>
      </c>
      <c r="Y51">
        <f>IF(OR($E51="",$F51=""),0,MAX(0,MIN($F51,DATE(Dashboard!$C$4,8,1))-MAX($E51,DATE(Dashboard!$C$4,7,1))))</f>
        <v/>
      </c>
      <c r="Z51">
        <f>IF(OR($E51="",$F51=""),0,MAX(0,MIN($F51,DATE(Dashboard!$C$4,9,1))-MAX($E51,DATE(Dashboard!$C$4,8,1))))</f>
        <v/>
      </c>
      <c r="AA51">
        <f>IF(OR($E51="",$F51=""),0,MAX(0,MIN($F51,DATE(Dashboard!$C$4,10,1))-MAX($E51,DATE(Dashboard!$C$4,9,1))))</f>
        <v/>
      </c>
      <c r="AB51">
        <f>IF(OR($E51="",$F51=""),0,MAX(0,MIN($F51,DATE(Dashboard!$C$4,11,1))-MAX($E51,DATE(Dashboard!$C$4,10,1))))</f>
        <v/>
      </c>
      <c r="AC51">
        <f>IF(OR($E51="",$F51=""),0,MAX(0,MIN($F51,DATE(Dashboard!$C$4,12,1))-MAX($E51,DATE(Dashboard!$C$4,11,1))))</f>
        <v/>
      </c>
      <c r="AD51">
        <f>IF(OR($E51="",$F51=""),0,MAX(0,MIN($F51,DATE(Dashboard!$C$4,13,1))-MAX($E51,DATE(Dashboard!$C$4,12,1))))</f>
        <v/>
      </c>
      <c r="AE51">
        <f>SUM(S51:AD51)</f>
        <v/>
      </c>
      <c r="AF51">
        <f>Q51*AE51</f>
        <v/>
      </c>
      <c r="AG51">
        <f>R51*AE51</f>
        <v/>
      </c>
      <c r="AH51">
        <f>SUMPRODUCT(S51:AD51,--(COLUMN(S51:AD51)-COLUMN(S51)+1&lt;=Dashboard!$N$1))</f>
        <v/>
      </c>
      <c r="AI51">
        <f>IF(OR(E51="",E51&lt;TODAY()),"",E51+ROW()/100000)</f>
        <v/>
      </c>
      <c r="AJ51">
        <f>IF(OR(F51="",F51&lt;TODAY()),"",F51+ROW()/100000)</f>
        <v/>
      </c>
    </row>
    <row r="52">
      <c r="A52" s="1" t="n"/>
      <c r="B52" s="35" t="inlineStr">
        <is>
          <t>Beach apartment</t>
        </is>
      </c>
      <c r="C52" s="35" t="inlineStr">
        <is>
          <t>Ruby A.</t>
        </is>
      </c>
      <c r="D52" s="35" t="inlineStr">
        <is>
          <t>Vrbo</t>
        </is>
      </c>
      <c r="E52" s="36" t="n">
        <v>46228</v>
      </c>
      <c r="F52" s="36" t="n">
        <v>46233</v>
      </c>
      <c r="G52" s="18">
        <f>IF(OR(E52="",F52=""),"",F52-E52)</f>
        <v/>
      </c>
      <c r="H52" s="37" t="n">
        <v>3</v>
      </c>
      <c r="I52" s="38" t="n">
        <v>825</v>
      </c>
      <c r="J52" s="38" t="n">
        <v>60</v>
      </c>
      <c r="K52" s="38" t="n">
        <v>44.25</v>
      </c>
      <c r="L52" s="31">
        <f>IF(E52="","",N(I52)+N(J52)-N(K52))</f>
        <v/>
      </c>
      <c r="M52" s="39" t="inlineStr">
        <is>
          <t>Yes</t>
        </is>
      </c>
      <c r="N52" s="27">
        <f>IF(E52="","",IF(TODAY()&lt;E52,"Upcoming",IF(TODAY()&lt;F52,"Staying now",IF(M52="Yes","Checked out","Payout not received"))))</f>
        <v/>
      </c>
      <c r="O52" s="35" t="n"/>
      <c r="P52" s="1" t="n"/>
      <c r="Q52">
        <f>IF(N(G52)&gt;0,L52/G52,0)</f>
        <v/>
      </c>
      <c r="R52">
        <f>IF(N(G52)&gt;0,N(I52)/G52,0)</f>
        <v/>
      </c>
      <c r="S52">
        <f>IF(OR($E52="",$F52=""),0,MAX(0,MIN($F52,DATE(Dashboard!$C$4,2,1))-MAX($E52,DATE(Dashboard!$C$4,1,1))))</f>
        <v/>
      </c>
      <c r="T52">
        <f>IF(OR($E52="",$F52=""),0,MAX(0,MIN($F52,DATE(Dashboard!$C$4,3,1))-MAX($E52,DATE(Dashboard!$C$4,2,1))))</f>
        <v/>
      </c>
      <c r="U52">
        <f>IF(OR($E52="",$F52=""),0,MAX(0,MIN($F52,DATE(Dashboard!$C$4,4,1))-MAX($E52,DATE(Dashboard!$C$4,3,1))))</f>
        <v/>
      </c>
      <c r="V52">
        <f>IF(OR($E52="",$F52=""),0,MAX(0,MIN($F52,DATE(Dashboard!$C$4,5,1))-MAX($E52,DATE(Dashboard!$C$4,4,1))))</f>
        <v/>
      </c>
      <c r="W52">
        <f>IF(OR($E52="",$F52=""),0,MAX(0,MIN($F52,DATE(Dashboard!$C$4,6,1))-MAX($E52,DATE(Dashboard!$C$4,5,1))))</f>
        <v/>
      </c>
      <c r="X52">
        <f>IF(OR($E52="",$F52=""),0,MAX(0,MIN($F52,DATE(Dashboard!$C$4,7,1))-MAX($E52,DATE(Dashboard!$C$4,6,1))))</f>
        <v/>
      </c>
      <c r="Y52">
        <f>IF(OR($E52="",$F52=""),0,MAX(0,MIN($F52,DATE(Dashboard!$C$4,8,1))-MAX($E52,DATE(Dashboard!$C$4,7,1))))</f>
        <v/>
      </c>
      <c r="Z52">
        <f>IF(OR($E52="",$F52=""),0,MAX(0,MIN($F52,DATE(Dashboard!$C$4,9,1))-MAX($E52,DATE(Dashboard!$C$4,8,1))))</f>
        <v/>
      </c>
      <c r="AA52">
        <f>IF(OR($E52="",$F52=""),0,MAX(0,MIN($F52,DATE(Dashboard!$C$4,10,1))-MAX($E52,DATE(Dashboard!$C$4,9,1))))</f>
        <v/>
      </c>
      <c r="AB52">
        <f>IF(OR($E52="",$F52=""),0,MAX(0,MIN($F52,DATE(Dashboard!$C$4,11,1))-MAX($E52,DATE(Dashboard!$C$4,10,1))))</f>
        <v/>
      </c>
      <c r="AC52">
        <f>IF(OR($E52="",$F52=""),0,MAX(0,MIN($F52,DATE(Dashboard!$C$4,12,1))-MAX($E52,DATE(Dashboard!$C$4,11,1))))</f>
        <v/>
      </c>
      <c r="AD52">
        <f>IF(OR($E52="",$F52=""),0,MAX(0,MIN($F52,DATE(Dashboard!$C$4,13,1))-MAX($E52,DATE(Dashboard!$C$4,12,1))))</f>
        <v/>
      </c>
      <c r="AE52">
        <f>SUM(S52:AD52)</f>
        <v/>
      </c>
      <c r="AF52">
        <f>Q52*AE52</f>
        <v/>
      </c>
      <c r="AG52">
        <f>R52*AE52</f>
        <v/>
      </c>
      <c r="AH52">
        <f>SUMPRODUCT(S52:AD52,--(COLUMN(S52:AD52)-COLUMN(S52)+1&lt;=Dashboard!$N$1))</f>
        <v/>
      </c>
      <c r="AI52">
        <f>IF(OR(E52="",E52&lt;TODAY()),"",E52+ROW()/100000)</f>
        <v/>
      </c>
      <c r="AJ52">
        <f>IF(OR(F52="",F52&lt;TODAY()),"",F52+ROW()/100000)</f>
        <v/>
      </c>
    </row>
    <row r="53">
      <c r="A53" s="1" t="n"/>
      <c r="B53" s="35" t="inlineStr">
        <is>
          <t>Mountain cabin</t>
        </is>
      </c>
      <c r="C53" s="35" t="inlineStr">
        <is>
          <t>Ava A.</t>
        </is>
      </c>
      <c r="D53" s="35" t="inlineStr">
        <is>
          <t>Airbnb</t>
        </is>
      </c>
      <c r="E53" s="36" t="n">
        <v>46229</v>
      </c>
      <c r="F53" s="36" t="n">
        <v>46235</v>
      </c>
      <c r="G53" s="18">
        <f>IF(OR(E53="",F53=""),"",F53-E53)</f>
        <v/>
      </c>
      <c r="H53" s="37" t="n">
        <v>4</v>
      </c>
      <c r="I53" s="38" t="n">
        <v>660</v>
      </c>
      <c r="J53" s="38" t="n">
        <v>80</v>
      </c>
      <c r="K53" s="38" t="n">
        <v>22.2</v>
      </c>
      <c r="L53" s="31">
        <f>IF(E53="","",N(I53)+N(J53)-N(K53))</f>
        <v/>
      </c>
      <c r="M53" s="39" t="inlineStr">
        <is>
          <t>Yes</t>
        </is>
      </c>
      <c r="N53" s="27">
        <f>IF(E53="","",IF(TODAY()&lt;E53,"Upcoming",IF(TODAY()&lt;F53,"Staying now",IF(M53="Yes","Checked out","Payout not received"))))</f>
        <v/>
      </c>
      <c r="O53" s="35" t="n"/>
      <c r="P53" s="1" t="n"/>
      <c r="Q53">
        <f>IF(N(G53)&gt;0,L53/G53,0)</f>
        <v/>
      </c>
      <c r="R53">
        <f>IF(N(G53)&gt;0,N(I53)/G53,0)</f>
        <v/>
      </c>
      <c r="S53">
        <f>IF(OR($E53="",$F53=""),0,MAX(0,MIN($F53,DATE(Dashboard!$C$4,2,1))-MAX($E53,DATE(Dashboard!$C$4,1,1))))</f>
        <v/>
      </c>
      <c r="T53">
        <f>IF(OR($E53="",$F53=""),0,MAX(0,MIN($F53,DATE(Dashboard!$C$4,3,1))-MAX($E53,DATE(Dashboard!$C$4,2,1))))</f>
        <v/>
      </c>
      <c r="U53">
        <f>IF(OR($E53="",$F53=""),0,MAX(0,MIN($F53,DATE(Dashboard!$C$4,4,1))-MAX($E53,DATE(Dashboard!$C$4,3,1))))</f>
        <v/>
      </c>
      <c r="V53">
        <f>IF(OR($E53="",$F53=""),0,MAX(0,MIN($F53,DATE(Dashboard!$C$4,5,1))-MAX($E53,DATE(Dashboard!$C$4,4,1))))</f>
        <v/>
      </c>
      <c r="W53">
        <f>IF(OR($E53="",$F53=""),0,MAX(0,MIN($F53,DATE(Dashboard!$C$4,6,1))-MAX($E53,DATE(Dashboard!$C$4,5,1))))</f>
        <v/>
      </c>
      <c r="X53">
        <f>IF(OR($E53="",$F53=""),0,MAX(0,MIN($F53,DATE(Dashboard!$C$4,7,1))-MAX($E53,DATE(Dashboard!$C$4,6,1))))</f>
        <v/>
      </c>
      <c r="Y53">
        <f>IF(OR($E53="",$F53=""),0,MAX(0,MIN($F53,DATE(Dashboard!$C$4,8,1))-MAX($E53,DATE(Dashboard!$C$4,7,1))))</f>
        <v/>
      </c>
      <c r="Z53">
        <f>IF(OR($E53="",$F53=""),0,MAX(0,MIN($F53,DATE(Dashboard!$C$4,9,1))-MAX($E53,DATE(Dashboard!$C$4,8,1))))</f>
        <v/>
      </c>
      <c r="AA53">
        <f>IF(OR($E53="",$F53=""),0,MAX(0,MIN($F53,DATE(Dashboard!$C$4,10,1))-MAX($E53,DATE(Dashboard!$C$4,9,1))))</f>
        <v/>
      </c>
      <c r="AB53">
        <f>IF(OR($E53="",$F53=""),0,MAX(0,MIN($F53,DATE(Dashboard!$C$4,11,1))-MAX($E53,DATE(Dashboard!$C$4,10,1))))</f>
        <v/>
      </c>
      <c r="AC53">
        <f>IF(OR($E53="",$F53=""),0,MAX(0,MIN($F53,DATE(Dashboard!$C$4,12,1))-MAX($E53,DATE(Dashboard!$C$4,11,1))))</f>
        <v/>
      </c>
      <c r="AD53">
        <f>IF(OR($E53="",$F53=""),0,MAX(0,MIN($F53,DATE(Dashboard!$C$4,13,1))-MAX($E53,DATE(Dashboard!$C$4,12,1))))</f>
        <v/>
      </c>
      <c r="AE53">
        <f>SUM(S53:AD53)</f>
        <v/>
      </c>
      <c r="AF53">
        <f>Q53*AE53</f>
        <v/>
      </c>
      <c r="AG53">
        <f>R53*AE53</f>
        <v/>
      </c>
      <c r="AH53">
        <f>SUMPRODUCT(S53:AD53,--(COLUMN(S53:AD53)-COLUMN(S53)+1&lt;=Dashboard!$N$1))</f>
        <v/>
      </c>
      <c r="AI53">
        <f>IF(OR(E53="",E53&lt;TODAY()),"",E53+ROW()/100000)</f>
        <v/>
      </c>
      <c r="AJ53">
        <f>IF(OR(F53="",F53&lt;TODAY()),"",F53+ROW()/100000)</f>
        <v/>
      </c>
    </row>
    <row r="54">
      <c r="A54" s="1" t="n"/>
      <c r="B54" s="35" t="inlineStr">
        <is>
          <t>Beach apartment</t>
        </is>
      </c>
      <c r="C54" s="35" t="inlineStr">
        <is>
          <t>Olivia B.</t>
        </is>
      </c>
      <c r="D54" s="35" t="inlineStr">
        <is>
          <t>Airbnb</t>
        </is>
      </c>
      <c r="E54" s="36" t="n">
        <v>46233</v>
      </c>
      <c r="F54" s="36" t="n">
        <v>46240</v>
      </c>
      <c r="G54" s="18">
        <f>IF(OR(E54="",F54=""),"",F54-E54)</f>
        <v/>
      </c>
      <c r="H54" s="37" t="n">
        <v>2</v>
      </c>
      <c r="I54" s="38" t="n">
        <v>1155</v>
      </c>
      <c r="J54" s="38" t="n">
        <v>60</v>
      </c>
      <c r="K54" s="38" t="n">
        <v>36.45</v>
      </c>
      <c r="L54" s="31">
        <f>IF(E54="","",N(I54)+N(J54)-N(K54))</f>
        <v/>
      </c>
      <c r="M54" s="39" t="inlineStr">
        <is>
          <t>Yes</t>
        </is>
      </c>
      <c r="N54" s="27">
        <f>IF(E54="","",IF(TODAY()&lt;E54,"Upcoming",IF(TODAY()&lt;F54,"Staying now",IF(M54="Yes","Checked out","Payout not received"))))</f>
        <v/>
      </c>
      <c r="O54" s="35" t="n"/>
      <c r="P54" s="1" t="n"/>
      <c r="Q54">
        <f>IF(N(G54)&gt;0,L54/G54,0)</f>
        <v/>
      </c>
      <c r="R54">
        <f>IF(N(G54)&gt;0,N(I54)/G54,0)</f>
        <v/>
      </c>
      <c r="S54">
        <f>IF(OR($E54="",$F54=""),0,MAX(0,MIN($F54,DATE(Dashboard!$C$4,2,1))-MAX($E54,DATE(Dashboard!$C$4,1,1))))</f>
        <v/>
      </c>
      <c r="T54">
        <f>IF(OR($E54="",$F54=""),0,MAX(0,MIN($F54,DATE(Dashboard!$C$4,3,1))-MAX($E54,DATE(Dashboard!$C$4,2,1))))</f>
        <v/>
      </c>
      <c r="U54">
        <f>IF(OR($E54="",$F54=""),0,MAX(0,MIN($F54,DATE(Dashboard!$C$4,4,1))-MAX($E54,DATE(Dashboard!$C$4,3,1))))</f>
        <v/>
      </c>
      <c r="V54">
        <f>IF(OR($E54="",$F54=""),0,MAX(0,MIN($F54,DATE(Dashboard!$C$4,5,1))-MAX($E54,DATE(Dashboard!$C$4,4,1))))</f>
        <v/>
      </c>
      <c r="W54">
        <f>IF(OR($E54="",$F54=""),0,MAX(0,MIN($F54,DATE(Dashboard!$C$4,6,1))-MAX($E54,DATE(Dashboard!$C$4,5,1))))</f>
        <v/>
      </c>
      <c r="X54">
        <f>IF(OR($E54="",$F54=""),0,MAX(0,MIN($F54,DATE(Dashboard!$C$4,7,1))-MAX($E54,DATE(Dashboard!$C$4,6,1))))</f>
        <v/>
      </c>
      <c r="Y54">
        <f>IF(OR($E54="",$F54=""),0,MAX(0,MIN($F54,DATE(Dashboard!$C$4,8,1))-MAX($E54,DATE(Dashboard!$C$4,7,1))))</f>
        <v/>
      </c>
      <c r="Z54">
        <f>IF(OR($E54="",$F54=""),0,MAX(0,MIN($F54,DATE(Dashboard!$C$4,9,1))-MAX($E54,DATE(Dashboard!$C$4,8,1))))</f>
        <v/>
      </c>
      <c r="AA54">
        <f>IF(OR($E54="",$F54=""),0,MAX(0,MIN($F54,DATE(Dashboard!$C$4,10,1))-MAX($E54,DATE(Dashboard!$C$4,9,1))))</f>
        <v/>
      </c>
      <c r="AB54">
        <f>IF(OR($E54="",$F54=""),0,MAX(0,MIN($F54,DATE(Dashboard!$C$4,11,1))-MAX($E54,DATE(Dashboard!$C$4,10,1))))</f>
        <v/>
      </c>
      <c r="AC54">
        <f>IF(OR($E54="",$F54=""),0,MAX(0,MIN($F54,DATE(Dashboard!$C$4,12,1))-MAX($E54,DATE(Dashboard!$C$4,11,1))))</f>
        <v/>
      </c>
      <c r="AD54">
        <f>IF(OR($E54="",$F54=""),0,MAX(0,MIN($F54,DATE(Dashboard!$C$4,13,1))-MAX($E54,DATE(Dashboard!$C$4,12,1))))</f>
        <v/>
      </c>
      <c r="AE54">
        <f>SUM(S54:AD54)</f>
        <v/>
      </c>
      <c r="AF54">
        <f>Q54*AE54</f>
        <v/>
      </c>
      <c r="AG54">
        <f>R54*AE54</f>
        <v/>
      </c>
      <c r="AH54">
        <f>SUMPRODUCT(S54:AD54,--(COLUMN(S54:AD54)-COLUMN(S54)+1&lt;=Dashboard!$N$1))</f>
        <v/>
      </c>
      <c r="AI54">
        <f>IF(OR(E54="",E54&lt;TODAY()),"",E54+ROW()/100000)</f>
        <v/>
      </c>
      <c r="AJ54">
        <f>IF(OR(F54="",F54&lt;TODAY()),"",F54+ROW()/100000)</f>
        <v/>
      </c>
    </row>
    <row r="55">
      <c r="A55" s="1" t="n"/>
      <c r="B55" s="35" t="inlineStr">
        <is>
          <t>Beach apartment</t>
        </is>
      </c>
      <c r="C55" s="35" t="inlineStr">
        <is>
          <t>Max N.</t>
        </is>
      </c>
      <c r="D55" s="35" t="inlineStr">
        <is>
          <t>Airbnb</t>
        </is>
      </c>
      <c r="E55" s="36" t="n">
        <v>46240</v>
      </c>
      <c r="F55" s="36" t="n">
        <v>46245</v>
      </c>
      <c r="G55" s="18">
        <f>IF(OR(E55="",F55=""),"",F55-E55)</f>
        <v/>
      </c>
      <c r="H55" s="37" t="n">
        <v>2</v>
      </c>
      <c r="I55" s="38" t="n">
        <v>825</v>
      </c>
      <c r="J55" s="38" t="n">
        <v>60</v>
      </c>
      <c r="K55" s="38" t="n">
        <v>26.55</v>
      </c>
      <c r="L55" s="31">
        <f>IF(E55="","",N(I55)+N(J55)-N(K55))</f>
        <v/>
      </c>
      <c r="M55" s="39" t="inlineStr">
        <is>
          <t>Yes</t>
        </is>
      </c>
      <c r="N55" s="27">
        <f>IF(E55="","",IF(TODAY()&lt;E55,"Upcoming",IF(TODAY()&lt;F55,"Staying now",IF(M55="Yes","Checked out","Payout not received"))))</f>
        <v/>
      </c>
      <c r="O55" s="35" t="n"/>
      <c r="P55" s="1" t="n"/>
      <c r="Q55">
        <f>IF(N(G55)&gt;0,L55/G55,0)</f>
        <v/>
      </c>
      <c r="R55">
        <f>IF(N(G55)&gt;0,N(I55)/G55,0)</f>
        <v/>
      </c>
      <c r="S55">
        <f>IF(OR($E55="",$F55=""),0,MAX(0,MIN($F55,DATE(Dashboard!$C$4,2,1))-MAX($E55,DATE(Dashboard!$C$4,1,1))))</f>
        <v/>
      </c>
      <c r="T55">
        <f>IF(OR($E55="",$F55=""),0,MAX(0,MIN($F55,DATE(Dashboard!$C$4,3,1))-MAX($E55,DATE(Dashboard!$C$4,2,1))))</f>
        <v/>
      </c>
      <c r="U55">
        <f>IF(OR($E55="",$F55=""),0,MAX(0,MIN($F55,DATE(Dashboard!$C$4,4,1))-MAX($E55,DATE(Dashboard!$C$4,3,1))))</f>
        <v/>
      </c>
      <c r="V55">
        <f>IF(OR($E55="",$F55=""),0,MAX(0,MIN($F55,DATE(Dashboard!$C$4,5,1))-MAX($E55,DATE(Dashboard!$C$4,4,1))))</f>
        <v/>
      </c>
      <c r="W55">
        <f>IF(OR($E55="",$F55=""),0,MAX(0,MIN($F55,DATE(Dashboard!$C$4,6,1))-MAX($E55,DATE(Dashboard!$C$4,5,1))))</f>
        <v/>
      </c>
      <c r="X55">
        <f>IF(OR($E55="",$F55=""),0,MAX(0,MIN($F55,DATE(Dashboard!$C$4,7,1))-MAX($E55,DATE(Dashboard!$C$4,6,1))))</f>
        <v/>
      </c>
      <c r="Y55">
        <f>IF(OR($E55="",$F55=""),0,MAX(0,MIN($F55,DATE(Dashboard!$C$4,8,1))-MAX($E55,DATE(Dashboard!$C$4,7,1))))</f>
        <v/>
      </c>
      <c r="Z55">
        <f>IF(OR($E55="",$F55=""),0,MAX(0,MIN($F55,DATE(Dashboard!$C$4,9,1))-MAX($E55,DATE(Dashboard!$C$4,8,1))))</f>
        <v/>
      </c>
      <c r="AA55">
        <f>IF(OR($E55="",$F55=""),0,MAX(0,MIN($F55,DATE(Dashboard!$C$4,10,1))-MAX($E55,DATE(Dashboard!$C$4,9,1))))</f>
        <v/>
      </c>
      <c r="AB55">
        <f>IF(OR($E55="",$F55=""),0,MAX(0,MIN($F55,DATE(Dashboard!$C$4,11,1))-MAX($E55,DATE(Dashboard!$C$4,10,1))))</f>
        <v/>
      </c>
      <c r="AC55">
        <f>IF(OR($E55="",$F55=""),0,MAX(0,MIN($F55,DATE(Dashboard!$C$4,12,1))-MAX($E55,DATE(Dashboard!$C$4,11,1))))</f>
        <v/>
      </c>
      <c r="AD55">
        <f>IF(OR($E55="",$F55=""),0,MAX(0,MIN($F55,DATE(Dashboard!$C$4,13,1))-MAX($E55,DATE(Dashboard!$C$4,12,1))))</f>
        <v/>
      </c>
      <c r="AE55">
        <f>SUM(S55:AD55)</f>
        <v/>
      </c>
      <c r="AF55">
        <f>Q55*AE55</f>
        <v/>
      </c>
      <c r="AG55">
        <f>R55*AE55</f>
        <v/>
      </c>
      <c r="AH55">
        <f>SUMPRODUCT(S55:AD55,--(COLUMN(S55:AD55)-COLUMN(S55)+1&lt;=Dashboard!$N$1))</f>
        <v/>
      </c>
      <c r="AI55">
        <f>IF(OR(E55="",E55&lt;TODAY()),"",E55+ROW()/100000)</f>
        <v/>
      </c>
      <c r="AJ55">
        <f>IF(OR(F55="",F55&lt;TODAY()),"",F55+ROW()/100000)</f>
        <v/>
      </c>
    </row>
    <row r="56">
      <c r="A56" s="1" t="n"/>
      <c r="B56" s="35" t="inlineStr">
        <is>
          <t>Mountain cabin</t>
        </is>
      </c>
      <c r="C56" s="35" t="inlineStr">
        <is>
          <t>Ava T.</t>
        </is>
      </c>
      <c r="D56" s="35" t="inlineStr">
        <is>
          <t>Vrbo</t>
        </is>
      </c>
      <c r="E56" s="36" t="n">
        <v>46241</v>
      </c>
      <c r="F56" s="36" t="n">
        <v>46243</v>
      </c>
      <c r="G56" s="18">
        <f>IF(OR(E56="",F56=""),"",F56-E56)</f>
        <v/>
      </c>
      <c r="H56" s="37" t="n">
        <v>4</v>
      </c>
      <c r="I56" s="38" t="n">
        <v>220</v>
      </c>
      <c r="J56" s="38" t="n">
        <v>80</v>
      </c>
      <c r="K56" s="38" t="n">
        <v>15</v>
      </c>
      <c r="L56" s="31">
        <f>IF(E56="","",N(I56)+N(J56)-N(K56))</f>
        <v/>
      </c>
      <c r="M56" s="39" t="inlineStr">
        <is>
          <t>Yes</t>
        </is>
      </c>
      <c r="N56" s="27">
        <f>IF(E56="","",IF(TODAY()&lt;E56,"Upcoming",IF(TODAY()&lt;F56,"Staying now",IF(M56="Yes","Checked out","Payout not received"))))</f>
        <v/>
      </c>
      <c r="O56" s="35" t="n"/>
      <c r="P56" s="1" t="n"/>
      <c r="Q56">
        <f>IF(N(G56)&gt;0,L56/G56,0)</f>
        <v/>
      </c>
      <c r="R56">
        <f>IF(N(G56)&gt;0,N(I56)/G56,0)</f>
        <v/>
      </c>
      <c r="S56">
        <f>IF(OR($E56="",$F56=""),0,MAX(0,MIN($F56,DATE(Dashboard!$C$4,2,1))-MAX($E56,DATE(Dashboard!$C$4,1,1))))</f>
        <v/>
      </c>
      <c r="T56">
        <f>IF(OR($E56="",$F56=""),0,MAX(0,MIN($F56,DATE(Dashboard!$C$4,3,1))-MAX($E56,DATE(Dashboard!$C$4,2,1))))</f>
        <v/>
      </c>
      <c r="U56">
        <f>IF(OR($E56="",$F56=""),0,MAX(0,MIN($F56,DATE(Dashboard!$C$4,4,1))-MAX($E56,DATE(Dashboard!$C$4,3,1))))</f>
        <v/>
      </c>
      <c r="V56">
        <f>IF(OR($E56="",$F56=""),0,MAX(0,MIN($F56,DATE(Dashboard!$C$4,5,1))-MAX($E56,DATE(Dashboard!$C$4,4,1))))</f>
        <v/>
      </c>
      <c r="W56">
        <f>IF(OR($E56="",$F56=""),0,MAX(0,MIN($F56,DATE(Dashboard!$C$4,6,1))-MAX($E56,DATE(Dashboard!$C$4,5,1))))</f>
        <v/>
      </c>
      <c r="X56">
        <f>IF(OR($E56="",$F56=""),0,MAX(0,MIN($F56,DATE(Dashboard!$C$4,7,1))-MAX($E56,DATE(Dashboard!$C$4,6,1))))</f>
        <v/>
      </c>
      <c r="Y56">
        <f>IF(OR($E56="",$F56=""),0,MAX(0,MIN($F56,DATE(Dashboard!$C$4,8,1))-MAX($E56,DATE(Dashboard!$C$4,7,1))))</f>
        <v/>
      </c>
      <c r="Z56">
        <f>IF(OR($E56="",$F56=""),0,MAX(0,MIN($F56,DATE(Dashboard!$C$4,9,1))-MAX($E56,DATE(Dashboard!$C$4,8,1))))</f>
        <v/>
      </c>
      <c r="AA56">
        <f>IF(OR($E56="",$F56=""),0,MAX(0,MIN($F56,DATE(Dashboard!$C$4,10,1))-MAX($E56,DATE(Dashboard!$C$4,9,1))))</f>
        <v/>
      </c>
      <c r="AB56">
        <f>IF(OR($E56="",$F56=""),0,MAX(0,MIN($F56,DATE(Dashboard!$C$4,11,1))-MAX($E56,DATE(Dashboard!$C$4,10,1))))</f>
        <v/>
      </c>
      <c r="AC56">
        <f>IF(OR($E56="",$F56=""),0,MAX(0,MIN($F56,DATE(Dashboard!$C$4,12,1))-MAX($E56,DATE(Dashboard!$C$4,11,1))))</f>
        <v/>
      </c>
      <c r="AD56">
        <f>IF(OR($E56="",$F56=""),0,MAX(0,MIN($F56,DATE(Dashboard!$C$4,13,1))-MAX($E56,DATE(Dashboard!$C$4,12,1))))</f>
        <v/>
      </c>
      <c r="AE56">
        <f>SUM(S56:AD56)</f>
        <v/>
      </c>
      <c r="AF56">
        <f>Q56*AE56</f>
        <v/>
      </c>
      <c r="AG56">
        <f>R56*AE56</f>
        <v/>
      </c>
      <c r="AH56">
        <f>SUMPRODUCT(S56:AD56,--(COLUMN(S56:AD56)-COLUMN(S56)+1&lt;=Dashboard!$N$1))</f>
        <v/>
      </c>
      <c r="AI56">
        <f>IF(OR(E56="",E56&lt;TODAY()),"",E56+ROW()/100000)</f>
        <v/>
      </c>
      <c r="AJ56">
        <f>IF(OR(F56="",F56&lt;TODAY()),"",F56+ROW()/100000)</f>
        <v/>
      </c>
    </row>
    <row r="57">
      <c r="A57" s="1" t="n"/>
      <c r="B57" s="35" t="inlineStr">
        <is>
          <t>Beach apartment</t>
        </is>
      </c>
      <c r="C57" s="35" t="inlineStr">
        <is>
          <t>Emma T.</t>
        </is>
      </c>
      <c r="D57" s="35" t="inlineStr">
        <is>
          <t>Airbnb</t>
        </is>
      </c>
      <c r="E57" s="36" t="n">
        <v>46247</v>
      </c>
      <c r="F57" s="36" t="n">
        <v>46252</v>
      </c>
      <c r="G57" s="18">
        <f>IF(OR(E57="",F57=""),"",F57-E57)</f>
        <v/>
      </c>
      <c r="H57" s="37" t="n">
        <v>2</v>
      </c>
      <c r="I57" s="38" t="n">
        <v>825</v>
      </c>
      <c r="J57" s="38" t="n">
        <v>60</v>
      </c>
      <c r="K57" s="38" t="n">
        <v>26.55</v>
      </c>
      <c r="L57" s="31">
        <f>IF(E57="","",N(I57)+N(J57)-N(K57))</f>
        <v/>
      </c>
      <c r="M57" s="39" t="inlineStr">
        <is>
          <t>Yes</t>
        </is>
      </c>
      <c r="N57" s="27">
        <f>IF(E57="","",IF(TODAY()&lt;E57,"Upcoming",IF(TODAY()&lt;F57,"Staying now",IF(M57="Yes","Checked out","Payout not received"))))</f>
        <v/>
      </c>
      <c r="O57" s="35" t="n"/>
      <c r="P57" s="1" t="n"/>
      <c r="Q57">
        <f>IF(N(G57)&gt;0,L57/G57,0)</f>
        <v/>
      </c>
      <c r="R57">
        <f>IF(N(G57)&gt;0,N(I57)/G57,0)</f>
        <v/>
      </c>
      <c r="S57">
        <f>IF(OR($E57="",$F57=""),0,MAX(0,MIN($F57,DATE(Dashboard!$C$4,2,1))-MAX($E57,DATE(Dashboard!$C$4,1,1))))</f>
        <v/>
      </c>
      <c r="T57">
        <f>IF(OR($E57="",$F57=""),0,MAX(0,MIN($F57,DATE(Dashboard!$C$4,3,1))-MAX($E57,DATE(Dashboard!$C$4,2,1))))</f>
        <v/>
      </c>
      <c r="U57">
        <f>IF(OR($E57="",$F57=""),0,MAX(0,MIN($F57,DATE(Dashboard!$C$4,4,1))-MAX($E57,DATE(Dashboard!$C$4,3,1))))</f>
        <v/>
      </c>
      <c r="V57">
        <f>IF(OR($E57="",$F57=""),0,MAX(0,MIN($F57,DATE(Dashboard!$C$4,5,1))-MAX($E57,DATE(Dashboard!$C$4,4,1))))</f>
        <v/>
      </c>
      <c r="W57">
        <f>IF(OR($E57="",$F57=""),0,MAX(0,MIN($F57,DATE(Dashboard!$C$4,6,1))-MAX($E57,DATE(Dashboard!$C$4,5,1))))</f>
        <v/>
      </c>
      <c r="X57">
        <f>IF(OR($E57="",$F57=""),0,MAX(0,MIN($F57,DATE(Dashboard!$C$4,7,1))-MAX($E57,DATE(Dashboard!$C$4,6,1))))</f>
        <v/>
      </c>
      <c r="Y57">
        <f>IF(OR($E57="",$F57=""),0,MAX(0,MIN($F57,DATE(Dashboard!$C$4,8,1))-MAX($E57,DATE(Dashboard!$C$4,7,1))))</f>
        <v/>
      </c>
      <c r="Z57">
        <f>IF(OR($E57="",$F57=""),0,MAX(0,MIN($F57,DATE(Dashboard!$C$4,9,1))-MAX($E57,DATE(Dashboard!$C$4,8,1))))</f>
        <v/>
      </c>
      <c r="AA57">
        <f>IF(OR($E57="",$F57=""),0,MAX(0,MIN($F57,DATE(Dashboard!$C$4,10,1))-MAX($E57,DATE(Dashboard!$C$4,9,1))))</f>
        <v/>
      </c>
      <c r="AB57">
        <f>IF(OR($E57="",$F57=""),0,MAX(0,MIN($F57,DATE(Dashboard!$C$4,11,1))-MAX($E57,DATE(Dashboard!$C$4,10,1))))</f>
        <v/>
      </c>
      <c r="AC57">
        <f>IF(OR($E57="",$F57=""),0,MAX(0,MIN($F57,DATE(Dashboard!$C$4,12,1))-MAX($E57,DATE(Dashboard!$C$4,11,1))))</f>
        <v/>
      </c>
      <c r="AD57">
        <f>IF(OR($E57="",$F57=""),0,MAX(0,MIN($F57,DATE(Dashboard!$C$4,13,1))-MAX($E57,DATE(Dashboard!$C$4,12,1))))</f>
        <v/>
      </c>
      <c r="AE57">
        <f>SUM(S57:AD57)</f>
        <v/>
      </c>
      <c r="AF57">
        <f>Q57*AE57</f>
        <v/>
      </c>
      <c r="AG57">
        <f>R57*AE57</f>
        <v/>
      </c>
      <c r="AH57">
        <f>SUMPRODUCT(S57:AD57,--(COLUMN(S57:AD57)-COLUMN(S57)+1&lt;=Dashboard!$N$1))</f>
        <v/>
      </c>
      <c r="AI57">
        <f>IF(OR(E57="",E57&lt;TODAY()),"",E57+ROW()/100000)</f>
        <v/>
      </c>
      <c r="AJ57">
        <f>IF(OR(F57="",F57&lt;TODAY()),"",F57+ROW()/100000)</f>
        <v/>
      </c>
    </row>
    <row r="58">
      <c r="A58" s="1" t="n"/>
      <c r="B58" s="35" t="inlineStr">
        <is>
          <t>Mountain cabin</t>
        </is>
      </c>
      <c r="C58" s="35" t="inlineStr">
        <is>
          <t>Chloe N.</t>
        </is>
      </c>
      <c r="D58" s="35" t="inlineStr">
        <is>
          <t>Airbnb</t>
        </is>
      </c>
      <c r="E58" s="36" t="n">
        <v>46248</v>
      </c>
      <c r="F58" s="36" t="n">
        <v>46251</v>
      </c>
      <c r="G58" s="18">
        <f>IF(OR(E58="",F58=""),"",F58-E58)</f>
        <v/>
      </c>
      <c r="H58" s="37" t="n">
        <v>3</v>
      </c>
      <c r="I58" s="38" t="n">
        <v>330</v>
      </c>
      <c r="J58" s="38" t="n">
        <v>80</v>
      </c>
      <c r="K58" s="38" t="n">
        <v>12.3</v>
      </c>
      <c r="L58" s="31">
        <f>IF(E58="","",N(I58)+N(J58)-N(K58))</f>
        <v/>
      </c>
      <c r="M58" s="39" t="inlineStr">
        <is>
          <t>Yes</t>
        </is>
      </c>
      <c r="N58" s="27">
        <f>IF(E58="","",IF(TODAY()&lt;E58,"Upcoming",IF(TODAY()&lt;F58,"Staying now",IF(M58="Yes","Checked out","Payout not received"))))</f>
        <v/>
      </c>
      <c r="O58" s="35" t="n"/>
      <c r="P58" s="1" t="n"/>
      <c r="Q58">
        <f>IF(N(G58)&gt;0,L58/G58,0)</f>
        <v/>
      </c>
      <c r="R58">
        <f>IF(N(G58)&gt;0,N(I58)/G58,0)</f>
        <v/>
      </c>
      <c r="S58">
        <f>IF(OR($E58="",$F58=""),0,MAX(0,MIN($F58,DATE(Dashboard!$C$4,2,1))-MAX($E58,DATE(Dashboard!$C$4,1,1))))</f>
        <v/>
      </c>
      <c r="T58">
        <f>IF(OR($E58="",$F58=""),0,MAX(0,MIN($F58,DATE(Dashboard!$C$4,3,1))-MAX($E58,DATE(Dashboard!$C$4,2,1))))</f>
        <v/>
      </c>
      <c r="U58">
        <f>IF(OR($E58="",$F58=""),0,MAX(0,MIN($F58,DATE(Dashboard!$C$4,4,1))-MAX($E58,DATE(Dashboard!$C$4,3,1))))</f>
        <v/>
      </c>
      <c r="V58">
        <f>IF(OR($E58="",$F58=""),0,MAX(0,MIN($F58,DATE(Dashboard!$C$4,5,1))-MAX($E58,DATE(Dashboard!$C$4,4,1))))</f>
        <v/>
      </c>
      <c r="W58">
        <f>IF(OR($E58="",$F58=""),0,MAX(0,MIN($F58,DATE(Dashboard!$C$4,6,1))-MAX($E58,DATE(Dashboard!$C$4,5,1))))</f>
        <v/>
      </c>
      <c r="X58">
        <f>IF(OR($E58="",$F58=""),0,MAX(0,MIN($F58,DATE(Dashboard!$C$4,7,1))-MAX($E58,DATE(Dashboard!$C$4,6,1))))</f>
        <v/>
      </c>
      <c r="Y58">
        <f>IF(OR($E58="",$F58=""),0,MAX(0,MIN($F58,DATE(Dashboard!$C$4,8,1))-MAX($E58,DATE(Dashboard!$C$4,7,1))))</f>
        <v/>
      </c>
      <c r="Z58">
        <f>IF(OR($E58="",$F58=""),0,MAX(0,MIN($F58,DATE(Dashboard!$C$4,9,1))-MAX($E58,DATE(Dashboard!$C$4,8,1))))</f>
        <v/>
      </c>
      <c r="AA58">
        <f>IF(OR($E58="",$F58=""),0,MAX(0,MIN($F58,DATE(Dashboard!$C$4,10,1))-MAX($E58,DATE(Dashboard!$C$4,9,1))))</f>
        <v/>
      </c>
      <c r="AB58">
        <f>IF(OR($E58="",$F58=""),0,MAX(0,MIN($F58,DATE(Dashboard!$C$4,11,1))-MAX($E58,DATE(Dashboard!$C$4,10,1))))</f>
        <v/>
      </c>
      <c r="AC58">
        <f>IF(OR($E58="",$F58=""),0,MAX(0,MIN($F58,DATE(Dashboard!$C$4,12,1))-MAX($E58,DATE(Dashboard!$C$4,11,1))))</f>
        <v/>
      </c>
      <c r="AD58">
        <f>IF(OR($E58="",$F58=""),0,MAX(0,MIN($F58,DATE(Dashboard!$C$4,13,1))-MAX($E58,DATE(Dashboard!$C$4,12,1))))</f>
        <v/>
      </c>
      <c r="AE58">
        <f>SUM(S58:AD58)</f>
        <v/>
      </c>
      <c r="AF58">
        <f>Q58*AE58</f>
        <v/>
      </c>
      <c r="AG58">
        <f>R58*AE58</f>
        <v/>
      </c>
      <c r="AH58">
        <f>SUMPRODUCT(S58:AD58,--(COLUMN(S58:AD58)-COLUMN(S58)+1&lt;=Dashboard!$N$1))</f>
        <v/>
      </c>
      <c r="AI58">
        <f>IF(OR(E58="",E58&lt;TODAY()),"",E58+ROW()/100000)</f>
        <v/>
      </c>
      <c r="AJ58">
        <f>IF(OR(F58="",F58&lt;TODAY()),"",F58+ROW()/100000)</f>
        <v/>
      </c>
    </row>
    <row r="59">
      <c r="A59" s="1" t="n"/>
      <c r="B59" s="35" t="inlineStr">
        <is>
          <t>Beach apartment</t>
        </is>
      </c>
      <c r="C59" s="35" t="inlineStr">
        <is>
          <t>Hugo C.</t>
        </is>
      </c>
      <c r="D59" s="35" t="inlineStr">
        <is>
          <t>Airbnb</t>
        </is>
      </c>
      <c r="E59" s="36" t="n">
        <v>46252</v>
      </c>
      <c r="F59" s="36" t="n">
        <v>46259</v>
      </c>
      <c r="G59" s="18">
        <f>IF(OR(E59="",F59=""),"",F59-E59)</f>
        <v/>
      </c>
      <c r="H59" s="37" t="n">
        <v>5</v>
      </c>
      <c r="I59" s="38" t="n">
        <v>1155</v>
      </c>
      <c r="J59" s="38" t="n">
        <v>60</v>
      </c>
      <c r="K59" s="38" t="n">
        <v>36.45</v>
      </c>
      <c r="L59" s="31">
        <f>IF(E59="","",N(I59)+N(J59)-N(K59))</f>
        <v/>
      </c>
      <c r="M59" s="39" t="inlineStr">
        <is>
          <t>Yes</t>
        </is>
      </c>
      <c r="N59" s="27">
        <f>IF(E59="","",IF(TODAY()&lt;E59,"Upcoming",IF(TODAY()&lt;F59,"Staying now",IF(M59="Yes","Checked out","Payout not received"))))</f>
        <v/>
      </c>
      <c r="O59" s="35" t="n"/>
      <c r="P59" s="1" t="n"/>
      <c r="Q59">
        <f>IF(N(G59)&gt;0,L59/G59,0)</f>
        <v/>
      </c>
      <c r="R59">
        <f>IF(N(G59)&gt;0,N(I59)/G59,0)</f>
        <v/>
      </c>
      <c r="S59">
        <f>IF(OR($E59="",$F59=""),0,MAX(0,MIN($F59,DATE(Dashboard!$C$4,2,1))-MAX($E59,DATE(Dashboard!$C$4,1,1))))</f>
        <v/>
      </c>
      <c r="T59">
        <f>IF(OR($E59="",$F59=""),0,MAX(0,MIN($F59,DATE(Dashboard!$C$4,3,1))-MAX($E59,DATE(Dashboard!$C$4,2,1))))</f>
        <v/>
      </c>
      <c r="U59">
        <f>IF(OR($E59="",$F59=""),0,MAX(0,MIN($F59,DATE(Dashboard!$C$4,4,1))-MAX($E59,DATE(Dashboard!$C$4,3,1))))</f>
        <v/>
      </c>
      <c r="V59">
        <f>IF(OR($E59="",$F59=""),0,MAX(0,MIN($F59,DATE(Dashboard!$C$4,5,1))-MAX($E59,DATE(Dashboard!$C$4,4,1))))</f>
        <v/>
      </c>
      <c r="W59">
        <f>IF(OR($E59="",$F59=""),0,MAX(0,MIN($F59,DATE(Dashboard!$C$4,6,1))-MAX($E59,DATE(Dashboard!$C$4,5,1))))</f>
        <v/>
      </c>
      <c r="X59">
        <f>IF(OR($E59="",$F59=""),0,MAX(0,MIN($F59,DATE(Dashboard!$C$4,7,1))-MAX($E59,DATE(Dashboard!$C$4,6,1))))</f>
        <v/>
      </c>
      <c r="Y59">
        <f>IF(OR($E59="",$F59=""),0,MAX(0,MIN($F59,DATE(Dashboard!$C$4,8,1))-MAX($E59,DATE(Dashboard!$C$4,7,1))))</f>
        <v/>
      </c>
      <c r="Z59">
        <f>IF(OR($E59="",$F59=""),0,MAX(0,MIN($F59,DATE(Dashboard!$C$4,9,1))-MAX($E59,DATE(Dashboard!$C$4,8,1))))</f>
        <v/>
      </c>
      <c r="AA59">
        <f>IF(OR($E59="",$F59=""),0,MAX(0,MIN($F59,DATE(Dashboard!$C$4,10,1))-MAX($E59,DATE(Dashboard!$C$4,9,1))))</f>
        <v/>
      </c>
      <c r="AB59">
        <f>IF(OR($E59="",$F59=""),0,MAX(0,MIN($F59,DATE(Dashboard!$C$4,11,1))-MAX($E59,DATE(Dashboard!$C$4,10,1))))</f>
        <v/>
      </c>
      <c r="AC59">
        <f>IF(OR($E59="",$F59=""),0,MAX(0,MIN($F59,DATE(Dashboard!$C$4,12,1))-MAX($E59,DATE(Dashboard!$C$4,11,1))))</f>
        <v/>
      </c>
      <c r="AD59">
        <f>IF(OR($E59="",$F59=""),0,MAX(0,MIN($F59,DATE(Dashboard!$C$4,13,1))-MAX($E59,DATE(Dashboard!$C$4,12,1))))</f>
        <v/>
      </c>
      <c r="AE59">
        <f>SUM(S59:AD59)</f>
        <v/>
      </c>
      <c r="AF59">
        <f>Q59*AE59</f>
        <v/>
      </c>
      <c r="AG59">
        <f>R59*AE59</f>
        <v/>
      </c>
      <c r="AH59">
        <f>SUMPRODUCT(S59:AD59,--(COLUMN(S59:AD59)-COLUMN(S59)+1&lt;=Dashboard!$N$1))</f>
        <v/>
      </c>
      <c r="AI59">
        <f>IF(OR(E59="",E59&lt;TODAY()),"",E59+ROW()/100000)</f>
        <v/>
      </c>
      <c r="AJ59">
        <f>IF(OR(F59="",F59&lt;TODAY()),"",F59+ROW()/100000)</f>
        <v/>
      </c>
    </row>
    <row r="60">
      <c r="A60" s="1" t="n"/>
      <c r="B60" s="35" t="inlineStr">
        <is>
          <t>Mountain cabin</t>
        </is>
      </c>
      <c r="C60" s="35" t="inlineStr">
        <is>
          <t>Nora E.</t>
        </is>
      </c>
      <c r="D60" s="35" t="inlineStr">
        <is>
          <t>Direct</t>
        </is>
      </c>
      <c r="E60" s="36" t="n">
        <v>46259</v>
      </c>
      <c r="F60" s="36" t="n">
        <v>46265</v>
      </c>
      <c r="G60" s="18">
        <f>IF(OR(E60="",F60=""),"",F60-E60)</f>
        <v/>
      </c>
      <c r="H60" s="37" t="n">
        <v>5</v>
      </c>
      <c r="I60" s="38" t="n">
        <v>660</v>
      </c>
      <c r="J60" s="38" t="n">
        <v>80</v>
      </c>
      <c r="K60" s="38" t="n">
        <v>0</v>
      </c>
      <c r="L60" s="31">
        <f>IF(E60="","",N(I60)+N(J60)-N(K60))</f>
        <v/>
      </c>
      <c r="M60" s="39" t="inlineStr">
        <is>
          <t>Yes</t>
        </is>
      </c>
      <c r="N60" s="27">
        <f>IF(E60="","",IF(TODAY()&lt;E60,"Upcoming",IF(TODAY()&lt;F60,"Staying now",IF(M60="Yes","Checked out","Payout not received"))))</f>
        <v/>
      </c>
      <c r="O60" s="35" t="n"/>
      <c r="P60" s="1" t="n"/>
      <c r="Q60">
        <f>IF(N(G60)&gt;0,L60/G60,0)</f>
        <v/>
      </c>
      <c r="R60">
        <f>IF(N(G60)&gt;0,N(I60)/G60,0)</f>
        <v/>
      </c>
      <c r="S60">
        <f>IF(OR($E60="",$F60=""),0,MAX(0,MIN($F60,DATE(Dashboard!$C$4,2,1))-MAX($E60,DATE(Dashboard!$C$4,1,1))))</f>
        <v/>
      </c>
      <c r="T60">
        <f>IF(OR($E60="",$F60=""),0,MAX(0,MIN($F60,DATE(Dashboard!$C$4,3,1))-MAX($E60,DATE(Dashboard!$C$4,2,1))))</f>
        <v/>
      </c>
      <c r="U60">
        <f>IF(OR($E60="",$F60=""),0,MAX(0,MIN($F60,DATE(Dashboard!$C$4,4,1))-MAX($E60,DATE(Dashboard!$C$4,3,1))))</f>
        <v/>
      </c>
      <c r="V60">
        <f>IF(OR($E60="",$F60=""),0,MAX(0,MIN($F60,DATE(Dashboard!$C$4,5,1))-MAX($E60,DATE(Dashboard!$C$4,4,1))))</f>
        <v/>
      </c>
      <c r="W60">
        <f>IF(OR($E60="",$F60=""),0,MAX(0,MIN($F60,DATE(Dashboard!$C$4,6,1))-MAX($E60,DATE(Dashboard!$C$4,5,1))))</f>
        <v/>
      </c>
      <c r="X60">
        <f>IF(OR($E60="",$F60=""),0,MAX(0,MIN($F60,DATE(Dashboard!$C$4,7,1))-MAX($E60,DATE(Dashboard!$C$4,6,1))))</f>
        <v/>
      </c>
      <c r="Y60">
        <f>IF(OR($E60="",$F60=""),0,MAX(0,MIN($F60,DATE(Dashboard!$C$4,8,1))-MAX($E60,DATE(Dashboard!$C$4,7,1))))</f>
        <v/>
      </c>
      <c r="Z60">
        <f>IF(OR($E60="",$F60=""),0,MAX(0,MIN($F60,DATE(Dashboard!$C$4,9,1))-MAX($E60,DATE(Dashboard!$C$4,8,1))))</f>
        <v/>
      </c>
      <c r="AA60">
        <f>IF(OR($E60="",$F60=""),0,MAX(0,MIN($F60,DATE(Dashboard!$C$4,10,1))-MAX($E60,DATE(Dashboard!$C$4,9,1))))</f>
        <v/>
      </c>
      <c r="AB60">
        <f>IF(OR($E60="",$F60=""),0,MAX(0,MIN($F60,DATE(Dashboard!$C$4,11,1))-MAX($E60,DATE(Dashboard!$C$4,10,1))))</f>
        <v/>
      </c>
      <c r="AC60">
        <f>IF(OR($E60="",$F60=""),0,MAX(0,MIN($F60,DATE(Dashboard!$C$4,12,1))-MAX($E60,DATE(Dashboard!$C$4,11,1))))</f>
        <v/>
      </c>
      <c r="AD60">
        <f>IF(OR($E60="",$F60=""),0,MAX(0,MIN($F60,DATE(Dashboard!$C$4,13,1))-MAX($E60,DATE(Dashboard!$C$4,12,1))))</f>
        <v/>
      </c>
      <c r="AE60">
        <f>SUM(S60:AD60)</f>
        <v/>
      </c>
      <c r="AF60">
        <f>Q60*AE60</f>
        <v/>
      </c>
      <c r="AG60">
        <f>R60*AE60</f>
        <v/>
      </c>
      <c r="AH60">
        <f>SUMPRODUCT(S60:AD60,--(COLUMN(S60:AD60)-COLUMN(S60)+1&lt;=Dashboard!$N$1))</f>
        <v/>
      </c>
      <c r="AI60">
        <f>IF(OR(E60="",E60&lt;TODAY()),"",E60+ROW()/100000)</f>
        <v/>
      </c>
      <c r="AJ60">
        <f>IF(OR(F60="",F60&lt;TODAY()),"",F60+ROW()/100000)</f>
        <v/>
      </c>
    </row>
    <row r="61">
      <c r="A61" s="1" t="n"/>
      <c r="B61" s="35" t="inlineStr">
        <is>
          <t>Beach apartment</t>
        </is>
      </c>
      <c r="C61" s="35" t="inlineStr">
        <is>
          <t>Emma P.</t>
        </is>
      </c>
      <c r="D61" s="35" t="inlineStr">
        <is>
          <t>Airbnb</t>
        </is>
      </c>
      <c r="E61" s="36" t="n">
        <v>46261</v>
      </c>
      <c r="F61" s="36" t="n">
        <v>46265</v>
      </c>
      <c r="G61" s="18">
        <f>IF(OR(E61="",F61=""),"",F61-E61)</f>
        <v/>
      </c>
      <c r="H61" s="37" t="n">
        <v>4</v>
      </c>
      <c r="I61" s="38" t="n">
        <v>660</v>
      </c>
      <c r="J61" s="38" t="n">
        <v>60</v>
      </c>
      <c r="K61" s="38" t="n">
        <v>21.6</v>
      </c>
      <c r="L61" s="31">
        <f>IF(E61="","",N(I61)+N(J61)-N(K61))</f>
        <v/>
      </c>
      <c r="M61" s="39" t="inlineStr">
        <is>
          <t>Yes</t>
        </is>
      </c>
      <c r="N61" s="27">
        <f>IF(E61="","",IF(TODAY()&lt;E61,"Upcoming",IF(TODAY()&lt;F61,"Staying now",IF(M61="Yes","Checked out","Payout not received"))))</f>
        <v/>
      </c>
      <c r="O61" s="35" t="n"/>
      <c r="P61" s="1" t="n"/>
      <c r="Q61">
        <f>IF(N(G61)&gt;0,L61/G61,0)</f>
        <v/>
      </c>
      <c r="R61">
        <f>IF(N(G61)&gt;0,N(I61)/G61,0)</f>
        <v/>
      </c>
      <c r="S61">
        <f>IF(OR($E61="",$F61=""),0,MAX(0,MIN($F61,DATE(Dashboard!$C$4,2,1))-MAX($E61,DATE(Dashboard!$C$4,1,1))))</f>
        <v/>
      </c>
      <c r="T61">
        <f>IF(OR($E61="",$F61=""),0,MAX(0,MIN($F61,DATE(Dashboard!$C$4,3,1))-MAX($E61,DATE(Dashboard!$C$4,2,1))))</f>
        <v/>
      </c>
      <c r="U61">
        <f>IF(OR($E61="",$F61=""),0,MAX(0,MIN($F61,DATE(Dashboard!$C$4,4,1))-MAX($E61,DATE(Dashboard!$C$4,3,1))))</f>
        <v/>
      </c>
      <c r="V61">
        <f>IF(OR($E61="",$F61=""),0,MAX(0,MIN($F61,DATE(Dashboard!$C$4,5,1))-MAX($E61,DATE(Dashboard!$C$4,4,1))))</f>
        <v/>
      </c>
      <c r="W61">
        <f>IF(OR($E61="",$F61=""),0,MAX(0,MIN($F61,DATE(Dashboard!$C$4,6,1))-MAX($E61,DATE(Dashboard!$C$4,5,1))))</f>
        <v/>
      </c>
      <c r="X61">
        <f>IF(OR($E61="",$F61=""),0,MAX(0,MIN($F61,DATE(Dashboard!$C$4,7,1))-MAX($E61,DATE(Dashboard!$C$4,6,1))))</f>
        <v/>
      </c>
      <c r="Y61">
        <f>IF(OR($E61="",$F61=""),0,MAX(0,MIN($F61,DATE(Dashboard!$C$4,8,1))-MAX($E61,DATE(Dashboard!$C$4,7,1))))</f>
        <v/>
      </c>
      <c r="Z61">
        <f>IF(OR($E61="",$F61=""),0,MAX(0,MIN($F61,DATE(Dashboard!$C$4,9,1))-MAX($E61,DATE(Dashboard!$C$4,8,1))))</f>
        <v/>
      </c>
      <c r="AA61">
        <f>IF(OR($E61="",$F61=""),0,MAX(0,MIN($F61,DATE(Dashboard!$C$4,10,1))-MAX($E61,DATE(Dashboard!$C$4,9,1))))</f>
        <v/>
      </c>
      <c r="AB61">
        <f>IF(OR($E61="",$F61=""),0,MAX(0,MIN($F61,DATE(Dashboard!$C$4,11,1))-MAX($E61,DATE(Dashboard!$C$4,10,1))))</f>
        <v/>
      </c>
      <c r="AC61">
        <f>IF(OR($E61="",$F61=""),0,MAX(0,MIN($F61,DATE(Dashboard!$C$4,12,1))-MAX($E61,DATE(Dashboard!$C$4,11,1))))</f>
        <v/>
      </c>
      <c r="AD61">
        <f>IF(OR($E61="",$F61=""),0,MAX(0,MIN($F61,DATE(Dashboard!$C$4,13,1))-MAX($E61,DATE(Dashboard!$C$4,12,1))))</f>
        <v/>
      </c>
      <c r="AE61">
        <f>SUM(S61:AD61)</f>
        <v/>
      </c>
      <c r="AF61">
        <f>Q61*AE61</f>
        <v/>
      </c>
      <c r="AG61">
        <f>R61*AE61</f>
        <v/>
      </c>
      <c r="AH61">
        <f>SUMPRODUCT(S61:AD61,--(COLUMN(S61:AD61)-COLUMN(S61)+1&lt;=Dashboard!$N$1))</f>
        <v/>
      </c>
      <c r="AI61">
        <f>IF(OR(E61="",E61&lt;TODAY()),"",E61+ROW()/100000)</f>
        <v/>
      </c>
      <c r="AJ61">
        <f>IF(OR(F61="",F61&lt;TODAY()),"",F61+ROW()/100000)</f>
        <v/>
      </c>
    </row>
    <row r="62">
      <c r="A62" s="1" t="n"/>
      <c r="B62" s="35" t="inlineStr">
        <is>
          <t>Beach apartment</t>
        </is>
      </c>
      <c r="C62" s="35" t="inlineStr">
        <is>
          <t>Ava D.</t>
        </is>
      </c>
      <c r="D62" s="35" t="inlineStr">
        <is>
          <t>Airbnb</t>
        </is>
      </c>
      <c r="E62" s="36" t="n">
        <v>46266</v>
      </c>
      <c r="F62" s="36" t="n">
        <v>46272</v>
      </c>
      <c r="G62" s="18">
        <f>IF(OR(E62="",F62=""),"",F62-E62)</f>
        <v/>
      </c>
      <c r="H62" s="37" t="n">
        <v>2</v>
      </c>
      <c r="I62" s="38" t="n">
        <v>750</v>
      </c>
      <c r="J62" s="38" t="n">
        <v>60</v>
      </c>
      <c r="K62" s="38" t="n">
        <v>24.3</v>
      </c>
      <c r="L62" s="31">
        <f>IF(E62="","",N(I62)+N(J62)-N(K62))</f>
        <v/>
      </c>
      <c r="M62" s="39" t="inlineStr">
        <is>
          <t>Yes</t>
        </is>
      </c>
      <c r="N62" s="27">
        <f>IF(E62="","",IF(TODAY()&lt;E62,"Upcoming",IF(TODAY()&lt;F62,"Staying now",IF(M62="Yes","Checked out","Payout not received"))))</f>
        <v/>
      </c>
      <c r="O62" s="35" t="n"/>
      <c r="P62" s="1" t="n"/>
      <c r="Q62">
        <f>IF(N(G62)&gt;0,L62/G62,0)</f>
        <v/>
      </c>
      <c r="R62">
        <f>IF(N(G62)&gt;0,N(I62)/G62,0)</f>
        <v/>
      </c>
      <c r="S62">
        <f>IF(OR($E62="",$F62=""),0,MAX(0,MIN($F62,DATE(Dashboard!$C$4,2,1))-MAX($E62,DATE(Dashboard!$C$4,1,1))))</f>
        <v/>
      </c>
      <c r="T62">
        <f>IF(OR($E62="",$F62=""),0,MAX(0,MIN($F62,DATE(Dashboard!$C$4,3,1))-MAX($E62,DATE(Dashboard!$C$4,2,1))))</f>
        <v/>
      </c>
      <c r="U62">
        <f>IF(OR($E62="",$F62=""),0,MAX(0,MIN($F62,DATE(Dashboard!$C$4,4,1))-MAX($E62,DATE(Dashboard!$C$4,3,1))))</f>
        <v/>
      </c>
      <c r="V62">
        <f>IF(OR($E62="",$F62=""),0,MAX(0,MIN($F62,DATE(Dashboard!$C$4,5,1))-MAX($E62,DATE(Dashboard!$C$4,4,1))))</f>
        <v/>
      </c>
      <c r="W62">
        <f>IF(OR($E62="",$F62=""),0,MAX(0,MIN($F62,DATE(Dashboard!$C$4,6,1))-MAX($E62,DATE(Dashboard!$C$4,5,1))))</f>
        <v/>
      </c>
      <c r="X62">
        <f>IF(OR($E62="",$F62=""),0,MAX(0,MIN($F62,DATE(Dashboard!$C$4,7,1))-MAX($E62,DATE(Dashboard!$C$4,6,1))))</f>
        <v/>
      </c>
      <c r="Y62">
        <f>IF(OR($E62="",$F62=""),0,MAX(0,MIN($F62,DATE(Dashboard!$C$4,8,1))-MAX($E62,DATE(Dashboard!$C$4,7,1))))</f>
        <v/>
      </c>
      <c r="Z62">
        <f>IF(OR($E62="",$F62=""),0,MAX(0,MIN($F62,DATE(Dashboard!$C$4,9,1))-MAX($E62,DATE(Dashboard!$C$4,8,1))))</f>
        <v/>
      </c>
      <c r="AA62">
        <f>IF(OR($E62="",$F62=""),0,MAX(0,MIN($F62,DATE(Dashboard!$C$4,10,1))-MAX($E62,DATE(Dashboard!$C$4,9,1))))</f>
        <v/>
      </c>
      <c r="AB62">
        <f>IF(OR($E62="",$F62=""),0,MAX(0,MIN($F62,DATE(Dashboard!$C$4,11,1))-MAX($E62,DATE(Dashboard!$C$4,10,1))))</f>
        <v/>
      </c>
      <c r="AC62">
        <f>IF(OR($E62="",$F62=""),0,MAX(0,MIN($F62,DATE(Dashboard!$C$4,12,1))-MAX($E62,DATE(Dashboard!$C$4,11,1))))</f>
        <v/>
      </c>
      <c r="AD62">
        <f>IF(OR($E62="",$F62=""),0,MAX(0,MIN($F62,DATE(Dashboard!$C$4,13,1))-MAX($E62,DATE(Dashboard!$C$4,12,1))))</f>
        <v/>
      </c>
      <c r="AE62">
        <f>SUM(S62:AD62)</f>
        <v/>
      </c>
      <c r="AF62">
        <f>Q62*AE62</f>
        <v/>
      </c>
      <c r="AG62">
        <f>R62*AE62</f>
        <v/>
      </c>
      <c r="AH62">
        <f>SUMPRODUCT(S62:AD62,--(COLUMN(S62:AD62)-COLUMN(S62)+1&lt;=Dashboard!$N$1))</f>
        <v/>
      </c>
      <c r="AI62">
        <f>IF(OR(E62="",E62&lt;TODAY()),"",E62+ROW()/100000)</f>
        <v/>
      </c>
      <c r="AJ62">
        <f>IF(OR(F62="",F62&lt;TODAY()),"",F62+ROW()/100000)</f>
        <v/>
      </c>
    </row>
    <row r="63">
      <c r="A63" s="1" t="n"/>
      <c r="B63" s="35" t="inlineStr">
        <is>
          <t>Mountain cabin</t>
        </is>
      </c>
      <c r="C63" s="35" t="inlineStr">
        <is>
          <t>Nora C.</t>
        </is>
      </c>
      <c r="D63" s="35" t="inlineStr">
        <is>
          <t>Airbnb</t>
        </is>
      </c>
      <c r="E63" s="36" t="n">
        <v>46276</v>
      </c>
      <c r="F63" s="36" t="n">
        <v>46278</v>
      </c>
      <c r="G63" s="18">
        <f>IF(OR(E63="",F63=""),"",F63-E63)</f>
        <v/>
      </c>
      <c r="H63" s="37" t="n">
        <v>4</v>
      </c>
      <c r="I63" s="38" t="n">
        <v>220</v>
      </c>
      <c r="J63" s="38" t="n">
        <v>80</v>
      </c>
      <c r="K63" s="38" t="n">
        <v>9</v>
      </c>
      <c r="L63" s="31">
        <f>IF(E63="","",N(I63)+N(J63)-N(K63))</f>
        <v/>
      </c>
      <c r="M63" s="39" t="inlineStr">
        <is>
          <t>Yes</t>
        </is>
      </c>
      <c r="N63" s="27">
        <f>IF(E63="","",IF(TODAY()&lt;E63,"Upcoming",IF(TODAY()&lt;F63,"Staying now",IF(M63="Yes","Checked out","Payout not received"))))</f>
        <v/>
      </c>
      <c r="O63" s="35" t="n"/>
      <c r="P63" s="1" t="n"/>
      <c r="Q63">
        <f>IF(N(G63)&gt;0,L63/G63,0)</f>
        <v/>
      </c>
      <c r="R63">
        <f>IF(N(G63)&gt;0,N(I63)/G63,0)</f>
        <v/>
      </c>
      <c r="S63">
        <f>IF(OR($E63="",$F63=""),0,MAX(0,MIN($F63,DATE(Dashboard!$C$4,2,1))-MAX($E63,DATE(Dashboard!$C$4,1,1))))</f>
        <v/>
      </c>
      <c r="T63">
        <f>IF(OR($E63="",$F63=""),0,MAX(0,MIN($F63,DATE(Dashboard!$C$4,3,1))-MAX($E63,DATE(Dashboard!$C$4,2,1))))</f>
        <v/>
      </c>
      <c r="U63">
        <f>IF(OR($E63="",$F63=""),0,MAX(0,MIN($F63,DATE(Dashboard!$C$4,4,1))-MAX($E63,DATE(Dashboard!$C$4,3,1))))</f>
        <v/>
      </c>
      <c r="V63">
        <f>IF(OR($E63="",$F63=""),0,MAX(0,MIN($F63,DATE(Dashboard!$C$4,5,1))-MAX($E63,DATE(Dashboard!$C$4,4,1))))</f>
        <v/>
      </c>
      <c r="W63">
        <f>IF(OR($E63="",$F63=""),0,MAX(0,MIN($F63,DATE(Dashboard!$C$4,6,1))-MAX($E63,DATE(Dashboard!$C$4,5,1))))</f>
        <v/>
      </c>
      <c r="X63">
        <f>IF(OR($E63="",$F63=""),0,MAX(0,MIN($F63,DATE(Dashboard!$C$4,7,1))-MAX($E63,DATE(Dashboard!$C$4,6,1))))</f>
        <v/>
      </c>
      <c r="Y63">
        <f>IF(OR($E63="",$F63=""),0,MAX(0,MIN($F63,DATE(Dashboard!$C$4,8,1))-MAX($E63,DATE(Dashboard!$C$4,7,1))))</f>
        <v/>
      </c>
      <c r="Z63">
        <f>IF(OR($E63="",$F63=""),0,MAX(0,MIN($F63,DATE(Dashboard!$C$4,9,1))-MAX($E63,DATE(Dashboard!$C$4,8,1))))</f>
        <v/>
      </c>
      <c r="AA63">
        <f>IF(OR($E63="",$F63=""),0,MAX(0,MIN($F63,DATE(Dashboard!$C$4,10,1))-MAX($E63,DATE(Dashboard!$C$4,9,1))))</f>
        <v/>
      </c>
      <c r="AB63">
        <f>IF(OR($E63="",$F63=""),0,MAX(0,MIN($F63,DATE(Dashboard!$C$4,11,1))-MAX($E63,DATE(Dashboard!$C$4,10,1))))</f>
        <v/>
      </c>
      <c r="AC63">
        <f>IF(OR($E63="",$F63=""),0,MAX(0,MIN($F63,DATE(Dashboard!$C$4,12,1))-MAX($E63,DATE(Dashboard!$C$4,11,1))))</f>
        <v/>
      </c>
      <c r="AD63">
        <f>IF(OR($E63="",$F63=""),0,MAX(0,MIN($F63,DATE(Dashboard!$C$4,13,1))-MAX($E63,DATE(Dashboard!$C$4,12,1))))</f>
        <v/>
      </c>
      <c r="AE63">
        <f>SUM(S63:AD63)</f>
        <v/>
      </c>
      <c r="AF63">
        <f>Q63*AE63</f>
        <v/>
      </c>
      <c r="AG63">
        <f>R63*AE63</f>
        <v/>
      </c>
      <c r="AH63">
        <f>SUMPRODUCT(S63:AD63,--(COLUMN(S63:AD63)-COLUMN(S63)+1&lt;=Dashboard!$N$1))</f>
        <v/>
      </c>
      <c r="AI63">
        <f>IF(OR(E63="",E63&lt;TODAY()),"",E63+ROW()/100000)</f>
        <v/>
      </c>
      <c r="AJ63">
        <f>IF(OR(F63="",F63&lt;TODAY()),"",F63+ROW()/100000)</f>
        <v/>
      </c>
    </row>
    <row r="64">
      <c r="A64" s="1" t="n"/>
      <c r="B64" s="35" t="inlineStr">
        <is>
          <t>Beach apartment</t>
        </is>
      </c>
      <c r="C64" s="35" t="inlineStr">
        <is>
          <t>Sofia K.</t>
        </is>
      </c>
      <c r="D64" s="35" t="inlineStr">
        <is>
          <t>Airbnb</t>
        </is>
      </c>
      <c r="E64" s="36" t="n">
        <v>46278</v>
      </c>
      <c r="F64" s="36" t="n">
        <v>46280</v>
      </c>
      <c r="G64" s="18">
        <f>IF(OR(E64="",F64=""),"",F64-E64)</f>
        <v/>
      </c>
      <c r="H64" s="37" t="n">
        <v>2</v>
      </c>
      <c r="I64" s="38" t="n">
        <v>250</v>
      </c>
      <c r="J64" s="38" t="n">
        <v>60</v>
      </c>
      <c r="K64" s="38" t="n">
        <v>9.300000000000001</v>
      </c>
      <c r="L64" s="31">
        <f>IF(E64="","",N(I64)+N(J64)-N(K64))</f>
        <v/>
      </c>
      <c r="M64" s="39" t="inlineStr">
        <is>
          <t>Yes</t>
        </is>
      </c>
      <c r="N64" s="27">
        <f>IF(E64="","",IF(TODAY()&lt;E64,"Upcoming",IF(TODAY()&lt;F64,"Staying now",IF(M64="Yes","Checked out","Payout not received"))))</f>
        <v/>
      </c>
      <c r="O64" s="35" t="n"/>
      <c r="P64" s="1" t="n"/>
      <c r="Q64">
        <f>IF(N(G64)&gt;0,L64/G64,0)</f>
        <v/>
      </c>
      <c r="R64">
        <f>IF(N(G64)&gt;0,N(I64)/G64,0)</f>
        <v/>
      </c>
      <c r="S64">
        <f>IF(OR($E64="",$F64=""),0,MAX(0,MIN($F64,DATE(Dashboard!$C$4,2,1))-MAX($E64,DATE(Dashboard!$C$4,1,1))))</f>
        <v/>
      </c>
      <c r="T64">
        <f>IF(OR($E64="",$F64=""),0,MAX(0,MIN($F64,DATE(Dashboard!$C$4,3,1))-MAX($E64,DATE(Dashboard!$C$4,2,1))))</f>
        <v/>
      </c>
      <c r="U64">
        <f>IF(OR($E64="",$F64=""),0,MAX(0,MIN($F64,DATE(Dashboard!$C$4,4,1))-MAX($E64,DATE(Dashboard!$C$4,3,1))))</f>
        <v/>
      </c>
      <c r="V64">
        <f>IF(OR($E64="",$F64=""),0,MAX(0,MIN($F64,DATE(Dashboard!$C$4,5,1))-MAX($E64,DATE(Dashboard!$C$4,4,1))))</f>
        <v/>
      </c>
      <c r="W64">
        <f>IF(OR($E64="",$F64=""),0,MAX(0,MIN($F64,DATE(Dashboard!$C$4,6,1))-MAX($E64,DATE(Dashboard!$C$4,5,1))))</f>
        <v/>
      </c>
      <c r="X64">
        <f>IF(OR($E64="",$F64=""),0,MAX(0,MIN($F64,DATE(Dashboard!$C$4,7,1))-MAX($E64,DATE(Dashboard!$C$4,6,1))))</f>
        <v/>
      </c>
      <c r="Y64">
        <f>IF(OR($E64="",$F64=""),0,MAX(0,MIN($F64,DATE(Dashboard!$C$4,8,1))-MAX($E64,DATE(Dashboard!$C$4,7,1))))</f>
        <v/>
      </c>
      <c r="Z64">
        <f>IF(OR($E64="",$F64=""),0,MAX(0,MIN($F64,DATE(Dashboard!$C$4,9,1))-MAX($E64,DATE(Dashboard!$C$4,8,1))))</f>
        <v/>
      </c>
      <c r="AA64">
        <f>IF(OR($E64="",$F64=""),0,MAX(0,MIN($F64,DATE(Dashboard!$C$4,10,1))-MAX($E64,DATE(Dashboard!$C$4,9,1))))</f>
        <v/>
      </c>
      <c r="AB64">
        <f>IF(OR($E64="",$F64=""),0,MAX(0,MIN($F64,DATE(Dashboard!$C$4,11,1))-MAX($E64,DATE(Dashboard!$C$4,10,1))))</f>
        <v/>
      </c>
      <c r="AC64">
        <f>IF(OR($E64="",$F64=""),0,MAX(0,MIN($F64,DATE(Dashboard!$C$4,12,1))-MAX($E64,DATE(Dashboard!$C$4,11,1))))</f>
        <v/>
      </c>
      <c r="AD64">
        <f>IF(OR($E64="",$F64=""),0,MAX(0,MIN($F64,DATE(Dashboard!$C$4,13,1))-MAX($E64,DATE(Dashboard!$C$4,12,1))))</f>
        <v/>
      </c>
      <c r="AE64">
        <f>SUM(S64:AD64)</f>
        <v/>
      </c>
      <c r="AF64">
        <f>Q64*AE64</f>
        <v/>
      </c>
      <c r="AG64">
        <f>R64*AE64</f>
        <v/>
      </c>
      <c r="AH64">
        <f>SUMPRODUCT(S64:AD64,--(COLUMN(S64:AD64)-COLUMN(S64)+1&lt;=Dashboard!$N$1))</f>
        <v/>
      </c>
      <c r="AI64">
        <f>IF(OR(E64="",E64&lt;TODAY()),"",E64+ROW()/100000)</f>
        <v/>
      </c>
      <c r="AJ64">
        <f>IF(OR(F64="",F64&lt;TODAY()),"",F64+ROW()/100000)</f>
        <v/>
      </c>
    </row>
    <row r="65">
      <c r="A65" s="1" t="n"/>
      <c r="B65" s="35" t="inlineStr">
        <is>
          <t>Beach apartment</t>
        </is>
      </c>
      <c r="C65" s="35" t="inlineStr">
        <is>
          <t>Mia B.</t>
        </is>
      </c>
      <c r="D65" s="35" t="inlineStr">
        <is>
          <t>Airbnb</t>
        </is>
      </c>
      <c r="E65" s="36" t="n">
        <v>46284</v>
      </c>
      <c r="F65" s="36" t="n">
        <v>46288</v>
      </c>
      <c r="G65" s="18">
        <f>IF(OR(E65="",F65=""),"",F65-E65)</f>
        <v/>
      </c>
      <c r="H65" s="37" t="n">
        <v>5</v>
      </c>
      <c r="I65" s="38" t="n">
        <v>500</v>
      </c>
      <c r="J65" s="38" t="n">
        <v>60</v>
      </c>
      <c r="K65" s="38" t="n">
        <v>16.8</v>
      </c>
      <c r="L65" s="31">
        <f>IF(E65="","",N(I65)+N(J65)-N(K65))</f>
        <v/>
      </c>
      <c r="M65" s="39" t="inlineStr">
        <is>
          <t>Yes</t>
        </is>
      </c>
      <c r="N65" s="27">
        <f>IF(E65="","",IF(TODAY()&lt;E65,"Upcoming",IF(TODAY()&lt;F65,"Staying now",IF(M65="Yes","Checked out","Payout not received"))))</f>
        <v/>
      </c>
      <c r="O65" s="35" t="n"/>
      <c r="P65" s="1" t="n"/>
      <c r="Q65">
        <f>IF(N(G65)&gt;0,L65/G65,0)</f>
        <v/>
      </c>
      <c r="R65">
        <f>IF(N(G65)&gt;0,N(I65)/G65,0)</f>
        <v/>
      </c>
      <c r="S65">
        <f>IF(OR($E65="",$F65=""),0,MAX(0,MIN($F65,DATE(Dashboard!$C$4,2,1))-MAX($E65,DATE(Dashboard!$C$4,1,1))))</f>
        <v/>
      </c>
      <c r="T65">
        <f>IF(OR($E65="",$F65=""),0,MAX(0,MIN($F65,DATE(Dashboard!$C$4,3,1))-MAX($E65,DATE(Dashboard!$C$4,2,1))))</f>
        <v/>
      </c>
      <c r="U65">
        <f>IF(OR($E65="",$F65=""),0,MAX(0,MIN($F65,DATE(Dashboard!$C$4,4,1))-MAX($E65,DATE(Dashboard!$C$4,3,1))))</f>
        <v/>
      </c>
      <c r="V65">
        <f>IF(OR($E65="",$F65=""),0,MAX(0,MIN($F65,DATE(Dashboard!$C$4,5,1))-MAX($E65,DATE(Dashboard!$C$4,4,1))))</f>
        <v/>
      </c>
      <c r="W65">
        <f>IF(OR($E65="",$F65=""),0,MAX(0,MIN($F65,DATE(Dashboard!$C$4,6,1))-MAX($E65,DATE(Dashboard!$C$4,5,1))))</f>
        <v/>
      </c>
      <c r="X65">
        <f>IF(OR($E65="",$F65=""),0,MAX(0,MIN($F65,DATE(Dashboard!$C$4,7,1))-MAX($E65,DATE(Dashboard!$C$4,6,1))))</f>
        <v/>
      </c>
      <c r="Y65">
        <f>IF(OR($E65="",$F65=""),0,MAX(0,MIN($F65,DATE(Dashboard!$C$4,8,1))-MAX($E65,DATE(Dashboard!$C$4,7,1))))</f>
        <v/>
      </c>
      <c r="Z65">
        <f>IF(OR($E65="",$F65=""),0,MAX(0,MIN($F65,DATE(Dashboard!$C$4,9,1))-MAX($E65,DATE(Dashboard!$C$4,8,1))))</f>
        <v/>
      </c>
      <c r="AA65">
        <f>IF(OR($E65="",$F65=""),0,MAX(0,MIN($F65,DATE(Dashboard!$C$4,10,1))-MAX($E65,DATE(Dashboard!$C$4,9,1))))</f>
        <v/>
      </c>
      <c r="AB65">
        <f>IF(OR($E65="",$F65=""),0,MAX(0,MIN($F65,DATE(Dashboard!$C$4,11,1))-MAX($E65,DATE(Dashboard!$C$4,10,1))))</f>
        <v/>
      </c>
      <c r="AC65">
        <f>IF(OR($E65="",$F65=""),0,MAX(0,MIN($F65,DATE(Dashboard!$C$4,12,1))-MAX($E65,DATE(Dashboard!$C$4,11,1))))</f>
        <v/>
      </c>
      <c r="AD65">
        <f>IF(OR($E65="",$F65=""),0,MAX(0,MIN($F65,DATE(Dashboard!$C$4,13,1))-MAX($E65,DATE(Dashboard!$C$4,12,1))))</f>
        <v/>
      </c>
      <c r="AE65">
        <f>SUM(S65:AD65)</f>
        <v/>
      </c>
      <c r="AF65">
        <f>Q65*AE65</f>
        <v/>
      </c>
      <c r="AG65">
        <f>R65*AE65</f>
        <v/>
      </c>
      <c r="AH65">
        <f>SUMPRODUCT(S65:AD65,--(COLUMN(S65:AD65)-COLUMN(S65)+1&lt;=Dashboard!$N$1))</f>
        <v/>
      </c>
      <c r="AI65">
        <f>IF(OR(E65="",E65&lt;TODAY()),"",E65+ROW()/100000)</f>
        <v/>
      </c>
      <c r="AJ65">
        <f>IF(OR(F65="",F65&lt;TODAY()),"",F65+ROW()/100000)</f>
        <v/>
      </c>
    </row>
    <row r="66">
      <c r="A66" s="1" t="n"/>
      <c r="B66" s="35" t="inlineStr">
        <is>
          <t>Mountain cabin</t>
        </is>
      </c>
      <c r="C66" s="35" t="inlineStr">
        <is>
          <t>Adam K.</t>
        </is>
      </c>
      <c r="D66" s="35" t="inlineStr">
        <is>
          <t>Airbnb</t>
        </is>
      </c>
      <c r="E66" s="36" t="n">
        <v>46287</v>
      </c>
      <c r="F66" s="36" t="n">
        <v>46292</v>
      </c>
      <c r="G66" s="18">
        <f>IF(OR(E66="",F66=""),"",F66-E66)</f>
        <v/>
      </c>
      <c r="H66" s="37" t="n">
        <v>5</v>
      </c>
      <c r="I66" s="38" t="n">
        <v>550</v>
      </c>
      <c r="J66" s="38" t="n">
        <v>80</v>
      </c>
      <c r="K66" s="38" t="n">
        <v>18.9</v>
      </c>
      <c r="L66" s="31">
        <f>IF(E66="","",N(I66)+N(J66)-N(K66))</f>
        <v/>
      </c>
      <c r="M66" s="39" t="inlineStr">
        <is>
          <t>No</t>
        </is>
      </c>
      <c r="N66" s="27">
        <f>IF(E66="","",IF(TODAY()&lt;E66,"Upcoming",IF(TODAY()&lt;F66,"Staying now",IF(M66="Yes","Checked out","Payout not received"))))</f>
        <v/>
      </c>
      <c r="O66" s="35" t="n"/>
      <c r="P66" s="1" t="n"/>
      <c r="Q66">
        <f>IF(N(G66)&gt;0,L66/G66,0)</f>
        <v/>
      </c>
      <c r="R66">
        <f>IF(N(G66)&gt;0,N(I66)/G66,0)</f>
        <v/>
      </c>
      <c r="S66">
        <f>IF(OR($E66="",$F66=""),0,MAX(0,MIN($F66,DATE(Dashboard!$C$4,2,1))-MAX($E66,DATE(Dashboard!$C$4,1,1))))</f>
        <v/>
      </c>
      <c r="T66">
        <f>IF(OR($E66="",$F66=""),0,MAX(0,MIN($F66,DATE(Dashboard!$C$4,3,1))-MAX($E66,DATE(Dashboard!$C$4,2,1))))</f>
        <v/>
      </c>
      <c r="U66">
        <f>IF(OR($E66="",$F66=""),0,MAX(0,MIN($F66,DATE(Dashboard!$C$4,4,1))-MAX($E66,DATE(Dashboard!$C$4,3,1))))</f>
        <v/>
      </c>
      <c r="V66">
        <f>IF(OR($E66="",$F66=""),0,MAX(0,MIN($F66,DATE(Dashboard!$C$4,5,1))-MAX($E66,DATE(Dashboard!$C$4,4,1))))</f>
        <v/>
      </c>
      <c r="W66">
        <f>IF(OR($E66="",$F66=""),0,MAX(0,MIN($F66,DATE(Dashboard!$C$4,6,1))-MAX($E66,DATE(Dashboard!$C$4,5,1))))</f>
        <v/>
      </c>
      <c r="X66">
        <f>IF(OR($E66="",$F66=""),0,MAX(0,MIN($F66,DATE(Dashboard!$C$4,7,1))-MAX($E66,DATE(Dashboard!$C$4,6,1))))</f>
        <v/>
      </c>
      <c r="Y66">
        <f>IF(OR($E66="",$F66=""),0,MAX(0,MIN($F66,DATE(Dashboard!$C$4,8,1))-MAX($E66,DATE(Dashboard!$C$4,7,1))))</f>
        <v/>
      </c>
      <c r="Z66">
        <f>IF(OR($E66="",$F66=""),0,MAX(0,MIN($F66,DATE(Dashboard!$C$4,9,1))-MAX($E66,DATE(Dashboard!$C$4,8,1))))</f>
        <v/>
      </c>
      <c r="AA66">
        <f>IF(OR($E66="",$F66=""),0,MAX(0,MIN($F66,DATE(Dashboard!$C$4,10,1))-MAX($E66,DATE(Dashboard!$C$4,9,1))))</f>
        <v/>
      </c>
      <c r="AB66">
        <f>IF(OR($E66="",$F66=""),0,MAX(0,MIN($F66,DATE(Dashboard!$C$4,11,1))-MAX($E66,DATE(Dashboard!$C$4,10,1))))</f>
        <v/>
      </c>
      <c r="AC66">
        <f>IF(OR($E66="",$F66=""),0,MAX(0,MIN($F66,DATE(Dashboard!$C$4,12,1))-MAX($E66,DATE(Dashboard!$C$4,11,1))))</f>
        <v/>
      </c>
      <c r="AD66">
        <f>IF(OR($E66="",$F66=""),0,MAX(0,MIN($F66,DATE(Dashboard!$C$4,13,1))-MAX($E66,DATE(Dashboard!$C$4,12,1))))</f>
        <v/>
      </c>
      <c r="AE66">
        <f>SUM(S66:AD66)</f>
        <v/>
      </c>
      <c r="AF66">
        <f>Q66*AE66</f>
        <v/>
      </c>
      <c r="AG66">
        <f>R66*AE66</f>
        <v/>
      </c>
      <c r="AH66">
        <f>SUMPRODUCT(S66:AD66,--(COLUMN(S66:AD66)-COLUMN(S66)+1&lt;=Dashboard!$N$1))</f>
        <v/>
      </c>
      <c r="AI66">
        <f>IF(OR(E66="",E66&lt;TODAY()),"",E66+ROW()/100000)</f>
        <v/>
      </c>
      <c r="AJ66">
        <f>IF(OR(F66="",F66&lt;TODAY()),"",F66+ROW()/100000)</f>
        <v/>
      </c>
    </row>
    <row r="67">
      <c r="A67" s="1" t="n"/>
      <c r="B67" s="35" t="inlineStr">
        <is>
          <t>Beach apartment</t>
        </is>
      </c>
      <c r="C67" s="35" t="inlineStr">
        <is>
          <t>Ava C.</t>
        </is>
      </c>
      <c r="D67" s="35" t="inlineStr">
        <is>
          <t>Direct</t>
        </is>
      </c>
      <c r="E67" s="36" t="n">
        <v>46291</v>
      </c>
      <c r="F67" s="36" t="n">
        <v>46296</v>
      </c>
      <c r="G67" s="18">
        <f>IF(OR(E67="",F67=""),"",F67-E67)</f>
        <v/>
      </c>
      <c r="H67" s="37" t="n">
        <v>5</v>
      </c>
      <c r="I67" s="38" t="n">
        <v>625</v>
      </c>
      <c r="J67" s="38" t="n">
        <v>60</v>
      </c>
      <c r="K67" s="38" t="n">
        <v>0</v>
      </c>
      <c r="L67" s="31">
        <f>IF(E67="","",N(I67)+N(J67)-N(K67))</f>
        <v/>
      </c>
      <c r="M67" s="39" t="n"/>
      <c r="N67" s="27">
        <f>IF(E67="","",IF(TODAY()&lt;E67,"Upcoming",IF(TODAY()&lt;F67,"Staying now",IF(M67="Yes","Checked out","Payout not received"))))</f>
        <v/>
      </c>
      <c r="O67" s="35" t="n"/>
      <c r="P67" s="1" t="n"/>
      <c r="Q67">
        <f>IF(N(G67)&gt;0,L67/G67,0)</f>
        <v/>
      </c>
      <c r="R67">
        <f>IF(N(G67)&gt;0,N(I67)/G67,0)</f>
        <v/>
      </c>
      <c r="S67">
        <f>IF(OR($E67="",$F67=""),0,MAX(0,MIN($F67,DATE(Dashboard!$C$4,2,1))-MAX($E67,DATE(Dashboard!$C$4,1,1))))</f>
        <v/>
      </c>
      <c r="T67">
        <f>IF(OR($E67="",$F67=""),0,MAX(0,MIN($F67,DATE(Dashboard!$C$4,3,1))-MAX($E67,DATE(Dashboard!$C$4,2,1))))</f>
        <v/>
      </c>
      <c r="U67">
        <f>IF(OR($E67="",$F67=""),0,MAX(0,MIN($F67,DATE(Dashboard!$C$4,4,1))-MAX($E67,DATE(Dashboard!$C$4,3,1))))</f>
        <v/>
      </c>
      <c r="V67">
        <f>IF(OR($E67="",$F67=""),0,MAX(0,MIN($F67,DATE(Dashboard!$C$4,5,1))-MAX($E67,DATE(Dashboard!$C$4,4,1))))</f>
        <v/>
      </c>
      <c r="W67">
        <f>IF(OR($E67="",$F67=""),0,MAX(0,MIN($F67,DATE(Dashboard!$C$4,6,1))-MAX($E67,DATE(Dashboard!$C$4,5,1))))</f>
        <v/>
      </c>
      <c r="X67">
        <f>IF(OR($E67="",$F67=""),0,MAX(0,MIN($F67,DATE(Dashboard!$C$4,7,1))-MAX($E67,DATE(Dashboard!$C$4,6,1))))</f>
        <v/>
      </c>
      <c r="Y67">
        <f>IF(OR($E67="",$F67=""),0,MAX(0,MIN($F67,DATE(Dashboard!$C$4,8,1))-MAX($E67,DATE(Dashboard!$C$4,7,1))))</f>
        <v/>
      </c>
      <c r="Z67">
        <f>IF(OR($E67="",$F67=""),0,MAX(0,MIN($F67,DATE(Dashboard!$C$4,9,1))-MAX($E67,DATE(Dashboard!$C$4,8,1))))</f>
        <v/>
      </c>
      <c r="AA67">
        <f>IF(OR($E67="",$F67=""),0,MAX(0,MIN($F67,DATE(Dashboard!$C$4,10,1))-MAX($E67,DATE(Dashboard!$C$4,9,1))))</f>
        <v/>
      </c>
      <c r="AB67">
        <f>IF(OR($E67="",$F67=""),0,MAX(0,MIN($F67,DATE(Dashboard!$C$4,11,1))-MAX($E67,DATE(Dashboard!$C$4,10,1))))</f>
        <v/>
      </c>
      <c r="AC67">
        <f>IF(OR($E67="",$F67=""),0,MAX(0,MIN($F67,DATE(Dashboard!$C$4,12,1))-MAX($E67,DATE(Dashboard!$C$4,11,1))))</f>
        <v/>
      </c>
      <c r="AD67">
        <f>IF(OR($E67="",$F67=""),0,MAX(0,MIN($F67,DATE(Dashboard!$C$4,13,1))-MAX($E67,DATE(Dashboard!$C$4,12,1))))</f>
        <v/>
      </c>
      <c r="AE67">
        <f>SUM(S67:AD67)</f>
        <v/>
      </c>
      <c r="AF67">
        <f>Q67*AE67</f>
        <v/>
      </c>
      <c r="AG67">
        <f>R67*AE67</f>
        <v/>
      </c>
      <c r="AH67">
        <f>SUMPRODUCT(S67:AD67,--(COLUMN(S67:AD67)-COLUMN(S67)+1&lt;=Dashboard!$N$1))</f>
        <v/>
      </c>
      <c r="AI67">
        <f>IF(OR(E67="",E67&lt;TODAY()),"",E67+ROW()/100000)</f>
        <v/>
      </c>
      <c r="AJ67">
        <f>IF(OR(F67="",F67&lt;TODAY()),"",F67+ROW()/100000)</f>
        <v/>
      </c>
    </row>
    <row r="68">
      <c r="A68" s="1" t="n"/>
      <c r="B68" s="35" t="inlineStr">
        <is>
          <t>Mountain cabin</t>
        </is>
      </c>
      <c r="C68" s="35" t="inlineStr">
        <is>
          <t>Leo M.</t>
        </is>
      </c>
      <c r="D68" s="35" t="inlineStr">
        <is>
          <t>Booking.com</t>
        </is>
      </c>
      <c r="E68" s="36" t="n">
        <v>46295</v>
      </c>
      <c r="F68" s="36" t="n">
        <v>46299</v>
      </c>
      <c r="G68" s="18">
        <f>IF(OR(E68="",F68=""),"",F68-E68)</f>
        <v/>
      </c>
      <c r="H68" s="37" t="n">
        <v>3</v>
      </c>
      <c r="I68" s="38" t="n">
        <v>440</v>
      </c>
      <c r="J68" s="38" t="n">
        <v>80</v>
      </c>
      <c r="K68" s="38" t="n">
        <v>78</v>
      </c>
      <c r="L68" s="31">
        <f>IF(E68="","",N(I68)+N(J68)-N(K68))</f>
        <v/>
      </c>
      <c r="M68" s="39" t="n"/>
      <c r="N68" s="27">
        <f>IF(E68="","",IF(TODAY()&lt;E68,"Upcoming",IF(TODAY()&lt;F68,"Staying now",IF(M68="Yes","Checked out","Payout not received"))))</f>
        <v/>
      </c>
      <c r="O68" s="35" t="n"/>
      <c r="P68" s="1" t="n"/>
      <c r="Q68">
        <f>IF(N(G68)&gt;0,L68/G68,0)</f>
        <v/>
      </c>
      <c r="R68">
        <f>IF(N(G68)&gt;0,N(I68)/G68,0)</f>
        <v/>
      </c>
      <c r="S68">
        <f>IF(OR($E68="",$F68=""),0,MAX(0,MIN($F68,DATE(Dashboard!$C$4,2,1))-MAX($E68,DATE(Dashboard!$C$4,1,1))))</f>
        <v/>
      </c>
      <c r="T68">
        <f>IF(OR($E68="",$F68=""),0,MAX(0,MIN($F68,DATE(Dashboard!$C$4,3,1))-MAX($E68,DATE(Dashboard!$C$4,2,1))))</f>
        <v/>
      </c>
      <c r="U68">
        <f>IF(OR($E68="",$F68=""),0,MAX(0,MIN($F68,DATE(Dashboard!$C$4,4,1))-MAX($E68,DATE(Dashboard!$C$4,3,1))))</f>
        <v/>
      </c>
      <c r="V68">
        <f>IF(OR($E68="",$F68=""),0,MAX(0,MIN($F68,DATE(Dashboard!$C$4,5,1))-MAX($E68,DATE(Dashboard!$C$4,4,1))))</f>
        <v/>
      </c>
      <c r="W68">
        <f>IF(OR($E68="",$F68=""),0,MAX(0,MIN($F68,DATE(Dashboard!$C$4,6,1))-MAX($E68,DATE(Dashboard!$C$4,5,1))))</f>
        <v/>
      </c>
      <c r="X68">
        <f>IF(OR($E68="",$F68=""),0,MAX(0,MIN($F68,DATE(Dashboard!$C$4,7,1))-MAX($E68,DATE(Dashboard!$C$4,6,1))))</f>
        <v/>
      </c>
      <c r="Y68">
        <f>IF(OR($E68="",$F68=""),0,MAX(0,MIN($F68,DATE(Dashboard!$C$4,8,1))-MAX($E68,DATE(Dashboard!$C$4,7,1))))</f>
        <v/>
      </c>
      <c r="Z68">
        <f>IF(OR($E68="",$F68=""),0,MAX(0,MIN($F68,DATE(Dashboard!$C$4,9,1))-MAX($E68,DATE(Dashboard!$C$4,8,1))))</f>
        <v/>
      </c>
      <c r="AA68">
        <f>IF(OR($E68="",$F68=""),0,MAX(0,MIN($F68,DATE(Dashboard!$C$4,10,1))-MAX($E68,DATE(Dashboard!$C$4,9,1))))</f>
        <v/>
      </c>
      <c r="AB68">
        <f>IF(OR($E68="",$F68=""),0,MAX(0,MIN($F68,DATE(Dashboard!$C$4,11,1))-MAX($E68,DATE(Dashboard!$C$4,10,1))))</f>
        <v/>
      </c>
      <c r="AC68">
        <f>IF(OR($E68="",$F68=""),0,MAX(0,MIN($F68,DATE(Dashboard!$C$4,12,1))-MAX($E68,DATE(Dashboard!$C$4,11,1))))</f>
        <v/>
      </c>
      <c r="AD68">
        <f>IF(OR($E68="",$F68=""),0,MAX(0,MIN($F68,DATE(Dashboard!$C$4,13,1))-MAX($E68,DATE(Dashboard!$C$4,12,1))))</f>
        <v/>
      </c>
      <c r="AE68">
        <f>SUM(S68:AD68)</f>
        <v/>
      </c>
      <c r="AF68">
        <f>Q68*AE68</f>
        <v/>
      </c>
      <c r="AG68">
        <f>R68*AE68</f>
        <v/>
      </c>
      <c r="AH68">
        <f>SUMPRODUCT(S68:AD68,--(COLUMN(S68:AD68)-COLUMN(S68)+1&lt;=Dashboard!$N$1))</f>
        <v/>
      </c>
      <c r="AI68">
        <f>IF(OR(E68="",E68&lt;TODAY()),"",E68+ROW()/100000)</f>
        <v/>
      </c>
      <c r="AJ68">
        <f>IF(OR(F68="",F68&lt;TODAY()),"",F68+ROW()/100000)</f>
        <v/>
      </c>
    </row>
    <row r="69">
      <c r="A69" s="1" t="n"/>
      <c r="B69" s="35" t="inlineStr">
        <is>
          <t>Beach apartment</t>
        </is>
      </c>
      <c r="C69" s="35" t="inlineStr">
        <is>
          <t>Zoe W.</t>
        </is>
      </c>
      <c r="D69" s="35" t="inlineStr">
        <is>
          <t>Airbnb</t>
        </is>
      </c>
      <c r="E69" s="36" t="n">
        <v>46298</v>
      </c>
      <c r="F69" s="36" t="n">
        <v>46302</v>
      </c>
      <c r="G69" s="18">
        <f>IF(OR(E69="",F69=""),"",F69-E69)</f>
        <v/>
      </c>
      <c r="H69" s="37" t="n">
        <v>5</v>
      </c>
      <c r="I69" s="38" t="n">
        <v>380</v>
      </c>
      <c r="J69" s="38" t="n">
        <v>60</v>
      </c>
      <c r="K69" s="38" t="n">
        <v>13.2</v>
      </c>
      <c r="L69" s="31">
        <f>IF(E69="","",N(I69)+N(J69)-N(K69))</f>
        <v/>
      </c>
      <c r="M69" s="39" t="n"/>
      <c r="N69" s="27">
        <f>IF(E69="","",IF(TODAY()&lt;E69,"Upcoming",IF(TODAY()&lt;F69,"Staying now",IF(M69="Yes","Checked out","Payout not received"))))</f>
        <v/>
      </c>
      <c r="O69" s="35" t="n"/>
      <c r="P69" s="1" t="n"/>
      <c r="Q69">
        <f>IF(N(G69)&gt;0,L69/G69,0)</f>
        <v/>
      </c>
      <c r="R69">
        <f>IF(N(G69)&gt;0,N(I69)/G69,0)</f>
        <v/>
      </c>
      <c r="S69">
        <f>IF(OR($E69="",$F69=""),0,MAX(0,MIN($F69,DATE(Dashboard!$C$4,2,1))-MAX($E69,DATE(Dashboard!$C$4,1,1))))</f>
        <v/>
      </c>
      <c r="T69">
        <f>IF(OR($E69="",$F69=""),0,MAX(0,MIN($F69,DATE(Dashboard!$C$4,3,1))-MAX($E69,DATE(Dashboard!$C$4,2,1))))</f>
        <v/>
      </c>
      <c r="U69">
        <f>IF(OR($E69="",$F69=""),0,MAX(0,MIN($F69,DATE(Dashboard!$C$4,4,1))-MAX($E69,DATE(Dashboard!$C$4,3,1))))</f>
        <v/>
      </c>
      <c r="V69">
        <f>IF(OR($E69="",$F69=""),0,MAX(0,MIN($F69,DATE(Dashboard!$C$4,5,1))-MAX($E69,DATE(Dashboard!$C$4,4,1))))</f>
        <v/>
      </c>
      <c r="W69">
        <f>IF(OR($E69="",$F69=""),0,MAX(0,MIN($F69,DATE(Dashboard!$C$4,6,1))-MAX($E69,DATE(Dashboard!$C$4,5,1))))</f>
        <v/>
      </c>
      <c r="X69">
        <f>IF(OR($E69="",$F69=""),0,MAX(0,MIN($F69,DATE(Dashboard!$C$4,7,1))-MAX($E69,DATE(Dashboard!$C$4,6,1))))</f>
        <v/>
      </c>
      <c r="Y69">
        <f>IF(OR($E69="",$F69=""),0,MAX(0,MIN($F69,DATE(Dashboard!$C$4,8,1))-MAX($E69,DATE(Dashboard!$C$4,7,1))))</f>
        <v/>
      </c>
      <c r="Z69">
        <f>IF(OR($E69="",$F69=""),0,MAX(0,MIN($F69,DATE(Dashboard!$C$4,9,1))-MAX($E69,DATE(Dashboard!$C$4,8,1))))</f>
        <v/>
      </c>
      <c r="AA69">
        <f>IF(OR($E69="",$F69=""),0,MAX(0,MIN($F69,DATE(Dashboard!$C$4,10,1))-MAX($E69,DATE(Dashboard!$C$4,9,1))))</f>
        <v/>
      </c>
      <c r="AB69">
        <f>IF(OR($E69="",$F69=""),0,MAX(0,MIN($F69,DATE(Dashboard!$C$4,11,1))-MAX($E69,DATE(Dashboard!$C$4,10,1))))</f>
        <v/>
      </c>
      <c r="AC69">
        <f>IF(OR($E69="",$F69=""),0,MAX(0,MIN($F69,DATE(Dashboard!$C$4,12,1))-MAX($E69,DATE(Dashboard!$C$4,11,1))))</f>
        <v/>
      </c>
      <c r="AD69">
        <f>IF(OR($E69="",$F69=""),0,MAX(0,MIN($F69,DATE(Dashboard!$C$4,13,1))-MAX($E69,DATE(Dashboard!$C$4,12,1))))</f>
        <v/>
      </c>
      <c r="AE69">
        <f>SUM(S69:AD69)</f>
        <v/>
      </c>
      <c r="AF69">
        <f>Q69*AE69</f>
        <v/>
      </c>
      <c r="AG69">
        <f>R69*AE69</f>
        <v/>
      </c>
      <c r="AH69">
        <f>SUMPRODUCT(S69:AD69,--(COLUMN(S69:AD69)-COLUMN(S69)+1&lt;=Dashboard!$N$1))</f>
        <v/>
      </c>
      <c r="AI69">
        <f>IF(OR(E69="",E69&lt;TODAY()),"",E69+ROW()/100000)</f>
        <v/>
      </c>
      <c r="AJ69">
        <f>IF(OR(F69="",F69&lt;TODAY()),"",F69+ROW()/100000)</f>
        <v/>
      </c>
    </row>
    <row r="70">
      <c r="A70" s="1" t="n"/>
      <c r="B70" s="35" t="inlineStr">
        <is>
          <t>Beach apartment</t>
        </is>
      </c>
      <c r="C70" s="35" t="inlineStr">
        <is>
          <t>Owen C.</t>
        </is>
      </c>
      <c r="D70" s="35" t="inlineStr">
        <is>
          <t>Direct</t>
        </is>
      </c>
      <c r="E70" s="36" t="n">
        <v>46302</v>
      </c>
      <c r="F70" s="36" t="n">
        <v>46306</v>
      </c>
      <c r="G70" s="18">
        <f>IF(OR(E70="",F70=""),"",F70-E70)</f>
        <v/>
      </c>
      <c r="H70" s="37" t="n">
        <v>3</v>
      </c>
      <c r="I70" s="38" t="n">
        <v>380</v>
      </c>
      <c r="J70" s="38" t="n">
        <v>60</v>
      </c>
      <c r="K70" s="38" t="n">
        <v>0</v>
      </c>
      <c r="L70" s="31">
        <f>IF(E70="","",N(I70)+N(J70)-N(K70))</f>
        <v/>
      </c>
      <c r="M70" s="39" t="n"/>
      <c r="N70" s="27">
        <f>IF(E70="","",IF(TODAY()&lt;E70,"Upcoming",IF(TODAY()&lt;F70,"Staying now",IF(M70="Yes","Checked out","Payout not received"))))</f>
        <v/>
      </c>
      <c r="O70" s="35" t="n"/>
      <c r="P70" s="1" t="n"/>
      <c r="Q70">
        <f>IF(N(G70)&gt;0,L70/G70,0)</f>
        <v/>
      </c>
      <c r="R70">
        <f>IF(N(G70)&gt;0,N(I70)/G70,0)</f>
        <v/>
      </c>
      <c r="S70">
        <f>IF(OR($E70="",$F70=""),0,MAX(0,MIN($F70,DATE(Dashboard!$C$4,2,1))-MAX($E70,DATE(Dashboard!$C$4,1,1))))</f>
        <v/>
      </c>
      <c r="T70">
        <f>IF(OR($E70="",$F70=""),0,MAX(0,MIN($F70,DATE(Dashboard!$C$4,3,1))-MAX($E70,DATE(Dashboard!$C$4,2,1))))</f>
        <v/>
      </c>
      <c r="U70">
        <f>IF(OR($E70="",$F70=""),0,MAX(0,MIN($F70,DATE(Dashboard!$C$4,4,1))-MAX($E70,DATE(Dashboard!$C$4,3,1))))</f>
        <v/>
      </c>
      <c r="V70">
        <f>IF(OR($E70="",$F70=""),0,MAX(0,MIN($F70,DATE(Dashboard!$C$4,5,1))-MAX($E70,DATE(Dashboard!$C$4,4,1))))</f>
        <v/>
      </c>
      <c r="W70">
        <f>IF(OR($E70="",$F70=""),0,MAX(0,MIN($F70,DATE(Dashboard!$C$4,6,1))-MAX($E70,DATE(Dashboard!$C$4,5,1))))</f>
        <v/>
      </c>
      <c r="X70">
        <f>IF(OR($E70="",$F70=""),0,MAX(0,MIN($F70,DATE(Dashboard!$C$4,7,1))-MAX($E70,DATE(Dashboard!$C$4,6,1))))</f>
        <v/>
      </c>
      <c r="Y70">
        <f>IF(OR($E70="",$F70=""),0,MAX(0,MIN($F70,DATE(Dashboard!$C$4,8,1))-MAX($E70,DATE(Dashboard!$C$4,7,1))))</f>
        <v/>
      </c>
      <c r="Z70">
        <f>IF(OR($E70="",$F70=""),0,MAX(0,MIN($F70,DATE(Dashboard!$C$4,9,1))-MAX($E70,DATE(Dashboard!$C$4,8,1))))</f>
        <v/>
      </c>
      <c r="AA70">
        <f>IF(OR($E70="",$F70=""),0,MAX(0,MIN($F70,DATE(Dashboard!$C$4,10,1))-MAX($E70,DATE(Dashboard!$C$4,9,1))))</f>
        <v/>
      </c>
      <c r="AB70">
        <f>IF(OR($E70="",$F70=""),0,MAX(0,MIN($F70,DATE(Dashboard!$C$4,11,1))-MAX($E70,DATE(Dashboard!$C$4,10,1))))</f>
        <v/>
      </c>
      <c r="AC70">
        <f>IF(OR($E70="",$F70=""),0,MAX(0,MIN($F70,DATE(Dashboard!$C$4,12,1))-MAX($E70,DATE(Dashboard!$C$4,11,1))))</f>
        <v/>
      </c>
      <c r="AD70">
        <f>IF(OR($E70="",$F70=""),0,MAX(0,MIN($F70,DATE(Dashboard!$C$4,13,1))-MAX($E70,DATE(Dashboard!$C$4,12,1))))</f>
        <v/>
      </c>
      <c r="AE70">
        <f>SUM(S70:AD70)</f>
        <v/>
      </c>
      <c r="AF70">
        <f>Q70*AE70</f>
        <v/>
      </c>
      <c r="AG70">
        <f>R70*AE70</f>
        <v/>
      </c>
      <c r="AH70">
        <f>SUMPRODUCT(S70:AD70,--(COLUMN(S70:AD70)-COLUMN(S70)+1&lt;=Dashboard!$N$1))</f>
        <v/>
      </c>
      <c r="AI70">
        <f>IF(OR(E70="",E70&lt;TODAY()),"",E70+ROW()/100000)</f>
        <v/>
      </c>
      <c r="AJ70">
        <f>IF(OR(F70="",F70&lt;TODAY()),"",F70+ROW()/100000)</f>
        <v/>
      </c>
    </row>
    <row r="71">
      <c r="A71" s="1" t="n"/>
      <c r="B71" s="35" t="inlineStr">
        <is>
          <t>Mountain cabin</t>
        </is>
      </c>
      <c r="C71" s="35" t="inlineStr">
        <is>
          <t>Max L.</t>
        </is>
      </c>
      <c r="D71" s="35" t="inlineStr">
        <is>
          <t>Airbnb</t>
        </is>
      </c>
      <c r="E71" s="36" t="n">
        <v>46304</v>
      </c>
      <c r="F71" s="36" t="n">
        <v>46308</v>
      </c>
      <c r="G71" s="18">
        <f>IF(OR(E71="",F71=""),"",F71-E71)</f>
        <v/>
      </c>
      <c r="H71" s="37" t="n">
        <v>3</v>
      </c>
      <c r="I71" s="38" t="n">
        <v>440</v>
      </c>
      <c r="J71" s="38" t="n">
        <v>80</v>
      </c>
      <c r="K71" s="38" t="n">
        <v>15.6</v>
      </c>
      <c r="L71" s="31">
        <f>IF(E71="","",N(I71)+N(J71)-N(K71))</f>
        <v/>
      </c>
      <c r="M71" s="39" t="n"/>
      <c r="N71" s="27">
        <f>IF(E71="","",IF(TODAY()&lt;E71,"Upcoming",IF(TODAY()&lt;F71,"Staying now",IF(M71="Yes","Checked out","Payout not received"))))</f>
        <v/>
      </c>
      <c r="O71" s="35" t="n"/>
      <c r="P71" s="1" t="n"/>
      <c r="Q71">
        <f>IF(N(G71)&gt;0,L71/G71,0)</f>
        <v/>
      </c>
      <c r="R71">
        <f>IF(N(G71)&gt;0,N(I71)/G71,0)</f>
        <v/>
      </c>
      <c r="S71">
        <f>IF(OR($E71="",$F71=""),0,MAX(0,MIN($F71,DATE(Dashboard!$C$4,2,1))-MAX($E71,DATE(Dashboard!$C$4,1,1))))</f>
        <v/>
      </c>
      <c r="T71">
        <f>IF(OR($E71="",$F71=""),0,MAX(0,MIN($F71,DATE(Dashboard!$C$4,3,1))-MAX($E71,DATE(Dashboard!$C$4,2,1))))</f>
        <v/>
      </c>
      <c r="U71">
        <f>IF(OR($E71="",$F71=""),0,MAX(0,MIN($F71,DATE(Dashboard!$C$4,4,1))-MAX($E71,DATE(Dashboard!$C$4,3,1))))</f>
        <v/>
      </c>
      <c r="V71">
        <f>IF(OR($E71="",$F71=""),0,MAX(0,MIN($F71,DATE(Dashboard!$C$4,5,1))-MAX($E71,DATE(Dashboard!$C$4,4,1))))</f>
        <v/>
      </c>
      <c r="W71">
        <f>IF(OR($E71="",$F71=""),0,MAX(0,MIN($F71,DATE(Dashboard!$C$4,6,1))-MAX($E71,DATE(Dashboard!$C$4,5,1))))</f>
        <v/>
      </c>
      <c r="X71">
        <f>IF(OR($E71="",$F71=""),0,MAX(0,MIN($F71,DATE(Dashboard!$C$4,7,1))-MAX($E71,DATE(Dashboard!$C$4,6,1))))</f>
        <v/>
      </c>
      <c r="Y71">
        <f>IF(OR($E71="",$F71=""),0,MAX(0,MIN($F71,DATE(Dashboard!$C$4,8,1))-MAX($E71,DATE(Dashboard!$C$4,7,1))))</f>
        <v/>
      </c>
      <c r="Z71">
        <f>IF(OR($E71="",$F71=""),0,MAX(0,MIN($F71,DATE(Dashboard!$C$4,9,1))-MAX($E71,DATE(Dashboard!$C$4,8,1))))</f>
        <v/>
      </c>
      <c r="AA71">
        <f>IF(OR($E71="",$F71=""),0,MAX(0,MIN($F71,DATE(Dashboard!$C$4,10,1))-MAX($E71,DATE(Dashboard!$C$4,9,1))))</f>
        <v/>
      </c>
      <c r="AB71">
        <f>IF(OR($E71="",$F71=""),0,MAX(0,MIN($F71,DATE(Dashboard!$C$4,11,1))-MAX($E71,DATE(Dashboard!$C$4,10,1))))</f>
        <v/>
      </c>
      <c r="AC71">
        <f>IF(OR($E71="",$F71=""),0,MAX(0,MIN($F71,DATE(Dashboard!$C$4,12,1))-MAX($E71,DATE(Dashboard!$C$4,11,1))))</f>
        <v/>
      </c>
      <c r="AD71">
        <f>IF(OR($E71="",$F71=""),0,MAX(0,MIN($F71,DATE(Dashboard!$C$4,13,1))-MAX($E71,DATE(Dashboard!$C$4,12,1))))</f>
        <v/>
      </c>
      <c r="AE71">
        <f>SUM(S71:AD71)</f>
        <v/>
      </c>
      <c r="AF71">
        <f>Q71*AE71</f>
        <v/>
      </c>
      <c r="AG71">
        <f>R71*AE71</f>
        <v/>
      </c>
      <c r="AH71">
        <f>SUMPRODUCT(S71:AD71,--(COLUMN(S71:AD71)-COLUMN(S71)+1&lt;=Dashboard!$N$1))</f>
        <v/>
      </c>
      <c r="AI71">
        <f>IF(OR(E71="",E71&lt;TODAY()),"",E71+ROW()/100000)</f>
        <v/>
      </c>
      <c r="AJ71">
        <f>IF(OR(F71="",F71&lt;TODAY()),"",F71+ROW()/100000)</f>
        <v/>
      </c>
    </row>
    <row r="72">
      <c r="A72" s="1" t="n"/>
      <c r="B72" s="35" t="n"/>
      <c r="C72" s="35" t="n"/>
      <c r="D72" s="35" t="n"/>
      <c r="E72" s="36" t="n"/>
      <c r="F72" s="36" t="n"/>
      <c r="G72" s="18">
        <f>IF(OR(E72="",F72=""),"",F72-E72)</f>
        <v/>
      </c>
      <c r="H72" s="37" t="n"/>
      <c r="I72" s="38" t="n"/>
      <c r="J72" s="38" t="n"/>
      <c r="K72" s="38" t="n"/>
      <c r="L72" s="31">
        <f>IF(E72="","",N(I72)+N(J72)-N(K72))</f>
        <v/>
      </c>
      <c r="M72" s="39" t="n"/>
      <c r="N72" s="27">
        <f>IF(E72="","",IF(TODAY()&lt;E72,"Upcoming",IF(TODAY()&lt;F72,"Staying now",IF(M72="Yes","Checked out","Payout not received"))))</f>
        <v/>
      </c>
      <c r="O72" s="35" t="n"/>
      <c r="P72" s="1" t="n"/>
      <c r="Q72">
        <f>IF(N(G72)&gt;0,L72/G72,0)</f>
        <v/>
      </c>
      <c r="R72">
        <f>IF(N(G72)&gt;0,N(I72)/G72,0)</f>
        <v/>
      </c>
      <c r="S72">
        <f>IF(OR($E72="",$F72=""),0,MAX(0,MIN($F72,DATE(Dashboard!$C$4,2,1))-MAX($E72,DATE(Dashboard!$C$4,1,1))))</f>
        <v/>
      </c>
      <c r="T72">
        <f>IF(OR($E72="",$F72=""),0,MAX(0,MIN($F72,DATE(Dashboard!$C$4,3,1))-MAX($E72,DATE(Dashboard!$C$4,2,1))))</f>
        <v/>
      </c>
      <c r="U72">
        <f>IF(OR($E72="",$F72=""),0,MAX(0,MIN($F72,DATE(Dashboard!$C$4,4,1))-MAX($E72,DATE(Dashboard!$C$4,3,1))))</f>
        <v/>
      </c>
      <c r="V72">
        <f>IF(OR($E72="",$F72=""),0,MAX(0,MIN($F72,DATE(Dashboard!$C$4,5,1))-MAX($E72,DATE(Dashboard!$C$4,4,1))))</f>
        <v/>
      </c>
      <c r="W72">
        <f>IF(OR($E72="",$F72=""),0,MAX(0,MIN($F72,DATE(Dashboard!$C$4,6,1))-MAX($E72,DATE(Dashboard!$C$4,5,1))))</f>
        <v/>
      </c>
      <c r="X72">
        <f>IF(OR($E72="",$F72=""),0,MAX(0,MIN($F72,DATE(Dashboard!$C$4,7,1))-MAX($E72,DATE(Dashboard!$C$4,6,1))))</f>
        <v/>
      </c>
      <c r="Y72">
        <f>IF(OR($E72="",$F72=""),0,MAX(0,MIN($F72,DATE(Dashboard!$C$4,8,1))-MAX($E72,DATE(Dashboard!$C$4,7,1))))</f>
        <v/>
      </c>
      <c r="Z72">
        <f>IF(OR($E72="",$F72=""),0,MAX(0,MIN($F72,DATE(Dashboard!$C$4,9,1))-MAX($E72,DATE(Dashboard!$C$4,8,1))))</f>
        <v/>
      </c>
      <c r="AA72">
        <f>IF(OR($E72="",$F72=""),0,MAX(0,MIN($F72,DATE(Dashboard!$C$4,10,1))-MAX($E72,DATE(Dashboard!$C$4,9,1))))</f>
        <v/>
      </c>
      <c r="AB72">
        <f>IF(OR($E72="",$F72=""),0,MAX(0,MIN($F72,DATE(Dashboard!$C$4,11,1))-MAX($E72,DATE(Dashboard!$C$4,10,1))))</f>
        <v/>
      </c>
      <c r="AC72">
        <f>IF(OR($E72="",$F72=""),0,MAX(0,MIN($F72,DATE(Dashboard!$C$4,12,1))-MAX($E72,DATE(Dashboard!$C$4,11,1))))</f>
        <v/>
      </c>
      <c r="AD72">
        <f>IF(OR($E72="",$F72=""),0,MAX(0,MIN($F72,DATE(Dashboard!$C$4,13,1))-MAX($E72,DATE(Dashboard!$C$4,12,1))))</f>
        <v/>
      </c>
      <c r="AE72">
        <f>SUM(S72:AD72)</f>
        <v/>
      </c>
      <c r="AF72">
        <f>Q72*AE72</f>
        <v/>
      </c>
      <c r="AG72">
        <f>R72*AE72</f>
        <v/>
      </c>
      <c r="AH72">
        <f>SUMPRODUCT(S72:AD72,--(COLUMN(S72:AD72)-COLUMN(S72)+1&lt;=Dashboard!$N$1))</f>
        <v/>
      </c>
      <c r="AI72">
        <f>IF(OR(E72="",E72&lt;TODAY()),"",E72+ROW()/100000)</f>
        <v/>
      </c>
      <c r="AJ72">
        <f>IF(OR(F72="",F72&lt;TODAY()),"",F72+ROW()/100000)</f>
        <v/>
      </c>
    </row>
    <row r="73">
      <c r="A73" s="1" t="n"/>
      <c r="B73" s="35" t="n"/>
      <c r="C73" s="35" t="n"/>
      <c r="D73" s="35" t="n"/>
      <c r="E73" s="36" t="n"/>
      <c r="F73" s="36" t="n"/>
      <c r="G73" s="18">
        <f>IF(OR(E73="",F73=""),"",F73-E73)</f>
        <v/>
      </c>
      <c r="H73" s="37" t="n"/>
      <c r="I73" s="38" t="n"/>
      <c r="J73" s="38" t="n"/>
      <c r="K73" s="38" t="n"/>
      <c r="L73" s="31">
        <f>IF(E73="","",N(I73)+N(J73)-N(K73))</f>
        <v/>
      </c>
      <c r="M73" s="39" t="n"/>
      <c r="N73" s="27">
        <f>IF(E73="","",IF(TODAY()&lt;E73,"Upcoming",IF(TODAY()&lt;F73,"Staying now",IF(M73="Yes","Checked out","Payout not received"))))</f>
        <v/>
      </c>
      <c r="O73" s="35" t="n"/>
      <c r="P73" s="1" t="n"/>
      <c r="Q73">
        <f>IF(N(G73)&gt;0,L73/G73,0)</f>
        <v/>
      </c>
      <c r="R73">
        <f>IF(N(G73)&gt;0,N(I73)/G73,0)</f>
        <v/>
      </c>
      <c r="S73">
        <f>IF(OR($E73="",$F73=""),0,MAX(0,MIN($F73,DATE(Dashboard!$C$4,2,1))-MAX($E73,DATE(Dashboard!$C$4,1,1))))</f>
        <v/>
      </c>
      <c r="T73">
        <f>IF(OR($E73="",$F73=""),0,MAX(0,MIN($F73,DATE(Dashboard!$C$4,3,1))-MAX($E73,DATE(Dashboard!$C$4,2,1))))</f>
        <v/>
      </c>
      <c r="U73">
        <f>IF(OR($E73="",$F73=""),0,MAX(0,MIN($F73,DATE(Dashboard!$C$4,4,1))-MAX($E73,DATE(Dashboard!$C$4,3,1))))</f>
        <v/>
      </c>
      <c r="V73">
        <f>IF(OR($E73="",$F73=""),0,MAX(0,MIN($F73,DATE(Dashboard!$C$4,5,1))-MAX($E73,DATE(Dashboard!$C$4,4,1))))</f>
        <v/>
      </c>
      <c r="W73">
        <f>IF(OR($E73="",$F73=""),0,MAX(0,MIN($F73,DATE(Dashboard!$C$4,6,1))-MAX($E73,DATE(Dashboard!$C$4,5,1))))</f>
        <v/>
      </c>
      <c r="X73">
        <f>IF(OR($E73="",$F73=""),0,MAX(0,MIN($F73,DATE(Dashboard!$C$4,7,1))-MAX($E73,DATE(Dashboard!$C$4,6,1))))</f>
        <v/>
      </c>
      <c r="Y73">
        <f>IF(OR($E73="",$F73=""),0,MAX(0,MIN($F73,DATE(Dashboard!$C$4,8,1))-MAX($E73,DATE(Dashboard!$C$4,7,1))))</f>
        <v/>
      </c>
      <c r="Z73">
        <f>IF(OR($E73="",$F73=""),0,MAX(0,MIN($F73,DATE(Dashboard!$C$4,9,1))-MAX($E73,DATE(Dashboard!$C$4,8,1))))</f>
        <v/>
      </c>
      <c r="AA73">
        <f>IF(OR($E73="",$F73=""),0,MAX(0,MIN($F73,DATE(Dashboard!$C$4,10,1))-MAX($E73,DATE(Dashboard!$C$4,9,1))))</f>
        <v/>
      </c>
      <c r="AB73">
        <f>IF(OR($E73="",$F73=""),0,MAX(0,MIN($F73,DATE(Dashboard!$C$4,11,1))-MAX($E73,DATE(Dashboard!$C$4,10,1))))</f>
        <v/>
      </c>
      <c r="AC73">
        <f>IF(OR($E73="",$F73=""),0,MAX(0,MIN($F73,DATE(Dashboard!$C$4,12,1))-MAX($E73,DATE(Dashboard!$C$4,11,1))))</f>
        <v/>
      </c>
      <c r="AD73">
        <f>IF(OR($E73="",$F73=""),0,MAX(0,MIN($F73,DATE(Dashboard!$C$4,13,1))-MAX($E73,DATE(Dashboard!$C$4,12,1))))</f>
        <v/>
      </c>
      <c r="AE73">
        <f>SUM(S73:AD73)</f>
        <v/>
      </c>
      <c r="AF73">
        <f>Q73*AE73</f>
        <v/>
      </c>
      <c r="AG73">
        <f>R73*AE73</f>
        <v/>
      </c>
      <c r="AH73">
        <f>SUMPRODUCT(S73:AD73,--(COLUMN(S73:AD73)-COLUMN(S73)+1&lt;=Dashboard!$N$1))</f>
        <v/>
      </c>
      <c r="AI73">
        <f>IF(OR(E73="",E73&lt;TODAY()),"",E73+ROW()/100000)</f>
        <v/>
      </c>
      <c r="AJ73">
        <f>IF(OR(F73="",F73&lt;TODAY()),"",F73+ROW()/100000)</f>
        <v/>
      </c>
    </row>
    <row r="74">
      <c r="A74" s="1" t="n"/>
      <c r="B74" s="35" t="n"/>
      <c r="C74" s="35" t="n"/>
      <c r="D74" s="35" t="n"/>
      <c r="E74" s="36" t="n"/>
      <c r="F74" s="36" t="n"/>
      <c r="G74" s="18">
        <f>IF(OR(E74="",F74=""),"",F74-E74)</f>
        <v/>
      </c>
      <c r="H74" s="37" t="n"/>
      <c r="I74" s="38" t="n"/>
      <c r="J74" s="38" t="n"/>
      <c r="K74" s="38" t="n"/>
      <c r="L74" s="31">
        <f>IF(E74="","",N(I74)+N(J74)-N(K74))</f>
        <v/>
      </c>
      <c r="M74" s="39" t="n"/>
      <c r="N74" s="27">
        <f>IF(E74="","",IF(TODAY()&lt;E74,"Upcoming",IF(TODAY()&lt;F74,"Staying now",IF(M74="Yes","Checked out","Payout not received"))))</f>
        <v/>
      </c>
      <c r="O74" s="35" t="n"/>
      <c r="P74" s="1" t="n"/>
      <c r="Q74">
        <f>IF(N(G74)&gt;0,L74/G74,0)</f>
        <v/>
      </c>
      <c r="R74">
        <f>IF(N(G74)&gt;0,N(I74)/G74,0)</f>
        <v/>
      </c>
      <c r="S74">
        <f>IF(OR($E74="",$F74=""),0,MAX(0,MIN($F74,DATE(Dashboard!$C$4,2,1))-MAX($E74,DATE(Dashboard!$C$4,1,1))))</f>
        <v/>
      </c>
      <c r="T74">
        <f>IF(OR($E74="",$F74=""),0,MAX(0,MIN($F74,DATE(Dashboard!$C$4,3,1))-MAX($E74,DATE(Dashboard!$C$4,2,1))))</f>
        <v/>
      </c>
      <c r="U74">
        <f>IF(OR($E74="",$F74=""),0,MAX(0,MIN($F74,DATE(Dashboard!$C$4,4,1))-MAX($E74,DATE(Dashboard!$C$4,3,1))))</f>
        <v/>
      </c>
      <c r="V74">
        <f>IF(OR($E74="",$F74=""),0,MAX(0,MIN($F74,DATE(Dashboard!$C$4,5,1))-MAX($E74,DATE(Dashboard!$C$4,4,1))))</f>
        <v/>
      </c>
      <c r="W74">
        <f>IF(OR($E74="",$F74=""),0,MAX(0,MIN($F74,DATE(Dashboard!$C$4,6,1))-MAX($E74,DATE(Dashboard!$C$4,5,1))))</f>
        <v/>
      </c>
      <c r="X74">
        <f>IF(OR($E74="",$F74=""),0,MAX(0,MIN($F74,DATE(Dashboard!$C$4,7,1))-MAX($E74,DATE(Dashboard!$C$4,6,1))))</f>
        <v/>
      </c>
      <c r="Y74">
        <f>IF(OR($E74="",$F74=""),0,MAX(0,MIN($F74,DATE(Dashboard!$C$4,8,1))-MAX($E74,DATE(Dashboard!$C$4,7,1))))</f>
        <v/>
      </c>
      <c r="Z74">
        <f>IF(OR($E74="",$F74=""),0,MAX(0,MIN($F74,DATE(Dashboard!$C$4,9,1))-MAX($E74,DATE(Dashboard!$C$4,8,1))))</f>
        <v/>
      </c>
      <c r="AA74">
        <f>IF(OR($E74="",$F74=""),0,MAX(0,MIN($F74,DATE(Dashboard!$C$4,10,1))-MAX($E74,DATE(Dashboard!$C$4,9,1))))</f>
        <v/>
      </c>
      <c r="AB74">
        <f>IF(OR($E74="",$F74=""),0,MAX(0,MIN($F74,DATE(Dashboard!$C$4,11,1))-MAX($E74,DATE(Dashboard!$C$4,10,1))))</f>
        <v/>
      </c>
      <c r="AC74">
        <f>IF(OR($E74="",$F74=""),0,MAX(0,MIN($F74,DATE(Dashboard!$C$4,12,1))-MAX($E74,DATE(Dashboard!$C$4,11,1))))</f>
        <v/>
      </c>
      <c r="AD74">
        <f>IF(OR($E74="",$F74=""),0,MAX(0,MIN($F74,DATE(Dashboard!$C$4,13,1))-MAX($E74,DATE(Dashboard!$C$4,12,1))))</f>
        <v/>
      </c>
      <c r="AE74">
        <f>SUM(S74:AD74)</f>
        <v/>
      </c>
      <c r="AF74">
        <f>Q74*AE74</f>
        <v/>
      </c>
      <c r="AG74">
        <f>R74*AE74</f>
        <v/>
      </c>
      <c r="AH74">
        <f>SUMPRODUCT(S74:AD74,--(COLUMN(S74:AD74)-COLUMN(S74)+1&lt;=Dashboard!$N$1))</f>
        <v/>
      </c>
      <c r="AI74">
        <f>IF(OR(E74="",E74&lt;TODAY()),"",E74+ROW()/100000)</f>
        <v/>
      </c>
      <c r="AJ74">
        <f>IF(OR(F74="",F74&lt;TODAY()),"",F74+ROW()/100000)</f>
        <v/>
      </c>
    </row>
    <row r="75">
      <c r="A75" s="1" t="n"/>
      <c r="B75" s="35" t="n"/>
      <c r="C75" s="35" t="n"/>
      <c r="D75" s="35" t="n"/>
      <c r="E75" s="36" t="n"/>
      <c r="F75" s="36" t="n"/>
      <c r="G75" s="18">
        <f>IF(OR(E75="",F75=""),"",F75-E75)</f>
        <v/>
      </c>
      <c r="H75" s="37" t="n"/>
      <c r="I75" s="38" t="n"/>
      <c r="J75" s="38" t="n"/>
      <c r="K75" s="38" t="n"/>
      <c r="L75" s="31">
        <f>IF(E75="","",N(I75)+N(J75)-N(K75))</f>
        <v/>
      </c>
      <c r="M75" s="39" t="n"/>
      <c r="N75" s="27">
        <f>IF(E75="","",IF(TODAY()&lt;E75,"Upcoming",IF(TODAY()&lt;F75,"Staying now",IF(M75="Yes","Checked out","Payout not received"))))</f>
        <v/>
      </c>
      <c r="O75" s="35" t="n"/>
      <c r="P75" s="1" t="n"/>
      <c r="Q75">
        <f>IF(N(G75)&gt;0,L75/G75,0)</f>
        <v/>
      </c>
      <c r="R75">
        <f>IF(N(G75)&gt;0,N(I75)/G75,0)</f>
        <v/>
      </c>
      <c r="S75">
        <f>IF(OR($E75="",$F75=""),0,MAX(0,MIN($F75,DATE(Dashboard!$C$4,2,1))-MAX($E75,DATE(Dashboard!$C$4,1,1))))</f>
        <v/>
      </c>
      <c r="T75">
        <f>IF(OR($E75="",$F75=""),0,MAX(0,MIN($F75,DATE(Dashboard!$C$4,3,1))-MAX($E75,DATE(Dashboard!$C$4,2,1))))</f>
        <v/>
      </c>
      <c r="U75">
        <f>IF(OR($E75="",$F75=""),0,MAX(0,MIN($F75,DATE(Dashboard!$C$4,4,1))-MAX($E75,DATE(Dashboard!$C$4,3,1))))</f>
        <v/>
      </c>
      <c r="V75">
        <f>IF(OR($E75="",$F75=""),0,MAX(0,MIN($F75,DATE(Dashboard!$C$4,5,1))-MAX($E75,DATE(Dashboard!$C$4,4,1))))</f>
        <v/>
      </c>
      <c r="W75">
        <f>IF(OR($E75="",$F75=""),0,MAX(0,MIN($F75,DATE(Dashboard!$C$4,6,1))-MAX($E75,DATE(Dashboard!$C$4,5,1))))</f>
        <v/>
      </c>
      <c r="X75">
        <f>IF(OR($E75="",$F75=""),0,MAX(0,MIN($F75,DATE(Dashboard!$C$4,7,1))-MAX($E75,DATE(Dashboard!$C$4,6,1))))</f>
        <v/>
      </c>
      <c r="Y75">
        <f>IF(OR($E75="",$F75=""),0,MAX(0,MIN($F75,DATE(Dashboard!$C$4,8,1))-MAX($E75,DATE(Dashboard!$C$4,7,1))))</f>
        <v/>
      </c>
      <c r="Z75">
        <f>IF(OR($E75="",$F75=""),0,MAX(0,MIN($F75,DATE(Dashboard!$C$4,9,1))-MAX($E75,DATE(Dashboard!$C$4,8,1))))</f>
        <v/>
      </c>
      <c r="AA75">
        <f>IF(OR($E75="",$F75=""),0,MAX(0,MIN($F75,DATE(Dashboard!$C$4,10,1))-MAX($E75,DATE(Dashboard!$C$4,9,1))))</f>
        <v/>
      </c>
      <c r="AB75">
        <f>IF(OR($E75="",$F75=""),0,MAX(0,MIN($F75,DATE(Dashboard!$C$4,11,1))-MAX($E75,DATE(Dashboard!$C$4,10,1))))</f>
        <v/>
      </c>
      <c r="AC75">
        <f>IF(OR($E75="",$F75=""),0,MAX(0,MIN($F75,DATE(Dashboard!$C$4,12,1))-MAX($E75,DATE(Dashboard!$C$4,11,1))))</f>
        <v/>
      </c>
      <c r="AD75">
        <f>IF(OR($E75="",$F75=""),0,MAX(0,MIN($F75,DATE(Dashboard!$C$4,13,1))-MAX($E75,DATE(Dashboard!$C$4,12,1))))</f>
        <v/>
      </c>
      <c r="AE75">
        <f>SUM(S75:AD75)</f>
        <v/>
      </c>
      <c r="AF75">
        <f>Q75*AE75</f>
        <v/>
      </c>
      <c r="AG75">
        <f>R75*AE75</f>
        <v/>
      </c>
      <c r="AH75">
        <f>SUMPRODUCT(S75:AD75,--(COLUMN(S75:AD75)-COLUMN(S75)+1&lt;=Dashboard!$N$1))</f>
        <v/>
      </c>
      <c r="AI75">
        <f>IF(OR(E75="",E75&lt;TODAY()),"",E75+ROW()/100000)</f>
        <v/>
      </c>
      <c r="AJ75">
        <f>IF(OR(F75="",F75&lt;TODAY()),"",F75+ROW()/100000)</f>
        <v/>
      </c>
    </row>
    <row r="76">
      <c r="A76" s="1" t="n"/>
      <c r="B76" s="35" t="n"/>
      <c r="C76" s="35" t="n"/>
      <c r="D76" s="35" t="n"/>
      <c r="E76" s="36" t="n"/>
      <c r="F76" s="36" t="n"/>
      <c r="G76" s="18">
        <f>IF(OR(E76="",F76=""),"",F76-E76)</f>
        <v/>
      </c>
      <c r="H76" s="37" t="n"/>
      <c r="I76" s="38" t="n"/>
      <c r="J76" s="38" t="n"/>
      <c r="K76" s="38" t="n"/>
      <c r="L76" s="31">
        <f>IF(E76="","",N(I76)+N(J76)-N(K76))</f>
        <v/>
      </c>
      <c r="M76" s="39" t="n"/>
      <c r="N76" s="27">
        <f>IF(E76="","",IF(TODAY()&lt;E76,"Upcoming",IF(TODAY()&lt;F76,"Staying now",IF(M76="Yes","Checked out","Payout not received"))))</f>
        <v/>
      </c>
      <c r="O76" s="35" t="n"/>
      <c r="P76" s="1" t="n"/>
      <c r="Q76">
        <f>IF(N(G76)&gt;0,L76/G76,0)</f>
        <v/>
      </c>
      <c r="R76">
        <f>IF(N(G76)&gt;0,N(I76)/G76,0)</f>
        <v/>
      </c>
      <c r="S76">
        <f>IF(OR($E76="",$F76=""),0,MAX(0,MIN($F76,DATE(Dashboard!$C$4,2,1))-MAX($E76,DATE(Dashboard!$C$4,1,1))))</f>
        <v/>
      </c>
      <c r="T76">
        <f>IF(OR($E76="",$F76=""),0,MAX(0,MIN($F76,DATE(Dashboard!$C$4,3,1))-MAX($E76,DATE(Dashboard!$C$4,2,1))))</f>
        <v/>
      </c>
      <c r="U76">
        <f>IF(OR($E76="",$F76=""),0,MAX(0,MIN($F76,DATE(Dashboard!$C$4,4,1))-MAX($E76,DATE(Dashboard!$C$4,3,1))))</f>
        <v/>
      </c>
      <c r="V76">
        <f>IF(OR($E76="",$F76=""),0,MAX(0,MIN($F76,DATE(Dashboard!$C$4,5,1))-MAX($E76,DATE(Dashboard!$C$4,4,1))))</f>
        <v/>
      </c>
      <c r="W76">
        <f>IF(OR($E76="",$F76=""),0,MAX(0,MIN($F76,DATE(Dashboard!$C$4,6,1))-MAX($E76,DATE(Dashboard!$C$4,5,1))))</f>
        <v/>
      </c>
      <c r="X76">
        <f>IF(OR($E76="",$F76=""),0,MAX(0,MIN($F76,DATE(Dashboard!$C$4,7,1))-MAX($E76,DATE(Dashboard!$C$4,6,1))))</f>
        <v/>
      </c>
      <c r="Y76">
        <f>IF(OR($E76="",$F76=""),0,MAX(0,MIN($F76,DATE(Dashboard!$C$4,8,1))-MAX($E76,DATE(Dashboard!$C$4,7,1))))</f>
        <v/>
      </c>
      <c r="Z76">
        <f>IF(OR($E76="",$F76=""),0,MAX(0,MIN($F76,DATE(Dashboard!$C$4,9,1))-MAX($E76,DATE(Dashboard!$C$4,8,1))))</f>
        <v/>
      </c>
      <c r="AA76">
        <f>IF(OR($E76="",$F76=""),0,MAX(0,MIN($F76,DATE(Dashboard!$C$4,10,1))-MAX($E76,DATE(Dashboard!$C$4,9,1))))</f>
        <v/>
      </c>
      <c r="AB76">
        <f>IF(OR($E76="",$F76=""),0,MAX(0,MIN($F76,DATE(Dashboard!$C$4,11,1))-MAX($E76,DATE(Dashboard!$C$4,10,1))))</f>
        <v/>
      </c>
      <c r="AC76">
        <f>IF(OR($E76="",$F76=""),0,MAX(0,MIN($F76,DATE(Dashboard!$C$4,12,1))-MAX($E76,DATE(Dashboard!$C$4,11,1))))</f>
        <v/>
      </c>
      <c r="AD76">
        <f>IF(OR($E76="",$F76=""),0,MAX(0,MIN($F76,DATE(Dashboard!$C$4,13,1))-MAX($E76,DATE(Dashboard!$C$4,12,1))))</f>
        <v/>
      </c>
      <c r="AE76">
        <f>SUM(S76:AD76)</f>
        <v/>
      </c>
      <c r="AF76">
        <f>Q76*AE76</f>
        <v/>
      </c>
      <c r="AG76">
        <f>R76*AE76</f>
        <v/>
      </c>
      <c r="AH76">
        <f>SUMPRODUCT(S76:AD76,--(COLUMN(S76:AD76)-COLUMN(S76)+1&lt;=Dashboard!$N$1))</f>
        <v/>
      </c>
      <c r="AI76">
        <f>IF(OR(E76="",E76&lt;TODAY()),"",E76+ROW()/100000)</f>
        <v/>
      </c>
      <c r="AJ76">
        <f>IF(OR(F76="",F76&lt;TODAY()),"",F76+ROW()/100000)</f>
        <v/>
      </c>
    </row>
    <row r="77">
      <c r="A77" s="1" t="n"/>
      <c r="B77" s="35" t="n"/>
      <c r="C77" s="35" t="n"/>
      <c r="D77" s="35" t="n"/>
      <c r="E77" s="36" t="n"/>
      <c r="F77" s="36" t="n"/>
      <c r="G77" s="18">
        <f>IF(OR(E77="",F77=""),"",F77-E77)</f>
        <v/>
      </c>
      <c r="H77" s="37" t="n"/>
      <c r="I77" s="38" t="n"/>
      <c r="J77" s="38" t="n"/>
      <c r="K77" s="38" t="n"/>
      <c r="L77" s="31">
        <f>IF(E77="","",N(I77)+N(J77)-N(K77))</f>
        <v/>
      </c>
      <c r="M77" s="39" t="n"/>
      <c r="N77" s="27">
        <f>IF(E77="","",IF(TODAY()&lt;E77,"Upcoming",IF(TODAY()&lt;F77,"Staying now",IF(M77="Yes","Checked out","Payout not received"))))</f>
        <v/>
      </c>
      <c r="O77" s="35" t="n"/>
      <c r="P77" s="1" t="n"/>
      <c r="Q77">
        <f>IF(N(G77)&gt;0,L77/G77,0)</f>
        <v/>
      </c>
      <c r="R77">
        <f>IF(N(G77)&gt;0,N(I77)/G77,0)</f>
        <v/>
      </c>
      <c r="S77">
        <f>IF(OR($E77="",$F77=""),0,MAX(0,MIN($F77,DATE(Dashboard!$C$4,2,1))-MAX($E77,DATE(Dashboard!$C$4,1,1))))</f>
        <v/>
      </c>
      <c r="T77">
        <f>IF(OR($E77="",$F77=""),0,MAX(0,MIN($F77,DATE(Dashboard!$C$4,3,1))-MAX($E77,DATE(Dashboard!$C$4,2,1))))</f>
        <v/>
      </c>
      <c r="U77">
        <f>IF(OR($E77="",$F77=""),0,MAX(0,MIN($F77,DATE(Dashboard!$C$4,4,1))-MAX($E77,DATE(Dashboard!$C$4,3,1))))</f>
        <v/>
      </c>
      <c r="V77">
        <f>IF(OR($E77="",$F77=""),0,MAX(0,MIN($F77,DATE(Dashboard!$C$4,5,1))-MAX($E77,DATE(Dashboard!$C$4,4,1))))</f>
        <v/>
      </c>
      <c r="W77">
        <f>IF(OR($E77="",$F77=""),0,MAX(0,MIN($F77,DATE(Dashboard!$C$4,6,1))-MAX($E77,DATE(Dashboard!$C$4,5,1))))</f>
        <v/>
      </c>
      <c r="X77">
        <f>IF(OR($E77="",$F77=""),0,MAX(0,MIN($F77,DATE(Dashboard!$C$4,7,1))-MAX($E77,DATE(Dashboard!$C$4,6,1))))</f>
        <v/>
      </c>
      <c r="Y77">
        <f>IF(OR($E77="",$F77=""),0,MAX(0,MIN($F77,DATE(Dashboard!$C$4,8,1))-MAX($E77,DATE(Dashboard!$C$4,7,1))))</f>
        <v/>
      </c>
      <c r="Z77">
        <f>IF(OR($E77="",$F77=""),0,MAX(0,MIN($F77,DATE(Dashboard!$C$4,9,1))-MAX($E77,DATE(Dashboard!$C$4,8,1))))</f>
        <v/>
      </c>
      <c r="AA77">
        <f>IF(OR($E77="",$F77=""),0,MAX(0,MIN($F77,DATE(Dashboard!$C$4,10,1))-MAX($E77,DATE(Dashboard!$C$4,9,1))))</f>
        <v/>
      </c>
      <c r="AB77">
        <f>IF(OR($E77="",$F77=""),0,MAX(0,MIN($F77,DATE(Dashboard!$C$4,11,1))-MAX($E77,DATE(Dashboard!$C$4,10,1))))</f>
        <v/>
      </c>
      <c r="AC77">
        <f>IF(OR($E77="",$F77=""),0,MAX(0,MIN($F77,DATE(Dashboard!$C$4,12,1))-MAX($E77,DATE(Dashboard!$C$4,11,1))))</f>
        <v/>
      </c>
      <c r="AD77">
        <f>IF(OR($E77="",$F77=""),0,MAX(0,MIN($F77,DATE(Dashboard!$C$4,13,1))-MAX($E77,DATE(Dashboard!$C$4,12,1))))</f>
        <v/>
      </c>
      <c r="AE77">
        <f>SUM(S77:AD77)</f>
        <v/>
      </c>
      <c r="AF77">
        <f>Q77*AE77</f>
        <v/>
      </c>
      <c r="AG77">
        <f>R77*AE77</f>
        <v/>
      </c>
      <c r="AH77">
        <f>SUMPRODUCT(S77:AD77,--(COLUMN(S77:AD77)-COLUMN(S77)+1&lt;=Dashboard!$N$1))</f>
        <v/>
      </c>
      <c r="AI77">
        <f>IF(OR(E77="",E77&lt;TODAY()),"",E77+ROW()/100000)</f>
        <v/>
      </c>
      <c r="AJ77">
        <f>IF(OR(F77="",F77&lt;TODAY()),"",F77+ROW()/100000)</f>
        <v/>
      </c>
    </row>
    <row r="78">
      <c r="A78" s="1" t="n"/>
      <c r="B78" s="35" t="n"/>
      <c r="C78" s="35" t="n"/>
      <c r="D78" s="35" t="n"/>
      <c r="E78" s="36" t="n"/>
      <c r="F78" s="36" t="n"/>
      <c r="G78" s="18">
        <f>IF(OR(E78="",F78=""),"",F78-E78)</f>
        <v/>
      </c>
      <c r="H78" s="37" t="n"/>
      <c r="I78" s="38" t="n"/>
      <c r="J78" s="38" t="n"/>
      <c r="K78" s="38" t="n"/>
      <c r="L78" s="31">
        <f>IF(E78="","",N(I78)+N(J78)-N(K78))</f>
        <v/>
      </c>
      <c r="M78" s="39" t="n"/>
      <c r="N78" s="27">
        <f>IF(E78="","",IF(TODAY()&lt;E78,"Upcoming",IF(TODAY()&lt;F78,"Staying now",IF(M78="Yes","Checked out","Payout not received"))))</f>
        <v/>
      </c>
      <c r="O78" s="35" t="n"/>
      <c r="P78" s="1" t="n"/>
      <c r="Q78">
        <f>IF(N(G78)&gt;0,L78/G78,0)</f>
        <v/>
      </c>
      <c r="R78">
        <f>IF(N(G78)&gt;0,N(I78)/G78,0)</f>
        <v/>
      </c>
      <c r="S78">
        <f>IF(OR($E78="",$F78=""),0,MAX(0,MIN($F78,DATE(Dashboard!$C$4,2,1))-MAX($E78,DATE(Dashboard!$C$4,1,1))))</f>
        <v/>
      </c>
      <c r="T78">
        <f>IF(OR($E78="",$F78=""),0,MAX(0,MIN($F78,DATE(Dashboard!$C$4,3,1))-MAX($E78,DATE(Dashboard!$C$4,2,1))))</f>
        <v/>
      </c>
      <c r="U78">
        <f>IF(OR($E78="",$F78=""),0,MAX(0,MIN($F78,DATE(Dashboard!$C$4,4,1))-MAX($E78,DATE(Dashboard!$C$4,3,1))))</f>
        <v/>
      </c>
      <c r="V78">
        <f>IF(OR($E78="",$F78=""),0,MAX(0,MIN($F78,DATE(Dashboard!$C$4,5,1))-MAX($E78,DATE(Dashboard!$C$4,4,1))))</f>
        <v/>
      </c>
      <c r="W78">
        <f>IF(OR($E78="",$F78=""),0,MAX(0,MIN($F78,DATE(Dashboard!$C$4,6,1))-MAX($E78,DATE(Dashboard!$C$4,5,1))))</f>
        <v/>
      </c>
      <c r="X78">
        <f>IF(OR($E78="",$F78=""),0,MAX(0,MIN($F78,DATE(Dashboard!$C$4,7,1))-MAX($E78,DATE(Dashboard!$C$4,6,1))))</f>
        <v/>
      </c>
      <c r="Y78">
        <f>IF(OR($E78="",$F78=""),0,MAX(0,MIN($F78,DATE(Dashboard!$C$4,8,1))-MAX($E78,DATE(Dashboard!$C$4,7,1))))</f>
        <v/>
      </c>
      <c r="Z78">
        <f>IF(OR($E78="",$F78=""),0,MAX(0,MIN($F78,DATE(Dashboard!$C$4,9,1))-MAX($E78,DATE(Dashboard!$C$4,8,1))))</f>
        <v/>
      </c>
      <c r="AA78">
        <f>IF(OR($E78="",$F78=""),0,MAX(0,MIN($F78,DATE(Dashboard!$C$4,10,1))-MAX($E78,DATE(Dashboard!$C$4,9,1))))</f>
        <v/>
      </c>
      <c r="AB78">
        <f>IF(OR($E78="",$F78=""),0,MAX(0,MIN($F78,DATE(Dashboard!$C$4,11,1))-MAX($E78,DATE(Dashboard!$C$4,10,1))))</f>
        <v/>
      </c>
      <c r="AC78">
        <f>IF(OR($E78="",$F78=""),0,MAX(0,MIN($F78,DATE(Dashboard!$C$4,12,1))-MAX($E78,DATE(Dashboard!$C$4,11,1))))</f>
        <v/>
      </c>
      <c r="AD78">
        <f>IF(OR($E78="",$F78=""),0,MAX(0,MIN($F78,DATE(Dashboard!$C$4,13,1))-MAX($E78,DATE(Dashboard!$C$4,12,1))))</f>
        <v/>
      </c>
      <c r="AE78">
        <f>SUM(S78:AD78)</f>
        <v/>
      </c>
      <c r="AF78">
        <f>Q78*AE78</f>
        <v/>
      </c>
      <c r="AG78">
        <f>R78*AE78</f>
        <v/>
      </c>
      <c r="AH78">
        <f>SUMPRODUCT(S78:AD78,--(COLUMN(S78:AD78)-COLUMN(S78)+1&lt;=Dashboard!$N$1))</f>
        <v/>
      </c>
      <c r="AI78">
        <f>IF(OR(E78="",E78&lt;TODAY()),"",E78+ROW()/100000)</f>
        <v/>
      </c>
      <c r="AJ78">
        <f>IF(OR(F78="",F78&lt;TODAY()),"",F78+ROW()/100000)</f>
        <v/>
      </c>
    </row>
    <row r="79">
      <c r="A79" s="1" t="n"/>
      <c r="B79" s="35" t="n"/>
      <c r="C79" s="35" t="n"/>
      <c r="D79" s="35" t="n"/>
      <c r="E79" s="36" t="n"/>
      <c r="F79" s="36" t="n"/>
      <c r="G79" s="18">
        <f>IF(OR(E79="",F79=""),"",F79-E79)</f>
        <v/>
      </c>
      <c r="H79" s="37" t="n"/>
      <c r="I79" s="38" t="n"/>
      <c r="J79" s="38" t="n"/>
      <c r="K79" s="38" t="n"/>
      <c r="L79" s="31">
        <f>IF(E79="","",N(I79)+N(J79)-N(K79))</f>
        <v/>
      </c>
      <c r="M79" s="39" t="n"/>
      <c r="N79" s="27">
        <f>IF(E79="","",IF(TODAY()&lt;E79,"Upcoming",IF(TODAY()&lt;F79,"Staying now",IF(M79="Yes","Checked out","Payout not received"))))</f>
        <v/>
      </c>
      <c r="O79" s="35" t="n"/>
      <c r="P79" s="1" t="n"/>
      <c r="Q79">
        <f>IF(N(G79)&gt;0,L79/G79,0)</f>
        <v/>
      </c>
      <c r="R79">
        <f>IF(N(G79)&gt;0,N(I79)/G79,0)</f>
        <v/>
      </c>
      <c r="S79">
        <f>IF(OR($E79="",$F79=""),0,MAX(0,MIN($F79,DATE(Dashboard!$C$4,2,1))-MAX($E79,DATE(Dashboard!$C$4,1,1))))</f>
        <v/>
      </c>
      <c r="T79">
        <f>IF(OR($E79="",$F79=""),0,MAX(0,MIN($F79,DATE(Dashboard!$C$4,3,1))-MAX($E79,DATE(Dashboard!$C$4,2,1))))</f>
        <v/>
      </c>
      <c r="U79">
        <f>IF(OR($E79="",$F79=""),0,MAX(0,MIN($F79,DATE(Dashboard!$C$4,4,1))-MAX($E79,DATE(Dashboard!$C$4,3,1))))</f>
        <v/>
      </c>
      <c r="V79">
        <f>IF(OR($E79="",$F79=""),0,MAX(0,MIN($F79,DATE(Dashboard!$C$4,5,1))-MAX($E79,DATE(Dashboard!$C$4,4,1))))</f>
        <v/>
      </c>
      <c r="W79">
        <f>IF(OR($E79="",$F79=""),0,MAX(0,MIN($F79,DATE(Dashboard!$C$4,6,1))-MAX($E79,DATE(Dashboard!$C$4,5,1))))</f>
        <v/>
      </c>
      <c r="X79">
        <f>IF(OR($E79="",$F79=""),0,MAX(0,MIN($F79,DATE(Dashboard!$C$4,7,1))-MAX($E79,DATE(Dashboard!$C$4,6,1))))</f>
        <v/>
      </c>
      <c r="Y79">
        <f>IF(OR($E79="",$F79=""),0,MAX(0,MIN($F79,DATE(Dashboard!$C$4,8,1))-MAX($E79,DATE(Dashboard!$C$4,7,1))))</f>
        <v/>
      </c>
      <c r="Z79">
        <f>IF(OR($E79="",$F79=""),0,MAX(0,MIN($F79,DATE(Dashboard!$C$4,9,1))-MAX($E79,DATE(Dashboard!$C$4,8,1))))</f>
        <v/>
      </c>
      <c r="AA79">
        <f>IF(OR($E79="",$F79=""),0,MAX(0,MIN($F79,DATE(Dashboard!$C$4,10,1))-MAX($E79,DATE(Dashboard!$C$4,9,1))))</f>
        <v/>
      </c>
      <c r="AB79">
        <f>IF(OR($E79="",$F79=""),0,MAX(0,MIN($F79,DATE(Dashboard!$C$4,11,1))-MAX($E79,DATE(Dashboard!$C$4,10,1))))</f>
        <v/>
      </c>
      <c r="AC79">
        <f>IF(OR($E79="",$F79=""),0,MAX(0,MIN($F79,DATE(Dashboard!$C$4,12,1))-MAX($E79,DATE(Dashboard!$C$4,11,1))))</f>
        <v/>
      </c>
      <c r="AD79">
        <f>IF(OR($E79="",$F79=""),0,MAX(0,MIN($F79,DATE(Dashboard!$C$4,13,1))-MAX($E79,DATE(Dashboard!$C$4,12,1))))</f>
        <v/>
      </c>
      <c r="AE79">
        <f>SUM(S79:AD79)</f>
        <v/>
      </c>
      <c r="AF79">
        <f>Q79*AE79</f>
        <v/>
      </c>
      <c r="AG79">
        <f>R79*AE79</f>
        <v/>
      </c>
      <c r="AH79">
        <f>SUMPRODUCT(S79:AD79,--(COLUMN(S79:AD79)-COLUMN(S79)+1&lt;=Dashboard!$N$1))</f>
        <v/>
      </c>
      <c r="AI79">
        <f>IF(OR(E79="",E79&lt;TODAY()),"",E79+ROW()/100000)</f>
        <v/>
      </c>
      <c r="AJ79">
        <f>IF(OR(F79="",F79&lt;TODAY()),"",F79+ROW()/100000)</f>
        <v/>
      </c>
    </row>
    <row r="80">
      <c r="A80" s="1" t="n"/>
      <c r="B80" s="35" t="n"/>
      <c r="C80" s="35" t="n"/>
      <c r="D80" s="35" t="n"/>
      <c r="E80" s="36" t="n"/>
      <c r="F80" s="36" t="n"/>
      <c r="G80" s="18">
        <f>IF(OR(E80="",F80=""),"",F80-E80)</f>
        <v/>
      </c>
      <c r="H80" s="37" t="n"/>
      <c r="I80" s="38" t="n"/>
      <c r="J80" s="38" t="n"/>
      <c r="K80" s="38" t="n"/>
      <c r="L80" s="31">
        <f>IF(E80="","",N(I80)+N(J80)-N(K80))</f>
        <v/>
      </c>
      <c r="M80" s="39" t="n"/>
      <c r="N80" s="27">
        <f>IF(E80="","",IF(TODAY()&lt;E80,"Upcoming",IF(TODAY()&lt;F80,"Staying now",IF(M80="Yes","Checked out","Payout not received"))))</f>
        <v/>
      </c>
      <c r="O80" s="35" t="n"/>
      <c r="P80" s="1" t="n"/>
      <c r="Q80">
        <f>IF(N(G80)&gt;0,L80/G80,0)</f>
        <v/>
      </c>
      <c r="R80">
        <f>IF(N(G80)&gt;0,N(I80)/G80,0)</f>
        <v/>
      </c>
      <c r="S80">
        <f>IF(OR($E80="",$F80=""),0,MAX(0,MIN($F80,DATE(Dashboard!$C$4,2,1))-MAX($E80,DATE(Dashboard!$C$4,1,1))))</f>
        <v/>
      </c>
      <c r="T80">
        <f>IF(OR($E80="",$F80=""),0,MAX(0,MIN($F80,DATE(Dashboard!$C$4,3,1))-MAX($E80,DATE(Dashboard!$C$4,2,1))))</f>
        <v/>
      </c>
      <c r="U80">
        <f>IF(OR($E80="",$F80=""),0,MAX(0,MIN($F80,DATE(Dashboard!$C$4,4,1))-MAX($E80,DATE(Dashboard!$C$4,3,1))))</f>
        <v/>
      </c>
      <c r="V80">
        <f>IF(OR($E80="",$F80=""),0,MAX(0,MIN($F80,DATE(Dashboard!$C$4,5,1))-MAX($E80,DATE(Dashboard!$C$4,4,1))))</f>
        <v/>
      </c>
      <c r="W80">
        <f>IF(OR($E80="",$F80=""),0,MAX(0,MIN($F80,DATE(Dashboard!$C$4,6,1))-MAX($E80,DATE(Dashboard!$C$4,5,1))))</f>
        <v/>
      </c>
      <c r="X80">
        <f>IF(OR($E80="",$F80=""),0,MAX(0,MIN($F80,DATE(Dashboard!$C$4,7,1))-MAX($E80,DATE(Dashboard!$C$4,6,1))))</f>
        <v/>
      </c>
      <c r="Y80">
        <f>IF(OR($E80="",$F80=""),0,MAX(0,MIN($F80,DATE(Dashboard!$C$4,8,1))-MAX($E80,DATE(Dashboard!$C$4,7,1))))</f>
        <v/>
      </c>
      <c r="Z80">
        <f>IF(OR($E80="",$F80=""),0,MAX(0,MIN($F80,DATE(Dashboard!$C$4,9,1))-MAX($E80,DATE(Dashboard!$C$4,8,1))))</f>
        <v/>
      </c>
      <c r="AA80">
        <f>IF(OR($E80="",$F80=""),0,MAX(0,MIN($F80,DATE(Dashboard!$C$4,10,1))-MAX($E80,DATE(Dashboard!$C$4,9,1))))</f>
        <v/>
      </c>
      <c r="AB80">
        <f>IF(OR($E80="",$F80=""),0,MAX(0,MIN($F80,DATE(Dashboard!$C$4,11,1))-MAX($E80,DATE(Dashboard!$C$4,10,1))))</f>
        <v/>
      </c>
      <c r="AC80">
        <f>IF(OR($E80="",$F80=""),0,MAX(0,MIN($F80,DATE(Dashboard!$C$4,12,1))-MAX($E80,DATE(Dashboard!$C$4,11,1))))</f>
        <v/>
      </c>
      <c r="AD80">
        <f>IF(OR($E80="",$F80=""),0,MAX(0,MIN($F80,DATE(Dashboard!$C$4,13,1))-MAX($E80,DATE(Dashboard!$C$4,12,1))))</f>
        <v/>
      </c>
      <c r="AE80">
        <f>SUM(S80:AD80)</f>
        <v/>
      </c>
      <c r="AF80">
        <f>Q80*AE80</f>
        <v/>
      </c>
      <c r="AG80">
        <f>R80*AE80</f>
        <v/>
      </c>
      <c r="AH80">
        <f>SUMPRODUCT(S80:AD80,--(COLUMN(S80:AD80)-COLUMN(S80)+1&lt;=Dashboard!$N$1))</f>
        <v/>
      </c>
      <c r="AI80">
        <f>IF(OR(E80="",E80&lt;TODAY()),"",E80+ROW()/100000)</f>
        <v/>
      </c>
      <c r="AJ80">
        <f>IF(OR(F80="",F80&lt;TODAY()),"",F80+ROW()/100000)</f>
        <v/>
      </c>
    </row>
    <row r="81">
      <c r="A81" s="1" t="n"/>
      <c r="B81" s="35" t="n"/>
      <c r="C81" s="35" t="n"/>
      <c r="D81" s="35" t="n"/>
      <c r="E81" s="36" t="n"/>
      <c r="F81" s="36" t="n"/>
      <c r="G81" s="18">
        <f>IF(OR(E81="",F81=""),"",F81-E81)</f>
        <v/>
      </c>
      <c r="H81" s="37" t="n"/>
      <c r="I81" s="38" t="n"/>
      <c r="J81" s="38" t="n"/>
      <c r="K81" s="38" t="n"/>
      <c r="L81" s="31">
        <f>IF(E81="","",N(I81)+N(J81)-N(K81))</f>
        <v/>
      </c>
      <c r="M81" s="39" t="n"/>
      <c r="N81" s="27">
        <f>IF(E81="","",IF(TODAY()&lt;E81,"Upcoming",IF(TODAY()&lt;F81,"Staying now",IF(M81="Yes","Checked out","Payout not received"))))</f>
        <v/>
      </c>
      <c r="O81" s="35" t="n"/>
      <c r="P81" s="1" t="n"/>
      <c r="Q81">
        <f>IF(N(G81)&gt;0,L81/G81,0)</f>
        <v/>
      </c>
      <c r="R81">
        <f>IF(N(G81)&gt;0,N(I81)/G81,0)</f>
        <v/>
      </c>
      <c r="S81">
        <f>IF(OR($E81="",$F81=""),0,MAX(0,MIN($F81,DATE(Dashboard!$C$4,2,1))-MAX($E81,DATE(Dashboard!$C$4,1,1))))</f>
        <v/>
      </c>
      <c r="T81">
        <f>IF(OR($E81="",$F81=""),0,MAX(0,MIN($F81,DATE(Dashboard!$C$4,3,1))-MAX($E81,DATE(Dashboard!$C$4,2,1))))</f>
        <v/>
      </c>
      <c r="U81">
        <f>IF(OR($E81="",$F81=""),0,MAX(0,MIN($F81,DATE(Dashboard!$C$4,4,1))-MAX($E81,DATE(Dashboard!$C$4,3,1))))</f>
        <v/>
      </c>
      <c r="V81">
        <f>IF(OR($E81="",$F81=""),0,MAX(0,MIN($F81,DATE(Dashboard!$C$4,5,1))-MAX($E81,DATE(Dashboard!$C$4,4,1))))</f>
        <v/>
      </c>
      <c r="W81">
        <f>IF(OR($E81="",$F81=""),0,MAX(0,MIN($F81,DATE(Dashboard!$C$4,6,1))-MAX($E81,DATE(Dashboard!$C$4,5,1))))</f>
        <v/>
      </c>
      <c r="X81">
        <f>IF(OR($E81="",$F81=""),0,MAX(0,MIN($F81,DATE(Dashboard!$C$4,7,1))-MAX($E81,DATE(Dashboard!$C$4,6,1))))</f>
        <v/>
      </c>
      <c r="Y81">
        <f>IF(OR($E81="",$F81=""),0,MAX(0,MIN($F81,DATE(Dashboard!$C$4,8,1))-MAX($E81,DATE(Dashboard!$C$4,7,1))))</f>
        <v/>
      </c>
      <c r="Z81">
        <f>IF(OR($E81="",$F81=""),0,MAX(0,MIN($F81,DATE(Dashboard!$C$4,9,1))-MAX($E81,DATE(Dashboard!$C$4,8,1))))</f>
        <v/>
      </c>
      <c r="AA81">
        <f>IF(OR($E81="",$F81=""),0,MAX(0,MIN($F81,DATE(Dashboard!$C$4,10,1))-MAX($E81,DATE(Dashboard!$C$4,9,1))))</f>
        <v/>
      </c>
      <c r="AB81">
        <f>IF(OR($E81="",$F81=""),0,MAX(0,MIN($F81,DATE(Dashboard!$C$4,11,1))-MAX($E81,DATE(Dashboard!$C$4,10,1))))</f>
        <v/>
      </c>
      <c r="AC81">
        <f>IF(OR($E81="",$F81=""),0,MAX(0,MIN($F81,DATE(Dashboard!$C$4,12,1))-MAX($E81,DATE(Dashboard!$C$4,11,1))))</f>
        <v/>
      </c>
      <c r="AD81">
        <f>IF(OR($E81="",$F81=""),0,MAX(0,MIN($F81,DATE(Dashboard!$C$4,13,1))-MAX($E81,DATE(Dashboard!$C$4,12,1))))</f>
        <v/>
      </c>
      <c r="AE81">
        <f>SUM(S81:AD81)</f>
        <v/>
      </c>
      <c r="AF81">
        <f>Q81*AE81</f>
        <v/>
      </c>
      <c r="AG81">
        <f>R81*AE81</f>
        <v/>
      </c>
      <c r="AH81">
        <f>SUMPRODUCT(S81:AD81,--(COLUMN(S81:AD81)-COLUMN(S81)+1&lt;=Dashboard!$N$1))</f>
        <v/>
      </c>
      <c r="AI81">
        <f>IF(OR(E81="",E81&lt;TODAY()),"",E81+ROW()/100000)</f>
        <v/>
      </c>
      <c r="AJ81">
        <f>IF(OR(F81="",F81&lt;TODAY()),"",F81+ROW()/100000)</f>
        <v/>
      </c>
    </row>
    <row r="82">
      <c r="A82" s="1" t="n"/>
      <c r="B82" s="35" t="n"/>
      <c r="C82" s="35" t="n"/>
      <c r="D82" s="35" t="n"/>
      <c r="E82" s="36" t="n"/>
      <c r="F82" s="36" t="n"/>
      <c r="G82" s="18">
        <f>IF(OR(E82="",F82=""),"",F82-E82)</f>
        <v/>
      </c>
      <c r="H82" s="37" t="n"/>
      <c r="I82" s="38" t="n"/>
      <c r="J82" s="38" t="n"/>
      <c r="K82" s="38" t="n"/>
      <c r="L82" s="31">
        <f>IF(E82="","",N(I82)+N(J82)-N(K82))</f>
        <v/>
      </c>
      <c r="M82" s="39" t="n"/>
      <c r="N82" s="27">
        <f>IF(E82="","",IF(TODAY()&lt;E82,"Upcoming",IF(TODAY()&lt;F82,"Staying now",IF(M82="Yes","Checked out","Payout not received"))))</f>
        <v/>
      </c>
      <c r="O82" s="35" t="n"/>
      <c r="P82" s="1" t="n"/>
      <c r="Q82">
        <f>IF(N(G82)&gt;0,L82/G82,0)</f>
        <v/>
      </c>
      <c r="R82">
        <f>IF(N(G82)&gt;0,N(I82)/G82,0)</f>
        <v/>
      </c>
      <c r="S82">
        <f>IF(OR($E82="",$F82=""),0,MAX(0,MIN($F82,DATE(Dashboard!$C$4,2,1))-MAX($E82,DATE(Dashboard!$C$4,1,1))))</f>
        <v/>
      </c>
      <c r="T82">
        <f>IF(OR($E82="",$F82=""),0,MAX(0,MIN($F82,DATE(Dashboard!$C$4,3,1))-MAX($E82,DATE(Dashboard!$C$4,2,1))))</f>
        <v/>
      </c>
      <c r="U82">
        <f>IF(OR($E82="",$F82=""),0,MAX(0,MIN($F82,DATE(Dashboard!$C$4,4,1))-MAX($E82,DATE(Dashboard!$C$4,3,1))))</f>
        <v/>
      </c>
      <c r="V82">
        <f>IF(OR($E82="",$F82=""),0,MAX(0,MIN($F82,DATE(Dashboard!$C$4,5,1))-MAX($E82,DATE(Dashboard!$C$4,4,1))))</f>
        <v/>
      </c>
      <c r="W82">
        <f>IF(OR($E82="",$F82=""),0,MAX(0,MIN($F82,DATE(Dashboard!$C$4,6,1))-MAX($E82,DATE(Dashboard!$C$4,5,1))))</f>
        <v/>
      </c>
      <c r="X82">
        <f>IF(OR($E82="",$F82=""),0,MAX(0,MIN($F82,DATE(Dashboard!$C$4,7,1))-MAX($E82,DATE(Dashboard!$C$4,6,1))))</f>
        <v/>
      </c>
      <c r="Y82">
        <f>IF(OR($E82="",$F82=""),0,MAX(0,MIN($F82,DATE(Dashboard!$C$4,8,1))-MAX($E82,DATE(Dashboard!$C$4,7,1))))</f>
        <v/>
      </c>
      <c r="Z82">
        <f>IF(OR($E82="",$F82=""),0,MAX(0,MIN($F82,DATE(Dashboard!$C$4,9,1))-MAX($E82,DATE(Dashboard!$C$4,8,1))))</f>
        <v/>
      </c>
      <c r="AA82">
        <f>IF(OR($E82="",$F82=""),0,MAX(0,MIN($F82,DATE(Dashboard!$C$4,10,1))-MAX($E82,DATE(Dashboard!$C$4,9,1))))</f>
        <v/>
      </c>
      <c r="AB82">
        <f>IF(OR($E82="",$F82=""),0,MAX(0,MIN($F82,DATE(Dashboard!$C$4,11,1))-MAX($E82,DATE(Dashboard!$C$4,10,1))))</f>
        <v/>
      </c>
      <c r="AC82">
        <f>IF(OR($E82="",$F82=""),0,MAX(0,MIN($F82,DATE(Dashboard!$C$4,12,1))-MAX($E82,DATE(Dashboard!$C$4,11,1))))</f>
        <v/>
      </c>
      <c r="AD82">
        <f>IF(OR($E82="",$F82=""),0,MAX(0,MIN($F82,DATE(Dashboard!$C$4,13,1))-MAX($E82,DATE(Dashboard!$C$4,12,1))))</f>
        <v/>
      </c>
      <c r="AE82">
        <f>SUM(S82:AD82)</f>
        <v/>
      </c>
      <c r="AF82">
        <f>Q82*AE82</f>
        <v/>
      </c>
      <c r="AG82">
        <f>R82*AE82</f>
        <v/>
      </c>
      <c r="AH82">
        <f>SUMPRODUCT(S82:AD82,--(COLUMN(S82:AD82)-COLUMN(S82)+1&lt;=Dashboard!$N$1))</f>
        <v/>
      </c>
      <c r="AI82">
        <f>IF(OR(E82="",E82&lt;TODAY()),"",E82+ROW()/100000)</f>
        <v/>
      </c>
      <c r="AJ82">
        <f>IF(OR(F82="",F82&lt;TODAY()),"",F82+ROW()/100000)</f>
        <v/>
      </c>
    </row>
    <row r="83">
      <c r="A83" s="1" t="n"/>
      <c r="B83" s="35" t="n"/>
      <c r="C83" s="35" t="n"/>
      <c r="D83" s="35" t="n"/>
      <c r="E83" s="36" t="n"/>
      <c r="F83" s="36" t="n"/>
      <c r="G83" s="18">
        <f>IF(OR(E83="",F83=""),"",F83-E83)</f>
        <v/>
      </c>
      <c r="H83" s="37" t="n"/>
      <c r="I83" s="38" t="n"/>
      <c r="J83" s="38" t="n"/>
      <c r="K83" s="38" t="n"/>
      <c r="L83" s="31">
        <f>IF(E83="","",N(I83)+N(J83)-N(K83))</f>
        <v/>
      </c>
      <c r="M83" s="39" t="n"/>
      <c r="N83" s="27">
        <f>IF(E83="","",IF(TODAY()&lt;E83,"Upcoming",IF(TODAY()&lt;F83,"Staying now",IF(M83="Yes","Checked out","Payout not received"))))</f>
        <v/>
      </c>
      <c r="O83" s="35" t="n"/>
      <c r="P83" s="1" t="n"/>
      <c r="Q83">
        <f>IF(N(G83)&gt;0,L83/G83,0)</f>
        <v/>
      </c>
      <c r="R83">
        <f>IF(N(G83)&gt;0,N(I83)/G83,0)</f>
        <v/>
      </c>
      <c r="S83">
        <f>IF(OR($E83="",$F83=""),0,MAX(0,MIN($F83,DATE(Dashboard!$C$4,2,1))-MAX($E83,DATE(Dashboard!$C$4,1,1))))</f>
        <v/>
      </c>
      <c r="T83">
        <f>IF(OR($E83="",$F83=""),0,MAX(0,MIN($F83,DATE(Dashboard!$C$4,3,1))-MAX($E83,DATE(Dashboard!$C$4,2,1))))</f>
        <v/>
      </c>
      <c r="U83">
        <f>IF(OR($E83="",$F83=""),0,MAX(0,MIN($F83,DATE(Dashboard!$C$4,4,1))-MAX($E83,DATE(Dashboard!$C$4,3,1))))</f>
        <v/>
      </c>
      <c r="V83">
        <f>IF(OR($E83="",$F83=""),0,MAX(0,MIN($F83,DATE(Dashboard!$C$4,5,1))-MAX($E83,DATE(Dashboard!$C$4,4,1))))</f>
        <v/>
      </c>
      <c r="W83">
        <f>IF(OR($E83="",$F83=""),0,MAX(0,MIN($F83,DATE(Dashboard!$C$4,6,1))-MAX($E83,DATE(Dashboard!$C$4,5,1))))</f>
        <v/>
      </c>
      <c r="X83">
        <f>IF(OR($E83="",$F83=""),0,MAX(0,MIN($F83,DATE(Dashboard!$C$4,7,1))-MAX($E83,DATE(Dashboard!$C$4,6,1))))</f>
        <v/>
      </c>
      <c r="Y83">
        <f>IF(OR($E83="",$F83=""),0,MAX(0,MIN($F83,DATE(Dashboard!$C$4,8,1))-MAX($E83,DATE(Dashboard!$C$4,7,1))))</f>
        <v/>
      </c>
      <c r="Z83">
        <f>IF(OR($E83="",$F83=""),0,MAX(0,MIN($F83,DATE(Dashboard!$C$4,9,1))-MAX($E83,DATE(Dashboard!$C$4,8,1))))</f>
        <v/>
      </c>
      <c r="AA83">
        <f>IF(OR($E83="",$F83=""),0,MAX(0,MIN($F83,DATE(Dashboard!$C$4,10,1))-MAX($E83,DATE(Dashboard!$C$4,9,1))))</f>
        <v/>
      </c>
      <c r="AB83">
        <f>IF(OR($E83="",$F83=""),0,MAX(0,MIN($F83,DATE(Dashboard!$C$4,11,1))-MAX($E83,DATE(Dashboard!$C$4,10,1))))</f>
        <v/>
      </c>
      <c r="AC83">
        <f>IF(OR($E83="",$F83=""),0,MAX(0,MIN($F83,DATE(Dashboard!$C$4,12,1))-MAX($E83,DATE(Dashboard!$C$4,11,1))))</f>
        <v/>
      </c>
      <c r="AD83">
        <f>IF(OR($E83="",$F83=""),0,MAX(0,MIN($F83,DATE(Dashboard!$C$4,13,1))-MAX($E83,DATE(Dashboard!$C$4,12,1))))</f>
        <v/>
      </c>
      <c r="AE83">
        <f>SUM(S83:AD83)</f>
        <v/>
      </c>
      <c r="AF83">
        <f>Q83*AE83</f>
        <v/>
      </c>
      <c r="AG83">
        <f>R83*AE83</f>
        <v/>
      </c>
      <c r="AH83">
        <f>SUMPRODUCT(S83:AD83,--(COLUMN(S83:AD83)-COLUMN(S83)+1&lt;=Dashboard!$N$1))</f>
        <v/>
      </c>
      <c r="AI83">
        <f>IF(OR(E83="",E83&lt;TODAY()),"",E83+ROW()/100000)</f>
        <v/>
      </c>
      <c r="AJ83">
        <f>IF(OR(F83="",F83&lt;TODAY()),"",F83+ROW()/100000)</f>
        <v/>
      </c>
    </row>
    <row r="84">
      <c r="A84" s="1" t="n"/>
      <c r="B84" s="35" t="n"/>
      <c r="C84" s="35" t="n"/>
      <c r="D84" s="35" t="n"/>
      <c r="E84" s="36" t="n"/>
      <c r="F84" s="36" t="n"/>
      <c r="G84" s="18">
        <f>IF(OR(E84="",F84=""),"",F84-E84)</f>
        <v/>
      </c>
      <c r="H84" s="37" t="n"/>
      <c r="I84" s="38" t="n"/>
      <c r="J84" s="38" t="n"/>
      <c r="K84" s="38" t="n"/>
      <c r="L84" s="31">
        <f>IF(E84="","",N(I84)+N(J84)-N(K84))</f>
        <v/>
      </c>
      <c r="M84" s="39" t="n"/>
      <c r="N84" s="27">
        <f>IF(E84="","",IF(TODAY()&lt;E84,"Upcoming",IF(TODAY()&lt;F84,"Staying now",IF(M84="Yes","Checked out","Payout not received"))))</f>
        <v/>
      </c>
      <c r="O84" s="35" t="n"/>
      <c r="P84" s="1" t="n"/>
      <c r="Q84">
        <f>IF(N(G84)&gt;0,L84/G84,0)</f>
        <v/>
      </c>
      <c r="R84">
        <f>IF(N(G84)&gt;0,N(I84)/G84,0)</f>
        <v/>
      </c>
      <c r="S84">
        <f>IF(OR($E84="",$F84=""),0,MAX(0,MIN($F84,DATE(Dashboard!$C$4,2,1))-MAX($E84,DATE(Dashboard!$C$4,1,1))))</f>
        <v/>
      </c>
      <c r="T84">
        <f>IF(OR($E84="",$F84=""),0,MAX(0,MIN($F84,DATE(Dashboard!$C$4,3,1))-MAX($E84,DATE(Dashboard!$C$4,2,1))))</f>
        <v/>
      </c>
      <c r="U84">
        <f>IF(OR($E84="",$F84=""),0,MAX(0,MIN($F84,DATE(Dashboard!$C$4,4,1))-MAX($E84,DATE(Dashboard!$C$4,3,1))))</f>
        <v/>
      </c>
      <c r="V84">
        <f>IF(OR($E84="",$F84=""),0,MAX(0,MIN($F84,DATE(Dashboard!$C$4,5,1))-MAX($E84,DATE(Dashboard!$C$4,4,1))))</f>
        <v/>
      </c>
      <c r="W84">
        <f>IF(OR($E84="",$F84=""),0,MAX(0,MIN($F84,DATE(Dashboard!$C$4,6,1))-MAX($E84,DATE(Dashboard!$C$4,5,1))))</f>
        <v/>
      </c>
      <c r="X84">
        <f>IF(OR($E84="",$F84=""),0,MAX(0,MIN($F84,DATE(Dashboard!$C$4,7,1))-MAX($E84,DATE(Dashboard!$C$4,6,1))))</f>
        <v/>
      </c>
      <c r="Y84">
        <f>IF(OR($E84="",$F84=""),0,MAX(0,MIN($F84,DATE(Dashboard!$C$4,8,1))-MAX($E84,DATE(Dashboard!$C$4,7,1))))</f>
        <v/>
      </c>
      <c r="Z84">
        <f>IF(OR($E84="",$F84=""),0,MAX(0,MIN($F84,DATE(Dashboard!$C$4,9,1))-MAX($E84,DATE(Dashboard!$C$4,8,1))))</f>
        <v/>
      </c>
      <c r="AA84">
        <f>IF(OR($E84="",$F84=""),0,MAX(0,MIN($F84,DATE(Dashboard!$C$4,10,1))-MAX($E84,DATE(Dashboard!$C$4,9,1))))</f>
        <v/>
      </c>
      <c r="AB84">
        <f>IF(OR($E84="",$F84=""),0,MAX(0,MIN($F84,DATE(Dashboard!$C$4,11,1))-MAX($E84,DATE(Dashboard!$C$4,10,1))))</f>
        <v/>
      </c>
      <c r="AC84">
        <f>IF(OR($E84="",$F84=""),0,MAX(0,MIN($F84,DATE(Dashboard!$C$4,12,1))-MAX($E84,DATE(Dashboard!$C$4,11,1))))</f>
        <v/>
      </c>
      <c r="AD84">
        <f>IF(OR($E84="",$F84=""),0,MAX(0,MIN($F84,DATE(Dashboard!$C$4,13,1))-MAX($E84,DATE(Dashboard!$C$4,12,1))))</f>
        <v/>
      </c>
      <c r="AE84">
        <f>SUM(S84:AD84)</f>
        <v/>
      </c>
      <c r="AF84">
        <f>Q84*AE84</f>
        <v/>
      </c>
      <c r="AG84">
        <f>R84*AE84</f>
        <v/>
      </c>
      <c r="AH84">
        <f>SUMPRODUCT(S84:AD84,--(COLUMN(S84:AD84)-COLUMN(S84)+1&lt;=Dashboard!$N$1))</f>
        <v/>
      </c>
      <c r="AI84">
        <f>IF(OR(E84="",E84&lt;TODAY()),"",E84+ROW()/100000)</f>
        <v/>
      </c>
      <c r="AJ84">
        <f>IF(OR(F84="",F84&lt;TODAY()),"",F84+ROW()/100000)</f>
        <v/>
      </c>
    </row>
    <row r="85">
      <c r="A85" s="1" t="n"/>
      <c r="B85" s="35" t="n"/>
      <c r="C85" s="35" t="n"/>
      <c r="D85" s="35" t="n"/>
      <c r="E85" s="36" t="n"/>
      <c r="F85" s="36" t="n"/>
      <c r="G85" s="18">
        <f>IF(OR(E85="",F85=""),"",F85-E85)</f>
        <v/>
      </c>
      <c r="H85" s="37" t="n"/>
      <c r="I85" s="38" t="n"/>
      <c r="J85" s="38" t="n"/>
      <c r="K85" s="38" t="n"/>
      <c r="L85" s="31">
        <f>IF(E85="","",N(I85)+N(J85)-N(K85))</f>
        <v/>
      </c>
      <c r="M85" s="39" t="n"/>
      <c r="N85" s="27">
        <f>IF(E85="","",IF(TODAY()&lt;E85,"Upcoming",IF(TODAY()&lt;F85,"Staying now",IF(M85="Yes","Checked out","Payout not received"))))</f>
        <v/>
      </c>
      <c r="O85" s="35" t="n"/>
      <c r="P85" s="1" t="n"/>
      <c r="Q85">
        <f>IF(N(G85)&gt;0,L85/G85,0)</f>
        <v/>
      </c>
      <c r="R85">
        <f>IF(N(G85)&gt;0,N(I85)/G85,0)</f>
        <v/>
      </c>
      <c r="S85">
        <f>IF(OR($E85="",$F85=""),0,MAX(0,MIN($F85,DATE(Dashboard!$C$4,2,1))-MAX($E85,DATE(Dashboard!$C$4,1,1))))</f>
        <v/>
      </c>
      <c r="T85">
        <f>IF(OR($E85="",$F85=""),0,MAX(0,MIN($F85,DATE(Dashboard!$C$4,3,1))-MAX($E85,DATE(Dashboard!$C$4,2,1))))</f>
        <v/>
      </c>
      <c r="U85">
        <f>IF(OR($E85="",$F85=""),0,MAX(0,MIN($F85,DATE(Dashboard!$C$4,4,1))-MAX($E85,DATE(Dashboard!$C$4,3,1))))</f>
        <v/>
      </c>
      <c r="V85">
        <f>IF(OR($E85="",$F85=""),0,MAX(0,MIN($F85,DATE(Dashboard!$C$4,5,1))-MAX($E85,DATE(Dashboard!$C$4,4,1))))</f>
        <v/>
      </c>
      <c r="W85">
        <f>IF(OR($E85="",$F85=""),0,MAX(0,MIN($F85,DATE(Dashboard!$C$4,6,1))-MAX($E85,DATE(Dashboard!$C$4,5,1))))</f>
        <v/>
      </c>
      <c r="X85">
        <f>IF(OR($E85="",$F85=""),0,MAX(0,MIN($F85,DATE(Dashboard!$C$4,7,1))-MAX($E85,DATE(Dashboard!$C$4,6,1))))</f>
        <v/>
      </c>
      <c r="Y85">
        <f>IF(OR($E85="",$F85=""),0,MAX(0,MIN($F85,DATE(Dashboard!$C$4,8,1))-MAX($E85,DATE(Dashboard!$C$4,7,1))))</f>
        <v/>
      </c>
      <c r="Z85">
        <f>IF(OR($E85="",$F85=""),0,MAX(0,MIN($F85,DATE(Dashboard!$C$4,9,1))-MAX($E85,DATE(Dashboard!$C$4,8,1))))</f>
        <v/>
      </c>
      <c r="AA85">
        <f>IF(OR($E85="",$F85=""),0,MAX(0,MIN($F85,DATE(Dashboard!$C$4,10,1))-MAX($E85,DATE(Dashboard!$C$4,9,1))))</f>
        <v/>
      </c>
      <c r="AB85">
        <f>IF(OR($E85="",$F85=""),0,MAX(0,MIN($F85,DATE(Dashboard!$C$4,11,1))-MAX($E85,DATE(Dashboard!$C$4,10,1))))</f>
        <v/>
      </c>
      <c r="AC85">
        <f>IF(OR($E85="",$F85=""),0,MAX(0,MIN($F85,DATE(Dashboard!$C$4,12,1))-MAX($E85,DATE(Dashboard!$C$4,11,1))))</f>
        <v/>
      </c>
      <c r="AD85">
        <f>IF(OR($E85="",$F85=""),0,MAX(0,MIN($F85,DATE(Dashboard!$C$4,13,1))-MAX($E85,DATE(Dashboard!$C$4,12,1))))</f>
        <v/>
      </c>
      <c r="AE85">
        <f>SUM(S85:AD85)</f>
        <v/>
      </c>
      <c r="AF85">
        <f>Q85*AE85</f>
        <v/>
      </c>
      <c r="AG85">
        <f>R85*AE85</f>
        <v/>
      </c>
      <c r="AH85">
        <f>SUMPRODUCT(S85:AD85,--(COLUMN(S85:AD85)-COLUMN(S85)+1&lt;=Dashboard!$N$1))</f>
        <v/>
      </c>
      <c r="AI85">
        <f>IF(OR(E85="",E85&lt;TODAY()),"",E85+ROW()/100000)</f>
        <v/>
      </c>
      <c r="AJ85">
        <f>IF(OR(F85="",F85&lt;TODAY()),"",F85+ROW()/100000)</f>
        <v/>
      </c>
    </row>
    <row r="86">
      <c r="A86" s="1" t="n"/>
      <c r="B86" s="35" t="n"/>
      <c r="C86" s="35" t="n"/>
      <c r="D86" s="35" t="n"/>
      <c r="E86" s="36" t="n"/>
      <c r="F86" s="36" t="n"/>
      <c r="G86" s="18">
        <f>IF(OR(E86="",F86=""),"",F86-E86)</f>
        <v/>
      </c>
      <c r="H86" s="37" t="n"/>
      <c r="I86" s="38" t="n"/>
      <c r="J86" s="38" t="n"/>
      <c r="K86" s="38" t="n"/>
      <c r="L86" s="31">
        <f>IF(E86="","",N(I86)+N(J86)-N(K86))</f>
        <v/>
      </c>
      <c r="M86" s="39" t="n"/>
      <c r="N86" s="27">
        <f>IF(E86="","",IF(TODAY()&lt;E86,"Upcoming",IF(TODAY()&lt;F86,"Staying now",IF(M86="Yes","Checked out","Payout not received"))))</f>
        <v/>
      </c>
      <c r="O86" s="35" t="n"/>
      <c r="P86" s="1" t="n"/>
      <c r="Q86">
        <f>IF(N(G86)&gt;0,L86/G86,0)</f>
        <v/>
      </c>
      <c r="R86">
        <f>IF(N(G86)&gt;0,N(I86)/G86,0)</f>
        <v/>
      </c>
      <c r="S86">
        <f>IF(OR($E86="",$F86=""),0,MAX(0,MIN($F86,DATE(Dashboard!$C$4,2,1))-MAX($E86,DATE(Dashboard!$C$4,1,1))))</f>
        <v/>
      </c>
      <c r="T86">
        <f>IF(OR($E86="",$F86=""),0,MAX(0,MIN($F86,DATE(Dashboard!$C$4,3,1))-MAX($E86,DATE(Dashboard!$C$4,2,1))))</f>
        <v/>
      </c>
      <c r="U86">
        <f>IF(OR($E86="",$F86=""),0,MAX(0,MIN($F86,DATE(Dashboard!$C$4,4,1))-MAX($E86,DATE(Dashboard!$C$4,3,1))))</f>
        <v/>
      </c>
      <c r="V86">
        <f>IF(OR($E86="",$F86=""),0,MAX(0,MIN($F86,DATE(Dashboard!$C$4,5,1))-MAX($E86,DATE(Dashboard!$C$4,4,1))))</f>
        <v/>
      </c>
      <c r="W86">
        <f>IF(OR($E86="",$F86=""),0,MAX(0,MIN($F86,DATE(Dashboard!$C$4,6,1))-MAX($E86,DATE(Dashboard!$C$4,5,1))))</f>
        <v/>
      </c>
      <c r="X86">
        <f>IF(OR($E86="",$F86=""),0,MAX(0,MIN($F86,DATE(Dashboard!$C$4,7,1))-MAX($E86,DATE(Dashboard!$C$4,6,1))))</f>
        <v/>
      </c>
      <c r="Y86">
        <f>IF(OR($E86="",$F86=""),0,MAX(0,MIN($F86,DATE(Dashboard!$C$4,8,1))-MAX($E86,DATE(Dashboard!$C$4,7,1))))</f>
        <v/>
      </c>
      <c r="Z86">
        <f>IF(OR($E86="",$F86=""),0,MAX(0,MIN($F86,DATE(Dashboard!$C$4,9,1))-MAX($E86,DATE(Dashboard!$C$4,8,1))))</f>
        <v/>
      </c>
      <c r="AA86">
        <f>IF(OR($E86="",$F86=""),0,MAX(0,MIN($F86,DATE(Dashboard!$C$4,10,1))-MAX($E86,DATE(Dashboard!$C$4,9,1))))</f>
        <v/>
      </c>
      <c r="AB86">
        <f>IF(OR($E86="",$F86=""),0,MAX(0,MIN($F86,DATE(Dashboard!$C$4,11,1))-MAX($E86,DATE(Dashboard!$C$4,10,1))))</f>
        <v/>
      </c>
      <c r="AC86">
        <f>IF(OR($E86="",$F86=""),0,MAX(0,MIN($F86,DATE(Dashboard!$C$4,12,1))-MAX($E86,DATE(Dashboard!$C$4,11,1))))</f>
        <v/>
      </c>
      <c r="AD86">
        <f>IF(OR($E86="",$F86=""),0,MAX(0,MIN($F86,DATE(Dashboard!$C$4,13,1))-MAX($E86,DATE(Dashboard!$C$4,12,1))))</f>
        <v/>
      </c>
      <c r="AE86">
        <f>SUM(S86:AD86)</f>
        <v/>
      </c>
      <c r="AF86">
        <f>Q86*AE86</f>
        <v/>
      </c>
      <c r="AG86">
        <f>R86*AE86</f>
        <v/>
      </c>
      <c r="AH86">
        <f>SUMPRODUCT(S86:AD86,--(COLUMN(S86:AD86)-COLUMN(S86)+1&lt;=Dashboard!$N$1))</f>
        <v/>
      </c>
      <c r="AI86">
        <f>IF(OR(E86="",E86&lt;TODAY()),"",E86+ROW()/100000)</f>
        <v/>
      </c>
      <c r="AJ86">
        <f>IF(OR(F86="",F86&lt;TODAY()),"",F86+ROW()/100000)</f>
        <v/>
      </c>
    </row>
    <row r="87">
      <c r="A87" s="1" t="n"/>
      <c r="B87" s="35" t="n"/>
      <c r="C87" s="35" t="n"/>
      <c r="D87" s="35" t="n"/>
      <c r="E87" s="36" t="n"/>
      <c r="F87" s="36" t="n"/>
      <c r="G87" s="18">
        <f>IF(OR(E87="",F87=""),"",F87-E87)</f>
        <v/>
      </c>
      <c r="H87" s="37" t="n"/>
      <c r="I87" s="38" t="n"/>
      <c r="J87" s="38" t="n"/>
      <c r="K87" s="38" t="n"/>
      <c r="L87" s="31">
        <f>IF(E87="","",N(I87)+N(J87)-N(K87))</f>
        <v/>
      </c>
      <c r="M87" s="39" t="n"/>
      <c r="N87" s="27">
        <f>IF(E87="","",IF(TODAY()&lt;E87,"Upcoming",IF(TODAY()&lt;F87,"Staying now",IF(M87="Yes","Checked out","Payout not received"))))</f>
        <v/>
      </c>
      <c r="O87" s="35" t="n"/>
      <c r="P87" s="1" t="n"/>
      <c r="Q87">
        <f>IF(N(G87)&gt;0,L87/G87,0)</f>
        <v/>
      </c>
      <c r="R87">
        <f>IF(N(G87)&gt;0,N(I87)/G87,0)</f>
        <v/>
      </c>
      <c r="S87">
        <f>IF(OR($E87="",$F87=""),0,MAX(0,MIN($F87,DATE(Dashboard!$C$4,2,1))-MAX($E87,DATE(Dashboard!$C$4,1,1))))</f>
        <v/>
      </c>
      <c r="T87">
        <f>IF(OR($E87="",$F87=""),0,MAX(0,MIN($F87,DATE(Dashboard!$C$4,3,1))-MAX($E87,DATE(Dashboard!$C$4,2,1))))</f>
        <v/>
      </c>
      <c r="U87">
        <f>IF(OR($E87="",$F87=""),0,MAX(0,MIN($F87,DATE(Dashboard!$C$4,4,1))-MAX($E87,DATE(Dashboard!$C$4,3,1))))</f>
        <v/>
      </c>
      <c r="V87">
        <f>IF(OR($E87="",$F87=""),0,MAX(0,MIN($F87,DATE(Dashboard!$C$4,5,1))-MAX($E87,DATE(Dashboard!$C$4,4,1))))</f>
        <v/>
      </c>
      <c r="W87">
        <f>IF(OR($E87="",$F87=""),0,MAX(0,MIN($F87,DATE(Dashboard!$C$4,6,1))-MAX($E87,DATE(Dashboard!$C$4,5,1))))</f>
        <v/>
      </c>
      <c r="X87">
        <f>IF(OR($E87="",$F87=""),0,MAX(0,MIN($F87,DATE(Dashboard!$C$4,7,1))-MAX($E87,DATE(Dashboard!$C$4,6,1))))</f>
        <v/>
      </c>
      <c r="Y87">
        <f>IF(OR($E87="",$F87=""),0,MAX(0,MIN($F87,DATE(Dashboard!$C$4,8,1))-MAX($E87,DATE(Dashboard!$C$4,7,1))))</f>
        <v/>
      </c>
      <c r="Z87">
        <f>IF(OR($E87="",$F87=""),0,MAX(0,MIN($F87,DATE(Dashboard!$C$4,9,1))-MAX($E87,DATE(Dashboard!$C$4,8,1))))</f>
        <v/>
      </c>
      <c r="AA87">
        <f>IF(OR($E87="",$F87=""),0,MAX(0,MIN($F87,DATE(Dashboard!$C$4,10,1))-MAX($E87,DATE(Dashboard!$C$4,9,1))))</f>
        <v/>
      </c>
      <c r="AB87">
        <f>IF(OR($E87="",$F87=""),0,MAX(0,MIN($F87,DATE(Dashboard!$C$4,11,1))-MAX($E87,DATE(Dashboard!$C$4,10,1))))</f>
        <v/>
      </c>
      <c r="AC87">
        <f>IF(OR($E87="",$F87=""),0,MAX(0,MIN($F87,DATE(Dashboard!$C$4,12,1))-MAX($E87,DATE(Dashboard!$C$4,11,1))))</f>
        <v/>
      </c>
      <c r="AD87">
        <f>IF(OR($E87="",$F87=""),0,MAX(0,MIN($F87,DATE(Dashboard!$C$4,13,1))-MAX($E87,DATE(Dashboard!$C$4,12,1))))</f>
        <v/>
      </c>
      <c r="AE87">
        <f>SUM(S87:AD87)</f>
        <v/>
      </c>
      <c r="AF87">
        <f>Q87*AE87</f>
        <v/>
      </c>
      <c r="AG87">
        <f>R87*AE87</f>
        <v/>
      </c>
      <c r="AH87">
        <f>SUMPRODUCT(S87:AD87,--(COLUMN(S87:AD87)-COLUMN(S87)+1&lt;=Dashboard!$N$1))</f>
        <v/>
      </c>
      <c r="AI87">
        <f>IF(OR(E87="",E87&lt;TODAY()),"",E87+ROW()/100000)</f>
        <v/>
      </c>
      <c r="AJ87">
        <f>IF(OR(F87="",F87&lt;TODAY()),"",F87+ROW()/100000)</f>
        <v/>
      </c>
    </row>
    <row r="88">
      <c r="A88" s="1" t="n"/>
      <c r="B88" s="35" t="n"/>
      <c r="C88" s="35" t="n"/>
      <c r="D88" s="35" t="n"/>
      <c r="E88" s="36" t="n"/>
      <c r="F88" s="36" t="n"/>
      <c r="G88" s="18">
        <f>IF(OR(E88="",F88=""),"",F88-E88)</f>
        <v/>
      </c>
      <c r="H88" s="37" t="n"/>
      <c r="I88" s="38" t="n"/>
      <c r="J88" s="38" t="n"/>
      <c r="K88" s="38" t="n"/>
      <c r="L88" s="31">
        <f>IF(E88="","",N(I88)+N(J88)-N(K88))</f>
        <v/>
      </c>
      <c r="M88" s="39" t="n"/>
      <c r="N88" s="27">
        <f>IF(E88="","",IF(TODAY()&lt;E88,"Upcoming",IF(TODAY()&lt;F88,"Staying now",IF(M88="Yes","Checked out","Payout not received"))))</f>
        <v/>
      </c>
      <c r="O88" s="35" t="n"/>
      <c r="P88" s="1" t="n"/>
      <c r="Q88">
        <f>IF(N(G88)&gt;0,L88/G88,0)</f>
        <v/>
      </c>
      <c r="R88">
        <f>IF(N(G88)&gt;0,N(I88)/G88,0)</f>
        <v/>
      </c>
      <c r="S88">
        <f>IF(OR($E88="",$F88=""),0,MAX(0,MIN($F88,DATE(Dashboard!$C$4,2,1))-MAX($E88,DATE(Dashboard!$C$4,1,1))))</f>
        <v/>
      </c>
      <c r="T88">
        <f>IF(OR($E88="",$F88=""),0,MAX(0,MIN($F88,DATE(Dashboard!$C$4,3,1))-MAX($E88,DATE(Dashboard!$C$4,2,1))))</f>
        <v/>
      </c>
      <c r="U88">
        <f>IF(OR($E88="",$F88=""),0,MAX(0,MIN($F88,DATE(Dashboard!$C$4,4,1))-MAX($E88,DATE(Dashboard!$C$4,3,1))))</f>
        <v/>
      </c>
      <c r="V88">
        <f>IF(OR($E88="",$F88=""),0,MAX(0,MIN($F88,DATE(Dashboard!$C$4,5,1))-MAX($E88,DATE(Dashboard!$C$4,4,1))))</f>
        <v/>
      </c>
      <c r="W88">
        <f>IF(OR($E88="",$F88=""),0,MAX(0,MIN($F88,DATE(Dashboard!$C$4,6,1))-MAX($E88,DATE(Dashboard!$C$4,5,1))))</f>
        <v/>
      </c>
      <c r="X88">
        <f>IF(OR($E88="",$F88=""),0,MAX(0,MIN($F88,DATE(Dashboard!$C$4,7,1))-MAX($E88,DATE(Dashboard!$C$4,6,1))))</f>
        <v/>
      </c>
      <c r="Y88">
        <f>IF(OR($E88="",$F88=""),0,MAX(0,MIN($F88,DATE(Dashboard!$C$4,8,1))-MAX($E88,DATE(Dashboard!$C$4,7,1))))</f>
        <v/>
      </c>
      <c r="Z88">
        <f>IF(OR($E88="",$F88=""),0,MAX(0,MIN($F88,DATE(Dashboard!$C$4,9,1))-MAX($E88,DATE(Dashboard!$C$4,8,1))))</f>
        <v/>
      </c>
      <c r="AA88">
        <f>IF(OR($E88="",$F88=""),0,MAX(0,MIN($F88,DATE(Dashboard!$C$4,10,1))-MAX($E88,DATE(Dashboard!$C$4,9,1))))</f>
        <v/>
      </c>
      <c r="AB88">
        <f>IF(OR($E88="",$F88=""),0,MAX(0,MIN($F88,DATE(Dashboard!$C$4,11,1))-MAX($E88,DATE(Dashboard!$C$4,10,1))))</f>
        <v/>
      </c>
      <c r="AC88">
        <f>IF(OR($E88="",$F88=""),0,MAX(0,MIN($F88,DATE(Dashboard!$C$4,12,1))-MAX($E88,DATE(Dashboard!$C$4,11,1))))</f>
        <v/>
      </c>
      <c r="AD88">
        <f>IF(OR($E88="",$F88=""),0,MAX(0,MIN($F88,DATE(Dashboard!$C$4,13,1))-MAX($E88,DATE(Dashboard!$C$4,12,1))))</f>
        <v/>
      </c>
      <c r="AE88">
        <f>SUM(S88:AD88)</f>
        <v/>
      </c>
      <c r="AF88">
        <f>Q88*AE88</f>
        <v/>
      </c>
      <c r="AG88">
        <f>R88*AE88</f>
        <v/>
      </c>
      <c r="AH88">
        <f>SUMPRODUCT(S88:AD88,--(COLUMN(S88:AD88)-COLUMN(S88)+1&lt;=Dashboard!$N$1))</f>
        <v/>
      </c>
      <c r="AI88">
        <f>IF(OR(E88="",E88&lt;TODAY()),"",E88+ROW()/100000)</f>
        <v/>
      </c>
      <c r="AJ88">
        <f>IF(OR(F88="",F88&lt;TODAY()),"",F88+ROW()/100000)</f>
        <v/>
      </c>
    </row>
    <row r="89">
      <c r="A89" s="1" t="n"/>
      <c r="B89" s="35" t="n"/>
      <c r="C89" s="35" t="n"/>
      <c r="D89" s="35" t="n"/>
      <c r="E89" s="36" t="n"/>
      <c r="F89" s="36" t="n"/>
      <c r="G89" s="18">
        <f>IF(OR(E89="",F89=""),"",F89-E89)</f>
        <v/>
      </c>
      <c r="H89" s="37" t="n"/>
      <c r="I89" s="38" t="n"/>
      <c r="J89" s="38" t="n"/>
      <c r="K89" s="38" t="n"/>
      <c r="L89" s="31">
        <f>IF(E89="","",N(I89)+N(J89)-N(K89))</f>
        <v/>
      </c>
      <c r="M89" s="39" t="n"/>
      <c r="N89" s="27">
        <f>IF(E89="","",IF(TODAY()&lt;E89,"Upcoming",IF(TODAY()&lt;F89,"Staying now",IF(M89="Yes","Checked out","Payout not received"))))</f>
        <v/>
      </c>
      <c r="O89" s="35" t="n"/>
      <c r="P89" s="1" t="n"/>
      <c r="Q89">
        <f>IF(N(G89)&gt;0,L89/G89,0)</f>
        <v/>
      </c>
      <c r="R89">
        <f>IF(N(G89)&gt;0,N(I89)/G89,0)</f>
        <v/>
      </c>
      <c r="S89">
        <f>IF(OR($E89="",$F89=""),0,MAX(0,MIN($F89,DATE(Dashboard!$C$4,2,1))-MAX($E89,DATE(Dashboard!$C$4,1,1))))</f>
        <v/>
      </c>
      <c r="T89">
        <f>IF(OR($E89="",$F89=""),0,MAX(0,MIN($F89,DATE(Dashboard!$C$4,3,1))-MAX($E89,DATE(Dashboard!$C$4,2,1))))</f>
        <v/>
      </c>
      <c r="U89">
        <f>IF(OR($E89="",$F89=""),0,MAX(0,MIN($F89,DATE(Dashboard!$C$4,4,1))-MAX($E89,DATE(Dashboard!$C$4,3,1))))</f>
        <v/>
      </c>
      <c r="V89">
        <f>IF(OR($E89="",$F89=""),0,MAX(0,MIN($F89,DATE(Dashboard!$C$4,5,1))-MAX($E89,DATE(Dashboard!$C$4,4,1))))</f>
        <v/>
      </c>
      <c r="W89">
        <f>IF(OR($E89="",$F89=""),0,MAX(0,MIN($F89,DATE(Dashboard!$C$4,6,1))-MAX($E89,DATE(Dashboard!$C$4,5,1))))</f>
        <v/>
      </c>
      <c r="X89">
        <f>IF(OR($E89="",$F89=""),0,MAX(0,MIN($F89,DATE(Dashboard!$C$4,7,1))-MAX($E89,DATE(Dashboard!$C$4,6,1))))</f>
        <v/>
      </c>
      <c r="Y89">
        <f>IF(OR($E89="",$F89=""),0,MAX(0,MIN($F89,DATE(Dashboard!$C$4,8,1))-MAX($E89,DATE(Dashboard!$C$4,7,1))))</f>
        <v/>
      </c>
      <c r="Z89">
        <f>IF(OR($E89="",$F89=""),0,MAX(0,MIN($F89,DATE(Dashboard!$C$4,9,1))-MAX($E89,DATE(Dashboard!$C$4,8,1))))</f>
        <v/>
      </c>
      <c r="AA89">
        <f>IF(OR($E89="",$F89=""),0,MAX(0,MIN($F89,DATE(Dashboard!$C$4,10,1))-MAX($E89,DATE(Dashboard!$C$4,9,1))))</f>
        <v/>
      </c>
      <c r="AB89">
        <f>IF(OR($E89="",$F89=""),0,MAX(0,MIN($F89,DATE(Dashboard!$C$4,11,1))-MAX($E89,DATE(Dashboard!$C$4,10,1))))</f>
        <v/>
      </c>
      <c r="AC89">
        <f>IF(OR($E89="",$F89=""),0,MAX(0,MIN($F89,DATE(Dashboard!$C$4,12,1))-MAX($E89,DATE(Dashboard!$C$4,11,1))))</f>
        <v/>
      </c>
      <c r="AD89">
        <f>IF(OR($E89="",$F89=""),0,MAX(0,MIN($F89,DATE(Dashboard!$C$4,13,1))-MAX($E89,DATE(Dashboard!$C$4,12,1))))</f>
        <v/>
      </c>
      <c r="AE89">
        <f>SUM(S89:AD89)</f>
        <v/>
      </c>
      <c r="AF89">
        <f>Q89*AE89</f>
        <v/>
      </c>
      <c r="AG89">
        <f>R89*AE89</f>
        <v/>
      </c>
      <c r="AH89">
        <f>SUMPRODUCT(S89:AD89,--(COLUMN(S89:AD89)-COLUMN(S89)+1&lt;=Dashboard!$N$1))</f>
        <v/>
      </c>
      <c r="AI89">
        <f>IF(OR(E89="",E89&lt;TODAY()),"",E89+ROW()/100000)</f>
        <v/>
      </c>
      <c r="AJ89">
        <f>IF(OR(F89="",F89&lt;TODAY()),"",F89+ROW()/100000)</f>
        <v/>
      </c>
    </row>
    <row r="90">
      <c r="A90" s="1" t="n"/>
      <c r="B90" s="35" t="n"/>
      <c r="C90" s="35" t="n"/>
      <c r="D90" s="35" t="n"/>
      <c r="E90" s="36" t="n"/>
      <c r="F90" s="36" t="n"/>
      <c r="G90" s="18">
        <f>IF(OR(E90="",F90=""),"",F90-E90)</f>
        <v/>
      </c>
      <c r="H90" s="37" t="n"/>
      <c r="I90" s="38" t="n"/>
      <c r="J90" s="38" t="n"/>
      <c r="K90" s="38" t="n"/>
      <c r="L90" s="31">
        <f>IF(E90="","",N(I90)+N(J90)-N(K90))</f>
        <v/>
      </c>
      <c r="M90" s="39" t="n"/>
      <c r="N90" s="27">
        <f>IF(E90="","",IF(TODAY()&lt;E90,"Upcoming",IF(TODAY()&lt;F90,"Staying now",IF(M90="Yes","Checked out","Payout not received"))))</f>
        <v/>
      </c>
      <c r="O90" s="35" t="n"/>
      <c r="P90" s="1" t="n"/>
      <c r="Q90">
        <f>IF(N(G90)&gt;0,L90/G90,0)</f>
        <v/>
      </c>
      <c r="R90">
        <f>IF(N(G90)&gt;0,N(I90)/G90,0)</f>
        <v/>
      </c>
      <c r="S90">
        <f>IF(OR($E90="",$F90=""),0,MAX(0,MIN($F90,DATE(Dashboard!$C$4,2,1))-MAX($E90,DATE(Dashboard!$C$4,1,1))))</f>
        <v/>
      </c>
      <c r="T90">
        <f>IF(OR($E90="",$F90=""),0,MAX(0,MIN($F90,DATE(Dashboard!$C$4,3,1))-MAX($E90,DATE(Dashboard!$C$4,2,1))))</f>
        <v/>
      </c>
      <c r="U90">
        <f>IF(OR($E90="",$F90=""),0,MAX(0,MIN($F90,DATE(Dashboard!$C$4,4,1))-MAX($E90,DATE(Dashboard!$C$4,3,1))))</f>
        <v/>
      </c>
      <c r="V90">
        <f>IF(OR($E90="",$F90=""),0,MAX(0,MIN($F90,DATE(Dashboard!$C$4,5,1))-MAX($E90,DATE(Dashboard!$C$4,4,1))))</f>
        <v/>
      </c>
      <c r="W90">
        <f>IF(OR($E90="",$F90=""),0,MAX(0,MIN($F90,DATE(Dashboard!$C$4,6,1))-MAX($E90,DATE(Dashboard!$C$4,5,1))))</f>
        <v/>
      </c>
      <c r="X90">
        <f>IF(OR($E90="",$F90=""),0,MAX(0,MIN($F90,DATE(Dashboard!$C$4,7,1))-MAX($E90,DATE(Dashboard!$C$4,6,1))))</f>
        <v/>
      </c>
      <c r="Y90">
        <f>IF(OR($E90="",$F90=""),0,MAX(0,MIN($F90,DATE(Dashboard!$C$4,8,1))-MAX($E90,DATE(Dashboard!$C$4,7,1))))</f>
        <v/>
      </c>
      <c r="Z90">
        <f>IF(OR($E90="",$F90=""),0,MAX(0,MIN($F90,DATE(Dashboard!$C$4,9,1))-MAX($E90,DATE(Dashboard!$C$4,8,1))))</f>
        <v/>
      </c>
      <c r="AA90">
        <f>IF(OR($E90="",$F90=""),0,MAX(0,MIN($F90,DATE(Dashboard!$C$4,10,1))-MAX($E90,DATE(Dashboard!$C$4,9,1))))</f>
        <v/>
      </c>
      <c r="AB90">
        <f>IF(OR($E90="",$F90=""),0,MAX(0,MIN($F90,DATE(Dashboard!$C$4,11,1))-MAX($E90,DATE(Dashboard!$C$4,10,1))))</f>
        <v/>
      </c>
      <c r="AC90">
        <f>IF(OR($E90="",$F90=""),0,MAX(0,MIN($F90,DATE(Dashboard!$C$4,12,1))-MAX($E90,DATE(Dashboard!$C$4,11,1))))</f>
        <v/>
      </c>
      <c r="AD90">
        <f>IF(OR($E90="",$F90=""),0,MAX(0,MIN($F90,DATE(Dashboard!$C$4,13,1))-MAX($E90,DATE(Dashboard!$C$4,12,1))))</f>
        <v/>
      </c>
      <c r="AE90">
        <f>SUM(S90:AD90)</f>
        <v/>
      </c>
      <c r="AF90">
        <f>Q90*AE90</f>
        <v/>
      </c>
      <c r="AG90">
        <f>R90*AE90</f>
        <v/>
      </c>
      <c r="AH90">
        <f>SUMPRODUCT(S90:AD90,--(COLUMN(S90:AD90)-COLUMN(S90)+1&lt;=Dashboard!$N$1))</f>
        <v/>
      </c>
      <c r="AI90">
        <f>IF(OR(E90="",E90&lt;TODAY()),"",E90+ROW()/100000)</f>
        <v/>
      </c>
      <c r="AJ90">
        <f>IF(OR(F90="",F90&lt;TODAY()),"",F90+ROW()/100000)</f>
        <v/>
      </c>
    </row>
    <row r="91">
      <c r="A91" s="1" t="n"/>
      <c r="B91" s="35" t="n"/>
      <c r="C91" s="35" t="n"/>
      <c r="D91" s="35" t="n"/>
      <c r="E91" s="36" t="n"/>
      <c r="F91" s="36" t="n"/>
      <c r="G91" s="18">
        <f>IF(OR(E91="",F91=""),"",F91-E91)</f>
        <v/>
      </c>
      <c r="H91" s="37" t="n"/>
      <c r="I91" s="38" t="n"/>
      <c r="J91" s="38" t="n"/>
      <c r="K91" s="38" t="n"/>
      <c r="L91" s="31">
        <f>IF(E91="","",N(I91)+N(J91)-N(K91))</f>
        <v/>
      </c>
      <c r="M91" s="39" t="n"/>
      <c r="N91" s="27">
        <f>IF(E91="","",IF(TODAY()&lt;E91,"Upcoming",IF(TODAY()&lt;F91,"Staying now",IF(M91="Yes","Checked out","Payout not received"))))</f>
        <v/>
      </c>
      <c r="O91" s="35" t="n"/>
      <c r="P91" s="1" t="n"/>
      <c r="Q91">
        <f>IF(N(G91)&gt;0,L91/G91,0)</f>
        <v/>
      </c>
      <c r="R91">
        <f>IF(N(G91)&gt;0,N(I91)/G91,0)</f>
        <v/>
      </c>
      <c r="S91">
        <f>IF(OR($E91="",$F91=""),0,MAX(0,MIN($F91,DATE(Dashboard!$C$4,2,1))-MAX($E91,DATE(Dashboard!$C$4,1,1))))</f>
        <v/>
      </c>
      <c r="T91">
        <f>IF(OR($E91="",$F91=""),0,MAX(0,MIN($F91,DATE(Dashboard!$C$4,3,1))-MAX($E91,DATE(Dashboard!$C$4,2,1))))</f>
        <v/>
      </c>
      <c r="U91">
        <f>IF(OR($E91="",$F91=""),0,MAX(0,MIN($F91,DATE(Dashboard!$C$4,4,1))-MAX($E91,DATE(Dashboard!$C$4,3,1))))</f>
        <v/>
      </c>
      <c r="V91">
        <f>IF(OR($E91="",$F91=""),0,MAX(0,MIN($F91,DATE(Dashboard!$C$4,5,1))-MAX($E91,DATE(Dashboard!$C$4,4,1))))</f>
        <v/>
      </c>
      <c r="W91">
        <f>IF(OR($E91="",$F91=""),0,MAX(0,MIN($F91,DATE(Dashboard!$C$4,6,1))-MAX($E91,DATE(Dashboard!$C$4,5,1))))</f>
        <v/>
      </c>
      <c r="X91">
        <f>IF(OR($E91="",$F91=""),0,MAX(0,MIN($F91,DATE(Dashboard!$C$4,7,1))-MAX($E91,DATE(Dashboard!$C$4,6,1))))</f>
        <v/>
      </c>
      <c r="Y91">
        <f>IF(OR($E91="",$F91=""),0,MAX(0,MIN($F91,DATE(Dashboard!$C$4,8,1))-MAX($E91,DATE(Dashboard!$C$4,7,1))))</f>
        <v/>
      </c>
      <c r="Z91">
        <f>IF(OR($E91="",$F91=""),0,MAX(0,MIN($F91,DATE(Dashboard!$C$4,9,1))-MAX($E91,DATE(Dashboard!$C$4,8,1))))</f>
        <v/>
      </c>
      <c r="AA91">
        <f>IF(OR($E91="",$F91=""),0,MAX(0,MIN($F91,DATE(Dashboard!$C$4,10,1))-MAX($E91,DATE(Dashboard!$C$4,9,1))))</f>
        <v/>
      </c>
      <c r="AB91">
        <f>IF(OR($E91="",$F91=""),0,MAX(0,MIN($F91,DATE(Dashboard!$C$4,11,1))-MAX($E91,DATE(Dashboard!$C$4,10,1))))</f>
        <v/>
      </c>
      <c r="AC91">
        <f>IF(OR($E91="",$F91=""),0,MAX(0,MIN($F91,DATE(Dashboard!$C$4,12,1))-MAX($E91,DATE(Dashboard!$C$4,11,1))))</f>
        <v/>
      </c>
      <c r="AD91">
        <f>IF(OR($E91="",$F91=""),0,MAX(0,MIN($F91,DATE(Dashboard!$C$4,13,1))-MAX($E91,DATE(Dashboard!$C$4,12,1))))</f>
        <v/>
      </c>
      <c r="AE91">
        <f>SUM(S91:AD91)</f>
        <v/>
      </c>
      <c r="AF91">
        <f>Q91*AE91</f>
        <v/>
      </c>
      <c r="AG91">
        <f>R91*AE91</f>
        <v/>
      </c>
      <c r="AH91">
        <f>SUMPRODUCT(S91:AD91,--(COLUMN(S91:AD91)-COLUMN(S91)+1&lt;=Dashboard!$N$1))</f>
        <v/>
      </c>
      <c r="AI91">
        <f>IF(OR(E91="",E91&lt;TODAY()),"",E91+ROW()/100000)</f>
        <v/>
      </c>
      <c r="AJ91">
        <f>IF(OR(F91="",F91&lt;TODAY()),"",F91+ROW()/100000)</f>
        <v/>
      </c>
    </row>
    <row r="92">
      <c r="A92" s="1" t="n"/>
      <c r="B92" s="35" t="n"/>
      <c r="C92" s="35" t="n"/>
      <c r="D92" s="35" t="n"/>
      <c r="E92" s="36" t="n"/>
      <c r="F92" s="36" t="n"/>
      <c r="G92" s="18">
        <f>IF(OR(E92="",F92=""),"",F92-E92)</f>
        <v/>
      </c>
      <c r="H92" s="37" t="n"/>
      <c r="I92" s="38" t="n"/>
      <c r="J92" s="38" t="n"/>
      <c r="K92" s="38" t="n"/>
      <c r="L92" s="31">
        <f>IF(E92="","",N(I92)+N(J92)-N(K92))</f>
        <v/>
      </c>
      <c r="M92" s="39" t="n"/>
      <c r="N92" s="27">
        <f>IF(E92="","",IF(TODAY()&lt;E92,"Upcoming",IF(TODAY()&lt;F92,"Staying now",IF(M92="Yes","Checked out","Payout not received"))))</f>
        <v/>
      </c>
      <c r="O92" s="35" t="n"/>
      <c r="P92" s="1" t="n"/>
      <c r="Q92">
        <f>IF(N(G92)&gt;0,L92/G92,0)</f>
        <v/>
      </c>
      <c r="R92">
        <f>IF(N(G92)&gt;0,N(I92)/G92,0)</f>
        <v/>
      </c>
      <c r="S92">
        <f>IF(OR($E92="",$F92=""),0,MAX(0,MIN($F92,DATE(Dashboard!$C$4,2,1))-MAX($E92,DATE(Dashboard!$C$4,1,1))))</f>
        <v/>
      </c>
      <c r="T92">
        <f>IF(OR($E92="",$F92=""),0,MAX(0,MIN($F92,DATE(Dashboard!$C$4,3,1))-MAX($E92,DATE(Dashboard!$C$4,2,1))))</f>
        <v/>
      </c>
      <c r="U92">
        <f>IF(OR($E92="",$F92=""),0,MAX(0,MIN($F92,DATE(Dashboard!$C$4,4,1))-MAX($E92,DATE(Dashboard!$C$4,3,1))))</f>
        <v/>
      </c>
      <c r="V92">
        <f>IF(OR($E92="",$F92=""),0,MAX(0,MIN($F92,DATE(Dashboard!$C$4,5,1))-MAX($E92,DATE(Dashboard!$C$4,4,1))))</f>
        <v/>
      </c>
      <c r="W92">
        <f>IF(OR($E92="",$F92=""),0,MAX(0,MIN($F92,DATE(Dashboard!$C$4,6,1))-MAX($E92,DATE(Dashboard!$C$4,5,1))))</f>
        <v/>
      </c>
      <c r="X92">
        <f>IF(OR($E92="",$F92=""),0,MAX(0,MIN($F92,DATE(Dashboard!$C$4,7,1))-MAX($E92,DATE(Dashboard!$C$4,6,1))))</f>
        <v/>
      </c>
      <c r="Y92">
        <f>IF(OR($E92="",$F92=""),0,MAX(0,MIN($F92,DATE(Dashboard!$C$4,8,1))-MAX($E92,DATE(Dashboard!$C$4,7,1))))</f>
        <v/>
      </c>
      <c r="Z92">
        <f>IF(OR($E92="",$F92=""),0,MAX(0,MIN($F92,DATE(Dashboard!$C$4,9,1))-MAX($E92,DATE(Dashboard!$C$4,8,1))))</f>
        <v/>
      </c>
      <c r="AA92">
        <f>IF(OR($E92="",$F92=""),0,MAX(0,MIN($F92,DATE(Dashboard!$C$4,10,1))-MAX($E92,DATE(Dashboard!$C$4,9,1))))</f>
        <v/>
      </c>
      <c r="AB92">
        <f>IF(OR($E92="",$F92=""),0,MAX(0,MIN($F92,DATE(Dashboard!$C$4,11,1))-MAX($E92,DATE(Dashboard!$C$4,10,1))))</f>
        <v/>
      </c>
      <c r="AC92">
        <f>IF(OR($E92="",$F92=""),0,MAX(0,MIN($F92,DATE(Dashboard!$C$4,12,1))-MAX($E92,DATE(Dashboard!$C$4,11,1))))</f>
        <v/>
      </c>
      <c r="AD92">
        <f>IF(OR($E92="",$F92=""),0,MAX(0,MIN($F92,DATE(Dashboard!$C$4,13,1))-MAX($E92,DATE(Dashboard!$C$4,12,1))))</f>
        <v/>
      </c>
      <c r="AE92">
        <f>SUM(S92:AD92)</f>
        <v/>
      </c>
      <c r="AF92">
        <f>Q92*AE92</f>
        <v/>
      </c>
      <c r="AG92">
        <f>R92*AE92</f>
        <v/>
      </c>
      <c r="AH92">
        <f>SUMPRODUCT(S92:AD92,--(COLUMN(S92:AD92)-COLUMN(S92)+1&lt;=Dashboard!$N$1))</f>
        <v/>
      </c>
      <c r="AI92">
        <f>IF(OR(E92="",E92&lt;TODAY()),"",E92+ROW()/100000)</f>
        <v/>
      </c>
      <c r="AJ92">
        <f>IF(OR(F92="",F92&lt;TODAY()),"",F92+ROW()/100000)</f>
        <v/>
      </c>
    </row>
    <row r="93">
      <c r="A93" s="1" t="n"/>
      <c r="B93" s="35" t="n"/>
      <c r="C93" s="35" t="n"/>
      <c r="D93" s="35" t="n"/>
      <c r="E93" s="36" t="n"/>
      <c r="F93" s="36" t="n"/>
      <c r="G93" s="18">
        <f>IF(OR(E93="",F93=""),"",F93-E93)</f>
        <v/>
      </c>
      <c r="H93" s="37" t="n"/>
      <c r="I93" s="38" t="n"/>
      <c r="J93" s="38" t="n"/>
      <c r="K93" s="38" t="n"/>
      <c r="L93" s="31">
        <f>IF(E93="","",N(I93)+N(J93)-N(K93))</f>
        <v/>
      </c>
      <c r="M93" s="39" t="n"/>
      <c r="N93" s="27">
        <f>IF(E93="","",IF(TODAY()&lt;E93,"Upcoming",IF(TODAY()&lt;F93,"Staying now",IF(M93="Yes","Checked out","Payout not received"))))</f>
        <v/>
      </c>
      <c r="O93" s="35" t="n"/>
      <c r="P93" s="1" t="n"/>
      <c r="Q93">
        <f>IF(N(G93)&gt;0,L93/G93,0)</f>
        <v/>
      </c>
      <c r="R93">
        <f>IF(N(G93)&gt;0,N(I93)/G93,0)</f>
        <v/>
      </c>
      <c r="S93">
        <f>IF(OR($E93="",$F93=""),0,MAX(0,MIN($F93,DATE(Dashboard!$C$4,2,1))-MAX($E93,DATE(Dashboard!$C$4,1,1))))</f>
        <v/>
      </c>
      <c r="T93">
        <f>IF(OR($E93="",$F93=""),0,MAX(0,MIN($F93,DATE(Dashboard!$C$4,3,1))-MAX($E93,DATE(Dashboard!$C$4,2,1))))</f>
        <v/>
      </c>
      <c r="U93">
        <f>IF(OR($E93="",$F93=""),0,MAX(0,MIN($F93,DATE(Dashboard!$C$4,4,1))-MAX($E93,DATE(Dashboard!$C$4,3,1))))</f>
        <v/>
      </c>
      <c r="V93">
        <f>IF(OR($E93="",$F93=""),0,MAX(0,MIN($F93,DATE(Dashboard!$C$4,5,1))-MAX($E93,DATE(Dashboard!$C$4,4,1))))</f>
        <v/>
      </c>
      <c r="W93">
        <f>IF(OR($E93="",$F93=""),0,MAX(0,MIN($F93,DATE(Dashboard!$C$4,6,1))-MAX($E93,DATE(Dashboard!$C$4,5,1))))</f>
        <v/>
      </c>
      <c r="X93">
        <f>IF(OR($E93="",$F93=""),0,MAX(0,MIN($F93,DATE(Dashboard!$C$4,7,1))-MAX($E93,DATE(Dashboard!$C$4,6,1))))</f>
        <v/>
      </c>
      <c r="Y93">
        <f>IF(OR($E93="",$F93=""),0,MAX(0,MIN($F93,DATE(Dashboard!$C$4,8,1))-MAX($E93,DATE(Dashboard!$C$4,7,1))))</f>
        <v/>
      </c>
      <c r="Z93">
        <f>IF(OR($E93="",$F93=""),0,MAX(0,MIN($F93,DATE(Dashboard!$C$4,9,1))-MAX($E93,DATE(Dashboard!$C$4,8,1))))</f>
        <v/>
      </c>
      <c r="AA93">
        <f>IF(OR($E93="",$F93=""),0,MAX(0,MIN($F93,DATE(Dashboard!$C$4,10,1))-MAX($E93,DATE(Dashboard!$C$4,9,1))))</f>
        <v/>
      </c>
      <c r="AB93">
        <f>IF(OR($E93="",$F93=""),0,MAX(0,MIN($F93,DATE(Dashboard!$C$4,11,1))-MAX($E93,DATE(Dashboard!$C$4,10,1))))</f>
        <v/>
      </c>
      <c r="AC93">
        <f>IF(OR($E93="",$F93=""),0,MAX(0,MIN($F93,DATE(Dashboard!$C$4,12,1))-MAX($E93,DATE(Dashboard!$C$4,11,1))))</f>
        <v/>
      </c>
      <c r="AD93">
        <f>IF(OR($E93="",$F93=""),0,MAX(0,MIN($F93,DATE(Dashboard!$C$4,13,1))-MAX($E93,DATE(Dashboard!$C$4,12,1))))</f>
        <v/>
      </c>
      <c r="AE93">
        <f>SUM(S93:AD93)</f>
        <v/>
      </c>
      <c r="AF93">
        <f>Q93*AE93</f>
        <v/>
      </c>
      <c r="AG93">
        <f>R93*AE93</f>
        <v/>
      </c>
      <c r="AH93">
        <f>SUMPRODUCT(S93:AD93,--(COLUMN(S93:AD93)-COLUMN(S93)+1&lt;=Dashboard!$N$1))</f>
        <v/>
      </c>
      <c r="AI93">
        <f>IF(OR(E93="",E93&lt;TODAY()),"",E93+ROW()/100000)</f>
        <v/>
      </c>
      <c r="AJ93">
        <f>IF(OR(F93="",F93&lt;TODAY()),"",F93+ROW()/100000)</f>
        <v/>
      </c>
    </row>
    <row r="94">
      <c r="A94" s="1" t="n"/>
      <c r="B94" s="35" t="n"/>
      <c r="C94" s="35" t="n"/>
      <c r="D94" s="35" t="n"/>
      <c r="E94" s="36" t="n"/>
      <c r="F94" s="36" t="n"/>
      <c r="G94" s="18">
        <f>IF(OR(E94="",F94=""),"",F94-E94)</f>
        <v/>
      </c>
      <c r="H94" s="37" t="n"/>
      <c r="I94" s="38" t="n"/>
      <c r="J94" s="38" t="n"/>
      <c r="K94" s="38" t="n"/>
      <c r="L94" s="31">
        <f>IF(E94="","",N(I94)+N(J94)-N(K94))</f>
        <v/>
      </c>
      <c r="M94" s="39" t="n"/>
      <c r="N94" s="27">
        <f>IF(E94="","",IF(TODAY()&lt;E94,"Upcoming",IF(TODAY()&lt;F94,"Staying now",IF(M94="Yes","Checked out","Payout not received"))))</f>
        <v/>
      </c>
      <c r="O94" s="35" t="n"/>
      <c r="P94" s="1" t="n"/>
      <c r="Q94">
        <f>IF(N(G94)&gt;0,L94/G94,0)</f>
        <v/>
      </c>
      <c r="R94">
        <f>IF(N(G94)&gt;0,N(I94)/G94,0)</f>
        <v/>
      </c>
      <c r="S94">
        <f>IF(OR($E94="",$F94=""),0,MAX(0,MIN($F94,DATE(Dashboard!$C$4,2,1))-MAX($E94,DATE(Dashboard!$C$4,1,1))))</f>
        <v/>
      </c>
      <c r="T94">
        <f>IF(OR($E94="",$F94=""),0,MAX(0,MIN($F94,DATE(Dashboard!$C$4,3,1))-MAX($E94,DATE(Dashboard!$C$4,2,1))))</f>
        <v/>
      </c>
      <c r="U94">
        <f>IF(OR($E94="",$F94=""),0,MAX(0,MIN($F94,DATE(Dashboard!$C$4,4,1))-MAX($E94,DATE(Dashboard!$C$4,3,1))))</f>
        <v/>
      </c>
      <c r="V94">
        <f>IF(OR($E94="",$F94=""),0,MAX(0,MIN($F94,DATE(Dashboard!$C$4,5,1))-MAX($E94,DATE(Dashboard!$C$4,4,1))))</f>
        <v/>
      </c>
      <c r="W94">
        <f>IF(OR($E94="",$F94=""),0,MAX(0,MIN($F94,DATE(Dashboard!$C$4,6,1))-MAX($E94,DATE(Dashboard!$C$4,5,1))))</f>
        <v/>
      </c>
      <c r="X94">
        <f>IF(OR($E94="",$F94=""),0,MAX(0,MIN($F94,DATE(Dashboard!$C$4,7,1))-MAX($E94,DATE(Dashboard!$C$4,6,1))))</f>
        <v/>
      </c>
      <c r="Y94">
        <f>IF(OR($E94="",$F94=""),0,MAX(0,MIN($F94,DATE(Dashboard!$C$4,8,1))-MAX($E94,DATE(Dashboard!$C$4,7,1))))</f>
        <v/>
      </c>
      <c r="Z94">
        <f>IF(OR($E94="",$F94=""),0,MAX(0,MIN($F94,DATE(Dashboard!$C$4,9,1))-MAX($E94,DATE(Dashboard!$C$4,8,1))))</f>
        <v/>
      </c>
      <c r="AA94">
        <f>IF(OR($E94="",$F94=""),0,MAX(0,MIN($F94,DATE(Dashboard!$C$4,10,1))-MAX($E94,DATE(Dashboard!$C$4,9,1))))</f>
        <v/>
      </c>
      <c r="AB94">
        <f>IF(OR($E94="",$F94=""),0,MAX(0,MIN($F94,DATE(Dashboard!$C$4,11,1))-MAX($E94,DATE(Dashboard!$C$4,10,1))))</f>
        <v/>
      </c>
      <c r="AC94">
        <f>IF(OR($E94="",$F94=""),0,MAX(0,MIN($F94,DATE(Dashboard!$C$4,12,1))-MAX($E94,DATE(Dashboard!$C$4,11,1))))</f>
        <v/>
      </c>
      <c r="AD94">
        <f>IF(OR($E94="",$F94=""),0,MAX(0,MIN($F94,DATE(Dashboard!$C$4,13,1))-MAX($E94,DATE(Dashboard!$C$4,12,1))))</f>
        <v/>
      </c>
      <c r="AE94">
        <f>SUM(S94:AD94)</f>
        <v/>
      </c>
      <c r="AF94">
        <f>Q94*AE94</f>
        <v/>
      </c>
      <c r="AG94">
        <f>R94*AE94</f>
        <v/>
      </c>
      <c r="AH94">
        <f>SUMPRODUCT(S94:AD94,--(COLUMN(S94:AD94)-COLUMN(S94)+1&lt;=Dashboard!$N$1))</f>
        <v/>
      </c>
      <c r="AI94">
        <f>IF(OR(E94="",E94&lt;TODAY()),"",E94+ROW()/100000)</f>
        <v/>
      </c>
      <c r="AJ94">
        <f>IF(OR(F94="",F94&lt;TODAY()),"",F94+ROW()/100000)</f>
        <v/>
      </c>
    </row>
    <row r="95">
      <c r="A95" s="1" t="n"/>
      <c r="B95" s="35" t="n"/>
      <c r="C95" s="35" t="n"/>
      <c r="D95" s="35" t="n"/>
      <c r="E95" s="36" t="n"/>
      <c r="F95" s="36" t="n"/>
      <c r="G95" s="18">
        <f>IF(OR(E95="",F95=""),"",F95-E95)</f>
        <v/>
      </c>
      <c r="H95" s="37" t="n"/>
      <c r="I95" s="38" t="n"/>
      <c r="J95" s="38" t="n"/>
      <c r="K95" s="38" t="n"/>
      <c r="L95" s="31">
        <f>IF(E95="","",N(I95)+N(J95)-N(K95))</f>
        <v/>
      </c>
      <c r="M95" s="39" t="n"/>
      <c r="N95" s="27">
        <f>IF(E95="","",IF(TODAY()&lt;E95,"Upcoming",IF(TODAY()&lt;F95,"Staying now",IF(M95="Yes","Checked out","Payout not received"))))</f>
        <v/>
      </c>
      <c r="O95" s="35" t="n"/>
      <c r="P95" s="1" t="n"/>
      <c r="Q95">
        <f>IF(N(G95)&gt;0,L95/G95,0)</f>
        <v/>
      </c>
      <c r="R95">
        <f>IF(N(G95)&gt;0,N(I95)/G95,0)</f>
        <v/>
      </c>
      <c r="S95">
        <f>IF(OR($E95="",$F95=""),0,MAX(0,MIN($F95,DATE(Dashboard!$C$4,2,1))-MAX($E95,DATE(Dashboard!$C$4,1,1))))</f>
        <v/>
      </c>
      <c r="T95">
        <f>IF(OR($E95="",$F95=""),0,MAX(0,MIN($F95,DATE(Dashboard!$C$4,3,1))-MAX($E95,DATE(Dashboard!$C$4,2,1))))</f>
        <v/>
      </c>
      <c r="U95">
        <f>IF(OR($E95="",$F95=""),0,MAX(0,MIN($F95,DATE(Dashboard!$C$4,4,1))-MAX($E95,DATE(Dashboard!$C$4,3,1))))</f>
        <v/>
      </c>
      <c r="V95">
        <f>IF(OR($E95="",$F95=""),0,MAX(0,MIN($F95,DATE(Dashboard!$C$4,5,1))-MAX($E95,DATE(Dashboard!$C$4,4,1))))</f>
        <v/>
      </c>
      <c r="W95">
        <f>IF(OR($E95="",$F95=""),0,MAX(0,MIN($F95,DATE(Dashboard!$C$4,6,1))-MAX($E95,DATE(Dashboard!$C$4,5,1))))</f>
        <v/>
      </c>
      <c r="X95">
        <f>IF(OR($E95="",$F95=""),0,MAX(0,MIN($F95,DATE(Dashboard!$C$4,7,1))-MAX($E95,DATE(Dashboard!$C$4,6,1))))</f>
        <v/>
      </c>
      <c r="Y95">
        <f>IF(OR($E95="",$F95=""),0,MAX(0,MIN($F95,DATE(Dashboard!$C$4,8,1))-MAX($E95,DATE(Dashboard!$C$4,7,1))))</f>
        <v/>
      </c>
      <c r="Z95">
        <f>IF(OR($E95="",$F95=""),0,MAX(0,MIN($F95,DATE(Dashboard!$C$4,9,1))-MAX($E95,DATE(Dashboard!$C$4,8,1))))</f>
        <v/>
      </c>
      <c r="AA95">
        <f>IF(OR($E95="",$F95=""),0,MAX(0,MIN($F95,DATE(Dashboard!$C$4,10,1))-MAX($E95,DATE(Dashboard!$C$4,9,1))))</f>
        <v/>
      </c>
      <c r="AB95">
        <f>IF(OR($E95="",$F95=""),0,MAX(0,MIN($F95,DATE(Dashboard!$C$4,11,1))-MAX($E95,DATE(Dashboard!$C$4,10,1))))</f>
        <v/>
      </c>
      <c r="AC95">
        <f>IF(OR($E95="",$F95=""),0,MAX(0,MIN($F95,DATE(Dashboard!$C$4,12,1))-MAX($E95,DATE(Dashboard!$C$4,11,1))))</f>
        <v/>
      </c>
      <c r="AD95">
        <f>IF(OR($E95="",$F95=""),0,MAX(0,MIN($F95,DATE(Dashboard!$C$4,13,1))-MAX($E95,DATE(Dashboard!$C$4,12,1))))</f>
        <v/>
      </c>
      <c r="AE95">
        <f>SUM(S95:AD95)</f>
        <v/>
      </c>
      <c r="AF95">
        <f>Q95*AE95</f>
        <v/>
      </c>
      <c r="AG95">
        <f>R95*AE95</f>
        <v/>
      </c>
      <c r="AH95">
        <f>SUMPRODUCT(S95:AD95,--(COLUMN(S95:AD95)-COLUMN(S95)+1&lt;=Dashboard!$N$1))</f>
        <v/>
      </c>
      <c r="AI95">
        <f>IF(OR(E95="",E95&lt;TODAY()),"",E95+ROW()/100000)</f>
        <v/>
      </c>
      <c r="AJ95">
        <f>IF(OR(F95="",F95&lt;TODAY()),"",F95+ROW()/100000)</f>
        <v/>
      </c>
    </row>
    <row r="96">
      <c r="A96" s="1" t="n"/>
      <c r="B96" s="35" t="n"/>
      <c r="C96" s="35" t="n"/>
      <c r="D96" s="35" t="n"/>
      <c r="E96" s="36" t="n"/>
      <c r="F96" s="36" t="n"/>
      <c r="G96" s="18">
        <f>IF(OR(E96="",F96=""),"",F96-E96)</f>
        <v/>
      </c>
      <c r="H96" s="37" t="n"/>
      <c r="I96" s="38" t="n"/>
      <c r="J96" s="38" t="n"/>
      <c r="K96" s="38" t="n"/>
      <c r="L96" s="31">
        <f>IF(E96="","",N(I96)+N(J96)-N(K96))</f>
        <v/>
      </c>
      <c r="M96" s="39" t="n"/>
      <c r="N96" s="27">
        <f>IF(E96="","",IF(TODAY()&lt;E96,"Upcoming",IF(TODAY()&lt;F96,"Staying now",IF(M96="Yes","Checked out","Payout not received"))))</f>
        <v/>
      </c>
      <c r="O96" s="35" t="n"/>
      <c r="P96" s="1" t="n"/>
      <c r="Q96">
        <f>IF(N(G96)&gt;0,L96/G96,0)</f>
        <v/>
      </c>
      <c r="R96">
        <f>IF(N(G96)&gt;0,N(I96)/G96,0)</f>
        <v/>
      </c>
      <c r="S96">
        <f>IF(OR($E96="",$F96=""),0,MAX(0,MIN($F96,DATE(Dashboard!$C$4,2,1))-MAX($E96,DATE(Dashboard!$C$4,1,1))))</f>
        <v/>
      </c>
      <c r="T96">
        <f>IF(OR($E96="",$F96=""),0,MAX(0,MIN($F96,DATE(Dashboard!$C$4,3,1))-MAX($E96,DATE(Dashboard!$C$4,2,1))))</f>
        <v/>
      </c>
      <c r="U96">
        <f>IF(OR($E96="",$F96=""),0,MAX(0,MIN($F96,DATE(Dashboard!$C$4,4,1))-MAX($E96,DATE(Dashboard!$C$4,3,1))))</f>
        <v/>
      </c>
      <c r="V96">
        <f>IF(OR($E96="",$F96=""),0,MAX(0,MIN($F96,DATE(Dashboard!$C$4,5,1))-MAX($E96,DATE(Dashboard!$C$4,4,1))))</f>
        <v/>
      </c>
      <c r="W96">
        <f>IF(OR($E96="",$F96=""),0,MAX(0,MIN($F96,DATE(Dashboard!$C$4,6,1))-MAX($E96,DATE(Dashboard!$C$4,5,1))))</f>
        <v/>
      </c>
      <c r="X96">
        <f>IF(OR($E96="",$F96=""),0,MAX(0,MIN($F96,DATE(Dashboard!$C$4,7,1))-MAX($E96,DATE(Dashboard!$C$4,6,1))))</f>
        <v/>
      </c>
      <c r="Y96">
        <f>IF(OR($E96="",$F96=""),0,MAX(0,MIN($F96,DATE(Dashboard!$C$4,8,1))-MAX($E96,DATE(Dashboard!$C$4,7,1))))</f>
        <v/>
      </c>
      <c r="Z96">
        <f>IF(OR($E96="",$F96=""),0,MAX(0,MIN($F96,DATE(Dashboard!$C$4,9,1))-MAX($E96,DATE(Dashboard!$C$4,8,1))))</f>
        <v/>
      </c>
      <c r="AA96">
        <f>IF(OR($E96="",$F96=""),0,MAX(0,MIN($F96,DATE(Dashboard!$C$4,10,1))-MAX($E96,DATE(Dashboard!$C$4,9,1))))</f>
        <v/>
      </c>
      <c r="AB96">
        <f>IF(OR($E96="",$F96=""),0,MAX(0,MIN($F96,DATE(Dashboard!$C$4,11,1))-MAX($E96,DATE(Dashboard!$C$4,10,1))))</f>
        <v/>
      </c>
      <c r="AC96">
        <f>IF(OR($E96="",$F96=""),0,MAX(0,MIN($F96,DATE(Dashboard!$C$4,12,1))-MAX($E96,DATE(Dashboard!$C$4,11,1))))</f>
        <v/>
      </c>
      <c r="AD96">
        <f>IF(OR($E96="",$F96=""),0,MAX(0,MIN($F96,DATE(Dashboard!$C$4,13,1))-MAX($E96,DATE(Dashboard!$C$4,12,1))))</f>
        <v/>
      </c>
      <c r="AE96">
        <f>SUM(S96:AD96)</f>
        <v/>
      </c>
      <c r="AF96">
        <f>Q96*AE96</f>
        <v/>
      </c>
      <c r="AG96">
        <f>R96*AE96</f>
        <v/>
      </c>
      <c r="AH96">
        <f>SUMPRODUCT(S96:AD96,--(COLUMN(S96:AD96)-COLUMN(S96)+1&lt;=Dashboard!$N$1))</f>
        <v/>
      </c>
      <c r="AI96">
        <f>IF(OR(E96="",E96&lt;TODAY()),"",E96+ROW()/100000)</f>
        <v/>
      </c>
      <c r="AJ96">
        <f>IF(OR(F96="",F96&lt;TODAY()),"",F96+ROW()/100000)</f>
        <v/>
      </c>
    </row>
    <row r="97">
      <c r="A97" s="1" t="n"/>
      <c r="B97" s="35" t="n"/>
      <c r="C97" s="35" t="n"/>
      <c r="D97" s="35" t="n"/>
      <c r="E97" s="36" t="n"/>
      <c r="F97" s="36" t="n"/>
      <c r="G97" s="18">
        <f>IF(OR(E97="",F97=""),"",F97-E97)</f>
        <v/>
      </c>
      <c r="H97" s="37" t="n"/>
      <c r="I97" s="38" t="n"/>
      <c r="J97" s="38" t="n"/>
      <c r="K97" s="38" t="n"/>
      <c r="L97" s="31">
        <f>IF(E97="","",N(I97)+N(J97)-N(K97))</f>
        <v/>
      </c>
      <c r="M97" s="39" t="n"/>
      <c r="N97" s="27">
        <f>IF(E97="","",IF(TODAY()&lt;E97,"Upcoming",IF(TODAY()&lt;F97,"Staying now",IF(M97="Yes","Checked out","Payout not received"))))</f>
        <v/>
      </c>
      <c r="O97" s="35" t="n"/>
      <c r="P97" s="1" t="n"/>
      <c r="Q97">
        <f>IF(N(G97)&gt;0,L97/G97,0)</f>
        <v/>
      </c>
      <c r="R97">
        <f>IF(N(G97)&gt;0,N(I97)/G97,0)</f>
        <v/>
      </c>
      <c r="S97">
        <f>IF(OR($E97="",$F97=""),0,MAX(0,MIN($F97,DATE(Dashboard!$C$4,2,1))-MAX($E97,DATE(Dashboard!$C$4,1,1))))</f>
        <v/>
      </c>
      <c r="T97">
        <f>IF(OR($E97="",$F97=""),0,MAX(0,MIN($F97,DATE(Dashboard!$C$4,3,1))-MAX($E97,DATE(Dashboard!$C$4,2,1))))</f>
        <v/>
      </c>
      <c r="U97">
        <f>IF(OR($E97="",$F97=""),0,MAX(0,MIN($F97,DATE(Dashboard!$C$4,4,1))-MAX($E97,DATE(Dashboard!$C$4,3,1))))</f>
        <v/>
      </c>
      <c r="V97">
        <f>IF(OR($E97="",$F97=""),0,MAX(0,MIN($F97,DATE(Dashboard!$C$4,5,1))-MAX($E97,DATE(Dashboard!$C$4,4,1))))</f>
        <v/>
      </c>
      <c r="W97">
        <f>IF(OR($E97="",$F97=""),0,MAX(0,MIN($F97,DATE(Dashboard!$C$4,6,1))-MAX($E97,DATE(Dashboard!$C$4,5,1))))</f>
        <v/>
      </c>
      <c r="X97">
        <f>IF(OR($E97="",$F97=""),0,MAX(0,MIN($F97,DATE(Dashboard!$C$4,7,1))-MAX($E97,DATE(Dashboard!$C$4,6,1))))</f>
        <v/>
      </c>
      <c r="Y97">
        <f>IF(OR($E97="",$F97=""),0,MAX(0,MIN($F97,DATE(Dashboard!$C$4,8,1))-MAX($E97,DATE(Dashboard!$C$4,7,1))))</f>
        <v/>
      </c>
      <c r="Z97">
        <f>IF(OR($E97="",$F97=""),0,MAX(0,MIN($F97,DATE(Dashboard!$C$4,9,1))-MAX($E97,DATE(Dashboard!$C$4,8,1))))</f>
        <v/>
      </c>
      <c r="AA97">
        <f>IF(OR($E97="",$F97=""),0,MAX(0,MIN($F97,DATE(Dashboard!$C$4,10,1))-MAX($E97,DATE(Dashboard!$C$4,9,1))))</f>
        <v/>
      </c>
      <c r="AB97">
        <f>IF(OR($E97="",$F97=""),0,MAX(0,MIN($F97,DATE(Dashboard!$C$4,11,1))-MAX($E97,DATE(Dashboard!$C$4,10,1))))</f>
        <v/>
      </c>
      <c r="AC97">
        <f>IF(OR($E97="",$F97=""),0,MAX(0,MIN($F97,DATE(Dashboard!$C$4,12,1))-MAX($E97,DATE(Dashboard!$C$4,11,1))))</f>
        <v/>
      </c>
      <c r="AD97">
        <f>IF(OR($E97="",$F97=""),0,MAX(0,MIN($F97,DATE(Dashboard!$C$4,13,1))-MAX($E97,DATE(Dashboard!$C$4,12,1))))</f>
        <v/>
      </c>
      <c r="AE97">
        <f>SUM(S97:AD97)</f>
        <v/>
      </c>
      <c r="AF97">
        <f>Q97*AE97</f>
        <v/>
      </c>
      <c r="AG97">
        <f>R97*AE97</f>
        <v/>
      </c>
      <c r="AH97">
        <f>SUMPRODUCT(S97:AD97,--(COLUMN(S97:AD97)-COLUMN(S97)+1&lt;=Dashboard!$N$1))</f>
        <v/>
      </c>
      <c r="AI97">
        <f>IF(OR(E97="",E97&lt;TODAY()),"",E97+ROW()/100000)</f>
        <v/>
      </c>
      <c r="AJ97">
        <f>IF(OR(F97="",F97&lt;TODAY()),"",F97+ROW()/100000)</f>
        <v/>
      </c>
    </row>
    <row r="98">
      <c r="A98" s="1" t="n"/>
      <c r="B98" s="35" t="n"/>
      <c r="C98" s="35" t="n"/>
      <c r="D98" s="35" t="n"/>
      <c r="E98" s="36" t="n"/>
      <c r="F98" s="36" t="n"/>
      <c r="G98" s="18">
        <f>IF(OR(E98="",F98=""),"",F98-E98)</f>
        <v/>
      </c>
      <c r="H98" s="37" t="n"/>
      <c r="I98" s="38" t="n"/>
      <c r="J98" s="38" t="n"/>
      <c r="K98" s="38" t="n"/>
      <c r="L98" s="31">
        <f>IF(E98="","",N(I98)+N(J98)-N(K98))</f>
        <v/>
      </c>
      <c r="M98" s="39" t="n"/>
      <c r="N98" s="27">
        <f>IF(E98="","",IF(TODAY()&lt;E98,"Upcoming",IF(TODAY()&lt;F98,"Staying now",IF(M98="Yes","Checked out","Payout not received"))))</f>
        <v/>
      </c>
      <c r="O98" s="35" t="n"/>
      <c r="P98" s="1" t="n"/>
      <c r="Q98">
        <f>IF(N(G98)&gt;0,L98/G98,0)</f>
        <v/>
      </c>
      <c r="R98">
        <f>IF(N(G98)&gt;0,N(I98)/G98,0)</f>
        <v/>
      </c>
      <c r="S98">
        <f>IF(OR($E98="",$F98=""),0,MAX(0,MIN($F98,DATE(Dashboard!$C$4,2,1))-MAX($E98,DATE(Dashboard!$C$4,1,1))))</f>
        <v/>
      </c>
      <c r="T98">
        <f>IF(OR($E98="",$F98=""),0,MAX(0,MIN($F98,DATE(Dashboard!$C$4,3,1))-MAX($E98,DATE(Dashboard!$C$4,2,1))))</f>
        <v/>
      </c>
      <c r="U98">
        <f>IF(OR($E98="",$F98=""),0,MAX(0,MIN($F98,DATE(Dashboard!$C$4,4,1))-MAX($E98,DATE(Dashboard!$C$4,3,1))))</f>
        <v/>
      </c>
      <c r="V98">
        <f>IF(OR($E98="",$F98=""),0,MAX(0,MIN($F98,DATE(Dashboard!$C$4,5,1))-MAX($E98,DATE(Dashboard!$C$4,4,1))))</f>
        <v/>
      </c>
      <c r="W98">
        <f>IF(OR($E98="",$F98=""),0,MAX(0,MIN($F98,DATE(Dashboard!$C$4,6,1))-MAX($E98,DATE(Dashboard!$C$4,5,1))))</f>
        <v/>
      </c>
      <c r="X98">
        <f>IF(OR($E98="",$F98=""),0,MAX(0,MIN($F98,DATE(Dashboard!$C$4,7,1))-MAX($E98,DATE(Dashboard!$C$4,6,1))))</f>
        <v/>
      </c>
      <c r="Y98">
        <f>IF(OR($E98="",$F98=""),0,MAX(0,MIN($F98,DATE(Dashboard!$C$4,8,1))-MAX($E98,DATE(Dashboard!$C$4,7,1))))</f>
        <v/>
      </c>
      <c r="Z98">
        <f>IF(OR($E98="",$F98=""),0,MAX(0,MIN($F98,DATE(Dashboard!$C$4,9,1))-MAX($E98,DATE(Dashboard!$C$4,8,1))))</f>
        <v/>
      </c>
      <c r="AA98">
        <f>IF(OR($E98="",$F98=""),0,MAX(0,MIN($F98,DATE(Dashboard!$C$4,10,1))-MAX($E98,DATE(Dashboard!$C$4,9,1))))</f>
        <v/>
      </c>
      <c r="AB98">
        <f>IF(OR($E98="",$F98=""),0,MAX(0,MIN($F98,DATE(Dashboard!$C$4,11,1))-MAX($E98,DATE(Dashboard!$C$4,10,1))))</f>
        <v/>
      </c>
      <c r="AC98">
        <f>IF(OR($E98="",$F98=""),0,MAX(0,MIN($F98,DATE(Dashboard!$C$4,12,1))-MAX($E98,DATE(Dashboard!$C$4,11,1))))</f>
        <v/>
      </c>
      <c r="AD98">
        <f>IF(OR($E98="",$F98=""),0,MAX(0,MIN($F98,DATE(Dashboard!$C$4,13,1))-MAX($E98,DATE(Dashboard!$C$4,12,1))))</f>
        <v/>
      </c>
      <c r="AE98">
        <f>SUM(S98:AD98)</f>
        <v/>
      </c>
      <c r="AF98">
        <f>Q98*AE98</f>
        <v/>
      </c>
      <c r="AG98">
        <f>R98*AE98</f>
        <v/>
      </c>
      <c r="AH98">
        <f>SUMPRODUCT(S98:AD98,--(COLUMN(S98:AD98)-COLUMN(S98)+1&lt;=Dashboard!$N$1))</f>
        <v/>
      </c>
      <c r="AI98">
        <f>IF(OR(E98="",E98&lt;TODAY()),"",E98+ROW()/100000)</f>
        <v/>
      </c>
      <c r="AJ98">
        <f>IF(OR(F98="",F98&lt;TODAY()),"",F98+ROW()/100000)</f>
        <v/>
      </c>
    </row>
    <row r="99">
      <c r="A99" s="1" t="n"/>
      <c r="B99" s="35" t="n"/>
      <c r="C99" s="35" t="n"/>
      <c r="D99" s="35" t="n"/>
      <c r="E99" s="36" t="n"/>
      <c r="F99" s="36" t="n"/>
      <c r="G99" s="18">
        <f>IF(OR(E99="",F99=""),"",F99-E99)</f>
        <v/>
      </c>
      <c r="H99" s="37" t="n"/>
      <c r="I99" s="38" t="n"/>
      <c r="J99" s="38" t="n"/>
      <c r="K99" s="38" t="n"/>
      <c r="L99" s="31">
        <f>IF(E99="","",N(I99)+N(J99)-N(K99))</f>
        <v/>
      </c>
      <c r="M99" s="39" t="n"/>
      <c r="N99" s="27">
        <f>IF(E99="","",IF(TODAY()&lt;E99,"Upcoming",IF(TODAY()&lt;F99,"Staying now",IF(M99="Yes","Checked out","Payout not received"))))</f>
        <v/>
      </c>
      <c r="O99" s="35" t="n"/>
      <c r="P99" s="1" t="n"/>
      <c r="Q99">
        <f>IF(N(G99)&gt;0,L99/G99,0)</f>
        <v/>
      </c>
      <c r="R99">
        <f>IF(N(G99)&gt;0,N(I99)/G99,0)</f>
        <v/>
      </c>
      <c r="S99">
        <f>IF(OR($E99="",$F99=""),0,MAX(0,MIN($F99,DATE(Dashboard!$C$4,2,1))-MAX($E99,DATE(Dashboard!$C$4,1,1))))</f>
        <v/>
      </c>
      <c r="T99">
        <f>IF(OR($E99="",$F99=""),0,MAX(0,MIN($F99,DATE(Dashboard!$C$4,3,1))-MAX($E99,DATE(Dashboard!$C$4,2,1))))</f>
        <v/>
      </c>
      <c r="U99">
        <f>IF(OR($E99="",$F99=""),0,MAX(0,MIN($F99,DATE(Dashboard!$C$4,4,1))-MAX($E99,DATE(Dashboard!$C$4,3,1))))</f>
        <v/>
      </c>
      <c r="V99">
        <f>IF(OR($E99="",$F99=""),0,MAX(0,MIN($F99,DATE(Dashboard!$C$4,5,1))-MAX($E99,DATE(Dashboard!$C$4,4,1))))</f>
        <v/>
      </c>
      <c r="W99">
        <f>IF(OR($E99="",$F99=""),0,MAX(0,MIN($F99,DATE(Dashboard!$C$4,6,1))-MAX($E99,DATE(Dashboard!$C$4,5,1))))</f>
        <v/>
      </c>
      <c r="X99">
        <f>IF(OR($E99="",$F99=""),0,MAX(0,MIN($F99,DATE(Dashboard!$C$4,7,1))-MAX($E99,DATE(Dashboard!$C$4,6,1))))</f>
        <v/>
      </c>
      <c r="Y99">
        <f>IF(OR($E99="",$F99=""),0,MAX(0,MIN($F99,DATE(Dashboard!$C$4,8,1))-MAX($E99,DATE(Dashboard!$C$4,7,1))))</f>
        <v/>
      </c>
      <c r="Z99">
        <f>IF(OR($E99="",$F99=""),0,MAX(0,MIN($F99,DATE(Dashboard!$C$4,9,1))-MAX($E99,DATE(Dashboard!$C$4,8,1))))</f>
        <v/>
      </c>
      <c r="AA99">
        <f>IF(OR($E99="",$F99=""),0,MAX(0,MIN($F99,DATE(Dashboard!$C$4,10,1))-MAX($E99,DATE(Dashboard!$C$4,9,1))))</f>
        <v/>
      </c>
      <c r="AB99">
        <f>IF(OR($E99="",$F99=""),0,MAX(0,MIN($F99,DATE(Dashboard!$C$4,11,1))-MAX($E99,DATE(Dashboard!$C$4,10,1))))</f>
        <v/>
      </c>
      <c r="AC99">
        <f>IF(OR($E99="",$F99=""),0,MAX(0,MIN($F99,DATE(Dashboard!$C$4,12,1))-MAX($E99,DATE(Dashboard!$C$4,11,1))))</f>
        <v/>
      </c>
      <c r="AD99">
        <f>IF(OR($E99="",$F99=""),0,MAX(0,MIN($F99,DATE(Dashboard!$C$4,13,1))-MAX($E99,DATE(Dashboard!$C$4,12,1))))</f>
        <v/>
      </c>
      <c r="AE99">
        <f>SUM(S99:AD99)</f>
        <v/>
      </c>
      <c r="AF99">
        <f>Q99*AE99</f>
        <v/>
      </c>
      <c r="AG99">
        <f>R99*AE99</f>
        <v/>
      </c>
      <c r="AH99">
        <f>SUMPRODUCT(S99:AD99,--(COLUMN(S99:AD99)-COLUMN(S99)+1&lt;=Dashboard!$N$1))</f>
        <v/>
      </c>
      <c r="AI99">
        <f>IF(OR(E99="",E99&lt;TODAY()),"",E99+ROW()/100000)</f>
        <v/>
      </c>
      <c r="AJ99">
        <f>IF(OR(F99="",F99&lt;TODAY()),"",F99+ROW()/100000)</f>
        <v/>
      </c>
    </row>
    <row r="100">
      <c r="A100" s="1" t="n"/>
      <c r="B100" s="35" t="n"/>
      <c r="C100" s="35" t="n"/>
      <c r="D100" s="35" t="n"/>
      <c r="E100" s="36" t="n"/>
      <c r="F100" s="36" t="n"/>
      <c r="G100" s="18">
        <f>IF(OR(E100="",F100=""),"",F100-E100)</f>
        <v/>
      </c>
      <c r="H100" s="37" t="n"/>
      <c r="I100" s="38" t="n"/>
      <c r="J100" s="38" t="n"/>
      <c r="K100" s="38" t="n"/>
      <c r="L100" s="31">
        <f>IF(E100="","",N(I100)+N(J100)-N(K100))</f>
        <v/>
      </c>
      <c r="M100" s="39" t="n"/>
      <c r="N100" s="27">
        <f>IF(E100="","",IF(TODAY()&lt;E100,"Upcoming",IF(TODAY()&lt;F100,"Staying now",IF(M100="Yes","Checked out","Payout not received"))))</f>
        <v/>
      </c>
      <c r="O100" s="35" t="n"/>
      <c r="P100" s="1" t="n"/>
      <c r="Q100">
        <f>IF(N(G100)&gt;0,L100/G100,0)</f>
        <v/>
      </c>
      <c r="R100">
        <f>IF(N(G100)&gt;0,N(I100)/G100,0)</f>
        <v/>
      </c>
      <c r="S100">
        <f>IF(OR($E100="",$F100=""),0,MAX(0,MIN($F100,DATE(Dashboard!$C$4,2,1))-MAX($E100,DATE(Dashboard!$C$4,1,1))))</f>
        <v/>
      </c>
      <c r="T100">
        <f>IF(OR($E100="",$F100=""),0,MAX(0,MIN($F100,DATE(Dashboard!$C$4,3,1))-MAX($E100,DATE(Dashboard!$C$4,2,1))))</f>
        <v/>
      </c>
      <c r="U100">
        <f>IF(OR($E100="",$F100=""),0,MAX(0,MIN($F100,DATE(Dashboard!$C$4,4,1))-MAX($E100,DATE(Dashboard!$C$4,3,1))))</f>
        <v/>
      </c>
      <c r="V100">
        <f>IF(OR($E100="",$F100=""),0,MAX(0,MIN($F100,DATE(Dashboard!$C$4,5,1))-MAX($E100,DATE(Dashboard!$C$4,4,1))))</f>
        <v/>
      </c>
      <c r="W100">
        <f>IF(OR($E100="",$F100=""),0,MAX(0,MIN($F100,DATE(Dashboard!$C$4,6,1))-MAX($E100,DATE(Dashboard!$C$4,5,1))))</f>
        <v/>
      </c>
      <c r="X100">
        <f>IF(OR($E100="",$F100=""),0,MAX(0,MIN($F100,DATE(Dashboard!$C$4,7,1))-MAX($E100,DATE(Dashboard!$C$4,6,1))))</f>
        <v/>
      </c>
      <c r="Y100">
        <f>IF(OR($E100="",$F100=""),0,MAX(0,MIN($F100,DATE(Dashboard!$C$4,8,1))-MAX($E100,DATE(Dashboard!$C$4,7,1))))</f>
        <v/>
      </c>
      <c r="Z100">
        <f>IF(OR($E100="",$F100=""),0,MAX(0,MIN($F100,DATE(Dashboard!$C$4,9,1))-MAX($E100,DATE(Dashboard!$C$4,8,1))))</f>
        <v/>
      </c>
      <c r="AA100">
        <f>IF(OR($E100="",$F100=""),0,MAX(0,MIN($F100,DATE(Dashboard!$C$4,10,1))-MAX($E100,DATE(Dashboard!$C$4,9,1))))</f>
        <v/>
      </c>
      <c r="AB100">
        <f>IF(OR($E100="",$F100=""),0,MAX(0,MIN($F100,DATE(Dashboard!$C$4,11,1))-MAX($E100,DATE(Dashboard!$C$4,10,1))))</f>
        <v/>
      </c>
      <c r="AC100">
        <f>IF(OR($E100="",$F100=""),0,MAX(0,MIN($F100,DATE(Dashboard!$C$4,12,1))-MAX($E100,DATE(Dashboard!$C$4,11,1))))</f>
        <v/>
      </c>
      <c r="AD100">
        <f>IF(OR($E100="",$F100=""),0,MAX(0,MIN($F100,DATE(Dashboard!$C$4,13,1))-MAX($E100,DATE(Dashboard!$C$4,12,1))))</f>
        <v/>
      </c>
      <c r="AE100">
        <f>SUM(S100:AD100)</f>
        <v/>
      </c>
      <c r="AF100">
        <f>Q100*AE100</f>
        <v/>
      </c>
      <c r="AG100">
        <f>R100*AE100</f>
        <v/>
      </c>
      <c r="AH100">
        <f>SUMPRODUCT(S100:AD100,--(COLUMN(S100:AD100)-COLUMN(S100)+1&lt;=Dashboard!$N$1))</f>
        <v/>
      </c>
      <c r="AI100">
        <f>IF(OR(E100="",E100&lt;TODAY()),"",E100+ROW()/100000)</f>
        <v/>
      </c>
      <c r="AJ100">
        <f>IF(OR(F100="",F100&lt;TODAY()),"",F100+ROW()/100000)</f>
        <v/>
      </c>
    </row>
    <row r="101">
      <c r="A101" s="1" t="n"/>
      <c r="B101" s="35" t="n"/>
      <c r="C101" s="35" t="n"/>
      <c r="D101" s="35" t="n"/>
      <c r="E101" s="36" t="n"/>
      <c r="F101" s="36" t="n"/>
      <c r="G101" s="18">
        <f>IF(OR(E101="",F101=""),"",F101-E101)</f>
        <v/>
      </c>
      <c r="H101" s="37" t="n"/>
      <c r="I101" s="38" t="n"/>
      <c r="J101" s="38" t="n"/>
      <c r="K101" s="38" t="n"/>
      <c r="L101" s="31">
        <f>IF(E101="","",N(I101)+N(J101)-N(K101))</f>
        <v/>
      </c>
      <c r="M101" s="39" t="n"/>
      <c r="N101" s="27">
        <f>IF(E101="","",IF(TODAY()&lt;E101,"Upcoming",IF(TODAY()&lt;F101,"Staying now",IF(M101="Yes","Checked out","Payout not received"))))</f>
        <v/>
      </c>
      <c r="O101" s="35" t="n"/>
      <c r="P101" s="1" t="n"/>
      <c r="Q101">
        <f>IF(N(G101)&gt;0,L101/G101,0)</f>
        <v/>
      </c>
      <c r="R101">
        <f>IF(N(G101)&gt;0,N(I101)/G101,0)</f>
        <v/>
      </c>
      <c r="S101">
        <f>IF(OR($E101="",$F101=""),0,MAX(0,MIN($F101,DATE(Dashboard!$C$4,2,1))-MAX($E101,DATE(Dashboard!$C$4,1,1))))</f>
        <v/>
      </c>
      <c r="T101">
        <f>IF(OR($E101="",$F101=""),0,MAX(0,MIN($F101,DATE(Dashboard!$C$4,3,1))-MAX($E101,DATE(Dashboard!$C$4,2,1))))</f>
        <v/>
      </c>
      <c r="U101">
        <f>IF(OR($E101="",$F101=""),0,MAX(0,MIN($F101,DATE(Dashboard!$C$4,4,1))-MAX($E101,DATE(Dashboard!$C$4,3,1))))</f>
        <v/>
      </c>
      <c r="V101">
        <f>IF(OR($E101="",$F101=""),0,MAX(0,MIN($F101,DATE(Dashboard!$C$4,5,1))-MAX($E101,DATE(Dashboard!$C$4,4,1))))</f>
        <v/>
      </c>
      <c r="W101">
        <f>IF(OR($E101="",$F101=""),0,MAX(0,MIN($F101,DATE(Dashboard!$C$4,6,1))-MAX($E101,DATE(Dashboard!$C$4,5,1))))</f>
        <v/>
      </c>
      <c r="X101">
        <f>IF(OR($E101="",$F101=""),0,MAX(0,MIN($F101,DATE(Dashboard!$C$4,7,1))-MAX($E101,DATE(Dashboard!$C$4,6,1))))</f>
        <v/>
      </c>
      <c r="Y101">
        <f>IF(OR($E101="",$F101=""),0,MAX(0,MIN($F101,DATE(Dashboard!$C$4,8,1))-MAX($E101,DATE(Dashboard!$C$4,7,1))))</f>
        <v/>
      </c>
      <c r="Z101">
        <f>IF(OR($E101="",$F101=""),0,MAX(0,MIN($F101,DATE(Dashboard!$C$4,9,1))-MAX($E101,DATE(Dashboard!$C$4,8,1))))</f>
        <v/>
      </c>
      <c r="AA101">
        <f>IF(OR($E101="",$F101=""),0,MAX(0,MIN($F101,DATE(Dashboard!$C$4,10,1))-MAX($E101,DATE(Dashboard!$C$4,9,1))))</f>
        <v/>
      </c>
      <c r="AB101">
        <f>IF(OR($E101="",$F101=""),0,MAX(0,MIN($F101,DATE(Dashboard!$C$4,11,1))-MAX($E101,DATE(Dashboard!$C$4,10,1))))</f>
        <v/>
      </c>
      <c r="AC101">
        <f>IF(OR($E101="",$F101=""),0,MAX(0,MIN($F101,DATE(Dashboard!$C$4,12,1))-MAX($E101,DATE(Dashboard!$C$4,11,1))))</f>
        <v/>
      </c>
      <c r="AD101">
        <f>IF(OR($E101="",$F101=""),0,MAX(0,MIN($F101,DATE(Dashboard!$C$4,13,1))-MAX($E101,DATE(Dashboard!$C$4,12,1))))</f>
        <v/>
      </c>
      <c r="AE101">
        <f>SUM(S101:AD101)</f>
        <v/>
      </c>
      <c r="AF101">
        <f>Q101*AE101</f>
        <v/>
      </c>
      <c r="AG101">
        <f>R101*AE101</f>
        <v/>
      </c>
      <c r="AH101">
        <f>SUMPRODUCT(S101:AD101,--(COLUMN(S101:AD101)-COLUMN(S101)+1&lt;=Dashboard!$N$1))</f>
        <v/>
      </c>
      <c r="AI101">
        <f>IF(OR(E101="",E101&lt;TODAY()),"",E101+ROW()/100000)</f>
        <v/>
      </c>
      <c r="AJ101">
        <f>IF(OR(F101="",F101&lt;TODAY()),"",F101+ROW()/100000)</f>
        <v/>
      </c>
    </row>
    <row r="102">
      <c r="A102" s="1" t="n"/>
      <c r="B102" s="35" t="n"/>
      <c r="C102" s="35" t="n"/>
      <c r="D102" s="35" t="n"/>
      <c r="E102" s="36" t="n"/>
      <c r="F102" s="36" t="n"/>
      <c r="G102" s="18">
        <f>IF(OR(E102="",F102=""),"",F102-E102)</f>
        <v/>
      </c>
      <c r="H102" s="37" t="n"/>
      <c r="I102" s="38" t="n"/>
      <c r="J102" s="38" t="n"/>
      <c r="K102" s="38" t="n"/>
      <c r="L102" s="31">
        <f>IF(E102="","",N(I102)+N(J102)-N(K102))</f>
        <v/>
      </c>
      <c r="M102" s="39" t="n"/>
      <c r="N102" s="27">
        <f>IF(E102="","",IF(TODAY()&lt;E102,"Upcoming",IF(TODAY()&lt;F102,"Staying now",IF(M102="Yes","Checked out","Payout not received"))))</f>
        <v/>
      </c>
      <c r="O102" s="35" t="n"/>
      <c r="P102" s="1" t="n"/>
      <c r="Q102">
        <f>IF(N(G102)&gt;0,L102/G102,0)</f>
        <v/>
      </c>
      <c r="R102">
        <f>IF(N(G102)&gt;0,N(I102)/G102,0)</f>
        <v/>
      </c>
      <c r="S102">
        <f>IF(OR($E102="",$F102=""),0,MAX(0,MIN($F102,DATE(Dashboard!$C$4,2,1))-MAX($E102,DATE(Dashboard!$C$4,1,1))))</f>
        <v/>
      </c>
      <c r="T102">
        <f>IF(OR($E102="",$F102=""),0,MAX(0,MIN($F102,DATE(Dashboard!$C$4,3,1))-MAX($E102,DATE(Dashboard!$C$4,2,1))))</f>
        <v/>
      </c>
      <c r="U102">
        <f>IF(OR($E102="",$F102=""),0,MAX(0,MIN($F102,DATE(Dashboard!$C$4,4,1))-MAX($E102,DATE(Dashboard!$C$4,3,1))))</f>
        <v/>
      </c>
      <c r="V102">
        <f>IF(OR($E102="",$F102=""),0,MAX(0,MIN($F102,DATE(Dashboard!$C$4,5,1))-MAX($E102,DATE(Dashboard!$C$4,4,1))))</f>
        <v/>
      </c>
      <c r="W102">
        <f>IF(OR($E102="",$F102=""),0,MAX(0,MIN($F102,DATE(Dashboard!$C$4,6,1))-MAX($E102,DATE(Dashboard!$C$4,5,1))))</f>
        <v/>
      </c>
      <c r="X102">
        <f>IF(OR($E102="",$F102=""),0,MAX(0,MIN($F102,DATE(Dashboard!$C$4,7,1))-MAX($E102,DATE(Dashboard!$C$4,6,1))))</f>
        <v/>
      </c>
      <c r="Y102">
        <f>IF(OR($E102="",$F102=""),0,MAX(0,MIN($F102,DATE(Dashboard!$C$4,8,1))-MAX($E102,DATE(Dashboard!$C$4,7,1))))</f>
        <v/>
      </c>
      <c r="Z102">
        <f>IF(OR($E102="",$F102=""),0,MAX(0,MIN($F102,DATE(Dashboard!$C$4,9,1))-MAX($E102,DATE(Dashboard!$C$4,8,1))))</f>
        <v/>
      </c>
      <c r="AA102">
        <f>IF(OR($E102="",$F102=""),0,MAX(0,MIN($F102,DATE(Dashboard!$C$4,10,1))-MAX($E102,DATE(Dashboard!$C$4,9,1))))</f>
        <v/>
      </c>
      <c r="AB102">
        <f>IF(OR($E102="",$F102=""),0,MAX(0,MIN($F102,DATE(Dashboard!$C$4,11,1))-MAX($E102,DATE(Dashboard!$C$4,10,1))))</f>
        <v/>
      </c>
      <c r="AC102">
        <f>IF(OR($E102="",$F102=""),0,MAX(0,MIN($F102,DATE(Dashboard!$C$4,12,1))-MAX($E102,DATE(Dashboard!$C$4,11,1))))</f>
        <v/>
      </c>
      <c r="AD102">
        <f>IF(OR($E102="",$F102=""),0,MAX(0,MIN($F102,DATE(Dashboard!$C$4,13,1))-MAX($E102,DATE(Dashboard!$C$4,12,1))))</f>
        <v/>
      </c>
      <c r="AE102">
        <f>SUM(S102:AD102)</f>
        <v/>
      </c>
      <c r="AF102">
        <f>Q102*AE102</f>
        <v/>
      </c>
      <c r="AG102">
        <f>R102*AE102</f>
        <v/>
      </c>
      <c r="AH102">
        <f>SUMPRODUCT(S102:AD102,--(COLUMN(S102:AD102)-COLUMN(S102)+1&lt;=Dashboard!$N$1))</f>
        <v/>
      </c>
      <c r="AI102">
        <f>IF(OR(E102="",E102&lt;TODAY()),"",E102+ROW()/100000)</f>
        <v/>
      </c>
      <c r="AJ102">
        <f>IF(OR(F102="",F102&lt;TODAY()),"",F102+ROW()/100000)</f>
        <v/>
      </c>
    </row>
    <row r="103">
      <c r="A103" s="1" t="n"/>
      <c r="B103" s="35" t="n"/>
      <c r="C103" s="35" t="n"/>
      <c r="D103" s="35" t="n"/>
      <c r="E103" s="36" t="n"/>
      <c r="F103" s="36" t="n"/>
      <c r="G103" s="18">
        <f>IF(OR(E103="",F103=""),"",F103-E103)</f>
        <v/>
      </c>
      <c r="H103" s="37" t="n"/>
      <c r="I103" s="38" t="n"/>
      <c r="J103" s="38" t="n"/>
      <c r="K103" s="38" t="n"/>
      <c r="L103" s="31">
        <f>IF(E103="","",N(I103)+N(J103)-N(K103))</f>
        <v/>
      </c>
      <c r="M103" s="39" t="n"/>
      <c r="N103" s="27">
        <f>IF(E103="","",IF(TODAY()&lt;E103,"Upcoming",IF(TODAY()&lt;F103,"Staying now",IF(M103="Yes","Checked out","Payout not received"))))</f>
        <v/>
      </c>
      <c r="O103" s="35" t="n"/>
      <c r="P103" s="1" t="n"/>
      <c r="Q103">
        <f>IF(N(G103)&gt;0,L103/G103,0)</f>
        <v/>
      </c>
      <c r="R103">
        <f>IF(N(G103)&gt;0,N(I103)/G103,0)</f>
        <v/>
      </c>
      <c r="S103">
        <f>IF(OR($E103="",$F103=""),0,MAX(0,MIN($F103,DATE(Dashboard!$C$4,2,1))-MAX($E103,DATE(Dashboard!$C$4,1,1))))</f>
        <v/>
      </c>
      <c r="T103">
        <f>IF(OR($E103="",$F103=""),0,MAX(0,MIN($F103,DATE(Dashboard!$C$4,3,1))-MAX($E103,DATE(Dashboard!$C$4,2,1))))</f>
        <v/>
      </c>
      <c r="U103">
        <f>IF(OR($E103="",$F103=""),0,MAX(0,MIN($F103,DATE(Dashboard!$C$4,4,1))-MAX($E103,DATE(Dashboard!$C$4,3,1))))</f>
        <v/>
      </c>
      <c r="V103">
        <f>IF(OR($E103="",$F103=""),0,MAX(0,MIN($F103,DATE(Dashboard!$C$4,5,1))-MAX($E103,DATE(Dashboard!$C$4,4,1))))</f>
        <v/>
      </c>
      <c r="W103">
        <f>IF(OR($E103="",$F103=""),0,MAX(0,MIN($F103,DATE(Dashboard!$C$4,6,1))-MAX($E103,DATE(Dashboard!$C$4,5,1))))</f>
        <v/>
      </c>
      <c r="X103">
        <f>IF(OR($E103="",$F103=""),0,MAX(0,MIN($F103,DATE(Dashboard!$C$4,7,1))-MAX($E103,DATE(Dashboard!$C$4,6,1))))</f>
        <v/>
      </c>
      <c r="Y103">
        <f>IF(OR($E103="",$F103=""),0,MAX(0,MIN($F103,DATE(Dashboard!$C$4,8,1))-MAX($E103,DATE(Dashboard!$C$4,7,1))))</f>
        <v/>
      </c>
      <c r="Z103">
        <f>IF(OR($E103="",$F103=""),0,MAX(0,MIN($F103,DATE(Dashboard!$C$4,9,1))-MAX($E103,DATE(Dashboard!$C$4,8,1))))</f>
        <v/>
      </c>
      <c r="AA103">
        <f>IF(OR($E103="",$F103=""),0,MAX(0,MIN($F103,DATE(Dashboard!$C$4,10,1))-MAX($E103,DATE(Dashboard!$C$4,9,1))))</f>
        <v/>
      </c>
      <c r="AB103">
        <f>IF(OR($E103="",$F103=""),0,MAX(0,MIN($F103,DATE(Dashboard!$C$4,11,1))-MAX($E103,DATE(Dashboard!$C$4,10,1))))</f>
        <v/>
      </c>
      <c r="AC103">
        <f>IF(OR($E103="",$F103=""),0,MAX(0,MIN($F103,DATE(Dashboard!$C$4,12,1))-MAX($E103,DATE(Dashboard!$C$4,11,1))))</f>
        <v/>
      </c>
      <c r="AD103">
        <f>IF(OR($E103="",$F103=""),0,MAX(0,MIN($F103,DATE(Dashboard!$C$4,13,1))-MAX($E103,DATE(Dashboard!$C$4,12,1))))</f>
        <v/>
      </c>
      <c r="AE103">
        <f>SUM(S103:AD103)</f>
        <v/>
      </c>
      <c r="AF103">
        <f>Q103*AE103</f>
        <v/>
      </c>
      <c r="AG103">
        <f>R103*AE103</f>
        <v/>
      </c>
      <c r="AH103">
        <f>SUMPRODUCT(S103:AD103,--(COLUMN(S103:AD103)-COLUMN(S103)+1&lt;=Dashboard!$N$1))</f>
        <v/>
      </c>
      <c r="AI103">
        <f>IF(OR(E103="",E103&lt;TODAY()),"",E103+ROW()/100000)</f>
        <v/>
      </c>
      <c r="AJ103">
        <f>IF(OR(F103="",F103&lt;TODAY()),"",F103+ROW()/100000)</f>
        <v/>
      </c>
    </row>
    <row r="104">
      <c r="A104" s="1" t="n"/>
      <c r="B104" s="35" t="n"/>
      <c r="C104" s="35" t="n"/>
      <c r="D104" s="35" t="n"/>
      <c r="E104" s="36" t="n"/>
      <c r="F104" s="36" t="n"/>
      <c r="G104" s="18">
        <f>IF(OR(E104="",F104=""),"",F104-E104)</f>
        <v/>
      </c>
      <c r="H104" s="37" t="n"/>
      <c r="I104" s="38" t="n"/>
      <c r="J104" s="38" t="n"/>
      <c r="K104" s="38" t="n"/>
      <c r="L104" s="31">
        <f>IF(E104="","",N(I104)+N(J104)-N(K104))</f>
        <v/>
      </c>
      <c r="M104" s="39" t="n"/>
      <c r="N104" s="27">
        <f>IF(E104="","",IF(TODAY()&lt;E104,"Upcoming",IF(TODAY()&lt;F104,"Staying now",IF(M104="Yes","Checked out","Payout not received"))))</f>
        <v/>
      </c>
      <c r="O104" s="35" t="n"/>
      <c r="P104" s="1" t="n"/>
      <c r="Q104">
        <f>IF(N(G104)&gt;0,L104/G104,0)</f>
        <v/>
      </c>
      <c r="R104">
        <f>IF(N(G104)&gt;0,N(I104)/G104,0)</f>
        <v/>
      </c>
      <c r="S104">
        <f>IF(OR($E104="",$F104=""),0,MAX(0,MIN($F104,DATE(Dashboard!$C$4,2,1))-MAX($E104,DATE(Dashboard!$C$4,1,1))))</f>
        <v/>
      </c>
      <c r="T104">
        <f>IF(OR($E104="",$F104=""),0,MAX(0,MIN($F104,DATE(Dashboard!$C$4,3,1))-MAX($E104,DATE(Dashboard!$C$4,2,1))))</f>
        <v/>
      </c>
      <c r="U104">
        <f>IF(OR($E104="",$F104=""),0,MAX(0,MIN($F104,DATE(Dashboard!$C$4,4,1))-MAX($E104,DATE(Dashboard!$C$4,3,1))))</f>
        <v/>
      </c>
      <c r="V104">
        <f>IF(OR($E104="",$F104=""),0,MAX(0,MIN($F104,DATE(Dashboard!$C$4,5,1))-MAX($E104,DATE(Dashboard!$C$4,4,1))))</f>
        <v/>
      </c>
      <c r="W104">
        <f>IF(OR($E104="",$F104=""),0,MAX(0,MIN($F104,DATE(Dashboard!$C$4,6,1))-MAX($E104,DATE(Dashboard!$C$4,5,1))))</f>
        <v/>
      </c>
      <c r="X104">
        <f>IF(OR($E104="",$F104=""),0,MAX(0,MIN($F104,DATE(Dashboard!$C$4,7,1))-MAX($E104,DATE(Dashboard!$C$4,6,1))))</f>
        <v/>
      </c>
      <c r="Y104">
        <f>IF(OR($E104="",$F104=""),0,MAX(0,MIN($F104,DATE(Dashboard!$C$4,8,1))-MAX($E104,DATE(Dashboard!$C$4,7,1))))</f>
        <v/>
      </c>
      <c r="Z104">
        <f>IF(OR($E104="",$F104=""),0,MAX(0,MIN($F104,DATE(Dashboard!$C$4,9,1))-MAX($E104,DATE(Dashboard!$C$4,8,1))))</f>
        <v/>
      </c>
      <c r="AA104">
        <f>IF(OR($E104="",$F104=""),0,MAX(0,MIN($F104,DATE(Dashboard!$C$4,10,1))-MAX($E104,DATE(Dashboard!$C$4,9,1))))</f>
        <v/>
      </c>
      <c r="AB104">
        <f>IF(OR($E104="",$F104=""),0,MAX(0,MIN($F104,DATE(Dashboard!$C$4,11,1))-MAX($E104,DATE(Dashboard!$C$4,10,1))))</f>
        <v/>
      </c>
      <c r="AC104">
        <f>IF(OR($E104="",$F104=""),0,MAX(0,MIN($F104,DATE(Dashboard!$C$4,12,1))-MAX($E104,DATE(Dashboard!$C$4,11,1))))</f>
        <v/>
      </c>
      <c r="AD104">
        <f>IF(OR($E104="",$F104=""),0,MAX(0,MIN($F104,DATE(Dashboard!$C$4,13,1))-MAX($E104,DATE(Dashboard!$C$4,12,1))))</f>
        <v/>
      </c>
      <c r="AE104">
        <f>SUM(S104:AD104)</f>
        <v/>
      </c>
      <c r="AF104">
        <f>Q104*AE104</f>
        <v/>
      </c>
      <c r="AG104">
        <f>R104*AE104</f>
        <v/>
      </c>
      <c r="AH104">
        <f>SUMPRODUCT(S104:AD104,--(COLUMN(S104:AD104)-COLUMN(S104)+1&lt;=Dashboard!$N$1))</f>
        <v/>
      </c>
      <c r="AI104">
        <f>IF(OR(E104="",E104&lt;TODAY()),"",E104+ROW()/100000)</f>
        <v/>
      </c>
      <c r="AJ104">
        <f>IF(OR(F104="",F104&lt;TODAY()),"",F104+ROW()/100000)</f>
        <v/>
      </c>
    </row>
    <row r="105">
      <c r="A105" s="1" t="n"/>
      <c r="B105" s="35" t="n"/>
      <c r="C105" s="35" t="n"/>
      <c r="D105" s="35" t="n"/>
      <c r="E105" s="36" t="n"/>
      <c r="F105" s="36" t="n"/>
      <c r="G105" s="18">
        <f>IF(OR(E105="",F105=""),"",F105-E105)</f>
        <v/>
      </c>
      <c r="H105" s="37" t="n"/>
      <c r="I105" s="38" t="n"/>
      <c r="J105" s="38" t="n"/>
      <c r="K105" s="38" t="n"/>
      <c r="L105" s="31">
        <f>IF(E105="","",N(I105)+N(J105)-N(K105))</f>
        <v/>
      </c>
      <c r="M105" s="39" t="n"/>
      <c r="N105" s="27">
        <f>IF(E105="","",IF(TODAY()&lt;E105,"Upcoming",IF(TODAY()&lt;F105,"Staying now",IF(M105="Yes","Checked out","Payout not received"))))</f>
        <v/>
      </c>
      <c r="O105" s="35" t="n"/>
      <c r="P105" s="1" t="n"/>
      <c r="Q105">
        <f>IF(N(G105)&gt;0,L105/G105,0)</f>
        <v/>
      </c>
      <c r="R105">
        <f>IF(N(G105)&gt;0,N(I105)/G105,0)</f>
        <v/>
      </c>
      <c r="S105">
        <f>IF(OR($E105="",$F105=""),0,MAX(0,MIN($F105,DATE(Dashboard!$C$4,2,1))-MAX($E105,DATE(Dashboard!$C$4,1,1))))</f>
        <v/>
      </c>
      <c r="T105">
        <f>IF(OR($E105="",$F105=""),0,MAX(0,MIN($F105,DATE(Dashboard!$C$4,3,1))-MAX($E105,DATE(Dashboard!$C$4,2,1))))</f>
        <v/>
      </c>
      <c r="U105">
        <f>IF(OR($E105="",$F105=""),0,MAX(0,MIN($F105,DATE(Dashboard!$C$4,4,1))-MAX($E105,DATE(Dashboard!$C$4,3,1))))</f>
        <v/>
      </c>
      <c r="V105">
        <f>IF(OR($E105="",$F105=""),0,MAX(0,MIN($F105,DATE(Dashboard!$C$4,5,1))-MAX($E105,DATE(Dashboard!$C$4,4,1))))</f>
        <v/>
      </c>
      <c r="W105">
        <f>IF(OR($E105="",$F105=""),0,MAX(0,MIN($F105,DATE(Dashboard!$C$4,6,1))-MAX($E105,DATE(Dashboard!$C$4,5,1))))</f>
        <v/>
      </c>
      <c r="X105">
        <f>IF(OR($E105="",$F105=""),0,MAX(0,MIN($F105,DATE(Dashboard!$C$4,7,1))-MAX($E105,DATE(Dashboard!$C$4,6,1))))</f>
        <v/>
      </c>
      <c r="Y105">
        <f>IF(OR($E105="",$F105=""),0,MAX(0,MIN($F105,DATE(Dashboard!$C$4,8,1))-MAX($E105,DATE(Dashboard!$C$4,7,1))))</f>
        <v/>
      </c>
      <c r="Z105">
        <f>IF(OR($E105="",$F105=""),0,MAX(0,MIN($F105,DATE(Dashboard!$C$4,9,1))-MAX($E105,DATE(Dashboard!$C$4,8,1))))</f>
        <v/>
      </c>
      <c r="AA105">
        <f>IF(OR($E105="",$F105=""),0,MAX(0,MIN($F105,DATE(Dashboard!$C$4,10,1))-MAX($E105,DATE(Dashboard!$C$4,9,1))))</f>
        <v/>
      </c>
      <c r="AB105">
        <f>IF(OR($E105="",$F105=""),0,MAX(0,MIN($F105,DATE(Dashboard!$C$4,11,1))-MAX($E105,DATE(Dashboard!$C$4,10,1))))</f>
        <v/>
      </c>
      <c r="AC105">
        <f>IF(OR($E105="",$F105=""),0,MAX(0,MIN($F105,DATE(Dashboard!$C$4,12,1))-MAX($E105,DATE(Dashboard!$C$4,11,1))))</f>
        <v/>
      </c>
      <c r="AD105">
        <f>IF(OR($E105="",$F105=""),0,MAX(0,MIN($F105,DATE(Dashboard!$C$4,13,1))-MAX($E105,DATE(Dashboard!$C$4,12,1))))</f>
        <v/>
      </c>
      <c r="AE105">
        <f>SUM(S105:AD105)</f>
        <v/>
      </c>
      <c r="AF105">
        <f>Q105*AE105</f>
        <v/>
      </c>
      <c r="AG105">
        <f>R105*AE105</f>
        <v/>
      </c>
      <c r="AH105">
        <f>SUMPRODUCT(S105:AD105,--(COLUMN(S105:AD105)-COLUMN(S105)+1&lt;=Dashboard!$N$1))</f>
        <v/>
      </c>
      <c r="AI105">
        <f>IF(OR(E105="",E105&lt;TODAY()),"",E105+ROW()/100000)</f>
        <v/>
      </c>
      <c r="AJ105">
        <f>IF(OR(F105="",F105&lt;TODAY()),"",F105+ROW()/100000)</f>
        <v/>
      </c>
    </row>
    <row r="106">
      <c r="A106" s="1" t="n"/>
      <c r="B106" s="35" t="n"/>
      <c r="C106" s="35" t="n"/>
      <c r="D106" s="35" t="n"/>
      <c r="E106" s="36" t="n"/>
      <c r="F106" s="36" t="n"/>
      <c r="G106" s="18">
        <f>IF(OR(E106="",F106=""),"",F106-E106)</f>
        <v/>
      </c>
      <c r="H106" s="37" t="n"/>
      <c r="I106" s="38" t="n"/>
      <c r="J106" s="38" t="n"/>
      <c r="K106" s="38" t="n"/>
      <c r="L106" s="31">
        <f>IF(E106="","",N(I106)+N(J106)-N(K106))</f>
        <v/>
      </c>
      <c r="M106" s="39" t="n"/>
      <c r="N106" s="27">
        <f>IF(E106="","",IF(TODAY()&lt;E106,"Upcoming",IF(TODAY()&lt;F106,"Staying now",IF(M106="Yes","Checked out","Payout not received"))))</f>
        <v/>
      </c>
      <c r="O106" s="35" t="n"/>
      <c r="P106" s="1" t="n"/>
      <c r="Q106">
        <f>IF(N(G106)&gt;0,L106/G106,0)</f>
        <v/>
      </c>
      <c r="R106">
        <f>IF(N(G106)&gt;0,N(I106)/G106,0)</f>
        <v/>
      </c>
      <c r="S106">
        <f>IF(OR($E106="",$F106=""),0,MAX(0,MIN($F106,DATE(Dashboard!$C$4,2,1))-MAX($E106,DATE(Dashboard!$C$4,1,1))))</f>
        <v/>
      </c>
      <c r="T106">
        <f>IF(OR($E106="",$F106=""),0,MAX(0,MIN($F106,DATE(Dashboard!$C$4,3,1))-MAX($E106,DATE(Dashboard!$C$4,2,1))))</f>
        <v/>
      </c>
      <c r="U106">
        <f>IF(OR($E106="",$F106=""),0,MAX(0,MIN($F106,DATE(Dashboard!$C$4,4,1))-MAX($E106,DATE(Dashboard!$C$4,3,1))))</f>
        <v/>
      </c>
      <c r="V106">
        <f>IF(OR($E106="",$F106=""),0,MAX(0,MIN($F106,DATE(Dashboard!$C$4,5,1))-MAX($E106,DATE(Dashboard!$C$4,4,1))))</f>
        <v/>
      </c>
      <c r="W106">
        <f>IF(OR($E106="",$F106=""),0,MAX(0,MIN($F106,DATE(Dashboard!$C$4,6,1))-MAX($E106,DATE(Dashboard!$C$4,5,1))))</f>
        <v/>
      </c>
      <c r="X106">
        <f>IF(OR($E106="",$F106=""),0,MAX(0,MIN($F106,DATE(Dashboard!$C$4,7,1))-MAX($E106,DATE(Dashboard!$C$4,6,1))))</f>
        <v/>
      </c>
      <c r="Y106">
        <f>IF(OR($E106="",$F106=""),0,MAX(0,MIN($F106,DATE(Dashboard!$C$4,8,1))-MAX($E106,DATE(Dashboard!$C$4,7,1))))</f>
        <v/>
      </c>
      <c r="Z106">
        <f>IF(OR($E106="",$F106=""),0,MAX(0,MIN($F106,DATE(Dashboard!$C$4,9,1))-MAX($E106,DATE(Dashboard!$C$4,8,1))))</f>
        <v/>
      </c>
      <c r="AA106">
        <f>IF(OR($E106="",$F106=""),0,MAX(0,MIN($F106,DATE(Dashboard!$C$4,10,1))-MAX($E106,DATE(Dashboard!$C$4,9,1))))</f>
        <v/>
      </c>
      <c r="AB106">
        <f>IF(OR($E106="",$F106=""),0,MAX(0,MIN($F106,DATE(Dashboard!$C$4,11,1))-MAX($E106,DATE(Dashboard!$C$4,10,1))))</f>
        <v/>
      </c>
      <c r="AC106">
        <f>IF(OR($E106="",$F106=""),0,MAX(0,MIN($F106,DATE(Dashboard!$C$4,12,1))-MAX($E106,DATE(Dashboard!$C$4,11,1))))</f>
        <v/>
      </c>
      <c r="AD106">
        <f>IF(OR($E106="",$F106=""),0,MAX(0,MIN($F106,DATE(Dashboard!$C$4,13,1))-MAX($E106,DATE(Dashboard!$C$4,12,1))))</f>
        <v/>
      </c>
      <c r="AE106">
        <f>SUM(S106:AD106)</f>
        <v/>
      </c>
      <c r="AF106">
        <f>Q106*AE106</f>
        <v/>
      </c>
      <c r="AG106">
        <f>R106*AE106</f>
        <v/>
      </c>
      <c r="AH106">
        <f>SUMPRODUCT(S106:AD106,--(COLUMN(S106:AD106)-COLUMN(S106)+1&lt;=Dashboard!$N$1))</f>
        <v/>
      </c>
      <c r="AI106">
        <f>IF(OR(E106="",E106&lt;TODAY()),"",E106+ROW()/100000)</f>
        <v/>
      </c>
      <c r="AJ106">
        <f>IF(OR(F106="",F106&lt;TODAY()),"",F106+ROW()/100000)</f>
        <v/>
      </c>
    </row>
    <row r="107">
      <c r="A107" s="1" t="n"/>
      <c r="B107" s="35" t="n"/>
      <c r="C107" s="35" t="n"/>
      <c r="D107" s="35" t="n"/>
      <c r="E107" s="36" t="n"/>
      <c r="F107" s="36" t="n"/>
      <c r="G107" s="18">
        <f>IF(OR(E107="",F107=""),"",F107-E107)</f>
        <v/>
      </c>
      <c r="H107" s="37" t="n"/>
      <c r="I107" s="38" t="n"/>
      <c r="J107" s="38" t="n"/>
      <c r="K107" s="38" t="n"/>
      <c r="L107" s="31">
        <f>IF(E107="","",N(I107)+N(J107)-N(K107))</f>
        <v/>
      </c>
      <c r="M107" s="39" t="n"/>
      <c r="N107" s="27">
        <f>IF(E107="","",IF(TODAY()&lt;E107,"Upcoming",IF(TODAY()&lt;F107,"Staying now",IF(M107="Yes","Checked out","Payout not received"))))</f>
        <v/>
      </c>
      <c r="O107" s="35" t="n"/>
      <c r="P107" s="1" t="n"/>
      <c r="Q107">
        <f>IF(N(G107)&gt;0,L107/G107,0)</f>
        <v/>
      </c>
      <c r="R107">
        <f>IF(N(G107)&gt;0,N(I107)/G107,0)</f>
        <v/>
      </c>
      <c r="S107">
        <f>IF(OR($E107="",$F107=""),0,MAX(0,MIN($F107,DATE(Dashboard!$C$4,2,1))-MAX($E107,DATE(Dashboard!$C$4,1,1))))</f>
        <v/>
      </c>
      <c r="T107">
        <f>IF(OR($E107="",$F107=""),0,MAX(0,MIN($F107,DATE(Dashboard!$C$4,3,1))-MAX($E107,DATE(Dashboard!$C$4,2,1))))</f>
        <v/>
      </c>
      <c r="U107">
        <f>IF(OR($E107="",$F107=""),0,MAX(0,MIN($F107,DATE(Dashboard!$C$4,4,1))-MAX($E107,DATE(Dashboard!$C$4,3,1))))</f>
        <v/>
      </c>
      <c r="V107">
        <f>IF(OR($E107="",$F107=""),0,MAX(0,MIN($F107,DATE(Dashboard!$C$4,5,1))-MAX($E107,DATE(Dashboard!$C$4,4,1))))</f>
        <v/>
      </c>
      <c r="W107">
        <f>IF(OR($E107="",$F107=""),0,MAX(0,MIN($F107,DATE(Dashboard!$C$4,6,1))-MAX($E107,DATE(Dashboard!$C$4,5,1))))</f>
        <v/>
      </c>
      <c r="X107">
        <f>IF(OR($E107="",$F107=""),0,MAX(0,MIN($F107,DATE(Dashboard!$C$4,7,1))-MAX($E107,DATE(Dashboard!$C$4,6,1))))</f>
        <v/>
      </c>
      <c r="Y107">
        <f>IF(OR($E107="",$F107=""),0,MAX(0,MIN($F107,DATE(Dashboard!$C$4,8,1))-MAX($E107,DATE(Dashboard!$C$4,7,1))))</f>
        <v/>
      </c>
      <c r="Z107">
        <f>IF(OR($E107="",$F107=""),0,MAX(0,MIN($F107,DATE(Dashboard!$C$4,9,1))-MAX($E107,DATE(Dashboard!$C$4,8,1))))</f>
        <v/>
      </c>
      <c r="AA107">
        <f>IF(OR($E107="",$F107=""),0,MAX(0,MIN($F107,DATE(Dashboard!$C$4,10,1))-MAX($E107,DATE(Dashboard!$C$4,9,1))))</f>
        <v/>
      </c>
      <c r="AB107">
        <f>IF(OR($E107="",$F107=""),0,MAX(0,MIN($F107,DATE(Dashboard!$C$4,11,1))-MAX($E107,DATE(Dashboard!$C$4,10,1))))</f>
        <v/>
      </c>
      <c r="AC107">
        <f>IF(OR($E107="",$F107=""),0,MAX(0,MIN($F107,DATE(Dashboard!$C$4,12,1))-MAX($E107,DATE(Dashboard!$C$4,11,1))))</f>
        <v/>
      </c>
      <c r="AD107">
        <f>IF(OR($E107="",$F107=""),0,MAX(0,MIN($F107,DATE(Dashboard!$C$4,13,1))-MAX($E107,DATE(Dashboard!$C$4,12,1))))</f>
        <v/>
      </c>
      <c r="AE107">
        <f>SUM(S107:AD107)</f>
        <v/>
      </c>
      <c r="AF107">
        <f>Q107*AE107</f>
        <v/>
      </c>
      <c r="AG107">
        <f>R107*AE107</f>
        <v/>
      </c>
      <c r="AH107">
        <f>SUMPRODUCT(S107:AD107,--(COLUMN(S107:AD107)-COLUMN(S107)+1&lt;=Dashboard!$N$1))</f>
        <v/>
      </c>
      <c r="AI107">
        <f>IF(OR(E107="",E107&lt;TODAY()),"",E107+ROW()/100000)</f>
        <v/>
      </c>
      <c r="AJ107">
        <f>IF(OR(F107="",F107&lt;TODAY()),"",F107+ROW()/100000)</f>
        <v/>
      </c>
    </row>
    <row r="108">
      <c r="A108" s="1" t="n"/>
      <c r="B108" s="35" t="n"/>
      <c r="C108" s="35" t="n"/>
      <c r="D108" s="35" t="n"/>
      <c r="E108" s="36" t="n"/>
      <c r="F108" s="36" t="n"/>
      <c r="G108" s="18">
        <f>IF(OR(E108="",F108=""),"",F108-E108)</f>
        <v/>
      </c>
      <c r="H108" s="37" t="n"/>
      <c r="I108" s="38" t="n"/>
      <c r="J108" s="38" t="n"/>
      <c r="K108" s="38" t="n"/>
      <c r="L108" s="31">
        <f>IF(E108="","",N(I108)+N(J108)-N(K108))</f>
        <v/>
      </c>
      <c r="M108" s="39" t="n"/>
      <c r="N108" s="27">
        <f>IF(E108="","",IF(TODAY()&lt;E108,"Upcoming",IF(TODAY()&lt;F108,"Staying now",IF(M108="Yes","Checked out","Payout not received"))))</f>
        <v/>
      </c>
      <c r="O108" s="35" t="n"/>
      <c r="P108" s="1" t="n"/>
      <c r="Q108">
        <f>IF(N(G108)&gt;0,L108/G108,0)</f>
        <v/>
      </c>
      <c r="R108">
        <f>IF(N(G108)&gt;0,N(I108)/G108,0)</f>
        <v/>
      </c>
      <c r="S108">
        <f>IF(OR($E108="",$F108=""),0,MAX(0,MIN($F108,DATE(Dashboard!$C$4,2,1))-MAX($E108,DATE(Dashboard!$C$4,1,1))))</f>
        <v/>
      </c>
      <c r="T108">
        <f>IF(OR($E108="",$F108=""),0,MAX(0,MIN($F108,DATE(Dashboard!$C$4,3,1))-MAX($E108,DATE(Dashboard!$C$4,2,1))))</f>
        <v/>
      </c>
      <c r="U108">
        <f>IF(OR($E108="",$F108=""),0,MAX(0,MIN($F108,DATE(Dashboard!$C$4,4,1))-MAX($E108,DATE(Dashboard!$C$4,3,1))))</f>
        <v/>
      </c>
      <c r="V108">
        <f>IF(OR($E108="",$F108=""),0,MAX(0,MIN($F108,DATE(Dashboard!$C$4,5,1))-MAX($E108,DATE(Dashboard!$C$4,4,1))))</f>
        <v/>
      </c>
      <c r="W108">
        <f>IF(OR($E108="",$F108=""),0,MAX(0,MIN($F108,DATE(Dashboard!$C$4,6,1))-MAX($E108,DATE(Dashboard!$C$4,5,1))))</f>
        <v/>
      </c>
      <c r="X108">
        <f>IF(OR($E108="",$F108=""),0,MAX(0,MIN($F108,DATE(Dashboard!$C$4,7,1))-MAX($E108,DATE(Dashboard!$C$4,6,1))))</f>
        <v/>
      </c>
      <c r="Y108">
        <f>IF(OR($E108="",$F108=""),0,MAX(0,MIN($F108,DATE(Dashboard!$C$4,8,1))-MAX($E108,DATE(Dashboard!$C$4,7,1))))</f>
        <v/>
      </c>
      <c r="Z108">
        <f>IF(OR($E108="",$F108=""),0,MAX(0,MIN($F108,DATE(Dashboard!$C$4,9,1))-MAX($E108,DATE(Dashboard!$C$4,8,1))))</f>
        <v/>
      </c>
      <c r="AA108">
        <f>IF(OR($E108="",$F108=""),0,MAX(0,MIN($F108,DATE(Dashboard!$C$4,10,1))-MAX($E108,DATE(Dashboard!$C$4,9,1))))</f>
        <v/>
      </c>
      <c r="AB108">
        <f>IF(OR($E108="",$F108=""),0,MAX(0,MIN($F108,DATE(Dashboard!$C$4,11,1))-MAX($E108,DATE(Dashboard!$C$4,10,1))))</f>
        <v/>
      </c>
      <c r="AC108">
        <f>IF(OR($E108="",$F108=""),0,MAX(0,MIN($F108,DATE(Dashboard!$C$4,12,1))-MAX($E108,DATE(Dashboard!$C$4,11,1))))</f>
        <v/>
      </c>
      <c r="AD108">
        <f>IF(OR($E108="",$F108=""),0,MAX(0,MIN($F108,DATE(Dashboard!$C$4,13,1))-MAX($E108,DATE(Dashboard!$C$4,12,1))))</f>
        <v/>
      </c>
      <c r="AE108">
        <f>SUM(S108:AD108)</f>
        <v/>
      </c>
      <c r="AF108">
        <f>Q108*AE108</f>
        <v/>
      </c>
      <c r="AG108">
        <f>R108*AE108</f>
        <v/>
      </c>
      <c r="AH108">
        <f>SUMPRODUCT(S108:AD108,--(COLUMN(S108:AD108)-COLUMN(S108)+1&lt;=Dashboard!$N$1))</f>
        <v/>
      </c>
      <c r="AI108">
        <f>IF(OR(E108="",E108&lt;TODAY()),"",E108+ROW()/100000)</f>
        <v/>
      </c>
      <c r="AJ108">
        <f>IF(OR(F108="",F108&lt;TODAY()),"",F108+ROW()/100000)</f>
        <v/>
      </c>
    </row>
    <row r="109">
      <c r="A109" s="1" t="n"/>
      <c r="B109" s="35" t="n"/>
      <c r="C109" s="35" t="n"/>
      <c r="D109" s="35" t="n"/>
      <c r="E109" s="36" t="n"/>
      <c r="F109" s="36" t="n"/>
      <c r="G109" s="18">
        <f>IF(OR(E109="",F109=""),"",F109-E109)</f>
        <v/>
      </c>
      <c r="H109" s="37" t="n"/>
      <c r="I109" s="38" t="n"/>
      <c r="J109" s="38" t="n"/>
      <c r="K109" s="38" t="n"/>
      <c r="L109" s="31">
        <f>IF(E109="","",N(I109)+N(J109)-N(K109))</f>
        <v/>
      </c>
      <c r="M109" s="39" t="n"/>
      <c r="N109" s="27">
        <f>IF(E109="","",IF(TODAY()&lt;E109,"Upcoming",IF(TODAY()&lt;F109,"Staying now",IF(M109="Yes","Checked out","Payout not received"))))</f>
        <v/>
      </c>
      <c r="O109" s="35" t="n"/>
      <c r="P109" s="1" t="n"/>
      <c r="Q109">
        <f>IF(N(G109)&gt;0,L109/G109,0)</f>
        <v/>
      </c>
      <c r="R109">
        <f>IF(N(G109)&gt;0,N(I109)/G109,0)</f>
        <v/>
      </c>
      <c r="S109">
        <f>IF(OR($E109="",$F109=""),0,MAX(0,MIN($F109,DATE(Dashboard!$C$4,2,1))-MAX($E109,DATE(Dashboard!$C$4,1,1))))</f>
        <v/>
      </c>
      <c r="T109">
        <f>IF(OR($E109="",$F109=""),0,MAX(0,MIN($F109,DATE(Dashboard!$C$4,3,1))-MAX($E109,DATE(Dashboard!$C$4,2,1))))</f>
        <v/>
      </c>
      <c r="U109">
        <f>IF(OR($E109="",$F109=""),0,MAX(0,MIN($F109,DATE(Dashboard!$C$4,4,1))-MAX($E109,DATE(Dashboard!$C$4,3,1))))</f>
        <v/>
      </c>
      <c r="V109">
        <f>IF(OR($E109="",$F109=""),0,MAX(0,MIN($F109,DATE(Dashboard!$C$4,5,1))-MAX($E109,DATE(Dashboard!$C$4,4,1))))</f>
        <v/>
      </c>
      <c r="W109">
        <f>IF(OR($E109="",$F109=""),0,MAX(0,MIN($F109,DATE(Dashboard!$C$4,6,1))-MAX($E109,DATE(Dashboard!$C$4,5,1))))</f>
        <v/>
      </c>
      <c r="X109">
        <f>IF(OR($E109="",$F109=""),0,MAX(0,MIN($F109,DATE(Dashboard!$C$4,7,1))-MAX($E109,DATE(Dashboard!$C$4,6,1))))</f>
        <v/>
      </c>
      <c r="Y109">
        <f>IF(OR($E109="",$F109=""),0,MAX(0,MIN($F109,DATE(Dashboard!$C$4,8,1))-MAX($E109,DATE(Dashboard!$C$4,7,1))))</f>
        <v/>
      </c>
      <c r="Z109">
        <f>IF(OR($E109="",$F109=""),0,MAX(0,MIN($F109,DATE(Dashboard!$C$4,9,1))-MAX($E109,DATE(Dashboard!$C$4,8,1))))</f>
        <v/>
      </c>
      <c r="AA109">
        <f>IF(OR($E109="",$F109=""),0,MAX(0,MIN($F109,DATE(Dashboard!$C$4,10,1))-MAX($E109,DATE(Dashboard!$C$4,9,1))))</f>
        <v/>
      </c>
      <c r="AB109">
        <f>IF(OR($E109="",$F109=""),0,MAX(0,MIN($F109,DATE(Dashboard!$C$4,11,1))-MAX($E109,DATE(Dashboard!$C$4,10,1))))</f>
        <v/>
      </c>
      <c r="AC109">
        <f>IF(OR($E109="",$F109=""),0,MAX(0,MIN($F109,DATE(Dashboard!$C$4,12,1))-MAX($E109,DATE(Dashboard!$C$4,11,1))))</f>
        <v/>
      </c>
      <c r="AD109">
        <f>IF(OR($E109="",$F109=""),0,MAX(0,MIN($F109,DATE(Dashboard!$C$4,13,1))-MAX($E109,DATE(Dashboard!$C$4,12,1))))</f>
        <v/>
      </c>
      <c r="AE109">
        <f>SUM(S109:AD109)</f>
        <v/>
      </c>
      <c r="AF109">
        <f>Q109*AE109</f>
        <v/>
      </c>
      <c r="AG109">
        <f>R109*AE109</f>
        <v/>
      </c>
      <c r="AH109">
        <f>SUMPRODUCT(S109:AD109,--(COLUMN(S109:AD109)-COLUMN(S109)+1&lt;=Dashboard!$N$1))</f>
        <v/>
      </c>
      <c r="AI109">
        <f>IF(OR(E109="",E109&lt;TODAY()),"",E109+ROW()/100000)</f>
        <v/>
      </c>
      <c r="AJ109">
        <f>IF(OR(F109="",F109&lt;TODAY()),"",F109+ROW()/100000)</f>
        <v/>
      </c>
    </row>
    <row r="110">
      <c r="A110" s="1" t="n"/>
      <c r="B110" s="35" t="n"/>
      <c r="C110" s="35" t="n"/>
      <c r="D110" s="35" t="n"/>
      <c r="E110" s="36" t="n"/>
      <c r="F110" s="36" t="n"/>
      <c r="G110" s="18">
        <f>IF(OR(E110="",F110=""),"",F110-E110)</f>
        <v/>
      </c>
      <c r="H110" s="37" t="n"/>
      <c r="I110" s="38" t="n"/>
      <c r="J110" s="38" t="n"/>
      <c r="K110" s="38" t="n"/>
      <c r="L110" s="31">
        <f>IF(E110="","",N(I110)+N(J110)-N(K110))</f>
        <v/>
      </c>
      <c r="M110" s="39" t="n"/>
      <c r="N110" s="27">
        <f>IF(E110="","",IF(TODAY()&lt;E110,"Upcoming",IF(TODAY()&lt;F110,"Staying now",IF(M110="Yes","Checked out","Payout not received"))))</f>
        <v/>
      </c>
      <c r="O110" s="35" t="n"/>
      <c r="P110" s="1" t="n"/>
      <c r="Q110">
        <f>IF(N(G110)&gt;0,L110/G110,0)</f>
        <v/>
      </c>
      <c r="R110">
        <f>IF(N(G110)&gt;0,N(I110)/G110,0)</f>
        <v/>
      </c>
      <c r="S110">
        <f>IF(OR($E110="",$F110=""),0,MAX(0,MIN($F110,DATE(Dashboard!$C$4,2,1))-MAX($E110,DATE(Dashboard!$C$4,1,1))))</f>
        <v/>
      </c>
      <c r="T110">
        <f>IF(OR($E110="",$F110=""),0,MAX(0,MIN($F110,DATE(Dashboard!$C$4,3,1))-MAX($E110,DATE(Dashboard!$C$4,2,1))))</f>
        <v/>
      </c>
      <c r="U110">
        <f>IF(OR($E110="",$F110=""),0,MAX(0,MIN($F110,DATE(Dashboard!$C$4,4,1))-MAX($E110,DATE(Dashboard!$C$4,3,1))))</f>
        <v/>
      </c>
      <c r="V110">
        <f>IF(OR($E110="",$F110=""),0,MAX(0,MIN($F110,DATE(Dashboard!$C$4,5,1))-MAX($E110,DATE(Dashboard!$C$4,4,1))))</f>
        <v/>
      </c>
      <c r="W110">
        <f>IF(OR($E110="",$F110=""),0,MAX(0,MIN($F110,DATE(Dashboard!$C$4,6,1))-MAX($E110,DATE(Dashboard!$C$4,5,1))))</f>
        <v/>
      </c>
      <c r="X110">
        <f>IF(OR($E110="",$F110=""),0,MAX(0,MIN($F110,DATE(Dashboard!$C$4,7,1))-MAX($E110,DATE(Dashboard!$C$4,6,1))))</f>
        <v/>
      </c>
      <c r="Y110">
        <f>IF(OR($E110="",$F110=""),0,MAX(0,MIN($F110,DATE(Dashboard!$C$4,8,1))-MAX($E110,DATE(Dashboard!$C$4,7,1))))</f>
        <v/>
      </c>
      <c r="Z110">
        <f>IF(OR($E110="",$F110=""),0,MAX(0,MIN($F110,DATE(Dashboard!$C$4,9,1))-MAX($E110,DATE(Dashboard!$C$4,8,1))))</f>
        <v/>
      </c>
      <c r="AA110">
        <f>IF(OR($E110="",$F110=""),0,MAX(0,MIN($F110,DATE(Dashboard!$C$4,10,1))-MAX($E110,DATE(Dashboard!$C$4,9,1))))</f>
        <v/>
      </c>
      <c r="AB110">
        <f>IF(OR($E110="",$F110=""),0,MAX(0,MIN($F110,DATE(Dashboard!$C$4,11,1))-MAX($E110,DATE(Dashboard!$C$4,10,1))))</f>
        <v/>
      </c>
      <c r="AC110">
        <f>IF(OR($E110="",$F110=""),0,MAX(0,MIN($F110,DATE(Dashboard!$C$4,12,1))-MAX($E110,DATE(Dashboard!$C$4,11,1))))</f>
        <v/>
      </c>
      <c r="AD110">
        <f>IF(OR($E110="",$F110=""),0,MAX(0,MIN($F110,DATE(Dashboard!$C$4,13,1))-MAX($E110,DATE(Dashboard!$C$4,12,1))))</f>
        <v/>
      </c>
      <c r="AE110">
        <f>SUM(S110:AD110)</f>
        <v/>
      </c>
      <c r="AF110">
        <f>Q110*AE110</f>
        <v/>
      </c>
      <c r="AG110">
        <f>R110*AE110</f>
        <v/>
      </c>
      <c r="AH110">
        <f>SUMPRODUCT(S110:AD110,--(COLUMN(S110:AD110)-COLUMN(S110)+1&lt;=Dashboard!$N$1))</f>
        <v/>
      </c>
      <c r="AI110">
        <f>IF(OR(E110="",E110&lt;TODAY()),"",E110+ROW()/100000)</f>
        <v/>
      </c>
      <c r="AJ110">
        <f>IF(OR(F110="",F110&lt;TODAY()),"",F110+ROW()/100000)</f>
        <v/>
      </c>
    </row>
    <row r="111">
      <c r="A111" s="1" t="n"/>
      <c r="B111" s="35" t="n"/>
      <c r="C111" s="35" t="n"/>
      <c r="D111" s="35" t="n"/>
      <c r="E111" s="36" t="n"/>
      <c r="F111" s="36" t="n"/>
      <c r="G111" s="18">
        <f>IF(OR(E111="",F111=""),"",F111-E111)</f>
        <v/>
      </c>
      <c r="H111" s="37" t="n"/>
      <c r="I111" s="38" t="n"/>
      <c r="J111" s="38" t="n"/>
      <c r="K111" s="38" t="n"/>
      <c r="L111" s="31">
        <f>IF(E111="","",N(I111)+N(J111)-N(K111))</f>
        <v/>
      </c>
      <c r="M111" s="39" t="n"/>
      <c r="N111" s="27">
        <f>IF(E111="","",IF(TODAY()&lt;E111,"Upcoming",IF(TODAY()&lt;F111,"Staying now",IF(M111="Yes","Checked out","Payout not received"))))</f>
        <v/>
      </c>
      <c r="O111" s="35" t="n"/>
      <c r="P111" s="1" t="n"/>
      <c r="Q111">
        <f>IF(N(G111)&gt;0,L111/G111,0)</f>
        <v/>
      </c>
      <c r="R111">
        <f>IF(N(G111)&gt;0,N(I111)/G111,0)</f>
        <v/>
      </c>
      <c r="S111">
        <f>IF(OR($E111="",$F111=""),0,MAX(0,MIN($F111,DATE(Dashboard!$C$4,2,1))-MAX($E111,DATE(Dashboard!$C$4,1,1))))</f>
        <v/>
      </c>
      <c r="T111">
        <f>IF(OR($E111="",$F111=""),0,MAX(0,MIN($F111,DATE(Dashboard!$C$4,3,1))-MAX($E111,DATE(Dashboard!$C$4,2,1))))</f>
        <v/>
      </c>
      <c r="U111">
        <f>IF(OR($E111="",$F111=""),0,MAX(0,MIN($F111,DATE(Dashboard!$C$4,4,1))-MAX($E111,DATE(Dashboard!$C$4,3,1))))</f>
        <v/>
      </c>
      <c r="V111">
        <f>IF(OR($E111="",$F111=""),0,MAX(0,MIN($F111,DATE(Dashboard!$C$4,5,1))-MAX($E111,DATE(Dashboard!$C$4,4,1))))</f>
        <v/>
      </c>
      <c r="W111">
        <f>IF(OR($E111="",$F111=""),0,MAX(0,MIN($F111,DATE(Dashboard!$C$4,6,1))-MAX($E111,DATE(Dashboard!$C$4,5,1))))</f>
        <v/>
      </c>
      <c r="X111">
        <f>IF(OR($E111="",$F111=""),0,MAX(0,MIN($F111,DATE(Dashboard!$C$4,7,1))-MAX($E111,DATE(Dashboard!$C$4,6,1))))</f>
        <v/>
      </c>
      <c r="Y111">
        <f>IF(OR($E111="",$F111=""),0,MAX(0,MIN($F111,DATE(Dashboard!$C$4,8,1))-MAX($E111,DATE(Dashboard!$C$4,7,1))))</f>
        <v/>
      </c>
      <c r="Z111">
        <f>IF(OR($E111="",$F111=""),0,MAX(0,MIN($F111,DATE(Dashboard!$C$4,9,1))-MAX($E111,DATE(Dashboard!$C$4,8,1))))</f>
        <v/>
      </c>
      <c r="AA111">
        <f>IF(OR($E111="",$F111=""),0,MAX(0,MIN($F111,DATE(Dashboard!$C$4,10,1))-MAX($E111,DATE(Dashboard!$C$4,9,1))))</f>
        <v/>
      </c>
      <c r="AB111">
        <f>IF(OR($E111="",$F111=""),0,MAX(0,MIN($F111,DATE(Dashboard!$C$4,11,1))-MAX($E111,DATE(Dashboard!$C$4,10,1))))</f>
        <v/>
      </c>
      <c r="AC111">
        <f>IF(OR($E111="",$F111=""),0,MAX(0,MIN($F111,DATE(Dashboard!$C$4,12,1))-MAX($E111,DATE(Dashboard!$C$4,11,1))))</f>
        <v/>
      </c>
      <c r="AD111">
        <f>IF(OR($E111="",$F111=""),0,MAX(0,MIN($F111,DATE(Dashboard!$C$4,13,1))-MAX($E111,DATE(Dashboard!$C$4,12,1))))</f>
        <v/>
      </c>
      <c r="AE111">
        <f>SUM(S111:AD111)</f>
        <v/>
      </c>
      <c r="AF111">
        <f>Q111*AE111</f>
        <v/>
      </c>
      <c r="AG111">
        <f>R111*AE111</f>
        <v/>
      </c>
      <c r="AH111">
        <f>SUMPRODUCT(S111:AD111,--(COLUMN(S111:AD111)-COLUMN(S111)+1&lt;=Dashboard!$N$1))</f>
        <v/>
      </c>
      <c r="AI111">
        <f>IF(OR(E111="",E111&lt;TODAY()),"",E111+ROW()/100000)</f>
        <v/>
      </c>
      <c r="AJ111">
        <f>IF(OR(F111="",F111&lt;TODAY()),"",F111+ROW()/100000)</f>
        <v/>
      </c>
    </row>
    <row r="112">
      <c r="A112" s="1" t="n"/>
      <c r="B112" s="35" t="n"/>
      <c r="C112" s="35" t="n"/>
      <c r="D112" s="35" t="n"/>
      <c r="E112" s="36" t="n"/>
      <c r="F112" s="36" t="n"/>
      <c r="G112" s="18">
        <f>IF(OR(E112="",F112=""),"",F112-E112)</f>
        <v/>
      </c>
      <c r="H112" s="37" t="n"/>
      <c r="I112" s="38" t="n"/>
      <c r="J112" s="38" t="n"/>
      <c r="K112" s="38" t="n"/>
      <c r="L112" s="31">
        <f>IF(E112="","",N(I112)+N(J112)-N(K112))</f>
        <v/>
      </c>
      <c r="M112" s="39" t="n"/>
      <c r="N112" s="27">
        <f>IF(E112="","",IF(TODAY()&lt;E112,"Upcoming",IF(TODAY()&lt;F112,"Staying now",IF(M112="Yes","Checked out","Payout not received"))))</f>
        <v/>
      </c>
      <c r="O112" s="35" t="n"/>
      <c r="P112" s="1" t="n"/>
      <c r="Q112">
        <f>IF(N(G112)&gt;0,L112/G112,0)</f>
        <v/>
      </c>
      <c r="R112">
        <f>IF(N(G112)&gt;0,N(I112)/G112,0)</f>
        <v/>
      </c>
      <c r="S112">
        <f>IF(OR($E112="",$F112=""),0,MAX(0,MIN($F112,DATE(Dashboard!$C$4,2,1))-MAX($E112,DATE(Dashboard!$C$4,1,1))))</f>
        <v/>
      </c>
      <c r="T112">
        <f>IF(OR($E112="",$F112=""),0,MAX(0,MIN($F112,DATE(Dashboard!$C$4,3,1))-MAX($E112,DATE(Dashboard!$C$4,2,1))))</f>
        <v/>
      </c>
      <c r="U112">
        <f>IF(OR($E112="",$F112=""),0,MAX(0,MIN($F112,DATE(Dashboard!$C$4,4,1))-MAX($E112,DATE(Dashboard!$C$4,3,1))))</f>
        <v/>
      </c>
      <c r="V112">
        <f>IF(OR($E112="",$F112=""),0,MAX(0,MIN($F112,DATE(Dashboard!$C$4,5,1))-MAX($E112,DATE(Dashboard!$C$4,4,1))))</f>
        <v/>
      </c>
      <c r="W112">
        <f>IF(OR($E112="",$F112=""),0,MAX(0,MIN($F112,DATE(Dashboard!$C$4,6,1))-MAX($E112,DATE(Dashboard!$C$4,5,1))))</f>
        <v/>
      </c>
      <c r="X112">
        <f>IF(OR($E112="",$F112=""),0,MAX(0,MIN($F112,DATE(Dashboard!$C$4,7,1))-MAX($E112,DATE(Dashboard!$C$4,6,1))))</f>
        <v/>
      </c>
      <c r="Y112">
        <f>IF(OR($E112="",$F112=""),0,MAX(0,MIN($F112,DATE(Dashboard!$C$4,8,1))-MAX($E112,DATE(Dashboard!$C$4,7,1))))</f>
        <v/>
      </c>
      <c r="Z112">
        <f>IF(OR($E112="",$F112=""),0,MAX(0,MIN($F112,DATE(Dashboard!$C$4,9,1))-MAX($E112,DATE(Dashboard!$C$4,8,1))))</f>
        <v/>
      </c>
      <c r="AA112">
        <f>IF(OR($E112="",$F112=""),0,MAX(0,MIN($F112,DATE(Dashboard!$C$4,10,1))-MAX($E112,DATE(Dashboard!$C$4,9,1))))</f>
        <v/>
      </c>
      <c r="AB112">
        <f>IF(OR($E112="",$F112=""),0,MAX(0,MIN($F112,DATE(Dashboard!$C$4,11,1))-MAX($E112,DATE(Dashboard!$C$4,10,1))))</f>
        <v/>
      </c>
      <c r="AC112">
        <f>IF(OR($E112="",$F112=""),0,MAX(0,MIN($F112,DATE(Dashboard!$C$4,12,1))-MAX($E112,DATE(Dashboard!$C$4,11,1))))</f>
        <v/>
      </c>
      <c r="AD112">
        <f>IF(OR($E112="",$F112=""),0,MAX(0,MIN($F112,DATE(Dashboard!$C$4,13,1))-MAX($E112,DATE(Dashboard!$C$4,12,1))))</f>
        <v/>
      </c>
      <c r="AE112">
        <f>SUM(S112:AD112)</f>
        <v/>
      </c>
      <c r="AF112">
        <f>Q112*AE112</f>
        <v/>
      </c>
      <c r="AG112">
        <f>R112*AE112</f>
        <v/>
      </c>
      <c r="AH112">
        <f>SUMPRODUCT(S112:AD112,--(COLUMN(S112:AD112)-COLUMN(S112)+1&lt;=Dashboard!$N$1))</f>
        <v/>
      </c>
      <c r="AI112">
        <f>IF(OR(E112="",E112&lt;TODAY()),"",E112+ROW()/100000)</f>
        <v/>
      </c>
      <c r="AJ112">
        <f>IF(OR(F112="",F112&lt;TODAY()),"",F112+ROW()/100000)</f>
        <v/>
      </c>
    </row>
    <row r="113">
      <c r="A113" s="1" t="n"/>
      <c r="B113" s="35" t="n"/>
      <c r="C113" s="35" t="n"/>
      <c r="D113" s="35" t="n"/>
      <c r="E113" s="36" t="n"/>
      <c r="F113" s="36" t="n"/>
      <c r="G113" s="18">
        <f>IF(OR(E113="",F113=""),"",F113-E113)</f>
        <v/>
      </c>
      <c r="H113" s="37" t="n"/>
      <c r="I113" s="38" t="n"/>
      <c r="J113" s="38" t="n"/>
      <c r="K113" s="38" t="n"/>
      <c r="L113" s="31">
        <f>IF(E113="","",N(I113)+N(J113)-N(K113))</f>
        <v/>
      </c>
      <c r="M113" s="39" t="n"/>
      <c r="N113" s="27">
        <f>IF(E113="","",IF(TODAY()&lt;E113,"Upcoming",IF(TODAY()&lt;F113,"Staying now",IF(M113="Yes","Checked out","Payout not received"))))</f>
        <v/>
      </c>
      <c r="O113" s="35" t="n"/>
      <c r="P113" s="1" t="n"/>
      <c r="Q113">
        <f>IF(N(G113)&gt;0,L113/G113,0)</f>
        <v/>
      </c>
      <c r="R113">
        <f>IF(N(G113)&gt;0,N(I113)/G113,0)</f>
        <v/>
      </c>
      <c r="S113">
        <f>IF(OR($E113="",$F113=""),0,MAX(0,MIN($F113,DATE(Dashboard!$C$4,2,1))-MAX($E113,DATE(Dashboard!$C$4,1,1))))</f>
        <v/>
      </c>
      <c r="T113">
        <f>IF(OR($E113="",$F113=""),0,MAX(0,MIN($F113,DATE(Dashboard!$C$4,3,1))-MAX($E113,DATE(Dashboard!$C$4,2,1))))</f>
        <v/>
      </c>
      <c r="U113">
        <f>IF(OR($E113="",$F113=""),0,MAX(0,MIN($F113,DATE(Dashboard!$C$4,4,1))-MAX($E113,DATE(Dashboard!$C$4,3,1))))</f>
        <v/>
      </c>
      <c r="V113">
        <f>IF(OR($E113="",$F113=""),0,MAX(0,MIN($F113,DATE(Dashboard!$C$4,5,1))-MAX($E113,DATE(Dashboard!$C$4,4,1))))</f>
        <v/>
      </c>
      <c r="W113">
        <f>IF(OR($E113="",$F113=""),0,MAX(0,MIN($F113,DATE(Dashboard!$C$4,6,1))-MAX($E113,DATE(Dashboard!$C$4,5,1))))</f>
        <v/>
      </c>
      <c r="X113">
        <f>IF(OR($E113="",$F113=""),0,MAX(0,MIN($F113,DATE(Dashboard!$C$4,7,1))-MAX($E113,DATE(Dashboard!$C$4,6,1))))</f>
        <v/>
      </c>
      <c r="Y113">
        <f>IF(OR($E113="",$F113=""),0,MAX(0,MIN($F113,DATE(Dashboard!$C$4,8,1))-MAX($E113,DATE(Dashboard!$C$4,7,1))))</f>
        <v/>
      </c>
      <c r="Z113">
        <f>IF(OR($E113="",$F113=""),0,MAX(0,MIN($F113,DATE(Dashboard!$C$4,9,1))-MAX($E113,DATE(Dashboard!$C$4,8,1))))</f>
        <v/>
      </c>
      <c r="AA113">
        <f>IF(OR($E113="",$F113=""),0,MAX(0,MIN($F113,DATE(Dashboard!$C$4,10,1))-MAX($E113,DATE(Dashboard!$C$4,9,1))))</f>
        <v/>
      </c>
      <c r="AB113">
        <f>IF(OR($E113="",$F113=""),0,MAX(0,MIN($F113,DATE(Dashboard!$C$4,11,1))-MAX($E113,DATE(Dashboard!$C$4,10,1))))</f>
        <v/>
      </c>
      <c r="AC113">
        <f>IF(OR($E113="",$F113=""),0,MAX(0,MIN($F113,DATE(Dashboard!$C$4,12,1))-MAX($E113,DATE(Dashboard!$C$4,11,1))))</f>
        <v/>
      </c>
      <c r="AD113">
        <f>IF(OR($E113="",$F113=""),0,MAX(0,MIN($F113,DATE(Dashboard!$C$4,13,1))-MAX($E113,DATE(Dashboard!$C$4,12,1))))</f>
        <v/>
      </c>
      <c r="AE113">
        <f>SUM(S113:AD113)</f>
        <v/>
      </c>
      <c r="AF113">
        <f>Q113*AE113</f>
        <v/>
      </c>
      <c r="AG113">
        <f>R113*AE113</f>
        <v/>
      </c>
      <c r="AH113">
        <f>SUMPRODUCT(S113:AD113,--(COLUMN(S113:AD113)-COLUMN(S113)+1&lt;=Dashboard!$N$1))</f>
        <v/>
      </c>
      <c r="AI113">
        <f>IF(OR(E113="",E113&lt;TODAY()),"",E113+ROW()/100000)</f>
        <v/>
      </c>
      <c r="AJ113">
        <f>IF(OR(F113="",F113&lt;TODAY()),"",F113+ROW()/100000)</f>
        <v/>
      </c>
    </row>
    <row r="114">
      <c r="A114" s="1" t="n"/>
      <c r="B114" s="35" t="n"/>
      <c r="C114" s="35" t="n"/>
      <c r="D114" s="35" t="n"/>
      <c r="E114" s="36" t="n"/>
      <c r="F114" s="36" t="n"/>
      <c r="G114" s="18">
        <f>IF(OR(E114="",F114=""),"",F114-E114)</f>
        <v/>
      </c>
      <c r="H114" s="37" t="n"/>
      <c r="I114" s="38" t="n"/>
      <c r="J114" s="38" t="n"/>
      <c r="K114" s="38" t="n"/>
      <c r="L114" s="31">
        <f>IF(E114="","",N(I114)+N(J114)-N(K114))</f>
        <v/>
      </c>
      <c r="M114" s="39" t="n"/>
      <c r="N114" s="27">
        <f>IF(E114="","",IF(TODAY()&lt;E114,"Upcoming",IF(TODAY()&lt;F114,"Staying now",IF(M114="Yes","Checked out","Payout not received"))))</f>
        <v/>
      </c>
      <c r="O114" s="35" t="n"/>
      <c r="P114" s="1" t="n"/>
      <c r="Q114">
        <f>IF(N(G114)&gt;0,L114/G114,0)</f>
        <v/>
      </c>
      <c r="R114">
        <f>IF(N(G114)&gt;0,N(I114)/G114,0)</f>
        <v/>
      </c>
      <c r="S114">
        <f>IF(OR($E114="",$F114=""),0,MAX(0,MIN($F114,DATE(Dashboard!$C$4,2,1))-MAX($E114,DATE(Dashboard!$C$4,1,1))))</f>
        <v/>
      </c>
      <c r="T114">
        <f>IF(OR($E114="",$F114=""),0,MAX(0,MIN($F114,DATE(Dashboard!$C$4,3,1))-MAX($E114,DATE(Dashboard!$C$4,2,1))))</f>
        <v/>
      </c>
      <c r="U114">
        <f>IF(OR($E114="",$F114=""),0,MAX(0,MIN($F114,DATE(Dashboard!$C$4,4,1))-MAX($E114,DATE(Dashboard!$C$4,3,1))))</f>
        <v/>
      </c>
      <c r="V114">
        <f>IF(OR($E114="",$F114=""),0,MAX(0,MIN($F114,DATE(Dashboard!$C$4,5,1))-MAX($E114,DATE(Dashboard!$C$4,4,1))))</f>
        <v/>
      </c>
      <c r="W114">
        <f>IF(OR($E114="",$F114=""),0,MAX(0,MIN($F114,DATE(Dashboard!$C$4,6,1))-MAX($E114,DATE(Dashboard!$C$4,5,1))))</f>
        <v/>
      </c>
      <c r="X114">
        <f>IF(OR($E114="",$F114=""),0,MAX(0,MIN($F114,DATE(Dashboard!$C$4,7,1))-MAX($E114,DATE(Dashboard!$C$4,6,1))))</f>
        <v/>
      </c>
      <c r="Y114">
        <f>IF(OR($E114="",$F114=""),0,MAX(0,MIN($F114,DATE(Dashboard!$C$4,8,1))-MAX($E114,DATE(Dashboard!$C$4,7,1))))</f>
        <v/>
      </c>
      <c r="Z114">
        <f>IF(OR($E114="",$F114=""),0,MAX(0,MIN($F114,DATE(Dashboard!$C$4,9,1))-MAX($E114,DATE(Dashboard!$C$4,8,1))))</f>
        <v/>
      </c>
      <c r="AA114">
        <f>IF(OR($E114="",$F114=""),0,MAX(0,MIN($F114,DATE(Dashboard!$C$4,10,1))-MAX($E114,DATE(Dashboard!$C$4,9,1))))</f>
        <v/>
      </c>
      <c r="AB114">
        <f>IF(OR($E114="",$F114=""),0,MAX(0,MIN($F114,DATE(Dashboard!$C$4,11,1))-MAX($E114,DATE(Dashboard!$C$4,10,1))))</f>
        <v/>
      </c>
      <c r="AC114">
        <f>IF(OR($E114="",$F114=""),0,MAX(0,MIN($F114,DATE(Dashboard!$C$4,12,1))-MAX($E114,DATE(Dashboard!$C$4,11,1))))</f>
        <v/>
      </c>
      <c r="AD114">
        <f>IF(OR($E114="",$F114=""),0,MAX(0,MIN($F114,DATE(Dashboard!$C$4,13,1))-MAX($E114,DATE(Dashboard!$C$4,12,1))))</f>
        <v/>
      </c>
      <c r="AE114">
        <f>SUM(S114:AD114)</f>
        <v/>
      </c>
      <c r="AF114">
        <f>Q114*AE114</f>
        <v/>
      </c>
      <c r="AG114">
        <f>R114*AE114</f>
        <v/>
      </c>
      <c r="AH114">
        <f>SUMPRODUCT(S114:AD114,--(COLUMN(S114:AD114)-COLUMN(S114)+1&lt;=Dashboard!$N$1))</f>
        <v/>
      </c>
      <c r="AI114">
        <f>IF(OR(E114="",E114&lt;TODAY()),"",E114+ROW()/100000)</f>
        <v/>
      </c>
      <c r="AJ114">
        <f>IF(OR(F114="",F114&lt;TODAY()),"",F114+ROW()/100000)</f>
        <v/>
      </c>
    </row>
    <row r="115">
      <c r="A115" s="1" t="n"/>
      <c r="B115" s="35" t="n"/>
      <c r="C115" s="35" t="n"/>
      <c r="D115" s="35" t="n"/>
      <c r="E115" s="36" t="n"/>
      <c r="F115" s="36" t="n"/>
      <c r="G115" s="18">
        <f>IF(OR(E115="",F115=""),"",F115-E115)</f>
        <v/>
      </c>
      <c r="H115" s="37" t="n"/>
      <c r="I115" s="38" t="n"/>
      <c r="J115" s="38" t="n"/>
      <c r="K115" s="38" t="n"/>
      <c r="L115" s="31">
        <f>IF(E115="","",N(I115)+N(J115)-N(K115))</f>
        <v/>
      </c>
      <c r="M115" s="39" t="n"/>
      <c r="N115" s="27">
        <f>IF(E115="","",IF(TODAY()&lt;E115,"Upcoming",IF(TODAY()&lt;F115,"Staying now",IF(M115="Yes","Checked out","Payout not received"))))</f>
        <v/>
      </c>
      <c r="O115" s="35" t="n"/>
      <c r="P115" s="1" t="n"/>
      <c r="Q115">
        <f>IF(N(G115)&gt;0,L115/G115,0)</f>
        <v/>
      </c>
      <c r="R115">
        <f>IF(N(G115)&gt;0,N(I115)/G115,0)</f>
        <v/>
      </c>
      <c r="S115">
        <f>IF(OR($E115="",$F115=""),0,MAX(0,MIN($F115,DATE(Dashboard!$C$4,2,1))-MAX($E115,DATE(Dashboard!$C$4,1,1))))</f>
        <v/>
      </c>
      <c r="T115">
        <f>IF(OR($E115="",$F115=""),0,MAX(0,MIN($F115,DATE(Dashboard!$C$4,3,1))-MAX($E115,DATE(Dashboard!$C$4,2,1))))</f>
        <v/>
      </c>
      <c r="U115">
        <f>IF(OR($E115="",$F115=""),0,MAX(0,MIN($F115,DATE(Dashboard!$C$4,4,1))-MAX($E115,DATE(Dashboard!$C$4,3,1))))</f>
        <v/>
      </c>
      <c r="V115">
        <f>IF(OR($E115="",$F115=""),0,MAX(0,MIN($F115,DATE(Dashboard!$C$4,5,1))-MAX($E115,DATE(Dashboard!$C$4,4,1))))</f>
        <v/>
      </c>
      <c r="W115">
        <f>IF(OR($E115="",$F115=""),0,MAX(0,MIN($F115,DATE(Dashboard!$C$4,6,1))-MAX($E115,DATE(Dashboard!$C$4,5,1))))</f>
        <v/>
      </c>
      <c r="X115">
        <f>IF(OR($E115="",$F115=""),0,MAX(0,MIN($F115,DATE(Dashboard!$C$4,7,1))-MAX($E115,DATE(Dashboard!$C$4,6,1))))</f>
        <v/>
      </c>
      <c r="Y115">
        <f>IF(OR($E115="",$F115=""),0,MAX(0,MIN($F115,DATE(Dashboard!$C$4,8,1))-MAX($E115,DATE(Dashboard!$C$4,7,1))))</f>
        <v/>
      </c>
      <c r="Z115">
        <f>IF(OR($E115="",$F115=""),0,MAX(0,MIN($F115,DATE(Dashboard!$C$4,9,1))-MAX($E115,DATE(Dashboard!$C$4,8,1))))</f>
        <v/>
      </c>
      <c r="AA115">
        <f>IF(OR($E115="",$F115=""),0,MAX(0,MIN($F115,DATE(Dashboard!$C$4,10,1))-MAX($E115,DATE(Dashboard!$C$4,9,1))))</f>
        <v/>
      </c>
      <c r="AB115">
        <f>IF(OR($E115="",$F115=""),0,MAX(0,MIN($F115,DATE(Dashboard!$C$4,11,1))-MAX($E115,DATE(Dashboard!$C$4,10,1))))</f>
        <v/>
      </c>
      <c r="AC115">
        <f>IF(OR($E115="",$F115=""),0,MAX(0,MIN($F115,DATE(Dashboard!$C$4,12,1))-MAX($E115,DATE(Dashboard!$C$4,11,1))))</f>
        <v/>
      </c>
      <c r="AD115">
        <f>IF(OR($E115="",$F115=""),0,MAX(0,MIN($F115,DATE(Dashboard!$C$4,13,1))-MAX($E115,DATE(Dashboard!$C$4,12,1))))</f>
        <v/>
      </c>
      <c r="AE115">
        <f>SUM(S115:AD115)</f>
        <v/>
      </c>
      <c r="AF115">
        <f>Q115*AE115</f>
        <v/>
      </c>
      <c r="AG115">
        <f>R115*AE115</f>
        <v/>
      </c>
      <c r="AH115">
        <f>SUMPRODUCT(S115:AD115,--(COLUMN(S115:AD115)-COLUMN(S115)+1&lt;=Dashboard!$N$1))</f>
        <v/>
      </c>
      <c r="AI115">
        <f>IF(OR(E115="",E115&lt;TODAY()),"",E115+ROW()/100000)</f>
        <v/>
      </c>
      <c r="AJ115">
        <f>IF(OR(F115="",F115&lt;TODAY()),"",F115+ROW()/100000)</f>
        <v/>
      </c>
    </row>
    <row r="116">
      <c r="A116" s="1" t="n"/>
      <c r="B116" s="35" t="n"/>
      <c r="C116" s="35" t="n"/>
      <c r="D116" s="35" t="n"/>
      <c r="E116" s="36" t="n"/>
      <c r="F116" s="36" t="n"/>
      <c r="G116" s="18">
        <f>IF(OR(E116="",F116=""),"",F116-E116)</f>
        <v/>
      </c>
      <c r="H116" s="37" t="n"/>
      <c r="I116" s="38" t="n"/>
      <c r="J116" s="38" t="n"/>
      <c r="K116" s="38" t="n"/>
      <c r="L116" s="31">
        <f>IF(E116="","",N(I116)+N(J116)-N(K116))</f>
        <v/>
      </c>
      <c r="M116" s="39" t="n"/>
      <c r="N116" s="27">
        <f>IF(E116="","",IF(TODAY()&lt;E116,"Upcoming",IF(TODAY()&lt;F116,"Staying now",IF(M116="Yes","Checked out","Payout not received"))))</f>
        <v/>
      </c>
      <c r="O116" s="35" t="n"/>
      <c r="P116" s="1" t="n"/>
      <c r="Q116">
        <f>IF(N(G116)&gt;0,L116/G116,0)</f>
        <v/>
      </c>
      <c r="R116">
        <f>IF(N(G116)&gt;0,N(I116)/G116,0)</f>
        <v/>
      </c>
      <c r="S116">
        <f>IF(OR($E116="",$F116=""),0,MAX(0,MIN($F116,DATE(Dashboard!$C$4,2,1))-MAX($E116,DATE(Dashboard!$C$4,1,1))))</f>
        <v/>
      </c>
      <c r="T116">
        <f>IF(OR($E116="",$F116=""),0,MAX(0,MIN($F116,DATE(Dashboard!$C$4,3,1))-MAX($E116,DATE(Dashboard!$C$4,2,1))))</f>
        <v/>
      </c>
      <c r="U116">
        <f>IF(OR($E116="",$F116=""),0,MAX(0,MIN($F116,DATE(Dashboard!$C$4,4,1))-MAX($E116,DATE(Dashboard!$C$4,3,1))))</f>
        <v/>
      </c>
      <c r="V116">
        <f>IF(OR($E116="",$F116=""),0,MAX(0,MIN($F116,DATE(Dashboard!$C$4,5,1))-MAX($E116,DATE(Dashboard!$C$4,4,1))))</f>
        <v/>
      </c>
      <c r="W116">
        <f>IF(OR($E116="",$F116=""),0,MAX(0,MIN($F116,DATE(Dashboard!$C$4,6,1))-MAX($E116,DATE(Dashboard!$C$4,5,1))))</f>
        <v/>
      </c>
      <c r="X116">
        <f>IF(OR($E116="",$F116=""),0,MAX(0,MIN($F116,DATE(Dashboard!$C$4,7,1))-MAX($E116,DATE(Dashboard!$C$4,6,1))))</f>
        <v/>
      </c>
      <c r="Y116">
        <f>IF(OR($E116="",$F116=""),0,MAX(0,MIN($F116,DATE(Dashboard!$C$4,8,1))-MAX($E116,DATE(Dashboard!$C$4,7,1))))</f>
        <v/>
      </c>
      <c r="Z116">
        <f>IF(OR($E116="",$F116=""),0,MAX(0,MIN($F116,DATE(Dashboard!$C$4,9,1))-MAX($E116,DATE(Dashboard!$C$4,8,1))))</f>
        <v/>
      </c>
      <c r="AA116">
        <f>IF(OR($E116="",$F116=""),0,MAX(0,MIN($F116,DATE(Dashboard!$C$4,10,1))-MAX($E116,DATE(Dashboard!$C$4,9,1))))</f>
        <v/>
      </c>
      <c r="AB116">
        <f>IF(OR($E116="",$F116=""),0,MAX(0,MIN($F116,DATE(Dashboard!$C$4,11,1))-MAX($E116,DATE(Dashboard!$C$4,10,1))))</f>
        <v/>
      </c>
      <c r="AC116">
        <f>IF(OR($E116="",$F116=""),0,MAX(0,MIN($F116,DATE(Dashboard!$C$4,12,1))-MAX($E116,DATE(Dashboard!$C$4,11,1))))</f>
        <v/>
      </c>
      <c r="AD116">
        <f>IF(OR($E116="",$F116=""),0,MAX(0,MIN($F116,DATE(Dashboard!$C$4,13,1))-MAX($E116,DATE(Dashboard!$C$4,12,1))))</f>
        <v/>
      </c>
      <c r="AE116">
        <f>SUM(S116:AD116)</f>
        <v/>
      </c>
      <c r="AF116">
        <f>Q116*AE116</f>
        <v/>
      </c>
      <c r="AG116">
        <f>R116*AE116</f>
        <v/>
      </c>
      <c r="AH116">
        <f>SUMPRODUCT(S116:AD116,--(COLUMN(S116:AD116)-COLUMN(S116)+1&lt;=Dashboard!$N$1))</f>
        <v/>
      </c>
      <c r="AI116">
        <f>IF(OR(E116="",E116&lt;TODAY()),"",E116+ROW()/100000)</f>
        <v/>
      </c>
      <c r="AJ116">
        <f>IF(OR(F116="",F116&lt;TODAY()),"",F116+ROW()/100000)</f>
        <v/>
      </c>
    </row>
    <row r="117">
      <c r="A117" s="1" t="n"/>
      <c r="B117" s="35" t="n"/>
      <c r="C117" s="35" t="n"/>
      <c r="D117" s="35" t="n"/>
      <c r="E117" s="36" t="n"/>
      <c r="F117" s="36" t="n"/>
      <c r="G117" s="18">
        <f>IF(OR(E117="",F117=""),"",F117-E117)</f>
        <v/>
      </c>
      <c r="H117" s="37" t="n"/>
      <c r="I117" s="38" t="n"/>
      <c r="J117" s="38" t="n"/>
      <c r="K117" s="38" t="n"/>
      <c r="L117" s="31">
        <f>IF(E117="","",N(I117)+N(J117)-N(K117))</f>
        <v/>
      </c>
      <c r="M117" s="39" t="n"/>
      <c r="N117" s="27">
        <f>IF(E117="","",IF(TODAY()&lt;E117,"Upcoming",IF(TODAY()&lt;F117,"Staying now",IF(M117="Yes","Checked out","Payout not received"))))</f>
        <v/>
      </c>
      <c r="O117" s="35" t="n"/>
      <c r="P117" s="1" t="n"/>
      <c r="Q117">
        <f>IF(N(G117)&gt;0,L117/G117,0)</f>
        <v/>
      </c>
      <c r="R117">
        <f>IF(N(G117)&gt;0,N(I117)/G117,0)</f>
        <v/>
      </c>
      <c r="S117">
        <f>IF(OR($E117="",$F117=""),0,MAX(0,MIN($F117,DATE(Dashboard!$C$4,2,1))-MAX($E117,DATE(Dashboard!$C$4,1,1))))</f>
        <v/>
      </c>
      <c r="T117">
        <f>IF(OR($E117="",$F117=""),0,MAX(0,MIN($F117,DATE(Dashboard!$C$4,3,1))-MAX($E117,DATE(Dashboard!$C$4,2,1))))</f>
        <v/>
      </c>
      <c r="U117">
        <f>IF(OR($E117="",$F117=""),0,MAX(0,MIN($F117,DATE(Dashboard!$C$4,4,1))-MAX($E117,DATE(Dashboard!$C$4,3,1))))</f>
        <v/>
      </c>
      <c r="V117">
        <f>IF(OR($E117="",$F117=""),0,MAX(0,MIN($F117,DATE(Dashboard!$C$4,5,1))-MAX($E117,DATE(Dashboard!$C$4,4,1))))</f>
        <v/>
      </c>
      <c r="W117">
        <f>IF(OR($E117="",$F117=""),0,MAX(0,MIN($F117,DATE(Dashboard!$C$4,6,1))-MAX($E117,DATE(Dashboard!$C$4,5,1))))</f>
        <v/>
      </c>
      <c r="X117">
        <f>IF(OR($E117="",$F117=""),0,MAX(0,MIN($F117,DATE(Dashboard!$C$4,7,1))-MAX($E117,DATE(Dashboard!$C$4,6,1))))</f>
        <v/>
      </c>
      <c r="Y117">
        <f>IF(OR($E117="",$F117=""),0,MAX(0,MIN($F117,DATE(Dashboard!$C$4,8,1))-MAX($E117,DATE(Dashboard!$C$4,7,1))))</f>
        <v/>
      </c>
      <c r="Z117">
        <f>IF(OR($E117="",$F117=""),0,MAX(0,MIN($F117,DATE(Dashboard!$C$4,9,1))-MAX($E117,DATE(Dashboard!$C$4,8,1))))</f>
        <v/>
      </c>
      <c r="AA117">
        <f>IF(OR($E117="",$F117=""),0,MAX(0,MIN($F117,DATE(Dashboard!$C$4,10,1))-MAX($E117,DATE(Dashboard!$C$4,9,1))))</f>
        <v/>
      </c>
      <c r="AB117">
        <f>IF(OR($E117="",$F117=""),0,MAX(0,MIN($F117,DATE(Dashboard!$C$4,11,1))-MAX($E117,DATE(Dashboard!$C$4,10,1))))</f>
        <v/>
      </c>
      <c r="AC117">
        <f>IF(OR($E117="",$F117=""),0,MAX(0,MIN($F117,DATE(Dashboard!$C$4,12,1))-MAX($E117,DATE(Dashboard!$C$4,11,1))))</f>
        <v/>
      </c>
      <c r="AD117">
        <f>IF(OR($E117="",$F117=""),0,MAX(0,MIN($F117,DATE(Dashboard!$C$4,13,1))-MAX($E117,DATE(Dashboard!$C$4,12,1))))</f>
        <v/>
      </c>
      <c r="AE117">
        <f>SUM(S117:AD117)</f>
        <v/>
      </c>
      <c r="AF117">
        <f>Q117*AE117</f>
        <v/>
      </c>
      <c r="AG117">
        <f>R117*AE117</f>
        <v/>
      </c>
      <c r="AH117">
        <f>SUMPRODUCT(S117:AD117,--(COLUMN(S117:AD117)-COLUMN(S117)+1&lt;=Dashboard!$N$1))</f>
        <v/>
      </c>
      <c r="AI117">
        <f>IF(OR(E117="",E117&lt;TODAY()),"",E117+ROW()/100000)</f>
        <v/>
      </c>
      <c r="AJ117">
        <f>IF(OR(F117="",F117&lt;TODAY()),"",F117+ROW()/100000)</f>
        <v/>
      </c>
    </row>
    <row r="118">
      <c r="A118" s="1" t="n"/>
      <c r="B118" s="35" t="n"/>
      <c r="C118" s="35" t="n"/>
      <c r="D118" s="35" t="n"/>
      <c r="E118" s="36" t="n"/>
      <c r="F118" s="36" t="n"/>
      <c r="G118" s="18">
        <f>IF(OR(E118="",F118=""),"",F118-E118)</f>
        <v/>
      </c>
      <c r="H118" s="37" t="n"/>
      <c r="I118" s="38" t="n"/>
      <c r="J118" s="38" t="n"/>
      <c r="K118" s="38" t="n"/>
      <c r="L118" s="31">
        <f>IF(E118="","",N(I118)+N(J118)-N(K118))</f>
        <v/>
      </c>
      <c r="M118" s="39" t="n"/>
      <c r="N118" s="27">
        <f>IF(E118="","",IF(TODAY()&lt;E118,"Upcoming",IF(TODAY()&lt;F118,"Staying now",IF(M118="Yes","Checked out","Payout not received"))))</f>
        <v/>
      </c>
      <c r="O118" s="35" t="n"/>
      <c r="P118" s="1" t="n"/>
      <c r="Q118">
        <f>IF(N(G118)&gt;0,L118/G118,0)</f>
        <v/>
      </c>
      <c r="R118">
        <f>IF(N(G118)&gt;0,N(I118)/G118,0)</f>
        <v/>
      </c>
      <c r="S118">
        <f>IF(OR($E118="",$F118=""),0,MAX(0,MIN($F118,DATE(Dashboard!$C$4,2,1))-MAX($E118,DATE(Dashboard!$C$4,1,1))))</f>
        <v/>
      </c>
      <c r="T118">
        <f>IF(OR($E118="",$F118=""),0,MAX(0,MIN($F118,DATE(Dashboard!$C$4,3,1))-MAX($E118,DATE(Dashboard!$C$4,2,1))))</f>
        <v/>
      </c>
      <c r="U118">
        <f>IF(OR($E118="",$F118=""),0,MAX(0,MIN($F118,DATE(Dashboard!$C$4,4,1))-MAX($E118,DATE(Dashboard!$C$4,3,1))))</f>
        <v/>
      </c>
      <c r="V118">
        <f>IF(OR($E118="",$F118=""),0,MAX(0,MIN($F118,DATE(Dashboard!$C$4,5,1))-MAX($E118,DATE(Dashboard!$C$4,4,1))))</f>
        <v/>
      </c>
      <c r="W118">
        <f>IF(OR($E118="",$F118=""),0,MAX(0,MIN($F118,DATE(Dashboard!$C$4,6,1))-MAX($E118,DATE(Dashboard!$C$4,5,1))))</f>
        <v/>
      </c>
      <c r="X118">
        <f>IF(OR($E118="",$F118=""),0,MAX(0,MIN($F118,DATE(Dashboard!$C$4,7,1))-MAX($E118,DATE(Dashboard!$C$4,6,1))))</f>
        <v/>
      </c>
      <c r="Y118">
        <f>IF(OR($E118="",$F118=""),0,MAX(0,MIN($F118,DATE(Dashboard!$C$4,8,1))-MAX($E118,DATE(Dashboard!$C$4,7,1))))</f>
        <v/>
      </c>
      <c r="Z118">
        <f>IF(OR($E118="",$F118=""),0,MAX(0,MIN($F118,DATE(Dashboard!$C$4,9,1))-MAX($E118,DATE(Dashboard!$C$4,8,1))))</f>
        <v/>
      </c>
      <c r="AA118">
        <f>IF(OR($E118="",$F118=""),0,MAX(0,MIN($F118,DATE(Dashboard!$C$4,10,1))-MAX($E118,DATE(Dashboard!$C$4,9,1))))</f>
        <v/>
      </c>
      <c r="AB118">
        <f>IF(OR($E118="",$F118=""),0,MAX(0,MIN($F118,DATE(Dashboard!$C$4,11,1))-MAX($E118,DATE(Dashboard!$C$4,10,1))))</f>
        <v/>
      </c>
      <c r="AC118">
        <f>IF(OR($E118="",$F118=""),0,MAX(0,MIN($F118,DATE(Dashboard!$C$4,12,1))-MAX($E118,DATE(Dashboard!$C$4,11,1))))</f>
        <v/>
      </c>
      <c r="AD118">
        <f>IF(OR($E118="",$F118=""),0,MAX(0,MIN($F118,DATE(Dashboard!$C$4,13,1))-MAX($E118,DATE(Dashboard!$C$4,12,1))))</f>
        <v/>
      </c>
      <c r="AE118">
        <f>SUM(S118:AD118)</f>
        <v/>
      </c>
      <c r="AF118">
        <f>Q118*AE118</f>
        <v/>
      </c>
      <c r="AG118">
        <f>R118*AE118</f>
        <v/>
      </c>
      <c r="AH118">
        <f>SUMPRODUCT(S118:AD118,--(COLUMN(S118:AD118)-COLUMN(S118)+1&lt;=Dashboard!$N$1))</f>
        <v/>
      </c>
      <c r="AI118">
        <f>IF(OR(E118="",E118&lt;TODAY()),"",E118+ROW()/100000)</f>
        <v/>
      </c>
      <c r="AJ118">
        <f>IF(OR(F118="",F118&lt;TODAY()),"",F118+ROW()/100000)</f>
        <v/>
      </c>
    </row>
    <row r="119">
      <c r="A119" s="1" t="n"/>
      <c r="B119" s="35" t="n"/>
      <c r="C119" s="35" t="n"/>
      <c r="D119" s="35" t="n"/>
      <c r="E119" s="36" t="n"/>
      <c r="F119" s="36" t="n"/>
      <c r="G119" s="18">
        <f>IF(OR(E119="",F119=""),"",F119-E119)</f>
        <v/>
      </c>
      <c r="H119" s="37" t="n"/>
      <c r="I119" s="38" t="n"/>
      <c r="J119" s="38" t="n"/>
      <c r="K119" s="38" t="n"/>
      <c r="L119" s="31">
        <f>IF(E119="","",N(I119)+N(J119)-N(K119))</f>
        <v/>
      </c>
      <c r="M119" s="39" t="n"/>
      <c r="N119" s="27">
        <f>IF(E119="","",IF(TODAY()&lt;E119,"Upcoming",IF(TODAY()&lt;F119,"Staying now",IF(M119="Yes","Checked out","Payout not received"))))</f>
        <v/>
      </c>
      <c r="O119" s="35" t="n"/>
      <c r="P119" s="1" t="n"/>
      <c r="Q119">
        <f>IF(N(G119)&gt;0,L119/G119,0)</f>
        <v/>
      </c>
      <c r="R119">
        <f>IF(N(G119)&gt;0,N(I119)/G119,0)</f>
        <v/>
      </c>
      <c r="S119">
        <f>IF(OR($E119="",$F119=""),0,MAX(0,MIN($F119,DATE(Dashboard!$C$4,2,1))-MAX($E119,DATE(Dashboard!$C$4,1,1))))</f>
        <v/>
      </c>
      <c r="T119">
        <f>IF(OR($E119="",$F119=""),0,MAX(0,MIN($F119,DATE(Dashboard!$C$4,3,1))-MAX($E119,DATE(Dashboard!$C$4,2,1))))</f>
        <v/>
      </c>
      <c r="U119">
        <f>IF(OR($E119="",$F119=""),0,MAX(0,MIN($F119,DATE(Dashboard!$C$4,4,1))-MAX($E119,DATE(Dashboard!$C$4,3,1))))</f>
        <v/>
      </c>
      <c r="V119">
        <f>IF(OR($E119="",$F119=""),0,MAX(0,MIN($F119,DATE(Dashboard!$C$4,5,1))-MAX($E119,DATE(Dashboard!$C$4,4,1))))</f>
        <v/>
      </c>
      <c r="W119">
        <f>IF(OR($E119="",$F119=""),0,MAX(0,MIN($F119,DATE(Dashboard!$C$4,6,1))-MAX($E119,DATE(Dashboard!$C$4,5,1))))</f>
        <v/>
      </c>
      <c r="X119">
        <f>IF(OR($E119="",$F119=""),0,MAX(0,MIN($F119,DATE(Dashboard!$C$4,7,1))-MAX($E119,DATE(Dashboard!$C$4,6,1))))</f>
        <v/>
      </c>
      <c r="Y119">
        <f>IF(OR($E119="",$F119=""),0,MAX(0,MIN($F119,DATE(Dashboard!$C$4,8,1))-MAX($E119,DATE(Dashboard!$C$4,7,1))))</f>
        <v/>
      </c>
      <c r="Z119">
        <f>IF(OR($E119="",$F119=""),0,MAX(0,MIN($F119,DATE(Dashboard!$C$4,9,1))-MAX($E119,DATE(Dashboard!$C$4,8,1))))</f>
        <v/>
      </c>
      <c r="AA119">
        <f>IF(OR($E119="",$F119=""),0,MAX(0,MIN($F119,DATE(Dashboard!$C$4,10,1))-MAX($E119,DATE(Dashboard!$C$4,9,1))))</f>
        <v/>
      </c>
      <c r="AB119">
        <f>IF(OR($E119="",$F119=""),0,MAX(0,MIN($F119,DATE(Dashboard!$C$4,11,1))-MAX($E119,DATE(Dashboard!$C$4,10,1))))</f>
        <v/>
      </c>
      <c r="AC119">
        <f>IF(OR($E119="",$F119=""),0,MAX(0,MIN($F119,DATE(Dashboard!$C$4,12,1))-MAX($E119,DATE(Dashboard!$C$4,11,1))))</f>
        <v/>
      </c>
      <c r="AD119">
        <f>IF(OR($E119="",$F119=""),0,MAX(0,MIN($F119,DATE(Dashboard!$C$4,13,1))-MAX($E119,DATE(Dashboard!$C$4,12,1))))</f>
        <v/>
      </c>
      <c r="AE119">
        <f>SUM(S119:AD119)</f>
        <v/>
      </c>
      <c r="AF119">
        <f>Q119*AE119</f>
        <v/>
      </c>
      <c r="AG119">
        <f>R119*AE119</f>
        <v/>
      </c>
      <c r="AH119">
        <f>SUMPRODUCT(S119:AD119,--(COLUMN(S119:AD119)-COLUMN(S119)+1&lt;=Dashboard!$N$1))</f>
        <v/>
      </c>
      <c r="AI119">
        <f>IF(OR(E119="",E119&lt;TODAY()),"",E119+ROW()/100000)</f>
        <v/>
      </c>
      <c r="AJ119">
        <f>IF(OR(F119="",F119&lt;TODAY()),"",F119+ROW()/100000)</f>
        <v/>
      </c>
    </row>
    <row r="120">
      <c r="A120" s="1" t="n"/>
      <c r="B120" s="35" t="n"/>
      <c r="C120" s="35" t="n"/>
      <c r="D120" s="35" t="n"/>
      <c r="E120" s="36" t="n"/>
      <c r="F120" s="36" t="n"/>
      <c r="G120" s="18">
        <f>IF(OR(E120="",F120=""),"",F120-E120)</f>
        <v/>
      </c>
      <c r="H120" s="37" t="n"/>
      <c r="I120" s="38" t="n"/>
      <c r="J120" s="38" t="n"/>
      <c r="K120" s="38" t="n"/>
      <c r="L120" s="31">
        <f>IF(E120="","",N(I120)+N(J120)-N(K120))</f>
        <v/>
      </c>
      <c r="M120" s="39" t="n"/>
      <c r="N120" s="27">
        <f>IF(E120="","",IF(TODAY()&lt;E120,"Upcoming",IF(TODAY()&lt;F120,"Staying now",IF(M120="Yes","Checked out","Payout not received"))))</f>
        <v/>
      </c>
      <c r="O120" s="35" t="n"/>
      <c r="P120" s="1" t="n"/>
      <c r="Q120">
        <f>IF(N(G120)&gt;0,L120/G120,0)</f>
        <v/>
      </c>
      <c r="R120">
        <f>IF(N(G120)&gt;0,N(I120)/G120,0)</f>
        <v/>
      </c>
      <c r="S120">
        <f>IF(OR($E120="",$F120=""),0,MAX(0,MIN($F120,DATE(Dashboard!$C$4,2,1))-MAX($E120,DATE(Dashboard!$C$4,1,1))))</f>
        <v/>
      </c>
      <c r="T120">
        <f>IF(OR($E120="",$F120=""),0,MAX(0,MIN($F120,DATE(Dashboard!$C$4,3,1))-MAX($E120,DATE(Dashboard!$C$4,2,1))))</f>
        <v/>
      </c>
      <c r="U120">
        <f>IF(OR($E120="",$F120=""),0,MAX(0,MIN($F120,DATE(Dashboard!$C$4,4,1))-MAX($E120,DATE(Dashboard!$C$4,3,1))))</f>
        <v/>
      </c>
      <c r="V120">
        <f>IF(OR($E120="",$F120=""),0,MAX(0,MIN($F120,DATE(Dashboard!$C$4,5,1))-MAX($E120,DATE(Dashboard!$C$4,4,1))))</f>
        <v/>
      </c>
      <c r="W120">
        <f>IF(OR($E120="",$F120=""),0,MAX(0,MIN($F120,DATE(Dashboard!$C$4,6,1))-MAX($E120,DATE(Dashboard!$C$4,5,1))))</f>
        <v/>
      </c>
      <c r="X120">
        <f>IF(OR($E120="",$F120=""),0,MAX(0,MIN($F120,DATE(Dashboard!$C$4,7,1))-MAX($E120,DATE(Dashboard!$C$4,6,1))))</f>
        <v/>
      </c>
      <c r="Y120">
        <f>IF(OR($E120="",$F120=""),0,MAX(0,MIN($F120,DATE(Dashboard!$C$4,8,1))-MAX($E120,DATE(Dashboard!$C$4,7,1))))</f>
        <v/>
      </c>
      <c r="Z120">
        <f>IF(OR($E120="",$F120=""),0,MAX(0,MIN($F120,DATE(Dashboard!$C$4,9,1))-MAX($E120,DATE(Dashboard!$C$4,8,1))))</f>
        <v/>
      </c>
      <c r="AA120">
        <f>IF(OR($E120="",$F120=""),0,MAX(0,MIN($F120,DATE(Dashboard!$C$4,10,1))-MAX($E120,DATE(Dashboard!$C$4,9,1))))</f>
        <v/>
      </c>
      <c r="AB120">
        <f>IF(OR($E120="",$F120=""),0,MAX(0,MIN($F120,DATE(Dashboard!$C$4,11,1))-MAX($E120,DATE(Dashboard!$C$4,10,1))))</f>
        <v/>
      </c>
      <c r="AC120">
        <f>IF(OR($E120="",$F120=""),0,MAX(0,MIN($F120,DATE(Dashboard!$C$4,12,1))-MAX($E120,DATE(Dashboard!$C$4,11,1))))</f>
        <v/>
      </c>
      <c r="AD120">
        <f>IF(OR($E120="",$F120=""),0,MAX(0,MIN($F120,DATE(Dashboard!$C$4,13,1))-MAX($E120,DATE(Dashboard!$C$4,12,1))))</f>
        <v/>
      </c>
      <c r="AE120">
        <f>SUM(S120:AD120)</f>
        <v/>
      </c>
      <c r="AF120">
        <f>Q120*AE120</f>
        <v/>
      </c>
      <c r="AG120">
        <f>R120*AE120</f>
        <v/>
      </c>
      <c r="AH120">
        <f>SUMPRODUCT(S120:AD120,--(COLUMN(S120:AD120)-COLUMN(S120)+1&lt;=Dashboard!$N$1))</f>
        <v/>
      </c>
      <c r="AI120">
        <f>IF(OR(E120="",E120&lt;TODAY()),"",E120+ROW()/100000)</f>
        <v/>
      </c>
      <c r="AJ120">
        <f>IF(OR(F120="",F120&lt;TODAY()),"",F120+ROW()/100000)</f>
        <v/>
      </c>
    </row>
    <row r="121">
      <c r="A121" s="1" t="n"/>
      <c r="B121" s="35" t="n"/>
      <c r="C121" s="35" t="n"/>
      <c r="D121" s="35" t="n"/>
      <c r="E121" s="36" t="n"/>
      <c r="F121" s="36" t="n"/>
      <c r="G121" s="18">
        <f>IF(OR(E121="",F121=""),"",F121-E121)</f>
        <v/>
      </c>
      <c r="H121" s="37" t="n"/>
      <c r="I121" s="38" t="n"/>
      <c r="J121" s="38" t="n"/>
      <c r="K121" s="38" t="n"/>
      <c r="L121" s="31">
        <f>IF(E121="","",N(I121)+N(J121)-N(K121))</f>
        <v/>
      </c>
      <c r="M121" s="39" t="n"/>
      <c r="N121" s="27">
        <f>IF(E121="","",IF(TODAY()&lt;E121,"Upcoming",IF(TODAY()&lt;F121,"Staying now",IF(M121="Yes","Checked out","Payout not received"))))</f>
        <v/>
      </c>
      <c r="O121" s="35" t="n"/>
      <c r="P121" s="1" t="n"/>
      <c r="Q121">
        <f>IF(N(G121)&gt;0,L121/G121,0)</f>
        <v/>
      </c>
      <c r="R121">
        <f>IF(N(G121)&gt;0,N(I121)/G121,0)</f>
        <v/>
      </c>
      <c r="S121">
        <f>IF(OR($E121="",$F121=""),0,MAX(0,MIN($F121,DATE(Dashboard!$C$4,2,1))-MAX($E121,DATE(Dashboard!$C$4,1,1))))</f>
        <v/>
      </c>
      <c r="T121">
        <f>IF(OR($E121="",$F121=""),0,MAX(0,MIN($F121,DATE(Dashboard!$C$4,3,1))-MAX($E121,DATE(Dashboard!$C$4,2,1))))</f>
        <v/>
      </c>
      <c r="U121">
        <f>IF(OR($E121="",$F121=""),0,MAX(0,MIN($F121,DATE(Dashboard!$C$4,4,1))-MAX($E121,DATE(Dashboard!$C$4,3,1))))</f>
        <v/>
      </c>
      <c r="V121">
        <f>IF(OR($E121="",$F121=""),0,MAX(0,MIN($F121,DATE(Dashboard!$C$4,5,1))-MAX($E121,DATE(Dashboard!$C$4,4,1))))</f>
        <v/>
      </c>
      <c r="W121">
        <f>IF(OR($E121="",$F121=""),0,MAX(0,MIN($F121,DATE(Dashboard!$C$4,6,1))-MAX($E121,DATE(Dashboard!$C$4,5,1))))</f>
        <v/>
      </c>
      <c r="X121">
        <f>IF(OR($E121="",$F121=""),0,MAX(0,MIN($F121,DATE(Dashboard!$C$4,7,1))-MAX($E121,DATE(Dashboard!$C$4,6,1))))</f>
        <v/>
      </c>
      <c r="Y121">
        <f>IF(OR($E121="",$F121=""),0,MAX(0,MIN($F121,DATE(Dashboard!$C$4,8,1))-MAX($E121,DATE(Dashboard!$C$4,7,1))))</f>
        <v/>
      </c>
      <c r="Z121">
        <f>IF(OR($E121="",$F121=""),0,MAX(0,MIN($F121,DATE(Dashboard!$C$4,9,1))-MAX($E121,DATE(Dashboard!$C$4,8,1))))</f>
        <v/>
      </c>
      <c r="AA121">
        <f>IF(OR($E121="",$F121=""),0,MAX(0,MIN($F121,DATE(Dashboard!$C$4,10,1))-MAX($E121,DATE(Dashboard!$C$4,9,1))))</f>
        <v/>
      </c>
      <c r="AB121">
        <f>IF(OR($E121="",$F121=""),0,MAX(0,MIN($F121,DATE(Dashboard!$C$4,11,1))-MAX($E121,DATE(Dashboard!$C$4,10,1))))</f>
        <v/>
      </c>
      <c r="AC121">
        <f>IF(OR($E121="",$F121=""),0,MAX(0,MIN($F121,DATE(Dashboard!$C$4,12,1))-MAX($E121,DATE(Dashboard!$C$4,11,1))))</f>
        <v/>
      </c>
      <c r="AD121">
        <f>IF(OR($E121="",$F121=""),0,MAX(0,MIN($F121,DATE(Dashboard!$C$4,13,1))-MAX($E121,DATE(Dashboard!$C$4,12,1))))</f>
        <v/>
      </c>
      <c r="AE121">
        <f>SUM(S121:AD121)</f>
        <v/>
      </c>
      <c r="AF121">
        <f>Q121*AE121</f>
        <v/>
      </c>
      <c r="AG121">
        <f>R121*AE121</f>
        <v/>
      </c>
      <c r="AH121">
        <f>SUMPRODUCT(S121:AD121,--(COLUMN(S121:AD121)-COLUMN(S121)+1&lt;=Dashboard!$N$1))</f>
        <v/>
      </c>
      <c r="AI121">
        <f>IF(OR(E121="",E121&lt;TODAY()),"",E121+ROW()/100000)</f>
        <v/>
      </c>
      <c r="AJ121">
        <f>IF(OR(F121="",F121&lt;TODAY()),"",F121+ROW()/100000)</f>
        <v/>
      </c>
    </row>
    <row r="122">
      <c r="A122" s="1" t="n"/>
      <c r="B122" s="35" t="n"/>
      <c r="C122" s="35" t="n"/>
      <c r="D122" s="35" t="n"/>
      <c r="E122" s="36" t="n"/>
      <c r="F122" s="36" t="n"/>
      <c r="G122" s="18">
        <f>IF(OR(E122="",F122=""),"",F122-E122)</f>
        <v/>
      </c>
      <c r="H122" s="37" t="n"/>
      <c r="I122" s="38" t="n"/>
      <c r="J122" s="38" t="n"/>
      <c r="K122" s="38" t="n"/>
      <c r="L122" s="31">
        <f>IF(E122="","",N(I122)+N(J122)-N(K122))</f>
        <v/>
      </c>
      <c r="M122" s="39" t="n"/>
      <c r="N122" s="27">
        <f>IF(E122="","",IF(TODAY()&lt;E122,"Upcoming",IF(TODAY()&lt;F122,"Staying now",IF(M122="Yes","Checked out","Payout not received"))))</f>
        <v/>
      </c>
      <c r="O122" s="35" t="n"/>
      <c r="P122" s="1" t="n"/>
      <c r="Q122">
        <f>IF(N(G122)&gt;0,L122/G122,0)</f>
        <v/>
      </c>
      <c r="R122">
        <f>IF(N(G122)&gt;0,N(I122)/G122,0)</f>
        <v/>
      </c>
      <c r="S122">
        <f>IF(OR($E122="",$F122=""),0,MAX(0,MIN($F122,DATE(Dashboard!$C$4,2,1))-MAX($E122,DATE(Dashboard!$C$4,1,1))))</f>
        <v/>
      </c>
      <c r="T122">
        <f>IF(OR($E122="",$F122=""),0,MAX(0,MIN($F122,DATE(Dashboard!$C$4,3,1))-MAX($E122,DATE(Dashboard!$C$4,2,1))))</f>
        <v/>
      </c>
      <c r="U122">
        <f>IF(OR($E122="",$F122=""),0,MAX(0,MIN($F122,DATE(Dashboard!$C$4,4,1))-MAX($E122,DATE(Dashboard!$C$4,3,1))))</f>
        <v/>
      </c>
      <c r="V122">
        <f>IF(OR($E122="",$F122=""),0,MAX(0,MIN($F122,DATE(Dashboard!$C$4,5,1))-MAX($E122,DATE(Dashboard!$C$4,4,1))))</f>
        <v/>
      </c>
      <c r="W122">
        <f>IF(OR($E122="",$F122=""),0,MAX(0,MIN($F122,DATE(Dashboard!$C$4,6,1))-MAX($E122,DATE(Dashboard!$C$4,5,1))))</f>
        <v/>
      </c>
      <c r="X122">
        <f>IF(OR($E122="",$F122=""),0,MAX(0,MIN($F122,DATE(Dashboard!$C$4,7,1))-MAX($E122,DATE(Dashboard!$C$4,6,1))))</f>
        <v/>
      </c>
      <c r="Y122">
        <f>IF(OR($E122="",$F122=""),0,MAX(0,MIN($F122,DATE(Dashboard!$C$4,8,1))-MAX($E122,DATE(Dashboard!$C$4,7,1))))</f>
        <v/>
      </c>
      <c r="Z122">
        <f>IF(OR($E122="",$F122=""),0,MAX(0,MIN($F122,DATE(Dashboard!$C$4,9,1))-MAX($E122,DATE(Dashboard!$C$4,8,1))))</f>
        <v/>
      </c>
      <c r="AA122">
        <f>IF(OR($E122="",$F122=""),0,MAX(0,MIN($F122,DATE(Dashboard!$C$4,10,1))-MAX($E122,DATE(Dashboard!$C$4,9,1))))</f>
        <v/>
      </c>
      <c r="AB122">
        <f>IF(OR($E122="",$F122=""),0,MAX(0,MIN($F122,DATE(Dashboard!$C$4,11,1))-MAX($E122,DATE(Dashboard!$C$4,10,1))))</f>
        <v/>
      </c>
      <c r="AC122">
        <f>IF(OR($E122="",$F122=""),0,MAX(0,MIN($F122,DATE(Dashboard!$C$4,12,1))-MAX($E122,DATE(Dashboard!$C$4,11,1))))</f>
        <v/>
      </c>
      <c r="AD122">
        <f>IF(OR($E122="",$F122=""),0,MAX(0,MIN($F122,DATE(Dashboard!$C$4,13,1))-MAX($E122,DATE(Dashboard!$C$4,12,1))))</f>
        <v/>
      </c>
      <c r="AE122">
        <f>SUM(S122:AD122)</f>
        <v/>
      </c>
      <c r="AF122">
        <f>Q122*AE122</f>
        <v/>
      </c>
      <c r="AG122">
        <f>R122*AE122</f>
        <v/>
      </c>
      <c r="AH122">
        <f>SUMPRODUCT(S122:AD122,--(COLUMN(S122:AD122)-COLUMN(S122)+1&lt;=Dashboard!$N$1))</f>
        <v/>
      </c>
      <c r="AI122">
        <f>IF(OR(E122="",E122&lt;TODAY()),"",E122+ROW()/100000)</f>
        <v/>
      </c>
      <c r="AJ122">
        <f>IF(OR(F122="",F122&lt;TODAY()),"",F122+ROW()/100000)</f>
        <v/>
      </c>
    </row>
    <row r="123">
      <c r="A123" s="1" t="n"/>
      <c r="B123" s="35" t="n"/>
      <c r="C123" s="35" t="n"/>
      <c r="D123" s="35" t="n"/>
      <c r="E123" s="36" t="n"/>
      <c r="F123" s="36" t="n"/>
      <c r="G123" s="18">
        <f>IF(OR(E123="",F123=""),"",F123-E123)</f>
        <v/>
      </c>
      <c r="H123" s="37" t="n"/>
      <c r="I123" s="38" t="n"/>
      <c r="J123" s="38" t="n"/>
      <c r="K123" s="38" t="n"/>
      <c r="L123" s="31">
        <f>IF(E123="","",N(I123)+N(J123)-N(K123))</f>
        <v/>
      </c>
      <c r="M123" s="39" t="n"/>
      <c r="N123" s="27">
        <f>IF(E123="","",IF(TODAY()&lt;E123,"Upcoming",IF(TODAY()&lt;F123,"Staying now",IF(M123="Yes","Checked out","Payout not received"))))</f>
        <v/>
      </c>
      <c r="O123" s="35" t="n"/>
      <c r="P123" s="1" t="n"/>
      <c r="Q123">
        <f>IF(N(G123)&gt;0,L123/G123,0)</f>
        <v/>
      </c>
      <c r="R123">
        <f>IF(N(G123)&gt;0,N(I123)/G123,0)</f>
        <v/>
      </c>
      <c r="S123">
        <f>IF(OR($E123="",$F123=""),0,MAX(0,MIN($F123,DATE(Dashboard!$C$4,2,1))-MAX($E123,DATE(Dashboard!$C$4,1,1))))</f>
        <v/>
      </c>
      <c r="T123">
        <f>IF(OR($E123="",$F123=""),0,MAX(0,MIN($F123,DATE(Dashboard!$C$4,3,1))-MAX($E123,DATE(Dashboard!$C$4,2,1))))</f>
        <v/>
      </c>
      <c r="U123">
        <f>IF(OR($E123="",$F123=""),0,MAX(0,MIN($F123,DATE(Dashboard!$C$4,4,1))-MAX($E123,DATE(Dashboard!$C$4,3,1))))</f>
        <v/>
      </c>
      <c r="V123">
        <f>IF(OR($E123="",$F123=""),0,MAX(0,MIN($F123,DATE(Dashboard!$C$4,5,1))-MAX($E123,DATE(Dashboard!$C$4,4,1))))</f>
        <v/>
      </c>
      <c r="W123">
        <f>IF(OR($E123="",$F123=""),0,MAX(0,MIN($F123,DATE(Dashboard!$C$4,6,1))-MAX($E123,DATE(Dashboard!$C$4,5,1))))</f>
        <v/>
      </c>
      <c r="X123">
        <f>IF(OR($E123="",$F123=""),0,MAX(0,MIN($F123,DATE(Dashboard!$C$4,7,1))-MAX($E123,DATE(Dashboard!$C$4,6,1))))</f>
        <v/>
      </c>
      <c r="Y123">
        <f>IF(OR($E123="",$F123=""),0,MAX(0,MIN($F123,DATE(Dashboard!$C$4,8,1))-MAX($E123,DATE(Dashboard!$C$4,7,1))))</f>
        <v/>
      </c>
      <c r="Z123">
        <f>IF(OR($E123="",$F123=""),0,MAX(0,MIN($F123,DATE(Dashboard!$C$4,9,1))-MAX($E123,DATE(Dashboard!$C$4,8,1))))</f>
        <v/>
      </c>
      <c r="AA123">
        <f>IF(OR($E123="",$F123=""),0,MAX(0,MIN($F123,DATE(Dashboard!$C$4,10,1))-MAX($E123,DATE(Dashboard!$C$4,9,1))))</f>
        <v/>
      </c>
      <c r="AB123">
        <f>IF(OR($E123="",$F123=""),0,MAX(0,MIN($F123,DATE(Dashboard!$C$4,11,1))-MAX($E123,DATE(Dashboard!$C$4,10,1))))</f>
        <v/>
      </c>
      <c r="AC123">
        <f>IF(OR($E123="",$F123=""),0,MAX(0,MIN($F123,DATE(Dashboard!$C$4,12,1))-MAX($E123,DATE(Dashboard!$C$4,11,1))))</f>
        <v/>
      </c>
      <c r="AD123">
        <f>IF(OR($E123="",$F123=""),0,MAX(0,MIN($F123,DATE(Dashboard!$C$4,13,1))-MAX($E123,DATE(Dashboard!$C$4,12,1))))</f>
        <v/>
      </c>
      <c r="AE123">
        <f>SUM(S123:AD123)</f>
        <v/>
      </c>
      <c r="AF123">
        <f>Q123*AE123</f>
        <v/>
      </c>
      <c r="AG123">
        <f>R123*AE123</f>
        <v/>
      </c>
      <c r="AH123">
        <f>SUMPRODUCT(S123:AD123,--(COLUMN(S123:AD123)-COLUMN(S123)+1&lt;=Dashboard!$N$1))</f>
        <v/>
      </c>
      <c r="AI123">
        <f>IF(OR(E123="",E123&lt;TODAY()),"",E123+ROW()/100000)</f>
        <v/>
      </c>
      <c r="AJ123">
        <f>IF(OR(F123="",F123&lt;TODAY()),"",F123+ROW()/100000)</f>
        <v/>
      </c>
    </row>
    <row r="124">
      <c r="A124" s="1" t="n"/>
      <c r="B124" s="35" t="n"/>
      <c r="C124" s="35" t="n"/>
      <c r="D124" s="35" t="n"/>
      <c r="E124" s="36" t="n"/>
      <c r="F124" s="36" t="n"/>
      <c r="G124" s="18">
        <f>IF(OR(E124="",F124=""),"",F124-E124)</f>
        <v/>
      </c>
      <c r="H124" s="37" t="n"/>
      <c r="I124" s="38" t="n"/>
      <c r="J124" s="38" t="n"/>
      <c r="K124" s="38" t="n"/>
      <c r="L124" s="31">
        <f>IF(E124="","",N(I124)+N(J124)-N(K124))</f>
        <v/>
      </c>
      <c r="M124" s="39" t="n"/>
      <c r="N124" s="27">
        <f>IF(E124="","",IF(TODAY()&lt;E124,"Upcoming",IF(TODAY()&lt;F124,"Staying now",IF(M124="Yes","Checked out","Payout not received"))))</f>
        <v/>
      </c>
      <c r="O124" s="35" t="n"/>
      <c r="P124" s="1" t="n"/>
      <c r="Q124">
        <f>IF(N(G124)&gt;0,L124/G124,0)</f>
        <v/>
      </c>
      <c r="R124">
        <f>IF(N(G124)&gt;0,N(I124)/G124,0)</f>
        <v/>
      </c>
      <c r="S124">
        <f>IF(OR($E124="",$F124=""),0,MAX(0,MIN($F124,DATE(Dashboard!$C$4,2,1))-MAX($E124,DATE(Dashboard!$C$4,1,1))))</f>
        <v/>
      </c>
      <c r="T124">
        <f>IF(OR($E124="",$F124=""),0,MAX(0,MIN($F124,DATE(Dashboard!$C$4,3,1))-MAX($E124,DATE(Dashboard!$C$4,2,1))))</f>
        <v/>
      </c>
      <c r="U124">
        <f>IF(OR($E124="",$F124=""),0,MAX(0,MIN($F124,DATE(Dashboard!$C$4,4,1))-MAX($E124,DATE(Dashboard!$C$4,3,1))))</f>
        <v/>
      </c>
      <c r="V124">
        <f>IF(OR($E124="",$F124=""),0,MAX(0,MIN($F124,DATE(Dashboard!$C$4,5,1))-MAX($E124,DATE(Dashboard!$C$4,4,1))))</f>
        <v/>
      </c>
      <c r="W124">
        <f>IF(OR($E124="",$F124=""),0,MAX(0,MIN($F124,DATE(Dashboard!$C$4,6,1))-MAX($E124,DATE(Dashboard!$C$4,5,1))))</f>
        <v/>
      </c>
      <c r="X124">
        <f>IF(OR($E124="",$F124=""),0,MAX(0,MIN($F124,DATE(Dashboard!$C$4,7,1))-MAX($E124,DATE(Dashboard!$C$4,6,1))))</f>
        <v/>
      </c>
      <c r="Y124">
        <f>IF(OR($E124="",$F124=""),0,MAX(0,MIN($F124,DATE(Dashboard!$C$4,8,1))-MAX($E124,DATE(Dashboard!$C$4,7,1))))</f>
        <v/>
      </c>
      <c r="Z124">
        <f>IF(OR($E124="",$F124=""),0,MAX(0,MIN($F124,DATE(Dashboard!$C$4,9,1))-MAX($E124,DATE(Dashboard!$C$4,8,1))))</f>
        <v/>
      </c>
      <c r="AA124">
        <f>IF(OR($E124="",$F124=""),0,MAX(0,MIN($F124,DATE(Dashboard!$C$4,10,1))-MAX($E124,DATE(Dashboard!$C$4,9,1))))</f>
        <v/>
      </c>
      <c r="AB124">
        <f>IF(OR($E124="",$F124=""),0,MAX(0,MIN($F124,DATE(Dashboard!$C$4,11,1))-MAX($E124,DATE(Dashboard!$C$4,10,1))))</f>
        <v/>
      </c>
      <c r="AC124">
        <f>IF(OR($E124="",$F124=""),0,MAX(0,MIN($F124,DATE(Dashboard!$C$4,12,1))-MAX($E124,DATE(Dashboard!$C$4,11,1))))</f>
        <v/>
      </c>
      <c r="AD124">
        <f>IF(OR($E124="",$F124=""),0,MAX(0,MIN($F124,DATE(Dashboard!$C$4,13,1))-MAX($E124,DATE(Dashboard!$C$4,12,1))))</f>
        <v/>
      </c>
      <c r="AE124">
        <f>SUM(S124:AD124)</f>
        <v/>
      </c>
      <c r="AF124">
        <f>Q124*AE124</f>
        <v/>
      </c>
      <c r="AG124">
        <f>R124*AE124</f>
        <v/>
      </c>
      <c r="AH124">
        <f>SUMPRODUCT(S124:AD124,--(COLUMN(S124:AD124)-COLUMN(S124)+1&lt;=Dashboard!$N$1))</f>
        <v/>
      </c>
      <c r="AI124">
        <f>IF(OR(E124="",E124&lt;TODAY()),"",E124+ROW()/100000)</f>
        <v/>
      </c>
      <c r="AJ124">
        <f>IF(OR(F124="",F124&lt;TODAY()),"",F124+ROW()/100000)</f>
        <v/>
      </c>
    </row>
    <row r="125">
      <c r="A125" s="1" t="n"/>
      <c r="B125" s="35" t="n"/>
      <c r="C125" s="35" t="n"/>
      <c r="D125" s="35" t="n"/>
      <c r="E125" s="36" t="n"/>
      <c r="F125" s="36" t="n"/>
      <c r="G125" s="18">
        <f>IF(OR(E125="",F125=""),"",F125-E125)</f>
        <v/>
      </c>
      <c r="H125" s="37" t="n"/>
      <c r="I125" s="38" t="n"/>
      <c r="J125" s="38" t="n"/>
      <c r="K125" s="38" t="n"/>
      <c r="L125" s="31">
        <f>IF(E125="","",N(I125)+N(J125)-N(K125))</f>
        <v/>
      </c>
      <c r="M125" s="39" t="n"/>
      <c r="N125" s="27">
        <f>IF(E125="","",IF(TODAY()&lt;E125,"Upcoming",IF(TODAY()&lt;F125,"Staying now",IF(M125="Yes","Checked out","Payout not received"))))</f>
        <v/>
      </c>
      <c r="O125" s="35" t="n"/>
      <c r="P125" s="1" t="n"/>
      <c r="Q125">
        <f>IF(N(G125)&gt;0,L125/G125,0)</f>
        <v/>
      </c>
      <c r="R125">
        <f>IF(N(G125)&gt;0,N(I125)/G125,0)</f>
        <v/>
      </c>
      <c r="S125">
        <f>IF(OR($E125="",$F125=""),0,MAX(0,MIN($F125,DATE(Dashboard!$C$4,2,1))-MAX($E125,DATE(Dashboard!$C$4,1,1))))</f>
        <v/>
      </c>
      <c r="T125">
        <f>IF(OR($E125="",$F125=""),0,MAX(0,MIN($F125,DATE(Dashboard!$C$4,3,1))-MAX($E125,DATE(Dashboard!$C$4,2,1))))</f>
        <v/>
      </c>
      <c r="U125">
        <f>IF(OR($E125="",$F125=""),0,MAX(0,MIN($F125,DATE(Dashboard!$C$4,4,1))-MAX($E125,DATE(Dashboard!$C$4,3,1))))</f>
        <v/>
      </c>
      <c r="V125">
        <f>IF(OR($E125="",$F125=""),0,MAX(0,MIN($F125,DATE(Dashboard!$C$4,5,1))-MAX($E125,DATE(Dashboard!$C$4,4,1))))</f>
        <v/>
      </c>
      <c r="W125">
        <f>IF(OR($E125="",$F125=""),0,MAX(0,MIN($F125,DATE(Dashboard!$C$4,6,1))-MAX($E125,DATE(Dashboard!$C$4,5,1))))</f>
        <v/>
      </c>
      <c r="X125">
        <f>IF(OR($E125="",$F125=""),0,MAX(0,MIN($F125,DATE(Dashboard!$C$4,7,1))-MAX($E125,DATE(Dashboard!$C$4,6,1))))</f>
        <v/>
      </c>
      <c r="Y125">
        <f>IF(OR($E125="",$F125=""),0,MAX(0,MIN($F125,DATE(Dashboard!$C$4,8,1))-MAX($E125,DATE(Dashboard!$C$4,7,1))))</f>
        <v/>
      </c>
      <c r="Z125">
        <f>IF(OR($E125="",$F125=""),0,MAX(0,MIN($F125,DATE(Dashboard!$C$4,9,1))-MAX($E125,DATE(Dashboard!$C$4,8,1))))</f>
        <v/>
      </c>
      <c r="AA125">
        <f>IF(OR($E125="",$F125=""),0,MAX(0,MIN($F125,DATE(Dashboard!$C$4,10,1))-MAX($E125,DATE(Dashboard!$C$4,9,1))))</f>
        <v/>
      </c>
      <c r="AB125">
        <f>IF(OR($E125="",$F125=""),0,MAX(0,MIN($F125,DATE(Dashboard!$C$4,11,1))-MAX($E125,DATE(Dashboard!$C$4,10,1))))</f>
        <v/>
      </c>
      <c r="AC125">
        <f>IF(OR($E125="",$F125=""),0,MAX(0,MIN($F125,DATE(Dashboard!$C$4,12,1))-MAX($E125,DATE(Dashboard!$C$4,11,1))))</f>
        <v/>
      </c>
      <c r="AD125">
        <f>IF(OR($E125="",$F125=""),0,MAX(0,MIN($F125,DATE(Dashboard!$C$4,13,1))-MAX($E125,DATE(Dashboard!$C$4,12,1))))</f>
        <v/>
      </c>
      <c r="AE125">
        <f>SUM(S125:AD125)</f>
        <v/>
      </c>
      <c r="AF125">
        <f>Q125*AE125</f>
        <v/>
      </c>
      <c r="AG125">
        <f>R125*AE125</f>
        <v/>
      </c>
      <c r="AH125">
        <f>SUMPRODUCT(S125:AD125,--(COLUMN(S125:AD125)-COLUMN(S125)+1&lt;=Dashboard!$N$1))</f>
        <v/>
      </c>
      <c r="AI125">
        <f>IF(OR(E125="",E125&lt;TODAY()),"",E125+ROW()/100000)</f>
        <v/>
      </c>
      <c r="AJ125">
        <f>IF(OR(F125="",F125&lt;TODAY()),"",F125+ROW()/100000)</f>
        <v/>
      </c>
    </row>
    <row r="126">
      <c r="A126" s="1" t="n"/>
      <c r="B126" s="35" t="n"/>
      <c r="C126" s="35" t="n"/>
      <c r="D126" s="35" t="n"/>
      <c r="E126" s="36" t="n"/>
      <c r="F126" s="36" t="n"/>
      <c r="G126" s="18">
        <f>IF(OR(E126="",F126=""),"",F126-E126)</f>
        <v/>
      </c>
      <c r="H126" s="37" t="n"/>
      <c r="I126" s="38" t="n"/>
      <c r="J126" s="38" t="n"/>
      <c r="K126" s="38" t="n"/>
      <c r="L126" s="31">
        <f>IF(E126="","",N(I126)+N(J126)-N(K126))</f>
        <v/>
      </c>
      <c r="M126" s="39" t="n"/>
      <c r="N126" s="27">
        <f>IF(E126="","",IF(TODAY()&lt;E126,"Upcoming",IF(TODAY()&lt;F126,"Staying now",IF(M126="Yes","Checked out","Payout not received"))))</f>
        <v/>
      </c>
      <c r="O126" s="35" t="n"/>
      <c r="P126" s="1" t="n"/>
      <c r="Q126">
        <f>IF(N(G126)&gt;0,L126/G126,0)</f>
        <v/>
      </c>
      <c r="R126">
        <f>IF(N(G126)&gt;0,N(I126)/G126,0)</f>
        <v/>
      </c>
      <c r="S126">
        <f>IF(OR($E126="",$F126=""),0,MAX(0,MIN($F126,DATE(Dashboard!$C$4,2,1))-MAX($E126,DATE(Dashboard!$C$4,1,1))))</f>
        <v/>
      </c>
      <c r="T126">
        <f>IF(OR($E126="",$F126=""),0,MAX(0,MIN($F126,DATE(Dashboard!$C$4,3,1))-MAX($E126,DATE(Dashboard!$C$4,2,1))))</f>
        <v/>
      </c>
      <c r="U126">
        <f>IF(OR($E126="",$F126=""),0,MAX(0,MIN($F126,DATE(Dashboard!$C$4,4,1))-MAX($E126,DATE(Dashboard!$C$4,3,1))))</f>
        <v/>
      </c>
      <c r="V126">
        <f>IF(OR($E126="",$F126=""),0,MAX(0,MIN($F126,DATE(Dashboard!$C$4,5,1))-MAX($E126,DATE(Dashboard!$C$4,4,1))))</f>
        <v/>
      </c>
      <c r="W126">
        <f>IF(OR($E126="",$F126=""),0,MAX(0,MIN($F126,DATE(Dashboard!$C$4,6,1))-MAX($E126,DATE(Dashboard!$C$4,5,1))))</f>
        <v/>
      </c>
      <c r="X126">
        <f>IF(OR($E126="",$F126=""),0,MAX(0,MIN($F126,DATE(Dashboard!$C$4,7,1))-MAX($E126,DATE(Dashboard!$C$4,6,1))))</f>
        <v/>
      </c>
      <c r="Y126">
        <f>IF(OR($E126="",$F126=""),0,MAX(0,MIN($F126,DATE(Dashboard!$C$4,8,1))-MAX($E126,DATE(Dashboard!$C$4,7,1))))</f>
        <v/>
      </c>
      <c r="Z126">
        <f>IF(OR($E126="",$F126=""),0,MAX(0,MIN($F126,DATE(Dashboard!$C$4,9,1))-MAX($E126,DATE(Dashboard!$C$4,8,1))))</f>
        <v/>
      </c>
      <c r="AA126">
        <f>IF(OR($E126="",$F126=""),0,MAX(0,MIN($F126,DATE(Dashboard!$C$4,10,1))-MAX($E126,DATE(Dashboard!$C$4,9,1))))</f>
        <v/>
      </c>
      <c r="AB126">
        <f>IF(OR($E126="",$F126=""),0,MAX(0,MIN($F126,DATE(Dashboard!$C$4,11,1))-MAX($E126,DATE(Dashboard!$C$4,10,1))))</f>
        <v/>
      </c>
      <c r="AC126">
        <f>IF(OR($E126="",$F126=""),0,MAX(0,MIN($F126,DATE(Dashboard!$C$4,12,1))-MAX($E126,DATE(Dashboard!$C$4,11,1))))</f>
        <v/>
      </c>
      <c r="AD126">
        <f>IF(OR($E126="",$F126=""),0,MAX(0,MIN($F126,DATE(Dashboard!$C$4,13,1))-MAX($E126,DATE(Dashboard!$C$4,12,1))))</f>
        <v/>
      </c>
      <c r="AE126">
        <f>SUM(S126:AD126)</f>
        <v/>
      </c>
      <c r="AF126">
        <f>Q126*AE126</f>
        <v/>
      </c>
      <c r="AG126">
        <f>R126*AE126</f>
        <v/>
      </c>
      <c r="AH126">
        <f>SUMPRODUCT(S126:AD126,--(COLUMN(S126:AD126)-COLUMN(S126)+1&lt;=Dashboard!$N$1))</f>
        <v/>
      </c>
      <c r="AI126">
        <f>IF(OR(E126="",E126&lt;TODAY()),"",E126+ROW()/100000)</f>
        <v/>
      </c>
      <c r="AJ126">
        <f>IF(OR(F126="",F126&lt;TODAY()),"",F126+ROW()/100000)</f>
        <v/>
      </c>
    </row>
    <row r="127">
      <c r="A127" s="1" t="n"/>
      <c r="B127" s="35" t="n"/>
      <c r="C127" s="35" t="n"/>
      <c r="D127" s="35" t="n"/>
      <c r="E127" s="36" t="n"/>
      <c r="F127" s="36" t="n"/>
      <c r="G127" s="18">
        <f>IF(OR(E127="",F127=""),"",F127-E127)</f>
        <v/>
      </c>
      <c r="H127" s="37" t="n"/>
      <c r="I127" s="38" t="n"/>
      <c r="J127" s="38" t="n"/>
      <c r="K127" s="38" t="n"/>
      <c r="L127" s="31">
        <f>IF(E127="","",N(I127)+N(J127)-N(K127))</f>
        <v/>
      </c>
      <c r="M127" s="39" t="n"/>
      <c r="N127" s="27">
        <f>IF(E127="","",IF(TODAY()&lt;E127,"Upcoming",IF(TODAY()&lt;F127,"Staying now",IF(M127="Yes","Checked out","Payout not received"))))</f>
        <v/>
      </c>
      <c r="O127" s="35" t="n"/>
      <c r="P127" s="1" t="n"/>
      <c r="Q127">
        <f>IF(N(G127)&gt;0,L127/G127,0)</f>
        <v/>
      </c>
      <c r="R127">
        <f>IF(N(G127)&gt;0,N(I127)/G127,0)</f>
        <v/>
      </c>
      <c r="S127">
        <f>IF(OR($E127="",$F127=""),0,MAX(0,MIN($F127,DATE(Dashboard!$C$4,2,1))-MAX($E127,DATE(Dashboard!$C$4,1,1))))</f>
        <v/>
      </c>
      <c r="T127">
        <f>IF(OR($E127="",$F127=""),0,MAX(0,MIN($F127,DATE(Dashboard!$C$4,3,1))-MAX($E127,DATE(Dashboard!$C$4,2,1))))</f>
        <v/>
      </c>
      <c r="U127">
        <f>IF(OR($E127="",$F127=""),0,MAX(0,MIN($F127,DATE(Dashboard!$C$4,4,1))-MAX($E127,DATE(Dashboard!$C$4,3,1))))</f>
        <v/>
      </c>
      <c r="V127">
        <f>IF(OR($E127="",$F127=""),0,MAX(0,MIN($F127,DATE(Dashboard!$C$4,5,1))-MAX($E127,DATE(Dashboard!$C$4,4,1))))</f>
        <v/>
      </c>
      <c r="W127">
        <f>IF(OR($E127="",$F127=""),0,MAX(0,MIN($F127,DATE(Dashboard!$C$4,6,1))-MAX($E127,DATE(Dashboard!$C$4,5,1))))</f>
        <v/>
      </c>
      <c r="X127">
        <f>IF(OR($E127="",$F127=""),0,MAX(0,MIN($F127,DATE(Dashboard!$C$4,7,1))-MAX($E127,DATE(Dashboard!$C$4,6,1))))</f>
        <v/>
      </c>
      <c r="Y127">
        <f>IF(OR($E127="",$F127=""),0,MAX(0,MIN($F127,DATE(Dashboard!$C$4,8,1))-MAX($E127,DATE(Dashboard!$C$4,7,1))))</f>
        <v/>
      </c>
      <c r="Z127">
        <f>IF(OR($E127="",$F127=""),0,MAX(0,MIN($F127,DATE(Dashboard!$C$4,9,1))-MAX($E127,DATE(Dashboard!$C$4,8,1))))</f>
        <v/>
      </c>
      <c r="AA127">
        <f>IF(OR($E127="",$F127=""),0,MAX(0,MIN($F127,DATE(Dashboard!$C$4,10,1))-MAX($E127,DATE(Dashboard!$C$4,9,1))))</f>
        <v/>
      </c>
      <c r="AB127">
        <f>IF(OR($E127="",$F127=""),0,MAX(0,MIN($F127,DATE(Dashboard!$C$4,11,1))-MAX($E127,DATE(Dashboard!$C$4,10,1))))</f>
        <v/>
      </c>
      <c r="AC127">
        <f>IF(OR($E127="",$F127=""),0,MAX(0,MIN($F127,DATE(Dashboard!$C$4,12,1))-MAX($E127,DATE(Dashboard!$C$4,11,1))))</f>
        <v/>
      </c>
      <c r="AD127">
        <f>IF(OR($E127="",$F127=""),0,MAX(0,MIN($F127,DATE(Dashboard!$C$4,13,1))-MAX($E127,DATE(Dashboard!$C$4,12,1))))</f>
        <v/>
      </c>
      <c r="AE127">
        <f>SUM(S127:AD127)</f>
        <v/>
      </c>
      <c r="AF127">
        <f>Q127*AE127</f>
        <v/>
      </c>
      <c r="AG127">
        <f>R127*AE127</f>
        <v/>
      </c>
      <c r="AH127">
        <f>SUMPRODUCT(S127:AD127,--(COLUMN(S127:AD127)-COLUMN(S127)+1&lt;=Dashboard!$N$1))</f>
        <v/>
      </c>
      <c r="AI127">
        <f>IF(OR(E127="",E127&lt;TODAY()),"",E127+ROW()/100000)</f>
        <v/>
      </c>
      <c r="AJ127">
        <f>IF(OR(F127="",F127&lt;TODAY()),"",F127+ROW()/100000)</f>
        <v/>
      </c>
    </row>
    <row r="128">
      <c r="A128" s="1" t="n"/>
      <c r="B128" s="35" t="n"/>
      <c r="C128" s="35" t="n"/>
      <c r="D128" s="35" t="n"/>
      <c r="E128" s="36" t="n"/>
      <c r="F128" s="36" t="n"/>
      <c r="G128" s="18">
        <f>IF(OR(E128="",F128=""),"",F128-E128)</f>
        <v/>
      </c>
      <c r="H128" s="37" t="n"/>
      <c r="I128" s="38" t="n"/>
      <c r="J128" s="38" t="n"/>
      <c r="K128" s="38" t="n"/>
      <c r="L128" s="31">
        <f>IF(E128="","",N(I128)+N(J128)-N(K128))</f>
        <v/>
      </c>
      <c r="M128" s="39" t="n"/>
      <c r="N128" s="27">
        <f>IF(E128="","",IF(TODAY()&lt;E128,"Upcoming",IF(TODAY()&lt;F128,"Staying now",IF(M128="Yes","Checked out","Payout not received"))))</f>
        <v/>
      </c>
      <c r="O128" s="35" t="n"/>
      <c r="P128" s="1" t="n"/>
      <c r="Q128">
        <f>IF(N(G128)&gt;0,L128/G128,0)</f>
        <v/>
      </c>
      <c r="R128">
        <f>IF(N(G128)&gt;0,N(I128)/G128,0)</f>
        <v/>
      </c>
      <c r="S128">
        <f>IF(OR($E128="",$F128=""),0,MAX(0,MIN($F128,DATE(Dashboard!$C$4,2,1))-MAX($E128,DATE(Dashboard!$C$4,1,1))))</f>
        <v/>
      </c>
      <c r="T128">
        <f>IF(OR($E128="",$F128=""),0,MAX(0,MIN($F128,DATE(Dashboard!$C$4,3,1))-MAX($E128,DATE(Dashboard!$C$4,2,1))))</f>
        <v/>
      </c>
      <c r="U128">
        <f>IF(OR($E128="",$F128=""),0,MAX(0,MIN($F128,DATE(Dashboard!$C$4,4,1))-MAX($E128,DATE(Dashboard!$C$4,3,1))))</f>
        <v/>
      </c>
      <c r="V128">
        <f>IF(OR($E128="",$F128=""),0,MAX(0,MIN($F128,DATE(Dashboard!$C$4,5,1))-MAX($E128,DATE(Dashboard!$C$4,4,1))))</f>
        <v/>
      </c>
      <c r="W128">
        <f>IF(OR($E128="",$F128=""),0,MAX(0,MIN($F128,DATE(Dashboard!$C$4,6,1))-MAX($E128,DATE(Dashboard!$C$4,5,1))))</f>
        <v/>
      </c>
      <c r="X128">
        <f>IF(OR($E128="",$F128=""),0,MAX(0,MIN($F128,DATE(Dashboard!$C$4,7,1))-MAX($E128,DATE(Dashboard!$C$4,6,1))))</f>
        <v/>
      </c>
      <c r="Y128">
        <f>IF(OR($E128="",$F128=""),0,MAX(0,MIN($F128,DATE(Dashboard!$C$4,8,1))-MAX($E128,DATE(Dashboard!$C$4,7,1))))</f>
        <v/>
      </c>
      <c r="Z128">
        <f>IF(OR($E128="",$F128=""),0,MAX(0,MIN($F128,DATE(Dashboard!$C$4,9,1))-MAX($E128,DATE(Dashboard!$C$4,8,1))))</f>
        <v/>
      </c>
      <c r="AA128">
        <f>IF(OR($E128="",$F128=""),0,MAX(0,MIN($F128,DATE(Dashboard!$C$4,10,1))-MAX($E128,DATE(Dashboard!$C$4,9,1))))</f>
        <v/>
      </c>
      <c r="AB128">
        <f>IF(OR($E128="",$F128=""),0,MAX(0,MIN($F128,DATE(Dashboard!$C$4,11,1))-MAX($E128,DATE(Dashboard!$C$4,10,1))))</f>
        <v/>
      </c>
      <c r="AC128">
        <f>IF(OR($E128="",$F128=""),0,MAX(0,MIN($F128,DATE(Dashboard!$C$4,12,1))-MAX($E128,DATE(Dashboard!$C$4,11,1))))</f>
        <v/>
      </c>
      <c r="AD128">
        <f>IF(OR($E128="",$F128=""),0,MAX(0,MIN($F128,DATE(Dashboard!$C$4,13,1))-MAX($E128,DATE(Dashboard!$C$4,12,1))))</f>
        <v/>
      </c>
      <c r="AE128">
        <f>SUM(S128:AD128)</f>
        <v/>
      </c>
      <c r="AF128">
        <f>Q128*AE128</f>
        <v/>
      </c>
      <c r="AG128">
        <f>R128*AE128</f>
        <v/>
      </c>
      <c r="AH128">
        <f>SUMPRODUCT(S128:AD128,--(COLUMN(S128:AD128)-COLUMN(S128)+1&lt;=Dashboard!$N$1))</f>
        <v/>
      </c>
      <c r="AI128">
        <f>IF(OR(E128="",E128&lt;TODAY()),"",E128+ROW()/100000)</f>
        <v/>
      </c>
      <c r="AJ128">
        <f>IF(OR(F128="",F128&lt;TODAY()),"",F128+ROW()/100000)</f>
        <v/>
      </c>
    </row>
    <row r="129">
      <c r="A129" s="1" t="n"/>
      <c r="B129" s="35" t="n"/>
      <c r="C129" s="35" t="n"/>
      <c r="D129" s="35" t="n"/>
      <c r="E129" s="36" t="n"/>
      <c r="F129" s="36" t="n"/>
      <c r="G129" s="18">
        <f>IF(OR(E129="",F129=""),"",F129-E129)</f>
        <v/>
      </c>
      <c r="H129" s="37" t="n"/>
      <c r="I129" s="38" t="n"/>
      <c r="J129" s="38" t="n"/>
      <c r="K129" s="38" t="n"/>
      <c r="L129" s="31">
        <f>IF(E129="","",N(I129)+N(J129)-N(K129))</f>
        <v/>
      </c>
      <c r="M129" s="39" t="n"/>
      <c r="N129" s="27">
        <f>IF(E129="","",IF(TODAY()&lt;E129,"Upcoming",IF(TODAY()&lt;F129,"Staying now",IF(M129="Yes","Checked out","Payout not received"))))</f>
        <v/>
      </c>
      <c r="O129" s="35" t="n"/>
      <c r="P129" s="1" t="n"/>
      <c r="Q129">
        <f>IF(N(G129)&gt;0,L129/G129,0)</f>
        <v/>
      </c>
      <c r="R129">
        <f>IF(N(G129)&gt;0,N(I129)/G129,0)</f>
        <v/>
      </c>
      <c r="S129">
        <f>IF(OR($E129="",$F129=""),0,MAX(0,MIN($F129,DATE(Dashboard!$C$4,2,1))-MAX($E129,DATE(Dashboard!$C$4,1,1))))</f>
        <v/>
      </c>
      <c r="T129">
        <f>IF(OR($E129="",$F129=""),0,MAX(0,MIN($F129,DATE(Dashboard!$C$4,3,1))-MAX($E129,DATE(Dashboard!$C$4,2,1))))</f>
        <v/>
      </c>
      <c r="U129">
        <f>IF(OR($E129="",$F129=""),0,MAX(0,MIN($F129,DATE(Dashboard!$C$4,4,1))-MAX($E129,DATE(Dashboard!$C$4,3,1))))</f>
        <v/>
      </c>
      <c r="V129">
        <f>IF(OR($E129="",$F129=""),0,MAX(0,MIN($F129,DATE(Dashboard!$C$4,5,1))-MAX($E129,DATE(Dashboard!$C$4,4,1))))</f>
        <v/>
      </c>
      <c r="W129">
        <f>IF(OR($E129="",$F129=""),0,MAX(0,MIN($F129,DATE(Dashboard!$C$4,6,1))-MAX($E129,DATE(Dashboard!$C$4,5,1))))</f>
        <v/>
      </c>
      <c r="X129">
        <f>IF(OR($E129="",$F129=""),0,MAX(0,MIN($F129,DATE(Dashboard!$C$4,7,1))-MAX($E129,DATE(Dashboard!$C$4,6,1))))</f>
        <v/>
      </c>
      <c r="Y129">
        <f>IF(OR($E129="",$F129=""),0,MAX(0,MIN($F129,DATE(Dashboard!$C$4,8,1))-MAX($E129,DATE(Dashboard!$C$4,7,1))))</f>
        <v/>
      </c>
      <c r="Z129">
        <f>IF(OR($E129="",$F129=""),0,MAX(0,MIN($F129,DATE(Dashboard!$C$4,9,1))-MAX($E129,DATE(Dashboard!$C$4,8,1))))</f>
        <v/>
      </c>
      <c r="AA129">
        <f>IF(OR($E129="",$F129=""),0,MAX(0,MIN($F129,DATE(Dashboard!$C$4,10,1))-MAX($E129,DATE(Dashboard!$C$4,9,1))))</f>
        <v/>
      </c>
      <c r="AB129">
        <f>IF(OR($E129="",$F129=""),0,MAX(0,MIN($F129,DATE(Dashboard!$C$4,11,1))-MAX($E129,DATE(Dashboard!$C$4,10,1))))</f>
        <v/>
      </c>
      <c r="AC129">
        <f>IF(OR($E129="",$F129=""),0,MAX(0,MIN($F129,DATE(Dashboard!$C$4,12,1))-MAX($E129,DATE(Dashboard!$C$4,11,1))))</f>
        <v/>
      </c>
      <c r="AD129">
        <f>IF(OR($E129="",$F129=""),0,MAX(0,MIN($F129,DATE(Dashboard!$C$4,13,1))-MAX($E129,DATE(Dashboard!$C$4,12,1))))</f>
        <v/>
      </c>
      <c r="AE129">
        <f>SUM(S129:AD129)</f>
        <v/>
      </c>
      <c r="AF129">
        <f>Q129*AE129</f>
        <v/>
      </c>
      <c r="AG129">
        <f>R129*AE129</f>
        <v/>
      </c>
      <c r="AH129">
        <f>SUMPRODUCT(S129:AD129,--(COLUMN(S129:AD129)-COLUMN(S129)+1&lt;=Dashboard!$N$1))</f>
        <v/>
      </c>
      <c r="AI129">
        <f>IF(OR(E129="",E129&lt;TODAY()),"",E129+ROW()/100000)</f>
        <v/>
      </c>
      <c r="AJ129">
        <f>IF(OR(F129="",F129&lt;TODAY()),"",F129+ROW()/100000)</f>
        <v/>
      </c>
    </row>
    <row r="130">
      <c r="A130" s="1" t="n"/>
      <c r="B130" s="35" t="n"/>
      <c r="C130" s="35" t="n"/>
      <c r="D130" s="35" t="n"/>
      <c r="E130" s="36" t="n"/>
      <c r="F130" s="36" t="n"/>
      <c r="G130" s="18">
        <f>IF(OR(E130="",F130=""),"",F130-E130)</f>
        <v/>
      </c>
      <c r="H130" s="37" t="n"/>
      <c r="I130" s="38" t="n"/>
      <c r="J130" s="38" t="n"/>
      <c r="K130" s="38" t="n"/>
      <c r="L130" s="31">
        <f>IF(E130="","",N(I130)+N(J130)-N(K130))</f>
        <v/>
      </c>
      <c r="M130" s="39" t="n"/>
      <c r="N130" s="27">
        <f>IF(E130="","",IF(TODAY()&lt;E130,"Upcoming",IF(TODAY()&lt;F130,"Staying now",IF(M130="Yes","Checked out","Payout not received"))))</f>
        <v/>
      </c>
      <c r="O130" s="35" t="n"/>
      <c r="P130" s="1" t="n"/>
      <c r="Q130">
        <f>IF(N(G130)&gt;0,L130/G130,0)</f>
        <v/>
      </c>
      <c r="R130">
        <f>IF(N(G130)&gt;0,N(I130)/G130,0)</f>
        <v/>
      </c>
      <c r="S130">
        <f>IF(OR($E130="",$F130=""),0,MAX(0,MIN($F130,DATE(Dashboard!$C$4,2,1))-MAX($E130,DATE(Dashboard!$C$4,1,1))))</f>
        <v/>
      </c>
      <c r="T130">
        <f>IF(OR($E130="",$F130=""),0,MAX(0,MIN($F130,DATE(Dashboard!$C$4,3,1))-MAX($E130,DATE(Dashboard!$C$4,2,1))))</f>
        <v/>
      </c>
      <c r="U130">
        <f>IF(OR($E130="",$F130=""),0,MAX(0,MIN($F130,DATE(Dashboard!$C$4,4,1))-MAX($E130,DATE(Dashboard!$C$4,3,1))))</f>
        <v/>
      </c>
      <c r="V130">
        <f>IF(OR($E130="",$F130=""),0,MAX(0,MIN($F130,DATE(Dashboard!$C$4,5,1))-MAX($E130,DATE(Dashboard!$C$4,4,1))))</f>
        <v/>
      </c>
      <c r="W130">
        <f>IF(OR($E130="",$F130=""),0,MAX(0,MIN($F130,DATE(Dashboard!$C$4,6,1))-MAX($E130,DATE(Dashboard!$C$4,5,1))))</f>
        <v/>
      </c>
      <c r="X130">
        <f>IF(OR($E130="",$F130=""),0,MAX(0,MIN($F130,DATE(Dashboard!$C$4,7,1))-MAX($E130,DATE(Dashboard!$C$4,6,1))))</f>
        <v/>
      </c>
      <c r="Y130">
        <f>IF(OR($E130="",$F130=""),0,MAX(0,MIN($F130,DATE(Dashboard!$C$4,8,1))-MAX($E130,DATE(Dashboard!$C$4,7,1))))</f>
        <v/>
      </c>
      <c r="Z130">
        <f>IF(OR($E130="",$F130=""),0,MAX(0,MIN($F130,DATE(Dashboard!$C$4,9,1))-MAX($E130,DATE(Dashboard!$C$4,8,1))))</f>
        <v/>
      </c>
      <c r="AA130">
        <f>IF(OR($E130="",$F130=""),0,MAX(0,MIN($F130,DATE(Dashboard!$C$4,10,1))-MAX($E130,DATE(Dashboard!$C$4,9,1))))</f>
        <v/>
      </c>
      <c r="AB130">
        <f>IF(OR($E130="",$F130=""),0,MAX(0,MIN($F130,DATE(Dashboard!$C$4,11,1))-MAX($E130,DATE(Dashboard!$C$4,10,1))))</f>
        <v/>
      </c>
      <c r="AC130">
        <f>IF(OR($E130="",$F130=""),0,MAX(0,MIN($F130,DATE(Dashboard!$C$4,12,1))-MAX($E130,DATE(Dashboard!$C$4,11,1))))</f>
        <v/>
      </c>
      <c r="AD130">
        <f>IF(OR($E130="",$F130=""),0,MAX(0,MIN($F130,DATE(Dashboard!$C$4,13,1))-MAX($E130,DATE(Dashboard!$C$4,12,1))))</f>
        <v/>
      </c>
      <c r="AE130">
        <f>SUM(S130:AD130)</f>
        <v/>
      </c>
      <c r="AF130">
        <f>Q130*AE130</f>
        <v/>
      </c>
      <c r="AG130">
        <f>R130*AE130</f>
        <v/>
      </c>
      <c r="AH130">
        <f>SUMPRODUCT(S130:AD130,--(COLUMN(S130:AD130)-COLUMN(S130)+1&lt;=Dashboard!$N$1))</f>
        <v/>
      </c>
      <c r="AI130">
        <f>IF(OR(E130="",E130&lt;TODAY()),"",E130+ROW()/100000)</f>
        <v/>
      </c>
      <c r="AJ130">
        <f>IF(OR(F130="",F130&lt;TODAY()),"",F130+ROW()/100000)</f>
        <v/>
      </c>
    </row>
    <row r="131">
      <c r="A131" s="1" t="n"/>
      <c r="B131" s="35" t="n"/>
      <c r="C131" s="35" t="n"/>
      <c r="D131" s="35" t="n"/>
      <c r="E131" s="36" t="n"/>
      <c r="F131" s="36" t="n"/>
      <c r="G131" s="18">
        <f>IF(OR(E131="",F131=""),"",F131-E131)</f>
        <v/>
      </c>
      <c r="H131" s="37" t="n"/>
      <c r="I131" s="38" t="n"/>
      <c r="J131" s="38" t="n"/>
      <c r="K131" s="38" t="n"/>
      <c r="L131" s="31">
        <f>IF(E131="","",N(I131)+N(J131)-N(K131))</f>
        <v/>
      </c>
      <c r="M131" s="39" t="n"/>
      <c r="N131" s="27">
        <f>IF(E131="","",IF(TODAY()&lt;E131,"Upcoming",IF(TODAY()&lt;F131,"Staying now",IF(M131="Yes","Checked out","Payout not received"))))</f>
        <v/>
      </c>
      <c r="O131" s="35" t="n"/>
      <c r="P131" s="1" t="n"/>
      <c r="Q131">
        <f>IF(N(G131)&gt;0,L131/G131,0)</f>
        <v/>
      </c>
      <c r="R131">
        <f>IF(N(G131)&gt;0,N(I131)/G131,0)</f>
        <v/>
      </c>
      <c r="S131">
        <f>IF(OR($E131="",$F131=""),0,MAX(0,MIN($F131,DATE(Dashboard!$C$4,2,1))-MAX($E131,DATE(Dashboard!$C$4,1,1))))</f>
        <v/>
      </c>
      <c r="T131">
        <f>IF(OR($E131="",$F131=""),0,MAX(0,MIN($F131,DATE(Dashboard!$C$4,3,1))-MAX($E131,DATE(Dashboard!$C$4,2,1))))</f>
        <v/>
      </c>
      <c r="U131">
        <f>IF(OR($E131="",$F131=""),0,MAX(0,MIN($F131,DATE(Dashboard!$C$4,4,1))-MAX($E131,DATE(Dashboard!$C$4,3,1))))</f>
        <v/>
      </c>
      <c r="V131">
        <f>IF(OR($E131="",$F131=""),0,MAX(0,MIN($F131,DATE(Dashboard!$C$4,5,1))-MAX($E131,DATE(Dashboard!$C$4,4,1))))</f>
        <v/>
      </c>
      <c r="W131">
        <f>IF(OR($E131="",$F131=""),0,MAX(0,MIN($F131,DATE(Dashboard!$C$4,6,1))-MAX($E131,DATE(Dashboard!$C$4,5,1))))</f>
        <v/>
      </c>
      <c r="X131">
        <f>IF(OR($E131="",$F131=""),0,MAX(0,MIN($F131,DATE(Dashboard!$C$4,7,1))-MAX($E131,DATE(Dashboard!$C$4,6,1))))</f>
        <v/>
      </c>
      <c r="Y131">
        <f>IF(OR($E131="",$F131=""),0,MAX(0,MIN($F131,DATE(Dashboard!$C$4,8,1))-MAX($E131,DATE(Dashboard!$C$4,7,1))))</f>
        <v/>
      </c>
      <c r="Z131">
        <f>IF(OR($E131="",$F131=""),0,MAX(0,MIN($F131,DATE(Dashboard!$C$4,9,1))-MAX($E131,DATE(Dashboard!$C$4,8,1))))</f>
        <v/>
      </c>
      <c r="AA131">
        <f>IF(OR($E131="",$F131=""),0,MAX(0,MIN($F131,DATE(Dashboard!$C$4,10,1))-MAX($E131,DATE(Dashboard!$C$4,9,1))))</f>
        <v/>
      </c>
      <c r="AB131">
        <f>IF(OR($E131="",$F131=""),0,MAX(0,MIN($F131,DATE(Dashboard!$C$4,11,1))-MAX($E131,DATE(Dashboard!$C$4,10,1))))</f>
        <v/>
      </c>
      <c r="AC131">
        <f>IF(OR($E131="",$F131=""),0,MAX(0,MIN($F131,DATE(Dashboard!$C$4,12,1))-MAX($E131,DATE(Dashboard!$C$4,11,1))))</f>
        <v/>
      </c>
      <c r="AD131">
        <f>IF(OR($E131="",$F131=""),0,MAX(0,MIN($F131,DATE(Dashboard!$C$4,13,1))-MAX($E131,DATE(Dashboard!$C$4,12,1))))</f>
        <v/>
      </c>
      <c r="AE131">
        <f>SUM(S131:AD131)</f>
        <v/>
      </c>
      <c r="AF131">
        <f>Q131*AE131</f>
        <v/>
      </c>
      <c r="AG131">
        <f>R131*AE131</f>
        <v/>
      </c>
      <c r="AH131">
        <f>SUMPRODUCT(S131:AD131,--(COLUMN(S131:AD131)-COLUMN(S131)+1&lt;=Dashboard!$N$1))</f>
        <v/>
      </c>
      <c r="AI131">
        <f>IF(OR(E131="",E131&lt;TODAY()),"",E131+ROW()/100000)</f>
        <v/>
      </c>
      <c r="AJ131">
        <f>IF(OR(F131="",F131&lt;TODAY()),"",F131+ROW()/100000)</f>
        <v/>
      </c>
    </row>
    <row r="132">
      <c r="A132" s="1" t="n"/>
      <c r="B132" s="35" t="n"/>
      <c r="C132" s="35" t="n"/>
      <c r="D132" s="35" t="n"/>
      <c r="E132" s="36" t="n"/>
      <c r="F132" s="36" t="n"/>
      <c r="G132" s="18">
        <f>IF(OR(E132="",F132=""),"",F132-E132)</f>
        <v/>
      </c>
      <c r="H132" s="37" t="n"/>
      <c r="I132" s="38" t="n"/>
      <c r="J132" s="38" t="n"/>
      <c r="K132" s="38" t="n"/>
      <c r="L132" s="31">
        <f>IF(E132="","",N(I132)+N(J132)-N(K132))</f>
        <v/>
      </c>
      <c r="M132" s="39" t="n"/>
      <c r="N132" s="27">
        <f>IF(E132="","",IF(TODAY()&lt;E132,"Upcoming",IF(TODAY()&lt;F132,"Staying now",IF(M132="Yes","Checked out","Payout not received"))))</f>
        <v/>
      </c>
      <c r="O132" s="35" t="n"/>
      <c r="P132" s="1" t="n"/>
      <c r="Q132">
        <f>IF(N(G132)&gt;0,L132/G132,0)</f>
        <v/>
      </c>
      <c r="R132">
        <f>IF(N(G132)&gt;0,N(I132)/G132,0)</f>
        <v/>
      </c>
      <c r="S132">
        <f>IF(OR($E132="",$F132=""),0,MAX(0,MIN($F132,DATE(Dashboard!$C$4,2,1))-MAX($E132,DATE(Dashboard!$C$4,1,1))))</f>
        <v/>
      </c>
      <c r="T132">
        <f>IF(OR($E132="",$F132=""),0,MAX(0,MIN($F132,DATE(Dashboard!$C$4,3,1))-MAX($E132,DATE(Dashboard!$C$4,2,1))))</f>
        <v/>
      </c>
      <c r="U132">
        <f>IF(OR($E132="",$F132=""),0,MAX(0,MIN($F132,DATE(Dashboard!$C$4,4,1))-MAX($E132,DATE(Dashboard!$C$4,3,1))))</f>
        <v/>
      </c>
      <c r="V132">
        <f>IF(OR($E132="",$F132=""),0,MAX(0,MIN($F132,DATE(Dashboard!$C$4,5,1))-MAX($E132,DATE(Dashboard!$C$4,4,1))))</f>
        <v/>
      </c>
      <c r="W132">
        <f>IF(OR($E132="",$F132=""),0,MAX(0,MIN($F132,DATE(Dashboard!$C$4,6,1))-MAX($E132,DATE(Dashboard!$C$4,5,1))))</f>
        <v/>
      </c>
      <c r="X132">
        <f>IF(OR($E132="",$F132=""),0,MAX(0,MIN($F132,DATE(Dashboard!$C$4,7,1))-MAX($E132,DATE(Dashboard!$C$4,6,1))))</f>
        <v/>
      </c>
      <c r="Y132">
        <f>IF(OR($E132="",$F132=""),0,MAX(0,MIN($F132,DATE(Dashboard!$C$4,8,1))-MAX($E132,DATE(Dashboard!$C$4,7,1))))</f>
        <v/>
      </c>
      <c r="Z132">
        <f>IF(OR($E132="",$F132=""),0,MAX(0,MIN($F132,DATE(Dashboard!$C$4,9,1))-MAX($E132,DATE(Dashboard!$C$4,8,1))))</f>
        <v/>
      </c>
      <c r="AA132">
        <f>IF(OR($E132="",$F132=""),0,MAX(0,MIN($F132,DATE(Dashboard!$C$4,10,1))-MAX($E132,DATE(Dashboard!$C$4,9,1))))</f>
        <v/>
      </c>
      <c r="AB132">
        <f>IF(OR($E132="",$F132=""),0,MAX(0,MIN($F132,DATE(Dashboard!$C$4,11,1))-MAX($E132,DATE(Dashboard!$C$4,10,1))))</f>
        <v/>
      </c>
      <c r="AC132">
        <f>IF(OR($E132="",$F132=""),0,MAX(0,MIN($F132,DATE(Dashboard!$C$4,12,1))-MAX($E132,DATE(Dashboard!$C$4,11,1))))</f>
        <v/>
      </c>
      <c r="AD132">
        <f>IF(OR($E132="",$F132=""),0,MAX(0,MIN($F132,DATE(Dashboard!$C$4,13,1))-MAX($E132,DATE(Dashboard!$C$4,12,1))))</f>
        <v/>
      </c>
      <c r="AE132">
        <f>SUM(S132:AD132)</f>
        <v/>
      </c>
      <c r="AF132">
        <f>Q132*AE132</f>
        <v/>
      </c>
      <c r="AG132">
        <f>R132*AE132</f>
        <v/>
      </c>
      <c r="AH132">
        <f>SUMPRODUCT(S132:AD132,--(COLUMN(S132:AD132)-COLUMN(S132)+1&lt;=Dashboard!$N$1))</f>
        <v/>
      </c>
      <c r="AI132">
        <f>IF(OR(E132="",E132&lt;TODAY()),"",E132+ROW()/100000)</f>
        <v/>
      </c>
      <c r="AJ132">
        <f>IF(OR(F132="",F132&lt;TODAY()),"",F132+ROW()/100000)</f>
        <v/>
      </c>
    </row>
    <row r="133">
      <c r="A133" s="1" t="n"/>
      <c r="B133" s="35" t="n"/>
      <c r="C133" s="35" t="n"/>
      <c r="D133" s="35" t="n"/>
      <c r="E133" s="36" t="n"/>
      <c r="F133" s="36" t="n"/>
      <c r="G133" s="18">
        <f>IF(OR(E133="",F133=""),"",F133-E133)</f>
        <v/>
      </c>
      <c r="H133" s="37" t="n"/>
      <c r="I133" s="38" t="n"/>
      <c r="J133" s="38" t="n"/>
      <c r="K133" s="38" t="n"/>
      <c r="L133" s="31">
        <f>IF(E133="","",N(I133)+N(J133)-N(K133))</f>
        <v/>
      </c>
      <c r="M133" s="39" t="n"/>
      <c r="N133" s="27">
        <f>IF(E133="","",IF(TODAY()&lt;E133,"Upcoming",IF(TODAY()&lt;F133,"Staying now",IF(M133="Yes","Checked out","Payout not received"))))</f>
        <v/>
      </c>
      <c r="O133" s="35" t="n"/>
      <c r="P133" s="1" t="n"/>
      <c r="Q133">
        <f>IF(N(G133)&gt;0,L133/G133,0)</f>
        <v/>
      </c>
      <c r="R133">
        <f>IF(N(G133)&gt;0,N(I133)/G133,0)</f>
        <v/>
      </c>
      <c r="S133">
        <f>IF(OR($E133="",$F133=""),0,MAX(0,MIN($F133,DATE(Dashboard!$C$4,2,1))-MAX($E133,DATE(Dashboard!$C$4,1,1))))</f>
        <v/>
      </c>
      <c r="T133">
        <f>IF(OR($E133="",$F133=""),0,MAX(0,MIN($F133,DATE(Dashboard!$C$4,3,1))-MAX($E133,DATE(Dashboard!$C$4,2,1))))</f>
        <v/>
      </c>
      <c r="U133">
        <f>IF(OR($E133="",$F133=""),0,MAX(0,MIN($F133,DATE(Dashboard!$C$4,4,1))-MAX($E133,DATE(Dashboard!$C$4,3,1))))</f>
        <v/>
      </c>
      <c r="V133">
        <f>IF(OR($E133="",$F133=""),0,MAX(0,MIN($F133,DATE(Dashboard!$C$4,5,1))-MAX($E133,DATE(Dashboard!$C$4,4,1))))</f>
        <v/>
      </c>
      <c r="W133">
        <f>IF(OR($E133="",$F133=""),0,MAX(0,MIN($F133,DATE(Dashboard!$C$4,6,1))-MAX($E133,DATE(Dashboard!$C$4,5,1))))</f>
        <v/>
      </c>
      <c r="X133">
        <f>IF(OR($E133="",$F133=""),0,MAX(0,MIN($F133,DATE(Dashboard!$C$4,7,1))-MAX($E133,DATE(Dashboard!$C$4,6,1))))</f>
        <v/>
      </c>
      <c r="Y133">
        <f>IF(OR($E133="",$F133=""),0,MAX(0,MIN($F133,DATE(Dashboard!$C$4,8,1))-MAX($E133,DATE(Dashboard!$C$4,7,1))))</f>
        <v/>
      </c>
      <c r="Z133">
        <f>IF(OR($E133="",$F133=""),0,MAX(0,MIN($F133,DATE(Dashboard!$C$4,9,1))-MAX($E133,DATE(Dashboard!$C$4,8,1))))</f>
        <v/>
      </c>
      <c r="AA133">
        <f>IF(OR($E133="",$F133=""),0,MAX(0,MIN($F133,DATE(Dashboard!$C$4,10,1))-MAX($E133,DATE(Dashboard!$C$4,9,1))))</f>
        <v/>
      </c>
      <c r="AB133">
        <f>IF(OR($E133="",$F133=""),0,MAX(0,MIN($F133,DATE(Dashboard!$C$4,11,1))-MAX($E133,DATE(Dashboard!$C$4,10,1))))</f>
        <v/>
      </c>
      <c r="AC133">
        <f>IF(OR($E133="",$F133=""),0,MAX(0,MIN($F133,DATE(Dashboard!$C$4,12,1))-MAX($E133,DATE(Dashboard!$C$4,11,1))))</f>
        <v/>
      </c>
      <c r="AD133">
        <f>IF(OR($E133="",$F133=""),0,MAX(0,MIN($F133,DATE(Dashboard!$C$4,13,1))-MAX($E133,DATE(Dashboard!$C$4,12,1))))</f>
        <v/>
      </c>
      <c r="AE133">
        <f>SUM(S133:AD133)</f>
        <v/>
      </c>
      <c r="AF133">
        <f>Q133*AE133</f>
        <v/>
      </c>
      <c r="AG133">
        <f>R133*AE133</f>
        <v/>
      </c>
      <c r="AH133">
        <f>SUMPRODUCT(S133:AD133,--(COLUMN(S133:AD133)-COLUMN(S133)+1&lt;=Dashboard!$N$1))</f>
        <v/>
      </c>
      <c r="AI133">
        <f>IF(OR(E133="",E133&lt;TODAY()),"",E133+ROW()/100000)</f>
        <v/>
      </c>
      <c r="AJ133">
        <f>IF(OR(F133="",F133&lt;TODAY()),"",F133+ROW()/100000)</f>
        <v/>
      </c>
    </row>
    <row r="134">
      <c r="A134" s="1" t="n"/>
      <c r="B134" s="35" t="n"/>
      <c r="C134" s="35" t="n"/>
      <c r="D134" s="35" t="n"/>
      <c r="E134" s="36" t="n"/>
      <c r="F134" s="36" t="n"/>
      <c r="G134" s="18">
        <f>IF(OR(E134="",F134=""),"",F134-E134)</f>
        <v/>
      </c>
      <c r="H134" s="37" t="n"/>
      <c r="I134" s="38" t="n"/>
      <c r="J134" s="38" t="n"/>
      <c r="K134" s="38" t="n"/>
      <c r="L134" s="31">
        <f>IF(E134="","",N(I134)+N(J134)-N(K134))</f>
        <v/>
      </c>
      <c r="M134" s="39" t="n"/>
      <c r="N134" s="27">
        <f>IF(E134="","",IF(TODAY()&lt;E134,"Upcoming",IF(TODAY()&lt;F134,"Staying now",IF(M134="Yes","Checked out","Payout not received"))))</f>
        <v/>
      </c>
      <c r="O134" s="35" t="n"/>
      <c r="P134" s="1" t="n"/>
      <c r="Q134">
        <f>IF(N(G134)&gt;0,L134/G134,0)</f>
        <v/>
      </c>
      <c r="R134">
        <f>IF(N(G134)&gt;0,N(I134)/G134,0)</f>
        <v/>
      </c>
      <c r="S134">
        <f>IF(OR($E134="",$F134=""),0,MAX(0,MIN($F134,DATE(Dashboard!$C$4,2,1))-MAX($E134,DATE(Dashboard!$C$4,1,1))))</f>
        <v/>
      </c>
      <c r="T134">
        <f>IF(OR($E134="",$F134=""),0,MAX(0,MIN($F134,DATE(Dashboard!$C$4,3,1))-MAX($E134,DATE(Dashboard!$C$4,2,1))))</f>
        <v/>
      </c>
      <c r="U134">
        <f>IF(OR($E134="",$F134=""),0,MAX(0,MIN($F134,DATE(Dashboard!$C$4,4,1))-MAX($E134,DATE(Dashboard!$C$4,3,1))))</f>
        <v/>
      </c>
      <c r="V134">
        <f>IF(OR($E134="",$F134=""),0,MAX(0,MIN($F134,DATE(Dashboard!$C$4,5,1))-MAX($E134,DATE(Dashboard!$C$4,4,1))))</f>
        <v/>
      </c>
      <c r="W134">
        <f>IF(OR($E134="",$F134=""),0,MAX(0,MIN($F134,DATE(Dashboard!$C$4,6,1))-MAX($E134,DATE(Dashboard!$C$4,5,1))))</f>
        <v/>
      </c>
      <c r="X134">
        <f>IF(OR($E134="",$F134=""),0,MAX(0,MIN($F134,DATE(Dashboard!$C$4,7,1))-MAX($E134,DATE(Dashboard!$C$4,6,1))))</f>
        <v/>
      </c>
      <c r="Y134">
        <f>IF(OR($E134="",$F134=""),0,MAX(0,MIN($F134,DATE(Dashboard!$C$4,8,1))-MAX($E134,DATE(Dashboard!$C$4,7,1))))</f>
        <v/>
      </c>
      <c r="Z134">
        <f>IF(OR($E134="",$F134=""),0,MAX(0,MIN($F134,DATE(Dashboard!$C$4,9,1))-MAX($E134,DATE(Dashboard!$C$4,8,1))))</f>
        <v/>
      </c>
      <c r="AA134">
        <f>IF(OR($E134="",$F134=""),0,MAX(0,MIN($F134,DATE(Dashboard!$C$4,10,1))-MAX($E134,DATE(Dashboard!$C$4,9,1))))</f>
        <v/>
      </c>
      <c r="AB134">
        <f>IF(OR($E134="",$F134=""),0,MAX(0,MIN($F134,DATE(Dashboard!$C$4,11,1))-MAX($E134,DATE(Dashboard!$C$4,10,1))))</f>
        <v/>
      </c>
      <c r="AC134">
        <f>IF(OR($E134="",$F134=""),0,MAX(0,MIN($F134,DATE(Dashboard!$C$4,12,1))-MAX($E134,DATE(Dashboard!$C$4,11,1))))</f>
        <v/>
      </c>
      <c r="AD134">
        <f>IF(OR($E134="",$F134=""),0,MAX(0,MIN($F134,DATE(Dashboard!$C$4,13,1))-MAX($E134,DATE(Dashboard!$C$4,12,1))))</f>
        <v/>
      </c>
      <c r="AE134">
        <f>SUM(S134:AD134)</f>
        <v/>
      </c>
      <c r="AF134">
        <f>Q134*AE134</f>
        <v/>
      </c>
      <c r="AG134">
        <f>R134*AE134</f>
        <v/>
      </c>
      <c r="AH134">
        <f>SUMPRODUCT(S134:AD134,--(COLUMN(S134:AD134)-COLUMN(S134)+1&lt;=Dashboard!$N$1))</f>
        <v/>
      </c>
      <c r="AI134">
        <f>IF(OR(E134="",E134&lt;TODAY()),"",E134+ROW()/100000)</f>
        <v/>
      </c>
      <c r="AJ134">
        <f>IF(OR(F134="",F134&lt;TODAY()),"",F134+ROW()/100000)</f>
        <v/>
      </c>
    </row>
    <row r="135">
      <c r="A135" s="1" t="n"/>
      <c r="B135" s="35" t="n"/>
      <c r="C135" s="35" t="n"/>
      <c r="D135" s="35" t="n"/>
      <c r="E135" s="36" t="n"/>
      <c r="F135" s="36" t="n"/>
      <c r="G135" s="18">
        <f>IF(OR(E135="",F135=""),"",F135-E135)</f>
        <v/>
      </c>
      <c r="H135" s="37" t="n"/>
      <c r="I135" s="38" t="n"/>
      <c r="J135" s="38" t="n"/>
      <c r="K135" s="38" t="n"/>
      <c r="L135" s="31">
        <f>IF(E135="","",N(I135)+N(J135)-N(K135))</f>
        <v/>
      </c>
      <c r="M135" s="39" t="n"/>
      <c r="N135" s="27">
        <f>IF(E135="","",IF(TODAY()&lt;E135,"Upcoming",IF(TODAY()&lt;F135,"Staying now",IF(M135="Yes","Checked out","Payout not received"))))</f>
        <v/>
      </c>
      <c r="O135" s="35" t="n"/>
      <c r="P135" s="1" t="n"/>
      <c r="Q135">
        <f>IF(N(G135)&gt;0,L135/G135,0)</f>
        <v/>
      </c>
      <c r="R135">
        <f>IF(N(G135)&gt;0,N(I135)/G135,0)</f>
        <v/>
      </c>
      <c r="S135">
        <f>IF(OR($E135="",$F135=""),0,MAX(0,MIN($F135,DATE(Dashboard!$C$4,2,1))-MAX($E135,DATE(Dashboard!$C$4,1,1))))</f>
        <v/>
      </c>
      <c r="T135">
        <f>IF(OR($E135="",$F135=""),0,MAX(0,MIN($F135,DATE(Dashboard!$C$4,3,1))-MAX($E135,DATE(Dashboard!$C$4,2,1))))</f>
        <v/>
      </c>
      <c r="U135">
        <f>IF(OR($E135="",$F135=""),0,MAX(0,MIN($F135,DATE(Dashboard!$C$4,4,1))-MAX($E135,DATE(Dashboard!$C$4,3,1))))</f>
        <v/>
      </c>
      <c r="V135">
        <f>IF(OR($E135="",$F135=""),0,MAX(0,MIN($F135,DATE(Dashboard!$C$4,5,1))-MAX($E135,DATE(Dashboard!$C$4,4,1))))</f>
        <v/>
      </c>
      <c r="W135">
        <f>IF(OR($E135="",$F135=""),0,MAX(0,MIN($F135,DATE(Dashboard!$C$4,6,1))-MAX($E135,DATE(Dashboard!$C$4,5,1))))</f>
        <v/>
      </c>
      <c r="X135">
        <f>IF(OR($E135="",$F135=""),0,MAX(0,MIN($F135,DATE(Dashboard!$C$4,7,1))-MAX($E135,DATE(Dashboard!$C$4,6,1))))</f>
        <v/>
      </c>
      <c r="Y135">
        <f>IF(OR($E135="",$F135=""),0,MAX(0,MIN($F135,DATE(Dashboard!$C$4,8,1))-MAX($E135,DATE(Dashboard!$C$4,7,1))))</f>
        <v/>
      </c>
      <c r="Z135">
        <f>IF(OR($E135="",$F135=""),0,MAX(0,MIN($F135,DATE(Dashboard!$C$4,9,1))-MAX($E135,DATE(Dashboard!$C$4,8,1))))</f>
        <v/>
      </c>
      <c r="AA135">
        <f>IF(OR($E135="",$F135=""),0,MAX(0,MIN($F135,DATE(Dashboard!$C$4,10,1))-MAX($E135,DATE(Dashboard!$C$4,9,1))))</f>
        <v/>
      </c>
      <c r="AB135">
        <f>IF(OR($E135="",$F135=""),0,MAX(0,MIN($F135,DATE(Dashboard!$C$4,11,1))-MAX($E135,DATE(Dashboard!$C$4,10,1))))</f>
        <v/>
      </c>
      <c r="AC135">
        <f>IF(OR($E135="",$F135=""),0,MAX(0,MIN($F135,DATE(Dashboard!$C$4,12,1))-MAX($E135,DATE(Dashboard!$C$4,11,1))))</f>
        <v/>
      </c>
      <c r="AD135">
        <f>IF(OR($E135="",$F135=""),0,MAX(0,MIN($F135,DATE(Dashboard!$C$4,13,1))-MAX($E135,DATE(Dashboard!$C$4,12,1))))</f>
        <v/>
      </c>
      <c r="AE135">
        <f>SUM(S135:AD135)</f>
        <v/>
      </c>
      <c r="AF135">
        <f>Q135*AE135</f>
        <v/>
      </c>
      <c r="AG135">
        <f>R135*AE135</f>
        <v/>
      </c>
      <c r="AH135">
        <f>SUMPRODUCT(S135:AD135,--(COLUMN(S135:AD135)-COLUMN(S135)+1&lt;=Dashboard!$N$1))</f>
        <v/>
      </c>
      <c r="AI135">
        <f>IF(OR(E135="",E135&lt;TODAY()),"",E135+ROW()/100000)</f>
        <v/>
      </c>
      <c r="AJ135">
        <f>IF(OR(F135="",F135&lt;TODAY()),"",F135+ROW()/100000)</f>
        <v/>
      </c>
    </row>
    <row r="136">
      <c r="A136" s="1" t="n"/>
      <c r="B136" s="35" t="n"/>
      <c r="C136" s="35" t="n"/>
      <c r="D136" s="35" t="n"/>
      <c r="E136" s="36" t="n"/>
      <c r="F136" s="36" t="n"/>
      <c r="G136" s="18">
        <f>IF(OR(E136="",F136=""),"",F136-E136)</f>
        <v/>
      </c>
      <c r="H136" s="37" t="n"/>
      <c r="I136" s="38" t="n"/>
      <c r="J136" s="38" t="n"/>
      <c r="K136" s="38" t="n"/>
      <c r="L136" s="31">
        <f>IF(E136="","",N(I136)+N(J136)-N(K136))</f>
        <v/>
      </c>
      <c r="M136" s="39" t="n"/>
      <c r="N136" s="27">
        <f>IF(E136="","",IF(TODAY()&lt;E136,"Upcoming",IF(TODAY()&lt;F136,"Staying now",IF(M136="Yes","Checked out","Payout not received"))))</f>
        <v/>
      </c>
      <c r="O136" s="35" t="n"/>
      <c r="P136" s="1" t="n"/>
      <c r="Q136">
        <f>IF(N(G136)&gt;0,L136/G136,0)</f>
        <v/>
      </c>
      <c r="R136">
        <f>IF(N(G136)&gt;0,N(I136)/G136,0)</f>
        <v/>
      </c>
      <c r="S136">
        <f>IF(OR($E136="",$F136=""),0,MAX(0,MIN($F136,DATE(Dashboard!$C$4,2,1))-MAX($E136,DATE(Dashboard!$C$4,1,1))))</f>
        <v/>
      </c>
      <c r="T136">
        <f>IF(OR($E136="",$F136=""),0,MAX(0,MIN($F136,DATE(Dashboard!$C$4,3,1))-MAX($E136,DATE(Dashboard!$C$4,2,1))))</f>
        <v/>
      </c>
      <c r="U136">
        <f>IF(OR($E136="",$F136=""),0,MAX(0,MIN($F136,DATE(Dashboard!$C$4,4,1))-MAX($E136,DATE(Dashboard!$C$4,3,1))))</f>
        <v/>
      </c>
      <c r="V136">
        <f>IF(OR($E136="",$F136=""),0,MAX(0,MIN($F136,DATE(Dashboard!$C$4,5,1))-MAX($E136,DATE(Dashboard!$C$4,4,1))))</f>
        <v/>
      </c>
      <c r="W136">
        <f>IF(OR($E136="",$F136=""),0,MAX(0,MIN($F136,DATE(Dashboard!$C$4,6,1))-MAX($E136,DATE(Dashboard!$C$4,5,1))))</f>
        <v/>
      </c>
      <c r="X136">
        <f>IF(OR($E136="",$F136=""),0,MAX(0,MIN($F136,DATE(Dashboard!$C$4,7,1))-MAX($E136,DATE(Dashboard!$C$4,6,1))))</f>
        <v/>
      </c>
      <c r="Y136">
        <f>IF(OR($E136="",$F136=""),0,MAX(0,MIN($F136,DATE(Dashboard!$C$4,8,1))-MAX($E136,DATE(Dashboard!$C$4,7,1))))</f>
        <v/>
      </c>
      <c r="Z136">
        <f>IF(OR($E136="",$F136=""),0,MAX(0,MIN($F136,DATE(Dashboard!$C$4,9,1))-MAX($E136,DATE(Dashboard!$C$4,8,1))))</f>
        <v/>
      </c>
      <c r="AA136">
        <f>IF(OR($E136="",$F136=""),0,MAX(0,MIN($F136,DATE(Dashboard!$C$4,10,1))-MAX($E136,DATE(Dashboard!$C$4,9,1))))</f>
        <v/>
      </c>
      <c r="AB136">
        <f>IF(OR($E136="",$F136=""),0,MAX(0,MIN($F136,DATE(Dashboard!$C$4,11,1))-MAX($E136,DATE(Dashboard!$C$4,10,1))))</f>
        <v/>
      </c>
      <c r="AC136">
        <f>IF(OR($E136="",$F136=""),0,MAX(0,MIN($F136,DATE(Dashboard!$C$4,12,1))-MAX($E136,DATE(Dashboard!$C$4,11,1))))</f>
        <v/>
      </c>
      <c r="AD136">
        <f>IF(OR($E136="",$F136=""),0,MAX(0,MIN($F136,DATE(Dashboard!$C$4,13,1))-MAX($E136,DATE(Dashboard!$C$4,12,1))))</f>
        <v/>
      </c>
      <c r="AE136">
        <f>SUM(S136:AD136)</f>
        <v/>
      </c>
      <c r="AF136">
        <f>Q136*AE136</f>
        <v/>
      </c>
      <c r="AG136">
        <f>R136*AE136</f>
        <v/>
      </c>
      <c r="AH136">
        <f>SUMPRODUCT(S136:AD136,--(COLUMN(S136:AD136)-COLUMN(S136)+1&lt;=Dashboard!$N$1))</f>
        <v/>
      </c>
      <c r="AI136">
        <f>IF(OR(E136="",E136&lt;TODAY()),"",E136+ROW()/100000)</f>
        <v/>
      </c>
      <c r="AJ136">
        <f>IF(OR(F136="",F136&lt;TODAY()),"",F136+ROW()/100000)</f>
        <v/>
      </c>
    </row>
    <row r="137">
      <c r="A137" s="1" t="n"/>
      <c r="B137" s="35" t="n"/>
      <c r="C137" s="35" t="n"/>
      <c r="D137" s="35" t="n"/>
      <c r="E137" s="36" t="n"/>
      <c r="F137" s="36" t="n"/>
      <c r="G137" s="18">
        <f>IF(OR(E137="",F137=""),"",F137-E137)</f>
        <v/>
      </c>
      <c r="H137" s="37" t="n"/>
      <c r="I137" s="38" t="n"/>
      <c r="J137" s="38" t="n"/>
      <c r="K137" s="38" t="n"/>
      <c r="L137" s="31">
        <f>IF(E137="","",N(I137)+N(J137)-N(K137))</f>
        <v/>
      </c>
      <c r="M137" s="39" t="n"/>
      <c r="N137" s="27">
        <f>IF(E137="","",IF(TODAY()&lt;E137,"Upcoming",IF(TODAY()&lt;F137,"Staying now",IF(M137="Yes","Checked out","Payout not received"))))</f>
        <v/>
      </c>
      <c r="O137" s="35" t="n"/>
      <c r="P137" s="1" t="n"/>
      <c r="Q137">
        <f>IF(N(G137)&gt;0,L137/G137,0)</f>
        <v/>
      </c>
      <c r="R137">
        <f>IF(N(G137)&gt;0,N(I137)/G137,0)</f>
        <v/>
      </c>
      <c r="S137">
        <f>IF(OR($E137="",$F137=""),0,MAX(0,MIN($F137,DATE(Dashboard!$C$4,2,1))-MAX($E137,DATE(Dashboard!$C$4,1,1))))</f>
        <v/>
      </c>
      <c r="T137">
        <f>IF(OR($E137="",$F137=""),0,MAX(0,MIN($F137,DATE(Dashboard!$C$4,3,1))-MAX($E137,DATE(Dashboard!$C$4,2,1))))</f>
        <v/>
      </c>
      <c r="U137">
        <f>IF(OR($E137="",$F137=""),0,MAX(0,MIN($F137,DATE(Dashboard!$C$4,4,1))-MAX($E137,DATE(Dashboard!$C$4,3,1))))</f>
        <v/>
      </c>
      <c r="V137">
        <f>IF(OR($E137="",$F137=""),0,MAX(0,MIN($F137,DATE(Dashboard!$C$4,5,1))-MAX($E137,DATE(Dashboard!$C$4,4,1))))</f>
        <v/>
      </c>
      <c r="W137">
        <f>IF(OR($E137="",$F137=""),0,MAX(0,MIN($F137,DATE(Dashboard!$C$4,6,1))-MAX($E137,DATE(Dashboard!$C$4,5,1))))</f>
        <v/>
      </c>
      <c r="X137">
        <f>IF(OR($E137="",$F137=""),0,MAX(0,MIN($F137,DATE(Dashboard!$C$4,7,1))-MAX($E137,DATE(Dashboard!$C$4,6,1))))</f>
        <v/>
      </c>
      <c r="Y137">
        <f>IF(OR($E137="",$F137=""),0,MAX(0,MIN($F137,DATE(Dashboard!$C$4,8,1))-MAX($E137,DATE(Dashboard!$C$4,7,1))))</f>
        <v/>
      </c>
      <c r="Z137">
        <f>IF(OR($E137="",$F137=""),0,MAX(0,MIN($F137,DATE(Dashboard!$C$4,9,1))-MAX($E137,DATE(Dashboard!$C$4,8,1))))</f>
        <v/>
      </c>
      <c r="AA137">
        <f>IF(OR($E137="",$F137=""),0,MAX(0,MIN($F137,DATE(Dashboard!$C$4,10,1))-MAX($E137,DATE(Dashboard!$C$4,9,1))))</f>
        <v/>
      </c>
      <c r="AB137">
        <f>IF(OR($E137="",$F137=""),0,MAX(0,MIN($F137,DATE(Dashboard!$C$4,11,1))-MAX($E137,DATE(Dashboard!$C$4,10,1))))</f>
        <v/>
      </c>
      <c r="AC137">
        <f>IF(OR($E137="",$F137=""),0,MAX(0,MIN($F137,DATE(Dashboard!$C$4,12,1))-MAX($E137,DATE(Dashboard!$C$4,11,1))))</f>
        <v/>
      </c>
      <c r="AD137">
        <f>IF(OR($E137="",$F137=""),0,MAX(0,MIN($F137,DATE(Dashboard!$C$4,13,1))-MAX($E137,DATE(Dashboard!$C$4,12,1))))</f>
        <v/>
      </c>
      <c r="AE137">
        <f>SUM(S137:AD137)</f>
        <v/>
      </c>
      <c r="AF137">
        <f>Q137*AE137</f>
        <v/>
      </c>
      <c r="AG137">
        <f>R137*AE137</f>
        <v/>
      </c>
      <c r="AH137">
        <f>SUMPRODUCT(S137:AD137,--(COLUMN(S137:AD137)-COLUMN(S137)+1&lt;=Dashboard!$N$1))</f>
        <v/>
      </c>
      <c r="AI137">
        <f>IF(OR(E137="",E137&lt;TODAY()),"",E137+ROW()/100000)</f>
        <v/>
      </c>
      <c r="AJ137">
        <f>IF(OR(F137="",F137&lt;TODAY()),"",F137+ROW()/100000)</f>
        <v/>
      </c>
    </row>
    <row r="138">
      <c r="A138" s="1" t="n"/>
      <c r="B138" s="35" t="n"/>
      <c r="C138" s="35" t="n"/>
      <c r="D138" s="35" t="n"/>
      <c r="E138" s="36" t="n"/>
      <c r="F138" s="36" t="n"/>
      <c r="G138" s="18">
        <f>IF(OR(E138="",F138=""),"",F138-E138)</f>
        <v/>
      </c>
      <c r="H138" s="37" t="n"/>
      <c r="I138" s="38" t="n"/>
      <c r="J138" s="38" t="n"/>
      <c r="K138" s="38" t="n"/>
      <c r="L138" s="31">
        <f>IF(E138="","",N(I138)+N(J138)-N(K138))</f>
        <v/>
      </c>
      <c r="M138" s="39" t="n"/>
      <c r="N138" s="27">
        <f>IF(E138="","",IF(TODAY()&lt;E138,"Upcoming",IF(TODAY()&lt;F138,"Staying now",IF(M138="Yes","Checked out","Payout not received"))))</f>
        <v/>
      </c>
      <c r="O138" s="35" t="n"/>
      <c r="P138" s="1" t="n"/>
      <c r="Q138">
        <f>IF(N(G138)&gt;0,L138/G138,0)</f>
        <v/>
      </c>
      <c r="R138">
        <f>IF(N(G138)&gt;0,N(I138)/G138,0)</f>
        <v/>
      </c>
      <c r="S138">
        <f>IF(OR($E138="",$F138=""),0,MAX(0,MIN($F138,DATE(Dashboard!$C$4,2,1))-MAX($E138,DATE(Dashboard!$C$4,1,1))))</f>
        <v/>
      </c>
      <c r="T138">
        <f>IF(OR($E138="",$F138=""),0,MAX(0,MIN($F138,DATE(Dashboard!$C$4,3,1))-MAX($E138,DATE(Dashboard!$C$4,2,1))))</f>
        <v/>
      </c>
      <c r="U138">
        <f>IF(OR($E138="",$F138=""),0,MAX(0,MIN($F138,DATE(Dashboard!$C$4,4,1))-MAX($E138,DATE(Dashboard!$C$4,3,1))))</f>
        <v/>
      </c>
      <c r="V138">
        <f>IF(OR($E138="",$F138=""),0,MAX(0,MIN($F138,DATE(Dashboard!$C$4,5,1))-MAX($E138,DATE(Dashboard!$C$4,4,1))))</f>
        <v/>
      </c>
      <c r="W138">
        <f>IF(OR($E138="",$F138=""),0,MAX(0,MIN($F138,DATE(Dashboard!$C$4,6,1))-MAX($E138,DATE(Dashboard!$C$4,5,1))))</f>
        <v/>
      </c>
      <c r="X138">
        <f>IF(OR($E138="",$F138=""),0,MAX(0,MIN($F138,DATE(Dashboard!$C$4,7,1))-MAX($E138,DATE(Dashboard!$C$4,6,1))))</f>
        <v/>
      </c>
      <c r="Y138">
        <f>IF(OR($E138="",$F138=""),0,MAX(0,MIN($F138,DATE(Dashboard!$C$4,8,1))-MAX($E138,DATE(Dashboard!$C$4,7,1))))</f>
        <v/>
      </c>
      <c r="Z138">
        <f>IF(OR($E138="",$F138=""),0,MAX(0,MIN($F138,DATE(Dashboard!$C$4,9,1))-MAX($E138,DATE(Dashboard!$C$4,8,1))))</f>
        <v/>
      </c>
      <c r="AA138">
        <f>IF(OR($E138="",$F138=""),0,MAX(0,MIN($F138,DATE(Dashboard!$C$4,10,1))-MAX($E138,DATE(Dashboard!$C$4,9,1))))</f>
        <v/>
      </c>
      <c r="AB138">
        <f>IF(OR($E138="",$F138=""),0,MAX(0,MIN($F138,DATE(Dashboard!$C$4,11,1))-MAX($E138,DATE(Dashboard!$C$4,10,1))))</f>
        <v/>
      </c>
      <c r="AC138">
        <f>IF(OR($E138="",$F138=""),0,MAX(0,MIN($F138,DATE(Dashboard!$C$4,12,1))-MAX($E138,DATE(Dashboard!$C$4,11,1))))</f>
        <v/>
      </c>
      <c r="AD138">
        <f>IF(OR($E138="",$F138=""),0,MAX(0,MIN($F138,DATE(Dashboard!$C$4,13,1))-MAX($E138,DATE(Dashboard!$C$4,12,1))))</f>
        <v/>
      </c>
      <c r="AE138">
        <f>SUM(S138:AD138)</f>
        <v/>
      </c>
      <c r="AF138">
        <f>Q138*AE138</f>
        <v/>
      </c>
      <c r="AG138">
        <f>R138*AE138</f>
        <v/>
      </c>
      <c r="AH138">
        <f>SUMPRODUCT(S138:AD138,--(COLUMN(S138:AD138)-COLUMN(S138)+1&lt;=Dashboard!$N$1))</f>
        <v/>
      </c>
      <c r="AI138">
        <f>IF(OR(E138="",E138&lt;TODAY()),"",E138+ROW()/100000)</f>
        <v/>
      </c>
      <c r="AJ138">
        <f>IF(OR(F138="",F138&lt;TODAY()),"",F138+ROW()/100000)</f>
        <v/>
      </c>
    </row>
    <row r="139">
      <c r="A139" s="1" t="n"/>
      <c r="B139" s="35" t="n"/>
      <c r="C139" s="35" t="n"/>
      <c r="D139" s="35" t="n"/>
      <c r="E139" s="36" t="n"/>
      <c r="F139" s="36" t="n"/>
      <c r="G139" s="18">
        <f>IF(OR(E139="",F139=""),"",F139-E139)</f>
        <v/>
      </c>
      <c r="H139" s="37" t="n"/>
      <c r="I139" s="38" t="n"/>
      <c r="J139" s="38" t="n"/>
      <c r="K139" s="38" t="n"/>
      <c r="L139" s="31">
        <f>IF(E139="","",N(I139)+N(J139)-N(K139))</f>
        <v/>
      </c>
      <c r="M139" s="39" t="n"/>
      <c r="N139" s="27">
        <f>IF(E139="","",IF(TODAY()&lt;E139,"Upcoming",IF(TODAY()&lt;F139,"Staying now",IF(M139="Yes","Checked out","Payout not received"))))</f>
        <v/>
      </c>
      <c r="O139" s="35" t="n"/>
      <c r="P139" s="1" t="n"/>
      <c r="Q139">
        <f>IF(N(G139)&gt;0,L139/G139,0)</f>
        <v/>
      </c>
      <c r="R139">
        <f>IF(N(G139)&gt;0,N(I139)/G139,0)</f>
        <v/>
      </c>
      <c r="S139">
        <f>IF(OR($E139="",$F139=""),0,MAX(0,MIN($F139,DATE(Dashboard!$C$4,2,1))-MAX($E139,DATE(Dashboard!$C$4,1,1))))</f>
        <v/>
      </c>
      <c r="T139">
        <f>IF(OR($E139="",$F139=""),0,MAX(0,MIN($F139,DATE(Dashboard!$C$4,3,1))-MAX($E139,DATE(Dashboard!$C$4,2,1))))</f>
        <v/>
      </c>
      <c r="U139">
        <f>IF(OR($E139="",$F139=""),0,MAX(0,MIN($F139,DATE(Dashboard!$C$4,4,1))-MAX($E139,DATE(Dashboard!$C$4,3,1))))</f>
        <v/>
      </c>
      <c r="V139">
        <f>IF(OR($E139="",$F139=""),0,MAX(0,MIN($F139,DATE(Dashboard!$C$4,5,1))-MAX($E139,DATE(Dashboard!$C$4,4,1))))</f>
        <v/>
      </c>
      <c r="W139">
        <f>IF(OR($E139="",$F139=""),0,MAX(0,MIN($F139,DATE(Dashboard!$C$4,6,1))-MAX($E139,DATE(Dashboard!$C$4,5,1))))</f>
        <v/>
      </c>
      <c r="X139">
        <f>IF(OR($E139="",$F139=""),0,MAX(0,MIN($F139,DATE(Dashboard!$C$4,7,1))-MAX($E139,DATE(Dashboard!$C$4,6,1))))</f>
        <v/>
      </c>
      <c r="Y139">
        <f>IF(OR($E139="",$F139=""),0,MAX(0,MIN($F139,DATE(Dashboard!$C$4,8,1))-MAX($E139,DATE(Dashboard!$C$4,7,1))))</f>
        <v/>
      </c>
      <c r="Z139">
        <f>IF(OR($E139="",$F139=""),0,MAX(0,MIN($F139,DATE(Dashboard!$C$4,9,1))-MAX($E139,DATE(Dashboard!$C$4,8,1))))</f>
        <v/>
      </c>
      <c r="AA139">
        <f>IF(OR($E139="",$F139=""),0,MAX(0,MIN($F139,DATE(Dashboard!$C$4,10,1))-MAX($E139,DATE(Dashboard!$C$4,9,1))))</f>
        <v/>
      </c>
      <c r="AB139">
        <f>IF(OR($E139="",$F139=""),0,MAX(0,MIN($F139,DATE(Dashboard!$C$4,11,1))-MAX($E139,DATE(Dashboard!$C$4,10,1))))</f>
        <v/>
      </c>
      <c r="AC139">
        <f>IF(OR($E139="",$F139=""),0,MAX(0,MIN($F139,DATE(Dashboard!$C$4,12,1))-MAX($E139,DATE(Dashboard!$C$4,11,1))))</f>
        <v/>
      </c>
      <c r="AD139">
        <f>IF(OR($E139="",$F139=""),0,MAX(0,MIN($F139,DATE(Dashboard!$C$4,13,1))-MAX($E139,DATE(Dashboard!$C$4,12,1))))</f>
        <v/>
      </c>
      <c r="AE139">
        <f>SUM(S139:AD139)</f>
        <v/>
      </c>
      <c r="AF139">
        <f>Q139*AE139</f>
        <v/>
      </c>
      <c r="AG139">
        <f>R139*AE139</f>
        <v/>
      </c>
      <c r="AH139">
        <f>SUMPRODUCT(S139:AD139,--(COLUMN(S139:AD139)-COLUMN(S139)+1&lt;=Dashboard!$N$1))</f>
        <v/>
      </c>
      <c r="AI139">
        <f>IF(OR(E139="",E139&lt;TODAY()),"",E139+ROW()/100000)</f>
        <v/>
      </c>
      <c r="AJ139">
        <f>IF(OR(F139="",F139&lt;TODAY()),"",F139+ROW()/100000)</f>
        <v/>
      </c>
    </row>
    <row r="140">
      <c r="A140" s="1" t="n"/>
      <c r="B140" s="35" t="n"/>
      <c r="C140" s="35" t="n"/>
      <c r="D140" s="35" t="n"/>
      <c r="E140" s="36" t="n"/>
      <c r="F140" s="36" t="n"/>
      <c r="G140" s="18">
        <f>IF(OR(E140="",F140=""),"",F140-E140)</f>
        <v/>
      </c>
      <c r="H140" s="37" t="n"/>
      <c r="I140" s="38" t="n"/>
      <c r="J140" s="38" t="n"/>
      <c r="K140" s="38" t="n"/>
      <c r="L140" s="31">
        <f>IF(E140="","",N(I140)+N(J140)-N(K140))</f>
        <v/>
      </c>
      <c r="M140" s="39" t="n"/>
      <c r="N140" s="27">
        <f>IF(E140="","",IF(TODAY()&lt;E140,"Upcoming",IF(TODAY()&lt;F140,"Staying now",IF(M140="Yes","Checked out","Payout not received"))))</f>
        <v/>
      </c>
      <c r="O140" s="35" t="n"/>
      <c r="P140" s="1" t="n"/>
      <c r="Q140">
        <f>IF(N(G140)&gt;0,L140/G140,0)</f>
        <v/>
      </c>
      <c r="R140">
        <f>IF(N(G140)&gt;0,N(I140)/G140,0)</f>
        <v/>
      </c>
      <c r="S140">
        <f>IF(OR($E140="",$F140=""),0,MAX(0,MIN($F140,DATE(Dashboard!$C$4,2,1))-MAX($E140,DATE(Dashboard!$C$4,1,1))))</f>
        <v/>
      </c>
      <c r="T140">
        <f>IF(OR($E140="",$F140=""),0,MAX(0,MIN($F140,DATE(Dashboard!$C$4,3,1))-MAX($E140,DATE(Dashboard!$C$4,2,1))))</f>
        <v/>
      </c>
      <c r="U140">
        <f>IF(OR($E140="",$F140=""),0,MAX(0,MIN($F140,DATE(Dashboard!$C$4,4,1))-MAX($E140,DATE(Dashboard!$C$4,3,1))))</f>
        <v/>
      </c>
      <c r="V140">
        <f>IF(OR($E140="",$F140=""),0,MAX(0,MIN($F140,DATE(Dashboard!$C$4,5,1))-MAX($E140,DATE(Dashboard!$C$4,4,1))))</f>
        <v/>
      </c>
      <c r="W140">
        <f>IF(OR($E140="",$F140=""),0,MAX(0,MIN($F140,DATE(Dashboard!$C$4,6,1))-MAX($E140,DATE(Dashboard!$C$4,5,1))))</f>
        <v/>
      </c>
      <c r="X140">
        <f>IF(OR($E140="",$F140=""),0,MAX(0,MIN($F140,DATE(Dashboard!$C$4,7,1))-MAX($E140,DATE(Dashboard!$C$4,6,1))))</f>
        <v/>
      </c>
      <c r="Y140">
        <f>IF(OR($E140="",$F140=""),0,MAX(0,MIN($F140,DATE(Dashboard!$C$4,8,1))-MAX($E140,DATE(Dashboard!$C$4,7,1))))</f>
        <v/>
      </c>
      <c r="Z140">
        <f>IF(OR($E140="",$F140=""),0,MAX(0,MIN($F140,DATE(Dashboard!$C$4,9,1))-MAX($E140,DATE(Dashboard!$C$4,8,1))))</f>
        <v/>
      </c>
      <c r="AA140">
        <f>IF(OR($E140="",$F140=""),0,MAX(0,MIN($F140,DATE(Dashboard!$C$4,10,1))-MAX($E140,DATE(Dashboard!$C$4,9,1))))</f>
        <v/>
      </c>
      <c r="AB140">
        <f>IF(OR($E140="",$F140=""),0,MAX(0,MIN($F140,DATE(Dashboard!$C$4,11,1))-MAX($E140,DATE(Dashboard!$C$4,10,1))))</f>
        <v/>
      </c>
      <c r="AC140">
        <f>IF(OR($E140="",$F140=""),0,MAX(0,MIN($F140,DATE(Dashboard!$C$4,12,1))-MAX($E140,DATE(Dashboard!$C$4,11,1))))</f>
        <v/>
      </c>
      <c r="AD140">
        <f>IF(OR($E140="",$F140=""),0,MAX(0,MIN($F140,DATE(Dashboard!$C$4,13,1))-MAX($E140,DATE(Dashboard!$C$4,12,1))))</f>
        <v/>
      </c>
      <c r="AE140">
        <f>SUM(S140:AD140)</f>
        <v/>
      </c>
      <c r="AF140">
        <f>Q140*AE140</f>
        <v/>
      </c>
      <c r="AG140">
        <f>R140*AE140</f>
        <v/>
      </c>
      <c r="AH140">
        <f>SUMPRODUCT(S140:AD140,--(COLUMN(S140:AD140)-COLUMN(S140)+1&lt;=Dashboard!$N$1))</f>
        <v/>
      </c>
      <c r="AI140">
        <f>IF(OR(E140="",E140&lt;TODAY()),"",E140+ROW()/100000)</f>
        <v/>
      </c>
      <c r="AJ140">
        <f>IF(OR(F140="",F140&lt;TODAY()),"",F140+ROW()/100000)</f>
        <v/>
      </c>
    </row>
    <row r="141">
      <c r="A141" s="1" t="n"/>
      <c r="B141" s="35" t="n"/>
      <c r="C141" s="35" t="n"/>
      <c r="D141" s="35" t="n"/>
      <c r="E141" s="36" t="n"/>
      <c r="F141" s="36" t="n"/>
      <c r="G141" s="18">
        <f>IF(OR(E141="",F141=""),"",F141-E141)</f>
        <v/>
      </c>
      <c r="H141" s="37" t="n"/>
      <c r="I141" s="38" t="n"/>
      <c r="J141" s="38" t="n"/>
      <c r="K141" s="38" t="n"/>
      <c r="L141" s="31">
        <f>IF(E141="","",N(I141)+N(J141)-N(K141))</f>
        <v/>
      </c>
      <c r="M141" s="39" t="n"/>
      <c r="N141" s="27">
        <f>IF(E141="","",IF(TODAY()&lt;E141,"Upcoming",IF(TODAY()&lt;F141,"Staying now",IF(M141="Yes","Checked out","Payout not received"))))</f>
        <v/>
      </c>
      <c r="O141" s="35" t="n"/>
      <c r="P141" s="1" t="n"/>
      <c r="Q141">
        <f>IF(N(G141)&gt;0,L141/G141,0)</f>
        <v/>
      </c>
      <c r="R141">
        <f>IF(N(G141)&gt;0,N(I141)/G141,0)</f>
        <v/>
      </c>
      <c r="S141">
        <f>IF(OR($E141="",$F141=""),0,MAX(0,MIN($F141,DATE(Dashboard!$C$4,2,1))-MAX($E141,DATE(Dashboard!$C$4,1,1))))</f>
        <v/>
      </c>
      <c r="T141">
        <f>IF(OR($E141="",$F141=""),0,MAX(0,MIN($F141,DATE(Dashboard!$C$4,3,1))-MAX($E141,DATE(Dashboard!$C$4,2,1))))</f>
        <v/>
      </c>
      <c r="U141">
        <f>IF(OR($E141="",$F141=""),0,MAX(0,MIN($F141,DATE(Dashboard!$C$4,4,1))-MAX($E141,DATE(Dashboard!$C$4,3,1))))</f>
        <v/>
      </c>
      <c r="V141">
        <f>IF(OR($E141="",$F141=""),0,MAX(0,MIN($F141,DATE(Dashboard!$C$4,5,1))-MAX($E141,DATE(Dashboard!$C$4,4,1))))</f>
        <v/>
      </c>
      <c r="W141">
        <f>IF(OR($E141="",$F141=""),0,MAX(0,MIN($F141,DATE(Dashboard!$C$4,6,1))-MAX($E141,DATE(Dashboard!$C$4,5,1))))</f>
        <v/>
      </c>
      <c r="X141">
        <f>IF(OR($E141="",$F141=""),0,MAX(0,MIN($F141,DATE(Dashboard!$C$4,7,1))-MAX($E141,DATE(Dashboard!$C$4,6,1))))</f>
        <v/>
      </c>
      <c r="Y141">
        <f>IF(OR($E141="",$F141=""),0,MAX(0,MIN($F141,DATE(Dashboard!$C$4,8,1))-MAX($E141,DATE(Dashboard!$C$4,7,1))))</f>
        <v/>
      </c>
      <c r="Z141">
        <f>IF(OR($E141="",$F141=""),0,MAX(0,MIN($F141,DATE(Dashboard!$C$4,9,1))-MAX($E141,DATE(Dashboard!$C$4,8,1))))</f>
        <v/>
      </c>
      <c r="AA141">
        <f>IF(OR($E141="",$F141=""),0,MAX(0,MIN($F141,DATE(Dashboard!$C$4,10,1))-MAX($E141,DATE(Dashboard!$C$4,9,1))))</f>
        <v/>
      </c>
      <c r="AB141">
        <f>IF(OR($E141="",$F141=""),0,MAX(0,MIN($F141,DATE(Dashboard!$C$4,11,1))-MAX($E141,DATE(Dashboard!$C$4,10,1))))</f>
        <v/>
      </c>
      <c r="AC141">
        <f>IF(OR($E141="",$F141=""),0,MAX(0,MIN($F141,DATE(Dashboard!$C$4,12,1))-MAX($E141,DATE(Dashboard!$C$4,11,1))))</f>
        <v/>
      </c>
      <c r="AD141">
        <f>IF(OR($E141="",$F141=""),0,MAX(0,MIN($F141,DATE(Dashboard!$C$4,13,1))-MAX($E141,DATE(Dashboard!$C$4,12,1))))</f>
        <v/>
      </c>
      <c r="AE141">
        <f>SUM(S141:AD141)</f>
        <v/>
      </c>
      <c r="AF141">
        <f>Q141*AE141</f>
        <v/>
      </c>
      <c r="AG141">
        <f>R141*AE141</f>
        <v/>
      </c>
      <c r="AH141">
        <f>SUMPRODUCT(S141:AD141,--(COLUMN(S141:AD141)-COLUMN(S141)+1&lt;=Dashboard!$N$1))</f>
        <v/>
      </c>
      <c r="AI141">
        <f>IF(OR(E141="",E141&lt;TODAY()),"",E141+ROW()/100000)</f>
        <v/>
      </c>
      <c r="AJ141">
        <f>IF(OR(F141="",F141&lt;TODAY()),"",F141+ROW()/100000)</f>
        <v/>
      </c>
    </row>
    <row r="142">
      <c r="A142" s="1" t="n"/>
      <c r="B142" s="35" t="n"/>
      <c r="C142" s="35" t="n"/>
      <c r="D142" s="35" t="n"/>
      <c r="E142" s="36" t="n"/>
      <c r="F142" s="36" t="n"/>
      <c r="G142" s="18">
        <f>IF(OR(E142="",F142=""),"",F142-E142)</f>
        <v/>
      </c>
      <c r="H142" s="37" t="n"/>
      <c r="I142" s="38" t="n"/>
      <c r="J142" s="38" t="n"/>
      <c r="K142" s="38" t="n"/>
      <c r="L142" s="31">
        <f>IF(E142="","",N(I142)+N(J142)-N(K142))</f>
        <v/>
      </c>
      <c r="M142" s="39" t="n"/>
      <c r="N142" s="27">
        <f>IF(E142="","",IF(TODAY()&lt;E142,"Upcoming",IF(TODAY()&lt;F142,"Staying now",IF(M142="Yes","Checked out","Payout not received"))))</f>
        <v/>
      </c>
      <c r="O142" s="35" t="n"/>
      <c r="P142" s="1" t="n"/>
      <c r="Q142">
        <f>IF(N(G142)&gt;0,L142/G142,0)</f>
        <v/>
      </c>
      <c r="R142">
        <f>IF(N(G142)&gt;0,N(I142)/G142,0)</f>
        <v/>
      </c>
      <c r="S142">
        <f>IF(OR($E142="",$F142=""),0,MAX(0,MIN($F142,DATE(Dashboard!$C$4,2,1))-MAX($E142,DATE(Dashboard!$C$4,1,1))))</f>
        <v/>
      </c>
      <c r="T142">
        <f>IF(OR($E142="",$F142=""),0,MAX(0,MIN($F142,DATE(Dashboard!$C$4,3,1))-MAX($E142,DATE(Dashboard!$C$4,2,1))))</f>
        <v/>
      </c>
      <c r="U142">
        <f>IF(OR($E142="",$F142=""),0,MAX(0,MIN($F142,DATE(Dashboard!$C$4,4,1))-MAX($E142,DATE(Dashboard!$C$4,3,1))))</f>
        <v/>
      </c>
      <c r="V142">
        <f>IF(OR($E142="",$F142=""),0,MAX(0,MIN($F142,DATE(Dashboard!$C$4,5,1))-MAX($E142,DATE(Dashboard!$C$4,4,1))))</f>
        <v/>
      </c>
      <c r="W142">
        <f>IF(OR($E142="",$F142=""),0,MAX(0,MIN($F142,DATE(Dashboard!$C$4,6,1))-MAX($E142,DATE(Dashboard!$C$4,5,1))))</f>
        <v/>
      </c>
      <c r="X142">
        <f>IF(OR($E142="",$F142=""),0,MAX(0,MIN($F142,DATE(Dashboard!$C$4,7,1))-MAX($E142,DATE(Dashboard!$C$4,6,1))))</f>
        <v/>
      </c>
      <c r="Y142">
        <f>IF(OR($E142="",$F142=""),0,MAX(0,MIN($F142,DATE(Dashboard!$C$4,8,1))-MAX($E142,DATE(Dashboard!$C$4,7,1))))</f>
        <v/>
      </c>
      <c r="Z142">
        <f>IF(OR($E142="",$F142=""),0,MAX(0,MIN($F142,DATE(Dashboard!$C$4,9,1))-MAX($E142,DATE(Dashboard!$C$4,8,1))))</f>
        <v/>
      </c>
      <c r="AA142">
        <f>IF(OR($E142="",$F142=""),0,MAX(0,MIN($F142,DATE(Dashboard!$C$4,10,1))-MAX($E142,DATE(Dashboard!$C$4,9,1))))</f>
        <v/>
      </c>
      <c r="AB142">
        <f>IF(OR($E142="",$F142=""),0,MAX(0,MIN($F142,DATE(Dashboard!$C$4,11,1))-MAX($E142,DATE(Dashboard!$C$4,10,1))))</f>
        <v/>
      </c>
      <c r="AC142">
        <f>IF(OR($E142="",$F142=""),0,MAX(0,MIN($F142,DATE(Dashboard!$C$4,12,1))-MAX($E142,DATE(Dashboard!$C$4,11,1))))</f>
        <v/>
      </c>
      <c r="AD142">
        <f>IF(OR($E142="",$F142=""),0,MAX(0,MIN($F142,DATE(Dashboard!$C$4,13,1))-MAX($E142,DATE(Dashboard!$C$4,12,1))))</f>
        <v/>
      </c>
      <c r="AE142">
        <f>SUM(S142:AD142)</f>
        <v/>
      </c>
      <c r="AF142">
        <f>Q142*AE142</f>
        <v/>
      </c>
      <c r="AG142">
        <f>R142*AE142</f>
        <v/>
      </c>
      <c r="AH142">
        <f>SUMPRODUCT(S142:AD142,--(COLUMN(S142:AD142)-COLUMN(S142)+1&lt;=Dashboard!$N$1))</f>
        <v/>
      </c>
      <c r="AI142">
        <f>IF(OR(E142="",E142&lt;TODAY()),"",E142+ROW()/100000)</f>
        <v/>
      </c>
      <c r="AJ142">
        <f>IF(OR(F142="",F142&lt;TODAY()),"",F142+ROW()/100000)</f>
        <v/>
      </c>
    </row>
    <row r="143">
      <c r="A143" s="1" t="n"/>
      <c r="B143" s="35" t="n"/>
      <c r="C143" s="35" t="n"/>
      <c r="D143" s="35" t="n"/>
      <c r="E143" s="36" t="n"/>
      <c r="F143" s="36" t="n"/>
      <c r="G143" s="18">
        <f>IF(OR(E143="",F143=""),"",F143-E143)</f>
        <v/>
      </c>
      <c r="H143" s="37" t="n"/>
      <c r="I143" s="38" t="n"/>
      <c r="J143" s="38" t="n"/>
      <c r="K143" s="38" t="n"/>
      <c r="L143" s="31">
        <f>IF(E143="","",N(I143)+N(J143)-N(K143))</f>
        <v/>
      </c>
      <c r="M143" s="39" t="n"/>
      <c r="N143" s="27">
        <f>IF(E143="","",IF(TODAY()&lt;E143,"Upcoming",IF(TODAY()&lt;F143,"Staying now",IF(M143="Yes","Checked out","Payout not received"))))</f>
        <v/>
      </c>
      <c r="O143" s="35" t="n"/>
      <c r="P143" s="1" t="n"/>
      <c r="Q143">
        <f>IF(N(G143)&gt;0,L143/G143,0)</f>
        <v/>
      </c>
      <c r="R143">
        <f>IF(N(G143)&gt;0,N(I143)/G143,0)</f>
        <v/>
      </c>
      <c r="S143">
        <f>IF(OR($E143="",$F143=""),0,MAX(0,MIN($F143,DATE(Dashboard!$C$4,2,1))-MAX($E143,DATE(Dashboard!$C$4,1,1))))</f>
        <v/>
      </c>
      <c r="T143">
        <f>IF(OR($E143="",$F143=""),0,MAX(0,MIN($F143,DATE(Dashboard!$C$4,3,1))-MAX($E143,DATE(Dashboard!$C$4,2,1))))</f>
        <v/>
      </c>
      <c r="U143">
        <f>IF(OR($E143="",$F143=""),0,MAX(0,MIN($F143,DATE(Dashboard!$C$4,4,1))-MAX($E143,DATE(Dashboard!$C$4,3,1))))</f>
        <v/>
      </c>
      <c r="V143">
        <f>IF(OR($E143="",$F143=""),0,MAX(0,MIN($F143,DATE(Dashboard!$C$4,5,1))-MAX($E143,DATE(Dashboard!$C$4,4,1))))</f>
        <v/>
      </c>
      <c r="W143">
        <f>IF(OR($E143="",$F143=""),0,MAX(0,MIN($F143,DATE(Dashboard!$C$4,6,1))-MAX($E143,DATE(Dashboard!$C$4,5,1))))</f>
        <v/>
      </c>
      <c r="X143">
        <f>IF(OR($E143="",$F143=""),0,MAX(0,MIN($F143,DATE(Dashboard!$C$4,7,1))-MAX($E143,DATE(Dashboard!$C$4,6,1))))</f>
        <v/>
      </c>
      <c r="Y143">
        <f>IF(OR($E143="",$F143=""),0,MAX(0,MIN($F143,DATE(Dashboard!$C$4,8,1))-MAX($E143,DATE(Dashboard!$C$4,7,1))))</f>
        <v/>
      </c>
      <c r="Z143">
        <f>IF(OR($E143="",$F143=""),0,MAX(0,MIN($F143,DATE(Dashboard!$C$4,9,1))-MAX($E143,DATE(Dashboard!$C$4,8,1))))</f>
        <v/>
      </c>
      <c r="AA143">
        <f>IF(OR($E143="",$F143=""),0,MAX(0,MIN($F143,DATE(Dashboard!$C$4,10,1))-MAX($E143,DATE(Dashboard!$C$4,9,1))))</f>
        <v/>
      </c>
      <c r="AB143">
        <f>IF(OR($E143="",$F143=""),0,MAX(0,MIN($F143,DATE(Dashboard!$C$4,11,1))-MAX($E143,DATE(Dashboard!$C$4,10,1))))</f>
        <v/>
      </c>
      <c r="AC143">
        <f>IF(OR($E143="",$F143=""),0,MAX(0,MIN($F143,DATE(Dashboard!$C$4,12,1))-MAX($E143,DATE(Dashboard!$C$4,11,1))))</f>
        <v/>
      </c>
      <c r="AD143">
        <f>IF(OR($E143="",$F143=""),0,MAX(0,MIN($F143,DATE(Dashboard!$C$4,13,1))-MAX($E143,DATE(Dashboard!$C$4,12,1))))</f>
        <v/>
      </c>
      <c r="AE143">
        <f>SUM(S143:AD143)</f>
        <v/>
      </c>
      <c r="AF143">
        <f>Q143*AE143</f>
        <v/>
      </c>
      <c r="AG143">
        <f>R143*AE143</f>
        <v/>
      </c>
      <c r="AH143">
        <f>SUMPRODUCT(S143:AD143,--(COLUMN(S143:AD143)-COLUMN(S143)+1&lt;=Dashboard!$N$1))</f>
        <v/>
      </c>
      <c r="AI143">
        <f>IF(OR(E143="",E143&lt;TODAY()),"",E143+ROW()/100000)</f>
        <v/>
      </c>
      <c r="AJ143">
        <f>IF(OR(F143="",F143&lt;TODAY()),"",F143+ROW()/100000)</f>
        <v/>
      </c>
    </row>
    <row r="144">
      <c r="A144" s="1" t="n"/>
      <c r="B144" s="35" t="n"/>
      <c r="C144" s="35" t="n"/>
      <c r="D144" s="35" t="n"/>
      <c r="E144" s="36" t="n"/>
      <c r="F144" s="36" t="n"/>
      <c r="G144" s="18">
        <f>IF(OR(E144="",F144=""),"",F144-E144)</f>
        <v/>
      </c>
      <c r="H144" s="37" t="n"/>
      <c r="I144" s="38" t="n"/>
      <c r="J144" s="38" t="n"/>
      <c r="K144" s="38" t="n"/>
      <c r="L144" s="31">
        <f>IF(E144="","",N(I144)+N(J144)-N(K144))</f>
        <v/>
      </c>
      <c r="M144" s="39" t="n"/>
      <c r="N144" s="27">
        <f>IF(E144="","",IF(TODAY()&lt;E144,"Upcoming",IF(TODAY()&lt;F144,"Staying now",IF(M144="Yes","Checked out","Payout not received"))))</f>
        <v/>
      </c>
      <c r="O144" s="35" t="n"/>
      <c r="P144" s="1" t="n"/>
      <c r="Q144">
        <f>IF(N(G144)&gt;0,L144/G144,0)</f>
        <v/>
      </c>
      <c r="R144">
        <f>IF(N(G144)&gt;0,N(I144)/G144,0)</f>
        <v/>
      </c>
      <c r="S144">
        <f>IF(OR($E144="",$F144=""),0,MAX(0,MIN($F144,DATE(Dashboard!$C$4,2,1))-MAX($E144,DATE(Dashboard!$C$4,1,1))))</f>
        <v/>
      </c>
      <c r="T144">
        <f>IF(OR($E144="",$F144=""),0,MAX(0,MIN($F144,DATE(Dashboard!$C$4,3,1))-MAX($E144,DATE(Dashboard!$C$4,2,1))))</f>
        <v/>
      </c>
      <c r="U144">
        <f>IF(OR($E144="",$F144=""),0,MAX(0,MIN($F144,DATE(Dashboard!$C$4,4,1))-MAX($E144,DATE(Dashboard!$C$4,3,1))))</f>
        <v/>
      </c>
      <c r="V144">
        <f>IF(OR($E144="",$F144=""),0,MAX(0,MIN($F144,DATE(Dashboard!$C$4,5,1))-MAX($E144,DATE(Dashboard!$C$4,4,1))))</f>
        <v/>
      </c>
      <c r="W144">
        <f>IF(OR($E144="",$F144=""),0,MAX(0,MIN($F144,DATE(Dashboard!$C$4,6,1))-MAX($E144,DATE(Dashboard!$C$4,5,1))))</f>
        <v/>
      </c>
      <c r="X144">
        <f>IF(OR($E144="",$F144=""),0,MAX(0,MIN($F144,DATE(Dashboard!$C$4,7,1))-MAX($E144,DATE(Dashboard!$C$4,6,1))))</f>
        <v/>
      </c>
      <c r="Y144">
        <f>IF(OR($E144="",$F144=""),0,MAX(0,MIN($F144,DATE(Dashboard!$C$4,8,1))-MAX($E144,DATE(Dashboard!$C$4,7,1))))</f>
        <v/>
      </c>
      <c r="Z144">
        <f>IF(OR($E144="",$F144=""),0,MAX(0,MIN($F144,DATE(Dashboard!$C$4,9,1))-MAX($E144,DATE(Dashboard!$C$4,8,1))))</f>
        <v/>
      </c>
      <c r="AA144">
        <f>IF(OR($E144="",$F144=""),0,MAX(0,MIN($F144,DATE(Dashboard!$C$4,10,1))-MAX($E144,DATE(Dashboard!$C$4,9,1))))</f>
        <v/>
      </c>
      <c r="AB144">
        <f>IF(OR($E144="",$F144=""),0,MAX(0,MIN($F144,DATE(Dashboard!$C$4,11,1))-MAX($E144,DATE(Dashboard!$C$4,10,1))))</f>
        <v/>
      </c>
      <c r="AC144">
        <f>IF(OR($E144="",$F144=""),0,MAX(0,MIN($F144,DATE(Dashboard!$C$4,12,1))-MAX($E144,DATE(Dashboard!$C$4,11,1))))</f>
        <v/>
      </c>
      <c r="AD144">
        <f>IF(OR($E144="",$F144=""),0,MAX(0,MIN($F144,DATE(Dashboard!$C$4,13,1))-MAX($E144,DATE(Dashboard!$C$4,12,1))))</f>
        <v/>
      </c>
      <c r="AE144">
        <f>SUM(S144:AD144)</f>
        <v/>
      </c>
      <c r="AF144">
        <f>Q144*AE144</f>
        <v/>
      </c>
      <c r="AG144">
        <f>R144*AE144</f>
        <v/>
      </c>
      <c r="AH144">
        <f>SUMPRODUCT(S144:AD144,--(COLUMN(S144:AD144)-COLUMN(S144)+1&lt;=Dashboard!$N$1))</f>
        <v/>
      </c>
      <c r="AI144">
        <f>IF(OR(E144="",E144&lt;TODAY()),"",E144+ROW()/100000)</f>
        <v/>
      </c>
      <c r="AJ144">
        <f>IF(OR(F144="",F144&lt;TODAY()),"",F144+ROW()/100000)</f>
        <v/>
      </c>
    </row>
    <row r="145">
      <c r="A145" s="1" t="n"/>
      <c r="B145" s="35" t="n"/>
      <c r="C145" s="35" t="n"/>
      <c r="D145" s="35" t="n"/>
      <c r="E145" s="36" t="n"/>
      <c r="F145" s="36" t="n"/>
      <c r="G145" s="18">
        <f>IF(OR(E145="",F145=""),"",F145-E145)</f>
        <v/>
      </c>
      <c r="H145" s="37" t="n"/>
      <c r="I145" s="38" t="n"/>
      <c r="J145" s="38" t="n"/>
      <c r="K145" s="38" t="n"/>
      <c r="L145" s="31">
        <f>IF(E145="","",N(I145)+N(J145)-N(K145))</f>
        <v/>
      </c>
      <c r="M145" s="39" t="n"/>
      <c r="N145" s="27">
        <f>IF(E145="","",IF(TODAY()&lt;E145,"Upcoming",IF(TODAY()&lt;F145,"Staying now",IF(M145="Yes","Checked out","Payout not received"))))</f>
        <v/>
      </c>
      <c r="O145" s="35" t="n"/>
      <c r="P145" s="1" t="n"/>
      <c r="Q145">
        <f>IF(N(G145)&gt;0,L145/G145,0)</f>
        <v/>
      </c>
      <c r="R145">
        <f>IF(N(G145)&gt;0,N(I145)/G145,0)</f>
        <v/>
      </c>
      <c r="S145">
        <f>IF(OR($E145="",$F145=""),0,MAX(0,MIN($F145,DATE(Dashboard!$C$4,2,1))-MAX($E145,DATE(Dashboard!$C$4,1,1))))</f>
        <v/>
      </c>
      <c r="T145">
        <f>IF(OR($E145="",$F145=""),0,MAX(0,MIN($F145,DATE(Dashboard!$C$4,3,1))-MAX($E145,DATE(Dashboard!$C$4,2,1))))</f>
        <v/>
      </c>
      <c r="U145">
        <f>IF(OR($E145="",$F145=""),0,MAX(0,MIN($F145,DATE(Dashboard!$C$4,4,1))-MAX($E145,DATE(Dashboard!$C$4,3,1))))</f>
        <v/>
      </c>
      <c r="V145">
        <f>IF(OR($E145="",$F145=""),0,MAX(0,MIN($F145,DATE(Dashboard!$C$4,5,1))-MAX($E145,DATE(Dashboard!$C$4,4,1))))</f>
        <v/>
      </c>
      <c r="W145">
        <f>IF(OR($E145="",$F145=""),0,MAX(0,MIN($F145,DATE(Dashboard!$C$4,6,1))-MAX($E145,DATE(Dashboard!$C$4,5,1))))</f>
        <v/>
      </c>
      <c r="X145">
        <f>IF(OR($E145="",$F145=""),0,MAX(0,MIN($F145,DATE(Dashboard!$C$4,7,1))-MAX($E145,DATE(Dashboard!$C$4,6,1))))</f>
        <v/>
      </c>
      <c r="Y145">
        <f>IF(OR($E145="",$F145=""),0,MAX(0,MIN($F145,DATE(Dashboard!$C$4,8,1))-MAX($E145,DATE(Dashboard!$C$4,7,1))))</f>
        <v/>
      </c>
      <c r="Z145">
        <f>IF(OR($E145="",$F145=""),0,MAX(0,MIN($F145,DATE(Dashboard!$C$4,9,1))-MAX($E145,DATE(Dashboard!$C$4,8,1))))</f>
        <v/>
      </c>
      <c r="AA145">
        <f>IF(OR($E145="",$F145=""),0,MAX(0,MIN($F145,DATE(Dashboard!$C$4,10,1))-MAX($E145,DATE(Dashboard!$C$4,9,1))))</f>
        <v/>
      </c>
      <c r="AB145">
        <f>IF(OR($E145="",$F145=""),0,MAX(0,MIN($F145,DATE(Dashboard!$C$4,11,1))-MAX($E145,DATE(Dashboard!$C$4,10,1))))</f>
        <v/>
      </c>
      <c r="AC145">
        <f>IF(OR($E145="",$F145=""),0,MAX(0,MIN($F145,DATE(Dashboard!$C$4,12,1))-MAX($E145,DATE(Dashboard!$C$4,11,1))))</f>
        <v/>
      </c>
      <c r="AD145">
        <f>IF(OR($E145="",$F145=""),0,MAX(0,MIN($F145,DATE(Dashboard!$C$4,13,1))-MAX($E145,DATE(Dashboard!$C$4,12,1))))</f>
        <v/>
      </c>
      <c r="AE145">
        <f>SUM(S145:AD145)</f>
        <v/>
      </c>
      <c r="AF145">
        <f>Q145*AE145</f>
        <v/>
      </c>
      <c r="AG145">
        <f>R145*AE145</f>
        <v/>
      </c>
      <c r="AH145">
        <f>SUMPRODUCT(S145:AD145,--(COLUMN(S145:AD145)-COLUMN(S145)+1&lt;=Dashboard!$N$1))</f>
        <v/>
      </c>
      <c r="AI145">
        <f>IF(OR(E145="",E145&lt;TODAY()),"",E145+ROW()/100000)</f>
        <v/>
      </c>
      <c r="AJ145">
        <f>IF(OR(F145="",F145&lt;TODAY()),"",F145+ROW()/100000)</f>
        <v/>
      </c>
    </row>
    <row r="146">
      <c r="A146" s="1" t="n"/>
      <c r="B146" s="35" t="n"/>
      <c r="C146" s="35" t="n"/>
      <c r="D146" s="35" t="n"/>
      <c r="E146" s="36" t="n"/>
      <c r="F146" s="36" t="n"/>
      <c r="G146" s="18">
        <f>IF(OR(E146="",F146=""),"",F146-E146)</f>
        <v/>
      </c>
      <c r="H146" s="37" t="n"/>
      <c r="I146" s="38" t="n"/>
      <c r="J146" s="38" t="n"/>
      <c r="K146" s="38" t="n"/>
      <c r="L146" s="31">
        <f>IF(E146="","",N(I146)+N(J146)-N(K146))</f>
        <v/>
      </c>
      <c r="M146" s="39" t="n"/>
      <c r="N146" s="27">
        <f>IF(E146="","",IF(TODAY()&lt;E146,"Upcoming",IF(TODAY()&lt;F146,"Staying now",IF(M146="Yes","Checked out","Payout not received"))))</f>
        <v/>
      </c>
      <c r="O146" s="35" t="n"/>
      <c r="P146" s="1" t="n"/>
      <c r="Q146">
        <f>IF(N(G146)&gt;0,L146/G146,0)</f>
        <v/>
      </c>
      <c r="R146">
        <f>IF(N(G146)&gt;0,N(I146)/G146,0)</f>
        <v/>
      </c>
      <c r="S146">
        <f>IF(OR($E146="",$F146=""),0,MAX(0,MIN($F146,DATE(Dashboard!$C$4,2,1))-MAX($E146,DATE(Dashboard!$C$4,1,1))))</f>
        <v/>
      </c>
      <c r="T146">
        <f>IF(OR($E146="",$F146=""),0,MAX(0,MIN($F146,DATE(Dashboard!$C$4,3,1))-MAX($E146,DATE(Dashboard!$C$4,2,1))))</f>
        <v/>
      </c>
      <c r="U146">
        <f>IF(OR($E146="",$F146=""),0,MAX(0,MIN($F146,DATE(Dashboard!$C$4,4,1))-MAX($E146,DATE(Dashboard!$C$4,3,1))))</f>
        <v/>
      </c>
      <c r="V146">
        <f>IF(OR($E146="",$F146=""),0,MAX(0,MIN($F146,DATE(Dashboard!$C$4,5,1))-MAX($E146,DATE(Dashboard!$C$4,4,1))))</f>
        <v/>
      </c>
      <c r="W146">
        <f>IF(OR($E146="",$F146=""),0,MAX(0,MIN($F146,DATE(Dashboard!$C$4,6,1))-MAX($E146,DATE(Dashboard!$C$4,5,1))))</f>
        <v/>
      </c>
      <c r="X146">
        <f>IF(OR($E146="",$F146=""),0,MAX(0,MIN($F146,DATE(Dashboard!$C$4,7,1))-MAX($E146,DATE(Dashboard!$C$4,6,1))))</f>
        <v/>
      </c>
      <c r="Y146">
        <f>IF(OR($E146="",$F146=""),0,MAX(0,MIN($F146,DATE(Dashboard!$C$4,8,1))-MAX($E146,DATE(Dashboard!$C$4,7,1))))</f>
        <v/>
      </c>
      <c r="Z146">
        <f>IF(OR($E146="",$F146=""),0,MAX(0,MIN($F146,DATE(Dashboard!$C$4,9,1))-MAX($E146,DATE(Dashboard!$C$4,8,1))))</f>
        <v/>
      </c>
      <c r="AA146">
        <f>IF(OR($E146="",$F146=""),0,MAX(0,MIN($F146,DATE(Dashboard!$C$4,10,1))-MAX($E146,DATE(Dashboard!$C$4,9,1))))</f>
        <v/>
      </c>
      <c r="AB146">
        <f>IF(OR($E146="",$F146=""),0,MAX(0,MIN($F146,DATE(Dashboard!$C$4,11,1))-MAX($E146,DATE(Dashboard!$C$4,10,1))))</f>
        <v/>
      </c>
      <c r="AC146">
        <f>IF(OR($E146="",$F146=""),0,MAX(0,MIN($F146,DATE(Dashboard!$C$4,12,1))-MAX($E146,DATE(Dashboard!$C$4,11,1))))</f>
        <v/>
      </c>
      <c r="AD146">
        <f>IF(OR($E146="",$F146=""),0,MAX(0,MIN($F146,DATE(Dashboard!$C$4,13,1))-MAX($E146,DATE(Dashboard!$C$4,12,1))))</f>
        <v/>
      </c>
      <c r="AE146">
        <f>SUM(S146:AD146)</f>
        <v/>
      </c>
      <c r="AF146">
        <f>Q146*AE146</f>
        <v/>
      </c>
      <c r="AG146">
        <f>R146*AE146</f>
        <v/>
      </c>
      <c r="AH146">
        <f>SUMPRODUCT(S146:AD146,--(COLUMN(S146:AD146)-COLUMN(S146)+1&lt;=Dashboard!$N$1))</f>
        <v/>
      </c>
      <c r="AI146">
        <f>IF(OR(E146="",E146&lt;TODAY()),"",E146+ROW()/100000)</f>
        <v/>
      </c>
      <c r="AJ146">
        <f>IF(OR(F146="",F146&lt;TODAY()),"",F146+ROW()/100000)</f>
        <v/>
      </c>
    </row>
    <row r="147">
      <c r="A147" s="1" t="n"/>
      <c r="B147" s="35" t="n"/>
      <c r="C147" s="35" t="n"/>
      <c r="D147" s="35" t="n"/>
      <c r="E147" s="36" t="n"/>
      <c r="F147" s="36" t="n"/>
      <c r="G147" s="18">
        <f>IF(OR(E147="",F147=""),"",F147-E147)</f>
        <v/>
      </c>
      <c r="H147" s="37" t="n"/>
      <c r="I147" s="38" t="n"/>
      <c r="J147" s="38" t="n"/>
      <c r="K147" s="38" t="n"/>
      <c r="L147" s="31">
        <f>IF(E147="","",N(I147)+N(J147)-N(K147))</f>
        <v/>
      </c>
      <c r="M147" s="39" t="n"/>
      <c r="N147" s="27">
        <f>IF(E147="","",IF(TODAY()&lt;E147,"Upcoming",IF(TODAY()&lt;F147,"Staying now",IF(M147="Yes","Checked out","Payout not received"))))</f>
        <v/>
      </c>
      <c r="O147" s="35" t="n"/>
      <c r="P147" s="1" t="n"/>
      <c r="Q147">
        <f>IF(N(G147)&gt;0,L147/G147,0)</f>
        <v/>
      </c>
      <c r="R147">
        <f>IF(N(G147)&gt;0,N(I147)/G147,0)</f>
        <v/>
      </c>
      <c r="S147">
        <f>IF(OR($E147="",$F147=""),0,MAX(0,MIN($F147,DATE(Dashboard!$C$4,2,1))-MAX($E147,DATE(Dashboard!$C$4,1,1))))</f>
        <v/>
      </c>
      <c r="T147">
        <f>IF(OR($E147="",$F147=""),0,MAX(0,MIN($F147,DATE(Dashboard!$C$4,3,1))-MAX($E147,DATE(Dashboard!$C$4,2,1))))</f>
        <v/>
      </c>
      <c r="U147">
        <f>IF(OR($E147="",$F147=""),0,MAX(0,MIN($F147,DATE(Dashboard!$C$4,4,1))-MAX($E147,DATE(Dashboard!$C$4,3,1))))</f>
        <v/>
      </c>
      <c r="V147">
        <f>IF(OR($E147="",$F147=""),0,MAX(0,MIN($F147,DATE(Dashboard!$C$4,5,1))-MAX($E147,DATE(Dashboard!$C$4,4,1))))</f>
        <v/>
      </c>
      <c r="W147">
        <f>IF(OR($E147="",$F147=""),0,MAX(0,MIN($F147,DATE(Dashboard!$C$4,6,1))-MAX($E147,DATE(Dashboard!$C$4,5,1))))</f>
        <v/>
      </c>
      <c r="X147">
        <f>IF(OR($E147="",$F147=""),0,MAX(0,MIN($F147,DATE(Dashboard!$C$4,7,1))-MAX($E147,DATE(Dashboard!$C$4,6,1))))</f>
        <v/>
      </c>
      <c r="Y147">
        <f>IF(OR($E147="",$F147=""),0,MAX(0,MIN($F147,DATE(Dashboard!$C$4,8,1))-MAX($E147,DATE(Dashboard!$C$4,7,1))))</f>
        <v/>
      </c>
      <c r="Z147">
        <f>IF(OR($E147="",$F147=""),0,MAX(0,MIN($F147,DATE(Dashboard!$C$4,9,1))-MAX($E147,DATE(Dashboard!$C$4,8,1))))</f>
        <v/>
      </c>
      <c r="AA147">
        <f>IF(OR($E147="",$F147=""),0,MAX(0,MIN($F147,DATE(Dashboard!$C$4,10,1))-MAX($E147,DATE(Dashboard!$C$4,9,1))))</f>
        <v/>
      </c>
      <c r="AB147">
        <f>IF(OR($E147="",$F147=""),0,MAX(0,MIN($F147,DATE(Dashboard!$C$4,11,1))-MAX($E147,DATE(Dashboard!$C$4,10,1))))</f>
        <v/>
      </c>
      <c r="AC147">
        <f>IF(OR($E147="",$F147=""),0,MAX(0,MIN($F147,DATE(Dashboard!$C$4,12,1))-MAX($E147,DATE(Dashboard!$C$4,11,1))))</f>
        <v/>
      </c>
      <c r="AD147">
        <f>IF(OR($E147="",$F147=""),0,MAX(0,MIN($F147,DATE(Dashboard!$C$4,13,1))-MAX($E147,DATE(Dashboard!$C$4,12,1))))</f>
        <v/>
      </c>
      <c r="AE147">
        <f>SUM(S147:AD147)</f>
        <v/>
      </c>
      <c r="AF147">
        <f>Q147*AE147</f>
        <v/>
      </c>
      <c r="AG147">
        <f>R147*AE147</f>
        <v/>
      </c>
      <c r="AH147">
        <f>SUMPRODUCT(S147:AD147,--(COLUMN(S147:AD147)-COLUMN(S147)+1&lt;=Dashboard!$N$1))</f>
        <v/>
      </c>
      <c r="AI147">
        <f>IF(OR(E147="",E147&lt;TODAY()),"",E147+ROW()/100000)</f>
        <v/>
      </c>
      <c r="AJ147">
        <f>IF(OR(F147="",F147&lt;TODAY()),"",F147+ROW()/100000)</f>
        <v/>
      </c>
    </row>
    <row r="148">
      <c r="A148" s="1" t="n"/>
      <c r="B148" s="35" t="n"/>
      <c r="C148" s="35" t="n"/>
      <c r="D148" s="35" t="n"/>
      <c r="E148" s="36" t="n"/>
      <c r="F148" s="36" t="n"/>
      <c r="G148" s="18">
        <f>IF(OR(E148="",F148=""),"",F148-E148)</f>
        <v/>
      </c>
      <c r="H148" s="37" t="n"/>
      <c r="I148" s="38" t="n"/>
      <c r="J148" s="38" t="n"/>
      <c r="K148" s="38" t="n"/>
      <c r="L148" s="31">
        <f>IF(E148="","",N(I148)+N(J148)-N(K148))</f>
        <v/>
      </c>
      <c r="M148" s="39" t="n"/>
      <c r="N148" s="27">
        <f>IF(E148="","",IF(TODAY()&lt;E148,"Upcoming",IF(TODAY()&lt;F148,"Staying now",IF(M148="Yes","Checked out","Payout not received"))))</f>
        <v/>
      </c>
      <c r="O148" s="35" t="n"/>
      <c r="P148" s="1" t="n"/>
      <c r="Q148">
        <f>IF(N(G148)&gt;0,L148/G148,0)</f>
        <v/>
      </c>
      <c r="R148">
        <f>IF(N(G148)&gt;0,N(I148)/G148,0)</f>
        <v/>
      </c>
      <c r="S148">
        <f>IF(OR($E148="",$F148=""),0,MAX(0,MIN($F148,DATE(Dashboard!$C$4,2,1))-MAX($E148,DATE(Dashboard!$C$4,1,1))))</f>
        <v/>
      </c>
      <c r="T148">
        <f>IF(OR($E148="",$F148=""),0,MAX(0,MIN($F148,DATE(Dashboard!$C$4,3,1))-MAX($E148,DATE(Dashboard!$C$4,2,1))))</f>
        <v/>
      </c>
      <c r="U148">
        <f>IF(OR($E148="",$F148=""),0,MAX(0,MIN($F148,DATE(Dashboard!$C$4,4,1))-MAX($E148,DATE(Dashboard!$C$4,3,1))))</f>
        <v/>
      </c>
      <c r="V148">
        <f>IF(OR($E148="",$F148=""),0,MAX(0,MIN($F148,DATE(Dashboard!$C$4,5,1))-MAX($E148,DATE(Dashboard!$C$4,4,1))))</f>
        <v/>
      </c>
      <c r="W148">
        <f>IF(OR($E148="",$F148=""),0,MAX(0,MIN($F148,DATE(Dashboard!$C$4,6,1))-MAX($E148,DATE(Dashboard!$C$4,5,1))))</f>
        <v/>
      </c>
      <c r="X148">
        <f>IF(OR($E148="",$F148=""),0,MAX(0,MIN($F148,DATE(Dashboard!$C$4,7,1))-MAX($E148,DATE(Dashboard!$C$4,6,1))))</f>
        <v/>
      </c>
      <c r="Y148">
        <f>IF(OR($E148="",$F148=""),0,MAX(0,MIN($F148,DATE(Dashboard!$C$4,8,1))-MAX($E148,DATE(Dashboard!$C$4,7,1))))</f>
        <v/>
      </c>
      <c r="Z148">
        <f>IF(OR($E148="",$F148=""),0,MAX(0,MIN($F148,DATE(Dashboard!$C$4,9,1))-MAX($E148,DATE(Dashboard!$C$4,8,1))))</f>
        <v/>
      </c>
      <c r="AA148">
        <f>IF(OR($E148="",$F148=""),0,MAX(0,MIN($F148,DATE(Dashboard!$C$4,10,1))-MAX($E148,DATE(Dashboard!$C$4,9,1))))</f>
        <v/>
      </c>
      <c r="AB148">
        <f>IF(OR($E148="",$F148=""),0,MAX(0,MIN($F148,DATE(Dashboard!$C$4,11,1))-MAX($E148,DATE(Dashboard!$C$4,10,1))))</f>
        <v/>
      </c>
      <c r="AC148">
        <f>IF(OR($E148="",$F148=""),0,MAX(0,MIN($F148,DATE(Dashboard!$C$4,12,1))-MAX($E148,DATE(Dashboard!$C$4,11,1))))</f>
        <v/>
      </c>
      <c r="AD148">
        <f>IF(OR($E148="",$F148=""),0,MAX(0,MIN($F148,DATE(Dashboard!$C$4,13,1))-MAX($E148,DATE(Dashboard!$C$4,12,1))))</f>
        <v/>
      </c>
      <c r="AE148">
        <f>SUM(S148:AD148)</f>
        <v/>
      </c>
      <c r="AF148">
        <f>Q148*AE148</f>
        <v/>
      </c>
      <c r="AG148">
        <f>R148*AE148</f>
        <v/>
      </c>
      <c r="AH148">
        <f>SUMPRODUCT(S148:AD148,--(COLUMN(S148:AD148)-COLUMN(S148)+1&lt;=Dashboard!$N$1))</f>
        <v/>
      </c>
      <c r="AI148">
        <f>IF(OR(E148="",E148&lt;TODAY()),"",E148+ROW()/100000)</f>
        <v/>
      </c>
      <c r="AJ148">
        <f>IF(OR(F148="",F148&lt;TODAY()),"",F148+ROW()/100000)</f>
        <v/>
      </c>
    </row>
    <row r="149">
      <c r="A149" s="1" t="n"/>
      <c r="B149" s="35" t="n"/>
      <c r="C149" s="35" t="n"/>
      <c r="D149" s="35" t="n"/>
      <c r="E149" s="36" t="n"/>
      <c r="F149" s="36" t="n"/>
      <c r="G149" s="18">
        <f>IF(OR(E149="",F149=""),"",F149-E149)</f>
        <v/>
      </c>
      <c r="H149" s="37" t="n"/>
      <c r="I149" s="38" t="n"/>
      <c r="J149" s="38" t="n"/>
      <c r="K149" s="38" t="n"/>
      <c r="L149" s="31">
        <f>IF(E149="","",N(I149)+N(J149)-N(K149))</f>
        <v/>
      </c>
      <c r="M149" s="39" t="n"/>
      <c r="N149" s="27">
        <f>IF(E149="","",IF(TODAY()&lt;E149,"Upcoming",IF(TODAY()&lt;F149,"Staying now",IF(M149="Yes","Checked out","Payout not received"))))</f>
        <v/>
      </c>
      <c r="O149" s="35" t="n"/>
      <c r="P149" s="1" t="n"/>
      <c r="Q149">
        <f>IF(N(G149)&gt;0,L149/G149,0)</f>
        <v/>
      </c>
      <c r="R149">
        <f>IF(N(G149)&gt;0,N(I149)/G149,0)</f>
        <v/>
      </c>
      <c r="S149">
        <f>IF(OR($E149="",$F149=""),0,MAX(0,MIN($F149,DATE(Dashboard!$C$4,2,1))-MAX($E149,DATE(Dashboard!$C$4,1,1))))</f>
        <v/>
      </c>
      <c r="T149">
        <f>IF(OR($E149="",$F149=""),0,MAX(0,MIN($F149,DATE(Dashboard!$C$4,3,1))-MAX($E149,DATE(Dashboard!$C$4,2,1))))</f>
        <v/>
      </c>
      <c r="U149">
        <f>IF(OR($E149="",$F149=""),0,MAX(0,MIN($F149,DATE(Dashboard!$C$4,4,1))-MAX($E149,DATE(Dashboard!$C$4,3,1))))</f>
        <v/>
      </c>
      <c r="V149">
        <f>IF(OR($E149="",$F149=""),0,MAX(0,MIN($F149,DATE(Dashboard!$C$4,5,1))-MAX($E149,DATE(Dashboard!$C$4,4,1))))</f>
        <v/>
      </c>
      <c r="W149">
        <f>IF(OR($E149="",$F149=""),0,MAX(0,MIN($F149,DATE(Dashboard!$C$4,6,1))-MAX($E149,DATE(Dashboard!$C$4,5,1))))</f>
        <v/>
      </c>
      <c r="X149">
        <f>IF(OR($E149="",$F149=""),0,MAX(0,MIN($F149,DATE(Dashboard!$C$4,7,1))-MAX($E149,DATE(Dashboard!$C$4,6,1))))</f>
        <v/>
      </c>
      <c r="Y149">
        <f>IF(OR($E149="",$F149=""),0,MAX(0,MIN($F149,DATE(Dashboard!$C$4,8,1))-MAX($E149,DATE(Dashboard!$C$4,7,1))))</f>
        <v/>
      </c>
      <c r="Z149">
        <f>IF(OR($E149="",$F149=""),0,MAX(0,MIN($F149,DATE(Dashboard!$C$4,9,1))-MAX($E149,DATE(Dashboard!$C$4,8,1))))</f>
        <v/>
      </c>
      <c r="AA149">
        <f>IF(OR($E149="",$F149=""),0,MAX(0,MIN($F149,DATE(Dashboard!$C$4,10,1))-MAX($E149,DATE(Dashboard!$C$4,9,1))))</f>
        <v/>
      </c>
      <c r="AB149">
        <f>IF(OR($E149="",$F149=""),0,MAX(0,MIN($F149,DATE(Dashboard!$C$4,11,1))-MAX($E149,DATE(Dashboard!$C$4,10,1))))</f>
        <v/>
      </c>
      <c r="AC149">
        <f>IF(OR($E149="",$F149=""),0,MAX(0,MIN($F149,DATE(Dashboard!$C$4,12,1))-MAX($E149,DATE(Dashboard!$C$4,11,1))))</f>
        <v/>
      </c>
      <c r="AD149">
        <f>IF(OR($E149="",$F149=""),0,MAX(0,MIN($F149,DATE(Dashboard!$C$4,13,1))-MAX($E149,DATE(Dashboard!$C$4,12,1))))</f>
        <v/>
      </c>
      <c r="AE149">
        <f>SUM(S149:AD149)</f>
        <v/>
      </c>
      <c r="AF149">
        <f>Q149*AE149</f>
        <v/>
      </c>
      <c r="AG149">
        <f>R149*AE149</f>
        <v/>
      </c>
      <c r="AH149">
        <f>SUMPRODUCT(S149:AD149,--(COLUMN(S149:AD149)-COLUMN(S149)+1&lt;=Dashboard!$N$1))</f>
        <v/>
      </c>
      <c r="AI149">
        <f>IF(OR(E149="",E149&lt;TODAY()),"",E149+ROW()/100000)</f>
        <v/>
      </c>
      <c r="AJ149">
        <f>IF(OR(F149="",F149&lt;TODAY()),"",F149+ROW()/100000)</f>
        <v/>
      </c>
    </row>
    <row r="150">
      <c r="A150" s="1" t="n"/>
      <c r="B150" s="35" t="n"/>
      <c r="C150" s="35" t="n"/>
      <c r="D150" s="35" t="n"/>
      <c r="E150" s="36" t="n"/>
      <c r="F150" s="36" t="n"/>
      <c r="G150" s="18">
        <f>IF(OR(E150="",F150=""),"",F150-E150)</f>
        <v/>
      </c>
      <c r="H150" s="37" t="n"/>
      <c r="I150" s="38" t="n"/>
      <c r="J150" s="38" t="n"/>
      <c r="K150" s="38" t="n"/>
      <c r="L150" s="31">
        <f>IF(E150="","",N(I150)+N(J150)-N(K150))</f>
        <v/>
      </c>
      <c r="M150" s="39" t="n"/>
      <c r="N150" s="27">
        <f>IF(E150="","",IF(TODAY()&lt;E150,"Upcoming",IF(TODAY()&lt;F150,"Staying now",IF(M150="Yes","Checked out","Payout not received"))))</f>
        <v/>
      </c>
      <c r="O150" s="35" t="n"/>
      <c r="P150" s="1" t="n"/>
      <c r="Q150">
        <f>IF(N(G150)&gt;0,L150/G150,0)</f>
        <v/>
      </c>
      <c r="R150">
        <f>IF(N(G150)&gt;0,N(I150)/G150,0)</f>
        <v/>
      </c>
      <c r="S150">
        <f>IF(OR($E150="",$F150=""),0,MAX(0,MIN($F150,DATE(Dashboard!$C$4,2,1))-MAX($E150,DATE(Dashboard!$C$4,1,1))))</f>
        <v/>
      </c>
      <c r="T150">
        <f>IF(OR($E150="",$F150=""),0,MAX(0,MIN($F150,DATE(Dashboard!$C$4,3,1))-MAX($E150,DATE(Dashboard!$C$4,2,1))))</f>
        <v/>
      </c>
      <c r="U150">
        <f>IF(OR($E150="",$F150=""),0,MAX(0,MIN($F150,DATE(Dashboard!$C$4,4,1))-MAX($E150,DATE(Dashboard!$C$4,3,1))))</f>
        <v/>
      </c>
      <c r="V150">
        <f>IF(OR($E150="",$F150=""),0,MAX(0,MIN($F150,DATE(Dashboard!$C$4,5,1))-MAX($E150,DATE(Dashboard!$C$4,4,1))))</f>
        <v/>
      </c>
      <c r="W150">
        <f>IF(OR($E150="",$F150=""),0,MAX(0,MIN($F150,DATE(Dashboard!$C$4,6,1))-MAX($E150,DATE(Dashboard!$C$4,5,1))))</f>
        <v/>
      </c>
      <c r="X150">
        <f>IF(OR($E150="",$F150=""),0,MAX(0,MIN($F150,DATE(Dashboard!$C$4,7,1))-MAX($E150,DATE(Dashboard!$C$4,6,1))))</f>
        <v/>
      </c>
      <c r="Y150">
        <f>IF(OR($E150="",$F150=""),0,MAX(0,MIN($F150,DATE(Dashboard!$C$4,8,1))-MAX($E150,DATE(Dashboard!$C$4,7,1))))</f>
        <v/>
      </c>
      <c r="Z150">
        <f>IF(OR($E150="",$F150=""),0,MAX(0,MIN($F150,DATE(Dashboard!$C$4,9,1))-MAX($E150,DATE(Dashboard!$C$4,8,1))))</f>
        <v/>
      </c>
      <c r="AA150">
        <f>IF(OR($E150="",$F150=""),0,MAX(0,MIN($F150,DATE(Dashboard!$C$4,10,1))-MAX($E150,DATE(Dashboard!$C$4,9,1))))</f>
        <v/>
      </c>
      <c r="AB150">
        <f>IF(OR($E150="",$F150=""),0,MAX(0,MIN($F150,DATE(Dashboard!$C$4,11,1))-MAX($E150,DATE(Dashboard!$C$4,10,1))))</f>
        <v/>
      </c>
      <c r="AC150">
        <f>IF(OR($E150="",$F150=""),0,MAX(0,MIN($F150,DATE(Dashboard!$C$4,12,1))-MAX($E150,DATE(Dashboard!$C$4,11,1))))</f>
        <v/>
      </c>
      <c r="AD150">
        <f>IF(OR($E150="",$F150=""),0,MAX(0,MIN($F150,DATE(Dashboard!$C$4,13,1))-MAX($E150,DATE(Dashboard!$C$4,12,1))))</f>
        <v/>
      </c>
      <c r="AE150">
        <f>SUM(S150:AD150)</f>
        <v/>
      </c>
      <c r="AF150">
        <f>Q150*AE150</f>
        <v/>
      </c>
      <c r="AG150">
        <f>R150*AE150</f>
        <v/>
      </c>
      <c r="AH150">
        <f>SUMPRODUCT(S150:AD150,--(COLUMN(S150:AD150)-COLUMN(S150)+1&lt;=Dashboard!$N$1))</f>
        <v/>
      </c>
      <c r="AI150">
        <f>IF(OR(E150="",E150&lt;TODAY()),"",E150+ROW()/100000)</f>
        <v/>
      </c>
      <c r="AJ150">
        <f>IF(OR(F150="",F150&lt;TODAY()),"",F150+ROW()/100000)</f>
        <v/>
      </c>
    </row>
    <row r="151">
      <c r="A151" s="1" t="n"/>
      <c r="B151" s="35" t="n"/>
      <c r="C151" s="35" t="n"/>
      <c r="D151" s="35" t="n"/>
      <c r="E151" s="36" t="n"/>
      <c r="F151" s="36" t="n"/>
      <c r="G151" s="18">
        <f>IF(OR(E151="",F151=""),"",F151-E151)</f>
        <v/>
      </c>
      <c r="H151" s="37" t="n"/>
      <c r="I151" s="38" t="n"/>
      <c r="J151" s="38" t="n"/>
      <c r="K151" s="38" t="n"/>
      <c r="L151" s="31">
        <f>IF(E151="","",N(I151)+N(J151)-N(K151))</f>
        <v/>
      </c>
      <c r="M151" s="39" t="n"/>
      <c r="N151" s="27">
        <f>IF(E151="","",IF(TODAY()&lt;E151,"Upcoming",IF(TODAY()&lt;F151,"Staying now",IF(M151="Yes","Checked out","Payout not received"))))</f>
        <v/>
      </c>
      <c r="O151" s="35" t="n"/>
      <c r="P151" s="1" t="n"/>
      <c r="Q151">
        <f>IF(N(G151)&gt;0,L151/G151,0)</f>
        <v/>
      </c>
      <c r="R151">
        <f>IF(N(G151)&gt;0,N(I151)/G151,0)</f>
        <v/>
      </c>
      <c r="S151">
        <f>IF(OR($E151="",$F151=""),0,MAX(0,MIN($F151,DATE(Dashboard!$C$4,2,1))-MAX($E151,DATE(Dashboard!$C$4,1,1))))</f>
        <v/>
      </c>
      <c r="T151">
        <f>IF(OR($E151="",$F151=""),0,MAX(0,MIN($F151,DATE(Dashboard!$C$4,3,1))-MAX($E151,DATE(Dashboard!$C$4,2,1))))</f>
        <v/>
      </c>
      <c r="U151">
        <f>IF(OR($E151="",$F151=""),0,MAX(0,MIN($F151,DATE(Dashboard!$C$4,4,1))-MAX($E151,DATE(Dashboard!$C$4,3,1))))</f>
        <v/>
      </c>
      <c r="V151">
        <f>IF(OR($E151="",$F151=""),0,MAX(0,MIN($F151,DATE(Dashboard!$C$4,5,1))-MAX($E151,DATE(Dashboard!$C$4,4,1))))</f>
        <v/>
      </c>
      <c r="W151">
        <f>IF(OR($E151="",$F151=""),0,MAX(0,MIN($F151,DATE(Dashboard!$C$4,6,1))-MAX($E151,DATE(Dashboard!$C$4,5,1))))</f>
        <v/>
      </c>
      <c r="X151">
        <f>IF(OR($E151="",$F151=""),0,MAX(0,MIN($F151,DATE(Dashboard!$C$4,7,1))-MAX($E151,DATE(Dashboard!$C$4,6,1))))</f>
        <v/>
      </c>
      <c r="Y151">
        <f>IF(OR($E151="",$F151=""),0,MAX(0,MIN($F151,DATE(Dashboard!$C$4,8,1))-MAX($E151,DATE(Dashboard!$C$4,7,1))))</f>
        <v/>
      </c>
      <c r="Z151">
        <f>IF(OR($E151="",$F151=""),0,MAX(0,MIN($F151,DATE(Dashboard!$C$4,9,1))-MAX($E151,DATE(Dashboard!$C$4,8,1))))</f>
        <v/>
      </c>
      <c r="AA151">
        <f>IF(OR($E151="",$F151=""),0,MAX(0,MIN($F151,DATE(Dashboard!$C$4,10,1))-MAX($E151,DATE(Dashboard!$C$4,9,1))))</f>
        <v/>
      </c>
      <c r="AB151">
        <f>IF(OR($E151="",$F151=""),0,MAX(0,MIN($F151,DATE(Dashboard!$C$4,11,1))-MAX($E151,DATE(Dashboard!$C$4,10,1))))</f>
        <v/>
      </c>
      <c r="AC151">
        <f>IF(OR($E151="",$F151=""),0,MAX(0,MIN($F151,DATE(Dashboard!$C$4,12,1))-MAX($E151,DATE(Dashboard!$C$4,11,1))))</f>
        <v/>
      </c>
      <c r="AD151">
        <f>IF(OR($E151="",$F151=""),0,MAX(0,MIN($F151,DATE(Dashboard!$C$4,13,1))-MAX($E151,DATE(Dashboard!$C$4,12,1))))</f>
        <v/>
      </c>
      <c r="AE151">
        <f>SUM(S151:AD151)</f>
        <v/>
      </c>
      <c r="AF151">
        <f>Q151*AE151</f>
        <v/>
      </c>
      <c r="AG151">
        <f>R151*AE151</f>
        <v/>
      </c>
      <c r="AH151">
        <f>SUMPRODUCT(S151:AD151,--(COLUMN(S151:AD151)-COLUMN(S151)+1&lt;=Dashboard!$N$1))</f>
        <v/>
      </c>
      <c r="AI151">
        <f>IF(OR(E151="",E151&lt;TODAY()),"",E151+ROW()/100000)</f>
        <v/>
      </c>
      <c r="AJ151">
        <f>IF(OR(F151="",F151&lt;TODAY()),"",F151+ROW()/100000)</f>
        <v/>
      </c>
    </row>
    <row r="152">
      <c r="A152" s="1" t="n"/>
      <c r="B152" s="35" t="n"/>
      <c r="C152" s="35" t="n"/>
      <c r="D152" s="35" t="n"/>
      <c r="E152" s="36" t="n"/>
      <c r="F152" s="36" t="n"/>
      <c r="G152" s="18">
        <f>IF(OR(E152="",F152=""),"",F152-E152)</f>
        <v/>
      </c>
      <c r="H152" s="37" t="n"/>
      <c r="I152" s="38" t="n"/>
      <c r="J152" s="38" t="n"/>
      <c r="K152" s="38" t="n"/>
      <c r="L152" s="31">
        <f>IF(E152="","",N(I152)+N(J152)-N(K152))</f>
        <v/>
      </c>
      <c r="M152" s="39" t="n"/>
      <c r="N152" s="27">
        <f>IF(E152="","",IF(TODAY()&lt;E152,"Upcoming",IF(TODAY()&lt;F152,"Staying now",IF(M152="Yes","Checked out","Payout not received"))))</f>
        <v/>
      </c>
      <c r="O152" s="35" t="n"/>
      <c r="P152" s="1" t="n"/>
      <c r="Q152">
        <f>IF(N(G152)&gt;0,L152/G152,0)</f>
        <v/>
      </c>
      <c r="R152">
        <f>IF(N(G152)&gt;0,N(I152)/G152,0)</f>
        <v/>
      </c>
      <c r="S152">
        <f>IF(OR($E152="",$F152=""),0,MAX(0,MIN($F152,DATE(Dashboard!$C$4,2,1))-MAX($E152,DATE(Dashboard!$C$4,1,1))))</f>
        <v/>
      </c>
      <c r="T152">
        <f>IF(OR($E152="",$F152=""),0,MAX(0,MIN($F152,DATE(Dashboard!$C$4,3,1))-MAX($E152,DATE(Dashboard!$C$4,2,1))))</f>
        <v/>
      </c>
      <c r="U152">
        <f>IF(OR($E152="",$F152=""),0,MAX(0,MIN($F152,DATE(Dashboard!$C$4,4,1))-MAX($E152,DATE(Dashboard!$C$4,3,1))))</f>
        <v/>
      </c>
      <c r="V152">
        <f>IF(OR($E152="",$F152=""),0,MAX(0,MIN($F152,DATE(Dashboard!$C$4,5,1))-MAX($E152,DATE(Dashboard!$C$4,4,1))))</f>
        <v/>
      </c>
      <c r="W152">
        <f>IF(OR($E152="",$F152=""),0,MAX(0,MIN($F152,DATE(Dashboard!$C$4,6,1))-MAX($E152,DATE(Dashboard!$C$4,5,1))))</f>
        <v/>
      </c>
      <c r="X152">
        <f>IF(OR($E152="",$F152=""),0,MAX(0,MIN($F152,DATE(Dashboard!$C$4,7,1))-MAX($E152,DATE(Dashboard!$C$4,6,1))))</f>
        <v/>
      </c>
      <c r="Y152">
        <f>IF(OR($E152="",$F152=""),0,MAX(0,MIN($F152,DATE(Dashboard!$C$4,8,1))-MAX($E152,DATE(Dashboard!$C$4,7,1))))</f>
        <v/>
      </c>
      <c r="Z152">
        <f>IF(OR($E152="",$F152=""),0,MAX(0,MIN($F152,DATE(Dashboard!$C$4,9,1))-MAX($E152,DATE(Dashboard!$C$4,8,1))))</f>
        <v/>
      </c>
      <c r="AA152">
        <f>IF(OR($E152="",$F152=""),0,MAX(0,MIN($F152,DATE(Dashboard!$C$4,10,1))-MAX($E152,DATE(Dashboard!$C$4,9,1))))</f>
        <v/>
      </c>
      <c r="AB152">
        <f>IF(OR($E152="",$F152=""),0,MAX(0,MIN($F152,DATE(Dashboard!$C$4,11,1))-MAX($E152,DATE(Dashboard!$C$4,10,1))))</f>
        <v/>
      </c>
      <c r="AC152">
        <f>IF(OR($E152="",$F152=""),0,MAX(0,MIN($F152,DATE(Dashboard!$C$4,12,1))-MAX($E152,DATE(Dashboard!$C$4,11,1))))</f>
        <v/>
      </c>
      <c r="AD152">
        <f>IF(OR($E152="",$F152=""),0,MAX(0,MIN($F152,DATE(Dashboard!$C$4,13,1))-MAX($E152,DATE(Dashboard!$C$4,12,1))))</f>
        <v/>
      </c>
      <c r="AE152">
        <f>SUM(S152:AD152)</f>
        <v/>
      </c>
      <c r="AF152">
        <f>Q152*AE152</f>
        <v/>
      </c>
      <c r="AG152">
        <f>R152*AE152</f>
        <v/>
      </c>
      <c r="AH152">
        <f>SUMPRODUCT(S152:AD152,--(COLUMN(S152:AD152)-COLUMN(S152)+1&lt;=Dashboard!$N$1))</f>
        <v/>
      </c>
      <c r="AI152">
        <f>IF(OR(E152="",E152&lt;TODAY()),"",E152+ROW()/100000)</f>
        <v/>
      </c>
      <c r="AJ152">
        <f>IF(OR(F152="",F152&lt;TODAY()),"",F152+ROW()/100000)</f>
        <v/>
      </c>
    </row>
    <row r="153">
      <c r="A153" s="1" t="n"/>
      <c r="B153" s="35" t="n"/>
      <c r="C153" s="35" t="n"/>
      <c r="D153" s="35" t="n"/>
      <c r="E153" s="36" t="n"/>
      <c r="F153" s="36" t="n"/>
      <c r="G153" s="18">
        <f>IF(OR(E153="",F153=""),"",F153-E153)</f>
        <v/>
      </c>
      <c r="H153" s="37" t="n"/>
      <c r="I153" s="38" t="n"/>
      <c r="J153" s="38" t="n"/>
      <c r="K153" s="38" t="n"/>
      <c r="L153" s="31">
        <f>IF(E153="","",N(I153)+N(J153)-N(K153))</f>
        <v/>
      </c>
      <c r="M153" s="39" t="n"/>
      <c r="N153" s="27">
        <f>IF(E153="","",IF(TODAY()&lt;E153,"Upcoming",IF(TODAY()&lt;F153,"Staying now",IF(M153="Yes","Checked out","Payout not received"))))</f>
        <v/>
      </c>
      <c r="O153" s="35" t="n"/>
      <c r="P153" s="1" t="n"/>
      <c r="Q153">
        <f>IF(N(G153)&gt;0,L153/G153,0)</f>
        <v/>
      </c>
      <c r="R153">
        <f>IF(N(G153)&gt;0,N(I153)/G153,0)</f>
        <v/>
      </c>
      <c r="S153">
        <f>IF(OR($E153="",$F153=""),0,MAX(0,MIN($F153,DATE(Dashboard!$C$4,2,1))-MAX($E153,DATE(Dashboard!$C$4,1,1))))</f>
        <v/>
      </c>
      <c r="T153">
        <f>IF(OR($E153="",$F153=""),0,MAX(0,MIN($F153,DATE(Dashboard!$C$4,3,1))-MAX($E153,DATE(Dashboard!$C$4,2,1))))</f>
        <v/>
      </c>
      <c r="U153">
        <f>IF(OR($E153="",$F153=""),0,MAX(0,MIN($F153,DATE(Dashboard!$C$4,4,1))-MAX($E153,DATE(Dashboard!$C$4,3,1))))</f>
        <v/>
      </c>
      <c r="V153">
        <f>IF(OR($E153="",$F153=""),0,MAX(0,MIN($F153,DATE(Dashboard!$C$4,5,1))-MAX($E153,DATE(Dashboard!$C$4,4,1))))</f>
        <v/>
      </c>
      <c r="W153">
        <f>IF(OR($E153="",$F153=""),0,MAX(0,MIN($F153,DATE(Dashboard!$C$4,6,1))-MAX($E153,DATE(Dashboard!$C$4,5,1))))</f>
        <v/>
      </c>
      <c r="X153">
        <f>IF(OR($E153="",$F153=""),0,MAX(0,MIN($F153,DATE(Dashboard!$C$4,7,1))-MAX($E153,DATE(Dashboard!$C$4,6,1))))</f>
        <v/>
      </c>
      <c r="Y153">
        <f>IF(OR($E153="",$F153=""),0,MAX(0,MIN($F153,DATE(Dashboard!$C$4,8,1))-MAX($E153,DATE(Dashboard!$C$4,7,1))))</f>
        <v/>
      </c>
      <c r="Z153">
        <f>IF(OR($E153="",$F153=""),0,MAX(0,MIN($F153,DATE(Dashboard!$C$4,9,1))-MAX($E153,DATE(Dashboard!$C$4,8,1))))</f>
        <v/>
      </c>
      <c r="AA153">
        <f>IF(OR($E153="",$F153=""),0,MAX(0,MIN($F153,DATE(Dashboard!$C$4,10,1))-MAX($E153,DATE(Dashboard!$C$4,9,1))))</f>
        <v/>
      </c>
      <c r="AB153">
        <f>IF(OR($E153="",$F153=""),0,MAX(0,MIN($F153,DATE(Dashboard!$C$4,11,1))-MAX($E153,DATE(Dashboard!$C$4,10,1))))</f>
        <v/>
      </c>
      <c r="AC153">
        <f>IF(OR($E153="",$F153=""),0,MAX(0,MIN($F153,DATE(Dashboard!$C$4,12,1))-MAX($E153,DATE(Dashboard!$C$4,11,1))))</f>
        <v/>
      </c>
      <c r="AD153">
        <f>IF(OR($E153="",$F153=""),0,MAX(0,MIN($F153,DATE(Dashboard!$C$4,13,1))-MAX($E153,DATE(Dashboard!$C$4,12,1))))</f>
        <v/>
      </c>
      <c r="AE153">
        <f>SUM(S153:AD153)</f>
        <v/>
      </c>
      <c r="AF153">
        <f>Q153*AE153</f>
        <v/>
      </c>
      <c r="AG153">
        <f>R153*AE153</f>
        <v/>
      </c>
      <c r="AH153">
        <f>SUMPRODUCT(S153:AD153,--(COLUMN(S153:AD153)-COLUMN(S153)+1&lt;=Dashboard!$N$1))</f>
        <v/>
      </c>
      <c r="AI153">
        <f>IF(OR(E153="",E153&lt;TODAY()),"",E153+ROW()/100000)</f>
        <v/>
      </c>
      <c r="AJ153">
        <f>IF(OR(F153="",F153&lt;TODAY()),"",F153+ROW()/100000)</f>
        <v/>
      </c>
    </row>
    <row r="154">
      <c r="A154" s="1" t="n"/>
      <c r="B154" s="35" t="n"/>
      <c r="C154" s="35" t="n"/>
      <c r="D154" s="35" t="n"/>
      <c r="E154" s="36" t="n"/>
      <c r="F154" s="36" t="n"/>
      <c r="G154" s="18">
        <f>IF(OR(E154="",F154=""),"",F154-E154)</f>
        <v/>
      </c>
      <c r="H154" s="37" t="n"/>
      <c r="I154" s="38" t="n"/>
      <c r="J154" s="38" t="n"/>
      <c r="K154" s="38" t="n"/>
      <c r="L154" s="31">
        <f>IF(E154="","",N(I154)+N(J154)-N(K154))</f>
        <v/>
      </c>
      <c r="M154" s="39" t="n"/>
      <c r="N154" s="27">
        <f>IF(E154="","",IF(TODAY()&lt;E154,"Upcoming",IF(TODAY()&lt;F154,"Staying now",IF(M154="Yes","Checked out","Payout not received"))))</f>
        <v/>
      </c>
      <c r="O154" s="35" t="n"/>
      <c r="P154" s="1" t="n"/>
      <c r="Q154">
        <f>IF(N(G154)&gt;0,L154/G154,0)</f>
        <v/>
      </c>
      <c r="R154">
        <f>IF(N(G154)&gt;0,N(I154)/G154,0)</f>
        <v/>
      </c>
      <c r="S154">
        <f>IF(OR($E154="",$F154=""),0,MAX(0,MIN($F154,DATE(Dashboard!$C$4,2,1))-MAX($E154,DATE(Dashboard!$C$4,1,1))))</f>
        <v/>
      </c>
      <c r="T154">
        <f>IF(OR($E154="",$F154=""),0,MAX(0,MIN($F154,DATE(Dashboard!$C$4,3,1))-MAX($E154,DATE(Dashboard!$C$4,2,1))))</f>
        <v/>
      </c>
      <c r="U154">
        <f>IF(OR($E154="",$F154=""),0,MAX(0,MIN($F154,DATE(Dashboard!$C$4,4,1))-MAX($E154,DATE(Dashboard!$C$4,3,1))))</f>
        <v/>
      </c>
      <c r="V154">
        <f>IF(OR($E154="",$F154=""),0,MAX(0,MIN($F154,DATE(Dashboard!$C$4,5,1))-MAX($E154,DATE(Dashboard!$C$4,4,1))))</f>
        <v/>
      </c>
      <c r="W154">
        <f>IF(OR($E154="",$F154=""),0,MAX(0,MIN($F154,DATE(Dashboard!$C$4,6,1))-MAX($E154,DATE(Dashboard!$C$4,5,1))))</f>
        <v/>
      </c>
      <c r="X154">
        <f>IF(OR($E154="",$F154=""),0,MAX(0,MIN($F154,DATE(Dashboard!$C$4,7,1))-MAX($E154,DATE(Dashboard!$C$4,6,1))))</f>
        <v/>
      </c>
      <c r="Y154">
        <f>IF(OR($E154="",$F154=""),0,MAX(0,MIN($F154,DATE(Dashboard!$C$4,8,1))-MAX($E154,DATE(Dashboard!$C$4,7,1))))</f>
        <v/>
      </c>
      <c r="Z154">
        <f>IF(OR($E154="",$F154=""),0,MAX(0,MIN($F154,DATE(Dashboard!$C$4,9,1))-MAX($E154,DATE(Dashboard!$C$4,8,1))))</f>
        <v/>
      </c>
      <c r="AA154">
        <f>IF(OR($E154="",$F154=""),0,MAX(0,MIN($F154,DATE(Dashboard!$C$4,10,1))-MAX($E154,DATE(Dashboard!$C$4,9,1))))</f>
        <v/>
      </c>
      <c r="AB154">
        <f>IF(OR($E154="",$F154=""),0,MAX(0,MIN($F154,DATE(Dashboard!$C$4,11,1))-MAX($E154,DATE(Dashboard!$C$4,10,1))))</f>
        <v/>
      </c>
      <c r="AC154">
        <f>IF(OR($E154="",$F154=""),0,MAX(0,MIN($F154,DATE(Dashboard!$C$4,12,1))-MAX($E154,DATE(Dashboard!$C$4,11,1))))</f>
        <v/>
      </c>
      <c r="AD154">
        <f>IF(OR($E154="",$F154=""),0,MAX(0,MIN($F154,DATE(Dashboard!$C$4,13,1))-MAX($E154,DATE(Dashboard!$C$4,12,1))))</f>
        <v/>
      </c>
      <c r="AE154">
        <f>SUM(S154:AD154)</f>
        <v/>
      </c>
      <c r="AF154">
        <f>Q154*AE154</f>
        <v/>
      </c>
      <c r="AG154">
        <f>R154*AE154</f>
        <v/>
      </c>
      <c r="AH154">
        <f>SUMPRODUCT(S154:AD154,--(COLUMN(S154:AD154)-COLUMN(S154)+1&lt;=Dashboard!$N$1))</f>
        <v/>
      </c>
      <c r="AI154">
        <f>IF(OR(E154="",E154&lt;TODAY()),"",E154+ROW()/100000)</f>
        <v/>
      </c>
      <c r="AJ154">
        <f>IF(OR(F154="",F154&lt;TODAY()),"",F154+ROW()/100000)</f>
        <v/>
      </c>
    </row>
    <row r="155">
      <c r="A155" s="1" t="n"/>
      <c r="B155" s="35" t="n"/>
      <c r="C155" s="35" t="n"/>
      <c r="D155" s="35" t="n"/>
      <c r="E155" s="36" t="n"/>
      <c r="F155" s="36" t="n"/>
      <c r="G155" s="18">
        <f>IF(OR(E155="",F155=""),"",F155-E155)</f>
        <v/>
      </c>
      <c r="H155" s="37" t="n"/>
      <c r="I155" s="38" t="n"/>
      <c r="J155" s="38" t="n"/>
      <c r="K155" s="38" t="n"/>
      <c r="L155" s="31">
        <f>IF(E155="","",N(I155)+N(J155)-N(K155))</f>
        <v/>
      </c>
      <c r="M155" s="39" t="n"/>
      <c r="N155" s="27">
        <f>IF(E155="","",IF(TODAY()&lt;E155,"Upcoming",IF(TODAY()&lt;F155,"Staying now",IF(M155="Yes","Checked out","Payout not received"))))</f>
        <v/>
      </c>
      <c r="O155" s="35" t="n"/>
      <c r="P155" s="1" t="n"/>
      <c r="Q155">
        <f>IF(N(G155)&gt;0,L155/G155,0)</f>
        <v/>
      </c>
      <c r="R155">
        <f>IF(N(G155)&gt;0,N(I155)/G155,0)</f>
        <v/>
      </c>
      <c r="S155">
        <f>IF(OR($E155="",$F155=""),0,MAX(0,MIN($F155,DATE(Dashboard!$C$4,2,1))-MAX($E155,DATE(Dashboard!$C$4,1,1))))</f>
        <v/>
      </c>
      <c r="T155">
        <f>IF(OR($E155="",$F155=""),0,MAX(0,MIN($F155,DATE(Dashboard!$C$4,3,1))-MAX($E155,DATE(Dashboard!$C$4,2,1))))</f>
        <v/>
      </c>
      <c r="U155">
        <f>IF(OR($E155="",$F155=""),0,MAX(0,MIN($F155,DATE(Dashboard!$C$4,4,1))-MAX($E155,DATE(Dashboard!$C$4,3,1))))</f>
        <v/>
      </c>
      <c r="V155">
        <f>IF(OR($E155="",$F155=""),0,MAX(0,MIN($F155,DATE(Dashboard!$C$4,5,1))-MAX($E155,DATE(Dashboard!$C$4,4,1))))</f>
        <v/>
      </c>
      <c r="W155">
        <f>IF(OR($E155="",$F155=""),0,MAX(0,MIN($F155,DATE(Dashboard!$C$4,6,1))-MAX($E155,DATE(Dashboard!$C$4,5,1))))</f>
        <v/>
      </c>
      <c r="X155">
        <f>IF(OR($E155="",$F155=""),0,MAX(0,MIN($F155,DATE(Dashboard!$C$4,7,1))-MAX($E155,DATE(Dashboard!$C$4,6,1))))</f>
        <v/>
      </c>
      <c r="Y155">
        <f>IF(OR($E155="",$F155=""),0,MAX(0,MIN($F155,DATE(Dashboard!$C$4,8,1))-MAX($E155,DATE(Dashboard!$C$4,7,1))))</f>
        <v/>
      </c>
      <c r="Z155">
        <f>IF(OR($E155="",$F155=""),0,MAX(0,MIN($F155,DATE(Dashboard!$C$4,9,1))-MAX($E155,DATE(Dashboard!$C$4,8,1))))</f>
        <v/>
      </c>
      <c r="AA155">
        <f>IF(OR($E155="",$F155=""),0,MAX(0,MIN($F155,DATE(Dashboard!$C$4,10,1))-MAX($E155,DATE(Dashboard!$C$4,9,1))))</f>
        <v/>
      </c>
      <c r="AB155">
        <f>IF(OR($E155="",$F155=""),0,MAX(0,MIN($F155,DATE(Dashboard!$C$4,11,1))-MAX($E155,DATE(Dashboard!$C$4,10,1))))</f>
        <v/>
      </c>
      <c r="AC155">
        <f>IF(OR($E155="",$F155=""),0,MAX(0,MIN($F155,DATE(Dashboard!$C$4,12,1))-MAX($E155,DATE(Dashboard!$C$4,11,1))))</f>
        <v/>
      </c>
      <c r="AD155">
        <f>IF(OR($E155="",$F155=""),0,MAX(0,MIN($F155,DATE(Dashboard!$C$4,13,1))-MAX($E155,DATE(Dashboard!$C$4,12,1))))</f>
        <v/>
      </c>
      <c r="AE155">
        <f>SUM(S155:AD155)</f>
        <v/>
      </c>
      <c r="AF155">
        <f>Q155*AE155</f>
        <v/>
      </c>
      <c r="AG155">
        <f>R155*AE155</f>
        <v/>
      </c>
      <c r="AH155">
        <f>SUMPRODUCT(S155:AD155,--(COLUMN(S155:AD155)-COLUMN(S155)+1&lt;=Dashboard!$N$1))</f>
        <v/>
      </c>
      <c r="AI155">
        <f>IF(OR(E155="",E155&lt;TODAY()),"",E155+ROW()/100000)</f>
        <v/>
      </c>
      <c r="AJ155">
        <f>IF(OR(F155="",F155&lt;TODAY()),"",F155+ROW()/100000)</f>
        <v/>
      </c>
    </row>
    <row r="156">
      <c r="A156" s="1" t="n"/>
      <c r="B156" s="35" t="n"/>
      <c r="C156" s="35" t="n"/>
      <c r="D156" s="35" t="n"/>
      <c r="E156" s="36" t="n"/>
      <c r="F156" s="36" t="n"/>
      <c r="G156" s="18">
        <f>IF(OR(E156="",F156=""),"",F156-E156)</f>
        <v/>
      </c>
      <c r="H156" s="37" t="n"/>
      <c r="I156" s="38" t="n"/>
      <c r="J156" s="38" t="n"/>
      <c r="K156" s="38" t="n"/>
      <c r="L156" s="31">
        <f>IF(E156="","",N(I156)+N(J156)-N(K156))</f>
        <v/>
      </c>
      <c r="M156" s="39" t="n"/>
      <c r="N156" s="27">
        <f>IF(E156="","",IF(TODAY()&lt;E156,"Upcoming",IF(TODAY()&lt;F156,"Staying now",IF(M156="Yes","Checked out","Payout not received"))))</f>
        <v/>
      </c>
      <c r="O156" s="35" t="n"/>
      <c r="P156" s="1" t="n"/>
      <c r="Q156">
        <f>IF(N(G156)&gt;0,L156/G156,0)</f>
        <v/>
      </c>
      <c r="R156">
        <f>IF(N(G156)&gt;0,N(I156)/G156,0)</f>
        <v/>
      </c>
      <c r="S156">
        <f>IF(OR($E156="",$F156=""),0,MAX(0,MIN($F156,DATE(Dashboard!$C$4,2,1))-MAX($E156,DATE(Dashboard!$C$4,1,1))))</f>
        <v/>
      </c>
      <c r="T156">
        <f>IF(OR($E156="",$F156=""),0,MAX(0,MIN($F156,DATE(Dashboard!$C$4,3,1))-MAX($E156,DATE(Dashboard!$C$4,2,1))))</f>
        <v/>
      </c>
      <c r="U156">
        <f>IF(OR($E156="",$F156=""),0,MAX(0,MIN($F156,DATE(Dashboard!$C$4,4,1))-MAX($E156,DATE(Dashboard!$C$4,3,1))))</f>
        <v/>
      </c>
      <c r="V156">
        <f>IF(OR($E156="",$F156=""),0,MAX(0,MIN($F156,DATE(Dashboard!$C$4,5,1))-MAX($E156,DATE(Dashboard!$C$4,4,1))))</f>
        <v/>
      </c>
      <c r="W156">
        <f>IF(OR($E156="",$F156=""),0,MAX(0,MIN($F156,DATE(Dashboard!$C$4,6,1))-MAX($E156,DATE(Dashboard!$C$4,5,1))))</f>
        <v/>
      </c>
      <c r="X156">
        <f>IF(OR($E156="",$F156=""),0,MAX(0,MIN($F156,DATE(Dashboard!$C$4,7,1))-MAX($E156,DATE(Dashboard!$C$4,6,1))))</f>
        <v/>
      </c>
      <c r="Y156">
        <f>IF(OR($E156="",$F156=""),0,MAX(0,MIN($F156,DATE(Dashboard!$C$4,8,1))-MAX($E156,DATE(Dashboard!$C$4,7,1))))</f>
        <v/>
      </c>
      <c r="Z156">
        <f>IF(OR($E156="",$F156=""),0,MAX(0,MIN($F156,DATE(Dashboard!$C$4,9,1))-MAX($E156,DATE(Dashboard!$C$4,8,1))))</f>
        <v/>
      </c>
      <c r="AA156">
        <f>IF(OR($E156="",$F156=""),0,MAX(0,MIN($F156,DATE(Dashboard!$C$4,10,1))-MAX($E156,DATE(Dashboard!$C$4,9,1))))</f>
        <v/>
      </c>
      <c r="AB156">
        <f>IF(OR($E156="",$F156=""),0,MAX(0,MIN($F156,DATE(Dashboard!$C$4,11,1))-MAX($E156,DATE(Dashboard!$C$4,10,1))))</f>
        <v/>
      </c>
      <c r="AC156">
        <f>IF(OR($E156="",$F156=""),0,MAX(0,MIN($F156,DATE(Dashboard!$C$4,12,1))-MAX($E156,DATE(Dashboard!$C$4,11,1))))</f>
        <v/>
      </c>
      <c r="AD156">
        <f>IF(OR($E156="",$F156=""),0,MAX(0,MIN($F156,DATE(Dashboard!$C$4,13,1))-MAX($E156,DATE(Dashboard!$C$4,12,1))))</f>
        <v/>
      </c>
      <c r="AE156">
        <f>SUM(S156:AD156)</f>
        <v/>
      </c>
      <c r="AF156">
        <f>Q156*AE156</f>
        <v/>
      </c>
      <c r="AG156">
        <f>R156*AE156</f>
        <v/>
      </c>
      <c r="AH156">
        <f>SUMPRODUCT(S156:AD156,--(COLUMN(S156:AD156)-COLUMN(S156)+1&lt;=Dashboard!$N$1))</f>
        <v/>
      </c>
      <c r="AI156">
        <f>IF(OR(E156="",E156&lt;TODAY()),"",E156+ROW()/100000)</f>
        <v/>
      </c>
      <c r="AJ156">
        <f>IF(OR(F156="",F156&lt;TODAY()),"",F156+ROW()/100000)</f>
        <v/>
      </c>
    </row>
    <row r="157">
      <c r="A157" s="1" t="n"/>
      <c r="B157" s="35" t="n"/>
      <c r="C157" s="35" t="n"/>
      <c r="D157" s="35" t="n"/>
      <c r="E157" s="36" t="n"/>
      <c r="F157" s="36" t="n"/>
      <c r="G157" s="18">
        <f>IF(OR(E157="",F157=""),"",F157-E157)</f>
        <v/>
      </c>
      <c r="H157" s="37" t="n"/>
      <c r="I157" s="38" t="n"/>
      <c r="J157" s="38" t="n"/>
      <c r="K157" s="38" t="n"/>
      <c r="L157" s="31">
        <f>IF(E157="","",N(I157)+N(J157)-N(K157))</f>
        <v/>
      </c>
      <c r="M157" s="39" t="n"/>
      <c r="N157" s="27">
        <f>IF(E157="","",IF(TODAY()&lt;E157,"Upcoming",IF(TODAY()&lt;F157,"Staying now",IF(M157="Yes","Checked out","Payout not received"))))</f>
        <v/>
      </c>
      <c r="O157" s="35" t="n"/>
      <c r="P157" s="1" t="n"/>
      <c r="Q157">
        <f>IF(N(G157)&gt;0,L157/G157,0)</f>
        <v/>
      </c>
      <c r="R157">
        <f>IF(N(G157)&gt;0,N(I157)/G157,0)</f>
        <v/>
      </c>
      <c r="S157">
        <f>IF(OR($E157="",$F157=""),0,MAX(0,MIN($F157,DATE(Dashboard!$C$4,2,1))-MAX($E157,DATE(Dashboard!$C$4,1,1))))</f>
        <v/>
      </c>
      <c r="T157">
        <f>IF(OR($E157="",$F157=""),0,MAX(0,MIN($F157,DATE(Dashboard!$C$4,3,1))-MAX($E157,DATE(Dashboard!$C$4,2,1))))</f>
        <v/>
      </c>
      <c r="U157">
        <f>IF(OR($E157="",$F157=""),0,MAX(0,MIN($F157,DATE(Dashboard!$C$4,4,1))-MAX($E157,DATE(Dashboard!$C$4,3,1))))</f>
        <v/>
      </c>
      <c r="V157">
        <f>IF(OR($E157="",$F157=""),0,MAX(0,MIN($F157,DATE(Dashboard!$C$4,5,1))-MAX($E157,DATE(Dashboard!$C$4,4,1))))</f>
        <v/>
      </c>
      <c r="W157">
        <f>IF(OR($E157="",$F157=""),0,MAX(0,MIN($F157,DATE(Dashboard!$C$4,6,1))-MAX($E157,DATE(Dashboard!$C$4,5,1))))</f>
        <v/>
      </c>
      <c r="X157">
        <f>IF(OR($E157="",$F157=""),0,MAX(0,MIN($F157,DATE(Dashboard!$C$4,7,1))-MAX($E157,DATE(Dashboard!$C$4,6,1))))</f>
        <v/>
      </c>
      <c r="Y157">
        <f>IF(OR($E157="",$F157=""),0,MAX(0,MIN($F157,DATE(Dashboard!$C$4,8,1))-MAX($E157,DATE(Dashboard!$C$4,7,1))))</f>
        <v/>
      </c>
      <c r="Z157">
        <f>IF(OR($E157="",$F157=""),0,MAX(0,MIN($F157,DATE(Dashboard!$C$4,9,1))-MAX($E157,DATE(Dashboard!$C$4,8,1))))</f>
        <v/>
      </c>
      <c r="AA157">
        <f>IF(OR($E157="",$F157=""),0,MAX(0,MIN($F157,DATE(Dashboard!$C$4,10,1))-MAX($E157,DATE(Dashboard!$C$4,9,1))))</f>
        <v/>
      </c>
      <c r="AB157">
        <f>IF(OR($E157="",$F157=""),0,MAX(0,MIN($F157,DATE(Dashboard!$C$4,11,1))-MAX($E157,DATE(Dashboard!$C$4,10,1))))</f>
        <v/>
      </c>
      <c r="AC157">
        <f>IF(OR($E157="",$F157=""),0,MAX(0,MIN($F157,DATE(Dashboard!$C$4,12,1))-MAX($E157,DATE(Dashboard!$C$4,11,1))))</f>
        <v/>
      </c>
      <c r="AD157">
        <f>IF(OR($E157="",$F157=""),0,MAX(0,MIN($F157,DATE(Dashboard!$C$4,13,1))-MAX($E157,DATE(Dashboard!$C$4,12,1))))</f>
        <v/>
      </c>
      <c r="AE157">
        <f>SUM(S157:AD157)</f>
        <v/>
      </c>
      <c r="AF157">
        <f>Q157*AE157</f>
        <v/>
      </c>
      <c r="AG157">
        <f>R157*AE157</f>
        <v/>
      </c>
      <c r="AH157">
        <f>SUMPRODUCT(S157:AD157,--(COLUMN(S157:AD157)-COLUMN(S157)+1&lt;=Dashboard!$N$1))</f>
        <v/>
      </c>
      <c r="AI157">
        <f>IF(OR(E157="",E157&lt;TODAY()),"",E157+ROW()/100000)</f>
        <v/>
      </c>
      <c r="AJ157">
        <f>IF(OR(F157="",F157&lt;TODAY()),"",F157+ROW()/100000)</f>
        <v/>
      </c>
    </row>
    <row r="158">
      <c r="A158" s="1" t="n"/>
      <c r="B158" s="35" t="n"/>
      <c r="C158" s="35" t="n"/>
      <c r="D158" s="35" t="n"/>
      <c r="E158" s="36" t="n"/>
      <c r="F158" s="36" t="n"/>
      <c r="G158" s="18">
        <f>IF(OR(E158="",F158=""),"",F158-E158)</f>
        <v/>
      </c>
      <c r="H158" s="37" t="n"/>
      <c r="I158" s="38" t="n"/>
      <c r="J158" s="38" t="n"/>
      <c r="K158" s="38" t="n"/>
      <c r="L158" s="31">
        <f>IF(E158="","",N(I158)+N(J158)-N(K158))</f>
        <v/>
      </c>
      <c r="M158" s="39" t="n"/>
      <c r="N158" s="27">
        <f>IF(E158="","",IF(TODAY()&lt;E158,"Upcoming",IF(TODAY()&lt;F158,"Staying now",IF(M158="Yes","Checked out","Payout not received"))))</f>
        <v/>
      </c>
      <c r="O158" s="35" t="n"/>
      <c r="P158" s="1" t="n"/>
      <c r="Q158">
        <f>IF(N(G158)&gt;0,L158/G158,0)</f>
        <v/>
      </c>
      <c r="R158">
        <f>IF(N(G158)&gt;0,N(I158)/G158,0)</f>
        <v/>
      </c>
      <c r="S158">
        <f>IF(OR($E158="",$F158=""),0,MAX(0,MIN($F158,DATE(Dashboard!$C$4,2,1))-MAX($E158,DATE(Dashboard!$C$4,1,1))))</f>
        <v/>
      </c>
      <c r="T158">
        <f>IF(OR($E158="",$F158=""),0,MAX(0,MIN($F158,DATE(Dashboard!$C$4,3,1))-MAX($E158,DATE(Dashboard!$C$4,2,1))))</f>
        <v/>
      </c>
      <c r="U158">
        <f>IF(OR($E158="",$F158=""),0,MAX(0,MIN($F158,DATE(Dashboard!$C$4,4,1))-MAX($E158,DATE(Dashboard!$C$4,3,1))))</f>
        <v/>
      </c>
      <c r="V158">
        <f>IF(OR($E158="",$F158=""),0,MAX(0,MIN($F158,DATE(Dashboard!$C$4,5,1))-MAX($E158,DATE(Dashboard!$C$4,4,1))))</f>
        <v/>
      </c>
      <c r="W158">
        <f>IF(OR($E158="",$F158=""),0,MAX(0,MIN($F158,DATE(Dashboard!$C$4,6,1))-MAX($E158,DATE(Dashboard!$C$4,5,1))))</f>
        <v/>
      </c>
      <c r="X158">
        <f>IF(OR($E158="",$F158=""),0,MAX(0,MIN($F158,DATE(Dashboard!$C$4,7,1))-MAX($E158,DATE(Dashboard!$C$4,6,1))))</f>
        <v/>
      </c>
      <c r="Y158">
        <f>IF(OR($E158="",$F158=""),0,MAX(0,MIN($F158,DATE(Dashboard!$C$4,8,1))-MAX($E158,DATE(Dashboard!$C$4,7,1))))</f>
        <v/>
      </c>
      <c r="Z158">
        <f>IF(OR($E158="",$F158=""),0,MAX(0,MIN($F158,DATE(Dashboard!$C$4,9,1))-MAX($E158,DATE(Dashboard!$C$4,8,1))))</f>
        <v/>
      </c>
      <c r="AA158">
        <f>IF(OR($E158="",$F158=""),0,MAX(0,MIN($F158,DATE(Dashboard!$C$4,10,1))-MAX($E158,DATE(Dashboard!$C$4,9,1))))</f>
        <v/>
      </c>
      <c r="AB158">
        <f>IF(OR($E158="",$F158=""),0,MAX(0,MIN($F158,DATE(Dashboard!$C$4,11,1))-MAX($E158,DATE(Dashboard!$C$4,10,1))))</f>
        <v/>
      </c>
      <c r="AC158">
        <f>IF(OR($E158="",$F158=""),0,MAX(0,MIN($F158,DATE(Dashboard!$C$4,12,1))-MAX($E158,DATE(Dashboard!$C$4,11,1))))</f>
        <v/>
      </c>
      <c r="AD158">
        <f>IF(OR($E158="",$F158=""),0,MAX(0,MIN($F158,DATE(Dashboard!$C$4,13,1))-MAX($E158,DATE(Dashboard!$C$4,12,1))))</f>
        <v/>
      </c>
      <c r="AE158">
        <f>SUM(S158:AD158)</f>
        <v/>
      </c>
      <c r="AF158">
        <f>Q158*AE158</f>
        <v/>
      </c>
      <c r="AG158">
        <f>R158*AE158</f>
        <v/>
      </c>
      <c r="AH158">
        <f>SUMPRODUCT(S158:AD158,--(COLUMN(S158:AD158)-COLUMN(S158)+1&lt;=Dashboard!$N$1))</f>
        <v/>
      </c>
      <c r="AI158">
        <f>IF(OR(E158="",E158&lt;TODAY()),"",E158+ROW()/100000)</f>
        <v/>
      </c>
      <c r="AJ158">
        <f>IF(OR(F158="",F158&lt;TODAY()),"",F158+ROW()/100000)</f>
        <v/>
      </c>
    </row>
    <row r="159">
      <c r="A159" s="1" t="n"/>
      <c r="B159" s="35" t="n"/>
      <c r="C159" s="35" t="n"/>
      <c r="D159" s="35" t="n"/>
      <c r="E159" s="36" t="n"/>
      <c r="F159" s="36" t="n"/>
      <c r="G159" s="18">
        <f>IF(OR(E159="",F159=""),"",F159-E159)</f>
        <v/>
      </c>
      <c r="H159" s="37" t="n"/>
      <c r="I159" s="38" t="n"/>
      <c r="J159" s="38" t="n"/>
      <c r="K159" s="38" t="n"/>
      <c r="L159" s="31">
        <f>IF(E159="","",N(I159)+N(J159)-N(K159))</f>
        <v/>
      </c>
      <c r="M159" s="39" t="n"/>
      <c r="N159" s="27">
        <f>IF(E159="","",IF(TODAY()&lt;E159,"Upcoming",IF(TODAY()&lt;F159,"Staying now",IF(M159="Yes","Checked out","Payout not received"))))</f>
        <v/>
      </c>
      <c r="O159" s="35" t="n"/>
      <c r="P159" s="1" t="n"/>
      <c r="Q159">
        <f>IF(N(G159)&gt;0,L159/G159,0)</f>
        <v/>
      </c>
      <c r="R159">
        <f>IF(N(G159)&gt;0,N(I159)/G159,0)</f>
        <v/>
      </c>
      <c r="S159">
        <f>IF(OR($E159="",$F159=""),0,MAX(0,MIN($F159,DATE(Dashboard!$C$4,2,1))-MAX($E159,DATE(Dashboard!$C$4,1,1))))</f>
        <v/>
      </c>
      <c r="T159">
        <f>IF(OR($E159="",$F159=""),0,MAX(0,MIN($F159,DATE(Dashboard!$C$4,3,1))-MAX($E159,DATE(Dashboard!$C$4,2,1))))</f>
        <v/>
      </c>
      <c r="U159">
        <f>IF(OR($E159="",$F159=""),0,MAX(0,MIN($F159,DATE(Dashboard!$C$4,4,1))-MAX($E159,DATE(Dashboard!$C$4,3,1))))</f>
        <v/>
      </c>
      <c r="V159">
        <f>IF(OR($E159="",$F159=""),0,MAX(0,MIN($F159,DATE(Dashboard!$C$4,5,1))-MAX($E159,DATE(Dashboard!$C$4,4,1))))</f>
        <v/>
      </c>
      <c r="W159">
        <f>IF(OR($E159="",$F159=""),0,MAX(0,MIN($F159,DATE(Dashboard!$C$4,6,1))-MAX($E159,DATE(Dashboard!$C$4,5,1))))</f>
        <v/>
      </c>
      <c r="X159">
        <f>IF(OR($E159="",$F159=""),0,MAX(0,MIN($F159,DATE(Dashboard!$C$4,7,1))-MAX($E159,DATE(Dashboard!$C$4,6,1))))</f>
        <v/>
      </c>
      <c r="Y159">
        <f>IF(OR($E159="",$F159=""),0,MAX(0,MIN($F159,DATE(Dashboard!$C$4,8,1))-MAX($E159,DATE(Dashboard!$C$4,7,1))))</f>
        <v/>
      </c>
      <c r="Z159">
        <f>IF(OR($E159="",$F159=""),0,MAX(0,MIN($F159,DATE(Dashboard!$C$4,9,1))-MAX($E159,DATE(Dashboard!$C$4,8,1))))</f>
        <v/>
      </c>
      <c r="AA159">
        <f>IF(OR($E159="",$F159=""),0,MAX(0,MIN($F159,DATE(Dashboard!$C$4,10,1))-MAX($E159,DATE(Dashboard!$C$4,9,1))))</f>
        <v/>
      </c>
      <c r="AB159">
        <f>IF(OR($E159="",$F159=""),0,MAX(0,MIN($F159,DATE(Dashboard!$C$4,11,1))-MAX($E159,DATE(Dashboard!$C$4,10,1))))</f>
        <v/>
      </c>
      <c r="AC159">
        <f>IF(OR($E159="",$F159=""),0,MAX(0,MIN($F159,DATE(Dashboard!$C$4,12,1))-MAX($E159,DATE(Dashboard!$C$4,11,1))))</f>
        <v/>
      </c>
      <c r="AD159">
        <f>IF(OR($E159="",$F159=""),0,MAX(0,MIN($F159,DATE(Dashboard!$C$4,13,1))-MAX($E159,DATE(Dashboard!$C$4,12,1))))</f>
        <v/>
      </c>
      <c r="AE159">
        <f>SUM(S159:AD159)</f>
        <v/>
      </c>
      <c r="AF159">
        <f>Q159*AE159</f>
        <v/>
      </c>
      <c r="AG159">
        <f>R159*AE159</f>
        <v/>
      </c>
      <c r="AH159">
        <f>SUMPRODUCT(S159:AD159,--(COLUMN(S159:AD159)-COLUMN(S159)+1&lt;=Dashboard!$N$1))</f>
        <v/>
      </c>
      <c r="AI159">
        <f>IF(OR(E159="",E159&lt;TODAY()),"",E159+ROW()/100000)</f>
        <v/>
      </c>
      <c r="AJ159">
        <f>IF(OR(F159="",F159&lt;TODAY()),"",F159+ROW()/100000)</f>
        <v/>
      </c>
    </row>
    <row r="160">
      <c r="A160" s="1" t="n"/>
      <c r="B160" s="35" t="n"/>
      <c r="C160" s="35" t="n"/>
      <c r="D160" s="35" t="n"/>
      <c r="E160" s="36" t="n"/>
      <c r="F160" s="36" t="n"/>
      <c r="G160" s="18">
        <f>IF(OR(E160="",F160=""),"",F160-E160)</f>
        <v/>
      </c>
      <c r="H160" s="37" t="n"/>
      <c r="I160" s="38" t="n"/>
      <c r="J160" s="38" t="n"/>
      <c r="K160" s="38" t="n"/>
      <c r="L160" s="31">
        <f>IF(E160="","",N(I160)+N(J160)-N(K160))</f>
        <v/>
      </c>
      <c r="M160" s="39" t="n"/>
      <c r="N160" s="27">
        <f>IF(E160="","",IF(TODAY()&lt;E160,"Upcoming",IF(TODAY()&lt;F160,"Staying now",IF(M160="Yes","Checked out","Payout not received"))))</f>
        <v/>
      </c>
      <c r="O160" s="35" t="n"/>
      <c r="P160" s="1" t="n"/>
      <c r="Q160">
        <f>IF(N(G160)&gt;0,L160/G160,0)</f>
        <v/>
      </c>
      <c r="R160">
        <f>IF(N(G160)&gt;0,N(I160)/G160,0)</f>
        <v/>
      </c>
      <c r="S160">
        <f>IF(OR($E160="",$F160=""),0,MAX(0,MIN($F160,DATE(Dashboard!$C$4,2,1))-MAX($E160,DATE(Dashboard!$C$4,1,1))))</f>
        <v/>
      </c>
      <c r="T160">
        <f>IF(OR($E160="",$F160=""),0,MAX(0,MIN($F160,DATE(Dashboard!$C$4,3,1))-MAX($E160,DATE(Dashboard!$C$4,2,1))))</f>
        <v/>
      </c>
      <c r="U160">
        <f>IF(OR($E160="",$F160=""),0,MAX(0,MIN($F160,DATE(Dashboard!$C$4,4,1))-MAX($E160,DATE(Dashboard!$C$4,3,1))))</f>
        <v/>
      </c>
      <c r="V160">
        <f>IF(OR($E160="",$F160=""),0,MAX(0,MIN($F160,DATE(Dashboard!$C$4,5,1))-MAX($E160,DATE(Dashboard!$C$4,4,1))))</f>
        <v/>
      </c>
      <c r="W160">
        <f>IF(OR($E160="",$F160=""),0,MAX(0,MIN($F160,DATE(Dashboard!$C$4,6,1))-MAX($E160,DATE(Dashboard!$C$4,5,1))))</f>
        <v/>
      </c>
      <c r="X160">
        <f>IF(OR($E160="",$F160=""),0,MAX(0,MIN($F160,DATE(Dashboard!$C$4,7,1))-MAX($E160,DATE(Dashboard!$C$4,6,1))))</f>
        <v/>
      </c>
      <c r="Y160">
        <f>IF(OR($E160="",$F160=""),0,MAX(0,MIN($F160,DATE(Dashboard!$C$4,8,1))-MAX($E160,DATE(Dashboard!$C$4,7,1))))</f>
        <v/>
      </c>
      <c r="Z160">
        <f>IF(OR($E160="",$F160=""),0,MAX(0,MIN($F160,DATE(Dashboard!$C$4,9,1))-MAX($E160,DATE(Dashboard!$C$4,8,1))))</f>
        <v/>
      </c>
      <c r="AA160">
        <f>IF(OR($E160="",$F160=""),0,MAX(0,MIN($F160,DATE(Dashboard!$C$4,10,1))-MAX($E160,DATE(Dashboard!$C$4,9,1))))</f>
        <v/>
      </c>
      <c r="AB160">
        <f>IF(OR($E160="",$F160=""),0,MAX(0,MIN($F160,DATE(Dashboard!$C$4,11,1))-MAX($E160,DATE(Dashboard!$C$4,10,1))))</f>
        <v/>
      </c>
      <c r="AC160">
        <f>IF(OR($E160="",$F160=""),0,MAX(0,MIN($F160,DATE(Dashboard!$C$4,12,1))-MAX($E160,DATE(Dashboard!$C$4,11,1))))</f>
        <v/>
      </c>
      <c r="AD160">
        <f>IF(OR($E160="",$F160=""),0,MAX(0,MIN($F160,DATE(Dashboard!$C$4,13,1))-MAX($E160,DATE(Dashboard!$C$4,12,1))))</f>
        <v/>
      </c>
      <c r="AE160">
        <f>SUM(S160:AD160)</f>
        <v/>
      </c>
      <c r="AF160">
        <f>Q160*AE160</f>
        <v/>
      </c>
      <c r="AG160">
        <f>R160*AE160</f>
        <v/>
      </c>
      <c r="AH160">
        <f>SUMPRODUCT(S160:AD160,--(COLUMN(S160:AD160)-COLUMN(S160)+1&lt;=Dashboard!$N$1))</f>
        <v/>
      </c>
      <c r="AI160">
        <f>IF(OR(E160="",E160&lt;TODAY()),"",E160+ROW()/100000)</f>
        <v/>
      </c>
      <c r="AJ160">
        <f>IF(OR(F160="",F160&lt;TODAY()),"",F160+ROW()/100000)</f>
        <v/>
      </c>
    </row>
    <row r="161">
      <c r="A161" s="1" t="n"/>
      <c r="B161" s="35" t="n"/>
      <c r="C161" s="35" t="n"/>
      <c r="D161" s="35" t="n"/>
      <c r="E161" s="36" t="n"/>
      <c r="F161" s="36" t="n"/>
      <c r="G161" s="18">
        <f>IF(OR(E161="",F161=""),"",F161-E161)</f>
        <v/>
      </c>
      <c r="H161" s="37" t="n"/>
      <c r="I161" s="38" t="n"/>
      <c r="J161" s="38" t="n"/>
      <c r="K161" s="38" t="n"/>
      <c r="L161" s="31">
        <f>IF(E161="","",N(I161)+N(J161)-N(K161))</f>
        <v/>
      </c>
      <c r="M161" s="39" t="n"/>
      <c r="N161" s="27">
        <f>IF(E161="","",IF(TODAY()&lt;E161,"Upcoming",IF(TODAY()&lt;F161,"Staying now",IF(M161="Yes","Checked out","Payout not received"))))</f>
        <v/>
      </c>
      <c r="O161" s="35" t="n"/>
      <c r="P161" s="1" t="n"/>
      <c r="Q161">
        <f>IF(N(G161)&gt;0,L161/G161,0)</f>
        <v/>
      </c>
      <c r="R161">
        <f>IF(N(G161)&gt;0,N(I161)/G161,0)</f>
        <v/>
      </c>
      <c r="S161">
        <f>IF(OR($E161="",$F161=""),0,MAX(0,MIN($F161,DATE(Dashboard!$C$4,2,1))-MAX($E161,DATE(Dashboard!$C$4,1,1))))</f>
        <v/>
      </c>
      <c r="T161">
        <f>IF(OR($E161="",$F161=""),0,MAX(0,MIN($F161,DATE(Dashboard!$C$4,3,1))-MAX($E161,DATE(Dashboard!$C$4,2,1))))</f>
        <v/>
      </c>
      <c r="U161">
        <f>IF(OR($E161="",$F161=""),0,MAX(0,MIN($F161,DATE(Dashboard!$C$4,4,1))-MAX($E161,DATE(Dashboard!$C$4,3,1))))</f>
        <v/>
      </c>
      <c r="V161">
        <f>IF(OR($E161="",$F161=""),0,MAX(0,MIN($F161,DATE(Dashboard!$C$4,5,1))-MAX($E161,DATE(Dashboard!$C$4,4,1))))</f>
        <v/>
      </c>
      <c r="W161">
        <f>IF(OR($E161="",$F161=""),0,MAX(0,MIN($F161,DATE(Dashboard!$C$4,6,1))-MAX($E161,DATE(Dashboard!$C$4,5,1))))</f>
        <v/>
      </c>
      <c r="X161">
        <f>IF(OR($E161="",$F161=""),0,MAX(0,MIN($F161,DATE(Dashboard!$C$4,7,1))-MAX($E161,DATE(Dashboard!$C$4,6,1))))</f>
        <v/>
      </c>
      <c r="Y161">
        <f>IF(OR($E161="",$F161=""),0,MAX(0,MIN($F161,DATE(Dashboard!$C$4,8,1))-MAX($E161,DATE(Dashboard!$C$4,7,1))))</f>
        <v/>
      </c>
      <c r="Z161">
        <f>IF(OR($E161="",$F161=""),0,MAX(0,MIN($F161,DATE(Dashboard!$C$4,9,1))-MAX($E161,DATE(Dashboard!$C$4,8,1))))</f>
        <v/>
      </c>
      <c r="AA161">
        <f>IF(OR($E161="",$F161=""),0,MAX(0,MIN($F161,DATE(Dashboard!$C$4,10,1))-MAX($E161,DATE(Dashboard!$C$4,9,1))))</f>
        <v/>
      </c>
      <c r="AB161">
        <f>IF(OR($E161="",$F161=""),0,MAX(0,MIN($F161,DATE(Dashboard!$C$4,11,1))-MAX($E161,DATE(Dashboard!$C$4,10,1))))</f>
        <v/>
      </c>
      <c r="AC161">
        <f>IF(OR($E161="",$F161=""),0,MAX(0,MIN($F161,DATE(Dashboard!$C$4,12,1))-MAX($E161,DATE(Dashboard!$C$4,11,1))))</f>
        <v/>
      </c>
      <c r="AD161">
        <f>IF(OR($E161="",$F161=""),0,MAX(0,MIN($F161,DATE(Dashboard!$C$4,13,1))-MAX($E161,DATE(Dashboard!$C$4,12,1))))</f>
        <v/>
      </c>
      <c r="AE161">
        <f>SUM(S161:AD161)</f>
        <v/>
      </c>
      <c r="AF161">
        <f>Q161*AE161</f>
        <v/>
      </c>
      <c r="AG161">
        <f>R161*AE161</f>
        <v/>
      </c>
      <c r="AH161">
        <f>SUMPRODUCT(S161:AD161,--(COLUMN(S161:AD161)-COLUMN(S161)+1&lt;=Dashboard!$N$1))</f>
        <v/>
      </c>
      <c r="AI161">
        <f>IF(OR(E161="",E161&lt;TODAY()),"",E161+ROW()/100000)</f>
        <v/>
      </c>
      <c r="AJ161">
        <f>IF(OR(F161="",F161&lt;TODAY()),"",F161+ROW()/100000)</f>
        <v/>
      </c>
    </row>
    <row r="162">
      <c r="A162" s="1" t="n"/>
      <c r="B162" s="35" t="n"/>
      <c r="C162" s="35" t="n"/>
      <c r="D162" s="35" t="n"/>
      <c r="E162" s="36" t="n"/>
      <c r="F162" s="36" t="n"/>
      <c r="G162" s="18">
        <f>IF(OR(E162="",F162=""),"",F162-E162)</f>
        <v/>
      </c>
      <c r="H162" s="37" t="n"/>
      <c r="I162" s="38" t="n"/>
      <c r="J162" s="38" t="n"/>
      <c r="K162" s="38" t="n"/>
      <c r="L162" s="31">
        <f>IF(E162="","",N(I162)+N(J162)-N(K162))</f>
        <v/>
      </c>
      <c r="M162" s="39" t="n"/>
      <c r="N162" s="27">
        <f>IF(E162="","",IF(TODAY()&lt;E162,"Upcoming",IF(TODAY()&lt;F162,"Staying now",IF(M162="Yes","Checked out","Payout not received"))))</f>
        <v/>
      </c>
      <c r="O162" s="35" t="n"/>
      <c r="P162" s="1" t="n"/>
      <c r="Q162">
        <f>IF(N(G162)&gt;0,L162/G162,0)</f>
        <v/>
      </c>
      <c r="R162">
        <f>IF(N(G162)&gt;0,N(I162)/G162,0)</f>
        <v/>
      </c>
      <c r="S162">
        <f>IF(OR($E162="",$F162=""),0,MAX(0,MIN($F162,DATE(Dashboard!$C$4,2,1))-MAX($E162,DATE(Dashboard!$C$4,1,1))))</f>
        <v/>
      </c>
      <c r="T162">
        <f>IF(OR($E162="",$F162=""),0,MAX(0,MIN($F162,DATE(Dashboard!$C$4,3,1))-MAX($E162,DATE(Dashboard!$C$4,2,1))))</f>
        <v/>
      </c>
      <c r="U162">
        <f>IF(OR($E162="",$F162=""),0,MAX(0,MIN($F162,DATE(Dashboard!$C$4,4,1))-MAX($E162,DATE(Dashboard!$C$4,3,1))))</f>
        <v/>
      </c>
      <c r="V162">
        <f>IF(OR($E162="",$F162=""),0,MAX(0,MIN($F162,DATE(Dashboard!$C$4,5,1))-MAX($E162,DATE(Dashboard!$C$4,4,1))))</f>
        <v/>
      </c>
      <c r="W162">
        <f>IF(OR($E162="",$F162=""),0,MAX(0,MIN($F162,DATE(Dashboard!$C$4,6,1))-MAX($E162,DATE(Dashboard!$C$4,5,1))))</f>
        <v/>
      </c>
      <c r="X162">
        <f>IF(OR($E162="",$F162=""),0,MAX(0,MIN($F162,DATE(Dashboard!$C$4,7,1))-MAX($E162,DATE(Dashboard!$C$4,6,1))))</f>
        <v/>
      </c>
      <c r="Y162">
        <f>IF(OR($E162="",$F162=""),0,MAX(0,MIN($F162,DATE(Dashboard!$C$4,8,1))-MAX($E162,DATE(Dashboard!$C$4,7,1))))</f>
        <v/>
      </c>
      <c r="Z162">
        <f>IF(OR($E162="",$F162=""),0,MAX(0,MIN($F162,DATE(Dashboard!$C$4,9,1))-MAX($E162,DATE(Dashboard!$C$4,8,1))))</f>
        <v/>
      </c>
      <c r="AA162">
        <f>IF(OR($E162="",$F162=""),0,MAX(0,MIN($F162,DATE(Dashboard!$C$4,10,1))-MAX($E162,DATE(Dashboard!$C$4,9,1))))</f>
        <v/>
      </c>
      <c r="AB162">
        <f>IF(OR($E162="",$F162=""),0,MAX(0,MIN($F162,DATE(Dashboard!$C$4,11,1))-MAX($E162,DATE(Dashboard!$C$4,10,1))))</f>
        <v/>
      </c>
      <c r="AC162">
        <f>IF(OR($E162="",$F162=""),0,MAX(0,MIN($F162,DATE(Dashboard!$C$4,12,1))-MAX($E162,DATE(Dashboard!$C$4,11,1))))</f>
        <v/>
      </c>
      <c r="AD162">
        <f>IF(OR($E162="",$F162=""),0,MAX(0,MIN($F162,DATE(Dashboard!$C$4,13,1))-MAX($E162,DATE(Dashboard!$C$4,12,1))))</f>
        <v/>
      </c>
      <c r="AE162">
        <f>SUM(S162:AD162)</f>
        <v/>
      </c>
      <c r="AF162">
        <f>Q162*AE162</f>
        <v/>
      </c>
      <c r="AG162">
        <f>R162*AE162</f>
        <v/>
      </c>
      <c r="AH162">
        <f>SUMPRODUCT(S162:AD162,--(COLUMN(S162:AD162)-COLUMN(S162)+1&lt;=Dashboard!$N$1))</f>
        <v/>
      </c>
      <c r="AI162">
        <f>IF(OR(E162="",E162&lt;TODAY()),"",E162+ROW()/100000)</f>
        <v/>
      </c>
      <c r="AJ162">
        <f>IF(OR(F162="",F162&lt;TODAY()),"",F162+ROW()/100000)</f>
        <v/>
      </c>
    </row>
    <row r="163">
      <c r="A163" s="1" t="n"/>
      <c r="B163" s="35" t="n"/>
      <c r="C163" s="35" t="n"/>
      <c r="D163" s="35" t="n"/>
      <c r="E163" s="36" t="n"/>
      <c r="F163" s="36" t="n"/>
      <c r="G163" s="18">
        <f>IF(OR(E163="",F163=""),"",F163-E163)</f>
        <v/>
      </c>
      <c r="H163" s="37" t="n"/>
      <c r="I163" s="38" t="n"/>
      <c r="J163" s="38" t="n"/>
      <c r="K163" s="38" t="n"/>
      <c r="L163" s="31">
        <f>IF(E163="","",N(I163)+N(J163)-N(K163))</f>
        <v/>
      </c>
      <c r="M163" s="39" t="n"/>
      <c r="N163" s="27">
        <f>IF(E163="","",IF(TODAY()&lt;E163,"Upcoming",IF(TODAY()&lt;F163,"Staying now",IF(M163="Yes","Checked out","Payout not received"))))</f>
        <v/>
      </c>
      <c r="O163" s="35" t="n"/>
      <c r="P163" s="1" t="n"/>
      <c r="Q163">
        <f>IF(N(G163)&gt;0,L163/G163,0)</f>
        <v/>
      </c>
      <c r="R163">
        <f>IF(N(G163)&gt;0,N(I163)/G163,0)</f>
        <v/>
      </c>
      <c r="S163">
        <f>IF(OR($E163="",$F163=""),0,MAX(0,MIN($F163,DATE(Dashboard!$C$4,2,1))-MAX($E163,DATE(Dashboard!$C$4,1,1))))</f>
        <v/>
      </c>
      <c r="T163">
        <f>IF(OR($E163="",$F163=""),0,MAX(0,MIN($F163,DATE(Dashboard!$C$4,3,1))-MAX($E163,DATE(Dashboard!$C$4,2,1))))</f>
        <v/>
      </c>
      <c r="U163">
        <f>IF(OR($E163="",$F163=""),0,MAX(0,MIN($F163,DATE(Dashboard!$C$4,4,1))-MAX($E163,DATE(Dashboard!$C$4,3,1))))</f>
        <v/>
      </c>
      <c r="V163">
        <f>IF(OR($E163="",$F163=""),0,MAX(0,MIN($F163,DATE(Dashboard!$C$4,5,1))-MAX($E163,DATE(Dashboard!$C$4,4,1))))</f>
        <v/>
      </c>
      <c r="W163">
        <f>IF(OR($E163="",$F163=""),0,MAX(0,MIN($F163,DATE(Dashboard!$C$4,6,1))-MAX($E163,DATE(Dashboard!$C$4,5,1))))</f>
        <v/>
      </c>
      <c r="X163">
        <f>IF(OR($E163="",$F163=""),0,MAX(0,MIN($F163,DATE(Dashboard!$C$4,7,1))-MAX($E163,DATE(Dashboard!$C$4,6,1))))</f>
        <v/>
      </c>
      <c r="Y163">
        <f>IF(OR($E163="",$F163=""),0,MAX(0,MIN($F163,DATE(Dashboard!$C$4,8,1))-MAX($E163,DATE(Dashboard!$C$4,7,1))))</f>
        <v/>
      </c>
      <c r="Z163">
        <f>IF(OR($E163="",$F163=""),0,MAX(0,MIN($F163,DATE(Dashboard!$C$4,9,1))-MAX($E163,DATE(Dashboard!$C$4,8,1))))</f>
        <v/>
      </c>
      <c r="AA163">
        <f>IF(OR($E163="",$F163=""),0,MAX(0,MIN($F163,DATE(Dashboard!$C$4,10,1))-MAX($E163,DATE(Dashboard!$C$4,9,1))))</f>
        <v/>
      </c>
      <c r="AB163">
        <f>IF(OR($E163="",$F163=""),0,MAX(0,MIN($F163,DATE(Dashboard!$C$4,11,1))-MAX($E163,DATE(Dashboard!$C$4,10,1))))</f>
        <v/>
      </c>
      <c r="AC163">
        <f>IF(OR($E163="",$F163=""),0,MAX(0,MIN($F163,DATE(Dashboard!$C$4,12,1))-MAX($E163,DATE(Dashboard!$C$4,11,1))))</f>
        <v/>
      </c>
      <c r="AD163">
        <f>IF(OR($E163="",$F163=""),0,MAX(0,MIN($F163,DATE(Dashboard!$C$4,13,1))-MAX($E163,DATE(Dashboard!$C$4,12,1))))</f>
        <v/>
      </c>
      <c r="AE163">
        <f>SUM(S163:AD163)</f>
        <v/>
      </c>
      <c r="AF163">
        <f>Q163*AE163</f>
        <v/>
      </c>
      <c r="AG163">
        <f>R163*AE163</f>
        <v/>
      </c>
      <c r="AH163">
        <f>SUMPRODUCT(S163:AD163,--(COLUMN(S163:AD163)-COLUMN(S163)+1&lt;=Dashboard!$N$1))</f>
        <v/>
      </c>
      <c r="AI163">
        <f>IF(OR(E163="",E163&lt;TODAY()),"",E163+ROW()/100000)</f>
        <v/>
      </c>
      <c r="AJ163">
        <f>IF(OR(F163="",F163&lt;TODAY()),"",F163+ROW()/100000)</f>
        <v/>
      </c>
    </row>
    <row r="164">
      <c r="A164" s="1" t="n"/>
      <c r="B164" s="35" t="n"/>
      <c r="C164" s="35" t="n"/>
      <c r="D164" s="35" t="n"/>
      <c r="E164" s="36" t="n"/>
      <c r="F164" s="36" t="n"/>
      <c r="G164" s="18">
        <f>IF(OR(E164="",F164=""),"",F164-E164)</f>
        <v/>
      </c>
      <c r="H164" s="37" t="n"/>
      <c r="I164" s="38" t="n"/>
      <c r="J164" s="38" t="n"/>
      <c r="K164" s="38" t="n"/>
      <c r="L164" s="31">
        <f>IF(E164="","",N(I164)+N(J164)-N(K164))</f>
        <v/>
      </c>
      <c r="M164" s="39" t="n"/>
      <c r="N164" s="27">
        <f>IF(E164="","",IF(TODAY()&lt;E164,"Upcoming",IF(TODAY()&lt;F164,"Staying now",IF(M164="Yes","Checked out","Payout not received"))))</f>
        <v/>
      </c>
      <c r="O164" s="35" t="n"/>
      <c r="P164" s="1" t="n"/>
      <c r="Q164">
        <f>IF(N(G164)&gt;0,L164/G164,0)</f>
        <v/>
      </c>
      <c r="R164">
        <f>IF(N(G164)&gt;0,N(I164)/G164,0)</f>
        <v/>
      </c>
      <c r="S164">
        <f>IF(OR($E164="",$F164=""),0,MAX(0,MIN($F164,DATE(Dashboard!$C$4,2,1))-MAX($E164,DATE(Dashboard!$C$4,1,1))))</f>
        <v/>
      </c>
      <c r="T164">
        <f>IF(OR($E164="",$F164=""),0,MAX(0,MIN($F164,DATE(Dashboard!$C$4,3,1))-MAX($E164,DATE(Dashboard!$C$4,2,1))))</f>
        <v/>
      </c>
      <c r="U164">
        <f>IF(OR($E164="",$F164=""),0,MAX(0,MIN($F164,DATE(Dashboard!$C$4,4,1))-MAX($E164,DATE(Dashboard!$C$4,3,1))))</f>
        <v/>
      </c>
      <c r="V164">
        <f>IF(OR($E164="",$F164=""),0,MAX(0,MIN($F164,DATE(Dashboard!$C$4,5,1))-MAX($E164,DATE(Dashboard!$C$4,4,1))))</f>
        <v/>
      </c>
      <c r="W164">
        <f>IF(OR($E164="",$F164=""),0,MAX(0,MIN($F164,DATE(Dashboard!$C$4,6,1))-MAX($E164,DATE(Dashboard!$C$4,5,1))))</f>
        <v/>
      </c>
      <c r="X164">
        <f>IF(OR($E164="",$F164=""),0,MAX(0,MIN($F164,DATE(Dashboard!$C$4,7,1))-MAX($E164,DATE(Dashboard!$C$4,6,1))))</f>
        <v/>
      </c>
      <c r="Y164">
        <f>IF(OR($E164="",$F164=""),0,MAX(0,MIN($F164,DATE(Dashboard!$C$4,8,1))-MAX($E164,DATE(Dashboard!$C$4,7,1))))</f>
        <v/>
      </c>
      <c r="Z164">
        <f>IF(OR($E164="",$F164=""),0,MAX(0,MIN($F164,DATE(Dashboard!$C$4,9,1))-MAX($E164,DATE(Dashboard!$C$4,8,1))))</f>
        <v/>
      </c>
      <c r="AA164">
        <f>IF(OR($E164="",$F164=""),0,MAX(0,MIN($F164,DATE(Dashboard!$C$4,10,1))-MAX($E164,DATE(Dashboard!$C$4,9,1))))</f>
        <v/>
      </c>
      <c r="AB164">
        <f>IF(OR($E164="",$F164=""),0,MAX(0,MIN($F164,DATE(Dashboard!$C$4,11,1))-MAX($E164,DATE(Dashboard!$C$4,10,1))))</f>
        <v/>
      </c>
      <c r="AC164">
        <f>IF(OR($E164="",$F164=""),0,MAX(0,MIN($F164,DATE(Dashboard!$C$4,12,1))-MAX($E164,DATE(Dashboard!$C$4,11,1))))</f>
        <v/>
      </c>
      <c r="AD164">
        <f>IF(OR($E164="",$F164=""),0,MAX(0,MIN($F164,DATE(Dashboard!$C$4,13,1))-MAX($E164,DATE(Dashboard!$C$4,12,1))))</f>
        <v/>
      </c>
      <c r="AE164">
        <f>SUM(S164:AD164)</f>
        <v/>
      </c>
      <c r="AF164">
        <f>Q164*AE164</f>
        <v/>
      </c>
      <c r="AG164">
        <f>R164*AE164</f>
        <v/>
      </c>
      <c r="AH164">
        <f>SUMPRODUCT(S164:AD164,--(COLUMN(S164:AD164)-COLUMN(S164)+1&lt;=Dashboard!$N$1))</f>
        <v/>
      </c>
      <c r="AI164">
        <f>IF(OR(E164="",E164&lt;TODAY()),"",E164+ROW()/100000)</f>
        <v/>
      </c>
      <c r="AJ164">
        <f>IF(OR(F164="",F164&lt;TODAY()),"",F164+ROW()/100000)</f>
        <v/>
      </c>
    </row>
    <row r="165">
      <c r="A165" s="1" t="n"/>
      <c r="B165" s="35" t="n"/>
      <c r="C165" s="35" t="n"/>
      <c r="D165" s="35" t="n"/>
      <c r="E165" s="36" t="n"/>
      <c r="F165" s="36" t="n"/>
      <c r="G165" s="18">
        <f>IF(OR(E165="",F165=""),"",F165-E165)</f>
        <v/>
      </c>
      <c r="H165" s="37" t="n"/>
      <c r="I165" s="38" t="n"/>
      <c r="J165" s="38" t="n"/>
      <c r="K165" s="38" t="n"/>
      <c r="L165" s="31">
        <f>IF(E165="","",N(I165)+N(J165)-N(K165))</f>
        <v/>
      </c>
      <c r="M165" s="39" t="n"/>
      <c r="N165" s="27">
        <f>IF(E165="","",IF(TODAY()&lt;E165,"Upcoming",IF(TODAY()&lt;F165,"Staying now",IF(M165="Yes","Checked out","Payout not received"))))</f>
        <v/>
      </c>
      <c r="O165" s="35" t="n"/>
      <c r="P165" s="1" t="n"/>
      <c r="Q165">
        <f>IF(N(G165)&gt;0,L165/G165,0)</f>
        <v/>
      </c>
      <c r="R165">
        <f>IF(N(G165)&gt;0,N(I165)/G165,0)</f>
        <v/>
      </c>
      <c r="S165">
        <f>IF(OR($E165="",$F165=""),0,MAX(0,MIN($F165,DATE(Dashboard!$C$4,2,1))-MAX($E165,DATE(Dashboard!$C$4,1,1))))</f>
        <v/>
      </c>
      <c r="T165">
        <f>IF(OR($E165="",$F165=""),0,MAX(0,MIN($F165,DATE(Dashboard!$C$4,3,1))-MAX($E165,DATE(Dashboard!$C$4,2,1))))</f>
        <v/>
      </c>
      <c r="U165">
        <f>IF(OR($E165="",$F165=""),0,MAX(0,MIN($F165,DATE(Dashboard!$C$4,4,1))-MAX($E165,DATE(Dashboard!$C$4,3,1))))</f>
        <v/>
      </c>
      <c r="V165">
        <f>IF(OR($E165="",$F165=""),0,MAX(0,MIN($F165,DATE(Dashboard!$C$4,5,1))-MAX($E165,DATE(Dashboard!$C$4,4,1))))</f>
        <v/>
      </c>
      <c r="W165">
        <f>IF(OR($E165="",$F165=""),0,MAX(0,MIN($F165,DATE(Dashboard!$C$4,6,1))-MAX($E165,DATE(Dashboard!$C$4,5,1))))</f>
        <v/>
      </c>
      <c r="X165">
        <f>IF(OR($E165="",$F165=""),0,MAX(0,MIN($F165,DATE(Dashboard!$C$4,7,1))-MAX($E165,DATE(Dashboard!$C$4,6,1))))</f>
        <v/>
      </c>
      <c r="Y165">
        <f>IF(OR($E165="",$F165=""),0,MAX(0,MIN($F165,DATE(Dashboard!$C$4,8,1))-MAX($E165,DATE(Dashboard!$C$4,7,1))))</f>
        <v/>
      </c>
      <c r="Z165">
        <f>IF(OR($E165="",$F165=""),0,MAX(0,MIN($F165,DATE(Dashboard!$C$4,9,1))-MAX($E165,DATE(Dashboard!$C$4,8,1))))</f>
        <v/>
      </c>
      <c r="AA165">
        <f>IF(OR($E165="",$F165=""),0,MAX(0,MIN($F165,DATE(Dashboard!$C$4,10,1))-MAX($E165,DATE(Dashboard!$C$4,9,1))))</f>
        <v/>
      </c>
      <c r="AB165">
        <f>IF(OR($E165="",$F165=""),0,MAX(0,MIN($F165,DATE(Dashboard!$C$4,11,1))-MAX($E165,DATE(Dashboard!$C$4,10,1))))</f>
        <v/>
      </c>
      <c r="AC165">
        <f>IF(OR($E165="",$F165=""),0,MAX(0,MIN($F165,DATE(Dashboard!$C$4,12,1))-MAX($E165,DATE(Dashboard!$C$4,11,1))))</f>
        <v/>
      </c>
      <c r="AD165">
        <f>IF(OR($E165="",$F165=""),0,MAX(0,MIN($F165,DATE(Dashboard!$C$4,13,1))-MAX($E165,DATE(Dashboard!$C$4,12,1))))</f>
        <v/>
      </c>
      <c r="AE165">
        <f>SUM(S165:AD165)</f>
        <v/>
      </c>
      <c r="AF165">
        <f>Q165*AE165</f>
        <v/>
      </c>
      <c r="AG165">
        <f>R165*AE165</f>
        <v/>
      </c>
      <c r="AH165">
        <f>SUMPRODUCT(S165:AD165,--(COLUMN(S165:AD165)-COLUMN(S165)+1&lt;=Dashboard!$N$1))</f>
        <v/>
      </c>
      <c r="AI165">
        <f>IF(OR(E165="",E165&lt;TODAY()),"",E165+ROW()/100000)</f>
        <v/>
      </c>
      <c r="AJ165">
        <f>IF(OR(F165="",F165&lt;TODAY()),"",F165+ROW()/100000)</f>
        <v/>
      </c>
    </row>
    <row r="166">
      <c r="A166" s="1" t="n"/>
      <c r="B166" s="35" t="n"/>
      <c r="C166" s="35" t="n"/>
      <c r="D166" s="35" t="n"/>
      <c r="E166" s="36" t="n"/>
      <c r="F166" s="36" t="n"/>
      <c r="G166" s="18">
        <f>IF(OR(E166="",F166=""),"",F166-E166)</f>
        <v/>
      </c>
      <c r="H166" s="37" t="n"/>
      <c r="I166" s="38" t="n"/>
      <c r="J166" s="38" t="n"/>
      <c r="K166" s="38" t="n"/>
      <c r="L166" s="31">
        <f>IF(E166="","",N(I166)+N(J166)-N(K166))</f>
        <v/>
      </c>
      <c r="M166" s="39" t="n"/>
      <c r="N166" s="27">
        <f>IF(E166="","",IF(TODAY()&lt;E166,"Upcoming",IF(TODAY()&lt;F166,"Staying now",IF(M166="Yes","Checked out","Payout not received"))))</f>
        <v/>
      </c>
      <c r="O166" s="35" t="n"/>
      <c r="P166" s="1" t="n"/>
      <c r="Q166">
        <f>IF(N(G166)&gt;0,L166/G166,0)</f>
        <v/>
      </c>
      <c r="R166">
        <f>IF(N(G166)&gt;0,N(I166)/G166,0)</f>
        <v/>
      </c>
      <c r="S166">
        <f>IF(OR($E166="",$F166=""),0,MAX(0,MIN($F166,DATE(Dashboard!$C$4,2,1))-MAX($E166,DATE(Dashboard!$C$4,1,1))))</f>
        <v/>
      </c>
      <c r="T166">
        <f>IF(OR($E166="",$F166=""),0,MAX(0,MIN($F166,DATE(Dashboard!$C$4,3,1))-MAX($E166,DATE(Dashboard!$C$4,2,1))))</f>
        <v/>
      </c>
      <c r="U166">
        <f>IF(OR($E166="",$F166=""),0,MAX(0,MIN($F166,DATE(Dashboard!$C$4,4,1))-MAX($E166,DATE(Dashboard!$C$4,3,1))))</f>
        <v/>
      </c>
      <c r="V166">
        <f>IF(OR($E166="",$F166=""),0,MAX(0,MIN($F166,DATE(Dashboard!$C$4,5,1))-MAX($E166,DATE(Dashboard!$C$4,4,1))))</f>
        <v/>
      </c>
      <c r="W166">
        <f>IF(OR($E166="",$F166=""),0,MAX(0,MIN($F166,DATE(Dashboard!$C$4,6,1))-MAX($E166,DATE(Dashboard!$C$4,5,1))))</f>
        <v/>
      </c>
      <c r="X166">
        <f>IF(OR($E166="",$F166=""),0,MAX(0,MIN($F166,DATE(Dashboard!$C$4,7,1))-MAX($E166,DATE(Dashboard!$C$4,6,1))))</f>
        <v/>
      </c>
      <c r="Y166">
        <f>IF(OR($E166="",$F166=""),0,MAX(0,MIN($F166,DATE(Dashboard!$C$4,8,1))-MAX($E166,DATE(Dashboard!$C$4,7,1))))</f>
        <v/>
      </c>
      <c r="Z166">
        <f>IF(OR($E166="",$F166=""),0,MAX(0,MIN($F166,DATE(Dashboard!$C$4,9,1))-MAX($E166,DATE(Dashboard!$C$4,8,1))))</f>
        <v/>
      </c>
      <c r="AA166">
        <f>IF(OR($E166="",$F166=""),0,MAX(0,MIN($F166,DATE(Dashboard!$C$4,10,1))-MAX($E166,DATE(Dashboard!$C$4,9,1))))</f>
        <v/>
      </c>
      <c r="AB166">
        <f>IF(OR($E166="",$F166=""),0,MAX(0,MIN($F166,DATE(Dashboard!$C$4,11,1))-MAX($E166,DATE(Dashboard!$C$4,10,1))))</f>
        <v/>
      </c>
      <c r="AC166">
        <f>IF(OR($E166="",$F166=""),0,MAX(0,MIN($F166,DATE(Dashboard!$C$4,12,1))-MAX($E166,DATE(Dashboard!$C$4,11,1))))</f>
        <v/>
      </c>
      <c r="AD166">
        <f>IF(OR($E166="",$F166=""),0,MAX(0,MIN($F166,DATE(Dashboard!$C$4,13,1))-MAX($E166,DATE(Dashboard!$C$4,12,1))))</f>
        <v/>
      </c>
      <c r="AE166">
        <f>SUM(S166:AD166)</f>
        <v/>
      </c>
      <c r="AF166">
        <f>Q166*AE166</f>
        <v/>
      </c>
      <c r="AG166">
        <f>R166*AE166</f>
        <v/>
      </c>
      <c r="AH166">
        <f>SUMPRODUCT(S166:AD166,--(COLUMN(S166:AD166)-COLUMN(S166)+1&lt;=Dashboard!$N$1))</f>
        <v/>
      </c>
      <c r="AI166">
        <f>IF(OR(E166="",E166&lt;TODAY()),"",E166+ROW()/100000)</f>
        <v/>
      </c>
      <c r="AJ166">
        <f>IF(OR(F166="",F166&lt;TODAY()),"",F166+ROW()/100000)</f>
        <v/>
      </c>
    </row>
    <row r="167">
      <c r="A167" s="1" t="n"/>
      <c r="B167" s="35" t="n"/>
      <c r="C167" s="35" t="n"/>
      <c r="D167" s="35" t="n"/>
      <c r="E167" s="36" t="n"/>
      <c r="F167" s="36" t="n"/>
      <c r="G167" s="18">
        <f>IF(OR(E167="",F167=""),"",F167-E167)</f>
        <v/>
      </c>
      <c r="H167" s="37" t="n"/>
      <c r="I167" s="38" t="n"/>
      <c r="J167" s="38" t="n"/>
      <c r="K167" s="38" t="n"/>
      <c r="L167" s="31">
        <f>IF(E167="","",N(I167)+N(J167)-N(K167))</f>
        <v/>
      </c>
      <c r="M167" s="39" t="n"/>
      <c r="N167" s="27">
        <f>IF(E167="","",IF(TODAY()&lt;E167,"Upcoming",IF(TODAY()&lt;F167,"Staying now",IF(M167="Yes","Checked out","Payout not received"))))</f>
        <v/>
      </c>
      <c r="O167" s="35" t="n"/>
      <c r="P167" s="1" t="n"/>
      <c r="Q167">
        <f>IF(N(G167)&gt;0,L167/G167,0)</f>
        <v/>
      </c>
      <c r="R167">
        <f>IF(N(G167)&gt;0,N(I167)/G167,0)</f>
        <v/>
      </c>
      <c r="S167">
        <f>IF(OR($E167="",$F167=""),0,MAX(0,MIN($F167,DATE(Dashboard!$C$4,2,1))-MAX($E167,DATE(Dashboard!$C$4,1,1))))</f>
        <v/>
      </c>
      <c r="T167">
        <f>IF(OR($E167="",$F167=""),0,MAX(0,MIN($F167,DATE(Dashboard!$C$4,3,1))-MAX($E167,DATE(Dashboard!$C$4,2,1))))</f>
        <v/>
      </c>
      <c r="U167">
        <f>IF(OR($E167="",$F167=""),0,MAX(0,MIN($F167,DATE(Dashboard!$C$4,4,1))-MAX($E167,DATE(Dashboard!$C$4,3,1))))</f>
        <v/>
      </c>
      <c r="V167">
        <f>IF(OR($E167="",$F167=""),0,MAX(0,MIN($F167,DATE(Dashboard!$C$4,5,1))-MAX($E167,DATE(Dashboard!$C$4,4,1))))</f>
        <v/>
      </c>
      <c r="W167">
        <f>IF(OR($E167="",$F167=""),0,MAX(0,MIN($F167,DATE(Dashboard!$C$4,6,1))-MAX($E167,DATE(Dashboard!$C$4,5,1))))</f>
        <v/>
      </c>
      <c r="X167">
        <f>IF(OR($E167="",$F167=""),0,MAX(0,MIN($F167,DATE(Dashboard!$C$4,7,1))-MAX($E167,DATE(Dashboard!$C$4,6,1))))</f>
        <v/>
      </c>
      <c r="Y167">
        <f>IF(OR($E167="",$F167=""),0,MAX(0,MIN($F167,DATE(Dashboard!$C$4,8,1))-MAX($E167,DATE(Dashboard!$C$4,7,1))))</f>
        <v/>
      </c>
      <c r="Z167">
        <f>IF(OR($E167="",$F167=""),0,MAX(0,MIN($F167,DATE(Dashboard!$C$4,9,1))-MAX($E167,DATE(Dashboard!$C$4,8,1))))</f>
        <v/>
      </c>
      <c r="AA167">
        <f>IF(OR($E167="",$F167=""),0,MAX(0,MIN($F167,DATE(Dashboard!$C$4,10,1))-MAX($E167,DATE(Dashboard!$C$4,9,1))))</f>
        <v/>
      </c>
      <c r="AB167">
        <f>IF(OR($E167="",$F167=""),0,MAX(0,MIN($F167,DATE(Dashboard!$C$4,11,1))-MAX($E167,DATE(Dashboard!$C$4,10,1))))</f>
        <v/>
      </c>
      <c r="AC167">
        <f>IF(OR($E167="",$F167=""),0,MAX(0,MIN($F167,DATE(Dashboard!$C$4,12,1))-MAX($E167,DATE(Dashboard!$C$4,11,1))))</f>
        <v/>
      </c>
      <c r="AD167">
        <f>IF(OR($E167="",$F167=""),0,MAX(0,MIN($F167,DATE(Dashboard!$C$4,13,1))-MAX($E167,DATE(Dashboard!$C$4,12,1))))</f>
        <v/>
      </c>
      <c r="AE167">
        <f>SUM(S167:AD167)</f>
        <v/>
      </c>
      <c r="AF167">
        <f>Q167*AE167</f>
        <v/>
      </c>
      <c r="AG167">
        <f>R167*AE167</f>
        <v/>
      </c>
      <c r="AH167">
        <f>SUMPRODUCT(S167:AD167,--(COLUMN(S167:AD167)-COLUMN(S167)+1&lt;=Dashboard!$N$1))</f>
        <v/>
      </c>
      <c r="AI167">
        <f>IF(OR(E167="",E167&lt;TODAY()),"",E167+ROW()/100000)</f>
        <v/>
      </c>
      <c r="AJ167">
        <f>IF(OR(F167="",F167&lt;TODAY()),"",F167+ROW()/100000)</f>
        <v/>
      </c>
    </row>
    <row r="168">
      <c r="A168" s="1" t="n"/>
      <c r="B168" s="35" t="n"/>
      <c r="C168" s="35" t="n"/>
      <c r="D168" s="35" t="n"/>
      <c r="E168" s="36" t="n"/>
      <c r="F168" s="36" t="n"/>
      <c r="G168" s="18">
        <f>IF(OR(E168="",F168=""),"",F168-E168)</f>
        <v/>
      </c>
      <c r="H168" s="37" t="n"/>
      <c r="I168" s="38" t="n"/>
      <c r="J168" s="38" t="n"/>
      <c r="K168" s="38" t="n"/>
      <c r="L168" s="31">
        <f>IF(E168="","",N(I168)+N(J168)-N(K168))</f>
        <v/>
      </c>
      <c r="M168" s="39" t="n"/>
      <c r="N168" s="27">
        <f>IF(E168="","",IF(TODAY()&lt;E168,"Upcoming",IF(TODAY()&lt;F168,"Staying now",IF(M168="Yes","Checked out","Payout not received"))))</f>
        <v/>
      </c>
      <c r="O168" s="35" t="n"/>
      <c r="P168" s="1" t="n"/>
      <c r="Q168">
        <f>IF(N(G168)&gt;0,L168/G168,0)</f>
        <v/>
      </c>
      <c r="R168">
        <f>IF(N(G168)&gt;0,N(I168)/G168,0)</f>
        <v/>
      </c>
      <c r="S168">
        <f>IF(OR($E168="",$F168=""),0,MAX(0,MIN($F168,DATE(Dashboard!$C$4,2,1))-MAX($E168,DATE(Dashboard!$C$4,1,1))))</f>
        <v/>
      </c>
      <c r="T168">
        <f>IF(OR($E168="",$F168=""),0,MAX(0,MIN($F168,DATE(Dashboard!$C$4,3,1))-MAX($E168,DATE(Dashboard!$C$4,2,1))))</f>
        <v/>
      </c>
      <c r="U168">
        <f>IF(OR($E168="",$F168=""),0,MAX(0,MIN($F168,DATE(Dashboard!$C$4,4,1))-MAX($E168,DATE(Dashboard!$C$4,3,1))))</f>
        <v/>
      </c>
      <c r="V168">
        <f>IF(OR($E168="",$F168=""),0,MAX(0,MIN($F168,DATE(Dashboard!$C$4,5,1))-MAX($E168,DATE(Dashboard!$C$4,4,1))))</f>
        <v/>
      </c>
      <c r="W168">
        <f>IF(OR($E168="",$F168=""),0,MAX(0,MIN($F168,DATE(Dashboard!$C$4,6,1))-MAX($E168,DATE(Dashboard!$C$4,5,1))))</f>
        <v/>
      </c>
      <c r="X168">
        <f>IF(OR($E168="",$F168=""),0,MAX(0,MIN($F168,DATE(Dashboard!$C$4,7,1))-MAX($E168,DATE(Dashboard!$C$4,6,1))))</f>
        <v/>
      </c>
      <c r="Y168">
        <f>IF(OR($E168="",$F168=""),0,MAX(0,MIN($F168,DATE(Dashboard!$C$4,8,1))-MAX($E168,DATE(Dashboard!$C$4,7,1))))</f>
        <v/>
      </c>
      <c r="Z168">
        <f>IF(OR($E168="",$F168=""),0,MAX(0,MIN($F168,DATE(Dashboard!$C$4,9,1))-MAX($E168,DATE(Dashboard!$C$4,8,1))))</f>
        <v/>
      </c>
      <c r="AA168">
        <f>IF(OR($E168="",$F168=""),0,MAX(0,MIN($F168,DATE(Dashboard!$C$4,10,1))-MAX($E168,DATE(Dashboard!$C$4,9,1))))</f>
        <v/>
      </c>
      <c r="AB168">
        <f>IF(OR($E168="",$F168=""),0,MAX(0,MIN($F168,DATE(Dashboard!$C$4,11,1))-MAX($E168,DATE(Dashboard!$C$4,10,1))))</f>
        <v/>
      </c>
      <c r="AC168">
        <f>IF(OR($E168="",$F168=""),0,MAX(0,MIN($F168,DATE(Dashboard!$C$4,12,1))-MAX($E168,DATE(Dashboard!$C$4,11,1))))</f>
        <v/>
      </c>
      <c r="AD168">
        <f>IF(OR($E168="",$F168=""),0,MAX(0,MIN($F168,DATE(Dashboard!$C$4,13,1))-MAX($E168,DATE(Dashboard!$C$4,12,1))))</f>
        <v/>
      </c>
      <c r="AE168">
        <f>SUM(S168:AD168)</f>
        <v/>
      </c>
      <c r="AF168">
        <f>Q168*AE168</f>
        <v/>
      </c>
      <c r="AG168">
        <f>R168*AE168</f>
        <v/>
      </c>
      <c r="AH168">
        <f>SUMPRODUCT(S168:AD168,--(COLUMN(S168:AD168)-COLUMN(S168)+1&lt;=Dashboard!$N$1))</f>
        <v/>
      </c>
      <c r="AI168">
        <f>IF(OR(E168="",E168&lt;TODAY()),"",E168+ROW()/100000)</f>
        <v/>
      </c>
      <c r="AJ168">
        <f>IF(OR(F168="",F168&lt;TODAY()),"",F168+ROW()/100000)</f>
        <v/>
      </c>
    </row>
    <row r="169">
      <c r="A169" s="1" t="n"/>
      <c r="B169" s="35" t="n"/>
      <c r="C169" s="35" t="n"/>
      <c r="D169" s="35" t="n"/>
      <c r="E169" s="36" t="n"/>
      <c r="F169" s="36" t="n"/>
      <c r="G169" s="18">
        <f>IF(OR(E169="",F169=""),"",F169-E169)</f>
        <v/>
      </c>
      <c r="H169" s="37" t="n"/>
      <c r="I169" s="38" t="n"/>
      <c r="J169" s="38" t="n"/>
      <c r="K169" s="38" t="n"/>
      <c r="L169" s="31">
        <f>IF(E169="","",N(I169)+N(J169)-N(K169))</f>
        <v/>
      </c>
      <c r="M169" s="39" t="n"/>
      <c r="N169" s="27">
        <f>IF(E169="","",IF(TODAY()&lt;E169,"Upcoming",IF(TODAY()&lt;F169,"Staying now",IF(M169="Yes","Checked out","Payout not received"))))</f>
        <v/>
      </c>
      <c r="O169" s="35" t="n"/>
      <c r="P169" s="1" t="n"/>
      <c r="Q169">
        <f>IF(N(G169)&gt;0,L169/G169,0)</f>
        <v/>
      </c>
      <c r="R169">
        <f>IF(N(G169)&gt;0,N(I169)/G169,0)</f>
        <v/>
      </c>
      <c r="S169">
        <f>IF(OR($E169="",$F169=""),0,MAX(0,MIN($F169,DATE(Dashboard!$C$4,2,1))-MAX($E169,DATE(Dashboard!$C$4,1,1))))</f>
        <v/>
      </c>
      <c r="T169">
        <f>IF(OR($E169="",$F169=""),0,MAX(0,MIN($F169,DATE(Dashboard!$C$4,3,1))-MAX($E169,DATE(Dashboard!$C$4,2,1))))</f>
        <v/>
      </c>
      <c r="U169">
        <f>IF(OR($E169="",$F169=""),0,MAX(0,MIN($F169,DATE(Dashboard!$C$4,4,1))-MAX($E169,DATE(Dashboard!$C$4,3,1))))</f>
        <v/>
      </c>
      <c r="V169">
        <f>IF(OR($E169="",$F169=""),0,MAX(0,MIN($F169,DATE(Dashboard!$C$4,5,1))-MAX($E169,DATE(Dashboard!$C$4,4,1))))</f>
        <v/>
      </c>
      <c r="W169">
        <f>IF(OR($E169="",$F169=""),0,MAX(0,MIN($F169,DATE(Dashboard!$C$4,6,1))-MAX($E169,DATE(Dashboard!$C$4,5,1))))</f>
        <v/>
      </c>
      <c r="X169">
        <f>IF(OR($E169="",$F169=""),0,MAX(0,MIN($F169,DATE(Dashboard!$C$4,7,1))-MAX($E169,DATE(Dashboard!$C$4,6,1))))</f>
        <v/>
      </c>
      <c r="Y169">
        <f>IF(OR($E169="",$F169=""),0,MAX(0,MIN($F169,DATE(Dashboard!$C$4,8,1))-MAX($E169,DATE(Dashboard!$C$4,7,1))))</f>
        <v/>
      </c>
      <c r="Z169">
        <f>IF(OR($E169="",$F169=""),0,MAX(0,MIN($F169,DATE(Dashboard!$C$4,9,1))-MAX($E169,DATE(Dashboard!$C$4,8,1))))</f>
        <v/>
      </c>
      <c r="AA169">
        <f>IF(OR($E169="",$F169=""),0,MAX(0,MIN($F169,DATE(Dashboard!$C$4,10,1))-MAX($E169,DATE(Dashboard!$C$4,9,1))))</f>
        <v/>
      </c>
      <c r="AB169">
        <f>IF(OR($E169="",$F169=""),0,MAX(0,MIN($F169,DATE(Dashboard!$C$4,11,1))-MAX($E169,DATE(Dashboard!$C$4,10,1))))</f>
        <v/>
      </c>
      <c r="AC169">
        <f>IF(OR($E169="",$F169=""),0,MAX(0,MIN($F169,DATE(Dashboard!$C$4,12,1))-MAX($E169,DATE(Dashboard!$C$4,11,1))))</f>
        <v/>
      </c>
      <c r="AD169">
        <f>IF(OR($E169="",$F169=""),0,MAX(0,MIN($F169,DATE(Dashboard!$C$4,13,1))-MAX($E169,DATE(Dashboard!$C$4,12,1))))</f>
        <v/>
      </c>
      <c r="AE169">
        <f>SUM(S169:AD169)</f>
        <v/>
      </c>
      <c r="AF169">
        <f>Q169*AE169</f>
        <v/>
      </c>
      <c r="AG169">
        <f>R169*AE169</f>
        <v/>
      </c>
      <c r="AH169">
        <f>SUMPRODUCT(S169:AD169,--(COLUMN(S169:AD169)-COLUMN(S169)+1&lt;=Dashboard!$N$1))</f>
        <v/>
      </c>
      <c r="AI169">
        <f>IF(OR(E169="",E169&lt;TODAY()),"",E169+ROW()/100000)</f>
        <v/>
      </c>
      <c r="AJ169">
        <f>IF(OR(F169="",F169&lt;TODAY()),"",F169+ROW()/100000)</f>
        <v/>
      </c>
    </row>
    <row r="170">
      <c r="A170" s="1" t="n"/>
      <c r="B170" s="35" t="n"/>
      <c r="C170" s="35" t="n"/>
      <c r="D170" s="35" t="n"/>
      <c r="E170" s="36" t="n"/>
      <c r="F170" s="36" t="n"/>
      <c r="G170" s="18">
        <f>IF(OR(E170="",F170=""),"",F170-E170)</f>
        <v/>
      </c>
      <c r="H170" s="37" t="n"/>
      <c r="I170" s="38" t="n"/>
      <c r="J170" s="38" t="n"/>
      <c r="K170" s="38" t="n"/>
      <c r="L170" s="31">
        <f>IF(E170="","",N(I170)+N(J170)-N(K170))</f>
        <v/>
      </c>
      <c r="M170" s="39" t="n"/>
      <c r="N170" s="27">
        <f>IF(E170="","",IF(TODAY()&lt;E170,"Upcoming",IF(TODAY()&lt;F170,"Staying now",IF(M170="Yes","Checked out","Payout not received"))))</f>
        <v/>
      </c>
      <c r="O170" s="35" t="n"/>
      <c r="P170" s="1" t="n"/>
      <c r="Q170">
        <f>IF(N(G170)&gt;0,L170/G170,0)</f>
        <v/>
      </c>
      <c r="R170">
        <f>IF(N(G170)&gt;0,N(I170)/G170,0)</f>
        <v/>
      </c>
      <c r="S170">
        <f>IF(OR($E170="",$F170=""),0,MAX(0,MIN($F170,DATE(Dashboard!$C$4,2,1))-MAX($E170,DATE(Dashboard!$C$4,1,1))))</f>
        <v/>
      </c>
      <c r="T170">
        <f>IF(OR($E170="",$F170=""),0,MAX(0,MIN($F170,DATE(Dashboard!$C$4,3,1))-MAX($E170,DATE(Dashboard!$C$4,2,1))))</f>
        <v/>
      </c>
      <c r="U170">
        <f>IF(OR($E170="",$F170=""),0,MAX(0,MIN($F170,DATE(Dashboard!$C$4,4,1))-MAX($E170,DATE(Dashboard!$C$4,3,1))))</f>
        <v/>
      </c>
      <c r="V170">
        <f>IF(OR($E170="",$F170=""),0,MAX(0,MIN($F170,DATE(Dashboard!$C$4,5,1))-MAX($E170,DATE(Dashboard!$C$4,4,1))))</f>
        <v/>
      </c>
      <c r="W170">
        <f>IF(OR($E170="",$F170=""),0,MAX(0,MIN($F170,DATE(Dashboard!$C$4,6,1))-MAX($E170,DATE(Dashboard!$C$4,5,1))))</f>
        <v/>
      </c>
      <c r="X170">
        <f>IF(OR($E170="",$F170=""),0,MAX(0,MIN($F170,DATE(Dashboard!$C$4,7,1))-MAX($E170,DATE(Dashboard!$C$4,6,1))))</f>
        <v/>
      </c>
      <c r="Y170">
        <f>IF(OR($E170="",$F170=""),0,MAX(0,MIN($F170,DATE(Dashboard!$C$4,8,1))-MAX($E170,DATE(Dashboard!$C$4,7,1))))</f>
        <v/>
      </c>
      <c r="Z170">
        <f>IF(OR($E170="",$F170=""),0,MAX(0,MIN($F170,DATE(Dashboard!$C$4,9,1))-MAX($E170,DATE(Dashboard!$C$4,8,1))))</f>
        <v/>
      </c>
      <c r="AA170">
        <f>IF(OR($E170="",$F170=""),0,MAX(0,MIN($F170,DATE(Dashboard!$C$4,10,1))-MAX($E170,DATE(Dashboard!$C$4,9,1))))</f>
        <v/>
      </c>
      <c r="AB170">
        <f>IF(OR($E170="",$F170=""),0,MAX(0,MIN($F170,DATE(Dashboard!$C$4,11,1))-MAX($E170,DATE(Dashboard!$C$4,10,1))))</f>
        <v/>
      </c>
      <c r="AC170">
        <f>IF(OR($E170="",$F170=""),0,MAX(0,MIN($F170,DATE(Dashboard!$C$4,12,1))-MAX($E170,DATE(Dashboard!$C$4,11,1))))</f>
        <v/>
      </c>
      <c r="AD170">
        <f>IF(OR($E170="",$F170=""),0,MAX(0,MIN($F170,DATE(Dashboard!$C$4,13,1))-MAX($E170,DATE(Dashboard!$C$4,12,1))))</f>
        <v/>
      </c>
      <c r="AE170">
        <f>SUM(S170:AD170)</f>
        <v/>
      </c>
      <c r="AF170">
        <f>Q170*AE170</f>
        <v/>
      </c>
      <c r="AG170">
        <f>R170*AE170</f>
        <v/>
      </c>
      <c r="AH170">
        <f>SUMPRODUCT(S170:AD170,--(COLUMN(S170:AD170)-COLUMN(S170)+1&lt;=Dashboard!$N$1))</f>
        <v/>
      </c>
      <c r="AI170">
        <f>IF(OR(E170="",E170&lt;TODAY()),"",E170+ROW()/100000)</f>
        <v/>
      </c>
      <c r="AJ170">
        <f>IF(OR(F170="",F170&lt;TODAY()),"",F170+ROW()/100000)</f>
        <v/>
      </c>
    </row>
    <row r="171">
      <c r="A171" s="1" t="n"/>
      <c r="B171" s="35" t="n"/>
      <c r="C171" s="35" t="n"/>
      <c r="D171" s="35" t="n"/>
      <c r="E171" s="36" t="n"/>
      <c r="F171" s="36" t="n"/>
      <c r="G171" s="18">
        <f>IF(OR(E171="",F171=""),"",F171-E171)</f>
        <v/>
      </c>
      <c r="H171" s="37" t="n"/>
      <c r="I171" s="38" t="n"/>
      <c r="J171" s="38" t="n"/>
      <c r="K171" s="38" t="n"/>
      <c r="L171" s="31">
        <f>IF(E171="","",N(I171)+N(J171)-N(K171))</f>
        <v/>
      </c>
      <c r="M171" s="39" t="n"/>
      <c r="N171" s="27">
        <f>IF(E171="","",IF(TODAY()&lt;E171,"Upcoming",IF(TODAY()&lt;F171,"Staying now",IF(M171="Yes","Checked out","Payout not received"))))</f>
        <v/>
      </c>
      <c r="O171" s="35" t="n"/>
      <c r="P171" s="1" t="n"/>
      <c r="Q171">
        <f>IF(N(G171)&gt;0,L171/G171,0)</f>
        <v/>
      </c>
      <c r="R171">
        <f>IF(N(G171)&gt;0,N(I171)/G171,0)</f>
        <v/>
      </c>
      <c r="S171">
        <f>IF(OR($E171="",$F171=""),0,MAX(0,MIN($F171,DATE(Dashboard!$C$4,2,1))-MAX($E171,DATE(Dashboard!$C$4,1,1))))</f>
        <v/>
      </c>
      <c r="T171">
        <f>IF(OR($E171="",$F171=""),0,MAX(0,MIN($F171,DATE(Dashboard!$C$4,3,1))-MAX($E171,DATE(Dashboard!$C$4,2,1))))</f>
        <v/>
      </c>
      <c r="U171">
        <f>IF(OR($E171="",$F171=""),0,MAX(0,MIN($F171,DATE(Dashboard!$C$4,4,1))-MAX($E171,DATE(Dashboard!$C$4,3,1))))</f>
        <v/>
      </c>
      <c r="V171">
        <f>IF(OR($E171="",$F171=""),0,MAX(0,MIN($F171,DATE(Dashboard!$C$4,5,1))-MAX($E171,DATE(Dashboard!$C$4,4,1))))</f>
        <v/>
      </c>
      <c r="W171">
        <f>IF(OR($E171="",$F171=""),0,MAX(0,MIN($F171,DATE(Dashboard!$C$4,6,1))-MAX($E171,DATE(Dashboard!$C$4,5,1))))</f>
        <v/>
      </c>
      <c r="X171">
        <f>IF(OR($E171="",$F171=""),0,MAX(0,MIN($F171,DATE(Dashboard!$C$4,7,1))-MAX($E171,DATE(Dashboard!$C$4,6,1))))</f>
        <v/>
      </c>
      <c r="Y171">
        <f>IF(OR($E171="",$F171=""),0,MAX(0,MIN($F171,DATE(Dashboard!$C$4,8,1))-MAX($E171,DATE(Dashboard!$C$4,7,1))))</f>
        <v/>
      </c>
      <c r="Z171">
        <f>IF(OR($E171="",$F171=""),0,MAX(0,MIN($F171,DATE(Dashboard!$C$4,9,1))-MAX($E171,DATE(Dashboard!$C$4,8,1))))</f>
        <v/>
      </c>
      <c r="AA171">
        <f>IF(OR($E171="",$F171=""),0,MAX(0,MIN($F171,DATE(Dashboard!$C$4,10,1))-MAX($E171,DATE(Dashboard!$C$4,9,1))))</f>
        <v/>
      </c>
      <c r="AB171">
        <f>IF(OR($E171="",$F171=""),0,MAX(0,MIN($F171,DATE(Dashboard!$C$4,11,1))-MAX($E171,DATE(Dashboard!$C$4,10,1))))</f>
        <v/>
      </c>
      <c r="AC171">
        <f>IF(OR($E171="",$F171=""),0,MAX(0,MIN($F171,DATE(Dashboard!$C$4,12,1))-MAX($E171,DATE(Dashboard!$C$4,11,1))))</f>
        <v/>
      </c>
      <c r="AD171">
        <f>IF(OR($E171="",$F171=""),0,MAX(0,MIN($F171,DATE(Dashboard!$C$4,13,1))-MAX($E171,DATE(Dashboard!$C$4,12,1))))</f>
        <v/>
      </c>
      <c r="AE171">
        <f>SUM(S171:AD171)</f>
        <v/>
      </c>
      <c r="AF171">
        <f>Q171*AE171</f>
        <v/>
      </c>
      <c r="AG171">
        <f>R171*AE171</f>
        <v/>
      </c>
      <c r="AH171">
        <f>SUMPRODUCT(S171:AD171,--(COLUMN(S171:AD171)-COLUMN(S171)+1&lt;=Dashboard!$N$1))</f>
        <v/>
      </c>
      <c r="AI171">
        <f>IF(OR(E171="",E171&lt;TODAY()),"",E171+ROW()/100000)</f>
        <v/>
      </c>
      <c r="AJ171">
        <f>IF(OR(F171="",F171&lt;TODAY()),"",F171+ROW()/100000)</f>
        <v/>
      </c>
    </row>
    <row r="172">
      <c r="A172" s="1" t="n"/>
      <c r="B172" s="35" t="n"/>
      <c r="C172" s="35" t="n"/>
      <c r="D172" s="35" t="n"/>
      <c r="E172" s="36" t="n"/>
      <c r="F172" s="36" t="n"/>
      <c r="G172" s="18">
        <f>IF(OR(E172="",F172=""),"",F172-E172)</f>
        <v/>
      </c>
      <c r="H172" s="37" t="n"/>
      <c r="I172" s="38" t="n"/>
      <c r="J172" s="38" t="n"/>
      <c r="K172" s="38" t="n"/>
      <c r="L172" s="31">
        <f>IF(E172="","",N(I172)+N(J172)-N(K172))</f>
        <v/>
      </c>
      <c r="M172" s="39" t="n"/>
      <c r="N172" s="27">
        <f>IF(E172="","",IF(TODAY()&lt;E172,"Upcoming",IF(TODAY()&lt;F172,"Staying now",IF(M172="Yes","Checked out","Payout not received"))))</f>
        <v/>
      </c>
      <c r="O172" s="35" t="n"/>
      <c r="P172" s="1" t="n"/>
      <c r="Q172">
        <f>IF(N(G172)&gt;0,L172/G172,0)</f>
        <v/>
      </c>
      <c r="R172">
        <f>IF(N(G172)&gt;0,N(I172)/G172,0)</f>
        <v/>
      </c>
      <c r="S172">
        <f>IF(OR($E172="",$F172=""),0,MAX(0,MIN($F172,DATE(Dashboard!$C$4,2,1))-MAX($E172,DATE(Dashboard!$C$4,1,1))))</f>
        <v/>
      </c>
      <c r="T172">
        <f>IF(OR($E172="",$F172=""),0,MAX(0,MIN($F172,DATE(Dashboard!$C$4,3,1))-MAX($E172,DATE(Dashboard!$C$4,2,1))))</f>
        <v/>
      </c>
      <c r="U172">
        <f>IF(OR($E172="",$F172=""),0,MAX(0,MIN($F172,DATE(Dashboard!$C$4,4,1))-MAX($E172,DATE(Dashboard!$C$4,3,1))))</f>
        <v/>
      </c>
      <c r="V172">
        <f>IF(OR($E172="",$F172=""),0,MAX(0,MIN($F172,DATE(Dashboard!$C$4,5,1))-MAX($E172,DATE(Dashboard!$C$4,4,1))))</f>
        <v/>
      </c>
      <c r="W172">
        <f>IF(OR($E172="",$F172=""),0,MAX(0,MIN($F172,DATE(Dashboard!$C$4,6,1))-MAX($E172,DATE(Dashboard!$C$4,5,1))))</f>
        <v/>
      </c>
      <c r="X172">
        <f>IF(OR($E172="",$F172=""),0,MAX(0,MIN($F172,DATE(Dashboard!$C$4,7,1))-MAX($E172,DATE(Dashboard!$C$4,6,1))))</f>
        <v/>
      </c>
      <c r="Y172">
        <f>IF(OR($E172="",$F172=""),0,MAX(0,MIN($F172,DATE(Dashboard!$C$4,8,1))-MAX($E172,DATE(Dashboard!$C$4,7,1))))</f>
        <v/>
      </c>
      <c r="Z172">
        <f>IF(OR($E172="",$F172=""),0,MAX(0,MIN($F172,DATE(Dashboard!$C$4,9,1))-MAX($E172,DATE(Dashboard!$C$4,8,1))))</f>
        <v/>
      </c>
      <c r="AA172">
        <f>IF(OR($E172="",$F172=""),0,MAX(0,MIN($F172,DATE(Dashboard!$C$4,10,1))-MAX($E172,DATE(Dashboard!$C$4,9,1))))</f>
        <v/>
      </c>
      <c r="AB172">
        <f>IF(OR($E172="",$F172=""),0,MAX(0,MIN($F172,DATE(Dashboard!$C$4,11,1))-MAX($E172,DATE(Dashboard!$C$4,10,1))))</f>
        <v/>
      </c>
      <c r="AC172">
        <f>IF(OR($E172="",$F172=""),0,MAX(0,MIN($F172,DATE(Dashboard!$C$4,12,1))-MAX($E172,DATE(Dashboard!$C$4,11,1))))</f>
        <v/>
      </c>
      <c r="AD172">
        <f>IF(OR($E172="",$F172=""),0,MAX(0,MIN($F172,DATE(Dashboard!$C$4,13,1))-MAX($E172,DATE(Dashboard!$C$4,12,1))))</f>
        <v/>
      </c>
      <c r="AE172">
        <f>SUM(S172:AD172)</f>
        <v/>
      </c>
      <c r="AF172">
        <f>Q172*AE172</f>
        <v/>
      </c>
      <c r="AG172">
        <f>R172*AE172</f>
        <v/>
      </c>
      <c r="AH172">
        <f>SUMPRODUCT(S172:AD172,--(COLUMN(S172:AD172)-COLUMN(S172)+1&lt;=Dashboard!$N$1))</f>
        <v/>
      </c>
      <c r="AI172">
        <f>IF(OR(E172="",E172&lt;TODAY()),"",E172+ROW()/100000)</f>
        <v/>
      </c>
      <c r="AJ172">
        <f>IF(OR(F172="",F172&lt;TODAY()),"",F172+ROW()/100000)</f>
        <v/>
      </c>
    </row>
    <row r="173">
      <c r="A173" s="1" t="n"/>
      <c r="B173" s="35" t="n"/>
      <c r="C173" s="35" t="n"/>
      <c r="D173" s="35" t="n"/>
      <c r="E173" s="36" t="n"/>
      <c r="F173" s="36" t="n"/>
      <c r="G173" s="18">
        <f>IF(OR(E173="",F173=""),"",F173-E173)</f>
        <v/>
      </c>
      <c r="H173" s="37" t="n"/>
      <c r="I173" s="38" t="n"/>
      <c r="J173" s="38" t="n"/>
      <c r="K173" s="38" t="n"/>
      <c r="L173" s="31">
        <f>IF(E173="","",N(I173)+N(J173)-N(K173))</f>
        <v/>
      </c>
      <c r="M173" s="39" t="n"/>
      <c r="N173" s="27">
        <f>IF(E173="","",IF(TODAY()&lt;E173,"Upcoming",IF(TODAY()&lt;F173,"Staying now",IF(M173="Yes","Checked out","Payout not received"))))</f>
        <v/>
      </c>
      <c r="O173" s="35" t="n"/>
      <c r="P173" s="1" t="n"/>
      <c r="Q173">
        <f>IF(N(G173)&gt;0,L173/G173,0)</f>
        <v/>
      </c>
      <c r="R173">
        <f>IF(N(G173)&gt;0,N(I173)/G173,0)</f>
        <v/>
      </c>
      <c r="S173">
        <f>IF(OR($E173="",$F173=""),0,MAX(0,MIN($F173,DATE(Dashboard!$C$4,2,1))-MAX($E173,DATE(Dashboard!$C$4,1,1))))</f>
        <v/>
      </c>
      <c r="T173">
        <f>IF(OR($E173="",$F173=""),0,MAX(0,MIN($F173,DATE(Dashboard!$C$4,3,1))-MAX($E173,DATE(Dashboard!$C$4,2,1))))</f>
        <v/>
      </c>
      <c r="U173">
        <f>IF(OR($E173="",$F173=""),0,MAX(0,MIN($F173,DATE(Dashboard!$C$4,4,1))-MAX($E173,DATE(Dashboard!$C$4,3,1))))</f>
        <v/>
      </c>
      <c r="V173">
        <f>IF(OR($E173="",$F173=""),0,MAX(0,MIN($F173,DATE(Dashboard!$C$4,5,1))-MAX($E173,DATE(Dashboard!$C$4,4,1))))</f>
        <v/>
      </c>
      <c r="W173">
        <f>IF(OR($E173="",$F173=""),0,MAX(0,MIN($F173,DATE(Dashboard!$C$4,6,1))-MAX($E173,DATE(Dashboard!$C$4,5,1))))</f>
        <v/>
      </c>
      <c r="X173">
        <f>IF(OR($E173="",$F173=""),0,MAX(0,MIN($F173,DATE(Dashboard!$C$4,7,1))-MAX($E173,DATE(Dashboard!$C$4,6,1))))</f>
        <v/>
      </c>
      <c r="Y173">
        <f>IF(OR($E173="",$F173=""),0,MAX(0,MIN($F173,DATE(Dashboard!$C$4,8,1))-MAX($E173,DATE(Dashboard!$C$4,7,1))))</f>
        <v/>
      </c>
      <c r="Z173">
        <f>IF(OR($E173="",$F173=""),0,MAX(0,MIN($F173,DATE(Dashboard!$C$4,9,1))-MAX($E173,DATE(Dashboard!$C$4,8,1))))</f>
        <v/>
      </c>
      <c r="AA173">
        <f>IF(OR($E173="",$F173=""),0,MAX(0,MIN($F173,DATE(Dashboard!$C$4,10,1))-MAX($E173,DATE(Dashboard!$C$4,9,1))))</f>
        <v/>
      </c>
      <c r="AB173">
        <f>IF(OR($E173="",$F173=""),0,MAX(0,MIN($F173,DATE(Dashboard!$C$4,11,1))-MAX($E173,DATE(Dashboard!$C$4,10,1))))</f>
        <v/>
      </c>
      <c r="AC173">
        <f>IF(OR($E173="",$F173=""),0,MAX(0,MIN($F173,DATE(Dashboard!$C$4,12,1))-MAX($E173,DATE(Dashboard!$C$4,11,1))))</f>
        <v/>
      </c>
      <c r="AD173">
        <f>IF(OR($E173="",$F173=""),0,MAX(0,MIN($F173,DATE(Dashboard!$C$4,13,1))-MAX($E173,DATE(Dashboard!$C$4,12,1))))</f>
        <v/>
      </c>
      <c r="AE173">
        <f>SUM(S173:AD173)</f>
        <v/>
      </c>
      <c r="AF173">
        <f>Q173*AE173</f>
        <v/>
      </c>
      <c r="AG173">
        <f>R173*AE173</f>
        <v/>
      </c>
      <c r="AH173">
        <f>SUMPRODUCT(S173:AD173,--(COLUMN(S173:AD173)-COLUMN(S173)+1&lt;=Dashboard!$N$1))</f>
        <v/>
      </c>
      <c r="AI173">
        <f>IF(OR(E173="",E173&lt;TODAY()),"",E173+ROW()/100000)</f>
        <v/>
      </c>
      <c r="AJ173">
        <f>IF(OR(F173="",F173&lt;TODAY()),"",F173+ROW()/100000)</f>
        <v/>
      </c>
    </row>
    <row r="174">
      <c r="A174" s="1" t="n"/>
      <c r="B174" s="35" t="n"/>
      <c r="C174" s="35" t="n"/>
      <c r="D174" s="35" t="n"/>
      <c r="E174" s="36" t="n"/>
      <c r="F174" s="36" t="n"/>
      <c r="G174" s="18">
        <f>IF(OR(E174="",F174=""),"",F174-E174)</f>
        <v/>
      </c>
      <c r="H174" s="37" t="n"/>
      <c r="I174" s="38" t="n"/>
      <c r="J174" s="38" t="n"/>
      <c r="K174" s="38" t="n"/>
      <c r="L174" s="31">
        <f>IF(E174="","",N(I174)+N(J174)-N(K174))</f>
        <v/>
      </c>
      <c r="M174" s="39" t="n"/>
      <c r="N174" s="27">
        <f>IF(E174="","",IF(TODAY()&lt;E174,"Upcoming",IF(TODAY()&lt;F174,"Staying now",IF(M174="Yes","Checked out","Payout not received"))))</f>
        <v/>
      </c>
      <c r="O174" s="35" t="n"/>
      <c r="P174" s="1" t="n"/>
      <c r="Q174">
        <f>IF(N(G174)&gt;0,L174/G174,0)</f>
        <v/>
      </c>
      <c r="R174">
        <f>IF(N(G174)&gt;0,N(I174)/G174,0)</f>
        <v/>
      </c>
      <c r="S174">
        <f>IF(OR($E174="",$F174=""),0,MAX(0,MIN($F174,DATE(Dashboard!$C$4,2,1))-MAX($E174,DATE(Dashboard!$C$4,1,1))))</f>
        <v/>
      </c>
      <c r="T174">
        <f>IF(OR($E174="",$F174=""),0,MAX(0,MIN($F174,DATE(Dashboard!$C$4,3,1))-MAX($E174,DATE(Dashboard!$C$4,2,1))))</f>
        <v/>
      </c>
      <c r="U174">
        <f>IF(OR($E174="",$F174=""),0,MAX(0,MIN($F174,DATE(Dashboard!$C$4,4,1))-MAX($E174,DATE(Dashboard!$C$4,3,1))))</f>
        <v/>
      </c>
      <c r="V174">
        <f>IF(OR($E174="",$F174=""),0,MAX(0,MIN($F174,DATE(Dashboard!$C$4,5,1))-MAX($E174,DATE(Dashboard!$C$4,4,1))))</f>
        <v/>
      </c>
      <c r="W174">
        <f>IF(OR($E174="",$F174=""),0,MAX(0,MIN($F174,DATE(Dashboard!$C$4,6,1))-MAX($E174,DATE(Dashboard!$C$4,5,1))))</f>
        <v/>
      </c>
      <c r="X174">
        <f>IF(OR($E174="",$F174=""),0,MAX(0,MIN($F174,DATE(Dashboard!$C$4,7,1))-MAX($E174,DATE(Dashboard!$C$4,6,1))))</f>
        <v/>
      </c>
      <c r="Y174">
        <f>IF(OR($E174="",$F174=""),0,MAX(0,MIN($F174,DATE(Dashboard!$C$4,8,1))-MAX($E174,DATE(Dashboard!$C$4,7,1))))</f>
        <v/>
      </c>
      <c r="Z174">
        <f>IF(OR($E174="",$F174=""),0,MAX(0,MIN($F174,DATE(Dashboard!$C$4,9,1))-MAX($E174,DATE(Dashboard!$C$4,8,1))))</f>
        <v/>
      </c>
      <c r="AA174">
        <f>IF(OR($E174="",$F174=""),0,MAX(0,MIN($F174,DATE(Dashboard!$C$4,10,1))-MAX($E174,DATE(Dashboard!$C$4,9,1))))</f>
        <v/>
      </c>
      <c r="AB174">
        <f>IF(OR($E174="",$F174=""),0,MAX(0,MIN($F174,DATE(Dashboard!$C$4,11,1))-MAX($E174,DATE(Dashboard!$C$4,10,1))))</f>
        <v/>
      </c>
      <c r="AC174">
        <f>IF(OR($E174="",$F174=""),0,MAX(0,MIN($F174,DATE(Dashboard!$C$4,12,1))-MAX($E174,DATE(Dashboard!$C$4,11,1))))</f>
        <v/>
      </c>
      <c r="AD174">
        <f>IF(OR($E174="",$F174=""),0,MAX(0,MIN($F174,DATE(Dashboard!$C$4,13,1))-MAX($E174,DATE(Dashboard!$C$4,12,1))))</f>
        <v/>
      </c>
      <c r="AE174">
        <f>SUM(S174:AD174)</f>
        <v/>
      </c>
      <c r="AF174">
        <f>Q174*AE174</f>
        <v/>
      </c>
      <c r="AG174">
        <f>R174*AE174</f>
        <v/>
      </c>
      <c r="AH174">
        <f>SUMPRODUCT(S174:AD174,--(COLUMN(S174:AD174)-COLUMN(S174)+1&lt;=Dashboard!$N$1))</f>
        <v/>
      </c>
      <c r="AI174">
        <f>IF(OR(E174="",E174&lt;TODAY()),"",E174+ROW()/100000)</f>
        <v/>
      </c>
      <c r="AJ174">
        <f>IF(OR(F174="",F174&lt;TODAY()),"",F174+ROW()/100000)</f>
        <v/>
      </c>
    </row>
    <row r="175">
      <c r="A175" s="1" t="n"/>
      <c r="B175" s="35" t="n"/>
      <c r="C175" s="35" t="n"/>
      <c r="D175" s="35" t="n"/>
      <c r="E175" s="36" t="n"/>
      <c r="F175" s="36" t="n"/>
      <c r="G175" s="18">
        <f>IF(OR(E175="",F175=""),"",F175-E175)</f>
        <v/>
      </c>
      <c r="H175" s="37" t="n"/>
      <c r="I175" s="38" t="n"/>
      <c r="J175" s="38" t="n"/>
      <c r="K175" s="38" t="n"/>
      <c r="L175" s="31">
        <f>IF(E175="","",N(I175)+N(J175)-N(K175))</f>
        <v/>
      </c>
      <c r="M175" s="39" t="n"/>
      <c r="N175" s="27">
        <f>IF(E175="","",IF(TODAY()&lt;E175,"Upcoming",IF(TODAY()&lt;F175,"Staying now",IF(M175="Yes","Checked out","Payout not received"))))</f>
        <v/>
      </c>
      <c r="O175" s="35" t="n"/>
      <c r="P175" s="1" t="n"/>
      <c r="Q175">
        <f>IF(N(G175)&gt;0,L175/G175,0)</f>
        <v/>
      </c>
      <c r="R175">
        <f>IF(N(G175)&gt;0,N(I175)/G175,0)</f>
        <v/>
      </c>
      <c r="S175">
        <f>IF(OR($E175="",$F175=""),0,MAX(0,MIN($F175,DATE(Dashboard!$C$4,2,1))-MAX($E175,DATE(Dashboard!$C$4,1,1))))</f>
        <v/>
      </c>
      <c r="T175">
        <f>IF(OR($E175="",$F175=""),0,MAX(0,MIN($F175,DATE(Dashboard!$C$4,3,1))-MAX($E175,DATE(Dashboard!$C$4,2,1))))</f>
        <v/>
      </c>
      <c r="U175">
        <f>IF(OR($E175="",$F175=""),0,MAX(0,MIN($F175,DATE(Dashboard!$C$4,4,1))-MAX($E175,DATE(Dashboard!$C$4,3,1))))</f>
        <v/>
      </c>
      <c r="V175">
        <f>IF(OR($E175="",$F175=""),0,MAX(0,MIN($F175,DATE(Dashboard!$C$4,5,1))-MAX($E175,DATE(Dashboard!$C$4,4,1))))</f>
        <v/>
      </c>
      <c r="W175">
        <f>IF(OR($E175="",$F175=""),0,MAX(0,MIN($F175,DATE(Dashboard!$C$4,6,1))-MAX($E175,DATE(Dashboard!$C$4,5,1))))</f>
        <v/>
      </c>
      <c r="X175">
        <f>IF(OR($E175="",$F175=""),0,MAX(0,MIN($F175,DATE(Dashboard!$C$4,7,1))-MAX($E175,DATE(Dashboard!$C$4,6,1))))</f>
        <v/>
      </c>
      <c r="Y175">
        <f>IF(OR($E175="",$F175=""),0,MAX(0,MIN($F175,DATE(Dashboard!$C$4,8,1))-MAX($E175,DATE(Dashboard!$C$4,7,1))))</f>
        <v/>
      </c>
      <c r="Z175">
        <f>IF(OR($E175="",$F175=""),0,MAX(0,MIN($F175,DATE(Dashboard!$C$4,9,1))-MAX($E175,DATE(Dashboard!$C$4,8,1))))</f>
        <v/>
      </c>
      <c r="AA175">
        <f>IF(OR($E175="",$F175=""),0,MAX(0,MIN($F175,DATE(Dashboard!$C$4,10,1))-MAX($E175,DATE(Dashboard!$C$4,9,1))))</f>
        <v/>
      </c>
      <c r="AB175">
        <f>IF(OR($E175="",$F175=""),0,MAX(0,MIN($F175,DATE(Dashboard!$C$4,11,1))-MAX($E175,DATE(Dashboard!$C$4,10,1))))</f>
        <v/>
      </c>
      <c r="AC175">
        <f>IF(OR($E175="",$F175=""),0,MAX(0,MIN($F175,DATE(Dashboard!$C$4,12,1))-MAX($E175,DATE(Dashboard!$C$4,11,1))))</f>
        <v/>
      </c>
      <c r="AD175">
        <f>IF(OR($E175="",$F175=""),0,MAX(0,MIN($F175,DATE(Dashboard!$C$4,13,1))-MAX($E175,DATE(Dashboard!$C$4,12,1))))</f>
        <v/>
      </c>
      <c r="AE175">
        <f>SUM(S175:AD175)</f>
        <v/>
      </c>
      <c r="AF175">
        <f>Q175*AE175</f>
        <v/>
      </c>
      <c r="AG175">
        <f>R175*AE175</f>
        <v/>
      </c>
      <c r="AH175">
        <f>SUMPRODUCT(S175:AD175,--(COLUMN(S175:AD175)-COLUMN(S175)+1&lt;=Dashboard!$N$1))</f>
        <v/>
      </c>
      <c r="AI175">
        <f>IF(OR(E175="",E175&lt;TODAY()),"",E175+ROW()/100000)</f>
        <v/>
      </c>
      <c r="AJ175">
        <f>IF(OR(F175="",F175&lt;TODAY()),"",F175+ROW()/100000)</f>
        <v/>
      </c>
    </row>
    <row r="176">
      <c r="A176" s="1" t="n"/>
      <c r="B176" s="35" t="n"/>
      <c r="C176" s="35" t="n"/>
      <c r="D176" s="35" t="n"/>
      <c r="E176" s="36" t="n"/>
      <c r="F176" s="36" t="n"/>
      <c r="G176" s="18">
        <f>IF(OR(E176="",F176=""),"",F176-E176)</f>
        <v/>
      </c>
      <c r="H176" s="37" t="n"/>
      <c r="I176" s="38" t="n"/>
      <c r="J176" s="38" t="n"/>
      <c r="K176" s="38" t="n"/>
      <c r="L176" s="31">
        <f>IF(E176="","",N(I176)+N(J176)-N(K176))</f>
        <v/>
      </c>
      <c r="M176" s="39" t="n"/>
      <c r="N176" s="27">
        <f>IF(E176="","",IF(TODAY()&lt;E176,"Upcoming",IF(TODAY()&lt;F176,"Staying now",IF(M176="Yes","Checked out","Payout not received"))))</f>
        <v/>
      </c>
      <c r="O176" s="35" t="n"/>
      <c r="P176" s="1" t="n"/>
      <c r="Q176">
        <f>IF(N(G176)&gt;0,L176/G176,0)</f>
        <v/>
      </c>
      <c r="R176">
        <f>IF(N(G176)&gt;0,N(I176)/G176,0)</f>
        <v/>
      </c>
      <c r="S176">
        <f>IF(OR($E176="",$F176=""),0,MAX(0,MIN($F176,DATE(Dashboard!$C$4,2,1))-MAX($E176,DATE(Dashboard!$C$4,1,1))))</f>
        <v/>
      </c>
      <c r="T176">
        <f>IF(OR($E176="",$F176=""),0,MAX(0,MIN($F176,DATE(Dashboard!$C$4,3,1))-MAX($E176,DATE(Dashboard!$C$4,2,1))))</f>
        <v/>
      </c>
      <c r="U176">
        <f>IF(OR($E176="",$F176=""),0,MAX(0,MIN($F176,DATE(Dashboard!$C$4,4,1))-MAX($E176,DATE(Dashboard!$C$4,3,1))))</f>
        <v/>
      </c>
      <c r="V176">
        <f>IF(OR($E176="",$F176=""),0,MAX(0,MIN($F176,DATE(Dashboard!$C$4,5,1))-MAX($E176,DATE(Dashboard!$C$4,4,1))))</f>
        <v/>
      </c>
      <c r="W176">
        <f>IF(OR($E176="",$F176=""),0,MAX(0,MIN($F176,DATE(Dashboard!$C$4,6,1))-MAX($E176,DATE(Dashboard!$C$4,5,1))))</f>
        <v/>
      </c>
      <c r="X176">
        <f>IF(OR($E176="",$F176=""),0,MAX(0,MIN($F176,DATE(Dashboard!$C$4,7,1))-MAX($E176,DATE(Dashboard!$C$4,6,1))))</f>
        <v/>
      </c>
      <c r="Y176">
        <f>IF(OR($E176="",$F176=""),0,MAX(0,MIN($F176,DATE(Dashboard!$C$4,8,1))-MAX($E176,DATE(Dashboard!$C$4,7,1))))</f>
        <v/>
      </c>
      <c r="Z176">
        <f>IF(OR($E176="",$F176=""),0,MAX(0,MIN($F176,DATE(Dashboard!$C$4,9,1))-MAX($E176,DATE(Dashboard!$C$4,8,1))))</f>
        <v/>
      </c>
      <c r="AA176">
        <f>IF(OR($E176="",$F176=""),0,MAX(0,MIN($F176,DATE(Dashboard!$C$4,10,1))-MAX($E176,DATE(Dashboard!$C$4,9,1))))</f>
        <v/>
      </c>
      <c r="AB176">
        <f>IF(OR($E176="",$F176=""),0,MAX(0,MIN($F176,DATE(Dashboard!$C$4,11,1))-MAX($E176,DATE(Dashboard!$C$4,10,1))))</f>
        <v/>
      </c>
      <c r="AC176">
        <f>IF(OR($E176="",$F176=""),0,MAX(0,MIN($F176,DATE(Dashboard!$C$4,12,1))-MAX($E176,DATE(Dashboard!$C$4,11,1))))</f>
        <v/>
      </c>
      <c r="AD176">
        <f>IF(OR($E176="",$F176=""),0,MAX(0,MIN($F176,DATE(Dashboard!$C$4,13,1))-MAX($E176,DATE(Dashboard!$C$4,12,1))))</f>
        <v/>
      </c>
      <c r="AE176">
        <f>SUM(S176:AD176)</f>
        <v/>
      </c>
      <c r="AF176">
        <f>Q176*AE176</f>
        <v/>
      </c>
      <c r="AG176">
        <f>R176*AE176</f>
        <v/>
      </c>
      <c r="AH176">
        <f>SUMPRODUCT(S176:AD176,--(COLUMN(S176:AD176)-COLUMN(S176)+1&lt;=Dashboard!$N$1))</f>
        <v/>
      </c>
      <c r="AI176">
        <f>IF(OR(E176="",E176&lt;TODAY()),"",E176+ROW()/100000)</f>
        <v/>
      </c>
      <c r="AJ176">
        <f>IF(OR(F176="",F176&lt;TODAY()),"",F176+ROW()/100000)</f>
        <v/>
      </c>
    </row>
    <row r="177">
      <c r="A177" s="1" t="n"/>
      <c r="B177" s="35" t="n"/>
      <c r="C177" s="35" t="n"/>
      <c r="D177" s="35" t="n"/>
      <c r="E177" s="36" t="n"/>
      <c r="F177" s="36" t="n"/>
      <c r="G177" s="18">
        <f>IF(OR(E177="",F177=""),"",F177-E177)</f>
        <v/>
      </c>
      <c r="H177" s="37" t="n"/>
      <c r="I177" s="38" t="n"/>
      <c r="J177" s="38" t="n"/>
      <c r="K177" s="38" t="n"/>
      <c r="L177" s="31">
        <f>IF(E177="","",N(I177)+N(J177)-N(K177))</f>
        <v/>
      </c>
      <c r="M177" s="39" t="n"/>
      <c r="N177" s="27">
        <f>IF(E177="","",IF(TODAY()&lt;E177,"Upcoming",IF(TODAY()&lt;F177,"Staying now",IF(M177="Yes","Checked out","Payout not received"))))</f>
        <v/>
      </c>
      <c r="O177" s="35" t="n"/>
      <c r="P177" s="1" t="n"/>
      <c r="Q177">
        <f>IF(N(G177)&gt;0,L177/G177,0)</f>
        <v/>
      </c>
      <c r="R177">
        <f>IF(N(G177)&gt;0,N(I177)/G177,0)</f>
        <v/>
      </c>
      <c r="S177">
        <f>IF(OR($E177="",$F177=""),0,MAX(0,MIN($F177,DATE(Dashboard!$C$4,2,1))-MAX($E177,DATE(Dashboard!$C$4,1,1))))</f>
        <v/>
      </c>
      <c r="T177">
        <f>IF(OR($E177="",$F177=""),0,MAX(0,MIN($F177,DATE(Dashboard!$C$4,3,1))-MAX($E177,DATE(Dashboard!$C$4,2,1))))</f>
        <v/>
      </c>
      <c r="U177">
        <f>IF(OR($E177="",$F177=""),0,MAX(0,MIN($F177,DATE(Dashboard!$C$4,4,1))-MAX($E177,DATE(Dashboard!$C$4,3,1))))</f>
        <v/>
      </c>
      <c r="V177">
        <f>IF(OR($E177="",$F177=""),0,MAX(0,MIN($F177,DATE(Dashboard!$C$4,5,1))-MAX($E177,DATE(Dashboard!$C$4,4,1))))</f>
        <v/>
      </c>
      <c r="W177">
        <f>IF(OR($E177="",$F177=""),0,MAX(0,MIN($F177,DATE(Dashboard!$C$4,6,1))-MAX($E177,DATE(Dashboard!$C$4,5,1))))</f>
        <v/>
      </c>
      <c r="X177">
        <f>IF(OR($E177="",$F177=""),0,MAX(0,MIN($F177,DATE(Dashboard!$C$4,7,1))-MAX($E177,DATE(Dashboard!$C$4,6,1))))</f>
        <v/>
      </c>
      <c r="Y177">
        <f>IF(OR($E177="",$F177=""),0,MAX(0,MIN($F177,DATE(Dashboard!$C$4,8,1))-MAX($E177,DATE(Dashboard!$C$4,7,1))))</f>
        <v/>
      </c>
      <c r="Z177">
        <f>IF(OR($E177="",$F177=""),0,MAX(0,MIN($F177,DATE(Dashboard!$C$4,9,1))-MAX($E177,DATE(Dashboard!$C$4,8,1))))</f>
        <v/>
      </c>
      <c r="AA177">
        <f>IF(OR($E177="",$F177=""),0,MAX(0,MIN($F177,DATE(Dashboard!$C$4,10,1))-MAX($E177,DATE(Dashboard!$C$4,9,1))))</f>
        <v/>
      </c>
      <c r="AB177">
        <f>IF(OR($E177="",$F177=""),0,MAX(0,MIN($F177,DATE(Dashboard!$C$4,11,1))-MAX($E177,DATE(Dashboard!$C$4,10,1))))</f>
        <v/>
      </c>
      <c r="AC177">
        <f>IF(OR($E177="",$F177=""),0,MAX(0,MIN($F177,DATE(Dashboard!$C$4,12,1))-MAX($E177,DATE(Dashboard!$C$4,11,1))))</f>
        <v/>
      </c>
      <c r="AD177">
        <f>IF(OR($E177="",$F177=""),0,MAX(0,MIN($F177,DATE(Dashboard!$C$4,13,1))-MAX($E177,DATE(Dashboard!$C$4,12,1))))</f>
        <v/>
      </c>
      <c r="AE177">
        <f>SUM(S177:AD177)</f>
        <v/>
      </c>
      <c r="AF177">
        <f>Q177*AE177</f>
        <v/>
      </c>
      <c r="AG177">
        <f>R177*AE177</f>
        <v/>
      </c>
      <c r="AH177">
        <f>SUMPRODUCT(S177:AD177,--(COLUMN(S177:AD177)-COLUMN(S177)+1&lt;=Dashboard!$N$1))</f>
        <v/>
      </c>
      <c r="AI177">
        <f>IF(OR(E177="",E177&lt;TODAY()),"",E177+ROW()/100000)</f>
        <v/>
      </c>
      <c r="AJ177">
        <f>IF(OR(F177="",F177&lt;TODAY()),"",F177+ROW()/100000)</f>
        <v/>
      </c>
    </row>
    <row r="178">
      <c r="A178" s="1" t="n"/>
      <c r="B178" s="35" t="n"/>
      <c r="C178" s="35" t="n"/>
      <c r="D178" s="35" t="n"/>
      <c r="E178" s="36" t="n"/>
      <c r="F178" s="36" t="n"/>
      <c r="G178" s="18">
        <f>IF(OR(E178="",F178=""),"",F178-E178)</f>
        <v/>
      </c>
      <c r="H178" s="37" t="n"/>
      <c r="I178" s="38" t="n"/>
      <c r="J178" s="38" t="n"/>
      <c r="K178" s="38" t="n"/>
      <c r="L178" s="31">
        <f>IF(E178="","",N(I178)+N(J178)-N(K178))</f>
        <v/>
      </c>
      <c r="M178" s="39" t="n"/>
      <c r="N178" s="27">
        <f>IF(E178="","",IF(TODAY()&lt;E178,"Upcoming",IF(TODAY()&lt;F178,"Staying now",IF(M178="Yes","Checked out","Payout not received"))))</f>
        <v/>
      </c>
      <c r="O178" s="35" t="n"/>
      <c r="P178" s="1" t="n"/>
      <c r="Q178">
        <f>IF(N(G178)&gt;0,L178/G178,0)</f>
        <v/>
      </c>
      <c r="R178">
        <f>IF(N(G178)&gt;0,N(I178)/G178,0)</f>
        <v/>
      </c>
      <c r="S178">
        <f>IF(OR($E178="",$F178=""),0,MAX(0,MIN($F178,DATE(Dashboard!$C$4,2,1))-MAX($E178,DATE(Dashboard!$C$4,1,1))))</f>
        <v/>
      </c>
      <c r="T178">
        <f>IF(OR($E178="",$F178=""),0,MAX(0,MIN($F178,DATE(Dashboard!$C$4,3,1))-MAX($E178,DATE(Dashboard!$C$4,2,1))))</f>
        <v/>
      </c>
      <c r="U178">
        <f>IF(OR($E178="",$F178=""),0,MAX(0,MIN($F178,DATE(Dashboard!$C$4,4,1))-MAX($E178,DATE(Dashboard!$C$4,3,1))))</f>
        <v/>
      </c>
      <c r="V178">
        <f>IF(OR($E178="",$F178=""),0,MAX(0,MIN($F178,DATE(Dashboard!$C$4,5,1))-MAX($E178,DATE(Dashboard!$C$4,4,1))))</f>
        <v/>
      </c>
      <c r="W178">
        <f>IF(OR($E178="",$F178=""),0,MAX(0,MIN($F178,DATE(Dashboard!$C$4,6,1))-MAX($E178,DATE(Dashboard!$C$4,5,1))))</f>
        <v/>
      </c>
      <c r="X178">
        <f>IF(OR($E178="",$F178=""),0,MAX(0,MIN($F178,DATE(Dashboard!$C$4,7,1))-MAX($E178,DATE(Dashboard!$C$4,6,1))))</f>
        <v/>
      </c>
      <c r="Y178">
        <f>IF(OR($E178="",$F178=""),0,MAX(0,MIN($F178,DATE(Dashboard!$C$4,8,1))-MAX($E178,DATE(Dashboard!$C$4,7,1))))</f>
        <v/>
      </c>
      <c r="Z178">
        <f>IF(OR($E178="",$F178=""),0,MAX(0,MIN($F178,DATE(Dashboard!$C$4,9,1))-MAX($E178,DATE(Dashboard!$C$4,8,1))))</f>
        <v/>
      </c>
      <c r="AA178">
        <f>IF(OR($E178="",$F178=""),0,MAX(0,MIN($F178,DATE(Dashboard!$C$4,10,1))-MAX($E178,DATE(Dashboard!$C$4,9,1))))</f>
        <v/>
      </c>
      <c r="AB178">
        <f>IF(OR($E178="",$F178=""),0,MAX(0,MIN($F178,DATE(Dashboard!$C$4,11,1))-MAX($E178,DATE(Dashboard!$C$4,10,1))))</f>
        <v/>
      </c>
      <c r="AC178">
        <f>IF(OR($E178="",$F178=""),0,MAX(0,MIN($F178,DATE(Dashboard!$C$4,12,1))-MAX($E178,DATE(Dashboard!$C$4,11,1))))</f>
        <v/>
      </c>
      <c r="AD178">
        <f>IF(OR($E178="",$F178=""),0,MAX(0,MIN($F178,DATE(Dashboard!$C$4,13,1))-MAX($E178,DATE(Dashboard!$C$4,12,1))))</f>
        <v/>
      </c>
      <c r="AE178">
        <f>SUM(S178:AD178)</f>
        <v/>
      </c>
      <c r="AF178">
        <f>Q178*AE178</f>
        <v/>
      </c>
      <c r="AG178">
        <f>R178*AE178</f>
        <v/>
      </c>
      <c r="AH178">
        <f>SUMPRODUCT(S178:AD178,--(COLUMN(S178:AD178)-COLUMN(S178)+1&lt;=Dashboard!$N$1))</f>
        <v/>
      </c>
      <c r="AI178">
        <f>IF(OR(E178="",E178&lt;TODAY()),"",E178+ROW()/100000)</f>
        <v/>
      </c>
      <c r="AJ178">
        <f>IF(OR(F178="",F178&lt;TODAY()),"",F178+ROW()/100000)</f>
        <v/>
      </c>
    </row>
    <row r="179">
      <c r="A179" s="1" t="n"/>
      <c r="B179" s="35" t="n"/>
      <c r="C179" s="35" t="n"/>
      <c r="D179" s="35" t="n"/>
      <c r="E179" s="36" t="n"/>
      <c r="F179" s="36" t="n"/>
      <c r="G179" s="18">
        <f>IF(OR(E179="",F179=""),"",F179-E179)</f>
        <v/>
      </c>
      <c r="H179" s="37" t="n"/>
      <c r="I179" s="38" t="n"/>
      <c r="J179" s="38" t="n"/>
      <c r="K179" s="38" t="n"/>
      <c r="L179" s="31">
        <f>IF(E179="","",N(I179)+N(J179)-N(K179))</f>
        <v/>
      </c>
      <c r="M179" s="39" t="n"/>
      <c r="N179" s="27">
        <f>IF(E179="","",IF(TODAY()&lt;E179,"Upcoming",IF(TODAY()&lt;F179,"Staying now",IF(M179="Yes","Checked out","Payout not received"))))</f>
        <v/>
      </c>
      <c r="O179" s="35" t="n"/>
      <c r="P179" s="1" t="n"/>
      <c r="Q179">
        <f>IF(N(G179)&gt;0,L179/G179,0)</f>
        <v/>
      </c>
      <c r="R179">
        <f>IF(N(G179)&gt;0,N(I179)/G179,0)</f>
        <v/>
      </c>
      <c r="S179">
        <f>IF(OR($E179="",$F179=""),0,MAX(0,MIN($F179,DATE(Dashboard!$C$4,2,1))-MAX($E179,DATE(Dashboard!$C$4,1,1))))</f>
        <v/>
      </c>
      <c r="T179">
        <f>IF(OR($E179="",$F179=""),0,MAX(0,MIN($F179,DATE(Dashboard!$C$4,3,1))-MAX($E179,DATE(Dashboard!$C$4,2,1))))</f>
        <v/>
      </c>
      <c r="U179">
        <f>IF(OR($E179="",$F179=""),0,MAX(0,MIN($F179,DATE(Dashboard!$C$4,4,1))-MAX($E179,DATE(Dashboard!$C$4,3,1))))</f>
        <v/>
      </c>
      <c r="V179">
        <f>IF(OR($E179="",$F179=""),0,MAX(0,MIN($F179,DATE(Dashboard!$C$4,5,1))-MAX($E179,DATE(Dashboard!$C$4,4,1))))</f>
        <v/>
      </c>
      <c r="W179">
        <f>IF(OR($E179="",$F179=""),0,MAX(0,MIN($F179,DATE(Dashboard!$C$4,6,1))-MAX($E179,DATE(Dashboard!$C$4,5,1))))</f>
        <v/>
      </c>
      <c r="X179">
        <f>IF(OR($E179="",$F179=""),0,MAX(0,MIN($F179,DATE(Dashboard!$C$4,7,1))-MAX($E179,DATE(Dashboard!$C$4,6,1))))</f>
        <v/>
      </c>
      <c r="Y179">
        <f>IF(OR($E179="",$F179=""),0,MAX(0,MIN($F179,DATE(Dashboard!$C$4,8,1))-MAX($E179,DATE(Dashboard!$C$4,7,1))))</f>
        <v/>
      </c>
      <c r="Z179">
        <f>IF(OR($E179="",$F179=""),0,MAX(0,MIN($F179,DATE(Dashboard!$C$4,9,1))-MAX($E179,DATE(Dashboard!$C$4,8,1))))</f>
        <v/>
      </c>
      <c r="AA179">
        <f>IF(OR($E179="",$F179=""),0,MAX(0,MIN($F179,DATE(Dashboard!$C$4,10,1))-MAX($E179,DATE(Dashboard!$C$4,9,1))))</f>
        <v/>
      </c>
      <c r="AB179">
        <f>IF(OR($E179="",$F179=""),0,MAX(0,MIN($F179,DATE(Dashboard!$C$4,11,1))-MAX($E179,DATE(Dashboard!$C$4,10,1))))</f>
        <v/>
      </c>
      <c r="AC179">
        <f>IF(OR($E179="",$F179=""),0,MAX(0,MIN($F179,DATE(Dashboard!$C$4,12,1))-MAX($E179,DATE(Dashboard!$C$4,11,1))))</f>
        <v/>
      </c>
      <c r="AD179">
        <f>IF(OR($E179="",$F179=""),0,MAX(0,MIN($F179,DATE(Dashboard!$C$4,13,1))-MAX($E179,DATE(Dashboard!$C$4,12,1))))</f>
        <v/>
      </c>
      <c r="AE179">
        <f>SUM(S179:AD179)</f>
        <v/>
      </c>
      <c r="AF179">
        <f>Q179*AE179</f>
        <v/>
      </c>
      <c r="AG179">
        <f>R179*AE179</f>
        <v/>
      </c>
      <c r="AH179">
        <f>SUMPRODUCT(S179:AD179,--(COLUMN(S179:AD179)-COLUMN(S179)+1&lt;=Dashboard!$N$1))</f>
        <v/>
      </c>
      <c r="AI179">
        <f>IF(OR(E179="",E179&lt;TODAY()),"",E179+ROW()/100000)</f>
        <v/>
      </c>
      <c r="AJ179">
        <f>IF(OR(F179="",F179&lt;TODAY()),"",F179+ROW()/100000)</f>
        <v/>
      </c>
    </row>
    <row r="180">
      <c r="A180" s="1" t="n"/>
      <c r="B180" s="35" t="n"/>
      <c r="C180" s="35" t="n"/>
      <c r="D180" s="35" t="n"/>
      <c r="E180" s="36" t="n"/>
      <c r="F180" s="36" t="n"/>
      <c r="G180" s="18">
        <f>IF(OR(E180="",F180=""),"",F180-E180)</f>
        <v/>
      </c>
      <c r="H180" s="37" t="n"/>
      <c r="I180" s="38" t="n"/>
      <c r="J180" s="38" t="n"/>
      <c r="K180" s="38" t="n"/>
      <c r="L180" s="31">
        <f>IF(E180="","",N(I180)+N(J180)-N(K180))</f>
        <v/>
      </c>
      <c r="M180" s="39" t="n"/>
      <c r="N180" s="27">
        <f>IF(E180="","",IF(TODAY()&lt;E180,"Upcoming",IF(TODAY()&lt;F180,"Staying now",IF(M180="Yes","Checked out","Payout not received"))))</f>
        <v/>
      </c>
      <c r="O180" s="35" t="n"/>
      <c r="P180" s="1" t="n"/>
      <c r="Q180">
        <f>IF(N(G180)&gt;0,L180/G180,0)</f>
        <v/>
      </c>
      <c r="R180">
        <f>IF(N(G180)&gt;0,N(I180)/G180,0)</f>
        <v/>
      </c>
      <c r="S180">
        <f>IF(OR($E180="",$F180=""),0,MAX(0,MIN($F180,DATE(Dashboard!$C$4,2,1))-MAX($E180,DATE(Dashboard!$C$4,1,1))))</f>
        <v/>
      </c>
      <c r="T180">
        <f>IF(OR($E180="",$F180=""),0,MAX(0,MIN($F180,DATE(Dashboard!$C$4,3,1))-MAX($E180,DATE(Dashboard!$C$4,2,1))))</f>
        <v/>
      </c>
      <c r="U180">
        <f>IF(OR($E180="",$F180=""),0,MAX(0,MIN($F180,DATE(Dashboard!$C$4,4,1))-MAX($E180,DATE(Dashboard!$C$4,3,1))))</f>
        <v/>
      </c>
      <c r="V180">
        <f>IF(OR($E180="",$F180=""),0,MAX(0,MIN($F180,DATE(Dashboard!$C$4,5,1))-MAX($E180,DATE(Dashboard!$C$4,4,1))))</f>
        <v/>
      </c>
      <c r="W180">
        <f>IF(OR($E180="",$F180=""),0,MAX(0,MIN($F180,DATE(Dashboard!$C$4,6,1))-MAX($E180,DATE(Dashboard!$C$4,5,1))))</f>
        <v/>
      </c>
      <c r="X180">
        <f>IF(OR($E180="",$F180=""),0,MAX(0,MIN($F180,DATE(Dashboard!$C$4,7,1))-MAX($E180,DATE(Dashboard!$C$4,6,1))))</f>
        <v/>
      </c>
      <c r="Y180">
        <f>IF(OR($E180="",$F180=""),0,MAX(0,MIN($F180,DATE(Dashboard!$C$4,8,1))-MAX($E180,DATE(Dashboard!$C$4,7,1))))</f>
        <v/>
      </c>
      <c r="Z180">
        <f>IF(OR($E180="",$F180=""),0,MAX(0,MIN($F180,DATE(Dashboard!$C$4,9,1))-MAX($E180,DATE(Dashboard!$C$4,8,1))))</f>
        <v/>
      </c>
      <c r="AA180">
        <f>IF(OR($E180="",$F180=""),0,MAX(0,MIN($F180,DATE(Dashboard!$C$4,10,1))-MAX($E180,DATE(Dashboard!$C$4,9,1))))</f>
        <v/>
      </c>
      <c r="AB180">
        <f>IF(OR($E180="",$F180=""),0,MAX(0,MIN($F180,DATE(Dashboard!$C$4,11,1))-MAX($E180,DATE(Dashboard!$C$4,10,1))))</f>
        <v/>
      </c>
      <c r="AC180">
        <f>IF(OR($E180="",$F180=""),0,MAX(0,MIN($F180,DATE(Dashboard!$C$4,12,1))-MAX($E180,DATE(Dashboard!$C$4,11,1))))</f>
        <v/>
      </c>
      <c r="AD180">
        <f>IF(OR($E180="",$F180=""),0,MAX(0,MIN($F180,DATE(Dashboard!$C$4,13,1))-MAX($E180,DATE(Dashboard!$C$4,12,1))))</f>
        <v/>
      </c>
      <c r="AE180">
        <f>SUM(S180:AD180)</f>
        <v/>
      </c>
      <c r="AF180">
        <f>Q180*AE180</f>
        <v/>
      </c>
      <c r="AG180">
        <f>R180*AE180</f>
        <v/>
      </c>
      <c r="AH180">
        <f>SUMPRODUCT(S180:AD180,--(COLUMN(S180:AD180)-COLUMN(S180)+1&lt;=Dashboard!$N$1))</f>
        <v/>
      </c>
      <c r="AI180">
        <f>IF(OR(E180="",E180&lt;TODAY()),"",E180+ROW()/100000)</f>
        <v/>
      </c>
      <c r="AJ180">
        <f>IF(OR(F180="",F180&lt;TODAY()),"",F180+ROW()/100000)</f>
        <v/>
      </c>
    </row>
    <row r="181">
      <c r="A181" s="1" t="n"/>
      <c r="B181" s="35" t="n"/>
      <c r="C181" s="35" t="n"/>
      <c r="D181" s="35" t="n"/>
      <c r="E181" s="36" t="n"/>
      <c r="F181" s="36" t="n"/>
      <c r="G181" s="18">
        <f>IF(OR(E181="",F181=""),"",F181-E181)</f>
        <v/>
      </c>
      <c r="H181" s="37" t="n"/>
      <c r="I181" s="38" t="n"/>
      <c r="J181" s="38" t="n"/>
      <c r="K181" s="38" t="n"/>
      <c r="L181" s="31">
        <f>IF(E181="","",N(I181)+N(J181)-N(K181))</f>
        <v/>
      </c>
      <c r="M181" s="39" t="n"/>
      <c r="N181" s="27">
        <f>IF(E181="","",IF(TODAY()&lt;E181,"Upcoming",IF(TODAY()&lt;F181,"Staying now",IF(M181="Yes","Checked out","Payout not received"))))</f>
        <v/>
      </c>
      <c r="O181" s="35" t="n"/>
      <c r="P181" s="1" t="n"/>
      <c r="Q181">
        <f>IF(N(G181)&gt;0,L181/G181,0)</f>
        <v/>
      </c>
      <c r="R181">
        <f>IF(N(G181)&gt;0,N(I181)/G181,0)</f>
        <v/>
      </c>
      <c r="S181">
        <f>IF(OR($E181="",$F181=""),0,MAX(0,MIN($F181,DATE(Dashboard!$C$4,2,1))-MAX($E181,DATE(Dashboard!$C$4,1,1))))</f>
        <v/>
      </c>
      <c r="T181">
        <f>IF(OR($E181="",$F181=""),0,MAX(0,MIN($F181,DATE(Dashboard!$C$4,3,1))-MAX($E181,DATE(Dashboard!$C$4,2,1))))</f>
        <v/>
      </c>
      <c r="U181">
        <f>IF(OR($E181="",$F181=""),0,MAX(0,MIN($F181,DATE(Dashboard!$C$4,4,1))-MAX($E181,DATE(Dashboard!$C$4,3,1))))</f>
        <v/>
      </c>
      <c r="V181">
        <f>IF(OR($E181="",$F181=""),0,MAX(0,MIN($F181,DATE(Dashboard!$C$4,5,1))-MAX($E181,DATE(Dashboard!$C$4,4,1))))</f>
        <v/>
      </c>
      <c r="W181">
        <f>IF(OR($E181="",$F181=""),0,MAX(0,MIN($F181,DATE(Dashboard!$C$4,6,1))-MAX($E181,DATE(Dashboard!$C$4,5,1))))</f>
        <v/>
      </c>
      <c r="X181">
        <f>IF(OR($E181="",$F181=""),0,MAX(0,MIN($F181,DATE(Dashboard!$C$4,7,1))-MAX($E181,DATE(Dashboard!$C$4,6,1))))</f>
        <v/>
      </c>
      <c r="Y181">
        <f>IF(OR($E181="",$F181=""),0,MAX(0,MIN($F181,DATE(Dashboard!$C$4,8,1))-MAX($E181,DATE(Dashboard!$C$4,7,1))))</f>
        <v/>
      </c>
      <c r="Z181">
        <f>IF(OR($E181="",$F181=""),0,MAX(0,MIN($F181,DATE(Dashboard!$C$4,9,1))-MAX($E181,DATE(Dashboard!$C$4,8,1))))</f>
        <v/>
      </c>
      <c r="AA181">
        <f>IF(OR($E181="",$F181=""),0,MAX(0,MIN($F181,DATE(Dashboard!$C$4,10,1))-MAX($E181,DATE(Dashboard!$C$4,9,1))))</f>
        <v/>
      </c>
      <c r="AB181">
        <f>IF(OR($E181="",$F181=""),0,MAX(0,MIN($F181,DATE(Dashboard!$C$4,11,1))-MAX($E181,DATE(Dashboard!$C$4,10,1))))</f>
        <v/>
      </c>
      <c r="AC181">
        <f>IF(OR($E181="",$F181=""),0,MAX(0,MIN($F181,DATE(Dashboard!$C$4,12,1))-MAX($E181,DATE(Dashboard!$C$4,11,1))))</f>
        <v/>
      </c>
      <c r="AD181">
        <f>IF(OR($E181="",$F181=""),0,MAX(0,MIN($F181,DATE(Dashboard!$C$4,13,1))-MAX($E181,DATE(Dashboard!$C$4,12,1))))</f>
        <v/>
      </c>
      <c r="AE181">
        <f>SUM(S181:AD181)</f>
        <v/>
      </c>
      <c r="AF181">
        <f>Q181*AE181</f>
        <v/>
      </c>
      <c r="AG181">
        <f>R181*AE181</f>
        <v/>
      </c>
      <c r="AH181">
        <f>SUMPRODUCT(S181:AD181,--(COLUMN(S181:AD181)-COLUMN(S181)+1&lt;=Dashboard!$N$1))</f>
        <v/>
      </c>
      <c r="AI181">
        <f>IF(OR(E181="",E181&lt;TODAY()),"",E181+ROW()/100000)</f>
        <v/>
      </c>
      <c r="AJ181">
        <f>IF(OR(F181="",F181&lt;TODAY()),"",F181+ROW()/100000)</f>
        <v/>
      </c>
    </row>
    <row r="182">
      <c r="A182" s="1" t="n"/>
      <c r="B182" s="35" t="n"/>
      <c r="C182" s="35" t="n"/>
      <c r="D182" s="35" t="n"/>
      <c r="E182" s="36" t="n"/>
      <c r="F182" s="36" t="n"/>
      <c r="G182" s="18">
        <f>IF(OR(E182="",F182=""),"",F182-E182)</f>
        <v/>
      </c>
      <c r="H182" s="37" t="n"/>
      <c r="I182" s="38" t="n"/>
      <c r="J182" s="38" t="n"/>
      <c r="K182" s="38" t="n"/>
      <c r="L182" s="31">
        <f>IF(E182="","",N(I182)+N(J182)-N(K182))</f>
        <v/>
      </c>
      <c r="M182" s="39" t="n"/>
      <c r="N182" s="27">
        <f>IF(E182="","",IF(TODAY()&lt;E182,"Upcoming",IF(TODAY()&lt;F182,"Staying now",IF(M182="Yes","Checked out","Payout not received"))))</f>
        <v/>
      </c>
      <c r="O182" s="35" t="n"/>
      <c r="P182" s="1" t="n"/>
      <c r="Q182">
        <f>IF(N(G182)&gt;0,L182/G182,0)</f>
        <v/>
      </c>
      <c r="R182">
        <f>IF(N(G182)&gt;0,N(I182)/G182,0)</f>
        <v/>
      </c>
      <c r="S182">
        <f>IF(OR($E182="",$F182=""),0,MAX(0,MIN($F182,DATE(Dashboard!$C$4,2,1))-MAX($E182,DATE(Dashboard!$C$4,1,1))))</f>
        <v/>
      </c>
      <c r="T182">
        <f>IF(OR($E182="",$F182=""),0,MAX(0,MIN($F182,DATE(Dashboard!$C$4,3,1))-MAX($E182,DATE(Dashboard!$C$4,2,1))))</f>
        <v/>
      </c>
      <c r="U182">
        <f>IF(OR($E182="",$F182=""),0,MAX(0,MIN($F182,DATE(Dashboard!$C$4,4,1))-MAX($E182,DATE(Dashboard!$C$4,3,1))))</f>
        <v/>
      </c>
      <c r="V182">
        <f>IF(OR($E182="",$F182=""),0,MAX(0,MIN($F182,DATE(Dashboard!$C$4,5,1))-MAX($E182,DATE(Dashboard!$C$4,4,1))))</f>
        <v/>
      </c>
      <c r="W182">
        <f>IF(OR($E182="",$F182=""),0,MAX(0,MIN($F182,DATE(Dashboard!$C$4,6,1))-MAX($E182,DATE(Dashboard!$C$4,5,1))))</f>
        <v/>
      </c>
      <c r="X182">
        <f>IF(OR($E182="",$F182=""),0,MAX(0,MIN($F182,DATE(Dashboard!$C$4,7,1))-MAX($E182,DATE(Dashboard!$C$4,6,1))))</f>
        <v/>
      </c>
      <c r="Y182">
        <f>IF(OR($E182="",$F182=""),0,MAX(0,MIN($F182,DATE(Dashboard!$C$4,8,1))-MAX($E182,DATE(Dashboard!$C$4,7,1))))</f>
        <v/>
      </c>
      <c r="Z182">
        <f>IF(OR($E182="",$F182=""),0,MAX(0,MIN($F182,DATE(Dashboard!$C$4,9,1))-MAX($E182,DATE(Dashboard!$C$4,8,1))))</f>
        <v/>
      </c>
      <c r="AA182">
        <f>IF(OR($E182="",$F182=""),0,MAX(0,MIN($F182,DATE(Dashboard!$C$4,10,1))-MAX($E182,DATE(Dashboard!$C$4,9,1))))</f>
        <v/>
      </c>
      <c r="AB182">
        <f>IF(OR($E182="",$F182=""),0,MAX(0,MIN($F182,DATE(Dashboard!$C$4,11,1))-MAX($E182,DATE(Dashboard!$C$4,10,1))))</f>
        <v/>
      </c>
      <c r="AC182">
        <f>IF(OR($E182="",$F182=""),0,MAX(0,MIN($F182,DATE(Dashboard!$C$4,12,1))-MAX($E182,DATE(Dashboard!$C$4,11,1))))</f>
        <v/>
      </c>
      <c r="AD182">
        <f>IF(OR($E182="",$F182=""),0,MAX(0,MIN($F182,DATE(Dashboard!$C$4,13,1))-MAX($E182,DATE(Dashboard!$C$4,12,1))))</f>
        <v/>
      </c>
      <c r="AE182">
        <f>SUM(S182:AD182)</f>
        <v/>
      </c>
      <c r="AF182">
        <f>Q182*AE182</f>
        <v/>
      </c>
      <c r="AG182">
        <f>R182*AE182</f>
        <v/>
      </c>
      <c r="AH182">
        <f>SUMPRODUCT(S182:AD182,--(COLUMN(S182:AD182)-COLUMN(S182)+1&lt;=Dashboard!$N$1))</f>
        <v/>
      </c>
      <c r="AI182">
        <f>IF(OR(E182="",E182&lt;TODAY()),"",E182+ROW()/100000)</f>
        <v/>
      </c>
      <c r="AJ182">
        <f>IF(OR(F182="",F182&lt;TODAY()),"",F182+ROW()/100000)</f>
        <v/>
      </c>
    </row>
    <row r="183">
      <c r="A183" s="1" t="n"/>
      <c r="B183" s="35" t="n"/>
      <c r="C183" s="35" t="n"/>
      <c r="D183" s="35" t="n"/>
      <c r="E183" s="36" t="n"/>
      <c r="F183" s="36" t="n"/>
      <c r="G183" s="18">
        <f>IF(OR(E183="",F183=""),"",F183-E183)</f>
        <v/>
      </c>
      <c r="H183" s="37" t="n"/>
      <c r="I183" s="38" t="n"/>
      <c r="J183" s="38" t="n"/>
      <c r="K183" s="38" t="n"/>
      <c r="L183" s="31">
        <f>IF(E183="","",N(I183)+N(J183)-N(K183))</f>
        <v/>
      </c>
      <c r="M183" s="39" t="n"/>
      <c r="N183" s="27">
        <f>IF(E183="","",IF(TODAY()&lt;E183,"Upcoming",IF(TODAY()&lt;F183,"Staying now",IF(M183="Yes","Checked out","Payout not received"))))</f>
        <v/>
      </c>
      <c r="O183" s="35" t="n"/>
      <c r="P183" s="1" t="n"/>
      <c r="Q183">
        <f>IF(N(G183)&gt;0,L183/G183,0)</f>
        <v/>
      </c>
      <c r="R183">
        <f>IF(N(G183)&gt;0,N(I183)/G183,0)</f>
        <v/>
      </c>
      <c r="S183">
        <f>IF(OR($E183="",$F183=""),0,MAX(0,MIN($F183,DATE(Dashboard!$C$4,2,1))-MAX($E183,DATE(Dashboard!$C$4,1,1))))</f>
        <v/>
      </c>
      <c r="T183">
        <f>IF(OR($E183="",$F183=""),0,MAX(0,MIN($F183,DATE(Dashboard!$C$4,3,1))-MAX($E183,DATE(Dashboard!$C$4,2,1))))</f>
        <v/>
      </c>
      <c r="U183">
        <f>IF(OR($E183="",$F183=""),0,MAX(0,MIN($F183,DATE(Dashboard!$C$4,4,1))-MAX($E183,DATE(Dashboard!$C$4,3,1))))</f>
        <v/>
      </c>
      <c r="V183">
        <f>IF(OR($E183="",$F183=""),0,MAX(0,MIN($F183,DATE(Dashboard!$C$4,5,1))-MAX($E183,DATE(Dashboard!$C$4,4,1))))</f>
        <v/>
      </c>
      <c r="W183">
        <f>IF(OR($E183="",$F183=""),0,MAX(0,MIN($F183,DATE(Dashboard!$C$4,6,1))-MAX($E183,DATE(Dashboard!$C$4,5,1))))</f>
        <v/>
      </c>
      <c r="X183">
        <f>IF(OR($E183="",$F183=""),0,MAX(0,MIN($F183,DATE(Dashboard!$C$4,7,1))-MAX($E183,DATE(Dashboard!$C$4,6,1))))</f>
        <v/>
      </c>
      <c r="Y183">
        <f>IF(OR($E183="",$F183=""),0,MAX(0,MIN($F183,DATE(Dashboard!$C$4,8,1))-MAX($E183,DATE(Dashboard!$C$4,7,1))))</f>
        <v/>
      </c>
      <c r="Z183">
        <f>IF(OR($E183="",$F183=""),0,MAX(0,MIN($F183,DATE(Dashboard!$C$4,9,1))-MAX($E183,DATE(Dashboard!$C$4,8,1))))</f>
        <v/>
      </c>
      <c r="AA183">
        <f>IF(OR($E183="",$F183=""),0,MAX(0,MIN($F183,DATE(Dashboard!$C$4,10,1))-MAX($E183,DATE(Dashboard!$C$4,9,1))))</f>
        <v/>
      </c>
      <c r="AB183">
        <f>IF(OR($E183="",$F183=""),0,MAX(0,MIN($F183,DATE(Dashboard!$C$4,11,1))-MAX($E183,DATE(Dashboard!$C$4,10,1))))</f>
        <v/>
      </c>
      <c r="AC183">
        <f>IF(OR($E183="",$F183=""),0,MAX(0,MIN($F183,DATE(Dashboard!$C$4,12,1))-MAX($E183,DATE(Dashboard!$C$4,11,1))))</f>
        <v/>
      </c>
      <c r="AD183">
        <f>IF(OR($E183="",$F183=""),0,MAX(0,MIN($F183,DATE(Dashboard!$C$4,13,1))-MAX($E183,DATE(Dashboard!$C$4,12,1))))</f>
        <v/>
      </c>
      <c r="AE183">
        <f>SUM(S183:AD183)</f>
        <v/>
      </c>
      <c r="AF183">
        <f>Q183*AE183</f>
        <v/>
      </c>
      <c r="AG183">
        <f>R183*AE183</f>
        <v/>
      </c>
      <c r="AH183">
        <f>SUMPRODUCT(S183:AD183,--(COLUMN(S183:AD183)-COLUMN(S183)+1&lt;=Dashboard!$N$1))</f>
        <v/>
      </c>
      <c r="AI183">
        <f>IF(OR(E183="",E183&lt;TODAY()),"",E183+ROW()/100000)</f>
        <v/>
      </c>
      <c r="AJ183">
        <f>IF(OR(F183="",F183&lt;TODAY()),"",F183+ROW()/100000)</f>
        <v/>
      </c>
    </row>
    <row r="184">
      <c r="A184" s="1" t="n"/>
      <c r="B184" s="35" t="n"/>
      <c r="C184" s="35" t="n"/>
      <c r="D184" s="35" t="n"/>
      <c r="E184" s="36" t="n"/>
      <c r="F184" s="36" t="n"/>
      <c r="G184" s="18">
        <f>IF(OR(E184="",F184=""),"",F184-E184)</f>
        <v/>
      </c>
      <c r="H184" s="37" t="n"/>
      <c r="I184" s="38" t="n"/>
      <c r="J184" s="38" t="n"/>
      <c r="K184" s="38" t="n"/>
      <c r="L184" s="31">
        <f>IF(E184="","",N(I184)+N(J184)-N(K184))</f>
        <v/>
      </c>
      <c r="M184" s="39" t="n"/>
      <c r="N184" s="27">
        <f>IF(E184="","",IF(TODAY()&lt;E184,"Upcoming",IF(TODAY()&lt;F184,"Staying now",IF(M184="Yes","Checked out","Payout not received"))))</f>
        <v/>
      </c>
      <c r="O184" s="35" t="n"/>
      <c r="P184" s="1" t="n"/>
      <c r="Q184">
        <f>IF(N(G184)&gt;0,L184/G184,0)</f>
        <v/>
      </c>
      <c r="R184">
        <f>IF(N(G184)&gt;0,N(I184)/G184,0)</f>
        <v/>
      </c>
      <c r="S184">
        <f>IF(OR($E184="",$F184=""),0,MAX(0,MIN($F184,DATE(Dashboard!$C$4,2,1))-MAX($E184,DATE(Dashboard!$C$4,1,1))))</f>
        <v/>
      </c>
      <c r="T184">
        <f>IF(OR($E184="",$F184=""),0,MAX(0,MIN($F184,DATE(Dashboard!$C$4,3,1))-MAX($E184,DATE(Dashboard!$C$4,2,1))))</f>
        <v/>
      </c>
      <c r="U184">
        <f>IF(OR($E184="",$F184=""),0,MAX(0,MIN($F184,DATE(Dashboard!$C$4,4,1))-MAX($E184,DATE(Dashboard!$C$4,3,1))))</f>
        <v/>
      </c>
      <c r="V184">
        <f>IF(OR($E184="",$F184=""),0,MAX(0,MIN($F184,DATE(Dashboard!$C$4,5,1))-MAX($E184,DATE(Dashboard!$C$4,4,1))))</f>
        <v/>
      </c>
      <c r="W184">
        <f>IF(OR($E184="",$F184=""),0,MAX(0,MIN($F184,DATE(Dashboard!$C$4,6,1))-MAX($E184,DATE(Dashboard!$C$4,5,1))))</f>
        <v/>
      </c>
      <c r="X184">
        <f>IF(OR($E184="",$F184=""),0,MAX(0,MIN($F184,DATE(Dashboard!$C$4,7,1))-MAX($E184,DATE(Dashboard!$C$4,6,1))))</f>
        <v/>
      </c>
      <c r="Y184">
        <f>IF(OR($E184="",$F184=""),0,MAX(0,MIN($F184,DATE(Dashboard!$C$4,8,1))-MAX($E184,DATE(Dashboard!$C$4,7,1))))</f>
        <v/>
      </c>
      <c r="Z184">
        <f>IF(OR($E184="",$F184=""),0,MAX(0,MIN($F184,DATE(Dashboard!$C$4,9,1))-MAX($E184,DATE(Dashboard!$C$4,8,1))))</f>
        <v/>
      </c>
      <c r="AA184">
        <f>IF(OR($E184="",$F184=""),0,MAX(0,MIN($F184,DATE(Dashboard!$C$4,10,1))-MAX($E184,DATE(Dashboard!$C$4,9,1))))</f>
        <v/>
      </c>
      <c r="AB184">
        <f>IF(OR($E184="",$F184=""),0,MAX(0,MIN($F184,DATE(Dashboard!$C$4,11,1))-MAX($E184,DATE(Dashboard!$C$4,10,1))))</f>
        <v/>
      </c>
      <c r="AC184">
        <f>IF(OR($E184="",$F184=""),0,MAX(0,MIN($F184,DATE(Dashboard!$C$4,12,1))-MAX($E184,DATE(Dashboard!$C$4,11,1))))</f>
        <v/>
      </c>
      <c r="AD184">
        <f>IF(OR($E184="",$F184=""),0,MAX(0,MIN($F184,DATE(Dashboard!$C$4,13,1))-MAX($E184,DATE(Dashboard!$C$4,12,1))))</f>
        <v/>
      </c>
      <c r="AE184">
        <f>SUM(S184:AD184)</f>
        <v/>
      </c>
      <c r="AF184">
        <f>Q184*AE184</f>
        <v/>
      </c>
      <c r="AG184">
        <f>R184*AE184</f>
        <v/>
      </c>
      <c r="AH184">
        <f>SUMPRODUCT(S184:AD184,--(COLUMN(S184:AD184)-COLUMN(S184)+1&lt;=Dashboard!$N$1))</f>
        <v/>
      </c>
      <c r="AI184">
        <f>IF(OR(E184="",E184&lt;TODAY()),"",E184+ROW()/100000)</f>
        <v/>
      </c>
      <c r="AJ184">
        <f>IF(OR(F184="",F184&lt;TODAY()),"",F184+ROW()/100000)</f>
        <v/>
      </c>
    </row>
    <row r="185">
      <c r="A185" s="1" t="n"/>
      <c r="B185" s="35" t="n"/>
      <c r="C185" s="35" t="n"/>
      <c r="D185" s="35" t="n"/>
      <c r="E185" s="36" t="n"/>
      <c r="F185" s="36" t="n"/>
      <c r="G185" s="18">
        <f>IF(OR(E185="",F185=""),"",F185-E185)</f>
        <v/>
      </c>
      <c r="H185" s="37" t="n"/>
      <c r="I185" s="38" t="n"/>
      <c r="J185" s="38" t="n"/>
      <c r="K185" s="38" t="n"/>
      <c r="L185" s="31">
        <f>IF(E185="","",N(I185)+N(J185)-N(K185))</f>
        <v/>
      </c>
      <c r="M185" s="39" t="n"/>
      <c r="N185" s="27">
        <f>IF(E185="","",IF(TODAY()&lt;E185,"Upcoming",IF(TODAY()&lt;F185,"Staying now",IF(M185="Yes","Checked out","Payout not received"))))</f>
        <v/>
      </c>
      <c r="O185" s="35" t="n"/>
      <c r="P185" s="1" t="n"/>
      <c r="Q185">
        <f>IF(N(G185)&gt;0,L185/G185,0)</f>
        <v/>
      </c>
      <c r="R185">
        <f>IF(N(G185)&gt;0,N(I185)/G185,0)</f>
        <v/>
      </c>
      <c r="S185">
        <f>IF(OR($E185="",$F185=""),0,MAX(0,MIN($F185,DATE(Dashboard!$C$4,2,1))-MAX($E185,DATE(Dashboard!$C$4,1,1))))</f>
        <v/>
      </c>
      <c r="T185">
        <f>IF(OR($E185="",$F185=""),0,MAX(0,MIN($F185,DATE(Dashboard!$C$4,3,1))-MAX($E185,DATE(Dashboard!$C$4,2,1))))</f>
        <v/>
      </c>
      <c r="U185">
        <f>IF(OR($E185="",$F185=""),0,MAX(0,MIN($F185,DATE(Dashboard!$C$4,4,1))-MAX($E185,DATE(Dashboard!$C$4,3,1))))</f>
        <v/>
      </c>
      <c r="V185">
        <f>IF(OR($E185="",$F185=""),0,MAX(0,MIN($F185,DATE(Dashboard!$C$4,5,1))-MAX($E185,DATE(Dashboard!$C$4,4,1))))</f>
        <v/>
      </c>
      <c r="W185">
        <f>IF(OR($E185="",$F185=""),0,MAX(0,MIN($F185,DATE(Dashboard!$C$4,6,1))-MAX($E185,DATE(Dashboard!$C$4,5,1))))</f>
        <v/>
      </c>
      <c r="X185">
        <f>IF(OR($E185="",$F185=""),0,MAX(0,MIN($F185,DATE(Dashboard!$C$4,7,1))-MAX($E185,DATE(Dashboard!$C$4,6,1))))</f>
        <v/>
      </c>
      <c r="Y185">
        <f>IF(OR($E185="",$F185=""),0,MAX(0,MIN($F185,DATE(Dashboard!$C$4,8,1))-MAX($E185,DATE(Dashboard!$C$4,7,1))))</f>
        <v/>
      </c>
      <c r="Z185">
        <f>IF(OR($E185="",$F185=""),0,MAX(0,MIN($F185,DATE(Dashboard!$C$4,9,1))-MAX($E185,DATE(Dashboard!$C$4,8,1))))</f>
        <v/>
      </c>
      <c r="AA185">
        <f>IF(OR($E185="",$F185=""),0,MAX(0,MIN($F185,DATE(Dashboard!$C$4,10,1))-MAX($E185,DATE(Dashboard!$C$4,9,1))))</f>
        <v/>
      </c>
      <c r="AB185">
        <f>IF(OR($E185="",$F185=""),0,MAX(0,MIN($F185,DATE(Dashboard!$C$4,11,1))-MAX($E185,DATE(Dashboard!$C$4,10,1))))</f>
        <v/>
      </c>
      <c r="AC185">
        <f>IF(OR($E185="",$F185=""),0,MAX(0,MIN($F185,DATE(Dashboard!$C$4,12,1))-MAX($E185,DATE(Dashboard!$C$4,11,1))))</f>
        <v/>
      </c>
      <c r="AD185">
        <f>IF(OR($E185="",$F185=""),0,MAX(0,MIN($F185,DATE(Dashboard!$C$4,13,1))-MAX($E185,DATE(Dashboard!$C$4,12,1))))</f>
        <v/>
      </c>
      <c r="AE185">
        <f>SUM(S185:AD185)</f>
        <v/>
      </c>
      <c r="AF185">
        <f>Q185*AE185</f>
        <v/>
      </c>
      <c r="AG185">
        <f>R185*AE185</f>
        <v/>
      </c>
      <c r="AH185">
        <f>SUMPRODUCT(S185:AD185,--(COLUMN(S185:AD185)-COLUMN(S185)+1&lt;=Dashboard!$N$1))</f>
        <v/>
      </c>
      <c r="AI185">
        <f>IF(OR(E185="",E185&lt;TODAY()),"",E185+ROW()/100000)</f>
        <v/>
      </c>
      <c r="AJ185">
        <f>IF(OR(F185="",F185&lt;TODAY()),"",F185+ROW()/100000)</f>
        <v/>
      </c>
    </row>
    <row r="186">
      <c r="A186" s="1" t="n"/>
      <c r="B186" s="35" t="n"/>
      <c r="C186" s="35" t="n"/>
      <c r="D186" s="35" t="n"/>
      <c r="E186" s="36" t="n"/>
      <c r="F186" s="36" t="n"/>
      <c r="G186" s="18">
        <f>IF(OR(E186="",F186=""),"",F186-E186)</f>
        <v/>
      </c>
      <c r="H186" s="37" t="n"/>
      <c r="I186" s="38" t="n"/>
      <c r="J186" s="38" t="n"/>
      <c r="K186" s="38" t="n"/>
      <c r="L186" s="31">
        <f>IF(E186="","",N(I186)+N(J186)-N(K186))</f>
        <v/>
      </c>
      <c r="M186" s="39" t="n"/>
      <c r="N186" s="27">
        <f>IF(E186="","",IF(TODAY()&lt;E186,"Upcoming",IF(TODAY()&lt;F186,"Staying now",IF(M186="Yes","Checked out","Payout not received"))))</f>
        <v/>
      </c>
      <c r="O186" s="35" t="n"/>
      <c r="P186" s="1" t="n"/>
      <c r="Q186">
        <f>IF(N(G186)&gt;0,L186/G186,0)</f>
        <v/>
      </c>
      <c r="R186">
        <f>IF(N(G186)&gt;0,N(I186)/G186,0)</f>
        <v/>
      </c>
      <c r="S186">
        <f>IF(OR($E186="",$F186=""),0,MAX(0,MIN($F186,DATE(Dashboard!$C$4,2,1))-MAX($E186,DATE(Dashboard!$C$4,1,1))))</f>
        <v/>
      </c>
      <c r="T186">
        <f>IF(OR($E186="",$F186=""),0,MAX(0,MIN($F186,DATE(Dashboard!$C$4,3,1))-MAX($E186,DATE(Dashboard!$C$4,2,1))))</f>
        <v/>
      </c>
      <c r="U186">
        <f>IF(OR($E186="",$F186=""),0,MAX(0,MIN($F186,DATE(Dashboard!$C$4,4,1))-MAX($E186,DATE(Dashboard!$C$4,3,1))))</f>
        <v/>
      </c>
      <c r="V186">
        <f>IF(OR($E186="",$F186=""),0,MAX(0,MIN($F186,DATE(Dashboard!$C$4,5,1))-MAX($E186,DATE(Dashboard!$C$4,4,1))))</f>
        <v/>
      </c>
      <c r="W186">
        <f>IF(OR($E186="",$F186=""),0,MAX(0,MIN($F186,DATE(Dashboard!$C$4,6,1))-MAX($E186,DATE(Dashboard!$C$4,5,1))))</f>
        <v/>
      </c>
      <c r="X186">
        <f>IF(OR($E186="",$F186=""),0,MAX(0,MIN($F186,DATE(Dashboard!$C$4,7,1))-MAX($E186,DATE(Dashboard!$C$4,6,1))))</f>
        <v/>
      </c>
      <c r="Y186">
        <f>IF(OR($E186="",$F186=""),0,MAX(0,MIN($F186,DATE(Dashboard!$C$4,8,1))-MAX($E186,DATE(Dashboard!$C$4,7,1))))</f>
        <v/>
      </c>
      <c r="Z186">
        <f>IF(OR($E186="",$F186=""),0,MAX(0,MIN($F186,DATE(Dashboard!$C$4,9,1))-MAX($E186,DATE(Dashboard!$C$4,8,1))))</f>
        <v/>
      </c>
      <c r="AA186">
        <f>IF(OR($E186="",$F186=""),0,MAX(0,MIN($F186,DATE(Dashboard!$C$4,10,1))-MAX($E186,DATE(Dashboard!$C$4,9,1))))</f>
        <v/>
      </c>
      <c r="AB186">
        <f>IF(OR($E186="",$F186=""),0,MAX(0,MIN($F186,DATE(Dashboard!$C$4,11,1))-MAX($E186,DATE(Dashboard!$C$4,10,1))))</f>
        <v/>
      </c>
      <c r="AC186">
        <f>IF(OR($E186="",$F186=""),0,MAX(0,MIN($F186,DATE(Dashboard!$C$4,12,1))-MAX($E186,DATE(Dashboard!$C$4,11,1))))</f>
        <v/>
      </c>
      <c r="AD186">
        <f>IF(OR($E186="",$F186=""),0,MAX(0,MIN($F186,DATE(Dashboard!$C$4,13,1))-MAX($E186,DATE(Dashboard!$C$4,12,1))))</f>
        <v/>
      </c>
      <c r="AE186">
        <f>SUM(S186:AD186)</f>
        <v/>
      </c>
      <c r="AF186">
        <f>Q186*AE186</f>
        <v/>
      </c>
      <c r="AG186">
        <f>R186*AE186</f>
        <v/>
      </c>
      <c r="AH186">
        <f>SUMPRODUCT(S186:AD186,--(COLUMN(S186:AD186)-COLUMN(S186)+1&lt;=Dashboard!$N$1))</f>
        <v/>
      </c>
      <c r="AI186">
        <f>IF(OR(E186="",E186&lt;TODAY()),"",E186+ROW()/100000)</f>
        <v/>
      </c>
      <c r="AJ186">
        <f>IF(OR(F186="",F186&lt;TODAY()),"",F186+ROW()/100000)</f>
        <v/>
      </c>
    </row>
    <row r="187">
      <c r="A187" s="1" t="n"/>
      <c r="B187" s="35" t="n"/>
      <c r="C187" s="35" t="n"/>
      <c r="D187" s="35" t="n"/>
      <c r="E187" s="36" t="n"/>
      <c r="F187" s="36" t="n"/>
      <c r="G187" s="18">
        <f>IF(OR(E187="",F187=""),"",F187-E187)</f>
        <v/>
      </c>
      <c r="H187" s="37" t="n"/>
      <c r="I187" s="38" t="n"/>
      <c r="J187" s="38" t="n"/>
      <c r="K187" s="38" t="n"/>
      <c r="L187" s="31">
        <f>IF(E187="","",N(I187)+N(J187)-N(K187))</f>
        <v/>
      </c>
      <c r="M187" s="39" t="n"/>
      <c r="N187" s="27">
        <f>IF(E187="","",IF(TODAY()&lt;E187,"Upcoming",IF(TODAY()&lt;F187,"Staying now",IF(M187="Yes","Checked out","Payout not received"))))</f>
        <v/>
      </c>
      <c r="O187" s="35" t="n"/>
      <c r="P187" s="1" t="n"/>
      <c r="Q187">
        <f>IF(N(G187)&gt;0,L187/G187,0)</f>
        <v/>
      </c>
      <c r="R187">
        <f>IF(N(G187)&gt;0,N(I187)/G187,0)</f>
        <v/>
      </c>
      <c r="S187">
        <f>IF(OR($E187="",$F187=""),0,MAX(0,MIN($F187,DATE(Dashboard!$C$4,2,1))-MAX($E187,DATE(Dashboard!$C$4,1,1))))</f>
        <v/>
      </c>
      <c r="T187">
        <f>IF(OR($E187="",$F187=""),0,MAX(0,MIN($F187,DATE(Dashboard!$C$4,3,1))-MAX($E187,DATE(Dashboard!$C$4,2,1))))</f>
        <v/>
      </c>
      <c r="U187">
        <f>IF(OR($E187="",$F187=""),0,MAX(0,MIN($F187,DATE(Dashboard!$C$4,4,1))-MAX($E187,DATE(Dashboard!$C$4,3,1))))</f>
        <v/>
      </c>
      <c r="V187">
        <f>IF(OR($E187="",$F187=""),0,MAX(0,MIN($F187,DATE(Dashboard!$C$4,5,1))-MAX($E187,DATE(Dashboard!$C$4,4,1))))</f>
        <v/>
      </c>
      <c r="W187">
        <f>IF(OR($E187="",$F187=""),0,MAX(0,MIN($F187,DATE(Dashboard!$C$4,6,1))-MAX($E187,DATE(Dashboard!$C$4,5,1))))</f>
        <v/>
      </c>
      <c r="X187">
        <f>IF(OR($E187="",$F187=""),0,MAX(0,MIN($F187,DATE(Dashboard!$C$4,7,1))-MAX($E187,DATE(Dashboard!$C$4,6,1))))</f>
        <v/>
      </c>
      <c r="Y187">
        <f>IF(OR($E187="",$F187=""),0,MAX(0,MIN($F187,DATE(Dashboard!$C$4,8,1))-MAX($E187,DATE(Dashboard!$C$4,7,1))))</f>
        <v/>
      </c>
      <c r="Z187">
        <f>IF(OR($E187="",$F187=""),0,MAX(0,MIN($F187,DATE(Dashboard!$C$4,9,1))-MAX($E187,DATE(Dashboard!$C$4,8,1))))</f>
        <v/>
      </c>
      <c r="AA187">
        <f>IF(OR($E187="",$F187=""),0,MAX(0,MIN($F187,DATE(Dashboard!$C$4,10,1))-MAX($E187,DATE(Dashboard!$C$4,9,1))))</f>
        <v/>
      </c>
      <c r="AB187">
        <f>IF(OR($E187="",$F187=""),0,MAX(0,MIN($F187,DATE(Dashboard!$C$4,11,1))-MAX($E187,DATE(Dashboard!$C$4,10,1))))</f>
        <v/>
      </c>
      <c r="AC187">
        <f>IF(OR($E187="",$F187=""),0,MAX(0,MIN($F187,DATE(Dashboard!$C$4,12,1))-MAX($E187,DATE(Dashboard!$C$4,11,1))))</f>
        <v/>
      </c>
      <c r="AD187">
        <f>IF(OR($E187="",$F187=""),0,MAX(0,MIN($F187,DATE(Dashboard!$C$4,13,1))-MAX($E187,DATE(Dashboard!$C$4,12,1))))</f>
        <v/>
      </c>
      <c r="AE187">
        <f>SUM(S187:AD187)</f>
        <v/>
      </c>
      <c r="AF187">
        <f>Q187*AE187</f>
        <v/>
      </c>
      <c r="AG187">
        <f>R187*AE187</f>
        <v/>
      </c>
      <c r="AH187">
        <f>SUMPRODUCT(S187:AD187,--(COLUMN(S187:AD187)-COLUMN(S187)+1&lt;=Dashboard!$N$1))</f>
        <v/>
      </c>
      <c r="AI187">
        <f>IF(OR(E187="",E187&lt;TODAY()),"",E187+ROW()/100000)</f>
        <v/>
      </c>
      <c r="AJ187">
        <f>IF(OR(F187="",F187&lt;TODAY()),"",F187+ROW()/100000)</f>
        <v/>
      </c>
    </row>
    <row r="188">
      <c r="A188" s="1" t="n"/>
      <c r="B188" s="35" t="n"/>
      <c r="C188" s="35" t="n"/>
      <c r="D188" s="35" t="n"/>
      <c r="E188" s="36" t="n"/>
      <c r="F188" s="36" t="n"/>
      <c r="G188" s="18">
        <f>IF(OR(E188="",F188=""),"",F188-E188)</f>
        <v/>
      </c>
      <c r="H188" s="37" t="n"/>
      <c r="I188" s="38" t="n"/>
      <c r="J188" s="38" t="n"/>
      <c r="K188" s="38" t="n"/>
      <c r="L188" s="31">
        <f>IF(E188="","",N(I188)+N(J188)-N(K188))</f>
        <v/>
      </c>
      <c r="M188" s="39" t="n"/>
      <c r="N188" s="27">
        <f>IF(E188="","",IF(TODAY()&lt;E188,"Upcoming",IF(TODAY()&lt;F188,"Staying now",IF(M188="Yes","Checked out","Payout not received"))))</f>
        <v/>
      </c>
      <c r="O188" s="35" t="n"/>
      <c r="P188" s="1" t="n"/>
      <c r="Q188">
        <f>IF(N(G188)&gt;0,L188/G188,0)</f>
        <v/>
      </c>
      <c r="R188">
        <f>IF(N(G188)&gt;0,N(I188)/G188,0)</f>
        <v/>
      </c>
      <c r="S188">
        <f>IF(OR($E188="",$F188=""),0,MAX(0,MIN($F188,DATE(Dashboard!$C$4,2,1))-MAX($E188,DATE(Dashboard!$C$4,1,1))))</f>
        <v/>
      </c>
      <c r="T188">
        <f>IF(OR($E188="",$F188=""),0,MAX(0,MIN($F188,DATE(Dashboard!$C$4,3,1))-MAX($E188,DATE(Dashboard!$C$4,2,1))))</f>
        <v/>
      </c>
      <c r="U188">
        <f>IF(OR($E188="",$F188=""),0,MAX(0,MIN($F188,DATE(Dashboard!$C$4,4,1))-MAX($E188,DATE(Dashboard!$C$4,3,1))))</f>
        <v/>
      </c>
      <c r="V188">
        <f>IF(OR($E188="",$F188=""),0,MAX(0,MIN($F188,DATE(Dashboard!$C$4,5,1))-MAX($E188,DATE(Dashboard!$C$4,4,1))))</f>
        <v/>
      </c>
      <c r="W188">
        <f>IF(OR($E188="",$F188=""),0,MAX(0,MIN($F188,DATE(Dashboard!$C$4,6,1))-MAX($E188,DATE(Dashboard!$C$4,5,1))))</f>
        <v/>
      </c>
      <c r="X188">
        <f>IF(OR($E188="",$F188=""),0,MAX(0,MIN($F188,DATE(Dashboard!$C$4,7,1))-MAX($E188,DATE(Dashboard!$C$4,6,1))))</f>
        <v/>
      </c>
      <c r="Y188">
        <f>IF(OR($E188="",$F188=""),0,MAX(0,MIN($F188,DATE(Dashboard!$C$4,8,1))-MAX($E188,DATE(Dashboard!$C$4,7,1))))</f>
        <v/>
      </c>
      <c r="Z188">
        <f>IF(OR($E188="",$F188=""),0,MAX(0,MIN($F188,DATE(Dashboard!$C$4,9,1))-MAX($E188,DATE(Dashboard!$C$4,8,1))))</f>
        <v/>
      </c>
      <c r="AA188">
        <f>IF(OR($E188="",$F188=""),0,MAX(0,MIN($F188,DATE(Dashboard!$C$4,10,1))-MAX($E188,DATE(Dashboard!$C$4,9,1))))</f>
        <v/>
      </c>
      <c r="AB188">
        <f>IF(OR($E188="",$F188=""),0,MAX(0,MIN($F188,DATE(Dashboard!$C$4,11,1))-MAX($E188,DATE(Dashboard!$C$4,10,1))))</f>
        <v/>
      </c>
      <c r="AC188">
        <f>IF(OR($E188="",$F188=""),0,MAX(0,MIN($F188,DATE(Dashboard!$C$4,12,1))-MAX($E188,DATE(Dashboard!$C$4,11,1))))</f>
        <v/>
      </c>
      <c r="AD188">
        <f>IF(OR($E188="",$F188=""),0,MAX(0,MIN($F188,DATE(Dashboard!$C$4,13,1))-MAX($E188,DATE(Dashboard!$C$4,12,1))))</f>
        <v/>
      </c>
      <c r="AE188">
        <f>SUM(S188:AD188)</f>
        <v/>
      </c>
      <c r="AF188">
        <f>Q188*AE188</f>
        <v/>
      </c>
      <c r="AG188">
        <f>R188*AE188</f>
        <v/>
      </c>
      <c r="AH188">
        <f>SUMPRODUCT(S188:AD188,--(COLUMN(S188:AD188)-COLUMN(S188)+1&lt;=Dashboard!$N$1))</f>
        <v/>
      </c>
      <c r="AI188">
        <f>IF(OR(E188="",E188&lt;TODAY()),"",E188+ROW()/100000)</f>
        <v/>
      </c>
      <c r="AJ188">
        <f>IF(OR(F188="",F188&lt;TODAY()),"",F188+ROW()/100000)</f>
        <v/>
      </c>
    </row>
    <row r="189">
      <c r="A189" s="1" t="n"/>
      <c r="B189" s="35" t="n"/>
      <c r="C189" s="35" t="n"/>
      <c r="D189" s="35" t="n"/>
      <c r="E189" s="36" t="n"/>
      <c r="F189" s="36" t="n"/>
      <c r="G189" s="18">
        <f>IF(OR(E189="",F189=""),"",F189-E189)</f>
        <v/>
      </c>
      <c r="H189" s="37" t="n"/>
      <c r="I189" s="38" t="n"/>
      <c r="J189" s="38" t="n"/>
      <c r="K189" s="38" t="n"/>
      <c r="L189" s="31">
        <f>IF(E189="","",N(I189)+N(J189)-N(K189))</f>
        <v/>
      </c>
      <c r="M189" s="39" t="n"/>
      <c r="N189" s="27">
        <f>IF(E189="","",IF(TODAY()&lt;E189,"Upcoming",IF(TODAY()&lt;F189,"Staying now",IF(M189="Yes","Checked out","Payout not received"))))</f>
        <v/>
      </c>
      <c r="O189" s="35" t="n"/>
      <c r="P189" s="1" t="n"/>
      <c r="Q189">
        <f>IF(N(G189)&gt;0,L189/G189,0)</f>
        <v/>
      </c>
      <c r="R189">
        <f>IF(N(G189)&gt;0,N(I189)/G189,0)</f>
        <v/>
      </c>
      <c r="S189">
        <f>IF(OR($E189="",$F189=""),0,MAX(0,MIN($F189,DATE(Dashboard!$C$4,2,1))-MAX($E189,DATE(Dashboard!$C$4,1,1))))</f>
        <v/>
      </c>
      <c r="T189">
        <f>IF(OR($E189="",$F189=""),0,MAX(0,MIN($F189,DATE(Dashboard!$C$4,3,1))-MAX($E189,DATE(Dashboard!$C$4,2,1))))</f>
        <v/>
      </c>
      <c r="U189">
        <f>IF(OR($E189="",$F189=""),0,MAX(0,MIN($F189,DATE(Dashboard!$C$4,4,1))-MAX($E189,DATE(Dashboard!$C$4,3,1))))</f>
        <v/>
      </c>
      <c r="V189">
        <f>IF(OR($E189="",$F189=""),0,MAX(0,MIN($F189,DATE(Dashboard!$C$4,5,1))-MAX($E189,DATE(Dashboard!$C$4,4,1))))</f>
        <v/>
      </c>
      <c r="W189">
        <f>IF(OR($E189="",$F189=""),0,MAX(0,MIN($F189,DATE(Dashboard!$C$4,6,1))-MAX($E189,DATE(Dashboard!$C$4,5,1))))</f>
        <v/>
      </c>
      <c r="X189">
        <f>IF(OR($E189="",$F189=""),0,MAX(0,MIN($F189,DATE(Dashboard!$C$4,7,1))-MAX($E189,DATE(Dashboard!$C$4,6,1))))</f>
        <v/>
      </c>
      <c r="Y189">
        <f>IF(OR($E189="",$F189=""),0,MAX(0,MIN($F189,DATE(Dashboard!$C$4,8,1))-MAX($E189,DATE(Dashboard!$C$4,7,1))))</f>
        <v/>
      </c>
      <c r="Z189">
        <f>IF(OR($E189="",$F189=""),0,MAX(0,MIN($F189,DATE(Dashboard!$C$4,9,1))-MAX($E189,DATE(Dashboard!$C$4,8,1))))</f>
        <v/>
      </c>
      <c r="AA189">
        <f>IF(OR($E189="",$F189=""),0,MAX(0,MIN($F189,DATE(Dashboard!$C$4,10,1))-MAX($E189,DATE(Dashboard!$C$4,9,1))))</f>
        <v/>
      </c>
      <c r="AB189">
        <f>IF(OR($E189="",$F189=""),0,MAX(0,MIN($F189,DATE(Dashboard!$C$4,11,1))-MAX($E189,DATE(Dashboard!$C$4,10,1))))</f>
        <v/>
      </c>
      <c r="AC189">
        <f>IF(OR($E189="",$F189=""),0,MAX(0,MIN($F189,DATE(Dashboard!$C$4,12,1))-MAX($E189,DATE(Dashboard!$C$4,11,1))))</f>
        <v/>
      </c>
      <c r="AD189">
        <f>IF(OR($E189="",$F189=""),0,MAX(0,MIN($F189,DATE(Dashboard!$C$4,13,1))-MAX($E189,DATE(Dashboard!$C$4,12,1))))</f>
        <v/>
      </c>
      <c r="AE189">
        <f>SUM(S189:AD189)</f>
        <v/>
      </c>
      <c r="AF189">
        <f>Q189*AE189</f>
        <v/>
      </c>
      <c r="AG189">
        <f>R189*AE189</f>
        <v/>
      </c>
      <c r="AH189">
        <f>SUMPRODUCT(S189:AD189,--(COLUMN(S189:AD189)-COLUMN(S189)+1&lt;=Dashboard!$N$1))</f>
        <v/>
      </c>
      <c r="AI189">
        <f>IF(OR(E189="",E189&lt;TODAY()),"",E189+ROW()/100000)</f>
        <v/>
      </c>
      <c r="AJ189">
        <f>IF(OR(F189="",F189&lt;TODAY()),"",F189+ROW()/100000)</f>
        <v/>
      </c>
    </row>
    <row r="190">
      <c r="A190" s="1" t="n"/>
      <c r="B190" s="35" t="n"/>
      <c r="C190" s="35" t="n"/>
      <c r="D190" s="35" t="n"/>
      <c r="E190" s="36" t="n"/>
      <c r="F190" s="36" t="n"/>
      <c r="G190" s="18">
        <f>IF(OR(E190="",F190=""),"",F190-E190)</f>
        <v/>
      </c>
      <c r="H190" s="37" t="n"/>
      <c r="I190" s="38" t="n"/>
      <c r="J190" s="38" t="n"/>
      <c r="K190" s="38" t="n"/>
      <c r="L190" s="31">
        <f>IF(E190="","",N(I190)+N(J190)-N(K190))</f>
        <v/>
      </c>
      <c r="M190" s="39" t="n"/>
      <c r="N190" s="27">
        <f>IF(E190="","",IF(TODAY()&lt;E190,"Upcoming",IF(TODAY()&lt;F190,"Staying now",IF(M190="Yes","Checked out","Payout not received"))))</f>
        <v/>
      </c>
      <c r="O190" s="35" t="n"/>
      <c r="P190" s="1" t="n"/>
      <c r="Q190">
        <f>IF(N(G190)&gt;0,L190/G190,0)</f>
        <v/>
      </c>
      <c r="R190">
        <f>IF(N(G190)&gt;0,N(I190)/G190,0)</f>
        <v/>
      </c>
      <c r="S190">
        <f>IF(OR($E190="",$F190=""),0,MAX(0,MIN($F190,DATE(Dashboard!$C$4,2,1))-MAX($E190,DATE(Dashboard!$C$4,1,1))))</f>
        <v/>
      </c>
      <c r="T190">
        <f>IF(OR($E190="",$F190=""),0,MAX(0,MIN($F190,DATE(Dashboard!$C$4,3,1))-MAX($E190,DATE(Dashboard!$C$4,2,1))))</f>
        <v/>
      </c>
      <c r="U190">
        <f>IF(OR($E190="",$F190=""),0,MAX(0,MIN($F190,DATE(Dashboard!$C$4,4,1))-MAX($E190,DATE(Dashboard!$C$4,3,1))))</f>
        <v/>
      </c>
      <c r="V190">
        <f>IF(OR($E190="",$F190=""),0,MAX(0,MIN($F190,DATE(Dashboard!$C$4,5,1))-MAX($E190,DATE(Dashboard!$C$4,4,1))))</f>
        <v/>
      </c>
      <c r="W190">
        <f>IF(OR($E190="",$F190=""),0,MAX(0,MIN($F190,DATE(Dashboard!$C$4,6,1))-MAX($E190,DATE(Dashboard!$C$4,5,1))))</f>
        <v/>
      </c>
      <c r="X190">
        <f>IF(OR($E190="",$F190=""),0,MAX(0,MIN($F190,DATE(Dashboard!$C$4,7,1))-MAX($E190,DATE(Dashboard!$C$4,6,1))))</f>
        <v/>
      </c>
      <c r="Y190">
        <f>IF(OR($E190="",$F190=""),0,MAX(0,MIN($F190,DATE(Dashboard!$C$4,8,1))-MAX($E190,DATE(Dashboard!$C$4,7,1))))</f>
        <v/>
      </c>
      <c r="Z190">
        <f>IF(OR($E190="",$F190=""),0,MAX(0,MIN($F190,DATE(Dashboard!$C$4,9,1))-MAX($E190,DATE(Dashboard!$C$4,8,1))))</f>
        <v/>
      </c>
      <c r="AA190">
        <f>IF(OR($E190="",$F190=""),0,MAX(0,MIN($F190,DATE(Dashboard!$C$4,10,1))-MAX($E190,DATE(Dashboard!$C$4,9,1))))</f>
        <v/>
      </c>
      <c r="AB190">
        <f>IF(OR($E190="",$F190=""),0,MAX(0,MIN($F190,DATE(Dashboard!$C$4,11,1))-MAX($E190,DATE(Dashboard!$C$4,10,1))))</f>
        <v/>
      </c>
      <c r="AC190">
        <f>IF(OR($E190="",$F190=""),0,MAX(0,MIN($F190,DATE(Dashboard!$C$4,12,1))-MAX($E190,DATE(Dashboard!$C$4,11,1))))</f>
        <v/>
      </c>
      <c r="AD190">
        <f>IF(OR($E190="",$F190=""),0,MAX(0,MIN($F190,DATE(Dashboard!$C$4,13,1))-MAX($E190,DATE(Dashboard!$C$4,12,1))))</f>
        <v/>
      </c>
      <c r="AE190">
        <f>SUM(S190:AD190)</f>
        <v/>
      </c>
      <c r="AF190">
        <f>Q190*AE190</f>
        <v/>
      </c>
      <c r="AG190">
        <f>R190*AE190</f>
        <v/>
      </c>
      <c r="AH190">
        <f>SUMPRODUCT(S190:AD190,--(COLUMN(S190:AD190)-COLUMN(S190)+1&lt;=Dashboard!$N$1))</f>
        <v/>
      </c>
      <c r="AI190">
        <f>IF(OR(E190="",E190&lt;TODAY()),"",E190+ROW()/100000)</f>
        <v/>
      </c>
      <c r="AJ190">
        <f>IF(OR(F190="",F190&lt;TODAY()),"",F190+ROW()/100000)</f>
        <v/>
      </c>
    </row>
    <row r="191">
      <c r="A191" s="1" t="n"/>
      <c r="B191" s="35" t="n"/>
      <c r="C191" s="35" t="n"/>
      <c r="D191" s="35" t="n"/>
      <c r="E191" s="36" t="n"/>
      <c r="F191" s="36" t="n"/>
      <c r="G191" s="18">
        <f>IF(OR(E191="",F191=""),"",F191-E191)</f>
        <v/>
      </c>
      <c r="H191" s="37" t="n"/>
      <c r="I191" s="38" t="n"/>
      <c r="J191" s="38" t="n"/>
      <c r="K191" s="38" t="n"/>
      <c r="L191" s="31">
        <f>IF(E191="","",N(I191)+N(J191)-N(K191))</f>
        <v/>
      </c>
      <c r="M191" s="39" t="n"/>
      <c r="N191" s="27">
        <f>IF(E191="","",IF(TODAY()&lt;E191,"Upcoming",IF(TODAY()&lt;F191,"Staying now",IF(M191="Yes","Checked out","Payout not received"))))</f>
        <v/>
      </c>
      <c r="O191" s="35" t="n"/>
      <c r="P191" s="1" t="n"/>
      <c r="Q191">
        <f>IF(N(G191)&gt;0,L191/G191,0)</f>
        <v/>
      </c>
      <c r="R191">
        <f>IF(N(G191)&gt;0,N(I191)/G191,0)</f>
        <v/>
      </c>
      <c r="S191">
        <f>IF(OR($E191="",$F191=""),0,MAX(0,MIN($F191,DATE(Dashboard!$C$4,2,1))-MAX($E191,DATE(Dashboard!$C$4,1,1))))</f>
        <v/>
      </c>
      <c r="T191">
        <f>IF(OR($E191="",$F191=""),0,MAX(0,MIN($F191,DATE(Dashboard!$C$4,3,1))-MAX($E191,DATE(Dashboard!$C$4,2,1))))</f>
        <v/>
      </c>
      <c r="U191">
        <f>IF(OR($E191="",$F191=""),0,MAX(0,MIN($F191,DATE(Dashboard!$C$4,4,1))-MAX($E191,DATE(Dashboard!$C$4,3,1))))</f>
        <v/>
      </c>
      <c r="V191">
        <f>IF(OR($E191="",$F191=""),0,MAX(0,MIN($F191,DATE(Dashboard!$C$4,5,1))-MAX($E191,DATE(Dashboard!$C$4,4,1))))</f>
        <v/>
      </c>
      <c r="W191">
        <f>IF(OR($E191="",$F191=""),0,MAX(0,MIN($F191,DATE(Dashboard!$C$4,6,1))-MAX($E191,DATE(Dashboard!$C$4,5,1))))</f>
        <v/>
      </c>
      <c r="X191">
        <f>IF(OR($E191="",$F191=""),0,MAX(0,MIN($F191,DATE(Dashboard!$C$4,7,1))-MAX($E191,DATE(Dashboard!$C$4,6,1))))</f>
        <v/>
      </c>
      <c r="Y191">
        <f>IF(OR($E191="",$F191=""),0,MAX(0,MIN($F191,DATE(Dashboard!$C$4,8,1))-MAX($E191,DATE(Dashboard!$C$4,7,1))))</f>
        <v/>
      </c>
      <c r="Z191">
        <f>IF(OR($E191="",$F191=""),0,MAX(0,MIN($F191,DATE(Dashboard!$C$4,9,1))-MAX($E191,DATE(Dashboard!$C$4,8,1))))</f>
        <v/>
      </c>
      <c r="AA191">
        <f>IF(OR($E191="",$F191=""),0,MAX(0,MIN($F191,DATE(Dashboard!$C$4,10,1))-MAX($E191,DATE(Dashboard!$C$4,9,1))))</f>
        <v/>
      </c>
      <c r="AB191">
        <f>IF(OR($E191="",$F191=""),0,MAX(0,MIN($F191,DATE(Dashboard!$C$4,11,1))-MAX($E191,DATE(Dashboard!$C$4,10,1))))</f>
        <v/>
      </c>
      <c r="AC191">
        <f>IF(OR($E191="",$F191=""),0,MAX(0,MIN($F191,DATE(Dashboard!$C$4,12,1))-MAX($E191,DATE(Dashboard!$C$4,11,1))))</f>
        <v/>
      </c>
      <c r="AD191">
        <f>IF(OR($E191="",$F191=""),0,MAX(0,MIN($F191,DATE(Dashboard!$C$4,13,1))-MAX($E191,DATE(Dashboard!$C$4,12,1))))</f>
        <v/>
      </c>
      <c r="AE191">
        <f>SUM(S191:AD191)</f>
        <v/>
      </c>
      <c r="AF191">
        <f>Q191*AE191</f>
        <v/>
      </c>
      <c r="AG191">
        <f>R191*AE191</f>
        <v/>
      </c>
      <c r="AH191">
        <f>SUMPRODUCT(S191:AD191,--(COLUMN(S191:AD191)-COLUMN(S191)+1&lt;=Dashboard!$N$1))</f>
        <v/>
      </c>
      <c r="AI191">
        <f>IF(OR(E191="",E191&lt;TODAY()),"",E191+ROW()/100000)</f>
        <v/>
      </c>
      <c r="AJ191">
        <f>IF(OR(F191="",F191&lt;TODAY()),"",F191+ROW()/100000)</f>
        <v/>
      </c>
    </row>
    <row r="192">
      <c r="A192" s="1" t="n"/>
      <c r="B192" s="35" t="n"/>
      <c r="C192" s="35" t="n"/>
      <c r="D192" s="35" t="n"/>
      <c r="E192" s="36" t="n"/>
      <c r="F192" s="36" t="n"/>
      <c r="G192" s="18">
        <f>IF(OR(E192="",F192=""),"",F192-E192)</f>
        <v/>
      </c>
      <c r="H192" s="37" t="n"/>
      <c r="I192" s="38" t="n"/>
      <c r="J192" s="38" t="n"/>
      <c r="K192" s="38" t="n"/>
      <c r="L192" s="31">
        <f>IF(E192="","",N(I192)+N(J192)-N(K192))</f>
        <v/>
      </c>
      <c r="M192" s="39" t="n"/>
      <c r="N192" s="27">
        <f>IF(E192="","",IF(TODAY()&lt;E192,"Upcoming",IF(TODAY()&lt;F192,"Staying now",IF(M192="Yes","Checked out","Payout not received"))))</f>
        <v/>
      </c>
      <c r="O192" s="35" t="n"/>
      <c r="P192" s="1" t="n"/>
      <c r="Q192">
        <f>IF(N(G192)&gt;0,L192/G192,0)</f>
        <v/>
      </c>
      <c r="R192">
        <f>IF(N(G192)&gt;0,N(I192)/G192,0)</f>
        <v/>
      </c>
      <c r="S192">
        <f>IF(OR($E192="",$F192=""),0,MAX(0,MIN($F192,DATE(Dashboard!$C$4,2,1))-MAX($E192,DATE(Dashboard!$C$4,1,1))))</f>
        <v/>
      </c>
      <c r="T192">
        <f>IF(OR($E192="",$F192=""),0,MAX(0,MIN($F192,DATE(Dashboard!$C$4,3,1))-MAX($E192,DATE(Dashboard!$C$4,2,1))))</f>
        <v/>
      </c>
      <c r="U192">
        <f>IF(OR($E192="",$F192=""),0,MAX(0,MIN($F192,DATE(Dashboard!$C$4,4,1))-MAX($E192,DATE(Dashboard!$C$4,3,1))))</f>
        <v/>
      </c>
      <c r="V192">
        <f>IF(OR($E192="",$F192=""),0,MAX(0,MIN($F192,DATE(Dashboard!$C$4,5,1))-MAX($E192,DATE(Dashboard!$C$4,4,1))))</f>
        <v/>
      </c>
      <c r="W192">
        <f>IF(OR($E192="",$F192=""),0,MAX(0,MIN($F192,DATE(Dashboard!$C$4,6,1))-MAX($E192,DATE(Dashboard!$C$4,5,1))))</f>
        <v/>
      </c>
      <c r="X192">
        <f>IF(OR($E192="",$F192=""),0,MAX(0,MIN($F192,DATE(Dashboard!$C$4,7,1))-MAX($E192,DATE(Dashboard!$C$4,6,1))))</f>
        <v/>
      </c>
      <c r="Y192">
        <f>IF(OR($E192="",$F192=""),0,MAX(0,MIN($F192,DATE(Dashboard!$C$4,8,1))-MAX($E192,DATE(Dashboard!$C$4,7,1))))</f>
        <v/>
      </c>
      <c r="Z192">
        <f>IF(OR($E192="",$F192=""),0,MAX(0,MIN($F192,DATE(Dashboard!$C$4,9,1))-MAX($E192,DATE(Dashboard!$C$4,8,1))))</f>
        <v/>
      </c>
      <c r="AA192">
        <f>IF(OR($E192="",$F192=""),0,MAX(0,MIN($F192,DATE(Dashboard!$C$4,10,1))-MAX($E192,DATE(Dashboard!$C$4,9,1))))</f>
        <v/>
      </c>
      <c r="AB192">
        <f>IF(OR($E192="",$F192=""),0,MAX(0,MIN($F192,DATE(Dashboard!$C$4,11,1))-MAX($E192,DATE(Dashboard!$C$4,10,1))))</f>
        <v/>
      </c>
      <c r="AC192">
        <f>IF(OR($E192="",$F192=""),0,MAX(0,MIN($F192,DATE(Dashboard!$C$4,12,1))-MAX($E192,DATE(Dashboard!$C$4,11,1))))</f>
        <v/>
      </c>
      <c r="AD192">
        <f>IF(OR($E192="",$F192=""),0,MAX(0,MIN($F192,DATE(Dashboard!$C$4,13,1))-MAX($E192,DATE(Dashboard!$C$4,12,1))))</f>
        <v/>
      </c>
      <c r="AE192">
        <f>SUM(S192:AD192)</f>
        <v/>
      </c>
      <c r="AF192">
        <f>Q192*AE192</f>
        <v/>
      </c>
      <c r="AG192">
        <f>R192*AE192</f>
        <v/>
      </c>
      <c r="AH192">
        <f>SUMPRODUCT(S192:AD192,--(COLUMN(S192:AD192)-COLUMN(S192)+1&lt;=Dashboard!$N$1))</f>
        <v/>
      </c>
      <c r="AI192">
        <f>IF(OR(E192="",E192&lt;TODAY()),"",E192+ROW()/100000)</f>
        <v/>
      </c>
      <c r="AJ192">
        <f>IF(OR(F192="",F192&lt;TODAY()),"",F192+ROW()/100000)</f>
        <v/>
      </c>
    </row>
    <row r="193">
      <c r="A193" s="1" t="n"/>
      <c r="B193" s="35" t="n"/>
      <c r="C193" s="35" t="n"/>
      <c r="D193" s="35" t="n"/>
      <c r="E193" s="36" t="n"/>
      <c r="F193" s="36" t="n"/>
      <c r="G193" s="18">
        <f>IF(OR(E193="",F193=""),"",F193-E193)</f>
        <v/>
      </c>
      <c r="H193" s="37" t="n"/>
      <c r="I193" s="38" t="n"/>
      <c r="J193" s="38" t="n"/>
      <c r="K193" s="38" t="n"/>
      <c r="L193" s="31">
        <f>IF(E193="","",N(I193)+N(J193)-N(K193))</f>
        <v/>
      </c>
      <c r="M193" s="39" t="n"/>
      <c r="N193" s="27">
        <f>IF(E193="","",IF(TODAY()&lt;E193,"Upcoming",IF(TODAY()&lt;F193,"Staying now",IF(M193="Yes","Checked out","Payout not received"))))</f>
        <v/>
      </c>
      <c r="O193" s="35" t="n"/>
      <c r="P193" s="1" t="n"/>
      <c r="Q193">
        <f>IF(N(G193)&gt;0,L193/G193,0)</f>
        <v/>
      </c>
      <c r="R193">
        <f>IF(N(G193)&gt;0,N(I193)/G193,0)</f>
        <v/>
      </c>
      <c r="S193">
        <f>IF(OR($E193="",$F193=""),0,MAX(0,MIN($F193,DATE(Dashboard!$C$4,2,1))-MAX($E193,DATE(Dashboard!$C$4,1,1))))</f>
        <v/>
      </c>
      <c r="T193">
        <f>IF(OR($E193="",$F193=""),0,MAX(0,MIN($F193,DATE(Dashboard!$C$4,3,1))-MAX($E193,DATE(Dashboard!$C$4,2,1))))</f>
        <v/>
      </c>
      <c r="U193">
        <f>IF(OR($E193="",$F193=""),0,MAX(0,MIN($F193,DATE(Dashboard!$C$4,4,1))-MAX($E193,DATE(Dashboard!$C$4,3,1))))</f>
        <v/>
      </c>
      <c r="V193">
        <f>IF(OR($E193="",$F193=""),0,MAX(0,MIN($F193,DATE(Dashboard!$C$4,5,1))-MAX($E193,DATE(Dashboard!$C$4,4,1))))</f>
        <v/>
      </c>
      <c r="W193">
        <f>IF(OR($E193="",$F193=""),0,MAX(0,MIN($F193,DATE(Dashboard!$C$4,6,1))-MAX($E193,DATE(Dashboard!$C$4,5,1))))</f>
        <v/>
      </c>
      <c r="X193">
        <f>IF(OR($E193="",$F193=""),0,MAX(0,MIN($F193,DATE(Dashboard!$C$4,7,1))-MAX($E193,DATE(Dashboard!$C$4,6,1))))</f>
        <v/>
      </c>
      <c r="Y193">
        <f>IF(OR($E193="",$F193=""),0,MAX(0,MIN($F193,DATE(Dashboard!$C$4,8,1))-MAX($E193,DATE(Dashboard!$C$4,7,1))))</f>
        <v/>
      </c>
      <c r="Z193">
        <f>IF(OR($E193="",$F193=""),0,MAX(0,MIN($F193,DATE(Dashboard!$C$4,9,1))-MAX($E193,DATE(Dashboard!$C$4,8,1))))</f>
        <v/>
      </c>
      <c r="AA193">
        <f>IF(OR($E193="",$F193=""),0,MAX(0,MIN($F193,DATE(Dashboard!$C$4,10,1))-MAX($E193,DATE(Dashboard!$C$4,9,1))))</f>
        <v/>
      </c>
      <c r="AB193">
        <f>IF(OR($E193="",$F193=""),0,MAX(0,MIN($F193,DATE(Dashboard!$C$4,11,1))-MAX($E193,DATE(Dashboard!$C$4,10,1))))</f>
        <v/>
      </c>
      <c r="AC193">
        <f>IF(OR($E193="",$F193=""),0,MAX(0,MIN($F193,DATE(Dashboard!$C$4,12,1))-MAX($E193,DATE(Dashboard!$C$4,11,1))))</f>
        <v/>
      </c>
      <c r="AD193">
        <f>IF(OR($E193="",$F193=""),0,MAX(0,MIN($F193,DATE(Dashboard!$C$4,13,1))-MAX($E193,DATE(Dashboard!$C$4,12,1))))</f>
        <v/>
      </c>
      <c r="AE193">
        <f>SUM(S193:AD193)</f>
        <v/>
      </c>
      <c r="AF193">
        <f>Q193*AE193</f>
        <v/>
      </c>
      <c r="AG193">
        <f>R193*AE193</f>
        <v/>
      </c>
      <c r="AH193">
        <f>SUMPRODUCT(S193:AD193,--(COLUMN(S193:AD193)-COLUMN(S193)+1&lt;=Dashboard!$N$1))</f>
        <v/>
      </c>
      <c r="AI193">
        <f>IF(OR(E193="",E193&lt;TODAY()),"",E193+ROW()/100000)</f>
        <v/>
      </c>
      <c r="AJ193">
        <f>IF(OR(F193="",F193&lt;TODAY()),"",F193+ROW()/100000)</f>
        <v/>
      </c>
    </row>
    <row r="194">
      <c r="A194" s="1" t="n"/>
      <c r="B194" s="35" t="n"/>
      <c r="C194" s="35" t="n"/>
      <c r="D194" s="35" t="n"/>
      <c r="E194" s="36" t="n"/>
      <c r="F194" s="36" t="n"/>
      <c r="G194" s="18">
        <f>IF(OR(E194="",F194=""),"",F194-E194)</f>
        <v/>
      </c>
      <c r="H194" s="37" t="n"/>
      <c r="I194" s="38" t="n"/>
      <c r="J194" s="38" t="n"/>
      <c r="K194" s="38" t="n"/>
      <c r="L194" s="31">
        <f>IF(E194="","",N(I194)+N(J194)-N(K194))</f>
        <v/>
      </c>
      <c r="M194" s="39" t="n"/>
      <c r="N194" s="27">
        <f>IF(E194="","",IF(TODAY()&lt;E194,"Upcoming",IF(TODAY()&lt;F194,"Staying now",IF(M194="Yes","Checked out","Payout not received"))))</f>
        <v/>
      </c>
      <c r="O194" s="35" t="n"/>
      <c r="P194" s="1" t="n"/>
      <c r="Q194">
        <f>IF(N(G194)&gt;0,L194/G194,0)</f>
        <v/>
      </c>
      <c r="R194">
        <f>IF(N(G194)&gt;0,N(I194)/G194,0)</f>
        <v/>
      </c>
      <c r="S194">
        <f>IF(OR($E194="",$F194=""),0,MAX(0,MIN($F194,DATE(Dashboard!$C$4,2,1))-MAX($E194,DATE(Dashboard!$C$4,1,1))))</f>
        <v/>
      </c>
      <c r="T194">
        <f>IF(OR($E194="",$F194=""),0,MAX(0,MIN($F194,DATE(Dashboard!$C$4,3,1))-MAX($E194,DATE(Dashboard!$C$4,2,1))))</f>
        <v/>
      </c>
      <c r="U194">
        <f>IF(OR($E194="",$F194=""),0,MAX(0,MIN($F194,DATE(Dashboard!$C$4,4,1))-MAX($E194,DATE(Dashboard!$C$4,3,1))))</f>
        <v/>
      </c>
      <c r="V194">
        <f>IF(OR($E194="",$F194=""),0,MAX(0,MIN($F194,DATE(Dashboard!$C$4,5,1))-MAX($E194,DATE(Dashboard!$C$4,4,1))))</f>
        <v/>
      </c>
      <c r="W194">
        <f>IF(OR($E194="",$F194=""),0,MAX(0,MIN($F194,DATE(Dashboard!$C$4,6,1))-MAX($E194,DATE(Dashboard!$C$4,5,1))))</f>
        <v/>
      </c>
      <c r="X194">
        <f>IF(OR($E194="",$F194=""),0,MAX(0,MIN($F194,DATE(Dashboard!$C$4,7,1))-MAX($E194,DATE(Dashboard!$C$4,6,1))))</f>
        <v/>
      </c>
      <c r="Y194">
        <f>IF(OR($E194="",$F194=""),0,MAX(0,MIN($F194,DATE(Dashboard!$C$4,8,1))-MAX($E194,DATE(Dashboard!$C$4,7,1))))</f>
        <v/>
      </c>
      <c r="Z194">
        <f>IF(OR($E194="",$F194=""),0,MAX(0,MIN($F194,DATE(Dashboard!$C$4,9,1))-MAX($E194,DATE(Dashboard!$C$4,8,1))))</f>
        <v/>
      </c>
      <c r="AA194">
        <f>IF(OR($E194="",$F194=""),0,MAX(0,MIN($F194,DATE(Dashboard!$C$4,10,1))-MAX($E194,DATE(Dashboard!$C$4,9,1))))</f>
        <v/>
      </c>
      <c r="AB194">
        <f>IF(OR($E194="",$F194=""),0,MAX(0,MIN($F194,DATE(Dashboard!$C$4,11,1))-MAX($E194,DATE(Dashboard!$C$4,10,1))))</f>
        <v/>
      </c>
      <c r="AC194">
        <f>IF(OR($E194="",$F194=""),0,MAX(0,MIN($F194,DATE(Dashboard!$C$4,12,1))-MAX($E194,DATE(Dashboard!$C$4,11,1))))</f>
        <v/>
      </c>
      <c r="AD194">
        <f>IF(OR($E194="",$F194=""),0,MAX(0,MIN($F194,DATE(Dashboard!$C$4,13,1))-MAX($E194,DATE(Dashboard!$C$4,12,1))))</f>
        <v/>
      </c>
      <c r="AE194">
        <f>SUM(S194:AD194)</f>
        <v/>
      </c>
      <c r="AF194">
        <f>Q194*AE194</f>
        <v/>
      </c>
      <c r="AG194">
        <f>R194*AE194</f>
        <v/>
      </c>
      <c r="AH194">
        <f>SUMPRODUCT(S194:AD194,--(COLUMN(S194:AD194)-COLUMN(S194)+1&lt;=Dashboard!$N$1))</f>
        <v/>
      </c>
      <c r="AI194">
        <f>IF(OR(E194="",E194&lt;TODAY()),"",E194+ROW()/100000)</f>
        <v/>
      </c>
      <c r="AJ194">
        <f>IF(OR(F194="",F194&lt;TODAY()),"",F194+ROW()/100000)</f>
        <v/>
      </c>
    </row>
    <row r="195">
      <c r="A195" s="1" t="n"/>
      <c r="B195" s="35" t="n"/>
      <c r="C195" s="35" t="n"/>
      <c r="D195" s="35" t="n"/>
      <c r="E195" s="36" t="n"/>
      <c r="F195" s="36" t="n"/>
      <c r="G195" s="18">
        <f>IF(OR(E195="",F195=""),"",F195-E195)</f>
        <v/>
      </c>
      <c r="H195" s="37" t="n"/>
      <c r="I195" s="38" t="n"/>
      <c r="J195" s="38" t="n"/>
      <c r="K195" s="38" t="n"/>
      <c r="L195" s="31">
        <f>IF(E195="","",N(I195)+N(J195)-N(K195))</f>
        <v/>
      </c>
      <c r="M195" s="39" t="n"/>
      <c r="N195" s="27">
        <f>IF(E195="","",IF(TODAY()&lt;E195,"Upcoming",IF(TODAY()&lt;F195,"Staying now",IF(M195="Yes","Checked out","Payout not received"))))</f>
        <v/>
      </c>
      <c r="O195" s="35" t="n"/>
      <c r="P195" s="1" t="n"/>
      <c r="Q195">
        <f>IF(N(G195)&gt;0,L195/G195,0)</f>
        <v/>
      </c>
      <c r="R195">
        <f>IF(N(G195)&gt;0,N(I195)/G195,0)</f>
        <v/>
      </c>
      <c r="S195">
        <f>IF(OR($E195="",$F195=""),0,MAX(0,MIN($F195,DATE(Dashboard!$C$4,2,1))-MAX($E195,DATE(Dashboard!$C$4,1,1))))</f>
        <v/>
      </c>
      <c r="T195">
        <f>IF(OR($E195="",$F195=""),0,MAX(0,MIN($F195,DATE(Dashboard!$C$4,3,1))-MAX($E195,DATE(Dashboard!$C$4,2,1))))</f>
        <v/>
      </c>
      <c r="U195">
        <f>IF(OR($E195="",$F195=""),0,MAX(0,MIN($F195,DATE(Dashboard!$C$4,4,1))-MAX($E195,DATE(Dashboard!$C$4,3,1))))</f>
        <v/>
      </c>
      <c r="V195">
        <f>IF(OR($E195="",$F195=""),0,MAX(0,MIN($F195,DATE(Dashboard!$C$4,5,1))-MAX($E195,DATE(Dashboard!$C$4,4,1))))</f>
        <v/>
      </c>
      <c r="W195">
        <f>IF(OR($E195="",$F195=""),0,MAX(0,MIN($F195,DATE(Dashboard!$C$4,6,1))-MAX($E195,DATE(Dashboard!$C$4,5,1))))</f>
        <v/>
      </c>
      <c r="X195">
        <f>IF(OR($E195="",$F195=""),0,MAX(0,MIN($F195,DATE(Dashboard!$C$4,7,1))-MAX($E195,DATE(Dashboard!$C$4,6,1))))</f>
        <v/>
      </c>
      <c r="Y195">
        <f>IF(OR($E195="",$F195=""),0,MAX(0,MIN($F195,DATE(Dashboard!$C$4,8,1))-MAX($E195,DATE(Dashboard!$C$4,7,1))))</f>
        <v/>
      </c>
      <c r="Z195">
        <f>IF(OR($E195="",$F195=""),0,MAX(0,MIN($F195,DATE(Dashboard!$C$4,9,1))-MAX($E195,DATE(Dashboard!$C$4,8,1))))</f>
        <v/>
      </c>
      <c r="AA195">
        <f>IF(OR($E195="",$F195=""),0,MAX(0,MIN($F195,DATE(Dashboard!$C$4,10,1))-MAX($E195,DATE(Dashboard!$C$4,9,1))))</f>
        <v/>
      </c>
      <c r="AB195">
        <f>IF(OR($E195="",$F195=""),0,MAX(0,MIN($F195,DATE(Dashboard!$C$4,11,1))-MAX($E195,DATE(Dashboard!$C$4,10,1))))</f>
        <v/>
      </c>
      <c r="AC195">
        <f>IF(OR($E195="",$F195=""),0,MAX(0,MIN($F195,DATE(Dashboard!$C$4,12,1))-MAX($E195,DATE(Dashboard!$C$4,11,1))))</f>
        <v/>
      </c>
      <c r="AD195">
        <f>IF(OR($E195="",$F195=""),0,MAX(0,MIN($F195,DATE(Dashboard!$C$4,13,1))-MAX($E195,DATE(Dashboard!$C$4,12,1))))</f>
        <v/>
      </c>
      <c r="AE195">
        <f>SUM(S195:AD195)</f>
        <v/>
      </c>
      <c r="AF195">
        <f>Q195*AE195</f>
        <v/>
      </c>
      <c r="AG195">
        <f>R195*AE195</f>
        <v/>
      </c>
      <c r="AH195">
        <f>SUMPRODUCT(S195:AD195,--(COLUMN(S195:AD195)-COLUMN(S195)+1&lt;=Dashboard!$N$1))</f>
        <v/>
      </c>
      <c r="AI195">
        <f>IF(OR(E195="",E195&lt;TODAY()),"",E195+ROW()/100000)</f>
        <v/>
      </c>
      <c r="AJ195">
        <f>IF(OR(F195="",F195&lt;TODAY()),"",F195+ROW()/100000)</f>
        <v/>
      </c>
    </row>
    <row r="196">
      <c r="A196" s="1" t="n"/>
      <c r="B196" s="35" t="n"/>
      <c r="C196" s="35" t="n"/>
      <c r="D196" s="35" t="n"/>
      <c r="E196" s="36" t="n"/>
      <c r="F196" s="36" t="n"/>
      <c r="G196" s="18">
        <f>IF(OR(E196="",F196=""),"",F196-E196)</f>
        <v/>
      </c>
      <c r="H196" s="37" t="n"/>
      <c r="I196" s="38" t="n"/>
      <c r="J196" s="38" t="n"/>
      <c r="K196" s="38" t="n"/>
      <c r="L196" s="31">
        <f>IF(E196="","",N(I196)+N(J196)-N(K196))</f>
        <v/>
      </c>
      <c r="M196" s="39" t="n"/>
      <c r="N196" s="27">
        <f>IF(E196="","",IF(TODAY()&lt;E196,"Upcoming",IF(TODAY()&lt;F196,"Staying now",IF(M196="Yes","Checked out","Payout not received"))))</f>
        <v/>
      </c>
      <c r="O196" s="35" t="n"/>
      <c r="P196" s="1" t="n"/>
      <c r="Q196">
        <f>IF(N(G196)&gt;0,L196/G196,0)</f>
        <v/>
      </c>
      <c r="R196">
        <f>IF(N(G196)&gt;0,N(I196)/G196,0)</f>
        <v/>
      </c>
      <c r="S196">
        <f>IF(OR($E196="",$F196=""),0,MAX(0,MIN($F196,DATE(Dashboard!$C$4,2,1))-MAX($E196,DATE(Dashboard!$C$4,1,1))))</f>
        <v/>
      </c>
      <c r="T196">
        <f>IF(OR($E196="",$F196=""),0,MAX(0,MIN($F196,DATE(Dashboard!$C$4,3,1))-MAX($E196,DATE(Dashboard!$C$4,2,1))))</f>
        <v/>
      </c>
      <c r="U196">
        <f>IF(OR($E196="",$F196=""),0,MAX(0,MIN($F196,DATE(Dashboard!$C$4,4,1))-MAX($E196,DATE(Dashboard!$C$4,3,1))))</f>
        <v/>
      </c>
      <c r="V196">
        <f>IF(OR($E196="",$F196=""),0,MAX(0,MIN($F196,DATE(Dashboard!$C$4,5,1))-MAX($E196,DATE(Dashboard!$C$4,4,1))))</f>
        <v/>
      </c>
      <c r="W196">
        <f>IF(OR($E196="",$F196=""),0,MAX(0,MIN($F196,DATE(Dashboard!$C$4,6,1))-MAX($E196,DATE(Dashboard!$C$4,5,1))))</f>
        <v/>
      </c>
      <c r="X196">
        <f>IF(OR($E196="",$F196=""),0,MAX(0,MIN($F196,DATE(Dashboard!$C$4,7,1))-MAX($E196,DATE(Dashboard!$C$4,6,1))))</f>
        <v/>
      </c>
      <c r="Y196">
        <f>IF(OR($E196="",$F196=""),0,MAX(0,MIN($F196,DATE(Dashboard!$C$4,8,1))-MAX($E196,DATE(Dashboard!$C$4,7,1))))</f>
        <v/>
      </c>
      <c r="Z196">
        <f>IF(OR($E196="",$F196=""),0,MAX(0,MIN($F196,DATE(Dashboard!$C$4,9,1))-MAX($E196,DATE(Dashboard!$C$4,8,1))))</f>
        <v/>
      </c>
      <c r="AA196">
        <f>IF(OR($E196="",$F196=""),0,MAX(0,MIN($F196,DATE(Dashboard!$C$4,10,1))-MAX($E196,DATE(Dashboard!$C$4,9,1))))</f>
        <v/>
      </c>
      <c r="AB196">
        <f>IF(OR($E196="",$F196=""),0,MAX(0,MIN($F196,DATE(Dashboard!$C$4,11,1))-MAX($E196,DATE(Dashboard!$C$4,10,1))))</f>
        <v/>
      </c>
      <c r="AC196">
        <f>IF(OR($E196="",$F196=""),0,MAX(0,MIN($F196,DATE(Dashboard!$C$4,12,1))-MAX($E196,DATE(Dashboard!$C$4,11,1))))</f>
        <v/>
      </c>
      <c r="AD196">
        <f>IF(OR($E196="",$F196=""),0,MAX(0,MIN($F196,DATE(Dashboard!$C$4,13,1))-MAX($E196,DATE(Dashboard!$C$4,12,1))))</f>
        <v/>
      </c>
      <c r="AE196">
        <f>SUM(S196:AD196)</f>
        <v/>
      </c>
      <c r="AF196">
        <f>Q196*AE196</f>
        <v/>
      </c>
      <c r="AG196">
        <f>R196*AE196</f>
        <v/>
      </c>
      <c r="AH196">
        <f>SUMPRODUCT(S196:AD196,--(COLUMN(S196:AD196)-COLUMN(S196)+1&lt;=Dashboard!$N$1))</f>
        <v/>
      </c>
      <c r="AI196">
        <f>IF(OR(E196="",E196&lt;TODAY()),"",E196+ROW()/100000)</f>
        <v/>
      </c>
      <c r="AJ196">
        <f>IF(OR(F196="",F196&lt;TODAY()),"",F196+ROW()/100000)</f>
        <v/>
      </c>
    </row>
    <row r="197">
      <c r="A197" s="1" t="n"/>
      <c r="B197" s="35" t="n"/>
      <c r="C197" s="35" t="n"/>
      <c r="D197" s="35" t="n"/>
      <c r="E197" s="36" t="n"/>
      <c r="F197" s="36" t="n"/>
      <c r="G197" s="18">
        <f>IF(OR(E197="",F197=""),"",F197-E197)</f>
        <v/>
      </c>
      <c r="H197" s="37" t="n"/>
      <c r="I197" s="38" t="n"/>
      <c r="J197" s="38" t="n"/>
      <c r="K197" s="38" t="n"/>
      <c r="L197" s="31">
        <f>IF(E197="","",N(I197)+N(J197)-N(K197))</f>
        <v/>
      </c>
      <c r="M197" s="39" t="n"/>
      <c r="N197" s="27">
        <f>IF(E197="","",IF(TODAY()&lt;E197,"Upcoming",IF(TODAY()&lt;F197,"Staying now",IF(M197="Yes","Checked out","Payout not received"))))</f>
        <v/>
      </c>
      <c r="O197" s="35" t="n"/>
      <c r="P197" s="1" t="n"/>
      <c r="Q197">
        <f>IF(N(G197)&gt;0,L197/G197,0)</f>
        <v/>
      </c>
      <c r="R197">
        <f>IF(N(G197)&gt;0,N(I197)/G197,0)</f>
        <v/>
      </c>
      <c r="S197">
        <f>IF(OR($E197="",$F197=""),0,MAX(0,MIN($F197,DATE(Dashboard!$C$4,2,1))-MAX($E197,DATE(Dashboard!$C$4,1,1))))</f>
        <v/>
      </c>
      <c r="T197">
        <f>IF(OR($E197="",$F197=""),0,MAX(0,MIN($F197,DATE(Dashboard!$C$4,3,1))-MAX($E197,DATE(Dashboard!$C$4,2,1))))</f>
        <v/>
      </c>
      <c r="U197">
        <f>IF(OR($E197="",$F197=""),0,MAX(0,MIN($F197,DATE(Dashboard!$C$4,4,1))-MAX($E197,DATE(Dashboard!$C$4,3,1))))</f>
        <v/>
      </c>
      <c r="V197">
        <f>IF(OR($E197="",$F197=""),0,MAX(0,MIN($F197,DATE(Dashboard!$C$4,5,1))-MAX($E197,DATE(Dashboard!$C$4,4,1))))</f>
        <v/>
      </c>
      <c r="W197">
        <f>IF(OR($E197="",$F197=""),0,MAX(0,MIN($F197,DATE(Dashboard!$C$4,6,1))-MAX($E197,DATE(Dashboard!$C$4,5,1))))</f>
        <v/>
      </c>
      <c r="X197">
        <f>IF(OR($E197="",$F197=""),0,MAX(0,MIN($F197,DATE(Dashboard!$C$4,7,1))-MAX($E197,DATE(Dashboard!$C$4,6,1))))</f>
        <v/>
      </c>
      <c r="Y197">
        <f>IF(OR($E197="",$F197=""),0,MAX(0,MIN($F197,DATE(Dashboard!$C$4,8,1))-MAX($E197,DATE(Dashboard!$C$4,7,1))))</f>
        <v/>
      </c>
      <c r="Z197">
        <f>IF(OR($E197="",$F197=""),0,MAX(0,MIN($F197,DATE(Dashboard!$C$4,9,1))-MAX($E197,DATE(Dashboard!$C$4,8,1))))</f>
        <v/>
      </c>
      <c r="AA197">
        <f>IF(OR($E197="",$F197=""),0,MAX(0,MIN($F197,DATE(Dashboard!$C$4,10,1))-MAX($E197,DATE(Dashboard!$C$4,9,1))))</f>
        <v/>
      </c>
      <c r="AB197">
        <f>IF(OR($E197="",$F197=""),0,MAX(0,MIN($F197,DATE(Dashboard!$C$4,11,1))-MAX($E197,DATE(Dashboard!$C$4,10,1))))</f>
        <v/>
      </c>
      <c r="AC197">
        <f>IF(OR($E197="",$F197=""),0,MAX(0,MIN($F197,DATE(Dashboard!$C$4,12,1))-MAX($E197,DATE(Dashboard!$C$4,11,1))))</f>
        <v/>
      </c>
      <c r="AD197">
        <f>IF(OR($E197="",$F197=""),0,MAX(0,MIN($F197,DATE(Dashboard!$C$4,13,1))-MAX($E197,DATE(Dashboard!$C$4,12,1))))</f>
        <v/>
      </c>
      <c r="AE197">
        <f>SUM(S197:AD197)</f>
        <v/>
      </c>
      <c r="AF197">
        <f>Q197*AE197</f>
        <v/>
      </c>
      <c r="AG197">
        <f>R197*AE197</f>
        <v/>
      </c>
      <c r="AH197">
        <f>SUMPRODUCT(S197:AD197,--(COLUMN(S197:AD197)-COLUMN(S197)+1&lt;=Dashboard!$N$1))</f>
        <v/>
      </c>
      <c r="AI197">
        <f>IF(OR(E197="",E197&lt;TODAY()),"",E197+ROW()/100000)</f>
        <v/>
      </c>
      <c r="AJ197">
        <f>IF(OR(F197="",F197&lt;TODAY()),"",F197+ROW()/100000)</f>
        <v/>
      </c>
    </row>
    <row r="198">
      <c r="A198" s="1" t="n"/>
      <c r="B198" s="35" t="n"/>
      <c r="C198" s="35" t="n"/>
      <c r="D198" s="35" t="n"/>
      <c r="E198" s="36" t="n"/>
      <c r="F198" s="36" t="n"/>
      <c r="G198" s="18">
        <f>IF(OR(E198="",F198=""),"",F198-E198)</f>
        <v/>
      </c>
      <c r="H198" s="37" t="n"/>
      <c r="I198" s="38" t="n"/>
      <c r="J198" s="38" t="n"/>
      <c r="K198" s="38" t="n"/>
      <c r="L198" s="31">
        <f>IF(E198="","",N(I198)+N(J198)-N(K198))</f>
        <v/>
      </c>
      <c r="M198" s="39" t="n"/>
      <c r="N198" s="27">
        <f>IF(E198="","",IF(TODAY()&lt;E198,"Upcoming",IF(TODAY()&lt;F198,"Staying now",IF(M198="Yes","Checked out","Payout not received"))))</f>
        <v/>
      </c>
      <c r="O198" s="35" t="n"/>
      <c r="P198" s="1" t="n"/>
      <c r="Q198">
        <f>IF(N(G198)&gt;0,L198/G198,0)</f>
        <v/>
      </c>
      <c r="R198">
        <f>IF(N(G198)&gt;0,N(I198)/G198,0)</f>
        <v/>
      </c>
      <c r="S198">
        <f>IF(OR($E198="",$F198=""),0,MAX(0,MIN($F198,DATE(Dashboard!$C$4,2,1))-MAX($E198,DATE(Dashboard!$C$4,1,1))))</f>
        <v/>
      </c>
      <c r="T198">
        <f>IF(OR($E198="",$F198=""),0,MAX(0,MIN($F198,DATE(Dashboard!$C$4,3,1))-MAX($E198,DATE(Dashboard!$C$4,2,1))))</f>
        <v/>
      </c>
      <c r="U198">
        <f>IF(OR($E198="",$F198=""),0,MAX(0,MIN($F198,DATE(Dashboard!$C$4,4,1))-MAX($E198,DATE(Dashboard!$C$4,3,1))))</f>
        <v/>
      </c>
      <c r="V198">
        <f>IF(OR($E198="",$F198=""),0,MAX(0,MIN($F198,DATE(Dashboard!$C$4,5,1))-MAX($E198,DATE(Dashboard!$C$4,4,1))))</f>
        <v/>
      </c>
      <c r="W198">
        <f>IF(OR($E198="",$F198=""),0,MAX(0,MIN($F198,DATE(Dashboard!$C$4,6,1))-MAX($E198,DATE(Dashboard!$C$4,5,1))))</f>
        <v/>
      </c>
      <c r="X198">
        <f>IF(OR($E198="",$F198=""),0,MAX(0,MIN($F198,DATE(Dashboard!$C$4,7,1))-MAX($E198,DATE(Dashboard!$C$4,6,1))))</f>
        <v/>
      </c>
      <c r="Y198">
        <f>IF(OR($E198="",$F198=""),0,MAX(0,MIN($F198,DATE(Dashboard!$C$4,8,1))-MAX($E198,DATE(Dashboard!$C$4,7,1))))</f>
        <v/>
      </c>
      <c r="Z198">
        <f>IF(OR($E198="",$F198=""),0,MAX(0,MIN($F198,DATE(Dashboard!$C$4,9,1))-MAX($E198,DATE(Dashboard!$C$4,8,1))))</f>
        <v/>
      </c>
      <c r="AA198">
        <f>IF(OR($E198="",$F198=""),0,MAX(0,MIN($F198,DATE(Dashboard!$C$4,10,1))-MAX($E198,DATE(Dashboard!$C$4,9,1))))</f>
        <v/>
      </c>
      <c r="AB198">
        <f>IF(OR($E198="",$F198=""),0,MAX(0,MIN($F198,DATE(Dashboard!$C$4,11,1))-MAX($E198,DATE(Dashboard!$C$4,10,1))))</f>
        <v/>
      </c>
      <c r="AC198">
        <f>IF(OR($E198="",$F198=""),0,MAX(0,MIN($F198,DATE(Dashboard!$C$4,12,1))-MAX($E198,DATE(Dashboard!$C$4,11,1))))</f>
        <v/>
      </c>
      <c r="AD198">
        <f>IF(OR($E198="",$F198=""),0,MAX(0,MIN($F198,DATE(Dashboard!$C$4,13,1))-MAX($E198,DATE(Dashboard!$C$4,12,1))))</f>
        <v/>
      </c>
      <c r="AE198">
        <f>SUM(S198:AD198)</f>
        <v/>
      </c>
      <c r="AF198">
        <f>Q198*AE198</f>
        <v/>
      </c>
      <c r="AG198">
        <f>R198*AE198</f>
        <v/>
      </c>
      <c r="AH198">
        <f>SUMPRODUCT(S198:AD198,--(COLUMN(S198:AD198)-COLUMN(S198)+1&lt;=Dashboard!$N$1))</f>
        <v/>
      </c>
      <c r="AI198">
        <f>IF(OR(E198="",E198&lt;TODAY()),"",E198+ROW()/100000)</f>
        <v/>
      </c>
      <c r="AJ198">
        <f>IF(OR(F198="",F198&lt;TODAY()),"",F198+ROW()/100000)</f>
        <v/>
      </c>
    </row>
    <row r="199">
      <c r="A199" s="1" t="n"/>
      <c r="B199" s="35" t="n"/>
      <c r="C199" s="35" t="n"/>
      <c r="D199" s="35" t="n"/>
      <c r="E199" s="36" t="n"/>
      <c r="F199" s="36" t="n"/>
      <c r="G199" s="18">
        <f>IF(OR(E199="",F199=""),"",F199-E199)</f>
        <v/>
      </c>
      <c r="H199" s="37" t="n"/>
      <c r="I199" s="38" t="n"/>
      <c r="J199" s="38" t="n"/>
      <c r="K199" s="38" t="n"/>
      <c r="L199" s="31">
        <f>IF(E199="","",N(I199)+N(J199)-N(K199))</f>
        <v/>
      </c>
      <c r="M199" s="39" t="n"/>
      <c r="N199" s="27">
        <f>IF(E199="","",IF(TODAY()&lt;E199,"Upcoming",IF(TODAY()&lt;F199,"Staying now",IF(M199="Yes","Checked out","Payout not received"))))</f>
        <v/>
      </c>
      <c r="O199" s="35" t="n"/>
      <c r="P199" s="1" t="n"/>
      <c r="Q199">
        <f>IF(N(G199)&gt;0,L199/G199,0)</f>
        <v/>
      </c>
      <c r="R199">
        <f>IF(N(G199)&gt;0,N(I199)/G199,0)</f>
        <v/>
      </c>
      <c r="S199">
        <f>IF(OR($E199="",$F199=""),0,MAX(0,MIN($F199,DATE(Dashboard!$C$4,2,1))-MAX($E199,DATE(Dashboard!$C$4,1,1))))</f>
        <v/>
      </c>
      <c r="T199">
        <f>IF(OR($E199="",$F199=""),0,MAX(0,MIN($F199,DATE(Dashboard!$C$4,3,1))-MAX($E199,DATE(Dashboard!$C$4,2,1))))</f>
        <v/>
      </c>
      <c r="U199">
        <f>IF(OR($E199="",$F199=""),0,MAX(0,MIN($F199,DATE(Dashboard!$C$4,4,1))-MAX($E199,DATE(Dashboard!$C$4,3,1))))</f>
        <v/>
      </c>
      <c r="V199">
        <f>IF(OR($E199="",$F199=""),0,MAX(0,MIN($F199,DATE(Dashboard!$C$4,5,1))-MAX($E199,DATE(Dashboard!$C$4,4,1))))</f>
        <v/>
      </c>
      <c r="W199">
        <f>IF(OR($E199="",$F199=""),0,MAX(0,MIN($F199,DATE(Dashboard!$C$4,6,1))-MAX($E199,DATE(Dashboard!$C$4,5,1))))</f>
        <v/>
      </c>
      <c r="X199">
        <f>IF(OR($E199="",$F199=""),0,MAX(0,MIN($F199,DATE(Dashboard!$C$4,7,1))-MAX($E199,DATE(Dashboard!$C$4,6,1))))</f>
        <v/>
      </c>
      <c r="Y199">
        <f>IF(OR($E199="",$F199=""),0,MAX(0,MIN($F199,DATE(Dashboard!$C$4,8,1))-MAX($E199,DATE(Dashboard!$C$4,7,1))))</f>
        <v/>
      </c>
      <c r="Z199">
        <f>IF(OR($E199="",$F199=""),0,MAX(0,MIN($F199,DATE(Dashboard!$C$4,9,1))-MAX($E199,DATE(Dashboard!$C$4,8,1))))</f>
        <v/>
      </c>
      <c r="AA199">
        <f>IF(OR($E199="",$F199=""),0,MAX(0,MIN($F199,DATE(Dashboard!$C$4,10,1))-MAX($E199,DATE(Dashboard!$C$4,9,1))))</f>
        <v/>
      </c>
      <c r="AB199">
        <f>IF(OR($E199="",$F199=""),0,MAX(0,MIN($F199,DATE(Dashboard!$C$4,11,1))-MAX($E199,DATE(Dashboard!$C$4,10,1))))</f>
        <v/>
      </c>
      <c r="AC199">
        <f>IF(OR($E199="",$F199=""),0,MAX(0,MIN($F199,DATE(Dashboard!$C$4,12,1))-MAX($E199,DATE(Dashboard!$C$4,11,1))))</f>
        <v/>
      </c>
      <c r="AD199">
        <f>IF(OR($E199="",$F199=""),0,MAX(0,MIN($F199,DATE(Dashboard!$C$4,13,1))-MAX($E199,DATE(Dashboard!$C$4,12,1))))</f>
        <v/>
      </c>
      <c r="AE199">
        <f>SUM(S199:AD199)</f>
        <v/>
      </c>
      <c r="AF199">
        <f>Q199*AE199</f>
        <v/>
      </c>
      <c r="AG199">
        <f>R199*AE199</f>
        <v/>
      </c>
      <c r="AH199">
        <f>SUMPRODUCT(S199:AD199,--(COLUMN(S199:AD199)-COLUMN(S199)+1&lt;=Dashboard!$N$1))</f>
        <v/>
      </c>
      <c r="AI199">
        <f>IF(OR(E199="",E199&lt;TODAY()),"",E199+ROW()/100000)</f>
        <v/>
      </c>
      <c r="AJ199">
        <f>IF(OR(F199="",F199&lt;TODAY()),"",F199+ROW()/100000)</f>
        <v/>
      </c>
    </row>
    <row r="200">
      <c r="A200" s="1" t="n"/>
      <c r="B200" s="35" t="n"/>
      <c r="C200" s="35" t="n"/>
      <c r="D200" s="35" t="n"/>
      <c r="E200" s="36" t="n"/>
      <c r="F200" s="36" t="n"/>
      <c r="G200" s="18">
        <f>IF(OR(E200="",F200=""),"",F200-E200)</f>
        <v/>
      </c>
      <c r="H200" s="37" t="n"/>
      <c r="I200" s="38" t="n"/>
      <c r="J200" s="38" t="n"/>
      <c r="K200" s="38" t="n"/>
      <c r="L200" s="31">
        <f>IF(E200="","",N(I200)+N(J200)-N(K200))</f>
        <v/>
      </c>
      <c r="M200" s="39" t="n"/>
      <c r="N200" s="27">
        <f>IF(E200="","",IF(TODAY()&lt;E200,"Upcoming",IF(TODAY()&lt;F200,"Staying now",IF(M200="Yes","Checked out","Payout not received"))))</f>
        <v/>
      </c>
      <c r="O200" s="35" t="n"/>
      <c r="P200" s="1" t="n"/>
      <c r="Q200">
        <f>IF(N(G200)&gt;0,L200/G200,0)</f>
        <v/>
      </c>
      <c r="R200">
        <f>IF(N(G200)&gt;0,N(I200)/G200,0)</f>
        <v/>
      </c>
      <c r="S200">
        <f>IF(OR($E200="",$F200=""),0,MAX(0,MIN($F200,DATE(Dashboard!$C$4,2,1))-MAX($E200,DATE(Dashboard!$C$4,1,1))))</f>
        <v/>
      </c>
      <c r="T200">
        <f>IF(OR($E200="",$F200=""),0,MAX(0,MIN($F200,DATE(Dashboard!$C$4,3,1))-MAX($E200,DATE(Dashboard!$C$4,2,1))))</f>
        <v/>
      </c>
      <c r="U200">
        <f>IF(OR($E200="",$F200=""),0,MAX(0,MIN($F200,DATE(Dashboard!$C$4,4,1))-MAX($E200,DATE(Dashboard!$C$4,3,1))))</f>
        <v/>
      </c>
      <c r="V200">
        <f>IF(OR($E200="",$F200=""),0,MAX(0,MIN($F200,DATE(Dashboard!$C$4,5,1))-MAX($E200,DATE(Dashboard!$C$4,4,1))))</f>
        <v/>
      </c>
      <c r="W200">
        <f>IF(OR($E200="",$F200=""),0,MAX(0,MIN($F200,DATE(Dashboard!$C$4,6,1))-MAX($E200,DATE(Dashboard!$C$4,5,1))))</f>
        <v/>
      </c>
      <c r="X200">
        <f>IF(OR($E200="",$F200=""),0,MAX(0,MIN($F200,DATE(Dashboard!$C$4,7,1))-MAX($E200,DATE(Dashboard!$C$4,6,1))))</f>
        <v/>
      </c>
      <c r="Y200">
        <f>IF(OR($E200="",$F200=""),0,MAX(0,MIN($F200,DATE(Dashboard!$C$4,8,1))-MAX($E200,DATE(Dashboard!$C$4,7,1))))</f>
        <v/>
      </c>
      <c r="Z200">
        <f>IF(OR($E200="",$F200=""),0,MAX(0,MIN($F200,DATE(Dashboard!$C$4,9,1))-MAX($E200,DATE(Dashboard!$C$4,8,1))))</f>
        <v/>
      </c>
      <c r="AA200">
        <f>IF(OR($E200="",$F200=""),0,MAX(0,MIN($F200,DATE(Dashboard!$C$4,10,1))-MAX($E200,DATE(Dashboard!$C$4,9,1))))</f>
        <v/>
      </c>
      <c r="AB200">
        <f>IF(OR($E200="",$F200=""),0,MAX(0,MIN($F200,DATE(Dashboard!$C$4,11,1))-MAX($E200,DATE(Dashboard!$C$4,10,1))))</f>
        <v/>
      </c>
      <c r="AC200">
        <f>IF(OR($E200="",$F200=""),0,MAX(0,MIN($F200,DATE(Dashboard!$C$4,12,1))-MAX($E200,DATE(Dashboard!$C$4,11,1))))</f>
        <v/>
      </c>
      <c r="AD200">
        <f>IF(OR($E200="",$F200=""),0,MAX(0,MIN($F200,DATE(Dashboard!$C$4,13,1))-MAX($E200,DATE(Dashboard!$C$4,12,1))))</f>
        <v/>
      </c>
      <c r="AE200">
        <f>SUM(S200:AD200)</f>
        <v/>
      </c>
      <c r="AF200">
        <f>Q200*AE200</f>
        <v/>
      </c>
      <c r="AG200">
        <f>R200*AE200</f>
        <v/>
      </c>
      <c r="AH200">
        <f>SUMPRODUCT(S200:AD200,--(COLUMN(S200:AD200)-COLUMN(S200)+1&lt;=Dashboard!$N$1))</f>
        <v/>
      </c>
      <c r="AI200">
        <f>IF(OR(E200="",E200&lt;TODAY()),"",E200+ROW()/100000)</f>
        <v/>
      </c>
      <c r="AJ200">
        <f>IF(OR(F200="",F200&lt;TODAY()),"",F200+ROW()/100000)</f>
        <v/>
      </c>
    </row>
    <row r="201">
      <c r="A201" s="1" t="n"/>
      <c r="B201" s="35" t="n"/>
      <c r="C201" s="35" t="n"/>
      <c r="D201" s="35" t="n"/>
      <c r="E201" s="36" t="n"/>
      <c r="F201" s="36" t="n"/>
      <c r="G201" s="18">
        <f>IF(OR(E201="",F201=""),"",F201-E201)</f>
        <v/>
      </c>
      <c r="H201" s="37" t="n"/>
      <c r="I201" s="38" t="n"/>
      <c r="J201" s="38" t="n"/>
      <c r="K201" s="38" t="n"/>
      <c r="L201" s="31">
        <f>IF(E201="","",N(I201)+N(J201)-N(K201))</f>
        <v/>
      </c>
      <c r="M201" s="39" t="n"/>
      <c r="N201" s="27">
        <f>IF(E201="","",IF(TODAY()&lt;E201,"Upcoming",IF(TODAY()&lt;F201,"Staying now",IF(M201="Yes","Checked out","Payout not received"))))</f>
        <v/>
      </c>
      <c r="O201" s="35" t="n"/>
      <c r="P201" s="1" t="n"/>
      <c r="Q201">
        <f>IF(N(G201)&gt;0,L201/G201,0)</f>
        <v/>
      </c>
      <c r="R201">
        <f>IF(N(G201)&gt;0,N(I201)/G201,0)</f>
        <v/>
      </c>
      <c r="S201">
        <f>IF(OR($E201="",$F201=""),0,MAX(0,MIN($F201,DATE(Dashboard!$C$4,2,1))-MAX($E201,DATE(Dashboard!$C$4,1,1))))</f>
        <v/>
      </c>
      <c r="T201">
        <f>IF(OR($E201="",$F201=""),0,MAX(0,MIN($F201,DATE(Dashboard!$C$4,3,1))-MAX($E201,DATE(Dashboard!$C$4,2,1))))</f>
        <v/>
      </c>
      <c r="U201">
        <f>IF(OR($E201="",$F201=""),0,MAX(0,MIN($F201,DATE(Dashboard!$C$4,4,1))-MAX($E201,DATE(Dashboard!$C$4,3,1))))</f>
        <v/>
      </c>
      <c r="V201">
        <f>IF(OR($E201="",$F201=""),0,MAX(0,MIN($F201,DATE(Dashboard!$C$4,5,1))-MAX($E201,DATE(Dashboard!$C$4,4,1))))</f>
        <v/>
      </c>
      <c r="W201">
        <f>IF(OR($E201="",$F201=""),0,MAX(0,MIN($F201,DATE(Dashboard!$C$4,6,1))-MAX($E201,DATE(Dashboard!$C$4,5,1))))</f>
        <v/>
      </c>
      <c r="X201">
        <f>IF(OR($E201="",$F201=""),0,MAX(0,MIN($F201,DATE(Dashboard!$C$4,7,1))-MAX($E201,DATE(Dashboard!$C$4,6,1))))</f>
        <v/>
      </c>
      <c r="Y201">
        <f>IF(OR($E201="",$F201=""),0,MAX(0,MIN($F201,DATE(Dashboard!$C$4,8,1))-MAX($E201,DATE(Dashboard!$C$4,7,1))))</f>
        <v/>
      </c>
      <c r="Z201">
        <f>IF(OR($E201="",$F201=""),0,MAX(0,MIN($F201,DATE(Dashboard!$C$4,9,1))-MAX($E201,DATE(Dashboard!$C$4,8,1))))</f>
        <v/>
      </c>
      <c r="AA201">
        <f>IF(OR($E201="",$F201=""),0,MAX(0,MIN($F201,DATE(Dashboard!$C$4,10,1))-MAX($E201,DATE(Dashboard!$C$4,9,1))))</f>
        <v/>
      </c>
      <c r="AB201">
        <f>IF(OR($E201="",$F201=""),0,MAX(0,MIN($F201,DATE(Dashboard!$C$4,11,1))-MAX($E201,DATE(Dashboard!$C$4,10,1))))</f>
        <v/>
      </c>
      <c r="AC201">
        <f>IF(OR($E201="",$F201=""),0,MAX(0,MIN($F201,DATE(Dashboard!$C$4,12,1))-MAX($E201,DATE(Dashboard!$C$4,11,1))))</f>
        <v/>
      </c>
      <c r="AD201">
        <f>IF(OR($E201="",$F201=""),0,MAX(0,MIN($F201,DATE(Dashboard!$C$4,13,1))-MAX($E201,DATE(Dashboard!$C$4,12,1))))</f>
        <v/>
      </c>
      <c r="AE201">
        <f>SUM(S201:AD201)</f>
        <v/>
      </c>
      <c r="AF201">
        <f>Q201*AE201</f>
        <v/>
      </c>
      <c r="AG201">
        <f>R201*AE201</f>
        <v/>
      </c>
      <c r="AH201">
        <f>SUMPRODUCT(S201:AD201,--(COLUMN(S201:AD201)-COLUMN(S201)+1&lt;=Dashboard!$N$1))</f>
        <v/>
      </c>
      <c r="AI201">
        <f>IF(OR(E201="",E201&lt;TODAY()),"",E201+ROW()/100000)</f>
        <v/>
      </c>
      <c r="AJ201">
        <f>IF(OR(F201="",F201&lt;TODAY()),"",F201+ROW()/100000)</f>
        <v/>
      </c>
    </row>
    <row r="202">
      <c r="A202" s="1" t="n"/>
      <c r="B202" s="35" t="n"/>
      <c r="C202" s="35" t="n"/>
      <c r="D202" s="35" t="n"/>
      <c r="E202" s="36" t="n"/>
      <c r="F202" s="36" t="n"/>
      <c r="G202" s="18">
        <f>IF(OR(E202="",F202=""),"",F202-E202)</f>
        <v/>
      </c>
      <c r="H202" s="37" t="n"/>
      <c r="I202" s="38" t="n"/>
      <c r="J202" s="38" t="n"/>
      <c r="K202" s="38" t="n"/>
      <c r="L202" s="31">
        <f>IF(E202="","",N(I202)+N(J202)-N(K202))</f>
        <v/>
      </c>
      <c r="M202" s="39" t="n"/>
      <c r="N202" s="27">
        <f>IF(E202="","",IF(TODAY()&lt;E202,"Upcoming",IF(TODAY()&lt;F202,"Staying now",IF(M202="Yes","Checked out","Payout not received"))))</f>
        <v/>
      </c>
      <c r="O202" s="35" t="n"/>
      <c r="P202" s="1" t="n"/>
      <c r="Q202">
        <f>IF(N(G202)&gt;0,L202/G202,0)</f>
        <v/>
      </c>
      <c r="R202">
        <f>IF(N(G202)&gt;0,N(I202)/G202,0)</f>
        <v/>
      </c>
      <c r="S202">
        <f>IF(OR($E202="",$F202=""),0,MAX(0,MIN($F202,DATE(Dashboard!$C$4,2,1))-MAX($E202,DATE(Dashboard!$C$4,1,1))))</f>
        <v/>
      </c>
      <c r="T202">
        <f>IF(OR($E202="",$F202=""),0,MAX(0,MIN($F202,DATE(Dashboard!$C$4,3,1))-MAX($E202,DATE(Dashboard!$C$4,2,1))))</f>
        <v/>
      </c>
      <c r="U202">
        <f>IF(OR($E202="",$F202=""),0,MAX(0,MIN($F202,DATE(Dashboard!$C$4,4,1))-MAX($E202,DATE(Dashboard!$C$4,3,1))))</f>
        <v/>
      </c>
      <c r="V202">
        <f>IF(OR($E202="",$F202=""),0,MAX(0,MIN($F202,DATE(Dashboard!$C$4,5,1))-MAX($E202,DATE(Dashboard!$C$4,4,1))))</f>
        <v/>
      </c>
      <c r="W202">
        <f>IF(OR($E202="",$F202=""),0,MAX(0,MIN($F202,DATE(Dashboard!$C$4,6,1))-MAX($E202,DATE(Dashboard!$C$4,5,1))))</f>
        <v/>
      </c>
      <c r="X202">
        <f>IF(OR($E202="",$F202=""),0,MAX(0,MIN($F202,DATE(Dashboard!$C$4,7,1))-MAX($E202,DATE(Dashboard!$C$4,6,1))))</f>
        <v/>
      </c>
      <c r="Y202">
        <f>IF(OR($E202="",$F202=""),0,MAX(0,MIN($F202,DATE(Dashboard!$C$4,8,1))-MAX($E202,DATE(Dashboard!$C$4,7,1))))</f>
        <v/>
      </c>
      <c r="Z202">
        <f>IF(OR($E202="",$F202=""),0,MAX(0,MIN($F202,DATE(Dashboard!$C$4,9,1))-MAX($E202,DATE(Dashboard!$C$4,8,1))))</f>
        <v/>
      </c>
      <c r="AA202">
        <f>IF(OR($E202="",$F202=""),0,MAX(0,MIN($F202,DATE(Dashboard!$C$4,10,1))-MAX($E202,DATE(Dashboard!$C$4,9,1))))</f>
        <v/>
      </c>
      <c r="AB202">
        <f>IF(OR($E202="",$F202=""),0,MAX(0,MIN($F202,DATE(Dashboard!$C$4,11,1))-MAX($E202,DATE(Dashboard!$C$4,10,1))))</f>
        <v/>
      </c>
      <c r="AC202">
        <f>IF(OR($E202="",$F202=""),0,MAX(0,MIN($F202,DATE(Dashboard!$C$4,12,1))-MAX($E202,DATE(Dashboard!$C$4,11,1))))</f>
        <v/>
      </c>
      <c r="AD202">
        <f>IF(OR($E202="",$F202=""),0,MAX(0,MIN($F202,DATE(Dashboard!$C$4,13,1))-MAX($E202,DATE(Dashboard!$C$4,12,1))))</f>
        <v/>
      </c>
      <c r="AE202">
        <f>SUM(S202:AD202)</f>
        <v/>
      </c>
      <c r="AF202">
        <f>Q202*AE202</f>
        <v/>
      </c>
      <c r="AG202">
        <f>R202*AE202</f>
        <v/>
      </c>
      <c r="AH202">
        <f>SUMPRODUCT(S202:AD202,--(COLUMN(S202:AD202)-COLUMN(S202)+1&lt;=Dashboard!$N$1))</f>
        <v/>
      </c>
      <c r="AI202">
        <f>IF(OR(E202="",E202&lt;TODAY()),"",E202+ROW()/100000)</f>
        <v/>
      </c>
      <c r="AJ202">
        <f>IF(OR(F202="",F202&lt;TODAY()),"",F202+ROW()/100000)</f>
        <v/>
      </c>
    </row>
    <row r="203">
      <c r="A203" s="1" t="n"/>
      <c r="B203" s="35" t="n"/>
      <c r="C203" s="35" t="n"/>
      <c r="D203" s="35" t="n"/>
      <c r="E203" s="36" t="n"/>
      <c r="F203" s="36" t="n"/>
      <c r="G203" s="18">
        <f>IF(OR(E203="",F203=""),"",F203-E203)</f>
        <v/>
      </c>
      <c r="H203" s="37" t="n"/>
      <c r="I203" s="38" t="n"/>
      <c r="J203" s="38" t="n"/>
      <c r="K203" s="38" t="n"/>
      <c r="L203" s="31">
        <f>IF(E203="","",N(I203)+N(J203)-N(K203))</f>
        <v/>
      </c>
      <c r="M203" s="39" t="n"/>
      <c r="N203" s="27">
        <f>IF(E203="","",IF(TODAY()&lt;E203,"Upcoming",IF(TODAY()&lt;F203,"Staying now",IF(M203="Yes","Checked out","Payout not received"))))</f>
        <v/>
      </c>
      <c r="O203" s="35" t="n"/>
      <c r="P203" s="1" t="n"/>
      <c r="Q203">
        <f>IF(N(G203)&gt;0,L203/G203,0)</f>
        <v/>
      </c>
      <c r="R203">
        <f>IF(N(G203)&gt;0,N(I203)/G203,0)</f>
        <v/>
      </c>
      <c r="S203">
        <f>IF(OR($E203="",$F203=""),0,MAX(0,MIN($F203,DATE(Dashboard!$C$4,2,1))-MAX($E203,DATE(Dashboard!$C$4,1,1))))</f>
        <v/>
      </c>
      <c r="T203">
        <f>IF(OR($E203="",$F203=""),0,MAX(0,MIN($F203,DATE(Dashboard!$C$4,3,1))-MAX($E203,DATE(Dashboard!$C$4,2,1))))</f>
        <v/>
      </c>
      <c r="U203">
        <f>IF(OR($E203="",$F203=""),0,MAX(0,MIN($F203,DATE(Dashboard!$C$4,4,1))-MAX($E203,DATE(Dashboard!$C$4,3,1))))</f>
        <v/>
      </c>
      <c r="V203">
        <f>IF(OR($E203="",$F203=""),0,MAX(0,MIN($F203,DATE(Dashboard!$C$4,5,1))-MAX($E203,DATE(Dashboard!$C$4,4,1))))</f>
        <v/>
      </c>
      <c r="W203">
        <f>IF(OR($E203="",$F203=""),0,MAX(0,MIN($F203,DATE(Dashboard!$C$4,6,1))-MAX($E203,DATE(Dashboard!$C$4,5,1))))</f>
        <v/>
      </c>
      <c r="X203">
        <f>IF(OR($E203="",$F203=""),0,MAX(0,MIN($F203,DATE(Dashboard!$C$4,7,1))-MAX($E203,DATE(Dashboard!$C$4,6,1))))</f>
        <v/>
      </c>
      <c r="Y203">
        <f>IF(OR($E203="",$F203=""),0,MAX(0,MIN($F203,DATE(Dashboard!$C$4,8,1))-MAX($E203,DATE(Dashboard!$C$4,7,1))))</f>
        <v/>
      </c>
      <c r="Z203">
        <f>IF(OR($E203="",$F203=""),0,MAX(0,MIN($F203,DATE(Dashboard!$C$4,9,1))-MAX($E203,DATE(Dashboard!$C$4,8,1))))</f>
        <v/>
      </c>
      <c r="AA203">
        <f>IF(OR($E203="",$F203=""),0,MAX(0,MIN($F203,DATE(Dashboard!$C$4,10,1))-MAX($E203,DATE(Dashboard!$C$4,9,1))))</f>
        <v/>
      </c>
      <c r="AB203">
        <f>IF(OR($E203="",$F203=""),0,MAX(0,MIN($F203,DATE(Dashboard!$C$4,11,1))-MAX($E203,DATE(Dashboard!$C$4,10,1))))</f>
        <v/>
      </c>
      <c r="AC203">
        <f>IF(OR($E203="",$F203=""),0,MAX(0,MIN($F203,DATE(Dashboard!$C$4,12,1))-MAX($E203,DATE(Dashboard!$C$4,11,1))))</f>
        <v/>
      </c>
      <c r="AD203">
        <f>IF(OR($E203="",$F203=""),0,MAX(0,MIN($F203,DATE(Dashboard!$C$4,13,1))-MAX($E203,DATE(Dashboard!$C$4,12,1))))</f>
        <v/>
      </c>
      <c r="AE203">
        <f>SUM(S203:AD203)</f>
        <v/>
      </c>
      <c r="AF203">
        <f>Q203*AE203</f>
        <v/>
      </c>
      <c r="AG203">
        <f>R203*AE203</f>
        <v/>
      </c>
      <c r="AH203">
        <f>SUMPRODUCT(S203:AD203,--(COLUMN(S203:AD203)-COLUMN(S203)+1&lt;=Dashboard!$N$1))</f>
        <v/>
      </c>
      <c r="AI203">
        <f>IF(OR(E203="",E203&lt;TODAY()),"",E203+ROW()/100000)</f>
        <v/>
      </c>
      <c r="AJ203">
        <f>IF(OR(F203="",F203&lt;TODAY()),"",F203+ROW()/100000)</f>
        <v/>
      </c>
    </row>
    <row r="204">
      <c r="A204" s="1" t="n"/>
      <c r="B204" s="35" t="n"/>
      <c r="C204" s="35" t="n"/>
      <c r="D204" s="35" t="n"/>
      <c r="E204" s="36" t="n"/>
      <c r="F204" s="36" t="n"/>
      <c r="G204" s="18">
        <f>IF(OR(E204="",F204=""),"",F204-E204)</f>
        <v/>
      </c>
      <c r="H204" s="37" t="n"/>
      <c r="I204" s="38" t="n"/>
      <c r="J204" s="38" t="n"/>
      <c r="K204" s="38" t="n"/>
      <c r="L204" s="31">
        <f>IF(E204="","",N(I204)+N(J204)-N(K204))</f>
        <v/>
      </c>
      <c r="M204" s="39" t="n"/>
      <c r="N204" s="27">
        <f>IF(E204="","",IF(TODAY()&lt;E204,"Upcoming",IF(TODAY()&lt;F204,"Staying now",IF(M204="Yes","Checked out","Payout not received"))))</f>
        <v/>
      </c>
      <c r="O204" s="35" t="n"/>
      <c r="P204" s="1" t="n"/>
      <c r="Q204">
        <f>IF(N(G204)&gt;0,L204/G204,0)</f>
        <v/>
      </c>
      <c r="R204">
        <f>IF(N(G204)&gt;0,N(I204)/G204,0)</f>
        <v/>
      </c>
      <c r="S204">
        <f>IF(OR($E204="",$F204=""),0,MAX(0,MIN($F204,DATE(Dashboard!$C$4,2,1))-MAX($E204,DATE(Dashboard!$C$4,1,1))))</f>
        <v/>
      </c>
      <c r="T204">
        <f>IF(OR($E204="",$F204=""),0,MAX(0,MIN($F204,DATE(Dashboard!$C$4,3,1))-MAX($E204,DATE(Dashboard!$C$4,2,1))))</f>
        <v/>
      </c>
      <c r="U204">
        <f>IF(OR($E204="",$F204=""),0,MAX(0,MIN($F204,DATE(Dashboard!$C$4,4,1))-MAX($E204,DATE(Dashboard!$C$4,3,1))))</f>
        <v/>
      </c>
      <c r="V204">
        <f>IF(OR($E204="",$F204=""),0,MAX(0,MIN($F204,DATE(Dashboard!$C$4,5,1))-MAX($E204,DATE(Dashboard!$C$4,4,1))))</f>
        <v/>
      </c>
      <c r="W204">
        <f>IF(OR($E204="",$F204=""),0,MAX(0,MIN($F204,DATE(Dashboard!$C$4,6,1))-MAX($E204,DATE(Dashboard!$C$4,5,1))))</f>
        <v/>
      </c>
      <c r="X204">
        <f>IF(OR($E204="",$F204=""),0,MAX(0,MIN($F204,DATE(Dashboard!$C$4,7,1))-MAX($E204,DATE(Dashboard!$C$4,6,1))))</f>
        <v/>
      </c>
      <c r="Y204">
        <f>IF(OR($E204="",$F204=""),0,MAX(0,MIN($F204,DATE(Dashboard!$C$4,8,1))-MAX($E204,DATE(Dashboard!$C$4,7,1))))</f>
        <v/>
      </c>
      <c r="Z204">
        <f>IF(OR($E204="",$F204=""),0,MAX(0,MIN($F204,DATE(Dashboard!$C$4,9,1))-MAX($E204,DATE(Dashboard!$C$4,8,1))))</f>
        <v/>
      </c>
      <c r="AA204">
        <f>IF(OR($E204="",$F204=""),0,MAX(0,MIN($F204,DATE(Dashboard!$C$4,10,1))-MAX($E204,DATE(Dashboard!$C$4,9,1))))</f>
        <v/>
      </c>
      <c r="AB204">
        <f>IF(OR($E204="",$F204=""),0,MAX(0,MIN($F204,DATE(Dashboard!$C$4,11,1))-MAX($E204,DATE(Dashboard!$C$4,10,1))))</f>
        <v/>
      </c>
      <c r="AC204">
        <f>IF(OR($E204="",$F204=""),0,MAX(0,MIN($F204,DATE(Dashboard!$C$4,12,1))-MAX($E204,DATE(Dashboard!$C$4,11,1))))</f>
        <v/>
      </c>
      <c r="AD204">
        <f>IF(OR($E204="",$F204=""),0,MAX(0,MIN($F204,DATE(Dashboard!$C$4,13,1))-MAX($E204,DATE(Dashboard!$C$4,12,1))))</f>
        <v/>
      </c>
      <c r="AE204">
        <f>SUM(S204:AD204)</f>
        <v/>
      </c>
      <c r="AF204">
        <f>Q204*AE204</f>
        <v/>
      </c>
      <c r="AG204">
        <f>R204*AE204</f>
        <v/>
      </c>
      <c r="AH204">
        <f>SUMPRODUCT(S204:AD204,--(COLUMN(S204:AD204)-COLUMN(S204)+1&lt;=Dashboard!$N$1))</f>
        <v/>
      </c>
      <c r="AI204">
        <f>IF(OR(E204="",E204&lt;TODAY()),"",E204+ROW()/100000)</f>
        <v/>
      </c>
      <c r="AJ204">
        <f>IF(OR(F204="",F204&lt;TODAY()),"",F204+ROW()/100000)</f>
        <v/>
      </c>
    </row>
    <row r="205">
      <c r="A205" s="1" t="n"/>
      <c r="B205" s="35" t="n"/>
      <c r="C205" s="35" t="n"/>
      <c r="D205" s="35" t="n"/>
      <c r="E205" s="36" t="n"/>
      <c r="F205" s="36" t="n"/>
      <c r="G205" s="18">
        <f>IF(OR(E205="",F205=""),"",F205-E205)</f>
        <v/>
      </c>
      <c r="H205" s="37" t="n"/>
      <c r="I205" s="38" t="n"/>
      <c r="J205" s="38" t="n"/>
      <c r="K205" s="38" t="n"/>
      <c r="L205" s="31">
        <f>IF(E205="","",N(I205)+N(J205)-N(K205))</f>
        <v/>
      </c>
      <c r="M205" s="39" t="n"/>
      <c r="N205" s="27">
        <f>IF(E205="","",IF(TODAY()&lt;E205,"Upcoming",IF(TODAY()&lt;F205,"Staying now",IF(M205="Yes","Checked out","Payout not received"))))</f>
        <v/>
      </c>
      <c r="O205" s="35" t="n"/>
      <c r="P205" s="1" t="n"/>
      <c r="Q205">
        <f>IF(N(G205)&gt;0,L205/G205,0)</f>
        <v/>
      </c>
      <c r="R205">
        <f>IF(N(G205)&gt;0,N(I205)/G205,0)</f>
        <v/>
      </c>
      <c r="S205">
        <f>IF(OR($E205="",$F205=""),0,MAX(0,MIN($F205,DATE(Dashboard!$C$4,2,1))-MAX($E205,DATE(Dashboard!$C$4,1,1))))</f>
        <v/>
      </c>
      <c r="T205">
        <f>IF(OR($E205="",$F205=""),0,MAX(0,MIN($F205,DATE(Dashboard!$C$4,3,1))-MAX($E205,DATE(Dashboard!$C$4,2,1))))</f>
        <v/>
      </c>
      <c r="U205">
        <f>IF(OR($E205="",$F205=""),0,MAX(0,MIN($F205,DATE(Dashboard!$C$4,4,1))-MAX($E205,DATE(Dashboard!$C$4,3,1))))</f>
        <v/>
      </c>
      <c r="V205">
        <f>IF(OR($E205="",$F205=""),0,MAX(0,MIN($F205,DATE(Dashboard!$C$4,5,1))-MAX($E205,DATE(Dashboard!$C$4,4,1))))</f>
        <v/>
      </c>
      <c r="W205">
        <f>IF(OR($E205="",$F205=""),0,MAX(0,MIN($F205,DATE(Dashboard!$C$4,6,1))-MAX($E205,DATE(Dashboard!$C$4,5,1))))</f>
        <v/>
      </c>
      <c r="X205">
        <f>IF(OR($E205="",$F205=""),0,MAX(0,MIN($F205,DATE(Dashboard!$C$4,7,1))-MAX($E205,DATE(Dashboard!$C$4,6,1))))</f>
        <v/>
      </c>
      <c r="Y205">
        <f>IF(OR($E205="",$F205=""),0,MAX(0,MIN($F205,DATE(Dashboard!$C$4,8,1))-MAX($E205,DATE(Dashboard!$C$4,7,1))))</f>
        <v/>
      </c>
      <c r="Z205">
        <f>IF(OR($E205="",$F205=""),0,MAX(0,MIN($F205,DATE(Dashboard!$C$4,9,1))-MAX($E205,DATE(Dashboard!$C$4,8,1))))</f>
        <v/>
      </c>
      <c r="AA205">
        <f>IF(OR($E205="",$F205=""),0,MAX(0,MIN($F205,DATE(Dashboard!$C$4,10,1))-MAX($E205,DATE(Dashboard!$C$4,9,1))))</f>
        <v/>
      </c>
      <c r="AB205">
        <f>IF(OR($E205="",$F205=""),0,MAX(0,MIN($F205,DATE(Dashboard!$C$4,11,1))-MAX($E205,DATE(Dashboard!$C$4,10,1))))</f>
        <v/>
      </c>
      <c r="AC205">
        <f>IF(OR($E205="",$F205=""),0,MAX(0,MIN($F205,DATE(Dashboard!$C$4,12,1))-MAX($E205,DATE(Dashboard!$C$4,11,1))))</f>
        <v/>
      </c>
      <c r="AD205">
        <f>IF(OR($E205="",$F205=""),0,MAX(0,MIN($F205,DATE(Dashboard!$C$4,13,1))-MAX($E205,DATE(Dashboard!$C$4,12,1))))</f>
        <v/>
      </c>
      <c r="AE205">
        <f>SUM(S205:AD205)</f>
        <v/>
      </c>
      <c r="AF205">
        <f>Q205*AE205</f>
        <v/>
      </c>
      <c r="AG205">
        <f>R205*AE205</f>
        <v/>
      </c>
      <c r="AH205">
        <f>SUMPRODUCT(S205:AD205,--(COLUMN(S205:AD205)-COLUMN(S205)+1&lt;=Dashboard!$N$1))</f>
        <v/>
      </c>
      <c r="AI205">
        <f>IF(OR(E205="",E205&lt;TODAY()),"",E205+ROW()/100000)</f>
        <v/>
      </c>
      <c r="AJ205">
        <f>IF(OR(F205="",F205&lt;TODAY()),"",F205+ROW()/100000)</f>
        <v/>
      </c>
    </row>
    <row r="206">
      <c r="A206" s="1" t="n"/>
      <c r="B206" s="35" t="n"/>
      <c r="C206" s="35" t="n"/>
      <c r="D206" s="35" t="n"/>
      <c r="E206" s="36" t="n"/>
      <c r="F206" s="36" t="n"/>
      <c r="G206" s="18">
        <f>IF(OR(E206="",F206=""),"",F206-E206)</f>
        <v/>
      </c>
      <c r="H206" s="37" t="n"/>
      <c r="I206" s="38" t="n"/>
      <c r="J206" s="38" t="n"/>
      <c r="K206" s="38" t="n"/>
      <c r="L206" s="31">
        <f>IF(E206="","",N(I206)+N(J206)-N(K206))</f>
        <v/>
      </c>
      <c r="M206" s="39" t="n"/>
      <c r="N206" s="27">
        <f>IF(E206="","",IF(TODAY()&lt;E206,"Upcoming",IF(TODAY()&lt;F206,"Staying now",IF(M206="Yes","Checked out","Payout not received"))))</f>
        <v/>
      </c>
      <c r="O206" s="35" t="n"/>
      <c r="P206" s="1" t="n"/>
      <c r="Q206">
        <f>IF(N(G206)&gt;0,L206/G206,0)</f>
        <v/>
      </c>
      <c r="R206">
        <f>IF(N(G206)&gt;0,N(I206)/G206,0)</f>
        <v/>
      </c>
      <c r="S206">
        <f>IF(OR($E206="",$F206=""),0,MAX(0,MIN($F206,DATE(Dashboard!$C$4,2,1))-MAX($E206,DATE(Dashboard!$C$4,1,1))))</f>
        <v/>
      </c>
      <c r="T206">
        <f>IF(OR($E206="",$F206=""),0,MAX(0,MIN($F206,DATE(Dashboard!$C$4,3,1))-MAX($E206,DATE(Dashboard!$C$4,2,1))))</f>
        <v/>
      </c>
      <c r="U206">
        <f>IF(OR($E206="",$F206=""),0,MAX(0,MIN($F206,DATE(Dashboard!$C$4,4,1))-MAX($E206,DATE(Dashboard!$C$4,3,1))))</f>
        <v/>
      </c>
      <c r="V206">
        <f>IF(OR($E206="",$F206=""),0,MAX(0,MIN($F206,DATE(Dashboard!$C$4,5,1))-MAX($E206,DATE(Dashboard!$C$4,4,1))))</f>
        <v/>
      </c>
      <c r="W206">
        <f>IF(OR($E206="",$F206=""),0,MAX(0,MIN($F206,DATE(Dashboard!$C$4,6,1))-MAX($E206,DATE(Dashboard!$C$4,5,1))))</f>
        <v/>
      </c>
      <c r="X206">
        <f>IF(OR($E206="",$F206=""),0,MAX(0,MIN($F206,DATE(Dashboard!$C$4,7,1))-MAX($E206,DATE(Dashboard!$C$4,6,1))))</f>
        <v/>
      </c>
      <c r="Y206">
        <f>IF(OR($E206="",$F206=""),0,MAX(0,MIN($F206,DATE(Dashboard!$C$4,8,1))-MAX($E206,DATE(Dashboard!$C$4,7,1))))</f>
        <v/>
      </c>
      <c r="Z206">
        <f>IF(OR($E206="",$F206=""),0,MAX(0,MIN($F206,DATE(Dashboard!$C$4,9,1))-MAX($E206,DATE(Dashboard!$C$4,8,1))))</f>
        <v/>
      </c>
      <c r="AA206">
        <f>IF(OR($E206="",$F206=""),0,MAX(0,MIN($F206,DATE(Dashboard!$C$4,10,1))-MAX($E206,DATE(Dashboard!$C$4,9,1))))</f>
        <v/>
      </c>
      <c r="AB206">
        <f>IF(OR($E206="",$F206=""),0,MAX(0,MIN($F206,DATE(Dashboard!$C$4,11,1))-MAX($E206,DATE(Dashboard!$C$4,10,1))))</f>
        <v/>
      </c>
      <c r="AC206">
        <f>IF(OR($E206="",$F206=""),0,MAX(0,MIN($F206,DATE(Dashboard!$C$4,12,1))-MAX($E206,DATE(Dashboard!$C$4,11,1))))</f>
        <v/>
      </c>
      <c r="AD206">
        <f>IF(OR($E206="",$F206=""),0,MAX(0,MIN($F206,DATE(Dashboard!$C$4,13,1))-MAX($E206,DATE(Dashboard!$C$4,12,1))))</f>
        <v/>
      </c>
      <c r="AE206">
        <f>SUM(S206:AD206)</f>
        <v/>
      </c>
      <c r="AF206">
        <f>Q206*AE206</f>
        <v/>
      </c>
      <c r="AG206">
        <f>R206*AE206</f>
        <v/>
      </c>
      <c r="AH206">
        <f>SUMPRODUCT(S206:AD206,--(COLUMN(S206:AD206)-COLUMN(S206)+1&lt;=Dashboard!$N$1))</f>
        <v/>
      </c>
      <c r="AI206">
        <f>IF(OR(E206="",E206&lt;TODAY()),"",E206+ROW()/100000)</f>
        <v/>
      </c>
      <c r="AJ206">
        <f>IF(OR(F206="",F206&lt;TODAY()),"",F206+ROW()/100000)</f>
        <v/>
      </c>
    </row>
    <row r="207">
      <c r="A207" s="1" t="n"/>
      <c r="B207" s="35" t="n"/>
      <c r="C207" s="35" t="n"/>
      <c r="D207" s="35" t="n"/>
      <c r="E207" s="36" t="n"/>
      <c r="F207" s="36" t="n"/>
      <c r="G207" s="18">
        <f>IF(OR(E207="",F207=""),"",F207-E207)</f>
        <v/>
      </c>
      <c r="H207" s="37" t="n"/>
      <c r="I207" s="38" t="n"/>
      <c r="J207" s="38" t="n"/>
      <c r="K207" s="38" t="n"/>
      <c r="L207" s="31">
        <f>IF(E207="","",N(I207)+N(J207)-N(K207))</f>
        <v/>
      </c>
      <c r="M207" s="39" t="n"/>
      <c r="N207" s="27">
        <f>IF(E207="","",IF(TODAY()&lt;E207,"Upcoming",IF(TODAY()&lt;F207,"Staying now",IF(M207="Yes","Checked out","Payout not received"))))</f>
        <v/>
      </c>
      <c r="O207" s="35" t="n"/>
      <c r="P207" s="1" t="n"/>
      <c r="Q207">
        <f>IF(N(G207)&gt;0,L207/G207,0)</f>
        <v/>
      </c>
      <c r="R207">
        <f>IF(N(G207)&gt;0,N(I207)/G207,0)</f>
        <v/>
      </c>
      <c r="S207">
        <f>IF(OR($E207="",$F207=""),0,MAX(0,MIN($F207,DATE(Dashboard!$C$4,2,1))-MAX($E207,DATE(Dashboard!$C$4,1,1))))</f>
        <v/>
      </c>
      <c r="T207">
        <f>IF(OR($E207="",$F207=""),0,MAX(0,MIN($F207,DATE(Dashboard!$C$4,3,1))-MAX($E207,DATE(Dashboard!$C$4,2,1))))</f>
        <v/>
      </c>
      <c r="U207">
        <f>IF(OR($E207="",$F207=""),0,MAX(0,MIN($F207,DATE(Dashboard!$C$4,4,1))-MAX($E207,DATE(Dashboard!$C$4,3,1))))</f>
        <v/>
      </c>
      <c r="V207">
        <f>IF(OR($E207="",$F207=""),0,MAX(0,MIN($F207,DATE(Dashboard!$C$4,5,1))-MAX($E207,DATE(Dashboard!$C$4,4,1))))</f>
        <v/>
      </c>
      <c r="W207">
        <f>IF(OR($E207="",$F207=""),0,MAX(0,MIN($F207,DATE(Dashboard!$C$4,6,1))-MAX($E207,DATE(Dashboard!$C$4,5,1))))</f>
        <v/>
      </c>
      <c r="X207">
        <f>IF(OR($E207="",$F207=""),0,MAX(0,MIN($F207,DATE(Dashboard!$C$4,7,1))-MAX($E207,DATE(Dashboard!$C$4,6,1))))</f>
        <v/>
      </c>
      <c r="Y207">
        <f>IF(OR($E207="",$F207=""),0,MAX(0,MIN($F207,DATE(Dashboard!$C$4,8,1))-MAX($E207,DATE(Dashboard!$C$4,7,1))))</f>
        <v/>
      </c>
      <c r="Z207">
        <f>IF(OR($E207="",$F207=""),0,MAX(0,MIN($F207,DATE(Dashboard!$C$4,9,1))-MAX($E207,DATE(Dashboard!$C$4,8,1))))</f>
        <v/>
      </c>
      <c r="AA207">
        <f>IF(OR($E207="",$F207=""),0,MAX(0,MIN($F207,DATE(Dashboard!$C$4,10,1))-MAX($E207,DATE(Dashboard!$C$4,9,1))))</f>
        <v/>
      </c>
      <c r="AB207">
        <f>IF(OR($E207="",$F207=""),0,MAX(0,MIN($F207,DATE(Dashboard!$C$4,11,1))-MAX($E207,DATE(Dashboard!$C$4,10,1))))</f>
        <v/>
      </c>
      <c r="AC207">
        <f>IF(OR($E207="",$F207=""),0,MAX(0,MIN($F207,DATE(Dashboard!$C$4,12,1))-MAX($E207,DATE(Dashboard!$C$4,11,1))))</f>
        <v/>
      </c>
      <c r="AD207">
        <f>IF(OR($E207="",$F207=""),0,MAX(0,MIN($F207,DATE(Dashboard!$C$4,13,1))-MAX($E207,DATE(Dashboard!$C$4,12,1))))</f>
        <v/>
      </c>
      <c r="AE207">
        <f>SUM(S207:AD207)</f>
        <v/>
      </c>
      <c r="AF207">
        <f>Q207*AE207</f>
        <v/>
      </c>
      <c r="AG207">
        <f>R207*AE207</f>
        <v/>
      </c>
      <c r="AH207">
        <f>SUMPRODUCT(S207:AD207,--(COLUMN(S207:AD207)-COLUMN(S207)+1&lt;=Dashboard!$N$1))</f>
        <v/>
      </c>
      <c r="AI207">
        <f>IF(OR(E207="",E207&lt;TODAY()),"",E207+ROW()/100000)</f>
        <v/>
      </c>
      <c r="AJ207">
        <f>IF(OR(F207="",F207&lt;TODAY()),"",F207+ROW()/100000)</f>
        <v/>
      </c>
    </row>
    <row r="208">
      <c r="A208" s="1" t="n"/>
      <c r="B208" s="35" t="n"/>
      <c r="C208" s="35" t="n"/>
      <c r="D208" s="35" t="n"/>
      <c r="E208" s="36" t="n"/>
      <c r="F208" s="36" t="n"/>
      <c r="G208" s="18">
        <f>IF(OR(E208="",F208=""),"",F208-E208)</f>
        <v/>
      </c>
      <c r="H208" s="37" t="n"/>
      <c r="I208" s="38" t="n"/>
      <c r="J208" s="38" t="n"/>
      <c r="K208" s="38" t="n"/>
      <c r="L208" s="31">
        <f>IF(E208="","",N(I208)+N(J208)-N(K208))</f>
        <v/>
      </c>
      <c r="M208" s="39" t="n"/>
      <c r="N208" s="27">
        <f>IF(E208="","",IF(TODAY()&lt;E208,"Upcoming",IF(TODAY()&lt;F208,"Staying now",IF(M208="Yes","Checked out","Payout not received"))))</f>
        <v/>
      </c>
      <c r="O208" s="35" t="n"/>
      <c r="P208" s="1" t="n"/>
      <c r="Q208">
        <f>IF(N(G208)&gt;0,L208/G208,0)</f>
        <v/>
      </c>
      <c r="R208">
        <f>IF(N(G208)&gt;0,N(I208)/G208,0)</f>
        <v/>
      </c>
      <c r="S208">
        <f>IF(OR($E208="",$F208=""),0,MAX(0,MIN($F208,DATE(Dashboard!$C$4,2,1))-MAX($E208,DATE(Dashboard!$C$4,1,1))))</f>
        <v/>
      </c>
      <c r="T208">
        <f>IF(OR($E208="",$F208=""),0,MAX(0,MIN($F208,DATE(Dashboard!$C$4,3,1))-MAX($E208,DATE(Dashboard!$C$4,2,1))))</f>
        <v/>
      </c>
      <c r="U208">
        <f>IF(OR($E208="",$F208=""),0,MAX(0,MIN($F208,DATE(Dashboard!$C$4,4,1))-MAX($E208,DATE(Dashboard!$C$4,3,1))))</f>
        <v/>
      </c>
      <c r="V208">
        <f>IF(OR($E208="",$F208=""),0,MAX(0,MIN($F208,DATE(Dashboard!$C$4,5,1))-MAX($E208,DATE(Dashboard!$C$4,4,1))))</f>
        <v/>
      </c>
      <c r="W208">
        <f>IF(OR($E208="",$F208=""),0,MAX(0,MIN($F208,DATE(Dashboard!$C$4,6,1))-MAX($E208,DATE(Dashboard!$C$4,5,1))))</f>
        <v/>
      </c>
      <c r="X208">
        <f>IF(OR($E208="",$F208=""),0,MAX(0,MIN($F208,DATE(Dashboard!$C$4,7,1))-MAX($E208,DATE(Dashboard!$C$4,6,1))))</f>
        <v/>
      </c>
      <c r="Y208">
        <f>IF(OR($E208="",$F208=""),0,MAX(0,MIN($F208,DATE(Dashboard!$C$4,8,1))-MAX($E208,DATE(Dashboard!$C$4,7,1))))</f>
        <v/>
      </c>
      <c r="Z208">
        <f>IF(OR($E208="",$F208=""),0,MAX(0,MIN($F208,DATE(Dashboard!$C$4,9,1))-MAX($E208,DATE(Dashboard!$C$4,8,1))))</f>
        <v/>
      </c>
      <c r="AA208">
        <f>IF(OR($E208="",$F208=""),0,MAX(0,MIN($F208,DATE(Dashboard!$C$4,10,1))-MAX($E208,DATE(Dashboard!$C$4,9,1))))</f>
        <v/>
      </c>
      <c r="AB208">
        <f>IF(OR($E208="",$F208=""),0,MAX(0,MIN($F208,DATE(Dashboard!$C$4,11,1))-MAX($E208,DATE(Dashboard!$C$4,10,1))))</f>
        <v/>
      </c>
      <c r="AC208">
        <f>IF(OR($E208="",$F208=""),0,MAX(0,MIN($F208,DATE(Dashboard!$C$4,12,1))-MAX($E208,DATE(Dashboard!$C$4,11,1))))</f>
        <v/>
      </c>
      <c r="AD208">
        <f>IF(OR($E208="",$F208=""),0,MAX(0,MIN($F208,DATE(Dashboard!$C$4,13,1))-MAX($E208,DATE(Dashboard!$C$4,12,1))))</f>
        <v/>
      </c>
      <c r="AE208">
        <f>SUM(S208:AD208)</f>
        <v/>
      </c>
      <c r="AF208">
        <f>Q208*AE208</f>
        <v/>
      </c>
      <c r="AG208">
        <f>R208*AE208</f>
        <v/>
      </c>
      <c r="AH208">
        <f>SUMPRODUCT(S208:AD208,--(COLUMN(S208:AD208)-COLUMN(S208)+1&lt;=Dashboard!$N$1))</f>
        <v/>
      </c>
      <c r="AI208">
        <f>IF(OR(E208="",E208&lt;TODAY()),"",E208+ROW()/100000)</f>
        <v/>
      </c>
      <c r="AJ208">
        <f>IF(OR(F208="",F208&lt;TODAY()),"",F208+ROW()/100000)</f>
        <v/>
      </c>
    </row>
    <row r="209">
      <c r="A209" s="1" t="n"/>
      <c r="B209" s="35" t="n"/>
      <c r="C209" s="35" t="n"/>
      <c r="D209" s="35" t="n"/>
      <c r="E209" s="36" t="n"/>
      <c r="F209" s="36" t="n"/>
      <c r="G209" s="18">
        <f>IF(OR(E209="",F209=""),"",F209-E209)</f>
        <v/>
      </c>
      <c r="H209" s="37" t="n"/>
      <c r="I209" s="38" t="n"/>
      <c r="J209" s="38" t="n"/>
      <c r="K209" s="38" t="n"/>
      <c r="L209" s="31">
        <f>IF(E209="","",N(I209)+N(J209)-N(K209))</f>
        <v/>
      </c>
      <c r="M209" s="39" t="n"/>
      <c r="N209" s="27">
        <f>IF(E209="","",IF(TODAY()&lt;E209,"Upcoming",IF(TODAY()&lt;F209,"Staying now",IF(M209="Yes","Checked out","Payout not received"))))</f>
        <v/>
      </c>
      <c r="O209" s="35" t="n"/>
      <c r="P209" s="1" t="n"/>
      <c r="Q209">
        <f>IF(N(G209)&gt;0,L209/G209,0)</f>
        <v/>
      </c>
      <c r="R209">
        <f>IF(N(G209)&gt;0,N(I209)/G209,0)</f>
        <v/>
      </c>
      <c r="S209">
        <f>IF(OR($E209="",$F209=""),0,MAX(0,MIN($F209,DATE(Dashboard!$C$4,2,1))-MAX($E209,DATE(Dashboard!$C$4,1,1))))</f>
        <v/>
      </c>
      <c r="T209">
        <f>IF(OR($E209="",$F209=""),0,MAX(0,MIN($F209,DATE(Dashboard!$C$4,3,1))-MAX($E209,DATE(Dashboard!$C$4,2,1))))</f>
        <v/>
      </c>
      <c r="U209">
        <f>IF(OR($E209="",$F209=""),0,MAX(0,MIN($F209,DATE(Dashboard!$C$4,4,1))-MAX($E209,DATE(Dashboard!$C$4,3,1))))</f>
        <v/>
      </c>
      <c r="V209">
        <f>IF(OR($E209="",$F209=""),0,MAX(0,MIN($F209,DATE(Dashboard!$C$4,5,1))-MAX($E209,DATE(Dashboard!$C$4,4,1))))</f>
        <v/>
      </c>
      <c r="W209">
        <f>IF(OR($E209="",$F209=""),0,MAX(0,MIN($F209,DATE(Dashboard!$C$4,6,1))-MAX($E209,DATE(Dashboard!$C$4,5,1))))</f>
        <v/>
      </c>
      <c r="X209">
        <f>IF(OR($E209="",$F209=""),0,MAX(0,MIN($F209,DATE(Dashboard!$C$4,7,1))-MAX($E209,DATE(Dashboard!$C$4,6,1))))</f>
        <v/>
      </c>
      <c r="Y209">
        <f>IF(OR($E209="",$F209=""),0,MAX(0,MIN($F209,DATE(Dashboard!$C$4,8,1))-MAX($E209,DATE(Dashboard!$C$4,7,1))))</f>
        <v/>
      </c>
      <c r="Z209">
        <f>IF(OR($E209="",$F209=""),0,MAX(0,MIN($F209,DATE(Dashboard!$C$4,9,1))-MAX($E209,DATE(Dashboard!$C$4,8,1))))</f>
        <v/>
      </c>
      <c r="AA209">
        <f>IF(OR($E209="",$F209=""),0,MAX(0,MIN($F209,DATE(Dashboard!$C$4,10,1))-MAX($E209,DATE(Dashboard!$C$4,9,1))))</f>
        <v/>
      </c>
      <c r="AB209">
        <f>IF(OR($E209="",$F209=""),0,MAX(0,MIN($F209,DATE(Dashboard!$C$4,11,1))-MAX($E209,DATE(Dashboard!$C$4,10,1))))</f>
        <v/>
      </c>
      <c r="AC209">
        <f>IF(OR($E209="",$F209=""),0,MAX(0,MIN($F209,DATE(Dashboard!$C$4,12,1))-MAX($E209,DATE(Dashboard!$C$4,11,1))))</f>
        <v/>
      </c>
      <c r="AD209">
        <f>IF(OR($E209="",$F209=""),0,MAX(0,MIN($F209,DATE(Dashboard!$C$4,13,1))-MAX($E209,DATE(Dashboard!$C$4,12,1))))</f>
        <v/>
      </c>
      <c r="AE209">
        <f>SUM(S209:AD209)</f>
        <v/>
      </c>
      <c r="AF209">
        <f>Q209*AE209</f>
        <v/>
      </c>
      <c r="AG209">
        <f>R209*AE209</f>
        <v/>
      </c>
      <c r="AH209">
        <f>SUMPRODUCT(S209:AD209,--(COLUMN(S209:AD209)-COLUMN(S209)+1&lt;=Dashboard!$N$1))</f>
        <v/>
      </c>
      <c r="AI209">
        <f>IF(OR(E209="",E209&lt;TODAY()),"",E209+ROW()/100000)</f>
        <v/>
      </c>
      <c r="AJ209">
        <f>IF(OR(F209="",F209&lt;TODAY()),"",F209+ROW()/100000)</f>
        <v/>
      </c>
    </row>
    <row r="210">
      <c r="A210" s="1" t="n"/>
      <c r="B210" s="35" t="n"/>
      <c r="C210" s="35" t="n"/>
      <c r="D210" s="35" t="n"/>
      <c r="E210" s="36" t="n"/>
      <c r="F210" s="36" t="n"/>
      <c r="G210" s="18">
        <f>IF(OR(E210="",F210=""),"",F210-E210)</f>
        <v/>
      </c>
      <c r="H210" s="37" t="n"/>
      <c r="I210" s="38" t="n"/>
      <c r="J210" s="38" t="n"/>
      <c r="K210" s="38" t="n"/>
      <c r="L210" s="31">
        <f>IF(E210="","",N(I210)+N(J210)-N(K210))</f>
        <v/>
      </c>
      <c r="M210" s="39" t="n"/>
      <c r="N210" s="27">
        <f>IF(E210="","",IF(TODAY()&lt;E210,"Upcoming",IF(TODAY()&lt;F210,"Staying now",IF(M210="Yes","Checked out","Payout not received"))))</f>
        <v/>
      </c>
      <c r="O210" s="35" t="n"/>
      <c r="P210" s="1" t="n"/>
      <c r="Q210">
        <f>IF(N(G210)&gt;0,L210/G210,0)</f>
        <v/>
      </c>
      <c r="R210">
        <f>IF(N(G210)&gt;0,N(I210)/G210,0)</f>
        <v/>
      </c>
      <c r="S210">
        <f>IF(OR($E210="",$F210=""),0,MAX(0,MIN($F210,DATE(Dashboard!$C$4,2,1))-MAX($E210,DATE(Dashboard!$C$4,1,1))))</f>
        <v/>
      </c>
      <c r="T210">
        <f>IF(OR($E210="",$F210=""),0,MAX(0,MIN($F210,DATE(Dashboard!$C$4,3,1))-MAX($E210,DATE(Dashboard!$C$4,2,1))))</f>
        <v/>
      </c>
      <c r="U210">
        <f>IF(OR($E210="",$F210=""),0,MAX(0,MIN($F210,DATE(Dashboard!$C$4,4,1))-MAX($E210,DATE(Dashboard!$C$4,3,1))))</f>
        <v/>
      </c>
      <c r="V210">
        <f>IF(OR($E210="",$F210=""),0,MAX(0,MIN($F210,DATE(Dashboard!$C$4,5,1))-MAX($E210,DATE(Dashboard!$C$4,4,1))))</f>
        <v/>
      </c>
      <c r="W210">
        <f>IF(OR($E210="",$F210=""),0,MAX(0,MIN($F210,DATE(Dashboard!$C$4,6,1))-MAX($E210,DATE(Dashboard!$C$4,5,1))))</f>
        <v/>
      </c>
      <c r="X210">
        <f>IF(OR($E210="",$F210=""),0,MAX(0,MIN($F210,DATE(Dashboard!$C$4,7,1))-MAX($E210,DATE(Dashboard!$C$4,6,1))))</f>
        <v/>
      </c>
      <c r="Y210">
        <f>IF(OR($E210="",$F210=""),0,MAX(0,MIN($F210,DATE(Dashboard!$C$4,8,1))-MAX($E210,DATE(Dashboard!$C$4,7,1))))</f>
        <v/>
      </c>
      <c r="Z210">
        <f>IF(OR($E210="",$F210=""),0,MAX(0,MIN($F210,DATE(Dashboard!$C$4,9,1))-MAX($E210,DATE(Dashboard!$C$4,8,1))))</f>
        <v/>
      </c>
      <c r="AA210">
        <f>IF(OR($E210="",$F210=""),0,MAX(0,MIN($F210,DATE(Dashboard!$C$4,10,1))-MAX($E210,DATE(Dashboard!$C$4,9,1))))</f>
        <v/>
      </c>
      <c r="AB210">
        <f>IF(OR($E210="",$F210=""),0,MAX(0,MIN($F210,DATE(Dashboard!$C$4,11,1))-MAX($E210,DATE(Dashboard!$C$4,10,1))))</f>
        <v/>
      </c>
      <c r="AC210">
        <f>IF(OR($E210="",$F210=""),0,MAX(0,MIN($F210,DATE(Dashboard!$C$4,12,1))-MAX($E210,DATE(Dashboard!$C$4,11,1))))</f>
        <v/>
      </c>
      <c r="AD210">
        <f>IF(OR($E210="",$F210=""),0,MAX(0,MIN($F210,DATE(Dashboard!$C$4,13,1))-MAX($E210,DATE(Dashboard!$C$4,12,1))))</f>
        <v/>
      </c>
      <c r="AE210">
        <f>SUM(S210:AD210)</f>
        <v/>
      </c>
      <c r="AF210">
        <f>Q210*AE210</f>
        <v/>
      </c>
      <c r="AG210">
        <f>R210*AE210</f>
        <v/>
      </c>
      <c r="AH210">
        <f>SUMPRODUCT(S210:AD210,--(COLUMN(S210:AD210)-COLUMN(S210)+1&lt;=Dashboard!$N$1))</f>
        <v/>
      </c>
      <c r="AI210">
        <f>IF(OR(E210="",E210&lt;TODAY()),"",E210+ROW()/100000)</f>
        <v/>
      </c>
      <c r="AJ210">
        <f>IF(OR(F210="",F210&lt;TODAY()),"",F210+ROW()/100000)</f>
        <v/>
      </c>
    </row>
    <row r="211">
      <c r="A211" s="1" t="n"/>
      <c r="B211" s="35" t="n"/>
      <c r="C211" s="35" t="n"/>
      <c r="D211" s="35" t="n"/>
      <c r="E211" s="36" t="n"/>
      <c r="F211" s="36" t="n"/>
      <c r="G211" s="18">
        <f>IF(OR(E211="",F211=""),"",F211-E211)</f>
        <v/>
      </c>
      <c r="H211" s="37" t="n"/>
      <c r="I211" s="38" t="n"/>
      <c r="J211" s="38" t="n"/>
      <c r="K211" s="38" t="n"/>
      <c r="L211" s="31">
        <f>IF(E211="","",N(I211)+N(J211)-N(K211))</f>
        <v/>
      </c>
      <c r="M211" s="39" t="n"/>
      <c r="N211" s="27">
        <f>IF(E211="","",IF(TODAY()&lt;E211,"Upcoming",IF(TODAY()&lt;F211,"Staying now",IF(M211="Yes","Checked out","Payout not received"))))</f>
        <v/>
      </c>
      <c r="O211" s="35" t="n"/>
      <c r="P211" s="1" t="n"/>
      <c r="Q211">
        <f>IF(N(G211)&gt;0,L211/G211,0)</f>
        <v/>
      </c>
      <c r="R211">
        <f>IF(N(G211)&gt;0,N(I211)/G211,0)</f>
        <v/>
      </c>
      <c r="S211">
        <f>IF(OR($E211="",$F211=""),0,MAX(0,MIN($F211,DATE(Dashboard!$C$4,2,1))-MAX($E211,DATE(Dashboard!$C$4,1,1))))</f>
        <v/>
      </c>
      <c r="T211">
        <f>IF(OR($E211="",$F211=""),0,MAX(0,MIN($F211,DATE(Dashboard!$C$4,3,1))-MAX($E211,DATE(Dashboard!$C$4,2,1))))</f>
        <v/>
      </c>
      <c r="U211">
        <f>IF(OR($E211="",$F211=""),0,MAX(0,MIN($F211,DATE(Dashboard!$C$4,4,1))-MAX($E211,DATE(Dashboard!$C$4,3,1))))</f>
        <v/>
      </c>
      <c r="V211">
        <f>IF(OR($E211="",$F211=""),0,MAX(0,MIN($F211,DATE(Dashboard!$C$4,5,1))-MAX($E211,DATE(Dashboard!$C$4,4,1))))</f>
        <v/>
      </c>
      <c r="W211">
        <f>IF(OR($E211="",$F211=""),0,MAX(0,MIN($F211,DATE(Dashboard!$C$4,6,1))-MAX($E211,DATE(Dashboard!$C$4,5,1))))</f>
        <v/>
      </c>
      <c r="X211">
        <f>IF(OR($E211="",$F211=""),0,MAX(0,MIN($F211,DATE(Dashboard!$C$4,7,1))-MAX($E211,DATE(Dashboard!$C$4,6,1))))</f>
        <v/>
      </c>
      <c r="Y211">
        <f>IF(OR($E211="",$F211=""),0,MAX(0,MIN($F211,DATE(Dashboard!$C$4,8,1))-MAX($E211,DATE(Dashboard!$C$4,7,1))))</f>
        <v/>
      </c>
      <c r="Z211">
        <f>IF(OR($E211="",$F211=""),0,MAX(0,MIN($F211,DATE(Dashboard!$C$4,9,1))-MAX($E211,DATE(Dashboard!$C$4,8,1))))</f>
        <v/>
      </c>
      <c r="AA211">
        <f>IF(OR($E211="",$F211=""),0,MAX(0,MIN($F211,DATE(Dashboard!$C$4,10,1))-MAX($E211,DATE(Dashboard!$C$4,9,1))))</f>
        <v/>
      </c>
      <c r="AB211">
        <f>IF(OR($E211="",$F211=""),0,MAX(0,MIN($F211,DATE(Dashboard!$C$4,11,1))-MAX($E211,DATE(Dashboard!$C$4,10,1))))</f>
        <v/>
      </c>
      <c r="AC211">
        <f>IF(OR($E211="",$F211=""),0,MAX(0,MIN($F211,DATE(Dashboard!$C$4,12,1))-MAX($E211,DATE(Dashboard!$C$4,11,1))))</f>
        <v/>
      </c>
      <c r="AD211">
        <f>IF(OR($E211="",$F211=""),0,MAX(0,MIN($F211,DATE(Dashboard!$C$4,13,1))-MAX($E211,DATE(Dashboard!$C$4,12,1))))</f>
        <v/>
      </c>
      <c r="AE211">
        <f>SUM(S211:AD211)</f>
        <v/>
      </c>
      <c r="AF211">
        <f>Q211*AE211</f>
        <v/>
      </c>
      <c r="AG211">
        <f>R211*AE211</f>
        <v/>
      </c>
      <c r="AH211">
        <f>SUMPRODUCT(S211:AD211,--(COLUMN(S211:AD211)-COLUMN(S211)+1&lt;=Dashboard!$N$1))</f>
        <v/>
      </c>
      <c r="AI211">
        <f>IF(OR(E211="",E211&lt;TODAY()),"",E211+ROW()/100000)</f>
        <v/>
      </c>
      <c r="AJ211">
        <f>IF(OR(F211="",F211&lt;TODAY()),"",F211+ROW()/100000)</f>
        <v/>
      </c>
    </row>
    <row r="212">
      <c r="A212" s="1" t="n"/>
      <c r="B212" s="35" t="n"/>
      <c r="C212" s="35" t="n"/>
      <c r="D212" s="35" t="n"/>
      <c r="E212" s="36" t="n"/>
      <c r="F212" s="36" t="n"/>
      <c r="G212" s="18">
        <f>IF(OR(E212="",F212=""),"",F212-E212)</f>
        <v/>
      </c>
      <c r="H212" s="37" t="n"/>
      <c r="I212" s="38" t="n"/>
      <c r="J212" s="38" t="n"/>
      <c r="K212" s="38" t="n"/>
      <c r="L212" s="31">
        <f>IF(E212="","",N(I212)+N(J212)-N(K212))</f>
        <v/>
      </c>
      <c r="M212" s="39" t="n"/>
      <c r="N212" s="27">
        <f>IF(E212="","",IF(TODAY()&lt;E212,"Upcoming",IF(TODAY()&lt;F212,"Staying now",IF(M212="Yes","Checked out","Payout not received"))))</f>
        <v/>
      </c>
      <c r="O212" s="35" t="n"/>
      <c r="P212" s="1" t="n"/>
      <c r="Q212">
        <f>IF(N(G212)&gt;0,L212/G212,0)</f>
        <v/>
      </c>
      <c r="R212">
        <f>IF(N(G212)&gt;0,N(I212)/G212,0)</f>
        <v/>
      </c>
      <c r="S212">
        <f>IF(OR($E212="",$F212=""),0,MAX(0,MIN($F212,DATE(Dashboard!$C$4,2,1))-MAX($E212,DATE(Dashboard!$C$4,1,1))))</f>
        <v/>
      </c>
      <c r="T212">
        <f>IF(OR($E212="",$F212=""),0,MAX(0,MIN($F212,DATE(Dashboard!$C$4,3,1))-MAX($E212,DATE(Dashboard!$C$4,2,1))))</f>
        <v/>
      </c>
      <c r="U212">
        <f>IF(OR($E212="",$F212=""),0,MAX(0,MIN($F212,DATE(Dashboard!$C$4,4,1))-MAX($E212,DATE(Dashboard!$C$4,3,1))))</f>
        <v/>
      </c>
      <c r="V212">
        <f>IF(OR($E212="",$F212=""),0,MAX(0,MIN($F212,DATE(Dashboard!$C$4,5,1))-MAX($E212,DATE(Dashboard!$C$4,4,1))))</f>
        <v/>
      </c>
      <c r="W212">
        <f>IF(OR($E212="",$F212=""),0,MAX(0,MIN($F212,DATE(Dashboard!$C$4,6,1))-MAX($E212,DATE(Dashboard!$C$4,5,1))))</f>
        <v/>
      </c>
      <c r="X212">
        <f>IF(OR($E212="",$F212=""),0,MAX(0,MIN($F212,DATE(Dashboard!$C$4,7,1))-MAX($E212,DATE(Dashboard!$C$4,6,1))))</f>
        <v/>
      </c>
      <c r="Y212">
        <f>IF(OR($E212="",$F212=""),0,MAX(0,MIN($F212,DATE(Dashboard!$C$4,8,1))-MAX($E212,DATE(Dashboard!$C$4,7,1))))</f>
        <v/>
      </c>
      <c r="Z212">
        <f>IF(OR($E212="",$F212=""),0,MAX(0,MIN($F212,DATE(Dashboard!$C$4,9,1))-MAX($E212,DATE(Dashboard!$C$4,8,1))))</f>
        <v/>
      </c>
      <c r="AA212">
        <f>IF(OR($E212="",$F212=""),0,MAX(0,MIN($F212,DATE(Dashboard!$C$4,10,1))-MAX($E212,DATE(Dashboard!$C$4,9,1))))</f>
        <v/>
      </c>
      <c r="AB212">
        <f>IF(OR($E212="",$F212=""),0,MAX(0,MIN($F212,DATE(Dashboard!$C$4,11,1))-MAX($E212,DATE(Dashboard!$C$4,10,1))))</f>
        <v/>
      </c>
      <c r="AC212">
        <f>IF(OR($E212="",$F212=""),0,MAX(0,MIN($F212,DATE(Dashboard!$C$4,12,1))-MAX($E212,DATE(Dashboard!$C$4,11,1))))</f>
        <v/>
      </c>
      <c r="AD212">
        <f>IF(OR($E212="",$F212=""),0,MAX(0,MIN($F212,DATE(Dashboard!$C$4,13,1))-MAX($E212,DATE(Dashboard!$C$4,12,1))))</f>
        <v/>
      </c>
      <c r="AE212">
        <f>SUM(S212:AD212)</f>
        <v/>
      </c>
      <c r="AF212">
        <f>Q212*AE212</f>
        <v/>
      </c>
      <c r="AG212">
        <f>R212*AE212</f>
        <v/>
      </c>
      <c r="AH212">
        <f>SUMPRODUCT(S212:AD212,--(COLUMN(S212:AD212)-COLUMN(S212)+1&lt;=Dashboard!$N$1))</f>
        <v/>
      </c>
      <c r="AI212">
        <f>IF(OR(E212="",E212&lt;TODAY()),"",E212+ROW()/100000)</f>
        <v/>
      </c>
      <c r="AJ212">
        <f>IF(OR(F212="",F212&lt;TODAY()),"",F212+ROW()/100000)</f>
        <v/>
      </c>
    </row>
    <row r="213">
      <c r="A213" s="1" t="n"/>
      <c r="B213" s="35" t="n"/>
      <c r="C213" s="35" t="n"/>
      <c r="D213" s="35" t="n"/>
      <c r="E213" s="36" t="n"/>
      <c r="F213" s="36" t="n"/>
      <c r="G213" s="18">
        <f>IF(OR(E213="",F213=""),"",F213-E213)</f>
        <v/>
      </c>
      <c r="H213" s="37" t="n"/>
      <c r="I213" s="38" t="n"/>
      <c r="J213" s="38" t="n"/>
      <c r="K213" s="38" t="n"/>
      <c r="L213" s="31">
        <f>IF(E213="","",N(I213)+N(J213)-N(K213))</f>
        <v/>
      </c>
      <c r="M213" s="39" t="n"/>
      <c r="N213" s="27">
        <f>IF(E213="","",IF(TODAY()&lt;E213,"Upcoming",IF(TODAY()&lt;F213,"Staying now",IF(M213="Yes","Checked out","Payout not received"))))</f>
        <v/>
      </c>
      <c r="O213" s="35" t="n"/>
      <c r="P213" s="1" t="n"/>
      <c r="Q213">
        <f>IF(N(G213)&gt;0,L213/G213,0)</f>
        <v/>
      </c>
      <c r="R213">
        <f>IF(N(G213)&gt;0,N(I213)/G213,0)</f>
        <v/>
      </c>
      <c r="S213">
        <f>IF(OR($E213="",$F213=""),0,MAX(0,MIN($F213,DATE(Dashboard!$C$4,2,1))-MAX($E213,DATE(Dashboard!$C$4,1,1))))</f>
        <v/>
      </c>
      <c r="T213">
        <f>IF(OR($E213="",$F213=""),0,MAX(0,MIN($F213,DATE(Dashboard!$C$4,3,1))-MAX($E213,DATE(Dashboard!$C$4,2,1))))</f>
        <v/>
      </c>
      <c r="U213">
        <f>IF(OR($E213="",$F213=""),0,MAX(0,MIN($F213,DATE(Dashboard!$C$4,4,1))-MAX($E213,DATE(Dashboard!$C$4,3,1))))</f>
        <v/>
      </c>
      <c r="V213">
        <f>IF(OR($E213="",$F213=""),0,MAX(0,MIN($F213,DATE(Dashboard!$C$4,5,1))-MAX($E213,DATE(Dashboard!$C$4,4,1))))</f>
        <v/>
      </c>
      <c r="W213">
        <f>IF(OR($E213="",$F213=""),0,MAX(0,MIN($F213,DATE(Dashboard!$C$4,6,1))-MAX($E213,DATE(Dashboard!$C$4,5,1))))</f>
        <v/>
      </c>
      <c r="X213">
        <f>IF(OR($E213="",$F213=""),0,MAX(0,MIN($F213,DATE(Dashboard!$C$4,7,1))-MAX($E213,DATE(Dashboard!$C$4,6,1))))</f>
        <v/>
      </c>
      <c r="Y213">
        <f>IF(OR($E213="",$F213=""),0,MAX(0,MIN($F213,DATE(Dashboard!$C$4,8,1))-MAX($E213,DATE(Dashboard!$C$4,7,1))))</f>
        <v/>
      </c>
      <c r="Z213">
        <f>IF(OR($E213="",$F213=""),0,MAX(0,MIN($F213,DATE(Dashboard!$C$4,9,1))-MAX($E213,DATE(Dashboard!$C$4,8,1))))</f>
        <v/>
      </c>
      <c r="AA213">
        <f>IF(OR($E213="",$F213=""),0,MAX(0,MIN($F213,DATE(Dashboard!$C$4,10,1))-MAX($E213,DATE(Dashboard!$C$4,9,1))))</f>
        <v/>
      </c>
      <c r="AB213">
        <f>IF(OR($E213="",$F213=""),0,MAX(0,MIN($F213,DATE(Dashboard!$C$4,11,1))-MAX($E213,DATE(Dashboard!$C$4,10,1))))</f>
        <v/>
      </c>
      <c r="AC213">
        <f>IF(OR($E213="",$F213=""),0,MAX(0,MIN($F213,DATE(Dashboard!$C$4,12,1))-MAX($E213,DATE(Dashboard!$C$4,11,1))))</f>
        <v/>
      </c>
      <c r="AD213">
        <f>IF(OR($E213="",$F213=""),0,MAX(0,MIN($F213,DATE(Dashboard!$C$4,13,1))-MAX($E213,DATE(Dashboard!$C$4,12,1))))</f>
        <v/>
      </c>
      <c r="AE213">
        <f>SUM(S213:AD213)</f>
        <v/>
      </c>
      <c r="AF213">
        <f>Q213*AE213</f>
        <v/>
      </c>
      <c r="AG213">
        <f>R213*AE213</f>
        <v/>
      </c>
      <c r="AH213">
        <f>SUMPRODUCT(S213:AD213,--(COLUMN(S213:AD213)-COLUMN(S213)+1&lt;=Dashboard!$N$1))</f>
        <v/>
      </c>
      <c r="AI213">
        <f>IF(OR(E213="",E213&lt;TODAY()),"",E213+ROW()/100000)</f>
        <v/>
      </c>
      <c r="AJ213">
        <f>IF(OR(F213="",F213&lt;TODAY()),"",F213+ROW()/100000)</f>
        <v/>
      </c>
    </row>
    <row r="214">
      <c r="A214" s="1" t="n"/>
      <c r="B214" s="35" t="n"/>
      <c r="C214" s="35" t="n"/>
      <c r="D214" s="35" t="n"/>
      <c r="E214" s="36" t="n"/>
      <c r="F214" s="36" t="n"/>
      <c r="G214" s="18">
        <f>IF(OR(E214="",F214=""),"",F214-E214)</f>
        <v/>
      </c>
      <c r="H214" s="37" t="n"/>
      <c r="I214" s="38" t="n"/>
      <c r="J214" s="38" t="n"/>
      <c r="K214" s="38" t="n"/>
      <c r="L214" s="31">
        <f>IF(E214="","",N(I214)+N(J214)-N(K214))</f>
        <v/>
      </c>
      <c r="M214" s="39" t="n"/>
      <c r="N214" s="27">
        <f>IF(E214="","",IF(TODAY()&lt;E214,"Upcoming",IF(TODAY()&lt;F214,"Staying now",IF(M214="Yes","Checked out","Payout not received"))))</f>
        <v/>
      </c>
      <c r="O214" s="35" t="n"/>
      <c r="P214" s="1" t="n"/>
      <c r="Q214">
        <f>IF(N(G214)&gt;0,L214/G214,0)</f>
        <v/>
      </c>
      <c r="R214">
        <f>IF(N(G214)&gt;0,N(I214)/G214,0)</f>
        <v/>
      </c>
      <c r="S214">
        <f>IF(OR($E214="",$F214=""),0,MAX(0,MIN($F214,DATE(Dashboard!$C$4,2,1))-MAX($E214,DATE(Dashboard!$C$4,1,1))))</f>
        <v/>
      </c>
      <c r="T214">
        <f>IF(OR($E214="",$F214=""),0,MAX(0,MIN($F214,DATE(Dashboard!$C$4,3,1))-MAX($E214,DATE(Dashboard!$C$4,2,1))))</f>
        <v/>
      </c>
      <c r="U214">
        <f>IF(OR($E214="",$F214=""),0,MAX(0,MIN($F214,DATE(Dashboard!$C$4,4,1))-MAX($E214,DATE(Dashboard!$C$4,3,1))))</f>
        <v/>
      </c>
      <c r="V214">
        <f>IF(OR($E214="",$F214=""),0,MAX(0,MIN($F214,DATE(Dashboard!$C$4,5,1))-MAX($E214,DATE(Dashboard!$C$4,4,1))))</f>
        <v/>
      </c>
      <c r="W214">
        <f>IF(OR($E214="",$F214=""),0,MAX(0,MIN($F214,DATE(Dashboard!$C$4,6,1))-MAX($E214,DATE(Dashboard!$C$4,5,1))))</f>
        <v/>
      </c>
      <c r="X214">
        <f>IF(OR($E214="",$F214=""),0,MAX(0,MIN($F214,DATE(Dashboard!$C$4,7,1))-MAX($E214,DATE(Dashboard!$C$4,6,1))))</f>
        <v/>
      </c>
      <c r="Y214">
        <f>IF(OR($E214="",$F214=""),0,MAX(0,MIN($F214,DATE(Dashboard!$C$4,8,1))-MAX($E214,DATE(Dashboard!$C$4,7,1))))</f>
        <v/>
      </c>
      <c r="Z214">
        <f>IF(OR($E214="",$F214=""),0,MAX(0,MIN($F214,DATE(Dashboard!$C$4,9,1))-MAX($E214,DATE(Dashboard!$C$4,8,1))))</f>
        <v/>
      </c>
      <c r="AA214">
        <f>IF(OR($E214="",$F214=""),0,MAX(0,MIN($F214,DATE(Dashboard!$C$4,10,1))-MAX($E214,DATE(Dashboard!$C$4,9,1))))</f>
        <v/>
      </c>
      <c r="AB214">
        <f>IF(OR($E214="",$F214=""),0,MAX(0,MIN($F214,DATE(Dashboard!$C$4,11,1))-MAX($E214,DATE(Dashboard!$C$4,10,1))))</f>
        <v/>
      </c>
      <c r="AC214">
        <f>IF(OR($E214="",$F214=""),0,MAX(0,MIN($F214,DATE(Dashboard!$C$4,12,1))-MAX($E214,DATE(Dashboard!$C$4,11,1))))</f>
        <v/>
      </c>
      <c r="AD214">
        <f>IF(OR($E214="",$F214=""),0,MAX(0,MIN($F214,DATE(Dashboard!$C$4,13,1))-MAX($E214,DATE(Dashboard!$C$4,12,1))))</f>
        <v/>
      </c>
      <c r="AE214">
        <f>SUM(S214:AD214)</f>
        <v/>
      </c>
      <c r="AF214">
        <f>Q214*AE214</f>
        <v/>
      </c>
      <c r="AG214">
        <f>R214*AE214</f>
        <v/>
      </c>
      <c r="AH214">
        <f>SUMPRODUCT(S214:AD214,--(COLUMN(S214:AD214)-COLUMN(S214)+1&lt;=Dashboard!$N$1))</f>
        <v/>
      </c>
      <c r="AI214">
        <f>IF(OR(E214="",E214&lt;TODAY()),"",E214+ROW()/100000)</f>
        <v/>
      </c>
      <c r="AJ214">
        <f>IF(OR(F214="",F214&lt;TODAY()),"",F214+ROW()/100000)</f>
        <v/>
      </c>
    </row>
    <row r="215">
      <c r="A215" s="1" t="n"/>
      <c r="B215" s="35" t="n"/>
      <c r="C215" s="35" t="n"/>
      <c r="D215" s="35" t="n"/>
      <c r="E215" s="36" t="n"/>
      <c r="F215" s="36" t="n"/>
      <c r="G215" s="18">
        <f>IF(OR(E215="",F215=""),"",F215-E215)</f>
        <v/>
      </c>
      <c r="H215" s="37" t="n"/>
      <c r="I215" s="38" t="n"/>
      <c r="J215" s="38" t="n"/>
      <c r="K215" s="38" t="n"/>
      <c r="L215" s="31">
        <f>IF(E215="","",N(I215)+N(J215)-N(K215))</f>
        <v/>
      </c>
      <c r="M215" s="39" t="n"/>
      <c r="N215" s="27">
        <f>IF(E215="","",IF(TODAY()&lt;E215,"Upcoming",IF(TODAY()&lt;F215,"Staying now",IF(M215="Yes","Checked out","Payout not received"))))</f>
        <v/>
      </c>
      <c r="O215" s="35" t="n"/>
      <c r="P215" s="1" t="n"/>
      <c r="Q215">
        <f>IF(N(G215)&gt;0,L215/G215,0)</f>
        <v/>
      </c>
      <c r="R215">
        <f>IF(N(G215)&gt;0,N(I215)/G215,0)</f>
        <v/>
      </c>
      <c r="S215">
        <f>IF(OR($E215="",$F215=""),0,MAX(0,MIN($F215,DATE(Dashboard!$C$4,2,1))-MAX($E215,DATE(Dashboard!$C$4,1,1))))</f>
        <v/>
      </c>
      <c r="T215">
        <f>IF(OR($E215="",$F215=""),0,MAX(0,MIN($F215,DATE(Dashboard!$C$4,3,1))-MAX($E215,DATE(Dashboard!$C$4,2,1))))</f>
        <v/>
      </c>
      <c r="U215">
        <f>IF(OR($E215="",$F215=""),0,MAX(0,MIN($F215,DATE(Dashboard!$C$4,4,1))-MAX($E215,DATE(Dashboard!$C$4,3,1))))</f>
        <v/>
      </c>
      <c r="V215">
        <f>IF(OR($E215="",$F215=""),0,MAX(0,MIN($F215,DATE(Dashboard!$C$4,5,1))-MAX($E215,DATE(Dashboard!$C$4,4,1))))</f>
        <v/>
      </c>
      <c r="W215">
        <f>IF(OR($E215="",$F215=""),0,MAX(0,MIN($F215,DATE(Dashboard!$C$4,6,1))-MAX($E215,DATE(Dashboard!$C$4,5,1))))</f>
        <v/>
      </c>
      <c r="X215">
        <f>IF(OR($E215="",$F215=""),0,MAX(0,MIN($F215,DATE(Dashboard!$C$4,7,1))-MAX($E215,DATE(Dashboard!$C$4,6,1))))</f>
        <v/>
      </c>
      <c r="Y215">
        <f>IF(OR($E215="",$F215=""),0,MAX(0,MIN($F215,DATE(Dashboard!$C$4,8,1))-MAX($E215,DATE(Dashboard!$C$4,7,1))))</f>
        <v/>
      </c>
      <c r="Z215">
        <f>IF(OR($E215="",$F215=""),0,MAX(0,MIN($F215,DATE(Dashboard!$C$4,9,1))-MAX($E215,DATE(Dashboard!$C$4,8,1))))</f>
        <v/>
      </c>
      <c r="AA215">
        <f>IF(OR($E215="",$F215=""),0,MAX(0,MIN($F215,DATE(Dashboard!$C$4,10,1))-MAX($E215,DATE(Dashboard!$C$4,9,1))))</f>
        <v/>
      </c>
      <c r="AB215">
        <f>IF(OR($E215="",$F215=""),0,MAX(0,MIN($F215,DATE(Dashboard!$C$4,11,1))-MAX($E215,DATE(Dashboard!$C$4,10,1))))</f>
        <v/>
      </c>
      <c r="AC215">
        <f>IF(OR($E215="",$F215=""),0,MAX(0,MIN($F215,DATE(Dashboard!$C$4,12,1))-MAX($E215,DATE(Dashboard!$C$4,11,1))))</f>
        <v/>
      </c>
      <c r="AD215">
        <f>IF(OR($E215="",$F215=""),0,MAX(0,MIN($F215,DATE(Dashboard!$C$4,13,1))-MAX($E215,DATE(Dashboard!$C$4,12,1))))</f>
        <v/>
      </c>
      <c r="AE215">
        <f>SUM(S215:AD215)</f>
        <v/>
      </c>
      <c r="AF215">
        <f>Q215*AE215</f>
        <v/>
      </c>
      <c r="AG215">
        <f>R215*AE215</f>
        <v/>
      </c>
      <c r="AH215">
        <f>SUMPRODUCT(S215:AD215,--(COLUMN(S215:AD215)-COLUMN(S215)+1&lt;=Dashboard!$N$1))</f>
        <v/>
      </c>
      <c r="AI215">
        <f>IF(OR(E215="",E215&lt;TODAY()),"",E215+ROW()/100000)</f>
        <v/>
      </c>
      <c r="AJ215">
        <f>IF(OR(F215="",F215&lt;TODAY()),"",F215+ROW()/100000)</f>
        <v/>
      </c>
    </row>
    <row r="216">
      <c r="A216" s="1" t="n"/>
      <c r="B216" s="35" t="n"/>
      <c r="C216" s="35" t="n"/>
      <c r="D216" s="35" t="n"/>
      <c r="E216" s="36" t="n"/>
      <c r="F216" s="36" t="n"/>
      <c r="G216" s="18">
        <f>IF(OR(E216="",F216=""),"",F216-E216)</f>
        <v/>
      </c>
      <c r="H216" s="37" t="n"/>
      <c r="I216" s="38" t="n"/>
      <c r="J216" s="38" t="n"/>
      <c r="K216" s="38" t="n"/>
      <c r="L216" s="31">
        <f>IF(E216="","",N(I216)+N(J216)-N(K216))</f>
        <v/>
      </c>
      <c r="M216" s="39" t="n"/>
      <c r="N216" s="27">
        <f>IF(E216="","",IF(TODAY()&lt;E216,"Upcoming",IF(TODAY()&lt;F216,"Staying now",IF(M216="Yes","Checked out","Payout not received"))))</f>
        <v/>
      </c>
      <c r="O216" s="35" t="n"/>
      <c r="P216" s="1" t="n"/>
      <c r="Q216">
        <f>IF(N(G216)&gt;0,L216/G216,0)</f>
        <v/>
      </c>
      <c r="R216">
        <f>IF(N(G216)&gt;0,N(I216)/G216,0)</f>
        <v/>
      </c>
      <c r="S216">
        <f>IF(OR($E216="",$F216=""),0,MAX(0,MIN($F216,DATE(Dashboard!$C$4,2,1))-MAX($E216,DATE(Dashboard!$C$4,1,1))))</f>
        <v/>
      </c>
      <c r="T216">
        <f>IF(OR($E216="",$F216=""),0,MAX(0,MIN($F216,DATE(Dashboard!$C$4,3,1))-MAX($E216,DATE(Dashboard!$C$4,2,1))))</f>
        <v/>
      </c>
      <c r="U216">
        <f>IF(OR($E216="",$F216=""),0,MAX(0,MIN($F216,DATE(Dashboard!$C$4,4,1))-MAX($E216,DATE(Dashboard!$C$4,3,1))))</f>
        <v/>
      </c>
      <c r="V216">
        <f>IF(OR($E216="",$F216=""),0,MAX(0,MIN($F216,DATE(Dashboard!$C$4,5,1))-MAX($E216,DATE(Dashboard!$C$4,4,1))))</f>
        <v/>
      </c>
      <c r="W216">
        <f>IF(OR($E216="",$F216=""),0,MAX(0,MIN($F216,DATE(Dashboard!$C$4,6,1))-MAX($E216,DATE(Dashboard!$C$4,5,1))))</f>
        <v/>
      </c>
      <c r="X216">
        <f>IF(OR($E216="",$F216=""),0,MAX(0,MIN($F216,DATE(Dashboard!$C$4,7,1))-MAX($E216,DATE(Dashboard!$C$4,6,1))))</f>
        <v/>
      </c>
      <c r="Y216">
        <f>IF(OR($E216="",$F216=""),0,MAX(0,MIN($F216,DATE(Dashboard!$C$4,8,1))-MAX($E216,DATE(Dashboard!$C$4,7,1))))</f>
        <v/>
      </c>
      <c r="Z216">
        <f>IF(OR($E216="",$F216=""),0,MAX(0,MIN($F216,DATE(Dashboard!$C$4,9,1))-MAX($E216,DATE(Dashboard!$C$4,8,1))))</f>
        <v/>
      </c>
      <c r="AA216">
        <f>IF(OR($E216="",$F216=""),0,MAX(0,MIN($F216,DATE(Dashboard!$C$4,10,1))-MAX($E216,DATE(Dashboard!$C$4,9,1))))</f>
        <v/>
      </c>
      <c r="AB216">
        <f>IF(OR($E216="",$F216=""),0,MAX(0,MIN($F216,DATE(Dashboard!$C$4,11,1))-MAX($E216,DATE(Dashboard!$C$4,10,1))))</f>
        <v/>
      </c>
      <c r="AC216">
        <f>IF(OR($E216="",$F216=""),0,MAX(0,MIN($F216,DATE(Dashboard!$C$4,12,1))-MAX($E216,DATE(Dashboard!$C$4,11,1))))</f>
        <v/>
      </c>
      <c r="AD216">
        <f>IF(OR($E216="",$F216=""),0,MAX(0,MIN($F216,DATE(Dashboard!$C$4,13,1))-MAX($E216,DATE(Dashboard!$C$4,12,1))))</f>
        <v/>
      </c>
      <c r="AE216">
        <f>SUM(S216:AD216)</f>
        <v/>
      </c>
      <c r="AF216">
        <f>Q216*AE216</f>
        <v/>
      </c>
      <c r="AG216">
        <f>R216*AE216</f>
        <v/>
      </c>
      <c r="AH216">
        <f>SUMPRODUCT(S216:AD216,--(COLUMN(S216:AD216)-COLUMN(S216)+1&lt;=Dashboard!$N$1))</f>
        <v/>
      </c>
      <c r="AI216">
        <f>IF(OR(E216="",E216&lt;TODAY()),"",E216+ROW()/100000)</f>
        <v/>
      </c>
      <c r="AJ216">
        <f>IF(OR(F216="",F216&lt;TODAY()),"",F216+ROW()/100000)</f>
        <v/>
      </c>
    </row>
    <row r="217">
      <c r="A217" s="1" t="n"/>
      <c r="B217" s="35" t="n"/>
      <c r="C217" s="35" t="n"/>
      <c r="D217" s="35" t="n"/>
      <c r="E217" s="36" t="n"/>
      <c r="F217" s="36" t="n"/>
      <c r="G217" s="18">
        <f>IF(OR(E217="",F217=""),"",F217-E217)</f>
        <v/>
      </c>
      <c r="H217" s="37" t="n"/>
      <c r="I217" s="38" t="n"/>
      <c r="J217" s="38" t="n"/>
      <c r="K217" s="38" t="n"/>
      <c r="L217" s="31">
        <f>IF(E217="","",N(I217)+N(J217)-N(K217))</f>
        <v/>
      </c>
      <c r="M217" s="39" t="n"/>
      <c r="N217" s="27">
        <f>IF(E217="","",IF(TODAY()&lt;E217,"Upcoming",IF(TODAY()&lt;F217,"Staying now",IF(M217="Yes","Checked out","Payout not received"))))</f>
        <v/>
      </c>
      <c r="O217" s="35" t="n"/>
      <c r="P217" s="1" t="n"/>
      <c r="Q217">
        <f>IF(N(G217)&gt;0,L217/G217,0)</f>
        <v/>
      </c>
      <c r="R217">
        <f>IF(N(G217)&gt;0,N(I217)/G217,0)</f>
        <v/>
      </c>
      <c r="S217">
        <f>IF(OR($E217="",$F217=""),0,MAX(0,MIN($F217,DATE(Dashboard!$C$4,2,1))-MAX($E217,DATE(Dashboard!$C$4,1,1))))</f>
        <v/>
      </c>
      <c r="T217">
        <f>IF(OR($E217="",$F217=""),0,MAX(0,MIN($F217,DATE(Dashboard!$C$4,3,1))-MAX($E217,DATE(Dashboard!$C$4,2,1))))</f>
        <v/>
      </c>
      <c r="U217">
        <f>IF(OR($E217="",$F217=""),0,MAX(0,MIN($F217,DATE(Dashboard!$C$4,4,1))-MAX($E217,DATE(Dashboard!$C$4,3,1))))</f>
        <v/>
      </c>
      <c r="V217">
        <f>IF(OR($E217="",$F217=""),0,MAX(0,MIN($F217,DATE(Dashboard!$C$4,5,1))-MAX($E217,DATE(Dashboard!$C$4,4,1))))</f>
        <v/>
      </c>
      <c r="W217">
        <f>IF(OR($E217="",$F217=""),0,MAX(0,MIN($F217,DATE(Dashboard!$C$4,6,1))-MAX($E217,DATE(Dashboard!$C$4,5,1))))</f>
        <v/>
      </c>
      <c r="X217">
        <f>IF(OR($E217="",$F217=""),0,MAX(0,MIN($F217,DATE(Dashboard!$C$4,7,1))-MAX($E217,DATE(Dashboard!$C$4,6,1))))</f>
        <v/>
      </c>
      <c r="Y217">
        <f>IF(OR($E217="",$F217=""),0,MAX(0,MIN($F217,DATE(Dashboard!$C$4,8,1))-MAX($E217,DATE(Dashboard!$C$4,7,1))))</f>
        <v/>
      </c>
      <c r="Z217">
        <f>IF(OR($E217="",$F217=""),0,MAX(0,MIN($F217,DATE(Dashboard!$C$4,9,1))-MAX($E217,DATE(Dashboard!$C$4,8,1))))</f>
        <v/>
      </c>
      <c r="AA217">
        <f>IF(OR($E217="",$F217=""),0,MAX(0,MIN($F217,DATE(Dashboard!$C$4,10,1))-MAX($E217,DATE(Dashboard!$C$4,9,1))))</f>
        <v/>
      </c>
      <c r="AB217">
        <f>IF(OR($E217="",$F217=""),0,MAX(0,MIN($F217,DATE(Dashboard!$C$4,11,1))-MAX($E217,DATE(Dashboard!$C$4,10,1))))</f>
        <v/>
      </c>
      <c r="AC217">
        <f>IF(OR($E217="",$F217=""),0,MAX(0,MIN($F217,DATE(Dashboard!$C$4,12,1))-MAX($E217,DATE(Dashboard!$C$4,11,1))))</f>
        <v/>
      </c>
      <c r="AD217">
        <f>IF(OR($E217="",$F217=""),0,MAX(0,MIN($F217,DATE(Dashboard!$C$4,13,1))-MAX($E217,DATE(Dashboard!$C$4,12,1))))</f>
        <v/>
      </c>
      <c r="AE217">
        <f>SUM(S217:AD217)</f>
        <v/>
      </c>
      <c r="AF217">
        <f>Q217*AE217</f>
        <v/>
      </c>
      <c r="AG217">
        <f>R217*AE217</f>
        <v/>
      </c>
      <c r="AH217">
        <f>SUMPRODUCT(S217:AD217,--(COLUMN(S217:AD217)-COLUMN(S217)+1&lt;=Dashboard!$N$1))</f>
        <v/>
      </c>
      <c r="AI217">
        <f>IF(OR(E217="",E217&lt;TODAY()),"",E217+ROW()/100000)</f>
        <v/>
      </c>
      <c r="AJ217">
        <f>IF(OR(F217="",F217&lt;TODAY()),"",F217+ROW()/100000)</f>
        <v/>
      </c>
    </row>
    <row r="218">
      <c r="A218" s="1" t="n"/>
      <c r="B218" s="35" t="n"/>
      <c r="C218" s="35" t="n"/>
      <c r="D218" s="35" t="n"/>
      <c r="E218" s="36" t="n"/>
      <c r="F218" s="36" t="n"/>
      <c r="G218" s="18">
        <f>IF(OR(E218="",F218=""),"",F218-E218)</f>
        <v/>
      </c>
      <c r="H218" s="37" t="n"/>
      <c r="I218" s="38" t="n"/>
      <c r="J218" s="38" t="n"/>
      <c r="K218" s="38" t="n"/>
      <c r="L218" s="31">
        <f>IF(E218="","",N(I218)+N(J218)-N(K218))</f>
        <v/>
      </c>
      <c r="M218" s="39" t="n"/>
      <c r="N218" s="27">
        <f>IF(E218="","",IF(TODAY()&lt;E218,"Upcoming",IF(TODAY()&lt;F218,"Staying now",IF(M218="Yes","Checked out","Payout not received"))))</f>
        <v/>
      </c>
      <c r="O218" s="35" t="n"/>
      <c r="P218" s="1" t="n"/>
      <c r="Q218">
        <f>IF(N(G218)&gt;0,L218/G218,0)</f>
        <v/>
      </c>
      <c r="R218">
        <f>IF(N(G218)&gt;0,N(I218)/G218,0)</f>
        <v/>
      </c>
      <c r="S218">
        <f>IF(OR($E218="",$F218=""),0,MAX(0,MIN($F218,DATE(Dashboard!$C$4,2,1))-MAX($E218,DATE(Dashboard!$C$4,1,1))))</f>
        <v/>
      </c>
      <c r="T218">
        <f>IF(OR($E218="",$F218=""),0,MAX(0,MIN($F218,DATE(Dashboard!$C$4,3,1))-MAX($E218,DATE(Dashboard!$C$4,2,1))))</f>
        <v/>
      </c>
      <c r="U218">
        <f>IF(OR($E218="",$F218=""),0,MAX(0,MIN($F218,DATE(Dashboard!$C$4,4,1))-MAX($E218,DATE(Dashboard!$C$4,3,1))))</f>
        <v/>
      </c>
      <c r="V218">
        <f>IF(OR($E218="",$F218=""),0,MAX(0,MIN($F218,DATE(Dashboard!$C$4,5,1))-MAX($E218,DATE(Dashboard!$C$4,4,1))))</f>
        <v/>
      </c>
      <c r="W218">
        <f>IF(OR($E218="",$F218=""),0,MAX(0,MIN($F218,DATE(Dashboard!$C$4,6,1))-MAX($E218,DATE(Dashboard!$C$4,5,1))))</f>
        <v/>
      </c>
      <c r="X218">
        <f>IF(OR($E218="",$F218=""),0,MAX(0,MIN($F218,DATE(Dashboard!$C$4,7,1))-MAX($E218,DATE(Dashboard!$C$4,6,1))))</f>
        <v/>
      </c>
      <c r="Y218">
        <f>IF(OR($E218="",$F218=""),0,MAX(0,MIN($F218,DATE(Dashboard!$C$4,8,1))-MAX($E218,DATE(Dashboard!$C$4,7,1))))</f>
        <v/>
      </c>
      <c r="Z218">
        <f>IF(OR($E218="",$F218=""),0,MAX(0,MIN($F218,DATE(Dashboard!$C$4,9,1))-MAX($E218,DATE(Dashboard!$C$4,8,1))))</f>
        <v/>
      </c>
      <c r="AA218">
        <f>IF(OR($E218="",$F218=""),0,MAX(0,MIN($F218,DATE(Dashboard!$C$4,10,1))-MAX($E218,DATE(Dashboard!$C$4,9,1))))</f>
        <v/>
      </c>
      <c r="AB218">
        <f>IF(OR($E218="",$F218=""),0,MAX(0,MIN($F218,DATE(Dashboard!$C$4,11,1))-MAX($E218,DATE(Dashboard!$C$4,10,1))))</f>
        <v/>
      </c>
      <c r="AC218">
        <f>IF(OR($E218="",$F218=""),0,MAX(0,MIN($F218,DATE(Dashboard!$C$4,12,1))-MAX($E218,DATE(Dashboard!$C$4,11,1))))</f>
        <v/>
      </c>
      <c r="AD218">
        <f>IF(OR($E218="",$F218=""),0,MAX(0,MIN($F218,DATE(Dashboard!$C$4,13,1))-MAX($E218,DATE(Dashboard!$C$4,12,1))))</f>
        <v/>
      </c>
      <c r="AE218">
        <f>SUM(S218:AD218)</f>
        <v/>
      </c>
      <c r="AF218">
        <f>Q218*AE218</f>
        <v/>
      </c>
      <c r="AG218">
        <f>R218*AE218</f>
        <v/>
      </c>
      <c r="AH218">
        <f>SUMPRODUCT(S218:AD218,--(COLUMN(S218:AD218)-COLUMN(S218)+1&lt;=Dashboard!$N$1))</f>
        <v/>
      </c>
      <c r="AI218">
        <f>IF(OR(E218="",E218&lt;TODAY()),"",E218+ROW()/100000)</f>
        <v/>
      </c>
      <c r="AJ218">
        <f>IF(OR(F218="",F218&lt;TODAY()),"",F218+ROW()/100000)</f>
        <v/>
      </c>
    </row>
    <row r="219">
      <c r="A219" s="1" t="n"/>
      <c r="B219" s="35" t="n"/>
      <c r="C219" s="35" t="n"/>
      <c r="D219" s="35" t="n"/>
      <c r="E219" s="36" t="n"/>
      <c r="F219" s="36" t="n"/>
      <c r="G219" s="18">
        <f>IF(OR(E219="",F219=""),"",F219-E219)</f>
        <v/>
      </c>
      <c r="H219" s="37" t="n"/>
      <c r="I219" s="38" t="n"/>
      <c r="J219" s="38" t="n"/>
      <c r="K219" s="38" t="n"/>
      <c r="L219" s="31">
        <f>IF(E219="","",N(I219)+N(J219)-N(K219))</f>
        <v/>
      </c>
      <c r="M219" s="39" t="n"/>
      <c r="N219" s="27">
        <f>IF(E219="","",IF(TODAY()&lt;E219,"Upcoming",IF(TODAY()&lt;F219,"Staying now",IF(M219="Yes","Checked out","Payout not received"))))</f>
        <v/>
      </c>
      <c r="O219" s="35" t="n"/>
      <c r="P219" s="1" t="n"/>
      <c r="Q219">
        <f>IF(N(G219)&gt;0,L219/G219,0)</f>
        <v/>
      </c>
      <c r="R219">
        <f>IF(N(G219)&gt;0,N(I219)/G219,0)</f>
        <v/>
      </c>
      <c r="S219">
        <f>IF(OR($E219="",$F219=""),0,MAX(0,MIN($F219,DATE(Dashboard!$C$4,2,1))-MAX($E219,DATE(Dashboard!$C$4,1,1))))</f>
        <v/>
      </c>
      <c r="T219">
        <f>IF(OR($E219="",$F219=""),0,MAX(0,MIN($F219,DATE(Dashboard!$C$4,3,1))-MAX($E219,DATE(Dashboard!$C$4,2,1))))</f>
        <v/>
      </c>
      <c r="U219">
        <f>IF(OR($E219="",$F219=""),0,MAX(0,MIN($F219,DATE(Dashboard!$C$4,4,1))-MAX($E219,DATE(Dashboard!$C$4,3,1))))</f>
        <v/>
      </c>
      <c r="V219">
        <f>IF(OR($E219="",$F219=""),0,MAX(0,MIN($F219,DATE(Dashboard!$C$4,5,1))-MAX($E219,DATE(Dashboard!$C$4,4,1))))</f>
        <v/>
      </c>
      <c r="W219">
        <f>IF(OR($E219="",$F219=""),0,MAX(0,MIN($F219,DATE(Dashboard!$C$4,6,1))-MAX($E219,DATE(Dashboard!$C$4,5,1))))</f>
        <v/>
      </c>
      <c r="X219">
        <f>IF(OR($E219="",$F219=""),0,MAX(0,MIN($F219,DATE(Dashboard!$C$4,7,1))-MAX($E219,DATE(Dashboard!$C$4,6,1))))</f>
        <v/>
      </c>
      <c r="Y219">
        <f>IF(OR($E219="",$F219=""),0,MAX(0,MIN($F219,DATE(Dashboard!$C$4,8,1))-MAX($E219,DATE(Dashboard!$C$4,7,1))))</f>
        <v/>
      </c>
      <c r="Z219">
        <f>IF(OR($E219="",$F219=""),0,MAX(0,MIN($F219,DATE(Dashboard!$C$4,9,1))-MAX($E219,DATE(Dashboard!$C$4,8,1))))</f>
        <v/>
      </c>
      <c r="AA219">
        <f>IF(OR($E219="",$F219=""),0,MAX(0,MIN($F219,DATE(Dashboard!$C$4,10,1))-MAX($E219,DATE(Dashboard!$C$4,9,1))))</f>
        <v/>
      </c>
      <c r="AB219">
        <f>IF(OR($E219="",$F219=""),0,MAX(0,MIN($F219,DATE(Dashboard!$C$4,11,1))-MAX($E219,DATE(Dashboard!$C$4,10,1))))</f>
        <v/>
      </c>
      <c r="AC219">
        <f>IF(OR($E219="",$F219=""),0,MAX(0,MIN($F219,DATE(Dashboard!$C$4,12,1))-MAX($E219,DATE(Dashboard!$C$4,11,1))))</f>
        <v/>
      </c>
      <c r="AD219">
        <f>IF(OR($E219="",$F219=""),0,MAX(0,MIN($F219,DATE(Dashboard!$C$4,13,1))-MAX($E219,DATE(Dashboard!$C$4,12,1))))</f>
        <v/>
      </c>
      <c r="AE219">
        <f>SUM(S219:AD219)</f>
        <v/>
      </c>
      <c r="AF219">
        <f>Q219*AE219</f>
        <v/>
      </c>
      <c r="AG219">
        <f>R219*AE219</f>
        <v/>
      </c>
      <c r="AH219">
        <f>SUMPRODUCT(S219:AD219,--(COLUMN(S219:AD219)-COLUMN(S219)+1&lt;=Dashboard!$N$1))</f>
        <v/>
      </c>
      <c r="AI219">
        <f>IF(OR(E219="",E219&lt;TODAY()),"",E219+ROW()/100000)</f>
        <v/>
      </c>
      <c r="AJ219">
        <f>IF(OR(F219="",F219&lt;TODAY()),"",F219+ROW()/100000)</f>
        <v/>
      </c>
    </row>
    <row r="220">
      <c r="A220" s="1" t="n"/>
      <c r="B220" s="35" t="n"/>
      <c r="C220" s="35" t="n"/>
      <c r="D220" s="35" t="n"/>
      <c r="E220" s="36" t="n"/>
      <c r="F220" s="36" t="n"/>
      <c r="G220" s="18">
        <f>IF(OR(E220="",F220=""),"",F220-E220)</f>
        <v/>
      </c>
      <c r="H220" s="37" t="n"/>
      <c r="I220" s="38" t="n"/>
      <c r="J220" s="38" t="n"/>
      <c r="K220" s="38" t="n"/>
      <c r="L220" s="31">
        <f>IF(E220="","",N(I220)+N(J220)-N(K220))</f>
        <v/>
      </c>
      <c r="M220" s="39" t="n"/>
      <c r="N220" s="27">
        <f>IF(E220="","",IF(TODAY()&lt;E220,"Upcoming",IF(TODAY()&lt;F220,"Staying now",IF(M220="Yes","Checked out","Payout not received"))))</f>
        <v/>
      </c>
      <c r="O220" s="35" t="n"/>
      <c r="P220" s="1" t="n"/>
      <c r="Q220">
        <f>IF(N(G220)&gt;0,L220/G220,0)</f>
        <v/>
      </c>
      <c r="R220">
        <f>IF(N(G220)&gt;0,N(I220)/G220,0)</f>
        <v/>
      </c>
      <c r="S220">
        <f>IF(OR($E220="",$F220=""),0,MAX(0,MIN($F220,DATE(Dashboard!$C$4,2,1))-MAX($E220,DATE(Dashboard!$C$4,1,1))))</f>
        <v/>
      </c>
      <c r="T220">
        <f>IF(OR($E220="",$F220=""),0,MAX(0,MIN($F220,DATE(Dashboard!$C$4,3,1))-MAX($E220,DATE(Dashboard!$C$4,2,1))))</f>
        <v/>
      </c>
      <c r="U220">
        <f>IF(OR($E220="",$F220=""),0,MAX(0,MIN($F220,DATE(Dashboard!$C$4,4,1))-MAX($E220,DATE(Dashboard!$C$4,3,1))))</f>
        <v/>
      </c>
      <c r="V220">
        <f>IF(OR($E220="",$F220=""),0,MAX(0,MIN($F220,DATE(Dashboard!$C$4,5,1))-MAX($E220,DATE(Dashboard!$C$4,4,1))))</f>
        <v/>
      </c>
      <c r="W220">
        <f>IF(OR($E220="",$F220=""),0,MAX(0,MIN($F220,DATE(Dashboard!$C$4,6,1))-MAX($E220,DATE(Dashboard!$C$4,5,1))))</f>
        <v/>
      </c>
      <c r="X220">
        <f>IF(OR($E220="",$F220=""),0,MAX(0,MIN($F220,DATE(Dashboard!$C$4,7,1))-MAX($E220,DATE(Dashboard!$C$4,6,1))))</f>
        <v/>
      </c>
      <c r="Y220">
        <f>IF(OR($E220="",$F220=""),0,MAX(0,MIN($F220,DATE(Dashboard!$C$4,8,1))-MAX($E220,DATE(Dashboard!$C$4,7,1))))</f>
        <v/>
      </c>
      <c r="Z220">
        <f>IF(OR($E220="",$F220=""),0,MAX(0,MIN($F220,DATE(Dashboard!$C$4,9,1))-MAX($E220,DATE(Dashboard!$C$4,8,1))))</f>
        <v/>
      </c>
      <c r="AA220">
        <f>IF(OR($E220="",$F220=""),0,MAX(0,MIN($F220,DATE(Dashboard!$C$4,10,1))-MAX($E220,DATE(Dashboard!$C$4,9,1))))</f>
        <v/>
      </c>
      <c r="AB220">
        <f>IF(OR($E220="",$F220=""),0,MAX(0,MIN($F220,DATE(Dashboard!$C$4,11,1))-MAX($E220,DATE(Dashboard!$C$4,10,1))))</f>
        <v/>
      </c>
      <c r="AC220">
        <f>IF(OR($E220="",$F220=""),0,MAX(0,MIN($F220,DATE(Dashboard!$C$4,12,1))-MAX($E220,DATE(Dashboard!$C$4,11,1))))</f>
        <v/>
      </c>
      <c r="AD220">
        <f>IF(OR($E220="",$F220=""),0,MAX(0,MIN($F220,DATE(Dashboard!$C$4,13,1))-MAX($E220,DATE(Dashboard!$C$4,12,1))))</f>
        <v/>
      </c>
      <c r="AE220">
        <f>SUM(S220:AD220)</f>
        <v/>
      </c>
      <c r="AF220">
        <f>Q220*AE220</f>
        <v/>
      </c>
      <c r="AG220">
        <f>R220*AE220</f>
        <v/>
      </c>
      <c r="AH220">
        <f>SUMPRODUCT(S220:AD220,--(COLUMN(S220:AD220)-COLUMN(S220)+1&lt;=Dashboard!$N$1))</f>
        <v/>
      </c>
      <c r="AI220">
        <f>IF(OR(E220="",E220&lt;TODAY()),"",E220+ROW()/100000)</f>
        <v/>
      </c>
      <c r="AJ220">
        <f>IF(OR(F220="",F220&lt;TODAY()),"",F220+ROW()/100000)</f>
        <v/>
      </c>
    </row>
    <row r="221">
      <c r="A221" s="1" t="n"/>
      <c r="B221" s="35" t="n"/>
      <c r="C221" s="35" t="n"/>
      <c r="D221" s="35" t="n"/>
      <c r="E221" s="36" t="n"/>
      <c r="F221" s="36" t="n"/>
      <c r="G221" s="18">
        <f>IF(OR(E221="",F221=""),"",F221-E221)</f>
        <v/>
      </c>
      <c r="H221" s="37" t="n"/>
      <c r="I221" s="38" t="n"/>
      <c r="J221" s="38" t="n"/>
      <c r="K221" s="38" t="n"/>
      <c r="L221" s="31">
        <f>IF(E221="","",N(I221)+N(J221)-N(K221))</f>
        <v/>
      </c>
      <c r="M221" s="39" t="n"/>
      <c r="N221" s="27">
        <f>IF(E221="","",IF(TODAY()&lt;E221,"Upcoming",IF(TODAY()&lt;F221,"Staying now",IF(M221="Yes","Checked out","Payout not received"))))</f>
        <v/>
      </c>
      <c r="O221" s="35" t="n"/>
      <c r="P221" s="1" t="n"/>
      <c r="Q221">
        <f>IF(N(G221)&gt;0,L221/G221,0)</f>
        <v/>
      </c>
      <c r="R221">
        <f>IF(N(G221)&gt;0,N(I221)/G221,0)</f>
        <v/>
      </c>
      <c r="S221">
        <f>IF(OR($E221="",$F221=""),0,MAX(0,MIN($F221,DATE(Dashboard!$C$4,2,1))-MAX($E221,DATE(Dashboard!$C$4,1,1))))</f>
        <v/>
      </c>
      <c r="T221">
        <f>IF(OR($E221="",$F221=""),0,MAX(0,MIN($F221,DATE(Dashboard!$C$4,3,1))-MAX($E221,DATE(Dashboard!$C$4,2,1))))</f>
        <v/>
      </c>
      <c r="U221">
        <f>IF(OR($E221="",$F221=""),0,MAX(0,MIN($F221,DATE(Dashboard!$C$4,4,1))-MAX($E221,DATE(Dashboard!$C$4,3,1))))</f>
        <v/>
      </c>
      <c r="V221">
        <f>IF(OR($E221="",$F221=""),0,MAX(0,MIN($F221,DATE(Dashboard!$C$4,5,1))-MAX($E221,DATE(Dashboard!$C$4,4,1))))</f>
        <v/>
      </c>
      <c r="W221">
        <f>IF(OR($E221="",$F221=""),0,MAX(0,MIN($F221,DATE(Dashboard!$C$4,6,1))-MAX($E221,DATE(Dashboard!$C$4,5,1))))</f>
        <v/>
      </c>
      <c r="X221">
        <f>IF(OR($E221="",$F221=""),0,MAX(0,MIN($F221,DATE(Dashboard!$C$4,7,1))-MAX($E221,DATE(Dashboard!$C$4,6,1))))</f>
        <v/>
      </c>
      <c r="Y221">
        <f>IF(OR($E221="",$F221=""),0,MAX(0,MIN($F221,DATE(Dashboard!$C$4,8,1))-MAX($E221,DATE(Dashboard!$C$4,7,1))))</f>
        <v/>
      </c>
      <c r="Z221">
        <f>IF(OR($E221="",$F221=""),0,MAX(0,MIN($F221,DATE(Dashboard!$C$4,9,1))-MAX($E221,DATE(Dashboard!$C$4,8,1))))</f>
        <v/>
      </c>
      <c r="AA221">
        <f>IF(OR($E221="",$F221=""),0,MAX(0,MIN($F221,DATE(Dashboard!$C$4,10,1))-MAX($E221,DATE(Dashboard!$C$4,9,1))))</f>
        <v/>
      </c>
      <c r="AB221">
        <f>IF(OR($E221="",$F221=""),0,MAX(0,MIN($F221,DATE(Dashboard!$C$4,11,1))-MAX($E221,DATE(Dashboard!$C$4,10,1))))</f>
        <v/>
      </c>
      <c r="AC221">
        <f>IF(OR($E221="",$F221=""),0,MAX(0,MIN($F221,DATE(Dashboard!$C$4,12,1))-MAX($E221,DATE(Dashboard!$C$4,11,1))))</f>
        <v/>
      </c>
      <c r="AD221">
        <f>IF(OR($E221="",$F221=""),0,MAX(0,MIN($F221,DATE(Dashboard!$C$4,13,1))-MAX($E221,DATE(Dashboard!$C$4,12,1))))</f>
        <v/>
      </c>
      <c r="AE221">
        <f>SUM(S221:AD221)</f>
        <v/>
      </c>
      <c r="AF221">
        <f>Q221*AE221</f>
        <v/>
      </c>
      <c r="AG221">
        <f>R221*AE221</f>
        <v/>
      </c>
      <c r="AH221">
        <f>SUMPRODUCT(S221:AD221,--(COLUMN(S221:AD221)-COLUMN(S221)+1&lt;=Dashboard!$N$1))</f>
        <v/>
      </c>
      <c r="AI221">
        <f>IF(OR(E221="",E221&lt;TODAY()),"",E221+ROW()/100000)</f>
        <v/>
      </c>
      <c r="AJ221">
        <f>IF(OR(F221="",F221&lt;TODAY()),"",F221+ROW()/100000)</f>
        <v/>
      </c>
    </row>
    <row r="222">
      <c r="A222" s="1" t="n"/>
      <c r="B222" s="35" t="n"/>
      <c r="C222" s="35" t="n"/>
      <c r="D222" s="35" t="n"/>
      <c r="E222" s="36" t="n"/>
      <c r="F222" s="36" t="n"/>
      <c r="G222" s="18">
        <f>IF(OR(E222="",F222=""),"",F222-E222)</f>
        <v/>
      </c>
      <c r="H222" s="37" t="n"/>
      <c r="I222" s="38" t="n"/>
      <c r="J222" s="38" t="n"/>
      <c r="K222" s="38" t="n"/>
      <c r="L222" s="31">
        <f>IF(E222="","",N(I222)+N(J222)-N(K222))</f>
        <v/>
      </c>
      <c r="M222" s="39" t="n"/>
      <c r="N222" s="27">
        <f>IF(E222="","",IF(TODAY()&lt;E222,"Upcoming",IF(TODAY()&lt;F222,"Staying now",IF(M222="Yes","Checked out","Payout not received"))))</f>
        <v/>
      </c>
      <c r="O222" s="35" t="n"/>
      <c r="P222" s="1" t="n"/>
      <c r="Q222">
        <f>IF(N(G222)&gt;0,L222/G222,0)</f>
        <v/>
      </c>
      <c r="R222">
        <f>IF(N(G222)&gt;0,N(I222)/G222,0)</f>
        <v/>
      </c>
      <c r="S222">
        <f>IF(OR($E222="",$F222=""),0,MAX(0,MIN($F222,DATE(Dashboard!$C$4,2,1))-MAX($E222,DATE(Dashboard!$C$4,1,1))))</f>
        <v/>
      </c>
      <c r="T222">
        <f>IF(OR($E222="",$F222=""),0,MAX(0,MIN($F222,DATE(Dashboard!$C$4,3,1))-MAX($E222,DATE(Dashboard!$C$4,2,1))))</f>
        <v/>
      </c>
      <c r="U222">
        <f>IF(OR($E222="",$F222=""),0,MAX(0,MIN($F222,DATE(Dashboard!$C$4,4,1))-MAX($E222,DATE(Dashboard!$C$4,3,1))))</f>
        <v/>
      </c>
      <c r="V222">
        <f>IF(OR($E222="",$F222=""),0,MAX(0,MIN($F222,DATE(Dashboard!$C$4,5,1))-MAX($E222,DATE(Dashboard!$C$4,4,1))))</f>
        <v/>
      </c>
      <c r="W222">
        <f>IF(OR($E222="",$F222=""),0,MAX(0,MIN($F222,DATE(Dashboard!$C$4,6,1))-MAX($E222,DATE(Dashboard!$C$4,5,1))))</f>
        <v/>
      </c>
      <c r="X222">
        <f>IF(OR($E222="",$F222=""),0,MAX(0,MIN($F222,DATE(Dashboard!$C$4,7,1))-MAX($E222,DATE(Dashboard!$C$4,6,1))))</f>
        <v/>
      </c>
      <c r="Y222">
        <f>IF(OR($E222="",$F222=""),0,MAX(0,MIN($F222,DATE(Dashboard!$C$4,8,1))-MAX($E222,DATE(Dashboard!$C$4,7,1))))</f>
        <v/>
      </c>
      <c r="Z222">
        <f>IF(OR($E222="",$F222=""),0,MAX(0,MIN($F222,DATE(Dashboard!$C$4,9,1))-MAX($E222,DATE(Dashboard!$C$4,8,1))))</f>
        <v/>
      </c>
      <c r="AA222">
        <f>IF(OR($E222="",$F222=""),0,MAX(0,MIN($F222,DATE(Dashboard!$C$4,10,1))-MAX($E222,DATE(Dashboard!$C$4,9,1))))</f>
        <v/>
      </c>
      <c r="AB222">
        <f>IF(OR($E222="",$F222=""),0,MAX(0,MIN($F222,DATE(Dashboard!$C$4,11,1))-MAX($E222,DATE(Dashboard!$C$4,10,1))))</f>
        <v/>
      </c>
      <c r="AC222">
        <f>IF(OR($E222="",$F222=""),0,MAX(0,MIN($F222,DATE(Dashboard!$C$4,12,1))-MAX($E222,DATE(Dashboard!$C$4,11,1))))</f>
        <v/>
      </c>
      <c r="AD222">
        <f>IF(OR($E222="",$F222=""),0,MAX(0,MIN($F222,DATE(Dashboard!$C$4,13,1))-MAX($E222,DATE(Dashboard!$C$4,12,1))))</f>
        <v/>
      </c>
      <c r="AE222">
        <f>SUM(S222:AD222)</f>
        <v/>
      </c>
      <c r="AF222">
        <f>Q222*AE222</f>
        <v/>
      </c>
      <c r="AG222">
        <f>R222*AE222</f>
        <v/>
      </c>
      <c r="AH222">
        <f>SUMPRODUCT(S222:AD222,--(COLUMN(S222:AD222)-COLUMN(S222)+1&lt;=Dashboard!$N$1))</f>
        <v/>
      </c>
      <c r="AI222">
        <f>IF(OR(E222="",E222&lt;TODAY()),"",E222+ROW()/100000)</f>
        <v/>
      </c>
      <c r="AJ222">
        <f>IF(OR(F222="",F222&lt;TODAY()),"",F222+ROW()/100000)</f>
        <v/>
      </c>
    </row>
    <row r="223">
      <c r="A223" s="1" t="n"/>
      <c r="B223" s="35" t="n"/>
      <c r="C223" s="35" t="n"/>
      <c r="D223" s="35" t="n"/>
      <c r="E223" s="36" t="n"/>
      <c r="F223" s="36" t="n"/>
      <c r="G223" s="18">
        <f>IF(OR(E223="",F223=""),"",F223-E223)</f>
        <v/>
      </c>
      <c r="H223" s="37" t="n"/>
      <c r="I223" s="38" t="n"/>
      <c r="J223" s="38" t="n"/>
      <c r="K223" s="38" t="n"/>
      <c r="L223" s="31">
        <f>IF(E223="","",N(I223)+N(J223)-N(K223))</f>
        <v/>
      </c>
      <c r="M223" s="39" t="n"/>
      <c r="N223" s="27">
        <f>IF(E223="","",IF(TODAY()&lt;E223,"Upcoming",IF(TODAY()&lt;F223,"Staying now",IF(M223="Yes","Checked out","Payout not received"))))</f>
        <v/>
      </c>
      <c r="O223" s="35" t="n"/>
      <c r="P223" s="1" t="n"/>
      <c r="Q223">
        <f>IF(N(G223)&gt;0,L223/G223,0)</f>
        <v/>
      </c>
      <c r="R223">
        <f>IF(N(G223)&gt;0,N(I223)/G223,0)</f>
        <v/>
      </c>
      <c r="S223">
        <f>IF(OR($E223="",$F223=""),0,MAX(0,MIN($F223,DATE(Dashboard!$C$4,2,1))-MAX($E223,DATE(Dashboard!$C$4,1,1))))</f>
        <v/>
      </c>
      <c r="T223">
        <f>IF(OR($E223="",$F223=""),0,MAX(0,MIN($F223,DATE(Dashboard!$C$4,3,1))-MAX($E223,DATE(Dashboard!$C$4,2,1))))</f>
        <v/>
      </c>
      <c r="U223">
        <f>IF(OR($E223="",$F223=""),0,MAX(0,MIN($F223,DATE(Dashboard!$C$4,4,1))-MAX($E223,DATE(Dashboard!$C$4,3,1))))</f>
        <v/>
      </c>
      <c r="V223">
        <f>IF(OR($E223="",$F223=""),0,MAX(0,MIN($F223,DATE(Dashboard!$C$4,5,1))-MAX($E223,DATE(Dashboard!$C$4,4,1))))</f>
        <v/>
      </c>
      <c r="W223">
        <f>IF(OR($E223="",$F223=""),0,MAX(0,MIN($F223,DATE(Dashboard!$C$4,6,1))-MAX($E223,DATE(Dashboard!$C$4,5,1))))</f>
        <v/>
      </c>
      <c r="X223">
        <f>IF(OR($E223="",$F223=""),0,MAX(0,MIN($F223,DATE(Dashboard!$C$4,7,1))-MAX($E223,DATE(Dashboard!$C$4,6,1))))</f>
        <v/>
      </c>
      <c r="Y223">
        <f>IF(OR($E223="",$F223=""),0,MAX(0,MIN($F223,DATE(Dashboard!$C$4,8,1))-MAX($E223,DATE(Dashboard!$C$4,7,1))))</f>
        <v/>
      </c>
      <c r="Z223">
        <f>IF(OR($E223="",$F223=""),0,MAX(0,MIN($F223,DATE(Dashboard!$C$4,9,1))-MAX($E223,DATE(Dashboard!$C$4,8,1))))</f>
        <v/>
      </c>
      <c r="AA223">
        <f>IF(OR($E223="",$F223=""),0,MAX(0,MIN($F223,DATE(Dashboard!$C$4,10,1))-MAX($E223,DATE(Dashboard!$C$4,9,1))))</f>
        <v/>
      </c>
      <c r="AB223">
        <f>IF(OR($E223="",$F223=""),0,MAX(0,MIN($F223,DATE(Dashboard!$C$4,11,1))-MAX($E223,DATE(Dashboard!$C$4,10,1))))</f>
        <v/>
      </c>
      <c r="AC223">
        <f>IF(OR($E223="",$F223=""),0,MAX(0,MIN($F223,DATE(Dashboard!$C$4,12,1))-MAX($E223,DATE(Dashboard!$C$4,11,1))))</f>
        <v/>
      </c>
      <c r="AD223">
        <f>IF(OR($E223="",$F223=""),0,MAX(0,MIN($F223,DATE(Dashboard!$C$4,13,1))-MAX($E223,DATE(Dashboard!$C$4,12,1))))</f>
        <v/>
      </c>
      <c r="AE223">
        <f>SUM(S223:AD223)</f>
        <v/>
      </c>
      <c r="AF223">
        <f>Q223*AE223</f>
        <v/>
      </c>
      <c r="AG223">
        <f>R223*AE223</f>
        <v/>
      </c>
      <c r="AH223">
        <f>SUMPRODUCT(S223:AD223,--(COLUMN(S223:AD223)-COLUMN(S223)+1&lt;=Dashboard!$N$1))</f>
        <v/>
      </c>
      <c r="AI223">
        <f>IF(OR(E223="",E223&lt;TODAY()),"",E223+ROW()/100000)</f>
        <v/>
      </c>
      <c r="AJ223">
        <f>IF(OR(F223="",F223&lt;TODAY()),"",F223+ROW()/100000)</f>
        <v/>
      </c>
    </row>
    <row r="224">
      <c r="A224" s="1" t="n"/>
      <c r="B224" s="35" t="n"/>
      <c r="C224" s="35" t="n"/>
      <c r="D224" s="35" t="n"/>
      <c r="E224" s="36" t="n"/>
      <c r="F224" s="36" t="n"/>
      <c r="G224" s="18">
        <f>IF(OR(E224="",F224=""),"",F224-E224)</f>
        <v/>
      </c>
      <c r="H224" s="37" t="n"/>
      <c r="I224" s="38" t="n"/>
      <c r="J224" s="38" t="n"/>
      <c r="K224" s="38" t="n"/>
      <c r="L224" s="31">
        <f>IF(E224="","",N(I224)+N(J224)-N(K224))</f>
        <v/>
      </c>
      <c r="M224" s="39" t="n"/>
      <c r="N224" s="27">
        <f>IF(E224="","",IF(TODAY()&lt;E224,"Upcoming",IF(TODAY()&lt;F224,"Staying now",IF(M224="Yes","Checked out","Payout not received"))))</f>
        <v/>
      </c>
      <c r="O224" s="35" t="n"/>
      <c r="P224" s="1" t="n"/>
      <c r="Q224">
        <f>IF(N(G224)&gt;0,L224/G224,0)</f>
        <v/>
      </c>
      <c r="R224">
        <f>IF(N(G224)&gt;0,N(I224)/G224,0)</f>
        <v/>
      </c>
      <c r="S224">
        <f>IF(OR($E224="",$F224=""),0,MAX(0,MIN($F224,DATE(Dashboard!$C$4,2,1))-MAX($E224,DATE(Dashboard!$C$4,1,1))))</f>
        <v/>
      </c>
      <c r="T224">
        <f>IF(OR($E224="",$F224=""),0,MAX(0,MIN($F224,DATE(Dashboard!$C$4,3,1))-MAX($E224,DATE(Dashboard!$C$4,2,1))))</f>
        <v/>
      </c>
      <c r="U224">
        <f>IF(OR($E224="",$F224=""),0,MAX(0,MIN($F224,DATE(Dashboard!$C$4,4,1))-MAX($E224,DATE(Dashboard!$C$4,3,1))))</f>
        <v/>
      </c>
      <c r="V224">
        <f>IF(OR($E224="",$F224=""),0,MAX(0,MIN($F224,DATE(Dashboard!$C$4,5,1))-MAX($E224,DATE(Dashboard!$C$4,4,1))))</f>
        <v/>
      </c>
      <c r="W224">
        <f>IF(OR($E224="",$F224=""),0,MAX(0,MIN($F224,DATE(Dashboard!$C$4,6,1))-MAX($E224,DATE(Dashboard!$C$4,5,1))))</f>
        <v/>
      </c>
      <c r="X224">
        <f>IF(OR($E224="",$F224=""),0,MAX(0,MIN($F224,DATE(Dashboard!$C$4,7,1))-MAX($E224,DATE(Dashboard!$C$4,6,1))))</f>
        <v/>
      </c>
      <c r="Y224">
        <f>IF(OR($E224="",$F224=""),0,MAX(0,MIN($F224,DATE(Dashboard!$C$4,8,1))-MAX($E224,DATE(Dashboard!$C$4,7,1))))</f>
        <v/>
      </c>
      <c r="Z224">
        <f>IF(OR($E224="",$F224=""),0,MAX(0,MIN($F224,DATE(Dashboard!$C$4,9,1))-MAX($E224,DATE(Dashboard!$C$4,8,1))))</f>
        <v/>
      </c>
      <c r="AA224">
        <f>IF(OR($E224="",$F224=""),0,MAX(0,MIN($F224,DATE(Dashboard!$C$4,10,1))-MAX($E224,DATE(Dashboard!$C$4,9,1))))</f>
        <v/>
      </c>
      <c r="AB224">
        <f>IF(OR($E224="",$F224=""),0,MAX(0,MIN($F224,DATE(Dashboard!$C$4,11,1))-MAX($E224,DATE(Dashboard!$C$4,10,1))))</f>
        <v/>
      </c>
      <c r="AC224">
        <f>IF(OR($E224="",$F224=""),0,MAX(0,MIN($F224,DATE(Dashboard!$C$4,12,1))-MAX($E224,DATE(Dashboard!$C$4,11,1))))</f>
        <v/>
      </c>
      <c r="AD224">
        <f>IF(OR($E224="",$F224=""),0,MAX(0,MIN($F224,DATE(Dashboard!$C$4,13,1))-MAX($E224,DATE(Dashboard!$C$4,12,1))))</f>
        <v/>
      </c>
      <c r="AE224">
        <f>SUM(S224:AD224)</f>
        <v/>
      </c>
      <c r="AF224">
        <f>Q224*AE224</f>
        <v/>
      </c>
      <c r="AG224">
        <f>R224*AE224</f>
        <v/>
      </c>
      <c r="AH224">
        <f>SUMPRODUCT(S224:AD224,--(COLUMN(S224:AD224)-COLUMN(S224)+1&lt;=Dashboard!$N$1))</f>
        <v/>
      </c>
      <c r="AI224">
        <f>IF(OR(E224="",E224&lt;TODAY()),"",E224+ROW()/100000)</f>
        <v/>
      </c>
      <c r="AJ224">
        <f>IF(OR(F224="",F224&lt;TODAY()),"",F224+ROW()/100000)</f>
        <v/>
      </c>
    </row>
    <row r="225">
      <c r="A225" s="1" t="n"/>
      <c r="B225" s="35" t="n"/>
      <c r="C225" s="35" t="n"/>
      <c r="D225" s="35" t="n"/>
      <c r="E225" s="36" t="n"/>
      <c r="F225" s="36" t="n"/>
      <c r="G225" s="18">
        <f>IF(OR(E225="",F225=""),"",F225-E225)</f>
        <v/>
      </c>
      <c r="H225" s="37" t="n"/>
      <c r="I225" s="38" t="n"/>
      <c r="J225" s="38" t="n"/>
      <c r="K225" s="38" t="n"/>
      <c r="L225" s="31">
        <f>IF(E225="","",N(I225)+N(J225)-N(K225))</f>
        <v/>
      </c>
      <c r="M225" s="39" t="n"/>
      <c r="N225" s="27">
        <f>IF(E225="","",IF(TODAY()&lt;E225,"Upcoming",IF(TODAY()&lt;F225,"Staying now",IF(M225="Yes","Checked out","Payout not received"))))</f>
        <v/>
      </c>
      <c r="O225" s="35" t="n"/>
      <c r="P225" s="1" t="n"/>
      <c r="Q225">
        <f>IF(N(G225)&gt;0,L225/G225,0)</f>
        <v/>
      </c>
      <c r="R225">
        <f>IF(N(G225)&gt;0,N(I225)/G225,0)</f>
        <v/>
      </c>
      <c r="S225">
        <f>IF(OR($E225="",$F225=""),0,MAX(0,MIN($F225,DATE(Dashboard!$C$4,2,1))-MAX($E225,DATE(Dashboard!$C$4,1,1))))</f>
        <v/>
      </c>
      <c r="T225">
        <f>IF(OR($E225="",$F225=""),0,MAX(0,MIN($F225,DATE(Dashboard!$C$4,3,1))-MAX($E225,DATE(Dashboard!$C$4,2,1))))</f>
        <v/>
      </c>
      <c r="U225">
        <f>IF(OR($E225="",$F225=""),0,MAX(0,MIN($F225,DATE(Dashboard!$C$4,4,1))-MAX($E225,DATE(Dashboard!$C$4,3,1))))</f>
        <v/>
      </c>
      <c r="V225">
        <f>IF(OR($E225="",$F225=""),0,MAX(0,MIN($F225,DATE(Dashboard!$C$4,5,1))-MAX($E225,DATE(Dashboard!$C$4,4,1))))</f>
        <v/>
      </c>
      <c r="W225">
        <f>IF(OR($E225="",$F225=""),0,MAX(0,MIN($F225,DATE(Dashboard!$C$4,6,1))-MAX($E225,DATE(Dashboard!$C$4,5,1))))</f>
        <v/>
      </c>
      <c r="X225">
        <f>IF(OR($E225="",$F225=""),0,MAX(0,MIN($F225,DATE(Dashboard!$C$4,7,1))-MAX($E225,DATE(Dashboard!$C$4,6,1))))</f>
        <v/>
      </c>
      <c r="Y225">
        <f>IF(OR($E225="",$F225=""),0,MAX(0,MIN($F225,DATE(Dashboard!$C$4,8,1))-MAX($E225,DATE(Dashboard!$C$4,7,1))))</f>
        <v/>
      </c>
      <c r="Z225">
        <f>IF(OR($E225="",$F225=""),0,MAX(0,MIN($F225,DATE(Dashboard!$C$4,9,1))-MAX($E225,DATE(Dashboard!$C$4,8,1))))</f>
        <v/>
      </c>
      <c r="AA225">
        <f>IF(OR($E225="",$F225=""),0,MAX(0,MIN($F225,DATE(Dashboard!$C$4,10,1))-MAX($E225,DATE(Dashboard!$C$4,9,1))))</f>
        <v/>
      </c>
      <c r="AB225">
        <f>IF(OR($E225="",$F225=""),0,MAX(0,MIN($F225,DATE(Dashboard!$C$4,11,1))-MAX($E225,DATE(Dashboard!$C$4,10,1))))</f>
        <v/>
      </c>
      <c r="AC225">
        <f>IF(OR($E225="",$F225=""),0,MAX(0,MIN($F225,DATE(Dashboard!$C$4,12,1))-MAX($E225,DATE(Dashboard!$C$4,11,1))))</f>
        <v/>
      </c>
      <c r="AD225">
        <f>IF(OR($E225="",$F225=""),0,MAX(0,MIN($F225,DATE(Dashboard!$C$4,13,1))-MAX($E225,DATE(Dashboard!$C$4,12,1))))</f>
        <v/>
      </c>
      <c r="AE225">
        <f>SUM(S225:AD225)</f>
        <v/>
      </c>
      <c r="AF225">
        <f>Q225*AE225</f>
        <v/>
      </c>
      <c r="AG225">
        <f>R225*AE225</f>
        <v/>
      </c>
      <c r="AH225">
        <f>SUMPRODUCT(S225:AD225,--(COLUMN(S225:AD225)-COLUMN(S225)+1&lt;=Dashboard!$N$1))</f>
        <v/>
      </c>
      <c r="AI225">
        <f>IF(OR(E225="",E225&lt;TODAY()),"",E225+ROW()/100000)</f>
        <v/>
      </c>
      <c r="AJ225">
        <f>IF(OR(F225="",F225&lt;TODAY()),"",F225+ROW()/100000)</f>
        <v/>
      </c>
    </row>
    <row r="226">
      <c r="A226" s="1" t="n"/>
      <c r="B226" s="35" t="n"/>
      <c r="C226" s="35" t="n"/>
      <c r="D226" s="35" t="n"/>
      <c r="E226" s="36" t="n"/>
      <c r="F226" s="36" t="n"/>
      <c r="G226" s="18">
        <f>IF(OR(E226="",F226=""),"",F226-E226)</f>
        <v/>
      </c>
      <c r="H226" s="37" t="n"/>
      <c r="I226" s="38" t="n"/>
      <c r="J226" s="38" t="n"/>
      <c r="K226" s="38" t="n"/>
      <c r="L226" s="31">
        <f>IF(E226="","",N(I226)+N(J226)-N(K226))</f>
        <v/>
      </c>
      <c r="M226" s="39" t="n"/>
      <c r="N226" s="27">
        <f>IF(E226="","",IF(TODAY()&lt;E226,"Upcoming",IF(TODAY()&lt;F226,"Staying now",IF(M226="Yes","Checked out","Payout not received"))))</f>
        <v/>
      </c>
      <c r="O226" s="35" t="n"/>
      <c r="P226" s="1" t="n"/>
      <c r="Q226">
        <f>IF(N(G226)&gt;0,L226/G226,0)</f>
        <v/>
      </c>
      <c r="R226">
        <f>IF(N(G226)&gt;0,N(I226)/G226,0)</f>
        <v/>
      </c>
      <c r="S226">
        <f>IF(OR($E226="",$F226=""),0,MAX(0,MIN($F226,DATE(Dashboard!$C$4,2,1))-MAX($E226,DATE(Dashboard!$C$4,1,1))))</f>
        <v/>
      </c>
      <c r="T226">
        <f>IF(OR($E226="",$F226=""),0,MAX(0,MIN($F226,DATE(Dashboard!$C$4,3,1))-MAX($E226,DATE(Dashboard!$C$4,2,1))))</f>
        <v/>
      </c>
      <c r="U226">
        <f>IF(OR($E226="",$F226=""),0,MAX(0,MIN($F226,DATE(Dashboard!$C$4,4,1))-MAX($E226,DATE(Dashboard!$C$4,3,1))))</f>
        <v/>
      </c>
      <c r="V226">
        <f>IF(OR($E226="",$F226=""),0,MAX(0,MIN($F226,DATE(Dashboard!$C$4,5,1))-MAX($E226,DATE(Dashboard!$C$4,4,1))))</f>
        <v/>
      </c>
      <c r="W226">
        <f>IF(OR($E226="",$F226=""),0,MAX(0,MIN($F226,DATE(Dashboard!$C$4,6,1))-MAX($E226,DATE(Dashboard!$C$4,5,1))))</f>
        <v/>
      </c>
      <c r="X226">
        <f>IF(OR($E226="",$F226=""),0,MAX(0,MIN($F226,DATE(Dashboard!$C$4,7,1))-MAX($E226,DATE(Dashboard!$C$4,6,1))))</f>
        <v/>
      </c>
      <c r="Y226">
        <f>IF(OR($E226="",$F226=""),0,MAX(0,MIN($F226,DATE(Dashboard!$C$4,8,1))-MAX($E226,DATE(Dashboard!$C$4,7,1))))</f>
        <v/>
      </c>
      <c r="Z226">
        <f>IF(OR($E226="",$F226=""),0,MAX(0,MIN($F226,DATE(Dashboard!$C$4,9,1))-MAX($E226,DATE(Dashboard!$C$4,8,1))))</f>
        <v/>
      </c>
      <c r="AA226">
        <f>IF(OR($E226="",$F226=""),0,MAX(0,MIN($F226,DATE(Dashboard!$C$4,10,1))-MAX($E226,DATE(Dashboard!$C$4,9,1))))</f>
        <v/>
      </c>
      <c r="AB226">
        <f>IF(OR($E226="",$F226=""),0,MAX(0,MIN($F226,DATE(Dashboard!$C$4,11,1))-MAX($E226,DATE(Dashboard!$C$4,10,1))))</f>
        <v/>
      </c>
      <c r="AC226">
        <f>IF(OR($E226="",$F226=""),0,MAX(0,MIN($F226,DATE(Dashboard!$C$4,12,1))-MAX($E226,DATE(Dashboard!$C$4,11,1))))</f>
        <v/>
      </c>
      <c r="AD226">
        <f>IF(OR($E226="",$F226=""),0,MAX(0,MIN($F226,DATE(Dashboard!$C$4,13,1))-MAX($E226,DATE(Dashboard!$C$4,12,1))))</f>
        <v/>
      </c>
      <c r="AE226">
        <f>SUM(S226:AD226)</f>
        <v/>
      </c>
      <c r="AF226">
        <f>Q226*AE226</f>
        <v/>
      </c>
      <c r="AG226">
        <f>R226*AE226</f>
        <v/>
      </c>
      <c r="AH226">
        <f>SUMPRODUCT(S226:AD226,--(COLUMN(S226:AD226)-COLUMN(S226)+1&lt;=Dashboard!$N$1))</f>
        <v/>
      </c>
      <c r="AI226">
        <f>IF(OR(E226="",E226&lt;TODAY()),"",E226+ROW()/100000)</f>
        <v/>
      </c>
      <c r="AJ226">
        <f>IF(OR(F226="",F226&lt;TODAY()),"",F226+ROW()/100000)</f>
        <v/>
      </c>
    </row>
    <row r="227">
      <c r="A227" s="1" t="n"/>
      <c r="B227" s="35" t="n"/>
      <c r="C227" s="35" t="n"/>
      <c r="D227" s="35" t="n"/>
      <c r="E227" s="36" t="n"/>
      <c r="F227" s="36" t="n"/>
      <c r="G227" s="18">
        <f>IF(OR(E227="",F227=""),"",F227-E227)</f>
        <v/>
      </c>
      <c r="H227" s="37" t="n"/>
      <c r="I227" s="38" t="n"/>
      <c r="J227" s="38" t="n"/>
      <c r="K227" s="38" t="n"/>
      <c r="L227" s="31">
        <f>IF(E227="","",N(I227)+N(J227)-N(K227))</f>
        <v/>
      </c>
      <c r="M227" s="39" t="n"/>
      <c r="N227" s="27">
        <f>IF(E227="","",IF(TODAY()&lt;E227,"Upcoming",IF(TODAY()&lt;F227,"Staying now",IF(M227="Yes","Checked out","Payout not received"))))</f>
        <v/>
      </c>
      <c r="O227" s="35" t="n"/>
      <c r="P227" s="1" t="n"/>
      <c r="Q227">
        <f>IF(N(G227)&gt;0,L227/G227,0)</f>
        <v/>
      </c>
      <c r="R227">
        <f>IF(N(G227)&gt;0,N(I227)/G227,0)</f>
        <v/>
      </c>
      <c r="S227">
        <f>IF(OR($E227="",$F227=""),0,MAX(0,MIN($F227,DATE(Dashboard!$C$4,2,1))-MAX($E227,DATE(Dashboard!$C$4,1,1))))</f>
        <v/>
      </c>
      <c r="T227">
        <f>IF(OR($E227="",$F227=""),0,MAX(0,MIN($F227,DATE(Dashboard!$C$4,3,1))-MAX($E227,DATE(Dashboard!$C$4,2,1))))</f>
        <v/>
      </c>
      <c r="U227">
        <f>IF(OR($E227="",$F227=""),0,MAX(0,MIN($F227,DATE(Dashboard!$C$4,4,1))-MAX($E227,DATE(Dashboard!$C$4,3,1))))</f>
        <v/>
      </c>
      <c r="V227">
        <f>IF(OR($E227="",$F227=""),0,MAX(0,MIN($F227,DATE(Dashboard!$C$4,5,1))-MAX($E227,DATE(Dashboard!$C$4,4,1))))</f>
        <v/>
      </c>
      <c r="W227">
        <f>IF(OR($E227="",$F227=""),0,MAX(0,MIN($F227,DATE(Dashboard!$C$4,6,1))-MAX($E227,DATE(Dashboard!$C$4,5,1))))</f>
        <v/>
      </c>
      <c r="X227">
        <f>IF(OR($E227="",$F227=""),0,MAX(0,MIN($F227,DATE(Dashboard!$C$4,7,1))-MAX($E227,DATE(Dashboard!$C$4,6,1))))</f>
        <v/>
      </c>
      <c r="Y227">
        <f>IF(OR($E227="",$F227=""),0,MAX(0,MIN($F227,DATE(Dashboard!$C$4,8,1))-MAX($E227,DATE(Dashboard!$C$4,7,1))))</f>
        <v/>
      </c>
      <c r="Z227">
        <f>IF(OR($E227="",$F227=""),0,MAX(0,MIN($F227,DATE(Dashboard!$C$4,9,1))-MAX($E227,DATE(Dashboard!$C$4,8,1))))</f>
        <v/>
      </c>
      <c r="AA227">
        <f>IF(OR($E227="",$F227=""),0,MAX(0,MIN($F227,DATE(Dashboard!$C$4,10,1))-MAX($E227,DATE(Dashboard!$C$4,9,1))))</f>
        <v/>
      </c>
      <c r="AB227">
        <f>IF(OR($E227="",$F227=""),0,MAX(0,MIN($F227,DATE(Dashboard!$C$4,11,1))-MAX($E227,DATE(Dashboard!$C$4,10,1))))</f>
        <v/>
      </c>
      <c r="AC227">
        <f>IF(OR($E227="",$F227=""),0,MAX(0,MIN($F227,DATE(Dashboard!$C$4,12,1))-MAX($E227,DATE(Dashboard!$C$4,11,1))))</f>
        <v/>
      </c>
      <c r="AD227">
        <f>IF(OR($E227="",$F227=""),0,MAX(0,MIN($F227,DATE(Dashboard!$C$4,13,1))-MAX($E227,DATE(Dashboard!$C$4,12,1))))</f>
        <v/>
      </c>
      <c r="AE227">
        <f>SUM(S227:AD227)</f>
        <v/>
      </c>
      <c r="AF227">
        <f>Q227*AE227</f>
        <v/>
      </c>
      <c r="AG227">
        <f>R227*AE227</f>
        <v/>
      </c>
      <c r="AH227">
        <f>SUMPRODUCT(S227:AD227,--(COLUMN(S227:AD227)-COLUMN(S227)+1&lt;=Dashboard!$N$1))</f>
        <v/>
      </c>
      <c r="AI227">
        <f>IF(OR(E227="",E227&lt;TODAY()),"",E227+ROW()/100000)</f>
        <v/>
      </c>
      <c r="AJ227">
        <f>IF(OR(F227="",F227&lt;TODAY()),"",F227+ROW()/100000)</f>
        <v/>
      </c>
    </row>
    <row r="228">
      <c r="A228" s="1" t="n"/>
      <c r="B228" s="35" t="n"/>
      <c r="C228" s="35" t="n"/>
      <c r="D228" s="35" t="n"/>
      <c r="E228" s="36" t="n"/>
      <c r="F228" s="36" t="n"/>
      <c r="G228" s="18">
        <f>IF(OR(E228="",F228=""),"",F228-E228)</f>
        <v/>
      </c>
      <c r="H228" s="37" t="n"/>
      <c r="I228" s="38" t="n"/>
      <c r="J228" s="38" t="n"/>
      <c r="K228" s="38" t="n"/>
      <c r="L228" s="31">
        <f>IF(E228="","",N(I228)+N(J228)-N(K228))</f>
        <v/>
      </c>
      <c r="M228" s="39" t="n"/>
      <c r="N228" s="27">
        <f>IF(E228="","",IF(TODAY()&lt;E228,"Upcoming",IF(TODAY()&lt;F228,"Staying now",IF(M228="Yes","Checked out","Payout not received"))))</f>
        <v/>
      </c>
      <c r="O228" s="35" t="n"/>
      <c r="P228" s="1" t="n"/>
      <c r="Q228">
        <f>IF(N(G228)&gt;0,L228/G228,0)</f>
        <v/>
      </c>
      <c r="R228">
        <f>IF(N(G228)&gt;0,N(I228)/G228,0)</f>
        <v/>
      </c>
      <c r="S228">
        <f>IF(OR($E228="",$F228=""),0,MAX(0,MIN($F228,DATE(Dashboard!$C$4,2,1))-MAX($E228,DATE(Dashboard!$C$4,1,1))))</f>
        <v/>
      </c>
      <c r="T228">
        <f>IF(OR($E228="",$F228=""),0,MAX(0,MIN($F228,DATE(Dashboard!$C$4,3,1))-MAX($E228,DATE(Dashboard!$C$4,2,1))))</f>
        <v/>
      </c>
      <c r="U228">
        <f>IF(OR($E228="",$F228=""),0,MAX(0,MIN($F228,DATE(Dashboard!$C$4,4,1))-MAX($E228,DATE(Dashboard!$C$4,3,1))))</f>
        <v/>
      </c>
      <c r="V228">
        <f>IF(OR($E228="",$F228=""),0,MAX(0,MIN($F228,DATE(Dashboard!$C$4,5,1))-MAX($E228,DATE(Dashboard!$C$4,4,1))))</f>
        <v/>
      </c>
      <c r="W228">
        <f>IF(OR($E228="",$F228=""),0,MAX(0,MIN($F228,DATE(Dashboard!$C$4,6,1))-MAX($E228,DATE(Dashboard!$C$4,5,1))))</f>
        <v/>
      </c>
      <c r="X228">
        <f>IF(OR($E228="",$F228=""),0,MAX(0,MIN($F228,DATE(Dashboard!$C$4,7,1))-MAX($E228,DATE(Dashboard!$C$4,6,1))))</f>
        <v/>
      </c>
      <c r="Y228">
        <f>IF(OR($E228="",$F228=""),0,MAX(0,MIN($F228,DATE(Dashboard!$C$4,8,1))-MAX($E228,DATE(Dashboard!$C$4,7,1))))</f>
        <v/>
      </c>
      <c r="Z228">
        <f>IF(OR($E228="",$F228=""),0,MAX(0,MIN($F228,DATE(Dashboard!$C$4,9,1))-MAX($E228,DATE(Dashboard!$C$4,8,1))))</f>
        <v/>
      </c>
      <c r="AA228">
        <f>IF(OR($E228="",$F228=""),0,MAX(0,MIN($F228,DATE(Dashboard!$C$4,10,1))-MAX($E228,DATE(Dashboard!$C$4,9,1))))</f>
        <v/>
      </c>
      <c r="AB228">
        <f>IF(OR($E228="",$F228=""),0,MAX(0,MIN($F228,DATE(Dashboard!$C$4,11,1))-MAX($E228,DATE(Dashboard!$C$4,10,1))))</f>
        <v/>
      </c>
      <c r="AC228">
        <f>IF(OR($E228="",$F228=""),0,MAX(0,MIN($F228,DATE(Dashboard!$C$4,12,1))-MAX($E228,DATE(Dashboard!$C$4,11,1))))</f>
        <v/>
      </c>
      <c r="AD228">
        <f>IF(OR($E228="",$F228=""),0,MAX(0,MIN($F228,DATE(Dashboard!$C$4,13,1))-MAX($E228,DATE(Dashboard!$C$4,12,1))))</f>
        <v/>
      </c>
      <c r="AE228">
        <f>SUM(S228:AD228)</f>
        <v/>
      </c>
      <c r="AF228">
        <f>Q228*AE228</f>
        <v/>
      </c>
      <c r="AG228">
        <f>R228*AE228</f>
        <v/>
      </c>
      <c r="AH228">
        <f>SUMPRODUCT(S228:AD228,--(COLUMN(S228:AD228)-COLUMN(S228)+1&lt;=Dashboard!$N$1))</f>
        <v/>
      </c>
      <c r="AI228">
        <f>IF(OR(E228="",E228&lt;TODAY()),"",E228+ROW()/100000)</f>
        <v/>
      </c>
      <c r="AJ228">
        <f>IF(OR(F228="",F228&lt;TODAY()),"",F228+ROW()/100000)</f>
        <v/>
      </c>
    </row>
    <row r="229">
      <c r="A229" s="1" t="n"/>
      <c r="B229" s="35" t="n"/>
      <c r="C229" s="35" t="n"/>
      <c r="D229" s="35" t="n"/>
      <c r="E229" s="36" t="n"/>
      <c r="F229" s="36" t="n"/>
      <c r="G229" s="18">
        <f>IF(OR(E229="",F229=""),"",F229-E229)</f>
        <v/>
      </c>
      <c r="H229" s="37" t="n"/>
      <c r="I229" s="38" t="n"/>
      <c r="J229" s="38" t="n"/>
      <c r="K229" s="38" t="n"/>
      <c r="L229" s="31">
        <f>IF(E229="","",N(I229)+N(J229)-N(K229))</f>
        <v/>
      </c>
      <c r="M229" s="39" t="n"/>
      <c r="N229" s="27">
        <f>IF(E229="","",IF(TODAY()&lt;E229,"Upcoming",IF(TODAY()&lt;F229,"Staying now",IF(M229="Yes","Checked out","Payout not received"))))</f>
        <v/>
      </c>
      <c r="O229" s="35" t="n"/>
      <c r="P229" s="1" t="n"/>
      <c r="Q229">
        <f>IF(N(G229)&gt;0,L229/G229,0)</f>
        <v/>
      </c>
      <c r="R229">
        <f>IF(N(G229)&gt;0,N(I229)/G229,0)</f>
        <v/>
      </c>
      <c r="S229">
        <f>IF(OR($E229="",$F229=""),0,MAX(0,MIN($F229,DATE(Dashboard!$C$4,2,1))-MAX($E229,DATE(Dashboard!$C$4,1,1))))</f>
        <v/>
      </c>
      <c r="T229">
        <f>IF(OR($E229="",$F229=""),0,MAX(0,MIN($F229,DATE(Dashboard!$C$4,3,1))-MAX($E229,DATE(Dashboard!$C$4,2,1))))</f>
        <v/>
      </c>
      <c r="U229">
        <f>IF(OR($E229="",$F229=""),0,MAX(0,MIN($F229,DATE(Dashboard!$C$4,4,1))-MAX($E229,DATE(Dashboard!$C$4,3,1))))</f>
        <v/>
      </c>
      <c r="V229">
        <f>IF(OR($E229="",$F229=""),0,MAX(0,MIN($F229,DATE(Dashboard!$C$4,5,1))-MAX($E229,DATE(Dashboard!$C$4,4,1))))</f>
        <v/>
      </c>
      <c r="W229">
        <f>IF(OR($E229="",$F229=""),0,MAX(0,MIN($F229,DATE(Dashboard!$C$4,6,1))-MAX($E229,DATE(Dashboard!$C$4,5,1))))</f>
        <v/>
      </c>
      <c r="X229">
        <f>IF(OR($E229="",$F229=""),0,MAX(0,MIN($F229,DATE(Dashboard!$C$4,7,1))-MAX($E229,DATE(Dashboard!$C$4,6,1))))</f>
        <v/>
      </c>
      <c r="Y229">
        <f>IF(OR($E229="",$F229=""),0,MAX(0,MIN($F229,DATE(Dashboard!$C$4,8,1))-MAX($E229,DATE(Dashboard!$C$4,7,1))))</f>
        <v/>
      </c>
      <c r="Z229">
        <f>IF(OR($E229="",$F229=""),0,MAX(0,MIN($F229,DATE(Dashboard!$C$4,9,1))-MAX($E229,DATE(Dashboard!$C$4,8,1))))</f>
        <v/>
      </c>
      <c r="AA229">
        <f>IF(OR($E229="",$F229=""),0,MAX(0,MIN($F229,DATE(Dashboard!$C$4,10,1))-MAX($E229,DATE(Dashboard!$C$4,9,1))))</f>
        <v/>
      </c>
      <c r="AB229">
        <f>IF(OR($E229="",$F229=""),0,MAX(0,MIN($F229,DATE(Dashboard!$C$4,11,1))-MAX($E229,DATE(Dashboard!$C$4,10,1))))</f>
        <v/>
      </c>
      <c r="AC229">
        <f>IF(OR($E229="",$F229=""),0,MAX(0,MIN($F229,DATE(Dashboard!$C$4,12,1))-MAX($E229,DATE(Dashboard!$C$4,11,1))))</f>
        <v/>
      </c>
      <c r="AD229">
        <f>IF(OR($E229="",$F229=""),0,MAX(0,MIN($F229,DATE(Dashboard!$C$4,13,1))-MAX($E229,DATE(Dashboard!$C$4,12,1))))</f>
        <v/>
      </c>
      <c r="AE229">
        <f>SUM(S229:AD229)</f>
        <v/>
      </c>
      <c r="AF229">
        <f>Q229*AE229</f>
        <v/>
      </c>
      <c r="AG229">
        <f>R229*AE229</f>
        <v/>
      </c>
      <c r="AH229">
        <f>SUMPRODUCT(S229:AD229,--(COLUMN(S229:AD229)-COLUMN(S229)+1&lt;=Dashboard!$N$1))</f>
        <v/>
      </c>
      <c r="AI229">
        <f>IF(OR(E229="",E229&lt;TODAY()),"",E229+ROW()/100000)</f>
        <v/>
      </c>
      <c r="AJ229">
        <f>IF(OR(F229="",F229&lt;TODAY()),"",F229+ROW()/100000)</f>
        <v/>
      </c>
    </row>
    <row r="230">
      <c r="A230" s="1" t="n"/>
      <c r="B230" s="35" t="n"/>
      <c r="C230" s="35" t="n"/>
      <c r="D230" s="35" t="n"/>
      <c r="E230" s="36" t="n"/>
      <c r="F230" s="36" t="n"/>
      <c r="G230" s="18">
        <f>IF(OR(E230="",F230=""),"",F230-E230)</f>
        <v/>
      </c>
      <c r="H230" s="37" t="n"/>
      <c r="I230" s="38" t="n"/>
      <c r="J230" s="38" t="n"/>
      <c r="K230" s="38" t="n"/>
      <c r="L230" s="31">
        <f>IF(E230="","",N(I230)+N(J230)-N(K230))</f>
        <v/>
      </c>
      <c r="M230" s="39" t="n"/>
      <c r="N230" s="27">
        <f>IF(E230="","",IF(TODAY()&lt;E230,"Upcoming",IF(TODAY()&lt;F230,"Staying now",IF(M230="Yes","Checked out","Payout not received"))))</f>
        <v/>
      </c>
      <c r="O230" s="35" t="n"/>
      <c r="P230" s="1" t="n"/>
      <c r="Q230">
        <f>IF(N(G230)&gt;0,L230/G230,0)</f>
        <v/>
      </c>
      <c r="R230">
        <f>IF(N(G230)&gt;0,N(I230)/G230,0)</f>
        <v/>
      </c>
      <c r="S230">
        <f>IF(OR($E230="",$F230=""),0,MAX(0,MIN($F230,DATE(Dashboard!$C$4,2,1))-MAX($E230,DATE(Dashboard!$C$4,1,1))))</f>
        <v/>
      </c>
      <c r="T230">
        <f>IF(OR($E230="",$F230=""),0,MAX(0,MIN($F230,DATE(Dashboard!$C$4,3,1))-MAX($E230,DATE(Dashboard!$C$4,2,1))))</f>
        <v/>
      </c>
      <c r="U230">
        <f>IF(OR($E230="",$F230=""),0,MAX(0,MIN($F230,DATE(Dashboard!$C$4,4,1))-MAX($E230,DATE(Dashboard!$C$4,3,1))))</f>
        <v/>
      </c>
      <c r="V230">
        <f>IF(OR($E230="",$F230=""),0,MAX(0,MIN($F230,DATE(Dashboard!$C$4,5,1))-MAX($E230,DATE(Dashboard!$C$4,4,1))))</f>
        <v/>
      </c>
      <c r="W230">
        <f>IF(OR($E230="",$F230=""),0,MAX(0,MIN($F230,DATE(Dashboard!$C$4,6,1))-MAX($E230,DATE(Dashboard!$C$4,5,1))))</f>
        <v/>
      </c>
      <c r="X230">
        <f>IF(OR($E230="",$F230=""),0,MAX(0,MIN($F230,DATE(Dashboard!$C$4,7,1))-MAX($E230,DATE(Dashboard!$C$4,6,1))))</f>
        <v/>
      </c>
      <c r="Y230">
        <f>IF(OR($E230="",$F230=""),0,MAX(0,MIN($F230,DATE(Dashboard!$C$4,8,1))-MAX($E230,DATE(Dashboard!$C$4,7,1))))</f>
        <v/>
      </c>
      <c r="Z230">
        <f>IF(OR($E230="",$F230=""),0,MAX(0,MIN($F230,DATE(Dashboard!$C$4,9,1))-MAX($E230,DATE(Dashboard!$C$4,8,1))))</f>
        <v/>
      </c>
      <c r="AA230">
        <f>IF(OR($E230="",$F230=""),0,MAX(0,MIN($F230,DATE(Dashboard!$C$4,10,1))-MAX($E230,DATE(Dashboard!$C$4,9,1))))</f>
        <v/>
      </c>
      <c r="AB230">
        <f>IF(OR($E230="",$F230=""),0,MAX(0,MIN($F230,DATE(Dashboard!$C$4,11,1))-MAX($E230,DATE(Dashboard!$C$4,10,1))))</f>
        <v/>
      </c>
      <c r="AC230">
        <f>IF(OR($E230="",$F230=""),0,MAX(0,MIN($F230,DATE(Dashboard!$C$4,12,1))-MAX($E230,DATE(Dashboard!$C$4,11,1))))</f>
        <v/>
      </c>
      <c r="AD230">
        <f>IF(OR($E230="",$F230=""),0,MAX(0,MIN($F230,DATE(Dashboard!$C$4,13,1))-MAX($E230,DATE(Dashboard!$C$4,12,1))))</f>
        <v/>
      </c>
      <c r="AE230">
        <f>SUM(S230:AD230)</f>
        <v/>
      </c>
      <c r="AF230">
        <f>Q230*AE230</f>
        <v/>
      </c>
      <c r="AG230">
        <f>R230*AE230</f>
        <v/>
      </c>
      <c r="AH230">
        <f>SUMPRODUCT(S230:AD230,--(COLUMN(S230:AD230)-COLUMN(S230)+1&lt;=Dashboard!$N$1))</f>
        <v/>
      </c>
      <c r="AI230">
        <f>IF(OR(E230="",E230&lt;TODAY()),"",E230+ROW()/100000)</f>
        <v/>
      </c>
      <c r="AJ230">
        <f>IF(OR(F230="",F230&lt;TODAY()),"",F230+ROW()/100000)</f>
        <v/>
      </c>
    </row>
    <row r="231">
      <c r="A231" s="1" t="n"/>
      <c r="B231" s="35" t="n"/>
      <c r="C231" s="35" t="n"/>
      <c r="D231" s="35" t="n"/>
      <c r="E231" s="36" t="n"/>
      <c r="F231" s="36" t="n"/>
      <c r="G231" s="18">
        <f>IF(OR(E231="",F231=""),"",F231-E231)</f>
        <v/>
      </c>
      <c r="H231" s="37" t="n"/>
      <c r="I231" s="38" t="n"/>
      <c r="J231" s="38" t="n"/>
      <c r="K231" s="38" t="n"/>
      <c r="L231" s="31">
        <f>IF(E231="","",N(I231)+N(J231)-N(K231))</f>
        <v/>
      </c>
      <c r="M231" s="39" t="n"/>
      <c r="N231" s="27">
        <f>IF(E231="","",IF(TODAY()&lt;E231,"Upcoming",IF(TODAY()&lt;F231,"Staying now",IF(M231="Yes","Checked out","Payout not received"))))</f>
        <v/>
      </c>
      <c r="O231" s="35" t="n"/>
      <c r="P231" s="1" t="n"/>
      <c r="Q231">
        <f>IF(N(G231)&gt;0,L231/G231,0)</f>
        <v/>
      </c>
      <c r="R231">
        <f>IF(N(G231)&gt;0,N(I231)/G231,0)</f>
        <v/>
      </c>
      <c r="S231">
        <f>IF(OR($E231="",$F231=""),0,MAX(0,MIN($F231,DATE(Dashboard!$C$4,2,1))-MAX($E231,DATE(Dashboard!$C$4,1,1))))</f>
        <v/>
      </c>
      <c r="T231">
        <f>IF(OR($E231="",$F231=""),0,MAX(0,MIN($F231,DATE(Dashboard!$C$4,3,1))-MAX($E231,DATE(Dashboard!$C$4,2,1))))</f>
        <v/>
      </c>
      <c r="U231">
        <f>IF(OR($E231="",$F231=""),0,MAX(0,MIN($F231,DATE(Dashboard!$C$4,4,1))-MAX($E231,DATE(Dashboard!$C$4,3,1))))</f>
        <v/>
      </c>
      <c r="V231">
        <f>IF(OR($E231="",$F231=""),0,MAX(0,MIN($F231,DATE(Dashboard!$C$4,5,1))-MAX($E231,DATE(Dashboard!$C$4,4,1))))</f>
        <v/>
      </c>
      <c r="W231">
        <f>IF(OR($E231="",$F231=""),0,MAX(0,MIN($F231,DATE(Dashboard!$C$4,6,1))-MAX($E231,DATE(Dashboard!$C$4,5,1))))</f>
        <v/>
      </c>
      <c r="X231">
        <f>IF(OR($E231="",$F231=""),0,MAX(0,MIN($F231,DATE(Dashboard!$C$4,7,1))-MAX($E231,DATE(Dashboard!$C$4,6,1))))</f>
        <v/>
      </c>
      <c r="Y231">
        <f>IF(OR($E231="",$F231=""),0,MAX(0,MIN($F231,DATE(Dashboard!$C$4,8,1))-MAX($E231,DATE(Dashboard!$C$4,7,1))))</f>
        <v/>
      </c>
      <c r="Z231">
        <f>IF(OR($E231="",$F231=""),0,MAX(0,MIN($F231,DATE(Dashboard!$C$4,9,1))-MAX($E231,DATE(Dashboard!$C$4,8,1))))</f>
        <v/>
      </c>
      <c r="AA231">
        <f>IF(OR($E231="",$F231=""),0,MAX(0,MIN($F231,DATE(Dashboard!$C$4,10,1))-MAX($E231,DATE(Dashboard!$C$4,9,1))))</f>
        <v/>
      </c>
      <c r="AB231">
        <f>IF(OR($E231="",$F231=""),0,MAX(0,MIN($F231,DATE(Dashboard!$C$4,11,1))-MAX($E231,DATE(Dashboard!$C$4,10,1))))</f>
        <v/>
      </c>
      <c r="AC231">
        <f>IF(OR($E231="",$F231=""),0,MAX(0,MIN($F231,DATE(Dashboard!$C$4,12,1))-MAX($E231,DATE(Dashboard!$C$4,11,1))))</f>
        <v/>
      </c>
      <c r="AD231">
        <f>IF(OR($E231="",$F231=""),0,MAX(0,MIN($F231,DATE(Dashboard!$C$4,13,1))-MAX($E231,DATE(Dashboard!$C$4,12,1))))</f>
        <v/>
      </c>
      <c r="AE231">
        <f>SUM(S231:AD231)</f>
        <v/>
      </c>
      <c r="AF231">
        <f>Q231*AE231</f>
        <v/>
      </c>
      <c r="AG231">
        <f>R231*AE231</f>
        <v/>
      </c>
      <c r="AH231">
        <f>SUMPRODUCT(S231:AD231,--(COLUMN(S231:AD231)-COLUMN(S231)+1&lt;=Dashboard!$N$1))</f>
        <v/>
      </c>
      <c r="AI231">
        <f>IF(OR(E231="",E231&lt;TODAY()),"",E231+ROW()/100000)</f>
        <v/>
      </c>
      <c r="AJ231">
        <f>IF(OR(F231="",F231&lt;TODAY()),"",F231+ROW()/100000)</f>
        <v/>
      </c>
    </row>
    <row r="232">
      <c r="A232" s="1" t="n"/>
      <c r="B232" s="35" t="n"/>
      <c r="C232" s="35" t="n"/>
      <c r="D232" s="35" t="n"/>
      <c r="E232" s="36" t="n"/>
      <c r="F232" s="36" t="n"/>
      <c r="G232" s="18">
        <f>IF(OR(E232="",F232=""),"",F232-E232)</f>
        <v/>
      </c>
      <c r="H232" s="37" t="n"/>
      <c r="I232" s="38" t="n"/>
      <c r="J232" s="38" t="n"/>
      <c r="K232" s="38" t="n"/>
      <c r="L232" s="31">
        <f>IF(E232="","",N(I232)+N(J232)-N(K232))</f>
        <v/>
      </c>
      <c r="M232" s="39" t="n"/>
      <c r="N232" s="27">
        <f>IF(E232="","",IF(TODAY()&lt;E232,"Upcoming",IF(TODAY()&lt;F232,"Staying now",IF(M232="Yes","Checked out","Payout not received"))))</f>
        <v/>
      </c>
      <c r="O232" s="35" t="n"/>
      <c r="P232" s="1" t="n"/>
      <c r="Q232">
        <f>IF(N(G232)&gt;0,L232/G232,0)</f>
        <v/>
      </c>
      <c r="R232">
        <f>IF(N(G232)&gt;0,N(I232)/G232,0)</f>
        <v/>
      </c>
      <c r="S232">
        <f>IF(OR($E232="",$F232=""),0,MAX(0,MIN($F232,DATE(Dashboard!$C$4,2,1))-MAX($E232,DATE(Dashboard!$C$4,1,1))))</f>
        <v/>
      </c>
      <c r="T232">
        <f>IF(OR($E232="",$F232=""),0,MAX(0,MIN($F232,DATE(Dashboard!$C$4,3,1))-MAX($E232,DATE(Dashboard!$C$4,2,1))))</f>
        <v/>
      </c>
      <c r="U232">
        <f>IF(OR($E232="",$F232=""),0,MAX(0,MIN($F232,DATE(Dashboard!$C$4,4,1))-MAX($E232,DATE(Dashboard!$C$4,3,1))))</f>
        <v/>
      </c>
      <c r="V232">
        <f>IF(OR($E232="",$F232=""),0,MAX(0,MIN($F232,DATE(Dashboard!$C$4,5,1))-MAX($E232,DATE(Dashboard!$C$4,4,1))))</f>
        <v/>
      </c>
      <c r="W232">
        <f>IF(OR($E232="",$F232=""),0,MAX(0,MIN($F232,DATE(Dashboard!$C$4,6,1))-MAX($E232,DATE(Dashboard!$C$4,5,1))))</f>
        <v/>
      </c>
      <c r="X232">
        <f>IF(OR($E232="",$F232=""),0,MAX(0,MIN($F232,DATE(Dashboard!$C$4,7,1))-MAX($E232,DATE(Dashboard!$C$4,6,1))))</f>
        <v/>
      </c>
      <c r="Y232">
        <f>IF(OR($E232="",$F232=""),0,MAX(0,MIN($F232,DATE(Dashboard!$C$4,8,1))-MAX($E232,DATE(Dashboard!$C$4,7,1))))</f>
        <v/>
      </c>
      <c r="Z232">
        <f>IF(OR($E232="",$F232=""),0,MAX(0,MIN($F232,DATE(Dashboard!$C$4,9,1))-MAX($E232,DATE(Dashboard!$C$4,8,1))))</f>
        <v/>
      </c>
      <c r="AA232">
        <f>IF(OR($E232="",$F232=""),0,MAX(0,MIN($F232,DATE(Dashboard!$C$4,10,1))-MAX($E232,DATE(Dashboard!$C$4,9,1))))</f>
        <v/>
      </c>
      <c r="AB232">
        <f>IF(OR($E232="",$F232=""),0,MAX(0,MIN($F232,DATE(Dashboard!$C$4,11,1))-MAX($E232,DATE(Dashboard!$C$4,10,1))))</f>
        <v/>
      </c>
      <c r="AC232">
        <f>IF(OR($E232="",$F232=""),0,MAX(0,MIN($F232,DATE(Dashboard!$C$4,12,1))-MAX($E232,DATE(Dashboard!$C$4,11,1))))</f>
        <v/>
      </c>
      <c r="AD232">
        <f>IF(OR($E232="",$F232=""),0,MAX(0,MIN($F232,DATE(Dashboard!$C$4,13,1))-MAX($E232,DATE(Dashboard!$C$4,12,1))))</f>
        <v/>
      </c>
      <c r="AE232">
        <f>SUM(S232:AD232)</f>
        <v/>
      </c>
      <c r="AF232">
        <f>Q232*AE232</f>
        <v/>
      </c>
      <c r="AG232">
        <f>R232*AE232</f>
        <v/>
      </c>
      <c r="AH232">
        <f>SUMPRODUCT(S232:AD232,--(COLUMN(S232:AD232)-COLUMN(S232)+1&lt;=Dashboard!$N$1))</f>
        <v/>
      </c>
      <c r="AI232">
        <f>IF(OR(E232="",E232&lt;TODAY()),"",E232+ROW()/100000)</f>
        <v/>
      </c>
      <c r="AJ232">
        <f>IF(OR(F232="",F232&lt;TODAY()),"",F232+ROW()/100000)</f>
        <v/>
      </c>
    </row>
    <row r="233">
      <c r="A233" s="1" t="n"/>
      <c r="B233" s="35" t="n"/>
      <c r="C233" s="35" t="n"/>
      <c r="D233" s="35" t="n"/>
      <c r="E233" s="36" t="n"/>
      <c r="F233" s="36" t="n"/>
      <c r="G233" s="18">
        <f>IF(OR(E233="",F233=""),"",F233-E233)</f>
        <v/>
      </c>
      <c r="H233" s="37" t="n"/>
      <c r="I233" s="38" t="n"/>
      <c r="J233" s="38" t="n"/>
      <c r="K233" s="38" t="n"/>
      <c r="L233" s="31">
        <f>IF(E233="","",N(I233)+N(J233)-N(K233))</f>
        <v/>
      </c>
      <c r="M233" s="39" t="n"/>
      <c r="N233" s="27">
        <f>IF(E233="","",IF(TODAY()&lt;E233,"Upcoming",IF(TODAY()&lt;F233,"Staying now",IF(M233="Yes","Checked out","Payout not received"))))</f>
        <v/>
      </c>
      <c r="O233" s="35" t="n"/>
      <c r="P233" s="1" t="n"/>
      <c r="Q233">
        <f>IF(N(G233)&gt;0,L233/G233,0)</f>
        <v/>
      </c>
      <c r="R233">
        <f>IF(N(G233)&gt;0,N(I233)/G233,0)</f>
        <v/>
      </c>
      <c r="S233">
        <f>IF(OR($E233="",$F233=""),0,MAX(0,MIN($F233,DATE(Dashboard!$C$4,2,1))-MAX($E233,DATE(Dashboard!$C$4,1,1))))</f>
        <v/>
      </c>
      <c r="T233">
        <f>IF(OR($E233="",$F233=""),0,MAX(0,MIN($F233,DATE(Dashboard!$C$4,3,1))-MAX($E233,DATE(Dashboard!$C$4,2,1))))</f>
        <v/>
      </c>
      <c r="U233">
        <f>IF(OR($E233="",$F233=""),0,MAX(0,MIN($F233,DATE(Dashboard!$C$4,4,1))-MAX($E233,DATE(Dashboard!$C$4,3,1))))</f>
        <v/>
      </c>
      <c r="V233">
        <f>IF(OR($E233="",$F233=""),0,MAX(0,MIN($F233,DATE(Dashboard!$C$4,5,1))-MAX($E233,DATE(Dashboard!$C$4,4,1))))</f>
        <v/>
      </c>
      <c r="W233">
        <f>IF(OR($E233="",$F233=""),0,MAX(0,MIN($F233,DATE(Dashboard!$C$4,6,1))-MAX($E233,DATE(Dashboard!$C$4,5,1))))</f>
        <v/>
      </c>
      <c r="X233">
        <f>IF(OR($E233="",$F233=""),0,MAX(0,MIN($F233,DATE(Dashboard!$C$4,7,1))-MAX($E233,DATE(Dashboard!$C$4,6,1))))</f>
        <v/>
      </c>
      <c r="Y233">
        <f>IF(OR($E233="",$F233=""),0,MAX(0,MIN($F233,DATE(Dashboard!$C$4,8,1))-MAX($E233,DATE(Dashboard!$C$4,7,1))))</f>
        <v/>
      </c>
      <c r="Z233">
        <f>IF(OR($E233="",$F233=""),0,MAX(0,MIN($F233,DATE(Dashboard!$C$4,9,1))-MAX($E233,DATE(Dashboard!$C$4,8,1))))</f>
        <v/>
      </c>
      <c r="AA233">
        <f>IF(OR($E233="",$F233=""),0,MAX(0,MIN($F233,DATE(Dashboard!$C$4,10,1))-MAX($E233,DATE(Dashboard!$C$4,9,1))))</f>
        <v/>
      </c>
      <c r="AB233">
        <f>IF(OR($E233="",$F233=""),0,MAX(0,MIN($F233,DATE(Dashboard!$C$4,11,1))-MAX($E233,DATE(Dashboard!$C$4,10,1))))</f>
        <v/>
      </c>
      <c r="AC233">
        <f>IF(OR($E233="",$F233=""),0,MAX(0,MIN($F233,DATE(Dashboard!$C$4,12,1))-MAX($E233,DATE(Dashboard!$C$4,11,1))))</f>
        <v/>
      </c>
      <c r="AD233">
        <f>IF(OR($E233="",$F233=""),0,MAX(0,MIN($F233,DATE(Dashboard!$C$4,13,1))-MAX($E233,DATE(Dashboard!$C$4,12,1))))</f>
        <v/>
      </c>
      <c r="AE233">
        <f>SUM(S233:AD233)</f>
        <v/>
      </c>
      <c r="AF233">
        <f>Q233*AE233</f>
        <v/>
      </c>
      <c r="AG233">
        <f>R233*AE233</f>
        <v/>
      </c>
      <c r="AH233">
        <f>SUMPRODUCT(S233:AD233,--(COLUMN(S233:AD233)-COLUMN(S233)+1&lt;=Dashboard!$N$1))</f>
        <v/>
      </c>
      <c r="AI233">
        <f>IF(OR(E233="",E233&lt;TODAY()),"",E233+ROW()/100000)</f>
        <v/>
      </c>
      <c r="AJ233">
        <f>IF(OR(F233="",F233&lt;TODAY()),"",F233+ROW()/100000)</f>
        <v/>
      </c>
    </row>
    <row r="234">
      <c r="A234" s="1" t="n"/>
      <c r="B234" s="35" t="n"/>
      <c r="C234" s="35" t="n"/>
      <c r="D234" s="35" t="n"/>
      <c r="E234" s="36" t="n"/>
      <c r="F234" s="36" t="n"/>
      <c r="G234" s="18">
        <f>IF(OR(E234="",F234=""),"",F234-E234)</f>
        <v/>
      </c>
      <c r="H234" s="37" t="n"/>
      <c r="I234" s="38" t="n"/>
      <c r="J234" s="38" t="n"/>
      <c r="K234" s="38" t="n"/>
      <c r="L234" s="31">
        <f>IF(E234="","",N(I234)+N(J234)-N(K234))</f>
        <v/>
      </c>
      <c r="M234" s="39" t="n"/>
      <c r="N234" s="27">
        <f>IF(E234="","",IF(TODAY()&lt;E234,"Upcoming",IF(TODAY()&lt;F234,"Staying now",IF(M234="Yes","Checked out","Payout not received"))))</f>
        <v/>
      </c>
      <c r="O234" s="35" t="n"/>
      <c r="P234" s="1" t="n"/>
      <c r="Q234">
        <f>IF(N(G234)&gt;0,L234/G234,0)</f>
        <v/>
      </c>
      <c r="R234">
        <f>IF(N(G234)&gt;0,N(I234)/G234,0)</f>
        <v/>
      </c>
      <c r="S234">
        <f>IF(OR($E234="",$F234=""),0,MAX(0,MIN($F234,DATE(Dashboard!$C$4,2,1))-MAX($E234,DATE(Dashboard!$C$4,1,1))))</f>
        <v/>
      </c>
      <c r="T234">
        <f>IF(OR($E234="",$F234=""),0,MAX(0,MIN($F234,DATE(Dashboard!$C$4,3,1))-MAX($E234,DATE(Dashboard!$C$4,2,1))))</f>
        <v/>
      </c>
      <c r="U234">
        <f>IF(OR($E234="",$F234=""),0,MAX(0,MIN($F234,DATE(Dashboard!$C$4,4,1))-MAX($E234,DATE(Dashboard!$C$4,3,1))))</f>
        <v/>
      </c>
      <c r="V234">
        <f>IF(OR($E234="",$F234=""),0,MAX(0,MIN($F234,DATE(Dashboard!$C$4,5,1))-MAX($E234,DATE(Dashboard!$C$4,4,1))))</f>
        <v/>
      </c>
      <c r="W234">
        <f>IF(OR($E234="",$F234=""),0,MAX(0,MIN($F234,DATE(Dashboard!$C$4,6,1))-MAX($E234,DATE(Dashboard!$C$4,5,1))))</f>
        <v/>
      </c>
      <c r="X234">
        <f>IF(OR($E234="",$F234=""),0,MAX(0,MIN($F234,DATE(Dashboard!$C$4,7,1))-MAX($E234,DATE(Dashboard!$C$4,6,1))))</f>
        <v/>
      </c>
      <c r="Y234">
        <f>IF(OR($E234="",$F234=""),0,MAX(0,MIN($F234,DATE(Dashboard!$C$4,8,1))-MAX($E234,DATE(Dashboard!$C$4,7,1))))</f>
        <v/>
      </c>
      <c r="Z234">
        <f>IF(OR($E234="",$F234=""),0,MAX(0,MIN($F234,DATE(Dashboard!$C$4,9,1))-MAX($E234,DATE(Dashboard!$C$4,8,1))))</f>
        <v/>
      </c>
      <c r="AA234">
        <f>IF(OR($E234="",$F234=""),0,MAX(0,MIN($F234,DATE(Dashboard!$C$4,10,1))-MAX($E234,DATE(Dashboard!$C$4,9,1))))</f>
        <v/>
      </c>
      <c r="AB234">
        <f>IF(OR($E234="",$F234=""),0,MAX(0,MIN($F234,DATE(Dashboard!$C$4,11,1))-MAX($E234,DATE(Dashboard!$C$4,10,1))))</f>
        <v/>
      </c>
      <c r="AC234">
        <f>IF(OR($E234="",$F234=""),0,MAX(0,MIN($F234,DATE(Dashboard!$C$4,12,1))-MAX($E234,DATE(Dashboard!$C$4,11,1))))</f>
        <v/>
      </c>
      <c r="AD234">
        <f>IF(OR($E234="",$F234=""),0,MAX(0,MIN($F234,DATE(Dashboard!$C$4,13,1))-MAX($E234,DATE(Dashboard!$C$4,12,1))))</f>
        <v/>
      </c>
      <c r="AE234">
        <f>SUM(S234:AD234)</f>
        <v/>
      </c>
      <c r="AF234">
        <f>Q234*AE234</f>
        <v/>
      </c>
      <c r="AG234">
        <f>R234*AE234</f>
        <v/>
      </c>
      <c r="AH234">
        <f>SUMPRODUCT(S234:AD234,--(COLUMN(S234:AD234)-COLUMN(S234)+1&lt;=Dashboard!$N$1))</f>
        <v/>
      </c>
      <c r="AI234">
        <f>IF(OR(E234="",E234&lt;TODAY()),"",E234+ROW()/100000)</f>
        <v/>
      </c>
      <c r="AJ234">
        <f>IF(OR(F234="",F234&lt;TODAY()),"",F234+ROW()/100000)</f>
        <v/>
      </c>
    </row>
    <row r="235">
      <c r="A235" s="1" t="n"/>
      <c r="B235" s="35" t="n"/>
      <c r="C235" s="35" t="n"/>
      <c r="D235" s="35" t="n"/>
      <c r="E235" s="36" t="n"/>
      <c r="F235" s="36" t="n"/>
      <c r="G235" s="18">
        <f>IF(OR(E235="",F235=""),"",F235-E235)</f>
        <v/>
      </c>
      <c r="H235" s="37" t="n"/>
      <c r="I235" s="38" t="n"/>
      <c r="J235" s="38" t="n"/>
      <c r="K235" s="38" t="n"/>
      <c r="L235" s="31">
        <f>IF(E235="","",N(I235)+N(J235)-N(K235))</f>
        <v/>
      </c>
      <c r="M235" s="39" t="n"/>
      <c r="N235" s="27">
        <f>IF(E235="","",IF(TODAY()&lt;E235,"Upcoming",IF(TODAY()&lt;F235,"Staying now",IF(M235="Yes","Checked out","Payout not received"))))</f>
        <v/>
      </c>
      <c r="O235" s="35" t="n"/>
      <c r="P235" s="1" t="n"/>
      <c r="Q235">
        <f>IF(N(G235)&gt;0,L235/G235,0)</f>
        <v/>
      </c>
      <c r="R235">
        <f>IF(N(G235)&gt;0,N(I235)/G235,0)</f>
        <v/>
      </c>
      <c r="S235">
        <f>IF(OR($E235="",$F235=""),0,MAX(0,MIN($F235,DATE(Dashboard!$C$4,2,1))-MAX($E235,DATE(Dashboard!$C$4,1,1))))</f>
        <v/>
      </c>
      <c r="T235">
        <f>IF(OR($E235="",$F235=""),0,MAX(0,MIN($F235,DATE(Dashboard!$C$4,3,1))-MAX($E235,DATE(Dashboard!$C$4,2,1))))</f>
        <v/>
      </c>
      <c r="U235">
        <f>IF(OR($E235="",$F235=""),0,MAX(0,MIN($F235,DATE(Dashboard!$C$4,4,1))-MAX($E235,DATE(Dashboard!$C$4,3,1))))</f>
        <v/>
      </c>
      <c r="V235">
        <f>IF(OR($E235="",$F235=""),0,MAX(0,MIN($F235,DATE(Dashboard!$C$4,5,1))-MAX($E235,DATE(Dashboard!$C$4,4,1))))</f>
        <v/>
      </c>
      <c r="W235">
        <f>IF(OR($E235="",$F235=""),0,MAX(0,MIN($F235,DATE(Dashboard!$C$4,6,1))-MAX($E235,DATE(Dashboard!$C$4,5,1))))</f>
        <v/>
      </c>
      <c r="X235">
        <f>IF(OR($E235="",$F235=""),0,MAX(0,MIN($F235,DATE(Dashboard!$C$4,7,1))-MAX($E235,DATE(Dashboard!$C$4,6,1))))</f>
        <v/>
      </c>
      <c r="Y235">
        <f>IF(OR($E235="",$F235=""),0,MAX(0,MIN($F235,DATE(Dashboard!$C$4,8,1))-MAX($E235,DATE(Dashboard!$C$4,7,1))))</f>
        <v/>
      </c>
      <c r="Z235">
        <f>IF(OR($E235="",$F235=""),0,MAX(0,MIN($F235,DATE(Dashboard!$C$4,9,1))-MAX($E235,DATE(Dashboard!$C$4,8,1))))</f>
        <v/>
      </c>
      <c r="AA235">
        <f>IF(OR($E235="",$F235=""),0,MAX(0,MIN($F235,DATE(Dashboard!$C$4,10,1))-MAX($E235,DATE(Dashboard!$C$4,9,1))))</f>
        <v/>
      </c>
      <c r="AB235">
        <f>IF(OR($E235="",$F235=""),0,MAX(0,MIN($F235,DATE(Dashboard!$C$4,11,1))-MAX($E235,DATE(Dashboard!$C$4,10,1))))</f>
        <v/>
      </c>
      <c r="AC235">
        <f>IF(OR($E235="",$F235=""),0,MAX(0,MIN($F235,DATE(Dashboard!$C$4,12,1))-MAX($E235,DATE(Dashboard!$C$4,11,1))))</f>
        <v/>
      </c>
      <c r="AD235">
        <f>IF(OR($E235="",$F235=""),0,MAX(0,MIN($F235,DATE(Dashboard!$C$4,13,1))-MAX($E235,DATE(Dashboard!$C$4,12,1))))</f>
        <v/>
      </c>
      <c r="AE235">
        <f>SUM(S235:AD235)</f>
        <v/>
      </c>
      <c r="AF235">
        <f>Q235*AE235</f>
        <v/>
      </c>
      <c r="AG235">
        <f>R235*AE235</f>
        <v/>
      </c>
      <c r="AH235">
        <f>SUMPRODUCT(S235:AD235,--(COLUMN(S235:AD235)-COLUMN(S235)+1&lt;=Dashboard!$N$1))</f>
        <v/>
      </c>
      <c r="AI235">
        <f>IF(OR(E235="",E235&lt;TODAY()),"",E235+ROW()/100000)</f>
        <v/>
      </c>
      <c r="AJ235">
        <f>IF(OR(F235="",F235&lt;TODAY()),"",F235+ROW()/100000)</f>
        <v/>
      </c>
    </row>
    <row r="236">
      <c r="A236" s="1" t="n"/>
      <c r="B236" s="35" t="n"/>
      <c r="C236" s="35" t="n"/>
      <c r="D236" s="35" t="n"/>
      <c r="E236" s="36" t="n"/>
      <c r="F236" s="36" t="n"/>
      <c r="G236" s="18">
        <f>IF(OR(E236="",F236=""),"",F236-E236)</f>
        <v/>
      </c>
      <c r="H236" s="37" t="n"/>
      <c r="I236" s="38" t="n"/>
      <c r="J236" s="38" t="n"/>
      <c r="K236" s="38" t="n"/>
      <c r="L236" s="31">
        <f>IF(E236="","",N(I236)+N(J236)-N(K236))</f>
        <v/>
      </c>
      <c r="M236" s="39" t="n"/>
      <c r="N236" s="27">
        <f>IF(E236="","",IF(TODAY()&lt;E236,"Upcoming",IF(TODAY()&lt;F236,"Staying now",IF(M236="Yes","Checked out","Payout not received"))))</f>
        <v/>
      </c>
      <c r="O236" s="35" t="n"/>
      <c r="P236" s="1" t="n"/>
      <c r="Q236">
        <f>IF(N(G236)&gt;0,L236/G236,0)</f>
        <v/>
      </c>
      <c r="R236">
        <f>IF(N(G236)&gt;0,N(I236)/G236,0)</f>
        <v/>
      </c>
      <c r="S236">
        <f>IF(OR($E236="",$F236=""),0,MAX(0,MIN($F236,DATE(Dashboard!$C$4,2,1))-MAX($E236,DATE(Dashboard!$C$4,1,1))))</f>
        <v/>
      </c>
      <c r="T236">
        <f>IF(OR($E236="",$F236=""),0,MAX(0,MIN($F236,DATE(Dashboard!$C$4,3,1))-MAX($E236,DATE(Dashboard!$C$4,2,1))))</f>
        <v/>
      </c>
      <c r="U236">
        <f>IF(OR($E236="",$F236=""),0,MAX(0,MIN($F236,DATE(Dashboard!$C$4,4,1))-MAX($E236,DATE(Dashboard!$C$4,3,1))))</f>
        <v/>
      </c>
      <c r="V236">
        <f>IF(OR($E236="",$F236=""),0,MAX(0,MIN($F236,DATE(Dashboard!$C$4,5,1))-MAX($E236,DATE(Dashboard!$C$4,4,1))))</f>
        <v/>
      </c>
      <c r="W236">
        <f>IF(OR($E236="",$F236=""),0,MAX(0,MIN($F236,DATE(Dashboard!$C$4,6,1))-MAX($E236,DATE(Dashboard!$C$4,5,1))))</f>
        <v/>
      </c>
      <c r="X236">
        <f>IF(OR($E236="",$F236=""),0,MAX(0,MIN($F236,DATE(Dashboard!$C$4,7,1))-MAX($E236,DATE(Dashboard!$C$4,6,1))))</f>
        <v/>
      </c>
      <c r="Y236">
        <f>IF(OR($E236="",$F236=""),0,MAX(0,MIN($F236,DATE(Dashboard!$C$4,8,1))-MAX($E236,DATE(Dashboard!$C$4,7,1))))</f>
        <v/>
      </c>
      <c r="Z236">
        <f>IF(OR($E236="",$F236=""),0,MAX(0,MIN($F236,DATE(Dashboard!$C$4,9,1))-MAX($E236,DATE(Dashboard!$C$4,8,1))))</f>
        <v/>
      </c>
      <c r="AA236">
        <f>IF(OR($E236="",$F236=""),0,MAX(0,MIN($F236,DATE(Dashboard!$C$4,10,1))-MAX($E236,DATE(Dashboard!$C$4,9,1))))</f>
        <v/>
      </c>
      <c r="AB236">
        <f>IF(OR($E236="",$F236=""),0,MAX(0,MIN($F236,DATE(Dashboard!$C$4,11,1))-MAX($E236,DATE(Dashboard!$C$4,10,1))))</f>
        <v/>
      </c>
      <c r="AC236">
        <f>IF(OR($E236="",$F236=""),0,MAX(0,MIN($F236,DATE(Dashboard!$C$4,12,1))-MAX($E236,DATE(Dashboard!$C$4,11,1))))</f>
        <v/>
      </c>
      <c r="AD236">
        <f>IF(OR($E236="",$F236=""),0,MAX(0,MIN($F236,DATE(Dashboard!$C$4,13,1))-MAX($E236,DATE(Dashboard!$C$4,12,1))))</f>
        <v/>
      </c>
      <c r="AE236">
        <f>SUM(S236:AD236)</f>
        <v/>
      </c>
      <c r="AF236">
        <f>Q236*AE236</f>
        <v/>
      </c>
      <c r="AG236">
        <f>R236*AE236</f>
        <v/>
      </c>
      <c r="AH236">
        <f>SUMPRODUCT(S236:AD236,--(COLUMN(S236:AD236)-COLUMN(S236)+1&lt;=Dashboard!$N$1))</f>
        <v/>
      </c>
      <c r="AI236">
        <f>IF(OR(E236="",E236&lt;TODAY()),"",E236+ROW()/100000)</f>
        <v/>
      </c>
      <c r="AJ236">
        <f>IF(OR(F236="",F236&lt;TODAY()),"",F236+ROW()/100000)</f>
        <v/>
      </c>
    </row>
    <row r="237">
      <c r="A237" s="1" t="n"/>
      <c r="B237" s="35" t="n"/>
      <c r="C237" s="35" t="n"/>
      <c r="D237" s="35" t="n"/>
      <c r="E237" s="36" t="n"/>
      <c r="F237" s="36" t="n"/>
      <c r="G237" s="18">
        <f>IF(OR(E237="",F237=""),"",F237-E237)</f>
        <v/>
      </c>
      <c r="H237" s="37" t="n"/>
      <c r="I237" s="38" t="n"/>
      <c r="J237" s="38" t="n"/>
      <c r="K237" s="38" t="n"/>
      <c r="L237" s="31">
        <f>IF(E237="","",N(I237)+N(J237)-N(K237))</f>
        <v/>
      </c>
      <c r="M237" s="39" t="n"/>
      <c r="N237" s="27">
        <f>IF(E237="","",IF(TODAY()&lt;E237,"Upcoming",IF(TODAY()&lt;F237,"Staying now",IF(M237="Yes","Checked out","Payout not received"))))</f>
        <v/>
      </c>
      <c r="O237" s="35" t="n"/>
      <c r="P237" s="1" t="n"/>
      <c r="Q237">
        <f>IF(N(G237)&gt;0,L237/G237,0)</f>
        <v/>
      </c>
      <c r="R237">
        <f>IF(N(G237)&gt;0,N(I237)/G237,0)</f>
        <v/>
      </c>
      <c r="S237">
        <f>IF(OR($E237="",$F237=""),0,MAX(0,MIN($F237,DATE(Dashboard!$C$4,2,1))-MAX($E237,DATE(Dashboard!$C$4,1,1))))</f>
        <v/>
      </c>
      <c r="T237">
        <f>IF(OR($E237="",$F237=""),0,MAX(0,MIN($F237,DATE(Dashboard!$C$4,3,1))-MAX($E237,DATE(Dashboard!$C$4,2,1))))</f>
        <v/>
      </c>
      <c r="U237">
        <f>IF(OR($E237="",$F237=""),0,MAX(0,MIN($F237,DATE(Dashboard!$C$4,4,1))-MAX($E237,DATE(Dashboard!$C$4,3,1))))</f>
        <v/>
      </c>
      <c r="V237">
        <f>IF(OR($E237="",$F237=""),0,MAX(0,MIN($F237,DATE(Dashboard!$C$4,5,1))-MAX($E237,DATE(Dashboard!$C$4,4,1))))</f>
        <v/>
      </c>
      <c r="W237">
        <f>IF(OR($E237="",$F237=""),0,MAX(0,MIN($F237,DATE(Dashboard!$C$4,6,1))-MAX($E237,DATE(Dashboard!$C$4,5,1))))</f>
        <v/>
      </c>
      <c r="X237">
        <f>IF(OR($E237="",$F237=""),0,MAX(0,MIN($F237,DATE(Dashboard!$C$4,7,1))-MAX($E237,DATE(Dashboard!$C$4,6,1))))</f>
        <v/>
      </c>
      <c r="Y237">
        <f>IF(OR($E237="",$F237=""),0,MAX(0,MIN($F237,DATE(Dashboard!$C$4,8,1))-MAX($E237,DATE(Dashboard!$C$4,7,1))))</f>
        <v/>
      </c>
      <c r="Z237">
        <f>IF(OR($E237="",$F237=""),0,MAX(0,MIN($F237,DATE(Dashboard!$C$4,9,1))-MAX($E237,DATE(Dashboard!$C$4,8,1))))</f>
        <v/>
      </c>
      <c r="AA237">
        <f>IF(OR($E237="",$F237=""),0,MAX(0,MIN($F237,DATE(Dashboard!$C$4,10,1))-MAX($E237,DATE(Dashboard!$C$4,9,1))))</f>
        <v/>
      </c>
      <c r="AB237">
        <f>IF(OR($E237="",$F237=""),0,MAX(0,MIN($F237,DATE(Dashboard!$C$4,11,1))-MAX($E237,DATE(Dashboard!$C$4,10,1))))</f>
        <v/>
      </c>
      <c r="AC237">
        <f>IF(OR($E237="",$F237=""),0,MAX(0,MIN($F237,DATE(Dashboard!$C$4,12,1))-MAX($E237,DATE(Dashboard!$C$4,11,1))))</f>
        <v/>
      </c>
      <c r="AD237">
        <f>IF(OR($E237="",$F237=""),0,MAX(0,MIN($F237,DATE(Dashboard!$C$4,13,1))-MAX($E237,DATE(Dashboard!$C$4,12,1))))</f>
        <v/>
      </c>
      <c r="AE237">
        <f>SUM(S237:AD237)</f>
        <v/>
      </c>
      <c r="AF237">
        <f>Q237*AE237</f>
        <v/>
      </c>
      <c r="AG237">
        <f>R237*AE237</f>
        <v/>
      </c>
      <c r="AH237">
        <f>SUMPRODUCT(S237:AD237,--(COLUMN(S237:AD237)-COLUMN(S237)+1&lt;=Dashboard!$N$1))</f>
        <v/>
      </c>
      <c r="AI237">
        <f>IF(OR(E237="",E237&lt;TODAY()),"",E237+ROW()/100000)</f>
        <v/>
      </c>
      <c r="AJ237">
        <f>IF(OR(F237="",F237&lt;TODAY()),"",F237+ROW()/100000)</f>
        <v/>
      </c>
    </row>
    <row r="238">
      <c r="A238" s="1" t="n"/>
      <c r="B238" s="35" t="n"/>
      <c r="C238" s="35" t="n"/>
      <c r="D238" s="35" t="n"/>
      <c r="E238" s="36" t="n"/>
      <c r="F238" s="36" t="n"/>
      <c r="G238" s="18">
        <f>IF(OR(E238="",F238=""),"",F238-E238)</f>
        <v/>
      </c>
      <c r="H238" s="37" t="n"/>
      <c r="I238" s="38" t="n"/>
      <c r="J238" s="38" t="n"/>
      <c r="K238" s="38" t="n"/>
      <c r="L238" s="31">
        <f>IF(E238="","",N(I238)+N(J238)-N(K238))</f>
        <v/>
      </c>
      <c r="M238" s="39" t="n"/>
      <c r="N238" s="27">
        <f>IF(E238="","",IF(TODAY()&lt;E238,"Upcoming",IF(TODAY()&lt;F238,"Staying now",IF(M238="Yes","Checked out","Payout not received"))))</f>
        <v/>
      </c>
      <c r="O238" s="35" t="n"/>
      <c r="P238" s="1" t="n"/>
      <c r="Q238">
        <f>IF(N(G238)&gt;0,L238/G238,0)</f>
        <v/>
      </c>
      <c r="R238">
        <f>IF(N(G238)&gt;0,N(I238)/G238,0)</f>
        <v/>
      </c>
      <c r="S238">
        <f>IF(OR($E238="",$F238=""),0,MAX(0,MIN($F238,DATE(Dashboard!$C$4,2,1))-MAX($E238,DATE(Dashboard!$C$4,1,1))))</f>
        <v/>
      </c>
      <c r="T238">
        <f>IF(OR($E238="",$F238=""),0,MAX(0,MIN($F238,DATE(Dashboard!$C$4,3,1))-MAX($E238,DATE(Dashboard!$C$4,2,1))))</f>
        <v/>
      </c>
      <c r="U238">
        <f>IF(OR($E238="",$F238=""),0,MAX(0,MIN($F238,DATE(Dashboard!$C$4,4,1))-MAX($E238,DATE(Dashboard!$C$4,3,1))))</f>
        <v/>
      </c>
      <c r="V238">
        <f>IF(OR($E238="",$F238=""),0,MAX(0,MIN($F238,DATE(Dashboard!$C$4,5,1))-MAX($E238,DATE(Dashboard!$C$4,4,1))))</f>
        <v/>
      </c>
      <c r="W238">
        <f>IF(OR($E238="",$F238=""),0,MAX(0,MIN($F238,DATE(Dashboard!$C$4,6,1))-MAX($E238,DATE(Dashboard!$C$4,5,1))))</f>
        <v/>
      </c>
      <c r="X238">
        <f>IF(OR($E238="",$F238=""),0,MAX(0,MIN($F238,DATE(Dashboard!$C$4,7,1))-MAX($E238,DATE(Dashboard!$C$4,6,1))))</f>
        <v/>
      </c>
      <c r="Y238">
        <f>IF(OR($E238="",$F238=""),0,MAX(0,MIN($F238,DATE(Dashboard!$C$4,8,1))-MAX($E238,DATE(Dashboard!$C$4,7,1))))</f>
        <v/>
      </c>
      <c r="Z238">
        <f>IF(OR($E238="",$F238=""),0,MAX(0,MIN($F238,DATE(Dashboard!$C$4,9,1))-MAX($E238,DATE(Dashboard!$C$4,8,1))))</f>
        <v/>
      </c>
      <c r="AA238">
        <f>IF(OR($E238="",$F238=""),0,MAX(0,MIN($F238,DATE(Dashboard!$C$4,10,1))-MAX($E238,DATE(Dashboard!$C$4,9,1))))</f>
        <v/>
      </c>
      <c r="AB238">
        <f>IF(OR($E238="",$F238=""),0,MAX(0,MIN($F238,DATE(Dashboard!$C$4,11,1))-MAX($E238,DATE(Dashboard!$C$4,10,1))))</f>
        <v/>
      </c>
      <c r="AC238">
        <f>IF(OR($E238="",$F238=""),0,MAX(0,MIN($F238,DATE(Dashboard!$C$4,12,1))-MAX($E238,DATE(Dashboard!$C$4,11,1))))</f>
        <v/>
      </c>
      <c r="AD238">
        <f>IF(OR($E238="",$F238=""),0,MAX(0,MIN($F238,DATE(Dashboard!$C$4,13,1))-MAX($E238,DATE(Dashboard!$C$4,12,1))))</f>
        <v/>
      </c>
      <c r="AE238">
        <f>SUM(S238:AD238)</f>
        <v/>
      </c>
      <c r="AF238">
        <f>Q238*AE238</f>
        <v/>
      </c>
      <c r="AG238">
        <f>R238*AE238</f>
        <v/>
      </c>
      <c r="AH238">
        <f>SUMPRODUCT(S238:AD238,--(COLUMN(S238:AD238)-COLUMN(S238)+1&lt;=Dashboard!$N$1))</f>
        <v/>
      </c>
      <c r="AI238">
        <f>IF(OR(E238="",E238&lt;TODAY()),"",E238+ROW()/100000)</f>
        <v/>
      </c>
      <c r="AJ238">
        <f>IF(OR(F238="",F238&lt;TODAY()),"",F238+ROW()/100000)</f>
        <v/>
      </c>
    </row>
    <row r="239">
      <c r="A239" s="1" t="n"/>
      <c r="B239" s="35" t="n"/>
      <c r="C239" s="35" t="n"/>
      <c r="D239" s="35" t="n"/>
      <c r="E239" s="36" t="n"/>
      <c r="F239" s="36" t="n"/>
      <c r="G239" s="18">
        <f>IF(OR(E239="",F239=""),"",F239-E239)</f>
        <v/>
      </c>
      <c r="H239" s="37" t="n"/>
      <c r="I239" s="38" t="n"/>
      <c r="J239" s="38" t="n"/>
      <c r="K239" s="38" t="n"/>
      <c r="L239" s="31">
        <f>IF(E239="","",N(I239)+N(J239)-N(K239))</f>
        <v/>
      </c>
      <c r="M239" s="39" t="n"/>
      <c r="N239" s="27">
        <f>IF(E239="","",IF(TODAY()&lt;E239,"Upcoming",IF(TODAY()&lt;F239,"Staying now",IF(M239="Yes","Checked out","Payout not received"))))</f>
        <v/>
      </c>
      <c r="O239" s="35" t="n"/>
      <c r="P239" s="1" t="n"/>
      <c r="Q239">
        <f>IF(N(G239)&gt;0,L239/G239,0)</f>
        <v/>
      </c>
      <c r="R239">
        <f>IF(N(G239)&gt;0,N(I239)/G239,0)</f>
        <v/>
      </c>
      <c r="S239">
        <f>IF(OR($E239="",$F239=""),0,MAX(0,MIN($F239,DATE(Dashboard!$C$4,2,1))-MAX($E239,DATE(Dashboard!$C$4,1,1))))</f>
        <v/>
      </c>
      <c r="T239">
        <f>IF(OR($E239="",$F239=""),0,MAX(0,MIN($F239,DATE(Dashboard!$C$4,3,1))-MAX($E239,DATE(Dashboard!$C$4,2,1))))</f>
        <v/>
      </c>
      <c r="U239">
        <f>IF(OR($E239="",$F239=""),0,MAX(0,MIN($F239,DATE(Dashboard!$C$4,4,1))-MAX($E239,DATE(Dashboard!$C$4,3,1))))</f>
        <v/>
      </c>
      <c r="V239">
        <f>IF(OR($E239="",$F239=""),0,MAX(0,MIN($F239,DATE(Dashboard!$C$4,5,1))-MAX($E239,DATE(Dashboard!$C$4,4,1))))</f>
        <v/>
      </c>
      <c r="W239">
        <f>IF(OR($E239="",$F239=""),0,MAX(0,MIN($F239,DATE(Dashboard!$C$4,6,1))-MAX($E239,DATE(Dashboard!$C$4,5,1))))</f>
        <v/>
      </c>
      <c r="X239">
        <f>IF(OR($E239="",$F239=""),0,MAX(0,MIN($F239,DATE(Dashboard!$C$4,7,1))-MAX($E239,DATE(Dashboard!$C$4,6,1))))</f>
        <v/>
      </c>
      <c r="Y239">
        <f>IF(OR($E239="",$F239=""),0,MAX(0,MIN($F239,DATE(Dashboard!$C$4,8,1))-MAX($E239,DATE(Dashboard!$C$4,7,1))))</f>
        <v/>
      </c>
      <c r="Z239">
        <f>IF(OR($E239="",$F239=""),0,MAX(0,MIN($F239,DATE(Dashboard!$C$4,9,1))-MAX($E239,DATE(Dashboard!$C$4,8,1))))</f>
        <v/>
      </c>
      <c r="AA239">
        <f>IF(OR($E239="",$F239=""),0,MAX(0,MIN($F239,DATE(Dashboard!$C$4,10,1))-MAX($E239,DATE(Dashboard!$C$4,9,1))))</f>
        <v/>
      </c>
      <c r="AB239">
        <f>IF(OR($E239="",$F239=""),0,MAX(0,MIN($F239,DATE(Dashboard!$C$4,11,1))-MAX($E239,DATE(Dashboard!$C$4,10,1))))</f>
        <v/>
      </c>
      <c r="AC239">
        <f>IF(OR($E239="",$F239=""),0,MAX(0,MIN($F239,DATE(Dashboard!$C$4,12,1))-MAX($E239,DATE(Dashboard!$C$4,11,1))))</f>
        <v/>
      </c>
      <c r="AD239">
        <f>IF(OR($E239="",$F239=""),0,MAX(0,MIN($F239,DATE(Dashboard!$C$4,13,1))-MAX($E239,DATE(Dashboard!$C$4,12,1))))</f>
        <v/>
      </c>
      <c r="AE239">
        <f>SUM(S239:AD239)</f>
        <v/>
      </c>
      <c r="AF239">
        <f>Q239*AE239</f>
        <v/>
      </c>
      <c r="AG239">
        <f>R239*AE239</f>
        <v/>
      </c>
      <c r="AH239">
        <f>SUMPRODUCT(S239:AD239,--(COLUMN(S239:AD239)-COLUMN(S239)+1&lt;=Dashboard!$N$1))</f>
        <v/>
      </c>
      <c r="AI239">
        <f>IF(OR(E239="",E239&lt;TODAY()),"",E239+ROW()/100000)</f>
        <v/>
      </c>
      <c r="AJ239">
        <f>IF(OR(F239="",F239&lt;TODAY()),"",F239+ROW()/100000)</f>
        <v/>
      </c>
    </row>
    <row r="240">
      <c r="A240" s="1" t="n"/>
      <c r="B240" s="35" t="n"/>
      <c r="C240" s="35" t="n"/>
      <c r="D240" s="35" t="n"/>
      <c r="E240" s="36" t="n"/>
      <c r="F240" s="36" t="n"/>
      <c r="G240" s="18">
        <f>IF(OR(E240="",F240=""),"",F240-E240)</f>
        <v/>
      </c>
      <c r="H240" s="37" t="n"/>
      <c r="I240" s="38" t="n"/>
      <c r="J240" s="38" t="n"/>
      <c r="K240" s="38" t="n"/>
      <c r="L240" s="31">
        <f>IF(E240="","",N(I240)+N(J240)-N(K240))</f>
        <v/>
      </c>
      <c r="M240" s="39" t="n"/>
      <c r="N240" s="27">
        <f>IF(E240="","",IF(TODAY()&lt;E240,"Upcoming",IF(TODAY()&lt;F240,"Staying now",IF(M240="Yes","Checked out","Payout not received"))))</f>
        <v/>
      </c>
      <c r="O240" s="35" t="n"/>
      <c r="P240" s="1" t="n"/>
      <c r="Q240">
        <f>IF(N(G240)&gt;0,L240/G240,0)</f>
        <v/>
      </c>
      <c r="R240">
        <f>IF(N(G240)&gt;0,N(I240)/G240,0)</f>
        <v/>
      </c>
      <c r="S240">
        <f>IF(OR($E240="",$F240=""),0,MAX(0,MIN($F240,DATE(Dashboard!$C$4,2,1))-MAX($E240,DATE(Dashboard!$C$4,1,1))))</f>
        <v/>
      </c>
      <c r="T240">
        <f>IF(OR($E240="",$F240=""),0,MAX(0,MIN($F240,DATE(Dashboard!$C$4,3,1))-MAX($E240,DATE(Dashboard!$C$4,2,1))))</f>
        <v/>
      </c>
      <c r="U240">
        <f>IF(OR($E240="",$F240=""),0,MAX(0,MIN($F240,DATE(Dashboard!$C$4,4,1))-MAX($E240,DATE(Dashboard!$C$4,3,1))))</f>
        <v/>
      </c>
      <c r="V240">
        <f>IF(OR($E240="",$F240=""),0,MAX(0,MIN($F240,DATE(Dashboard!$C$4,5,1))-MAX($E240,DATE(Dashboard!$C$4,4,1))))</f>
        <v/>
      </c>
      <c r="W240">
        <f>IF(OR($E240="",$F240=""),0,MAX(0,MIN($F240,DATE(Dashboard!$C$4,6,1))-MAX($E240,DATE(Dashboard!$C$4,5,1))))</f>
        <v/>
      </c>
      <c r="X240">
        <f>IF(OR($E240="",$F240=""),0,MAX(0,MIN($F240,DATE(Dashboard!$C$4,7,1))-MAX($E240,DATE(Dashboard!$C$4,6,1))))</f>
        <v/>
      </c>
      <c r="Y240">
        <f>IF(OR($E240="",$F240=""),0,MAX(0,MIN($F240,DATE(Dashboard!$C$4,8,1))-MAX($E240,DATE(Dashboard!$C$4,7,1))))</f>
        <v/>
      </c>
      <c r="Z240">
        <f>IF(OR($E240="",$F240=""),0,MAX(0,MIN($F240,DATE(Dashboard!$C$4,9,1))-MAX($E240,DATE(Dashboard!$C$4,8,1))))</f>
        <v/>
      </c>
      <c r="AA240">
        <f>IF(OR($E240="",$F240=""),0,MAX(0,MIN($F240,DATE(Dashboard!$C$4,10,1))-MAX($E240,DATE(Dashboard!$C$4,9,1))))</f>
        <v/>
      </c>
      <c r="AB240">
        <f>IF(OR($E240="",$F240=""),0,MAX(0,MIN($F240,DATE(Dashboard!$C$4,11,1))-MAX($E240,DATE(Dashboard!$C$4,10,1))))</f>
        <v/>
      </c>
      <c r="AC240">
        <f>IF(OR($E240="",$F240=""),0,MAX(0,MIN($F240,DATE(Dashboard!$C$4,12,1))-MAX($E240,DATE(Dashboard!$C$4,11,1))))</f>
        <v/>
      </c>
      <c r="AD240">
        <f>IF(OR($E240="",$F240=""),0,MAX(0,MIN($F240,DATE(Dashboard!$C$4,13,1))-MAX($E240,DATE(Dashboard!$C$4,12,1))))</f>
        <v/>
      </c>
      <c r="AE240">
        <f>SUM(S240:AD240)</f>
        <v/>
      </c>
      <c r="AF240">
        <f>Q240*AE240</f>
        <v/>
      </c>
      <c r="AG240">
        <f>R240*AE240</f>
        <v/>
      </c>
      <c r="AH240">
        <f>SUMPRODUCT(S240:AD240,--(COLUMN(S240:AD240)-COLUMN(S240)+1&lt;=Dashboard!$N$1))</f>
        <v/>
      </c>
      <c r="AI240">
        <f>IF(OR(E240="",E240&lt;TODAY()),"",E240+ROW()/100000)</f>
        <v/>
      </c>
      <c r="AJ240">
        <f>IF(OR(F240="",F240&lt;TODAY()),"",F240+ROW()/100000)</f>
        <v/>
      </c>
    </row>
    <row r="241">
      <c r="A241" s="1" t="n"/>
      <c r="B241" s="35" t="n"/>
      <c r="C241" s="35" t="n"/>
      <c r="D241" s="35" t="n"/>
      <c r="E241" s="36" t="n"/>
      <c r="F241" s="36" t="n"/>
      <c r="G241" s="18">
        <f>IF(OR(E241="",F241=""),"",F241-E241)</f>
        <v/>
      </c>
      <c r="H241" s="37" t="n"/>
      <c r="I241" s="38" t="n"/>
      <c r="J241" s="38" t="n"/>
      <c r="K241" s="38" t="n"/>
      <c r="L241" s="31">
        <f>IF(E241="","",N(I241)+N(J241)-N(K241))</f>
        <v/>
      </c>
      <c r="M241" s="39" t="n"/>
      <c r="N241" s="27">
        <f>IF(E241="","",IF(TODAY()&lt;E241,"Upcoming",IF(TODAY()&lt;F241,"Staying now",IF(M241="Yes","Checked out","Payout not received"))))</f>
        <v/>
      </c>
      <c r="O241" s="35" t="n"/>
      <c r="P241" s="1" t="n"/>
      <c r="Q241">
        <f>IF(N(G241)&gt;0,L241/G241,0)</f>
        <v/>
      </c>
      <c r="R241">
        <f>IF(N(G241)&gt;0,N(I241)/G241,0)</f>
        <v/>
      </c>
      <c r="S241">
        <f>IF(OR($E241="",$F241=""),0,MAX(0,MIN($F241,DATE(Dashboard!$C$4,2,1))-MAX($E241,DATE(Dashboard!$C$4,1,1))))</f>
        <v/>
      </c>
      <c r="T241">
        <f>IF(OR($E241="",$F241=""),0,MAX(0,MIN($F241,DATE(Dashboard!$C$4,3,1))-MAX($E241,DATE(Dashboard!$C$4,2,1))))</f>
        <v/>
      </c>
      <c r="U241">
        <f>IF(OR($E241="",$F241=""),0,MAX(0,MIN($F241,DATE(Dashboard!$C$4,4,1))-MAX($E241,DATE(Dashboard!$C$4,3,1))))</f>
        <v/>
      </c>
      <c r="V241">
        <f>IF(OR($E241="",$F241=""),0,MAX(0,MIN($F241,DATE(Dashboard!$C$4,5,1))-MAX($E241,DATE(Dashboard!$C$4,4,1))))</f>
        <v/>
      </c>
      <c r="W241">
        <f>IF(OR($E241="",$F241=""),0,MAX(0,MIN($F241,DATE(Dashboard!$C$4,6,1))-MAX($E241,DATE(Dashboard!$C$4,5,1))))</f>
        <v/>
      </c>
      <c r="X241">
        <f>IF(OR($E241="",$F241=""),0,MAX(0,MIN($F241,DATE(Dashboard!$C$4,7,1))-MAX($E241,DATE(Dashboard!$C$4,6,1))))</f>
        <v/>
      </c>
      <c r="Y241">
        <f>IF(OR($E241="",$F241=""),0,MAX(0,MIN($F241,DATE(Dashboard!$C$4,8,1))-MAX($E241,DATE(Dashboard!$C$4,7,1))))</f>
        <v/>
      </c>
      <c r="Z241">
        <f>IF(OR($E241="",$F241=""),0,MAX(0,MIN($F241,DATE(Dashboard!$C$4,9,1))-MAX($E241,DATE(Dashboard!$C$4,8,1))))</f>
        <v/>
      </c>
      <c r="AA241">
        <f>IF(OR($E241="",$F241=""),0,MAX(0,MIN($F241,DATE(Dashboard!$C$4,10,1))-MAX($E241,DATE(Dashboard!$C$4,9,1))))</f>
        <v/>
      </c>
      <c r="AB241">
        <f>IF(OR($E241="",$F241=""),0,MAX(0,MIN($F241,DATE(Dashboard!$C$4,11,1))-MAX($E241,DATE(Dashboard!$C$4,10,1))))</f>
        <v/>
      </c>
      <c r="AC241">
        <f>IF(OR($E241="",$F241=""),0,MAX(0,MIN($F241,DATE(Dashboard!$C$4,12,1))-MAX($E241,DATE(Dashboard!$C$4,11,1))))</f>
        <v/>
      </c>
      <c r="AD241">
        <f>IF(OR($E241="",$F241=""),0,MAX(0,MIN($F241,DATE(Dashboard!$C$4,13,1))-MAX($E241,DATE(Dashboard!$C$4,12,1))))</f>
        <v/>
      </c>
      <c r="AE241">
        <f>SUM(S241:AD241)</f>
        <v/>
      </c>
      <c r="AF241">
        <f>Q241*AE241</f>
        <v/>
      </c>
      <c r="AG241">
        <f>R241*AE241</f>
        <v/>
      </c>
      <c r="AH241">
        <f>SUMPRODUCT(S241:AD241,--(COLUMN(S241:AD241)-COLUMN(S241)+1&lt;=Dashboard!$N$1))</f>
        <v/>
      </c>
      <c r="AI241">
        <f>IF(OR(E241="",E241&lt;TODAY()),"",E241+ROW()/100000)</f>
        <v/>
      </c>
      <c r="AJ241">
        <f>IF(OR(F241="",F241&lt;TODAY()),"",F241+ROW()/100000)</f>
        <v/>
      </c>
    </row>
    <row r="242">
      <c r="A242" s="1" t="n"/>
      <c r="B242" s="35" t="n"/>
      <c r="C242" s="35" t="n"/>
      <c r="D242" s="35" t="n"/>
      <c r="E242" s="36" t="n"/>
      <c r="F242" s="36" t="n"/>
      <c r="G242" s="18">
        <f>IF(OR(E242="",F242=""),"",F242-E242)</f>
        <v/>
      </c>
      <c r="H242" s="37" t="n"/>
      <c r="I242" s="38" t="n"/>
      <c r="J242" s="38" t="n"/>
      <c r="K242" s="38" t="n"/>
      <c r="L242" s="31">
        <f>IF(E242="","",N(I242)+N(J242)-N(K242))</f>
        <v/>
      </c>
      <c r="M242" s="39" t="n"/>
      <c r="N242" s="27">
        <f>IF(E242="","",IF(TODAY()&lt;E242,"Upcoming",IF(TODAY()&lt;F242,"Staying now",IF(M242="Yes","Checked out","Payout not received"))))</f>
        <v/>
      </c>
      <c r="O242" s="35" t="n"/>
      <c r="P242" s="1" t="n"/>
      <c r="Q242">
        <f>IF(N(G242)&gt;0,L242/G242,0)</f>
        <v/>
      </c>
      <c r="R242">
        <f>IF(N(G242)&gt;0,N(I242)/G242,0)</f>
        <v/>
      </c>
      <c r="S242">
        <f>IF(OR($E242="",$F242=""),0,MAX(0,MIN($F242,DATE(Dashboard!$C$4,2,1))-MAX($E242,DATE(Dashboard!$C$4,1,1))))</f>
        <v/>
      </c>
      <c r="T242">
        <f>IF(OR($E242="",$F242=""),0,MAX(0,MIN($F242,DATE(Dashboard!$C$4,3,1))-MAX($E242,DATE(Dashboard!$C$4,2,1))))</f>
        <v/>
      </c>
      <c r="U242">
        <f>IF(OR($E242="",$F242=""),0,MAX(0,MIN($F242,DATE(Dashboard!$C$4,4,1))-MAX($E242,DATE(Dashboard!$C$4,3,1))))</f>
        <v/>
      </c>
      <c r="V242">
        <f>IF(OR($E242="",$F242=""),0,MAX(0,MIN($F242,DATE(Dashboard!$C$4,5,1))-MAX($E242,DATE(Dashboard!$C$4,4,1))))</f>
        <v/>
      </c>
      <c r="W242">
        <f>IF(OR($E242="",$F242=""),0,MAX(0,MIN($F242,DATE(Dashboard!$C$4,6,1))-MAX($E242,DATE(Dashboard!$C$4,5,1))))</f>
        <v/>
      </c>
      <c r="X242">
        <f>IF(OR($E242="",$F242=""),0,MAX(0,MIN($F242,DATE(Dashboard!$C$4,7,1))-MAX($E242,DATE(Dashboard!$C$4,6,1))))</f>
        <v/>
      </c>
      <c r="Y242">
        <f>IF(OR($E242="",$F242=""),0,MAX(0,MIN($F242,DATE(Dashboard!$C$4,8,1))-MAX($E242,DATE(Dashboard!$C$4,7,1))))</f>
        <v/>
      </c>
      <c r="Z242">
        <f>IF(OR($E242="",$F242=""),0,MAX(0,MIN($F242,DATE(Dashboard!$C$4,9,1))-MAX($E242,DATE(Dashboard!$C$4,8,1))))</f>
        <v/>
      </c>
      <c r="AA242">
        <f>IF(OR($E242="",$F242=""),0,MAX(0,MIN($F242,DATE(Dashboard!$C$4,10,1))-MAX($E242,DATE(Dashboard!$C$4,9,1))))</f>
        <v/>
      </c>
      <c r="AB242">
        <f>IF(OR($E242="",$F242=""),0,MAX(0,MIN($F242,DATE(Dashboard!$C$4,11,1))-MAX($E242,DATE(Dashboard!$C$4,10,1))))</f>
        <v/>
      </c>
      <c r="AC242">
        <f>IF(OR($E242="",$F242=""),0,MAX(0,MIN($F242,DATE(Dashboard!$C$4,12,1))-MAX($E242,DATE(Dashboard!$C$4,11,1))))</f>
        <v/>
      </c>
      <c r="AD242">
        <f>IF(OR($E242="",$F242=""),0,MAX(0,MIN($F242,DATE(Dashboard!$C$4,13,1))-MAX($E242,DATE(Dashboard!$C$4,12,1))))</f>
        <v/>
      </c>
      <c r="AE242">
        <f>SUM(S242:AD242)</f>
        <v/>
      </c>
      <c r="AF242">
        <f>Q242*AE242</f>
        <v/>
      </c>
      <c r="AG242">
        <f>R242*AE242</f>
        <v/>
      </c>
      <c r="AH242">
        <f>SUMPRODUCT(S242:AD242,--(COLUMN(S242:AD242)-COLUMN(S242)+1&lt;=Dashboard!$N$1))</f>
        <v/>
      </c>
      <c r="AI242">
        <f>IF(OR(E242="",E242&lt;TODAY()),"",E242+ROW()/100000)</f>
        <v/>
      </c>
      <c r="AJ242">
        <f>IF(OR(F242="",F242&lt;TODAY()),"",F242+ROW()/100000)</f>
        <v/>
      </c>
    </row>
    <row r="243">
      <c r="A243" s="1" t="n"/>
      <c r="B243" s="35" t="n"/>
      <c r="C243" s="35" t="n"/>
      <c r="D243" s="35" t="n"/>
      <c r="E243" s="36" t="n"/>
      <c r="F243" s="36" t="n"/>
      <c r="G243" s="18">
        <f>IF(OR(E243="",F243=""),"",F243-E243)</f>
        <v/>
      </c>
      <c r="H243" s="37" t="n"/>
      <c r="I243" s="38" t="n"/>
      <c r="J243" s="38" t="n"/>
      <c r="K243" s="38" t="n"/>
      <c r="L243" s="31">
        <f>IF(E243="","",N(I243)+N(J243)-N(K243))</f>
        <v/>
      </c>
      <c r="M243" s="39" t="n"/>
      <c r="N243" s="27">
        <f>IF(E243="","",IF(TODAY()&lt;E243,"Upcoming",IF(TODAY()&lt;F243,"Staying now",IF(M243="Yes","Checked out","Payout not received"))))</f>
        <v/>
      </c>
      <c r="O243" s="35" t="n"/>
      <c r="P243" s="1" t="n"/>
      <c r="Q243">
        <f>IF(N(G243)&gt;0,L243/G243,0)</f>
        <v/>
      </c>
      <c r="R243">
        <f>IF(N(G243)&gt;0,N(I243)/G243,0)</f>
        <v/>
      </c>
      <c r="S243">
        <f>IF(OR($E243="",$F243=""),0,MAX(0,MIN($F243,DATE(Dashboard!$C$4,2,1))-MAX($E243,DATE(Dashboard!$C$4,1,1))))</f>
        <v/>
      </c>
      <c r="T243">
        <f>IF(OR($E243="",$F243=""),0,MAX(0,MIN($F243,DATE(Dashboard!$C$4,3,1))-MAX($E243,DATE(Dashboard!$C$4,2,1))))</f>
        <v/>
      </c>
      <c r="U243">
        <f>IF(OR($E243="",$F243=""),0,MAX(0,MIN($F243,DATE(Dashboard!$C$4,4,1))-MAX($E243,DATE(Dashboard!$C$4,3,1))))</f>
        <v/>
      </c>
      <c r="V243">
        <f>IF(OR($E243="",$F243=""),0,MAX(0,MIN($F243,DATE(Dashboard!$C$4,5,1))-MAX($E243,DATE(Dashboard!$C$4,4,1))))</f>
        <v/>
      </c>
      <c r="W243">
        <f>IF(OR($E243="",$F243=""),0,MAX(0,MIN($F243,DATE(Dashboard!$C$4,6,1))-MAX($E243,DATE(Dashboard!$C$4,5,1))))</f>
        <v/>
      </c>
      <c r="X243">
        <f>IF(OR($E243="",$F243=""),0,MAX(0,MIN($F243,DATE(Dashboard!$C$4,7,1))-MAX($E243,DATE(Dashboard!$C$4,6,1))))</f>
        <v/>
      </c>
      <c r="Y243">
        <f>IF(OR($E243="",$F243=""),0,MAX(0,MIN($F243,DATE(Dashboard!$C$4,8,1))-MAX($E243,DATE(Dashboard!$C$4,7,1))))</f>
        <v/>
      </c>
      <c r="Z243">
        <f>IF(OR($E243="",$F243=""),0,MAX(0,MIN($F243,DATE(Dashboard!$C$4,9,1))-MAX($E243,DATE(Dashboard!$C$4,8,1))))</f>
        <v/>
      </c>
      <c r="AA243">
        <f>IF(OR($E243="",$F243=""),0,MAX(0,MIN($F243,DATE(Dashboard!$C$4,10,1))-MAX($E243,DATE(Dashboard!$C$4,9,1))))</f>
        <v/>
      </c>
      <c r="AB243">
        <f>IF(OR($E243="",$F243=""),0,MAX(0,MIN($F243,DATE(Dashboard!$C$4,11,1))-MAX($E243,DATE(Dashboard!$C$4,10,1))))</f>
        <v/>
      </c>
      <c r="AC243">
        <f>IF(OR($E243="",$F243=""),0,MAX(0,MIN($F243,DATE(Dashboard!$C$4,12,1))-MAX($E243,DATE(Dashboard!$C$4,11,1))))</f>
        <v/>
      </c>
      <c r="AD243">
        <f>IF(OR($E243="",$F243=""),0,MAX(0,MIN($F243,DATE(Dashboard!$C$4,13,1))-MAX($E243,DATE(Dashboard!$C$4,12,1))))</f>
        <v/>
      </c>
      <c r="AE243">
        <f>SUM(S243:AD243)</f>
        <v/>
      </c>
      <c r="AF243">
        <f>Q243*AE243</f>
        <v/>
      </c>
      <c r="AG243">
        <f>R243*AE243</f>
        <v/>
      </c>
      <c r="AH243">
        <f>SUMPRODUCT(S243:AD243,--(COLUMN(S243:AD243)-COLUMN(S243)+1&lt;=Dashboard!$N$1))</f>
        <v/>
      </c>
      <c r="AI243">
        <f>IF(OR(E243="",E243&lt;TODAY()),"",E243+ROW()/100000)</f>
        <v/>
      </c>
      <c r="AJ243">
        <f>IF(OR(F243="",F243&lt;TODAY()),"",F243+ROW()/100000)</f>
        <v/>
      </c>
    </row>
    <row r="244">
      <c r="A244" s="1" t="n"/>
      <c r="B244" s="35" t="n"/>
      <c r="C244" s="35" t="n"/>
      <c r="D244" s="35" t="n"/>
      <c r="E244" s="36" t="n"/>
      <c r="F244" s="36" t="n"/>
      <c r="G244" s="18">
        <f>IF(OR(E244="",F244=""),"",F244-E244)</f>
        <v/>
      </c>
      <c r="H244" s="37" t="n"/>
      <c r="I244" s="38" t="n"/>
      <c r="J244" s="38" t="n"/>
      <c r="K244" s="38" t="n"/>
      <c r="L244" s="31">
        <f>IF(E244="","",N(I244)+N(J244)-N(K244))</f>
        <v/>
      </c>
      <c r="M244" s="39" t="n"/>
      <c r="N244" s="27">
        <f>IF(E244="","",IF(TODAY()&lt;E244,"Upcoming",IF(TODAY()&lt;F244,"Staying now",IF(M244="Yes","Checked out","Payout not received"))))</f>
        <v/>
      </c>
      <c r="O244" s="35" t="n"/>
      <c r="P244" s="1" t="n"/>
      <c r="Q244">
        <f>IF(N(G244)&gt;0,L244/G244,0)</f>
        <v/>
      </c>
      <c r="R244">
        <f>IF(N(G244)&gt;0,N(I244)/G244,0)</f>
        <v/>
      </c>
      <c r="S244">
        <f>IF(OR($E244="",$F244=""),0,MAX(0,MIN($F244,DATE(Dashboard!$C$4,2,1))-MAX($E244,DATE(Dashboard!$C$4,1,1))))</f>
        <v/>
      </c>
      <c r="T244">
        <f>IF(OR($E244="",$F244=""),0,MAX(0,MIN($F244,DATE(Dashboard!$C$4,3,1))-MAX($E244,DATE(Dashboard!$C$4,2,1))))</f>
        <v/>
      </c>
      <c r="U244">
        <f>IF(OR($E244="",$F244=""),0,MAX(0,MIN($F244,DATE(Dashboard!$C$4,4,1))-MAX($E244,DATE(Dashboard!$C$4,3,1))))</f>
        <v/>
      </c>
      <c r="V244">
        <f>IF(OR($E244="",$F244=""),0,MAX(0,MIN($F244,DATE(Dashboard!$C$4,5,1))-MAX($E244,DATE(Dashboard!$C$4,4,1))))</f>
        <v/>
      </c>
      <c r="W244">
        <f>IF(OR($E244="",$F244=""),0,MAX(0,MIN($F244,DATE(Dashboard!$C$4,6,1))-MAX($E244,DATE(Dashboard!$C$4,5,1))))</f>
        <v/>
      </c>
      <c r="X244">
        <f>IF(OR($E244="",$F244=""),0,MAX(0,MIN($F244,DATE(Dashboard!$C$4,7,1))-MAX($E244,DATE(Dashboard!$C$4,6,1))))</f>
        <v/>
      </c>
      <c r="Y244">
        <f>IF(OR($E244="",$F244=""),0,MAX(0,MIN($F244,DATE(Dashboard!$C$4,8,1))-MAX($E244,DATE(Dashboard!$C$4,7,1))))</f>
        <v/>
      </c>
      <c r="Z244">
        <f>IF(OR($E244="",$F244=""),0,MAX(0,MIN($F244,DATE(Dashboard!$C$4,9,1))-MAX($E244,DATE(Dashboard!$C$4,8,1))))</f>
        <v/>
      </c>
      <c r="AA244">
        <f>IF(OR($E244="",$F244=""),0,MAX(0,MIN($F244,DATE(Dashboard!$C$4,10,1))-MAX($E244,DATE(Dashboard!$C$4,9,1))))</f>
        <v/>
      </c>
      <c r="AB244">
        <f>IF(OR($E244="",$F244=""),0,MAX(0,MIN($F244,DATE(Dashboard!$C$4,11,1))-MAX($E244,DATE(Dashboard!$C$4,10,1))))</f>
        <v/>
      </c>
      <c r="AC244">
        <f>IF(OR($E244="",$F244=""),0,MAX(0,MIN($F244,DATE(Dashboard!$C$4,12,1))-MAX($E244,DATE(Dashboard!$C$4,11,1))))</f>
        <v/>
      </c>
      <c r="AD244">
        <f>IF(OR($E244="",$F244=""),0,MAX(0,MIN($F244,DATE(Dashboard!$C$4,13,1))-MAX($E244,DATE(Dashboard!$C$4,12,1))))</f>
        <v/>
      </c>
      <c r="AE244">
        <f>SUM(S244:AD244)</f>
        <v/>
      </c>
      <c r="AF244">
        <f>Q244*AE244</f>
        <v/>
      </c>
      <c r="AG244">
        <f>R244*AE244</f>
        <v/>
      </c>
      <c r="AH244">
        <f>SUMPRODUCT(S244:AD244,--(COLUMN(S244:AD244)-COLUMN(S244)+1&lt;=Dashboard!$N$1))</f>
        <v/>
      </c>
      <c r="AI244">
        <f>IF(OR(E244="",E244&lt;TODAY()),"",E244+ROW()/100000)</f>
        <v/>
      </c>
      <c r="AJ244">
        <f>IF(OR(F244="",F244&lt;TODAY()),"",F244+ROW()/100000)</f>
        <v/>
      </c>
    </row>
    <row r="245">
      <c r="A245" s="1" t="n"/>
      <c r="B245" s="35" t="n"/>
      <c r="C245" s="35" t="n"/>
      <c r="D245" s="35" t="n"/>
      <c r="E245" s="36" t="n"/>
      <c r="F245" s="36" t="n"/>
      <c r="G245" s="18">
        <f>IF(OR(E245="",F245=""),"",F245-E245)</f>
        <v/>
      </c>
      <c r="H245" s="37" t="n"/>
      <c r="I245" s="38" t="n"/>
      <c r="J245" s="38" t="n"/>
      <c r="K245" s="38" t="n"/>
      <c r="L245" s="31">
        <f>IF(E245="","",N(I245)+N(J245)-N(K245))</f>
        <v/>
      </c>
      <c r="M245" s="39" t="n"/>
      <c r="N245" s="27">
        <f>IF(E245="","",IF(TODAY()&lt;E245,"Upcoming",IF(TODAY()&lt;F245,"Staying now",IF(M245="Yes","Checked out","Payout not received"))))</f>
        <v/>
      </c>
      <c r="O245" s="35" t="n"/>
      <c r="P245" s="1" t="n"/>
      <c r="Q245">
        <f>IF(N(G245)&gt;0,L245/G245,0)</f>
        <v/>
      </c>
      <c r="R245">
        <f>IF(N(G245)&gt;0,N(I245)/G245,0)</f>
        <v/>
      </c>
      <c r="S245">
        <f>IF(OR($E245="",$F245=""),0,MAX(0,MIN($F245,DATE(Dashboard!$C$4,2,1))-MAX($E245,DATE(Dashboard!$C$4,1,1))))</f>
        <v/>
      </c>
      <c r="T245">
        <f>IF(OR($E245="",$F245=""),0,MAX(0,MIN($F245,DATE(Dashboard!$C$4,3,1))-MAX($E245,DATE(Dashboard!$C$4,2,1))))</f>
        <v/>
      </c>
      <c r="U245">
        <f>IF(OR($E245="",$F245=""),0,MAX(0,MIN($F245,DATE(Dashboard!$C$4,4,1))-MAX($E245,DATE(Dashboard!$C$4,3,1))))</f>
        <v/>
      </c>
      <c r="V245">
        <f>IF(OR($E245="",$F245=""),0,MAX(0,MIN($F245,DATE(Dashboard!$C$4,5,1))-MAX($E245,DATE(Dashboard!$C$4,4,1))))</f>
        <v/>
      </c>
      <c r="W245">
        <f>IF(OR($E245="",$F245=""),0,MAX(0,MIN($F245,DATE(Dashboard!$C$4,6,1))-MAX($E245,DATE(Dashboard!$C$4,5,1))))</f>
        <v/>
      </c>
      <c r="X245">
        <f>IF(OR($E245="",$F245=""),0,MAX(0,MIN($F245,DATE(Dashboard!$C$4,7,1))-MAX($E245,DATE(Dashboard!$C$4,6,1))))</f>
        <v/>
      </c>
      <c r="Y245">
        <f>IF(OR($E245="",$F245=""),0,MAX(0,MIN($F245,DATE(Dashboard!$C$4,8,1))-MAX($E245,DATE(Dashboard!$C$4,7,1))))</f>
        <v/>
      </c>
      <c r="Z245">
        <f>IF(OR($E245="",$F245=""),0,MAX(0,MIN($F245,DATE(Dashboard!$C$4,9,1))-MAX($E245,DATE(Dashboard!$C$4,8,1))))</f>
        <v/>
      </c>
      <c r="AA245">
        <f>IF(OR($E245="",$F245=""),0,MAX(0,MIN($F245,DATE(Dashboard!$C$4,10,1))-MAX($E245,DATE(Dashboard!$C$4,9,1))))</f>
        <v/>
      </c>
      <c r="AB245">
        <f>IF(OR($E245="",$F245=""),0,MAX(0,MIN($F245,DATE(Dashboard!$C$4,11,1))-MAX($E245,DATE(Dashboard!$C$4,10,1))))</f>
        <v/>
      </c>
      <c r="AC245">
        <f>IF(OR($E245="",$F245=""),0,MAX(0,MIN($F245,DATE(Dashboard!$C$4,12,1))-MAX($E245,DATE(Dashboard!$C$4,11,1))))</f>
        <v/>
      </c>
      <c r="AD245">
        <f>IF(OR($E245="",$F245=""),0,MAX(0,MIN($F245,DATE(Dashboard!$C$4,13,1))-MAX($E245,DATE(Dashboard!$C$4,12,1))))</f>
        <v/>
      </c>
      <c r="AE245">
        <f>SUM(S245:AD245)</f>
        <v/>
      </c>
      <c r="AF245">
        <f>Q245*AE245</f>
        <v/>
      </c>
      <c r="AG245">
        <f>R245*AE245</f>
        <v/>
      </c>
      <c r="AH245">
        <f>SUMPRODUCT(S245:AD245,--(COLUMN(S245:AD245)-COLUMN(S245)+1&lt;=Dashboard!$N$1))</f>
        <v/>
      </c>
      <c r="AI245">
        <f>IF(OR(E245="",E245&lt;TODAY()),"",E245+ROW()/100000)</f>
        <v/>
      </c>
      <c r="AJ245">
        <f>IF(OR(F245="",F245&lt;TODAY()),"",F245+ROW()/100000)</f>
        <v/>
      </c>
    </row>
    <row r="246">
      <c r="A246" s="1" t="n"/>
      <c r="B246" s="35" t="n"/>
      <c r="C246" s="35" t="n"/>
      <c r="D246" s="35" t="n"/>
      <c r="E246" s="36" t="n"/>
      <c r="F246" s="36" t="n"/>
      <c r="G246" s="18">
        <f>IF(OR(E246="",F246=""),"",F246-E246)</f>
        <v/>
      </c>
      <c r="H246" s="37" t="n"/>
      <c r="I246" s="38" t="n"/>
      <c r="J246" s="38" t="n"/>
      <c r="K246" s="38" t="n"/>
      <c r="L246" s="31">
        <f>IF(E246="","",N(I246)+N(J246)-N(K246))</f>
        <v/>
      </c>
      <c r="M246" s="39" t="n"/>
      <c r="N246" s="27">
        <f>IF(E246="","",IF(TODAY()&lt;E246,"Upcoming",IF(TODAY()&lt;F246,"Staying now",IF(M246="Yes","Checked out","Payout not received"))))</f>
        <v/>
      </c>
      <c r="O246" s="35" t="n"/>
      <c r="P246" s="1" t="n"/>
      <c r="Q246">
        <f>IF(N(G246)&gt;0,L246/G246,0)</f>
        <v/>
      </c>
      <c r="R246">
        <f>IF(N(G246)&gt;0,N(I246)/G246,0)</f>
        <v/>
      </c>
      <c r="S246">
        <f>IF(OR($E246="",$F246=""),0,MAX(0,MIN($F246,DATE(Dashboard!$C$4,2,1))-MAX($E246,DATE(Dashboard!$C$4,1,1))))</f>
        <v/>
      </c>
      <c r="T246">
        <f>IF(OR($E246="",$F246=""),0,MAX(0,MIN($F246,DATE(Dashboard!$C$4,3,1))-MAX($E246,DATE(Dashboard!$C$4,2,1))))</f>
        <v/>
      </c>
      <c r="U246">
        <f>IF(OR($E246="",$F246=""),0,MAX(0,MIN($F246,DATE(Dashboard!$C$4,4,1))-MAX($E246,DATE(Dashboard!$C$4,3,1))))</f>
        <v/>
      </c>
      <c r="V246">
        <f>IF(OR($E246="",$F246=""),0,MAX(0,MIN($F246,DATE(Dashboard!$C$4,5,1))-MAX($E246,DATE(Dashboard!$C$4,4,1))))</f>
        <v/>
      </c>
      <c r="W246">
        <f>IF(OR($E246="",$F246=""),0,MAX(0,MIN($F246,DATE(Dashboard!$C$4,6,1))-MAX($E246,DATE(Dashboard!$C$4,5,1))))</f>
        <v/>
      </c>
      <c r="X246">
        <f>IF(OR($E246="",$F246=""),0,MAX(0,MIN($F246,DATE(Dashboard!$C$4,7,1))-MAX($E246,DATE(Dashboard!$C$4,6,1))))</f>
        <v/>
      </c>
      <c r="Y246">
        <f>IF(OR($E246="",$F246=""),0,MAX(0,MIN($F246,DATE(Dashboard!$C$4,8,1))-MAX($E246,DATE(Dashboard!$C$4,7,1))))</f>
        <v/>
      </c>
      <c r="Z246">
        <f>IF(OR($E246="",$F246=""),0,MAX(0,MIN($F246,DATE(Dashboard!$C$4,9,1))-MAX($E246,DATE(Dashboard!$C$4,8,1))))</f>
        <v/>
      </c>
      <c r="AA246">
        <f>IF(OR($E246="",$F246=""),0,MAX(0,MIN($F246,DATE(Dashboard!$C$4,10,1))-MAX($E246,DATE(Dashboard!$C$4,9,1))))</f>
        <v/>
      </c>
      <c r="AB246">
        <f>IF(OR($E246="",$F246=""),0,MAX(0,MIN($F246,DATE(Dashboard!$C$4,11,1))-MAX($E246,DATE(Dashboard!$C$4,10,1))))</f>
        <v/>
      </c>
      <c r="AC246">
        <f>IF(OR($E246="",$F246=""),0,MAX(0,MIN($F246,DATE(Dashboard!$C$4,12,1))-MAX($E246,DATE(Dashboard!$C$4,11,1))))</f>
        <v/>
      </c>
      <c r="AD246">
        <f>IF(OR($E246="",$F246=""),0,MAX(0,MIN($F246,DATE(Dashboard!$C$4,13,1))-MAX($E246,DATE(Dashboard!$C$4,12,1))))</f>
        <v/>
      </c>
      <c r="AE246">
        <f>SUM(S246:AD246)</f>
        <v/>
      </c>
      <c r="AF246">
        <f>Q246*AE246</f>
        <v/>
      </c>
      <c r="AG246">
        <f>R246*AE246</f>
        <v/>
      </c>
      <c r="AH246">
        <f>SUMPRODUCT(S246:AD246,--(COLUMN(S246:AD246)-COLUMN(S246)+1&lt;=Dashboard!$N$1))</f>
        <v/>
      </c>
      <c r="AI246">
        <f>IF(OR(E246="",E246&lt;TODAY()),"",E246+ROW()/100000)</f>
        <v/>
      </c>
      <c r="AJ246">
        <f>IF(OR(F246="",F246&lt;TODAY()),"",F246+ROW()/100000)</f>
        <v/>
      </c>
    </row>
    <row r="247">
      <c r="A247" s="1" t="n"/>
      <c r="B247" s="35" t="n"/>
      <c r="C247" s="35" t="n"/>
      <c r="D247" s="35" t="n"/>
      <c r="E247" s="36" t="n"/>
      <c r="F247" s="36" t="n"/>
      <c r="G247" s="18">
        <f>IF(OR(E247="",F247=""),"",F247-E247)</f>
        <v/>
      </c>
      <c r="H247" s="37" t="n"/>
      <c r="I247" s="38" t="n"/>
      <c r="J247" s="38" t="n"/>
      <c r="K247" s="38" t="n"/>
      <c r="L247" s="31">
        <f>IF(E247="","",N(I247)+N(J247)-N(K247))</f>
        <v/>
      </c>
      <c r="M247" s="39" t="n"/>
      <c r="N247" s="27">
        <f>IF(E247="","",IF(TODAY()&lt;E247,"Upcoming",IF(TODAY()&lt;F247,"Staying now",IF(M247="Yes","Checked out","Payout not received"))))</f>
        <v/>
      </c>
      <c r="O247" s="35" t="n"/>
      <c r="P247" s="1" t="n"/>
      <c r="Q247">
        <f>IF(N(G247)&gt;0,L247/G247,0)</f>
        <v/>
      </c>
      <c r="R247">
        <f>IF(N(G247)&gt;0,N(I247)/G247,0)</f>
        <v/>
      </c>
      <c r="S247">
        <f>IF(OR($E247="",$F247=""),0,MAX(0,MIN($F247,DATE(Dashboard!$C$4,2,1))-MAX($E247,DATE(Dashboard!$C$4,1,1))))</f>
        <v/>
      </c>
      <c r="T247">
        <f>IF(OR($E247="",$F247=""),0,MAX(0,MIN($F247,DATE(Dashboard!$C$4,3,1))-MAX($E247,DATE(Dashboard!$C$4,2,1))))</f>
        <v/>
      </c>
      <c r="U247">
        <f>IF(OR($E247="",$F247=""),0,MAX(0,MIN($F247,DATE(Dashboard!$C$4,4,1))-MAX($E247,DATE(Dashboard!$C$4,3,1))))</f>
        <v/>
      </c>
      <c r="V247">
        <f>IF(OR($E247="",$F247=""),0,MAX(0,MIN($F247,DATE(Dashboard!$C$4,5,1))-MAX($E247,DATE(Dashboard!$C$4,4,1))))</f>
        <v/>
      </c>
      <c r="W247">
        <f>IF(OR($E247="",$F247=""),0,MAX(0,MIN($F247,DATE(Dashboard!$C$4,6,1))-MAX($E247,DATE(Dashboard!$C$4,5,1))))</f>
        <v/>
      </c>
      <c r="X247">
        <f>IF(OR($E247="",$F247=""),0,MAX(0,MIN($F247,DATE(Dashboard!$C$4,7,1))-MAX($E247,DATE(Dashboard!$C$4,6,1))))</f>
        <v/>
      </c>
      <c r="Y247">
        <f>IF(OR($E247="",$F247=""),0,MAX(0,MIN($F247,DATE(Dashboard!$C$4,8,1))-MAX($E247,DATE(Dashboard!$C$4,7,1))))</f>
        <v/>
      </c>
      <c r="Z247">
        <f>IF(OR($E247="",$F247=""),0,MAX(0,MIN($F247,DATE(Dashboard!$C$4,9,1))-MAX($E247,DATE(Dashboard!$C$4,8,1))))</f>
        <v/>
      </c>
      <c r="AA247">
        <f>IF(OR($E247="",$F247=""),0,MAX(0,MIN($F247,DATE(Dashboard!$C$4,10,1))-MAX($E247,DATE(Dashboard!$C$4,9,1))))</f>
        <v/>
      </c>
      <c r="AB247">
        <f>IF(OR($E247="",$F247=""),0,MAX(0,MIN($F247,DATE(Dashboard!$C$4,11,1))-MAX($E247,DATE(Dashboard!$C$4,10,1))))</f>
        <v/>
      </c>
      <c r="AC247">
        <f>IF(OR($E247="",$F247=""),0,MAX(0,MIN($F247,DATE(Dashboard!$C$4,12,1))-MAX($E247,DATE(Dashboard!$C$4,11,1))))</f>
        <v/>
      </c>
      <c r="AD247">
        <f>IF(OR($E247="",$F247=""),0,MAX(0,MIN($F247,DATE(Dashboard!$C$4,13,1))-MAX($E247,DATE(Dashboard!$C$4,12,1))))</f>
        <v/>
      </c>
      <c r="AE247">
        <f>SUM(S247:AD247)</f>
        <v/>
      </c>
      <c r="AF247">
        <f>Q247*AE247</f>
        <v/>
      </c>
      <c r="AG247">
        <f>R247*AE247</f>
        <v/>
      </c>
      <c r="AH247">
        <f>SUMPRODUCT(S247:AD247,--(COLUMN(S247:AD247)-COLUMN(S247)+1&lt;=Dashboard!$N$1))</f>
        <v/>
      </c>
      <c r="AI247">
        <f>IF(OR(E247="",E247&lt;TODAY()),"",E247+ROW()/100000)</f>
        <v/>
      </c>
      <c r="AJ247">
        <f>IF(OR(F247="",F247&lt;TODAY()),"",F247+ROW()/100000)</f>
        <v/>
      </c>
    </row>
    <row r="248">
      <c r="A248" s="1" t="n"/>
      <c r="B248" s="35" t="n"/>
      <c r="C248" s="35" t="n"/>
      <c r="D248" s="35" t="n"/>
      <c r="E248" s="36" t="n"/>
      <c r="F248" s="36" t="n"/>
      <c r="G248" s="18">
        <f>IF(OR(E248="",F248=""),"",F248-E248)</f>
        <v/>
      </c>
      <c r="H248" s="37" t="n"/>
      <c r="I248" s="38" t="n"/>
      <c r="J248" s="38" t="n"/>
      <c r="K248" s="38" t="n"/>
      <c r="L248" s="31">
        <f>IF(E248="","",N(I248)+N(J248)-N(K248))</f>
        <v/>
      </c>
      <c r="M248" s="39" t="n"/>
      <c r="N248" s="27">
        <f>IF(E248="","",IF(TODAY()&lt;E248,"Upcoming",IF(TODAY()&lt;F248,"Staying now",IF(M248="Yes","Checked out","Payout not received"))))</f>
        <v/>
      </c>
      <c r="O248" s="35" t="n"/>
      <c r="P248" s="1" t="n"/>
      <c r="Q248">
        <f>IF(N(G248)&gt;0,L248/G248,0)</f>
        <v/>
      </c>
      <c r="R248">
        <f>IF(N(G248)&gt;0,N(I248)/G248,0)</f>
        <v/>
      </c>
      <c r="S248">
        <f>IF(OR($E248="",$F248=""),0,MAX(0,MIN($F248,DATE(Dashboard!$C$4,2,1))-MAX($E248,DATE(Dashboard!$C$4,1,1))))</f>
        <v/>
      </c>
      <c r="T248">
        <f>IF(OR($E248="",$F248=""),0,MAX(0,MIN($F248,DATE(Dashboard!$C$4,3,1))-MAX($E248,DATE(Dashboard!$C$4,2,1))))</f>
        <v/>
      </c>
      <c r="U248">
        <f>IF(OR($E248="",$F248=""),0,MAX(0,MIN($F248,DATE(Dashboard!$C$4,4,1))-MAX($E248,DATE(Dashboard!$C$4,3,1))))</f>
        <v/>
      </c>
      <c r="V248">
        <f>IF(OR($E248="",$F248=""),0,MAX(0,MIN($F248,DATE(Dashboard!$C$4,5,1))-MAX($E248,DATE(Dashboard!$C$4,4,1))))</f>
        <v/>
      </c>
      <c r="W248">
        <f>IF(OR($E248="",$F248=""),0,MAX(0,MIN($F248,DATE(Dashboard!$C$4,6,1))-MAX($E248,DATE(Dashboard!$C$4,5,1))))</f>
        <v/>
      </c>
      <c r="X248">
        <f>IF(OR($E248="",$F248=""),0,MAX(0,MIN($F248,DATE(Dashboard!$C$4,7,1))-MAX($E248,DATE(Dashboard!$C$4,6,1))))</f>
        <v/>
      </c>
      <c r="Y248">
        <f>IF(OR($E248="",$F248=""),0,MAX(0,MIN($F248,DATE(Dashboard!$C$4,8,1))-MAX($E248,DATE(Dashboard!$C$4,7,1))))</f>
        <v/>
      </c>
      <c r="Z248">
        <f>IF(OR($E248="",$F248=""),0,MAX(0,MIN($F248,DATE(Dashboard!$C$4,9,1))-MAX($E248,DATE(Dashboard!$C$4,8,1))))</f>
        <v/>
      </c>
      <c r="AA248">
        <f>IF(OR($E248="",$F248=""),0,MAX(0,MIN($F248,DATE(Dashboard!$C$4,10,1))-MAX($E248,DATE(Dashboard!$C$4,9,1))))</f>
        <v/>
      </c>
      <c r="AB248">
        <f>IF(OR($E248="",$F248=""),0,MAX(0,MIN($F248,DATE(Dashboard!$C$4,11,1))-MAX($E248,DATE(Dashboard!$C$4,10,1))))</f>
        <v/>
      </c>
      <c r="AC248">
        <f>IF(OR($E248="",$F248=""),0,MAX(0,MIN($F248,DATE(Dashboard!$C$4,12,1))-MAX($E248,DATE(Dashboard!$C$4,11,1))))</f>
        <v/>
      </c>
      <c r="AD248">
        <f>IF(OR($E248="",$F248=""),0,MAX(0,MIN($F248,DATE(Dashboard!$C$4,13,1))-MAX($E248,DATE(Dashboard!$C$4,12,1))))</f>
        <v/>
      </c>
      <c r="AE248">
        <f>SUM(S248:AD248)</f>
        <v/>
      </c>
      <c r="AF248">
        <f>Q248*AE248</f>
        <v/>
      </c>
      <c r="AG248">
        <f>R248*AE248</f>
        <v/>
      </c>
      <c r="AH248">
        <f>SUMPRODUCT(S248:AD248,--(COLUMN(S248:AD248)-COLUMN(S248)+1&lt;=Dashboard!$N$1))</f>
        <v/>
      </c>
      <c r="AI248">
        <f>IF(OR(E248="",E248&lt;TODAY()),"",E248+ROW()/100000)</f>
        <v/>
      </c>
      <c r="AJ248">
        <f>IF(OR(F248="",F248&lt;TODAY()),"",F248+ROW()/100000)</f>
        <v/>
      </c>
    </row>
    <row r="249">
      <c r="A249" s="1" t="n"/>
      <c r="B249" s="35" t="n"/>
      <c r="C249" s="35" t="n"/>
      <c r="D249" s="35" t="n"/>
      <c r="E249" s="36" t="n"/>
      <c r="F249" s="36" t="n"/>
      <c r="G249" s="18">
        <f>IF(OR(E249="",F249=""),"",F249-E249)</f>
        <v/>
      </c>
      <c r="H249" s="37" t="n"/>
      <c r="I249" s="38" t="n"/>
      <c r="J249" s="38" t="n"/>
      <c r="K249" s="38" t="n"/>
      <c r="L249" s="31">
        <f>IF(E249="","",N(I249)+N(J249)-N(K249))</f>
        <v/>
      </c>
      <c r="M249" s="39" t="n"/>
      <c r="N249" s="27">
        <f>IF(E249="","",IF(TODAY()&lt;E249,"Upcoming",IF(TODAY()&lt;F249,"Staying now",IF(M249="Yes","Checked out","Payout not received"))))</f>
        <v/>
      </c>
      <c r="O249" s="35" t="n"/>
      <c r="P249" s="1" t="n"/>
      <c r="Q249">
        <f>IF(N(G249)&gt;0,L249/G249,0)</f>
        <v/>
      </c>
      <c r="R249">
        <f>IF(N(G249)&gt;0,N(I249)/G249,0)</f>
        <v/>
      </c>
      <c r="S249">
        <f>IF(OR($E249="",$F249=""),0,MAX(0,MIN($F249,DATE(Dashboard!$C$4,2,1))-MAX($E249,DATE(Dashboard!$C$4,1,1))))</f>
        <v/>
      </c>
      <c r="T249">
        <f>IF(OR($E249="",$F249=""),0,MAX(0,MIN($F249,DATE(Dashboard!$C$4,3,1))-MAX($E249,DATE(Dashboard!$C$4,2,1))))</f>
        <v/>
      </c>
      <c r="U249">
        <f>IF(OR($E249="",$F249=""),0,MAX(0,MIN($F249,DATE(Dashboard!$C$4,4,1))-MAX($E249,DATE(Dashboard!$C$4,3,1))))</f>
        <v/>
      </c>
      <c r="V249">
        <f>IF(OR($E249="",$F249=""),0,MAX(0,MIN($F249,DATE(Dashboard!$C$4,5,1))-MAX($E249,DATE(Dashboard!$C$4,4,1))))</f>
        <v/>
      </c>
      <c r="W249">
        <f>IF(OR($E249="",$F249=""),0,MAX(0,MIN($F249,DATE(Dashboard!$C$4,6,1))-MAX($E249,DATE(Dashboard!$C$4,5,1))))</f>
        <v/>
      </c>
      <c r="X249">
        <f>IF(OR($E249="",$F249=""),0,MAX(0,MIN($F249,DATE(Dashboard!$C$4,7,1))-MAX($E249,DATE(Dashboard!$C$4,6,1))))</f>
        <v/>
      </c>
      <c r="Y249">
        <f>IF(OR($E249="",$F249=""),0,MAX(0,MIN($F249,DATE(Dashboard!$C$4,8,1))-MAX($E249,DATE(Dashboard!$C$4,7,1))))</f>
        <v/>
      </c>
      <c r="Z249">
        <f>IF(OR($E249="",$F249=""),0,MAX(0,MIN($F249,DATE(Dashboard!$C$4,9,1))-MAX($E249,DATE(Dashboard!$C$4,8,1))))</f>
        <v/>
      </c>
      <c r="AA249">
        <f>IF(OR($E249="",$F249=""),0,MAX(0,MIN($F249,DATE(Dashboard!$C$4,10,1))-MAX($E249,DATE(Dashboard!$C$4,9,1))))</f>
        <v/>
      </c>
      <c r="AB249">
        <f>IF(OR($E249="",$F249=""),0,MAX(0,MIN($F249,DATE(Dashboard!$C$4,11,1))-MAX($E249,DATE(Dashboard!$C$4,10,1))))</f>
        <v/>
      </c>
      <c r="AC249">
        <f>IF(OR($E249="",$F249=""),0,MAX(0,MIN($F249,DATE(Dashboard!$C$4,12,1))-MAX($E249,DATE(Dashboard!$C$4,11,1))))</f>
        <v/>
      </c>
      <c r="AD249">
        <f>IF(OR($E249="",$F249=""),0,MAX(0,MIN($F249,DATE(Dashboard!$C$4,13,1))-MAX($E249,DATE(Dashboard!$C$4,12,1))))</f>
        <v/>
      </c>
      <c r="AE249">
        <f>SUM(S249:AD249)</f>
        <v/>
      </c>
      <c r="AF249">
        <f>Q249*AE249</f>
        <v/>
      </c>
      <c r="AG249">
        <f>R249*AE249</f>
        <v/>
      </c>
      <c r="AH249">
        <f>SUMPRODUCT(S249:AD249,--(COLUMN(S249:AD249)-COLUMN(S249)+1&lt;=Dashboard!$N$1))</f>
        <v/>
      </c>
      <c r="AI249">
        <f>IF(OR(E249="",E249&lt;TODAY()),"",E249+ROW()/100000)</f>
        <v/>
      </c>
      <c r="AJ249">
        <f>IF(OR(F249="",F249&lt;TODAY()),"",F249+ROW()/100000)</f>
        <v/>
      </c>
    </row>
    <row r="250">
      <c r="A250" s="1" t="n"/>
      <c r="B250" s="35" t="n"/>
      <c r="C250" s="35" t="n"/>
      <c r="D250" s="35" t="n"/>
      <c r="E250" s="36" t="n"/>
      <c r="F250" s="36" t="n"/>
      <c r="G250" s="18">
        <f>IF(OR(E250="",F250=""),"",F250-E250)</f>
        <v/>
      </c>
      <c r="H250" s="37" t="n"/>
      <c r="I250" s="38" t="n"/>
      <c r="J250" s="38" t="n"/>
      <c r="K250" s="38" t="n"/>
      <c r="L250" s="31">
        <f>IF(E250="","",N(I250)+N(J250)-N(K250))</f>
        <v/>
      </c>
      <c r="M250" s="39" t="n"/>
      <c r="N250" s="27">
        <f>IF(E250="","",IF(TODAY()&lt;E250,"Upcoming",IF(TODAY()&lt;F250,"Staying now",IF(M250="Yes","Checked out","Payout not received"))))</f>
        <v/>
      </c>
      <c r="O250" s="35" t="n"/>
      <c r="P250" s="1" t="n"/>
      <c r="Q250">
        <f>IF(N(G250)&gt;0,L250/G250,0)</f>
        <v/>
      </c>
      <c r="R250">
        <f>IF(N(G250)&gt;0,N(I250)/G250,0)</f>
        <v/>
      </c>
      <c r="S250">
        <f>IF(OR($E250="",$F250=""),0,MAX(0,MIN($F250,DATE(Dashboard!$C$4,2,1))-MAX($E250,DATE(Dashboard!$C$4,1,1))))</f>
        <v/>
      </c>
      <c r="T250">
        <f>IF(OR($E250="",$F250=""),0,MAX(0,MIN($F250,DATE(Dashboard!$C$4,3,1))-MAX($E250,DATE(Dashboard!$C$4,2,1))))</f>
        <v/>
      </c>
      <c r="U250">
        <f>IF(OR($E250="",$F250=""),0,MAX(0,MIN($F250,DATE(Dashboard!$C$4,4,1))-MAX($E250,DATE(Dashboard!$C$4,3,1))))</f>
        <v/>
      </c>
      <c r="V250">
        <f>IF(OR($E250="",$F250=""),0,MAX(0,MIN($F250,DATE(Dashboard!$C$4,5,1))-MAX($E250,DATE(Dashboard!$C$4,4,1))))</f>
        <v/>
      </c>
      <c r="W250">
        <f>IF(OR($E250="",$F250=""),0,MAX(0,MIN($F250,DATE(Dashboard!$C$4,6,1))-MAX($E250,DATE(Dashboard!$C$4,5,1))))</f>
        <v/>
      </c>
      <c r="X250">
        <f>IF(OR($E250="",$F250=""),0,MAX(0,MIN($F250,DATE(Dashboard!$C$4,7,1))-MAX($E250,DATE(Dashboard!$C$4,6,1))))</f>
        <v/>
      </c>
      <c r="Y250">
        <f>IF(OR($E250="",$F250=""),0,MAX(0,MIN($F250,DATE(Dashboard!$C$4,8,1))-MAX($E250,DATE(Dashboard!$C$4,7,1))))</f>
        <v/>
      </c>
      <c r="Z250">
        <f>IF(OR($E250="",$F250=""),0,MAX(0,MIN($F250,DATE(Dashboard!$C$4,9,1))-MAX($E250,DATE(Dashboard!$C$4,8,1))))</f>
        <v/>
      </c>
      <c r="AA250">
        <f>IF(OR($E250="",$F250=""),0,MAX(0,MIN($F250,DATE(Dashboard!$C$4,10,1))-MAX($E250,DATE(Dashboard!$C$4,9,1))))</f>
        <v/>
      </c>
      <c r="AB250">
        <f>IF(OR($E250="",$F250=""),0,MAX(0,MIN($F250,DATE(Dashboard!$C$4,11,1))-MAX($E250,DATE(Dashboard!$C$4,10,1))))</f>
        <v/>
      </c>
      <c r="AC250">
        <f>IF(OR($E250="",$F250=""),0,MAX(0,MIN($F250,DATE(Dashboard!$C$4,12,1))-MAX($E250,DATE(Dashboard!$C$4,11,1))))</f>
        <v/>
      </c>
      <c r="AD250">
        <f>IF(OR($E250="",$F250=""),0,MAX(0,MIN($F250,DATE(Dashboard!$C$4,13,1))-MAX($E250,DATE(Dashboard!$C$4,12,1))))</f>
        <v/>
      </c>
      <c r="AE250">
        <f>SUM(S250:AD250)</f>
        <v/>
      </c>
      <c r="AF250">
        <f>Q250*AE250</f>
        <v/>
      </c>
      <c r="AG250">
        <f>R250*AE250</f>
        <v/>
      </c>
      <c r="AH250">
        <f>SUMPRODUCT(S250:AD250,--(COLUMN(S250:AD250)-COLUMN(S250)+1&lt;=Dashboard!$N$1))</f>
        <v/>
      </c>
      <c r="AI250">
        <f>IF(OR(E250="",E250&lt;TODAY()),"",E250+ROW()/100000)</f>
        <v/>
      </c>
      <c r="AJ250">
        <f>IF(OR(F250="",F250&lt;TODAY()),"",F250+ROW()/100000)</f>
        <v/>
      </c>
    </row>
    <row r="251">
      <c r="A251" s="1" t="n"/>
      <c r="B251" s="35" t="n"/>
      <c r="C251" s="35" t="n"/>
      <c r="D251" s="35" t="n"/>
      <c r="E251" s="36" t="n"/>
      <c r="F251" s="36" t="n"/>
      <c r="G251" s="18">
        <f>IF(OR(E251="",F251=""),"",F251-E251)</f>
        <v/>
      </c>
      <c r="H251" s="37" t="n"/>
      <c r="I251" s="38" t="n"/>
      <c r="J251" s="38" t="n"/>
      <c r="K251" s="38" t="n"/>
      <c r="L251" s="31">
        <f>IF(E251="","",N(I251)+N(J251)-N(K251))</f>
        <v/>
      </c>
      <c r="M251" s="39" t="n"/>
      <c r="N251" s="27">
        <f>IF(E251="","",IF(TODAY()&lt;E251,"Upcoming",IF(TODAY()&lt;F251,"Staying now",IF(M251="Yes","Checked out","Payout not received"))))</f>
        <v/>
      </c>
      <c r="O251" s="35" t="n"/>
      <c r="P251" s="1" t="n"/>
      <c r="Q251">
        <f>IF(N(G251)&gt;0,L251/G251,0)</f>
        <v/>
      </c>
      <c r="R251">
        <f>IF(N(G251)&gt;0,N(I251)/G251,0)</f>
        <v/>
      </c>
      <c r="S251">
        <f>IF(OR($E251="",$F251=""),0,MAX(0,MIN($F251,DATE(Dashboard!$C$4,2,1))-MAX($E251,DATE(Dashboard!$C$4,1,1))))</f>
        <v/>
      </c>
      <c r="T251">
        <f>IF(OR($E251="",$F251=""),0,MAX(0,MIN($F251,DATE(Dashboard!$C$4,3,1))-MAX($E251,DATE(Dashboard!$C$4,2,1))))</f>
        <v/>
      </c>
      <c r="U251">
        <f>IF(OR($E251="",$F251=""),0,MAX(0,MIN($F251,DATE(Dashboard!$C$4,4,1))-MAX($E251,DATE(Dashboard!$C$4,3,1))))</f>
        <v/>
      </c>
      <c r="V251">
        <f>IF(OR($E251="",$F251=""),0,MAX(0,MIN($F251,DATE(Dashboard!$C$4,5,1))-MAX($E251,DATE(Dashboard!$C$4,4,1))))</f>
        <v/>
      </c>
      <c r="W251">
        <f>IF(OR($E251="",$F251=""),0,MAX(0,MIN($F251,DATE(Dashboard!$C$4,6,1))-MAX($E251,DATE(Dashboard!$C$4,5,1))))</f>
        <v/>
      </c>
      <c r="X251">
        <f>IF(OR($E251="",$F251=""),0,MAX(0,MIN($F251,DATE(Dashboard!$C$4,7,1))-MAX($E251,DATE(Dashboard!$C$4,6,1))))</f>
        <v/>
      </c>
      <c r="Y251">
        <f>IF(OR($E251="",$F251=""),0,MAX(0,MIN($F251,DATE(Dashboard!$C$4,8,1))-MAX($E251,DATE(Dashboard!$C$4,7,1))))</f>
        <v/>
      </c>
      <c r="Z251">
        <f>IF(OR($E251="",$F251=""),0,MAX(0,MIN($F251,DATE(Dashboard!$C$4,9,1))-MAX($E251,DATE(Dashboard!$C$4,8,1))))</f>
        <v/>
      </c>
      <c r="AA251">
        <f>IF(OR($E251="",$F251=""),0,MAX(0,MIN($F251,DATE(Dashboard!$C$4,10,1))-MAX($E251,DATE(Dashboard!$C$4,9,1))))</f>
        <v/>
      </c>
      <c r="AB251">
        <f>IF(OR($E251="",$F251=""),0,MAX(0,MIN($F251,DATE(Dashboard!$C$4,11,1))-MAX($E251,DATE(Dashboard!$C$4,10,1))))</f>
        <v/>
      </c>
      <c r="AC251">
        <f>IF(OR($E251="",$F251=""),0,MAX(0,MIN($F251,DATE(Dashboard!$C$4,12,1))-MAX($E251,DATE(Dashboard!$C$4,11,1))))</f>
        <v/>
      </c>
      <c r="AD251">
        <f>IF(OR($E251="",$F251=""),0,MAX(0,MIN($F251,DATE(Dashboard!$C$4,13,1))-MAX($E251,DATE(Dashboard!$C$4,12,1))))</f>
        <v/>
      </c>
      <c r="AE251">
        <f>SUM(S251:AD251)</f>
        <v/>
      </c>
      <c r="AF251">
        <f>Q251*AE251</f>
        <v/>
      </c>
      <c r="AG251">
        <f>R251*AE251</f>
        <v/>
      </c>
      <c r="AH251">
        <f>SUMPRODUCT(S251:AD251,--(COLUMN(S251:AD251)-COLUMN(S251)+1&lt;=Dashboard!$N$1))</f>
        <v/>
      </c>
      <c r="AI251">
        <f>IF(OR(E251="",E251&lt;TODAY()),"",E251+ROW()/100000)</f>
        <v/>
      </c>
      <c r="AJ251">
        <f>IF(OR(F251="",F251&lt;TODAY()),"",F251+ROW()/100000)</f>
        <v/>
      </c>
    </row>
    <row r="252">
      <c r="A252" s="1" t="n"/>
      <c r="B252" s="35" t="n"/>
      <c r="C252" s="35" t="n"/>
      <c r="D252" s="35" t="n"/>
      <c r="E252" s="36" t="n"/>
      <c r="F252" s="36" t="n"/>
      <c r="G252" s="18">
        <f>IF(OR(E252="",F252=""),"",F252-E252)</f>
        <v/>
      </c>
      <c r="H252" s="37" t="n"/>
      <c r="I252" s="38" t="n"/>
      <c r="J252" s="38" t="n"/>
      <c r="K252" s="38" t="n"/>
      <c r="L252" s="31">
        <f>IF(E252="","",N(I252)+N(J252)-N(K252))</f>
        <v/>
      </c>
      <c r="M252" s="39" t="n"/>
      <c r="N252" s="27">
        <f>IF(E252="","",IF(TODAY()&lt;E252,"Upcoming",IF(TODAY()&lt;F252,"Staying now",IF(M252="Yes","Checked out","Payout not received"))))</f>
        <v/>
      </c>
      <c r="O252" s="35" t="n"/>
      <c r="P252" s="1" t="n"/>
      <c r="Q252">
        <f>IF(N(G252)&gt;0,L252/G252,0)</f>
        <v/>
      </c>
      <c r="R252">
        <f>IF(N(G252)&gt;0,N(I252)/G252,0)</f>
        <v/>
      </c>
      <c r="S252">
        <f>IF(OR($E252="",$F252=""),0,MAX(0,MIN($F252,DATE(Dashboard!$C$4,2,1))-MAX($E252,DATE(Dashboard!$C$4,1,1))))</f>
        <v/>
      </c>
      <c r="T252">
        <f>IF(OR($E252="",$F252=""),0,MAX(0,MIN($F252,DATE(Dashboard!$C$4,3,1))-MAX($E252,DATE(Dashboard!$C$4,2,1))))</f>
        <v/>
      </c>
      <c r="U252">
        <f>IF(OR($E252="",$F252=""),0,MAX(0,MIN($F252,DATE(Dashboard!$C$4,4,1))-MAX($E252,DATE(Dashboard!$C$4,3,1))))</f>
        <v/>
      </c>
      <c r="V252">
        <f>IF(OR($E252="",$F252=""),0,MAX(0,MIN($F252,DATE(Dashboard!$C$4,5,1))-MAX($E252,DATE(Dashboard!$C$4,4,1))))</f>
        <v/>
      </c>
      <c r="W252">
        <f>IF(OR($E252="",$F252=""),0,MAX(0,MIN($F252,DATE(Dashboard!$C$4,6,1))-MAX($E252,DATE(Dashboard!$C$4,5,1))))</f>
        <v/>
      </c>
      <c r="X252">
        <f>IF(OR($E252="",$F252=""),0,MAX(0,MIN($F252,DATE(Dashboard!$C$4,7,1))-MAX($E252,DATE(Dashboard!$C$4,6,1))))</f>
        <v/>
      </c>
      <c r="Y252">
        <f>IF(OR($E252="",$F252=""),0,MAX(0,MIN($F252,DATE(Dashboard!$C$4,8,1))-MAX($E252,DATE(Dashboard!$C$4,7,1))))</f>
        <v/>
      </c>
      <c r="Z252">
        <f>IF(OR($E252="",$F252=""),0,MAX(0,MIN($F252,DATE(Dashboard!$C$4,9,1))-MAX($E252,DATE(Dashboard!$C$4,8,1))))</f>
        <v/>
      </c>
      <c r="AA252">
        <f>IF(OR($E252="",$F252=""),0,MAX(0,MIN($F252,DATE(Dashboard!$C$4,10,1))-MAX($E252,DATE(Dashboard!$C$4,9,1))))</f>
        <v/>
      </c>
      <c r="AB252">
        <f>IF(OR($E252="",$F252=""),0,MAX(0,MIN($F252,DATE(Dashboard!$C$4,11,1))-MAX($E252,DATE(Dashboard!$C$4,10,1))))</f>
        <v/>
      </c>
      <c r="AC252">
        <f>IF(OR($E252="",$F252=""),0,MAX(0,MIN($F252,DATE(Dashboard!$C$4,12,1))-MAX($E252,DATE(Dashboard!$C$4,11,1))))</f>
        <v/>
      </c>
      <c r="AD252">
        <f>IF(OR($E252="",$F252=""),0,MAX(0,MIN($F252,DATE(Dashboard!$C$4,13,1))-MAX($E252,DATE(Dashboard!$C$4,12,1))))</f>
        <v/>
      </c>
      <c r="AE252">
        <f>SUM(S252:AD252)</f>
        <v/>
      </c>
      <c r="AF252">
        <f>Q252*AE252</f>
        <v/>
      </c>
      <c r="AG252">
        <f>R252*AE252</f>
        <v/>
      </c>
      <c r="AH252">
        <f>SUMPRODUCT(S252:AD252,--(COLUMN(S252:AD252)-COLUMN(S252)+1&lt;=Dashboard!$N$1))</f>
        <v/>
      </c>
      <c r="AI252">
        <f>IF(OR(E252="",E252&lt;TODAY()),"",E252+ROW()/100000)</f>
        <v/>
      </c>
      <c r="AJ252">
        <f>IF(OR(F252="",F252&lt;TODAY()),"",F252+ROW()/100000)</f>
        <v/>
      </c>
    </row>
    <row r="253">
      <c r="A253" s="1" t="n"/>
      <c r="B253" s="35" t="n"/>
      <c r="C253" s="35" t="n"/>
      <c r="D253" s="35" t="n"/>
      <c r="E253" s="36" t="n"/>
      <c r="F253" s="36" t="n"/>
      <c r="G253" s="18">
        <f>IF(OR(E253="",F253=""),"",F253-E253)</f>
        <v/>
      </c>
      <c r="H253" s="37" t="n"/>
      <c r="I253" s="38" t="n"/>
      <c r="J253" s="38" t="n"/>
      <c r="K253" s="38" t="n"/>
      <c r="L253" s="31">
        <f>IF(E253="","",N(I253)+N(J253)-N(K253))</f>
        <v/>
      </c>
      <c r="M253" s="39" t="n"/>
      <c r="N253" s="27">
        <f>IF(E253="","",IF(TODAY()&lt;E253,"Upcoming",IF(TODAY()&lt;F253,"Staying now",IF(M253="Yes","Checked out","Payout not received"))))</f>
        <v/>
      </c>
      <c r="O253" s="35" t="n"/>
      <c r="P253" s="1" t="n"/>
      <c r="Q253">
        <f>IF(N(G253)&gt;0,L253/G253,0)</f>
        <v/>
      </c>
      <c r="R253">
        <f>IF(N(G253)&gt;0,N(I253)/G253,0)</f>
        <v/>
      </c>
      <c r="S253">
        <f>IF(OR($E253="",$F253=""),0,MAX(0,MIN($F253,DATE(Dashboard!$C$4,2,1))-MAX($E253,DATE(Dashboard!$C$4,1,1))))</f>
        <v/>
      </c>
      <c r="T253">
        <f>IF(OR($E253="",$F253=""),0,MAX(0,MIN($F253,DATE(Dashboard!$C$4,3,1))-MAX($E253,DATE(Dashboard!$C$4,2,1))))</f>
        <v/>
      </c>
      <c r="U253">
        <f>IF(OR($E253="",$F253=""),0,MAX(0,MIN($F253,DATE(Dashboard!$C$4,4,1))-MAX($E253,DATE(Dashboard!$C$4,3,1))))</f>
        <v/>
      </c>
      <c r="V253">
        <f>IF(OR($E253="",$F253=""),0,MAX(0,MIN($F253,DATE(Dashboard!$C$4,5,1))-MAX($E253,DATE(Dashboard!$C$4,4,1))))</f>
        <v/>
      </c>
      <c r="W253">
        <f>IF(OR($E253="",$F253=""),0,MAX(0,MIN($F253,DATE(Dashboard!$C$4,6,1))-MAX($E253,DATE(Dashboard!$C$4,5,1))))</f>
        <v/>
      </c>
      <c r="X253">
        <f>IF(OR($E253="",$F253=""),0,MAX(0,MIN($F253,DATE(Dashboard!$C$4,7,1))-MAX($E253,DATE(Dashboard!$C$4,6,1))))</f>
        <v/>
      </c>
      <c r="Y253">
        <f>IF(OR($E253="",$F253=""),0,MAX(0,MIN($F253,DATE(Dashboard!$C$4,8,1))-MAX($E253,DATE(Dashboard!$C$4,7,1))))</f>
        <v/>
      </c>
      <c r="Z253">
        <f>IF(OR($E253="",$F253=""),0,MAX(0,MIN($F253,DATE(Dashboard!$C$4,9,1))-MAX($E253,DATE(Dashboard!$C$4,8,1))))</f>
        <v/>
      </c>
      <c r="AA253">
        <f>IF(OR($E253="",$F253=""),0,MAX(0,MIN($F253,DATE(Dashboard!$C$4,10,1))-MAX($E253,DATE(Dashboard!$C$4,9,1))))</f>
        <v/>
      </c>
      <c r="AB253">
        <f>IF(OR($E253="",$F253=""),0,MAX(0,MIN($F253,DATE(Dashboard!$C$4,11,1))-MAX($E253,DATE(Dashboard!$C$4,10,1))))</f>
        <v/>
      </c>
      <c r="AC253">
        <f>IF(OR($E253="",$F253=""),0,MAX(0,MIN($F253,DATE(Dashboard!$C$4,12,1))-MAX($E253,DATE(Dashboard!$C$4,11,1))))</f>
        <v/>
      </c>
      <c r="AD253">
        <f>IF(OR($E253="",$F253=""),0,MAX(0,MIN($F253,DATE(Dashboard!$C$4,13,1))-MAX($E253,DATE(Dashboard!$C$4,12,1))))</f>
        <v/>
      </c>
      <c r="AE253">
        <f>SUM(S253:AD253)</f>
        <v/>
      </c>
      <c r="AF253">
        <f>Q253*AE253</f>
        <v/>
      </c>
      <c r="AG253">
        <f>R253*AE253</f>
        <v/>
      </c>
      <c r="AH253">
        <f>SUMPRODUCT(S253:AD253,--(COLUMN(S253:AD253)-COLUMN(S253)+1&lt;=Dashboard!$N$1))</f>
        <v/>
      </c>
      <c r="AI253">
        <f>IF(OR(E253="",E253&lt;TODAY()),"",E253+ROW()/100000)</f>
        <v/>
      </c>
      <c r="AJ253">
        <f>IF(OR(F253="",F253&lt;TODAY()),"",F253+ROW()/100000)</f>
        <v/>
      </c>
    </row>
    <row r="254">
      <c r="A254" s="1" t="n"/>
      <c r="B254" s="35" t="n"/>
      <c r="C254" s="35" t="n"/>
      <c r="D254" s="35" t="n"/>
      <c r="E254" s="36" t="n"/>
      <c r="F254" s="36" t="n"/>
      <c r="G254" s="18">
        <f>IF(OR(E254="",F254=""),"",F254-E254)</f>
        <v/>
      </c>
      <c r="H254" s="37" t="n"/>
      <c r="I254" s="38" t="n"/>
      <c r="J254" s="38" t="n"/>
      <c r="K254" s="38" t="n"/>
      <c r="L254" s="31">
        <f>IF(E254="","",N(I254)+N(J254)-N(K254))</f>
        <v/>
      </c>
      <c r="M254" s="39" t="n"/>
      <c r="N254" s="27">
        <f>IF(E254="","",IF(TODAY()&lt;E254,"Upcoming",IF(TODAY()&lt;F254,"Staying now",IF(M254="Yes","Checked out","Payout not received"))))</f>
        <v/>
      </c>
      <c r="O254" s="35" t="n"/>
      <c r="P254" s="1" t="n"/>
      <c r="Q254">
        <f>IF(N(G254)&gt;0,L254/G254,0)</f>
        <v/>
      </c>
      <c r="R254">
        <f>IF(N(G254)&gt;0,N(I254)/G254,0)</f>
        <v/>
      </c>
      <c r="S254">
        <f>IF(OR($E254="",$F254=""),0,MAX(0,MIN($F254,DATE(Dashboard!$C$4,2,1))-MAX($E254,DATE(Dashboard!$C$4,1,1))))</f>
        <v/>
      </c>
      <c r="T254">
        <f>IF(OR($E254="",$F254=""),0,MAX(0,MIN($F254,DATE(Dashboard!$C$4,3,1))-MAX($E254,DATE(Dashboard!$C$4,2,1))))</f>
        <v/>
      </c>
      <c r="U254">
        <f>IF(OR($E254="",$F254=""),0,MAX(0,MIN($F254,DATE(Dashboard!$C$4,4,1))-MAX($E254,DATE(Dashboard!$C$4,3,1))))</f>
        <v/>
      </c>
      <c r="V254">
        <f>IF(OR($E254="",$F254=""),0,MAX(0,MIN($F254,DATE(Dashboard!$C$4,5,1))-MAX($E254,DATE(Dashboard!$C$4,4,1))))</f>
        <v/>
      </c>
      <c r="W254">
        <f>IF(OR($E254="",$F254=""),0,MAX(0,MIN($F254,DATE(Dashboard!$C$4,6,1))-MAX($E254,DATE(Dashboard!$C$4,5,1))))</f>
        <v/>
      </c>
      <c r="X254">
        <f>IF(OR($E254="",$F254=""),0,MAX(0,MIN($F254,DATE(Dashboard!$C$4,7,1))-MAX($E254,DATE(Dashboard!$C$4,6,1))))</f>
        <v/>
      </c>
      <c r="Y254">
        <f>IF(OR($E254="",$F254=""),0,MAX(0,MIN($F254,DATE(Dashboard!$C$4,8,1))-MAX($E254,DATE(Dashboard!$C$4,7,1))))</f>
        <v/>
      </c>
      <c r="Z254">
        <f>IF(OR($E254="",$F254=""),0,MAX(0,MIN($F254,DATE(Dashboard!$C$4,9,1))-MAX($E254,DATE(Dashboard!$C$4,8,1))))</f>
        <v/>
      </c>
      <c r="AA254">
        <f>IF(OR($E254="",$F254=""),0,MAX(0,MIN($F254,DATE(Dashboard!$C$4,10,1))-MAX($E254,DATE(Dashboard!$C$4,9,1))))</f>
        <v/>
      </c>
      <c r="AB254">
        <f>IF(OR($E254="",$F254=""),0,MAX(0,MIN($F254,DATE(Dashboard!$C$4,11,1))-MAX($E254,DATE(Dashboard!$C$4,10,1))))</f>
        <v/>
      </c>
      <c r="AC254">
        <f>IF(OR($E254="",$F254=""),0,MAX(0,MIN($F254,DATE(Dashboard!$C$4,12,1))-MAX($E254,DATE(Dashboard!$C$4,11,1))))</f>
        <v/>
      </c>
      <c r="AD254">
        <f>IF(OR($E254="",$F254=""),0,MAX(0,MIN($F254,DATE(Dashboard!$C$4,13,1))-MAX($E254,DATE(Dashboard!$C$4,12,1))))</f>
        <v/>
      </c>
      <c r="AE254">
        <f>SUM(S254:AD254)</f>
        <v/>
      </c>
      <c r="AF254">
        <f>Q254*AE254</f>
        <v/>
      </c>
      <c r="AG254">
        <f>R254*AE254</f>
        <v/>
      </c>
      <c r="AH254">
        <f>SUMPRODUCT(S254:AD254,--(COLUMN(S254:AD254)-COLUMN(S254)+1&lt;=Dashboard!$N$1))</f>
        <v/>
      </c>
      <c r="AI254">
        <f>IF(OR(E254="",E254&lt;TODAY()),"",E254+ROW()/100000)</f>
        <v/>
      </c>
      <c r="AJ254">
        <f>IF(OR(F254="",F254&lt;TODAY()),"",F254+ROW()/100000)</f>
        <v/>
      </c>
    </row>
    <row r="255">
      <c r="A255" s="1" t="n"/>
      <c r="B255" s="35" t="n"/>
      <c r="C255" s="35" t="n"/>
      <c r="D255" s="35" t="n"/>
      <c r="E255" s="36" t="n"/>
      <c r="F255" s="36" t="n"/>
      <c r="G255" s="18">
        <f>IF(OR(E255="",F255=""),"",F255-E255)</f>
        <v/>
      </c>
      <c r="H255" s="37" t="n"/>
      <c r="I255" s="38" t="n"/>
      <c r="J255" s="38" t="n"/>
      <c r="K255" s="38" t="n"/>
      <c r="L255" s="31">
        <f>IF(E255="","",N(I255)+N(J255)-N(K255))</f>
        <v/>
      </c>
      <c r="M255" s="39" t="n"/>
      <c r="N255" s="27">
        <f>IF(E255="","",IF(TODAY()&lt;E255,"Upcoming",IF(TODAY()&lt;F255,"Staying now",IF(M255="Yes","Checked out","Payout not received"))))</f>
        <v/>
      </c>
      <c r="O255" s="35" t="n"/>
      <c r="P255" s="1" t="n"/>
      <c r="Q255">
        <f>IF(N(G255)&gt;0,L255/G255,0)</f>
        <v/>
      </c>
      <c r="R255">
        <f>IF(N(G255)&gt;0,N(I255)/G255,0)</f>
        <v/>
      </c>
      <c r="S255">
        <f>IF(OR($E255="",$F255=""),0,MAX(0,MIN($F255,DATE(Dashboard!$C$4,2,1))-MAX($E255,DATE(Dashboard!$C$4,1,1))))</f>
        <v/>
      </c>
      <c r="T255">
        <f>IF(OR($E255="",$F255=""),0,MAX(0,MIN($F255,DATE(Dashboard!$C$4,3,1))-MAX($E255,DATE(Dashboard!$C$4,2,1))))</f>
        <v/>
      </c>
      <c r="U255">
        <f>IF(OR($E255="",$F255=""),0,MAX(0,MIN($F255,DATE(Dashboard!$C$4,4,1))-MAX($E255,DATE(Dashboard!$C$4,3,1))))</f>
        <v/>
      </c>
      <c r="V255">
        <f>IF(OR($E255="",$F255=""),0,MAX(0,MIN($F255,DATE(Dashboard!$C$4,5,1))-MAX($E255,DATE(Dashboard!$C$4,4,1))))</f>
        <v/>
      </c>
      <c r="W255">
        <f>IF(OR($E255="",$F255=""),0,MAX(0,MIN($F255,DATE(Dashboard!$C$4,6,1))-MAX($E255,DATE(Dashboard!$C$4,5,1))))</f>
        <v/>
      </c>
      <c r="X255">
        <f>IF(OR($E255="",$F255=""),0,MAX(0,MIN($F255,DATE(Dashboard!$C$4,7,1))-MAX($E255,DATE(Dashboard!$C$4,6,1))))</f>
        <v/>
      </c>
      <c r="Y255">
        <f>IF(OR($E255="",$F255=""),0,MAX(0,MIN($F255,DATE(Dashboard!$C$4,8,1))-MAX($E255,DATE(Dashboard!$C$4,7,1))))</f>
        <v/>
      </c>
      <c r="Z255">
        <f>IF(OR($E255="",$F255=""),0,MAX(0,MIN($F255,DATE(Dashboard!$C$4,9,1))-MAX($E255,DATE(Dashboard!$C$4,8,1))))</f>
        <v/>
      </c>
      <c r="AA255">
        <f>IF(OR($E255="",$F255=""),0,MAX(0,MIN($F255,DATE(Dashboard!$C$4,10,1))-MAX($E255,DATE(Dashboard!$C$4,9,1))))</f>
        <v/>
      </c>
      <c r="AB255">
        <f>IF(OR($E255="",$F255=""),0,MAX(0,MIN($F255,DATE(Dashboard!$C$4,11,1))-MAX($E255,DATE(Dashboard!$C$4,10,1))))</f>
        <v/>
      </c>
      <c r="AC255">
        <f>IF(OR($E255="",$F255=""),0,MAX(0,MIN($F255,DATE(Dashboard!$C$4,12,1))-MAX($E255,DATE(Dashboard!$C$4,11,1))))</f>
        <v/>
      </c>
      <c r="AD255">
        <f>IF(OR($E255="",$F255=""),0,MAX(0,MIN($F255,DATE(Dashboard!$C$4,13,1))-MAX($E255,DATE(Dashboard!$C$4,12,1))))</f>
        <v/>
      </c>
      <c r="AE255">
        <f>SUM(S255:AD255)</f>
        <v/>
      </c>
      <c r="AF255">
        <f>Q255*AE255</f>
        <v/>
      </c>
      <c r="AG255">
        <f>R255*AE255</f>
        <v/>
      </c>
      <c r="AH255">
        <f>SUMPRODUCT(S255:AD255,--(COLUMN(S255:AD255)-COLUMN(S255)+1&lt;=Dashboard!$N$1))</f>
        <v/>
      </c>
      <c r="AI255">
        <f>IF(OR(E255="",E255&lt;TODAY()),"",E255+ROW()/100000)</f>
        <v/>
      </c>
      <c r="AJ255">
        <f>IF(OR(F255="",F255&lt;TODAY()),"",F255+ROW()/100000)</f>
        <v/>
      </c>
    </row>
    <row r="256">
      <c r="A256" s="1" t="n"/>
      <c r="B256" s="35" t="n"/>
      <c r="C256" s="35" t="n"/>
      <c r="D256" s="35" t="n"/>
      <c r="E256" s="36" t="n"/>
      <c r="F256" s="36" t="n"/>
      <c r="G256" s="18">
        <f>IF(OR(E256="",F256=""),"",F256-E256)</f>
        <v/>
      </c>
      <c r="H256" s="37" t="n"/>
      <c r="I256" s="38" t="n"/>
      <c r="J256" s="38" t="n"/>
      <c r="K256" s="38" t="n"/>
      <c r="L256" s="31">
        <f>IF(E256="","",N(I256)+N(J256)-N(K256))</f>
        <v/>
      </c>
      <c r="M256" s="39" t="n"/>
      <c r="N256" s="27">
        <f>IF(E256="","",IF(TODAY()&lt;E256,"Upcoming",IF(TODAY()&lt;F256,"Staying now",IF(M256="Yes","Checked out","Payout not received"))))</f>
        <v/>
      </c>
      <c r="O256" s="35" t="n"/>
      <c r="P256" s="1" t="n"/>
      <c r="Q256">
        <f>IF(N(G256)&gt;0,L256/G256,0)</f>
        <v/>
      </c>
      <c r="R256">
        <f>IF(N(G256)&gt;0,N(I256)/G256,0)</f>
        <v/>
      </c>
      <c r="S256">
        <f>IF(OR($E256="",$F256=""),0,MAX(0,MIN($F256,DATE(Dashboard!$C$4,2,1))-MAX($E256,DATE(Dashboard!$C$4,1,1))))</f>
        <v/>
      </c>
      <c r="T256">
        <f>IF(OR($E256="",$F256=""),0,MAX(0,MIN($F256,DATE(Dashboard!$C$4,3,1))-MAX($E256,DATE(Dashboard!$C$4,2,1))))</f>
        <v/>
      </c>
      <c r="U256">
        <f>IF(OR($E256="",$F256=""),0,MAX(0,MIN($F256,DATE(Dashboard!$C$4,4,1))-MAX($E256,DATE(Dashboard!$C$4,3,1))))</f>
        <v/>
      </c>
      <c r="V256">
        <f>IF(OR($E256="",$F256=""),0,MAX(0,MIN($F256,DATE(Dashboard!$C$4,5,1))-MAX($E256,DATE(Dashboard!$C$4,4,1))))</f>
        <v/>
      </c>
      <c r="W256">
        <f>IF(OR($E256="",$F256=""),0,MAX(0,MIN($F256,DATE(Dashboard!$C$4,6,1))-MAX($E256,DATE(Dashboard!$C$4,5,1))))</f>
        <v/>
      </c>
      <c r="X256">
        <f>IF(OR($E256="",$F256=""),0,MAX(0,MIN($F256,DATE(Dashboard!$C$4,7,1))-MAX($E256,DATE(Dashboard!$C$4,6,1))))</f>
        <v/>
      </c>
      <c r="Y256">
        <f>IF(OR($E256="",$F256=""),0,MAX(0,MIN($F256,DATE(Dashboard!$C$4,8,1))-MAX($E256,DATE(Dashboard!$C$4,7,1))))</f>
        <v/>
      </c>
      <c r="Z256">
        <f>IF(OR($E256="",$F256=""),0,MAX(0,MIN($F256,DATE(Dashboard!$C$4,9,1))-MAX($E256,DATE(Dashboard!$C$4,8,1))))</f>
        <v/>
      </c>
      <c r="AA256">
        <f>IF(OR($E256="",$F256=""),0,MAX(0,MIN($F256,DATE(Dashboard!$C$4,10,1))-MAX($E256,DATE(Dashboard!$C$4,9,1))))</f>
        <v/>
      </c>
      <c r="AB256">
        <f>IF(OR($E256="",$F256=""),0,MAX(0,MIN($F256,DATE(Dashboard!$C$4,11,1))-MAX($E256,DATE(Dashboard!$C$4,10,1))))</f>
        <v/>
      </c>
      <c r="AC256">
        <f>IF(OR($E256="",$F256=""),0,MAX(0,MIN($F256,DATE(Dashboard!$C$4,12,1))-MAX($E256,DATE(Dashboard!$C$4,11,1))))</f>
        <v/>
      </c>
      <c r="AD256">
        <f>IF(OR($E256="",$F256=""),0,MAX(0,MIN($F256,DATE(Dashboard!$C$4,13,1))-MAX($E256,DATE(Dashboard!$C$4,12,1))))</f>
        <v/>
      </c>
      <c r="AE256">
        <f>SUM(S256:AD256)</f>
        <v/>
      </c>
      <c r="AF256">
        <f>Q256*AE256</f>
        <v/>
      </c>
      <c r="AG256">
        <f>R256*AE256</f>
        <v/>
      </c>
      <c r="AH256">
        <f>SUMPRODUCT(S256:AD256,--(COLUMN(S256:AD256)-COLUMN(S256)+1&lt;=Dashboard!$N$1))</f>
        <v/>
      </c>
      <c r="AI256">
        <f>IF(OR(E256="",E256&lt;TODAY()),"",E256+ROW()/100000)</f>
        <v/>
      </c>
      <c r="AJ256">
        <f>IF(OR(F256="",F256&lt;TODAY()),"",F256+ROW()/100000)</f>
        <v/>
      </c>
    </row>
    <row r="257">
      <c r="A257" s="1" t="n"/>
      <c r="B257" s="35" t="n"/>
      <c r="C257" s="35" t="n"/>
      <c r="D257" s="35" t="n"/>
      <c r="E257" s="36" t="n"/>
      <c r="F257" s="36" t="n"/>
      <c r="G257" s="18">
        <f>IF(OR(E257="",F257=""),"",F257-E257)</f>
        <v/>
      </c>
      <c r="H257" s="37" t="n"/>
      <c r="I257" s="38" t="n"/>
      <c r="J257" s="38" t="n"/>
      <c r="K257" s="38" t="n"/>
      <c r="L257" s="31">
        <f>IF(E257="","",N(I257)+N(J257)-N(K257))</f>
        <v/>
      </c>
      <c r="M257" s="39" t="n"/>
      <c r="N257" s="27">
        <f>IF(E257="","",IF(TODAY()&lt;E257,"Upcoming",IF(TODAY()&lt;F257,"Staying now",IF(M257="Yes","Checked out","Payout not received"))))</f>
        <v/>
      </c>
      <c r="O257" s="35" t="n"/>
      <c r="P257" s="1" t="n"/>
      <c r="Q257">
        <f>IF(N(G257)&gt;0,L257/G257,0)</f>
        <v/>
      </c>
      <c r="R257">
        <f>IF(N(G257)&gt;0,N(I257)/G257,0)</f>
        <v/>
      </c>
      <c r="S257">
        <f>IF(OR($E257="",$F257=""),0,MAX(0,MIN($F257,DATE(Dashboard!$C$4,2,1))-MAX($E257,DATE(Dashboard!$C$4,1,1))))</f>
        <v/>
      </c>
      <c r="T257">
        <f>IF(OR($E257="",$F257=""),0,MAX(0,MIN($F257,DATE(Dashboard!$C$4,3,1))-MAX($E257,DATE(Dashboard!$C$4,2,1))))</f>
        <v/>
      </c>
      <c r="U257">
        <f>IF(OR($E257="",$F257=""),0,MAX(0,MIN($F257,DATE(Dashboard!$C$4,4,1))-MAX($E257,DATE(Dashboard!$C$4,3,1))))</f>
        <v/>
      </c>
      <c r="V257">
        <f>IF(OR($E257="",$F257=""),0,MAX(0,MIN($F257,DATE(Dashboard!$C$4,5,1))-MAX($E257,DATE(Dashboard!$C$4,4,1))))</f>
        <v/>
      </c>
      <c r="W257">
        <f>IF(OR($E257="",$F257=""),0,MAX(0,MIN($F257,DATE(Dashboard!$C$4,6,1))-MAX($E257,DATE(Dashboard!$C$4,5,1))))</f>
        <v/>
      </c>
      <c r="X257">
        <f>IF(OR($E257="",$F257=""),0,MAX(0,MIN($F257,DATE(Dashboard!$C$4,7,1))-MAX($E257,DATE(Dashboard!$C$4,6,1))))</f>
        <v/>
      </c>
      <c r="Y257">
        <f>IF(OR($E257="",$F257=""),0,MAX(0,MIN($F257,DATE(Dashboard!$C$4,8,1))-MAX($E257,DATE(Dashboard!$C$4,7,1))))</f>
        <v/>
      </c>
      <c r="Z257">
        <f>IF(OR($E257="",$F257=""),0,MAX(0,MIN($F257,DATE(Dashboard!$C$4,9,1))-MAX($E257,DATE(Dashboard!$C$4,8,1))))</f>
        <v/>
      </c>
      <c r="AA257">
        <f>IF(OR($E257="",$F257=""),0,MAX(0,MIN($F257,DATE(Dashboard!$C$4,10,1))-MAX($E257,DATE(Dashboard!$C$4,9,1))))</f>
        <v/>
      </c>
      <c r="AB257">
        <f>IF(OR($E257="",$F257=""),0,MAX(0,MIN($F257,DATE(Dashboard!$C$4,11,1))-MAX($E257,DATE(Dashboard!$C$4,10,1))))</f>
        <v/>
      </c>
      <c r="AC257">
        <f>IF(OR($E257="",$F257=""),0,MAX(0,MIN($F257,DATE(Dashboard!$C$4,12,1))-MAX($E257,DATE(Dashboard!$C$4,11,1))))</f>
        <v/>
      </c>
      <c r="AD257">
        <f>IF(OR($E257="",$F257=""),0,MAX(0,MIN($F257,DATE(Dashboard!$C$4,13,1))-MAX($E257,DATE(Dashboard!$C$4,12,1))))</f>
        <v/>
      </c>
      <c r="AE257">
        <f>SUM(S257:AD257)</f>
        <v/>
      </c>
      <c r="AF257">
        <f>Q257*AE257</f>
        <v/>
      </c>
      <c r="AG257">
        <f>R257*AE257</f>
        <v/>
      </c>
      <c r="AH257">
        <f>SUMPRODUCT(S257:AD257,--(COLUMN(S257:AD257)-COLUMN(S257)+1&lt;=Dashboard!$N$1))</f>
        <v/>
      </c>
      <c r="AI257">
        <f>IF(OR(E257="",E257&lt;TODAY()),"",E257+ROW()/100000)</f>
        <v/>
      </c>
      <c r="AJ257">
        <f>IF(OR(F257="",F257&lt;TODAY()),"",F257+ROW()/100000)</f>
        <v/>
      </c>
    </row>
    <row r="258">
      <c r="A258" s="1" t="n"/>
      <c r="B258" s="35" t="n"/>
      <c r="C258" s="35" t="n"/>
      <c r="D258" s="35" t="n"/>
      <c r="E258" s="36" t="n"/>
      <c r="F258" s="36" t="n"/>
      <c r="G258" s="18">
        <f>IF(OR(E258="",F258=""),"",F258-E258)</f>
        <v/>
      </c>
      <c r="H258" s="37" t="n"/>
      <c r="I258" s="38" t="n"/>
      <c r="J258" s="38" t="n"/>
      <c r="K258" s="38" t="n"/>
      <c r="L258" s="31">
        <f>IF(E258="","",N(I258)+N(J258)-N(K258))</f>
        <v/>
      </c>
      <c r="M258" s="39" t="n"/>
      <c r="N258" s="27">
        <f>IF(E258="","",IF(TODAY()&lt;E258,"Upcoming",IF(TODAY()&lt;F258,"Staying now",IF(M258="Yes","Checked out","Payout not received"))))</f>
        <v/>
      </c>
      <c r="O258" s="35" t="n"/>
      <c r="P258" s="1" t="n"/>
      <c r="Q258">
        <f>IF(N(G258)&gt;0,L258/G258,0)</f>
        <v/>
      </c>
      <c r="R258">
        <f>IF(N(G258)&gt;0,N(I258)/G258,0)</f>
        <v/>
      </c>
      <c r="S258">
        <f>IF(OR($E258="",$F258=""),0,MAX(0,MIN($F258,DATE(Dashboard!$C$4,2,1))-MAX($E258,DATE(Dashboard!$C$4,1,1))))</f>
        <v/>
      </c>
      <c r="T258">
        <f>IF(OR($E258="",$F258=""),0,MAX(0,MIN($F258,DATE(Dashboard!$C$4,3,1))-MAX($E258,DATE(Dashboard!$C$4,2,1))))</f>
        <v/>
      </c>
      <c r="U258">
        <f>IF(OR($E258="",$F258=""),0,MAX(0,MIN($F258,DATE(Dashboard!$C$4,4,1))-MAX($E258,DATE(Dashboard!$C$4,3,1))))</f>
        <v/>
      </c>
      <c r="V258">
        <f>IF(OR($E258="",$F258=""),0,MAX(0,MIN($F258,DATE(Dashboard!$C$4,5,1))-MAX($E258,DATE(Dashboard!$C$4,4,1))))</f>
        <v/>
      </c>
      <c r="W258">
        <f>IF(OR($E258="",$F258=""),0,MAX(0,MIN($F258,DATE(Dashboard!$C$4,6,1))-MAX($E258,DATE(Dashboard!$C$4,5,1))))</f>
        <v/>
      </c>
      <c r="X258">
        <f>IF(OR($E258="",$F258=""),0,MAX(0,MIN($F258,DATE(Dashboard!$C$4,7,1))-MAX($E258,DATE(Dashboard!$C$4,6,1))))</f>
        <v/>
      </c>
      <c r="Y258">
        <f>IF(OR($E258="",$F258=""),0,MAX(0,MIN($F258,DATE(Dashboard!$C$4,8,1))-MAX($E258,DATE(Dashboard!$C$4,7,1))))</f>
        <v/>
      </c>
      <c r="Z258">
        <f>IF(OR($E258="",$F258=""),0,MAX(0,MIN($F258,DATE(Dashboard!$C$4,9,1))-MAX($E258,DATE(Dashboard!$C$4,8,1))))</f>
        <v/>
      </c>
      <c r="AA258">
        <f>IF(OR($E258="",$F258=""),0,MAX(0,MIN($F258,DATE(Dashboard!$C$4,10,1))-MAX($E258,DATE(Dashboard!$C$4,9,1))))</f>
        <v/>
      </c>
      <c r="AB258">
        <f>IF(OR($E258="",$F258=""),0,MAX(0,MIN($F258,DATE(Dashboard!$C$4,11,1))-MAX($E258,DATE(Dashboard!$C$4,10,1))))</f>
        <v/>
      </c>
      <c r="AC258">
        <f>IF(OR($E258="",$F258=""),0,MAX(0,MIN($F258,DATE(Dashboard!$C$4,12,1))-MAX($E258,DATE(Dashboard!$C$4,11,1))))</f>
        <v/>
      </c>
      <c r="AD258">
        <f>IF(OR($E258="",$F258=""),0,MAX(0,MIN($F258,DATE(Dashboard!$C$4,13,1))-MAX($E258,DATE(Dashboard!$C$4,12,1))))</f>
        <v/>
      </c>
      <c r="AE258">
        <f>SUM(S258:AD258)</f>
        <v/>
      </c>
      <c r="AF258">
        <f>Q258*AE258</f>
        <v/>
      </c>
      <c r="AG258">
        <f>R258*AE258</f>
        <v/>
      </c>
      <c r="AH258">
        <f>SUMPRODUCT(S258:AD258,--(COLUMN(S258:AD258)-COLUMN(S258)+1&lt;=Dashboard!$N$1))</f>
        <v/>
      </c>
      <c r="AI258">
        <f>IF(OR(E258="",E258&lt;TODAY()),"",E258+ROW()/100000)</f>
        <v/>
      </c>
      <c r="AJ258">
        <f>IF(OR(F258="",F258&lt;TODAY()),"",F258+ROW()/100000)</f>
        <v/>
      </c>
    </row>
    <row r="259">
      <c r="A259" s="1" t="n"/>
      <c r="B259" s="35" t="n"/>
      <c r="C259" s="35" t="n"/>
      <c r="D259" s="35" t="n"/>
      <c r="E259" s="36" t="n"/>
      <c r="F259" s="36" t="n"/>
      <c r="G259" s="18">
        <f>IF(OR(E259="",F259=""),"",F259-E259)</f>
        <v/>
      </c>
      <c r="H259" s="37" t="n"/>
      <c r="I259" s="38" t="n"/>
      <c r="J259" s="38" t="n"/>
      <c r="K259" s="38" t="n"/>
      <c r="L259" s="31">
        <f>IF(E259="","",N(I259)+N(J259)-N(K259))</f>
        <v/>
      </c>
      <c r="M259" s="39" t="n"/>
      <c r="N259" s="27">
        <f>IF(E259="","",IF(TODAY()&lt;E259,"Upcoming",IF(TODAY()&lt;F259,"Staying now",IF(M259="Yes","Checked out","Payout not received"))))</f>
        <v/>
      </c>
      <c r="O259" s="35" t="n"/>
      <c r="P259" s="1" t="n"/>
      <c r="Q259">
        <f>IF(N(G259)&gt;0,L259/G259,0)</f>
        <v/>
      </c>
      <c r="R259">
        <f>IF(N(G259)&gt;0,N(I259)/G259,0)</f>
        <v/>
      </c>
      <c r="S259">
        <f>IF(OR($E259="",$F259=""),0,MAX(0,MIN($F259,DATE(Dashboard!$C$4,2,1))-MAX($E259,DATE(Dashboard!$C$4,1,1))))</f>
        <v/>
      </c>
      <c r="T259">
        <f>IF(OR($E259="",$F259=""),0,MAX(0,MIN($F259,DATE(Dashboard!$C$4,3,1))-MAX($E259,DATE(Dashboard!$C$4,2,1))))</f>
        <v/>
      </c>
      <c r="U259">
        <f>IF(OR($E259="",$F259=""),0,MAX(0,MIN($F259,DATE(Dashboard!$C$4,4,1))-MAX($E259,DATE(Dashboard!$C$4,3,1))))</f>
        <v/>
      </c>
      <c r="V259">
        <f>IF(OR($E259="",$F259=""),0,MAX(0,MIN($F259,DATE(Dashboard!$C$4,5,1))-MAX($E259,DATE(Dashboard!$C$4,4,1))))</f>
        <v/>
      </c>
      <c r="W259">
        <f>IF(OR($E259="",$F259=""),0,MAX(0,MIN($F259,DATE(Dashboard!$C$4,6,1))-MAX($E259,DATE(Dashboard!$C$4,5,1))))</f>
        <v/>
      </c>
      <c r="X259">
        <f>IF(OR($E259="",$F259=""),0,MAX(0,MIN($F259,DATE(Dashboard!$C$4,7,1))-MAX($E259,DATE(Dashboard!$C$4,6,1))))</f>
        <v/>
      </c>
      <c r="Y259">
        <f>IF(OR($E259="",$F259=""),0,MAX(0,MIN($F259,DATE(Dashboard!$C$4,8,1))-MAX($E259,DATE(Dashboard!$C$4,7,1))))</f>
        <v/>
      </c>
      <c r="Z259">
        <f>IF(OR($E259="",$F259=""),0,MAX(0,MIN($F259,DATE(Dashboard!$C$4,9,1))-MAX($E259,DATE(Dashboard!$C$4,8,1))))</f>
        <v/>
      </c>
      <c r="AA259">
        <f>IF(OR($E259="",$F259=""),0,MAX(0,MIN($F259,DATE(Dashboard!$C$4,10,1))-MAX($E259,DATE(Dashboard!$C$4,9,1))))</f>
        <v/>
      </c>
      <c r="AB259">
        <f>IF(OR($E259="",$F259=""),0,MAX(0,MIN($F259,DATE(Dashboard!$C$4,11,1))-MAX($E259,DATE(Dashboard!$C$4,10,1))))</f>
        <v/>
      </c>
      <c r="AC259">
        <f>IF(OR($E259="",$F259=""),0,MAX(0,MIN($F259,DATE(Dashboard!$C$4,12,1))-MAX($E259,DATE(Dashboard!$C$4,11,1))))</f>
        <v/>
      </c>
      <c r="AD259">
        <f>IF(OR($E259="",$F259=""),0,MAX(0,MIN($F259,DATE(Dashboard!$C$4,13,1))-MAX($E259,DATE(Dashboard!$C$4,12,1))))</f>
        <v/>
      </c>
      <c r="AE259">
        <f>SUM(S259:AD259)</f>
        <v/>
      </c>
      <c r="AF259">
        <f>Q259*AE259</f>
        <v/>
      </c>
      <c r="AG259">
        <f>R259*AE259</f>
        <v/>
      </c>
      <c r="AH259">
        <f>SUMPRODUCT(S259:AD259,--(COLUMN(S259:AD259)-COLUMN(S259)+1&lt;=Dashboard!$N$1))</f>
        <v/>
      </c>
      <c r="AI259">
        <f>IF(OR(E259="",E259&lt;TODAY()),"",E259+ROW()/100000)</f>
        <v/>
      </c>
      <c r="AJ259">
        <f>IF(OR(F259="",F259&lt;TODAY()),"",F259+ROW()/100000)</f>
        <v/>
      </c>
    </row>
    <row r="260">
      <c r="A260" s="1" t="n"/>
      <c r="B260" s="35" t="n"/>
      <c r="C260" s="35" t="n"/>
      <c r="D260" s="35" t="n"/>
      <c r="E260" s="36" t="n"/>
      <c r="F260" s="36" t="n"/>
      <c r="G260" s="18">
        <f>IF(OR(E260="",F260=""),"",F260-E260)</f>
        <v/>
      </c>
      <c r="H260" s="37" t="n"/>
      <c r="I260" s="38" t="n"/>
      <c r="J260" s="38" t="n"/>
      <c r="K260" s="38" t="n"/>
      <c r="L260" s="31">
        <f>IF(E260="","",N(I260)+N(J260)-N(K260))</f>
        <v/>
      </c>
      <c r="M260" s="39" t="n"/>
      <c r="N260" s="27">
        <f>IF(E260="","",IF(TODAY()&lt;E260,"Upcoming",IF(TODAY()&lt;F260,"Staying now",IF(M260="Yes","Checked out","Payout not received"))))</f>
        <v/>
      </c>
      <c r="O260" s="35" t="n"/>
      <c r="P260" s="1" t="n"/>
      <c r="Q260">
        <f>IF(N(G260)&gt;0,L260/G260,0)</f>
        <v/>
      </c>
      <c r="R260">
        <f>IF(N(G260)&gt;0,N(I260)/G260,0)</f>
        <v/>
      </c>
      <c r="S260">
        <f>IF(OR($E260="",$F260=""),0,MAX(0,MIN($F260,DATE(Dashboard!$C$4,2,1))-MAX($E260,DATE(Dashboard!$C$4,1,1))))</f>
        <v/>
      </c>
      <c r="T260">
        <f>IF(OR($E260="",$F260=""),0,MAX(0,MIN($F260,DATE(Dashboard!$C$4,3,1))-MAX($E260,DATE(Dashboard!$C$4,2,1))))</f>
        <v/>
      </c>
      <c r="U260">
        <f>IF(OR($E260="",$F260=""),0,MAX(0,MIN($F260,DATE(Dashboard!$C$4,4,1))-MAX($E260,DATE(Dashboard!$C$4,3,1))))</f>
        <v/>
      </c>
      <c r="V260">
        <f>IF(OR($E260="",$F260=""),0,MAX(0,MIN($F260,DATE(Dashboard!$C$4,5,1))-MAX($E260,DATE(Dashboard!$C$4,4,1))))</f>
        <v/>
      </c>
      <c r="W260">
        <f>IF(OR($E260="",$F260=""),0,MAX(0,MIN($F260,DATE(Dashboard!$C$4,6,1))-MAX($E260,DATE(Dashboard!$C$4,5,1))))</f>
        <v/>
      </c>
      <c r="X260">
        <f>IF(OR($E260="",$F260=""),0,MAX(0,MIN($F260,DATE(Dashboard!$C$4,7,1))-MAX($E260,DATE(Dashboard!$C$4,6,1))))</f>
        <v/>
      </c>
      <c r="Y260">
        <f>IF(OR($E260="",$F260=""),0,MAX(0,MIN($F260,DATE(Dashboard!$C$4,8,1))-MAX($E260,DATE(Dashboard!$C$4,7,1))))</f>
        <v/>
      </c>
      <c r="Z260">
        <f>IF(OR($E260="",$F260=""),0,MAX(0,MIN($F260,DATE(Dashboard!$C$4,9,1))-MAX($E260,DATE(Dashboard!$C$4,8,1))))</f>
        <v/>
      </c>
      <c r="AA260">
        <f>IF(OR($E260="",$F260=""),0,MAX(0,MIN($F260,DATE(Dashboard!$C$4,10,1))-MAX($E260,DATE(Dashboard!$C$4,9,1))))</f>
        <v/>
      </c>
      <c r="AB260">
        <f>IF(OR($E260="",$F260=""),0,MAX(0,MIN($F260,DATE(Dashboard!$C$4,11,1))-MAX($E260,DATE(Dashboard!$C$4,10,1))))</f>
        <v/>
      </c>
      <c r="AC260">
        <f>IF(OR($E260="",$F260=""),0,MAX(0,MIN($F260,DATE(Dashboard!$C$4,12,1))-MAX($E260,DATE(Dashboard!$C$4,11,1))))</f>
        <v/>
      </c>
      <c r="AD260">
        <f>IF(OR($E260="",$F260=""),0,MAX(0,MIN($F260,DATE(Dashboard!$C$4,13,1))-MAX($E260,DATE(Dashboard!$C$4,12,1))))</f>
        <v/>
      </c>
      <c r="AE260">
        <f>SUM(S260:AD260)</f>
        <v/>
      </c>
      <c r="AF260">
        <f>Q260*AE260</f>
        <v/>
      </c>
      <c r="AG260">
        <f>R260*AE260</f>
        <v/>
      </c>
      <c r="AH260">
        <f>SUMPRODUCT(S260:AD260,--(COLUMN(S260:AD260)-COLUMN(S260)+1&lt;=Dashboard!$N$1))</f>
        <v/>
      </c>
      <c r="AI260">
        <f>IF(OR(E260="",E260&lt;TODAY()),"",E260+ROW()/100000)</f>
        <v/>
      </c>
      <c r="AJ260">
        <f>IF(OR(F260="",F260&lt;TODAY()),"",F260+ROW()/100000)</f>
        <v/>
      </c>
    </row>
    <row r="261">
      <c r="A261" s="1" t="n"/>
      <c r="B261" s="35" t="n"/>
      <c r="C261" s="35" t="n"/>
      <c r="D261" s="35" t="n"/>
      <c r="E261" s="36" t="n"/>
      <c r="F261" s="36" t="n"/>
      <c r="G261" s="18">
        <f>IF(OR(E261="",F261=""),"",F261-E261)</f>
        <v/>
      </c>
      <c r="H261" s="37" t="n"/>
      <c r="I261" s="38" t="n"/>
      <c r="J261" s="38" t="n"/>
      <c r="K261" s="38" t="n"/>
      <c r="L261" s="31">
        <f>IF(E261="","",N(I261)+N(J261)-N(K261))</f>
        <v/>
      </c>
      <c r="M261" s="39" t="n"/>
      <c r="N261" s="27">
        <f>IF(E261="","",IF(TODAY()&lt;E261,"Upcoming",IF(TODAY()&lt;F261,"Staying now",IF(M261="Yes","Checked out","Payout not received"))))</f>
        <v/>
      </c>
      <c r="O261" s="35" t="n"/>
      <c r="P261" s="1" t="n"/>
      <c r="Q261">
        <f>IF(N(G261)&gt;0,L261/G261,0)</f>
        <v/>
      </c>
      <c r="R261">
        <f>IF(N(G261)&gt;0,N(I261)/G261,0)</f>
        <v/>
      </c>
      <c r="S261">
        <f>IF(OR($E261="",$F261=""),0,MAX(0,MIN($F261,DATE(Dashboard!$C$4,2,1))-MAX($E261,DATE(Dashboard!$C$4,1,1))))</f>
        <v/>
      </c>
      <c r="T261">
        <f>IF(OR($E261="",$F261=""),0,MAX(0,MIN($F261,DATE(Dashboard!$C$4,3,1))-MAX($E261,DATE(Dashboard!$C$4,2,1))))</f>
        <v/>
      </c>
      <c r="U261">
        <f>IF(OR($E261="",$F261=""),0,MAX(0,MIN($F261,DATE(Dashboard!$C$4,4,1))-MAX($E261,DATE(Dashboard!$C$4,3,1))))</f>
        <v/>
      </c>
      <c r="V261">
        <f>IF(OR($E261="",$F261=""),0,MAX(0,MIN($F261,DATE(Dashboard!$C$4,5,1))-MAX($E261,DATE(Dashboard!$C$4,4,1))))</f>
        <v/>
      </c>
      <c r="W261">
        <f>IF(OR($E261="",$F261=""),0,MAX(0,MIN($F261,DATE(Dashboard!$C$4,6,1))-MAX($E261,DATE(Dashboard!$C$4,5,1))))</f>
        <v/>
      </c>
      <c r="X261">
        <f>IF(OR($E261="",$F261=""),0,MAX(0,MIN($F261,DATE(Dashboard!$C$4,7,1))-MAX($E261,DATE(Dashboard!$C$4,6,1))))</f>
        <v/>
      </c>
      <c r="Y261">
        <f>IF(OR($E261="",$F261=""),0,MAX(0,MIN($F261,DATE(Dashboard!$C$4,8,1))-MAX($E261,DATE(Dashboard!$C$4,7,1))))</f>
        <v/>
      </c>
      <c r="Z261">
        <f>IF(OR($E261="",$F261=""),0,MAX(0,MIN($F261,DATE(Dashboard!$C$4,9,1))-MAX($E261,DATE(Dashboard!$C$4,8,1))))</f>
        <v/>
      </c>
      <c r="AA261">
        <f>IF(OR($E261="",$F261=""),0,MAX(0,MIN($F261,DATE(Dashboard!$C$4,10,1))-MAX($E261,DATE(Dashboard!$C$4,9,1))))</f>
        <v/>
      </c>
      <c r="AB261">
        <f>IF(OR($E261="",$F261=""),0,MAX(0,MIN($F261,DATE(Dashboard!$C$4,11,1))-MAX($E261,DATE(Dashboard!$C$4,10,1))))</f>
        <v/>
      </c>
      <c r="AC261">
        <f>IF(OR($E261="",$F261=""),0,MAX(0,MIN($F261,DATE(Dashboard!$C$4,12,1))-MAX($E261,DATE(Dashboard!$C$4,11,1))))</f>
        <v/>
      </c>
      <c r="AD261">
        <f>IF(OR($E261="",$F261=""),0,MAX(0,MIN($F261,DATE(Dashboard!$C$4,13,1))-MAX($E261,DATE(Dashboard!$C$4,12,1))))</f>
        <v/>
      </c>
      <c r="AE261">
        <f>SUM(S261:AD261)</f>
        <v/>
      </c>
      <c r="AF261">
        <f>Q261*AE261</f>
        <v/>
      </c>
      <c r="AG261">
        <f>R261*AE261</f>
        <v/>
      </c>
      <c r="AH261">
        <f>SUMPRODUCT(S261:AD261,--(COLUMN(S261:AD261)-COLUMN(S261)+1&lt;=Dashboard!$N$1))</f>
        <v/>
      </c>
      <c r="AI261">
        <f>IF(OR(E261="",E261&lt;TODAY()),"",E261+ROW()/100000)</f>
        <v/>
      </c>
      <c r="AJ261">
        <f>IF(OR(F261="",F261&lt;TODAY()),"",F261+ROW()/100000)</f>
        <v/>
      </c>
    </row>
    <row r="262">
      <c r="A262" s="1" t="n"/>
      <c r="B262" s="35" t="n"/>
      <c r="C262" s="35" t="n"/>
      <c r="D262" s="35" t="n"/>
      <c r="E262" s="36" t="n"/>
      <c r="F262" s="36" t="n"/>
      <c r="G262" s="18">
        <f>IF(OR(E262="",F262=""),"",F262-E262)</f>
        <v/>
      </c>
      <c r="H262" s="37" t="n"/>
      <c r="I262" s="38" t="n"/>
      <c r="J262" s="38" t="n"/>
      <c r="K262" s="38" t="n"/>
      <c r="L262" s="31">
        <f>IF(E262="","",N(I262)+N(J262)-N(K262))</f>
        <v/>
      </c>
      <c r="M262" s="39" t="n"/>
      <c r="N262" s="27">
        <f>IF(E262="","",IF(TODAY()&lt;E262,"Upcoming",IF(TODAY()&lt;F262,"Staying now",IF(M262="Yes","Checked out","Payout not received"))))</f>
        <v/>
      </c>
      <c r="O262" s="35" t="n"/>
      <c r="P262" s="1" t="n"/>
      <c r="Q262">
        <f>IF(N(G262)&gt;0,L262/G262,0)</f>
        <v/>
      </c>
      <c r="R262">
        <f>IF(N(G262)&gt;0,N(I262)/G262,0)</f>
        <v/>
      </c>
      <c r="S262">
        <f>IF(OR($E262="",$F262=""),0,MAX(0,MIN($F262,DATE(Dashboard!$C$4,2,1))-MAX($E262,DATE(Dashboard!$C$4,1,1))))</f>
        <v/>
      </c>
      <c r="T262">
        <f>IF(OR($E262="",$F262=""),0,MAX(0,MIN($F262,DATE(Dashboard!$C$4,3,1))-MAX($E262,DATE(Dashboard!$C$4,2,1))))</f>
        <v/>
      </c>
      <c r="U262">
        <f>IF(OR($E262="",$F262=""),0,MAX(0,MIN($F262,DATE(Dashboard!$C$4,4,1))-MAX($E262,DATE(Dashboard!$C$4,3,1))))</f>
        <v/>
      </c>
      <c r="V262">
        <f>IF(OR($E262="",$F262=""),0,MAX(0,MIN($F262,DATE(Dashboard!$C$4,5,1))-MAX($E262,DATE(Dashboard!$C$4,4,1))))</f>
        <v/>
      </c>
      <c r="W262">
        <f>IF(OR($E262="",$F262=""),0,MAX(0,MIN($F262,DATE(Dashboard!$C$4,6,1))-MAX($E262,DATE(Dashboard!$C$4,5,1))))</f>
        <v/>
      </c>
      <c r="X262">
        <f>IF(OR($E262="",$F262=""),0,MAX(0,MIN($F262,DATE(Dashboard!$C$4,7,1))-MAX($E262,DATE(Dashboard!$C$4,6,1))))</f>
        <v/>
      </c>
      <c r="Y262">
        <f>IF(OR($E262="",$F262=""),0,MAX(0,MIN($F262,DATE(Dashboard!$C$4,8,1))-MAX($E262,DATE(Dashboard!$C$4,7,1))))</f>
        <v/>
      </c>
      <c r="Z262">
        <f>IF(OR($E262="",$F262=""),0,MAX(0,MIN($F262,DATE(Dashboard!$C$4,9,1))-MAX($E262,DATE(Dashboard!$C$4,8,1))))</f>
        <v/>
      </c>
      <c r="AA262">
        <f>IF(OR($E262="",$F262=""),0,MAX(0,MIN($F262,DATE(Dashboard!$C$4,10,1))-MAX($E262,DATE(Dashboard!$C$4,9,1))))</f>
        <v/>
      </c>
      <c r="AB262">
        <f>IF(OR($E262="",$F262=""),0,MAX(0,MIN($F262,DATE(Dashboard!$C$4,11,1))-MAX($E262,DATE(Dashboard!$C$4,10,1))))</f>
        <v/>
      </c>
      <c r="AC262">
        <f>IF(OR($E262="",$F262=""),0,MAX(0,MIN($F262,DATE(Dashboard!$C$4,12,1))-MAX($E262,DATE(Dashboard!$C$4,11,1))))</f>
        <v/>
      </c>
      <c r="AD262">
        <f>IF(OR($E262="",$F262=""),0,MAX(0,MIN($F262,DATE(Dashboard!$C$4,13,1))-MAX($E262,DATE(Dashboard!$C$4,12,1))))</f>
        <v/>
      </c>
      <c r="AE262">
        <f>SUM(S262:AD262)</f>
        <v/>
      </c>
      <c r="AF262">
        <f>Q262*AE262</f>
        <v/>
      </c>
      <c r="AG262">
        <f>R262*AE262</f>
        <v/>
      </c>
      <c r="AH262">
        <f>SUMPRODUCT(S262:AD262,--(COLUMN(S262:AD262)-COLUMN(S262)+1&lt;=Dashboard!$N$1))</f>
        <v/>
      </c>
      <c r="AI262">
        <f>IF(OR(E262="",E262&lt;TODAY()),"",E262+ROW()/100000)</f>
        <v/>
      </c>
      <c r="AJ262">
        <f>IF(OR(F262="",F262&lt;TODAY()),"",F262+ROW()/100000)</f>
        <v/>
      </c>
    </row>
    <row r="263">
      <c r="A263" s="1" t="n"/>
      <c r="B263" s="35" t="n"/>
      <c r="C263" s="35" t="n"/>
      <c r="D263" s="35" t="n"/>
      <c r="E263" s="36" t="n"/>
      <c r="F263" s="36" t="n"/>
      <c r="G263" s="18">
        <f>IF(OR(E263="",F263=""),"",F263-E263)</f>
        <v/>
      </c>
      <c r="H263" s="37" t="n"/>
      <c r="I263" s="38" t="n"/>
      <c r="J263" s="38" t="n"/>
      <c r="K263" s="38" t="n"/>
      <c r="L263" s="31">
        <f>IF(E263="","",N(I263)+N(J263)-N(K263))</f>
        <v/>
      </c>
      <c r="M263" s="39" t="n"/>
      <c r="N263" s="27">
        <f>IF(E263="","",IF(TODAY()&lt;E263,"Upcoming",IF(TODAY()&lt;F263,"Staying now",IF(M263="Yes","Checked out","Payout not received"))))</f>
        <v/>
      </c>
      <c r="O263" s="35" t="n"/>
      <c r="P263" s="1" t="n"/>
      <c r="Q263">
        <f>IF(N(G263)&gt;0,L263/G263,0)</f>
        <v/>
      </c>
      <c r="R263">
        <f>IF(N(G263)&gt;0,N(I263)/G263,0)</f>
        <v/>
      </c>
      <c r="S263">
        <f>IF(OR($E263="",$F263=""),0,MAX(0,MIN($F263,DATE(Dashboard!$C$4,2,1))-MAX($E263,DATE(Dashboard!$C$4,1,1))))</f>
        <v/>
      </c>
      <c r="T263">
        <f>IF(OR($E263="",$F263=""),0,MAX(0,MIN($F263,DATE(Dashboard!$C$4,3,1))-MAX($E263,DATE(Dashboard!$C$4,2,1))))</f>
        <v/>
      </c>
      <c r="U263">
        <f>IF(OR($E263="",$F263=""),0,MAX(0,MIN($F263,DATE(Dashboard!$C$4,4,1))-MAX($E263,DATE(Dashboard!$C$4,3,1))))</f>
        <v/>
      </c>
      <c r="V263">
        <f>IF(OR($E263="",$F263=""),0,MAX(0,MIN($F263,DATE(Dashboard!$C$4,5,1))-MAX($E263,DATE(Dashboard!$C$4,4,1))))</f>
        <v/>
      </c>
      <c r="W263">
        <f>IF(OR($E263="",$F263=""),0,MAX(0,MIN($F263,DATE(Dashboard!$C$4,6,1))-MAX($E263,DATE(Dashboard!$C$4,5,1))))</f>
        <v/>
      </c>
      <c r="X263">
        <f>IF(OR($E263="",$F263=""),0,MAX(0,MIN($F263,DATE(Dashboard!$C$4,7,1))-MAX($E263,DATE(Dashboard!$C$4,6,1))))</f>
        <v/>
      </c>
      <c r="Y263">
        <f>IF(OR($E263="",$F263=""),0,MAX(0,MIN($F263,DATE(Dashboard!$C$4,8,1))-MAX($E263,DATE(Dashboard!$C$4,7,1))))</f>
        <v/>
      </c>
      <c r="Z263">
        <f>IF(OR($E263="",$F263=""),0,MAX(0,MIN($F263,DATE(Dashboard!$C$4,9,1))-MAX($E263,DATE(Dashboard!$C$4,8,1))))</f>
        <v/>
      </c>
      <c r="AA263">
        <f>IF(OR($E263="",$F263=""),0,MAX(0,MIN($F263,DATE(Dashboard!$C$4,10,1))-MAX($E263,DATE(Dashboard!$C$4,9,1))))</f>
        <v/>
      </c>
      <c r="AB263">
        <f>IF(OR($E263="",$F263=""),0,MAX(0,MIN($F263,DATE(Dashboard!$C$4,11,1))-MAX($E263,DATE(Dashboard!$C$4,10,1))))</f>
        <v/>
      </c>
      <c r="AC263">
        <f>IF(OR($E263="",$F263=""),0,MAX(0,MIN($F263,DATE(Dashboard!$C$4,12,1))-MAX($E263,DATE(Dashboard!$C$4,11,1))))</f>
        <v/>
      </c>
      <c r="AD263">
        <f>IF(OR($E263="",$F263=""),0,MAX(0,MIN($F263,DATE(Dashboard!$C$4,13,1))-MAX($E263,DATE(Dashboard!$C$4,12,1))))</f>
        <v/>
      </c>
      <c r="AE263">
        <f>SUM(S263:AD263)</f>
        <v/>
      </c>
      <c r="AF263">
        <f>Q263*AE263</f>
        <v/>
      </c>
      <c r="AG263">
        <f>R263*AE263</f>
        <v/>
      </c>
      <c r="AH263">
        <f>SUMPRODUCT(S263:AD263,--(COLUMN(S263:AD263)-COLUMN(S263)+1&lt;=Dashboard!$N$1))</f>
        <v/>
      </c>
      <c r="AI263">
        <f>IF(OR(E263="",E263&lt;TODAY()),"",E263+ROW()/100000)</f>
        <v/>
      </c>
      <c r="AJ263">
        <f>IF(OR(F263="",F263&lt;TODAY()),"",F263+ROW()/100000)</f>
        <v/>
      </c>
    </row>
    <row r="264">
      <c r="A264" s="1" t="n"/>
      <c r="B264" s="35" t="n"/>
      <c r="C264" s="35" t="n"/>
      <c r="D264" s="35" t="n"/>
      <c r="E264" s="36" t="n"/>
      <c r="F264" s="36" t="n"/>
      <c r="G264" s="18">
        <f>IF(OR(E264="",F264=""),"",F264-E264)</f>
        <v/>
      </c>
      <c r="H264" s="37" t="n"/>
      <c r="I264" s="38" t="n"/>
      <c r="J264" s="38" t="n"/>
      <c r="K264" s="38" t="n"/>
      <c r="L264" s="31">
        <f>IF(E264="","",N(I264)+N(J264)-N(K264))</f>
        <v/>
      </c>
      <c r="M264" s="39" t="n"/>
      <c r="N264" s="27">
        <f>IF(E264="","",IF(TODAY()&lt;E264,"Upcoming",IF(TODAY()&lt;F264,"Staying now",IF(M264="Yes","Checked out","Payout not received"))))</f>
        <v/>
      </c>
      <c r="O264" s="35" t="n"/>
      <c r="P264" s="1" t="n"/>
      <c r="Q264">
        <f>IF(N(G264)&gt;0,L264/G264,0)</f>
        <v/>
      </c>
      <c r="R264">
        <f>IF(N(G264)&gt;0,N(I264)/G264,0)</f>
        <v/>
      </c>
      <c r="S264">
        <f>IF(OR($E264="",$F264=""),0,MAX(0,MIN($F264,DATE(Dashboard!$C$4,2,1))-MAX($E264,DATE(Dashboard!$C$4,1,1))))</f>
        <v/>
      </c>
      <c r="T264">
        <f>IF(OR($E264="",$F264=""),0,MAX(0,MIN($F264,DATE(Dashboard!$C$4,3,1))-MAX($E264,DATE(Dashboard!$C$4,2,1))))</f>
        <v/>
      </c>
      <c r="U264">
        <f>IF(OR($E264="",$F264=""),0,MAX(0,MIN($F264,DATE(Dashboard!$C$4,4,1))-MAX($E264,DATE(Dashboard!$C$4,3,1))))</f>
        <v/>
      </c>
      <c r="V264">
        <f>IF(OR($E264="",$F264=""),0,MAX(0,MIN($F264,DATE(Dashboard!$C$4,5,1))-MAX($E264,DATE(Dashboard!$C$4,4,1))))</f>
        <v/>
      </c>
      <c r="W264">
        <f>IF(OR($E264="",$F264=""),0,MAX(0,MIN($F264,DATE(Dashboard!$C$4,6,1))-MAX($E264,DATE(Dashboard!$C$4,5,1))))</f>
        <v/>
      </c>
      <c r="X264">
        <f>IF(OR($E264="",$F264=""),0,MAX(0,MIN($F264,DATE(Dashboard!$C$4,7,1))-MAX($E264,DATE(Dashboard!$C$4,6,1))))</f>
        <v/>
      </c>
      <c r="Y264">
        <f>IF(OR($E264="",$F264=""),0,MAX(0,MIN($F264,DATE(Dashboard!$C$4,8,1))-MAX($E264,DATE(Dashboard!$C$4,7,1))))</f>
        <v/>
      </c>
      <c r="Z264">
        <f>IF(OR($E264="",$F264=""),0,MAX(0,MIN($F264,DATE(Dashboard!$C$4,9,1))-MAX($E264,DATE(Dashboard!$C$4,8,1))))</f>
        <v/>
      </c>
      <c r="AA264">
        <f>IF(OR($E264="",$F264=""),0,MAX(0,MIN($F264,DATE(Dashboard!$C$4,10,1))-MAX($E264,DATE(Dashboard!$C$4,9,1))))</f>
        <v/>
      </c>
      <c r="AB264">
        <f>IF(OR($E264="",$F264=""),0,MAX(0,MIN($F264,DATE(Dashboard!$C$4,11,1))-MAX($E264,DATE(Dashboard!$C$4,10,1))))</f>
        <v/>
      </c>
      <c r="AC264">
        <f>IF(OR($E264="",$F264=""),0,MAX(0,MIN($F264,DATE(Dashboard!$C$4,12,1))-MAX($E264,DATE(Dashboard!$C$4,11,1))))</f>
        <v/>
      </c>
      <c r="AD264">
        <f>IF(OR($E264="",$F264=""),0,MAX(0,MIN($F264,DATE(Dashboard!$C$4,13,1))-MAX($E264,DATE(Dashboard!$C$4,12,1))))</f>
        <v/>
      </c>
      <c r="AE264">
        <f>SUM(S264:AD264)</f>
        <v/>
      </c>
      <c r="AF264">
        <f>Q264*AE264</f>
        <v/>
      </c>
      <c r="AG264">
        <f>R264*AE264</f>
        <v/>
      </c>
      <c r="AH264">
        <f>SUMPRODUCT(S264:AD264,--(COLUMN(S264:AD264)-COLUMN(S264)+1&lt;=Dashboard!$N$1))</f>
        <v/>
      </c>
      <c r="AI264">
        <f>IF(OR(E264="",E264&lt;TODAY()),"",E264+ROW()/100000)</f>
        <v/>
      </c>
      <c r="AJ264">
        <f>IF(OR(F264="",F264&lt;TODAY()),"",F264+ROW()/100000)</f>
        <v/>
      </c>
    </row>
    <row r="265">
      <c r="A265" s="1" t="n"/>
      <c r="B265" s="35" t="n"/>
      <c r="C265" s="35" t="n"/>
      <c r="D265" s="35" t="n"/>
      <c r="E265" s="36" t="n"/>
      <c r="F265" s="36" t="n"/>
      <c r="G265" s="18">
        <f>IF(OR(E265="",F265=""),"",F265-E265)</f>
        <v/>
      </c>
      <c r="H265" s="37" t="n"/>
      <c r="I265" s="38" t="n"/>
      <c r="J265" s="38" t="n"/>
      <c r="K265" s="38" t="n"/>
      <c r="L265" s="31">
        <f>IF(E265="","",N(I265)+N(J265)-N(K265))</f>
        <v/>
      </c>
      <c r="M265" s="39" t="n"/>
      <c r="N265" s="27">
        <f>IF(E265="","",IF(TODAY()&lt;E265,"Upcoming",IF(TODAY()&lt;F265,"Staying now",IF(M265="Yes","Checked out","Payout not received"))))</f>
        <v/>
      </c>
      <c r="O265" s="35" t="n"/>
      <c r="P265" s="1" t="n"/>
      <c r="Q265">
        <f>IF(N(G265)&gt;0,L265/G265,0)</f>
        <v/>
      </c>
      <c r="R265">
        <f>IF(N(G265)&gt;0,N(I265)/G265,0)</f>
        <v/>
      </c>
      <c r="S265">
        <f>IF(OR($E265="",$F265=""),0,MAX(0,MIN($F265,DATE(Dashboard!$C$4,2,1))-MAX($E265,DATE(Dashboard!$C$4,1,1))))</f>
        <v/>
      </c>
      <c r="T265">
        <f>IF(OR($E265="",$F265=""),0,MAX(0,MIN($F265,DATE(Dashboard!$C$4,3,1))-MAX($E265,DATE(Dashboard!$C$4,2,1))))</f>
        <v/>
      </c>
      <c r="U265">
        <f>IF(OR($E265="",$F265=""),0,MAX(0,MIN($F265,DATE(Dashboard!$C$4,4,1))-MAX($E265,DATE(Dashboard!$C$4,3,1))))</f>
        <v/>
      </c>
      <c r="V265">
        <f>IF(OR($E265="",$F265=""),0,MAX(0,MIN($F265,DATE(Dashboard!$C$4,5,1))-MAX($E265,DATE(Dashboard!$C$4,4,1))))</f>
        <v/>
      </c>
      <c r="W265">
        <f>IF(OR($E265="",$F265=""),0,MAX(0,MIN($F265,DATE(Dashboard!$C$4,6,1))-MAX($E265,DATE(Dashboard!$C$4,5,1))))</f>
        <v/>
      </c>
      <c r="X265">
        <f>IF(OR($E265="",$F265=""),0,MAX(0,MIN($F265,DATE(Dashboard!$C$4,7,1))-MAX($E265,DATE(Dashboard!$C$4,6,1))))</f>
        <v/>
      </c>
      <c r="Y265">
        <f>IF(OR($E265="",$F265=""),0,MAX(0,MIN($F265,DATE(Dashboard!$C$4,8,1))-MAX($E265,DATE(Dashboard!$C$4,7,1))))</f>
        <v/>
      </c>
      <c r="Z265">
        <f>IF(OR($E265="",$F265=""),0,MAX(0,MIN($F265,DATE(Dashboard!$C$4,9,1))-MAX($E265,DATE(Dashboard!$C$4,8,1))))</f>
        <v/>
      </c>
      <c r="AA265">
        <f>IF(OR($E265="",$F265=""),0,MAX(0,MIN($F265,DATE(Dashboard!$C$4,10,1))-MAX($E265,DATE(Dashboard!$C$4,9,1))))</f>
        <v/>
      </c>
      <c r="AB265">
        <f>IF(OR($E265="",$F265=""),0,MAX(0,MIN($F265,DATE(Dashboard!$C$4,11,1))-MAX($E265,DATE(Dashboard!$C$4,10,1))))</f>
        <v/>
      </c>
      <c r="AC265">
        <f>IF(OR($E265="",$F265=""),0,MAX(0,MIN($F265,DATE(Dashboard!$C$4,12,1))-MAX($E265,DATE(Dashboard!$C$4,11,1))))</f>
        <v/>
      </c>
      <c r="AD265">
        <f>IF(OR($E265="",$F265=""),0,MAX(0,MIN($F265,DATE(Dashboard!$C$4,13,1))-MAX($E265,DATE(Dashboard!$C$4,12,1))))</f>
        <v/>
      </c>
      <c r="AE265">
        <f>SUM(S265:AD265)</f>
        <v/>
      </c>
      <c r="AF265">
        <f>Q265*AE265</f>
        <v/>
      </c>
      <c r="AG265">
        <f>R265*AE265</f>
        <v/>
      </c>
      <c r="AH265">
        <f>SUMPRODUCT(S265:AD265,--(COLUMN(S265:AD265)-COLUMN(S265)+1&lt;=Dashboard!$N$1))</f>
        <v/>
      </c>
      <c r="AI265">
        <f>IF(OR(E265="",E265&lt;TODAY()),"",E265+ROW()/100000)</f>
        <v/>
      </c>
      <c r="AJ265">
        <f>IF(OR(F265="",F265&lt;TODAY()),"",F265+ROW()/100000)</f>
        <v/>
      </c>
    </row>
    <row r="266">
      <c r="A266" s="1" t="n"/>
      <c r="B266" s="35" t="n"/>
      <c r="C266" s="35" t="n"/>
      <c r="D266" s="35" t="n"/>
      <c r="E266" s="36" t="n"/>
      <c r="F266" s="36" t="n"/>
      <c r="G266" s="18">
        <f>IF(OR(E266="",F266=""),"",F266-E266)</f>
        <v/>
      </c>
      <c r="H266" s="37" t="n"/>
      <c r="I266" s="38" t="n"/>
      <c r="J266" s="38" t="n"/>
      <c r="K266" s="38" t="n"/>
      <c r="L266" s="31">
        <f>IF(E266="","",N(I266)+N(J266)-N(K266))</f>
        <v/>
      </c>
      <c r="M266" s="39" t="n"/>
      <c r="N266" s="27">
        <f>IF(E266="","",IF(TODAY()&lt;E266,"Upcoming",IF(TODAY()&lt;F266,"Staying now",IF(M266="Yes","Checked out","Payout not received"))))</f>
        <v/>
      </c>
      <c r="O266" s="35" t="n"/>
      <c r="P266" s="1" t="n"/>
      <c r="Q266">
        <f>IF(N(G266)&gt;0,L266/G266,0)</f>
        <v/>
      </c>
      <c r="R266">
        <f>IF(N(G266)&gt;0,N(I266)/G266,0)</f>
        <v/>
      </c>
      <c r="S266">
        <f>IF(OR($E266="",$F266=""),0,MAX(0,MIN($F266,DATE(Dashboard!$C$4,2,1))-MAX($E266,DATE(Dashboard!$C$4,1,1))))</f>
        <v/>
      </c>
      <c r="T266">
        <f>IF(OR($E266="",$F266=""),0,MAX(0,MIN($F266,DATE(Dashboard!$C$4,3,1))-MAX($E266,DATE(Dashboard!$C$4,2,1))))</f>
        <v/>
      </c>
      <c r="U266">
        <f>IF(OR($E266="",$F266=""),0,MAX(0,MIN($F266,DATE(Dashboard!$C$4,4,1))-MAX($E266,DATE(Dashboard!$C$4,3,1))))</f>
        <v/>
      </c>
      <c r="V266">
        <f>IF(OR($E266="",$F266=""),0,MAX(0,MIN($F266,DATE(Dashboard!$C$4,5,1))-MAX($E266,DATE(Dashboard!$C$4,4,1))))</f>
        <v/>
      </c>
      <c r="W266">
        <f>IF(OR($E266="",$F266=""),0,MAX(0,MIN($F266,DATE(Dashboard!$C$4,6,1))-MAX($E266,DATE(Dashboard!$C$4,5,1))))</f>
        <v/>
      </c>
      <c r="X266">
        <f>IF(OR($E266="",$F266=""),0,MAX(0,MIN($F266,DATE(Dashboard!$C$4,7,1))-MAX($E266,DATE(Dashboard!$C$4,6,1))))</f>
        <v/>
      </c>
      <c r="Y266">
        <f>IF(OR($E266="",$F266=""),0,MAX(0,MIN($F266,DATE(Dashboard!$C$4,8,1))-MAX($E266,DATE(Dashboard!$C$4,7,1))))</f>
        <v/>
      </c>
      <c r="Z266">
        <f>IF(OR($E266="",$F266=""),0,MAX(0,MIN($F266,DATE(Dashboard!$C$4,9,1))-MAX($E266,DATE(Dashboard!$C$4,8,1))))</f>
        <v/>
      </c>
      <c r="AA266">
        <f>IF(OR($E266="",$F266=""),0,MAX(0,MIN($F266,DATE(Dashboard!$C$4,10,1))-MAX($E266,DATE(Dashboard!$C$4,9,1))))</f>
        <v/>
      </c>
      <c r="AB266">
        <f>IF(OR($E266="",$F266=""),0,MAX(0,MIN($F266,DATE(Dashboard!$C$4,11,1))-MAX($E266,DATE(Dashboard!$C$4,10,1))))</f>
        <v/>
      </c>
      <c r="AC266">
        <f>IF(OR($E266="",$F266=""),0,MAX(0,MIN($F266,DATE(Dashboard!$C$4,12,1))-MAX($E266,DATE(Dashboard!$C$4,11,1))))</f>
        <v/>
      </c>
      <c r="AD266">
        <f>IF(OR($E266="",$F266=""),0,MAX(0,MIN($F266,DATE(Dashboard!$C$4,13,1))-MAX($E266,DATE(Dashboard!$C$4,12,1))))</f>
        <v/>
      </c>
      <c r="AE266">
        <f>SUM(S266:AD266)</f>
        <v/>
      </c>
      <c r="AF266">
        <f>Q266*AE266</f>
        <v/>
      </c>
      <c r="AG266">
        <f>R266*AE266</f>
        <v/>
      </c>
      <c r="AH266">
        <f>SUMPRODUCT(S266:AD266,--(COLUMN(S266:AD266)-COLUMN(S266)+1&lt;=Dashboard!$N$1))</f>
        <v/>
      </c>
      <c r="AI266">
        <f>IF(OR(E266="",E266&lt;TODAY()),"",E266+ROW()/100000)</f>
        <v/>
      </c>
      <c r="AJ266">
        <f>IF(OR(F266="",F266&lt;TODAY()),"",F266+ROW()/100000)</f>
        <v/>
      </c>
    </row>
    <row r="267">
      <c r="A267" s="1" t="n"/>
      <c r="B267" s="35" t="n"/>
      <c r="C267" s="35" t="n"/>
      <c r="D267" s="35" t="n"/>
      <c r="E267" s="36" t="n"/>
      <c r="F267" s="36" t="n"/>
      <c r="G267" s="18">
        <f>IF(OR(E267="",F267=""),"",F267-E267)</f>
        <v/>
      </c>
      <c r="H267" s="37" t="n"/>
      <c r="I267" s="38" t="n"/>
      <c r="J267" s="38" t="n"/>
      <c r="K267" s="38" t="n"/>
      <c r="L267" s="31">
        <f>IF(E267="","",N(I267)+N(J267)-N(K267))</f>
        <v/>
      </c>
      <c r="M267" s="39" t="n"/>
      <c r="N267" s="27">
        <f>IF(E267="","",IF(TODAY()&lt;E267,"Upcoming",IF(TODAY()&lt;F267,"Staying now",IF(M267="Yes","Checked out","Payout not received"))))</f>
        <v/>
      </c>
      <c r="O267" s="35" t="n"/>
      <c r="P267" s="1" t="n"/>
      <c r="Q267">
        <f>IF(N(G267)&gt;0,L267/G267,0)</f>
        <v/>
      </c>
      <c r="R267">
        <f>IF(N(G267)&gt;0,N(I267)/G267,0)</f>
        <v/>
      </c>
      <c r="S267">
        <f>IF(OR($E267="",$F267=""),0,MAX(0,MIN($F267,DATE(Dashboard!$C$4,2,1))-MAX($E267,DATE(Dashboard!$C$4,1,1))))</f>
        <v/>
      </c>
      <c r="T267">
        <f>IF(OR($E267="",$F267=""),0,MAX(0,MIN($F267,DATE(Dashboard!$C$4,3,1))-MAX($E267,DATE(Dashboard!$C$4,2,1))))</f>
        <v/>
      </c>
      <c r="U267">
        <f>IF(OR($E267="",$F267=""),0,MAX(0,MIN($F267,DATE(Dashboard!$C$4,4,1))-MAX($E267,DATE(Dashboard!$C$4,3,1))))</f>
        <v/>
      </c>
      <c r="V267">
        <f>IF(OR($E267="",$F267=""),0,MAX(0,MIN($F267,DATE(Dashboard!$C$4,5,1))-MAX($E267,DATE(Dashboard!$C$4,4,1))))</f>
        <v/>
      </c>
      <c r="W267">
        <f>IF(OR($E267="",$F267=""),0,MAX(0,MIN($F267,DATE(Dashboard!$C$4,6,1))-MAX($E267,DATE(Dashboard!$C$4,5,1))))</f>
        <v/>
      </c>
      <c r="X267">
        <f>IF(OR($E267="",$F267=""),0,MAX(0,MIN($F267,DATE(Dashboard!$C$4,7,1))-MAX($E267,DATE(Dashboard!$C$4,6,1))))</f>
        <v/>
      </c>
      <c r="Y267">
        <f>IF(OR($E267="",$F267=""),0,MAX(0,MIN($F267,DATE(Dashboard!$C$4,8,1))-MAX($E267,DATE(Dashboard!$C$4,7,1))))</f>
        <v/>
      </c>
      <c r="Z267">
        <f>IF(OR($E267="",$F267=""),0,MAX(0,MIN($F267,DATE(Dashboard!$C$4,9,1))-MAX($E267,DATE(Dashboard!$C$4,8,1))))</f>
        <v/>
      </c>
      <c r="AA267">
        <f>IF(OR($E267="",$F267=""),0,MAX(0,MIN($F267,DATE(Dashboard!$C$4,10,1))-MAX($E267,DATE(Dashboard!$C$4,9,1))))</f>
        <v/>
      </c>
      <c r="AB267">
        <f>IF(OR($E267="",$F267=""),0,MAX(0,MIN($F267,DATE(Dashboard!$C$4,11,1))-MAX($E267,DATE(Dashboard!$C$4,10,1))))</f>
        <v/>
      </c>
      <c r="AC267">
        <f>IF(OR($E267="",$F267=""),0,MAX(0,MIN($F267,DATE(Dashboard!$C$4,12,1))-MAX($E267,DATE(Dashboard!$C$4,11,1))))</f>
        <v/>
      </c>
      <c r="AD267">
        <f>IF(OR($E267="",$F267=""),0,MAX(0,MIN($F267,DATE(Dashboard!$C$4,13,1))-MAX($E267,DATE(Dashboard!$C$4,12,1))))</f>
        <v/>
      </c>
      <c r="AE267">
        <f>SUM(S267:AD267)</f>
        <v/>
      </c>
      <c r="AF267">
        <f>Q267*AE267</f>
        <v/>
      </c>
      <c r="AG267">
        <f>R267*AE267</f>
        <v/>
      </c>
      <c r="AH267">
        <f>SUMPRODUCT(S267:AD267,--(COLUMN(S267:AD267)-COLUMN(S267)+1&lt;=Dashboard!$N$1))</f>
        <v/>
      </c>
      <c r="AI267">
        <f>IF(OR(E267="",E267&lt;TODAY()),"",E267+ROW()/100000)</f>
        <v/>
      </c>
      <c r="AJ267">
        <f>IF(OR(F267="",F267&lt;TODAY()),"",F267+ROW()/100000)</f>
        <v/>
      </c>
    </row>
    <row r="268">
      <c r="A268" s="1" t="n"/>
      <c r="B268" s="35" t="n"/>
      <c r="C268" s="35" t="n"/>
      <c r="D268" s="35" t="n"/>
      <c r="E268" s="36" t="n"/>
      <c r="F268" s="36" t="n"/>
      <c r="G268" s="18">
        <f>IF(OR(E268="",F268=""),"",F268-E268)</f>
        <v/>
      </c>
      <c r="H268" s="37" t="n"/>
      <c r="I268" s="38" t="n"/>
      <c r="J268" s="38" t="n"/>
      <c r="K268" s="38" t="n"/>
      <c r="L268" s="31">
        <f>IF(E268="","",N(I268)+N(J268)-N(K268))</f>
        <v/>
      </c>
      <c r="M268" s="39" t="n"/>
      <c r="N268" s="27">
        <f>IF(E268="","",IF(TODAY()&lt;E268,"Upcoming",IF(TODAY()&lt;F268,"Staying now",IF(M268="Yes","Checked out","Payout not received"))))</f>
        <v/>
      </c>
      <c r="O268" s="35" t="n"/>
      <c r="P268" s="1" t="n"/>
      <c r="Q268">
        <f>IF(N(G268)&gt;0,L268/G268,0)</f>
        <v/>
      </c>
      <c r="R268">
        <f>IF(N(G268)&gt;0,N(I268)/G268,0)</f>
        <v/>
      </c>
      <c r="S268">
        <f>IF(OR($E268="",$F268=""),0,MAX(0,MIN($F268,DATE(Dashboard!$C$4,2,1))-MAX($E268,DATE(Dashboard!$C$4,1,1))))</f>
        <v/>
      </c>
      <c r="T268">
        <f>IF(OR($E268="",$F268=""),0,MAX(0,MIN($F268,DATE(Dashboard!$C$4,3,1))-MAX($E268,DATE(Dashboard!$C$4,2,1))))</f>
        <v/>
      </c>
      <c r="U268">
        <f>IF(OR($E268="",$F268=""),0,MAX(0,MIN($F268,DATE(Dashboard!$C$4,4,1))-MAX($E268,DATE(Dashboard!$C$4,3,1))))</f>
        <v/>
      </c>
      <c r="V268">
        <f>IF(OR($E268="",$F268=""),0,MAX(0,MIN($F268,DATE(Dashboard!$C$4,5,1))-MAX($E268,DATE(Dashboard!$C$4,4,1))))</f>
        <v/>
      </c>
      <c r="W268">
        <f>IF(OR($E268="",$F268=""),0,MAX(0,MIN($F268,DATE(Dashboard!$C$4,6,1))-MAX($E268,DATE(Dashboard!$C$4,5,1))))</f>
        <v/>
      </c>
      <c r="X268">
        <f>IF(OR($E268="",$F268=""),0,MAX(0,MIN($F268,DATE(Dashboard!$C$4,7,1))-MAX($E268,DATE(Dashboard!$C$4,6,1))))</f>
        <v/>
      </c>
      <c r="Y268">
        <f>IF(OR($E268="",$F268=""),0,MAX(0,MIN($F268,DATE(Dashboard!$C$4,8,1))-MAX($E268,DATE(Dashboard!$C$4,7,1))))</f>
        <v/>
      </c>
      <c r="Z268">
        <f>IF(OR($E268="",$F268=""),0,MAX(0,MIN($F268,DATE(Dashboard!$C$4,9,1))-MAX($E268,DATE(Dashboard!$C$4,8,1))))</f>
        <v/>
      </c>
      <c r="AA268">
        <f>IF(OR($E268="",$F268=""),0,MAX(0,MIN($F268,DATE(Dashboard!$C$4,10,1))-MAX($E268,DATE(Dashboard!$C$4,9,1))))</f>
        <v/>
      </c>
      <c r="AB268">
        <f>IF(OR($E268="",$F268=""),0,MAX(0,MIN($F268,DATE(Dashboard!$C$4,11,1))-MAX($E268,DATE(Dashboard!$C$4,10,1))))</f>
        <v/>
      </c>
      <c r="AC268">
        <f>IF(OR($E268="",$F268=""),0,MAX(0,MIN($F268,DATE(Dashboard!$C$4,12,1))-MAX($E268,DATE(Dashboard!$C$4,11,1))))</f>
        <v/>
      </c>
      <c r="AD268">
        <f>IF(OR($E268="",$F268=""),0,MAX(0,MIN($F268,DATE(Dashboard!$C$4,13,1))-MAX($E268,DATE(Dashboard!$C$4,12,1))))</f>
        <v/>
      </c>
      <c r="AE268">
        <f>SUM(S268:AD268)</f>
        <v/>
      </c>
      <c r="AF268">
        <f>Q268*AE268</f>
        <v/>
      </c>
      <c r="AG268">
        <f>R268*AE268</f>
        <v/>
      </c>
      <c r="AH268">
        <f>SUMPRODUCT(S268:AD268,--(COLUMN(S268:AD268)-COLUMN(S268)+1&lt;=Dashboard!$N$1))</f>
        <v/>
      </c>
      <c r="AI268">
        <f>IF(OR(E268="",E268&lt;TODAY()),"",E268+ROW()/100000)</f>
        <v/>
      </c>
      <c r="AJ268">
        <f>IF(OR(F268="",F268&lt;TODAY()),"",F268+ROW()/100000)</f>
        <v/>
      </c>
    </row>
    <row r="269">
      <c r="A269" s="1" t="n"/>
      <c r="B269" s="35" t="n"/>
      <c r="C269" s="35" t="n"/>
      <c r="D269" s="35" t="n"/>
      <c r="E269" s="36" t="n"/>
      <c r="F269" s="36" t="n"/>
      <c r="G269" s="18">
        <f>IF(OR(E269="",F269=""),"",F269-E269)</f>
        <v/>
      </c>
      <c r="H269" s="37" t="n"/>
      <c r="I269" s="38" t="n"/>
      <c r="J269" s="38" t="n"/>
      <c r="K269" s="38" t="n"/>
      <c r="L269" s="31">
        <f>IF(E269="","",N(I269)+N(J269)-N(K269))</f>
        <v/>
      </c>
      <c r="M269" s="39" t="n"/>
      <c r="N269" s="27">
        <f>IF(E269="","",IF(TODAY()&lt;E269,"Upcoming",IF(TODAY()&lt;F269,"Staying now",IF(M269="Yes","Checked out","Payout not received"))))</f>
        <v/>
      </c>
      <c r="O269" s="35" t="n"/>
      <c r="P269" s="1" t="n"/>
      <c r="Q269">
        <f>IF(N(G269)&gt;0,L269/G269,0)</f>
        <v/>
      </c>
      <c r="R269">
        <f>IF(N(G269)&gt;0,N(I269)/G269,0)</f>
        <v/>
      </c>
      <c r="S269">
        <f>IF(OR($E269="",$F269=""),0,MAX(0,MIN($F269,DATE(Dashboard!$C$4,2,1))-MAX($E269,DATE(Dashboard!$C$4,1,1))))</f>
        <v/>
      </c>
      <c r="T269">
        <f>IF(OR($E269="",$F269=""),0,MAX(0,MIN($F269,DATE(Dashboard!$C$4,3,1))-MAX($E269,DATE(Dashboard!$C$4,2,1))))</f>
        <v/>
      </c>
      <c r="U269">
        <f>IF(OR($E269="",$F269=""),0,MAX(0,MIN($F269,DATE(Dashboard!$C$4,4,1))-MAX($E269,DATE(Dashboard!$C$4,3,1))))</f>
        <v/>
      </c>
      <c r="V269">
        <f>IF(OR($E269="",$F269=""),0,MAX(0,MIN($F269,DATE(Dashboard!$C$4,5,1))-MAX($E269,DATE(Dashboard!$C$4,4,1))))</f>
        <v/>
      </c>
      <c r="W269">
        <f>IF(OR($E269="",$F269=""),0,MAX(0,MIN($F269,DATE(Dashboard!$C$4,6,1))-MAX($E269,DATE(Dashboard!$C$4,5,1))))</f>
        <v/>
      </c>
      <c r="X269">
        <f>IF(OR($E269="",$F269=""),0,MAX(0,MIN($F269,DATE(Dashboard!$C$4,7,1))-MAX($E269,DATE(Dashboard!$C$4,6,1))))</f>
        <v/>
      </c>
      <c r="Y269">
        <f>IF(OR($E269="",$F269=""),0,MAX(0,MIN($F269,DATE(Dashboard!$C$4,8,1))-MAX($E269,DATE(Dashboard!$C$4,7,1))))</f>
        <v/>
      </c>
      <c r="Z269">
        <f>IF(OR($E269="",$F269=""),0,MAX(0,MIN($F269,DATE(Dashboard!$C$4,9,1))-MAX($E269,DATE(Dashboard!$C$4,8,1))))</f>
        <v/>
      </c>
      <c r="AA269">
        <f>IF(OR($E269="",$F269=""),0,MAX(0,MIN($F269,DATE(Dashboard!$C$4,10,1))-MAX($E269,DATE(Dashboard!$C$4,9,1))))</f>
        <v/>
      </c>
      <c r="AB269">
        <f>IF(OR($E269="",$F269=""),0,MAX(0,MIN($F269,DATE(Dashboard!$C$4,11,1))-MAX($E269,DATE(Dashboard!$C$4,10,1))))</f>
        <v/>
      </c>
      <c r="AC269">
        <f>IF(OR($E269="",$F269=""),0,MAX(0,MIN($F269,DATE(Dashboard!$C$4,12,1))-MAX($E269,DATE(Dashboard!$C$4,11,1))))</f>
        <v/>
      </c>
      <c r="AD269">
        <f>IF(OR($E269="",$F269=""),0,MAX(0,MIN($F269,DATE(Dashboard!$C$4,13,1))-MAX($E269,DATE(Dashboard!$C$4,12,1))))</f>
        <v/>
      </c>
      <c r="AE269">
        <f>SUM(S269:AD269)</f>
        <v/>
      </c>
      <c r="AF269">
        <f>Q269*AE269</f>
        <v/>
      </c>
      <c r="AG269">
        <f>R269*AE269</f>
        <v/>
      </c>
      <c r="AH269">
        <f>SUMPRODUCT(S269:AD269,--(COLUMN(S269:AD269)-COLUMN(S269)+1&lt;=Dashboard!$N$1))</f>
        <v/>
      </c>
      <c r="AI269">
        <f>IF(OR(E269="",E269&lt;TODAY()),"",E269+ROW()/100000)</f>
        <v/>
      </c>
      <c r="AJ269">
        <f>IF(OR(F269="",F269&lt;TODAY()),"",F269+ROW()/100000)</f>
        <v/>
      </c>
    </row>
    <row r="270">
      <c r="A270" s="1" t="n"/>
      <c r="B270" s="35" t="n"/>
      <c r="C270" s="35" t="n"/>
      <c r="D270" s="35" t="n"/>
      <c r="E270" s="36" t="n"/>
      <c r="F270" s="36" t="n"/>
      <c r="G270" s="18">
        <f>IF(OR(E270="",F270=""),"",F270-E270)</f>
        <v/>
      </c>
      <c r="H270" s="37" t="n"/>
      <c r="I270" s="38" t="n"/>
      <c r="J270" s="38" t="n"/>
      <c r="K270" s="38" t="n"/>
      <c r="L270" s="31">
        <f>IF(E270="","",N(I270)+N(J270)-N(K270))</f>
        <v/>
      </c>
      <c r="M270" s="39" t="n"/>
      <c r="N270" s="27">
        <f>IF(E270="","",IF(TODAY()&lt;E270,"Upcoming",IF(TODAY()&lt;F270,"Staying now",IF(M270="Yes","Checked out","Payout not received"))))</f>
        <v/>
      </c>
      <c r="O270" s="35" t="n"/>
      <c r="P270" s="1" t="n"/>
      <c r="Q270">
        <f>IF(N(G270)&gt;0,L270/G270,0)</f>
        <v/>
      </c>
      <c r="R270">
        <f>IF(N(G270)&gt;0,N(I270)/G270,0)</f>
        <v/>
      </c>
      <c r="S270">
        <f>IF(OR($E270="",$F270=""),0,MAX(0,MIN($F270,DATE(Dashboard!$C$4,2,1))-MAX($E270,DATE(Dashboard!$C$4,1,1))))</f>
        <v/>
      </c>
      <c r="T270">
        <f>IF(OR($E270="",$F270=""),0,MAX(0,MIN($F270,DATE(Dashboard!$C$4,3,1))-MAX($E270,DATE(Dashboard!$C$4,2,1))))</f>
        <v/>
      </c>
      <c r="U270">
        <f>IF(OR($E270="",$F270=""),0,MAX(0,MIN($F270,DATE(Dashboard!$C$4,4,1))-MAX($E270,DATE(Dashboard!$C$4,3,1))))</f>
        <v/>
      </c>
      <c r="V270">
        <f>IF(OR($E270="",$F270=""),0,MAX(0,MIN($F270,DATE(Dashboard!$C$4,5,1))-MAX($E270,DATE(Dashboard!$C$4,4,1))))</f>
        <v/>
      </c>
      <c r="W270">
        <f>IF(OR($E270="",$F270=""),0,MAX(0,MIN($F270,DATE(Dashboard!$C$4,6,1))-MAX($E270,DATE(Dashboard!$C$4,5,1))))</f>
        <v/>
      </c>
      <c r="X270">
        <f>IF(OR($E270="",$F270=""),0,MAX(0,MIN($F270,DATE(Dashboard!$C$4,7,1))-MAX($E270,DATE(Dashboard!$C$4,6,1))))</f>
        <v/>
      </c>
      <c r="Y270">
        <f>IF(OR($E270="",$F270=""),0,MAX(0,MIN($F270,DATE(Dashboard!$C$4,8,1))-MAX($E270,DATE(Dashboard!$C$4,7,1))))</f>
        <v/>
      </c>
      <c r="Z270">
        <f>IF(OR($E270="",$F270=""),0,MAX(0,MIN($F270,DATE(Dashboard!$C$4,9,1))-MAX($E270,DATE(Dashboard!$C$4,8,1))))</f>
        <v/>
      </c>
      <c r="AA270">
        <f>IF(OR($E270="",$F270=""),0,MAX(0,MIN($F270,DATE(Dashboard!$C$4,10,1))-MAX($E270,DATE(Dashboard!$C$4,9,1))))</f>
        <v/>
      </c>
      <c r="AB270">
        <f>IF(OR($E270="",$F270=""),0,MAX(0,MIN($F270,DATE(Dashboard!$C$4,11,1))-MAX($E270,DATE(Dashboard!$C$4,10,1))))</f>
        <v/>
      </c>
      <c r="AC270">
        <f>IF(OR($E270="",$F270=""),0,MAX(0,MIN($F270,DATE(Dashboard!$C$4,12,1))-MAX($E270,DATE(Dashboard!$C$4,11,1))))</f>
        <v/>
      </c>
      <c r="AD270">
        <f>IF(OR($E270="",$F270=""),0,MAX(0,MIN($F270,DATE(Dashboard!$C$4,13,1))-MAX($E270,DATE(Dashboard!$C$4,12,1))))</f>
        <v/>
      </c>
      <c r="AE270">
        <f>SUM(S270:AD270)</f>
        <v/>
      </c>
      <c r="AF270">
        <f>Q270*AE270</f>
        <v/>
      </c>
      <c r="AG270">
        <f>R270*AE270</f>
        <v/>
      </c>
      <c r="AH270">
        <f>SUMPRODUCT(S270:AD270,--(COLUMN(S270:AD270)-COLUMN(S270)+1&lt;=Dashboard!$N$1))</f>
        <v/>
      </c>
      <c r="AI270">
        <f>IF(OR(E270="",E270&lt;TODAY()),"",E270+ROW()/100000)</f>
        <v/>
      </c>
      <c r="AJ270">
        <f>IF(OR(F270="",F270&lt;TODAY()),"",F270+ROW()/100000)</f>
        <v/>
      </c>
    </row>
    <row r="271">
      <c r="A271" s="1" t="n"/>
      <c r="B271" s="35" t="n"/>
      <c r="C271" s="35" t="n"/>
      <c r="D271" s="35" t="n"/>
      <c r="E271" s="36" t="n"/>
      <c r="F271" s="36" t="n"/>
      <c r="G271" s="18">
        <f>IF(OR(E271="",F271=""),"",F271-E271)</f>
        <v/>
      </c>
      <c r="H271" s="37" t="n"/>
      <c r="I271" s="38" t="n"/>
      <c r="J271" s="38" t="n"/>
      <c r="K271" s="38" t="n"/>
      <c r="L271" s="31">
        <f>IF(E271="","",N(I271)+N(J271)-N(K271))</f>
        <v/>
      </c>
      <c r="M271" s="39" t="n"/>
      <c r="N271" s="27">
        <f>IF(E271="","",IF(TODAY()&lt;E271,"Upcoming",IF(TODAY()&lt;F271,"Staying now",IF(M271="Yes","Checked out","Payout not received"))))</f>
        <v/>
      </c>
      <c r="O271" s="35" t="n"/>
      <c r="P271" s="1" t="n"/>
      <c r="Q271">
        <f>IF(N(G271)&gt;0,L271/G271,0)</f>
        <v/>
      </c>
      <c r="R271">
        <f>IF(N(G271)&gt;0,N(I271)/G271,0)</f>
        <v/>
      </c>
      <c r="S271">
        <f>IF(OR($E271="",$F271=""),0,MAX(0,MIN($F271,DATE(Dashboard!$C$4,2,1))-MAX($E271,DATE(Dashboard!$C$4,1,1))))</f>
        <v/>
      </c>
      <c r="T271">
        <f>IF(OR($E271="",$F271=""),0,MAX(0,MIN($F271,DATE(Dashboard!$C$4,3,1))-MAX($E271,DATE(Dashboard!$C$4,2,1))))</f>
        <v/>
      </c>
      <c r="U271">
        <f>IF(OR($E271="",$F271=""),0,MAX(0,MIN($F271,DATE(Dashboard!$C$4,4,1))-MAX($E271,DATE(Dashboard!$C$4,3,1))))</f>
        <v/>
      </c>
      <c r="V271">
        <f>IF(OR($E271="",$F271=""),0,MAX(0,MIN($F271,DATE(Dashboard!$C$4,5,1))-MAX($E271,DATE(Dashboard!$C$4,4,1))))</f>
        <v/>
      </c>
      <c r="W271">
        <f>IF(OR($E271="",$F271=""),0,MAX(0,MIN($F271,DATE(Dashboard!$C$4,6,1))-MAX($E271,DATE(Dashboard!$C$4,5,1))))</f>
        <v/>
      </c>
      <c r="X271">
        <f>IF(OR($E271="",$F271=""),0,MAX(0,MIN($F271,DATE(Dashboard!$C$4,7,1))-MAX($E271,DATE(Dashboard!$C$4,6,1))))</f>
        <v/>
      </c>
      <c r="Y271">
        <f>IF(OR($E271="",$F271=""),0,MAX(0,MIN($F271,DATE(Dashboard!$C$4,8,1))-MAX($E271,DATE(Dashboard!$C$4,7,1))))</f>
        <v/>
      </c>
      <c r="Z271">
        <f>IF(OR($E271="",$F271=""),0,MAX(0,MIN($F271,DATE(Dashboard!$C$4,9,1))-MAX($E271,DATE(Dashboard!$C$4,8,1))))</f>
        <v/>
      </c>
      <c r="AA271">
        <f>IF(OR($E271="",$F271=""),0,MAX(0,MIN($F271,DATE(Dashboard!$C$4,10,1))-MAX($E271,DATE(Dashboard!$C$4,9,1))))</f>
        <v/>
      </c>
      <c r="AB271">
        <f>IF(OR($E271="",$F271=""),0,MAX(0,MIN($F271,DATE(Dashboard!$C$4,11,1))-MAX($E271,DATE(Dashboard!$C$4,10,1))))</f>
        <v/>
      </c>
      <c r="AC271">
        <f>IF(OR($E271="",$F271=""),0,MAX(0,MIN($F271,DATE(Dashboard!$C$4,12,1))-MAX($E271,DATE(Dashboard!$C$4,11,1))))</f>
        <v/>
      </c>
      <c r="AD271">
        <f>IF(OR($E271="",$F271=""),0,MAX(0,MIN($F271,DATE(Dashboard!$C$4,13,1))-MAX($E271,DATE(Dashboard!$C$4,12,1))))</f>
        <v/>
      </c>
      <c r="AE271">
        <f>SUM(S271:AD271)</f>
        <v/>
      </c>
      <c r="AF271">
        <f>Q271*AE271</f>
        <v/>
      </c>
      <c r="AG271">
        <f>R271*AE271</f>
        <v/>
      </c>
      <c r="AH271">
        <f>SUMPRODUCT(S271:AD271,--(COLUMN(S271:AD271)-COLUMN(S271)+1&lt;=Dashboard!$N$1))</f>
        <v/>
      </c>
      <c r="AI271">
        <f>IF(OR(E271="",E271&lt;TODAY()),"",E271+ROW()/100000)</f>
        <v/>
      </c>
      <c r="AJ271">
        <f>IF(OR(F271="",F271&lt;TODAY()),"",F271+ROW()/100000)</f>
        <v/>
      </c>
    </row>
    <row r="272">
      <c r="A272" s="1" t="n"/>
      <c r="B272" s="35" t="n"/>
      <c r="C272" s="35" t="n"/>
      <c r="D272" s="35" t="n"/>
      <c r="E272" s="36" t="n"/>
      <c r="F272" s="36" t="n"/>
      <c r="G272" s="18">
        <f>IF(OR(E272="",F272=""),"",F272-E272)</f>
        <v/>
      </c>
      <c r="H272" s="37" t="n"/>
      <c r="I272" s="38" t="n"/>
      <c r="J272" s="38" t="n"/>
      <c r="K272" s="38" t="n"/>
      <c r="L272" s="31">
        <f>IF(E272="","",N(I272)+N(J272)-N(K272))</f>
        <v/>
      </c>
      <c r="M272" s="39" t="n"/>
      <c r="N272" s="27">
        <f>IF(E272="","",IF(TODAY()&lt;E272,"Upcoming",IF(TODAY()&lt;F272,"Staying now",IF(M272="Yes","Checked out","Payout not received"))))</f>
        <v/>
      </c>
      <c r="O272" s="35" t="n"/>
      <c r="P272" s="1" t="n"/>
      <c r="Q272">
        <f>IF(N(G272)&gt;0,L272/G272,0)</f>
        <v/>
      </c>
      <c r="R272">
        <f>IF(N(G272)&gt;0,N(I272)/G272,0)</f>
        <v/>
      </c>
      <c r="S272">
        <f>IF(OR($E272="",$F272=""),0,MAX(0,MIN($F272,DATE(Dashboard!$C$4,2,1))-MAX($E272,DATE(Dashboard!$C$4,1,1))))</f>
        <v/>
      </c>
      <c r="T272">
        <f>IF(OR($E272="",$F272=""),0,MAX(0,MIN($F272,DATE(Dashboard!$C$4,3,1))-MAX($E272,DATE(Dashboard!$C$4,2,1))))</f>
        <v/>
      </c>
      <c r="U272">
        <f>IF(OR($E272="",$F272=""),0,MAX(0,MIN($F272,DATE(Dashboard!$C$4,4,1))-MAX($E272,DATE(Dashboard!$C$4,3,1))))</f>
        <v/>
      </c>
      <c r="V272">
        <f>IF(OR($E272="",$F272=""),0,MAX(0,MIN($F272,DATE(Dashboard!$C$4,5,1))-MAX($E272,DATE(Dashboard!$C$4,4,1))))</f>
        <v/>
      </c>
      <c r="W272">
        <f>IF(OR($E272="",$F272=""),0,MAX(0,MIN($F272,DATE(Dashboard!$C$4,6,1))-MAX($E272,DATE(Dashboard!$C$4,5,1))))</f>
        <v/>
      </c>
      <c r="X272">
        <f>IF(OR($E272="",$F272=""),0,MAX(0,MIN($F272,DATE(Dashboard!$C$4,7,1))-MAX($E272,DATE(Dashboard!$C$4,6,1))))</f>
        <v/>
      </c>
      <c r="Y272">
        <f>IF(OR($E272="",$F272=""),0,MAX(0,MIN($F272,DATE(Dashboard!$C$4,8,1))-MAX($E272,DATE(Dashboard!$C$4,7,1))))</f>
        <v/>
      </c>
      <c r="Z272">
        <f>IF(OR($E272="",$F272=""),0,MAX(0,MIN($F272,DATE(Dashboard!$C$4,9,1))-MAX($E272,DATE(Dashboard!$C$4,8,1))))</f>
        <v/>
      </c>
      <c r="AA272">
        <f>IF(OR($E272="",$F272=""),0,MAX(0,MIN($F272,DATE(Dashboard!$C$4,10,1))-MAX($E272,DATE(Dashboard!$C$4,9,1))))</f>
        <v/>
      </c>
      <c r="AB272">
        <f>IF(OR($E272="",$F272=""),0,MAX(0,MIN($F272,DATE(Dashboard!$C$4,11,1))-MAX($E272,DATE(Dashboard!$C$4,10,1))))</f>
        <v/>
      </c>
      <c r="AC272">
        <f>IF(OR($E272="",$F272=""),0,MAX(0,MIN($F272,DATE(Dashboard!$C$4,12,1))-MAX($E272,DATE(Dashboard!$C$4,11,1))))</f>
        <v/>
      </c>
      <c r="AD272">
        <f>IF(OR($E272="",$F272=""),0,MAX(0,MIN($F272,DATE(Dashboard!$C$4,13,1))-MAX($E272,DATE(Dashboard!$C$4,12,1))))</f>
        <v/>
      </c>
      <c r="AE272">
        <f>SUM(S272:AD272)</f>
        <v/>
      </c>
      <c r="AF272">
        <f>Q272*AE272</f>
        <v/>
      </c>
      <c r="AG272">
        <f>R272*AE272</f>
        <v/>
      </c>
      <c r="AH272">
        <f>SUMPRODUCT(S272:AD272,--(COLUMN(S272:AD272)-COLUMN(S272)+1&lt;=Dashboard!$N$1))</f>
        <v/>
      </c>
      <c r="AI272">
        <f>IF(OR(E272="",E272&lt;TODAY()),"",E272+ROW()/100000)</f>
        <v/>
      </c>
      <c r="AJ272">
        <f>IF(OR(F272="",F272&lt;TODAY()),"",F272+ROW()/100000)</f>
        <v/>
      </c>
    </row>
    <row r="273">
      <c r="A273" s="1" t="n"/>
      <c r="B273" s="35" t="n"/>
      <c r="C273" s="35" t="n"/>
      <c r="D273" s="35" t="n"/>
      <c r="E273" s="36" t="n"/>
      <c r="F273" s="36" t="n"/>
      <c r="G273" s="18">
        <f>IF(OR(E273="",F273=""),"",F273-E273)</f>
        <v/>
      </c>
      <c r="H273" s="37" t="n"/>
      <c r="I273" s="38" t="n"/>
      <c r="J273" s="38" t="n"/>
      <c r="K273" s="38" t="n"/>
      <c r="L273" s="31">
        <f>IF(E273="","",N(I273)+N(J273)-N(K273))</f>
        <v/>
      </c>
      <c r="M273" s="39" t="n"/>
      <c r="N273" s="27">
        <f>IF(E273="","",IF(TODAY()&lt;E273,"Upcoming",IF(TODAY()&lt;F273,"Staying now",IF(M273="Yes","Checked out","Payout not received"))))</f>
        <v/>
      </c>
      <c r="O273" s="35" t="n"/>
      <c r="P273" s="1" t="n"/>
      <c r="Q273">
        <f>IF(N(G273)&gt;0,L273/G273,0)</f>
        <v/>
      </c>
      <c r="R273">
        <f>IF(N(G273)&gt;0,N(I273)/G273,0)</f>
        <v/>
      </c>
      <c r="S273">
        <f>IF(OR($E273="",$F273=""),0,MAX(0,MIN($F273,DATE(Dashboard!$C$4,2,1))-MAX($E273,DATE(Dashboard!$C$4,1,1))))</f>
        <v/>
      </c>
      <c r="T273">
        <f>IF(OR($E273="",$F273=""),0,MAX(0,MIN($F273,DATE(Dashboard!$C$4,3,1))-MAX($E273,DATE(Dashboard!$C$4,2,1))))</f>
        <v/>
      </c>
      <c r="U273">
        <f>IF(OR($E273="",$F273=""),0,MAX(0,MIN($F273,DATE(Dashboard!$C$4,4,1))-MAX($E273,DATE(Dashboard!$C$4,3,1))))</f>
        <v/>
      </c>
      <c r="V273">
        <f>IF(OR($E273="",$F273=""),0,MAX(0,MIN($F273,DATE(Dashboard!$C$4,5,1))-MAX($E273,DATE(Dashboard!$C$4,4,1))))</f>
        <v/>
      </c>
      <c r="W273">
        <f>IF(OR($E273="",$F273=""),0,MAX(0,MIN($F273,DATE(Dashboard!$C$4,6,1))-MAX($E273,DATE(Dashboard!$C$4,5,1))))</f>
        <v/>
      </c>
      <c r="X273">
        <f>IF(OR($E273="",$F273=""),0,MAX(0,MIN($F273,DATE(Dashboard!$C$4,7,1))-MAX($E273,DATE(Dashboard!$C$4,6,1))))</f>
        <v/>
      </c>
      <c r="Y273">
        <f>IF(OR($E273="",$F273=""),0,MAX(0,MIN($F273,DATE(Dashboard!$C$4,8,1))-MAX($E273,DATE(Dashboard!$C$4,7,1))))</f>
        <v/>
      </c>
      <c r="Z273">
        <f>IF(OR($E273="",$F273=""),0,MAX(0,MIN($F273,DATE(Dashboard!$C$4,9,1))-MAX($E273,DATE(Dashboard!$C$4,8,1))))</f>
        <v/>
      </c>
      <c r="AA273">
        <f>IF(OR($E273="",$F273=""),0,MAX(0,MIN($F273,DATE(Dashboard!$C$4,10,1))-MAX($E273,DATE(Dashboard!$C$4,9,1))))</f>
        <v/>
      </c>
      <c r="AB273">
        <f>IF(OR($E273="",$F273=""),0,MAX(0,MIN($F273,DATE(Dashboard!$C$4,11,1))-MAX($E273,DATE(Dashboard!$C$4,10,1))))</f>
        <v/>
      </c>
      <c r="AC273">
        <f>IF(OR($E273="",$F273=""),0,MAX(0,MIN($F273,DATE(Dashboard!$C$4,12,1))-MAX($E273,DATE(Dashboard!$C$4,11,1))))</f>
        <v/>
      </c>
      <c r="AD273">
        <f>IF(OR($E273="",$F273=""),0,MAX(0,MIN($F273,DATE(Dashboard!$C$4,13,1))-MAX($E273,DATE(Dashboard!$C$4,12,1))))</f>
        <v/>
      </c>
      <c r="AE273">
        <f>SUM(S273:AD273)</f>
        <v/>
      </c>
      <c r="AF273">
        <f>Q273*AE273</f>
        <v/>
      </c>
      <c r="AG273">
        <f>R273*AE273</f>
        <v/>
      </c>
      <c r="AH273">
        <f>SUMPRODUCT(S273:AD273,--(COLUMN(S273:AD273)-COLUMN(S273)+1&lt;=Dashboard!$N$1))</f>
        <v/>
      </c>
      <c r="AI273">
        <f>IF(OR(E273="",E273&lt;TODAY()),"",E273+ROW()/100000)</f>
        <v/>
      </c>
      <c r="AJ273">
        <f>IF(OR(F273="",F273&lt;TODAY()),"",F273+ROW()/100000)</f>
        <v/>
      </c>
    </row>
    <row r="274">
      <c r="A274" s="1" t="n"/>
      <c r="B274" s="35" t="n"/>
      <c r="C274" s="35" t="n"/>
      <c r="D274" s="35" t="n"/>
      <c r="E274" s="36" t="n"/>
      <c r="F274" s="36" t="n"/>
      <c r="G274" s="18">
        <f>IF(OR(E274="",F274=""),"",F274-E274)</f>
        <v/>
      </c>
      <c r="H274" s="37" t="n"/>
      <c r="I274" s="38" t="n"/>
      <c r="J274" s="38" t="n"/>
      <c r="K274" s="38" t="n"/>
      <c r="L274" s="31">
        <f>IF(E274="","",N(I274)+N(J274)-N(K274))</f>
        <v/>
      </c>
      <c r="M274" s="39" t="n"/>
      <c r="N274" s="27">
        <f>IF(E274="","",IF(TODAY()&lt;E274,"Upcoming",IF(TODAY()&lt;F274,"Staying now",IF(M274="Yes","Checked out","Payout not received"))))</f>
        <v/>
      </c>
      <c r="O274" s="35" t="n"/>
      <c r="P274" s="1" t="n"/>
      <c r="Q274">
        <f>IF(N(G274)&gt;0,L274/G274,0)</f>
        <v/>
      </c>
      <c r="R274">
        <f>IF(N(G274)&gt;0,N(I274)/G274,0)</f>
        <v/>
      </c>
      <c r="S274">
        <f>IF(OR($E274="",$F274=""),0,MAX(0,MIN($F274,DATE(Dashboard!$C$4,2,1))-MAX($E274,DATE(Dashboard!$C$4,1,1))))</f>
        <v/>
      </c>
      <c r="T274">
        <f>IF(OR($E274="",$F274=""),0,MAX(0,MIN($F274,DATE(Dashboard!$C$4,3,1))-MAX($E274,DATE(Dashboard!$C$4,2,1))))</f>
        <v/>
      </c>
      <c r="U274">
        <f>IF(OR($E274="",$F274=""),0,MAX(0,MIN($F274,DATE(Dashboard!$C$4,4,1))-MAX($E274,DATE(Dashboard!$C$4,3,1))))</f>
        <v/>
      </c>
      <c r="V274">
        <f>IF(OR($E274="",$F274=""),0,MAX(0,MIN($F274,DATE(Dashboard!$C$4,5,1))-MAX($E274,DATE(Dashboard!$C$4,4,1))))</f>
        <v/>
      </c>
      <c r="W274">
        <f>IF(OR($E274="",$F274=""),0,MAX(0,MIN($F274,DATE(Dashboard!$C$4,6,1))-MAX($E274,DATE(Dashboard!$C$4,5,1))))</f>
        <v/>
      </c>
      <c r="X274">
        <f>IF(OR($E274="",$F274=""),0,MAX(0,MIN($F274,DATE(Dashboard!$C$4,7,1))-MAX($E274,DATE(Dashboard!$C$4,6,1))))</f>
        <v/>
      </c>
      <c r="Y274">
        <f>IF(OR($E274="",$F274=""),0,MAX(0,MIN($F274,DATE(Dashboard!$C$4,8,1))-MAX($E274,DATE(Dashboard!$C$4,7,1))))</f>
        <v/>
      </c>
      <c r="Z274">
        <f>IF(OR($E274="",$F274=""),0,MAX(0,MIN($F274,DATE(Dashboard!$C$4,9,1))-MAX($E274,DATE(Dashboard!$C$4,8,1))))</f>
        <v/>
      </c>
      <c r="AA274">
        <f>IF(OR($E274="",$F274=""),0,MAX(0,MIN($F274,DATE(Dashboard!$C$4,10,1))-MAX($E274,DATE(Dashboard!$C$4,9,1))))</f>
        <v/>
      </c>
      <c r="AB274">
        <f>IF(OR($E274="",$F274=""),0,MAX(0,MIN($F274,DATE(Dashboard!$C$4,11,1))-MAX($E274,DATE(Dashboard!$C$4,10,1))))</f>
        <v/>
      </c>
      <c r="AC274">
        <f>IF(OR($E274="",$F274=""),0,MAX(0,MIN($F274,DATE(Dashboard!$C$4,12,1))-MAX($E274,DATE(Dashboard!$C$4,11,1))))</f>
        <v/>
      </c>
      <c r="AD274">
        <f>IF(OR($E274="",$F274=""),0,MAX(0,MIN($F274,DATE(Dashboard!$C$4,13,1))-MAX($E274,DATE(Dashboard!$C$4,12,1))))</f>
        <v/>
      </c>
      <c r="AE274">
        <f>SUM(S274:AD274)</f>
        <v/>
      </c>
      <c r="AF274">
        <f>Q274*AE274</f>
        <v/>
      </c>
      <c r="AG274">
        <f>R274*AE274</f>
        <v/>
      </c>
      <c r="AH274">
        <f>SUMPRODUCT(S274:AD274,--(COLUMN(S274:AD274)-COLUMN(S274)+1&lt;=Dashboard!$N$1))</f>
        <v/>
      </c>
      <c r="AI274">
        <f>IF(OR(E274="",E274&lt;TODAY()),"",E274+ROW()/100000)</f>
        <v/>
      </c>
      <c r="AJ274">
        <f>IF(OR(F274="",F274&lt;TODAY()),"",F274+ROW()/100000)</f>
        <v/>
      </c>
    </row>
    <row r="275">
      <c r="A275" s="1" t="n"/>
      <c r="B275" s="35" t="n"/>
      <c r="C275" s="35" t="n"/>
      <c r="D275" s="35" t="n"/>
      <c r="E275" s="36" t="n"/>
      <c r="F275" s="36" t="n"/>
      <c r="G275" s="18">
        <f>IF(OR(E275="",F275=""),"",F275-E275)</f>
        <v/>
      </c>
      <c r="H275" s="37" t="n"/>
      <c r="I275" s="38" t="n"/>
      <c r="J275" s="38" t="n"/>
      <c r="K275" s="38" t="n"/>
      <c r="L275" s="31">
        <f>IF(E275="","",N(I275)+N(J275)-N(K275))</f>
        <v/>
      </c>
      <c r="M275" s="39" t="n"/>
      <c r="N275" s="27">
        <f>IF(E275="","",IF(TODAY()&lt;E275,"Upcoming",IF(TODAY()&lt;F275,"Staying now",IF(M275="Yes","Checked out","Payout not received"))))</f>
        <v/>
      </c>
      <c r="O275" s="35" t="n"/>
      <c r="P275" s="1" t="n"/>
      <c r="Q275">
        <f>IF(N(G275)&gt;0,L275/G275,0)</f>
        <v/>
      </c>
      <c r="R275">
        <f>IF(N(G275)&gt;0,N(I275)/G275,0)</f>
        <v/>
      </c>
      <c r="S275">
        <f>IF(OR($E275="",$F275=""),0,MAX(0,MIN($F275,DATE(Dashboard!$C$4,2,1))-MAX($E275,DATE(Dashboard!$C$4,1,1))))</f>
        <v/>
      </c>
      <c r="T275">
        <f>IF(OR($E275="",$F275=""),0,MAX(0,MIN($F275,DATE(Dashboard!$C$4,3,1))-MAX($E275,DATE(Dashboard!$C$4,2,1))))</f>
        <v/>
      </c>
      <c r="U275">
        <f>IF(OR($E275="",$F275=""),0,MAX(0,MIN($F275,DATE(Dashboard!$C$4,4,1))-MAX($E275,DATE(Dashboard!$C$4,3,1))))</f>
        <v/>
      </c>
      <c r="V275">
        <f>IF(OR($E275="",$F275=""),0,MAX(0,MIN($F275,DATE(Dashboard!$C$4,5,1))-MAX($E275,DATE(Dashboard!$C$4,4,1))))</f>
        <v/>
      </c>
      <c r="W275">
        <f>IF(OR($E275="",$F275=""),0,MAX(0,MIN($F275,DATE(Dashboard!$C$4,6,1))-MAX($E275,DATE(Dashboard!$C$4,5,1))))</f>
        <v/>
      </c>
      <c r="X275">
        <f>IF(OR($E275="",$F275=""),0,MAX(0,MIN($F275,DATE(Dashboard!$C$4,7,1))-MAX($E275,DATE(Dashboard!$C$4,6,1))))</f>
        <v/>
      </c>
      <c r="Y275">
        <f>IF(OR($E275="",$F275=""),0,MAX(0,MIN($F275,DATE(Dashboard!$C$4,8,1))-MAX($E275,DATE(Dashboard!$C$4,7,1))))</f>
        <v/>
      </c>
      <c r="Z275">
        <f>IF(OR($E275="",$F275=""),0,MAX(0,MIN($F275,DATE(Dashboard!$C$4,9,1))-MAX($E275,DATE(Dashboard!$C$4,8,1))))</f>
        <v/>
      </c>
      <c r="AA275">
        <f>IF(OR($E275="",$F275=""),0,MAX(0,MIN($F275,DATE(Dashboard!$C$4,10,1))-MAX($E275,DATE(Dashboard!$C$4,9,1))))</f>
        <v/>
      </c>
      <c r="AB275">
        <f>IF(OR($E275="",$F275=""),0,MAX(0,MIN($F275,DATE(Dashboard!$C$4,11,1))-MAX($E275,DATE(Dashboard!$C$4,10,1))))</f>
        <v/>
      </c>
      <c r="AC275">
        <f>IF(OR($E275="",$F275=""),0,MAX(0,MIN($F275,DATE(Dashboard!$C$4,12,1))-MAX($E275,DATE(Dashboard!$C$4,11,1))))</f>
        <v/>
      </c>
      <c r="AD275">
        <f>IF(OR($E275="",$F275=""),0,MAX(0,MIN($F275,DATE(Dashboard!$C$4,13,1))-MAX($E275,DATE(Dashboard!$C$4,12,1))))</f>
        <v/>
      </c>
      <c r="AE275">
        <f>SUM(S275:AD275)</f>
        <v/>
      </c>
      <c r="AF275">
        <f>Q275*AE275</f>
        <v/>
      </c>
      <c r="AG275">
        <f>R275*AE275</f>
        <v/>
      </c>
      <c r="AH275">
        <f>SUMPRODUCT(S275:AD275,--(COLUMN(S275:AD275)-COLUMN(S275)+1&lt;=Dashboard!$N$1))</f>
        <v/>
      </c>
      <c r="AI275">
        <f>IF(OR(E275="",E275&lt;TODAY()),"",E275+ROW()/100000)</f>
        <v/>
      </c>
      <c r="AJ275">
        <f>IF(OR(F275="",F275&lt;TODAY()),"",F275+ROW()/100000)</f>
        <v/>
      </c>
    </row>
    <row r="276">
      <c r="A276" s="1" t="n"/>
      <c r="B276" s="35" t="n"/>
      <c r="C276" s="35" t="n"/>
      <c r="D276" s="35" t="n"/>
      <c r="E276" s="36" t="n"/>
      <c r="F276" s="36" t="n"/>
      <c r="G276" s="18">
        <f>IF(OR(E276="",F276=""),"",F276-E276)</f>
        <v/>
      </c>
      <c r="H276" s="37" t="n"/>
      <c r="I276" s="38" t="n"/>
      <c r="J276" s="38" t="n"/>
      <c r="K276" s="38" t="n"/>
      <c r="L276" s="31">
        <f>IF(E276="","",N(I276)+N(J276)-N(K276))</f>
        <v/>
      </c>
      <c r="M276" s="39" t="n"/>
      <c r="N276" s="27">
        <f>IF(E276="","",IF(TODAY()&lt;E276,"Upcoming",IF(TODAY()&lt;F276,"Staying now",IF(M276="Yes","Checked out","Payout not received"))))</f>
        <v/>
      </c>
      <c r="O276" s="35" t="n"/>
      <c r="P276" s="1" t="n"/>
      <c r="Q276">
        <f>IF(N(G276)&gt;0,L276/G276,0)</f>
        <v/>
      </c>
      <c r="R276">
        <f>IF(N(G276)&gt;0,N(I276)/G276,0)</f>
        <v/>
      </c>
      <c r="S276">
        <f>IF(OR($E276="",$F276=""),0,MAX(0,MIN($F276,DATE(Dashboard!$C$4,2,1))-MAX($E276,DATE(Dashboard!$C$4,1,1))))</f>
        <v/>
      </c>
      <c r="T276">
        <f>IF(OR($E276="",$F276=""),0,MAX(0,MIN($F276,DATE(Dashboard!$C$4,3,1))-MAX($E276,DATE(Dashboard!$C$4,2,1))))</f>
        <v/>
      </c>
      <c r="U276">
        <f>IF(OR($E276="",$F276=""),0,MAX(0,MIN($F276,DATE(Dashboard!$C$4,4,1))-MAX($E276,DATE(Dashboard!$C$4,3,1))))</f>
        <v/>
      </c>
      <c r="V276">
        <f>IF(OR($E276="",$F276=""),0,MAX(0,MIN($F276,DATE(Dashboard!$C$4,5,1))-MAX($E276,DATE(Dashboard!$C$4,4,1))))</f>
        <v/>
      </c>
      <c r="W276">
        <f>IF(OR($E276="",$F276=""),0,MAX(0,MIN($F276,DATE(Dashboard!$C$4,6,1))-MAX($E276,DATE(Dashboard!$C$4,5,1))))</f>
        <v/>
      </c>
      <c r="X276">
        <f>IF(OR($E276="",$F276=""),0,MAX(0,MIN($F276,DATE(Dashboard!$C$4,7,1))-MAX($E276,DATE(Dashboard!$C$4,6,1))))</f>
        <v/>
      </c>
      <c r="Y276">
        <f>IF(OR($E276="",$F276=""),0,MAX(0,MIN($F276,DATE(Dashboard!$C$4,8,1))-MAX($E276,DATE(Dashboard!$C$4,7,1))))</f>
        <v/>
      </c>
      <c r="Z276">
        <f>IF(OR($E276="",$F276=""),0,MAX(0,MIN($F276,DATE(Dashboard!$C$4,9,1))-MAX($E276,DATE(Dashboard!$C$4,8,1))))</f>
        <v/>
      </c>
      <c r="AA276">
        <f>IF(OR($E276="",$F276=""),0,MAX(0,MIN($F276,DATE(Dashboard!$C$4,10,1))-MAX($E276,DATE(Dashboard!$C$4,9,1))))</f>
        <v/>
      </c>
      <c r="AB276">
        <f>IF(OR($E276="",$F276=""),0,MAX(0,MIN($F276,DATE(Dashboard!$C$4,11,1))-MAX($E276,DATE(Dashboard!$C$4,10,1))))</f>
        <v/>
      </c>
      <c r="AC276">
        <f>IF(OR($E276="",$F276=""),0,MAX(0,MIN($F276,DATE(Dashboard!$C$4,12,1))-MAX($E276,DATE(Dashboard!$C$4,11,1))))</f>
        <v/>
      </c>
      <c r="AD276">
        <f>IF(OR($E276="",$F276=""),0,MAX(0,MIN($F276,DATE(Dashboard!$C$4,13,1))-MAX($E276,DATE(Dashboard!$C$4,12,1))))</f>
        <v/>
      </c>
      <c r="AE276">
        <f>SUM(S276:AD276)</f>
        <v/>
      </c>
      <c r="AF276">
        <f>Q276*AE276</f>
        <v/>
      </c>
      <c r="AG276">
        <f>R276*AE276</f>
        <v/>
      </c>
      <c r="AH276">
        <f>SUMPRODUCT(S276:AD276,--(COLUMN(S276:AD276)-COLUMN(S276)+1&lt;=Dashboard!$N$1))</f>
        <v/>
      </c>
      <c r="AI276">
        <f>IF(OR(E276="",E276&lt;TODAY()),"",E276+ROW()/100000)</f>
        <v/>
      </c>
      <c r="AJ276">
        <f>IF(OR(F276="",F276&lt;TODAY()),"",F276+ROW()/100000)</f>
        <v/>
      </c>
    </row>
    <row r="277">
      <c r="A277" s="1" t="n"/>
      <c r="B277" s="35" t="n"/>
      <c r="C277" s="35" t="n"/>
      <c r="D277" s="35" t="n"/>
      <c r="E277" s="36" t="n"/>
      <c r="F277" s="36" t="n"/>
      <c r="G277" s="18">
        <f>IF(OR(E277="",F277=""),"",F277-E277)</f>
        <v/>
      </c>
      <c r="H277" s="37" t="n"/>
      <c r="I277" s="38" t="n"/>
      <c r="J277" s="38" t="n"/>
      <c r="K277" s="38" t="n"/>
      <c r="L277" s="31">
        <f>IF(E277="","",N(I277)+N(J277)-N(K277))</f>
        <v/>
      </c>
      <c r="M277" s="39" t="n"/>
      <c r="N277" s="27">
        <f>IF(E277="","",IF(TODAY()&lt;E277,"Upcoming",IF(TODAY()&lt;F277,"Staying now",IF(M277="Yes","Checked out","Payout not received"))))</f>
        <v/>
      </c>
      <c r="O277" s="35" t="n"/>
      <c r="P277" s="1" t="n"/>
      <c r="Q277">
        <f>IF(N(G277)&gt;0,L277/G277,0)</f>
        <v/>
      </c>
      <c r="R277">
        <f>IF(N(G277)&gt;0,N(I277)/G277,0)</f>
        <v/>
      </c>
      <c r="S277">
        <f>IF(OR($E277="",$F277=""),0,MAX(0,MIN($F277,DATE(Dashboard!$C$4,2,1))-MAX($E277,DATE(Dashboard!$C$4,1,1))))</f>
        <v/>
      </c>
      <c r="T277">
        <f>IF(OR($E277="",$F277=""),0,MAX(0,MIN($F277,DATE(Dashboard!$C$4,3,1))-MAX($E277,DATE(Dashboard!$C$4,2,1))))</f>
        <v/>
      </c>
      <c r="U277">
        <f>IF(OR($E277="",$F277=""),0,MAX(0,MIN($F277,DATE(Dashboard!$C$4,4,1))-MAX($E277,DATE(Dashboard!$C$4,3,1))))</f>
        <v/>
      </c>
      <c r="V277">
        <f>IF(OR($E277="",$F277=""),0,MAX(0,MIN($F277,DATE(Dashboard!$C$4,5,1))-MAX($E277,DATE(Dashboard!$C$4,4,1))))</f>
        <v/>
      </c>
      <c r="W277">
        <f>IF(OR($E277="",$F277=""),0,MAX(0,MIN($F277,DATE(Dashboard!$C$4,6,1))-MAX($E277,DATE(Dashboard!$C$4,5,1))))</f>
        <v/>
      </c>
      <c r="X277">
        <f>IF(OR($E277="",$F277=""),0,MAX(0,MIN($F277,DATE(Dashboard!$C$4,7,1))-MAX($E277,DATE(Dashboard!$C$4,6,1))))</f>
        <v/>
      </c>
      <c r="Y277">
        <f>IF(OR($E277="",$F277=""),0,MAX(0,MIN($F277,DATE(Dashboard!$C$4,8,1))-MAX($E277,DATE(Dashboard!$C$4,7,1))))</f>
        <v/>
      </c>
      <c r="Z277">
        <f>IF(OR($E277="",$F277=""),0,MAX(0,MIN($F277,DATE(Dashboard!$C$4,9,1))-MAX($E277,DATE(Dashboard!$C$4,8,1))))</f>
        <v/>
      </c>
      <c r="AA277">
        <f>IF(OR($E277="",$F277=""),0,MAX(0,MIN($F277,DATE(Dashboard!$C$4,10,1))-MAX($E277,DATE(Dashboard!$C$4,9,1))))</f>
        <v/>
      </c>
      <c r="AB277">
        <f>IF(OR($E277="",$F277=""),0,MAX(0,MIN($F277,DATE(Dashboard!$C$4,11,1))-MAX($E277,DATE(Dashboard!$C$4,10,1))))</f>
        <v/>
      </c>
      <c r="AC277">
        <f>IF(OR($E277="",$F277=""),0,MAX(0,MIN($F277,DATE(Dashboard!$C$4,12,1))-MAX($E277,DATE(Dashboard!$C$4,11,1))))</f>
        <v/>
      </c>
      <c r="AD277">
        <f>IF(OR($E277="",$F277=""),0,MAX(0,MIN($F277,DATE(Dashboard!$C$4,13,1))-MAX($E277,DATE(Dashboard!$C$4,12,1))))</f>
        <v/>
      </c>
      <c r="AE277">
        <f>SUM(S277:AD277)</f>
        <v/>
      </c>
      <c r="AF277">
        <f>Q277*AE277</f>
        <v/>
      </c>
      <c r="AG277">
        <f>R277*AE277</f>
        <v/>
      </c>
      <c r="AH277">
        <f>SUMPRODUCT(S277:AD277,--(COLUMN(S277:AD277)-COLUMN(S277)+1&lt;=Dashboard!$N$1))</f>
        <v/>
      </c>
      <c r="AI277">
        <f>IF(OR(E277="",E277&lt;TODAY()),"",E277+ROW()/100000)</f>
        <v/>
      </c>
      <c r="AJ277">
        <f>IF(OR(F277="",F277&lt;TODAY()),"",F277+ROW()/100000)</f>
        <v/>
      </c>
    </row>
    <row r="278">
      <c r="A278" s="1" t="n"/>
      <c r="B278" s="35" t="n"/>
      <c r="C278" s="35" t="n"/>
      <c r="D278" s="35" t="n"/>
      <c r="E278" s="36" t="n"/>
      <c r="F278" s="36" t="n"/>
      <c r="G278" s="18">
        <f>IF(OR(E278="",F278=""),"",F278-E278)</f>
        <v/>
      </c>
      <c r="H278" s="37" t="n"/>
      <c r="I278" s="38" t="n"/>
      <c r="J278" s="38" t="n"/>
      <c r="K278" s="38" t="n"/>
      <c r="L278" s="31">
        <f>IF(E278="","",N(I278)+N(J278)-N(K278))</f>
        <v/>
      </c>
      <c r="M278" s="39" t="n"/>
      <c r="N278" s="27">
        <f>IF(E278="","",IF(TODAY()&lt;E278,"Upcoming",IF(TODAY()&lt;F278,"Staying now",IF(M278="Yes","Checked out","Payout not received"))))</f>
        <v/>
      </c>
      <c r="O278" s="35" t="n"/>
      <c r="P278" s="1" t="n"/>
      <c r="Q278">
        <f>IF(N(G278)&gt;0,L278/G278,0)</f>
        <v/>
      </c>
      <c r="R278">
        <f>IF(N(G278)&gt;0,N(I278)/G278,0)</f>
        <v/>
      </c>
      <c r="S278">
        <f>IF(OR($E278="",$F278=""),0,MAX(0,MIN($F278,DATE(Dashboard!$C$4,2,1))-MAX($E278,DATE(Dashboard!$C$4,1,1))))</f>
        <v/>
      </c>
      <c r="T278">
        <f>IF(OR($E278="",$F278=""),0,MAX(0,MIN($F278,DATE(Dashboard!$C$4,3,1))-MAX($E278,DATE(Dashboard!$C$4,2,1))))</f>
        <v/>
      </c>
      <c r="U278">
        <f>IF(OR($E278="",$F278=""),0,MAX(0,MIN($F278,DATE(Dashboard!$C$4,4,1))-MAX($E278,DATE(Dashboard!$C$4,3,1))))</f>
        <v/>
      </c>
      <c r="V278">
        <f>IF(OR($E278="",$F278=""),0,MAX(0,MIN($F278,DATE(Dashboard!$C$4,5,1))-MAX($E278,DATE(Dashboard!$C$4,4,1))))</f>
        <v/>
      </c>
      <c r="W278">
        <f>IF(OR($E278="",$F278=""),0,MAX(0,MIN($F278,DATE(Dashboard!$C$4,6,1))-MAX($E278,DATE(Dashboard!$C$4,5,1))))</f>
        <v/>
      </c>
      <c r="X278">
        <f>IF(OR($E278="",$F278=""),0,MAX(0,MIN($F278,DATE(Dashboard!$C$4,7,1))-MAX($E278,DATE(Dashboard!$C$4,6,1))))</f>
        <v/>
      </c>
      <c r="Y278">
        <f>IF(OR($E278="",$F278=""),0,MAX(0,MIN($F278,DATE(Dashboard!$C$4,8,1))-MAX($E278,DATE(Dashboard!$C$4,7,1))))</f>
        <v/>
      </c>
      <c r="Z278">
        <f>IF(OR($E278="",$F278=""),0,MAX(0,MIN($F278,DATE(Dashboard!$C$4,9,1))-MAX($E278,DATE(Dashboard!$C$4,8,1))))</f>
        <v/>
      </c>
      <c r="AA278">
        <f>IF(OR($E278="",$F278=""),0,MAX(0,MIN($F278,DATE(Dashboard!$C$4,10,1))-MAX($E278,DATE(Dashboard!$C$4,9,1))))</f>
        <v/>
      </c>
      <c r="AB278">
        <f>IF(OR($E278="",$F278=""),0,MAX(0,MIN($F278,DATE(Dashboard!$C$4,11,1))-MAX($E278,DATE(Dashboard!$C$4,10,1))))</f>
        <v/>
      </c>
      <c r="AC278">
        <f>IF(OR($E278="",$F278=""),0,MAX(0,MIN($F278,DATE(Dashboard!$C$4,12,1))-MAX($E278,DATE(Dashboard!$C$4,11,1))))</f>
        <v/>
      </c>
      <c r="AD278">
        <f>IF(OR($E278="",$F278=""),0,MAX(0,MIN($F278,DATE(Dashboard!$C$4,13,1))-MAX($E278,DATE(Dashboard!$C$4,12,1))))</f>
        <v/>
      </c>
      <c r="AE278">
        <f>SUM(S278:AD278)</f>
        <v/>
      </c>
      <c r="AF278">
        <f>Q278*AE278</f>
        <v/>
      </c>
      <c r="AG278">
        <f>R278*AE278</f>
        <v/>
      </c>
      <c r="AH278">
        <f>SUMPRODUCT(S278:AD278,--(COLUMN(S278:AD278)-COLUMN(S278)+1&lt;=Dashboard!$N$1))</f>
        <v/>
      </c>
      <c r="AI278">
        <f>IF(OR(E278="",E278&lt;TODAY()),"",E278+ROW()/100000)</f>
        <v/>
      </c>
      <c r="AJ278">
        <f>IF(OR(F278="",F278&lt;TODAY()),"",F278+ROW()/100000)</f>
        <v/>
      </c>
    </row>
    <row r="279">
      <c r="A279" s="1" t="n"/>
      <c r="B279" s="35" t="n"/>
      <c r="C279" s="35" t="n"/>
      <c r="D279" s="35" t="n"/>
      <c r="E279" s="36" t="n"/>
      <c r="F279" s="36" t="n"/>
      <c r="G279" s="18">
        <f>IF(OR(E279="",F279=""),"",F279-E279)</f>
        <v/>
      </c>
      <c r="H279" s="37" t="n"/>
      <c r="I279" s="38" t="n"/>
      <c r="J279" s="38" t="n"/>
      <c r="K279" s="38" t="n"/>
      <c r="L279" s="31">
        <f>IF(E279="","",N(I279)+N(J279)-N(K279))</f>
        <v/>
      </c>
      <c r="M279" s="39" t="n"/>
      <c r="N279" s="27">
        <f>IF(E279="","",IF(TODAY()&lt;E279,"Upcoming",IF(TODAY()&lt;F279,"Staying now",IF(M279="Yes","Checked out","Payout not received"))))</f>
        <v/>
      </c>
      <c r="O279" s="35" t="n"/>
      <c r="P279" s="1" t="n"/>
      <c r="Q279">
        <f>IF(N(G279)&gt;0,L279/G279,0)</f>
        <v/>
      </c>
      <c r="R279">
        <f>IF(N(G279)&gt;0,N(I279)/G279,0)</f>
        <v/>
      </c>
      <c r="S279">
        <f>IF(OR($E279="",$F279=""),0,MAX(0,MIN($F279,DATE(Dashboard!$C$4,2,1))-MAX($E279,DATE(Dashboard!$C$4,1,1))))</f>
        <v/>
      </c>
      <c r="T279">
        <f>IF(OR($E279="",$F279=""),0,MAX(0,MIN($F279,DATE(Dashboard!$C$4,3,1))-MAX($E279,DATE(Dashboard!$C$4,2,1))))</f>
        <v/>
      </c>
      <c r="U279">
        <f>IF(OR($E279="",$F279=""),0,MAX(0,MIN($F279,DATE(Dashboard!$C$4,4,1))-MAX($E279,DATE(Dashboard!$C$4,3,1))))</f>
        <v/>
      </c>
      <c r="V279">
        <f>IF(OR($E279="",$F279=""),0,MAX(0,MIN($F279,DATE(Dashboard!$C$4,5,1))-MAX($E279,DATE(Dashboard!$C$4,4,1))))</f>
        <v/>
      </c>
      <c r="W279">
        <f>IF(OR($E279="",$F279=""),0,MAX(0,MIN($F279,DATE(Dashboard!$C$4,6,1))-MAX($E279,DATE(Dashboard!$C$4,5,1))))</f>
        <v/>
      </c>
      <c r="X279">
        <f>IF(OR($E279="",$F279=""),0,MAX(0,MIN($F279,DATE(Dashboard!$C$4,7,1))-MAX($E279,DATE(Dashboard!$C$4,6,1))))</f>
        <v/>
      </c>
      <c r="Y279">
        <f>IF(OR($E279="",$F279=""),0,MAX(0,MIN($F279,DATE(Dashboard!$C$4,8,1))-MAX($E279,DATE(Dashboard!$C$4,7,1))))</f>
        <v/>
      </c>
      <c r="Z279">
        <f>IF(OR($E279="",$F279=""),0,MAX(0,MIN($F279,DATE(Dashboard!$C$4,9,1))-MAX($E279,DATE(Dashboard!$C$4,8,1))))</f>
        <v/>
      </c>
      <c r="AA279">
        <f>IF(OR($E279="",$F279=""),0,MAX(0,MIN($F279,DATE(Dashboard!$C$4,10,1))-MAX($E279,DATE(Dashboard!$C$4,9,1))))</f>
        <v/>
      </c>
      <c r="AB279">
        <f>IF(OR($E279="",$F279=""),0,MAX(0,MIN($F279,DATE(Dashboard!$C$4,11,1))-MAX($E279,DATE(Dashboard!$C$4,10,1))))</f>
        <v/>
      </c>
      <c r="AC279">
        <f>IF(OR($E279="",$F279=""),0,MAX(0,MIN($F279,DATE(Dashboard!$C$4,12,1))-MAX($E279,DATE(Dashboard!$C$4,11,1))))</f>
        <v/>
      </c>
      <c r="AD279">
        <f>IF(OR($E279="",$F279=""),0,MAX(0,MIN($F279,DATE(Dashboard!$C$4,13,1))-MAX($E279,DATE(Dashboard!$C$4,12,1))))</f>
        <v/>
      </c>
      <c r="AE279">
        <f>SUM(S279:AD279)</f>
        <v/>
      </c>
      <c r="AF279">
        <f>Q279*AE279</f>
        <v/>
      </c>
      <c r="AG279">
        <f>R279*AE279</f>
        <v/>
      </c>
      <c r="AH279">
        <f>SUMPRODUCT(S279:AD279,--(COLUMN(S279:AD279)-COLUMN(S279)+1&lt;=Dashboard!$N$1))</f>
        <v/>
      </c>
      <c r="AI279">
        <f>IF(OR(E279="",E279&lt;TODAY()),"",E279+ROW()/100000)</f>
        <v/>
      </c>
      <c r="AJ279">
        <f>IF(OR(F279="",F279&lt;TODAY()),"",F279+ROW()/100000)</f>
        <v/>
      </c>
    </row>
    <row r="280">
      <c r="A280" s="1" t="n"/>
      <c r="B280" s="35" t="n"/>
      <c r="C280" s="35" t="n"/>
      <c r="D280" s="35" t="n"/>
      <c r="E280" s="36" t="n"/>
      <c r="F280" s="36" t="n"/>
      <c r="G280" s="18">
        <f>IF(OR(E280="",F280=""),"",F280-E280)</f>
        <v/>
      </c>
      <c r="H280" s="37" t="n"/>
      <c r="I280" s="38" t="n"/>
      <c r="J280" s="38" t="n"/>
      <c r="K280" s="38" t="n"/>
      <c r="L280" s="31">
        <f>IF(E280="","",N(I280)+N(J280)-N(K280))</f>
        <v/>
      </c>
      <c r="M280" s="39" t="n"/>
      <c r="N280" s="27">
        <f>IF(E280="","",IF(TODAY()&lt;E280,"Upcoming",IF(TODAY()&lt;F280,"Staying now",IF(M280="Yes","Checked out","Payout not received"))))</f>
        <v/>
      </c>
      <c r="O280" s="35" t="n"/>
      <c r="P280" s="1" t="n"/>
      <c r="Q280">
        <f>IF(N(G280)&gt;0,L280/G280,0)</f>
        <v/>
      </c>
      <c r="R280">
        <f>IF(N(G280)&gt;0,N(I280)/G280,0)</f>
        <v/>
      </c>
      <c r="S280">
        <f>IF(OR($E280="",$F280=""),0,MAX(0,MIN($F280,DATE(Dashboard!$C$4,2,1))-MAX($E280,DATE(Dashboard!$C$4,1,1))))</f>
        <v/>
      </c>
      <c r="T280">
        <f>IF(OR($E280="",$F280=""),0,MAX(0,MIN($F280,DATE(Dashboard!$C$4,3,1))-MAX($E280,DATE(Dashboard!$C$4,2,1))))</f>
        <v/>
      </c>
      <c r="U280">
        <f>IF(OR($E280="",$F280=""),0,MAX(0,MIN($F280,DATE(Dashboard!$C$4,4,1))-MAX($E280,DATE(Dashboard!$C$4,3,1))))</f>
        <v/>
      </c>
      <c r="V280">
        <f>IF(OR($E280="",$F280=""),0,MAX(0,MIN($F280,DATE(Dashboard!$C$4,5,1))-MAX($E280,DATE(Dashboard!$C$4,4,1))))</f>
        <v/>
      </c>
      <c r="W280">
        <f>IF(OR($E280="",$F280=""),0,MAX(0,MIN($F280,DATE(Dashboard!$C$4,6,1))-MAX($E280,DATE(Dashboard!$C$4,5,1))))</f>
        <v/>
      </c>
      <c r="X280">
        <f>IF(OR($E280="",$F280=""),0,MAX(0,MIN($F280,DATE(Dashboard!$C$4,7,1))-MAX($E280,DATE(Dashboard!$C$4,6,1))))</f>
        <v/>
      </c>
      <c r="Y280">
        <f>IF(OR($E280="",$F280=""),0,MAX(0,MIN($F280,DATE(Dashboard!$C$4,8,1))-MAX($E280,DATE(Dashboard!$C$4,7,1))))</f>
        <v/>
      </c>
      <c r="Z280">
        <f>IF(OR($E280="",$F280=""),0,MAX(0,MIN($F280,DATE(Dashboard!$C$4,9,1))-MAX($E280,DATE(Dashboard!$C$4,8,1))))</f>
        <v/>
      </c>
      <c r="AA280">
        <f>IF(OR($E280="",$F280=""),0,MAX(0,MIN($F280,DATE(Dashboard!$C$4,10,1))-MAX($E280,DATE(Dashboard!$C$4,9,1))))</f>
        <v/>
      </c>
      <c r="AB280">
        <f>IF(OR($E280="",$F280=""),0,MAX(0,MIN($F280,DATE(Dashboard!$C$4,11,1))-MAX($E280,DATE(Dashboard!$C$4,10,1))))</f>
        <v/>
      </c>
      <c r="AC280">
        <f>IF(OR($E280="",$F280=""),0,MAX(0,MIN($F280,DATE(Dashboard!$C$4,12,1))-MAX($E280,DATE(Dashboard!$C$4,11,1))))</f>
        <v/>
      </c>
      <c r="AD280">
        <f>IF(OR($E280="",$F280=""),0,MAX(0,MIN($F280,DATE(Dashboard!$C$4,13,1))-MAX($E280,DATE(Dashboard!$C$4,12,1))))</f>
        <v/>
      </c>
      <c r="AE280">
        <f>SUM(S280:AD280)</f>
        <v/>
      </c>
      <c r="AF280">
        <f>Q280*AE280</f>
        <v/>
      </c>
      <c r="AG280">
        <f>R280*AE280</f>
        <v/>
      </c>
      <c r="AH280">
        <f>SUMPRODUCT(S280:AD280,--(COLUMN(S280:AD280)-COLUMN(S280)+1&lt;=Dashboard!$N$1))</f>
        <v/>
      </c>
      <c r="AI280">
        <f>IF(OR(E280="",E280&lt;TODAY()),"",E280+ROW()/100000)</f>
        <v/>
      </c>
      <c r="AJ280">
        <f>IF(OR(F280="",F280&lt;TODAY()),"",F280+ROW()/100000)</f>
        <v/>
      </c>
    </row>
    <row r="281">
      <c r="A281" s="1" t="n"/>
      <c r="B281" s="35" t="n"/>
      <c r="C281" s="35" t="n"/>
      <c r="D281" s="35" t="n"/>
      <c r="E281" s="36" t="n"/>
      <c r="F281" s="36" t="n"/>
      <c r="G281" s="18">
        <f>IF(OR(E281="",F281=""),"",F281-E281)</f>
        <v/>
      </c>
      <c r="H281" s="37" t="n"/>
      <c r="I281" s="38" t="n"/>
      <c r="J281" s="38" t="n"/>
      <c r="K281" s="38" t="n"/>
      <c r="L281" s="31">
        <f>IF(E281="","",N(I281)+N(J281)-N(K281))</f>
        <v/>
      </c>
      <c r="M281" s="39" t="n"/>
      <c r="N281" s="27">
        <f>IF(E281="","",IF(TODAY()&lt;E281,"Upcoming",IF(TODAY()&lt;F281,"Staying now",IF(M281="Yes","Checked out","Payout not received"))))</f>
        <v/>
      </c>
      <c r="O281" s="35" t="n"/>
      <c r="P281" s="1" t="n"/>
      <c r="Q281">
        <f>IF(N(G281)&gt;0,L281/G281,0)</f>
        <v/>
      </c>
      <c r="R281">
        <f>IF(N(G281)&gt;0,N(I281)/G281,0)</f>
        <v/>
      </c>
      <c r="S281">
        <f>IF(OR($E281="",$F281=""),0,MAX(0,MIN($F281,DATE(Dashboard!$C$4,2,1))-MAX($E281,DATE(Dashboard!$C$4,1,1))))</f>
        <v/>
      </c>
      <c r="T281">
        <f>IF(OR($E281="",$F281=""),0,MAX(0,MIN($F281,DATE(Dashboard!$C$4,3,1))-MAX($E281,DATE(Dashboard!$C$4,2,1))))</f>
        <v/>
      </c>
      <c r="U281">
        <f>IF(OR($E281="",$F281=""),0,MAX(0,MIN($F281,DATE(Dashboard!$C$4,4,1))-MAX($E281,DATE(Dashboard!$C$4,3,1))))</f>
        <v/>
      </c>
      <c r="V281">
        <f>IF(OR($E281="",$F281=""),0,MAX(0,MIN($F281,DATE(Dashboard!$C$4,5,1))-MAX($E281,DATE(Dashboard!$C$4,4,1))))</f>
        <v/>
      </c>
      <c r="W281">
        <f>IF(OR($E281="",$F281=""),0,MAX(0,MIN($F281,DATE(Dashboard!$C$4,6,1))-MAX($E281,DATE(Dashboard!$C$4,5,1))))</f>
        <v/>
      </c>
      <c r="X281">
        <f>IF(OR($E281="",$F281=""),0,MAX(0,MIN($F281,DATE(Dashboard!$C$4,7,1))-MAX($E281,DATE(Dashboard!$C$4,6,1))))</f>
        <v/>
      </c>
      <c r="Y281">
        <f>IF(OR($E281="",$F281=""),0,MAX(0,MIN($F281,DATE(Dashboard!$C$4,8,1))-MAX($E281,DATE(Dashboard!$C$4,7,1))))</f>
        <v/>
      </c>
      <c r="Z281">
        <f>IF(OR($E281="",$F281=""),0,MAX(0,MIN($F281,DATE(Dashboard!$C$4,9,1))-MAX($E281,DATE(Dashboard!$C$4,8,1))))</f>
        <v/>
      </c>
      <c r="AA281">
        <f>IF(OR($E281="",$F281=""),0,MAX(0,MIN($F281,DATE(Dashboard!$C$4,10,1))-MAX($E281,DATE(Dashboard!$C$4,9,1))))</f>
        <v/>
      </c>
      <c r="AB281">
        <f>IF(OR($E281="",$F281=""),0,MAX(0,MIN($F281,DATE(Dashboard!$C$4,11,1))-MAX($E281,DATE(Dashboard!$C$4,10,1))))</f>
        <v/>
      </c>
      <c r="AC281">
        <f>IF(OR($E281="",$F281=""),0,MAX(0,MIN($F281,DATE(Dashboard!$C$4,12,1))-MAX($E281,DATE(Dashboard!$C$4,11,1))))</f>
        <v/>
      </c>
      <c r="AD281">
        <f>IF(OR($E281="",$F281=""),0,MAX(0,MIN($F281,DATE(Dashboard!$C$4,13,1))-MAX($E281,DATE(Dashboard!$C$4,12,1))))</f>
        <v/>
      </c>
      <c r="AE281">
        <f>SUM(S281:AD281)</f>
        <v/>
      </c>
      <c r="AF281">
        <f>Q281*AE281</f>
        <v/>
      </c>
      <c r="AG281">
        <f>R281*AE281</f>
        <v/>
      </c>
      <c r="AH281">
        <f>SUMPRODUCT(S281:AD281,--(COLUMN(S281:AD281)-COLUMN(S281)+1&lt;=Dashboard!$N$1))</f>
        <v/>
      </c>
      <c r="AI281">
        <f>IF(OR(E281="",E281&lt;TODAY()),"",E281+ROW()/100000)</f>
        <v/>
      </c>
      <c r="AJ281">
        <f>IF(OR(F281="",F281&lt;TODAY()),"",F281+ROW()/100000)</f>
        <v/>
      </c>
    </row>
    <row r="282">
      <c r="A282" s="1" t="n"/>
      <c r="B282" s="35" t="n"/>
      <c r="C282" s="35" t="n"/>
      <c r="D282" s="35" t="n"/>
      <c r="E282" s="36" t="n"/>
      <c r="F282" s="36" t="n"/>
      <c r="G282" s="18">
        <f>IF(OR(E282="",F282=""),"",F282-E282)</f>
        <v/>
      </c>
      <c r="H282" s="37" t="n"/>
      <c r="I282" s="38" t="n"/>
      <c r="J282" s="38" t="n"/>
      <c r="K282" s="38" t="n"/>
      <c r="L282" s="31">
        <f>IF(E282="","",N(I282)+N(J282)-N(K282))</f>
        <v/>
      </c>
      <c r="M282" s="39" t="n"/>
      <c r="N282" s="27">
        <f>IF(E282="","",IF(TODAY()&lt;E282,"Upcoming",IF(TODAY()&lt;F282,"Staying now",IF(M282="Yes","Checked out","Payout not received"))))</f>
        <v/>
      </c>
      <c r="O282" s="35" t="n"/>
      <c r="P282" s="1" t="n"/>
      <c r="Q282">
        <f>IF(N(G282)&gt;0,L282/G282,0)</f>
        <v/>
      </c>
      <c r="R282">
        <f>IF(N(G282)&gt;0,N(I282)/G282,0)</f>
        <v/>
      </c>
      <c r="S282">
        <f>IF(OR($E282="",$F282=""),0,MAX(0,MIN($F282,DATE(Dashboard!$C$4,2,1))-MAX($E282,DATE(Dashboard!$C$4,1,1))))</f>
        <v/>
      </c>
      <c r="T282">
        <f>IF(OR($E282="",$F282=""),0,MAX(0,MIN($F282,DATE(Dashboard!$C$4,3,1))-MAX($E282,DATE(Dashboard!$C$4,2,1))))</f>
        <v/>
      </c>
      <c r="U282">
        <f>IF(OR($E282="",$F282=""),0,MAX(0,MIN($F282,DATE(Dashboard!$C$4,4,1))-MAX($E282,DATE(Dashboard!$C$4,3,1))))</f>
        <v/>
      </c>
      <c r="V282">
        <f>IF(OR($E282="",$F282=""),0,MAX(0,MIN($F282,DATE(Dashboard!$C$4,5,1))-MAX($E282,DATE(Dashboard!$C$4,4,1))))</f>
        <v/>
      </c>
      <c r="W282">
        <f>IF(OR($E282="",$F282=""),0,MAX(0,MIN($F282,DATE(Dashboard!$C$4,6,1))-MAX($E282,DATE(Dashboard!$C$4,5,1))))</f>
        <v/>
      </c>
      <c r="X282">
        <f>IF(OR($E282="",$F282=""),0,MAX(0,MIN($F282,DATE(Dashboard!$C$4,7,1))-MAX($E282,DATE(Dashboard!$C$4,6,1))))</f>
        <v/>
      </c>
      <c r="Y282">
        <f>IF(OR($E282="",$F282=""),0,MAX(0,MIN($F282,DATE(Dashboard!$C$4,8,1))-MAX($E282,DATE(Dashboard!$C$4,7,1))))</f>
        <v/>
      </c>
      <c r="Z282">
        <f>IF(OR($E282="",$F282=""),0,MAX(0,MIN($F282,DATE(Dashboard!$C$4,9,1))-MAX($E282,DATE(Dashboard!$C$4,8,1))))</f>
        <v/>
      </c>
      <c r="AA282">
        <f>IF(OR($E282="",$F282=""),0,MAX(0,MIN($F282,DATE(Dashboard!$C$4,10,1))-MAX($E282,DATE(Dashboard!$C$4,9,1))))</f>
        <v/>
      </c>
      <c r="AB282">
        <f>IF(OR($E282="",$F282=""),0,MAX(0,MIN($F282,DATE(Dashboard!$C$4,11,1))-MAX($E282,DATE(Dashboard!$C$4,10,1))))</f>
        <v/>
      </c>
      <c r="AC282">
        <f>IF(OR($E282="",$F282=""),0,MAX(0,MIN($F282,DATE(Dashboard!$C$4,12,1))-MAX($E282,DATE(Dashboard!$C$4,11,1))))</f>
        <v/>
      </c>
      <c r="AD282">
        <f>IF(OR($E282="",$F282=""),0,MAX(0,MIN($F282,DATE(Dashboard!$C$4,13,1))-MAX($E282,DATE(Dashboard!$C$4,12,1))))</f>
        <v/>
      </c>
      <c r="AE282">
        <f>SUM(S282:AD282)</f>
        <v/>
      </c>
      <c r="AF282">
        <f>Q282*AE282</f>
        <v/>
      </c>
      <c r="AG282">
        <f>R282*AE282</f>
        <v/>
      </c>
      <c r="AH282">
        <f>SUMPRODUCT(S282:AD282,--(COLUMN(S282:AD282)-COLUMN(S282)+1&lt;=Dashboard!$N$1))</f>
        <v/>
      </c>
      <c r="AI282">
        <f>IF(OR(E282="",E282&lt;TODAY()),"",E282+ROW()/100000)</f>
        <v/>
      </c>
      <c r="AJ282">
        <f>IF(OR(F282="",F282&lt;TODAY()),"",F282+ROW()/100000)</f>
        <v/>
      </c>
    </row>
    <row r="283">
      <c r="A283" s="1" t="n"/>
      <c r="B283" s="35" t="n"/>
      <c r="C283" s="35" t="n"/>
      <c r="D283" s="35" t="n"/>
      <c r="E283" s="36" t="n"/>
      <c r="F283" s="36" t="n"/>
      <c r="G283" s="18">
        <f>IF(OR(E283="",F283=""),"",F283-E283)</f>
        <v/>
      </c>
      <c r="H283" s="37" t="n"/>
      <c r="I283" s="38" t="n"/>
      <c r="J283" s="38" t="n"/>
      <c r="K283" s="38" t="n"/>
      <c r="L283" s="31">
        <f>IF(E283="","",N(I283)+N(J283)-N(K283))</f>
        <v/>
      </c>
      <c r="M283" s="39" t="n"/>
      <c r="N283" s="27">
        <f>IF(E283="","",IF(TODAY()&lt;E283,"Upcoming",IF(TODAY()&lt;F283,"Staying now",IF(M283="Yes","Checked out","Payout not received"))))</f>
        <v/>
      </c>
      <c r="O283" s="35" t="n"/>
      <c r="P283" s="1" t="n"/>
      <c r="Q283">
        <f>IF(N(G283)&gt;0,L283/G283,0)</f>
        <v/>
      </c>
      <c r="R283">
        <f>IF(N(G283)&gt;0,N(I283)/G283,0)</f>
        <v/>
      </c>
      <c r="S283">
        <f>IF(OR($E283="",$F283=""),0,MAX(0,MIN($F283,DATE(Dashboard!$C$4,2,1))-MAX($E283,DATE(Dashboard!$C$4,1,1))))</f>
        <v/>
      </c>
      <c r="T283">
        <f>IF(OR($E283="",$F283=""),0,MAX(0,MIN($F283,DATE(Dashboard!$C$4,3,1))-MAX($E283,DATE(Dashboard!$C$4,2,1))))</f>
        <v/>
      </c>
      <c r="U283">
        <f>IF(OR($E283="",$F283=""),0,MAX(0,MIN($F283,DATE(Dashboard!$C$4,4,1))-MAX($E283,DATE(Dashboard!$C$4,3,1))))</f>
        <v/>
      </c>
      <c r="V283">
        <f>IF(OR($E283="",$F283=""),0,MAX(0,MIN($F283,DATE(Dashboard!$C$4,5,1))-MAX($E283,DATE(Dashboard!$C$4,4,1))))</f>
        <v/>
      </c>
      <c r="W283">
        <f>IF(OR($E283="",$F283=""),0,MAX(0,MIN($F283,DATE(Dashboard!$C$4,6,1))-MAX($E283,DATE(Dashboard!$C$4,5,1))))</f>
        <v/>
      </c>
      <c r="X283">
        <f>IF(OR($E283="",$F283=""),0,MAX(0,MIN($F283,DATE(Dashboard!$C$4,7,1))-MAX($E283,DATE(Dashboard!$C$4,6,1))))</f>
        <v/>
      </c>
      <c r="Y283">
        <f>IF(OR($E283="",$F283=""),0,MAX(0,MIN($F283,DATE(Dashboard!$C$4,8,1))-MAX($E283,DATE(Dashboard!$C$4,7,1))))</f>
        <v/>
      </c>
      <c r="Z283">
        <f>IF(OR($E283="",$F283=""),0,MAX(0,MIN($F283,DATE(Dashboard!$C$4,9,1))-MAX($E283,DATE(Dashboard!$C$4,8,1))))</f>
        <v/>
      </c>
      <c r="AA283">
        <f>IF(OR($E283="",$F283=""),0,MAX(0,MIN($F283,DATE(Dashboard!$C$4,10,1))-MAX($E283,DATE(Dashboard!$C$4,9,1))))</f>
        <v/>
      </c>
      <c r="AB283">
        <f>IF(OR($E283="",$F283=""),0,MAX(0,MIN($F283,DATE(Dashboard!$C$4,11,1))-MAX($E283,DATE(Dashboard!$C$4,10,1))))</f>
        <v/>
      </c>
      <c r="AC283">
        <f>IF(OR($E283="",$F283=""),0,MAX(0,MIN($F283,DATE(Dashboard!$C$4,12,1))-MAX($E283,DATE(Dashboard!$C$4,11,1))))</f>
        <v/>
      </c>
      <c r="AD283">
        <f>IF(OR($E283="",$F283=""),0,MAX(0,MIN($F283,DATE(Dashboard!$C$4,13,1))-MAX($E283,DATE(Dashboard!$C$4,12,1))))</f>
        <v/>
      </c>
      <c r="AE283">
        <f>SUM(S283:AD283)</f>
        <v/>
      </c>
      <c r="AF283">
        <f>Q283*AE283</f>
        <v/>
      </c>
      <c r="AG283">
        <f>R283*AE283</f>
        <v/>
      </c>
      <c r="AH283">
        <f>SUMPRODUCT(S283:AD283,--(COLUMN(S283:AD283)-COLUMN(S283)+1&lt;=Dashboard!$N$1))</f>
        <v/>
      </c>
      <c r="AI283">
        <f>IF(OR(E283="",E283&lt;TODAY()),"",E283+ROW()/100000)</f>
        <v/>
      </c>
      <c r="AJ283">
        <f>IF(OR(F283="",F283&lt;TODAY()),"",F283+ROW()/100000)</f>
        <v/>
      </c>
    </row>
    <row r="284">
      <c r="A284" s="1" t="n"/>
      <c r="B284" s="35" t="n"/>
      <c r="C284" s="35" t="n"/>
      <c r="D284" s="35" t="n"/>
      <c r="E284" s="36" t="n"/>
      <c r="F284" s="36" t="n"/>
      <c r="G284" s="18">
        <f>IF(OR(E284="",F284=""),"",F284-E284)</f>
        <v/>
      </c>
      <c r="H284" s="37" t="n"/>
      <c r="I284" s="38" t="n"/>
      <c r="J284" s="38" t="n"/>
      <c r="K284" s="38" t="n"/>
      <c r="L284" s="31">
        <f>IF(E284="","",N(I284)+N(J284)-N(K284))</f>
        <v/>
      </c>
      <c r="M284" s="39" t="n"/>
      <c r="N284" s="27">
        <f>IF(E284="","",IF(TODAY()&lt;E284,"Upcoming",IF(TODAY()&lt;F284,"Staying now",IF(M284="Yes","Checked out","Payout not received"))))</f>
        <v/>
      </c>
      <c r="O284" s="35" t="n"/>
      <c r="P284" s="1" t="n"/>
      <c r="Q284">
        <f>IF(N(G284)&gt;0,L284/G284,0)</f>
        <v/>
      </c>
      <c r="R284">
        <f>IF(N(G284)&gt;0,N(I284)/G284,0)</f>
        <v/>
      </c>
      <c r="S284">
        <f>IF(OR($E284="",$F284=""),0,MAX(0,MIN($F284,DATE(Dashboard!$C$4,2,1))-MAX($E284,DATE(Dashboard!$C$4,1,1))))</f>
        <v/>
      </c>
      <c r="T284">
        <f>IF(OR($E284="",$F284=""),0,MAX(0,MIN($F284,DATE(Dashboard!$C$4,3,1))-MAX($E284,DATE(Dashboard!$C$4,2,1))))</f>
        <v/>
      </c>
      <c r="U284">
        <f>IF(OR($E284="",$F284=""),0,MAX(0,MIN($F284,DATE(Dashboard!$C$4,4,1))-MAX($E284,DATE(Dashboard!$C$4,3,1))))</f>
        <v/>
      </c>
      <c r="V284">
        <f>IF(OR($E284="",$F284=""),0,MAX(0,MIN($F284,DATE(Dashboard!$C$4,5,1))-MAX($E284,DATE(Dashboard!$C$4,4,1))))</f>
        <v/>
      </c>
      <c r="W284">
        <f>IF(OR($E284="",$F284=""),0,MAX(0,MIN($F284,DATE(Dashboard!$C$4,6,1))-MAX($E284,DATE(Dashboard!$C$4,5,1))))</f>
        <v/>
      </c>
      <c r="X284">
        <f>IF(OR($E284="",$F284=""),0,MAX(0,MIN($F284,DATE(Dashboard!$C$4,7,1))-MAX($E284,DATE(Dashboard!$C$4,6,1))))</f>
        <v/>
      </c>
      <c r="Y284">
        <f>IF(OR($E284="",$F284=""),0,MAX(0,MIN($F284,DATE(Dashboard!$C$4,8,1))-MAX($E284,DATE(Dashboard!$C$4,7,1))))</f>
        <v/>
      </c>
      <c r="Z284">
        <f>IF(OR($E284="",$F284=""),0,MAX(0,MIN($F284,DATE(Dashboard!$C$4,9,1))-MAX($E284,DATE(Dashboard!$C$4,8,1))))</f>
        <v/>
      </c>
      <c r="AA284">
        <f>IF(OR($E284="",$F284=""),0,MAX(0,MIN($F284,DATE(Dashboard!$C$4,10,1))-MAX($E284,DATE(Dashboard!$C$4,9,1))))</f>
        <v/>
      </c>
      <c r="AB284">
        <f>IF(OR($E284="",$F284=""),0,MAX(0,MIN($F284,DATE(Dashboard!$C$4,11,1))-MAX($E284,DATE(Dashboard!$C$4,10,1))))</f>
        <v/>
      </c>
      <c r="AC284">
        <f>IF(OR($E284="",$F284=""),0,MAX(0,MIN($F284,DATE(Dashboard!$C$4,12,1))-MAX($E284,DATE(Dashboard!$C$4,11,1))))</f>
        <v/>
      </c>
      <c r="AD284">
        <f>IF(OR($E284="",$F284=""),0,MAX(0,MIN($F284,DATE(Dashboard!$C$4,13,1))-MAX($E284,DATE(Dashboard!$C$4,12,1))))</f>
        <v/>
      </c>
      <c r="AE284">
        <f>SUM(S284:AD284)</f>
        <v/>
      </c>
      <c r="AF284">
        <f>Q284*AE284</f>
        <v/>
      </c>
      <c r="AG284">
        <f>R284*AE284</f>
        <v/>
      </c>
      <c r="AH284">
        <f>SUMPRODUCT(S284:AD284,--(COLUMN(S284:AD284)-COLUMN(S284)+1&lt;=Dashboard!$N$1))</f>
        <v/>
      </c>
      <c r="AI284">
        <f>IF(OR(E284="",E284&lt;TODAY()),"",E284+ROW()/100000)</f>
        <v/>
      </c>
      <c r="AJ284">
        <f>IF(OR(F284="",F284&lt;TODAY()),"",F284+ROW()/100000)</f>
        <v/>
      </c>
    </row>
    <row r="285">
      <c r="A285" s="1" t="n"/>
      <c r="B285" s="35" t="n"/>
      <c r="C285" s="35" t="n"/>
      <c r="D285" s="35" t="n"/>
      <c r="E285" s="36" t="n"/>
      <c r="F285" s="36" t="n"/>
      <c r="G285" s="18">
        <f>IF(OR(E285="",F285=""),"",F285-E285)</f>
        <v/>
      </c>
      <c r="H285" s="37" t="n"/>
      <c r="I285" s="38" t="n"/>
      <c r="J285" s="38" t="n"/>
      <c r="K285" s="38" t="n"/>
      <c r="L285" s="31">
        <f>IF(E285="","",N(I285)+N(J285)-N(K285))</f>
        <v/>
      </c>
      <c r="M285" s="39" t="n"/>
      <c r="N285" s="27">
        <f>IF(E285="","",IF(TODAY()&lt;E285,"Upcoming",IF(TODAY()&lt;F285,"Staying now",IF(M285="Yes","Checked out","Payout not received"))))</f>
        <v/>
      </c>
      <c r="O285" s="35" t="n"/>
      <c r="P285" s="1" t="n"/>
      <c r="Q285">
        <f>IF(N(G285)&gt;0,L285/G285,0)</f>
        <v/>
      </c>
      <c r="R285">
        <f>IF(N(G285)&gt;0,N(I285)/G285,0)</f>
        <v/>
      </c>
      <c r="S285">
        <f>IF(OR($E285="",$F285=""),0,MAX(0,MIN($F285,DATE(Dashboard!$C$4,2,1))-MAX($E285,DATE(Dashboard!$C$4,1,1))))</f>
        <v/>
      </c>
      <c r="T285">
        <f>IF(OR($E285="",$F285=""),0,MAX(0,MIN($F285,DATE(Dashboard!$C$4,3,1))-MAX($E285,DATE(Dashboard!$C$4,2,1))))</f>
        <v/>
      </c>
      <c r="U285">
        <f>IF(OR($E285="",$F285=""),0,MAX(0,MIN($F285,DATE(Dashboard!$C$4,4,1))-MAX($E285,DATE(Dashboard!$C$4,3,1))))</f>
        <v/>
      </c>
      <c r="V285">
        <f>IF(OR($E285="",$F285=""),0,MAX(0,MIN($F285,DATE(Dashboard!$C$4,5,1))-MAX($E285,DATE(Dashboard!$C$4,4,1))))</f>
        <v/>
      </c>
      <c r="W285">
        <f>IF(OR($E285="",$F285=""),0,MAX(0,MIN($F285,DATE(Dashboard!$C$4,6,1))-MAX($E285,DATE(Dashboard!$C$4,5,1))))</f>
        <v/>
      </c>
      <c r="X285">
        <f>IF(OR($E285="",$F285=""),0,MAX(0,MIN($F285,DATE(Dashboard!$C$4,7,1))-MAX($E285,DATE(Dashboard!$C$4,6,1))))</f>
        <v/>
      </c>
      <c r="Y285">
        <f>IF(OR($E285="",$F285=""),0,MAX(0,MIN($F285,DATE(Dashboard!$C$4,8,1))-MAX($E285,DATE(Dashboard!$C$4,7,1))))</f>
        <v/>
      </c>
      <c r="Z285">
        <f>IF(OR($E285="",$F285=""),0,MAX(0,MIN($F285,DATE(Dashboard!$C$4,9,1))-MAX($E285,DATE(Dashboard!$C$4,8,1))))</f>
        <v/>
      </c>
      <c r="AA285">
        <f>IF(OR($E285="",$F285=""),0,MAX(0,MIN($F285,DATE(Dashboard!$C$4,10,1))-MAX($E285,DATE(Dashboard!$C$4,9,1))))</f>
        <v/>
      </c>
      <c r="AB285">
        <f>IF(OR($E285="",$F285=""),0,MAX(0,MIN($F285,DATE(Dashboard!$C$4,11,1))-MAX($E285,DATE(Dashboard!$C$4,10,1))))</f>
        <v/>
      </c>
      <c r="AC285">
        <f>IF(OR($E285="",$F285=""),0,MAX(0,MIN($F285,DATE(Dashboard!$C$4,12,1))-MAX($E285,DATE(Dashboard!$C$4,11,1))))</f>
        <v/>
      </c>
      <c r="AD285">
        <f>IF(OR($E285="",$F285=""),0,MAX(0,MIN($F285,DATE(Dashboard!$C$4,13,1))-MAX($E285,DATE(Dashboard!$C$4,12,1))))</f>
        <v/>
      </c>
      <c r="AE285">
        <f>SUM(S285:AD285)</f>
        <v/>
      </c>
      <c r="AF285">
        <f>Q285*AE285</f>
        <v/>
      </c>
      <c r="AG285">
        <f>R285*AE285</f>
        <v/>
      </c>
      <c r="AH285">
        <f>SUMPRODUCT(S285:AD285,--(COLUMN(S285:AD285)-COLUMN(S285)+1&lt;=Dashboard!$N$1))</f>
        <v/>
      </c>
      <c r="AI285">
        <f>IF(OR(E285="",E285&lt;TODAY()),"",E285+ROW()/100000)</f>
        <v/>
      </c>
      <c r="AJ285">
        <f>IF(OR(F285="",F285&lt;TODAY()),"",F285+ROW()/100000)</f>
        <v/>
      </c>
    </row>
    <row r="286">
      <c r="A286" s="1" t="n"/>
      <c r="B286" s="35" t="n"/>
      <c r="C286" s="35" t="n"/>
      <c r="D286" s="35" t="n"/>
      <c r="E286" s="36" t="n"/>
      <c r="F286" s="36" t="n"/>
      <c r="G286" s="18">
        <f>IF(OR(E286="",F286=""),"",F286-E286)</f>
        <v/>
      </c>
      <c r="H286" s="37" t="n"/>
      <c r="I286" s="38" t="n"/>
      <c r="J286" s="38" t="n"/>
      <c r="K286" s="38" t="n"/>
      <c r="L286" s="31">
        <f>IF(E286="","",N(I286)+N(J286)-N(K286))</f>
        <v/>
      </c>
      <c r="M286" s="39" t="n"/>
      <c r="N286" s="27">
        <f>IF(E286="","",IF(TODAY()&lt;E286,"Upcoming",IF(TODAY()&lt;F286,"Staying now",IF(M286="Yes","Checked out","Payout not received"))))</f>
        <v/>
      </c>
      <c r="O286" s="35" t="n"/>
      <c r="P286" s="1" t="n"/>
      <c r="Q286">
        <f>IF(N(G286)&gt;0,L286/G286,0)</f>
        <v/>
      </c>
      <c r="R286">
        <f>IF(N(G286)&gt;0,N(I286)/G286,0)</f>
        <v/>
      </c>
      <c r="S286">
        <f>IF(OR($E286="",$F286=""),0,MAX(0,MIN($F286,DATE(Dashboard!$C$4,2,1))-MAX($E286,DATE(Dashboard!$C$4,1,1))))</f>
        <v/>
      </c>
      <c r="T286">
        <f>IF(OR($E286="",$F286=""),0,MAX(0,MIN($F286,DATE(Dashboard!$C$4,3,1))-MAX($E286,DATE(Dashboard!$C$4,2,1))))</f>
        <v/>
      </c>
      <c r="U286">
        <f>IF(OR($E286="",$F286=""),0,MAX(0,MIN($F286,DATE(Dashboard!$C$4,4,1))-MAX($E286,DATE(Dashboard!$C$4,3,1))))</f>
        <v/>
      </c>
      <c r="V286">
        <f>IF(OR($E286="",$F286=""),0,MAX(0,MIN($F286,DATE(Dashboard!$C$4,5,1))-MAX($E286,DATE(Dashboard!$C$4,4,1))))</f>
        <v/>
      </c>
      <c r="W286">
        <f>IF(OR($E286="",$F286=""),0,MAX(0,MIN($F286,DATE(Dashboard!$C$4,6,1))-MAX($E286,DATE(Dashboard!$C$4,5,1))))</f>
        <v/>
      </c>
      <c r="X286">
        <f>IF(OR($E286="",$F286=""),0,MAX(0,MIN($F286,DATE(Dashboard!$C$4,7,1))-MAX($E286,DATE(Dashboard!$C$4,6,1))))</f>
        <v/>
      </c>
      <c r="Y286">
        <f>IF(OR($E286="",$F286=""),0,MAX(0,MIN($F286,DATE(Dashboard!$C$4,8,1))-MAX($E286,DATE(Dashboard!$C$4,7,1))))</f>
        <v/>
      </c>
      <c r="Z286">
        <f>IF(OR($E286="",$F286=""),0,MAX(0,MIN($F286,DATE(Dashboard!$C$4,9,1))-MAX($E286,DATE(Dashboard!$C$4,8,1))))</f>
        <v/>
      </c>
      <c r="AA286">
        <f>IF(OR($E286="",$F286=""),0,MAX(0,MIN($F286,DATE(Dashboard!$C$4,10,1))-MAX($E286,DATE(Dashboard!$C$4,9,1))))</f>
        <v/>
      </c>
      <c r="AB286">
        <f>IF(OR($E286="",$F286=""),0,MAX(0,MIN($F286,DATE(Dashboard!$C$4,11,1))-MAX($E286,DATE(Dashboard!$C$4,10,1))))</f>
        <v/>
      </c>
      <c r="AC286">
        <f>IF(OR($E286="",$F286=""),0,MAX(0,MIN($F286,DATE(Dashboard!$C$4,12,1))-MAX($E286,DATE(Dashboard!$C$4,11,1))))</f>
        <v/>
      </c>
      <c r="AD286">
        <f>IF(OR($E286="",$F286=""),0,MAX(0,MIN($F286,DATE(Dashboard!$C$4,13,1))-MAX($E286,DATE(Dashboard!$C$4,12,1))))</f>
        <v/>
      </c>
      <c r="AE286">
        <f>SUM(S286:AD286)</f>
        <v/>
      </c>
      <c r="AF286">
        <f>Q286*AE286</f>
        <v/>
      </c>
      <c r="AG286">
        <f>R286*AE286</f>
        <v/>
      </c>
      <c r="AH286">
        <f>SUMPRODUCT(S286:AD286,--(COLUMN(S286:AD286)-COLUMN(S286)+1&lt;=Dashboard!$N$1))</f>
        <v/>
      </c>
      <c r="AI286">
        <f>IF(OR(E286="",E286&lt;TODAY()),"",E286+ROW()/100000)</f>
        <v/>
      </c>
      <c r="AJ286">
        <f>IF(OR(F286="",F286&lt;TODAY()),"",F286+ROW()/100000)</f>
        <v/>
      </c>
    </row>
    <row r="287">
      <c r="A287" s="1" t="n"/>
      <c r="B287" s="35" t="n"/>
      <c r="C287" s="35" t="n"/>
      <c r="D287" s="35" t="n"/>
      <c r="E287" s="36" t="n"/>
      <c r="F287" s="36" t="n"/>
      <c r="G287" s="18">
        <f>IF(OR(E287="",F287=""),"",F287-E287)</f>
        <v/>
      </c>
      <c r="H287" s="37" t="n"/>
      <c r="I287" s="38" t="n"/>
      <c r="J287" s="38" t="n"/>
      <c r="K287" s="38" t="n"/>
      <c r="L287" s="31">
        <f>IF(E287="","",N(I287)+N(J287)-N(K287))</f>
        <v/>
      </c>
      <c r="M287" s="39" t="n"/>
      <c r="N287" s="27">
        <f>IF(E287="","",IF(TODAY()&lt;E287,"Upcoming",IF(TODAY()&lt;F287,"Staying now",IF(M287="Yes","Checked out","Payout not received"))))</f>
        <v/>
      </c>
      <c r="O287" s="35" t="n"/>
      <c r="P287" s="1" t="n"/>
      <c r="Q287">
        <f>IF(N(G287)&gt;0,L287/G287,0)</f>
        <v/>
      </c>
      <c r="R287">
        <f>IF(N(G287)&gt;0,N(I287)/G287,0)</f>
        <v/>
      </c>
      <c r="S287">
        <f>IF(OR($E287="",$F287=""),0,MAX(0,MIN($F287,DATE(Dashboard!$C$4,2,1))-MAX($E287,DATE(Dashboard!$C$4,1,1))))</f>
        <v/>
      </c>
      <c r="T287">
        <f>IF(OR($E287="",$F287=""),0,MAX(0,MIN($F287,DATE(Dashboard!$C$4,3,1))-MAX($E287,DATE(Dashboard!$C$4,2,1))))</f>
        <v/>
      </c>
      <c r="U287">
        <f>IF(OR($E287="",$F287=""),0,MAX(0,MIN($F287,DATE(Dashboard!$C$4,4,1))-MAX($E287,DATE(Dashboard!$C$4,3,1))))</f>
        <v/>
      </c>
      <c r="V287">
        <f>IF(OR($E287="",$F287=""),0,MAX(0,MIN($F287,DATE(Dashboard!$C$4,5,1))-MAX($E287,DATE(Dashboard!$C$4,4,1))))</f>
        <v/>
      </c>
      <c r="W287">
        <f>IF(OR($E287="",$F287=""),0,MAX(0,MIN($F287,DATE(Dashboard!$C$4,6,1))-MAX($E287,DATE(Dashboard!$C$4,5,1))))</f>
        <v/>
      </c>
      <c r="X287">
        <f>IF(OR($E287="",$F287=""),0,MAX(0,MIN($F287,DATE(Dashboard!$C$4,7,1))-MAX($E287,DATE(Dashboard!$C$4,6,1))))</f>
        <v/>
      </c>
      <c r="Y287">
        <f>IF(OR($E287="",$F287=""),0,MAX(0,MIN($F287,DATE(Dashboard!$C$4,8,1))-MAX($E287,DATE(Dashboard!$C$4,7,1))))</f>
        <v/>
      </c>
      <c r="Z287">
        <f>IF(OR($E287="",$F287=""),0,MAX(0,MIN($F287,DATE(Dashboard!$C$4,9,1))-MAX($E287,DATE(Dashboard!$C$4,8,1))))</f>
        <v/>
      </c>
      <c r="AA287">
        <f>IF(OR($E287="",$F287=""),0,MAX(0,MIN($F287,DATE(Dashboard!$C$4,10,1))-MAX($E287,DATE(Dashboard!$C$4,9,1))))</f>
        <v/>
      </c>
      <c r="AB287">
        <f>IF(OR($E287="",$F287=""),0,MAX(0,MIN($F287,DATE(Dashboard!$C$4,11,1))-MAX($E287,DATE(Dashboard!$C$4,10,1))))</f>
        <v/>
      </c>
      <c r="AC287">
        <f>IF(OR($E287="",$F287=""),0,MAX(0,MIN($F287,DATE(Dashboard!$C$4,12,1))-MAX($E287,DATE(Dashboard!$C$4,11,1))))</f>
        <v/>
      </c>
      <c r="AD287">
        <f>IF(OR($E287="",$F287=""),0,MAX(0,MIN($F287,DATE(Dashboard!$C$4,13,1))-MAX($E287,DATE(Dashboard!$C$4,12,1))))</f>
        <v/>
      </c>
      <c r="AE287">
        <f>SUM(S287:AD287)</f>
        <v/>
      </c>
      <c r="AF287">
        <f>Q287*AE287</f>
        <v/>
      </c>
      <c r="AG287">
        <f>R287*AE287</f>
        <v/>
      </c>
      <c r="AH287">
        <f>SUMPRODUCT(S287:AD287,--(COLUMN(S287:AD287)-COLUMN(S287)+1&lt;=Dashboard!$N$1))</f>
        <v/>
      </c>
      <c r="AI287">
        <f>IF(OR(E287="",E287&lt;TODAY()),"",E287+ROW()/100000)</f>
        <v/>
      </c>
      <c r="AJ287">
        <f>IF(OR(F287="",F287&lt;TODAY()),"",F287+ROW()/100000)</f>
        <v/>
      </c>
    </row>
    <row r="288">
      <c r="A288" s="1" t="n"/>
      <c r="B288" s="35" t="n"/>
      <c r="C288" s="35" t="n"/>
      <c r="D288" s="35" t="n"/>
      <c r="E288" s="36" t="n"/>
      <c r="F288" s="36" t="n"/>
      <c r="G288" s="18">
        <f>IF(OR(E288="",F288=""),"",F288-E288)</f>
        <v/>
      </c>
      <c r="H288" s="37" t="n"/>
      <c r="I288" s="38" t="n"/>
      <c r="J288" s="38" t="n"/>
      <c r="K288" s="38" t="n"/>
      <c r="L288" s="31">
        <f>IF(E288="","",N(I288)+N(J288)-N(K288))</f>
        <v/>
      </c>
      <c r="M288" s="39" t="n"/>
      <c r="N288" s="27">
        <f>IF(E288="","",IF(TODAY()&lt;E288,"Upcoming",IF(TODAY()&lt;F288,"Staying now",IF(M288="Yes","Checked out","Payout not received"))))</f>
        <v/>
      </c>
      <c r="O288" s="35" t="n"/>
      <c r="P288" s="1" t="n"/>
      <c r="Q288">
        <f>IF(N(G288)&gt;0,L288/G288,0)</f>
        <v/>
      </c>
      <c r="R288">
        <f>IF(N(G288)&gt;0,N(I288)/G288,0)</f>
        <v/>
      </c>
      <c r="S288">
        <f>IF(OR($E288="",$F288=""),0,MAX(0,MIN($F288,DATE(Dashboard!$C$4,2,1))-MAX($E288,DATE(Dashboard!$C$4,1,1))))</f>
        <v/>
      </c>
      <c r="T288">
        <f>IF(OR($E288="",$F288=""),0,MAX(0,MIN($F288,DATE(Dashboard!$C$4,3,1))-MAX($E288,DATE(Dashboard!$C$4,2,1))))</f>
        <v/>
      </c>
      <c r="U288">
        <f>IF(OR($E288="",$F288=""),0,MAX(0,MIN($F288,DATE(Dashboard!$C$4,4,1))-MAX($E288,DATE(Dashboard!$C$4,3,1))))</f>
        <v/>
      </c>
      <c r="V288">
        <f>IF(OR($E288="",$F288=""),0,MAX(0,MIN($F288,DATE(Dashboard!$C$4,5,1))-MAX($E288,DATE(Dashboard!$C$4,4,1))))</f>
        <v/>
      </c>
      <c r="W288">
        <f>IF(OR($E288="",$F288=""),0,MAX(0,MIN($F288,DATE(Dashboard!$C$4,6,1))-MAX($E288,DATE(Dashboard!$C$4,5,1))))</f>
        <v/>
      </c>
      <c r="X288">
        <f>IF(OR($E288="",$F288=""),0,MAX(0,MIN($F288,DATE(Dashboard!$C$4,7,1))-MAX($E288,DATE(Dashboard!$C$4,6,1))))</f>
        <v/>
      </c>
      <c r="Y288">
        <f>IF(OR($E288="",$F288=""),0,MAX(0,MIN($F288,DATE(Dashboard!$C$4,8,1))-MAX($E288,DATE(Dashboard!$C$4,7,1))))</f>
        <v/>
      </c>
      <c r="Z288">
        <f>IF(OR($E288="",$F288=""),0,MAX(0,MIN($F288,DATE(Dashboard!$C$4,9,1))-MAX($E288,DATE(Dashboard!$C$4,8,1))))</f>
        <v/>
      </c>
      <c r="AA288">
        <f>IF(OR($E288="",$F288=""),0,MAX(0,MIN($F288,DATE(Dashboard!$C$4,10,1))-MAX($E288,DATE(Dashboard!$C$4,9,1))))</f>
        <v/>
      </c>
      <c r="AB288">
        <f>IF(OR($E288="",$F288=""),0,MAX(0,MIN($F288,DATE(Dashboard!$C$4,11,1))-MAX($E288,DATE(Dashboard!$C$4,10,1))))</f>
        <v/>
      </c>
      <c r="AC288">
        <f>IF(OR($E288="",$F288=""),0,MAX(0,MIN($F288,DATE(Dashboard!$C$4,12,1))-MAX($E288,DATE(Dashboard!$C$4,11,1))))</f>
        <v/>
      </c>
      <c r="AD288">
        <f>IF(OR($E288="",$F288=""),0,MAX(0,MIN($F288,DATE(Dashboard!$C$4,13,1))-MAX($E288,DATE(Dashboard!$C$4,12,1))))</f>
        <v/>
      </c>
      <c r="AE288">
        <f>SUM(S288:AD288)</f>
        <v/>
      </c>
      <c r="AF288">
        <f>Q288*AE288</f>
        <v/>
      </c>
      <c r="AG288">
        <f>R288*AE288</f>
        <v/>
      </c>
      <c r="AH288">
        <f>SUMPRODUCT(S288:AD288,--(COLUMN(S288:AD288)-COLUMN(S288)+1&lt;=Dashboard!$N$1))</f>
        <v/>
      </c>
      <c r="AI288">
        <f>IF(OR(E288="",E288&lt;TODAY()),"",E288+ROW()/100000)</f>
        <v/>
      </c>
      <c r="AJ288">
        <f>IF(OR(F288="",F288&lt;TODAY()),"",F288+ROW()/100000)</f>
        <v/>
      </c>
    </row>
    <row r="289">
      <c r="A289" s="1" t="n"/>
      <c r="B289" s="35" t="n"/>
      <c r="C289" s="35" t="n"/>
      <c r="D289" s="35" t="n"/>
      <c r="E289" s="36" t="n"/>
      <c r="F289" s="36" t="n"/>
      <c r="G289" s="18">
        <f>IF(OR(E289="",F289=""),"",F289-E289)</f>
        <v/>
      </c>
      <c r="H289" s="37" t="n"/>
      <c r="I289" s="38" t="n"/>
      <c r="J289" s="38" t="n"/>
      <c r="K289" s="38" t="n"/>
      <c r="L289" s="31">
        <f>IF(E289="","",N(I289)+N(J289)-N(K289))</f>
        <v/>
      </c>
      <c r="M289" s="39" t="n"/>
      <c r="N289" s="27">
        <f>IF(E289="","",IF(TODAY()&lt;E289,"Upcoming",IF(TODAY()&lt;F289,"Staying now",IF(M289="Yes","Checked out","Payout not received"))))</f>
        <v/>
      </c>
      <c r="O289" s="35" t="n"/>
      <c r="P289" s="1" t="n"/>
      <c r="Q289">
        <f>IF(N(G289)&gt;0,L289/G289,0)</f>
        <v/>
      </c>
      <c r="R289">
        <f>IF(N(G289)&gt;0,N(I289)/G289,0)</f>
        <v/>
      </c>
      <c r="S289">
        <f>IF(OR($E289="",$F289=""),0,MAX(0,MIN($F289,DATE(Dashboard!$C$4,2,1))-MAX($E289,DATE(Dashboard!$C$4,1,1))))</f>
        <v/>
      </c>
      <c r="T289">
        <f>IF(OR($E289="",$F289=""),0,MAX(0,MIN($F289,DATE(Dashboard!$C$4,3,1))-MAX($E289,DATE(Dashboard!$C$4,2,1))))</f>
        <v/>
      </c>
      <c r="U289">
        <f>IF(OR($E289="",$F289=""),0,MAX(0,MIN($F289,DATE(Dashboard!$C$4,4,1))-MAX($E289,DATE(Dashboard!$C$4,3,1))))</f>
        <v/>
      </c>
      <c r="V289">
        <f>IF(OR($E289="",$F289=""),0,MAX(0,MIN($F289,DATE(Dashboard!$C$4,5,1))-MAX($E289,DATE(Dashboard!$C$4,4,1))))</f>
        <v/>
      </c>
      <c r="W289">
        <f>IF(OR($E289="",$F289=""),0,MAX(0,MIN($F289,DATE(Dashboard!$C$4,6,1))-MAX($E289,DATE(Dashboard!$C$4,5,1))))</f>
        <v/>
      </c>
      <c r="X289">
        <f>IF(OR($E289="",$F289=""),0,MAX(0,MIN($F289,DATE(Dashboard!$C$4,7,1))-MAX($E289,DATE(Dashboard!$C$4,6,1))))</f>
        <v/>
      </c>
      <c r="Y289">
        <f>IF(OR($E289="",$F289=""),0,MAX(0,MIN($F289,DATE(Dashboard!$C$4,8,1))-MAX($E289,DATE(Dashboard!$C$4,7,1))))</f>
        <v/>
      </c>
      <c r="Z289">
        <f>IF(OR($E289="",$F289=""),0,MAX(0,MIN($F289,DATE(Dashboard!$C$4,9,1))-MAX($E289,DATE(Dashboard!$C$4,8,1))))</f>
        <v/>
      </c>
      <c r="AA289">
        <f>IF(OR($E289="",$F289=""),0,MAX(0,MIN($F289,DATE(Dashboard!$C$4,10,1))-MAX($E289,DATE(Dashboard!$C$4,9,1))))</f>
        <v/>
      </c>
      <c r="AB289">
        <f>IF(OR($E289="",$F289=""),0,MAX(0,MIN($F289,DATE(Dashboard!$C$4,11,1))-MAX($E289,DATE(Dashboard!$C$4,10,1))))</f>
        <v/>
      </c>
      <c r="AC289">
        <f>IF(OR($E289="",$F289=""),0,MAX(0,MIN($F289,DATE(Dashboard!$C$4,12,1))-MAX($E289,DATE(Dashboard!$C$4,11,1))))</f>
        <v/>
      </c>
      <c r="AD289">
        <f>IF(OR($E289="",$F289=""),0,MAX(0,MIN($F289,DATE(Dashboard!$C$4,13,1))-MAX($E289,DATE(Dashboard!$C$4,12,1))))</f>
        <v/>
      </c>
      <c r="AE289">
        <f>SUM(S289:AD289)</f>
        <v/>
      </c>
      <c r="AF289">
        <f>Q289*AE289</f>
        <v/>
      </c>
      <c r="AG289">
        <f>R289*AE289</f>
        <v/>
      </c>
      <c r="AH289">
        <f>SUMPRODUCT(S289:AD289,--(COLUMN(S289:AD289)-COLUMN(S289)+1&lt;=Dashboard!$N$1))</f>
        <v/>
      </c>
      <c r="AI289">
        <f>IF(OR(E289="",E289&lt;TODAY()),"",E289+ROW()/100000)</f>
        <v/>
      </c>
      <c r="AJ289">
        <f>IF(OR(F289="",F289&lt;TODAY()),"",F289+ROW()/100000)</f>
        <v/>
      </c>
    </row>
    <row r="290">
      <c r="A290" s="1" t="n"/>
      <c r="B290" s="35" t="n"/>
      <c r="C290" s="35" t="n"/>
      <c r="D290" s="35" t="n"/>
      <c r="E290" s="36" t="n"/>
      <c r="F290" s="36" t="n"/>
      <c r="G290" s="18">
        <f>IF(OR(E290="",F290=""),"",F290-E290)</f>
        <v/>
      </c>
      <c r="H290" s="37" t="n"/>
      <c r="I290" s="38" t="n"/>
      <c r="J290" s="38" t="n"/>
      <c r="K290" s="38" t="n"/>
      <c r="L290" s="31">
        <f>IF(E290="","",N(I290)+N(J290)-N(K290))</f>
        <v/>
      </c>
      <c r="M290" s="39" t="n"/>
      <c r="N290" s="27">
        <f>IF(E290="","",IF(TODAY()&lt;E290,"Upcoming",IF(TODAY()&lt;F290,"Staying now",IF(M290="Yes","Checked out","Payout not received"))))</f>
        <v/>
      </c>
      <c r="O290" s="35" t="n"/>
      <c r="P290" s="1" t="n"/>
      <c r="Q290">
        <f>IF(N(G290)&gt;0,L290/G290,0)</f>
        <v/>
      </c>
      <c r="R290">
        <f>IF(N(G290)&gt;0,N(I290)/G290,0)</f>
        <v/>
      </c>
      <c r="S290">
        <f>IF(OR($E290="",$F290=""),0,MAX(0,MIN($F290,DATE(Dashboard!$C$4,2,1))-MAX($E290,DATE(Dashboard!$C$4,1,1))))</f>
        <v/>
      </c>
      <c r="T290">
        <f>IF(OR($E290="",$F290=""),0,MAX(0,MIN($F290,DATE(Dashboard!$C$4,3,1))-MAX($E290,DATE(Dashboard!$C$4,2,1))))</f>
        <v/>
      </c>
      <c r="U290">
        <f>IF(OR($E290="",$F290=""),0,MAX(0,MIN($F290,DATE(Dashboard!$C$4,4,1))-MAX($E290,DATE(Dashboard!$C$4,3,1))))</f>
        <v/>
      </c>
      <c r="V290">
        <f>IF(OR($E290="",$F290=""),0,MAX(0,MIN($F290,DATE(Dashboard!$C$4,5,1))-MAX($E290,DATE(Dashboard!$C$4,4,1))))</f>
        <v/>
      </c>
      <c r="W290">
        <f>IF(OR($E290="",$F290=""),0,MAX(0,MIN($F290,DATE(Dashboard!$C$4,6,1))-MAX($E290,DATE(Dashboard!$C$4,5,1))))</f>
        <v/>
      </c>
      <c r="X290">
        <f>IF(OR($E290="",$F290=""),0,MAX(0,MIN($F290,DATE(Dashboard!$C$4,7,1))-MAX($E290,DATE(Dashboard!$C$4,6,1))))</f>
        <v/>
      </c>
      <c r="Y290">
        <f>IF(OR($E290="",$F290=""),0,MAX(0,MIN($F290,DATE(Dashboard!$C$4,8,1))-MAX($E290,DATE(Dashboard!$C$4,7,1))))</f>
        <v/>
      </c>
      <c r="Z290">
        <f>IF(OR($E290="",$F290=""),0,MAX(0,MIN($F290,DATE(Dashboard!$C$4,9,1))-MAX($E290,DATE(Dashboard!$C$4,8,1))))</f>
        <v/>
      </c>
      <c r="AA290">
        <f>IF(OR($E290="",$F290=""),0,MAX(0,MIN($F290,DATE(Dashboard!$C$4,10,1))-MAX($E290,DATE(Dashboard!$C$4,9,1))))</f>
        <v/>
      </c>
      <c r="AB290">
        <f>IF(OR($E290="",$F290=""),0,MAX(0,MIN($F290,DATE(Dashboard!$C$4,11,1))-MAX($E290,DATE(Dashboard!$C$4,10,1))))</f>
        <v/>
      </c>
      <c r="AC290">
        <f>IF(OR($E290="",$F290=""),0,MAX(0,MIN($F290,DATE(Dashboard!$C$4,12,1))-MAX($E290,DATE(Dashboard!$C$4,11,1))))</f>
        <v/>
      </c>
      <c r="AD290">
        <f>IF(OR($E290="",$F290=""),0,MAX(0,MIN($F290,DATE(Dashboard!$C$4,13,1))-MAX($E290,DATE(Dashboard!$C$4,12,1))))</f>
        <v/>
      </c>
      <c r="AE290">
        <f>SUM(S290:AD290)</f>
        <v/>
      </c>
      <c r="AF290">
        <f>Q290*AE290</f>
        <v/>
      </c>
      <c r="AG290">
        <f>R290*AE290</f>
        <v/>
      </c>
      <c r="AH290">
        <f>SUMPRODUCT(S290:AD290,--(COLUMN(S290:AD290)-COLUMN(S290)+1&lt;=Dashboard!$N$1))</f>
        <v/>
      </c>
      <c r="AI290">
        <f>IF(OR(E290="",E290&lt;TODAY()),"",E290+ROW()/100000)</f>
        <v/>
      </c>
      <c r="AJ290">
        <f>IF(OR(F290="",F290&lt;TODAY()),"",F290+ROW()/100000)</f>
        <v/>
      </c>
    </row>
    <row r="291">
      <c r="A291" s="1" t="n"/>
      <c r="B291" s="35" t="n"/>
      <c r="C291" s="35" t="n"/>
      <c r="D291" s="35" t="n"/>
      <c r="E291" s="36" t="n"/>
      <c r="F291" s="36" t="n"/>
      <c r="G291" s="18">
        <f>IF(OR(E291="",F291=""),"",F291-E291)</f>
        <v/>
      </c>
      <c r="H291" s="37" t="n"/>
      <c r="I291" s="38" t="n"/>
      <c r="J291" s="38" t="n"/>
      <c r="K291" s="38" t="n"/>
      <c r="L291" s="31">
        <f>IF(E291="","",N(I291)+N(J291)-N(K291))</f>
        <v/>
      </c>
      <c r="M291" s="39" t="n"/>
      <c r="N291" s="27">
        <f>IF(E291="","",IF(TODAY()&lt;E291,"Upcoming",IF(TODAY()&lt;F291,"Staying now",IF(M291="Yes","Checked out","Payout not received"))))</f>
        <v/>
      </c>
      <c r="O291" s="35" t="n"/>
      <c r="P291" s="1" t="n"/>
      <c r="Q291">
        <f>IF(N(G291)&gt;0,L291/G291,0)</f>
        <v/>
      </c>
      <c r="R291">
        <f>IF(N(G291)&gt;0,N(I291)/G291,0)</f>
        <v/>
      </c>
      <c r="S291">
        <f>IF(OR($E291="",$F291=""),0,MAX(0,MIN($F291,DATE(Dashboard!$C$4,2,1))-MAX($E291,DATE(Dashboard!$C$4,1,1))))</f>
        <v/>
      </c>
      <c r="T291">
        <f>IF(OR($E291="",$F291=""),0,MAX(0,MIN($F291,DATE(Dashboard!$C$4,3,1))-MAX($E291,DATE(Dashboard!$C$4,2,1))))</f>
        <v/>
      </c>
      <c r="U291">
        <f>IF(OR($E291="",$F291=""),0,MAX(0,MIN($F291,DATE(Dashboard!$C$4,4,1))-MAX($E291,DATE(Dashboard!$C$4,3,1))))</f>
        <v/>
      </c>
      <c r="V291">
        <f>IF(OR($E291="",$F291=""),0,MAX(0,MIN($F291,DATE(Dashboard!$C$4,5,1))-MAX($E291,DATE(Dashboard!$C$4,4,1))))</f>
        <v/>
      </c>
      <c r="W291">
        <f>IF(OR($E291="",$F291=""),0,MAX(0,MIN($F291,DATE(Dashboard!$C$4,6,1))-MAX($E291,DATE(Dashboard!$C$4,5,1))))</f>
        <v/>
      </c>
      <c r="X291">
        <f>IF(OR($E291="",$F291=""),0,MAX(0,MIN($F291,DATE(Dashboard!$C$4,7,1))-MAX($E291,DATE(Dashboard!$C$4,6,1))))</f>
        <v/>
      </c>
      <c r="Y291">
        <f>IF(OR($E291="",$F291=""),0,MAX(0,MIN($F291,DATE(Dashboard!$C$4,8,1))-MAX($E291,DATE(Dashboard!$C$4,7,1))))</f>
        <v/>
      </c>
      <c r="Z291">
        <f>IF(OR($E291="",$F291=""),0,MAX(0,MIN($F291,DATE(Dashboard!$C$4,9,1))-MAX($E291,DATE(Dashboard!$C$4,8,1))))</f>
        <v/>
      </c>
      <c r="AA291">
        <f>IF(OR($E291="",$F291=""),0,MAX(0,MIN($F291,DATE(Dashboard!$C$4,10,1))-MAX($E291,DATE(Dashboard!$C$4,9,1))))</f>
        <v/>
      </c>
      <c r="AB291">
        <f>IF(OR($E291="",$F291=""),0,MAX(0,MIN($F291,DATE(Dashboard!$C$4,11,1))-MAX($E291,DATE(Dashboard!$C$4,10,1))))</f>
        <v/>
      </c>
      <c r="AC291">
        <f>IF(OR($E291="",$F291=""),0,MAX(0,MIN($F291,DATE(Dashboard!$C$4,12,1))-MAX($E291,DATE(Dashboard!$C$4,11,1))))</f>
        <v/>
      </c>
      <c r="AD291">
        <f>IF(OR($E291="",$F291=""),0,MAX(0,MIN($F291,DATE(Dashboard!$C$4,13,1))-MAX($E291,DATE(Dashboard!$C$4,12,1))))</f>
        <v/>
      </c>
      <c r="AE291">
        <f>SUM(S291:AD291)</f>
        <v/>
      </c>
      <c r="AF291">
        <f>Q291*AE291</f>
        <v/>
      </c>
      <c r="AG291">
        <f>R291*AE291</f>
        <v/>
      </c>
      <c r="AH291">
        <f>SUMPRODUCT(S291:AD291,--(COLUMN(S291:AD291)-COLUMN(S291)+1&lt;=Dashboard!$N$1))</f>
        <v/>
      </c>
      <c r="AI291">
        <f>IF(OR(E291="",E291&lt;TODAY()),"",E291+ROW()/100000)</f>
        <v/>
      </c>
      <c r="AJ291">
        <f>IF(OR(F291="",F291&lt;TODAY()),"",F291+ROW()/100000)</f>
        <v/>
      </c>
    </row>
    <row r="292">
      <c r="A292" s="1" t="n"/>
      <c r="B292" s="35" t="n"/>
      <c r="C292" s="35" t="n"/>
      <c r="D292" s="35" t="n"/>
      <c r="E292" s="36" t="n"/>
      <c r="F292" s="36" t="n"/>
      <c r="G292" s="18">
        <f>IF(OR(E292="",F292=""),"",F292-E292)</f>
        <v/>
      </c>
      <c r="H292" s="37" t="n"/>
      <c r="I292" s="38" t="n"/>
      <c r="J292" s="38" t="n"/>
      <c r="K292" s="38" t="n"/>
      <c r="L292" s="31">
        <f>IF(E292="","",N(I292)+N(J292)-N(K292))</f>
        <v/>
      </c>
      <c r="M292" s="39" t="n"/>
      <c r="N292" s="27">
        <f>IF(E292="","",IF(TODAY()&lt;E292,"Upcoming",IF(TODAY()&lt;F292,"Staying now",IF(M292="Yes","Checked out","Payout not received"))))</f>
        <v/>
      </c>
      <c r="O292" s="35" t="n"/>
      <c r="P292" s="1" t="n"/>
      <c r="Q292">
        <f>IF(N(G292)&gt;0,L292/G292,0)</f>
        <v/>
      </c>
      <c r="R292">
        <f>IF(N(G292)&gt;0,N(I292)/G292,0)</f>
        <v/>
      </c>
      <c r="S292">
        <f>IF(OR($E292="",$F292=""),0,MAX(0,MIN($F292,DATE(Dashboard!$C$4,2,1))-MAX($E292,DATE(Dashboard!$C$4,1,1))))</f>
        <v/>
      </c>
      <c r="T292">
        <f>IF(OR($E292="",$F292=""),0,MAX(0,MIN($F292,DATE(Dashboard!$C$4,3,1))-MAX($E292,DATE(Dashboard!$C$4,2,1))))</f>
        <v/>
      </c>
      <c r="U292">
        <f>IF(OR($E292="",$F292=""),0,MAX(0,MIN($F292,DATE(Dashboard!$C$4,4,1))-MAX($E292,DATE(Dashboard!$C$4,3,1))))</f>
        <v/>
      </c>
      <c r="V292">
        <f>IF(OR($E292="",$F292=""),0,MAX(0,MIN($F292,DATE(Dashboard!$C$4,5,1))-MAX($E292,DATE(Dashboard!$C$4,4,1))))</f>
        <v/>
      </c>
      <c r="W292">
        <f>IF(OR($E292="",$F292=""),0,MAX(0,MIN($F292,DATE(Dashboard!$C$4,6,1))-MAX($E292,DATE(Dashboard!$C$4,5,1))))</f>
        <v/>
      </c>
      <c r="X292">
        <f>IF(OR($E292="",$F292=""),0,MAX(0,MIN($F292,DATE(Dashboard!$C$4,7,1))-MAX($E292,DATE(Dashboard!$C$4,6,1))))</f>
        <v/>
      </c>
      <c r="Y292">
        <f>IF(OR($E292="",$F292=""),0,MAX(0,MIN($F292,DATE(Dashboard!$C$4,8,1))-MAX($E292,DATE(Dashboard!$C$4,7,1))))</f>
        <v/>
      </c>
      <c r="Z292">
        <f>IF(OR($E292="",$F292=""),0,MAX(0,MIN($F292,DATE(Dashboard!$C$4,9,1))-MAX($E292,DATE(Dashboard!$C$4,8,1))))</f>
        <v/>
      </c>
      <c r="AA292">
        <f>IF(OR($E292="",$F292=""),0,MAX(0,MIN($F292,DATE(Dashboard!$C$4,10,1))-MAX($E292,DATE(Dashboard!$C$4,9,1))))</f>
        <v/>
      </c>
      <c r="AB292">
        <f>IF(OR($E292="",$F292=""),0,MAX(0,MIN($F292,DATE(Dashboard!$C$4,11,1))-MAX($E292,DATE(Dashboard!$C$4,10,1))))</f>
        <v/>
      </c>
      <c r="AC292">
        <f>IF(OR($E292="",$F292=""),0,MAX(0,MIN($F292,DATE(Dashboard!$C$4,12,1))-MAX($E292,DATE(Dashboard!$C$4,11,1))))</f>
        <v/>
      </c>
      <c r="AD292">
        <f>IF(OR($E292="",$F292=""),0,MAX(0,MIN($F292,DATE(Dashboard!$C$4,13,1))-MAX($E292,DATE(Dashboard!$C$4,12,1))))</f>
        <v/>
      </c>
      <c r="AE292">
        <f>SUM(S292:AD292)</f>
        <v/>
      </c>
      <c r="AF292">
        <f>Q292*AE292</f>
        <v/>
      </c>
      <c r="AG292">
        <f>R292*AE292</f>
        <v/>
      </c>
      <c r="AH292">
        <f>SUMPRODUCT(S292:AD292,--(COLUMN(S292:AD292)-COLUMN(S292)+1&lt;=Dashboard!$N$1))</f>
        <v/>
      </c>
      <c r="AI292">
        <f>IF(OR(E292="",E292&lt;TODAY()),"",E292+ROW()/100000)</f>
        <v/>
      </c>
      <c r="AJ292">
        <f>IF(OR(F292="",F292&lt;TODAY()),"",F292+ROW()/100000)</f>
        <v/>
      </c>
    </row>
    <row r="293">
      <c r="A293" s="1" t="n"/>
      <c r="B293" s="35" t="n"/>
      <c r="C293" s="35" t="n"/>
      <c r="D293" s="35" t="n"/>
      <c r="E293" s="36" t="n"/>
      <c r="F293" s="36" t="n"/>
      <c r="G293" s="18">
        <f>IF(OR(E293="",F293=""),"",F293-E293)</f>
        <v/>
      </c>
      <c r="H293" s="37" t="n"/>
      <c r="I293" s="38" t="n"/>
      <c r="J293" s="38" t="n"/>
      <c r="K293" s="38" t="n"/>
      <c r="L293" s="31">
        <f>IF(E293="","",N(I293)+N(J293)-N(K293))</f>
        <v/>
      </c>
      <c r="M293" s="39" t="n"/>
      <c r="N293" s="27">
        <f>IF(E293="","",IF(TODAY()&lt;E293,"Upcoming",IF(TODAY()&lt;F293,"Staying now",IF(M293="Yes","Checked out","Payout not received"))))</f>
        <v/>
      </c>
      <c r="O293" s="35" t="n"/>
      <c r="P293" s="1" t="n"/>
      <c r="Q293">
        <f>IF(N(G293)&gt;0,L293/G293,0)</f>
        <v/>
      </c>
      <c r="R293">
        <f>IF(N(G293)&gt;0,N(I293)/G293,0)</f>
        <v/>
      </c>
      <c r="S293">
        <f>IF(OR($E293="",$F293=""),0,MAX(0,MIN($F293,DATE(Dashboard!$C$4,2,1))-MAX($E293,DATE(Dashboard!$C$4,1,1))))</f>
        <v/>
      </c>
      <c r="T293">
        <f>IF(OR($E293="",$F293=""),0,MAX(0,MIN($F293,DATE(Dashboard!$C$4,3,1))-MAX($E293,DATE(Dashboard!$C$4,2,1))))</f>
        <v/>
      </c>
      <c r="U293">
        <f>IF(OR($E293="",$F293=""),0,MAX(0,MIN($F293,DATE(Dashboard!$C$4,4,1))-MAX($E293,DATE(Dashboard!$C$4,3,1))))</f>
        <v/>
      </c>
      <c r="V293">
        <f>IF(OR($E293="",$F293=""),0,MAX(0,MIN($F293,DATE(Dashboard!$C$4,5,1))-MAX($E293,DATE(Dashboard!$C$4,4,1))))</f>
        <v/>
      </c>
      <c r="W293">
        <f>IF(OR($E293="",$F293=""),0,MAX(0,MIN($F293,DATE(Dashboard!$C$4,6,1))-MAX($E293,DATE(Dashboard!$C$4,5,1))))</f>
        <v/>
      </c>
      <c r="X293">
        <f>IF(OR($E293="",$F293=""),0,MAX(0,MIN($F293,DATE(Dashboard!$C$4,7,1))-MAX($E293,DATE(Dashboard!$C$4,6,1))))</f>
        <v/>
      </c>
      <c r="Y293">
        <f>IF(OR($E293="",$F293=""),0,MAX(0,MIN($F293,DATE(Dashboard!$C$4,8,1))-MAX($E293,DATE(Dashboard!$C$4,7,1))))</f>
        <v/>
      </c>
      <c r="Z293">
        <f>IF(OR($E293="",$F293=""),0,MAX(0,MIN($F293,DATE(Dashboard!$C$4,9,1))-MAX($E293,DATE(Dashboard!$C$4,8,1))))</f>
        <v/>
      </c>
      <c r="AA293">
        <f>IF(OR($E293="",$F293=""),0,MAX(0,MIN($F293,DATE(Dashboard!$C$4,10,1))-MAX($E293,DATE(Dashboard!$C$4,9,1))))</f>
        <v/>
      </c>
      <c r="AB293">
        <f>IF(OR($E293="",$F293=""),0,MAX(0,MIN($F293,DATE(Dashboard!$C$4,11,1))-MAX($E293,DATE(Dashboard!$C$4,10,1))))</f>
        <v/>
      </c>
      <c r="AC293">
        <f>IF(OR($E293="",$F293=""),0,MAX(0,MIN($F293,DATE(Dashboard!$C$4,12,1))-MAX($E293,DATE(Dashboard!$C$4,11,1))))</f>
        <v/>
      </c>
      <c r="AD293">
        <f>IF(OR($E293="",$F293=""),0,MAX(0,MIN($F293,DATE(Dashboard!$C$4,13,1))-MAX($E293,DATE(Dashboard!$C$4,12,1))))</f>
        <v/>
      </c>
      <c r="AE293">
        <f>SUM(S293:AD293)</f>
        <v/>
      </c>
      <c r="AF293">
        <f>Q293*AE293</f>
        <v/>
      </c>
      <c r="AG293">
        <f>R293*AE293</f>
        <v/>
      </c>
      <c r="AH293">
        <f>SUMPRODUCT(S293:AD293,--(COLUMN(S293:AD293)-COLUMN(S293)+1&lt;=Dashboard!$N$1))</f>
        <v/>
      </c>
      <c r="AI293">
        <f>IF(OR(E293="",E293&lt;TODAY()),"",E293+ROW()/100000)</f>
        <v/>
      </c>
      <c r="AJ293">
        <f>IF(OR(F293="",F293&lt;TODAY()),"",F293+ROW()/100000)</f>
        <v/>
      </c>
    </row>
    <row r="294">
      <c r="A294" s="1" t="n"/>
      <c r="B294" s="35" t="n"/>
      <c r="C294" s="35" t="n"/>
      <c r="D294" s="35" t="n"/>
      <c r="E294" s="36" t="n"/>
      <c r="F294" s="36" t="n"/>
      <c r="G294" s="18">
        <f>IF(OR(E294="",F294=""),"",F294-E294)</f>
        <v/>
      </c>
      <c r="H294" s="37" t="n"/>
      <c r="I294" s="38" t="n"/>
      <c r="J294" s="38" t="n"/>
      <c r="K294" s="38" t="n"/>
      <c r="L294" s="31">
        <f>IF(E294="","",N(I294)+N(J294)-N(K294))</f>
        <v/>
      </c>
      <c r="M294" s="39" t="n"/>
      <c r="N294" s="27">
        <f>IF(E294="","",IF(TODAY()&lt;E294,"Upcoming",IF(TODAY()&lt;F294,"Staying now",IF(M294="Yes","Checked out","Payout not received"))))</f>
        <v/>
      </c>
      <c r="O294" s="35" t="n"/>
      <c r="P294" s="1" t="n"/>
      <c r="Q294">
        <f>IF(N(G294)&gt;0,L294/G294,0)</f>
        <v/>
      </c>
      <c r="R294">
        <f>IF(N(G294)&gt;0,N(I294)/G294,0)</f>
        <v/>
      </c>
      <c r="S294">
        <f>IF(OR($E294="",$F294=""),0,MAX(0,MIN($F294,DATE(Dashboard!$C$4,2,1))-MAX($E294,DATE(Dashboard!$C$4,1,1))))</f>
        <v/>
      </c>
      <c r="T294">
        <f>IF(OR($E294="",$F294=""),0,MAX(0,MIN($F294,DATE(Dashboard!$C$4,3,1))-MAX($E294,DATE(Dashboard!$C$4,2,1))))</f>
        <v/>
      </c>
      <c r="U294">
        <f>IF(OR($E294="",$F294=""),0,MAX(0,MIN($F294,DATE(Dashboard!$C$4,4,1))-MAX($E294,DATE(Dashboard!$C$4,3,1))))</f>
        <v/>
      </c>
      <c r="V294">
        <f>IF(OR($E294="",$F294=""),0,MAX(0,MIN($F294,DATE(Dashboard!$C$4,5,1))-MAX($E294,DATE(Dashboard!$C$4,4,1))))</f>
        <v/>
      </c>
      <c r="W294">
        <f>IF(OR($E294="",$F294=""),0,MAX(0,MIN($F294,DATE(Dashboard!$C$4,6,1))-MAX($E294,DATE(Dashboard!$C$4,5,1))))</f>
        <v/>
      </c>
      <c r="X294">
        <f>IF(OR($E294="",$F294=""),0,MAX(0,MIN($F294,DATE(Dashboard!$C$4,7,1))-MAX($E294,DATE(Dashboard!$C$4,6,1))))</f>
        <v/>
      </c>
      <c r="Y294">
        <f>IF(OR($E294="",$F294=""),0,MAX(0,MIN($F294,DATE(Dashboard!$C$4,8,1))-MAX($E294,DATE(Dashboard!$C$4,7,1))))</f>
        <v/>
      </c>
      <c r="Z294">
        <f>IF(OR($E294="",$F294=""),0,MAX(0,MIN($F294,DATE(Dashboard!$C$4,9,1))-MAX($E294,DATE(Dashboard!$C$4,8,1))))</f>
        <v/>
      </c>
      <c r="AA294">
        <f>IF(OR($E294="",$F294=""),0,MAX(0,MIN($F294,DATE(Dashboard!$C$4,10,1))-MAX($E294,DATE(Dashboard!$C$4,9,1))))</f>
        <v/>
      </c>
      <c r="AB294">
        <f>IF(OR($E294="",$F294=""),0,MAX(0,MIN($F294,DATE(Dashboard!$C$4,11,1))-MAX($E294,DATE(Dashboard!$C$4,10,1))))</f>
        <v/>
      </c>
      <c r="AC294">
        <f>IF(OR($E294="",$F294=""),0,MAX(0,MIN($F294,DATE(Dashboard!$C$4,12,1))-MAX($E294,DATE(Dashboard!$C$4,11,1))))</f>
        <v/>
      </c>
      <c r="AD294">
        <f>IF(OR($E294="",$F294=""),0,MAX(0,MIN($F294,DATE(Dashboard!$C$4,13,1))-MAX($E294,DATE(Dashboard!$C$4,12,1))))</f>
        <v/>
      </c>
      <c r="AE294">
        <f>SUM(S294:AD294)</f>
        <v/>
      </c>
      <c r="AF294">
        <f>Q294*AE294</f>
        <v/>
      </c>
      <c r="AG294">
        <f>R294*AE294</f>
        <v/>
      </c>
      <c r="AH294">
        <f>SUMPRODUCT(S294:AD294,--(COLUMN(S294:AD294)-COLUMN(S294)+1&lt;=Dashboard!$N$1))</f>
        <v/>
      </c>
      <c r="AI294">
        <f>IF(OR(E294="",E294&lt;TODAY()),"",E294+ROW()/100000)</f>
        <v/>
      </c>
      <c r="AJ294">
        <f>IF(OR(F294="",F294&lt;TODAY()),"",F294+ROW()/100000)</f>
        <v/>
      </c>
    </row>
    <row r="295">
      <c r="A295" s="1" t="n"/>
      <c r="B295" s="35" t="n"/>
      <c r="C295" s="35" t="n"/>
      <c r="D295" s="35" t="n"/>
      <c r="E295" s="36" t="n"/>
      <c r="F295" s="36" t="n"/>
      <c r="G295" s="18">
        <f>IF(OR(E295="",F295=""),"",F295-E295)</f>
        <v/>
      </c>
      <c r="H295" s="37" t="n"/>
      <c r="I295" s="38" t="n"/>
      <c r="J295" s="38" t="n"/>
      <c r="K295" s="38" t="n"/>
      <c r="L295" s="31">
        <f>IF(E295="","",N(I295)+N(J295)-N(K295))</f>
        <v/>
      </c>
      <c r="M295" s="39" t="n"/>
      <c r="N295" s="27">
        <f>IF(E295="","",IF(TODAY()&lt;E295,"Upcoming",IF(TODAY()&lt;F295,"Staying now",IF(M295="Yes","Checked out","Payout not received"))))</f>
        <v/>
      </c>
      <c r="O295" s="35" t="n"/>
      <c r="P295" s="1" t="n"/>
      <c r="Q295">
        <f>IF(N(G295)&gt;0,L295/G295,0)</f>
        <v/>
      </c>
      <c r="R295">
        <f>IF(N(G295)&gt;0,N(I295)/G295,0)</f>
        <v/>
      </c>
      <c r="S295">
        <f>IF(OR($E295="",$F295=""),0,MAX(0,MIN($F295,DATE(Dashboard!$C$4,2,1))-MAX($E295,DATE(Dashboard!$C$4,1,1))))</f>
        <v/>
      </c>
      <c r="T295">
        <f>IF(OR($E295="",$F295=""),0,MAX(0,MIN($F295,DATE(Dashboard!$C$4,3,1))-MAX($E295,DATE(Dashboard!$C$4,2,1))))</f>
        <v/>
      </c>
      <c r="U295">
        <f>IF(OR($E295="",$F295=""),0,MAX(0,MIN($F295,DATE(Dashboard!$C$4,4,1))-MAX($E295,DATE(Dashboard!$C$4,3,1))))</f>
        <v/>
      </c>
      <c r="V295">
        <f>IF(OR($E295="",$F295=""),0,MAX(0,MIN($F295,DATE(Dashboard!$C$4,5,1))-MAX($E295,DATE(Dashboard!$C$4,4,1))))</f>
        <v/>
      </c>
      <c r="W295">
        <f>IF(OR($E295="",$F295=""),0,MAX(0,MIN($F295,DATE(Dashboard!$C$4,6,1))-MAX($E295,DATE(Dashboard!$C$4,5,1))))</f>
        <v/>
      </c>
      <c r="X295">
        <f>IF(OR($E295="",$F295=""),0,MAX(0,MIN($F295,DATE(Dashboard!$C$4,7,1))-MAX($E295,DATE(Dashboard!$C$4,6,1))))</f>
        <v/>
      </c>
      <c r="Y295">
        <f>IF(OR($E295="",$F295=""),0,MAX(0,MIN($F295,DATE(Dashboard!$C$4,8,1))-MAX($E295,DATE(Dashboard!$C$4,7,1))))</f>
        <v/>
      </c>
      <c r="Z295">
        <f>IF(OR($E295="",$F295=""),0,MAX(0,MIN($F295,DATE(Dashboard!$C$4,9,1))-MAX($E295,DATE(Dashboard!$C$4,8,1))))</f>
        <v/>
      </c>
      <c r="AA295">
        <f>IF(OR($E295="",$F295=""),0,MAX(0,MIN($F295,DATE(Dashboard!$C$4,10,1))-MAX($E295,DATE(Dashboard!$C$4,9,1))))</f>
        <v/>
      </c>
      <c r="AB295">
        <f>IF(OR($E295="",$F295=""),0,MAX(0,MIN($F295,DATE(Dashboard!$C$4,11,1))-MAX($E295,DATE(Dashboard!$C$4,10,1))))</f>
        <v/>
      </c>
      <c r="AC295">
        <f>IF(OR($E295="",$F295=""),0,MAX(0,MIN($F295,DATE(Dashboard!$C$4,12,1))-MAX($E295,DATE(Dashboard!$C$4,11,1))))</f>
        <v/>
      </c>
      <c r="AD295">
        <f>IF(OR($E295="",$F295=""),0,MAX(0,MIN($F295,DATE(Dashboard!$C$4,13,1))-MAX($E295,DATE(Dashboard!$C$4,12,1))))</f>
        <v/>
      </c>
      <c r="AE295">
        <f>SUM(S295:AD295)</f>
        <v/>
      </c>
      <c r="AF295">
        <f>Q295*AE295</f>
        <v/>
      </c>
      <c r="AG295">
        <f>R295*AE295</f>
        <v/>
      </c>
      <c r="AH295">
        <f>SUMPRODUCT(S295:AD295,--(COLUMN(S295:AD295)-COLUMN(S295)+1&lt;=Dashboard!$N$1))</f>
        <v/>
      </c>
      <c r="AI295">
        <f>IF(OR(E295="",E295&lt;TODAY()),"",E295+ROW()/100000)</f>
        <v/>
      </c>
      <c r="AJ295">
        <f>IF(OR(F295="",F295&lt;TODAY()),"",F295+ROW()/100000)</f>
        <v/>
      </c>
    </row>
    <row r="296">
      <c r="A296" s="1" t="n"/>
      <c r="B296" s="35" t="n"/>
      <c r="C296" s="35" t="n"/>
      <c r="D296" s="35" t="n"/>
      <c r="E296" s="36" t="n"/>
      <c r="F296" s="36" t="n"/>
      <c r="G296" s="18">
        <f>IF(OR(E296="",F296=""),"",F296-E296)</f>
        <v/>
      </c>
      <c r="H296" s="37" t="n"/>
      <c r="I296" s="38" t="n"/>
      <c r="J296" s="38" t="n"/>
      <c r="K296" s="38" t="n"/>
      <c r="L296" s="31">
        <f>IF(E296="","",N(I296)+N(J296)-N(K296))</f>
        <v/>
      </c>
      <c r="M296" s="39" t="n"/>
      <c r="N296" s="27">
        <f>IF(E296="","",IF(TODAY()&lt;E296,"Upcoming",IF(TODAY()&lt;F296,"Staying now",IF(M296="Yes","Checked out","Payout not received"))))</f>
        <v/>
      </c>
      <c r="O296" s="35" t="n"/>
      <c r="P296" s="1" t="n"/>
      <c r="Q296">
        <f>IF(N(G296)&gt;0,L296/G296,0)</f>
        <v/>
      </c>
      <c r="R296">
        <f>IF(N(G296)&gt;0,N(I296)/G296,0)</f>
        <v/>
      </c>
      <c r="S296">
        <f>IF(OR($E296="",$F296=""),0,MAX(0,MIN($F296,DATE(Dashboard!$C$4,2,1))-MAX($E296,DATE(Dashboard!$C$4,1,1))))</f>
        <v/>
      </c>
      <c r="T296">
        <f>IF(OR($E296="",$F296=""),0,MAX(0,MIN($F296,DATE(Dashboard!$C$4,3,1))-MAX($E296,DATE(Dashboard!$C$4,2,1))))</f>
        <v/>
      </c>
      <c r="U296">
        <f>IF(OR($E296="",$F296=""),0,MAX(0,MIN($F296,DATE(Dashboard!$C$4,4,1))-MAX($E296,DATE(Dashboard!$C$4,3,1))))</f>
        <v/>
      </c>
      <c r="V296">
        <f>IF(OR($E296="",$F296=""),0,MAX(0,MIN($F296,DATE(Dashboard!$C$4,5,1))-MAX($E296,DATE(Dashboard!$C$4,4,1))))</f>
        <v/>
      </c>
      <c r="W296">
        <f>IF(OR($E296="",$F296=""),0,MAX(0,MIN($F296,DATE(Dashboard!$C$4,6,1))-MAX($E296,DATE(Dashboard!$C$4,5,1))))</f>
        <v/>
      </c>
      <c r="X296">
        <f>IF(OR($E296="",$F296=""),0,MAX(0,MIN($F296,DATE(Dashboard!$C$4,7,1))-MAX($E296,DATE(Dashboard!$C$4,6,1))))</f>
        <v/>
      </c>
      <c r="Y296">
        <f>IF(OR($E296="",$F296=""),0,MAX(0,MIN($F296,DATE(Dashboard!$C$4,8,1))-MAX($E296,DATE(Dashboard!$C$4,7,1))))</f>
        <v/>
      </c>
      <c r="Z296">
        <f>IF(OR($E296="",$F296=""),0,MAX(0,MIN($F296,DATE(Dashboard!$C$4,9,1))-MAX($E296,DATE(Dashboard!$C$4,8,1))))</f>
        <v/>
      </c>
      <c r="AA296">
        <f>IF(OR($E296="",$F296=""),0,MAX(0,MIN($F296,DATE(Dashboard!$C$4,10,1))-MAX($E296,DATE(Dashboard!$C$4,9,1))))</f>
        <v/>
      </c>
      <c r="AB296">
        <f>IF(OR($E296="",$F296=""),0,MAX(0,MIN($F296,DATE(Dashboard!$C$4,11,1))-MAX($E296,DATE(Dashboard!$C$4,10,1))))</f>
        <v/>
      </c>
      <c r="AC296">
        <f>IF(OR($E296="",$F296=""),0,MAX(0,MIN($F296,DATE(Dashboard!$C$4,12,1))-MAX($E296,DATE(Dashboard!$C$4,11,1))))</f>
        <v/>
      </c>
      <c r="AD296">
        <f>IF(OR($E296="",$F296=""),0,MAX(0,MIN($F296,DATE(Dashboard!$C$4,13,1))-MAX($E296,DATE(Dashboard!$C$4,12,1))))</f>
        <v/>
      </c>
      <c r="AE296">
        <f>SUM(S296:AD296)</f>
        <v/>
      </c>
      <c r="AF296">
        <f>Q296*AE296</f>
        <v/>
      </c>
      <c r="AG296">
        <f>R296*AE296</f>
        <v/>
      </c>
      <c r="AH296">
        <f>SUMPRODUCT(S296:AD296,--(COLUMN(S296:AD296)-COLUMN(S296)+1&lt;=Dashboard!$N$1))</f>
        <v/>
      </c>
      <c r="AI296">
        <f>IF(OR(E296="",E296&lt;TODAY()),"",E296+ROW()/100000)</f>
        <v/>
      </c>
      <c r="AJ296">
        <f>IF(OR(F296="",F296&lt;TODAY()),"",F296+ROW()/100000)</f>
        <v/>
      </c>
    </row>
    <row r="297">
      <c r="A297" s="1" t="n"/>
      <c r="B297" s="35" t="n"/>
      <c r="C297" s="35" t="n"/>
      <c r="D297" s="35" t="n"/>
      <c r="E297" s="36" t="n"/>
      <c r="F297" s="36" t="n"/>
      <c r="G297" s="18">
        <f>IF(OR(E297="",F297=""),"",F297-E297)</f>
        <v/>
      </c>
      <c r="H297" s="37" t="n"/>
      <c r="I297" s="38" t="n"/>
      <c r="J297" s="38" t="n"/>
      <c r="K297" s="38" t="n"/>
      <c r="L297" s="31">
        <f>IF(E297="","",N(I297)+N(J297)-N(K297))</f>
        <v/>
      </c>
      <c r="M297" s="39" t="n"/>
      <c r="N297" s="27">
        <f>IF(E297="","",IF(TODAY()&lt;E297,"Upcoming",IF(TODAY()&lt;F297,"Staying now",IF(M297="Yes","Checked out","Payout not received"))))</f>
        <v/>
      </c>
      <c r="O297" s="35" t="n"/>
      <c r="P297" s="1" t="n"/>
      <c r="Q297">
        <f>IF(N(G297)&gt;0,L297/G297,0)</f>
        <v/>
      </c>
      <c r="R297">
        <f>IF(N(G297)&gt;0,N(I297)/G297,0)</f>
        <v/>
      </c>
      <c r="S297">
        <f>IF(OR($E297="",$F297=""),0,MAX(0,MIN($F297,DATE(Dashboard!$C$4,2,1))-MAX($E297,DATE(Dashboard!$C$4,1,1))))</f>
        <v/>
      </c>
      <c r="T297">
        <f>IF(OR($E297="",$F297=""),0,MAX(0,MIN($F297,DATE(Dashboard!$C$4,3,1))-MAX($E297,DATE(Dashboard!$C$4,2,1))))</f>
        <v/>
      </c>
      <c r="U297">
        <f>IF(OR($E297="",$F297=""),0,MAX(0,MIN($F297,DATE(Dashboard!$C$4,4,1))-MAX($E297,DATE(Dashboard!$C$4,3,1))))</f>
        <v/>
      </c>
      <c r="V297">
        <f>IF(OR($E297="",$F297=""),0,MAX(0,MIN($F297,DATE(Dashboard!$C$4,5,1))-MAX($E297,DATE(Dashboard!$C$4,4,1))))</f>
        <v/>
      </c>
      <c r="W297">
        <f>IF(OR($E297="",$F297=""),0,MAX(0,MIN($F297,DATE(Dashboard!$C$4,6,1))-MAX($E297,DATE(Dashboard!$C$4,5,1))))</f>
        <v/>
      </c>
      <c r="X297">
        <f>IF(OR($E297="",$F297=""),0,MAX(0,MIN($F297,DATE(Dashboard!$C$4,7,1))-MAX($E297,DATE(Dashboard!$C$4,6,1))))</f>
        <v/>
      </c>
      <c r="Y297">
        <f>IF(OR($E297="",$F297=""),0,MAX(0,MIN($F297,DATE(Dashboard!$C$4,8,1))-MAX($E297,DATE(Dashboard!$C$4,7,1))))</f>
        <v/>
      </c>
      <c r="Z297">
        <f>IF(OR($E297="",$F297=""),0,MAX(0,MIN($F297,DATE(Dashboard!$C$4,9,1))-MAX($E297,DATE(Dashboard!$C$4,8,1))))</f>
        <v/>
      </c>
      <c r="AA297">
        <f>IF(OR($E297="",$F297=""),0,MAX(0,MIN($F297,DATE(Dashboard!$C$4,10,1))-MAX($E297,DATE(Dashboard!$C$4,9,1))))</f>
        <v/>
      </c>
      <c r="AB297">
        <f>IF(OR($E297="",$F297=""),0,MAX(0,MIN($F297,DATE(Dashboard!$C$4,11,1))-MAX($E297,DATE(Dashboard!$C$4,10,1))))</f>
        <v/>
      </c>
      <c r="AC297">
        <f>IF(OR($E297="",$F297=""),0,MAX(0,MIN($F297,DATE(Dashboard!$C$4,12,1))-MAX($E297,DATE(Dashboard!$C$4,11,1))))</f>
        <v/>
      </c>
      <c r="AD297">
        <f>IF(OR($E297="",$F297=""),0,MAX(0,MIN($F297,DATE(Dashboard!$C$4,13,1))-MAX($E297,DATE(Dashboard!$C$4,12,1))))</f>
        <v/>
      </c>
      <c r="AE297">
        <f>SUM(S297:AD297)</f>
        <v/>
      </c>
      <c r="AF297">
        <f>Q297*AE297</f>
        <v/>
      </c>
      <c r="AG297">
        <f>R297*AE297</f>
        <v/>
      </c>
      <c r="AH297">
        <f>SUMPRODUCT(S297:AD297,--(COLUMN(S297:AD297)-COLUMN(S297)+1&lt;=Dashboard!$N$1))</f>
        <v/>
      </c>
      <c r="AI297">
        <f>IF(OR(E297="",E297&lt;TODAY()),"",E297+ROW()/100000)</f>
        <v/>
      </c>
      <c r="AJ297">
        <f>IF(OR(F297="",F297&lt;TODAY()),"",F297+ROW()/100000)</f>
        <v/>
      </c>
    </row>
    <row r="298">
      <c r="A298" s="1" t="n"/>
      <c r="B298" s="35" t="n"/>
      <c r="C298" s="35" t="n"/>
      <c r="D298" s="35" t="n"/>
      <c r="E298" s="36" t="n"/>
      <c r="F298" s="36" t="n"/>
      <c r="G298" s="18">
        <f>IF(OR(E298="",F298=""),"",F298-E298)</f>
        <v/>
      </c>
      <c r="H298" s="37" t="n"/>
      <c r="I298" s="38" t="n"/>
      <c r="J298" s="38" t="n"/>
      <c r="K298" s="38" t="n"/>
      <c r="L298" s="31">
        <f>IF(E298="","",N(I298)+N(J298)-N(K298))</f>
        <v/>
      </c>
      <c r="M298" s="39" t="n"/>
      <c r="N298" s="27">
        <f>IF(E298="","",IF(TODAY()&lt;E298,"Upcoming",IF(TODAY()&lt;F298,"Staying now",IF(M298="Yes","Checked out","Payout not received"))))</f>
        <v/>
      </c>
      <c r="O298" s="35" t="n"/>
      <c r="P298" s="1" t="n"/>
      <c r="Q298">
        <f>IF(N(G298)&gt;0,L298/G298,0)</f>
        <v/>
      </c>
      <c r="R298">
        <f>IF(N(G298)&gt;0,N(I298)/G298,0)</f>
        <v/>
      </c>
      <c r="S298">
        <f>IF(OR($E298="",$F298=""),0,MAX(0,MIN($F298,DATE(Dashboard!$C$4,2,1))-MAX($E298,DATE(Dashboard!$C$4,1,1))))</f>
        <v/>
      </c>
      <c r="T298">
        <f>IF(OR($E298="",$F298=""),0,MAX(0,MIN($F298,DATE(Dashboard!$C$4,3,1))-MAX($E298,DATE(Dashboard!$C$4,2,1))))</f>
        <v/>
      </c>
      <c r="U298">
        <f>IF(OR($E298="",$F298=""),0,MAX(0,MIN($F298,DATE(Dashboard!$C$4,4,1))-MAX($E298,DATE(Dashboard!$C$4,3,1))))</f>
        <v/>
      </c>
      <c r="V298">
        <f>IF(OR($E298="",$F298=""),0,MAX(0,MIN($F298,DATE(Dashboard!$C$4,5,1))-MAX($E298,DATE(Dashboard!$C$4,4,1))))</f>
        <v/>
      </c>
      <c r="W298">
        <f>IF(OR($E298="",$F298=""),0,MAX(0,MIN($F298,DATE(Dashboard!$C$4,6,1))-MAX($E298,DATE(Dashboard!$C$4,5,1))))</f>
        <v/>
      </c>
      <c r="X298">
        <f>IF(OR($E298="",$F298=""),0,MAX(0,MIN($F298,DATE(Dashboard!$C$4,7,1))-MAX($E298,DATE(Dashboard!$C$4,6,1))))</f>
        <v/>
      </c>
      <c r="Y298">
        <f>IF(OR($E298="",$F298=""),0,MAX(0,MIN($F298,DATE(Dashboard!$C$4,8,1))-MAX($E298,DATE(Dashboard!$C$4,7,1))))</f>
        <v/>
      </c>
      <c r="Z298">
        <f>IF(OR($E298="",$F298=""),0,MAX(0,MIN($F298,DATE(Dashboard!$C$4,9,1))-MAX($E298,DATE(Dashboard!$C$4,8,1))))</f>
        <v/>
      </c>
      <c r="AA298">
        <f>IF(OR($E298="",$F298=""),0,MAX(0,MIN($F298,DATE(Dashboard!$C$4,10,1))-MAX($E298,DATE(Dashboard!$C$4,9,1))))</f>
        <v/>
      </c>
      <c r="AB298">
        <f>IF(OR($E298="",$F298=""),0,MAX(0,MIN($F298,DATE(Dashboard!$C$4,11,1))-MAX($E298,DATE(Dashboard!$C$4,10,1))))</f>
        <v/>
      </c>
      <c r="AC298">
        <f>IF(OR($E298="",$F298=""),0,MAX(0,MIN($F298,DATE(Dashboard!$C$4,12,1))-MAX($E298,DATE(Dashboard!$C$4,11,1))))</f>
        <v/>
      </c>
      <c r="AD298">
        <f>IF(OR($E298="",$F298=""),0,MAX(0,MIN($F298,DATE(Dashboard!$C$4,13,1))-MAX($E298,DATE(Dashboard!$C$4,12,1))))</f>
        <v/>
      </c>
      <c r="AE298">
        <f>SUM(S298:AD298)</f>
        <v/>
      </c>
      <c r="AF298">
        <f>Q298*AE298</f>
        <v/>
      </c>
      <c r="AG298">
        <f>R298*AE298</f>
        <v/>
      </c>
      <c r="AH298">
        <f>SUMPRODUCT(S298:AD298,--(COLUMN(S298:AD298)-COLUMN(S298)+1&lt;=Dashboard!$N$1))</f>
        <v/>
      </c>
      <c r="AI298">
        <f>IF(OR(E298="",E298&lt;TODAY()),"",E298+ROW()/100000)</f>
        <v/>
      </c>
      <c r="AJ298">
        <f>IF(OR(F298="",F298&lt;TODAY()),"",F298+ROW()/100000)</f>
        <v/>
      </c>
    </row>
    <row r="299">
      <c r="A299" s="1" t="n"/>
      <c r="B299" s="35" t="n"/>
      <c r="C299" s="35" t="n"/>
      <c r="D299" s="35" t="n"/>
      <c r="E299" s="36" t="n"/>
      <c r="F299" s="36" t="n"/>
      <c r="G299" s="18">
        <f>IF(OR(E299="",F299=""),"",F299-E299)</f>
        <v/>
      </c>
      <c r="H299" s="37" t="n"/>
      <c r="I299" s="38" t="n"/>
      <c r="J299" s="38" t="n"/>
      <c r="K299" s="38" t="n"/>
      <c r="L299" s="31">
        <f>IF(E299="","",N(I299)+N(J299)-N(K299))</f>
        <v/>
      </c>
      <c r="M299" s="39" t="n"/>
      <c r="N299" s="27">
        <f>IF(E299="","",IF(TODAY()&lt;E299,"Upcoming",IF(TODAY()&lt;F299,"Staying now",IF(M299="Yes","Checked out","Payout not received"))))</f>
        <v/>
      </c>
      <c r="O299" s="35" t="n"/>
      <c r="P299" s="1" t="n"/>
      <c r="Q299">
        <f>IF(N(G299)&gt;0,L299/G299,0)</f>
        <v/>
      </c>
      <c r="R299">
        <f>IF(N(G299)&gt;0,N(I299)/G299,0)</f>
        <v/>
      </c>
      <c r="S299">
        <f>IF(OR($E299="",$F299=""),0,MAX(0,MIN($F299,DATE(Dashboard!$C$4,2,1))-MAX($E299,DATE(Dashboard!$C$4,1,1))))</f>
        <v/>
      </c>
      <c r="T299">
        <f>IF(OR($E299="",$F299=""),0,MAX(0,MIN($F299,DATE(Dashboard!$C$4,3,1))-MAX($E299,DATE(Dashboard!$C$4,2,1))))</f>
        <v/>
      </c>
      <c r="U299">
        <f>IF(OR($E299="",$F299=""),0,MAX(0,MIN($F299,DATE(Dashboard!$C$4,4,1))-MAX($E299,DATE(Dashboard!$C$4,3,1))))</f>
        <v/>
      </c>
      <c r="V299">
        <f>IF(OR($E299="",$F299=""),0,MAX(0,MIN($F299,DATE(Dashboard!$C$4,5,1))-MAX($E299,DATE(Dashboard!$C$4,4,1))))</f>
        <v/>
      </c>
      <c r="W299">
        <f>IF(OR($E299="",$F299=""),0,MAX(0,MIN($F299,DATE(Dashboard!$C$4,6,1))-MAX($E299,DATE(Dashboard!$C$4,5,1))))</f>
        <v/>
      </c>
      <c r="X299">
        <f>IF(OR($E299="",$F299=""),0,MAX(0,MIN($F299,DATE(Dashboard!$C$4,7,1))-MAX($E299,DATE(Dashboard!$C$4,6,1))))</f>
        <v/>
      </c>
      <c r="Y299">
        <f>IF(OR($E299="",$F299=""),0,MAX(0,MIN($F299,DATE(Dashboard!$C$4,8,1))-MAX($E299,DATE(Dashboard!$C$4,7,1))))</f>
        <v/>
      </c>
      <c r="Z299">
        <f>IF(OR($E299="",$F299=""),0,MAX(0,MIN($F299,DATE(Dashboard!$C$4,9,1))-MAX($E299,DATE(Dashboard!$C$4,8,1))))</f>
        <v/>
      </c>
      <c r="AA299">
        <f>IF(OR($E299="",$F299=""),0,MAX(0,MIN($F299,DATE(Dashboard!$C$4,10,1))-MAX($E299,DATE(Dashboard!$C$4,9,1))))</f>
        <v/>
      </c>
      <c r="AB299">
        <f>IF(OR($E299="",$F299=""),0,MAX(0,MIN($F299,DATE(Dashboard!$C$4,11,1))-MAX($E299,DATE(Dashboard!$C$4,10,1))))</f>
        <v/>
      </c>
      <c r="AC299">
        <f>IF(OR($E299="",$F299=""),0,MAX(0,MIN($F299,DATE(Dashboard!$C$4,12,1))-MAX($E299,DATE(Dashboard!$C$4,11,1))))</f>
        <v/>
      </c>
      <c r="AD299">
        <f>IF(OR($E299="",$F299=""),0,MAX(0,MIN($F299,DATE(Dashboard!$C$4,13,1))-MAX($E299,DATE(Dashboard!$C$4,12,1))))</f>
        <v/>
      </c>
      <c r="AE299">
        <f>SUM(S299:AD299)</f>
        <v/>
      </c>
      <c r="AF299">
        <f>Q299*AE299</f>
        <v/>
      </c>
      <c r="AG299">
        <f>R299*AE299</f>
        <v/>
      </c>
      <c r="AH299">
        <f>SUMPRODUCT(S299:AD299,--(COLUMN(S299:AD299)-COLUMN(S299)+1&lt;=Dashboard!$N$1))</f>
        <v/>
      </c>
      <c r="AI299">
        <f>IF(OR(E299="",E299&lt;TODAY()),"",E299+ROW()/100000)</f>
        <v/>
      </c>
      <c r="AJ299">
        <f>IF(OR(F299="",F299&lt;TODAY()),"",F299+ROW()/100000)</f>
        <v/>
      </c>
    </row>
    <row r="300">
      <c r="A300" s="1" t="n"/>
      <c r="B300" s="35" t="n"/>
      <c r="C300" s="35" t="n"/>
      <c r="D300" s="35" t="n"/>
      <c r="E300" s="36" t="n"/>
      <c r="F300" s="36" t="n"/>
      <c r="G300" s="18">
        <f>IF(OR(E300="",F300=""),"",F300-E300)</f>
        <v/>
      </c>
      <c r="H300" s="37" t="n"/>
      <c r="I300" s="38" t="n"/>
      <c r="J300" s="38" t="n"/>
      <c r="K300" s="38" t="n"/>
      <c r="L300" s="31">
        <f>IF(E300="","",N(I300)+N(J300)-N(K300))</f>
        <v/>
      </c>
      <c r="M300" s="39" t="n"/>
      <c r="N300" s="27">
        <f>IF(E300="","",IF(TODAY()&lt;E300,"Upcoming",IF(TODAY()&lt;F300,"Staying now",IF(M300="Yes","Checked out","Payout not received"))))</f>
        <v/>
      </c>
      <c r="O300" s="35" t="n"/>
      <c r="P300" s="1" t="n"/>
      <c r="Q300">
        <f>IF(N(G300)&gt;0,L300/G300,0)</f>
        <v/>
      </c>
      <c r="R300">
        <f>IF(N(G300)&gt;0,N(I300)/G300,0)</f>
        <v/>
      </c>
      <c r="S300">
        <f>IF(OR($E300="",$F300=""),0,MAX(0,MIN($F300,DATE(Dashboard!$C$4,2,1))-MAX($E300,DATE(Dashboard!$C$4,1,1))))</f>
        <v/>
      </c>
      <c r="T300">
        <f>IF(OR($E300="",$F300=""),0,MAX(0,MIN($F300,DATE(Dashboard!$C$4,3,1))-MAX($E300,DATE(Dashboard!$C$4,2,1))))</f>
        <v/>
      </c>
      <c r="U300">
        <f>IF(OR($E300="",$F300=""),0,MAX(0,MIN($F300,DATE(Dashboard!$C$4,4,1))-MAX($E300,DATE(Dashboard!$C$4,3,1))))</f>
        <v/>
      </c>
      <c r="V300">
        <f>IF(OR($E300="",$F300=""),0,MAX(0,MIN($F300,DATE(Dashboard!$C$4,5,1))-MAX($E300,DATE(Dashboard!$C$4,4,1))))</f>
        <v/>
      </c>
      <c r="W300">
        <f>IF(OR($E300="",$F300=""),0,MAX(0,MIN($F300,DATE(Dashboard!$C$4,6,1))-MAX($E300,DATE(Dashboard!$C$4,5,1))))</f>
        <v/>
      </c>
      <c r="X300">
        <f>IF(OR($E300="",$F300=""),0,MAX(0,MIN($F300,DATE(Dashboard!$C$4,7,1))-MAX($E300,DATE(Dashboard!$C$4,6,1))))</f>
        <v/>
      </c>
      <c r="Y300">
        <f>IF(OR($E300="",$F300=""),0,MAX(0,MIN($F300,DATE(Dashboard!$C$4,8,1))-MAX($E300,DATE(Dashboard!$C$4,7,1))))</f>
        <v/>
      </c>
      <c r="Z300">
        <f>IF(OR($E300="",$F300=""),0,MAX(0,MIN($F300,DATE(Dashboard!$C$4,9,1))-MAX($E300,DATE(Dashboard!$C$4,8,1))))</f>
        <v/>
      </c>
      <c r="AA300">
        <f>IF(OR($E300="",$F300=""),0,MAX(0,MIN($F300,DATE(Dashboard!$C$4,10,1))-MAX($E300,DATE(Dashboard!$C$4,9,1))))</f>
        <v/>
      </c>
      <c r="AB300">
        <f>IF(OR($E300="",$F300=""),0,MAX(0,MIN($F300,DATE(Dashboard!$C$4,11,1))-MAX($E300,DATE(Dashboard!$C$4,10,1))))</f>
        <v/>
      </c>
      <c r="AC300">
        <f>IF(OR($E300="",$F300=""),0,MAX(0,MIN($F300,DATE(Dashboard!$C$4,12,1))-MAX($E300,DATE(Dashboard!$C$4,11,1))))</f>
        <v/>
      </c>
      <c r="AD300">
        <f>IF(OR($E300="",$F300=""),0,MAX(0,MIN($F300,DATE(Dashboard!$C$4,13,1))-MAX($E300,DATE(Dashboard!$C$4,12,1))))</f>
        <v/>
      </c>
      <c r="AE300">
        <f>SUM(S300:AD300)</f>
        <v/>
      </c>
      <c r="AF300">
        <f>Q300*AE300</f>
        <v/>
      </c>
      <c r="AG300">
        <f>R300*AE300</f>
        <v/>
      </c>
      <c r="AH300">
        <f>SUMPRODUCT(S300:AD300,--(COLUMN(S300:AD300)-COLUMN(S300)+1&lt;=Dashboard!$N$1))</f>
        <v/>
      </c>
      <c r="AI300">
        <f>IF(OR(E300="",E300&lt;TODAY()),"",E300+ROW()/100000)</f>
        <v/>
      </c>
      <c r="AJ300">
        <f>IF(OR(F300="",F300&lt;TODAY()),"",F300+ROW()/100000)</f>
        <v/>
      </c>
    </row>
    <row r="301">
      <c r="A301" s="1" t="n"/>
      <c r="B301" s="35" t="n"/>
      <c r="C301" s="35" t="n"/>
      <c r="D301" s="35" t="n"/>
      <c r="E301" s="36" t="n"/>
      <c r="F301" s="36" t="n"/>
      <c r="G301" s="18">
        <f>IF(OR(E301="",F301=""),"",F301-E301)</f>
        <v/>
      </c>
      <c r="H301" s="37" t="n"/>
      <c r="I301" s="38" t="n"/>
      <c r="J301" s="38" t="n"/>
      <c r="K301" s="38" t="n"/>
      <c r="L301" s="31">
        <f>IF(E301="","",N(I301)+N(J301)-N(K301))</f>
        <v/>
      </c>
      <c r="M301" s="39" t="n"/>
      <c r="N301" s="27">
        <f>IF(E301="","",IF(TODAY()&lt;E301,"Upcoming",IF(TODAY()&lt;F301,"Staying now",IF(M301="Yes","Checked out","Payout not received"))))</f>
        <v/>
      </c>
      <c r="O301" s="35" t="n"/>
      <c r="P301" s="1" t="n"/>
      <c r="Q301">
        <f>IF(N(G301)&gt;0,L301/G301,0)</f>
        <v/>
      </c>
      <c r="R301">
        <f>IF(N(G301)&gt;0,N(I301)/G301,0)</f>
        <v/>
      </c>
      <c r="S301">
        <f>IF(OR($E301="",$F301=""),0,MAX(0,MIN($F301,DATE(Dashboard!$C$4,2,1))-MAX($E301,DATE(Dashboard!$C$4,1,1))))</f>
        <v/>
      </c>
      <c r="T301">
        <f>IF(OR($E301="",$F301=""),0,MAX(0,MIN($F301,DATE(Dashboard!$C$4,3,1))-MAX($E301,DATE(Dashboard!$C$4,2,1))))</f>
        <v/>
      </c>
      <c r="U301">
        <f>IF(OR($E301="",$F301=""),0,MAX(0,MIN($F301,DATE(Dashboard!$C$4,4,1))-MAX($E301,DATE(Dashboard!$C$4,3,1))))</f>
        <v/>
      </c>
      <c r="V301">
        <f>IF(OR($E301="",$F301=""),0,MAX(0,MIN($F301,DATE(Dashboard!$C$4,5,1))-MAX($E301,DATE(Dashboard!$C$4,4,1))))</f>
        <v/>
      </c>
      <c r="W301">
        <f>IF(OR($E301="",$F301=""),0,MAX(0,MIN($F301,DATE(Dashboard!$C$4,6,1))-MAX($E301,DATE(Dashboard!$C$4,5,1))))</f>
        <v/>
      </c>
      <c r="X301">
        <f>IF(OR($E301="",$F301=""),0,MAX(0,MIN($F301,DATE(Dashboard!$C$4,7,1))-MAX($E301,DATE(Dashboard!$C$4,6,1))))</f>
        <v/>
      </c>
      <c r="Y301">
        <f>IF(OR($E301="",$F301=""),0,MAX(0,MIN($F301,DATE(Dashboard!$C$4,8,1))-MAX($E301,DATE(Dashboard!$C$4,7,1))))</f>
        <v/>
      </c>
      <c r="Z301">
        <f>IF(OR($E301="",$F301=""),0,MAX(0,MIN($F301,DATE(Dashboard!$C$4,9,1))-MAX($E301,DATE(Dashboard!$C$4,8,1))))</f>
        <v/>
      </c>
      <c r="AA301">
        <f>IF(OR($E301="",$F301=""),0,MAX(0,MIN($F301,DATE(Dashboard!$C$4,10,1))-MAX($E301,DATE(Dashboard!$C$4,9,1))))</f>
        <v/>
      </c>
      <c r="AB301">
        <f>IF(OR($E301="",$F301=""),0,MAX(0,MIN($F301,DATE(Dashboard!$C$4,11,1))-MAX($E301,DATE(Dashboard!$C$4,10,1))))</f>
        <v/>
      </c>
      <c r="AC301">
        <f>IF(OR($E301="",$F301=""),0,MAX(0,MIN($F301,DATE(Dashboard!$C$4,12,1))-MAX($E301,DATE(Dashboard!$C$4,11,1))))</f>
        <v/>
      </c>
      <c r="AD301">
        <f>IF(OR($E301="",$F301=""),0,MAX(0,MIN($F301,DATE(Dashboard!$C$4,13,1))-MAX($E301,DATE(Dashboard!$C$4,12,1))))</f>
        <v/>
      </c>
      <c r="AE301">
        <f>SUM(S301:AD301)</f>
        <v/>
      </c>
      <c r="AF301">
        <f>Q301*AE301</f>
        <v/>
      </c>
      <c r="AG301">
        <f>R301*AE301</f>
        <v/>
      </c>
      <c r="AH301">
        <f>SUMPRODUCT(S301:AD301,--(COLUMN(S301:AD301)-COLUMN(S301)+1&lt;=Dashboard!$N$1))</f>
        <v/>
      </c>
      <c r="AI301">
        <f>IF(OR(E301="",E301&lt;TODAY()),"",E301+ROW()/100000)</f>
        <v/>
      </c>
      <c r="AJ301">
        <f>IF(OR(F301="",F301&lt;TODAY()),"",F301+ROW()/100000)</f>
        <v/>
      </c>
    </row>
    <row r="302">
      <c r="A302" s="1" t="n"/>
      <c r="B302" s="35" t="n"/>
      <c r="C302" s="35" t="n"/>
      <c r="D302" s="35" t="n"/>
      <c r="E302" s="36" t="n"/>
      <c r="F302" s="36" t="n"/>
      <c r="G302" s="18">
        <f>IF(OR(E302="",F302=""),"",F302-E302)</f>
        <v/>
      </c>
      <c r="H302" s="37" t="n"/>
      <c r="I302" s="38" t="n"/>
      <c r="J302" s="38" t="n"/>
      <c r="K302" s="38" t="n"/>
      <c r="L302" s="31">
        <f>IF(E302="","",N(I302)+N(J302)-N(K302))</f>
        <v/>
      </c>
      <c r="M302" s="39" t="n"/>
      <c r="N302" s="27">
        <f>IF(E302="","",IF(TODAY()&lt;E302,"Upcoming",IF(TODAY()&lt;F302,"Staying now",IF(M302="Yes","Checked out","Payout not received"))))</f>
        <v/>
      </c>
      <c r="O302" s="35" t="n"/>
      <c r="P302" s="1" t="n"/>
      <c r="Q302">
        <f>IF(N(G302)&gt;0,L302/G302,0)</f>
        <v/>
      </c>
      <c r="R302">
        <f>IF(N(G302)&gt;0,N(I302)/G302,0)</f>
        <v/>
      </c>
      <c r="S302">
        <f>IF(OR($E302="",$F302=""),0,MAX(0,MIN($F302,DATE(Dashboard!$C$4,2,1))-MAX($E302,DATE(Dashboard!$C$4,1,1))))</f>
        <v/>
      </c>
      <c r="T302">
        <f>IF(OR($E302="",$F302=""),0,MAX(0,MIN($F302,DATE(Dashboard!$C$4,3,1))-MAX($E302,DATE(Dashboard!$C$4,2,1))))</f>
        <v/>
      </c>
      <c r="U302">
        <f>IF(OR($E302="",$F302=""),0,MAX(0,MIN($F302,DATE(Dashboard!$C$4,4,1))-MAX($E302,DATE(Dashboard!$C$4,3,1))))</f>
        <v/>
      </c>
      <c r="V302">
        <f>IF(OR($E302="",$F302=""),0,MAX(0,MIN($F302,DATE(Dashboard!$C$4,5,1))-MAX($E302,DATE(Dashboard!$C$4,4,1))))</f>
        <v/>
      </c>
      <c r="W302">
        <f>IF(OR($E302="",$F302=""),0,MAX(0,MIN($F302,DATE(Dashboard!$C$4,6,1))-MAX($E302,DATE(Dashboard!$C$4,5,1))))</f>
        <v/>
      </c>
      <c r="X302">
        <f>IF(OR($E302="",$F302=""),0,MAX(0,MIN($F302,DATE(Dashboard!$C$4,7,1))-MAX($E302,DATE(Dashboard!$C$4,6,1))))</f>
        <v/>
      </c>
      <c r="Y302">
        <f>IF(OR($E302="",$F302=""),0,MAX(0,MIN($F302,DATE(Dashboard!$C$4,8,1))-MAX($E302,DATE(Dashboard!$C$4,7,1))))</f>
        <v/>
      </c>
      <c r="Z302">
        <f>IF(OR($E302="",$F302=""),0,MAX(0,MIN($F302,DATE(Dashboard!$C$4,9,1))-MAX($E302,DATE(Dashboard!$C$4,8,1))))</f>
        <v/>
      </c>
      <c r="AA302">
        <f>IF(OR($E302="",$F302=""),0,MAX(0,MIN($F302,DATE(Dashboard!$C$4,10,1))-MAX($E302,DATE(Dashboard!$C$4,9,1))))</f>
        <v/>
      </c>
      <c r="AB302">
        <f>IF(OR($E302="",$F302=""),0,MAX(0,MIN($F302,DATE(Dashboard!$C$4,11,1))-MAX($E302,DATE(Dashboard!$C$4,10,1))))</f>
        <v/>
      </c>
      <c r="AC302">
        <f>IF(OR($E302="",$F302=""),0,MAX(0,MIN($F302,DATE(Dashboard!$C$4,12,1))-MAX($E302,DATE(Dashboard!$C$4,11,1))))</f>
        <v/>
      </c>
      <c r="AD302">
        <f>IF(OR($E302="",$F302=""),0,MAX(0,MIN($F302,DATE(Dashboard!$C$4,13,1))-MAX($E302,DATE(Dashboard!$C$4,12,1))))</f>
        <v/>
      </c>
      <c r="AE302">
        <f>SUM(S302:AD302)</f>
        <v/>
      </c>
      <c r="AF302">
        <f>Q302*AE302</f>
        <v/>
      </c>
      <c r="AG302">
        <f>R302*AE302</f>
        <v/>
      </c>
      <c r="AH302">
        <f>SUMPRODUCT(S302:AD302,--(COLUMN(S302:AD302)-COLUMN(S302)+1&lt;=Dashboard!$N$1))</f>
        <v/>
      </c>
      <c r="AI302">
        <f>IF(OR(E302="",E302&lt;TODAY()),"",E302+ROW()/100000)</f>
        <v/>
      </c>
      <c r="AJ302">
        <f>IF(OR(F302="",F302&lt;TODAY()),"",F302+ROW()/100000)</f>
        <v/>
      </c>
    </row>
    <row r="303">
      <c r="A303" s="1" t="n"/>
      <c r="B303" s="35" t="n"/>
      <c r="C303" s="35" t="n"/>
      <c r="D303" s="35" t="n"/>
      <c r="E303" s="36" t="n"/>
      <c r="F303" s="36" t="n"/>
      <c r="G303" s="18">
        <f>IF(OR(E303="",F303=""),"",F303-E303)</f>
        <v/>
      </c>
      <c r="H303" s="37" t="n"/>
      <c r="I303" s="38" t="n"/>
      <c r="J303" s="38" t="n"/>
      <c r="K303" s="38" t="n"/>
      <c r="L303" s="31">
        <f>IF(E303="","",N(I303)+N(J303)-N(K303))</f>
        <v/>
      </c>
      <c r="M303" s="39" t="n"/>
      <c r="N303" s="27">
        <f>IF(E303="","",IF(TODAY()&lt;E303,"Upcoming",IF(TODAY()&lt;F303,"Staying now",IF(M303="Yes","Checked out","Payout not received"))))</f>
        <v/>
      </c>
      <c r="O303" s="35" t="n"/>
      <c r="P303" s="1" t="n"/>
      <c r="Q303">
        <f>IF(N(G303)&gt;0,L303/G303,0)</f>
        <v/>
      </c>
      <c r="R303">
        <f>IF(N(G303)&gt;0,N(I303)/G303,0)</f>
        <v/>
      </c>
      <c r="S303">
        <f>IF(OR($E303="",$F303=""),0,MAX(0,MIN($F303,DATE(Dashboard!$C$4,2,1))-MAX($E303,DATE(Dashboard!$C$4,1,1))))</f>
        <v/>
      </c>
      <c r="T303">
        <f>IF(OR($E303="",$F303=""),0,MAX(0,MIN($F303,DATE(Dashboard!$C$4,3,1))-MAX($E303,DATE(Dashboard!$C$4,2,1))))</f>
        <v/>
      </c>
      <c r="U303">
        <f>IF(OR($E303="",$F303=""),0,MAX(0,MIN($F303,DATE(Dashboard!$C$4,4,1))-MAX($E303,DATE(Dashboard!$C$4,3,1))))</f>
        <v/>
      </c>
      <c r="V303">
        <f>IF(OR($E303="",$F303=""),0,MAX(0,MIN($F303,DATE(Dashboard!$C$4,5,1))-MAX($E303,DATE(Dashboard!$C$4,4,1))))</f>
        <v/>
      </c>
      <c r="W303">
        <f>IF(OR($E303="",$F303=""),0,MAX(0,MIN($F303,DATE(Dashboard!$C$4,6,1))-MAX($E303,DATE(Dashboard!$C$4,5,1))))</f>
        <v/>
      </c>
      <c r="X303">
        <f>IF(OR($E303="",$F303=""),0,MAX(0,MIN($F303,DATE(Dashboard!$C$4,7,1))-MAX($E303,DATE(Dashboard!$C$4,6,1))))</f>
        <v/>
      </c>
      <c r="Y303">
        <f>IF(OR($E303="",$F303=""),0,MAX(0,MIN($F303,DATE(Dashboard!$C$4,8,1))-MAX($E303,DATE(Dashboard!$C$4,7,1))))</f>
        <v/>
      </c>
      <c r="Z303">
        <f>IF(OR($E303="",$F303=""),0,MAX(0,MIN($F303,DATE(Dashboard!$C$4,9,1))-MAX($E303,DATE(Dashboard!$C$4,8,1))))</f>
        <v/>
      </c>
      <c r="AA303">
        <f>IF(OR($E303="",$F303=""),0,MAX(0,MIN($F303,DATE(Dashboard!$C$4,10,1))-MAX($E303,DATE(Dashboard!$C$4,9,1))))</f>
        <v/>
      </c>
      <c r="AB303">
        <f>IF(OR($E303="",$F303=""),0,MAX(0,MIN($F303,DATE(Dashboard!$C$4,11,1))-MAX($E303,DATE(Dashboard!$C$4,10,1))))</f>
        <v/>
      </c>
      <c r="AC303">
        <f>IF(OR($E303="",$F303=""),0,MAX(0,MIN($F303,DATE(Dashboard!$C$4,12,1))-MAX($E303,DATE(Dashboard!$C$4,11,1))))</f>
        <v/>
      </c>
      <c r="AD303">
        <f>IF(OR($E303="",$F303=""),0,MAX(0,MIN($F303,DATE(Dashboard!$C$4,13,1))-MAX($E303,DATE(Dashboard!$C$4,12,1))))</f>
        <v/>
      </c>
      <c r="AE303">
        <f>SUM(S303:AD303)</f>
        <v/>
      </c>
      <c r="AF303">
        <f>Q303*AE303</f>
        <v/>
      </c>
      <c r="AG303">
        <f>R303*AE303</f>
        <v/>
      </c>
      <c r="AH303">
        <f>SUMPRODUCT(S303:AD303,--(COLUMN(S303:AD303)-COLUMN(S303)+1&lt;=Dashboard!$N$1))</f>
        <v/>
      </c>
      <c r="AI303">
        <f>IF(OR(E303="",E303&lt;TODAY()),"",E303+ROW()/100000)</f>
        <v/>
      </c>
      <c r="AJ303">
        <f>IF(OR(F303="",F303&lt;TODAY()),"",F303+ROW()/100000)</f>
        <v/>
      </c>
    </row>
    <row r="304">
      <c r="A304" s="1" t="n"/>
      <c r="B304" s="35" t="n"/>
      <c r="C304" s="35" t="n"/>
      <c r="D304" s="35" t="n"/>
      <c r="E304" s="36" t="n"/>
      <c r="F304" s="36" t="n"/>
      <c r="G304" s="18">
        <f>IF(OR(E304="",F304=""),"",F304-E304)</f>
        <v/>
      </c>
      <c r="H304" s="37" t="n"/>
      <c r="I304" s="38" t="n"/>
      <c r="J304" s="38" t="n"/>
      <c r="K304" s="38" t="n"/>
      <c r="L304" s="31">
        <f>IF(E304="","",N(I304)+N(J304)-N(K304))</f>
        <v/>
      </c>
      <c r="M304" s="39" t="n"/>
      <c r="N304" s="27">
        <f>IF(E304="","",IF(TODAY()&lt;E304,"Upcoming",IF(TODAY()&lt;F304,"Staying now",IF(M304="Yes","Checked out","Payout not received"))))</f>
        <v/>
      </c>
      <c r="O304" s="35" t="n"/>
      <c r="P304" s="1" t="n"/>
      <c r="Q304">
        <f>IF(N(G304)&gt;0,L304/G304,0)</f>
        <v/>
      </c>
      <c r="R304">
        <f>IF(N(G304)&gt;0,N(I304)/G304,0)</f>
        <v/>
      </c>
      <c r="S304">
        <f>IF(OR($E304="",$F304=""),0,MAX(0,MIN($F304,DATE(Dashboard!$C$4,2,1))-MAX($E304,DATE(Dashboard!$C$4,1,1))))</f>
        <v/>
      </c>
      <c r="T304">
        <f>IF(OR($E304="",$F304=""),0,MAX(0,MIN($F304,DATE(Dashboard!$C$4,3,1))-MAX($E304,DATE(Dashboard!$C$4,2,1))))</f>
        <v/>
      </c>
      <c r="U304">
        <f>IF(OR($E304="",$F304=""),0,MAX(0,MIN($F304,DATE(Dashboard!$C$4,4,1))-MAX($E304,DATE(Dashboard!$C$4,3,1))))</f>
        <v/>
      </c>
      <c r="V304">
        <f>IF(OR($E304="",$F304=""),0,MAX(0,MIN($F304,DATE(Dashboard!$C$4,5,1))-MAX($E304,DATE(Dashboard!$C$4,4,1))))</f>
        <v/>
      </c>
      <c r="W304">
        <f>IF(OR($E304="",$F304=""),0,MAX(0,MIN($F304,DATE(Dashboard!$C$4,6,1))-MAX($E304,DATE(Dashboard!$C$4,5,1))))</f>
        <v/>
      </c>
      <c r="X304">
        <f>IF(OR($E304="",$F304=""),0,MAX(0,MIN($F304,DATE(Dashboard!$C$4,7,1))-MAX($E304,DATE(Dashboard!$C$4,6,1))))</f>
        <v/>
      </c>
      <c r="Y304">
        <f>IF(OR($E304="",$F304=""),0,MAX(0,MIN($F304,DATE(Dashboard!$C$4,8,1))-MAX($E304,DATE(Dashboard!$C$4,7,1))))</f>
        <v/>
      </c>
      <c r="Z304">
        <f>IF(OR($E304="",$F304=""),0,MAX(0,MIN($F304,DATE(Dashboard!$C$4,9,1))-MAX($E304,DATE(Dashboard!$C$4,8,1))))</f>
        <v/>
      </c>
      <c r="AA304">
        <f>IF(OR($E304="",$F304=""),0,MAX(0,MIN($F304,DATE(Dashboard!$C$4,10,1))-MAX($E304,DATE(Dashboard!$C$4,9,1))))</f>
        <v/>
      </c>
      <c r="AB304">
        <f>IF(OR($E304="",$F304=""),0,MAX(0,MIN($F304,DATE(Dashboard!$C$4,11,1))-MAX($E304,DATE(Dashboard!$C$4,10,1))))</f>
        <v/>
      </c>
      <c r="AC304">
        <f>IF(OR($E304="",$F304=""),0,MAX(0,MIN($F304,DATE(Dashboard!$C$4,12,1))-MAX($E304,DATE(Dashboard!$C$4,11,1))))</f>
        <v/>
      </c>
      <c r="AD304">
        <f>IF(OR($E304="",$F304=""),0,MAX(0,MIN($F304,DATE(Dashboard!$C$4,13,1))-MAX($E304,DATE(Dashboard!$C$4,12,1))))</f>
        <v/>
      </c>
      <c r="AE304">
        <f>SUM(S304:AD304)</f>
        <v/>
      </c>
      <c r="AF304">
        <f>Q304*AE304</f>
        <v/>
      </c>
      <c r="AG304">
        <f>R304*AE304</f>
        <v/>
      </c>
      <c r="AH304">
        <f>SUMPRODUCT(S304:AD304,--(COLUMN(S304:AD304)-COLUMN(S304)+1&lt;=Dashboard!$N$1))</f>
        <v/>
      </c>
      <c r="AI304">
        <f>IF(OR(E304="",E304&lt;TODAY()),"",E304+ROW()/100000)</f>
        <v/>
      </c>
      <c r="AJ304">
        <f>IF(OR(F304="",F304&lt;TODAY()),"",F304+ROW()/100000)</f>
        <v/>
      </c>
    </row>
    <row r="305">
      <c r="A305" s="1" t="n"/>
      <c r="B305" s="35" t="n"/>
      <c r="C305" s="35" t="n"/>
      <c r="D305" s="35" t="n"/>
      <c r="E305" s="36" t="n"/>
      <c r="F305" s="36" t="n"/>
      <c r="G305" s="18">
        <f>IF(OR(E305="",F305=""),"",F305-E305)</f>
        <v/>
      </c>
      <c r="H305" s="37" t="n"/>
      <c r="I305" s="38" t="n"/>
      <c r="J305" s="38" t="n"/>
      <c r="K305" s="38" t="n"/>
      <c r="L305" s="31">
        <f>IF(E305="","",N(I305)+N(J305)-N(K305))</f>
        <v/>
      </c>
      <c r="M305" s="39" t="n"/>
      <c r="N305" s="27">
        <f>IF(E305="","",IF(TODAY()&lt;E305,"Upcoming",IF(TODAY()&lt;F305,"Staying now",IF(M305="Yes","Checked out","Payout not received"))))</f>
        <v/>
      </c>
      <c r="O305" s="35" t="n"/>
      <c r="P305" s="1" t="n"/>
      <c r="Q305">
        <f>IF(N(G305)&gt;0,L305/G305,0)</f>
        <v/>
      </c>
      <c r="R305">
        <f>IF(N(G305)&gt;0,N(I305)/G305,0)</f>
        <v/>
      </c>
      <c r="S305">
        <f>IF(OR($E305="",$F305=""),0,MAX(0,MIN($F305,DATE(Dashboard!$C$4,2,1))-MAX($E305,DATE(Dashboard!$C$4,1,1))))</f>
        <v/>
      </c>
      <c r="T305">
        <f>IF(OR($E305="",$F305=""),0,MAX(0,MIN($F305,DATE(Dashboard!$C$4,3,1))-MAX($E305,DATE(Dashboard!$C$4,2,1))))</f>
        <v/>
      </c>
      <c r="U305">
        <f>IF(OR($E305="",$F305=""),0,MAX(0,MIN($F305,DATE(Dashboard!$C$4,4,1))-MAX($E305,DATE(Dashboard!$C$4,3,1))))</f>
        <v/>
      </c>
      <c r="V305">
        <f>IF(OR($E305="",$F305=""),0,MAX(0,MIN($F305,DATE(Dashboard!$C$4,5,1))-MAX($E305,DATE(Dashboard!$C$4,4,1))))</f>
        <v/>
      </c>
      <c r="W305">
        <f>IF(OR($E305="",$F305=""),0,MAX(0,MIN($F305,DATE(Dashboard!$C$4,6,1))-MAX($E305,DATE(Dashboard!$C$4,5,1))))</f>
        <v/>
      </c>
      <c r="X305">
        <f>IF(OR($E305="",$F305=""),0,MAX(0,MIN($F305,DATE(Dashboard!$C$4,7,1))-MAX($E305,DATE(Dashboard!$C$4,6,1))))</f>
        <v/>
      </c>
      <c r="Y305">
        <f>IF(OR($E305="",$F305=""),0,MAX(0,MIN($F305,DATE(Dashboard!$C$4,8,1))-MAX($E305,DATE(Dashboard!$C$4,7,1))))</f>
        <v/>
      </c>
      <c r="Z305">
        <f>IF(OR($E305="",$F305=""),0,MAX(0,MIN($F305,DATE(Dashboard!$C$4,9,1))-MAX($E305,DATE(Dashboard!$C$4,8,1))))</f>
        <v/>
      </c>
      <c r="AA305">
        <f>IF(OR($E305="",$F305=""),0,MAX(0,MIN($F305,DATE(Dashboard!$C$4,10,1))-MAX($E305,DATE(Dashboard!$C$4,9,1))))</f>
        <v/>
      </c>
      <c r="AB305">
        <f>IF(OR($E305="",$F305=""),0,MAX(0,MIN($F305,DATE(Dashboard!$C$4,11,1))-MAX($E305,DATE(Dashboard!$C$4,10,1))))</f>
        <v/>
      </c>
      <c r="AC305">
        <f>IF(OR($E305="",$F305=""),0,MAX(0,MIN($F305,DATE(Dashboard!$C$4,12,1))-MAX($E305,DATE(Dashboard!$C$4,11,1))))</f>
        <v/>
      </c>
      <c r="AD305">
        <f>IF(OR($E305="",$F305=""),0,MAX(0,MIN($F305,DATE(Dashboard!$C$4,13,1))-MAX($E305,DATE(Dashboard!$C$4,12,1))))</f>
        <v/>
      </c>
      <c r="AE305">
        <f>SUM(S305:AD305)</f>
        <v/>
      </c>
      <c r="AF305">
        <f>Q305*AE305</f>
        <v/>
      </c>
      <c r="AG305">
        <f>R305*AE305</f>
        <v/>
      </c>
      <c r="AH305">
        <f>SUMPRODUCT(S305:AD305,--(COLUMN(S305:AD305)-COLUMN(S305)+1&lt;=Dashboard!$N$1))</f>
        <v/>
      </c>
      <c r="AI305">
        <f>IF(OR(E305="",E305&lt;TODAY()),"",E305+ROW()/100000)</f>
        <v/>
      </c>
      <c r="AJ305">
        <f>IF(OR(F305="",F305&lt;TODAY()),"",F305+ROW()/100000)</f>
        <v/>
      </c>
    </row>
    <row r="306">
      <c r="A306" s="1" t="n"/>
      <c r="B306" s="35" t="n"/>
      <c r="C306" s="35" t="n"/>
      <c r="D306" s="35" t="n"/>
      <c r="E306" s="36" t="n"/>
      <c r="F306" s="36" t="n"/>
      <c r="G306" s="18">
        <f>IF(OR(E306="",F306=""),"",F306-E306)</f>
        <v/>
      </c>
      <c r="H306" s="37" t="n"/>
      <c r="I306" s="38" t="n"/>
      <c r="J306" s="38" t="n"/>
      <c r="K306" s="38" t="n"/>
      <c r="L306" s="31">
        <f>IF(E306="","",N(I306)+N(J306)-N(K306))</f>
        <v/>
      </c>
      <c r="M306" s="39" t="n"/>
      <c r="N306" s="27">
        <f>IF(E306="","",IF(TODAY()&lt;E306,"Upcoming",IF(TODAY()&lt;F306,"Staying now",IF(M306="Yes","Checked out","Payout not received"))))</f>
        <v/>
      </c>
      <c r="O306" s="35" t="n"/>
      <c r="P306" s="1" t="n"/>
      <c r="Q306">
        <f>IF(N(G306)&gt;0,L306/G306,0)</f>
        <v/>
      </c>
      <c r="R306">
        <f>IF(N(G306)&gt;0,N(I306)/G306,0)</f>
        <v/>
      </c>
      <c r="S306">
        <f>IF(OR($E306="",$F306=""),0,MAX(0,MIN($F306,DATE(Dashboard!$C$4,2,1))-MAX($E306,DATE(Dashboard!$C$4,1,1))))</f>
        <v/>
      </c>
      <c r="T306">
        <f>IF(OR($E306="",$F306=""),0,MAX(0,MIN($F306,DATE(Dashboard!$C$4,3,1))-MAX($E306,DATE(Dashboard!$C$4,2,1))))</f>
        <v/>
      </c>
      <c r="U306">
        <f>IF(OR($E306="",$F306=""),0,MAX(0,MIN($F306,DATE(Dashboard!$C$4,4,1))-MAX($E306,DATE(Dashboard!$C$4,3,1))))</f>
        <v/>
      </c>
      <c r="V306">
        <f>IF(OR($E306="",$F306=""),0,MAX(0,MIN($F306,DATE(Dashboard!$C$4,5,1))-MAX($E306,DATE(Dashboard!$C$4,4,1))))</f>
        <v/>
      </c>
      <c r="W306">
        <f>IF(OR($E306="",$F306=""),0,MAX(0,MIN($F306,DATE(Dashboard!$C$4,6,1))-MAX($E306,DATE(Dashboard!$C$4,5,1))))</f>
        <v/>
      </c>
      <c r="X306">
        <f>IF(OR($E306="",$F306=""),0,MAX(0,MIN($F306,DATE(Dashboard!$C$4,7,1))-MAX($E306,DATE(Dashboard!$C$4,6,1))))</f>
        <v/>
      </c>
      <c r="Y306">
        <f>IF(OR($E306="",$F306=""),0,MAX(0,MIN($F306,DATE(Dashboard!$C$4,8,1))-MAX($E306,DATE(Dashboard!$C$4,7,1))))</f>
        <v/>
      </c>
      <c r="Z306">
        <f>IF(OR($E306="",$F306=""),0,MAX(0,MIN($F306,DATE(Dashboard!$C$4,9,1))-MAX($E306,DATE(Dashboard!$C$4,8,1))))</f>
        <v/>
      </c>
      <c r="AA306">
        <f>IF(OR($E306="",$F306=""),0,MAX(0,MIN($F306,DATE(Dashboard!$C$4,10,1))-MAX($E306,DATE(Dashboard!$C$4,9,1))))</f>
        <v/>
      </c>
      <c r="AB306">
        <f>IF(OR($E306="",$F306=""),0,MAX(0,MIN($F306,DATE(Dashboard!$C$4,11,1))-MAX($E306,DATE(Dashboard!$C$4,10,1))))</f>
        <v/>
      </c>
      <c r="AC306">
        <f>IF(OR($E306="",$F306=""),0,MAX(0,MIN($F306,DATE(Dashboard!$C$4,12,1))-MAX($E306,DATE(Dashboard!$C$4,11,1))))</f>
        <v/>
      </c>
      <c r="AD306">
        <f>IF(OR($E306="",$F306=""),0,MAX(0,MIN($F306,DATE(Dashboard!$C$4,13,1))-MAX($E306,DATE(Dashboard!$C$4,12,1))))</f>
        <v/>
      </c>
      <c r="AE306">
        <f>SUM(S306:AD306)</f>
        <v/>
      </c>
      <c r="AF306">
        <f>Q306*AE306</f>
        <v/>
      </c>
      <c r="AG306">
        <f>R306*AE306</f>
        <v/>
      </c>
      <c r="AH306">
        <f>SUMPRODUCT(S306:AD306,--(COLUMN(S306:AD306)-COLUMN(S306)+1&lt;=Dashboard!$N$1))</f>
        <v/>
      </c>
      <c r="AI306">
        <f>IF(OR(E306="",E306&lt;TODAY()),"",E306+ROW()/100000)</f>
        <v/>
      </c>
      <c r="AJ306">
        <f>IF(OR(F306="",F306&lt;TODAY()),"",F306+ROW()/100000)</f>
        <v/>
      </c>
    </row>
    <row r="307">
      <c r="A307" s="1" t="n"/>
      <c r="B307" s="35" t="n"/>
      <c r="C307" s="35" t="n"/>
      <c r="D307" s="35" t="n"/>
      <c r="E307" s="36" t="n"/>
      <c r="F307" s="36" t="n"/>
      <c r="G307" s="18">
        <f>IF(OR(E307="",F307=""),"",F307-E307)</f>
        <v/>
      </c>
      <c r="H307" s="37" t="n"/>
      <c r="I307" s="38" t="n"/>
      <c r="J307" s="38" t="n"/>
      <c r="K307" s="38" t="n"/>
      <c r="L307" s="31">
        <f>IF(E307="","",N(I307)+N(J307)-N(K307))</f>
        <v/>
      </c>
      <c r="M307" s="39" t="n"/>
      <c r="N307" s="27">
        <f>IF(E307="","",IF(TODAY()&lt;E307,"Upcoming",IF(TODAY()&lt;F307,"Staying now",IF(M307="Yes","Checked out","Payout not received"))))</f>
        <v/>
      </c>
      <c r="O307" s="35" t="n"/>
      <c r="P307" s="1" t="n"/>
      <c r="Q307">
        <f>IF(N(G307)&gt;0,L307/G307,0)</f>
        <v/>
      </c>
      <c r="R307">
        <f>IF(N(G307)&gt;0,N(I307)/G307,0)</f>
        <v/>
      </c>
      <c r="S307">
        <f>IF(OR($E307="",$F307=""),0,MAX(0,MIN($F307,DATE(Dashboard!$C$4,2,1))-MAX($E307,DATE(Dashboard!$C$4,1,1))))</f>
        <v/>
      </c>
      <c r="T307">
        <f>IF(OR($E307="",$F307=""),0,MAX(0,MIN($F307,DATE(Dashboard!$C$4,3,1))-MAX($E307,DATE(Dashboard!$C$4,2,1))))</f>
        <v/>
      </c>
      <c r="U307">
        <f>IF(OR($E307="",$F307=""),0,MAX(0,MIN($F307,DATE(Dashboard!$C$4,4,1))-MAX($E307,DATE(Dashboard!$C$4,3,1))))</f>
        <v/>
      </c>
      <c r="V307">
        <f>IF(OR($E307="",$F307=""),0,MAX(0,MIN($F307,DATE(Dashboard!$C$4,5,1))-MAX($E307,DATE(Dashboard!$C$4,4,1))))</f>
        <v/>
      </c>
      <c r="W307">
        <f>IF(OR($E307="",$F307=""),0,MAX(0,MIN($F307,DATE(Dashboard!$C$4,6,1))-MAX($E307,DATE(Dashboard!$C$4,5,1))))</f>
        <v/>
      </c>
      <c r="X307">
        <f>IF(OR($E307="",$F307=""),0,MAX(0,MIN($F307,DATE(Dashboard!$C$4,7,1))-MAX($E307,DATE(Dashboard!$C$4,6,1))))</f>
        <v/>
      </c>
      <c r="Y307">
        <f>IF(OR($E307="",$F307=""),0,MAX(0,MIN($F307,DATE(Dashboard!$C$4,8,1))-MAX($E307,DATE(Dashboard!$C$4,7,1))))</f>
        <v/>
      </c>
      <c r="Z307">
        <f>IF(OR($E307="",$F307=""),0,MAX(0,MIN($F307,DATE(Dashboard!$C$4,9,1))-MAX($E307,DATE(Dashboard!$C$4,8,1))))</f>
        <v/>
      </c>
      <c r="AA307">
        <f>IF(OR($E307="",$F307=""),0,MAX(0,MIN($F307,DATE(Dashboard!$C$4,10,1))-MAX($E307,DATE(Dashboard!$C$4,9,1))))</f>
        <v/>
      </c>
      <c r="AB307">
        <f>IF(OR($E307="",$F307=""),0,MAX(0,MIN($F307,DATE(Dashboard!$C$4,11,1))-MAX($E307,DATE(Dashboard!$C$4,10,1))))</f>
        <v/>
      </c>
      <c r="AC307">
        <f>IF(OR($E307="",$F307=""),0,MAX(0,MIN($F307,DATE(Dashboard!$C$4,12,1))-MAX($E307,DATE(Dashboard!$C$4,11,1))))</f>
        <v/>
      </c>
      <c r="AD307">
        <f>IF(OR($E307="",$F307=""),0,MAX(0,MIN($F307,DATE(Dashboard!$C$4,13,1))-MAX($E307,DATE(Dashboard!$C$4,12,1))))</f>
        <v/>
      </c>
      <c r="AE307">
        <f>SUM(S307:AD307)</f>
        <v/>
      </c>
      <c r="AF307">
        <f>Q307*AE307</f>
        <v/>
      </c>
      <c r="AG307">
        <f>R307*AE307</f>
        <v/>
      </c>
      <c r="AH307">
        <f>SUMPRODUCT(S307:AD307,--(COLUMN(S307:AD307)-COLUMN(S307)+1&lt;=Dashboard!$N$1))</f>
        <v/>
      </c>
      <c r="AI307">
        <f>IF(OR(E307="",E307&lt;TODAY()),"",E307+ROW()/100000)</f>
        <v/>
      </c>
      <c r="AJ307">
        <f>IF(OR(F307="",F307&lt;TODAY()),"",F307+ROW()/100000)</f>
        <v/>
      </c>
    </row>
    <row r="308">
      <c r="A308" s="1" t="n"/>
      <c r="B308" s="35" t="n"/>
      <c r="C308" s="35" t="n"/>
      <c r="D308" s="35" t="n"/>
      <c r="E308" s="36" t="n"/>
      <c r="F308" s="36" t="n"/>
      <c r="G308" s="18">
        <f>IF(OR(E308="",F308=""),"",F308-E308)</f>
        <v/>
      </c>
      <c r="H308" s="37" t="n"/>
      <c r="I308" s="38" t="n"/>
      <c r="J308" s="38" t="n"/>
      <c r="K308" s="38" t="n"/>
      <c r="L308" s="31">
        <f>IF(E308="","",N(I308)+N(J308)-N(K308))</f>
        <v/>
      </c>
      <c r="M308" s="39" t="n"/>
      <c r="N308" s="27">
        <f>IF(E308="","",IF(TODAY()&lt;E308,"Upcoming",IF(TODAY()&lt;F308,"Staying now",IF(M308="Yes","Checked out","Payout not received"))))</f>
        <v/>
      </c>
      <c r="O308" s="35" t="n"/>
      <c r="P308" s="1" t="n"/>
      <c r="Q308">
        <f>IF(N(G308)&gt;0,L308/G308,0)</f>
        <v/>
      </c>
      <c r="R308">
        <f>IF(N(G308)&gt;0,N(I308)/G308,0)</f>
        <v/>
      </c>
      <c r="S308">
        <f>IF(OR($E308="",$F308=""),0,MAX(0,MIN($F308,DATE(Dashboard!$C$4,2,1))-MAX($E308,DATE(Dashboard!$C$4,1,1))))</f>
        <v/>
      </c>
      <c r="T308">
        <f>IF(OR($E308="",$F308=""),0,MAX(0,MIN($F308,DATE(Dashboard!$C$4,3,1))-MAX($E308,DATE(Dashboard!$C$4,2,1))))</f>
        <v/>
      </c>
      <c r="U308">
        <f>IF(OR($E308="",$F308=""),0,MAX(0,MIN($F308,DATE(Dashboard!$C$4,4,1))-MAX($E308,DATE(Dashboard!$C$4,3,1))))</f>
        <v/>
      </c>
      <c r="V308">
        <f>IF(OR($E308="",$F308=""),0,MAX(0,MIN($F308,DATE(Dashboard!$C$4,5,1))-MAX($E308,DATE(Dashboard!$C$4,4,1))))</f>
        <v/>
      </c>
      <c r="W308">
        <f>IF(OR($E308="",$F308=""),0,MAX(0,MIN($F308,DATE(Dashboard!$C$4,6,1))-MAX($E308,DATE(Dashboard!$C$4,5,1))))</f>
        <v/>
      </c>
      <c r="X308">
        <f>IF(OR($E308="",$F308=""),0,MAX(0,MIN($F308,DATE(Dashboard!$C$4,7,1))-MAX($E308,DATE(Dashboard!$C$4,6,1))))</f>
        <v/>
      </c>
      <c r="Y308">
        <f>IF(OR($E308="",$F308=""),0,MAX(0,MIN($F308,DATE(Dashboard!$C$4,8,1))-MAX($E308,DATE(Dashboard!$C$4,7,1))))</f>
        <v/>
      </c>
      <c r="Z308">
        <f>IF(OR($E308="",$F308=""),0,MAX(0,MIN($F308,DATE(Dashboard!$C$4,9,1))-MAX($E308,DATE(Dashboard!$C$4,8,1))))</f>
        <v/>
      </c>
      <c r="AA308">
        <f>IF(OR($E308="",$F308=""),0,MAX(0,MIN($F308,DATE(Dashboard!$C$4,10,1))-MAX($E308,DATE(Dashboard!$C$4,9,1))))</f>
        <v/>
      </c>
      <c r="AB308">
        <f>IF(OR($E308="",$F308=""),0,MAX(0,MIN($F308,DATE(Dashboard!$C$4,11,1))-MAX($E308,DATE(Dashboard!$C$4,10,1))))</f>
        <v/>
      </c>
      <c r="AC308">
        <f>IF(OR($E308="",$F308=""),0,MAX(0,MIN($F308,DATE(Dashboard!$C$4,12,1))-MAX($E308,DATE(Dashboard!$C$4,11,1))))</f>
        <v/>
      </c>
      <c r="AD308">
        <f>IF(OR($E308="",$F308=""),0,MAX(0,MIN($F308,DATE(Dashboard!$C$4,13,1))-MAX($E308,DATE(Dashboard!$C$4,12,1))))</f>
        <v/>
      </c>
      <c r="AE308">
        <f>SUM(S308:AD308)</f>
        <v/>
      </c>
      <c r="AF308">
        <f>Q308*AE308</f>
        <v/>
      </c>
      <c r="AG308">
        <f>R308*AE308</f>
        <v/>
      </c>
      <c r="AH308">
        <f>SUMPRODUCT(S308:AD308,--(COLUMN(S308:AD308)-COLUMN(S308)+1&lt;=Dashboard!$N$1))</f>
        <v/>
      </c>
      <c r="AI308">
        <f>IF(OR(E308="",E308&lt;TODAY()),"",E308+ROW()/100000)</f>
        <v/>
      </c>
      <c r="AJ308">
        <f>IF(OR(F308="",F308&lt;TODAY()),"",F308+ROW()/100000)</f>
        <v/>
      </c>
    </row>
    <row r="309">
      <c r="A309" s="1" t="n"/>
      <c r="B309" s="35" t="n"/>
      <c r="C309" s="35" t="n"/>
      <c r="D309" s="35" t="n"/>
      <c r="E309" s="36" t="n"/>
      <c r="F309" s="36" t="n"/>
      <c r="G309" s="18">
        <f>IF(OR(E309="",F309=""),"",F309-E309)</f>
        <v/>
      </c>
      <c r="H309" s="37" t="n"/>
      <c r="I309" s="38" t="n"/>
      <c r="J309" s="38" t="n"/>
      <c r="K309" s="38" t="n"/>
      <c r="L309" s="31">
        <f>IF(E309="","",N(I309)+N(J309)-N(K309))</f>
        <v/>
      </c>
      <c r="M309" s="39" t="n"/>
      <c r="N309" s="27">
        <f>IF(E309="","",IF(TODAY()&lt;E309,"Upcoming",IF(TODAY()&lt;F309,"Staying now",IF(M309="Yes","Checked out","Payout not received"))))</f>
        <v/>
      </c>
      <c r="O309" s="35" t="n"/>
      <c r="P309" s="1" t="n"/>
      <c r="Q309">
        <f>IF(N(G309)&gt;0,L309/G309,0)</f>
        <v/>
      </c>
      <c r="R309">
        <f>IF(N(G309)&gt;0,N(I309)/G309,0)</f>
        <v/>
      </c>
      <c r="S309">
        <f>IF(OR($E309="",$F309=""),0,MAX(0,MIN($F309,DATE(Dashboard!$C$4,2,1))-MAX($E309,DATE(Dashboard!$C$4,1,1))))</f>
        <v/>
      </c>
      <c r="T309">
        <f>IF(OR($E309="",$F309=""),0,MAX(0,MIN($F309,DATE(Dashboard!$C$4,3,1))-MAX($E309,DATE(Dashboard!$C$4,2,1))))</f>
        <v/>
      </c>
      <c r="U309">
        <f>IF(OR($E309="",$F309=""),0,MAX(0,MIN($F309,DATE(Dashboard!$C$4,4,1))-MAX($E309,DATE(Dashboard!$C$4,3,1))))</f>
        <v/>
      </c>
      <c r="V309">
        <f>IF(OR($E309="",$F309=""),0,MAX(0,MIN($F309,DATE(Dashboard!$C$4,5,1))-MAX($E309,DATE(Dashboard!$C$4,4,1))))</f>
        <v/>
      </c>
      <c r="W309">
        <f>IF(OR($E309="",$F309=""),0,MAX(0,MIN($F309,DATE(Dashboard!$C$4,6,1))-MAX($E309,DATE(Dashboard!$C$4,5,1))))</f>
        <v/>
      </c>
      <c r="X309">
        <f>IF(OR($E309="",$F309=""),0,MAX(0,MIN($F309,DATE(Dashboard!$C$4,7,1))-MAX($E309,DATE(Dashboard!$C$4,6,1))))</f>
        <v/>
      </c>
      <c r="Y309">
        <f>IF(OR($E309="",$F309=""),0,MAX(0,MIN($F309,DATE(Dashboard!$C$4,8,1))-MAX($E309,DATE(Dashboard!$C$4,7,1))))</f>
        <v/>
      </c>
      <c r="Z309">
        <f>IF(OR($E309="",$F309=""),0,MAX(0,MIN($F309,DATE(Dashboard!$C$4,9,1))-MAX($E309,DATE(Dashboard!$C$4,8,1))))</f>
        <v/>
      </c>
      <c r="AA309">
        <f>IF(OR($E309="",$F309=""),0,MAX(0,MIN($F309,DATE(Dashboard!$C$4,10,1))-MAX($E309,DATE(Dashboard!$C$4,9,1))))</f>
        <v/>
      </c>
      <c r="AB309">
        <f>IF(OR($E309="",$F309=""),0,MAX(0,MIN($F309,DATE(Dashboard!$C$4,11,1))-MAX($E309,DATE(Dashboard!$C$4,10,1))))</f>
        <v/>
      </c>
      <c r="AC309">
        <f>IF(OR($E309="",$F309=""),0,MAX(0,MIN($F309,DATE(Dashboard!$C$4,12,1))-MAX($E309,DATE(Dashboard!$C$4,11,1))))</f>
        <v/>
      </c>
      <c r="AD309">
        <f>IF(OR($E309="",$F309=""),0,MAX(0,MIN($F309,DATE(Dashboard!$C$4,13,1))-MAX($E309,DATE(Dashboard!$C$4,12,1))))</f>
        <v/>
      </c>
      <c r="AE309">
        <f>SUM(S309:AD309)</f>
        <v/>
      </c>
      <c r="AF309">
        <f>Q309*AE309</f>
        <v/>
      </c>
      <c r="AG309">
        <f>R309*AE309</f>
        <v/>
      </c>
      <c r="AH309">
        <f>SUMPRODUCT(S309:AD309,--(COLUMN(S309:AD309)-COLUMN(S309)+1&lt;=Dashboard!$N$1))</f>
        <v/>
      </c>
      <c r="AI309">
        <f>IF(OR(E309="",E309&lt;TODAY()),"",E309+ROW()/100000)</f>
        <v/>
      </c>
      <c r="AJ309">
        <f>IF(OR(F309="",F309&lt;TODAY()),"",F309+ROW()/100000)</f>
        <v/>
      </c>
    </row>
    <row r="310">
      <c r="A310" s="1" t="n"/>
      <c r="B310" s="35" t="n"/>
      <c r="C310" s="35" t="n"/>
      <c r="D310" s="35" t="n"/>
      <c r="E310" s="36" t="n"/>
      <c r="F310" s="36" t="n"/>
      <c r="G310" s="18">
        <f>IF(OR(E310="",F310=""),"",F310-E310)</f>
        <v/>
      </c>
      <c r="H310" s="37" t="n"/>
      <c r="I310" s="38" t="n"/>
      <c r="J310" s="38" t="n"/>
      <c r="K310" s="38" t="n"/>
      <c r="L310" s="31">
        <f>IF(E310="","",N(I310)+N(J310)-N(K310))</f>
        <v/>
      </c>
      <c r="M310" s="39" t="n"/>
      <c r="N310" s="27">
        <f>IF(E310="","",IF(TODAY()&lt;E310,"Upcoming",IF(TODAY()&lt;F310,"Staying now",IF(M310="Yes","Checked out","Payout not received"))))</f>
        <v/>
      </c>
      <c r="O310" s="35" t="n"/>
      <c r="P310" s="1" t="n"/>
      <c r="Q310">
        <f>IF(N(G310)&gt;0,L310/G310,0)</f>
        <v/>
      </c>
      <c r="R310">
        <f>IF(N(G310)&gt;0,N(I310)/G310,0)</f>
        <v/>
      </c>
      <c r="S310">
        <f>IF(OR($E310="",$F310=""),0,MAX(0,MIN($F310,DATE(Dashboard!$C$4,2,1))-MAX($E310,DATE(Dashboard!$C$4,1,1))))</f>
        <v/>
      </c>
      <c r="T310">
        <f>IF(OR($E310="",$F310=""),0,MAX(0,MIN($F310,DATE(Dashboard!$C$4,3,1))-MAX($E310,DATE(Dashboard!$C$4,2,1))))</f>
        <v/>
      </c>
      <c r="U310">
        <f>IF(OR($E310="",$F310=""),0,MAX(0,MIN($F310,DATE(Dashboard!$C$4,4,1))-MAX($E310,DATE(Dashboard!$C$4,3,1))))</f>
        <v/>
      </c>
      <c r="V310">
        <f>IF(OR($E310="",$F310=""),0,MAX(0,MIN($F310,DATE(Dashboard!$C$4,5,1))-MAX($E310,DATE(Dashboard!$C$4,4,1))))</f>
        <v/>
      </c>
      <c r="W310">
        <f>IF(OR($E310="",$F310=""),0,MAX(0,MIN($F310,DATE(Dashboard!$C$4,6,1))-MAX($E310,DATE(Dashboard!$C$4,5,1))))</f>
        <v/>
      </c>
      <c r="X310">
        <f>IF(OR($E310="",$F310=""),0,MAX(0,MIN($F310,DATE(Dashboard!$C$4,7,1))-MAX($E310,DATE(Dashboard!$C$4,6,1))))</f>
        <v/>
      </c>
      <c r="Y310">
        <f>IF(OR($E310="",$F310=""),0,MAX(0,MIN($F310,DATE(Dashboard!$C$4,8,1))-MAX($E310,DATE(Dashboard!$C$4,7,1))))</f>
        <v/>
      </c>
      <c r="Z310">
        <f>IF(OR($E310="",$F310=""),0,MAX(0,MIN($F310,DATE(Dashboard!$C$4,9,1))-MAX($E310,DATE(Dashboard!$C$4,8,1))))</f>
        <v/>
      </c>
      <c r="AA310">
        <f>IF(OR($E310="",$F310=""),0,MAX(0,MIN($F310,DATE(Dashboard!$C$4,10,1))-MAX($E310,DATE(Dashboard!$C$4,9,1))))</f>
        <v/>
      </c>
      <c r="AB310">
        <f>IF(OR($E310="",$F310=""),0,MAX(0,MIN($F310,DATE(Dashboard!$C$4,11,1))-MAX($E310,DATE(Dashboard!$C$4,10,1))))</f>
        <v/>
      </c>
      <c r="AC310">
        <f>IF(OR($E310="",$F310=""),0,MAX(0,MIN($F310,DATE(Dashboard!$C$4,12,1))-MAX($E310,DATE(Dashboard!$C$4,11,1))))</f>
        <v/>
      </c>
      <c r="AD310">
        <f>IF(OR($E310="",$F310=""),0,MAX(0,MIN($F310,DATE(Dashboard!$C$4,13,1))-MAX($E310,DATE(Dashboard!$C$4,12,1))))</f>
        <v/>
      </c>
      <c r="AE310">
        <f>SUM(S310:AD310)</f>
        <v/>
      </c>
      <c r="AF310">
        <f>Q310*AE310</f>
        <v/>
      </c>
      <c r="AG310">
        <f>R310*AE310</f>
        <v/>
      </c>
      <c r="AH310">
        <f>SUMPRODUCT(S310:AD310,--(COLUMN(S310:AD310)-COLUMN(S310)+1&lt;=Dashboard!$N$1))</f>
        <v/>
      </c>
      <c r="AI310">
        <f>IF(OR(E310="",E310&lt;TODAY()),"",E310+ROW()/100000)</f>
        <v/>
      </c>
      <c r="AJ310">
        <f>IF(OR(F310="",F310&lt;TODAY()),"",F310+ROW()/100000)</f>
        <v/>
      </c>
    </row>
    <row r="311">
      <c r="A311" s="1" t="n"/>
      <c r="B311" s="35" t="n"/>
      <c r="C311" s="35" t="n"/>
      <c r="D311" s="35" t="n"/>
      <c r="E311" s="36" t="n"/>
      <c r="F311" s="36" t="n"/>
      <c r="G311" s="18">
        <f>IF(OR(E311="",F311=""),"",F311-E311)</f>
        <v/>
      </c>
      <c r="H311" s="37" t="n"/>
      <c r="I311" s="38" t="n"/>
      <c r="J311" s="38" t="n"/>
      <c r="K311" s="38" t="n"/>
      <c r="L311" s="31">
        <f>IF(E311="","",N(I311)+N(J311)-N(K311))</f>
        <v/>
      </c>
      <c r="M311" s="39" t="n"/>
      <c r="N311" s="27">
        <f>IF(E311="","",IF(TODAY()&lt;E311,"Upcoming",IF(TODAY()&lt;F311,"Staying now",IF(M311="Yes","Checked out","Payout not received"))))</f>
        <v/>
      </c>
      <c r="O311" s="35" t="n"/>
      <c r="P311" s="1" t="n"/>
      <c r="Q311">
        <f>IF(N(G311)&gt;0,L311/G311,0)</f>
        <v/>
      </c>
      <c r="R311">
        <f>IF(N(G311)&gt;0,N(I311)/G311,0)</f>
        <v/>
      </c>
      <c r="S311">
        <f>IF(OR($E311="",$F311=""),0,MAX(0,MIN($F311,DATE(Dashboard!$C$4,2,1))-MAX($E311,DATE(Dashboard!$C$4,1,1))))</f>
        <v/>
      </c>
      <c r="T311">
        <f>IF(OR($E311="",$F311=""),0,MAX(0,MIN($F311,DATE(Dashboard!$C$4,3,1))-MAX($E311,DATE(Dashboard!$C$4,2,1))))</f>
        <v/>
      </c>
      <c r="U311">
        <f>IF(OR($E311="",$F311=""),0,MAX(0,MIN($F311,DATE(Dashboard!$C$4,4,1))-MAX($E311,DATE(Dashboard!$C$4,3,1))))</f>
        <v/>
      </c>
      <c r="V311">
        <f>IF(OR($E311="",$F311=""),0,MAX(0,MIN($F311,DATE(Dashboard!$C$4,5,1))-MAX($E311,DATE(Dashboard!$C$4,4,1))))</f>
        <v/>
      </c>
      <c r="W311">
        <f>IF(OR($E311="",$F311=""),0,MAX(0,MIN($F311,DATE(Dashboard!$C$4,6,1))-MAX($E311,DATE(Dashboard!$C$4,5,1))))</f>
        <v/>
      </c>
      <c r="X311">
        <f>IF(OR($E311="",$F311=""),0,MAX(0,MIN($F311,DATE(Dashboard!$C$4,7,1))-MAX($E311,DATE(Dashboard!$C$4,6,1))))</f>
        <v/>
      </c>
      <c r="Y311">
        <f>IF(OR($E311="",$F311=""),0,MAX(0,MIN($F311,DATE(Dashboard!$C$4,8,1))-MAX($E311,DATE(Dashboard!$C$4,7,1))))</f>
        <v/>
      </c>
      <c r="Z311">
        <f>IF(OR($E311="",$F311=""),0,MAX(0,MIN($F311,DATE(Dashboard!$C$4,9,1))-MAX($E311,DATE(Dashboard!$C$4,8,1))))</f>
        <v/>
      </c>
      <c r="AA311">
        <f>IF(OR($E311="",$F311=""),0,MAX(0,MIN($F311,DATE(Dashboard!$C$4,10,1))-MAX($E311,DATE(Dashboard!$C$4,9,1))))</f>
        <v/>
      </c>
      <c r="AB311">
        <f>IF(OR($E311="",$F311=""),0,MAX(0,MIN($F311,DATE(Dashboard!$C$4,11,1))-MAX($E311,DATE(Dashboard!$C$4,10,1))))</f>
        <v/>
      </c>
      <c r="AC311">
        <f>IF(OR($E311="",$F311=""),0,MAX(0,MIN($F311,DATE(Dashboard!$C$4,12,1))-MAX($E311,DATE(Dashboard!$C$4,11,1))))</f>
        <v/>
      </c>
      <c r="AD311">
        <f>IF(OR($E311="",$F311=""),0,MAX(0,MIN($F311,DATE(Dashboard!$C$4,13,1))-MAX($E311,DATE(Dashboard!$C$4,12,1))))</f>
        <v/>
      </c>
      <c r="AE311">
        <f>SUM(S311:AD311)</f>
        <v/>
      </c>
      <c r="AF311">
        <f>Q311*AE311</f>
        <v/>
      </c>
      <c r="AG311">
        <f>R311*AE311</f>
        <v/>
      </c>
      <c r="AH311">
        <f>SUMPRODUCT(S311:AD311,--(COLUMN(S311:AD311)-COLUMN(S311)+1&lt;=Dashboard!$N$1))</f>
        <v/>
      </c>
      <c r="AI311">
        <f>IF(OR(E311="",E311&lt;TODAY()),"",E311+ROW()/100000)</f>
        <v/>
      </c>
      <c r="AJ311">
        <f>IF(OR(F311="",F311&lt;TODAY()),"",F311+ROW()/100000)</f>
        <v/>
      </c>
    </row>
    <row r="312">
      <c r="A312" s="1" t="n"/>
      <c r="B312" s="35" t="n"/>
      <c r="C312" s="35" t="n"/>
      <c r="D312" s="35" t="n"/>
      <c r="E312" s="36" t="n"/>
      <c r="F312" s="36" t="n"/>
      <c r="G312" s="18">
        <f>IF(OR(E312="",F312=""),"",F312-E312)</f>
        <v/>
      </c>
      <c r="H312" s="37" t="n"/>
      <c r="I312" s="38" t="n"/>
      <c r="J312" s="38" t="n"/>
      <c r="K312" s="38" t="n"/>
      <c r="L312" s="31">
        <f>IF(E312="","",N(I312)+N(J312)-N(K312))</f>
        <v/>
      </c>
      <c r="M312" s="39" t="n"/>
      <c r="N312" s="27">
        <f>IF(E312="","",IF(TODAY()&lt;E312,"Upcoming",IF(TODAY()&lt;F312,"Staying now",IF(M312="Yes","Checked out","Payout not received"))))</f>
        <v/>
      </c>
      <c r="O312" s="35" t="n"/>
      <c r="P312" s="1" t="n"/>
      <c r="Q312">
        <f>IF(N(G312)&gt;0,L312/G312,0)</f>
        <v/>
      </c>
      <c r="R312">
        <f>IF(N(G312)&gt;0,N(I312)/G312,0)</f>
        <v/>
      </c>
      <c r="S312">
        <f>IF(OR($E312="",$F312=""),0,MAX(0,MIN($F312,DATE(Dashboard!$C$4,2,1))-MAX($E312,DATE(Dashboard!$C$4,1,1))))</f>
        <v/>
      </c>
      <c r="T312">
        <f>IF(OR($E312="",$F312=""),0,MAX(0,MIN($F312,DATE(Dashboard!$C$4,3,1))-MAX($E312,DATE(Dashboard!$C$4,2,1))))</f>
        <v/>
      </c>
      <c r="U312">
        <f>IF(OR($E312="",$F312=""),0,MAX(0,MIN($F312,DATE(Dashboard!$C$4,4,1))-MAX($E312,DATE(Dashboard!$C$4,3,1))))</f>
        <v/>
      </c>
      <c r="V312">
        <f>IF(OR($E312="",$F312=""),0,MAX(0,MIN($F312,DATE(Dashboard!$C$4,5,1))-MAX($E312,DATE(Dashboard!$C$4,4,1))))</f>
        <v/>
      </c>
      <c r="W312">
        <f>IF(OR($E312="",$F312=""),0,MAX(0,MIN($F312,DATE(Dashboard!$C$4,6,1))-MAX($E312,DATE(Dashboard!$C$4,5,1))))</f>
        <v/>
      </c>
      <c r="X312">
        <f>IF(OR($E312="",$F312=""),0,MAX(0,MIN($F312,DATE(Dashboard!$C$4,7,1))-MAX($E312,DATE(Dashboard!$C$4,6,1))))</f>
        <v/>
      </c>
      <c r="Y312">
        <f>IF(OR($E312="",$F312=""),0,MAX(0,MIN($F312,DATE(Dashboard!$C$4,8,1))-MAX($E312,DATE(Dashboard!$C$4,7,1))))</f>
        <v/>
      </c>
      <c r="Z312">
        <f>IF(OR($E312="",$F312=""),0,MAX(0,MIN($F312,DATE(Dashboard!$C$4,9,1))-MAX($E312,DATE(Dashboard!$C$4,8,1))))</f>
        <v/>
      </c>
      <c r="AA312">
        <f>IF(OR($E312="",$F312=""),0,MAX(0,MIN($F312,DATE(Dashboard!$C$4,10,1))-MAX($E312,DATE(Dashboard!$C$4,9,1))))</f>
        <v/>
      </c>
      <c r="AB312">
        <f>IF(OR($E312="",$F312=""),0,MAX(0,MIN($F312,DATE(Dashboard!$C$4,11,1))-MAX($E312,DATE(Dashboard!$C$4,10,1))))</f>
        <v/>
      </c>
      <c r="AC312">
        <f>IF(OR($E312="",$F312=""),0,MAX(0,MIN($F312,DATE(Dashboard!$C$4,12,1))-MAX($E312,DATE(Dashboard!$C$4,11,1))))</f>
        <v/>
      </c>
      <c r="AD312">
        <f>IF(OR($E312="",$F312=""),0,MAX(0,MIN($F312,DATE(Dashboard!$C$4,13,1))-MAX($E312,DATE(Dashboard!$C$4,12,1))))</f>
        <v/>
      </c>
      <c r="AE312">
        <f>SUM(S312:AD312)</f>
        <v/>
      </c>
      <c r="AF312">
        <f>Q312*AE312</f>
        <v/>
      </c>
      <c r="AG312">
        <f>R312*AE312</f>
        <v/>
      </c>
      <c r="AH312">
        <f>SUMPRODUCT(S312:AD312,--(COLUMN(S312:AD312)-COLUMN(S312)+1&lt;=Dashboard!$N$1))</f>
        <v/>
      </c>
      <c r="AI312">
        <f>IF(OR(E312="",E312&lt;TODAY()),"",E312+ROW()/100000)</f>
        <v/>
      </c>
      <c r="AJ312">
        <f>IF(OR(F312="",F312&lt;TODAY()),"",F312+ROW()/100000)</f>
        <v/>
      </c>
    </row>
    <row r="313">
      <c r="A313" s="1" t="n"/>
      <c r="B313" s="35" t="n"/>
      <c r="C313" s="35" t="n"/>
      <c r="D313" s="35" t="n"/>
      <c r="E313" s="36" t="n"/>
      <c r="F313" s="36" t="n"/>
      <c r="G313" s="18">
        <f>IF(OR(E313="",F313=""),"",F313-E313)</f>
        <v/>
      </c>
      <c r="H313" s="37" t="n"/>
      <c r="I313" s="38" t="n"/>
      <c r="J313" s="38" t="n"/>
      <c r="K313" s="38" t="n"/>
      <c r="L313" s="31">
        <f>IF(E313="","",N(I313)+N(J313)-N(K313))</f>
        <v/>
      </c>
      <c r="M313" s="39" t="n"/>
      <c r="N313" s="27">
        <f>IF(E313="","",IF(TODAY()&lt;E313,"Upcoming",IF(TODAY()&lt;F313,"Staying now",IF(M313="Yes","Checked out","Payout not received"))))</f>
        <v/>
      </c>
      <c r="O313" s="35" t="n"/>
      <c r="P313" s="1" t="n"/>
      <c r="Q313">
        <f>IF(N(G313)&gt;0,L313/G313,0)</f>
        <v/>
      </c>
      <c r="R313">
        <f>IF(N(G313)&gt;0,N(I313)/G313,0)</f>
        <v/>
      </c>
      <c r="S313">
        <f>IF(OR($E313="",$F313=""),0,MAX(0,MIN($F313,DATE(Dashboard!$C$4,2,1))-MAX($E313,DATE(Dashboard!$C$4,1,1))))</f>
        <v/>
      </c>
      <c r="T313">
        <f>IF(OR($E313="",$F313=""),0,MAX(0,MIN($F313,DATE(Dashboard!$C$4,3,1))-MAX($E313,DATE(Dashboard!$C$4,2,1))))</f>
        <v/>
      </c>
      <c r="U313">
        <f>IF(OR($E313="",$F313=""),0,MAX(0,MIN($F313,DATE(Dashboard!$C$4,4,1))-MAX($E313,DATE(Dashboard!$C$4,3,1))))</f>
        <v/>
      </c>
      <c r="V313">
        <f>IF(OR($E313="",$F313=""),0,MAX(0,MIN($F313,DATE(Dashboard!$C$4,5,1))-MAX($E313,DATE(Dashboard!$C$4,4,1))))</f>
        <v/>
      </c>
      <c r="W313">
        <f>IF(OR($E313="",$F313=""),0,MAX(0,MIN($F313,DATE(Dashboard!$C$4,6,1))-MAX($E313,DATE(Dashboard!$C$4,5,1))))</f>
        <v/>
      </c>
      <c r="X313">
        <f>IF(OR($E313="",$F313=""),0,MAX(0,MIN($F313,DATE(Dashboard!$C$4,7,1))-MAX($E313,DATE(Dashboard!$C$4,6,1))))</f>
        <v/>
      </c>
      <c r="Y313">
        <f>IF(OR($E313="",$F313=""),0,MAX(0,MIN($F313,DATE(Dashboard!$C$4,8,1))-MAX($E313,DATE(Dashboard!$C$4,7,1))))</f>
        <v/>
      </c>
      <c r="Z313">
        <f>IF(OR($E313="",$F313=""),0,MAX(0,MIN($F313,DATE(Dashboard!$C$4,9,1))-MAX($E313,DATE(Dashboard!$C$4,8,1))))</f>
        <v/>
      </c>
      <c r="AA313">
        <f>IF(OR($E313="",$F313=""),0,MAX(0,MIN($F313,DATE(Dashboard!$C$4,10,1))-MAX($E313,DATE(Dashboard!$C$4,9,1))))</f>
        <v/>
      </c>
      <c r="AB313">
        <f>IF(OR($E313="",$F313=""),0,MAX(0,MIN($F313,DATE(Dashboard!$C$4,11,1))-MAX($E313,DATE(Dashboard!$C$4,10,1))))</f>
        <v/>
      </c>
      <c r="AC313">
        <f>IF(OR($E313="",$F313=""),0,MAX(0,MIN($F313,DATE(Dashboard!$C$4,12,1))-MAX($E313,DATE(Dashboard!$C$4,11,1))))</f>
        <v/>
      </c>
      <c r="AD313">
        <f>IF(OR($E313="",$F313=""),0,MAX(0,MIN($F313,DATE(Dashboard!$C$4,13,1))-MAX($E313,DATE(Dashboard!$C$4,12,1))))</f>
        <v/>
      </c>
      <c r="AE313">
        <f>SUM(S313:AD313)</f>
        <v/>
      </c>
      <c r="AF313">
        <f>Q313*AE313</f>
        <v/>
      </c>
      <c r="AG313">
        <f>R313*AE313</f>
        <v/>
      </c>
      <c r="AH313">
        <f>SUMPRODUCT(S313:AD313,--(COLUMN(S313:AD313)-COLUMN(S313)+1&lt;=Dashboard!$N$1))</f>
        <v/>
      </c>
      <c r="AI313">
        <f>IF(OR(E313="",E313&lt;TODAY()),"",E313+ROW()/100000)</f>
        <v/>
      </c>
      <c r="AJ313">
        <f>IF(OR(F313="",F313&lt;TODAY()),"",F313+ROW()/100000)</f>
        <v/>
      </c>
    </row>
    <row r="314">
      <c r="A314" s="1" t="n"/>
      <c r="B314" s="35" t="n"/>
      <c r="C314" s="35" t="n"/>
      <c r="D314" s="35" t="n"/>
      <c r="E314" s="36" t="n"/>
      <c r="F314" s="36" t="n"/>
      <c r="G314" s="18">
        <f>IF(OR(E314="",F314=""),"",F314-E314)</f>
        <v/>
      </c>
      <c r="H314" s="37" t="n"/>
      <c r="I314" s="38" t="n"/>
      <c r="J314" s="38" t="n"/>
      <c r="K314" s="38" t="n"/>
      <c r="L314" s="31">
        <f>IF(E314="","",N(I314)+N(J314)-N(K314))</f>
        <v/>
      </c>
      <c r="M314" s="39" t="n"/>
      <c r="N314" s="27">
        <f>IF(E314="","",IF(TODAY()&lt;E314,"Upcoming",IF(TODAY()&lt;F314,"Staying now",IF(M314="Yes","Checked out","Payout not received"))))</f>
        <v/>
      </c>
      <c r="O314" s="35" t="n"/>
      <c r="P314" s="1" t="n"/>
      <c r="Q314">
        <f>IF(N(G314)&gt;0,L314/G314,0)</f>
        <v/>
      </c>
      <c r="R314">
        <f>IF(N(G314)&gt;0,N(I314)/G314,0)</f>
        <v/>
      </c>
      <c r="S314">
        <f>IF(OR($E314="",$F314=""),0,MAX(0,MIN($F314,DATE(Dashboard!$C$4,2,1))-MAX($E314,DATE(Dashboard!$C$4,1,1))))</f>
        <v/>
      </c>
      <c r="T314">
        <f>IF(OR($E314="",$F314=""),0,MAX(0,MIN($F314,DATE(Dashboard!$C$4,3,1))-MAX($E314,DATE(Dashboard!$C$4,2,1))))</f>
        <v/>
      </c>
      <c r="U314">
        <f>IF(OR($E314="",$F314=""),0,MAX(0,MIN($F314,DATE(Dashboard!$C$4,4,1))-MAX($E314,DATE(Dashboard!$C$4,3,1))))</f>
        <v/>
      </c>
      <c r="V314">
        <f>IF(OR($E314="",$F314=""),0,MAX(0,MIN($F314,DATE(Dashboard!$C$4,5,1))-MAX($E314,DATE(Dashboard!$C$4,4,1))))</f>
        <v/>
      </c>
      <c r="W314">
        <f>IF(OR($E314="",$F314=""),0,MAX(0,MIN($F314,DATE(Dashboard!$C$4,6,1))-MAX($E314,DATE(Dashboard!$C$4,5,1))))</f>
        <v/>
      </c>
      <c r="X314">
        <f>IF(OR($E314="",$F314=""),0,MAX(0,MIN($F314,DATE(Dashboard!$C$4,7,1))-MAX($E314,DATE(Dashboard!$C$4,6,1))))</f>
        <v/>
      </c>
      <c r="Y314">
        <f>IF(OR($E314="",$F314=""),0,MAX(0,MIN($F314,DATE(Dashboard!$C$4,8,1))-MAX($E314,DATE(Dashboard!$C$4,7,1))))</f>
        <v/>
      </c>
      <c r="Z314">
        <f>IF(OR($E314="",$F314=""),0,MAX(0,MIN($F314,DATE(Dashboard!$C$4,9,1))-MAX($E314,DATE(Dashboard!$C$4,8,1))))</f>
        <v/>
      </c>
      <c r="AA314">
        <f>IF(OR($E314="",$F314=""),0,MAX(0,MIN($F314,DATE(Dashboard!$C$4,10,1))-MAX($E314,DATE(Dashboard!$C$4,9,1))))</f>
        <v/>
      </c>
      <c r="AB314">
        <f>IF(OR($E314="",$F314=""),0,MAX(0,MIN($F314,DATE(Dashboard!$C$4,11,1))-MAX($E314,DATE(Dashboard!$C$4,10,1))))</f>
        <v/>
      </c>
      <c r="AC314">
        <f>IF(OR($E314="",$F314=""),0,MAX(0,MIN($F314,DATE(Dashboard!$C$4,12,1))-MAX($E314,DATE(Dashboard!$C$4,11,1))))</f>
        <v/>
      </c>
      <c r="AD314">
        <f>IF(OR($E314="",$F314=""),0,MAX(0,MIN($F314,DATE(Dashboard!$C$4,13,1))-MAX($E314,DATE(Dashboard!$C$4,12,1))))</f>
        <v/>
      </c>
      <c r="AE314">
        <f>SUM(S314:AD314)</f>
        <v/>
      </c>
      <c r="AF314">
        <f>Q314*AE314</f>
        <v/>
      </c>
      <c r="AG314">
        <f>R314*AE314</f>
        <v/>
      </c>
      <c r="AH314">
        <f>SUMPRODUCT(S314:AD314,--(COLUMN(S314:AD314)-COLUMN(S314)+1&lt;=Dashboard!$N$1))</f>
        <v/>
      </c>
      <c r="AI314">
        <f>IF(OR(E314="",E314&lt;TODAY()),"",E314+ROW()/100000)</f>
        <v/>
      </c>
      <c r="AJ314">
        <f>IF(OR(F314="",F314&lt;TODAY()),"",F314+ROW()/100000)</f>
        <v/>
      </c>
    </row>
    <row r="315">
      <c r="A315" s="1" t="n"/>
      <c r="B315" s="35" t="n"/>
      <c r="C315" s="35" t="n"/>
      <c r="D315" s="35" t="n"/>
      <c r="E315" s="36" t="n"/>
      <c r="F315" s="36" t="n"/>
      <c r="G315" s="18">
        <f>IF(OR(E315="",F315=""),"",F315-E315)</f>
        <v/>
      </c>
      <c r="H315" s="37" t="n"/>
      <c r="I315" s="38" t="n"/>
      <c r="J315" s="38" t="n"/>
      <c r="K315" s="38" t="n"/>
      <c r="L315" s="31">
        <f>IF(E315="","",N(I315)+N(J315)-N(K315))</f>
        <v/>
      </c>
      <c r="M315" s="39" t="n"/>
      <c r="N315" s="27">
        <f>IF(E315="","",IF(TODAY()&lt;E315,"Upcoming",IF(TODAY()&lt;F315,"Staying now",IF(M315="Yes","Checked out","Payout not received"))))</f>
        <v/>
      </c>
      <c r="O315" s="35" t="n"/>
      <c r="P315" s="1" t="n"/>
      <c r="Q315">
        <f>IF(N(G315)&gt;0,L315/G315,0)</f>
        <v/>
      </c>
      <c r="R315">
        <f>IF(N(G315)&gt;0,N(I315)/G315,0)</f>
        <v/>
      </c>
      <c r="S315">
        <f>IF(OR($E315="",$F315=""),0,MAX(0,MIN($F315,DATE(Dashboard!$C$4,2,1))-MAX($E315,DATE(Dashboard!$C$4,1,1))))</f>
        <v/>
      </c>
      <c r="T315">
        <f>IF(OR($E315="",$F315=""),0,MAX(0,MIN($F315,DATE(Dashboard!$C$4,3,1))-MAX($E315,DATE(Dashboard!$C$4,2,1))))</f>
        <v/>
      </c>
      <c r="U315">
        <f>IF(OR($E315="",$F315=""),0,MAX(0,MIN($F315,DATE(Dashboard!$C$4,4,1))-MAX($E315,DATE(Dashboard!$C$4,3,1))))</f>
        <v/>
      </c>
      <c r="V315">
        <f>IF(OR($E315="",$F315=""),0,MAX(0,MIN($F315,DATE(Dashboard!$C$4,5,1))-MAX($E315,DATE(Dashboard!$C$4,4,1))))</f>
        <v/>
      </c>
      <c r="W315">
        <f>IF(OR($E315="",$F315=""),0,MAX(0,MIN($F315,DATE(Dashboard!$C$4,6,1))-MAX($E315,DATE(Dashboard!$C$4,5,1))))</f>
        <v/>
      </c>
      <c r="X315">
        <f>IF(OR($E315="",$F315=""),0,MAX(0,MIN($F315,DATE(Dashboard!$C$4,7,1))-MAX($E315,DATE(Dashboard!$C$4,6,1))))</f>
        <v/>
      </c>
      <c r="Y315">
        <f>IF(OR($E315="",$F315=""),0,MAX(0,MIN($F315,DATE(Dashboard!$C$4,8,1))-MAX($E315,DATE(Dashboard!$C$4,7,1))))</f>
        <v/>
      </c>
      <c r="Z315">
        <f>IF(OR($E315="",$F315=""),0,MAX(0,MIN($F315,DATE(Dashboard!$C$4,9,1))-MAX($E315,DATE(Dashboard!$C$4,8,1))))</f>
        <v/>
      </c>
      <c r="AA315">
        <f>IF(OR($E315="",$F315=""),0,MAX(0,MIN($F315,DATE(Dashboard!$C$4,10,1))-MAX($E315,DATE(Dashboard!$C$4,9,1))))</f>
        <v/>
      </c>
      <c r="AB315">
        <f>IF(OR($E315="",$F315=""),0,MAX(0,MIN($F315,DATE(Dashboard!$C$4,11,1))-MAX($E315,DATE(Dashboard!$C$4,10,1))))</f>
        <v/>
      </c>
      <c r="AC315">
        <f>IF(OR($E315="",$F315=""),0,MAX(0,MIN($F315,DATE(Dashboard!$C$4,12,1))-MAX($E315,DATE(Dashboard!$C$4,11,1))))</f>
        <v/>
      </c>
      <c r="AD315">
        <f>IF(OR($E315="",$F315=""),0,MAX(0,MIN($F315,DATE(Dashboard!$C$4,13,1))-MAX($E315,DATE(Dashboard!$C$4,12,1))))</f>
        <v/>
      </c>
      <c r="AE315">
        <f>SUM(S315:AD315)</f>
        <v/>
      </c>
      <c r="AF315">
        <f>Q315*AE315</f>
        <v/>
      </c>
      <c r="AG315">
        <f>R315*AE315</f>
        <v/>
      </c>
      <c r="AH315">
        <f>SUMPRODUCT(S315:AD315,--(COLUMN(S315:AD315)-COLUMN(S315)+1&lt;=Dashboard!$N$1))</f>
        <v/>
      </c>
      <c r="AI315">
        <f>IF(OR(E315="",E315&lt;TODAY()),"",E315+ROW()/100000)</f>
        <v/>
      </c>
      <c r="AJ315">
        <f>IF(OR(F315="",F315&lt;TODAY()),"",F315+ROW()/100000)</f>
        <v/>
      </c>
    </row>
    <row r="316">
      <c r="A316" s="1" t="n"/>
      <c r="B316" s="35" t="n"/>
      <c r="C316" s="35" t="n"/>
      <c r="D316" s="35" t="n"/>
      <c r="E316" s="36" t="n"/>
      <c r="F316" s="36" t="n"/>
      <c r="G316" s="18">
        <f>IF(OR(E316="",F316=""),"",F316-E316)</f>
        <v/>
      </c>
      <c r="H316" s="37" t="n"/>
      <c r="I316" s="38" t="n"/>
      <c r="J316" s="38" t="n"/>
      <c r="K316" s="38" t="n"/>
      <c r="L316" s="31">
        <f>IF(E316="","",N(I316)+N(J316)-N(K316))</f>
        <v/>
      </c>
      <c r="M316" s="39" t="n"/>
      <c r="N316" s="27">
        <f>IF(E316="","",IF(TODAY()&lt;E316,"Upcoming",IF(TODAY()&lt;F316,"Staying now",IF(M316="Yes","Checked out","Payout not received"))))</f>
        <v/>
      </c>
      <c r="O316" s="35" t="n"/>
      <c r="P316" s="1" t="n"/>
      <c r="Q316">
        <f>IF(N(G316)&gt;0,L316/G316,0)</f>
        <v/>
      </c>
      <c r="R316">
        <f>IF(N(G316)&gt;0,N(I316)/G316,0)</f>
        <v/>
      </c>
      <c r="S316">
        <f>IF(OR($E316="",$F316=""),0,MAX(0,MIN($F316,DATE(Dashboard!$C$4,2,1))-MAX($E316,DATE(Dashboard!$C$4,1,1))))</f>
        <v/>
      </c>
      <c r="T316">
        <f>IF(OR($E316="",$F316=""),0,MAX(0,MIN($F316,DATE(Dashboard!$C$4,3,1))-MAX($E316,DATE(Dashboard!$C$4,2,1))))</f>
        <v/>
      </c>
      <c r="U316">
        <f>IF(OR($E316="",$F316=""),0,MAX(0,MIN($F316,DATE(Dashboard!$C$4,4,1))-MAX($E316,DATE(Dashboard!$C$4,3,1))))</f>
        <v/>
      </c>
      <c r="V316">
        <f>IF(OR($E316="",$F316=""),0,MAX(0,MIN($F316,DATE(Dashboard!$C$4,5,1))-MAX($E316,DATE(Dashboard!$C$4,4,1))))</f>
        <v/>
      </c>
      <c r="W316">
        <f>IF(OR($E316="",$F316=""),0,MAX(0,MIN($F316,DATE(Dashboard!$C$4,6,1))-MAX($E316,DATE(Dashboard!$C$4,5,1))))</f>
        <v/>
      </c>
      <c r="X316">
        <f>IF(OR($E316="",$F316=""),0,MAX(0,MIN($F316,DATE(Dashboard!$C$4,7,1))-MAX($E316,DATE(Dashboard!$C$4,6,1))))</f>
        <v/>
      </c>
      <c r="Y316">
        <f>IF(OR($E316="",$F316=""),0,MAX(0,MIN($F316,DATE(Dashboard!$C$4,8,1))-MAX($E316,DATE(Dashboard!$C$4,7,1))))</f>
        <v/>
      </c>
      <c r="Z316">
        <f>IF(OR($E316="",$F316=""),0,MAX(0,MIN($F316,DATE(Dashboard!$C$4,9,1))-MAX($E316,DATE(Dashboard!$C$4,8,1))))</f>
        <v/>
      </c>
      <c r="AA316">
        <f>IF(OR($E316="",$F316=""),0,MAX(0,MIN($F316,DATE(Dashboard!$C$4,10,1))-MAX($E316,DATE(Dashboard!$C$4,9,1))))</f>
        <v/>
      </c>
      <c r="AB316">
        <f>IF(OR($E316="",$F316=""),0,MAX(0,MIN($F316,DATE(Dashboard!$C$4,11,1))-MAX($E316,DATE(Dashboard!$C$4,10,1))))</f>
        <v/>
      </c>
      <c r="AC316">
        <f>IF(OR($E316="",$F316=""),0,MAX(0,MIN($F316,DATE(Dashboard!$C$4,12,1))-MAX($E316,DATE(Dashboard!$C$4,11,1))))</f>
        <v/>
      </c>
      <c r="AD316">
        <f>IF(OR($E316="",$F316=""),0,MAX(0,MIN($F316,DATE(Dashboard!$C$4,13,1))-MAX($E316,DATE(Dashboard!$C$4,12,1))))</f>
        <v/>
      </c>
      <c r="AE316">
        <f>SUM(S316:AD316)</f>
        <v/>
      </c>
      <c r="AF316">
        <f>Q316*AE316</f>
        <v/>
      </c>
      <c r="AG316">
        <f>R316*AE316</f>
        <v/>
      </c>
      <c r="AH316">
        <f>SUMPRODUCT(S316:AD316,--(COLUMN(S316:AD316)-COLUMN(S316)+1&lt;=Dashboard!$N$1))</f>
        <v/>
      </c>
      <c r="AI316">
        <f>IF(OR(E316="",E316&lt;TODAY()),"",E316+ROW()/100000)</f>
        <v/>
      </c>
      <c r="AJ316">
        <f>IF(OR(F316="",F316&lt;TODAY()),"",F316+ROW()/100000)</f>
        <v/>
      </c>
    </row>
    <row r="317">
      <c r="A317" s="1" t="n"/>
      <c r="B317" s="35" t="n"/>
      <c r="C317" s="35" t="n"/>
      <c r="D317" s="35" t="n"/>
      <c r="E317" s="36" t="n"/>
      <c r="F317" s="36" t="n"/>
      <c r="G317" s="18">
        <f>IF(OR(E317="",F317=""),"",F317-E317)</f>
        <v/>
      </c>
      <c r="H317" s="37" t="n"/>
      <c r="I317" s="38" t="n"/>
      <c r="J317" s="38" t="n"/>
      <c r="K317" s="38" t="n"/>
      <c r="L317" s="31">
        <f>IF(E317="","",N(I317)+N(J317)-N(K317))</f>
        <v/>
      </c>
      <c r="M317" s="39" t="n"/>
      <c r="N317" s="27">
        <f>IF(E317="","",IF(TODAY()&lt;E317,"Upcoming",IF(TODAY()&lt;F317,"Staying now",IF(M317="Yes","Checked out","Payout not received"))))</f>
        <v/>
      </c>
      <c r="O317" s="35" t="n"/>
      <c r="P317" s="1" t="n"/>
      <c r="Q317">
        <f>IF(N(G317)&gt;0,L317/G317,0)</f>
        <v/>
      </c>
      <c r="R317">
        <f>IF(N(G317)&gt;0,N(I317)/G317,0)</f>
        <v/>
      </c>
      <c r="S317">
        <f>IF(OR($E317="",$F317=""),0,MAX(0,MIN($F317,DATE(Dashboard!$C$4,2,1))-MAX($E317,DATE(Dashboard!$C$4,1,1))))</f>
        <v/>
      </c>
      <c r="T317">
        <f>IF(OR($E317="",$F317=""),0,MAX(0,MIN($F317,DATE(Dashboard!$C$4,3,1))-MAX($E317,DATE(Dashboard!$C$4,2,1))))</f>
        <v/>
      </c>
      <c r="U317">
        <f>IF(OR($E317="",$F317=""),0,MAX(0,MIN($F317,DATE(Dashboard!$C$4,4,1))-MAX($E317,DATE(Dashboard!$C$4,3,1))))</f>
        <v/>
      </c>
      <c r="V317">
        <f>IF(OR($E317="",$F317=""),0,MAX(0,MIN($F317,DATE(Dashboard!$C$4,5,1))-MAX($E317,DATE(Dashboard!$C$4,4,1))))</f>
        <v/>
      </c>
      <c r="W317">
        <f>IF(OR($E317="",$F317=""),0,MAX(0,MIN($F317,DATE(Dashboard!$C$4,6,1))-MAX($E317,DATE(Dashboard!$C$4,5,1))))</f>
        <v/>
      </c>
      <c r="X317">
        <f>IF(OR($E317="",$F317=""),0,MAX(0,MIN($F317,DATE(Dashboard!$C$4,7,1))-MAX($E317,DATE(Dashboard!$C$4,6,1))))</f>
        <v/>
      </c>
      <c r="Y317">
        <f>IF(OR($E317="",$F317=""),0,MAX(0,MIN($F317,DATE(Dashboard!$C$4,8,1))-MAX($E317,DATE(Dashboard!$C$4,7,1))))</f>
        <v/>
      </c>
      <c r="Z317">
        <f>IF(OR($E317="",$F317=""),0,MAX(0,MIN($F317,DATE(Dashboard!$C$4,9,1))-MAX($E317,DATE(Dashboard!$C$4,8,1))))</f>
        <v/>
      </c>
      <c r="AA317">
        <f>IF(OR($E317="",$F317=""),0,MAX(0,MIN($F317,DATE(Dashboard!$C$4,10,1))-MAX($E317,DATE(Dashboard!$C$4,9,1))))</f>
        <v/>
      </c>
      <c r="AB317">
        <f>IF(OR($E317="",$F317=""),0,MAX(0,MIN($F317,DATE(Dashboard!$C$4,11,1))-MAX($E317,DATE(Dashboard!$C$4,10,1))))</f>
        <v/>
      </c>
      <c r="AC317">
        <f>IF(OR($E317="",$F317=""),0,MAX(0,MIN($F317,DATE(Dashboard!$C$4,12,1))-MAX($E317,DATE(Dashboard!$C$4,11,1))))</f>
        <v/>
      </c>
      <c r="AD317">
        <f>IF(OR($E317="",$F317=""),0,MAX(0,MIN($F317,DATE(Dashboard!$C$4,13,1))-MAX($E317,DATE(Dashboard!$C$4,12,1))))</f>
        <v/>
      </c>
      <c r="AE317">
        <f>SUM(S317:AD317)</f>
        <v/>
      </c>
      <c r="AF317">
        <f>Q317*AE317</f>
        <v/>
      </c>
      <c r="AG317">
        <f>R317*AE317</f>
        <v/>
      </c>
      <c r="AH317">
        <f>SUMPRODUCT(S317:AD317,--(COLUMN(S317:AD317)-COLUMN(S317)+1&lt;=Dashboard!$N$1))</f>
        <v/>
      </c>
      <c r="AI317">
        <f>IF(OR(E317="",E317&lt;TODAY()),"",E317+ROW()/100000)</f>
        <v/>
      </c>
      <c r="AJ317">
        <f>IF(OR(F317="",F317&lt;TODAY()),"",F317+ROW()/100000)</f>
        <v/>
      </c>
    </row>
    <row r="318">
      <c r="A318" s="1" t="n"/>
      <c r="B318" s="35" t="n"/>
      <c r="C318" s="35" t="n"/>
      <c r="D318" s="35" t="n"/>
      <c r="E318" s="36" t="n"/>
      <c r="F318" s="36" t="n"/>
      <c r="G318" s="18">
        <f>IF(OR(E318="",F318=""),"",F318-E318)</f>
        <v/>
      </c>
      <c r="H318" s="37" t="n"/>
      <c r="I318" s="38" t="n"/>
      <c r="J318" s="38" t="n"/>
      <c r="K318" s="38" t="n"/>
      <c r="L318" s="31">
        <f>IF(E318="","",N(I318)+N(J318)-N(K318))</f>
        <v/>
      </c>
      <c r="M318" s="39" t="n"/>
      <c r="N318" s="27">
        <f>IF(E318="","",IF(TODAY()&lt;E318,"Upcoming",IF(TODAY()&lt;F318,"Staying now",IF(M318="Yes","Checked out","Payout not received"))))</f>
        <v/>
      </c>
      <c r="O318" s="35" t="n"/>
      <c r="P318" s="1" t="n"/>
      <c r="Q318">
        <f>IF(N(G318)&gt;0,L318/G318,0)</f>
        <v/>
      </c>
      <c r="R318">
        <f>IF(N(G318)&gt;0,N(I318)/G318,0)</f>
        <v/>
      </c>
      <c r="S318">
        <f>IF(OR($E318="",$F318=""),0,MAX(0,MIN($F318,DATE(Dashboard!$C$4,2,1))-MAX($E318,DATE(Dashboard!$C$4,1,1))))</f>
        <v/>
      </c>
      <c r="T318">
        <f>IF(OR($E318="",$F318=""),0,MAX(0,MIN($F318,DATE(Dashboard!$C$4,3,1))-MAX($E318,DATE(Dashboard!$C$4,2,1))))</f>
        <v/>
      </c>
      <c r="U318">
        <f>IF(OR($E318="",$F318=""),0,MAX(0,MIN($F318,DATE(Dashboard!$C$4,4,1))-MAX($E318,DATE(Dashboard!$C$4,3,1))))</f>
        <v/>
      </c>
      <c r="V318">
        <f>IF(OR($E318="",$F318=""),0,MAX(0,MIN($F318,DATE(Dashboard!$C$4,5,1))-MAX($E318,DATE(Dashboard!$C$4,4,1))))</f>
        <v/>
      </c>
      <c r="W318">
        <f>IF(OR($E318="",$F318=""),0,MAX(0,MIN($F318,DATE(Dashboard!$C$4,6,1))-MAX($E318,DATE(Dashboard!$C$4,5,1))))</f>
        <v/>
      </c>
      <c r="X318">
        <f>IF(OR($E318="",$F318=""),0,MAX(0,MIN($F318,DATE(Dashboard!$C$4,7,1))-MAX($E318,DATE(Dashboard!$C$4,6,1))))</f>
        <v/>
      </c>
      <c r="Y318">
        <f>IF(OR($E318="",$F318=""),0,MAX(0,MIN($F318,DATE(Dashboard!$C$4,8,1))-MAX($E318,DATE(Dashboard!$C$4,7,1))))</f>
        <v/>
      </c>
      <c r="Z318">
        <f>IF(OR($E318="",$F318=""),0,MAX(0,MIN($F318,DATE(Dashboard!$C$4,9,1))-MAX($E318,DATE(Dashboard!$C$4,8,1))))</f>
        <v/>
      </c>
      <c r="AA318">
        <f>IF(OR($E318="",$F318=""),0,MAX(0,MIN($F318,DATE(Dashboard!$C$4,10,1))-MAX($E318,DATE(Dashboard!$C$4,9,1))))</f>
        <v/>
      </c>
      <c r="AB318">
        <f>IF(OR($E318="",$F318=""),0,MAX(0,MIN($F318,DATE(Dashboard!$C$4,11,1))-MAX($E318,DATE(Dashboard!$C$4,10,1))))</f>
        <v/>
      </c>
      <c r="AC318">
        <f>IF(OR($E318="",$F318=""),0,MAX(0,MIN($F318,DATE(Dashboard!$C$4,12,1))-MAX($E318,DATE(Dashboard!$C$4,11,1))))</f>
        <v/>
      </c>
      <c r="AD318">
        <f>IF(OR($E318="",$F318=""),0,MAX(0,MIN($F318,DATE(Dashboard!$C$4,13,1))-MAX($E318,DATE(Dashboard!$C$4,12,1))))</f>
        <v/>
      </c>
      <c r="AE318">
        <f>SUM(S318:AD318)</f>
        <v/>
      </c>
      <c r="AF318">
        <f>Q318*AE318</f>
        <v/>
      </c>
      <c r="AG318">
        <f>R318*AE318</f>
        <v/>
      </c>
      <c r="AH318">
        <f>SUMPRODUCT(S318:AD318,--(COLUMN(S318:AD318)-COLUMN(S318)+1&lt;=Dashboard!$N$1))</f>
        <v/>
      </c>
      <c r="AI318">
        <f>IF(OR(E318="",E318&lt;TODAY()),"",E318+ROW()/100000)</f>
        <v/>
      </c>
      <c r="AJ318">
        <f>IF(OR(F318="",F318&lt;TODAY()),"",F318+ROW()/100000)</f>
        <v/>
      </c>
    </row>
    <row r="319">
      <c r="A319" s="1" t="n"/>
      <c r="B319" s="35" t="n"/>
      <c r="C319" s="35" t="n"/>
      <c r="D319" s="35" t="n"/>
      <c r="E319" s="36" t="n"/>
      <c r="F319" s="36" t="n"/>
      <c r="G319" s="18">
        <f>IF(OR(E319="",F319=""),"",F319-E319)</f>
        <v/>
      </c>
      <c r="H319" s="37" t="n"/>
      <c r="I319" s="38" t="n"/>
      <c r="J319" s="38" t="n"/>
      <c r="K319" s="38" t="n"/>
      <c r="L319" s="31">
        <f>IF(E319="","",N(I319)+N(J319)-N(K319))</f>
        <v/>
      </c>
      <c r="M319" s="39" t="n"/>
      <c r="N319" s="27">
        <f>IF(E319="","",IF(TODAY()&lt;E319,"Upcoming",IF(TODAY()&lt;F319,"Staying now",IF(M319="Yes","Checked out","Payout not received"))))</f>
        <v/>
      </c>
      <c r="O319" s="35" t="n"/>
      <c r="P319" s="1" t="n"/>
      <c r="Q319">
        <f>IF(N(G319)&gt;0,L319/G319,0)</f>
        <v/>
      </c>
      <c r="R319">
        <f>IF(N(G319)&gt;0,N(I319)/G319,0)</f>
        <v/>
      </c>
      <c r="S319">
        <f>IF(OR($E319="",$F319=""),0,MAX(0,MIN($F319,DATE(Dashboard!$C$4,2,1))-MAX($E319,DATE(Dashboard!$C$4,1,1))))</f>
        <v/>
      </c>
      <c r="T319">
        <f>IF(OR($E319="",$F319=""),0,MAX(0,MIN($F319,DATE(Dashboard!$C$4,3,1))-MAX($E319,DATE(Dashboard!$C$4,2,1))))</f>
        <v/>
      </c>
      <c r="U319">
        <f>IF(OR($E319="",$F319=""),0,MAX(0,MIN($F319,DATE(Dashboard!$C$4,4,1))-MAX($E319,DATE(Dashboard!$C$4,3,1))))</f>
        <v/>
      </c>
      <c r="V319">
        <f>IF(OR($E319="",$F319=""),0,MAX(0,MIN($F319,DATE(Dashboard!$C$4,5,1))-MAX($E319,DATE(Dashboard!$C$4,4,1))))</f>
        <v/>
      </c>
      <c r="W319">
        <f>IF(OR($E319="",$F319=""),0,MAX(0,MIN($F319,DATE(Dashboard!$C$4,6,1))-MAX($E319,DATE(Dashboard!$C$4,5,1))))</f>
        <v/>
      </c>
      <c r="X319">
        <f>IF(OR($E319="",$F319=""),0,MAX(0,MIN($F319,DATE(Dashboard!$C$4,7,1))-MAX($E319,DATE(Dashboard!$C$4,6,1))))</f>
        <v/>
      </c>
      <c r="Y319">
        <f>IF(OR($E319="",$F319=""),0,MAX(0,MIN($F319,DATE(Dashboard!$C$4,8,1))-MAX($E319,DATE(Dashboard!$C$4,7,1))))</f>
        <v/>
      </c>
      <c r="Z319">
        <f>IF(OR($E319="",$F319=""),0,MAX(0,MIN($F319,DATE(Dashboard!$C$4,9,1))-MAX($E319,DATE(Dashboard!$C$4,8,1))))</f>
        <v/>
      </c>
      <c r="AA319">
        <f>IF(OR($E319="",$F319=""),0,MAX(0,MIN($F319,DATE(Dashboard!$C$4,10,1))-MAX($E319,DATE(Dashboard!$C$4,9,1))))</f>
        <v/>
      </c>
      <c r="AB319">
        <f>IF(OR($E319="",$F319=""),0,MAX(0,MIN($F319,DATE(Dashboard!$C$4,11,1))-MAX($E319,DATE(Dashboard!$C$4,10,1))))</f>
        <v/>
      </c>
      <c r="AC319">
        <f>IF(OR($E319="",$F319=""),0,MAX(0,MIN($F319,DATE(Dashboard!$C$4,12,1))-MAX($E319,DATE(Dashboard!$C$4,11,1))))</f>
        <v/>
      </c>
      <c r="AD319">
        <f>IF(OR($E319="",$F319=""),0,MAX(0,MIN($F319,DATE(Dashboard!$C$4,13,1))-MAX($E319,DATE(Dashboard!$C$4,12,1))))</f>
        <v/>
      </c>
      <c r="AE319">
        <f>SUM(S319:AD319)</f>
        <v/>
      </c>
      <c r="AF319">
        <f>Q319*AE319</f>
        <v/>
      </c>
      <c r="AG319">
        <f>R319*AE319</f>
        <v/>
      </c>
      <c r="AH319">
        <f>SUMPRODUCT(S319:AD319,--(COLUMN(S319:AD319)-COLUMN(S319)+1&lt;=Dashboard!$N$1))</f>
        <v/>
      </c>
      <c r="AI319">
        <f>IF(OR(E319="",E319&lt;TODAY()),"",E319+ROW()/100000)</f>
        <v/>
      </c>
      <c r="AJ319">
        <f>IF(OR(F319="",F319&lt;TODAY()),"",F319+ROW()/100000)</f>
        <v/>
      </c>
    </row>
    <row r="320">
      <c r="A320" s="1" t="n"/>
      <c r="B320" s="35" t="n"/>
      <c r="C320" s="35" t="n"/>
      <c r="D320" s="35" t="n"/>
      <c r="E320" s="36" t="n"/>
      <c r="F320" s="36" t="n"/>
      <c r="G320" s="18">
        <f>IF(OR(E320="",F320=""),"",F320-E320)</f>
        <v/>
      </c>
      <c r="H320" s="37" t="n"/>
      <c r="I320" s="38" t="n"/>
      <c r="J320" s="38" t="n"/>
      <c r="K320" s="38" t="n"/>
      <c r="L320" s="31">
        <f>IF(E320="","",N(I320)+N(J320)-N(K320))</f>
        <v/>
      </c>
      <c r="M320" s="39" t="n"/>
      <c r="N320" s="27">
        <f>IF(E320="","",IF(TODAY()&lt;E320,"Upcoming",IF(TODAY()&lt;F320,"Staying now",IF(M320="Yes","Checked out","Payout not received"))))</f>
        <v/>
      </c>
      <c r="O320" s="35" t="n"/>
      <c r="P320" s="1" t="n"/>
      <c r="Q320">
        <f>IF(N(G320)&gt;0,L320/G320,0)</f>
        <v/>
      </c>
      <c r="R320">
        <f>IF(N(G320)&gt;0,N(I320)/G320,0)</f>
        <v/>
      </c>
      <c r="S320">
        <f>IF(OR($E320="",$F320=""),0,MAX(0,MIN($F320,DATE(Dashboard!$C$4,2,1))-MAX($E320,DATE(Dashboard!$C$4,1,1))))</f>
        <v/>
      </c>
      <c r="T320">
        <f>IF(OR($E320="",$F320=""),0,MAX(0,MIN($F320,DATE(Dashboard!$C$4,3,1))-MAX($E320,DATE(Dashboard!$C$4,2,1))))</f>
        <v/>
      </c>
      <c r="U320">
        <f>IF(OR($E320="",$F320=""),0,MAX(0,MIN($F320,DATE(Dashboard!$C$4,4,1))-MAX($E320,DATE(Dashboard!$C$4,3,1))))</f>
        <v/>
      </c>
      <c r="V320">
        <f>IF(OR($E320="",$F320=""),0,MAX(0,MIN($F320,DATE(Dashboard!$C$4,5,1))-MAX($E320,DATE(Dashboard!$C$4,4,1))))</f>
        <v/>
      </c>
      <c r="W320">
        <f>IF(OR($E320="",$F320=""),0,MAX(0,MIN($F320,DATE(Dashboard!$C$4,6,1))-MAX($E320,DATE(Dashboard!$C$4,5,1))))</f>
        <v/>
      </c>
      <c r="X320">
        <f>IF(OR($E320="",$F320=""),0,MAX(0,MIN($F320,DATE(Dashboard!$C$4,7,1))-MAX($E320,DATE(Dashboard!$C$4,6,1))))</f>
        <v/>
      </c>
      <c r="Y320">
        <f>IF(OR($E320="",$F320=""),0,MAX(0,MIN($F320,DATE(Dashboard!$C$4,8,1))-MAX($E320,DATE(Dashboard!$C$4,7,1))))</f>
        <v/>
      </c>
      <c r="Z320">
        <f>IF(OR($E320="",$F320=""),0,MAX(0,MIN($F320,DATE(Dashboard!$C$4,9,1))-MAX($E320,DATE(Dashboard!$C$4,8,1))))</f>
        <v/>
      </c>
      <c r="AA320">
        <f>IF(OR($E320="",$F320=""),0,MAX(0,MIN($F320,DATE(Dashboard!$C$4,10,1))-MAX($E320,DATE(Dashboard!$C$4,9,1))))</f>
        <v/>
      </c>
      <c r="AB320">
        <f>IF(OR($E320="",$F320=""),0,MAX(0,MIN($F320,DATE(Dashboard!$C$4,11,1))-MAX($E320,DATE(Dashboard!$C$4,10,1))))</f>
        <v/>
      </c>
      <c r="AC320">
        <f>IF(OR($E320="",$F320=""),0,MAX(0,MIN($F320,DATE(Dashboard!$C$4,12,1))-MAX($E320,DATE(Dashboard!$C$4,11,1))))</f>
        <v/>
      </c>
      <c r="AD320">
        <f>IF(OR($E320="",$F320=""),0,MAX(0,MIN($F320,DATE(Dashboard!$C$4,13,1))-MAX($E320,DATE(Dashboard!$C$4,12,1))))</f>
        <v/>
      </c>
      <c r="AE320">
        <f>SUM(S320:AD320)</f>
        <v/>
      </c>
      <c r="AF320">
        <f>Q320*AE320</f>
        <v/>
      </c>
      <c r="AG320">
        <f>R320*AE320</f>
        <v/>
      </c>
      <c r="AH320">
        <f>SUMPRODUCT(S320:AD320,--(COLUMN(S320:AD320)-COLUMN(S320)+1&lt;=Dashboard!$N$1))</f>
        <v/>
      </c>
      <c r="AI320">
        <f>IF(OR(E320="",E320&lt;TODAY()),"",E320+ROW()/100000)</f>
        <v/>
      </c>
      <c r="AJ320">
        <f>IF(OR(F320="",F320&lt;TODAY()),"",F320+ROW()/100000)</f>
        <v/>
      </c>
    </row>
    <row r="321">
      <c r="A321" s="1" t="n"/>
      <c r="B321" s="35" t="n"/>
      <c r="C321" s="35" t="n"/>
      <c r="D321" s="35" t="n"/>
      <c r="E321" s="36" t="n"/>
      <c r="F321" s="36" t="n"/>
      <c r="G321" s="18">
        <f>IF(OR(E321="",F321=""),"",F321-E321)</f>
        <v/>
      </c>
      <c r="H321" s="37" t="n"/>
      <c r="I321" s="38" t="n"/>
      <c r="J321" s="38" t="n"/>
      <c r="K321" s="38" t="n"/>
      <c r="L321" s="31">
        <f>IF(E321="","",N(I321)+N(J321)-N(K321))</f>
        <v/>
      </c>
      <c r="M321" s="39" t="n"/>
      <c r="N321" s="27">
        <f>IF(E321="","",IF(TODAY()&lt;E321,"Upcoming",IF(TODAY()&lt;F321,"Staying now",IF(M321="Yes","Checked out","Payout not received"))))</f>
        <v/>
      </c>
      <c r="O321" s="35" t="n"/>
      <c r="P321" s="1" t="n"/>
      <c r="Q321">
        <f>IF(N(G321)&gt;0,L321/G321,0)</f>
        <v/>
      </c>
      <c r="R321">
        <f>IF(N(G321)&gt;0,N(I321)/G321,0)</f>
        <v/>
      </c>
      <c r="S321">
        <f>IF(OR($E321="",$F321=""),0,MAX(0,MIN($F321,DATE(Dashboard!$C$4,2,1))-MAX($E321,DATE(Dashboard!$C$4,1,1))))</f>
        <v/>
      </c>
      <c r="T321">
        <f>IF(OR($E321="",$F321=""),0,MAX(0,MIN($F321,DATE(Dashboard!$C$4,3,1))-MAX($E321,DATE(Dashboard!$C$4,2,1))))</f>
        <v/>
      </c>
      <c r="U321">
        <f>IF(OR($E321="",$F321=""),0,MAX(0,MIN($F321,DATE(Dashboard!$C$4,4,1))-MAX($E321,DATE(Dashboard!$C$4,3,1))))</f>
        <v/>
      </c>
      <c r="V321">
        <f>IF(OR($E321="",$F321=""),0,MAX(0,MIN($F321,DATE(Dashboard!$C$4,5,1))-MAX($E321,DATE(Dashboard!$C$4,4,1))))</f>
        <v/>
      </c>
      <c r="W321">
        <f>IF(OR($E321="",$F321=""),0,MAX(0,MIN($F321,DATE(Dashboard!$C$4,6,1))-MAX($E321,DATE(Dashboard!$C$4,5,1))))</f>
        <v/>
      </c>
      <c r="X321">
        <f>IF(OR($E321="",$F321=""),0,MAX(0,MIN($F321,DATE(Dashboard!$C$4,7,1))-MAX($E321,DATE(Dashboard!$C$4,6,1))))</f>
        <v/>
      </c>
      <c r="Y321">
        <f>IF(OR($E321="",$F321=""),0,MAX(0,MIN($F321,DATE(Dashboard!$C$4,8,1))-MAX($E321,DATE(Dashboard!$C$4,7,1))))</f>
        <v/>
      </c>
      <c r="Z321">
        <f>IF(OR($E321="",$F321=""),0,MAX(0,MIN($F321,DATE(Dashboard!$C$4,9,1))-MAX($E321,DATE(Dashboard!$C$4,8,1))))</f>
        <v/>
      </c>
      <c r="AA321">
        <f>IF(OR($E321="",$F321=""),0,MAX(0,MIN($F321,DATE(Dashboard!$C$4,10,1))-MAX($E321,DATE(Dashboard!$C$4,9,1))))</f>
        <v/>
      </c>
      <c r="AB321">
        <f>IF(OR($E321="",$F321=""),0,MAX(0,MIN($F321,DATE(Dashboard!$C$4,11,1))-MAX($E321,DATE(Dashboard!$C$4,10,1))))</f>
        <v/>
      </c>
      <c r="AC321">
        <f>IF(OR($E321="",$F321=""),0,MAX(0,MIN($F321,DATE(Dashboard!$C$4,12,1))-MAX($E321,DATE(Dashboard!$C$4,11,1))))</f>
        <v/>
      </c>
      <c r="AD321">
        <f>IF(OR($E321="",$F321=""),0,MAX(0,MIN($F321,DATE(Dashboard!$C$4,13,1))-MAX($E321,DATE(Dashboard!$C$4,12,1))))</f>
        <v/>
      </c>
      <c r="AE321">
        <f>SUM(S321:AD321)</f>
        <v/>
      </c>
      <c r="AF321">
        <f>Q321*AE321</f>
        <v/>
      </c>
      <c r="AG321">
        <f>R321*AE321</f>
        <v/>
      </c>
      <c r="AH321">
        <f>SUMPRODUCT(S321:AD321,--(COLUMN(S321:AD321)-COLUMN(S321)+1&lt;=Dashboard!$N$1))</f>
        <v/>
      </c>
      <c r="AI321">
        <f>IF(OR(E321="",E321&lt;TODAY()),"",E321+ROW()/100000)</f>
        <v/>
      </c>
      <c r="AJ321">
        <f>IF(OR(F321="",F321&lt;TODAY()),"",F321+ROW()/100000)</f>
        <v/>
      </c>
    </row>
    <row r="322">
      <c r="A322" s="1" t="n"/>
      <c r="B322" s="35" t="n"/>
      <c r="C322" s="35" t="n"/>
      <c r="D322" s="35" t="n"/>
      <c r="E322" s="36" t="n"/>
      <c r="F322" s="36" t="n"/>
      <c r="G322" s="18">
        <f>IF(OR(E322="",F322=""),"",F322-E322)</f>
        <v/>
      </c>
      <c r="H322" s="37" t="n"/>
      <c r="I322" s="38" t="n"/>
      <c r="J322" s="38" t="n"/>
      <c r="K322" s="38" t="n"/>
      <c r="L322" s="31">
        <f>IF(E322="","",N(I322)+N(J322)-N(K322))</f>
        <v/>
      </c>
      <c r="M322" s="39" t="n"/>
      <c r="N322" s="27">
        <f>IF(E322="","",IF(TODAY()&lt;E322,"Upcoming",IF(TODAY()&lt;F322,"Staying now",IF(M322="Yes","Checked out","Payout not received"))))</f>
        <v/>
      </c>
      <c r="O322" s="35" t="n"/>
      <c r="P322" s="1" t="n"/>
      <c r="Q322">
        <f>IF(N(G322)&gt;0,L322/G322,0)</f>
        <v/>
      </c>
      <c r="R322">
        <f>IF(N(G322)&gt;0,N(I322)/G322,0)</f>
        <v/>
      </c>
      <c r="S322">
        <f>IF(OR($E322="",$F322=""),0,MAX(0,MIN($F322,DATE(Dashboard!$C$4,2,1))-MAX($E322,DATE(Dashboard!$C$4,1,1))))</f>
        <v/>
      </c>
      <c r="T322">
        <f>IF(OR($E322="",$F322=""),0,MAX(0,MIN($F322,DATE(Dashboard!$C$4,3,1))-MAX($E322,DATE(Dashboard!$C$4,2,1))))</f>
        <v/>
      </c>
      <c r="U322">
        <f>IF(OR($E322="",$F322=""),0,MAX(0,MIN($F322,DATE(Dashboard!$C$4,4,1))-MAX($E322,DATE(Dashboard!$C$4,3,1))))</f>
        <v/>
      </c>
      <c r="V322">
        <f>IF(OR($E322="",$F322=""),0,MAX(0,MIN($F322,DATE(Dashboard!$C$4,5,1))-MAX($E322,DATE(Dashboard!$C$4,4,1))))</f>
        <v/>
      </c>
      <c r="W322">
        <f>IF(OR($E322="",$F322=""),0,MAX(0,MIN($F322,DATE(Dashboard!$C$4,6,1))-MAX($E322,DATE(Dashboard!$C$4,5,1))))</f>
        <v/>
      </c>
      <c r="X322">
        <f>IF(OR($E322="",$F322=""),0,MAX(0,MIN($F322,DATE(Dashboard!$C$4,7,1))-MAX($E322,DATE(Dashboard!$C$4,6,1))))</f>
        <v/>
      </c>
      <c r="Y322">
        <f>IF(OR($E322="",$F322=""),0,MAX(0,MIN($F322,DATE(Dashboard!$C$4,8,1))-MAX($E322,DATE(Dashboard!$C$4,7,1))))</f>
        <v/>
      </c>
      <c r="Z322">
        <f>IF(OR($E322="",$F322=""),0,MAX(0,MIN($F322,DATE(Dashboard!$C$4,9,1))-MAX($E322,DATE(Dashboard!$C$4,8,1))))</f>
        <v/>
      </c>
      <c r="AA322">
        <f>IF(OR($E322="",$F322=""),0,MAX(0,MIN($F322,DATE(Dashboard!$C$4,10,1))-MAX($E322,DATE(Dashboard!$C$4,9,1))))</f>
        <v/>
      </c>
      <c r="AB322">
        <f>IF(OR($E322="",$F322=""),0,MAX(0,MIN($F322,DATE(Dashboard!$C$4,11,1))-MAX($E322,DATE(Dashboard!$C$4,10,1))))</f>
        <v/>
      </c>
      <c r="AC322">
        <f>IF(OR($E322="",$F322=""),0,MAX(0,MIN($F322,DATE(Dashboard!$C$4,12,1))-MAX($E322,DATE(Dashboard!$C$4,11,1))))</f>
        <v/>
      </c>
      <c r="AD322">
        <f>IF(OR($E322="",$F322=""),0,MAX(0,MIN($F322,DATE(Dashboard!$C$4,13,1))-MAX($E322,DATE(Dashboard!$C$4,12,1))))</f>
        <v/>
      </c>
      <c r="AE322">
        <f>SUM(S322:AD322)</f>
        <v/>
      </c>
      <c r="AF322">
        <f>Q322*AE322</f>
        <v/>
      </c>
      <c r="AG322">
        <f>R322*AE322</f>
        <v/>
      </c>
      <c r="AH322">
        <f>SUMPRODUCT(S322:AD322,--(COLUMN(S322:AD322)-COLUMN(S322)+1&lt;=Dashboard!$N$1))</f>
        <v/>
      </c>
      <c r="AI322">
        <f>IF(OR(E322="",E322&lt;TODAY()),"",E322+ROW()/100000)</f>
        <v/>
      </c>
      <c r="AJ322">
        <f>IF(OR(F322="",F322&lt;TODAY()),"",F322+ROW()/100000)</f>
        <v/>
      </c>
    </row>
    <row r="323">
      <c r="A323" s="1" t="n"/>
      <c r="B323" s="35" t="n"/>
      <c r="C323" s="35" t="n"/>
      <c r="D323" s="35" t="n"/>
      <c r="E323" s="36" t="n"/>
      <c r="F323" s="36" t="n"/>
      <c r="G323" s="18">
        <f>IF(OR(E323="",F323=""),"",F323-E323)</f>
        <v/>
      </c>
      <c r="H323" s="37" t="n"/>
      <c r="I323" s="38" t="n"/>
      <c r="J323" s="38" t="n"/>
      <c r="K323" s="38" t="n"/>
      <c r="L323" s="31">
        <f>IF(E323="","",N(I323)+N(J323)-N(K323))</f>
        <v/>
      </c>
      <c r="M323" s="39" t="n"/>
      <c r="N323" s="27">
        <f>IF(E323="","",IF(TODAY()&lt;E323,"Upcoming",IF(TODAY()&lt;F323,"Staying now",IF(M323="Yes","Checked out","Payout not received"))))</f>
        <v/>
      </c>
      <c r="O323" s="35" t="n"/>
      <c r="P323" s="1" t="n"/>
      <c r="Q323">
        <f>IF(N(G323)&gt;0,L323/G323,0)</f>
        <v/>
      </c>
      <c r="R323">
        <f>IF(N(G323)&gt;0,N(I323)/G323,0)</f>
        <v/>
      </c>
      <c r="S323">
        <f>IF(OR($E323="",$F323=""),0,MAX(0,MIN($F323,DATE(Dashboard!$C$4,2,1))-MAX($E323,DATE(Dashboard!$C$4,1,1))))</f>
        <v/>
      </c>
      <c r="T323">
        <f>IF(OR($E323="",$F323=""),0,MAX(0,MIN($F323,DATE(Dashboard!$C$4,3,1))-MAX($E323,DATE(Dashboard!$C$4,2,1))))</f>
        <v/>
      </c>
      <c r="U323">
        <f>IF(OR($E323="",$F323=""),0,MAX(0,MIN($F323,DATE(Dashboard!$C$4,4,1))-MAX($E323,DATE(Dashboard!$C$4,3,1))))</f>
        <v/>
      </c>
      <c r="V323">
        <f>IF(OR($E323="",$F323=""),0,MAX(0,MIN($F323,DATE(Dashboard!$C$4,5,1))-MAX($E323,DATE(Dashboard!$C$4,4,1))))</f>
        <v/>
      </c>
      <c r="W323">
        <f>IF(OR($E323="",$F323=""),0,MAX(0,MIN($F323,DATE(Dashboard!$C$4,6,1))-MAX($E323,DATE(Dashboard!$C$4,5,1))))</f>
        <v/>
      </c>
      <c r="X323">
        <f>IF(OR($E323="",$F323=""),0,MAX(0,MIN($F323,DATE(Dashboard!$C$4,7,1))-MAX($E323,DATE(Dashboard!$C$4,6,1))))</f>
        <v/>
      </c>
      <c r="Y323">
        <f>IF(OR($E323="",$F323=""),0,MAX(0,MIN($F323,DATE(Dashboard!$C$4,8,1))-MAX($E323,DATE(Dashboard!$C$4,7,1))))</f>
        <v/>
      </c>
      <c r="Z323">
        <f>IF(OR($E323="",$F323=""),0,MAX(0,MIN($F323,DATE(Dashboard!$C$4,9,1))-MAX($E323,DATE(Dashboard!$C$4,8,1))))</f>
        <v/>
      </c>
      <c r="AA323">
        <f>IF(OR($E323="",$F323=""),0,MAX(0,MIN($F323,DATE(Dashboard!$C$4,10,1))-MAX($E323,DATE(Dashboard!$C$4,9,1))))</f>
        <v/>
      </c>
      <c r="AB323">
        <f>IF(OR($E323="",$F323=""),0,MAX(0,MIN($F323,DATE(Dashboard!$C$4,11,1))-MAX($E323,DATE(Dashboard!$C$4,10,1))))</f>
        <v/>
      </c>
      <c r="AC323">
        <f>IF(OR($E323="",$F323=""),0,MAX(0,MIN($F323,DATE(Dashboard!$C$4,12,1))-MAX($E323,DATE(Dashboard!$C$4,11,1))))</f>
        <v/>
      </c>
      <c r="AD323">
        <f>IF(OR($E323="",$F323=""),0,MAX(0,MIN($F323,DATE(Dashboard!$C$4,13,1))-MAX($E323,DATE(Dashboard!$C$4,12,1))))</f>
        <v/>
      </c>
      <c r="AE323">
        <f>SUM(S323:AD323)</f>
        <v/>
      </c>
      <c r="AF323">
        <f>Q323*AE323</f>
        <v/>
      </c>
      <c r="AG323">
        <f>R323*AE323</f>
        <v/>
      </c>
      <c r="AH323">
        <f>SUMPRODUCT(S323:AD323,--(COLUMN(S323:AD323)-COLUMN(S323)+1&lt;=Dashboard!$N$1))</f>
        <v/>
      </c>
      <c r="AI323">
        <f>IF(OR(E323="",E323&lt;TODAY()),"",E323+ROW()/100000)</f>
        <v/>
      </c>
      <c r="AJ323">
        <f>IF(OR(F323="",F323&lt;TODAY()),"",F323+ROW()/100000)</f>
        <v/>
      </c>
    </row>
    <row r="324">
      <c r="A324" s="1" t="n"/>
      <c r="B324" s="35" t="n"/>
      <c r="C324" s="35" t="n"/>
      <c r="D324" s="35" t="n"/>
      <c r="E324" s="36" t="n"/>
      <c r="F324" s="36" t="n"/>
      <c r="G324" s="18">
        <f>IF(OR(E324="",F324=""),"",F324-E324)</f>
        <v/>
      </c>
      <c r="H324" s="37" t="n"/>
      <c r="I324" s="38" t="n"/>
      <c r="J324" s="38" t="n"/>
      <c r="K324" s="38" t="n"/>
      <c r="L324" s="31">
        <f>IF(E324="","",N(I324)+N(J324)-N(K324))</f>
        <v/>
      </c>
      <c r="M324" s="39" t="n"/>
      <c r="N324" s="27">
        <f>IF(E324="","",IF(TODAY()&lt;E324,"Upcoming",IF(TODAY()&lt;F324,"Staying now",IF(M324="Yes","Checked out","Payout not received"))))</f>
        <v/>
      </c>
      <c r="O324" s="35" t="n"/>
      <c r="P324" s="1" t="n"/>
      <c r="Q324">
        <f>IF(N(G324)&gt;0,L324/G324,0)</f>
        <v/>
      </c>
      <c r="R324">
        <f>IF(N(G324)&gt;0,N(I324)/G324,0)</f>
        <v/>
      </c>
      <c r="S324">
        <f>IF(OR($E324="",$F324=""),0,MAX(0,MIN($F324,DATE(Dashboard!$C$4,2,1))-MAX($E324,DATE(Dashboard!$C$4,1,1))))</f>
        <v/>
      </c>
      <c r="T324">
        <f>IF(OR($E324="",$F324=""),0,MAX(0,MIN($F324,DATE(Dashboard!$C$4,3,1))-MAX($E324,DATE(Dashboard!$C$4,2,1))))</f>
        <v/>
      </c>
      <c r="U324">
        <f>IF(OR($E324="",$F324=""),0,MAX(0,MIN($F324,DATE(Dashboard!$C$4,4,1))-MAX($E324,DATE(Dashboard!$C$4,3,1))))</f>
        <v/>
      </c>
      <c r="V324">
        <f>IF(OR($E324="",$F324=""),0,MAX(0,MIN($F324,DATE(Dashboard!$C$4,5,1))-MAX($E324,DATE(Dashboard!$C$4,4,1))))</f>
        <v/>
      </c>
      <c r="W324">
        <f>IF(OR($E324="",$F324=""),0,MAX(0,MIN($F324,DATE(Dashboard!$C$4,6,1))-MAX($E324,DATE(Dashboard!$C$4,5,1))))</f>
        <v/>
      </c>
      <c r="X324">
        <f>IF(OR($E324="",$F324=""),0,MAX(0,MIN($F324,DATE(Dashboard!$C$4,7,1))-MAX($E324,DATE(Dashboard!$C$4,6,1))))</f>
        <v/>
      </c>
      <c r="Y324">
        <f>IF(OR($E324="",$F324=""),0,MAX(0,MIN($F324,DATE(Dashboard!$C$4,8,1))-MAX($E324,DATE(Dashboard!$C$4,7,1))))</f>
        <v/>
      </c>
      <c r="Z324">
        <f>IF(OR($E324="",$F324=""),0,MAX(0,MIN($F324,DATE(Dashboard!$C$4,9,1))-MAX($E324,DATE(Dashboard!$C$4,8,1))))</f>
        <v/>
      </c>
      <c r="AA324">
        <f>IF(OR($E324="",$F324=""),0,MAX(0,MIN($F324,DATE(Dashboard!$C$4,10,1))-MAX($E324,DATE(Dashboard!$C$4,9,1))))</f>
        <v/>
      </c>
      <c r="AB324">
        <f>IF(OR($E324="",$F324=""),0,MAX(0,MIN($F324,DATE(Dashboard!$C$4,11,1))-MAX($E324,DATE(Dashboard!$C$4,10,1))))</f>
        <v/>
      </c>
      <c r="AC324">
        <f>IF(OR($E324="",$F324=""),0,MAX(0,MIN($F324,DATE(Dashboard!$C$4,12,1))-MAX($E324,DATE(Dashboard!$C$4,11,1))))</f>
        <v/>
      </c>
      <c r="AD324">
        <f>IF(OR($E324="",$F324=""),0,MAX(0,MIN($F324,DATE(Dashboard!$C$4,13,1))-MAX($E324,DATE(Dashboard!$C$4,12,1))))</f>
        <v/>
      </c>
      <c r="AE324">
        <f>SUM(S324:AD324)</f>
        <v/>
      </c>
      <c r="AF324">
        <f>Q324*AE324</f>
        <v/>
      </c>
      <c r="AG324">
        <f>R324*AE324</f>
        <v/>
      </c>
      <c r="AH324">
        <f>SUMPRODUCT(S324:AD324,--(COLUMN(S324:AD324)-COLUMN(S324)+1&lt;=Dashboard!$N$1))</f>
        <v/>
      </c>
      <c r="AI324">
        <f>IF(OR(E324="",E324&lt;TODAY()),"",E324+ROW()/100000)</f>
        <v/>
      </c>
      <c r="AJ324">
        <f>IF(OR(F324="",F324&lt;TODAY()),"",F324+ROW()/100000)</f>
        <v/>
      </c>
    </row>
    <row r="325">
      <c r="A325" s="1" t="n"/>
      <c r="B325" s="35" t="n"/>
      <c r="C325" s="35" t="n"/>
      <c r="D325" s="35" t="n"/>
      <c r="E325" s="36" t="n"/>
      <c r="F325" s="36" t="n"/>
      <c r="G325" s="18">
        <f>IF(OR(E325="",F325=""),"",F325-E325)</f>
        <v/>
      </c>
      <c r="H325" s="37" t="n"/>
      <c r="I325" s="38" t="n"/>
      <c r="J325" s="38" t="n"/>
      <c r="K325" s="38" t="n"/>
      <c r="L325" s="31">
        <f>IF(E325="","",N(I325)+N(J325)-N(K325))</f>
        <v/>
      </c>
      <c r="M325" s="39" t="n"/>
      <c r="N325" s="27">
        <f>IF(E325="","",IF(TODAY()&lt;E325,"Upcoming",IF(TODAY()&lt;F325,"Staying now",IF(M325="Yes","Checked out","Payout not received"))))</f>
        <v/>
      </c>
      <c r="O325" s="35" t="n"/>
      <c r="P325" s="1" t="n"/>
      <c r="Q325">
        <f>IF(N(G325)&gt;0,L325/G325,0)</f>
        <v/>
      </c>
      <c r="R325">
        <f>IF(N(G325)&gt;0,N(I325)/G325,0)</f>
        <v/>
      </c>
      <c r="S325">
        <f>IF(OR($E325="",$F325=""),0,MAX(0,MIN($F325,DATE(Dashboard!$C$4,2,1))-MAX($E325,DATE(Dashboard!$C$4,1,1))))</f>
        <v/>
      </c>
      <c r="T325">
        <f>IF(OR($E325="",$F325=""),0,MAX(0,MIN($F325,DATE(Dashboard!$C$4,3,1))-MAX($E325,DATE(Dashboard!$C$4,2,1))))</f>
        <v/>
      </c>
      <c r="U325">
        <f>IF(OR($E325="",$F325=""),0,MAX(0,MIN($F325,DATE(Dashboard!$C$4,4,1))-MAX($E325,DATE(Dashboard!$C$4,3,1))))</f>
        <v/>
      </c>
      <c r="V325">
        <f>IF(OR($E325="",$F325=""),0,MAX(0,MIN($F325,DATE(Dashboard!$C$4,5,1))-MAX($E325,DATE(Dashboard!$C$4,4,1))))</f>
        <v/>
      </c>
      <c r="W325">
        <f>IF(OR($E325="",$F325=""),0,MAX(0,MIN($F325,DATE(Dashboard!$C$4,6,1))-MAX($E325,DATE(Dashboard!$C$4,5,1))))</f>
        <v/>
      </c>
      <c r="X325">
        <f>IF(OR($E325="",$F325=""),0,MAX(0,MIN($F325,DATE(Dashboard!$C$4,7,1))-MAX($E325,DATE(Dashboard!$C$4,6,1))))</f>
        <v/>
      </c>
      <c r="Y325">
        <f>IF(OR($E325="",$F325=""),0,MAX(0,MIN($F325,DATE(Dashboard!$C$4,8,1))-MAX($E325,DATE(Dashboard!$C$4,7,1))))</f>
        <v/>
      </c>
      <c r="Z325">
        <f>IF(OR($E325="",$F325=""),0,MAX(0,MIN($F325,DATE(Dashboard!$C$4,9,1))-MAX($E325,DATE(Dashboard!$C$4,8,1))))</f>
        <v/>
      </c>
      <c r="AA325">
        <f>IF(OR($E325="",$F325=""),0,MAX(0,MIN($F325,DATE(Dashboard!$C$4,10,1))-MAX($E325,DATE(Dashboard!$C$4,9,1))))</f>
        <v/>
      </c>
      <c r="AB325">
        <f>IF(OR($E325="",$F325=""),0,MAX(0,MIN($F325,DATE(Dashboard!$C$4,11,1))-MAX($E325,DATE(Dashboard!$C$4,10,1))))</f>
        <v/>
      </c>
      <c r="AC325">
        <f>IF(OR($E325="",$F325=""),0,MAX(0,MIN($F325,DATE(Dashboard!$C$4,12,1))-MAX($E325,DATE(Dashboard!$C$4,11,1))))</f>
        <v/>
      </c>
      <c r="AD325">
        <f>IF(OR($E325="",$F325=""),0,MAX(0,MIN($F325,DATE(Dashboard!$C$4,13,1))-MAX($E325,DATE(Dashboard!$C$4,12,1))))</f>
        <v/>
      </c>
      <c r="AE325">
        <f>SUM(S325:AD325)</f>
        <v/>
      </c>
      <c r="AF325">
        <f>Q325*AE325</f>
        <v/>
      </c>
      <c r="AG325">
        <f>R325*AE325</f>
        <v/>
      </c>
      <c r="AH325">
        <f>SUMPRODUCT(S325:AD325,--(COLUMN(S325:AD325)-COLUMN(S325)+1&lt;=Dashboard!$N$1))</f>
        <v/>
      </c>
      <c r="AI325">
        <f>IF(OR(E325="",E325&lt;TODAY()),"",E325+ROW()/100000)</f>
        <v/>
      </c>
      <c r="AJ325">
        <f>IF(OR(F325="",F325&lt;TODAY()),"",F325+ROW()/100000)</f>
        <v/>
      </c>
    </row>
    <row r="326">
      <c r="A326" s="1" t="n"/>
      <c r="B326" s="35" t="n"/>
      <c r="C326" s="35" t="n"/>
      <c r="D326" s="35" t="n"/>
      <c r="E326" s="36" t="n"/>
      <c r="F326" s="36" t="n"/>
      <c r="G326" s="18">
        <f>IF(OR(E326="",F326=""),"",F326-E326)</f>
        <v/>
      </c>
      <c r="H326" s="37" t="n"/>
      <c r="I326" s="38" t="n"/>
      <c r="J326" s="38" t="n"/>
      <c r="K326" s="38" t="n"/>
      <c r="L326" s="31">
        <f>IF(E326="","",N(I326)+N(J326)-N(K326))</f>
        <v/>
      </c>
      <c r="M326" s="39" t="n"/>
      <c r="N326" s="27">
        <f>IF(E326="","",IF(TODAY()&lt;E326,"Upcoming",IF(TODAY()&lt;F326,"Staying now",IF(M326="Yes","Checked out","Payout not received"))))</f>
        <v/>
      </c>
      <c r="O326" s="35" t="n"/>
      <c r="P326" s="1" t="n"/>
      <c r="Q326">
        <f>IF(N(G326)&gt;0,L326/G326,0)</f>
        <v/>
      </c>
      <c r="R326">
        <f>IF(N(G326)&gt;0,N(I326)/G326,0)</f>
        <v/>
      </c>
      <c r="S326">
        <f>IF(OR($E326="",$F326=""),0,MAX(0,MIN($F326,DATE(Dashboard!$C$4,2,1))-MAX($E326,DATE(Dashboard!$C$4,1,1))))</f>
        <v/>
      </c>
      <c r="T326">
        <f>IF(OR($E326="",$F326=""),0,MAX(0,MIN($F326,DATE(Dashboard!$C$4,3,1))-MAX($E326,DATE(Dashboard!$C$4,2,1))))</f>
        <v/>
      </c>
      <c r="U326">
        <f>IF(OR($E326="",$F326=""),0,MAX(0,MIN($F326,DATE(Dashboard!$C$4,4,1))-MAX($E326,DATE(Dashboard!$C$4,3,1))))</f>
        <v/>
      </c>
      <c r="V326">
        <f>IF(OR($E326="",$F326=""),0,MAX(0,MIN($F326,DATE(Dashboard!$C$4,5,1))-MAX($E326,DATE(Dashboard!$C$4,4,1))))</f>
        <v/>
      </c>
      <c r="W326">
        <f>IF(OR($E326="",$F326=""),0,MAX(0,MIN($F326,DATE(Dashboard!$C$4,6,1))-MAX($E326,DATE(Dashboard!$C$4,5,1))))</f>
        <v/>
      </c>
      <c r="X326">
        <f>IF(OR($E326="",$F326=""),0,MAX(0,MIN($F326,DATE(Dashboard!$C$4,7,1))-MAX($E326,DATE(Dashboard!$C$4,6,1))))</f>
        <v/>
      </c>
      <c r="Y326">
        <f>IF(OR($E326="",$F326=""),0,MAX(0,MIN($F326,DATE(Dashboard!$C$4,8,1))-MAX($E326,DATE(Dashboard!$C$4,7,1))))</f>
        <v/>
      </c>
      <c r="Z326">
        <f>IF(OR($E326="",$F326=""),0,MAX(0,MIN($F326,DATE(Dashboard!$C$4,9,1))-MAX($E326,DATE(Dashboard!$C$4,8,1))))</f>
        <v/>
      </c>
      <c r="AA326">
        <f>IF(OR($E326="",$F326=""),0,MAX(0,MIN($F326,DATE(Dashboard!$C$4,10,1))-MAX($E326,DATE(Dashboard!$C$4,9,1))))</f>
        <v/>
      </c>
      <c r="AB326">
        <f>IF(OR($E326="",$F326=""),0,MAX(0,MIN($F326,DATE(Dashboard!$C$4,11,1))-MAX($E326,DATE(Dashboard!$C$4,10,1))))</f>
        <v/>
      </c>
      <c r="AC326">
        <f>IF(OR($E326="",$F326=""),0,MAX(0,MIN($F326,DATE(Dashboard!$C$4,12,1))-MAX($E326,DATE(Dashboard!$C$4,11,1))))</f>
        <v/>
      </c>
      <c r="AD326">
        <f>IF(OR($E326="",$F326=""),0,MAX(0,MIN($F326,DATE(Dashboard!$C$4,13,1))-MAX($E326,DATE(Dashboard!$C$4,12,1))))</f>
        <v/>
      </c>
      <c r="AE326">
        <f>SUM(S326:AD326)</f>
        <v/>
      </c>
      <c r="AF326">
        <f>Q326*AE326</f>
        <v/>
      </c>
      <c r="AG326">
        <f>R326*AE326</f>
        <v/>
      </c>
      <c r="AH326">
        <f>SUMPRODUCT(S326:AD326,--(COLUMN(S326:AD326)-COLUMN(S326)+1&lt;=Dashboard!$N$1))</f>
        <v/>
      </c>
      <c r="AI326">
        <f>IF(OR(E326="",E326&lt;TODAY()),"",E326+ROW()/100000)</f>
        <v/>
      </c>
      <c r="AJ326">
        <f>IF(OR(F326="",F326&lt;TODAY()),"",F326+ROW()/100000)</f>
        <v/>
      </c>
    </row>
    <row r="327">
      <c r="A327" s="1" t="n"/>
      <c r="B327" s="35" t="n"/>
      <c r="C327" s="35" t="n"/>
      <c r="D327" s="35" t="n"/>
      <c r="E327" s="36" t="n"/>
      <c r="F327" s="36" t="n"/>
      <c r="G327" s="18">
        <f>IF(OR(E327="",F327=""),"",F327-E327)</f>
        <v/>
      </c>
      <c r="H327" s="37" t="n"/>
      <c r="I327" s="38" t="n"/>
      <c r="J327" s="38" t="n"/>
      <c r="K327" s="38" t="n"/>
      <c r="L327" s="31">
        <f>IF(E327="","",N(I327)+N(J327)-N(K327))</f>
        <v/>
      </c>
      <c r="M327" s="39" t="n"/>
      <c r="N327" s="27">
        <f>IF(E327="","",IF(TODAY()&lt;E327,"Upcoming",IF(TODAY()&lt;F327,"Staying now",IF(M327="Yes","Checked out","Payout not received"))))</f>
        <v/>
      </c>
      <c r="O327" s="35" t="n"/>
      <c r="P327" s="1" t="n"/>
      <c r="Q327">
        <f>IF(N(G327)&gt;0,L327/G327,0)</f>
        <v/>
      </c>
      <c r="R327">
        <f>IF(N(G327)&gt;0,N(I327)/G327,0)</f>
        <v/>
      </c>
      <c r="S327">
        <f>IF(OR($E327="",$F327=""),0,MAX(0,MIN($F327,DATE(Dashboard!$C$4,2,1))-MAX($E327,DATE(Dashboard!$C$4,1,1))))</f>
        <v/>
      </c>
      <c r="T327">
        <f>IF(OR($E327="",$F327=""),0,MAX(0,MIN($F327,DATE(Dashboard!$C$4,3,1))-MAX($E327,DATE(Dashboard!$C$4,2,1))))</f>
        <v/>
      </c>
      <c r="U327">
        <f>IF(OR($E327="",$F327=""),0,MAX(0,MIN($F327,DATE(Dashboard!$C$4,4,1))-MAX($E327,DATE(Dashboard!$C$4,3,1))))</f>
        <v/>
      </c>
      <c r="V327">
        <f>IF(OR($E327="",$F327=""),0,MAX(0,MIN($F327,DATE(Dashboard!$C$4,5,1))-MAX($E327,DATE(Dashboard!$C$4,4,1))))</f>
        <v/>
      </c>
      <c r="W327">
        <f>IF(OR($E327="",$F327=""),0,MAX(0,MIN($F327,DATE(Dashboard!$C$4,6,1))-MAX($E327,DATE(Dashboard!$C$4,5,1))))</f>
        <v/>
      </c>
      <c r="X327">
        <f>IF(OR($E327="",$F327=""),0,MAX(0,MIN($F327,DATE(Dashboard!$C$4,7,1))-MAX($E327,DATE(Dashboard!$C$4,6,1))))</f>
        <v/>
      </c>
      <c r="Y327">
        <f>IF(OR($E327="",$F327=""),0,MAX(0,MIN($F327,DATE(Dashboard!$C$4,8,1))-MAX($E327,DATE(Dashboard!$C$4,7,1))))</f>
        <v/>
      </c>
      <c r="Z327">
        <f>IF(OR($E327="",$F327=""),0,MAX(0,MIN($F327,DATE(Dashboard!$C$4,9,1))-MAX($E327,DATE(Dashboard!$C$4,8,1))))</f>
        <v/>
      </c>
      <c r="AA327">
        <f>IF(OR($E327="",$F327=""),0,MAX(0,MIN($F327,DATE(Dashboard!$C$4,10,1))-MAX($E327,DATE(Dashboard!$C$4,9,1))))</f>
        <v/>
      </c>
      <c r="AB327">
        <f>IF(OR($E327="",$F327=""),0,MAX(0,MIN($F327,DATE(Dashboard!$C$4,11,1))-MAX($E327,DATE(Dashboard!$C$4,10,1))))</f>
        <v/>
      </c>
      <c r="AC327">
        <f>IF(OR($E327="",$F327=""),0,MAX(0,MIN($F327,DATE(Dashboard!$C$4,12,1))-MAX($E327,DATE(Dashboard!$C$4,11,1))))</f>
        <v/>
      </c>
      <c r="AD327">
        <f>IF(OR($E327="",$F327=""),0,MAX(0,MIN($F327,DATE(Dashboard!$C$4,13,1))-MAX($E327,DATE(Dashboard!$C$4,12,1))))</f>
        <v/>
      </c>
      <c r="AE327">
        <f>SUM(S327:AD327)</f>
        <v/>
      </c>
      <c r="AF327">
        <f>Q327*AE327</f>
        <v/>
      </c>
      <c r="AG327">
        <f>R327*AE327</f>
        <v/>
      </c>
      <c r="AH327">
        <f>SUMPRODUCT(S327:AD327,--(COLUMN(S327:AD327)-COLUMN(S327)+1&lt;=Dashboard!$N$1))</f>
        <v/>
      </c>
      <c r="AI327">
        <f>IF(OR(E327="",E327&lt;TODAY()),"",E327+ROW()/100000)</f>
        <v/>
      </c>
      <c r="AJ327">
        <f>IF(OR(F327="",F327&lt;TODAY()),"",F327+ROW()/100000)</f>
        <v/>
      </c>
    </row>
    <row r="328">
      <c r="A328" s="1" t="n"/>
      <c r="B328" s="35" t="n"/>
      <c r="C328" s="35" t="n"/>
      <c r="D328" s="35" t="n"/>
      <c r="E328" s="36" t="n"/>
      <c r="F328" s="36" t="n"/>
      <c r="G328" s="18">
        <f>IF(OR(E328="",F328=""),"",F328-E328)</f>
        <v/>
      </c>
      <c r="H328" s="37" t="n"/>
      <c r="I328" s="38" t="n"/>
      <c r="J328" s="38" t="n"/>
      <c r="K328" s="38" t="n"/>
      <c r="L328" s="31">
        <f>IF(E328="","",N(I328)+N(J328)-N(K328))</f>
        <v/>
      </c>
      <c r="M328" s="39" t="n"/>
      <c r="N328" s="27">
        <f>IF(E328="","",IF(TODAY()&lt;E328,"Upcoming",IF(TODAY()&lt;F328,"Staying now",IF(M328="Yes","Checked out","Payout not received"))))</f>
        <v/>
      </c>
      <c r="O328" s="35" t="n"/>
      <c r="P328" s="1" t="n"/>
      <c r="Q328">
        <f>IF(N(G328)&gt;0,L328/G328,0)</f>
        <v/>
      </c>
      <c r="R328">
        <f>IF(N(G328)&gt;0,N(I328)/G328,0)</f>
        <v/>
      </c>
      <c r="S328">
        <f>IF(OR($E328="",$F328=""),0,MAX(0,MIN($F328,DATE(Dashboard!$C$4,2,1))-MAX($E328,DATE(Dashboard!$C$4,1,1))))</f>
        <v/>
      </c>
      <c r="T328">
        <f>IF(OR($E328="",$F328=""),0,MAX(0,MIN($F328,DATE(Dashboard!$C$4,3,1))-MAX($E328,DATE(Dashboard!$C$4,2,1))))</f>
        <v/>
      </c>
      <c r="U328">
        <f>IF(OR($E328="",$F328=""),0,MAX(0,MIN($F328,DATE(Dashboard!$C$4,4,1))-MAX($E328,DATE(Dashboard!$C$4,3,1))))</f>
        <v/>
      </c>
      <c r="V328">
        <f>IF(OR($E328="",$F328=""),0,MAX(0,MIN($F328,DATE(Dashboard!$C$4,5,1))-MAX($E328,DATE(Dashboard!$C$4,4,1))))</f>
        <v/>
      </c>
      <c r="W328">
        <f>IF(OR($E328="",$F328=""),0,MAX(0,MIN($F328,DATE(Dashboard!$C$4,6,1))-MAX($E328,DATE(Dashboard!$C$4,5,1))))</f>
        <v/>
      </c>
      <c r="X328">
        <f>IF(OR($E328="",$F328=""),0,MAX(0,MIN($F328,DATE(Dashboard!$C$4,7,1))-MAX($E328,DATE(Dashboard!$C$4,6,1))))</f>
        <v/>
      </c>
      <c r="Y328">
        <f>IF(OR($E328="",$F328=""),0,MAX(0,MIN($F328,DATE(Dashboard!$C$4,8,1))-MAX($E328,DATE(Dashboard!$C$4,7,1))))</f>
        <v/>
      </c>
      <c r="Z328">
        <f>IF(OR($E328="",$F328=""),0,MAX(0,MIN($F328,DATE(Dashboard!$C$4,9,1))-MAX($E328,DATE(Dashboard!$C$4,8,1))))</f>
        <v/>
      </c>
      <c r="AA328">
        <f>IF(OR($E328="",$F328=""),0,MAX(0,MIN($F328,DATE(Dashboard!$C$4,10,1))-MAX($E328,DATE(Dashboard!$C$4,9,1))))</f>
        <v/>
      </c>
      <c r="AB328">
        <f>IF(OR($E328="",$F328=""),0,MAX(0,MIN($F328,DATE(Dashboard!$C$4,11,1))-MAX($E328,DATE(Dashboard!$C$4,10,1))))</f>
        <v/>
      </c>
      <c r="AC328">
        <f>IF(OR($E328="",$F328=""),0,MAX(0,MIN($F328,DATE(Dashboard!$C$4,12,1))-MAX($E328,DATE(Dashboard!$C$4,11,1))))</f>
        <v/>
      </c>
      <c r="AD328">
        <f>IF(OR($E328="",$F328=""),0,MAX(0,MIN($F328,DATE(Dashboard!$C$4,13,1))-MAX($E328,DATE(Dashboard!$C$4,12,1))))</f>
        <v/>
      </c>
      <c r="AE328">
        <f>SUM(S328:AD328)</f>
        <v/>
      </c>
      <c r="AF328">
        <f>Q328*AE328</f>
        <v/>
      </c>
      <c r="AG328">
        <f>R328*AE328</f>
        <v/>
      </c>
      <c r="AH328">
        <f>SUMPRODUCT(S328:AD328,--(COLUMN(S328:AD328)-COLUMN(S328)+1&lt;=Dashboard!$N$1))</f>
        <v/>
      </c>
      <c r="AI328">
        <f>IF(OR(E328="",E328&lt;TODAY()),"",E328+ROW()/100000)</f>
        <v/>
      </c>
      <c r="AJ328">
        <f>IF(OR(F328="",F328&lt;TODAY()),"",F328+ROW()/100000)</f>
        <v/>
      </c>
    </row>
    <row r="329">
      <c r="A329" s="1" t="n"/>
      <c r="B329" s="35" t="n"/>
      <c r="C329" s="35" t="n"/>
      <c r="D329" s="35" t="n"/>
      <c r="E329" s="36" t="n"/>
      <c r="F329" s="36" t="n"/>
      <c r="G329" s="18">
        <f>IF(OR(E329="",F329=""),"",F329-E329)</f>
        <v/>
      </c>
      <c r="H329" s="37" t="n"/>
      <c r="I329" s="38" t="n"/>
      <c r="J329" s="38" t="n"/>
      <c r="K329" s="38" t="n"/>
      <c r="L329" s="31">
        <f>IF(E329="","",N(I329)+N(J329)-N(K329))</f>
        <v/>
      </c>
      <c r="M329" s="39" t="n"/>
      <c r="N329" s="27">
        <f>IF(E329="","",IF(TODAY()&lt;E329,"Upcoming",IF(TODAY()&lt;F329,"Staying now",IF(M329="Yes","Checked out","Payout not received"))))</f>
        <v/>
      </c>
      <c r="O329" s="35" t="n"/>
      <c r="P329" s="1" t="n"/>
      <c r="Q329">
        <f>IF(N(G329)&gt;0,L329/G329,0)</f>
        <v/>
      </c>
      <c r="R329">
        <f>IF(N(G329)&gt;0,N(I329)/G329,0)</f>
        <v/>
      </c>
      <c r="S329">
        <f>IF(OR($E329="",$F329=""),0,MAX(0,MIN($F329,DATE(Dashboard!$C$4,2,1))-MAX($E329,DATE(Dashboard!$C$4,1,1))))</f>
        <v/>
      </c>
      <c r="T329">
        <f>IF(OR($E329="",$F329=""),0,MAX(0,MIN($F329,DATE(Dashboard!$C$4,3,1))-MAX($E329,DATE(Dashboard!$C$4,2,1))))</f>
        <v/>
      </c>
      <c r="U329">
        <f>IF(OR($E329="",$F329=""),0,MAX(0,MIN($F329,DATE(Dashboard!$C$4,4,1))-MAX($E329,DATE(Dashboard!$C$4,3,1))))</f>
        <v/>
      </c>
      <c r="V329">
        <f>IF(OR($E329="",$F329=""),0,MAX(0,MIN($F329,DATE(Dashboard!$C$4,5,1))-MAX($E329,DATE(Dashboard!$C$4,4,1))))</f>
        <v/>
      </c>
      <c r="W329">
        <f>IF(OR($E329="",$F329=""),0,MAX(0,MIN($F329,DATE(Dashboard!$C$4,6,1))-MAX($E329,DATE(Dashboard!$C$4,5,1))))</f>
        <v/>
      </c>
      <c r="X329">
        <f>IF(OR($E329="",$F329=""),0,MAX(0,MIN($F329,DATE(Dashboard!$C$4,7,1))-MAX($E329,DATE(Dashboard!$C$4,6,1))))</f>
        <v/>
      </c>
      <c r="Y329">
        <f>IF(OR($E329="",$F329=""),0,MAX(0,MIN($F329,DATE(Dashboard!$C$4,8,1))-MAX($E329,DATE(Dashboard!$C$4,7,1))))</f>
        <v/>
      </c>
      <c r="Z329">
        <f>IF(OR($E329="",$F329=""),0,MAX(0,MIN($F329,DATE(Dashboard!$C$4,9,1))-MAX($E329,DATE(Dashboard!$C$4,8,1))))</f>
        <v/>
      </c>
      <c r="AA329">
        <f>IF(OR($E329="",$F329=""),0,MAX(0,MIN($F329,DATE(Dashboard!$C$4,10,1))-MAX($E329,DATE(Dashboard!$C$4,9,1))))</f>
        <v/>
      </c>
      <c r="AB329">
        <f>IF(OR($E329="",$F329=""),0,MAX(0,MIN($F329,DATE(Dashboard!$C$4,11,1))-MAX($E329,DATE(Dashboard!$C$4,10,1))))</f>
        <v/>
      </c>
      <c r="AC329">
        <f>IF(OR($E329="",$F329=""),0,MAX(0,MIN($F329,DATE(Dashboard!$C$4,12,1))-MAX($E329,DATE(Dashboard!$C$4,11,1))))</f>
        <v/>
      </c>
      <c r="AD329">
        <f>IF(OR($E329="",$F329=""),0,MAX(0,MIN($F329,DATE(Dashboard!$C$4,13,1))-MAX($E329,DATE(Dashboard!$C$4,12,1))))</f>
        <v/>
      </c>
      <c r="AE329">
        <f>SUM(S329:AD329)</f>
        <v/>
      </c>
      <c r="AF329">
        <f>Q329*AE329</f>
        <v/>
      </c>
      <c r="AG329">
        <f>R329*AE329</f>
        <v/>
      </c>
      <c r="AH329">
        <f>SUMPRODUCT(S329:AD329,--(COLUMN(S329:AD329)-COLUMN(S329)+1&lt;=Dashboard!$N$1))</f>
        <v/>
      </c>
      <c r="AI329">
        <f>IF(OR(E329="",E329&lt;TODAY()),"",E329+ROW()/100000)</f>
        <v/>
      </c>
      <c r="AJ329">
        <f>IF(OR(F329="",F329&lt;TODAY()),"",F329+ROW()/100000)</f>
        <v/>
      </c>
    </row>
    <row r="330">
      <c r="A330" s="1" t="n"/>
      <c r="B330" s="35" t="n"/>
      <c r="C330" s="35" t="n"/>
      <c r="D330" s="35" t="n"/>
      <c r="E330" s="36" t="n"/>
      <c r="F330" s="36" t="n"/>
      <c r="G330" s="18">
        <f>IF(OR(E330="",F330=""),"",F330-E330)</f>
        <v/>
      </c>
      <c r="H330" s="37" t="n"/>
      <c r="I330" s="38" t="n"/>
      <c r="J330" s="38" t="n"/>
      <c r="K330" s="38" t="n"/>
      <c r="L330" s="31">
        <f>IF(E330="","",N(I330)+N(J330)-N(K330))</f>
        <v/>
      </c>
      <c r="M330" s="39" t="n"/>
      <c r="N330" s="27">
        <f>IF(E330="","",IF(TODAY()&lt;E330,"Upcoming",IF(TODAY()&lt;F330,"Staying now",IF(M330="Yes","Checked out","Payout not received"))))</f>
        <v/>
      </c>
      <c r="O330" s="35" t="n"/>
      <c r="P330" s="1" t="n"/>
      <c r="Q330">
        <f>IF(N(G330)&gt;0,L330/G330,0)</f>
        <v/>
      </c>
      <c r="R330">
        <f>IF(N(G330)&gt;0,N(I330)/G330,0)</f>
        <v/>
      </c>
      <c r="S330">
        <f>IF(OR($E330="",$F330=""),0,MAX(0,MIN($F330,DATE(Dashboard!$C$4,2,1))-MAX($E330,DATE(Dashboard!$C$4,1,1))))</f>
        <v/>
      </c>
      <c r="T330">
        <f>IF(OR($E330="",$F330=""),0,MAX(0,MIN($F330,DATE(Dashboard!$C$4,3,1))-MAX($E330,DATE(Dashboard!$C$4,2,1))))</f>
        <v/>
      </c>
      <c r="U330">
        <f>IF(OR($E330="",$F330=""),0,MAX(0,MIN($F330,DATE(Dashboard!$C$4,4,1))-MAX($E330,DATE(Dashboard!$C$4,3,1))))</f>
        <v/>
      </c>
      <c r="V330">
        <f>IF(OR($E330="",$F330=""),0,MAX(0,MIN($F330,DATE(Dashboard!$C$4,5,1))-MAX($E330,DATE(Dashboard!$C$4,4,1))))</f>
        <v/>
      </c>
      <c r="W330">
        <f>IF(OR($E330="",$F330=""),0,MAX(0,MIN($F330,DATE(Dashboard!$C$4,6,1))-MAX($E330,DATE(Dashboard!$C$4,5,1))))</f>
        <v/>
      </c>
      <c r="X330">
        <f>IF(OR($E330="",$F330=""),0,MAX(0,MIN($F330,DATE(Dashboard!$C$4,7,1))-MAX($E330,DATE(Dashboard!$C$4,6,1))))</f>
        <v/>
      </c>
      <c r="Y330">
        <f>IF(OR($E330="",$F330=""),0,MAX(0,MIN($F330,DATE(Dashboard!$C$4,8,1))-MAX($E330,DATE(Dashboard!$C$4,7,1))))</f>
        <v/>
      </c>
      <c r="Z330">
        <f>IF(OR($E330="",$F330=""),0,MAX(0,MIN($F330,DATE(Dashboard!$C$4,9,1))-MAX($E330,DATE(Dashboard!$C$4,8,1))))</f>
        <v/>
      </c>
      <c r="AA330">
        <f>IF(OR($E330="",$F330=""),0,MAX(0,MIN($F330,DATE(Dashboard!$C$4,10,1))-MAX($E330,DATE(Dashboard!$C$4,9,1))))</f>
        <v/>
      </c>
      <c r="AB330">
        <f>IF(OR($E330="",$F330=""),0,MAX(0,MIN($F330,DATE(Dashboard!$C$4,11,1))-MAX($E330,DATE(Dashboard!$C$4,10,1))))</f>
        <v/>
      </c>
      <c r="AC330">
        <f>IF(OR($E330="",$F330=""),0,MAX(0,MIN($F330,DATE(Dashboard!$C$4,12,1))-MAX($E330,DATE(Dashboard!$C$4,11,1))))</f>
        <v/>
      </c>
      <c r="AD330">
        <f>IF(OR($E330="",$F330=""),0,MAX(0,MIN($F330,DATE(Dashboard!$C$4,13,1))-MAX($E330,DATE(Dashboard!$C$4,12,1))))</f>
        <v/>
      </c>
      <c r="AE330">
        <f>SUM(S330:AD330)</f>
        <v/>
      </c>
      <c r="AF330">
        <f>Q330*AE330</f>
        <v/>
      </c>
      <c r="AG330">
        <f>R330*AE330</f>
        <v/>
      </c>
      <c r="AH330">
        <f>SUMPRODUCT(S330:AD330,--(COLUMN(S330:AD330)-COLUMN(S330)+1&lt;=Dashboard!$N$1))</f>
        <v/>
      </c>
      <c r="AI330">
        <f>IF(OR(E330="",E330&lt;TODAY()),"",E330+ROW()/100000)</f>
        <v/>
      </c>
      <c r="AJ330">
        <f>IF(OR(F330="",F330&lt;TODAY()),"",F330+ROW()/100000)</f>
        <v/>
      </c>
    </row>
    <row r="331">
      <c r="A331" s="1" t="n"/>
      <c r="B331" s="35" t="n"/>
      <c r="C331" s="35" t="n"/>
      <c r="D331" s="35" t="n"/>
      <c r="E331" s="36" t="n"/>
      <c r="F331" s="36" t="n"/>
      <c r="G331" s="18">
        <f>IF(OR(E331="",F331=""),"",F331-E331)</f>
        <v/>
      </c>
      <c r="H331" s="37" t="n"/>
      <c r="I331" s="38" t="n"/>
      <c r="J331" s="38" t="n"/>
      <c r="K331" s="38" t="n"/>
      <c r="L331" s="31">
        <f>IF(E331="","",N(I331)+N(J331)-N(K331))</f>
        <v/>
      </c>
      <c r="M331" s="39" t="n"/>
      <c r="N331" s="27">
        <f>IF(E331="","",IF(TODAY()&lt;E331,"Upcoming",IF(TODAY()&lt;F331,"Staying now",IF(M331="Yes","Checked out","Payout not received"))))</f>
        <v/>
      </c>
      <c r="O331" s="35" t="n"/>
      <c r="P331" s="1" t="n"/>
      <c r="Q331">
        <f>IF(N(G331)&gt;0,L331/G331,0)</f>
        <v/>
      </c>
      <c r="R331">
        <f>IF(N(G331)&gt;0,N(I331)/G331,0)</f>
        <v/>
      </c>
      <c r="S331">
        <f>IF(OR($E331="",$F331=""),0,MAX(0,MIN($F331,DATE(Dashboard!$C$4,2,1))-MAX($E331,DATE(Dashboard!$C$4,1,1))))</f>
        <v/>
      </c>
      <c r="T331">
        <f>IF(OR($E331="",$F331=""),0,MAX(0,MIN($F331,DATE(Dashboard!$C$4,3,1))-MAX($E331,DATE(Dashboard!$C$4,2,1))))</f>
        <v/>
      </c>
      <c r="U331">
        <f>IF(OR($E331="",$F331=""),0,MAX(0,MIN($F331,DATE(Dashboard!$C$4,4,1))-MAX($E331,DATE(Dashboard!$C$4,3,1))))</f>
        <v/>
      </c>
      <c r="V331">
        <f>IF(OR($E331="",$F331=""),0,MAX(0,MIN($F331,DATE(Dashboard!$C$4,5,1))-MAX($E331,DATE(Dashboard!$C$4,4,1))))</f>
        <v/>
      </c>
      <c r="W331">
        <f>IF(OR($E331="",$F331=""),0,MAX(0,MIN($F331,DATE(Dashboard!$C$4,6,1))-MAX($E331,DATE(Dashboard!$C$4,5,1))))</f>
        <v/>
      </c>
      <c r="X331">
        <f>IF(OR($E331="",$F331=""),0,MAX(0,MIN($F331,DATE(Dashboard!$C$4,7,1))-MAX($E331,DATE(Dashboard!$C$4,6,1))))</f>
        <v/>
      </c>
      <c r="Y331">
        <f>IF(OR($E331="",$F331=""),0,MAX(0,MIN($F331,DATE(Dashboard!$C$4,8,1))-MAX($E331,DATE(Dashboard!$C$4,7,1))))</f>
        <v/>
      </c>
      <c r="Z331">
        <f>IF(OR($E331="",$F331=""),0,MAX(0,MIN($F331,DATE(Dashboard!$C$4,9,1))-MAX($E331,DATE(Dashboard!$C$4,8,1))))</f>
        <v/>
      </c>
      <c r="AA331">
        <f>IF(OR($E331="",$F331=""),0,MAX(0,MIN($F331,DATE(Dashboard!$C$4,10,1))-MAX($E331,DATE(Dashboard!$C$4,9,1))))</f>
        <v/>
      </c>
      <c r="AB331">
        <f>IF(OR($E331="",$F331=""),0,MAX(0,MIN($F331,DATE(Dashboard!$C$4,11,1))-MAX($E331,DATE(Dashboard!$C$4,10,1))))</f>
        <v/>
      </c>
      <c r="AC331">
        <f>IF(OR($E331="",$F331=""),0,MAX(0,MIN($F331,DATE(Dashboard!$C$4,12,1))-MAX($E331,DATE(Dashboard!$C$4,11,1))))</f>
        <v/>
      </c>
      <c r="AD331">
        <f>IF(OR($E331="",$F331=""),0,MAX(0,MIN($F331,DATE(Dashboard!$C$4,13,1))-MAX($E331,DATE(Dashboard!$C$4,12,1))))</f>
        <v/>
      </c>
      <c r="AE331">
        <f>SUM(S331:AD331)</f>
        <v/>
      </c>
      <c r="AF331">
        <f>Q331*AE331</f>
        <v/>
      </c>
      <c r="AG331">
        <f>R331*AE331</f>
        <v/>
      </c>
      <c r="AH331">
        <f>SUMPRODUCT(S331:AD331,--(COLUMN(S331:AD331)-COLUMN(S331)+1&lt;=Dashboard!$N$1))</f>
        <v/>
      </c>
      <c r="AI331">
        <f>IF(OR(E331="",E331&lt;TODAY()),"",E331+ROW()/100000)</f>
        <v/>
      </c>
      <c r="AJ331">
        <f>IF(OR(F331="",F331&lt;TODAY()),"",F331+ROW()/100000)</f>
        <v/>
      </c>
    </row>
    <row r="332">
      <c r="A332" s="1" t="n"/>
      <c r="B332" s="35" t="n"/>
      <c r="C332" s="35" t="n"/>
      <c r="D332" s="35" t="n"/>
      <c r="E332" s="36" t="n"/>
      <c r="F332" s="36" t="n"/>
      <c r="G332" s="18">
        <f>IF(OR(E332="",F332=""),"",F332-E332)</f>
        <v/>
      </c>
      <c r="H332" s="37" t="n"/>
      <c r="I332" s="38" t="n"/>
      <c r="J332" s="38" t="n"/>
      <c r="K332" s="38" t="n"/>
      <c r="L332" s="31">
        <f>IF(E332="","",N(I332)+N(J332)-N(K332))</f>
        <v/>
      </c>
      <c r="M332" s="39" t="n"/>
      <c r="N332" s="27">
        <f>IF(E332="","",IF(TODAY()&lt;E332,"Upcoming",IF(TODAY()&lt;F332,"Staying now",IF(M332="Yes","Checked out","Payout not received"))))</f>
        <v/>
      </c>
      <c r="O332" s="35" t="n"/>
      <c r="P332" s="1" t="n"/>
      <c r="Q332">
        <f>IF(N(G332)&gt;0,L332/G332,0)</f>
        <v/>
      </c>
      <c r="R332">
        <f>IF(N(G332)&gt;0,N(I332)/G332,0)</f>
        <v/>
      </c>
      <c r="S332">
        <f>IF(OR($E332="",$F332=""),0,MAX(0,MIN($F332,DATE(Dashboard!$C$4,2,1))-MAX($E332,DATE(Dashboard!$C$4,1,1))))</f>
        <v/>
      </c>
      <c r="T332">
        <f>IF(OR($E332="",$F332=""),0,MAX(0,MIN($F332,DATE(Dashboard!$C$4,3,1))-MAX($E332,DATE(Dashboard!$C$4,2,1))))</f>
        <v/>
      </c>
      <c r="U332">
        <f>IF(OR($E332="",$F332=""),0,MAX(0,MIN($F332,DATE(Dashboard!$C$4,4,1))-MAX($E332,DATE(Dashboard!$C$4,3,1))))</f>
        <v/>
      </c>
      <c r="V332">
        <f>IF(OR($E332="",$F332=""),0,MAX(0,MIN($F332,DATE(Dashboard!$C$4,5,1))-MAX($E332,DATE(Dashboard!$C$4,4,1))))</f>
        <v/>
      </c>
      <c r="W332">
        <f>IF(OR($E332="",$F332=""),0,MAX(0,MIN($F332,DATE(Dashboard!$C$4,6,1))-MAX($E332,DATE(Dashboard!$C$4,5,1))))</f>
        <v/>
      </c>
      <c r="X332">
        <f>IF(OR($E332="",$F332=""),0,MAX(0,MIN($F332,DATE(Dashboard!$C$4,7,1))-MAX($E332,DATE(Dashboard!$C$4,6,1))))</f>
        <v/>
      </c>
      <c r="Y332">
        <f>IF(OR($E332="",$F332=""),0,MAX(0,MIN($F332,DATE(Dashboard!$C$4,8,1))-MAX($E332,DATE(Dashboard!$C$4,7,1))))</f>
        <v/>
      </c>
      <c r="Z332">
        <f>IF(OR($E332="",$F332=""),0,MAX(0,MIN($F332,DATE(Dashboard!$C$4,9,1))-MAX($E332,DATE(Dashboard!$C$4,8,1))))</f>
        <v/>
      </c>
      <c r="AA332">
        <f>IF(OR($E332="",$F332=""),0,MAX(0,MIN($F332,DATE(Dashboard!$C$4,10,1))-MAX($E332,DATE(Dashboard!$C$4,9,1))))</f>
        <v/>
      </c>
      <c r="AB332">
        <f>IF(OR($E332="",$F332=""),0,MAX(0,MIN($F332,DATE(Dashboard!$C$4,11,1))-MAX($E332,DATE(Dashboard!$C$4,10,1))))</f>
        <v/>
      </c>
      <c r="AC332">
        <f>IF(OR($E332="",$F332=""),0,MAX(0,MIN($F332,DATE(Dashboard!$C$4,12,1))-MAX($E332,DATE(Dashboard!$C$4,11,1))))</f>
        <v/>
      </c>
      <c r="AD332">
        <f>IF(OR($E332="",$F332=""),0,MAX(0,MIN($F332,DATE(Dashboard!$C$4,13,1))-MAX($E332,DATE(Dashboard!$C$4,12,1))))</f>
        <v/>
      </c>
      <c r="AE332">
        <f>SUM(S332:AD332)</f>
        <v/>
      </c>
      <c r="AF332">
        <f>Q332*AE332</f>
        <v/>
      </c>
      <c r="AG332">
        <f>R332*AE332</f>
        <v/>
      </c>
      <c r="AH332">
        <f>SUMPRODUCT(S332:AD332,--(COLUMN(S332:AD332)-COLUMN(S332)+1&lt;=Dashboard!$N$1))</f>
        <v/>
      </c>
      <c r="AI332">
        <f>IF(OR(E332="",E332&lt;TODAY()),"",E332+ROW()/100000)</f>
        <v/>
      </c>
      <c r="AJ332">
        <f>IF(OR(F332="",F332&lt;TODAY()),"",F332+ROW()/100000)</f>
        <v/>
      </c>
    </row>
    <row r="333">
      <c r="A333" s="1" t="n"/>
      <c r="B333" s="35" t="n"/>
      <c r="C333" s="35" t="n"/>
      <c r="D333" s="35" t="n"/>
      <c r="E333" s="36" t="n"/>
      <c r="F333" s="36" t="n"/>
      <c r="G333" s="18">
        <f>IF(OR(E333="",F333=""),"",F333-E333)</f>
        <v/>
      </c>
      <c r="H333" s="37" t="n"/>
      <c r="I333" s="38" t="n"/>
      <c r="J333" s="38" t="n"/>
      <c r="K333" s="38" t="n"/>
      <c r="L333" s="31">
        <f>IF(E333="","",N(I333)+N(J333)-N(K333))</f>
        <v/>
      </c>
      <c r="M333" s="39" t="n"/>
      <c r="N333" s="27">
        <f>IF(E333="","",IF(TODAY()&lt;E333,"Upcoming",IF(TODAY()&lt;F333,"Staying now",IF(M333="Yes","Checked out","Payout not received"))))</f>
        <v/>
      </c>
      <c r="O333" s="35" t="n"/>
      <c r="P333" s="1" t="n"/>
      <c r="Q333">
        <f>IF(N(G333)&gt;0,L333/G333,0)</f>
        <v/>
      </c>
      <c r="R333">
        <f>IF(N(G333)&gt;0,N(I333)/G333,0)</f>
        <v/>
      </c>
      <c r="S333">
        <f>IF(OR($E333="",$F333=""),0,MAX(0,MIN($F333,DATE(Dashboard!$C$4,2,1))-MAX($E333,DATE(Dashboard!$C$4,1,1))))</f>
        <v/>
      </c>
      <c r="T333">
        <f>IF(OR($E333="",$F333=""),0,MAX(0,MIN($F333,DATE(Dashboard!$C$4,3,1))-MAX($E333,DATE(Dashboard!$C$4,2,1))))</f>
        <v/>
      </c>
      <c r="U333">
        <f>IF(OR($E333="",$F333=""),0,MAX(0,MIN($F333,DATE(Dashboard!$C$4,4,1))-MAX($E333,DATE(Dashboard!$C$4,3,1))))</f>
        <v/>
      </c>
      <c r="V333">
        <f>IF(OR($E333="",$F333=""),0,MAX(0,MIN($F333,DATE(Dashboard!$C$4,5,1))-MAX($E333,DATE(Dashboard!$C$4,4,1))))</f>
        <v/>
      </c>
      <c r="W333">
        <f>IF(OR($E333="",$F333=""),0,MAX(0,MIN($F333,DATE(Dashboard!$C$4,6,1))-MAX($E333,DATE(Dashboard!$C$4,5,1))))</f>
        <v/>
      </c>
      <c r="X333">
        <f>IF(OR($E333="",$F333=""),0,MAX(0,MIN($F333,DATE(Dashboard!$C$4,7,1))-MAX($E333,DATE(Dashboard!$C$4,6,1))))</f>
        <v/>
      </c>
      <c r="Y333">
        <f>IF(OR($E333="",$F333=""),0,MAX(0,MIN($F333,DATE(Dashboard!$C$4,8,1))-MAX($E333,DATE(Dashboard!$C$4,7,1))))</f>
        <v/>
      </c>
      <c r="Z333">
        <f>IF(OR($E333="",$F333=""),0,MAX(0,MIN($F333,DATE(Dashboard!$C$4,9,1))-MAX($E333,DATE(Dashboard!$C$4,8,1))))</f>
        <v/>
      </c>
      <c r="AA333">
        <f>IF(OR($E333="",$F333=""),0,MAX(0,MIN($F333,DATE(Dashboard!$C$4,10,1))-MAX($E333,DATE(Dashboard!$C$4,9,1))))</f>
        <v/>
      </c>
      <c r="AB333">
        <f>IF(OR($E333="",$F333=""),0,MAX(0,MIN($F333,DATE(Dashboard!$C$4,11,1))-MAX($E333,DATE(Dashboard!$C$4,10,1))))</f>
        <v/>
      </c>
      <c r="AC333">
        <f>IF(OR($E333="",$F333=""),0,MAX(0,MIN($F333,DATE(Dashboard!$C$4,12,1))-MAX($E333,DATE(Dashboard!$C$4,11,1))))</f>
        <v/>
      </c>
      <c r="AD333">
        <f>IF(OR($E333="",$F333=""),0,MAX(0,MIN($F333,DATE(Dashboard!$C$4,13,1))-MAX($E333,DATE(Dashboard!$C$4,12,1))))</f>
        <v/>
      </c>
      <c r="AE333">
        <f>SUM(S333:AD333)</f>
        <v/>
      </c>
      <c r="AF333">
        <f>Q333*AE333</f>
        <v/>
      </c>
      <c r="AG333">
        <f>R333*AE333</f>
        <v/>
      </c>
      <c r="AH333">
        <f>SUMPRODUCT(S333:AD333,--(COLUMN(S333:AD333)-COLUMN(S333)+1&lt;=Dashboard!$N$1))</f>
        <v/>
      </c>
      <c r="AI333">
        <f>IF(OR(E333="",E333&lt;TODAY()),"",E333+ROW()/100000)</f>
        <v/>
      </c>
      <c r="AJ333">
        <f>IF(OR(F333="",F333&lt;TODAY()),"",F333+ROW()/100000)</f>
        <v/>
      </c>
    </row>
    <row r="334">
      <c r="A334" s="1" t="n"/>
      <c r="B334" s="35" t="n"/>
      <c r="C334" s="35" t="n"/>
      <c r="D334" s="35" t="n"/>
      <c r="E334" s="36" t="n"/>
      <c r="F334" s="36" t="n"/>
      <c r="G334" s="18">
        <f>IF(OR(E334="",F334=""),"",F334-E334)</f>
        <v/>
      </c>
      <c r="H334" s="37" t="n"/>
      <c r="I334" s="38" t="n"/>
      <c r="J334" s="38" t="n"/>
      <c r="K334" s="38" t="n"/>
      <c r="L334" s="31">
        <f>IF(E334="","",N(I334)+N(J334)-N(K334))</f>
        <v/>
      </c>
      <c r="M334" s="39" t="n"/>
      <c r="N334" s="27">
        <f>IF(E334="","",IF(TODAY()&lt;E334,"Upcoming",IF(TODAY()&lt;F334,"Staying now",IF(M334="Yes","Checked out","Payout not received"))))</f>
        <v/>
      </c>
      <c r="O334" s="35" t="n"/>
      <c r="P334" s="1" t="n"/>
      <c r="Q334">
        <f>IF(N(G334)&gt;0,L334/G334,0)</f>
        <v/>
      </c>
      <c r="R334">
        <f>IF(N(G334)&gt;0,N(I334)/G334,0)</f>
        <v/>
      </c>
      <c r="S334">
        <f>IF(OR($E334="",$F334=""),0,MAX(0,MIN($F334,DATE(Dashboard!$C$4,2,1))-MAX($E334,DATE(Dashboard!$C$4,1,1))))</f>
        <v/>
      </c>
      <c r="T334">
        <f>IF(OR($E334="",$F334=""),0,MAX(0,MIN($F334,DATE(Dashboard!$C$4,3,1))-MAX($E334,DATE(Dashboard!$C$4,2,1))))</f>
        <v/>
      </c>
      <c r="U334">
        <f>IF(OR($E334="",$F334=""),0,MAX(0,MIN($F334,DATE(Dashboard!$C$4,4,1))-MAX($E334,DATE(Dashboard!$C$4,3,1))))</f>
        <v/>
      </c>
      <c r="V334">
        <f>IF(OR($E334="",$F334=""),0,MAX(0,MIN($F334,DATE(Dashboard!$C$4,5,1))-MAX($E334,DATE(Dashboard!$C$4,4,1))))</f>
        <v/>
      </c>
      <c r="W334">
        <f>IF(OR($E334="",$F334=""),0,MAX(0,MIN($F334,DATE(Dashboard!$C$4,6,1))-MAX($E334,DATE(Dashboard!$C$4,5,1))))</f>
        <v/>
      </c>
      <c r="X334">
        <f>IF(OR($E334="",$F334=""),0,MAX(0,MIN($F334,DATE(Dashboard!$C$4,7,1))-MAX($E334,DATE(Dashboard!$C$4,6,1))))</f>
        <v/>
      </c>
      <c r="Y334">
        <f>IF(OR($E334="",$F334=""),0,MAX(0,MIN($F334,DATE(Dashboard!$C$4,8,1))-MAX($E334,DATE(Dashboard!$C$4,7,1))))</f>
        <v/>
      </c>
      <c r="Z334">
        <f>IF(OR($E334="",$F334=""),0,MAX(0,MIN($F334,DATE(Dashboard!$C$4,9,1))-MAX($E334,DATE(Dashboard!$C$4,8,1))))</f>
        <v/>
      </c>
      <c r="AA334">
        <f>IF(OR($E334="",$F334=""),0,MAX(0,MIN($F334,DATE(Dashboard!$C$4,10,1))-MAX($E334,DATE(Dashboard!$C$4,9,1))))</f>
        <v/>
      </c>
      <c r="AB334">
        <f>IF(OR($E334="",$F334=""),0,MAX(0,MIN($F334,DATE(Dashboard!$C$4,11,1))-MAX($E334,DATE(Dashboard!$C$4,10,1))))</f>
        <v/>
      </c>
      <c r="AC334">
        <f>IF(OR($E334="",$F334=""),0,MAX(0,MIN($F334,DATE(Dashboard!$C$4,12,1))-MAX($E334,DATE(Dashboard!$C$4,11,1))))</f>
        <v/>
      </c>
      <c r="AD334">
        <f>IF(OR($E334="",$F334=""),0,MAX(0,MIN($F334,DATE(Dashboard!$C$4,13,1))-MAX($E334,DATE(Dashboard!$C$4,12,1))))</f>
        <v/>
      </c>
      <c r="AE334">
        <f>SUM(S334:AD334)</f>
        <v/>
      </c>
      <c r="AF334">
        <f>Q334*AE334</f>
        <v/>
      </c>
      <c r="AG334">
        <f>R334*AE334</f>
        <v/>
      </c>
      <c r="AH334">
        <f>SUMPRODUCT(S334:AD334,--(COLUMN(S334:AD334)-COLUMN(S334)+1&lt;=Dashboard!$N$1))</f>
        <v/>
      </c>
      <c r="AI334">
        <f>IF(OR(E334="",E334&lt;TODAY()),"",E334+ROW()/100000)</f>
        <v/>
      </c>
      <c r="AJ334">
        <f>IF(OR(F334="",F334&lt;TODAY()),"",F334+ROW()/100000)</f>
        <v/>
      </c>
    </row>
    <row r="335">
      <c r="A335" s="1" t="n"/>
      <c r="B335" s="35" t="n"/>
      <c r="C335" s="35" t="n"/>
      <c r="D335" s="35" t="n"/>
      <c r="E335" s="36" t="n"/>
      <c r="F335" s="36" t="n"/>
      <c r="G335" s="18">
        <f>IF(OR(E335="",F335=""),"",F335-E335)</f>
        <v/>
      </c>
      <c r="H335" s="37" t="n"/>
      <c r="I335" s="38" t="n"/>
      <c r="J335" s="38" t="n"/>
      <c r="K335" s="38" t="n"/>
      <c r="L335" s="31">
        <f>IF(E335="","",N(I335)+N(J335)-N(K335))</f>
        <v/>
      </c>
      <c r="M335" s="39" t="n"/>
      <c r="N335" s="27">
        <f>IF(E335="","",IF(TODAY()&lt;E335,"Upcoming",IF(TODAY()&lt;F335,"Staying now",IF(M335="Yes","Checked out","Payout not received"))))</f>
        <v/>
      </c>
      <c r="O335" s="35" t="n"/>
      <c r="P335" s="1" t="n"/>
      <c r="Q335">
        <f>IF(N(G335)&gt;0,L335/G335,0)</f>
        <v/>
      </c>
      <c r="R335">
        <f>IF(N(G335)&gt;0,N(I335)/G335,0)</f>
        <v/>
      </c>
      <c r="S335">
        <f>IF(OR($E335="",$F335=""),0,MAX(0,MIN($F335,DATE(Dashboard!$C$4,2,1))-MAX($E335,DATE(Dashboard!$C$4,1,1))))</f>
        <v/>
      </c>
      <c r="T335">
        <f>IF(OR($E335="",$F335=""),0,MAX(0,MIN($F335,DATE(Dashboard!$C$4,3,1))-MAX($E335,DATE(Dashboard!$C$4,2,1))))</f>
        <v/>
      </c>
      <c r="U335">
        <f>IF(OR($E335="",$F335=""),0,MAX(0,MIN($F335,DATE(Dashboard!$C$4,4,1))-MAX($E335,DATE(Dashboard!$C$4,3,1))))</f>
        <v/>
      </c>
      <c r="V335">
        <f>IF(OR($E335="",$F335=""),0,MAX(0,MIN($F335,DATE(Dashboard!$C$4,5,1))-MAX($E335,DATE(Dashboard!$C$4,4,1))))</f>
        <v/>
      </c>
      <c r="W335">
        <f>IF(OR($E335="",$F335=""),0,MAX(0,MIN($F335,DATE(Dashboard!$C$4,6,1))-MAX($E335,DATE(Dashboard!$C$4,5,1))))</f>
        <v/>
      </c>
      <c r="X335">
        <f>IF(OR($E335="",$F335=""),0,MAX(0,MIN($F335,DATE(Dashboard!$C$4,7,1))-MAX($E335,DATE(Dashboard!$C$4,6,1))))</f>
        <v/>
      </c>
      <c r="Y335">
        <f>IF(OR($E335="",$F335=""),0,MAX(0,MIN($F335,DATE(Dashboard!$C$4,8,1))-MAX($E335,DATE(Dashboard!$C$4,7,1))))</f>
        <v/>
      </c>
      <c r="Z335">
        <f>IF(OR($E335="",$F335=""),0,MAX(0,MIN($F335,DATE(Dashboard!$C$4,9,1))-MAX($E335,DATE(Dashboard!$C$4,8,1))))</f>
        <v/>
      </c>
      <c r="AA335">
        <f>IF(OR($E335="",$F335=""),0,MAX(0,MIN($F335,DATE(Dashboard!$C$4,10,1))-MAX($E335,DATE(Dashboard!$C$4,9,1))))</f>
        <v/>
      </c>
      <c r="AB335">
        <f>IF(OR($E335="",$F335=""),0,MAX(0,MIN($F335,DATE(Dashboard!$C$4,11,1))-MAX($E335,DATE(Dashboard!$C$4,10,1))))</f>
        <v/>
      </c>
      <c r="AC335">
        <f>IF(OR($E335="",$F335=""),0,MAX(0,MIN($F335,DATE(Dashboard!$C$4,12,1))-MAX($E335,DATE(Dashboard!$C$4,11,1))))</f>
        <v/>
      </c>
      <c r="AD335">
        <f>IF(OR($E335="",$F335=""),0,MAX(0,MIN($F335,DATE(Dashboard!$C$4,13,1))-MAX($E335,DATE(Dashboard!$C$4,12,1))))</f>
        <v/>
      </c>
      <c r="AE335">
        <f>SUM(S335:AD335)</f>
        <v/>
      </c>
      <c r="AF335">
        <f>Q335*AE335</f>
        <v/>
      </c>
      <c r="AG335">
        <f>R335*AE335</f>
        <v/>
      </c>
      <c r="AH335">
        <f>SUMPRODUCT(S335:AD335,--(COLUMN(S335:AD335)-COLUMN(S335)+1&lt;=Dashboard!$N$1))</f>
        <v/>
      </c>
      <c r="AI335">
        <f>IF(OR(E335="",E335&lt;TODAY()),"",E335+ROW()/100000)</f>
        <v/>
      </c>
      <c r="AJ335">
        <f>IF(OR(F335="",F335&lt;TODAY()),"",F335+ROW()/100000)</f>
        <v/>
      </c>
    </row>
    <row r="336">
      <c r="A336" s="1" t="n"/>
      <c r="B336" s="35" t="n"/>
      <c r="C336" s="35" t="n"/>
      <c r="D336" s="35" t="n"/>
      <c r="E336" s="36" t="n"/>
      <c r="F336" s="36" t="n"/>
      <c r="G336" s="18">
        <f>IF(OR(E336="",F336=""),"",F336-E336)</f>
        <v/>
      </c>
      <c r="H336" s="37" t="n"/>
      <c r="I336" s="38" t="n"/>
      <c r="J336" s="38" t="n"/>
      <c r="K336" s="38" t="n"/>
      <c r="L336" s="31">
        <f>IF(E336="","",N(I336)+N(J336)-N(K336))</f>
        <v/>
      </c>
      <c r="M336" s="39" t="n"/>
      <c r="N336" s="27">
        <f>IF(E336="","",IF(TODAY()&lt;E336,"Upcoming",IF(TODAY()&lt;F336,"Staying now",IF(M336="Yes","Checked out","Payout not received"))))</f>
        <v/>
      </c>
      <c r="O336" s="35" t="n"/>
      <c r="P336" s="1" t="n"/>
      <c r="Q336">
        <f>IF(N(G336)&gt;0,L336/G336,0)</f>
        <v/>
      </c>
      <c r="R336">
        <f>IF(N(G336)&gt;0,N(I336)/G336,0)</f>
        <v/>
      </c>
      <c r="S336">
        <f>IF(OR($E336="",$F336=""),0,MAX(0,MIN($F336,DATE(Dashboard!$C$4,2,1))-MAX($E336,DATE(Dashboard!$C$4,1,1))))</f>
        <v/>
      </c>
      <c r="T336">
        <f>IF(OR($E336="",$F336=""),0,MAX(0,MIN($F336,DATE(Dashboard!$C$4,3,1))-MAX($E336,DATE(Dashboard!$C$4,2,1))))</f>
        <v/>
      </c>
      <c r="U336">
        <f>IF(OR($E336="",$F336=""),0,MAX(0,MIN($F336,DATE(Dashboard!$C$4,4,1))-MAX($E336,DATE(Dashboard!$C$4,3,1))))</f>
        <v/>
      </c>
      <c r="V336">
        <f>IF(OR($E336="",$F336=""),0,MAX(0,MIN($F336,DATE(Dashboard!$C$4,5,1))-MAX($E336,DATE(Dashboard!$C$4,4,1))))</f>
        <v/>
      </c>
      <c r="W336">
        <f>IF(OR($E336="",$F336=""),0,MAX(0,MIN($F336,DATE(Dashboard!$C$4,6,1))-MAX($E336,DATE(Dashboard!$C$4,5,1))))</f>
        <v/>
      </c>
      <c r="X336">
        <f>IF(OR($E336="",$F336=""),0,MAX(0,MIN($F336,DATE(Dashboard!$C$4,7,1))-MAX($E336,DATE(Dashboard!$C$4,6,1))))</f>
        <v/>
      </c>
      <c r="Y336">
        <f>IF(OR($E336="",$F336=""),0,MAX(0,MIN($F336,DATE(Dashboard!$C$4,8,1))-MAX($E336,DATE(Dashboard!$C$4,7,1))))</f>
        <v/>
      </c>
      <c r="Z336">
        <f>IF(OR($E336="",$F336=""),0,MAX(0,MIN($F336,DATE(Dashboard!$C$4,9,1))-MAX($E336,DATE(Dashboard!$C$4,8,1))))</f>
        <v/>
      </c>
      <c r="AA336">
        <f>IF(OR($E336="",$F336=""),0,MAX(0,MIN($F336,DATE(Dashboard!$C$4,10,1))-MAX($E336,DATE(Dashboard!$C$4,9,1))))</f>
        <v/>
      </c>
      <c r="AB336">
        <f>IF(OR($E336="",$F336=""),0,MAX(0,MIN($F336,DATE(Dashboard!$C$4,11,1))-MAX($E336,DATE(Dashboard!$C$4,10,1))))</f>
        <v/>
      </c>
      <c r="AC336">
        <f>IF(OR($E336="",$F336=""),0,MAX(0,MIN($F336,DATE(Dashboard!$C$4,12,1))-MAX($E336,DATE(Dashboard!$C$4,11,1))))</f>
        <v/>
      </c>
      <c r="AD336">
        <f>IF(OR($E336="",$F336=""),0,MAX(0,MIN($F336,DATE(Dashboard!$C$4,13,1))-MAX($E336,DATE(Dashboard!$C$4,12,1))))</f>
        <v/>
      </c>
      <c r="AE336">
        <f>SUM(S336:AD336)</f>
        <v/>
      </c>
      <c r="AF336">
        <f>Q336*AE336</f>
        <v/>
      </c>
      <c r="AG336">
        <f>R336*AE336</f>
        <v/>
      </c>
      <c r="AH336">
        <f>SUMPRODUCT(S336:AD336,--(COLUMN(S336:AD336)-COLUMN(S336)+1&lt;=Dashboard!$N$1))</f>
        <v/>
      </c>
      <c r="AI336">
        <f>IF(OR(E336="",E336&lt;TODAY()),"",E336+ROW()/100000)</f>
        <v/>
      </c>
      <c r="AJ336">
        <f>IF(OR(F336="",F336&lt;TODAY()),"",F336+ROW()/100000)</f>
        <v/>
      </c>
    </row>
    <row r="337">
      <c r="A337" s="1" t="n"/>
      <c r="B337" s="35" t="n"/>
      <c r="C337" s="35" t="n"/>
      <c r="D337" s="35" t="n"/>
      <c r="E337" s="36" t="n"/>
      <c r="F337" s="36" t="n"/>
      <c r="G337" s="18">
        <f>IF(OR(E337="",F337=""),"",F337-E337)</f>
        <v/>
      </c>
      <c r="H337" s="37" t="n"/>
      <c r="I337" s="38" t="n"/>
      <c r="J337" s="38" t="n"/>
      <c r="K337" s="38" t="n"/>
      <c r="L337" s="31">
        <f>IF(E337="","",N(I337)+N(J337)-N(K337))</f>
        <v/>
      </c>
      <c r="M337" s="39" t="n"/>
      <c r="N337" s="27">
        <f>IF(E337="","",IF(TODAY()&lt;E337,"Upcoming",IF(TODAY()&lt;F337,"Staying now",IF(M337="Yes","Checked out","Payout not received"))))</f>
        <v/>
      </c>
      <c r="O337" s="35" t="n"/>
      <c r="P337" s="1" t="n"/>
      <c r="Q337">
        <f>IF(N(G337)&gt;0,L337/G337,0)</f>
        <v/>
      </c>
      <c r="R337">
        <f>IF(N(G337)&gt;0,N(I337)/G337,0)</f>
        <v/>
      </c>
      <c r="S337">
        <f>IF(OR($E337="",$F337=""),0,MAX(0,MIN($F337,DATE(Dashboard!$C$4,2,1))-MAX($E337,DATE(Dashboard!$C$4,1,1))))</f>
        <v/>
      </c>
      <c r="T337">
        <f>IF(OR($E337="",$F337=""),0,MAX(0,MIN($F337,DATE(Dashboard!$C$4,3,1))-MAX($E337,DATE(Dashboard!$C$4,2,1))))</f>
        <v/>
      </c>
      <c r="U337">
        <f>IF(OR($E337="",$F337=""),0,MAX(0,MIN($F337,DATE(Dashboard!$C$4,4,1))-MAX($E337,DATE(Dashboard!$C$4,3,1))))</f>
        <v/>
      </c>
      <c r="V337">
        <f>IF(OR($E337="",$F337=""),0,MAX(0,MIN($F337,DATE(Dashboard!$C$4,5,1))-MAX($E337,DATE(Dashboard!$C$4,4,1))))</f>
        <v/>
      </c>
      <c r="W337">
        <f>IF(OR($E337="",$F337=""),0,MAX(0,MIN($F337,DATE(Dashboard!$C$4,6,1))-MAX($E337,DATE(Dashboard!$C$4,5,1))))</f>
        <v/>
      </c>
      <c r="X337">
        <f>IF(OR($E337="",$F337=""),0,MAX(0,MIN($F337,DATE(Dashboard!$C$4,7,1))-MAX($E337,DATE(Dashboard!$C$4,6,1))))</f>
        <v/>
      </c>
      <c r="Y337">
        <f>IF(OR($E337="",$F337=""),0,MAX(0,MIN($F337,DATE(Dashboard!$C$4,8,1))-MAX($E337,DATE(Dashboard!$C$4,7,1))))</f>
        <v/>
      </c>
      <c r="Z337">
        <f>IF(OR($E337="",$F337=""),0,MAX(0,MIN($F337,DATE(Dashboard!$C$4,9,1))-MAX($E337,DATE(Dashboard!$C$4,8,1))))</f>
        <v/>
      </c>
      <c r="AA337">
        <f>IF(OR($E337="",$F337=""),0,MAX(0,MIN($F337,DATE(Dashboard!$C$4,10,1))-MAX($E337,DATE(Dashboard!$C$4,9,1))))</f>
        <v/>
      </c>
      <c r="AB337">
        <f>IF(OR($E337="",$F337=""),0,MAX(0,MIN($F337,DATE(Dashboard!$C$4,11,1))-MAX($E337,DATE(Dashboard!$C$4,10,1))))</f>
        <v/>
      </c>
      <c r="AC337">
        <f>IF(OR($E337="",$F337=""),0,MAX(0,MIN($F337,DATE(Dashboard!$C$4,12,1))-MAX($E337,DATE(Dashboard!$C$4,11,1))))</f>
        <v/>
      </c>
      <c r="AD337">
        <f>IF(OR($E337="",$F337=""),0,MAX(0,MIN($F337,DATE(Dashboard!$C$4,13,1))-MAX($E337,DATE(Dashboard!$C$4,12,1))))</f>
        <v/>
      </c>
      <c r="AE337">
        <f>SUM(S337:AD337)</f>
        <v/>
      </c>
      <c r="AF337">
        <f>Q337*AE337</f>
        <v/>
      </c>
      <c r="AG337">
        <f>R337*AE337</f>
        <v/>
      </c>
      <c r="AH337">
        <f>SUMPRODUCT(S337:AD337,--(COLUMN(S337:AD337)-COLUMN(S337)+1&lt;=Dashboard!$N$1))</f>
        <v/>
      </c>
      <c r="AI337">
        <f>IF(OR(E337="",E337&lt;TODAY()),"",E337+ROW()/100000)</f>
        <v/>
      </c>
      <c r="AJ337">
        <f>IF(OR(F337="",F337&lt;TODAY()),"",F337+ROW()/100000)</f>
        <v/>
      </c>
    </row>
    <row r="338">
      <c r="A338" s="1" t="n"/>
      <c r="B338" s="35" t="n"/>
      <c r="C338" s="35" t="n"/>
      <c r="D338" s="35" t="n"/>
      <c r="E338" s="36" t="n"/>
      <c r="F338" s="36" t="n"/>
      <c r="G338" s="18">
        <f>IF(OR(E338="",F338=""),"",F338-E338)</f>
        <v/>
      </c>
      <c r="H338" s="37" t="n"/>
      <c r="I338" s="38" t="n"/>
      <c r="J338" s="38" t="n"/>
      <c r="K338" s="38" t="n"/>
      <c r="L338" s="31">
        <f>IF(E338="","",N(I338)+N(J338)-N(K338))</f>
        <v/>
      </c>
      <c r="M338" s="39" t="n"/>
      <c r="N338" s="27">
        <f>IF(E338="","",IF(TODAY()&lt;E338,"Upcoming",IF(TODAY()&lt;F338,"Staying now",IF(M338="Yes","Checked out","Payout not received"))))</f>
        <v/>
      </c>
      <c r="O338" s="35" t="n"/>
      <c r="P338" s="1" t="n"/>
      <c r="Q338">
        <f>IF(N(G338)&gt;0,L338/G338,0)</f>
        <v/>
      </c>
      <c r="R338">
        <f>IF(N(G338)&gt;0,N(I338)/G338,0)</f>
        <v/>
      </c>
      <c r="S338">
        <f>IF(OR($E338="",$F338=""),0,MAX(0,MIN($F338,DATE(Dashboard!$C$4,2,1))-MAX($E338,DATE(Dashboard!$C$4,1,1))))</f>
        <v/>
      </c>
      <c r="T338">
        <f>IF(OR($E338="",$F338=""),0,MAX(0,MIN($F338,DATE(Dashboard!$C$4,3,1))-MAX($E338,DATE(Dashboard!$C$4,2,1))))</f>
        <v/>
      </c>
      <c r="U338">
        <f>IF(OR($E338="",$F338=""),0,MAX(0,MIN($F338,DATE(Dashboard!$C$4,4,1))-MAX($E338,DATE(Dashboard!$C$4,3,1))))</f>
        <v/>
      </c>
      <c r="V338">
        <f>IF(OR($E338="",$F338=""),0,MAX(0,MIN($F338,DATE(Dashboard!$C$4,5,1))-MAX($E338,DATE(Dashboard!$C$4,4,1))))</f>
        <v/>
      </c>
      <c r="W338">
        <f>IF(OR($E338="",$F338=""),0,MAX(0,MIN($F338,DATE(Dashboard!$C$4,6,1))-MAX($E338,DATE(Dashboard!$C$4,5,1))))</f>
        <v/>
      </c>
      <c r="X338">
        <f>IF(OR($E338="",$F338=""),0,MAX(0,MIN($F338,DATE(Dashboard!$C$4,7,1))-MAX($E338,DATE(Dashboard!$C$4,6,1))))</f>
        <v/>
      </c>
      <c r="Y338">
        <f>IF(OR($E338="",$F338=""),0,MAX(0,MIN($F338,DATE(Dashboard!$C$4,8,1))-MAX($E338,DATE(Dashboard!$C$4,7,1))))</f>
        <v/>
      </c>
      <c r="Z338">
        <f>IF(OR($E338="",$F338=""),0,MAX(0,MIN($F338,DATE(Dashboard!$C$4,9,1))-MAX($E338,DATE(Dashboard!$C$4,8,1))))</f>
        <v/>
      </c>
      <c r="AA338">
        <f>IF(OR($E338="",$F338=""),0,MAX(0,MIN($F338,DATE(Dashboard!$C$4,10,1))-MAX($E338,DATE(Dashboard!$C$4,9,1))))</f>
        <v/>
      </c>
      <c r="AB338">
        <f>IF(OR($E338="",$F338=""),0,MAX(0,MIN($F338,DATE(Dashboard!$C$4,11,1))-MAX($E338,DATE(Dashboard!$C$4,10,1))))</f>
        <v/>
      </c>
      <c r="AC338">
        <f>IF(OR($E338="",$F338=""),0,MAX(0,MIN($F338,DATE(Dashboard!$C$4,12,1))-MAX($E338,DATE(Dashboard!$C$4,11,1))))</f>
        <v/>
      </c>
      <c r="AD338">
        <f>IF(OR($E338="",$F338=""),0,MAX(0,MIN($F338,DATE(Dashboard!$C$4,13,1))-MAX($E338,DATE(Dashboard!$C$4,12,1))))</f>
        <v/>
      </c>
      <c r="AE338">
        <f>SUM(S338:AD338)</f>
        <v/>
      </c>
      <c r="AF338">
        <f>Q338*AE338</f>
        <v/>
      </c>
      <c r="AG338">
        <f>R338*AE338</f>
        <v/>
      </c>
      <c r="AH338">
        <f>SUMPRODUCT(S338:AD338,--(COLUMN(S338:AD338)-COLUMN(S338)+1&lt;=Dashboard!$N$1))</f>
        <v/>
      </c>
      <c r="AI338">
        <f>IF(OR(E338="",E338&lt;TODAY()),"",E338+ROW()/100000)</f>
        <v/>
      </c>
      <c r="AJ338">
        <f>IF(OR(F338="",F338&lt;TODAY()),"",F338+ROW()/100000)</f>
        <v/>
      </c>
    </row>
    <row r="339">
      <c r="A339" s="1" t="n"/>
      <c r="B339" s="35" t="n"/>
      <c r="C339" s="35" t="n"/>
      <c r="D339" s="35" t="n"/>
      <c r="E339" s="36" t="n"/>
      <c r="F339" s="36" t="n"/>
      <c r="G339" s="18">
        <f>IF(OR(E339="",F339=""),"",F339-E339)</f>
        <v/>
      </c>
      <c r="H339" s="37" t="n"/>
      <c r="I339" s="38" t="n"/>
      <c r="J339" s="38" t="n"/>
      <c r="K339" s="38" t="n"/>
      <c r="L339" s="31">
        <f>IF(E339="","",N(I339)+N(J339)-N(K339))</f>
        <v/>
      </c>
      <c r="M339" s="39" t="n"/>
      <c r="N339" s="27">
        <f>IF(E339="","",IF(TODAY()&lt;E339,"Upcoming",IF(TODAY()&lt;F339,"Staying now",IF(M339="Yes","Checked out","Payout not received"))))</f>
        <v/>
      </c>
      <c r="O339" s="35" t="n"/>
      <c r="P339" s="1" t="n"/>
      <c r="Q339">
        <f>IF(N(G339)&gt;0,L339/G339,0)</f>
        <v/>
      </c>
      <c r="R339">
        <f>IF(N(G339)&gt;0,N(I339)/G339,0)</f>
        <v/>
      </c>
      <c r="S339">
        <f>IF(OR($E339="",$F339=""),0,MAX(0,MIN($F339,DATE(Dashboard!$C$4,2,1))-MAX($E339,DATE(Dashboard!$C$4,1,1))))</f>
        <v/>
      </c>
      <c r="T339">
        <f>IF(OR($E339="",$F339=""),0,MAX(0,MIN($F339,DATE(Dashboard!$C$4,3,1))-MAX($E339,DATE(Dashboard!$C$4,2,1))))</f>
        <v/>
      </c>
      <c r="U339">
        <f>IF(OR($E339="",$F339=""),0,MAX(0,MIN($F339,DATE(Dashboard!$C$4,4,1))-MAX($E339,DATE(Dashboard!$C$4,3,1))))</f>
        <v/>
      </c>
      <c r="V339">
        <f>IF(OR($E339="",$F339=""),0,MAX(0,MIN($F339,DATE(Dashboard!$C$4,5,1))-MAX($E339,DATE(Dashboard!$C$4,4,1))))</f>
        <v/>
      </c>
      <c r="W339">
        <f>IF(OR($E339="",$F339=""),0,MAX(0,MIN($F339,DATE(Dashboard!$C$4,6,1))-MAX($E339,DATE(Dashboard!$C$4,5,1))))</f>
        <v/>
      </c>
      <c r="X339">
        <f>IF(OR($E339="",$F339=""),0,MAX(0,MIN($F339,DATE(Dashboard!$C$4,7,1))-MAX($E339,DATE(Dashboard!$C$4,6,1))))</f>
        <v/>
      </c>
      <c r="Y339">
        <f>IF(OR($E339="",$F339=""),0,MAX(0,MIN($F339,DATE(Dashboard!$C$4,8,1))-MAX($E339,DATE(Dashboard!$C$4,7,1))))</f>
        <v/>
      </c>
      <c r="Z339">
        <f>IF(OR($E339="",$F339=""),0,MAX(0,MIN($F339,DATE(Dashboard!$C$4,9,1))-MAX($E339,DATE(Dashboard!$C$4,8,1))))</f>
        <v/>
      </c>
      <c r="AA339">
        <f>IF(OR($E339="",$F339=""),0,MAX(0,MIN($F339,DATE(Dashboard!$C$4,10,1))-MAX($E339,DATE(Dashboard!$C$4,9,1))))</f>
        <v/>
      </c>
      <c r="AB339">
        <f>IF(OR($E339="",$F339=""),0,MAX(0,MIN($F339,DATE(Dashboard!$C$4,11,1))-MAX($E339,DATE(Dashboard!$C$4,10,1))))</f>
        <v/>
      </c>
      <c r="AC339">
        <f>IF(OR($E339="",$F339=""),0,MAX(0,MIN($F339,DATE(Dashboard!$C$4,12,1))-MAX($E339,DATE(Dashboard!$C$4,11,1))))</f>
        <v/>
      </c>
      <c r="AD339">
        <f>IF(OR($E339="",$F339=""),0,MAX(0,MIN($F339,DATE(Dashboard!$C$4,13,1))-MAX($E339,DATE(Dashboard!$C$4,12,1))))</f>
        <v/>
      </c>
      <c r="AE339">
        <f>SUM(S339:AD339)</f>
        <v/>
      </c>
      <c r="AF339">
        <f>Q339*AE339</f>
        <v/>
      </c>
      <c r="AG339">
        <f>R339*AE339</f>
        <v/>
      </c>
      <c r="AH339">
        <f>SUMPRODUCT(S339:AD339,--(COLUMN(S339:AD339)-COLUMN(S339)+1&lt;=Dashboard!$N$1))</f>
        <v/>
      </c>
      <c r="AI339">
        <f>IF(OR(E339="",E339&lt;TODAY()),"",E339+ROW()/100000)</f>
        <v/>
      </c>
      <c r="AJ339">
        <f>IF(OR(F339="",F339&lt;TODAY()),"",F339+ROW()/100000)</f>
        <v/>
      </c>
    </row>
    <row r="340">
      <c r="A340" s="1" t="n"/>
      <c r="B340" s="35" t="n"/>
      <c r="C340" s="35" t="n"/>
      <c r="D340" s="35" t="n"/>
      <c r="E340" s="36" t="n"/>
      <c r="F340" s="36" t="n"/>
      <c r="G340" s="18">
        <f>IF(OR(E340="",F340=""),"",F340-E340)</f>
        <v/>
      </c>
      <c r="H340" s="37" t="n"/>
      <c r="I340" s="38" t="n"/>
      <c r="J340" s="38" t="n"/>
      <c r="K340" s="38" t="n"/>
      <c r="L340" s="31">
        <f>IF(E340="","",N(I340)+N(J340)-N(K340))</f>
        <v/>
      </c>
      <c r="M340" s="39" t="n"/>
      <c r="N340" s="27">
        <f>IF(E340="","",IF(TODAY()&lt;E340,"Upcoming",IF(TODAY()&lt;F340,"Staying now",IF(M340="Yes","Checked out","Payout not received"))))</f>
        <v/>
      </c>
      <c r="O340" s="35" t="n"/>
      <c r="P340" s="1" t="n"/>
      <c r="Q340">
        <f>IF(N(G340)&gt;0,L340/G340,0)</f>
        <v/>
      </c>
      <c r="R340">
        <f>IF(N(G340)&gt;0,N(I340)/G340,0)</f>
        <v/>
      </c>
      <c r="S340">
        <f>IF(OR($E340="",$F340=""),0,MAX(0,MIN($F340,DATE(Dashboard!$C$4,2,1))-MAX($E340,DATE(Dashboard!$C$4,1,1))))</f>
        <v/>
      </c>
      <c r="T340">
        <f>IF(OR($E340="",$F340=""),0,MAX(0,MIN($F340,DATE(Dashboard!$C$4,3,1))-MAX($E340,DATE(Dashboard!$C$4,2,1))))</f>
        <v/>
      </c>
      <c r="U340">
        <f>IF(OR($E340="",$F340=""),0,MAX(0,MIN($F340,DATE(Dashboard!$C$4,4,1))-MAX($E340,DATE(Dashboard!$C$4,3,1))))</f>
        <v/>
      </c>
      <c r="V340">
        <f>IF(OR($E340="",$F340=""),0,MAX(0,MIN($F340,DATE(Dashboard!$C$4,5,1))-MAX($E340,DATE(Dashboard!$C$4,4,1))))</f>
        <v/>
      </c>
      <c r="W340">
        <f>IF(OR($E340="",$F340=""),0,MAX(0,MIN($F340,DATE(Dashboard!$C$4,6,1))-MAX($E340,DATE(Dashboard!$C$4,5,1))))</f>
        <v/>
      </c>
      <c r="X340">
        <f>IF(OR($E340="",$F340=""),0,MAX(0,MIN($F340,DATE(Dashboard!$C$4,7,1))-MAX($E340,DATE(Dashboard!$C$4,6,1))))</f>
        <v/>
      </c>
      <c r="Y340">
        <f>IF(OR($E340="",$F340=""),0,MAX(0,MIN($F340,DATE(Dashboard!$C$4,8,1))-MAX($E340,DATE(Dashboard!$C$4,7,1))))</f>
        <v/>
      </c>
      <c r="Z340">
        <f>IF(OR($E340="",$F340=""),0,MAX(0,MIN($F340,DATE(Dashboard!$C$4,9,1))-MAX($E340,DATE(Dashboard!$C$4,8,1))))</f>
        <v/>
      </c>
      <c r="AA340">
        <f>IF(OR($E340="",$F340=""),0,MAX(0,MIN($F340,DATE(Dashboard!$C$4,10,1))-MAX($E340,DATE(Dashboard!$C$4,9,1))))</f>
        <v/>
      </c>
      <c r="AB340">
        <f>IF(OR($E340="",$F340=""),0,MAX(0,MIN($F340,DATE(Dashboard!$C$4,11,1))-MAX($E340,DATE(Dashboard!$C$4,10,1))))</f>
        <v/>
      </c>
      <c r="AC340">
        <f>IF(OR($E340="",$F340=""),0,MAX(0,MIN($F340,DATE(Dashboard!$C$4,12,1))-MAX($E340,DATE(Dashboard!$C$4,11,1))))</f>
        <v/>
      </c>
      <c r="AD340">
        <f>IF(OR($E340="",$F340=""),0,MAX(0,MIN($F340,DATE(Dashboard!$C$4,13,1))-MAX($E340,DATE(Dashboard!$C$4,12,1))))</f>
        <v/>
      </c>
      <c r="AE340">
        <f>SUM(S340:AD340)</f>
        <v/>
      </c>
      <c r="AF340">
        <f>Q340*AE340</f>
        <v/>
      </c>
      <c r="AG340">
        <f>R340*AE340</f>
        <v/>
      </c>
      <c r="AH340">
        <f>SUMPRODUCT(S340:AD340,--(COLUMN(S340:AD340)-COLUMN(S340)+1&lt;=Dashboard!$N$1))</f>
        <v/>
      </c>
      <c r="AI340">
        <f>IF(OR(E340="",E340&lt;TODAY()),"",E340+ROW()/100000)</f>
        <v/>
      </c>
      <c r="AJ340">
        <f>IF(OR(F340="",F340&lt;TODAY()),"",F340+ROW()/100000)</f>
        <v/>
      </c>
    </row>
    <row r="341">
      <c r="A341" s="1" t="n"/>
      <c r="B341" s="35" t="n"/>
      <c r="C341" s="35" t="n"/>
      <c r="D341" s="35" t="n"/>
      <c r="E341" s="36" t="n"/>
      <c r="F341" s="36" t="n"/>
      <c r="G341" s="18">
        <f>IF(OR(E341="",F341=""),"",F341-E341)</f>
        <v/>
      </c>
      <c r="H341" s="37" t="n"/>
      <c r="I341" s="38" t="n"/>
      <c r="J341" s="38" t="n"/>
      <c r="K341" s="38" t="n"/>
      <c r="L341" s="31">
        <f>IF(E341="","",N(I341)+N(J341)-N(K341))</f>
        <v/>
      </c>
      <c r="M341" s="39" t="n"/>
      <c r="N341" s="27">
        <f>IF(E341="","",IF(TODAY()&lt;E341,"Upcoming",IF(TODAY()&lt;F341,"Staying now",IF(M341="Yes","Checked out","Payout not received"))))</f>
        <v/>
      </c>
      <c r="O341" s="35" t="n"/>
      <c r="P341" s="1" t="n"/>
      <c r="Q341">
        <f>IF(N(G341)&gt;0,L341/G341,0)</f>
        <v/>
      </c>
      <c r="R341">
        <f>IF(N(G341)&gt;0,N(I341)/G341,0)</f>
        <v/>
      </c>
      <c r="S341">
        <f>IF(OR($E341="",$F341=""),0,MAX(0,MIN($F341,DATE(Dashboard!$C$4,2,1))-MAX($E341,DATE(Dashboard!$C$4,1,1))))</f>
        <v/>
      </c>
      <c r="T341">
        <f>IF(OR($E341="",$F341=""),0,MAX(0,MIN($F341,DATE(Dashboard!$C$4,3,1))-MAX($E341,DATE(Dashboard!$C$4,2,1))))</f>
        <v/>
      </c>
      <c r="U341">
        <f>IF(OR($E341="",$F341=""),0,MAX(0,MIN($F341,DATE(Dashboard!$C$4,4,1))-MAX($E341,DATE(Dashboard!$C$4,3,1))))</f>
        <v/>
      </c>
      <c r="V341">
        <f>IF(OR($E341="",$F341=""),0,MAX(0,MIN($F341,DATE(Dashboard!$C$4,5,1))-MAX($E341,DATE(Dashboard!$C$4,4,1))))</f>
        <v/>
      </c>
      <c r="W341">
        <f>IF(OR($E341="",$F341=""),0,MAX(0,MIN($F341,DATE(Dashboard!$C$4,6,1))-MAX($E341,DATE(Dashboard!$C$4,5,1))))</f>
        <v/>
      </c>
      <c r="X341">
        <f>IF(OR($E341="",$F341=""),0,MAX(0,MIN($F341,DATE(Dashboard!$C$4,7,1))-MAX($E341,DATE(Dashboard!$C$4,6,1))))</f>
        <v/>
      </c>
      <c r="Y341">
        <f>IF(OR($E341="",$F341=""),0,MAX(0,MIN($F341,DATE(Dashboard!$C$4,8,1))-MAX($E341,DATE(Dashboard!$C$4,7,1))))</f>
        <v/>
      </c>
      <c r="Z341">
        <f>IF(OR($E341="",$F341=""),0,MAX(0,MIN($F341,DATE(Dashboard!$C$4,9,1))-MAX($E341,DATE(Dashboard!$C$4,8,1))))</f>
        <v/>
      </c>
      <c r="AA341">
        <f>IF(OR($E341="",$F341=""),0,MAX(0,MIN($F341,DATE(Dashboard!$C$4,10,1))-MAX($E341,DATE(Dashboard!$C$4,9,1))))</f>
        <v/>
      </c>
      <c r="AB341">
        <f>IF(OR($E341="",$F341=""),0,MAX(0,MIN($F341,DATE(Dashboard!$C$4,11,1))-MAX($E341,DATE(Dashboard!$C$4,10,1))))</f>
        <v/>
      </c>
      <c r="AC341">
        <f>IF(OR($E341="",$F341=""),0,MAX(0,MIN($F341,DATE(Dashboard!$C$4,12,1))-MAX($E341,DATE(Dashboard!$C$4,11,1))))</f>
        <v/>
      </c>
      <c r="AD341">
        <f>IF(OR($E341="",$F341=""),0,MAX(0,MIN($F341,DATE(Dashboard!$C$4,13,1))-MAX($E341,DATE(Dashboard!$C$4,12,1))))</f>
        <v/>
      </c>
      <c r="AE341">
        <f>SUM(S341:AD341)</f>
        <v/>
      </c>
      <c r="AF341">
        <f>Q341*AE341</f>
        <v/>
      </c>
      <c r="AG341">
        <f>R341*AE341</f>
        <v/>
      </c>
      <c r="AH341">
        <f>SUMPRODUCT(S341:AD341,--(COLUMN(S341:AD341)-COLUMN(S341)+1&lt;=Dashboard!$N$1))</f>
        <v/>
      </c>
      <c r="AI341">
        <f>IF(OR(E341="",E341&lt;TODAY()),"",E341+ROW()/100000)</f>
        <v/>
      </c>
      <c r="AJ341">
        <f>IF(OR(F341="",F341&lt;TODAY()),"",F341+ROW()/100000)</f>
        <v/>
      </c>
    </row>
    <row r="342">
      <c r="A342" s="1" t="n"/>
      <c r="B342" s="35" t="n"/>
      <c r="C342" s="35" t="n"/>
      <c r="D342" s="35" t="n"/>
      <c r="E342" s="36" t="n"/>
      <c r="F342" s="36" t="n"/>
      <c r="G342" s="18">
        <f>IF(OR(E342="",F342=""),"",F342-E342)</f>
        <v/>
      </c>
      <c r="H342" s="37" t="n"/>
      <c r="I342" s="38" t="n"/>
      <c r="J342" s="38" t="n"/>
      <c r="K342" s="38" t="n"/>
      <c r="L342" s="31">
        <f>IF(E342="","",N(I342)+N(J342)-N(K342))</f>
        <v/>
      </c>
      <c r="M342" s="39" t="n"/>
      <c r="N342" s="27">
        <f>IF(E342="","",IF(TODAY()&lt;E342,"Upcoming",IF(TODAY()&lt;F342,"Staying now",IF(M342="Yes","Checked out","Payout not received"))))</f>
        <v/>
      </c>
      <c r="O342" s="35" t="n"/>
      <c r="P342" s="1" t="n"/>
      <c r="Q342">
        <f>IF(N(G342)&gt;0,L342/G342,0)</f>
        <v/>
      </c>
      <c r="R342">
        <f>IF(N(G342)&gt;0,N(I342)/G342,0)</f>
        <v/>
      </c>
      <c r="S342">
        <f>IF(OR($E342="",$F342=""),0,MAX(0,MIN($F342,DATE(Dashboard!$C$4,2,1))-MAX($E342,DATE(Dashboard!$C$4,1,1))))</f>
        <v/>
      </c>
      <c r="T342">
        <f>IF(OR($E342="",$F342=""),0,MAX(0,MIN($F342,DATE(Dashboard!$C$4,3,1))-MAX($E342,DATE(Dashboard!$C$4,2,1))))</f>
        <v/>
      </c>
      <c r="U342">
        <f>IF(OR($E342="",$F342=""),0,MAX(0,MIN($F342,DATE(Dashboard!$C$4,4,1))-MAX($E342,DATE(Dashboard!$C$4,3,1))))</f>
        <v/>
      </c>
      <c r="V342">
        <f>IF(OR($E342="",$F342=""),0,MAX(0,MIN($F342,DATE(Dashboard!$C$4,5,1))-MAX($E342,DATE(Dashboard!$C$4,4,1))))</f>
        <v/>
      </c>
      <c r="W342">
        <f>IF(OR($E342="",$F342=""),0,MAX(0,MIN($F342,DATE(Dashboard!$C$4,6,1))-MAX($E342,DATE(Dashboard!$C$4,5,1))))</f>
        <v/>
      </c>
      <c r="X342">
        <f>IF(OR($E342="",$F342=""),0,MAX(0,MIN($F342,DATE(Dashboard!$C$4,7,1))-MAX($E342,DATE(Dashboard!$C$4,6,1))))</f>
        <v/>
      </c>
      <c r="Y342">
        <f>IF(OR($E342="",$F342=""),0,MAX(0,MIN($F342,DATE(Dashboard!$C$4,8,1))-MAX($E342,DATE(Dashboard!$C$4,7,1))))</f>
        <v/>
      </c>
      <c r="Z342">
        <f>IF(OR($E342="",$F342=""),0,MAX(0,MIN($F342,DATE(Dashboard!$C$4,9,1))-MAX($E342,DATE(Dashboard!$C$4,8,1))))</f>
        <v/>
      </c>
      <c r="AA342">
        <f>IF(OR($E342="",$F342=""),0,MAX(0,MIN($F342,DATE(Dashboard!$C$4,10,1))-MAX($E342,DATE(Dashboard!$C$4,9,1))))</f>
        <v/>
      </c>
      <c r="AB342">
        <f>IF(OR($E342="",$F342=""),0,MAX(0,MIN($F342,DATE(Dashboard!$C$4,11,1))-MAX($E342,DATE(Dashboard!$C$4,10,1))))</f>
        <v/>
      </c>
      <c r="AC342">
        <f>IF(OR($E342="",$F342=""),0,MAX(0,MIN($F342,DATE(Dashboard!$C$4,12,1))-MAX($E342,DATE(Dashboard!$C$4,11,1))))</f>
        <v/>
      </c>
      <c r="AD342">
        <f>IF(OR($E342="",$F342=""),0,MAX(0,MIN($F342,DATE(Dashboard!$C$4,13,1))-MAX($E342,DATE(Dashboard!$C$4,12,1))))</f>
        <v/>
      </c>
      <c r="AE342">
        <f>SUM(S342:AD342)</f>
        <v/>
      </c>
      <c r="AF342">
        <f>Q342*AE342</f>
        <v/>
      </c>
      <c r="AG342">
        <f>R342*AE342</f>
        <v/>
      </c>
      <c r="AH342">
        <f>SUMPRODUCT(S342:AD342,--(COLUMN(S342:AD342)-COLUMN(S342)+1&lt;=Dashboard!$N$1))</f>
        <v/>
      </c>
      <c r="AI342">
        <f>IF(OR(E342="",E342&lt;TODAY()),"",E342+ROW()/100000)</f>
        <v/>
      </c>
      <c r="AJ342">
        <f>IF(OR(F342="",F342&lt;TODAY()),"",F342+ROW()/100000)</f>
        <v/>
      </c>
    </row>
    <row r="343">
      <c r="A343" s="1" t="n"/>
      <c r="B343" s="35" t="n"/>
      <c r="C343" s="35" t="n"/>
      <c r="D343" s="35" t="n"/>
      <c r="E343" s="36" t="n"/>
      <c r="F343" s="36" t="n"/>
      <c r="G343" s="18">
        <f>IF(OR(E343="",F343=""),"",F343-E343)</f>
        <v/>
      </c>
      <c r="H343" s="37" t="n"/>
      <c r="I343" s="38" t="n"/>
      <c r="J343" s="38" t="n"/>
      <c r="K343" s="38" t="n"/>
      <c r="L343" s="31">
        <f>IF(E343="","",N(I343)+N(J343)-N(K343))</f>
        <v/>
      </c>
      <c r="M343" s="39" t="n"/>
      <c r="N343" s="27">
        <f>IF(E343="","",IF(TODAY()&lt;E343,"Upcoming",IF(TODAY()&lt;F343,"Staying now",IF(M343="Yes","Checked out","Payout not received"))))</f>
        <v/>
      </c>
      <c r="O343" s="35" t="n"/>
      <c r="P343" s="1" t="n"/>
      <c r="Q343">
        <f>IF(N(G343)&gt;0,L343/G343,0)</f>
        <v/>
      </c>
      <c r="R343">
        <f>IF(N(G343)&gt;0,N(I343)/G343,0)</f>
        <v/>
      </c>
      <c r="S343">
        <f>IF(OR($E343="",$F343=""),0,MAX(0,MIN($F343,DATE(Dashboard!$C$4,2,1))-MAX($E343,DATE(Dashboard!$C$4,1,1))))</f>
        <v/>
      </c>
      <c r="T343">
        <f>IF(OR($E343="",$F343=""),0,MAX(0,MIN($F343,DATE(Dashboard!$C$4,3,1))-MAX($E343,DATE(Dashboard!$C$4,2,1))))</f>
        <v/>
      </c>
      <c r="U343">
        <f>IF(OR($E343="",$F343=""),0,MAX(0,MIN($F343,DATE(Dashboard!$C$4,4,1))-MAX($E343,DATE(Dashboard!$C$4,3,1))))</f>
        <v/>
      </c>
      <c r="V343">
        <f>IF(OR($E343="",$F343=""),0,MAX(0,MIN($F343,DATE(Dashboard!$C$4,5,1))-MAX($E343,DATE(Dashboard!$C$4,4,1))))</f>
        <v/>
      </c>
      <c r="W343">
        <f>IF(OR($E343="",$F343=""),0,MAX(0,MIN($F343,DATE(Dashboard!$C$4,6,1))-MAX($E343,DATE(Dashboard!$C$4,5,1))))</f>
        <v/>
      </c>
      <c r="X343">
        <f>IF(OR($E343="",$F343=""),0,MAX(0,MIN($F343,DATE(Dashboard!$C$4,7,1))-MAX($E343,DATE(Dashboard!$C$4,6,1))))</f>
        <v/>
      </c>
      <c r="Y343">
        <f>IF(OR($E343="",$F343=""),0,MAX(0,MIN($F343,DATE(Dashboard!$C$4,8,1))-MAX($E343,DATE(Dashboard!$C$4,7,1))))</f>
        <v/>
      </c>
      <c r="Z343">
        <f>IF(OR($E343="",$F343=""),0,MAX(0,MIN($F343,DATE(Dashboard!$C$4,9,1))-MAX($E343,DATE(Dashboard!$C$4,8,1))))</f>
        <v/>
      </c>
      <c r="AA343">
        <f>IF(OR($E343="",$F343=""),0,MAX(0,MIN($F343,DATE(Dashboard!$C$4,10,1))-MAX($E343,DATE(Dashboard!$C$4,9,1))))</f>
        <v/>
      </c>
      <c r="AB343">
        <f>IF(OR($E343="",$F343=""),0,MAX(0,MIN($F343,DATE(Dashboard!$C$4,11,1))-MAX($E343,DATE(Dashboard!$C$4,10,1))))</f>
        <v/>
      </c>
      <c r="AC343">
        <f>IF(OR($E343="",$F343=""),0,MAX(0,MIN($F343,DATE(Dashboard!$C$4,12,1))-MAX($E343,DATE(Dashboard!$C$4,11,1))))</f>
        <v/>
      </c>
      <c r="AD343">
        <f>IF(OR($E343="",$F343=""),0,MAX(0,MIN($F343,DATE(Dashboard!$C$4,13,1))-MAX($E343,DATE(Dashboard!$C$4,12,1))))</f>
        <v/>
      </c>
      <c r="AE343">
        <f>SUM(S343:AD343)</f>
        <v/>
      </c>
      <c r="AF343">
        <f>Q343*AE343</f>
        <v/>
      </c>
      <c r="AG343">
        <f>R343*AE343</f>
        <v/>
      </c>
      <c r="AH343">
        <f>SUMPRODUCT(S343:AD343,--(COLUMN(S343:AD343)-COLUMN(S343)+1&lt;=Dashboard!$N$1))</f>
        <v/>
      </c>
      <c r="AI343">
        <f>IF(OR(E343="",E343&lt;TODAY()),"",E343+ROW()/100000)</f>
        <v/>
      </c>
      <c r="AJ343">
        <f>IF(OR(F343="",F343&lt;TODAY()),"",F343+ROW()/100000)</f>
        <v/>
      </c>
    </row>
    <row r="344">
      <c r="A344" s="1" t="n"/>
      <c r="B344" s="35" t="n"/>
      <c r="C344" s="35" t="n"/>
      <c r="D344" s="35" t="n"/>
      <c r="E344" s="36" t="n"/>
      <c r="F344" s="36" t="n"/>
      <c r="G344" s="18">
        <f>IF(OR(E344="",F344=""),"",F344-E344)</f>
        <v/>
      </c>
      <c r="H344" s="37" t="n"/>
      <c r="I344" s="38" t="n"/>
      <c r="J344" s="38" t="n"/>
      <c r="K344" s="38" t="n"/>
      <c r="L344" s="31">
        <f>IF(E344="","",N(I344)+N(J344)-N(K344))</f>
        <v/>
      </c>
      <c r="M344" s="39" t="n"/>
      <c r="N344" s="27">
        <f>IF(E344="","",IF(TODAY()&lt;E344,"Upcoming",IF(TODAY()&lt;F344,"Staying now",IF(M344="Yes","Checked out","Payout not received"))))</f>
        <v/>
      </c>
      <c r="O344" s="35" t="n"/>
      <c r="P344" s="1" t="n"/>
      <c r="Q344">
        <f>IF(N(G344)&gt;0,L344/G344,0)</f>
        <v/>
      </c>
      <c r="R344">
        <f>IF(N(G344)&gt;0,N(I344)/G344,0)</f>
        <v/>
      </c>
      <c r="S344">
        <f>IF(OR($E344="",$F344=""),0,MAX(0,MIN($F344,DATE(Dashboard!$C$4,2,1))-MAX($E344,DATE(Dashboard!$C$4,1,1))))</f>
        <v/>
      </c>
      <c r="T344">
        <f>IF(OR($E344="",$F344=""),0,MAX(0,MIN($F344,DATE(Dashboard!$C$4,3,1))-MAX($E344,DATE(Dashboard!$C$4,2,1))))</f>
        <v/>
      </c>
      <c r="U344">
        <f>IF(OR($E344="",$F344=""),0,MAX(0,MIN($F344,DATE(Dashboard!$C$4,4,1))-MAX($E344,DATE(Dashboard!$C$4,3,1))))</f>
        <v/>
      </c>
      <c r="V344">
        <f>IF(OR($E344="",$F344=""),0,MAX(0,MIN($F344,DATE(Dashboard!$C$4,5,1))-MAX($E344,DATE(Dashboard!$C$4,4,1))))</f>
        <v/>
      </c>
      <c r="W344">
        <f>IF(OR($E344="",$F344=""),0,MAX(0,MIN($F344,DATE(Dashboard!$C$4,6,1))-MAX($E344,DATE(Dashboard!$C$4,5,1))))</f>
        <v/>
      </c>
      <c r="X344">
        <f>IF(OR($E344="",$F344=""),0,MAX(0,MIN($F344,DATE(Dashboard!$C$4,7,1))-MAX($E344,DATE(Dashboard!$C$4,6,1))))</f>
        <v/>
      </c>
      <c r="Y344">
        <f>IF(OR($E344="",$F344=""),0,MAX(0,MIN($F344,DATE(Dashboard!$C$4,8,1))-MAX($E344,DATE(Dashboard!$C$4,7,1))))</f>
        <v/>
      </c>
      <c r="Z344">
        <f>IF(OR($E344="",$F344=""),0,MAX(0,MIN($F344,DATE(Dashboard!$C$4,9,1))-MAX($E344,DATE(Dashboard!$C$4,8,1))))</f>
        <v/>
      </c>
      <c r="AA344">
        <f>IF(OR($E344="",$F344=""),0,MAX(0,MIN($F344,DATE(Dashboard!$C$4,10,1))-MAX($E344,DATE(Dashboard!$C$4,9,1))))</f>
        <v/>
      </c>
      <c r="AB344">
        <f>IF(OR($E344="",$F344=""),0,MAX(0,MIN($F344,DATE(Dashboard!$C$4,11,1))-MAX($E344,DATE(Dashboard!$C$4,10,1))))</f>
        <v/>
      </c>
      <c r="AC344">
        <f>IF(OR($E344="",$F344=""),0,MAX(0,MIN($F344,DATE(Dashboard!$C$4,12,1))-MAX($E344,DATE(Dashboard!$C$4,11,1))))</f>
        <v/>
      </c>
      <c r="AD344">
        <f>IF(OR($E344="",$F344=""),0,MAX(0,MIN($F344,DATE(Dashboard!$C$4,13,1))-MAX($E344,DATE(Dashboard!$C$4,12,1))))</f>
        <v/>
      </c>
      <c r="AE344">
        <f>SUM(S344:AD344)</f>
        <v/>
      </c>
      <c r="AF344">
        <f>Q344*AE344</f>
        <v/>
      </c>
      <c r="AG344">
        <f>R344*AE344</f>
        <v/>
      </c>
      <c r="AH344">
        <f>SUMPRODUCT(S344:AD344,--(COLUMN(S344:AD344)-COLUMN(S344)+1&lt;=Dashboard!$N$1))</f>
        <v/>
      </c>
      <c r="AI344">
        <f>IF(OR(E344="",E344&lt;TODAY()),"",E344+ROW()/100000)</f>
        <v/>
      </c>
      <c r="AJ344">
        <f>IF(OR(F344="",F344&lt;TODAY()),"",F344+ROW()/100000)</f>
        <v/>
      </c>
    </row>
    <row r="345">
      <c r="A345" s="1" t="n"/>
      <c r="B345" s="35" t="n"/>
      <c r="C345" s="35" t="n"/>
      <c r="D345" s="35" t="n"/>
      <c r="E345" s="36" t="n"/>
      <c r="F345" s="36" t="n"/>
      <c r="G345" s="18">
        <f>IF(OR(E345="",F345=""),"",F345-E345)</f>
        <v/>
      </c>
      <c r="H345" s="37" t="n"/>
      <c r="I345" s="38" t="n"/>
      <c r="J345" s="38" t="n"/>
      <c r="K345" s="38" t="n"/>
      <c r="L345" s="31">
        <f>IF(E345="","",N(I345)+N(J345)-N(K345))</f>
        <v/>
      </c>
      <c r="M345" s="39" t="n"/>
      <c r="N345" s="27">
        <f>IF(E345="","",IF(TODAY()&lt;E345,"Upcoming",IF(TODAY()&lt;F345,"Staying now",IF(M345="Yes","Checked out","Payout not received"))))</f>
        <v/>
      </c>
      <c r="O345" s="35" t="n"/>
      <c r="P345" s="1" t="n"/>
      <c r="Q345">
        <f>IF(N(G345)&gt;0,L345/G345,0)</f>
        <v/>
      </c>
      <c r="R345">
        <f>IF(N(G345)&gt;0,N(I345)/G345,0)</f>
        <v/>
      </c>
      <c r="S345">
        <f>IF(OR($E345="",$F345=""),0,MAX(0,MIN($F345,DATE(Dashboard!$C$4,2,1))-MAX($E345,DATE(Dashboard!$C$4,1,1))))</f>
        <v/>
      </c>
      <c r="T345">
        <f>IF(OR($E345="",$F345=""),0,MAX(0,MIN($F345,DATE(Dashboard!$C$4,3,1))-MAX($E345,DATE(Dashboard!$C$4,2,1))))</f>
        <v/>
      </c>
      <c r="U345">
        <f>IF(OR($E345="",$F345=""),0,MAX(0,MIN($F345,DATE(Dashboard!$C$4,4,1))-MAX($E345,DATE(Dashboard!$C$4,3,1))))</f>
        <v/>
      </c>
      <c r="V345">
        <f>IF(OR($E345="",$F345=""),0,MAX(0,MIN($F345,DATE(Dashboard!$C$4,5,1))-MAX($E345,DATE(Dashboard!$C$4,4,1))))</f>
        <v/>
      </c>
      <c r="W345">
        <f>IF(OR($E345="",$F345=""),0,MAX(0,MIN($F345,DATE(Dashboard!$C$4,6,1))-MAX($E345,DATE(Dashboard!$C$4,5,1))))</f>
        <v/>
      </c>
      <c r="X345">
        <f>IF(OR($E345="",$F345=""),0,MAX(0,MIN($F345,DATE(Dashboard!$C$4,7,1))-MAX($E345,DATE(Dashboard!$C$4,6,1))))</f>
        <v/>
      </c>
      <c r="Y345">
        <f>IF(OR($E345="",$F345=""),0,MAX(0,MIN($F345,DATE(Dashboard!$C$4,8,1))-MAX($E345,DATE(Dashboard!$C$4,7,1))))</f>
        <v/>
      </c>
      <c r="Z345">
        <f>IF(OR($E345="",$F345=""),0,MAX(0,MIN($F345,DATE(Dashboard!$C$4,9,1))-MAX($E345,DATE(Dashboard!$C$4,8,1))))</f>
        <v/>
      </c>
      <c r="AA345">
        <f>IF(OR($E345="",$F345=""),0,MAX(0,MIN($F345,DATE(Dashboard!$C$4,10,1))-MAX($E345,DATE(Dashboard!$C$4,9,1))))</f>
        <v/>
      </c>
      <c r="AB345">
        <f>IF(OR($E345="",$F345=""),0,MAX(0,MIN($F345,DATE(Dashboard!$C$4,11,1))-MAX($E345,DATE(Dashboard!$C$4,10,1))))</f>
        <v/>
      </c>
      <c r="AC345">
        <f>IF(OR($E345="",$F345=""),0,MAX(0,MIN($F345,DATE(Dashboard!$C$4,12,1))-MAX($E345,DATE(Dashboard!$C$4,11,1))))</f>
        <v/>
      </c>
      <c r="AD345">
        <f>IF(OR($E345="",$F345=""),0,MAX(0,MIN($F345,DATE(Dashboard!$C$4,13,1))-MAX($E345,DATE(Dashboard!$C$4,12,1))))</f>
        <v/>
      </c>
      <c r="AE345">
        <f>SUM(S345:AD345)</f>
        <v/>
      </c>
      <c r="AF345">
        <f>Q345*AE345</f>
        <v/>
      </c>
      <c r="AG345">
        <f>R345*AE345</f>
        <v/>
      </c>
      <c r="AH345">
        <f>SUMPRODUCT(S345:AD345,--(COLUMN(S345:AD345)-COLUMN(S345)+1&lt;=Dashboard!$N$1))</f>
        <v/>
      </c>
      <c r="AI345">
        <f>IF(OR(E345="",E345&lt;TODAY()),"",E345+ROW()/100000)</f>
        <v/>
      </c>
      <c r="AJ345">
        <f>IF(OR(F345="",F345&lt;TODAY()),"",F345+ROW()/100000)</f>
        <v/>
      </c>
    </row>
    <row r="346">
      <c r="A346" s="1" t="n"/>
      <c r="B346" s="35" t="n"/>
      <c r="C346" s="35" t="n"/>
      <c r="D346" s="35" t="n"/>
      <c r="E346" s="36" t="n"/>
      <c r="F346" s="36" t="n"/>
      <c r="G346" s="18">
        <f>IF(OR(E346="",F346=""),"",F346-E346)</f>
        <v/>
      </c>
      <c r="H346" s="37" t="n"/>
      <c r="I346" s="38" t="n"/>
      <c r="J346" s="38" t="n"/>
      <c r="K346" s="38" t="n"/>
      <c r="L346" s="31">
        <f>IF(E346="","",N(I346)+N(J346)-N(K346))</f>
        <v/>
      </c>
      <c r="M346" s="39" t="n"/>
      <c r="N346" s="27">
        <f>IF(E346="","",IF(TODAY()&lt;E346,"Upcoming",IF(TODAY()&lt;F346,"Staying now",IF(M346="Yes","Checked out","Payout not received"))))</f>
        <v/>
      </c>
      <c r="O346" s="35" t="n"/>
      <c r="P346" s="1" t="n"/>
      <c r="Q346">
        <f>IF(N(G346)&gt;0,L346/G346,0)</f>
        <v/>
      </c>
      <c r="R346">
        <f>IF(N(G346)&gt;0,N(I346)/G346,0)</f>
        <v/>
      </c>
      <c r="S346">
        <f>IF(OR($E346="",$F346=""),0,MAX(0,MIN($F346,DATE(Dashboard!$C$4,2,1))-MAX($E346,DATE(Dashboard!$C$4,1,1))))</f>
        <v/>
      </c>
      <c r="T346">
        <f>IF(OR($E346="",$F346=""),0,MAX(0,MIN($F346,DATE(Dashboard!$C$4,3,1))-MAX($E346,DATE(Dashboard!$C$4,2,1))))</f>
        <v/>
      </c>
      <c r="U346">
        <f>IF(OR($E346="",$F346=""),0,MAX(0,MIN($F346,DATE(Dashboard!$C$4,4,1))-MAX($E346,DATE(Dashboard!$C$4,3,1))))</f>
        <v/>
      </c>
      <c r="V346">
        <f>IF(OR($E346="",$F346=""),0,MAX(0,MIN($F346,DATE(Dashboard!$C$4,5,1))-MAX($E346,DATE(Dashboard!$C$4,4,1))))</f>
        <v/>
      </c>
      <c r="W346">
        <f>IF(OR($E346="",$F346=""),0,MAX(0,MIN($F346,DATE(Dashboard!$C$4,6,1))-MAX($E346,DATE(Dashboard!$C$4,5,1))))</f>
        <v/>
      </c>
      <c r="X346">
        <f>IF(OR($E346="",$F346=""),0,MAX(0,MIN($F346,DATE(Dashboard!$C$4,7,1))-MAX($E346,DATE(Dashboard!$C$4,6,1))))</f>
        <v/>
      </c>
      <c r="Y346">
        <f>IF(OR($E346="",$F346=""),0,MAX(0,MIN($F346,DATE(Dashboard!$C$4,8,1))-MAX($E346,DATE(Dashboard!$C$4,7,1))))</f>
        <v/>
      </c>
      <c r="Z346">
        <f>IF(OR($E346="",$F346=""),0,MAX(0,MIN($F346,DATE(Dashboard!$C$4,9,1))-MAX($E346,DATE(Dashboard!$C$4,8,1))))</f>
        <v/>
      </c>
      <c r="AA346">
        <f>IF(OR($E346="",$F346=""),0,MAX(0,MIN($F346,DATE(Dashboard!$C$4,10,1))-MAX($E346,DATE(Dashboard!$C$4,9,1))))</f>
        <v/>
      </c>
      <c r="AB346">
        <f>IF(OR($E346="",$F346=""),0,MAX(0,MIN($F346,DATE(Dashboard!$C$4,11,1))-MAX($E346,DATE(Dashboard!$C$4,10,1))))</f>
        <v/>
      </c>
      <c r="AC346">
        <f>IF(OR($E346="",$F346=""),0,MAX(0,MIN($F346,DATE(Dashboard!$C$4,12,1))-MAX($E346,DATE(Dashboard!$C$4,11,1))))</f>
        <v/>
      </c>
      <c r="AD346">
        <f>IF(OR($E346="",$F346=""),0,MAX(0,MIN($F346,DATE(Dashboard!$C$4,13,1))-MAX($E346,DATE(Dashboard!$C$4,12,1))))</f>
        <v/>
      </c>
      <c r="AE346">
        <f>SUM(S346:AD346)</f>
        <v/>
      </c>
      <c r="AF346">
        <f>Q346*AE346</f>
        <v/>
      </c>
      <c r="AG346">
        <f>R346*AE346</f>
        <v/>
      </c>
      <c r="AH346">
        <f>SUMPRODUCT(S346:AD346,--(COLUMN(S346:AD346)-COLUMN(S346)+1&lt;=Dashboard!$N$1))</f>
        <v/>
      </c>
      <c r="AI346">
        <f>IF(OR(E346="",E346&lt;TODAY()),"",E346+ROW()/100000)</f>
        <v/>
      </c>
      <c r="AJ346">
        <f>IF(OR(F346="",F346&lt;TODAY()),"",F346+ROW()/100000)</f>
        <v/>
      </c>
    </row>
    <row r="347">
      <c r="A347" s="1" t="n"/>
      <c r="B347" s="35" t="n"/>
      <c r="C347" s="35" t="n"/>
      <c r="D347" s="35" t="n"/>
      <c r="E347" s="36" t="n"/>
      <c r="F347" s="36" t="n"/>
      <c r="G347" s="18">
        <f>IF(OR(E347="",F347=""),"",F347-E347)</f>
        <v/>
      </c>
      <c r="H347" s="37" t="n"/>
      <c r="I347" s="38" t="n"/>
      <c r="J347" s="38" t="n"/>
      <c r="K347" s="38" t="n"/>
      <c r="L347" s="31">
        <f>IF(E347="","",N(I347)+N(J347)-N(K347))</f>
        <v/>
      </c>
      <c r="M347" s="39" t="n"/>
      <c r="N347" s="27">
        <f>IF(E347="","",IF(TODAY()&lt;E347,"Upcoming",IF(TODAY()&lt;F347,"Staying now",IF(M347="Yes","Checked out","Payout not received"))))</f>
        <v/>
      </c>
      <c r="O347" s="35" t="n"/>
      <c r="P347" s="1" t="n"/>
      <c r="Q347">
        <f>IF(N(G347)&gt;0,L347/G347,0)</f>
        <v/>
      </c>
      <c r="R347">
        <f>IF(N(G347)&gt;0,N(I347)/G347,0)</f>
        <v/>
      </c>
      <c r="S347">
        <f>IF(OR($E347="",$F347=""),0,MAX(0,MIN($F347,DATE(Dashboard!$C$4,2,1))-MAX($E347,DATE(Dashboard!$C$4,1,1))))</f>
        <v/>
      </c>
      <c r="T347">
        <f>IF(OR($E347="",$F347=""),0,MAX(0,MIN($F347,DATE(Dashboard!$C$4,3,1))-MAX($E347,DATE(Dashboard!$C$4,2,1))))</f>
        <v/>
      </c>
      <c r="U347">
        <f>IF(OR($E347="",$F347=""),0,MAX(0,MIN($F347,DATE(Dashboard!$C$4,4,1))-MAX($E347,DATE(Dashboard!$C$4,3,1))))</f>
        <v/>
      </c>
      <c r="V347">
        <f>IF(OR($E347="",$F347=""),0,MAX(0,MIN($F347,DATE(Dashboard!$C$4,5,1))-MAX($E347,DATE(Dashboard!$C$4,4,1))))</f>
        <v/>
      </c>
      <c r="W347">
        <f>IF(OR($E347="",$F347=""),0,MAX(0,MIN($F347,DATE(Dashboard!$C$4,6,1))-MAX($E347,DATE(Dashboard!$C$4,5,1))))</f>
        <v/>
      </c>
      <c r="X347">
        <f>IF(OR($E347="",$F347=""),0,MAX(0,MIN($F347,DATE(Dashboard!$C$4,7,1))-MAX($E347,DATE(Dashboard!$C$4,6,1))))</f>
        <v/>
      </c>
      <c r="Y347">
        <f>IF(OR($E347="",$F347=""),0,MAX(0,MIN($F347,DATE(Dashboard!$C$4,8,1))-MAX($E347,DATE(Dashboard!$C$4,7,1))))</f>
        <v/>
      </c>
      <c r="Z347">
        <f>IF(OR($E347="",$F347=""),0,MAX(0,MIN($F347,DATE(Dashboard!$C$4,9,1))-MAX($E347,DATE(Dashboard!$C$4,8,1))))</f>
        <v/>
      </c>
      <c r="AA347">
        <f>IF(OR($E347="",$F347=""),0,MAX(0,MIN($F347,DATE(Dashboard!$C$4,10,1))-MAX($E347,DATE(Dashboard!$C$4,9,1))))</f>
        <v/>
      </c>
      <c r="AB347">
        <f>IF(OR($E347="",$F347=""),0,MAX(0,MIN($F347,DATE(Dashboard!$C$4,11,1))-MAX($E347,DATE(Dashboard!$C$4,10,1))))</f>
        <v/>
      </c>
      <c r="AC347">
        <f>IF(OR($E347="",$F347=""),0,MAX(0,MIN($F347,DATE(Dashboard!$C$4,12,1))-MAX($E347,DATE(Dashboard!$C$4,11,1))))</f>
        <v/>
      </c>
      <c r="AD347">
        <f>IF(OR($E347="",$F347=""),0,MAX(0,MIN($F347,DATE(Dashboard!$C$4,13,1))-MAX($E347,DATE(Dashboard!$C$4,12,1))))</f>
        <v/>
      </c>
      <c r="AE347">
        <f>SUM(S347:AD347)</f>
        <v/>
      </c>
      <c r="AF347">
        <f>Q347*AE347</f>
        <v/>
      </c>
      <c r="AG347">
        <f>R347*AE347</f>
        <v/>
      </c>
      <c r="AH347">
        <f>SUMPRODUCT(S347:AD347,--(COLUMN(S347:AD347)-COLUMN(S347)+1&lt;=Dashboard!$N$1))</f>
        <v/>
      </c>
      <c r="AI347">
        <f>IF(OR(E347="",E347&lt;TODAY()),"",E347+ROW()/100000)</f>
        <v/>
      </c>
      <c r="AJ347">
        <f>IF(OR(F347="",F347&lt;TODAY()),"",F347+ROW()/100000)</f>
        <v/>
      </c>
    </row>
    <row r="348">
      <c r="A348" s="1" t="n"/>
      <c r="B348" s="35" t="n"/>
      <c r="C348" s="35" t="n"/>
      <c r="D348" s="35" t="n"/>
      <c r="E348" s="36" t="n"/>
      <c r="F348" s="36" t="n"/>
      <c r="G348" s="18">
        <f>IF(OR(E348="",F348=""),"",F348-E348)</f>
        <v/>
      </c>
      <c r="H348" s="37" t="n"/>
      <c r="I348" s="38" t="n"/>
      <c r="J348" s="38" t="n"/>
      <c r="K348" s="38" t="n"/>
      <c r="L348" s="31">
        <f>IF(E348="","",N(I348)+N(J348)-N(K348))</f>
        <v/>
      </c>
      <c r="M348" s="39" t="n"/>
      <c r="N348" s="27">
        <f>IF(E348="","",IF(TODAY()&lt;E348,"Upcoming",IF(TODAY()&lt;F348,"Staying now",IF(M348="Yes","Checked out","Payout not received"))))</f>
        <v/>
      </c>
      <c r="O348" s="35" t="n"/>
      <c r="P348" s="1" t="n"/>
      <c r="Q348">
        <f>IF(N(G348)&gt;0,L348/G348,0)</f>
        <v/>
      </c>
      <c r="R348">
        <f>IF(N(G348)&gt;0,N(I348)/G348,0)</f>
        <v/>
      </c>
      <c r="S348">
        <f>IF(OR($E348="",$F348=""),0,MAX(0,MIN($F348,DATE(Dashboard!$C$4,2,1))-MAX($E348,DATE(Dashboard!$C$4,1,1))))</f>
        <v/>
      </c>
      <c r="T348">
        <f>IF(OR($E348="",$F348=""),0,MAX(0,MIN($F348,DATE(Dashboard!$C$4,3,1))-MAX($E348,DATE(Dashboard!$C$4,2,1))))</f>
        <v/>
      </c>
      <c r="U348">
        <f>IF(OR($E348="",$F348=""),0,MAX(0,MIN($F348,DATE(Dashboard!$C$4,4,1))-MAX($E348,DATE(Dashboard!$C$4,3,1))))</f>
        <v/>
      </c>
      <c r="V348">
        <f>IF(OR($E348="",$F348=""),0,MAX(0,MIN($F348,DATE(Dashboard!$C$4,5,1))-MAX($E348,DATE(Dashboard!$C$4,4,1))))</f>
        <v/>
      </c>
      <c r="W348">
        <f>IF(OR($E348="",$F348=""),0,MAX(0,MIN($F348,DATE(Dashboard!$C$4,6,1))-MAX($E348,DATE(Dashboard!$C$4,5,1))))</f>
        <v/>
      </c>
      <c r="X348">
        <f>IF(OR($E348="",$F348=""),0,MAX(0,MIN($F348,DATE(Dashboard!$C$4,7,1))-MAX($E348,DATE(Dashboard!$C$4,6,1))))</f>
        <v/>
      </c>
      <c r="Y348">
        <f>IF(OR($E348="",$F348=""),0,MAX(0,MIN($F348,DATE(Dashboard!$C$4,8,1))-MAX($E348,DATE(Dashboard!$C$4,7,1))))</f>
        <v/>
      </c>
      <c r="Z348">
        <f>IF(OR($E348="",$F348=""),0,MAX(0,MIN($F348,DATE(Dashboard!$C$4,9,1))-MAX($E348,DATE(Dashboard!$C$4,8,1))))</f>
        <v/>
      </c>
      <c r="AA348">
        <f>IF(OR($E348="",$F348=""),0,MAX(0,MIN($F348,DATE(Dashboard!$C$4,10,1))-MAX($E348,DATE(Dashboard!$C$4,9,1))))</f>
        <v/>
      </c>
      <c r="AB348">
        <f>IF(OR($E348="",$F348=""),0,MAX(0,MIN($F348,DATE(Dashboard!$C$4,11,1))-MAX($E348,DATE(Dashboard!$C$4,10,1))))</f>
        <v/>
      </c>
      <c r="AC348">
        <f>IF(OR($E348="",$F348=""),0,MAX(0,MIN($F348,DATE(Dashboard!$C$4,12,1))-MAX($E348,DATE(Dashboard!$C$4,11,1))))</f>
        <v/>
      </c>
      <c r="AD348">
        <f>IF(OR($E348="",$F348=""),0,MAX(0,MIN($F348,DATE(Dashboard!$C$4,13,1))-MAX($E348,DATE(Dashboard!$C$4,12,1))))</f>
        <v/>
      </c>
      <c r="AE348">
        <f>SUM(S348:AD348)</f>
        <v/>
      </c>
      <c r="AF348">
        <f>Q348*AE348</f>
        <v/>
      </c>
      <c r="AG348">
        <f>R348*AE348</f>
        <v/>
      </c>
      <c r="AH348">
        <f>SUMPRODUCT(S348:AD348,--(COLUMN(S348:AD348)-COLUMN(S348)+1&lt;=Dashboard!$N$1))</f>
        <v/>
      </c>
      <c r="AI348">
        <f>IF(OR(E348="",E348&lt;TODAY()),"",E348+ROW()/100000)</f>
        <v/>
      </c>
      <c r="AJ348">
        <f>IF(OR(F348="",F348&lt;TODAY()),"",F348+ROW()/100000)</f>
        <v/>
      </c>
    </row>
    <row r="349">
      <c r="A349" s="1" t="n"/>
      <c r="B349" s="35" t="n"/>
      <c r="C349" s="35" t="n"/>
      <c r="D349" s="35" t="n"/>
      <c r="E349" s="36" t="n"/>
      <c r="F349" s="36" t="n"/>
      <c r="G349" s="18">
        <f>IF(OR(E349="",F349=""),"",F349-E349)</f>
        <v/>
      </c>
      <c r="H349" s="37" t="n"/>
      <c r="I349" s="38" t="n"/>
      <c r="J349" s="38" t="n"/>
      <c r="K349" s="38" t="n"/>
      <c r="L349" s="31">
        <f>IF(E349="","",N(I349)+N(J349)-N(K349))</f>
        <v/>
      </c>
      <c r="M349" s="39" t="n"/>
      <c r="N349" s="27">
        <f>IF(E349="","",IF(TODAY()&lt;E349,"Upcoming",IF(TODAY()&lt;F349,"Staying now",IF(M349="Yes","Checked out","Payout not received"))))</f>
        <v/>
      </c>
      <c r="O349" s="35" t="n"/>
      <c r="P349" s="1" t="n"/>
      <c r="Q349">
        <f>IF(N(G349)&gt;0,L349/G349,0)</f>
        <v/>
      </c>
      <c r="R349">
        <f>IF(N(G349)&gt;0,N(I349)/G349,0)</f>
        <v/>
      </c>
      <c r="S349">
        <f>IF(OR($E349="",$F349=""),0,MAX(0,MIN($F349,DATE(Dashboard!$C$4,2,1))-MAX($E349,DATE(Dashboard!$C$4,1,1))))</f>
        <v/>
      </c>
      <c r="T349">
        <f>IF(OR($E349="",$F349=""),0,MAX(0,MIN($F349,DATE(Dashboard!$C$4,3,1))-MAX($E349,DATE(Dashboard!$C$4,2,1))))</f>
        <v/>
      </c>
      <c r="U349">
        <f>IF(OR($E349="",$F349=""),0,MAX(0,MIN($F349,DATE(Dashboard!$C$4,4,1))-MAX($E349,DATE(Dashboard!$C$4,3,1))))</f>
        <v/>
      </c>
      <c r="V349">
        <f>IF(OR($E349="",$F349=""),0,MAX(0,MIN($F349,DATE(Dashboard!$C$4,5,1))-MAX($E349,DATE(Dashboard!$C$4,4,1))))</f>
        <v/>
      </c>
      <c r="W349">
        <f>IF(OR($E349="",$F349=""),0,MAX(0,MIN($F349,DATE(Dashboard!$C$4,6,1))-MAX($E349,DATE(Dashboard!$C$4,5,1))))</f>
        <v/>
      </c>
      <c r="X349">
        <f>IF(OR($E349="",$F349=""),0,MAX(0,MIN($F349,DATE(Dashboard!$C$4,7,1))-MAX($E349,DATE(Dashboard!$C$4,6,1))))</f>
        <v/>
      </c>
      <c r="Y349">
        <f>IF(OR($E349="",$F349=""),0,MAX(0,MIN($F349,DATE(Dashboard!$C$4,8,1))-MAX($E349,DATE(Dashboard!$C$4,7,1))))</f>
        <v/>
      </c>
      <c r="Z349">
        <f>IF(OR($E349="",$F349=""),0,MAX(0,MIN($F349,DATE(Dashboard!$C$4,9,1))-MAX($E349,DATE(Dashboard!$C$4,8,1))))</f>
        <v/>
      </c>
      <c r="AA349">
        <f>IF(OR($E349="",$F349=""),0,MAX(0,MIN($F349,DATE(Dashboard!$C$4,10,1))-MAX($E349,DATE(Dashboard!$C$4,9,1))))</f>
        <v/>
      </c>
      <c r="AB349">
        <f>IF(OR($E349="",$F349=""),0,MAX(0,MIN($F349,DATE(Dashboard!$C$4,11,1))-MAX($E349,DATE(Dashboard!$C$4,10,1))))</f>
        <v/>
      </c>
      <c r="AC349">
        <f>IF(OR($E349="",$F349=""),0,MAX(0,MIN($F349,DATE(Dashboard!$C$4,12,1))-MAX($E349,DATE(Dashboard!$C$4,11,1))))</f>
        <v/>
      </c>
      <c r="AD349">
        <f>IF(OR($E349="",$F349=""),0,MAX(0,MIN($F349,DATE(Dashboard!$C$4,13,1))-MAX($E349,DATE(Dashboard!$C$4,12,1))))</f>
        <v/>
      </c>
      <c r="AE349">
        <f>SUM(S349:AD349)</f>
        <v/>
      </c>
      <c r="AF349">
        <f>Q349*AE349</f>
        <v/>
      </c>
      <c r="AG349">
        <f>R349*AE349</f>
        <v/>
      </c>
      <c r="AH349">
        <f>SUMPRODUCT(S349:AD349,--(COLUMN(S349:AD349)-COLUMN(S349)+1&lt;=Dashboard!$N$1))</f>
        <v/>
      </c>
      <c r="AI349">
        <f>IF(OR(E349="",E349&lt;TODAY()),"",E349+ROW()/100000)</f>
        <v/>
      </c>
      <c r="AJ349">
        <f>IF(OR(F349="",F349&lt;TODAY()),"",F349+ROW()/100000)</f>
        <v/>
      </c>
    </row>
    <row r="350">
      <c r="A350" s="1" t="n"/>
      <c r="B350" s="35" t="n"/>
      <c r="C350" s="35" t="n"/>
      <c r="D350" s="35" t="n"/>
      <c r="E350" s="36" t="n"/>
      <c r="F350" s="36" t="n"/>
      <c r="G350" s="18">
        <f>IF(OR(E350="",F350=""),"",F350-E350)</f>
        <v/>
      </c>
      <c r="H350" s="37" t="n"/>
      <c r="I350" s="38" t="n"/>
      <c r="J350" s="38" t="n"/>
      <c r="K350" s="38" t="n"/>
      <c r="L350" s="31">
        <f>IF(E350="","",N(I350)+N(J350)-N(K350))</f>
        <v/>
      </c>
      <c r="M350" s="39" t="n"/>
      <c r="N350" s="27">
        <f>IF(E350="","",IF(TODAY()&lt;E350,"Upcoming",IF(TODAY()&lt;F350,"Staying now",IF(M350="Yes","Checked out","Payout not received"))))</f>
        <v/>
      </c>
      <c r="O350" s="35" t="n"/>
      <c r="P350" s="1" t="n"/>
      <c r="Q350">
        <f>IF(N(G350)&gt;0,L350/G350,0)</f>
        <v/>
      </c>
      <c r="R350">
        <f>IF(N(G350)&gt;0,N(I350)/G350,0)</f>
        <v/>
      </c>
      <c r="S350">
        <f>IF(OR($E350="",$F350=""),0,MAX(0,MIN($F350,DATE(Dashboard!$C$4,2,1))-MAX($E350,DATE(Dashboard!$C$4,1,1))))</f>
        <v/>
      </c>
      <c r="T350">
        <f>IF(OR($E350="",$F350=""),0,MAX(0,MIN($F350,DATE(Dashboard!$C$4,3,1))-MAX($E350,DATE(Dashboard!$C$4,2,1))))</f>
        <v/>
      </c>
      <c r="U350">
        <f>IF(OR($E350="",$F350=""),0,MAX(0,MIN($F350,DATE(Dashboard!$C$4,4,1))-MAX($E350,DATE(Dashboard!$C$4,3,1))))</f>
        <v/>
      </c>
      <c r="V350">
        <f>IF(OR($E350="",$F350=""),0,MAX(0,MIN($F350,DATE(Dashboard!$C$4,5,1))-MAX($E350,DATE(Dashboard!$C$4,4,1))))</f>
        <v/>
      </c>
      <c r="W350">
        <f>IF(OR($E350="",$F350=""),0,MAX(0,MIN($F350,DATE(Dashboard!$C$4,6,1))-MAX($E350,DATE(Dashboard!$C$4,5,1))))</f>
        <v/>
      </c>
      <c r="X350">
        <f>IF(OR($E350="",$F350=""),0,MAX(0,MIN($F350,DATE(Dashboard!$C$4,7,1))-MAX($E350,DATE(Dashboard!$C$4,6,1))))</f>
        <v/>
      </c>
      <c r="Y350">
        <f>IF(OR($E350="",$F350=""),0,MAX(0,MIN($F350,DATE(Dashboard!$C$4,8,1))-MAX($E350,DATE(Dashboard!$C$4,7,1))))</f>
        <v/>
      </c>
      <c r="Z350">
        <f>IF(OR($E350="",$F350=""),0,MAX(0,MIN($F350,DATE(Dashboard!$C$4,9,1))-MAX($E350,DATE(Dashboard!$C$4,8,1))))</f>
        <v/>
      </c>
      <c r="AA350">
        <f>IF(OR($E350="",$F350=""),0,MAX(0,MIN($F350,DATE(Dashboard!$C$4,10,1))-MAX($E350,DATE(Dashboard!$C$4,9,1))))</f>
        <v/>
      </c>
      <c r="AB350">
        <f>IF(OR($E350="",$F350=""),0,MAX(0,MIN($F350,DATE(Dashboard!$C$4,11,1))-MAX($E350,DATE(Dashboard!$C$4,10,1))))</f>
        <v/>
      </c>
      <c r="AC350">
        <f>IF(OR($E350="",$F350=""),0,MAX(0,MIN($F350,DATE(Dashboard!$C$4,12,1))-MAX($E350,DATE(Dashboard!$C$4,11,1))))</f>
        <v/>
      </c>
      <c r="AD350">
        <f>IF(OR($E350="",$F350=""),0,MAX(0,MIN($F350,DATE(Dashboard!$C$4,13,1))-MAX($E350,DATE(Dashboard!$C$4,12,1))))</f>
        <v/>
      </c>
      <c r="AE350">
        <f>SUM(S350:AD350)</f>
        <v/>
      </c>
      <c r="AF350">
        <f>Q350*AE350</f>
        <v/>
      </c>
      <c r="AG350">
        <f>R350*AE350</f>
        <v/>
      </c>
      <c r="AH350">
        <f>SUMPRODUCT(S350:AD350,--(COLUMN(S350:AD350)-COLUMN(S350)+1&lt;=Dashboard!$N$1))</f>
        <v/>
      </c>
      <c r="AI350">
        <f>IF(OR(E350="",E350&lt;TODAY()),"",E350+ROW()/100000)</f>
        <v/>
      </c>
      <c r="AJ350">
        <f>IF(OR(F350="",F350&lt;TODAY()),"",F350+ROW()/100000)</f>
        <v/>
      </c>
    </row>
    <row r="351">
      <c r="A351" s="1" t="n"/>
      <c r="B351" s="35" t="n"/>
      <c r="C351" s="35" t="n"/>
      <c r="D351" s="35" t="n"/>
      <c r="E351" s="36" t="n"/>
      <c r="F351" s="36" t="n"/>
      <c r="G351" s="18">
        <f>IF(OR(E351="",F351=""),"",F351-E351)</f>
        <v/>
      </c>
      <c r="H351" s="37" t="n"/>
      <c r="I351" s="38" t="n"/>
      <c r="J351" s="38" t="n"/>
      <c r="K351" s="38" t="n"/>
      <c r="L351" s="31">
        <f>IF(E351="","",N(I351)+N(J351)-N(K351))</f>
        <v/>
      </c>
      <c r="M351" s="39" t="n"/>
      <c r="N351" s="27">
        <f>IF(E351="","",IF(TODAY()&lt;E351,"Upcoming",IF(TODAY()&lt;F351,"Staying now",IF(M351="Yes","Checked out","Payout not received"))))</f>
        <v/>
      </c>
      <c r="O351" s="35" t="n"/>
      <c r="P351" s="1" t="n"/>
      <c r="Q351">
        <f>IF(N(G351)&gt;0,L351/G351,0)</f>
        <v/>
      </c>
      <c r="R351">
        <f>IF(N(G351)&gt;0,N(I351)/G351,0)</f>
        <v/>
      </c>
      <c r="S351">
        <f>IF(OR($E351="",$F351=""),0,MAX(0,MIN($F351,DATE(Dashboard!$C$4,2,1))-MAX($E351,DATE(Dashboard!$C$4,1,1))))</f>
        <v/>
      </c>
      <c r="T351">
        <f>IF(OR($E351="",$F351=""),0,MAX(0,MIN($F351,DATE(Dashboard!$C$4,3,1))-MAX($E351,DATE(Dashboard!$C$4,2,1))))</f>
        <v/>
      </c>
      <c r="U351">
        <f>IF(OR($E351="",$F351=""),0,MAX(0,MIN($F351,DATE(Dashboard!$C$4,4,1))-MAX($E351,DATE(Dashboard!$C$4,3,1))))</f>
        <v/>
      </c>
      <c r="V351">
        <f>IF(OR($E351="",$F351=""),0,MAX(0,MIN($F351,DATE(Dashboard!$C$4,5,1))-MAX($E351,DATE(Dashboard!$C$4,4,1))))</f>
        <v/>
      </c>
      <c r="W351">
        <f>IF(OR($E351="",$F351=""),0,MAX(0,MIN($F351,DATE(Dashboard!$C$4,6,1))-MAX($E351,DATE(Dashboard!$C$4,5,1))))</f>
        <v/>
      </c>
      <c r="X351">
        <f>IF(OR($E351="",$F351=""),0,MAX(0,MIN($F351,DATE(Dashboard!$C$4,7,1))-MAX($E351,DATE(Dashboard!$C$4,6,1))))</f>
        <v/>
      </c>
      <c r="Y351">
        <f>IF(OR($E351="",$F351=""),0,MAX(0,MIN($F351,DATE(Dashboard!$C$4,8,1))-MAX($E351,DATE(Dashboard!$C$4,7,1))))</f>
        <v/>
      </c>
      <c r="Z351">
        <f>IF(OR($E351="",$F351=""),0,MAX(0,MIN($F351,DATE(Dashboard!$C$4,9,1))-MAX($E351,DATE(Dashboard!$C$4,8,1))))</f>
        <v/>
      </c>
      <c r="AA351">
        <f>IF(OR($E351="",$F351=""),0,MAX(0,MIN($F351,DATE(Dashboard!$C$4,10,1))-MAX($E351,DATE(Dashboard!$C$4,9,1))))</f>
        <v/>
      </c>
      <c r="AB351">
        <f>IF(OR($E351="",$F351=""),0,MAX(0,MIN($F351,DATE(Dashboard!$C$4,11,1))-MAX($E351,DATE(Dashboard!$C$4,10,1))))</f>
        <v/>
      </c>
      <c r="AC351">
        <f>IF(OR($E351="",$F351=""),0,MAX(0,MIN($F351,DATE(Dashboard!$C$4,12,1))-MAX($E351,DATE(Dashboard!$C$4,11,1))))</f>
        <v/>
      </c>
      <c r="AD351">
        <f>IF(OR($E351="",$F351=""),0,MAX(0,MIN($F351,DATE(Dashboard!$C$4,13,1))-MAX($E351,DATE(Dashboard!$C$4,12,1))))</f>
        <v/>
      </c>
      <c r="AE351">
        <f>SUM(S351:AD351)</f>
        <v/>
      </c>
      <c r="AF351">
        <f>Q351*AE351</f>
        <v/>
      </c>
      <c r="AG351">
        <f>R351*AE351</f>
        <v/>
      </c>
      <c r="AH351">
        <f>SUMPRODUCT(S351:AD351,--(COLUMN(S351:AD351)-COLUMN(S351)+1&lt;=Dashboard!$N$1))</f>
        <v/>
      </c>
      <c r="AI351">
        <f>IF(OR(E351="",E351&lt;TODAY()),"",E351+ROW()/100000)</f>
        <v/>
      </c>
      <c r="AJ351">
        <f>IF(OR(F351="",F351&lt;TODAY()),"",F351+ROW()/100000)</f>
        <v/>
      </c>
    </row>
    <row r="352">
      <c r="A352" s="1" t="n"/>
      <c r="B352" s="35" t="n"/>
      <c r="C352" s="35" t="n"/>
      <c r="D352" s="35" t="n"/>
      <c r="E352" s="36" t="n"/>
      <c r="F352" s="36" t="n"/>
      <c r="G352" s="18">
        <f>IF(OR(E352="",F352=""),"",F352-E352)</f>
        <v/>
      </c>
      <c r="H352" s="37" t="n"/>
      <c r="I352" s="38" t="n"/>
      <c r="J352" s="38" t="n"/>
      <c r="K352" s="38" t="n"/>
      <c r="L352" s="31">
        <f>IF(E352="","",N(I352)+N(J352)-N(K352))</f>
        <v/>
      </c>
      <c r="M352" s="39" t="n"/>
      <c r="N352" s="27">
        <f>IF(E352="","",IF(TODAY()&lt;E352,"Upcoming",IF(TODAY()&lt;F352,"Staying now",IF(M352="Yes","Checked out","Payout not received"))))</f>
        <v/>
      </c>
      <c r="O352" s="35" t="n"/>
      <c r="P352" s="1" t="n"/>
      <c r="Q352">
        <f>IF(N(G352)&gt;0,L352/G352,0)</f>
        <v/>
      </c>
      <c r="R352">
        <f>IF(N(G352)&gt;0,N(I352)/G352,0)</f>
        <v/>
      </c>
      <c r="S352">
        <f>IF(OR($E352="",$F352=""),0,MAX(0,MIN($F352,DATE(Dashboard!$C$4,2,1))-MAX($E352,DATE(Dashboard!$C$4,1,1))))</f>
        <v/>
      </c>
      <c r="T352">
        <f>IF(OR($E352="",$F352=""),0,MAX(0,MIN($F352,DATE(Dashboard!$C$4,3,1))-MAX($E352,DATE(Dashboard!$C$4,2,1))))</f>
        <v/>
      </c>
      <c r="U352">
        <f>IF(OR($E352="",$F352=""),0,MAX(0,MIN($F352,DATE(Dashboard!$C$4,4,1))-MAX($E352,DATE(Dashboard!$C$4,3,1))))</f>
        <v/>
      </c>
      <c r="V352">
        <f>IF(OR($E352="",$F352=""),0,MAX(0,MIN($F352,DATE(Dashboard!$C$4,5,1))-MAX($E352,DATE(Dashboard!$C$4,4,1))))</f>
        <v/>
      </c>
      <c r="W352">
        <f>IF(OR($E352="",$F352=""),0,MAX(0,MIN($F352,DATE(Dashboard!$C$4,6,1))-MAX($E352,DATE(Dashboard!$C$4,5,1))))</f>
        <v/>
      </c>
      <c r="X352">
        <f>IF(OR($E352="",$F352=""),0,MAX(0,MIN($F352,DATE(Dashboard!$C$4,7,1))-MAX($E352,DATE(Dashboard!$C$4,6,1))))</f>
        <v/>
      </c>
      <c r="Y352">
        <f>IF(OR($E352="",$F352=""),0,MAX(0,MIN($F352,DATE(Dashboard!$C$4,8,1))-MAX($E352,DATE(Dashboard!$C$4,7,1))))</f>
        <v/>
      </c>
      <c r="Z352">
        <f>IF(OR($E352="",$F352=""),0,MAX(0,MIN($F352,DATE(Dashboard!$C$4,9,1))-MAX($E352,DATE(Dashboard!$C$4,8,1))))</f>
        <v/>
      </c>
      <c r="AA352">
        <f>IF(OR($E352="",$F352=""),0,MAX(0,MIN($F352,DATE(Dashboard!$C$4,10,1))-MAX($E352,DATE(Dashboard!$C$4,9,1))))</f>
        <v/>
      </c>
      <c r="AB352">
        <f>IF(OR($E352="",$F352=""),0,MAX(0,MIN($F352,DATE(Dashboard!$C$4,11,1))-MAX($E352,DATE(Dashboard!$C$4,10,1))))</f>
        <v/>
      </c>
      <c r="AC352">
        <f>IF(OR($E352="",$F352=""),0,MAX(0,MIN($F352,DATE(Dashboard!$C$4,12,1))-MAX($E352,DATE(Dashboard!$C$4,11,1))))</f>
        <v/>
      </c>
      <c r="AD352">
        <f>IF(OR($E352="",$F352=""),0,MAX(0,MIN($F352,DATE(Dashboard!$C$4,13,1))-MAX($E352,DATE(Dashboard!$C$4,12,1))))</f>
        <v/>
      </c>
      <c r="AE352">
        <f>SUM(S352:AD352)</f>
        <v/>
      </c>
      <c r="AF352">
        <f>Q352*AE352</f>
        <v/>
      </c>
      <c r="AG352">
        <f>R352*AE352</f>
        <v/>
      </c>
      <c r="AH352">
        <f>SUMPRODUCT(S352:AD352,--(COLUMN(S352:AD352)-COLUMN(S352)+1&lt;=Dashboard!$N$1))</f>
        <v/>
      </c>
      <c r="AI352">
        <f>IF(OR(E352="",E352&lt;TODAY()),"",E352+ROW()/100000)</f>
        <v/>
      </c>
      <c r="AJ352">
        <f>IF(OR(F352="",F352&lt;TODAY()),"",F352+ROW()/100000)</f>
        <v/>
      </c>
    </row>
    <row r="353">
      <c r="A353" s="1" t="n"/>
      <c r="B353" s="35" t="n"/>
      <c r="C353" s="35" t="n"/>
      <c r="D353" s="35" t="n"/>
      <c r="E353" s="36" t="n"/>
      <c r="F353" s="36" t="n"/>
      <c r="G353" s="18">
        <f>IF(OR(E353="",F353=""),"",F353-E353)</f>
        <v/>
      </c>
      <c r="H353" s="37" t="n"/>
      <c r="I353" s="38" t="n"/>
      <c r="J353" s="38" t="n"/>
      <c r="K353" s="38" t="n"/>
      <c r="L353" s="31">
        <f>IF(E353="","",N(I353)+N(J353)-N(K353))</f>
        <v/>
      </c>
      <c r="M353" s="39" t="n"/>
      <c r="N353" s="27">
        <f>IF(E353="","",IF(TODAY()&lt;E353,"Upcoming",IF(TODAY()&lt;F353,"Staying now",IF(M353="Yes","Checked out","Payout not received"))))</f>
        <v/>
      </c>
      <c r="O353" s="35" t="n"/>
      <c r="P353" s="1" t="n"/>
      <c r="Q353">
        <f>IF(N(G353)&gt;0,L353/G353,0)</f>
        <v/>
      </c>
      <c r="R353">
        <f>IF(N(G353)&gt;0,N(I353)/G353,0)</f>
        <v/>
      </c>
      <c r="S353">
        <f>IF(OR($E353="",$F353=""),0,MAX(0,MIN($F353,DATE(Dashboard!$C$4,2,1))-MAX($E353,DATE(Dashboard!$C$4,1,1))))</f>
        <v/>
      </c>
      <c r="T353">
        <f>IF(OR($E353="",$F353=""),0,MAX(0,MIN($F353,DATE(Dashboard!$C$4,3,1))-MAX($E353,DATE(Dashboard!$C$4,2,1))))</f>
        <v/>
      </c>
      <c r="U353">
        <f>IF(OR($E353="",$F353=""),0,MAX(0,MIN($F353,DATE(Dashboard!$C$4,4,1))-MAX($E353,DATE(Dashboard!$C$4,3,1))))</f>
        <v/>
      </c>
      <c r="V353">
        <f>IF(OR($E353="",$F353=""),0,MAX(0,MIN($F353,DATE(Dashboard!$C$4,5,1))-MAX($E353,DATE(Dashboard!$C$4,4,1))))</f>
        <v/>
      </c>
      <c r="W353">
        <f>IF(OR($E353="",$F353=""),0,MAX(0,MIN($F353,DATE(Dashboard!$C$4,6,1))-MAX($E353,DATE(Dashboard!$C$4,5,1))))</f>
        <v/>
      </c>
      <c r="X353">
        <f>IF(OR($E353="",$F353=""),0,MAX(0,MIN($F353,DATE(Dashboard!$C$4,7,1))-MAX($E353,DATE(Dashboard!$C$4,6,1))))</f>
        <v/>
      </c>
      <c r="Y353">
        <f>IF(OR($E353="",$F353=""),0,MAX(0,MIN($F353,DATE(Dashboard!$C$4,8,1))-MAX($E353,DATE(Dashboard!$C$4,7,1))))</f>
        <v/>
      </c>
      <c r="Z353">
        <f>IF(OR($E353="",$F353=""),0,MAX(0,MIN($F353,DATE(Dashboard!$C$4,9,1))-MAX($E353,DATE(Dashboard!$C$4,8,1))))</f>
        <v/>
      </c>
      <c r="AA353">
        <f>IF(OR($E353="",$F353=""),0,MAX(0,MIN($F353,DATE(Dashboard!$C$4,10,1))-MAX($E353,DATE(Dashboard!$C$4,9,1))))</f>
        <v/>
      </c>
      <c r="AB353">
        <f>IF(OR($E353="",$F353=""),0,MAX(0,MIN($F353,DATE(Dashboard!$C$4,11,1))-MAX($E353,DATE(Dashboard!$C$4,10,1))))</f>
        <v/>
      </c>
      <c r="AC353">
        <f>IF(OR($E353="",$F353=""),0,MAX(0,MIN($F353,DATE(Dashboard!$C$4,12,1))-MAX($E353,DATE(Dashboard!$C$4,11,1))))</f>
        <v/>
      </c>
      <c r="AD353">
        <f>IF(OR($E353="",$F353=""),0,MAX(0,MIN($F353,DATE(Dashboard!$C$4,13,1))-MAX($E353,DATE(Dashboard!$C$4,12,1))))</f>
        <v/>
      </c>
      <c r="AE353">
        <f>SUM(S353:AD353)</f>
        <v/>
      </c>
      <c r="AF353">
        <f>Q353*AE353</f>
        <v/>
      </c>
      <c r="AG353">
        <f>R353*AE353</f>
        <v/>
      </c>
      <c r="AH353">
        <f>SUMPRODUCT(S353:AD353,--(COLUMN(S353:AD353)-COLUMN(S353)+1&lt;=Dashboard!$N$1))</f>
        <v/>
      </c>
      <c r="AI353">
        <f>IF(OR(E353="",E353&lt;TODAY()),"",E353+ROW()/100000)</f>
        <v/>
      </c>
      <c r="AJ353">
        <f>IF(OR(F353="",F353&lt;TODAY()),"",F353+ROW()/100000)</f>
        <v/>
      </c>
    </row>
    <row r="354">
      <c r="A354" s="1" t="n"/>
      <c r="B354" s="35" t="n"/>
      <c r="C354" s="35" t="n"/>
      <c r="D354" s="35" t="n"/>
      <c r="E354" s="36" t="n"/>
      <c r="F354" s="36" t="n"/>
      <c r="G354" s="18">
        <f>IF(OR(E354="",F354=""),"",F354-E354)</f>
        <v/>
      </c>
      <c r="H354" s="37" t="n"/>
      <c r="I354" s="38" t="n"/>
      <c r="J354" s="38" t="n"/>
      <c r="K354" s="38" t="n"/>
      <c r="L354" s="31">
        <f>IF(E354="","",N(I354)+N(J354)-N(K354))</f>
        <v/>
      </c>
      <c r="M354" s="39" t="n"/>
      <c r="N354" s="27">
        <f>IF(E354="","",IF(TODAY()&lt;E354,"Upcoming",IF(TODAY()&lt;F354,"Staying now",IF(M354="Yes","Checked out","Payout not received"))))</f>
        <v/>
      </c>
      <c r="O354" s="35" t="n"/>
      <c r="P354" s="1" t="n"/>
      <c r="Q354">
        <f>IF(N(G354)&gt;0,L354/G354,0)</f>
        <v/>
      </c>
      <c r="R354">
        <f>IF(N(G354)&gt;0,N(I354)/G354,0)</f>
        <v/>
      </c>
      <c r="S354">
        <f>IF(OR($E354="",$F354=""),0,MAX(0,MIN($F354,DATE(Dashboard!$C$4,2,1))-MAX($E354,DATE(Dashboard!$C$4,1,1))))</f>
        <v/>
      </c>
      <c r="T354">
        <f>IF(OR($E354="",$F354=""),0,MAX(0,MIN($F354,DATE(Dashboard!$C$4,3,1))-MAX($E354,DATE(Dashboard!$C$4,2,1))))</f>
        <v/>
      </c>
      <c r="U354">
        <f>IF(OR($E354="",$F354=""),0,MAX(0,MIN($F354,DATE(Dashboard!$C$4,4,1))-MAX($E354,DATE(Dashboard!$C$4,3,1))))</f>
        <v/>
      </c>
      <c r="V354">
        <f>IF(OR($E354="",$F354=""),0,MAX(0,MIN($F354,DATE(Dashboard!$C$4,5,1))-MAX($E354,DATE(Dashboard!$C$4,4,1))))</f>
        <v/>
      </c>
      <c r="W354">
        <f>IF(OR($E354="",$F354=""),0,MAX(0,MIN($F354,DATE(Dashboard!$C$4,6,1))-MAX($E354,DATE(Dashboard!$C$4,5,1))))</f>
        <v/>
      </c>
      <c r="X354">
        <f>IF(OR($E354="",$F354=""),0,MAX(0,MIN($F354,DATE(Dashboard!$C$4,7,1))-MAX($E354,DATE(Dashboard!$C$4,6,1))))</f>
        <v/>
      </c>
      <c r="Y354">
        <f>IF(OR($E354="",$F354=""),0,MAX(0,MIN($F354,DATE(Dashboard!$C$4,8,1))-MAX($E354,DATE(Dashboard!$C$4,7,1))))</f>
        <v/>
      </c>
      <c r="Z354">
        <f>IF(OR($E354="",$F354=""),0,MAX(0,MIN($F354,DATE(Dashboard!$C$4,9,1))-MAX($E354,DATE(Dashboard!$C$4,8,1))))</f>
        <v/>
      </c>
      <c r="AA354">
        <f>IF(OR($E354="",$F354=""),0,MAX(0,MIN($F354,DATE(Dashboard!$C$4,10,1))-MAX($E354,DATE(Dashboard!$C$4,9,1))))</f>
        <v/>
      </c>
      <c r="AB354">
        <f>IF(OR($E354="",$F354=""),0,MAX(0,MIN($F354,DATE(Dashboard!$C$4,11,1))-MAX($E354,DATE(Dashboard!$C$4,10,1))))</f>
        <v/>
      </c>
      <c r="AC354">
        <f>IF(OR($E354="",$F354=""),0,MAX(0,MIN($F354,DATE(Dashboard!$C$4,12,1))-MAX($E354,DATE(Dashboard!$C$4,11,1))))</f>
        <v/>
      </c>
      <c r="AD354">
        <f>IF(OR($E354="",$F354=""),0,MAX(0,MIN($F354,DATE(Dashboard!$C$4,13,1))-MAX($E354,DATE(Dashboard!$C$4,12,1))))</f>
        <v/>
      </c>
      <c r="AE354">
        <f>SUM(S354:AD354)</f>
        <v/>
      </c>
      <c r="AF354">
        <f>Q354*AE354</f>
        <v/>
      </c>
      <c r="AG354">
        <f>R354*AE354</f>
        <v/>
      </c>
      <c r="AH354">
        <f>SUMPRODUCT(S354:AD354,--(COLUMN(S354:AD354)-COLUMN(S354)+1&lt;=Dashboard!$N$1))</f>
        <v/>
      </c>
      <c r="AI354">
        <f>IF(OR(E354="",E354&lt;TODAY()),"",E354+ROW()/100000)</f>
        <v/>
      </c>
      <c r="AJ354">
        <f>IF(OR(F354="",F354&lt;TODAY()),"",F354+ROW()/100000)</f>
        <v/>
      </c>
    </row>
    <row r="355">
      <c r="A355" s="1" t="n"/>
      <c r="B355" s="35" t="n"/>
      <c r="C355" s="35" t="n"/>
      <c r="D355" s="35" t="n"/>
      <c r="E355" s="36" t="n"/>
      <c r="F355" s="36" t="n"/>
      <c r="G355" s="18">
        <f>IF(OR(E355="",F355=""),"",F355-E355)</f>
        <v/>
      </c>
      <c r="H355" s="37" t="n"/>
      <c r="I355" s="38" t="n"/>
      <c r="J355" s="38" t="n"/>
      <c r="K355" s="38" t="n"/>
      <c r="L355" s="31">
        <f>IF(E355="","",N(I355)+N(J355)-N(K355))</f>
        <v/>
      </c>
      <c r="M355" s="39" t="n"/>
      <c r="N355" s="27">
        <f>IF(E355="","",IF(TODAY()&lt;E355,"Upcoming",IF(TODAY()&lt;F355,"Staying now",IF(M355="Yes","Checked out","Payout not received"))))</f>
        <v/>
      </c>
      <c r="O355" s="35" t="n"/>
      <c r="P355" s="1" t="n"/>
      <c r="Q355">
        <f>IF(N(G355)&gt;0,L355/G355,0)</f>
        <v/>
      </c>
      <c r="R355">
        <f>IF(N(G355)&gt;0,N(I355)/G355,0)</f>
        <v/>
      </c>
      <c r="S355">
        <f>IF(OR($E355="",$F355=""),0,MAX(0,MIN($F355,DATE(Dashboard!$C$4,2,1))-MAX($E355,DATE(Dashboard!$C$4,1,1))))</f>
        <v/>
      </c>
      <c r="T355">
        <f>IF(OR($E355="",$F355=""),0,MAX(0,MIN($F355,DATE(Dashboard!$C$4,3,1))-MAX($E355,DATE(Dashboard!$C$4,2,1))))</f>
        <v/>
      </c>
      <c r="U355">
        <f>IF(OR($E355="",$F355=""),0,MAX(0,MIN($F355,DATE(Dashboard!$C$4,4,1))-MAX($E355,DATE(Dashboard!$C$4,3,1))))</f>
        <v/>
      </c>
      <c r="V355">
        <f>IF(OR($E355="",$F355=""),0,MAX(0,MIN($F355,DATE(Dashboard!$C$4,5,1))-MAX($E355,DATE(Dashboard!$C$4,4,1))))</f>
        <v/>
      </c>
      <c r="W355">
        <f>IF(OR($E355="",$F355=""),0,MAX(0,MIN($F355,DATE(Dashboard!$C$4,6,1))-MAX($E355,DATE(Dashboard!$C$4,5,1))))</f>
        <v/>
      </c>
      <c r="X355">
        <f>IF(OR($E355="",$F355=""),0,MAX(0,MIN($F355,DATE(Dashboard!$C$4,7,1))-MAX($E355,DATE(Dashboard!$C$4,6,1))))</f>
        <v/>
      </c>
      <c r="Y355">
        <f>IF(OR($E355="",$F355=""),0,MAX(0,MIN($F355,DATE(Dashboard!$C$4,8,1))-MAX($E355,DATE(Dashboard!$C$4,7,1))))</f>
        <v/>
      </c>
      <c r="Z355">
        <f>IF(OR($E355="",$F355=""),0,MAX(0,MIN($F355,DATE(Dashboard!$C$4,9,1))-MAX($E355,DATE(Dashboard!$C$4,8,1))))</f>
        <v/>
      </c>
      <c r="AA355">
        <f>IF(OR($E355="",$F355=""),0,MAX(0,MIN($F355,DATE(Dashboard!$C$4,10,1))-MAX($E355,DATE(Dashboard!$C$4,9,1))))</f>
        <v/>
      </c>
      <c r="AB355">
        <f>IF(OR($E355="",$F355=""),0,MAX(0,MIN($F355,DATE(Dashboard!$C$4,11,1))-MAX($E355,DATE(Dashboard!$C$4,10,1))))</f>
        <v/>
      </c>
      <c r="AC355">
        <f>IF(OR($E355="",$F355=""),0,MAX(0,MIN($F355,DATE(Dashboard!$C$4,12,1))-MAX($E355,DATE(Dashboard!$C$4,11,1))))</f>
        <v/>
      </c>
      <c r="AD355">
        <f>IF(OR($E355="",$F355=""),0,MAX(0,MIN($F355,DATE(Dashboard!$C$4,13,1))-MAX($E355,DATE(Dashboard!$C$4,12,1))))</f>
        <v/>
      </c>
      <c r="AE355">
        <f>SUM(S355:AD355)</f>
        <v/>
      </c>
      <c r="AF355">
        <f>Q355*AE355</f>
        <v/>
      </c>
      <c r="AG355">
        <f>R355*AE355</f>
        <v/>
      </c>
      <c r="AH355">
        <f>SUMPRODUCT(S355:AD355,--(COLUMN(S355:AD355)-COLUMN(S355)+1&lt;=Dashboard!$N$1))</f>
        <v/>
      </c>
      <c r="AI355">
        <f>IF(OR(E355="",E355&lt;TODAY()),"",E355+ROW()/100000)</f>
        <v/>
      </c>
      <c r="AJ355">
        <f>IF(OR(F355="",F355&lt;TODAY()),"",F355+ROW()/100000)</f>
        <v/>
      </c>
    </row>
    <row r="356">
      <c r="A356" s="1" t="n"/>
      <c r="B356" s="35" t="n"/>
      <c r="C356" s="35" t="n"/>
      <c r="D356" s="35" t="n"/>
      <c r="E356" s="36" t="n"/>
      <c r="F356" s="36" t="n"/>
      <c r="G356" s="18">
        <f>IF(OR(E356="",F356=""),"",F356-E356)</f>
        <v/>
      </c>
      <c r="H356" s="37" t="n"/>
      <c r="I356" s="38" t="n"/>
      <c r="J356" s="38" t="n"/>
      <c r="K356" s="38" t="n"/>
      <c r="L356" s="31">
        <f>IF(E356="","",N(I356)+N(J356)-N(K356))</f>
        <v/>
      </c>
      <c r="M356" s="39" t="n"/>
      <c r="N356" s="27">
        <f>IF(E356="","",IF(TODAY()&lt;E356,"Upcoming",IF(TODAY()&lt;F356,"Staying now",IF(M356="Yes","Checked out","Payout not received"))))</f>
        <v/>
      </c>
      <c r="O356" s="35" t="n"/>
      <c r="P356" s="1" t="n"/>
      <c r="Q356">
        <f>IF(N(G356)&gt;0,L356/G356,0)</f>
        <v/>
      </c>
      <c r="R356">
        <f>IF(N(G356)&gt;0,N(I356)/G356,0)</f>
        <v/>
      </c>
      <c r="S356">
        <f>IF(OR($E356="",$F356=""),0,MAX(0,MIN($F356,DATE(Dashboard!$C$4,2,1))-MAX($E356,DATE(Dashboard!$C$4,1,1))))</f>
        <v/>
      </c>
      <c r="T356">
        <f>IF(OR($E356="",$F356=""),0,MAX(0,MIN($F356,DATE(Dashboard!$C$4,3,1))-MAX($E356,DATE(Dashboard!$C$4,2,1))))</f>
        <v/>
      </c>
      <c r="U356">
        <f>IF(OR($E356="",$F356=""),0,MAX(0,MIN($F356,DATE(Dashboard!$C$4,4,1))-MAX($E356,DATE(Dashboard!$C$4,3,1))))</f>
        <v/>
      </c>
      <c r="V356">
        <f>IF(OR($E356="",$F356=""),0,MAX(0,MIN($F356,DATE(Dashboard!$C$4,5,1))-MAX($E356,DATE(Dashboard!$C$4,4,1))))</f>
        <v/>
      </c>
      <c r="W356">
        <f>IF(OR($E356="",$F356=""),0,MAX(0,MIN($F356,DATE(Dashboard!$C$4,6,1))-MAX($E356,DATE(Dashboard!$C$4,5,1))))</f>
        <v/>
      </c>
      <c r="X356">
        <f>IF(OR($E356="",$F356=""),0,MAX(0,MIN($F356,DATE(Dashboard!$C$4,7,1))-MAX($E356,DATE(Dashboard!$C$4,6,1))))</f>
        <v/>
      </c>
      <c r="Y356">
        <f>IF(OR($E356="",$F356=""),0,MAX(0,MIN($F356,DATE(Dashboard!$C$4,8,1))-MAX($E356,DATE(Dashboard!$C$4,7,1))))</f>
        <v/>
      </c>
      <c r="Z356">
        <f>IF(OR($E356="",$F356=""),0,MAX(0,MIN($F356,DATE(Dashboard!$C$4,9,1))-MAX($E356,DATE(Dashboard!$C$4,8,1))))</f>
        <v/>
      </c>
      <c r="AA356">
        <f>IF(OR($E356="",$F356=""),0,MAX(0,MIN($F356,DATE(Dashboard!$C$4,10,1))-MAX($E356,DATE(Dashboard!$C$4,9,1))))</f>
        <v/>
      </c>
      <c r="AB356">
        <f>IF(OR($E356="",$F356=""),0,MAX(0,MIN($F356,DATE(Dashboard!$C$4,11,1))-MAX($E356,DATE(Dashboard!$C$4,10,1))))</f>
        <v/>
      </c>
      <c r="AC356">
        <f>IF(OR($E356="",$F356=""),0,MAX(0,MIN($F356,DATE(Dashboard!$C$4,12,1))-MAX($E356,DATE(Dashboard!$C$4,11,1))))</f>
        <v/>
      </c>
      <c r="AD356">
        <f>IF(OR($E356="",$F356=""),0,MAX(0,MIN($F356,DATE(Dashboard!$C$4,13,1))-MAX($E356,DATE(Dashboard!$C$4,12,1))))</f>
        <v/>
      </c>
      <c r="AE356">
        <f>SUM(S356:AD356)</f>
        <v/>
      </c>
      <c r="AF356">
        <f>Q356*AE356</f>
        <v/>
      </c>
      <c r="AG356">
        <f>R356*AE356</f>
        <v/>
      </c>
      <c r="AH356">
        <f>SUMPRODUCT(S356:AD356,--(COLUMN(S356:AD356)-COLUMN(S356)+1&lt;=Dashboard!$N$1))</f>
        <v/>
      </c>
      <c r="AI356">
        <f>IF(OR(E356="",E356&lt;TODAY()),"",E356+ROW()/100000)</f>
        <v/>
      </c>
      <c r="AJ356">
        <f>IF(OR(F356="",F356&lt;TODAY()),"",F356+ROW()/100000)</f>
        <v/>
      </c>
    </row>
    <row r="357">
      <c r="A357" s="1" t="n"/>
      <c r="B357" s="35" t="n"/>
      <c r="C357" s="35" t="n"/>
      <c r="D357" s="35" t="n"/>
      <c r="E357" s="36" t="n"/>
      <c r="F357" s="36" t="n"/>
      <c r="G357" s="18">
        <f>IF(OR(E357="",F357=""),"",F357-E357)</f>
        <v/>
      </c>
      <c r="H357" s="37" t="n"/>
      <c r="I357" s="38" t="n"/>
      <c r="J357" s="38" t="n"/>
      <c r="K357" s="38" t="n"/>
      <c r="L357" s="31">
        <f>IF(E357="","",N(I357)+N(J357)-N(K357))</f>
        <v/>
      </c>
      <c r="M357" s="39" t="n"/>
      <c r="N357" s="27">
        <f>IF(E357="","",IF(TODAY()&lt;E357,"Upcoming",IF(TODAY()&lt;F357,"Staying now",IF(M357="Yes","Checked out","Payout not received"))))</f>
        <v/>
      </c>
      <c r="O357" s="35" t="n"/>
      <c r="P357" s="1" t="n"/>
      <c r="Q357">
        <f>IF(N(G357)&gt;0,L357/G357,0)</f>
        <v/>
      </c>
      <c r="R357">
        <f>IF(N(G357)&gt;0,N(I357)/G357,0)</f>
        <v/>
      </c>
      <c r="S357">
        <f>IF(OR($E357="",$F357=""),0,MAX(0,MIN($F357,DATE(Dashboard!$C$4,2,1))-MAX($E357,DATE(Dashboard!$C$4,1,1))))</f>
        <v/>
      </c>
      <c r="T357">
        <f>IF(OR($E357="",$F357=""),0,MAX(0,MIN($F357,DATE(Dashboard!$C$4,3,1))-MAX($E357,DATE(Dashboard!$C$4,2,1))))</f>
        <v/>
      </c>
      <c r="U357">
        <f>IF(OR($E357="",$F357=""),0,MAX(0,MIN($F357,DATE(Dashboard!$C$4,4,1))-MAX($E357,DATE(Dashboard!$C$4,3,1))))</f>
        <v/>
      </c>
      <c r="V357">
        <f>IF(OR($E357="",$F357=""),0,MAX(0,MIN($F357,DATE(Dashboard!$C$4,5,1))-MAX($E357,DATE(Dashboard!$C$4,4,1))))</f>
        <v/>
      </c>
      <c r="W357">
        <f>IF(OR($E357="",$F357=""),0,MAX(0,MIN($F357,DATE(Dashboard!$C$4,6,1))-MAX($E357,DATE(Dashboard!$C$4,5,1))))</f>
        <v/>
      </c>
      <c r="X357">
        <f>IF(OR($E357="",$F357=""),0,MAX(0,MIN($F357,DATE(Dashboard!$C$4,7,1))-MAX($E357,DATE(Dashboard!$C$4,6,1))))</f>
        <v/>
      </c>
      <c r="Y357">
        <f>IF(OR($E357="",$F357=""),0,MAX(0,MIN($F357,DATE(Dashboard!$C$4,8,1))-MAX($E357,DATE(Dashboard!$C$4,7,1))))</f>
        <v/>
      </c>
      <c r="Z357">
        <f>IF(OR($E357="",$F357=""),0,MAX(0,MIN($F357,DATE(Dashboard!$C$4,9,1))-MAX($E357,DATE(Dashboard!$C$4,8,1))))</f>
        <v/>
      </c>
      <c r="AA357">
        <f>IF(OR($E357="",$F357=""),0,MAX(0,MIN($F357,DATE(Dashboard!$C$4,10,1))-MAX($E357,DATE(Dashboard!$C$4,9,1))))</f>
        <v/>
      </c>
      <c r="AB357">
        <f>IF(OR($E357="",$F357=""),0,MAX(0,MIN($F357,DATE(Dashboard!$C$4,11,1))-MAX($E357,DATE(Dashboard!$C$4,10,1))))</f>
        <v/>
      </c>
      <c r="AC357">
        <f>IF(OR($E357="",$F357=""),0,MAX(0,MIN($F357,DATE(Dashboard!$C$4,12,1))-MAX($E357,DATE(Dashboard!$C$4,11,1))))</f>
        <v/>
      </c>
      <c r="AD357">
        <f>IF(OR($E357="",$F357=""),0,MAX(0,MIN($F357,DATE(Dashboard!$C$4,13,1))-MAX($E357,DATE(Dashboard!$C$4,12,1))))</f>
        <v/>
      </c>
      <c r="AE357">
        <f>SUM(S357:AD357)</f>
        <v/>
      </c>
      <c r="AF357">
        <f>Q357*AE357</f>
        <v/>
      </c>
      <c r="AG357">
        <f>R357*AE357</f>
        <v/>
      </c>
      <c r="AH357">
        <f>SUMPRODUCT(S357:AD357,--(COLUMN(S357:AD357)-COLUMN(S357)+1&lt;=Dashboard!$N$1))</f>
        <v/>
      </c>
      <c r="AI357">
        <f>IF(OR(E357="",E357&lt;TODAY()),"",E357+ROW()/100000)</f>
        <v/>
      </c>
      <c r="AJ357">
        <f>IF(OR(F357="",F357&lt;TODAY()),"",F357+ROW()/100000)</f>
        <v/>
      </c>
    </row>
    <row r="358">
      <c r="A358" s="1" t="n"/>
      <c r="B358" s="35" t="n"/>
      <c r="C358" s="35" t="n"/>
      <c r="D358" s="35" t="n"/>
      <c r="E358" s="36" t="n"/>
      <c r="F358" s="36" t="n"/>
      <c r="G358" s="18">
        <f>IF(OR(E358="",F358=""),"",F358-E358)</f>
        <v/>
      </c>
      <c r="H358" s="37" t="n"/>
      <c r="I358" s="38" t="n"/>
      <c r="J358" s="38" t="n"/>
      <c r="K358" s="38" t="n"/>
      <c r="L358" s="31">
        <f>IF(E358="","",N(I358)+N(J358)-N(K358))</f>
        <v/>
      </c>
      <c r="M358" s="39" t="n"/>
      <c r="N358" s="27">
        <f>IF(E358="","",IF(TODAY()&lt;E358,"Upcoming",IF(TODAY()&lt;F358,"Staying now",IF(M358="Yes","Checked out","Payout not received"))))</f>
        <v/>
      </c>
      <c r="O358" s="35" t="n"/>
      <c r="P358" s="1" t="n"/>
      <c r="Q358">
        <f>IF(N(G358)&gt;0,L358/G358,0)</f>
        <v/>
      </c>
      <c r="R358">
        <f>IF(N(G358)&gt;0,N(I358)/G358,0)</f>
        <v/>
      </c>
      <c r="S358">
        <f>IF(OR($E358="",$F358=""),0,MAX(0,MIN($F358,DATE(Dashboard!$C$4,2,1))-MAX($E358,DATE(Dashboard!$C$4,1,1))))</f>
        <v/>
      </c>
      <c r="T358">
        <f>IF(OR($E358="",$F358=""),0,MAX(0,MIN($F358,DATE(Dashboard!$C$4,3,1))-MAX($E358,DATE(Dashboard!$C$4,2,1))))</f>
        <v/>
      </c>
      <c r="U358">
        <f>IF(OR($E358="",$F358=""),0,MAX(0,MIN($F358,DATE(Dashboard!$C$4,4,1))-MAX($E358,DATE(Dashboard!$C$4,3,1))))</f>
        <v/>
      </c>
      <c r="V358">
        <f>IF(OR($E358="",$F358=""),0,MAX(0,MIN($F358,DATE(Dashboard!$C$4,5,1))-MAX($E358,DATE(Dashboard!$C$4,4,1))))</f>
        <v/>
      </c>
      <c r="W358">
        <f>IF(OR($E358="",$F358=""),0,MAX(0,MIN($F358,DATE(Dashboard!$C$4,6,1))-MAX($E358,DATE(Dashboard!$C$4,5,1))))</f>
        <v/>
      </c>
      <c r="X358">
        <f>IF(OR($E358="",$F358=""),0,MAX(0,MIN($F358,DATE(Dashboard!$C$4,7,1))-MAX($E358,DATE(Dashboard!$C$4,6,1))))</f>
        <v/>
      </c>
      <c r="Y358">
        <f>IF(OR($E358="",$F358=""),0,MAX(0,MIN($F358,DATE(Dashboard!$C$4,8,1))-MAX($E358,DATE(Dashboard!$C$4,7,1))))</f>
        <v/>
      </c>
      <c r="Z358">
        <f>IF(OR($E358="",$F358=""),0,MAX(0,MIN($F358,DATE(Dashboard!$C$4,9,1))-MAX($E358,DATE(Dashboard!$C$4,8,1))))</f>
        <v/>
      </c>
      <c r="AA358">
        <f>IF(OR($E358="",$F358=""),0,MAX(0,MIN($F358,DATE(Dashboard!$C$4,10,1))-MAX($E358,DATE(Dashboard!$C$4,9,1))))</f>
        <v/>
      </c>
      <c r="AB358">
        <f>IF(OR($E358="",$F358=""),0,MAX(0,MIN($F358,DATE(Dashboard!$C$4,11,1))-MAX($E358,DATE(Dashboard!$C$4,10,1))))</f>
        <v/>
      </c>
      <c r="AC358">
        <f>IF(OR($E358="",$F358=""),0,MAX(0,MIN($F358,DATE(Dashboard!$C$4,12,1))-MAX($E358,DATE(Dashboard!$C$4,11,1))))</f>
        <v/>
      </c>
      <c r="AD358">
        <f>IF(OR($E358="",$F358=""),0,MAX(0,MIN($F358,DATE(Dashboard!$C$4,13,1))-MAX($E358,DATE(Dashboard!$C$4,12,1))))</f>
        <v/>
      </c>
      <c r="AE358">
        <f>SUM(S358:AD358)</f>
        <v/>
      </c>
      <c r="AF358">
        <f>Q358*AE358</f>
        <v/>
      </c>
      <c r="AG358">
        <f>R358*AE358</f>
        <v/>
      </c>
      <c r="AH358">
        <f>SUMPRODUCT(S358:AD358,--(COLUMN(S358:AD358)-COLUMN(S358)+1&lt;=Dashboard!$N$1))</f>
        <v/>
      </c>
      <c r="AI358">
        <f>IF(OR(E358="",E358&lt;TODAY()),"",E358+ROW()/100000)</f>
        <v/>
      </c>
      <c r="AJ358">
        <f>IF(OR(F358="",F358&lt;TODAY()),"",F358+ROW()/100000)</f>
        <v/>
      </c>
    </row>
    <row r="359">
      <c r="A359" s="1" t="n"/>
      <c r="B359" s="35" t="n"/>
      <c r="C359" s="35" t="n"/>
      <c r="D359" s="35" t="n"/>
      <c r="E359" s="36" t="n"/>
      <c r="F359" s="36" t="n"/>
      <c r="G359" s="18">
        <f>IF(OR(E359="",F359=""),"",F359-E359)</f>
        <v/>
      </c>
      <c r="H359" s="37" t="n"/>
      <c r="I359" s="38" t="n"/>
      <c r="J359" s="38" t="n"/>
      <c r="K359" s="38" t="n"/>
      <c r="L359" s="31">
        <f>IF(E359="","",N(I359)+N(J359)-N(K359))</f>
        <v/>
      </c>
      <c r="M359" s="39" t="n"/>
      <c r="N359" s="27">
        <f>IF(E359="","",IF(TODAY()&lt;E359,"Upcoming",IF(TODAY()&lt;F359,"Staying now",IF(M359="Yes","Checked out","Payout not received"))))</f>
        <v/>
      </c>
      <c r="O359" s="35" t="n"/>
      <c r="P359" s="1" t="n"/>
      <c r="Q359">
        <f>IF(N(G359)&gt;0,L359/G359,0)</f>
        <v/>
      </c>
      <c r="R359">
        <f>IF(N(G359)&gt;0,N(I359)/G359,0)</f>
        <v/>
      </c>
      <c r="S359">
        <f>IF(OR($E359="",$F359=""),0,MAX(0,MIN($F359,DATE(Dashboard!$C$4,2,1))-MAX($E359,DATE(Dashboard!$C$4,1,1))))</f>
        <v/>
      </c>
      <c r="T359">
        <f>IF(OR($E359="",$F359=""),0,MAX(0,MIN($F359,DATE(Dashboard!$C$4,3,1))-MAX($E359,DATE(Dashboard!$C$4,2,1))))</f>
        <v/>
      </c>
      <c r="U359">
        <f>IF(OR($E359="",$F359=""),0,MAX(0,MIN($F359,DATE(Dashboard!$C$4,4,1))-MAX($E359,DATE(Dashboard!$C$4,3,1))))</f>
        <v/>
      </c>
      <c r="V359">
        <f>IF(OR($E359="",$F359=""),0,MAX(0,MIN($F359,DATE(Dashboard!$C$4,5,1))-MAX($E359,DATE(Dashboard!$C$4,4,1))))</f>
        <v/>
      </c>
      <c r="W359">
        <f>IF(OR($E359="",$F359=""),0,MAX(0,MIN($F359,DATE(Dashboard!$C$4,6,1))-MAX($E359,DATE(Dashboard!$C$4,5,1))))</f>
        <v/>
      </c>
      <c r="X359">
        <f>IF(OR($E359="",$F359=""),0,MAX(0,MIN($F359,DATE(Dashboard!$C$4,7,1))-MAX($E359,DATE(Dashboard!$C$4,6,1))))</f>
        <v/>
      </c>
      <c r="Y359">
        <f>IF(OR($E359="",$F359=""),0,MAX(0,MIN($F359,DATE(Dashboard!$C$4,8,1))-MAX($E359,DATE(Dashboard!$C$4,7,1))))</f>
        <v/>
      </c>
      <c r="Z359">
        <f>IF(OR($E359="",$F359=""),0,MAX(0,MIN($F359,DATE(Dashboard!$C$4,9,1))-MAX($E359,DATE(Dashboard!$C$4,8,1))))</f>
        <v/>
      </c>
      <c r="AA359">
        <f>IF(OR($E359="",$F359=""),0,MAX(0,MIN($F359,DATE(Dashboard!$C$4,10,1))-MAX($E359,DATE(Dashboard!$C$4,9,1))))</f>
        <v/>
      </c>
      <c r="AB359">
        <f>IF(OR($E359="",$F359=""),0,MAX(0,MIN($F359,DATE(Dashboard!$C$4,11,1))-MAX($E359,DATE(Dashboard!$C$4,10,1))))</f>
        <v/>
      </c>
      <c r="AC359">
        <f>IF(OR($E359="",$F359=""),0,MAX(0,MIN($F359,DATE(Dashboard!$C$4,12,1))-MAX($E359,DATE(Dashboard!$C$4,11,1))))</f>
        <v/>
      </c>
      <c r="AD359">
        <f>IF(OR($E359="",$F359=""),0,MAX(0,MIN($F359,DATE(Dashboard!$C$4,13,1))-MAX($E359,DATE(Dashboard!$C$4,12,1))))</f>
        <v/>
      </c>
      <c r="AE359">
        <f>SUM(S359:AD359)</f>
        <v/>
      </c>
      <c r="AF359">
        <f>Q359*AE359</f>
        <v/>
      </c>
      <c r="AG359">
        <f>R359*AE359</f>
        <v/>
      </c>
      <c r="AH359">
        <f>SUMPRODUCT(S359:AD359,--(COLUMN(S359:AD359)-COLUMN(S359)+1&lt;=Dashboard!$N$1))</f>
        <v/>
      </c>
      <c r="AI359">
        <f>IF(OR(E359="",E359&lt;TODAY()),"",E359+ROW()/100000)</f>
        <v/>
      </c>
      <c r="AJ359">
        <f>IF(OR(F359="",F359&lt;TODAY()),"",F359+ROW()/100000)</f>
        <v/>
      </c>
    </row>
    <row r="360">
      <c r="A360" s="1" t="n"/>
      <c r="B360" s="35" t="n"/>
      <c r="C360" s="35" t="n"/>
      <c r="D360" s="35" t="n"/>
      <c r="E360" s="36" t="n"/>
      <c r="F360" s="36" t="n"/>
      <c r="G360" s="18">
        <f>IF(OR(E360="",F360=""),"",F360-E360)</f>
        <v/>
      </c>
      <c r="H360" s="37" t="n"/>
      <c r="I360" s="38" t="n"/>
      <c r="J360" s="38" t="n"/>
      <c r="K360" s="38" t="n"/>
      <c r="L360" s="31">
        <f>IF(E360="","",N(I360)+N(J360)-N(K360))</f>
        <v/>
      </c>
      <c r="M360" s="39" t="n"/>
      <c r="N360" s="27">
        <f>IF(E360="","",IF(TODAY()&lt;E360,"Upcoming",IF(TODAY()&lt;F360,"Staying now",IF(M360="Yes","Checked out","Payout not received"))))</f>
        <v/>
      </c>
      <c r="O360" s="35" t="n"/>
      <c r="P360" s="1" t="n"/>
      <c r="Q360">
        <f>IF(N(G360)&gt;0,L360/G360,0)</f>
        <v/>
      </c>
      <c r="R360">
        <f>IF(N(G360)&gt;0,N(I360)/G360,0)</f>
        <v/>
      </c>
      <c r="S360">
        <f>IF(OR($E360="",$F360=""),0,MAX(0,MIN($F360,DATE(Dashboard!$C$4,2,1))-MAX($E360,DATE(Dashboard!$C$4,1,1))))</f>
        <v/>
      </c>
      <c r="T360">
        <f>IF(OR($E360="",$F360=""),0,MAX(0,MIN($F360,DATE(Dashboard!$C$4,3,1))-MAX($E360,DATE(Dashboard!$C$4,2,1))))</f>
        <v/>
      </c>
      <c r="U360">
        <f>IF(OR($E360="",$F360=""),0,MAX(0,MIN($F360,DATE(Dashboard!$C$4,4,1))-MAX($E360,DATE(Dashboard!$C$4,3,1))))</f>
        <v/>
      </c>
      <c r="V360">
        <f>IF(OR($E360="",$F360=""),0,MAX(0,MIN($F360,DATE(Dashboard!$C$4,5,1))-MAX($E360,DATE(Dashboard!$C$4,4,1))))</f>
        <v/>
      </c>
      <c r="W360">
        <f>IF(OR($E360="",$F360=""),0,MAX(0,MIN($F360,DATE(Dashboard!$C$4,6,1))-MAX($E360,DATE(Dashboard!$C$4,5,1))))</f>
        <v/>
      </c>
      <c r="X360">
        <f>IF(OR($E360="",$F360=""),0,MAX(0,MIN($F360,DATE(Dashboard!$C$4,7,1))-MAX($E360,DATE(Dashboard!$C$4,6,1))))</f>
        <v/>
      </c>
      <c r="Y360">
        <f>IF(OR($E360="",$F360=""),0,MAX(0,MIN($F360,DATE(Dashboard!$C$4,8,1))-MAX($E360,DATE(Dashboard!$C$4,7,1))))</f>
        <v/>
      </c>
      <c r="Z360">
        <f>IF(OR($E360="",$F360=""),0,MAX(0,MIN($F360,DATE(Dashboard!$C$4,9,1))-MAX($E360,DATE(Dashboard!$C$4,8,1))))</f>
        <v/>
      </c>
      <c r="AA360">
        <f>IF(OR($E360="",$F360=""),0,MAX(0,MIN($F360,DATE(Dashboard!$C$4,10,1))-MAX($E360,DATE(Dashboard!$C$4,9,1))))</f>
        <v/>
      </c>
      <c r="AB360">
        <f>IF(OR($E360="",$F360=""),0,MAX(0,MIN($F360,DATE(Dashboard!$C$4,11,1))-MAX($E360,DATE(Dashboard!$C$4,10,1))))</f>
        <v/>
      </c>
      <c r="AC360">
        <f>IF(OR($E360="",$F360=""),0,MAX(0,MIN($F360,DATE(Dashboard!$C$4,12,1))-MAX($E360,DATE(Dashboard!$C$4,11,1))))</f>
        <v/>
      </c>
      <c r="AD360">
        <f>IF(OR($E360="",$F360=""),0,MAX(0,MIN($F360,DATE(Dashboard!$C$4,13,1))-MAX($E360,DATE(Dashboard!$C$4,12,1))))</f>
        <v/>
      </c>
      <c r="AE360">
        <f>SUM(S360:AD360)</f>
        <v/>
      </c>
      <c r="AF360">
        <f>Q360*AE360</f>
        <v/>
      </c>
      <c r="AG360">
        <f>R360*AE360</f>
        <v/>
      </c>
      <c r="AH360">
        <f>SUMPRODUCT(S360:AD360,--(COLUMN(S360:AD360)-COLUMN(S360)+1&lt;=Dashboard!$N$1))</f>
        <v/>
      </c>
      <c r="AI360">
        <f>IF(OR(E360="",E360&lt;TODAY()),"",E360+ROW()/100000)</f>
        <v/>
      </c>
      <c r="AJ360">
        <f>IF(OR(F360="",F360&lt;TODAY()),"",F360+ROW()/100000)</f>
        <v/>
      </c>
    </row>
    <row r="361">
      <c r="A361" s="1" t="n"/>
      <c r="B361" s="35" t="n"/>
      <c r="C361" s="35" t="n"/>
      <c r="D361" s="35" t="n"/>
      <c r="E361" s="36" t="n"/>
      <c r="F361" s="36" t="n"/>
      <c r="G361" s="18">
        <f>IF(OR(E361="",F361=""),"",F361-E361)</f>
        <v/>
      </c>
      <c r="H361" s="37" t="n"/>
      <c r="I361" s="38" t="n"/>
      <c r="J361" s="38" t="n"/>
      <c r="K361" s="38" t="n"/>
      <c r="L361" s="31">
        <f>IF(E361="","",N(I361)+N(J361)-N(K361))</f>
        <v/>
      </c>
      <c r="M361" s="39" t="n"/>
      <c r="N361" s="27">
        <f>IF(E361="","",IF(TODAY()&lt;E361,"Upcoming",IF(TODAY()&lt;F361,"Staying now",IF(M361="Yes","Checked out","Payout not received"))))</f>
        <v/>
      </c>
      <c r="O361" s="35" t="n"/>
      <c r="P361" s="1" t="n"/>
      <c r="Q361">
        <f>IF(N(G361)&gt;0,L361/G361,0)</f>
        <v/>
      </c>
      <c r="R361">
        <f>IF(N(G361)&gt;0,N(I361)/G361,0)</f>
        <v/>
      </c>
      <c r="S361">
        <f>IF(OR($E361="",$F361=""),0,MAX(0,MIN($F361,DATE(Dashboard!$C$4,2,1))-MAX($E361,DATE(Dashboard!$C$4,1,1))))</f>
        <v/>
      </c>
      <c r="T361">
        <f>IF(OR($E361="",$F361=""),0,MAX(0,MIN($F361,DATE(Dashboard!$C$4,3,1))-MAX($E361,DATE(Dashboard!$C$4,2,1))))</f>
        <v/>
      </c>
      <c r="U361">
        <f>IF(OR($E361="",$F361=""),0,MAX(0,MIN($F361,DATE(Dashboard!$C$4,4,1))-MAX($E361,DATE(Dashboard!$C$4,3,1))))</f>
        <v/>
      </c>
      <c r="V361">
        <f>IF(OR($E361="",$F361=""),0,MAX(0,MIN($F361,DATE(Dashboard!$C$4,5,1))-MAX($E361,DATE(Dashboard!$C$4,4,1))))</f>
        <v/>
      </c>
      <c r="W361">
        <f>IF(OR($E361="",$F361=""),0,MAX(0,MIN($F361,DATE(Dashboard!$C$4,6,1))-MAX($E361,DATE(Dashboard!$C$4,5,1))))</f>
        <v/>
      </c>
      <c r="X361">
        <f>IF(OR($E361="",$F361=""),0,MAX(0,MIN($F361,DATE(Dashboard!$C$4,7,1))-MAX($E361,DATE(Dashboard!$C$4,6,1))))</f>
        <v/>
      </c>
      <c r="Y361">
        <f>IF(OR($E361="",$F361=""),0,MAX(0,MIN($F361,DATE(Dashboard!$C$4,8,1))-MAX($E361,DATE(Dashboard!$C$4,7,1))))</f>
        <v/>
      </c>
      <c r="Z361">
        <f>IF(OR($E361="",$F361=""),0,MAX(0,MIN($F361,DATE(Dashboard!$C$4,9,1))-MAX($E361,DATE(Dashboard!$C$4,8,1))))</f>
        <v/>
      </c>
      <c r="AA361">
        <f>IF(OR($E361="",$F361=""),0,MAX(0,MIN($F361,DATE(Dashboard!$C$4,10,1))-MAX($E361,DATE(Dashboard!$C$4,9,1))))</f>
        <v/>
      </c>
      <c r="AB361">
        <f>IF(OR($E361="",$F361=""),0,MAX(0,MIN($F361,DATE(Dashboard!$C$4,11,1))-MAX($E361,DATE(Dashboard!$C$4,10,1))))</f>
        <v/>
      </c>
      <c r="AC361">
        <f>IF(OR($E361="",$F361=""),0,MAX(0,MIN($F361,DATE(Dashboard!$C$4,12,1))-MAX($E361,DATE(Dashboard!$C$4,11,1))))</f>
        <v/>
      </c>
      <c r="AD361">
        <f>IF(OR($E361="",$F361=""),0,MAX(0,MIN($F361,DATE(Dashboard!$C$4,13,1))-MAX($E361,DATE(Dashboard!$C$4,12,1))))</f>
        <v/>
      </c>
      <c r="AE361">
        <f>SUM(S361:AD361)</f>
        <v/>
      </c>
      <c r="AF361">
        <f>Q361*AE361</f>
        <v/>
      </c>
      <c r="AG361">
        <f>R361*AE361</f>
        <v/>
      </c>
      <c r="AH361">
        <f>SUMPRODUCT(S361:AD361,--(COLUMN(S361:AD361)-COLUMN(S361)+1&lt;=Dashboard!$N$1))</f>
        <v/>
      </c>
      <c r="AI361">
        <f>IF(OR(E361="",E361&lt;TODAY()),"",E361+ROW()/100000)</f>
        <v/>
      </c>
      <c r="AJ361">
        <f>IF(OR(F361="",F361&lt;TODAY()),"",F361+ROW()/100000)</f>
        <v/>
      </c>
    </row>
    <row r="362">
      <c r="A362" s="1" t="n"/>
      <c r="B362" s="35" t="n"/>
      <c r="C362" s="35" t="n"/>
      <c r="D362" s="35" t="n"/>
      <c r="E362" s="36" t="n"/>
      <c r="F362" s="36" t="n"/>
      <c r="G362" s="18">
        <f>IF(OR(E362="",F362=""),"",F362-E362)</f>
        <v/>
      </c>
      <c r="H362" s="37" t="n"/>
      <c r="I362" s="38" t="n"/>
      <c r="J362" s="38" t="n"/>
      <c r="K362" s="38" t="n"/>
      <c r="L362" s="31">
        <f>IF(E362="","",N(I362)+N(J362)-N(K362))</f>
        <v/>
      </c>
      <c r="M362" s="39" t="n"/>
      <c r="N362" s="27">
        <f>IF(E362="","",IF(TODAY()&lt;E362,"Upcoming",IF(TODAY()&lt;F362,"Staying now",IF(M362="Yes","Checked out","Payout not received"))))</f>
        <v/>
      </c>
      <c r="O362" s="35" t="n"/>
      <c r="P362" s="1" t="n"/>
      <c r="Q362">
        <f>IF(N(G362)&gt;0,L362/G362,0)</f>
        <v/>
      </c>
      <c r="R362">
        <f>IF(N(G362)&gt;0,N(I362)/G362,0)</f>
        <v/>
      </c>
      <c r="S362">
        <f>IF(OR($E362="",$F362=""),0,MAX(0,MIN($F362,DATE(Dashboard!$C$4,2,1))-MAX($E362,DATE(Dashboard!$C$4,1,1))))</f>
        <v/>
      </c>
      <c r="T362">
        <f>IF(OR($E362="",$F362=""),0,MAX(0,MIN($F362,DATE(Dashboard!$C$4,3,1))-MAX($E362,DATE(Dashboard!$C$4,2,1))))</f>
        <v/>
      </c>
      <c r="U362">
        <f>IF(OR($E362="",$F362=""),0,MAX(0,MIN($F362,DATE(Dashboard!$C$4,4,1))-MAX($E362,DATE(Dashboard!$C$4,3,1))))</f>
        <v/>
      </c>
      <c r="V362">
        <f>IF(OR($E362="",$F362=""),0,MAX(0,MIN($F362,DATE(Dashboard!$C$4,5,1))-MAX($E362,DATE(Dashboard!$C$4,4,1))))</f>
        <v/>
      </c>
      <c r="W362">
        <f>IF(OR($E362="",$F362=""),0,MAX(0,MIN($F362,DATE(Dashboard!$C$4,6,1))-MAX($E362,DATE(Dashboard!$C$4,5,1))))</f>
        <v/>
      </c>
      <c r="X362">
        <f>IF(OR($E362="",$F362=""),0,MAX(0,MIN($F362,DATE(Dashboard!$C$4,7,1))-MAX($E362,DATE(Dashboard!$C$4,6,1))))</f>
        <v/>
      </c>
      <c r="Y362">
        <f>IF(OR($E362="",$F362=""),0,MAX(0,MIN($F362,DATE(Dashboard!$C$4,8,1))-MAX($E362,DATE(Dashboard!$C$4,7,1))))</f>
        <v/>
      </c>
      <c r="Z362">
        <f>IF(OR($E362="",$F362=""),0,MAX(0,MIN($F362,DATE(Dashboard!$C$4,9,1))-MAX($E362,DATE(Dashboard!$C$4,8,1))))</f>
        <v/>
      </c>
      <c r="AA362">
        <f>IF(OR($E362="",$F362=""),0,MAX(0,MIN($F362,DATE(Dashboard!$C$4,10,1))-MAX($E362,DATE(Dashboard!$C$4,9,1))))</f>
        <v/>
      </c>
      <c r="AB362">
        <f>IF(OR($E362="",$F362=""),0,MAX(0,MIN($F362,DATE(Dashboard!$C$4,11,1))-MAX($E362,DATE(Dashboard!$C$4,10,1))))</f>
        <v/>
      </c>
      <c r="AC362">
        <f>IF(OR($E362="",$F362=""),0,MAX(0,MIN($F362,DATE(Dashboard!$C$4,12,1))-MAX($E362,DATE(Dashboard!$C$4,11,1))))</f>
        <v/>
      </c>
      <c r="AD362">
        <f>IF(OR($E362="",$F362=""),0,MAX(0,MIN($F362,DATE(Dashboard!$C$4,13,1))-MAX($E362,DATE(Dashboard!$C$4,12,1))))</f>
        <v/>
      </c>
      <c r="AE362">
        <f>SUM(S362:AD362)</f>
        <v/>
      </c>
      <c r="AF362">
        <f>Q362*AE362</f>
        <v/>
      </c>
      <c r="AG362">
        <f>R362*AE362</f>
        <v/>
      </c>
      <c r="AH362">
        <f>SUMPRODUCT(S362:AD362,--(COLUMN(S362:AD362)-COLUMN(S362)+1&lt;=Dashboard!$N$1))</f>
        <v/>
      </c>
      <c r="AI362">
        <f>IF(OR(E362="",E362&lt;TODAY()),"",E362+ROW()/100000)</f>
        <v/>
      </c>
      <c r="AJ362">
        <f>IF(OR(F362="",F362&lt;TODAY()),"",F362+ROW()/100000)</f>
        <v/>
      </c>
    </row>
    <row r="363">
      <c r="A363" s="1" t="n"/>
      <c r="B363" s="35" t="n"/>
      <c r="C363" s="35" t="n"/>
      <c r="D363" s="35" t="n"/>
      <c r="E363" s="36" t="n"/>
      <c r="F363" s="36" t="n"/>
      <c r="G363" s="18">
        <f>IF(OR(E363="",F363=""),"",F363-E363)</f>
        <v/>
      </c>
      <c r="H363" s="37" t="n"/>
      <c r="I363" s="38" t="n"/>
      <c r="J363" s="38" t="n"/>
      <c r="K363" s="38" t="n"/>
      <c r="L363" s="31">
        <f>IF(E363="","",N(I363)+N(J363)-N(K363))</f>
        <v/>
      </c>
      <c r="M363" s="39" t="n"/>
      <c r="N363" s="27">
        <f>IF(E363="","",IF(TODAY()&lt;E363,"Upcoming",IF(TODAY()&lt;F363,"Staying now",IF(M363="Yes","Checked out","Payout not received"))))</f>
        <v/>
      </c>
      <c r="O363" s="35" t="n"/>
      <c r="P363" s="1" t="n"/>
      <c r="Q363">
        <f>IF(N(G363)&gt;0,L363/G363,0)</f>
        <v/>
      </c>
      <c r="R363">
        <f>IF(N(G363)&gt;0,N(I363)/G363,0)</f>
        <v/>
      </c>
      <c r="S363">
        <f>IF(OR($E363="",$F363=""),0,MAX(0,MIN($F363,DATE(Dashboard!$C$4,2,1))-MAX($E363,DATE(Dashboard!$C$4,1,1))))</f>
        <v/>
      </c>
      <c r="T363">
        <f>IF(OR($E363="",$F363=""),0,MAX(0,MIN($F363,DATE(Dashboard!$C$4,3,1))-MAX($E363,DATE(Dashboard!$C$4,2,1))))</f>
        <v/>
      </c>
      <c r="U363">
        <f>IF(OR($E363="",$F363=""),0,MAX(0,MIN($F363,DATE(Dashboard!$C$4,4,1))-MAX($E363,DATE(Dashboard!$C$4,3,1))))</f>
        <v/>
      </c>
      <c r="V363">
        <f>IF(OR($E363="",$F363=""),0,MAX(0,MIN($F363,DATE(Dashboard!$C$4,5,1))-MAX($E363,DATE(Dashboard!$C$4,4,1))))</f>
        <v/>
      </c>
      <c r="W363">
        <f>IF(OR($E363="",$F363=""),0,MAX(0,MIN($F363,DATE(Dashboard!$C$4,6,1))-MAX($E363,DATE(Dashboard!$C$4,5,1))))</f>
        <v/>
      </c>
      <c r="X363">
        <f>IF(OR($E363="",$F363=""),0,MAX(0,MIN($F363,DATE(Dashboard!$C$4,7,1))-MAX($E363,DATE(Dashboard!$C$4,6,1))))</f>
        <v/>
      </c>
      <c r="Y363">
        <f>IF(OR($E363="",$F363=""),0,MAX(0,MIN($F363,DATE(Dashboard!$C$4,8,1))-MAX($E363,DATE(Dashboard!$C$4,7,1))))</f>
        <v/>
      </c>
      <c r="Z363">
        <f>IF(OR($E363="",$F363=""),0,MAX(0,MIN($F363,DATE(Dashboard!$C$4,9,1))-MAX($E363,DATE(Dashboard!$C$4,8,1))))</f>
        <v/>
      </c>
      <c r="AA363">
        <f>IF(OR($E363="",$F363=""),0,MAX(0,MIN($F363,DATE(Dashboard!$C$4,10,1))-MAX($E363,DATE(Dashboard!$C$4,9,1))))</f>
        <v/>
      </c>
      <c r="AB363">
        <f>IF(OR($E363="",$F363=""),0,MAX(0,MIN($F363,DATE(Dashboard!$C$4,11,1))-MAX($E363,DATE(Dashboard!$C$4,10,1))))</f>
        <v/>
      </c>
      <c r="AC363">
        <f>IF(OR($E363="",$F363=""),0,MAX(0,MIN($F363,DATE(Dashboard!$C$4,12,1))-MAX($E363,DATE(Dashboard!$C$4,11,1))))</f>
        <v/>
      </c>
      <c r="AD363">
        <f>IF(OR($E363="",$F363=""),0,MAX(0,MIN($F363,DATE(Dashboard!$C$4,13,1))-MAX($E363,DATE(Dashboard!$C$4,12,1))))</f>
        <v/>
      </c>
      <c r="AE363">
        <f>SUM(S363:AD363)</f>
        <v/>
      </c>
      <c r="AF363">
        <f>Q363*AE363</f>
        <v/>
      </c>
      <c r="AG363">
        <f>R363*AE363</f>
        <v/>
      </c>
      <c r="AH363">
        <f>SUMPRODUCT(S363:AD363,--(COLUMN(S363:AD363)-COLUMN(S363)+1&lt;=Dashboard!$N$1))</f>
        <v/>
      </c>
      <c r="AI363">
        <f>IF(OR(E363="",E363&lt;TODAY()),"",E363+ROW()/100000)</f>
        <v/>
      </c>
      <c r="AJ363">
        <f>IF(OR(F363="",F363&lt;TODAY()),"",F363+ROW()/100000)</f>
        <v/>
      </c>
    </row>
    <row r="364">
      <c r="A364" s="1" t="n"/>
      <c r="B364" s="35" t="n"/>
      <c r="C364" s="35" t="n"/>
      <c r="D364" s="35" t="n"/>
      <c r="E364" s="36" t="n"/>
      <c r="F364" s="36" t="n"/>
      <c r="G364" s="18">
        <f>IF(OR(E364="",F364=""),"",F364-E364)</f>
        <v/>
      </c>
      <c r="H364" s="37" t="n"/>
      <c r="I364" s="38" t="n"/>
      <c r="J364" s="38" t="n"/>
      <c r="K364" s="38" t="n"/>
      <c r="L364" s="31">
        <f>IF(E364="","",N(I364)+N(J364)-N(K364))</f>
        <v/>
      </c>
      <c r="M364" s="39" t="n"/>
      <c r="N364" s="27">
        <f>IF(E364="","",IF(TODAY()&lt;E364,"Upcoming",IF(TODAY()&lt;F364,"Staying now",IF(M364="Yes","Checked out","Payout not received"))))</f>
        <v/>
      </c>
      <c r="O364" s="35" t="n"/>
      <c r="P364" s="1" t="n"/>
      <c r="Q364">
        <f>IF(N(G364)&gt;0,L364/G364,0)</f>
        <v/>
      </c>
      <c r="R364">
        <f>IF(N(G364)&gt;0,N(I364)/G364,0)</f>
        <v/>
      </c>
      <c r="S364">
        <f>IF(OR($E364="",$F364=""),0,MAX(0,MIN($F364,DATE(Dashboard!$C$4,2,1))-MAX($E364,DATE(Dashboard!$C$4,1,1))))</f>
        <v/>
      </c>
      <c r="T364">
        <f>IF(OR($E364="",$F364=""),0,MAX(0,MIN($F364,DATE(Dashboard!$C$4,3,1))-MAX($E364,DATE(Dashboard!$C$4,2,1))))</f>
        <v/>
      </c>
      <c r="U364">
        <f>IF(OR($E364="",$F364=""),0,MAX(0,MIN($F364,DATE(Dashboard!$C$4,4,1))-MAX($E364,DATE(Dashboard!$C$4,3,1))))</f>
        <v/>
      </c>
      <c r="V364">
        <f>IF(OR($E364="",$F364=""),0,MAX(0,MIN($F364,DATE(Dashboard!$C$4,5,1))-MAX($E364,DATE(Dashboard!$C$4,4,1))))</f>
        <v/>
      </c>
      <c r="W364">
        <f>IF(OR($E364="",$F364=""),0,MAX(0,MIN($F364,DATE(Dashboard!$C$4,6,1))-MAX($E364,DATE(Dashboard!$C$4,5,1))))</f>
        <v/>
      </c>
      <c r="X364">
        <f>IF(OR($E364="",$F364=""),0,MAX(0,MIN($F364,DATE(Dashboard!$C$4,7,1))-MAX($E364,DATE(Dashboard!$C$4,6,1))))</f>
        <v/>
      </c>
      <c r="Y364">
        <f>IF(OR($E364="",$F364=""),0,MAX(0,MIN($F364,DATE(Dashboard!$C$4,8,1))-MAX($E364,DATE(Dashboard!$C$4,7,1))))</f>
        <v/>
      </c>
      <c r="Z364">
        <f>IF(OR($E364="",$F364=""),0,MAX(0,MIN($F364,DATE(Dashboard!$C$4,9,1))-MAX($E364,DATE(Dashboard!$C$4,8,1))))</f>
        <v/>
      </c>
      <c r="AA364">
        <f>IF(OR($E364="",$F364=""),0,MAX(0,MIN($F364,DATE(Dashboard!$C$4,10,1))-MAX($E364,DATE(Dashboard!$C$4,9,1))))</f>
        <v/>
      </c>
      <c r="AB364">
        <f>IF(OR($E364="",$F364=""),0,MAX(0,MIN($F364,DATE(Dashboard!$C$4,11,1))-MAX($E364,DATE(Dashboard!$C$4,10,1))))</f>
        <v/>
      </c>
      <c r="AC364">
        <f>IF(OR($E364="",$F364=""),0,MAX(0,MIN($F364,DATE(Dashboard!$C$4,12,1))-MAX($E364,DATE(Dashboard!$C$4,11,1))))</f>
        <v/>
      </c>
      <c r="AD364">
        <f>IF(OR($E364="",$F364=""),0,MAX(0,MIN($F364,DATE(Dashboard!$C$4,13,1))-MAX($E364,DATE(Dashboard!$C$4,12,1))))</f>
        <v/>
      </c>
      <c r="AE364">
        <f>SUM(S364:AD364)</f>
        <v/>
      </c>
      <c r="AF364">
        <f>Q364*AE364</f>
        <v/>
      </c>
      <c r="AG364">
        <f>R364*AE364</f>
        <v/>
      </c>
      <c r="AH364">
        <f>SUMPRODUCT(S364:AD364,--(COLUMN(S364:AD364)-COLUMN(S364)+1&lt;=Dashboard!$N$1))</f>
        <v/>
      </c>
      <c r="AI364">
        <f>IF(OR(E364="",E364&lt;TODAY()),"",E364+ROW()/100000)</f>
        <v/>
      </c>
      <c r="AJ364">
        <f>IF(OR(F364="",F364&lt;TODAY()),"",F364+ROW()/100000)</f>
        <v/>
      </c>
    </row>
    <row r="365">
      <c r="A365" s="1" t="n"/>
      <c r="B365" s="35" t="n"/>
      <c r="C365" s="35" t="n"/>
      <c r="D365" s="35" t="n"/>
      <c r="E365" s="36" t="n"/>
      <c r="F365" s="36" t="n"/>
      <c r="G365" s="18">
        <f>IF(OR(E365="",F365=""),"",F365-E365)</f>
        <v/>
      </c>
      <c r="H365" s="37" t="n"/>
      <c r="I365" s="38" t="n"/>
      <c r="J365" s="38" t="n"/>
      <c r="K365" s="38" t="n"/>
      <c r="L365" s="31">
        <f>IF(E365="","",N(I365)+N(J365)-N(K365))</f>
        <v/>
      </c>
      <c r="M365" s="39" t="n"/>
      <c r="N365" s="27">
        <f>IF(E365="","",IF(TODAY()&lt;E365,"Upcoming",IF(TODAY()&lt;F365,"Staying now",IF(M365="Yes","Checked out","Payout not received"))))</f>
        <v/>
      </c>
      <c r="O365" s="35" t="n"/>
      <c r="P365" s="1" t="n"/>
      <c r="Q365">
        <f>IF(N(G365)&gt;0,L365/G365,0)</f>
        <v/>
      </c>
      <c r="R365">
        <f>IF(N(G365)&gt;0,N(I365)/G365,0)</f>
        <v/>
      </c>
      <c r="S365">
        <f>IF(OR($E365="",$F365=""),0,MAX(0,MIN($F365,DATE(Dashboard!$C$4,2,1))-MAX($E365,DATE(Dashboard!$C$4,1,1))))</f>
        <v/>
      </c>
      <c r="T365">
        <f>IF(OR($E365="",$F365=""),0,MAX(0,MIN($F365,DATE(Dashboard!$C$4,3,1))-MAX($E365,DATE(Dashboard!$C$4,2,1))))</f>
        <v/>
      </c>
      <c r="U365">
        <f>IF(OR($E365="",$F365=""),0,MAX(0,MIN($F365,DATE(Dashboard!$C$4,4,1))-MAX($E365,DATE(Dashboard!$C$4,3,1))))</f>
        <v/>
      </c>
      <c r="V365">
        <f>IF(OR($E365="",$F365=""),0,MAX(0,MIN($F365,DATE(Dashboard!$C$4,5,1))-MAX($E365,DATE(Dashboard!$C$4,4,1))))</f>
        <v/>
      </c>
      <c r="W365">
        <f>IF(OR($E365="",$F365=""),0,MAX(0,MIN($F365,DATE(Dashboard!$C$4,6,1))-MAX($E365,DATE(Dashboard!$C$4,5,1))))</f>
        <v/>
      </c>
      <c r="X365">
        <f>IF(OR($E365="",$F365=""),0,MAX(0,MIN($F365,DATE(Dashboard!$C$4,7,1))-MAX($E365,DATE(Dashboard!$C$4,6,1))))</f>
        <v/>
      </c>
      <c r="Y365">
        <f>IF(OR($E365="",$F365=""),0,MAX(0,MIN($F365,DATE(Dashboard!$C$4,8,1))-MAX($E365,DATE(Dashboard!$C$4,7,1))))</f>
        <v/>
      </c>
      <c r="Z365">
        <f>IF(OR($E365="",$F365=""),0,MAX(0,MIN($F365,DATE(Dashboard!$C$4,9,1))-MAX($E365,DATE(Dashboard!$C$4,8,1))))</f>
        <v/>
      </c>
      <c r="AA365">
        <f>IF(OR($E365="",$F365=""),0,MAX(0,MIN($F365,DATE(Dashboard!$C$4,10,1))-MAX($E365,DATE(Dashboard!$C$4,9,1))))</f>
        <v/>
      </c>
      <c r="AB365">
        <f>IF(OR($E365="",$F365=""),0,MAX(0,MIN($F365,DATE(Dashboard!$C$4,11,1))-MAX($E365,DATE(Dashboard!$C$4,10,1))))</f>
        <v/>
      </c>
      <c r="AC365">
        <f>IF(OR($E365="",$F365=""),0,MAX(0,MIN($F365,DATE(Dashboard!$C$4,12,1))-MAX($E365,DATE(Dashboard!$C$4,11,1))))</f>
        <v/>
      </c>
      <c r="AD365">
        <f>IF(OR($E365="",$F365=""),0,MAX(0,MIN($F365,DATE(Dashboard!$C$4,13,1))-MAX($E365,DATE(Dashboard!$C$4,12,1))))</f>
        <v/>
      </c>
      <c r="AE365">
        <f>SUM(S365:AD365)</f>
        <v/>
      </c>
      <c r="AF365">
        <f>Q365*AE365</f>
        <v/>
      </c>
      <c r="AG365">
        <f>R365*AE365</f>
        <v/>
      </c>
      <c r="AH365">
        <f>SUMPRODUCT(S365:AD365,--(COLUMN(S365:AD365)-COLUMN(S365)+1&lt;=Dashboard!$N$1))</f>
        <v/>
      </c>
      <c r="AI365">
        <f>IF(OR(E365="",E365&lt;TODAY()),"",E365+ROW()/100000)</f>
        <v/>
      </c>
      <c r="AJ365">
        <f>IF(OR(F365="",F365&lt;TODAY()),"",F365+ROW()/100000)</f>
        <v/>
      </c>
    </row>
    <row r="366">
      <c r="A366" s="1" t="n"/>
      <c r="B366" s="35" t="n"/>
      <c r="C366" s="35" t="n"/>
      <c r="D366" s="35" t="n"/>
      <c r="E366" s="36" t="n"/>
      <c r="F366" s="36" t="n"/>
      <c r="G366" s="18">
        <f>IF(OR(E366="",F366=""),"",F366-E366)</f>
        <v/>
      </c>
      <c r="H366" s="37" t="n"/>
      <c r="I366" s="38" t="n"/>
      <c r="J366" s="38" t="n"/>
      <c r="K366" s="38" t="n"/>
      <c r="L366" s="31">
        <f>IF(E366="","",N(I366)+N(J366)-N(K366))</f>
        <v/>
      </c>
      <c r="M366" s="39" t="n"/>
      <c r="N366" s="27">
        <f>IF(E366="","",IF(TODAY()&lt;E366,"Upcoming",IF(TODAY()&lt;F366,"Staying now",IF(M366="Yes","Checked out","Payout not received"))))</f>
        <v/>
      </c>
      <c r="O366" s="35" t="n"/>
      <c r="P366" s="1" t="n"/>
      <c r="Q366">
        <f>IF(N(G366)&gt;0,L366/G366,0)</f>
        <v/>
      </c>
      <c r="R366">
        <f>IF(N(G366)&gt;0,N(I366)/G366,0)</f>
        <v/>
      </c>
      <c r="S366">
        <f>IF(OR($E366="",$F366=""),0,MAX(0,MIN($F366,DATE(Dashboard!$C$4,2,1))-MAX($E366,DATE(Dashboard!$C$4,1,1))))</f>
        <v/>
      </c>
      <c r="T366">
        <f>IF(OR($E366="",$F366=""),0,MAX(0,MIN($F366,DATE(Dashboard!$C$4,3,1))-MAX($E366,DATE(Dashboard!$C$4,2,1))))</f>
        <v/>
      </c>
      <c r="U366">
        <f>IF(OR($E366="",$F366=""),0,MAX(0,MIN($F366,DATE(Dashboard!$C$4,4,1))-MAX($E366,DATE(Dashboard!$C$4,3,1))))</f>
        <v/>
      </c>
      <c r="V366">
        <f>IF(OR($E366="",$F366=""),0,MAX(0,MIN($F366,DATE(Dashboard!$C$4,5,1))-MAX($E366,DATE(Dashboard!$C$4,4,1))))</f>
        <v/>
      </c>
      <c r="W366">
        <f>IF(OR($E366="",$F366=""),0,MAX(0,MIN($F366,DATE(Dashboard!$C$4,6,1))-MAX($E366,DATE(Dashboard!$C$4,5,1))))</f>
        <v/>
      </c>
      <c r="X366">
        <f>IF(OR($E366="",$F366=""),0,MAX(0,MIN($F366,DATE(Dashboard!$C$4,7,1))-MAX($E366,DATE(Dashboard!$C$4,6,1))))</f>
        <v/>
      </c>
      <c r="Y366">
        <f>IF(OR($E366="",$F366=""),0,MAX(0,MIN($F366,DATE(Dashboard!$C$4,8,1))-MAX($E366,DATE(Dashboard!$C$4,7,1))))</f>
        <v/>
      </c>
      <c r="Z366">
        <f>IF(OR($E366="",$F366=""),0,MAX(0,MIN($F366,DATE(Dashboard!$C$4,9,1))-MAX($E366,DATE(Dashboard!$C$4,8,1))))</f>
        <v/>
      </c>
      <c r="AA366">
        <f>IF(OR($E366="",$F366=""),0,MAX(0,MIN($F366,DATE(Dashboard!$C$4,10,1))-MAX($E366,DATE(Dashboard!$C$4,9,1))))</f>
        <v/>
      </c>
      <c r="AB366">
        <f>IF(OR($E366="",$F366=""),0,MAX(0,MIN($F366,DATE(Dashboard!$C$4,11,1))-MAX($E366,DATE(Dashboard!$C$4,10,1))))</f>
        <v/>
      </c>
      <c r="AC366">
        <f>IF(OR($E366="",$F366=""),0,MAX(0,MIN($F366,DATE(Dashboard!$C$4,12,1))-MAX($E366,DATE(Dashboard!$C$4,11,1))))</f>
        <v/>
      </c>
      <c r="AD366">
        <f>IF(OR($E366="",$F366=""),0,MAX(0,MIN($F366,DATE(Dashboard!$C$4,13,1))-MAX($E366,DATE(Dashboard!$C$4,12,1))))</f>
        <v/>
      </c>
      <c r="AE366">
        <f>SUM(S366:AD366)</f>
        <v/>
      </c>
      <c r="AF366">
        <f>Q366*AE366</f>
        <v/>
      </c>
      <c r="AG366">
        <f>R366*AE366</f>
        <v/>
      </c>
      <c r="AH366">
        <f>SUMPRODUCT(S366:AD366,--(COLUMN(S366:AD366)-COLUMN(S366)+1&lt;=Dashboard!$N$1))</f>
        <v/>
      </c>
      <c r="AI366">
        <f>IF(OR(E366="",E366&lt;TODAY()),"",E366+ROW()/100000)</f>
        <v/>
      </c>
      <c r="AJ366">
        <f>IF(OR(F366="",F366&lt;TODAY()),"",F366+ROW()/100000)</f>
        <v/>
      </c>
    </row>
    <row r="367">
      <c r="A367" s="1" t="n"/>
      <c r="B367" s="35" t="n"/>
      <c r="C367" s="35" t="n"/>
      <c r="D367" s="35" t="n"/>
      <c r="E367" s="36" t="n"/>
      <c r="F367" s="36" t="n"/>
      <c r="G367" s="18">
        <f>IF(OR(E367="",F367=""),"",F367-E367)</f>
        <v/>
      </c>
      <c r="H367" s="37" t="n"/>
      <c r="I367" s="38" t="n"/>
      <c r="J367" s="38" t="n"/>
      <c r="K367" s="38" t="n"/>
      <c r="L367" s="31">
        <f>IF(E367="","",N(I367)+N(J367)-N(K367))</f>
        <v/>
      </c>
      <c r="M367" s="39" t="n"/>
      <c r="N367" s="27">
        <f>IF(E367="","",IF(TODAY()&lt;E367,"Upcoming",IF(TODAY()&lt;F367,"Staying now",IF(M367="Yes","Checked out","Payout not received"))))</f>
        <v/>
      </c>
      <c r="O367" s="35" t="n"/>
      <c r="P367" s="1" t="n"/>
      <c r="Q367">
        <f>IF(N(G367)&gt;0,L367/G367,0)</f>
        <v/>
      </c>
      <c r="R367">
        <f>IF(N(G367)&gt;0,N(I367)/G367,0)</f>
        <v/>
      </c>
      <c r="S367">
        <f>IF(OR($E367="",$F367=""),0,MAX(0,MIN($F367,DATE(Dashboard!$C$4,2,1))-MAX($E367,DATE(Dashboard!$C$4,1,1))))</f>
        <v/>
      </c>
      <c r="T367">
        <f>IF(OR($E367="",$F367=""),0,MAX(0,MIN($F367,DATE(Dashboard!$C$4,3,1))-MAX($E367,DATE(Dashboard!$C$4,2,1))))</f>
        <v/>
      </c>
      <c r="U367">
        <f>IF(OR($E367="",$F367=""),0,MAX(0,MIN($F367,DATE(Dashboard!$C$4,4,1))-MAX($E367,DATE(Dashboard!$C$4,3,1))))</f>
        <v/>
      </c>
      <c r="V367">
        <f>IF(OR($E367="",$F367=""),0,MAX(0,MIN($F367,DATE(Dashboard!$C$4,5,1))-MAX($E367,DATE(Dashboard!$C$4,4,1))))</f>
        <v/>
      </c>
      <c r="W367">
        <f>IF(OR($E367="",$F367=""),0,MAX(0,MIN($F367,DATE(Dashboard!$C$4,6,1))-MAX($E367,DATE(Dashboard!$C$4,5,1))))</f>
        <v/>
      </c>
      <c r="X367">
        <f>IF(OR($E367="",$F367=""),0,MAX(0,MIN($F367,DATE(Dashboard!$C$4,7,1))-MAX($E367,DATE(Dashboard!$C$4,6,1))))</f>
        <v/>
      </c>
      <c r="Y367">
        <f>IF(OR($E367="",$F367=""),0,MAX(0,MIN($F367,DATE(Dashboard!$C$4,8,1))-MAX($E367,DATE(Dashboard!$C$4,7,1))))</f>
        <v/>
      </c>
      <c r="Z367">
        <f>IF(OR($E367="",$F367=""),0,MAX(0,MIN($F367,DATE(Dashboard!$C$4,9,1))-MAX($E367,DATE(Dashboard!$C$4,8,1))))</f>
        <v/>
      </c>
      <c r="AA367">
        <f>IF(OR($E367="",$F367=""),0,MAX(0,MIN($F367,DATE(Dashboard!$C$4,10,1))-MAX($E367,DATE(Dashboard!$C$4,9,1))))</f>
        <v/>
      </c>
      <c r="AB367">
        <f>IF(OR($E367="",$F367=""),0,MAX(0,MIN($F367,DATE(Dashboard!$C$4,11,1))-MAX($E367,DATE(Dashboard!$C$4,10,1))))</f>
        <v/>
      </c>
      <c r="AC367">
        <f>IF(OR($E367="",$F367=""),0,MAX(0,MIN($F367,DATE(Dashboard!$C$4,12,1))-MAX($E367,DATE(Dashboard!$C$4,11,1))))</f>
        <v/>
      </c>
      <c r="AD367">
        <f>IF(OR($E367="",$F367=""),0,MAX(0,MIN($F367,DATE(Dashboard!$C$4,13,1))-MAX($E367,DATE(Dashboard!$C$4,12,1))))</f>
        <v/>
      </c>
      <c r="AE367">
        <f>SUM(S367:AD367)</f>
        <v/>
      </c>
      <c r="AF367">
        <f>Q367*AE367</f>
        <v/>
      </c>
      <c r="AG367">
        <f>R367*AE367</f>
        <v/>
      </c>
      <c r="AH367">
        <f>SUMPRODUCT(S367:AD367,--(COLUMN(S367:AD367)-COLUMN(S367)+1&lt;=Dashboard!$N$1))</f>
        <v/>
      </c>
      <c r="AI367">
        <f>IF(OR(E367="",E367&lt;TODAY()),"",E367+ROW()/100000)</f>
        <v/>
      </c>
      <c r="AJ367">
        <f>IF(OR(F367="",F367&lt;TODAY()),"",F367+ROW()/100000)</f>
        <v/>
      </c>
    </row>
    <row r="368">
      <c r="A368" s="1" t="n"/>
      <c r="B368" s="35" t="n"/>
      <c r="C368" s="35" t="n"/>
      <c r="D368" s="35" t="n"/>
      <c r="E368" s="36" t="n"/>
      <c r="F368" s="36" t="n"/>
      <c r="G368" s="18">
        <f>IF(OR(E368="",F368=""),"",F368-E368)</f>
        <v/>
      </c>
      <c r="H368" s="37" t="n"/>
      <c r="I368" s="38" t="n"/>
      <c r="J368" s="38" t="n"/>
      <c r="K368" s="38" t="n"/>
      <c r="L368" s="31">
        <f>IF(E368="","",N(I368)+N(J368)-N(K368))</f>
        <v/>
      </c>
      <c r="M368" s="39" t="n"/>
      <c r="N368" s="27">
        <f>IF(E368="","",IF(TODAY()&lt;E368,"Upcoming",IF(TODAY()&lt;F368,"Staying now",IF(M368="Yes","Checked out","Payout not received"))))</f>
        <v/>
      </c>
      <c r="O368" s="35" t="n"/>
      <c r="P368" s="1" t="n"/>
      <c r="Q368">
        <f>IF(N(G368)&gt;0,L368/G368,0)</f>
        <v/>
      </c>
      <c r="R368">
        <f>IF(N(G368)&gt;0,N(I368)/G368,0)</f>
        <v/>
      </c>
      <c r="S368">
        <f>IF(OR($E368="",$F368=""),0,MAX(0,MIN($F368,DATE(Dashboard!$C$4,2,1))-MAX($E368,DATE(Dashboard!$C$4,1,1))))</f>
        <v/>
      </c>
      <c r="T368">
        <f>IF(OR($E368="",$F368=""),0,MAX(0,MIN($F368,DATE(Dashboard!$C$4,3,1))-MAX($E368,DATE(Dashboard!$C$4,2,1))))</f>
        <v/>
      </c>
      <c r="U368">
        <f>IF(OR($E368="",$F368=""),0,MAX(0,MIN($F368,DATE(Dashboard!$C$4,4,1))-MAX($E368,DATE(Dashboard!$C$4,3,1))))</f>
        <v/>
      </c>
      <c r="V368">
        <f>IF(OR($E368="",$F368=""),0,MAX(0,MIN($F368,DATE(Dashboard!$C$4,5,1))-MAX($E368,DATE(Dashboard!$C$4,4,1))))</f>
        <v/>
      </c>
      <c r="W368">
        <f>IF(OR($E368="",$F368=""),0,MAX(0,MIN($F368,DATE(Dashboard!$C$4,6,1))-MAX($E368,DATE(Dashboard!$C$4,5,1))))</f>
        <v/>
      </c>
      <c r="X368">
        <f>IF(OR($E368="",$F368=""),0,MAX(0,MIN($F368,DATE(Dashboard!$C$4,7,1))-MAX($E368,DATE(Dashboard!$C$4,6,1))))</f>
        <v/>
      </c>
      <c r="Y368">
        <f>IF(OR($E368="",$F368=""),0,MAX(0,MIN($F368,DATE(Dashboard!$C$4,8,1))-MAX($E368,DATE(Dashboard!$C$4,7,1))))</f>
        <v/>
      </c>
      <c r="Z368">
        <f>IF(OR($E368="",$F368=""),0,MAX(0,MIN($F368,DATE(Dashboard!$C$4,9,1))-MAX($E368,DATE(Dashboard!$C$4,8,1))))</f>
        <v/>
      </c>
      <c r="AA368">
        <f>IF(OR($E368="",$F368=""),0,MAX(0,MIN($F368,DATE(Dashboard!$C$4,10,1))-MAX($E368,DATE(Dashboard!$C$4,9,1))))</f>
        <v/>
      </c>
      <c r="AB368">
        <f>IF(OR($E368="",$F368=""),0,MAX(0,MIN($F368,DATE(Dashboard!$C$4,11,1))-MAX($E368,DATE(Dashboard!$C$4,10,1))))</f>
        <v/>
      </c>
      <c r="AC368">
        <f>IF(OR($E368="",$F368=""),0,MAX(0,MIN($F368,DATE(Dashboard!$C$4,12,1))-MAX($E368,DATE(Dashboard!$C$4,11,1))))</f>
        <v/>
      </c>
      <c r="AD368">
        <f>IF(OR($E368="",$F368=""),0,MAX(0,MIN($F368,DATE(Dashboard!$C$4,13,1))-MAX($E368,DATE(Dashboard!$C$4,12,1))))</f>
        <v/>
      </c>
      <c r="AE368">
        <f>SUM(S368:AD368)</f>
        <v/>
      </c>
      <c r="AF368">
        <f>Q368*AE368</f>
        <v/>
      </c>
      <c r="AG368">
        <f>R368*AE368</f>
        <v/>
      </c>
      <c r="AH368">
        <f>SUMPRODUCT(S368:AD368,--(COLUMN(S368:AD368)-COLUMN(S368)+1&lt;=Dashboard!$N$1))</f>
        <v/>
      </c>
      <c r="AI368">
        <f>IF(OR(E368="",E368&lt;TODAY()),"",E368+ROW()/100000)</f>
        <v/>
      </c>
      <c r="AJ368">
        <f>IF(OR(F368="",F368&lt;TODAY()),"",F368+ROW()/100000)</f>
        <v/>
      </c>
    </row>
    <row r="369">
      <c r="A369" s="1" t="n"/>
      <c r="B369" s="35" t="n"/>
      <c r="C369" s="35" t="n"/>
      <c r="D369" s="35" t="n"/>
      <c r="E369" s="36" t="n"/>
      <c r="F369" s="36" t="n"/>
      <c r="G369" s="18">
        <f>IF(OR(E369="",F369=""),"",F369-E369)</f>
        <v/>
      </c>
      <c r="H369" s="37" t="n"/>
      <c r="I369" s="38" t="n"/>
      <c r="J369" s="38" t="n"/>
      <c r="K369" s="38" t="n"/>
      <c r="L369" s="31">
        <f>IF(E369="","",N(I369)+N(J369)-N(K369))</f>
        <v/>
      </c>
      <c r="M369" s="39" t="n"/>
      <c r="N369" s="27">
        <f>IF(E369="","",IF(TODAY()&lt;E369,"Upcoming",IF(TODAY()&lt;F369,"Staying now",IF(M369="Yes","Checked out","Payout not received"))))</f>
        <v/>
      </c>
      <c r="O369" s="35" t="n"/>
      <c r="P369" s="1" t="n"/>
      <c r="Q369">
        <f>IF(N(G369)&gt;0,L369/G369,0)</f>
        <v/>
      </c>
      <c r="R369">
        <f>IF(N(G369)&gt;0,N(I369)/G369,0)</f>
        <v/>
      </c>
      <c r="S369">
        <f>IF(OR($E369="",$F369=""),0,MAX(0,MIN($F369,DATE(Dashboard!$C$4,2,1))-MAX($E369,DATE(Dashboard!$C$4,1,1))))</f>
        <v/>
      </c>
      <c r="T369">
        <f>IF(OR($E369="",$F369=""),0,MAX(0,MIN($F369,DATE(Dashboard!$C$4,3,1))-MAX($E369,DATE(Dashboard!$C$4,2,1))))</f>
        <v/>
      </c>
      <c r="U369">
        <f>IF(OR($E369="",$F369=""),0,MAX(0,MIN($F369,DATE(Dashboard!$C$4,4,1))-MAX($E369,DATE(Dashboard!$C$4,3,1))))</f>
        <v/>
      </c>
      <c r="V369">
        <f>IF(OR($E369="",$F369=""),0,MAX(0,MIN($F369,DATE(Dashboard!$C$4,5,1))-MAX($E369,DATE(Dashboard!$C$4,4,1))))</f>
        <v/>
      </c>
      <c r="W369">
        <f>IF(OR($E369="",$F369=""),0,MAX(0,MIN($F369,DATE(Dashboard!$C$4,6,1))-MAX($E369,DATE(Dashboard!$C$4,5,1))))</f>
        <v/>
      </c>
      <c r="X369">
        <f>IF(OR($E369="",$F369=""),0,MAX(0,MIN($F369,DATE(Dashboard!$C$4,7,1))-MAX($E369,DATE(Dashboard!$C$4,6,1))))</f>
        <v/>
      </c>
      <c r="Y369">
        <f>IF(OR($E369="",$F369=""),0,MAX(0,MIN($F369,DATE(Dashboard!$C$4,8,1))-MAX($E369,DATE(Dashboard!$C$4,7,1))))</f>
        <v/>
      </c>
      <c r="Z369">
        <f>IF(OR($E369="",$F369=""),0,MAX(0,MIN($F369,DATE(Dashboard!$C$4,9,1))-MAX($E369,DATE(Dashboard!$C$4,8,1))))</f>
        <v/>
      </c>
      <c r="AA369">
        <f>IF(OR($E369="",$F369=""),0,MAX(0,MIN($F369,DATE(Dashboard!$C$4,10,1))-MAX($E369,DATE(Dashboard!$C$4,9,1))))</f>
        <v/>
      </c>
      <c r="AB369">
        <f>IF(OR($E369="",$F369=""),0,MAX(0,MIN($F369,DATE(Dashboard!$C$4,11,1))-MAX($E369,DATE(Dashboard!$C$4,10,1))))</f>
        <v/>
      </c>
      <c r="AC369">
        <f>IF(OR($E369="",$F369=""),0,MAX(0,MIN($F369,DATE(Dashboard!$C$4,12,1))-MAX($E369,DATE(Dashboard!$C$4,11,1))))</f>
        <v/>
      </c>
      <c r="AD369">
        <f>IF(OR($E369="",$F369=""),0,MAX(0,MIN($F369,DATE(Dashboard!$C$4,13,1))-MAX($E369,DATE(Dashboard!$C$4,12,1))))</f>
        <v/>
      </c>
      <c r="AE369">
        <f>SUM(S369:AD369)</f>
        <v/>
      </c>
      <c r="AF369">
        <f>Q369*AE369</f>
        <v/>
      </c>
      <c r="AG369">
        <f>R369*AE369</f>
        <v/>
      </c>
      <c r="AH369">
        <f>SUMPRODUCT(S369:AD369,--(COLUMN(S369:AD369)-COLUMN(S369)+1&lt;=Dashboard!$N$1))</f>
        <v/>
      </c>
      <c r="AI369">
        <f>IF(OR(E369="",E369&lt;TODAY()),"",E369+ROW()/100000)</f>
        <v/>
      </c>
      <c r="AJ369">
        <f>IF(OR(F369="",F369&lt;TODAY()),"",F369+ROW()/100000)</f>
        <v/>
      </c>
    </row>
    <row r="370">
      <c r="A370" s="1" t="n"/>
      <c r="B370" s="35" t="n"/>
      <c r="C370" s="35" t="n"/>
      <c r="D370" s="35" t="n"/>
      <c r="E370" s="36" t="n"/>
      <c r="F370" s="36" t="n"/>
      <c r="G370" s="18">
        <f>IF(OR(E370="",F370=""),"",F370-E370)</f>
        <v/>
      </c>
      <c r="H370" s="37" t="n"/>
      <c r="I370" s="38" t="n"/>
      <c r="J370" s="38" t="n"/>
      <c r="K370" s="38" t="n"/>
      <c r="L370" s="31">
        <f>IF(E370="","",N(I370)+N(J370)-N(K370))</f>
        <v/>
      </c>
      <c r="M370" s="39" t="n"/>
      <c r="N370" s="27">
        <f>IF(E370="","",IF(TODAY()&lt;E370,"Upcoming",IF(TODAY()&lt;F370,"Staying now",IF(M370="Yes","Checked out","Payout not received"))))</f>
        <v/>
      </c>
      <c r="O370" s="35" t="n"/>
      <c r="P370" s="1" t="n"/>
      <c r="Q370">
        <f>IF(N(G370)&gt;0,L370/G370,0)</f>
        <v/>
      </c>
      <c r="R370">
        <f>IF(N(G370)&gt;0,N(I370)/G370,0)</f>
        <v/>
      </c>
      <c r="S370">
        <f>IF(OR($E370="",$F370=""),0,MAX(0,MIN($F370,DATE(Dashboard!$C$4,2,1))-MAX($E370,DATE(Dashboard!$C$4,1,1))))</f>
        <v/>
      </c>
      <c r="T370">
        <f>IF(OR($E370="",$F370=""),0,MAX(0,MIN($F370,DATE(Dashboard!$C$4,3,1))-MAX($E370,DATE(Dashboard!$C$4,2,1))))</f>
        <v/>
      </c>
      <c r="U370">
        <f>IF(OR($E370="",$F370=""),0,MAX(0,MIN($F370,DATE(Dashboard!$C$4,4,1))-MAX($E370,DATE(Dashboard!$C$4,3,1))))</f>
        <v/>
      </c>
      <c r="V370">
        <f>IF(OR($E370="",$F370=""),0,MAX(0,MIN($F370,DATE(Dashboard!$C$4,5,1))-MAX($E370,DATE(Dashboard!$C$4,4,1))))</f>
        <v/>
      </c>
      <c r="W370">
        <f>IF(OR($E370="",$F370=""),0,MAX(0,MIN($F370,DATE(Dashboard!$C$4,6,1))-MAX($E370,DATE(Dashboard!$C$4,5,1))))</f>
        <v/>
      </c>
      <c r="X370">
        <f>IF(OR($E370="",$F370=""),0,MAX(0,MIN($F370,DATE(Dashboard!$C$4,7,1))-MAX($E370,DATE(Dashboard!$C$4,6,1))))</f>
        <v/>
      </c>
      <c r="Y370">
        <f>IF(OR($E370="",$F370=""),0,MAX(0,MIN($F370,DATE(Dashboard!$C$4,8,1))-MAX($E370,DATE(Dashboard!$C$4,7,1))))</f>
        <v/>
      </c>
      <c r="Z370">
        <f>IF(OR($E370="",$F370=""),0,MAX(0,MIN($F370,DATE(Dashboard!$C$4,9,1))-MAX($E370,DATE(Dashboard!$C$4,8,1))))</f>
        <v/>
      </c>
      <c r="AA370">
        <f>IF(OR($E370="",$F370=""),0,MAX(0,MIN($F370,DATE(Dashboard!$C$4,10,1))-MAX($E370,DATE(Dashboard!$C$4,9,1))))</f>
        <v/>
      </c>
      <c r="AB370">
        <f>IF(OR($E370="",$F370=""),0,MAX(0,MIN($F370,DATE(Dashboard!$C$4,11,1))-MAX($E370,DATE(Dashboard!$C$4,10,1))))</f>
        <v/>
      </c>
      <c r="AC370">
        <f>IF(OR($E370="",$F370=""),0,MAX(0,MIN($F370,DATE(Dashboard!$C$4,12,1))-MAX($E370,DATE(Dashboard!$C$4,11,1))))</f>
        <v/>
      </c>
      <c r="AD370">
        <f>IF(OR($E370="",$F370=""),0,MAX(0,MIN($F370,DATE(Dashboard!$C$4,13,1))-MAX($E370,DATE(Dashboard!$C$4,12,1))))</f>
        <v/>
      </c>
      <c r="AE370">
        <f>SUM(S370:AD370)</f>
        <v/>
      </c>
      <c r="AF370">
        <f>Q370*AE370</f>
        <v/>
      </c>
      <c r="AG370">
        <f>R370*AE370</f>
        <v/>
      </c>
      <c r="AH370">
        <f>SUMPRODUCT(S370:AD370,--(COLUMN(S370:AD370)-COLUMN(S370)+1&lt;=Dashboard!$N$1))</f>
        <v/>
      </c>
      <c r="AI370">
        <f>IF(OR(E370="",E370&lt;TODAY()),"",E370+ROW()/100000)</f>
        <v/>
      </c>
      <c r="AJ370">
        <f>IF(OR(F370="",F370&lt;TODAY()),"",F370+ROW()/100000)</f>
        <v/>
      </c>
    </row>
    <row r="371">
      <c r="A371" s="1" t="n"/>
      <c r="B371" s="35" t="n"/>
      <c r="C371" s="35" t="n"/>
      <c r="D371" s="35" t="n"/>
      <c r="E371" s="36" t="n"/>
      <c r="F371" s="36" t="n"/>
      <c r="G371" s="18">
        <f>IF(OR(E371="",F371=""),"",F371-E371)</f>
        <v/>
      </c>
      <c r="H371" s="37" t="n"/>
      <c r="I371" s="38" t="n"/>
      <c r="J371" s="38" t="n"/>
      <c r="K371" s="38" t="n"/>
      <c r="L371" s="31">
        <f>IF(E371="","",N(I371)+N(J371)-N(K371))</f>
        <v/>
      </c>
      <c r="M371" s="39" t="n"/>
      <c r="N371" s="27">
        <f>IF(E371="","",IF(TODAY()&lt;E371,"Upcoming",IF(TODAY()&lt;F371,"Staying now",IF(M371="Yes","Checked out","Payout not received"))))</f>
        <v/>
      </c>
      <c r="O371" s="35" t="n"/>
      <c r="P371" s="1" t="n"/>
      <c r="Q371">
        <f>IF(N(G371)&gt;0,L371/G371,0)</f>
        <v/>
      </c>
      <c r="R371">
        <f>IF(N(G371)&gt;0,N(I371)/G371,0)</f>
        <v/>
      </c>
      <c r="S371">
        <f>IF(OR($E371="",$F371=""),0,MAX(0,MIN($F371,DATE(Dashboard!$C$4,2,1))-MAX($E371,DATE(Dashboard!$C$4,1,1))))</f>
        <v/>
      </c>
      <c r="T371">
        <f>IF(OR($E371="",$F371=""),0,MAX(0,MIN($F371,DATE(Dashboard!$C$4,3,1))-MAX($E371,DATE(Dashboard!$C$4,2,1))))</f>
        <v/>
      </c>
      <c r="U371">
        <f>IF(OR($E371="",$F371=""),0,MAX(0,MIN($F371,DATE(Dashboard!$C$4,4,1))-MAX($E371,DATE(Dashboard!$C$4,3,1))))</f>
        <v/>
      </c>
      <c r="V371">
        <f>IF(OR($E371="",$F371=""),0,MAX(0,MIN($F371,DATE(Dashboard!$C$4,5,1))-MAX($E371,DATE(Dashboard!$C$4,4,1))))</f>
        <v/>
      </c>
      <c r="W371">
        <f>IF(OR($E371="",$F371=""),0,MAX(0,MIN($F371,DATE(Dashboard!$C$4,6,1))-MAX($E371,DATE(Dashboard!$C$4,5,1))))</f>
        <v/>
      </c>
      <c r="X371">
        <f>IF(OR($E371="",$F371=""),0,MAX(0,MIN($F371,DATE(Dashboard!$C$4,7,1))-MAX($E371,DATE(Dashboard!$C$4,6,1))))</f>
        <v/>
      </c>
      <c r="Y371">
        <f>IF(OR($E371="",$F371=""),0,MAX(0,MIN($F371,DATE(Dashboard!$C$4,8,1))-MAX($E371,DATE(Dashboard!$C$4,7,1))))</f>
        <v/>
      </c>
      <c r="Z371">
        <f>IF(OR($E371="",$F371=""),0,MAX(0,MIN($F371,DATE(Dashboard!$C$4,9,1))-MAX($E371,DATE(Dashboard!$C$4,8,1))))</f>
        <v/>
      </c>
      <c r="AA371">
        <f>IF(OR($E371="",$F371=""),0,MAX(0,MIN($F371,DATE(Dashboard!$C$4,10,1))-MAX($E371,DATE(Dashboard!$C$4,9,1))))</f>
        <v/>
      </c>
      <c r="AB371">
        <f>IF(OR($E371="",$F371=""),0,MAX(0,MIN($F371,DATE(Dashboard!$C$4,11,1))-MAX($E371,DATE(Dashboard!$C$4,10,1))))</f>
        <v/>
      </c>
      <c r="AC371">
        <f>IF(OR($E371="",$F371=""),0,MAX(0,MIN($F371,DATE(Dashboard!$C$4,12,1))-MAX($E371,DATE(Dashboard!$C$4,11,1))))</f>
        <v/>
      </c>
      <c r="AD371">
        <f>IF(OR($E371="",$F371=""),0,MAX(0,MIN($F371,DATE(Dashboard!$C$4,13,1))-MAX($E371,DATE(Dashboard!$C$4,12,1))))</f>
        <v/>
      </c>
      <c r="AE371">
        <f>SUM(S371:AD371)</f>
        <v/>
      </c>
      <c r="AF371">
        <f>Q371*AE371</f>
        <v/>
      </c>
      <c r="AG371">
        <f>R371*AE371</f>
        <v/>
      </c>
      <c r="AH371">
        <f>SUMPRODUCT(S371:AD371,--(COLUMN(S371:AD371)-COLUMN(S371)+1&lt;=Dashboard!$N$1))</f>
        <v/>
      </c>
      <c r="AI371">
        <f>IF(OR(E371="",E371&lt;TODAY()),"",E371+ROW()/100000)</f>
        <v/>
      </c>
      <c r="AJ371">
        <f>IF(OR(F371="",F371&lt;TODAY()),"",F371+ROW()/100000)</f>
        <v/>
      </c>
    </row>
    <row r="372">
      <c r="A372" s="1" t="n"/>
      <c r="B372" s="35" t="n"/>
      <c r="C372" s="35" t="n"/>
      <c r="D372" s="35" t="n"/>
      <c r="E372" s="36" t="n"/>
      <c r="F372" s="36" t="n"/>
      <c r="G372" s="18">
        <f>IF(OR(E372="",F372=""),"",F372-E372)</f>
        <v/>
      </c>
      <c r="H372" s="37" t="n"/>
      <c r="I372" s="38" t="n"/>
      <c r="J372" s="38" t="n"/>
      <c r="K372" s="38" t="n"/>
      <c r="L372" s="31">
        <f>IF(E372="","",N(I372)+N(J372)-N(K372))</f>
        <v/>
      </c>
      <c r="M372" s="39" t="n"/>
      <c r="N372" s="27">
        <f>IF(E372="","",IF(TODAY()&lt;E372,"Upcoming",IF(TODAY()&lt;F372,"Staying now",IF(M372="Yes","Checked out","Payout not received"))))</f>
        <v/>
      </c>
      <c r="O372" s="35" t="n"/>
      <c r="P372" s="1" t="n"/>
      <c r="Q372">
        <f>IF(N(G372)&gt;0,L372/G372,0)</f>
        <v/>
      </c>
      <c r="R372">
        <f>IF(N(G372)&gt;0,N(I372)/G372,0)</f>
        <v/>
      </c>
      <c r="S372">
        <f>IF(OR($E372="",$F372=""),0,MAX(0,MIN($F372,DATE(Dashboard!$C$4,2,1))-MAX($E372,DATE(Dashboard!$C$4,1,1))))</f>
        <v/>
      </c>
      <c r="T372">
        <f>IF(OR($E372="",$F372=""),0,MAX(0,MIN($F372,DATE(Dashboard!$C$4,3,1))-MAX($E372,DATE(Dashboard!$C$4,2,1))))</f>
        <v/>
      </c>
      <c r="U372">
        <f>IF(OR($E372="",$F372=""),0,MAX(0,MIN($F372,DATE(Dashboard!$C$4,4,1))-MAX($E372,DATE(Dashboard!$C$4,3,1))))</f>
        <v/>
      </c>
      <c r="V372">
        <f>IF(OR($E372="",$F372=""),0,MAX(0,MIN($F372,DATE(Dashboard!$C$4,5,1))-MAX($E372,DATE(Dashboard!$C$4,4,1))))</f>
        <v/>
      </c>
      <c r="W372">
        <f>IF(OR($E372="",$F372=""),0,MAX(0,MIN($F372,DATE(Dashboard!$C$4,6,1))-MAX($E372,DATE(Dashboard!$C$4,5,1))))</f>
        <v/>
      </c>
      <c r="X372">
        <f>IF(OR($E372="",$F372=""),0,MAX(0,MIN($F372,DATE(Dashboard!$C$4,7,1))-MAX($E372,DATE(Dashboard!$C$4,6,1))))</f>
        <v/>
      </c>
      <c r="Y372">
        <f>IF(OR($E372="",$F372=""),0,MAX(0,MIN($F372,DATE(Dashboard!$C$4,8,1))-MAX($E372,DATE(Dashboard!$C$4,7,1))))</f>
        <v/>
      </c>
      <c r="Z372">
        <f>IF(OR($E372="",$F372=""),0,MAX(0,MIN($F372,DATE(Dashboard!$C$4,9,1))-MAX($E372,DATE(Dashboard!$C$4,8,1))))</f>
        <v/>
      </c>
      <c r="AA372">
        <f>IF(OR($E372="",$F372=""),0,MAX(0,MIN($F372,DATE(Dashboard!$C$4,10,1))-MAX($E372,DATE(Dashboard!$C$4,9,1))))</f>
        <v/>
      </c>
      <c r="AB372">
        <f>IF(OR($E372="",$F372=""),0,MAX(0,MIN($F372,DATE(Dashboard!$C$4,11,1))-MAX($E372,DATE(Dashboard!$C$4,10,1))))</f>
        <v/>
      </c>
      <c r="AC372">
        <f>IF(OR($E372="",$F372=""),0,MAX(0,MIN($F372,DATE(Dashboard!$C$4,12,1))-MAX($E372,DATE(Dashboard!$C$4,11,1))))</f>
        <v/>
      </c>
      <c r="AD372">
        <f>IF(OR($E372="",$F372=""),0,MAX(0,MIN($F372,DATE(Dashboard!$C$4,13,1))-MAX($E372,DATE(Dashboard!$C$4,12,1))))</f>
        <v/>
      </c>
      <c r="AE372">
        <f>SUM(S372:AD372)</f>
        <v/>
      </c>
      <c r="AF372">
        <f>Q372*AE372</f>
        <v/>
      </c>
      <c r="AG372">
        <f>R372*AE372</f>
        <v/>
      </c>
      <c r="AH372">
        <f>SUMPRODUCT(S372:AD372,--(COLUMN(S372:AD372)-COLUMN(S372)+1&lt;=Dashboard!$N$1))</f>
        <v/>
      </c>
      <c r="AI372">
        <f>IF(OR(E372="",E372&lt;TODAY()),"",E372+ROW()/100000)</f>
        <v/>
      </c>
      <c r="AJ372">
        <f>IF(OR(F372="",F372&lt;TODAY()),"",F372+ROW()/100000)</f>
        <v/>
      </c>
    </row>
    <row r="373">
      <c r="A373" s="1" t="n"/>
      <c r="B373" s="35" t="n"/>
      <c r="C373" s="35" t="n"/>
      <c r="D373" s="35" t="n"/>
      <c r="E373" s="36" t="n"/>
      <c r="F373" s="36" t="n"/>
      <c r="G373" s="18">
        <f>IF(OR(E373="",F373=""),"",F373-E373)</f>
        <v/>
      </c>
      <c r="H373" s="37" t="n"/>
      <c r="I373" s="38" t="n"/>
      <c r="J373" s="38" t="n"/>
      <c r="K373" s="38" t="n"/>
      <c r="L373" s="31">
        <f>IF(E373="","",N(I373)+N(J373)-N(K373))</f>
        <v/>
      </c>
      <c r="M373" s="39" t="n"/>
      <c r="N373" s="27">
        <f>IF(E373="","",IF(TODAY()&lt;E373,"Upcoming",IF(TODAY()&lt;F373,"Staying now",IF(M373="Yes","Checked out","Payout not received"))))</f>
        <v/>
      </c>
      <c r="O373" s="35" t="n"/>
      <c r="P373" s="1" t="n"/>
      <c r="Q373">
        <f>IF(N(G373)&gt;0,L373/G373,0)</f>
        <v/>
      </c>
      <c r="R373">
        <f>IF(N(G373)&gt;0,N(I373)/G373,0)</f>
        <v/>
      </c>
      <c r="S373">
        <f>IF(OR($E373="",$F373=""),0,MAX(0,MIN($F373,DATE(Dashboard!$C$4,2,1))-MAX($E373,DATE(Dashboard!$C$4,1,1))))</f>
        <v/>
      </c>
      <c r="T373">
        <f>IF(OR($E373="",$F373=""),0,MAX(0,MIN($F373,DATE(Dashboard!$C$4,3,1))-MAX($E373,DATE(Dashboard!$C$4,2,1))))</f>
        <v/>
      </c>
      <c r="U373">
        <f>IF(OR($E373="",$F373=""),0,MAX(0,MIN($F373,DATE(Dashboard!$C$4,4,1))-MAX($E373,DATE(Dashboard!$C$4,3,1))))</f>
        <v/>
      </c>
      <c r="V373">
        <f>IF(OR($E373="",$F373=""),0,MAX(0,MIN($F373,DATE(Dashboard!$C$4,5,1))-MAX($E373,DATE(Dashboard!$C$4,4,1))))</f>
        <v/>
      </c>
      <c r="W373">
        <f>IF(OR($E373="",$F373=""),0,MAX(0,MIN($F373,DATE(Dashboard!$C$4,6,1))-MAX($E373,DATE(Dashboard!$C$4,5,1))))</f>
        <v/>
      </c>
      <c r="X373">
        <f>IF(OR($E373="",$F373=""),0,MAX(0,MIN($F373,DATE(Dashboard!$C$4,7,1))-MAX($E373,DATE(Dashboard!$C$4,6,1))))</f>
        <v/>
      </c>
      <c r="Y373">
        <f>IF(OR($E373="",$F373=""),0,MAX(0,MIN($F373,DATE(Dashboard!$C$4,8,1))-MAX($E373,DATE(Dashboard!$C$4,7,1))))</f>
        <v/>
      </c>
      <c r="Z373">
        <f>IF(OR($E373="",$F373=""),0,MAX(0,MIN($F373,DATE(Dashboard!$C$4,9,1))-MAX($E373,DATE(Dashboard!$C$4,8,1))))</f>
        <v/>
      </c>
      <c r="AA373">
        <f>IF(OR($E373="",$F373=""),0,MAX(0,MIN($F373,DATE(Dashboard!$C$4,10,1))-MAX($E373,DATE(Dashboard!$C$4,9,1))))</f>
        <v/>
      </c>
      <c r="AB373">
        <f>IF(OR($E373="",$F373=""),0,MAX(0,MIN($F373,DATE(Dashboard!$C$4,11,1))-MAX($E373,DATE(Dashboard!$C$4,10,1))))</f>
        <v/>
      </c>
      <c r="AC373">
        <f>IF(OR($E373="",$F373=""),0,MAX(0,MIN($F373,DATE(Dashboard!$C$4,12,1))-MAX($E373,DATE(Dashboard!$C$4,11,1))))</f>
        <v/>
      </c>
      <c r="AD373">
        <f>IF(OR($E373="",$F373=""),0,MAX(0,MIN($F373,DATE(Dashboard!$C$4,13,1))-MAX($E373,DATE(Dashboard!$C$4,12,1))))</f>
        <v/>
      </c>
      <c r="AE373">
        <f>SUM(S373:AD373)</f>
        <v/>
      </c>
      <c r="AF373">
        <f>Q373*AE373</f>
        <v/>
      </c>
      <c r="AG373">
        <f>R373*AE373</f>
        <v/>
      </c>
      <c r="AH373">
        <f>SUMPRODUCT(S373:AD373,--(COLUMN(S373:AD373)-COLUMN(S373)+1&lt;=Dashboard!$N$1))</f>
        <v/>
      </c>
      <c r="AI373">
        <f>IF(OR(E373="",E373&lt;TODAY()),"",E373+ROW()/100000)</f>
        <v/>
      </c>
      <c r="AJ373">
        <f>IF(OR(F373="",F373&lt;TODAY()),"",F373+ROW()/100000)</f>
        <v/>
      </c>
    </row>
    <row r="374">
      <c r="A374" s="1" t="n"/>
      <c r="B374" s="35" t="n"/>
      <c r="C374" s="35" t="n"/>
      <c r="D374" s="35" t="n"/>
      <c r="E374" s="36" t="n"/>
      <c r="F374" s="36" t="n"/>
      <c r="G374" s="18">
        <f>IF(OR(E374="",F374=""),"",F374-E374)</f>
        <v/>
      </c>
      <c r="H374" s="37" t="n"/>
      <c r="I374" s="38" t="n"/>
      <c r="J374" s="38" t="n"/>
      <c r="K374" s="38" t="n"/>
      <c r="L374" s="31">
        <f>IF(E374="","",N(I374)+N(J374)-N(K374))</f>
        <v/>
      </c>
      <c r="M374" s="39" t="n"/>
      <c r="N374" s="27">
        <f>IF(E374="","",IF(TODAY()&lt;E374,"Upcoming",IF(TODAY()&lt;F374,"Staying now",IF(M374="Yes","Checked out","Payout not received"))))</f>
        <v/>
      </c>
      <c r="O374" s="35" t="n"/>
      <c r="P374" s="1" t="n"/>
      <c r="Q374">
        <f>IF(N(G374)&gt;0,L374/G374,0)</f>
        <v/>
      </c>
      <c r="R374">
        <f>IF(N(G374)&gt;0,N(I374)/G374,0)</f>
        <v/>
      </c>
      <c r="S374">
        <f>IF(OR($E374="",$F374=""),0,MAX(0,MIN($F374,DATE(Dashboard!$C$4,2,1))-MAX($E374,DATE(Dashboard!$C$4,1,1))))</f>
        <v/>
      </c>
      <c r="T374">
        <f>IF(OR($E374="",$F374=""),0,MAX(0,MIN($F374,DATE(Dashboard!$C$4,3,1))-MAX($E374,DATE(Dashboard!$C$4,2,1))))</f>
        <v/>
      </c>
      <c r="U374">
        <f>IF(OR($E374="",$F374=""),0,MAX(0,MIN($F374,DATE(Dashboard!$C$4,4,1))-MAX($E374,DATE(Dashboard!$C$4,3,1))))</f>
        <v/>
      </c>
      <c r="V374">
        <f>IF(OR($E374="",$F374=""),0,MAX(0,MIN($F374,DATE(Dashboard!$C$4,5,1))-MAX($E374,DATE(Dashboard!$C$4,4,1))))</f>
        <v/>
      </c>
      <c r="W374">
        <f>IF(OR($E374="",$F374=""),0,MAX(0,MIN($F374,DATE(Dashboard!$C$4,6,1))-MAX($E374,DATE(Dashboard!$C$4,5,1))))</f>
        <v/>
      </c>
      <c r="X374">
        <f>IF(OR($E374="",$F374=""),0,MAX(0,MIN($F374,DATE(Dashboard!$C$4,7,1))-MAX($E374,DATE(Dashboard!$C$4,6,1))))</f>
        <v/>
      </c>
      <c r="Y374">
        <f>IF(OR($E374="",$F374=""),0,MAX(0,MIN($F374,DATE(Dashboard!$C$4,8,1))-MAX($E374,DATE(Dashboard!$C$4,7,1))))</f>
        <v/>
      </c>
      <c r="Z374">
        <f>IF(OR($E374="",$F374=""),0,MAX(0,MIN($F374,DATE(Dashboard!$C$4,9,1))-MAX($E374,DATE(Dashboard!$C$4,8,1))))</f>
        <v/>
      </c>
      <c r="AA374">
        <f>IF(OR($E374="",$F374=""),0,MAX(0,MIN($F374,DATE(Dashboard!$C$4,10,1))-MAX($E374,DATE(Dashboard!$C$4,9,1))))</f>
        <v/>
      </c>
      <c r="AB374">
        <f>IF(OR($E374="",$F374=""),0,MAX(0,MIN($F374,DATE(Dashboard!$C$4,11,1))-MAX($E374,DATE(Dashboard!$C$4,10,1))))</f>
        <v/>
      </c>
      <c r="AC374">
        <f>IF(OR($E374="",$F374=""),0,MAX(0,MIN($F374,DATE(Dashboard!$C$4,12,1))-MAX($E374,DATE(Dashboard!$C$4,11,1))))</f>
        <v/>
      </c>
      <c r="AD374">
        <f>IF(OR($E374="",$F374=""),0,MAX(0,MIN($F374,DATE(Dashboard!$C$4,13,1))-MAX($E374,DATE(Dashboard!$C$4,12,1))))</f>
        <v/>
      </c>
      <c r="AE374">
        <f>SUM(S374:AD374)</f>
        <v/>
      </c>
      <c r="AF374">
        <f>Q374*AE374</f>
        <v/>
      </c>
      <c r="AG374">
        <f>R374*AE374</f>
        <v/>
      </c>
      <c r="AH374">
        <f>SUMPRODUCT(S374:AD374,--(COLUMN(S374:AD374)-COLUMN(S374)+1&lt;=Dashboard!$N$1))</f>
        <v/>
      </c>
      <c r="AI374">
        <f>IF(OR(E374="",E374&lt;TODAY()),"",E374+ROW()/100000)</f>
        <v/>
      </c>
      <c r="AJ374">
        <f>IF(OR(F374="",F374&lt;TODAY()),"",F374+ROW()/100000)</f>
        <v/>
      </c>
    </row>
    <row r="375">
      <c r="A375" s="1" t="n"/>
      <c r="B375" s="35" t="n"/>
      <c r="C375" s="35" t="n"/>
      <c r="D375" s="35" t="n"/>
      <c r="E375" s="36" t="n"/>
      <c r="F375" s="36" t="n"/>
      <c r="G375" s="18">
        <f>IF(OR(E375="",F375=""),"",F375-E375)</f>
        <v/>
      </c>
      <c r="H375" s="37" t="n"/>
      <c r="I375" s="38" t="n"/>
      <c r="J375" s="38" t="n"/>
      <c r="K375" s="38" t="n"/>
      <c r="L375" s="31">
        <f>IF(E375="","",N(I375)+N(J375)-N(K375))</f>
        <v/>
      </c>
      <c r="M375" s="39" t="n"/>
      <c r="N375" s="27">
        <f>IF(E375="","",IF(TODAY()&lt;E375,"Upcoming",IF(TODAY()&lt;F375,"Staying now",IF(M375="Yes","Checked out","Payout not received"))))</f>
        <v/>
      </c>
      <c r="O375" s="35" t="n"/>
      <c r="P375" s="1" t="n"/>
      <c r="Q375">
        <f>IF(N(G375)&gt;0,L375/G375,0)</f>
        <v/>
      </c>
      <c r="R375">
        <f>IF(N(G375)&gt;0,N(I375)/G375,0)</f>
        <v/>
      </c>
      <c r="S375">
        <f>IF(OR($E375="",$F375=""),0,MAX(0,MIN($F375,DATE(Dashboard!$C$4,2,1))-MAX($E375,DATE(Dashboard!$C$4,1,1))))</f>
        <v/>
      </c>
      <c r="T375">
        <f>IF(OR($E375="",$F375=""),0,MAX(0,MIN($F375,DATE(Dashboard!$C$4,3,1))-MAX($E375,DATE(Dashboard!$C$4,2,1))))</f>
        <v/>
      </c>
      <c r="U375">
        <f>IF(OR($E375="",$F375=""),0,MAX(0,MIN($F375,DATE(Dashboard!$C$4,4,1))-MAX($E375,DATE(Dashboard!$C$4,3,1))))</f>
        <v/>
      </c>
      <c r="V375">
        <f>IF(OR($E375="",$F375=""),0,MAX(0,MIN($F375,DATE(Dashboard!$C$4,5,1))-MAX($E375,DATE(Dashboard!$C$4,4,1))))</f>
        <v/>
      </c>
      <c r="W375">
        <f>IF(OR($E375="",$F375=""),0,MAX(0,MIN($F375,DATE(Dashboard!$C$4,6,1))-MAX($E375,DATE(Dashboard!$C$4,5,1))))</f>
        <v/>
      </c>
      <c r="X375">
        <f>IF(OR($E375="",$F375=""),0,MAX(0,MIN($F375,DATE(Dashboard!$C$4,7,1))-MAX($E375,DATE(Dashboard!$C$4,6,1))))</f>
        <v/>
      </c>
      <c r="Y375">
        <f>IF(OR($E375="",$F375=""),0,MAX(0,MIN($F375,DATE(Dashboard!$C$4,8,1))-MAX($E375,DATE(Dashboard!$C$4,7,1))))</f>
        <v/>
      </c>
      <c r="Z375">
        <f>IF(OR($E375="",$F375=""),0,MAX(0,MIN($F375,DATE(Dashboard!$C$4,9,1))-MAX($E375,DATE(Dashboard!$C$4,8,1))))</f>
        <v/>
      </c>
      <c r="AA375">
        <f>IF(OR($E375="",$F375=""),0,MAX(0,MIN($F375,DATE(Dashboard!$C$4,10,1))-MAX($E375,DATE(Dashboard!$C$4,9,1))))</f>
        <v/>
      </c>
      <c r="AB375">
        <f>IF(OR($E375="",$F375=""),0,MAX(0,MIN($F375,DATE(Dashboard!$C$4,11,1))-MAX($E375,DATE(Dashboard!$C$4,10,1))))</f>
        <v/>
      </c>
      <c r="AC375">
        <f>IF(OR($E375="",$F375=""),0,MAX(0,MIN($F375,DATE(Dashboard!$C$4,12,1))-MAX($E375,DATE(Dashboard!$C$4,11,1))))</f>
        <v/>
      </c>
      <c r="AD375">
        <f>IF(OR($E375="",$F375=""),0,MAX(0,MIN($F375,DATE(Dashboard!$C$4,13,1))-MAX($E375,DATE(Dashboard!$C$4,12,1))))</f>
        <v/>
      </c>
      <c r="AE375">
        <f>SUM(S375:AD375)</f>
        <v/>
      </c>
      <c r="AF375">
        <f>Q375*AE375</f>
        <v/>
      </c>
      <c r="AG375">
        <f>R375*AE375</f>
        <v/>
      </c>
      <c r="AH375">
        <f>SUMPRODUCT(S375:AD375,--(COLUMN(S375:AD375)-COLUMN(S375)+1&lt;=Dashboard!$N$1))</f>
        <v/>
      </c>
      <c r="AI375">
        <f>IF(OR(E375="",E375&lt;TODAY()),"",E375+ROW()/100000)</f>
        <v/>
      </c>
      <c r="AJ375">
        <f>IF(OR(F375="",F375&lt;TODAY()),"",F375+ROW()/100000)</f>
        <v/>
      </c>
    </row>
    <row r="376">
      <c r="A376" s="1" t="n"/>
      <c r="B376" s="35" t="n"/>
      <c r="C376" s="35" t="n"/>
      <c r="D376" s="35" t="n"/>
      <c r="E376" s="36" t="n"/>
      <c r="F376" s="36" t="n"/>
      <c r="G376" s="18">
        <f>IF(OR(E376="",F376=""),"",F376-E376)</f>
        <v/>
      </c>
      <c r="H376" s="37" t="n"/>
      <c r="I376" s="38" t="n"/>
      <c r="J376" s="38" t="n"/>
      <c r="K376" s="38" t="n"/>
      <c r="L376" s="31">
        <f>IF(E376="","",N(I376)+N(J376)-N(K376))</f>
        <v/>
      </c>
      <c r="M376" s="39" t="n"/>
      <c r="N376" s="27">
        <f>IF(E376="","",IF(TODAY()&lt;E376,"Upcoming",IF(TODAY()&lt;F376,"Staying now",IF(M376="Yes","Checked out","Payout not received"))))</f>
        <v/>
      </c>
      <c r="O376" s="35" t="n"/>
      <c r="P376" s="1" t="n"/>
      <c r="Q376">
        <f>IF(N(G376)&gt;0,L376/G376,0)</f>
        <v/>
      </c>
      <c r="R376">
        <f>IF(N(G376)&gt;0,N(I376)/G376,0)</f>
        <v/>
      </c>
      <c r="S376">
        <f>IF(OR($E376="",$F376=""),0,MAX(0,MIN($F376,DATE(Dashboard!$C$4,2,1))-MAX($E376,DATE(Dashboard!$C$4,1,1))))</f>
        <v/>
      </c>
      <c r="T376">
        <f>IF(OR($E376="",$F376=""),0,MAX(0,MIN($F376,DATE(Dashboard!$C$4,3,1))-MAX($E376,DATE(Dashboard!$C$4,2,1))))</f>
        <v/>
      </c>
      <c r="U376">
        <f>IF(OR($E376="",$F376=""),0,MAX(0,MIN($F376,DATE(Dashboard!$C$4,4,1))-MAX($E376,DATE(Dashboard!$C$4,3,1))))</f>
        <v/>
      </c>
      <c r="V376">
        <f>IF(OR($E376="",$F376=""),0,MAX(0,MIN($F376,DATE(Dashboard!$C$4,5,1))-MAX($E376,DATE(Dashboard!$C$4,4,1))))</f>
        <v/>
      </c>
      <c r="W376">
        <f>IF(OR($E376="",$F376=""),0,MAX(0,MIN($F376,DATE(Dashboard!$C$4,6,1))-MAX($E376,DATE(Dashboard!$C$4,5,1))))</f>
        <v/>
      </c>
      <c r="X376">
        <f>IF(OR($E376="",$F376=""),0,MAX(0,MIN($F376,DATE(Dashboard!$C$4,7,1))-MAX($E376,DATE(Dashboard!$C$4,6,1))))</f>
        <v/>
      </c>
      <c r="Y376">
        <f>IF(OR($E376="",$F376=""),0,MAX(0,MIN($F376,DATE(Dashboard!$C$4,8,1))-MAX($E376,DATE(Dashboard!$C$4,7,1))))</f>
        <v/>
      </c>
      <c r="Z376">
        <f>IF(OR($E376="",$F376=""),0,MAX(0,MIN($F376,DATE(Dashboard!$C$4,9,1))-MAX($E376,DATE(Dashboard!$C$4,8,1))))</f>
        <v/>
      </c>
      <c r="AA376">
        <f>IF(OR($E376="",$F376=""),0,MAX(0,MIN($F376,DATE(Dashboard!$C$4,10,1))-MAX($E376,DATE(Dashboard!$C$4,9,1))))</f>
        <v/>
      </c>
      <c r="AB376">
        <f>IF(OR($E376="",$F376=""),0,MAX(0,MIN($F376,DATE(Dashboard!$C$4,11,1))-MAX($E376,DATE(Dashboard!$C$4,10,1))))</f>
        <v/>
      </c>
      <c r="AC376">
        <f>IF(OR($E376="",$F376=""),0,MAX(0,MIN($F376,DATE(Dashboard!$C$4,12,1))-MAX($E376,DATE(Dashboard!$C$4,11,1))))</f>
        <v/>
      </c>
      <c r="AD376">
        <f>IF(OR($E376="",$F376=""),0,MAX(0,MIN($F376,DATE(Dashboard!$C$4,13,1))-MAX($E376,DATE(Dashboard!$C$4,12,1))))</f>
        <v/>
      </c>
      <c r="AE376">
        <f>SUM(S376:AD376)</f>
        <v/>
      </c>
      <c r="AF376">
        <f>Q376*AE376</f>
        <v/>
      </c>
      <c r="AG376">
        <f>R376*AE376</f>
        <v/>
      </c>
      <c r="AH376">
        <f>SUMPRODUCT(S376:AD376,--(COLUMN(S376:AD376)-COLUMN(S376)+1&lt;=Dashboard!$N$1))</f>
        <v/>
      </c>
      <c r="AI376">
        <f>IF(OR(E376="",E376&lt;TODAY()),"",E376+ROW()/100000)</f>
        <v/>
      </c>
      <c r="AJ376">
        <f>IF(OR(F376="",F376&lt;TODAY()),"",F376+ROW()/100000)</f>
        <v/>
      </c>
    </row>
    <row r="377">
      <c r="A377" s="1" t="n"/>
      <c r="B377" s="35" t="n"/>
      <c r="C377" s="35" t="n"/>
      <c r="D377" s="35" t="n"/>
      <c r="E377" s="36" t="n"/>
      <c r="F377" s="36" t="n"/>
      <c r="G377" s="18">
        <f>IF(OR(E377="",F377=""),"",F377-E377)</f>
        <v/>
      </c>
      <c r="H377" s="37" t="n"/>
      <c r="I377" s="38" t="n"/>
      <c r="J377" s="38" t="n"/>
      <c r="K377" s="38" t="n"/>
      <c r="L377" s="31">
        <f>IF(E377="","",N(I377)+N(J377)-N(K377))</f>
        <v/>
      </c>
      <c r="M377" s="39" t="n"/>
      <c r="N377" s="27">
        <f>IF(E377="","",IF(TODAY()&lt;E377,"Upcoming",IF(TODAY()&lt;F377,"Staying now",IF(M377="Yes","Checked out","Payout not received"))))</f>
        <v/>
      </c>
      <c r="O377" s="35" t="n"/>
      <c r="P377" s="1" t="n"/>
      <c r="Q377">
        <f>IF(N(G377)&gt;0,L377/G377,0)</f>
        <v/>
      </c>
      <c r="R377">
        <f>IF(N(G377)&gt;0,N(I377)/G377,0)</f>
        <v/>
      </c>
      <c r="S377">
        <f>IF(OR($E377="",$F377=""),0,MAX(0,MIN($F377,DATE(Dashboard!$C$4,2,1))-MAX($E377,DATE(Dashboard!$C$4,1,1))))</f>
        <v/>
      </c>
      <c r="T377">
        <f>IF(OR($E377="",$F377=""),0,MAX(0,MIN($F377,DATE(Dashboard!$C$4,3,1))-MAX($E377,DATE(Dashboard!$C$4,2,1))))</f>
        <v/>
      </c>
      <c r="U377">
        <f>IF(OR($E377="",$F377=""),0,MAX(0,MIN($F377,DATE(Dashboard!$C$4,4,1))-MAX($E377,DATE(Dashboard!$C$4,3,1))))</f>
        <v/>
      </c>
      <c r="V377">
        <f>IF(OR($E377="",$F377=""),0,MAX(0,MIN($F377,DATE(Dashboard!$C$4,5,1))-MAX($E377,DATE(Dashboard!$C$4,4,1))))</f>
        <v/>
      </c>
      <c r="W377">
        <f>IF(OR($E377="",$F377=""),0,MAX(0,MIN($F377,DATE(Dashboard!$C$4,6,1))-MAX($E377,DATE(Dashboard!$C$4,5,1))))</f>
        <v/>
      </c>
      <c r="X377">
        <f>IF(OR($E377="",$F377=""),0,MAX(0,MIN($F377,DATE(Dashboard!$C$4,7,1))-MAX($E377,DATE(Dashboard!$C$4,6,1))))</f>
        <v/>
      </c>
      <c r="Y377">
        <f>IF(OR($E377="",$F377=""),0,MAX(0,MIN($F377,DATE(Dashboard!$C$4,8,1))-MAX($E377,DATE(Dashboard!$C$4,7,1))))</f>
        <v/>
      </c>
      <c r="Z377">
        <f>IF(OR($E377="",$F377=""),0,MAX(0,MIN($F377,DATE(Dashboard!$C$4,9,1))-MAX($E377,DATE(Dashboard!$C$4,8,1))))</f>
        <v/>
      </c>
      <c r="AA377">
        <f>IF(OR($E377="",$F377=""),0,MAX(0,MIN($F377,DATE(Dashboard!$C$4,10,1))-MAX($E377,DATE(Dashboard!$C$4,9,1))))</f>
        <v/>
      </c>
      <c r="AB377">
        <f>IF(OR($E377="",$F377=""),0,MAX(0,MIN($F377,DATE(Dashboard!$C$4,11,1))-MAX($E377,DATE(Dashboard!$C$4,10,1))))</f>
        <v/>
      </c>
      <c r="AC377">
        <f>IF(OR($E377="",$F377=""),0,MAX(0,MIN($F377,DATE(Dashboard!$C$4,12,1))-MAX($E377,DATE(Dashboard!$C$4,11,1))))</f>
        <v/>
      </c>
      <c r="AD377">
        <f>IF(OR($E377="",$F377=""),0,MAX(0,MIN($F377,DATE(Dashboard!$C$4,13,1))-MAX($E377,DATE(Dashboard!$C$4,12,1))))</f>
        <v/>
      </c>
      <c r="AE377">
        <f>SUM(S377:AD377)</f>
        <v/>
      </c>
      <c r="AF377">
        <f>Q377*AE377</f>
        <v/>
      </c>
      <c r="AG377">
        <f>R377*AE377</f>
        <v/>
      </c>
      <c r="AH377">
        <f>SUMPRODUCT(S377:AD377,--(COLUMN(S377:AD377)-COLUMN(S377)+1&lt;=Dashboard!$N$1))</f>
        <v/>
      </c>
      <c r="AI377">
        <f>IF(OR(E377="",E377&lt;TODAY()),"",E377+ROW()/100000)</f>
        <v/>
      </c>
      <c r="AJ377">
        <f>IF(OR(F377="",F377&lt;TODAY()),"",F377+ROW()/100000)</f>
        <v/>
      </c>
    </row>
    <row r="378">
      <c r="A378" s="1" t="n"/>
      <c r="B378" s="35" t="n"/>
      <c r="C378" s="35" t="n"/>
      <c r="D378" s="35" t="n"/>
      <c r="E378" s="36" t="n"/>
      <c r="F378" s="36" t="n"/>
      <c r="G378" s="18">
        <f>IF(OR(E378="",F378=""),"",F378-E378)</f>
        <v/>
      </c>
      <c r="H378" s="37" t="n"/>
      <c r="I378" s="38" t="n"/>
      <c r="J378" s="38" t="n"/>
      <c r="K378" s="38" t="n"/>
      <c r="L378" s="31">
        <f>IF(E378="","",N(I378)+N(J378)-N(K378))</f>
        <v/>
      </c>
      <c r="M378" s="39" t="n"/>
      <c r="N378" s="27">
        <f>IF(E378="","",IF(TODAY()&lt;E378,"Upcoming",IF(TODAY()&lt;F378,"Staying now",IF(M378="Yes","Checked out","Payout not received"))))</f>
        <v/>
      </c>
      <c r="O378" s="35" t="n"/>
      <c r="P378" s="1" t="n"/>
      <c r="Q378">
        <f>IF(N(G378)&gt;0,L378/G378,0)</f>
        <v/>
      </c>
      <c r="R378">
        <f>IF(N(G378)&gt;0,N(I378)/G378,0)</f>
        <v/>
      </c>
      <c r="S378">
        <f>IF(OR($E378="",$F378=""),0,MAX(0,MIN($F378,DATE(Dashboard!$C$4,2,1))-MAX($E378,DATE(Dashboard!$C$4,1,1))))</f>
        <v/>
      </c>
      <c r="T378">
        <f>IF(OR($E378="",$F378=""),0,MAX(0,MIN($F378,DATE(Dashboard!$C$4,3,1))-MAX($E378,DATE(Dashboard!$C$4,2,1))))</f>
        <v/>
      </c>
      <c r="U378">
        <f>IF(OR($E378="",$F378=""),0,MAX(0,MIN($F378,DATE(Dashboard!$C$4,4,1))-MAX($E378,DATE(Dashboard!$C$4,3,1))))</f>
        <v/>
      </c>
      <c r="V378">
        <f>IF(OR($E378="",$F378=""),0,MAX(0,MIN($F378,DATE(Dashboard!$C$4,5,1))-MAX($E378,DATE(Dashboard!$C$4,4,1))))</f>
        <v/>
      </c>
      <c r="W378">
        <f>IF(OR($E378="",$F378=""),0,MAX(0,MIN($F378,DATE(Dashboard!$C$4,6,1))-MAX($E378,DATE(Dashboard!$C$4,5,1))))</f>
        <v/>
      </c>
      <c r="X378">
        <f>IF(OR($E378="",$F378=""),0,MAX(0,MIN($F378,DATE(Dashboard!$C$4,7,1))-MAX($E378,DATE(Dashboard!$C$4,6,1))))</f>
        <v/>
      </c>
      <c r="Y378">
        <f>IF(OR($E378="",$F378=""),0,MAX(0,MIN($F378,DATE(Dashboard!$C$4,8,1))-MAX($E378,DATE(Dashboard!$C$4,7,1))))</f>
        <v/>
      </c>
      <c r="Z378">
        <f>IF(OR($E378="",$F378=""),0,MAX(0,MIN($F378,DATE(Dashboard!$C$4,9,1))-MAX($E378,DATE(Dashboard!$C$4,8,1))))</f>
        <v/>
      </c>
      <c r="AA378">
        <f>IF(OR($E378="",$F378=""),0,MAX(0,MIN($F378,DATE(Dashboard!$C$4,10,1))-MAX($E378,DATE(Dashboard!$C$4,9,1))))</f>
        <v/>
      </c>
      <c r="AB378">
        <f>IF(OR($E378="",$F378=""),0,MAX(0,MIN($F378,DATE(Dashboard!$C$4,11,1))-MAX($E378,DATE(Dashboard!$C$4,10,1))))</f>
        <v/>
      </c>
      <c r="AC378">
        <f>IF(OR($E378="",$F378=""),0,MAX(0,MIN($F378,DATE(Dashboard!$C$4,12,1))-MAX($E378,DATE(Dashboard!$C$4,11,1))))</f>
        <v/>
      </c>
      <c r="AD378">
        <f>IF(OR($E378="",$F378=""),0,MAX(0,MIN($F378,DATE(Dashboard!$C$4,13,1))-MAX($E378,DATE(Dashboard!$C$4,12,1))))</f>
        <v/>
      </c>
      <c r="AE378">
        <f>SUM(S378:AD378)</f>
        <v/>
      </c>
      <c r="AF378">
        <f>Q378*AE378</f>
        <v/>
      </c>
      <c r="AG378">
        <f>R378*AE378</f>
        <v/>
      </c>
      <c r="AH378">
        <f>SUMPRODUCT(S378:AD378,--(COLUMN(S378:AD378)-COLUMN(S378)+1&lt;=Dashboard!$N$1))</f>
        <v/>
      </c>
      <c r="AI378">
        <f>IF(OR(E378="",E378&lt;TODAY()),"",E378+ROW()/100000)</f>
        <v/>
      </c>
      <c r="AJ378">
        <f>IF(OR(F378="",F378&lt;TODAY()),"",F378+ROW()/100000)</f>
        <v/>
      </c>
    </row>
    <row r="379">
      <c r="A379" s="1" t="n"/>
      <c r="B379" s="35" t="n"/>
      <c r="C379" s="35" t="n"/>
      <c r="D379" s="35" t="n"/>
      <c r="E379" s="36" t="n"/>
      <c r="F379" s="36" t="n"/>
      <c r="G379" s="18">
        <f>IF(OR(E379="",F379=""),"",F379-E379)</f>
        <v/>
      </c>
      <c r="H379" s="37" t="n"/>
      <c r="I379" s="38" t="n"/>
      <c r="J379" s="38" t="n"/>
      <c r="K379" s="38" t="n"/>
      <c r="L379" s="31">
        <f>IF(E379="","",N(I379)+N(J379)-N(K379))</f>
        <v/>
      </c>
      <c r="M379" s="39" t="n"/>
      <c r="N379" s="27">
        <f>IF(E379="","",IF(TODAY()&lt;E379,"Upcoming",IF(TODAY()&lt;F379,"Staying now",IF(M379="Yes","Checked out","Payout not received"))))</f>
        <v/>
      </c>
      <c r="O379" s="35" t="n"/>
      <c r="P379" s="1" t="n"/>
      <c r="Q379">
        <f>IF(N(G379)&gt;0,L379/G379,0)</f>
        <v/>
      </c>
      <c r="R379">
        <f>IF(N(G379)&gt;0,N(I379)/G379,0)</f>
        <v/>
      </c>
      <c r="S379">
        <f>IF(OR($E379="",$F379=""),0,MAX(0,MIN($F379,DATE(Dashboard!$C$4,2,1))-MAX($E379,DATE(Dashboard!$C$4,1,1))))</f>
        <v/>
      </c>
      <c r="T379">
        <f>IF(OR($E379="",$F379=""),0,MAX(0,MIN($F379,DATE(Dashboard!$C$4,3,1))-MAX($E379,DATE(Dashboard!$C$4,2,1))))</f>
        <v/>
      </c>
      <c r="U379">
        <f>IF(OR($E379="",$F379=""),0,MAX(0,MIN($F379,DATE(Dashboard!$C$4,4,1))-MAX($E379,DATE(Dashboard!$C$4,3,1))))</f>
        <v/>
      </c>
      <c r="V379">
        <f>IF(OR($E379="",$F379=""),0,MAX(0,MIN($F379,DATE(Dashboard!$C$4,5,1))-MAX($E379,DATE(Dashboard!$C$4,4,1))))</f>
        <v/>
      </c>
      <c r="W379">
        <f>IF(OR($E379="",$F379=""),0,MAX(0,MIN($F379,DATE(Dashboard!$C$4,6,1))-MAX($E379,DATE(Dashboard!$C$4,5,1))))</f>
        <v/>
      </c>
      <c r="X379">
        <f>IF(OR($E379="",$F379=""),0,MAX(0,MIN($F379,DATE(Dashboard!$C$4,7,1))-MAX($E379,DATE(Dashboard!$C$4,6,1))))</f>
        <v/>
      </c>
      <c r="Y379">
        <f>IF(OR($E379="",$F379=""),0,MAX(0,MIN($F379,DATE(Dashboard!$C$4,8,1))-MAX($E379,DATE(Dashboard!$C$4,7,1))))</f>
        <v/>
      </c>
      <c r="Z379">
        <f>IF(OR($E379="",$F379=""),0,MAX(0,MIN($F379,DATE(Dashboard!$C$4,9,1))-MAX($E379,DATE(Dashboard!$C$4,8,1))))</f>
        <v/>
      </c>
      <c r="AA379">
        <f>IF(OR($E379="",$F379=""),0,MAX(0,MIN($F379,DATE(Dashboard!$C$4,10,1))-MAX($E379,DATE(Dashboard!$C$4,9,1))))</f>
        <v/>
      </c>
      <c r="AB379">
        <f>IF(OR($E379="",$F379=""),0,MAX(0,MIN($F379,DATE(Dashboard!$C$4,11,1))-MAX($E379,DATE(Dashboard!$C$4,10,1))))</f>
        <v/>
      </c>
      <c r="AC379">
        <f>IF(OR($E379="",$F379=""),0,MAX(0,MIN($F379,DATE(Dashboard!$C$4,12,1))-MAX($E379,DATE(Dashboard!$C$4,11,1))))</f>
        <v/>
      </c>
      <c r="AD379">
        <f>IF(OR($E379="",$F379=""),0,MAX(0,MIN($F379,DATE(Dashboard!$C$4,13,1))-MAX($E379,DATE(Dashboard!$C$4,12,1))))</f>
        <v/>
      </c>
      <c r="AE379">
        <f>SUM(S379:AD379)</f>
        <v/>
      </c>
      <c r="AF379">
        <f>Q379*AE379</f>
        <v/>
      </c>
      <c r="AG379">
        <f>R379*AE379</f>
        <v/>
      </c>
      <c r="AH379">
        <f>SUMPRODUCT(S379:AD379,--(COLUMN(S379:AD379)-COLUMN(S379)+1&lt;=Dashboard!$N$1))</f>
        <v/>
      </c>
      <c r="AI379">
        <f>IF(OR(E379="",E379&lt;TODAY()),"",E379+ROW()/100000)</f>
        <v/>
      </c>
      <c r="AJ379">
        <f>IF(OR(F379="",F379&lt;TODAY()),"",F379+ROW()/100000)</f>
        <v/>
      </c>
    </row>
    <row r="380">
      <c r="A380" s="1" t="n"/>
      <c r="B380" s="35" t="n"/>
      <c r="C380" s="35" t="n"/>
      <c r="D380" s="35" t="n"/>
      <c r="E380" s="36" t="n"/>
      <c r="F380" s="36" t="n"/>
      <c r="G380" s="18">
        <f>IF(OR(E380="",F380=""),"",F380-E380)</f>
        <v/>
      </c>
      <c r="H380" s="37" t="n"/>
      <c r="I380" s="38" t="n"/>
      <c r="J380" s="38" t="n"/>
      <c r="K380" s="38" t="n"/>
      <c r="L380" s="31">
        <f>IF(E380="","",N(I380)+N(J380)-N(K380))</f>
        <v/>
      </c>
      <c r="M380" s="39" t="n"/>
      <c r="N380" s="27">
        <f>IF(E380="","",IF(TODAY()&lt;E380,"Upcoming",IF(TODAY()&lt;F380,"Staying now",IF(M380="Yes","Checked out","Payout not received"))))</f>
        <v/>
      </c>
      <c r="O380" s="35" t="n"/>
      <c r="P380" s="1" t="n"/>
      <c r="Q380">
        <f>IF(N(G380)&gt;0,L380/G380,0)</f>
        <v/>
      </c>
      <c r="R380">
        <f>IF(N(G380)&gt;0,N(I380)/G380,0)</f>
        <v/>
      </c>
      <c r="S380">
        <f>IF(OR($E380="",$F380=""),0,MAX(0,MIN($F380,DATE(Dashboard!$C$4,2,1))-MAX($E380,DATE(Dashboard!$C$4,1,1))))</f>
        <v/>
      </c>
      <c r="T380">
        <f>IF(OR($E380="",$F380=""),0,MAX(0,MIN($F380,DATE(Dashboard!$C$4,3,1))-MAX($E380,DATE(Dashboard!$C$4,2,1))))</f>
        <v/>
      </c>
      <c r="U380">
        <f>IF(OR($E380="",$F380=""),0,MAX(0,MIN($F380,DATE(Dashboard!$C$4,4,1))-MAX($E380,DATE(Dashboard!$C$4,3,1))))</f>
        <v/>
      </c>
      <c r="V380">
        <f>IF(OR($E380="",$F380=""),0,MAX(0,MIN($F380,DATE(Dashboard!$C$4,5,1))-MAX($E380,DATE(Dashboard!$C$4,4,1))))</f>
        <v/>
      </c>
      <c r="W380">
        <f>IF(OR($E380="",$F380=""),0,MAX(0,MIN($F380,DATE(Dashboard!$C$4,6,1))-MAX($E380,DATE(Dashboard!$C$4,5,1))))</f>
        <v/>
      </c>
      <c r="X380">
        <f>IF(OR($E380="",$F380=""),0,MAX(0,MIN($F380,DATE(Dashboard!$C$4,7,1))-MAX($E380,DATE(Dashboard!$C$4,6,1))))</f>
        <v/>
      </c>
      <c r="Y380">
        <f>IF(OR($E380="",$F380=""),0,MAX(0,MIN($F380,DATE(Dashboard!$C$4,8,1))-MAX($E380,DATE(Dashboard!$C$4,7,1))))</f>
        <v/>
      </c>
      <c r="Z380">
        <f>IF(OR($E380="",$F380=""),0,MAX(0,MIN($F380,DATE(Dashboard!$C$4,9,1))-MAX($E380,DATE(Dashboard!$C$4,8,1))))</f>
        <v/>
      </c>
      <c r="AA380">
        <f>IF(OR($E380="",$F380=""),0,MAX(0,MIN($F380,DATE(Dashboard!$C$4,10,1))-MAX($E380,DATE(Dashboard!$C$4,9,1))))</f>
        <v/>
      </c>
      <c r="AB380">
        <f>IF(OR($E380="",$F380=""),0,MAX(0,MIN($F380,DATE(Dashboard!$C$4,11,1))-MAX($E380,DATE(Dashboard!$C$4,10,1))))</f>
        <v/>
      </c>
      <c r="AC380">
        <f>IF(OR($E380="",$F380=""),0,MAX(0,MIN($F380,DATE(Dashboard!$C$4,12,1))-MAX($E380,DATE(Dashboard!$C$4,11,1))))</f>
        <v/>
      </c>
      <c r="AD380">
        <f>IF(OR($E380="",$F380=""),0,MAX(0,MIN($F380,DATE(Dashboard!$C$4,13,1))-MAX($E380,DATE(Dashboard!$C$4,12,1))))</f>
        <v/>
      </c>
      <c r="AE380">
        <f>SUM(S380:AD380)</f>
        <v/>
      </c>
      <c r="AF380">
        <f>Q380*AE380</f>
        <v/>
      </c>
      <c r="AG380">
        <f>R380*AE380</f>
        <v/>
      </c>
      <c r="AH380">
        <f>SUMPRODUCT(S380:AD380,--(COLUMN(S380:AD380)-COLUMN(S380)+1&lt;=Dashboard!$N$1))</f>
        <v/>
      </c>
      <c r="AI380">
        <f>IF(OR(E380="",E380&lt;TODAY()),"",E380+ROW()/100000)</f>
        <v/>
      </c>
      <c r="AJ380">
        <f>IF(OR(F380="",F380&lt;TODAY()),"",F380+ROW()/100000)</f>
        <v/>
      </c>
    </row>
    <row r="381">
      <c r="A381" s="1" t="n"/>
      <c r="B381" s="35" t="n"/>
      <c r="C381" s="35" t="n"/>
      <c r="D381" s="35" t="n"/>
      <c r="E381" s="36" t="n"/>
      <c r="F381" s="36" t="n"/>
      <c r="G381" s="18">
        <f>IF(OR(E381="",F381=""),"",F381-E381)</f>
        <v/>
      </c>
      <c r="H381" s="37" t="n"/>
      <c r="I381" s="38" t="n"/>
      <c r="J381" s="38" t="n"/>
      <c r="K381" s="38" t="n"/>
      <c r="L381" s="31">
        <f>IF(E381="","",N(I381)+N(J381)-N(K381))</f>
        <v/>
      </c>
      <c r="M381" s="39" t="n"/>
      <c r="N381" s="27">
        <f>IF(E381="","",IF(TODAY()&lt;E381,"Upcoming",IF(TODAY()&lt;F381,"Staying now",IF(M381="Yes","Checked out","Payout not received"))))</f>
        <v/>
      </c>
      <c r="O381" s="35" t="n"/>
      <c r="P381" s="1" t="n"/>
      <c r="Q381">
        <f>IF(N(G381)&gt;0,L381/G381,0)</f>
        <v/>
      </c>
      <c r="R381">
        <f>IF(N(G381)&gt;0,N(I381)/G381,0)</f>
        <v/>
      </c>
      <c r="S381">
        <f>IF(OR($E381="",$F381=""),0,MAX(0,MIN($F381,DATE(Dashboard!$C$4,2,1))-MAX($E381,DATE(Dashboard!$C$4,1,1))))</f>
        <v/>
      </c>
      <c r="T381">
        <f>IF(OR($E381="",$F381=""),0,MAX(0,MIN($F381,DATE(Dashboard!$C$4,3,1))-MAX($E381,DATE(Dashboard!$C$4,2,1))))</f>
        <v/>
      </c>
      <c r="U381">
        <f>IF(OR($E381="",$F381=""),0,MAX(0,MIN($F381,DATE(Dashboard!$C$4,4,1))-MAX($E381,DATE(Dashboard!$C$4,3,1))))</f>
        <v/>
      </c>
      <c r="V381">
        <f>IF(OR($E381="",$F381=""),0,MAX(0,MIN($F381,DATE(Dashboard!$C$4,5,1))-MAX($E381,DATE(Dashboard!$C$4,4,1))))</f>
        <v/>
      </c>
      <c r="W381">
        <f>IF(OR($E381="",$F381=""),0,MAX(0,MIN($F381,DATE(Dashboard!$C$4,6,1))-MAX($E381,DATE(Dashboard!$C$4,5,1))))</f>
        <v/>
      </c>
      <c r="X381">
        <f>IF(OR($E381="",$F381=""),0,MAX(0,MIN($F381,DATE(Dashboard!$C$4,7,1))-MAX($E381,DATE(Dashboard!$C$4,6,1))))</f>
        <v/>
      </c>
      <c r="Y381">
        <f>IF(OR($E381="",$F381=""),0,MAX(0,MIN($F381,DATE(Dashboard!$C$4,8,1))-MAX($E381,DATE(Dashboard!$C$4,7,1))))</f>
        <v/>
      </c>
      <c r="Z381">
        <f>IF(OR($E381="",$F381=""),0,MAX(0,MIN($F381,DATE(Dashboard!$C$4,9,1))-MAX($E381,DATE(Dashboard!$C$4,8,1))))</f>
        <v/>
      </c>
      <c r="AA381">
        <f>IF(OR($E381="",$F381=""),0,MAX(0,MIN($F381,DATE(Dashboard!$C$4,10,1))-MAX($E381,DATE(Dashboard!$C$4,9,1))))</f>
        <v/>
      </c>
      <c r="AB381">
        <f>IF(OR($E381="",$F381=""),0,MAX(0,MIN($F381,DATE(Dashboard!$C$4,11,1))-MAX($E381,DATE(Dashboard!$C$4,10,1))))</f>
        <v/>
      </c>
      <c r="AC381">
        <f>IF(OR($E381="",$F381=""),0,MAX(0,MIN($F381,DATE(Dashboard!$C$4,12,1))-MAX($E381,DATE(Dashboard!$C$4,11,1))))</f>
        <v/>
      </c>
      <c r="AD381">
        <f>IF(OR($E381="",$F381=""),0,MAX(0,MIN($F381,DATE(Dashboard!$C$4,13,1))-MAX($E381,DATE(Dashboard!$C$4,12,1))))</f>
        <v/>
      </c>
      <c r="AE381">
        <f>SUM(S381:AD381)</f>
        <v/>
      </c>
      <c r="AF381">
        <f>Q381*AE381</f>
        <v/>
      </c>
      <c r="AG381">
        <f>R381*AE381</f>
        <v/>
      </c>
      <c r="AH381">
        <f>SUMPRODUCT(S381:AD381,--(COLUMN(S381:AD381)-COLUMN(S381)+1&lt;=Dashboard!$N$1))</f>
        <v/>
      </c>
      <c r="AI381">
        <f>IF(OR(E381="",E381&lt;TODAY()),"",E381+ROW()/100000)</f>
        <v/>
      </c>
      <c r="AJ381">
        <f>IF(OR(F381="",F381&lt;TODAY()),"",F381+ROW()/100000)</f>
        <v/>
      </c>
    </row>
    <row r="382">
      <c r="A382" s="1" t="n"/>
      <c r="B382" s="35" t="n"/>
      <c r="C382" s="35" t="n"/>
      <c r="D382" s="35" t="n"/>
      <c r="E382" s="36" t="n"/>
      <c r="F382" s="36" t="n"/>
      <c r="G382" s="18">
        <f>IF(OR(E382="",F382=""),"",F382-E382)</f>
        <v/>
      </c>
      <c r="H382" s="37" t="n"/>
      <c r="I382" s="38" t="n"/>
      <c r="J382" s="38" t="n"/>
      <c r="K382" s="38" t="n"/>
      <c r="L382" s="31">
        <f>IF(E382="","",N(I382)+N(J382)-N(K382))</f>
        <v/>
      </c>
      <c r="M382" s="39" t="n"/>
      <c r="N382" s="27">
        <f>IF(E382="","",IF(TODAY()&lt;E382,"Upcoming",IF(TODAY()&lt;F382,"Staying now",IF(M382="Yes","Checked out","Payout not received"))))</f>
        <v/>
      </c>
      <c r="O382" s="35" t="n"/>
      <c r="P382" s="1" t="n"/>
      <c r="Q382">
        <f>IF(N(G382)&gt;0,L382/G382,0)</f>
        <v/>
      </c>
      <c r="R382">
        <f>IF(N(G382)&gt;0,N(I382)/G382,0)</f>
        <v/>
      </c>
      <c r="S382">
        <f>IF(OR($E382="",$F382=""),0,MAX(0,MIN($F382,DATE(Dashboard!$C$4,2,1))-MAX($E382,DATE(Dashboard!$C$4,1,1))))</f>
        <v/>
      </c>
      <c r="T382">
        <f>IF(OR($E382="",$F382=""),0,MAX(0,MIN($F382,DATE(Dashboard!$C$4,3,1))-MAX($E382,DATE(Dashboard!$C$4,2,1))))</f>
        <v/>
      </c>
      <c r="U382">
        <f>IF(OR($E382="",$F382=""),0,MAX(0,MIN($F382,DATE(Dashboard!$C$4,4,1))-MAX($E382,DATE(Dashboard!$C$4,3,1))))</f>
        <v/>
      </c>
      <c r="V382">
        <f>IF(OR($E382="",$F382=""),0,MAX(0,MIN($F382,DATE(Dashboard!$C$4,5,1))-MAX($E382,DATE(Dashboard!$C$4,4,1))))</f>
        <v/>
      </c>
      <c r="W382">
        <f>IF(OR($E382="",$F382=""),0,MAX(0,MIN($F382,DATE(Dashboard!$C$4,6,1))-MAX($E382,DATE(Dashboard!$C$4,5,1))))</f>
        <v/>
      </c>
      <c r="X382">
        <f>IF(OR($E382="",$F382=""),0,MAX(0,MIN($F382,DATE(Dashboard!$C$4,7,1))-MAX($E382,DATE(Dashboard!$C$4,6,1))))</f>
        <v/>
      </c>
      <c r="Y382">
        <f>IF(OR($E382="",$F382=""),0,MAX(0,MIN($F382,DATE(Dashboard!$C$4,8,1))-MAX($E382,DATE(Dashboard!$C$4,7,1))))</f>
        <v/>
      </c>
      <c r="Z382">
        <f>IF(OR($E382="",$F382=""),0,MAX(0,MIN($F382,DATE(Dashboard!$C$4,9,1))-MAX($E382,DATE(Dashboard!$C$4,8,1))))</f>
        <v/>
      </c>
      <c r="AA382">
        <f>IF(OR($E382="",$F382=""),0,MAX(0,MIN($F382,DATE(Dashboard!$C$4,10,1))-MAX($E382,DATE(Dashboard!$C$4,9,1))))</f>
        <v/>
      </c>
      <c r="AB382">
        <f>IF(OR($E382="",$F382=""),0,MAX(0,MIN($F382,DATE(Dashboard!$C$4,11,1))-MAX($E382,DATE(Dashboard!$C$4,10,1))))</f>
        <v/>
      </c>
      <c r="AC382">
        <f>IF(OR($E382="",$F382=""),0,MAX(0,MIN($F382,DATE(Dashboard!$C$4,12,1))-MAX($E382,DATE(Dashboard!$C$4,11,1))))</f>
        <v/>
      </c>
      <c r="AD382">
        <f>IF(OR($E382="",$F382=""),0,MAX(0,MIN($F382,DATE(Dashboard!$C$4,13,1))-MAX($E382,DATE(Dashboard!$C$4,12,1))))</f>
        <v/>
      </c>
      <c r="AE382">
        <f>SUM(S382:AD382)</f>
        <v/>
      </c>
      <c r="AF382">
        <f>Q382*AE382</f>
        <v/>
      </c>
      <c r="AG382">
        <f>R382*AE382</f>
        <v/>
      </c>
      <c r="AH382">
        <f>SUMPRODUCT(S382:AD382,--(COLUMN(S382:AD382)-COLUMN(S382)+1&lt;=Dashboard!$N$1))</f>
        <v/>
      </c>
      <c r="AI382">
        <f>IF(OR(E382="",E382&lt;TODAY()),"",E382+ROW()/100000)</f>
        <v/>
      </c>
      <c r="AJ382">
        <f>IF(OR(F382="",F382&lt;TODAY()),"",F382+ROW()/100000)</f>
        <v/>
      </c>
    </row>
    <row r="383">
      <c r="A383" s="1" t="n"/>
      <c r="B383" s="35" t="n"/>
      <c r="C383" s="35" t="n"/>
      <c r="D383" s="35" t="n"/>
      <c r="E383" s="36" t="n"/>
      <c r="F383" s="36" t="n"/>
      <c r="G383" s="18">
        <f>IF(OR(E383="",F383=""),"",F383-E383)</f>
        <v/>
      </c>
      <c r="H383" s="37" t="n"/>
      <c r="I383" s="38" t="n"/>
      <c r="J383" s="38" t="n"/>
      <c r="K383" s="38" t="n"/>
      <c r="L383" s="31">
        <f>IF(E383="","",N(I383)+N(J383)-N(K383))</f>
        <v/>
      </c>
      <c r="M383" s="39" t="n"/>
      <c r="N383" s="27">
        <f>IF(E383="","",IF(TODAY()&lt;E383,"Upcoming",IF(TODAY()&lt;F383,"Staying now",IF(M383="Yes","Checked out","Payout not received"))))</f>
        <v/>
      </c>
      <c r="O383" s="35" t="n"/>
      <c r="P383" s="1" t="n"/>
      <c r="Q383">
        <f>IF(N(G383)&gt;0,L383/G383,0)</f>
        <v/>
      </c>
      <c r="R383">
        <f>IF(N(G383)&gt;0,N(I383)/G383,0)</f>
        <v/>
      </c>
      <c r="S383">
        <f>IF(OR($E383="",$F383=""),0,MAX(0,MIN($F383,DATE(Dashboard!$C$4,2,1))-MAX($E383,DATE(Dashboard!$C$4,1,1))))</f>
        <v/>
      </c>
      <c r="T383">
        <f>IF(OR($E383="",$F383=""),0,MAX(0,MIN($F383,DATE(Dashboard!$C$4,3,1))-MAX($E383,DATE(Dashboard!$C$4,2,1))))</f>
        <v/>
      </c>
      <c r="U383">
        <f>IF(OR($E383="",$F383=""),0,MAX(0,MIN($F383,DATE(Dashboard!$C$4,4,1))-MAX($E383,DATE(Dashboard!$C$4,3,1))))</f>
        <v/>
      </c>
      <c r="V383">
        <f>IF(OR($E383="",$F383=""),0,MAX(0,MIN($F383,DATE(Dashboard!$C$4,5,1))-MAX($E383,DATE(Dashboard!$C$4,4,1))))</f>
        <v/>
      </c>
      <c r="W383">
        <f>IF(OR($E383="",$F383=""),0,MAX(0,MIN($F383,DATE(Dashboard!$C$4,6,1))-MAX($E383,DATE(Dashboard!$C$4,5,1))))</f>
        <v/>
      </c>
      <c r="X383">
        <f>IF(OR($E383="",$F383=""),0,MAX(0,MIN($F383,DATE(Dashboard!$C$4,7,1))-MAX($E383,DATE(Dashboard!$C$4,6,1))))</f>
        <v/>
      </c>
      <c r="Y383">
        <f>IF(OR($E383="",$F383=""),0,MAX(0,MIN($F383,DATE(Dashboard!$C$4,8,1))-MAX($E383,DATE(Dashboard!$C$4,7,1))))</f>
        <v/>
      </c>
      <c r="Z383">
        <f>IF(OR($E383="",$F383=""),0,MAX(0,MIN($F383,DATE(Dashboard!$C$4,9,1))-MAX($E383,DATE(Dashboard!$C$4,8,1))))</f>
        <v/>
      </c>
      <c r="AA383">
        <f>IF(OR($E383="",$F383=""),0,MAX(0,MIN($F383,DATE(Dashboard!$C$4,10,1))-MAX($E383,DATE(Dashboard!$C$4,9,1))))</f>
        <v/>
      </c>
      <c r="AB383">
        <f>IF(OR($E383="",$F383=""),0,MAX(0,MIN($F383,DATE(Dashboard!$C$4,11,1))-MAX($E383,DATE(Dashboard!$C$4,10,1))))</f>
        <v/>
      </c>
      <c r="AC383">
        <f>IF(OR($E383="",$F383=""),0,MAX(0,MIN($F383,DATE(Dashboard!$C$4,12,1))-MAX($E383,DATE(Dashboard!$C$4,11,1))))</f>
        <v/>
      </c>
      <c r="AD383">
        <f>IF(OR($E383="",$F383=""),0,MAX(0,MIN($F383,DATE(Dashboard!$C$4,13,1))-MAX($E383,DATE(Dashboard!$C$4,12,1))))</f>
        <v/>
      </c>
      <c r="AE383">
        <f>SUM(S383:AD383)</f>
        <v/>
      </c>
      <c r="AF383">
        <f>Q383*AE383</f>
        <v/>
      </c>
      <c r="AG383">
        <f>R383*AE383</f>
        <v/>
      </c>
      <c r="AH383">
        <f>SUMPRODUCT(S383:AD383,--(COLUMN(S383:AD383)-COLUMN(S383)+1&lt;=Dashboard!$N$1))</f>
        <v/>
      </c>
      <c r="AI383">
        <f>IF(OR(E383="",E383&lt;TODAY()),"",E383+ROW()/100000)</f>
        <v/>
      </c>
      <c r="AJ383">
        <f>IF(OR(F383="",F383&lt;TODAY()),"",F383+ROW()/100000)</f>
        <v/>
      </c>
    </row>
    <row r="384">
      <c r="A384" s="1" t="n"/>
      <c r="B384" s="35" t="n"/>
      <c r="C384" s="35" t="n"/>
      <c r="D384" s="35" t="n"/>
      <c r="E384" s="36" t="n"/>
      <c r="F384" s="36" t="n"/>
      <c r="G384" s="18">
        <f>IF(OR(E384="",F384=""),"",F384-E384)</f>
        <v/>
      </c>
      <c r="H384" s="37" t="n"/>
      <c r="I384" s="38" t="n"/>
      <c r="J384" s="38" t="n"/>
      <c r="K384" s="38" t="n"/>
      <c r="L384" s="31">
        <f>IF(E384="","",N(I384)+N(J384)-N(K384))</f>
        <v/>
      </c>
      <c r="M384" s="39" t="n"/>
      <c r="N384" s="27">
        <f>IF(E384="","",IF(TODAY()&lt;E384,"Upcoming",IF(TODAY()&lt;F384,"Staying now",IF(M384="Yes","Checked out","Payout not received"))))</f>
        <v/>
      </c>
      <c r="O384" s="35" t="n"/>
      <c r="P384" s="1" t="n"/>
      <c r="Q384">
        <f>IF(N(G384)&gt;0,L384/G384,0)</f>
        <v/>
      </c>
      <c r="R384">
        <f>IF(N(G384)&gt;0,N(I384)/G384,0)</f>
        <v/>
      </c>
      <c r="S384">
        <f>IF(OR($E384="",$F384=""),0,MAX(0,MIN($F384,DATE(Dashboard!$C$4,2,1))-MAX($E384,DATE(Dashboard!$C$4,1,1))))</f>
        <v/>
      </c>
      <c r="T384">
        <f>IF(OR($E384="",$F384=""),0,MAX(0,MIN($F384,DATE(Dashboard!$C$4,3,1))-MAX($E384,DATE(Dashboard!$C$4,2,1))))</f>
        <v/>
      </c>
      <c r="U384">
        <f>IF(OR($E384="",$F384=""),0,MAX(0,MIN($F384,DATE(Dashboard!$C$4,4,1))-MAX($E384,DATE(Dashboard!$C$4,3,1))))</f>
        <v/>
      </c>
      <c r="V384">
        <f>IF(OR($E384="",$F384=""),0,MAX(0,MIN($F384,DATE(Dashboard!$C$4,5,1))-MAX($E384,DATE(Dashboard!$C$4,4,1))))</f>
        <v/>
      </c>
      <c r="W384">
        <f>IF(OR($E384="",$F384=""),0,MAX(0,MIN($F384,DATE(Dashboard!$C$4,6,1))-MAX($E384,DATE(Dashboard!$C$4,5,1))))</f>
        <v/>
      </c>
      <c r="X384">
        <f>IF(OR($E384="",$F384=""),0,MAX(0,MIN($F384,DATE(Dashboard!$C$4,7,1))-MAX($E384,DATE(Dashboard!$C$4,6,1))))</f>
        <v/>
      </c>
      <c r="Y384">
        <f>IF(OR($E384="",$F384=""),0,MAX(0,MIN($F384,DATE(Dashboard!$C$4,8,1))-MAX($E384,DATE(Dashboard!$C$4,7,1))))</f>
        <v/>
      </c>
      <c r="Z384">
        <f>IF(OR($E384="",$F384=""),0,MAX(0,MIN($F384,DATE(Dashboard!$C$4,9,1))-MAX($E384,DATE(Dashboard!$C$4,8,1))))</f>
        <v/>
      </c>
      <c r="AA384">
        <f>IF(OR($E384="",$F384=""),0,MAX(0,MIN($F384,DATE(Dashboard!$C$4,10,1))-MAX($E384,DATE(Dashboard!$C$4,9,1))))</f>
        <v/>
      </c>
      <c r="AB384">
        <f>IF(OR($E384="",$F384=""),0,MAX(0,MIN($F384,DATE(Dashboard!$C$4,11,1))-MAX($E384,DATE(Dashboard!$C$4,10,1))))</f>
        <v/>
      </c>
      <c r="AC384">
        <f>IF(OR($E384="",$F384=""),0,MAX(0,MIN($F384,DATE(Dashboard!$C$4,12,1))-MAX($E384,DATE(Dashboard!$C$4,11,1))))</f>
        <v/>
      </c>
      <c r="AD384">
        <f>IF(OR($E384="",$F384=""),0,MAX(0,MIN($F384,DATE(Dashboard!$C$4,13,1))-MAX($E384,DATE(Dashboard!$C$4,12,1))))</f>
        <v/>
      </c>
      <c r="AE384">
        <f>SUM(S384:AD384)</f>
        <v/>
      </c>
      <c r="AF384">
        <f>Q384*AE384</f>
        <v/>
      </c>
      <c r="AG384">
        <f>R384*AE384</f>
        <v/>
      </c>
      <c r="AH384">
        <f>SUMPRODUCT(S384:AD384,--(COLUMN(S384:AD384)-COLUMN(S384)+1&lt;=Dashboard!$N$1))</f>
        <v/>
      </c>
      <c r="AI384">
        <f>IF(OR(E384="",E384&lt;TODAY()),"",E384+ROW()/100000)</f>
        <v/>
      </c>
      <c r="AJ384">
        <f>IF(OR(F384="",F384&lt;TODAY()),"",F384+ROW()/100000)</f>
        <v/>
      </c>
    </row>
    <row r="385">
      <c r="A385" s="1" t="n"/>
      <c r="B385" s="35" t="n"/>
      <c r="C385" s="35" t="n"/>
      <c r="D385" s="35" t="n"/>
      <c r="E385" s="36" t="n"/>
      <c r="F385" s="36" t="n"/>
      <c r="G385" s="18">
        <f>IF(OR(E385="",F385=""),"",F385-E385)</f>
        <v/>
      </c>
      <c r="H385" s="37" t="n"/>
      <c r="I385" s="38" t="n"/>
      <c r="J385" s="38" t="n"/>
      <c r="K385" s="38" t="n"/>
      <c r="L385" s="31">
        <f>IF(E385="","",N(I385)+N(J385)-N(K385))</f>
        <v/>
      </c>
      <c r="M385" s="39" t="n"/>
      <c r="N385" s="27">
        <f>IF(E385="","",IF(TODAY()&lt;E385,"Upcoming",IF(TODAY()&lt;F385,"Staying now",IF(M385="Yes","Checked out","Payout not received"))))</f>
        <v/>
      </c>
      <c r="O385" s="35" t="n"/>
      <c r="P385" s="1" t="n"/>
      <c r="Q385">
        <f>IF(N(G385)&gt;0,L385/G385,0)</f>
        <v/>
      </c>
      <c r="R385">
        <f>IF(N(G385)&gt;0,N(I385)/G385,0)</f>
        <v/>
      </c>
      <c r="S385">
        <f>IF(OR($E385="",$F385=""),0,MAX(0,MIN($F385,DATE(Dashboard!$C$4,2,1))-MAX($E385,DATE(Dashboard!$C$4,1,1))))</f>
        <v/>
      </c>
      <c r="T385">
        <f>IF(OR($E385="",$F385=""),0,MAX(0,MIN($F385,DATE(Dashboard!$C$4,3,1))-MAX($E385,DATE(Dashboard!$C$4,2,1))))</f>
        <v/>
      </c>
      <c r="U385">
        <f>IF(OR($E385="",$F385=""),0,MAX(0,MIN($F385,DATE(Dashboard!$C$4,4,1))-MAX($E385,DATE(Dashboard!$C$4,3,1))))</f>
        <v/>
      </c>
      <c r="V385">
        <f>IF(OR($E385="",$F385=""),0,MAX(0,MIN($F385,DATE(Dashboard!$C$4,5,1))-MAX($E385,DATE(Dashboard!$C$4,4,1))))</f>
        <v/>
      </c>
      <c r="W385">
        <f>IF(OR($E385="",$F385=""),0,MAX(0,MIN($F385,DATE(Dashboard!$C$4,6,1))-MAX($E385,DATE(Dashboard!$C$4,5,1))))</f>
        <v/>
      </c>
      <c r="X385">
        <f>IF(OR($E385="",$F385=""),0,MAX(0,MIN($F385,DATE(Dashboard!$C$4,7,1))-MAX($E385,DATE(Dashboard!$C$4,6,1))))</f>
        <v/>
      </c>
      <c r="Y385">
        <f>IF(OR($E385="",$F385=""),0,MAX(0,MIN($F385,DATE(Dashboard!$C$4,8,1))-MAX($E385,DATE(Dashboard!$C$4,7,1))))</f>
        <v/>
      </c>
      <c r="Z385">
        <f>IF(OR($E385="",$F385=""),0,MAX(0,MIN($F385,DATE(Dashboard!$C$4,9,1))-MAX($E385,DATE(Dashboard!$C$4,8,1))))</f>
        <v/>
      </c>
      <c r="AA385">
        <f>IF(OR($E385="",$F385=""),0,MAX(0,MIN($F385,DATE(Dashboard!$C$4,10,1))-MAX($E385,DATE(Dashboard!$C$4,9,1))))</f>
        <v/>
      </c>
      <c r="AB385">
        <f>IF(OR($E385="",$F385=""),0,MAX(0,MIN($F385,DATE(Dashboard!$C$4,11,1))-MAX($E385,DATE(Dashboard!$C$4,10,1))))</f>
        <v/>
      </c>
      <c r="AC385">
        <f>IF(OR($E385="",$F385=""),0,MAX(0,MIN($F385,DATE(Dashboard!$C$4,12,1))-MAX($E385,DATE(Dashboard!$C$4,11,1))))</f>
        <v/>
      </c>
      <c r="AD385">
        <f>IF(OR($E385="",$F385=""),0,MAX(0,MIN($F385,DATE(Dashboard!$C$4,13,1))-MAX($E385,DATE(Dashboard!$C$4,12,1))))</f>
        <v/>
      </c>
      <c r="AE385">
        <f>SUM(S385:AD385)</f>
        <v/>
      </c>
      <c r="AF385">
        <f>Q385*AE385</f>
        <v/>
      </c>
      <c r="AG385">
        <f>R385*AE385</f>
        <v/>
      </c>
      <c r="AH385">
        <f>SUMPRODUCT(S385:AD385,--(COLUMN(S385:AD385)-COLUMN(S385)+1&lt;=Dashboard!$N$1))</f>
        <v/>
      </c>
      <c r="AI385">
        <f>IF(OR(E385="",E385&lt;TODAY()),"",E385+ROW()/100000)</f>
        <v/>
      </c>
      <c r="AJ385">
        <f>IF(OR(F385="",F385&lt;TODAY()),"",F385+ROW()/100000)</f>
        <v/>
      </c>
    </row>
    <row r="386">
      <c r="A386" s="1" t="n"/>
      <c r="B386" s="35" t="n"/>
      <c r="C386" s="35" t="n"/>
      <c r="D386" s="35" t="n"/>
      <c r="E386" s="36" t="n"/>
      <c r="F386" s="36" t="n"/>
      <c r="G386" s="18">
        <f>IF(OR(E386="",F386=""),"",F386-E386)</f>
        <v/>
      </c>
      <c r="H386" s="37" t="n"/>
      <c r="I386" s="38" t="n"/>
      <c r="J386" s="38" t="n"/>
      <c r="K386" s="38" t="n"/>
      <c r="L386" s="31">
        <f>IF(E386="","",N(I386)+N(J386)-N(K386))</f>
        <v/>
      </c>
      <c r="M386" s="39" t="n"/>
      <c r="N386" s="27">
        <f>IF(E386="","",IF(TODAY()&lt;E386,"Upcoming",IF(TODAY()&lt;F386,"Staying now",IF(M386="Yes","Checked out","Payout not received"))))</f>
        <v/>
      </c>
      <c r="O386" s="35" t="n"/>
      <c r="P386" s="1" t="n"/>
      <c r="Q386">
        <f>IF(N(G386)&gt;0,L386/G386,0)</f>
        <v/>
      </c>
      <c r="R386">
        <f>IF(N(G386)&gt;0,N(I386)/G386,0)</f>
        <v/>
      </c>
      <c r="S386">
        <f>IF(OR($E386="",$F386=""),0,MAX(0,MIN($F386,DATE(Dashboard!$C$4,2,1))-MAX($E386,DATE(Dashboard!$C$4,1,1))))</f>
        <v/>
      </c>
      <c r="T386">
        <f>IF(OR($E386="",$F386=""),0,MAX(0,MIN($F386,DATE(Dashboard!$C$4,3,1))-MAX($E386,DATE(Dashboard!$C$4,2,1))))</f>
        <v/>
      </c>
      <c r="U386">
        <f>IF(OR($E386="",$F386=""),0,MAX(0,MIN($F386,DATE(Dashboard!$C$4,4,1))-MAX($E386,DATE(Dashboard!$C$4,3,1))))</f>
        <v/>
      </c>
      <c r="V386">
        <f>IF(OR($E386="",$F386=""),0,MAX(0,MIN($F386,DATE(Dashboard!$C$4,5,1))-MAX($E386,DATE(Dashboard!$C$4,4,1))))</f>
        <v/>
      </c>
      <c r="W386">
        <f>IF(OR($E386="",$F386=""),0,MAX(0,MIN($F386,DATE(Dashboard!$C$4,6,1))-MAX($E386,DATE(Dashboard!$C$4,5,1))))</f>
        <v/>
      </c>
      <c r="X386">
        <f>IF(OR($E386="",$F386=""),0,MAX(0,MIN($F386,DATE(Dashboard!$C$4,7,1))-MAX($E386,DATE(Dashboard!$C$4,6,1))))</f>
        <v/>
      </c>
      <c r="Y386">
        <f>IF(OR($E386="",$F386=""),0,MAX(0,MIN($F386,DATE(Dashboard!$C$4,8,1))-MAX($E386,DATE(Dashboard!$C$4,7,1))))</f>
        <v/>
      </c>
      <c r="Z386">
        <f>IF(OR($E386="",$F386=""),0,MAX(0,MIN($F386,DATE(Dashboard!$C$4,9,1))-MAX($E386,DATE(Dashboard!$C$4,8,1))))</f>
        <v/>
      </c>
      <c r="AA386">
        <f>IF(OR($E386="",$F386=""),0,MAX(0,MIN($F386,DATE(Dashboard!$C$4,10,1))-MAX($E386,DATE(Dashboard!$C$4,9,1))))</f>
        <v/>
      </c>
      <c r="AB386">
        <f>IF(OR($E386="",$F386=""),0,MAX(0,MIN($F386,DATE(Dashboard!$C$4,11,1))-MAX($E386,DATE(Dashboard!$C$4,10,1))))</f>
        <v/>
      </c>
      <c r="AC386">
        <f>IF(OR($E386="",$F386=""),0,MAX(0,MIN($F386,DATE(Dashboard!$C$4,12,1))-MAX($E386,DATE(Dashboard!$C$4,11,1))))</f>
        <v/>
      </c>
      <c r="AD386">
        <f>IF(OR($E386="",$F386=""),0,MAX(0,MIN($F386,DATE(Dashboard!$C$4,13,1))-MAX($E386,DATE(Dashboard!$C$4,12,1))))</f>
        <v/>
      </c>
      <c r="AE386">
        <f>SUM(S386:AD386)</f>
        <v/>
      </c>
      <c r="AF386">
        <f>Q386*AE386</f>
        <v/>
      </c>
      <c r="AG386">
        <f>R386*AE386</f>
        <v/>
      </c>
      <c r="AH386">
        <f>SUMPRODUCT(S386:AD386,--(COLUMN(S386:AD386)-COLUMN(S386)+1&lt;=Dashboard!$N$1))</f>
        <v/>
      </c>
      <c r="AI386">
        <f>IF(OR(E386="",E386&lt;TODAY()),"",E386+ROW()/100000)</f>
        <v/>
      </c>
      <c r="AJ386">
        <f>IF(OR(F386="",F386&lt;TODAY()),"",F386+ROW()/100000)</f>
        <v/>
      </c>
    </row>
    <row r="387">
      <c r="A387" s="1" t="n"/>
      <c r="B387" s="35" t="n"/>
      <c r="C387" s="35" t="n"/>
      <c r="D387" s="35" t="n"/>
      <c r="E387" s="36" t="n"/>
      <c r="F387" s="36" t="n"/>
      <c r="G387" s="18">
        <f>IF(OR(E387="",F387=""),"",F387-E387)</f>
        <v/>
      </c>
      <c r="H387" s="37" t="n"/>
      <c r="I387" s="38" t="n"/>
      <c r="J387" s="38" t="n"/>
      <c r="K387" s="38" t="n"/>
      <c r="L387" s="31">
        <f>IF(E387="","",N(I387)+N(J387)-N(K387))</f>
        <v/>
      </c>
      <c r="M387" s="39" t="n"/>
      <c r="N387" s="27">
        <f>IF(E387="","",IF(TODAY()&lt;E387,"Upcoming",IF(TODAY()&lt;F387,"Staying now",IF(M387="Yes","Checked out","Payout not received"))))</f>
        <v/>
      </c>
      <c r="O387" s="35" t="n"/>
      <c r="P387" s="1" t="n"/>
      <c r="Q387">
        <f>IF(N(G387)&gt;0,L387/G387,0)</f>
        <v/>
      </c>
      <c r="R387">
        <f>IF(N(G387)&gt;0,N(I387)/G387,0)</f>
        <v/>
      </c>
      <c r="S387">
        <f>IF(OR($E387="",$F387=""),0,MAX(0,MIN($F387,DATE(Dashboard!$C$4,2,1))-MAX($E387,DATE(Dashboard!$C$4,1,1))))</f>
        <v/>
      </c>
      <c r="T387">
        <f>IF(OR($E387="",$F387=""),0,MAX(0,MIN($F387,DATE(Dashboard!$C$4,3,1))-MAX($E387,DATE(Dashboard!$C$4,2,1))))</f>
        <v/>
      </c>
      <c r="U387">
        <f>IF(OR($E387="",$F387=""),0,MAX(0,MIN($F387,DATE(Dashboard!$C$4,4,1))-MAX($E387,DATE(Dashboard!$C$4,3,1))))</f>
        <v/>
      </c>
      <c r="V387">
        <f>IF(OR($E387="",$F387=""),0,MAX(0,MIN($F387,DATE(Dashboard!$C$4,5,1))-MAX($E387,DATE(Dashboard!$C$4,4,1))))</f>
        <v/>
      </c>
      <c r="W387">
        <f>IF(OR($E387="",$F387=""),0,MAX(0,MIN($F387,DATE(Dashboard!$C$4,6,1))-MAX($E387,DATE(Dashboard!$C$4,5,1))))</f>
        <v/>
      </c>
      <c r="X387">
        <f>IF(OR($E387="",$F387=""),0,MAX(0,MIN($F387,DATE(Dashboard!$C$4,7,1))-MAX($E387,DATE(Dashboard!$C$4,6,1))))</f>
        <v/>
      </c>
      <c r="Y387">
        <f>IF(OR($E387="",$F387=""),0,MAX(0,MIN($F387,DATE(Dashboard!$C$4,8,1))-MAX($E387,DATE(Dashboard!$C$4,7,1))))</f>
        <v/>
      </c>
      <c r="Z387">
        <f>IF(OR($E387="",$F387=""),0,MAX(0,MIN($F387,DATE(Dashboard!$C$4,9,1))-MAX($E387,DATE(Dashboard!$C$4,8,1))))</f>
        <v/>
      </c>
      <c r="AA387">
        <f>IF(OR($E387="",$F387=""),0,MAX(0,MIN($F387,DATE(Dashboard!$C$4,10,1))-MAX($E387,DATE(Dashboard!$C$4,9,1))))</f>
        <v/>
      </c>
      <c r="AB387">
        <f>IF(OR($E387="",$F387=""),0,MAX(0,MIN($F387,DATE(Dashboard!$C$4,11,1))-MAX($E387,DATE(Dashboard!$C$4,10,1))))</f>
        <v/>
      </c>
      <c r="AC387">
        <f>IF(OR($E387="",$F387=""),0,MAX(0,MIN($F387,DATE(Dashboard!$C$4,12,1))-MAX($E387,DATE(Dashboard!$C$4,11,1))))</f>
        <v/>
      </c>
      <c r="AD387">
        <f>IF(OR($E387="",$F387=""),0,MAX(0,MIN($F387,DATE(Dashboard!$C$4,13,1))-MAX($E387,DATE(Dashboard!$C$4,12,1))))</f>
        <v/>
      </c>
      <c r="AE387">
        <f>SUM(S387:AD387)</f>
        <v/>
      </c>
      <c r="AF387">
        <f>Q387*AE387</f>
        <v/>
      </c>
      <c r="AG387">
        <f>R387*AE387</f>
        <v/>
      </c>
      <c r="AH387">
        <f>SUMPRODUCT(S387:AD387,--(COLUMN(S387:AD387)-COLUMN(S387)+1&lt;=Dashboard!$N$1))</f>
        <v/>
      </c>
      <c r="AI387">
        <f>IF(OR(E387="",E387&lt;TODAY()),"",E387+ROW()/100000)</f>
        <v/>
      </c>
      <c r="AJ387">
        <f>IF(OR(F387="",F387&lt;TODAY()),"",F387+ROW()/100000)</f>
        <v/>
      </c>
    </row>
    <row r="388">
      <c r="A388" s="1" t="n"/>
      <c r="B388" s="35" t="n"/>
      <c r="C388" s="35" t="n"/>
      <c r="D388" s="35" t="n"/>
      <c r="E388" s="36" t="n"/>
      <c r="F388" s="36" t="n"/>
      <c r="G388" s="18">
        <f>IF(OR(E388="",F388=""),"",F388-E388)</f>
        <v/>
      </c>
      <c r="H388" s="37" t="n"/>
      <c r="I388" s="38" t="n"/>
      <c r="J388" s="38" t="n"/>
      <c r="K388" s="38" t="n"/>
      <c r="L388" s="31">
        <f>IF(E388="","",N(I388)+N(J388)-N(K388))</f>
        <v/>
      </c>
      <c r="M388" s="39" t="n"/>
      <c r="N388" s="27">
        <f>IF(E388="","",IF(TODAY()&lt;E388,"Upcoming",IF(TODAY()&lt;F388,"Staying now",IF(M388="Yes","Checked out","Payout not received"))))</f>
        <v/>
      </c>
      <c r="O388" s="35" t="n"/>
      <c r="P388" s="1" t="n"/>
      <c r="Q388">
        <f>IF(N(G388)&gt;0,L388/G388,0)</f>
        <v/>
      </c>
      <c r="R388">
        <f>IF(N(G388)&gt;0,N(I388)/G388,0)</f>
        <v/>
      </c>
      <c r="S388">
        <f>IF(OR($E388="",$F388=""),0,MAX(0,MIN($F388,DATE(Dashboard!$C$4,2,1))-MAX($E388,DATE(Dashboard!$C$4,1,1))))</f>
        <v/>
      </c>
      <c r="T388">
        <f>IF(OR($E388="",$F388=""),0,MAX(0,MIN($F388,DATE(Dashboard!$C$4,3,1))-MAX($E388,DATE(Dashboard!$C$4,2,1))))</f>
        <v/>
      </c>
      <c r="U388">
        <f>IF(OR($E388="",$F388=""),0,MAX(0,MIN($F388,DATE(Dashboard!$C$4,4,1))-MAX($E388,DATE(Dashboard!$C$4,3,1))))</f>
        <v/>
      </c>
      <c r="V388">
        <f>IF(OR($E388="",$F388=""),0,MAX(0,MIN($F388,DATE(Dashboard!$C$4,5,1))-MAX($E388,DATE(Dashboard!$C$4,4,1))))</f>
        <v/>
      </c>
      <c r="W388">
        <f>IF(OR($E388="",$F388=""),0,MAX(0,MIN($F388,DATE(Dashboard!$C$4,6,1))-MAX($E388,DATE(Dashboard!$C$4,5,1))))</f>
        <v/>
      </c>
      <c r="X388">
        <f>IF(OR($E388="",$F388=""),0,MAX(0,MIN($F388,DATE(Dashboard!$C$4,7,1))-MAX($E388,DATE(Dashboard!$C$4,6,1))))</f>
        <v/>
      </c>
      <c r="Y388">
        <f>IF(OR($E388="",$F388=""),0,MAX(0,MIN($F388,DATE(Dashboard!$C$4,8,1))-MAX($E388,DATE(Dashboard!$C$4,7,1))))</f>
        <v/>
      </c>
      <c r="Z388">
        <f>IF(OR($E388="",$F388=""),0,MAX(0,MIN($F388,DATE(Dashboard!$C$4,9,1))-MAX($E388,DATE(Dashboard!$C$4,8,1))))</f>
        <v/>
      </c>
      <c r="AA388">
        <f>IF(OR($E388="",$F388=""),0,MAX(0,MIN($F388,DATE(Dashboard!$C$4,10,1))-MAX($E388,DATE(Dashboard!$C$4,9,1))))</f>
        <v/>
      </c>
      <c r="AB388">
        <f>IF(OR($E388="",$F388=""),0,MAX(0,MIN($F388,DATE(Dashboard!$C$4,11,1))-MAX($E388,DATE(Dashboard!$C$4,10,1))))</f>
        <v/>
      </c>
      <c r="AC388">
        <f>IF(OR($E388="",$F388=""),0,MAX(0,MIN($F388,DATE(Dashboard!$C$4,12,1))-MAX($E388,DATE(Dashboard!$C$4,11,1))))</f>
        <v/>
      </c>
      <c r="AD388">
        <f>IF(OR($E388="",$F388=""),0,MAX(0,MIN($F388,DATE(Dashboard!$C$4,13,1))-MAX($E388,DATE(Dashboard!$C$4,12,1))))</f>
        <v/>
      </c>
      <c r="AE388">
        <f>SUM(S388:AD388)</f>
        <v/>
      </c>
      <c r="AF388">
        <f>Q388*AE388</f>
        <v/>
      </c>
      <c r="AG388">
        <f>R388*AE388</f>
        <v/>
      </c>
      <c r="AH388">
        <f>SUMPRODUCT(S388:AD388,--(COLUMN(S388:AD388)-COLUMN(S388)+1&lt;=Dashboard!$N$1))</f>
        <v/>
      </c>
      <c r="AI388">
        <f>IF(OR(E388="",E388&lt;TODAY()),"",E388+ROW()/100000)</f>
        <v/>
      </c>
      <c r="AJ388">
        <f>IF(OR(F388="",F388&lt;TODAY()),"",F388+ROW()/100000)</f>
        <v/>
      </c>
    </row>
    <row r="389">
      <c r="A389" s="1" t="n"/>
      <c r="B389" s="35" t="n"/>
      <c r="C389" s="35" t="n"/>
      <c r="D389" s="35" t="n"/>
      <c r="E389" s="36" t="n"/>
      <c r="F389" s="36" t="n"/>
      <c r="G389" s="18">
        <f>IF(OR(E389="",F389=""),"",F389-E389)</f>
        <v/>
      </c>
      <c r="H389" s="37" t="n"/>
      <c r="I389" s="38" t="n"/>
      <c r="J389" s="38" t="n"/>
      <c r="K389" s="38" t="n"/>
      <c r="L389" s="31">
        <f>IF(E389="","",N(I389)+N(J389)-N(K389))</f>
        <v/>
      </c>
      <c r="M389" s="39" t="n"/>
      <c r="N389" s="27">
        <f>IF(E389="","",IF(TODAY()&lt;E389,"Upcoming",IF(TODAY()&lt;F389,"Staying now",IF(M389="Yes","Checked out","Payout not received"))))</f>
        <v/>
      </c>
      <c r="O389" s="35" t="n"/>
      <c r="P389" s="1" t="n"/>
      <c r="Q389">
        <f>IF(N(G389)&gt;0,L389/G389,0)</f>
        <v/>
      </c>
      <c r="R389">
        <f>IF(N(G389)&gt;0,N(I389)/G389,0)</f>
        <v/>
      </c>
      <c r="S389">
        <f>IF(OR($E389="",$F389=""),0,MAX(0,MIN($F389,DATE(Dashboard!$C$4,2,1))-MAX($E389,DATE(Dashboard!$C$4,1,1))))</f>
        <v/>
      </c>
      <c r="T389">
        <f>IF(OR($E389="",$F389=""),0,MAX(0,MIN($F389,DATE(Dashboard!$C$4,3,1))-MAX($E389,DATE(Dashboard!$C$4,2,1))))</f>
        <v/>
      </c>
      <c r="U389">
        <f>IF(OR($E389="",$F389=""),0,MAX(0,MIN($F389,DATE(Dashboard!$C$4,4,1))-MAX($E389,DATE(Dashboard!$C$4,3,1))))</f>
        <v/>
      </c>
      <c r="V389">
        <f>IF(OR($E389="",$F389=""),0,MAX(0,MIN($F389,DATE(Dashboard!$C$4,5,1))-MAX($E389,DATE(Dashboard!$C$4,4,1))))</f>
        <v/>
      </c>
      <c r="W389">
        <f>IF(OR($E389="",$F389=""),0,MAX(0,MIN($F389,DATE(Dashboard!$C$4,6,1))-MAX($E389,DATE(Dashboard!$C$4,5,1))))</f>
        <v/>
      </c>
      <c r="X389">
        <f>IF(OR($E389="",$F389=""),0,MAX(0,MIN($F389,DATE(Dashboard!$C$4,7,1))-MAX($E389,DATE(Dashboard!$C$4,6,1))))</f>
        <v/>
      </c>
      <c r="Y389">
        <f>IF(OR($E389="",$F389=""),0,MAX(0,MIN($F389,DATE(Dashboard!$C$4,8,1))-MAX($E389,DATE(Dashboard!$C$4,7,1))))</f>
        <v/>
      </c>
      <c r="Z389">
        <f>IF(OR($E389="",$F389=""),0,MAX(0,MIN($F389,DATE(Dashboard!$C$4,9,1))-MAX($E389,DATE(Dashboard!$C$4,8,1))))</f>
        <v/>
      </c>
      <c r="AA389">
        <f>IF(OR($E389="",$F389=""),0,MAX(0,MIN($F389,DATE(Dashboard!$C$4,10,1))-MAX($E389,DATE(Dashboard!$C$4,9,1))))</f>
        <v/>
      </c>
      <c r="AB389">
        <f>IF(OR($E389="",$F389=""),0,MAX(0,MIN($F389,DATE(Dashboard!$C$4,11,1))-MAX($E389,DATE(Dashboard!$C$4,10,1))))</f>
        <v/>
      </c>
      <c r="AC389">
        <f>IF(OR($E389="",$F389=""),0,MAX(0,MIN($F389,DATE(Dashboard!$C$4,12,1))-MAX($E389,DATE(Dashboard!$C$4,11,1))))</f>
        <v/>
      </c>
      <c r="AD389">
        <f>IF(OR($E389="",$F389=""),0,MAX(0,MIN($F389,DATE(Dashboard!$C$4,13,1))-MAX($E389,DATE(Dashboard!$C$4,12,1))))</f>
        <v/>
      </c>
      <c r="AE389">
        <f>SUM(S389:AD389)</f>
        <v/>
      </c>
      <c r="AF389">
        <f>Q389*AE389</f>
        <v/>
      </c>
      <c r="AG389">
        <f>R389*AE389</f>
        <v/>
      </c>
      <c r="AH389">
        <f>SUMPRODUCT(S389:AD389,--(COLUMN(S389:AD389)-COLUMN(S389)+1&lt;=Dashboard!$N$1))</f>
        <v/>
      </c>
      <c r="AI389">
        <f>IF(OR(E389="",E389&lt;TODAY()),"",E389+ROW()/100000)</f>
        <v/>
      </c>
      <c r="AJ389">
        <f>IF(OR(F389="",F389&lt;TODAY()),"",F389+ROW()/100000)</f>
        <v/>
      </c>
    </row>
    <row r="390">
      <c r="A390" s="1" t="n"/>
      <c r="B390" s="35" t="n"/>
      <c r="C390" s="35" t="n"/>
      <c r="D390" s="35" t="n"/>
      <c r="E390" s="36" t="n"/>
      <c r="F390" s="36" t="n"/>
      <c r="G390" s="18">
        <f>IF(OR(E390="",F390=""),"",F390-E390)</f>
        <v/>
      </c>
      <c r="H390" s="37" t="n"/>
      <c r="I390" s="38" t="n"/>
      <c r="J390" s="38" t="n"/>
      <c r="K390" s="38" t="n"/>
      <c r="L390" s="31">
        <f>IF(E390="","",N(I390)+N(J390)-N(K390))</f>
        <v/>
      </c>
      <c r="M390" s="39" t="n"/>
      <c r="N390" s="27">
        <f>IF(E390="","",IF(TODAY()&lt;E390,"Upcoming",IF(TODAY()&lt;F390,"Staying now",IF(M390="Yes","Checked out","Payout not received"))))</f>
        <v/>
      </c>
      <c r="O390" s="35" t="n"/>
      <c r="P390" s="1" t="n"/>
      <c r="Q390">
        <f>IF(N(G390)&gt;0,L390/G390,0)</f>
        <v/>
      </c>
      <c r="R390">
        <f>IF(N(G390)&gt;0,N(I390)/G390,0)</f>
        <v/>
      </c>
      <c r="S390">
        <f>IF(OR($E390="",$F390=""),0,MAX(0,MIN($F390,DATE(Dashboard!$C$4,2,1))-MAX($E390,DATE(Dashboard!$C$4,1,1))))</f>
        <v/>
      </c>
      <c r="T390">
        <f>IF(OR($E390="",$F390=""),0,MAX(0,MIN($F390,DATE(Dashboard!$C$4,3,1))-MAX($E390,DATE(Dashboard!$C$4,2,1))))</f>
        <v/>
      </c>
      <c r="U390">
        <f>IF(OR($E390="",$F390=""),0,MAX(0,MIN($F390,DATE(Dashboard!$C$4,4,1))-MAX($E390,DATE(Dashboard!$C$4,3,1))))</f>
        <v/>
      </c>
      <c r="V390">
        <f>IF(OR($E390="",$F390=""),0,MAX(0,MIN($F390,DATE(Dashboard!$C$4,5,1))-MAX($E390,DATE(Dashboard!$C$4,4,1))))</f>
        <v/>
      </c>
      <c r="W390">
        <f>IF(OR($E390="",$F390=""),0,MAX(0,MIN($F390,DATE(Dashboard!$C$4,6,1))-MAX($E390,DATE(Dashboard!$C$4,5,1))))</f>
        <v/>
      </c>
      <c r="X390">
        <f>IF(OR($E390="",$F390=""),0,MAX(0,MIN($F390,DATE(Dashboard!$C$4,7,1))-MAX($E390,DATE(Dashboard!$C$4,6,1))))</f>
        <v/>
      </c>
      <c r="Y390">
        <f>IF(OR($E390="",$F390=""),0,MAX(0,MIN($F390,DATE(Dashboard!$C$4,8,1))-MAX($E390,DATE(Dashboard!$C$4,7,1))))</f>
        <v/>
      </c>
      <c r="Z390">
        <f>IF(OR($E390="",$F390=""),0,MAX(0,MIN($F390,DATE(Dashboard!$C$4,9,1))-MAX($E390,DATE(Dashboard!$C$4,8,1))))</f>
        <v/>
      </c>
      <c r="AA390">
        <f>IF(OR($E390="",$F390=""),0,MAX(0,MIN($F390,DATE(Dashboard!$C$4,10,1))-MAX($E390,DATE(Dashboard!$C$4,9,1))))</f>
        <v/>
      </c>
      <c r="AB390">
        <f>IF(OR($E390="",$F390=""),0,MAX(0,MIN($F390,DATE(Dashboard!$C$4,11,1))-MAX($E390,DATE(Dashboard!$C$4,10,1))))</f>
        <v/>
      </c>
      <c r="AC390">
        <f>IF(OR($E390="",$F390=""),0,MAX(0,MIN($F390,DATE(Dashboard!$C$4,12,1))-MAX($E390,DATE(Dashboard!$C$4,11,1))))</f>
        <v/>
      </c>
      <c r="AD390">
        <f>IF(OR($E390="",$F390=""),0,MAX(0,MIN($F390,DATE(Dashboard!$C$4,13,1))-MAX($E390,DATE(Dashboard!$C$4,12,1))))</f>
        <v/>
      </c>
      <c r="AE390">
        <f>SUM(S390:AD390)</f>
        <v/>
      </c>
      <c r="AF390">
        <f>Q390*AE390</f>
        <v/>
      </c>
      <c r="AG390">
        <f>R390*AE390</f>
        <v/>
      </c>
      <c r="AH390">
        <f>SUMPRODUCT(S390:AD390,--(COLUMN(S390:AD390)-COLUMN(S390)+1&lt;=Dashboard!$N$1))</f>
        <v/>
      </c>
      <c r="AI390">
        <f>IF(OR(E390="",E390&lt;TODAY()),"",E390+ROW()/100000)</f>
        <v/>
      </c>
      <c r="AJ390">
        <f>IF(OR(F390="",F390&lt;TODAY()),"",F390+ROW()/100000)</f>
        <v/>
      </c>
    </row>
    <row r="391">
      <c r="A391" s="1" t="n"/>
      <c r="B391" s="35" t="n"/>
      <c r="C391" s="35" t="n"/>
      <c r="D391" s="35" t="n"/>
      <c r="E391" s="36" t="n"/>
      <c r="F391" s="36" t="n"/>
      <c r="G391" s="18">
        <f>IF(OR(E391="",F391=""),"",F391-E391)</f>
        <v/>
      </c>
      <c r="H391" s="37" t="n"/>
      <c r="I391" s="38" t="n"/>
      <c r="J391" s="38" t="n"/>
      <c r="K391" s="38" t="n"/>
      <c r="L391" s="31">
        <f>IF(E391="","",N(I391)+N(J391)-N(K391))</f>
        <v/>
      </c>
      <c r="M391" s="39" t="n"/>
      <c r="N391" s="27">
        <f>IF(E391="","",IF(TODAY()&lt;E391,"Upcoming",IF(TODAY()&lt;F391,"Staying now",IF(M391="Yes","Checked out","Payout not received"))))</f>
        <v/>
      </c>
      <c r="O391" s="35" t="n"/>
      <c r="P391" s="1" t="n"/>
      <c r="Q391">
        <f>IF(N(G391)&gt;0,L391/G391,0)</f>
        <v/>
      </c>
      <c r="R391">
        <f>IF(N(G391)&gt;0,N(I391)/G391,0)</f>
        <v/>
      </c>
      <c r="S391">
        <f>IF(OR($E391="",$F391=""),0,MAX(0,MIN($F391,DATE(Dashboard!$C$4,2,1))-MAX($E391,DATE(Dashboard!$C$4,1,1))))</f>
        <v/>
      </c>
      <c r="T391">
        <f>IF(OR($E391="",$F391=""),0,MAX(0,MIN($F391,DATE(Dashboard!$C$4,3,1))-MAX($E391,DATE(Dashboard!$C$4,2,1))))</f>
        <v/>
      </c>
      <c r="U391">
        <f>IF(OR($E391="",$F391=""),0,MAX(0,MIN($F391,DATE(Dashboard!$C$4,4,1))-MAX($E391,DATE(Dashboard!$C$4,3,1))))</f>
        <v/>
      </c>
      <c r="V391">
        <f>IF(OR($E391="",$F391=""),0,MAX(0,MIN($F391,DATE(Dashboard!$C$4,5,1))-MAX($E391,DATE(Dashboard!$C$4,4,1))))</f>
        <v/>
      </c>
      <c r="W391">
        <f>IF(OR($E391="",$F391=""),0,MAX(0,MIN($F391,DATE(Dashboard!$C$4,6,1))-MAX($E391,DATE(Dashboard!$C$4,5,1))))</f>
        <v/>
      </c>
      <c r="X391">
        <f>IF(OR($E391="",$F391=""),0,MAX(0,MIN($F391,DATE(Dashboard!$C$4,7,1))-MAX($E391,DATE(Dashboard!$C$4,6,1))))</f>
        <v/>
      </c>
      <c r="Y391">
        <f>IF(OR($E391="",$F391=""),0,MAX(0,MIN($F391,DATE(Dashboard!$C$4,8,1))-MAX($E391,DATE(Dashboard!$C$4,7,1))))</f>
        <v/>
      </c>
      <c r="Z391">
        <f>IF(OR($E391="",$F391=""),0,MAX(0,MIN($F391,DATE(Dashboard!$C$4,9,1))-MAX($E391,DATE(Dashboard!$C$4,8,1))))</f>
        <v/>
      </c>
      <c r="AA391">
        <f>IF(OR($E391="",$F391=""),0,MAX(0,MIN($F391,DATE(Dashboard!$C$4,10,1))-MAX($E391,DATE(Dashboard!$C$4,9,1))))</f>
        <v/>
      </c>
      <c r="AB391">
        <f>IF(OR($E391="",$F391=""),0,MAX(0,MIN($F391,DATE(Dashboard!$C$4,11,1))-MAX($E391,DATE(Dashboard!$C$4,10,1))))</f>
        <v/>
      </c>
      <c r="AC391">
        <f>IF(OR($E391="",$F391=""),0,MAX(0,MIN($F391,DATE(Dashboard!$C$4,12,1))-MAX($E391,DATE(Dashboard!$C$4,11,1))))</f>
        <v/>
      </c>
      <c r="AD391">
        <f>IF(OR($E391="",$F391=""),0,MAX(0,MIN($F391,DATE(Dashboard!$C$4,13,1))-MAX($E391,DATE(Dashboard!$C$4,12,1))))</f>
        <v/>
      </c>
      <c r="AE391">
        <f>SUM(S391:AD391)</f>
        <v/>
      </c>
      <c r="AF391">
        <f>Q391*AE391</f>
        <v/>
      </c>
      <c r="AG391">
        <f>R391*AE391</f>
        <v/>
      </c>
      <c r="AH391">
        <f>SUMPRODUCT(S391:AD391,--(COLUMN(S391:AD391)-COLUMN(S391)+1&lt;=Dashboard!$N$1))</f>
        <v/>
      </c>
      <c r="AI391">
        <f>IF(OR(E391="",E391&lt;TODAY()),"",E391+ROW()/100000)</f>
        <v/>
      </c>
      <c r="AJ391">
        <f>IF(OR(F391="",F391&lt;TODAY()),"",F391+ROW()/100000)</f>
        <v/>
      </c>
    </row>
    <row r="392">
      <c r="A392" s="1" t="n"/>
      <c r="B392" s="35" t="n"/>
      <c r="C392" s="35" t="n"/>
      <c r="D392" s="35" t="n"/>
      <c r="E392" s="36" t="n"/>
      <c r="F392" s="36" t="n"/>
      <c r="G392" s="18">
        <f>IF(OR(E392="",F392=""),"",F392-E392)</f>
        <v/>
      </c>
      <c r="H392" s="37" t="n"/>
      <c r="I392" s="38" t="n"/>
      <c r="J392" s="38" t="n"/>
      <c r="K392" s="38" t="n"/>
      <c r="L392" s="31">
        <f>IF(E392="","",N(I392)+N(J392)-N(K392))</f>
        <v/>
      </c>
      <c r="M392" s="39" t="n"/>
      <c r="N392" s="27">
        <f>IF(E392="","",IF(TODAY()&lt;E392,"Upcoming",IF(TODAY()&lt;F392,"Staying now",IF(M392="Yes","Checked out","Payout not received"))))</f>
        <v/>
      </c>
      <c r="O392" s="35" t="n"/>
      <c r="P392" s="1" t="n"/>
      <c r="Q392">
        <f>IF(N(G392)&gt;0,L392/G392,0)</f>
        <v/>
      </c>
      <c r="R392">
        <f>IF(N(G392)&gt;0,N(I392)/G392,0)</f>
        <v/>
      </c>
      <c r="S392">
        <f>IF(OR($E392="",$F392=""),0,MAX(0,MIN($F392,DATE(Dashboard!$C$4,2,1))-MAX($E392,DATE(Dashboard!$C$4,1,1))))</f>
        <v/>
      </c>
      <c r="T392">
        <f>IF(OR($E392="",$F392=""),0,MAX(0,MIN($F392,DATE(Dashboard!$C$4,3,1))-MAX($E392,DATE(Dashboard!$C$4,2,1))))</f>
        <v/>
      </c>
      <c r="U392">
        <f>IF(OR($E392="",$F392=""),0,MAX(0,MIN($F392,DATE(Dashboard!$C$4,4,1))-MAX($E392,DATE(Dashboard!$C$4,3,1))))</f>
        <v/>
      </c>
      <c r="V392">
        <f>IF(OR($E392="",$F392=""),0,MAX(0,MIN($F392,DATE(Dashboard!$C$4,5,1))-MAX($E392,DATE(Dashboard!$C$4,4,1))))</f>
        <v/>
      </c>
      <c r="W392">
        <f>IF(OR($E392="",$F392=""),0,MAX(0,MIN($F392,DATE(Dashboard!$C$4,6,1))-MAX($E392,DATE(Dashboard!$C$4,5,1))))</f>
        <v/>
      </c>
      <c r="X392">
        <f>IF(OR($E392="",$F392=""),0,MAX(0,MIN($F392,DATE(Dashboard!$C$4,7,1))-MAX($E392,DATE(Dashboard!$C$4,6,1))))</f>
        <v/>
      </c>
      <c r="Y392">
        <f>IF(OR($E392="",$F392=""),0,MAX(0,MIN($F392,DATE(Dashboard!$C$4,8,1))-MAX($E392,DATE(Dashboard!$C$4,7,1))))</f>
        <v/>
      </c>
      <c r="Z392">
        <f>IF(OR($E392="",$F392=""),0,MAX(0,MIN($F392,DATE(Dashboard!$C$4,9,1))-MAX($E392,DATE(Dashboard!$C$4,8,1))))</f>
        <v/>
      </c>
      <c r="AA392">
        <f>IF(OR($E392="",$F392=""),0,MAX(0,MIN($F392,DATE(Dashboard!$C$4,10,1))-MAX($E392,DATE(Dashboard!$C$4,9,1))))</f>
        <v/>
      </c>
      <c r="AB392">
        <f>IF(OR($E392="",$F392=""),0,MAX(0,MIN($F392,DATE(Dashboard!$C$4,11,1))-MAX($E392,DATE(Dashboard!$C$4,10,1))))</f>
        <v/>
      </c>
      <c r="AC392">
        <f>IF(OR($E392="",$F392=""),0,MAX(0,MIN($F392,DATE(Dashboard!$C$4,12,1))-MAX($E392,DATE(Dashboard!$C$4,11,1))))</f>
        <v/>
      </c>
      <c r="AD392">
        <f>IF(OR($E392="",$F392=""),0,MAX(0,MIN($F392,DATE(Dashboard!$C$4,13,1))-MAX($E392,DATE(Dashboard!$C$4,12,1))))</f>
        <v/>
      </c>
      <c r="AE392">
        <f>SUM(S392:AD392)</f>
        <v/>
      </c>
      <c r="AF392">
        <f>Q392*AE392</f>
        <v/>
      </c>
      <c r="AG392">
        <f>R392*AE392</f>
        <v/>
      </c>
      <c r="AH392">
        <f>SUMPRODUCT(S392:AD392,--(COLUMN(S392:AD392)-COLUMN(S392)+1&lt;=Dashboard!$N$1))</f>
        <v/>
      </c>
      <c r="AI392">
        <f>IF(OR(E392="",E392&lt;TODAY()),"",E392+ROW()/100000)</f>
        <v/>
      </c>
      <c r="AJ392">
        <f>IF(OR(F392="",F392&lt;TODAY()),"",F392+ROW()/100000)</f>
        <v/>
      </c>
    </row>
    <row r="393">
      <c r="A393" s="1" t="n"/>
      <c r="B393" s="35" t="n"/>
      <c r="C393" s="35" t="n"/>
      <c r="D393" s="35" t="n"/>
      <c r="E393" s="36" t="n"/>
      <c r="F393" s="36" t="n"/>
      <c r="G393" s="18">
        <f>IF(OR(E393="",F393=""),"",F393-E393)</f>
        <v/>
      </c>
      <c r="H393" s="37" t="n"/>
      <c r="I393" s="38" t="n"/>
      <c r="J393" s="38" t="n"/>
      <c r="K393" s="38" t="n"/>
      <c r="L393" s="31">
        <f>IF(E393="","",N(I393)+N(J393)-N(K393))</f>
        <v/>
      </c>
      <c r="M393" s="39" t="n"/>
      <c r="N393" s="27">
        <f>IF(E393="","",IF(TODAY()&lt;E393,"Upcoming",IF(TODAY()&lt;F393,"Staying now",IF(M393="Yes","Checked out","Payout not received"))))</f>
        <v/>
      </c>
      <c r="O393" s="35" t="n"/>
      <c r="P393" s="1" t="n"/>
      <c r="Q393">
        <f>IF(N(G393)&gt;0,L393/G393,0)</f>
        <v/>
      </c>
      <c r="R393">
        <f>IF(N(G393)&gt;0,N(I393)/G393,0)</f>
        <v/>
      </c>
      <c r="S393">
        <f>IF(OR($E393="",$F393=""),0,MAX(0,MIN($F393,DATE(Dashboard!$C$4,2,1))-MAX($E393,DATE(Dashboard!$C$4,1,1))))</f>
        <v/>
      </c>
      <c r="T393">
        <f>IF(OR($E393="",$F393=""),0,MAX(0,MIN($F393,DATE(Dashboard!$C$4,3,1))-MAX($E393,DATE(Dashboard!$C$4,2,1))))</f>
        <v/>
      </c>
      <c r="U393">
        <f>IF(OR($E393="",$F393=""),0,MAX(0,MIN($F393,DATE(Dashboard!$C$4,4,1))-MAX($E393,DATE(Dashboard!$C$4,3,1))))</f>
        <v/>
      </c>
      <c r="V393">
        <f>IF(OR($E393="",$F393=""),0,MAX(0,MIN($F393,DATE(Dashboard!$C$4,5,1))-MAX($E393,DATE(Dashboard!$C$4,4,1))))</f>
        <v/>
      </c>
      <c r="W393">
        <f>IF(OR($E393="",$F393=""),0,MAX(0,MIN($F393,DATE(Dashboard!$C$4,6,1))-MAX($E393,DATE(Dashboard!$C$4,5,1))))</f>
        <v/>
      </c>
      <c r="X393">
        <f>IF(OR($E393="",$F393=""),0,MAX(0,MIN($F393,DATE(Dashboard!$C$4,7,1))-MAX($E393,DATE(Dashboard!$C$4,6,1))))</f>
        <v/>
      </c>
      <c r="Y393">
        <f>IF(OR($E393="",$F393=""),0,MAX(0,MIN($F393,DATE(Dashboard!$C$4,8,1))-MAX($E393,DATE(Dashboard!$C$4,7,1))))</f>
        <v/>
      </c>
      <c r="Z393">
        <f>IF(OR($E393="",$F393=""),0,MAX(0,MIN($F393,DATE(Dashboard!$C$4,9,1))-MAX($E393,DATE(Dashboard!$C$4,8,1))))</f>
        <v/>
      </c>
      <c r="AA393">
        <f>IF(OR($E393="",$F393=""),0,MAX(0,MIN($F393,DATE(Dashboard!$C$4,10,1))-MAX($E393,DATE(Dashboard!$C$4,9,1))))</f>
        <v/>
      </c>
      <c r="AB393">
        <f>IF(OR($E393="",$F393=""),0,MAX(0,MIN($F393,DATE(Dashboard!$C$4,11,1))-MAX($E393,DATE(Dashboard!$C$4,10,1))))</f>
        <v/>
      </c>
      <c r="AC393">
        <f>IF(OR($E393="",$F393=""),0,MAX(0,MIN($F393,DATE(Dashboard!$C$4,12,1))-MAX($E393,DATE(Dashboard!$C$4,11,1))))</f>
        <v/>
      </c>
      <c r="AD393">
        <f>IF(OR($E393="",$F393=""),0,MAX(0,MIN($F393,DATE(Dashboard!$C$4,13,1))-MAX($E393,DATE(Dashboard!$C$4,12,1))))</f>
        <v/>
      </c>
      <c r="AE393">
        <f>SUM(S393:AD393)</f>
        <v/>
      </c>
      <c r="AF393">
        <f>Q393*AE393</f>
        <v/>
      </c>
      <c r="AG393">
        <f>R393*AE393</f>
        <v/>
      </c>
      <c r="AH393">
        <f>SUMPRODUCT(S393:AD393,--(COLUMN(S393:AD393)-COLUMN(S393)+1&lt;=Dashboard!$N$1))</f>
        <v/>
      </c>
      <c r="AI393">
        <f>IF(OR(E393="",E393&lt;TODAY()),"",E393+ROW()/100000)</f>
        <v/>
      </c>
      <c r="AJ393">
        <f>IF(OR(F393="",F393&lt;TODAY()),"",F393+ROW()/100000)</f>
        <v/>
      </c>
    </row>
    <row r="394">
      <c r="A394" s="1" t="n"/>
      <c r="B394" s="35" t="n"/>
      <c r="C394" s="35" t="n"/>
      <c r="D394" s="35" t="n"/>
      <c r="E394" s="36" t="n"/>
      <c r="F394" s="36" t="n"/>
      <c r="G394" s="18">
        <f>IF(OR(E394="",F394=""),"",F394-E394)</f>
        <v/>
      </c>
      <c r="H394" s="37" t="n"/>
      <c r="I394" s="38" t="n"/>
      <c r="J394" s="38" t="n"/>
      <c r="K394" s="38" t="n"/>
      <c r="L394" s="31">
        <f>IF(E394="","",N(I394)+N(J394)-N(K394))</f>
        <v/>
      </c>
      <c r="M394" s="39" t="n"/>
      <c r="N394" s="27">
        <f>IF(E394="","",IF(TODAY()&lt;E394,"Upcoming",IF(TODAY()&lt;F394,"Staying now",IF(M394="Yes","Checked out","Payout not received"))))</f>
        <v/>
      </c>
      <c r="O394" s="35" t="n"/>
      <c r="P394" s="1" t="n"/>
      <c r="Q394">
        <f>IF(N(G394)&gt;0,L394/G394,0)</f>
        <v/>
      </c>
      <c r="R394">
        <f>IF(N(G394)&gt;0,N(I394)/G394,0)</f>
        <v/>
      </c>
      <c r="S394">
        <f>IF(OR($E394="",$F394=""),0,MAX(0,MIN($F394,DATE(Dashboard!$C$4,2,1))-MAX($E394,DATE(Dashboard!$C$4,1,1))))</f>
        <v/>
      </c>
      <c r="T394">
        <f>IF(OR($E394="",$F394=""),0,MAX(0,MIN($F394,DATE(Dashboard!$C$4,3,1))-MAX($E394,DATE(Dashboard!$C$4,2,1))))</f>
        <v/>
      </c>
      <c r="U394">
        <f>IF(OR($E394="",$F394=""),0,MAX(0,MIN($F394,DATE(Dashboard!$C$4,4,1))-MAX($E394,DATE(Dashboard!$C$4,3,1))))</f>
        <v/>
      </c>
      <c r="V394">
        <f>IF(OR($E394="",$F394=""),0,MAX(0,MIN($F394,DATE(Dashboard!$C$4,5,1))-MAX($E394,DATE(Dashboard!$C$4,4,1))))</f>
        <v/>
      </c>
      <c r="W394">
        <f>IF(OR($E394="",$F394=""),0,MAX(0,MIN($F394,DATE(Dashboard!$C$4,6,1))-MAX($E394,DATE(Dashboard!$C$4,5,1))))</f>
        <v/>
      </c>
      <c r="X394">
        <f>IF(OR($E394="",$F394=""),0,MAX(0,MIN($F394,DATE(Dashboard!$C$4,7,1))-MAX($E394,DATE(Dashboard!$C$4,6,1))))</f>
        <v/>
      </c>
      <c r="Y394">
        <f>IF(OR($E394="",$F394=""),0,MAX(0,MIN($F394,DATE(Dashboard!$C$4,8,1))-MAX($E394,DATE(Dashboard!$C$4,7,1))))</f>
        <v/>
      </c>
      <c r="Z394">
        <f>IF(OR($E394="",$F394=""),0,MAX(0,MIN($F394,DATE(Dashboard!$C$4,9,1))-MAX($E394,DATE(Dashboard!$C$4,8,1))))</f>
        <v/>
      </c>
      <c r="AA394">
        <f>IF(OR($E394="",$F394=""),0,MAX(0,MIN($F394,DATE(Dashboard!$C$4,10,1))-MAX($E394,DATE(Dashboard!$C$4,9,1))))</f>
        <v/>
      </c>
      <c r="AB394">
        <f>IF(OR($E394="",$F394=""),0,MAX(0,MIN($F394,DATE(Dashboard!$C$4,11,1))-MAX($E394,DATE(Dashboard!$C$4,10,1))))</f>
        <v/>
      </c>
      <c r="AC394">
        <f>IF(OR($E394="",$F394=""),0,MAX(0,MIN($F394,DATE(Dashboard!$C$4,12,1))-MAX($E394,DATE(Dashboard!$C$4,11,1))))</f>
        <v/>
      </c>
      <c r="AD394">
        <f>IF(OR($E394="",$F394=""),0,MAX(0,MIN($F394,DATE(Dashboard!$C$4,13,1))-MAX($E394,DATE(Dashboard!$C$4,12,1))))</f>
        <v/>
      </c>
      <c r="AE394">
        <f>SUM(S394:AD394)</f>
        <v/>
      </c>
      <c r="AF394">
        <f>Q394*AE394</f>
        <v/>
      </c>
      <c r="AG394">
        <f>R394*AE394</f>
        <v/>
      </c>
      <c r="AH394">
        <f>SUMPRODUCT(S394:AD394,--(COLUMN(S394:AD394)-COLUMN(S394)+1&lt;=Dashboard!$N$1))</f>
        <v/>
      </c>
      <c r="AI394">
        <f>IF(OR(E394="",E394&lt;TODAY()),"",E394+ROW()/100000)</f>
        <v/>
      </c>
      <c r="AJ394">
        <f>IF(OR(F394="",F394&lt;TODAY()),"",F394+ROW()/100000)</f>
        <v/>
      </c>
    </row>
    <row r="395">
      <c r="A395" s="1" t="n"/>
      <c r="B395" s="35" t="n"/>
      <c r="C395" s="35" t="n"/>
      <c r="D395" s="35" t="n"/>
      <c r="E395" s="36" t="n"/>
      <c r="F395" s="36" t="n"/>
      <c r="G395" s="18">
        <f>IF(OR(E395="",F395=""),"",F395-E395)</f>
        <v/>
      </c>
      <c r="H395" s="37" t="n"/>
      <c r="I395" s="38" t="n"/>
      <c r="J395" s="38" t="n"/>
      <c r="K395" s="38" t="n"/>
      <c r="L395" s="31">
        <f>IF(E395="","",N(I395)+N(J395)-N(K395))</f>
        <v/>
      </c>
      <c r="M395" s="39" t="n"/>
      <c r="N395" s="27">
        <f>IF(E395="","",IF(TODAY()&lt;E395,"Upcoming",IF(TODAY()&lt;F395,"Staying now",IF(M395="Yes","Checked out","Payout not received"))))</f>
        <v/>
      </c>
      <c r="O395" s="35" t="n"/>
      <c r="P395" s="1" t="n"/>
      <c r="Q395">
        <f>IF(N(G395)&gt;0,L395/G395,0)</f>
        <v/>
      </c>
      <c r="R395">
        <f>IF(N(G395)&gt;0,N(I395)/G395,0)</f>
        <v/>
      </c>
      <c r="S395">
        <f>IF(OR($E395="",$F395=""),0,MAX(0,MIN($F395,DATE(Dashboard!$C$4,2,1))-MAX($E395,DATE(Dashboard!$C$4,1,1))))</f>
        <v/>
      </c>
      <c r="T395">
        <f>IF(OR($E395="",$F395=""),0,MAX(0,MIN($F395,DATE(Dashboard!$C$4,3,1))-MAX($E395,DATE(Dashboard!$C$4,2,1))))</f>
        <v/>
      </c>
      <c r="U395">
        <f>IF(OR($E395="",$F395=""),0,MAX(0,MIN($F395,DATE(Dashboard!$C$4,4,1))-MAX($E395,DATE(Dashboard!$C$4,3,1))))</f>
        <v/>
      </c>
      <c r="V395">
        <f>IF(OR($E395="",$F395=""),0,MAX(0,MIN($F395,DATE(Dashboard!$C$4,5,1))-MAX($E395,DATE(Dashboard!$C$4,4,1))))</f>
        <v/>
      </c>
      <c r="W395">
        <f>IF(OR($E395="",$F395=""),0,MAX(0,MIN($F395,DATE(Dashboard!$C$4,6,1))-MAX($E395,DATE(Dashboard!$C$4,5,1))))</f>
        <v/>
      </c>
      <c r="X395">
        <f>IF(OR($E395="",$F395=""),0,MAX(0,MIN($F395,DATE(Dashboard!$C$4,7,1))-MAX($E395,DATE(Dashboard!$C$4,6,1))))</f>
        <v/>
      </c>
      <c r="Y395">
        <f>IF(OR($E395="",$F395=""),0,MAX(0,MIN($F395,DATE(Dashboard!$C$4,8,1))-MAX($E395,DATE(Dashboard!$C$4,7,1))))</f>
        <v/>
      </c>
      <c r="Z395">
        <f>IF(OR($E395="",$F395=""),0,MAX(0,MIN($F395,DATE(Dashboard!$C$4,9,1))-MAX($E395,DATE(Dashboard!$C$4,8,1))))</f>
        <v/>
      </c>
      <c r="AA395">
        <f>IF(OR($E395="",$F395=""),0,MAX(0,MIN($F395,DATE(Dashboard!$C$4,10,1))-MAX($E395,DATE(Dashboard!$C$4,9,1))))</f>
        <v/>
      </c>
      <c r="AB395">
        <f>IF(OR($E395="",$F395=""),0,MAX(0,MIN($F395,DATE(Dashboard!$C$4,11,1))-MAX($E395,DATE(Dashboard!$C$4,10,1))))</f>
        <v/>
      </c>
      <c r="AC395">
        <f>IF(OR($E395="",$F395=""),0,MAX(0,MIN($F395,DATE(Dashboard!$C$4,12,1))-MAX($E395,DATE(Dashboard!$C$4,11,1))))</f>
        <v/>
      </c>
      <c r="AD395">
        <f>IF(OR($E395="",$F395=""),0,MAX(0,MIN($F395,DATE(Dashboard!$C$4,13,1))-MAX($E395,DATE(Dashboard!$C$4,12,1))))</f>
        <v/>
      </c>
      <c r="AE395">
        <f>SUM(S395:AD395)</f>
        <v/>
      </c>
      <c r="AF395">
        <f>Q395*AE395</f>
        <v/>
      </c>
      <c r="AG395">
        <f>R395*AE395</f>
        <v/>
      </c>
      <c r="AH395">
        <f>SUMPRODUCT(S395:AD395,--(COLUMN(S395:AD395)-COLUMN(S395)+1&lt;=Dashboard!$N$1))</f>
        <v/>
      </c>
      <c r="AI395">
        <f>IF(OR(E395="",E395&lt;TODAY()),"",E395+ROW()/100000)</f>
        <v/>
      </c>
      <c r="AJ395">
        <f>IF(OR(F395="",F395&lt;TODAY()),"",F395+ROW()/100000)</f>
        <v/>
      </c>
    </row>
    <row r="396">
      <c r="A396" s="1" t="n"/>
      <c r="B396" s="35" t="n"/>
      <c r="C396" s="35" t="n"/>
      <c r="D396" s="35" t="n"/>
      <c r="E396" s="36" t="n"/>
      <c r="F396" s="36" t="n"/>
      <c r="G396" s="18">
        <f>IF(OR(E396="",F396=""),"",F396-E396)</f>
        <v/>
      </c>
      <c r="H396" s="37" t="n"/>
      <c r="I396" s="38" t="n"/>
      <c r="J396" s="38" t="n"/>
      <c r="K396" s="38" t="n"/>
      <c r="L396" s="31">
        <f>IF(E396="","",N(I396)+N(J396)-N(K396))</f>
        <v/>
      </c>
      <c r="M396" s="39" t="n"/>
      <c r="N396" s="27">
        <f>IF(E396="","",IF(TODAY()&lt;E396,"Upcoming",IF(TODAY()&lt;F396,"Staying now",IF(M396="Yes","Checked out","Payout not received"))))</f>
        <v/>
      </c>
      <c r="O396" s="35" t="n"/>
      <c r="P396" s="1" t="n"/>
      <c r="Q396">
        <f>IF(N(G396)&gt;0,L396/G396,0)</f>
        <v/>
      </c>
      <c r="R396">
        <f>IF(N(G396)&gt;0,N(I396)/G396,0)</f>
        <v/>
      </c>
      <c r="S396">
        <f>IF(OR($E396="",$F396=""),0,MAX(0,MIN($F396,DATE(Dashboard!$C$4,2,1))-MAX($E396,DATE(Dashboard!$C$4,1,1))))</f>
        <v/>
      </c>
      <c r="T396">
        <f>IF(OR($E396="",$F396=""),0,MAX(0,MIN($F396,DATE(Dashboard!$C$4,3,1))-MAX($E396,DATE(Dashboard!$C$4,2,1))))</f>
        <v/>
      </c>
      <c r="U396">
        <f>IF(OR($E396="",$F396=""),0,MAX(0,MIN($F396,DATE(Dashboard!$C$4,4,1))-MAX($E396,DATE(Dashboard!$C$4,3,1))))</f>
        <v/>
      </c>
      <c r="V396">
        <f>IF(OR($E396="",$F396=""),0,MAX(0,MIN($F396,DATE(Dashboard!$C$4,5,1))-MAX($E396,DATE(Dashboard!$C$4,4,1))))</f>
        <v/>
      </c>
      <c r="W396">
        <f>IF(OR($E396="",$F396=""),0,MAX(0,MIN($F396,DATE(Dashboard!$C$4,6,1))-MAX($E396,DATE(Dashboard!$C$4,5,1))))</f>
        <v/>
      </c>
      <c r="X396">
        <f>IF(OR($E396="",$F396=""),0,MAX(0,MIN($F396,DATE(Dashboard!$C$4,7,1))-MAX($E396,DATE(Dashboard!$C$4,6,1))))</f>
        <v/>
      </c>
      <c r="Y396">
        <f>IF(OR($E396="",$F396=""),0,MAX(0,MIN($F396,DATE(Dashboard!$C$4,8,1))-MAX($E396,DATE(Dashboard!$C$4,7,1))))</f>
        <v/>
      </c>
      <c r="Z396">
        <f>IF(OR($E396="",$F396=""),0,MAX(0,MIN($F396,DATE(Dashboard!$C$4,9,1))-MAX($E396,DATE(Dashboard!$C$4,8,1))))</f>
        <v/>
      </c>
      <c r="AA396">
        <f>IF(OR($E396="",$F396=""),0,MAX(0,MIN($F396,DATE(Dashboard!$C$4,10,1))-MAX($E396,DATE(Dashboard!$C$4,9,1))))</f>
        <v/>
      </c>
      <c r="AB396">
        <f>IF(OR($E396="",$F396=""),0,MAX(0,MIN($F396,DATE(Dashboard!$C$4,11,1))-MAX($E396,DATE(Dashboard!$C$4,10,1))))</f>
        <v/>
      </c>
      <c r="AC396">
        <f>IF(OR($E396="",$F396=""),0,MAX(0,MIN($F396,DATE(Dashboard!$C$4,12,1))-MAX($E396,DATE(Dashboard!$C$4,11,1))))</f>
        <v/>
      </c>
      <c r="AD396">
        <f>IF(OR($E396="",$F396=""),0,MAX(0,MIN($F396,DATE(Dashboard!$C$4,13,1))-MAX($E396,DATE(Dashboard!$C$4,12,1))))</f>
        <v/>
      </c>
      <c r="AE396">
        <f>SUM(S396:AD396)</f>
        <v/>
      </c>
      <c r="AF396">
        <f>Q396*AE396</f>
        <v/>
      </c>
      <c r="AG396">
        <f>R396*AE396</f>
        <v/>
      </c>
      <c r="AH396">
        <f>SUMPRODUCT(S396:AD396,--(COLUMN(S396:AD396)-COLUMN(S396)+1&lt;=Dashboard!$N$1))</f>
        <v/>
      </c>
      <c r="AI396">
        <f>IF(OR(E396="",E396&lt;TODAY()),"",E396+ROW()/100000)</f>
        <v/>
      </c>
      <c r="AJ396">
        <f>IF(OR(F396="",F396&lt;TODAY()),"",F396+ROW()/100000)</f>
        <v/>
      </c>
    </row>
    <row r="397">
      <c r="A397" s="1" t="n"/>
      <c r="B397" s="35" t="n"/>
      <c r="C397" s="35" t="n"/>
      <c r="D397" s="35" t="n"/>
      <c r="E397" s="36" t="n"/>
      <c r="F397" s="36" t="n"/>
      <c r="G397" s="18">
        <f>IF(OR(E397="",F397=""),"",F397-E397)</f>
        <v/>
      </c>
      <c r="H397" s="37" t="n"/>
      <c r="I397" s="38" t="n"/>
      <c r="J397" s="38" t="n"/>
      <c r="K397" s="38" t="n"/>
      <c r="L397" s="31">
        <f>IF(E397="","",N(I397)+N(J397)-N(K397))</f>
        <v/>
      </c>
      <c r="M397" s="39" t="n"/>
      <c r="N397" s="27">
        <f>IF(E397="","",IF(TODAY()&lt;E397,"Upcoming",IF(TODAY()&lt;F397,"Staying now",IF(M397="Yes","Checked out","Payout not received"))))</f>
        <v/>
      </c>
      <c r="O397" s="35" t="n"/>
      <c r="P397" s="1" t="n"/>
      <c r="Q397">
        <f>IF(N(G397)&gt;0,L397/G397,0)</f>
        <v/>
      </c>
      <c r="R397">
        <f>IF(N(G397)&gt;0,N(I397)/G397,0)</f>
        <v/>
      </c>
      <c r="S397">
        <f>IF(OR($E397="",$F397=""),0,MAX(0,MIN($F397,DATE(Dashboard!$C$4,2,1))-MAX($E397,DATE(Dashboard!$C$4,1,1))))</f>
        <v/>
      </c>
      <c r="T397">
        <f>IF(OR($E397="",$F397=""),0,MAX(0,MIN($F397,DATE(Dashboard!$C$4,3,1))-MAX($E397,DATE(Dashboard!$C$4,2,1))))</f>
        <v/>
      </c>
      <c r="U397">
        <f>IF(OR($E397="",$F397=""),0,MAX(0,MIN($F397,DATE(Dashboard!$C$4,4,1))-MAX($E397,DATE(Dashboard!$C$4,3,1))))</f>
        <v/>
      </c>
      <c r="V397">
        <f>IF(OR($E397="",$F397=""),0,MAX(0,MIN($F397,DATE(Dashboard!$C$4,5,1))-MAX($E397,DATE(Dashboard!$C$4,4,1))))</f>
        <v/>
      </c>
      <c r="W397">
        <f>IF(OR($E397="",$F397=""),0,MAX(0,MIN($F397,DATE(Dashboard!$C$4,6,1))-MAX($E397,DATE(Dashboard!$C$4,5,1))))</f>
        <v/>
      </c>
      <c r="X397">
        <f>IF(OR($E397="",$F397=""),0,MAX(0,MIN($F397,DATE(Dashboard!$C$4,7,1))-MAX($E397,DATE(Dashboard!$C$4,6,1))))</f>
        <v/>
      </c>
      <c r="Y397">
        <f>IF(OR($E397="",$F397=""),0,MAX(0,MIN($F397,DATE(Dashboard!$C$4,8,1))-MAX($E397,DATE(Dashboard!$C$4,7,1))))</f>
        <v/>
      </c>
      <c r="Z397">
        <f>IF(OR($E397="",$F397=""),0,MAX(0,MIN($F397,DATE(Dashboard!$C$4,9,1))-MAX($E397,DATE(Dashboard!$C$4,8,1))))</f>
        <v/>
      </c>
      <c r="AA397">
        <f>IF(OR($E397="",$F397=""),0,MAX(0,MIN($F397,DATE(Dashboard!$C$4,10,1))-MAX($E397,DATE(Dashboard!$C$4,9,1))))</f>
        <v/>
      </c>
      <c r="AB397">
        <f>IF(OR($E397="",$F397=""),0,MAX(0,MIN($F397,DATE(Dashboard!$C$4,11,1))-MAX($E397,DATE(Dashboard!$C$4,10,1))))</f>
        <v/>
      </c>
      <c r="AC397">
        <f>IF(OR($E397="",$F397=""),0,MAX(0,MIN($F397,DATE(Dashboard!$C$4,12,1))-MAX($E397,DATE(Dashboard!$C$4,11,1))))</f>
        <v/>
      </c>
      <c r="AD397">
        <f>IF(OR($E397="",$F397=""),0,MAX(0,MIN($F397,DATE(Dashboard!$C$4,13,1))-MAX($E397,DATE(Dashboard!$C$4,12,1))))</f>
        <v/>
      </c>
      <c r="AE397">
        <f>SUM(S397:AD397)</f>
        <v/>
      </c>
      <c r="AF397">
        <f>Q397*AE397</f>
        <v/>
      </c>
      <c r="AG397">
        <f>R397*AE397</f>
        <v/>
      </c>
      <c r="AH397">
        <f>SUMPRODUCT(S397:AD397,--(COLUMN(S397:AD397)-COLUMN(S397)+1&lt;=Dashboard!$N$1))</f>
        <v/>
      </c>
      <c r="AI397">
        <f>IF(OR(E397="",E397&lt;TODAY()),"",E397+ROW()/100000)</f>
        <v/>
      </c>
      <c r="AJ397">
        <f>IF(OR(F397="",F397&lt;TODAY()),"",F397+ROW()/100000)</f>
        <v/>
      </c>
    </row>
    <row r="398">
      <c r="A398" s="1" t="n"/>
      <c r="B398" s="35" t="n"/>
      <c r="C398" s="35" t="n"/>
      <c r="D398" s="35" t="n"/>
      <c r="E398" s="36" t="n"/>
      <c r="F398" s="36" t="n"/>
      <c r="G398" s="18">
        <f>IF(OR(E398="",F398=""),"",F398-E398)</f>
        <v/>
      </c>
      <c r="H398" s="37" t="n"/>
      <c r="I398" s="38" t="n"/>
      <c r="J398" s="38" t="n"/>
      <c r="K398" s="38" t="n"/>
      <c r="L398" s="31">
        <f>IF(E398="","",N(I398)+N(J398)-N(K398))</f>
        <v/>
      </c>
      <c r="M398" s="39" t="n"/>
      <c r="N398" s="27">
        <f>IF(E398="","",IF(TODAY()&lt;E398,"Upcoming",IF(TODAY()&lt;F398,"Staying now",IF(M398="Yes","Checked out","Payout not received"))))</f>
        <v/>
      </c>
      <c r="O398" s="35" t="n"/>
      <c r="P398" s="1" t="n"/>
      <c r="Q398">
        <f>IF(N(G398)&gt;0,L398/G398,0)</f>
        <v/>
      </c>
      <c r="R398">
        <f>IF(N(G398)&gt;0,N(I398)/G398,0)</f>
        <v/>
      </c>
      <c r="S398">
        <f>IF(OR($E398="",$F398=""),0,MAX(0,MIN($F398,DATE(Dashboard!$C$4,2,1))-MAX($E398,DATE(Dashboard!$C$4,1,1))))</f>
        <v/>
      </c>
      <c r="T398">
        <f>IF(OR($E398="",$F398=""),0,MAX(0,MIN($F398,DATE(Dashboard!$C$4,3,1))-MAX($E398,DATE(Dashboard!$C$4,2,1))))</f>
        <v/>
      </c>
      <c r="U398">
        <f>IF(OR($E398="",$F398=""),0,MAX(0,MIN($F398,DATE(Dashboard!$C$4,4,1))-MAX($E398,DATE(Dashboard!$C$4,3,1))))</f>
        <v/>
      </c>
      <c r="V398">
        <f>IF(OR($E398="",$F398=""),0,MAX(0,MIN($F398,DATE(Dashboard!$C$4,5,1))-MAX($E398,DATE(Dashboard!$C$4,4,1))))</f>
        <v/>
      </c>
      <c r="W398">
        <f>IF(OR($E398="",$F398=""),0,MAX(0,MIN($F398,DATE(Dashboard!$C$4,6,1))-MAX($E398,DATE(Dashboard!$C$4,5,1))))</f>
        <v/>
      </c>
      <c r="X398">
        <f>IF(OR($E398="",$F398=""),0,MAX(0,MIN($F398,DATE(Dashboard!$C$4,7,1))-MAX($E398,DATE(Dashboard!$C$4,6,1))))</f>
        <v/>
      </c>
      <c r="Y398">
        <f>IF(OR($E398="",$F398=""),0,MAX(0,MIN($F398,DATE(Dashboard!$C$4,8,1))-MAX($E398,DATE(Dashboard!$C$4,7,1))))</f>
        <v/>
      </c>
      <c r="Z398">
        <f>IF(OR($E398="",$F398=""),0,MAX(0,MIN($F398,DATE(Dashboard!$C$4,9,1))-MAX($E398,DATE(Dashboard!$C$4,8,1))))</f>
        <v/>
      </c>
      <c r="AA398">
        <f>IF(OR($E398="",$F398=""),0,MAX(0,MIN($F398,DATE(Dashboard!$C$4,10,1))-MAX($E398,DATE(Dashboard!$C$4,9,1))))</f>
        <v/>
      </c>
      <c r="AB398">
        <f>IF(OR($E398="",$F398=""),0,MAX(0,MIN($F398,DATE(Dashboard!$C$4,11,1))-MAX($E398,DATE(Dashboard!$C$4,10,1))))</f>
        <v/>
      </c>
      <c r="AC398">
        <f>IF(OR($E398="",$F398=""),0,MAX(0,MIN($F398,DATE(Dashboard!$C$4,12,1))-MAX($E398,DATE(Dashboard!$C$4,11,1))))</f>
        <v/>
      </c>
      <c r="AD398">
        <f>IF(OR($E398="",$F398=""),0,MAX(0,MIN($F398,DATE(Dashboard!$C$4,13,1))-MAX($E398,DATE(Dashboard!$C$4,12,1))))</f>
        <v/>
      </c>
      <c r="AE398">
        <f>SUM(S398:AD398)</f>
        <v/>
      </c>
      <c r="AF398">
        <f>Q398*AE398</f>
        <v/>
      </c>
      <c r="AG398">
        <f>R398*AE398</f>
        <v/>
      </c>
      <c r="AH398">
        <f>SUMPRODUCT(S398:AD398,--(COLUMN(S398:AD398)-COLUMN(S398)+1&lt;=Dashboard!$N$1))</f>
        <v/>
      </c>
      <c r="AI398">
        <f>IF(OR(E398="",E398&lt;TODAY()),"",E398+ROW()/100000)</f>
        <v/>
      </c>
      <c r="AJ398">
        <f>IF(OR(F398="",F398&lt;TODAY()),"",F398+ROW()/100000)</f>
        <v/>
      </c>
    </row>
    <row r="399">
      <c r="A399" s="1" t="n"/>
      <c r="B399" s="35" t="n"/>
      <c r="C399" s="35" t="n"/>
      <c r="D399" s="35" t="n"/>
      <c r="E399" s="36" t="n"/>
      <c r="F399" s="36" t="n"/>
      <c r="G399" s="18">
        <f>IF(OR(E399="",F399=""),"",F399-E399)</f>
        <v/>
      </c>
      <c r="H399" s="37" t="n"/>
      <c r="I399" s="38" t="n"/>
      <c r="J399" s="38" t="n"/>
      <c r="K399" s="38" t="n"/>
      <c r="L399" s="31">
        <f>IF(E399="","",N(I399)+N(J399)-N(K399))</f>
        <v/>
      </c>
      <c r="M399" s="39" t="n"/>
      <c r="N399" s="27">
        <f>IF(E399="","",IF(TODAY()&lt;E399,"Upcoming",IF(TODAY()&lt;F399,"Staying now",IF(M399="Yes","Checked out","Payout not received"))))</f>
        <v/>
      </c>
      <c r="O399" s="35" t="n"/>
      <c r="P399" s="1" t="n"/>
      <c r="Q399">
        <f>IF(N(G399)&gt;0,L399/G399,0)</f>
        <v/>
      </c>
      <c r="R399">
        <f>IF(N(G399)&gt;0,N(I399)/G399,0)</f>
        <v/>
      </c>
      <c r="S399">
        <f>IF(OR($E399="",$F399=""),0,MAX(0,MIN($F399,DATE(Dashboard!$C$4,2,1))-MAX($E399,DATE(Dashboard!$C$4,1,1))))</f>
        <v/>
      </c>
      <c r="T399">
        <f>IF(OR($E399="",$F399=""),0,MAX(0,MIN($F399,DATE(Dashboard!$C$4,3,1))-MAX($E399,DATE(Dashboard!$C$4,2,1))))</f>
        <v/>
      </c>
      <c r="U399">
        <f>IF(OR($E399="",$F399=""),0,MAX(0,MIN($F399,DATE(Dashboard!$C$4,4,1))-MAX($E399,DATE(Dashboard!$C$4,3,1))))</f>
        <v/>
      </c>
      <c r="V399">
        <f>IF(OR($E399="",$F399=""),0,MAX(0,MIN($F399,DATE(Dashboard!$C$4,5,1))-MAX($E399,DATE(Dashboard!$C$4,4,1))))</f>
        <v/>
      </c>
      <c r="W399">
        <f>IF(OR($E399="",$F399=""),0,MAX(0,MIN($F399,DATE(Dashboard!$C$4,6,1))-MAX($E399,DATE(Dashboard!$C$4,5,1))))</f>
        <v/>
      </c>
      <c r="X399">
        <f>IF(OR($E399="",$F399=""),0,MAX(0,MIN($F399,DATE(Dashboard!$C$4,7,1))-MAX($E399,DATE(Dashboard!$C$4,6,1))))</f>
        <v/>
      </c>
      <c r="Y399">
        <f>IF(OR($E399="",$F399=""),0,MAX(0,MIN($F399,DATE(Dashboard!$C$4,8,1))-MAX($E399,DATE(Dashboard!$C$4,7,1))))</f>
        <v/>
      </c>
      <c r="Z399">
        <f>IF(OR($E399="",$F399=""),0,MAX(0,MIN($F399,DATE(Dashboard!$C$4,9,1))-MAX($E399,DATE(Dashboard!$C$4,8,1))))</f>
        <v/>
      </c>
      <c r="AA399">
        <f>IF(OR($E399="",$F399=""),0,MAX(0,MIN($F399,DATE(Dashboard!$C$4,10,1))-MAX($E399,DATE(Dashboard!$C$4,9,1))))</f>
        <v/>
      </c>
      <c r="AB399">
        <f>IF(OR($E399="",$F399=""),0,MAX(0,MIN($F399,DATE(Dashboard!$C$4,11,1))-MAX($E399,DATE(Dashboard!$C$4,10,1))))</f>
        <v/>
      </c>
      <c r="AC399">
        <f>IF(OR($E399="",$F399=""),0,MAX(0,MIN($F399,DATE(Dashboard!$C$4,12,1))-MAX($E399,DATE(Dashboard!$C$4,11,1))))</f>
        <v/>
      </c>
      <c r="AD399">
        <f>IF(OR($E399="",$F399=""),0,MAX(0,MIN($F399,DATE(Dashboard!$C$4,13,1))-MAX($E399,DATE(Dashboard!$C$4,12,1))))</f>
        <v/>
      </c>
      <c r="AE399">
        <f>SUM(S399:AD399)</f>
        <v/>
      </c>
      <c r="AF399">
        <f>Q399*AE399</f>
        <v/>
      </c>
      <c r="AG399">
        <f>R399*AE399</f>
        <v/>
      </c>
      <c r="AH399">
        <f>SUMPRODUCT(S399:AD399,--(COLUMN(S399:AD399)-COLUMN(S399)+1&lt;=Dashboard!$N$1))</f>
        <v/>
      </c>
      <c r="AI399">
        <f>IF(OR(E399="",E399&lt;TODAY()),"",E399+ROW()/100000)</f>
        <v/>
      </c>
      <c r="AJ399">
        <f>IF(OR(F399="",F399&lt;TODAY()),"",F399+ROW()/100000)</f>
        <v/>
      </c>
    </row>
    <row r="400">
      <c r="A400" s="1" t="n"/>
      <c r="B400" s="35" t="n"/>
      <c r="C400" s="35" t="n"/>
      <c r="D400" s="35" t="n"/>
      <c r="E400" s="36" t="n"/>
      <c r="F400" s="36" t="n"/>
      <c r="G400" s="18">
        <f>IF(OR(E400="",F400=""),"",F400-E400)</f>
        <v/>
      </c>
      <c r="H400" s="37" t="n"/>
      <c r="I400" s="38" t="n"/>
      <c r="J400" s="38" t="n"/>
      <c r="K400" s="38" t="n"/>
      <c r="L400" s="31">
        <f>IF(E400="","",N(I400)+N(J400)-N(K400))</f>
        <v/>
      </c>
      <c r="M400" s="39" t="n"/>
      <c r="N400" s="27">
        <f>IF(E400="","",IF(TODAY()&lt;E400,"Upcoming",IF(TODAY()&lt;F400,"Staying now",IF(M400="Yes","Checked out","Payout not received"))))</f>
        <v/>
      </c>
      <c r="O400" s="35" t="n"/>
      <c r="P400" s="1" t="n"/>
      <c r="Q400">
        <f>IF(N(G400)&gt;0,L400/G400,0)</f>
        <v/>
      </c>
      <c r="R400">
        <f>IF(N(G400)&gt;0,N(I400)/G400,0)</f>
        <v/>
      </c>
      <c r="S400">
        <f>IF(OR($E400="",$F400=""),0,MAX(0,MIN($F400,DATE(Dashboard!$C$4,2,1))-MAX($E400,DATE(Dashboard!$C$4,1,1))))</f>
        <v/>
      </c>
      <c r="T400">
        <f>IF(OR($E400="",$F400=""),0,MAX(0,MIN($F400,DATE(Dashboard!$C$4,3,1))-MAX($E400,DATE(Dashboard!$C$4,2,1))))</f>
        <v/>
      </c>
      <c r="U400">
        <f>IF(OR($E400="",$F400=""),0,MAX(0,MIN($F400,DATE(Dashboard!$C$4,4,1))-MAX($E400,DATE(Dashboard!$C$4,3,1))))</f>
        <v/>
      </c>
      <c r="V400">
        <f>IF(OR($E400="",$F400=""),0,MAX(0,MIN($F400,DATE(Dashboard!$C$4,5,1))-MAX($E400,DATE(Dashboard!$C$4,4,1))))</f>
        <v/>
      </c>
      <c r="W400">
        <f>IF(OR($E400="",$F400=""),0,MAX(0,MIN($F400,DATE(Dashboard!$C$4,6,1))-MAX($E400,DATE(Dashboard!$C$4,5,1))))</f>
        <v/>
      </c>
      <c r="X400">
        <f>IF(OR($E400="",$F400=""),0,MAX(0,MIN($F400,DATE(Dashboard!$C$4,7,1))-MAX($E400,DATE(Dashboard!$C$4,6,1))))</f>
        <v/>
      </c>
      <c r="Y400">
        <f>IF(OR($E400="",$F400=""),0,MAX(0,MIN($F400,DATE(Dashboard!$C$4,8,1))-MAX($E400,DATE(Dashboard!$C$4,7,1))))</f>
        <v/>
      </c>
      <c r="Z400">
        <f>IF(OR($E400="",$F400=""),0,MAX(0,MIN($F400,DATE(Dashboard!$C$4,9,1))-MAX($E400,DATE(Dashboard!$C$4,8,1))))</f>
        <v/>
      </c>
      <c r="AA400">
        <f>IF(OR($E400="",$F400=""),0,MAX(0,MIN($F400,DATE(Dashboard!$C$4,10,1))-MAX($E400,DATE(Dashboard!$C$4,9,1))))</f>
        <v/>
      </c>
      <c r="AB400">
        <f>IF(OR($E400="",$F400=""),0,MAX(0,MIN($F400,DATE(Dashboard!$C$4,11,1))-MAX($E400,DATE(Dashboard!$C$4,10,1))))</f>
        <v/>
      </c>
      <c r="AC400">
        <f>IF(OR($E400="",$F400=""),0,MAX(0,MIN($F400,DATE(Dashboard!$C$4,12,1))-MAX($E400,DATE(Dashboard!$C$4,11,1))))</f>
        <v/>
      </c>
      <c r="AD400">
        <f>IF(OR($E400="",$F400=""),0,MAX(0,MIN($F400,DATE(Dashboard!$C$4,13,1))-MAX($E400,DATE(Dashboard!$C$4,12,1))))</f>
        <v/>
      </c>
      <c r="AE400">
        <f>SUM(S400:AD400)</f>
        <v/>
      </c>
      <c r="AF400">
        <f>Q400*AE400</f>
        <v/>
      </c>
      <c r="AG400">
        <f>R400*AE400</f>
        <v/>
      </c>
      <c r="AH400">
        <f>SUMPRODUCT(S400:AD400,--(COLUMN(S400:AD400)-COLUMN(S400)+1&lt;=Dashboard!$N$1))</f>
        <v/>
      </c>
      <c r="AI400">
        <f>IF(OR(E400="",E400&lt;TODAY()),"",E400+ROW()/100000)</f>
        <v/>
      </c>
      <c r="AJ400">
        <f>IF(OR(F400="",F400&lt;TODAY()),"",F400+ROW()/100000)</f>
        <v/>
      </c>
    </row>
    <row r="401">
      <c r="A401" s="1" t="n"/>
      <c r="B401" s="35" t="n"/>
      <c r="C401" s="35" t="n"/>
      <c r="D401" s="35" t="n"/>
      <c r="E401" s="36" t="n"/>
      <c r="F401" s="36" t="n"/>
      <c r="G401" s="18">
        <f>IF(OR(E401="",F401=""),"",F401-E401)</f>
        <v/>
      </c>
      <c r="H401" s="37" t="n"/>
      <c r="I401" s="38" t="n"/>
      <c r="J401" s="38" t="n"/>
      <c r="K401" s="38" t="n"/>
      <c r="L401" s="31">
        <f>IF(E401="","",N(I401)+N(J401)-N(K401))</f>
        <v/>
      </c>
      <c r="M401" s="39" t="n"/>
      <c r="N401" s="27">
        <f>IF(E401="","",IF(TODAY()&lt;E401,"Upcoming",IF(TODAY()&lt;F401,"Staying now",IF(M401="Yes","Checked out","Payout not received"))))</f>
        <v/>
      </c>
      <c r="O401" s="35" t="n"/>
      <c r="P401" s="1" t="n"/>
      <c r="Q401">
        <f>IF(N(G401)&gt;0,L401/G401,0)</f>
        <v/>
      </c>
      <c r="R401">
        <f>IF(N(G401)&gt;0,N(I401)/G401,0)</f>
        <v/>
      </c>
      <c r="S401">
        <f>IF(OR($E401="",$F401=""),0,MAX(0,MIN($F401,DATE(Dashboard!$C$4,2,1))-MAX($E401,DATE(Dashboard!$C$4,1,1))))</f>
        <v/>
      </c>
      <c r="T401">
        <f>IF(OR($E401="",$F401=""),0,MAX(0,MIN($F401,DATE(Dashboard!$C$4,3,1))-MAX($E401,DATE(Dashboard!$C$4,2,1))))</f>
        <v/>
      </c>
      <c r="U401">
        <f>IF(OR($E401="",$F401=""),0,MAX(0,MIN($F401,DATE(Dashboard!$C$4,4,1))-MAX($E401,DATE(Dashboard!$C$4,3,1))))</f>
        <v/>
      </c>
      <c r="V401">
        <f>IF(OR($E401="",$F401=""),0,MAX(0,MIN($F401,DATE(Dashboard!$C$4,5,1))-MAX($E401,DATE(Dashboard!$C$4,4,1))))</f>
        <v/>
      </c>
      <c r="W401">
        <f>IF(OR($E401="",$F401=""),0,MAX(0,MIN($F401,DATE(Dashboard!$C$4,6,1))-MAX($E401,DATE(Dashboard!$C$4,5,1))))</f>
        <v/>
      </c>
      <c r="X401">
        <f>IF(OR($E401="",$F401=""),0,MAX(0,MIN($F401,DATE(Dashboard!$C$4,7,1))-MAX($E401,DATE(Dashboard!$C$4,6,1))))</f>
        <v/>
      </c>
      <c r="Y401">
        <f>IF(OR($E401="",$F401=""),0,MAX(0,MIN($F401,DATE(Dashboard!$C$4,8,1))-MAX($E401,DATE(Dashboard!$C$4,7,1))))</f>
        <v/>
      </c>
      <c r="Z401">
        <f>IF(OR($E401="",$F401=""),0,MAX(0,MIN($F401,DATE(Dashboard!$C$4,9,1))-MAX($E401,DATE(Dashboard!$C$4,8,1))))</f>
        <v/>
      </c>
      <c r="AA401">
        <f>IF(OR($E401="",$F401=""),0,MAX(0,MIN($F401,DATE(Dashboard!$C$4,10,1))-MAX($E401,DATE(Dashboard!$C$4,9,1))))</f>
        <v/>
      </c>
      <c r="AB401">
        <f>IF(OR($E401="",$F401=""),0,MAX(0,MIN($F401,DATE(Dashboard!$C$4,11,1))-MAX($E401,DATE(Dashboard!$C$4,10,1))))</f>
        <v/>
      </c>
      <c r="AC401">
        <f>IF(OR($E401="",$F401=""),0,MAX(0,MIN($F401,DATE(Dashboard!$C$4,12,1))-MAX($E401,DATE(Dashboard!$C$4,11,1))))</f>
        <v/>
      </c>
      <c r="AD401">
        <f>IF(OR($E401="",$F401=""),0,MAX(0,MIN($F401,DATE(Dashboard!$C$4,13,1))-MAX($E401,DATE(Dashboard!$C$4,12,1))))</f>
        <v/>
      </c>
      <c r="AE401">
        <f>SUM(S401:AD401)</f>
        <v/>
      </c>
      <c r="AF401">
        <f>Q401*AE401</f>
        <v/>
      </c>
      <c r="AG401">
        <f>R401*AE401</f>
        <v/>
      </c>
      <c r="AH401">
        <f>SUMPRODUCT(S401:AD401,--(COLUMN(S401:AD401)-COLUMN(S401)+1&lt;=Dashboard!$N$1))</f>
        <v/>
      </c>
      <c r="AI401">
        <f>IF(OR(E401="",E401&lt;TODAY()),"",E401+ROW()/100000)</f>
        <v/>
      </c>
      <c r="AJ401">
        <f>IF(OR(F401="",F401&lt;TODAY()),"",F401+ROW()/100000)</f>
        <v/>
      </c>
    </row>
    <row r="402">
      <c r="A402" s="1" t="n"/>
      <c r="B402" s="35" t="n"/>
      <c r="C402" s="35" t="n"/>
      <c r="D402" s="35" t="n"/>
      <c r="E402" s="36" t="n"/>
      <c r="F402" s="36" t="n"/>
      <c r="G402" s="18">
        <f>IF(OR(E402="",F402=""),"",F402-E402)</f>
        <v/>
      </c>
      <c r="H402" s="37" t="n"/>
      <c r="I402" s="38" t="n"/>
      <c r="J402" s="38" t="n"/>
      <c r="K402" s="38" t="n"/>
      <c r="L402" s="31">
        <f>IF(E402="","",N(I402)+N(J402)-N(K402))</f>
        <v/>
      </c>
      <c r="M402" s="39" t="n"/>
      <c r="N402" s="27">
        <f>IF(E402="","",IF(TODAY()&lt;E402,"Upcoming",IF(TODAY()&lt;F402,"Staying now",IF(M402="Yes","Checked out","Payout not received"))))</f>
        <v/>
      </c>
      <c r="O402" s="35" t="n"/>
      <c r="P402" s="1" t="n"/>
      <c r="Q402">
        <f>IF(N(G402)&gt;0,L402/G402,0)</f>
        <v/>
      </c>
      <c r="R402">
        <f>IF(N(G402)&gt;0,N(I402)/G402,0)</f>
        <v/>
      </c>
      <c r="S402">
        <f>IF(OR($E402="",$F402=""),0,MAX(0,MIN($F402,DATE(Dashboard!$C$4,2,1))-MAX($E402,DATE(Dashboard!$C$4,1,1))))</f>
        <v/>
      </c>
      <c r="T402">
        <f>IF(OR($E402="",$F402=""),0,MAX(0,MIN($F402,DATE(Dashboard!$C$4,3,1))-MAX($E402,DATE(Dashboard!$C$4,2,1))))</f>
        <v/>
      </c>
      <c r="U402">
        <f>IF(OR($E402="",$F402=""),0,MAX(0,MIN($F402,DATE(Dashboard!$C$4,4,1))-MAX($E402,DATE(Dashboard!$C$4,3,1))))</f>
        <v/>
      </c>
      <c r="V402">
        <f>IF(OR($E402="",$F402=""),0,MAX(0,MIN($F402,DATE(Dashboard!$C$4,5,1))-MAX($E402,DATE(Dashboard!$C$4,4,1))))</f>
        <v/>
      </c>
      <c r="W402">
        <f>IF(OR($E402="",$F402=""),0,MAX(0,MIN($F402,DATE(Dashboard!$C$4,6,1))-MAX($E402,DATE(Dashboard!$C$4,5,1))))</f>
        <v/>
      </c>
      <c r="X402">
        <f>IF(OR($E402="",$F402=""),0,MAX(0,MIN($F402,DATE(Dashboard!$C$4,7,1))-MAX($E402,DATE(Dashboard!$C$4,6,1))))</f>
        <v/>
      </c>
      <c r="Y402">
        <f>IF(OR($E402="",$F402=""),0,MAX(0,MIN($F402,DATE(Dashboard!$C$4,8,1))-MAX($E402,DATE(Dashboard!$C$4,7,1))))</f>
        <v/>
      </c>
      <c r="Z402">
        <f>IF(OR($E402="",$F402=""),0,MAX(0,MIN($F402,DATE(Dashboard!$C$4,9,1))-MAX($E402,DATE(Dashboard!$C$4,8,1))))</f>
        <v/>
      </c>
      <c r="AA402">
        <f>IF(OR($E402="",$F402=""),0,MAX(0,MIN($F402,DATE(Dashboard!$C$4,10,1))-MAX($E402,DATE(Dashboard!$C$4,9,1))))</f>
        <v/>
      </c>
      <c r="AB402">
        <f>IF(OR($E402="",$F402=""),0,MAX(0,MIN($F402,DATE(Dashboard!$C$4,11,1))-MAX($E402,DATE(Dashboard!$C$4,10,1))))</f>
        <v/>
      </c>
      <c r="AC402">
        <f>IF(OR($E402="",$F402=""),0,MAX(0,MIN($F402,DATE(Dashboard!$C$4,12,1))-MAX($E402,DATE(Dashboard!$C$4,11,1))))</f>
        <v/>
      </c>
      <c r="AD402">
        <f>IF(OR($E402="",$F402=""),0,MAX(0,MIN($F402,DATE(Dashboard!$C$4,13,1))-MAX($E402,DATE(Dashboard!$C$4,12,1))))</f>
        <v/>
      </c>
      <c r="AE402">
        <f>SUM(S402:AD402)</f>
        <v/>
      </c>
      <c r="AF402">
        <f>Q402*AE402</f>
        <v/>
      </c>
      <c r="AG402">
        <f>R402*AE402</f>
        <v/>
      </c>
      <c r="AH402">
        <f>SUMPRODUCT(S402:AD402,--(COLUMN(S402:AD402)-COLUMN(S402)+1&lt;=Dashboard!$N$1))</f>
        <v/>
      </c>
      <c r="AI402">
        <f>IF(OR(E402="",E402&lt;TODAY()),"",E402+ROW()/100000)</f>
        <v/>
      </c>
      <c r="AJ402">
        <f>IF(OR(F402="",F402&lt;TODAY()),"",F402+ROW()/100000)</f>
        <v/>
      </c>
    </row>
    <row r="403">
      <c r="A403" s="1" t="n"/>
      <c r="B403" s="35" t="n"/>
      <c r="C403" s="35" t="n"/>
      <c r="D403" s="35" t="n"/>
      <c r="E403" s="36" t="n"/>
      <c r="F403" s="36" t="n"/>
      <c r="G403" s="18">
        <f>IF(OR(E403="",F403=""),"",F403-E403)</f>
        <v/>
      </c>
      <c r="H403" s="37" t="n"/>
      <c r="I403" s="38" t="n"/>
      <c r="J403" s="38" t="n"/>
      <c r="K403" s="38" t="n"/>
      <c r="L403" s="31">
        <f>IF(E403="","",N(I403)+N(J403)-N(K403))</f>
        <v/>
      </c>
      <c r="M403" s="39" t="n"/>
      <c r="N403" s="27">
        <f>IF(E403="","",IF(TODAY()&lt;E403,"Upcoming",IF(TODAY()&lt;F403,"Staying now",IF(M403="Yes","Checked out","Payout not received"))))</f>
        <v/>
      </c>
      <c r="O403" s="35" t="n"/>
      <c r="P403" s="1" t="n"/>
      <c r="Q403">
        <f>IF(N(G403)&gt;0,L403/G403,0)</f>
        <v/>
      </c>
      <c r="R403">
        <f>IF(N(G403)&gt;0,N(I403)/G403,0)</f>
        <v/>
      </c>
      <c r="S403">
        <f>IF(OR($E403="",$F403=""),0,MAX(0,MIN($F403,DATE(Dashboard!$C$4,2,1))-MAX($E403,DATE(Dashboard!$C$4,1,1))))</f>
        <v/>
      </c>
      <c r="T403">
        <f>IF(OR($E403="",$F403=""),0,MAX(0,MIN($F403,DATE(Dashboard!$C$4,3,1))-MAX($E403,DATE(Dashboard!$C$4,2,1))))</f>
        <v/>
      </c>
      <c r="U403">
        <f>IF(OR($E403="",$F403=""),0,MAX(0,MIN($F403,DATE(Dashboard!$C$4,4,1))-MAX($E403,DATE(Dashboard!$C$4,3,1))))</f>
        <v/>
      </c>
      <c r="V403">
        <f>IF(OR($E403="",$F403=""),0,MAX(0,MIN($F403,DATE(Dashboard!$C$4,5,1))-MAX($E403,DATE(Dashboard!$C$4,4,1))))</f>
        <v/>
      </c>
      <c r="W403">
        <f>IF(OR($E403="",$F403=""),0,MAX(0,MIN($F403,DATE(Dashboard!$C$4,6,1))-MAX($E403,DATE(Dashboard!$C$4,5,1))))</f>
        <v/>
      </c>
      <c r="X403">
        <f>IF(OR($E403="",$F403=""),0,MAX(0,MIN($F403,DATE(Dashboard!$C$4,7,1))-MAX($E403,DATE(Dashboard!$C$4,6,1))))</f>
        <v/>
      </c>
      <c r="Y403">
        <f>IF(OR($E403="",$F403=""),0,MAX(0,MIN($F403,DATE(Dashboard!$C$4,8,1))-MAX($E403,DATE(Dashboard!$C$4,7,1))))</f>
        <v/>
      </c>
      <c r="Z403">
        <f>IF(OR($E403="",$F403=""),0,MAX(0,MIN($F403,DATE(Dashboard!$C$4,9,1))-MAX($E403,DATE(Dashboard!$C$4,8,1))))</f>
        <v/>
      </c>
      <c r="AA403">
        <f>IF(OR($E403="",$F403=""),0,MAX(0,MIN($F403,DATE(Dashboard!$C$4,10,1))-MAX($E403,DATE(Dashboard!$C$4,9,1))))</f>
        <v/>
      </c>
      <c r="AB403">
        <f>IF(OR($E403="",$F403=""),0,MAX(0,MIN($F403,DATE(Dashboard!$C$4,11,1))-MAX($E403,DATE(Dashboard!$C$4,10,1))))</f>
        <v/>
      </c>
      <c r="AC403">
        <f>IF(OR($E403="",$F403=""),0,MAX(0,MIN($F403,DATE(Dashboard!$C$4,12,1))-MAX($E403,DATE(Dashboard!$C$4,11,1))))</f>
        <v/>
      </c>
      <c r="AD403">
        <f>IF(OR($E403="",$F403=""),0,MAX(0,MIN($F403,DATE(Dashboard!$C$4,13,1))-MAX($E403,DATE(Dashboard!$C$4,12,1))))</f>
        <v/>
      </c>
      <c r="AE403">
        <f>SUM(S403:AD403)</f>
        <v/>
      </c>
      <c r="AF403">
        <f>Q403*AE403</f>
        <v/>
      </c>
      <c r="AG403">
        <f>R403*AE403</f>
        <v/>
      </c>
      <c r="AH403">
        <f>SUMPRODUCT(S403:AD403,--(COLUMN(S403:AD403)-COLUMN(S403)+1&lt;=Dashboard!$N$1))</f>
        <v/>
      </c>
      <c r="AI403">
        <f>IF(OR(E403="",E403&lt;TODAY()),"",E403+ROW()/100000)</f>
        <v/>
      </c>
      <c r="AJ403">
        <f>IF(OR(F403="",F403&lt;TODAY()),"",F403+ROW()/100000)</f>
        <v/>
      </c>
    </row>
    <row r="404">
      <c r="A404" s="1" t="n"/>
      <c r="B404" s="35" t="n"/>
      <c r="C404" s="35" t="n"/>
      <c r="D404" s="35" t="n"/>
      <c r="E404" s="36" t="n"/>
      <c r="F404" s="36" t="n"/>
      <c r="G404" s="18">
        <f>IF(OR(E404="",F404=""),"",F404-E404)</f>
        <v/>
      </c>
      <c r="H404" s="37" t="n"/>
      <c r="I404" s="38" t="n"/>
      <c r="J404" s="38" t="n"/>
      <c r="K404" s="38" t="n"/>
      <c r="L404" s="31">
        <f>IF(E404="","",N(I404)+N(J404)-N(K404))</f>
        <v/>
      </c>
      <c r="M404" s="39" t="n"/>
      <c r="N404" s="27">
        <f>IF(E404="","",IF(TODAY()&lt;E404,"Upcoming",IF(TODAY()&lt;F404,"Staying now",IF(M404="Yes","Checked out","Payout not received"))))</f>
        <v/>
      </c>
      <c r="O404" s="35" t="n"/>
      <c r="P404" s="1" t="n"/>
      <c r="Q404">
        <f>IF(N(G404)&gt;0,L404/G404,0)</f>
        <v/>
      </c>
      <c r="R404">
        <f>IF(N(G404)&gt;0,N(I404)/G404,0)</f>
        <v/>
      </c>
      <c r="S404">
        <f>IF(OR($E404="",$F404=""),0,MAX(0,MIN($F404,DATE(Dashboard!$C$4,2,1))-MAX($E404,DATE(Dashboard!$C$4,1,1))))</f>
        <v/>
      </c>
      <c r="T404">
        <f>IF(OR($E404="",$F404=""),0,MAX(0,MIN($F404,DATE(Dashboard!$C$4,3,1))-MAX($E404,DATE(Dashboard!$C$4,2,1))))</f>
        <v/>
      </c>
      <c r="U404">
        <f>IF(OR($E404="",$F404=""),0,MAX(0,MIN($F404,DATE(Dashboard!$C$4,4,1))-MAX($E404,DATE(Dashboard!$C$4,3,1))))</f>
        <v/>
      </c>
      <c r="V404">
        <f>IF(OR($E404="",$F404=""),0,MAX(0,MIN($F404,DATE(Dashboard!$C$4,5,1))-MAX($E404,DATE(Dashboard!$C$4,4,1))))</f>
        <v/>
      </c>
      <c r="W404">
        <f>IF(OR($E404="",$F404=""),0,MAX(0,MIN($F404,DATE(Dashboard!$C$4,6,1))-MAX($E404,DATE(Dashboard!$C$4,5,1))))</f>
        <v/>
      </c>
      <c r="X404">
        <f>IF(OR($E404="",$F404=""),0,MAX(0,MIN($F404,DATE(Dashboard!$C$4,7,1))-MAX($E404,DATE(Dashboard!$C$4,6,1))))</f>
        <v/>
      </c>
      <c r="Y404">
        <f>IF(OR($E404="",$F404=""),0,MAX(0,MIN($F404,DATE(Dashboard!$C$4,8,1))-MAX($E404,DATE(Dashboard!$C$4,7,1))))</f>
        <v/>
      </c>
      <c r="Z404">
        <f>IF(OR($E404="",$F404=""),0,MAX(0,MIN($F404,DATE(Dashboard!$C$4,9,1))-MAX($E404,DATE(Dashboard!$C$4,8,1))))</f>
        <v/>
      </c>
      <c r="AA404">
        <f>IF(OR($E404="",$F404=""),0,MAX(0,MIN($F404,DATE(Dashboard!$C$4,10,1))-MAX($E404,DATE(Dashboard!$C$4,9,1))))</f>
        <v/>
      </c>
      <c r="AB404">
        <f>IF(OR($E404="",$F404=""),0,MAX(0,MIN($F404,DATE(Dashboard!$C$4,11,1))-MAX($E404,DATE(Dashboard!$C$4,10,1))))</f>
        <v/>
      </c>
      <c r="AC404">
        <f>IF(OR($E404="",$F404=""),0,MAX(0,MIN($F404,DATE(Dashboard!$C$4,12,1))-MAX($E404,DATE(Dashboard!$C$4,11,1))))</f>
        <v/>
      </c>
      <c r="AD404">
        <f>IF(OR($E404="",$F404=""),0,MAX(0,MIN($F404,DATE(Dashboard!$C$4,13,1))-MAX($E404,DATE(Dashboard!$C$4,12,1))))</f>
        <v/>
      </c>
      <c r="AE404">
        <f>SUM(S404:AD404)</f>
        <v/>
      </c>
      <c r="AF404">
        <f>Q404*AE404</f>
        <v/>
      </c>
      <c r="AG404">
        <f>R404*AE404</f>
        <v/>
      </c>
      <c r="AH404">
        <f>SUMPRODUCT(S404:AD404,--(COLUMN(S404:AD404)-COLUMN(S404)+1&lt;=Dashboard!$N$1))</f>
        <v/>
      </c>
      <c r="AI404">
        <f>IF(OR(E404="",E404&lt;TODAY()),"",E404+ROW()/100000)</f>
        <v/>
      </c>
      <c r="AJ404">
        <f>IF(OR(F404="",F404&lt;TODAY()),"",F404+ROW()/100000)</f>
        <v/>
      </c>
    </row>
    <row r="405">
      <c r="A405" s="1" t="n"/>
      <c r="B405" s="35" t="n"/>
      <c r="C405" s="35" t="n"/>
      <c r="D405" s="35" t="n"/>
      <c r="E405" s="36" t="n"/>
      <c r="F405" s="36" t="n"/>
      <c r="G405" s="18">
        <f>IF(OR(E405="",F405=""),"",F405-E405)</f>
        <v/>
      </c>
      <c r="H405" s="37" t="n"/>
      <c r="I405" s="38" t="n"/>
      <c r="J405" s="38" t="n"/>
      <c r="K405" s="38" t="n"/>
      <c r="L405" s="31">
        <f>IF(E405="","",N(I405)+N(J405)-N(K405))</f>
        <v/>
      </c>
      <c r="M405" s="39" t="n"/>
      <c r="N405" s="27">
        <f>IF(E405="","",IF(TODAY()&lt;E405,"Upcoming",IF(TODAY()&lt;F405,"Staying now",IF(M405="Yes","Checked out","Payout not received"))))</f>
        <v/>
      </c>
      <c r="O405" s="35" t="n"/>
      <c r="P405" s="1" t="n"/>
      <c r="Q405">
        <f>IF(N(G405)&gt;0,L405/G405,0)</f>
        <v/>
      </c>
      <c r="R405">
        <f>IF(N(G405)&gt;0,N(I405)/G405,0)</f>
        <v/>
      </c>
      <c r="S405">
        <f>IF(OR($E405="",$F405=""),0,MAX(0,MIN($F405,DATE(Dashboard!$C$4,2,1))-MAX($E405,DATE(Dashboard!$C$4,1,1))))</f>
        <v/>
      </c>
      <c r="T405">
        <f>IF(OR($E405="",$F405=""),0,MAX(0,MIN($F405,DATE(Dashboard!$C$4,3,1))-MAX($E405,DATE(Dashboard!$C$4,2,1))))</f>
        <v/>
      </c>
      <c r="U405">
        <f>IF(OR($E405="",$F405=""),0,MAX(0,MIN($F405,DATE(Dashboard!$C$4,4,1))-MAX($E405,DATE(Dashboard!$C$4,3,1))))</f>
        <v/>
      </c>
      <c r="V405">
        <f>IF(OR($E405="",$F405=""),0,MAX(0,MIN($F405,DATE(Dashboard!$C$4,5,1))-MAX($E405,DATE(Dashboard!$C$4,4,1))))</f>
        <v/>
      </c>
      <c r="W405">
        <f>IF(OR($E405="",$F405=""),0,MAX(0,MIN($F405,DATE(Dashboard!$C$4,6,1))-MAX($E405,DATE(Dashboard!$C$4,5,1))))</f>
        <v/>
      </c>
      <c r="X405">
        <f>IF(OR($E405="",$F405=""),0,MAX(0,MIN($F405,DATE(Dashboard!$C$4,7,1))-MAX($E405,DATE(Dashboard!$C$4,6,1))))</f>
        <v/>
      </c>
      <c r="Y405">
        <f>IF(OR($E405="",$F405=""),0,MAX(0,MIN($F405,DATE(Dashboard!$C$4,8,1))-MAX($E405,DATE(Dashboard!$C$4,7,1))))</f>
        <v/>
      </c>
      <c r="Z405">
        <f>IF(OR($E405="",$F405=""),0,MAX(0,MIN($F405,DATE(Dashboard!$C$4,9,1))-MAX($E405,DATE(Dashboard!$C$4,8,1))))</f>
        <v/>
      </c>
      <c r="AA405">
        <f>IF(OR($E405="",$F405=""),0,MAX(0,MIN($F405,DATE(Dashboard!$C$4,10,1))-MAX($E405,DATE(Dashboard!$C$4,9,1))))</f>
        <v/>
      </c>
      <c r="AB405">
        <f>IF(OR($E405="",$F405=""),0,MAX(0,MIN($F405,DATE(Dashboard!$C$4,11,1))-MAX($E405,DATE(Dashboard!$C$4,10,1))))</f>
        <v/>
      </c>
      <c r="AC405">
        <f>IF(OR($E405="",$F405=""),0,MAX(0,MIN($F405,DATE(Dashboard!$C$4,12,1))-MAX($E405,DATE(Dashboard!$C$4,11,1))))</f>
        <v/>
      </c>
      <c r="AD405">
        <f>IF(OR($E405="",$F405=""),0,MAX(0,MIN($F405,DATE(Dashboard!$C$4,13,1))-MAX($E405,DATE(Dashboard!$C$4,12,1))))</f>
        <v/>
      </c>
      <c r="AE405">
        <f>SUM(S405:AD405)</f>
        <v/>
      </c>
      <c r="AF405">
        <f>Q405*AE405</f>
        <v/>
      </c>
      <c r="AG405">
        <f>R405*AE405</f>
        <v/>
      </c>
      <c r="AH405">
        <f>SUMPRODUCT(S405:AD405,--(COLUMN(S405:AD405)-COLUMN(S405)+1&lt;=Dashboard!$N$1))</f>
        <v/>
      </c>
      <c r="AI405">
        <f>IF(OR(E405="",E405&lt;TODAY()),"",E405+ROW()/100000)</f>
        <v/>
      </c>
      <c r="AJ405">
        <f>IF(OR(F405="",F405&lt;TODAY()),"",F405+ROW()/100000)</f>
        <v/>
      </c>
    </row>
    <row r="406">
      <c r="A406" s="1" t="n"/>
      <c r="B406" s="35" t="n"/>
      <c r="C406" s="35" t="n"/>
      <c r="D406" s="35" t="n"/>
      <c r="E406" s="36" t="n"/>
      <c r="F406" s="36" t="n"/>
      <c r="G406" s="18">
        <f>IF(OR(E406="",F406=""),"",F406-E406)</f>
        <v/>
      </c>
      <c r="H406" s="37" t="n"/>
      <c r="I406" s="38" t="n"/>
      <c r="J406" s="38" t="n"/>
      <c r="K406" s="38" t="n"/>
      <c r="L406" s="31">
        <f>IF(E406="","",N(I406)+N(J406)-N(K406))</f>
        <v/>
      </c>
      <c r="M406" s="39" t="n"/>
      <c r="N406" s="27">
        <f>IF(E406="","",IF(TODAY()&lt;E406,"Upcoming",IF(TODAY()&lt;F406,"Staying now",IF(M406="Yes","Checked out","Payout not received"))))</f>
        <v/>
      </c>
      <c r="O406" s="35" t="n"/>
      <c r="P406" s="1" t="n"/>
      <c r="Q406">
        <f>IF(N(G406)&gt;0,L406/G406,0)</f>
        <v/>
      </c>
      <c r="R406">
        <f>IF(N(G406)&gt;0,N(I406)/G406,0)</f>
        <v/>
      </c>
      <c r="S406">
        <f>IF(OR($E406="",$F406=""),0,MAX(0,MIN($F406,DATE(Dashboard!$C$4,2,1))-MAX($E406,DATE(Dashboard!$C$4,1,1))))</f>
        <v/>
      </c>
      <c r="T406">
        <f>IF(OR($E406="",$F406=""),0,MAX(0,MIN($F406,DATE(Dashboard!$C$4,3,1))-MAX($E406,DATE(Dashboard!$C$4,2,1))))</f>
        <v/>
      </c>
      <c r="U406">
        <f>IF(OR($E406="",$F406=""),0,MAX(0,MIN($F406,DATE(Dashboard!$C$4,4,1))-MAX($E406,DATE(Dashboard!$C$4,3,1))))</f>
        <v/>
      </c>
      <c r="V406">
        <f>IF(OR($E406="",$F406=""),0,MAX(0,MIN($F406,DATE(Dashboard!$C$4,5,1))-MAX($E406,DATE(Dashboard!$C$4,4,1))))</f>
        <v/>
      </c>
      <c r="W406">
        <f>IF(OR($E406="",$F406=""),0,MAX(0,MIN($F406,DATE(Dashboard!$C$4,6,1))-MAX($E406,DATE(Dashboard!$C$4,5,1))))</f>
        <v/>
      </c>
      <c r="X406">
        <f>IF(OR($E406="",$F406=""),0,MAX(0,MIN($F406,DATE(Dashboard!$C$4,7,1))-MAX($E406,DATE(Dashboard!$C$4,6,1))))</f>
        <v/>
      </c>
      <c r="Y406">
        <f>IF(OR($E406="",$F406=""),0,MAX(0,MIN($F406,DATE(Dashboard!$C$4,8,1))-MAX($E406,DATE(Dashboard!$C$4,7,1))))</f>
        <v/>
      </c>
      <c r="Z406">
        <f>IF(OR($E406="",$F406=""),0,MAX(0,MIN($F406,DATE(Dashboard!$C$4,9,1))-MAX($E406,DATE(Dashboard!$C$4,8,1))))</f>
        <v/>
      </c>
      <c r="AA406">
        <f>IF(OR($E406="",$F406=""),0,MAX(0,MIN($F406,DATE(Dashboard!$C$4,10,1))-MAX($E406,DATE(Dashboard!$C$4,9,1))))</f>
        <v/>
      </c>
      <c r="AB406">
        <f>IF(OR($E406="",$F406=""),0,MAX(0,MIN($F406,DATE(Dashboard!$C$4,11,1))-MAX($E406,DATE(Dashboard!$C$4,10,1))))</f>
        <v/>
      </c>
      <c r="AC406">
        <f>IF(OR($E406="",$F406=""),0,MAX(0,MIN($F406,DATE(Dashboard!$C$4,12,1))-MAX($E406,DATE(Dashboard!$C$4,11,1))))</f>
        <v/>
      </c>
      <c r="AD406">
        <f>IF(OR($E406="",$F406=""),0,MAX(0,MIN($F406,DATE(Dashboard!$C$4,13,1))-MAX($E406,DATE(Dashboard!$C$4,12,1))))</f>
        <v/>
      </c>
      <c r="AE406">
        <f>SUM(S406:AD406)</f>
        <v/>
      </c>
      <c r="AF406">
        <f>Q406*AE406</f>
        <v/>
      </c>
      <c r="AG406">
        <f>R406*AE406</f>
        <v/>
      </c>
      <c r="AH406">
        <f>SUMPRODUCT(S406:AD406,--(COLUMN(S406:AD406)-COLUMN(S406)+1&lt;=Dashboard!$N$1))</f>
        <v/>
      </c>
      <c r="AI406">
        <f>IF(OR(E406="",E406&lt;TODAY()),"",E406+ROW()/100000)</f>
        <v/>
      </c>
      <c r="AJ406">
        <f>IF(OR(F406="",F406&lt;TODAY()),"",F406+ROW()/100000)</f>
        <v/>
      </c>
    </row>
    <row r="407">
      <c r="A407" s="1" t="n"/>
      <c r="B407" s="35" t="n"/>
      <c r="C407" s="35" t="n"/>
      <c r="D407" s="35" t="n"/>
      <c r="E407" s="36" t="n"/>
      <c r="F407" s="36" t="n"/>
      <c r="G407" s="18">
        <f>IF(OR(E407="",F407=""),"",F407-E407)</f>
        <v/>
      </c>
      <c r="H407" s="37" t="n"/>
      <c r="I407" s="38" t="n"/>
      <c r="J407" s="38" t="n"/>
      <c r="K407" s="38" t="n"/>
      <c r="L407" s="31">
        <f>IF(E407="","",N(I407)+N(J407)-N(K407))</f>
        <v/>
      </c>
      <c r="M407" s="39" t="n"/>
      <c r="N407" s="27">
        <f>IF(E407="","",IF(TODAY()&lt;E407,"Upcoming",IF(TODAY()&lt;F407,"Staying now",IF(M407="Yes","Checked out","Payout not received"))))</f>
        <v/>
      </c>
      <c r="O407" s="35" t="n"/>
      <c r="P407" s="1" t="n"/>
      <c r="Q407">
        <f>IF(N(G407)&gt;0,L407/G407,0)</f>
        <v/>
      </c>
      <c r="R407">
        <f>IF(N(G407)&gt;0,N(I407)/G407,0)</f>
        <v/>
      </c>
      <c r="S407">
        <f>IF(OR($E407="",$F407=""),0,MAX(0,MIN($F407,DATE(Dashboard!$C$4,2,1))-MAX($E407,DATE(Dashboard!$C$4,1,1))))</f>
        <v/>
      </c>
      <c r="T407">
        <f>IF(OR($E407="",$F407=""),0,MAX(0,MIN($F407,DATE(Dashboard!$C$4,3,1))-MAX($E407,DATE(Dashboard!$C$4,2,1))))</f>
        <v/>
      </c>
      <c r="U407">
        <f>IF(OR($E407="",$F407=""),0,MAX(0,MIN($F407,DATE(Dashboard!$C$4,4,1))-MAX($E407,DATE(Dashboard!$C$4,3,1))))</f>
        <v/>
      </c>
      <c r="V407">
        <f>IF(OR($E407="",$F407=""),0,MAX(0,MIN($F407,DATE(Dashboard!$C$4,5,1))-MAX($E407,DATE(Dashboard!$C$4,4,1))))</f>
        <v/>
      </c>
      <c r="W407">
        <f>IF(OR($E407="",$F407=""),0,MAX(0,MIN($F407,DATE(Dashboard!$C$4,6,1))-MAX($E407,DATE(Dashboard!$C$4,5,1))))</f>
        <v/>
      </c>
      <c r="X407">
        <f>IF(OR($E407="",$F407=""),0,MAX(0,MIN($F407,DATE(Dashboard!$C$4,7,1))-MAX($E407,DATE(Dashboard!$C$4,6,1))))</f>
        <v/>
      </c>
      <c r="Y407">
        <f>IF(OR($E407="",$F407=""),0,MAX(0,MIN($F407,DATE(Dashboard!$C$4,8,1))-MAX($E407,DATE(Dashboard!$C$4,7,1))))</f>
        <v/>
      </c>
      <c r="Z407">
        <f>IF(OR($E407="",$F407=""),0,MAX(0,MIN($F407,DATE(Dashboard!$C$4,9,1))-MAX($E407,DATE(Dashboard!$C$4,8,1))))</f>
        <v/>
      </c>
      <c r="AA407">
        <f>IF(OR($E407="",$F407=""),0,MAX(0,MIN($F407,DATE(Dashboard!$C$4,10,1))-MAX($E407,DATE(Dashboard!$C$4,9,1))))</f>
        <v/>
      </c>
      <c r="AB407">
        <f>IF(OR($E407="",$F407=""),0,MAX(0,MIN($F407,DATE(Dashboard!$C$4,11,1))-MAX($E407,DATE(Dashboard!$C$4,10,1))))</f>
        <v/>
      </c>
      <c r="AC407">
        <f>IF(OR($E407="",$F407=""),0,MAX(0,MIN($F407,DATE(Dashboard!$C$4,12,1))-MAX($E407,DATE(Dashboard!$C$4,11,1))))</f>
        <v/>
      </c>
      <c r="AD407">
        <f>IF(OR($E407="",$F407=""),0,MAX(0,MIN($F407,DATE(Dashboard!$C$4,13,1))-MAX($E407,DATE(Dashboard!$C$4,12,1))))</f>
        <v/>
      </c>
      <c r="AE407">
        <f>SUM(S407:AD407)</f>
        <v/>
      </c>
      <c r="AF407">
        <f>Q407*AE407</f>
        <v/>
      </c>
      <c r="AG407">
        <f>R407*AE407</f>
        <v/>
      </c>
      <c r="AH407">
        <f>SUMPRODUCT(S407:AD407,--(COLUMN(S407:AD407)-COLUMN(S407)+1&lt;=Dashboard!$N$1))</f>
        <v/>
      </c>
      <c r="AI407">
        <f>IF(OR(E407="",E407&lt;TODAY()),"",E407+ROW()/100000)</f>
        <v/>
      </c>
      <c r="AJ407">
        <f>IF(OR(F407="",F407&lt;TODAY()),"",F407+ROW()/100000)</f>
        <v/>
      </c>
    </row>
    <row r="408">
      <c r="A408" s="1" t="n"/>
      <c r="B408" s="35" t="n"/>
      <c r="C408" s="35" t="n"/>
      <c r="D408" s="35" t="n"/>
      <c r="E408" s="36" t="n"/>
      <c r="F408" s="36" t="n"/>
      <c r="G408" s="18">
        <f>IF(OR(E408="",F408=""),"",F408-E408)</f>
        <v/>
      </c>
      <c r="H408" s="37" t="n"/>
      <c r="I408" s="38" t="n"/>
      <c r="J408" s="38" t="n"/>
      <c r="K408" s="38" t="n"/>
      <c r="L408" s="31">
        <f>IF(E408="","",N(I408)+N(J408)-N(K408))</f>
        <v/>
      </c>
      <c r="M408" s="39" t="n"/>
      <c r="N408" s="27">
        <f>IF(E408="","",IF(TODAY()&lt;E408,"Upcoming",IF(TODAY()&lt;F408,"Staying now",IF(M408="Yes","Checked out","Payout not received"))))</f>
        <v/>
      </c>
      <c r="O408" s="35" t="n"/>
      <c r="P408" s="1" t="n"/>
      <c r="Q408">
        <f>IF(N(G408)&gt;0,L408/G408,0)</f>
        <v/>
      </c>
      <c r="R408">
        <f>IF(N(G408)&gt;0,N(I408)/G408,0)</f>
        <v/>
      </c>
      <c r="S408">
        <f>IF(OR($E408="",$F408=""),0,MAX(0,MIN($F408,DATE(Dashboard!$C$4,2,1))-MAX($E408,DATE(Dashboard!$C$4,1,1))))</f>
        <v/>
      </c>
      <c r="T408">
        <f>IF(OR($E408="",$F408=""),0,MAX(0,MIN($F408,DATE(Dashboard!$C$4,3,1))-MAX($E408,DATE(Dashboard!$C$4,2,1))))</f>
        <v/>
      </c>
      <c r="U408">
        <f>IF(OR($E408="",$F408=""),0,MAX(0,MIN($F408,DATE(Dashboard!$C$4,4,1))-MAX($E408,DATE(Dashboard!$C$4,3,1))))</f>
        <v/>
      </c>
      <c r="V408">
        <f>IF(OR($E408="",$F408=""),0,MAX(0,MIN($F408,DATE(Dashboard!$C$4,5,1))-MAX($E408,DATE(Dashboard!$C$4,4,1))))</f>
        <v/>
      </c>
      <c r="W408">
        <f>IF(OR($E408="",$F408=""),0,MAX(0,MIN($F408,DATE(Dashboard!$C$4,6,1))-MAX($E408,DATE(Dashboard!$C$4,5,1))))</f>
        <v/>
      </c>
      <c r="X408">
        <f>IF(OR($E408="",$F408=""),0,MAX(0,MIN($F408,DATE(Dashboard!$C$4,7,1))-MAX($E408,DATE(Dashboard!$C$4,6,1))))</f>
        <v/>
      </c>
      <c r="Y408">
        <f>IF(OR($E408="",$F408=""),0,MAX(0,MIN($F408,DATE(Dashboard!$C$4,8,1))-MAX($E408,DATE(Dashboard!$C$4,7,1))))</f>
        <v/>
      </c>
      <c r="Z408">
        <f>IF(OR($E408="",$F408=""),0,MAX(0,MIN($F408,DATE(Dashboard!$C$4,9,1))-MAX($E408,DATE(Dashboard!$C$4,8,1))))</f>
        <v/>
      </c>
      <c r="AA408">
        <f>IF(OR($E408="",$F408=""),0,MAX(0,MIN($F408,DATE(Dashboard!$C$4,10,1))-MAX($E408,DATE(Dashboard!$C$4,9,1))))</f>
        <v/>
      </c>
      <c r="AB408">
        <f>IF(OR($E408="",$F408=""),0,MAX(0,MIN($F408,DATE(Dashboard!$C$4,11,1))-MAX($E408,DATE(Dashboard!$C$4,10,1))))</f>
        <v/>
      </c>
      <c r="AC408">
        <f>IF(OR($E408="",$F408=""),0,MAX(0,MIN($F408,DATE(Dashboard!$C$4,12,1))-MAX($E408,DATE(Dashboard!$C$4,11,1))))</f>
        <v/>
      </c>
      <c r="AD408">
        <f>IF(OR($E408="",$F408=""),0,MAX(0,MIN($F408,DATE(Dashboard!$C$4,13,1))-MAX($E408,DATE(Dashboard!$C$4,12,1))))</f>
        <v/>
      </c>
      <c r="AE408">
        <f>SUM(S408:AD408)</f>
        <v/>
      </c>
      <c r="AF408">
        <f>Q408*AE408</f>
        <v/>
      </c>
      <c r="AG408">
        <f>R408*AE408</f>
        <v/>
      </c>
      <c r="AH408">
        <f>SUMPRODUCT(S408:AD408,--(COLUMN(S408:AD408)-COLUMN(S408)+1&lt;=Dashboard!$N$1))</f>
        <v/>
      </c>
      <c r="AI408">
        <f>IF(OR(E408="",E408&lt;TODAY()),"",E408+ROW()/100000)</f>
        <v/>
      </c>
      <c r="AJ408">
        <f>IF(OR(F408="",F408&lt;TODAY()),"",F408+ROW()/100000)</f>
        <v/>
      </c>
    </row>
    <row r="409">
      <c r="A409" s="1" t="n"/>
      <c r="B409" s="35" t="n"/>
      <c r="C409" s="35" t="n"/>
      <c r="D409" s="35" t="n"/>
      <c r="E409" s="36" t="n"/>
      <c r="F409" s="36" t="n"/>
      <c r="G409" s="18">
        <f>IF(OR(E409="",F409=""),"",F409-E409)</f>
        <v/>
      </c>
      <c r="H409" s="37" t="n"/>
      <c r="I409" s="38" t="n"/>
      <c r="J409" s="38" t="n"/>
      <c r="K409" s="38" t="n"/>
      <c r="L409" s="31">
        <f>IF(E409="","",N(I409)+N(J409)-N(K409))</f>
        <v/>
      </c>
      <c r="M409" s="39" t="n"/>
      <c r="N409" s="27">
        <f>IF(E409="","",IF(TODAY()&lt;E409,"Upcoming",IF(TODAY()&lt;F409,"Staying now",IF(M409="Yes","Checked out","Payout not received"))))</f>
        <v/>
      </c>
      <c r="O409" s="35" t="n"/>
      <c r="P409" s="1" t="n"/>
      <c r="Q409">
        <f>IF(N(G409)&gt;0,L409/G409,0)</f>
        <v/>
      </c>
      <c r="R409">
        <f>IF(N(G409)&gt;0,N(I409)/G409,0)</f>
        <v/>
      </c>
      <c r="S409">
        <f>IF(OR($E409="",$F409=""),0,MAX(0,MIN($F409,DATE(Dashboard!$C$4,2,1))-MAX($E409,DATE(Dashboard!$C$4,1,1))))</f>
        <v/>
      </c>
      <c r="T409">
        <f>IF(OR($E409="",$F409=""),0,MAX(0,MIN($F409,DATE(Dashboard!$C$4,3,1))-MAX($E409,DATE(Dashboard!$C$4,2,1))))</f>
        <v/>
      </c>
      <c r="U409">
        <f>IF(OR($E409="",$F409=""),0,MAX(0,MIN($F409,DATE(Dashboard!$C$4,4,1))-MAX($E409,DATE(Dashboard!$C$4,3,1))))</f>
        <v/>
      </c>
      <c r="V409">
        <f>IF(OR($E409="",$F409=""),0,MAX(0,MIN($F409,DATE(Dashboard!$C$4,5,1))-MAX($E409,DATE(Dashboard!$C$4,4,1))))</f>
        <v/>
      </c>
      <c r="W409">
        <f>IF(OR($E409="",$F409=""),0,MAX(0,MIN($F409,DATE(Dashboard!$C$4,6,1))-MAX($E409,DATE(Dashboard!$C$4,5,1))))</f>
        <v/>
      </c>
      <c r="X409">
        <f>IF(OR($E409="",$F409=""),0,MAX(0,MIN($F409,DATE(Dashboard!$C$4,7,1))-MAX($E409,DATE(Dashboard!$C$4,6,1))))</f>
        <v/>
      </c>
      <c r="Y409">
        <f>IF(OR($E409="",$F409=""),0,MAX(0,MIN($F409,DATE(Dashboard!$C$4,8,1))-MAX($E409,DATE(Dashboard!$C$4,7,1))))</f>
        <v/>
      </c>
      <c r="Z409">
        <f>IF(OR($E409="",$F409=""),0,MAX(0,MIN($F409,DATE(Dashboard!$C$4,9,1))-MAX($E409,DATE(Dashboard!$C$4,8,1))))</f>
        <v/>
      </c>
      <c r="AA409">
        <f>IF(OR($E409="",$F409=""),0,MAX(0,MIN($F409,DATE(Dashboard!$C$4,10,1))-MAX($E409,DATE(Dashboard!$C$4,9,1))))</f>
        <v/>
      </c>
      <c r="AB409">
        <f>IF(OR($E409="",$F409=""),0,MAX(0,MIN($F409,DATE(Dashboard!$C$4,11,1))-MAX($E409,DATE(Dashboard!$C$4,10,1))))</f>
        <v/>
      </c>
      <c r="AC409">
        <f>IF(OR($E409="",$F409=""),0,MAX(0,MIN($F409,DATE(Dashboard!$C$4,12,1))-MAX($E409,DATE(Dashboard!$C$4,11,1))))</f>
        <v/>
      </c>
      <c r="AD409">
        <f>IF(OR($E409="",$F409=""),0,MAX(0,MIN($F409,DATE(Dashboard!$C$4,13,1))-MAX($E409,DATE(Dashboard!$C$4,12,1))))</f>
        <v/>
      </c>
      <c r="AE409">
        <f>SUM(S409:AD409)</f>
        <v/>
      </c>
      <c r="AF409">
        <f>Q409*AE409</f>
        <v/>
      </c>
      <c r="AG409">
        <f>R409*AE409</f>
        <v/>
      </c>
      <c r="AH409">
        <f>SUMPRODUCT(S409:AD409,--(COLUMN(S409:AD409)-COLUMN(S409)+1&lt;=Dashboard!$N$1))</f>
        <v/>
      </c>
      <c r="AI409">
        <f>IF(OR(E409="",E409&lt;TODAY()),"",E409+ROW()/100000)</f>
        <v/>
      </c>
      <c r="AJ409">
        <f>IF(OR(F409="",F409&lt;TODAY()),"",F409+ROW()/100000)</f>
        <v/>
      </c>
    </row>
    <row r="410">
      <c r="A410" s="1" t="n"/>
      <c r="B410" s="35" t="n"/>
      <c r="C410" s="35" t="n"/>
      <c r="D410" s="35" t="n"/>
      <c r="E410" s="36" t="n"/>
      <c r="F410" s="36" t="n"/>
      <c r="G410" s="18">
        <f>IF(OR(E410="",F410=""),"",F410-E410)</f>
        <v/>
      </c>
      <c r="H410" s="37" t="n"/>
      <c r="I410" s="38" t="n"/>
      <c r="J410" s="38" t="n"/>
      <c r="K410" s="38" t="n"/>
      <c r="L410" s="31">
        <f>IF(E410="","",N(I410)+N(J410)-N(K410))</f>
        <v/>
      </c>
      <c r="M410" s="39" t="n"/>
      <c r="N410" s="27">
        <f>IF(E410="","",IF(TODAY()&lt;E410,"Upcoming",IF(TODAY()&lt;F410,"Staying now",IF(M410="Yes","Checked out","Payout not received"))))</f>
        <v/>
      </c>
      <c r="O410" s="35" t="n"/>
      <c r="P410" s="1" t="n"/>
      <c r="Q410">
        <f>IF(N(G410)&gt;0,L410/G410,0)</f>
        <v/>
      </c>
      <c r="R410">
        <f>IF(N(G410)&gt;0,N(I410)/G410,0)</f>
        <v/>
      </c>
      <c r="S410">
        <f>IF(OR($E410="",$F410=""),0,MAX(0,MIN($F410,DATE(Dashboard!$C$4,2,1))-MAX($E410,DATE(Dashboard!$C$4,1,1))))</f>
        <v/>
      </c>
      <c r="T410">
        <f>IF(OR($E410="",$F410=""),0,MAX(0,MIN($F410,DATE(Dashboard!$C$4,3,1))-MAX($E410,DATE(Dashboard!$C$4,2,1))))</f>
        <v/>
      </c>
      <c r="U410">
        <f>IF(OR($E410="",$F410=""),0,MAX(0,MIN($F410,DATE(Dashboard!$C$4,4,1))-MAX($E410,DATE(Dashboard!$C$4,3,1))))</f>
        <v/>
      </c>
      <c r="V410">
        <f>IF(OR($E410="",$F410=""),0,MAX(0,MIN($F410,DATE(Dashboard!$C$4,5,1))-MAX($E410,DATE(Dashboard!$C$4,4,1))))</f>
        <v/>
      </c>
      <c r="W410">
        <f>IF(OR($E410="",$F410=""),0,MAX(0,MIN($F410,DATE(Dashboard!$C$4,6,1))-MAX($E410,DATE(Dashboard!$C$4,5,1))))</f>
        <v/>
      </c>
      <c r="X410">
        <f>IF(OR($E410="",$F410=""),0,MAX(0,MIN($F410,DATE(Dashboard!$C$4,7,1))-MAX($E410,DATE(Dashboard!$C$4,6,1))))</f>
        <v/>
      </c>
      <c r="Y410">
        <f>IF(OR($E410="",$F410=""),0,MAX(0,MIN($F410,DATE(Dashboard!$C$4,8,1))-MAX($E410,DATE(Dashboard!$C$4,7,1))))</f>
        <v/>
      </c>
      <c r="Z410">
        <f>IF(OR($E410="",$F410=""),0,MAX(0,MIN($F410,DATE(Dashboard!$C$4,9,1))-MAX($E410,DATE(Dashboard!$C$4,8,1))))</f>
        <v/>
      </c>
      <c r="AA410">
        <f>IF(OR($E410="",$F410=""),0,MAX(0,MIN($F410,DATE(Dashboard!$C$4,10,1))-MAX($E410,DATE(Dashboard!$C$4,9,1))))</f>
        <v/>
      </c>
      <c r="AB410">
        <f>IF(OR($E410="",$F410=""),0,MAX(0,MIN($F410,DATE(Dashboard!$C$4,11,1))-MAX($E410,DATE(Dashboard!$C$4,10,1))))</f>
        <v/>
      </c>
      <c r="AC410">
        <f>IF(OR($E410="",$F410=""),0,MAX(0,MIN($F410,DATE(Dashboard!$C$4,12,1))-MAX($E410,DATE(Dashboard!$C$4,11,1))))</f>
        <v/>
      </c>
      <c r="AD410">
        <f>IF(OR($E410="",$F410=""),0,MAX(0,MIN($F410,DATE(Dashboard!$C$4,13,1))-MAX($E410,DATE(Dashboard!$C$4,12,1))))</f>
        <v/>
      </c>
      <c r="AE410">
        <f>SUM(S410:AD410)</f>
        <v/>
      </c>
      <c r="AF410">
        <f>Q410*AE410</f>
        <v/>
      </c>
      <c r="AG410">
        <f>R410*AE410</f>
        <v/>
      </c>
      <c r="AH410">
        <f>SUMPRODUCT(S410:AD410,--(COLUMN(S410:AD410)-COLUMN(S410)+1&lt;=Dashboard!$N$1))</f>
        <v/>
      </c>
      <c r="AI410">
        <f>IF(OR(E410="",E410&lt;TODAY()),"",E410+ROW()/100000)</f>
        <v/>
      </c>
      <c r="AJ410">
        <f>IF(OR(F410="",F410&lt;TODAY()),"",F410+ROW()/100000)</f>
        <v/>
      </c>
    </row>
    <row r="411">
      <c r="A411" s="1" t="n"/>
      <c r="B411" s="35" t="n"/>
      <c r="C411" s="35" t="n"/>
      <c r="D411" s="35" t="n"/>
      <c r="E411" s="36" t="n"/>
      <c r="F411" s="36" t="n"/>
      <c r="G411" s="18">
        <f>IF(OR(E411="",F411=""),"",F411-E411)</f>
        <v/>
      </c>
      <c r="H411" s="37" t="n"/>
      <c r="I411" s="38" t="n"/>
      <c r="J411" s="38" t="n"/>
      <c r="K411" s="38" t="n"/>
      <c r="L411" s="31">
        <f>IF(E411="","",N(I411)+N(J411)-N(K411))</f>
        <v/>
      </c>
      <c r="M411" s="39" t="n"/>
      <c r="N411" s="27">
        <f>IF(E411="","",IF(TODAY()&lt;E411,"Upcoming",IF(TODAY()&lt;F411,"Staying now",IF(M411="Yes","Checked out","Payout not received"))))</f>
        <v/>
      </c>
      <c r="O411" s="35" t="n"/>
      <c r="P411" s="1" t="n"/>
      <c r="Q411">
        <f>IF(N(G411)&gt;0,L411/G411,0)</f>
        <v/>
      </c>
      <c r="R411">
        <f>IF(N(G411)&gt;0,N(I411)/G411,0)</f>
        <v/>
      </c>
      <c r="S411">
        <f>IF(OR($E411="",$F411=""),0,MAX(0,MIN($F411,DATE(Dashboard!$C$4,2,1))-MAX($E411,DATE(Dashboard!$C$4,1,1))))</f>
        <v/>
      </c>
      <c r="T411">
        <f>IF(OR($E411="",$F411=""),0,MAX(0,MIN($F411,DATE(Dashboard!$C$4,3,1))-MAX($E411,DATE(Dashboard!$C$4,2,1))))</f>
        <v/>
      </c>
      <c r="U411">
        <f>IF(OR($E411="",$F411=""),0,MAX(0,MIN($F411,DATE(Dashboard!$C$4,4,1))-MAX($E411,DATE(Dashboard!$C$4,3,1))))</f>
        <v/>
      </c>
      <c r="V411">
        <f>IF(OR($E411="",$F411=""),0,MAX(0,MIN($F411,DATE(Dashboard!$C$4,5,1))-MAX($E411,DATE(Dashboard!$C$4,4,1))))</f>
        <v/>
      </c>
      <c r="W411">
        <f>IF(OR($E411="",$F411=""),0,MAX(0,MIN($F411,DATE(Dashboard!$C$4,6,1))-MAX($E411,DATE(Dashboard!$C$4,5,1))))</f>
        <v/>
      </c>
      <c r="X411">
        <f>IF(OR($E411="",$F411=""),0,MAX(0,MIN($F411,DATE(Dashboard!$C$4,7,1))-MAX($E411,DATE(Dashboard!$C$4,6,1))))</f>
        <v/>
      </c>
      <c r="Y411">
        <f>IF(OR($E411="",$F411=""),0,MAX(0,MIN($F411,DATE(Dashboard!$C$4,8,1))-MAX($E411,DATE(Dashboard!$C$4,7,1))))</f>
        <v/>
      </c>
      <c r="Z411">
        <f>IF(OR($E411="",$F411=""),0,MAX(0,MIN($F411,DATE(Dashboard!$C$4,9,1))-MAX($E411,DATE(Dashboard!$C$4,8,1))))</f>
        <v/>
      </c>
      <c r="AA411">
        <f>IF(OR($E411="",$F411=""),0,MAX(0,MIN($F411,DATE(Dashboard!$C$4,10,1))-MAX($E411,DATE(Dashboard!$C$4,9,1))))</f>
        <v/>
      </c>
      <c r="AB411">
        <f>IF(OR($E411="",$F411=""),0,MAX(0,MIN($F411,DATE(Dashboard!$C$4,11,1))-MAX($E411,DATE(Dashboard!$C$4,10,1))))</f>
        <v/>
      </c>
      <c r="AC411">
        <f>IF(OR($E411="",$F411=""),0,MAX(0,MIN($F411,DATE(Dashboard!$C$4,12,1))-MAX($E411,DATE(Dashboard!$C$4,11,1))))</f>
        <v/>
      </c>
      <c r="AD411">
        <f>IF(OR($E411="",$F411=""),0,MAX(0,MIN($F411,DATE(Dashboard!$C$4,13,1))-MAX($E411,DATE(Dashboard!$C$4,12,1))))</f>
        <v/>
      </c>
      <c r="AE411">
        <f>SUM(S411:AD411)</f>
        <v/>
      </c>
      <c r="AF411">
        <f>Q411*AE411</f>
        <v/>
      </c>
      <c r="AG411">
        <f>R411*AE411</f>
        <v/>
      </c>
      <c r="AH411">
        <f>SUMPRODUCT(S411:AD411,--(COLUMN(S411:AD411)-COLUMN(S411)+1&lt;=Dashboard!$N$1))</f>
        <v/>
      </c>
      <c r="AI411">
        <f>IF(OR(E411="",E411&lt;TODAY()),"",E411+ROW()/100000)</f>
        <v/>
      </c>
      <c r="AJ411">
        <f>IF(OR(F411="",F411&lt;TODAY()),"",F411+ROW()/100000)</f>
        <v/>
      </c>
    </row>
    <row r="412">
      <c r="A412" s="1" t="n"/>
      <c r="B412" s="35" t="n"/>
      <c r="C412" s="35" t="n"/>
      <c r="D412" s="35" t="n"/>
      <c r="E412" s="36" t="n"/>
      <c r="F412" s="36" t="n"/>
      <c r="G412" s="18">
        <f>IF(OR(E412="",F412=""),"",F412-E412)</f>
        <v/>
      </c>
      <c r="H412" s="37" t="n"/>
      <c r="I412" s="38" t="n"/>
      <c r="J412" s="38" t="n"/>
      <c r="K412" s="38" t="n"/>
      <c r="L412" s="31">
        <f>IF(E412="","",N(I412)+N(J412)-N(K412))</f>
        <v/>
      </c>
      <c r="M412" s="39" t="n"/>
      <c r="N412" s="27">
        <f>IF(E412="","",IF(TODAY()&lt;E412,"Upcoming",IF(TODAY()&lt;F412,"Staying now",IF(M412="Yes","Checked out","Payout not received"))))</f>
        <v/>
      </c>
      <c r="O412" s="35" t="n"/>
      <c r="P412" s="1" t="n"/>
      <c r="Q412">
        <f>IF(N(G412)&gt;0,L412/G412,0)</f>
        <v/>
      </c>
      <c r="R412">
        <f>IF(N(G412)&gt;0,N(I412)/G412,0)</f>
        <v/>
      </c>
      <c r="S412">
        <f>IF(OR($E412="",$F412=""),0,MAX(0,MIN($F412,DATE(Dashboard!$C$4,2,1))-MAX($E412,DATE(Dashboard!$C$4,1,1))))</f>
        <v/>
      </c>
      <c r="T412">
        <f>IF(OR($E412="",$F412=""),0,MAX(0,MIN($F412,DATE(Dashboard!$C$4,3,1))-MAX($E412,DATE(Dashboard!$C$4,2,1))))</f>
        <v/>
      </c>
      <c r="U412">
        <f>IF(OR($E412="",$F412=""),0,MAX(0,MIN($F412,DATE(Dashboard!$C$4,4,1))-MAX($E412,DATE(Dashboard!$C$4,3,1))))</f>
        <v/>
      </c>
      <c r="V412">
        <f>IF(OR($E412="",$F412=""),0,MAX(0,MIN($F412,DATE(Dashboard!$C$4,5,1))-MAX($E412,DATE(Dashboard!$C$4,4,1))))</f>
        <v/>
      </c>
      <c r="W412">
        <f>IF(OR($E412="",$F412=""),0,MAX(0,MIN($F412,DATE(Dashboard!$C$4,6,1))-MAX($E412,DATE(Dashboard!$C$4,5,1))))</f>
        <v/>
      </c>
      <c r="X412">
        <f>IF(OR($E412="",$F412=""),0,MAX(0,MIN($F412,DATE(Dashboard!$C$4,7,1))-MAX($E412,DATE(Dashboard!$C$4,6,1))))</f>
        <v/>
      </c>
      <c r="Y412">
        <f>IF(OR($E412="",$F412=""),0,MAX(0,MIN($F412,DATE(Dashboard!$C$4,8,1))-MAX($E412,DATE(Dashboard!$C$4,7,1))))</f>
        <v/>
      </c>
      <c r="Z412">
        <f>IF(OR($E412="",$F412=""),0,MAX(0,MIN($F412,DATE(Dashboard!$C$4,9,1))-MAX($E412,DATE(Dashboard!$C$4,8,1))))</f>
        <v/>
      </c>
      <c r="AA412">
        <f>IF(OR($E412="",$F412=""),0,MAX(0,MIN($F412,DATE(Dashboard!$C$4,10,1))-MAX($E412,DATE(Dashboard!$C$4,9,1))))</f>
        <v/>
      </c>
      <c r="AB412">
        <f>IF(OR($E412="",$F412=""),0,MAX(0,MIN($F412,DATE(Dashboard!$C$4,11,1))-MAX($E412,DATE(Dashboard!$C$4,10,1))))</f>
        <v/>
      </c>
      <c r="AC412">
        <f>IF(OR($E412="",$F412=""),0,MAX(0,MIN($F412,DATE(Dashboard!$C$4,12,1))-MAX($E412,DATE(Dashboard!$C$4,11,1))))</f>
        <v/>
      </c>
      <c r="AD412">
        <f>IF(OR($E412="",$F412=""),0,MAX(0,MIN($F412,DATE(Dashboard!$C$4,13,1))-MAX($E412,DATE(Dashboard!$C$4,12,1))))</f>
        <v/>
      </c>
      <c r="AE412">
        <f>SUM(S412:AD412)</f>
        <v/>
      </c>
      <c r="AF412">
        <f>Q412*AE412</f>
        <v/>
      </c>
      <c r="AG412">
        <f>R412*AE412</f>
        <v/>
      </c>
      <c r="AH412">
        <f>SUMPRODUCT(S412:AD412,--(COLUMN(S412:AD412)-COLUMN(S412)+1&lt;=Dashboard!$N$1))</f>
        <v/>
      </c>
      <c r="AI412">
        <f>IF(OR(E412="",E412&lt;TODAY()),"",E412+ROW()/100000)</f>
        <v/>
      </c>
      <c r="AJ412">
        <f>IF(OR(F412="",F412&lt;TODAY()),"",F412+ROW()/100000)</f>
        <v/>
      </c>
    </row>
    <row r="413">
      <c r="A413" s="1" t="n"/>
      <c r="B413" s="35" t="n"/>
      <c r="C413" s="35" t="n"/>
      <c r="D413" s="35" t="n"/>
      <c r="E413" s="36" t="n"/>
      <c r="F413" s="36" t="n"/>
      <c r="G413" s="18">
        <f>IF(OR(E413="",F413=""),"",F413-E413)</f>
        <v/>
      </c>
      <c r="H413" s="37" t="n"/>
      <c r="I413" s="38" t="n"/>
      <c r="J413" s="38" t="n"/>
      <c r="K413" s="38" t="n"/>
      <c r="L413" s="31">
        <f>IF(E413="","",N(I413)+N(J413)-N(K413))</f>
        <v/>
      </c>
      <c r="M413" s="39" t="n"/>
      <c r="N413" s="27">
        <f>IF(E413="","",IF(TODAY()&lt;E413,"Upcoming",IF(TODAY()&lt;F413,"Staying now",IF(M413="Yes","Checked out","Payout not received"))))</f>
        <v/>
      </c>
      <c r="O413" s="35" t="n"/>
      <c r="P413" s="1" t="n"/>
      <c r="Q413">
        <f>IF(N(G413)&gt;0,L413/G413,0)</f>
        <v/>
      </c>
      <c r="R413">
        <f>IF(N(G413)&gt;0,N(I413)/G413,0)</f>
        <v/>
      </c>
      <c r="S413">
        <f>IF(OR($E413="",$F413=""),0,MAX(0,MIN($F413,DATE(Dashboard!$C$4,2,1))-MAX($E413,DATE(Dashboard!$C$4,1,1))))</f>
        <v/>
      </c>
      <c r="T413">
        <f>IF(OR($E413="",$F413=""),0,MAX(0,MIN($F413,DATE(Dashboard!$C$4,3,1))-MAX($E413,DATE(Dashboard!$C$4,2,1))))</f>
        <v/>
      </c>
      <c r="U413">
        <f>IF(OR($E413="",$F413=""),0,MAX(0,MIN($F413,DATE(Dashboard!$C$4,4,1))-MAX($E413,DATE(Dashboard!$C$4,3,1))))</f>
        <v/>
      </c>
      <c r="V413">
        <f>IF(OR($E413="",$F413=""),0,MAX(0,MIN($F413,DATE(Dashboard!$C$4,5,1))-MAX($E413,DATE(Dashboard!$C$4,4,1))))</f>
        <v/>
      </c>
      <c r="W413">
        <f>IF(OR($E413="",$F413=""),0,MAX(0,MIN($F413,DATE(Dashboard!$C$4,6,1))-MAX($E413,DATE(Dashboard!$C$4,5,1))))</f>
        <v/>
      </c>
      <c r="X413">
        <f>IF(OR($E413="",$F413=""),0,MAX(0,MIN($F413,DATE(Dashboard!$C$4,7,1))-MAX($E413,DATE(Dashboard!$C$4,6,1))))</f>
        <v/>
      </c>
      <c r="Y413">
        <f>IF(OR($E413="",$F413=""),0,MAX(0,MIN($F413,DATE(Dashboard!$C$4,8,1))-MAX($E413,DATE(Dashboard!$C$4,7,1))))</f>
        <v/>
      </c>
      <c r="Z413">
        <f>IF(OR($E413="",$F413=""),0,MAX(0,MIN($F413,DATE(Dashboard!$C$4,9,1))-MAX($E413,DATE(Dashboard!$C$4,8,1))))</f>
        <v/>
      </c>
      <c r="AA413">
        <f>IF(OR($E413="",$F413=""),0,MAX(0,MIN($F413,DATE(Dashboard!$C$4,10,1))-MAX($E413,DATE(Dashboard!$C$4,9,1))))</f>
        <v/>
      </c>
      <c r="AB413">
        <f>IF(OR($E413="",$F413=""),0,MAX(0,MIN($F413,DATE(Dashboard!$C$4,11,1))-MAX($E413,DATE(Dashboard!$C$4,10,1))))</f>
        <v/>
      </c>
      <c r="AC413">
        <f>IF(OR($E413="",$F413=""),0,MAX(0,MIN($F413,DATE(Dashboard!$C$4,12,1))-MAX($E413,DATE(Dashboard!$C$4,11,1))))</f>
        <v/>
      </c>
      <c r="AD413">
        <f>IF(OR($E413="",$F413=""),0,MAX(0,MIN($F413,DATE(Dashboard!$C$4,13,1))-MAX($E413,DATE(Dashboard!$C$4,12,1))))</f>
        <v/>
      </c>
      <c r="AE413">
        <f>SUM(S413:AD413)</f>
        <v/>
      </c>
      <c r="AF413">
        <f>Q413*AE413</f>
        <v/>
      </c>
      <c r="AG413">
        <f>R413*AE413</f>
        <v/>
      </c>
      <c r="AH413">
        <f>SUMPRODUCT(S413:AD413,--(COLUMN(S413:AD413)-COLUMN(S413)+1&lt;=Dashboard!$N$1))</f>
        <v/>
      </c>
      <c r="AI413">
        <f>IF(OR(E413="",E413&lt;TODAY()),"",E413+ROW()/100000)</f>
        <v/>
      </c>
      <c r="AJ413">
        <f>IF(OR(F413="",F413&lt;TODAY()),"",F413+ROW()/100000)</f>
        <v/>
      </c>
    </row>
    <row r="414">
      <c r="A414" s="1" t="n"/>
      <c r="B414" s="35" t="n"/>
      <c r="C414" s="35" t="n"/>
      <c r="D414" s="35" t="n"/>
      <c r="E414" s="36" t="n"/>
      <c r="F414" s="36" t="n"/>
      <c r="G414" s="18">
        <f>IF(OR(E414="",F414=""),"",F414-E414)</f>
        <v/>
      </c>
      <c r="H414" s="37" t="n"/>
      <c r="I414" s="38" t="n"/>
      <c r="J414" s="38" t="n"/>
      <c r="K414" s="38" t="n"/>
      <c r="L414" s="31">
        <f>IF(E414="","",N(I414)+N(J414)-N(K414))</f>
        <v/>
      </c>
      <c r="M414" s="39" t="n"/>
      <c r="N414" s="27">
        <f>IF(E414="","",IF(TODAY()&lt;E414,"Upcoming",IF(TODAY()&lt;F414,"Staying now",IF(M414="Yes","Checked out","Payout not received"))))</f>
        <v/>
      </c>
      <c r="O414" s="35" t="n"/>
      <c r="P414" s="1" t="n"/>
      <c r="Q414">
        <f>IF(N(G414)&gt;0,L414/G414,0)</f>
        <v/>
      </c>
      <c r="R414">
        <f>IF(N(G414)&gt;0,N(I414)/G414,0)</f>
        <v/>
      </c>
      <c r="S414">
        <f>IF(OR($E414="",$F414=""),0,MAX(0,MIN($F414,DATE(Dashboard!$C$4,2,1))-MAX($E414,DATE(Dashboard!$C$4,1,1))))</f>
        <v/>
      </c>
      <c r="T414">
        <f>IF(OR($E414="",$F414=""),0,MAX(0,MIN($F414,DATE(Dashboard!$C$4,3,1))-MAX($E414,DATE(Dashboard!$C$4,2,1))))</f>
        <v/>
      </c>
      <c r="U414">
        <f>IF(OR($E414="",$F414=""),0,MAX(0,MIN($F414,DATE(Dashboard!$C$4,4,1))-MAX($E414,DATE(Dashboard!$C$4,3,1))))</f>
        <v/>
      </c>
      <c r="V414">
        <f>IF(OR($E414="",$F414=""),0,MAX(0,MIN($F414,DATE(Dashboard!$C$4,5,1))-MAX($E414,DATE(Dashboard!$C$4,4,1))))</f>
        <v/>
      </c>
      <c r="W414">
        <f>IF(OR($E414="",$F414=""),0,MAX(0,MIN($F414,DATE(Dashboard!$C$4,6,1))-MAX($E414,DATE(Dashboard!$C$4,5,1))))</f>
        <v/>
      </c>
      <c r="X414">
        <f>IF(OR($E414="",$F414=""),0,MAX(0,MIN($F414,DATE(Dashboard!$C$4,7,1))-MAX($E414,DATE(Dashboard!$C$4,6,1))))</f>
        <v/>
      </c>
      <c r="Y414">
        <f>IF(OR($E414="",$F414=""),0,MAX(0,MIN($F414,DATE(Dashboard!$C$4,8,1))-MAX($E414,DATE(Dashboard!$C$4,7,1))))</f>
        <v/>
      </c>
      <c r="Z414">
        <f>IF(OR($E414="",$F414=""),0,MAX(0,MIN($F414,DATE(Dashboard!$C$4,9,1))-MAX($E414,DATE(Dashboard!$C$4,8,1))))</f>
        <v/>
      </c>
      <c r="AA414">
        <f>IF(OR($E414="",$F414=""),0,MAX(0,MIN($F414,DATE(Dashboard!$C$4,10,1))-MAX($E414,DATE(Dashboard!$C$4,9,1))))</f>
        <v/>
      </c>
      <c r="AB414">
        <f>IF(OR($E414="",$F414=""),0,MAX(0,MIN($F414,DATE(Dashboard!$C$4,11,1))-MAX($E414,DATE(Dashboard!$C$4,10,1))))</f>
        <v/>
      </c>
      <c r="AC414">
        <f>IF(OR($E414="",$F414=""),0,MAX(0,MIN($F414,DATE(Dashboard!$C$4,12,1))-MAX($E414,DATE(Dashboard!$C$4,11,1))))</f>
        <v/>
      </c>
      <c r="AD414">
        <f>IF(OR($E414="",$F414=""),0,MAX(0,MIN($F414,DATE(Dashboard!$C$4,13,1))-MAX($E414,DATE(Dashboard!$C$4,12,1))))</f>
        <v/>
      </c>
      <c r="AE414">
        <f>SUM(S414:AD414)</f>
        <v/>
      </c>
      <c r="AF414">
        <f>Q414*AE414</f>
        <v/>
      </c>
      <c r="AG414">
        <f>R414*AE414</f>
        <v/>
      </c>
      <c r="AH414">
        <f>SUMPRODUCT(S414:AD414,--(COLUMN(S414:AD414)-COLUMN(S414)+1&lt;=Dashboard!$N$1))</f>
        <v/>
      </c>
      <c r="AI414">
        <f>IF(OR(E414="",E414&lt;TODAY()),"",E414+ROW()/100000)</f>
        <v/>
      </c>
      <c r="AJ414">
        <f>IF(OR(F414="",F414&lt;TODAY()),"",F414+ROW()/100000)</f>
        <v/>
      </c>
    </row>
    <row r="415">
      <c r="A415" s="1" t="n"/>
      <c r="B415" s="35" t="n"/>
      <c r="C415" s="35" t="n"/>
      <c r="D415" s="35" t="n"/>
      <c r="E415" s="36" t="n"/>
      <c r="F415" s="36" t="n"/>
      <c r="G415" s="18">
        <f>IF(OR(E415="",F415=""),"",F415-E415)</f>
        <v/>
      </c>
      <c r="H415" s="37" t="n"/>
      <c r="I415" s="38" t="n"/>
      <c r="J415" s="38" t="n"/>
      <c r="K415" s="38" t="n"/>
      <c r="L415" s="31">
        <f>IF(E415="","",N(I415)+N(J415)-N(K415))</f>
        <v/>
      </c>
      <c r="M415" s="39" t="n"/>
      <c r="N415" s="27">
        <f>IF(E415="","",IF(TODAY()&lt;E415,"Upcoming",IF(TODAY()&lt;F415,"Staying now",IF(M415="Yes","Checked out","Payout not received"))))</f>
        <v/>
      </c>
      <c r="O415" s="35" t="n"/>
      <c r="P415" s="1" t="n"/>
      <c r="Q415">
        <f>IF(N(G415)&gt;0,L415/G415,0)</f>
        <v/>
      </c>
      <c r="R415">
        <f>IF(N(G415)&gt;0,N(I415)/G415,0)</f>
        <v/>
      </c>
      <c r="S415">
        <f>IF(OR($E415="",$F415=""),0,MAX(0,MIN($F415,DATE(Dashboard!$C$4,2,1))-MAX($E415,DATE(Dashboard!$C$4,1,1))))</f>
        <v/>
      </c>
      <c r="T415">
        <f>IF(OR($E415="",$F415=""),0,MAX(0,MIN($F415,DATE(Dashboard!$C$4,3,1))-MAX($E415,DATE(Dashboard!$C$4,2,1))))</f>
        <v/>
      </c>
      <c r="U415">
        <f>IF(OR($E415="",$F415=""),0,MAX(0,MIN($F415,DATE(Dashboard!$C$4,4,1))-MAX($E415,DATE(Dashboard!$C$4,3,1))))</f>
        <v/>
      </c>
      <c r="V415">
        <f>IF(OR($E415="",$F415=""),0,MAX(0,MIN($F415,DATE(Dashboard!$C$4,5,1))-MAX($E415,DATE(Dashboard!$C$4,4,1))))</f>
        <v/>
      </c>
      <c r="W415">
        <f>IF(OR($E415="",$F415=""),0,MAX(0,MIN($F415,DATE(Dashboard!$C$4,6,1))-MAX($E415,DATE(Dashboard!$C$4,5,1))))</f>
        <v/>
      </c>
      <c r="X415">
        <f>IF(OR($E415="",$F415=""),0,MAX(0,MIN($F415,DATE(Dashboard!$C$4,7,1))-MAX($E415,DATE(Dashboard!$C$4,6,1))))</f>
        <v/>
      </c>
      <c r="Y415">
        <f>IF(OR($E415="",$F415=""),0,MAX(0,MIN($F415,DATE(Dashboard!$C$4,8,1))-MAX($E415,DATE(Dashboard!$C$4,7,1))))</f>
        <v/>
      </c>
      <c r="Z415">
        <f>IF(OR($E415="",$F415=""),0,MAX(0,MIN($F415,DATE(Dashboard!$C$4,9,1))-MAX($E415,DATE(Dashboard!$C$4,8,1))))</f>
        <v/>
      </c>
      <c r="AA415">
        <f>IF(OR($E415="",$F415=""),0,MAX(0,MIN($F415,DATE(Dashboard!$C$4,10,1))-MAX($E415,DATE(Dashboard!$C$4,9,1))))</f>
        <v/>
      </c>
      <c r="AB415">
        <f>IF(OR($E415="",$F415=""),0,MAX(0,MIN($F415,DATE(Dashboard!$C$4,11,1))-MAX($E415,DATE(Dashboard!$C$4,10,1))))</f>
        <v/>
      </c>
      <c r="AC415">
        <f>IF(OR($E415="",$F415=""),0,MAX(0,MIN($F415,DATE(Dashboard!$C$4,12,1))-MAX($E415,DATE(Dashboard!$C$4,11,1))))</f>
        <v/>
      </c>
      <c r="AD415">
        <f>IF(OR($E415="",$F415=""),0,MAX(0,MIN($F415,DATE(Dashboard!$C$4,13,1))-MAX($E415,DATE(Dashboard!$C$4,12,1))))</f>
        <v/>
      </c>
      <c r="AE415">
        <f>SUM(S415:AD415)</f>
        <v/>
      </c>
      <c r="AF415">
        <f>Q415*AE415</f>
        <v/>
      </c>
      <c r="AG415">
        <f>R415*AE415</f>
        <v/>
      </c>
      <c r="AH415">
        <f>SUMPRODUCT(S415:AD415,--(COLUMN(S415:AD415)-COLUMN(S415)+1&lt;=Dashboard!$N$1))</f>
        <v/>
      </c>
      <c r="AI415">
        <f>IF(OR(E415="",E415&lt;TODAY()),"",E415+ROW()/100000)</f>
        <v/>
      </c>
      <c r="AJ415">
        <f>IF(OR(F415="",F415&lt;TODAY()),"",F415+ROW()/100000)</f>
        <v/>
      </c>
    </row>
    <row r="416">
      <c r="A416" s="1" t="n"/>
      <c r="B416" s="35" t="n"/>
      <c r="C416" s="35" t="n"/>
      <c r="D416" s="35" t="n"/>
      <c r="E416" s="36" t="n"/>
      <c r="F416" s="36" t="n"/>
      <c r="G416" s="18">
        <f>IF(OR(E416="",F416=""),"",F416-E416)</f>
        <v/>
      </c>
      <c r="H416" s="37" t="n"/>
      <c r="I416" s="38" t="n"/>
      <c r="J416" s="38" t="n"/>
      <c r="K416" s="38" t="n"/>
      <c r="L416" s="31">
        <f>IF(E416="","",N(I416)+N(J416)-N(K416))</f>
        <v/>
      </c>
      <c r="M416" s="39" t="n"/>
      <c r="N416" s="27">
        <f>IF(E416="","",IF(TODAY()&lt;E416,"Upcoming",IF(TODAY()&lt;F416,"Staying now",IF(M416="Yes","Checked out","Payout not received"))))</f>
        <v/>
      </c>
      <c r="O416" s="35" t="n"/>
      <c r="P416" s="1" t="n"/>
      <c r="Q416">
        <f>IF(N(G416)&gt;0,L416/G416,0)</f>
        <v/>
      </c>
      <c r="R416">
        <f>IF(N(G416)&gt;0,N(I416)/G416,0)</f>
        <v/>
      </c>
      <c r="S416">
        <f>IF(OR($E416="",$F416=""),0,MAX(0,MIN($F416,DATE(Dashboard!$C$4,2,1))-MAX($E416,DATE(Dashboard!$C$4,1,1))))</f>
        <v/>
      </c>
      <c r="T416">
        <f>IF(OR($E416="",$F416=""),0,MAX(0,MIN($F416,DATE(Dashboard!$C$4,3,1))-MAX($E416,DATE(Dashboard!$C$4,2,1))))</f>
        <v/>
      </c>
      <c r="U416">
        <f>IF(OR($E416="",$F416=""),0,MAX(0,MIN($F416,DATE(Dashboard!$C$4,4,1))-MAX($E416,DATE(Dashboard!$C$4,3,1))))</f>
        <v/>
      </c>
      <c r="V416">
        <f>IF(OR($E416="",$F416=""),0,MAX(0,MIN($F416,DATE(Dashboard!$C$4,5,1))-MAX($E416,DATE(Dashboard!$C$4,4,1))))</f>
        <v/>
      </c>
      <c r="W416">
        <f>IF(OR($E416="",$F416=""),0,MAX(0,MIN($F416,DATE(Dashboard!$C$4,6,1))-MAX($E416,DATE(Dashboard!$C$4,5,1))))</f>
        <v/>
      </c>
      <c r="X416">
        <f>IF(OR($E416="",$F416=""),0,MAX(0,MIN($F416,DATE(Dashboard!$C$4,7,1))-MAX($E416,DATE(Dashboard!$C$4,6,1))))</f>
        <v/>
      </c>
      <c r="Y416">
        <f>IF(OR($E416="",$F416=""),0,MAX(0,MIN($F416,DATE(Dashboard!$C$4,8,1))-MAX($E416,DATE(Dashboard!$C$4,7,1))))</f>
        <v/>
      </c>
      <c r="Z416">
        <f>IF(OR($E416="",$F416=""),0,MAX(0,MIN($F416,DATE(Dashboard!$C$4,9,1))-MAX($E416,DATE(Dashboard!$C$4,8,1))))</f>
        <v/>
      </c>
      <c r="AA416">
        <f>IF(OR($E416="",$F416=""),0,MAX(0,MIN($F416,DATE(Dashboard!$C$4,10,1))-MAX($E416,DATE(Dashboard!$C$4,9,1))))</f>
        <v/>
      </c>
      <c r="AB416">
        <f>IF(OR($E416="",$F416=""),0,MAX(0,MIN($F416,DATE(Dashboard!$C$4,11,1))-MAX($E416,DATE(Dashboard!$C$4,10,1))))</f>
        <v/>
      </c>
      <c r="AC416">
        <f>IF(OR($E416="",$F416=""),0,MAX(0,MIN($F416,DATE(Dashboard!$C$4,12,1))-MAX($E416,DATE(Dashboard!$C$4,11,1))))</f>
        <v/>
      </c>
      <c r="AD416">
        <f>IF(OR($E416="",$F416=""),0,MAX(0,MIN($F416,DATE(Dashboard!$C$4,13,1))-MAX($E416,DATE(Dashboard!$C$4,12,1))))</f>
        <v/>
      </c>
      <c r="AE416">
        <f>SUM(S416:AD416)</f>
        <v/>
      </c>
      <c r="AF416">
        <f>Q416*AE416</f>
        <v/>
      </c>
      <c r="AG416">
        <f>R416*AE416</f>
        <v/>
      </c>
      <c r="AH416">
        <f>SUMPRODUCT(S416:AD416,--(COLUMN(S416:AD416)-COLUMN(S416)+1&lt;=Dashboard!$N$1))</f>
        <v/>
      </c>
      <c r="AI416">
        <f>IF(OR(E416="",E416&lt;TODAY()),"",E416+ROW()/100000)</f>
        <v/>
      </c>
      <c r="AJ416">
        <f>IF(OR(F416="",F416&lt;TODAY()),"",F416+ROW()/100000)</f>
        <v/>
      </c>
    </row>
    <row r="417">
      <c r="A417" s="1" t="n"/>
      <c r="B417" s="35" t="n"/>
      <c r="C417" s="35" t="n"/>
      <c r="D417" s="35" t="n"/>
      <c r="E417" s="36" t="n"/>
      <c r="F417" s="36" t="n"/>
      <c r="G417" s="18">
        <f>IF(OR(E417="",F417=""),"",F417-E417)</f>
        <v/>
      </c>
      <c r="H417" s="37" t="n"/>
      <c r="I417" s="38" t="n"/>
      <c r="J417" s="38" t="n"/>
      <c r="K417" s="38" t="n"/>
      <c r="L417" s="31">
        <f>IF(E417="","",N(I417)+N(J417)-N(K417))</f>
        <v/>
      </c>
      <c r="M417" s="39" t="n"/>
      <c r="N417" s="27">
        <f>IF(E417="","",IF(TODAY()&lt;E417,"Upcoming",IF(TODAY()&lt;F417,"Staying now",IF(M417="Yes","Checked out","Payout not received"))))</f>
        <v/>
      </c>
      <c r="O417" s="35" t="n"/>
      <c r="P417" s="1" t="n"/>
      <c r="Q417">
        <f>IF(N(G417)&gt;0,L417/G417,0)</f>
        <v/>
      </c>
      <c r="R417">
        <f>IF(N(G417)&gt;0,N(I417)/G417,0)</f>
        <v/>
      </c>
      <c r="S417">
        <f>IF(OR($E417="",$F417=""),0,MAX(0,MIN($F417,DATE(Dashboard!$C$4,2,1))-MAX($E417,DATE(Dashboard!$C$4,1,1))))</f>
        <v/>
      </c>
      <c r="T417">
        <f>IF(OR($E417="",$F417=""),0,MAX(0,MIN($F417,DATE(Dashboard!$C$4,3,1))-MAX($E417,DATE(Dashboard!$C$4,2,1))))</f>
        <v/>
      </c>
      <c r="U417">
        <f>IF(OR($E417="",$F417=""),0,MAX(0,MIN($F417,DATE(Dashboard!$C$4,4,1))-MAX($E417,DATE(Dashboard!$C$4,3,1))))</f>
        <v/>
      </c>
      <c r="V417">
        <f>IF(OR($E417="",$F417=""),0,MAX(0,MIN($F417,DATE(Dashboard!$C$4,5,1))-MAX($E417,DATE(Dashboard!$C$4,4,1))))</f>
        <v/>
      </c>
      <c r="W417">
        <f>IF(OR($E417="",$F417=""),0,MAX(0,MIN($F417,DATE(Dashboard!$C$4,6,1))-MAX($E417,DATE(Dashboard!$C$4,5,1))))</f>
        <v/>
      </c>
      <c r="X417">
        <f>IF(OR($E417="",$F417=""),0,MAX(0,MIN($F417,DATE(Dashboard!$C$4,7,1))-MAX($E417,DATE(Dashboard!$C$4,6,1))))</f>
        <v/>
      </c>
      <c r="Y417">
        <f>IF(OR($E417="",$F417=""),0,MAX(0,MIN($F417,DATE(Dashboard!$C$4,8,1))-MAX($E417,DATE(Dashboard!$C$4,7,1))))</f>
        <v/>
      </c>
      <c r="Z417">
        <f>IF(OR($E417="",$F417=""),0,MAX(0,MIN($F417,DATE(Dashboard!$C$4,9,1))-MAX($E417,DATE(Dashboard!$C$4,8,1))))</f>
        <v/>
      </c>
      <c r="AA417">
        <f>IF(OR($E417="",$F417=""),0,MAX(0,MIN($F417,DATE(Dashboard!$C$4,10,1))-MAX($E417,DATE(Dashboard!$C$4,9,1))))</f>
        <v/>
      </c>
      <c r="AB417">
        <f>IF(OR($E417="",$F417=""),0,MAX(0,MIN($F417,DATE(Dashboard!$C$4,11,1))-MAX($E417,DATE(Dashboard!$C$4,10,1))))</f>
        <v/>
      </c>
      <c r="AC417">
        <f>IF(OR($E417="",$F417=""),0,MAX(0,MIN($F417,DATE(Dashboard!$C$4,12,1))-MAX($E417,DATE(Dashboard!$C$4,11,1))))</f>
        <v/>
      </c>
      <c r="AD417">
        <f>IF(OR($E417="",$F417=""),0,MAX(0,MIN($F417,DATE(Dashboard!$C$4,13,1))-MAX($E417,DATE(Dashboard!$C$4,12,1))))</f>
        <v/>
      </c>
      <c r="AE417">
        <f>SUM(S417:AD417)</f>
        <v/>
      </c>
      <c r="AF417">
        <f>Q417*AE417</f>
        <v/>
      </c>
      <c r="AG417">
        <f>R417*AE417</f>
        <v/>
      </c>
      <c r="AH417">
        <f>SUMPRODUCT(S417:AD417,--(COLUMN(S417:AD417)-COLUMN(S417)+1&lt;=Dashboard!$N$1))</f>
        <v/>
      </c>
      <c r="AI417">
        <f>IF(OR(E417="",E417&lt;TODAY()),"",E417+ROW()/100000)</f>
        <v/>
      </c>
      <c r="AJ417">
        <f>IF(OR(F417="",F417&lt;TODAY()),"",F417+ROW()/100000)</f>
        <v/>
      </c>
    </row>
    <row r="418">
      <c r="A418" s="1" t="n"/>
      <c r="B418" s="35" t="n"/>
      <c r="C418" s="35" t="n"/>
      <c r="D418" s="35" t="n"/>
      <c r="E418" s="36" t="n"/>
      <c r="F418" s="36" t="n"/>
      <c r="G418" s="18">
        <f>IF(OR(E418="",F418=""),"",F418-E418)</f>
        <v/>
      </c>
      <c r="H418" s="37" t="n"/>
      <c r="I418" s="38" t="n"/>
      <c r="J418" s="38" t="n"/>
      <c r="K418" s="38" t="n"/>
      <c r="L418" s="31">
        <f>IF(E418="","",N(I418)+N(J418)-N(K418))</f>
        <v/>
      </c>
      <c r="M418" s="39" t="n"/>
      <c r="N418" s="27">
        <f>IF(E418="","",IF(TODAY()&lt;E418,"Upcoming",IF(TODAY()&lt;F418,"Staying now",IF(M418="Yes","Checked out","Payout not received"))))</f>
        <v/>
      </c>
      <c r="O418" s="35" t="n"/>
      <c r="P418" s="1" t="n"/>
      <c r="Q418">
        <f>IF(N(G418)&gt;0,L418/G418,0)</f>
        <v/>
      </c>
      <c r="R418">
        <f>IF(N(G418)&gt;0,N(I418)/G418,0)</f>
        <v/>
      </c>
      <c r="S418">
        <f>IF(OR($E418="",$F418=""),0,MAX(0,MIN($F418,DATE(Dashboard!$C$4,2,1))-MAX($E418,DATE(Dashboard!$C$4,1,1))))</f>
        <v/>
      </c>
      <c r="T418">
        <f>IF(OR($E418="",$F418=""),0,MAX(0,MIN($F418,DATE(Dashboard!$C$4,3,1))-MAX($E418,DATE(Dashboard!$C$4,2,1))))</f>
        <v/>
      </c>
      <c r="U418">
        <f>IF(OR($E418="",$F418=""),0,MAX(0,MIN($F418,DATE(Dashboard!$C$4,4,1))-MAX($E418,DATE(Dashboard!$C$4,3,1))))</f>
        <v/>
      </c>
      <c r="V418">
        <f>IF(OR($E418="",$F418=""),0,MAX(0,MIN($F418,DATE(Dashboard!$C$4,5,1))-MAX($E418,DATE(Dashboard!$C$4,4,1))))</f>
        <v/>
      </c>
      <c r="W418">
        <f>IF(OR($E418="",$F418=""),0,MAX(0,MIN($F418,DATE(Dashboard!$C$4,6,1))-MAX($E418,DATE(Dashboard!$C$4,5,1))))</f>
        <v/>
      </c>
      <c r="X418">
        <f>IF(OR($E418="",$F418=""),0,MAX(0,MIN($F418,DATE(Dashboard!$C$4,7,1))-MAX($E418,DATE(Dashboard!$C$4,6,1))))</f>
        <v/>
      </c>
      <c r="Y418">
        <f>IF(OR($E418="",$F418=""),0,MAX(0,MIN($F418,DATE(Dashboard!$C$4,8,1))-MAX($E418,DATE(Dashboard!$C$4,7,1))))</f>
        <v/>
      </c>
      <c r="Z418">
        <f>IF(OR($E418="",$F418=""),0,MAX(0,MIN($F418,DATE(Dashboard!$C$4,9,1))-MAX($E418,DATE(Dashboard!$C$4,8,1))))</f>
        <v/>
      </c>
      <c r="AA418">
        <f>IF(OR($E418="",$F418=""),0,MAX(0,MIN($F418,DATE(Dashboard!$C$4,10,1))-MAX($E418,DATE(Dashboard!$C$4,9,1))))</f>
        <v/>
      </c>
      <c r="AB418">
        <f>IF(OR($E418="",$F418=""),0,MAX(0,MIN($F418,DATE(Dashboard!$C$4,11,1))-MAX($E418,DATE(Dashboard!$C$4,10,1))))</f>
        <v/>
      </c>
      <c r="AC418">
        <f>IF(OR($E418="",$F418=""),0,MAX(0,MIN($F418,DATE(Dashboard!$C$4,12,1))-MAX($E418,DATE(Dashboard!$C$4,11,1))))</f>
        <v/>
      </c>
      <c r="AD418">
        <f>IF(OR($E418="",$F418=""),0,MAX(0,MIN($F418,DATE(Dashboard!$C$4,13,1))-MAX($E418,DATE(Dashboard!$C$4,12,1))))</f>
        <v/>
      </c>
      <c r="AE418">
        <f>SUM(S418:AD418)</f>
        <v/>
      </c>
      <c r="AF418">
        <f>Q418*AE418</f>
        <v/>
      </c>
      <c r="AG418">
        <f>R418*AE418</f>
        <v/>
      </c>
      <c r="AH418">
        <f>SUMPRODUCT(S418:AD418,--(COLUMN(S418:AD418)-COLUMN(S418)+1&lt;=Dashboard!$N$1))</f>
        <v/>
      </c>
      <c r="AI418">
        <f>IF(OR(E418="",E418&lt;TODAY()),"",E418+ROW()/100000)</f>
        <v/>
      </c>
      <c r="AJ418">
        <f>IF(OR(F418="",F418&lt;TODAY()),"",F418+ROW()/100000)</f>
        <v/>
      </c>
    </row>
    <row r="419">
      <c r="A419" s="1" t="n"/>
      <c r="B419" s="35" t="n"/>
      <c r="C419" s="35" t="n"/>
      <c r="D419" s="35" t="n"/>
      <c r="E419" s="36" t="n"/>
      <c r="F419" s="36" t="n"/>
      <c r="G419" s="18">
        <f>IF(OR(E419="",F419=""),"",F419-E419)</f>
        <v/>
      </c>
      <c r="H419" s="37" t="n"/>
      <c r="I419" s="38" t="n"/>
      <c r="J419" s="38" t="n"/>
      <c r="K419" s="38" t="n"/>
      <c r="L419" s="31">
        <f>IF(E419="","",N(I419)+N(J419)-N(K419))</f>
        <v/>
      </c>
      <c r="M419" s="39" t="n"/>
      <c r="N419" s="27">
        <f>IF(E419="","",IF(TODAY()&lt;E419,"Upcoming",IF(TODAY()&lt;F419,"Staying now",IF(M419="Yes","Checked out","Payout not received"))))</f>
        <v/>
      </c>
      <c r="O419" s="35" t="n"/>
      <c r="P419" s="1" t="n"/>
      <c r="Q419">
        <f>IF(N(G419)&gt;0,L419/G419,0)</f>
        <v/>
      </c>
      <c r="R419">
        <f>IF(N(G419)&gt;0,N(I419)/G419,0)</f>
        <v/>
      </c>
      <c r="S419">
        <f>IF(OR($E419="",$F419=""),0,MAX(0,MIN($F419,DATE(Dashboard!$C$4,2,1))-MAX($E419,DATE(Dashboard!$C$4,1,1))))</f>
        <v/>
      </c>
      <c r="T419">
        <f>IF(OR($E419="",$F419=""),0,MAX(0,MIN($F419,DATE(Dashboard!$C$4,3,1))-MAX($E419,DATE(Dashboard!$C$4,2,1))))</f>
        <v/>
      </c>
      <c r="U419">
        <f>IF(OR($E419="",$F419=""),0,MAX(0,MIN($F419,DATE(Dashboard!$C$4,4,1))-MAX($E419,DATE(Dashboard!$C$4,3,1))))</f>
        <v/>
      </c>
      <c r="V419">
        <f>IF(OR($E419="",$F419=""),0,MAX(0,MIN($F419,DATE(Dashboard!$C$4,5,1))-MAX($E419,DATE(Dashboard!$C$4,4,1))))</f>
        <v/>
      </c>
      <c r="W419">
        <f>IF(OR($E419="",$F419=""),0,MAX(0,MIN($F419,DATE(Dashboard!$C$4,6,1))-MAX($E419,DATE(Dashboard!$C$4,5,1))))</f>
        <v/>
      </c>
      <c r="X419">
        <f>IF(OR($E419="",$F419=""),0,MAX(0,MIN($F419,DATE(Dashboard!$C$4,7,1))-MAX($E419,DATE(Dashboard!$C$4,6,1))))</f>
        <v/>
      </c>
      <c r="Y419">
        <f>IF(OR($E419="",$F419=""),0,MAX(0,MIN($F419,DATE(Dashboard!$C$4,8,1))-MAX($E419,DATE(Dashboard!$C$4,7,1))))</f>
        <v/>
      </c>
      <c r="Z419">
        <f>IF(OR($E419="",$F419=""),0,MAX(0,MIN($F419,DATE(Dashboard!$C$4,9,1))-MAX($E419,DATE(Dashboard!$C$4,8,1))))</f>
        <v/>
      </c>
      <c r="AA419">
        <f>IF(OR($E419="",$F419=""),0,MAX(0,MIN($F419,DATE(Dashboard!$C$4,10,1))-MAX($E419,DATE(Dashboard!$C$4,9,1))))</f>
        <v/>
      </c>
      <c r="AB419">
        <f>IF(OR($E419="",$F419=""),0,MAX(0,MIN($F419,DATE(Dashboard!$C$4,11,1))-MAX($E419,DATE(Dashboard!$C$4,10,1))))</f>
        <v/>
      </c>
      <c r="AC419">
        <f>IF(OR($E419="",$F419=""),0,MAX(0,MIN($F419,DATE(Dashboard!$C$4,12,1))-MAX($E419,DATE(Dashboard!$C$4,11,1))))</f>
        <v/>
      </c>
      <c r="AD419">
        <f>IF(OR($E419="",$F419=""),0,MAX(0,MIN($F419,DATE(Dashboard!$C$4,13,1))-MAX($E419,DATE(Dashboard!$C$4,12,1))))</f>
        <v/>
      </c>
      <c r="AE419">
        <f>SUM(S419:AD419)</f>
        <v/>
      </c>
      <c r="AF419">
        <f>Q419*AE419</f>
        <v/>
      </c>
      <c r="AG419">
        <f>R419*AE419</f>
        <v/>
      </c>
      <c r="AH419">
        <f>SUMPRODUCT(S419:AD419,--(COLUMN(S419:AD419)-COLUMN(S419)+1&lt;=Dashboard!$N$1))</f>
        <v/>
      </c>
      <c r="AI419">
        <f>IF(OR(E419="",E419&lt;TODAY()),"",E419+ROW()/100000)</f>
        <v/>
      </c>
      <c r="AJ419">
        <f>IF(OR(F419="",F419&lt;TODAY()),"",F419+ROW()/100000)</f>
        <v/>
      </c>
    </row>
    <row r="420">
      <c r="A420" s="1" t="n"/>
      <c r="B420" s="35" t="n"/>
      <c r="C420" s="35" t="n"/>
      <c r="D420" s="35" t="n"/>
      <c r="E420" s="36" t="n"/>
      <c r="F420" s="36" t="n"/>
      <c r="G420" s="18">
        <f>IF(OR(E420="",F420=""),"",F420-E420)</f>
        <v/>
      </c>
      <c r="H420" s="37" t="n"/>
      <c r="I420" s="38" t="n"/>
      <c r="J420" s="38" t="n"/>
      <c r="K420" s="38" t="n"/>
      <c r="L420" s="31">
        <f>IF(E420="","",N(I420)+N(J420)-N(K420))</f>
        <v/>
      </c>
      <c r="M420" s="39" t="n"/>
      <c r="N420" s="27">
        <f>IF(E420="","",IF(TODAY()&lt;E420,"Upcoming",IF(TODAY()&lt;F420,"Staying now",IF(M420="Yes","Checked out","Payout not received"))))</f>
        <v/>
      </c>
      <c r="O420" s="35" t="n"/>
      <c r="P420" s="1" t="n"/>
      <c r="Q420">
        <f>IF(N(G420)&gt;0,L420/G420,0)</f>
        <v/>
      </c>
      <c r="R420">
        <f>IF(N(G420)&gt;0,N(I420)/G420,0)</f>
        <v/>
      </c>
      <c r="S420">
        <f>IF(OR($E420="",$F420=""),0,MAX(0,MIN($F420,DATE(Dashboard!$C$4,2,1))-MAX($E420,DATE(Dashboard!$C$4,1,1))))</f>
        <v/>
      </c>
      <c r="T420">
        <f>IF(OR($E420="",$F420=""),0,MAX(0,MIN($F420,DATE(Dashboard!$C$4,3,1))-MAX($E420,DATE(Dashboard!$C$4,2,1))))</f>
        <v/>
      </c>
      <c r="U420">
        <f>IF(OR($E420="",$F420=""),0,MAX(0,MIN($F420,DATE(Dashboard!$C$4,4,1))-MAX($E420,DATE(Dashboard!$C$4,3,1))))</f>
        <v/>
      </c>
      <c r="V420">
        <f>IF(OR($E420="",$F420=""),0,MAX(0,MIN($F420,DATE(Dashboard!$C$4,5,1))-MAX($E420,DATE(Dashboard!$C$4,4,1))))</f>
        <v/>
      </c>
      <c r="W420">
        <f>IF(OR($E420="",$F420=""),0,MAX(0,MIN($F420,DATE(Dashboard!$C$4,6,1))-MAX($E420,DATE(Dashboard!$C$4,5,1))))</f>
        <v/>
      </c>
      <c r="X420">
        <f>IF(OR($E420="",$F420=""),0,MAX(0,MIN($F420,DATE(Dashboard!$C$4,7,1))-MAX($E420,DATE(Dashboard!$C$4,6,1))))</f>
        <v/>
      </c>
      <c r="Y420">
        <f>IF(OR($E420="",$F420=""),0,MAX(0,MIN($F420,DATE(Dashboard!$C$4,8,1))-MAX($E420,DATE(Dashboard!$C$4,7,1))))</f>
        <v/>
      </c>
      <c r="Z420">
        <f>IF(OR($E420="",$F420=""),0,MAX(0,MIN($F420,DATE(Dashboard!$C$4,9,1))-MAX($E420,DATE(Dashboard!$C$4,8,1))))</f>
        <v/>
      </c>
      <c r="AA420">
        <f>IF(OR($E420="",$F420=""),0,MAX(0,MIN($F420,DATE(Dashboard!$C$4,10,1))-MAX($E420,DATE(Dashboard!$C$4,9,1))))</f>
        <v/>
      </c>
      <c r="AB420">
        <f>IF(OR($E420="",$F420=""),0,MAX(0,MIN($F420,DATE(Dashboard!$C$4,11,1))-MAX($E420,DATE(Dashboard!$C$4,10,1))))</f>
        <v/>
      </c>
      <c r="AC420">
        <f>IF(OR($E420="",$F420=""),0,MAX(0,MIN($F420,DATE(Dashboard!$C$4,12,1))-MAX($E420,DATE(Dashboard!$C$4,11,1))))</f>
        <v/>
      </c>
      <c r="AD420">
        <f>IF(OR($E420="",$F420=""),0,MAX(0,MIN($F420,DATE(Dashboard!$C$4,13,1))-MAX($E420,DATE(Dashboard!$C$4,12,1))))</f>
        <v/>
      </c>
      <c r="AE420">
        <f>SUM(S420:AD420)</f>
        <v/>
      </c>
      <c r="AF420">
        <f>Q420*AE420</f>
        <v/>
      </c>
      <c r="AG420">
        <f>R420*AE420</f>
        <v/>
      </c>
      <c r="AH420">
        <f>SUMPRODUCT(S420:AD420,--(COLUMN(S420:AD420)-COLUMN(S420)+1&lt;=Dashboard!$N$1))</f>
        <v/>
      </c>
      <c r="AI420">
        <f>IF(OR(E420="",E420&lt;TODAY()),"",E420+ROW()/100000)</f>
        <v/>
      </c>
      <c r="AJ420">
        <f>IF(OR(F420="",F420&lt;TODAY()),"",F420+ROW()/100000)</f>
        <v/>
      </c>
    </row>
    <row r="421">
      <c r="A421" s="1" t="n"/>
      <c r="B421" s="35" t="n"/>
      <c r="C421" s="35" t="n"/>
      <c r="D421" s="35" t="n"/>
      <c r="E421" s="36" t="n"/>
      <c r="F421" s="36" t="n"/>
      <c r="G421" s="18">
        <f>IF(OR(E421="",F421=""),"",F421-E421)</f>
        <v/>
      </c>
      <c r="H421" s="37" t="n"/>
      <c r="I421" s="38" t="n"/>
      <c r="J421" s="38" t="n"/>
      <c r="K421" s="38" t="n"/>
      <c r="L421" s="31">
        <f>IF(E421="","",N(I421)+N(J421)-N(K421))</f>
        <v/>
      </c>
      <c r="M421" s="39" t="n"/>
      <c r="N421" s="27">
        <f>IF(E421="","",IF(TODAY()&lt;E421,"Upcoming",IF(TODAY()&lt;F421,"Staying now",IF(M421="Yes","Checked out","Payout not received"))))</f>
        <v/>
      </c>
      <c r="O421" s="35" t="n"/>
      <c r="P421" s="1" t="n"/>
      <c r="Q421">
        <f>IF(N(G421)&gt;0,L421/G421,0)</f>
        <v/>
      </c>
      <c r="R421">
        <f>IF(N(G421)&gt;0,N(I421)/G421,0)</f>
        <v/>
      </c>
      <c r="S421">
        <f>IF(OR($E421="",$F421=""),0,MAX(0,MIN($F421,DATE(Dashboard!$C$4,2,1))-MAX($E421,DATE(Dashboard!$C$4,1,1))))</f>
        <v/>
      </c>
      <c r="T421">
        <f>IF(OR($E421="",$F421=""),0,MAX(0,MIN($F421,DATE(Dashboard!$C$4,3,1))-MAX($E421,DATE(Dashboard!$C$4,2,1))))</f>
        <v/>
      </c>
      <c r="U421">
        <f>IF(OR($E421="",$F421=""),0,MAX(0,MIN($F421,DATE(Dashboard!$C$4,4,1))-MAX($E421,DATE(Dashboard!$C$4,3,1))))</f>
        <v/>
      </c>
      <c r="V421">
        <f>IF(OR($E421="",$F421=""),0,MAX(0,MIN($F421,DATE(Dashboard!$C$4,5,1))-MAX($E421,DATE(Dashboard!$C$4,4,1))))</f>
        <v/>
      </c>
      <c r="W421">
        <f>IF(OR($E421="",$F421=""),0,MAX(0,MIN($F421,DATE(Dashboard!$C$4,6,1))-MAX($E421,DATE(Dashboard!$C$4,5,1))))</f>
        <v/>
      </c>
      <c r="X421">
        <f>IF(OR($E421="",$F421=""),0,MAX(0,MIN($F421,DATE(Dashboard!$C$4,7,1))-MAX($E421,DATE(Dashboard!$C$4,6,1))))</f>
        <v/>
      </c>
      <c r="Y421">
        <f>IF(OR($E421="",$F421=""),0,MAX(0,MIN($F421,DATE(Dashboard!$C$4,8,1))-MAX($E421,DATE(Dashboard!$C$4,7,1))))</f>
        <v/>
      </c>
      <c r="Z421">
        <f>IF(OR($E421="",$F421=""),0,MAX(0,MIN($F421,DATE(Dashboard!$C$4,9,1))-MAX($E421,DATE(Dashboard!$C$4,8,1))))</f>
        <v/>
      </c>
      <c r="AA421">
        <f>IF(OR($E421="",$F421=""),0,MAX(0,MIN($F421,DATE(Dashboard!$C$4,10,1))-MAX($E421,DATE(Dashboard!$C$4,9,1))))</f>
        <v/>
      </c>
      <c r="AB421">
        <f>IF(OR($E421="",$F421=""),0,MAX(0,MIN($F421,DATE(Dashboard!$C$4,11,1))-MAX($E421,DATE(Dashboard!$C$4,10,1))))</f>
        <v/>
      </c>
      <c r="AC421">
        <f>IF(OR($E421="",$F421=""),0,MAX(0,MIN($F421,DATE(Dashboard!$C$4,12,1))-MAX($E421,DATE(Dashboard!$C$4,11,1))))</f>
        <v/>
      </c>
      <c r="AD421">
        <f>IF(OR($E421="",$F421=""),0,MAX(0,MIN($F421,DATE(Dashboard!$C$4,13,1))-MAX($E421,DATE(Dashboard!$C$4,12,1))))</f>
        <v/>
      </c>
      <c r="AE421">
        <f>SUM(S421:AD421)</f>
        <v/>
      </c>
      <c r="AF421">
        <f>Q421*AE421</f>
        <v/>
      </c>
      <c r="AG421">
        <f>R421*AE421</f>
        <v/>
      </c>
      <c r="AH421">
        <f>SUMPRODUCT(S421:AD421,--(COLUMN(S421:AD421)-COLUMN(S421)+1&lt;=Dashboard!$N$1))</f>
        <v/>
      </c>
      <c r="AI421">
        <f>IF(OR(E421="",E421&lt;TODAY()),"",E421+ROW()/100000)</f>
        <v/>
      </c>
      <c r="AJ421">
        <f>IF(OR(F421="",F421&lt;TODAY()),"",F421+ROW()/100000)</f>
        <v/>
      </c>
    </row>
    <row r="422">
      <c r="A422" s="1" t="n"/>
      <c r="B422" s="35" t="n"/>
      <c r="C422" s="35" t="n"/>
      <c r="D422" s="35" t="n"/>
      <c r="E422" s="36" t="n"/>
      <c r="F422" s="36" t="n"/>
      <c r="G422" s="18">
        <f>IF(OR(E422="",F422=""),"",F422-E422)</f>
        <v/>
      </c>
      <c r="H422" s="37" t="n"/>
      <c r="I422" s="38" t="n"/>
      <c r="J422" s="38" t="n"/>
      <c r="K422" s="38" t="n"/>
      <c r="L422" s="31">
        <f>IF(E422="","",N(I422)+N(J422)-N(K422))</f>
        <v/>
      </c>
      <c r="M422" s="39" t="n"/>
      <c r="N422" s="27">
        <f>IF(E422="","",IF(TODAY()&lt;E422,"Upcoming",IF(TODAY()&lt;F422,"Staying now",IF(M422="Yes","Checked out","Payout not received"))))</f>
        <v/>
      </c>
      <c r="O422" s="35" t="n"/>
      <c r="P422" s="1" t="n"/>
      <c r="Q422">
        <f>IF(N(G422)&gt;0,L422/G422,0)</f>
        <v/>
      </c>
      <c r="R422">
        <f>IF(N(G422)&gt;0,N(I422)/G422,0)</f>
        <v/>
      </c>
      <c r="S422">
        <f>IF(OR($E422="",$F422=""),0,MAX(0,MIN($F422,DATE(Dashboard!$C$4,2,1))-MAX($E422,DATE(Dashboard!$C$4,1,1))))</f>
        <v/>
      </c>
      <c r="T422">
        <f>IF(OR($E422="",$F422=""),0,MAX(0,MIN($F422,DATE(Dashboard!$C$4,3,1))-MAX($E422,DATE(Dashboard!$C$4,2,1))))</f>
        <v/>
      </c>
      <c r="U422">
        <f>IF(OR($E422="",$F422=""),0,MAX(0,MIN($F422,DATE(Dashboard!$C$4,4,1))-MAX($E422,DATE(Dashboard!$C$4,3,1))))</f>
        <v/>
      </c>
      <c r="V422">
        <f>IF(OR($E422="",$F422=""),0,MAX(0,MIN($F422,DATE(Dashboard!$C$4,5,1))-MAX($E422,DATE(Dashboard!$C$4,4,1))))</f>
        <v/>
      </c>
      <c r="W422">
        <f>IF(OR($E422="",$F422=""),0,MAX(0,MIN($F422,DATE(Dashboard!$C$4,6,1))-MAX($E422,DATE(Dashboard!$C$4,5,1))))</f>
        <v/>
      </c>
      <c r="X422">
        <f>IF(OR($E422="",$F422=""),0,MAX(0,MIN($F422,DATE(Dashboard!$C$4,7,1))-MAX($E422,DATE(Dashboard!$C$4,6,1))))</f>
        <v/>
      </c>
      <c r="Y422">
        <f>IF(OR($E422="",$F422=""),0,MAX(0,MIN($F422,DATE(Dashboard!$C$4,8,1))-MAX($E422,DATE(Dashboard!$C$4,7,1))))</f>
        <v/>
      </c>
      <c r="Z422">
        <f>IF(OR($E422="",$F422=""),0,MAX(0,MIN($F422,DATE(Dashboard!$C$4,9,1))-MAX($E422,DATE(Dashboard!$C$4,8,1))))</f>
        <v/>
      </c>
      <c r="AA422">
        <f>IF(OR($E422="",$F422=""),0,MAX(0,MIN($F422,DATE(Dashboard!$C$4,10,1))-MAX($E422,DATE(Dashboard!$C$4,9,1))))</f>
        <v/>
      </c>
      <c r="AB422">
        <f>IF(OR($E422="",$F422=""),0,MAX(0,MIN($F422,DATE(Dashboard!$C$4,11,1))-MAX($E422,DATE(Dashboard!$C$4,10,1))))</f>
        <v/>
      </c>
      <c r="AC422">
        <f>IF(OR($E422="",$F422=""),0,MAX(0,MIN($F422,DATE(Dashboard!$C$4,12,1))-MAX($E422,DATE(Dashboard!$C$4,11,1))))</f>
        <v/>
      </c>
      <c r="AD422">
        <f>IF(OR($E422="",$F422=""),0,MAX(0,MIN($F422,DATE(Dashboard!$C$4,13,1))-MAX($E422,DATE(Dashboard!$C$4,12,1))))</f>
        <v/>
      </c>
      <c r="AE422">
        <f>SUM(S422:AD422)</f>
        <v/>
      </c>
      <c r="AF422">
        <f>Q422*AE422</f>
        <v/>
      </c>
      <c r="AG422">
        <f>R422*AE422</f>
        <v/>
      </c>
      <c r="AH422">
        <f>SUMPRODUCT(S422:AD422,--(COLUMN(S422:AD422)-COLUMN(S422)+1&lt;=Dashboard!$N$1))</f>
        <v/>
      </c>
      <c r="AI422">
        <f>IF(OR(E422="",E422&lt;TODAY()),"",E422+ROW()/100000)</f>
        <v/>
      </c>
      <c r="AJ422">
        <f>IF(OR(F422="",F422&lt;TODAY()),"",F422+ROW()/100000)</f>
        <v/>
      </c>
    </row>
    <row r="423">
      <c r="A423" s="1" t="n"/>
      <c r="B423" s="35" t="n"/>
      <c r="C423" s="35" t="n"/>
      <c r="D423" s="35" t="n"/>
      <c r="E423" s="36" t="n"/>
      <c r="F423" s="36" t="n"/>
      <c r="G423" s="18">
        <f>IF(OR(E423="",F423=""),"",F423-E423)</f>
        <v/>
      </c>
      <c r="H423" s="37" t="n"/>
      <c r="I423" s="38" t="n"/>
      <c r="J423" s="38" t="n"/>
      <c r="K423" s="38" t="n"/>
      <c r="L423" s="31">
        <f>IF(E423="","",N(I423)+N(J423)-N(K423))</f>
        <v/>
      </c>
      <c r="M423" s="39" t="n"/>
      <c r="N423" s="27">
        <f>IF(E423="","",IF(TODAY()&lt;E423,"Upcoming",IF(TODAY()&lt;F423,"Staying now",IF(M423="Yes","Checked out","Payout not received"))))</f>
        <v/>
      </c>
      <c r="O423" s="35" t="n"/>
      <c r="P423" s="1" t="n"/>
      <c r="Q423">
        <f>IF(N(G423)&gt;0,L423/G423,0)</f>
        <v/>
      </c>
      <c r="R423">
        <f>IF(N(G423)&gt;0,N(I423)/G423,0)</f>
        <v/>
      </c>
      <c r="S423">
        <f>IF(OR($E423="",$F423=""),0,MAX(0,MIN($F423,DATE(Dashboard!$C$4,2,1))-MAX($E423,DATE(Dashboard!$C$4,1,1))))</f>
        <v/>
      </c>
      <c r="T423">
        <f>IF(OR($E423="",$F423=""),0,MAX(0,MIN($F423,DATE(Dashboard!$C$4,3,1))-MAX($E423,DATE(Dashboard!$C$4,2,1))))</f>
        <v/>
      </c>
      <c r="U423">
        <f>IF(OR($E423="",$F423=""),0,MAX(0,MIN($F423,DATE(Dashboard!$C$4,4,1))-MAX($E423,DATE(Dashboard!$C$4,3,1))))</f>
        <v/>
      </c>
      <c r="V423">
        <f>IF(OR($E423="",$F423=""),0,MAX(0,MIN($F423,DATE(Dashboard!$C$4,5,1))-MAX($E423,DATE(Dashboard!$C$4,4,1))))</f>
        <v/>
      </c>
      <c r="W423">
        <f>IF(OR($E423="",$F423=""),0,MAX(0,MIN($F423,DATE(Dashboard!$C$4,6,1))-MAX($E423,DATE(Dashboard!$C$4,5,1))))</f>
        <v/>
      </c>
      <c r="X423">
        <f>IF(OR($E423="",$F423=""),0,MAX(0,MIN($F423,DATE(Dashboard!$C$4,7,1))-MAX($E423,DATE(Dashboard!$C$4,6,1))))</f>
        <v/>
      </c>
      <c r="Y423">
        <f>IF(OR($E423="",$F423=""),0,MAX(0,MIN($F423,DATE(Dashboard!$C$4,8,1))-MAX($E423,DATE(Dashboard!$C$4,7,1))))</f>
        <v/>
      </c>
      <c r="Z423">
        <f>IF(OR($E423="",$F423=""),0,MAX(0,MIN($F423,DATE(Dashboard!$C$4,9,1))-MAX($E423,DATE(Dashboard!$C$4,8,1))))</f>
        <v/>
      </c>
      <c r="AA423">
        <f>IF(OR($E423="",$F423=""),0,MAX(0,MIN($F423,DATE(Dashboard!$C$4,10,1))-MAX($E423,DATE(Dashboard!$C$4,9,1))))</f>
        <v/>
      </c>
      <c r="AB423">
        <f>IF(OR($E423="",$F423=""),0,MAX(0,MIN($F423,DATE(Dashboard!$C$4,11,1))-MAX($E423,DATE(Dashboard!$C$4,10,1))))</f>
        <v/>
      </c>
      <c r="AC423">
        <f>IF(OR($E423="",$F423=""),0,MAX(0,MIN($F423,DATE(Dashboard!$C$4,12,1))-MAX($E423,DATE(Dashboard!$C$4,11,1))))</f>
        <v/>
      </c>
      <c r="AD423">
        <f>IF(OR($E423="",$F423=""),0,MAX(0,MIN($F423,DATE(Dashboard!$C$4,13,1))-MAX($E423,DATE(Dashboard!$C$4,12,1))))</f>
        <v/>
      </c>
      <c r="AE423">
        <f>SUM(S423:AD423)</f>
        <v/>
      </c>
      <c r="AF423">
        <f>Q423*AE423</f>
        <v/>
      </c>
      <c r="AG423">
        <f>R423*AE423</f>
        <v/>
      </c>
      <c r="AH423">
        <f>SUMPRODUCT(S423:AD423,--(COLUMN(S423:AD423)-COLUMN(S423)+1&lt;=Dashboard!$N$1))</f>
        <v/>
      </c>
      <c r="AI423">
        <f>IF(OR(E423="",E423&lt;TODAY()),"",E423+ROW()/100000)</f>
        <v/>
      </c>
      <c r="AJ423">
        <f>IF(OR(F423="",F423&lt;TODAY()),"",F423+ROW()/100000)</f>
        <v/>
      </c>
    </row>
    <row r="424">
      <c r="A424" s="1" t="n"/>
      <c r="B424" s="35" t="n"/>
      <c r="C424" s="35" t="n"/>
      <c r="D424" s="35" t="n"/>
      <c r="E424" s="36" t="n"/>
      <c r="F424" s="36" t="n"/>
      <c r="G424" s="18">
        <f>IF(OR(E424="",F424=""),"",F424-E424)</f>
        <v/>
      </c>
      <c r="H424" s="37" t="n"/>
      <c r="I424" s="38" t="n"/>
      <c r="J424" s="38" t="n"/>
      <c r="K424" s="38" t="n"/>
      <c r="L424" s="31">
        <f>IF(E424="","",N(I424)+N(J424)-N(K424))</f>
        <v/>
      </c>
      <c r="M424" s="39" t="n"/>
      <c r="N424" s="27">
        <f>IF(E424="","",IF(TODAY()&lt;E424,"Upcoming",IF(TODAY()&lt;F424,"Staying now",IF(M424="Yes","Checked out","Payout not received"))))</f>
        <v/>
      </c>
      <c r="O424" s="35" t="n"/>
      <c r="P424" s="1" t="n"/>
      <c r="Q424">
        <f>IF(N(G424)&gt;0,L424/G424,0)</f>
        <v/>
      </c>
      <c r="R424">
        <f>IF(N(G424)&gt;0,N(I424)/G424,0)</f>
        <v/>
      </c>
      <c r="S424">
        <f>IF(OR($E424="",$F424=""),0,MAX(0,MIN($F424,DATE(Dashboard!$C$4,2,1))-MAX($E424,DATE(Dashboard!$C$4,1,1))))</f>
        <v/>
      </c>
      <c r="T424">
        <f>IF(OR($E424="",$F424=""),0,MAX(0,MIN($F424,DATE(Dashboard!$C$4,3,1))-MAX($E424,DATE(Dashboard!$C$4,2,1))))</f>
        <v/>
      </c>
      <c r="U424">
        <f>IF(OR($E424="",$F424=""),0,MAX(0,MIN($F424,DATE(Dashboard!$C$4,4,1))-MAX($E424,DATE(Dashboard!$C$4,3,1))))</f>
        <v/>
      </c>
      <c r="V424">
        <f>IF(OR($E424="",$F424=""),0,MAX(0,MIN($F424,DATE(Dashboard!$C$4,5,1))-MAX($E424,DATE(Dashboard!$C$4,4,1))))</f>
        <v/>
      </c>
      <c r="W424">
        <f>IF(OR($E424="",$F424=""),0,MAX(0,MIN($F424,DATE(Dashboard!$C$4,6,1))-MAX($E424,DATE(Dashboard!$C$4,5,1))))</f>
        <v/>
      </c>
      <c r="X424">
        <f>IF(OR($E424="",$F424=""),0,MAX(0,MIN($F424,DATE(Dashboard!$C$4,7,1))-MAX($E424,DATE(Dashboard!$C$4,6,1))))</f>
        <v/>
      </c>
      <c r="Y424">
        <f>IF(OR($E424="",$F424=""),0,MAX(0,MIN($F424,DATE(Dashboard!$C$4,8,1))-MAX($E424,DATE(Dashboard!$C$4,7,1))))</f>
        <v/>
      </c>
      <c r="Z424">
        <f>IF(OR($E424="",$F424=""),0,MAX(0,MIN($F424,DATE(Dashboard!$C$4,9,1))-MAX($E424,DATE(Dashboard!$C$4,8,1))))</f>
        <v/>
      </c>
      <c r="AA424">
        <f>IF(OR($E424="",$F424=""),0,MAX(0,MIN($F424,DATE(Dashboard!$C$4,10,1))-MAX($E424,DATE(Dashboard!$C$4,9,1))))</f>
        <v/>
      </c>
      <c r="AB424">
        <f>IF(OR($E424="",$F424=""),0,MAX(0,MIN($F424,DATE(Dashboard!$C$4,11,1))-MAX($E424,DATE(Dashboard!$C$4,10,1))))</f>
        <v/>
      </c>
      <c r="AC424">
        <f>IF(OR($E424="",$F424=""),0,MAX(0,MIN($F424,DATE(Dashboard!$C$4,12,1))-MAX($E424,DATE(Dashboard!$C$4,11,1))))</f>
        <v/>
      </c>
      <c r="AD424">
        <f>IF(OR($E424="",$F424=""),0,MAX(0,MIN($F424,DATE(Dashboard!$C$4,13,1))-MAX($E424,DATE(Dashboard!$C$4,12,1))))</f>
        <v/>
      </c>
      <c r="AE424">
        <f>SUM(S424:AD424)</f>
        <v/>
      </c>
      <c r="AF424">
        <f>Q424*AE424</f>
        <v/>
      </c>
      <c r="AG424">
        <f>R424*AE424</f>
        <v/>
      </c>
      <c r="AH424">
        <f>SUMPRODUCT(S424:AD424,--(COLUMN(S424:AD424)-COLUMN(S424)+1&lt;=Dashboard!$N$1))</f>
        <v/>
      </c>
      <c r="AI424">
        <f>IF(OR(E424="",E424&lt;TODAY()),"",E424+ROW()/100000)</f>
        <v/>
      </c>
      <c r="AJ424">
        <f>IF(OR(F424="",F424&lt;TODAY()),"",F424+ROW()/100000)</f>
        <v/>
      </c>
    </row>
    <row r="425">
      <c r="A425" s="1" t="n"/>
      <c r="B425" s="35" t="n"/>
      <c r="C425" s="35" t="n"/>
      <c r="D425" s="35" t="n"/>
      <c r="E425" s="36" t="n"/>
      <c r="F425" s="36" t="n"/>
      <c r="G425" s="18">
        <f>IF(OR(E425="",F425=""),"",F425-E425)</f>
        <v/>
      </c>
      <c r="H425" s="37" t="n"/>
      <c r="I425" s="38" t="n"/>
      <c r="J425" s="38" t="n"/>
      <c r="K425" s="38" t="n"/>
      <c r="L425" s="31">
        <f>IF(E425="","",N(I425)+N(J425)-N(K425))</f>
        <v/>
      </c>
      <c r="M425" s="39" t="n"/>
      <c r="N425" s="27">
        <f>IF(E425="","",IF(TODAY()&lt;E425,"Upcoming",IF(TODAY()&lt;F425,"Staying now",IF(M425="Yes","Checked out","Payout not received"))))</f>
        <v/>
      </c>
      <c r="O425" s="35" t="n"/>
      <c r="P425" s="1" t="n"/>
      <c r="Q425">
        <f>IF(N(G425)&gt;0,L425/G425,0)</f>
        <v/>
      </c>
      <c r="R425">
        <f>IF(N(G425)&gt;0,N(I425)/G425,0)</f>
        <v/>
      </c>
      <c r="S425">
        <f>IF(OR($E425="",$F425=""),0,MAX(0,MIN($F425,DATE(Dashboard!$C$4,2,1))-MAX($E425,DATE(Dashboard!$C$4,1,1))))</f>
        <v/>
      </c>
      <c r="T425">
        <f>IF(OR($E425="",$F425=""),0,MAX(0,MIN($F425,DATE(Dashboard!$C$4,3,1))-MAX($E425,DATE(Dashboard!$C$4,2,1))))</f>
        <v/>
      </c>
      <c r="U425">
        <f>IF(OR($E425="",$F425=""),0,MAX(0,MIN($F425,DATE(Dashboard!$C$4,4,1))-MAX($E425,DATE(Dashboard!$C$4,3,1))))</f>
        <v/>
      </c>
      <c r="V425">
        <f>IF(OR($E425="",$F425=""),0,MAX(0,MIN($F425,DATE(Dashboard!$C$4,5,1))-MAX($E425,DATE(Dashboard!$C$4,4,1))))</f>
        <v/>
      </c>
      <c r="W425">
        <f>IF(OR($E425="",$F425=""),0,MAX(0,MIN($F425,DATE(Dashboard!$C$4,6,1))-MAX($E425,DATE(Dashboard!$C$4,5,1))))</f>
        <v/>
      </c>
      <c r="X425">
        <f>IF(OR($E425="",$F425=""),0,MAX(0,MIN($F425,DATE(Dashboard!$C$4,7,1))-MAX($E425,DATE(Dashboard!$C$4,6,1))))</f>
        <v/>
      </c>
      <c r="Y425">
        <f>IF(OR($E425="",$F425=""),0,MAX(0,MIN($F425,DATE(Dashboard!$C$4,8,1))-MAX($E425,DATE(Dashboard!$C$4,7,1))))</f>
        <v/>
      </c>
      <c r="Z425">
        <f>IF(OR($E425="",$F425=""),0,MAX(0,MIN($F425,DATE(Dashboard!$C$4,9,1))-MAX($E425,DATE(Dashboard!$C$4,8,1))))</f>
        <v/>
      </c>
      <c r="AA425">
        <f>IF(OR($E425="",$F425=""),0,MAX(0,MIN($F425,DATE(Dashboard!$C$4,10,1))-MAX($E425,DATE(Dashboard!$C$4,9,1))))</f>
        <v/>
      </c>
      <c r="AB425">
        <f>IF(OR($E425="",$F425=""),0,MAX(0,MIN($F425,DATE(Dashboard!$C$4,11,1))-MAX($E425,DATE(Dashboard!$C$4,10,1))))</f>
        <v/>
      </c>
      <c r="AC425">
        <f>IF(OR($E425="",$F425=""),0,MAX(0,MIN($F425,DATE(Dashboard!$C$4,12,1))-MAX($E425,DATE(Dashboard!$C$4,11,1))))</f>
        <v/>
      </c>
      <c r="AD425">
        <f>IF(OR($E425="",$F425=""),0,MAX(0,MIN($F425,DATE(Dashboard!$C$4,13,1))-MAX($E425,DATE(Dashboard!$C$4,12,1))))</f>
        <v/>
      </c>
      <c r="AE425">
        <f>SUM(S425:AD425)</f>
        <v/>
      </c>
      <c r="AF425">
        <f>Q425*AE425</f>
        <v/>
      </c>
      <c r="AG425">
        <f>R425*AE425</f>
        <v/>
      </c>
      <c r="AH425">
        <f>SUMPRODUCT(S425:AD425,--(COLUMN(S425:AD425)-COLUMN(S425)+1&lt;=Dashboard!$N$1))</f>
        <v/>
      </c>
      <c r="AI425">
        <f>IF(OR(E425="",E425&lt;TODAY()),"",E425+ROW()/100000)</f>
        <v/>
      </c>
      <c r="AJ425">
        <f>IF(OR(F425="",F425&lt;TODAY()),"",F425+ROW()/100000)</f>
        <v/>
      </c>
    </row>
    <row r="426">
      <c r="A426" s="1" t="n"/>
      <c r="B426" s="35" t="n"/>
      <c r="C426" s="35" t="n"/>
      <c r="D426" s="35" t="n"/>
      <c r="E426" s="36" t="n"/>
      <c r="F426" s="36" t="n"/>
      <c r="G426" s="18">
        <f>IF(OR(E426="",F426=""),"",F426-E426)</f>
        <v/>
      </c>
      <c r="H426" s="37" t="n"/>
      <c r="I426" s="38" t="n"/>
      <c r="J426" s="38" t="n"/>
      <c r="K426" s="38" t="n"/>
      <c r="L426" s="31">
        <f>IF(E426="","",N(I426)+N(J426)-N(K426))</f>
        <v/>
      </c>
      <c r="M426" s="39" t="n"/>
      <c r="N426" s="27">
        <f>IF(E426="","",IF(TODAY()&lt;E426,"Upcoming",IF(TODAY()&lt;F426,"Staying now",IF(M426="Yes","Checked out","Payout not received"))))</f>
        <v/>
      </c>
      <c r="O426" s="35" t="n"/>
      <c r="P426" s="1" t="n"/>
      <c r="Q426">
        <f>IF(N(G426)&gt;0,L426/G426,0)</f>
        <v/>
      </c>
      <c r="R426">
        <f>IF(N(G426)&gt;0,N(I426)/G426,0)</f>
        <v/>
      </c>
      <c r="S426">
        <f>IF(OR($E426="",$F426=""),0,MAX(0,MIN($F426,DATE(Dashboard!$C$4,2,1))-MAX($E426,DATE(Dashboard!$C$4,1,1))))</f>
        <v/>
      </c>
      <c r="T426">
        <f>IF(OR($E426="",$F426=""),0,MAX(0,MIN($F426,DATE(Dashboard!$C$4,3,1))-MAX($E426,DATE(Dashboard!$C$4,2,1))))</f>
        <v/>
      </c>
      <c r="U426">
        <f>IF(OR($E426="",$F426=""),0,MAX(0,MIN($F426,DATE(Dashboard!$C$4,4,1))-MAX($E426,DATE(Dashboard!$C$4,3,1))))</f>
        <v/>
      </c>
      <c r="V426">
        <f>IF(OR($E426="",$F426=""),0,MAX(0,MIN($F426,DATE(Dashboard!$C$4,5,1))-MAX($E426,DATE(Dashboard!$C$4,4,1))))</f>
        <v/>
      </c>
      <c r="W426">
        <f>IF(OR($E426="",$F426=""),0,MAX(0,MIN($F426,DATE(Dashboard!$C$4,6,1))-MAX($E426,DATE(Dashboard!$C$4,5,1))))</f>
        <v/>
      </c>
      <c r="X426">
        <f>IF(OR($E426="",$F426=""),0,MAX(0,MIN($F426,DATE(Dashboard!$C$4,7,1))-MAX($E426,DATE(Dashboard!$C$4,6,1))))</f>
        <v/>
      </c>
      <c r="Y426">
        <f>IF(OR($E426="",$F426=""),0,MAX(0,MIN($F426,DATE(Dashboard!$C$4,8,1))-MAX($E426,DATE(Dashboard!$C$4,7,1))))</f>
        <v/>
      </c>
      <c r="Z426">
        <f>IF(OR($E426="",$F426=""),0,MAX(0,MIN($F426,DATE(Dashboard!$C$4,9,1))-MAX($E426,DATE(Dashboard!$C$4,8,1))))</f>
        <v/>
      </c>
      <c r="AA426">
        <f>IF(OR($E426="",$F426=""),0,MAX(0,MIN($F426,DATE(Dashboard!$C$4,10,1))-MAX($E426,DATE(Dashboard!$C$4,9,1))))</f>
        <v/>
      </c>
      <c r="AB426">
        <f>IF(OR($E426="",$F426=""),0,MAX(0,MIN($F426,DATE(Dashboard!$C$4,11,1))-MAX($E426,DATE(Dashboard!$C$4,10,1))))</f>
        <v/>
      </c>
      <c r="AC426">
        <f>IF(OR($E426="",$F426=""),0,MAX(0,MIN($F426,DATE(Dashboard!$C$4,12,1))-MAX($E426,DATE(Dashboard!$C$4,11,1))))</f>
        <v/>
      </c>
      <c r="AD426">
        <f>IF(OR($E426="",$F426=""),0,MAX(0,MIN($F426,DATE(Dashboard!$C$4,13,1))-MAX($E426,DATE(Dashboard!$C$4,12,1))))</f>
        <v/>
      </c>
      <c r="AE426">
        <f>SUM(S426:AD426)</f>
        <v/>
      </c>
      <c r="AF426">
        <f>Q426*AE426</f>
        <v/>
      </c>
      <c r="AG426">
        <f>R426*AE426</f>
        <v/>
      </c>
      <c r="AH426">
        <f>SUMPRODUCT(S426:AD426,--(COLUMN(S426:AD426)-COLUMN(S426)+1&lt;=Dashboard!$N$1))</f>
        <v/>
      </c>
      <c r="AI426">
        <f>IF(OR(E426="",E426&lt;TODAY()),"",E426+ROW()/100000)</f>
        <v/>
      </c>
      <c r="AJ426">
        <f>IF(OR(F426="",F426&lt;TODAY()),"",F426+ROW()/100000)</f>
        <v/>
      </c>
    </row>
    <row r="427">
      <c r="A427" s="1" t="n"/>
      <c r="B427" s="35" t="n"/>
      <c r="C427" s="35" t="n"/>
      <c r="D427" s="35" t="n"/>
      <c r="E427" s="36" t="n"/>
      <c r="F427" s="36" t="n"/>
      <c r="G427" s="18">
        <f>IF(OR(E427="",F427=""),"",F427-E427)</f>
        <v/>
      </c>
      <c r="H427" s="37" t="n"/>
      <c r="I427" s="38" t="n"/>
      <c r="J427" s="38" t="n"/>
      <c r="K427" s="38" t="n"/>
      <c r="L427" s="31">
        <f>IF(E427="","",N(I427)+N(J427)-N(K427))</f>
        <v/>
      </c>
      <c r="M427" s="39" t="n"/>
      <c r="N427" s="27">
        <f>IF(E427="","",IF(TODAY()&lt;E427,"Upcoming",IF(TODAY()&lt;F427,"Staying now",IF(M427="Yes","Checked out","Payout not received"))))</f>
        <v/>
      </c>
      <c r="O427" s="35" t="n"/>
      <c r="P427" s="1" t="n"/>
      <c r="Q427">
        <f>IF(N(G427)&gt;0,L427/G427,0)</f>
        <v/>
      </c>
      <c r="R427">
        <f>IF(N(G427)&gt;0,N(I427)/G427,0)</f>
        <v/>
      </c>
      <c r="S427">
        <f>IF(OR($E427="",$F427=""),0,MAX(0,MIN($F427,DATE(Dashboard!$C$4,2,1))-MAX($E427,DATE(Dashboard!$C$4,1,1))))</f>
        <v/>
      </c>
      <c r="T427">
        <f>IF(OR($E427="",$F427=""),0,MAX(0,MIN($F427,DATE(Dashboard!$C$4,3,1))-MAX($E427,DATE(Dashboard!$C$4,2,1))))</f>
        <v/>
      </c>
      <c r="U427">
        <f>IF(OR($E427="",$F427=""),0,MAX(0,MIN($F427,DATE(Dashboard!$C$4,4,1))-MAX($E427,DATE(Dashboard!$C$4,3,1))))</f>
        <v/>
      </c>
      <c r="V427">
        <f>IF(OR($E427="",$F427=""),0,MAX(0,MIN($F427,DATE(Dashboard!$C$4,5,1))-MAX($E427,DATE(Dashboard!$C$4,4,1))))</f>
        <v/>
      </c>
      <c r="W427">
        <f>IF(OR($E427="",$F427=""),0,MAX(0,MIN($F427,DATE(Dashboard!$C$4,6,1))-MAX($E427,DATE(Dashboard!$C$4,5,1))))</f>
        <v/>
      </c>
      <c r="X427">
        <f>IF(OR($E427="",$F427=""),0,MAX(0,MIN($F427,DATE(Dashboard!$C$4,7,1))-MAX($E427,DATE(Dashboard!$C$4,6,1))))</f>
        <v/>
      </c>
      <c r="Y427">
        <f>IF(OR($E427="",$F427=""),0,MAX(0,MIN($F427,DATE(Dashboard!$C$4,8,1))-MAX($E427,DATE(Dashboard!$C$4,7,1))))</f>
        <v/>
      </c>
      <c r="Z427">
        <f>IF(OR($E427="",$F427=""),0,MAX(0,MIN($F427,DATE(Dashboard!$C$4,9,1))-MAX($E427,DATE(Dashboard!$C$4,8,1))))</f>
        <v/>
      </c>
      <c r="AA427">
        <f>IF(OR($E427="",$F427=""),0,MAX(0,MIN($F427,DATE(Dashboard!$C$4,10,1))-MAX($E427,DATE(Dashboard!$C$4,9,1))))</f>
        <v/>
      </c>
      <c r="AB427">
        <f>IF(OR($E427="",$F427=""),0,MAX(0,MIN($F427,DATE(Dashboard!$C$4,11,1))-MAX($E427,DATE(Dashboard!$C$4,10,1))))</f>
        <v/>
      </c>
      <c r="AC427">
        <f>IF(OR($E427="",$F427=""),0,MAX(0,MIN($F427,DATE(Dashboard!$C$4,12,1))-MAX($E427,DATE(Dashboard!$C$4,11,1))))</f>
        <v/>
      </c>
      <c r="AD427">
        <f>IF(OR($E427="",$F427=""),0,MAX(0,MIN($F427,DATE(Dashboard!$C$4,13,1))-MAX($E427,DATE(Dashboard!$C$4,12,1))))</f>
        <v/>
      </c>
      <c r="AE427">
        <f>SUM(S427:AD427)</f>
        <v/>
      </c>
      <c r="AF427">
        <f>Q427*AE427</f>
        <v/>
      </c>
      <c r="AG427">
        <f>R427*AE427</f>
        <v/>
      </c>
      <c r="AH427">
        <f>SUMPRODUCT(S427:AD427,--(COLUMN(S427:AD427)-COLUMN(S427)+1&lt;=Dashboard!$N$1))</f>
        <v/>
      </c>
      <c r="AI427">
        <f>IF(OR(E427="",E427&lt;TODAY()),"",E427+ROW()/100000)</f>
        <v/>
      </c>
      <c r="AJ427">
        <f>IF(OR(F427="",F427&lt;TODAY()),"",F427+ROW()/100000)</f>
        <v/>
      </c>
    </row>
    <row r="428">
      <c r="A428" s="1" t="n"/>
      <c r="B428" s="35" t="n"/>
      <c r="C428" s="35" t="n"/>
      <c r="D428" s="35" t="n"/>
      <c r="E428" s="36" t="n"/>
      <c r="F428" s="36" t="n"/>
      <c r="G428" s="18">
        <f>IF(OR(E428="",F428=""),"",F428-E428)</f>
        <v/>
      </c>
      <c r="H428" s="37" t="n"/>
      <c r="I428" s="38" t="n"/>
      <c r="J428" s="38" t="n"/>
      <c r="K428" s="38" t="n"/>
      <c r="L428" s="31">
        <f>IF(E428="","",N(I428)+N(J428)-N(K428))</f>
        <v/>
      </c>
      <c r="M428" s="39" t="n"/>
      <c r="N428" s="27">
        <f>IF(E428="","",IF(TODAY()&lt;E428,"Upcoming",IF(TODAY()&lt;F428,"Staying now",IF(M428="Yes","Checked out","Payout not received"))))</f>
        <v/>
      </c>
      <c r="O428" s="35" t="n"/>
      <c r="P428" s="1" t="n"/>
      <c r="Q428">
        <f>IF(N(G428)&gt;0,L428/G428,0)</f>
        <v/>
      </c>
      <c r="R428">
        <f>IF(N(G428)&gt;0,N(I428)/G428,0)</f>
        <v/>
      </c>
      <c r="S428">
        <f>IF(OR($E428="",$F428=""),0,MAX(0,MIN($F428,DATE(Dashboard!$C$4,2,1))-MAX($E428,DATE(Dashboard!$C$4,1,1))))</f>
        <v/>
      </c>
      <c r="T428">
        <f>IF(OR($E428="",$F428=""),0,MAX(0,MIN($F428,DATE(Dashboard!$C$4,3,1))-MAX($E428,DATE(Dashboard!$C$4,2,1))))</f>
        <v/>
      </c>
      <c r="U428">
        <f>IF(OR($E428="",$F428=""),0,MAX(0,MIN($F428,DATE(Dashboard!$C$4,4,1))-MAX($E428,DATE(Dashboard!$C$4,3,1))))</f>
        <v/>
      </c>
      <c r="V428">
        <f>IF(OR($E428="",$F428=""),0,MAX(0,MIN($F428,DATE(Dashboard!$C$4,5,1))-MAX($E428,DATE(Dashboard!$C$4,4,1))))</f>
        <v/>
      </c>
      <c r="W428">
        <f>IF(OR($E428="",$F428=""),0,MAX(0,MIN($F428,DATE(Dashboard!$C$4,6,1))-MAX($E428,DATE(Dashboard!$C$4,5,1))))</f>
        <v/>
      </c>
      <c r="X428">
        <f>IF(OR($E428="",$F428=""),0,MAX(0,MIN($F428,DATE(Dashboard!$C$4,7,1))-MAX($E428,DATE(Dashboard!$C$4,6,1))))</f>
        <v/>
      </c>
      <c r="Y428">
        <f>IF(OR($E428="",$F428=""),0,MAX(0,MIN($F428,DATE(Dashboard!$C$4,8,1))-MAX($E428,DATE(Dashboard!$C$4,7,1))))</f>
        <v/>
      </c>
      <c r="Z428">
        <f>IF(OR($E428="",$F428=""),0,MAX(0,MIN($F428,DATE(Dashboard!$C$4,9,1))-MAX($E428,DATE(Dashboard!$C$4,8,1))))</f>
        <v/>
      </c>
      <c r="AA428">
        <f>IF(OR($E428="",$F428=""),0,MAX(0,MIN($F428,DATE(Dashboard!$C$4,10,1))-MAX($E428,DATE(Dashboard!$C$4,9,1))))</f>
        <v/>
      </c>
      <c r="AB428">
        <f>IF(OR($E428="",$F428=""),0,MAX(0,MIN($F428,DATE(Dashboard!$C$4,11,1))-MAX($E428,DATE(Dashboard!$C$4,10,1))))</f>
        <v/>
      </c>
      <c r="AC428">
        <f>IF(OR($E428="",$F428=""),0,MAX(0,MIN($F428,DATE(Dashboard!$C$4,12,1))-MAX($E428,DATE(Dashboard!$C$4,11,1))))</f>
        <v/>
      </c>
      <c r="AD428">
        <f>IF(OR($E428="",$F428=""),0,MAX(0,MIN($F428,DATE(Dashboard!$C$4,13,1))-MAX($E428,DATE(Dashboard!$C$4,12,1))))</f>
        <v/>
      </c>
      <c r="AE428">
        <f>SUM(S428:AD428)</f>
        <v/>
      </c>
      <c r="AF428">
        <f>Q428*AE428</f>
        <v/>
      </c>
      <c r="AG428">
        <f>R428*AE428</f>
        <v/>
      </c>
      <c r="AH428">
        <f>SUMPRODUCT(S428:AD428,--(COLUMN(S428:AD428)-COLUMN(S428)+1&lt;=Dashboard!$N$1))</f>
        <v/>
      </c>
      <c r="AI428">
        <f>IF(OR(E428="",E428&lt;TODAY()),"",E428+ROW()/100000)</f>
        <v/>
      </c>
      <c r="AJ428">
        <f>IF(OR(F428="",F428&lt;TODAY()),"",F428+ROW()/100000)</f>
        <v/>
      </c>
    </row>
    <row r="429">
      <c r="A429" s="1" t="n"/>
      <c r="B429" s="35" t="n"/>
      <c r="C429" s="35" t="n"/>
      <c r="D429" s="35" t="n"/>
      <c r="E429" s="36" t="n"/>
      <c r="F429" s="36" t="n"/>
      <c r="G429" s="18">
        <f>IF(OR(E429="",F429=""),"",F429-E429)</f>
        <v/>
      </c>
      <c r="H429" s="37" t="n"/>
      <c r="I429" s="38" t="n"/>
      <c r="J429" s="38" t="n"/>
      <c r="K429" s="38" t="n"/>
      <c r="L429" s="31">
        <f>IF(E429="","",N(I429)+N(J429)-N(K429))</f>
        <v/>
      </c>
      <c r="M429" s="39" t="n"/>
      <c r="N429" s="27">
        <f>IF(E429="","",IF(TODAY()&lt;E429,"Upcoming",IF(TODAY()&lt;F429,"Staying now",IF(M429="Yes","Checked out","Payout not received"))))</f>
        <v/>
      </c>
      <c r="O429" s="35" t="n"/>
      <c r="P429" s="1" t="n"/>
      <c r="Q429">
        <f>IF(N(G429)&gt;0,L429/G429,0)</f>
        <v/>
      </c>
      <c r="R429">
        <f>IF(N(G429)&gt;0,N(I429)/G429,0)</f>
        <v/>
      </c>
      <c r="S429">
        <f>IF(OR($E429="",$F429=""),0,MAX(0,MIN($F429,DATE(Dashboard!$C$4,2,1))-MAX($E429,DATE(Dashboard!$C$4,1,1))))</f>
        <v/>
      </c>
      <c r="T429">
        <f>IF(OR($E429="",$F429=""),0,MAX(0,MIN($F429,DATE(Dashboard!$C$4,3,1))-MAX($E429,DATE(Dashboard!$C$4,2,1))))</f>
        <v/>
      </c>
      <c r="U429">
        <f>IF(OR($E429="",$F429=""),0,MAX(0,MIN($F429,DATE(Dashboard!$C$4,4,1))-MAX($E429,DATE(Dashboard!$C$4,3,1))))</f>
        <v/>
      </c>
      <c r="V429">
        <f>IF(OR($E429="",$F429=""),0,MAX(0,MIN($F429,DATE(Dashboard!$C$4,5,1))-MAX($E429,DATE(Dashboard!$C$4,4,1))))</f>
        <v/>
      </c>
      <c r="W429">
        <f>IF(OR($E429="",$F429=""),0,MAX(0,MIN($F429,DATE(Dashboard!$C$4,6,1))-MAX($E429,DATE(Dashboard!$C$4,5,1))))</f>
        <v/>
      </c>
      <c r="X429">
        <f>IF(OR($E429="",$F429=""),0,MAX(0,MIN($F429,DATE(Dashboard!$C$4,7,1))-MAX($E429,DATE(Dashboard!$C$4,6,1))))</f>
        <v/>
      </c>
      <c r="Y429">
        <f>IF(OR($E429="",$F429=""),0,MAX(0,MIN($F429,DATE(Dashboard!$C$4,8,1))-MAX($E429,DATE(Dashboard!$C$4,7,1))))</f>
        <v/>
      </c>
      <c r="Z429">
        <f>IF(OR($E429="",$F429=""),0,MAX(0,MIN($F429,DATE(Dashboard!$C$4,9,1))-MAX($E429,DATE(Dashboard!$C$4,8,1))))</f>
        <v/>
      </c>
      <c r="AA429">
        <f>IF(OR($E429="",$F429=""),0,MAX(0,MIN($F429,DATE(Dashboard!$C$4,10,1))-MAX($E429,DATE(Dashboard!$C$4,9,1))))</f>
        <v/>
      </c>
      <c r="AB429">
        <f>IF(OR($E429="",$F429=""),0,MAX(0,MIN($F429,DATE(Dashboard!$C$4,11,1))-MAX($E429,DATE(Dashboard!$C$4,10,1))))</f>
        <v/>
      </c>
      <c r="AC429">
        <f>IF(OR($E429="",$F429=""),0,MAX(0,MIN($F429,DATE(Dashboard!$C$4,12,1))-MAX($E429,DATE(Dashboard!$C$4,11,1))))</f>
        <v/>
      </c>
      <c r="AD429">
        <f>IF(OR($E429="",$F429=""),0,MAX(0,MIN($F429,DATE(Dashboard!$C$4,13,1))-MAX($E429,DATE(Dashboard!$C$4,12,1))))</f>
        <v/>
      </c>
      <c r="AE429">
        <f>SUM(S429:AD429)</f>
        <v/>
      </c>
      <c r="AF429">
        <f>Q429*AE429</f>
        <v/>
      </c>
      <c r="AG429">
        <f>R429*AE429</f>
        <v/>
      </c>
      <c r="AH429">
        <f>SUMPRODUCT(S429:AD429,--(COLUMN(S429:AD429)-COLUMN(S429)+1&lt;=Dashboard!$N$1))</f>
        <v/>
      </c>
      <c r="AI429">
        <f>IF(OR(E429="",E429&lt;TODAY()),"",E429+ROW()/100000)</f>
        <v/>
      </c>
      <c r="AJ429">
        <f>IF(OR(F429="",F429&lt;TODAY()),"",F429+ROW()/100000)</f>
        <v/>
      </c>
    </row>
    <row r="430">
      <c r="A430" s="1" t="n"/>
      <c r="B430" s="35" t="n"/>
      <c r="C430" s="35" t="n"/>
      <c r="D430" s="35" t="n"/>
      <c r="E430" s="36" t="n"/>
      <c r="F430" s="36" t="n"/>
      <c r="G430" s="18">
        <f>IF(OR(E430="",F430=""),"",F430-E430)</f>
        <v/>
      </c>
      <c r="H430" s="37" t="n"/>
      <c r="I430" s="38" t="n"/>
      <c r="J430" s="38" t="n"/>
      <c r="K430" s="38" t="n"/>
      <c r="L430" s="31">
        <f>IF(E430="","",N(I430)+N(J430)-N(K430))</f>
        <v/>
      </c>
      <c r="M430" s="39" t="n"/>
      <c r="N430" s="27">
        <f>IF(E430="","",IF(TODAY()&lt;E430,"Upcoming",IF(TODAY()&lt;F430,"Staying now",IF(M430="Yes","Checked out","Payout not received"))))</f>
        <v/>
      </c>
      <c r="O430" s="35" t="n"/>
      <c r="P430" s="1" t="n"/>
      <c r="Q430">
        <f>IF(N(G430)&gt;0,L430/G430,0)</f>
        <v/>
      </c>
      <c r="R430">
        <f>IF(N(G430)&gt;0,N(I430)/G430,0)</f>
        <v/>
      </c>
      <c r="S430">
        <f>IF(OR($E430="",$F430=""),0,MAX(0,MIN($F430,DATE(Dashboard!$C$4,2,1))-MAX($E430,DATE(Dashboard!$C$4,1,1))))</f>
        <v/>
      </c>
      <c r="T430">
        <f>IF(OR($E430="",$F430=""),0,MAX(0,MIN($F430,DATE(Dashboard!$C$4,3,1))-MAX($E430,DATE(Dashboard!$C$4,2,1))))</f>
        <v/>
      </c>
      <c r="U430">
        <f>IF(OR($E430="",$F430=""),0,MAX(0,MIN($F430,DATE(Dashboard!$C$4,4,1))-MAX($E430,DATE(Dashboard!$C$4,3,1))))</f>
        <v/>
      </c>
      <c r="V430">
        <f>IF(OR($E430="",$F430=""),0,MAX(0,MIN($F430,DATE(Dashboard!$C$4,5,1))-MAX($E430,DATE(Dashboard!$C$4,4,1))))</f>
        <v/>
      </c>
      <c r="W430">
        <f>IF(OR($E430="",$F430=""),0,MAX(0,MIN($F430,DATE(Dashboard!$C$4,6,1))-MAX($E430,DATE(Dashboard!$C$4,5,1))))</f>
        <v/>
      </c>
      <c r="X430">
        <f>IF(OR($E430="",$F430=""),0,MAX(0,MIN($F430,DATE(Dashboard!$C$4,7,1))-MAX($E430,DATE(Dashboard!$C$4,6,1))))</f>
        <v/>
      </c>
      <c r="Y430">
        <f>IF(OR($E430="",$F430=""),0,MAX(0,MIN($F430,DATE(Dashboard!$C$4,8,1))-MAX($E430,DATE(Dashboard!$C$4,7,1))))</f>
        <v/>
      </c>
      <c r="Z430">
        <f>IF(OR($E430="",$F430=""),0,MAX(0,MIN($F430,DATE(Dashboard!$C$4,9,1))-MAX($E430,DATE(Dashboard!$C$4,8,1))))</f>
        <v/>
      </c>
      <c r="AA430">
        <f>IF(OR($E430="",$F430=""),0,MAX(0,MIN($F430,DATE(Dashboard!$C$4,10,1))-MAX($E430,DATE(Dashboard!$C$4,9,1))))</f>
        <v/>
      </c>
      <c r="AB430">
        <f>IF(OR($E430="",$F430=""),0,MAX(0,MIN($F430,DATE(Dashboard!$C$4,11,1))-MAX($E430,DATE(Dashboard!$C$4,10,1))))</f>
        <v/>
      </c>
      <c r="AC430">
        <f>IF(OR($E430="",$F430=""),0,MAX(0,MIN($F430,DATE(Dashboard!$C$4,12,1))-MAX($E430,DATE(Dashboard!$C$4,11,1))))</f>
        <v/>
      </c>
      <c r="AD430">
        <f>IF(OR($E430="",$F430=""),0,MAX(0,MIN($F430,DATE(Dashboard!$C$4,13,1))-MAX($E430,DATE(Dashboard!$C$4,12,1))))</f>
        <v/>
      </c>
      <c r="AE430">
        <f>SUM(S430:AD430)</f>
        <v/>
      </c>
      <c r="AF430">
        <f>Q430*AE430</f>
        <v/>
      </c>
      <c r="AG430">
        <f>R430*AE430</f>
        <v/>
      </c>
      <c r="AH430">
        <f>SUMPRODUCT(S430:AD430,--(COLUMN(S430:AD430)-COLUMN(S430)+1&lt;=Dashboard!$N$1))</f>
        <v/>
      </c>
      <c r="AI430">
        <f>IF(OR(E430="",E430&lt;TODAY()),"",E430+ROW()/100000)</f>
        <v/>
      </c>
      <c r="AJ430">
        <f>IF(OR(F430="",F430&lt;TODAY()),"",F430+ROW()/100000)</f>
        <v/>
      </c>
    </row>
    <row r="431">
      <c r="A431" s="1" t="n"/>
      <c r="B431" s="35" t="n"/>
      <c r="C431" s="35" t="n"/>
      <c r="D431" s="35" t="n"/>
      <c r="E431" s="36" t="n"/>
      <c r="F431" s="36" t="n"/>
      <c r="G431" s="18">
        <f>IF(OR(E431="",F431=""),"",F431-E431)</f>
        <v/>
      </c>
      <c r="H431" s="37" t="n"/>
      <c r="I431" s="38" t="n"/>
      <c r="J431" s="38" t="n"/>
      <c r="K431" s="38" t="n"/>
      <c r="L431" s="31">
        <f>IF(E431="","",N(I431)+N(J431)-N(K431))</f>
        <v/>
      </c>
      <c r="M431" s="39" t="n"/>
      <c r="N431" s="27">
        <f>IF(E431="","",IF(TODAY()&lt;E431,"Upcoming",IF(TODAY()&lt;F431,"Staying now",IF(M431="Yes","Checked out","Payout not received"))))</f>
        <v/>
      </c>
      <c r="O431" s="35" t="n"/>
      <c r="P431" s="1" t="n"/>
      <c r="Q431">
        <f>IF(N(G431)&gt;0,L431/G431,0)</f>
        <v/>
      </c>
      <c r="R431">
        <f>IF(N(G431)&gt;0,N(I431)/G431,0)</f>
        <v/>
      </c>
      <c r="S431">
        <f>IF(OR($E431="",$F431=""),0,MAX(0,MIN($F431,DATE(Dashboard!$C$4,2,1))-MAX($E431,DATE(Dashboard!$C$4,1,1))))</f>
        <v/>
      </c>
      <c r="T431">
        <f>IF(OR($E431="",$F431=""),0,MAX(0,MIN($F431,DATE(Dashboard!$C$4,3,1))-MAX($E431,DATE(Dashboard!$C$4,2,1))))</f>
        <v/>
      </c>
      <c r="U431">
        <f>IF(OR($E431="",$F431=""),0,MAX(0,MIN($F431,DATE(Dashboard!$C$4,4,1))-MAX($E431,DATE(Dashboard!$C$4,3,1))))</f>
        <v/>
      </c>
      <c r="V431">
        <f>IF(OR($E431="",$F431=""),0,MAX(0,MIN($F431,DATE(Dashboard!$C$4,5,1))-MAX($E431,DATE(Dashboard!$C$4,4,1))))</f>
        <v/>
      </c>
      <c r="W431">
        <f>IF(OR($E431="",$F431=""),0,MAX(0,MIN($F431,DATE(Dashboard!$C$4,6,1))-MAX($E431,DATE(Dashboard!$C$4,5,1))))</f>
        <v/>
      </c>
      <c r="X431">
        <f>IF(OR($E431="",$F431=""),0,MAX(0,MIN($F431,DATE(Dashboard!$C$4,7,1))-MAX($E431,DATE(Dashboard!$C$4,6,1))))</f>
        <v/>
      </c>
      <c r="Y431">
        <f>IF(OR($E431="",$F431=""),0,MAX(0,MIN($F431,DATE(Dashboard!$C$4,8,1))-MAX($E431,DATE(Dashboard!$C$4,7,1))))</f>
        <v/>
      </c>
      <c r="Z431">
        <f>IF(OR($E431="",$F431=""),0,MAX(0,MIN($F431,DATE(Dashboard!$C$4,9,1))-MAX($E431,DATE(Dashboard!$C$4,8,1))))</f>
        <v/>
      </c>
      <c r="AA431">
        <f>IF(OR($E431="",$F431=""),0,MAX(0,MIN($F431,DATE(Dashboard!$C$4,10,1))-MAX($E431,DATE(Dashboard!$C$4,9,1))))</f>
        <v/>
      </c>
      <c r="AB431">
        <f>IF(OR($E431="",$F431=""),0,MAX(0,MIN($F431,DATE(Dashboard!$C$4,11,1))-MAX($E431,DATE(Dashboard!$C$4,10,1))))</f>
        <v/>
      </c>
      <c r="AC431">
        <f>IF(OR($E431="",$F431=""),0,MAX(0,MIN($F431,DATE(Dashboard!$C$4,12,1))-MAX($E431,DATE(Dashboard!$C$4,11,1))))</f>
        <v/>
      </c>
      <c r="AD431">
        <f>IF(OR($E431="",$F431=""),0,MAX(0,MIN($F431,DATE(Dashboard!$C$4,13,1))-MAX($E431,DATE(Dashboard!$C$4,12,1))))</f>
        <v/>
      </c>
      <c r="AE431">
        <f>SUM(S431:AD431)</f>
        <v/>
      </c>
      <c r="AF431">
        <f>Q431*AE431</f>
        <v/>
      </c>
      <c r="AG431">
        <f>R431*AE431</f>
        <v/>
      </c>
      <c r="AH431">
        <f>SUMPRODUCT(S431:AD431,--(COLUMN(S431:AD431)-COLUMN(S431)+1&lt;=Dashboard!$N$1))</f>
        <v/>
      </c>
      <c r="AI431">
        <f>IF(OR(E431="",E431&lt;TODAY()),"",E431+ROW()/100000)</f>
        <v/>
      </c>
      <c r="AJ431">
        <f>IF(OR(F431="",F431&lt;TODAY()),"",F431+ROW()/100000)</f>
        <v/>
      </c>
    </row>
    <row r="432">
      <c r="A432" s="1" t="n"/>
      <c r="B432" s="35" t="n"/>
      <c r="C432" s="35" t="n"/>
      <c r="D432" s="35" t="n"/>
      <c r="E432" s="36" t="n"/>
      <c r="F432" s="36" t="n"/>
      <c r="G432" s="18">
        <f>IF(OR(E432="",F432=""),"",F432-E432)</f>
        <v/>
      </c>
      <c r="H432" s="37" t="n"/>
      <c r="I432" s="38" t="n"/>
      <c r="J432" s="38" t="n"/>
      <c r="K432" s="38" t="n"/>
      <c r="L432" s="31">
        <f>IF(E432="","",N(I432)+N(J432)-N(K432))</f>
        <v/>
      </c>
      <c r="M432" s="39" t="n"/>
      <c r="N432" s="27">
        <f>IF(E432="","",IF(TODAY()&lt;E432,"Upcoming",IF(TODAY()&lt;F432,"Staying now",IF(M432="Yes","Checked out","Payout not received"))))</f>
        <v/>
      </c>
      <c r="O432" s="35" t="n"/>
      <c r="P432" s="1" t="n"/>
      <c r="Q432">
        <f>IF(N(G432)&gt;0,L432/G432,0)</f>
        <v/>
      </c>
      <c r="R432">
        <f>IF(N(G432)&gt;0,N(I432)/G432,0)</f>
        <v/>
      </c>
      <c r="S432">
        <f>IF(OR($E432="",$F432=""),0,MAX(0,MIN($F432,DATE(Dashboard!$C$4,2,1))-MAX($E432,DATE(Dashboard!$C$4,1,1))))</f>
        <v/>
      </c>
      <c r="T432">
        <f>IF(OR($E432="",$F432=""),0,MAX(0,MIN($F432,DATE(Dashboard!$C$4,3,1))-MAX($E432,DATE(Dashboard!$C$4,2,1))))</f>
        <v/>
      </c>
      <c r="U432">
        <f>IF(OR($E432="",$F432=""),0,MAX(0,MIN($F432,DATE(Dashboard!$C$4,4,1))-MAX($E432,DATE(Dashboard!$C$4,3,1))))</f>
        <v/>
      </c>
      <c r="V432">
        <f>IF(OR($E432="",$F432=""),0,MAX(0,MIN($F432,DATE(Dashboard!$C$4,5,1))-MAX($E432,DATE(Dashboard!$C$4,4,1))))</f>
        <v/>
      </c>
      <c r="W432">
        <f>IF(OR($E432="",$F432=""),0,MAX(0,MIN($F432,DATE(Dashboard!$C$4,6,1))-MAX($E432,DATE(Dashboard!$C$4,5,1))))</f>
        <v/>
      </c>
      <c r="X432">
        <f>IF(OR($E432="",$F432=""),0,MAX(0,MIN($F432,DATE(Dashboard!$C$4,7,1))-MAX($E432,DATE(Dashboard!$C$4,6,1))))</f>
        <v/>
      </c>
      <c r="Y432">
        <f>IF(OR($E432="",$F432=""),0,MAX(0,MIN($F432,DATE(Dashboard!$C$4,8,1))-MAX($E432,DATE(Dashboard!$C$4,7,1))))</f>
        <v/>
      </c>
      <c r="Z432">
        <f>IF(OR($E432="",$F432=""),0,MAX(0,MIN($F432,DATE(Dashboard!$C$4,9,1))-MAX($E432,DATE(Dashboard!$C$4,8,1))))</f>
        <v/>
      </c>
      <c r="AA432">
        <f>IF(OR($E432="",$F432=""),0,MAX(0,MIN($F432,DATE(Dashboard!$C$4,10,1))-MAX($E432,DATE(Dashboard!$C$4,9,1))))</f>
        <v/>
      </c>
      <c r="AB432">
        <f>IF(OR($E432="",$F432=""),0,MAX(0,MIN($F432,DATE(Dashboard!$C$4,11,1))-MAX($E432,DATE(Dashboard!$C$4,10,1))))</f>
        <v/>
      </c>
      <c r="AC432">
        <f>IF(OR($E432="",$F432=""),0,MAX(0,MIN($F432,DATE(Dashboard!$C$4,12,1))-MAX($E432,DATE(Dashboard!$C$4,11,1))))</f>
        <v/>
      </c>
      <c r="AD432">
        <f>IF(OR($E432="",$F432=""),0,MAX(0,MIN($F432,DATE(Dashboard!$C$4,13,1))-MAX($E432,DATE(Dashboard!$C$4,12,1))))</f>
        <v/>
      </c>
      <c r="AE432">
        <f>SUM(S432:AD432)</f>
        <v/>
      </c>
      <c r="AF432">
        <f>Q432*AE432</f>
        <v/>
      </c>
      <c r="AG432">
        <f>R432*AE432</f>
        <v/>
      </c>
      <c r="AH432">
        <f>SUMPRODUCT(S432:AD432,--(COLUMN(S432:AD432)-COLUMN(S432)+1&lt;=Dashboard!$N$1))</f>
        <v/>
      </c>
      <c r="AI432">
        <f>IF(OR(E432="",E432&lt;TODAY()),"",E432+ROW()/100000)</f>
        <v/>
      </c>
      <c r="AJ432">
        <f>IF(OR(F432="",F432&lt;TODAY()),"",F432+ROW()/100000)</f>
        <v/>
      </c>
    </row>
    <row r="433">
      <c r="A433" s="1" t="n"/>
      <c r="B433" s="35" t="n"/>
      <c r="C433" s="35" t="n"/>
      <c r="D433" s="35" t="n"/>
      <c r="E433" s="36" t="n"/>
      <c r="F433" s="36" t="n"/>
      <c r="G433" s="18">
        <f>IF(OR(E433="",F433=""),"",F433-E433)</f>
        <v/>
      </c>
      <c r="H433" s="37" t="n"/>
      <c r="I433" s="38" t="n"/>
      <c r="J433" s="38" t="n"/>
      <c r="K433" s="38" t="n"/>
      <c r="L433" s="31">
        <f>IF(E433="","",N(I433)+N(J433)-N(K433))</f>
        <v/>
      </c>
      <c r="M433" s="39" t="n"/>
      <c r="N433" s="27">
        <f>IF(E433="","",IF(TODAY()&lt;E433,"Upcoming",IF(TODAY()&lt;F433,"Staying now",IF(M433="Yes","Checked out","Payout not received"))))</f>
        <v/>
      </c>
      <c r="O433" s="35" t="n"/>
      <c r="P433" s="1" t="n"/>
      <c r="Q433">
        <f>IF(N(G433)&gt;0,L433/G433,0)</f>
        <v/>
      </c>
      <c r="R433">
        <f>IF(N(G433)&gt;0,N(I433)/G433,0)</f>
        <v/>
      </c>
      <c r="S433">
        <f>IF(OR($E433="",$F433=""),0,MAX(0,MIN($F433,DATE(Dashboard!$C$4,2,1))-MAX($E433,DATE(Dashboard!$C$4,1,1))))</f>
        <v/>
      </c>
      <c r="T433">
        <f>IF(OR($E433="",$F433=""),0,MAX(0,MIN($F433,DATE(Dashboard!$C$4,3,1))-MAX($E433,DATE(Dashboard!$C$4,2,1))))</f>
        <v/>
      </c>
      <c r="U433">
        <f>IF(OR($E433="",$F433=""),0,MAX(0,MIN($F433,DATE(Dashboard!$C$4,4,1))-MAX($E433,DATE(Dashboard!$C$4,3,1))))</f>
        <v/>
      </c>
      <c r="V433">
        <f>IF(OR($E433="",$F433=""),0,MAX(0,MIN($F433,DATE(Dashboard!$C$4,5,1))-MAX($E433,DATE(Dashboard!$C$4,4,1))))</f>
        <v/>
      </c>
      <c r="W433">
        <f>IF(OR($E433="",$F433=""),0,MAX(0,MIN($F433,DATE(Dashboard!$C$4,6,1))-MAX($E433,DATE(Dashboard!$C$4,5,1))))</f>
        <v/>
      </c>
      <c r="X433">
        <f>IF(OR($E433="",$F433=""),0,MAX(0,MIN($F433,DATE(Dashboard!$C$4,7,1))-MAX($E433,DATE(Dashboard!$C$4,6,1))))</f>
        <v/>
      </c>
      <c r="Y433">
        <f>IF(OR($E433="",$F433=""),0,MAX(0,MIN($F433,DATE(Dashboard!$C$4,8,1))-MAX($E433,DATE(Dashboard!$C$4,7,1))))</f>
        <v/>
      </c>
      <c r="Z433">
        <f>IF(OR($E433="",$F433=""),0,MAX(0,MIN($F433,DATE(Dashboard!$C$4,9,1))-MAX($E433,DATE(Dashboard!$C$4,8,1))))</f>
        <v/>
      </c>
      <c r="AA433">
        <f>IF(OR($E433="",$F433=""),0,MAX(0,MIN($F433,DATE(Dashboard!$C$4,10,1))-MAX($E433,DATE(Dashboard!$C$4,9,1))))</f>
        <v/>
      </c>
      <c r="AB433">
        <f>IF(OR($E433="",$F433=""),0,MAX(0,MIN($F433,DATE(Dashboard!$C$4,11,1))-MAX($E433,DATE(Dashboard!$C$4,10,1))))</f>
        <v/>
      </c>
      <c r="AC433">
        <f>IF(OR($E433="",$F433=""),0,MAX(0,MIN($F433,DATE(Dashboard!$C$4,12,1))-MAX($E433,DATE(Dashboard!$C$4,11,1))))</f>
        <v/>
      </c>
      <c r="AD433">
        <f>IF(OR($E433="",$F433=""),0,MAX(0,MIN($F433,DATE(Dashboard!$C$4,13,1))-MAX($E433,DATE(Dashboard!$C$4,12,1))))</f>
        <v/>
      </c>
      <c r="AE433">
        <f>SUM(S433:AD433)</f>
        <v/>
      </c>
      <c r="AF433">
        <f>Q433*AE433</f>
        <v/>
      </c>
      <c r="AG433">
        <f>R433*AE433</f>
        <v/>
      </c>
      <c r="AH433">
        <f>SUMPRODUCT(S433:AD433,--(COLUMN(S433:AD433)-COLUMN(S433)+1&lt;=Dashboard!$N$1))</f>
        <v/>
      </c>
      <c r="AI433">
        <f>IF(OR(E433="",E433&lt;TODAY()),"",E433+ROW()/100000)</f>
        <v/>
      </c>
      <c r="AJ433">
        <f>IF(OR(F433="",F433&lt;TODAY()),"",F433+ROW()/100000)</f>
        <v/>
      </c>
    </row>
    <row r="434">
      <c r="A434" s="1" t="n"/>
      <c r="B434" s="35" t="n"/>
      <c r="C434" s="35" t="n"/>
      <c r="D434" s="35" t="n"/>
      <c r="E434" s="36" t="n"/>
      <c r="F434" s="36" t="n"/>
      <c r="G434" s="18">
        <f>IF(OR(E434="",F434=""),"",F434-E434)</f>
        <v/>
      </c>
      <c r="H434" s="37" t="n"/>
      <c r="I434" s="38" t="n"/>
      <c r="J434" s="38" t="n"/>
      <c r="K434" s="38" t="n"/>
      <c r="L434" s="31">
        <f>IF(E434="","",N(I434)+N(J434)-N(K434))</f>
        <v/>
      </c>
      <c r="M434" s="39" t="n"/>
      <c r="N434" s="27">
        <f>IF(E434="","",IF(TODAY()&lt;E434,"Upcoming",IF(TODAY()&lt;F434,"Staying now",IF(M434="Yes","Checked out","Payout not received"))))</f>
        <v/>
      </c>
      <c r="O434" s="35" t="n"/>
      <c r="P434" s="1" t="n"/>
      <c r="Q434">
        <f>IF(N(G434)&gt;0,L434/G434,0)</f>
        <v/>
      </c>
      <c r="R434">
        <f>IF(N(G434)&gt;0,N(I434)/G434,0)</f>
        <v/>
      </c>
      <c r="S434">
        <f>IF(OR($E434="",$F434=""),0,MAX(0,MIN($F434,DATE(Dashboard!$C$4,2,1))-MAX($E434,DATE(Dashboard!$C$4,1,1))))</f>
        <v/>
      </c>
      <c r="T434">
        <f>IF(OR($E434="",$F434=""),0,MAX(0,MIN($F434,DATE(Dashboard!$C$4,3,1))-MAX($E434,DATE(Dashboard!$C$4,2,1))))</f>
        <v/>
      </c>
      <c r="U434">
        <f>IF(OR($E434="",$F434=""),0,MAX(0,MIN($F434,DATE(Dashboard!$C$4,4,1))-MAX($E434,DATE(Dashboard!$C$4,3,1))))</f>
        <v/>
      </c>
      <c r="V434">
        <f>IF(OR($E434="",$F434=""),0,MAX(0,MIN($F434,DATE(Dashboard!$C$4,5,1))-MAX($E434,DATE(Dashboard!$C$4,4,1))))</f>
        <v/>
      </c>
      <c r="W434">
        <f>IF(OR($E434="",$F434=""),0,MAX(0,MIN($F434,DATE(Dashboard!$C$4,6,1))-MAX($E434,DATE(Dashboard!$C$4,5,1))))</f>
        <v/>
      </c>
      <c r="X434">
        <f>IF(OR($E434="",$F434=""),0,MAX(0,MIN($F434,DATE(Dashboard!$C$4,7,1))-MAX($E434,DATE(Dashboard!$C$4,6,1))))</f>
        <v/>
      </c>
      <c r="Y434">
        <f>IF(OR($E434="",$F434=""),0,MAX(0,MIN($F434,DATE(Dashboard!$C$4,8,1))-MAX($E434,DATE(Dashboard!$C$4,7,1))))</f>
        <v/>
      </c>
      <c r="Z434">
        <f>IF(OR($E434="",$F434=""),0,MAX(0,MIN($F434,DATE(Dashboard!$C$4,9,1))-MAX($E434,DATE(Dashboard!$C$4,8,1))))</f>
        <v/>
      </c>
      <c r="AA434">
        <f>IF(OR($E434="",$F434=""),0,MAX(0,MIN($F434,DATE(Dashboard!$C$4,10,1))-MAX($E434,DATE(Dashboard!$C$4,9,1))))</f>
        <v/>
      </c>
      <c r="AB434">
        <f>IF(OR($E434="",$F434=""),0,MAX(0,MIN($F434,DATE(Dashboard!$C$4,11,1))-MAX($E434,DATE(Dashboard!$C$4,10,1))))</f>
        <v/>
      </c>
      <c r="AC434">
        <f>IF(OR($E434="",$F434=""),0,MAX(0,MIN($F434,DATE(Dashboard!$C$4,12,1))-MAX($E434,DATE(Dashboard!$C$4,11,1))))</f>
        <v/>
      </c>
      <c r="AD434">
        <f>IF(OR($E434="",$F434=""),0,MAX(0,MIN($F434,DATE(Dashboard!$C$4,13,1))-MAX($E434,DATE(Dashboard!$C$4,12,1))))</f>
        <v/>
      </c>
      <c r="AE434">
        <f>SUM(S434:AD434)</f>
        <v/>
      </c>
      <c r="AF434">
        <f>Q434*AE434</f>
        <v/>
      </c>
      <c r="AG434">
        <f>R434*AE434</f>
        <v/>
      </c>
      <c r="AH434">
        <f>SUMPRODUCT(S434:AD434,--(COLUMN(S434:AD434)-COLUMN(S434)+1&lt;=Dashboard!$N$1))</f>
        <v/>
      </c>
      <c r="AI434">
        <f>IF(OR(E434="",E434&lt;TODAY()),"",E434+ROW()/100000)</f>
        <v/>
      </c>
      <c r="AJ434">
        <f>IF(OR(F434="",F434&lt;TODAY()),"",F434+ROW()/100000)</f>
        <v/>
      </c>
    </row>
    <row r="435">
      <c r="A435" s="1" t="n"/>
      <c r="B435" s="35" t="n"/>
      <c r="C435" s="35" t="n"/>
      <c r="D435" s="35" t="n"/>
      <c r="E435" s="36" t="n"/>
      <c r="F435" s="36" t="n"/>
      <c r="G435" s="18">
        <f>IF(OR(E435="",F435=""),"",F435-E435)</f>
        <v/>
      </c>
      <c r="H435" s="37" t="n"/>
      <c r="I435" s="38" t="n"/>
      <c r="J435" s="38" t="n"/>
      <c r="K435" s="38" t="n"/>
      <c r="L435" s="31">
        <f>IF(E435="","",N(I435)+N(J435)-N(K435))</f>
        <v/>
      </c>
      <c r="M435" s="39" t="n"/>
      <c r="N435" s="27">
        <f>IF(E435="","",IF(TODAY()&lt;E435,"Upcoming",IF(TODAY()&lt;F435,"Staying now",IF(M435="Yes","Checked out","Payout not received"))))</f>
        <v/>
      </c>
      <c r="O435" s="35" t="n"/>
      <c r="P435" s="1" t="n"/>
      <c r="Q435">
        <f>IF(N(G435)&gt;0,L435/G435,0)</f>
        <v/>
      </c>
      <c r="R435">
        <f>IF(N(G435)&gt;0,N(I435)/G435,0)</f>
        <v/>
      </c>
      <c r="S435">
        <f>IF(OR($E435="",$F435=""),0,MAX(0,MIN($F435,DATE(Dashboard!$C$4,2,1))-MAX($E435,DATE(Dashboard!$C$4,1,1))))</f>
        <v/>
      </c>
      <c r="T435">
        <f>IF(OR($E435="",$F435=""),0,MAX(0,MIN($F435,DATE(Dashboard!$C$4,3,1))-MAX($E435,DATE(Dashboard!$C$4,2,1))))</f>
        <v/>
      </c>
      <c r="U435">
        <f>IF(OR($E435="",$F435=""),0,MAX(0,MIN($F435,DATE(Dashboard!$C$4,4,1))-MAX($E435,DATE(Dashboard!$C$4,3,1))))</f>
        <v/>
      </c>
      <c r="V435">
        <f>IF(OR($E435="",$F435=""),0,MAX(0,MIN($F435,DATE(Dashboard!$C$4,5,1))-MAX($E435,DATE(Dashboard!$C$4,4,1))))</f>
        <v/>
      </c>
      <c r="W435">
        <f>IF(OR($E435="",$F435=""),0,MAX(0,MIN($F435,DATE(Dashboard!$C$4,6,1))-MAX($E435,DATE(Dashboard!$C$4,5,1))))</f>
        <v/>
      </c>
      <c r="X435">
        <f>IF(OR($E435="",$F435=""),0,MAX(0,MIN($F435,DATE(Dashboard!$C$4,7,1))-MAX($E435,DATE(Dashboard!$C$4,6,1))))</f>
        <v/>
      </c>
      <c r="Y435">
        <f>IF(OR($E435="",$F435=""),0,MAX(0,MIN($F435,DATE(Dashboard!$C$4,8,1))-MAX($E435,DATE(Dashboard!$C$4,7,1))))</f>
        <v/>
      </c>
      <c r="Z435">
        <f>IF(OR($E435="",$F435=""),0,MAX(0,MIN($F435,DATE(Dashboard!$C$4,9,1))-MAX($E435,DATE(Dashboard!$C$4,8,1))))</f>
        <v/>
      </c>
      <c r="AA435">
        <f>IF(OR($E435="",$F435=""),0,MAX(0,MIN($F435,DATE(Dashboard!$C$4,10,1))-MAX($E435,DATE(Dashboard!$C$4,9,1))))</f>
        <v/>
      </c>
      <c r="AB435">
        <f>IF(OR($E435="",$F435=""),0,MAX(0,MIN($F435,DATE(Dashboard!$C$4,11,1))-MAX($E435,DATE(Dashboard!$C$4,10,1))))</f>
        <v/>
      </c>
      <c r="AC435">
        <f>IF(OR($E435="",$F435=""),0,MAX(0,MIN($F435,DATE(Dashboard!$C$4,12,1))-MAX($E435,DATE(Dashboard!$C$4,11,1))))</f>
        <v/>
      </c>
      <c r="AD435">
        <f>IF(OR($E435="",$F435=""),0,MAX(0,MIN($F435,DATE(Dashboard!$C$4,13,1))-MAX($E435,DATE(Dashboard!$C$4,12,1))))</f>
        <v/>
      </c>
      <c r="AE435">
        <f>SUM(S435:AD435)</f>
        <v/>
      </c>
      <c r="AF435">
        <f>Q435*AE435</f>
        <v/>
      </c>
      <c r="AG435">
        <f>R435*AE435</f>
        <v/>
      </c>
      <c r="AH435">
        <f>SUMPRODUCT(S435:AD435,--(COLUMN(S435:AD435)-COLUMN(S435)+1&lt;=Dashboard!$N$1))</f>
        <v/>
      </c>
      <c r="AI435">
        <f>IF(OR(E435="",E435&lt;TODAY()),"",E435+ROW()/100000)</f>
        <v/>
      </c>
      <c r="AJ435">
        <f>IF(OR(F435="",F435&lt;TODAY()),"",F435+ROW()/100000)</f>
        <v/>
      </c>
    </row>
    <row r="436">
      <c r="A436" s="1" t="n"/>
      <c r="B436" s="35" t="n"/>
      <c r="C436" s="35" t="n"/>
      <c r="D436" s="35" t="n"/>
      <c r="E436" s="36" t="n"/>
      <c r="F436" s="36" t="n"/>
      <c r="G436" s="18">
        <f>IF(OR(E436="",F436=""),"",F436-E436)</f>
        <v/>
      </c>
      <c r="H436" s="37" t="n"/>
      <c r="I436" s="38" t="n"/>
      <c r="J436" s="38" t="n"/>
      <c r="K436" s="38" t="n"/>
      <c r="L436" s="31">
        <f>IF(E436="","",N(I436)+N(J436)-N(K436))</f>
        <v/>
      </c>
      <c r="M436" s="39" t="n"/>
      <c r="N436" s="27">
        <f>IF(E436="","",IF(TODAY()&lt;E436,"Upcoming",IF(TODAY()&lt;F436,"Staying now",IF(M436="Yes","Checked out","Payout not received"))))</f>
        <v/>
      </c>
      <c r="O436" s="35" t="n"/>
      <c r="P436" s="1" t="n"/>
      <c r="Q436">
        <f>IF(N(G436)&gt;0,L436/G436,0)</f>
        <v/>
      </c>
      <c r="R436">
        <f>IF(N(G436)&gt;0,N(I436)/G436,0)</f>
        <v/>
      </c>
      <c r="S436">
        <f>IF(OR($E436="",$F436=""),0,MAX(0,MIN($F436,DATE(Dashboard!$C$4,2,1))-MAX($E436,DATE(Dashboard!$C$4,1,1))))</f>
        <v/>
      </c>
      <c r="T436">
        <f>IF(OR($E436="",$F436=""),0,MAX(0,MIN($F436,DATE(Dashboard!$C$4,3,1))-MAX($E436,DATE(Dashboard!$C$4,2,1))))</f>
        <v/>
      </c>
      <c r="U436">
        <f>IF(OR($E436="",$F436=""),0,MAX(0,MIN($F436,DATE(Dashboard!$C$4,4,1))-MAX($E436,DATE(Dashboard!$C$4,3,1))))</f>
        <v/>
      </c>
      <c r="V436">
        <f>IF(OR($E436="",$F436=""),0,MAX(0,MIN($F436,DATE(Dashboard!$C$4,5,1))-MAX($E436,DATE(Dashboard!$C$4,4,1))))</f>
        <v/>
      </c>
      <c r="W436">
        <f>IF(OR($E436="",$F436=""),0,MAX(0,MIN($F436,DATE(Dashboard!$C$4,6,1))-MAX($E436,DATE(Dashboard!$C$4,5,1))))</f>
        <v/>
      </c>
      <c r="X436">
        <f>IF(OR($E436="",$F436=""),0,MAX(0,MIN($F436,DATE(Dashboard!$C$4,7,1))-MAX($E436,DATE(Dashboard!$C$4,6,1))))</f>
        <v/>
      </c>
      <c r="Y436">
        <f>IF(OR($E436="",$F436=""),0,MAX(0,MIN($F436,DATE(Dashboard!$C$4,8,1))-MAX($E436,DATE(Dashboard!$C$4,7,1))))</f>
        <v/>
      </c>
      <c r="Z436">
        <f>IF(OR($E436="",$F436=""),0,MAX(0,MIN($F436,DATE(Dashboard!$C$4,9,1))-MAX($E436,DATE(Dashboard!$C$4,8,1))))</f>
        <v/>
      </c>
      <c r="AA436">
        <f>IF(OR($E436="",$F436=""),0,MAX(0,MIN($F436,DATE(Dashboard!$C$4,10,1))-MAX($E436,DATE(Dashboard!$C$4,9,1))))</f>
        <v/>
      </c>
      <c r="AB436">
        <f>IF(OR($E436="",$F436=""),0,MAX(0,MIN($F436,DATE(Dashboard!$C$4,11,1))-MAX($E436,DATE(Dashboard!$C$4,10,1))))</f>
        <v/>
      </c>
      <c r="AC436">
        <f>IF(OR($E436="",$F436=""),0,MAX(0,MIN($F436,DATE(Dashboard!$C$4,12,1))-MAX($E436,DATE(Dashboard!$C$4,11,1))))</f>
        <v/>
      </c>
      <c r="AD436">
        <f>IF(OR($E436="",$F436=""),0,MAX(0,MIN($F436,DATE(Dashboard!$C$4,13,1))-MAX($E436,DATE(Dashboard!$C$4,12,1))))</f>
        <v/>
      </c>
      <c r="AE436">
        <f>SUM(S436:AD436)</f>
        <v/>
      </c>
      <c r="AF436">
        <f>Q436*AE436</f>
        <v/>
      </c>
      <c r="AG436">
        <f>R436*AE436</f>
        <v/>
      </c>
      <c r="AH436">
        <f>SUMPRODUCT(S436:AD436,--(COLUMN(S436:AD436)-COLUMN(S436)+1&lt;=Dashboard!$N$1))</f>
        <v/>
      </c>
      <c r="AI436">
        <f>IF(OR(E436="",E436&lt;TODAY()),"",E436+ROW()/100000)</f>
        <v/>
      </c>
      <c r="AJ436">
        <f>IF(OR(F436="",F436&lt;TODAY()),"",F436+ROW()/100000)</f>
        <v/>
      </c>
    </row>
    <row r="437">
      <c r="A437" s="1" t="n"/>
      <c r="B437" s="35" t="n"/>
      <c r="C437" s="35" t="n"/>
      <c r="D437" s="35" t="n"/>
      <c r="E437" s="36" t="n"/>
      <c r="F437" s="36" t="n"/>
      <c r="G437" s="18">
        <f>IF(OR(E437="",F437=""),"",F437-E437)</f>
        <v/>
      </c>
      <c r="H437" s="37" t="n"/>
      <c r="I437" s="38" t="n"/>
      <c r="J437" s="38" t="n"/>
      <c r="K437" s="38" t="n"/>
      <c r="L437" s="31">
        <f>IF(E437="","",N(I437)+N(J437)-N(K437))</f>
        <v/>
      </c>
      <c r="M437" s="39" t="n"/>
      <c r="N437" s="27">
        <f>IF(E437="","",IF(TODAY()&lt;E437,"Upcoming",IF(TODAY()&lt;F437,"Staying now",IF(M437="Yes","Checked out","Payout not received"))))</f>
        <v/>
      </c>
      <c r="O437" s="35" t="n"/>
      <c r="P437" s="1" t="n"/>
      <c r="Q437">
        <f>IF(N(G437)&gt;0,L437/G437,0)</f>
        <v/>
      </c>
      <c r="R437">
        <f>IF(N(G437)&gt;0,N(I437)/G437,0)</f>
        <v/>
      </c>
      <c r="S437">
        <f>IF(OR($E437="",$F437=""),0,MAX(0,MIN($F437,DATE(Dashboard!$C$4,2,1))-MAX($E437,DATE(Dashboard!$C$4,1,1))))</f>
        <v/>
      </c>
      <c r="T437">
        <f>IF(OR($E437="",$F437=""),0,MAX(0,MIN($F437,DATE(Dashboard!$C$4,3,1))-MAX($E437,DATE(Dashboard!$C$4,2,1))))</f>
        <v/>
      </c>
      <c r="U437">
        <f>IF(OR($E437="",$F437=""),0,MAX(0,MIN($F437,DATE(Dashboard!$C$4,4,1))-MAX($E437,DATE(Dashboard!$C$4,3,1))))</f>
        <v/>
      </c>
      <c r="V437">
        <f>IF(OR($E437="",$F437=""),0,MAX(0,MIN($F437,DATE(Dashboard!$C$4,5,1))-MAX($E437,DATE(Dashboard!$C$4,4,1))))</f>
        <v/>
      </c>
      <c r="W437">
        <f>IF(OR($E437="",$F437=""),0,MAX(0,MIN($F437,DATE(Dashboard!$C$4,6,1))-MAX($E437,DATE(Dashboard!$C$4,5,1))))</f>
        <v/>
      </c>
      <c r="X437">
        <f>IF(OR($E437="",$F437=""),0,MAX(0,MIN($F437,DATE(Dashboard!$C$4,7,1))-MAX($E437,DATE(Dashboard!$C$4,6,1))))</f>
        <v/>
      </c>
      <c r="Y437">
        <f>IF(OR($E437="",$F437=""),0,MAX(0,MIN($F437,DATE(Dashboard!$C$4,8,1))-MAX($E437,DATE(Dashboard!$C$4,7,1))))</f>
        <v/>
      </c>
      <c r="Z437">
        <f>IF(OR($E437="",$F437=""),0,MAX(0,MIN($F437,DATE(Dashboard!$C$4,9,1))-MAX($E437,DATE(Dashboard!$C$4,8,1))))</f>
        <v/>
      </c>
      <c r="AA437">
        <f>IF(OR($E437="",$F437=""),0,MAX(0,MIN($F437,DATE(Dashboard!$C$4,10,1))-MAX($E437,DATE(Dashboard!$C$4,9,1))))</f>
        <v/>
      </c>
      <c r="AB437">
        <f>IF(OR($E437="",$F437=""),0,MAX(0,MIN($F437,DATE(Dashboard!$C$4,11,1))-MAX($E437,DATE(Dashboard!$C$4,10,1))))</f>
        <v/>
      </c>
      <c r="AC437">
        <f>IF(OR($E437="",$F437=""),0,MAX(0,MIN($F437,DATE(Dashboard!$C$4,12,1))-MAX($E437,DATE(Dashboard!$C$4,11,1))))</f>
        <v/>
      </c>
      <c r="AD437">
        <f>IF(OR($E437="",$F437=""),0,MAX(0,MIN($F437,DATE(Dashboard!$C$4,13,1))-MAX($E437,DATE(Dashboard!$C$4,12,1))))</f>
        <v/>
      </c>
      <c r="AE437">
        <f>SUM(S437:AD437)</f>
        <v/>
      </c>
      <c r="AF437">
        <f>Q437*AE437</f>
        <v/>
      </c>
      <c r="AG437">
        <f>R437*AE437</f>
        <v/>
      </c>
      <c r="AH437">
        <f>SUMPRODUCT(S437:AD437,--(COLUMN(S437:AD437)-COLUMN(S437)+1&lt;=Dashboard!$N$1))</f>
        <v/>
      </c>
      <c r="AI437">
        <f>IF(OR(E437="",E437&lt;TODAY()),"",E437+ROW()/100000)</f>
        <v/>
      </c>
      <c r="AJ437">
        <f>IF(OR(F437="",F437&lt;TODAY()),"",F437+ROW()/100000)</f>
        <v/>
      </c>
    </row>
    <row r="438">
      <c r="A438" s="1" t="n"/>
      <c r="B438" s="35" t="n"/>
      <c r="C438" s="35" t="n"/>
      <c r="D438" s="35" t="n"/>
      <c r="E438" s="36" t="n"/>
      <c r="F438" s="36" t="n"/>
      <c r="G438" s="18">
        <f>IF(OR(E438="",F438=""),"",F438-E438)</f>
        <v/>
      </c>
      <c r="H438" s="37" t="n"/>
      <c r="I438" s="38" t="n"/>
      <c r="J438" s="38" t="n"/>
      <c r="K438" s="38" t="n"/>
      <c r="L438" s="31">
        <f>IF(E438="","",N(I438)+N(J438)-N(K438))</f>
        <v/>
      </c>
      <c r="M438" s="39" t="n"/>
      <c r="N438" s="27">
        <f>IF(E438="","",IF(TODAY()&lt;E438,"Upcoming",IF(TODAY()&lt;F438,"Staying now",IF(M438="Yes","Checked out","Payout not received"))))</f>
        <v/>
      </c>
      <c r="O438" s="35" t="n"/>
      <c r="P438" s="1" t="n"/>
      <c r="Q438">
        <f>IF(N(G438)&gt;0,L438/G438,0)</f>
        <v/>
      </c>
      <c r="R438">
        <f>IF(N(G438)&gt;0,N(I438)/G438,0)</f>
        <v/>
      </c>
      <c r="S438">
        <f>IF(OR($E438="",$F438=""),0,MAX(0,MIN($F438,DATE(Dashboard!$C$4,2,1))-MAX($E438,DATE(Dashboard!$C$4,1,1))))</f>
        <v/>
      </c>
      <c r="T438">
        <f>IF(OR($E438="",$F438=""),0,MAX(0,MIN($F438,DATE(Dashboard!$C$4,3,1))-MAX($E438,DATE(Dashboard!$C$4,2,1))))</f>
        <v/>
      </c>
      <c r="U438">
        <f>IF(OR($E438="",$F438=""),0,MAX(0,MIN($F438,DATE(Dashboard!$C$4,4,1))-MAX($E438,DATE(Dashboard!$C$4,3,1))))</f>
        <v/>
      </c>
      <c r="V438">
        <f>IF(OR($E438="",$F438=""),0,MAX(0,MIN($F438,DATE(Dashboard!$C$4,5,1))-MAX($E438,DATE(Dashboard!$C$4,4,1))))</f>
        <v/>
      </c>
      <c r="W438">
        <f>IF(OR($E438="",$F438=""),0,MAX(0,MIN($F438,DATE(Dashboard!$C$4,6,1))-MAX($E438,DATE(Dashboard!$C$4,5,1))))</f>
        <v/>
      </c>
      <c r="X438">
        <f>IF(OR($E438="",$F438=""),0,MAX(0,MIN($F438,DATE(Dashboard!$C$4,7,1))-MAX($E438,DATE(Dashboard!$C$4,6,1))))</f>
        <v/>
      </c>
      <c r="Y438">
        <f>IF(OR($E438="",$F438=""),0,MAX(0,MIN($F438,DATE(Dashboard!$C$4,8,1))-MAX($E438,DATE(Dashboard!$C$4,7,1))))</f>
        <v/>
      </c>
      <c r="Z438">
        <f>IF(OR($E438="",$F438=""),0,MAX(0,MIN($F438,DATE(Dashboard!$C$4,9,1))-MAX($E438,DATE(Dashboard!$C$4,8,1))))</f>
        <v/>
      </c>
      <c r="AA438">
        <f>IF(OR($E438="",$F438=""),0,MAX(0,MIN($F438,DATE(Dashboard!$C$4,10,1))-MAX($E438,DATE(Dashboard!$C$4,9,1))))</f>
        <v/>
      </c>
      <c r="AB438">
        <f>IF(OR($E438="",$F438=""),0,MAX(0,MIN($F438,DATE(Dashboard!$C$4,11,1))-MAX($E438,DATE(Dashboard!$C$4,10,1))))</f>
        <v/>
      </c>
      <c r="AC438">
        <f>IF(OR($E438="",$F438=""),0,MAX(0,MIN($F438,DATE(Dashboard!$C$4,12,1))-MAX($E438,DATE(Dashboard!$C$4,11,1))))</f>
        <v/>
      </c>
      <c r="AD438">
        <f>IF(OR($E438="",$F438=""),0,MAX(0,MIN($F438,DATE(Dashboard!$C$4,13,1))-MAX($E438,DATE(Dashboard!$C$4,12,1))))</f>
        <v/>
      </c>
      <c r="AE438">
        <f>SUM(S438:AD438)</f>
        <v/>
      </c>
      <c r="AF438">
        <f>Q438*AE438</f>
        <v/>
      </c>
      <c r="AG438">
        <f>R438*AE438</f>
        <v/>
      </c>
      <c r="AH438">
        <f>SUMPRODUCT(S438:AD438,--(COLUMN(S438:AD438)-COLUMN(S438)+1&lt;=Dashboard!$N$1))</f>
        <v/>
      </c>
      <c r="AI438">
        <f>IF(OR(E438="",E438&lt;TODAY()),"",E438+ROW()/100000)</f>
        <v/>
      </c>
      <c r="AJ438">
        <f>IF(OR(F438="",F438&lt;TODAY()),"",F438+ROW()/100000)</f>
        <v/>
      </c>
    </row>
    <row r="439">
      <c r="A439" s="1" t="n"/>
      <c r="B439" s="35" t="n"/>
      <c r="C439" s="35" t="n"/>
      <c r="D439" s="35" t="n"/>
      <c r="E439" s="36" t="n"/>
      <c r="F439" s="36" t="n"/>
      <c r="G439" s="18">
        <f>IF(OR(E439="",F439=""),"",F439-E439)</f>
        <v/>
      </c>
      <c r="H439" s="37" t="n"/>
      <c r="I439" s="38" t="n"/>
      <c r="J439" s="38" t="n"/>
      <c r="K439" s="38" t="n"/>
      <c r="L439" s="31">
        <f>IF(E439="","",N(I439)+N(J439)-N(K439))</f>
        <v/>
      </c>
      <c r="M439" s="39" t="n"/>
      <c r="N439" s="27">
        <f>IF(E439="","",IF(TODAY()&lt;E439,"Upcoming",IF(TODAY()&lt;F439,"Staying now",IF(M439="Yes","Checked out","Payout not received"))))</f>
        <v/>
      </c>
      <c r="O439" s="35" t="n"/>
      <c r="P439" s="1" t="n"/>
      <c r="Q439">
        <f>IF(N(G439)&gt;0,L439/G439,0)</f>
        <v/>
      </c>
      <c r="R439">
        <f>IF(N(G439)&gt;0,N(I439)/G439,0)</f>
        <v/>
      </c>
      <c r="S439">
        <f>IF(OR($E439="",$F439=""),0,MAX(0,MIN($F439,DATE(Dashboard!$C$4,2,1))-MAX($E439,DATE(Dashboard!$C$4,1,1))))</f>
        <v/>
      </c>
      <c r="T439">
        <f>IF(OR($E439="",$F439=""),0,MAX(0,MIN($F439,DATE(Dashboard!$C$4,3,1))-MAX($E439,DATE(Dashboard!$C$4,2,1))))</f>
        <v/>
      </c>
      <c r="U439">
        <f>IF(OR($E439="",$F439=""),0,MAX(0,MIN($F439,DATE(Dashboard!$C$4,4,1))-MAX($E439,DATE(Dashboard!$C$4,3,1))))</f>
        <v/>
      </c>
      <c r="V439">
        <f>IF(OR($E439="",$F439=""),0,MAX(0,MIN($F439,DATE(Dashboard!$C$4,5,1))-MAX($E439,DATE(Dashboard!$C$4,4,1))))</f>
        <v/>
      </c>
      <c r="W439">
        <f>IF(OR($E439="",$F439=""),0,MAX(0,MIN($F439,DATE(Dashboard!$C$4,6,1))-MAX($E439,DATE(Dashboard!$C$4,5,1))))</f>
        <v/>
      </c>
      <c r="X439">
        <f>IF(OR($E439="",$F439=""),0,MAX(0,MIN($F439,DATE(Dashboard!$C$4,7,1))-MAX($E439,DATE(Dashboard!$C$4,6,1))))</f>
        <v/>
      </c>
      <c r="Y439">
        <f>IF(OR($E439="",$F439=""),0,MAX(0,MIN($F439,DATE(Dashboard!$C$4,8,1))-MAX($E439,DATE(Dashboard!$C$4,7,1))))</f>
        <v/>
      </c>
      <c r="Z439">
        <f>IF(OR($E439="",$F439=""),0,MAX(0,MIN($F439,DATE(Dashboard!$C$4,9,1))-MAX($E439,DATE(Dashboard!$C$4,8,1))))</f>
        <v/>
      </c>
      <c r="AA439">
        <f>IF(OR($E439="",$F439=""),0,MAX(0,MIN($F439,DATE(Dashboard!$C$4,10,1))-MAX($E439,DATE(Dashboard!$C$4,9,1))))</f>
        <v/>
      </c>
      <c r="AB439">
        <f>IF(OR($E439="",$F439=""),0,MAX(0,MIN($F439,DATE(Dashboard!$C$4,11,1))-MAX($E439,DATE(Dashboard!$C$4,10,1))))</f>
        <v/>
      </c>
      <c r="AC439">
        <f>IF(OR($E439="",$F439=""),0,MAX(0,MIN($F439,DATE(Dashboard!$C$4,12,1))-MAX($E439,DATE(Dashboard!$C$4,11,1))))</f>
        <v/>
      </c>
      <c r="AD439">
        <f>IF(OR($E439="",$F439=""),0,MAX(0,MIN($F439,DATE(Dashboard!$C$4,13,1))-MAX($E439,DATE(Dashboard!$C$4,12,1))))</f>
        <v/>
      </c>
      <c r="AE439">
        <f>SUM(S439:AD439)</f>
        <v/>
      </c>
      <c r="AF439">
        <f>Q439*AE439</f>
        <v/>
      </c>
      <c r="AG439">
        <f>R439*AE439</f>
        <v/>
      </c>
      <c r="AH439">
        <f>SUMPRODUCT(S439:AD439,--(COLUMN(S439:AD439)-COLUMN(S439)+1&lt;=Dashboard!$N$1))</f>
        <v/>
      </c>
      <c r="AI439">
        <f>IF(OR(E439="",E439&lt;TODAY()),"",E439+ROW()/100000)</f>
        <v/>
      </c>
      <c r="AJ439">
        <f>IF(OR(F439="",F439&lt;TODAY()),"",F439+ROW()/100000)</f>
        <v/>
      </c>
    </row>
    <row r="440">
      <c r="A440" s="1" t="n"/>
      <c r="B440" s="35" t="n"/>
      <c r="C440" s="35" t="n"/>
      <c r="D440" s="35" t="n"/>
      <c r="E440" s="36" t="n"/>
      <c r="F440" s="36" t="n"/>
      <c r="G440" s="18">
        <f>IF(OR(E440="",F440=""),"",F440-E440)</f>
        <v/>
      </c>
      <c r="H440" s="37" t="n"/>
      <c r="I440" s="38" t="n"/>
      <c r="J440" s="38" t="n"/>
      <c r="K440" s="38" t="n"/>
      <c r="L440" s="31">
        <f>IF(E440="","",N(I440)+N(J440)-N(K440))</f>
        <v/>
      </c>
      <c r="M440" s="39" t="n"/>
      <c r="N440" s="27">
        <f>IF(E440="","",IF(TODAY()&lt;E440,"Upcoming",IF(TODAY()&lt;F440,"Staying now",IF(M440="Yes","Checked out","Payout not received"))))</f>
        <v/>
      </c>
      <c r="O440" s="35" t="n"/>
      <c r="P440" s="1" t="n"/>
      <c r="Q440">
        <f>IF(N(G440)&gt;0,L440/G440,0)</f>
        <v/>
      </c>
      <c r="R440">
        <f>IF(N(G440)&gt;0,N(I440)/G440,0)</f>
        <v/>
      </c>
      <c r="S440">
        <f>IF(OR($E440="",$F440=""),0,MAX(0,MIN($F440,DATE(Dashboard!$C$4,2,1))-MAX($E440,DATE(Dashboard!$C$4,1,1))))</f>
        <v/>
      </c>
      <c r="T440">
        <f>IF(OR($E440="",$F440=""),0,MAX(0,MIN($F440,DATE(Dashboard!$C$4,3,1))-MAX($E440,DATE(Dashboard!$C$4,2,1))))</f>
        <v/>
      </c>
      <c r="U440">
        <f>IF(OR($E440="",$F440=""),0,MAX(0,MIN($F440,DATE(Dashboard!$C$4,4,1))-MAX($E440,DATE(Dashboard!$C$4,3,1))))</f>
        <v/>
      </c>
      <c r="V440">
        <f>IF(OR($E440="",$F440=""),0,MAX(0,MIN($F440,DATE(Dashboard!$C$4,5,1))-MAX($E440,DATE(Dashboard!$C$4,4,1))))</f>
        <v/>
      </c>
      <c r="W440">
        <f>IF(OR($E440="",$F440=""),0,MAX(0,MIN($F440,DATE(Dashboard!$C$4,6,1))-MAX($E440,DATE(Dashboard!$C$4,5,1))))</f>
        <v/>
      </c>
      <c r="X440">
        <f>IF(OR($E440="",$F440=""),0,MAX(0,MIN($F440,DATE(Dashboard!$C$4,7,1))-MAX($E440,DATE(Dashboard!$C$4,6,1))))</f>
        <v/>
      </c>
      <c r="Y440">
        <f>IF(OR($E440="",$F440=""),0,MAX(0,MIN($F440,DATE(Dashboard!$C$4,8,1))-MAX($E440,DATE(Dashboard!$C$4,7,1))))</f>
        <v/>
      </c>
      <c r="Z440">
        <f>IF(OR($E440="",$F440=""),0,MAX(0,MIN($F440,DATE(Dashboard!$C$4,9,1))-MAX($E440,DATE(Dashboard!$C$4,8,1))))</f>
        <v/>
      </c>
      <c r="AA440">
        <f>IF(OR($E440="",$F440=""),0,MAX(0,MIN($F440,DATE(Dashboard!$C$4,10,1))-MAX($E440,DATE(Dashboard!$C$4,9,1))))</f>
        <v/>
      </c>
      <c r="AB440">
        <f>IF(OR($E440="",$F440=""),0,MAX(0,MIN($F440,DATE(Dashboard!$C$4,11,1))-MAX($E440,DATE(Dashboard!$C$4,10,1))))</f>
        <v/>
      </c>
      <c r="AC440">
        <f>IF(OR($E440="",$F440=""),0,MAX(0,MIN($F440,DATE(Dashboard!$C$4,12,1))-MAX($E440,DATE(Dashboard!$C$4,11,1))))</f>
        <v/>
      </c>
      <c r="AD440">
        <f>IF(OR($E440="",$F440=""),0,MAX(0,MIN($F440,DATE(Dashboard!$C$4,13,1))-MAX($E440,DATE(Dashboard!$C$4,12,1))))</f>
        <v/>
      </c>
      <c r="AE440">
        <f>SUM(S440:AD440)</f>
        <v/>
      </c>
      <c r="AF440">
        <f>Q440*AE440</f>
        <v/>
      </c>
      <c r="AG440">
        <f>R440*AE440</f>
        <v/>
      </c>
      <c r="AH440">
        <f>SUMPRODUCT(S440:AD440,--(COLUMN(S440:AD440)-COLUMN(S440)+1&lt;=Dashboard!$N$1))</f>
        <v/>
      </c>
      <c r="AI440">
        <f>IF(OR(E440="",E440&lt;TODAY()),"",E440+ROW()/100000)</f>
        <v/>
      </c>
      <c r="AJ440">
        <f>IF(OR(F440="",F440&lt;TODAY()),"",F440+ROW()/100000)</f>
        <v/>
      </c>
    </row>
    <row r="441">
      <c r="A441" s="1" t="n"/>
      <c r="B441" s="35" t="n"/>
      <c r="C441" s="35" t="n"/>
      <c r="D441" s="35" t="n"/>
      <c r="E441" s="36" t="n"/>
      <c r="F441" s="36" t="n"/>
      <c r="G441" s="18">
        <f>IF(OR(E441="",F441=""),"",F441-E441)</f>
        <v/>
      </c>
      <c r="H441" s="37" t="n"/>
      <c r="I441" s="38" t="n"/>
      <c r="J441" s="38" t="n"/>
      <c r="K441" s="38" t="n"/>
      <c r="L441" s="31">
        <f>IF(E441="","",N(I441)+N(J441)-N(K441))</f>
        <v/>
      </c>
      <c r="M441" s="39" t="n"/>
      <c r="N441" s="27">
        <f>IF(E441="","",IF(TODAY()&lt;E441,"Upcoming",IF(TODAY()&lt;F441,"Staying now",IF(M441="Yes","Checked out","Payout not received"))))</f>
        <v/>
      </c>
      <c r="O441" s="35" t="n"/>
      <c r="P441" s="1" t="n"/>
      <c r="Q441">
        <f>IF(N(G441)&gt;0,L441/G441,0)</f>
        <v/>
      </c>
      <c r="R441">
        <f>IF(N(G441)&gt;0,N(I441)/G441,0)</f>
        <v/>
      </c>
      <c r="S441">
        <f>IF(OR($E441="",$F441=""),0,MAX(0,MIN($F441,DATE(Dashboard!$C$4,2,1))-MAX($E441,DATE(Dashboard!$C$4,1,1))))</f>
        <v/>
      </c>
      <c r="T441">
        <f>IF(OR($E441="",$F441=""),0,MAX(0,MIN($F441,DATE(Dashboard!$C$4,3,1))-MAX($E441,DATE(Dashboard!$C$4,2,1))))</f>
        <v/>
      </c>
      <c r="U441">
        <f>IF(OR($E441="",$F441=""),0,MAX(0,MIN($F441,DATE(Dashboard!$C$4,4,1))-MAX($E441,DATE(Dashboard!$C$4,3,1))))</f>
        <v/>
      </c>
      <c r="V441">
        <f>IF(OR($E441="",$F441=""),0,MAX(0,MIN($F441,DATE(Dashboard!$C$4,5,1))-MAX($E441,DATE(Dashboard!$C$4,4,1))))</f>
        <v/>
      </c>
      <c r="W441">
        <f>IF(OR($E441="",$F441=""),0,MAX(0,MIN($F441,DATE(Dashboard!$C$4,6,1))-MAX($E441,DATE(Dashboard!$C$4,5,1))))</f>
        <v/>
      </c>
      <c r="X441">
        <f>IF(OR($E441="",$F441=""),0,MAX(0,MIN($F441,DATE(Dashboard!$C$4,7,1))-MAX($E441,DATE(Dashboard!$C$4,6,1))))</f>
        <v/>
      </c>
      <c r="Y441">
        <f>IF(OR($E441="",$F441=""),0,MAX(0,MIN($F441,DATE(Dashboard!$C$4,8,1))-MAX($E441,DATE(Dashboard!$C$4,7,1))))</f>
        <v/>
      </c>
      <c r="Z441">
        <f>IF(OR($E441="",$F441=""),0,MAX(0,MIN($F441,DATE(Dashboard!$C$4,9,1))-MAX($E441,DATE(Dashboard!$C$4,8,1))))</f>
        <v/>
      </c>
      <c r="AA441">
        <f>IF(OR($E441="",$F441=""),0,MAX(0,MIN($F441,DATE(Dashboard!$C$4,10,1))-MAX($E441,DATE(Dashboard!$C$4,9,1))))</f>
        <v/>
      </c>
      <c r="AB441">
        <f>IF(OR($E441="",$F441=""),0,MAX(0,MIN($F441,DATE(Dashboard!$C$4,11,1))-MAX($E441,DATE(Dashboard!$C$4,10,1))))</f>
        <v/>
      </c>
      <c r="AC441">
        <f>IF(OR($E441="",$F441=""),0,MAX(0,MIN($F441,DATE(Dashboard!$C$4,12,1))-MAX($E441,DATE(Dashboard!$C$4,11,1))))</f>
        <v/>
      </c>
      <c r="AD441">
        <f>IF(OR($E441="",$F441=""),0,MAX(0,MIN($F441,DATE(Dashboard!$C$4,13,1))-MAX($E441,DATE(Dashboard!$C$4,12,1))))</f>
        <v/>
      </c>
      <c r="AE441">
        <f>SUM(S441:AD441)</f>
        <v/>
      </c>
      <c r="AF441">
        <f>Q441*AE441</f>
        <v/>
      </c>
      <c r="AG441">
        <f>R441*AE441</f>
        <v/>
      </c>
      <c r="AH441">
        <f>SUMPRODUCT(S441:AD441,--(COLUMN(S441:AD441)-COLUMN(S441)+1&lt;=Dashboard!$N$1))</f>
        <v/>
      </c>
      <c r="AI441">
        <f>IF(OR(E441="",E441&lt;TODAY()),"",E441+ROW()/100000)</f>
        <v/>
      </c>
      <c r="AJ441">
        <f>IF(OR(F441="",F441&lt;TODAY()),"",F441+ROW()/100000)</f>
        <v/>
      </c>
    </row>
    <row r="442">
      <c r="A442" s="1" t="n"/>
      <c r="B442" s="35" t="n"/>
      <c r="C442" s="35" t="n"/>
      <c r="D442" s="35" t="n"/>
      <c r="E442" s="36" t="n"/>
      <c r="F442" s="36" t="n"/>
      <c r="G442" s="18">
        <f>IF(OR(E442="",F442=""),"",F442-E442)</f>
        <v/>
      </c>
      <c r="H442" s="37" t="n"/>
      <c r="I442" s="38" t="n"/>
      <c r="J442" s="38" t="n"/>
      <c r="K442" s="38" t="n"/>
      <c r="L442" s="31">
        <f>IF(E442="","",N(I442)+N(J442)-N(K442))</f>
        <v/>
      </c>
      <c r="M442" s="39" t="n"/>
      <c r="N442" s="27">
        <f>IF(E442="","",IF(TODAY()&lt;E442,"Upcoming",IF(TODAY()&lt;F442,"Staying now",IF(M442="Yes","Checked out","Payout not received"))))</f>
        <v/>
      </c>
      <c r="O442" s="35" t="n"/>
      <c r="P442" s="1" t="n"/>
      <c r="Q442">
        <f>IF(N(G442)&gt;0,L442/G442,0)</f>
        <v/>
      </c>
      <c r="R442">
        <f>IF(N(G442)&gt;0,N(I442)/G442,0)</f>
        <v/>
      </c>
      <c r="S442">
        <f>IF(OR($E442="",$F442=""),0,MAX(0,MIN($F442,DATE(Dashboard!$C$4,2,1))-MAX($E442,DATE(Dashboard!$C$4,1,1))))</f>
        <v/>
      </c>
      <c r="T442">
        <f>IF(OR($E442="",$F442=""),0,MAX(0,MIN($F442,DATE(Dashboard!$C$4,3,1))-MAX($E442,DATE(Dashboard!$C$4,2,1))))</f>
        <v/>
      </c>
      <c r="U442">
        <f>IF(OR($E442="",$F442=""),0,MAX(0,MIN($F442,DATE(Dashboard!$C$4,4,1))-MAX($E442,DATE(Dashboard!$C$4,3,1))))</f>
        <v/>
      </c>
      <c r="V442">
        <f>IF(OR($E442="",$F442=""),0,MAX(0,MIN($F442,DATE(Dashboard!$C$4,5,1))-MAX($E442,DATE(Dashboard!$C$4,4,1))))</f>
        <v/>
      </c>
      <c r="W442">
        <f>IF(OR($E442="",$F442=""),0,MAX(0,MIN($F442,DATE(Dashboard!$C$4,6,1))-MAX($E442,DATE(Dashboard!$C$4,5,1))))</f>
        <v/>
      </c>
      <c r="X442">
        <f>IF(OR($E442="",$F442=""),0,MAX(0,MIN($F442,DATE(Dashboard!$C$4,7,1))-MAX($E442,DATE(Dashboard!$C$4,6,1))))</f>
        <v/>
      </c>
      <c r="Y442">
        <f>IF(OR($E442="",$F442=""),0,MAX(0,MIN($F442,DATE(Dashboard!$C$4,8,1))-MAX($E442,DATE(Dashboard!$C$4,7,1))))</f>
        <v/>
      </c>
      <c r="Z442">
        <f>IF(OR($E442="",$F442=""),0,MAX(0,MIN($F442,DATE(Dashboard!$C$4,9,1))-MAX($E442,DATE(Dashboard!$C$4,8,1))))</f>
        <v/>
      </c>
      <c r="AA442">
        <f>IF(OR($E442="",$F442=""),0,MAX(0,MIN($F442,DATE(Dashboard!$C$4,10,1))-MAX($E442,DATE(Dashboard!$C$4,9,1))))</f>
        <v/>
      </c>
      <c r="AB442">
        <f>IF(OR($E442="",$F442=""),0,MAX(0,MIN($F442,DATE(Dashboard!$C$4,11,1))-MAX($E442,DATE(Dashboard!$C$4,10,1))))</f>
        <v/>
      </c>
      <c r="AC442">
        <f>IF(OR($E442="",$F442=""),0,MAX(0,MIN($F442,DATE(Dashboard!$C$4,12,1))-MAX($E442,DATE(Dashboard!$C$4,11,1))))</f>
        <v/>
      </c>
      <c r="AD442">
        <f>IF(OR($E442="",$F442=""),0,MAX(0,MIN($F442,DATE(Dashboard!$C$4,13,1))-MAX($E442,DATE(Dashboard!$C$4,12,1))))</f>
        <v/>
      </c>
      <c r="AE442">
        <f>SUM(S442:AD442)</f>
        <v/>
      </c>
      <c r="AF442">
        <f>Q442*AE442</f>
        <v/>
      </c>
      <c r="AG442">
        <f>R442*AE442</f>
        <v/>
      </c>
      <c r="AH442">
        <f>SUMPRODUCT(S442:AD442,--(COLUMN(S442:AD442)-COLUMN(S442)+1&lt;=Dashboard!$N$1))</f>
        <v/>
      </c>
      <c r="AI442">
        <f>IF(OR(E442="",E442&lt;TODAY()),"",E442+ROW()/100000)</f>
        <v/>
      </c>
      <c r="AJ442">
        <f>IF(OR(F442="",F442&lt;TODAY()),"",F442+ROW()/100000)</f>
        <v/>
      </c>
    </row>
    <row r="443">
      <c r="A443" s="1" t="n"/>
      <c r="B443" s="35" t="n"/>
      <c r="C443" s="35" t="n"/>
      <c r="D443" s="35" t="n"/>
      <c r="E443" s="36" t="n"/>
      <c r="F443" s="36" t="n"/>
      <c r="G443" s="18">
        <f>IF(OR(E443="",F443=""),"",F443-E443)</f>
        <v/>
      </c>
      <c r="H443" s="37" t="n"/>
      <c r="I443" s="38" t="n"/>
      <c r="J443" s="38" t="n"/>
      <c r="K443" s="38" t="n"/>
      <c r="L443" s="31">
        <f>IF(E443="","",N(I443)+N(J443)-N(K443))</f>
        <v/>
      </c>
      <c r="M443" s="39" t="n"/>
      <c r="N443" s="27">
        <f>IF(E443="","",IF(TODAY()&lt;E443,"Upcoming",IF(TODAY()&lt;F443,"Staying now",IF(M443="Yes","Checked out","Payout not received"))))</f>
        <v/>
      </c>
      <c r="O443" s="35" t="n"/>
      <c r="P443" s="1" t="n"/>
      <c r="Q443">
        <f>IF(N(G443)&gt;0,L443/G443,0)</f>
        <v/>
      </c>
      <c r="R443">
        <f>IF(N(G443)&gt;0,N(I443)/G443,0)</f>
        <v/>
      </c>
      <c r="S443">
        <f>IF(OR($E443="",$F443=""),0,MAX(0,MIN($F443,DATE(Dashboard!$C$4,2,1))-MAX($E443,DATE(Dashboard!$C$4,1,1))))</f>
        <v/>
      </c>
      <c r="T443">
        <f>IF(OR($E443="",$F443=""),0,MAX(0,MIN($F443,DATE(Dashboard!$C$4,3,1))-MAX($E443,DATE(Dashboard!$C$4,2,1))))</f>
        <v/>
      </c>
      <c r="U443">
        <f>IF(OR($E443="",$F443=""),0,MAX(0,MIN($F443,DATE(Dashboard!$C$4,4,1))-MAX($E443,DATE(Dashboard!$C$4,3,1))))</f>
        <v/>
      </c>
      <c r="V443">
        <f>IF(OR($E443="",$F443=""),0,MAX(0,MIN($F443,DATE(Dashboard!$C$4,5,1))-MAX($E443,DATE(Dashboard!$C$4,4,1))))</f>
        <v/>
      </c>
      <c r="W443">
        <f>IF(OR($E443="",$F443=""),0,MAX(0,MIN($F443,DATE(Dashboard!$C$4,6,1))-MAX($E443,DATE(Dashboard!$C$4,5,1))))</f>
        <v/>
      </c>
      <c r="X443">
        <f>IF(OR($E443="",$F443=""),0,MAX(0,MIN($F443,DATE(Dashboard!$C$4,7,1))-MAX($E443,DATE(Dashboard!$C$4,6,1))))</f>
        <v/>
      </c>
      <c r="Y443">
        <f>IF(OR($E443="",$F443=""),0,MAX(0,MIN($F443,DATE(Dashboard!$C$4,8,1))-MAX($E443,DATE(Dashboard!$C$4,7,1))))</f>
        <v/>
      </c>
      <c r="Z443">
        <f>IF(OR($E443="",$F443=""),0,MAX(0,MIN($F443,DATE(Dashboard!$C$4,9,1))-MAX($E443,DATE(Dashboard!$C$4,8,1))))</f>
        <v/>
      </c>
      <c r="AA443">
        <f>IF(OR($E443="",$F443=""),0,MAX(0,MIN($F443,DATE(Dashboard!$C$4,10,1))-MAX($E443,DATE(Dashboard!$C$4,9,1))))</f>
        <v/>
      </c>
      <c r="AB443">
        <f>IF(OR($E443="",$F443=""),0,MAX(0,MIN($F443,DATE(Dashboard!$C$4,11,1))-MAX($E443,DATE(Dashboard!$C$4,10,1))))</f>
        <v/>
      </c>
      <c r="AC443">
        <f>IF(OR($E443="",$F443=""),0,MAX(0,MIN($F443,DATE(Dashboard!$C$4,12,1))-MAX($E443,DATE(Dashboard!$C$4,11,1))))</f>
        <v/>
      </c>
      <c r="AD443">
        <f>IF(OR($E443="",$F443=""),0,MAX(0,MIN($F443,DATE(Dashboard!$C$4,13,1))-MAX($E443,DATE(Dashboard!$C$4,12,1))))</f>
        <v/>
      </c>
      <c r="AE443">
        <f>SUM(S443:AD443)</f>
        <v/>
      </c>
      <c r="AF443">
        <f>Q443*AE443</f>
        <v/>
      </c>
      <c r="AG443">
        <f>R443*AE443</f>
        <v/>
      </c>
      <c r="AH443">
        <f>SUMPRODUCT(S443:AD443,--(COLUMN(S443:AD443)-COLUMN(S443)+1&lt;=Dashboard!$N$1))</f>
        <v/>
      </c>
      <c r="AI443">
        <f>IF(OR(E443="",E443&lt;TODAY()),"",E443+ROW()/100000)</f>
        <v/>
      </c>
      <c r="AJ443">
        <f>IF(OR(F443="",F443&lt;TODAY()),"",F443+ROW()/100000)</f>
        <v/>
      </c>
    </row>
    <row r="444">
      <c r="A444" s="1" t="n"/>
      <c r="B444" s="35" t="n"/>
      <c r="C444" s="35" t="n"/>
      <c r="D444" s="35" t="n"/>
      <c r="E444" s="36" t="n"/>
      <c r="F444" s="36" t="n"/>
      <c r="G444" s="18">
        <f>IF(OR(E444="",F444=""),"",F444-E444)</f>
        <v/>
      </c>
      <c r="H444" s="37" t="n"/>
      <c r="I444" s="38" t="n"/>
      <c r="J444" s="38" t="n"/>
      <c r="K444" s="38" t="n"/>
      <c r="L444" s="31">
        <f>IF(E444="","",N(I444)+N(J444)-N(K444))</f>
        <v/>
      </c>
      <c r="M444" s="39" t="n"/>
      <c r="N444" s="27">
        <f>IF(E444="","",IF(TODAY()&lt;E444,"Upcoming",IF(TODAY()&lt;F444,"Staying now",IF(M444="Yes","Checked out","Payout not received"))))</f>
        <v/>
      </c>
      <c r="O444" s="35" t="n"/>
      <c r="P444" s="1" t="n"/>
      <c r="Q444">
        <f>IF(N(G444)&gt;0,L444/G444,0)</f>
        <v/>
      </c>
      <c r="R444">
        <f>IF(N(G444)&gt;0,N(I444)/G444,0)</f>
        <v/>
      </c>
      <c r="S444">
        <f>IF(OR($E444="",$F444=""),0,MAX(0,MIN($F444,DATE(Dashboard!$C$4,2,1))-MAX($E444,DATE(Dashboard!$C$4,1,1))))</f>
        <v/>
      </c>
      <c r="T444">
        <f>IF(OR($E444="",$F444=""),0,MAX(0,MIN($F444,DATE(Dashboard!$C$4,3,1))-MAX($E444,DATE(Dashboard!$C$4,2,1))))</f>
        <v/>
      </c>
      <c r="U444">
        <f>IF(OR($E444="",$F444=""),0,MAX(0,MIN($F444,DATE(Dashboard!$C$4,4,1))-MAX($E444,DATE(Dashboard!$C$4,3,1))))</f>
        <v/>
      </c>
      <c r="V444">
        <f>IF(OR($E444="",$F444=""),0,MAX(0,MIN($F444,DATE(Dashboard!$C$4,5,1))-MAX($E444,DATE(Dashboard!$C$4,4,1))))</f>
        <v/>
      </c>
      <c r="W444">
        <f>IF(OR($E444="",$F444=""),0,MAX(0,MIN($F444,DATE(Dashboard!$C$4,6,1))-MAX($E444,DATE(Dashboard!$C$4,5,1))))</f>
        <v/>
      </c>
      <c r="X444">
        <f>IF(OR($E444="",$F444=""),0,MAX(0,MIN($F444,DATE(Dashboard!$C$4,7,1))-MAX($E444,DATE(Dashboard!$C$4,6,1))))</f>
        <v/>
      </c>
      <c r="Y444">
        <f>IF(OR($E444="",$F444=""),0,MAX(0,MIN($F444,DATE(Dashboard!$C$4,8,1))-MAX($E444,DATE(Dashboard!$C$4,7,1))))</f>
        <v/>
      </c>
      <c r="Z444">
        <f>IF(OR($E444="",$F444=""),0,MAX(0,MIN($F444,DATE(Dashboard!$C$4,9,1))-MAX($E444,DATE(Dashboard!$C$4,8,1))))</f>
        <v/>
      </c>
      <c r="AA444">
        <f>IF(OR($E444="",$F444=""),0,MAX(0,MIN($F444,DATE(Dashboard!$C$4,10,1))-MAX($E444,DATE(Dashboard!$C$4,9,1))))</f>
        <v/>
      </c>
      <c r="AB444">
        <f>IF(OR($E444="",$F444=""),0,MAX(0,MIN($F444,DATE(Dashboard!$C$4,11,1))-MAX($E444,DATE(Dashboard!$C$4,10,1))))</f>
        <v/>
      </c>
      <c r="AC444">
        <f>IF(OR($E444="",$F444=""),0,MAX(0,MIN($F444,DATE(Dashboard!$C$4,12,1))-MAX($E444,DATE(Dashboard!$C$4,11,1))))</f>
        <v/>
      </c>
      <c r="AD444">
        <f>IF(OR($E444="",$F444=""),0,MAX(0,MIN($F444,DATE(Dashboard!$C$4,13,1))-MAX($E444,DATE(Dashboard!$C$4,12,1))))</f>
        <v/>
      </c>
      <c r="AE444">
        <f>SUM(S444:AD444)</f>
        <v/>
      </c>
      <c r="AF444">
        <f>Q444*AE444</f>
        <v/>
      </c>
      <c r="AG444">
        <f>R444*AE444</f>
        <v/>
      </c>
      <c r="AH444">
        <f>SUMPRODUCT(S444:AD444,--(COLUMN(S444:AD444)-COLUMN(S444)+1&lt;=Dashboard!$N$1))</f>
        <v/>
      </c>
      <c r="AI444">
        <f>IF(OR(E444="",E444&lt;TODAY()),"",E444+ROW()/100000)</f>
        <v/>
      </c>
      <c r="AJ444">
        <f>IF(OR(F444="",F444&lt;TODAY()),"",F444+ROW()/100000)</f>
        <v/>
      </c>
    </row>
    <row r="445">
      <c r="A445" s="1" t="n"/>
      <c r="B445" s="35" t="n"/>
      <c r="C445" s="35" t="n"/>
      <c r="D445" s="35" t="n"/>
      <c r="E445" s="36" t="n"/>
      <c r="F445" s="36" t="n"/>
      <c r="G445" s="18">
        <f>IF(OR(E445="",F445=""),"",F445-E445)</f>
        <v/>
      </c>
      <c r="H445" s="37" t="n"/>
      <c r="I445" s="38" t="n"/>
      <c r="J445" s="38" t="n"/>
      <c r="K445" s="38" t="n"/>
      <c r="L445" s="31">
        <f>IF(E445="","",N(I445)+N(J445)-N(K445))</f>
        <v/>
      </c>
      <c r="M445" s="39" t="n"/>
      <c r="N445" s="27">
        <f>IF(E445="","",IF(TODAY()&lt;E445,"Upcoming",IF(TODAY()&lt;F445,"Staying now",IF(M445="Yes","Checked out","Payout not received"))))</f>
        <v/>
      </c>
      <c r="O445" s="35" t="n"/>
      <c r="P445" s="1" t="n"/>
      <c r="Q445">
        <f>IF(N(G445)&gt;0,L445/G445,0)</f>
        <v/>
      </c>
      <c r="R445">
        <f>IF(N(G445)&gt;0,N(I445)/G445,0)</f>
        <v/>
      </c>
      <c r="S445">
        <f>IF(OR($E445="",$F445=""),0,MAX(0,MIN($F445,DATE(Dashboard!$C$4,2,1))-MAX($E445,DATE(Dashboard!$C$4,1,1))))</f>
        <v/>
      </c>
      <c r="T445">
        <f>IF(OR($E445="",$F445=""),0,MAX(0,MIN($F445,DATE(Dashboard!$C$4,3,1))-MAX($E445,DATE(Dashboard!$C$4,2,1))))</f>
        <v/>
      </c>
      <c r="U445">
        <f>IF(OR($E445="",$F445=""),0,MAX(0,MIN($F445,DATE(Dashboard!$C$4,4,1))-MAX($E445,DATE(Dashboard!$C$4,3,1))))</f>
        <v/>
      </c>
      <c r="V445">
        <f>IF(OR($E445="",$F445=""),0,MAX(0,MIN($F445,DATE(Dashboard!$C$4,5,1))-MAX($E445,DATE(Dashboard!$C$4,4,1))))</f>
        <v/>
      </c>
      <c r="W445">
        <f>IF(OR($E445="",$F445=""),0,MAX(0,MIN($F445,DATE(Dashboard!$C$4,6,1))-MAX($E445,DATE(Dashboard!$C$4,5,1))))</f>
        <v/>
      </c>
      <c r="X445">
        <f>IF(OR($E445="",$F445=""),0,MAX(0,MIN($F445,DATE(Dashboard!$C$4,7,1))-MAX($E445,DATE(Dashboard!$C$4,6,1))))</f>
        <v/>
      </c>
      <c r="Y445">
        <f>IF(OR($E445="",$F445=""),0,MAX(0,MIN($F445,DATE(Dashboard!$C$4,8,1))-MAX($E445,DATE(Dashboard!$C$4,7,1))))</f>
        <v/>
      </c>
      <c r="Z445">
        <f>IF(OR($E445="",$F445=""),0,MAX(0,MIN($F445,DATE(Dashboard!$C$4,9,1))-MAX($E445,DATE(Dashboard!$C$4,8,1))))</f>
        <v/>
      </c>
      <c r="AA445">
        <f>IF(OR($E445="",$F445=""),0,MAX(0,MIN($F445,DATE(Dashboard!$C$4,10,1))-MAX($E445,DATE(Dashboard!$C$4,9,1))))</f>
        <v/>
      </c>
      <c r="AB445">
        <f>IF(OR($E445="",$F445=""),0,MAX(0,MIN($F445,DATE(Dashboard!$C$4,11,1))-MAX($E445,DATE(Dashboard!$C$4,10,1))))</f>
        <v/>
      </c>
      <c r="AC445">
        <f>IF(OR($E445="",$F445=""),0,MAX(0,MIN($F445,DATE(Dashboard!$C$4,12,1))-MAX($E445,DATE(Dashboard!$C$4,11,1))))</f>
        <v/>
      </c>
      <c r="AD445">
        <f>IF(OR($E445="",$F445=""),0,MAX(0,MIN($F445,DATE(Dashboard!$C$4,13,1))-MAX($E445,DATE(Dashboard!$C$4,12,1))))</f>
        <v/>
      </c>
      <c r="AE445">
        <f>SUM(S445:AD445)</f>
        <v/>
      </c>
      <c r="AF445">
        <f>Q445*AE445</f>
        <v/>
      </c>
      <c r="AG445">
        <f>R445*AE445</f>
        <v/>
      </c>
      <c r="AH445">
        <f>SUMPRODUCT(S445:AD445,--(COLUMN(S445:AD445)-COLUMN(S445)+1&lt;=Dashboard!$N$1))</f>
        <v/>
      </c>
      <c r="AI445">
        <f>IF(OR(E445="",E445&lt;TODAY()),"",E445+ROW()/100000)</f>
        <v/>
      </c>
      <c r="AJ445">
        <f>IF(OR(F445="",F445&lt;TODAY()),"",F445+ROW()/100000)</f>
        <v/>
      </c>
    </row>
    <row r="446">
      <c r="A446" s="1" t="n"/>
      <c r="B446" s="35" t="n"/>
      <c r="C446" s="35" t="n"/>
      <c r="D446" s="35" t="n"/>
      <c r="E446" s="36" t="n"/>
      <c r="F446" s="36" t="n"/>
      <c r="G446" s="18">
        <f>IF(OR(E446="",F446=""),"",F446-E446)</f>
        <v/>
      </c>
      <c r="H446" s="37" t="n"/>
      <c r="I446" s="38" t="n"/>
      <c r="J446" s="38" t="n"/>
      <c r="K446" s="38" t="n"/>
      <c r="L446" s="31">
        <f>IF(E446="","",N(I446)+N(J446)-N(K446))</f>
        <v/>
      </c>
      <c r="M446" s="39" t="n"/>
      <c r="N446" s="27">
        <f>IF(E446="","",IF(TODAY()&lt;E446,"Upcoming",IF(TODAY()&lt;F446,"Staying now",IF(M446="Yes","Checked out","Payout not received"))))</f>
        <v/>
      </c>
      <c r="O446" s="35" t="n"/>
      <c r="P446" s="1" t="n"/>
      <c r="Q446">
        <f>IF(N(G446)&gt;0,L446/G446,0)</f>
        <v/>
      </c>
      <c r="R446">
        <f>IF(N(G446)&gt;0,N(I446)/G446,0)</f>
        <v/>
      </c>
      <c r="S446">
        <f>IF(OR($E446="",$F446=""),0,MAX(0,MIN($F446,DATE(Dashboard!$C$4,2,1))-MAX($E446,DATE(Dashboard!$C$4,1,1))))</f>
        <v/>
      </c>
      <c r="T446">
        <f>IF(OR($E446="",$F446=""),0,MAX(0,MIN($F446,DATE(Dashboard!$C$4,3,1))-MAX($E446,DATE(Dashboard!$C$4,2,1))))</f>
        <v/>
      </c>
      <c r="U446">
        <f>IF(OR($E446="",$F446=""),0,MAX(0,MIN($F446,DATE(Dashboard!$C$4,4,1))-MAX($E446,DATE(Dashboard!$C$4,3,1))))</f>
        <v/>
      </c>
      <c r="V446">
        <f>IF(OR($E446="",$F446=""),0,MAX(0,MIN($F446,DATE(Dashboard!$C$4,5,1))-MAX($E446,DATE(Dashboard!$C$4,4,1))))</f>
        <v/>
      </c>
      <c r="W446">
        <f>IF(OR($E446="",$F446=""),0,MAX(0,MIN($F446,DATE(Dashboard!$C$4,6,1))-MAX($E446,DATE(Dashboard!$C$4,5,1))))</f>
        <v/>
      </c>
      <c r="X446">
        <f>IF(OR($E446="",$F446=""),0,MAX(0,MIN($F446,DATE(Dashboard!$C$4,7,1))-MAX($E446,DATE(Dashboard!$C$4,6,1))))</f>
        <v/>
      </c>
      <c r="Y446">
        <f>IF(OR($E446="",$F446=""),0,MAX(0,MIN($F446,DATE(Dashboard!$C$4,8,1))-MAX($E446,DATE(Dashboard!$C$4,7,1))))</f>
        <v/>
      </c>
      <c r="Z446">
        <f>IF(OR($E446="",$F446=""),0,MAX(0,MIN($F446,DATE(Dashboard!$C$4,9,1))-MAX($E446,DATE(Dashboard!$C$4,8,1))))</f>
        <v/>
      </c>
      <c r="AA446">
        <f>IF(OR($E446="",$F446=""),0,MAX(0,MIN($F446,DATE(Dashboard!$C$4,10,1))-MAX($E446,DATE(Dashboard!$C$4,9,1))))</f>
        <v/>
      </c>
      <c r="AB446">
        <f>IF(OR($E446="",$F446=""),0,MAX(0,MIN($F446,DATE(Dashboard!$C$4,11,1))-MAX($E446,DATE(Dashboard!$C$4,10,1))))</f>
        <v/>
      </c>
      <c r="AC446">
        <f>IF(OR($E446="",$F446=""),0,MAX(0,MIN($F446,DATE(Dashboard!$C$4,12,1))-MAX($E446,DATE(Dashboard!$C$4,11,1))))</f>
        <v/>
      </c>
      <c r="AD446">
        <f>IF(OR($E446="",$F446=""),0,MAX(0,MIN($F446,DATE(Dashboard!$C$4,13,1))-MAX($E446,DATE(Dashboard!$C$4,12,1))))</f>
        <v/>
      </c>
      <c r="AE446">
        <f>SUM(S446:AD446)</f>
        <v/>
      </c>
      <c r="AF446">
        <f>Q446*AE446</f>
        <v/>
      </c>
      <c r="AG446">
        <f>R446*AE446</f>
        <v/>
      </c>
      <c r="AH446">
        <f>SUMPRODUCT(S446:AD446,--(COLUMN(S446:AD446)-COLUMN(S446)+1&lt;=Dashboard!$N$1))</f>
        <v/>
      </c>
      <c r="AI446">
        <f>IF(OR(E446="",E446&lt;TODAY()),"",E446+ROW()/100000)</f>
        <v/>
      </c>
      <c r="AJ446">
        <f>IF(OR(F446="",F446&lt;TODAY()),"",F446+ROW()/100000)</f>
        <v/>
      </c>
    </row>
    <row r="447">
      <c r="A447" s="1" t="n"/>
      <c r="B447" s="35" t="n"/>
      <c r="C447" s="35" t="n"/>
      <c r="D447" s="35" t="n"/>
      <c r="E447" s="36" t="n"/>
      <c r="F447" s="36" t="n"/>
      <c r="G447" s="18">
        <f>IF(OR(E447="",F447=""),"",F447-E447)</f>
        <v/>
      </c>
      <c r="H447" s="37" t="n"/>
      <c r="I447" s="38" t="n"/>
      <c r="J447" s="38" t="n"/>
      <c r="K447" s="38" t="n"/>
      <c r="L447" s="31">
        <f>IF(E447="","",N(I447)+N(J447)-N(K447))</f>
        <v/>
      </c>
      <c r="M447" s="39" t="n"/>
      <c r="N447" s="27">
        <f>IF(E447="","",IF(TODAY()&lt;E447,"Upcoming",IF(TODAY()&lt;F447,"Staying now",IF(M447="Yes","Checked out","Payout not received"))))</f>
        <v/>
      </c>
      <c r="O447" s="35" t="n"/>
      <c r="P447" s="1" t="n"/>
      <c r="Q447">
        <f>IF(N(G447)&gt;0,L447/G447,0)</f>
        <v/>
      </c>
      <c r="R447">
        <f>IF(N(G447)&gt;0,N(I447)/G447,0)</f>
        <v/>
      </c>
      <c r="S447">
        <f>IF(OR($E447="",$F447=""),0,MAX(0,MIN($F447,DATE(Dashboard!$C$4,2,1))-MAX($E447,DATE(Dashboard!$C$4,1,1))))</f>
        <v/>
      </c>
      <c r="T447">
        <f>IF(OR($E447="",$F447=""),0,MAX(0,MIN($F447,DATE(Dashboard!$C$4,3,1))-MAX($E447,DATE(Dashboard!$C$4,2,1))))</f>
        <v/>
      </c>
      <c r="U447">
        <f>IF(OR($E447="",$F447=""),0,MAX(0,MIN($F447,DATE(Dashboard!$C$4,4,1))-MAX($E447,DATE(Dashboard!$C$4,3,1))))</f>
        <v/>
      </c>
      <c r="V447">
        <f>IF(OR($E447="",$F447=""),0,MAX(0,MIN($F447,DATE(Dashboard!$C$4,5,1))-MAX($E447,DATE(Dashboard!$C$4,4,1))))</f>
        <v/>
      </c>
      <c r="W447">
        <f>IF(OR($E447="",$F447=""),0,MAX(0,MIN($F447,DATE(Dashboard!$C$4,6,1))-MAX($E447,DATE(Dashboard!$C$4,5,1))))</f>
        <v/>
      </c>
      <c r="X447">
        <f>IF(OR($E447="",$F447=""),0,MAX(0,MIN($F447,DATE(Dashboard!$C$4,7,1))-MAX($E447,DATE(Dashboard!$C$4,6,1))))</f>
        <v/>
      </c>
      <c r="Y447">
        <f>IF(OR($E447="",$F447=""),0,MAX(0,MIN($F447,DATE(Dashboard!$C$4,8,1))-MAX($E447,DATE(Dashboard!$C$4,7,1))))</f>
        <v/>
      </c>
      <c r="Z447">
        <f>IF(OR($E447="",$F447=""),0,MAX(0,MIN($F447,DATE(Dashboard!$C$4,9,1))-MAX($E447,DATE(Dashboard!$C$4,8,1))))</f>
        <v/>
      </c>
      <c r="AA447">
        <f>IF(OR($E447="",$F447=""),0,MAX(0,MIN($F447,DATE(Dashboard!$C$4,10,1))-MAX($E447,DATE(Dashboard!$C$4,9,1))))</f>
        <v/>
      </c>
      <c r="AB447">
        <f>IF(OR($E447="",$F447=""),0,MAX(0,MIN($F447,DATE(Dashboard!$C$4,11,1))-MAX($E447,DATE(Dashboard!$C$4,10,1))))</f>
        <v/>
      </c>
      <c r="AC447">
        <f>IF(OR($E447="",$F447=""),0,MAX(0,MIN($F447,DATE(Dashboard!$C$4,12,1))-MAX($E447,DATE(Dashboard!$C$4,11,1))))</f>
        <v/>
      </c>
      <c r="AD447">
        <f>IF(OR($E447="",$F447=""),0,MAX(0,MIN($F447,DATE(Dashboard!$C$4,13,1))-MAX($E447,DATE(Dashboard!$C$4,12,1))))</f>
        <v/>
      </c>
      <c r="AE447">
        <f>SUM(S447:AD447)</f>
        <v/>
      </c>
      <c r="AF447">
        <f>Q447*AE447</f>
        <v/>
      </c>
      <c r="AG447">
        <f>R447*AE447</f>
        <v/>
      </c>
      <c r="AH447">
        <f>SUMPRODUCT(S447:AD447,--(COLUMN(S447:AD447)-COLUMN(S447)+1&lt;=Dashboard!$N$1))</f>
        <v/>
      </c>
      <c r="AI447">
        <f>IF(OR(E447="",E447&lt;TODAY()),"",E447+ROW()/100000)</f>
        <v/>
      </c>
      <c r="AJ447">
        <f>IF(OR(F447="",F447&lt;TODAY()),"",F447+ROW()/100000)</f>
        <v/>
      </c>
    </row>
    <row r="448">
      <c r="A448" s="1" t="n"/>
      <c r="B448" s="35" t="n"/>
      <c r="C448" s="35" t="n"/>
      <c r="D448" s="35" t="n"/>
      <c r="E448" s="36" t="n"/>
      <c r="F448" s="36" t="n"/>
      <c r="G448" s="18">
        <f>IF(OR(E448="",F448=""),"",F448-E448)</f>
        <v/>
      </c>
      <c r="H448" s="37" t="n"/>
      <c r="I448" s="38" t="n"/>
      <c r="J448" s="38" t="n"/>
      <c r="K448" s="38" t="n"/>
      <c r="L448" s="31">
        <f>IF(E448="","",N(I448)+N(J448)-N(K448))</f>
        <v/>
      </c>
      <c r="M448" s="39" t="n"/>
      <c r="N448" s="27">
        <f>IF(E448="","",IF(TODAY()&lt;E448,"Upcoming",IF(TODAY()&lt;F448,"Staying now",IF(M448="Yes","Checked out","Payout not received"))))</f>
        <v/>
      </c>
      <c r="O448" s="35" t="n"/>
      <c r="P448" s="1" t="n"/>
      <c r="Q448">
        <f>IF(N(G448)&gt;0,L448/G448,0)</f>
        <v/>
      </c>
      <c r="R448">
        <f>IF(N(G448)&gt;0,N(I448)/G448,0)</f>
        <v/>
      </c>
      <c r="S448">
        <f>IF(OR($E448="",$F448=""),0,MAX(0,MIN($F448,DATE(Dashboard!$C$4,2,1))-MAX($E448,DATE(Dashboard!$C$4,1,1))))</f>
        <v/>
      </c>
      <c r="T448">
        <f>IF(OR($E448="",$F448=""),0,MAX(0,MIN($F448,DATE(Dashboard!$C$4,3,1))-MAX($E448,DATE(Dashboard!$C$4,2,1))))</f>
        <v/>
      </c>
      <c r="U448">
        <f>IF(OR($E448="",$F448=""),0,MAX(0,MIN($F448,DATE(Dashboard!$C$4,4,1))-MAX($E448,DATE(Dashboard!$C$4,3,1))))</f>
        <v/>
      </c>
      <c r="V448">
        <f>IF(OR($E448="",$F448=""),0,MAX(0,MIN($F448,DATE(Dashboard!$C$4,5,1))-MAX($E448,DATE(Dashboard!$C$4,4,1))))</f>
        <v/>
      </c>
      <c r="W448">
        <f>IF(OR($E448="",$F448=""),0,MAX(0,MIN($F448,DATE(Dashboard!$C$4,6,1))-MAX($E448,DATE(Dashboard!$C$4,5,1))))</f>
        <v/>
      </c>
      <c r="X448">
        <f>IF(OR($E448="",$F448=""),0,MAX(0,MIN($F448,DATE(Dashboard!$C$4,7,1))-MAX($E448,DATE(Dashboard!$C$4,6,1))))</f>
        <v/>
      </c>
      <c r="Y448">
        <f>IF(OR($E448="",$F448=""),0,MAX(0,MIN($F448,DATE(Dashboard!$C$4,8,1))-MAX($E448,DATE(Dashboard!$C$4,7,1))))</f>
        <v/>
      </c>
      <c r="Z448">
        <f>IF(OR($E448="",$F448=""),0,MAX(0,MIN($F448,DATE(Dashboard!$C$4,9,1))-MAX($E448,DATE(Dashboard!$C$4,8,1))))</f>
        <v/>
      </c>
      <c r="AA448">
        <f>IF(OR($E448="",$F448=""),0,MAX(0,MIN($F448,DATE(Dashboard!$C$4,10,1))-MAX($E448,DATE(Dashboard!$C$4,9,1))))</f>
        <v/>
      </c>
      <c r="AB448">
        <f>IF(OR($E448="",$F448=""),0,MAX(0,MIN($F448,DATE(Dashboard!$C$4,11,1))-MAX($E448,DATE(Dashboard!$C$4,10,1))))</f>
        <v/>
      </c>
      <c r="AC448">
        <f>IF(OR($E448="",$F448=""),0,MAX(0,MIN($F448,DATE(Dashboard!$C$4,12,1))-MAX($E448,DATE(Dashboard!$C$4,11,1))))</f>
        <v/>
      </c>
      <c r="AD448">
        <f>IF(OR($E448="",$F448=""),0,MAX(0,MIN($F448,DATE(Dashboard!$C$4,13,1))-MAX($E448,DATE(Dashboard!$C$4,12,1))))</f>
        <v/>
      </c>
      <c r="AE448">
        <f>SUM(S448:AD448)</f>
        <v/>
      </c>
      <c r="AF448">
        <f>Q448*AE448</f>
        <v/>
      </c>
      <c r="AG448">
        <f>R448*AE448</f>
        <v/>
      </c>
      <c r="AH448">
        <f>SUMPRODUCT(S448:AD448,--(COLUMN(S448:AD448)-COLUMN(S448)+1&lt;=Dashboard!$N$1))</f>
        <v/>
      </c>
      <c r="AI448">
        <f>IF(OR(E448="",E448&lt;TODAY()),"",E448+ROW()/100000)</f>
        <v/>
      </c>
      <c r="AJ448">
        <f>IF(OR(F448="",F448&lt;TODAY()),"",F448+ROW()/100000)</f>
        <v/>
      </c>
    </row>
    <row r="449">
      <c r="A449" s="1" t="n"/>
      <c r="B449" s="35" t="n"/>
      <c r="C449" s="35" t="n"/>
      <c r="D449" s="35" t="n"/>
      <c r="E449" s="36" t="n"/>
      <c r="F449" s="36" t="n"/>
      <c r="G449" s="18">
        <f>IF(OR(E449="",F449=""),"",F449-E449)</f>
        <v/>
      </c>
      <c r="H449" s="37" t="n"/>
      <c r="I449" s="38" t="n"/>
      <c r="J449" s="38" t="n"/>
      <c r="K449" s="38" t="n"/>
      <c r="L449" s="31">
        <f>IF(E449="","",N(I449)+N(J449)-N(K449))</f>
        <v/>
      </c>
      <c r="M449" s="39" t="n"/>
      <c r="N449" s="27">
        <f>IF(E449="","",IF(TODAY()&lt;E449,"Upcoming",IF(TODAY()&lt;F449,"Staying now",IF(M449="Yes","Checked out","Payout not received"))))</f>
        <v/>
      </c>
      <c r="O449" s="35" t="n"/>
      <c r="P449" s="1" t="n"/>
      <c r="Q449">
        <f>IF(N(G449)&gt;0,L449/G449,0)</f>
        <v/>
      </c>
      <c r="R449">
        <f>IF(N(G449)&gt;0,N(I449)/G449,0)</f>
        <v/>
      </c>
      <c r="S449">
        <f>IF(OR($E449="",$F449=""),0,MAX(0,MIN($F449,DATE(Dashboard!$C$4,2,1))-MAX($E449,DATE(Dashboard!$C$4,1,1))))</f>
        <v/>
      </c>
      <c r="T449">
        <f>IF(OR($E449="",$F449=""),0,MAX(0,MIN($F449,DATE(Dashboard!$C$4,3,1))-MAX($E449,DATE(Dashboard!$C$4,2,1))))</f>
        <v/>
      </c>
      <c r="U449">
        <f>IF(OR($E449="",$F449=""),0,MAX(0,MIN($F449,DATE(Dashboard!$C$4,4,1))-MAX($E449,DATE(Dashboard!$C$4,3,1))))</f>
        <v/>
      </c>
      <c r="V449">
        <f>IF(OR($E449="",$F449=""),0,MAX(0,MIN($F449,DATE(Dashboard!$C$4,5,1))-MAX($E449,DATE(Dashboard!$C$4,4,1))))</f>
        <v/>
      </c>
      <c r="W449">
        <f>IF(OR($E449="",$F449=""),0,MAX(0,MIN($F449,DATE(Dashboard!$C$4,6,1))-MAX($E449,DATE(Dashboard!$C$4,5,1))))</f>
        <v/>
      </c>
      <c r="X449">
        <f>IF(OR($E449="",$F449=""),0,MAX(0,MIN($F449,DATE(Dashboard!$C$4,7,1))-MAX($E449,DATE(Dashboard!$C$4,6,1))))</f>
        <v/>
      </c>
      <c r="Y449">
        <f>IF(OR($E449="",$F449=""),0,MAX(0,MIN($F449,DATE(Dashboard!$C$4,8,1))-MAX($E449,DATE(Dashboard!$C$4,7,1))))</f>
        <v/>
      </c>
      <c r="Z449">
        <f>IF(OR($E449="",$F449=""),0,MAX(0,MIN($F449,DATE(Dashboard!$C$4,9,1))-MAX($E449,DATE(Dashboard!$C$4,8,1))))</f>
        <v/>
      </c>
      <c r="AA449">
        <f>IF(OR($E449="",$F449=""),0,MAX(0,MIN($F449,DATE(Dashboard!$C$4,10,1))-MAX($E449,DATE(Dashboard!$C$4,9,1))))</f>
        <v/>
      </c>
      <c r="AB449">
        <f>IF(OR($E449="",$F449=""),0,MAX(0,MIN($F449,DATE(Dashboard!$C$4,11,1))-MAX($E449,DATE(Dashboard!$C$4,10,1))))</f>
        <v/>
      </c>
      <c r="AC449">
        <f>IF(OR($E449="",$F449=""),0,MAX(0,MIN($F449,DATE(Dashboard!$C$4,12,1))-MAX($E449,DATE(Dashboard!$C$4,11,1))))</f>
        <v/>
      </c>
      <c r="AD449">
        <f>IF(OR($E449="",$F449=""),0,MAX(0,MIN($F449,DATE(Dashboard!$C$4,13,1))-MAX($E449,DATE(Dashboard!$C$4,12,1))))</f>
        <v/>
      </c>
      <c r="AE449">
        <f>SUM(S449:AD449)</f>
        <v/>
      </c>
      <c r="AF449">
        <f>Q449*AE449</f>
        <v/>
      </c>
      <c r="AG449">
        <f>R449*AE449</f>
        <v/>
      </c>
      <c r="AH449">
        <f>SUMPRODUCT(S449:AD449,--(COLUMN(S449:AD449)-COLUMN(S449)+1&lt;=Dashboard!$N$1))</f>
        <v/>
      </c>
      <c r="AI449">
        <f>IF(OR(E449="",E449&lt;TODAY()),"",E449+ROW()/100000)</f>
        <v/>
      </c>
      <c r="AJ449">
        <f>IF(OR(F449="",F449&lt;TODAY()),"",F449+ROW()/100000)</f>
        <v/>
      </c>
    </row>
    <row r="450">
      <c r="A450" s="1" t="n"/>
      <c r="B450" s="35" t="n"/>
      <c r="C450" s="35" t="n"/>
      <c r="D450" s="35" t="n"/>
      <c r="E450" s="36" t="n"/>
      <c r="F450" s="36" t="n"/>
      <c r="G450" s="18">
        <f>IF(OR(E450="",F450=""),"",F450-E450)</f>
        <v/>
      </c>
      <c r="H450" s="37" t="n"/>
      <c r="I450" s="38" t="n"/>
      <c r="J450" s="38" t="n"/>
      <c r="K450" s="38" t="n"/>
      <c r="L450" s="31">
        <f>IF(E450="","",N(I450)+N(J450)-N(K450))</f>
        <v/>
      </c>
      <c r="M450" s="39" t="n"/>
      <c r="N450" s="27">
        <f>IF(E450="","",IF(TODAY()&lt;E450,"Upcoming",IF(TODAY()&lt;F450,"Staying now",IF(M450="Yes","Checked out","Payout not received"))))</f>
        <v/>
      </c>
      <c r="O450" s="35" t="n"/>
      <c r="P450" s="1" t="n"/>
      <c r="Q450">
        <f>IF(N(G450)&gt;0,L450/G450,0)</f>
        <v/>
      </c>
      <c r="R450">
        <f>IF(N(G450)&gt;0,N(I450)/G450,0)</f>
        <v/>
      </c>
      <c r="S450">
        <f>IF(OR($E450="",$F450=""),0,MAX(0,MIN($F450,DATE(Dashboard!$C$4,2,1))-MAX($E450,DATE(Dashboard!$C$4,1,1))))</f>
        <v/>
      </c>
      <c r="T450">
        <f>IF(OR($E450="",$F450=""),0,MAX(0,MIN($F450,DATE(Dashboard!$C$4,3,1))-MAX($E450,DATE(Dashboard!$C$4,2,1))))</f>
        <v/>
      </c>
      <c r="U450">
        <f>IF(OR($E450="",$F450=""),0,MAX(0,MIN($F450,DATE(Dashboard!$C$4,4,1))-MAX($E450,DATE(Dashboard!$C$4,3,1))))</f>
        <v/>
      </c>
      <c r="V450">
        <f>IF(OR($E450="",$F450=""),0,MAX(0,MIN($F450,DATE(Dashboard!$C$4,5,1))-MAX($E450,DATE(Dashboard!$C$4,4,1))))</f>
        <v/>
      </c>
      <c r="W450">
        <f>IF(OR($E450="",$F450=""),0,MAX(0,MIN($F450,DATE(Dashboard!$C$4,6,1))-MAX($E450,DATE(Dashboard!$C$4,5,1))))</f>
        <v/>
      </c>
      <c r="X450">
        <f>IF(OR($E450="",$F450=""),0,MAX(0,MIN($F450,DATE(Dashboard!$C$4,7,1))-MAX($E450,DATE(Dashboard!$C$4,6,1))))</f>
        <v/>
      </c>
      <c r="Y450">
        <f>IF(OR($E450="",$F450=""),0,MAX(0,MIN($F450,DATE(Dashboard!$C$4,8,1))-MAX($E450,DATE(Dashboard!$C$4,7,1))))</f>
        <v/>
      </c>
      <c r="Z450">
        <f>IF(OR($E450="",$F450=""),0,MAX(0,MIN($F450,DATE(Dashboard!$C$4,9,1))-MAX($E450,DATE(Dashboard!$C$4,8,1))))</f>
        <v/>
      </c>
      <c r="AA450">
        <f>IF(OR($E450="",$F450=""),0,MAX(0,MIN($F450,DATE(Dashboard!$C$4,10,1))-MAX($E450,DATE(Dashboard!$C$4,9,1))))</f>
        <v/>
      </c>
      <c r="AB450">
        <f>IF(OR($E450="",$F450=""),0,MAX(0,MIN($F450,DATE(Dashboard!$C$4,11,1))-MAX($E450,DATE(Dashboard!$C$4,10,1))))</f>
        <v/>
      </c>
      <c r="AC450">
        <f>IF(OR($E450="",$F450=""),0,MAX(0,MIN($F450,DATE(Dashboard!$C$4,12,1))-MAX($E450,DATE(Dashboard!$C$4,11,1))))</f>
        <v/>
      </c>
      <c r="AD450">
        <f>IF(OR($E450="",$F450=""),0,MAX(0,MIN($F450,DATE(Dashboard!$C$4,13,1))-MAX($E450,DATE(Dashboard!$C$4,12,1))))</f>
        <v/>
      </c>
      <c r="AE450">
        <f>SUM(S450:AD450)</f>
        <v/>
      </c>
      <c r="AF450">
        <f>Q450*AE450</f>
        <v/>
      </c>
      <c r="AG450">
        <f>R450*AE450</f>
        <v/>
      </c>
      <c r="AH450">
        <f>SUMPRODUCT(S450:AD450,--(COLUMN(S450:AD450)-COLUMN(S450)+1&lt;=Dashboard!$N$1))</f>
        <v/>
      </c>
      <c r="AI450">
        <f>IF(OR(E450="",E450&lt;TODAY()),"",E450+ROW()/100000)</f>
        <v/>
      </c>
      <c r="AJ450">
        <f>IF(OR(F450="",F450&lt;TODAY()),"",F450+ROW()/100000)</f>
        <v/>
      </c>
    </row>
    <row r="451">
      <c r="A451" s="1" t="n"/>
      <c r="B451" s="35" t="n"/>
      <c r="C451" s="35" t="n"/>
      <c r="D451" s="35" t="n"/>
      <c r="E451" s="36" t="n"/>
      <c r="F451" s="36" t="n"/>
      <c r="G451" s="18">
        <f>IF(OR(E451="",F451=""),"",F451-E451)</f>
        <v/>
      </c>
      <c r="H451" s="37" t="n"/>
      <c r="I451" s="38" t="n"/>
      <c r="J451" s="38" t="n"/>
      <c r="K451" s="38" t="n"/>
      <c r="L451" s="31">
        <f>IF(E451="","",N(I451)+N(J451)-N(K451))</f>
        <v/>
      </c>
      <c r="M451" s="39" t="n"/>
      <c r="N451" s="27">
        <f>IF(E451="","",IF(TODAY()&lt;E451,"Upcoming",IF(TODAY()&lt;F451,"Staying now",IF(M451="Yes","Checked out","Payout not received"))))</f>
        <v/>
      </c>
      <c r="O451" s="35" t="n"/>
      <c r="P451" s="1" t="n"/>
      <c r="Q451">
        <f>IF(N(G451)&gt;0,L451/G451,0)</f>
        <v/>
      </c>
      <c r="R451">
        <f>IF(N(G451)&gt;0,N(I451)/G451,0)</f>
        <v/>
      </c>
      <c r="S451">
        <f>IF(OR($E451="",$F451=""),0,MAX(0,MIN($F451,DATE(Dashboard!$C$4,2,1))-MAX($E451,DATE(Dashboard!$C$4,1,1))))</f>
        <v/>
      </c>
      <c r="T451">
        <f>IF(OR($E451="",$F451=""),0,MAX(0,MIN($F451,DATE(Dashboard!$C$4,3,1))-MAX($E451,DATE(Dashboard!$C$4,2,1))))</f>
        <v/>
      </c>
      <c r="U451">
        <f>IF(OR($E451="",$F451=""),0,MAX(0,MIN($F451,DATE(Dashboard!$C$4,4,1))-MAX($E451,DATE(Dashboard!$C$4,3,1))))</f>
        <v/>
      </c>
      <c r="V451">
        <f>IF(OR($E451="",$F451=""),0,MAX(0,MIN($F451,DATE(Dashboard!$C$4,5,1))-MAX($E451,DATE(Dashboard!$C$4,4,1))))</f>
        <v/>
      </c>
      <c r="W451">
        <f>IF(OR($E451="",$F451=""),0,MAX(0,MIN($F451,DATE(Dashboard!$C$4,6,1))-MAX($E451,DATE(Dashboard!$C$4,5,1))))</f>
        <v/>
      </c>
      <c r="X451">
        <f>IF(OR($E451="",$F451=""),0,MAX(0,MIN($F451,DATE(Dashboard!$C$4,7,1))-MAX($E451,DATE(Dashboard!$C$4,6,1))))</f>
        <v/>
      </c>
      <c r="Y451">
        <f>IF(OR($E451="",$F451=""),0,MAX(0,MIN($F451,DATE(Dashboard!$C$4,8,1))-MAX($E451,DATE(Dashboard!$C$4,7,1))))</f>
        <v/>
      </c>
      <c r="Z451">
        <f>IF(OR($E451="",$F451=""),0,MAX(0,MIN($F451,DATE(Dashboard!$C$4,9,1))-MAX($E451,DATE(Dashboard!$C$4,8,1))))</f>
        <v/>
      </c>
      <c r="AA451">
        <f>IF(OR($E451="",$F451=""),0,MAX(0,MIN($F451,DATE(Dashboard!$C$4,10,1))-MAX($E451,DATE(Dashboard!$C$4,9,1))))</f>
        <v/>
      </c>
      <c r="AB451">
        <f>IF(OR($E451="",$F451=""),0,MAX(0,MIN($F451,DATE(Dashboard!$C$4,11,1))-MAX($E451,DATE(Dashboard!$C$4,10,1))))</f>
        <v/>
      </c>
      <c r="AC451">
        <f>IF(OR($E451="",$F451=""),0,MAX(0,MIN($F451,DATE(Dashboard!$C$4,12,1))-MAX($E451,DATE(Dashboard!$C$4,11,1))))</f>
        <v/>
      </c>
      <c r="AD451">
        <f>IF(OR($E451="",$F451=""),0,MAX(0,MIN($F451,DATE(Dashboard!$C$4,13,1))-MAX($E451,DATE(Dashboard!$C$4,12,1))))</f>
        <v/>
      </c>
      <c r="AE451">
        <f>SUM(S451:AD451)</f>
        <v/>
      </c>
      <c r="AF451">
        <f>Q451*AE451</f>
        <v/>
      </c>
      <c r="AG451">
        <f>R451*AE451</f>
        <v/>
      </c>
      <c r="AH451">
        <f>SUMPRODUCT(S451:AD451,--(COLUMN(S451:AD451)-COLUMN(S451)+1&lt;=Dashboard!$N$1))</f>
        <v/>
      </c>
      <c r="AI451">
        <f>IF(OR(E451="",E451&lt;TODAY()),"",E451+ROW()/100000)</f>
        <v/>
      </c>
      <c r="AJ451">
        <f>IF(OR(F451="",F451&lt;TODAY()),"",F451+ROW()/100000)</f>
        <v/>
      </c>
    </row>
    <row r="452">
      <c r="A452" s="1" t="n"/>
      <c r="B452" s="35" t="n"/>
      <c r="C452" s="35" t="n"/>
      <c r="D452" s="35" t="n"/>
      <c r="E452" s="36" t="n"/>
      <c r="F452" s="36" t="n"/>
      <c r="G452" s="18">
        <f>IF(OR(E452="",F452=""),"",F452-E452)</f>
        <v/>
      </c>
      <c r="H452" s="37" t="n"/>
      <c r="I452" s="38" t="n"/>
      <c r="J452" s="38" t="n"/>
      <c r="K452" s="38" t="n"/>
      <c r="L452" s="31">
        <f>IF(E452="","",N(I452)+N(J452)-N(K452))</f>
        <v/>
      </c>
      <c r="M452" s="39" t="n"/>
      <c r="N452" s="27">
        <f>IF(E452="","",IF(TODAY()&lt;E452,"Upcoming",IF(TODAY()&lt;F452,"Staying now",IF(M452="Yes","Checked out","Payout not received"))))</f>
        <v/>
      </c>
      <c r="O452" s="35" t="n"/>
      <c r="P452" s="1" t="n"/>
      <c r="Q452">
        <f>IF(N(G452)&gt;0,L452/G452,0)</f>
        <v/>
      </c>
      <c r="R452">
        <f>IF(N(G452)&gt;0,N(I452)/G452,0)</f>
        <v/>
      </c>
      <c r="S452">
        <f>IF(OR($E452="",$F452=""),0,MAX(0,MIN($F452,DATE(Dashboard!$C$4,2,1))-MAX($E452,DATE(Dashboard!$C$4,1,1))))</f>
        <v/>
      </c>
      <c r="T452">
        <f>IF(OR($E452="",$F452=""),0,MAX(0,MIN($F452,DATE(Dashboard!$C$4,3,1))-MAX($E452,DATE(Dashboard!$C$4,2,1))))</f>
        <v/>
      </c>
      <c r="U452">
        <f>IF(OR($E452="",$F452=""),0,MAX(0,MIN($F452,DATE(Dashboard!$C$4,4,1))-MAX($E452,DATE(Dashboard!$C$4,3,1))))</f>
        <v/>
      </c>
      <c r="V452">
        <f>IF(OR($E452="",$F452=""),0,MAX(0,MIN($F452,DATE(Dashboard!$C$4,5,1))-MAX($E452,DATE(Dashboard!$C$4,4,1))))</f>
        <v/>
      </c>
      <c r="W452">
        <f>IF(OR($E452="",$F452=""),0,MAX(0,MIN($F452,DATE(Dashboard!$C$4,6,1))-MAX($E452,DATE(Dashboard!$C$4,5,1))))</f>
        <v/>
      </c>
      <c r="X452">
        <f>IF(OR($E452="",$F452=""),0,MAX(0,MIN($F452,DATE(Dashboard!$C$4,7,1))-MAX($E452,DATE(Dashboard!$C$4,6,1))))</f>
        <v/>
      </c>
      <c r="Y452">
        <f>IF(OR($E452="",$F452=""),0,MAX(0,MIN($F452,DATE(Dashboard!$C$4,8,1))-MAX($E452,DATE(Dashboard!$C$4,7,1))))</f>
        <v/>
      </c>
      <c r="Z452">
        <f>IF(OR($E452="",$F452=""),0,MAX(0,MIN($F452,DATE(Dashboard!$C$4,9,1))-MAX($E452,DATE(Dashboard!$C$4,8,1))))</f>
        <v/>
      </c>
      <c r="AA452">
        <f>IF(OR($E452="",$F452=""),0,MAX(0,MIN($F452,DATE(Dashboard!$C$4,10,1))-MAX($E452,DATE(Dashboard!$C$4,9,1))))</f>
        <v/>
      </c>
      <c r="AB452">
        <f>IF(OR($E452="",$F452=""),0,MAX(0,MIN($F452,DATE(Dashboard!$C$4,11,1))-MAX($E452,DATE(Dashboard!$C$4,10,1))))</f>
        <v/>
      </c>
      <c r="AC452">
        <f>IF(OR($E452="",$F452=""),0,MAX(0,MIN($F452,DATE(Dashboard!$C$4,12,1))-MAX($E452,DATE(Dashboard!$C$4,11,1))))</f>
        <v/>
      </c>
      <c r="AD452">
        <f>IF(OR($E452="",$F452=""),0,MAX(0,MIN($F452,DATE(Dashboard!$C$4,13,1))-MAX($E452,DATE(Dashboard!$C$4,12,1))))</f>
        <v/>
      </c>
      <c r="AE452">
        <f>SUM(S452:AD452)</f>
        <v/>
      </c>
      <c r="AF452">
        <f>Q452*AE452</f>
        <v/>
      </c>
      <c r="AG452">
        <f>R452*AE452</f>
        <v/>
      </c>
      <c r="AH452">
        <f>SUMPRODUCT(S452:AD452,--(COLUMN(S452:AD452)-COLUMN(S452)+1&lt;=Dashboard!$N$1))</f>
        <v/>
      </c>
      <c r="AI452">
        <f>IF(OR(E452="",E452&lt;TODAY()),"",E452+ROW()/100000)</f>
        <v/>
      </c>
      <c r="AJ452">
        <f>IF(OR(F452="",F452&lt;TODAY()),"",F452+ROW()/100000)</f>
        <v/>
      </c>
    </row>
    <row r="453">
      <c r="A453" s="1" t="n"/>
      <c r="B453" s="35" t="n"/>
      <c r="C453" s="35" t="n"/>
      <c r="D453" s="35" t="n"/>
      <c r="E453" s="36" t="n"/>
      <c r="F453" s="36" t="n"/>
      <c r="G453" s="18">
        <f>IF(OR(E453="",F453=""),"",F453-E453)</f>
        <v/>
      </c>
      <c r="H453" s="37" t="n"/>
      <c r="I453" s="38" t="n"/>
      <c r="J453" s="38" t="n"/>
      <c r="K453" s="38" t="n"/>
      <c r="L453" s="31">
        <f>IF(E453="","",N(I453)+N(J453)-N(K453))</f>
        <v/>
      </c>
      <c r="M453" s="39" t="n"/>
      <c r="N453" s="27">
        <f>IF(E453="","",IF(TODAY()&lt;E453,"Upcoming",IF(TODAY()&lt;F453,"Staying now",IF(M453="Yes","Checked out","Payout not received"))))</f>
        <v/>
      </c>
      <c r="O453" s="35" t="n"/>
      <c r="P453" s="1" t="n"/>
      <c r="Q453">
        <f>IF(N(G453)&gt;0,L453/G453,0)</f>
        <v/>
      </c>
      <c r="R453">
        <f>IF(N(G453)&gt;0,N(I453)/G453,0)</f>
        <v/>
      </c>
      <c r="S453">
        <f>IF(OR($E453="",$F453=""),0,MAX(0,MIN($F453,DATE(Dashboard!$C$4,2,1))-MAX($E453,DATE(Dashboard!$C$4,1,1))))</f>
        <v/>
      </c>
      <c r="T453">
        <f>IF(OR($E453="",$F453=""),0,MAX(0,MIN($F453,DATE(Dashboard!$C$4,3,1))-MAX($E453,DATE(Dashboard!$C$4,2,1))))</f>
        <v/>
      </c>
      <c r="U453">
        <f>IF(OR($E453="",$F453=""),0,MAX(0,MIN($F453,DATE(Dashboard!$C$4,4,1))-MAX($E453,DATE(Dashboard!$C$4,3,1))))</f>
        <v/>
      </c>
      <c r="V453">
        <f>IF(OR($E453="",$F453=""),0,MAX(0,MIN($F453,DATE(Dashboard!$C$4,5,1))-MAX($E453,DATE(Dashboard!$C$4,4,1))))</f>
        <v/>
      </c>
      <c r="W453">
        <f>IF(OR($E453="",$F453=""),0,MAX(0,MIN($F453,DATE(Dashboard!$C$4,6,1))-MAX($E453,DATE(Dashboard!$C$4,5,1))))</f>
        <v/>
      </c>
      <c r="X453">
        <f>IF(OR($E453="",$F453=""),0,MAX(0,MIN($F453,DATE(Dashboard!$C$4,7,1))-MAX($E453,DATE(Dashboard!$C$4,6,1))))</f>
        <v/>
      </c>
      <c r="Y453">
        <f>IF(OR($E453="",$F453=""),0,MAX(0,MIN($F453,DATE(Dashboard!$C$4,8,1))-MAX($E453,DATE(Dashboard!$C$4,7,1))))</f>
        <v/>
      </c>
      <c r="Z453">
        <f>IF(OR($E453="",$F453=""),0,MAX(0,MIN($F453,DATE(Dashboard!$C$4,9,1))-MAX($E453,DATE(Dashboard!$C$4,8,1))))</f>
        <v/>
      </c>
      <c r="AA453">
        <f>IF(OR($E453="",$F453=""),0,MAX(0,MIN($F453,DATE(Dashboard!$C$4,10,1))-MAX($E453,DATE(Dashboard!$C$4,9,1))))</f>
        <v/>
      </c>
      <c r="AB453">
        <f>IF(OR($E453="",$F453=""),0,MAX(0,MIN($F453,DATE(Dashboard!$C$4,11,1))-MAX($E453,DATE(Dashboard!$C$4,10,1))))</f>
        <v/>
      </c>
      <c r="AC453">
        <f>IF(OR($E453="",$F453=""),0,MAX(0,MIN($F453,DATE(Dashboard!$C$4,12,1))-MAX($E453,DATE(Dashboard!$C$4,11,1))))</f>
        <v/>
      </c>
      <c r="AD453">
        <f>IF(OR($E453="",$F453=""),0,MAX(0,MIN($F453,DATE(Dashboard!$C$4,13,1))-MAX($E453,DATE(Dashboard!$C$4,12,1))))</f>
        <v/>
      </c>
      <c r="AE453">
        <f>SUM(S453:AD453)</f>
        <v/>
      </c>
      <c r="AF453">
        <f>Q453*AE453</f>
        <v/>
      </c>
      <c r="AG453">
        <f>R453*AE453</f>
        <v/>
      </c>
      <c r="AH453">
        <f>SUMPRODUCT(S453:AD453,--(COLUMN(S453:AD453)-COLUMN(S453)+1&lt;=Dashboard!$N$1))</f>
        <v/>
      </c>
      <c r="AI453">
        <f>IF(OR(E453="",E453&lt;TODAY()),"",E453+ROW()/100000)</f>
        <v/>
      </c>
      <c r="AJ453">
        <f>IF(OR(F453="",F453&lt;TODAY()),"",F453+ROW()/100000)</f>
        <v/>
      </c>
    </row>
    <row r="454">
      <c r="A454" s="1" t="n"/>
      <c r="B454" s="35" t="n"/>
      <c r="C454" s="35" t="n"/>
      <c r="D454" s="35" t="n"/>
      <c r="E454" s="36" t="n"/>
      <c r="F454" s="36" t="n"/>
      <c r="G454" s="18">
        <f>IF(OR(E454="",F454=""),"",F454-E454)</f>
        <v/>
      </c>
      <c r="H454" s="37" t="n"/>
      <c r="I454" s="38" t="n"/>
      <c r="J454" s="38" t="n"/>
      <c r="K454" s="38" t="n"/>
      <c r="L454" s="31">
        <f>IF(E454="","",N(I454)+N(J454)-N(K454))</f>
        <v/>
      </c>
      <c r="M454" s="39" t="n"/>
      <c r="N454" s="27">
        <f>IF(E454="","",IF(TODAY()&lt;E454,"Upcoming",IF(TODAY()&lt;F454,"Staying now",IF(M454="Yes","Checked out","Payout not received"))))</f>
        <v/>
      </c>
      <c r="O454" s="35" t="n"/>
      <c r="P454" s="1" t="n"/>
      <c r="Q454">
        <f>IF(N(G454)&gt;0,L454/G454,0)</f>
        <v/>
      </c>
      <c r="R454">
        <f>IF(N(G454)&gt;0,N(I454)/G454,0)</f>
        <v/>
      </c>
      <c r="S454">
        <f>IF(OR($E454="",$F454=""),0,MAX(0,MIN($F454,DATE(Dashboard!$C$4,2,1))-MAX($E454,DATE(Dashboard!$C$4,1,1))))</f>
        <v/>
      </c>
      <c r="T454">
        <f>IF(OR($E454="",$F454=""),0,MAX(0,MIN($F454,DATE(Dashboard!$C$4,3,1))-MAX($E454,DATE(Dashboard!$C$4,2,1))))</f>
        <v/>
      </c>
      <c r="U454">
        <f>IF(OR($E454="",$F454=""),0,MAX(0,MIN($F454,DATE(Dashboard!$C$4,4,1))-MAX($E454,DATE(Dashboard!$C$4,3,1))))</f>
        <v/>
      </c>
      <c r="V454">
        <f>IF(OR($E454="",$F454=""),0,MAX(0,MIN($F454,DATE(Dashboard!$C$4,5,1))-MAX($E454,DATE(Dashboard!$C$4,4,1))))</f>
        <v/>
      </c>
      <c r="W454">
        <f>IF(OR($E454="",$F454=""),0,MAX(0,MIN($F454,DATE(Dashboard!$C$4,6,1))-MAX($E454,DATE(Dashboard!$C$4,5,1))))</f>
        <v/>
      </c>
      <c r="X454">
        <f>IF(OR($E454="",$F454=""),0,MAX(0,MIN($F454,DATE(Dashboard!$C$4,7,1))-MAX($E454,DATE(Dashboard!$C$4,6,1))))</f>
        <v/>
      </c>
      <c r="Y454">
        <f>IF(OR($E454="",$F454=""),0,MAX(0,MIN($F454,DATE(Dashboard!$C$4,8,1))-MAX($E454,DATE(Dashboard!$C$4,7,1))))</f>
        <v/>
      </c>
      <c r="Z454">
        <f>IF(OR($E454="",$F454=""),0,MAX(0,MIN($F454,DATE(Dashboard!$C$4,9,1))-MAX($E454,DATE(Dashboard!$C$4,8,1))))</f>
        <v/>
      </c>
      <c r="AA454">
        <f>IF(OR($E454="",$F454=""),0,MAX(0,MIN($F454,DATE(Dashboard!$C$4,10,1))-MAX($E454,DATE(Dashboard!$C$4,9,1))))</f>
        <v/>
      </c>
      <c r="AB454">
        <f>IF(OR($E454="",$F454=""),0,MAX(0,MIN($F454,DATE(Dashboard!$C$4,11,1))-MAX($E454,DATE(Dashboard!$C$4,10,1))))</f>
        <v/>
      </c>
      <c r="AC454">
        <f>IF(OR($E454="",$F454=""),0,MAX(0,MIN($F454,DATE(Dashboard!$C$4,12,1))-MAX($E454,DATE(Dashboard!$C$4,11,1))))</f>
        <v/>
      </c>
      <c r="AD454">
        <f>IF(OR($E454="",$F454=""),0,MAX(0,MIN($F454,DATE(Dashboard!$C$4,13,1))-MAX($E454,DATE(Dashboard!$C$4,12,1))))</f>
        <v/>
      </c>
      <c r="AE454">
        <f>SUM(S454:AD454)</f>
        <v/>
      </c>
      <c r="AF454">
        <f>Q454*AE454</f>
        <v/>
      </c>
      <c r="AG454">
        <f>R454*AE454</f>
        <v/>
      </c>
      <c r="AH454">
        <f>SUMPRODUCT(S454:AD454,--(COLUMN(S454:AD454)-COLUMN(S454)+1&lt;=Dashboard!$N$1))</f>
        <v/>
      </c>
      <c r="AI454">
        <f>IF(OR(E454="",E454&lt;TODAY()),"",E454+ROW()/100000)</f>
        <v/>
      </c>
      <c r="AJ454">
        <f>IF(OR(F454="",F454&lt;TODAY()),"",F454+ROW()/100000)</f>
        <v/>
      </c>
    </row>
    <row r="455">
      <c r="A455" s="1" t="n"/>
      <c r="B455" s="35" t="n"/>
      <c r="C455" s="35" t="n"/>
      <c r="D455" s="35" t="n"/>
      <c r="E455" s="36" t="n"/>
      <c r="F455" s="36" t="n"/>
      <c r="G455" s="18">
        <f>IF(OR(E455="",F455=""),"",F455-E455)</f>
        <v/>
      </c>
      <c r="H455" s="37" t="n"/>
      <c r="I455" s="38" t="n"/>
      <c r="J455" s="38" t="n"/>
      <c r="K455" s="38" t="n"/>
      <c r="L455" s="31">
        <f>IF(E455="","",N(I455)+N(J455)-N(K455))</f>
        <v/>
      </c>
      <c r="M455" s="39" t="n"/>
      <c r="N455" s="27">
        <f>IF(E455="","",IF(TODAY()&lt;E455,"Upcoming",IF(TODAY()&lt;F455,"Staying now",IF(M455="Yes","Checked out","Payout not received"))))</f>
        <v/>
      </c>
      <c r="O455" s="35" t="n"/>
      <c r="P455" s="1" t="n"/>
      <c r="Q455">
        <f>IF(N(G455)&gt;0,L455/G455,0)</f>
        <v/>
      </c>
      <c r="R455">
        <f>IF(N(G455)&gt;0,N(I455)/G455,0)</f>
        <v/>
      </c>
      <c r="S455">
        <f>IF(OR($E455="",$F455=""),0,MAX(0,MIN($F455,DATE(Dashboard!$C$4,2,1))-MAX($E455,DATE(Dashboard!$C$4,1,1))))</f>
        <v/>
      </c>
      <c r="T455">
        <f>IF(OR($E455="",$F455=""),0,MAX(0,MIN($F455,DATE(Dashboard!$C$4,3,1))-MAX($E455,DATE(Dashboard!$C$4,2,1))))</f>
        <v/>
      </c>
      <c r="U455">
        <f>IF(OR($E455="",$F455=""),0,MAX(0,MIN($F455,DATE(Dashboard!$C$4,4,1))-MAX($E455,DATE(Dashboard!$C$4,3,1))))</f>
        <v/>
      </c>
      <c r="V455">
        <f>IF(OR($E455="",$F455=""),0,MAX(0,MIN($F455,DATE(Dashboard!$C$4,5,1))-MAX($E455,DATE(Dashboard!$C$4,4,1))))</f>
        <v/>
      </c>
      <c r="W455">
        <f>IF(OR($E455="",$F455=""),0,MAX(0,MIN($F455,DATE(Dashboard!$C$4,6,1))-MAX($E455,DATE(Dashboard!$C$4,5,1))))</f>
        <v/>
      </c>
      <c r="X455">
        <f>IF(OR($E455="",$F455=""),0,MAX(0,MIN($F455,DATE(Dashboard!$C$4,7,1))-MAX($E455,DATE(Dashboard!$C$4,6,1))))</f>
        <v/>
      </c>
      <c r="Y455">
        <f>IF(OR($E455="",$F455=""),0,MAX(0,MIN($F455,DATE(Dashboard!$C$4,8,1))-MAX($E455,DATE(Dashboard!$C$4,7,1))))</f>
        <v/>
      </c>
      <c r="Z455">
        <f>IF(OR($E455="",$F455=""),0,MAX(0,MIN($F455,DATE(Dashboard!$C$4,9,1))-MAX($E455,DATE(Dashboard!$C$4,8,1))))</f>
        <v/>
      </c>
      <c r="AA455">
        <f>IF(OR($E455="",$F455=""),0,MAX(0,MIN($F455,DATE(Dashboard!$C$4,10,1))-MAX($E455,DATE(Dashboard!$C$4,9,1))))</f>
        <v/>
      </c>
      <c r="AB455">
        <f>IF(OR($E455="",$F455=""),0,MAX(0,MIN($F455,DATE(Dashboard!$C$4,11,1))-MAX($E455,DATE(Dashboard!$C$4,10,1))))</f>
        <v/>
      </c>
      <c r="AC455">
        <f>IF(OR($E455="",$F455=""),0,MAX(0,MIN($F455,DATE(Dashboard!$C$4,12,1))-MAX($E455,DATE(Dashboard!$C$4,11,1))))</f>
        <v/>
      </c>
      <c r="AD455">
        <f>IF(OR($E455="",$F455=""),0,MAX(0,MIN($F455,DATE(Dashboard!$C$4,13,1))-MAX($E455,DATE(Dashboard!$C$4,12,1))))</f>
        <v/>
      </c>
      <c r="AE455">
        <f>SUM(S455:AD455)</f>
        <v/>
      </c>
      <c r="AF455">
        <f>Q455*AE455</f>
        <v/>
      </c>
      <c r="AG455">
        <f>R455*AE455</f>
        <v/>
      </c>
      <c r="AH455">
        <f>SUMPRODUCT(S455:AD455,--(COLUMN(S455:AD455)-COLUMN(S455)+1&lt;=Dashboard!$N$1))</f>
        <v/>
      </c>
      <c r="AI455">
        <f>IF(OR(E455="",E455&lt;TODAY()),"",E455+ROW()/100000)</f>
        <v/>
      </c>
      <c r="AJ455">
        <f>IF(OR(F455="",F455&lt;TODAY()),"",F455+ROW()/100000)</f>
        <v/>
      </c>
    </row>
    <row r="456">
      <c r="A456" s="1" t="n"/>
      <c r="B456" s="35" t="n"/>
      <c r="C456" s="35" t="n"/>
      <c r="D456" s="35" t="n"/>
      <c r="E456" s="36" t="n"/>
      <c r="F456" s="36" t="n"/>
      <c r="G456" s="18">
        <f>IF(OR(E456="",F456=""),"",F456-E456)</f>
        <v/>
      </c>
      <c r="H456" s="37" t="n"/>
      <c r="I456" s="38" t="n"/>
      <c r="J456" s="38" t="n"/>
      <c r="K456" s="38" t="n"/>
      <c r="L456" s="31">
        <f>IF(E456="","",N(I456)+N(J456)-N(K456))</f>
        <v/>
      </c>
      <c r="M456" s="39" t="n"/>
      <c r="N456" s="27">
        <f>IF(E456="","",IF(TODAY()&lt;E456,"Upcoming",IF(TODAY()&lt;F456,"Staying now",IF(M456="Yes","Checked out","Payout not received"))))</f>
        <v/>
      </c>
      <c r="O456" s="35" t="n"/>
      <c r="P456" s="1" t="n"/>
      <c r="Q456">
        <f>IF(N(G456)&gt;0,L456/G456,0)</f>
        <v/>
      </c>
      <c r="R456">
        <f>IF(N(G456)&gt;0,N(I456)/G456,0)</f>
        <v/>
      </c>
      <c r="S456">
        <f>IF(OR($E456="",$F456=""),0,MAX(0,MIN($F456,DATE(Dashboard!$C$4,2,1))-MAX($E456,DATE(Dashboard!$C$4,1,1))))</f>
        <v/>
      </c>
      <c r="T456">
        <f>IF(OR($E456="",$F456=""),0,MAX(0,MIN($F456,DATE(Dashboard!$C$4,3,1))-MAX($E456,DATE(Dashboard!$C$4,2,1))))</f>
        <v/>
      </c>
      <c r="U456">
        <f>IF(OR($E456="",$F456=""),0,MAX(0,MIN($F456,DATE(Dashboard!$C$4,4,1))-MAX($E456,DATE(Dashboard!$C$4,3,1))))</f>
        <v/>
      </c>
      <c r="V456">
        <f>IF(OR($E456="",$F456=""),0,MAX(0,MIN($F456,DATE(Dashboard!$C$4,5,1))-MAX($E456,DATE(Dashboard!$C$4,4,1))))</f>
        <v/>
      </c>
      <c r="W456">
        <f>IF(OR($E456="",$F456=""),0,MAX(0,MIN($F456,DATE(Dashboard!$C$4,6,1))-MAX($E456,DATE(Dashboard!$C$4,5,1))))</f>
        <v/>
      </c>
      <c r="X456">
        <f>IF(OR($E456="",$F456=""),0,MAX(0,MIN($F456,DATE(Dashboard!$C$4,7,1))-MAX($E456,DATE(Dashboard!$C$4,6,1))))</f>
        <v/>
      </c>
      <c r="Y456">
        <f>IF(OR($E456="",$F456=""),0,MAX(0,MIN($F456,DATE(Dashboard!$C$4,8,1))-MAX($E456,DATE(Dashboard!$C$4,7,1))))</f>
        <v/>
      </c>
      <c r="Z456">
        <f>IF(OR($E456="",$F456=""),0,MAX(0,MIN($F456,DATE(Dashboard!$C$4,9,1))-MAX($E456,DATE(Dashboard!$C$4,8,1))))</f>
        <v/>
      </c>
      <c r="AA456">
        <f>IF(OR($E456="",$F456=""),0,MAX(0,MIN($F456,DATE(Dashboard!$C$4,10,1))-MAX($E456,DATE(Dashboard!$C$4,9,1))))</f>
        <v/>
      </c>
      <c r="AB456">
        <f>IF(OR($E456="",$F456=""),0,MAX(0,MIN($F456,DATE(Dashboard!$C$4,11,1))-MAX($E456,DATE(Dashboard!$C$4,10,1))))</f>
        <v/>
      </c>
      <c r="AC456">
        <f>IF(OR($E456="",$F456=""),0,MAX(0,MIN($F456,DATE(Dashboard!$C$4,12,1))-MAX($E456,DATE(Dashboard!$C$4,11,1))))</f>
        <v/>
      </c>
      <c r="AD456">
        <f>IF(OR($E456="",$F456=""),0,MAX(0,MIN($F456,DATE(Dashboard!$C$4,13,1))-MAX($E456,DATE(Dashboard!$C$4,12,1))))</f>
        <v/>
      </c>
      <c r="AE456">
        <f>SUM(S456:AD456)</f>
        <v/>
      </c>
      <c r="AF456">
        <f>Q456*AE456</f>
        <v/>
      </c>
      <c r="AG456">
        <f>R456*AE456</f>
        <v/>
      </c>
      <c r="AH456">
        <f>SUMPRODUCT(S456:AD456,--(COLUMN(S456:AD456)-COLUMN(S456)+1&lt;=Dashboard!$N$1))</f>
        <v/>
      </c>
      <c r="AI456">
        <f>IF(OR(E456="",E456&lt;TODAY()),"",E456+ROW()/100000)</f>
        <v/>
      </c>
      <c r="AJ456">
        <f>IF(OR(F456="",F456&lt;TODAY()),"",F456+ROW()/100000)</f>
        <v/>
      </c>
    </row>
    <row r="457">
      <c r="A457" s="1" t="n"/>
      <c r="B457" s="35" t="n"/>
      <c r="C457" s="35" t="n"/>
      <c r="D457" s="35" t="n"/>
      <c r="E457" s="36" t="n"/>
      <c r="F457" s="36" t="n"/>
      <c r="G457" s="18">
        <f>IF(OR(E457="",F457=""),"",F457-E457)</f>
        <v/>
      </c>
      <c r="H457" s="37" t="n"/>
      <c r="I457" s="38" t="n"/>
      <c r="J457" s="38" t="n"/>
      <c r="K457" s="38" t="n"/>
      <c r="L457" s="31">
        <f>IF(E457="","",N(I457)+N(J457)-N(K457))</f>
        <v/>
      </c>
      <c r="M457" s="39" t="n"/>
      <c r="N457" s="27">
        <f>IF(E457="","",IF(TODAY()&lt;E457,"Upcoming",IF(TODAY()&lt;F457,"Staying now",IF(M457="Yes","Checked out","Payout not received"))))</f>
        <v/>
      </c>
      <c r="O457" s="35" t="n"/>
      <c r="P457" s="1" t="n"/>
      <c r="Q457">
        <f>IF(N(G457)&gt;0,L457/G457,0)</f>
        <v/>
      </c>
      <c r="R457">
        <f>IF(N(G457)&gt;0,N(I457)/G457,0)</f>
        <v/>
      </c>
      <c r="S457">
        <f>IF(OR($E457="",$F457=""),0,MAX(0,MIN($F457,DATE(Dashboard!$C$4,2,1))-MAX($E457,DATE(Dashboard!$C$4,1,1))))</f>
        <v/>
      </c>
      <c r="T457">
        <f>IF(OR($E457="",$F457=""),0,MAX(0,MIN($F457,DATE(Dashboard!$C$4,3,1))-MAX($E457,DATE(Dashboard!$C$4,2,1))))</f>
        <v/>
      </c>
      <c r="U457">
        <f>IF(OR($E457="",$F457=""),0,MAX(0,MIN($F457,DATE(Dashboard!$C$4,4,1))-MAX($E457,DATE(Dashboard!$C$4,3,1))))</f>
        <v/>
      </c>
      <c r="V457">
        <f>IF(OR($E457="",$F457=""),0,MAX(0,MIN($F457,DATE(Dashboard!$C$4,5,1))-MAX($E457,DATE(Dashboard!$C$4,4,1))))</f>
        <v/>
      </c>
      <c r="W457">
        <f>IF(OR($E457="",$F457=""),0,MAX(0,MIN($F457,DATE(Dashboard!$C$4,6,1))-MAX($E457,DATE(Dashboard!$C$4,5,1))))</f>
        <v/>
      </c>
      <c r="X457">
        <f>IF(OR($E457="",$F457=""),0,MAX(0,MIN($F457,DATE(Dashboard!$C$4,7,1))-MAX($E457,DATE(Dashboard!$C$4,6,1))))</f>
        <v/>
      </c>
      <c r="Y457">
        <f>IF(OR($E457="",$F457=""),0,MAX(0,MIN($F457,DATE(Dashboard!$C$4,8,1))-MAX($E457,DATE(Dashboard!$C$4,7,1))))</f>
        <v/>
      </c>
      <c r="Z457">
        <f>IF(OR($E457="",$F457=""),0,MAX(0,MIN($F457,DATE(Dashboard!$C$4,9,1))-MAX($E457,DATE(Dashboard!$C$4,8,1))))</f>
        <v/>
      </c>
      <c r="AA457">
        <f>IF(OR($E457="",$F457=""),0,MAX(0,MIN($F457,DATE(Dashboard!$C$4,10,1))-MAX($E457,DATE(Dashboard!$C$4,9,1))))</f>
        <v/>
      </c>
      <c r="AB457">
        <f>IF(OR($E457="",$F457=""),0,MAX(0,MIN($F457,DATE(Dashboard!$C$4,11,1))-MAX($E457,DATE(Dashboard!$C$4,10,1))))</f>
        <v/>
      </c>
      <c r="AC457">
        <f>IF(OR($E457="",$F457=""),0,MAX(0,MIN($F457,DATE(Dashboard!$C$4,12,1))-MAX($E457,DATE(Dashboard!$C$4,11,1))))</f>
        <v/>
      </c>
      <c r="AD457">
        <f>IF(OR($E457="",$F457=""),0,MAX(0,MIN($F457,DATE(Dashboard!$C$4,13,1))-MAX($E457,DATE(Dashboard!$C$4,12,1))))</f>
        <v/>
      </c>
      <c r="AE457">
        <f>SUM(S457:AD457)</f>
        <v/>
      </c>
      <c r="AF457">
        <f>Q457*AE457</f>
        <v/>
      </c>
      <c r="AG457">
        <f>R457*AE457</f>
        <v/>
      </c>
      <c r="AH457">
        <f>SUMPRODUCT(S457:AD457,--(COLUMN(S457:AD457)-COLUMN(S457)+1&lt;=Dashboard!$N$1))</f>
        <v/>
      </c>
      <c r="AI457">
        <f>IF(OR(E457="",E457&lt;TODAY()),"",E457+ROW()/100000)</f>
        <v/>
      </c>
      <c r="AJ457">
        <f>IF(OR(F457="",F457&lt;TODAY()),"",F457+ROW()/100000)</f>
        <v/>
      </c>
    </row>
    <row r="458">
      <c r="A458" s="1" t="n"/>
      <c r="B458" s="35" t="n"/>
      <c r="C458" s="35" t="n"/>
      <c r="D458" s="35" t="n"/>
      <c r="E458" s="36" t="n"/>
      <c r="F458" s="36" t="n"/>
      <c r="G458" s="18">
        <f>IF(OR(E458="",F458=""),"",F458-E458)</f>
        <v/>
      </c>
      <c r="H458" s="37" t="n"/>
      <c r="I458" s="38" t="n"/>
      <c r="J458" s="38" t="n"/>
      <c r="K458" s="38" t="n"/>
      <c r="L458" s="31">
        <f>IF(E458="","",N(I458)+N(J458)-N(K458))</f>
        <v/>
      </c>
      <c r="M458" s="39" t="n"/>
      <c r="N458" s="27">
        <f>IF(E458="","",IF(TODAY()&lt;E458,"Upcoming",IF(TODAY()&lt;F458,"Staying now",IF(M458="Yes","Checked out","Payout not received"))))</f>
        <v/>
      </c>
      <c r="O458" s="35" t="n"/>
      <c r="P458" s="1" t="n"/>
      <c r="Q458">
        <f>IF(N(G458)&gt;0,L458/G458,0)</f>
        <v/>
      </c>
      <c r="R458">
        <f>IF(N(G458)&gt;0,N(I458)/G458,0)</f>
        <v/>
      </c>
      <c r="S458">
        <f>IF(OR($E458="",$F458=""),0,MAX(0,MIN($F458,DATE(Dashboard!$C$4,2,1))-MAX($E458,DATE(Dashboard!$C$4,1,1))))</f>
        <v/>
      </c>
      <c r="T458">
        <f>IF(OR($E458="",$F458=""),0,MAX(0,MIN($F458,DATE(Dashboard!$C$4,3,1))-MAX($E458,DATE(Dashboard!$C$4,2,1))))</f>
        <v/>
      </c>
      <c r="U458">
        <f>IF(OR($E458="",$F458=""),0,MAX(0,MIN($F458,DATE(Dashboard!$C$4,4,1))-MAX($E458,DATE(Dashboard!$C$4,3,1))))</f>
        <v/>
      </c>
      <c r="V458">
        <f>IF(OR($E458="",$F458=""),0,MAX(0,MIN($F458,DATE(Dashboard!$C$4,5,1))-MAX($E458,DATE(Dashboard!$C$4,4,1))))</f>
        <v/>
      </c>
      <c r="W458">
        <f>IF(OR($E458="",$F458=""),0,MAX(0,MIN($F458,DATE(Dashboard!$C$4,6,1))-MAX($E458,DATE(Dashboard!$C$4,5,1))))</f>
        <v/>
      </c>
      <c r="X458">
        <f>IF(OR($E458="",$F458=""),0,MAX(0,MIN($F458,DATE(Dashboard!$C$4,7,1))-MAX($E458,DATE(Dashboard!$C$4,6,1))))</f>
        <v/>
      </c>
      <c r="Y458">
        <f>IF(OR($E458="",$F458=""),0,MAX(0,MIN($F458,DATE(Dashboard!$C$4,8,1))-MAX($E458,DATE(Dashboard!$C$4,7,1))))</f>
        <v/>
      </c>
      <c r="Z458">
        <f>IF(OR($E458="",$F458=""),0,MAX(0,MIN($F458,DATE(Dashboard!$C$4,9,1))-MAX($E458,DATE(Dashboard!$C$4,8,1))))</f>
        <v/>
      </c>
      <c r="AA458">
        <f>IF(OR($E458="",$F458=""),0,MAX(0,MIN($F458,DATE(Dashboard!$C$4,10,1))-MAX($E458,DATE(Dashboard!$C$4,9,1))))</f>
        <v/>
      </c>
      <c r="AB458">
        <f>IF(OR($E458="",$F458=""),0,MAX(0,MIN($F458,DATE(Dashboard!$C$4,11,1))-MAX($E458,DATE(Dashboard!$C$4,10,1))))</f>
        <v/>
      </c>
      <c r="AC458">
        <f>IF(OR($E458="",$F458=""),0,MAX(0,MIN($F458,DATE(Dashboard!$C$4,12,1))-MAX($E458,DATE(Dashboard!$C$4,11,1))))</f>
        <v/>
      </c>
      <c r="AD458">
        <f>IF(OR($E458="",$F458=""),0,MAX(0,MIN($F458,DATE(Dashboard!$C$4,13,1))-MAX($E458,DATE(Dashboard!$C$4,12,1))))</f>
        <v/>
      </c>
      <c r="AE458">
        <f>SUM(S458:AD458)</f>
        <v/>
      </c>
      <c r="AF458">
        <f>Q458*AE458</f>
        <v/>
      </c>
      <c r="AG458">
        <f>R458*AE458</f>
        <v/>
      </c>
      <c r="AH458">
        <f>SUMPRODUCT(S458:AD458,--(COLUMN(S458:AD458)-COLUMN(S458)+1&lt;=Dashboard!$N$1))</f>
        <v/>
      </c>
      <c r="AI458">
        <f>IF(OR(E458="",E458&lt;TODAY()),"",E458+ROW()/100000)</f>
        <v/>
      </c>
      <c r="AJ458">
        <f>IF(OR(F458="",F458&lt;TODAY()),"",F458+ROW()/100000)</f>
        <v/>
      </c>
    </row>
    <row r="459">
      <c r="A459" s="1" t="n"/>
      <c r="B459" s="35" t="n"/>
      <c r="C459" s="35" t="n"/>
      <c r="D459" s="35" t="n"/>
      <c r="E459" s="36" t="n"/>
      <c r="F459" s="36" t="n"/>
      <c r="G459" s="18">
        <f>IF(OR(E459="",F459=""),"",F459-E459)</f>
        <v/>
      </c>
      <c r="H459" s="37" t="n"/>
      <c r="I459" s="38" t="n"/>
      <c r="J459" s="38" t="n"/>
      <c r="K459" s="38" t="n"/>
      <c r="L459" s="31">
        <f>IF(E459="","",N(I459)+N(J459)-N(K459))</f>
        <v/>
      </c>
      <c r="M459" s="39" t="n"/>
      <c r="N459" s="27">
        <f>IF(E459="","",IF(TODAY()&lt;E459,"Upcoming",IF(TODAY()&lt;F459,"Staying now",IF(M459="Yes","Checked out","Payout not received"))))</f>
        <v/>
      </c>
      <c r="O459" s="35" t="n"/>
      <c r="P459" s="1" t="n"/>
      <c r="Q459">
        <f>IF(N(G459)&gt;0,L459/G459,0)</f>
        <v/>
      </c>
      <c r="R459">
        <f>IF(N(G459)&gt;0,N(I459)/G459,0)</f>
        <v/>
      </c>
      <c r="S459">
        <f>IF(OR($E459="",$F459=""),0,MAX(0,MIN($F459,DATE(Dashboard!$C$4,2,1))-MAX($E459,DATE(Dashboard!$C$4,1,1))))</f>
        <v/>
      </c>
      <c r="T459">
        <f>IF(OR($E459="",$F459=""),0,MAX(0,MIN($F459,DATE(Dashboard!$C$4,3,1))-MAX($E459,DATE(Dashboard!$C$4,2,1))))</f>
        <v/>
      </c>
      <c r="U459">
        <f>IF(OR($E459="",$F459=""),0,MAX(0,MIN($F459,DATE(Dashboard!$C$4,4,1))-MAX($E459,DATE(Dashboard!$C$4,3,1))))</f>
        <v/>
      </c>
      <c r="V459">
        <f>IF(OR($E459="",$F459=""),0,MAX(0,MIN($F459,DATE(Dashboard!$C$4,5,1))-MAX($E459,DATE(Dashboard!$C$4,4,1))))</f>
        <v/>
      </c>
      <c r="W459">
        <f>IF(OR($E459="",$F459=""),0,MAX(0,MIN($F459,DATE(Dashboard!$C$4,6,1))-MAX($E459,DATE(Dashboard!$C$4,5,1))))</f>
        <v/>
      </c>
      <c r="X459">
        <f>IF(OR($E459="",$F459=""),0,MAX(0,MIN($F459,DATE(Dashboard!$C$4,7,1))-MAX($E459,DATE(Dashboard!$C$4,6,1))))</f>
        <v/>
      </c>
      <c r="Y459">
        <f>IF(OR($E459="",$F459=""),0,MAX(0,MIN($F459,DATE(Dashboard!$C$4,8,1))-MAX($E459,DATE(Dashboard!$C$4,7,1))))</f>
        <v/>
      </c>
      <c r="Z459">
        <f>IF(OR($E459="",$F459=""),0,MAX(0,MIN($F459,DATE(Dashboard!$C$4,9,1))-MAX($E459,DATE(Dashboard!$C$4,8,1))))</f>
        <v/>
      </c>
      <c r="AA459">
        <f>IF(OR($E459="",$F459=""),0,MAX(0,MIN($F459,DATE(Dashboard!$C$4,10,1))-MAX($E459,DATE(Dashboard!$C$4,9,1))))</f>
        <v/>
      </c>
      <c r="AB459">
        <f>IF(OR($E459="",$F459=""),0,MAX(0,MIN($F459,DATE(Dashboard!$C$4,11,1))-MAX($E459,DATE(Dashboard!$C$4,10,1))))</f>
        <v/>
      </c>
      <c r="AC459">
        <f>IF(OR($E459="",$F459=""),0,MAX(0,MIN($F459,DATE(Dashboard!$C$4,12,1))-MAX($E459,DATE(Dashboard!$C$4,11,1))))</f>
        <v/>
      </c>
      <c r="AD459">
        <f>IF(OR($E459="",$F459=""),0,MAX(0,MIN($F459,DATE(Dashboard!$C$4,13,1))-MAX($E459,DATE(Dashboard!$C$4,12,1))))</f>
        <v/>
      </c>
      <c r="AE459">
        <f>SUM(S459:AD459)</f>
        <v/>
      </c>
      <c r="AF459">
        <f>Q459*AE459</f>
        <v/>
      </c>
      <c r="AG459">
        <f>R459*AE459</f>
        <v/>
      </c>
      <c r="AH459">
        <f>SUMPRODUCT(S459:AD459,--(COLUMN(S459:AD459)-COLUMN(S459)+1&lt;=Dashboard!$N$1))</f>
        <v/>
      </c>
      <c r="AI459">
        <f>IF(OR(E459="",E459&lt;TODAY()),"",E459+ROW()/100000)</f>
        <v/>
      </c>
      <c r="AJ459">
        <f>IF(OR(F459="",F459&lt;TODAY()),"",F459+ROW()/100000)</f>
        <v/>
      </c>
    </row>
    <row r="460">
      <c r="A460" s="1" t="n"/>
      <c r="B460" s="35" t="n"/>
      <c r="C460" s="35" t="n"/>
      <c r="D460" s="35" t="n"/>
      <c r="E460" s="36" t="n"/>
      <c r="F460" s="36" t="n"/>
      <c r="G460" s="18">
        <f>IF(OR(E460="",F460=""),"",F460-E460)</f>
        <v/>
      </c>
      <c r="H460" s="37" t="n"/>
      <c r="I460" s="38" t="n"/>
      <c r="J460" s="38" t="n"/>
      <c r="K460" s="38" t="n"/>
      <c r="L460" s="31">
        <f>IF(E460="","",N(I460)+N(J460)-N(K460))</f>
        <v/>
      </c>
      <c r="M460" s="39" t="n"/>
      <c r="N460" s="27">
        <f>IF(E460="","",IF(TODAY()&lt;E460,"Upcoming",IF(TODAY()&lt;F460,"Staying now",IF(M460="Yes","Checked out","Payout not received"))))</f>
        <v/>
      </c>
      <c r="O460" s="35" t="n"/>
      <c r="P460" s="1" t="n"/>
      <c r="Q460">
        <f>IF(N(G460)&gt;0,L460/G460,0)</f>
        <v/>
      </c>
      <c r="R460">
        <f>IF(N(G460)&gt;0,N(I460)/G460,0)</f>
        <v/>
      </c>
      <c r="S460">
        <f>IF(OR($E460="",$F460=""),0,MAX(0,MIN($F460,DATE(Dashboard!$C$4,2,1))-MAX($E460,DATE(Dashboard!$C$4,1,1))))</f>
        <v/>
      </c>
      <c r="T460">
        <f>IF(OR($E460="",$F460=""),0,MAX(0,MIN($F460,DATE(Dashboard!$C$4,3,1))-MAX($E460,DATE(Dashboard!$C$4,2,1))))</f>
        <v/>
      </c>
      <c r="U460">
        <f>IF(OR($E460="",$F460=""),0,MAX(0,MIN($F460,DATE(Dashboard!$C$4,4,1))-MAX($E460,DATE(Dashboard!$C$4,3,1))))</f>
        <v/>
      </c>
      <c r="V460">
        <f>IF(OR($E460="",$F460=""),0,MAX(0,MIN($F460,DATE(Dashboard!$C$4,5,1))-MAX($E460,DATE(Dashboard!$C$4,4,1))))</f>
        <v/>
      </c>
      <c r="W460">
        <f>IF(OR($E460="",$F460=""),0,MAX(0,MIN($F460,DATE(Dashboard!$C$4,6,1))-MAX($E460,DATE(Dashboard!$C$4,5,1))))</f>
        <v/>
      </c>
      <c r="X460">
        <f>IF(OR($E460="",$F460=""),0,MAX(0,MIN($F460,DATE(Dashboard!$C$4,7,1))-MAX($E460,DATE(Dashboard!$C$4,6,1))))</f>
        <v/>
      </c>
      <c r="Y460">
        <f>IF(OR($E460="",$F460=""),0,MAX(0,MIN($F460,DATE(Dashboard!$C$4,8,1))-MAX($E460,DATE(Dashboard!$C$4,7,1))))</f>
        <v/>
      </c>
      <c r="Z460">
        <f>IF(OR($E460="",$F460=""),0,MAX(0,MIN($F460,DATE(Dashboard!$C$4,9,1))-MAX($E460,DATE(Dashboard!$C$4,8,1))))</f>
        <v/>
      </c>
      <c r="AA460">
        <f>IF(OR($E460="",$F460=""),0,MAX(0,MIN($F460,DATE(Dashboard!$C$4,10,1))-MAX($E460,DATE(Dashboard!$C$4,9,1))))</f>
        <v/>
      </c>
      <c r="AB460">
        <f>IF(OR($E460="",$F460=""),0,MAX(0,MIN($F460,DATE(Dashboard!$C$4,11,1))-MAX($E460,DATE(Dashboard!$C$4,10,1))))</f>
        <v/>
      </c>
      <c r="AC460">
        <f>IF(OR($E460="",$F460=""),0,MAX(0,MIN($F460,DATE(Dashboard!$C$4,12,1))-MAX($E460,DATE(Dashboard!$C$4,11,1))))</f>
        <v/>
      </c>
      <c r="AD460">
        <f>IF(OR($E460="",$F460=""),0,MAX(0,MIN($F460,DATE(Dashboard!$C$4,13,1))-MAX($E460,DATE(Dashboard!$C$4,12,1))))</f>
        <v/>
      </c>
      <c r="AE460">
        <f>SUM(S460:AD460)</f>
        <v/>
      </c>
      <c r="AF460">
        <f>Q460*AE460</f>
        <v/>
      </c>
      <c r="AG460">
        <f>R460*AE460</f>
        <v/>
      </c>
      <c r="AH460">
        <f>SUMPRODUCT(S460:AD460,--(COLUMN(S460:AD460)-COLUMN(S460)+1&lt;=Dashboard!$N$1))</f>
        <v/>
      </c>
      <c r="AI460">
        <f>IF(OR(E460="",E460&lt;TODAY()),"",E460+ROW()/100000)</f>
        <v/>
      </c>
      <c r="AJ460">
        <f>IF(OR(F460="",F460&lt;TODAY()),"",F460+ROW()/100000)</f>
        <v/>
      </c>
    </row>
    <row r="461">
      <c r="A461" s="1" t="n"/>
      <c r="B461" s="35" t="n"/>
      <c r="C461" s="35" t="n"/>
      <c r="D461" s="35" t="n"/>
      <c r="E461" s="36" t="n"/>
      <c r="F461" s="36" t="n"/>
      <c r="G461" s="18">
        <f>IF(OR(E461="",F461=""),"",F461-E461)</f>
        <v/>
      </c>
      <c r="H461" s="37" t="n"/>
      <c r="I461" s="38" t="n"/>
      <c r="J461" s="38" t="n"/>
      <c r="K461" s="38" t="n"/>
      <c r="L461" s="31">
        <f>IF(E461="","",N(I461)+N(J461)-N(K461))</f>
        <v/>
      </c>
      <c r="M461" s="39" t="n"/>
      <c r="N461" s="27">
        <f>IF(E461="","",IF(TODAY()&lt;E461,"Upcoming",IF(TODAY()&lt;F461,"Staying now",IF(M461="Yes","Checked out","Payout not received"))))</f>
        <v/>
      </c>
      <c r="O461" s="35" t="n"/>
      <c r="P461" s="1" t="n"/>
      <c r="Q461">
        <f>IF(N(G461)&gt;0,L461/G461,0)</f>
        <v/>
      </c>
      <c r="R461">
        <f>IF(N(G461)&gt;0,N(I461)/G461,0)</f>
        <v/>
      </c>
      <c r="S461">
        <f>IF(OR($E461="",$F461=""),0,MAX(0,MIN($F461,DATE(Dashboard!$C$4,2,1))-MAX($E461,DATE(Dashboard!$C$4,1,1))))</f>
        <v/>
      </c>
      <c r="T461">
        <f>IF(OR($E461="",$F461=""),0,MAX(0,MIN($F461,DATE(Dashboard!$C$4,3,1))-MAX($E461,DATE(Dashboard!$C$4,2,1))))</f>
        <v/>
      </c>
      <c r="U461">
        <f>IF(OR($E461="",$F461=""),0,MAX(0,MIN($F461,DATE(Dashboard!$C$4,4,1))-MAX($E461,DATE(Dashboard!$C$4,3,1))))</f>
        <v/>
      </c>
      <c r="V461">
        <f>IF(OR($E461="",$F461=""),0,MAX(0,MIN($F461,DATE(Dashboard!$C$4,5,1))-MAX($E461,DATE(Dashboard!$C$4,4,1))))</f>
        <v/>
      </c>
      <c r="W461">
        <f>IF(OR($E461="",$F461=""),0,MAX(0,MIN($F461,DATE(Dashboard!$C$4,6,1))-MAX($E461,DATE(Dashboard!$C$4,5,1))))</f>
        <v/>
      </c>
      <c r="X461">
        <f>IF(OR($E461="",$F461=""),0,MAX(0,MIN($F461,DATE(Dashboard!$C$4,7,1))-MAX($E461,DATE(Dashboard!$C$4,6,1))))</f>
        <v/>
      </c>
      <c r="Y461">
        <f>IF(OR($E461="",$F461=""),0,MAX(0,MIN($F461,DATE(Dashboard!$C$4,8,1))-MAX($E461,DATE(Dashboard!$C$4,7,1))))</f>
        <v/>
      </c>
      <c r="Z461">
        <f>IF(OR($E461="",$F461=""),0,MAX(0,MIN($F461,DATE(Dashboard!$C$4,9,1))-MAX($E461,DATE(Dashboard!$C$4,8,1))))</f>
        <v/>
      </c>
      <c r="AA461">
        <f>IF(OR($E461="",$F461=""),0,MAX(0,MIN($F461,DATE(Dashboard!$C$4,10,1))-MAX($E461,DATE(Dashboard!$C$4,9,1))))</f>
        <v/>
      </c>
      <c r="AB461">
        <f>IF(OR($E461="",$F461=""),0,MAX(0,MIN($F461,DATE(Dashboard!$C$4,11,1))-MAX($E461,DATE(Dashboard!$C$4,10,1))))</f>
        <v/>
      </c>
      <c r="AC461">
        <f>IF(OR($E461="",$F461=""),0,MAX(0,MIN($F461,DATE(Dashboard!$C$4,12,1))-MAX($E461,DATE(Dashboard!$C$4,11,1))))</f>
        <v/>
      </c>
      <c r="AD461">
        <f>IF(OR($E461="",$F461=""),0,MAX(0,MIN($F461,DATE(Dashboard!$C$4,13,1))-MAX($E461,DATE(Dashboard!$C$4,12,1))))</f>
        <v/>
      </c>
      <c r="AE461">
        <f>SUM(S461:AD461)</f>
        <v/>
      </c>
      <c r="AF461">
        <f>Q461*AE461</f>
        <v/>
      </c>
      <c r="AG461">
        <f>R461*AE461</f>
        <v/>
      </c>
      <c r="AH461">
        <f>SUMPRODUCT(S461:AD461,--(COLUMN(S461:AD461)-COLUMN(S461)+1&lt;=Dashboard!$N$1))</f>
        <v/>
      </c>
      <c r="AI461">
        <f>IF(OR(E461="",E461&lt;TODAY()),"",E461+ROW()/100000)</f>
        <v/>
      </c>
      <c r="AJ461">
        <f>IF(OR(F461="",F461&lt;TODAY()),"",F461+ROW()/100000)</f>
        <v/>
      </c>
    </row>
    <row r="462">
      <c r="A462" s="1" t="n"/>
      <c r="B462" s="35" t="n"/>
      <c r="C462" s="35" t="n"/>
      <c r="D462" s="35" t="n"/>
      <c r="E462" s="36" t="n"/>
      <c r="F462" s="36" t="n"/>
      <c r="G462" s="18">
        <f>IF(OR(E462="",F462=""),"",F462-E462)</f>
        <v/>
      </c>
      <c r="H462" s="37" t="n"/>
      <c r="I462" s="38" t="n"/>
      <c r="J462" s="38" t="n"/>
      <c r="K462" s="38" t="n"/>
      <c r="L462" s="31">
        <f>IF(E462="","",N(I462)+N(J462)-N(K462))</f>
        <v/>
      </c>
      <c r="M462" s="39" t="n"/>
      <c r="N462" s="27">
        <f>IF(E462="","",IF(TODAY()&lt;E462,"Upcoming",IF(TODAY()&lt;F462,"Staying now",IF(M462="Yes","Checked out","Payout not received"))))</f>
        <v/>
      </c>
      <c r="O462" s="35" t="n"/>
      <c r="P462" s="1" t="n"/>
      <c r="Q462">
        <f>IF(N(G462)&gt;0,L462/G462,0)</f>
        <v/>
      </c>
      <c r="R462">
        <f>IF(N(G462)&gt;0,N(I462)/G462,0)</f>
        <v/>
      </c>
      <c r="S462">
        <f>IF(OR($E462="",$F462=""),0,MAX(0,MIN($F462,DATE(Dashboard!$C$4,2,1))-MAX($E462,DATE(Dashboard!$C$4,1,1))))</f>
        <v/>
      </c>
      <c r="T462">
        <f>IF(OR($E462="",$F462=""),0,MAX(0,MIN($F462,DATE(Dashboard!$C$4,3,1))-MAX($E462,DATE(Dashboard!$C$4,2,1))))</f>
        <v/>
      </c>
      <c r="U462">
        <f>IF(OR($E462="",$F462=""),0,MAX(0,MIN($F462,DATE(Dashboard!$C$4,4,1))-MAX($E462,DATE(Dashboard!$C$4,3,1))))</f>
        <v/>
      </c>
      <c r="V462">
        <f>IF(OR($E462="",$F462=""),0,MAX(0,MIN($F462,DATE(Dashboard!$C$4,5,1))-MAX($E462,DATE(Dashboard!$C$4,4,1))))</f>
        <v/>
      </c>
      <c r="W462">
        <f>IF(OR($E462="",$F462=""),0,MAX(0,MIN($F462,DATE(Dashboard!$C$4,6,1))-MAX($E462,DATE(Dashboard!$C$4,5,1))))</f>
        <v/>
      </c>
      <c r="X462">
        <f>IF(OR($E462="",$F462=""),0,MAX(0,MIN($F462,DATE(Dashboard!$C$4,7,1))-MAX($E462,DATE(Dashboard!$C$4,6,1))))</f>
        <v/>
      </c>
      <c r="Y462">
        <f>IF(OR($E462="",$F462=""),0,MAX(0,MIN($F462,DATE(Dashboard!$C$4,8,1))-MAX($E462,DATE(Dashboard!$C$4,7,1))))</f>
        <v/>
      </c>
      <c r="Z462">
        <f>IF(OR($E462="",$F462=""),0,MAX(0,MIN($F462,DATE(Dashboard!$C$4,9,1))-MAX($E462,DATE(Dashboard!$C$4,8,1))))</f>
        <v/>
      </c>
      <c r="AA462">
        <f>IF(OR($E462="",$F462=""),0,MAX(0,MIN($F462,DATE(Dashboard!$C$4,10,1))-MAX($E462,DATE(Dashboard!$C$4,9,1))))</f>
        <v/>
      </c>
      <c r="AB462">
        <f>IF(OR($E462="",$F462=""),0,MAX(0,MIN($F462,DATE(Dashboard!$C$4,11,1))-MAX($E462,DATE(Dashboard!$C$4,10,1))))</f>
        <v/>
      </c>
      <c r="AC462">
        <f>IF(OR($E462="",$F462=""),0,MAX(0,MIN($F462,DATE(Dashboard!$C$4,12,1))-MAX($E462,DATE(Dashboard!$C$4,11,1))))</f>
        <v/>
      </c>
      <c r="AD462">
        <f>IF(OR($E462="",$F462=""),0,MAX(0,MIN($F462,DATE(Dashboard!$C$4,13,1))-MAX($E462,DATE(Dashboard!$C$4,12,1))))</f>
        <v/>
      </c>
      <c r="AE462">
        <f>SUM(S462:AD462)</f>
        <v/>
      </c>
      <c r="AF462">
        <f>Q462*AE462</f>
        <v/>
      </c>
      <c r="AG462">
        <f>R462*AE462</f>
        <v/>
      </c>
      <c r="AH462">
        <f>SUMPRODUCT(S462:AD462,--(COLUMN(S462:AD462)-COLUMN(S462)+1&lt;=Dashboard!$N$1))</f>
        <v/>
      </c>
      <c r="AI462">
        <f>IF(OR(E462="",E462&lt;TODAY()),"",E462+ROW()/100000)</f>
        <v/>
      </c>
      <c r="AJ462">
        <f>IF(OR(F462="",F462&lt;TODAY()),"",F462+ROW()/100000)</f>
        <v/>
      </c>
    </row>
    <row r="463">
      <c r="A463" s="1" t="n"/>
      <c r="B463" s="35" t="n"/>
      <c r="C463" s="35" t="n"/>
      <c r="D463" s="35" t="n"/>
      <c r="E463" s="36" t="n"/>
      <c r="F463" s="36" t="n"/>
      <c r="G463" s="18">
        <f>IF(OR(E463="",F463=""),"",F463-E463)</f>
        <v/>
      </c>
      <c r="H463" s="37" t="n"/>
      <c r="I463" s="38" t="n"/>
      <c r="J463" s="38" t="n"/>
      <c r="K463" s="38" t="n"/>
      <c r="L463" s="31">
        <f>IF(E463="","",N(I463)+N(J463)-N(K463))</f>
        <v/>
      </c>
      <c r="M463" s="39" t="n"/>
      <c r="N463" s="27">
        <f>IF(E463="","",IF(TODAY()&lt;E463,"Upcoming",IF(TODAY()&lt;F463,"Staying now",IF(M463="Yes","Checked out","Payout not received"))))</f>
        <v/>
      </c>
      <c r="O463" s="35" t="n"/>
      <c r="P463" s="1" t="n"/>
      <c r="Q463">
        <f>IF(N(G463)&gt;0,L463/G463,0)</f>
        <v/>
      </c>
      <c r="R463">
        <f>IF(N(G463)&gt;0,N(I463)/G463,0)</f>
        <v/>
      </c>
      <c r="S463">
        <f>IF(OR($E463="",$F463=""),0,MAX(0,MIN($F463,DATE(Dashboard!$C$4,2,1))-MAX($E463,DATE(Dashboard!$C$4,1,1))))</f>
        <v/>
      </c>
      <c r="T463">
        <f>IF(OR($E463="",$F463=""),0,MAX(0,MIN($F463,DATE(Dashboard!$C$4,3,1))-MAX($E463,DATE(Dashboard!$C$4,2,1))))</f>
        <v/>
      </c>
      <c r="U463">
        <f>IF(OR($E463="",$F463=""),0,MAX(0,MIN($F463,DATE(Dashboard!$C$4,4,1))-MAX($E463,DATE(Dashboard!$C$4,3,1))))</f>
        <v/>
      </c>
      <c r="V463">
        <f>IF(OR($E463="",$F463=""),0,MAX(0,MIN($F463,DATE(Dashboard!$C$4,5,1))-MAX($E463,DATE(Dashboard!$C$4,4,1))))</f>
        <v/>
      </c>
      <c r="W463">
        <f>IF(OR($E463="",$F463=""),0,MAX(0,MIN($F463,DATE(Dashboard!$C$4,6,1))-MAX($E463,DATE(Dashboard!$C$4,5,1))))</f>
        <v/>
      </c>
      <c r="X463">
        <f>IF(OR($E463="",$F463=""),0,MAX(0,MIN($F463,DATE(Dashboard!$C$4,7,1))-MAX($E463,DATE(Dashboard!$C$4,6,1))))</f>
        <v/>
      </c>
      <c r="Y463">
        <f>IF(OR($E463="",$F463=""),0,MAX(0,MIN($F463,DATE(Dashboard!$C$4,8,1))-MAX($E463,DATE(Dashboard!$C$4,7,1))))</f>
        <v/>
      </c>
      <c r="Z463">
        <f>IF(OR($E463="",$F463=""),0,MAX(0,MIN($F463,DATE(Dashboard!$C$4,9,1))-MAX($E463,DATE(Dashboard!$C$4,8,1))))</f>
        <v/>
      </c>
      <c r="AA463">
        <f>IF(OR($E463="",$F463=""),0,MAX(0,MIN($F463,DATE(Dashboard!$C$4,10,1))-MAX($E463,DATE(Dashboard!$C$4,9,1))))</f>
        <v/>
      </c>
      <c r="AB463">
        <f>IF(OR($E463="",$F463=""),0,MAX(0,MIN($F463,DATE(Dashboard!$C$4,11,1))-MAX($E463,DATE(Dashboard!$C$4,10,1))))</f>
        <v/>
      </c>
      <c r="AC463">
        <f>IF(OR($E463="",$F463=""),0,MAX(0,MIN($F463,DATE(Dashboard!$C$4,12,1))-MAX($E463,DATE(Dashboard!$C$4,11,1))))</f>
        <v/>
      </c>
      <c r="AD463">
        <f>IF(OR($E463="",$F463=""),0,MAX(0,MIN($F463,DATE(Dashboard!$C$4,13,1))-MAX($E463,DATE(Dashboard!$C$4,12,1))))</f>
        <v/>
      </c>
      <c r="AE463">
        <f>SUM(S463:AD463)</f>
        <v/>
      </c>
      <c r="AF463">
        <f>Q463*AE463</f>
        <v/>
      </c>
      <c r="AG463">
        <f>R463*AE463</f>
        <v/>
      </c>
      <c r="AH463">
        <f>SUMPRODUCT(S463:AD463,--(COLUMN(S463:AD463)-COLUMN(S463)+1&lt;=Dashboard!$N$1))</f>
        <v/>
      </c>
      <c r="AI463">
        <f>IF(OR(E463="",E463&lt;TODAY()),"",E463+ROW()/100000)</f>
        <v/>
      </c>
      <c r="AJ463">
        <f>IF(OR(F463="",F463&lt;TODAY()),"",F463+ROW()/100000)</f>
        <v/>
      </c>
    </row>
    <row r="464">
      <c r="A464" s="1" t="n"/>
      <c r="B464" s="35" t="n"/>
      <c r="C464" s="35" t="n"/>
      <c r="D464" s="35" t="n"/>
      <c r="E464" s="36" t="n"/>
      <c r="F464" s="36" t="n"/>
      <c r="G464" s="18">
        <f>IF(OR(E464="",F464=""),"",F464-E464)</f>
        <v/>
      </c>
      <c r="H464" s="37" t="n"/>
      <c r="I464" s="38" t="n"/>
      <c r="J464" s="38" t="n"/>
      <c r="K464" s="38" t="n"/>
      <c r="L464" s="31">
        <f>IF(E464="","",N(I464)+N(J464)-N(K464))</f>
        <v/>
      </c>
      <c r="M464" s="39" t="n"/>
      <c r="N464" s="27">
        <f>IF(E464="","",IF(TODAY()&lt;E464,"Upcoming",IF(TODAY()&lt;F464,"Staying now",IF(M464="Yes","Checked out","Payout not received"))))</f>
        <v/>
      </c>
      <c r="O464" s="35" t="n"/>
      <c r="P464" s="1" t="n"/>
      <c r="Q464">
        <f>IF(N(G464)&gt;0,L464/G464,0)</f>
        <v/>
      </c>
      <c r="R464">
        <f>IF(N(G464)&gt;0,N(I464)/G464,0)</f>
        <v/>
      </c>
      <c r="S464">
        <f>IF(OR($E464="",$F464=""),0,MAX(0,MIN($F464,DATE(Dashboard!$C$4,2,1))-MAX($E464,DATE(Dashboard!$C$4,1,1))))</f>
        <v/>
      </c>
      <c r="T464">
        <f>IF(OR($E464="",$F464=""),0,MAX(0,MIN($F464,DATE(Dashboard!$C$4,3,1))-MAX($E464,DATE(Dashboard!$C$4,2,1))))</f>
        <v/>
      </c>
      <c r="U464">
        <f>IF(OR($E464="",$F464=""),0,MAX(0,MIN($F464,DATE(Dashboard!$C$4,4,1))-MAX($E464,DATE(Dashboard!$C$4,3,1))))</f>
        <v/>
      </c>
      <c r="V464">
        <f>IF(OR($E464="",$F464=""),0,MAX(0,MIN($F464,DATE(Dashboard!$C$4,5,1))-MAX($E464,DATE(Dashboard!$C$4,4,1))))</f>
        <v/>
      </c>
      <c r="W464">
        <f>IF(OR($E464="",$F464=""),0,MAX(0,MIN($F464,DATE(Dashboard!$C$4,6,1))-MAX($E464,DATE(Dashboard!$C$4,5,1))))</f>
        <v/>
      </c>
      <c r="X464">
        <f>IF(OR($E464="",$F464=""),0,MAX(0,MIN($F464,DATE(Dashboard!$C$4,7,1))-MAX($E464,DATE(Dashboard!$C$4,6,1))))</f>
        <v/>
      </c>
      <c r="Y464">
        <f>IF(OR($E464="",$F464=""),0,MAX(0,MIN($F464,DATE(Dashboard!$C$4,8,1))-MAX($E464,DATE(Dashboard!$C$4,7,1))))</f>
        <v/>
      </c>
      <c r="Z464">
        <f>IF(OR($E464="",$F464=""),0,MAX(0,MIN($F464,DATE(Dashboard!$C$4,9,1))-MAX($E464,DATE(Dashboard!$C$4,8,1))))</f>
        <v/>
      </c>
      <c r="AA464">
        <f>IF(OR($E464="",$F464=""),0,MAX(0,MIN($F464,DATE(Dashboard!$C$4,10,1))-MAX($E464,DATE(Dashboard!$C$4,9,1))))</f>
        <v/>
      </c>
      <c r="AB464">
        <f>IF(OR($E464="",$F464=""),0,MAX(0,MIN($F464,DATE(Dashboard!$C$4,11,1))-MAX($E464,DATE(Dashboard!$C$4,10,1))))</f>
        <v/>
      </c>
      <c r="AC464">
        <f>IF(OR($E464="",$F464=""),0,MAX(0,MIN($F464,DATE(Dashboard!$C$4,12,1))-MAX($E464,DATE(Dashboard!$C$4,11,1))))</f>
        <v/>
      </c>
      <c r="AD464">
        <f>IF(OR($E464="",$F464=""),0,MAX(0,MIN($F464,DATE(Dashboard!$C$4,13,1))-MAX($E464,DATE(Dashboard!$C$4,12,1))))</f>
        <v/>
      </c>
      <c r="AE464">
        <f>SUM(S464:AD464)</f>
        <v/>
      </c>
      <c r="AF464">
        <f>Q464*AE464</f>
        <v/>
      </c>
      <c r="AG464">
        <f>R464*AE464</f>
        <v/>
      </c>
      <c r="AH464">
        <f>SUMPRODUCT(S464:AD464,--(COLUMN(S464:AD464)-COLUMN(S464)+1&lt;=Dashboard!$N$1))</f>
        <v/>
      </c>
      <c r="AI464">
        <f>IF(OR(E464="",E464&lt;TODAY()),"",E464+ROW()/100000)</f>
        <v/>
      </c>
      <c r="AJ464">
        <f>IF(OR(F464="",F464&lt;TODAY()),"",F464+ROW()/100000)</f>
        <v/>
      </c>
    </row>
    <row r="465">
      <c r="A465" s="1" t="n"/>
      <c r="B465" s="35" t="n"/>
      <c r="C465" s="35" t="n"/>
      <c r="D465" s="35" t="n"/>
      <c r="E465" s="36" t="n"/>
      <c r="F465" s="36" t="n"/>
      <c r="G465" s="18">
        <f>IF(OR(E465="",F465=""),"",F465-E465)</f>
        <v/>
      </c>
      <c r="H465" s="37" t="n"/>
      <c r="I465" s="38" t="n"/>
      <c r="J465" s="38" t="n"/>
      <c r="K465" s="38" t="n"/>
      <c r="L465" s="31">
        <f>IF(E465="","",N(I465)+N(J465)-N(K465))</f>
        <v/>
      </c>
      <c r="M465" s="39" t="n"/>
      <c r="N465" s="27">
        <f>IF(E465="","",IF(TODAY()&lt;E465,"Upcoming",IF(TODAY()&lt;F465,"Staying now",IF(M465="Yes","Checked out","Payout not received"))))</f>
        <v/>
      </c>
      <c r="O465" s="35" t="n"/>
      <c r="P465" s="1" t="n"/>
      <c r="Q465">
        <f>IF(N(G465)&gt;0,L465/G465,0)</f>
        <v/>
      </c>
      <c r="R465">
        <f>IF(N(G465)&gt;0,N(I465)/G465,0)</f>
        <v/>
      </c>
      <c r="S465">
        <f>IF(OR($E465="",$F465=""),0,MAX(0,MIN($F465,DATE(Dashboard!$C$4,2,1))-MAX($E465,DATE(Dashboard!$C$4,1,1))))</f>
        <v/>
      </c>
      <c r="T465">
        <f>IF(OR($E465="",$F465=""),0,MAX(0,MIN($F465,DATE(Dashboard!$C$4,3,1))-MAX($E465,DATE(Dashboard!$C$4,2,1))))</f>
        <v/>
      </c>
      <c r="U465">
        <f>IF(OR($E465="",$F465=""),0,MAX(0,MIN($F465,DATE(Dashboard!$C$4,4,1))-MAX($E465,DATE(Dashboard!$C$4,3,1))))</f>
        <v/>
      </c>
      <c r="V465">
        <f>IF(OR($E465="",$F465=""),0,MAX(0,MIN($F465,DATE(Dashboard!$C$4,5,1))-MAX($E465,DATE(Dashboard!$C$4,4,1))))</f>
        <v/>
      </c>
      <c r="W465">
        <f>IF(OR($E465="",$F465=""),0,MAX(0,MIN($F465,DATE(Dashboard!$C$4,6,1))-MAX($E465,DATE(Dashboard!$C$4,5,1))))</f>
        <v/>
      </c>
      <c r="X465">
        <f>IF(OR($E465="",$F465=""),0,MAX(0,MIN($F465,DATE(Dashboard!$C$4,7,1))-MAX($E465,DATE(Dashboard!$C$4,6,1))))</f>
        <v/>
      </c>
      <c r="Y465">
        <f>IF(OR($E465="",$F465=""),0,MAX(0,MIN($F465,DATE(Dashboard!$C$4,8,1))-MAX($E465,DATE(Dashboard!$C$4,7,1))))</f>
        <v/>
      </c>
      <c r="Z465">
        <f>IF(OR($E465="",$F465=""),0,MAX(0,MIN($F465,DATE(Dashboard!$C$4,9,1))-MAX($E465,DATE(Dashboard!$C$4,8,1))))</f>
        <v/>
      </c>
      <c r="AA465">
        <f>IF(OR($E465="",$F465=""),0,MAX(0,MIN($F465,DATE(Dashboard!$C$4,10,1))-MAX($E465,DATE(Dashboard!$C$4,9,1))))</f>
        <v/>
      </c>
      <c r="AB465">
        <f>IF(OR($E465="",$F465=""),0,MAX(0,MIN($F465,DATE(Dashboard!$C$4,11,1))-MAX($E465,DATE(Dashboard!$C$4,10,1))))</f>
        <v/>
      </c>
      <c r="AC465">
        <f>IF(OR($E465="",$F465=""),0,MAX(0,MIN($F465,DATE(Dashboard!$C$4,12,1))-MAX($E465,DATE(Dashboard!$C$4,11,1))))</f>
        <v/>
      </c>
      <c r="AD465">
        <f>IF(OR($E465="",$F465=""),0,MAX(0,MIN($F465,DATE(Dashboard!$C$4,13,1))-MAX($E465,DATE(Dashboard!$C$4,12,1))))</f>
        <v/>
      </c>
      <c r="AE465">
        <f>SUM(S465:AD465)</f>
        <v/>
      </c>
      <c r="AF465">
        <f>Q465*AE465</f>
        <v/>
      </c>
      <c r="AG465">
        <f>R465*AE465</f>
        <v/>
      </c>
      <c r="AH465">
        <f>SUMPRODUCT(S465:AD465,--(COLUMN(S465:AD465)-COLUMN(S465)+1&lt;=Dashboard!$N$1))</f>
        <v/>
      </c>
      <c r="AI465">
        <f>IF(OR(E465="",E465&lt;TODAY()),"",E465+ROW()/100000)</f>
        <v/>
      </c>
      <c r="AJ465">
        <f>IF(OR(F465="",F465&lt;TODAY()),"",F465+ROW()/100000)</f>
        <v/>
      </c>
    </row>
    <row r="466">
      <c r="A466" s="1" t="n"/>
      <c r="B466" s="35" t="n"/>
      <c r="C466" s="35" t="n"/>
      <c r="D466" s="35" t="n"/>
      <c r="E466" s="36" t="n"/>
      <c r="F466" s="36" t="n"/>
      <c r="G466" s="18">
        <f>IF(OR(E466="",F466=""),"",F466-E466)</f>
        <v/>
      </c>
      <c r="H466" s="37" t="n"/>
      <c r="I466" s="38" t="n"/>
      <c r="J466" s="38" t="n"/>
      <c r="K466" s="38" t="n"/>
      <c r="L466" s="31">
        <f>IF(E466="","",N(I466)+N(J466)-N(K466))</f>
        <v/>
      </c>
      <c r="M466" s="39" t="n"/>
      <c r="N466" s="27">
        <f>IF(E466="","",IF(TODAY()&lt;E466,"Upcoming",IF(TODAY()&lt;F466,"Staying now",IF(M466="Yes","Checked out","Payout not received"))))</f>
        <v/>
      </c>
      <c r="O466" s="35" t="n"/>
      <c r="P466" s="1" t="n"/>
      <c r="Q466">
        <f>IF(N(G466)&gt;0,L466/G466,0)</f>
        <v/>
      </c>
      <c r="R466">
        <f>IF(N(G466)&gt;0,N(I466)/G466,0)</f>
        <v/>
      </c>
      <c r="S466">
        <f>IF(OR($E466="",$F466=""),0,MAX(0,MIN($F466,DATE(Dashboard!$C$4,2,1))-MAX($E466,DATE(Dashboard!$C$4,1,1))))</f>
        <v/>
      </c>
      <c r="T466">
        <f>IF(OR($E466="",$F466=""),0,MAX(0,MIN($F466,DATE(Dashboard!$C$4,3,1))-MAX($E466,DATE(Dashboard!$C$4,2,1))))</f>
        <v/>
      </c>
      <c r="U466">
        <f>IF(OR($E466="",$F466=""),0,MAX(0,MIN($F466,DATE(Dashboard!$C$4,4,1))-MAX($E466,DATE(Dashboard!$C$4,3,1))))</f>
        <v/>
      </c>
      <c r="V466">
        <f>IF(OR($E466="",$F466=""),0,MAX(0,MIN($F466,DATE(Dashboard!$C$4,5,1))-MAX($E466,DATE(Dashboard!$C$4,4,1))))</f>
        <v/>
      </c>
      <c r="W466">
        <f>IF(OR($E466="",$F466=""),0,MAX(0,MIN($F466,DATE(Dashboard!$C$4,6,1))-MAX($E466,DATE(Dashboard!$C$4,5,1))))</f>
        <v/>
      </c>
      <c r="X466">
        <f>IF(OR($E466="",$F466=""),0,MAX(0,MIN($F466,DATE(Dashboard!$C$4,7,1))-MAX($E466,DATE(Dashboard!$C$4,6,1))))</f>
        <v/>
      </c>
      <c r="Y466">
        <f>IF(OR($E466="",$F466=""),0,MAX(0,MIN($F466,DATE(Dashboard!$C$4,8,1))-MAX($E466,DATE(Dashboard!$C$4,7,1))))</f>
        <v/>
      </c>
      <c r="Z466">
        <f>IF(OR($E466="",$F466=""),0,MAX(0,MIN($F466,DATE(Dashboard!$C$4,9,1))-MAX($E466,DATE(Dashboard!$C$4,8,1))))</f>
        <v/>
      </c>
      <c r="AA466">
        <f>IF(OR($E466="",$F466=""),0,MAX(0,MIN($F466,DATE(Dashboard!$C$4,10,1))-MAX($E466,DATE(Dashboard!$C$4,9,1))))</f>
        <v/>
      </c>
      <c r="AB466">
        <f>IF(OR($E466="",$F466=""),0,MAX(0,MIN($F466,DATE(Dashboard!$C$4,11,1))-MAX($E466,DATE(Dashboard!$C$4,10,1))))</f>
        <v/>
      </c>
      <c r="AC466">
        <f>IF(OR($E466="",$F466=""),0,MAX(0,MIN($F466,DATE(Dashboard!$C$4,12,1))-MAX($E466,DATE(Dashboard!$C$4,11,1))))</f>
        <v/>
      </c>
      <c r="AD466">
        <f>IF(OR($E466="",$F466=""),0,MAX(0,MIN($F466,DATE(Dashboard!$C$4,13,1))-MAX($E466,DATE(Dashboard!$C$4,12,1))))</f>
        <v/>
      </c>
      <c r="AE466">
        <f>SUM(S466:AD466)</f>
        <v/>
      </c>
      <c r="AF466">
        <f>Q466*AE466</f>
        <v/>
      </c>
      <c r="AG466">
        <f>R466*AE466</f>
        <v/>
      </c>
      <c r="AH466">
        <f>SUMPRODUCT(S466:AD466,--(COLUMN(S466:AD466)-COLUMN(S466)+1&lt;=Dashboard!$N$1))</f>
        <v/>
      </c>
      <c r="AI466">
        <f>IF(OR(E466="",E466&lt;TODAY()),"",E466+ROW()/100000)</f>
        <v/>
      </c>
      <c r="AJ466">
        <f>IF(OR(F466="",F466&lt;TODAY()),"",F466+ROW()/100000)</f>
        <v/>
      </c>
    </row>
    <row r="467">
      <c r="A467" s="1" t="n"/>
      <c r="B467" s="35" t="n"/>
      <c r="C467" s="35" t="n"/>
      <c r="D467" s="35" t="n"/>
      <c r="E467" s="36" t="n"/>
      <c r="F467" s="36" t="n"/>
      <c r="G467" s="18">
        <f>IF(OR(E467="",F467=""),"",F467-E467)</f>
        <v/>
      </c>
      <c r="H467" s="37" t="n"/>
      <c r="I467" s="38" t="n"/>
      <c r="J467" s="38" t="n"/>
      <c r="K467" s="38" t="n"/>
      <c r="L467" s="31">
        <f>IF(E467="","",N(I467)+N(J467)-N(K467))</f>
        <v/>
      </c>
      <c r="M467" s="39" t="n"/>
      <c r="N467" s="27">
        <f>IF(E467="","",IF(TODAY()&lt;E467,"Upcoming",IF(TODAY()&lt;F467,"Staying now",IF(M467="Yes","Checked out","Payout not received"))))</f>
        <v/>
      </c>
      <c r="O467" s="35" t="n"/>
      <c r="P467" s="1" t="n"/>
      <c r="Q467">
        <f>IF(N(G467)&gt;0,L467/G467,0)</f>
        <v/>
      </c>
      <c r="R467">
        <f>IF(N(G467)&gt;0,N(I467)/G467,0)</f>
        <v/>
      </c>
      <c r="S467">
        <f>IF(OR($E467="",$F467=""),0,MAX(0,MIN($F467,DATE(Dashboard!$C$4,2,1))-MAX($E467,DATE(Dashboard!$C$4,1,1))))</f>
        <v/>
      </c>
      <c r="T467">
        <f>IF(OR($E467="",$F467=""),0,MAX(0,MIN($F467,DATE(Dashboard!$C$4,3,1))-MAX($E467,DATE(Dashboard!$C$4,2,1))))</f>
        <v/>
      </c>
      <c r="U467">
        <f>IF(OR($E467="",$F467=""),0,MAX(0,MIN($F467,DATE(Dashboard!$C$4,4,1))-MAX($E467,DATE(Dashboard!$C$4,3,1))))</f>
        <v/>
      </c>
      <c r="V467">
        <f>IF(OR($E467="",$F467=""),0,MAX(0,MIN($F467,DATE(Dashboard!$C$4,5,1))-MAX($E467,DATE(Dashboard!$C$4,4,1))))</f>
        <v/>
      </c>
      <c r="W467">
        <f>IF(OR($E467="",$F467=""),0,MAX(0,MIN($F467,DATE(Dashboard!$C$4,6,1))-MAX($E467,DATE(Dashboard!$C$4,5,1))))</f>
        <v/>
      </c>
      <c r="X467">
        <f>IF(OR($E467="",$F467=""),0,MAX(0,MIN($F467,DATE(Dashboard!$C$4,7,1))-MAX($E467,DATE(Dashboard!$C$4,6,1))))</f>
        <v/>
      </c>
      <c r="Y467">
        <f>IF(OR($E467="",$F467=""),0,MAX(0,MIN($F467,DATE(Dashboard!$C$4,8,1))-MAX($E467,DATE(Dashboard!$C$4,7,1))))</f>
        <v/>
      </c>
      <c r="Z467">
        <f>IF(OR($E467="",$F467=""),0,MAX(0,MIN($F467,DATE(Dashboard!$C$4,9,1))-MAX($E467,DATE(Dashboard!$C$4,8,1))))</f>
        <v/>
      </c>
      <c r="AA467">
        <f>IF(OR($E467="",$F467=""),0,MAX(0,MIN($F467,DATE(Dashboard!$C$4,10,1))-MAX($E467,DATE(Dashboard!$C$4,9,1))))</f>
        <v/>
      </c>
      <c r="AB467">
        <f>IF(OR($E467="",$F467=""),0,MAX(0,MIN($F467,DATE(Dashboard!$C$4,11,1))-MAX($E467,DATE(Dashboard!$C$4,10,1))))</f>
        <v/>
      </c>
      <c r="AC467">
        <f>IF(OR($E467="",$F467=""),0,MAX(0,MIN($F467,DATE(Dashboard!$C$4,12,1))-MAX($E467,DATE(Dashboard!$C$4,11,1))))</f>
        <v/>
      </c>
      <c r="AD467">
        <f>IF(OR($E467="",$F467=""),0,MAX(0,MIN($F467,DATE(Dashboard!$C$4,13,1))-MAX($E467,DATE(Dashboard!$C$4,12,1))))</f>
        <v/>
      </c>
      <c r="AE467">
        <f>SUM(S467:AD467)</f>
        <v/>
      </c>
      <c r="AF467">
        <f>Q467*AE467</f>
        <v/>
      </c>
      <c r="AG467">
        <f>R467*AE467</f>
        <v/>
      </c>
      <c r="AH467">
        <f>SUMPRODUCT(S467:AD467,--(COLUMN(S467:AD467)-COLUMN(S467)+1&lt;=Dashboard!$N$1))</f>
        <v/>
      </c>
      <c r="AI467">
        <f>IF(OR(E467="",E467&lt;TODAY()),"",E467+ROW()/100000)</f>
        <v/>
      </c>
      <c r="AJ467">
        <f>IF(OR(F467="",F467&lt;TODAY()),"",F467+ROW()/100000)</f>
        <v/>
      </c>
    </row>
    <row r="468">
      <c r="A468" s="1" t="n"/>
      <c r="B468" s="35" t="n"/>
      <c r="C468" s="35" t="n"/>
      <c r="D468" s="35" t="n"/>
      <c r="E468" s="36" t="n"/>
      <c r="F468" s="36" t="n"/>
      <c r="G468" s="18">
        <f>IF(OR(E468="",F468=""),"",F468-E468)</f>
        <v/>
      </c>
      <c r="H468" s="37" t="n"/>
      <c r="I468" s="38" t="n"/>
      <c r="J468" s="38" t="n"/>
      <c r="K468" s="38" t="n"/>
      <c r="L468" s="31">
        <f>IF(E468="","",N(I468)+N(J468)-N(K468))</f>
        <v/>
      </c>
      <c r="M468" s="39" t="n"/>
      <c r="N468" s="27">
        <f>IF(E468="","",IF(TODAY()&lt;E468,"Upcoming",IF(TODAY()&lt;F468,"Staying now",IF(M468="Yes","Checked out","Payout not received"))))</f>
        <v/>
      </c>
      <c r="O468" s="35" t="n"/>
      <c r="P468" s="1" t="n"/>
      <c r="Q468">
        <f>IF(N(G468)&gt;0,L468/G468,0)</f>
        <v/>
      </c>
      <c r="R468">
        <f>IF(N(G468)&gt;0,N(I468)/G468,0)</f>
        <v/>
      </c>
      <c r="S468">
        <f>IF(OR($E468="",$F468=""),0,MAX(0,MIN($F468,DATE(Dashboard!$C$4,2,1))-MAX($E468,DATE(Dashboard!$C$4,1,1))))</f>
        <v/>
      </c>
      <c r="T468">
        <f>IF(OR($E468="",$F468=""),0,MAX(0,MIN($F468,DATE(Dashboard!$C$4,3,1))-MAX($E468,DATE(Dashboard!$C$4,2,1))))</f>
        <v/>
      </c>
      <c r="U468">
        <f>IF(OR($E468="",$F468=""),0,MAX(0,MIN($F468,DATE(Dashboard!$C$4,4,1))-MAX($E468,DATE(Dashboard!$C$4,3,1))))</f>
        <v/>
      </c>
      <c r="V468">
        <f>IF(OR($E468="",$F468=""),0,MAX(0,MIN($F468,DATE(Dashboard!$C$4,5,1))-MAX($E468,DATE(Dashboard!$C$4,4,1))))</f>
        <v/>
      </c>
      <c r="W468">
        <f>IF(OR($E468="",$F468=""),0,MAX(0,MIN($F468,DATE(Dashboard!$C$4,6,1))-MAX($E468,DATE(Dashboard!$C$4,5,1))))</f>
        <v/>
      </c>
      <c r="X468">
        <f>IF(OR($E468="",$F468=""),0,MAX(0,MIN($F468,DATE(Dashboard!$C$4,7,1))-MAX($E468,DATE(Dashboard!$C$4,6,1))))</f>
        <v/>
      </c>
      <c r="Y468">
        <f>IF(OR($E468="",$F468=""),0,MAX(0,MIN($F468,DATE(Dashboard!$C$4,8,1))-MAX($E468,DATE(Dashboard!$C$4,7,1))))</f>
        <v/>
      </c>
      <c r="Z468">
        <f>IF(OR($E468="",$F468=""),0,MAX(0,MIN($F468,DATE(Dashboard!$C$4,9,1))-MAX($E468,DATE(Dashboard!$C$4,8,1))))</f>
        <v/>
      </c>
      <c r="AA468">
        <f>IF(OR($E468="",$F468=""),0,MAX(0,MIN($F468,DATE(Dashboard!$C$4,10,1))-MAX($E468,DATE(Dashboard!$C$4,9,1))))</f>
        <v/>
      </c>
      <c r="AB468">
        <f>IF(OR($E468="",$F468=""),0,MAX(0,MIN($F468,DATE(Dashboard!$C$4,11,1))-MAX($E468,DATE(Dashboard!$C$4,10,1))))</f>
        <v/>
      </c>
      <c r="AC468">
        <f>IF(OR($E468="",$F468=""),0,MAX(0,MIN($F468,DATE(Dashboard!$C$4,12,1))-MAX($E468,DATE(Dashboard!$C$4,11,1))))</f>
        <v/>
      </c>
      <c r="AD468">
        <f>IF(OR($E468="",$F468=""),0,MAX(0,MIN($F468,DATE(Dashboard!$C$4,13,1))-MAX($E468,DATE(Dashboard!$C$4,12,1))))</f>
        <v/>
      </c>
      <c r="AE468">
        <f>SUM(S468:AD468)</f>
        <v/>
      </c>
      <c r="AF468">
        <f>Q468*AE468</f>
        <v/>
      </c>
      <c r="AG468">
        <f>R468*AE468</f>
        <v/>
      </c>
      <c r="AH468">
        <f>SUMPRODUCT(S468:AD468,--(COLUMN(S468:AD468)-COLUMN(S468)+1&lt;=Dashboard!$N$1))</f>
        <v/>
      </c>
      <c r="AI468">
        <f>IF(OR(E468="",E468&lt;TODAY()),"",E468+ROW()/100000)</f>
        <v/>
      </c>
      <c r="AJ468">
        <f>IF(OR(F468="",F468&lt;TODAY()),"",F468+ROW()/100000)</f>
        <v/>
      </c>
    </row>
    <row r="469">
      <c r="A469" s="1" t="n"/>
      <c r="B469" s="35" t="n"/>
      <c r="C469" s="35" t="n"/>
      <c r="D469" s="35" t="n"/>
      <c r="E469" s="36" t="n"/>
      <c r="F469" s="36" t="n"/>
      <c r="G469" s="18">
        <f>IF(OR(E469="",F469=""),"",F469-E469)</f>
        <v/>
      </c>
      <c r="H469" s="37" t="n"/>
      <c r="I469" s="38" t="n"/>
      <c r="J469" s="38" t="n"/>
      <c r="K469" s="38" t="n"/>
      <c r="L469" s="31">
        <f>IF(E469="","",N(I469)+N(J469)-N(K469))</f>
        <v/>
      </c>
      <c r="M469" s="39" t="n"/>
      <c r="N469" s="27">
        <f>IF(E469="","",IF(TODAY()&lt;E469,"Upcoming",IF(TODAY()&lt;F469,"Staying now",IF(M469="Yes","Checked out","Payout not received"))))</f>
        <v/>
      </c>
      <c r="O469" s="35" t="n"/>
      <c r="P469" s="1" t="n"/>
      <c r="Q469">
        <f>IF(N(G469)&gt;0,L469/G469,0)</f>
        <v/>
      </c>
      <c r="R469">
        <f>IF(N(G469)&gt;0,N(I469)/G469,0)</f>
        <v/>
      </c>
      <c r="S469">
        <f>IF(OR($E469="",$F469=""),0,MAX(0,MIN($F469,DATE(Dashboard!$C$4,2,1))-MAX($E469,DATE(Dashboard!$C$4,1,1))))</f>
        <v/>
      </c>
      <c r="T469">
        <f>IF(OR($E469="",$F469=""),0,MAX(0,MIN($F469,DATE(Dashboard!$C$4,3,1))-MAX($E469,DATE(Dashboard!$C$4,2,1))))</f>
        <v/>
      </c>
      <c r="U469">
        <f>IF(OR($E469="",$F469=""),0,MAX(0,MIN($F469,DATE(Dashboard!$C$4,4,1))-MAX($E469,DATE(Dashboard!$C$4,3,1))))</f>
        <v/>
      </c>
      <c r="V469">
        <f>IF(OR($E469="",$F469=""),0,MAX(0,MIN($F469,DATE(Dashboard!$C$4,5,1))-MAX($E469,DATE(Dashboard!$C$4,4,1))))</f>
        <v/>
      </c>
      <c r="W469">
        <f>IF(OR($E469="",$F469=""),0,MAX(0,MIN($F469,DATE(Dashboard!$C$4,6,1))-MAX($E469,DATE(Dashboard!$C$4,5,1))))</f>
        <v/>
      </c>
      <c r="X469">
        <f>IF(OR($E469="",$F469=""),0,MAX(0,MIN($F469,DATE(Dashboard!$C$4,7,1))-MAX($E469,DATE(Dashboard!$C$4,6,1))))</f>
        <v/>
      </c>
      <c r="Y469">
        <f>IF(OR($E469="",$F469=""),0,MAX(0,MIN($F469,DATE(Dashboard!$C$4,8,1))-MAX($E469,DATE(Dashboard!$C$4,7,1))))</f>
        <v/>
      </c>
      <c r="Z469">
        <f>IF(OR($E469="",$F469=""),0,MAX(0,MIN($F469,DATE(Dashboard!$C$4,9,1))-MAX($E469,DATE(Dashboard!$C$4,8,1))))</f>
        <v/>
      </c>
      <c r="AA469">
        <f>IF(OR($E469="",$F469=""),0,MAX(0,MIN($F469,DATE(Dashboard!$C$4,10,1))-MAX($E469,DATE(Dashboard!$C$4,9,1))))</f>
        <v/>
      </c>
      <c r="AB469">
        <f>IF(OR($E469="",$F469=""),0,MAX(0,MIN($F469,DATE(Dashboard!$C$4,11,1))-MAX($E469,DATE(Dashboard!$C$4,10,1))))</f>
        <v/>
      </c>
      <c r="AC469">
        <f>IF(OR($E469="",$F469=""),0,MAX(0,MIN($F469,DATE(Dashboard!$C$4,12,1))-MAX($E469,DATE(Dashboard!$C$4,11,1))))</f>
        <v/>
      </c>
      <c r="AD469">
        <f>IF(OR($E469="",$F469=""),0,MAX(0,MIN($F469,DATE(Dashboard!$C$4,13,1))-MAX($E469,DATE(Dashboard!$C$4,12,1))))</f>
        <v/>
      </c>
      <c r="AE469">
        <f>SUM(S469:AD469)</f>
        <v/>
      </c>
      <c r="AF469">
        <f>Q469*AE469</f>
        <v/>
      </c>
      <c r="AG469">
        <f>R469*AE469</f>
        <v/>
      </c>
      <c r="AH469">
        <f>SUMPRODUCT(S469:AD469,--(COLUMN(S469:AD469)-COLUMN(S469)+1&lt;=Dashboard!$N$1))</f>
        <v/>
      </c>
      <c r="AI469">
        <f>IF(OR(E469="",E469&lt;TODAY()),"",E469+ROW()/100000)</f>
        <v/>
      </c>
      <c r="AJ469">
        <f>IF(OR(F469="",F469&lt;TODAY()),"",F469+ROW()/100000)</f>
        <v/>
      </c>
    </row>
    <row r="470">
      <c r="A470" s="1" t="n"/>
      <c r="B470" s="35" t="n"/>
      <c r="C470" s="35" t="n"/>
      <c r="D470" s="35" t="n"/>
      <c r="E470" s="36" t="n"/>
      <c r="F470" s="36" t="n"/>
      <c r="G470" s="18">
        <f>IF(OR(E470="",F470=""),"",F470-E470)</f>
        <v/>
      </c>
      <c r="H470" s="37" t="n"/>
      <c r="I470" s="38" t="n"/>
      <c r="J470" s="38" t="n"/>
      <c r="K470" s="38" t="n"/>
      <c r="L470" s="31">
        <f>IF(E470="","",N(I470)+N(J470)-N(K470))</f>
        <v/>
      </c>
      <c r="M470" s="39" t="n"/>
      <c r="N470" s="27">
        <f>IF(E470="","",IF(TODAY()&lt;E470,"Upcoming",IF(TODAY()&lt;F470,"Staying now",IF(M470="Yes","Checked out","Payout not received"))))</f>
        <v/>
      </c>
      <c r="O470" s="35" t="n"/>
      <c r="P470" s="1" t="n"/>
      <c r="Q470">
        <f>IF(N(G470)&gt;0,L470/G470,0)</f>
        <v/>
      </c>
      <c r="R470">
        <f>IF(N(G470)&gt;0,N(I470)/G470,0)</f>
        <v/>
      </c>
      <c r="S470">
        <f>IF(OR($E470="",$F470=""),0,MAX(0,MIN($F470,DATE(Dashboard!$C$4,2,1))-MAX($E470,DATE(Dashboard!$C$4,1,1))))</f>
        <v/>
      </c>
      <c r="T470">
        <f>IF(OR($E470="",$F470=""),0,MAX(0,MIN($F470,DATE(Dashboard!$C$4,3,1))-MAX($E470,DATE(Dashboard!$C$4,2,1))))</f>
        <v/>
      </c>
      <c r="U470">
        <f>IF(OR($E470="",$F470=""),0,MAX(0,MIN($F470,DATE(Dashboard!$C$4,4,1))-MAX($E470,DATE(Dashboard!$C$4,3,1))))</f>
        <v/>
      </c>
      <c r="V470">
        <f>IF(OR($E470="",$F470=""),0,MAX(0,MIN($F470,DATE(Dashboard!$C$4,5,1))-MAX($E470,DATE(Dashboard!$C$4,4,1))))</f>
        <v/>
      </c>
      <c r="W470">
        <f>IF(OR($E470="",$F470=""),0,MAX(0,MIN($F470,DATE(Dashboard!$C$4,6,1))-MAX($E470,DATE(Dashboard!$C$4,5,1))))</f>
        <v/>
      </c>
      <c r="X470">
        <f>IF(OR($E470="",$F470=""),0,MAX(0,MIN($F470,DATE(Dashboard!$C$4,7,1))-MAX($E470,DATE(Dashboard!$C$4,6,1))))</f>
        <v/>
      </c>
      <c r="Y470">
        <f>IF(OR($E470="",$F470=""),0,MAX(0,MIN($F470,DATE(Dashboard!$C$4,8,1))-MAX($E470,DATE(Dashboard!$C$4,7,1))))</f>
        <v/>
      </c>
      <c r="Z470">
        <f>IF(OR($E470="",$F470=""),0,MAX(0,MIN($F470,DATE(Dashboard!$C$4,9,1))-MAX($E470,DATE(Dashboard!$C$4,8,1))))</f>
        <v/>
      </c>
      <c r="AA470">
        <f>IF(OR($E470="",$F470=""),0,MAX(0,MIN($F470,DATE(Dashboard!$C$4,10,1))-MAX($E470,DATE(Dashboard!$C$4,9,1))))</f>
        <v/>
      </c>
      <c r="AB470">
        <f>IF(OR($E470="",$F470=""),0,MAX(0,MIN($F470,DATE(Dashboard!$C$4,11,1))-MAX($E470,DATE(Dashboard!$C$4,10,1))))</f>
        <v/>
      </c>
      <c r="AC470">
        <f>IF(OR($E470="",$F470=""),0,MAX(0,MIN($F470,DATE(Dashboard!$C$4,12,1))-MAX($E470,DATE(Dashboard!$C$4,11,1))))</f>
        <v/>
      </c>
      <c r="AD470">
        <f>IF(OR($E470="",$F470=""),0,MAX(0,MIN($F470,DATE(Dashboard!$C$4,13,1))-MAX($E470,DATE(Dashboard!$C$4,12,1))))</f>
        <v/>
      </c>
      <c r="AE470">
        <f>SUM(S470:AD470)</f>
        <v/>
      </c>
      <c r="AF470">
        <f>Q470*AE470</f>
        <v/>
      </c>
      <c r="AG470">
        <f>R470*AE470</f>
        <v/>
      </c>
      <c r="AH470">
        <f>SUMPRODUCT(S470:AD470,--(COLUMN(S470:AD470)-COLUMN(S470)+1&lt;=Dashboard!$N$1))</f>
        <v/>
      </c>
      <c r="AI470">
        <f>IF(OR(E470="",E470&lt;TODAY()),"",E470+ROW()/100000)</f>
        <v/>
      </c>
      <c r="AJ470">
        <f>IF(OR(F470="",F470&lt;TODAY()),"",F470+ROW()/100000)</f>
        <v/>
      </c>
    </row>
    <row r="471">
      <c r="A471" s="1" t="n"/>
      <c r="B471" s="35" t="n"/>
      <c r="C471" s="35" t="n"/>
      <c r="D471" s="35" t="n"/>
      <c r="E471" s="36" t="n"/>
      <c r="F471" s="36" t="n"/>
      <c r="G471" s="18">
        <f>IF(OR(E471="",F471=""),"",F471-E471)</f>
        <v/>
      </c>
      <c r="H471" s="37" t="n"/>
      <c r="I471" s="38" t="n"/>
      <c r="J471" s="38" t="n"/>
      <c r="K471" s="38" t="n"/>
      <c r="L471" s="31">
        <f>IF(E471="","",N(I471)+N(J471)-N(K471))</f>
        <v/>
      </c>
      <c r="M471" s="39" t="n"/>
      <c r="N471" s="27">
        <f>IF(E471="","",IF(TODAY()&lt;E471,"Upcoming",IF(TODAY()&lt;F471,"Staying now",IF(M471="Yes","Checked out","Payout not received"))))</f>
        <v/>
      </c>
      <c r="O471" s="35" t="n"/>
      <c r="P471" s="1" t="n"/>
      <c r="Q471">
        <f>IF(N(G471)&gt;0,L471/G471,0)</f>
        <v/>
      </c>
      <c r="R471">
        <f>IF(N(G471)&gt;0,N(I471)/G471,0)</f>
        <v/>
      </c>
      <c r="S471">
        <f>IF(OR($E471="",$F471=""),0,MAX(0,MIN($F471,DATE(Dashboard!$C$4,2,1))-MAX($E471,DATE(Dashboard!$C$4,1,1))))</f>
        <v/>
      </c>
      <c r="T471">
        <f>IF(OR($E471="",$F471=""),0,MAX(0,MIN($F471,DATE(Dashboard!$C$4,3,1))-MAX($E471,DATE(Dashboard!$C$4,2,1))))</f>
        <v/>
      </c>
      <c r="U471">
        <f>IF(OR($E471="",$F471=""),0,MAX(0,MIN($F471,DATE(Dashboard!$C$4,4,1))-MAX($E471,DATE(Dashboard!$C$4,3,1))))</f>
        <v/>
      </c>
      <c r="V471">
        <f>IF(OR($E471="",$F471=""),0,MAX(0,MIN($F471,DATE(Dashboard!$C$4,5,1))-MAX($E471,DATE(Dashboard!$C$4,4,1))))</f>
        <v/>
      </c>
      <c r="W471">
        <f>IF(OR($E471="",$F471=""),0,MAX(0,MIN($F471,DATE(Dashboard!$C$4,6,1))-MAX($E471,DATE(Dashboard!$C$4,5,1))))</f>
        <v/>
      </c>
      <c r="X471">
        <f>IF(OR($E471="",$F471=""),0,MAX(0,MIN($F471,DATE(Dashboard!$C$4,7,1))-MAX($E471,DATE(Dashboard!$C$4,6,1))))</f>
        <v/>
      </c>
      <c r="Y471">
        <f>IF(OR($E471="",$F471=""),0,MAX(0,MIN($F471,DATE(Dashboard!$C$4,8,1))-MAX($E471,DATE(Dashboard!$C$4,7,1))))</f>
        <v/>
      </c>
      <c r="Z471">
        <f>IF(OR($E471="",$F471=""),0,MAX(0,MIN($F471,DATE(Dashboard!$C$4,9,1))-MAX($E471,DATE(Dashboard!$C$4,8,1))))</f>
        <v/>
      </c>
      <c r="AA471">
        <f>IF(OR($E471="",$F471=""),0,MAX(0,MIN($F471,DATE(Dashboard!$C$4,10,1))-MAX($E471,DATE(Dashboard!$C$4,9,1))))</f>
        <v/>
      </c>
      <c r="AB471">
        <f>IF(OR($E471="",$F471=""),0,MAX(0,MIN($F471,DATE(Dashboard!$C$4,11,1))-MAX($E471,DATE(Dashboard!$C$4,10,1))))</f>
        <v/>
      </c>
      <c r="AC471">
        <f>IF(OR($E471="",$F471=""),0,MAX(0,MIN($F471,DATE(Dashboard!$C$4,12,1))-MAX($E471,DATE(Dashboard!$C$4,11,1))))</f>
        <v/>
      </c>
      <c r="AD471">
        <f>IF(OR($E471="",$F471=""),0,MAX(0,MIN($F471,DATE(Dashboard!$C$4,13,1))-MAX($E471,DATE(Dashboard!$C$4,12,1))))</f>
        <v/>
      </c>
      <c r="AE471">
        <f>SUM(S471:AD471)</f>
        <v/>
      </c>
      <c r="AF471">
        <f>Q471*AE471</f>
        <v/>
      </c>
      <c r="AG471">
        <f>R471*AE471</f>
        <v/>
      </c>
      <c r="AH471">
        <f>SUMPRODUCT(S471:AD471,--(COLUMN(S471:AD471)-COLUMN(S471)+1&lt;=Dashboard!$N$1))</f>
        <v/>
      </c>
      <c r="AI471">
        <f>IF(OR(E471="",E471&lt;TODAY()),"",E471+ROW()/100000)</f>
        <v/>
      </c>
      <c r="AJ471">
        <f>IF(OR(F471="",F471&lt;TODAY()),"",F471+ROW()/100000)</f>
        <v/>
      </c>
    </row>
    <row r="472">
      <c r="A472" s="1" t="n"/>
      <c r="B472" s="35" t="n"/>
      <c r="C472" s="35" t="n"/>
      <c r="D472" s="35" t="n"/>
      <c r="E472" s="36" t="n"/>
      <c r="F472" s="36" t="n"/>
      <c r="G472" s="18">
        <f>IF(OR(E472="",F472=""),"",F472-E472)</f>
        <v/>
      </c>
      <c r="H472" s="37" t="n"/>
      <c r="I472" s="38" t="n"/>
      <c r="J472" s="38" t="n"/>
      <c r="K472" s="38" t="n"/>
      <c r="L472" s="31">
        <f>IF(E472="","",N(I472)+N(J472)-N(K472))</f>
        <v/>
      </c>
      <c r="M472" s="39" t="n"/>
      <c r="N472" s="27">
        <f>IF(E472="","",IF(TODAY()&lt;E472,"Upcoming",IF(TODAY()&lt;F472,"Staying now",IF(M472="Yes","Checked out","Payout not received"))))</f>
        <v/>
      </c>
      <c r="O472" s="35" t="n"/>
      <c r="P472" s="1" t="n"/>
      <c r="Q472">
        <f>IF(N(G472)&gt;0,L472/G472,0)</f>
        <v/>
      </c>
      <c r="R472">
        <f>IF(N(G472)&gt;0,N(I472)/G472,0)</f>
        <v/>
      </c>
      <c r="S472">
        <f>IF(OR($E472="",$F472=""),0,MAX(0,MIN($F472,DATE(Dashboard!$C$4,2,1))-MAX($E472,DATE(Dashboard!$C$4,1,1))))</f>
        <v/>
      </c>
      <c r="T472">
        <f>IF(OR($E472="",$F472=""),0,MAX(0,MIN($F472,DATE(Dashboard!$C$4,3,1))-MAX($E472,DATE(Dashboard!$C$4,2,1))))</f>
        <v/>
      </c>
      <c r="U472">
        <f>IF(OR($E472="",$F472=""),0,MAX(0,MIN($F472,DATE(Dashboard!$C$4,4,1))-MAX($E472,DATE(Dashboard!$C$4,3,1))))</f>
        <v/>
      </c>
      <c r="V472">
        <f>IF(OR($E472="",$F472=""),0,MAX(0,MIN($F472,DATE(Dashboard!$C$4,5,1))-MAX($E472,DATE(Dashboard!$C$4,4,1))))</f>
        <v/>
      </c>
      <c r="W472">
        <f>IF(OR($E472="",$F472=""),0,MAX(0,MIN($F472,DATE(Dashboard!$C$4,6,1))-MAX($E472,DATE(Dashboard!$C$4,5,1))))</f>
        <v/>
      </c>
      <c r="X472">
        <f>IF(OR($E472="",$F472=""),0,MAX(0,MIN($F472,DATE(Dashboard!$C$4,7,1))-MAX($E472,DATE(Dashboard!$C$4,6,1))))</f>
        <v/>
      </c>
      <c r="Y472">
        <f>IF(OR($E472="",$F472=""),0,MAX(0,MIN($F472,DATE(Dashboard!$C$4,8,1))-MAX($E472,DATE(Dashboard!$C$4,7,1))))</f>
        <v/>
      </c>
      <c r="Z472">
        <f>IF(OR($E472="",$F472=""),0,MAX(0,MIN($F472,DATE(Dashboard!$C$4,9,1))-MAX($E472,DATE(Dashboard!$C$4,8,1))))</f>
        <v/>
      </c>
      <c r="AA472">
        <f>IF(OR($E472="",$F472=""),0,MAX(0,MIN($F472,DATE(Dashboard!$C$4,10,1))-MAX($E472,DATE(Dashboard!$C$4,9,1))))</f>
        <v/>
      </c>
      <c r="AB472">
        <f>IF(OR($E472="",$F472=""),0,MAX(0,MIN($F472,DATE(Dashboard!$C$4,11,1))-MAX($E472,DATE(Dashboard!$C$4,10,1))))</f>
        <v/>
      </c>
      <c r="AC472">
        <f>IF(OR($E472="",$F472=""),0,MAX(0,MIN($F472,DATE(Dashboard!$C$4,12,1))-MAX($E472,DATE(Dashboard!$C$4,11,1))))</f>
        <v/>
      </c>
      <c r="AD472">
        <f>IF(OR($E472="",$F472=""),0,MAX(0,MIN($F472,DATE(Dashboard!$C$4,13,1))-MAX($E472,DATE(Dashboard!$C$4,12,1))))</f>
        <v/>
      </c>
      <c r="AE472">
        <f>SUM(S472:AD472)</f>
        <v/>
      </c>
      <c r="AF472">
        <f>Q472*AE472</f>
        <v/>
      </c>
      <c r="AG472">
        <f>R472*AE472</f>
        <v/>
      </c>
      <c r="AH472">
        <f>SUMPRODUCT(S472:AD472,--(COLUMN(S472:AD472)-COLUMN(S472)+1&lt;=Dashboard!$N$1))</f>
        <v/>
      </c>
      <c r="AI472">
        <f>IF(OR(E472="",E472&lt;TODAY()),"",E472+ROW()/100000)</f>
        <v/>
      </c>
      <c r="AJ472">
        <f>IF(OR(F472="",F472&lt;TODAY()),"",F472+ROW()/100000)</f>
        <v/>
      </c>
    </row>
    <row r="473">
      <c r="A473" s="1" t="n"/>
      <c r="B473" s="35" t="n"/>
      <c r="C473" s="35" t="n"/>
      <c r="D473" s="35" t="n"/>
      <c r="E473" s="36" t="n"/>
      <c r="F473" s="36" t="n"/>
      <c r="G473" s="18">
        <f>IF(OR(E473="",F473=""),"",F473-E473)</f>
        <v/>
      </c>
      <c r="H473" s="37" t="n"/>
      <c r="I473" s="38" t="n"/>
      <c r="J473" s="38" t="n"/>
      <c r="K473" s="38" t="n"/>
      <c r="L473" s="31">
        <f>IF(E473="","",N(I473)+N(J473)-N(K473))</f>
        <v/>
      </c>
      <c r="M473" s="39" t="n"/>
      <c r="N473" s="27">
        <f>IF(E473="","",IF(TODAY()&lt;E473,"Upcoming",IF(TODAY()&lt;F473,"Staying now",IF(M473="Yes","Checked out","Payout not received"))))</f>
        <v/>
      </c>
      <c r="O473" s="35" t="n"/>
      <c r="P473" s="1" t="n"/>
      <c r="Q473">
        <f>IF(N(G473)&gt;0,L473/G473,0)</f>
        <v/>
      </c>
      <c r="R473">
        <f>IF(N(G473)&gt;0,N(I473)/G473,0)</f>
        <v/>
      </c>
      <c r="S473">
        <f>IF(OR($E473="",$F473=""),0,MAX(0,MIN($F473,DATE(Dashboard!$C$4,2,1))-MAX($E473,DATE(Dashboard!$C$4,1,1))))</f>
        <v/>
      </c>
      <c r="T473">
        <f>IF(OR($E473="",$F473=""),0,MAX(0,MIN($F473,DATE(Dashboard!$C$4,3,1))-MAX($E473,DATE(Dashboard!$C$4,2,1))))</f>
        <v/>
      </c>
      <c r="U473">
        <f>IF(OR($E473="",$F473=""),0,MAX(0,MIN($F473,DATE(Dashboard!$C$4,4,1))-MAX($E473,DATE(Dashboard!$C$4,3,1))))</f>
        <v/>
      </c>
      <c r="V473">
        <f>IF(OR($E473="",$F473=""),0,MAX(0,MIN($F473,DATE(Dashboard!$C$4,5,1))-MAX($E473,DATE(Dashboard!$C$4,4,1))))</f>
        <v/>
      </c>
      <c r="W473">
        <f>IF(OR($E473="",$F473=""),0,MAX(0,MIN($F473,DATE(Dashboard!$C$4,6,1))-MAX($E473,DATE(Dashboard!$C$4,5,1))))</f>
        <v/>
      </c>
      <c r="X473">
        <f>IF(OR($E473="",$F473=""),0,MAX(0,MIN($F473,DATE(Dashboard!$C$4,7,1))-MAX($E473,DATE(Dashboard!$C$4,6,1))))</f>
        <v/>
      </c>
      <c r="Y473">
        <f>IF(OR($E473="",$F473=""),0,MAX(0,MIN($F473,DATE(Dashboard!$C$4,8,1))-MAX($E473,DATE(Dashboard!$C$4,7,1))))</f>
        <v/>
      </c>
      <c r="Z473">
        <f>IF(OR($E473="",$F473=""),0,MAX(0,MIN($F473,DATE(Dashboard!$C$4,9,1))-MAX($E473,DATE(Dashboard!$C$4,8,1))))</f>
        <v/>
      </c>
      <c r="AA473">
        <f>IF(OR($E473="",$F473=""),0,MAX(0,MIN($F473,DATE(Dashboard!$C$4,10,1))-MAX($E473,DATE(Dashboard!$C$4,9,1))))</f>
        <v/>
      </c>
      <c r="AB473">
        <f>IF(OR($E473="",$F473=""),0,MAX(0,MIN($F473,DATE(Dashboard!$C$4,11,1))-MAX($E473,DATE(Dashboard!$C$4,10,1))))</f>
        <v/>
      </c>
      <c r="AC473">
        <f>IF(OR($E473="",$F473=""),0,MAX(0,MIN($F473,DATE(Dashboard!$C$4,12,1))-MAX($E473,DATE(Dashboard!$C$4,11,1))))</f>
        <v/>
      </c>
      <c r="AD473">
        <f>IF(OR($E473="",$F473=""),0,MAX(0,MIN($F473,DATE(Dashboard!$C$4,13,1))-MAX($E473,DATE(Dashboard!$C$4,12,1))))</f>
        <v/>
      </c>
      <c r="AE473">
        <f>SUM(S473:AD473)</f>
        <v/>
      </c>
      <c r="AF473">
        <f>Q473*AE473</f>
        <v/>
      </c>
      <c r="AG473">
        <f>R473*AE473</f>
        <v/>
      </c>
      <c r="AH473">
        <f>SUMPRODUCT(S473:AD473,--(COLUMN(S473:AD473)-COLUMN(S473)+1&lt;=Dashboard!$N$1))</f>
        <v/>
      </c>
      <c r="AI473">
        <f>IF(OR(E473="",E473&lt;TODAY()),"",E473+ROW()/100000)</f>
        <v/>
      </c>
      <c r="AJ473">
        <f>IF(OR(F473="",F473&lt;TODAY()),"",F473+ROW()/100000)</f>
        <v/>
      </c>
    </row>
    <row r="474">
      <c r="A474" s="1" t="n"/>
      <c r="B474" s="35" t="n"/>
      <c r="C474" s="35" t="n"/>
      <c r="D474" s="35" t="n"/>
      <c r="E474" s="36" t="n"/>
      <c r="F474" s="36" t="n"/>
      <c r="G474" s="18">
        <f>IF(OR(E474="",F474=""),"",F474-E474)</f>
        <v/>
      </c>
      <c r="H474" s="37" t="n"/>
      <c r="I474" s="38" t="n"/>
      <c r="J474" s="38" t="n"/>
      <c r="K474" s="38" t="n"/>
      <c r="L474" s="31">
        <f>IF(E474="","",N(I474)+N(J474)-N(K474))</f>
        <v/>
      </c>
      <c r="M474" s="39" t="n"/>
      <c r="N474" s="27">
        <f>IF(E474="","",IF(TODAY()&lt;E474,"Upcoming",IF(TODAY()&lt;F474,"Staying now",IF(M474="Yes","Checked out","Payout not received"))))</f>
        <v/>
      </c>
      <c r="O474" s="35" t="n"/>
      <c r="P474" s="1" t="n"/>
      <c r="Q474">
        <f>IF(N(G474)&gt;0,L474/G474,0)</f>
        <v/>
      </c>
      <c r="R474">
        <f>IF(N(G474)&gt;0,N(I474)/G474,0)</f>
        <v/>
      </c>
      <c r="S474">
        <f>IF(OR($E474="",$F474=""),0,MAX(0,MIN($F474,DATE(Dashboard!$C$4,2,1))-MAX($E474,DATE(Dashboard!$C$4,1,1))))</f>
        <v/>
      </c>
      <c r="T474">
        <f>IF(OR($E474="",$F474=""),0,MAX(0,MIN($F474,DATE(Dashboard!$C$4,3,1))-MAX($E474,DATE(Dashboard!$C$4,2,1))))</f>
        <v/>
      </c>
      <c r="U474">
        <f>IF(OR($E474="",$F474=""),0,MAX(0,MIN($F474,DATE(Dashboard!$C$4,4,1))-MAX($E474,DATE(Dashboard!$C$4,3,1))))</f>
        <v/>
      </c>
      <c r="V474">
        <f>IF(OR($E474="",$F474=""),0,MAX(0,MIN($F474,DATE(Dashboard!$C$4,5,1))-MAX($E474,DATE(Dashboard!$C$4,4,1))))</f>
        <v/>
      </c>
      <c r="W474">
        <f>IF(OR($E474="",$F474=""),0,MAX(0,MIN($F474,DATE(Dashboard!$C$4,6,1))-MAX($E474,DATE(Dashboard!$C$4,5,1))))</f>
        <v/>
      </c>
      <c r="X474">
        <f>IF(OR($E474="",$F474=""),0,MAX(0,MIN($F474,DATE(Dashboard!$C$4,7,1))-MAX($E474,DATE(Dashboard!$C$4,6,1))))</f>
        <v/>
      </c>
      <c r="Y474">
        <f>IF(OR($E474="",$F474=""),0,MAX(0,MIN($F474,DATE(Dashboard!$C$4,8,1))-MAX($E474,DATE(Dashboard!$C$4,7,1))))</f>
        <v/>
      </c>
      <c r="Z474">
        <f>IF(OR($E474="",$F474=""),0,MAX(0,MIN($F474,DATE(Dashboard!$C$4,9,1))-MAX($E474,DATE(Dashboard!$C$4,8,1))))</f>
        <v/>
      </c>
      <c r="AA474">
        <f>IF(OR($E474="",$F474=""),0,MAX(0,MIN($F474,DATE(Dashboard!$C$4,10,1))-MAX($E474,DATE(Dashboard!$C$4,9,1))))</f>
        <v/>
      </c>
      <c r="AB474">
        <f>IF(OR($E474="",$F474=""),0,MAX(0,MIN($F474,DATE(Dashboard!$C$4,11,1))-MAX($E474,DATE(Dashboard!$C$4,10,1))))</f>
        <v/>
      </c>
      <c r="AC474">
        <f>IF(OR($E474="",$F474=""),0,MAX(0,MIN($F474,DATE(Dashboard!$C$4,12,1))-MAX($E474,DATE(Dashboard!$C$4,11,1))))</f>
        <v/>
      </c>
      <c r="AD474">
        <f>IF(OR($E474="",$F474=""),0,MAX(0,MIN($F474,DATE(Dashboard!$C$4,13,1))-MAX($E474,DATE(Dashboard!$C$4,12,1))))</f>
        <v/>
      </c>
      <c r="AE474">
        <f>SUM(S474:AD474)</f>
        <v/>
      </c>
      <c r="AF474">
        <f>Q474*AE474</f>
        <v/>
      </c>
      <c r="AG474">
        <f>R474*AE474</f>
        <v/>
      </c>
      <c r="AH474">
        <f>SUMPRODUCT(S474:AD474,--(COLUMN(S474:AD474)-COLUMN(S474)+1&lt;=Dashboard!$N$1))</f>
        <v/>
      </c>
      <c r="AI474">
        <f>IF(OR(E474="",E474&lt;TODAY()),"",E474+ROW()/100000)</f>
        <v/>
      </c>
      <c r="AJ474">
        <f>IF(OR(F474="",F474&lt;TODAY()),"",F474+ROW()/100000)</f>
        <v/>
      </c>
    </row>
    <row r="475">
      <c r="A475" s="1" t="n"/>
      <c r="B475" s="35" t="n"/>
      <c r="C475" s="35" t="n"/>
      <c r="D475" s="35" t="n"/>
      <c r="E475" s="36" t="n"/>
      <c r="F475" s="36" t="n"/>
      <c r="G475" s="18">
        <f>IF(OR(E475="",F475=""),"",F475-E475)</f>
        <v/>
      </c>
      <c r="H475" s="37" t="n"/>
      <c r="I475" s="38" t="n"/>
      <c r="J475" s="38" t="n"/>
      <c r="K475" s="38" t="n"/>
      <c r="L475" s="31">
        <f>IF(E475="","",N(I475)+N(J475)-N(K475))</f>
        <v/>
      </c>
      <c r="M475" s="39" t="n"/>
      <c r="N475" s="27">
        <f>IF(E475="","",IF(TODAY()&lt;E475,"Upcoming",IF(TODAY()&lt;F475,"Staying now",IF(M475="Yes","Checked out","Payout not received"))))</f>
        <v/>
      </c>
      <c r="O475" s="35" t="n"/>
      <c r="P475" s="1" t="n"/>
      <c r="Q475">
        <f>IF(N(G475)&gt;0,L475/G475,0)</f>
        <v/>
      </c>
      <c r="R475">
        <f>IF(N(G475)&gt;0,N(I475)/G475,0)</f>
        <v/>
      </c>
      <c r="S475">
        <f>IF(OR($E475="",$F475=""),0,MAX(0,MIN($F475,DATE(Dashboard!$C$4,2,1))-MAX($E475,DATE(Dashboard!$C$4,1,1))))</f>
        <v/>
      </c>
      <c r="T475">
        <f>IF(OR($E475="",$F475=""),0,MAX(0,MIN($F475,DATE(Dashboard!$C$4,3,1))-MAX($E475,DATE(Dashboard!$C$4,2,1))))</f>
        <v/>
      </c>
      <c r="U475">
        <f>IF(OR($E475="",$F475=""),0,MAX(0,MIN($F475,DATE(Dashboard!$C$4,4,1))-MAX($E475,DATE(Dashboard!$C$4,3,1))))</f>
        <v/>
      </c>
      <c r="V475">
        <f>IF(OR($E475="",$F475=""),0,MAX(0,MIN($F475,DATE(Dashboard!$C$4,5,1))-MAX($E475,DATE(Dashboard!$C$4,4,1))))</f>
        <v/>
      </c>
      <c r="W475">
        <f>IF(OR($E475="",$F475=""),0,MAX(0,MIN($F475,DATE(Dashboard!$C$4,6,1))-MAX($E475,DATE(Dashboard!$C$4,5,1))))</f>
        <v/>
      </c>
      <c r="X475">
        <f>IF(OR($E475="",$F475=""),0,MAX(0,MIN($F475,DATE(Dashboard!$C$4,7,1))-MAX($E475,DATE(Dashboard!$C$4,6,1))))</f>
        <v/>
      </c>
      <c r="Y475">
        <f>IF(OR($E475="",$F475=""),0,MAX(0,MIN($F475,DATE(Dashboard!$C$4,8,1))-MAX($E475,DATE(Dashboard!$C$4,7,1))))</f>
        <v/>
      </c>
      <c r="Z475">
        <f>IF(OR($E475="",$F475=""),0,MAX(0,MIN($F475,DATE(Dashboard!$C$4,9,1))-MAX($E475,DATE(Dashboard!$C$4,8,1))))</f>
        <v/>
      </c>
      <c r="AA475">
        <f>IF(OR($E475="",$F475=""),0,MAX(0,MIN($F475,DATE(Dashboard!$C$4,10,1))-MAX($E475,DATE(Dashboard!$C$4,9,1))))</f>
        <v/>
      </c>
      <c r="AB475">
        <f>IF(OR($E475="",$F475=""),0,MAX(0,MIN($F475,DATE(Dashboard!$C$4,11,1))-MAX($E475,DATE(Dashboard!$C$4,10,1))))</f>
        <v/>
      </c>
      <c r="AC475">
        <f>IF(OR($E475="",$F475=""),0,MAX(0,MIN($F475,DATE(Dashboard!$C$4,12,1))-MAX($E475,DATE(Dashboard!$C$4,11,1))))</f>
        <v/>
      </c>
      <c r="AD475">
        <f>IF(OR($E475="",$F475=""),0,MAX(0,MIN($F475,DATE(Dashboard!$C$4,13,1))-MAX($E475,DATE(Dashboard!$C$4,12,1))))</f>
        <v/>
      </c>
      <c r="AE475">
        <f>SUM(S475:AD475)</f>
        <v/>
      </c>
      <c r="AF475">
        <f>Q475*AE475</f>
        <v/>
      </c>
      <c r="AG475">
        <f>R475*AE475</f>
        <v/>
      </c>
      <c r="AH475">
        <f>SUMPRODUCT(S475:AD475,--(COLUMN(S475:AD475)-COLUMN(S475)+1&lt;=Dashboard!$N$1))</f>
        <v/>
      </c>
      <c r="AI475">
        <f>IF(OR(E475="",E475&lt;TODAY()),"",E475+ROW()/100000)</f>
        <v/>
      </c>
      <c r="AJ475">
        <f>IF(OR(F475="",F475&lt;TODAY()),"",F475+ROW()/100000)</f>
        <v/>
      </c>
    </row>
    <row r="476">
      <c r="A476" s="1" t="n"/>
      <c r="B476" s="35" t="n"/>
      <c r="C476" s="35" t="n"/>
      <c r="D476" s="35" t="n"/>
      <c r="E476" s="36" t="n"/>
      <c r="F476" s="36" t="n"/>
      <c r="G476" s="18">
        <f>IF(OR(E476="",F476=""),"",F476-E476)</f>
        <v/>
      </c>
      <c r="H476" s="37" t="n"/>
      <c r="I476" s="38" t="n"/>
      <c r="J476" s="38" t="n"/>
      <c r="K476" s="38" t="n"/>
      <c r="L476" s="31">
        <f>IF(E476="","",N(I476)+N(J476)-N(K476))</f>
        <v/>
      </c>
      <c r="M476" s="39" t="n"/>
      <c r="N476" s="27">
        <f>IF(E476="","",IF(TODAY()&lt;E476,"Upcoming",IF(TODAY()&lt;F476,"Staying now",IF(M476="Yes","Checked out","Payout not received"))))</f>
        <v/>
      </c>
      <c r="O476" s="35" t="n"/>
      <c r="P476" s="1" t="n"/>
      <c r="Q476">
        <f>IF(N(G476)&gt;0,L476/G476,0)</f>
        <v/>
      </c>
      <c r="R476">
        <f>IF(N(G476)&gt;0,N(I476)/G476,0)</f>
        <v/>
      </c>
      <c r="S476">
        <f>IF(OR($E476="",$F476=""),0,MAX(0,MIN($F476,DATE(Dashboard!$C$4,2,1))-MAX($E476,DATE(Dashboard!$C$4,1,1))))</f>
        <v/>
      </c>
      <c r="T476">
        <f>IF(OR($E476="",$F476=""),0,MAX(0,MIN($F476,DATE(Dashboard!$C$4,3,1))-MAX($E476,DATE(Dashboard!$C$4,2,1))))</f>
        <v/>
      </c>
      <c r="U476">
        <f>IF(OR($E476="",$F476=""),0,MAX(0,MIN($F476,DATE(Dashboard!$C$4,4,1))-MAX($E476,DATE(Dashboard!$C$4,3,1))))</f>
        <v/>
      </c>
      <c r="V476">
        <f>IF(OR($E476="",$F476=""),0,MAX(0,MIN($F476,DATE(Dashboard!$C$4,5,1))-MAX($E476,DATE(Dashboard!$C$4,4,1))))</f>
        <v/>
      </c>
      <c r="W476">
        <f>IF(OR($E476="",$F476=""),0,MAX(0,MIN($F476,DATE(Dashboard!$C$4,6,1))-MAX($E476,DATE(Dashboard!$C$4,5,1))))</f>
        <v/>
      </c>
      <c r="X476">
        <f>IF(OR($E476="",$F476=""),0,MAX(0,MIN($F476,DATE(Dashboard!$C$4,7,1))-MAX($E476,DATE(Dashboard!$C$4,6,1))))</f>
        <v/>
      </c>
      <c r="Y476">
        <f>IF(OR($E476="",$F476=""),0,MAX(0,MIN($F476,DATE(Dashboard!$C$4,8,1))-MAX($E476,DATE(Dashboard!$C$4,7,1))))</f>
        <v/>
      </c>
      <c r="Z476">
        <f>IF(OR($E476="",$F476=""),0,MAX(0,MIN($F476,DATE(Dashboard!$C$4,9,1))-MAX($E476,DATE(Dashboard!$C$4,8,1))))</f>
        <v/>
      </c>
      <c r="AA476">
        <f>IF(OR($E476="",$F476=""),0,MAX(0,MIN($F476,DATE(Dashboard!$C$4,10,1))-MAX($E476,DATE(Dashboard!$C$4,9,1))))</f>
        <v/>
      </c>
      <c r="AB476">
        <f>IF(OR($E476="",$F476=""),0,MAX(0,MIN($F476,DATE(Dashboard!$C$4,11,1))-MAX($E476,DATE(Dashboard!$C$4,10,1))))</f>
        <v/>
      </c>
      <c r="AC476">
        <f>IF(OR($E476="",$F476=""),0,MAX(0,MIN($F476,DATE(Dashboard!$C$4,12,1))-MAX($E476,DATE(Dashboard!$C$4,11,1))))</f>
        <v/>
      </c>
      <c r="AD476">
        <f>IF(OR($E476="",$F476=""),0,MAX(0,MIN($F476,DATE(Dashboard!$C$4,13,1))-MAX($E476,DATE(Dashboard!$C$4,12,1))))</f>
        <v/>
      </c>
      <c r="AE476">
        <f>SUM(S476:AD476)</f>
        <v/>
      </c>
      <c r="AF476">
        <f>Q476*AE476</f>
        <v/>
      </c>
      <c r="AG476">
        <f>R476*AE476</f>
        <v/>
      </c>
      <c r="AH476">
        <f>SUMPRODUCT(S476:AD476,--(COLUMN(S476:AD476)-COLUMN(S476)+1&lt;=Dashboard!$N$1))</f>
        <v/>
      </c>
      <c r="AI476">
        <f>IF(OR(E476="",E476&lt;TODAY()),"",E476+ROW()/100000)</f>
        <v/>
      </c>
      <c r="AJ476">
        <f>IF(OR(F476="",F476&lt;TODAY()),"",F476+ROW()/100000)</f>
        <v/>
      </c>
    </row>
    <row r="477">
      <c r="A477" s="1" t="n"/>
      <c r="B477" s="35" t="n"/>
      <c r="C477" s="35" t="n"/>
      <c r="D477" s="35" t="n"/>
      <c r="E477" s="36" t="n"/>
      <c r="F477" s="36" t="n"/>
      <c r="G477" s="18">
        <f>IF(OR(E477="",F477=""),"",F477-E477)</f>
        <v/>
      </c>
      <c r="H477" s="37" t="n"/>
      <c r="I477" s="38" t="n"/>
      <c r="J477" s="38" t="n"/>
      <c r="K477" s="38" t="n"/>
      <c r="L477" s="31">
        <f>IF(E477="","",N(I477)+N(J477)-N(K477))</f>
        <v/>
      </c>
      <c r="M477" s="39" t="n"/>
      <c r="N477" s="27">
        <f>IF(E477="","",IF(TODAY()&lt;E477,"Upcoming",IF(TODAY()&lt;F477,"Staying now",IF(M477="Yes","Checked out","Payout not received"))))</f>
        <v/>
      </c>
      <c r="O477" s="35" t="n"/>
      <c r="P477" s="1" t="n"/>
      <c r="Q477">
        <f>IF(N(G477)&gt;0,L477/G477,0)</f>
        <v/>
      </c>
      <c r="R477">
        <f>IF(N(G477)&gt;0,N(I477)/G477,0)</f>
        <v/>
      </c>
      <c r="S477">
        <f>IF(OR($E477="",$F477=""),0,MAX(0,MIN($F477,DATE(Dashboard!$C$4,2,1))-MAX($E477,DATE(Dashboard!$C$4,1,1))))</f>
        <v/>
      </c>
      <c r="T477">
        <f>IF(OR($E477="",$F477=""),0,MAX(0,MIN($F477,DATE(Dashboard!$C$4,3,1))-MAX($E477,DATE(Dashboard!$C$4,2,1))))</f>
        <v/>
      </c>
      <c r="U477">
        <f>IF(OR($E477="",$F477=""),0,MAX(0,MIN($F477,DATE(Dashboard!$C$4,4,1))-MAX($E477,DATE(Dashboard!$C$4,3,1))))</f>
        <v/>
      </c>
      <c r="V477">
        <f>IF(OR($E477="",$F477=""),0,MAX(0,MIN($F477,DATE(Dashboard!$C$4,5,1))-MAX($E477,DATE(Dashboard!$C$4,4,1))))</f>
        <v/>
      </c>
      <c r="W477">
        <f>IF(OR($E477="",$F477=""),0,MAX(0,MIN($F477,DATE(Dashboard!$C$4,6,1))-MAX($E477,DATE(Dashboard!$C$4,5,1))))</f>
        <v/>
      </c>
      <c r="X477">
        <f>IF(OR($E477="",$F477=""),0,MAX(0,MIN($F477,DATE(Dashboard!$C$4,7,1))-MAX($E477,DATE(Dashboard!$C$4,6,1))))</f>
        <v/>
      </c>
      <c r="Y477">
        <f>IF(OR($E477="",$F477=""),0,MAX(0,MIN($F477,DATE(Dashboard!$C$4,8,1))-MAX($E477,DATE(Dashboard!$C$4,7,1))))</f>
        <v/>
      </c>
      <c r="Z477">
        <f>IF(OR($E477="",$F477=""),0,MAX(0,MIN($F477,DATE(Dashboard!$C$4,9,1))-MAX($E477,DATE(Dashboard!$C$4,8,1))))</f>
        <v/>
      </c>
      <c r="AA477">
        <f>IF(OR($E477="",$F477=""),0,MAX(0,MIN($F477,DATE(Dashboard!$C$4,10,1))-MAX($E477,DATE(Dashboard!$C$4,9,1))))</f>
        <v/>
      </c>
      <c r="AB477">
        <f>IF(OR($E477="",$F477=""),0,MAX(0,MIN($F477,DATE(Dashboard!$C$4,11,1))-MAX($E477,DATE(Dashboard!$C$4,10,1))))</f>
        <v/>
      </c>
      <c r="AC477">
        <f>IF(OR($E477="",$F477=""),0,MAX(0,MIN($F477,DATE(Dashboard!$C$4,12,1))-MAX($E477,DATE(Dashboard!$C$4,11,1))))</f>
        <v/>
      </c>
      <c r="AD477">
        <f>IF(OR($E477="",$F477=""),0,MAX(0,MIN($F477,DATE(Dashboard!$C$4,13,1))-MAX($E477,DATE(Dashboard!$C$4,12,1))))</f>
        <v/>
      </c>
      <c r="AE477">
        <f>SUM(S477:AD477)</f>
        <v/>
      </c>
      <c r="AF477">
        <f>Q477*AE477</f>
        <v/>
      </c>
      <c r="AG477">
        <f>R477*AE477</f>
        <v/>
      </c>
      <c r="AH477">
        <f>SUMPRODUCT(S477:AD477,--(COLUMN(S477:AD477)-COLUMN(S477)+1&lt;=Dashboard!$N$1))</f>
        <v/>
      </c>
      <c r="AI477">
        <f>IF(OR(E477="",E477&lt;TODAY()),"",E477+ROW()/100000)</f>
        <v/>
      </c>
      <c r="AJ477">
        <f>IF(OR(F477="",F477&lt;TODAY()),"",F477+ROW()/100000)</f>
        <v/>
      </c>
    </row>
    <row r="478">
      <c r="A478" s="1" t="n"/>
      <c r="B478" s="35" t="n"/>
      <c r="C478" s="35" t="n"/>
      <c r="D478" s="35" t="n"/>
      <c r="E478" s="36" t="n"/>
      <c r="F478" s="36" t="n"/>
      <c r="G478" s="18">
        <f>IF(OR(E478="",F478=""),"",F478-E478)</f>
        <v/>
      </c>
      <c r="H478" s="37" t="n"/>
      <c r="I478" s="38" t="n"/>
      <c r="J478" s="38" t="n"/>
      <c r="K478" s="38" t="n"/>
      <c r="L478" s="31">
        <f>IF(E478="","",N(I478)+N(J478)-N(K478))</f>
        <v/>
      </c>
      <c r="M478" s="39" t="n"/>
      <c r="N478" s="27">
        <f>IF(E478="","",IF(TODAY()&lt;E478,"Upcoming",IF(TODAY()&lt;F478,"Staying now",IF(M478="Yes","Checked out","Payout not received"))))</f>
        <v/>
      </c>
      <c r="O478" s="35" t="n"/>
      <c r="P478" s="1" t="n"/>
      <c r="Q478">
        <f>IF(N(G478)&gt;0,L478/G478,0)</f>
        <v/>
      </c>
      <c r="R478">
        <f>IF(N(G478)&gt;0,N(I478)/G478,0)</f>
        <v/>
      </c>
      <c r="S478">
        <f>IF(OR($E478="",$F478=""),0,MAX(0,MIN($F478,DATE(Dashboard!$C$4,2,1))-MAX($E478,DATE(Dashboard!$C$4,1,1))))</f>
        <v/>
      </c>
      <c r="T478">
        <f>IF(OR($E478="",$F478=""),0,MAX(0,MIN($F478,DATE(Dashboard!$C$4,3,1))-MAX($E478,DATE(Dashboard!$C$4,2,1))))</f>
        <v/>
      </c>
      <c r="U478">
        <f>IF(OR($E478="",$F478=""),0,MAX(0,MIN($F478,DATE(Dashboard!$C$4,4,1))-MAX($E478,DATE(Dashboard!$C$4,3,1))))</f>
        <v/>
      </c>
      <c r="V478">
        <f>IF(OR($E478="",$F478=""),0,MAX(0,MIN($F478,DATE(Dashboard!$C$4,5,1))-MAX($E478,DATE(Dashboard!$C$4,4,1))))</f>
        <v/>
      </c>
      <c r="W478">
        <f>IF(OR($E478="",$F478=""),0,MAX(0,MIN($F478,DATE(Dashboard!$C$4,6,1))-MAX($E478,DATE(Dashboard!$C$4,5,1))))</f>
        <v/>
      </c>
      <c r="X478">
        <f>IF(OR($E478="",$F478=""),0,MAX(0,MIN($F478,DATE(Dashboard!$C$4,7,1))-MAX($E478,DATE(Dashboard!$C$4,6,1))))</f>
        <v/>
      </c>
      <c r="Y478">
        <f>IF(OR($E478="",$F478=""),0,MAX(0,MIN($F478,DATE(Dashboard!$C$4,8,1))-MAX($E478,DATE(Dashboard!$C$4,7,1))))</f>
        <v/>
      </c>
      <c r="Z478">
        <f>IF(OR($E478="",$F478=""),0,MAX(0,MIN($F478,DATE(Dashboard!$C$4,9,1))-MAX($E478,DATE(Dashboard!$C$4,8,1))))</f>
        <v/>
      </c>
      <c r="AA478">
        <f>IF(OR($E478="",$F478=""),0,MAX(0,MIN($F478,DATE(Dashboard!$C$4,10,1))-MAX($E478,DATE(Dashboard!$C$4,9,1))))</f>
        <v/>
      </c>
      <c r="AB478">
        <f>IF(OR($E478="",$F478=""),0,MAX(0,MIN($F478,DATE(Dashboard!$C$4,11,1))-MAX($E478,DATE(Dashboard!$C$4,10,1))))</f>
        <v/>
      </c>
      <c r="AC478">
        <f>IF(OR($E478="",$F478=""),0,MAX(0,MIN($F478,DATE(Dashboard!$C$4,12,1))-MAX($E478,DATE(Dashboard!$C$4,11,1))))</f>
        <v/>
      </c>
      <c r="AD478">
        <f>IF(OR($E478="",$F478=""),0,MAX(0,MIN($F478,DATE(Dashboard!$C$4,13,1))-MAX($E478,DATE(Dashboard!$C$4,12,1))))</f>
        <v/>
      </c>
      <c r="AE478">
        <f>SUM(S478:AD478)</f>
        <v/>
      </c>
      <c r="AF478">
        <f>Q478*AE478</f>
        <v/>
      </c>
      <c r="AG478">
        <f>R478*AE478</f>
        <v/>
      </c>
      <c r="AH478">
        <f>SUMPRODUCT(S478:AD478,--(COLUMN(S478:AD478)-COLUMN(S478)+1&lt;=Dashboard!$N$1))</f>
        <v/>
      </c>
      <c r="AI478">
        <f>IF(OR(E478="",E478&lt;TODAY()),"",E478+ROW()/100000)</f>
        <v/>
      </c>
      <c r="AJ478">
        <f>IF(OR(F478="",F478&lt;TODAY()),"",F478+ROW()/100000)</f>
        <v/>
      </c>
    </row>
    <row r="479">
      <c r="A479" s="1" t="n"/>
      <c r="B479" s="35" t="n"/>
      <c r="C479" s="35" t="n"/>
      <c r="D479" s="35" t="n"/>
      <c r="E479" s="36" t="n"/>
      <c r="F479" s="36" t="n"/>
      <c r="G479" s="18">
        <f>IF(OR(E479="",F479=""),"",F479-E479)</f>
        <v/>
      </c>
      <c r="H479" s="37" t="n"/>
      <c r="I479" s="38" t="n"/>
      <c r="J479" s="38" t="n"/>
      <c r="K479" s="38" t="n"/>
      <c r="L479" s="31">
        <f>IF(E479="","",N(I479)+N(J479)-N(K479))</f>
        <v/>
      </c>
      <c r="M479" s="39" t="n"/>
      <c r="N479" s="27">
        <f>IF(E479="","",IF(TODAY()&lt;E479,"Upcoming",IF(TODAY()&lt;F479,"Staying now",IF(M479="Yes","Checked out","Payout not received"))))</f>
        <v/>
      </c>
      <c r="O479" s="35" t="n"/>
      <c r="P479" s="1" t="n"/>
      <c r="Q479">
        <f>IF(N(G479)&gt;0,L479/G479,0)</f>
        <v/>
      </c>
      <c r="R479">
        <f>IF(N(G479)&gt;0,N(I479)/G479,0)</f>
        <v/>
      </c>
      <c r="S479">
        <f>IF(OR($E479="",$F479=""),0,MAX(0,MIN($F479,DATE(Dashboard!$C$4,2,1))-MAX($E479,DATE(Dashboard!$C$4,1,1))))</f>
        <v/>
      </c>
      <c r="T479">
        <f>IF(OR($E479="",$F479=""),0,MAX(0,MIN($F479,DATE(Dashboard!$C$4,3,1))-MAX($E479,DATE(Dashboard!$C$4,2,1))))</f>
        <v/>
      </c>
      <c r="U479">
        <f>IF(OR($E479="",$F479=""),0,MAX(0,MIN($F479,DATE(Dashboard!$C$4,4,1))-MAX($E479,DATE(Dashboard!$C$4,3,1))))</f>
        <v/>
      </c>
      <c r="V479">
        <f>IF(OR($E479="",$F479=""),0,MAX(0,MIN($F479,DATE(Dashboard!$C$4,5,1))-MAX($E479,DATE(Dashboard!$C$4,4,1))))</f>
        <v/>
      </c>
      <c r="W479">
        <f>IF(OR($E479="",$F479=""),0,MAX(0,MIN($F479,DATE(Dashboard!$C$4,6,1))-MAX($E479,DATE(Dashboard!$C$4,5,1))))</f>
        <v/>
      </c>
      <c r="X479">
        <f>IF(OR($E479="",$F479=""),0,MAX(0,MIN($F479,DATE(Dashboard!$C$4,7,1))-MAX($E479,DATE(Dashboard!$C$4,6,1))))</f>
        <v/>
      </c>
      <c r="Y479">
        <f>IF(OR($E479="",$F479=""),0,MAX(0,MIN($F479,DATE(Dashboard!$C$4,8,1))-MAX($E479,DATE(Dashboard!$C$4,7,1))))</f>
        <v/>
      </c>
      <c r="Z479">
        <f>IF(OR($E479="",$F479=""),0,MAX(0,MIN($F479,DATE(Dashboard!$C$4,9,1))-MAX($E479,DATE(Dashboard!$C$4,8,1))))</f>
        <v/>
      </c>
      <c r="AA479">
        <f>IF(OR($E479="",$F479=""),0,MAX(0,MIN($F479,DATE(Dashboard!$C$4,10,1))-MAX($E479,DATE(Dashboard!$C$4,9,1))))</f>
        <v/>
      </c>
      <c r="AB479">
        <f>IF(OR($E479="",$F479=""),0,MAX(0,MIN($F479,DATE(Dashboard!$C$4,11,1))-MAX($E479,DATE(Dashboard!$C$4,10,1))))</f>
        <v/>
      </c>
      <c r="AC479">
        <f>IF(OR($E479="",$F479=""),0,MAX(0,MIN($F479,DATE(Dashboard!$C$4,12,1))-MAX($E479,DATE(Dashboard!$C$4,11,1))))</f>
        <v/>
      </c>
      <c r="AD479">
        <f>IF(OR($E479="",$F479=""),0,MAX(0,MIN($F479,DATE(Dashboard!$C$4,13,1))-MAX($E479,DATE(Dashboard!$C$4,12,1))))</f>
        <v/>
      </c>
      <c r="AE479">
        <f>SUM(S479:AD479)</f>
        <v/>
      </c>
      <c r="AF479">
        <f>Q479*AE479</f>
        <v/>
      </c>
      <c r="AG479">
        <f>R479*AE479</f>
        <v/>
      </c>
      <c r="AH479">
        <f>SUMPRODUCT(S479:AD479,--(COLUMN(S479:AD479)-COLUMN(S479)+1&lt;=Dashboard!$N$1))</f>
        <v/>
      </c>
      <c r="AI479">
        <f>IF(OR(E479="",E479&lt;TODAY()),"",E479+ROW()/100000)</f>
        <v/>
      </c>
      <c r="AJ479">
        <f>IF(OR(F479="",F479&lt;TODAY()),"",F479+ROW()/100000)</f>
        <v/>
      </c>
    </row>
    <row r="480">
      <c r="A480" s="1" t="n"/>
      <c r="B480" s="35" t="n"/>
      <c r="C480" s="35" t="n"/>
      <c r="D480" s="35" t="n"/>
      <c r="E480" s="36" t="n"/>
      <c r="F480" s="36" t="n"/>
      <c r="G480" s="18">
        <f>IF(OR(E480="",F480=""),"",F480-E480)</f>
        <v/>
      </c>
      <c r="H480" s="37" t="n"/>
      <c r="I480" s="38" t="n"/>
      <c r="J480" s="38" t="n"/>
      <c r="K480" s="38" t="n"/>
      <c r="L480" s="31">
        <f>IF(E480="","",N(I480)+N(J480)-N(K480))</f>
        <v/>
      </c>
      <c r="M480" s="39" t="n"/>
      <c r="N480" s="27">
        <f>IF(E480="","",IF(TODAY()&lt;E480,"Upcoming",IF(TODAY()&lt;F480,"Staying now",IF(M480="Yes","Checked out","Payout not received"))))</f>
        <v/>
      </c>
      <c r="O480" s="35" t="n"/>
      <c r="P480" s="1" t="n"/>
      <c r="Q480">
        <f>IF(N(G480)&gt;0,L480/G480,0)</f>
        <v/>
      </c>
      <c r="R480">
        <f>IF(N(G480)&gt;0,N(I480)/G480,0)</f>
        <v/>
      </c>
      <c r="S480">
        <f>IF(OR($E480="",$F480=""),0,MAX(0,MIN($F480,DATE(Dashboard!$C$4,2,1))-MAX($E480,DATE(Dashboard!$C$4,1,1))))</f>
        <v/>
      </c>
      <c r="T480">
        <f>IF(OR($E480="",$F480=""),0,MAX(0,MIN($F480,DATE(Dashboard!$C$4,3,1))-MAX($E480,DATE(Dashboard!$C$4,2,1))))</f>
        <v/>
      </c>
      <c r="U480">
        <f>IF(OR($E480="",$F480=""),0,MAX(0,MIN($F480,DATE(Dashboard!$C$4,4,1))-MAX($E480,DATE(Dashboard!$C$4,3,1))))</f>
        <v/>
      </c>
      <c r="V480">
        <f>IF(OR($E480="",$F480=""),0,MAX(0,MIN($F480,DATE(Dashboard!$C$4,5,1))-MAX($E480,DATE(Dashboard!$C$4,4,1))))</f>
        <v/>
      </c>
      <c r="W480">
        <f>IF(OR($E480="",$F480=""),0,MAX(0,MIN($F480,DATE(Dashboard!$C$4,6,1))-MAX($E480,DATE(Dashboard!$C$4,5,1))))</f>
        <v/>
      </c>
      <c r="X480">
        <f>IF(OR($E480="",$F480=""),0,MAX(0,MIN($F480,DATE(Dashboard!$C$4,7,1))-MAX($E480,DATE(Dashboard!$C$4,6,1))))</f>
        <v/>
      </c>
      <c r="Y480">
        <f>IF(OR($E480="",$F480=""),0,MAX(0,MIN($F480,DATE(Dashboard!$C$4,8,1))-MAX($E480,DATE(Dashboard!$C$4,7,1))))</f>
        <v/>
      </c>
      <c r="Z480">
        <f>IF(OR($E480="",$F480=""),0,MAX(0,MIN($F480,DATE(Dashboard!$C$4,9,1))-MAX($E480,DATE(Dashboard!$C$4,8,1))))</f>
        <v/>
      </c>
      <c r="AA480">
        <f>IF(OR($E480="",$F480=""),0,MAX(0,MIN($F480,DATE(Dashboard!$C$4,10,1))-MAX($E480,DATE(Dashboard!$C$4,9,1))))</f>
        <v/>
      </c>
      <c r="AB480">
        <f>IF(OR($E480="",$F480=""),0,MAX(0,MIN($F480,DATE(Dashboard!$C$4,11,1))-MAX($E480,DATE(Dashboard!$C$4,10,1))))</f>
        <v/>
      </c>
      <c r="AC480">
        <f>IF(OR($E480="",$F480=""),0,MAX(0,MIN($F480,DATE(Dashboard!$C$4,12,1))-MAX($E480,DATE(Dashboard!$C$4,11,1))))</f>
        <v/>
      </c>
      <c r="AD480">
        <f>IF(OR($E480="",$F480=""),0,MAX(0,MIN($F480,DATE(Dashboard!$C$4,13,1))-MAX($E480,DATE(Dashboard!$C$4,12,1))))</f>
        <v/>
      </c>
      <c r="AE480">
        <f>SUM(S480:AD480)</f>
        <v/>
      </c>
      <c r="AF480">
        <f>Q480*AE480</f>
        <v/>
      </c>
      <c r="AG480">
        <f>R480*AE480</f>
        <v/>
      </c>
      <c r="AH480">
        <f>SUMPRODUCT(S480:AD480,--(COLUMN(S480:AD480)-COLUMN(S480)+1&lt;=Dashboard!$N$1))</f>
        <v/>
      </c>
      <c r="AI480">
        <f>IF(OR(E480="",E480&lt;TODAY()),"",E480+ROW()/100000)</f>
        <v/>
      </c>
      <c r="AJ480">
        <f>IF(OR(F480="",F480&lt;TODAY()),"",F480+ROW()/100000)</f>
        <v/>
      </c>
    </row>
    <row r="481">
      <c r="A481" s="1" t="n"/>
      <c r="B481" s="35" t="n"/>
      <c r="C481" s="35" t="n"/>
      <c r="D481" s="35" t="n"/>
      <c r="E481" s="36" t="n"/>
      <c r="F481" s="36" t="n"/>
      <c r="G481" s="18">
        <f>IF(OR(E481="",F481=""),"",F481-E481)</f>
        <v/>
      </c>
      <c r="H481" s="37" t="n"/>
      <c r="I481" s="38" t="n"/>
      <c r="J481" s="38" t="n"/>
      <c r="K481" s="38" t="n"/>
      <c r="L481" s="31">
        <f>IF(E481="","",N(I481)+N(J481)-N(K481))</f>
        <v/>
      </c>
      <c r="M481" s="39" t="n"/>
      <c r="N481" s="27">
        <f>IF(E481="","",IF(TODAY()&lt;E481,"Upcoming",IF(TODAY()&lt;F481,"Staying now",IF(M481="Yes","Checked out","Payout not received"))))</f>
        <v/>
      </c>
      <c r="O481" s="35" t="n"/>
      <c r="P481" s="1" t="n"/>
      <c r="Q481">
        <f>IF(N(G481)&gt;0,L481/G481,0)</f>
        <v/>
      </c>
      <c r="R481">
        <f>IF(N(G481)&gt;0,N(I481)/G481,0)</f>
        <v/>
      </c>
      <c r="S481">
        <f>IF(OR($E481="",$F481=""),0,MAX(0,MIN($F481,DATE(Dashboard!$C$4,2,1))-MAX($E481,DATE(Dashboard!$C$4,1,1))))</f>
        <v/>
      </c>
      <c r="T481">
        <f>IF(OR($E481="",$F481=""),0,MAX(0,MIN($F481,DATE(Dashboard!$C$4,3,1))-MAX($E481,DATE(Dashboard!$C$4,2,1))))</f>
        <v/>
      </c>
      <c r="U481">
        <f>IF(OR($E481="",$F481=""),0,MAX(0,MIN($F481,DATE(Dashboard!$C$4,4,1))-MAX($E481,DATE(Dashboard!$C$4,3,1))))</f>
        <v/>
      </c>
      <c r="V481">
        <f>IF(OR($E481="",$F481=""),0,MAX(0,MIN($F481,DATE(Dashboard!$C$4,5,1))-MAX($E481,DATE(Dashboard!$C$4,4,1))))</f>
        <v/>
      </c>
      <c r="W481">
        <f>IF(OR($E481="",$F481=""),0,MAX(0,MIN($F481,DATE(Dashboard!$C$4,6,1))-MAX($E481,DATE(Dashboard!$C$4,5,1))))</f>
        <v/>
      </c>
      <c r="X481">
        <f>IF(OR($E481="",$F481=""),0,MAX(0,MIN($F481,DATE(Dashboard!$C$4,7,1))-MAX($E481,DATE(Dashboard!$C$4,6,1))))</f>
        <v/>
      </c>
      <c r="Y481">
        <f>IF(OR($E481="",$F481=""),0,MAX(0,MIN($F481,DATE(Dashboard!$C$4,8,1))-MAX($E481,DATE(Dashboard!$C$4,7,1))))</f>
        <v/>
      </c>
      <c r="Z481">
        <f>IF(OR($E481="",$F481=""),0,MAX(0,MIN($F481,DATE(Dashboard!$C$4,9,1))-MAX($E481,DATE(Dashboard!$C$4,8,1))))</f>
        <v/>
      </c>
      <c r="AA481">
        <f>IF(OR($E481="",$F481=""),0,MAX(0,MIN($F481,DATE(Dashboard!$C$4,10,1))-MAX($E481,DATE(Dashboard!$C$4,9,1))))</f>
        <v/>
      </c>
      <c r="AB481">
        <f>IF(OR($E481="",$F481=""),0,MAX(0,MIN($F481,DATE(Dashboard!$C$4,11,1))-MAX($E481,DATE(Dashboard!$C$4,10,1))))</f>
        <v/>
      </c>
      <c r="AC481">
        <f>IF(OR($E481="",$F481=""),0,MAX(0,MIN($F481,DATE(Dashboard!$C$4,12,1))-MAX($E481,DATE(Dashboard!$C$4,11,1))))</f>
        <v/>
      </c>
      <c r="AD481">
        <f>IF(OR($E481="",$F481=""),0,MAX(0,MIN($F481,DATE(Dashboard!$C$4,13,1))-MAX($E481,DATE(Dashboard!$C$4,12,1))))</f>
        <v/>
      </c>
      <c r="AE481">
        <f>SUM(S481:AD481)</f>
        <v/>
      </c>
      <c r="AF481">
        <f>Q481*AE481</f>
        <v/>
      </c>
      <c r="AG481">
        <f>R481*AE481</f>
        <v/>
      </c>
      <c r="AH481">
        <f>SUMPRODUCT(S481:AD481,--(COLUMN(S481:AD481)-COLUMN(S481)+1&lt;=Dashboard!$N$1))</f>
        <v/>
      </c>
      <c r="AI481">
        <f>IF(OR(E481="",E481&lt;TODAY()),"",E481+ROW()/100000)</f>
        <v/>
      </c>
      <c r="AJ481">
        <f>IF(OR(F481="",F481&lt;TODAY()),"",F481+ROW()/100000)</f>
        <v/>
      </c>
    </row>
    <row r="482">
      <c r="A482" s="1" t="n"/>
      <c r="B482" s="35" t="n"/>
      <c r="C482" s="35" t="n"/>
      <c r="D482" s="35" t="n"/>
      <c r="E482" s="36" t="n"/>
      <c r="F482" s="36" t="n"/>
      <c r="G482" s="18">
        <f>IF(OR(E482="",F482=""),"",F482-E482)</f>
        <v/>
      </c>
      <c r="H482" s="37" t="n"/>
      <c r="I482" s="38" t="n"/>
      <c r="J482" s="38" t="n"/>
      <c r="K482" s="38" t="n"/>
      <c r="L482" s="31">
        <f>IF(E482="","",N(I482)+N(J482)-N(K482))</f>
        <v/>
      </c>
      <c r="M482" s="39" t="n"/>
      <c r="N482" s="27">
        <f>IF(E482="","",IF(TODAY()&lt;E482,"Upcoming",IF(TODAY()&lt;F482,"Staying now",IF(M482="Yes","Checked out","Payout not received"))))</f>
        <v/>
      </c>
      <c r="O482" s="35" t="n"/>
      <c r="P482" s="1" t="n"/>
      <c r="Q482">
        <f>IF(N(G482)&gt;0,L482/G482,0)</f>
        <v/>
      </c>
      <c r="R482">
        <f>IF(N(G482)&gt;0,N(I482)/G482,0)</f>
        <v/>
      </c>
      <c r="S482">
        <f>IF(OR($E482="",$F482=""),0,MAX(0,MIN($F482,DATE(Dashboard!$C$4,2,1))-MAX($E482,DATE(Dashboard!$C$4,1,1))))</f>
        <v/>
      </c>
      <c r="T482">
        <f>IF(OR($E482="",$F482=""),0,MAX(0,MIN($F482,DATE(Dashboard!$C$4,3,1))-MAX($E482,DATE(Dashboard!$C$4,2,1))))</f>
        <v/>
      </c>
      <c r="U482">
        <f>IF(OR($E482="",$F482=""),0,MAX(0,MIN($F482,DATE(Dashboard!$C$4,4,1))-MAX($E482,DATE(Dashboard!$C$4,3,1))))</f>
        <v/>
      </c>
      <c r="V482">
        <f>IF(OR($E482="",$F482=""),0,MAX(0,MIN($F482,DATE(Dashboard!$C$4,5,1))-MAX($E482,DATE(Dashboard!$C$4,4,1))))</f>
        <v/>
      </c>
      <c r="W482">
        <f>IF(OR($E482="",$F482=""),0,MAX(0,MIN($F482,DATE(Dashboard!$C$4,6,1))-MAX($E482,DATE(Dashboard!$C$4,5,1))))</f>
        <v/>
      </c>
      <c r="X482">
        <f>IF(OR($E482="",$F482=""),0,MAX(0,MIN($F482,DATE(Dashboard!$C$4,7,1))-MAX($E482,DATE(Dashboard!$C$4,6,1))))</f>
        <v/>
      </c>
      <c r="Y482">
        <f>IF(OR($E482="",$F482=""),0,MAX(0,MIN($F482,DATE(Dashboard!$C$4,8,1))-MAX($E482,DATE(Dashboard!$C$4,7,1))))</f>
        <v/>
      </c>
      <c r="Z482">
        <f>IF(OR($E482="",$F482=""),0,MAX(0,MIN($F482,DATE(Dashboard!$C$4,9,1))-MAX($E482,DATE(Dashboard!$C$4,8,1))))</f>
        <v/>
      </c>
      <c r="AA482">
        <f>IF(OR($E482="",$F482=""),0,MAX(0,MIN($F482,DATE(Dashboard!$C$4,10,1))-MAX($E482,DATE(Dashboard!$C$4,9,1))))</f>
        <v/>
      </c>
      <c r="AB482">
        <f>IF(OR($E482="",$F482=""),0,MAX(0,MIN($F482,DATE(Dashboard!$C$4,11,1))-MAX($E482,DATE(Dashboard!$C$4,10,1))))</f>
        <v/>
      </c>
      <c r="AC482">
        <f>IF(OR($E482="",$F482=""),0,MAX(0,MIN($F482,DATE(Dashboard!$C$4,12,1))-MAX($E482,DATE(Dashboard!$C$4,11,1))))</f>
        <v/>
      </c>
      <c r="AD482">
        <f>IF(OR($E482="",$F482=""),0,MAX(0,MIN($F482,DATE(Dashboard!$C$4,13,1))-MAX($E482,DATE(Dashboard!$C$4,12,1))))</f>
        <v/>
      </c>
      <c r="AE482">
        <f>SUM(S482:AD482)</f>
        <v/>
      </c>
      <c r="AF482">
        <f>Q482*AE482</f>
        <v/>
      </c>
      <c r="AG482">
        <f>R482*AE482</f>
        <v/>
      </c>
      <c r="AH482">
        <f>SUMPRODUCT(S482:AD482,--(COLUMN(S482:AD482)-COLUMN(S482)+1&lt;=Dashboard!$N$1))</f>
        <v/>
      </c>
      <c r="AI482">
        <f>IF(OR(E482="",E482&lt;TODAY()),"",E482+ROW()/100000)</f>
        <v/>
      </c>
      <c r="AJ482">
        <f>IF(OR(F482="",F482&lt;TODAY()),"",F482+ROW()/100000)</f>
        <v/>
      </c>
    </row>
    <row r="483">
      <c r="A483" s="1" t="n"/>
      <c r="B483" s="35" t="n"/>
      <c r="C483" s="35" t="n"/>
      <c r="D483" s="35" t="n"/>
      <c r="E483" s="36" t="n"/>
      <c r="F483" s="36" t="n"/>
      <c r="G483" s="18">
        <f>IF(OR(E483="",F483=""),"",F483-E483)</f>
        <v/>
      </c>
      <c r="H483" s="37" t="n"/>
      <c r="I483" s="38" t="n"/>
      <c r="J483" s="38" t="n"/>
      <c r="K483" s="38" t="n"/>
      <c r="L483" s="31">
        <f>IF(E483="","",N(I483)+N(J483)-N(K483))</f>
        <v/>
      </c>
      <c r="M483" s="39" t="n"/>
      <c r="N483" s="27">
        <f>IF(E483="","",IF(TODAY()&lt;E483,"Upcoming",IF(TODAY()&lt;F483,"Staying now",IF(M483="Yes","Checked out","Payout not received"))))</f>
        <v/>
      </c>
      <c r="O483" s="35" t="n"/>
      <c r="P483" s="1" t="n"/>
      <c r="Q483">
        <f>IF(N(G483)&gt;0,L483/G483,0)</f>
        <v/>
      </c>
      <c r="R483">
        <f>IF(N(G483)&gt;0,N(I483)/G483,0)</f>
        <v/>
      </c>
      <c r="S483">
        <f>IF(OR($E483="",$F483=""),0,MAX(0,MIN($F483,DATE(Dashboard!$C$4,2,1))-MAX($E483,DATE(Dashboard!$C$4,1,1))))</f>
        <v/>
      </c>
      <c r="T483">
        <f>IF(OR($E483="",$F483=""),0,MAX(0,MIN($F483,DATE(Dashboard!$C$4,3,1))-MAX($E483,DATE(Dashboard!$C$4,2,1))))</f>
        <v/>
      </c>
      <c r="U483">
        <f>IF(OR($E483="",$F483=""),0,MAX(0,MIN($F483,DATE(Dashboard!$C$4,4,1))-MAX($E483,DATE(Dashboard!$C$4,3,1))))</f>
        <v/>
      </c>
      <c r="V483">
        <f>IF(OR($E483="",$F483=""),0,MAX(0,MIN($F483,DATE(Dashboard!$C$4,5,1))-MAX($E483,DATE(Dashboard!$C$4,4,1))))</f>
        <v/>
      </c>
      <c r="W483">
        <f>IF(OR($E483="",$F483=""),0,MAX(0,MIN($F483,DATE(Dashboard!$C$4,6,1))-MAX($E483,DATE(Dashboard!$C$4,5,1))))</f>
        <v/>
      </c>
      <c r="X483">
        <f>IF(OR($E483="",$F483=""),0,MAX(0,MIN($F483,DATE(Dashboard!$C$4,7,1))-MAX($E483,DATE(Dashboard!$C$4,6,1))))</f>
        <v/>
      </c>
      <c r="Y483">
        <f>IF(OR($E483="",$F483=""),0,MAX(0,MIN($F483,DATE(Dashboard!$C$4,8,1))-MAX($E483,DATE(Dashboard!$C$4,7,1))))</f>
        <v/>
      </c>
      <c r="Z483">
        <f>IF(OR($E483="",$F483=""),0,MAX(0,MIN($F483,DATE(Dashboard!$C$4,9,1))-MAX($E483,DATE(Dashboard!$C$4,8,1))))</f>
        <v/>
      </c>
      <c r="AA483">
        <f>IF(OR($E483="",$F483=""),0,MAX(0,MIN($F483,DATE(Dashboard!$C$4,10,1))-MAX($E483,DATE(Dashboard!$C$4,9,1))))</f>
        <v/>
      </c>
      <c r="AB483">
        <f>IF(OR($E483="",$F483=""),0,MAX(0,MIN($F483,DATE(Dashboard!$C$4,11,1))-MAX($E483,DATE(Dashboard!$C$4,10,1))))</f>
        <v/>
      </c>
      <c r="AC483">
        <f>IF(OR($E483="",$F483=""),0,MAX(0,MIN($F483,DATE(Dashboard!$C$4,12,1))-MAX($E483,DATE(Dashboard!$C$4,11,1))))</f>
        <v/>
      </c>
      <c r="AD483">
        <f>IF(OR($E483="",$F483=""),0,MAX(0,MIN($F483,DATE(Dashboard!$C$4,13,1))-MAX($E483,DATE(Dashboard!$C$4,12,1))))</f>
        <v/>
      </c>
      <c r="AE483">
        <f>SUM(S483:AD483)</f>
        <v/>
      </c>
      <c r="AF483">
        <f>Q483*AE483</f>
        <v/>
      </c>
      <c r="AG483">
        <f>R483*AE483</f>
        <v/>
      </c>
      <c r="AH483">
        <f>SUMPRODUCT(S483:AD483,--(COLUMN(S483:AD483)-COLUMN(S483)+1&lt;=Dashboard!$N$1))</f>
        <v/>
      </c>
      <c r="AI483">
        <f>IF(OR(E483="",E483&lt;TODAY()),"",E483+ROW()/100000)</f>
        <v/>
      </c>
      <c r="AJ483">
        <f>IF(OR(F483="",F483&lt;TODAY()),"",F483+ROW()/100000)</f>
        <v/>
      </c>
    </row>
    <row r="484">
      <c r="A484" s="1" t="n"/>
      <c r="B484" s="35" t="n"/>
      <c r="C484" s="35" t="n"/>
      <c r="D484" s="35" t="n"/>
      <c r="E484" s="36" t="n"/>
      <c r="F484" s="36" t="n"/>
      <c r="G484" s="18">
        <f>IF(OR(E484="",F484=""),"",F484-E484)</f>
        <v/>
      </c>
      <c r="H484" s="37" t="n"/>
      <c r="I484" s="38" t="n"/>
      <c r="J484" s="38" t="n"/>
      <c r="K484" s="38" t="n"/>
      <c r="L484" s="31">
        <f>IF(E484="","",N(I484)+N(J484)-N(K484))</f>
        <v/>
      </c>
      <c r="M484" s="39" t="n"/>
      <c r="N484" s="27">
        <f>IF(E484="","",IF(TODAY()&lt;E484,"Upcoming",IF(TODAY()&lt;F484,"Staying now",IF(M484="Yes","Checked out","Payout not received"))))</f>
        <v/>
      </c>
      <c r="O484" s="35" t="n"/>
      <c r="P484" s="1" t="n"/>
      <c r="Q484">
        <f>IF(N(G484)&gt;0,L484/G484,0)</f>
        <v/>
      </c>
      <c r="R484">
        <f>IF(N(G484)&gt;0,N(I484)/G484,0)</f>
        <v/>
      </c>
      <c r="S484">
        <f>IF(OR($E484="",$F484=""),0,MAX(0,MIN($F484,DATE(Dashboard!$C$4,2,1))-MAX($E484,DATE(Dashboard!$C$4,1,1))))</f>
        <v/>
      </c>
      <c r="T484">
        <f>IF(OR($E484="",$F484=""),0,MAX(0,MIN($F484,DATE(Dashboard!$C$4,3,1))-MAX($E484,DATE(Dashboard!$C$4,2,1))))</f>
        <v/>
      </c>
      <c r="U484">
        <f>IF(OR($E484="",$F484=""),0,MAX(0,MIN($F484,DATE(Dashboard!$C$4,4,1))-MAX($E484,DATE(Dashboard!$C$4,3,1))))</f>
        <v/>
      </c>
      <c r="V484">
        <f>IF(OR($E484="",$F484=""),0,MAX(0,MIN($F484,DATE(Dashboard!$C$4,5,1))-MAX($E484,DATE(Dashboard!$C$4,4,1))))</f>
        <v/>
      </c>
      <c r="W484">
        <f>IF(OR($E484="",$F484=""),0,MAX(0,MIN($F484,DATE(Dashboard!$C$4,6,1))-MAX($E484,DATE(Dashboard!$C$4,5,1))))</f>
        <v/>
      </c>
      <c r="X484">
        <f>IF(OR($E484="",$F484=""),0,MAX(0,MIN($F484,DATE(Dashboard!$C$4,7,1))-MAX($E484,DATE(Dashboard!$C$4,6,1))))</f>
        <v/>
      </c>
      <c r="Y484">
        <f>IF(OR($E484="",$F484=""),0,MAX(0,MIN($F484,DATE(Dashboard!$C$4,8,1))-MAX($E484,DATE(Dashboard!$C$4,7,1))))</f>
        <v/>
      </c>
      <c r="Z484">
        <f>IF(OR($E484="",$F484=""),0,MAX(0,MIN($F484,DATE(Dashboard!$C$4,9,1))-MAX($E484,DATE(Dashboard!$C$4,8,1))))</f>
        <v/>
      </c>
      <c r="AA484">
        <f>IF(OR($E484="",$F484=""),0,MAX(0,MIN($F484,DATE(Dashboard!$C$4,10,1))-MAX($E484,DATE(Dashboard!$C$4,9,1))))</f>
        <v/>
      </c>
      <c r="AB484">
        <f>IF(OR($E484="",$F484=""),0,MAX(0,MIN($F484,DATE(Dashboard!$C$4,11,1))-MAX($E484,DATE(Dashboard!$C$4,10,1))))</f>
        <v/>
      </c>
      <c r="AC484">
        <f>IF(OR($E484="",$F484=""),0,MAX(0,MIN($F484,DATE(Dashboard!$C$4,12,1))-MAX($E484,DATE(Dashboard!$C$4,11,1))))</f>
        <v/>
      </c>
      <c r="AD484">
        <f>IF(OR($E484="",$F484=""),0,MAX(0,MIN($F484,DATE(Dashboard!$C$4,13,1))-MAX($E484,DATE(Dashboard!$C$4,12,1))))</f>
        <v/>
      </c>
      <c r="AE484">
        <f>SUM(S484:AD484)</f>
        <v/>
      </c>
      <c r="AF484">
        <f>Q484*AE484</f>
        <v/>
      </c>
      <c r="AG484">
        <f>R484*AE484</f>
        <v/>
      </c>
      <c r="AH484">
        <f>SUMPRODUCT(S484:AD484,--(COLUMN(S484:AD484)-COLUMN(S484)+1&lt;=Dashboard!$N$1))</f>
        <v/>
      </c>
      <c r="AI484">
        <f>IF(OR(E484="",E484&lt;TODAY()),"",E484+ROW()/100000)</f>
        <v/>
      </c>
      <c r="AJ484">
        <f>IF(OR(F484="",F484&lt;TODAY()),"",F484+ROW()/100000)</f>
        <v/>
      </c>
    </row>
    <row r="485">
      <c r="A485" s="1" t="n"/>
      <c r="B485" s="35" t="n"/>
      <c r="C485" s="35" t="n"/>
      <c r="D485" s="35" t="n"/>
      <c r="E485" s="36" t="n"/>
      <c r="F485" s="36" t="n"/>
      <c r="G485" s="18">
        <f>IF(OR(E485="",F485=""),"",F485-E485)</f>
        <v/>
      </c>
      <c r="H485" s="37" t="n"/>
      <c r="I485" s="38" t="n"/>
      <c r="J485" s="38" t="n"/>
      <c r="K485" s="38" t="n"/>
      <c r="L485" s="31">
        <f>IF(E485="","",N(I485)+N(J485)-N(K485))</f>
        <v/>
      </c>
      <c r="M485" s="39" t="n"/>
      <c r="N485" s="27">
        <f>IF(E485="","",IF(TODAY()&lt;E485,"Upcoming",IF(TODAY()&lt;F485,"Staying now",IF(M485="Yes","Checked out","Payout not received"))))</f>
        <v/>
      </c>
      <c r="O485" s="35" t="n"/>
      <c r="P485" s="1" t="n"/>
      <c r="Q485">
        <f>IF(N(G485)&gt;0,L485/G485,0)</f>
        <v/>
      </c>
      <c r="R485">
        <f>IF(N(G485)&gt;0,N(I485)/G485,0)</f>
        <v/>
      </c>
      <c r="S485">
        <f>IF(OR($E485="",$F485=""),0,MAX(0,MIN($F485,DATE(Dashboard!$C$4,2,1))-MAX($E485,DATE(Dashboard!$C$4,1,1))))</f>
        <v/>
      </c>
      <c r="T485">
        <f>IF(OR($E485="",$F485=""),0,MAX(0,MIN($F485,DATE(Dashboard!$C$4,3,1))-MAX($E485,DATE(Dashboard!$C$4,2,1))))</f>
        <v/>
      </c>
      <c r="U485">
        <f>IF(OR($E485="",$F485=""),0,MAX(0,MIN($F485,DATE(Dashboard!$C$4,4,1))-MAX($E485,DATE(Dashboard!$C$4,3,1))))</f>
        <v/>
      </c>
      <c r="V485">
        <f>IF(OR($E485="",$F485=""),0,MAX(0,MIN($F485,DATE(Dashboard!$C$4,5,1))-MAX($E485,DATE(Dashboard!$C$4,4,1))))</f>
        <v/>
      </c>
      <c r="W485">
        <f>IF(OR($E485="",$F485=""),0,MAX(0,MIN($F485,DATE(Dashboard!$C$4,6,1))-MAX($E485,DATE(Dashboard!$C$4,5,1))))</f>
        <v/>
      </c>
      <c r="X485">
        <f>IF(OR($E485="",$F485=""),0,MAX(0,MIN($F485,DATE(Dashboard!$C$4,7,1))-MAX($E485,DATE(Dashboard!$C$4,6,1))))</f>
        <v/>
      </c>
      <c r="Y485">
        <f>IF(OR($E485="",$F485=""),0,MAX(0,MIN($F485,DATE(Dashboard!$C$4,8,1))-MAX($E485,DATE(Dashboard!$C$4,7,1))))</f>
        <v/>
      </c>
      <c r="Z485">
        <f>IF(OR($E485="",$F485=""),0,MAX(0,MIN($F485,DATE(Dashboard!$C$4,9,1))-MAX($E485,DATE(Dashboard!$C$4,8,1))))</f>
        <v/>
      </c>
      <c r="AA485">
        <f>IF(OR($E485="",$F485=""),0,MAX(0,MIN($F485,DATE(Dashboard!$C$4,10,1))-MAX($E485,DATE(Dashboard!$C$4,9,1))))</f>
        <v/>
      </c>
      <c r="AB485">
        <f>IF(OR($E485="",$F485=""),0,MAX(0,MIN($F485,DATE(Dashboard!$C$4,11,1))-MAX($E485,DATE(Dashboard!$C$4,10,1))))</f>
        <v/>
      </c>
      <c r="AC485">
        <f>IF(OR($E485="",$F485=""),0,MAX(0,MIN($F485,DATE(Dashboard!$C$4,12,1))-MAX($E485,DATE(Dashboard!$C$4,11,1))))</f>
        <v/>
      </c>
      <c r="AD485">
        <f>IF(OR($E485="",$F485=""),0,MAX(0,MIN($F485,DATE(Dashboard!$C$4,13,1))-MAX($E485,DATE(Dashboard!$C$4,12,1))))</f>
        <v/>
      </c>
      <c r="AE485">
        <f>SUM(S485:AD485)</f>
        <v/>
      </c>
      <c r="AF485">
        <f>Q485*AE485</f>
        <v/>
      </c>
      <c r="AG485">
        <f>R485*AE485</f>
        <v/>
      </c>
      <c r="AH485">
        <f>SUMPRODUCT(S485:AD485,--(COLUMN(S485:AD485)-COLUMN(S485)+1&lt;=Dashboard!$N$1))</f>
        <v/>
      </c>
      <c r="AI485">
        <f>IF(OR(E485="",E485&lt;TODAY()),"",E485+ROW()/100000)</f>
        <v/>
      </c>
      <c r="AJ485">
        <f>IF(OR(F485="",F485&lt;TODAY()),"",F485+ROW()/100000)</f>
        <v/>
      </c>
    </row>
    <row r="486">
      <c r="A486" s="1" t="n"/>
      <c r="B486" s="35" t="n"/>
      <c r="C486" s="35" t="n"/>
      <c r="D486" s="35" t="n"/>
      <c r="E486" s="36" t="n"/>
      <c r="F486" s="36" t="n"/>
      <c r="G486" s="18">
        <f>IF(OR(E486="",F486=""),"",F486-E486)</f>
        <v/>
      </c>
      <c r="H486" s="37" t="n"/>
      <c r="I486" s="38" t="n"/>
      <c r="J486" s="38" t="n"/>
      <c r="K486" s="38" t="n"/>
      <c r="L486" s="31">
        <f>IF(E486="","",N(I486)+N(J486)-N(K486))</f>
        <v/>
      </c>
      <c r="M486" s="39" t="n"/>
      <c r="N486" s="27">
        <f>IF(E486="","",IF(TODAY()&lt;E486,"Upcoming",IF(TODAY()&lt;F486,"Staying now",IF(M486="Yes","Checked out","Payout not received"))))</f>
        <v/>
      </c>
      <c r="O486" s="35" t="n"/>
      <c r="P486" s="1" t="n"/>
      <c r="Q486">
        <f>IF(N(G486)&gt;0,L486/G486,0)</f>
        <v/>
      </c>
      <c r="R486">
        <f>IF(N(G486)&gt;0,N(I486)/G486,0)</f>
        <v/>
      </c>
      <c r="S486">
        <f>IF(OR($E486="",$F486=""),0,MAX(0,MIN($F486,DATE(Dashboard!$C$4,2,1))-MAX($E486,DATE(Dashboard!$C$4,1,1))))</f>
        <v/>
      </c>
      <c r="T486">
        <f>IF(OR($E486="",$F486=""),0,MAX(0,MIN($F486,DATE(Dashboard!$C$4,3,1))-MAX($E486,DATE(Dashboard!$C$4,2,1))))</f>
        <v/>
      </c>
      <c r="U486">
        <f>IF(OR($E486="",$F486=""),0,MAX(0,MIN($F486,DATE(Dashboard!$C$4,4,1))-MAX($E486,DATE(Dashboard!$C$4,3,1))))</f>
        <v/>
      </c>
      <c r="V486">
        <f>IF(OR($E486="",$F486=""),0,MAX(0,MIN($F486,DATE(Dashboard!$C$4,5,1))-MAX($E486,DATE(Dashboard!$C$4,4,1))))</f>
        <v/>
      </c>
      <c r="W486">
        <f>IF(OR($E486="",$F486=""),0,MAX(0,MIN($F486,DATE(Dashboard!$C$4,6,1))-MAX($E486,DATE(Dashboard!$C$4,5,1))))</f>
        <v/>
      </c>
      <c r="X486">
        <f>IF(OR($E486="",$F486=""),0,MAX(0,MIN($F486,DATE(Dashboard!$C$4,7,1))-MAX($E486,DATE(Dashboard!$C$4,6,1))))</f>
        <v/>
      </c>
      <c r="Y486">
        <f>IF(OR($E486="",$F486=""),0,MAX(0,MIN($F486,DATE(Dashboard!$C$4,8,1))-MAX($E486,DATE(Dashboard!$C$4,7,1))))</f>
        <v/>
      </c>
      <c r="Z486">
        <f>IF(OR($E486="",$F486=""),0,MAX(0,MIN($F486,DATE(Dashboard!$C$4,9,1))-MAX($E486,DATE(Dashboard!$C$4,8,1))))</f>
        <v/>
      </c>
      <c r="AA486">
        <f>IF(OR($E486="",$F486=""),0,MAX(0,MIN($F486,DATE(Dashboard!$C$4,10,1))-MAX($E486,DATE(Dashboard!$C$4,9,1))))</f>
        <v/>
      </c>
      <c r="AB486">
        <f>IF(OR($E486="",$F486=""),0,MAX(0,MIN($F486,DATE(Dashboard!$C$4,11,1))-MAX($E486,DATE(Dashboard!$C$4,10,1))))</f>
        <v/>
      </c>
      <c r="AC486">
        <f>IF(OR($E486="",$F486=""),0,MAX(0,MIN($F486,DATE(Dashboard!$C$4,12,1))-MAX($E486,DATE(Dashboard!$C$4,11,1))))</f>
        <v/>
      </c>
      <c r="AD486">
        <f>IF(OR($E486="",$F486=""),0,MAX(0,MIN($F486,DATE(Dashboard!$C$4,13,1))-MAX($E486,DATE(Dashboard!$C$4,12,1))))</f>
        <v/>
      </c>
      <c r="AE486">
        <f>SUM(S486:AD486)</f>
        <v/>
      </c>
      <c r="AF486">
        <f>Q486*AE486</f>
        <v/>
      </c>
      <c r="AG486">
        <f>R486*AE486</f>
        <v/>
      </c>
      <c r="AH486">
        <f>SUMPRODUCT(S486:AD486,--(COLUMN(S486:AD486)-COLUMN(S486)+1&lt;=Dashboard!$N$1))</f>
        <v/>
      </c>
      <c r="AI486">
        <f>IF(OR(E486="",E486&lt;TODAY()),"",E486+ROW()/100000)</f>
        <v/>
      </c>
      <c r="AJ486">
        <f>IF(OR(F486="",F486&lt;TODAY()),"",F486+ROW()/100000)</f>
        <v/>
      </c>
    </row>
    <row r="487">
      <c r="A487" s="1" t="n"/>
      <c r="B487" s="35" t="n"/>
      <c r="C487" s="35" t="n"/>
      <c r="D487" s="35" t="n"/>
      <c r="E487" s="36" t="n"/>
      <c r="F487" s="36" t="n"/>
      <c r="G487" s="18">
        <f>IF(OR(E487="",F487=""),"",F487-E487)</f>
        <v/>
      </c>
      <c r="H487" s="37" t="n"/>
      <c r="I487" s="38" t="n"/>
      <c r="J487" s="38" t="n"/>
      <c r="K487" s="38" t="n"/>
      <c r="L487" s="31">
        <f>IF(E487="","",N(I487)+N(J487)-N(K487))</f>
        <v/>
      </c>
      <c r="M487" s="39" t="n"/>
      <c r="N487" s="27">
        <f>IF(E487="","",IF(TODAY()&lt;E487,"Upcoming",IF(TODAY()&lt;F487,"Staying now",IF(M487="Yes","Checked out","Payout not received"))))</f>
        <v/>
      </c>
      <c r="O487" s="35" t="n"/>
      <c r="P487" s="1" t="n"/>
      <c r="Q487">
        <f>IF(N(G487)&gt;0,L487/G487,0)</f>
        <v/>
      </c>
      <c r="R487">
        <f>IF(N(G487)&gt;0,N(I487)/G487,0)</f>
        <v/>
      </c>
      <c r="S487">
        <f>IF(OR($E487="",$F487=""),0,MAX(0,MIN($F487,DATE(Dashboard!$C$4,2,1))-MAX($E487,DATE(Dashboard!$C$4,1,1))))</f>
        <v/>
      </c>
      <c r="T487">
        <f>IF(OR($E487="",$F487=""),0,MAX(0,MIN($F487,DATE(Dashboard!$C$4,3,1))-MAX($E487,DATE(Dashboard!$C$4,2,1))))</f>
        <v/>
      </c>
      <c r="U487">
        <f>IF(OR($E487="",$F487=""),0,MAX(0,MIN($F487,DATE(Dashboard!$C$4,4,1))-MAX($E487,DATE(Dashboard!$C$4,3,1))))</f>
        <v/>
      </c>
      <c r="V487">
        <f>IF(OR($E487="",$F487=""),0,MAX(0,MIN($F487,DATE(Dashboard!$C$4,5,1))-MAX($E487,DATE(Dashboard!$C$4,4,1))))</f>
        <v/>
      </c>
      <c r="W487">
        <f>IF(OR($E487="",$F487=""),0,MAX(0,MIN($F487,DATE(Dashboard!$C$4,6,1))-MAX($E487,DATE(Dashboard!$C$4,5,1))))</f>
        <v/>
      </c>
      <c r="X487">
        <f>IF(OR($E487="",$F487=""),0,MAX(0,MIN($F487,DATE(Dashboard!$C$4,7,1))-MAX($E487,DATE(Dashboard!$C$4,6,1))))</f>
        <v/>
      </c>
      <c r="Y487">
        <f>IF(OR($E487="",$F487=""),0,MAX(0,MIN($F487,DATE(Dashboard!$C$4,8,1))-MAX($E487,DATE(Dashboard!$C$4,7,1))))</f>
        <v/>
      </c>
      <c r="Z487">
        <f>IF(OR($E487="",$F487=""),0,MAX(0,MIN($F487,DATE(Dashboard!$C$4,9,1))-MAX($E487,DATE(Dashboard!$C$4,8,1))))</f>
        <v/>
      </c>
      <c r="AA487">
        <f>IF(OR($E487="",$F487=""),0,MAX(0,MIN($F487,DATE(Dashboard!$C$4,10,1))-MAX($E487,DATE(Dashboard!$C$4,9,1))))</f>
        <v/>
      </c>
      <c r="AB487">
        <f>IF(OR($E487="",$F487=""),0,MAX(0,MIN($F487,DATE(Dashboard!$C$4,11,1))-MAX($E487,DATE(Dashboard!$C$4,10,1))))</f>
        <v/>
      </c>
      <c r="AC487">
        <f>IF(OR($E487="",$F487=""),0,MAX(0,MIN($F487,DATE(Dashboard!$C$4,12,1))-MAX($E487,DATE(Dashboard!$C$4,11,1))))</f>
        <v/>
      </c>
      <c r="AD487">
        <f>IF(OR($E487="",$F487=""),0,MAX(0,MIN($F487,DATE(Dashboard!$C$4,13,1))-MAX($E487,DATE(Dashboard!$C$4,12,1))))</f>
        <v/>
      </c>
      <c r="AE487">
        <f>SUM(S487:AD487)</f>
        <v/>
      </c>
      <c r="AF487">
        <f>Q487*AE487</f>
        <v/>
      </c>
      <c r="AG487">
        <f>R487*AE487</f>
        <v/>
      </c>
      <c r="AH487">
        <f>SUMPRODUCT(S487:AD487,--(COLUMN(S487:AD487)-COLUMN(S487)+1&lt;=Dashboard!$N$1))</f>
        <v/>
      </c>
      <c r="AI487">
        <f>IF(OR(E487="",E487&lt;TODAY()),"",E487+ROW()/100000)</f>
        <v/>
      </c>
      <c r="AJ487">
        <f>IF(OR(F487="",F487&lt;TODAY()),"",F487+ROW()/100000)</f>
        <v/>
      </c>
    </row>
    <row r="488">
      <c r="A488" s="1" t="n"/>
      <c r="B488" s="35" t="n"/>
      <c r="C488" s="35" t="n"/>
      <c r="D488" s="35" t="n"/>
      <c r="E488" s="36" t="n"/>
      <c r="F488" s="36" t="n"/>
      <c r="G488" s="18">
        <f>IF(OR(E488="",F488=""),"",F488-E488)</f>
        <v/>
      </c>
      <c r="H488" s="37" t="n"/>
      <c r="I488" s="38" t="n"/>
      <c r="J488" s="38" t="n"/>
      <c r="K488" s="38" t="n"/>
      <c r="L488" s="31">
        <f>IF(E488="","",N(I488)+N(J488)-N(K488))</f>
        <v/>
      </c>
      <c r="M488" s="39" t="n"/>
      <c r="N488" s="27">
        <f>IF(E488="","",IF(TODAY()&lt;E488,"Upcoming",IF(TODAY()&lt;F488,"Staying now",IF(M488="Yes","Checked out","Payout not received"))))</f>
        <v/>
      </c>
      <c r="O488" s="35" t="n"/>
      <c r="P488" s="1" t="n"/>
      <c r="Q488">
        <f>IF(N(G488)&gt;0,L488/G488,0)</f>
        <v/>
      </c>
      <c r="R488">
        <f>IF(N(G488)&gt;0,N(I488)/G488,0)</f>
        <v/>
      </c>
      <c r="S488">
        <f>IF(OR($E488="",$F488=""),0,MAX(0,MIN($F488,DATE(Dashboard!$C$4,2,1))-MAX($E488,DATE(Dashboard!$C$4,1,1))))</f>
        <v/>
      </c>
      <c r="T488">
        <f>IF(OR($E488="",$F488=""),0,MAX(0,MIN($F488,DATE(Dashboard!$C$4,3,1))-MAX($E488,DATE(Dashboard!$C$4,2,1))))</f>
        <v/>
      </c>
      <c r="U488">
        <f>IF(OR($E488="",$F488=""),0,MAX(0,MIN($F488,DATE(Dashboard!$C$4,4,1))-MAX($E488,DATE(Dashboard!$C$4,3,1))))</f>
        <v/>
      </c>
      <c r="V488">
        <f>IF(OR($E488="",$F488=""),0,MAX(0,MIN($F488,DATE(Dashboard!$C$4,5,1))-MAX($E488,DATE(Dashboard!$C$4,4,1))))</f>
        <v/>
      </c>
      <c r="W488">
        <f>IF(OR($E488="",$F488=""),0,MAX(0,MIN($F488,DATE(Dashboard!$C$4,6,1))-MAX($E488,DATE(Dashboard!$C$4,5,1))))</f>
        <v/>
      </c>
      <c r="X488">
        <f>IF(OR($E488="",$F488=""),0,MAX(0,MIN($F488,DATE(Dashboard!$C$4,7,1))-MAX($E488,DATE(Dashboard!$C$4,6,1))))</f>
        <v/>
      </c>
      <c r="Y488">
        <f>IF(OR($E488="",$F488=""),0,MAX(0,MIN($F488,DATE(Dashboard!$C$4,8,1))-MAX($E488,DATE(Dashboard!$C$4,7,1))))</f>
        <v/>
      </c>
      <c r="Z488">
        <f>IF(OR($E488="",$F488=""),0,MAX(0,MIN($F488,DATE(Dashboard!$C$4,9,1))-MAX($E488,DATE(Dashboard!$C$4,8,1))))</f>
        <v/>
      </c>
      <c r="AA488">
        <f>IF(OR($E488="",$F488=""),0,MAX(0,MIN($F488,DATE(Dashboard!$C$4,10,1))-MAX($E488,DATE(Dashboard!$C$4,9,1))))</f>
        <v/>
      </c>
      <c r="AB488">
        <f>IF(OR($E488="",$F488=""),0,MAX(0,MIN($F488,DATE(Dashboard!$C$4,11,1))-MAX($E488,DATE(Dashboard!$C$4,10,1))))</f>
        <v/>
      </c>
      <c r="AC488">
        <f>IF(OR($E488="",$F488=""),0,MAX(0,MIN($F488,DATE(Dashboard!$C$4,12,1))-MAX($E488,DATE(Dashboard!$C$4,11,1))))</f>
        <v/>
      </c>
      <c r="AD488">
        <f>IF(OR($E488="",$F488=""),0,MAX(0,MIN($F488,DATE(Dashboard!$C$4,13,1))-MAX($E488,DATE(Dashboard!$C$4,12,1))))</f>
        <v/>
      </c>
      <c r="AE488">
        <f>SUM(S488:AD488)</f>
        <v/>
      </c>
      <c r="AF488">
        <f>Q488*AE488</f>
        <v/>
      </c>
      <c r="AG488">
        <f>R488*AE488</f>
        <v/>
      </c>
      <c r="AH488">
        <f>SUMPRODUCT(S488:AD488,--(COLUMN(S488:AD488)-COLUMN(S488)+1&lt;=Dashboard!$N$1))</f>
        <v/>
      </c>
      <c r="AI488">
        <f>IF(OR(E488="",E488&lt;TODAY()),"",E488+ROW()/100000)</f>
        <v/>
      </c>
      <c r="AJ488">
        <f>IF(OR(F488="",F488&lt;TODAY()),"",F488+ROW()/100000)</f>
        <v/>
      </c>
    </row>
    <row r="489">
      <c r="A489" s="1" t="n"/>
      <c r="B489" s="35" t="n"/>
      <c r="C489" s="35" t="n"/>
      <c r="D489" s="35" t="n"/>
      <c r="E489" s="36" t="n"/>
      <c r="F489" s="36" t="n"/>
      <c r="G489" s="18">
        <f>IF(OR(E489="",F489=""),"",F489-E489)</f>
        <v/>
      </c>
      <c r="H489" s="37" t="n"/>
      <c r="I489" s="38" t="n"/>
      <c r="J489" s="38" t="n"/>
      <c r="K489" s="38" t="n"/>
      <c r="L489" s="31">
        <f>IF(E489="","",N(I489)+N(J489)-N(K489))</f>
        <v/>
      </c>
      <c r="M489" s="39" t="n"/>
      <c r="N489" s="27">
        <f>IF(E489="","",IF(TODAY()&lt;E489,"Upcoming",IF(TODAY()&lt;F489,"Staying now",IF(M489="Yes","Checked out","Payout not received"))))</f>
        <v/>
      </c>
      <c r="O489" s="35" t="n"/>
      <c r="P489" s="1" t="n"/>
      <c r="Q489">
        <f>IF(N(G489)&gt;0,L489/G489,0)</f>
        <v/>
      </c>
      <c r="R489">
        <f>IF(N(G489)&gt;0,N(I489)/G489,0)</f>
        <v/>
      </c>
      <c r="S489">
        <f>IF(OR($E489="",$F489=""),0,MAX(0,MIN($F489,DATE(Dashboard!$C$4,2,1))-MAX($E489,DATE(Dashboard!$C$4,1,1))))</f>
        <v/>
      </c>
      <c r="T489">
        <f>IF(OR($E489="",$F489=""),0,MAX(0,MIN($F489,DATE(Dashboard!$C$4,3,1))-MAX($E489,DATE(Dashboard!$C$4,2,1))))</f>
        <v/>
      </c>
      <c r="U489">
        <f>IF(OR($E489="",$F489=""),0,MAX(0,MIN($F489,DATE(Dashboard!$C$4,4,1))-MAX($E489,DATE(Dashboard!$C$4,3,1))))</f>
        <v/>
      </c>
      <c r="V489">
        <f>IF(OR($E489="",$F489=""),0,MAX(0,MIN($F489,DATE(Dashboard!$C$4,5,1))-MAX($E489,DATE(Dashboard!$C$4,4,1))))</f>
        <v/>
      </c>
      <c r="W489">
        <f>IF(OR($E489="",$F489=""),0,MAX(0,MIN($F489,DATE(Dashboard!$C$4,6,1))-MAX($E489,DATE(Dashboard!$C$4,5,1))))</f>
        <v/>
      </c>
      <c r="X489">
        <f>IF(OR($E489="",$F489=""),0,MAX(0,MIN($F489,DATE(Dashboard!$C$4,7,1))-MAX($E489,DATE(Dashboard!$C$4,6,1))))</f>
        <v/>
      </c>
      <c r="Y489">
        <f>IF(OR($E489="",$F489=""),0,MAX(0,MIN($F489,DATE(Dashboard!$C$4,8,1))-MAX($E489,DATE(Dashboard!$C$4,7,1))))</f>
        <v/>
      </c>
      <c r="Z489">
        <f>IF(OR($E489="",$F489=""),0,MAX(0,MIN($F489,DATE(Dashboard!$C$4,9,1))-MAX($E489,DATE(Dashboard!$C$4,8,1))))</f>
        <v/>
      </c>
      <c r="AA489">
        <f>IF(OR($E489="",$F489=""),0,MAX(0,MIN($F489,DATE(Dashboard!$C$4,10,1))-MAX($E489,DATE(Dashboard!$C$4,9,1))))</f>
        <v/>
      </c>
      <c r="AB489">
        <f>IF(OR($E489="",$F489=""),0,MAX(0,MIN($F489,DATE(Dashboard!$C$4,11,1))-MAX($E489,DATE(Dashboard!$C$4,10,1))))</f>
        <v/>
      </c>
      <c r="AC489">
        <f>IF(OR($E489="",$F489=""),0,MAX(0,MIN($F489,DATE(Dashboard!$C$4,12,1))-MAX($E489,DATE(Dashboard!$C$4,11,1))))</f>
        <v/>
      </c>
      <c r="AD489">
        <f>IF(OR($E489="",$F489=""),0,MAX(0,MIN($F489,DATE(Dashboard!$C$4,13,1))-MAX($E489,DATE(Dashboard!$C$4,12,1))))</f>
        <v/>
      </c>
      <c r="AE489">
        <f>SUM(S489:AD489)</f>
        <v/>
      </c>
      <c r="AF489">
        <f>Q489*AE489</f>
        <v/>
      </c>
      <c r="AG489">
        <f>R489*AE489</f>
        <v/>
      </c>
      <c r="AH489">
        <f>SUMPRODUCT(S489:AD489,--(COLUMN(S489:AD489)-COLUMN(S489)+1&lt;=Dashboard!$N$1))</f>
        <v/>
      </c>
      <c r="AI489">
        <f>IF(OR(E489="",E489&lt;TODAY()),"",E489+ROW()/100000)</f>
        <v/>
      </c>
      <c r="AJ489">
        <f>IF(OR(F489="",F489&lt;TODAY()),"",F489+ROW()/100000)</f>
        <v/>
      </c>
    </row>
    <row r="490">
      <c r="A490" s="1" t="n"/>
      <c r="B490" s="35" t="n"/>
      <c r="C490" s="35" t="n"/>
      <c r="D490" s="35" t="n"/>
      <c r="E490" s="36" t="n"/>
      <c r="F490" s="36" t="n"/>
      <c r="G490" s="18">
        <f>IF(OR(E490="",F490=""),"",F490-E490)</f>
        <v/>
      </c>
      <c r="H490" s="37" t="n"/>
      <c r="I490" s="38" t="n"/>
      <c r="J490" s="38" t="n"/>
      <c r="K490" s="38" t="n"/>
      <c r="L490" s="31">
        <f>IF(E490="","",N(I490)+N(J490)-N(K490))</f>
        <v/>
      </c>
      <c r="M490" s="39" t="n"/>
      <c r="N490" s="27">
        <f>IF(E490="","",IF(TODAY()&lt;E490,"Upcoming",IF(TODAY()&lt;F490,"Staying now",IF(M490="Yes","Checked out","Payout not received"))))</f>
        <v/>
      </c>
      <c r="O490" s="35" t="n"/>
      <c r="P490" s="1" t="n"/>
      <c r="Q490">
        <f>IF(N(G490)&gt;0,L490/G490,0)</f>
        <v/>
      </c>
      <c r="R490">
        <f>IF(N(G490)&gt;0,N(I490)/G490,0)</f>
        <v/>
      </c>
      <c r="S490">
        <f>IF(OR($E490="",$F490=""),0,MAX(0,MIN($F490,DATE(Dashboard!$C$4,2,1))-MAX($E490,DATE(Dashboard!$C$4,1,1))))</f>
        <v/>
      </c>
      <c r="T490">
        <f>IF(OR($E490="",$F490=""),0,MAX(0,MIN($F490,DATE(Dashboard!$C$4,3,1))-MAX($E490,DATE(Dashboard!$C$4,2,1))))</f>
        <v/>
      </c>
      <c r="U490">
        <f>IF(OR($E490="",$F490=""),0,MAX(0,MIN($F490,DATE(Dashboard!$C$4,4,1))-MAX($E490,DATE(Dashboard!$C$4,3,1))))</f>
        <v/>
      </c>
      <c r="V490">
        <f>IF(OR($E490="",$F490=""),0,MAX(0,MIN($F490,DATE(Dashboard!$C$4,5,1))-MAX($E490,DATE(Dashboard!$C$4,4,1))))</f>
        <v/>
      </c>
      <c r="W490">
        <f>IF(OR($E490="",$F490=""),0,MAX(0,MIN($F490,DATE(Dashboard!$C$4,6,1))-MAX($E490,DATE(Dashboard!$C$4,5,1))))</f>
        <v/>
      </c>
      <c r="X490">
        <f>IF(OR($E490="",$F490=""),0,MAX(0,MIN($F490,DATE(Dashboard!$C$4,7,1))-MAX($E490,DATE(Dashboard!$C$4,6,1))))</f>
        <v/>
      </c>
      <c r="Y490">
        <f>IF(OR($E490="",$F490=""),0,MAX(0,MIN($F490,DATE(Dashboard!$C$4,8,1))-MAX($E490,DATE(Dashboard!$C$4,7,1))))</f>
        <v/>
      </c>
      <c r="Z490">
        <f>IF(OR($E490="",$F490=""),0,MAX(0,MIN($F490,DATE(Dashboard!$C$4,9,1))-MAX($E490,DATE(Dashboard!$C$4,8,1))))</f>
        <v/>
      </c>
      <c r="AA490">
        <f>IF(OR($E490="",$F490=""),0,MAX(0,MIN($F490,DATE(Dashboard!$C$4,10,1))-MAX($E490,DATE(Dashboard!$C$4,9,1))))</f>
        <v/>
      </c>
      <c r="AB490">
        <f>IF(OR($E490="",$F490=""),0,MAX(0,MIN($F490,DATE(Dashboard!$C$4,11,1))-MAX($E490,DATE(Dashboard!$C$4,10,1))))</f>
        <v/>
      </c>
      <c r="AC490">
        <f>IF(OR($E490="",$F490=""),0,MAX(0,MIN($F490,DATE(Dashboard!$C$4,12,1))-MAX($E490,DATE(Dashboard!$C$4,11,1))))</f>
        <v/>
      </c>
      <c r="AD490">
        <f>IF(OR($E490="",$F490=""),0,MAX(0,MIN($F490,DATE(Dashboard!$C$4,13,1))-MAX($E490,DATE(Dashboard!$C$4,12,1))))</f>
        <v/>
      </c>
      <c r="AE490">
        <f>SUM(S490:AD490)</f>
        <v/>
      </c>
      <c r="AF490">
        <f>Q490*AE490</f>
        <v/>
      </c>
      <c r="AG490">
        <f>R490*AE490</f>
        <v/>
      </c>
      <c r="AH490">
        <f>SUMPRODUCT(S490:AD490,--(COLUMN(S490:AD490)-COLUMN(S490)+1&lt;=Dashboard!$N$1))</f>
        <v/>
      </c>
      <c r="AI490">
        <f>IF(OR(E490="",E490&lt;TODAY()),"",E490+ROW()/100000)</f>
        <v/>
      </c>
      <c r="AJ490">
        <f>IF(OR(F490="",F490&lt;TODAY()),"",F490+ROW()/100000)</f>
        <v/>
      </c>
    </row>
    <row r="491">
      <c r="A491" s="1" t="n"/>
      <c r="B491" s="35" t="n"/>
      <c r="C491" s="35" t="n"/>
      <c r="D491" s="35" t="n"/>
      <c r="E491" s="36" t="n"/>
      <c r="F491" s="36" t="n"/>
      <c r="G491" s="18">
        <f>IF(OR(E491="",F491=""),"",F491-E491)</f>
        <v/>
      </c>
      <c r="H491" s="37" t="n"/>
      <c r="I491" s="38" t="n"/>
      <c r="J491" s="38" t="n"/>
      <c r="K491" s="38" t="n"/>
      <c r="L491" s="31">
        <f>IF(E491="","",N(I491)+N(J491)-N(K491))</f>
        <v/>
      </c>
      <c r="M491" s="39" t="n"/>
      <c r="N491" s="27">
        <f>IF(E491="","",IF(TODAY()&lt;E491,"Upcoming",IF(TODAY()&lt;F491,"Staying now",IF(M491="Yes","Checked out","Payout not received"))))</f>
        <v/>
      </c>
      <c r="O491" s="35" t="n"/>
      <c r="P491" s="1" t="n"/>
      <c r="Q491">
        <f>IF(N(G491)&gt;0,L491/G491,0)</f>
        <v/>
      </c>
      <c r="R491">
        <f>IF(N(G491)&gt;0,N(I491)/G491,0)</f>
        <v/>
      </c>
      <c r="S491">
        <f>IF(OR($E491="",$F491=""),0,MAX(0,MIN($F491,DATE(Dashboard!$C$4,2,1))-MAX($E491,DATE(Dashboard!$C$4,1,1))))</f>
        <v/>
      </c>
      <c r="T491">
        <f>IF(OR($E491="",$F491=""),0,MAX(0,MIN($F491,DATE(Dashboard!$C$4,3,1))-MAX($E491,DATE(Dashboard!$C$4,2,1))))</f>
        <v/>
      </c>
      <c r="U491">
        <f>IF(OR($E491="",$F491=""),0,MAX(0,MIN($F491,DATE(Dashboard!$C$4,4,1))-MAX($E491,DATE(Dashboard!$C$4,3,1))))</f>
        <v/>
      </c>
      <c r="V491">
        <f>IF(OR($E491="",$F491=""),0,MAX(0,MIN($F491,DATE(Dashboard!$C$4,5,1))-MAX($E491,DATE(Dashboard!$C$4,4,1))))</f>
        <v/>
      </c>
      <c r="W491">
        <f>IF(OR($E491="",$F491=""),0,MAX(0,MIN($F491,DATE(Dashboard!$C$4,6,1))-MAX($E491,DATE(Dashboard!$C$4,5,1))))</f>
        <v/>
      </c>
      <c r="X491">
        <f>IF(OR($E491="",$F491=""),0,MAX(0,MIN($F491,DATE(Dashboard!$C$4,7,1))-MAX($E491,DATE(Dashboard!$C$4,6,1))))</f>
        <v/>
      </c>
      <c r="Y491">
        <f>IF(OR($E491="",$F491=""),0,MAX(0,MIN($F491,DATE(Dashboard!$C$4,8,1))-MAX($E491,DATE(Dashboard!$C$4,7,1))))</f>
        <v/>
      </c>
      <c r="Z491">
        <f>IF(OR($E491="",$F491=""),0,MAX(0,MIN($F491,DATE(Dashboard!$C$4,9,1))-MAX($E491,DATE(Dashboard!$C$4,8,1))))</f>
        <v/>
      </c>
      <c r="AA491">
        <f>IF(OR($E491="",$F491=""),0,MAX(0,MIN($F491,DATE(Dashboard!$C$4,10,1))-MAX($E491,DATE(Dashboard!$C$4,9,1))))</f>
        <v/>
      </c>
      <c r="AB491">
        <f>IF(OR($E491="",$F491=""),0,MAX(0,MIN($F491,DATE(Dashboard!$C$4,11,1))-MAX($E491,DATE(Dashboard!$C$4,10,1))))</f>
        <v/>
      </c>
      <c r="AC491">
        <f>IF(OR($E491="",$F491=""),0,MAX(0,MIN($F491,DATE(Dashboard!$C$4,12,1))-MAX($E491,DATE(Dashboard!$C$4,11,1))))</f>
        <v/>
      </c>
      <c r="AD491">
        <f>IF(OR($E491="",$F491=""),0,MAX(0,MIN($F491,DATE(Dashboard!$C$4,13,1))-MAX($E491,DATE(Dashboard!$C$4,12,1))))</f>
        <v/>
      </c>
      <c r="AE491">
        <f>SUM(S491:AD491)</f>
        <v/>
      </c>
      <c r="AF491">
        <f>Q491*AE491</f>
        <v/>
      </c>
      <c r="AG491">
        <f>R491*AE491</f>
        <v/>
      </c>
      <c r="AH491">
        <f>SUMPRODUCT(S491:AD491,--(COLUMN(S491:AD491)-COLUMN(S491)+1&lt;=Dashboard!$N$1))</f>
        <v/>
      </c>
      <c r="AI491">
        <f>IF(OR(E491="",E491&lt;TODAY()),"",E491+ROW()/100000)</f>
        <v/>
      </c>
      <c r="AJ491">
        <f>IF(OR(F491="",F491&lt;TODAY()),"",F491+ROW()/100000)</f>
        <v/>
      </c>
    </row>
    <row r="492">
      <c r="A492" s="1" t="n"/>
      <c r="B492" s="35" t="n"/>
      <c r="C492" s="35" t="n"/>
      <c r="D492" s="35" t="n"/>
      <c r="E492" s="36" t="n"/>
      <c r="F492" s="36" t="n"/>
      <c r="G492" s="18">
        <f>IF(OR(E492="",F492=""),"",F492-E492)</f>
        <v/>
      </c>
      <c r="H492" s="37" t="n"/>
      <c r="I492" s="38" t="n"/>
      <c r="J492" s="38" t="n"/>
      <c r="K492" s="38" t="n"/>
      <c r="L492" s="31">
        <f>IF(E492="","",N(I492)+N(J492)-N(K492))</f>
        <v/>
      </c>
      <c r="M492" s="39" t="n"/>
      <c r="N492" s="27">
        <f>IF(E492="","",IF(TODAY()&lt;E492,"Upcoming",IF(TODAY()&lt;F492,"Staying now",IF(M492="Yes","Checked out","Payout not received"))))</f>
        <v/>
      </c>
      <c r="O492" s="35" t="n"/>
      <c r="P492" s="1" t="n"/>
      <c r="Q492">
        <f>IF(N(G492)&gt;0,L492/G492,0)</f>
        <v/>
      </c>
      <c r="R492">
        <f>IF(N(G492)&gt;0,N(I492)/G492,0)</f>
        <v/>
      </c>
      <c r="S492">
        <f>IF(OR($E492="",$F492=""),0,MAX(0,MIN($F492,DATE(Dashboard!$C$4,2,1))-MAX($E492,DATE(Dashboard!$C$4,1,1))))</f>
        <v/>
      </c>
      <c r="T492">
        <f>IF(OR($E492="",$F492=""),0,MAX(0,MIN($F492,DATE(Dashboard!$C$4,3,1))-MAX($E492,DATE(Dashboard!$C$4,2,1))))</f>
        <v/>
      </c>
      <c r="U492">
        <f>IF(OR($E492="",$F492=""),0,MAX(0,MIN($F492,DATE(Dashboard!$C$4,4,1))-MAX($E492,DATE(Dashboard!$C$4,3,1))))</f>
        <v/>
      </c>
      <c r="V492">
        <f>IF(OR($E492="",$F492=""),0,MAX(0,MIN($F492,DATE(Dashboard!$C$4,5,1))-MAX($E492,DATE(Dashboard!$C$4,4,1))))</f>
        <v/>
      </c>
      <c r="W492">
        <f>IF(OR($E492="",$F492=""),0,MAX(0,MIN($F492,DATE(Dashboard!$C$4,6,1))-MAX($E492,DATE(Dashboard!$C$4,5,1))))</f>
        <v/>
      </c>
      <c r="X492">
        <f>IF(OR($E492="",$F492=""),0,MAX(0,MIN($F492,DATE(Dashboard!$C$4,7,1))-MAX($E492,DATE(Dashboard!$C$4,6,1))))</f>
        <v/>
      </c>
      <c r="Y492">
        <f>IF(OR($E492="",$F492=""),0,MAX(0,MIN($F492,DATE(Dashboard!$C$4,8,1))-MAX($E492,DATE(Dashboard!$C$4,7,1))))</f>
        <v/>
      </c>
      <c r="Z492">
        <f>IF(OR($E492="",$F492=""),0,MAX(0,MIN($F492,DATE(Dashboard!$C$4,9,1))-MAX($E492,DATE(Dashboard!$C$4,8,1))))</f>
        <v/>
      </c>
      <c r="AA492">
        <f>IF(OR($E492="",$F492=""),0,MAX(0,MIN($F492,DATE(Dashboard!$C$4,10,1))-MAX($E492,DATE(Dashboard!$C$4,9,1))))</f>
        <v/>
      </c>
      <c r="AB492">
        <f>IF(OR($E492="",$F492=""),0,MAX(0,MIN($F492,DATE(Dashboard!$C$4,11,1))-MAX($E492,DATE(Dashboard!$C$4,10,1))))</f>
        <v/>
      </c>
      <c r="AC492">
        <f>IF(OR($E492="",$F492=""),0,MAX(0,MIN($F492,DATE(Dashboard!$C$4,12,1))-MAX($E492,DATE(Dashboard!$C$4,11,1))))</f>
        <v/>
      </c>
      <c r="AD492">
        <f>IF(OR($E492="",$F492=""),0,MAX(0,MIN($F492,DATE(Dashboard!$C$4,13,1))-MAX($E492,DATE(Dashboard!$C$4,12,1))))</f>
        <v/>
      </c>
      <c r="AE492">
        <f>SUM(S492:AD492)</f>
        <v/>
      </c>
      <c r="AF492">
        <f>Q492*AE492</f>
        <v/>
      </c>
      <c r="AG492">
        <f>R492*AE492</f>
        <v/>
      </c>
      <c r="AH492">
        <f>SUMPRODUCT(S492:AD492,--(COLUMN(S492:AD492)-COLUMN(S492)+1&lt;=Dashboard!$N$1))</f>
        <v/>
      </c>
      <c r="AI492">
        <f>IF(OR(E492="",E492&lt;TODAY()),"",E492+ROW()/100000)</f>
        <v/>
      </c>
      <c r="AJ492">
        <f>IF(OR(F492="",F492&lt;TODAY()),"",F492+ROW()/100000)</f>
        <v/>
      </c>
    </row>
    <row r="493">
      <c r="A493" s="1" t="n"/>
      <c r="B493" s="35" t="n"/>
      <c r="C493" s="35" t="n"/>
      <c r="D493" s="35" t="n"/>
      <c r="E493" s="36" t="n"/>
      <c r="F493" s="36" t="n"/>
      <c r="G493" s="18">
        <f>IF(OR(E493="",F493=""),"",F493-E493)</f>
        <v/>
      </c>
      <c r="H493" s="37" t="n"/>
      <c r="I493" s="38" t="n"/>
      <c r="J493" s="38" t="n"/>
      <c r="K493" s="38" t="n"/>
      <c r="L493" s="31">
        <f>IF(E493="","",N(I493)+N(J493)-N(K493))</f>
        <v/>
      </c>
      <c r="M493" s="39" t="n"/>
      <c r="N493" s="27">
        <f>IF(E493="","",IF(TODAY()&lt;E493,"Upcoming",IF(TODAY()&lt;F493,"Staying now",IF(M493="Yes","Checked out","Payout not received"))))</f>
        <v/>
      </c>
      <c r="O493" s="35" t="n"/>
      <c r="P493" s="1" t="n"/>
      <c r="Q493">
        <f>IF(N(G493)&gt;0,L493/G493,0)</f>
        <v/>
      </c>
      <c r="R493">
        <f>IF(N(G493)&gt;0,N(I493)/G493,0)</f>
        <v/>
      </c>
      <c r="S493">
        <f>IF(OR($E493="",$F493=""),0,MAX(0,MIN($F493,DATE(Dashboard!$C$4,2,1))-MAX($E493,DATE(Dashboard!$C$4,1,1))))</f>
        <v/>
      </c>
      <c r="T493">
        <f>IF(OR($E493="",$F493=""),0,MAX(0,MIN($F493,DATE(Dashboard!$C$4,3,1))-MAX($E493,DATE(Dashboard!$C$4,2,1))))</f>
        <v/>
      </c>
      <c r="U493">
        <f>IF(OR($E493="",$F493=""),0,MAX(0,MIN($F493,DATE(Dashboard!$C$4,4,1))-MAX($E493,DATE(Dashboard!$C$4,3,1))))</f>
        <v/>
      </c>
      <c r="V493">
        <f>IF(OR($E493="",$F493=""),0,MAX(0,MIN($F493,DATE(Dashboard!$C$4,5,1))-MAX($E493,DATE(Dashboard!$C$4,4,1))))</f>
        <v/>
      </c>
      <c r="W493">
        <f>IF(OR($E493="",$F493=""),0,MAX(0,MIN($F493,DATE(Dashboard!$C$4,6,1))-MAX($E493,DATE(Dashboard!$C$4,5,1))))</f>
        <v/>
      </c>
      <c r="X493">
        <f>IF(OR($E493="",$F493=""),0,MAX(0,MIN($F493,DATE(Dashboard!$C$4,7,1))-MAX($E493,DATE(Dashboard!$C$4,6,1))))</f>
        <v/>
      </c>
      <c r="Y493">
        <f>IF(OR($E493="",$F493=""),0,MAX(0,MIN($F493,DATE(Dashboard!$C$4,8,1))-MAX($E493,DATE(Dashboard!$C$4,7,1))))</f>
        <v/>
      </c>
      <c r="Z493">
        <f>IF(OR($E493="",$F493=""),0,MAX(0,MIN($F493,DATE(Dashboard!$C$4,9,1))-MAX($E493,DATE(Dashboard!$C$4,8,1))))</f>
        <v/>
      </c>
      <c r="AA493">
        <f>IF(OR($E493="",$F493=""),0,MAX(0,MIN($F493,DATE(Dashboard!$C$4,10,1))-MAX($E493,DATE(Dashboard!$C$4,9,1))))</f>
        <v/>
      </c>
      <c r="AB493">
        <f>IF(OR($E493="",$F493=""),0,MAX(0,MIN($F493,DATE(Dashboard!$C$4,11,1))-MAX($E493,DATE(Dashboard!$C$4,10,1))))</f>
        <v/>
      </c>
      <c r="AC493">
        <f>IF(OR($E493="",$F493=""),0,MAX(0,MIN($F493,DATE(Dashboard!$C$4,12,1))-MAX($E493,DATE(Dashboard!$C$4,11,1))))</f>
        <v/>
      </c>
      <c r="AD493">
        <f>IF(OR($E493="",$F493=""),0,MAX(0,MIN($F493,DATE(Dashboard!$C$4,13,1))-MAX($E493,DATE(Dashboard!$C$4,12,1))))</f>
        <v/>
      </c>
      <c r="AE493">
        <f>SUM(S493:AD493)</f>
        <v/>
      </c>
      <c r="AF493">
        <f>Q493*AE493</f>
        <v/>
      </c>
      <c r="AG493">
        <f>R493*AE493</f>
        <v/>
      </c>
      <c r="AH493">
        <f>SUMPRODUCT(S493:AD493,--(COLUMN(S493:AD493)-COLUMN(S493)+1&lt;=Dashboard!$N$1))</f>
        <v/>
      </c>
      <c r="AI493">
        <f>IF(OR(E493="",E493&lt;TODAY()),"",E493+ROW()/100000)</f>
        <v/>
      </c>
      <c r="AJ493">
        <f>IF(OR(F493="",F493&lt;TODAY()),"",F493+ROW()/100000)</f>
        <v/>
      </c>
    </row>
    <row r="494">
      <c r="A494" s="1" t="n"/>
      <c r="B494" s="35" t="n"/>
      <c r="C494" s="35" t="n"/>
      <c r="D494" s="35" t="n"/>
      <c r="E494" s="36" t="n"/>
      <c r="F494" s="36" t="n"/>
      <c r="G494" s="18">
        <f>IF(OR(E494="",F494=""),"",F494-E494)</f>
        <v/>
      </c>
      <c r="H494" s="37" t="n"/>
      <c r="I494" s="38" t="n"/>
      <c r="J494" s="38" t="n"/>
      <c r="K494" s="38" t="n"/>
      <c r="L494" s="31">
        <f>IF(E494="","",N(I494)+N(J494)-N(K494))</f>
        <v/>
      </c>
      <c r="M494" s="39" t="n"/>
      <c r="N494" s="27">
        <f>IF(E494="","",IF(TODAY()&lt;E494,"Upcoming",IF(TODAY()&lt;F494,"Staying now",IF(M494="Yes","Checked out","Payout not received"))))</f>
        <v/>
      </c>
      <c r="O494" s="35" t="n"/>
      <c r="P494" s="1" t="n"/>
      <c r="Q494">
        <f>IF(N(G494)&gt;0,L494/G494,0)</f>
        <v/>
      </c>
      <c r="R494">
        <f>IF(N(G494)&gt;0,N(I494)/G494,0)</f>
        <v/>
      </c>
      <c r="S494">
        <f>IF(OR($E494="",$F494=""),0,MAX(0,MIN($F494,DATE(Dashboard!$C$4,2,1))-MAX($E494,DATE(Dashboard!$C$4,1,1))))</f>
        <v/>
      </c>
      <c r="T494">
        <f>IF(OR($E494="",$F494=""),0,MAX(0,MIN($F494,DATE(Dashboard!$C$4,3,1))-MAX($E494,DATE(Dashboard!$C$4,2,1))))</f>
        <v/>
      </c>
      <c r="U494">
        <f>IF(OR($E494="",$F494=""),0,MAX(0,MIN($F494,DATE(Dashboard!$C$4,4,1))-MAX($E494,DATE(Dashboard!$C$4,3,1))))</f>
        <v/>
      </c>
      <c r="V494">
        <f>IF(OR($E494="",$F494=""),0,MAX(0,MIN($F494,DATE(Dashboard!$C$4,5,1))-MAX($E494,DATE(Dashboard!$C$4,4,1))))</f>
        <v/>
      </c>
      <c r="W494">
        <f>IF(OR($E494="",$F494=""),0,MAX(0,MIN($F494,DATE(Dashboard!$C$4,6,1))-MAX($E494,DATE(Dashboard!$C$4,5,1))))</f>
        <v/>
      </c>
      <c r="X494">
        <f>IF(OR($E494="",$F494=""),0,MAX(0,MIN($F494,DATE(Dashboard!$C$4,7,1))-MAX($E494,DATE(Dashboard!$C$4,6,1))))</f>
        <v/>
      </c>
      <c r="Y494">
        <f>IF(OR($E494="",$F494=""),0,MAX(0,MIN($F494,DATE(Dashboard!$C$4,8,1))-MAX($E494,DATE(Dashboard!$C$4,7,1))))</f>
        <v/>
      </c>
      <c r="Z494">
        <f>IF(OR($E494="",$F494=""),0,MAX(0,MIN($F494,DATE(Dashboard!$C$4,9,1))-MAX($E494,DATE(Dashboard!$C$4,8,1))))</f>
        <v/>
      </c>
      <c r="AA494">
        <f>IF(OR($E494="",$F494=""),0,MAX(0,MIN($F494,DATE(Dashboard!$C$4,10,1))-MAX($E494,DATE(Dashboard!$C$4,9,1))))</f>
        <v/>
      </c>
      <c r="AB494">
        <f>IF(OR($E494="",$F494=""),0,MAX(0,MIN($F494,DATE(Dashboard!$C$4,11,1))-MAX($E494,DATE(Dashboard!$C$4,10,1))))</f>
        <v/>
      </c>
      <c r="AC494">
        <f>IF(OR($E494="",$F494=""),0,MAX(0,MIN($F494,DATE(Dashboard!$C$4,12,1))-MAX($E494,DATE(Dashboard!$C$4,11,1))))</f>
        <v/>
      </c>
      <c r="AD494">
        <f>IF(OR($E494="",$F494=""),0,MAX(0,MIN($F494,DATE(Dashboard!$C$4,13,1))-MAX($E494,DATE(Dashboard!$C$4,12,1))))</f>
        <v/>
      </c>
      <c r="AE494">
        <f>SUM(S494:AD494)</f>
        <v/>
      </c>
      <c r="AF494">
        <f>Q494*AE494</f>
        <v/>
      </c>
      <c r="AG494">
        <f>R494*AE494</f>
        <v/>
      </c>
      <c r="AH494">
        <f>SUMPRODUCT(S494:AD494,--(COLUMN(S494:AD494)-COLUMN(S494)+1&lt;=Dashboard!$N$1))</f>
        <v/>
      </c>
      <c r="AI494">
        <f>IF(OR(E494="",E494&lt;TODAY()),"",E494+ROW()/100000)</f>
        <v/>
      </c>
      <c r="AJ494">
        <f>IF(OR(F494="",F494&lt;TODAY()),"",F494+ROW()/100000)</f>
        <v/>
      </c>
    </row>
    <row r="495">
      <c r="A495" s="1" t="n"/>
      <c r="B495" s="35" t="n"/>
      <c r="C495" s="35" t="n"/>
      <c r="D495" s="35" t="n"/>
      <c r="E495" s="36" t="n"/>
      <c r="F495" s="36" t="n"/>
      <c r="G495" s="18">
        <f>IF(OR(E495="",F495=""),"",F495-E495)</f>
        <v/>
      </c>
      <c r="H495" s="37" t="n"/>
      <c r="I495" s="38" t="n"/>
      <c r="J495" s="38" t="n"/>
      <c r="K495" s="38" t="n"/>
      <c r="L495" s="31">
        <f>IF(E495="","",N(I495)+N(J495)-N(K495))</f>
        <v/>
      </c>
      <c r="M495" s="39" t="n"/>
      <c r="N495" s="27">
        <f>IF(E495="","",IF(TODAY()&lt;E495,"Upcoming",IF(TODAY()&lt;F495,"Staying now",IF(M495="Yes","Checked out","Payout not received"))))</f>
        <v/>
      </c>
      <c r="O495" s="35" t="n"/>
      <c r="P495" s="1" t="n"/>
      <c r="Q495">
        <f>IF(N(G495)&gt;0,L495/G495,0)</f>
        <v/>
      </c>
      <c r="R495">
        <f>IF(N(G495)&gt;0,N(I495)/G495,0)</f>
        <v/>
      </c>
      <c r="S495">
        <f>IF(OR($E495="",$F495=""),0,MAX(0,MIN($F495,DATE(Dashboard!$C$4,2,1))-MAX($E495,DATE(Dashboard!$C$4,1,1))))</f>
        <v/>
      </c>
      <c r="T495">
        <f>IF(OR($E495="",$F495=""),0,MAX(0,MIN($F495,DATE(Dashboard!$C$4,3,1))-MAX($E495,DATE(Dashboard!$C$4,2,1))))</f>
        <v/>
      </c>
      <c r="U495">
        <f>IF(OR($E495="",$F495=""),0,MAX(0,MIN($F495,DATE(Dashboard!$C$4,4,1))-MAX($E495,DATE(Dashboard!$C$4,3,1))))</f>
        <v/>
      </c>
      <c r="V495">
        <f>IF(OR($E495="",$F495=""),0,MAX(0,MIN($F495,DATE(Dashboard!$C$4,5,1))-MAX($E495,DATE(Dashboard!$C$4,4,1))))</f>
        <v/>
      </c>
      <c r="W495">
        <f>IF(OR($E495="",$F495=""),0,MAX(0,MIN($F495,DATE(Dashboard!$C$4,6,1))-MAX($E495,DATE(Dashboard!$C$4,5,1))))</f>
        <v/>
      </c>
      <c r="X495">
        <f>IF(OR($E495="",$F495=""),0,MAX(0,MIN($F495,DATE(Dashboard!$C$4,7,1))-MAX($E495,DATE(Dashboard!$C$4,6,1))))</f>
        <v/>
      </c>
      <c r="Y495">
        <f>IF(OR($E495="",$F495=""),0,MAX(0,MIN($F495,DATE(Dashboard!$C$4,8,1))-MAX($E495,DATE(Dashboard!$C$4,7,1))))</f>
        <v/>
      </c>
      <c r="Z495">
        <f>IF(OR($E495="",$F495=""),0,MAX(0,MIN($F495,DATE(Dashboard!$C$4,9,1))-MAX($E495,DATE(Dashboard!$C$4,8,1))))</f>
        <v/>
      </c>
      <c r="AA495">
        <f>IF(OR($E495="",$F495=""),0,MAX(0,MIN($F495,DATE(Dashboard!$C$4,10,1))-MAX($E495,DATE(Dashboard!$C$4,9,1))))</f>
        <v/>
      </c>
      <c r="AB495">
        <f>IF(OR($E495="",$F495=""),0,MAX(0,MIN($F495,DATE(Dashboard!$C$4,11,1))-MAX($E495,DATE(Dashboard!$C$4,10,1))))</f>
        <v/>
      </c>
      <c r="AC495">
        <f>IF(OR($E495="",$F495=""),0,MAX(0,MIN($F495,DATE(Dashboard!$C$4,12,1))-MAX($E495,DATE(Dashboard!$C$4,11,1))))</f>
        <v/>
      </c>
      <c r="AD495">
        <f>IF(OR($E495="",$F495=""),0,MAX(0,MIN($F495,DATE(Dashboard!$C$4,13,1))-MAX($E495,DATE(Dashboard!$C$4,12,1))))</f>
        <v/>
      </c>
      <c r="AE495">
        <f>SUM(S495:AD495)</f>
        <v/>
      </c>
      <c r="AF495">
        <f>Q495*AE495</f>
        <v/>
      </c>
      <c r="AG495">
        <f>R495*AE495</f>
        <v/>
      </c>
      <c r="AH495">
        <f>SUMPRODUCT(S495:AD495,--(COLUMN(S495:AD495)-COLUMN(S495)+1&lt;=Dashboard!$N$1))</f>
        <v/>
      </c>
      <c r="AI495">
        <f>IF(OR(E495="",E495&lt;TODAY()),"",E495+ROW()/100000)</f>
        <v/>
      </c>
      <c r="AJ495">
        <f>IF(OR(F495="",F495&lt;TODAY()),"",F495+ROW()/100000)</f>
        <v/>
      </c>
    </row>
    <row r="496">
      <c r="A496" s="1" t="n"/>
      <c r="B496" s="35" t="n"/>
      <c r="C496" s="35" t="n"/>
      <c r="D496" s="35" t="n"/>
      <c r="E496" s="36" t="n"/>
      <c r="F496" s="36" t="n"/>
      <c r="G496" s="18">
        <f>IF(OR(E496="",F496=""),"",F496-E496)</f>
        <v/>
      </c>
      <c r="H496" s="37" t="n"/>
      <c r="I496" s="38" t="n"/>
      <c r="J496" s="38" t="n"/>
      <c r="K496" s="38" t="n"/>
      <c r="L496" s="31">
        <f>IF(E496="","",N(I496)+N(J496)-N(K496))</f>
        <v/>
      </c>
      <c r="M496" s="39" t="n"/>
      <c r="N496" s="27">
        <f>IF(E496="","",IF(TODAY()&lt;E496,"Upcoming",IF(TODAY()&lt;F496,"Staying now",IF(M496="Yes","Checked out","Payout not received"))))</f>
        <v/>
      </c>
      <c r="O496" s="35" t="n"/>
      <c r="P496" s="1" t="n"/>
      <c r="Q496">
        <f>IF(N(G496)&gt;0,L496/G496,0)</f>
        <v/>
      </c>
      <c r="R496">
        <f>IF(N(G496)&gt;0,N(I496)/G496,0)</f>
        <v/>
      </c>
      <c r="S496">
        <f>IF(OR($E496="",$F496=""),0,MAX(0,MIN($F496,DATE(Dashboard!$C$4,2,1))-MAX($E496,DATE(Dashboard!$C$4,1,1))))</f>
        <v/>
      </c>
      <c r="T496">
        <f>IF(OR($E496="",$F496=""),0,MAX(0,MIN($F496,DATE(Dashboard!$C$4,3,1))-MAX($E496,DATE(Dashboard!$C$4,2,1))))</f>
        <v/>
      </c>
      <c r="U496">
        <f>IF(OR($E496="",$F496=""),0,MAX(0,MIN($F496,DATE(Dashboard!$C$4,4,1))-MAX($E496,DATE(Dashboard!$C$4,3,1))))</f>
        <v/>
      </c>
      <c r="V496">
        <f>IF(OR($E496="",$F496=""),0,MAX(0,MIN($F496,DATE(Dashboard!$C$4,5,1))-MAX($E496,DATE(Dashboard!$C$4,4,1))))</f>
        <v/>
      </c>
      <c r="W496">
        <f>IF(OR($E496="",$F496=""),0,MAX(0,MIN($F496,DATE(Dashboard!$C$4,6,1))-MAX($E496,DATE(Dashboard!$C$4,5,1))))</f>
        <v/>
      </c>
      <c r="X496">
        <f>IF(OR($E496="",$F496=""),0,MAX(0,MIN($F496,DATE(Dashboard!$C$4,7,1))-MAX($E496,DATE(Dashboard!$C$4,6,1))))</f>
        <v/>
      </c>
      <c r="Y496">
        <f>IF(OR($E496="",$F496=""),0,MAX(0,MIN($F496,DATE(Dashboard!$C$4,8,1))-MAX($E496,DATE(Dashboard!$C$4,7,1))))</f>
        <v/>
      </c>
      <c r="Z496">
        <f>IF(OR($E496="",$F496=""),0,MAX(0,MIN($F496,DATE(Dashboard!$C$4,9,1))-MAX($E496,DATE(Dashboard!$C$4,8,1))))</f>
        <v/>
      </c>
      <c r="AA496">
        <f>IF(OR($E496="",$F496=""),0,MAX(0,MIN($F496,DATE(Dashboard!$C$4,10,1))-MAX($E496,DATE(Dashboard!$C$4,9,1))))</f>
        <v/>
      </c>
      <c r="AB496">
        <f>IF(OR($E496="",$F496=""),0,MAX(0,MIN($F496,DATE(Dashboard!$C$4,11,1))-MAX($E496,DATE(Dashboard!$C$4,10,1))))</f>
        <v/>
      </c>
      <c r="AC496">
        <f>IF(OR($E496="",$F496=""),0,MAX(0,MIN($F496,DATE(Dashboard!$C$4,12,1))-MAX($E496,DATE(Dashboard!$C$4,11,1))))</f>
        <v/>
      </c>
      <c r="AD496">
        <f>IF(OR($E496="",$F496=""),0,MAX(0,MIN($F496,DATE(Dashboard!$C$4,13,1))-MAX($E496,DATE(Dashboard!$C$4,12,1))))</f>
        <v/>
      </c>
      <c r="AE496">
        <f>SUM(S496:AD496)</f>
        <v/>
      </c>
      <c r="AF496">
        <f>Q496*AE496</f>
        <v/>
      </c>
      <c r="AG496">
        <f>R496*AE496</f>
        <v/>
      </c>
      <c r="AH496">
        <f>SUMPRODUCT(S496:AD496,--(COLUMN(S496:AD496)-COLUMN(S496)+1&lt;=Dashboard!$N$1))</f>
        <v/>
      </c>
      <c r="AI496">
        <f>IF(OR(E496="",E496&lt;TODAY()),"",E496+ROW()/100000)</f>
        <v/>
      </c>
      <c r="AJ496">
        <f>IF(OR(F496="",F496&lt;TODAY()),"",F496+ROW()/100000)</f>
        <v/>
      </c>
    </row>
    <row r="497">
      <c r="A497" s="1" t="n"/>
      <c r="B497" s="35" t="n"/>
      <c r="C497" s="35" t="n"/>
      <c r="D497" s="35" t="n"/>
      <c r="E497" s="36" t="n"/>
      <c r="F497" s="36" t="n"/>
      <c r="G497" s="18">
        <f>IF(OR(E497="",F497=""),"",F497-E497)</f>
        <v/>
      </c>
      <c r="H497" s="37" t="n"/>
      <c r="I497" s="38" t="n"/>
      <c r="J497" s="38" t="n"/>
      <c r="K497" s="38" t="n"/>
      <c r="L497" s="31">
        <f>IF(E497="","",N(I497)+N(J497)-N(K497))</f>
        <v/>
      </c>
      <c r="M497" s="39" t="n"/>
      <c r="N497" s="27">
        <f>IF(E497="","",IF(TODAY()&lt;E497,"Upcoming",IF(TODAY()&lt;F497,"Staying now",IF(M497="Yes","Checked out","Payout not received"))))</f>
        <v/>
      </c>
      <c r="O497" s="35" t="n"/>
      <c r="P497" s="1" t="n"/>
      <c r="Q497">
        <f>IF(N(G497)&gt;0,L497/G497,0)</f>
        <v/>
      </c>
      <c r="R497">
        <f>IF(N(G497)&gt;0,N(I497)/G497,0)</f>
        <v/>
      </c>
      <c r="S497">
        <f>IF(OR($E497="",$F497=""),0,MAX(0,MIN($F497,DATE(Dashboard!$C$4,2,1))-MAX($E497,DATE(Dashboard!$C$4,1,1))))</f>
        <v/>
      </c>
      <c r="T497">
        <f>IF(OR($E497="",$F497=""),0,MAX(0,MIN($F497,DATE(Dashboard!$C$4,3,1))-MAX($E497,DATE(Dashboard!$C$4,2,1))))</f>
        <v/>
      </c>
      <c r="U497">
        <f>IF(OR($E497="",$F497=""),0,MAX(0,MIN($F497,DATE(Dashboard!$C$4,4,1))-MAX($E497,DATE(Dashboard!$C$4,3,1))))</f>
        <v/>
      </c>
      <c r="V497">
        <f>IF(OR($E497="",$F497=""),0,MAX(0,MIN($F497,DATE(Dashboard!$C$4,5,1))-MAX($E497,DATE(Dashboard!$C$4,4,1))))</f>
        <v/>
      </c>
      <c r="W497">
        <f>IF(OR($E497="",$F497=""),0,MAX(0,MIN($F497,DATE(Dashboard!$C$4,6,1))-MAX($E497,DATE(Dashboard!$C$4,5,1))))</f>
        <v/>
      </c>
      <c r="X497">
        <f>IF(OR($E497="",$F497=""),0,MAX(0,MIN($F497,DATE(Dashboard!$C$4,7,1))-MAX($E497,DATE(Dashboard!$C$4,6,1))))</f>
        <v/>
      </c>
      <c r="Y497">
        <f>IF(OR($E497="",$F497=""),0,MAX(0,MIN($F497,DATE(Dashboard!$C$4,8,1))-MAX($E497,DATE(Dashboard!$C$4,7,1))))</f>
        <v/>
      </c>
      <c r="Z497">
        <f>IF(OR($E497="",$F497=""),0,MAX(0,MIN($F497,DATE(Dashboard!$C$4,9,1))-MAX($E497,DATE(Dashboard!$C$4,8,1))))</f>
        <v/>
      </c>
      <c r="AA497">
        <f>IF(OR($E497="",$F497=""),0,MAX(0,MIN($F497,DATE(Dashboard!$C$4,10,1))-MAX($E497,DATE(Dashboard!$C$4,9,1))))</f>
        <v/>
      </c>
      <c r="AB497">
        <f>IF(OR($E497="",$F497=""),0,MAX(0,MIN($F497,DATE(Dashboard!$C$4,11,1))-MAX($E497,DATE(Dashboard!$C$4,10,1))))</f>
        <v/>
      </c>
      <c r="AC497">
        <f>IF(OR($E497="",$F497=""),0,MAX(0,MIN($F497,DATE(Dashboard!$C$4,12,1))-MAX($E497,DATE(Dashboard!$C$4,11,1))))</f>
        <v/>
      </c>
      <c r="AD497">
        <f>IF(OR($E497="",$F497=""),0,MAX(0,MIN($F497,DATE(Dashboard!$C$4,13,1))-MAX($E497,DATE(Dashboard!$C$4,12,1))))</f>
        <v/>
      </c>
      <c r="AE497">
        <f>SUM(S497:AD497)</f>
        <v/>
      </c>
      <c r="AF497">
        <f>Q497*AE497</f>
        <v/>
      </c>
      <c r="AG497">
        <f>R497*AE497</f>
        <v/>
      </c>
      <c r="AH497">
        <f>SUMPRODUCT(S497:AD497,--(COLUMN(S497:AD497)-COLUMN(S497)+1&lt;=Dashboard!$N$1))</f>
        <v/>
      </c>
      <c r="AI497">
        <f>IF(OR(E497="",E497&lt;TODAY()),"",E497+ROW()/100000)</f>
        <v/>
      </c>
      <c r="AJ497">
        <f>IF(OR(F497="",F497&lt;TODAY()),"",F497+ROW()/100000)</f>
        <v/>
      </c>
    </row>
    <row r="498">
      <c r="A498" s="1" t="n"/>
      <c r="B498" s="35" t="n"/>
      <c r="C498" s="35" t="n"/>
      <c r="D498" s="35" t="n"/>
      <c r="E498" s="36" t="n"/>
      <c r="F498" s="36" t="n"/>
      <c r="G498" s="18">
        <f>IF(OR(E498="",F498=""),"",F498-E498)</f>
        <v/>
      </c>
      <c r="H498" s="37" t="n"/>
      <c r="I498" s="38" t="n"/>
      <c r="J498" s="38" t="n"/>
      <c r="K498" s="38" t="n"/>
      <c r="L498" s="31">
        <f>IF(E498="","",N(I498)+N(J498)-N(K498))</f>
        <v/>
      </c>
      <c r="M498" s="39" t="n"/>
      <c r="N498" s="27">
        <f>IF(E498="","",IF(TODAY()&lt;E498,"Upcoming",IF(TODAY()&lt;F498,"Staying now",IF(M498="Yes","Checked out","Payout not received"))))</f>
        <v/>
      </c>
      <c r="O498" s="35" t="n"/>
      <c r="P498" s="1" t="n"/>
      <c r="Q498">
        <f>IF(N(G498)&gt;0,L498/G498,0)</f>
        <v/>
      </c>
      <c r="R498">
        <f>IF(N(G498)&gt;0,N(I498)/G498,0)</f>
        <v/>
      </c>
      <c r="S498">
        <f>IF(OR($E498="",$F498=""),0,MAX(0,MIN($F498,DATE(Dashboard!$C$4,2,1))-MAX($E498,DATE(Dashboard!$C$4,1,1))))</f>
        <v/>
      </c>
      <c r="T498">
        <f>IF(OR($E498="",$F498=""),0,MAX(0,MIN($F498,DATE(Dashboard!$C$4,3,1))-MAX($E498,DATE(Dashboard!$C$4,2,1))))</f>
        <v/>
      </c>
      <c r="U498">
        <f>IF(OR($E498="",$F498=""),0,MAX(0,MIN($F498,DATE(Dashboard!$C$4,4,1))-MAX($E498,DATE(Dashboard!$C$4,3,1))))</f>
        <v/>
      </c>
      <c r="V498">
        <f>IF(OR($E498="",$F498=""),0,MAX(0,MIN($F498,DATE(Dashboard!$C$4,5,1))-MAX($E498,DATE(Dashboard!$C$4,4,1))))</f>
        <v/>
      </c>
      <c r="W498">
        <f>IF(OR($E498="",$F498=""),0,MAX(0,MIN($F498,DATE(Dashboard!$C$4,6,1))-MAX($E498,DATE(Dashboard!$C$4,5,1))))</f>
        <v/>
      </c>
      <c r="X498">
        <f>IF(OR($E498="",$F498=""),0,MAX(0,MIN($F498,DATE(Dashboard!$C$4,7,1))-MAX($E498,DATE(Dashboard!$C$4,6,1))))</f>
        <v/>
      </c>
      <c r="Y498">
        <f>IF(OR($E498="",$F498=""),0,MAX(0,MIN($F498,DATE(Dashboard!$C$4,8,1))-MAX($E498,DATE(Dashboard!$C$4,7,1))))</f>
        <v/>
      </c>
      <c r="Z498">
        <f>IF(OR($E498="",$F498=""),0,MAX(0,MIN($F498,DATE(Dashboard!$C$4,9,1))-MAX($E498,DATE(Dashboard!$C$4,8,1))))</f>
        <v/>
      </c>
      <c r="AA498">
        <f>IF(OR($E498="",$F498=""),0,MAX(0,MIN($F498,DATE(Dashboard!$C$4,10,1))-MAX($E498,DATE(Dashboard!$C$4,9,1))))</f>
        <v/>
      </c>
      <c r="AB498">
        <f>IF(OR($E498="",$F498=""),0,MAX(0,MIN($F498,DATE(Dashboard!$C$4,11,1))-MAX($E498,DATE(Dashboard!$C$4,10,1))))</f>
        <v/>
      </c>
      <c r="AC498">
        <f>IF(OR($E498="",$F498=""),0,MAX(0,MIN($F498,DATE(Dashboard!$C$4,12,1))-MAX($E498,DATE(Dashboard!$C$4,11,1))))</f>
        <v/>
      </c>
      <c r="AD498">
        <f>IF(OR($E498="",$F498=""),0,MAX(0,MIN($F498,DATE(Dashboard!$C$4,13,1))-MAX($E498,DATE(Dashboard!$C$4,12,1))))</f>
        <v/>
      </c>
      <c r="AE498">
        <f>SUM(S498:AD498)</f>
        <v/>
      </c>
      <c r="AF498">
        <f>Q498*AE498</f>
        <v/>
      </c>
      <c r="AG498">
        <f>R498*AE498</f>
        <v/>
      </c>
      <c r="AH498">
        <f>SUMPRODUCT(S498:AD498,--(COLUMN(S498:AD498)-COLUMN(S498)+1&lt;=Dashboard!$N$1))</f>
        <v/>
      </c>
      <c r="AI498">
        <f>IF(OR(E498="",E498&lt;TODAY()),"",E498+ROW()/100000)</f>
        <v/>
      </c>
      <c r="AJ498">
        <f>IF(OR(F498="",F498&lt;TODAY()),"",F498+ROW()/100000)</f>
        <v/>
      </c>
    </row>
    <row r="499">
      <c r="A499" s="1" t="n"/>
      <c r="B499" s="35" t="n"/>
      <c r="C499" s="35" t="n"/>
      <c r="D499" s="35" t="n"/>
      <c r="E499" s="36" t="n"/>
      <c r="F499" s="36" t="n"/>
      <c r="G499" s="18">
        <f>IF(OR(E499="",F499=""),"",F499-E499)</f>
        <v/>
      </c>
      <c r="H499" s="37" t="n"/>
      <c r="I499" s="38" t="n"/>
      <c r="J499" s="38" t="n"/>
      <c r="K499" s="38" t="n"/>
      <c r="L499" s="31">
        <f>IF(E499="","",N(I499)+N(J499)-N(K499))</f>
        <v/>
      </c>
      <c r="M499" s="39" t="n"/>
      <c r="N499" s="27">
        <f>IF(E499="","",IF(TODAY()&lt;E499,"Upcoming",IF(TODAY()&lt;F499,"Staying now",IF(M499="Yes","Checked out","Payout not received"))))</f>
        <v/>
      </c>
      <c r="O499" s="35" t="n"/>
      <c r="P499" s="1" t="n"/>
      <c r="Q499">
        <f>IF(N(G499)&gt;0,L499/G499,0)</f>
        <v/>
      </c>
      <c r="R499">
        <f>IF(N(G499)&gt;0,N(I499)/G499,0)</f>
        <v/>
      </c>
      <c r="S499">
        <f>IF(OR($E499="",$F499=""),0,MAX(0,MIN($F499,DATE(Dashboard!$C$4,2,1))-MAX($E499,DATE(Dashboard!$C$4,1,1))))</f>
        <v/>
      </c>
      <c r="T499">
        <f>IF(OR($E499="",$F499=""),0,MAX(0,MIN($F499,DATE(Dashboard!$C$4,3,1))-MAX($E499,DATE(Dashboard!$C$4,2,1))))</f>
        <v/>
      </c>
      <c r="U499">
        <f>IF(OR($E499="",$F499=""),0,MAX(0,MIN($F499,DATE(Dashboard!$C$4,4,1))-MAX($E499,DATE(Dashboard!$C$4,3,1))))</f>
        <v/>
      </c>
      <c r="V499">
        <f>IF(OR($E499="",$F499=""),0,MAX(0,MIN($F499,DATE(Dashboard!$C$4,5,1))-MAX($E499,DATE(Dashboard!$C$4,4,1))))</f>
        <v/>
      </c>
      <c r="W499">
        <f>IF(OR($E499="",$F499=""),0,MAX(0,MIN($F499,DATE(Dashboard!$C$4,6,1))-MAX($E499,DATE(Dashboard!$C$4,5,1))))</f>
        <v/>
      </c>
      <c r="X499">
        <f>IF(OR($E499="",$F499=""),0,MAX(0,MIN($F499,DATE(Dashboard!$C$4,7,1))-MAX($E499,DATE(Dashboard!$C$4,6,1))))</f>
        <v/>
      </c>
      <c r="Y499">
        <f>IF(OR($E499="",$F499=""),0,MAX(0,MIN($F499,DATE(Dashboard!$C$4,8,1))-MAX($E499,DATE(Dashboard!$C$4,7,1))))</f>
        <v/>
      </c>
      <c r="Z499">
        <f>IF(OR($E499="",$F499=""),0,MAX(0,MIN($F499,DATE(Dashboard!$C$4,9,1))-MAX($E499,DATE(Dashboard!$C$4,8,1))))</f>
        <v/>
      </c>
      <c r="AA499">
        <f>IF(OR($E499="",$F499=""),0,MAX(0,MIN($F499,DATE(Dashboard!$C$4,10,1))-MAX($E499,DATE(Dashboard!$C$4,9,1))))</f>
        <v/>
      </c>
      <c r="AB499">
        <f>IF(OR($E499="",$F499=""),0,MAX(0,MIN($F499,DATE(Dashboard!$C$4,11,1))-MAX($E499,DATE(Dashboard!$C$4,10,1))))</f>
        <v/>
      </c>
      <c r="AC499">
        <f>IF(OR($E499="",$F499=""),0,MAX(0,MIN($F499,DATE(Dashboard!$C$4,12,1))-MAX($E499,DATE(Dashboard!$C$4,11,1))))</f>
        <v/>
      </c>
      <c r="AD499">
        <f>IF(OR($E499="",$F499=""),0,MAX(0,MIN($F499,DATE(Dashboard!$C$4,13,1))-MAX($E499,DATE(Dashboard!$C$4,12,1))))</f>
        <v/>
      </c>
      <c r="AE499">
        <f>SUM(S499:AD499)</f>
        <v/>
      </c>
      <c r="AF499">
        <f>Q499*AE499</f>
        <v/>
      </c>
      <c r="AG499">
        <f>R499*AE499</f>
        <v/>
      </c>
      <c r="AH499">
        <f>SUMPRODUCT(S499:AD499,--(COLUMN(S499:AD499)-COLUMN(S499)+1&lt;=Dashboard!$N$1))</f>
        <v/>
      </c>
      <c r="AI499">
        <f>IF(OR(E499="",E499&lt;TODAY()),"",E499+ROW()/100000)</f>
        <v/>
      </c>
      <c r="AJ499">
        <f>IF(OR(F499="",F499&lt;TODAY()),"",F499+ROW()/100000)</f>
        <v/>
      </c>
    </row>
    <row r="500">
      <c r="A500" s="1" t="n"/>
      <c r="B500" s="35" t="n"/>
      <c r="C500" s="35" t="n"/>
      <c r="D500" s="35" t="n"/>
      <c r="E500" s="36" t="n"/>
      <c r="F500" s="36" t="n"/>
      <c r="G500" s="18">
        <f>IF(OR(E500="",F500=""),"",F500-E500)</f>
        <v/>
      </c>
      <c r="H500" s="37" t="n"/>
      <c r="I500" s="38" t="n"/>
      <c r="J500" s="38" t="n"/>
      <c r="K500" s="38" t="n"/>
      <c r="L500" s="31">
        <f>IF(E500="","",N(I500)+N(J500)-N(K500))</f>
        <v/>
      </c>
      <c r="M500" s="39" t="n"/>
      <c r="N500" s="27">
        <f>IF(E500="","",IF(TODAY()&lt;E500,"Upcoming",IF(TODAY()&lt;F500,"Staying now",IF(M500="Yes","Checked out","Payout not received"))))</f>
        <v/>
      </c>
      <c r="O500" s="35" t="n"/>
      <c r="P500" s="1" t="n"/>
      <c r="Q500">
        <f>IF(N(G500)&gt;0,L500/G500,0)</f>
        <v/>
      </c>
      <c r="R500">
        <f>IF(N(G500)&gt;0,N(I500)/G500,0)</f>
        <v/>
      </c>
      <c r="S500">
        <f>IF(OR($E500="",$F500=""),0,MAX(0,MIN($F500,DATE(Dashboard!$C$4,2,1))-MAX($E500,DATE(Dashboard!$C$4,1,1))))</f>
        <v/>
      </c>
      <c r="T500">
        <f>IF(OR($E500="",$F500=""),0,MAX(0,MIN($F500,DATE(Dashboard!$C$4,3,1))-MAX($E500,DATE(Dashboard!$C$4,2,1))))</f>
        <v/>
      </c>
      <c r="U500">
        <f>IF(OR($E500="",$F500=""),0,MAX(0,MIN($F500,DATE(Dashboard!$C$4,4,1))-MAX($E500,DATE(Dashboard!$C$4,3,1))))</f>
        <v/>
      </c>
      <c r="V500">
        <f>IF(OR($E500="",$F500=""),0,MAX(0,MIN($F500,DATE(Dashboard!$C$4,5,1))-MAX($E500,DATE(Dashboard!$C$4,4,1))))</f>
        <v/>
      </c>
      <c r="W500">
        <f>IF(OR($E500="",$F500=""),0,MAX(0,MIN($F500,DATE(Dashboard!$C$4,6,1))-MAX($E500,DATE(Dashboard!$C$4,5,1))))</f>
        <v/>
      </c>
      <c r="X500">
        <f>IF(OR($E500="",$F500=""),0,MAX(0,MIN($F500,DATE(Dashboard!$C$4,7,1))-MAX($E500,DATE(Dashboard!$C$4,6,1))))</f>
        <v/>
      </c>
      <c r="Y500">
        <f>IF(OR($E500="",$F500=""),0,MAX(0,MIN($F500,DATE(Dashboard!$C$4,8,1))-MAX($E500,DATE(Dashboard!$C$4,7,1))))</f>
        <v/>
      </c>
      <c r="Z500">
        <f>IF(OR($E500="",$F500=""),0,MAX(0,MIN($F500,DATE(Dashboard!$C$4,9,1))-MAX($E500,DATE(Dashboard!$C$4,8,1))))</f>
        <v/>
      </c>
      <c r="AA500">
        <f>IF(OR($E500="",$F500=""),0,MAX(0,MIN($F500,DATE(Dashboard!$C$4,10,1))-MAX($E500,DATE(Dashboard!$C$4,9,1))))</f>
        <v/>
      </c>
      <c r="AB500">
        <f>IF(OR($E500="",$F500=""),0,MAX(0,MIN($F500,DATE(Dashboard!$C$4,11,1))-MAX($E500,DATE(Dashboard!$C$4,10,1))))</f>
        <v/>
      </c>
      <c r="AC500">
        <f>IF(OR($E500="",$F500=""),0,MAX(0,MIN($F500,DATE(Dashboard!$C$4,12,1))-MAX($E500,DATE(Dashboard!$C$4,11,1))))</f>
        <v/>
      </c>
      <c r="AD500">
        <f>IF(OR($E500="",$F500=""),0,MAX(0,MIN($F500,DATE(Dashboard!$C$4,13,1))-MAX($E500,DATE(Dashboard!$C$4,12,1))))</f>
        <v/>
      </c>
      <c r="AE500">
        <f>SUM(S500:AD500)</f>
        <v/>
      </c>
      <c r="AF500">
        <f>Q500*AE500</f>
        <v/>
      </c>
      <c r="AG500">
        <f>R500*AE500</f>
        <v/>
      </c>
      <c r="AH500">
        <f>SUMPRODUCT(S500:AD500,--(COLUMN(S500:AD500)-COLUMN(S500)+1&lt;=Dashboard!$N$1))</f>
        <v/>
      </c>
      <c r="AI500">
        <f>IF(OR(E500="",E500&lt;TODAY()),"",E500+ROW()/100000)</f>
        <v/>
      </c>
      <c r="AJ500">
        <f>IF(OR(F500="",F500&lt;TODAY()),"",F500+ROW()/100000)</f>
        <v/>
      </c>
    </row>
    <row r="501">
      <c r="A501" s="1" t="n"/>
      <c r="B501" s="35" t="n"/>
      <c r="C501" s="35" t="n"/>
      <c r="D501" s="35" t="n"/>
      <c r="E501" s="36" t="n"/>
      <c r="F501" s="36" t="n"/>
      <c r="G501" s="18">
        <f>IF(OR(E501="",F501=""),"",F501-E501)</f>
        <v/>
      </c>
      <c r="H501" s="37" t="n"/>
      <c r="I501" s="38" t="n"/>
      <c r="J501" s="38" t="n"/>
      <c r="K501" s="38" t="n"/>
      <c r="L501" s="31">
        <f>IF(E501="","",N(I501)+N(J501)-N(K501))</f>
        <v/>
      </c>
      <c r="M501" s="39" t="n"/>
      <c r="N501" s="27">
        <f>IF(E501="","",IF(TODAY()&lt;E501,"Upcoming",IF(TODAY()&lt;F501,"Staying now",IF(M501="Yes","Checked out","Payout not received"))))</f>
        <v/>
      </c>
      <c r="O501" s="35" t="n"/>
      <c r="P501" s="1" t="n"/>
      <c r="Q501">
        <f>IF(N(G501)&gt;0,L501/G501,0)</f>
        <v/>
      </c>
      <c r="R501">
        <f>IF(N(G501)&gt;0,N(I501)/G501,0)</f>
        <v/>
      </c>
      <c r="S501">
        <f>IF(OR($E501="",$F501=""),0,MAX(0,MIN($F501,DATE(Dashboard!$C$4,2,1))-MAX($E501,DATE(Dashboard!$C$4,1,1))))</f>
        <v/>
      </c>
      <c r="T501">
        <f>IF(OR($E501="",$F501=""),0,MAX(0,MIN($F501,DATE(Dashboard!$C$4,3,1))-MAX($E501,DATE(Dashboard!$C$4,2,1))))</f>
        <v/>
      </c>
      <c r="U501">
        <f>IF(OR($E501="",$F501=""),0,MAX(0,MIN($F501,DATE(Dashboard!$C$4,4,1))-MAX($E501,DATE(Dashboard!$C$4,3,1))))</f>
        <v/>
      </c>
      <c r="V501">
        <f>IF(OR($E501="",$F501=""),0,MAX(0,MIN($F501,DATE(Dashboard!$C$4,5,1))-MAX($E501,DATE(Dashboard!$C$4,4,1))))</f>
        <v/>
      </c>
      <c r="W501">
        <f>IF(OR($E501="",$F501=""),0,MAX(0,MIN($F501,DATE(Dashboard!$C$4,6,1))-MAX($E501,DATE(Dashboard!$C$4,5,1))))</f>
        <v/>
      </c>
      <c r="X501">
        <f>IF(OR($E501="",$F501=""),0,MAX(0,MIN($F501,DATE(Dashboard!$C$4,7,1))-MAX($E501,DATE(Dashboard!$C$4,6,1))))</f>
        <v/>
      </c>
      <c r="Y501">
        <f>IF(OR($E501="",$F501=""),0,MAX(0,MIN($F501,DATE(Dashboard!$C$4,8,1))-MAX($E501,DATE(Dashboard!$C$4,7,1))))</f>
        <v/>
      </c>
      <c r="Z501">
        <f>IF(OR($E501="",$F501=""),0,MAX(0,MIN($F501,DATE(Dashboard!$C$4,9,1))-MAX($E501,DATE(Dashboard!$C$4,8,1))))</f>
        <v/>
      </c>
      <c r="AA501">
        <f>IF(OR($E501="",$F501=""),0,MAX(0,MIN($F501,DATE(Dashboard!$C$4,10,1))-MAX($E501,DATE(Dashboard!$C$4,9,1))))</f>
        <v/>
      </c>
      <c r="AB501">
        <f>IF(OR($E501="",$F501=""),0,MAX(0,MIN($F501,DATE(Dashboard!$C$4,11,1))-MAX($E501,DATE(Dashboard!$C$4,10,1))))</f>
        <v/>
      </c>
      <c r="AC501">
        <f>IF(OR($E501="",$F501=""),0,MAX(0,MIN($F501,DATE(Dashboard!$C$4,12,1))-MAX($E501,DATE(Dashboard!$C$4,11,1))))</f>
        <v/>
      </c>
      <c r="AD501">
        <f>IF(OR($E501="",$F501=""),0,MAX(0,MIN($F501,DATE(Dashboard!$C$4,13,1))-MAX($E501,DATE(Dashboard!$C$4,12,1))))</f>
        <v/>
      </c>
      <c r="AE501">
        <f>SUM(S501:AD501)</f>
        <v/>
      </c>
      <c r="AF501">
        <f>Q501*AE501</f>
        <v/>
      </c>
      <c r="AG501">
        <f>R501*AE501</f>
        <v/>
      </c>
      <c r="AH501">
        <f>SUMPRODUCT(S501:AD501,--(COLUMN(S501:AD501)-COLUMN(S501)+1&lt;=Dashboard!$N$1))</f>
        <v/>
      </c>
      <c r="AI501">
        <f>IF(OR(E501="",E501&lt;TODAY()),"",E501+ROW()/100000)</f>
        <v/>
      </c>
      <c r="AJ501">
        <f>IF(OR(F501="",F501&lt;TODAY()),"",F501+ROW()/100000)</f>
        <v/>
      </c>
    </row>
    <row r="502">
      <c r="A502" s="1" t="n"/>
      <c r="B502" s="35" t="n"/>
      <c r="C502" s="35" t="n"/>
      <c r="D502" s="35" t="n"/>
      <c r="E502" s="36" t="n"/>
      <c r="F502" s="36" t="n"/>
      <c r="G502" s="18">
        <f>IF(OR(E502="",F502=""),"",F502-E502)</f>
        <v/>
      </c>
      <c r="H502" s="37" t="n"/>
      <c r="I502" s="38" t="n"/>
      <c r="J502" s="38" t="n"/>
      <c r="K502" s="38" t="n"/>
      <c r="L502" s="31">
        <f>IF(E502="","",N(I502)+N(J502)-N(K502))</f>
        <v/>
      </c>
      <c r="M502" s="39" t="n"/>
      <c r="N502" s="27">
        <f>IF(E502="","",IF(TODAY()&lt;E502,"Upcoming",IF(TODAY()&lt;F502,"Staying now",IF(M502="Yes","Checked out","Payout not received"))))</f>
        <v/>
      </c>
      <c r="O502" s="35" t="n"/>
      <c r="P502" s="1" t="n"/>
      <c r="Q502">
        <f>IF(N(G502)&gt;0,L502/G502,0)</f>
        <v/>
      </c>
      <c r="R502">
        <f>IF(N(G502)&gt;0,N(I502)/G502,0)</f>
        <v/>
      </c>
      <c r="S502">
        <f>IF(OR($E502="",$F502=""),0,MAX(0,MIN($F502,DATE(Dashboard!$C$4,2,1))-MAX($E502,DATE(Dashboard!$C$4,1,1))))</f>
        <v/>
      </c>
      <c r="T502">
        <f>IF(OR($E502="",$F502=""),0,MAX(0,MIN($F502,DATE(Dashboard!$C$4,3,1))-MAX($E502,DATE(Dashboard!$C$4,2,1))))</f>
        <v/>
      </c>
      <c r="U502">
        <f>IF(OR($E502="",$F502=""),0,MAX(0,MIN($F502,DATE(Dashboard!$C$4,4,1))-MAX($E502,DATE(Dashboard!$C$4,3,1))))</f>
        <v/>
      </c>
      <c r="V502">
        <f>IF(OR($E502="",$F502=""),0,MAX(0,MIN($F502,DATE(Dashboard!$C$4,5,1))-MAX($E502,DATE(Dashboard!$C$4,4,1))))</f>
        <v/>
      </c>
      <c r="W502">
        <f>IF(OR($E502="",$F502=""),0,MAX(0,MIN($F502,DATE(Dashboard!$C$4,6,1))-MAX($E502,DATE(Dashboard!$C$4,5,1))))</f>
        <v/>
      </c>
      <c r="X502">
        <f>IF(OR($E502="",$F502=""),0,MAX(0,MIN($F502,DATE(Dashboard!$C$4,7,1))-MAX($E502,DATE(Dashboard!$C$4,6,1))))</f>
        <v/>
      </c>
      <c r="Y502">
        <f>IF(OR($E502="",$F502=""),0,MAX(0,MIN($F502,DATE(Dashboard!$C$4,8,1))-MAX($E502,DATE(Dashboard!$C$4,7,1))))</f>
        <v/>
      </c>
      <c r="Z502">
        <f>IF(OR($E502="",$F502=""),0,MAX(0,MIN($F502,DATE(Dashboard!$C$4,9,1))-MAX($E502,DATE(Dashboard!$C$4,8,1))))</f>
        <v/>
      </c>
      <c r="AA502">
        <f>IF(OR($E502="",$F502=""),0,MAX(0,MIN($F502,DATE(Dashboard!$C$4,10,1))-MAX($E502,DATE(Dashboard!$C$4,9,1))))</f>
        <v/>
      </c>
      <c r="AB502">
        <f>IF(OR($E502="",$F502=""),0,MAX(0,MIN($F502,DATE(Dashboard!$C$4,11,1))-MAX($E502,DATE(Dashboard!$C$4,10,1))))</f>
        <v/>
      </c>
      <c r="AC502">
        <f>IF(OR($E502="",$F502=""),0,MAX(0,MIN($F502,DATE(Dashboard!$C$4,12,1))-MAX($E502,DATE(Dashboard!$C$4,11,1))))</f>
        <v/>
      </c>
      <c r="AD502">
        <f>IF(OR($E502="",$F502=""),0,MAX(0,MIN($F502,DATE(Dashboard!$C$4,13,1))-MAX($E502,DATE(Dashboard!$C$4,12,1))))</f>
        <v/>
      </c>
      <c r="AE502">
        <f>SUM(S502:AD502)</f>
        <v/>
      </c>
      <c r="AF502">
        <f>Q502*AE502</f>
        <v/>
      </c>
      <c r="AG502">
        <f>R502*AE502</f>
        <v/>
      </c>
      <c r="AH502">
        <f>SUMPRODUCT(S502:AD502,--(COLUMN(S502:AD502)-COLUMN(S502)+1&lt;=Dashboard!$N$1))</f>
        <v/>
      </c>
      <c r="AI502">
        <f>IF(OR(E502="",E502&lt;TODAY()),"",E502+ROW()/100000)</f>
        <v/>
      </c>
      <c r="AJ502">
        <f>IF(OR(F502="",F502&lt;TODAY()),"",F502+ROW()/100000)</f>
        <v/>
      </c>
    </row>
    <row r="503">
      <c r="A503" s="1" t="n"/>
      <c r="B503" s="35" t="n"/>
      <c r="C503" s="35" t="n"/>
      <c r="D503" s="35" t="n"/>
      <c r="E503" s="36" t="n"/>
      <c r="F503" s="36" t="n"/>
      <c r="G503" s="18">
        <f>IF(OR(E503="",F503=""),"",F503-E503)</f>
        <v/>
      </c>
      <c r="H503" s="37" t="n"/>
      <c r="I503" s="38" t="n"/>
      <c r="J503" s="38" t="n"/>
      <c r="K503" s="38" t="n"/>
      <c r="L503" s="31">
        <f>IF(E503="","",N(I503)+N(J503)-N(K503))</f>
        <v/>
      </c>
      <c r="M503" s="39" t="n"/>
      <c r="N503" s="27">
        <f>IF(E503="","",IF(TODAY()&lt;E503,"Upcoming",IF(TODAY()&lt;F503,"Staying now",IF(M503="Yes","Checked out","Payout not received"))))</f>
        <v/>
      </c>
      <c r="O503" s="35" t="n"/>
      <c r="P503" s="1" t="n"/>
      <c r="Q503">
        <f>IF(N(G503)&gt;0,L503/G503,0)</f>
        <v/>
      </c>
      <c r="R503">
        <f>IF(N(G503)&gt;0,N(I503)/G503,0)</f>
        <v/>
      </c>
      <c r="S503">
        <f>IF(OR($E503="",$F503=""),0,MAX(0,MIN($F503,DATE(Dashboard!$C$4,2,1))-MAX($E503,DATE(Dashboard!$C$4,1,1))))</f>
        <v/>
      </c>
      <c r="T503">
        <f>IF(OR($E503="",$F503=""),0,MAX(0,MIN($F503,DATE(Dashboard!$C$4,3,1))-MAX($E503,DATE(Dashboard!$C$4,2,1))))</f>
        <v/>
      </c>
      <c r="U503">
        <f>IF(OR($E503="",$F503=""),0,MAX(0,MIN($F503,DATE(Dashboard!$C$4,4,1))-MAX($E503,DATE(Dashboard!$C$4,3,1))))</f>
        <v/>
      </c>
      <c r="V503">
        <f>IF(OR($E503="",$F503=""),0,MAX(0,MIN($F503,DATE(Dashboard!$C$4,5,1))-MAX($E503,DATE(Dashboard!$C$4,4,1))))</f>
        <v/>
      </c>
      <c r="W503">
        <f>IF(OR($E503="",$F503=""),0,MAX(0,MIN($F503,DATE(Dashboard!$C$4,6,1))-MAX($E503,DATE(Dashboard!$C$4,5,1))))</f>
        <v/>
      </c>
      <c r="X503">
        <f>IF(OR($E503="",$F503=""),0,MAX(0,MIN($F503,DATE(Dashboard!$C$4,7,1))-MAX($E503,DATE(Dashboard!$C$4,6,1))))</f>
        <v/>
      </c>
      <c r="Y503">
        <f>IF(OR($E503="",$F503=""),0,MAX(0,MIN($F503,DATE(Dashboard!$C$4,8,1))-MAX($E503,DATE(Dashboard!$C$4,7,1))))</f>
        <v/>
      </c>
      <c r="Z503">
        <f>IF(OR($E503="",$F503=""),0,MAX(0,MIN($F503,DATE(Dashboard!$C$4,9,1))-MAX($E503,DATE(Dashboard!$C$4,8,1))))</f>
        <v/>
      </c>
      <c r="AA503">
        <f>IF(OR($E503="",$F503=""),0,MAX(0,MIN($F503,DATE(Dashboard!$C$4,10,1))-MAX($E503,DATE(Dashboard!$C$4,9,1))))</f>
        <v/>
      </c>
      <c r="AB503">
        <f>IF(OR($E503="",$F503=""),0,MAX(0,MIN($F503,DATE(Dashboard!$C$4,11,1))-MAX($E503,DATE(Dashboard!$C$4,10,1))))</f>
        <v/>
      </c>
      <c r="AC503">
        <f>IF(OR($E503="",$F503=""),0,MAX(0,MIN($F503,DATE(Dashboard!$C$4,12,1))-MAX($E503,DATE(Dashboard!$C$4,11,1))))</f>
        <v/>
      </c>
      <c r="AD503">
        <f>IF(OR($E503="",$F503=""),0,MAX(0,MIN($F503,DATE(Dashboard!$C$4,13,1))-MAX($E503,DATE(Dashboard!$C$4,12,1))))</f>
        <v/>
      </c>
      <c r="AE503">
        <f>SUM(S503:AD503)</f>
        <v/>
      </c>
      <c r="AF503">
        <f>Q503*AE503</f>
        <v/>
      </c>
      <c r="AG503">
        <f>R503*AE503</f>
        <v/>
      </c>
      <c r="AH503">
        <f>SUMPRODUCT(S503:AD503,--(COLUMN(S503:AD503)-COLUMN(S503)+1&lt;=Dashboard!$N$1))</f>
        <v/>
      </c>
      <c r="AI503">
        <f>IF(OR(E503="",E503&lt;TODAY()),"",E503+ROW()/100000)</f>
        <v/>
      </c>
      <c r="AJ503">
        <f>IF(OR(F503="",F503&lt;TODAY()),"",F503+ROW()/100000)</f>
        <v/>
      </c>
    </row>
    <row r="504">
      <c r="A504" s="1" t="n"/>
      <c r="B504" s="35" t="n"/>
      <c r="C504" s="35" t="n"/>
      <c r="D504" s="35" t="n"/>
      <c r="E504" s="36" t="n"/>
      <c r="F504" s="36" t="n"/>
      <c r="G504" s="18">
        <f>IF(OR(E504="",F504=""),"",F504-E504)</f>
        <v/>
      </c>
      <c r="H504" s="37" t="n"/>
      <c r="I504" s="38" t="n"/>
      <c r="J504" s="38" t="n"/>
      <c r="K504" s="38" t="n"/>
      <c r="L504" s="31">
        <f>IF(E504="","",N(I504)+N(J504)-N(K504))</f>
        <v/>
      </c>
      <c r="M504" s="39" t="n"/>
      <c r="N504" s="27">
        <f>IF(E504="","",IF(TODAY()&lt;E504,"Upcoming",IF(TODAY()&lt;F504,"Staying now",IF(M504="Yes","Checked out","Payout not received"))))</f>
        <v/>
      </c>
      <c r="O504" s="35" t="n"/>
      <c r="P504" s="1" t="n"/>
      <c r="Q504">
        <f>IF(N(G504)&gt;0,L504/G504,0)</f>
        <v/>
      </c>
      <c r="R504">
        <f>IF(N(G504)&gt;0,N(I504)/G504,0)</f>
        <v/>
      </c>
      <c r="S504">
        <f>IF(OR($E504="",$F504=""),0,MAX(0,MIN($F504,DATE(Dashboard!$C$4,2,1))-MAX($E504,DATE(Dashboard!$C$4,1,1))))</f>
        <v/>
      </c>
      <c r="T504">
        <f>IF(OR($E504="",$F504=""),0,MAX(0,MIN($F504,DATE(Dashboard!$C$4,3,1))-MAX($E504,DATE(Dashboard!$C$4,2,1))))</f>
        <v/>
      </c>
      <c r="U504">
        <f>IF(OR($E504="",$F504=""),0,MAX(0,MIN($F504,DATE(Dashboard!$C$4,4,1))-MAX($E504,DATE(Dashboard!$C$4,3,1))))</f>
        <v/>
      </c>
      <c r="V504">
        <f>IF(OR($E504="",$F504=""),0,MAX(0,MIN($F504,DATE(Dashboard!$C$4,5,1))-MAX($E504,DATE(Dashboard!$C$4,4,1))))</f>
        <v/>
      </c>
      <c r="W504">
        <f>IF(OR($E504="",$F504=""),0,MAX(0,MIN($F504,DATE(Dashboard!$C$4,6,1))-MAX($E504,DATE(Dashboard!$C$4,5,1))))</f>
        <v/>
      </c>
      <c r="X504">
        <f>IF(OR($E504="",$F504=""),0,MAX(0,MIN($F504,DATE(Dashboard!$C$4,7,1))-MAX($E504,DATE(Dashboard!$C$4,6,1))))</f>
        <v/>
      </c>
      <c r="Y504">
        <f>IF(OR($E504="",$F504=""),0,MAX(0,MIN($F504,DATE(Dashboard!$C$4,8,1))-MAX($E504,DATE(Dashboard!$C$4,7,1))))</f>
        <v/>
      </c>
      <c r="Z504">
        <f>IF(OR($E504="",$F504=""),0,MAX(0,MIN($F504,DATE(Dashboard!$C$4,9,1))-MAX($E504,DATE(Dashboard!$C$4,8,1))))</f>
        <v/>
      </c>
      <c r="AA504">
        <f>IF(OR($E504="",$F504=""),0,MAX(0,MIN($F504,DATE(Dashboard!$C$4,10,1))-MAX($E504,DATE(Dashboard!$C$4,9,1))))</f>
        <v/>
      </c>
      <c r="AB504">
        <f>IF(OR($E504="",$F504=""),0,MAX(0,MIN($F504,DATE(Dashboard!$C$4,11,1))-MAX($E504,DATE(Dashboard!$C$4,10,1))))</f>
        <v/>
      </c>
      <c r="AC504">
        <f>IF(OR($E504="",$F504=""),0,MAX(0,MIN($F504,DATE(Dashboard!$C$4,12,1))-MAX($E504,DATE(Dashboard!$C$4,11,1))))</f>
        <v/>
      </c>
      <c r="AD504">
        <f>IF(OR($E504="",$F504=""),0,MAX(0,MIN($F504,DATE(Dashboard!$C$4,13,1))-MAX($E504,DATE(Dashboard!$C$4,12,1))))</f>
        <v/>
      </c>
      <c r="AE504">
        <f>SUM(S504:AD504)</f>
        <v/>
      </c>
      <c r="AF504">
        <f>Q504*AE504</f>
        <v/>
      </c>
      <c r="AG504">
        <f>R504*AE504</f>
        <v/>
      </c>
      <c r="AH504">
        <f>SUMPRODUCT(S504:AD504,--(COLUMN(S504:AD504)-COLUMN(S504)+1&lt;=Dashboard!$N$1))</f>
        <v/>
      </c>
      <c r="AI504">
        <f>IF(OR(E504="",E504&lt;TODAY()),"",E504+ROW()/100000)</f>
        <v/>
      </c>
      <c r="AJ504">
        <f>IF(OR(F504="",F504&lt;TODAY()),"",F504+ROW()/100000)</f>
        <v/>
      </c>
    </row>
    <row r="505">
      <c r="A505" s="1" t="n"/>
      <c r="B505" s="35" t="n"/>
      <c r="C505" s="35" t="n"/>
      <c r="D505" s="35" t="n"/>
      <c r="E505" s="36" t="n"/>
      <c r="F505" s="36" t="n"/>
      <c r="G505" s="18">
        <f>IF(OR(E505="",F505=""),"",F505-E505)</f>
        <v/>
      </c>
      <c r="H505" s="37" t="n"/>
      <c r="I505" s="38" t="n"/>
      <c r="J505" s="38" t="n"/>
      <c r="K505" s="38" t="n"/>
      <c r="L505" s="31">
        <f>IF(E505="","",N(I505)+N(J505)-N(K505))</f>
        <v/>
      </c>
      <c r="M505" s="39" t="n"/>
      <c r="N505" s="27">
        <f>IF(E505="","",IF(TODAY()&lt;E505,"Upcoming",IF(TODAY()&lt;F505,"Staying now",IF(M505="Yes","Checked out","Payout not received"))))</f>
        <v/>
      </c>
      <c r="O505" s="35" t="n"/>
      <c r="P505" s="1" t="n"/>
      <c r="Q505">
        <f>IF(N(G505)&gt;0,L505/G505,0)</f>
        <v/>
      </c>
      <c r="R505">
        <f>IF(N(G505)&gt;0,N(I505)/G505,0)</f>
        <v/>
      </c>
      <c r="S505">
        <f>IF(OR($E505="",$F505=""),0,MAX(0,MIN($F505,DATE(Dashboard!$C$4,2,1))-MAX($E505,DATE(Dashboard!$C$4,1,1))))</f>
        <v/>
      </c>
      <c r="T505">
        <f>IF(OR($E505="",$F505=""),0,MAX(0,MIN($F505,DATE(Dashboard!$C$4,3,1))-MAX($E505,DATE(Dashboard!$C$4,2,1))))</f>
        <v/>
      </c>
      <c r="U505">
        <f>IF(OR($E505="",$F505=""),0,MAX(0,MIN($F505,DATE(Dashboard!$C$4,4,1))-MAX($E505,DATE(Dashboard!$C$4,3,1))))</f>
        <v/>
      </c>
      <c r="V505">
        <f>IF(OR($E505="",$F505=""),0,MAX(0,MIN($F505,DATE(Dashboard!$C$4,5,1))-MAX($E505,DATE(Dashboard!$C$4,4,1))))</f>
        <v/>
      </c>
      <c r="W505">
        <f>IF(OR($E505="",$F505=""),0,MAX(0,MIN($F505,DATE(Dashboard!$C$4,6,1))-MAX($E505,DATE(Dashboard!$C$4,5,1))))</f>
        <v/>
      </c>
      <c r="X505">
        <f>IF(OR($E505="",$F505=""),0,MAX(0,MIN($F505,DATE(Dashboard!$C$4,7,1))-MAX($E505,DATE(Dashboard!$C$4,6,1))))</f>
        <v/>
      </c>
      <c r="Y505">
        <f>IF(OR($E505="",$F505=""),0,MAX(0,MIN($F505,DATE(Dashboard!$C$4,8,1))-MAX($E505,DATE(Dashboard!$C$4,7,1))))</f>
        <v/>
      </c>
      <c r="Z505">
        <f>IF(OR($E505="",$F505=""),0,MAX(0,MIN($F505,DATE(Dashboard!$C$4,9,1))-MAX($E505,DATE(Dashboard!$C$4,8,1))))</f>
        <v/>
      </c>
      <c r="AA505">
        <f>IF(OR($E505="",$F505=""),0,MAX(0,MIN($F505,DATE(Dashboard!$C$4,10,1))-MAX($E505,DATE(Dashboard!$C$4,9,1))))</f>
        <v/>
      </c>
      <c r="AB505">
        <f>IF(OR($E505="",$F505=""),0,MAX(0,MIN($F505,DATE(Dashboard!$C$4,11,1))-MAX($E505,DATE(Dashboard!$C$4,10,1))))</f>
        <v/>
      </c>
      <c r="AC505">
        <f>IF(OR($E505="",$F505=""),0,MAX(0,MIN($F505,DATE(Dashboard!$C$4,12,1))-MAX($E505,DATE(Dashboard!$C$4,11,1))))</f>
        <v/>
      </c>
      <c r="AD505">
        <f>IF(OR($E505="",$F505=""),0,MAX(0,MIN($F505,DATE(Dashboard!$C$4,13,1))-MAX($E505,DATE(Dashboard!$C$4,12,1))))</f>
        <v/>
      </c>
      <c r="AE505">
        <f>SUM(S505:AD505)</f>
        <v/>
      </c>
      <c r="AF505">
        <f>Q505*AE505</f>
        <v/>
      </c>
      <c r="AG505">
        <f>R505*AE505</f>
        <v/>
      </c>
      <c r="AH505">
        <f>SUMPRODUCT(S505:AD505,--(COLUMN(S505:AD505)-COLUMN(S505)+1&lt;=Dashboard!$N$1))</f>
        <v/>
      </c>
      <c r="AI505">
        <f>IF(OR(E505="",E505&lt;TODAY()),"",E505+ROW()/100000)</f>
        <v/>
      </c>
      <c r="AJ505">
        <f>IF(OR(F505="",F505&lt;TODAY()),"",F505+ROW()/100000)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</row>
  </sheetData>
  <conditionalFormatting sqref="N6:N505">
    <cfRule type="expression" priority="1" dxfId="3">
      <formula>$N6="Upcoming"</formula>
    </cfRule>
    <cfRule type="expression" priority="2" dxfId="4">
      <formula>$N6="Staying now"</formula>
    </cfRule>
    <cfRule type="expression" priority="3" dxfId="5">
      <formula>$N6="Payout not received"</formula>
    </cfRule>
  </conditionalFormatting>
  <dataValidations count="3">
    <dataValidation sqref="B6:B505" showDropDown="0" showInputMessage="0" showErrorMessage="0" allowBlank="1" type="list">
      <formula1>=Settings!$B$6:$B$11</formula1>
    </dataValidation>
    <dataValidation sqref="D6:D505" showDropDown="0" showInputMessage="0" showErrorMessage="0" allowBlank="1" type="list">
      <formula1>"Airbnb,Vrbo,Booking.com,Direct,Other"</formula1>
    </dataValidation>
    <dataValidation sqref="M6:M5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8" customWidth="1" min="4" max="4"/>
    <col width="12" customWidth="1" min="5" max="5"/>
    <col width="3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Expenses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One line per cost. Choose Shared for costs that are not for one property.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5" t="inlineStr">
        <is>
          <t>Date</t>
        </is>
      </c>
      <c r="C5" s="15" t="inlineStr">
        <is>
          <t>Property</t>
        </is>
      </c>
      <c r="D5" s="15" t="inlineStr">
        <is>
          <t>Category</t>
        </is>
      </c>
      <c r="E5" s="15" t="inlineStr">
        <is>
          <t>Amount</t>
        </is>
      </c>
      <c r="F5" s="15" t="inlineStr">
        <is>
          <t>Note</t>
        </is>
      </c>
      <c r="G5" s="1" t="n"/>
    </row>
    <row r="6">
      <c r="A6" s="1" t="n"/>
      <c r="B6" s="36" t="n">
        <v>46032</v>
      </c>
      <c r="C6" s="35" t="inlineStr">
        <is>
          <t>Beach apartment</t>
        </is>
      </c>
      <c r="D6" s="35" t="inlineStr">
        <is>
          <t>Utilities</t>
        </is>
      </c>
      <c r="E6" s="38" t="n">
        <v>86</v>
      </c>
      <c r="F6" s="35" t="inlineStr">
        <is>
          <t>Power, water and internet</t>
        </is>
      </c>
      <c r="G6" s="1" t="n"/>
    </row>
    <row r="7">
      <c r="A7" s="1" t="n"/>
      <c r="B7" s="36" t="n">
        <v>46032</v>
      </c>
      <c r="C7" s="35" t="inlineStr">
        <is>
          <t>Mountain cabin</t>
        </is>
      </c>
      <c r="D7" s="35" t="inlineStr">
        <is>
          <t>Utilities</t>
        </is>
      </c>
      <c r="E7" s="38" t="n">
        <v>142</v>
      </c>
      <c r="F7" s="35" t="inlineStr">
        <is>
          <t>Power, water and internet</t>
        </is>
      </c>
      <c r="G7" s="1" t="n"/>
    </row>
    <row r="8">
      <c r="A8" s="1" t="n"/>
      <c r="B8" s="36" t="n">
        <v>46042</v>
      </c>
      <c r="C8" s="35" t="inlineStr">
        <is>
          <t>Shared</t>
        </is>
      </c>
      <c r="D8" s="35" t="inlineStr">
        <is>
          <t>Marketing</t>
        </is>
      </c>
      <c r="E8" s="38" t="n">
        <v>250</v>
      </c>
      <c r="F8" s="35" t="inlineStr">
        <is>
          <t>New listing photos</t>
        </is>
      </c>
      <c r="G8" s="1" t="n"/>
    </row>
    <row r="9">
      <c r="A9" s="1" t="n"/>
      <c r="B9" s="36" t="n">
        <v>46053</v>
      </c>
      <c r="C9" s="35" t="inlineStr">
        <is>
          <t>Beach apartment</t>
        </is>
      </c>
      <c r="D9" s="35" t="inlineStr">
        <is>
          <t>Cleaning</t>
        </is>
      </c>
      <c r="E9" s="38" t="n">
        <v>90</v>
      </c>
      <c r="F9" s="35" t="inlineStr">
        <is>
          <t>Cleaner, 2 stays</t>
        </is>
      </c>
      <c r="G9" s="1" t="n"/>
    </row>
    <row r="10">
      <c r="A10" s="1" t="n"/>
      <c r="B10" s="36" t="n">
        <v>46053</v>
      </c>
      <c r="C10" s="35" t="inlineStr">
        <is>
          <t>Mountain cabin</t>
        </is>
      </c>
      <c r="D10" s="35" t="inlineStr">
        <is>
          <t>Cleaning</t>
        </is>
      </c>
      <c r="E10" s="38" t="n">
        <v>330</v>
      </c>
      <c r="F10" s="35" t="inlineStr">
        <is>
          <t>Cleaner, 6 stays</t>
        </is>
      </c>
      <c r="G10" s="1" t="n"/>
    </row>
    <row r="11">
      <c r="A11" s="1" t="n"/>
      <c r="B11" s="36" t="n">
        <v>46056</v>
      </c>
      <c r="C11" s="35" t="inlineStr">
        <is>
          <t>Shared</t>
        </is>
      </c>
      <c r="D11" s="35" t="inlineStr">
        <is>
          <t>Insurance</t>
        </is>
      </c>
      <c r="E11" s="38" t="n">
        <v>620</v>
      </c>
      <c r="F11" s="35" t="inlineStr">
        <is>
          <t>Insurance for both homes</t>
        </is>
      </c>
      <c r="G11" s="1" t="n"/>
    </row>
    <row r="12">
      <c r="A12" s="1" t="n"/>
      <c r="B12" s="36" t="n">
        <v>46063</v>
      </c>
      <c r="C12" s="35" t="inlineStr">
        <is>
          <t>Beach apartment</t>
        </is>
      </c>
      <c r="D12" s="35" t="inlineStr">
        <is>
          <t>Utilities</t>
        </is>
      </c>
      <c r="E12" s="38" t="n">
        <v>87</v>
      </c>
      <c r="F12" s="35" t="inlineStr">
        <is>
          <t>Power, water and internet</t>
        </is>
      </c>
      <c r="G12" s="1" t="n"/>
    </row>
    <row r="13">
      <c r="A13" s="1" t="n"/>
      <c r="B13" s="36" t="n">
        <v>46063</v>
      </c>
      <c r="C13" s="35" t="inlineStr">
        <is>
          <t>Mountain cabin</t>
        </is>
      </c>
      <c r="D13" s="35" t="inlineStr">
        <is>
          <t>Utilities</t>
        </is>
      </c>
      <c r="E13" s="38" t="n">
        <v>129</v>
      </c>
      <c r="F13" s="35" t="inlineStr">
        <is>
          <t>Power, water and internet</t>
        </is>
      </c>
      <c r="G13" s="1" t="n"/>
    </row>
    <row r="14">
      <c r="A14" s="1" t="n"/>
      <c r="B14" s="36" t="n">
        <v>46068</v>
      </c>
      <c r="C14" s="35" t="inlineStr">
        <is>
          <t>Beach apartment</t>
        </is>
      </c>
      <c r="D14" s="35" t="inlineStr">
        <is>
          <t>Supplies</t>
        </is>
      </c>
      <c r="E14" s="38" t="n">
        <v>56</v>
      </c>
      <c r="F14" s="35" t="inlineStr">
        <is>
          <t>Coffee, soap, paper</t>
        </is>
      </c>
      <c r="G14" s="1" t="n"/>
    </row>
    <row r="15">
      <c r="A15" s="1" t="n"/>
      <c r="B15" s="36" t="n">
        <v>46068</v>
      </c>
      <c r="C15" s="35" t="inlineStr">
        <is>
          <t>Mountain cabin</t>
        </is>
      </c>
      <c r="D15" s="35" t="inlineStr">
        <is>
          <t>Supplies</t>
        </is>
      </c>
      <c r="E15" s="38" t="n">
        <v>82</v>
      </c>
      <c r="F15" s="35" t="inlineStr">
        <is>
          <t>Coffee, soap, paper</t>
        </is>
      </c>
      <c r="G15" s="1" t="n"/>
    </row>
    <row r="16">
      <c r="A16" s="1" t="n"/>
      <c r="B16" s="36" t="n">
        <v>46081</v>
      </c>
      <c r="C16" s="35" t="inlineStr">
        <is>
          <t>Beach apartment</t>
        </is>
      </c>
      <c r="D16" s="35" t="inlineStr">
        <is>
          <t>Cleaning</t>
        </is>
      </c>
      <c r="E16" s="38" t="n">
        <v>90</v>
      </c>
      <c r="F16" s="35" t="inlineStr">
        <is>
          <t>Cleaner, 2 stays</t>
        </is>
      </c>
      <c r="G16" s="1" t="n"/>
    </row>
    <row r="17">
      <c r="A17" s="1" t="n"/>
      <c r="B17" s="36" t="n">
        <v>46081</v>
      </c>
      <c r="C17" s="35" t="inlineStr">
        <is>
          <t>Mountain cabin</t>
        </is>
      </c>
      <c r="D17" s="35" t="inlineStr">
        <is>
          <t>Cleaning</t>
        </is>
      </c>
      <c r="E17" s="38" t="n">
        <v>220</v>
      </c>
      <c r="F17" s="35" t="inlineStr">
        <is>
          <t>Cleaner, 4 stays</t>
        </is>
      </c>
      <c r="G17" s="1" t="n"/>
    </row>
    <row r="18">
      <c r="A18" s="1" t="n"/>
      <c r="B18" s="36" t="n">
        <v>46091</v>
      </c>
      <c r="C18" s="35" t="inlineStr">
        <is>
          <t>Beach apartment</t>
        </is>
      </c>
      <c r="D18" s="35" t="inlineStr">
        <is>
          <t>Utilities</t>
        </is>
      </c>
      <c r="E18" s="38" t="n">
        <v>82</v>
      </c>
      <c r="F18" s="35" t="inlineStr">
        <is>
          <t>Power, water and internet</t>
        </is>
      </c>
      <c r="G18" s="1" t="n"/>
    </row>
    <row r="19">
      <c r="A19" s="1" t="n"/>
      <c r="B19" s="36" t="n">
        <v>46091</v>
      </c>
      <c r="C19" s="35" t="inlineStr">
        <is>
          <t>Mountain cabin</t>
        </is>
      </c>
      <c r="D19" s="35" t="inlineStr">
        <is>
          <t>Utilities</t>
        </is>
      </c>
      <c r="E19" s="38" t="n">
        <v>149</v>
      </c>
      <c r="F19" s="35" t="inlineStr">
        <is>
          <t>Power, water and internet</t>
        </is>
      </c>
      <c r="G19" s="1" t="n"/>
    </row>
    <row r="20">
      <c r="A20" s="1" t="n"/>
      <c r="B20" s="36" t="n">
        <v>46093</v>
      </c>
      <c r="C20" s="35" t="inlineStr">
        <is>
          <t>Mountain cabin</t>
        </is>
      </c>
      <c r="D20" s="35" t="inlineStr">
        <is>
          <t>Repairs</t>
        </is>
      </c>
      <c r="E20" s="38" t="n">
        <v>140</v>
      </c>
      <c r="F20" s="35" t="inlineStr">
        <is>
          <t>Chimney sweep</t>
        </is>
      </c>
      <c r="G20" s="1" t="n"/>
    </row>
    <row r="21">
      <c r="A21" s="1" t="n"/>
      <c r="B21" s="36" t="n">
        <v>46112</v>
      </c>
      <c r="C21" s="35" t="inlineStr">
        <is>
          <t>Beach apartment</t>
        </is>
      </c>
      <c r="D21" s="35" t="inlineStr">
        <is>
          <t>Cleaning</t>
        </is>
      </c>
      <c r="E21" s="38" t="n">
        <v>90</v>
      </c>
      <c r="F21" s="35" t="inlineStr">
        <is>
          <t>Cleaner, 2 stays</t>
        </is>
      </c>
      <c r="G21" s="1" t="n"/>
    </row>
    <row r="22">
      <c r="A22" s="1" t="n"/>
      <c r="B22" s="36" t="n">
        <v>46112</v>
      </c>
      <c r="C22" s="35" t="inlineStr">
        <is>
          <t>Mountain cabin</t>
        </is>
      </c>
      <c r="D22" s="35" t="inlineStr">
        <is>
          <t>Cleaning</t>
        </is>
      </c>
      <c r="E22" s="38" t="n">
        <v>165</v>
      </c>
      <c r="F22" s="35" t="inlineStr">
        <is>
          <t>Cleaner, 3 stays</t>
        </is>
      </c>
      <c r="G22" s="1" t="n"/>
    </row>
    <row r="23">
      <c r="A23" s="1" t="n"/>
      <c r="B23" s="36" t="n">
        <v>46122</v>
      </c>
      <c r="C23" s="35" t="inlineStr">
        <is>
          <t>Beach apartment</t>
        </is>
      </c>
      <c r="D23" s="35" t="inlineStr">
        <is>
          <t>Utilities</t>
        </is>
      </c>
      <c r="E23" s="38" t="n">
        <v>76</v>
      </c>
      <c r="F23" s="35" t="inlineStr">
        <is>
          <t>Power, water and internet</t>
        </is>
      </c>
      <c r="G23" s="1" t="n"/>
    </row>
    <row r="24">
      <c r="A24" s="1" t="n"/>
      <c r="B24" s="36" t="n">
        <v>46122</v>
      </c>
      <c r="C24" s="35" t="inlineStr">
        <is>
          <t>Mountain cabin</t>
        </is>
      </c>
      <c r="D24" s="35" t="inlineStr">
        <is>
          <t>Utilities</t>
        </is>
      </c>
      <c r="E24" s="38" t="n">
        <v>119</v>
      </c>
      <c r="F24" s="35" t="inlineStr">
        <is>
          <t>Power, water and internet</t>
        </is>
      </c>
      <c r="G24" s="1" t="n"/>
    </row>
    <row r="25">
      <c r="A25" s="1" t="n"/>
      <c r="B25" s="36" t="n">
        <v>46127</v>
      </c>
      <c r="C25" s="35" t="inlineStr">
        <is>
          <t>Beach apartment</t>
        </is>
      </c>
      <c r="D25" s="35" t="inlineStr">
        <is>
          <t>Supplies</t>
        </is>
      </c>
      <c r="E25" s="38" t="n">
        <v>59</v>
      </c>
      <c r="F25" s="35" t="inlineStr">
        <is>
          <t>Coffee, soap, paper</t>
        </is>
      </c>
      <c r="G25" s="1" t="n"/>
    </row>
    <row r="26">
      <c r="A26" s="1" t="n"/>
      <c r="B26" s="36" t="n">
        <v>46127</v>
      </c>
      <c r="C26" s="35" t="inlineStr">
        <is>
          <t>Mountain cabin</t>
        </is>
      </c>
      <c r="D26" s="35" t="inlineStr">
        <is>
          <t>Supplies</t>
        </is>
      </c>
      <c r="E26" s="38" t="n">
        <v>74</v>
      </c>
      <c r="F26" s="35" t="inlineStr">
        <is>
          <t>Coffee, soap, paper</t>
        </is>
      </c>
      <c r="G26" s="1" t="n"/>
    </row>
    <row r="27">
      <c r="A27" s="1" t="n"/>
      <c r="B27" s="36" t="n">
        <v>46142</v>
      </c>
      <c r="C27" s="35" t="inlineStr">
        <is>
          <t>Beach apartment</t>
        </is>
      </c>
      <c r="D27" s="35" t="inlineStr">
        <is>
          <t>Cleaning</t>
        </is>
      </c>
      <c r="E27" s="38" t="n">
        <v>180</v>
      </c>
      <c r="F27" s="35" t="inlineStr">
        <is>
          <t>Cleaner, 4 stays</t>
        </is>
      </c>
      <c r="G27" s="1" t="n"/>
    </row>
    <row r="28">
      <c r="A28" s="1" t="n"/>
      <c r="B28" s="36" t="n">
        <v>46142</v>
      </c>
      <c r="C28" s="35" t="inlineStr">
        <is>
          <t>Mountain cabin</t>
        </is>
      </c>
      <c r="D28" s="35" t="inlineStr">
        <is>
          <t>Cleaning</t>
        </is>
      </c>
      <c r="E28" s="38" t="n">
        <v>220</v>
      </c>
      <c r="F28" s="35" t="inlineStr">
        <is>
          <t>Cleaner, 4 stays</t>
        </is>
      </c>
      <c r="G28" s="1" t="n"/>
    </row>
    <row r="29">
      <c r="A29" s="1" t="n"/>
      <c r="B29" s="36" t="n">
        <v>46150</v>
      </c>
      <c r="C29" s="35" t="inlineStr">
        <is>
          <t>Beach apartment</t>
        </is>
      </c>
      <c r="D29" s="35" t="inlineStr">
        <is>
          <t>Furnishing</t>
        </is>
      </c>
      <c r="E29" s="38" t="n">
        <v>320</v>
      </c>
      <c r="F29" s="35" t="inlineStr">
        <is>
          <t>New sofa bed</t>
        </is>
      </c>
      <c r="G29" s="1" t="n"/>
    </row>
    <row r="30">
      <c r="A30" s="1" t="n"/>
      <c r="B30" s="36" t="n">
        <v>46152</v>
      </c>
      <c r="C30" s="35" t="inlineStr">
        <is>
          <t>Beach apartment</t>
        </is>
      </c>
      <c r="D30" s="35" t="inlineStr">
        <is>
          <t>Utilities</t>
        </is>
      </c>
      <c r="E30" s="38" t="n">
        <v>86</v>
      </c>
      <c r="F30" s="35" t="inlineStr">
        <is>
          <t>Power, water and internet</t>
        </is>
      </c>
      <c r="G30" s="1" t="n"/>
    </row>
    <row r="31">
      <c r="A31" s="1" t="n"/>
      <c r="B31" s="36" t="n">
        <v>46152</v>
      </c>
      <c r="C31" s="35" t="inlineStr">
        <is>
          <t>Mountain cabin</t>
        </is>
      </c>
      <c r="D31" s="35" t="inlineStr">
        <is>
          <t>Utilities</t>
        </is>
      </c>
      <c r="E31" s="38" t="n">
        <v>127</v>
      </c>
      <c r="F31" s="35" t="inlineStr">
        <is>
          <t>Power, water and internet</t>
        </is>
      </c>
      <c r="G31" s="1" t="n"/>
    </row>
    <row r="32">
      <c r="A32" s="1" t="n"/>
      <c r="B32" s="36" t="n">
        <v>46173</v>
      </c>
      <c r="C32" s="35" t="inlineStr">
        <is>
          <t>Beach apartment</t>
        </is>
      </c>
      <c r="D32" s="35" t="inlineStr">
        <is>
          <t>Cleaning</t>
        </is>
      </c>
      <c r="E32" s="38" t="n">
        <v>90</v>
      </c>
      <c r="F32" s="35" t="inlineStr">
        <is>
          <t>Cleaner, 2 stays</t>
        </is>
      </c>
      <c r="G32" s="1" t="n"/>
    </row>
    <row r="33">
      <c r="A33" s="1" t="n"/>
      <c r="B33" s="36" t="n">
        <v>46173</v>
      </c>
      <c r="C33" s="35" t="inlineStr">
        <is>
          <t>Mountain cabin</t>
        </is>
      </c>
      <c r="D33" s="35" t="inlineStr">
        <is>
          <t>Cleaning</t>
        </is>
      </c>
      <c r="E33" s="38" t="n">
        <v>165</v>
      </c>
      <c r="F33" s="35" t="inlineStr">
        <is>
          <t>Cleaner, 3 stays</t>
        </is>
      </c>
      <c r="G33" s="1" t="n"/>
    </row>
    <row r="34">
      <c r="A34" s="1" t="n"/>
      <c r="B34" s="36" t="n">
        <v>46183</v>
      </c>
      <c r="C34" s="35" t="inlineStr">
        <is>
          <t>Beach apartment</t>
        </is>
      </c>
      <c r="D34" s="35" t="inlineStr">
        <is>
          <t>Utilities</t>
        </is>
      </c>
      <c r="E34" s="38" t="n">
        <v>88</v>
      </c>
      <c r="F34" s="35" t="inlineStr">
        <is>
          <t>Power, water and internet</t>
        </is>
      </c>
      <c r="G34" s="1" t="n"/>
    </row>
    <row r="35">
      <c r="A35" s="1" t="n"/>
      <c r="B35" s="36" t="n">
        <v>46183</v>
      </c>
      <c r="C35" s="35" t="inlineStr">
        <is>
          <t>Mountain cabin</t>
        </is>
      </c>
      <c r="D35" s="35" t="inlineStr">
        <is>
          <t>Utilities</t>
        </is>
      </c>
      <c r="E35" s="38" t="n">
        <v>122</v>
      </c>
      <c r="F35" s="35" t="inlineStr">
        <is>
          <t>Power, water and internet</t>
        </is>
      </c>
      <c r="G35" s="1" t="n"/>
    </row>
    <row r="36">
      <c r="A36" s="1" t="n"/>
      <c r="B36" s="36" t="n">
        <v>46188</v>
      </c>
      <c r="C36" s="35" t="inlineStr">
        <is>
          <t>Beach apartment</t>
        </is>
      </c>
      <c r="D36" s="35" t="inlineStr">
        <is>
          <t>Supplies</t>
        </is>
      </c>
      <c r="E36" s="38" t="n">
        <v>71</v>
      </c>
      <c r="F36" s="35" t="inlineStr">
        <is>
          <t>Coffee, soap, paper</t>
        </is>
      </c>
      <c r="G36" s="1" t="n"/>
    </row>
    <row r="37">
      <c r="A37" s="1" t="n"/>
      <c r="B37" s="36" t="n">
        <v>46188</v>
      </c>
      <c r="C37" s="35" t="inlineStr">
        <is>
          <t>Mountain cabin</t>
        </is>
      </c>
      <c r="D37" s="35" t="inlineStr">
        <is>
          <t>Supplies</t>
        </is>
      </c>
      <c r="E37" s="38" t="n">
        <v>66</v>
      </c>
      <c r="F37" s="35" t="inlineStr">
        <is>
          <t>Coffee, soap, paper</t>
        </is>
      </c>
      <c r="G37" s="1" t="n"/>
    </row>
    <row r="38">
      <c r="A38" s="1" t="n"/>
      <c r="B38" s="36" t="n">
        <v>46203</v>
      </c>
      <c r="C38" s="35" t="inlineStr">
        <is>
          <t>Beach apartment</t>
        </is>
      </c>
      <c r="D38" s="35" t="inlineStr">
        <is>
          <t>Cleaning</t>
        </is>
      </c>
      <c r="E38" s="38" t="n">
        <v>225</v>
      </c>
      <c r="F38" s="35" t="inlineStr">
        <is>
          <t>Cleaner, 5 stays</t>
        </is>
      </c>
      <c r="G38" s="1" t="n"/>
    </row>
    <row r="39">
      <c r="A39" s="1" t="n"/>
      <c r="B39" s="36" t="n">
        <v>46203</v>
      </c>
      <c r="C39" s="35" t="inlineStr">
        <is>
          <t>Mountain cabin</t>
        </is>
      </c>
      <c r="D39" s="35" t="inlineStr">
        <is>
          <t>Cleaning</t>
        </is>
      </c>
      <c r="E39" s="38" t="n">
        <v>165</v>
      </c>
      <c r="F39" s="35" t="inlineStr">
        <is>
          <t>Cleaner, 3 stays</t>
        </is>
      </c>
      <c r="G39" s="1" t="n"/>
    </row>
    <row r="40">
      <c r="A40" s="1" t="n"/>
      <c r="B40" s="36" t="n">
        <v>46213</v>
      </c>
      <c r="C40" s="35" t="inlineStr">
        <is>
          <t>Beach apartment</t>
        </is>
      </c>
      <c r="D40" s="35" t="inlineStr">
        <is>
          <t>Utilities</t>
        </is>
      </c>
      <c r="E40" s="38" t="n">
        <v>87</v>
      </c>
      <c r="F40" s="35" t="inlineStr">
        <is>
          <t>Power, water and internet</t>
        </is>
      </c>
      <c r="G40" s="1" t="n"/>
    </row>
    <row r="41">
      <c r="A41" s="1" t="n"/>
      <c r="B41" s="36" t="n">
        <v>46213</v>
      </c>
      <c r="C41" s="35" t="inlineStr">
        <is>
          <t>Mountain cabin</t>
        </is>
      </c>
      <c r="D41" s="35" t="inlineStr">
        <is>
          <t>Utilities</t>
        </is>
      </c>
      <c r="E41" s="38" t="n">
        <v>117</v>
      </c>
      <c r="F41" s="35" t="inlineStr">
        <is>
          <t>Power, water and internet</t>
        </is>
      </c>
      <c r="G41" s="1" t="n"/>
    </row>
    <row r="42">
      <c r="A42" s="1" t="n"/>
      <c r="B42" s="36" t="n">
        <v>46224</v>
      </c>
      <c r="C42" s="35" t="inlineStr">
        <is>
          <t>Beach apartment</t>
        </is>
      </c>
      <c r="D42" s="35" t="inlineStr">
        <is>
          <t>Repairs</t>
        </is>
      </c>
      <c r="E42" s="38" t="n">
        <v>180</v>
      </c>
      <c r="F42" s="35" t="inlineStr">
        <is>
          <t>Dishwasher repair</t>
        </is>
      </c>
      <c r="G42" s="1" t="n"/>
    </row>
    <row r="43">
      <c r="A43" s="1" t="n"/>
      <c r="B43" s="36" t="n">
        <v>46234</v>
      </c>
      <c r="C43" s="35" t="inlineStr">
        <is>
          <t>Beach apartment</t>
        </is>
      </c>
      <c r="D43" s="35" t="inlineStr">
        <is>
          <t>Cleaning</t>
        </is>
      </c>
      <c r="E43" s="38" t="n">
        <v>225</v>
      </c>
      <c r="F43" s="35" t="inlineStr">
        <is>
          <t>Cleaner, 5 stays</t>
        </is>
      </c>
      <c r="G43" s="1" t="n"/>
    </row>
    <row r="44">
      <c r="A44" s="1" t="n"/>
      <c r="B44" s="36" t="n">
        <v>46234</v>
      </c>
      <c r="C44" s="35" t="inlineStr">
        <is>
          <t>Mountain cabin</t>
        </is>
      </c>
      <c r="D44" s="35" t="inlineStr">
        <is>
          <t>Cleaning</t>
        </is>
      </c>
      <c r="E44" s="38" t="n">
        <v>110</v>
      </c>
      <c r="F44" s="35" t="inlineStr">
        <is>
          <t>Cleaner, 2 stays</t>
        </is>
      </c>
      <c r="G44" s="1" t="n"/>
    </row>
    <row r="45">
      <c r="A45" s="1" t="n"/>
      <c r="B45" s="36" t="n">
        <v>46234</v>
      </c>
      <c r="C45" s="35" t="inlineStr">
        <is>
          <t>Shared</t>
        </is>
      </c>
      <c r="D45" s="35" t="inlineStr">
        <is>
          <t>Taxes and fees</t>
        </is>
      </c>
      <c r="E45" s="38" t="n">
        <v>410</v>
      </c>
      <c r="F45" s="35" t="inlineStr">
        <is>
          <t>Tourist tax, first half</t>
        </is>
      </c>
      <c r="G45" s="1" t="n"/>
    </row>
    <row r="46">
      <c r="A46" s="1" t="n"/>
      <c r="B46" s="36" t="n">
        <v>46244</v>
      </c>
      <c r="C46" s="35" t="inlineStr">
        <is>
          <t>Beach apartment</t>
        </is>
      </c>
      <c r="D46" s="35" t="inlineStr">
        <is>
          <t>Utilities</t>
        </is>
      </c>
      <c r="E46" s="38" t="n">
        <v>86</v>
      </c>
      <c r="F46" s="35" t="inlineStr">
        <is>
          <t>Power, water and internet</t>
        </is>
      </c>
      <c r="G46" s="1" t="n"/>
    </row>
    <row r="47">
      <c r="A47" s="1" t="n"/>
      <c r="B47" s="36" t="n">
        <v>46244</v>
      </c>
      <c r="C47" s="35" t="inlineStr">
        <is>
          <t>Mountain cabin</t>
        </is>
      </c>
      <c r="D47" s="35" t="inlineStr">
        <is>
          <t>Utilities</t>
        </is>
      </c>
      <c r="E47" s="38" t="n">
        <v>148</v>
      </c>
      <c r="F47" s="35" t="inlineStr">
        <is>
          <t>Power, water and internet</t>
        </is>
      </c>
      <c r="G47" s="1" t="n"/>
    </row>
    <row r="48">
      <c r="A48" s="1" t="n"/>
      <c r="B48" s="36" t="n">
        <v>46249</v>
      </c>
      <c r="C48" s="35" t="inlineStr">
        <is>
          <t>Beach apartment</t>
        </is>
      </c>
      <c r="D48" s="35" t="inlineStr">
        <is>
          <t>Supplies</t>
        </is>
      </c>
      <c r="E48" s="38" t="n">
        <v>40</v>
      </c>
      <c r="F48" s="35" t="inlineStr">
        <is>
          <t>Coffee, soap, paper</t>
        </is>
      </c>
      <c r="G48" s="1" t="n"/>
    </row>
    <row r="49">
      <c r="A49" s="1" t="n"/>
      <c r="B49" s="36" t="n">
        <v>46249</v>
      </c>
      <c r="C49" s="35" t="inlineStr">
        <is>
          <t>Mountain cabin</t>
        </is>
      </c>
      <c r="D49" s="35" t="inlineStr">
        <is>
          <t>Supplies</t>
        </is>
      </c>
      <c r="E49" s="38" t="n">
        <v>64</v>
      </c>
      <c r="F49" s="35" t="inlineStr">
        <is>
          <t>Coffee, soap, paper</t>
        </is>
      </c>
      <c r="G49" s="1" t="n"/>
    </row>
    <row r="50">
      <c r="A50" s="1" t="n"/>
      <c r="B50" s="36" t="n">
        <v>46265</v>
      </c>
      <c r="C50" s="35" t="inlineStr">
        <is>
          <t>Beach apartment</t>
        </is>
      </c>
      <c r="D50" s="35" t="inlineStr">
        <is>
          <t>Cleaning</t>
        </is>
      </c>
      <c r="E50" s="38" t="n">
        <v>225</v>
      </c>
      <c r="F50" s="35" t="inlineStr">
        <is>
          <t>Cleaner, 5 stays</t>
        </is>
      </c>
      <c r="G50" s="1" t="n"/>
    </row>
    <row r="51">
      <c r="A51" s="1" t="n"/>
      <c r="B51" s="36" t="n">
        <v>46265</v>
      </c>
      <c r="C51" s="35" t="inlineStr">
        <is>
          <t>Mountain cabin</t>
        </is>
      </c>
      <c r="D51" s="35" t="inlineStr">
        <is>
          <t>Cleaning</t>
        </is>
      </c>
      <c r="E51" s="38" t="n">
        <v>220</v>
      </c>
      <c r="F51" s="35" t="inlineStr">
        <is>
          <t>Cleaner, 4 stays</t>
        </is>
      </c>
      <c r="G51" s="1" t="n"/>
    </row>
    <row r="52">
      <c r="A52" s="1" t="n"/>
      <c r="B52" s="36" t="n">
        <v>46275</v>
      </c>
      <c r="C52" s="35" t="inlineStr">
        <is>
          <t>Beach apartment</t>
        </is>
      </c>
      <c r="D52" s="35" t="inlineStr">
        <is>
          <t>Utilities</t>
        </is>
      </c>
      <c r="E52" s="38" t="n">
        <v>70</v>
      </c>
      <c r="F52" s="35" t="inlineStr">
        <is>
          <t>Power, water and internet</t>
        </is>
      </c>
      <c r="G52" s="1" t="n"/>
    </row>
    <row r="53">
      <c r="A53" s="1" t="n"/>
      <c r="B53" s="36" t="n">
        <v>46275</v>
      </c>
      <c r="C53" s="35" t="inlineStr">
        <is>
          <t>Mountain cabin</t>
        </is>
      </c>
      <c r="D53" s="35" t="inlineStr">
        <is>
          <t>Utilities</t>
        </is>
      </c>
      <c r="E53" s="38" t="n">
        <v>144</v>
      </c>
      <c r="F53" s="35" t="inlineStr">
        <is>
          <t>Power, water and internet</t>
        </is>
      </c>
      <c r="G53" s="1" t="n"/>
    </row>
    <row r="54">
      <c r="A54" s="1" t="n"/>
      <c r="B54" s="36" t="n">
        <v>46293</v>
      </c>
      <c r="C54" s="35" t="inlineStr">
        <is>
          <t>Beach apartment</t>
        </is>
      </c>
      <c r="D54" s="35" t="inlineStr">
        <is>
          <t>Cleaning</t>
        </is>
      </c>
      <c r="E54" s="38" t="n">
        <v>135</v>
      </c>
      <c r="F54" s="35" t="inlineStr">
        <is>
          <t>Cleaner, 3 stays</t>
        </is>
      </c>
      <c r="G54" s="1" t="n"/>
    </row>
    <row r="55">
      <c r="A55" s="1" t="n"/>
      <c r="B55" s="36" t="n">
        <v>46293</v>
      </c>
      <c r="C55" s="35" t="inlineStr">
        <is>
          <t>Mountain cabin</t>
        </is>
      </c>
      <c r="D55" s="35" t="inlineStr">
        <is>
          <t>Cleaning</t>
        </is>
      </c>
      <c r="E55" s="38" t="n">
        <v>110</v>
      </c>
      <c r="F55" s="35" t="inlineStr">
        <is>
          <t>Cleaner, 2 stays</t>
        </is>
      </c>
      <c r="G55" s="1" t="n"/>
    </row>
    <row r="56">
      <c r="A56" s="1" t="n"/>
      <c r="B56" s="36" t="n"/>
      <c r="C56" s="35" t="n"/>
      <c r="D56" s="35" t="n"/>
      <c r="E56" s="38" t="n"/>
      <c r="F56" s="35" t="n"/>
      <c r="G56" s="1" t="n"/>
    </row>
    <row r="57">
      <c r="A57" s="1" t="n"/>
      <c r="B57" s="36" t="n"/>
      <c r="C57" s="35" t="n"/>
      <c r="D57" s="35" t="n"/>
      <c r="E57" s="38" t="n"/>
      <c r="F57" s="35" t="n"/>
      <c r="G57" s="1" t="n"/>
    </row>
    <row r="58">
      <c r="A58" s="1" t="n"/>
      <c r="B58" s="36" t="n"/>
      <c r="C58" s="35" t="n"/>
      <c r="D58" s="35" t="n"/>
      <c r="E58" s="38" t="n"/>
      <c r="F58" s="35" t="n"/>
      <c r="G58" s="1" t="n"/>
    </row>
    <row r="59">
      <c r="A59" s="1" t="n"/>
      <c r="B59" s="36" t="n"/>
      <c r="C59" s="35" t="n"/>
      <c r="D59" s="35" t="n"/>
      <c r="E59" s="38" t="n"/>
      <c r="F59" s="35" t="n"/>
      <c r="G59" s="1" t="n"/>
    </row>
    <row r="60">
      <c r="A60" s="1" t="n"/>
      <c r="B60" s="36" t="n"/>
      <c r="C60" s="35" t="n"/>
      <c r="D60" s="35" t="n"/>
      <c r="E60" s="38" t="n"/>
      <c r="F60" s="35" t="n"/>
      <c r="G60" s="1" t="n"/>
    </row>
    <row r="61">
      <c r="A61" s="1" t="n"/>
      <c r="B61" s="36" t="n"/>
      <c r="C61" s="35" t="n"/>
      <c r="D61" s="35" t="n"/>
      <c r="E61" s="38" t="n"/>
      <c r="F61" s="35" t="n"/>
      <c r="G61" s="1" t="n"/>
    </row>
    <row r="62">
      <c r="A62" s="1" t="n"/>
      <c r="B62" s="36" t="n"/>
      <c r="C62" s="35" t="n"/>
      <c r="D62" s="35" t="n"/>
      <c r="E62" s="38" t="n"/>
      <c r="F62" s="35" t="n"/>
      <c r="G62" s="1" t="n"/>
    </row>
    <row r="63">
      <c r="A63" s="1" t="n"/>
      <c r="B63" s="36" t="n"/>
      <c r="C63" s="35" t="n"/>
      <c r="D63" s="35" t="n"/>
      <c r="E63" s="38" t="n"/>
      <c r="F63" s="35" t="n"/>
      <c r="G63" s="1" t="n"/>
    </row>
    <row r="64">
      <c r="A64" s="1" t="n"/>
      <c r="B64" s="36" t="n"/>
      <c r="C64" s="35" t="n"/>
      <c r="D64" s="35" t="n"/>
      <c r="E64" s="38" t="n"/>
      <c r="F64" s="35" t="n"/>
      <c r="G64" s="1" t="n"/>
    </row>
    <row r="65">
      <c r="A65" s="1" t="n"/>
      <c r="B65" s="36" t="n"/>
      <c r="C65" s="35" t="n"/>
      <c r="D65" s="35" t="n"/>
      <c r="E65" s="38" t="n"/>
      <c r="F65" s="35" t="n"/>
      <c r="G65" s="1" t="n"/>
    </row>
    <row r="66">
      <c r="A66" s="1" t="n"/>
      <c r="B66" s="36" t="n"/>
      <c r="C66" s="35" t="n"/>
      <c r="D66" s="35" t="n"/>
      <c r="E66" s="38" t="n"/>
      <c r="F66" s="35" t="n"/>
      <c r="G66" s="1" t="n"/>
    </row>
    <row r="67">
      <c r="A67" s="1" t="n"/>
      <c r="B67" s="36" t="n"/>
      <c r="C67" s="35" t="n"/>
      <c r="D67" s="35" t="n"/>
      <c r="E67" s="38" t="n"/>
      <c r="F67" s="35" t="n"/>
      <c r="G67" s="1" t="n"/>
    </row>
    <row r="68">
      <c r="A68" s="1" t="n"/>
      <c r="B68" s="36" t="n"/>
      <c r="C68" s="35" t="n"/>
      <c r="D68" s="35" t="n"/>
      <c r="E68" s="38" t="n"/>
      <c r="F68" s="35" t="n"/>
      <c r="G68" s="1" t="n"/>
    </row>
    <row r="69">
      <c r="A69" s="1" t="n"/>
      <c r="B69" s="36" t="n"/>
      <c r="C69" s="35" t="n"/>
      <c r="D69" s="35" t="n"/>
      <c r="E69" s="38" t="n"/>
      <c r="F69" s="35" t="n"/>
      <c r="G69" s="1" t="n"/>
    </row>
    <row r="70">
      <c r="A70" s="1" t="n"/>
      <c r="B70" s="36" t="n"/>
      <c r="C70" s="35" t="n"/>
      <c r="D70" s="35" t="n"/>
      <c r="E70" s="38" t="n"/>
      <c r="F70" s="35" t="n"/>
      <c r="G70" s="1" t="n"/>
    </row>
    <row r="71">
      <c r="A71" s="1" t="n"/>
      <c r="B71" s="36" t="n"/>
      <c r="C71" s="35" t="n"/>
      <c r="D71" s="35" t="n"/>
      <c r="E71" s="38" t="n"/>
      <c r="F71" s="35" t="n"/>
      <c r="G71" s="1" t="n"/>
    </row>
    <row r="72">
      <c r="A72" s="1" t="n"/>
      <c r="B72" s="36" t="n"/>
      <c r="C72" s="35" t="n"/>
      <c r="D72" s="35" t="n"/>
      <c r="E72" s="38" t="n"/>
      <c r="F72" s="35" t="n"/>
      <c r="G72" s="1" t="n"/>
    </row>
    <row r="73">
      <c r="A73" s="1" t="n"/>
      <c r="B73" s="36" t="n"/>
      <c r="C73" s="35" t="n"/>
      <c r="D73" s="35" t="n"/>
      <c r="E73" s="38" t="n"/>
      <c r="F73" s="35" t="n"/>
      <c r="G73" s="1" t="n"/>
    </row>
    <row r="74">
      <c r="A74" s="1" t="n"/>
      <c r="B74" s="36" t="n"/>
      <c r="C74" s="35" t="n"/>
      <c r="D74" s="35" t="n"/>
      <c r="E74" s="38" t="n"/>
      <c r="F74" s="35" t="n"/>
      <c r="G74" s="1" t="n"/>
    </row>
    <row r="75">
      <c r="A75" s="1" t="n"/>
      <c r="B75" s="36" t="n"/>
      <c r="C75" s="35" t="n"/>
      <c r="D75" s="35" t="n"/>
      <c r="E75" s="38" t="n"/>
      <c r="F75" s="35" t="n"/>
      <c r="G75" s="1" t="n"/>
    </row>
    <row r="76">
      <c r="A76" s="1" t="n"/>
      <c r="B76" s="36" t="n"/>
      <c r="C76" s="35" t="n"/>
      <c r="D76" s="35" t="n"/>
      <c r="E76" s="38" t="n"/>
      <c r="F76" s="35" t="n"/>
      <c r="G76" s="1" t="n"/>
    </row>
    <row r="77">
      <c r="A77" s="1" t="n"/>
      <c r="B77" s="36" t="n"/>
      <c r="C77" s="35" t="n"/>
      <c r="D77" s="35" t="n"/>
      <c r="E77" s="38" t="n"/>
      <c r="F77" s="35" t="n"/>
      <c r="G77" s="1" t="n"/>
    </row>
    <row r="78">
      <c r="A78" s="1" t="n"/>
      <c r="B78" s="36" t="n"/>
      <c r="C78" s="35" t="n"/>
      <c r="D78" s="35" t="n"/>
      <c r="E78" s="38" t="n"/>
      <c r="F78" s="35" t="n"/>
      <c r="G78" s="1" t="n"/>
    </row>
    <row r="79">
      <c r="A79" s="1" t="n"/>
      <c r="B79" s="36" t="n"/>
      <c r="C79" s="35" t="n"/>
      <c r="D79" s="35" t="n"/>
      <c r="E79" s="38" t="n"/>
      <c r="F79" s="35" t="n"/>
      <c r="G79" s="1" t="n"/>
    </row>
    <row r="80">
      <c r="A80" s="1" t="n"/>
      <c r="B80" s="36" t="n"/>
      <c r="C80" s="35" t="n"/>
      <c r="D80" s="35" t="n"/>
      <c r="E80" s="38" t="n"/>
      <c r="F80" s="35" t="n"/>
      <c r="G80" s="1" t="n"/>
    </row>
    <row r="81">
      <c r="A81" s="1" t="n"/>
      <c r="B81" s="36" t="n"/>
      <c r="C81" s="35" t="n"/>
      <c r="D81" s="35" t="n"/>
      <c r="E81" s="38" t="n"/>
      <c r="F81" s="35" t="n"/>
      <c r="G81" s="1" t="n"/>
    </row>
    <row r="82">
      <c r="A82" s="1" t="n"/>
      <c r="B82" s="36" t="n"/>
      <c r="C82" s="35" t="n"/>
      <c r="D82" s="35" t="n"/>
      <c r="E82" s="38" t="n"/>
      <c r="F82" s="35" t="n"/>
      <c r="G82" s="1" t="n"/>
    </row>
    <row r="83">
      <c r="A83" s="1" t="n"/>
      <c r="B83" s="36" t="n"/>
      <c r="C83" s="35" t="n"/>
      <c r="D83" s="35" t="n"/>
      <c r="E83" s="38" t="n"/>
      <c r="F83" s="35" t="n"/>
      <c r="G83" s="1" t="n"/>
    </row>
    <row r="84">
      <c r="A84" s="1" t="n"/>
      <c r="B84" s="36" t="n"/>
      <c r="C84" s="35" t="n"/>
      <c r="D84" s="35" t="n"/>
      <c r="E84" s="38" t="n"/>
      <c r="F84" s="35" t="n"/>
      <c r="G84" s="1" t="n"/>
    </row>
    <row r="85">
      <c r="A85" s="1" t="n"/>
      <c r="B85" s="36" t="n"/>
      <c r="C85" s="35" t="n"/>
      <c r="D85" s="35" t="n"/>
      <c r="E85" s="38" t="n"/>
      <c r="F85" s="35" t="n"/>
      <c r="G85" s="1" t="n"/>
    </row>
    <row r="86">
      <c r="A86" s="1" t="n"/>
      <c r="B86" s="36" t="n"/>
      <c r="C86" s="35" t="n"/>
      <c r="D86" s="35" t="n"/>
      <c r="E86" s="38" t="n"/>
      <c r="F86" s="35" t="n"/>
      <c r="G86" s="1" t="n"/>
    </row>
    <row r="87">
      <c r="A87" s="1" t="n"/>
      <c r="B87" s="36" t="n"/>
      <c r="C87" s="35" t="n"/>
      <c r="D87" s="35" t="n"/>
      <c r="E87" s="38" t="n"/>
      <c r="F87" s="35" t="n"/>
      <c r="G87" s="1" t="n"/>
    </row>
    <row r="88">
      <c r="A88" s="1" t="n"/>
      <c r="B88" s="36" t="n"/>
      <c r="C88" s="35" t="n"/>
      <c r="D88" s="35" t="n"/>
      <c r="E88" s="38" t="n"/>
      <c r="F88" s="35" t="n"/>
      <c r="G88" s="1" t="n"/>
    </row>
    <row r="89">
      <c r="A89" s="1" t="n"/>
      <c r="B89" s="36" t="n"/>
      <c r="C89" s="35" t="n"/>
      <c r="D89" s="35" t="n"/>
      <c r="E89" s="38" t="n"/>
      <c r="F89" s="35" t="n"/>
      <c r="G89" s="1" t="n"/>
    </row>
    <row r="90">
      <c r="A90" s="1" t="n"/>
      <c r="B90" s="36" t="n"/>
      <c r="C90" s="35" t="n"/>
      <c r="D90" s="35" t="n"/>
      <c r="E90" s="38" t="n"/>
      <c r="F90" s="35" t="n"/>
      <c r="G90" s="1" t="n"/>
    </row>
    <row r="91">
      <c r="A91" s="1" t="n"/>
      <c r="B91" s="36" t="n"/>
      <c r="C91" s="35" t="n"/>
      <c r="D91" s="35" t="n"/>
      <c r="E91" s="38" t="n"/>
      <c r="F91" s="35" t="n"/>
      <c r="G91" s="1" t="n"/>
    </row>
    <row r="92">
      <c r="A92" s="1" t="n"/>
      <c r="B92" s="36" t="n"/>
      <c r="C92" s="35" t="n"/>
      <c r="D92" s="35" t="n"/>
      <c r="E92" s="38" t="n"/>
      <c r="F92" s="35" t="n"/>
      <c r="G92" s="1" t="n"/>
    </row>
    <row r="93">
      <c r="A93" s="1" t="n"/>
      <c r="B93" s="36" t="n"/>
      <c r="C93" s="35" t="n"/>
      <c r="D93" s="35" t="n"/>
      <c r="E93" s="38" t="n"/>
      <c r="F93" s="35" t="n"/>
      <c r="G93" s="1" t="n"/>
    </row>
    <row r="94">
      <c r="A94" s="1" t="n"/>
      <c r="B94" s="36" t="n"/>
      <c r="C94" s="35" t="n"/>
      <c r="D94" s="35" t="n"/>
      <c r="E94" s="38" t="n"/>
      <c r="F94" s="35" t="n"/>
      <c r="G94" s="1" t="n"/>
    </row>
    <row r="95">
      <c r="A95" s="1" t="n"/>
      <c r="B95" s="36" t="n"/>
      <c r="C95" s="35" t="n"/>
      <c r="D95" s="35" t="n"/>
      <c r="E95" s="38" t="n"/>
      <c r="F95" s="35" t="n"/>
      <c r="G95" s="1" t="n"/>
    </row>
    <row r="96">
      <c r="A96" s="1" t="n"/>
      <c r="B96" s="36" t="n"/>
      <c r="C96" s="35" t="n"/>
      <c r="D96" s="35" t="n"/>
      <c r="E96" s="38" t="n"/>
      <c r="F96" s="35" t="n"/>
      <c r="G96" s="1" t="n"/>
    </row>
    <row r="97">
      <c r="A97" s="1" t="n"/>
      <c r="B97" s="36" t="n"/>
      <c r="C97" s="35" t="n"/>
      <c r="D97" s="35" t="n"/>
      <c r="E97" s="38" t="n"/>
      <c r="F97" s="35" t="n"/>
      <c r="G97" s="1" t="n"/>
    </row>
    <row r="98">
      <c r="A98" s="1" t="n"/>
      <c r="B98" s="36" t="n"/>
      <c r="C98" s="35" t="n"/>
      <c r="D98" s="35" t="n"/>
      <c r="E98" s="38" t="n"/>
      <c r="F98" s="35" t="n"/>
      <c r="G98" s="1" t="n"/>
    </row>
    <row r="99">
      <c r="A99" s="1" t="n"/>
      <c r="B99" s="36" t="n"/>
      <c r="C99" s="35" t="n"/>
      <c r="D99" s="35" t="n"/>
      <c r="E99" s="38" t="n"/>
      <c r="F99" s="35" t="n"/>
      <c r="G99" s="1" t="n"/>
    </row>
    <row r="100">
      <c r="A100" s="1" t="n"/>
      <c r="B100" s="36" t="n"/>
      <c r="C100" s="35" t="n"/>
      <c r="D100" s="35" t="n"/>
      <c r="E100" s="38" t="n"/>
      <c r="F100" s="35" t="n"/>
      <c r="G100" s="1" t="n"/>
    </row>
    <row r="101">
      <c r="A101" s="1" t="n"/>
      <c r="B101" s="36" t="n"/>
      <c r="C101" s="35" t="n"/>
      <c r="D101" s="35" t="n"/>
      <c r="E101" s="38" t="n"/>
      <c r="F101" s="35" t="n"/>
      <c r="G101" s="1" t="n"/>
    </row>
    <row r="102">
      <c r="A102" s="1" t="n"/>
      <c r="B102" s="36" t="n"/>
      <c r="C102" s="35" t="n"/>
      <c r="D102" s="35" t="n"/>
      <c r="E102" s="38" t="n"/>
      <c r="F102" s="35" t="n"/>
      <c r="G102" s="1" t="n"/>
    </row>
    <row r="103">
      <c r="A103" s="1" t="n"/>
      <c r="B103" s="36" t="n"/>
      <c r="C103" s="35" t="n"/>
      <c r="D103" s="35" t="n"/>
      <c r="E103" s="38" t="n"/>
      <c r="F103" s="35" t="n"/>
      <c r="G103" s="1" t="n"/>
    </row>
    <row r="104">
      <c r="A104" s="1" t="n"/>
      <c r="B104" s="36" t="n"/>
      <c r="C104" s="35" t="n"/>
      <c r="D104" s="35" t="n"/>
      <c r="E104" s="38" t="n"/>
      <c r="F104" s="35" t="n"/>
      <c r="G104" s="1" t="n"/>
    </row>
    <row r="105">
      <c r="A105" s="1" t="n"/>
      <c r="B105" s="36" t="n"/>
      <c r="C105" s="35" t="n"/>
      <c r="D105" s="35" t="n"/>
      <c r="E105" s="38" t="n"/>
      <c r="F105" s="35" t="n"/>
      <c r="G105" s="1" t="n"/>
    </row>
    <row r="106">
      <c r="A106" s="1" t="n"/>
      <c r="B106" s="36" t="n"/>
      <c r="C106" s="35" t="n"/>
      <c r="D106" s="35" t="n"/>
      <c r="E106" s="38" t="n"/>
      <c r="F106" s="35" t="n"/>
      <c r="G106" s="1" t="n"/>
    </row>
    <row r="107">
      <c r="A107" s="1" t="n"/>
      <c r="B107" s="36" t="n"/>
      <c r="C107" s="35" t="n"/>
      <c r="D107" s="35" t="n"/>
      <c r="E107" s="38" t="n"/>
      <c r="F107" s="35" t="n"/>
      <c r="G107" s="1" t="n"/>
    </row>
    <row r="108">
      <c r="A108" s="1" t="n"/>
      <c r="B108" s="36" t="n"/>
      <c r="C108" s="35" t="n"/>
      <c r="D108" s="35" t="n"/>
      <c r="E108" s="38" t="n"/>
      <c r="F108" s="35" t="n"/>
      <c r="G108" s="1" t="n"/>
    </row>
    <row r="109">
      <c r="A109" s="1" t="n"/>
      <c r="B109" s="36" t="n"/>
      <c r="C109" s="35" t="n"/>
      <c r="D109" s="35" t="n"/>
      <c r="E109" s="38" t="n"/>
      <c r="F109" s="35" t="n"/>
      <c r="G109" s="1" t="n"/>
    </row>
    <row r="110">
      <c r="A110" s="1" t="n"/>
      <c r="B110" s="36" t="n"/>
      <c r="C110" s="35" t="n"/>
      <c r="D110" s="35" t="n"/>
      <c r="E110" s="38" t="n"/>
      <c r="F110" s="35" t="n"/>
      <c r="G110" s="1" t="n"/>
    </row>
    <row r="111">
      <c r="A111" s="1" t="n"/>
      <c r="B111" s="36" t="n"/>
      <c r="C111" s="35" t="n"/>
      <c r="D111" s="35" t="n"/>
      <c r="E111" s="38" t="n"/>
      <c r="F111" s="35" t="n"/>
      <c r="G111" s="1" t="n"/>
    </row>
    <row r="112">
      <c r="A112" s="1" t="n"/>
      <c r="B112" s="36" t="n"/>
      <c r="C112" s="35" t="n"/>
      <c r="D112" s="35" t="n"/>
      <c r="E112" s="38" t="n"/>
      <c r="F112" s="35" t="n"/>
      <c r="G112" s="1" t="n"/>
    </row>
    <row r="113">
      <c r="A113" s="1" t="n"/>
      <c r="B113" s="36" t="n"/>
      <c r="C113" s="35" t="n"/>
      <c r="D113" s="35" t="n"/>
      <c r="E113" s="38" t="n"/>
      <c r="F113" s="35" t="n"/>
      <c r="G113" s="1" t="n"/>
    </row>
    <row r="114">
      <c r="A114" s="1" t="n"/>
      <c r="B114" s="36" t="n"/>
      <c r="C114" s="35" t="n"/>
      <c r="D114" s="35" t="n"/>
      <c r="E114" s="38" t="n"/>
      <c r="F114" s="35" t="n"/>
      <c r="G114" s="1" t="n"/>
    </row>
    <row r="115">
      <c r="A115" s="1" t="n"/>
      <c r="B115" s="36" t="n"/>
      <c r="C115" s="35" t="n"/>
      <c r="D115" s="35" t="n"/>
      <c r="E115" s="38" t="n"/>
      <c r="F115" s="35" t="n"/>
      <c r="G115" s="1" t="n"/>
    </row>
    <row r="116">
      <c r="A116" s="1" t="n"/>
      <c r="B116" s="36" t="n"/>
      <c r="C116" s="35" t="n"/>
      <c r="D116" s="35" t="n"/>
      <c r="E116" s="38" t="n"/>
      <c r="F116" s="35" t="n"/>
      <c r="G116" s="1" t="n"/>
    </row>
    <row r="117">
      <c r="A117" s="1" t="n"/>
      <c r="B117" s="36" t="n"/>
      <c r="C117" s="35" t="n"/>
      <c r="D117" s="35" t="n"/>
      <c r="E117" s="38" t="n"/>
      <c r="F117" s="35" t="n"/>
      <c r="G117" s="1" t="n"/>
    </row>
    <row r="118">
      <c r="A118" s="1" t="n"/>
      <c r="B118" s="36" t="n"/>
      <c r="C118" s="35" t="n"/>
      <c r="D118" s="35" t="n"/>
      <c r="E118" s="38" t="n"/>
      <c r="F118" s="35" t="n"/>
      <c r="G118" s="1" t="n"/>
    </row>
    <row r="119">
      <c r="A119" s="1" t="n"/>
      <c r="B119" s="36" t="n"/>
      <c r="C119" s="35" t="n"/>
      <c r="D119" s="35" t="n"/>
      <c r="E119" s="38" t="n"/>
      <c r="F119" s="35" t="n"/>
      <c r="G119" s="1" t="n"/>
    </row>
    <row r="120">
      <c r="A120" s="1" t="n"/>
      <c r="B120" s="36" t="n"/>
      <c r="C120" s="35" t="n"/>
      <c r="D120" s="35" t="n"/>
      <c r="E120" s="38" t="n"/>
      <c r="F120" s="35" t="n"/>
      <c r="G120" s="1" t="n"/>
    </row>
    <row r="121">
      <c r="A121" s="1" t="n"/>
      <c r="B121" s="36" t="n"/>
      <c r="C121" s="35" t="n"/>
      <c r="D121" s="35" t="n"/>
      <c r="E121" s="38" t="n"/>
      <c r="F121" s="35" t="n"/>
      <c r="G121" s="1" t="n"/>
    </row>
    <row r="122">
      <c r="A122" s="1" t="n"/>
      <c r="B122" s="36" t="n"/>
      <c r="C122" s="35" t="n"/>
      <c r="D122" s="35" t="n"/>
      <c r="E122" s="38" t="n"/>
      <c r="F122" s="35" t="n"/>
      <c r="G122" s="1" t="n"/>
    </row>
    <row r="123">
      <c r="A123" s="1" t="n"/>
      <c r="B123" s="36" t="n"/>
      <c r="C123" s="35" t="n"/>
      <c r="D123" s="35" t="n"/>
      <c r="E123" s="38" t="n"/>
      <c r="F123" s="35" t="n"/>
      <c r="G123" s="1" t="n"/>
    </row>
    <row r="124">
      <c r="A124" s="1" t="n"/>
      <c r="B124" s="36" t="n"/>
      <c r="C124" s="35" t="n"/>
      <c r="D124" s="35" t="n"/>
      <c r="E124" s="38" t="n"/>
      <c r="F124" s="35" t="n"/>
      <c r="G124" s="1" t="n"/>
    </row>
    <row r="125">
      <c r="A125" s="1" t="n"/>
      <c r="B125" s="36" t="n"/>
      <c r="C125" s="35" t="n"/>
      <c r="D125" s="35" t="n"/>
      <c r="E125" s="38" t="n"/>
      <c r="F125" s="35" t="n"/>
      <c r="G125" s="1" t="n"/>
    </row>
    <row r="126">
      <c r="A126" s="1" t="n"/>
      <c r="B126" s="36" t="n"/>
      <c r="C126" s="35" t="n"/>
      <c r="D126" s="35" t="n"/>
      <c r="E126" s="38" t="n"/>
      <c r="F126" s="35" t="n"/>
      <c r="G126" s="1" t="n"/>
    </row>
    <row r="127">
      <c r="A127" s="1" t="n"/>
      <c r="B127" s="36" t="n"/>
      <c r="C127" s="35" t="n"/>
      <c r="D127" s="35" t="n"/>
      <c r="E127" s="38" t="n"/>
      <c r="F127" s="35" t="n"/>
      <c r="G127" s="1" t="n"/>
    </row>
    <row r="128">
      <c r="A128" s="1" t="n"/>
      <c r="B128" s="36" t="n"/>
      <c r="C128" s="35" t="n"/>
      <c r="D128" s="35" t="n"/>
      <c r="E128" s="38" t="n"/>
      <c r="F128" s="35" t="n"/>
      <c r="G128" s="1" t="n"/>
    </row>
    <row r="129">
      <c r="A129" s="1" t="n"/>
      <c r="B129" s="36" t="n"/>
      <c r="C129" s="35" t="n"/>
      <c r="D129" s="35" t="n"/>
      <c r="E129" s="38" t="n"/>
      <c r="F129" s="35" t="n"/>
      <c r="G129" s="1" t="n"/>
    </row>
    <row r="130">
      <c r="A130" s="1" t="n"/>
      <c r="B130" s="36" t="n"/>
      <c r="C130" s="35" t="n"/>
      <c r="D130" s="35" t="n"/>
      <c r="E130" s="38" t="n"/>
      <c r="F130" s="35" t="n"/>
      <c r="G130" s="1" t="n"/>
    </row>
    <row r="131">
      <c r="A131" s="1" t="n"/>
      <c r="B131" s="36" t="n"/>
      <c r="C131" s="35" t="n"/>
      <c r="D131" s="35" t="n"/>
      <c r="E131" s="38" t="n"/>
      <c r="F131" s="35" t="n"/>
      <c r="G131" s="1" t="n"/>
    </row>
    <row r="132">
      <c r="A132" s="1" t="n"/>
      <c r="B132" s="36" t="n"/>
      <c r="C132" s="35" t="n"/>
      <c r="D132" s="35" t="n"/>
      <c r="E132" s="38" t="n"/>
      <c r="F132" s="35" t="n"/>
      <c r="G132" s="1" t="n"/>
    </row>
    <row r="133">
      <c r="A133" s="1" t="n"/>
      <c r="B133" s="36" t="n"/>
      <c r="C133" s="35" t="n"/>
      <c r="D133" s="35" t="n"/>
      <c r="E133" s="38" t="n"/>
      <c r="F133" s="35" t="n"/>
      <c r="G133" s="1" t="n"/>
    </row>
    <row r="134">
      <c r="A134" s="1" t="n"/>
      <c r="B134" s="36" t="n"/>
      <c r="C134" s="35" t="n"/>
      <c r="D134" s="35" t="n"/>
      <c r="E134" s="38" t="n"/>
      <c r="F134" s="35" t="n"/>
      <c r="G134" s="1" t="n"/>
    </row>
    <row r="135">
      <c r="A135" s="1" t="n"/>
      <c r="B135" s="36" t="n"/>
      <c r="C135" s="35" t="n"/>
      <c r="D135" s="35" t="n"/>
      <c r="E135" s="38" t="n"/>
      <c r="F135" s="35" t="n"/>
      <c r="G135" s="1" t="n"/>
    </row>
    <row r="136">
      <c r="A136" s="1" t="n"/>
      <c r="B136" s="36" t="n"/>
      <c r="C136" s="35" t="n"/>
      <c r="D136" s="35" t="n"/>
      <c r="E136" s="38" t="n"/>
      <c r="F136" s="35" t="n"/>
      <c r="G136" s="1" t="n"/>
    </row>
    <row r="137">
      <c r="A137" s="1" t="n"/>
      <c r="B137" s="36" t="n"/>
      <c r="C137" s="35" t="n"/>
      <c r="D137" s="35" t="n"/>
      <c r="E137" s="38" t="n"/>
      <c r="F137" s="35" t="n"/>
      <c r="G137" s="1" t="n"/>
    </row>
    <row r="138">
      <c r="A138" s="1" t="n"/>
      <c r="B138" s="36" t="n"/>
      <c r="C138" s="35" t="n"/>
      <c r="D138" s="35" t="n"/>
      <c r="E138" s="38" t="n"/>
      <c r="F138" s="35" t="n"/>
      <c r="G138" s="1" t="n"/>
    </row>
    <row r="139">
      <c r="A139" s="1" t="n"/>
      <c r="B139" s="36" t="n"/>
      <c r="C139" s="35" t="n"/>
      <c r="D139" s="35" t="n"/>
      <c r="E139" s="38" t="n"/>
      <c r="F139" s="35" t="n"/>
      <c r="G139" s="1" t="n"/>
    </row>
    <row r="140">
      <c r="A140" s="1" t="n"/>
      <c r="B140" s="36" t="n"/>
      <c r="C140" s="35" t="n"/>
      <c r="D140" s="35" t="n"/>
      <c r="E140" s="38" t="n"/>
      <c r="F140" s="35" t="n"/>
      <c r="G140" s="1" t="n"/>
    </row>
    <row r="141">
      <c r="A141" s="1" t="n"/>
      <c r="B141" s="36" t="n"/>
      <c r="C141" s="35" t="n"/>
      <c r="D141" s="35" t="n"/>
      <c r="E141" s="38" t="n"/>
      <c r="F141" s="35" t="n"/>
      <c r="G141" s="1" t="n"/>
    </row>
    <row r="142">
      <c r="A142" s="1" t="n"/>
      <c r="B142" s="36" t="n"/>
      <c r="C142" s="35" t="n"/>
      <c r="D142" s="35" t="n"/>
      <c r="E142" s="38" t="n"/>
      <c r="F142" s="35" t="n"/>
      <c r="G142" s="1" t="n"/>
    </row>
    <row r="143">
      <c r="A143" s="1" t="n"/>
      <c r="B143" s="36" t="n"/>
      <c r="C143" s="35" t="n"/>
      <c r="D143" s="35" t="n"/>
      <c r="E143" s="38" t="n"/>
      <c r="F143" s="35" t="n"/>
      <c r="G143" s="1" t="n"/>
    </row>
    <row r="144">
      <c r="A144" s="1" t="n"/>
      <c r="B144" s="36" t="n"/>
      <c r="C144" s="35" t="n"/>
      <c r="D144" s="35" t="n"/>
      <c r="E144" s="38" t="n"/>
      <c r="F144" s="35" t="n"/>
      <c r="G144" s="1" t="n"/>
    </row>
    <row r="145">
      <c r="A145" s="1" t="n"/>
      <c r="B145" s="36" t="n"/>
      <c r="C145" s="35" t="n"/>
      <c r="D145" s="35" t="n"/>
      <c r="E145" s="38" t="n"/>
      <c r="F145" s="35" t="n"/>
      <c r="G145" s="1" t="n"/>
    </row>
    <row r="146">
      <c r="A146" s="1" t="n"/>
      <c r="B146" s="36" t="n"/>
      <c r="C146" s="35" t="n"/>
      <c r="D146" s="35" t="n"/>
      <c r="E146" s="38" t="n"/>
      <c r="F146" s="35" t="n"/>
      <c r="G146" s="1" t="n"/>
    </row>
    <row r="147">
      <c r="A147" s="1" t="n"/>
      <c r="B147" s="36" t="n"/>
      <c r="C147" s="35" t="n"/>
      <c r="D147" s="35" t="n"/>
      <c r="E147" s="38" t="n"/>
      <c r="F147" s="35" t="n"/>
      <c r="G147" s="1" t="n"/>
    </row>
    <row r="148">
      <c r="A148" s="1" t="n"/>
      <c r="B148" s="36" t="n"/>
      <c r="C148" s="35" t="n"/>
      <c r="D148" s="35" t="n"/>
      <c r="E148" s="38" t="n"/>
      <c r="F148" s="35" t="n"/>
      <c r="G148" s="1" t="n"/>
    </row>
    <row r="149">
      <c r="A149" s="1" t="n"/>
      <c r="B149" s="36" t="n"/>
      <c r="C149" s="35" t="n"/>
      <c r="D149" s="35" t="n"/>
      <c r="E149" s="38" t="n"/>
      <c r="F149" s="35" t="n"/>
      <c r="G149" s="1" t="n"/>
    </row>
    <row r="150">
      <c r="A150" s="1" t="n"/>
      <c r="B150" s="36" t="n"/>
      <c r="C150" s="35" t="n"/>
      <c r="D150" s="35" t="n"/>
      <c r="E150" s="38" t="n"/>
      <c r="F150" s="35" t="n"/>
      <c r="G150" s="1" t="n"/>
    </row>
    <row r="151">
      <c r="A151" s="1" t="n"/>
      <c r="B151" s="36" t="n"/>
      <c r="C151" s="35" t="n"/>
      <c r="D151" s="35" t="n"/>
      <c r="E151" s="38" t="n"/>
      <c r="F151" s="35" t="n"/>
      <c r="G151" s="1" t="n"/>
    </row>
    <row r="152">
      <c r="A152" s="1" t="n"/>
      <c r="B152" s="36" t="n"/>
      <c r="C152" s="35" t="n"/>
      <c r="D152" s="35" t="n"/>
      <c r="E152" s="38" t="n"/>
      <c r="F152" s="35" t="n"/>
      <c r="G152" s="1" t="n"/>
    </row>
    <row r="153">
      <c r="A153" s="1" t="n"/>
      <c r="B153" s="36" t="n"/>
      <c r="C153" s="35" t="n"/>
      <c r="D153" s="35" t="n"/>
      <c r="E153" s="38" t="n"/>
      <c r="F153" s="35" t="n"/>
      <c r="G153" s="1" t="n"/>
    </row>
    <row r="154">
      <c r="A154" s="1" t="n"/>
      <c r="B154" s="36" t="n"/>
      <c r="C154" s="35" t="n"/>
      <c r="D154" s="35" t="n"/>
      <c r="E154" s="38" t="n"/>
      <c r="F154" s="35" t="n"/>
      <c r="G154" s="1" t="n"/>
    </row>
    <row r="155">
      <c r="A155" s="1" t="n"/>
      <c r="B155" s="36" t="n"/>
      <c r="C155" s="35" t="n"/>
      <c r="D155" s="35" t="n"/>
      <c r="E155" s="38" t="n"/>
      <c r="F155" s="35" t="n"/>
      <c r="G155" s="1" t="n"/>
    </row>
    <row r="156">
      <c r="A156" s="1" t="n"/>
      <c r="B156" s="36" t="n"/>
      <c r="C156" s="35" t="n"/>
      <c r="D156" s="35" t="n"/>
      <c r="E156" s="38" t="n"/>
      <c r="F156" s="35" t="n"/>
      <c r="G156" s="1" t="n"/>
    </row>
    <row r="157">
      <c r="A157" s="1" t="n"/>
      <c r="B157" s="36" t="n"/>
      <c r="C157" s="35" t="n"/>
      <c r="D157" s="35" t="n"/>
      <c r="E157" s="38" t="n"/>
      <c r="F157" s="35" t="n"/>
      <c r="G157" s="1" t="n"/>
    </row>
    <row r="158">
      <c r="A158" s="1" t="n"/>
      <c r="B158" s="36" t="n"/>
      <c r="C158" s="35" t="n"/>
      <c r="D158" s="35" t="n"/>
      <c r="E158" s="38" t="n"/>
      <c r="F158" s="35" t="n"/>
      <c r="G158" s="1" t="n"/>
    </row>
    <row r="159">
      <c r="A159" s="1" t="n"/>
      <c r="B159" s="36" t="n"/>
      <c r="C159" s="35" t="n"/>
      <c r="D159" s="35" t="n"/>
      <c r="E159" s="38" t="n"/>
      <c r="F159" s="35" t="n"/>
      <c r="G159" s="1" t="n"/>
    </row>
    <row r="160">
      <c r="A160" s="1" t="n"/>
      <c r="B160" s="36" t="n"/>
      <c r="C160" s="35" t="n"/>
      <c r="D160" s="35" t="n"/>
      <c r="E160" s="38" t="n"/>
      <c r="F160" s="35" t="n"/>
      <c r="G160" s="1" t="n"/>
    </row>
    <row r="161">
      <c r="A161" s="1" t="n"/>
      <c r="B161" s="36" t="n"/>
      <c r="C161" s="35" t="n"/>
      <c r="D161" s="35" t="n"/>
      <c r="E161" s="38" t="n"/>
      <c r="F161" s="35" t="n"/>
      <c r="G161" s="1" t="n"/>
    </row>
    <row r="162">
      <c r="A162" s="1" t="n"/>
      <c r="B162" s="36" t="n"/>
      <c r="C162" s="35" t="n"/>
      <c r="D162" s="35" t="n"/>
      <c r="E162" s="38" t="n"/>
      <c r="F162" s="35" t="n"/>
      <c r="G162" s="1" t="n"/>
    </row>
    <row r="163">
      <c r="A163" s="1" t="n"/>
      <c r="B163" s="36" t="n"/>
      <c r="C163" s="35" t="n"/>
      <c r="D163" s="35" t="n"/>
      <c r="E163" s="38" t="n"/>
      <c r="F163" s="35" t="n"/>
      <c r="G163" s="1" t="n"/>
    </row>
    <row r="164">
      <c r="A164" s="1" t="n"/>
      <c r="B164" s="36" t="n"/>
      <c r="C164" s="35" t="n"/>
      <c r="D164" s="35" t="n"/>
      <c r="E164" s="38" t="n"/>
      <c r="F164" s="35" t="n"/>
      <c r="G164" s="1" t="n"/>
    </row>
    <row r="165">
      <c r="A165" s="1" t="n"/>
      <c r="B165" s="36" t="n"/>
      <c r="C165" s="35" t="n"/>
      <c r="D165" s="35" t="n"/>
      <c r="E165" s="38" t="n"/>
      <c r="F165" s="35" t="n"/>
      <c r="G165" s="1" t="n"/>
    </row>
    <row r="166">
      <c r="A166" s="1" t="n"/>
      <c r="B166" s="36" t="n"/>
      <c r="C166" s="35" t="n"/>
      <c r="D166" s="35" t="n"/>
      <c r="E166" s="38" t="n"/>
      <c r="F166" s="35" t="n"/>
      <c r="G166" s="1" t="n"/>
    </row>
    <row r="167">
      <c r="A167" s="1" t="n"/>
      <c r="B167" s="36" t="n"/>
      <c r="C167" s="35" t="n"/>
      <c r="D167" s="35" t="n"/>
      <c r="E167" s="38" t="n"/>
      <c r="F167" s="35" t="n"/>
      <c r="G167" s="1" t="n"/>
    </row>
    <row r="168">
      <c r="A168" s="1" t="n"/>
      <c r="B168" s="36" t="n"/>
      <c r="C168" s="35" t="n"/>
      <c r="D168" s="35" t="n"/>
      <c r="E168" s="38" t="n"/>
      <c r="F168" s="35" t="n"/>
      <c r="G168" s="1" t="n"/>
    </row>
    <row r="169">
      <c r="A169" s="1" t="n"/>
      <c r="B169" s="36" t="n"/>
      <c r="C169" s="35" t="n"/>
      <c r="D169" s="35" t="n"/>
      <c r="E169" s="38" t="n"/>
      <c r="F169" s="35" t="n"/>
      <c r="G169" s="1" t="n"/>
    </row>
    <row r="170">
      <c r="A170" s="1" t="n"/>
      <c r="B170" s="36" t="n"/>
      <c r="C170" s="35" t="n"/>
      <c r="D170" s="35" t="n"/>
      <c r="E170" s="38" t="n"/>
      <c r="F170" s="35" t="n"/>
      <c r="G170" s="1" t="n"/>
    </row>
    <row r="171">
      <c r="A171" s="1" t="n"/>
      <c r="B171" s="36" t="n"/>
      <c r="C171" s="35" t="n"/>
      <c r="D171" s="35" t="n"/>
      <c r="E171" s="38" t="n"/>
      <c r="F171" s="35" t="n"/>
      <c r="G171" s="1" t="n"/>
    </row>
    <row r="172">
      <c r="A172" s="1" t="n"/>
      <c r="B172" s="36" t="n"/>
      <c r="C172" s="35" t="n"/>
      <c r="D172" s="35" t="n"/>
      <c r="E172" s="38" t="n"/>
      <c r="F172" s="35" t="n"/>
      <c r="G172" s="1" t="n"/>
    </row>
    <row r="173">
      <c r="A173" s="1" t="n"/>
      <c r="B173" s="36" t="n"/>
      <c r="C173" s="35" t="n"/>
      <c r="D173" s="35" t="n"/>
      <c r="E173" s="38" t="n"/>
      <c r="F173" s="35" t="n"/>
      <c r="G173" s="1" t="n"/>
    </row>
    <row r="174">
      <c r="A174" s="1" t="n"/>
      <c r="B174" s="36" t="n"/>
      <c r="C174" s="35" t="n"/>
      <c r="D174" s="35" t="n"/>
      <c r="E174" s="38" t="n"/>
      <c r="F174" s="35" t="n"/>
      <c r="G174" s="1" t="n"/>
    </row>
    <row r="175">
      <c r="A175" s="1" t="n"/>
      <c r="B175" s="36" t="n"/>
      <c r="C175" s="35" t="n"/>
      <c r="D175" s="35" t="n"/>
      <c r="E175" s="38" t="n"/>
      <c r="F175" s="35" t="n"/>
      <c r="G175" s="1" t="n"/>
    </row>
    <row r="176">
      <c r="A176" s="1" t="n"/>
      <c r="B176" s="36" t="n"/>
      <c r="C176" s="35" t="n"/>
      <c r="D176" s="35" t="n"/>
      <c r="E176" s="38" t="n"/>
      <c r="F176" s="35" t="n"/>
      <c r="G176" s="1" t="n"/>
    </row>
    <row r="177">
      <c r="A177" s="1" t="n"/>
      <c r="B177" s="36" t="n"/>
      <c r="C177" s="35" t="n"/>
      <c r="D177" s="35" t="n"/>
      <c r="E177" s="38" t="n"/>
      <c r="F177" s="35" t="n"/>
      <c r="G177" s="1" t="n"/>
    </row>
    <row r="178">
      <c r="A178" s="1" t="n"/>
      <c r="B178" s="36" t="n"/>
      <c r="C178" s="35" t="n"/>
      <c r="D178" s="35" t="n"/>
      <c r="E178" s="38" t="n"/>
      <c r="F178" s="35" t="n"/>
      <c r="G178" s="1" t="n"/>
    </row>
    <row r="179">
      <c r="A179" s="1" t="n"/>
      <c r="B179" s="36" t="n"/>
      <c r="C179" s="35" t="n"/>
      <c r="D179" s="35" t="n"/>
      <c r="E179" s="38" t="n"/>
      <c r="F179" s="35" t="n"/>
      <c r="G179" s="1" t="n"/>
    </row>
    <row r="180">
      <c r="A180" s="1" t="n"/>
      <c r="B180" s="36" t="n"/>
      <c r="C180" s="35" t="n"/>
      <c r="D180" s="35" t="n"/>
      <c r="E180" s="38" t="n"/>
      <c r="F180" s="35" t="n"/>
      <c r="G180" s="1" t="n"/>
    </row>
    <row r="181">
      <c r="A181" s="1" t="n"/>
      <c r="B181" s="36" t="n"/>
      <c r="C181" s="35" t="n"/>
      <c r="D181" s="35" t="n"/>
      <c r="E181" s="38" t="n"/>
      <c r="F181" s="35" t="n"/>
      <c r="G181" s="1" t="n"/>
    </row>
    <row r="182">
      <c r="A182" s="1" t="n"/>
      <c r="B182" s="36" t="n"/>
      <c r="C182" s="35" t="n"/>
      <c r="D182" s="35" t="n"/>
      <c r="E182" s="38" t="n"/>
      <c r="F182" s="35" t="n"/>
      <c r="G182" s="1" t="n"/>
    </row>
    <row r="183">
      <c r="A183" s="1" t="n"/>
      <c r="B183" s="36" t="n"/>
      <c r="C183" s="35" t="n"/>
      <c r="D183" s="35" t="n"/>
      <c r="E183" s="38" t="n"/>
      <c r="F183" s="35" t="n"/>
      <c r="G183" s="1" t="n"/>
    </row>
    <row r="184">
      <c r="A184" s="1" t="n"/>
      <c r="B184" s="36" t="n"/>
      <c r="C184" s="35" t="n"/>
      <c r="D184" s="35" t="n"/>
      <c r="E184" s="38" t="n"/>
      <c r="F184" s="35" t="n"/>
      <c r="G184" s="1" t="n"/>
    </row>
    <row r="185">
      <c r="A185" s="1" t="n"/>
      <c r="B185" s="36" t="n"/>
      <c r="C185" s="35" t="n"/>
      <c r="D185" s="35" t="n"/>
      <c r="E185" s="38" t="n"/>
      <c r="F185" s="35" t="n"/>
      <c r="G185" s="1" t="n"/>
    </row>
    <row r="186">
      <c r="A186" s="1" t="n"/>
      <c r="B186" s="36" t="n"/>
      <c r="C186" s="35" t="n"/>
      <c r="D186" s="35" t="n"/>
      <c r="E186" s="38" t="n"/>
      <c r="F186" s="35" t="n"/>
      <c r="G186" s="1" t="n"/>
    </row>
    <row r="187">
      <c r="A187" s="1" t="n"/>
      <c r="B187" s="36" t="n"/>
      <c r="C187" s="35" t="n"/>
      <c r="D187" s="35" t="n"/>
      <c r="E187" s="38" t="n"/>
      <c r="F187" s="35" t="n"/>
      <c r="G187" s="1" t="n"/>
    </row>
    <row r="188">
      <c r="A188" s="1" t="n"/>
      <c r="B188" s="36" t="n"/>
      <c r="C188" s="35" t="n"/>
      <c r="D188" s="35" t="n"/>
      <c r="E188" s="38" t="n"/>
      <c r="F188" s="35" t="n"/>
      <c r="G188" s="1" t="n"/>
    </row>
    <row r="189">
      <c r="A189" s="1" t="n"/>
      <c r="B189" s="36" t="n"/>
      <c r="C189" s="35" t="n"/>
      <c r="D189" s="35" t="n"/>
      <c r="E189" s="38" t="n"/>
      <c r="F189" s="35" t="n"/>
      <c r="G189" s="1" t="n"/>
    </row>
    <row r="190">
      <c r="A190" s="1" t="n"/>
      <c r="B190" s="36" t="n"/>
      <c r="C190" s="35" t="n"/>
      <c r="D190" s="35" t="n"/>
      <c r="E190" s="38" t="n"/>
      <c r="F190" s="35" t="n"/>
      <c r="G190" s="1" t="n"/>
    </row>
    <row r="191">
      <c r="A191" s="1" t="n"/>
      <c r="B191" s="36" t="n"/>
      <c r="C191" s="35" t="n"/>
      <c r="D191" s="35" t="n"/>
      <c r="E191" s="38" t="n"/>
      <c r="F191" s="35" t="n"/>
      <c r="G191" s="1" t="n"/>
    </row>
    <row r="192">
      <c r="A192" s="1" t="n"/>
      <c r="B192" s="36" t="n"/>
      <c r="C192" s="35" t="n"/>
      <c r="D192" s="35" t="n"/>
      <c r="E192" s="38" t="n"/>
      <c r="F192" s="35" t="n"/>
      <c r="G192" s="1" t="n"/>
    </row>
    <row r="193">
      <c r="A193" s="1" t="n"/>
      <c r="B193" s="36" t="n"/>
      <c r="C193" s="35" t="n"/>
      <c r="D193" s="35" t="n"/>
      <c r="E193" s="38" t="n"/>
      <c r="F193" s="35" t="n"/>
      <c r="G193" s="1" t="n"/>
    </row>
    <row r="194">
      <c r="A194" s="1" t="n"/>
      <c r="B194" s="36" t="n"/>
      <c r="C194" s="35" t="n"/>
      <c r="D194" s="35" t="n"/>
      <c r="E194" s="38" t="n"/>
      <c r="F194" s="35" t="n"/>
      <c r="G194" s="1" t="n"/>
    </row>
    <row r="195">
      <c r="A195" s="1" t="n"/>
      <c r="B195" s="36" t="n"/>
      <c r="C195" s="35" t="n"/>
      <c r="D195" s="35" t="n"/>
      <c r="E195" s="38" t="n"/>
      <c r="F195" s="35" t="n"/>
      <c r="G195" s="1" t="n"/>
    </row>
    <row r="196">
      <c r="A196" s="1" t="n"/>
      <c r="B196" s="36" t="n"/>
      <c r="C196" s="35" t="n"/>
      <c r="D196" s="35" t="n"/>
      <c r="E196" s="38" t="n"/>
      <c r="F196" s="35" t="n"/>
      <c r="G196" s="1" t="n"/>
    </row>
    <row r="197">
      <c r="A197" s="1" t="n"/>
      <c r="B197" s="36" t="n"/>
      <c r="C197" s="35" t="n"/>
      <c r="D197" s="35" t="n"/>
      <c r="E197" s="38" t="n"/>
      <c r="F197" s="35" t="n"/>
      <c r="G197" s="1" t="n"/>
    </row>
    <row r="198">
      <c r="A198" s="1" t="n"/>
      <c r="B198" s="36" t="n"/>
      <c r="C198" s="35" t="n"/>
      <c r="D198" s="35" t="n"/>
      <c r="E198" s="38" t="n"/>
      <c r="F198" s="35" t="n"/>
      <c r="G198" s="1" t="n"/>
    </row>
    <row r="199">
      <c r="A199" s="1" t="n"/>
      <c r="B199" s="36" t="n"/>
      <c r="C199" s="35" t="n"/>
      <c r="D199" s="35" t="n"/>
      <c r="E199" s="38" t="n"/>
      <c r="F199" s="35" t="n"/>
      <c r="G199" s="1" t="n"/>
    </row>
    <row r="200">
      <c r="A200" s="1" t="n"/>
      <c r="B200" s="36" t="n"/>
      <c r="C200" s="35" t="n"/>
      <c r="D200" s="35" t="n"/>
      <c r="E200" s="38" t="n"/>
      <c r="F200" s="35" t="n"/>
      <c r="G200" s="1" t="n"/>
    </row>
    <row r="201">
      <c r="A201" s="1" t="n"/>
      <c r="B201" s="36" t="n"/>
      <c r="C201" s="35" t="n"/>
      <c r="D201" s="35" t="n"/>
      <c r="E201" s="38" t="n"/>
      <c r="F201" s="35" t="n"/>
      <c r="G201" s="1" t="n"/>
    </row>
    <row r="202">
      <c r="A202" s="1" t="n"/>
      <c r="B202" s="36" t="n"/>
      <c r="C202" s="35" t="n"/>
      <c r="D202" s="35" t="n"/>
      <c r="E202" s="38" t="n"/>
      <c r="F202" s="35" t="n"/>
      <c r="G202" s="1" t="n"/>
    </row>
    <row r="203">
      <c r="A203" s="1" t="n"/>
      <c r="B203" s="36" t="n"/>
      <c r="C203" s="35" t="n"/>
      <c r="D203" s="35" t="n"/>
      <c r="E203" s="38" t="n"/>
      <c r="F203" s="35" t="n"/>
      <c r="G203" s="1" t="n"/>
    </row>
    <row r="204">
      <c r="A204" s="1" t="n"/>
      <c r="B204" s="36" t="n"/>
      <c r="C204" s="35" t="n"/>
      <c r="D204" s="35" t="n"/>
      <c r="E204" s="38" t="n"/>
      <c r="F204" s="35" t="n"/>
      <c r="G204" s="1" t="n"/>
    </row>
    <row r="205">
      <c r="A205" s="1" t="n"/>
      <c r="B205" s="36" t="n"/>
      <c r="C205" s="35" t="n"/>
      <c r="D205" s="35" t="n"/>
      <c r="E205" s="38" t="n"/>
      <c r="F205" s="35" t="n"/>
      <c r="G205" s="1" t="n"/>
    </row>
    <row r="206">
      <c r="A206" s="1" t="n"/>
      <c r="B206" s="36" t="n"/>
      <c r="C206" s="35" t="n"/>
      <c r="D206" s="35" t="n"/>
      <c r="E206" s="38" t="n"/>
      <c r="F206" s="35" t="n"/>
      <c r="G206" s="1" t="n"/>
    </row>
    <row r="207">
      <c r="A207" s="1" t="n"/>
      <c r="B207" s="36" t="n"/>
      <c r="C207" s="35" t="n"/>
      <c r="D207" s="35" t="n"/>
      <c r="E207" s="38" t="n"/>
      <c r="F207" s="35" t="n"/>
      <c r="G207" s="1" t="n"/>
    </row>
    <row r="208">
      <c r="A208" s="1" t="n"/>
      <c r="B208" s="36" t="n"/>
      <c r="C208" s="35" t="n"/>
      <c r="D208" s="35" t="n"/>
      <c r="E208" s="38" t="n"/>
      <c r="F208" s="35" t="n"/>
      <c r="G208" s="1" t="n"/>
    </row>
    <row r="209">
      <c r="A209" s="1" t="n"/>
      <c r="B209" s="36" t="n"/>
      <c r="C209" s="35" t="n"/>
      <c r="D209" s="35" t="n"/>
      <c r="E209" s="38" t="n"/>
      <c r="F209" s="35" t="n"/>
      <c r="G209" s="1" t="n"/>
    </row>
    <row r="210">
      <c r="A210" s="1" t="n"/>
      <c r="B210" s="36" t="n"/>
      <c r="C210" s="35" t="n"/>
      <c r="D210" s="35" t="n"/>
      <c r="E210" s="38" t="n"/>
      <c r="F210" s="35" t="n"/>
      <c r="G210" s="1" t="n"/>
    </row>
    <row r="211">
      <c r="A211" s="1" t="n"/>
      <c r="B211" s="36" t="n"/>
      <c r="C211" s="35" t="n"/>
      <c r="D211" s="35" t="n"/>
      <c r="E211" s="38" t="n"/>
      <c r="F211" s="35" t="n"/>
      <c r="G211" s="1" t="n"/>
    </row>
    <row r="212">
      <c r="A212" s="1" t="n"/>
      <c r="B212" s="36" t="n"/>
      <c r="C212" s="35" t="n"/>
      <c r="D212" s="35" t="n"/>
      <c r="E212" s="38" t="n"/>
      <c r="F212" s="35" t="n"/>
      <c r="G212" s="1" t="n"/>
    </row>
    <row r="213">
      <c r="A213" s="1" t="n"/>
      <c r="B213" s="36" t="n"/>
      <c r="C213" s="35" t="n"/>
      <c r="D213" s="35" t="n"/>
      <c r="E213" s="38" t="n"/>
      <c r="F213" s="35" t="n"/>
      <c r="G213" s="1" t="n"/>
    </row>
    <row r="214">
      <c r="A214" s="1" t="n"/>
      <c r="B214" s="36" t="n"/>
      <c r="C214" s="35" t="n"/>
      <c r="D214" s="35" t="n"/>
      <c r="E214" s="38" t="n"/>
      <c r="F214" s="35" t="n"/>
      <c r="G214" s="1" t="n"/>
    </row>
    <row r="215">
      <c r="A215" s="1" t="n"/>
      <c r="B215" s="36" t="n"/>
      <c r="C215" s="35" t="n"/>
      <c r="D215" s="35" t="n"/>
      <c r="E215" s="38" t="n"/>
      <c r="F215" s="35" t="n"/>
      <c r="G215" s="1" t="n"/>
    </row>
    <row r="216">
      <c r="A216" s="1" t="n"/>
      <c r="B216" s="36" t="n"/>
      <c r="C216" s="35" t="n"/>
      <c r="D216" s="35" t="n"/>
      <c r="E216" s="38" t="n"/>
      <c r="F216" s="35" t="n"/>
      <c r="G216" s="1" t="n"/>
    </row>
    <row r="217">
      <c r="A217" s="1" t="n"/>
      <c r="B217" s="36" t="n"/>
      <c r="C217" s="35" t="n"/>
      <c r="D217" s="35" t="n"/>
      <c r="E217" s="38" t="n"/>
      <c r="F217" s="35" t="n"/>
      <c r="G217" s="1" t="n"/>
    </row>
    <row r="218">
      <c r="A218" s="1" t="n"/>
      <c r="B218" s="36" t="n"/>
      <c r="C218" s="35" t="n"/>
      <c r="D218" s="35" t="n"/>
      <c r="E218" s="38" t="n"/>
      <c r="F218" s="35" t="n"/>
      <c r="G218" s="1" t="n"/>
    </row>
    <row r="219">
      <c r="A219" s="1" t="n"/>
      <c r="B219" s="36" t="n"/>
      <c r="C219" s="35" t="n"/>
      <c r="D219" s="35" t="n"/>
      <c r="E219" s="38" t="n"/>
      <c r="F219" s="35" t="n"/>
      <c r="G219" s="1" t="n"/>
    </row>
    <row r="220">
      <c r="A220" s="1" t="n"/>
      <c r="B220" s="36" t="n"/>
      <c r="C220" s="35" t="n"/>
      <c r="D220" s="35" t="n"/>
      <c r="E220" s="38" t="n"/>
      <c r="F220" s="35" t="n"/>
      <c r="G220" s="1" t="n"/>
    </row>
    <row r="221">
      <c r="A221" s="1" t="n"/>
      <c r="B221" s="36" t="n"/>
      <c r="C221" s="35" t="n"/>
      <c r="D221" s="35" t="n"/>
      <c r="E221" s="38" t="n"/>
      <c r="F221" s="35" t="n"/>
      <c r="G221" s="1" t="n"/>
    </row>
    <row r="222">
      <c r="A222" s="1" t="n"/>
      <c r="B222" s="36" t="n"/>
      <c r="C222" s="35" t="n"/>
      <c r="D222" s="35" t="n"/>
      <c r="E222" s="38" t="n"/>
      <c r="F222" s="35" t="n"/>
      <c r="G222" s="1" t="n"/>
    </row>
    <row r="223">
      <c r="A223" s="1" t="n"/>
      <c r="B223" s="36" t="n"/>
      <c r="C223" s="35" t="n"/>
      <c r="D223" s="35" t="n"/>
      <c r="E223" s="38" t="n"/>
      <c r="F223" s="35" t="n"/>
      <c r="G223" s="1" t="n"/>
    </row>
    <row r="224">
      <c r="A224" s="1" t="n"/>
      <c r="B224" s="36" t="n"/>
      <c r="C224" s="35" t="n"/>
      <c r="D224" s="35" t="n"/>
      <c r="E224" s="38" t="n"/>
      <c r="F224" s="35" t="n"/>
      <c r="G224" s="1" t="n"/>
    </row>
    <row r="225">
      <c r="A225" s="1" t="n"/>
      <c r="B225" s="36" t="n"/>
      <c r="C225" s="35" t="n"/>
      <c r="D225" s="35" t="n"/>
      <c r="E225" s="38" t="n"/>
      <c r="F225" s="35" t="n"/>
      <c r="G225" s="1" t="n"/>
    </row>
    <row r="226">
      <c r="A226" s="1" t="n"/>
      <c r="B226" s="36" t="n"/>
      <c r="C226" s="35" t="n"/>
      <c r="D226" s="35" t="n"/>
      <c r="E226" s="38" t="n"/>
      <c r="F226" s="35" t="n"/>
      <c r="G226" s="1" t="n"/>
    </row>
    <row r="227">
      <c r="A227" s="1" t="n"/>
      <c r="B227" s="36" t="n"/>
      <c r="C227" s="35" t="n"/>
      <c r="D227" s="35" t="n"/>
      <c r="E227" s="38" t="n"/>
      <c r="F227" s="35" t="n"/>
      <c r="G227" s="1" t="n"/>
    </row>
    <row r="228">
      <c r="A228" s="1" t="n"/>
      <c r="B228" s="36" t="n"/>
      <c r="C228" s="35" t="n"/>
      <c r="D228" s="35" t="n"/>
      <c r="E228" s="38" t="n"/>
      <c r="F228" s="35" t="n"/>
      <c r="G228" s="1" t="n"/>
    </row>
    <row r="229">
      <c r="A229" s="1" t="n"/>
      <c r="B229" s="36" t="n"/>
      <c r="C229" s="35" t="n"/>
      <c r="D229" s="35" t="n"/>
      <c r="E229" s="38" t="n"/>
      <c r="F229" s="35" t="n"/>
      <c r="G229" s="1" t="n"/>
    </row>
    <row r="230">
      <c r="A230" s="1" t="n"/>
      <c r="B230" s="36" t="n"/>
      <c r="C230" s="35" t="n"/>
      <c r="D230" s="35" t="n"/>
      <c r="E230" s="38" t="n"/>
      <c r="F230" s="35" t="n"/>
      <c r="G230" s="1" t="n"/>
    </row>
    <row r="231">
      <c r="A231" s="1" t="n"/>
      <c r="B231" s="36" t="n"/>
      <c r="C231" s="35" t="n"/>
      <c r="D231" s="35" t="n"/>
      <c r="E231" s="38" t="n"/>
      <c r="F231" s="35" t="n"/>
      <c r="G231" s="1" t="n"/>
    </row>
    <row r="232">
      <c r="A232" s="1" t="n"/>
      <c r="B232" s="36" t="n"/>
      <c r="C232" s="35" t="n"/>
      <c r="D232" s="35" t="n"/>
      <c r="E232" s="38" t="n"/>
      <c r="F232" s="35" t="n"/>
      <c r="G232" s="1" t="n"/>
    </row>
    <row r="233">
      <c r="A233" s="1" t="n"/>
      <c r="B233" s="36" t="n"/>
      <c r="C233" s="35" t="n"/>
      <c r="D233" s="35" t="n"/>
      <c r="E233" s="38" t="n"/>
      <c r="F233" s="35" t="n"/>
      <c r="G233" s="1" t="n"/>
    </row>
    <row r="234">
      <c r="A234" s="1" t="n"/>
      <c r="B234" s="36" t="n"/>
      <c r="C234" s="35" t="n"/>
      <c r="D234" s="35" t="n"/>
      <c r="E234" s="38" t="n"/>
      <c r="F234" s="35" t="n"/>
      <c r="G234" s="1" t="n"/>
    </row>
    <row r="235">
      <c r="A235" s="1" t="n"/>
      <c r="B235" s="36" t="n"/>
      <c r="C235" s="35" t="n"/>
      <c r="D235" s="35" t="n"/>
      <c r="E235" s="38" t="n"/>
      <c r="F235" s="35" t="n"/>
      <c r="G235" s="1" t="n"/>
    </row>
    <row r="236">
      <c r="A236" s="1" t="n"/>
      <c r="B236" s="36" t="n"/>
      <c r="C236" s="35" t="n"/>
      <c r="D236" s="35" t="n"/>
      <c r="E236" s="38" t="n"/>
      <c r="F236" s="35" t="n"/>
      <c r="G236" s="1" t="n"/>
    </row>
    <row r="237">
      <c r="A237" s="1" t="n"/>
      <c r="B237" s="36" t="n"/>
      <c r="C237" s="35" t="n"/>
      <c r="D237" s="35" t="n"/>
      <c r="E237" s="38" t="n"/>
      <c r="F237" s="35" t="n"/>
      <c r="G237" s="1" t="n"/>
    </row>
    <row r="238">
      <c r="A238" s="1" t="n"/>
      <c r="B238" s="36" t="n"/>
      <c r="C238" s="35" t="n"/>
      <c r="D238" s="35" t="n"/>
      <c r="E238" s="38" t="n"/>
      <c r="F238" s="35" t="n"/>
      <c r="G238" s="1" t="n"/>
    </row>
    <row r="239">
      <c r="A239" s="1" t="n"/>
      <c r="B239" s="36" t="n"/>
      <c r="C239" s="35" t="n"/>
      <c r="D239" s="35" t="n"/>
      <c r="E239" s="38" t="n"/>
      <c r="F239" s="35" t="n"/>
      <c r="G239" s="1" t="n"/>
    </row>
    <row r="240">
      <c r="A240" s="1" t="n"/>
      <c r="B240" s="36" t="n"/>
      <c r="C240" s="35" t="n"/>
      <c r="D240" s="35" t="n"/>
      <c r="E240" s="38" t="n"/>
      <c r="F240" s="35" t="n"/>
      <c r="G240" s="1" t="n"/>
    </row>
    <row r="241">
      <c r="A241" s="1" t="n"/>
      <c r="B241" s="36" t="n"/>
      <c r="C241" s="35" t="n"/>
      <c r="D241" s="35" t="n"/>
      <c r="E241" s="38" t="n"/>
      <c r="F241" s="35" t="n"/>
      <c r="G241" s="1" t="n"/>
    </row>
    <row r="242">
      <c r="A242" s="1" t="n"/>
      <c r="B242" s="36" t="n"/>
      <c r="C242" s="35" t="n"/>
      <c r="D242" s="35" t="n"/>
      <c r="E242" s="38" t="n"/>
      <c r="F242" s="35" t="n"/>
      <c r="G242" s="1" t="n"/>
    </row>
    <row r="243">
      <c r="A243" s="1" t="n"/>
      <c r="B243" s="36" t="n"/>
      <c r="C243" s="35" t="n"/>
      <c r="D243" s="35" t="n"/>
      <c r="E243" s="38" t="n"/>
      <c r="F243" s="35" t="n"/>
      <c r="G243" s="1" t="n"/>
    </row>
    <row r="244">
      <c r="A244" s="1" t="n"/>
      <c r="B244" s="36" t="n"/>
      <c r="C244" s="35" t="n"/>
      <c r="D244" s="35" t="n"/>
      <c r="E244" s="38" t="n"/>
      <c r="F244" s="35" t="n"/>
      <c r="G244" s="1" t="n"/>
    </row>
    <row r="245">
      <c r="A245" s="1" t="n"/>
      <c r="B245" s="36" t="n"/>
      <c r="C245" s="35" t="n"/>
      <c r="D245" s="35" t="n"/>
      <c r="E245" s="38" t="n"/>
      <c r="F245" s="35" t="n"/>
      <c r="G245" s="1" t="n"/>
    </row>
    <row r="246">
      <c r="A246" s="1" t="n"/>
      <c r="B246" s="36" t="n"/>
      <c r="C246" s="35" t="n"/>
      <c r="D246" s="35" t="n"/>
      <c r="E246" s="38" t="n"/>
      <c r="F246" s="35" t="n"/>
      <c r="G246" s="1" t="n"/>
    </row>
    <row r="247">
      <c r="A247" s="1" t="n"/>
      <c r="B247" s="36" t="n"/>
      <c r="C247" s="35" t="n"/>
      <c r="D247" s="35" t="n"/>
      <c r="E247" s="38" t="n"/>
      <c r="F247" s="35" t="n"/>
      <c r="G247" s="1" t="n"/>
    </row>
    <row r="248">
      <c r="A248" s="1" t="n"/>
      <c r="B248" s="36" t="n"/>
      <c r="C248" s="35" t="n"/>
      <c r="D248" s="35" t="n"/>
      <c r="E248" s="38" t="n"/>
      <c r="F248" s="35" t="n"/>
      <c r="G248" s="1" t="n"/>
    </row>
    <row r="249">
      <c r="A249" s="1" t="n"/>
      <c r="B249" s="36" t="n"/>
      <c r="C249" s="35" t="n"/>
      <c r="D249" s="35" t="n"/>
      <c r="E249" s="38" t="n"/>
      <c r="F249" s="35" t="n"/>
      <c r="G249" s="1" t="n"/>
    </row>
    <row r="250">
      <c r="A250" s="1" t="n"/>
      <c r="B250" s="36" t="n"/>
      <c r="C250" s="35" t="n"/>
      <c r="D250" s="35" t="n"/>
      <c r="E250" s="38" t="n"/>
      <c r="F250" s="35" t="n"/>
      <c r="G250" s="1" t="n"/>
    </row>
    <row r="251">
      <c r="A251" s="1" t="n"/>
      <c r="B251" s="36" t="n"/>
      <c r="C251" s="35" t="n"/>
      <c r="D251" s="35" t="n"/>
      <c r="E251" s="38" t="n"/>
      <c r="F251" s="35" t="n"/>
      <c r="G251" s="1" t="n"/>
    </row>
    <row r="252">
      <c r="A252" s="1" t="n"/>
      <c r="B252" s="36" t="n"/>
      <c r="C252" s="35" t="n"/>
      <c r="D252" s="35" t="n"/>
      <c r="E252" s="38" t="n"/>
      <c r="F252" s="35" t="n"/>
      <c r="G252" s="1" t="n"/>
    </row>
    <row r="253">
      <c r="A253" s="1" t="n"/>
      <c r="B253" s="36" t="n"/>
      <c r="C253" s="35" t="n"/>
      <c r="D253" s="35" t="n"/>
      <c r="E253" s="38" t="n"/>
      <c r="F253" s="35" t="n"/>
      <c r="G253" s="1" t="n"/>
    </row>
    <row r="254">
      <c r="A254" s="1" t="n"/>
      <c r="B254" s="36" t="n"/>
      <c r="C254" s="35" t="n"/>
      <c r="D254" s="35" t="n"/>
      <c r="E254" s="38" t="n"/>
      <c r="F254" s="35" t="n"/>
      <c r="G254" s="1" t="n"/>
    </row>
    <row r="255">
      <c r="A255" s="1" t="n"/>
      <c r="B255" s="36" t="n"/>
      <c r="C255" s="35" t="n"/>
      <c r="D255" s="35" t="n"/>
      <c r="E255" s="38" t="n"/>
      <c r="F255" s="35" t="n"/>
      <c r="G255" s="1" t="n"/>
    </row>
    <row r="256">
      <c r="A256" s="1" t="n"/>
      <c r="B256" s="36" t="n"/>
      <c r="C256" s="35" t="n"/>
      <c r="D256" s="35" t="n"/>
      <c r="E256" s="38" t="n"/>
      <c r="F256" s="35" t="n"/>
      <c r="G256" s="1" t="n"/>
    </row>
    <row r="257">
      <c r="A257" s="1" t="n"/>
      <c r="B257" s="36" t="n"/>
      <c r="C257" s="35" t="n"/>
      <c r="D257" s="35" t="n"/>
      <c r="E257" s="38" t="n"/>
      <c r="F257" s="35" t="n"/>
      <c r="G257" s="1" t="n"/>
    </row>
    <row r="258">
      <c r="A258" s="1" t="n"/>
      <c r="B258" s="36" t="n"/>
      <c r="C258" s="35" t="n"/>
      <c r="D258" s="35" t="n"/>
      <c r="E258" s="38" t="n"/>
      <c r="F258" s="35" t="n"/>
      <c r="G258" s="1" t="n"/>
    </row>
    <row r="259">
      <c r="A259" s="1" t="n"/>
      <c r="B259" s="36" t="n"/>
      <c r="C259" s="35" t="n"/>
      <c r="D259" s="35" t="n"/>
      <c r="E259" s="38" t="n"/>
      <c r="F259" s="35" t="n"/>
      <c r="G259" s="1" t="n"/>
    </row>
    <row r="260">
      <c r="A260" s="1" t="n"/>
      <c r="B260" s="36" t="n"/>
      <c r="C260" s="35" t="n"/>
      <c r="D260" s="35" t="n"/>
      <c r="E260" s="38" t="n"/>
      <c r="F260" s="35" t="n"/>
      <c r="G260" s="1" t="n"/>
    </row>
    <row r="261">
      <c r="A261" s="1" t="n"/>
      <c r="B261" s="36" t="n"/>
      <c r="C261" s="35" t="n"/>
      <c r="D261" s="35" t="n"/>
      <c r="E261" s="38" t="n"/>
      <c r="F261" s="35" t="n"/>
      <c r="G261" s="1" t="n"/>
    </row>
    <row r="262">
      <c r="A262" s="1" t="n"/>
      <c r="B262" s="36" t="n"/>
      <c r="C262" s="35" t="n"/>
      <c r="D262" s="35" t="n"/>
      <c r="E262" s="38" t="n"/>
      <c r="F262" s="35" t="n"/>
      <c r="G262" s="1" t="n"/>
    </row>
    <row r="263">
      <c r="A263" s="1" t="n"/>
      <c r="B263" s="36" t="n"/>
      <c r="C263" s="35" t="n"/>
      <c r="D263" s="35" t="n"/>
      <c r="E263" s="38" t="n"/>
      <c r="F263" s="35" t="n"/>
      <c r="G263" s="1" t="n"/>
    </row>
    <row r="264">
      <c r="A264" s="1" t="n"/>
      <c r="B264" s="36" t="n"/>
      <c r="C264" s="35" t="n"/>
      <c r="D264" s="35" t="n"/>
      <c r="E264" s="38" t="n"/>
      <c r="F264" s="35" t="n"/>
      <c r="G264" s="1" t="n"/>
    </row>
    <row r="265">
      <c r="A265" s="1" t="n"/>
      <c r="B265" s="36" t="n"/>
      <c r="C265" s="35" t="n"/>
      <c r="D265" s="35" t="n"/>
      <c r="E265" s="38" t="n"/>
      <c r="F265" s="35" t="n"/>
      <c r="G265" s="1" t="n"/>
    </row>
    <row r="266">
      <c r="A266" s="1" t="n"/>
      <c r="B266" s="36" t="n"/>
      <c r="C266" s="35" t="n"/>
      <c r="D266" s="35" t="n"/>
      <c r="E266" s="38" t="n"/>
      <c r="F266" s="35" t="n"/>
      <c r="G266" s="1" t="n"/>
    </row>
    <row r="267">
      <c r="A267" s="1" t="n"/>
      <c r="B267" s="36" t="n"/>
      <c r="C267" s="35" t="n"/>
      <c r="D267" s="35" t="n"/>
      <c r="E267" s="38" t="n"/>
      <c r="F267" s="35" t="n"/>
      <c r="G267" s="1" t="n"/>
    </row>
    <row r="268">
      <c r="A268" s="1" t="n"/>
      <c r="B268" s="36" t="n"/>
      <c r="C268" s="35" t="n"/>
      <c r="D268" s="35" t="n"/>
      <c r="E268" s="38" t="n"/>
      <c r="F268" s="35" t="n"/>
      <c r="G268" s="1" t="n"/>
    </row>
    <row r="269">
      <c r="A269" s="1" t="n"/>
      <c r="B269" s="36" t="n"/>
      <c r="C269" s="35" t="n"/>
      <c r="D269" s="35" t="n"/>
      <c r="E269" s="38" t="n"/>
      <c r="F269" s="35" t="n"/>
      <c r="G269" s="1" t="n"/>
    </row>
    <row r="270">
      <c r="A270" s="1" t="n"/>
      <c r="B270" s="36" t="n"/>
      <c r="C270" s="35" t="n"/>
      <c r="D270" s="35" t="n"/>
      <c r="E270" s="38" t="n"/>
      <c r="F270" s="35" t="n"/>
      <c r="G270" s="1" t="n"/>
    </row>
    <row r="271">
      <c r="A271" s="1" t="n"/>
      <c r="B271" s="36" t="n"/>
      <c r="C271" s="35" t="n"/>
      <c r="D271" s="35" t="n"/>
      <c r="E271" s="38" t="n"/>
      <c r="F271" s="35" t="n"/>
      <c r="G271" s="1" t="n"/>
    </row>
    <row r="272">
      <c r="A272" s="1" t="n"/>
      <c r="B272" s="36" t="n"/>
      <c r="C272" s="35" t="n"/>
      <c r="D272" s="35" t="n"/>
      <c r="E272" s="38" t="n"/>
      <c r="F272" s="35" t="n"/>
      <c r="G272" s="1" t="n"/>
    </row>
    <row r="273">
      <c r="A273" s="1" t="n"/>
      <c r="B273" s="36" t="n"/>
      <c r="C273" s="35" t="n"/>
      <c r="D273" s="35" t="n"/>
      <c r="E273" s="38" t="n"/>
      <c r="F273" s="35" t="n"/>
      <c r="G273" s="1" t="n"/>
    </row>
    <row r="274">
      <c r="A274" s="1" t="n"/>
      <c r="B274" s="36" t="n"/>
      <c r="C274" s="35" t="n"/>
      <c r="D274" s="35" t="n"/>
      <c r="E274" s="38" t="n"/>
      <c r="F274" s="35" t="n"/>
      <c r="G274" s="1" t="n"/>
    </row>
    <row r="275">
      <c r="A275" s="1" t="n"/>
      <c r="B275" s="36" t="n"/>
      <c r="C275" s="35" t="n"/>
      <c r="D275" s="35" t="n"/>
      <c r="E275" s="38" t="n"/>
      <c r="F275" s="35" t="n"/>
      <c r="G275" s="1" t="n"/>
    </row>
    <row r="276">
      <c r="A276" s="1" t="n"/>
      <c r="B276" s="36" t="n"/>
      <c r="C276" s="35" t="n"/>
      <c r="D276" s="35" t="n"/>
      <c r="E276" s="38" t="n"/>
      <c r="F276" s="35" t="n"/>
      <c r="G276" s="1" t="n"/>
    </row>
    <row r="277">
      <c r="A277" s="1" t="n"/>
      <c r="B277" s="36" t="n"/>
      <c r="C277" s="35" t="n"/>
      <c r="D277" s="35" t="n"/>
      <c r="E277" s="38" t="n"/>
      <c r="F277" s="35" t="n"/>
      <c r="G277" s="1" t="n"/>
    </row>
    <row r="278">
      <c r="A278" s="1" t="n"/>
      <c r="B278" s="36" t="n"/>
      <c r="C278" s="35" t="n"/>
      <c r="D278" s="35" t="n"/>
      <c r="E278" s="38" t="n"/>
      <c r="F278" s="35" t="n"/>
      <c r="G278" s="1" t="n"/>
    </row>
    <row r="279">
      <c r="A279" s="1" t="n"/>
      <c r="B279" s="36" t="n"/>
      <c r="C279" s="35" t="n"/>
      <c r="D279" s="35" t="n"/>
      <c r="E279" s="38" t="n"/>
      <c r="F279" s="35" t="n"/>
      <c r="G279" s="1" t="n"/>
    </row>
    <row r="280">
      <c r="A280" s="1" t="n"/>
      <c r="B280" s="36" t="n"/>
      <c r="C280" s="35" t="n"/>
      <c r="D280" s="35" t="n"/>
      <c r="E280" s="38" t="n"/>
      <c r="F280" s="35" t="n"/>
      <c r="G280" s="1" t="n"/>
    </row>
    <row r="281">
      <c r="A281" s="1" t="n"/>
      <c r="B281" s="36" t="n"/>
      <c r="C281" s="35" t="n"/>
      <c r="D281" s="35" t="n"/>
      <c r="E281" s="38" t="n"/>
      <c r="F281" s="35" t="n"/>
      <c r="G281" s="1" t="n"/>
    </row>
    <row r="282">
      <c r="A282" s="1" t="n"/>
      <c r="B282" s="36" t="n"/>
      <c r="C282" s="35" t="n"/>
      <c r="D282" s="35" t="n"/>
      <c r="E282" s="38" t="n"/>
      <c r="F282" s="35" t="n"/>
      <c r="G282" s="1" t="n"/>
    </row>
    <row r="283">
      <c r="A283" s="1" t="n"/>
      <c r="B283" s="36" t="n"/>
      <c r="C283" s="35" t="n"/>
      <c r="D283" s="35" t="n"/>
      <c r="E283" s="38" t="n"/>
      <c r="F283" s="35" t="n"/>
      <c r="G283" s="1" t="n"/>
    </row>
    <row r="284">
      <c r="A284" s="1" t="n"/>
      <c r="B284" s="36" t="n"/>
      <c r="C284" s="35" t="n"/>
      <c r="D284" s="35" t="n"/>
      <c r="E284" s="38" t="n"/>
      <c r="F284" s="35" t="n"/>
      <c r="G284" s="1" t="n"/>
    </row>
    <row r="285">
      <c r="A285" s="1" t="n"/>
      <c r="B285" s="36" t="n"/>
      <c r="C285" s="35" t="n"/>
      <c r="D285" s="35" t="n"/>
      <c r="E285" s="38" t="n"/>
      <c r="F285" s="35" t="n"/>
      <c r="G285" s="1" t="n"/>
    </row>
    <row r="286">
      <c r="A286" s="1" t="n"/>
      <c r="B286" s="36" t="n"/>
      <c r="C286" s="35" t="n"/>
      <c r="D286" s="35" t="n"/>
      <c r="E286" s="38" t="n"/>
      <c r="F286" s="35" t="n"/>
      <c r="G286" s="1" t="n"/>
    </row>
    <row r="287">
      <c r="A287" s="1" t="n"/>
      <c r="B287" s="36" t="n"/>
      <c r="C287" s="35" t="n"/>
      <c r="D287" s="35" t="n"/>
      <c r="E287" s="38" t="n"/>
      <c r="F287" s="35" t="n"/>
      <c r="G287" s="1" t="n"/>
    </row>
    <row r="288">
      <c r="A288" s="1" t="n"/>
      <c r="B288" s="36" t="n"/>
      <c r="C288" s="35" t="n"/>
      <c r="D288" s="35" t="n"/>
      <c r="E288" s="38" t="n"/>
      <c r="F288" s="35" t="n"/>
      <c r="G288" s="1" t="n"/>
    </row>
    <row r="289">
      <c r="A289" s="1" t="n"/>
      <c r="B289" s="36" t="n"/>
      <c r="C289" s="35" t="n"/>
      <c r="D289" s="35" t="n"/>
      <c r="E289" s="38" t="n"/>
      <c r="F289" s="35" t="n"/>
      <c r="G289" s="1" t="n"/>
    </row>
    <row r="290">
      <c r="A290" s="1" t="n"/>
      <c r="B290" s="36" t="n"/>
      <c r="C290" s="35" t="n"/>
      <c r="D290" s="35" t="n"/>
      <c r="E290" s="38" t="n"/>
      <c r="F290" s="35" t="n"/>
      <c r="G290" s="1" t="n"/>
    </row>
    <row r="291">
      <c r="A291" s="1" t="n"/>
      <c r="B291" s="36" t="n"/>
      <c r="C291" s="35" t="n"/>
      <c r="D291" s="35" t="n"/>
      <c r="E291" s="38" t="n"/>
      <c r="F291" s="35" t="n"/>
      <c r="G291" s="1" t="n"/>
    </row>
    <row r="292">
      <c r="A292" s="1" t="n"/>
      <c r="B292" s="36" t="n"/>
      <c r="C292" s="35" t="n"/>
      <c r="D292" s="35" t="n"/>
      <c r="E292" s="38" t="n"/>
      <c r="F292" s="35" t="n"/>
      <c r="G292" s="1" t="n"/>
    </row>
    <row r="293">
      <c r="A293" s="1" t="n"/>
      <c r="B293" s="36" t="n"/>
      <c r="C293" s="35" t="n"/>
      <c r="D293" s="35" t="n"/>
      <c r="E293" s="38" t="n"/>
      <c r="F293" s="35" t="n"/>
      <c r="G293" s="1" t="n"/>
    </row>
    <row r="294">
      <c r="A294" s="1" t="n"/>
      <c r="B294" s="36" t="n"/>
      <c r="C294" s="35" t="n"/>
      <c r="D294" s="35" t="n"/>
      <c r="E294" s="38" t="n"/>
      <c r="F294" s="35" t="n"/>
      <c r="G294" s="1" t="n"/>
    </row>
    <row r="295">
      <c r="A295" s="1" t="n"/>
      <c r="B295" s="36" t="n"/>
      <c r="C295" s="35" t="n"/>
      <c r="D295" s="35" t="n"/>
      <c r="E295" s="38" t="n"/>
      <c r="F295" s="35" t="n"/>
      <c r="G295" s="1" t="n"/>
    </row>
    <row r="296">
      <c r="A296" s="1" t="n"/>
      <c r="B296" s="36" t="n"/>
      <c r="C296" s="35" t="n"/>
      <c r="D296" s="35" t="n"/>
      <c r="E296" s="38" t="n"/>
      <c r="F296" s="35" t="n"/>
      <c r="G296" s="1" t="n"/>
    </row>
    <row r="297">
      <c r="A297" s="1" t="n"/>
      <c r="B297" s="36" t="n"/>
      <c r="C297" s="35" t="n"/>
      <c r="D297" s="35" t="n"/>
      <c r="E297" s="38" t="n"/>
      <c r="F297" s="35" t="n"/>
      <c r="G297" s="1" t="n"/>
    </row>
    <row r="298">
      <c r="A298" s="1" t="n"/>
      <c r="B298" s="36" t="n"/>
      <c r="C298" s="35" t="n"/>
      <c r="D298" s="35" t="n"/>
      <c r="E298" s="38" t="n"/>
      <c r="F298" s="35" t="n"/>
      <c r="G298" s="1" t="n"/>
    </row>
    <row r="299">
      <c r="A299" s="1" t="n"/>
      <c r="B299" s="36" t="n"/>
      <c r="C299" s="35" t="n"/>
      <c r="D299" s="35" t="n"/>
      <c r="E299" s="38" t="n"/>
      <c r="F299" s="35" t="n"/>
      <c r="G299" s="1" t="n"/>
    </row>
    <row r="300">
      <c r="A300" s="1" t="n"/>
      <c r="B300" s="36" t="n"/>
      <c r="C300" s="35" t="n"/>
      <c r="D300" s="35" t="n"/>
      <c r="E300" s="38" t="n"/>
      <c r="F300" s="35" t="n"/>
      <c r="G300" s="1" t="n"/>
    </row>
    <row r="301">
      <c r="A301" s="1" t="n"/>
      <c r="B301" s="36" t="n"/>
      <c r="C301" s="35" t="n"/>
      <c r="D301" s="35" t="n"/>
      <c r="E301" s="38" t="n"/>
      <c r="F301" s="35" t="n"/>
      <c r="G301" s="1" t="n"/>
    </row>
    <row r="302">
      <c r="A302" s="1" t="n"/>
      <c r="B302" s="36" t="n"/>
      <c r="C302" s="35" t="n"/>
      <c r="D302" s="35" t="n"/>
      <c r="E302" s="38" t="n"/>
      <c r="F302" s="35" t="n"/>
      <c r="G302" s="1" t="n"/>
    </row>
    <row r="303">
      <c r="A303" s="1" t="n"/>
      <c r="B303" s="36" t="n"/>
      <c r="C303" s="35" t="n"/>
      <c r="D303" s="35" t="n"/>
      <c r="E303" s="38" t="n"/>
      <c r="F303" s="35" t="n"/>
      <c r="G303" s="1" t="n"/>
    </row>
    <row r="304">
      <c r="A304" s="1" t="n"/>
      <c r="B304" s="36" t="n"/>
      <c r="C304" s="35" t="n"/>
      <c r="D304" s="35" t="n"/>
      <c r="E304" s="38" t="n"/>
      <c r="F304" s="35" t="n"/>
      <c r="G304" s="1" t="n"/>
    </row>
    <row r="305">
      <c r="A305" s="1" t="n"/>
      <c r="B305" s="36" t="n"/>
      <c r="C305" s="35" t="n"/>
      <c r="D305" s="35" t="n"/>
      <c r="E305" s="38" t="n"/>
      <c r="F305" s="35" t="n"/>
      <c r="G305" s="1" t="n"/>
    </row>
    <row r="306">
      <c r="A306" s="1" t="n"/>
      <c r="B306" s="36" t="n"/>
      <c r="C306" s="35" t="n"/>
      <c r="D306" s="35" t="n"/>
      <c r="E306" s="38" t="n"/>
      <c r="F306" s="35" t="n"/>
      <c r="G306" s="1" t="n"/>
    </row>
    <row r="307">
      <c r="A307" s="1" t="n"/>
      <c r="B307" s="36" t="n"/>
      <c r="C307" s="35" t="n"/>
      <c r="D307" s="35" t="n"/>
      <c r="E307" s="38" t="n"/>
      <c r="F307" s="35" t="n"/>
      <c r="G307" s="1" t="n"/>
    </row>
    <row r="308">
      <c r="A308" s="1" t="n"/>
      <c r="B308" s="36" t="n"/>
      <c r="C308" s="35" t="n"/>
      <c r="D308" s="35" t="n"/>
      <c r="E308" s="38" t="n"/>
      <c r="F308" s="35" t="n"/>
      <c r="G308" s="1" t="n"/>
    </row>
    <row r="309">
      <c r="A309" s="1" t="n"/>
      <c r="B309" s="36" t="n"/>
      <c r="C309" s="35" t="n"/>
      <c r="D309" s="35" t="n"/>
      <c r="E309" s="38" t="n"/>
      <c r="F309" s="35" t="n"/>
      <c r="G309" s="1" t="n"/>
    </row>
    <row r="310">
      <c r="A310" s="1" t="n"/>
      <c r="B310" s="36" t="n"/>
      <c r="C310" s="35" t="n"/>
      <c r="D310" s="35" t="n"/>
      <c r="E310" s="38" t="n"/>
      <c r="F310" s="35" t="n"/>
      <c r="G310" s="1" t="n"/>
    </row>
    <row r="311">
      <c r="A311" s="1" t="n"/>
      <c r="B311" s="36" t="n"/>
      <c r="C311" s="35" t="n"/>
      <c r="D311" s="35" t="n"/>
      <c r="E311" s="38" t="n"/>
      <c r="F311" s="35" t="n"/>
      <c r="G311" s="1" t="n"/>
    </row>
    <row r="312">
      <c r="A312" s="1" t="n"/>
      <c r="B312" s="36" t="n"/>
      <c r="C312" s="35" t="n"/>
      <c r="D312" s="35" t="n"/>
      <c r="E312" s="38" t="n"/>
      <c r="F312" s="35" t="n"/>
      <c r="G312" s="1" t="n"/>
    </row>
    <row r="313">
      <c r="A313" s="1" t="n"/>
      <c r="B313" s="36" t="n"/>
      <c r="C313" s="35" t="n"/>
      <c r="D313" s="35" t="n"/>
      <c r="E313" s="38" t="n"/>
      <c r="F313" s="35" t="n"/>
      <c r="G313" s="1" t="n"/>
    </row>
    <row r="314">
      <c r="A314" s="1" t="n"/>
      <c r="B314" s="36" t="n"/>
      <c r="C314" s="35" t="n"/>
      <c r="D314" s="35" t="n"/>
      <c r="E314" s="38" t="n"/>
      <c r="F314" s="35" t="n"/>
      <c r="G314" s="1" t="n"/>
    </row>
    <row r="315">
      <c r="A315" s="1" t="n"/>
      <c r="B315" s="36" t="n"/>
      <c r="C315" s="35" t="n"/>
      <c r="D315" s="35" t="n"/>
      <c r="E315" s="38" t="n"/>
      <c r="F315" s="35" t="n"/>
      <c r="G315" s="1" t="n"/>
    </row>
    <row r="316">
      <c r="A316" s="1" t="n"/>
      <c r="B316" s="36" t="n"/>
      <c r="C316" s="35" t="n"/>
      <c r="D316" s="35" t="n"/>
      <c r="E316" s="38" t="n"/>
      <c r="F316" s="35" t="n"/>
      <c r="G316" s="1" t="n"/>
    </row>
    <row r="317">
      <c r="A317" s="1" t="n"/>
      <c r="B317" s="36" t="n"/>
      <c r="C317" s="35" t="n"/>
      <c r="D317" s="35" t="n"/>
      <c r="E317" s="38" t="n"/>
      <c r="F317" s="35" t="n"/>
      <c r="G317" s="1" t="n"/>
    </row>
    <row r="318">
      <c r="A318" s="1" t="n"/>
      <c r="B318" s="36" t="n"/>
      <c r="C318" s="35" t="n"/>
      <c r="D318" s="35" t="n"/>
      <c r="E318" s="38" t="n"/>
      <c r="F318" s="35" t="n"/>
      <c r="G318" s="1" t="n"/>
    </row>
    <row r="319">
      <c r="A319" s="1" t="n"/>
      <c r="B319" s="36" t="n"/>
      <c r="C319" s="35" t="n"/>
      <c r="D319" s="35" t="n"/>
      <c r="E319" s="38" t="n"/>
      <c r="F319" s="35" t="n"/>
      <c r="G319" s="1" t="n"/>
    </row>
    <row r="320">
      <c r="A320" s="1" t="n"/>
      <c r="B320" s="36" t="n"/>
      <c r="C320" s="35" t="n"/>
      <c r="D320" s="35" t="n"/>
      <c r="E320" s="38" t="n"/>
      <c r="F320" s="35" t="n"/>
      <c r="G320" s="1" t="n"/>
    </row>
    <row r="321">
      <c r="A321" s="1" t="n"/>
      <c r="B321" s="36" t="n"/>
      <c r="C321" s="35" t="n"/>
      <c r="D321" s="35" t="n"/>
      <c r="E321" s="38" t="n"/>
      <c r="F321" s="35" t="n"/>
      <c r="G321" s="1" t="n"/>
    </row>
    <row r="322">
      <c r="A322" s="1" t="n"/>
      <c r="B322" s="36" t="n"/>
      <c r="C322" s="35" t="n"/>
      <c r="D322" s="35" t="n"/>
      <c r="E322" s="38" t="n"/>
      <c r="F322" s="35" t="n"/>
      <c r="G322" s="1" t="n"/>
    </row>
    <row r="323">
      <c r="A323" s="1" t="n"/>
      <c r="B323" s="36" t="n"/>
      <c r="C323" s="35" t="n"/>
      <c r="D323" s="35" t="n"/>
      <c r="E323" s="38" t="n"/>
      <c r="F323" s="35" t="n"/>
      <c r="G323" s="1" t="n"/>
    </row>
    <row r="324">
      <c r="A324" s="1" t="n"/>
      <c r="B324" s="36" t="n"/>
      <c r="C324" s="35" t="n"/>
      <c r="D324" s="35" t="n"/>
      <c r="E324" s="38" t="n"/>
      <c r="F324" s="35" t="n"/>
      <c r="G324" s="1" t="n"/>
    </row>
    <row r="325">
      <c r="A325" s="1" t="n"/>
      <c r="B325" s="36" t="n"/>
      <c r="C325" s="35" t="n"/>
      <c r="D325" s="35" t="n"/>
      <c r="E325" s="38" t="n"/>
      <c r="F325" s="35" t="n"/>
      <c r="G325" s="1" t="n"/>
    </row>
    <row r="326">
      <c r="A326" s="1" t="n"/>
      <c r="B326" s="36" t="n"/>
      <c r="C326" s="35" t="n"/>
      <c r="D326" s="35" t="n"/>
      <c r="E326" s="38" t="n"/>
      <c r="F326" s="35" t="n"/>
      <c r="G326" s="1" t="n"/>
    </row>
    <row r="327">
      <c r="A327" s="1" t="n"/>
      <c r="B327" s="36" t="n"/>
      <c r="C327" s="35" t="n"/>
      <c r="D327" s="35" t="n"/>
      <c r="E327" s="38" t="n"/>
      <c r="F327" s="35" t="n"/>
      <c r="G327" s="1" t="n"/>
    </row>
    <row r="328">
      <c r="A328" s="1" t="n"/>
      <c r="B328" s="36" t="n"/>
      <c r="C328" s="35" t="n"/>
      <c r="D328" s="35" t="n"/>
      <c r="E328" s="38" t="n"/>
      <c r="F328" s="35" t="n"/>
      <c r="G328" s="1" t="n"/>
    </row>
    <row r="329">
      <c r="A329" s="1" t="n"/>
      <c r="B329" s="36" t="n"/>
      <c r="C329" s="35" t="n"/>
      <c r="D329" s="35" t="n"/>
      <c r="E329" s="38" t="n"/>
      <c r="F329" s="35" t="n"/>
      <c r="G329" s="1" t="n"/>
    </row>
    <row r="330">
      <c r="A330" s="1" t="n"/>
      <c r="B330" s="36" t="n"/>
      <c r="C330" s="35" t="n"/>
      <c r="D330" s="35" t="n"/>
      <c r="E330" s="38" t="n"/>
      <c r="F330" s="35" t="n"/>
      <c r="G330" s="1" t="n"/>
    </row>
    <row r="331">
      <c r="A331" s="1" t="n"/>
      <c r="B331" s="36" t="n"/>
      <c r="C331" s="35" t="n"/>
      <c r="D331" s="35" t="n"/>
      <c r="E331" s="38" t="n"/>
      <c r="F331" s="35" t="n"/>
      <c r="G331" s="1" t="n"/>
    </row>
    <row r="332">
      <c r="A332" s="1" t="n"/>
      <c r="B332" s="36" t="n"/>
      <c r="C332" s="35" t="n"/>
      <c r="D332" s="35" t="n"/>
      <c r="E332" s="38" t="n"/>
      <c r="F332" s="35" t="n"/>
      <c r="G332" s="1" t="n"/>
    </row>
    <row r="333">
      <c r="A333" s="1" t="n"/>
      <c r="B333" s="36" t="n"/>
      <c r="C333" s="35" t="n"/>
      <c r="D333" s="35" t="n"/>
      <c r="E333" s="38" t="n"/>
      <c r="F333" s="35" t="n"/>
      <c r="G333" s="1" t="n"/>
    </row>
    <row r="334">
      <c r="A334" s="1" t="n"/>
      <c r="B334" s="36" t="n"/>
      <c r="C334" s="35" t="n"/>
      <c r="D334" s="35" t="n"/>
      <c r="E334" s="38" t="n"/>
      <c r="F334" s="35" t="n"/>
      <c r="G334" s="1" t="n"/>
    </row>
    <row r="335">
      <c r="A335" s="1" t="n"/>
      <c r="B335" s="36" t="n"/>
      <c r="C335" s="35" t="n"/>
      <c r="D335" s="35" t="n"/>
      <c r="E335" s="38" t="n"/>
      <c r="F335" s="35" t="n"/>
      <c r="G335" s="1" t="n"/>
    </row>
    <row r="336">
      <c r="A336" s="1" t="n"/>
      <c r="B336" s="36" t="n"/>
      <c r="C336" s="35" t="n"/>
      <c r="D336" s="35" t="n"/>
      <c r="E336" s="38" t="n"/>
      <c r="F336" s="35" t="n"/>
      <c r="G336" s="1" t="n"/>
    </row>
    <row r="337">
      <c r="A337" s="1" t="n"/>
      <c r="B337" s="36" t="n"/>
      <c r="C337" s="35" t="n"/>
      <c r="D337" s="35" t="n"/>
      <c r="E337" s="38" t="n"/>
      <c r="F337" s="35" t="n"/>
      <c r="G337" s="1" t="n"/>
    </row>
    <row r="338">
      <c r="A338" s="1" t="n"/>
      <c r="B338" s="36" t="n"/>
      <c r="C338" s="35" t="n"/>
      <c r="D338" s="35" t="n"/>
      <c r="E338" s="38" t="n"/>
      <c r="F338" s="35" t="n"/>
      <c r="G338" s="1" t="n"/>
    </row>
    <row r="339">
      <c r="A339" s="1" t="n"/>
      <c r="B339" s="36" t="n"/>
      <c r="C339" s="35" t="n"/>
      <c r="D339" s="35" t="n"/>
      <c r="E339" s="38" t="n"/>
      <c r="F339" s="35" t="n"/>
      <c r="G339" s="1" t="n"/>
    </row>
    <row r="340">
      <c r="A340" s="1" t="n"/>
      <c r="B340" s="36" t="n"/>
      <c r="C340" s="35" t="n"/>
      <c r="D340" s="35" t="n"/>
      <c r="E340" s="38" t="n"/>
      <c r="F340" s="35" t="n"/>
      <c r="G340" s="1" t="n"/>
    </row>
    <row r="341">
      <c r="A341" s="1" t="n"/>
      <c r="B341" s="36" t="n"/>
      <c r="C341" s="35" t="n"/>
      <c r="D341" s="35" t="n"/>
      <c r="E341" s="38" t="n"/>
      <c r="F341" s="35" t="n"/>
      <c r="G341" s="1" t="n"/>
    </row>
    <row r="342">
      <c r="A342" s="1" t="n"/>
      <c r="B342" s="36" t="n"/>
      <c r="C342" s="35" t="n"/>
      <c r="D342" s="35" t="n"/>
      <c r="E342" s="38" t="n"/>
      <c r="F342" s="35" t="n"/>
      <c r="G342" s="1" t="n"/>
    </row>
    <row r="343">
      <c r="A343" s="1" t="n"/>
      <c r="B343" s="36" t="n"/>
      <c r="C343" s="35" t="n"/>
      <c r="D343" s="35" t="n"/>
      <c r="E343" s="38" t="n"/>
      <c r="F343" s="35" t="n"/>
      <c r="G343" s="1" t="n"/>
    </row>
    <row r="344">
      <c r="A344" s="1" t="n"/>
      <c r="B344" s="36" t="n"/>
      <c r="C344" s="35" t="n"/>
      <c r="D344" s="35" t="n"/>
      <c r="E344" s="38" t="n"/>
      <c r="F344" s="35" t="n"/>
      <c r="G344" s="1" t="n"/>
    </row>
    <row r="345">
      <c r="A345" s="1" t="n"/>
      <c r="B345" s="36" t="n"/>
      <c r="C345" s="35" t="n"/>
      <c r="D345" s="35" t="n"/>
      <c r="E345" s="38" t="n"/>
      <c r="F345" s="35" t="n"/>
      <c r="G345" s="1" t="n"/>
    </row>
    <row r="346">
      <c r="A346" s="1" t="n"/>
      <c r="B346" s="36" t="n"/>
      <c r="C346" s="35" t="n"/>
      <c r="D346" s="35" t="n"/>
      <c r="E346" s="38" t="n"/>
      <c r="F346" s="35" t="n"/>
      <c r="G346" s="1" t="n"/>
    </row>
    <row r="347">
      <c r="A347" s="1" t="n"/>
      <c r="B347" s="36" t="n"/>
      <c r="C347" s="35" t="n"/>
      <c r="D347" s="35" t="n"/>
      <c r="E347" s="38" t="n"/>
      <c r="F347" s="35" t="n"/>
      <c r="G347" s="1" t="n"/>
    </row>
    <row r="348">
      <c r="A348" s="1" t="n"/>
      <c r="B348" s="36" t="n"/>
      <c r="C348" s="35" t="n"/>
      <c r="D348" s="35" t="n"/>
      <c r="E348" s="38" t="n"/>
      <c r="F348" s="35" t="n"/>
      <c r="G348" s="1" t="n"/>
    </row>
    <row r="349">
      <c r="A349" s="1" t="n"/>
      <c r="B349" s="36" t="n"/>
      <c r="C349" s="35" t="n"/>
      <c r="D349" s="35" t="n"/>
      <c r="E349" s="38" t="n"/>
      <c r="F349" s="35" t="n"/>
      <c r="G349" s="1" t="n"/>
    </row>
    <row r="350">
      <c r="A350" s="1" t="n"/>
      <c r="B350" s="36" t="n"/>
      <c r="C350" s="35" t="n"/>
      <c r="D350" s="35" t="n"/>
      <c r="E350" s="38" t="n"/>
      <c r="F350" s="35" t="n"/>
      <c r="G350" s="1" t="n"/>
    </row>
    <row r="351">
      <c r="A351" s="1" t="n"/>
      <c r="B351" s="36" t="n"/>
      <c r="C351" s="35" t="n"/>
      <c r="D351" s="35" t="n"/>
      <c r="E351" s="38" t="n"/>
      <c r="F351" s="35" t="n"/>
      <c r="G351" s="1" t="n"/>
    </row>
    <row r="352">
      <c r="A352" s="1" t="n"/>
      <c r="B352" s="36" t="n"/>
      <c r="C352" s="35" t="n"/>
      <c r="D352" s="35" t="n"/>
      <c r="E352" s="38" t="n"/>
      <c r="F352" s="35" t="n"/>
      <c r="G352" s="1" t="n"/>
    </row>
    <row r="353">
      <c r="A353" s="1" t="n"/>
      <c r="B353" s="36" t="n"/>
      <c r="C353" s="35" t="n"/>
      <c r="D353" s="35" t="n"/>
      <c r="E353" s="38" t="n"/>
      <c r="F353" s="35" t="n"/>
      <c r="G353" s="1" t="n"/>
    </row>
    <row r="354">
      <c r="A354" s="1" t="n"/>
      <c r="B354" s="36" t="n"/>
      <c r="C354" s="35" t="n"/>
      <c r="D354" s="35" t="n"/>
      <c r="E354" s="38" t="n"/>
      <c r="F354" s="35" t="n"/>
      <c r="G354" s="1" t="n"/>
    </row>
    <row r="355">
      <c r="A355" s="1" t="n"/>
      <c r="B355" s="36" t="n"/>
      <c r="C355" s="35" t="n"/>
      <c r="D355" s="35" t="n"/>
      <c r="E355" s="38" t="n"/>
      <c r="F355" s="35" t="n"/>
      <c r="G355" s="1" t="n"/>
    </row>
    <row r="356">
      <c r="A356" s="1" t="n"/>
      <c r="B356" s="36" t="n"/>
      <c r="C356" s="35" t="n"/>
      <c r="D356" s="35" t="n"/>
      <c r="E356" s="38" t="n"/>
      <c r="F356" s="35" t="n"/>
      <c r="G356" s="1" t="n"/>
    </row>
    <row r="357">
      <c r="A357" s="1" t="n"/>
      <c r="B357" s="36" t="n"/>
      <c r="C357" s="35" t="n"/>
      <c r="D357" s="35" t="n"/>
      <c r="E357" s="38" t="n"/>
      <c r="F357" s="35" t="n"/>
      <c r="G357" s="1" t="n"/>
    </row>
    <row r="358">
      <c r="A358" s="1" t="n"/>
      <c r="B358" s="36" t="n"/>
      <c r="C358" s="35" t="n"/>
      <c r="D358" s="35" t="n"/>
      <c r="E358" s="38" t="n"/>
      <c r="F358" s="35" t="n"/>
      <c r="G358" s="1" t="n"/>
    </row>
    <row r="359">
      <c r="A359" s="1" t="n"/>
      <c r="B359" s="36" t="n"/>
      <c r="C359" s="35" t="n"/>
      <c r="D359" s="35" t="n"/>
      <c r="E359" s="38" t="n"/>
      <c r="F359" s="35" t="n"/>
      <c r="G359" s="1" t="n"/>
    </row>
    <row r="360">
      <c r="A360" s="1" t="n"/>
      <c r="B360" s="36" t="n"/>
      <c r="C360" s="35" t="n"/>
      <c r="D360" s="35" t="n"/>
      <c r="E360" s="38" t="n"/>
      <c r="F360" s="35" t="n"/>
      <c r="G360" s="1" t="n"/>
    </row>
    <row r="361">
      <c r="A361" s="1" t="n"/>
      <c r="B361" s="36" t="n"/>
      <c r="C361" s="35" t="n"/>
      <c r="D361" s="35" t="n"/>
      <c r="E361" s="38" t="n"/>
      <c r="F361" s="35" t="n"/>
      <c r="G361" s="1" t="n"/>
    </row>
    <row r="362">
      <c r="A362" s="1" t="n"/>
      <c r="B362" s="36" t="n"/>
      <c r="C362" s="35" t="n"/>
      <c r="D362" s="35" t="n"/>
      <c r="E362" s="38" t="n"/>
      <c r="F362" s="35" t="n"/>
      <c r="G362" s="1" t="n"/>
    </row>
    <row r="363">
      <c r="A363" s="1" t="n"/>
      <c r="B363" s="36" t="n"/>
      <c r="C363" s="35" t="n"/>
      <c r="D363" s="35" t="n"/>
      <c r="E363" s="38" t="n"/>
      <c r="F363" s="35" t="n"/>
      <c r="G363" s="1" t="n"/>
    </row>
    <row r="364">
      <c r="A364" s="1" t="n"/>
      <c r="B364" s="36" t="n"/>
      <c r="C364" s="35" t="n"/>
      <c r="D364" s="35" t="n"/>
      <c r="E364" s="38" t="n"/>
      <c r="F364" s="35" t="n"/>
      <c r="G364" s="1" t="n"/>
    </row>
    <row r="365">
      <c r="A365" s="1" t="n"/>
      <c r="B365" s="36" t="n"/>
      <c r="C365" s="35" t="n"/>
      <c r="D365" s="35" t="n"/>
      <c r="E365" s="38" t="n"/>
      <c r="F365" s="35" t="n"/>
      <c r="G365" s="1" t="n"/>
    </row>
    <row r="366">
      <c r="A366" s="1" t="n"/>
      <c r="B366" s="36" t="n"/>
      <c r="C366" s="35" t="n"/>
      <c r="D366" s="35" t="n"/>
      <c r="E366" s="38" t="n"/>
      <c r="F366" s="35" t="n"/>
      <c r="G366" s="1" t="n"/>
    </row>
    <row r="367">
      <c r="A367" s="1" t="n"/>
      <c r="B367" s="36" t="n"/>
      <c r="C367" s="35" t="n"/>
      <c r="D367" s="35" t="n"/>
      <c r="E367" s="38" t="n"/>
      <c r="F367" s="35" t="n"/>
      <c r="G367" s="1" t="n"/>
    </row>
    <row r="368">
      <c r="A368" s="1" t="n"/>
      <c r="B368" s="36" t="n"/>
      <c r="C368" s="35" t="n"/>
      <c r="D368" s="35" t="n"/>
      <c r="E368" s="38" t="n"/>
      <c r="F368" s="35" t="n"/>
      <c r="G368" s="1" t="n"/>
    </row>
    <row r="369">
      <c r="A369" s="1" t="n"/>
      <c r="B369" s="36" t="n"/>
      <c r="C369" s="35" t="n"/>
      <c r="D369" s="35" t="n"/>
      <c r="E369" s="38" t="n"/>
      <c r="F369" s="35" t="n"/>
      <c r="G369" s="1" t="n"/>
    </row>
    <row r="370">
      <c r="A370" s="1" t="n"/>
      <c r="B370" s="36" t="n"/>
      <c r="C370" s="35" t="n"/>
      <c r="D370" s="35" t="n"/>
      <c r="E370" s="38" t="n"/>
      <c r="F370" s="35" t="n"/>
      <c r="G370" s="1" t="n"/>
    </row>
    <row r="371">
      <c r="A371" s="1" t="n"/>
      <c r="B371" s="36" t="n"/>
      <c r="C371" s="35" t="n"/>
      <c r="D371" s="35" t="n"/>
      <c r="E371" s="38" t="n"/>
      <c r="F371" s="35" t="n"/>
      <c r="G371" s="1" t="n"/>
    </row>
    <row r="372">
      <c r="A372" s="1" t="n"/>
      <c r="B372" s="36" t="n"/>
      <c r="C372" s="35" t="n"/>
      <c r="D372" s="35" t="n"/>
      <c r="E372" s="38" t="n"/>
      <c r="F372" s="35" t="n"/>
      <c r="G372" s="1" t="n"/>
    </row>
    <row r="373">
      <c r="A373" s="1" t="n"/>
      <c r="B373" s="36" t="n"/>
      <c r="C373" s="35" t="n"/>
      <c r="D373" s="35" t="n"/>
      <c r="E373" s="38" t="n"/>
      <c r="F373" s="35" t="n"/>
      <c r="G373" s="1" t="n"/>
    </row>
    <row r="374">
      <c r="A374" s="1" t="n"/>
      <c r="B374" s="36" t="n"/>
      <c r="C374" s="35" t="n"/>
      <c r="D374" s="35" t="n"/>
      <c r="E374" s="38" t="n"/>
      <c r="F374" s="35" t="n"/>
      <c r="G374" s="1" t="n"/>
    </row>
    <row r="375">
      <c r="A375" s="1" t="n"/>
      <c r="B375" s="36" t="n"/>
      <c r="C375" s="35" t="n"/>
      <c r="D375" s="35" t="n"/>
      <c r="E375" s="38" t="n"/>
      <c r="F375" s="35" t="n"/>
      <c r="G375" s="1" t="n"/>
    </row>
    <row r="376">
      <c r="A376" s="1" t="n"/>
      <c r="B376" s="36" t="n"/>
      <c r="C376" s="35" t="n"/>
      <c r="D376" s="35" t="n"/>
      <c r="E376" s="38" t="n"/>
      <c r="F376" s="35" t="n"/>
      <c r="G376" s="1" t="n"/>
    </row>
    <row r="377">
      <c r="A377" s="1" t="n"/>
      <c r="B377" s="36" t="n"/>
      <c r="C377" s="35" t="n"/>
      <c r="D377" s="35" t="n"/>
      <c r="E377" s="38" t="n"/>
      <c r="F377" s="35" t="n"/>
      <c r="G377" s="1" t="n"/>
    </row>
    <row r="378">
      <c r="A378" s="1" t="n"/>
      <c r="B378" s="36" t="n"/>
      <c r="C378" s="35" t="n"/>
      <c r="D378" s="35" t="n"/>
      <c r="E378" s="38" t="n"/>
      <c r="F378" s="35" t="n"/>
      <c r="G378" s="1" t="n"/>
    </row>
    <row r="379">
      <c r="A379" s="1" t="n"/>
      <c r="B379" s="36" t="n"/>
      <c r="C379" s="35" t="n"/>
      <c r="D379" s="35" t="n"/>
      <c r="E379" s="38" t="n"/>
      <c r="F379" s="35" t="n"/>
      <c r="G379" s="1" t="n"/>
    </row>
    <row r="380">
      <c r="A380" s="1" t="n"/>
      <c r="B380" s="36" t="n"/>
      <c r="C380" s="35" t="n"/>
      <c r="D380" s="35" t="n"/>
      <c r="E380" s="38" t="n"/>
      <c r="F380" s="35" t="n"/>
      <c r="G380" s="1" t="n"/>
    </row>
    <row r="381">
      <c r="A381" s="1" t="n"/>
      <c r="B381" s="36" t="n"/>
      <c r="C381" s="35" t="n"/>
      <c r="D381" s="35" t="n"/>
      <c r="E381" s="38" t="n"/>
      <c r="F381" s="35" t="n"/>
      <c r="G381" s="1" t="n"/>
    </row>
    <row r="382">
      <c r="A382" s="1" t="n"/>
      <c r="B382" s="36" t="n"/>
      <c r="C382" s="35" t="n"/>
      <c r="D382" s="35" t="n"/>
      <c r="E382" s="38" t="n"/>
      <c r="F382" s="35" t="n"/>
      <c r="G382" s="1" t="n"/>
    </row>
    <row r="383">
      <c r="A383" s="1" t="n"/>
      <c r="B383" s="36" t="n"/>
      <c r="C383" s="35" t="n"/>
      <c r="D383" s="35" t="n"/>
      <c r="E383" s="38" t="n"/>
      <c r="F383" s="35" t="n"/>
      <c r="G383" s="1" t="n"/>
    </row>
    <row r="384">
      <c r="A384" s="1" t="n"/>
      <c r="B384" s="36" t="n"/>
      <c r="C384" s="35" t="n"/>
      <c r="D384" s="35" t="n"/>
      <c r="E384" s="38" t="n"/>
      <c r="F384" s="35" t="n"/>
      <c r="G384" s="1" t="n"/>
    </row>
    <row r="385">
      <c r="A385" s="1" t="n"/>
      <c r="B385" s="36" t="n"/>
      <c r="C385" s="35" t="n"/>
      <c r="D385" s="35" t="n"/>
      <c r="E385" s="38" t="n"/>
      <c r="F385" s="35" t="n"/>
      <c r="G385" s="1" t="n"/>
    </row>
    <row r="386">
      <c r="A386" s="1" t="n"/>
      <c r="B386" s="36" t="n"/>
      <c r="C386" s="35" t="n"/>
      <c r="D386" s="35" t="n"/>
      <c r="E386" s="38" t="n"/>
      <c r="F386" s="35" t="n"/>
      <c r="G386" s="1" t="n"/>
    </row>
    <row r="387">
      <c r="A387" s="1" t="n"/>
      <c r="B387" s="36" t="n"/>
      <c r="C387" s="35" t="n"/>
      <c r="D387" s="35" t="n"/>
      <c r="E387" s="38" t="n"/>
      <c r="F387" s="35" t="n"/>
      <c r="G387" s="1" t="n"/>
    </row>
    <row r="388">
      <c r="A388" s="1" t="n"/>
      <c r="B388" s="36" t="n"/>
      <c r="C388" s="35" t="n"/>
      <c r="D388" s="35" t="n"/>
      <c r="E388" s="38" t="n"/>
      <c r="F388" s="35" t="n"/>
      <c r="G388" s="1" t="n"/>
    </row>
    <row r="389">
      <c r="A389" s="1" t="n"/>
      <c r="B389" s="36" t="n"/>
      <c r="C389" s="35" t="n"/>
      <c r="D389" s="35" t="n"/>
      <c r="E389" s="38" t="n"/>
      <c r="F389" s="35" t="n"/>
      <c r="G389" s="1" t="n"/>
    </row>
    <row r="390">
      <c r="A390" s="1" t="n"/>
      <c r="B390" s="36" t="n"/>
      <c r="C390" s="35" t="n"/>
      <c r="D390" s="35" t="n"/>
      <c r="E390" s="38" t="n"/>
      <c r="F390" s="35" t="n"/>
      <c r="G390" s="1" t="n"/>
    </row>
    <row r="391">
      <c r="A391" s="1" t="n"/>
      <c r="B391" s="36" t="n"/>
      <c r="C391" s="35" t="n"/>
      <c r="D391" s="35" t="n"/>
      <c r="E391" s="38" t="n"/>
      <c r="F391" s="35" t="n"/>
      <c r="G391" s="1" t="n"/>
    </row>
    <row r="392">
      <c r="A392" s="1" t="n"/>
      <c r="B392" s="36" t="n"/>
      <c r="C392" s="35" t="n"/>
      <c r="D392" s="35" t="n"/>
      <c r="E392" s="38" t="n"/>
      <c r="F392" s="35" t="n"/>
      <c r="G392" s="1" t="n"/>
    </row>
    <row r="393">
      <c r="A393" s="1" t="n"/>
      <c r="B393" s="36" t="n"/>
      <c r="C393" s="35" t="n"/>
      <c r="D393" s="35" t="n"/>
      <c r="E393" s="38" t="n"/>
      <c r="F393" s="35" t="n"/>
      <c r="G393" s="1" t="n"/>
    </row>
    <row r="394">
      <c r="A394" s="1" t="n"/>
      <c r="B394" s="36" t="n"/>
      <c r="C394" s="35" t="n"/>
      <c r="D394" s="35" t="n"/>
      <c r="E394" s="38" t="n"/>
      <c r="F394" s="35" t="n"/>
      <c r="G394" s="1" t="n"/>
    </row>
    <row r="395">
      <c r="A395" s="1" t="n"/>
      <c r="B395" s="36" t="n"/>
      <c r="C395" s="35" t="n"/>
      <c r="D395" s="35" t="n"/>
      <c r="E395" s="38" t="n"/>
      <c r="F395" s="35" t="n"/>
      <c r="G395" s="1" t="n"/>
    </row>
    <row r="396">
      <c r="A396" s="1" t="n"/>
      <c r="B396" s="36" t="n"/>
      <c r="C396" s="35" t="n"/>
      <c r="D396" s="35" t="n"/>
      <c r="E396" s="38" t="n"/>
      <c r="F396" s="35" t="n"/>
      <c r="G396" s="1" t="n"/>
    </row>
    <row r="397">
      <c r="A397" s="1" t="n"/>
      <c r="B397" s="36" t="n"/>
      <c r="C397" s="35" t="n"/>
      <c r="D397" s="35" t="n"/>
      <c r="E397" s="38" t="n"/>
      <c r="F397" s="35" t="n"/>
      <c r="G397" s="1" t="n"/>
    </row>
    <row r="398">
      <c r="A398" s="1" t="n"/>
      <c r="B398" s="36" t="n"/>
      <c r="C398" s="35" t="n"/>
      <c r="D398" s="35" t="n"/>
      <c r="E398" s="38" t="n"/>
      <c r="F398" s="35" t="n"/>
      <c r="G398" s="1" t="n"/>
    </row>
    <row r="399">
      <c r="A399" s="1" t="n"/>
      <c r="B399" s="36" t="n"/>
      <c r="C399" s="35" t="n"/>
      <c r="D399" s="35" t="n"/>
      <c r="E399" s="38" t="n"/>
      <c r="F399" s="35" t="n"/>
      <c r="G399" s="1" t="n"/>
    </row>
    <row r="400">
      <c r="A400" s="1" t="n"/>
      <c r="B400" s="36" t="n"/>
      <c r="C400" s="35" t="n"/>
      <c r="D400" s="35" t="n"/>
      <c r="E400" s="38" t="n"/>
      <c r="F400" s="35" t="n"/>
      <c r="G400" s="1" t="n"/>
    </row>
    <row r="401">
      <c r="A401" s="1" t="n"/>
      <c r="B401" s="36" t="n"/>
      <c r="C401" s="35" t="n"/>
      <c r="D401" s="35" t="n"/>
      <c r="E401" s="38" t="n"/>
      <c r="F401" s="35" t="n"/>
      <c r="G401" s="1" t="n"/>
    </row>
    <row r="402">
      <c r="A402" s="1" t="n"/>
      <c r="B402" s="36" t="n"/>
      <c r="C402" s="35" t="n"/>
      <c r="D402" s="35" t="n"/>
      <c r="E402" s="38" t="n"/>
      <c r="F402" s="35" t="n"/>
      <c r="G402" s="1" t="n"/>
    </row>
    <row r="403">
      <c r="A403" s="1" t="n"/>
      <c r="B403" s="36" t="n"/>
      <c r="C403" s="35" t="n"/>
      <c r="D403" s="35" t="n"/>
      <c r="E403" s="38" t="n"/>
      <c r="F403" s="35" t="n"/>
      <c r="G403" s="1" t="n"/>
    </row>
    <row r="404">
      <c r="A404" s="1" t="n"/>
      <c r="B404" s="36" t="n"/>
      <c r="C404" s="35" t="n"/>
      <c r="D404" s="35" t="n"/>
      <c r="E404" s="38" t="n"/>
      <c r="F404" s="35" t="n"/>
      <c r="G404" s="1" t="n"/>
    </row>
    <row r="405">
      <c r="A405" s="1" t="n"/>
      <c r="B405" s="36" t="n"/>
      <c r="C405" s="35" t="n"/>
      <c r="D405" s="35" t="n"/>
      <c r="E405" s="38" t="n"/>
      <c r="F405" s="35" t="n"/>
      <c r="G405" s="1" t="n"/>
    </row>
    <row r="406">
      <c r="A406" s="1" t="n"/>
      <c r="B406" s="36" t="n"/>
      <c r="C406" s="35" t="n"/>
      <c r="D406" s="35" t="n"/>
      <c r="E406" s="38" t="n"/>
      <c r="F406" s="35" t="n"/>
      <c r="G406" s="1" t="n"/>
    </row>
    <row r="407">
      <c r="A407" s="1" t="n"/>
      <c r="B407" s="36" t="n"/>
      <c r="C407" s="35" t="n"/>
      <c r="D407" s="35" t="n"/>
      <c r="E407" s="38" t="n"/>
      <c r="F407" s="35" t="n"/>
      <c r="G407" s="1" t="n"/>
    </row>
    <row r="408">
      <c r="A408" s="1" t="n"/>
      <c r="B408" s="36" t="n"/>
      <c r="C408" s="35" t="n"/>
      <c r="D408" s="35" t="n"/>
      <c r="E408" s="38" t="n"/>
      <c r="F408" s="35" t="n"/>
      <c r="G408" s="1" t="n"/>
    </row>
    <row r="409">
      <c r="A409" s="1" t="n"/>
      <c r="B409" s="36" t="n"/>
      <c r="C409" s="35" t="n"/>
      <c r="D409" s="35" t="n"/>
      <c r="E409" s="38" t="n"/>
      <c r="F409" s="35" t="n"/>
      <c r="G409" s="1" t="n"/>
    </row>
    <row r="410">
      <c r="A410" s="1" t="n"/>
      <c r="B410" s="36" t="n"/>
      <c r="C410" s="35" t="n"/>
      <c r="D410" s="35" t="n"/>
      <c r="E410" s="38" t="n"/>
      <c r="F410" s="35" t="n"/>
      <c r="G410" s="1" t="n"/>
    </row>
    <row r="411">
      <c r="A411" s="1" t="n"/>
      <c r="B411" s="36" t="n"/>
      <c r="C411" s="35" t="n"/>
      <c r="D411" s="35" t="n"/>
      <c r="E411" s="38" t="n"/>
      <c r="F411" s="35" t="n"/>
      <c r="G411" s="1" t="n"/>
    </row>
    <row r="412">
      <c r="A412" s="1" t="n"/>
      <c r="B412" s="36" t="n"/>
      <c r="C412" s="35" t="n"/>
      <c r="D412" s="35" t="n"/>
      <c r="E412" s="38" t="n"/>
      <c r="F412" s="35" t="n"/>
      <c r="G412" s="1" t="n"/>
    </row>
    <row r="413">
      <c r="A413" s="1" t="n"/>
      <c r="B413" s="36" t="n"/>
      <c r="C413" s="35" t="n"/>
      <c r="D413" s="35" t="n"/>
      <c r="E413" s="38" t="n"/>
      <c r="F413" s="35" t="n"/>
      <c r="G413" s="1" t="n"/>
    </row>
    <row r="414">
      <c r="A414" s="1" t="n"/>
      <c r="B414" s="36" t="n"/>
      <c r="C414" s="35" t="n"/>
      <c r="D414" s="35" t="n"/>
      <c r="E414" s="38" t="n"/>
      <c r="F414" s="35" t="n"/>
      <c r="G414" s="1" t="n"/>
    </row>
    <row r="415">
      <c r="A415" s="1" t="n"/>
      <c r="B415" s="36" t="n"/>
      <c r="C415" s="35" t="n"/>
      <c r="D415" s="35" t="n"/>
      <c r="E415" s="38" t="n"/>
      <c r="F415" s="35" t="n"/>
      <c r="G415" s="1" t="n"/>
    </row>
    <row r="416">
      <c r="A416" s="1" t="n"/>
      <c r="B416" s="36" t="n"/>
      <c r="C416" s="35" t="n"/>
      <c r="D416" s="35" t="n"/>
      <c r="E416" s="38" t="n"/>
      <c r="F416" s="35" t="n"/>
      <c r="G416" s="1" t="n"/>
    </row>
    <row r="417">
      <c r="A417" s="1" t="n"/>
      <c r="B417" s="36" t="n"/>
      <c r="C417" s="35" t="n"/>
      <c r="D417" s="35" t="n"/>
      <c r="E417" s="38" t="n"/>
      <c r="F417" s="35" t="n"/>
      <c r="G417" s="1" t="n"/>
    </row>
    <row r="418">
      <c r="A418" s="1" t="n"/>
      <c r="B418" s="36" t="n"/>
      <c r="C418" s="35" t="n"/>
      <c r="D418" s="35" t="n"/>
      <c r="E418" s="38" t="n"/>
      <c r="F418" s="35" t="n"/>
      <c r="G418" s="1" t="n"/>
    </row>
    <row r="419">
      <c r="A419" s="1" t="n"/>
      <c r="B419" s="36" t="n"/>
      <c r="C419" s="35" t="n"/>
      <c r="D419" s="35" t="n"/>
      <c r="E419" s="38" t="n"/>
      <c r="F419" s="35" t="n"/>
      <c r="G419" s="1" t="n"/>
    </row>
    <row r="420">
      <c r="A420" s="1" t="n"/>
      <c r="B420" s="36" t="n"/>
      <c r="C420" s="35" t="n"/>
      <c r="D420" s="35" t="n"/>
      <c r="E420" s="38" t="n"/>
      <c r="F420" s="35" t="n"/>
      <c r="G420" s="1" t="n"/>
    </row>
    <row r="421">
      <c r="A421" s="1" t="n"/>
      <c r="B421" s="36" t="n"/>
      <c r="C421" s="35" t="n"/>
      <c r="D421" s="35" t="n"/>
      <c r="E421" s="38" t="n"/>
      <c r="F421" s="35" t="n"/>
      <c r="G421" s="1" t="n"/>
    </row>
    <row r="422">
      <c r="A422" s="1" t="n"/>
      <c r="B422" s="36" t="n"/>
      <c r="C422" s="35" t="n"/>
      <c r="D422" s="35" t="n"/>
      <c r="E422" s="38" t="n"/>
      <c r="F422" s="35" t="n"/>
      <c r="G422" s="1" t="n"/>
    </row>
    <row r="423">
      <c r="A423" s="1" t="n"/>
      <c r="B423" s="36" t="n"/>
      <c r="C423" s="35" t="n"/>
      <c r="D423" s="35" t="n"/>
      <c r="E423" s="38" t="n"/>
      <c r="F423" s="35" t="n"/>
      <c r="G423" s="1" t="n"/>
    </row>
    <row r="424">
      <c r="A424" s="1" t="n"/>
      <c r="B424" s="36" t="n"/>
      <c r="C424" s="35" t="n"/>
      <c r="D424" s="35" t="n"/>
      <c r="E424" s="38" t="n"/>
      <c r="F424" s="35" t="n"/>
      <c r="G424" s="1" t="n"/>
    </row>
    <row r="425">
      <c r="A425" s="1" t="n"/>
      <c r="B425" s="36" t="n"/>
      <c r="C425" s="35" t="n"/>
      <c r="D425" s="35" t="n"/>
      <c r="E425" s="38" t="n"/>
      <c r="F425" s="35" t="n"/>
      <c r="G425" s="1" t="n"/>
    </row>
    <row r="426">
      <c r="A426" s="1" t="n"/>
      <c r="B426" s="36" t="n"/>
      <c r="C426" s="35" t="n"/>
      <c r="D426" s="35" t="n"/>
      <c r="E426" s="38" t="n"/>
      <c r="F426" s="35" t="n"/>
      <c r="G426" s="1" t="n"/>
    </row>
    <row r="427">
      <c r="A427" s="1" t="n"/>
      <c r="B427" s="36" t="n"/>
      <c r="C427" s="35" t="n"/>
      <c r="D427" s="35" t="n"/>
      <c r="E427" s="38" t="n"/>
      <c r="F427" s="35" t="n"/>
      <c r="G427" s="1" t="n"/>
    </row>
    <row r="428">
      <c r="A428" s="1" t="n"/>
      <c r="B428" s="36" t="n"/>
      <c r="C428" s="35" t="n"/>
      <c r="D428" s="35" t="n"/>
      <c r="E428" s="38" t="n"/>
      <c r="F428" s="35" t="n"/>
      <c r="G428" s="1" t="n"/>
    </row>
    <row r="429">
      <c r="A429" s="1" t="n"/>
      <c r="B429" s="36" t="n"/>
      <c r="C429" s="35" t="n"/>
      <c r="D429" s="35" t="n"/>
      <c r="E429" s="38" t="n"/>
      <c r="F429" s="35" t="n"/>
      <c r="G429" s="1" t="n"/>
    </row>
    <row r="430">
      <c r="A430" s="1" t="n"/>
      <c r="B430" s="36" t="n"/>
      <c r="C430" s="35" t="n"/>
      <c r="D430" s="35" t="n"/>
      <c r="E430" s="38" t="n"/>
      <c r="F430" s="35" t="n"/>
      <c r="G430" s="1" t="n"/>
    </row>
    <row r="431">
      <c r="A431" s="1" t="n"/>
      <c r="B431" s="36" t="n"/>
      <c r="C431" s="35" t="n"/>
      <c r="D431" s="35" t="n"/>
      <c r="E431" s="38" t="n"/>
      <c r="F431" s="35" t="n"/>
      <c r="G431" s="1" t="n"/>
    </row>
    <row r="432">
      <c r="A432" s="1" t="n"/>
      <c r="B432" s="36" t="n"/>
      <c r="C432" s="35" t="n"/>
      <c r="D432" s="35" t="n"/>
      <c r="E432" s="38" t="n"/>
      <c r="F432" s="35" t="n"/>
      <c r="G432" s="1" t="n"/>
    </row>
    <row r="433">
      <c r="A433" s="1" t="n"/>
      <c r="B433" s="36" t="n"/>
      <c r="C433" s="35" t="n"/>
      <c r="D433" s="35" t="n"/>
      <c r="E433" s="38" t="n"/>
      <c r="F433" s="35" t="n"/>
      <c r="G433" s="1" t="n"/>
    </row>
    <row r="434">
      <c r="A434" s="1" t="n"/>
      <c r="B434" s="36" t="n"/>
      <c r="C434" s="35" t="n"/>
      <c r="D434" s="35" t="n"/>
      <c r="E434" s="38" t="n"/>
      <c r="F434" s="35" t="n"/>
      <c r="G434" s="1" t="n"/>
    </row>
    <row r="435">
      <c r="A435" s="1" t="n"/>
      <c r="B435" s="36" t="n"/>
      <c r="C435" s="35" t="n"/>
      <c r="D435" s="35" t="n"/>
      <c r="E435" s="38" t="n"/>
      <c r="F435" s="35" t="n"/>
      <c r="G435" s="1" t="n"/>
    </row>
    <row r="436">
      <c r="A436" s="1" t="n"/>
      <c r="B436" s="36" t="n"/>
      <c r="C436" s="35" t="n"/>
      <c r="D436" s="35" t="n"/>
      <c r="E436" s="38" t="n"/>
      <c r="F436" s="35" t="n"/>
      <c r="G436" s="1" t="n"/>
    </row>
    <row r="437">
      <c r="A437" s="1" t="n"/>
      <c r="B437" s="36" t="n"/>
      <c r="C437" s="35" t="n"/>
      <c r="D437" s="35" t="n"/>
      <c r="E437" s="38" t="n"/>
      <c r="F437" s="35" t="n"/>
      <c r="G437" s="1" t="n"/>
    </row>
    <row r="438">
      <c r="A438" s="1" t="n"/>
      <c r="B438" s="36" t="n"/>
      <c r="C438" s="35" t="n"/>
      <c r="D438" s="35" t="n"/>
      <c r="E438" s="38" t="n"/>
      <c r="F438" s="35" t="n"/>
      <c r="G438" s="1" t="n"/>
    </row>
    <row r="439">
      <c r="A439" s="1" t="n"/>
      <c r="B439" s="36" t="n"/>
      <c r="C439" s="35" t="n"/>
      <c r="D439" s="35" t="n"/>
      <c r="E439" s="38" t="n"/>
      <c r="F439" s="35" t="n"/>
      <c r="G439" s="1" t="n"/>
    </row>
    <row r="440">
      <c r="A440" s="1" t="n"/>
      <c r="B440" s="36" t="n"/>
      <c r="C440" s="35" t="n"/>
      <c r="D440" s="35" t="n"/>
      <c r="E440" s="38" t="n"/>
      <c r="F440" s="35" t="n"/>
      <c r="G440" s="1" t="n"/>
    </row>
    <row r="441">
      <c r="A441" s="1" t="n"/>
      <c r="B441" s="36" t="n"/>
      <c r="C441" s="35" t="n"/>
      <c r="D441" s="35" t="n"/>
      <c r="E441" s="38" t="n"/>
      <c r="F441" s="35" t="n"/>
      <c r="G441" s="1" t="n"/>
    </row>
    <row r="442">
      <c r="A442" s="1" t="n"/>
      <c r="B442" s="36" t="n"/>
      <c r="C442" s="35" t="n"/>
      <c r="D442" s="35" t="n"/>
      <c r="E442" s="38" t="n"/>
      <c r="F442" s="35" t="n"/>
      <c r="G442" s="1" t="n"/>
    </row>
    <row r="443">
      <c r="A443" s="1" t="n"/>
      <c r="B443" s="36" t="n"/>
      <c r="C443" s="35" t="n"/>
      <c r="D443" s="35" t="n"/>
      <c r="E443" s="38" t="n"/>
      <c r="F443" s="35" t="n"/>
      <c r="G443" s="1" t="n"/>
    </row>
    <row r="444">
      <c r="A444" s="1" t="n"/>
      <c r="B444" s="36" t="n"/>
      <c r="C444" s="35" t="n"/>
      <c r="D444" s="35" t="n"/>
      <c r="E444" s="38" t="n"/>
      <c r="F444" s="35" t="n"/>
      <c r="G444" s="1" t="n"/>
    </row>
    <row r="445">
      <c r="A445" s="1" t="n"/>
      <c r="B445" s="36" t="n"/>
      <c r="C445" s="35" t="n"/>
      <c r="D445" s="35" t="n"/>
      <c r="E445" s="38" t="n"/>
      <c r="F445" s="35" t="n"/>
      <c r="G445" s="1" t="n"/>
    </row>
    <row r="446">
      <c r="A446" s="1" t="n"/>
      <c r="B446" s="36" t="n"/>
      <c r="C446" s="35" t="n"/>
      <c r="D446" s="35" t="n"/>
      <c r="E446" s="38" t="n"/>
      <c r="F446" s="35" t="n"/>
      <c r="G446" s="1" t="n"/>
    </row>
    <row r="447">
      <c r="A447" s="1" t="n"/>
      <c r="B447" s="36" t="n"/>
      <c r="C447" s="35" t="n"/>
      <c r="D447" s="35" t="n"/>
      <c r="E447" s="38" t="n"/>
      <c r="F447" s="35" t="n"/>
      <c r="G447" s="1" t="n"/>
    </row>
    <row r="448">
      <c r="A448" s="1" t="n"/>
      <c r="B448" s="36" t="n"/>
      <c r="C448" s="35" t="n"/>
      <c r="D448" s="35" t="n"/>
      <c r="E448" s="38" t="n"/>
      <c r="F448" s="35" t="n"/>
      <c r="G448" s="1" t="n"/>
    </row>
    <row r="449">
      <c r="A449" s="1" t="n"/>
      <c r="B449" s="36" t="n"/>
      <c r="C449" s="35" t="n"/>
      <c r="D449" s="35" t="n"/>
      <c r="E449" s="38" t="n"/>
      <c r="F449" s="35" t="n"/>
      <c r="G449" s="1" t="n"/>
    </row>
    <row r="450">
      <c r="A450" s="1" t="n"/>
      <c r="B450" s="36" t="n"/>
      <c r="C450" s="35" t="n"/>
      <c r="D450" s="35" t="n"/>
      <c r="E450" s="38" t="n"/>
      <c r="F450" s="35" t="n"/>
      <c r="G450" s="1" t="n"/>
    </row>
    <row r="451">
      <c r="A451" s="1" t="n"/>
      <c r="B451" s="36" t="n"/>
      <c r="C451" s="35" t="n"/>
      <c r="D451" s="35" t="n"/>
      <c r="E451" s="38" t="n"/>
      <c r="F451" s="35" t="n"/>
      <c r="G451" s="1" t="n"/>
    </row>
    <row r="452">
      <c r="A452" s="1" t="n"/>
      <c r="B452" s="36" t="n"/>
      <c r="C452" s="35" t="n"/>
      <c r="D452" s="35" t="n"/>
      <c r="E452" s="38" t="n"/>
      <c r="F452" s="35" t="n"/>
      <c r="G452" s="1" t="n"/>
    </row>
    <row r="453">
      <c r="A453" s="1" t="n"/>
      <c r="B453" s="36" t="n"/>
      <c r="C453" s="35" t="n"/>
      <c r="D453" s="35" t="n"/>
      <c r="E453" s="38" t="n"/>
      <c r="F453" s="35" t="n"/>
      <c r="G453" s="1" t="n"/>
    </row>
    <row r="454">
      <c r="A454" s="1" t="n"/>
      <c r="B454" s="36" t="n"/>
      <c r="C454" s="35" t="n"/>
      <c r="D454" s="35" t="n"/>
      <c r="E454" s="38" t="n"/>
      <c r="F454" s="35" t="n"/>
      <c r="G454" s="1" t="n"/>
    </row>
    <row r="455">
      <c r="A455" s="1" t="n"/>
      <c r="B455" s="36" t="n"/>
      <c r="C455" s="35" t="n"/>
      <c r="D455" s="35" t="n"/>
      <c r="E455" s="38" t="n"/>
      <c r="F455" s="35" t="n"/>
      <c r="G455" s="1" t="n"/>
    </row>
    <row r="456">
      <c r="A456" s="1" t="n"/>
      <c r="B456" s="36" t="n"/>
      <c r="C456" s="35" t="n"/>
      <c r="D456" s="35" t="n"/>
      <c r="E456" s="38" t="n"/>
      <c r="F456" s="35" t="n"/>
      <c r="G456" s="1" t="n"/>
    </row>
    <row r="457">
      <c r="A457" s="1" t="n"/>
      <c r="B457" s="36" t="n"/>
      <c r="C457" s="35" t="n"/>
      <c r="D457" s="35" t="n"/>
      <c r="E457" s="38" t="n"/>
      <c r="F457" s="35" t="n"/>
      <c r="G457" s="1" t="n"/>
    </row>
    <row r="458">
      <c r="A458" s="1" t="n"/>
      <c r="B458" s="36" t="n"/>
      <c r="C458" s="35" t="n"/>
      <c r="D458" s="35" t="n"/>
      <c r="E458" s="38" t="n"/>
      <c r="F458" s="35" t="n"/>
      <c r="G458" s="1" t="n"/>
    </row>
    <row r="459">
      <c r="A459" s="1" t="n"/>
      <c r="B459" s="36" t="n"/>
      <c r="C459" s="35" t="n"/>
      <c r="D459" s="35" t="n"/>
      <c r="E459" s="38" t="n"/>
      <c r="F459" s="35" t="n"/>
      <c r="G459" s="1" t="n"/>
    </row>
    <row r="460">
      <c r="A460" s="1" t="n"/>
      <c r="B460" s="36" t="n"/>
      <c r="C460" s="35" t="n"/>
      <c r="D460" s="35" t="n"/>
      <c r="E460" s="38" t="n"/>
      <c r="F460" s="35" t="n"/>
      <c r="G460" s="1" t="n"/>
    </row>
    <row r="461">
      <c r="A461" s="1" t="n"/>
      <c r="B461" s="36" t="n"/>
      <c r="C461" s="35" t="n"/>
      <c r="D461" s="35" t="n"/>
      <c r="E461" s="38" t="n"/>
      <c r="F461" s="35" t="n"/>
      <c r="G461" s="1" t="n"/>
    </row>
    <row r="462">
      <c r="A462" s="1" t="n"/>
      <c r="B462" s="36" t="n"/>
      <c r="C462" s="35" t="n"/>
      <c r="D462" s="35" t="n"/>
      <c r="E462" s="38" t="n"/>
      <c r="F462" s="35" t="n"/>
      <c r="G462" s="1" t="n"/>
    </row>
    <row r="463">
      <c r="A463" s="1" t="n"/>
      <c r="B463" s="36" t="n"/>
      <c r="C463" s="35" t="n"/>
      <c r="D463" s="35" t="n"/>
      <c r="E463" s="38" t="n"/>
      <c r="F463" s="35" t="n"/>
      <c r="G463" s="1" t="n"/>
    </row>
    <row r="464">
      <c r="A464" s="1" t="n"/>
      <c r="B464" s="36" t="n"/>
      <c r="C464" s="35" t="n"/>
      <c r="D464" s="35" t="n"/>
      <c r="E464" s="38" t="n"/>
      <c r="F464" s="35" t="n"/>
      <c r="G464" s="1" t="n"/>
    </row>
    <row r="465">
      <c r="A465" s="1" t="n"/>
      <c r="B465" s="36" t="n"/>
      <c r="C465" s="35" t="n"/>
      <c r="D465" s="35" t="n"/>
      <c r="E465" s="38" t="n"/>
      <c r="F465" s="35" t="n"/>
      <c r="G465" s="1" t="n"/>
    </row>
    <row r="466">
      <c r="A466" s="1" t="n"/>
      <c r="B466" s="36" t="n"/>
      <c r="C466" s="35" t="n"/>
      <c r="D466" s="35" t="n"/>
      <c r="E466" s="38" t="n"/>
      <c r="F466" s="35" t="n"/>
      <c r="G466" s="1" t="n"/>
    </row>
    <row r="467">
      <c r="A467" s="1" t="n"/>
      <c r="B467" s="36" t="n"/>
      <c r="C467" s="35" t="n"/>
      <c r="D467" s="35" t="n"/>
      <c r="E467" s="38" t="n"/>
      <c r="F467" s="35" t="n"/>
      <c r="G467" s="1" t="n"/>
    </row>
    <row r="468">
      <c r="A468" s="1" t="n"/>
      <c r="B468" s="36" t="n"/>
      <c r="C468" s="35" t="n"/>
      <c r="D468" s="35" t="n"/>
      <c r="E468" s="38" t="n"/>
      <c r="F468" s="35" t="n"/>
      <c r="G468" s="1" t="n"/>
    </row>
    <row r="469">
      <c r="A469" s="1" t="n"/>
      <c r="B469" s="36" t="n"/>
      <c r="C469" s="35" t="n"/>
      <c r="D469" s="35" t="n"/>
      <c r="E469" s="38" t="n"/>
      <c r="F469" s="35" t="n"/>
      <c r="G469" s="1" t="n"/>
    </row>
    <row r="470">
      <c r="A470" s="1" t="n"/>
      <c r="B470" s="36" t="n"/>
      <c r="C470" s="35" t="n"/>
      <c r="D470" s="35" t="n"/>
      <c r="E470" s="38" t="n"/>
      <c r="F470" s="35" t="n"/>
      <c r="G470" s="1" t="n"/>
    </row>
    <row r="471">
      <c r="A471" s="1" t="n"/>
      <c r="B471" s="36" t="n"/>
      <c r="C471" s="35" t="n"/>
      <c r="D471" s="35" t="n"/>
      <c r="E471" s="38" t="n"/>
      <c r="F471" s="35" t="n"/>
      <c r="G471" s="1" t="n"/>
    </row>
    <row r="472">
      <c r="A472" s="1" t="n"/>
      <c r="B472" s="36" t="n"/>
      <c r="C472" s="35" t="n"/>
      <c r="D472" s="35" t="n"/>
      <c r="E472" s="38" t="n"/>
      <c r="F472" s="35" t="n"/>
      <c r="G472" s="1" t="n"/>
    </row>
    <row r="473">
      <c r="A473" s="1" t="n"/>
      <c r="B473" s="36" t="n"/>
      <c r="C473" s="35" t="n"/>
      <c r="D473" s="35" t="n"/>
      <c r="E473" s="38" t="n"/>
      <c r="F473" s="35" t="n"/>
      <c r="G473" s="1" t="n"/>
    </row>
    <row r="474">
      <c r="A474" s="1" t="n"/>
      <c r="B474" s="36" t="n"/>
      <c r="C474" s="35" t="n"/>
      <c r="D474" s="35" t="n"/>
      <c r="E474" s="38" t="n"/>
      <c r="F474" s="35" t="n"/>
      <c r="G474" s="1" t="n"/>
    </row>
    <row r="475">
      <c r="A475" s="1" t="n"/>
      <c r="B475" s="36" t="n"/>
      <c r="C475" s="35" t="n"/>
      <c r="D475" s="35" t="n"/>
      <c r="E475" s="38" t="n"/>
      <c r="F475" s="35" t="n"/>
      <c r="G475" s="1" t="n"/>
    </row>
    <row r="476">
      <c r="A476" s="1" t="n"/>
      <c r="B476" s="36" t="n"/>
      <c r="C476" s="35" t="n"/>
      <c r="D476" s="35" t="n"/>
      <c r="E476" s="38" t="n"/>
      <c r="F476" s="35" t="n"/>
      <c r="G476" s="1" t="n"/>
    </row>
    <row r="477">
      <c r="A477" s="1" t="n"/>
      <c r="B477" s="36" t="n"/>
      <c r="C477" s="35" t="n"/>
      <c r="D477" s="35" t="n"/>
      <c r="E477" s="38" t="n"/>
      <c r="F477" s="35" t="n"/>
      <c r="G477" s="1" t="n"/>
    </row>
    <row r="478">
      <c r="A478" s="1" t="n"/>
      <c r="B478" s="36" t="n"/>
      <c r="C478" s="35" t="n"/>
      <c r="D478" s="35" t="n"/>
      <c r="E478" s="38" t="n"/>
      <c r="F478" s="35" t="n"/>
      <c r="G478" s="1" t="n"/>
    </row>
    <row r="479">
      <c r="A479" s="1" t="n"/>
      <c r="B479" s="36" t="n"/>
      <c r="C479" s="35" t="n"/>
      <c r="D479" s="35" t="n"/>
      <c r="E479" s="38" t="n"/>
      <c r="F479" s="35" t="n"/>
      <c r="G479" s="1" t="n"/>
    </row>
    <row r="480">
      <c r="A480" s="1" t="n"/>
      <c r="B480" s="36" t="n"/>
      <c r="C480" s="35" t="n"/>
      <c r="D480" s="35" t="n"/>
      <c r="E480" s="38" t="n"/>
      <c r="F480" s="35" t="n"/>
      <c r="G480" s="1" t="n"/>
    </row>
    <row r="481">
      <c r="A481" s="1" t="n"/>
      <c r="B481" s="36" t="n"/>
      <c r="C481" s="35" t="n"/>
      <c r="D481" s="35" t="n"/>
      <c r="E481" s="38" t="n"/>
      <c r="F481" s="35" t="n"/>
      <c r="G481" s="1" t="n"/>
    </row>
    <row r="482">
      <c r="A482" s="1" t="n"/>
      <c r="B482" s="36" t="n"/>
      <c r="C482" s="35" t="n"/>
      <c r="D482" s="35" t="n"/>
      <c r="E482" s="38" t="n"/>
      <c r="F482" s="35" t="n"/>
      <c r="G482" s="1" t="n"/>
    </row>
    <row r="483">
      <c r="A483" s="1" t="n"/>
      <c r="B483" s="36" t="n"/>
      <c r="C483" s="35" t="n"/>
      <c r="D483" s="35" t="n"/>
      <c r="E483" s="38" t="n"/>
      <c r="F483" s="35" t="n"/>
      <c r="G483" s="1" t="n"/>
    </row>
    <row r="484">
      <c r="A484" s="1" t="n"/>
      <c r="B484" s="36" t="n"/>
      <c r="C484" s="35" t="n"/>
      <c r="D484" s="35" t="n"/>
      <c r="E484" s="38" t="n"/>
      <c r="F484" s="35" t="n"/>
      <c r="G484" s="1" t="n"/>
    </row>
    <row r="485">
      <c r="A485" s="1" t="n"/>
      <c r="B485" s="36" t="n"/>
      <c r="C485" s="35" t="n"/>
      <c r="D485" s="35" t="n"/>
      <c r="E485" s="38" t="n"/>
      <c r="F485" s="35" t="n"/>
      <c r="G485" s="1" t="n"/>
    </row>
    <row r="486">
      <c r="A486" s="1" t="n"/>
      <c r="B486" s="36" t="n"/>
      <c r="C486" s="35" t="n"/>
      <c r="D486" s="35" t="n"/>
      <c r="E486" s="38" t="n"/>
      <c r="F486" s="35" t="n"/>
      <c r="G486" s="1" t="n"/>
    </row>
    <row r="487">
      <c r="A487" s="1" t="n"/>
      <c r="B487" s="36" t="n"/>
      <c r="C487" s="35" t="n"/>
      <c r="D487" s="35" t="n"/>
      <c r="E487" s="38" t="n"/>
      <c r="F487" s="35" t="n"/>
      <c r="G487" s="1" t="n"/>
    </row>
    <row r="488">
      <c r="A488" s="1" t="n"/>
      <c r="B488" s="36" t="n"/>
      <c r="C488" s="35" t="n"/>
      <c r="D488" s="35" t="n"/>
      <c r="E488" s="38" t="n"/>
      <c r="F488" s="35" t="n"/>
      <c r="G488" s="1" t="n"/>
    </row>
    <row r="489">
      <c r="A489" s="1" t="n"/>
      <c r="B489" s="36" t="n"/>
      <c r="C489" s="35" t="n"/>
      <c r="D489" s="35" t="n"/>
      <c r="E489" s="38" t="n"/>
      <c r="F489" s="35" t="n"/>
      <c r="G489" s="1" t="n"/>
    </row>
    <row r="490">
      <c r="A490" s="1" t="n"/>
      <c r="B490" s="36" t="n"/>
      <c r="C490" s="35" t="n"/>
      <c r="D490" s="35" t="n"/>
      <c r="E490" s="38" t="n"/>
      <c r="F490" s="35" t="n"/>
      <c r="G490" s="1" t="n"/>
    </row>
    <row r="491">
      <c r="A491" s="1" t="n"/>
      <c r="B491" s="36" t="n"/>
      <c r="C491" s="35" t="n"/>
      <c r="D491" s="35" t="n"/>
      <c r="E491" s="38" t="n"/>
      <c r="F491" s="35" t="n"/>
      <c r="G491" s="1" t="n"/>
    </row>
    <row r="492">
      <c r="A492" s="1" t="n"/>
      <c r="B492" s="36" t="n"/>
      <c r="C492" s="35" t="n"/>
      <c r="D492" s="35" t="n"/>
      <c r="E492" s="38" t="n"/>
      <c r="F492" s="35" t="n"/>
      <c r="G492" s="1" t="n"/>
    </row>
    <row r="493">
      <c r="A493" s="1" t="n"/>
      <c r="B493" s="36" t="n"/>
      <c r="C493" s="35" t="n"/>
      <c r="D493" s="35" t="n"/>
      <c r="E493" s="38" t="n"/>
      <c r="F493" s="35" t="n"/>
      <c r="G493" s="1" t="n"/>
    </row>
    <row r="494">
      <c r="A494" s="1" t="n"/>
      <c r="B494" s="36" t="n"/>
      <c r="C494" s="35" t="n"/>
      <c r="D494" s="35" t="n"/>
      <c r="E494" s="38" t="n"/>
      <c r="F494" s="35" t="n"/>
      <c r="G494" s="1" t="n"/>
    </row>
    <row r="495">
      <c r="A495" s="1" t="n"/>
      <c r="B495" s="36" t="n"/>
      <c r="C495" s="35" t="n"/>
      <c r="D495" s="35" t="n"/>
      <c r="E495" s="38" t="n"/>
      <c r="F495" s="35" t="n"/>
      <c r="G495" s="1" t="n"/>
    </row>
    <row r="496">
      <c r="A496" s="1" t="n"/>
      <c r="B496" s="36" t="n"/>
      <c r="C496" s="35" t="n"/>
      <c r="D496" s="35" t="n"/>
      <c r="E496" s="38" t="n"/>
      <c r="F496" s="35" t="n"/>
      <c r="G496" s="1" t="n"/>
    </row>
    <row r="497">
      <c r="A497" s="1" t="n"/>
      <c r="B497" s="36" t="n"/>
      <c r="C497" s="35" t="n"/>
      <c r="D497" s="35" t="n"/>
      <c r="E497" s="38" t="n"/>
      <c r="F497" s="35" t="n"/>
      <c r="G497" s="1" t="n"/>
    </row>
    <row r="498">
      <c r="A498" s="1" t="n"/>
      <c r="B498" s="36" t="n"/>
      <c r="C498" s="35" t="n"/>
      <c r="D498" s="35" t="n"/>
      <c r="E498" s="38" t="n"/>
      <c r="F498" s="35" t="n"/>
      <c r="G498" s="1" t="n"/>
    </row>
    <row r="499">
      <c r="A499" s="1" t="n"/>
      <c r="B499" s="36" t="n"/>
      <c r="C499" s="35" t="n"/>
      <c r="D499" s="35" t="n"/>
      <c r="E499" s="38" t="n"/>
      <c r="F499" s="35" t="n"/>
      <c r="G499" s="1" t="n"/>
    </row>
    <row r="500">
      <c r="A500" s="1" t="n"/>
      <c r="B500" s="36" t="n"/>
      <c r="C500" s="35" t="n"/>
      <c r="D500" s="35" t="n"/>
      <c r="E500" s="38" t="n"/>
      <c r="F500" s="35" t="n"/>
      <c r="G500" s="1" t="n"/>
    </row>
    <row r="501">
      <c r="A501" s="1" t="n"/>
      <c r="B501" s="36" t="n"/>
      <c r="C501" s="35" t="n"/>
      <c r="D501" s="35" t="n"/>
      <c r="E501" s="38" t="n"/>
      <c r="F501" s="35" t="n"/>
      <c r="G501" s="1" t="n"/>
    </row>
    <row r="502">
      <c r="A502" s="1" t="n"/>
      <c r="B502" s="36" t="n"/>
      <c r="C502" s="35" t="n"/>
      <c r="D502" s="35" t="n"/>
      <c r="E502" s="38" t="n"/>
      <c r="F502" s="35" t="n"/>
      <c r="G502" s="1" t="n"/>
    </row>
    <row r="503">
      <c r="A503" s="1" t="n"/>
      <c r="B503" s="36" t="n"/>
      <c r="C503" s="35" t="n"/>
      <c r="D503" s="35" t="n"/>
      <c r="E503" s="38" t="n"/>
      <c r="F503" s="35" t="n"/>
      <c r="G503" s="1" t="n"/>
    </row>
    <row r="504">
      <c r="A504" s="1" t="n"/>
      <c r="B504" s="36" t="n"/>
      <c r="C504" s="35" t="n"/>
      <c r="D504" s="35" t="n"/>
      <c r="E504" s="38" t="n"/>
      <c r="F504" s="35" t="n"/>
      <c r="G504" s="1" t="n"/>
    </row>
    <row r="505">
      <c r="A505" s="1" t="n"/>
      <c r="B505" s="36" t="n"/>
      <c r="C505" s="35" t="n"/>
      <c r="D505" s="35" t="n"/>
      <c r="E505" s="38" t="n"/>
      <c r="F505" s="35" t="n"/>
      <c r="G505" s="1" t="n"/>
    </row>
    <row r="506">
      <c r="A506" s="1" t="n"/>
      <c r="B506" s="1" t="n"/>
      <c r="C506" s="1" t="n"/>
      <c r="D506" s="1" t="n"/>
      <c r="E506" s="1" t="n"/>
      <c r="F506" s="1" t="n"/>
      <c r="G506" s="1" t="n"/>
    </row>
  </sheetData>
  <dataValidations count="2">
    <dataValidation sqref="C6:C505" showDropDown="0" showInputMessage="0" showErrorMessage="0" allowBlank="1" type="list">
      <formula1>=Settings!$G$6:$G$12</formula1>
    </dataValidation>
    <dataValidation sqref="D6:D505" showDropDown="0" showInputMessage="0" showErrorMessage="0" allowBlank="1" type="list">
      <formula1>=Settings!$B$15:$B$24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0" t="inlineStr">
        <is>
          <t>1</t>
        </is>
      </c>
      <c r="C5" s="41" t="inlineStr">
        <is>
          <t>Settings: type the names of your properties (up to 6). Change the expense categories if you like.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0" t="inlineStr">
        <is>
          <t>2</t>
        </is>
      </c>
      <c r="C7" s="41" t="inlineStr">
        <is>
          <t>Bookings: one line per stay, with the dates, what the guest paid, the cleaning fee and the platform fee.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0" t="inlineStr">
        <is>
          <t>3</t>
        </is>
      </c>
      <c r="C9" s="41" t="inlineStr">
        <is>
          <t>When the money reaches your account, choose Yes under 'Paid out?'.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0" t="inlineStr">
        <is>
          <t>4</t>
        </is>
      </c>
      <c r="C11" s="41" t="inlineStr">
        <is>
          <t>Expenses: one line per cost. Choose Shared for costs that are not for one property.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0" t="inlineStr">
        <is>
          <t>5</t>
        </is>
      </c>
      <c r="C13" s="41" t="inlineStr">
        <is>
          <t>Dashboard: pick the year and a property, or All properties, to see each month and each home.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Revenue here is your payout: what the guest paid plus the cleaning fee, minus the platform fee.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A stay that crosses two months is split by nights, so each month shows its own nights and revenue.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properties, bookings and expenses show how it works. Delete them and add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currency, with bookings from any platform.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2026-09-28T11:04:13Z</dcterms:created>
  <dcterms:modified xsi:type="dcterms:W3CDTF">2026-09-28T11:04:14Z</dcterms:modified>
</cp:coreProperties>
</file>