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tems" sheetId="2" state="visible" r:id="rId2"/>
    <sheet name="Rooms" sheetId="3" state="visible" r:id="rId3"/>
    <sheet name="Report" sheetId="4" state="visible" r:id="rId4"/>
    <sheet name="Settings" sheetId="5" state="visible" r:id="rId5"/>
    <sheet name="Start He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 MMM YYYY"/>
    <numFmt numFmtId="165" formatCode="yyyy-mm-dd"/>
    <numFmt numFmtId="166" formatCode="0.0"/>
  </numFmts>
  <fonts count="20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color rgb="001E2A2F"/>
      <sz val="11"/>
    </font>
    <font>
      <name val="Arial"/>
      <b val="1"/>
      <color rgb="0015525A"/>
      <sz val="12"/>
    </font>
    <font>
      <name val="Arial"/>
      <b val="1"/>
      <color rgb="00FFFFFF"/>
      <sz val="11"/>
    </font>
    <font>
      <name val="Arial"/>
      <b val="1"/>
      <color rgb="0015525A"/>
      <sz val="18"/>
    </font>
    <font>
      <name val="Arial"/>
      <i val="1"/>
      <color rgb="006B7B80"/>
      <sz val="9"/>
    </font>
    <font>
      <name val="Arial"/>
      <color rgb="006B7B80"/>
      <sz val="10"/>
    </font>
    <font>
      <name val="Arial"/>
      <color rgb="001E2A2F"/>
      <sz val="9"/>
    </font>
    <font>
      <name val="Arial"/>
      <b val="1"/>
      <color rgb="001E2A2F"/>
      <sz val="9"/>
    </font>
    <font>
      <name val="Arial"/>
      <b val="1"/>
      <color rgb="0015525A"/>
      <sz val="11"/>
    </font>
    <font>
      <name val="Arial"/>
      <b val="1"/>
      <color rgb="006B7B80"/>
      <sz val="10"/>
    </font>
    <font>
      <name val="Arial"/>
      <i val="1"/>
      <color rgb="006B7B80"/>
      <sz val="8"/>
    </font>
    <font>
      <name val="Arial"/>
      <b val="1"/>
      <color rgb="001F6F78"/>
      <sz val="16"/>
    </font>
    <font>
      <name val="Arial"/>
      <b val="1"/>
      <color rgb="00B86E1C"/>
      <sz val="16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4" fillId="2" borderId="1" pivotButton="0" quotePrefix="0" xfId="0"/>
    <xf numFmtId="4" fontId="16" fillId="2" borderId="1" applyAlignment="1" pivotButton="0" quotePrefix="0" xfId="0">
      <alignment horizontal="right"/>
    </xf>
    <xf numFmtId="1" fontId="16" fillId="2" borderId="1" applyAlignment="1" pivotButton="0" quotePrefix="0" xfId="0">
      <alignment horizontal="right"/>
    </xf>
    <xf numFmtId="1" fontId="17" fillId="2" borderId="1" applyAlignment="1" pivotButton="0" quotePrefix="0" xfId="0">
      <alignment horizontal="right"/>
    </xf>
    <xf numFmtId="0" fontId="7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1" fontId="5" fillId="2" borderId="1" applyAlignment="1" pivotButton="0" quotePrefix="0" xfId="0">
      <alignment horizontal="center" vertical="center"/>
    </xf>
    <xf numFmtId="4" fontId="5" fillId="2" borderId="1" pivotButton="0" quotePrefix="0" xfId="0"/>
    <xf numFmtId="9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2" borderId="1" pivotButton="0" quotePrefix="0" xfId="0"/>
    <xf numFmtId="0" fontId="9" fillId="2" borderId="0" pivotButton="0" quotePrefix="0" xfId="0"/>
    <xf numFmtId="0" fontId="10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5" fillId="3" borderId="1" pivotButton="0" quotePrefix="0" xfId="0"/>
    <xf numFmtId="164" fontId="5" fillId="3" borderId="1" applyAlignment="1" pivotButton="0" quotePrefix="0" xfId="0">
      <alignment horizontal="center" vertical="center"/>
    </xf>
    <xf numFmtId="4" fontId="5" fillId="3" borderId="1" pivotButton="0" quotePrefix="0" xfId="0"/>
    <xf numFmtId="4" fontId="3" fillId="2" borderId="1" pivotButton="0" quotePrefix="0" xfId="0"/>
    <xf numFmtId="166" fontId="5" fillId="2" borderId="1" applyAlignment="1" pivotButton="0" quotePrefix="0" xfId="0">
      <alignment horizontal="center" vertical="center"/>
    </xf>
    <xf numFmtId="0" fontId="8" fillId="2" borderId="0" pivotButton="0" quotePrefix="0" xfId="0"/>
    <xf numFmtId="0" fontId="4" fillId="2" borderId="0" pivotButton="0" quotePrefix="0" xfId="0"/>
    <xf numFmtId="0" fontId="3" fillId="2" borderId="0" pivotButton="0" quotePrefix="0" xfId="0"/>
    <xf numFmtId="0" fontId="11" fillId="2" borderId="1" pivotButton="0" quotePrefix="0" xfId="0"/>
    <xf numFmtId="0" fontId="12" fillId="2" borderId="1" pivotButton="0" quotePrefix="0" xfId="0"/>
    <xf numFmtId="0" fontId="11" fillId="2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4" fontId="11" fillId="2" borderId="1" pivotButton="0" quotePrefix="0" xfId="0"/>
    <xf numFmtId="4" fontId="13" fillId="2" borderId="0" pivotButton="0" quotePrefix="0" xfId="0"/>
    <xf numFmtId="0" fontId="14" fillId="2" borderId="0" pivotButton="0" quotePrefix="0" xfId="0"/>
    <xf numFmtId="0" fontId="15" fillId="2" borderId="0" pivotButton="0" quotePrefix="0" xfId="0"/>
    <xf numFmtId="0" fontId="3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6" fillId="2" borderId="0" pivotButton="0" quotePrefix="0" xfId="0"/>
    <xf numFmtId="0" fontId="18" fillId="2" borderId="0" pivotButton="0" quotePrefix="0" xfId="0"/>
    <xf numFmtId="0" fontId="19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D8F0DC"/>
          <bgColor rgb="00D8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Worth by room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'Dashboard'!D7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'Dashboard'!$B$8:$B$17</f>
            </numRef>
          </cat>
          <val>
            <numRef>
              <f>'Dashboard'!$D$8:$D$17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30</row>
      <rowOff>0</rowOff>
    </from>
    <ext cx="43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9" customWidth="1" min="3" max="3"/>
    <col width="13" customWidth="1" min="4" max="4"/>
    <col width="9" customWidth="1" min="5" max="5"/>
    <col width="3" customWidth="1" min="6" max="6"/>
    <col width="24" customWidth="1" min="7" max="7"/>
    <col width="16" customWidth="1" min="8" max="8"/>
    <col width="13" customWidth="1" min="9" max="9"/>
    <col width="3" customWidth="1" min="10" max="10"/>
    <col hidden="1" width="13" customWidth="1" min="12" max="12"/>
    <col hidden="1" width="13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" t="n"/>
      <c r="B2" s="2">
        <f>IF(Settings!$C$4="","Home inventory",Settings!$C$4)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>
        <f>"What your things are worth, room by room, and the proof still to find."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4" t="inlineStr">
        <is>
          <t>Worth in all</t>
        </is>
      </c>
      <c r="C4" s="4" t="inlineStr">
        <is>
          <t>Items</t>
        </is>
      </c>
      <c r="D4" s="4" t="inlineStr">
        <is>
          <t>Contents cover</t>
        </is>
      </c>
      <c r="E4" s="4" t="inlineStr">
        <is>
          <t>No receipt</t>
        </is>
      </c>
      <c r="F4" s="1" t="n"/>
      <c r="G4" s="4" t="inlineStr">
        <is>
          <t>Cover less the list</t>
        </is>
      </c>
      <c r="H4" s="4" t="inlineStr">
        <is>
          <t>No photo</t>
        </is>
      </c>
      <c r="I4" s="4" t="inlineStr">
        <is>
          <t>Renews in (days)</t>
        </is>
      </c>
      <c r="J4" s="1" t="n"/>
      <c r="K4" s="1" t="n"/>
    </row>
    <row r="5" ht="34" customHeight="1">
      <c r="A5" s="1" t="n"/>
      <c r="B5" s="5">
        <f>SUM(Items!$T$6:$T$1005)</f>
        <v/>
      </c>
      <c r="C5" s="6">
        <f>SUM(Items!$S$6:$S$1005)</f>
        <v/>
      </c>
      <c r="D5" s="5">
        <f>IF(N(Settings!$C$6)=0,"",N(Settings!$C$6))</f>
        <v/>
      </c>
      <c r="E5" s="7">
        <f>SUM(Items!$W$6:$W$1005)</f>
        <v/>
      </c>
      <c r="F5" s="1" t="n"/>
      <c r="G5" s="5">
        <f>IF(N(Settings!$C$6)=0,"",N(Settings!$C$6)-B5)</f>
        <v/>
      </c>
      <c r="H5" s="7">
        <f>SUM(Items!$X$6:$X$1005)</f>
        <v/>
      </c>
      <c r="I5" s="6">
        <f>IF(NOT(ISNUMBER(Settings!$C$9)),"",INT(Settings!$C$9)-TODAY())</f>
        <v/>
      </c>
      <c r="J5" s="1" t="n"/>
      <c r="K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30" customHeight="1">
      <c r="A7" s="1" t="n"/>
      <c r="B7" s="8" t="inlineStr">
        <is>
          <t>Room</t>
        </is>
      </c>
      <c r="C7" s="8" t="inlineStr">
        <is>
          <t>Items</t>
        </is>
      </c>
      <c r="D7" s="8" t="inlineStr">
        <is>
          <t>Worth</t>
        </is>
      </c>
      <c r="E7" s="8" t="inlineStr">
        <is>
          <t>Share</t>
        </is>
      </c>
      <c r="F7" s="1" t="n"/>
      <c r="G7" s="8" t="inlineStr">
        <is>
          <t>Most valuable</t>
        </is>
      </c>
      <c r="H7" s="8" t="inlineStr">
        <is>
          <t>Room</t>
        </is>
      </c>
      <c r="I7" s="8" t="inlineStr">
        <is>
          <t>Worth</t>
        </is>
      </c>
      <c r="J7" s="1" t="n"/>
      <c r="K7" s="1" t="n"/>
    </row>
    <row r="8" ht="18" customHeight="1">
      <c r="A8" s="1" t="n"/>
      <c r="B8" s="9">
        <f>IF(INDEX(Rooms!$B$6:$B$35,1)="","",INDEX(Rooms!$B$6:$B$35,1))</f>
        <v/>
      </c>
      <c r="C8" s="10">
        <f>IF(B8="","",INDEX(Rooms!$D$6:$D$35,1))</f>
        <v/>
      </c>
      <c r="D8" s="11">
        <f>IF(B8="","",INDEX(Rooms!$E$6:$E$35,1))</f>
        <v/>
      </c>
      <c r="E8" s="12">
        <f>IF(OR(B8="",N($B$5)=0),"",D8/$B$5)</f>
        <v/>
      </c>
      <c r="F8" s="1" t="n"/>
      <c r="G8" s="9">
        <f>IF(L8="","",INDEX(Items!$C$1:$C$1005,10000-MOD(L8,10000)))</f>
        <v/>
      </c>
      <c r="H8" s="13">
        <f>IF(L8="","",INDEX(Items!$B$1:$B$1005,10000-MOD(L8,10000)))</f>
        <v/>
      </c>
      <c r="I8" s="11">
        <f>IF(L8="","",INDEX(Items!$N$1:$N$1005,10000-MOD(L8,10000)))</f>
        <v/>
      </c>
      <c r="J8" s="1" t="n"/>
      <c r="K8" s="1" t="n"/>
      <c r="L8">
        <f>IFERROR(LARGE(Items!$U$6:$U$1005,1),"")</f>
        <v/>
      </c>
    </row>
    <row r="9" ht="18" customHeight="1">
      <c r="A9" s="1" t="n"/>
      <c r="B9" s="9">
        <f>IF(INDEX(Rooms!$B$6:$B$35,2)="","",INDEX(Rooms!$B$6:$B$35,2))</f>
        <v/>
      </c>
      <c r="C9" s="10">
        <f>IF(B9="","",INDEX(Rooms!$D$6:$D$35,2))</f>
        <v/>
      </c>
      <c r="D9" s="11">
        <f>IF(B9="","",INDEX(Rooms!$E$6:$E$35,2))</f>
        <v/>
      </c>
      <c r="E9" s="12">
        <f>IF(OR(B9="",N($B$5)=0),"",D9/$B$5)</f>
        <v/>
      </c>
      <c r="F9" s="1" t="n"/>
      <c r="G9" s="9">
        <f>IF(L9="","",INDEX(Items!$C$1:$C$1005,10000-MOD(L9,10000)))</f>
        <v/>
      </c>
      <c r="H9" s="13">
        <f>IF(L9="","",INDEX(Items!$B$1:$B$1005,10000-MOD(L9,10000)))</f>
        <v/>
      </c>
      <c r="I9" s="11">
        <f>IF(L9="","",INDEX(Items!$N$1:$N$1005,10000-MOD(L9,10000)))</f>
        <v/>
      </c>
      <c r="J9" s="1" t="n"/>
      <c r="K9" s="1" t="n"/>
      <c r="L9">
        <f>IFERROR(LARGE(Items!$U$6:$U$1005,2),"")</f>
        <v/>
      </c>
    </row>
    <row r="10" ht="18" customHeight="1">
      <c r="A10" s="1" t="n"/>
      <c r="B10" s="9">
        <f>IF(INDEX(Rooms!$B$6:$B$35,3)="","",INDEX(Rooms!$B$6:$B$35,3))</f>
        <v/>
      </c>
      <c r="C10" s="10">
        <f>IF(B10="","",INDEX(Rooms!$D$6:$D$35,3))</f>
        <v/>
      </c>
      <c r="D10" s="11">
        <f>IF(B10="","",INDEX(Rooms!$E$6:$E$35,3))</f>
        <v/>
      </c>
      <c r="E10" s="12">
        <f>IF(OR(B10="",N($B$5)=0),"",D10/$B$5)</f>
        <v/>
      </c>
      <c r="F10" s="1" t="n"/>
      <c r="G10" s="9">
        <f>IF(L10="","",INDEX(Items!$C$1:$C$1005,10000-MOD(L10,10000)))</f>
        <v/>
      </c>
      <c r="H10" s="13">
        <f>IF(L10="","",INDEX(Items!$B$1:$B$1005,10000-MOD(L10,10000)))</f>
        <v/>
      </c>
      <c r="I10" s="11">
        <f>IF(L10="","",INDEX(Items!$N$1:$N$1005,10000-MOD(L10,10000)))</f>
        <v/>
      </c>
      <c r="J10" s="1" t="n"/>
      <c r="K10" s="1" t="n"/>
      <c r="L10">
        <f>IFERROR(LARGE(Items!$U$6:$U$1005,3),"")</f>
        <v/>
      </c>
    </row>
    <row r="11" ht="18" customHeight="1">
      <c r="A11" s="1" t="n"/>
      <c r="B11" s="9">
        <f>IF(INDEX(Rooms!$B$6:$B$35,4)="","",INDEX(Rooms!$B$6:$B$35,4))</f>
        <v/>
      </c>
      <c r="C11" s="10">
        <f>IF(B11="","",INDEX(Rooms!$D$6:$D$35,4))</f>
        <v/>
      </c>
      <c r="D11" s="11">
        <f>IF(B11="","",INDEX(Rooms!$E$6:$E$35,4))</f>
        <v/>
      </c>
      <c r="E11" s="12">
        <f>IF(OR(B11="",N($B$5)=0),"",D11/$B$5)</f>
        <v/>
      </c>
      <c r="F11" s="1" t="n"/>
      <c r="G11" s="9">
        <f>IF(L11="","",INDEX(Items!$C$1:$C$1005,10000-MOD(L11,10000)))</f>
        <v/>
      </c>
      <c r="H11" s="13">
        <f>IF(L11="","",INDEX(Items!$B$1:$B$1005,10000-MOD(L11,10000)))</f>
        <v/>
      </c>
      <c r="I11" s="11">
        <f>IF(L11="","",INDEX(Items!$N$1:$N$1005,10000-MOD(L11,10000)))</f>
        <v/>
      </c>
      <c r="J11" s="1" t="n"/>
      <c r="K11" s="1" t="n"/>
      <c r="L11">
        <f>IFERROR(LARGE(Items!$U$6:$U$1005,4),"")</f>
        <v/>
      </c>
    </row>
    <row r="12" ht="18" customHeight="1">
      <c r="A12" s="1" t="n"/>
      <c r="B12" s="9">
        <f>IF(INDEX(Rooms!$B$6:$B$35,5)="","",INDEX(Rooms!$B$6:$B$35,5))</f>
        <v/>
      </c>
      <c r="C12" s="10">
        <f>IF(B12="","",INDEX(Rooms!$D$6:$D$35,5))</f>
        <v/>
      </c>
      <c r="D12" s="11">
        <f>IF(B12="","",INDEX(Rooms!$E$6:$E$35,5))</f>
        <v/>
      </c>
      <c r="E12" s="12">
        <f>IF(OR(B12="",N($B$5)=0),"",D12/$B$5)</f>
        <v/>
      </c>
      <c r="F12" s="1" t="n"/>
      <c r="G12" s="9">
        <f>IF(L12="","",INDEX(Items!$C$1:$C$1005,10000-MOD(L12,10000)))</f>
        <v/>
      </c>
      <c r="H12" s="13">
        <f>IF(L12="","",INDEX(Items!$B$1:$B$1005,10000-MOD(L12,10000)))</f>
        <v/>
      </c>
      <c r="I12" s="11">
        <f>IF(L12="","",INDEX(Items!$N$1:$N$1005,10000-MOD(L12,10000)))</f>
        <v/>
      </c>
      <c r="J12" s="1" t="n"/>
      <c r="K12" s="1" t="n"/>
      <c r="L12">
        <f>IFERROR(LARGE(Items!$U$6:$U$1005,5),"")</f>
        <v/>
      </c>
    </row>
    <row r="13" ht="18" customHeight="1">
      <c r="A13" s="1" t="n"/>
      <c r="B13" s="9">
        <f>IF(INDEX(Rooms!$B$6:$B$35,6)="","",INDEX(Rooms!$B$6:$B$35,6))</f>
        <v/>
      </c>
      <c r="C13" s="10">
        <f>IF(B13="","",INDEX(Rooms!$D$6:$D$35,6))</f>
        <v/>
      </c>
      <c r="D13" s="11">
        <f>IF(B13="","",INDEX(Rooms!$E$6:$E$35,6))</f>
        <v/>
      </c>
      <c r="E13" s="12">
        <f>IF(OR(B13="",N($B$5)=0),"",D13/$B$5)</f>
        <v/>
      </c>
      <c r="F13" s="1" t="n"/>
      <c r="G13" s="9">
        <f>IF(L13="","",INDEX(Items!$C$1:$C$1005,10000-MOD(L13,10000)))</f>
        <v/>
      </c>
      <c r="H13" s="13">
        <f>IF(L13="","",INDEX(Items!$B$1:$B$1005,10000-MOD(L13,10000)))</f>
        <v/>
      </c>
      <c r="I13" s="11">
        <f>IF(L13="","",INDEX(Items!$N$1:$N$1005,10000-MOD(L13,10000)))</f>
        <v/>
      </c>
      <c r="J13" s="1" t="n"/>
      <c r="K13" s="1" t="n"/>
      <c r="L13">
        <f>IFERROR(LARGE(Items!$U$6:$U$1005,6),"")</f>
        <v/>
      </c>
    </row>
    <row r="14" ht="18" customHeight="1">
      <c r="A14" s="1" t="n"/>
      <c r="B14" s="9">
        <f>IF(INDEX(Rooms!$B$6:$B$35,7)="","",INDEX(Rooms!$B$6:$B$35,7))</f>
        <v/>
      </c>
      <c r="C14" s="10">
        <f>IF(B14="","",INDEX(Rooms!$D$6:$D$35,7))</f>
        <v/>
      </c>
      <c r="D14" s="11">
        <f>IF(B14="","",INDEX(Rooms!$E$6:$E$35,7))</f>
        <v/>
      </c>
      <c r="E14" s="12">
        <f>IF(OR(B14="",N($B$5)=0),"",D14/$B$5)</f>
        <v/>
      </c>
      <c r="F14" s="1" t="n"/>
      <c r="G14" s="9">
        <f>IF(L14="","",INDEX(Items!$C$1:$C$1005,10000-MOD(L14,10000)))</f>
        <v/>
      </c>
      <c r="H14" s="13">
        <f>IF(L14="","",INDEX(Items!$B$1:$B$1005,10000-MOD(L14,10000)))</f>
        <v/>
      </c>
      <c r="I14" s="11">
        <f>IF(L14="","",INDEX(Items!$N$1:$N$1005,10000-MOD(L14,10000)))</f>
        <v/>
      </c>
      <c r="J14" s="1" t="n"/>
      <c r="K14" s="1" t="n"/>
      <c r="L14">
        <f>IFERROR(LARGE(Items!$U$6:$U$1005,7),"")</f>
        <v/>
      </c>
    </row>
    <row r="15" ht="18" customHeight="1">
      <c r="A15" s="1" t="n"/>
      <c r="B15" s="9">
        <f>IF(INDEX(Rooms!$B$6:$B$35,8)="","",INDEX(Rooms!$B$6:$B$35,8))</f>
        <v/>
      </c>
      <c r="C15" s="10">
        <f>IF(B15="","",INDEX(Rooms!$D$6:$D$35,8))</f>
        <v/>
      </c>
      <c r="D15" s="11">
        <f>IF(B15="","",INDEX(Rooms!$E$6:$E$35,8))</f>
        <v/>
      </c>
      <c r="E15" s="12">
        <f>IF(OR(B15="",N($B$5)=0),"",D15/$B$5)</f>
        <v/>
      </c>
      <c r="F15" s="1" t="n"/>
      <c r="G15" s="9">
        <f>IF(L15="","",INDEX(Items!$C$1:$C$1005,10000-MOD(L15,10000)))</f>
        <v/>
      </c>
      <c r="H15" s="13">
        <f>IF(L15="","",INDEX(Items!$B$1:$B$1005,10000-MOD(L15,10000)))</f>
        <v/>
      </c>
      <c r="I15" s="11">
        <f>IF(L15="","",INDEX(Items!$N$1:$N$1005,10000-MOD(L15,10000)))</f>
        <v/>
      </c>
      <c r="J15" s="1" t="n"/>
      <c r="K15" s="1" t="n"/>
      <c r="L15">
        <f>IFERROR(LARGE(Items!$U$6:$U$1005,8),"")</f>
        <v/>
      </c>
    </row>
    <row r="16" ht="18" customHeight="1">
      <c r="A16" s="1" t="n"/>
      <c r="B16" s="9">
        <f>IF(INDEX(Rooms!$B$6:$B$35,9)="","",INDEX(Rooms!$B$6:$B$35,9))</f>
        <v/>
      </c>
      <c r="C16" s="10">
        <f>IF(B16="","",INDEX(Rooms!$D$6:$D$35,9))</f>
        <v/>
      </c>
      <c r="D16" s="11">
        <f>IF(B16="","",INDEX(Rooms!$E$6:$E$35,9))</f>
        <v/>
      </c>
      <c r="E16" s="12">
        <f>IF(OR(B16="",N($B$5)=0),"",D16/$B$5)</f>
        <v/>
      </c>
      <c r="F16" s="1" t="n"/>
      <c r="G16" s="9">
        <f>IF(L16="","",INDEX(Items!$C$1:$C$1005,10000-MOD(L16,10000)))</f>
        <v/>
      </c>
      <c r="H16" s="13">
        <f>IF(L16="","",INDEX(Items!$B$1:$B$1005,10000-MOD(L16,10000)))</f>
        <v/>
      </c>
      <c r="I16" s="11">
        <f>IF(L16="","",INDEX(Items!$N$1:$N$1005,10000-MOD(L16,10000)))</f>
        <v/>
      </c>
      <c r="J16" s="1" t="n"/>
      <c r="K16" s="1" t="n"/>
      <c r="L16">
        <f>IFERROR(LARGE(Items!$U$6:$U$1005,9),"")</f>
        <v/>
      </c>
    </row>
    <row r="17" ht="18" customHeight="1">
      <c r="A17" s="1" t="n"/>
      <c r="B17" s="9">
        <f>IF(INDEX(Rooms!$B$6:$B$35,10)="","",INDEX(Rooms!$B$6:$B$35,10))</f>
        <v/>
      </c>
      <c r="C17" s="10">
        <f>IF(B17="","",INDEX(Rooms!$D$6:$D$35,10))</f>
        <v/>
      </c>
      <c r="D17" s="11">
        <f>IF(B17="","",INDEX(Rooms!$E$6:$E$35,10))</f>
        <v/>
      </c>
      <c r="E17" s="12">
        <f>IF(OR(B17="",N($B$5)=0),"",D17/$B$5)</f>
        <v/>
      </c>
      <c r="F17" s="1" t="n"/>
      <c r="G17" s="9">
        <f>IF(L17="","",INDEX(Items!$C$1:$C$1005,10000-MOD(L17,10000)))</f>
        <v/>
      </c>
      <c r="H17" s="13">
        <f>IF(L17="","",INDEX(Items!$B$1:$B$1005,10000-MOD(L17,10000)))</f>
        <v/>
      </c>
      <c r="I17" s="11">
        <f>IF(L17="","",INDEX(Items!$N$1:$N$1005,10000-MOD(L17,10000)))</f>
        <v/>
      </c>
      <c r="J17" s="1" t="n"/>
      <c r="K17" s="1" t="n"/>
      <c r="L17">
        <f>IFERROR(LARGE(Items!$U$6:$U$1005,10),"")</f>
        <v/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30" customHeight="1">
      <c r="A19" s="1" t="n"/>
      <c r="B19" s="8" t="inlineStr">
        <is>
          <t>Category</t>
        </is>
      </c>
      <c r="C19" s="8" t="inlineStr">
        <is>
          <t>Items</t>
        </is>
      </c>
      <c r="D19" s="8" t="inlineStr">
        <is>
          <t>Worth</t>
        </is>
      </c>
      <c r="E19" s="8" t="inlineStr"/>
      <c r="F19" s="1" t="n"/>
      <c r="G19" s="8" t="inlineStr">
        <is>
          <t>Proof to find first</t>
        </is>
      </c>
      <c r="H19" s="8" t="inlineStr">
        <is>
          <t>Missing</t>
        </is>
      </c>
      <c r="I19" s="8" t="inlineStr">
        <is>
          <t>Worth</t>
        </is>
      </c>
      <c r="J19" s="1" t="n"/>
      <c r="K19" s="1" t="n"/>
    </row>
    <row r="20" ht="18" customHeight="1">
      <c r="A20" s="1" t="n"/>
      <c r="B20" s="9">
        <f>IF(Settings!$B$14="","",Settings!$B$14)</f>
        <v/>
      </c>
      <c r="C20" s="10">
        <f>IF(B20="","",SUMIFS(Items!$S$6:$S$1005,Items!$D$6:$D$1005,B20))</f>
        <v/>
      </c>
      <c r="D20" s="11">
        <f>IF(B20="","",SUMIFS(Items!$T$6:$T$1005,Items!$D$6:$D$1005,B20))</f>
        <v/>
      </c>
      <c r="E20" s="14" t="n"/>
      <c r="F20" s="1" t="n"/>
      <c r="G20" s="9">
        <f>IF(M20="","",INDEX(Items!$C$1:$C$1005,10000-MOD(M20,10000)))</f>
        <v/>
      </c>
      <c r="H20" s="13">
        <f>IF(M20="","",INDEX(Items!$Q$1:$Q$1005,10000-MOD(M20,10000)))</f>
        <v/>
      </c>
      <c r="I20" s="11">
        <f>IF(M20="","",INDEX(Items!$N$1:$N$1005,10000-MOD(M20,10000)))</f>
        <v/>
      </c>
      <c r="J20" s="1" t="n"/>
      <c r="K20" s="1" t="n"/>
      <c r="M20">
        <f>IFERROR(LARGE(Items!$Y$6:$Y$1005,1),"")</f>
        <v/>
      </c>
    </row>
    <row r="21" ht="18" customHeight="1">
      <c r="A21" s="1" t="n"/>
      <c r="B21" s="9">
        <f>IF(Settings!$B$15="","",Settings!$B$15)</f>
        <v/>
      </c>
      <c r="C21" s="10">
        <f>IF(B21="","",SUMIFS(Items!$S$6:$S$1005,Items!$D$6:$D$1005,B21))</f>
        <v/>
      </c>
      <c r="D21" s="11">
        <f>IF(B21="","",SUMIFS(Items!$T$6:$T$1005,Items!$D$6:$D$1005,B21))</f>
        <v/>
      </c>
      <c r="E21" s="14" t="n"/>
      <c r="F21" s="1" t="n"/>
      <c r="G21" s="9">
        <f>IF(M21="","",INDEX(Items!$C$1:$C$1005,10000-MOD(M21,10000)))</f>
        <v/>
      </c>
      <c r="H21" s="13">
        <f>IF(M21="","",INDEX(Items!$Q$1:$Q$1005,10000-MOD(M21,10000)))</f>
        <v/>
      </c>
      <c r="I21" s="11">
        <f>IF(M21="","",INDEX(Items!$N$1:$N$1005,10000-MOD(M21,10000)))</f>
        <v/>
      </c>
      <c r="J21" s="1" t="n"/>
      <c r="K21" s="1" t="n"/>
      <c r="M21">
        <f>IFERROR(LARGE(Items!$Y$6:$Y$1005,2),"")</f>
        <v/>
      </c>
    </row>
    <row r="22" ht="18" customHeight="1">
      <c r="A22" s="1" t="n"/>
      <c r="B22" s="9">
        <f>IF(Settings!$B$16="","",Settings!$B$16)</f>
        <v/>
      </c>
      <c r="C22" s="10">
        <f>IF(B22="","",SUMIFS(Items!$S$6:$S$1005,Items!$D$6:$D$1005,B22))</f>
        <v/>
      </c>
      <c r="D22" s="11">
        <f>IF(B22="","",SUMIFS(Items!$T$6:$T$1005,Items!$D$6:$D$1005,B22))</f>
        <v/>
      </c>
      <c r="E22" s="14" t="n"/>
      <c r="F22" s="1" t="n"/>
      <c r="G22" s="9">
        <f>IF(M22="","",INDEX(Items!$C$1:$C$1005,10000-MOD(M22,10000)))</f>
        <v/>
      </c>
      <c r="H22" s="13">
        <f>IF(M22="","",INDEX(Items!$Q$1:$Q$1005,10000-MOD(M22,10000)))</f>
        <v/>
      </c>
      <c r="I22" s="11">
        <f>IF(M22="","",INDEX(Items!$N$1:$N$1005,10000-MOD(M22,10000)))</f>
        <v/>
      </c>
      <c r="J22" s="1" t="n"/>
      <c r="K22" s="1" t="n"/>
      <c r="M22">
        <f>IFERROR(LARGE(Items!$Y$6:$Y$1005,3),"")</f>
        <v/>
      </c>
    </row>
    <row r="23" ht="18" customHeight="1">
      <c r="A23" s="1" t="n"/>
      <c r="B23" s="9">
        <f>IF(Settings!$B$17="","",Settings!$B$17)</f>
        <v/>
      </c>
      <c r="C23" s="10">
        <f>IF(B23="","",SUMIFS(Items!$S$6:$S$1005,Items!$D$6:$D$1005,B23))</f>
        <v/>
      </c>
      <c r="D23" s="11">
        <f>IF(B23="","",SUMIFS(Items!$T$6:$T$1005,Items!$D$6:$D$1005,B23))</f>
        <v/>
      </c>
      <c r="E23" s="14" t="n"/>
      <c r="F23" s="1" t="n"/>
      <c r="G23" s="9">
        <f>IF(M23="","",INDEX(Items!$C$1:$C$1005,10000-MOD(M23,10000)))</f>
        <v/>
      </c>
      <c r="H23" s="13">
        <f>IF(M23="","",INDEX(Items!$Q$1:$Q$1005,10000-MOD(M23,10000)))</f>
        <v/>
      </c>
      <c r="I23" s="11">
        <f>IF(M23="","",INDEX(Items!$N$1:$N$1005,10000-MOD(M23,10000)))</f>
        <v/>
      </c>
      <c r="J23" s="1" t="n"/>
      <c r="K23" s="1" t="n"/>
      <c r="M23">
        <f>IFERROR(LARGE(Items!$Y$6:$Y$1005,4),"")</f>
        <v/>
      </c>
    </row>
    <row r="24" ht="18" customHeight="1">
      <c r="A24" s="1" t="n"/>
      <c r="B24" s="9">
        <f>IF(Settings!$B$18="","",Settings!$B$18)</f>
        <v/>
      </c>
      <c r="C24" s="10">
        <f>IF(B24="","",SUMIFS(Items!$S$6:$S$1005,Items!$D$6:$D$1005,B24))</f>
        <v/>
      </c>
      <c r="D24" s="11">
        <f>IF(B24="","",SUMIFS(Items!$T$6:$T$1005,Items!$D$6:$D$1005,B24))</f>
        <v/>
      </c>
      <c r="E24" s="14" t="n"/>
      <c r="F24" s="1" t="n"/>
      <c r="G24" s="9">
        <f>IF(M24="","",INDEX(Items!$C$1:$C$1005,10000-MOD(M24,10000)))</f>
        <v/>
      </c>
      <c r="H24" s="13">
        <f>IF(M24="","",INDEX(Items!$Q$1:$Q$1005,10000-MOD(M24,10000)))</f>
        <v/>
      </c>
      <c r="I24" s="11">
        <f>IF(M24="","",INDEX(Items!$N$1:$N$1005,10000-MOD(M24,10000)))</f>
        <v/>
      </c>
      <c r="J24" s="1" t="n"/>
      <c r="K24" s="1" t="n"/>
      <c r="M24">
        <f>IFERROR(LARGE(Items!$Y$6:$Y$1005,5),"")</f>
        <v/>
      </c>
    </row>
    <row r="25" ht="18" customHeight="1">
      <c r="A25" s="1" t="n"/>
      <c r="B25" s="9">
        <f>IF(Settings!$B$19="","",Settings!$B$19)</f>
        <v/>
      </c>
      <c r="C25" s="10">
        <f>IF(B25="","",SUMIFS(Items!$S$6:$S$1005,Items!$D$6:$D$1005,B25))</f>
        <v/>
      </c>
      <c r="D25" s="11">
        <f>IF(B25="","",SUMIFS(Items!$T$6:$T$1005,Items!$D$6:$D$1005,B25))</f>
        <v/>
      </c>
      <c r="E25" s="14" t="n"/>
      <c r="F25" s="1" t="n"/>
      <c r="G25" s="9">
        <f>IF(M25="","",INDEX(Items!$C$1:$C$1005,10000-MOD(M25,10000)))</f>
        <v/>
      </c>
      <c r="H25" s="13">
        <f>IF(M25="","",INDEX(Items!$Q$1:$Q$1005,10000-MOD(M25,10000)))</f>
        <v/>
      </c>
      <c r="I25" s="11">
        <f>IF(M25="","",INDEX(Items!$N$1:$N$1005,10000-MOD(M25,10000)))</f>
        <v/>
      </c>
      <c r="J25" s="1" t="n"/>
      <c r="K25" s="1" t="n"/>
      <c r="M25">
        <f>IFERROR(LARGE(Items!$Y$6:$Y$1005,6),"")</f>
        <v/>
      </c>
    </row>
    <row r="26" ht="18" customHeight="1">
      <c r="A26" s="1" t="n"/>
      <c r="B26" s="9">
        <f>IF(Settings!$B$20="","",Settings!$B$20)</f>
        <v/>
      </c>
      <c r="C26" s="10">
        <f>IF(B26="","",SUMIFS(Items!$S$6:$S$1005,Items!$D$6:$D$1005,B26))</f>
        <v/>
      </c>
      <c r="D26" s="11">
        <f>IF(B26="","",SUMIFS(Items!$T$6:$T$1005,Items!$D$6:$D$1005,B26))</f>
        <v/>
      </c>
      <c r="E26" s="14" t="n"/>
      <c r="F26" s="1" t="n"/>
      <c r="G26" s="9">
        <f>IF(M26="","",INDEX(Items!$C$1:$C$1005,10000-MOD(M26,10000)))</f>
        <v/>
      </c>
      <c r="H26" s="13">
        <f>IF(M26="","",INDEX(Items!$Q$1:$Q$1005,10000-MOD(M26,10000)))</f>
        <v/>
      </c>
      <c r="I26" s="11">
        <f>IF(M26="","",INDEX(Items!$N$1:$N$1005,10000-MOD(M26,10000)))</f>
        <v/>
      </c>
      <c r="J26" s="1" t="n"/>
      <c r="K26" s="1" t="n"/>
      <c r="M26">
        <f>IFERROR(LARGE(Items!$Y$6:$Y$1005,7),"")</f>
        <v/>
      </c>
    </row>
    <row r="27" ht="18" customHeight="1">
      <c r="A27" s="1" t="n"/>
      <c r="B27" s="9">
        <f>IF(Settings!$B$21="","",Settings!$B$21)</f>
        <v/>
      </c>
      <c r="C27" s="10">
        <f>IF(B27="","",SUMIFS(Items!$S$6:$S$1005,Items!$D$6:$D$1005,B27))</f>
        <v/>
      </c>
      <c r="D27" s="11">
        <f>IF(B27="","",SUMIFS(Items!$T$6:$T$1005,Items!$D$6:$D$1005,B27))</f>
        <v/>
      </c>
      <c r="E27" s="14" t="n"/>
      <c r="F27" s="1" t="n"/>
      <c r="G27" s="9">
        <f>IF(M27="","",INDEX(Items!$C$1:$C$1005,10000-MOD(M27,10000)))</f>
        <v/>
      </c>
      <c r="H27" s="13">
        <f>IF(M27="","",INDEX(Items!$Q$1:$Q$1005,10000-MOD(M27,10000)))</f>
        <v/>
      </c>
      <c r="I27" s="11">
        <f>IF(M27="","",INDEX(Items!$N$1:$N$1005,10000-MOD(M27,10000)))</f>
        <v/>
      </c>
      <c r="J27" s="1" t="n"/>
      <c r="K27" s="1" t="n"/>
      <c r="M27">
        <f>IFERROR(LARGE(Items!$Y$6:$Y$1005,8),"")</f>
        <v/>
      </c>
    </row>
    <row r="28" ht="18" customHeight="1">
      <c r="A28" s="1" t="n"/>
      <c r="B28" s="9">
        <f>IF(Settings!$B$22="","",Settings!$B$22)</f>
        <v/>
      </c>
      <c r="C28" s="10">
        <f>IF(B28="","",SUMIFS(Items!$S$6:$S$1005,Items!$D$6:$D$1005,B28))</f>
        <v/>
      </c>
      <c r="D28" s="11">
        <f>IF(B28="","",SUMIFS(Items!$T$6:$T$1005,Items!$D$6:$D$1005,B28))</f>
        <v/>
      </c>
      <c r="E28" s="14" t="n"/>
      <c r="F28" s="1" t="n"/>
      <c r="G28" s="1" t="n"/>
      <c r="H28" s="1" t="n"/>
      <c r="I28" s="1" t="n"/>
      <c r="J28" s="1" t="n"/>
      <c r="K28" s="1" t="n"/>
    </row>
    <row r="29" ht="18" customHeight="1">
      <c r="A29" s="1" t="n"/>
      <c r="B29" s="9">
        <f>IF(Settings!$B$23="","",Settings!$B$23)</f>
        <v/>
      </c>
      <c r="C29" s="10">
        <f>IF(B29="","",SUMIFS(Items!$S$6:$S$1005,Items!$D$6:$D$1005,B29))</f>
        <v/>
      </c>
      <c r="D29" s="11">
        <f>IF(B29="","",SUMIFS(Items!$T$6:$T$1005,Items!$D$6:$D$1005,B29))</f>
        <v/>
      </c>
      <c r="E29" s="14" t="n"/>
      <c r="F29" s="1" t="n"/>
      <c r="G29" s="15">
        <f>IF(COUNT(Items!$Y$6:$Y$1005)&gt;8,"And "&amp;(COUNT(Items!$Y$6:$Y$1005)-8)&amp;" more with something missing","")</f>
        <v/>
      </c>
      <c r="H29" s="1" t="n"/>
      <c r="I29" s="1" t="n"/>
      <c r="J29" s="1" t="n"/>
      <c r="K29" s="1" t="n"/>
    </row>
    <row r="30" ht="18" customHeight="1">
      <c r="A30" s="1" t="n"/>
      <c r="B30" s="9">
        <f>IF(Settings!$B$24="","",Settings!$B$24)</f>
        <v/>
      </c>
      <c r="C30" s="10">
        <f>IF(B30="","",SUMIFS(Items!$S$6:$S$1005,Items!$D$6:$D$1005,B30))</f>
        <v/>
      </c>
      <c r="D30" s="11">
        <f>IF(B30="","",SUMIFS(Items!$T$6:$T$1005,Items!$D$6:$D$1005,B30))</f>
        <v/>
      </c>
      <c r="E30" s="14" t="n"/>
      <c r="F30" s="1" t="n"/>
      <c r="G30" s="1" t="n"/>
      <c r="H30" s="1" t="n"/>
      <c r="I30" s="1" t="n"/>
      <c r="J30" s="1" t="n"/>
      <c r="K30" s="1" t="n"/>
    </row>
    <row r="31" ht="18" customHeight="1">
      <c r="A31" s="1" t="n"/>
      <c r="B31" s="9">
        <f>IF(Settings!$B$25="","",Settings!$B$25)</f>
        <v/>
      </c>
      <c r="C31" s="10">
        <f>IF(B31="","",SUMIFS(Items!$S$6:$S$1005,Items!$D$6:$D$1005,B31))</f>
        <v/>
      </c>
      <c r="D31" s="11">
        <f>IF(B31="","",SUMIFS(Items!$T$6:$T$1005,Items!$D$6:$D$1005,B31))</f>
        <v/>
      </c>
      <c r="E31" s="14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6">
        <f>IF(Settings!$C$7="","",Settings!$C$7)&amp;IF(Settings!$C$8="","","   Policy "&amp;Settings!$C$8)</f>
        <v/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</sheetData>
  <conditionalFormatting sqref="G5">
    <cfRule type="expression" priority="1" dxfId="0">
      <formula>AND(ISNUMBER(G5),G5&lt;0)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100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24" customWidth="1" min="3" max="3"/>
    <col width="17" customWidth="1" min="4" max="4"/>
    <col width="20" customWidth="1" min="5" max="5"/>
    <col width="15" customWidth="1" min="6" max="6"/>
    <col width="12" customWidth="1" min="7" max="7"/>
    <col width="11" customWidth="1" min="8" max="8"/>
    <col width="11" customWidth="1" min="9" max="9"/>
    <col width="12" customWidth="1" min="10" max="10"/>
    <col width="16" customWidth="1" min="11" max="11"/>
    <col width="13" customWidth="1" min="12" max="12"/>
    <col width="18" customWidth="1" min="13" max="13"/>
    <col width="11" customWidth="1" min="14" max="14"/>
    <col width="7" customWidth="1" min="15" max="15"/>
    <col width="12" customWidth="1" min="16" max="16"/>
    <col width="18" customWidth="1" min="17" max="17"/>
    <col width="20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2" customHeight="1">
      <c r="A2" s="1" t="n"/>
      <c r="B2" s="2" t="inlineStr">
        <is>
          <t>Items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" t="n"/>
      <c r="B3" s="3" t="inlineStr">
        <is>
          <t>Everything worth listing, room by room. The photo column is where you keep the picture: a file name or a link.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30" customHeight="1">
      <c r="A5" s="1" t="n"/>
      <c r="B5" s="8" t="inlineStr">
        <is>
          <t>Room</t>
        </is>
      </c>
      <c r="C5" s="8" t="inlineStr">
        <is>
          <t>Item</t>
        </is>
      </c>
      <c r="D5" s="8" t="inlineStr">
        <is>
          <t>Category</t>
        </is>
      </c>
      <c r="E5" s="8" t="inlineStr">
        <is>
          <t>Brand and model</t>
        </is>
      </c>
      <c r="F5" s="8" t="inlineStr">
        <is>
          <t>Serial number</t>
        </is>
      </c>
      <c r="G5" s="8" t="inlineStr">
        <is>
          <t>Bought</t>
        </is>
      </c>
      <c r="H5" s="8" t="inlineStr">
        <is>
          <t>Paid</t>
        </is>
      </c>
      <c r="I5" s="8" t="inlineStr">
        <is>
          <t>Worth now</t>
        </is>
      </c>
      <c r="J5" s="8" t="inlineStr">
        <is>
          <t>Receipt</t>
        </is>
      </c>
      <c r="K5" s="8" t="inlineStr">
        <is>
          <t>Photo</t>
        </is>
      </c>
      <c r="L5" s="8" t="inlineStr">
        <is>
          <t>Warranty until</t>
        </is>
      </c>
      <c r="M5" s="8" t="inlineStr">
        <is>
          <t>Note</t>
        </is>
      </c>
      <c r="N5" s="8" t="inlineStr">
        <is>
          <t>Value</t>
        </is>
      </c>
      <c r="O5" s="8" t="inlineStr">
        <is>
          <t>Age</t>
        </is>
      </c>
      <c r="P5" s="8" t="inlineStr">
        <is>
          <t>Warranty</t>
        </is>
      </c>
      <c r="Q5" s="8" t="inlineStr">
        <is>
          <t>Missing</t>
        </is>
      </c>
      <c r="R5" s="8" t="inlineStr">
        <is>
          <t>Check</t>
        </is>
      </c>
      <c r="S5" s="1" t="n"/>
    </row>
    <row r="6">
      <c r="A6" s="1" t="n"/>
      <c r="B6" s="17" t="inlineStr">
        <is>
          <t>Living room</t>
        </is>
      </c>
      <c r="C6" s="18" t="inlineStr">
        <is>
          <t>55 inch TV</t>
        </is>
      </c>
      <c r="D6" s="17" t="inlineStr">
        <is>
          <t>Electronics</t>
        </is>
      </c>
      <c r="E6" s="19" t="inlineStr">
        <is>
          <t>Model KX-55</t>
        </is>
      </c>
      <c r="F6" s="19" t="inlineStr">
        <is>
          <t>SN46490500</t>
        </is>
      </c>
      <c r="G6" s="20" t="n">
        <v>45981</v>
      </c>
      <c r="H6" s="21" t="n">
        <v>899</v>
      </c>
      <c r="I6" s="21" t="n">
        <v>750</v>
      </c>
      <c r="J6" s="17" t="inlineStr">
        <is>
          <t>File</t>
        </is>
      </c>
      <c r="K6" s="19" t="inlineStr">
        <is>
          <t>IMG_7843.jpg</t>
        </is>
      </c>
      <c r="L6" s="20" t="n">
        <v>46711</v>
      </c>
      <c r="M6" s="19" t="n"/>
      <c r="N6" s="22">
        <f>IF(C6="","",IF(ISNUMBER(I6),I6,IF(ISNUMBER(H6),H6,"")))</f>
        <v/>
      </c>
      <c r="O6" s="23">
        <f>IF(OR(C6="",NOT(ISNUMBER(G6))),"",(TODAY()-INT(G6))/365.25)</f>
        <v/>
      </c>
      <c r="P6" s="13">
        <f>IF(OR(C6="",NOT(ISNUMBER(L6))),"",IF(L6&lt;TODAY(),"Ended",IF(L6-TODAY()&lt;=N(Settings!$C$10),"Ends soon","Covered")))</f>
        <v/>
      </c>
      <c r="Q6" s="13">
        <f>IF(C6="","",MID(IF(N6="",", value","")&amp;IF(OR(J6="",J6="No"),", receipt","")&amp;IF(K6="",", photo",""),3,100))</f>
        <v/>
      </c>
      <c r="R6" s="13">
        <f>IF(AND(B6="",C6=""),"",IF(C6="","Needs the item",IF(B6="","Needs a room",IF(COUNTIF(Rooms!$B$6:$B$35,B6)=0,"Not on Rooms",IF(AND(H6&lt;&gt;"",NOT(ISNUMBER(H6))),"Paid not a number",IF(AND(I6&lt;&gt;"",NOT(ISNUMBER(I6))),"Worth not a number",IF(AND(G6&lt;&gt;"",NOT(ISNUMBER(G6))),"Bought is not a date",IF(AND(L6&lt;&gt;"",NOT(ISNUMBER(L6))),"Warranty is not a date",""))))))))</f>
        <v/>
      </c>
      <c r="S6" s="1">
        <f>IF(AND(C6&lt;&gt;"",R6=""),1,0)</f>
        <v/>
      </c>
      <c r="T6">
        <f>IF(S6=1,N(N6),0)</f>
        <v/>
      </c>
      <c r="U6">
        <f>IF(AND(S6=1,T6&gt;0),ROUND(T6*100,0)*10000+10000-ROW(),"")</f>
        <v/>
      </c>
      <c r="V6">
        <f>IF(AND(S6=1,OR(Report!$C$5="",B6=Report!$C$5)),MATCH(B6,Rooms!$B$6:$B$35,0)*10000+ROW(),"")</f>
        <v/>
      </c>
      <c r="W6">
        <f>IF(AND(S6=1,OR(J6="",J6="No")),1,0)</f>
        <v/>
      </c>
      <c r="X6">
        <f>IF(AND(S6=1,K6=""),1,0)</f>
        <v/>
      </c>
      <c r="Y6">
        <f>IF(AND(S6=1,Q6&lt;&gt;""),ROUND(T6*100,0)*10000+10000-ROW(),"")</f>
        <v/>
      </c>
    </row>
    <row r="7">
      <c r="A7" s="1" t="n"/>
      <c r="B7" s="17" t="inlineStr">
        <is>
          <t>Living room</t>
        </is>
      </c>
      <c r="C7" s="18" t="inlineStr">
        <is>
          <t>Sofa, three seats</t>
        </is>
      </c>
      <c r="D7" s="17" t="inlineStr">
        <is>
          <t>Furniture</t>
        </is>
      </c>
      <c r="E7" s="19" t="inlineStr">
        <is>
          <t>Linen, grey</t>
        </is>
      </c>
      <c r="F7" s="19" t="n"/>
      <c r="G7" s="20" t="n">
        <v>45018</v>
      </c>
      <c r="H7" s="21" t="n">
        <v>1250</v>
      </c>
      <c r="I7" s="21" t="n">
        <v>900</v>
      </c>
      <c r="J7" s="17" t="inlineStr">
        <is>
          <t>Paper</t>
        </is>
      </c>
      <c r="K7" s="19" t="inlineStr">
        <is>
          <t>IMG_8995.jpg</t>
        </is>
      </c>
      <c r="L7" s="20" t="n"/>
      <c r="M7" s="19" t="n"/>
      <c r="N7" s="22">
        <f>IF(C7="","",IF(ISNUMBER(I7),I7,IF(ISNUMBER(H7),H7,"")))</f>
        <v/>
      </c>
      <c r="O7" s="23">
        <f>IF(OR(C7="",NOT(ISNUMBER(G7))),"",(TODAY()-INT(G7))/365.25)</f>
        <v/>
      </c>
      <c r="P7" s="13">
        <f>IF(OR(C7="",NOT(ISNUMBER(L7))),"",IF(L7&lt;TODAY(),"Ended",IF(L7-TODAY()&lt;=N(Settings!$C$10),"Ends soon","Covered")))</f>
        <v/>
      </c>
      <c r="Q7" s="13">
        <f>IF(C7="","",MID(IF(N7="",", value","")&amp;IF(OR(J7="",J7="No"),", receipt","")&amp;IF(K7="",", photo",""),3,100))</f>
        <v/>
      </c>
      <c r="R7" s="13">
        <f>IF(AND(B7="",C7=""),"",IF(C7="","Needs the item",IF(B7="","Needs a room",IF(COUNTIF(Rooms!$B$6:$B$35,B7)=0,"Not on Rooms",IF(AND(H7&lt;&gt;"",NOT(ISNUMBER(H7))),"Paid not a number",IF(AND(I7&lt;&gt;"",NOT(ISNUMBER(I7))),"Worth not a number",IF(AND(G7&lt;&gt;"",NOT(ISNUMBER(G7))),"Bought is not a date",IF(AND(L7&lt;&gt;"",NOT(ISNUMBER(L7))),"Warranty is not a date",""))))))))</f>
        <v/>
      </c>
      <c r="S7" s="1">
        <f>IF(AND(C7&lt;&gt;"",R7=""),1,0)</f>
        <v/>
      </c>
      <c r="T7">
        <f>IF(S7=1,N(N7),0)</f>
        <v/>
      </c>
      <c r="U7">
        <f>IF(AND(S7=1,T7&gt;0),ROUND(T7*100,0)*10000+10000-ROW(),"")</f>
        <v/>
      </c>
      <c r="V7">
        <f>IF(AND(S7=1,OR(Report!$C$5="",B7=Report!$C$5)),MATCH(B7,Rooms!$B$6:$B$35,0)*10000+ROW(),"")</f>
        <v/>
      </c>
      <c r="W7">
        <f>IF(AND(S7=1,OR(J7="",J7="No")),1,0)</f>
        <v/>
      </c>
      <c r="X7">
        <f>IF(AND(S7=1,K7=""),1,0)</f>
        <v/>
      </c>
      <c r="Y7">
        <f>IF(AND(S7=1,Q7&lt;&gt;""),ROUND(T7*100,0)*10000+10000-ROW(),"")</f>
        <v/>
      </c>
    </row>
    <row r="8">
      <c r="A8" s="1" t="n"/>
      <c r="B8" s="17" t="inlineStr">
        <is>
          <t>Living room</t>
        </is>
      </c>
      <c r="C8" s="18" t="inlineStr">
        <is>
          <t>Sound bar</t>
        </is>
      </c>
      <c r="D8" s="17" t="inlineStr">
        <is>
          <t>Electronics</t>
        </is>
      </c>
      <c r="E8" s="19" t="inlineStr">
        <is>
          <t>SB-300</t>
        </is>
      </c>
      <c r="F8" s="19" t="inlineStr">
        <is>
          <t>SN44582623</t>
        </is>
      </c>
      <c r="G8" s="20" t="n">
        <v>45627</v>
      </c>
      <c r="H8" s="21" t="n">
        <v>329</v>
      </c>
      <c r="I8" s="21" t="n">
        <v>250</v>
      </c>
      <c r="J8" s="17" t="inlineStr">
        <is>
          <t>File</t>
        </is>
      </c>
      <c r="K8" s="19" t="inlineStr">
        <is>
          <t>IMG_2341.jpg</t>
        </is>
      </c>
      <c r="L8" s="20" t="n">
        <v>45992</v>
      </c>
      <c r="M8" s="19" t="n"/>
      <c r="N8" s="22">
        <f>IF(C8="","",IF(ISNUMBER(I8),I8,IF(ISNUMBER(H8),H8,"")))</f>
        <v/>
      </c>
      <c r="O8" s="23">
        <f>IF(OR(C8="",NOT(ISNUMBER(G8))),"",(TODAY()-INT(G8))/365.25)</f>
        <v/>
      </c>
      <c r="P8" s="13">
        <f>IF(OR(C8="",NOT(ISNUMBER(L8))),"",IF(L8&lt;TODAY(),"Ended",IF(L8-TODAY()&lt;=N(Settings!$C$10),"Ends soon","Covered")))</f>
        <v/>
      </c>
      <c r="Q8" s="13">
        <f>IF(C8="","",MID(IF(N8="",", value","")&amp;IF(OR(J8="",J8="No"),", receipt","")&amp;IF(K8="",", photo",""),3,100))</f>
        <v/>
      </c>
      <c r="R8" s="13">
        <f>IF(AND(B8="",C8=""),"",IF(C8="","Needs the item",IF(B8="","Needs a room",IF(COUNTIF(Rooms!$B$6:$B$35,B8)=0,"Not on Rooms",IF(AND(H8&lt;&gt;"",NOT(ISNUMBER(H8))),"Paid not a number",IF(AND(I8&lt;&gt;"",NOT(ISNUMBER(I8))),"Worth not a number",IF(AND(G8&lt;&gt;"",NOT(ISNUMBER(G8))),"Bought is not a date",IF(AND(L8&lt;&gt;"",NOT(ISNUMBER(L8))),"Warranty is not a date",""))))))))</f>
        <v/>
      </c>
      <c r="S8" s="1">
        <f>IF(AND(C8&lt;&gt;"",R8=""),1,0)</f>
        <v/>
      </c>
      <c r="T8">
        <f>IF(S8=1,N(N8),0)</f>
        <v/>
      </c>
      <c r="U8">
        <f>IF(AND(S8=1,T8&gt;0),ROUND(T8*100,0)*10000+10000-ROW(),"")</f>
        <v/>
      </c>
      <c r="V8">
        <f>IF(AND(S8=1,OR(Report!$C$5="",B8=Report!$C$5)),MATCH(B8,Rooms!$B$6:$B$35,0)*10000+ROW(),"")</f>
        <v/>
      </c>
      <c r="W8">
        <f>IF(AND(S8=1,OR(J8="",J8="No")),1,0)</f>
        <v/>
      </c>
      <c r="X8">
        <f>IF(AND(S8=1,K8=""),1,0)</f>
        <v/>
      </c>
      <c r="Y8">
        <f>IF(AND(S8=1,Q8&lt;&gt;""),ROUND(T8*100,0)*10000+10000-ROW(),"")</f>
        <v/>
      </c>
    </row>
    <row r="9">
      <c r="A9" s="1" t="n"/>
      <c r="B9" s="17" t="inlineStr">
        <is>
          <t>Living room</t>
        </is>
      </c>
      <c r="C9" s="18" t="inlineStr">
        <is>
          <t>Game console</t>
        </is>
      </c>
      <c r="D9" s="17" t="inlineStr">
        <is>
          <t>Electronics</t>
        </is>
      </c>
      <c r="E9" s="19" t="inlineStr">
        <is>
          <t>GC-5 with two pads</t>
        </is>
      </c>
      <c r="F9" s="19" t="inlineStr">
        <is>
          <t>SN50693756</t>
        </is>
      </c>
      <c r="G9" s="20" t="n">
        <v>46011</v>
      </c>
      <c r="H9" s="21" t="n">
        <v>549</v>
      </c>
      <c r="I9" s="21" t="n">
        <v>450</v>
      </c>
      <c r="J9" s="17" t="inlineStr">
        <is>
          <t>File</t>
        </is>
      </c>
      <c r="K9" s="19" t="inlineStr">
        <is>
          <t>IMG_6549.jpg</t>
        </is>
      </c>
      <c r="L9" s="20" t="n">
        <v>46376</v>
      </c>
      <c r="M9" s="19" t="n"/>
      <c r="N9" s="22">
        <f>IF(C9="","",IF(ISNUMBER(I9),I9,IF(ISNUMBER(H9),H9,"")))</f>
        <v/>
      </c>
      <c r="O9" s="23">
        <f>IF(OR(C9="",NOT(ISNUMBER(G9))),"",(TODAY()-INT(G9))/365.25)</f>
        <v/>
      </c>
      <c r="P9" s="13">
        <f>IF(OR(C9="",NOT(ISNUMBER(L9))),"",IF(L9&lt;TODAY(),"Ended",IF(L9-TODAY()&lt;=N(Settings!$C$10),"Ends soon","Covered")))</f>
        <v/>
      </c>
      <c r="Q9" s="13">
        <f>IF(C9="","",MID(IF(N9="",", value","")&amp;IF(OR(J9="",J9="No"),", receipt","")&amp;IF(K9="",", photo",""),3,100))</f>
        <v/>
      </c>
      <c r="R9" s="13">
        <f>IF(AND(B9="",C9=""),"",IF(C9="","Needs the item",IF(B9="","Needs a room",IF(COUNTIF(Rooms!$B$6:$B$35,B9)=0,"Not on Rooms",IF(AND(H9&lt;&gt;"",NOT(ISNUMBER(H9))),"Paid not a number",IF(AND(I9&lt;&gt;"",NOT(ISNUMBER(I9))),"Worth not a number",IF(AND(G9&lt;&gt;"",NOT(ISNUMBER(G9))),"Bought is not a date",IF(AND(L9&lt;&gt;"",NOT(ISNUMBER(L9))),"Warranty is not a date",""))))))))</f>
        <v/>
      </c>
      <c r="S9" s="1">
        <f>IF(AND(C9&lt;&gt;"",R9=""),1,0)</f>
        <v/>
      </c>
      <c r="T9">
        <f>IF(S9=1,N(N9),0)</f>
        <v/>
      </c>
      <c r="U9">
        <f>IF(AND(S9=1,T9&gt;0),ROUND(T9*100,0)*10000+10000-ROW(),"")</f>
        <v/>
      </c>
      <c r="V9">
        <f>IF(AND(S9=1,OR(Report!$C$5="",B9=Report!$C$5)),MATCH(B9,Rooms!$B$6:$B$35,0)*10000+ROW(),"")</f>
        <v/>
      </c>
      <c r="W9">
        <f>IF(AND(S9=1,OR(J9="",J9="No")),1,0)</f>
        <v/>
      </c>
      <c r="X9">
        <f>IF(AND(S9=1,K9=""),1,0)</f>
        <v/>
      </c>
      <c r="Y9">
        <f>IF(AND(S9=1,Q9&lt;&gt;""),ROUND(T9*100,0)*10000+10000-ROW(),"")</f>
        <v/>
      </c>
    </row>
    <row r="10">
      <c r="A10" s="1" t="n"/>
      <c r="B10" s="17" t="inlineStr">
        <is>
          <t>Living room</t>
        </is>
      </c>
      <c r="C10" s="18" t="inlineStr">
        <is>
          <t>Rug</t>
        </is>
      </c>
      <c r="D10" s="17" t="inlineStr">
        <is>
          <t>Art and decor</t>
        </is>
      </c>
      <c r="E10" s="19" t="inlineStr">
        <is>
          <t>Wool, 2 x 3 m</t>
        </is>
      </c>
      <c r="F10" s="19" t="n"/>
      <c r="G10" s="20" t="n">
        <v>44722</v>
      </c>
      <c r="H10" s="21" t="n">
        <v>480</v>
      </c>
      <c r="I10" s="21" t="n">
        <v>300</v>
      </c>
      <c r="J10" s="17" t="inlineStr">
        <is>
          <t>No</t>
        </is>
      </c>
      <c r="K10" s="19" t="inlineStr">
        <is>
          <t>IMG_1353.jpg</t>
        </is>
      </c>
      <c r="L10" s="20" t="n"/>
      <c r="M10" s="19" t="n"/>
      <c r="N10" s="22">
        <f>IF(C10="","",IF(ISNUMBER(I10),I10,IF(ISNUMBER(H10),H10,"")))</f>
        <v/>
      </c>
      <c r="O10" s="23">
        <f>IF(OR(C10="",NOT(ISNUMBER(G10))),"",(TODAY()-INT(G10))/365.25)</f>
        <v/>
      </c>
      <c r="P10" s="13">
        <f>IF(OR(C10="",NOT(ISNUMBER(L10))),"",IF(L10&lt;TODAY(),"Ended",IF(L10-TODAY()&lt;=N(Settings!$C$10),"Ends soon","Covered")))</f>
        <v/>
      </c>
      <c r="Q10" s="13">
        <f>IF(C10="","",MID(IF(N10="",", value","")&amp;IF(OR(J10="",J10="No"),", receipt","")&amp;IF(K10="",", photo",""),3,100))</f>
        <v/>
      </c>
      <c r="R10" s="13">
        <f>IF(AND(B10="",C10=""),"",IF(C10="","Needs the item",IF(B10="","Needs a room",IF(COUNTIF(Rooms!$B$6:$B$35,B10)=0,"Not on Rooms",IF(AND(H10&lt;&gt;"",NOT(ISNUMBER(H10))),"Paid not a number",IF(AND(I10&lt;&gt;"",NOT(ISNUMBER(I10))),"Worth not a number",IF(AND(G10&lt;&gt;"",NOT(ISNUMBER(G10))),"Bought is not a date",IF(AND(L10&lt;&gt;"",NOT(ISNUMBER(L10))),"Warranty is not a date",""))))))))</f>
        <v/>
      </c>
      <c r="S10" s="1">
        <f>IF(AND(C10&lt;&gt;"",R10=""),1,0)</f>
        <v/>
      </c>
      <c r="T10">
        <f>IF(S10=1,N(N10),0)</f>
        <v/>
      </c>
      <c r="U10">
        <f>IF(AND(S10=1,T10&gt;0),ROUND(T10*100,0)*10000+10000-ROW(),"")</f>
        <v/>
      </c>
      <c r="V10">
        <f>IF(AND(S10=1,OR(Report!$C$5="",B10=Report!$C$5)),MATCH(B10,Rooms!$B$6:$B$35,0)*10000+ROW(),"")</f>
        <v/>
      </c>
      <c r="W10">
        <f>IF(AND(S10=1,OR(J10="",J10="No")),1,0)</f>
        <v/>
      </c>
      <c r="X10">
        <f>IF(AND(S10=1,K10=""),1,0)</f>
        <v/>
      </c>
      <c r="Y10">
        <f>IF(AND(S10=1,Q10&lt;&gt;""),ROUND(T10*100,0)*10000+10000-ROW(),"")</f>
        <v/>
      </c>
    </row>
    <row r="11">
      <c r="A11" s="1" t="n"/>
      <c r="B11" s="17" t="inlineStr">
        <is>
          <t>Living room</t>
        </is>
      </c>
      <c r="C11" s="18" t="inlineStr">
        <is>
          <t>Painting of the harbour</t>
        </is>
      </c>
      <c r="D11" s="17" t="inlineStr">
        <is>
          <t>Art and decor</t>
        </is>
      </c>
      <c r="E11" s="19" t="inlineStr">
        <is>
          <t>Oil on canvas</t>
        </is>
      </c>
      <c r="F11" s="19" t="n"/>
      <c r="G11" s="20" t="n">
        <v>44058</v>
      </c>
      <c r="H11" s="21" t="n">
        <v>900</v>
      </c>
      <c r="I11" s="21" t="n">
        <v>900</v>
      </c>
      <c r="J11" s="17" t="inlineStr">
        <is>
          <t>Paper</t>
        </is>
      </c>
      <c r="K11" s="19" t="inlineStr">
        <is>
          <t>IMG_2185.jpg</t>
        </is>
      </c>
      <c r="L11" s="20" t="n"/>
      <c r="M11" s="19" t="n"/>
      <c r="N11" s="22">
        <f>IF(C11="","",IF(ISNUMBER(I11),I11,IF(ISNUMBER(H11),H11,"")))</f>
        <v/>
      </c>
      <c r="O11" s="23">
        <f>IF(OR(C11="",NOT(ISNUMBER(G11))),"",(TODAY()-INT(G11))/365.25)</f>
        <v/>
      </c>
      <c r="P11" s="13">
        <f>IF(OR(C11="",NOT(ISNUMBER(L11))),"",IF(L11&lt;TODAY(),"Ended",IF(L11-TODAY()&lt;=N(Settings!$C$10),"Ends soon","Covered")))</f>
        <v/>
      </c>
      <c r="Q11" s="13">
        <f>IF(C11="","",MID(IF(N11="",", value","")&amp;IF(OR(J11="",J11="No"),", receipt","")&amp;IF(K11="",", photo",""),3,100))</f>
        <v/>
      </c>
      <c r="R11" s="13">
        <f>IF(AND(B11="",C11=""),"",IF(C11="","Needs the item",IF(B11="","Needs a room",IF(COUNTIF(Rooms!$B$6:$B$35,B11)=0,"Not on Rooms",IF(AND(H11&lt;&gt;"",NOT(ISNUMBER(H11))),"Paid not a number",IF(AND(I11&lt;&gt;"",NOT(ISNUMBER(I11))),"Worth not a number",IF(AND(G11&lt;&gt;"",NOT(ISNUMBER(G11))),"Bought is not a date",IF(AND(L11&lt;&gt;"",NOT(ISNUMBER(L11))),"Warranty is not a date",""))))))))</f>
        <v/>
      </c>
      <c r="S11" s="1">
        <f>IF(AND(C11&lt;&gt;"",R11=""),1,0)</f>
        <v/>
      </c>
      <c r="T11">
        <f>IF(S11=1,N(N11),0)</f>
        <v/>
      </c>
      <c r="U11">
        <f>IF(AND(S11=1,T11&gt;0),ROUND(T11*100,0)*10000+10000-ROW(),"")</f>
        <v/>
      </c>
      <c r="V11">
        <f>IF(AND(S11=1,OR(Report!$C$5="",B11=Report!$C$5)),MATCH(B11,Rooms!$B$6:$B$35,0)*10000+ROW(),"")</f>
        <v/>
      </c>
      <c r="W11">
        <f>IF(AND(S11=1,OR(J11="",J11="No")),1,0)</f>
        <v/>
      </c>
      <c r="X11">
        <f>IF(AND(S11=1,K11=""),1,0)</f>
        <v/>
      </c>
      <c r="Y11">
        <f>IF(AND(S11=1,Q11&lt;&gt;""),ROUND(T11*100,0)*10000+10000-ROW(),"")</f>
        <v/>
      </c>
    </row>
    <row r="12">
      <c r="A12" s="1" t="n"/>
      <c r="B12" s="17" t="inlineStr">
        <is>
          <t>Living room</t>
        </is>
      </c>
      <c r="C12" s="18" t="inlineStr">
        <is>
          <t>Bookcase</t>
        </is>
      </c>
      <c r="D12" s="17" t="inlineStr">
        <is>
          <t>Furniture</t>
        </is>
      </c>
      <c r="E12" s="19" t="inlineStr">
        <is>
          <t>Oak, 5 shelves</t>
        </is>
      </c>
      <c r="F12" s="19" t="n"/>
      <c r="G12" s="20" t="n">
        <v>44230</v>
      </c>
      <c r="H12" s="21" t="n">
        <v>380</v>
      </c>
      <c r="I12" s="21" t="n">
        <v>250</v>
      </c>
      <c r="J12" s="17" t="inlineStr">
        <is>
          <t>No</t>
        </is>
      </c>
      <c r="K12" s="19" t="n"/>
      <c r="L12" s="20" t="n"/>
      <c r="M12" s="19" t="n"/>
      <c r="N12" s="22">
        <f>IF(C12="","",IF(ISNUMBER(I12),I12,IF(ISNUMBER(H12),H12,"")))</f>
        <v/>
      </c>
      <c r="O12" s="23">
        <f>IF(OR(C12="",NOT(ISNUMBER(G12))),"",(TODAY()-INT(G12))/365.25)</f>
        <v/>
      </c>
      <c r="P12" s="13">
        <f>IF(OR(C12="",NOT(ISNUMBER(L12))),"",IF(L12&lt;TODAY(),"Ended",IF(L12-TODAY()&lt;=N(Settings!$C$10),"Ends soon","Covered")))</f>
        <v/>
      </c>
      <c r="Q12" s="13">
        <f>IF(C12="","",MID(IF(N12="",", value","")&amp;IF(OR(J12="",J12="No"),", receipt","")&amp;IF(K12="",", photo",""),3,100))</f>
        <v/>
      </c>
      <c r="R12" s="13">
        <f>IF(AND(B12="",C12=""),"",IF(C12="","Needs the item",IF(B12="","Needs a room",IF(COUNTIF(Rooms!$B$6:$B$35,B12)=0,"Not on Rooms",IF(AND(H12&lt;&gt;"",NOT(ISNUMBER(H12))),"Paid not a number",IF(AND(I12&lt;&gt;"",NOT(ISNUMBER(I12))),"Worth not a number",IF(AND(G12&lt;&gt;"",NOT(ISNUMBER(G12))),"Bought is not a date",IF(AND(L12&lt;&gt;"",NOT(ISNUMBER(L12))),"Warranty is not a date",""))))))))</f>
        <v/>
      </c>
      <c r="S12" s="1">
        <f>IF(AND(C12&lt;&gt;"",R12=""),1,0)</f>
        <v/>
      </c>
      <c r="T12">
        <f>IF(S12=1,N(N12),0)</f>
        <v/>
      </c>
      <c r="U12">
        <f>IF(AND(S12=1,T12&gt;0),ROUND(T12*100,0)*10000+10000-ROW(),"")</f>
        <v/>
      </c>
      <c r="V12">
        <f>IF(AND(S12=1,OR(Report!$C$5="",B12=Report!$C$5)),MATCH(B12,Rooms!$B$6:$B$35,0)*10000+ROW(),"")</f>
        <v/>
      </c>
      <c r="W12">
        <f>IF(AND(S12=1,OR(J12="",J12="No")),1,0)</f>
        <v/>
      </c>
      <c r="X12">
        <f>IF(AND(S12=1,K12=""),1,0)</f>
        <v/>
      </c>
      <c r="Y12">
        <f>IF(AND(S12=1,Q12&lt;&gt;""),ROUND(T12*100,0)*10000+10000-ROW(),"")</f>
        <v/>
      </c>
    </row>
    <row r="13">
      <c r="A13" s="1" t="n"/>
      <c r="B13" s="17" t="inlineStr">
        <is>
          <t>Kitchen</t>
        </is>
      </c>
      <c r="C13" s="18" t="inlineStr">
        <is>
          <t>Fridge freezer</t>
        </is>
      </c>
      <c r="D13" s="17" t="inlineStr">
        <is>
          <t>Appliances</t>
        </is>
      </c>
      <c r="E13" s="19" t="inlineStr">
        <is>
          <t>FF-360</t>
        </is>
      </c>
      <c r="F13" s="19" t="inlineStr">
        <is>
          <t>SN74995729</t>
        </is>
      </c>
      <c r="G13" s="20" t="n">
        <v>45363</v>
      </c>
      <c r="H13" s="21" t="n">
        <v>1099</v>
      </c>
      <c r="I13" s="21" t="n">
        <v>850</v>
      </c>
      <c r="J13" s="17" t="inlineStr">
        <is>
          <t>File</t>
        </is>
      </c>
      <c r="K13" s="19" t="inlineStr">
        <is>
          <t>IMG_1180.jpg</t>
        </is>
      </c>
      <c r="L13" s="20" t="n">
        <v>47189</v>
      </c>
      <c r="M13" s="19" t="n"/>
      <c r="N13" s="22">
        <f>IF(C13="","",IF(ISNUMBER(I13),I13,IF(ISNUMBER(H13),H13,"")))</f>
        <v/>
      </c>
      <c r="O13" s="23">
        <f>IF(OR(C13="",NOT(ISNUMBER(G13))),"",(TODAY()-INT(G13))/365.25)</f>
        <v/>
      </c>
      <c r="P13" s="13">
        <f>IF(OR(C13="",NOT(ISNUMBER(L13))),"",IF(L13&lt;TODAY(),"Ended",IF(L13-TODAY()&lt;=N(Settings!$C$10),"Ends soon","Covered")))</f>
        <v/>
      </c>
      <c r="Q13" s="13">
        <f>IF(C13="","",MID(IF(N13="",", value","")&amp;IF(OR(J13="",J13="No"),", receipt","")&amp;IF(K13="",", photo",""),3,100))</f>
        <v/>
      </c>
      <c r="R13" s="13">
        <f>IF(AND(B13="",C13=""),"",IF(C13="","Needs the item",IF(B13="","Needs a room",IF(COUNTIF(Rooms!$B$6:$B$35,B13)=0,"Not on Rooms",IF(AND(H13&lt;&gt;"",NOT(ISNUMBER(H13))),"Paid not a number",IF(AND(I13&lt;&gt;"",NOT(ISNUMBER(I13))),"Worth not a number",IF(AND(G13&lt;&gt;"",NOT(ISNUMBER(G13))),"Bought is not a date",IF(AND(L13&lt;&gt;"",NOT(ISNUMBER(L13))),"Warranty is not a date",""))))))))</f>
        <v/>
      </c>
      <c r="S13" s="1">
        <f>IF(AND(C13&lt;&gt;"",R13=""),1,0)</f>
        <v/>
      </c>
      <c r="T13">
        <f>IF(S13=1,N(N13),0)</f>
        <v/>
      </c>
      <c r="U13">
        <f>IF(AND(S13=1,T13&gt;0),ROUND(T13*100,0)*10000+10000-ROW(),"")</f>
        <v/>
      </c>
      <c r="V13">
        <f>IF(AND(S13=1,OR(Report!$C$5="",B13=Report!$C$5)),MATCH(B13,Rooms!$B$6:$B$35,0)*10000+ROW(),"")</f>
        <v/>
      </c>
      <c r="W13">
        <f>IF(AND(S13=1,OR(J13="",J13="No")),1,0)</f>
        <v/>
      </c>
      <c r="X13">
        <f>IF(AND(S13=1,K13=""),1,0)</f>
        <v/>
      </c>
      <c r="Y13">
        <f>IF(AND(S13=1,Q13&lt;&gt;""),ROUND(T13*100,0)*10000+10000-ROW(),"")</f>
        <v/>
      </c>
    </row>
    <row r="14">
      <c r="A14" s="1" t="n"/>
      <c r="B14" s="17" t="inlineStr">
        <is>
          <t>Kitchen</t>
        </is>
      </c>
      <c r="C14" s="18" t="inlineStr">
        <is>
          <t>Dishwasher</t>
        </is>
      </c>
      <c r="D14" s="17" t="inlineStr">
        <is>
          <t>Appliances</t>
        </is>
      </c>
      <c r="E14" s="19" t="inlineStr">
        <is>
          <t>DW-45</t>
        </is>
      </c>
      <c r="F14" s="19" t="inlineStr">
        <is>
          <t>SN25413319</t>
        </is>
      </c>
      <c r="G14" s="20" t="n">
        <v>45170</v>
      </c>
      <c r="H14" s="21" t="n">
        <v>549</v>
      </c>
      <c r="I14" s="21" t="n">
        <v>380</v>
      </c>
      <c r="J14" s="17" t="inlineStr">
        <is>
          <t>File</t>
        </is>
      </c>
      <c r="K14" s="19" t="inlineStr">
        <is>
          <t>IMG_5650.jpg</t>
        </is>
      </c>
      <c r="L14" s="20" t="n">
        <v>45901</v>
      </c>
      <c r="M14" s="19" t="n"/>
      <c r="N14" s="22">
        <f>IF(C14="","",IF(ISNUMBER(I14),I14,IF(ISNUMBER(H14),H14,"")))</f>
        <v/>
      </c>
      <c r="O14" s="23">
        <f>IF(OR(C14="",NOT(ISNUMBER(G14))),"",(TODAY()-INT(G14))/365.25)</f>
        <v/>
      </c>
      <c r="P14" s="13">
        <f>IF(OR(C14="",NOT(ISNUMBER(L14))),"",IF(L14&lt;TODAY(),"Ended",IF(L14-TODAY()&lt;=N(Settings!$C$10),"Ends soon","Covered")))</f>
        <v/>
      </c>
      <c r="Q14" s="13">
        <f>IF(C14="","",MID(IF(N14="",", value","")&amp;IF(OR(J14="",J14="No"),", receipt","")&amp;IF(K14="",", photo",""),3,100))</f>
        <v/>
      </c>
      <c r="R14" s="13">
        <f>IF(AND(B14="",C14=""),"",IF(C14="","Needs the item",IF(B14="","Needs a room",IF(COUNTIF(Rooms!$B$6:$B$35,B14)=0,"Not on Rooms",IF(AND(H14&lt;&gt;"",NOT(ISNUMBER(H14))),"Paid not a number",IF(AND(I14&lt;&gt;"",NOT(ISNUMBER(I14))),"Worth not a number",IF(AND(G14&lt;&gt;"",NOT(ISNUMBER(G14))),"Bought is not a date",IF(AND(L14&lt;&gt;"",NOT(ISNUMBER(L14))),"Warranty is not a date",""))))))))</f>
        <v/>
      </c>
      <c r="S14" s="1">
        <f>IF(AND(C14&lt;&gt;"",R14=""),1,0)</f>
        <v/>
      </c>
      <c r="T14">
        <f>IF(S14=1,N(N14),0)</f>
        <v/>
      </c>
      <c r="U14">
        <f>IF(AND(S14=1,T14&gt;0),ROUND(T14*100,0)*10000+10000-ROW(),"")</f>
        <v/>
      </c>
      <c r="V14">
        <f>IF(AND(S14=1,OR(Report!$C$5="",B14=Report!$C$5)),MATCH(B14,Rooms!$B$6:$B$35,0)*10000+ROW(),"")</f>
        <v/>
      </c>
      <c r="W14">
        <f>IF(AND(S14=1,OR(J14="",J14="No")),1,0)</f>
        <v/>
      </c>
      <c r="X14">
        <f>IF(AND(S14=1,K14=""),1,0)</f>
        <v/>
      </c>
      <c r="Y14">
        <f>IF(AND(S14=1,Q14&lt;&gt;""),ROUND(T14*100,0)*10000+10000-ROW(),"")</f>
        <v/>
      </c>
    </row>
    <row r="15">
      <c r="A15" s="1" t="n"/>
      <c r="B15" s="17" t="inlineStr">
        <is>
          <t>Kitchen</t>
        </is>
      </c>
      <c r="C15" s="18" t="inlineStr">
        <is>
          <t>Coffee machine</t>
        </is>
      </c>
      <c r="D15" s="17" t="inlineStr">
        <is>
          <t>Appliances</t>
        </is>
      </c>
      <c r="E15" s="19" t="inlineStr">
        <is>
          <t>Espresso EM-2</t>
        </is>
      </c>
      <c r="F15" s="19" t="inlineStr">
        <is>
          <t>SN25798280</t>
        </is>
      </c>
      <c r="G15" s="20" t="n">
        <v>46030</v>
      </c>
      <c r="H15" s="21" t="n">
        <v>429</v>
      </c>
      <c r="I15" s="21" t="n">
        <v>400</v>
      </c>
      <c r="J15" s="17" t="inlineStr">
        <is>
          <t>File</t>
        </is>
      </c>
      <c r="K15" s="19" t="inlineStr">
        <is>
          <t>IMG_6096.jpg</t>
        </is>
      </c>
      <c r="L15" s="20" t="n">
        <v>46760</v>
      </c>
      <c r="M15" s="19" t="n"/>
      <c r="N15" s="22">
        <f>IF(C15="","",IF(ISNUMBER(I15),I15,IF(ISNUMBER(H15),H15,"")))</f>
        <v/>
      </c>
      <c r="O15" s="23">
        <f>IF(OR(C15="",NOT(ISNUMBER(G15))),"",(TODAY()-INT(G15))/365.25)</f>
        <v/>
      </c>
      <c r="P15" s="13">
        <f>IF(OR(C15="",NOT(ISNUMBER(L15))),"",IF(L15&lt;TODAY(),"Ended",IF(L15-TODAY()&lt;=N(Settings!$C$10),"Ends soon","Covered")))</f>
        <v/>
      </c>
      <c r="Q15" s="13">
        <f>IF(C15="","",MID(IF(N15="",", value","")&amp;IF(OR(J15="",J15="No"),", receipt","")&amp;IF(K15="",", photo",""),3,100))</f>
        <v/>
      </c>
      <c r="R15" s="13">
        <f>IF(AND(B15="",C15=""),"",IF(C15="","Needs the item",IF(B15="","Needs a room",IF(COUNTIF(Rooms!$B$6:$B$35,B15)=0,"Not on Rooms",IF(AND(H15&lt;&gt;"",NOT(ISNUMBER(H15))),"Paid not a number",IF(AND(I15&lt;&gt;"",NOT(ISNUMBER(I15))),"Worth not a number",IF(AND(G15&lt;&gt;"",NOT(ISNUMBER(G15))),"Bought is not a date",IF(AND(L15&lt;&gt;"",NOT(ISNUMBER(L15))),"Warranty is not a date",""))))))))</f>
        <v/>
      </c>
      <c r="S15" s="1">
        <f>IF(AND(C15&lt;&gt;"",R15=""),1,0)</f>
        <v/>
      </c>
      <c r="T15">
        <f>IF(S15=1,N(N15),0)</f>
        <v/>
      </c>
      <c r="U15">
        <f>IF(AND(S15=1,T15&gt;0),ROUND(T15*100,0)*10000+10000-ROW(),"")</f>
        <v/>
      </c>
      <c r="V15">
        <f>IF(AND(S15=1,OR(Report!$C$5="",B15=Report!$C$5)),MATCH(B15,Rooms!$B$6:$B$35,0)*10000+ROW(),"")</f>
        <v/>
      </c>
      <c r="W15">
        <f>IF(AND(S15=1,OR(J15="",J15="No")),1,0)</f>
        <v/>
      </c>
      <c r="X15">
        <f>IF(AND(S15=1,K15=""),1,0)</f>
        <v/>
      </c>
      <c r="Y15">
        <f>IF(AND(S15=1,Q15&lt;&gt;""),ROUND(T15*100,0)*10000+10000-ROW(),"")</f>
        <v/>
      </c>
    </row>
    <row r="16">
      <c r="A16" s="1" t="n"/>
      <c r="B16" s="17" t="inlineStr">
        <is>
          <t>Kitchen</t>
        </is>
      </c>
      <c r="C16" s="18" t="inlineStr">
        <is>
          <t>Stand mixer</t>
        </is>
      </c>
      <c r="D16" s="17" t="inlineStr">
        <is>
          <t>Kitchenware</t>
        </is>
      </c>
      <c r="E16" s="19" t="inlineStr">
        <is>
          <t>SM-5, red</t>
        </is>
      </c>
      <c r="F16" s="19" t="n"/>
      <c r="G16" s="20" t="n">
        <v>45651</v>
      </c>
      <c r="H16" s="21" t="n">
        <v>399</v>
      </c>
      <c r="I16" s="21" t="n">
        <v>300</v>
      </c>
      <c r="J16" s="17" t="inlineStr">
        <is>
          <t>No</t>
        </is>
      </c>
      <c r="K16" s="19" t="inlineStr">
        <is>
          <t>IMG_1585.jpg</t>
        </is>
      </c>
      <c r="L16" s="20" t="n"/>
      <c r="M16" s="19" t="n"/>
      <c r="N16" s="22">
        <f>IF(C16="","",IF(ISNUMBER(I16),I16,IF(ISNUMBER(H16),H16,"")))</f>
        <v/>
      </c>
      <c r="O16" s="23">
        <f>IF(OR(C16="",NOT(ISNUMBER(G16))),"",(TODAY()-INT(G16))/365.25)</f>
        <v/>
      </c>
      <c r="P16" s="13">
        <f>IF(OR(C16="",NOT(ISNUMBER(L16))),"",IF(L16&lt;TODAY(),"Ended",IF(L16-TODAY()&lt;=N(Settings!$C$10),"Ends soon","Covered")))</f>
        <v/>
      </c>
      <c r="Q16" s="13">
        <f>IF(C16="","",MID(IF(N16="",", value","")&amp;IF(OR(J16="",J16="No"),", receipt","")&amp;IF(K16="",", photo",""),3,100))</f>
        <v/>
      </c>
      <c r="R16" s="13">
        <f>IF(AND(B16="",C16=""),"",IF(C16="","Needs the item",IF(B16="","Needs a room",IF(COUNTIF(Rooms!$B$6:$B$35,B16)=0,"Not on Rooms",IF(AND(H16&lt;&gt;"",NOT(ISNUMBER(H16))),"Paid not a number",IF(AND(I16&lt;&gt;"",NOT(ISNUMBER(I16))),"Worth not a number",IF(AND(G16&lt;&gt;"",NOT(ISNUMBER(G16))),"Bought is not a date",IF(AND(L16&lt;&gt;"",NOT(ISNUMBER(L16))),"Warranty is not a date",""))))))))</f>
        <v/>
      </c>
      <c r="S16" s="1">
        <f>IF(AND(C16&lt;&gt;"",R16=""),1,0)</f>
        <v/>
      </c>
      <c r="T16">
        <f>IF(S16=1,N(N16),0)</f>
        <v/>
      </c>
      <c r="U16">
        <f>IF(AND(S16=1,T16&gt;0),ROUND(T16*100,0)*10000+10000-ROW(),"")</f>
        <v/>
      </c>
      <c r="V16">
        <f>IF(AND(S16=1,OR(Report!$C$5="",B16=Report!$C$5)),MATCH(B16,Rooms!$B$6:$B$35,0)*10000+ROW(),"")</f>
        <v/>
      </c>
      <c r="W16">
        <f>IF(AND(S16=1,OR(J16="",J16="No")),1,0)</f>
        <v/>
      </c>
      <c r="X16">
        <f>IF(AND(S16=1,K16=""),1,0)</f>
        <v/>
      </c>
      <c r="Y16">
        <f>IF(AND(S16=1,Q16&lt;&gt;""),ROUND(T16*100,0)*10000+10000-ROW(),"")</f>
        <v/>
      </c>
    </row>
    <row r="17">
      <c r="A17" s="1" t="n"/>
      <c r="B17" s="17" t="inlineStr">
        <is>
          <t>Kitchen</t>
        </is>
      </c>
      <c r="C17" s="18" t="inlineStr">
        <is>
          <t>Knife set</t>
        </is>
      </c>
      <c r="D17" s="17" t="inlineStr">
        <is>
          <t>Kitchenware</t>
        </is>
      </c>
      <c r="E17" s="19" t="inlineStr">
        <is>
          <t>8 knives and block</t>
        </is>
      </c>
      <c r="F17" s="19" t="n"/>
      <c r="G17" s="20" t="n">
        <v>45845</v>
      </c>
      <c r="H17" s="21" t="n">
        <v>229</v>
      </c>
      <c r="I17" s="21" t="n">
        <v>200</v>
      </c>
      <c r="J17" s="17" t="inlineStr">
        <is>
          <t>Paper</t>
        </is>
      </c>
      <c r="K17" s="19" t="n"/>
      <c r="L17" s="20" t="n"/>
      <c r="M17" s="19" t="n"/>
      <c r="N17" s="22">
        <f>IF(C17="","",IF(ISNUMBER(I17),I17,IF(ISNUMBER(H17),H17,"")))</f>
        <v/>
      </c>
      <c r="O17" s="23">
        <f>IF(OR(C17="",NOT(ISNUMBER(G17))),"",(TODAY()-INT(G17))/365.25)</f>
        <v/>
      </c>
      <c r="P17" s="13">
        <f>IF(OR(C17="",NOT(ISNUMBER(L17))),"",IF(L17&lt;TODAY(),"Ended",IF(L17-TODAY()&lt;=N(Settings!$C$10),"Ends soon","Covered")))</f>
        <v/>
      </c>
      <c r="Q17" s="13">
        <f>IF(C17="","",MID(IF(N17="",", value","")&amp;IF(OR(J17="",J17="No"),", receipt","")&amp;IF(K17="",", photo",""),3,100))</f>
        <v/>
      </c>
      <c r="R17" s="13">
        <f>IF(AND(B17="",C17=""),"",IF(C17="","Needs the item",IF(B17="","Needs a room",IF(COUNTIF(Rooms!$B$6:$B$35,B17)=0,"Not on Rooms",IF(AND(H17&lt;&gt;"",NOT(ISNUMBER(H17))),"Paid not a number",IF(AND(I17&lt;&gt;"",NOT(ISNUMBER(I17))),"Worth not a number",IF(AND(G17&lt;&gt;"",NOT(ISNUMBER(G17))),"Bought is not a date",IF(AND(L17&lt;&gt;"",NOT(ISNUMBER(L17))),"Warranty is not a date",""))))))))</f>
        <v/>
      </c>
      <c r="S17" s="1">
        <f>IF(AND(C17&lt;&gt;"",R17=""),1,0)</f>
        <v/>
      </c>
      <c r="T17">
        <f>IF(S17=1,N(N17),0)</f>
        <v/>
      </c>
      <c r="U17">
        <f>IF(AND(S17=1,T17&gt;0),ROUND(T17*100,0)*10000+10000-ROW(),"")</f>
        <v/>
      </c>
      <c r="V17">
        <f>IF(AND(S17=1,OR(Report!$C$5="",B17=Report!$C$5)),MATCH(B17,Rooms!$B$6:$B$35,0)*10000+ROW(),"")</f>
        <v/>
      </c>
      <c r="W17">
        <f>IF(AND(S17=1,OR(J17="",J17="No")),1,0)</f>
        <v/>
      </c>
      <c r="X17">
        <f>IF(AND(S17=1,K17=""),1,0)</f>
        <v/>
      </c>
      <c r="Y17">
        <f>IF(AND(S17=1,Q17&lt;&gt;""),ROUND(T17*100,0)*10000+10000-ROW(),"")</f>
        <v/>
      </c>
    </row>
    <row r="18">
      <c r="A18" s="1" t="n"/>
      <c r="B18" s="17" t="inlineStr">
        <is>
          <t>Kitchen</t>
        </is>
      </c>
      <c r="C18" s="18" t="inlineStr">
        <is>
          <t>Pots and pans</t>
        </is>
      </c>
      <c r="D18" s="17" t="inlineStr">
        <is>
          <t>Kitchenware</t>
        </is>
      </c>
      <c r="E18" s="19" t="inlineStr">
        <is>
          <t>10 pieces</t>
        </is>
      </c>
      <c r="F18" s="19" t="n"/>
      <c r="G18" s="20" t="n">
        <v>44895</v>
      </c>
      <c r="H18" s="21" t="n">
        <v>350</v>
      </c>
      <c r="I18" s="21" t="n">
        <v>200</v>
      </c>
      <c r="J18" s="17" t="inlineStr">
        <is>
          <t>No</t>
        </is>
      </c>
      <c r="K18" s="19" t="n"/>
      <c r="L18" s="20" t="n"/>
      <c r="M18" s="19" t="n"/>
      <c r="N18" s="22">
        <f>IF(C18="","",IF(ISNUMBER(I18),I18,IF(ISNUMBER(H18),H18,"")))</f>
        <v/>
      </c>
      <c r="O18" s="23">
        <f>IF(OR(C18="",NOT(ISNUMBER(G18))),"",(TODAY()-INT(G18))/365.25)</f>
        <v/>
      </c>
      <c r="P18" s="13">
        <f>IF(OR(C18="",NOT(ISNUMBER(L18))),"",IF(L18&lt;TODAY(),"Ended",IF(L18-TODAY()&lt;=N(Settings!$C$10),"Ends soon","Covered")))</f>
        <v/>
      </c>
      <c r="Q18" s="13">
        <f>IF(C18="","",MID(IF(N18="",", value","")&amp;IF(OR(J18="",J18="No"),", receipt","")&amp;IF(K18="",", photo",""),3,100))</f>
        <v/>
      </c>
      <c r="R18" s="13">
        <f>IF(AND(B18="",C18=""),"",IF(C18="","Needs the item",IF(B18="","Needs a room",IF(COUNTIF(Rooms!$B$6:$B$35,B18)=0,"Not on Rooms",IF(AND(H18&lt;&gt;"",NOT(ISNUMBER(H18))),"Paid not a number",IF(AND(I18&lt;&gt;"",NOT(ISNUMBER(I18))),"Worth not a number",IF(AND(G18&lt;&gt;"",NOT(ISNUMBER(G18))),"Bought is not a date",IF(AND(L18&lt;&gt;"",NOT(ISNUMBER(L18))),"Warranty is not a date",""))))))))</f>
        <v/>
      </c>
      <c r="S18" s="1">
        <f>IF(AND(C18&lt;&gt;"",R18=""),1,0)</f>
        <v/>
      </c>
      <c r="T18">
        <f>IF(S18=1,N(N18),0)</f>
        <v/>
      </c>
      <c r="U18">
        <f>IF(AND(S18=1,T18&gt;0),ROUND(T18*100,0)*10000+10000-ROW(),"")</f>
        <v/>
      </c>
      <c r="V18">
        <f>IF(AND(S18=1,OR(Report!$C$5="",B18=Report!$C$5)),MATCH(B18,Rooms!$B$6:$B$35,0)*10000+ROW(),"")</f>
        <v/>
      </c>
      <c r="W18">
        <f>IF(AND(S18=1,OR(J18="",J18="No")),1,0)</f>
        <v/>
      </c>
      <c r="X18">
        <f>IF(AND(S18=1,K18=""),1,0)</f>
        <v/>
      </c>
      <c r="Y18">
        <f>IF(AND(S18=1,Q18&lt;&gt;""),ROUND(T18*100,0)*10000+10000-ROW(),"")</f>
        <v/>
      </c>
    </row>
    <row r="19">
      <c r="A19" s="1" t="n"/>
      <c r="B19" s="17" t="inlineStr">
        <is>
          <t>Main bedroom</t>
        </is>
      </c>
      <c r="C19" s="18" t="inlineStr">
        <is>
          <t>Bed and mattress</t>
        </is>
      </c>
      <c r="D19" s="17" t="inlineStr">
        <is>
          <t>Furniture</t>
        </is>
      </c>
      <c r="E19" s="19" t="inlineStr">
        <is>
          <t>King size</t>
        </is>
      </c>
      <c r="F19" s="19" t="n"/>
      <c r="G19" s="20" t="n">
        <v>45432</v>
      </c>
      <c r="H19" s="21" t="n">
        <v>1600</v>
      </c>
      <c r="I19" s="21" t="n">
        <v>1300</v>
      </c>
      <c r="J19" s="17" t="inlineStr">
        <is>
          <t>File</t>
        </is>
      </c>
      <c r="K19" s="19" t="inlineStr">
        <is>
          <t>IMG_2091.jpg</t>
        </is>
      </c>
      <c r="L19" s="20" t="n">
        <v>49084</v>
      </c>
      <c r="M19" s="19" t="n"/>
      <c r="N19" s="22">
        <f>IF(C19="","",IF(ISNUMBER(I19),I19,IF(ISNUMBER(H19),H19,"")))</f>
        <v/>
      </c>
      <c r="O19" s="23">
        <f>IF(OR(C19="",NOT(ISNUMBER(G19))),"",(TODAY()-INT(G19))/365.25)</f>
        <v/>
      </c>
      <c r="P19" s="13">
        <f>IF(OR(C19="",NOT(ISNUMBER(L19))),"",IF(L19&lt;TODAY(),"Ended",IF(L19-TODAY()&lt;=N(Settings!$C$10),"Ends soon","Covered")))</f>
        <v/>
      </c>
      <c r="Q19" s="13">
        <f>IF(C19="","",MID(IF(N19="",", value","")&amp;IF(OR(J19="",J19="No"),", receipt","")&amp;IF(K19="",", photo",""),3,100))</f>
        <v/>
      </c>
      <c r="R19" s="13">
        <f>IF(AND(B19="",C19=""),"",IF(C19="","Needs the item",IF(B19="","Needs a room",IF(COUNTIF(Rooms!$B$6:$B$35,B19)=0,"Not on Rooms",IF(AND(H19&lt;&gt;"",NOT(ISNUMBER(H19))),"Paid not a number",IF(AND(I19&lt;&gt;"",NOT(ISNUMBER(I19))),"Worth not a number",IF(AND(G19&lt;&gt;"",NOT(ISNUMBER(G19))),"Bought is not a date",IF(AND(L19&lt;&gt;"",NOT(ISNUMBER(L19))),"Warranty is not a date",""))))))))</f>
        <v/>
      </c>
      <c r="S19" s="1">
        <f>IF(AND(C19&lt;&gt;"",R19=""),1,0)</f>
        <v/>
      </c>
      <c r="T19">
        <f>IF(S19=1,N(N19),0)</f>
        <v/>
      </c>
      <c r="U19">
        <f>IF(AND(S19=1,T19&gt;0),ROUND(T19*100,0)*10000+10000-ROW(),"")</f>
        <v/>
      </c>
      <c r="V19">
        <f>IF(AND(S19=1,OR(Report!$C$5="",B19=Report!$C$5)),MATCH(B19,Rooms!$B$6:$B$35,0)*10000+ROW(),"")</f>
        <v/>
      </c>
      <c r="W19">
        <f>IF(AND(S19=1,OR(J19="",J19="No")),1,0)</f>
        <v/>
      </c>
      <c r="X19">
        <f>IF(AND(S19=1,K19=""),1,0)</f>
        <v/>
      </c>
      <c r="Y19">
        <f>IF(AND(S19=1,Q19&lt;&gt;""),ROUND(T19*100,0)*10000+10000-ROW(),"")</f>
        <v/>
      </c>
    </row>
    <row r="20">
      <c r="A20" s="1" t="n"/>
      <c r="B20" s="17" t="inlineStr">
        <is>
          <t>Main bedroom</t>
        </is>
      </c>
      <c r="C20" s="18" t="inlineStr">
        <is>
          <t>Wardrobe</t>
        </is>
      </c>
      <c r="D20" s="17" t="inlineStr">
        <is>
          <t>Furniture</t>
        </is>
      </c>
      <c r="E20" s="19" t="inlineStr">
        <is>
          <t>Two doors, white</t>
        </is>
      </c>
      <c r="F20" s="19" t="n"/>
      <c r="G20" s="20" t="n">
        <v>44208</v>
      </c>
      <c r="H20" s="21" t="n">
        <v>520</v>
      </c>
      <c r="I20" s="21" t="n">
        <v>350</v>
      </c>
      <c r="J20" s="17" t="inlineStr">
        <is>
          <t>No</t>
        </is>
      </c>
      <c r="K20" s="19" t="inlineStr">
        <is>
          <t>IMG_3212.jpg</t>
        </is>
      </c>
      <c r="L20" s="20" t="n"/>
      <c r="M20" s="19" t="n"/>
      <c r="N20" s="22">
        <f>IF(C20="","",IF(ISNUMBER(I20),I20,IF(ISNUMBER(H20),H20,"")))</f>
        <v/>
      </c>
      <c r="O20" s="23">
        <f>IF(OR(C20="",NOT(ISNUMBER(G20))),"",(TODAY()-INT(G20))/365.25)</f>
        <v/>
      </c>
      <c r="P20" s="13">
        <f>IF(OR(C20="",NOT(ISNUMBER(L20))),"",IF(L20&lt;TODAY(),"Ended",IF(L20-TODAY()&lt;=N(Settings!$C$10),"Ends soon","Covered")))</f>
        <v/>
      </c>
      <c r="Q20" s="13">
        <f>IF(C20="","",MID(IF(N20="",", value","")&amp;IF(OR(J20="",J20="No"),", receipt","")&amp;IF(K20="",", photo",""),3,100))</f>
        <v/>
      </c>
      <c r="R20" s="13">
        <f>IF(AND(B20="",C20=""),"",IF(C20="","Needs the item",IF(B20="","Needs a room",IF(COUNTIF(Rooms!$B$6:$B$35,B20)=0,"Not on Rooms",IF(AND(H20&lt;&gt;"",NOT(ISNUMBER(H20))),"Paid not a number",IF(AND(I20&lt;&gt;"",NOT(ISNUMBER(I20))),"Worth not a number",IF(AND(G20&lt;&gt;"",NOT(ISNUMBER(G20))),"Bought is not a date",IF(AND(L20&lt;&gt;"",NOT(ISNUMBER(L20))),"Warranty is not a date",""))))))))</f>
        <v/>
      </c>
      <c r="S20" s="1">
        <f>IF(AND(C20&lt;&gt;"",R20=""),1,0)</f>
        <v/>
      </c>
      <c r="T20">
        <f>IF(S20=1,N(N20),0)</f>
        <v/>
      </c>
      <c r="U20">
        <f>IF(AND(S20=1,T20&gt;0),ROUND(T20*100,0)*10000+10000-ROW(),"")</f>
        <v/>
      </c>
      <c r="V20">
        <f>IF(AND(S20=1,OR(Report!$C$5="",B20=Report!$C$5)),MATCH(B20,Rooms!$B$6:$B$35,0)*10000+ROW(),"")</f>
        <v/>
      </c>
      <c r="W20">
        <f>IF(AND(S20=1,OR(J20="",J20="No")),1,0)</f>
        <v/>
      </c>
      <c r="X20">
        <f>IF(AND(S20=1,K20=""),1,0)</f>
        <v/>
      </c>
      <c r="Y20">
        <f>IF(AND(S20=1,Q20&lt;&gt;""),ROUND(T20*100,0)*10000+10000-ROW(),"")</f>
        <v/>
      </c>
    </row>
    <row r="21">
      <c r="A21" s="1" t="n"/>
      <c r="B21" s="17" t="inlineStr">
        <is>
          <t>Main bedroom</t>
        </is>
      </c>
      <c r="C21" s="18" t="inlineStr">
        <is>
          <t>Engagement ring</t>
        </is>
      </c>
      <c r="D21" s="17" t="inlineStr">
        <is>
          <t>Jewelry and watches</t>
        </is>
      </c>
      <c r="E21" s="19" t="inlineStr">
        <is>
          <t>Gold, one diamond</t>
        </is>
      </c>
      <c r="F21" s="19" t="n"/>
      <c r="G21" s="20" t="n">
        <v>43510</v>
      </c>
      <c r="H21" s="21" t="n">
        <v>2400</v>
      </c>
      <c r="I21" s="21" t="n">
        <v>3100</v>
      </c>
      <c r="J21" s="17" t="inlineStr">
        <is>
          <t>Paper</t>
        </is>
      </c>
      <c r="K21" s="19" t="inlineStr">
        <is>
          <t>IMG_5449.jpg</t>
        </is>
      </c>
      <c r="L21" s="20" t="n"/>
      <c r="M21" s="19" t="n"/>
      <c r="N21" s="22">
        <f>IF(C21="","",IF(ISNUMBER(I21),I21,IF(ISNUMBER(H21),H21,"")))</f>
        <v/>
      </c>
      <c r="O21" s="23">
        <f>IF(OR(C21="",NOT(ISNUMBER(G21))),"",(TODAY()-INT(G21))/365.25)</f>
        <v/>
      </c>
      <c r="P21" s="13">
        <f>IF(OR(C21="",NOT(ISNUMBER(L21))),"",IF(L21&lt;TODAY(),"Ended",IF(L21-TODAY()&lt;=N(Settings!$C$10),"Ends soon","Covered")))</f>
        <v/>
      </c>
      <c r="Q21" s="13">
        <f>IF(C21="","",MID(IF(N21="",", value","")&amp;IF(OR(J21="",J21="No"),", receipt","")&amp;IF(K21="",", photo",""),3,100))</f>
        <v/>
      </c>
      <c r="R21" s="13">
        <f>IF(AND(B21="",C21=""),"",IF(C21="","Needs the item",IF(B21="","Needs a room",IF(COUNTIF(Rooms!$B$6:$B$35,B21)=0,"Not on Rooms",IF(AND(H21&lt;&gt;"",NOT(ISNUMBER(H21))),"Paid not a number",IF(AND(I21&lt;&gt;"",NOT(ISNUMBER(I21))),"Worth not a number",IF(AND(G21&lt;&gt;"",NOT(ISNUMBER(G21))),"Bought is not a date",IF(AND(L21&lt;&gt;"",NOT(ISNUMBER(L21))),"Warranty is not a date",""))))))))</f>
        <v/>
      </c>
      <c r="S21" s="1">
        <f>IF(AND(C21&lt;&gt;"",R21=""),1,0)</f>
        <v/>
      </c>
      <c r="T21">
        <f>IF(S21=1,N(N21),0)</f>
        <v/>
      </c>
      <c r="U21">
        <f>IF(AND(S21=1,T21&gt;0),ROUND(T21*100,0)*10000+10000-ROW(),"")</f>
        <v/>
      </c>
      <c r="V21">
        <f>IF(AND(S21=1,OR(Report!$C$5="",B21=Report!$C$5)),MATCH(B21,Rooms!$B$6:$B$35,0)*10000+ROW(),"")</f>
        <v/>
      </c>
      <c r="W21">
        <f>IF(AND(S21=1,OR(J21="",J21="No")),1,0)</f>
        <v/>
      </c>
      <c r="X21">
        <f>IF(AND(S21=1,K21=""),1,0)</f>
        <v/>
      </c>
      <c r="Y21">
        <f>IF(AND(S21=1,Q21&lt;&gt;""),ROUND(T21*100,0)*10000+10000-ROW(),"")</f>
        <v/>
      </c>
    </row>
    <row r="22">
      <c r="A22" s="1" t="n"/>
      <c r="B22" s="17" t="inlineStr">
        <is>
          <t>Main bedroom</t>
        </is>
      </c>
      <c r="C22" s="18" t="inlineStr">
        <is>
          <t>Watch</t>
        </is>
      </c>
      <c r="D22" s="17" t="inlineStr">
        <is>
          <t>Jewelry and watches</t>
        </is>
      </c>
      <c r="E22" s="19" t="inlineStr">
        <is>
          <t>Steel, automatic</t>
        </is>
      </c>
      <c r="F22" s="19" t="n"/>
      <c r="G22" s="20" t="n">
        <v>45284</v>
      </c>
      <c r="H22" s="21" t="n">
        <v>780</v>
      </c>
      <c r="I22" s="21" t="n">
        <v>700</v>
      </c>
      <c r="J22" s="17" t="inlineStr">
        <is>
          <t>Paper</t>
        </is>
      </c>
      <c r="K22" s="19" t="inlineStr">
        <is>
          <t>IMG_3525.jpg</t>
        </is>
      </c>
      <c r="L22" s="20" t="n">
        <v>46015</v>
      </c>
      <c r="M22" s="19" t="n"/>
      <c r="N22" s="22">
        <f>IF(C22="","",IF(ISNUMBER(I22),I22,IF(ISNUMBER(H22),H22,"")))</f>
        <v/>
      </c>
      <c r="O22" s="23">
        <f>IF(OR(C22="",NOT(ISNUMBER(G22))),"",(TODAY()-INT(G22))/365.25)</f>
        <v/>
      </c>
      <c r="P22" s="13">
        <f>IF(OR(C22="",NOT(ISNUMBER(L22))),"",IF(L22&lt;TODAY(),"Ended",IF(L22-TODAY()&lt;=N(Settings!$C$10),"Ends soon","Covered")))</f>
        <v/>
      </c>
      <c r="Q22" s="13">
        <f>IF(C22="","",MID(IF(N22="",", value","")&amp;IF(OR(J22="",J22="No"),", receipt","")&amp;IF(K22="",", photo",""),3,100))</f>
        <v/>
      </c>
      <c r="R22" s="13">
        <f>IF(AND(B22="",C22=""),"",IF(C22="","Needs the item",IF(B22="","Needs a room",IF(COUNTIF(Rooms!$B$6:$B$35,B22)=0,"Not on Rooms",IF(AND(H22&lt;&gt;"",NOT(ISNUMBER(H22))),"Paid not a number",IF(AND(I22&lt;&gt;"",NOT(ISNUMBER(I22))),"Worth not a number",IF(AND(G22&lt;&gt;"",NOT(ISNUMBER(G22))),"Bought is not a date",IF(AND(L22&lt;&gt;"",NOT(ISNUMBER(L22))),"Warranty is not a date",""))))))))</f>
        <v/>
      </c>
      <c r="S22" s="1">
        <f>IF(AND(C22&lt;&gt;"",R22=""),1,0)</f>
        <v/>
      </c>
      <c r="T22">
        <f>IF(S22=1,N(N22),0)</f>
        <v/>
      </c>
      <c r="U22">
        <f>IF(AND(S22=1,T22&gt;0),ROUND(T22*100,0)*10000+10000-ROW(),"")</f>
        <v/>
      </c>
      <c r="V22">
        <f>IF(AND(S22=1,OR(Report!$C$5="",B22=Report!$C$5)),MATCH(B22,Rooms!$B$6:$B$35,0)*10000+ROW(),"")</f>
        <v/>
      </c>
      <c r="W22">
        <f>IF(AND(S22=1,OR(J22="",J22="No")),1,0)</f>
        <v/>
      </c>
      <c r="X22">
        <f>IF(AND(S22=1,K22=""),1,0)</f>
        <v/>
      </c>
      <c r="Y22">
        <f>IF(AND(S22=1,Q22&lt;&gt;""),ROUND(T22*100,0)*10000+10000-ROW(),"")</f>
        <v/>
      </c>
    </row>
    <row r="23">
      <c r="A23" s="1" t="n"/>
      <c r="B23" s="17" t="inlineStr">
        <is>
          <t>Main bedroom</t>
        </is>
      </c>
      <c r="C23" s="18" t="inlineStr">
        <is>
          <t>Winter coats</t>
        </is>
      </c>
      <c r="D23" s="17" t="inlineStr">
        <is>
          <t>Clothing</t>
        </is>
      </c>
      <c r="E23" s="19" t="inlineStr">
        <is>
          <t>Two coats</t>
        </is>
      </c>
      <c r="F23" s="19" t="n"/>
      <c r="G23" s="20" t="n">
        <v>45963</v>
      </c>
      <c r="H23" s="21" t="n">
        <v>460</v>
      </c>
      <c r="I23" s="21" t="n">
        <v>350</v>
      </c>
      <c r="J23" s="17" t="inlineStr">
        <is>
          <t>No</t>
        </is>
      </c>
      <c r="K23" s="19" t="n"/>
      <c r="L23" s="20" t="n"/>
      <c r="M23" s="19" t="n"/>
      <c r="N23" s="22">
        <f>IF(C23="","",IF(ISNUMBER(I23),I23,IF(ISNUMBER(H23),H23,"")))</f>
        <v/>
      </c>
      <c r="O23" s="23">
        <f>IF(OR(C23="",NOT(ISNUMBER(G23))),"",(TODAY()-INT(G23))/365.25)</f>
        <v/>
      </c>
      <c r="P23" s="13">
        <f>IF(OR(C23="",NOT(ISNUMBER(L23))),"",IF(L23&lt;TODAY(),"Ended",IF(L23-TODAY()&lt;=N(Settings!$C$10),"Ends soon","Covered")))</f>
        <v/>
      </c>
      <c r="Q23" s="13">
        <f>IF(C23="","",MID(IF(N23="",", value","")&amp;IF(OR(J23="",J23="No"),", receipt","")&amp;IF(K23="",", photo",""),3,100))</f>
        <v/>
      </c>
      <c r="R23" s="13">
        <f>IF(AND(B23="",C23=""),"",IF(C23="","Needs the item",IF(B23="","Needs a room",IF(COUNTIF(Rooms!$B$6:$B$35,B23)=0,"Not on Rooms",IF(AND(H23&lt;&gt;"",NOT(ISNUMBER(H23))),"Paid not a number",IF(AND(I23&lt;&gt;"",NOT(ISNUMBER(I23))),"Worth not a number",IF(AND(G23&lt;&gt;"",NOT(ISNUMBER(G23))),"Bought is not a date",IF(AND(L23&lt;&gt;"",NOT(ISNUMBER(L23))),"Warranty is not a date",""))))))))</f>
        <v/>
      </c>
      <c r="S23" s="1">
        <f>IF(AND(C23&lt;&gt;"",R23=""),1,0)</f>
        <v/>
      </c>
      <c r="T23">
        <f>IF(S23=1,N(N23),0)</f>
        <v/>
      </c>
      <c r="U23">
        <f>IF(AND(S23=1,T23&gt;0),ROUND(T23*100,0)*10000+10000-ROW(),"")</f>
        <v/>
      </c>
      <c r="V23">
        <f>IF(AND(S23=1,OR(Report!$C$5="",B23=Report!$C$5)),MATCH(B23,Rooms!$B$6:$B$35,0)*10000+ROW(),"")</f>
        <v/>
      </c>
      <c r="W23">
        <f>IF(AND(S23=1,OR(J23="",J23="No")),1,0)</f>
        <v/>
      </c>
      <c r="X23">
        <f>IF(AND(S23=1,K23=""),1,0)</f>
        <v/>
      </c>
      <c r="Y23">
        <f>IF(AND(S23=1,Q23&lt;&gt;""),ROUND(T23*100,0)*10000+10000-ROW(),"")</f>
        <v/>
      </c>
    </row>
    <row r="24">
      <c r="A24" s="1" t="n"/>
      <c r="B24" s="17" t="inlineStr">
        <is>
          <t>Main bedroom</t>
        </is>
      </c>
      <c r="C24" s="18" t="inlineStr">
        <is>
          <t>Clothes and shoes</t>
        </is>
      </c>
      <c r="D24" s="17" t="inlineStr">
        <is>
          <t>Clothing</t>
        </is>
      </c>
      <c r="E24" s="19" t="inlineStr">
        <is>
          <t>Everyday</t>
        </is>
      </c>
      <c r="F24" s="19" t="n"/>
      <c r="G24" s="20" t="n"/>
      <c r="H24" s="21" t="n"/>
      <c r="I24" s="21" t="n">
        <v>2500</v>
      </c>
      <c r="J24" s="17" t="inlineStr">
        <is>
          <t>No</t>
        </is>
      </c>
      <c r="K24" s="19" t="n"/>
      <c r="L24" s="20" t="n"/>
      <c r="M24" s="19" t="n"/>
      <c r="N24" s="22">
        <f>IF(C24="","",IF(ISNUMBER(I24),I24,IF(ISNUMBER(H24),H24,"")))</f>
        <v/>
      </c>
      <c r="O24" s="23">
        <f>IF(OR(C24="",NOT(ISNUMBER(G24))),"",(TODAY()-INT(G24))/365.25)</f>
        <v/>
      </c>
      <c r="P24" s="13">
        <f>IF(OR(C24="",NOT(ISNUMBER(L24))),"",IF(L24&lt;TODAY(),"Ended",IF(L24-TODAY()&lt;=N(Settings!$C$10),"Ends soon","Covered")))</f>
        <v/>
      </c>
      <c r="Q24" s="13">
        <f>IF(C24="","",MID(IF(N24="",", value","")&amp;IF(OR(J24="",J24="No"),", receipt","")&amp;IF(K24="",", photo",""),3,100))</f>
        <v/>
      </c>
      <c r="R24" s="13">
        <f>IF(AND(B24="",C24=""),"",IF(C24="","Needs the item",IF(B24="","Needs a room",IF(COUNTIF(Rooms!$B$6:$B$35,B24)=0,"Not on Rooms",IF(AND(H24&lt;&gt;"",NOT(ISNUMBER(H24))),"Paid not a number",IF(AND(I24&lt;&gt;"",NOT(ISNUMBER(I24))),"Worth not a number",IF(AND(G24&lt;&gt;"",NOT(ISNUMBER(G24))),"Bought is not a date",IF(AND(L24&lt;&gt;"",NOT(ISNUMBER(L24))),"Warranty is not a date",""))))))))</f>
        <v/>
      </c>
      <c r="S24" s="1">
        <f>IF(AND(C24&lt;&gt;"",R24=""),1,0)</f>
        <v/>
      </c>
      <c r="T24">
        <f>IF(S24=1,N(N24),0)</f>
        <v/>
      </c>
      <c r="U24">
        <f>IF(AND(S24=1,T24&gt;0),ROUND(T24*100,0)*10000+10000-ROW(),"")</f>
        <v/>
      </c>
      <c r="V24">
        <f>IF(AND(S24=1,OR(Report!$C$5="",B24=Report!$C$5)),MATCH(B24,Rooms!$B$6:$B$35,0)*10000+ROW(),"")</f>
        <v/>
      </c>
      <c r="W24">
        <f>IF(AND(S24=1,OR(J24="",J24="No")),1,0)</f>
        <v/>
      </c>
      <c r="X24">
        <f>IF(AND(S24=1,K24=""),1,0)</f>
        <v/>
      </c>
      <c r="Y24">
        <f>IF(AND(S24=1,Q24&lt;&gt;""),ROUND(T24*100,0)*10000+10000-ROW(),"")</f>
        <v/>
      </c>
    </row>
    <row r="25">
      <c r="A25" s="1" t="n"/>
      <c r="B25" s="17" t="inlineStr">
        <is>
          <t>Home office</t>
        </is>
      </c>
      <c r="C25" s="18" t="inlineStr">
        <is>
          <t>Laptop</t>
        </is>
      </c>
      <c r="D25" s="17" t="inlineStr">
        <is>
          <t>Electronics</t>
        </is>
      </c>
      <c r="E25" s="19" t="inlineStr">
        <is>
          <t>Pro 14, 16 GB</t>
        </is>
      </c>
      <c r="F25" s="19" t="inlineStr">
        <is>
          <t>SN38321322</t>
        </is>
      </c>
      <c r="G25" s="20" t="n">
        <v>46073</v>
      </c>
      <c r="H25" s="21" t="n">
        <v>1499</v>
      </c>
      <c r="I25" s="21" t="n">
        <v>1350</v>
      </c>
      <c r="J25" s="17" t="inlineStr">
        <is>
          <t>File</t>
        </is>
      </c>
      <c r="K25" s="19" t="inlineStr">
        <is>
          <t>IMG_8018.jpg</t>
        </is>
      </c>
      <c r="L25" s="20" t="n">
        <v>46438</v>
      </c>
      <c r="M25" s="19" t="n"/>
      <c r="N25" s="22">
        <f>IF(C25="","",IF(ISNUMBER(I25),I25,IF(ISNUMBER(H25),H25,"")))</f>
        <v/>
      </c>
      <c r="O25" s="23">
        <f>IF(OR(C25="",NOT(ISNUMBER(G25))),"",(TODAY()-INT(G25))/365.25)</f>
        <v/>
      </c>
      <c r="P25" s="13">
        <f>IF(OR(C25="",NOT(ISNUMBER(L25))),"",IF(L25&lt;TODAY(),"Ended",IF(L25-TODAY()&lt;=N(Settings!$C$10),"Ends soon","Covered")))</f>
        <v/>
      </c>
      <c r="Q25" s="13">
        <f>IF(C25="","",MID(IF(N25="",", value","")&amp;IF(OR(J25="",J25="No"),", receipt","")&amp;IF(K25="",", photo",""),3,100))</f>
        <v/>
      </c>
      <c r="R25" s="13">
        <f>IF(AND(B25="",C25=""),"",IF(C25="","Needs the item",IF(B25="","Needs a room",IF(COUNTIF(Rooms!$B$6:$B$35,B25)=0,"Not on Rooms",IF(AND(H25&lt;&gt;"",NOT(ISNUMBER(H25))),"Paid not a number",IF(AND(I25&lt;&gt;"",NOT(ISNUMBER(I25))),"Worth not a number",IF(AND(G25&lt;&gt;"",NOT(ISNUMBER(G25))),"Bought is not a date",IF(AND(L25&lt;&gt;"",NOT(ISNUMBER(L25))),"Warranty is not a date",""))))))))</f>
        <v/>
      </c>
      <c r="S25" s="1">
        <f>IF(AND(C25&lt;&gt;"",R25=""),1,0)</f>
        <v/>
      </c>
      <c r="T25">
        <f>IF(S25=1,N(N25),0)</f>
        <v/>
      </c>
      <c r="U25">
        <f>IF(AND(S25=1,T25&gt;0),ROUND(T25*100,0)*10000+10000-ROW(),"")</f>
        <v/>
      </c>
      <c r="V25">
        <f>IF(AND(S25=1,OR(Report!$C$5="",B25=Report!$C$5)),MATCH(B25,Rooms!$B$6:$B$35,0)*10000+ROW(),"")</f>
        <v/>
      </c>
      <c r="W25">
        <f>IF(AND(S25=1,OR(J25="",J25="No")),1,0)</f>
        <v/>
      </c>
      <c r="X25">
        <f>IF(AND(S25=1,K25=""),1,0)</f>
        <v/>
      </c>
      <c r="Y25">
        <f>IF(AND(S25=1,Q25&lt;&gt;""),ROUND(T25*100,0)*10000+10000-ROW(),"")</f>
        <v/>
      </c>
    </row>
    <row r="26">
      <c r="A26" s="1" t="n"/>
      <c r="B26" s="17" t="inlineStr">
        <is>
          <t>Home office</t>
        </is>
      </c>
      <c r="C26" s="18" t="inlineStr">
        <is>
          <t>Monitor</t>
        </is>
      </c>
      <c r="D26" s="17" t="inlineStr">
        <is>
          <t>Electronics</t>
        </is>
      </c>
      <c r="E26" s="19" t="inlineStr">
        <is>
          <t>27 inch, 4K</t>
        </is>
      </c>
      <c r="F26" s="19" t="inlineStr">
        <is>
          <t>SN20059796</t>
        </is>
      </c>
      <c r="G26" s="20" t="n">
        <v>45719</v>
      </c>
      <c r="H26" s="21" t="n">
        <v>379</v>
      </c>
      <c r="I26" s="21" t="n">
        <v>320</v>
      </c>
      <c r="J26" s="17" t="inlineStr">
        <is>
          <t>File</t>
        </is>
      </c>
      <c r="K26" s="19" t="inlineStr">
        <is>
          <t>IMG_7686.jpg</t>
        </is>
      </c>
      <c r="L26" s="20" t="n">
        <v>46815</v>
      </c>
      <c r="M26" s="19" t="n"/>
      <c r="N26" s="22">
        <f>IF(C26="","",IF(ISNUMBER(I26),I26,IF(ISNUMBER(H26),H26,"")))</f>
        <v/>
      </c>
      <c r="O26" s="23">
        <f>IF(OR(C26="",NOT(ISNUMBER(G26))),"",(TODAY()-INT(G26))/365.25)</f>
        <v/>
      </c>
      <c r="P26" s="13">
        <f>IF(OR(C26="",NOT(ISNUMBER(L26))),"",IF(L26&lt;TODAY(),"Ended",IF(L26-TODAY()&lt;=N(Settings!$C$10),"Ends soon","Covered")))</f>
        <v/>
      </c>
      <c r="Q26" s="13">
        <f>IF(C26="","",MID(IF(N26="",", value","")&amp;IF(OR(J26="",J26="No"),", receipt","")&amp;IF(K26="",", photo",""),3,100))</f>
        <v/>
      </c>
      <c r="R26" s="13">
        <f>IF(AND(B26="",C26=""),"",IF(C26="","Needs the item",IF(B26="","Needs a room",IF(COUNTIF(Rooms!$B$6:$B$35,B26)=0,"Not on Rooms",IF(AND(H26&lt;&gt;"",NOT(ISNUMBER(H26))),"Paid not a number",IF(AND(I26&lt;&gt;"",NOT(ISNUMBER(I26))),"Worth not a number",IF(AND(G26&lt;&gt;"",NOT(ISNUMBER(G26))),"Bought is not a date",IF(AND(L26&lt;&gt;"",NOT(ISNUMBER(L26))),"Warranty is not a date",""))))))))</f>
        <v/>
      </c>
      <c r="S26" s="1">
        <f>IF(AND(C26&lt;&gt;"",R26=""),1,0)</f>
        <v/>
      </c>
      <c r="T26">
        <f>IF(S26=1,N(N26),0)</f>
        <v/>
      </c>
      <c r="U26">
        <f>IF(AND(S26=1,T26&gt;0),ROUND(T26*100,0)*10000+10000-ROW(),"")</f>
        <v/>
      </c>
      <c r="V26">
        <f>IF(AND(S26=1,OR(Report!$C$5="",B26=Report!$C$5)),MATCH(B26,Rooms!$B$6:$B$35,0)*10000+ROW(),"")</f>
        <v/>
      </c>
      <c r="W26">
        <f>IF(AND(S26=1,OR(J26="",J26="No")),1,0)</f>
        <v/>
      </c>
      <c r="X26">
        <f>IF(AND(S26=1,K26=""),1,0)</f>
        <v/>
      </c>
      <c r="Y26">
        <f>IF(AND(S26=1,Q26&lt;&gt;""),ROUND(T26*100,0)*10000+10000-ROW(),"")</f>
        <v/>
      </c>
    </row>
    <row r="27">
      <c r="A27" s="1" t="n"/>
      <c r="B27" s="17" t="inlineStr">
        <is>
          <t>Home office</t>
        </is>
      </c>
      <c r="C27" s="18" t="inlineStr">
        <is>
          <t>Desk chair</t>
        </is>
      </c>
      <c r="D27" s="17" t="inlineStr">
        <is>
          <t>Furniture</t>
        </is>
      </c>
      <c r="E27" s="19" t="inlineStr">
        <is>
          <t>Mesh, adjustable</t>
        </is>
      </c>
      <c r="F27" s="19" t="n"/>
      <c r="G27" s="20" t="n">
        <v>45544</v>
      </c>
      <c r="H27" s="21" t="n">
        <v>449</v>
      </c>
      <c r="I27" s="21" t="n">
        <v>350</v>
      </c>
      <c r="J27" s="17" t="inlineStr">
        <is>
          <t>File</t>
        </is>
      </c>
      <c r="K27" s="19" t="inlineStr">
        <is>
          <t>IMG_3339.jpg</t>
        </is>
      </c>
      <c r="L27" s="20" t="n">
        <v>47370</v>
      </c>
      <c r="M27" s="19" t="n"/>
      <c r="N27" s="22">
        <f>IF(C27="","",IF(ISNUMBER(I27),I27,IF(ISNUMBER(H27),H27,"")))</f>
        <v/>
      </c>
      <c r="O27" s="23">
        <f>IF(OR(C27="",NOT(ISNUMBER(G27))),"",(TODAY()-INT(G27))/365.25)</f>
        <v/>
      </c>
      <c r="P27" s="13">
        <f>IF(OR(C27="",NOT(ISNUMBER(L27))),"",IF(L27&lt;TODAY(),"Ended",IF(L27-TODAY()&lt;=N(Settings!$C$10),"Ends soon","Covered")))</f>
        <v/>
      </c>
      <c r="Q27" s="13">
        <f>IF(C27="","",MID(IF(N27="",", value","")&amp;IF(OR(J27="",J27="No"),", receipt","")&amp;IF(K27="",", photo",""),3,100))</f>
        <v/>
      </c>
      <c r="R27" s="13">
        <f>IF(AND(B27="",C27=""),"",IF(C27="","Needs the item",IF(B27="","Needs a room",IF(COUNTIF(Rooms!$B$6:$B$35,B27)=0,"Not on Rooms",IF(AND(H27&lt;&gt;"",NOT(ISNUMBER(H27))),"Paid not a number",IF(AND(I27&lt;&gt;"",NOT(ISNUMBER(I27))),"Worth not a number",IF(AND(G27&lt;&gt;"",NOT(ISNUMBER(G27))),"Bought is not a date",IF(AND(L27&lt;&gt;"",NOT(ISNUMBER(L27))),"Warranty is not a date",""))))))))</f>
        <v/>
      </c>
      <c r="S27" s="1">
        <f>IF(AND(C27&lt;&gt;"",R27=""),1,0)</f>
        <v/>
      </c>
      <c r="T27">
        <f>IF(S27=1,N(N27),0)</f>
        <v/>
      </c>
      <c r="U27">
        <f>IF(AND(S27=1,T27&gt;0),ROUND(T27*100,0)*10000+10000-ROW(),"")</f>
        <v/>
      </c>
      <c r="V27">
        <f>IF(AND(S27=1,OR(Report!$C$5="",B27=Report!$C$5)),MATCH(B27,Rooms!$B$6:$B$35,0)*10000+ROW(),"")</f>
        <v/>
      </c>
      <c r="W27">
        <f>IF(AND(S27=1,OR(J27="",J27="No")),1,0)</f>
        <v/>
      </c>
      <c r="X27">
        <f>IF(AND(S27=1,K27=""),1,0)</f>
        <v/>
      </c>
      <c r="Y27">
        <f>IF(AND(S27=1,Q27&lt;&gt;""),ROUND(T27*100,0)*10000+10000-ROW(),"")</f>
        <v/>
      </c>
    </row>
    <row r="28">
      <c r="A28" s="1" t="n"/>
      <c r="B28" s="17" t="inlineStr">
        <is>
          <t>Home office</t>
        </is>
      </c>
      <c r="C28" s="18" t="inlineStr">
        <is>
          <t>Printer</t>
        </is>
      </c>
      <c r="D28" s="17" t="inlineStr">
        <is>
          <t>Electronics</t>
        </is>
      </c>
      <c r="E28" s="19" t="inlineStr">
        <is>
          <t>Colour laser</t>
        </is>
      </c>
      <c r="F28" s="19" t="inlineStr">
        <is>
          <t>SN17676393</t>
        </is>
      </c>
      <c r="G28" s="20" t="n">
        <v>45083</v>
      </c>
      <c r="H28" s="21" t="n">
        <v>299</v>
      </c>
      <c r="I28" s="21" t="n">
        <v>150</v>
      </c>
      <c r="J28" s="17" t="inlineStr">
        <is>
          <t>No</t>
        </is>
      </c>
      <c r="K28" s="19" t="inlineStr">
        <is>
          <t>IMG_1527.jpg</t>
        </is>
      </c>
      <c r="L28" s="20" t="n">
        <v>45449</v>
      </c>
      <c r="M28" s="19" t="n"/>
      <c r="N28" s="22">
        <f>IF(C28="","",IF(ISNUMBER(I28),I28,IF(ISNUMBER(H28),H28,"")))</f>
        <v/>
      </c>
      <c r="O28" s="23">
        <f>IF(OR(C28="",NOT(ISNUMBER(G28))),"",(TODAY()-INT(G28))/365.25)</f>
        <v/>
      </c>
      <c r="P28" s="13">
        <f>IF(OR(C28="",NOT(ISNUMBER(L28))),"",IF(L28&lt;TODAY(),"Ended",IF(L28-TODAY()&lt;=N(Settings!$C$10),"Ends soon","Covered")))</f>
        <v/>
      </c>
      <c r="Q28" s="13">
        <f>IF(C28="","",MID(IF(N28="",", value","")&amp;IF(OR(J28="",J28="No"),", receipt","")&amp;IF(K28="",", photo",""),3,100))</f>
        <v/>
      </c>
      <c r="R28" s="13">
        <f>IF(AND(B28="",C28=""),"",IF(C28="","Needs the item",IF(B28="","Needs a room",IF(COUNTIF(Rooms!$B$6:$B$35,B28)=0,"Not on Rooms",IF(AND(H28&lt;&gt;"",NOT(ISNUMBER(H28))),"Paid not a number",IF(AND(I28&lt;&gt;"",NOT(ISNUMBER(I28))),"Worth not a number",IF(AND(G28&lt;&gt;"",NOT(ISNUMBER(G28))),"Bought is not a date",IF(AND(L28&lt;&gt;"",NOT(ISNUMBER(L28))),"Warranty is not a date",""))))))))</f>
        <v/>
      </c>
      <c r="S28" s="1">
        <f>IF(AND(C28&lt;&gt;"",R28=""),1,0)</f>
        <v/>
      </c>
      <c r="T28">
        <f>IF(S28=1,N(N28),0)</f>
        <v/>
      </c>
      <c r="U28">
        <f>IF(AND(S28=1,T28&gt;0),ROUND(T28*100,0)*10000+10000-ROW(),"")</f>
        <v/>
      </c>
      <c r="V28">
        <f>IF(AND(S28=1,OR(Report!$C$5="",B28=Report!$C$5)),MATCH(B28,Rooms!$B$6:$B$35,0)*10000+ROW(),"")</f>
        <v/>
      </c>
      <c r="W28">
        <f>IF(AND(S28=1,OR(J28="",J28="No")),1,0)</f>
        <v/>
      </c>
      <c r="X28">
        <f>IF(AND(S28=1,K28=""),1,0)</f>
        <v/>
      </c>
      <c r="Y28">
        <f>IF(AND(S28=1,Q28&lt;&gt;""),ROUND(T28*100,0)*10000+10000-ROW(),"")</f>
        <v/>
      </c>
    </row>
    <row r="29">
      <c r="A29" s="1" t="n"/>
      <c r="B29" s="17" t="inlineStr">
        <is>
          <t>Home office</t>
        </is>
      </c>
      <c r="C29" s="18" t="inlineStr">
        <is>
          <t>Camera</t>
        </is>
      </c>
      <c r="D29" s="17" t="inlineStr">
        <is>
          <t>Electronics</t>
        </is>
      </c>
      <c r="E29" s="19" t="inlineStr">
        <is>
          <t>Mirrorless with 2 lenses</t>
        </is>
      </c>
      <c r="F29" s="19" t="inlineStr">
        <is>
          <t>SN33113795</t>
        </is>
      </c>
      <c r="G29" s="20" t="n">
        <v>45474</v>
      </c>
      <c r="H29" s="21" t="n">
        <v>1250</v>
      </c>
      <c r="I29" s="21" t="n">
        <v>950</v>
      </c>
      <c r="J29" s="17" t="inlineStr">
        <is>
          <t>File</t>
        </is>
      </c>
      <c r="K29" s="19" t="n"/>
      <c r="L29" s="20" t="n">
        <v>46204</v>
      </c>
      <c r="M29" s="19" t="n"/>
      <c r="N29" s="22">
        <f>IF(C29="","",IF(ISNUMBER(I29),I29,IF(ISNUMBER(H29),H29,"")))</f>
        <v/>
      </c>
      <c r="O29" s="23">
        <f>IF(OR(C29="",NOT(ISNUMBER(G29))),"",(TODAY()-INT(G29))/365.25)</f>
        <v/>
      </c>
      <c r="P29" s="13">
        <f>IF(OR(C29="",NOT(ISNUMBER(L29))),"",IF(L29&lt;TODAY(),"Ended",IF(L29-TODAY()&lt;=N(Settings!$C$10),"Ends soon","Covered")))</f>
        <v/>
      </c>
      <c r="Q29" s="13">
        <f>IF(C29="","",MID(IF(N29="",", value","")&amp;IF(OR(J29="",J29="No"),", receipt","")&amp;IF(K29="",", photo",""),3,100))</f>
        <v/>
      </c>
      <c r="R29" s="13">
        <f>IF(AND(B29="",C29=""),"",IF(C29="","Needs the item",IF(B29="","Needs a room",IF(COUNTIF(Rooms!$B$6:$B$35,B29)=0,"Not on Rooms",IF(AND(H29&lt;&gt;"",NOT(ISNUMBER(H29))),"Paid not a number",IF(AND(I29&lt;&gt;"",NOT(ISNUMBER(I29))),"Worth not a number",IF(AND(G29&lt;&gt;"",NOT(ISNUMBER(G29))),"Bought is not a date",IF(AND(L29&lt;&gt;"",NOT(ISNUMBER(L29))),"Warranty is not a date",""))))))))</f>
        <v/>
      </c>
      <c r="S29" s="1">
        <f>IF(AND(C29&lt;&gt;"",R29=""),1,0)</f>
        <v/>
      </c>
      <c r="T29">
        <f>IF(S29=1,N(N29),0)</f>
        <v/>
      </c>
      <c r="U29">
        <f>IF(AND(S29=1,T29&gt;0),ROUND(T29*100,0)*10000+10000-ROW(),"")</f>
        <v/>
      </c>
      <c r="V29">
        <f>IF(AND(S29=1,OR(Report!$C$5="",B29=Report!$C$5)),MATCH(B29,Rooms!$B$6:$B$35,0)*10000+ROW(),"")</f>
        <v/>
      </c>
      <c r="W29">
        <f>IF(AND(S29=1,OR(J29="",J29="No")),1,0)</f>
        <v/>
      </c>
      <c r="X29">
        <f>IF(AND(S29=1,K29=""),1,0)</f>
        <v/>
      </c>
      <c r="Y29">
        <f>IF(AND(S29=1,Q29&lt;&gt;""),ROUND(T29*100,0)*10000+10000-ROW(),"")</f>
        <v/>
      </c>
    </row>
    <row r="30">
      <c r="A30" s="1" t="n"/>
      <c r="B30" s="17" t="inlineStr">
        <is>
          <t>Home office</t>
        </is>
      </c>
      <c r="C30" s="18" t="inlineStr">
        <is>
          <t>Acoustic guitar</t>
        </is>
      </c>
      <c r="D30" s="17" t="inlineStr">
        <is>
          <t>Music</t>
        </is>
      </c>
      <c r="E30" s="19" t="inlineStr">
        <is>
          <t>Dreadnought</t>
        </is>
      </c>
      <c r="F30" s="19" t="n"/>
      <c r="G30" s="20" t="n">
        <v>44185</v>
      </c>
      <c r="H30" s="21" t="n">
        <v>650</v>
      </c>
      <c r="I30" s="21" t="n">
        <v>600</v>
      </c>
      <c r="J30" s="17" t="inlineStr">
        <is>
          <t>No</t>
        </is>
      </c>
      <c r="K30" s="19" t="inlineStr">
        <is>
          <t>IMG_6253.jpg</t>
        </is>
      </c>
      <c r="L30" s="20" t="n"/>
      <c r="M30" s="19" t="n"/>
      <c r="N30" s="22">
        <f>IF(C30="","",IF(ISNUMBER(I30),I30,IF(ISNUMBER(H30),H30,"")))</f>
        <v/>
      </c>
      <c r="O30" s="23">
        <f>IF(OR(C30="",NOT(ISNUMBER(G30))),"",(TODAY()-INT(G30))/365.25)</f>
        <v/>
      </c>
      <c r="P30" s="13">
        <f>IF(OR(C30="",NOT(ISNUMBER(L30))),"",IF(L30&lt;TODAY(),"Ended",IF(L30-TODAY()&lt;=N(Settings!$C$10),"Ends soon","Covered")))</f>
        <v/>
      </c>
      <c r="Q30" s="13">
        <f>IF(C30="","",MID(IF(N30="",", value","")&amp;IF(OR(J30="",J30="No"),", receipt","")&amp;IF(K30="",", photo",""),3,100))</f>
        <v/>
      </c>
      <c r="R30" s="13">
        <f>IF(AND(B30="",C30=""),"",IF(C30="","Needs the item",IF(B30="","Needs a room",IF(COUNTIF(Rooms!$B$6:$B$35,B30)=0,"Not on Rooms",IF(AND(H30&lt;&gt;"",NOT(ISNUMBER(H30))),"Paid not a number",IF(AND(I30&lt;&gt;"",NOT(ISNUMBER(I30))),"Worth not a number",IF(AND(G30&lt;&gt;"",NOT(ISNUMBER(G30))),"Bought is not a date",IF(AND(L30&lt;&gt;"",NOT(ISNUMBER(L30))),"Warranty is not a date",""))))))))</f>
        <v/>
      </c>
      <c r="S30" s="1">
        <f>IF(AND(C30&lt;&gt;"",R30=""),1,0)</f>
        <v/>
      </c>
      <c r="T30">
        <f>IF(S30=1,N(N30),0)</f>
        <v/>
      </c>
      <c r="U30">
        <f>IF(AND(S30=1,T30&gt;0),ROUND(T30*100,0)*10000+10000-ROW(),"")</f>
        <v/>
      </c>
      <c r="V30">
        <f>IF(AND(S30=1,OR(Report!$C$5="",B30=Report!$C$5)),MATCH(B30,Rooms!$B$6:$B$35,0)*10000+ROW(),"")</f>
        <v/>
      </c>
      <c r="W30">
        <f>IF(AND(S30=1,OR(J30="",J30="No")),1,0)</f>
        <v/>
      </c>
      <c r="X30">
        <f>IF(AND(S30=1,K30=""),1,0)</f>
        <v/>
      </c>
      <c r="Y30">
        <f>IF(AND(S30=1,Q30&lt;&gt;""),ROUND(T30*100,0)*10000+10000-ROW(),"")</f>
        <v/>
      </c>
    </row>
    <row r="31">
      <c r="A31" s="1" t="n"/>
      <c r="B31" s="17" t="inlineStr">
        <is>
          <t>Kids room</t>
        </is>
      </c>
      <c r="C31" s="18" t="inlineStr">
        <is>
          <t>Bunk bed</t>
        </is>
      </c>
      <c r="D31" s="17" t="inlineStr">
        <is>
          <t>Furniture</t>
        </is>
      </c>
      <c r="E31" s="19" t="inlineStr">
        <is>
          <t>Pine, with drawers</t>
        </is>
      </c>
      <c r="F31" s="19" t="n"/>
      <c r="G31" s="20" t="n">
        <v>45522</v>
      </c>
      <c r="H31" s="21" t="n">
        <v>690</v>
      </c>
      <c r="I31" s="21" t="n">
        <v>500</v>
      </c>
      <c r="J31" s="17" t="inlineStr">
        <is>
          <t>File</t>
        </is>
      </c>
      <c r="K31" s="19" t="inlineStr">
        <is>
          <t>IMG_5126.jpg</t>
        </is>
      </c>
      <c r="L31" s="20" t="n">
        <v>46252</v>
      </c>
      <c r="M31" s="19" t="n"/>
      <c r="N31" s="22">
        <f>IF(C31="","",IF(ISNUMBER(I31),I31,IF(ISNUMBER(H31),H31,"")))</f>
        <v/>
      </c>
      <c r="O31" s="23">
        <f>IF(OR(C31="",NOT(ISNUMBER(G31))),"",(TODAY()-INT(G31))/365.25)</f>
        <v/>
      </c>
      <c r="P31" s="13">
        <f>IF(OR(C31="",NOT(ISNUMBER(L31))),"",IF(L31&lt;TODAY(),"Ended",IF(L31-TODAY()&lt;=N(Settings!$C$10),"Ends soon","Covered")))</f>
        <v/>
      </c>
      <c r="Q31" s="13">
        <f>IF(C31="","",MID(IF(N31="",", value","")&amp;IF(OR(J31="",J31="No"),", receipt","")&amp;IF(K31="",", photo",""),3,100))</f>
        <v/>
      </c>
      <c r="R31" s="13">
        <f>IF(AND(B31="",C31=""),"",IF(C31="","Needs the item",IF(B31="","Needs a room",IF(COUNTIF(Rooms!$B$6:$B$35,B31)=0,"Not on Rooms",IF(AND(H31&lt;&gt;"",NOT(ISNUMBER(H31))),"Paid not a number",IF(AND(I31&lt;&gt;"",NOT(ISNUMBER(I31))),"Worth not a number",IF(AND(G31&lt;&gt;"",NOT(ISNUMBER(G31))),"Bought is not a date",IF(AND(L31&lt;&gt;"",NOT(ISNUMBER(L31))),"Warranty is not a date",""))))))))</f>
        <v/>
      </c>
      <c r="S31" s="1">
        <f>IF(AND(C31&lt;&gt;"",R31=""),1,0)</f>
        <v/>
      </c>
      <c r="T31">
        <f>IF(S31=1,N(N31),0)</f>
        <v/>
      </c>
      <c r="U31">
        <f>IF(AND(S31=1,T31&gt;0),ROUND(T31*100,0)*10000+10000-ROW(),"")</f>
        <v/>
      </c>
      <c r="V31">
        <f>IF(AND(S31=1,OR(Report!$C$5="",B31=Report!$C$5)),MATCH(B31,Rooms!$B$6:$B$35,0)*10000+ROW(),"")</f>
        <v/>
      </c>
      <c r="W31">
        <f>IF(AND(S31=1,OR(J31="",J31="No")),1,0)</f>
        <v/>
      </c>
      <c r="X31">
        <f>IF(AND(S31=1,K31=""),1,0)</f>
        <v/>
      </c>
      <c r="Y31">
        <f>IF(AND(S31=1,Q31&lt;&gt;""),ROUND(T31*100,0)*10000+10000-ROW(),"")</f>
        <v/>
      </c>
    </row>
    <row r="32">
      <c r="A32" s="1" t="n"/>
      <c r="B32" s="17" t="inlineStr">
        <is>
          <t>Kids room</t>
        </is>
      </c>
      <c r="C32" s="18" t="inlineStr">
        <is>
          <t>Tablet</t>
        </is>
      </c>
      <c r="D32" s="17" t="inlineStr">
        <is>
          <t>Electronics</t>
        </is>
      </c>
      <c r="E32" s="19" t="inlineStr">
        <is>
          <t>10 inch, 64 GB</t>
        </is>
      </c>
      <c r="F32" s="19" t="inlineStr">
        <is>
          <t>SN57853790</t>
        </is>
      </c>
      <c r="G32" s="20" t="n">
        <v>46016</v>
      </c>
      <c r="H32" s="21" t="n">
        <v>349</v>
      </c>
      <c r="I32" s="21" t="n">
        <v>280</v>
      </c>
      <c r="J32" s="17" t="inlineStr">
        <is>
          <t>File</t>
        </is>
      </c>
      <c r="K32" s="19" t="inlineStr">
        <is>
          <t>IMG_6243.jpg</t>
        </is>
      </c>
      <c r="L32" s="20" t="n">
        <v>46381</v>
      </c>
      <c r="M32" s="19" t="n"/>
      <c r="N32" s="22">
        <f>IF(C32="","",IF(ISNUMBER(I32),I32,IF(ISNUMBER(H32),H32,"")))</f>
        <v/>
      </c>
      <c r="O32" s="23">
        <f>IF(OR(C32="",NOT(ISNUMBER(G32))),"",(TODAY()-INT(G32))/365.25)</f>
        <v/>
      </c>
      <c r="P32" s="13">
        <f>IF(OR(C32="",NOT(ISNUMBER(L32))),"",IF(L32&lt;TODAY(),"Ended",IF(L32-TODAY()&lt;=N(Settings!$C$10),"Ends soon","Covered")))</f>
        <v/>
      </c>
      <c r="Q32" s="13">
        <f>IF(C32="","",MID(IF(N32="",", value","")&amp;IF(OR(J32="",J32="No"),", receipt","")&amp;IF(K32="",", photo",""),3,100))</f>
        <v/>
      </c>
      <c r="R32" s="13">
        <f>IF(AND(B32="",C32=""),"",IF(C32="","Needs the item",IF(B32="","Needs a room",IF(COUNTIF(Rooms!$B$6:$B$35,B32)=0,"Not on Rooms",IF(AND(H32&lt;&gt;"",NOT(ISNUMBER(H32))),"Paid not a number",IF(AND(I32&lt;&gt;"",NOT(ISNUMBER(I32))),"Worth not a number",IF(AND(G32&lt;&gt;"",NOT(ISNUMBER(G32))),"Bought is not a date",IF(AND(L32&lt;&gt;"",NOT(ISNUMBER(L32))),"Warranty is not a date",""))))))))</f>
        <v/>
      </c>
      <c r="S32" s="1">
        <f>IF(AND(C32&lt;&gt;"",R32=""),1,0)</f>
        <v/>
      </c>
      <c r="T32">
        <f>IF(S32=1,N(N32),0)</f>
        <v/>
      </c>
      <c r="U32">
        <f>IF(AND(S32=1,T32&gt;0),ROUND(T32*100,0)*10000+10000-ROW(),"")</f>
        <v/>
      </c>
      <c r="V32">
        <f>IF(AND(S32=1,OR(Report!$C$5="",B32=Report!$C$5)),MATCH(B32,Rooms!$B$6:$B$35,0)*10000+ROW(),"")</f>
        <v/>
      </c>
      <c r="W32">
        <f>IF(AND(S32=1,OR(J32="",J32="No")),1,0)</f>
        <v/>
      </c>
      <c r="X32">
        <f>IF(AND(S32=1,K32=""),1,0)</f>
        <v/>
      </c>
      <c r="Y32">
        <f>IF(AND(S32=1,Q32&lt;&gt;""),ROUND(T32*100,0)*10000+10000-ROW(),"")</f>
        <v/>
      </c>
    </row>
    <row r="33">
      <c r="A33" s="1" t="n"/>
      <c r="B33" s="17" t="inlineStr">
        <is>
          <t>Kids room</t>
        </is>
      </c>
      <c r="C33" s="18" t="inlineStr">
        <is>
          <t>Toys and games</t>
        </is>
      </c>
      <c r="D33" s="17" t="inlineStr">
        <is>
          <t>Toys</t>
        </is>
      </c>
      <c r="E33" s="19" t="inlineStr">
        <is>
          <t>Lego, board games</t>
        </is>
      </c>
      <c r="F33" s="19" t="n"/>
      <c r="G33" s="20" t="n"/>
      <c r="H33" s="21" t="n"/>
      <c r="I33" s="21" t="n">
        <v>800</v>
      </c>
      <c r="J33" s="17" t="inlineStr">
        <is>
          <t>No</t>
        </is>
      </c>
      <c r="K33" s="19" t="inlineStr">
        <is>
          <t>IMG_2536.jpg</t>
        </is>
      </c>
      <c r="L33" s="20" t="n"/>
      <c r="M33" s="19" t="n"/>
      <c r="N33" s="22">
        <f>IF(C33="","",IF(ISNUMBER(I33),I33,IF(ISNUMBER(H33),H33,"")))</f>
        <v/>
      </c>
      <c r="O33" s="23">
        <f>IF(OR(C33="",NOT(ISNUMBER(G33))),"",(TODAY()-INT(G33))/365.25)</f>
        <v/>
      </c>
      <c r="P33" s="13">
        <f>IF(OR(C33="",NOT(ISNUMBER(L33))),"",IF(L33&lt;TODAY(),"Ended",IF(L33-TODAY()&lt;=N(Settings!$C$10),"Ends soon","Covered")))</f>
        <v/>
      </c>
      <c r="Q33" s="13">
        <f>IF(C33="","",MID(IF(N33="",", value","")&amp;IF(OR(J33="",J33="No"),", receipt","")&amp;IF(K33="",", photo",""),3,100))</f>
        <v/>
      </c>
      <c r="R33" s="13">
        <f>IF(AND(B33="",C33=""),"",IF(C33="","Needs the item",IF(B33="","Needs a room",IF(COUNTIF(Rooms!$B$6:$B$35,B33)=0,"Not on Rooms",IF(AND(H33&lt;&gt;"",NOT(ISNUMBER(H33))),"Paid not a number",IF(AND(I33&lt;&gt;"",NOT(ISNUMBER(I33))),"Worth not a number",IF(AND(G33&lt;&gt;"",NOT(ISNUMBER(G33))),"Bought is not a date",IF(AND(L33&lt;&gt;"",NOT(ISNUMBER(L33))),"Warranty is not a date",""))))))))</f>
        <v/>
      </c>
      <c r="S33" s="1">
        <f>IF(AND(C33&lt;&gt;"",R33=""),1,0)</f>
        <v/>
      </c>
      <c r="T33">
        <f>IF(S33=1,N(N33),0)</f>
        <v/>
      </c>
      <c r="U33">
        <f>IF(AND(S33=1,T33&gt;0),ROUND(T33*100,0)*10000+10000-ROW(),"")</f>
        <v/>
      </c>
      <c r="V33">
        <f>IF(AND(S33=1,OR(Report!$C$5="",B33=Report!$C$5)),MATCH(B33,Rooms!$B$6:$B$35,0)*10000+ROW(),"")</f>
        <v/>
      </c>
      <c r="W33">
        <f>IF(AND(S33=1,OR(J33="",J33="No")),1,0)</f>
        <v/>
      </c>
      <c r="X33">
        <f>IF(AND(S33=1,K33=""),1,0)</f>
        <v/>
      </c>
      <c r="Y33">
        <f>IF(AND(S33=1,Q33&lt;&gt;""),ROUND(T33*100,0)*10000+10000-ROW(),"")</f>
        <v/>
      </c>
    </row>
    <row r="34">
      <c r="A34" s="1" t="n"/>
      <c r="B34" s="17" t="inlineStr">
        <is>
          <t>Kids room</t>
        </is>
      </c>
      <c r="C34" s="18" t="inlineStr">
        <is>
          <t>Keyboard piano</t>
        </is>
      </c>
      <c r="D34" s="17" t="inlineStr">
        <is>
          <t>Music</t>
        </is>
      </c>
      <c r="E34" s="19" t="inlineStr">
        <is>
          <t>61 keys</t>
        </is>
      </c>
      <c r="F34" s="19" t="n"/>
      <c r="G34" s="20" t="n">
        <v>46016</v>
      </c>
      <c r="H34" s="21" t="n">
        <v>229</v>
      </c>
      <c r="I34" s="21" t="n">
        <v>180</v>
      </c>
      <c r="J34" s="17" t="inlineStr">
        <is>
          <t>File</t>
        </is>
      </c>
      <c r="K34" s="19" t="n"/>
      <c r="L34" s="20" t="n">
        <v>46381</v>
      </c>
      <c r="M34" s="19" t="n"/>
      <c r="N34" s="22">
        <f>IF(C34="","",IF(ISNUMBER(I34),I34,IF(ISNUMBER(H34),H34,"")))</f>
        <v/>
      </c>
      <c r="O34" s="23">
        <f>IF(OR(C34="",NOT(ISNUMBER(G34))),"",(TODAY()-INT(G34))/365.25)</f>
        <v/>
      </c>
      <c r="P34" s="13">
        <f>IF(OR(C34="",NOT(ISNUMBER(L34))),"",IF(L34&lt;TODAY(),"Ended",IF(L34-TODAY()&lt;=N(Settings!$C$10),"Ends soon","Covered")))</f>
        <v/>
      </c>
      <c r="Q34" s="13">
        <f>IF(C34="","",MID(IF(N34="",", value","")&amp;IF(OR(J34="",J34="No"),", receipt","")&amp;IF(K34="",", photo",""),3,100))</f>
        <v/>
      </c>
      <c r="R34" s="13">
        <f>IF(AND(B34="",C34=""),"",IF(C34="","Needs the item",IF(B34="","Needs a room",IF(COUNTIF(Rooms!$B$6:$B$35,B34)=0,"Not on Rooms",IF(AND(H34&lt;&gt;"",NOT(ISNUMBER(H34))),"Paid not a number",IF(AND(I34&lt;&gt;"",NOT(ISNUMBER(I34))),"Worth not a number",IF(AND(G34&lt;&gt;"",NOT(ISNUMBER(G34))),"Bought is not a date",IF(AND(L34&lt;&gt;"",NOT(ISNUMBER(L34))),"Warranty is not a date",""))))))))</f>
        <v/>
      </c>
      <c r="S34" s="1">
        <f>IF(AND(C34&lt;&gt;"",R34=""),1,0)</f>
        <v/>
      </c>
      <c r="T34">
        <f>IF(S34=1,N(N34),0)</f>
        <v/>
      </c>
      <c r="U34">
        <f>IF(AND(S34=1,T34&gt;0),ROUND(T34*100,0)*10000+10000-ROW(),"")</f>
        <v/>
      </c>
      <c r="V34">
        <f>IF(AND(S34=1,OR(Report!$C$5="",B34=Report!$C$5)),MATCH(B34,Rooms!$B$6:$B$35,0)*10000+ROW(),"")</f>
        <v/>
      </c>
      <c r="W34">
        <f>IF(AND(S34=1,OR(J34="",J34="No")),1,0)</f>
        <v/>
      </c>
      <c r="X34">
        <f>IF(AND(S34=1,K34=""),1,0)</f>
        <v/>
      </c>
      <c r="Y34">
        <f>IF(AND(S34=1,Q34&lt;&gt;""),ROUND(T34*100,0)*10000+10000-ROW(),"")</f>
        <v/>
      </c>
    </row>
    <row r="35">
      <c r="A35" s="1" t="n"/>
      <c r="B35" s="17" t="inlineStr">
        <is>
          <t>Bathroom</t>
        </is>
      </c>
      <c r="C35" s="18" t="inlineStr">
        <is>
          <t>Hair dryer and straightener</t>
        </is>
      </c>
      <c r="D35" s="17" t="inlineStr">
        <is>
          <t>Appliances</t>
        </is>
      </c>
      <c r="E35" s="19" t="inlineStr">
        <is>
          <t>Two items</t>
        </is>
      </c>
      <c r="F35" s="19" t="inlineStr">
        <is>
          <t>SN65216647</t>
        </is>
      </c>
      <c r="G35" s="20" t="n">
        <v>45782</v>
      </c>
      <c r="H35" s="21" t="n">
        <v>180</v>
      </c>
      <c r="I35" s="21" t="n">
        <v>140</v>
      </c>
      <c r="J35" s="17" t="inlineStr">
        <is>
          <t>No</t>
        </is>
      </c>
      <c r="K35" s="19" t="n"/>
      <c r="L35" s="20" t="n"/>
      <c r="M35" s="19" t="n"/>
      <c r="N35" s="22">
        <f>IF(C35="","",IF(ISNUMBER(I35),I35,IF(ISNUMBER(H35),H35,"")))</f>
        <v/>
      </c>
      <c r="O35" s="23">
        <f>IF(OR(C35="",NOT(ISNUMBER(G35))),"",(TODAY()-INT(G35))/365.25)</f>
        <v/>
      </c>
      <c r="P35" s="13">
        <f>IF(OR(C35="",NOT(ISNUMBER(L35))),"",IF(L35&lt;TODAY(),"Ended",IF(L35-TODAY()&lt;=N(Settings!$C$10),"Ends soon","Covered")))</f>
        <v/>
      </c>
      <c r="Q35" s="13">
        <f>IF(C35="","",MID(IF(N35="",", value","")&amp;IF(OR(J35="",J35="No"),", receipt","")&amp;IF(K35="",", photo",""),3,100))</f>
        <v/>
      </c>
      <c r="R35" s="13">
        <f>IF(AND(B35="",C35=""),"",IF(C35="","Needs the item",IF(B35="","Needs a room",IF(COUNTIF(Rooms!$B$6:$B$35,B35)=0,"Not on Rooms",IF(AND(H35&lt;&gt;"",NOT(ISNUMBER(H35))),"Paid not a number",IF(AND(I35&lt;&gt;"",NOT(ISNUMBER(I35))),"Worth not a number",IF(AND(G35&lt;&gt;"",NOT(ISNUMBER(G35))),"Bought is not a date",IF(AND(L35&lt;&gt;"",NOT(ISNUMBER(L35))),"Warranty is not a date",""))))))))</f>
        <v/>
      </c>
      <c r="S35" s="1">
        <f>IF(AND(C35&lt;&gt;"",R35=""),1,0)</f>
        <v/>
      </c>
      <c r="T35">
        <f>IF(S35=1,N(N35),0)</f>
        <v/>
      </c>
      <c r="U35">
        <f>IF(AND(S35=1,T35&gt;0),ROUND(T35*100,0)*10000+10000-ROW(),"")</f>
        <v/>
      </c>
      <c r="V35">
        <f>IF(AND(S35=1,OR(Report!$C$5="",B35=Report!$C$5)),MATCH(B35,Rooms!$B$6:$B$35,0)*10000+ROW(),"")</f>
        <v/>
      </c>
      <c r="W35">
        <f>IF(AND(S35=1,OR(J35="",J35="No")),1,0)</f>
        <v/>
      </c>
      <c r="X35">
        <f>IF(AND(S35=1,K35=""),1,0)</f>
        <v/>
      </c>
      <c r="Y35">
        <f>IF(AND(S35=1,Q35&lt;&gt;""),ROUND(T35*100,0)*10000+10000-ROW(),"")</f>
        <v/>
      </c>
    </row>
    <row r="36">
      <c r="A36" s="1" t="n"/>
      <c r="B36" s="17" t="inlineStr">
        <is>
          <t>Bathroom</t>
        </is>
      </c>
      <c r="C36" s="18" t="inlineStr">
        <is>
          <t>Electric toothbrushes</t>
        </is>
      </c>
      <c r="D36" s="17" t="inlineStr">
        <is>
          <t>Appliances</t>
        </is>
      </c>
      <c r="E36" s="19" t="inlineStr">
        <is>
          <t>Two, with chargers</t>
        </is>
      </c>
      <c r="F36" s="19" t="inlineStr">
        <is>
          <t>SN22056547</t>
        </is>
      </c>
      <c r="G36" s="20" t="n">
        <v>46084</v>
      </c>
      <c r="H36" s="21" t="n">
        <v>160</v>
      </c>
      <c r="I36" s="21" t="n">
        <v>150</v>
      </c>
      <c r="J36" s="17" t="inlineStr">
        <is>
          <t>File</t>
        </is>
      </c>
      <c r="K36" s="19" t="inlineStr">
        <is>
          <t>IMG_1347.jpg</t>
        </is>
      </c>
      <c r="L36" s="20" t="n">
        <v>46815</v>
      </c>
      <c r="M36" s="19" t="n"/>
      <c r="N36" s="22">
        <f>IF(C36="","",IF(ISNUMBER(I36),I36,IF(ISNUMBER(H36),H36,"")))</f>
        <v/>
      </c>
      <c r="O36" s="23">
        <f>IF(OR(C36="",NOT(ISNUMBER(G36))),"",(TODAY()-INT(G36))/365.25)</f>
        <v/>
      </c>
      <c r="P36" s="13">
        <f>IF(OR(C36="",NOT(ISNUMBER(L36))),"",IF(L36&lt;TODAY(),"Ended",IF(L36-TODAY()&lt;=N(Settings!$C$10),"Ends soon","Covered")))</f>
        <v/>
      </c>
      <c r="Q36" s="13">
        <f>IF(C36="","",MID(IF(N36="",", value","")&amp;IF(OR(J36="",J36="No"),", receipt","")&amp;IF(K36="",", photo",""),3,100))</f>
        <v/>
      </c>
      <c r="R36" s="13">
        <f>IF(AND(B36="",C36=""),"",IF(C36="","Needs the item",IF(B36="","Needs a room",IF(COUNTIF(Rooms!$B$6:$B$35,B36)=0,"Not on Rooms",IF(AND(H36&lt;&gt;"",NOT(ISNUMBER(H36))),"Paid not a number",IF(AND(I36&lt;&gt;"",NOT(ISNUMBER(I36))),"Worth not a number",IF(AND(G36&lt;&gt;"",NOT(ISNUMBER(G36))),"Bought is not a date",IF(AND(L36&lt;&gt;"",NOT(ISNUMBER(L36))),"Warranty is not a date",""))))))))</f>
        <v/>
      </c>
      <c r="S36" s="1">
        <f>IF(AND(C36&lt;&gt;"",R36=""),1,0)</f>
        <v/>
      </c>
      <c r="T36">
        <f>IF(S36=1,N(N36),0)</f>
        <v/>
      </c>
      <c r="U36">
        <f>IF(AND(S36=1,T36&gt;0),ROUND(T36*100,0)*10000+10000-ROW(),"")</f>
        <v/>
      </c>
      <c r="V36">
        <f>IF(AND(S36=1,OR(Report!$C$5="",B36=Report!$C$5)),MATCH(B36,Rooms!$B$6:$B$35,0)*10000+ROW(),"")</f>
        <v/>
      </c>
      <c r="W36">
        <f>IF(AND(S36=1,OR(J36="",J36="No")),1,0)</f>
        <v/>
      </c>
      <c r="X36">
        <f>IF(AND(S36=1,K36=""),1,0)</f>
        <v/>
      </c>
      <c r="Y36">
        <f>IF(AND(S36=1,Q36&lt;&gt;""),ROUND(T36*100,0)*10000+10000-ROW(),"")</f>
        <v/>
      </c>
    </row>
    <row r="37">
      <c r="A37" s="1" t="n"/>
      <c r="B37" s="17" t="inlineStr">
        <is>
          <t>Hallway</t>
        </is>
      </c>
      <c r="C37" s="18" t="inlineStr">
        <is>
          <t>Mirror</t>
        </is>
      </c>
      <c r="D37" s="17" t="inlineStr">
        <is>
          <t>Art and decor</t>
        </is>
      </c>
      <c r="E37" s="19" t="inlineStr">
        <is>
          <t>Round, brass frame</t>
        </is>
      </c>
      <c r="F37" s="19" t="n"/>
      <c r="G37" s="20" t="n">
        <v>45209</v>
      </c>
      <c r="H37" s="21" t="n">
        <v>220</v>
      </c>
      <c r="I37" s="21" t="n">
        <v>180</v>
      </c>
      <c r="J37" s="17" t="inlineStr">
        <is>
          <t>No</t>
        </is>
      </c>
      <c r="K37" s="19" t="inlineStr">
        <is>
          <t>IMG_6382.jpg</t>
        </is>
      </c>
      <c r="L37" s="20" t="n"/>
      <c r="M37" s="19" t="n"/>
      <c r="N37" s="22">
        <f>IF(C37="","",IF(ISNUMBER(I37),I37,IF(ISNUMBER(H37),H37,"")))</f>
        <v/>
      </c>
      <c r="O37" s="23">
        <f>IF(OR(C37="",NOT(ISNUMBER(G37))),"",(TODAY()-INT(G37))/365.25)</f>
        <v/>
      </c>
      <c r="P37" s="13">
        <f>IF(OR(C37="",NOT(ISNUMBER(L37))),"",IF(L37&lt;TODAY(),"Ended",IF(L37-TODAY()&lt;=N(Settings!$C$10),"Ends soon","Covered")))</f>
        <v/>
      </c>
      <c r="Q37" s="13">
        <f>IF(C37="","",MID(IF(N37="",", value","")&amp;IF(OR(J37="",J37="No"),", receipt","")&amp;IF(K37="",", photo",""),3,100))</f>
        <v/>
      </c>
      <c r="R37" s="13">
        <f>IF(AND(B37="",C37=""),"",IF(C37="","Needs the item",IF(B37="","Needs a room",IF(COUNTIF(Rooms!$B$6:$B$35,B37)=0,"Not on Rooms",IF(AND(H37&lt;&gt;"",NOT(ISNUMBER(H37))),"Paid not a number",IF(AND(I37&lt;&gt;"",NOT(ISNUMBER(I37))),"Worth not a number",IF(AND(G37&lt;&gt;"",NOT(ISNUMBER(G37))),"Bought is not a date",IF(AND(L37&lt;&gt;"",NOT(ISNUMBER(L37))),"Warranty is not a date",""))))))))</f>
        <v/>
      </c>
      <c r="S37" s="1">
        <f>IF(AND(C37&lt;&gt;"",R37=""),1,0)</f>
        <v/>
      </c>
      <c r="T37">
        <f>IF(S37=1,N(N37),0)</f>
        <v/>
      </c>
      <c r="U37">
        <f>IF(AND(S37=1,T37&gt;0),ROUND(T37*100,0)*10000+10000-ROW(),"")</f>
        <v/>
      </c>
      <c r="V37">
        <f>IF(AND(S37=1,OR(Report!$C$5="",B37=Report!$C$5)),MATCH(B37,Rooms!$B$6:$B$35,0)*10000+ROW(),"")</f>
        <v/>
      </c>
      <c r="W37">
        <f>IF(AND(S37=1,OR(J37="",J37="No")),1,0)</f>
        <v/>
      </c>
      <c r="X37">
        <f>IF(AND(S37=1,K37=""),1,0)</f>
        <v/>
      </c>
      <c r="Y37">
        <f>IF(AND(S37=1,Q37&lt;&gt;""),ROUND(T37*100,0)*10000+10000-ROW(),"")</f>
        <v/>
      </c>
    </row>
    <row r="38">
      <c r="A38" s="1" t="n"/>
      <c r="B38" s="17" t="inlineStr">
        <is>
          <t>Hallway</t>
        </is>
      </c>
      <c r="C38" s="18" t="inlineStr">
        <is>
          <t>Coats and boots</t>
        </is>
      </c>
      <c r="D38" s="17" t="inlineStr">
        <is>
          <t>Clothing</t>
        </is>
      </c>
      <c r="E38" s="19" t="inlineStr">
        <is>
          <t>Family</t>
        </is>
      </c>
      <c r="F38" s="19" t="n"/>
      <c r="G38" s="20" t="n"/>
      <c r="H38" s="21" t="n"/>
      <c r="I38" s="21" t="n">
        <v>900</v>
      </c>
      <c r="J38" s="17" t="inlineStr">
        <is>
          <t>No</t>
        </is>
      </c>
      <c r="K38" s="19" t="n"/>
      <c r="L38" s="20" t="n"/>
      <c r="M38" s="19" t="n"/>
      <c r="N38" s="22">
        <f>IF(C38="","",IF(ISNUMBER(I38),I38,IF(ISNUMBER(H38),H38,"")))</f>
        <v/>
      </c>
      <c r="O38" s="23">
        <f>IF(OR(C38="",NOT(ISNUMBER(G38))),"",(TODAY()-INT(G38))/365.25)</f>
        <v/>
      </c>
      <c r="P38" s="13">
        <f>IF(OR(C38="",NOT(ISNUMBER(L38))),"",IF(L38&lt;TODAY(),"Ended",IF(L38-TODAY()&lt;=N(Settings!$C$10),"Ends soon","Covered")))</f>
        <v/>
      </c>
      <c r="Q38" s="13">
        <f>IF(C38="","",MID(IF(N38="",", value","")&amp;IF(OR(J38="",J38="No"),", receipt","")&amp;IF(K38="",", photo",""),3,100))</f>
        <v/>
      </c>
      <c r="R38" s="13">
        <f>IF(AND(B38="",C38=""),"",IF(C38="","Needs the item",IF(B38="","Needs a room",IF(COUNTIF(Rooms!$B$6:$B$35,B38)=0,"Not on Rooms",IF(AND(H38&lt;&gt;"",NOT(ISNUMBER(H38))),"Paid not a number",IF(AND(I38&lt;&gt;"",NOT(ISNUMBER(I38))),"Worth not a number",IF(AND(G38&lt;&gt;"",NOT(ISNUMBER(G38))),"Bought is not a date",IF(AND(L38&lt;&gt;"",NOT(ISNUMBER(L38))),"Warranty is not a date",""))))))))</f>
        <v/>
      </c>
      <c r="S38" s="1">
        <f>IF(AND(C38&lt;&gt;"",R38=""),1,0)</f>
        <v/>
      </c>
      <c r="T38">
        <f>IF(S38=1,N(N38),0)</f>
        <v/>
      </c>
      <c r="U38">
        <f>IF(AND(S38=1,T38&gt;0),ROUND(T38*100,0)*10000+10000-ROW(),"")</f>
        <v/>
      </c>
      <c r="V38">
        <f>IF(AND(S38=1,OR(Report!$C$5="",B38=Report!$C$5)),MATCH(B38,Rooms!$B$6:$B$35,0)*10000+ROW(),"")</f>
        <v/>
      </c>
      <c r="W38">
        <f>IF(AND(S38=1,OR(J38="",J38="No")),1,0)</f>
        <v/>
      </c>
      <c r="X38">
        <f>IF(AND(S38=1,K38=""),1,0)</f>
        <v/>
      </c>
      <c r="Y38">
        <f>IF(AND(S38=1,Q38&lt;&gt;""),ROUND(T38*100,0)*10000+10000-ROW(),"")</f>
        <v/>
      </c>
    </row>
    <row r="39">
      <c r="A39" s="1" t="n"/>
      <c r="B39" s="17" t="inlineStr">
        <is>
          <t>Garage</t>
        </is>
      </c>
      <c r="C39" s="18" t="inlineStr">
        <is>
          <t>Road bike</t>
        </is>
      </c>
      <c r="D39" s="17" t="inlineStr">
        <is>
          <t>Sports</t>
        </is>
      </c>
      <c r="E39" s="19" t="inlineStr">
        <is>
          <t>Carbon, size 56</t>
        </is>
      </c>
      <c r="F39" s="19" t="inlineStr">
        <is>
          <t>SN52545585</t>
        </is>
      </c>
      <c r="G39" s="20" t="n">
        <v>45407</v>
      </c>
      <c r="H39" s="21" t="n">
        <v>2100</v>
      </c>
      <c r="I39" s="21" t="n">
        <v>1700</v>
      </c>
      <c r="J39" s="17" t="inlineStr">
        <is>
          <t>Paper</t>
        </is>
      </c>
      <c r="K39" s="19" t="inlineStr">
        <is>
          <t>IMG_7336.jpg</t>
        </is>
      </c>
      <c r="L39" s="20" t="n">
        <v>46137</v>
      </c>
      <c r="M39" s="19" t="n"/>
      <c r="N39" s="22">
        <f>IF(C39="","",IF(ISNUMBER(I39),I39,IF(ISNUMBER(H39),H39,"")))</f>
        <v/>
      </c>
      <c r="O39" s="23">
        <f>IF(OR(C39="",NOT(ISNUMBER(G39))),"",(TODAY()-INT(G39))/365.25)</f>
        <v/>
      </c>
      <c r="P39" s="13">
        <f>IF(OR(C39="",NOT(ISNUMBER(L39))),"",IF(L39&lt;TODAY(),"Ended",IF(L39-TODAY()&lt;=N(Settings!$C$10),"Ends soon","Covered")))</f>
        <v/>
      </c>
      <c r="Q39" s="13">
        <f>IF(C39="","",MID(IF(N39="",", value","")&amp;IF(OR(J39="",J39="No"),", receipt","")&amp;IF(K39="",", photo",""),3,100))</f>
        <v/>
      </c>
      <c r="R39" s="13">
        <f>IF(AND(B39="",C39=""),"",IF(C39="","Needs the item",IF(B39="","Needs a room",IF(COUNTIF(Rooms!$B$6:$B$35,B39)=0,"Not on Rooms",IF(AND(H39&lt;&gt;"",NOT(ISNUMBER(H39))),"Paid not a number",IF(AND(I39&lt;&gt;"",NOT(ISNUMBER(I39))),"Worth not a number",IF(AND(G39&lt;&gt;"",NOT(ISNUMBER(G39))),"Bought is not a date",IF(AND(L39&lt;&gt;"",NOT(ISNUMBER(L39))),"Warranty is not a date",""))))))))</f>
        <v/>
      </c>
      <c r="S39" s="1">
        <f>IF(AND(C39&lt;&gt;"",R39=""),1,0)</f>
        <v/>
      </c>
      <c r="T39">
        <f>IF(S39=1,N(N39),0)</f>
        <v/>
      </c>
      <c r="U39">
        <f>IF(AND(S39=1,T39&gt;0),ROUND(T39*100,0)*10000+10000-ROW(),"")</f>
        <v/>
      </c>
      <c r="V39">
        <f>IF(AND(S39=1,OR(Report!$C$5="",B39=Report!$C$5)),MATCH(B39,Rooms!$B$6:$B$35,0)*10000+ROW(),"")</f>
        <v/>
      </c>
      <c r="W39">
        <f>IF(AND(S39=1,OR(J39="",J39="No")),1,0)</f>
        <v/>
      </c>
      <c r="X39">
        <f>IF(AND(S39=1,K39=""),1,0)</f>
        <v/>
      </c>
      <c r="Y39">
        <f>IF(AND(S39=1,Q39&lt;&gt;""),ROUND(T39*100,0)*10000+10000-ROW(),"")</f>
        <v/>
      </c>
    </row>
    <row r="40">
      <c r="A40" s="1" t="n"/>
      <c r="B40" s="17" t="inlineStr">
        <is>
          <t>Garage</t>
        </is>
      </c>
      <c r="C40" s="18" t="inlineStr">
        <is>
          <t>Kids bikes</t>
        </is>
      </c>
      <c r="D40" s="17" t="inlineStr">
        <is>
          <t>Sports</t>
        </is>
      </c>
      <c r="E40" s="19" t="inlineStr">
        <is>
          <t>Two bikes</t>
        </is>
      </c>
      <c r="F40" s="19" t="inlineStr">
        <is>
          <t>SN81221428</t>
        </is>
      </c>
      <c r="G40" s="20" t="n">
        <v>45809</v>
      </c>
      <c r="H40" s="21" t="n">
        <v>520</v>
      </c>
      <c r="I40" s="21" t="n">
        <v>400</v>
      </c>
      <c r="J40" s="17" t="inlineStr">
        <is>
          <t>File</t>
        </is>
      </c>
      <c r="K40" s="19" t="inlineStr">
        <is>
          <t>IMG_9796.jpg</t>
        </is>
      </c>
      <c r="L40" s="20" t="n">
        <v>46174</v>
      </c>
      <c r="M40" s="19" t="n"/>
      <c r="N40" s="22">
        <f>IF(C40="","",IF(ISNUMBER(I40),I40,IF(ISNUMBER(H40),H40,"")))</f>
        <v/>
      </c>
      <c r="O40" s="23">
        <f>IF(OR(C40="",NOT(ISNUMBER(G40))),"",(TODAY()-INT(G40))/365.25)</f>
        <v/>
      </c>
      <c r="P40" s="13">
        <f>IF(OR(C40="",NOT(ISNUMBER(L40))),"",IF(L40&lt;TODAY(),"Ended",IF(L40-TODAY()&lt;=N(Settings!$C$10),"Ends soon","Covered")))</f>
        <v/>
      </c>
      <c r="Q40" s="13">
        <f>IF(C40="","",MID(IF(N40="",", value","")&amp;IF(OR(J40="",J40="No"),", receipt","")&amp;IF(K40="",", photo",""),3,100))</f>
        <v/>
      </c>
      <c r="R40" s="13">
        <f>IF(AND(B40="",C40=""),"",IF(C40="","Needs the item",IF(B40="","Needs a room",IF(COUNTIF(Rooms!$B$6:$B$35,B40)=0,"Not on Rooms",IF(AND(H40&lt;&gt;"",NOT(ISNUMBER(H40))),"Paid not a number",IF(AND(I40&lt;&gt;"",NOT(ISNUMBER(I40))),"Worth not a number",IF(AND(G40&lt;&gt;"",NOT(ISNUMBER(G40))),"Bought is not a date",IF(AND(L40&lt;&gt;"",NOT(ISNUMBER(L40))),"Warranty is not a date",""))))))))</f>
        <v/>
      </c>
      <c r="S40" s="1">
        <f>IF(AND(C40&lt;&gt;"",R40=""),1,0)</f>
        <v/>
      </c>
      <c r="T40">
        <f>IF(S40=1,N(N40),0)</f>
        <v/>
      </c>
      <c r="U40">
        <f>IF(AND(S40=1,T40&gt;0),ROUND(T40*100,0)*10000+10000-ROW(),"")</f>
        <v/>
      </c>
      <c r="V40">
        <f>IF(AND(S40=1,OR(Report!$C$5="",B40=Report!$C$5)),MATCH(B40,Rooms!$B$6:$B$35,0)*10000+ROW(),"")</f>
        <v/>
      </c>
      <c r="W40">
        <f>IF(AND(S40=1,OR(J40="",J40="No")),1,0)</f>
        <v/>
      </c>
      <c r="X40">
        <f>IF(AND(S40=1,K40=""),1,0)</f>
        <v/>
      </c>
      <c r="Y40">
        <f>IF(AND(S40=1,Q40&lt;&gt;""),ROUND(T40*100,0)*10000+10000-ROW(),"")</f>
        <v/>
      </c>
    </row>
    <row r="41">
      <c r="A41" s="1" t="n"/>
      <c r="B41" s="17" t="inlineStr">
        <is>
          <t>Garage</t>
        </is>
      </c>
      <c r="C41" s="18" t="inlineStr">
        <is>
          <t>Cordless drill set</t>
        </is>
      </c>
      <c r="D41" s="17" t="inlineStr">
        <is>
          <t>Tools</t>
        </is>
      </c>
      <c r="E41" s="19" t="inlineStr">
        <is>
          <t>18 V with 2 batteries</t>
        </is>
      </c>
      <c r="F41" s="19" t="inlineStr">
        <is>
          <t>SN94834301</t>
        </is>
      </c>
      <c r="G41" s="20" t="n">
        <v>45698</v>
      </c>
      <c r="H41" s="21" t="n">
        <v>259</v>
      </c>
      <c r="I41" s="21" t="n">
        <v>220</v>
      </c>
      <c r="J41" s="17" t="inlineStr">
        <is>
          <t>File</t>
        </is>
      </c>
      <c r="K41" s="19" t="inlineStr">
        <is>
          <t>IMG_5166.jpg</t>
        </is>
      </c>
      <c r="L41" s="20" t="n">
        <v>46793</v>
      </c>
      <c r="M41" s="19" t="n"/>
      <c r="N41" s="22">
        <f>IF(C41="","",IF(ISNUMBER(I41),I41,IF(ISNUMBER(H41),H41,"")))</f>
        <v/>
      </c>
      <c r="O41" s="23">
        <f>IF(OR(C41="",NOT(ISNUMBER(G41))),"",(TODAY()-INT(G41))/365.25)</f>
        <v/>
      </c>
      <c r="P41" s="13">
        <f>IF(OR(C41="",NOT(ISNUMBER(L41))),"",IF(L41&lt;TODAY(),"Ended",IF(L41-TODAY()&lt;=N(Settings!$C$10),"Ends soon","Covered")))</f>
        <v/>
      </c>
      <c r="Q41" s="13">
        <f>IF(C41="","",MID(IF(N41="",", value","")&amp;IF(OR(J41="",J41="No"),", receipt","")&amp;IF(K41="",", photo",""),3,100))</f>
        <v/>
      </c>
      <c r="R41" s="13">
        <f>IF(AND(B41="",C41=""),"",IF(C41="","Needs the item",IF(B41="","Needs a room",IF(COUNTIF(Rooms!$B$6:$B$35,B41)=0,"Not on Rooms",IF(AND(H41&lt;&gt;"",NOT(ISNUMBER(H41))),"Paid not a number",IF(AND(I41&lt;&gt;"",NOT(ISNUMBER(I41))),"Worth not a number",IF(AND(G41&lt;&gt;"",NOT(ISNUMBER(G41))),"Bought is not a date",IF(AND(L41&lt;&gt;"",NOT(ISNUMBER(L41))),"Warranty is not a date",""))))))))</f>
        <v/>
      </c>
      <c r="S41" s="1">
        <f>IF(AND(C41&lt;&gt;"",R41=""),1,0)</f>
        <v/>
      </c>
      <c r="T41">
        <f>IF(S41=1,N(N41),0)</f>
        <v/>
      </c>
      <c r="U41">
        <f>IF(AND(S41=1,T41&gt;0),ROUND(T41*100,0)*10000+10000-ROW(),"")</f>
        <v/>
      </c>
      <c r="V41">
        <f>IF(AND(S41=1,OR(Report!$C$5="",B41=Report!$C$5)),MATCH(B41,Rooms!$B$6:$B$35,0)*10000+ROW(),"")</f>
        <v/>
      </c>
      <c r="W41">
        <f>IF(AND(S41=1,OR(J41="",J41="No")),1,0)</f>
        <v/>
      </c>
      <c r="X41">
        <f>IF(AND(S41=1,K41=""),1,0)</f>
        <v/>
      </c>
      <c r="Y41">
        <f>IF(AND(S41=1,Q41&lt;&gt;""),ROUND(T41*100,0)*10000+10000-ROW(),"")</f>
        <v/>
      </c>
    </row>
    <row r="42">
      <c r="A42" s="1" t="n"/>
      <c r="B42" s="17" t="inlineStr">
        <is>
          <t>Garage</t>
        </is>
      </c>
      <c r="C42" s="18" t="inlineStr">
        <is>
          <t>Lawn mower</t>
        </is>
      </c>
      <c r="D42" s="17" t="inlineStr">
        <is>
          <t>Tools</t>
        </is>
      </c>
      <c r="E42" s="19" t="inlineStr">
        <is>
          <t>Battery, 40 cm</t>
        </is>
      </c>
      <c r="F42" s="19" t="inlineStr">
        <is>
          <t>SN89612357</t>
        </is>
      </c>
      <c r="G42" s="20" t="n">
        <v>45413</v>
      </c>
      <c r="H42" s="21" t="n">
        <v>399</v>
      </c>
      <c r="I42" s="21" t="n">
        <v>300</v>
      </c>
      <c r="J42" s="17" t="inlineStr">
        <is>
          <t>No</t>
        </is>
      </c>
      <c r="K42" s="19" t="inlineStr">
        <is>
          <t>IMG_1980.jpg</t>
        </is>
      </c>
      <c r="L42" s="20" t="n">
        <v>46143</v>
      </c>
      <c r="M42" s="19" t="n"/>
      <c r="N42" s="22">
        <f>IF(C42="","",IF(ISNUMBER(I42),I42,IF(ISNUMBER(H42),H42,"")))</f>
        <v/>
      </c>
      <c r="O42" s="23">
        <f>IF(OR(C42="",NOT(ISNUMBER(G42))),"",(TODAY()-INT(G42))/365.25)</f>
        <v/>
      </c>
      <c r="P42" s="13">
        <f>IF(OR(C42="",NOT(ISNUMBER(L42))),"",IF(L42&lt;TODAY(),"Ended",IF(L42-TODAY()&lt;=N(Settings!$C$10),"Ends soon","Covered")))</f>
        <v/>
      </c>
      <c r="Q42" s="13">
        <f>IF(C42="","",MID(IF(N42="",", value","")&amp;IF(OR(J42="",J42="No"),", receipt","")&amp;IF(K42="",", photo",""),3,100))</f>
        <v/>
      </c>
      <c r="R42" s="13">
        <f>IF(AND(B42="",C42=""),"",IF(C42="","Needs the item",IF(B42="","Needs a room",IF(COUNTIF(Rooms!$B$6:$B$35,B42)=0,"Not on Rooms",IF(AND(H42&lt;&gt;"",NOT(ISNUMBER(H42))),"Paid not a number",IF(AND(I42&lt;&gt;"",NOT(ISNUMBER(I42))),"Worth not a number",IF(AND(G42&lt;&gt;"",NOT(ISNUMBER(G42))),"Bought is not a date",IF(AND(L42&lt;&gt;"",NOT(ISNUMBER(L42))),"Warranty is not a date",""))))))))</f>
        <v/>
      </c>
      <c r="S42" s="1">
        <f>IF(AND(C42&lt;&gt;"",R42=""),1,0)</f>
        <v/>
      </c>
      <c r="T42">
        <f>IF(S42=1,N(N42),0)</f>
        <v/>
      </c>
      <c r="U42">
        <f>IF(AND(S42=1,T42&gt;0),ROUND(T42*100,0)*10000+10000-ROW(),"")</f>
        <v/>
      </c>
      <c r="V42">
        <f>IF(AND(S42=1,OR(Report!$C$5="",B42=Report!$C$5)),MATCH(B42,Rooms!$B$6:$B$35,0)*10000+ROW(),"")</f>
        <v/>
      </c>
      <c r="W42">
        <f>IF(AND(S42=1,OR(J42="",J42="No")),1,0)</f>
        <v/>
      </c>
      <c r="X42">
        <f>IF(AND(S42=1,K42=""),1,0)</f>
        <v/>
      </c>
      <c r="Y42">
        <f>IF(AND(S42=1,Q42&lt;&gt;""),ROUND(T42*100,0)*10000+10000-ROW(),"")</f>
        <v/>
      </c>
    </row>
    <row r="43">
      <c r="A43" s="1" t="n"/>
      <c r="B43" s="17" t="inlineStr">
        <is>
          <t>Garage</t>
        </is>
      </c>
      <c r="C43" s="18" t="inlineStr">
        <is>
          <t>Camping gear</t>
        </is>
      </c>
      <c r="D43" s="17" t="inlineStr">
        <is>
          <t>Sports</t>
        </is>
      </c>
      <c r="E43" s="19" t="inlineStr">
        <is>
          <t>Tent, sleeping bags</t>
        </is>
      </c>
      <c r="F43" s="19" t="inlineStr">
        <is>
          <t>SN76126423</t>
        </is>
      </c>
      <c r="G43" s="20" t="n">
        <v>45108</v>
      </c>
      <c r="H43" s="21" t="n">
        <v>740</v>
      </c>
      <c r="I43" s="21" t="n">
        <v>500</v>
      </c>
      <c r="J43" s="17" t="inlineStr">
        <is>
          <t>No</t>
        </is>
      </c>
      <c r="K43" s="19" t="n"/>
      <c r="L43" s="20" t="n"/>
      <c r="M43" s="19" t="n"/>
      <c r="N43" s="22">
        <f>IF(C43="","",IF(ISNUMBER(I43),I43,IF(ISNUMBER(H43),H43,"")))</f>
        <v/>
      </c>
      <c r="O43" s="23">
        <f>IF(OR(C43="",NOT(ISNUMBER(G43))),"",(TODAY()-INT(G43))/365.25)</f>
        <v/>
      </c>
      <c r="P43" s="13">
        <f>IF(OR(C43="",NOT(ISNUMBER(L43))),"",IF(L43&lt;TODAY(),"Ended",IF(L43-TODAY()&lt;=N(Settings!$C$10),"Ends soon","Covered")))</f>
        <v/>
      </c>
      <c r="Q43" s="13">
        <f>IF(C43="","",MID(IF(N43="",", value","")&amp;IF(OR(J43="",J43="No"),", receipt","")&amp;IF(K43="",", photo",""),3,100))</f>
        <v/>
      </c>
      <c r="R43" s="13">
        <f>IF(AND(B43="",C43=""),"",IF(C43="","Needs the item",IF(B43="","Needs a room",IF(COUNTIF(Rooms!$B$6:$B$35,B43)=0,"Not on Rooms",IF(AND(H43&lt;&gt;"",NOT(ISNUMBER(H43))),"Paid not a number",IF(AND(I43&lt;&gt;"",NOT(ISNUMBER(I43))),"Worth not a number",IF(AND(G43&lt;&gt;"",NOT(ISNUMBER(G43))),"Bought is not a date",IF(AND(L43&lt;&gt;"",NOT(ISNUMBER(L43))),"Warranty is not a date",""))))))))</f>
        <v/>
      </c>
      <c r="S43" s="1">
        <f>IF(AND(C43&lt;&gt;"",R43=""),1,0)</f>
        <v/>
      </c>
      <c r="T43">
        <f>IF(S43=1,N(N43),0)</f>
        <v/>
      </c>
      <c r="U43">
        <f>IF(AND(S43=1,T43&gt;0),ROUND(T43*100,0)*10000+10000-ROW(),"")</f>
        <v/>
      </c>
      <c r="V43">
        <f>IF(AND(S43=1,OR(Report!$C$5="",B43=Report!$C$5)),MATCH(B43,Rooms!$B$6:$B$35,0)*10000+ROW(),"")</f>
        <v/>
      </c>
      <c r="W43">
        <f>IF(AND(S43=1,OR(J43="",J43="No")),1,0)</f>
        <v/>
      </c>
      <c r="X43">
        <f>IF(AND(S43=1,K43=""),1,0)</f>
        <v/>
      </c>
      <c r="Y43">
        <f>IF(AND(S43=1,Q43&lt;&gt;""),ROUND(T43*100,0)*10000+10000-ROW(),"")</f>
        <v/>
      </c>
    </row>
    <row r="44">
      <c r="A44" s="1" t="n"/>
      <c r="B44" s="17" t="n"/>
      <c r="C44" s="18" t="n"/>
      <c r="D44" s="17" t="n"/>
      <c r="E44" s="19" t="n"/>
      <c r="F44" s="19" t="n"/>
      <c r="G44" s="20" t="n"/>
      <c r="H44" s="21" t="n"/>
      <c r="I44" s="21" t="n"/>
      <c r="J44" s="17" t="n"/>
      <c r="K44" s="19" t="n"/>
      <c r="L44" s="20" t="n"/>
      <c r="M44" s="19" t="n"/>
      <c r="N44" s="22">
        <f>IF(C44="","",IF(ISNUMBER(I44),I44,IF(ISNUMBER(H44),H44,"")))</f>
        <v/>
      </c>
      <c r="O44" s="23">
        <f>IF(OR(C44="",NOT(ISNUMBER(G44))),"",(TODAY()-INT(G44))/365.25)</f>
        <v/>
      </c>
      <c r="P44" s="13">
        <f>IF(OR(C44="",NOT(ISNUMBER(L44))),"",IF(L44&lt;TODAY(),"Ended",IF(L44-TODAY()&lt;=N(Settings!$C$10),"Ends soon","Covered")))</f>
        <v/>
      </c>
      <c r="Q44" s="13">
        <f>IF(C44="","",MID(IF(N44="",", value","")&amp;IF(OR(J44="",J44="No"),", receipt","")&amp;IF(K44="",", photo",""),3,100))</f>
        <v/>
      </c>
      <c r="R44" s="13">
        <f>IF(AND(B44="",C44=""),"",IF(C44="","Needs the item",IF(B44="","Needs a room",IF(COUNTIF(Rooms!$B$6:$B$35,B44)=0,"Not on Rooms",IF(AND(H44&lt;&gt;"",NOT(ISNUMBER(H44))),"Paid not a number",IF(AND(I44&lt;&gt;"",NOT(ISNUMBER(I44))),"Worth not a number",IF(AND(G44&lt;&gt;"",NOT(ISNUMBER(G44))),"Bought is not a date",IF(AND(L44&lt;&gt;"",NOT(ISNUMBER(L44))),"Warranty is not a date",""))))))))</f>
        <v/>
      </c>
      <c r="S44" s="1">
        <f>IF(AND(C44&lt;&gt;"",R44=""),1,0)</f>
        <v/>
      </c>
      <c r="T44">
        <f>IF(S44=1,N(N44),0)</f>
        <v/>
      </c>
      <c r="U44">
        <f>IF(AND(S44=1,T44&gt;0),ROUND(T44*100,0)*10000+10000-ROW(),"")</f>
        <v/>
      </c>
      <c r="V44">
        <f>IF(AND(S44=1,OR(Report!$C$5="",B44=Report!$C$5)),MATCH(B44,Rooms!$B$6:$B$35,0)*10000+ROW(),"")</f>
        <v/>
      </c>
      <c r="W44">
        <f>IF(AND(S44=1,OR(J44="",J44="No")),1,0)</f>
        <v/>
      </c>
      <c r="X44">
        <f>IF(AND(S44=1,K44=""),1,0)</f>
        <v/>
      </c>
      <c r="Y44">
        <f>IF(AND(S44=1,Q44&lt;&gt;""),ROUND(T44*100,0)*10000+10000-ROW(),"")</f>
        <v/>
      </c>
    </row>
    <row r="45">
      <c r="A45" s="1" t="n"/>
      <c r="B45" s="17" t="n"/>
      <c r="C45" s="18" t="n"/>
      <c r="D45" s="17" t="n"/>
      <c r="E45" s="19" t="n"/>
      <c r="F45" s="19" t="n"/>
      <c r="G45" s="20" t="n"/>
      <c r="H45" s="21" t="n"/>
      <c r="I45" s="21" t="n"/>
      <c r="J45" s="17" t="n"/>
      <c r="K45" s="19" t="n"/>
      <c r="L45" s="20" t="n"/>
      <c r="M45" s="19" t="n"/>
      <c r="N45" s="22">
        <f>IF(C45="","",IF(ISNUMBER(I45),I45,IF(ISNUMBER(H45),H45,"")))</f>
        <v/>
      </c>
      <c r="O45" s="23">
        <f>IF(OR(C45="",NOT(ISNUMBER(G45))),"",(TODAY()-INT(G45))/365.25)</f>
        <v/>
      </c>
      <c r="P45" s="13">
        <f>IF(OR(C45="",NOT(ISNUMBER(L45))),"",IF(L45&lt;TODAY(),"Ended",IF(L45-TODAY()&lt;=N(Settings!$C$10),"Ends soon","Covered")))</f>
        <v/>
      </c>
      <c r="Q45" s="13">
        <f>IF(C45="","",MID(IF(N45="",", value","")&amp;IF(OR(J45="",J45="No"),", receipt","")&amp;IF(K45="",", photo",""),3,100))</f>
        <v/>
      </c>
      <c r="R45" s="13">
        <f>IF(AND(B45="",C45=""),"",IF(C45="","Needs the item",IF(B45="","Needs a room",IF(COUNTIF(Rooms!$B$6:$B$35,B45)=0,"Not on Rooms",IF(AND(H45&lt;&gt;"",NOT(ISNUMBER(H45))),"Paid not a number",IF(AND(I45&lt;&gt;"",NOT(ISNUMBER(I45))),"Worth not a number",IF(AND(G45&lt;&gt;"",NOT(ISNUMBER(G45))),"Bought is not a date",IF(AND(L45&lt;&gt;"",NOT(ISNUMBER(L45))),"Warranty is not a date",""))))))))</f>
        <v/>
      </c>
      <c r="S45" s="1">
        <f>IF(AND(C45&lt;&gt;"",R45=""),1,0)</f>
        <v/>
      </c>
      <c r="T45">
        <f>IF(S45=1,N(N45),0)</f>
        <v/>
      </c>
      <c r="U45">
        <f>IF(AND(S45=1,T45&gt;0),ROUND(T45*100,0)*10000+10000-ROW(),"")</f>
        <v/>
      </c>
      <c r="V45">
        <f>IF(AND(S45=1,OR(Report!$C$5="",B45=Report!$C$5)),MATCH(B45,Rooms!$B$6:$B$35,0)*10000+ROW(),"")</f>
        <v/>
      </c>
      <c r="W45">
        <f>IF(AND(S45=1,OR(J45="",J45="No")),1,0)</f>
        <v/>
      </c>
      <c r="X45">
        <f>IF(AND(S45=1,K45=""),1,0)</f>
        <v/>
      </c>
      <c r="Y45">
        <f>IF(AND(S45=1,Q45&lt;&gt;""),ROUND(T45*100,0)*10000+10000-ROW(),"")</f>
        <v/>
      </c>
    </row>
    <row r="46">
      <c r="A46" s="1" t="n"/>
      <c r="B46" s="17" t="n"/>
      <c r="C46" s="18" t="n"/>
      <c r="D46" s="17" t="n"/>
      <c r="E46" s="19" t="n"/>
      <c r="F46" s="19" t="n"/>
      <c r="G46" s="20" t="n"/>
      <c r="H46" s="21" t="n"/>
      <c r="I46" s="21" t="n"/>
      <c r="J46" s="17" t="n"/>
      <c r="K46" s="19" t="n"/>
      <c r="L46" s="20" t="n"/>
      <c r="M46" s="19" t="n"/>
      <c r="N46" s="22">
        <f>IF(C46="","",IF(ISNUMBER(I46),I46,IF(ISNUMBER(H46),H46,"")))</f>
        <v/>
      </c>
      <c r="O46" s="23">
        <f>IF(OR(C46="",NOT(ISNUMBER(G46))),"",(TODAY()-INT(G46))/365.25)</f>
        <v/>
      </c>
      <c r="P46" s="13">
        <f>IF(OR(C46="",NOT(ISNUMBER(L46))),"",IF(L46&lt;TODAY(),"Ended",IF(L46-TODAY()&lt;=N(Settings!$C$10),"Ends soon","Covered")))</f>
        <v/>
      </c>
      <c r="Q46" s="13">
        <f>IF(C46="","",MID(IF(N46="",", value","")&amp;IF(OR(J46="",J46="No"),", receipt","")&amp;IF(K46="",", photo",""),3,100))</f>
        <v/>
      </c>
      <c r="R46" s="13">
        <f>IF(AND(B46="",C46=""),"",IF(C46="","Needs the item",IF(B46="","Needs a room",IF(COUNTIF(Rooms!$B$6:$B$35,B46)=0,"Not on Rooms",IF(AND(H46&lt;&gt;"",NOT(ISNUMBER(H46))),"Paid not a number",IF(AND(I46&lt;&gt;"",NOT(ISNUMBER(I46))),"Worth not a number",IF(AND(G46&lt;&gt;"",NOT(ISNUMBER(G46))),"Bought is not a date",IF(AND(L46&lt;&gt;"",NOT(ISNUMBER(L46))),"Warranty is not a date",""))))))))</f>
        <v/>
      </c>
      <c r="S46" s="1">
        <f>IF(AND(C46&lt;&gt;"",R46=""),1,0)</f>
        <v/>
      </c>
      <c r="T46">
        <f>IF(S46=1,N(N46),0)</f>
        <v/>
      </c>
      <c r="U46">
        <f>IF(AND(S46=1,T46&gt;0),ROUND(T46*100,0)*10000+10000-ROW(),"")</f>
        <v/>
      </c>
      <c r="V46">
        <f>IF(AND(S46=1,OR(Report!$C$5="",B46=Report!$C$5)),MATCH(B46,Rooms!$B$6:$B$35,0)*10000+ROW(),"")</f>
        <v/>
      </c>
      <c r="W46">
        <f>IF(AND(S46=1,OR(J46="",J46="No")),1,0)</f>
        <v/>
      </c>
      <c r="X46">
        <f>IF(AND(S46=1,K46=""),1,0)</f>
        <v/>
      </c>
      <c r="Y46">
        <f>IF(AND(S46=1,Q46&lt;&gt;""),ROUND(T46*100,0)*10000+10000-ROW(),"")</f>
        <v/>
      </c>
    </row>
    <row r="47">
      <c r="A47" s="1" t="n"/>
      <c r="B47" s="17" t="n"/>
      <c r="C47" s="18" t="n"/>
      <c r="D47" s="17" t="n"/>
      <c r="E47" s="19" t="n"/>
      <c r="F47" s="19" t="n"/>
      <c r="G47" s="20" t="n"/>
      <c r="H47" s="21" t="n"/>
      <c r="I47" s="21" t="n"/>
      <c r="J47" s="17" t="n"/>
      <c r="K47" s="19" t="n"/>
      <c r="L47" s="20" t="n"/>
      <c r="M47" s="19" t="n"/>
      <c r="N47" s="22">
        <f>IF(C47="","",IF(ISNUMBER(I47),I47,IF(ISNUMBER(H47),H47,"")))</f>
        <v/>
      </c>
      <c r="O47" s="23">
        <f>IF(OR(C47="",NOT(ISNUMBER(G47))),"",(TODAY()-INT(G47))/365.25)</f>
        <v/>
      </c>
      <c r="P47" s="13">
        <f>IF(OR(C47="",NOT(ISNUMBER(L47))),"",IF(L47&lt;TODAY(),"Ended",IF(L47-TODAY()&lt;=N(Settings!$C$10),"Ends soon","Covered")))</f>
        <v/>
      </c>
      <c r="Q47" s="13">
        <f>IF(C47="","",MID(IF(N47="",", value","")&amp;IF(OR(J47="",J47="No"),", receipt","")&amp;IF(K47="",", photo",""),3,100))</f>
        <v/>
      </c>
      <c r="R47" s="13">
        <f>IF(AND(B47="",C47=""),"",IF(C47="","Needs the item",IF(B47="","Needs a room",IF(COUNTIF(Rooms!$B$6:$B$35,B47)=0,"Not on Rooms",IF(AND(H47&lt;&gt;"",NOT(ISNUMBER(H47))),"Paid not a number",IF(AND(I47&lt;&gt;"",NOT(ISNUMBER(I47))),"Worth not a number",IF(AND(G47&lt;&gt;"",NOT(ISNUMBER(G47))),"Bought is not a date",IF(AND(L47&lt;&gt;"",NOT(ISNUMBER(L47))),"Warranty is not a date",""))))))))</f>
        <v/>
      </c>
      <c r="S47" s="1">
        <f>IF(AND(C47&lt;&gt;"",R47=""),1,0)</f>
        <v/>
      </c>
      <c r="T47">
        <f>IF(S47=1,N(N47),0)</f>
        <v/>
      </c>
      <c r="U47">
        <f>IF(AND(S47=1,T47&gt;0),ROUND(T47*100,0)*10000+10000-ROW(),"")</f>
        <v/>
      </c>
      <c r="V47">
        <f>IF(AND(S47=1,OR(Report!$C$5="",B47=Report!$C$5)),MATCH(B47,Rooms!$B$6:$B$35,0)*10000+ROW(),"")</f>
        <v/>
      </c>
      <c r="W47">
        <f>IF(AND(S47=1,OR(J47="",J47="No")),1,0)</f>
        <v/>
      </c>
      <c r="X47">
        <f>IF(AND(S47=1,K47=""),1,0)</f>
        <v/>
      </c>
      <c r="Y47">
        <f>IF(AND(S47=1,Q47&lt;&gt;""),ROUND(T47*100,0)*10000+10000-ROW(),"")</f>
        <v/>
      </c>
    </row>
    <row r="48">
      <c r="A48" s="1" t="n"/>
      <c r="B48" s="17" t="n"/>
      <c r="C48" s="18" t="n"/>
      <c r="D48" s="17" t="n"/>
      <c r="E48" s="19" t="n"/>
      <c r="F48" s="19" t="n"/>
      <c r="G48" s="20" t="n"/>
      <c r="H48" s="21" t="n"/>
      <c r="I48" s="21" t="n"/>
      <c r="J48" s="17" t="n"/>
      <c r="K48" s="19" t="n"/>
      <c r="L48" s="20" t="n"/>
      <c r="M48" s="19" t="n"/>
      <c r="N48" s="22">
        <f>IF(C48="","",IF(ISNUMBER(I48),I48,IF(ISNUMBER(H48),H48,"")))</f>
        <v/>
      </c>
      <c r="O48" s="23">
        <f>IF(OR(C48="",NOT(ISNUMBER(G48))),"",(TODAY()-INT(G48))/365.25)</f>
        <v/>
      </c>
      <c r="P48" s="13">
        <f>IF(OR(C48="",NOT(ISNUMBER(L48))),"",IF(L48&lt;TODAY(),"Ended",IF(L48-TODAY()&lt;=N(Settings!$C$10),"Ends soon","Covered")))</f>
        <v/>
      </c>
      <c r="Q48" s="13">
        <f>IF(C48="","",MID(IF(N48="",", value","")&amp;IF(OR(J48="",J48="No"),", receipt","")&amp;IF(K48="",", photo",""),3,100))</f>
        <v/>
      </c>
      <c r="R48" s="13">
        <f>IF(AND(B48="",C48=""),"",IF(C48="","Needs the item",IF(B48="","Needs a room",IF(COUNTIF(Rooms!$B$6:$B$35,B48)=0,"Not on Rooms",IF(AND(H48&lt;&gt;"",NOT(ISNUMBER(H48))),"Paid not a number",IF(AND(I48&lt;&gt;"",NOT(ISNUMBER(I48))),"Worth not a number",IF(AND(G48&lt;&gt;"",NOT(ISNUMBER(G48))),"Bought is not a date",IF(AND(L48&lt;&gt;"",NOT(ISNUMBER(L48))),"Warranty is not a date",""))))))))</f>
        <v/>
      </c>
      <c r="S48" s="1">
        <f>IF(AND(C48&lt;&gt;"",R48=""),1,0)</f>
        <v/>
      </c>
      <c r="T48">
        <f>IF(S48=1,N(N48),0)</f>
        <v/>
      </c>
      <c r="U48">
        <f>IF(AND(S48=1,T48&gt;0),ROUND(T48*100,0)*10000+10000-ROW(),"")</f>
        <v/>
      </c>
      <c r="V48">
        <f>IF(AND(S48=1,OR(Report!$C$5="",B48=Report!$C$5)),MATCH(B48,Rooms!$B$6:$B$35,0)*10000+ROW(),"")</f>
        <v/>
      </c>
      <c r="W48">
        <f>IF(AND(S48=1,OR(J48="",J48="No")),1,0)</f>
        <v/>
      </c>
      <c r="X48">
        <f>IF(AND(S48=1,K48=""),1,0)</f>
        <v/>
      </c>
      <c r="Y48">
        <f>IF(AND(S48=1,Q48&lt;&gt;""),ROUND(T48*100,0)*10000+10000-ROW(),"")</f>
        <v/>
      </c>
    </row>
    <row r="49">
      <c r="A49" s="1" t="n"/>
      <c r="B49" s="17" t="n"/>
      <c r="C49" s="18" t="n"/>
      <c r="D49" s="17" t="n"/>
      <c r="E49" s="19" t="n"/>
      <c r="F49" s="19" t="n"/>
      <c r="G49" s="20" t="n"/>
      <c r="H49" s="21" t="n"/>
      <c r="I49" s="21" t="n"/>
      <c r="J49" s="17" t="n"/>
      <c r="K49" s="19" t="n"/>
      <c r="L49" s="20" t="n"/>
      <c r="M49" s="19" t="n"/>
      <c r="N49" s="22">
        <f>IF(C49="","",IF(ISNUMBER(I49),I49,IF(ISNUMBER(H49),H49,"")))</f>
        <v/>
      </c>
      <c r="O49" s="23">
        <f>IF(OR(C49="",NOT(ISNUMBER(G49))),"",(TODAY()-INT(G49))/365.25)</f>
        <v/>
      </c>
      <c r="P49" s="13">
        <f>IF(OR(C49="",NOT(ISNUMBER(L49))),"",IF(L49&lt;TODAY(),"Ended",IF(L49-TODAY()&lt;=N(Settings!$C$10),"Ends soon","Covered")))</f>
        <v/>
      </c>
      <c r="Q49" s="13">
        <f>IF(C49="","",MID(IF(N49="",", value","")&amp;IF(OR(J49="",J49="No"),", receipt","")&amp;IF(K49="",", photo",""),3,100))</f>
        <v/>
      </c>
      <c r="R49" s="13">
        <f>IF(AND(B49="",C49=""),"",IF(C49="","Needs the item",IF(B49="","Needs a room",IF(COUNTIF(Rooms!$B$6:$B$35,B49)=0,"Not on Rooms",IF(AND(H49&lt;&gt;"",NOT(ISNUMBER(H49))),"Paid not a number",IF(AND(I49&lt;&gt;"",NOT(ISNUMBER(I49))),"Worth not a number",IF(AND(G49&lt;&gt;"",NOT(ISNUMBER(G49))),"Bought is not a date",IF(AND(L49&lt;&gt;"",NOT(ISNUMBER(L49))),"Warranty is not a date",""))))))))</f>
        <v/>
      </c>
      <c r="S49" s="1">
        <f>IF(AND(C49&lt;&gt;"",R49=""),1,0)</f>
        <v/>
      </c>
      <c r="T49">
        <f>IF(S49=1,N(N49),0)</f>
        <v/>
      </c>
      <c r="U49">
        <f>IF(AND(S49=1,T49&gt;0),ROUND(T49*100,0)*10000+10000-ROW(),"")</f>
        <v/>
      </c>
      <c r="V49">
        <f>IF(AND(S49=1,OR(Report!$C$5="",B49=Report!$C$5)),MATCH(B49,Rooms!$B$6:$B$35,0)*10000+ROW(),"")</f>
        <v/>
      </c>
      <c r="W49">
        <f>IF(AND(S49=1,OR(J49="",J49="No")),1,0)</f>
        <v/>
      </c>
      <c r="X49">
        <f>IF(AND(S49=1,K49=""),1,0)</f>
        <v/>
      </c>
      <c r="Y49">
        <f>IF(AND(S49=1,Q49&lt;&gt;""),ROUND(T49*100,0)*10000+10000-ROW(),"")</f>
        <v/>
      </c>
    </row>
    <row r="50">
      <c r="A50" s="1" t="n"/>
      <c r="B50" s="17" t="n"/>
      <c r="C50" s="18" t="n"/>
      <c r="D50" s="17" t="n"/>
      <c r="E50" s="19" t="n"/>
      <c r="F50" s="19" t="n"/>
      <c r="G50" s="20" t="n"/>
      <c r="H50" s="21" t="n"/>
      <c r="I50" s="21" t="n"/>
      <c r="J50" s="17" t="n"/>
      <c r="K50" s="19" t="n"/>
      <c r="L50" s="20" t="n"/>
      <c r="M50" s="19" t="n"/>
      <c r="N50" s="22">
        <f>IF(C50="","",IF(ISNUMBER(I50),I50,IF(ISNUMBER(H50),H50,"")))</f>
        <v/>
      </c>
      <c r="O50" s="23">
        <f>IF(OR(C50="",NOT(ISNUMBER(G50))),"",(TODAY()-INT(G50))/365.25)</f>
        <v/>
      </c>
      <c r="P50" s="13">
        <f>IF(OR(C50="",NOT(ISNUMBER(L50))),"",IF(L50&lt;TODAY(),"Ended",IF(L50-TODAY()&lt;=N(Settings!$C$10),"Ends soon","Covered")))</f>
        <v/>
      </c>
      <c r="Q50" s="13">
        <f>IF(C50="","",MID(IF(N50="",", value","")&amp;IF(OR(J50="",J50="No"),", receipt","")&amp;IF(K50="",", photo",""),3,100))</f>
        <v/>
      </c>
      <c r="R50" s="13">
        <f>IF(AND(B50="",C50=""),"",IF(C50="","Needs the item",IF(B50="","Needs a room",IF(COUNTIF(Rooms!$B$6:$B$35,B50)=0,"Not on Rooms",IF(AND(H50&lt;&gt;"",NOT(ISNUMBER(H50))),"Paid not a number",IF(AND(I50&lt;&gt;"",NOT(ISNUMBER(I50))),"Worth not a number",IF(AND(G50&lt;&gt;"",NOT(ISNUMBER(G50))),"Bought is not a date",IF(AND(L50&lt;&gt;"",NOT(ISNUMBER(L50))),"Warranty is not a date",""))))))))</f>
        <v/>
      </c>
      <c r="S50" s="1">
        <f>IF(AND(C50&lt;&gt;"",R50=""),1,0)</f>
        <v/>
      </c>
      <c r="T50">
        <f>IF(S50=1,N(N50),0)</f>
        <v/>
      </c>
      <c r="U50">
        <f>IF(AND(S50=1,T50&gt;0),ROUND(T50*100,0)*10000+10000-ROW(),"")</f>
        <v/>
      </c>
      <c r="V50">
        <f>IF(AND(S50=1,OR(Report!$C$5="",B50=Report!$C$5)),MATCH(B50,Rooms!$B$6:$B$35,0)*10000+ROW(),"")</f>
        <v/>
      </c>
      <c r="W50">
        <f>IF(AND(S50=1,OR(J50="",J50="No")),1,0)</f>
        <v/>
      </c>
      <c r="X50">
        <f>IF(AND(S50=1,K50=""),1,0)</f>
        <v/>
      </c>
      <c r="Y50">
        <f>IF(AND(S50=1,Q50&lt;&gt;""),ROUND(T50*100,0)*10000+10000-ROW(),"")</f>
        <v/>
      </c>
    </row>
    <row r="51">
      <c r="A51" s="1" t="n"/>
      <c r="B51" s="17" t="n"/>
      <c r="C51" s="18" t="n"/>
      <c r="D51" s="17" t="n"/>
      <c r="E51" s="19" t="n"/>
      <c r="F51" s="19" t="n"/>
      <c r="G51" s="20" t="n"/>
      <c r="H51" s="21" t="n"/>
      <c r="I51" s="21" t="n"/>
      <c r="J51" s="17" t="n"/>
      <c r="K51" s="19" t="n"/>
      <c r="L51" s="20" t="n"/>
      <c r="M51" s="19" t="n"/>
      <c r="N51" s="22">
        <f>IF(C51="","",IF(ISNUMBER(I51),I51,IF(ISNUMBER(H51),H51,"")))</f>
        <v/>
      </c>
      <c r="O51" s="23">
        <f>IF(OR(C51="",NOT(ISNUMBER(G51))),"",(TODAY()-INT(G51))/365.25)</f>
        <v/>
      </c>
      <c r="P51" s="13">
        <f>IF(OR(C51="",NOT(ISNUMBER(L51))),"",IF(L51&lt;TODAY(),"Ended",IF(L51-TODAY()&lt;=N(Settings!$C$10),"Ends soon","Covered")))</f>
        <v/>
      </c>
      <c r="Q51" s="13">
        <f>IF(C51="","",MID(IF(N51="",", value","")&amp;IF(OR(J51="",J51="No"),", receipt","")&amp;IF(K51="",", photo",""),3,100))</f>
        <v/>
      </c>
      <c r="R51" s="13">
        <f>IF(AND(B51="",C51=""),"",IF(C51="","Needs the item",IF(B51="","Needs a room",IF(COUNTIF(Rooms!$B$6:$B$35,B51)=0,"Not on Rooms",IF(AND(H51&lt;&gt;"",NOT(ISNUMBER(H51))),"Paid not a number",IF(AND(I51&lt;&gt;"",NOT(ISNUMBER(I51))),"Worth not a number",IF(AND(G51&lt;&gt;"",NOT(ISNUMBER(G51))),"Bought is not a date",IF(AND(L51&lt;&gt;"",NOT(ISNUMBER(L51))),"Warranty is not a date",""))))))))</f>
        <v/>
      </c>
      <c r="S51" s="1">
        <f>IF(AND(C51&lt;&gt;"",R51=""),1,0)</f>
        <v/>
      </c>
      <c r="T51">
        <f>IF(S51=1,N(N51),0)</f>
        <v/>
      </c>
      <c r="U51">
        <f>IF(AND(S51=1,T51&gt;0),ROUND(T51*100,0)*10000+10000-ROW(),"")</f>
        <v/>
      </c>
      <c r="V51">
        <f>IF(AND(S51=1,OR(Report!$C$5="",B51=Report!$C$5)),MATCH(B51,Rooms!$B$6:$B$35,0)*10000+ROW(),"")</f>
        <v/>
      </c>
      <c r="W51">
        <f>IF(AND(S51=1,OR(J51="",J51="No")),1,0)</f>
        <v/>
      </c>
      <c r="X51">
        <f>IF(AND(S51=1,K51=""),1,0)</f>
        <v/>
      </c>
      <c r="Y51">
        <f>IF(AND(S51=1,Q51&lt;&gt;""),ROUND(T51*100,0)*10000+10000-ROW(),"")</f>
        <v/>
      </c>
    </row>
    <row r="52">
      <c r="A52" s="1" t="n"/>
      <c r="B52" s="17" t="n"/>
      <c r="C52" s="18" t="n"/>
      <c r="D52" s="17" t="n"/>
      <c r="E52" s="19" t="n"/>
      <c r="F52" s="19" t="n"/>
      <c r="G52" s="20" t="n"/>
      <c r="H52" s="21" t="n"/>
      <c r="I52" s="21" t="n"/>
      <c r="J52" s="17" t="n"/>
      <c r="K52" s="19" t="n"/>
      <c r="L52" s="20" t="n"/>
      <c r="M52" s="19" t="n"/>
      <c r="N52" s="22">
        <f>IF(C52="","",IF(ISNUMBER(I52),I52,IF(ISNUMBER(H52),H52,"")))</f>
        <v/>
      </c>
      <c r="O52" s="23">
        <f>IF(OR(C52="",NOT(ISNUMBER(G52))),"",(TODAY()-INT(G52))/365.25)</f>
        <v/>
      </c>
      <c r="P52" s="13">
        <f>IF(OR(C52="",NOT(ISNUMBER(L52))),"",IF(L52&lt;TODAY(),"Ended",IF(L52-TODAY()&lt;=N(Settings!$C$10),"Ends soon","Covered")))</f>
        <v/>
      </c>
      <c r="Q52" s="13">
        <f>IF(C52="","",MID(IF(N52="",", value","")&amp;IF(OR(J52="",J52="No"),", receipt","")&amp;IF(K52="",", photo",""),3,100))</f>
        <v/>
      </c>
      <c r="R52" s="13">
        <f>IF(AND(B52="",C52=""),"",IF(C52="","Needs the item",IF(B52="","Needs a room",IF(COUNTIF(Rooms!$B$6:$B$35,B52)=0,"Not on Rooms",IF(AND(H52&lt;&gt;"",NOT(ISNUMBER(H52))),"Paid not a number",IF(AND(I52&lt;&gt;"",NOT(ISNUMBER(I52))),"Worth not a number",IF(AND(G52&lt;&gt;"",NOT(ISNUMBER(G52))),"Bought is not a date",IF(AND(L52&lt;&gt;"",NOT(ISNUMBER(L52))),"Warranty is not a date",""))))))))</f>
        <v/>
      </c>
      <c r="S52" s="1">
        <f>IF(AND(C52&lt;&gt;"",R52=""),1,0)</f>
        <v/>
      </c>
      <c r="T52">
        <f>IF(S52=1,N(N52),0)</f>
        <v/>
      </c>
      <c r="U52">
        <f>IF(AND(S52=1,T52&gt;0),ROUND(T52*100,0)*10000+10000-ROW(),"")</f>
        <v/>
      </c>
      <c r="V52">
        <f>IF(AND(S52=1,OR(Report!$C$5="",B52=Report!$C$5)),MATCH(B52,Rooms!$B$6:$B$35,0)*10000+ROW(),"")</f>
        <v/>
      </c>
      <c r="W52">
        <f>IF(AND(S52=1,OR(J52="",J52="No")),1,0)</f>
        <v/>
      </c>
      <c r="X52">
        <f>IF(AND(S52=1,K52=""),1,0)</f>
        <v/>
      </c>
      <c r="Y52">
        <f>IF(AND(S52=1,Q52&lt;&gt;""),ROUND(T52*100,0)*10000+10000-ROW(),"")</f>
        <v/>
      </c>
    </row>
    <row r="53">
      <c r="A53" s="1" t="n"/>
      <c r="B53" s="17" t="n"/>
      <c r="C53" s="18" t="n"/>
      <c r="D53" s="17" t="n"/>
      <c r="E53" s="19" t="n"/>
      <c r="F53" s="19" t="n"/>
      <c r="G53" s="20" t="n"/>
      <c r="H53" s="21" t="n"/>
      <c r="I53" s="21" t="n"/>
      <c r="J53" s="17" t="n"/>
      <c r="K53" s="19" t="n"/>
      <c r="L53" s="20" t="n"/>
      <c r="M53" s="19" t="n"/>
      <c r="N53" s="22">
        <f>IF(C53="","",IF(ISNUMBER(I53),I53,IF(ISNUMBER(H53),H53,"")))</f>
        <v/>
      </c>
      <c r="O53" s="23">
        <f>IF(OR(C53="",NOT(ISNUMBER(G53))),"",(TODAY()-INT(G53))/365.25)</f>
        <v/>
      </c>
      <c r="P53" s="13">
        <f>IF(OR(C53="",NOT(ISNUMBER(L53))),"",IF(L53&lt;TODAY(),"Ended",IF(L53-TODAY()&lt;=N(Settings!$C$10),"Ends soon","Covered")))</f>
        <v/>
      </c>
      <c r="Q53" s="13">
        <f>IF(C53="","",MID(IF(N53="",", value","")&amp;IF(OR(J53="",J53="No"),", receipt","")&amp;IF(K53="",", photo",""),3,100))</f>
        <v/>
      </c>
      <c r="R53" s="13">
        <f>IF(AND(B53="",C53=""),"",IF(C53="","Needs the item",IF(B53="","Needs a room",IF(COUNTIF(Rooms!$B$6:$B$35,B53)=0,"Not on Rooms",IF(AND(H53&lt;&gt;"",NOT(ISNUMBER(H53))),"Paid not a number",IF(AND(I53&lt;&gt;"",NOT(ISNUMBER(I53))),"Worth not a number",IF(AND(G53&lt;&gt;"",NOT(ISNUMBER(G53))),"Bought is not a date",IF(AND(L53&lt;&gt;"",NOT(ISNUMBER(L53))),"Warranty is not a date",""))))))))</f>
        <v/>
      </c>
      <c r="S53" s="1">
        <f>IF(AND(C53&lt;&gt;"",R53=""),1,0)</f>
        <v/>
      </c>
      <c r="T53">
        <f>IF(S53=1,N(N53),0)</f>
        <v/>
      </c>
      <c r="U53">
        <f>IF(AND(S53=1,T53&gt;0),ROUND(T53*100,0)*10000+10000-ROW(),"")</f>
        <v/>
      </c>
      <c r="V53">
        <f>IF(AND(S53=1,OR(Report!$C$5="",B53=Report!$C$5)),MATCH(B53,Rooms!$B$6:$B$35,0)*10000+ROW(),"")</f>
        <v/>
      </c>
      <c r="W53">
        <f>IF(AND(S53=1,OR(J53="",J53="No")),1,0)</f>
        <v/>
      </c>
      <c r="X53">
        <f>IF(AND(S53=1,K53=""),1,0)</f>
        <v/>
      </c>
      <c r="Y53">
        <f>IF(AND(S53=1,Q53&lt;&gt;""),ROUND(T53*100,0)*10000+10000-ROW(),"")</f>
        <v/>
      </c>
    </row>
    <row r="54">
      <c r="A54" s="1" t="n"/>
      <c r="B54" s="17" t="n"/>
      <c r="C54" s="18" t="n"/>
      <c r="D54" s="17" t="n"/>
      <c r="E54" s="19" t="n"/>
      <c r="F54" s="19" t="n"/>
      <c r="G54" s="20" t="n"/>
      <c r="H54" s="21" t="n"/>
      <c r="I54" s="21" t="n"/>
      <c r="J54" s="17" t="n"/>
      <c r="K54" s="19" t="n"/>
      <c r="L54" s="20" t="n"/>
      <c r="M54" s="19" t="n"/>
      <c r="N54" s="22">
        <f>IF(C54="","",IF(ISNUMBER(I54),I54,IF(ISNUMBER(H54),H54,"")))</f>
        <v/>
      </c>
      <c r="O54" s="23">
        <f>IF(OR(C54="",NOT(ISNUMBER(G54))),"",(TODAY()-INT(G54))/365.25)</f>
        <v/>
      </c>
      <c r="P54" s="13">
        <f>IF(OR(C54="",NOT(ISNUMBER(L54))),"",IF(L54&lt;TODAY(),"Ended",IF(L54-TODAY()&lt;=N(Settings!$C$10),"Ends soon","Covered")))</f>
        <v/>
      </c>
      <c r="Q54" s="13">
        <f>IF(C54="","",MID(IF(N54="",", value","")&amp;IF(OR(J54="",J54="No"),", receipt","")&amp;IF(K54="",", photo",""),3,100))</f>
        <v/>
      </c>
      <c r="R54" s="13">
        <f>IF(AND(B54="",C54=""),"",IF(C54="","Needs the item",IF(B54="","Needs a room",IF(COUNTIF(Rooms!$B$6:$B$35,B54)=0,"Not on Rooms",IF(AND(H54&lt;&gt;"",NOT(ISNUMBER(H54))),"Paid not a number",IF(AND(I54&lt;&gt;"",NOT(ISNUMBER(I54))),"Worth not a number",IF(AND(G54&lt;&gt;"",NOT(ISNUMBER(G54))),"Bought is not a date",IF(AND(L54&lt;&gt;"",NOT(ISNUMBER(L54))),"Warranty is not a date",""))))))))</f>
        <v/>
      </c>
      <c r="S54" s="1">
        <f>IF(AND(C54&lt;&gt;"",R54=""),1,0)</f>
        <v/>
      </c>
      <c r="T54">
        <f>IF(S54=1,N(N54),0)</f>
        <v/>
      </c>
      <c r="U54">
        <f>IF(AND(S54=1,T54&gt;0),ROUND(T54*100,0)*10000+10000-ROW(),"")</f>
        <v/>
      </c>
      <c r="V54">
        <f>IF(AND(S54=1,OR(Report!$C$5="",B54=Report!$C$5)),MATCH(B54,Rooms!$B$6:$B$35,0)*10000+ROW(),"")</f>
        <v/>
      </c>
      <c r="W54">
        <f>IF(AND(S54=1,OR(J54="",J54="No")),1,0)</f>
        <v/>
      </c>
      <c r="X54">
        <f>IF(AND(S54=1,K54=""),1,0)</f>
        <v/>
      </c>
      <c r="Y54">
        <f>IF(AND(S54=1,Q54&lt;&gt;""),ROUND(T54*100,0)*10000+10000-ROW(),"")</f>
        <v/>
      </c>
    </row>
    <row r="55">
      <c r="A55" s="1" t="n"/>
      <c r="B55" s="17" t="n"/>
      <c r="C55" s="18" t="n"/>
      <c r="D55" s="17" t="n"/>
      <c r="E55" s="19" t="n"/>
      <c r="F55" s="19" t="n"/>
      <c r="G55" s="20" t="n"/>
      <c r="H55" s="21" t="n"/>
      <c r="I55" s="21" t="n"/>
      <c r="J55" s="17" t="n"/>
      <c r="K55" s="19" t="n"/>
      <c r="L55" s="20" t="n"/>
      <c r="M55" s="19" t="n"/>
      <c r="N55" s="22">
        <f>IF(C55="","",IF(ISNUMBER(I55),I55,IF(ISNUMBER(H55),H55,"")))</f>
        <v/>
      </c>
      <c r="O55" s="23">
        <f>IF(OR(C55="",NOT(ISNUMBER(G55))),"",(TODAY()-INT(G55))/365.25)</f>
        <v/>
      </c>
      <c r="P55" s="13">
        <f>IF(OR(C55="",NOT(ISNUMBER(L55))),"",IF(L55&lt;TODAY(),"Ended",IF(L55-TODAY()&lt;=N(Settings!$C$10),"Ends soon","Covered")))</f>
        <v/>
      </c>
      <c r="Q55" s="13">
        <f>IF(C55="","",MID(IF(N55="",", value","")&amp;IF(OR(J55="",J55="No"),", receipt","")&amp;IF(K55="",", photo",""),3,100))</f>
        <v/>
      </c>
      <c r="R55" s="13">
        <f>IF(AND(B55="",C55=""),"",IF(C55="","Needs the item",IF(B55="","Needs a room",IF(COUNTIF(Rooms!$B$6:$B$35,B55)=0,"Not on Rooms",IF(AND(H55&lt;&gt;"",NOT(ISNUMBER(H55))),"Paid not a number",IF(AND(I55&lt;&gt;"",NOT(ISNUMBER(I55))),"Worth not a number",IF(AND(G55&lt;&gt;"",NOT(ISNUMBER(G55))),"Bought is not a date",IF(AND(L55&lt;&gt;"",NOT(ISNUMBER(L55))),"Warranty is not a date",""))))))))</f>
        <v/>
      </c>
      <c r="S55" s="1">
        <f>IF(AND(C55&lt;&gt;"",R55=""),1,0)</f>
        <v/>
      </c>
      <c r="T55">
        <f>IF(S55=1,N(N55),0)</f>
        <v/>
      </c>
      <c r="U55">
        <f>IF(AND(S55=1,T55&gt;0),ROUND(T55*100,0)*10000+10000-ROW(),"")</f>
        <v/>
      </c>
      <c r="V55">
        <f>IF(AND(S55=1,OR(Report!$C$5="",B55=Report!$C$5)),MATCH(B55,Rooms!$B$6:$B$35,0)*10000+ROW(),"")</f>
        <v/>
      </c>
      <c r="W55">
        <f>IF(AND(S55=1,OR(J55="",J55="No")),1,0)</f>
        <v/>
      </c>
      <c r="X55">
        <f>IF(AND(S55=1,K55=""),1,0)</f>
        <v/>
      </c>
      <c r="Y55">
        <f>IF(AND(S55=1,Q55&lt;&gt;""),ROUND(T55*100,0)*10000+10000-ROW(),"")</f>
        <v/>
      </c>
    </row>
    <row r="56">
      <c r="A56" s="1" t="n"/>
      <c r="B56" s="17" t="n"/>
      <c r="C56" s="18" t="n"/>
      <c r="D56" s="17" t="n"/>
      <c r="E56" s="19" t="n"/>
      <c r="F56" s="19" t="n"/>
      <c r="G56" s="20" t="n"/>
      <c r="H56" s="21" t="n"/>
      <c r="I56" s="21" t="n"/>
      <c r="J56" s="17" t="n"/>
      <c r="K56" s="19" t="n"/>
      <c r="L56" s="20" t="n"/>
      <c r="M56" s="19" t="n"/>
      <c r="N56" s="22">
        <f>IF(C56="","",IF(ISNUMBER(I56),I56,IF(ISNUMBER(H56),H56,"")))</f>
        <v/>
      </c>
      <c r="O56" s="23">
        <f>IF(OR(C56="",NOT(ISNUMBER(G56))),"",(TODAY()-INT(G56))/365.25)</f>
        <v/>
      </c>
      <c r="P56" s="13">
        <f>IF(OR(C56="",NOT(ISNUMBER(L56))),"",IF(L56&lt;TODAY(),"Ended",IF(L56-TODAY()&lt;=N(Settings!$C$10),"Ends soon","Covered")))</f>
        <v/>
      </c>
      <c r="Q56" s="13">
        <f>IF(C56="","",MID(IF(N56="",", value","")&amp;IF(OR(J56="",J56="No"),", receipt","")&amp;IF(K56="",", photo",""),3,100))</f>
        <v/>
      </c>
      <c r="R56" s="13">
        <f>IF(AND(B56="",C56=""),"",IF(C56="","Needs the item",IF(B56="","Needs a room",IF(COUNTIF(Rooms!$B$6:$B$35,B56)=0,"Not on Rooms",IF(AND(H56&lt;&gt;"",NOT(ISNUMBER(H56))),"Paid not a number",IF(AND(I56&lt;&gt;"",NOT(ISNUMBER(I56))),"Worth not a number",IF(AND(G56&lt;&gt;"",NOT(ISNUMBER(G56))),"Bought is not a date",IF(AND(L56&lt;&gt;"",NOT(ISNUMBER(L56))),"Warranty is not a date",""))))))))</f>
        <v/>
      </c>
      <c r="S56" s="1">
        <f>IF(AND(C56&lt;&gt;"",R56=""),1,0)</f>
        <v/>
      </c>
      <c r="T56">
        <f>IF(S56=1,N(N56),0)</f>
        <v/>
      </c>
      <c r="U56">
        <f>IF(AND(S56=1,T56&gt;0),ROUND(T56*100,0)*10000+10000-ROW(),"")</f>
        <v/>
      </c>
      <c r="V56">
        <f>IF(AND(S56=1,OR(Report!$C$5="",B56=Report!$C$5)),MATCH(B56,Rooms!$B$6:$B$35,0)*10000+ROW(),"")</f>
        <v/>
      </c>
      <c r="W56">
        <f>IF(AND(S56=1,OR(J56="",J56="No")),1,0)</f>
        <v/>
      </c>
      <c r="X56">
        <f>IF(AND(S56=1,K56=""),1,0)</f>
        <v/>
      </c>
      <c r="Y56">
        <f>IF(AND(S56=1,Q56&lt;&gt;""),ROUND(T56*100,0)*10000+10000-ROW(),"")</f>
        <v/>
      </c>
    </row>
    <row r="57">
      <c r="A57" s="1" t="n"/>
      <c r="B57" s="17" t="n"/>
      <c r="C57" s="18" t="n"/>
      <c r="D57" s="17" t="n"/>
      <c r="E57" s="19" t="n"/>
      <c r="F57" s="19" t="n"/>
      <c r="G57" s="20" t="n"/>
      <c r="H57" s="21" t="n"/>
      <c r="I57" s="21" t="n"/>
      <c r="J57" s="17" t="n"/>
      <c r="K57" s="19" t="n"/>
      <c r="L57" s="20" t="n"/>
      <c r="M57" s="19" t="n"/>
      <c r="N57" s="22">
        <f>IF(C57="","",IF(ISNUMBER(I57),I57,IF(ISNUMBER(H57),H57,"")))</f>
        <v/>
      </c>
      <c r="O57" s="23">
        <f>IF(OR(C57="",NOT(ISNUMBER(G57))),"",(TODAY()-INT(G57))/365.25)</f>
        <v/>
      </c>
      <c r="P57" s="13">
        <f>IF(OR(C57="",NOT(ISNUMBER(L57))),"",IF(L57&lt;TODAY(),"Ended",IF(L57-TODAY()&lt;=N(Settings!$C$10),"Ends soon","Covered")))</f>
        <v/>
      </c>
      <c r="Q57" s="13">
        <f>IF(C57="","",MID(IF(N57="",", value","")&amp;IF(OR(J57="",J57="No"),", receipt","")&amp;IF(K57="",", photo",""),3,100))</f>
        <v/>
      </c>
      <c r="R57" s="13">
        <f>IF(AND(B57="",C57=""),"",IF(C57="","Needs the item",IF(B57="","Needs a room",IF(COUNTIF(Rooms!$B$6:$B$35,B57)=0,"Not on Rooms",IF(AND(H57&lt;&gt;"",NOT(ISNUMBER(H57))),"Paid not a number",IF(AND(I57&lt;&gt;"",NOT(ISNUMBER(I57))),"Worth not a number",IF(AND(G57&lt;&gt;"",NOT(ISNUMBER(G57))),"Bought is not a date",IF(AND(L57&lt;&gt;"",NOT(ISNUMBER(L57))),"Warranty is not a date",""))))))))</f>
        <v/>
      </c>
      <c r="S57" s="1">
        <f>IF(AND(C57&lt;&gt;"",R57=""),1,0)</f>
        <v/>
      </c>
      <c r="T57">
        <f>IF(S57=1,N(N57),0)</f>
        <v/>
      </c>
      <c r="U57">
        <f>IF(AND(S57=1,T57&gt;0),ROUND(T57*100,0)*10000+10000-ROW(),"")</f>
        <v/>
      </c>
      <c r="V57">
        <f>IF(AND(S57=1,OR(Report!$C$5="",B57=Report!$C$5)),MATCH(B57,Rooms!$B$6:$B$35,0)*10000+ROW(),"")</f>
        <v/>
      </c>
      <c r="W57">
        <f>IF(AND(S57=1,OR(J57="",J57="No")),1,0)</f>
        <v/>
      </c>
      <c r="X57">
        <f>IF(AND(S57=1,K57=""),1,0)</f>
        <v/>
      </c>
      <c r="Y57">
        <f>IF(AND(S57=1,Q57&lt;&gt;""),ROUND(T57*100,0)*10000+10000-ROW(),"")</f>
        <v/>
      </c>
    </row>
    <row r="58">
      <c r="A58" s="1" t="n"/>
      <c r="B58" s="17" t="n"/>
      <c r="C58" s="18" t="n"/>
      <c r="D58" s="17" t="n"/>
      <c r="E58" s="19" t="n"/>
      <c r="F58" s="19" t="n"/>
      <c r="G58" s="20" t="n"/>
      <c r="H58" s="21" t="n"/>
      <c r="I58" s="21" t="n"/>
      <c r="J58" s="17" t="n"/>
      <c r="K58" s="19" t="n"/>
      <c r="L58" s="20" t="n"/>
      <c r="M58" s="19" t="n"/>
      <c r="N58" s="22">
        <f>IF(C58="","",IF(ISNUMBER(I58),I58,IF(ISNUMBER(H58),H58,"")))</f>
        <v/>
      </c>
      <c r="O58" s="23">
        <f>IF(OR(C58="",NOT(ISNUMBER(G58))),"",(TODAY()-INT(G58))/365.25)</f>
        <v/>
      </c>
      <c r="P58" s="13">
        <f>IF(OR(C58="",NOT(ISNUMBER(L58))),"",IF(L58&lt;TODAY(),"Ended",IF(L58-TODAY()&lt;=N(Settings!$C$10),"Ends soon","Covered")))</f>
        <v/>
      </c>
      <c r="Q58" s="13">
        <f>IF(C58="","",MID(IF(N58="",", value","")&amp;IF(OR(J58="",J58="No"),", receipt","")&amp;IF(K58="",", photo",""),3,100))</f>
        <v/>
      </c>
      <c r="R58" s="13">
        <f>IF(AND(B58="",C58=""),"",IF(C58="","Needs the item",IF(B58="","Needs a room",IF(COUNTIF(Rooms!$B$6:$B$35,B58)=0,"Not on Rooms",IF(AND(H58&lt;&gt;"",NOT(ISNUMBER(H58))),"Paid not a number",IF(AND(I58&lt;&gt;"",NOT(ISNUMBER(I58))),"Worth not a number",IF(AND(G58&lt;&gt;"",NOT(ISNUMBER(G58))),"Bought is not a date",IF(AND(L58&lt;&gt;"",NOT(ISNUMBER(L58))),"Warranty is not a date",""))))))))</f>
        <v/>
      </c>
      <c r="S58" s="1">
        <f>IF(AND(C58&lt;&gt;"",R58=""),1,0)</f>
        <v/>
      </c>
      <c r="T58">
        <f>IF(S58=1,N(N58),0)</f>
        <v/>
      </c>
      <c r="U58">
        <f>IF(AND(S58=1,T58&gt;0),ROUND(T58*100,0)*10000+10000-ROW(),"")</f>
        <v/>
      </c>
      <c r="V58">
        <f>IF(AND(S58=1,OR(Report!$C$5="",B58=Report!$C$5)),MATCH(B58,Rooms!$B$6:$B$35,0)*10000+ROW(),"")</f>
        <v/>
      </c>
      <c r="W58">
        <f>IF(AND(S58=1,OR(J58="",J58="No")),1,0)</f>
        <v/>
      </c>
      <c r="X58">
        <f>IF(AND(S58=1,K58=""),1,0)</f>
        <v/>
      </c>
      <c r="Y58">
        <f>IF(AND(S58=1,Q58&lt;&gt;""),ROUND(T58*100,0)*10000+10000-ROW(),"")</f>
        <v/>
      </c>
    </row>
    <row r="59">
      <c r="A59" s="1" t="n"/>
      <c r="B59" s="17" t="n"/>
      <c r="C59" s="18" t="n"/>
      <c r="D59" s="17" t="n"/>
      <c r="E59" s="19" t="n"/>
      <c r="F59" s="19" t="n"/>
      <c r="G59" s="20" t="n"/>
      <c r="H59" s="21" t="n"/>
      <c r="I59" s="21" t="n"/>
      <c r="J59" s="17" t="n"/>
      <c r="K59" s="19" t="n"/>
      <c r="L59" s="20" t="n"/>
      <c r="M59" s="19" t="n"/>
      <c r="N59" s="22">
        <f>IF(C59="","",IF(ISNUMBER(I59),I59,IF(ISNUMBER(H59),H59,"")))</f>
        <v/>
      </c>
      <c r="O59" s="23">
        <f>IF(OR(C59="",NOT(ISNUMBER(G59))),"",(TODAY()-INT(G59))/365.25)</f>
        <v/>
      </c>
      <c r="P59" s="13">
        <f>IF(OR(C59="",NOT(ISNUMBER(L59))),"",IF(L59&lt;TODAY(),"Ended",IF(L59-TODAY()&lt;=N(Settings!$C$10),"Ends soon","Covered")))</f>
        <v/>
      </c>
      <c r="Q59" s="13">
        <f>IF(C59="","",MID(IF(N59="",", value","")&amp;IF(OR(J59="",J59="No"),", receipt","")&amp;IF(K59="",", photo",""),3,100))</f>
        <v/>
      </c>
      <c r="R59" s="13">
        <f>IF(AND(B59="",C59=""),"",IF(C59="","Needs the item",IF(B59="","Needs a room",IF(COUNTIF(Rooms!$B$6:$B$35,B59)=0,"Not on Rooms",IF(AND(H59&lt;&gt;"",NOT(ISNUMBER(H59))),"Paid not a number",IF(AND(I59&lt;&gt;"",NOT(ISNUMBER(I59))),"Worth not a number",IF(AND(G59&lt;&gt;"",NOT(ISNUMBER(G59))),"Bought is not a date",IF(AND(L59&lt;&gt;"",NOT(ISNUMBER(L59))),"Warranty is not a date",""))))))))</f>
        <v/>
      </c>
      <c r="S59" s="1">
        <f>IF(AND(C59&lt;&gt;"",R59=""),1,0)</f>
        <v/>
      </c>
      <c r="T59">
        <f>IF(S59=1,N(N59),0)</f>
        <v/>
      </c>
      <c r="U59">
        <f>IF(AND(S59=1,T59&gt;0),ROUND(T59*100,0)*10000+10000-ROW(),"")</f>
        <v/>
      </c>
      <c r="V59">
        <f>IF(AND(S59=1,OR(Report!$C$5="",B59=Report!$C$5)),MATCH(B59,Rooms!$B$6:$B$35,0)*10000+ROW(),"")</f>
        <v/>
      </c>
      <c r="W59">
        <f>IF(AND(S59=1,OR(J59="",J59="No")),1,0)</f>
        <v/>
      </c>
      <c r="X59">
        <f>IF(AND(S59=1,K59=""),1,0)</f>
        <v/>
      </c>
      <c r="Y59">
        <f>IF(AND(S59=1,Q59&lt;&gt;""),ROUND(T59*100,0)*10000+10000-ROW(),"")</f>
        <v/>
      </c>
    </row>
    <row r="60">
      <c r="A60" s="1" t="n"/>
      <c r="B60" s="17" t="n"/>
      <c r="C60" s="18" t="n"/>
      <c r="D60" s="17" t="n"/>
      <c r="E60" s="19" t="n"/>
      <c r="F60" s="19" t="n"/>
      <c r="G60" s="20" t="n"/>
      <c r="H60" s="21" t="n"/>
      <c r="I60" s="21" t="n"/>
      <c r="J60" s="17" t="n"/>
      <c r="K60" s="19" t="n"/>
      <c r="L60" s="20" t="n"/>
      <c r="M60" s="19" t="n"/>
      <c r="N60" s="22">
        <f>IF(C60="","",IF(ISNUMBER(I60),I60,IF(ISNUMBER(H60),H60,"")))</f>
        <v/>
      </c>
      <c r="O60" s="23">
        <f>IF(OR(C60="",NOT(ISNUMBER(G60))),"",(TODAY()-INT(G60))/365.25)</f>
        <v/>
      </c>
      <c r="P60" s="13">
        <f>IF(OR(C60="",NOT(ISNUMBER(L60))),"",IF(L60&lt;TODAY(),"Ended",IF(L60-TODAY()&lt;=N(Settings!$C$10),"Ends soon","Covered")))</f>
        <v/>
      </c>
      <c r="Q60" s="13">
        <f>IF(C60="","",MID(IF(N60="",", value","")&amp;IF(OR(J60="",J60="No"),", receipt","")&amp;IF(K60="",", photo",""),3,100))</f>
        <v/>
      </c>
      <c r="R60" s="13">
        <f>IF(AND(B60="",C60=""),"",IF(C60="","Needs the item",IF(B60="","Needs a room",IF(COUNTIF(Rooms!$B$6:$B$35,B60)=0,"Not on Rooms",IF(AND(H60&lt;&gt;"",NOT(ISNUMBER(H60))),"Paid not a number",IF(AND(I60&lt;&gt;"",NOT(ISNUMBER(I60))),"Worth not a number",IF(AND(G60&lt;&gt;"",NOT(ISNUMBER(G60))),"Bought is not a date",IF(AND(L60&lt;&gt;"",NOT(ISNUMBER(L60))),"Warranty is not a date",""))))))))</f>
        <v/>
      </c>
      <c r="S60" s="1">
        <f>IF(AND(C60&lt;&gt;"",R60=""),1,0)</f>
        <v/>
      </c>
      <c r="T60">
        <f>IF(S60=1,N(N60),0)</f>
        <v/>
      </c>
      <c r="U60">
        <f>IF(AND(S60=1,T60&gt;0),ROUND(T60*100,0)*10000+10000-ROW(),"")</f>
        <v/>
      </c>
      <c r="V60">
        <f>IF(AND(S60=1,OR(Report!$C$5="",B60=Report!$C$5)),MATCH(B60,Rooms!$B$6:$B$35,0)*10000+ROW(),"")</f>
        <v/>
      </c>
      <c r="W60">
        <f>IF(AND(S60=1,OR(J60="",J60="No")),1,0)</f>
        <v/>
      </c>
      <c r="X60">
        <f>IF(AND(S60=1,K60=""),1,0)</f>
        <v/>
      </c>
      <c r="Y60">
        <f>IF(AND(S60=1,Q60&lt;&gt;""),ROUND(T60*100,0)*10000+10000-ROW(),"")</f>
        <v/>
      </c>
    </row>
    <row r="61">
      <c r="A61" s="1" t="n"/>
      <c r="B61" s="17" t="n"/>
      <c r="C61" s="18" t="n"/>
      <c r="D61" s="17" t="n"/>
      <c r="E61" s="19" t="n"/>
      <c r="F61" s="19" t="n"/>
      <c r="G61" s="20" t="n"/>
      <c r="H61" s="21" t="n"/>
      <c r="I61" s="21" t="n"/>
      <c r="J61" s="17" t="n"/>
      <c r="K61" s="19" t="n"/>
      <c r="L61" s="20" t="n"/>
      <c r="M61" s="19" t="n"/>
      <c r="N61" s="22">
        <f>IF(C61="","",IF(ISNUMBER(I61),I61,IF(ISNUMBER(H61),H61,"")))</f>
        <v/>
      </c>
      <c r="O61" s="23">
        <f>IF(OR(C61="",NOT(ISNUMBER(G61))),"",(TODAY()-INT(G61))/365.25)</f>
        <v/>
      </c>
      <c r="P61" s="13">
        <f>IF(OR(C61="",NOT(ISNUMBER(L61))),"",IF(L61&lt;TODAY(),"Ended",IF(L61-TODAY()&lt;=N(Settings!$C$10),"Ends soon","Covered")))</f>
        <v/>
      </c>
      <c r="Q61" s="13">
        <f>IF(C61="","",MID(IF(N61="",", value","")&amp;IF(OR(J61="",J61="No"),", receipt","")&amp;IF(K61="",", photo",""),3,100))</f>
        <v/>
      </c>
      <c r="R61" s="13">
        <f>IF(AND(B61="",C61=""),"",IF(C61="","Needs the item",IF(B61="","Needs a room",IF(COUNTIF(Rooms!$B$6:$B$35,B61)=0,"Not on Rooms",IF(AND(H61&lt;&gt;"",NOT(ISNUMBER(H61))),"Paid not a number",IF(AND(I61&lt;&gt;"",NOT(ISNUMBER(I61))),"Worth not a number",IF(AND(G61&lt;&gt;"",NOT(ISNUMBER(G61))),"Bought is not a date",IF(AND(L61&lt;&gt;"",NOT(ISNUMBER(L61))),"Warranty is not a date",""))))))))</f>
        <v/>
      </c>
      <c r="S61" s="1">
        <f>IF(AND(C61&lt;&gt;"",R61=""),1,0)</f>
        <v/>
      </c>
      <c r="T61">
        <f>IF(S61=1,N(N61),0)</f>
        <v/>
      </c>
      <c r="U61">
        <f>IF(AND(S61=1,T61&gt;0),ROUND(T61*100,0)*10000+10000-ROW(),"")</f>
        <v/>
      </c>
      <c r="V61">
        <f>IF(AND(S61=1,OR(Report!$C$5="",B61=Report!$C$5)),MATCH(B61,Rooms!$B$6:$B$35,0)*10000+ROW(),"")</f>
        <v/>
      </c>
      <c r="W61">
        <f>IF(AND(S61=1,OR(J61="",J61="No")),1,0)</f>
        <v/>
      </c>
      <c r="X61">
        <f>IF(AND(S61=1,K61=""),1,0)</f>
        <v/>
      </c>
      <c r="Y61">
        <f>IF(AND(S61=1,Q61&lt;&gt;""),ROUND(T61*100,0)*10000+10000-ROW(),"")</f>
        <v/>
      </c>
    </row>
    <row r="62">
      <c r="A62" s="1" t="n"/>
      <c r="B62" s="17" t="n"/>
      <c r="C62" s="18" t="n"/>
      <c r="D62" s="17" t="n"/>
      <c r="E62" s="19" t="n"/>
      <c r="F62" s="19" t="n"/>
      <c r="G62" s="20" t="n"/>
      <c r="H62" s="21" t="n"/>
      <c r="I62" s="21" t="n"/>
      <c r="J62" s="17" t="n"/>
      <c r="K62" s="19" t="n"/>
      <c r="L62" s="20" t="n"/>
      <c r="M62" s="19" t="n"/>
      <c r="N62" s="22">
        <f>IF(C62="","",IF(ISNUMBER(I62),I62,IF(ISNUMBER(H62),H62,"")))</f>
        <v/>
      </c>
      <c r="O62" s="23">
        <f>IF(OR(C62="",NOT(ISNUMBER(G62))),"",(TODAY()-INT(G62))/365.25)</f>
        <v/>
      </c>
      <c r="P62" s="13">
        <f>IF(OR(C62="",NOT(ISNUMBER(L62))),"",IF(L62&lt;TODAY(),"Ended",IF(L62-TODAY()&lt;=N(Settings!$C$10),"Ends soon","Covered")))</f>
        <v/>
      </c>
      <c r="Q62" s="13">
        <f>IF(C62="","",MID(IF(N62="",", value","")&amp;IF(OR(J62="",J62="No"),", receipt","")&amp;IF(K62="",", photo",""),3,100))</f>
        <v/>
      </c>
      <c r="R62" s="13">
        <f>IF(AND(B62="",C62=""),"",IF(C62="","Needs the item",IF(B62="","Needs a room",IF(COUNTIF(Rooms!$B$6:$B$35,B62)=0,"Not on Rooms",IF(AND(H62&lt;&gt;"",NOT(ISNUMBER(H62))),"Paid not a number",IF(AND(I62&lt;&gt;"",NOT(ISNUMBER(I62))),"Worth not a number",IF(AND(G62&lt;&gt;"",NOT(ISNUMBER(G62))),"Bought is not a date",IF(AND(L62&lt;&gt;"",NOT(ISNUMBER(L62))),"Warranty is not a date",""))))))))</f>
        <v/>
      </c>
      <c r="S62" s="1">
        <f>IF(AND(C62&lt;&gt;"",R62=""),1,0)</f>
        <v/>
      </c>
      <c r="T62">
        <f>IF(S62=1,N(N62),0)</f>
        <v/>
      </c>
      <c r="U62">
        <f>IF(AND(S62=1,T62&gt;0),ROUND(T62*100,0)*10000+10000-ROW(),"")</f>
        <v/>
      </c>
      <c r="V62">
        <f>IF(AND(S62=1,OR(Report!$C$5="",B62=Report!$C$5)),MATCH(B62,Rooms!$B$6:$B$35,0)*10000+ROW(),"")</f>
        <v/>
      </c>
      <c r="W62">
        <f>IF(AND(S62=1,OR(J62="",J62="No")),1,0)</f>
        <v/>
      </c>
      <c r="X62">
        <f>IF(AND(S62=1,K62=""),1,0)</f>
        <v/>
      </c>
      <c r="Y62">
        <f>IF(AND(S62=1,Q62&lt;&gt;""),ROUND(T62*100,0)*10000+10000-ROW(),"")</f>
        <v/>
      </c>
    </row>
    <row r="63">
      <c r="A63" s="1" t="n"/>
      <c r="B63" s="17" t="n"/>
      <c r="C63" s="18" t="n"/>
      <c r="D63" s="17" t="n"/>
      <c r="E63" s="19" t="n"/>
      <c r="F63" s="19" t="n"/>
      <c r="G63" s="20" t="n"/>
      <c r="H63" s="21" t="n"/>
      <c r="I63" s="21" t="n"/>
      <c r="J63" s="17" t="n"/>
      <c r="K63" s="19" t="n"/>
      <c r="L63" s="20" t="n"/>
      <c r="M63" s="19" t="n"/>
      <c r="N63" s="22">
        <f>IF(C63="","",IF(ISNUMBER(I63),I63,IF(ISNUMBER(H63),H63,"")))</f>
        <v/>
      </c>
      <c r="O63" s="23">
        <f>IF(OR(C63="",NOT(ISNUMBER(G63))),"",(TODAY()-INT(G63))/365.25)</f>
        <v/>
      </c>
      <c r="P63" s="13">
        <f>IF(OR(C63="",NOT(ISNUMBER(L63))),"",IF(L63&lt;TODAY(),"Ended",IF(L63-TODAY()&lt;=N(Settings!$C$10),"Ends soon","Covered")))</f>
        <v/>
      </c>
      <c r="Q63" s="13">
        <f>IF(C63="","",MID(IF(N63="",", value","")&amp;IF(OR(J63="",J63="No"),", receipt","")&amp;IF(K63="",", photo",""),3,100))</f>
        <v/>
      </c>
      <c r="R63" s="13">
        <f>IF(AND(B63="",C63=""),"",IF(C63="","Needs the item",IF(B63="","Needs a room",IF(COUNTIF(Rooms!$B$6:$B$35,B63)=0,"Not on Rooms",IF(AND(H63&lt;&gt;"",NOT(ISNUMBER(H63))),"Paid not a number",IF(AND(I63&lt;&gt;"",NOT(ISNUMBER(I63))),"Worth not a number",IF(AND(G63&lt;&gt;"",NOT(ISNUMBER(G63))),"Bought is not a date",IF(AND(L63&lt;&gt;"",NOT(ISNUMBER(L63))),"Warranty is not a date",""))))))))</f>
        <v/>
      </c>
      <c r="S63" s="1">
        <f>IF(AND(C63&lt;&gt;"",R63=""),1,0)</f>
        <v/>
      </c>
      <c r="T63">
        <f>IF(S63=1,N(N63),0)</f>
        <v/>
      </c>
      <c r="U63">
        <f>IF(AND(S63=1,T63&gt;0),ROUND(T63*100,0)*10000+10000-ROW(),"")</f>
        <v/>
      </c>
      <c r="V63">
        <f>IF(AND(S63=1,OR(Report!$C$5="",B63=Report!$C$5)),MATCH(B63,Rooms!$B$6:$B$35,0)*10000+ROW(),"")</f>
        <v/>
      </c>
      <c r="W63">
        <f>IF(AND(S63=1,OR(J63="",J63="No")),1,0)</f>
        <v/>
      </c>
      <c r="X63">
        <f>IF(AND(S63=1,K63=""),1,0)</f>
        <v/>
      </c>
      <c r="Y63">
        <f>IF(AND(S63=1,Q63&lt;&gt;""),ROUND(T63*100,0)*10000+10000-ROW(),"")</f>
        <v/>
      </c>
    </row>
    <row r="64">
      <c r="A64" s="1" t="n"/>
      <c r="B64" s="17" t="n"/>
      <c r="C64" s="18" t="n"/>
      <c r="D64" s="17" t="n"/>
      <c r="E64" s="19" t="n"/>
      <c r="F64" s="19" t="n"/>
      <c r="G64" s="20" t="n"/>
      <c r="H64" s="21" t="n"/>
      <c r="I64" s="21" t="n"/>
      <c r="J64" s="17" t="n"/>
      <c r="K64" s="19" t="n"/>
      <c r="L64" s="20" t="n"/>
      <c r="M64" s="19" t="n"/>
      <c r="N64" s="22">
        <f>IF(C64="","",IF(ISNUMBER(I64),I64,IF(ISNUMBER(H64),H64,"")))</f>
        <v/>
      </c>
      <c r="O64" s="23">
        <f>IF(OR(C64="",NOT(ISNUMBER(G64))),"",(TODAY()-INT(G64))/365.25)</f>
        <v/>
      </c>
      <c r="P64" s="13">
        <f>IF(OR(C64="",NOT(ISNUMBER(L64))),"",IF(L64&lt;TODAY(),"Ended",IF(L64-TODAY()&lt;=N(Settings!$C$10),"Ends soon","Covered")))</f>
        <v/>
      </c>
      <c r="Q64" s="13">
        <f>IF(C64="","",MID(IF(N64="",", value","")&amp;IF(OR(J64="",J64="No"),", receipt","")&amp;IF(K64="",", photo",""),3,100))</f>
        <v/>
      </c>
      <c r="R64" s="13">
        <f>IF(AND(B64="",C64=""),"",IF(C64="","Needs the item",IF(B64="","Needs a room",IF(COUNTIF(Rooms!$B$6:$B$35,B64)=0,"Not on Rooms",IF(AND(H64&lt;&gt;"",NOT(ISNUMBER(H64))),"Paid not a number",IF(AND(I64&lt;&gt;"",NOT(ISNUMBER(I64))),"Worth not a number",IF(AND(G64&lt;&gt;"",NOT(ISNUMBER(G64))),"Bought is not a date",IF(AND(L64&lt;&gt;"",NOT(ISNUMBER(L64))),"Warranty is not a date",""))))))))</f>
        <v/>
      </c>
      <c r="S64" s="1">
        <f>IF(AND(C64&lt;&gt;"",R64=""),1,0)</f>
        <v/>
      </c>
      <c r="T64">
        <f>IF(S64=1,N(N64),0)</f>
        <v/>
      </c>
      <c r="U64">
        <f>IF(AND(S64=1,T64&gt;0),ROUND(T64*100,0)*10000+10000-ROW(),"")</f>
        <v/>
      </c>
      <c r="V64">
        <f>IF(AND(S64=1,OR(Report!$C$5="",B64=Report!$C$5)),MATCH(B64,Rooms!$B$6:$B$35,0)*10000+ROW(),"")</f>
        <v/>
      </c>
      <c r="W64">
        <f>IF(AND(S64=1,OR(J64="",J64="No")),1,0)</f>
        <v/>
      </c>
      <c r="X64">
        <f>IF(AND(S64=1,K64=""),1,0)</f>
        <v/>
      </c>
      <c r="Y64">
        <f>IF(AND(S64=1,Q64&lt;&gt;""),ROUND(T64*100,0)*10000+10000-ROW(),"")</f>
        <v/>
      </c>
    </row>
    <row r="65">
      <c r="A65" s="1" t="n"/>
      <c r="B65" s="17" t="n"/>
      <c r="C65" s="18" t="n"/>
      <c r="D65" s="17" t="n"/>
      <c r="E65" s="19" t="n"/>
      <c r="F65" s="19" t="n"/>
      <c r="G65" s="20" t="n"/>
      <c r="H65" s="21" t="n"/>
      <c r="I65" s="21" t="n"/>
      <c r="J65" s="17" t="n"/>
      <c r="K65" s="19" t="n"/>
      <c r="L65" s="20" t="n"/>
      <c r="M65" s="19" t="n"/>
      <c r="N65" s="22">
        <f>IF(C65="","",IF(ISNUMBER(I65),I65,IF(ISNUMBER(H65),H65,"")))</f>
        <v/>
      </c>
      <c r="O65" s="23">
        <f>IF(OR(C65="",NOT(ISNUMBER(G65))),"",(TODAY()-INT(G65))/365.25)</f>
        <v/>
      </c>
      <c r="P65" s="13">
        <f>IF(OR(C65="",NOT(ISNUMBER(L65))),"",IF(L65&lt;TODAY(),"Ended",IF(L65-TODAY()&lt;=N(Settings!$C$10),"Ends soon","Covered")))</f>
        <v/>
      </c>
      <c r="Q65" s="13">
        <f>IF(C65="","",MID(IF(N65="",", value","")&amp;IF(OR(J65="",J65="No"),", receipt","")&amp;IF(K65="",", photo",""),3,100))</f>
        <v/>
      </c>
      <c r="R65" s="13">
        <f>IF(AND(B65="",C65=""),"",IF(C65="","Needs the item",IF(B65="","Needs a room",IF(COUNTIF(Rooms!$B$6:$B$35,B65)=0,"Not on Rooms",IF(AND(H65&lt;&gt;"",NOT(ISNUMBER(H65))),"Paid not a number",IF(AND(I65&lt;&gt;"",NOT(ISNUMBER(I65))),"Worth not a number",IF(AND(G65&lt;&gt;"",NOT(ISNUMBER(G65))),"Bought is not a date",IF(AND(L65&lt;&gt;"",NOT(ISNUMBER(L65))),"Warranty is not a date",""))))))))</f>
        <v/>
      </c>
      <c r="S65" s="1">
        <f>IF(AND(C65&lt;&gt;"",R65=""),1,0)</f>
        <v/>
      </c>
      <c r="T65">
        <f>IF(S65=1,N(N65),0)</f>
        <v/>
      </c>
      <c r="U65">
        <f>IF(AND(S65=1,T65&gt;0),ROUND(T65*100,0)*10000+10000-ROW(),"")</f>
        <v/>
      </c>
      <c r="V65">
        <f>IF(AND(S65=1,OR(Report!$C$5="",B65=Report!$C$5)),MATCH(B65,Rooms!$B$6:$B$35,0)*10000+ROW(),"")</f>
        <v/>
      </c>
      <c r="W65">
        <f>IF(AND(S65=1,OR(J65="",J65="No")),1,0)</f>
        <v/>
      </c>
      <c r="X65">
        <f>IF(AND(S65=1,K65=""),1,0)</f>
        <v/>
      </c>
      <c r="Y65">
        <f>IF(AND(S65=1,Q65&lt;&gt;""),ROUND(T65*100,0)*10000+10000-ROW(),"")</f>
        <v/>
      </c>
    </row>
    <row r="66">
      <c r="A66" s="1" t="n"/>
      <c r="B66" s="17" t="n"/>
      <c r="C66" s="18" t="n"/>
      <c r="D66" s="17" t="n"/>
      <c r="E66" s="19" t="n"/>
      <c r="F66" s="19" t="n"/>
      <c r="G66" s="20" t="n"/>
      <c r="H66" s="21" t="n"/>
      <c r="I66" s="21" t="n"/>
      <c r="J66" s="17" t="n"/>
      <c r="K66" s="19" t="n"/>
      <c r="L66" s="20" t="n"/>
      <c r="M66" s="19" t="n"/>
      <c r="N66" s="22">
        <f>IF(C66="","",IF(ISNUMBER(I66),I66,IF(ISNUMBER(H66),H66,"")))</f>
        <v/>
      </c>
      <c r="O66" s="23">
        <f>IF(OR(C66="",NOT(ISNUMBER(G66))),"",(TODAY()-INT(G66))/365.25)</f>
        <v/>
      </c>
      <c r="P66" s="13">
        <f>IF(OR(C66="",NOT(ISNUMBER(L66))),"",IF(L66&lt;TODAY(),"Ended",IF(L66-TODAY()&lt;=N(Settings!$C$10),"Ends soon","Covered")))</f>
        <v/>
      </c>
      <c r="Q66" s="13">
        <f>IF(C66="","",MID(IF(N66="",", value","")&amp;IF(OR(J66="",J66="No"),", receipt","")&amp;IF(K66="",", photo",""),3,100))</f>
        <v/>
      </c>
      <c r="R66" s="13">
        <f>IF(AND(B66="",C66=""),"",IF(C66="","Needs the item",IF(B66="","Needs a room",IF(COUNTIF(Rooms!$B$6:$B$35,B66)=0,"Not on Rooms",IF(AND(H66&lt;&gt;"",NOT(ISNUMBER(H66))),"Paid not a number",IF(AND(I66&lt;&gt;"",NOT(ISNUMBER(I66))),"Worth not a number",IF(AND(G66&lt;&gt;"",NOT(ISNUMBER(G66))),"Bought is not a date",IF(AND(L66&lt;&gt;"",NOT(ISNUMBER(L66))),"Warranty is not a date",""))))))))</f>
        <v/>
      </c>
      <c r="S66" s="1">
        <f>IF(AND(C66&lt;&gt;"",R66=""),1,0)</f>
        <v/>
      </c>
      <c r="T66">
        <f>IF(S66=1,N(N66),0)</f>
        <v/>
      </c>
      <c r="U66">
        <f>IF(AND(S66=1,T66&gt;0),ROUND(T66*100,0)*10000+10000-ROW(),"")</f>
        <v/>
      </c>
      <c r="V66">
        <f>IF(AND(S66=1,OR(Report!$C$5="",B66=Report!$C$5)),MATCH(B66,Rooms!$B$6:$B$35,0)*10000+ROW(),"")</f>
        <v/>
      </c>
      <c r="W66">
        <f>IF(AND(S66=1,OR(J66="",J66="No")),1,0)</f>
        <v/>
      </c>
      <c r="X66">
        <f>IF(AND(S66=1,K66=""),1,0)</f>
        <v/>
      </c>
      <c r="Y66">
        <f>IF(AND(S66=1,Q66&lt;&gt;""),ROUND(T66*100,0)*10000+10000-ROW(),"")</f>
        <v/>
      </c>
    </row>
    <row r="67">
      <c r="A67" s="1" t="n"/>
      <c r="B67" s="17" t="n"/>
      <c r="C67" s="18" t="n"/>
      <c r="D67" s="17" t="n"/>
      <c r="E67" s="19" t="n"/>
      <c r="F67" s="19" t="n"/>
      <c r="G67" s="20" t="n"/>
      <c r="H67" s="21" t="n"/>
      <c r="I67" s="21" t="n"/>
      <c r="J67" s="17" t="n"/>
      <c r="K67" s="19" t="n"/>
      <c r="L67" s="20" t="n"/>
      <c r="M67" s="19" t="n"/>
      <c r="N67" s="22">
        <f>IF(C67="","",IF(ISNUMBER(I67),I67,IF(ISNUMBER(H67),H67,"")))</f>
        <v/>
      </c>
      <c r="O67" s="23">
        <f>IF(OR(C67="",NOT(ISNUMBER(G67))),"",(TODAY()-INT(G67))/365.25)</f>
        <v/>
      </c>
      <c r="P67" s="13">
        <f>IF(OR(C67="",NOT(ISNUMBER(L67))),"",IF(L67&lt;TODAY(),"Ended",IF(L67-TODAY()&lt;=N(Settings!$C$10),"Ends soon","Covered")))</f>
        <v/>
      </c>
      <c r="Q67" s="13">
        <f>IF(C67="","",MID(IF(N67="",", value","")&amp;IF(OR(J67="",J67="No"),", receipt","")&amp;IF(K67="",", photo",""),3,100))</f>
        <v/>
      </c>
      <c r="R67" s="13">
        <f>IF(AND(B67="",C67=""),"",IF(C67="","Needs the item",IF(B67="","Needs a room",IF(COUNTIF(Rooms!$B$6:$B$35,B67)=0,"Not on Rooms",IF(AND(H67&lt;&gt;"",NOT(ISNUMBER(H67))),"Paid not a number",IF(AND(I67&lt;&gt;"",NOT(ISNUMBER(I67))),"Worth not a number",IF(AND(G67&lt;&gt;"",NOT(ISNUMBER(G67))),"Bought is not a date",IF(AND(L67&lt;&gt;"",NOT(ISNUMBER(L67))),"Warranty is not a date",""))))))))</f>
        <v/>
      </c>
      <c r="S67" s="1">
        <f>IF(AND(C67&lt;&gt;"",R67=""),1,0)</f>
        <v/>
      </c>
      <c r="T67">
        <f>IF(S67=1,N(N67),0)</f>
        <v/>
      </c>
      <c r="U67">
        <f>IF(AND(S67=1,T67&gt;0),ROUND(T67*100,0)*10000+10000-ROW(),"")</f>
        <v/>
      </c>
      <c r="V67">
        <f>IF(AND(S67=1,OR(Report!$C$5="",B67=Report!$C$5)),MATCH(B67,Rooms!$B$6:$B$35,0)*10000+ROW(),"")</f>
        <v/>
      </c>
      <c r="W67">
        <f>IF(AND(S67=1,OR(J67="",J67="No")),1,0)</f>
        <v/>
      </c>
      <c r="X67">
        <f>IF(AND(S67=1,K67=""),1,0)</f>
        <v/>
      </c>
      <c r="Y67">
        <f>IF(AND(S67=1,Q67&lt;&gt;""),ROUND(T67*100,0)*10000+10000-ROW(),"")</f>
        <v/>
      </c>
    </row>
    <row r="68">
      <c r="A68" s="1" t="n"/>
      <c r="B68" s="17" t="n"/>
      <c r="C68" s="18" t="n"/>
      <c r="D68" s="17" t="n"/>
      <c r="E68" s="19" t="n"/>
      <c r="F68" s="19" t="n"/>
      <c r="G68" s="20" t="n"/>
      <c r="H68" s="21" t="n"/>
      <c r="I68" s="21" t="n"/>
      <c r="J68" s="17" t="n"/>
      <c r="K68" s="19" t="n"/>
      <c r="L68" s="20" t="n"/>
      <c r="M68" s="19" t="n"/>
      <c r="N68" s="22">
        <f>IF(C68="","",IF(ISNUMBER(I68),I68,IF(ISNUMBER(H68),H68,"")))</f>
        <v/>
      </c>
      <c r="O68" s="23">
        <f>IF(OR(C68="",NOT(ISNUMBER(G68))),"",(TODAY()-INT(G68))/365.25)</f>
        <v/>
      </c>
      <c r="P68" s="13">
        <f>IF(OR(C68="",NOT(ISNUMBER(L68))),"",IF(L68&lt;TODAY(),"Ended",IF(L68-TODAY()&lt;=N(Settings!$C$10),"Ends soon","Covered")))</f>
        <v/>
      </c>
      <c r="Q68" s="13">
        <f>IF(C68="","",MID(IF(N68="",", value","")&amp;IF(OR(J68="",J68="No"),", receipt","")&amp;IF(K68="",", photo",""),3,100))</f>
        <v/>
      </c>
      <c r="R68" s="13">
        <f>IF(AND(B68="",C68=""),"",IF(C68="","Needs the item",IF(B68="","Needs a room",IF(COUNTIF(Rooms!$B$6:$B$35,B68)=0,"Not on Rooms",IF(AND(H68&lt;&gt;"",NOT(ISNUMBER(H68))),"Paid not a number",IF(AND(I68&lt;&gt;"",NOT(ISNUMBER(I68))),"Worth not a number",IF(AND(G68&lt;&gt;"",NOT(ISNUMBER(G68))),"Bought is not a date",IF(AND(L68&lt;&gt;"",NOT(ISNUMBER(L68))),"Warranty is not a date",""))))))))</f>
        <v/>
      </c>
      <c r="S68" s="1">
        <f>IF(AND(C68&lt;&gt;"",R68=""),1,0)</f>
        <v/>
      </c>
      <c r="T68">
        <f>IF(S68=1,N(N68),0)</f>
        <v/>
      </c>
      <c r="U68">
        <f>IF(AND(S68=1,T68&gt;0),ROUND(T68*100,0)*10000+10000-ROW(),"")</f>
        <v/>
      </c>
      <c r="V68">
        <f>IF(AND(S68=1,OR(Report!$C$5="",B68=Report!$C$5)),MATCH(B68,Rooms!$B$6:$B$35,0)*10000+ROW(),"")</f>
        <v/>
      </c>
      <c r="W68">
        <f>IF(AND(S68=1,OR(J68="",J68="No")),1,0)</f>
        <v/>
      </c>
      <c r="X68">
        <f>IF(AND(S68=1,K68=""),1,0)</f>
        <v/>
      </c>
      <c r="Y68">
        <f>IF(AND(S68=1,Q68&lt;&gt;""),ROUND(T68*100,0)*10000+10000-ROW(),"")</f>
        <v/>
      </c>
    </row>
    <row r="69">
      <c r="A69" s="1" t="n"/>
      <c r="B69" s="17" t="n"/>
      <c r="C69" s="18" t="n"/>
      <c r="D69" s="17" t="n"/>
      <c r="E69" s="19" t="n"/>
      <c r="F69" s="19" t="n"/>
      <c r="G69" s="20" t="n"/>
      <c r="H69" s="21" t="n"/>
      <c r="I69" s="21" t="n"/>
      <c r="J69" s="17" t="n"/>
      <c r="K69" s="19" t="n"/>
      <c r="L69" s="20" t="n"/>
      <c r="M69" s="19" t="n"/>
      <c r="N69" s="22">
        <f>IF(C69="","",IF(ISNUMBER(I69),I69,IF(ISNUMBER(H69),H69,"")))</f>
        <v/>
      </c>
      <c r="O69" s="23">
        <f>IF(OR(C69="",NOT(ISNUMBER(G69))),"",(TODAY()-INT(G69))/365.25)</f>
        <v/>
      </c>
      <c r="P69" s="13">
        <f>IF(OR(C69="",NOT(ISNUMBER(L69))),"",IF(L69&lt;TODAY(),"Ended",IF(L69-TODAY()&lt;=N(Settings!$C$10),"Ends soon","Covered")))</f>
        <v/>
      </c>
      <c r="Q69" s="13">
        <f>IF(C69="","",MID(IF(N69="",", value","")&amp;IF(OR(J69="",J69="No"),", receipt","")&amp;IF(K69="",", photo",""),3,100))</f>
        <v/>
      </c>
      <c r="R69" s="13">
        <f>IF(AND(B69="",C69=""),"",IF(C69="","Needs the item",IF(B69="","Needs a room",IF(COUNTIF(Rooms!$B$6:$B$35,B69)=0,"Not on Rooms",IF(AND(H69&lt;&gt;"",NOT(ISNUMBER(H69))),"Paid not a number",IF(AND(I69&lt;&gt;"",NOT(ISNUMBER(I69))),"Worth not a number",IF(AND(G69&lt;&gt;"",NOT(ISNUMBER(G69))),"Bought is not a date",IF(AND(L69&lt;&gt;"",NOT(ISNUMBER(L69))),"Warranty is not a date",""))))))))</f>
        <v/>
      </c>
      <c r="S69" s="1">
        <f>IF(AND(C69&lt;&gt;"",R69=""),1,0)</f>
        <v/>
      </c>
      <c r="T69">
        <f>IF(S69=1,N(N69),0)</f>
        <v/>
      </c>
      <c r="U69">
        <f>IF(AND(S69=1,T69&gt;0),ROUND(T69*100,0)*10000+10000-ROW(),"")</f>
        <v/>
      </c>
      <c r="V69">
        <f>IF(AND(S69=1,OR(Report!$C$5="",B69=Report!$C$5)),MATCH(B69,Rooms!$B$6:$B$35,0)*10000+ROW(),"")</f>
        <v/>
      </c>
      <c r="W69">
        <f>IF(AND(S69=1,OR(J69="",J69="No")),1,0)</f>
        <v/>
      </c>
      <c r="X69">
        <f>IF(AND(S69=1,K69=""),1,0)</f>
        <v/>
      </c>
      <c r="Y69">
        <f>IF(AND(S69=1,Q69&lt;&gt;""),ROUND(T69*100,0)*10000+10000-ROW(),"")</f>
        <v/>
      </c>
    </row>
    <row r="70">
      <c r="A70" s="1" t="n"/>
      <c r="B70" s="17" t="n"/>
      <c r="C70" s="18" t="n"/>
      <c r="D70" s="17" t="n"/>
      <c r="E70" s="19" t="n"/>
      <c r="F70" s="19" t="n"/>
      <c r="G70" s="20" t="n"/>
      <c r="H70" s="21" t="n"/>
      <c r="I70" s="21" t="n"/>
      <c r="J70" s="17" t="n"/>
      <c r="K70" s="19" t="n"/>
      <c r="L70" s="20" t="n"/>
      <c r="M70" s="19" t="n"/>
      <c r="N70" s="22">
        <f>IF(C70="","",IF(ISNUMBER(I70),I70,IF(ISNUMBER(H70),H70,"")))</f>
        <v/>
      </c>
      <c r="O70" s="23">
        <f>IF(OR(C70="",NOT(ISNUMBER(G70))),"",(TODAY()-INT(G70))/365.25)</f>
        <v/>
      </c>
      <c r="P70" s="13">
        <f>IF(OR(C70="",NOT(ISNUMBER(L70))),"",IF(L70&lt;TODAY(),"Ended",IF(L70-TODAY()&lt;=N(Settings!$C$10),"Ends soon","Covered")))</f>
        <v/>
      </c>
      <c r="Q70" s="13">
        <f>IF(C70="","",MID(IF(N70="",", value","")&amp;IF(OR(J70="",J70="No"),", receipt","")&amp;IF(K70="",", photo",""),3,100))</f>
        <v/>
      </c>
      <c r="R70" s="13">
        <f>IF(AND(B70="",C70=""),"",IF(C70="","Needs the item",IF(B70="","Needs a room",IF(COUNTIF(Rooms!$B$6:$B$35,B70)=0,"Not on Rooms",IF(AND(H70&lt;&gt;"",NOT(ISNUMBER(H70))),"Paid not a number",IF(AND(I70&lt;&gt;"",NOT(ISNUMBER(I70))),"Worth not a number",IF(AND(G70&lt;&gt;"",NOT(ISNUMBER(G70))),"Bought is not a date",IF(AND(L70&lt;&gt;"",NOT(ISNUMBER(L70))),"Warranty is not a date",""))))))))</f>
        <v/>
      </c>
      <c r="S70" s="1">
        <f>IF(AND(C70&lt;&gt;"",R70=""),1,0)</f>
        <v/>
      </c>
      <c r="T70">
        <f>IF(S70=1,N(N70),0)</f>
        <v/>
      </c>
      <c r="U70">
        <f>IF(AND(S70=1,T70&gt;0),ROUND(T70*100,0)*10000+10000-ROW(),"")</f>
        <v/>
      </c>
      <c r="V70">
        <f>IF(AND(S70=1,OR(Report!$C$5="",B70=Report!$C$5)),MATCH(B70,Rooms!$B$6:$B$35,0)*10000+ROW(),"")</f>
        <v/>
      </c>
      <c r="W70">
        <f>IF(AND(S70=1,OR(J70="",J70="No")),1,0)</f>
        <v/>
      </c>
      <c r="X70">
        <f>IF(AND(S70=1,K70=""),1,0)</f>
        <v/>
      </c>
      <c r="Y70">
        <f>IF(AND(S70=1,Q70&lt;&gt;""),ROUND(T70*100,0)*10000+10000-ROW(),"")</f>
        <v/>
      </c>
    </row>
    <row r="71">
      <c r="A71" s="1" t="n"/>
      <c r="B71" s="17" t="n"/>
      <c r="C71" s="18" t="n"/>
      <c r="D71" s="17" t="n"/>
      <c r="E71" s="19" t="n"/>
      <c r="F71" s="19" t="n"/>
      <c r="G71" s="20" t="n"/>
      <c r="H71" s="21" t="n"/>
      <c r="I71" s="21" t="n"/>
      <c r="J71" s="17" t="n"/>
      <c r="K71" s="19" t="n"/>
      <c r="L71" s="20" t="n"/>
      <c r="M71" s="19" t="n"/>
      <c r="N71" s="22">
        <f>IF(C71="","",IF(ISNUMBER(I71),I71,IF(ISNUMBER(H71),H71,"")))</f>
        <v/>
      </c>
      <c r="O71" s="23">
        <f>IF(OR(C71="",NOT(ISNUMBER(G71))),"",(TODAY()-INT(G71))/365.25)</f>
        <v/>
      </c>
      <c r="P71" s="13">
        <f>IF(OR(C71="",NOT(ISNUMBER(L71))),"",IF(L71&lt;TODAY(),"Ended",IF(L71-TODAY()&lt;=N(Settings!$C$10),"Ends soon","Covered")))</f>
        <v/>
      </c>
      <c r="Q71" s="13">
        <f>IF(C71="","",MID(IF(N71="",", value","")&amp;IF(OR(J71="",J71="No"),", receipt","")&amp;IF(K71="",", photo",""),3,100))</f>
        <v/>
      </c>
      <c r="R71" s="13">
        <f>IF(AND(B71="",C71=""),"",IF(C71="","Needs the item",IF(B71="","Needs a room",IF(COUNTIF(Rooms!$B$6:$B$35,B71)=0,"Not on Rooms",IF(AND(H71&lt;&gt;"",NOT(ISNUMBER(H71))),"Paid not a number",IF(AND(I71&lt;&gt;"",NOT(ISNUMBER(I71))),"Worth not a number",IF(AND(G71&lt;&gt;"",NOT(ISNUMBER(G71))),"Bought is not a date",IF(AND(L71&lt;&gt;"",NOT(ISNUMBER(L71))),"Warranty is not a date",""))))))))</f>
        <v/>
      </c>
      <c r="S71" s="1">
        <f>IF(AND(C71&lt;&gt;"",R71=""),1,0)</f>
        <v/>
      </c>
      <c r="T71">
        <f>IF(S71=1,N(N71),0)</f>
        <v/>
      </c>
      <c r="U71">
        <f>IF(AND(S71=1,T71&gt;0),ROUND(T71*100,0)*10000+10000-ROW(),"")</f>
        <v/>
      </c>
      <c r="V71">
        <f>IF(AND(S71=1,OR(Report!$C$5="",B71=Report!$C$5)),MATCH(B71,Rooms!$B$6:$B$35,0)*10000+ROW(),"")</f>
        <v/>
      </c>
      <c r="W71">
        <f>IF(AND(S71=1,OR(J71="",J71="No")),1,0)</f>
        <v/>
      </c>
      <c r="X71">
        <f>IF(AND(S71=1,K71=""),1,0)</f>
        <v/>
      </c>
      <c r="Y71">
        <f>IF(AND(S71=1,Q71&lt;&gt;""),ROUND(T71*100,0)*10000+10000-ROW(),"")</f>
        <v/>
      </c>
    </row>
    <row r="72">
      <c r="A72" s="1" t="n"/>
      <c r="B72" s="17" t="n"/>
      <c r="C72" s="18" t="n"/>
      <c r="D72" s="17" t="n"/>
      <c r="E72" s="19" t="n"/>
      <c r="F72" s="19" t="n"/>
      <c r="G72" s="20" t="n"/>
      <c r="H72" s="21" t="n"/>
      <c r="I72" s="21" t="n"/>
      <c r="J72" s="17" t="n"/>
      <c r="K72" s="19" t="n"/>
      <c r="L72" s="20" t="n"/>
      <c r="M72" s="19" t="n"/>
      <c r="N72" s="22">
        <f>IF(C72="","",IF(ISNUMBER(I72),I72,IF(ISNUMBER(H72),H72,"")))</f>
        <v/>
      </c>
      <c r="O72" s="23">
        <f>IF(OR(C72="",NOT(ISNUMBER(G72))),"",(TODAY()-INT(G72))/365.25)</f>
        <v/>
      </c>
      <c r="P72" s="13">
        <f>IF(OR(C72="",NOT(ISNUMBER(L72))),"",IF(L72&lt;TODAY(),"Ended",IF(L72-TODAY()&lt;=N(Settings!$C$10),"Ends soon","Covered")))</f>
        <v/>
      </c>
      <c r="Q72" s="13">
        <f>IF(C72="","",MID(IF(N72="",", value","")&amp;IF(OR(J72="",J72="No"),", receipt","")&amp;IF(K72="",", photo",""),3,100))</f>
        <v/>
      </c>
      <c r="R72" s="13">
        <f>IF(AND(B72="",C72=""),"",IF(C72="","Needs the item",IF(B72="","Needs a room",IF(COUNTIF(Rooms!$B$6:$B$35,B72)=0,"Not on Rooms",IF(AND(H72&lt;&gt;"",NOT(ISNUMBER(H72))),"Paid not a number",IF(AND(I72&lt;&gt;"",NOT(ISNUMBER(I72))),"Worth not a number",IF(AND(G72&lt;&gt;"",NOT(ISNUMBER(G72))),"Bought is not a date",IF(AND(L72&lt;&gt;"",NOT(ISNUMBER(L72))),"Warranty is not a date",""))))))))</f>
        <v/>
      </c>
      <c r="S72" s="1">
        <f>IF(AND(C72&lt;&gt;"",R72=""),1,0)</f>
        <v/>
      </c>
      <c r="T72">
        <f>IF(S72=1,N(N72),0)</f>
        <v/>
      </c>
      <c r="U72">
        <f>IF(AND(S72=1,T72&gt;0),ROUND(T72*100,0)*10000+10000-ROW(),"")</f>
        <v/>
      </c>
      <c r="V72">
        <f>IF(AND(S72=1,OR(Report!$C$5="",B72=Report!$C$5)),MATCH(B72,Rooms!$B$6:$B$35,0)*10000+ROW(),"")</f>
        <v/>
      </c>
      <c r="W72">
        <f>IF(AND(S72=1,OR(J72="",J72="No")),1,0)</f>
        <v/>
      </c>
      <c r="X72">
        <f>IF(AND(S72=1,K72=""),1,0)</f>
        <v/>
      </c>
      <c r="Y72">
        <f>IF(AND(S72=1,Q72&lt;&gt;""),ROUND(T72*100,0)*10000+10000-ROW(),"")</f>
        <v/>
      </c>
    </row>
    <row r="73">
      <c r="A73" s="1" t="n"/>
      <c r="B73" s="17" t="n"/>
      <c r="C73" s="18" t="n"/>
      <c r="D73" s="17" t="n"/>
      <c r="E73" s="19" t="n"/>
      <c r="F73" s="19" t="n"/>
      <c r="G73" s="20" t="n"/>
      <c r="H73" s="21" t="n"/>
      <c r="I73" s="21" t="n"/>
      <c r="J73" s="17" t="n"/>
      <c r="K73" s="19" t="n"/>
      <c r="L73" s="20" t="n"/>
      <c r="M73" s="19" t="n"/>
      <c r="N73" s="22">
        <f>IF(C73="","",IF(ISNUMBER(I73),I73,IF(ISNUMBER(H73),H73,"")))</f>
        <v/>
      </c>
      <c r="O73" s="23">
        <f>IF(OR(C73="",NOT(ISNUMBER(G73))),"",(TODAY()-INT(G73))/365.25)</f>
        <v/>
      </c>
      <c r="P73" s="13">
        <f>IF(OR(C73="",NOT(ISNUMBER(L73))),"",IF(L73&lt;TODAY(),"Ended",IF(L73-TODAY()&lt;=N(Settings!$C$10),"Ends soon","Covered")))</f>
        <v/>
      </c>
      <c r="Q73" s="13">
        <f>IF(C73="","",MID(IF(N73="",", value","")&amp;IF(OR(J73="",J73="No"),", receipt","")&amp;IF(K73="",", photo",""),3,100))</f>
        <v/>
      </c>
      <c r="R73" s="13">
        <f>IF(AND(B73="",C73=""),"",IF(C73="","Needs the item",IF(B73="","Needs a room",IF(COUNTIF(Rooms!$B$6:$B$35,B73)=0,"Not on Rooms",IF(AND(H73&lt;&gt;"",NOT(ISNUMBER(H73))),"Paid not a number",IF(AND(I73&lt;&gt;"",NOT(ISNUMBER(I73))),"Worth not a number",IF(AND(G73&lt;&gt;"",NOT(ISNUMBER(G73))),"Bought is not a date",IF(AND(L73&lt;&gt;"",NOT(ISNUMBER(L73))),"Warranty is not a date",""))))))))</f>
        <v/>
      </c>
      <c r="S73" s="1">
        <f>IF(AND(C73&lt;&gt;"",R73=""),1,0)</f>
        <v/>
      </c>
      <c r="T73">
        <f>IF(S73=1,N(N73),0)</f>
        <v/>
      </c>
      <c r="U73">
        <f>IF(AND(S73=1,T73&gt;0),ROUND(T73*100,0)*10000+10000-ROW(),"")</f>
        <v/>
      </c>
      <c r="V73">
        <f>IF(AND(S73=1,OR(Report!$C$5="",B73=Report!$C$5)),MATCH(B73,Rooms!$B$6:$B$35,0)*10000+ROW(),"")</f>
        <v/>
      </c>
      <c r="W73">
        <f>IF(AND(S73=1,OR(J73="",J73="No")),1,0)</f>
        <v/>
      </c>
      <c r="X73">
        <f>IF(AND(S73=1,K73=""),1,0)</f>
        <v/>
      </c>
      <c r="Y73">
        <f>IF(AND(S73=1,Q73&lt;&gt;""),ROUND(T73*100,0)*10000+10000-ROW(),"")</f>
        <v/>
      </c>
    </row>
    <row r="74">
      <c r="A74" s="1" t="n"/>
      <c r="B74" s="17" t="n"/>
      <c r="C74" s="18" t="n"/>
      <c r="D74" s="17" t="n"/>
      <c r="E74" s="19" t="n"/>
      <c r="F74" s="19" t="n"/>
      <c r="G74" s="20" t="n"/>
      <c r="H74" s="21" t="n"/>
      <c r="I74" s="21" t="n"/>
      <c r="J74" s="17" t="n"/>
      <c r="K74" s="19" t="n"/>
      <c r="L74" s="20" t="n"/>
      <c r="M74" s="19" t="n"/>
      <c r="N74" s="22">
        <f>IF(C74="","",IF(ISNUMBER(I74),I74,IF(ISNUMBER(H74),H74,"")))</f>
        <v/>
      </c>
      <c r="O74" s="23">
        <f>IF(OR(C74="",NOT(ISNUMBER(G74))),"",(TODAY()-INT(G74))/365.25)</f>
        <v/>
      </c>
      <c r="P74" s="13">
        <f>IF(OR(C74="",NOT(ISNUMBER(L74))),"",IF(L74&lt;TODAY(),"Ended",IF(L74-TODAY()&lt;=N(Settings!$C$10),"Ends soon","Covered")))</f>
        <v/>
      </c>
      <c r="Q74" s="13">
        <f>IF(C74="","",MID(IF(N74="",", value","")&amp;IF(OR(J74="",J74="No"),", receipt","")&amp;IF(K74="",", photo",""),3,100))</f>
        <v/>
      </c>
      <c r="R74" s="13">
        <f>IF(AND(B74="",C74=""),"",IF(C74="","Needs the item",IF(B74="","Needs a room",IF(COUNTIF(Rooms!$B$6:$B$35,B74)=0,"Not on Rooms",IF(AND(H74&lt;&gt;"",NOT(ISNUMBER(H74))),"Paid not a number",IF(AND(I74&lt;&gt;"",NOT(ISNUMBER(I74))),"Worth not a number",IF(AND(G74&lt;&gt;"",NOT(ISNUMBER(G74))),"Bought is not a date",IF(AND(L74&lt;&gt;"",NOT(ISNUMBER(L74))),"Warranty is not a date",""))))))))</f>
        <v/>
      </c>
      <c r="S74" s="1">
        <f>IF(AND(C74&lt;&gt;"",R74=""),1,0)</f>
        <v/>
      </c>
      <c r="T74">
        <f>IF(S74=1,N(N74),0)</f>
        <v/>
      </c>
      <c r="U74">
        <f>IF(AND(S74=1,T74&gt;0),ROUND(T74*100,0)*10000+10000-ROW(),"")</f>
        <v/>
      </c>
      <c r="V74">
        <f>IF(AND(S74=1,OR(Report!$C$5="",B74=Report!$C$5)),MATCH(B74,Rooms!$B$6:$B$35,0)*10000+ROW(),"")</f>
        <v/>
      </c>
      <c r="W74">
        <f>IF(AND(S74=1,OR(J74="",J74="No")),1,0)</f>
        <v/>
      </c>
      <c r="X74">
        <f>IF(AND(S74=1,K74=""),1,0)</f>
        <v/>
      </c>
      <c r="Y74">
        <f>IF(AND(S74=1,Q74&lt;&gt;""),ROUND(T74*100,0)*10000+10000-ROW(),"")</f>
        <v/>
      </c>
    </row>
    <row r="75">
      <c r="A75" s="1" t="n"/>
      <c r="B75" s="17" t="n"/>
      <c r="C75" s="18" t="n"/>
      <c r="D75" s="17" t="n"/>
      <c r="E75" s="19" t="n"/>
      <c r="F75" s="19" t="n"/>
      <c r="G75" s="20" t="n"/>
      <c r="H75" s="21" t="n"/>
      <c r="I75" s="21" t="n"/>
      <c r="J75" s="17" t="n"/>
      <c r="K75" s="19" t="n"/>
      <c r="L75" s="20" t="n"/>
      <c r="M75" s="19" t="n"/>
      <c r="N75" s="22">
        <f>IF(C75="","",IF(ISNUMBER(I75),I75,IF(ISNUMBER(H75),H75,"")))</f>
        <v/>
      </c>
      <c r="O75" s="23">
        <f>IF(OR(C75="",NOT(ISNUMBER(G75))),"",(TODAY()-INT(G75))/365.25)</f>
        <v/>
      </c>
      <c r="P75" s="13">
        <f>IF(OR(C75="",NOT(ISNUMBER(L75))),"",IF(L75&lt;TODAY(),"Ended",IF(L75-TODAY()&lt;=N(Settings!$C$10),"Ends soon","Covered")))</f>
        <v/>
      </c>
      <c r="Q75" s="13">
        <f>IF(C75="","",MID(IF(N75="",", value","")&amp;IF(OR(J75="",J75="No"),", receipt","")&amp;IF(K75="",", photo",""),3,100))</f>
        <v/>
      </c>
      <c r="R75" s="13">
        <f>IF(AND(B75="",C75=""),"",IF(C75="","Needs the item",IF(B75="","Needs a room",IF(COUNTIF(Rooms!$B$6:$B$35,B75)=0,"Not on Rooms",IF(AND(H75&lt;&gt;"",NOT(ISNUMBER(H75))),"Paid not a number",IF(AND(I75&lt;&gt;"",NOT(ISNUMBER(I75))),"Worth not a number",IF(AND(G75&lt;&gt;"",NOT(ISNUMBER(G75))),"Bought is not a date",IF(AND(L75&lt;&gt;"",NOT(ISNUMBER(L75))),"Warranty is not a date",""))))))))</f>
        <v/>
      </c>
      <c r="S75" s="1">
        <f>IF(AND(C75&lt;&gt;"",R75=""),1,0)</f>
        <v/>
      </c>
      <c r="T75">
        <f>IF(S75=1,N(N75),0)</f>
        <v/>
      </c>
      <c r="U75">
        <f>IF(AND(S75=1,T75&gt;0),ROUND(T75*100,0)*10000+10000-ROW(),"")</f>
        <v/>
      </c>
      <c r="V75">
        <f>IF(AND(S75=1,OR(Report!$C$5="",B75=Report!$C$5)),MATCH(B75,Rooms!$B$6:$B$35,0)*10000+ROW(),"")</f>
        <v/>
      </c>
      <c r="W75">
        <f>IF(AND(S75=1,OR(J75="",J75="No")),1,0)</f>
        <v/>
      </c>
      <c r="X75">
        <f>IF(AND(S75=1,K75=""),1,0)</f>
        <v/>
      </c>
      <c r="Y75">
        <f>IF(AND(S75=1,Q75&lt;&gt;""),ROUND(T75*100,0)*10000+10000-ROW(),"")</f>
        <v/>
      </c>
    </row>
    <row r="76">
      <c r="A76" s="1" t="n"/>
      <c r="B76" s="17" t="n"/>
      <c r="C76" s="18" t="n"/>
      <c r="D76" s="17" t="n"/>
      <c r="E76" s="19" t="n"/>
      <c r="F76" s="19" t="n"/>
      <c r="G76" s="20" t="n"/>
      <c r="H76" s="21" t="n"/>
      <c r="I76" s="21" t="n"/>
      <c r="J76" s="17" t="n"/>
      <c r="K76" s="19" t="n"/>
      <c r="L76" s="20" t="n"/>
      <c r="M76" s="19" t="n"/>
      <c r="N76" s="22">
        <f>IF(C76="","",IF(ISNUMBER(I76),I76,IF(ISNUMBER(H76),H76,"")))</f>
        <v/>
      </c>
      <c r="O76" s="23">
        <f>IF(OR(C76="",NOT(ISNUMBER(G76))),"",(TODAY()-INT(G76))/365.25)</f>
        <v/>
      </c>
      <c r="P76" s="13">
        <f>IF(OR(C76="",NOT(ISNUMBER(L76))),"",IF(L76&lt;TODAY(),"Ended",IF(L76-TODAY()&lt;=N(Settings!$C$10),"Ends soon","Covered")))</f>
        <v/>
      </c>
      <c r="Q76" s="13">
        <f>IF(C76="","",MID(IF(N76="",", value","")&amp;IF(OR(J76="",J76="No"),", receipt","")&amp;IF(K76="",", photo",""),3,100))</f>
        <v/>
      </c>
      <c r="R76" s="13">
        <f>IF(AND(B76="",C76=""),"",IF(C76="","Needs the item",IF(B76="","Needs a room",IF(COUNTIF(Rooms!$B$6:$B$35,B76)=0,"Not on Rooms",IF(AND(H76&lt;&gt;"",NOT(ISNUMBER(H76))),"Paid not a number",IF(AND(I76&lt;&gt;"",NOT(ISNUMBER(I76))),"Worth not a number",IF(AND(G76&lt;&gt;"",NOT(ISNUMBER(G76))),"Bought is not a date",IF(AND(L76&lt;&gt;"",NOT(ISNUMBER(L76))),"Warranty is not a date",""))))))))</f>
        <v/>
      </c>
      <c r="S76" s="1">
        <f>IF(AND(C76&lt;&gt;"",R76=""),1,0)</f>
        <v/>
      </c>
      <c r="T76">
        <f>IF(S76=1,N(N76),0)</f>
        <v/>
      </c>
      <c r="U76">
        <f>IF(AND(S76=1,T76&gt;0),ROUND(T76*100,0)*10000+10000-ROW(),"")</f>
        <v/>
      </c>
      <c r="V76">
        <f>IF(AND(S76=1,OR(Report!$C$5="",B76=Report!$C$5)),MATCH(B76,Rooms!$B$6:$B$35,0)*10000+ROW(),"")</f>
        <v/>
      </c>
      <c r="W76">
        <f>IF(AND(S76=1,OR(J76="",J76="No")),1,0)</f>
        <v/>
      </c>
      <c r="X76">
        <f>IF(AND(S76=1,K76=""),1,0)</f>
        <v/>
      </c>
      <c r="Y76">
        <f>IF(AND(S76=1,Q76&lt;&gt;""),ROUND(T76*100,0)*10000+10000-ROW(),"")</f>
        <v/>
      </c>
    </row>
    <row r="77">
      <c r="A77" s="1" t="n"/>
      <c r="B77" s="17" t="n"/>
      <c r="C77" s="18" t="n"/>
      <c r="D77" s="17" t="n"/>
      <c r="E77" s="19" t="n"/>
      <c r="F77" s="19" t="n"/>
      <c r="G77" s="20" t="n"/>
      <c r="H77" s="21" t="n"/>
      <c r="I77" s="21" t="n"/>
      <c r="J77" s="17" t="n"/>
      <c r="K77" s="19" t="n"/>
      <c r="L77" s="20" t="n"/>
      <c r="M77" s="19" t="n"/>
      <c r="N77" s="22">
        <f>IF(C77="","",IF(ISNUMBER(I77),I77,IF(ISNUMBER(H77),H77,"")))</f>
        <v/>
      </c>
      <c r="O77" s="23">
        <f>IF(OR(C77="",NOT(ISNUMBER(G77))),"",(TODAY()-INT(G77))/365.25)</f>
        <v/>
      </c>
      <c r="P77" s="13">
        <f>IF(OR(C77="",NOT(ISNUMBER(L77))),"",IF(L77&lt;TODAY(),"Ended",IF(L77-TODAY()&lt;=N(Settings!$C$10),"Ends soon","Covered")))</f>
        <v/>
      </c>
      <c r="Q77" s="13">
        <f>IF(C77="","",MID(IF(N77="",", value","")&amp;IF(OR(J77="",J77="No"),", receipt","")&amp;IF(K77="",", photo",""),3,100))</f>
        <v/>
      </c>
      <c r="R77" s="13">
        <f>IF(AND(B77="",C77=""),"",IF(C77="","Needs the item",IF(B77="","Needs a room",IF(COUNTIF(Rooms!$B$6:$B$35,B77)=0,"Not on Rooms",IF(AND(H77&lt;&gt;"",NOT(ISNUMBER(H77))),"Paid not a number",IF(AND(I77&lt;&gt;"",NOT(ISNUMBER(I77))),"Worth not a number",IF(AND(G77&lt;&gt;"",NOT(ISNUMBER(G77))),"Bought is not a date",IF(AND(L77&lt;&gt;"",NOT(ISNUMBER(L77))),"Warranty is not a date",""))))))))</f>
        <v/>
      </c>
      <c r="S77" s="1">
        <f>IF(AND(C77&lt;&gt;"",R77=""),1,0)</f>
        <v/>
      </c>
      <c r="T77">
        <f>IF(S77=1,N(N77),0)</f>
        <v/>
      </c>
      <c r="U77">
        <f>IF(AND(S77=1,T77&gt;0),ROUND(T77*100,0)*10000+10000-ROW(),"")</f>
        <v/>
      </c>
      <c r="V77">
        <f>IF(AND(S77=1,OR(Report!$C$5="",B77=Report!$C$5)),MATCH(B77,Rooms!$B$6:$B$35,0)*10000+ROW(),"")</f>
        <v/>
      </c>
      <c r="W77">
        <f>IF(AND(S77=1,OR(J77="",J77="No")),1,0)</f>
        <v/>
      </c>
      <c r="X77">
        <f>IF(AND(S77=1,K77=""),1,0)</f>
        <v/>
      </c>
      <c r="Y77">
        <f>IF(AND(S77=1,Q77&lt;&gt;""),ROUND(T77*100,0)*10000+10000-ROW(),"")</f>
        <v/>
      </c>
    </row>
    <row r="78">
      <c r="A78" s="1" t="n"/>
      <c r="B78" s="17" t="n"/>
      <c r="C78" s="18" t="n"/>
      <c r="D78" s="17" t="n"/>
      <c r="E78" s="19" t="n"/>
      <c r="F78" s="19" t="n"/>
      <c r="G78" s="20" t="n"/>
      <c r="H78" s="21" t="n"/>
      <c r="I78" s="21" t="n"/>
      <c r="J78" s="17" t="n"/>
      <c r="K78" s="19" t="n"/>
      <c r="L78" s="20" t="n"/>
      <c r="M78" s="19" t="n"/>
      <c r="N78" s="22">
        <f>IF(C78="","",IF(ISNUMBER(I78),I78,IF(ISNUMBER(H78),H78,"")))</f>
        <v/>
      </c>
      <c r="O78" s="23">
        <f>IF(OR(C78="",NOT(ISNUMBER(G78))),"",(TODAY()-INT(G78))/365.25)</f>
        <v/>
      </c>
      <c r="P78" s="13">
        <f>IF(OR(C78="",NOT(ISNUMBER(L78))),"",IF(L78&lt;TODAY(),"Ended",IF(L78-TODAY()&lt;=N(Settings!$C$10),"Ends soon","Covered")))</f>
        <v/>
      </c>
      <c r="Q78" s="13">
        <f>IF(C78="","",MID(IF(N78="",", value","")&amp;IF(OR(J78="",J78="No"),", receipt","")&amp;IF(K78="",", photo",""),3,100))</f>
        <v/>
      </c>
      <c r="R78" s="13">
        <f>IF(AND(B78="",C78=""),"",IF(C78="","Needs the item",IF(B78="","Needs a room",IF(COUNTIF(Rooms!$B$6:$B$35,B78)=0,"Not on Rooms",IF(AND(H78&lt;&gt;"",NOT(ISNUMBER(H78))),"Paid not a number",IF(AND(I78&lt;&gt;"",NOT(ISNUMBER(I78))),"Worth not a number",IF(AND(G78&lt;&gt;"",NOT(ISNUMBER(G78))),"Bought is not a date",IF(AND(L78&lt;&gt;"",NOT(ISNUMBER(L78))),"Warranty is not a date",""))))))))</f>
        <v/>
      </c>
      <c r="S78" s="1">
        <f>IF(AND(C78&lt;&gt;"",R78=""),1,0)</f>
        <v/>
      </c>
      <c r="T78">
        <f>IF(S78=1,N(N78),0)</f>
        <v/>
      </c>
      <c r="U78">
        <f>IF(AND(S78=1,T78&gt;0),ROUND(T78*100,0)*10000+10000-ROW(),"")</f>
        <v/>
      </c>
      <c r="V78">
        <f>IF(AND(S78=1,OR(Report!$C$5="",B78=Report!$C$5)),MATCH(B78,Rooms!$B$6:$B$35,0)*10000+ROW(),"")</f>
        <v/>
      </c>
      <c r="W78">
        <f>IF(AND(S78=1,OR(J78="",J78="No")),1,0)</f>
        <v/>
      </c>
      <c r="X78">
        <f>IF(AND(S78=1,K78=""),1,0)</f>
        <v/>
      </c>
      <c r="Y78">
        <f>IF(AND(S78=1,Q78&lt;&gt;""),ROUND(T78*100,0)*10000+10000-ROW(),"")</f>
        <v/>
      </c>
    </row>
    <row r="79">
      <c r="A79" s="1" t="n"/>
      <c r="B79" s="17" t="n"/>
      <c r="C79" s="18" t="n"/>
      <c r="D79" s="17" t="n"/>
      <c r="E79" s="19" t="n"/>
      <c r="F79" s="19" t="n"/>
      <c r="G79" s="20" t="n"/>
      <c r="H79" s="21" t="n"/>
      <c r="I79" s="21" t="n"/>
      <c r="J79" s="17" t="n"/>
      <c r="K79" s="19" t="n"/>
      <c r="L79" s="20" t="n"/>
      <c r="M79" s="19" t="n"/>
      <c r="N79" s="22">
        <f>IF(C79="","",IF(ISNUMBER(I79),I79,IF(ISNUMBER(H79),H79,"")))</f>
        <v/>
      </c>
      <c r="O79" s="23">
        <f>IF(OR(C79="",NOT(ISNUMBER(G79))),"",(TODAY()-INT(G79))/365.25)</f>
        <v/>
      </c>
      <c r="P79" s="13">
        <f>IF(OR(C79="",NOT(ISNUMBER(L79))),"",IF(L79&lt;TODAY(),"Ended",IF(L79-TODAY()&lt;=N(Settings!$C$10),"Ends soon","Covered")))</f>
        <v/>
      </c>
      <c r="Q79" s="13">
        <f>IF(C79="","",MID(IF(N79="",", value","")&amp;IF(OR(J79="",J79="No"),", receipt","")&amp;IF(K79="",", photo",""),3,100))</f>
        <v/>
      </c>
      <c r="R79" s="13">
        <f>IF(AND(B79="",C79=""),"",IF(C79="","Needs the item",IF(B79="","Needs a room",IF(COUNTIF(Rooms!$B$6:$B$35,B79)=0,"Not on Rooms",IF(AND(H79&lt;&gt;"",NOT(ISNUMBER(H79))),"Paid not a number",IF(AND(I79&lt;&gt;"",NOT(ISNUMBER(I79))),"Worth not a number",IF(AND(G79&lt;&gt;"",NOT(ISNUMBER(G79))),"Bought is not a date",IF(AND(L79&lt;&gt;"",NOT(ISNUMBER(L79))),"Warranty is not a date",""))))))))</f>
        <v/>
      </c>
      <c r="S79" s="1">
        <f>IF(AND(C79&lt;&gt;"",R79=""),1,0)</f>
        <v/>
      </c>
      <c r="T79">
        <f>IF(S79=1,N(N79),0)</f>
        <v/>
      </c>
      <c r="U79">
        <f>IF(AND(S79=1,T79&gt;0),ROUND(T79*100,0)*10000+10000-ROW(),"")</f>
        <v/>
      </c>
      <c r="V79">
        <f>IF(AND(S79=1,OR(Report!$C$5="",B79=Report!$C$5)),MATCH(B79,Rooms!$B$6:$B$35,0)*10000+ROW(),"")</f>
        <v/>
      </c>
      <c r="W79">
        <f>IF(AND(S79=1,OR(J79="",J79="No")),1,0)</f>
        <v/>
      </c>
      <c r="X79">
        <f>IF(AND(S79=1,K79=""),1,0)</f>
        <v/>
      </c>
      <c r="Y79">
        <f>IF(AND(S79=1,Q79&lt;&gt;""),ROUND(T79*100,0)*10000+10000-ROW(),"")</f>
        <v/>
      </c>
    </row>
    <row r="80">
      <c r="A80" s="1" t="n"/>
      <c r="B80" s="17" t="n"/>
      <c r="C80" s="18" t="n"/>
      <c r="D80" s="17" t="n"/>
      <c r="E80" s="19" t="n"/>
      <c r="F80" s="19" t="n"/>
      <c r="G80" s="20" t="n"/>
      <c r="H80" s="21" t="n"/>
      <c r="I80" s="21" t="n"/>
      <c r="J80" s="17" t="n"/>
      <c r="K80" s="19" t="n"/>
      <c r="L80" s="20" t="n"/>
      <c r="M80" s="19" t="n"/>
      <c r="N80" s="22">
        <f>IF(C80="","",IF(ISNUMBER(I80),I80,IF(ISNUMBER(H80),H80,"")))</f>
        <v/>
      </c>
      <c r="O80" s="23">
        <f>IF(OR(C80="",NOT(ISNUMBER(G80))),"",(TODAY()-INT(G80))/365.25)</f>
        <v/>
      </c>
      <c r="P80" s="13">
        <f>IF(OR(C80="",NOT(ISNUMBER(L80))),"",IF(L80&lt;TODAY(),"Ended",IF(L80-TODAY()&lt;=N(Settings!$C$10),"Ends soon","Covered")))</f>
        <v/>
      </c>
      <c r="Q80" s="13">
        <f>IF(C80="","",MID(IF(N80="",", value","")&amp;IF(OR(J80="",J80="No"),", receipt","")&amp;IF(K80="",", photo",""),3,100))</f>
        <v/>
      </c>
      <c r="R80" s="13">
        <f>IF(AND(B80="",C80=""),"",IF(C80="","Needs the item",IF(B80="","Needs a room",IF(COUNTIF(Rooms!$B$6:$B$35,B80)=0,"Not on Rooms",IF(AND(H80&lt;&gt;"",NOT(ISNUMBER(H80))),"Paid not a number",IF(AND(I80&lt;&gt;"",NOT(ISNUMBER(I80))),"Worth not a number",IF(AND(G80&lt;&gt;"",NOT(ISNUMBER(G80))),"Bought is not a date",IF(AND(L80&lt;&gt;"",NOT(ISNUMBER(L80))),"Warranty is not a date",""))))))))</f>
        <v/>
      </c>
      <c r="S80" s="1">
        <f>IF(AND(C80&lt;&gt;"",R80=""),1,0)</f>
        <v/>
      </c>
      <c r="T80">
        <f>IF(S80=1,N(N80),0)</f>
        <v/>
      </c>
      <c r="U80">
        <f>IF(AND(S80=1,T80&gt;0),ROUND(T80*100,0)*10000+10000-ROW(),"")</f>
        <v/>
      </c>
      <c r="V80">
        <f>IF(AND(S80=1,OR(Report!$C$5="",B80=Report!$C$5)),MATCH(B80,Rooms!$B$6:$B$35,0)*10000+ROW(),"")</f>
        <v/>
      </c>
      <c r="W80">
        <f>IF(AND(S80=1,OR(J80="",J80="No")),1,0)</f>
        <v/>
      </c>
      <c r="X80">
        <f>IF(AND(S80=1,K80=""),1,0)</f>
        <v/>
      </c>
      <c r="Y80">
        <f>IF(AND(S80=1,Q80&lt;&gt;""),ROUND(T80*100,0)*10000+10000-ROW(),"")</f>
        <v/>
      </c>
    </row>
    <row r="81">
      <c r="A81" s="1" t="n"/>
      <c r="B81" s="17" t="n"/>
      <c r="C81" s="18" t="n"/>
      <c r="D81" s="17" t="n"/>
      <c r="E81" s="19" t="n"/>
      <c r="F81" s="19" t="n"/>
      <c r="G81" s="20" t="n"/>
      <c r="H81" s="21" t="n"/>
      <c r="I81" s="21" t="n"/>
      <c r="J81" s="17" t="n"/>
      <c r="K81" s="19" t="n"/>
      <c r="L81" s="20" t="n"/>
      <c r="M81" s="19" t="n"/>
      <c r="N81" s="22">
        <f>IF(C81="","",IF(ISNUMBER(I81),I81,IF(ISNUMBER(H81),H81,"")))</f>
        <v/>
      </c>
      <c r="O81" s="23">
        <f>IF(OR(C81="",NOT(ISNUMBER(G81))),"",(TODAY()-INT(G81))/365.25)</f>
        <v/>
      </c>
      <c r="P81" s="13">
        <f>IF(OR(C81="",NOT(ISNUMBER(L81))),"",IF(L81&lt;TODAY(),"Ended",IF(L81-TODAY()&lt;=N(Settings!$C$10),"Ends soon","Covered")))</f>
        <v/>
      </c>
      <c r="Q81" s="13">
        <f>IF(C81="","",MID(IF(N81="",", value","")&amp;IF(OR(J81="",J81="No"),", receipt","")&amp;IF(K81="",", photo",""),3,100))</f>
        <v/>
      </c>
      <c r="R81" s="13">
        <f>IF(AND(B81="",C81=""),"",IF(C81="","Needs the item",IF(B81="","Needs a room",IF(COUNTIF(Rooms!$B$6:$B$35,B81)=0,"Not on Rooms",IF(AND(H81&lt;&gt;"",NOT(ISNUMBER(H81))),"Paid not a number",IF(AND(I81&lt;&gt;"",NOT(ISNUMBER(I81))),"Worth not a number",IF(AND(G81&lt;&gt;"",NOT(ISNUMBER(G81))),"Bought is not a date",IF(AND(L81&lt;&gt;"",NOT(ISNUMBER(L81))),"Warranty is not a date",""))))))))</f>
        <v/>
      </c>
      <c r="S81" s="1">
        <f>IF(AND(C81&lt;&gt;"",R81=""),1,0)</f>
        <v/>
      </c>
      <c r="T81">
        <f>IF(S81=1,N(N81),0)</f>
        <v/>
      </c>
      <c r="U81">
        <f>IF(AND(S81=1,T81&gt;0),ROUND(T81*100,0)*10000+10000-ROW(),"")</f>
        <v/>
      </c>
      <c r="V81">
        <f>IF(AND(S81=1,OR(Report!$C$5="",B81=Report!$C$5)),MATCH(B81,Rooms!$B$6:$B$35,0)*10000+ROW(),"")</f>
        <v/>
      </c>
      <c r="W81">
        <f>IF(AND(S81=1,OR(J81="",J81="No")),1,0)</f>
        <v/>
      </c>
      <c r="X81">
        <f>IF(AND(S81=1,K81=""),1,0)</f>
        <v/>
      </c>
      <c r="Y81">
        <f>IF(AND(S81=1,Q81&lt;&gt;""),ROUND(T81*100,0)*10000+10000-ROW(),"")</f>
        <v/>
      </c>
    </row>
    <row r="82">
      <c r="A82" s="1" t="n"/>
      <c r="B82" s="17" t="n"/>
      <c r="C82" s="18" t="n"/>
      <c r="D82" s="17" t="n"/>
      <c r="E82" s="19" t="n"/>
      <c r="F82" s="19" t="n"/>
      <c r="G82" s="20" t="n"/>
      <c r="H82" s="21" t="n"/>
      <c r="I82" s="21" t="n"/>
      <c r="J82" s="17" t="n"/>
      <c r="K82" s="19" t="n"/>
      <c r="L82" s="20" t="n"/>
      <c r="M82" s="19" t="n"/>
      <c r="N82" s="22">
        <f>IF(C82="","",IF(ISNUMBER(I82),I82,IF(ISNUMBER(H82),H82,"")))</f>
        <v/>
      </c>
      <c r="O82" s="23">
        <f>IF(OR(C82="",NOT(ISNUMBER(G82))),"",(TODAY()-INT(G82))/365.25)</f>
        <v/>
      </c>
      <c r="P82" s="13">
        <f>IF(OR(C82="",NOT(ISNUMBER(L82))),"",IF(L82&lt;TODAY(),"Ended",IF(L82-TODAY()&lt;=N(Settings!$C$10),"Ends soon","Covered")))</f>
        <v/>
      </c>
      <c r="Q82" s="13">
        <f>IF(C82="","",MID(IF(N82="",", value","")&amp;IF(OR(J82="",J82="No"),", receipt","")&amp;IF(K82="",", photo",""),3,100))</f>
        <v/>
      </c>
      <c r="R82" s="13">
        <f>IF(AND(B82="",C82=""),"",IF(C82="","Needs the item",IF(B82="","Needs a room",IF(COUNTIF(Rooms!$B$6:$B$35,B82)=0,"Not on Rooms",IF(AND(H82&lt;&gt;"",NOT(ISNUMBER(H82))),"Paid not a number",IF(AND(I82&lt;&gt;"",NOT(ISNUMBER(I82))),"Worth not a number",IF(AND(G82&lt;&gt;"",NOT(ISNUMBER(G82))),"Bought is not a date",IF(AND(L82&lt;&gt;"",NOT(ISNUMBER(L82))),"Warranty is not a date",""))))))))</f>
        <v/>
      </c>
      <c r="S82" s="1">
        <f>IF(AND(C82&lt;&gt;"",R82=""),1,0)</f>
        <v/>
      </c>
      <c r="T82">
        <f>IF(S82=1,N(N82),0)</f>
        <v/>
      </c>
      <c r="U82">
        <f>IF(AND(S82=1,T82&gt;0),ROUND(T82*100,0)*10000+10000-ROW(),"")</f>
        <v/>
      </c>
      <c r="V82">
        <f>IF(AND(S82=1,OR(Report!$C$5="",B82=Report!$C$5)),MATCH(B82,Rooms!$B$6:$B$35,0)*10000+ROW(),"")</f>
        <v/>
      </c>
      <c r="W82">
        <f>IF(AND(S82=1,OR(J82="",J82="No")),1,0)</f>
        <v/>
      </c>
      <c r="X82">
        <f>IF(AND(S82=1,K82=""),1,0)</f>
        <v/>
      </c>
      <c r="Y82">
        <f>IF(AND(S82=1,Q82&lt;&gt;""),ROUND(T82*100,0)*10000+10000-ROW(),"")</f>
        <v/>
      </c>
    </row>
    <row r="83">
      <c r="A83" s="1" t="n"/>
      <c r="B83" s="17" t="n"/>
      <c r="C83" s="18" t="n"/>
      <c r="D83" s="17" t="n"/>
      <c r="E83" s="19" t="n"/>
      <c r="F83" s="19" t="n"/>
      <c r="G83" s="20" t="n"/>
      <c r="H83" s="21" t="n"/>
      <c r="I83" s="21" t="n"/>
      <c r="J83" s="17" t="n"/>
      <c r="K83" s="19" t="n"/>
      <c r="L83" s="20" t="n"/>
      <c r="M83" s="19" t="n"/>
      <c r="N83" s="22">
        <f>IF(C83="","",IF(ISNUMBER(I83),I83,IF(ISNUMBER(H83),H83,"")))</f>
        <v/>
      </c>
      <c r="O83" s="23">
        <f>IF(OR(C83="",NOT(ISNUMBER(G83))),"",(TODAY()-INT(G83))/365.25)</f>
        <v/>
      </c>
      <c r="P83" s="13">
        <f>IF(OR(C83="",NOT(ISNUMBER(L83))),"",IF(L83&lt;TODAY(),"Ended",IF(L83-TODAY()&lt;=N(Settings!$C$10),"Ends soon","Covered")))</f>
        <v/>
      </c>
      <c r="Q83" s="13">
        <f>IF(C83="","",MID(IF(N83="",", value","")&amp;IF(OR(J83="",J83="No"),", receipt","")&amp;IF(K83="",", photo",""),3,100))</f>
        <v/>
      </c>
      <c r="R83" s="13">
        <f>IF(AND(B83="",C83=""),"",IF(C83="","Needs the item",IF(B83="","Needs a room",IF(COUNTIF(Rooms!$B$6:$B$35,B83)=0,"Not on Rooms",IF(AND(H83&lt;&gt;"",NOT(ISNUMBER(H83))),"Paid not a number",IF(AND(I83&lt;&gt;"",NOT(ISNUMBER(I83))),"Worth not a number",IF(AND(G83&lt;&gt;"",NOT(ISNUMBER(G83))),"Bought is not a date",IF(AND(L83&lt;&gt;"",NOT(ISNUMBER(L83))),"Warranty is not a date",""))))))))</f>
        <v/>
      </c>
      <c r="S83" s="1">
        <f>IF(AND(C83&lt;&gt;"",R83=""),1,0)</f>
        <v/>
      </c>
      <c r="T83">
        <f>IF(S83=1,N(N83),0)</f>
        <v/>
      </c>
      <c r="U83">
        <f>IF(AND(S83=1,T83&gt;0),ROUND(T83*100,0)*10000+10000-ROW(),"")</f>
        <v/>
      </c>
      <c r="V83">
        <f>IF(AND(S83=1,OR(Report!$C$5="",B83=Report!$C$5)),MATCH(B83,Rooms!$B$6:$B$35,0)*10000+ROW(),"")</f>
        <v/>
      </c>
      <c r="W83">
        <f>IF(AND(S83=1,OR(J83="",J83="No")),1,0)</f>
        <v/>
      </c>
      <c r="X83">
        <f>IF(AND(S83=1,K83=""),1,0)</f>
        <v/>
      </c>
      <c r="Y83">
        <f>IF(AND(S83=1,Q83&lt;&gt;""),ROUND(T83*100,0)*10000+10000-ROW(),"")</f>
        <v/>
      </c>
    </row>
    <row r="84">
      <c r="A84" s="1" t="n"/>
      <c r="B84" s="17" t="n"/>
      <c r="C84" s="18" t="n"/>
      <c r="D84" s="17" t="n"/>
      <c r="E84" s="19" t="n"/>
      <c r="F84" s="19" t="n"/>
      <c r="G84" s="20" t="n"/>
      <c r="H84" s="21" t="n"/>
      <c r="I84" s="21" t="n"/>
      <c r="J84" s="17" t="n"/>
      <c r="K84" s="19" t="n"/>
      <c r="L84" s="20" t="n"/>
      <c r="M84" s="19" t="n"/>
      <c r="N84" s="22">
        <f>IF(C84="","",IF(ISNUMBER(I84),I84,IF(ISNUMBER(H84),H84,"")))</f>
        <v/>
      </c>
      <c r="O84" s="23">
        <f>IF(OR(C84="",NOT(ISNUMBER(G84))),"",(TODAY()-INT(G84))/365.25)</f>
        <v/>
      </c>
      <c r="P84" s="13">
        <f>IF(OR(C84="",NOT(ISNUMBER(L84))),"",IF(L84&lt;TODAY(),"Ended",IF(L84-TODAY()&lt;=N(Settings!$C$10),"Ends soon","Covered")))</f>
        <v/>
      </c>
      <c r="Q84" s="13">
        <f>IF(C84="","",MID(IF(N84="",", value","")&amp;IF(OR(J84="",J84="No"),", receipt","")&amp;IF(K84="",", photo",""),3,100))</f>
        <v/>
      </c>
      <c r="R84" s="13">
        <f>IF(AND(B84="",C84=""),"",IF(C84="","Needs the item",IF(B84="","Needs a room",IF(COUNTIF(Rooms!$B$6:$B$35,B84)=0,"Not on Rooms",IF(AND(H84&lt;&gt;"",NOT(ISNUMBER(H84))),"Paid not a number",IF(AND(I84&lt;&gt;"",NOT(ISNUMBER(I84))),"Worth not a number",IF(AND(G84&lt;&gt;"",NOT(ISNUMBER(G84))),"Bought is not a date",IF(AND(L84&lt;&gt;"",NOT(ISNUMBER(L84))),"Warranty is not a date",""))))))))</f>
        <v/>
      </c>
      <c r="S84" s="1">
        <f>IF(AND(C84&lt;&gt;"",R84=""),1,0)</f>
        <v/>
      </c>
      <c r="T84">
        <f>IF(S84=1,N(N84),0)</f>
        <v/>
      </c>
      <c r="U84">
        <f>IF(AND(S84=1,T84&gt;0),ROUND(T84*100,0)*10000+10000-ROW(),"")</f>
        <v/>
      </c>
      <c r="V84">
        <f>IF(AND(S84=1,OR(Report!$C$5="",B84=Report!$C$5)),MATCH(B84,Rooms!$B$6:$B$35,0)*10000+ROW(),"")</f>
        <v/>
      </c>
      <c r="W84">
        <f>IF(AND(S84=1,OR(J84="",J84="No")),1,0)</f>
        <v/>
      </c>
      <c r="X84">
        <f>IF(AND(S84=1,K84=""),1,0)</f>
        <v/>
      </c>
      <c r="Y84">
        <f>IF(AND(S84=1,Q84&lt;&gt;""),ROUND(T84*100,0)*10000+10000-ROW(),"")</f>
        <v/>
      </c>
    </row>
    <row r="85">
      <c r="A85" s="1" t="n"/>
      <c r="B85" s="17" t="n"/>
      <c r="C85" s="18" t="n"/>
      <c r="D85" s="17" t="n"/>
      <c r="E85" s="19" t="n"/>
      <c r="F85" s="19" t="n"/>
      <c r="G85" s="20" t="n"/>
      <c r="H85" s="21" t="n"/>
      <c r="I85" s="21" t="n"/>
      <c r="J85" s="17" t="n"/>
      <c r="K85" s="19" t="n"/>
      <c r="L85" s="20" t="n"/>
      <c r="M85" s="19" t="n"/>
      <c r="N85" s="22">
        <f>IF(C85="","",IF(ISNUMBER(I85),I85,IF(ISNUMBER(H85),H85,"")))</f>
        <v/>
      </c>
      <c r="O85" s="23">
        <f>IF(OR(C85="",NOT(ISNUMBER(G85))),"",(TODAY()-INT(G85))/365.25)</f>
        <v/>
      </c>
      <c r="P85" s="13">
        <f>IF(OR(C85="",NOT(ISNUMBER(L85))),"",IF(L85&lt;TODAY(),"Ended",IF(L85-TODAY()&lt;=N(Settings!$C$10),"Ends soon","Covered")))</f>
        <v/>
      </c>
      <c r="Q85" s="13">
        <f>IF(C85="","",MID(IF(N85="",", value","")&amp;IF(OR(J85="",J85="No"),", receipt","")&amp;IF(K85="",", photo",""),3,100))</f>
        <v/>
      </c>
      <c r="R85" s="13">
        <f>IF(AND(B85="",C85=""),"",IF(C85="","Needs the item",IF(B85="","Needs a room",IF(COUNTIF(Rooms!$B$6:$B$35,B85)=0,"Not on Rooms",IF(AND(H85&lt;&gt;"",NOT(ISNUMBER(H85))),"Paid not a number",IF(AND(I85&lt;&gt;"",NOT(ISNUMBER(I85))),"Worth not a number",IF(AND(G85&lt;&gt;"",NOT(ISNUMBER(G85))),"Bought is not a date",IF(AND(L85&lt;&gt;"",NOT(ISNUMBER(L85))),"Warranty is not a date",""))))))))</f>
        <v/>
      </c>
      <c r="S85" s="1">
        <f>IF(AND(C85&lt;&gt;"",R85=""),1,0)</f>
        <v/>
      </c>
      <c r="T85">
        <f>IF(S85=1,N(N85),0)</f>
        <v/>
      </c>
      <c r="U85">
        <f>IF(AND(S85=1,T85&gt;0),ROUND(T85*100,0)*10000+10000-ROW(),"")</f>
        <v/>
      </c>
      <c r="V85">
        <f>IF(AND(S85=1,OR(Report!$C$5="",B85=Report!$C$5)),MATCH(B85,Rooms!$B$6:$B$35,0)*10000+ROW(),"")</f>
        <v/>
      </c>
      <c r="W85">
        <f>IF(AND(S85=1,OR(J85="",J85="No")),1,0)</f>
        <v/>
      </c>
      <c r="X85">
        <f>IF(AND(S85=1,K85=""),1,0)</f>
        <v/>
      </c>
      <c r="Y85">
        <f>IF(AND(S85=1,Q85&lt;&gt;""),ROUND(T85*100,0)*10000+10000-ROW(),"")</f>
        <v/>
      </c>
    </row>
    <row r="86">
      <c r="A86" s="1" t="n"/>
      <c r="B86" s="17" t="n"/>
      <c r="C86" s="18" t="n"/>
      <c r="D86" s="17" t="n"/>
      <c r="E86" s="19" t="n"/>
      <c r="F86" s="19" t="n"/>
      <c r="G86" s="20" t="n"/>
      <c r="H86" s="21" t="n"/>
      <c r="I86" s="21" t="n"/>
      <c r="J86" s="17" t="n"/>
      <c r="K86" s="19" t="n"/>
      <c r="L86" s="20" t="n"/>
      <c r="M86" s="19" t="n"/>
      <c r="N86" s="22">
        <f>IF(C86="","",IF(ISNUMBER(I86),I86,IF(ISNUMBER(H86),H86,"")))</f>
        <v/>
      </c>
      <c r="O86" s="23">
        <f>IF(OR(C86="",NOT(ISNUMBER(G86))),"",(TODAY()-INT(G86))/365.25)</f>
        <v/>
      </c>
      <c r="P86" s="13">
        <f>IF(OR(C86="",NOT(ISNUMBER(L86))),"",IF(L86&lt;TODAY(),"Ended",IF(L86-TODAY()&lt;=N(Settings!$C$10),"Ends soon","Covered")))</f>
        <v/>
      </c>
      <c r="Q86" s="13">
        <f>IF(C86="","",MID(IF(N86="",", value","")&amp;IF(OR(J86="",J86="No"),", receipt","")&amp;IF(K86="",", photo",""),3,100))</f>
        <v/>
      </c>
      <c r="R86" s="13">
        <f>IF(AND(B86="",C86=""),"",IF(C86="","Needs the item",IF(B86="","Needs a room",IF(COUNTIF(Rooms!$B$6:$B$35,B86)=0,"Not on Rooms",IF(AND(H86&lt;&gt;"",NOT(ISNUMBER(H86))),"Paid not a number",IF(AND(I86&lt;&gt;"",NOT(ISNUMBER(I86))),"Worth not a number",IF(AND(G86&lt;&gt;"",NOT(ISNUMBER(G86))),"Bought is not a date",IF(AND(L86&lt;&gt;"",NOT(ISNUMBER(L86))),"Warranty is not a date",""))))))))</f>
        <v/>
      </c>
      <c r="S86" s="1">
        <f>IF(AND(C86&lt;&gt;"",R86=""),1,0)</f>
        <v/>
      </c>
      <c r="T86">
        <f>IF(S86=1,N(N86),0)</f>
        <v/>
      </c>
      <c r="U86">
        <f>IF(AND(S86=1,T86&gt;0),ROUND(T86*100,0)*10000+10000-ROW(),"")</f>
        <v/>
      </c>
      <c r="V86">
        <f>IF(AND(S86=1,OR(Report!$C$5="",B86=Report!$C$5)),MATCH(B86,Rooms!$B$6:$B$35,0)*10000+ROW(),"")</f>
        <v/>
      </c>
      <c r="W86">
        <f>IF(AND(S86=1,OR(J86="",J86="No")),1,0)</f>
        <v/>
      </c>
      <c r="X86">
        <f>IF(AND(S86=1,K86=""),1,0)</f>
        <v/>
      </c>
      <c r="Y86">
        <f>IF(AND(S86=1,Q86&lt;&gt;""),ROUND(T86*100,0)*10000+10000-ROW(),"")</f>
        <v/>
      </c>
    </row>
    <row r="87">
      <c r="A87" s="1" t="n"/>
      <c r="B87" s="17" t="n"/>
      <c r="C87" s="18" t="n"/>
      <c r="D87" s="17" t="n"/>
      <c r="E87" s="19" t="n"/>
      <c r="F87" s="19" t="n"/>
      <c r="G87" s="20" t="n"/>
      <c r="H87" s="21" t="n"/>
      <c r="I87" s="21" t="n"/>
      <c r="J87" s="17" t="n"/>
      <c r="K87" s="19" t="n"/>
      <c r="L87" s="20" t="n"/>
      <c r="M87" s="19" t="n"/>
      <c r="N87" s="22">
        <f>IF(C87="","",IF(ISNUMBER(I87),I87,IF(ISNUMBER(H87),H87,"")))</f>
        <v/>
      </c>
      <c r="O87" s="23">
        <f>IF(OR(C87="",NOT(ISNUMBER(G87))),"",(TODAY()-INT(G87))/365.25)</f>
        <v/>
      </c>
      <c r="P87" s="13">
        <f>IF(OR(C87="",NOT(ISNUMBER(L87))),"",IF(L87&lt;TODAY(),"Ended",IF(L87-TODAY()&lt;=N(Settings!$C$10),"Ends soon","Covered")))</f>
        <v/>
      </c>
      <c r="Q87" s="13">
        <f>IF(C87="","",MID(IF(N87="",", value","")&amp;IF(OR(J87="",J87="No"),", receipt","")&amp;IF(K87="",", photo",""),3,100))</f>
        <v/>
      </c>
      <c r="R87" s="13">
        <f>IF(AND(B87="",C87=""),"",IF(C87="","Needs the item",IF(B87="","Needs a room",IF(COUNTIF(Rooms!$B$6:$B$35,B87)=0,"Not on Rooms",IF(AND(H87&lt;&gt;"",NOT(ISNUMBER(H87))),"Paid not a number",IF(AND(I87&lt;&gt;"",NOT(ISNUMBER(I87))),"Worth not a number",IF(AND(G87&lt;&gt;"",NOT(ISNUMBER(G87))),"Bought is not a date",IF(AND(L87&lt;&gt;"",NOT(ISNUMBER(L87))),"Warranty is not a date",""))))))))</f>
        <v/>
      </c>
      <c r="S87" s="1">
        <f>IF(AND(C87&lt;&gt;"",R87=""),1,0)</f>
        <v/>
      </c>
      <c r="T87">
        <f>IF(S87=1,N(N87),0)</f>
        <v/>
      </c>
      <c r="U87">
        <f>IF(AND(S87=1,T87&gt;0),ROUND(T87*100,0)*10000+10000-ROW(),"")</f>
        <v/>
      </c>
      <c r="V87">
        <f>IF(AND(S87=1,OR(Report!$C$5="",B87=Report!$C$5)),MATCH(B87,Rooms!$B$6:$B$35,0)*10000+ROW(),"")</f>
        <v/>
      </c>
      <c r="W87">
        <f>IF(AND(S87=1,OR(J87="",J87="No")),1,0)</f>
        <v/>
      </c>
      <c r="X87">
        <f>IF(AND(S87=1,K87=""),1,0)</f>
        <v/>
      </c>
      <c r="Y87">
        <f>IF(AND(S87=1,Q87&lt;&gt;""),ROUND(T87*100,0)*10000+10000-ROW(),"")</f>
        <v/>
      </c>
    </row>
    <row r="88">
      <c r="A88" s="1" t="n"/>
      <c r="B88" s="17" t="n"/>
      <c r="C88" s="18" t="n"/>
      <c r="D88" s="17" t="n"/>
      <c r="E88" s="19" t="n"/>
      <c r="F88" s="19" t="n"/>
      <c r="G88" s="20" t="n"/>
      <c r="H88" s="21" t="n"/>
      <c r="I88" s="21" t="n"/>
      <c r="J88" s="17" t="n"/>
      <c r="K88" s="19" t="n"/>
      <c r="L88" s="20" t="n"/>
      <c r="M88" s="19" t="n"/>
      <c r="N88" s="22">
        <f>IF(C88="","",IF(ISNUMBER(I88),I88,IF(ISNUMBER(H88),H88,"")))</f>
        <v/>
      </c>
      <c r="O88" s="23">
        <f>IF(OR(C88="",NOT(ISNUMBER(G88))),"",(TODAY()-INT(G88))/365.25)</f>
        <v/>
      </c>
      <c r="P88" s="13">
        <f>IF(OR(C88="",NOT(ISNUMBER(L88))),"",IF(L88&lt;TODAY(),"Ended",IF(L88-TODAY()&lt;=N(Settings!$C$10),"Ends soon","Covered")))</f>
        <v/>
      </c>
      <c r="Q88" s="13">
        <f>IF(C88="","",MID(IF(N88="",", value","")&amp;IF(OR(J88="",J88="No"),", receipt","")&amp;IF(K88="",", photo",""),3,100))</f>
        <v/>
      </c>
      <c r="R88" s="13">
        <f>IF(AND(B88="",C88=""),"",IF(C88="","Needs the item",IF(B88="","Needs a room",IF(COUNTIF(Rooms!$B$6:$B$35,B88)=0,"Not on Rooms",IF(AND(H88&lt;&gt;"",NOT(ISNUMBER(H88))),"Paid not a number",IF(AND(I88&lt;&gt;"",NOT(ISNUMBER(I88))),"Worth not a number",IF(AND(G88&lt;&gt;"",NOT(ISNUMBER(G88))),"Bought is not a date",IF(AND(L88&lt;&gt;"",NOT(ISNUMBER(L88))),"Warranty is not a date",""))))))))</f>
        <v/>
      </c>
      <c r="S88" s="1">
        <f>IF(AND(C88&lt;&gt;"",R88=""),1,0)</f>
        <v/>
      </c>
      <c r="T88">
        <f>IF(S88=1,N(N88),0)</f>
        <v/>
      </c>
      <c r="U88">
        <f>IF(AND(S88=1,T88&gt;0),ROUND(T88*100,0)*10000+10000-ROW(),"")</f>
        <v/>
      </c>
      <c r="V88">
        <f>IF(AND(S88=1,OR(Report!$C$5="",B88=Report!$C$5)),MATCH(B88,Rooms!$B$6:$B$35,0)*10000+ROW(),"")</f>
        <v/>
      </c>
      <c r="W88">
        <f>IF(AND(S88=1,OR(J88="",J88="No")),1,0)</f>
        <v/>
      </c>
      <c r="X88">
        <f>IF(AND(S88=1,K88=""),1,0)</f>
        <v/>
      </c>
      <c r="Y88">
        <f>IF(AND(S88=1,Q88&lt;&gt;""),ROUND(T88*100,0)*10000+10000-ROW(),"")</f>
        <v/>
      </c>
    </row>
    <row r="89">
      <c r="A89" s="1" t="n"/>
      <c r="B89" s="17" t="n"/>
      <c r="C89" s="18" t="n"/>
      <c r="D89" s="17" t="n"/>
      <c r="E89" s="19" t="n"/>
      <c r="F89" s="19" t="n"/>
      <c r="G89" s="20" t="n"/>
      <c r="H89" s="21" t="n"/>
      <c r="I89" s="21" t="n"/>
      <c r="J89" s="17" t="n"/>
      <c r="K89" s="19" t="n"/>
      <c r="L89" s="20" t="n"/>
      <c r="M89" s="19" t="n"/>
      <c r="N89" s="22">
        <f>IF(C89="","",IF(ISNUMBER(I89),I89,IF(ISNUMBER(H89),H89,"")))</f>
        <v/>
      </c>
      <c r="O89" s="23">
        <f>IF(OR(C89="",NOT(ISNUMBER(G89))),"",(TODAY()-INT(G89))/365.25)</f>
        <v/>
      </c>
      <c r="P89" s="13">
        <f>IF(OR(C89="",NOT(ISNUMBER(L89))),"",IF(L89&lt;TODAY(),"Ended",IF(L89-TODAY()&lt;=N(Settings!$C$10),"Ends soon","Covered")))</f>
        <v/>
      </c>
      <c r="Q89" s="13">
        <f>IF(C89="","",MID(IF(N89="",", value","")&amp;IF(OR(J89="",J89="No"),", receipt","")&amp;IF(K89="",", photo",""),3,100))</f>
        <v/>
      </c>
      <c r="R89" s="13">
        <f>IF(AND(B89="",C89=""),"",IF(C89="","Needs the item",IF(B89="","Needs a room",IF(COUNTIF(Rooms!$B$6:$B$35,B89)=0,"Not on Rooms",IF(AND(H89&lt;&gt;"",NOT(ISNUMBER(H89))),"Paid not a number",IF(AND(I89&lt;&gt;"",NOT(ISNUMBER(I89))),"Worth not a number",IF(AND(G89&lt;&gt;"",NOT(ISNUMBER(G89))),"Bought is not a date",IF(AND(L89&lt;&gt;"",NOT(ISNUMBER(L89))),"Warranty is not a date",""))))))))</f>
        <v/>
      </c>
      <c r="S89" s="1">
        <f>IF(AND(C89&lt;&gt;"",R89=""),1,0)</f>
        <v/>
      </c>
      <c r="T89">
        <f>IF(S89=1,N(N89),0)</f>
        <v/>
      </c>
      <c r="U89">
        <f>IF(AND(S89=1,T89&gt;0),ROUND(T89*100,0)*10000+10000-ROW(),"")</f>
        <v/>
      </c>
      <c r="V89">
        <f>IF(AND(S89=1,OR(Report!$C$5="",B89=Report!$C$5)),MATCH(B89,Rooms!$B$6:$B$35,0)*10000+ROW(),"")</f>
        <v/>
      </c>
      <c r="W89">
        <f>IF(AND(S89=1,OR(J89="",J89="No")),1,0)</f>
        <v/>
      </c>
      <c r="X89">
        <f>IF(AND(S89=1,K89=""),1,0)</f>
        <v/>
      </c>
      <c r="Y89">
        <f>IF(AND(S89=1,Q89&lt;&gt;""),ROUND(T89*100,0)*10000+10000-ROW(),"")</f>
        <v/>
      </c>
    </row>
    <row r="90">
      <c r="A90" s="1" t="n"/>
      <c r="B90" s="17" t="n"/>
      <c r="C90" s="18" t="n"/>
      <c r="D90" s="17" t="n"/>
      <c r="E90" s="19" t="n"/>
      <c r="F90" s="19" t="n"/>
      <c r="G90" s="20" t="n"/>
      <c r="H90" s="21" t="n"/>
      <c r="I90" s="21" t="n"/>
      <c r="J90" s="17" t="n"/>
      <c r="K90" s="19" t="n"/>
      <c r="L90" s="20" t="n"/>
      <c r="M90" s="19" t="n"/>
      <c r="N90" s="22">
        <f>IF(C90="","",IF(ISNUMBER(I90),I90,IF(ISNUMBER(H90),H90,"")))</f>
        <v/>
      </c>
      <c r="O90" s="23">
        <f>IF(OR(C90="",NOT(ISNUMBER(G90))),"",(TODAY()-INT(G90))/365.25)</f>
        <v/>
      </c>
      <c r="P90" s="13">
        <f>IF(OR(C90="",NOT(ISNUMBER(L90))),"",IF(L90&lt;TODAY(),"Ended",IF(L90-TODAY()&lt;=N(Settings!$C$10),"Ends soon","Covered")))</f>
        <v/>
      </c>
      <c r="Q90" s="13">
        <f>IF(C90="","",MID(IF(N90="",", value","")&amp;IF(OR(J90="",J90="No"),", receipt","")&amp;IF(K90="",", photo",""),3,100))</f>
        <v/>
      </c>
      <c r="R90" s="13">
        <f>IF(AND(B90="",C90=""),"",IF(C90="","Needs the item",IF(B90="","Needs a room",IF(COUNTIF(Rooms!$B$6:$B$35,B90)=0,"Not on Rooms",IF(AND(H90&lt;&gt;"",NOT(ISNUMBER(H90))),"Paid not a number",IF(AND(I90&lt;&gt;"",NOT(ISNUMBER(I90))),"Worth not a number",IF(AND(G90&lt;&gt;"",NOT(ISNUMBER(G90))),"Bought is not a date",IF(AND(L90&lt;&gt;"",NOT(ISNUMBER(L90))),"Warranty is not a date",""))))))))</f>
        <v/>
      </c>
      <c r="S90" s="1">
        <f>IF(AND(C90&lt;&gt;"",R90=""),1,0)</f>
        <v/>
      </c>
      <c r="T90">
        <f>IF(S90=1,N(N90),0)</f>
        <v/>
      </c>
      <c r="U90">
        <f>IF(AND(S90=1,T90&gt;0),ROUND(T90*100,0)*10000+10000-ROW(),"")</f>
        <v/>
      </c>
      <c r="V90">
        <f>IF(AND(S90=1,OR(Report!$C$5="",B90=Report!$C$5)),MATCH(B90,Rooms!$B$6:$B$35,0)*10000+ROW(),"")</f>
        <v/>
      </c>
      <c r="W90">
        <f>IF(AND(S90=1,OR(J90="",J90="No")),1,0)</f>
        <v/>
      </c>
      <c r="X90">
        <f>IF(AND(S90=1,K90=""),1,0)</f>
        <v/>
      </c>
      <c r="Y90">
        <f>IF(AND(S90=1,Q90&lt;&gt;""),ROUND(T90*100,0)*10000+10000-ROW(),"")</f>
        <v/>
      </c>
    </row>
    <row r="91">
      <c r="A91" s="1" t="n"/>
      <c r="B91" s="17" t="n"/>
      <c r="C91" s="18" t="n"/>
      <c r="D91" s="17" t="n"/>
      <c r="E91" s="19" t="n"/>
      <c r="F91" s="19" t="n"/>
      <c r="G91" s="20" t="n"/>
      <c r="H91" s="21" t="n"/>
      <c r="I91" s="21" t="n"/>
      <c r="J91" s="17" t="n"/>
      <c r="K91" s="19" t="n"/>
      <c r="L91" s="20" t="n"/>
      <c r="M91" s="19" t="n"/>
      <c r="N91" s="22">
        <f>IF(C91="","",IF(ISNUMBER(I91),I91,IF(ISNUMBER(H91),H91,"")))</f>
        <v/>
      </c>
      <c r="O91" s="23">
        <f>IF(OR(C91="",NOT(ISNUMBER(G91))),"",(TODAY()-INT(G91))/365.25)</f>
        <v/>
      </c>
      <c r="P91" s="13">
        <f>IF(OR(C91="",NOT(ISNUMBER(L91))),"",IF(L91&lt;TODAY(),"Ended",IF(L91-TODAY()&lt;=N(Settings!$C$10),"Ends soon","Covered")))</f>
        <v/>
      </c>
      <c r="Q91" s="13">
        <f>IF(C91="","",MID(IF(N91="",", value","")&amp;IF(OR(J91="",J91="No"),", receipt","")&amp;IF(K91="",", photo",""),3,100))</f>
        <v/>
      </c>
      <c r="R91" s="13">
        <f>IF(AND(B91="",C91=""),"",IF(C91="","Needs the item",IF(B91="","Needs a room",IF(COUNTIF(Rooms!$B$6:$B$35,B91)=0,"Not on Rooms",IF(AND(H91&lt;&gt;"",NOT(ISNUMBER(H91))),"Paid not a number",IF(AND(I91&lt;&gt;"",NOT(ISNUMBER(I91))),"Worth not a number",IF(AND(G91&lt;&gt;"",NOT(ISNUMBER(G91))),"Bought is not a date",IF(AND(L91&lt;&gt;"",NOT(ISNUMBER(L91))),"Warranty is not a date",""))))))))</f>
        <v/>
      </c>
      <c r="S91" s="1">
        <f>IF(AND(C91&lt;&gt;"",R91=""),1,0)</f>
        <v/>
      </c>
      <c r="T91">
        <f>IF(S91=1,N(N91),0)</f>
        <v/>
      </c>
      <c r="U91">
        <f>IF(AND(S91=1,T91&gt;0),ROUND(T91*100,0)*10000+10000-ROW(),"")</f>
        <v/>
      </c>
      <c r="V91">
        <f>IF(AND(S91=1,OR(Report!$C$5="",B91=Report!$C$5)),MATCH(B91,Rooms!$B$6:$B$35,0)*10000+ROW(),"")</f>
        <v/>
      </c>
      <c r="W91">
        <f>IF(AND(S91=1,OR(J91="",J91="No")),1,0)</f>
        <v/>
      </c>
      <c r="X91">
        <f>IF(AND(S91=1,K91=""),1,0)</f>
        <v/>
      </c>
      <c r="Y91">
        <f>IF(AND(S91=1,Q91&lt;&gt;""),ROUND(T91*100,0)*10000+10000-ROW(),"")</f>
        <v/>
      </c>
    </row>
    <row r="92">
      <c r="A92" s="1" t="n"/>
      <c r="B92" s="17" t="n"/>
      <c r="C92" s="18" t="n"/>
      <c r="D92" s="17" t="n"/>
      <c r="E92" s="19" t="n"/>
      <c r="F92" s="19" t="n"/>
      <c r="G92" s="20" t="n"/>
      <c r="H92" s="21" t="n"/>
      <c r="I92" s="21" t="n"/>
      <c r="J92" s="17" t="n"/>
      <c r="K92" s="19" t="n"/>
      <c r="L92" s="20" t="n"/>
      <c r="M92" s="19" t="n"/>
      <c r="N92" s="22">
        <f>IF(C92="","",IF(ISNUMBER(I92),I92,IF(ISNUMBER(H92),H92,"")))</f>
        <v/>
      </c>
      <c r="O92" s="23">
        <f>IF(OR(C92="",NOT(ISNUMBER(G92))),"",(TODAY()-INT(G92))/365.25)</f>
        <v/>
      </c>
      <c r="P92" s="13">
        <f>IF(OR(C92="",NOT(ISNUMBER(L92))),"",IF(L92&lt;TODAY(),"Ended",IF(L92-TODAY()&lt;=N(Settings!$C$10),"Ends soon","Covered")))</f>
        <v/>
      </c>
      <c r="Q92" s="13">
        <f>IF(C92="","",MID(IF(N92="",", value","")&amp;IF(OR(J92="",J92="No"),", receipt","")&amp;IF(K92="",", photo",""),3,100))</f>
        <v/>
      </c>
      <c r="R92" s="13">
        <f>IF(AND(B92="",C92=""),"",IF(C92="","Needs the item",IF(B92="","Needs a room",IF(COUNTIF(Rooms!$B$6:$B$35,B92)=0,"Not on Rooms",IF(AND(H92&lt;&gt;"",NOT(ISNUMBER(H92))),"Paid not a number",IF(AND(I92&lt;&gt;"",NOT(ISNUMBER(I92))),"Worth not a number",IF(AND(G92&lt;&gt;"",NOT(ISNUMBER(G92))),"Bought is not a date",IF(AND(L92&lt;&gt;"",NOT(ISNUMBER(L92))),"Warranty is not a date",""))))))))</f>
        <v/>
      </c>
      <c r="S92" s="1">
        <f>IF(AND(C92&lt;&gt;"",R92=""),1,0)</f>
        <v/>
      </c>
      <c r="T92">
        <f>IF(S92=1,N(N92),0)</f>
        <v/>
      </c>
      <c r="U92">
        <f>IF(AND(S92=1,T92&gt;0),ROUND(T92*100,0)*10000+10000-ROW(),"")</f>
        <v/>
      </c>
      <c r="V92">
        <f>IF(AND(S92=1,OR(Report!$C$5="",B92=Report!$C$5)),MATCH(B92,Rooms!$B$6:$B$35,0)*10000+ROW(),"")</f>
        <v/>
      </c>
      <c r="W92">
        <f>IF(AND(S92=1,OR(J92="",J92="No")),1,0)</f>
        <v/>
      </c>
      <c r="X92">
        <f>IF(AND(S92=1,K92=""),1,0)</f>
        <v/>
      </c>
      <c r="Y92">
        <f>IF(AND(S92=1,Q92&lt;&gt;""),ROUND(T92*100,0)*10000+10000-ROW(),"")</f>
        <v/>
      </c>
    </row>
    <row r="93">
      <c r="A93" s="1" t="n"/>
      <c r="B93" s="17" t="n"/>
      <c r="C93" s="18" t="n"/>
      <c r="D93" s="17" t="n"/>
      <c r="E93" s="19" t="n"/>
      <c r="F93" s="19" t="n"/>
      <c r="G93" s="20" t="n"/>
      <c r="H93" s="21" t="n"/>
      <c r="I93" s="21" t="n"/>
      <c r="J93" s="17" t="n"/>
      <c r="K93" s="19" t="n"/>
      <c r="L93" s="20" t="n"/>
      <c r="M93" s="19" t="n"/>
      <c r="N93" s="22">
        <f>IF(C93="","",IF(ISNUMBER(I93),I93,IF(ISNUMBER(H93),H93,"")))</f>
        <v/>
      </c>
      <c r="O93" s="23">
        <f>IF(OR(C93="",NOT(ISNUMBER(G93))),"",(TODAY()-INT(G93))/365.25)</f>
        <v/>
      </c>
      <c r="P93" s="13">
        <f>IF(OR(C93="",NOT(ISNUMBER(L93))),"",IF(L93&lt;TODAY(),"Ended",IF(L93-TODAY()&lt;=N(Settings!$C$10),"Ends soon","Covered")))</f>
        <v/>
      </c>
      <c r="Q93" s="13">
        <f>IF(C93="","",MID(IF(N93="",", value","")&amp;IF(OR(J93="",J93="No"),", receipt","")&amp;IF(K93="",", photo",""),3,100))</f>
        <v/>
      </c>
      <c r="R93" s="13">
        <f>IF(AND(B93="",C93=""),"",IF(C93="","Needs the item",IF(B93="","Needs a room",IF(COUNTIF(Rooms!$B$6:$B$35,B93)=0,"Not on Rooms",IF(AND(H93&lt;&gt;"",NOT(ISNUMBER(H93))),"Paid not a number",IF(AND(I93&lt;&gt;"",NOT(ISNUMBER(I93))),"Worth not a number",IF(AND(G93&lt;&gt;"",NOT(ISNUMBER(G93))),"Bought is not a date",IF(AND(L93&lt;&gt;"",NOT(ISNUMBER(L93))),"Warranty is not a date",""))))))))</f>
        <v/>
      </c>
      <c r="S93" s="1">
        <f>IF(AND(C93&lt;&gt;"",R93=""),1,0)</f>
        <v/>
      </c>
      <c r="T93">
        <f>IF(S93=1,N(N93),0)</f>
        <v/>
      </c>
      <c r="U93">
        <f>IF(AND(S93=1,T93&gt;0),ROUND(T93*100,0)*10000+10000-ROW(),"")</f>
        <v/>
      </c>
      <c r="V93">
        <f>IF(AND(S93=1,OR(Report!$C$5="",B93=Report!$C$5)),MATCH(B93,Rooms!$B$6:$B$35,0)*10000+ROW(),"")</f>
        <v/>
      </c>
      <c r="W93">
        <f>IF(AND(S93=1,OR(J93="",J93="No")),1,0)</f>
        <v/>
      </c>
      <c r="X93">
        <f>IF(AND(S93=1,K93=""),1,0)</f>
        <v/>
      </c>
      <c r="Y93">
        <f>IF(AND(S93=1,Q93&lt;&gt;""),ROUND(T93*100,0)*10000+10000-ROW(),"")</f>
        <v/>
      </c>
    </row>
    <row r="94">
      <c r="A94" s="1" t="n"/>
      <c r="B94" s="17" t="n"/>
      <c r="C94" s="18" t="n"/>
      <c r="D94" s="17" t="n"/>
      <c r="E94" s="19" t="n"/>
      <c r="F94" s="19" t="n"/>
      <c r="G94" s="20" t="n"/>
      <c r="H94" s="21" t="n"/>
      <c r="I94" s="21" t="n"/>
      <c r="J94" s="17" t="n"/>
      <c r="K94" s="19" t="n"/>
      <c r="L94" s="20" t="n"/>
      <c r="M94" s="19" t="n"/>
      <c r="N94" s="22">
        <f>IF(C94="","",IF(ISNUMBER(I94),I94,IF(ISNUMBER(H94),H94,"")))</f>
        <v/>
      </c>
      <c r="O94" s="23">
        <f>IF(OR(C94="",NOT(ISNUMBER(G94))),"",(TODAY()-INT(G94))/365.25)</f>
        <v/>
      </c>
      <c r="P94" s="13">
        <f>IF(OR(C94="",NOT(ISNUMBER(L94))),"",IF(L94&lt;TODAY(),"Ended",IF(L94-TODAY()&lt;=N(Settings!$C$10),"Ends soon","Covered")))</f>
        <v/>
      </c>
      <c r="Q94" s="13">
        <f>IF(C94="","",MID(IF(N94="",", value","")&amp;IF(OR(J94="",J94="No"),", receipt","")&amp;IF(K94="",", photo",""),3,100))</f>
        <v/>
      </c>
      <c r="R94" s="13">
        <f>IF(AND(B94="",C94=""),"",IF(C94="","Needs the item",IF(B94="","Needs a room",IF(COUNTIF(Rooms!$B$6:$B$35,B94)=0,"Not on Rooms",IF(AND(H94&lt;&gt;"",NOT(ISNUMBER(H94))),"Paid not a number",IF(AND(I94&lt;&gt;"",NOT(ISNUMBER(I94))),"Worth not a number",IF(AND(G94&lt;&gt;"",NOT(ISNUMBER(G94))),"Bought is not a date",IF(AND(L94&lt;&gt;"",NOT(ISNUMBER(L94))),"Warranty is not a date",""))))))))</f>
        <v/>
      </c>
      <c r="S94" s="1">
        <f>IF(AND(C94&lt;&gt;"",R94=""),1,0)</f>
        <v/>
      </c>
      <c r="T94">
        <f>IF(S94=1,N(N94),0)</f>
        <v/>
      </c>
      <c r="U94">
        <f>IF(AND(S94=1,T94&gt;0),ROUND(T94*100,0)*10000+10000-ROW(),"")</f>
        <v/>
      </c>
      <c r="V94">
        <f>IF(AND(S94=1,OR(Report!$C$5="",B94=Report!$C$5)),MATCH(B94,Rooms!$B$6:$B$35,0)*10000+ROW(),"")</f>
        <v/>
      </c>
      <c r="W94">
        <f>IF(AND(S94=1,OR(J94="",J94="No")),1,0)</f>
        <v/>
      </c>
      <c r="X94">
        <f>IF(AND(S94=1,K94=""),1,0)</f>
        <v/>
      </c>
      <c r="Y94">
        <f>IF(AND(S94=1,Q94&lt;&gt;""),ROUND(T94*100,0)*10000+10000-ROW(),"")</f>
        <v/>
      </c>
    </row>
    <row r="95">
      <c r="A95" s="1" t="n"/>
      <c r="B95" s="17" t="n"/>
      <c r="C95" s="18" t="n"/>
      <c r="D95" s="17" t="n"/>
      <c r="E95" s="19" t="n"/>
      <c r="F95" s="19" t="n"/>
      <c r="G95" s="20" t="n"/>
      <c r="H95" s="21" t="n"/>
      <c r="I95" s="21" t="n"/>
      <c r="J95" s="17" t="n"/>
      <c r="K95" s="19" t="n"/>
      <c r="L95" s="20" t="n"/>
      <c r="M95" s="19" t="n"/>
      <c r="N95" s="22">
        <f>IF(C95="","",IF(ISNUMBER(I95),I95,IF(ISNUMBER(H95),H95,"")))</f>
        <v/>
      </c>
      <c r="O95" s="23">
        <f>IF(OR(C95="",NOT(ISNUMBER(G95))),"",(TODAY()-INT(G95))/365.25)</f>
        <v/>
      </c>
      <c r="P95" s="13">
        <f>IF(OR(C95="",NOT(ISNUMBER(L95))),"",IF(L95&lt;TODAY(),"Ended",IF(L95-TODAY()&lt;=N(Settings!$C$10),"Ends soon","Covered")))</f>
        <v/>
      </c>
      <c r="Q95" s="13">
        <f>IF(C95="","",MID(IF(N95="",", value","")&amp;IF(OR(J95="",J95="No"),", receipt","")&amp;IF(K95="",", photo",""),3,100))</f>
        <v/>
      </c>
      <c r="R95" s="13">
        <f>IF(AND(B95="",C95=""),"",IF(C95="","Needs the item",IF(B95="","Needs a room",IF(COUNTIF(Rooms!$B$6:$B$35,B95)=0,"Not on Rooms",IF(AND(H95&lt;&gt;"",NOT(ISNUMBER(H95))),"Paid not a number",IF(AND(I95&lt;&gt;"",NOT(ISNUMBER(I95))),"Worth not a number",IF(AND(G95&lt;&gt;"",NOT(ISNUMBER(G95))),"Bought is not a date",IF(AND(L95&lt;&gt;"",NOT(ISNUMBER(L95))),"Warranty is not a date",""))))))))</f>
        <v/>
      </c>
      <c r="S95" s="1">
        <f>IF(AND(C95&lt;&gt;"",R95=""),1,0)</f>
        <v/>
      </c>
      <c r="T95">
        <f>IF(S95=1,N(N95),0)</f>
        <v/>
      </c>
      <c r="U95">
        <f>IF(AND(S95=1,T95&gt;0),ROUND(T95*100,0)*10000+10000-ROW(),"")</f>
        <v/>
      </c>
      <c r="V95">
        <f>IF(AND(S95=1,OR(Report!$C$5="",B95=Report!$C$5)),MATCH(B95,Rooms!$B$6:$B$35,0)*10000+ROW(),"")</f>
        <v/>
      </c>
      <c r="W95">
        <f>IF(AND(S95=1,OR(J95="",J95="No")),1,0)</f>
        <v/>
      </c>
      <c r="X95">
        <f>IF(AND(S95=1,K95=""),1,0)</f>
        <v/>
      </c>
      <c r="Y95">
        <f>IF(AND(S95=1,Q95&lt;&gt;""),ROUND(T95*100,0)*10000+10000-ROW(),"")</f>
        <v/>
      </c>
    </row>
    <row r="96">
      <c r="A96" s="1" t="n"/>
      <c r="B96" s="17" t="n"/>
      <c r="C96" s="18" t="n"/>
      <c r="D96" s="17" t="n"/>
      <c r="E96" s="19" t="n"/>
      <c r="F96" s="19" t="n"/>
      <c r="G96" s="20" t="n"/>
      <c r="H96" s="21" t="n"/>
      <c r="I96" s="21" t="n"/>
      <c r="J96" s="17" t="n"/>
      <c r="K96" s="19" t="n"/>
      <c r="L96" s="20" t="n"/>
      <c r="M96" s="19" t="n"/>
      <c r="N96" s="22">
        <f>IF(C96="","",IF(ISNUMBER(I96),I96,IF(ISNUMBER(H96),H96,"")))</f>
        <v/>
      </c>
      <c r="O96" s="23">
        <f>IF(OR(C96="",NOT(ISNUMBER(G96))),"",(TODAY()-INT(G96))/365.25)</f>
        <v/>
      </c>
      <c r="P96" s="13">
        <f>IF(OR(C96="",NOT(ISNUMBER(L96))),"",IF(L96&lt;TODAY(),"Ended",IF(L96-TODAY()&lt;=N(Settings!$C$10),"Ends soon","Covered")))</f>
        <v/>
      </c>
      <c r="Q96" s="13">
        <f>IF(C96="","",MID(IF(N96="",", value","")&amp;IF(OR(J96="",J96="No"),", receipt","")&amp;IF(K96="",", photo",""),3,100))</f>
        <v/>
      </c>
      <c r="R96" s="13">
        <f>IF(AND(B96="",C96=""),"",IF(C96="","Needs the item",IF(B96="","Needs a room",IF(COUNTIF(Rooms!$B$6:$B$35,B96)=0,"Not on Rooms",IF(AND(H96&lt;&gt;"",NOT(ISNUMBER(H96))),"Paid not a number",IF(AND(I96&lt;&gt;"",NOT(ISNUMBER(I96))),"Worth not a number",IF(AND(G96&lt;&gt;"",NOT(ISNUMBER(G96))),"Bought is not a date",IF(AND(L96&lt;&gt;"",NOT(ISNUMBER(L96))),"Warranty is not a date",""))))))))</f>
        <v/>
      </c>
      <c r="S96" s="1">
        <f>IF(AND(C96&lt;&gt;"",R96=""),1,0)</f>
        <v/>
      </c>
      <c r="T96">
        <f>IF(S96=1,N(N96),0)</f>
        <v/>
      </c>
      <c r="U96">
        <f>IF(AND(S96=1,T96&gt;0),ROUND(T96*100,0)*10000+10000-ROW(),"")</f>
        <v/>
      </c>
      <c r="V96">
        <f>IF(AND(S96=1,OR(Report!$C$5="",B96=Report!$C$5)),MATCH(B96,Rooms!$B$6:$B$35,0)*10000+ROW(),"")</f>
        <v/>
      </c>
      <c r="W96">
        <f>IF(AND(S96=1,OR(J96="",J96="No")),1,0)</f>
        <v/>
      </c>
      <c r="X96">
        <f>IF(AND(S96=1,K96=""),1,0)</f>
        <v/>
      </c>
      <c r="Y96">
        <f>IF(AND(S96=1,Q96&lt;&gt;""),ROUND(T96*100,0)*10000+10000-ROW(),"")</f>
        <v/>
      </c>
    </row>
    <row r="97">
      <c r="A97" s="1" t="n"/>
      <c r="B97" s="17" t="n"/>
      <c r="C97" s="18" t="n"/>
      <c r="D97" s="17" t="n"/>
      <c r="E97" s="19" t="n"/>
      <c r="F97" s="19" t="n"/>
      <c r="G97" s="20" t="n"/>
      <c r="H97" s="21" t="n"/>
      <c r="I97" s="21" t="n"/>
      <c r="J97" s="17" t="n"/>
      <c r="K97" s="19" t="n"/>
      <c r="L97" s="20" t="n"/>
      <c r="M97" s="19" t="n"/>
      <c r="N97" s="22">
        <f>IF(C97="","",IF(ISNUMBER(I97),I97,IF(ISNUMBER(H97),H97,"")))</f>
        <v/>
      </c>
      <c r="O97" s="23">
        <f>IF(OR(C97="",NOT(ISNUMBER(G97))),"",(TODAY()-INT(G97))/365.25)</f>
        <v/>
      </c>
      <c r="P97" s="13">
        <f>IF(OR(C97="",NOT(ISNUMBER(L97))),"",IF(L97&lt;TODAY(),"Ended",IF(L97-TODAY()&lt;=N(Settings!$C$10),"Ends soon","Covered")))</f>
        <v/>
      </c>
      <c r="Q97" s="13">
        <f>IF(C97="","",MID(IF(N97="",", value","")&amp;IF(OR(J97="",J97="No"),", receipt","")&amp;IF(K97="",", photo",""),3,100))</f>
        <v/>
      </c>
      <c r="R97" s="13">
        <f>IF(AND(B97="",C97=""),"",IF(C97="","Needs the item",IF(B97="","Needs a room",IF(COUNTIF(Rooms!$B$6:$B$35,B97)=0,"Not on Rooms",IF(AND(H97&lt;&gt;"",NOT(ISNUMBER(H97))),"Paid not a number",IF(AND(I97&lt;&gt;"",NOT(ISNUMBER(I97))),"Worth not a number",IF(AND(G97&lt;&gt;"",NOT(ISNUMBER(G97))),"Bought is not a date",IF(AND(L97&lt;&gt;"",NOT(ISNUMBER(L97))),"Warranty is not a date",""))))))))</f>
        <v/>
      </c>
      <c r="S97" s="1">
        <f>IF(AND(C97&lt;&gt;"",R97=""),1,0)</f>
        <v/>
      </c>
      <c r="T97">
        <f>IF(S97=1,N(N97),0)</f>
        <v/>
      </c>
      <c r="U97">
        <f>IF(AND(S97=1,T97&gt;0),ROUND(T97*100,0)*10000+10000-ROW(),"")</f>
        <v/>
      </c>
      <c r="V97">
        <f>IF(AND(S97=1,OR(Report!$C$5="",B97=Report!$C$5)),MATCH(B97,Rooms!$B$6:$B$35,0)*10000+ROW(),"")</f>
        <v/>
      </c>
      <c r="W97">
        <f>IF(AND(S97=1,OR(J97="",J97="No")),1,0)</f>
        <v/>
      </c>
      <c r="X97">
        <f>IF(AND(S97=1,K97=""),1,0)</f>
        <v/>
      </c>
      <c r="Y97">
        <f>IF(AND(S97=1,Q97&lt;&gt;""),ROUND(T97*100,0)*10000+10000-ROW(),"")</f>
        <v/>
      </c>
    </row>
    <row r="98">
      <c r="A98" s="1" t="n"/>
      <c r="B98" s="17" t="n"/>
      <c r="C98" s="18" t="n"/>
      <c r="D98" s="17" t="n"/>
      <c r="E98" s="19" t="n"/>
      <c r="F98" s="19" t="n"/>
      <c r="G98" s="20" t="n"/>
      <c r="H98" s="21" t="n"/>
      <c r="I98" s="21" t="n"/>
      <c r="J98" s="17" t="n"/>
      <c r="K98" s="19" t="n"/>
      <c r="L98" s="20" t="n"/>
      <c r="M98" s="19" t="n"/>
      <c r="N98" s="22">
        <f>IF(C98="","",IF(ISNUMBER(I98),I98,IF(ISNUMBER(H98),H98,"")))</f>
        <v/>
      </c>
      <c r="O98" s="23">
        <f>IF(OR(C98="",NOT(ISNUMBER(G98))),"",(TODAY()-INT(G98))/365.25)</f>
        <v/>
      </c>
      <c r="P98" s="13">
        <f>IF(OR(C98="",NOT(ISNUMBER(L98))),"",IF(L98&lt;TODAY(),"Ended",IF(L98-TODAY()&lt;=N(Settings!$C$10),"Ends soon","Covered")))</f>
        <v/>
      </c>
      <c r="Q98" s="13">
        <f>IF(C98="","",MID(IF(N98="",", value","")&amp;IF(OR(J98="",J98="No"),", receipt","")&amp;IF(K98="",", photo",""),3,100))</f>
        <v/>
      </c>
      <c r="R98" s="13">
        <f>IF(AND(B98="",C98=""),"",IF(C98="","Needs the item",IF(B98="","Needs a room",IF(COUNTIF(Rooms!$B$6:$B$35,B98)=0,"Not on Rooms",IF(AND(H98&lt;&gt;"",NOT(ISNUMBER(H98))),"Paid not a number",IF(AND(I98&lt;&gt;"",NOT(ISNUMBER(I98))),"Worth not a number",IF(AND(G98&lt;&gt;"",NOT(ISNUMBER(G98))),"Bought is not a date",IF(AND(L98&lt;&gt;"",NOT(ISNUMBER(L98))),"Warranty is not a date",""))))))))</f>
        <v/>
      </c>
      <c r="S98" s="1">
        <f>IF(AND(C98&lt;&gt;"",R98=""),1,0)</f>
        <v/>
      </c>
      <c r="T98">
        <f>IF(S98=1,N(N98),0)</f>
        <v/>
      </c>
      <c r="U98">
        <f>IF(AND(S98=1,T98&gt;0),ROUND(T98*100,0)*10000+10000-ROW(),"")</f>
        <v/>
      </c>
      <c r="V98">
        <f>IF(AND(S98=1,OR(Report!$C$5="",B98=Report!$C$5)),MATCH(B98,Rooms!$B$6:$B$35,0)*10000+ROW(),"")</f>
        <v/>
      </c>
      <c r="W98">
        <f>IF(AND(S98=1,OR(J98="",J98="No")),1,0)</f>
        <v/>
      </c>
      <c r="X98">
        <f>IF(AND(S98=1,K98=""),1,0)</f>
        <v/>
      </c>
      <c r="Y98">
        <f>IF(AND(S98=1,Q98&lt;&gt;""),ROUND(T98*100,0)*10000+10000-ROW(),"")</f>
        <v/>
      </c>
    </row>
    <row r="99">
      <c r="A99" s="1" t="n"/>
      <c r="B99" s="17" t="n"/>
      <c r="C99" s="18" t="n"/>
      <c r="D99" s="17" t="n"/>
      <c r="E99" s="19" t="n"/>
      <c r="F99" s="19" t="n"/>
      <c r="G99" s="20" t="n"/>
      <c r="H99" s="21" t="n"/>
      <c r="I99" s="21" t="n"/>
      <c r="J99" s="17" t="n"/>
      <c r="K99" s="19" t="n"/>
      <c r="L99" s="20" t="n"/>
      <c r="M99" s="19" t="n"/>
      <c r="N99" s="22">
        <f>IF(C99="","",IF(ISNUMBER(I99),I99,IF(ISNUMBER(H99),H99,"")))</f>
        <v/>
      </c>
      <c r="O99" s="23">
        <f>IF(OR(C99="",NOT(ISNUMBER(G99))),"",(TODAY()-INT(G99))/365.25)</f>
        <v/>
      </c>
      <c r="P99" s="13">
        <f>IF(OR(C99="",NOT(ISNUMBER(L99))),"",IF(L99&lt;TODAY(),"Ended",IF(L99-TODAY()&lt;=N(Settings!$C$10),"Ends soon","Covered")))</f>
        <v/>
      </c>
      <c r="Q99" s="13">
        <f>IF(C99="","",MID(IF(N99="",", value","")&amp;IF(OR(J99="",J99="No"),", receipt","")&amp;IF(K99="",", photo",""),3,100))</f>
        <v/>
      </c>
      <c r="R99" s="13">
        <f>IF(AND(B99="",C99=""),"",IF(C99="","Needs the item",IF(B99="","Needs a room",IF(COUNTIF(Rooms!$B$6:$B$35,B99)=0,"Not on Rooms",IF(AND(H99&lt;&gt;"",NOT(ISNUMBER(H99))),"Paid not a number",IF(AND(I99&lt;&gt;"",NOT(ISNUMBER(I99))),"Worth not a number",IF(AND(G99&lt;&gt;"",NOT(ISNUMBER(G99))),"Bought is not a date",IF(AND(L99&lt;&gt;"",NOT(ISNUMBER(L99))),"Warranty is not a date",""))))))))</f>
        <v/>
      </c>
      <c r="S99" s="1">
        <f>IF(AND(C99&lt;&gt;"",R99=""),1,0)</f>
        <v/>
      </c>
      <c r="T99">
        <f>IF(S99=1,N(N99),0)</f>
        <v/>
      </c>
      <c r="U99">
        <f>IF(AND(S99=1,T99&gt;0),ROUND(T99*100,0)*10000+10000-ROW(),"")</f>
        <v/>
      </c>
      <c r="V99">
        <f>IF(AND(S99=1,OR(Report!$C$5="",B99=Report!$C$5)),MATCH(B99,Rooms!$B$6:$B$35,0)*10000+ROW(),"")</f>
        <v/>
      </c>
      <c r="W99">
        <f>IF(AND(S99=1,OR(J99="",J99="No")),1,0)</f>
        <v/>
      </c>
      <c r="X99">
        <f>IF(AND(S99=1,K99=""),1,0)</f>
        <v/>
      </c>
      <c r="Y99">
        <f>IF(AND(S99=1,Q99&lt;&gt;""),ROUND(T99*100,0)*10000+10000-ROW(),"")</f>
        <v/>
      </c>
    </row>
    <row r="100">
      <c r="A100" s="1" t="n"/>
      <c r="B100" s="17" t="n"/>
      <c r="C100" s="18" t="n"/>
      <c r="D100" s="17" t="n"/>
      <c r="E100" s="19" t="n"/>
      <c r="F100" s="19" t="n"/>
      <c r="G100" s="20" t="n"/>
      <c r="H100" s="21" t="n"/>
      <c r="I100" s="21" t="n"/>
      <c r="J100" s="17" t="n"/>
      <c r="K100" s="19" t="n"/>
      <c r="L100" s="20" t="n"/>
      <c r="M100" s="19" t="n"/>
      <c r="N100" s="22">
        <f>IF(C100="","",IF(ISNUMBER(I100),I100,IF(ISNUMBER(H100),H100,"")))</f>
        <v/>
      </c>
      <c r="O100" s="23">
        <f>IF(OR(C100="",NOT(ISNUMBER(G100))),"",(TODAY()-INT(G100))/365.25)</f>
        <v/>
      </c>
      <c r="P100" s="13">
        <f>IF(OR(C100="",NOT(ISNUMBER(L100))),"",IF(L100&lt;TODAY(),"Ended",IF(L100-TODAY()&lt;=N(Settings!$C$10),"Ends soon","Covered")))</f>
        <v/>
      </c>
      <c r="Q100" s="13">
        <f>IF(C100="","",MID(IF(N100="",", value","")&amp;IF(OR(J100="",J100="No"),", receipt","")&amp;IF(K100="",", photo",""),3,100))</f>
        <v/>
      </c>
      <c r="R100" s="13">
        <f>IF(AND(B100="",C100=""),"",IF(C100="","Needs the item",IF(B100="","Needs a room",IF(COUNTIF(Rooms!$B$6:$B$35,B100)=0,"Not on Rooms",IF(AND(H100&lt;&gt;"",NOT(ISNUMBER(H100))),"Paid not a number",IF(AND(I100&lt;&gt;"",NOT(ISNUMBER(I100))),"Worth not a number",IF(AND(G100&lt;&gt;"",NOT(ISNUMBER(G100))),"Bought is not a date",IF(AND(L100&lt;&gt;"",NOT(ISNUMBER(L100))),"Warranty is not a date",""))))))))</f>
        <v/>
      </c>
      <c r="S100" s="1">
        <f>IF(AND(C100&lt;&gt;"",R100=""),1,0)</f>
        <v/>
      </c>
      <c r="T100">
        <f>IF(S100=1,N(N100),0)</f>
        <v/>
      </c>
      <c r="U100">
        <f>IF(AND(S100=1,T100&gt;0),ROUND(T100*100,0)*10000+10000-ROW(),"")</f>
        <v/>
      </c>
      <c r="V100">
        <f>IF(AND(S100=1,OR(Report!$C$5="",B100=Report!$C$5)),MATCH(B100,Rooms!$B$6:$B$35,0)*10000+ROW(),"")</f>
        <v/>
      </c>
      <c r="W100">
        <f>IF(AND(S100=1,OR(J100="",J100="No")),1,0)</f>
        <v/>
      </c>
      <c r="X100">
        <f>IF(AND(S100=1,K100=""),1,0)</f>
        <v/>
      </c>
      <c r="Y100">
        <f>IF(AND(S100=1,Q100&lt;&gt;""),ROUND(T100*100,0)*10000+10000-ROW(),"")</f>
        <v/>
      </c>
    </row>
    <row r="101">
      <c r="A101" s="1" t="n"/>
      <c r="B101" s="17" t="n"/>
      <c r="C101" s="18" t="n"/>
      <c r="D101" s="17" t="n"/>
      <c r="E101" s="19" t="n"/>
      <c r="F101" s="19" t="n"/>
      <c r="G101" s="20" t="n"/>
      <c r="H101" s="21" t="n"/>
      <c r="I101" s="21" t="n"/>
      <c r="J101" s="17" t="n"/>
      <c r="K101" s="19" t="n"/>
      <c r="L101" s="20" t="n"/>
      <c r="M101" s="19" t="n"/>
      <c r="N101" s="22">
        <f>IF(C101="","",IF(ISNUMBER(I101),I101,IF(ISNUMBER(H101),H101,"")))</f>
        <v/>
      </c>
      <c r="O101" s="23">
        <f>IF(OR(C101="",NOT(ISNUMBER(G101))),"",(TODAY()-INT(G101))/365.25)</f>
        <v/>
      </c>
      <c r="P101" s="13">
        <f>IF(OR(C101="",NOT(ISNUMBER(L101))),"",IF(L101&lt;TODAY(),"Ended",IF(L101-TODAY()&lt;=N(Settings!$C$10),"Ends soon","Covered")))</f>
        <v/>
      </c>
      <c r="Q101" s="13">
        <f>IF(C101="","",MID(IF(N101="",", value","")&amp;IF(OR(J101="",J101="No"),", receipt","")&amp;IF(K101="",", photo",""),3,100))</f>
        <v/>
      </c>
      <c r="R101" s="13">
        <f>IF(AND(B101="",C101=""),"",IF(C101="","Needs the item",IF(B101="","Needs a room",IF(COUNTIF(Rooms!$B$6:$B$35,B101)=0,"Not on Rooms",IF(AND(H101&lt;&gt;"",NOT(ISNUMBER(H101))),"Paid not a number",IF(AND(I101&lt;&gt;"",NOT(ISNUMBER(I101))),"Worth not a number",IF(AND(G101&lt;&gt;"",NOT(ISNUMBER(G101))),"Bought is not a date",IF(AND(L101&lt;&gt;"",NOT(ISNUMBER(L101))),"Warranty is not a date",""))))))))</f>
        <v/>
      </c>
      <c r="S101" s="1">
        <f>IF(AND(C101&lt;&gt;"",R101=""),1,0)</f>
        <v/>
      </c>
      <c r="T101">
        <f>IF(S101=1,N(N101),0)</f>
        <v/>
      </c>
      <c r="U101">
        <f>IF(AND(S101=1,T101&gt;0),ROUND(T101*100,0)*10000+10000-ROW(),"")</f>
        <v/>
      </c>
      <c r="V101">
        <f>IF(AND(S101=1,OR(Report!$C$5="",B101=Report!$C$5)),MATCH(B101,Rooms!$B$6:$B$35,0)*10000+ROW(),"")</f>
        <v/>
      </c>
      <c r="W101">
        <f>IF(AND(S101=1,OR(J101="",J101="No")),1,0)</f>
        <v/>
      </c>
      <c r="X101">
        <f>IF(AND(S101=1,K101=""),1,0)</f>
        <v/>
      </c>
      <c r="Y101">
        <f>IF(AND(S101=1,Q101&lt;&gt;""),ROUND(T101*100,0)*10000+10000-ROW(),"")</f>
        <v/>
      </c>
    </row>
    <row r="102">
      <c r="A102" s="1" t="n"/>
      <c r="B102" s="17" t="n"/>
      <c r="C102" s="18" t="n"/>
      <c r="D102" s="17" t="n"/>
      <c r="E102" s="19" t="n"/>
      <c r="F102" s="19" t="n"/>
      <c r="G102" s="20" t="n"/>
      <c r="H102" s="21" t="n"/>
      <c r="I102" s="21" t="n"/>
      <c r="J102" s="17" t="n"/>
      <c r="K102" s="19" t="n"/>
      <c r="L102" s="20" t="n"/>
      <c r="M102" s="19" t="n"/>
      <c r="N102" s="22">
        <f>IF(C102="","",IF(ISNUMBER(I102),I102,IF(ISNUMBER(H102),H102,"")))</f>
        <v/>
      </c>
      <c r="O102" s="23">
        <f>IF(OR(C102="",NOT(ISNUMBER(G102))),"",(TODAY()-INT(G102))/365.25)</f>
        <v/>
      </c>
      <c r="P102" s="13">
        <f>IF(OR(C102="",NOT(ISNUMBER(L102))),"",IF(L102&lt;TODAY(),"Ended",IF(L102-TODAY()&lt;=N(Settings!$C$10),"Ends soon","Covered")))</f>
        <v/>
      </c>
      <c r="Q102" s="13">
        <f>IF(C102="","",MID(IF(N102="",", value","")&amp;IF(OR(J102="",J102="No"),", receipt","")&amp;IF(K102="",", photo",""),3,100))</f>
        <v/>
      </c>
      <c r="R102" s="13">
        <f>IF(AND(B102="",C102=""),"",IF(C102="","Needs the item",IF(B102="","Needs a room",IF(COUNTIF(Rooms!$B$6:$B$35,B102)=0,"Not on Rooms",IF(AND(H102&lt;&gt;"",NOT(ISNUMBER(H102))),"Paid not a number",IF(AND(I102&lt;&gt;"",NOT(ISNUMBER(I102))),"Worth not a number",IF(AND(G102&lt;&gt;"",NOT(ISNUMBER(G102))),"Bought is not a date",IF(AND(L102&lt;&gt;"",NOT(ISNUMBER(L102))),"Warranty is not a date",""))))))))</f>
        <v/>
      </c>
      <c r="S102" s="1">
        <f>IF(AND(C102&lt;&gt;"",R102=""),1,0)</f>
        <v/>
      </c>
      <c r="T102">
        <f>IF(S102=1,N(N102),0)</f>
        <v/>
      </c>
      <c r="U102">
        <f>IF(AND(S102=1,T102&gt;0),ROUND(T102*100,0)*10000+10000-ROW(),"")</f>
        <v/>
      </c>
      <c r="V102">
        <f>IF(AND(S102=1,OR(Report!$C$5="",B102=Report!$C$5)),MATCH(B102,Rooms!$B$6:$B$35,0)*10000+ROW(),"")</f>
        <v/>
      </c>
      <c r="W102">
        <f>IF(AND(S102=1,OR(J102="",J102="No")),1,0)</f>
        <v/>
      </c>
      <c r="X102">
        <f>IF(AND(S102=1,K102=""),1,0)</f>
        <v/>
      </c>
      <c r="Y102">
        <f>IF(AND(S102=1,Q102&lt;&gt;""),ROUND(T102*100,0)*10000+10000-ROW(),"")</f>
        <v/>
      </c>
    </row>
    <row r="103">
      <c r="A103" s="1" t="n"/>
      <c r="B103" s="17" t="n"/>
      <c r="C103" s="18" t="n"/>
      <c r="D103" s="17" t="n"/>
      <c r="E103" s="19" t="n"/>
      <c r="F103" s="19" t="n"/>
      <c r="G103" s="20" t="n"/>
      <c r="H103" s="21" t="n"/>
      <c r="I103" s="21" t="n"/>
      <c r="J103" s="17" t="n"/>
      <c r="K103" s="19" t="n"/>
      <c r="L103" s="20" t="n"/>
      <c r="M103" s="19" t="n"/>
      <c r="N103" s="22">
        <f>IF(C103="","",IF(ISNUMBER(I103),I103,IF(ISNUMBER(H103),H103,"")))</f>
        <v/>
      </c>
      <c r="O103" s="23">
        <f>IF(OR(C103="",NOT(ISNUMBER(G103))),"",(TODAY()-INT(G103))/365.25)</f>
        <v/>
      </c>
      <c r="P103" s="13">
        <f>IF(OR(C103="",NOT(ISNUMBER(L103))),"",IF(L103&lt;TODAY(),"Ended",IF(L103-TODAY()&lt;=N(Settings!$C$10),"Ends soon","Covered")))</f>
        <v/>
      </c>
      <c r="Q103" s="13">
        <f>IF(C103="","",MID(IF(N103="",", value","")&amp;IF(OR(J103="",J103="No"),", receipt","")&amp;IF(K103="",", photo",""),3,100))</f>
        <v/>
      </c>
      <c r="R103" s="13">
        <f>IF(AND(B103="",C103=""),"",IF(C103="","Needs the item",IF(B103="","Needs a room",IF(COUNTIF(Rooms!$B$6:$B$35,B103)=0,"Not on Rooms",IF(AND(H103&lt;&gt;"",NOT(ISNUMBER(H103))),"Paid not a number",IF(AND(I103&lt;&gt;"",NOT(ISNUMBER(I103))),"Worth not a number",IF(AND(G103&lt;&gt;"",NOT(ISNUMBER(G103))),"Bought is not a date",IF(AND(L103&lt;&gt;"",NOT(ISNUMBER(L103))),"Warranty is not a date",""))))))))</f>
        <v/>
      </c>
      <c r="S103" s="1">
        <f>IF(AND(C103&lt;&gt;"",R103=""),1,0)</f>
        <v/>
      </c>
      <c r="T103">
        <f>IF(S103=1,N(N103),0)</f>
        <v/>
      </c>
      <c r="U103">
        <f>IF(AND(S103=1,T103&gt;0),ROUND(T103*100,0)*10000+10000-ROW(),"")</f>
        <v/>
      </c>
      <c r="V103">
        <f>IF(AND(S103=1,OR(Report!$C$5="",B103=Report!$C$5)),MATCH(B103,Rooms!$B$6:$B$35,0)*10000+ROW(),"")</f>
        <v/>
      </c>
      <c r="W103">
        <f>IF(AND(S103=1,OR(J103="",J103="No")),1,0)</f>
        <v/>
      </c>
      <c r="X103">
        <f>IF(AND(S103=1,K103=""),1,0)</f>
        <v/>
      </c>
      <c r="Y103">
        <f>IF(AND(S103=1,Q103&lt;&gt;""),ROUND(T103*100,0)*10000+10000-ROW(),"")</f>
        <v/>
      </c>
    </row>
    <row r="104">
      <c r="A104" s="1" t="n"/>
      <c r="B104" s="17" t="n"/>
      <c r="C104" s="18" t="n"/>
      <c r="D104" s="17" t="n"/>
      <c r="E104" s="19" t="n"/>
      <c r="F104" s="19" t="n"/>
      <c r="G104" s="20" t="n"/>
      <c r="H104" s="21" t="n"/>
      <c r="I104" s="21" t="n"/>
      <c r="J104" s="17" t="n"/>
      <c r="K104" s="19" t="n"/>
      <c r="L104" s="20" t="n"/>
      <c r="M104" s="19" t="n"/>
      <c r="N104" s="22">
        <f>IF(C104="","",IF(ISNUMBER(I104),I104,IF(ISNUMBER(H104),H104,"")))</f>
        <v/>
      </c>
      <c r="O104" s="23">
        <f>IF(OR(C104="",NOT(ISNUMBER(G104))),"",(TODAY()-INT(G104))/365.25)</f>
        <v/>
      </c>
      <c r="P104" s="13">
        <f>IF(OR(C104="",NOT(ISNUMBER(L104))),"",IF(L104&lt;TODAY(),"Ended",IF(L104-TODAY()&lt;=N(Settings!$C$10),"Ends soon","Covered")))</f>
        <v/>
      </c>
      <c r="Q104" s="13">
        <f>IF(C104="","",MID(IF(N104="",", value","")&amp;IF(OR(J104="",J104="No"),", receipt","")&amp;IF(K104="",", photo",""),3,100))</f>
        <v/>
      </c>
      <c r="R104" s="13">
        <f>IF(AND(B104="",C104=""),"",IF(C104="","Needs the item",IF(B104="","Needs a room",IF(COUNTIF(Rooms!$B$6:$B$35,B104)=0,"Not on Rooms",IF(AND(H104&lt;&gt;"",NOT(ISNUMBER(H104))),"Paid not a number",IF(AND(I104&lt;&gt;"",NOT(ISNUMBER(I104))),"Worth not a number",IF(AND(G104&lt;&gt;"",NOT(ISNUMBER(G104))),"Bought is not a date",IF(AND(L104&lt;&gt;"",NOT(ISNUMBER(L104))),"Warranty is not a date",""))))))))</f>
        <v/>
      </c>
      <c r="S104" s="1">
        <f>IF(AND(C104&lt;&gt;"",R104=""),1,0)</f>
        <v/>
      </c>
      <c r="T104">
        <f>IF(S104=1,N(N104),0)</f>
        <v/>
      </c>
      <c r="U104">
        <f>IF(AND(S104=1,T104&gt;0),ROUND(T104*100,0)*10000+10000-ROW(),"")</f>
        <v/>
      </c>
      <c r="V104">
        <f>IF(AND(S104=1,OR(Report!$C$5="",B104=Report!$C$5)),MATCH(B104,Rooms!$B$6:$B$35,0)*10000+ROW(),"")</f>
        <v/>
      </c>
      <c r="W104">
        <f>IF(AND(S104=1,OR(J104="",J104="No")),1,0)</f>
        <v/>
      </c>
      <c r="X104">
        <f>IF(AND(S104=1,K104=""),1,0)</f>
        <v/>
      </c>
      <c r="Y104">
        <f>IF(AND(S104=1,Q104&lt;&gt;""),ROUND(T104*100,0)*10000+10000-ROW(),"")</f>
        <v/>
      </c>
    </row>
    <row r="105">
      <c r="A105" s="1" t="n"/>
      <c r="B105" s="17" t="n"/>
      <c r="C105" s="18" t="n"/>
      <c r="D105" s="17" t="n"/>
      <c r="E105" s="19" t="n"/>
      <c r="F105" s="19" t="n"/>
      <c r="G105" s="20" t="n"/>
      <c r="H105" s="21" t="n"/>
      <c r="I105" s="21" t="n"/>
      <c r="J105" s="17" t="n"/>
      <c r="K105" s="19" t="n"/>
      <c r="L105" s="20" t="n"/>
      <c r="M105" s="19" t="n"/>
      <c r="N105" s="22">
        <f>IF(C105="","",IF(ISNUMBER(I105),I105,IF(ISNUMBER(H105),H105,"")))</f>
        <v/>
      </c>
      <c r="O105" s="23">
        <f>IF(OR(C105="",NOT(ISNUMBER(G105))),"",(TODAY()-INT(G105))/365.25)</f>
        <v/>
      </c>
      <c r="P105" s="13">
        <f>IF(OR(C105="",NOT(ISNUMBER(L105))),"",IF(L105&lt;TODAY(),"Ended",IF(L105-TODAY()&lt;=N(Settings!$C$10),"Ends soon","Covered")))</f>
        <v/>
      </c>
      <c r="Q105" s="13">
        <f>IF(C105="","",MID(IF(N105="",", value","")&amp;IF(OR(J105="",J105="No"),", receipt","")&amp;IF(K105="",", photo",""),3,100))</f>
        <v/>
      </c>
      <c r="R105" s="13">
        <f>IF(AND(B105="",C105=""),"",IF(C105="","Needs the item",IF(B105="","Needs a room",IF(COUNTIF(Rooms!$B$6:$B$35,B105)=0,"Not on Rooms",IF(AND(H105&lt;&gt;"",NOT(ISNUMBER(H105))),"Paid not a number",IF(AND(I105&lt;&gt;"",NOT(ISNUMBER(I105))),"Worth not a number",IF(AND(G105&lt;&gt;"",NOT(ISNUMBER(G105))),"Bought is not a date",IF(AND(L105&lt;&gt;"",NOT(ISNUMBER(L105))),"Warranty is not a date",""))))))))</f>
        <v/>
      </c>
      <c r="S105" s="1">
        <f>IF(AND(C105&lt;&gt;"",R105=""),1,0)</f>
        <v/>
      </c>
      <c r="T105">
        <f>IF(S105=1,N(N105),0)</f>
        <v/>
      </c>
      <c r="U105">
        <f>IF(AND(S105=1,T105&gt;0),ROUND(T105*100,0)*10000+10000-ROW(),"")</f>
        <v/>
      </c>
      <c r="V105">
        <f>IF(AND(S105=1,OR(Report!$C$5="",B105=Report!$C$5)),MATCH(B105,Rooms!$B$6:$B$35,0)*10000+ROW(),"")</f>
        <v/>
      </c>
      <c r="W105">
        <f>IF(AND(S105=1,OR(J105="",J105="No")),1,0)</f>
        <v/>
      </c>
      <c r="X105">
        <f>IF(AND(S105=1,K105=""),1,0)</f>
        <v/>
      </c>
      <c r="Y105">
        <f>IF(AND(S105=1,Q105&lt;&gt;""),ROUND(T105*100,0)*10000+10000-ROW(),"")</f>
        <v/>
      </c>
    </row>
    <row r="106">
      <c r="A106" s="1" t="n"/>
      <c r="B106" s="17" t="n"/>
      <c r="C106" s="18" t="n"/>
      <c r="D106" s="17" t="n"/>
      <c r="E106" s="19" t="n"/>
      <c r="F106" s="19" t="n"/>
      <c r="G106" s="20" t="n"/>
      <c r="H106" s="21" t="n"/>
      <c r="I106" s="21" t="n"/>
      <c r="J106" s="17" t="n"/>
      <c r="K106" s="19" t="n"/>
      <c r="L106" s="20" t="n"/>
      <c r="M106" s="19" t="n"/>
      <c r="N106" s="22">
        <f>IF(C106="","",IF(ISNUMBER(I106),I106,IF(ISNUMBER(H106),H106,"")))</f>
        <v/>
      </c>
      <c r="O106" s="23">
        <f>IF(OR(C106="",NOT(ISNUMBER(G106))),"",(TODAY()-INT(G106))/365.25)</f>
        <v/>
      </c>
      <c r="P106" s="13">
        <f>IF(OR(C106="",NOT(ISNUMBER(L106))),"",IF(L106&lt;TODAY(),"Ended",IF(L106-TODAY()&lt;=N(Settings!$C$10),"Ends soon","Covered")))</f>
        <v/>
      </c>
      <c r="Q106" s="13">
        <f>IF(C106="","",MID(IF(N106="",", value","")&amp;IF(OR(J106="",J106="No"),", receipt","")&amp;IF(K106="",", photo",""),3,100))</f>
        <v/>
      </c>
      <c r="R106" s="13">
        <f>IF(AND(B106="",C106=""),"",IF(C106="","Needs the item",IF(B106="","Needs a room",IF(COUNTIF(Rooms!$B$6:$B$35,B106)=0,"Not on Rooms",IF(AND(H106&lt;&gt;"",NOT(ISNUMBER(H106))),"Paid not a number",IF(AND(I106&lt;&gt;"",NOT(ISNUMBER(I106))),"Worth not a number",IF(AND(G106&lt;&gt;"",NOT(ISNUMBER(G106))),"Bought is not a date",IF(AND(L106&lt;&gt;"",NOT(ISNUMBER(L106))),"Warranty is not a date",""))))))))</f>
        <v/>
      </c>
      <c r="S106" s="1">
        <f>IF(AND(C106&lt;&gt;"",R106=""),1,0)</f>
        <v/>
      </c>
      <c r="T106">
        <f>IF(S106=1,N(N106),0)</f>
        <v/>
      </c>
      <c r="U106">
        <f>IF(AND(S106=1,T106&gt;0),ROUND(T106*100,0)*10000+10000-ROW(),"")</f>
        <v/>
      </c>
      <c r="V106">
        <f>IF(AND(S106=1,OR(Report!$C$5="",B106=Report!$C$5)),MATCH(B106,Rooms!$B$6:$B$35,0)*10000+ROW(),"")</f>
        <v/>
      </c>
      <c r="W106">
        <f>IF(AND(S106=1,OR(J106="",J106="No")),1,0)</f>
        <v/>
      </c>
      <c r="X106">
        <f>IF(AND(S106=1,K106=""),1,0)</f>
        <v/>
      </c>
      <c r="Y106">
        <f>IF(AND(S106=1,Q106&lt;&gt;""),ROUND(T106*100,0)*10000+10000-ROW(),"")</f>
        <v/>
      </c>
    </row>
    <row r="107">
      <c r="A107" s="1" t="n"/>
      <c r="B107" s="17" t="n"/>
      <c r="C107" s="18" t="n"/>
      <c r="D107" s="17" t="n"/>
      <c r="E107" s="19" t="n"/>
      <c r="F107" s="19" t="n"/>
      <c r="G107" s="20" t="n"/>
      <c r="H107" s="21" t="n"/>
      <c r="I107" s="21" t="n"/>
      <c r="J107" s="17" t="n"/>
      <c r="K107" s="19" t="n"/>
      <c r="L107" s="20" t="n"/>
      <c r="M107" s="19" t="n"/>
      <c r="N107" s="22">
        <f>IF(C107="","",IF(ISNUMBER(I107),I107,IF(ISNUMBER(H107),H107,"")))</f>
        <v/>
      </c>
      <c r="O107" s="23">
        <f>IF(OR(C107="",NOT(ISNUMBER(G107))),"",(TODAY()-INT(G107))/365.25)</f>
        <v/>
      </c>
      <c r="P107" s="13">
        <f>IF(OR(C107="",NOT(ISNUMBER(L107))),"",IF(L107&lt;TODAY(),"Ended",IF(L107-TODAY()&lt;=N(Settings!$C$10),"Ends soon","Covered")))</f>
        <v/>
      </c>
      <c r="Q107" s="13">
        <f>IF(C107="","",MID(IF(N107="",", value","")&amp;IF(OR(J107="",J107="No"),", receipt","")&amp;IF(K107="",", photo",""),3,100))</f>
        <v/>
      </c>
      <c r="R107" s="13">
        <f>IF(AND(B107="",C107=""),"",IF(C107="","Needs the item",IF(B107="","Needs a room",IF(COUNTIF(Rooms!$B$6:$B$35,B107)=0,"Not on Rooms",IF(AND(H107&lt;&gt;"",NOT(ISNUMBER(H107))),"Paid not a number",IF(AND(I107&lt;&gt;"",NOT(ISNUMBER(I107))),"Worth not a number",IF(AND(G107&lt;&gt;"",NOT(ISNUMBER(G107))),"Bought is not a date",IF(AND(L107&lt;&gt;"",NOT(ISNUMBER(L107))),"Warranty is not a date",""))))))))</f>
        <v/>
      </c>
      <c r="S107" s="1">
        <f>IF(AND(C107&lt;&gt;"",R107=""),1,0)</f>
        <v/>
      </c>
      <c r="T107">
        <f>IF(S107=1,N(N107),0)</f>
        <v/>
      </c>
      <c r="U107">
        <f>IF(AND(S107=1,T107&gt;0),ROUND(T107*100,0)*10000+10000-ROW(),"")</f>
        <v/>
      </c>
      <c r="V107">
        <f>IF(AND(S107=1,OR(Report!$C$5="",B107=Report!$C$5)),MATCH(B107,Rooms!$B$6:$B$35,0)*10000+ROW(),"")</f>
        <v/>
      </c>
      <c r="W107">
        <f>IF(AND(S107=1,OR(J107="",J107="No")),1,0)</f>
        <v/>
      </c>
      <c r="X107">
        <f>IF(AND(S107=1,K107=""),1,0)</f>
        <v/>
      </c>
      <c r="Y107">
        <f>IF(AND(S107=1,Q107&lt;&gt;""),ROUND(T107*100,0)*10000+10000-ROW(),"")</f>
        <v/>
      </c>
    </row>
    <row r="108">
      <c r="A108" s="1" t="n"/>
      <c r="B108" s="17" t="n"/>
      <c r="C108" s="18" t="n"/>
      <c r="D108" s="17" t="n"/>
      <c r="E108" s="19" t="n"/>
      <c r="F108" s="19" t="n"/>
      <c r="G108" s="20" t="n"/>
      <c r="H108" s="21" t="n"/>
      <c r="I108" s="21" t="n"/>
      <c r="J108" s="17" t="n"/>
      <c r="K108" s="19" t="n"/>
      <c r="L108" s="20" t="n"/>
      <c r="M108" s="19" t="n"/>
      <c r="N108" s="22">
        <f>IF(C108="","",IF(ISNUMBER(I108),I108,IF(ISNUMBER(H108),H108,"")))</f>
        <v/>
      </c>
      <c r="O108" s="23">
        <f>IF(OR(C108="",NOT(ISNUMBER(G108))),"",(TODAY()-INT(G108))/365.25)</f>
        <v/>
      </c>
      <c r="P108" s="13">
        <f>IF(OR(C108="",NOT(ISNUMBER(L108))),"",IF(L108&lt;TODAY(),"Ended",IF(L108-TODAY()&lt;=N(Settings!$C$10),"Ends soon","Covered")))</f>
        <v/>
      </c>
      <c r="Q108" s="13">
        <f>IF(C108="","",MID(IF(N108="",", value","")&amp;IF(OR(J108="",J108="No"),", receipt","")&amp;IF(K108="",", photo",""),3,100))</f>
        <v/>
      </c>
      <c r="R108" s="13">
        <f>IF(AND(B108="",C108=""),"",IF(C108="","Needs the item",IF(B108="","Needs a room",IF(COUNTIF(Rooms!$B$6:$B$35,B108)=0,"Not on Rooms",IF(AND(H108&lt;&gt;"",NOT(ISNUMBER(H108))),"Paid not a number",IF(AND(I108&lt;&gt;"",NOT(ISNUMBER(I108))),"Worth not a number",IF(AND(G108&lt;&gt;"",NOT(ISNUMBER(G108))),"Bought is not a date",IF(AND(L108&lt;&gt;"",NOT(ISNUMBER(L108))),"Warranty is not a date",""))))))))</f>
        <v/>
      </c>
      <c r="S108" s="1">
        <f>IF(AND(C108&lt;&gt;"",R108=""),1,0)</f>
        <v/>
      </c>
      <c r="T108">
        <f>IF(S108=1,N(N108),0)</f>
        <v/>
      </c>
      <c r="U108">
        <f>IF(AND(S108=1,T108&gt;0),ROUND(T108*100,0)*10000+10000-ROW(),"")</f>
        <v/>
      </c>
      <c r="V108">
        <f>IF(AND(S108=1,OR(Report!$C$5="",B108=Report!$C$5)),MATCH(B108,Rooms!$B$6:$B$35,0)*10000+ROW(),"")</f>
        <v/>
      </c>
      <c r="W108">
        <f>IF(AND(S108=1,OR(J108="",J108="No")),1,0)</f>
        <v/>
      </c>
      <c r="X108">
        <f>IF(AND(S108=1,K108=""),1,0)</f>
        <v/>
      </c>
      <c r="Y108">
        <f>IF(AND(S108=1,Q108&lt;&gt;""),ROUND(T108*100,0)*10000+10000-ROW(),"")</f>
        <v/>
      </c>
    </row>
    <row r="109">
      <c r="A109" s="1" t="n"/>
      <c r="B109" s="17" t="n"/>
      <c r="C109" s="18" t="n"/>
      <c r="D109" s="17" t="n"/>
      <c r="E109" s="19" t="n"/>
      <c r="F109" s="19" t="n"/>
      <c r="G109" s="20" t="n"/>
      <c r="H109" s="21" t="n"/>
      <c r="I109" s="21" t="n"/>
      <c r="J109" s="17" t="n"/>
      <c r="K109" s="19" t="n"/>
      <c r="L109" s="20" t="n"/>
      <c r="M109" s="19" t="n"/>
      <c r="N109" s="22">
        <f>IF(C109="","",IF(ISNUMBER(I109),I109,IF(ISNUMBER(H109),H109,"")))</f>
        <v/>
      </c>
      <c r="O109" s="23">
        <f>IF(OR(C109="",NOT(ISNUMBER(G109))),"",(TODAY()-INT(G109))/365.25)</f>
        <v/>
      </c>
      <c r="P109" s="13">
        <f>IF(OR(C109="",NOT(ISNUMBER(L109))),"",IF(L109&lt;TODAY(),"Ended",IF(L109-TODAY()&lt;=N(Settings!$C$10),"Ends soon","Covered")))</f>
        <v/>
      </c>
      <c r="Q109" s="13">
        <f>IF(C109="","",MID(IF(N109="",", value","")&amp;IF(OR(J109="",J109="No"),", receipt","")&amp;IF(K109="",", photo",""),3,100))</f>
        <v/>
      </c>
      <c r="R109" s="13">
        <f>IF(AND(B109="",C109=""),"",IF(C109="","Needs the item",IF(B109="","Needs a room",IF(COUNTIF(Rooms!$B$6:$B$35,B109)=0,"Not on Rooms",IF(AND(H109&lt;&gt;"",NOT(ISNUMBER(H109))),"Paid not a number",IF(AND(I109&lt;&gt;"",NOT(ISNUMBER(I109))),"Worth not a number",IF(AND(G109&lt;&gt;"",NOT(ISNUMBER(G109))),"Bought is not a date",IF(AND(L109&lt;&gt;"",NOT(ISNUMBER(L109))),"Warranty is not a date",""))))))))</f>
        <v/>
      </c>
      <c r="S109" s="1">
        <f>IF(AND(C109&lt;&gt;"",R109=""),1,0)</f>
        <v/>
      </c>
      <c r="T109">
        <f>IF(S109=1,N(N109),0)</f>
        <v/>
      </c>
      <c r="U109">
        <f>IF(AND(S109=1,T109&gt;0),ROUND(T109*100,0)*10000+10000-ROW(),"")</f>
        <v/>
      </c>
      <c r="V109">
        <f>IF(AND(S109=1,OR(Report!$C$5="",B109=Report!$C$5)),MATCH(B109,Rooms!$B$6:$B$35,0)*10000+ROW(),"")</f>
        <v/>
      </c>
      <c r="W109">
        <f>IF(AND(S109=1,OR(J109="",J109="No")),1,0)</f>
        <v/>
      </c>
      <c r="X109">
        <f>IF(AND(S109=1,K109=""),1,0)</f>
        <v/>
      </c>
      <c r="Y109">
        <f>IF(AND(S109=1,Q109&lt;&gt;""),ROUND(T109*100,0)*10000+10000-ROW(),"")</f>
        <v/>
      </c>
    </row>
    <row r="110">
      <c r="A110" s="1" t="n"/>
      <c r="B110" s="17" t="n"/>
      <c r="C110" s="18" t="n"/>
      <c r="D110" s="17" t="n"/>
      <c r="E110" s="19" t="n"/>
      <c r="F110" s="19" t="n"/>
      <c r="G110" s="20" t="n"/>
      <c r="H110" s="21" t="n"/>
      <c r="I110" s="21" t="n"/>
      <c r="J110" s="17" t="n"/>
      <c r="K110" s="19" t="n"/>
      <c r="L110" s="20" t="n"/>
      <c r="M110" s="19" t="n"/>
      <c r="N110" s="22">
        <f>IF(C110="","",IF(ISNUMBER(I110),I110,IF(ISNUMBER(H110),H110,"")))</f>
        <v/>
      </c>
      <c r="O110" s="23">
        <f>IF(OR(C110="",NOT(ISNUMBER(G110))),"",(TODAY()-INT(G110))/365.25)</f>
        <v/>
      </c>
      <c r="P110" s="13">
        <f>IF(OR(C110="",NOT(ISNUMBER(L110))),"",IF(L110&lt;TODAY(),"Ended",IF(L110-TODAY()&lt;=N(Settings!$C$10),"Ends soon","Covered")))</f>
        <v/>
      </c>
      <c r="Q110" s="13">
        <f>IF(C110="","",MID(IF(N110="",", value","")&amp;IF(OR(J110="",J110="No"),", receipt","")&amp;IF(K110="",", photo",""),3,100))</f>
        <v/>
      </c>
      <c r="R110" s="13">
        <f>IF(AND(B110="",C110=""),"",IF(C110="","Needs the item",IF(B110="","Needs a room",IF(COUNTIF(Rooms!$B$6:$B$35,B110)=0,"Not on Rooms",IF(AND(H110&lt;&gt;"",NOT(ISNUMBER(H110))),"Paid not a number",IF(AND(I110&lt;&gt;"",NOT(ISNUMBER(I110))),"Worth not a number",IF(AND(G110&lt;&gt;"",NOT(ISNUMBER(G110))),"Bought is not a date",IF(AND(L110&lt;&gt;"",NOT(ISNUMBER(L110))),"Warranty is not a date",""))))))))</f>
        <v/>
      </c>
      <c r="S110" s="1">
        <f>IF(AND(C110&lt;&gt;"",R110=""),1,0)</f>
        <v/>
      </c>
      <c r="T110">
        <f>IF(S110=1,N(N110),0)</f>
        <v/>
      </c>
      <c r="U110">
        <f>IF(AND(S110=1,T110&gt;0),ROUND(T110*100,0)*10000+10000-ROW(),"")</f>
        <v/>
      </c>
      <c r="V110">
        <f>IF(AND(S110=1,OR(Report!$C$5="",B110=Report!$C$5)),MATCH(B110,Rooms!$B$6:$B$35,0)*10000+ROW(),"")</f>
        <v/>
      </c>
      <c r="W110">
        <f>IF(AND(S110=1,OR(J110="",J110="No")),1,0)</f>
        <v/>
      </c>
      <c r="X110">
        <f>IF(AND(S110=1,K110=""),1,0)</f>
        <v/>
      </c>
      <c r="Y110">
        <f>IF(AND(S110=1,Q110&lt;&gt;""),ROUND(T110*100,0)*10000+10000-ROW(),"")</f>
        <v/>
      </c>
    </row>
    <row r="111">
      <c r="A111" s="1" t="n"/>
      <c r="B111" s="17" t="n"/>
      <c r="C111" s="18" t="n"/>
      <c r="D111" s="17" t="n"/>
      <c r="E111" s="19" t="n"/>
      <c r="F111" s="19" t="n"/>
      <c r="G111" s="20" t="n"/>
      <c r="H111" s="21" t="n"/>
      <c r="I111" s="21" t="n"/>
      <c r="J111" s="17" t="n"/>
      <c r="K111" s="19" t="n"/>
      <c r="L111" s="20" t="n"/>
      <c r="M111" s="19" t="n"/>
      <c r="N111" s="22">
        <f>IF(C111="","",IF(ISNUMBER(I111),I111,IF(ISNUMBER(H111),H111,"")))</f>
        <v/>
      </c>
      <c r="O111" s="23">
        <f>IF(OR(C111="",NOT(ISNUMBER(G111))),"",(TODAY()-INT(G111))/365.25)</f>
        <v/>
      </c>
      <c r="P111" s="13">
        <f>IF(OR(C111="",NOT(ISNUMBER(L111))),"",IF(L111&lt;TODAY(),"Ended",IF(L111-TODAY()&lt;=N(Settings!$C$10),"Ends soon","Covered")))</f>
        <v/>
      </c>
      <c r="Q111" s="13">
        <f>IF(C111="","",MID(IF(N111="",", value","")&amp;IF(OR(J111="",J111="No"),", receipt","")&amp;IF(K111="",", photo",""),3,100))</f>
        <v/>
      </c>
      <c r="R111" s="13">
        <f>IF(AND(B111="",C111=""),"",IF(C111="","Needs the item",IF(B111="","Needs a room",IF(COUNTIF(Rooms!$B$6:$B$35,B111)=0,"Not on Rooms",IF(AND(H111&lt;&gt;"",NOT(ISNUMBER(H111))),"Paid not a number",IF(AND(I111&lt;&gt;"",NOT(ISNUMBER(I111))),"Worth not a number",IF(AND(G111&lt;&gt;"",NOT(ISNUMBER(G111))),"Bought is not a date",IF(AND(L111&lt;&gt;"",NOT(ISNUMBER(L111))),"Warranty is not a date",""))))))))</f>
        <v/>
      </c>
      <c r="S111" s="1">
        <f>IF(AND(C111&lt;&gt;"",R111=""),1,0)</f>
        <v/>
      </c>
      <c r="T111">
        <f>IF(S111=1,N(N111),0)</f>
        <v/>
      </c>
      <c r="U111">
        <f>IF(AND(S111=1,T111&gt;0),ROUND(T111*100,0)*10000+10000-ROW(),"")</f>
        <v/>
      </c>
      <c r="V111">
        <f>IF(AND(S111=1,OR(Report!$C$5="",B111=Report!$C$5)),MATCH(B111,Rooms!$B$6:$B$35,0)*10000+ROW(),"")</f>
        <v/>
      </c>
      <c r="W111">
        <f>IF(AND(S111=1,OR(J111="",J111="No")),1,0)</f>
        <v/>
      </c>
      <c r="X111">
        <f>IF(AND(S111=1,K111=""),1,0)</f>
        <v/>
      </c>
      <c r="Y111">
        <f>IF(AND(S111=1,Q111&lt;&gt;""),ROUND(T111*100,0)*10000+10000-ROW(),"")</f>
        <v/>
      </c>
    </row>
    <row r="112">
      <c r="A112" s="1" t="n"/>
      <c r="B112" s="17" t="n"/>
      <c r="C112" s="18" t="n"/>
      <c r="D112" s="17" t="n"/>
      <c r="E112" s="19" t="n"/>
      <c r="F112" s="19" t="n"/>
      <c r="G112" s="20" t="n"/>
      <c r="H112" s="21" t="n"/>
      <c r="I112" s="21" t="n"/>
      <c r="J112" s="17" t="n"/>
      <c r="K112" s="19" t="n"/>
      <c r="L112" s="20" t="n"/>
      <c r="M112" s="19" t="n"/>
      <c r="N112" s="22">
        <f>IF(C112="","",IF(ISNUMBER(I112),I112,IF(ISNUMBER(H112),H112,"")))</f>
        <v/>
      </c>
      <c r="O112" s="23">
        <f>IF(OR(C112="",NOT(ISNUMBER(G112))),"",(TODAY()-INT(G112))/365.25)</f>
        <v/>
      </c>
      <c r="P112" s="13">
        <f>IF(OR(C112="",NOT(ISNUMBER(L112))),"",IF(L112&lt;TODAY(),"Ended",IF(L112-TODAY()&lt;=N(Settings!$C$10),"Ends soon","Covered")))</f>
        <v/>
      </c>
      <c r="Q112" s="13">
        <f>IF(C112="","",MID(IF(N112="",", value","")&amp;IF(OR(J112="",J112="No"),", receipt","")&amp;IF(K112="",", photo",""),3,100))</f>
        <v/>
      </c>
      <c r="R112" s="13">
        <f>IF(AND(B112="",C112=""),"",IF(C112="","Needs the item",IF(B112="","Needs a room",IF(COUNTIF(Rooms!$B$6:$B$35,B112)=0,"Not on Rooms",IF(AND(H112&lt;&gt;"",NOT(ISNUMBER(H112))),"Paid not a number",IF(AND(I112&lt;&gt;"",NOT(ISNUMBER(I112))),"Worth not a number",IF(AND(G112&lt;&gt;"",NOT(ISNUMBER(G112))),"Bought is not a date",IF(AND(L112&lt;&gt;"",NOT(ISNUMBER(L112))),"Warranty is not a date",""))))))))</f>
        <v/>
      </c>
      <c r="S112" s="1">
        <f>IF(AND(C112&lt;&gt;"",R112=""),1,0)</f>
        <v/>
      </c>
      <c r="T112">
        <f>IF(S112=1,N(N112),0)</f>
        <v/>
      </c>
      <c r="U112">
        <f>IF(AND(S112=1,T112&gt;0),ROUND(T112*100,0)*10000+10000-ROW(),"")</f>
        <v/>
      </c>
      <c r="V112">
        <f>IF(AND(S112=1,OR(Report!$C$5="",B112=Report!$C$5)),MATCH(B112,Rooms!$B$6:$B$35,0)*10000+ROW(),"")</f>
        <v/>
      </c>
      <c r="W112">
        <f>IF(AND(S112=1,OR(J112="",J112="No")),1,0)</f>
        <v/>
      </c>
      <c r="X112">
        <f>IF(AND(S112=1,K112=""),1,0)</f>
        <v/>
      </c>
      <c r="Y112">
        <f>IF(AND(S112=1,Q112&lt;&gt;""),ROUND(T112*100,0)*10000+10000-ROW(),"")</f>
        <v/>
      </c>
    </row>
    <row r="113">
      <c r="A113" s="1" t="n"/>
      <c r="B113" s="17" t="n"/>
      <c r="C113" s="18" t="n"/>
      <c r="D113" s="17" t="n"/>
      <c r="E113" s="19" t="n"/>
      <c r="F113" s="19" t="n"/>
      <c r="G113" s="20" t="n"/>
      <c r="H113" s="21" t="n"/>
      <c r="I113" s="21" t="n"/>
      <c r="J113" s="17" t="n"/>
      <c r="K113" s="19" t="n"/>
      <c r="L113" s="20" t="n"/>
      <c r="M113" s="19" t="n"/>
      <c r="N113" s="22">
        <f>IF(C113="","",IF(ISNUMBER(I113),I113,IF(ISNUMBER(H113),H113,"")))</f>
        <v/>
      </c>
      <c r="O113" s="23">
        <f>IF(OR(C113="",NOT(ISNUMBER(G113))),"",(TODAY()-INT(G113))/365.25)</f>
        <v/>
      </c>
      <c r="P113" s="13">
        <f>IF(OR(C113="",NOT(ISNUMBER(L113))),"",IF(L113&lt;TODAY(),"Ended",IF(L113-TODAY()&lt;=N(Settings!$C$10),"Ends soon","Covered")))</f>
        <v/>
      </c>
      <c r="Q113" s="13">
        <f>IF(C113="","",MID(IF(N113="",", value","")&amp;IF(OR(J113="",J113="No"),", receipt","")&amp;IF(K113="",", photo",""),3,100))</f>
        <v/>
      </c>
      <c r="R113" s="13">
        <f>IF(AND(B113="",C113=""),"",IF(C113="","Needs the item",IF(B113="","Needs a room",IF(COUNTIF(Rooms!$B$6:$B$35,B113)=0,"Not on Rooms",IF(AND(H113&lt;&gt;"",NOT(ISNUMBER(H113))),"Paid not a number",IF(AND(I113&lt;&gt;"",NOT(ISNUMBER(I113))),"Worth not a number",IF(AND(G113&lt;&gt;"",NOT(ISNUMBER(G113))),"Bought is not a date",IF(AND(L113&lt;&gt;"",NOT(ISNUMBER(L113))),"Warranty is not a date",""))))))))</f>
        <v/>
      </c>
      <c r="S113" s="1">
        <f>IF(AND(C113&lt;&gt;"",R113=""),1,0)</f>
        <v/>
      </c>
      <c r="T113">
        <f>IF(S113=1,N(N113),0)</f>
        <v/>
      </c>
      <c r="U113">
        <f>IF(AND(S113=1,T113&gt;0),ROUND(T113*100,0)*10000+10000-ROW(),"")</f>
        <v/>
      </c>
      <c r="V113">
        <f>IF(AND(S113=1,OR(Report!$C$5="",B113=Report!$C$5)),MATCH(B113,Rooms!$B$6:$B$35,0)*10000+ROW(),"")</f>
        <v/>
      </c>
      <c r="W113">
        <f>IF(AND(S113=1,OR(J113="",J113="No")),1,0)</f>
        <v/>
      </c>
      <c r="X113">
        <f>IF(AND(S113=1,K113=""),1,0)</f>
        <v/>
      </c>
      <c r="Y113">
        <f>IF(AND(S113=1,Q113&lt;&gt;""),ROUND(T113*100,0)*10000+10000-ROW(),"")</f>
        <v/>
      </c>
    </row>
    <row r="114">
      <c r="A114" s="1" t="n"/>
      <c r="B114" s="17" t="n"/>
      <c r="C114" s="18" t="n"/>
      <c r="D114" s="17" t="n"/>
      <c r="E114" s="19" t="n"/>
      <c r="F114" s="19" t="n"/>
      <c r="G114" s="20" t="n"/>
      <c r="H114" s="21" t="n"/>
      <c r="I114" s="21" t="n"/>
      <c r="J114" s="17" t="n"/>
      <c r="K114" s="19" t="n"/>
      <c r="L114" s="20" t="n"/>
      <c r="M114" s="19" t="n"/>
      <c r="N114" s="22">
        <f>IF(C114="","",IF(ISNUMBER(I114),I114,IF(ISNUMBER(H114),H114,"")))</f>
        <v/>
      </c>
      <c r="O114" s="23">
        <f>IF(OR(C114="",NOT(ISNUMBER(G114))),"",(TODAY()-INT(G114))/365.25)</f>
        <v/>
      </c>
      <c r="P114" s="13">
        <f>IF(OR(C114="",NOT(ISNUMBER(L114))),"",IF(L114&lt;TODAY(),"Ended",IF(L114-TODAY()&lt;=N(Settings!$C$10),"Ends soon","Covered")))</f>
        <v/>
      </c>
      <c r="Q114" s="13">
        <f>IF(C114="","",MID(IF(N114="",", value","")&amp;IF(OR(J114="",J114="No"),", receipt","")&amp;IF(K114="",", photo",""),3,100))</f>
        <v/>
      </c>
      <c r="R114" s="13">
        <f>IF(AND(B114="",C114=""),"",IF(C114="","Needs the item",IF(B114="","Needs a room",IF(COUNTIF(Rooms!$B$6:$B$35,B114)=0,"Not on Rooms",IF(AND(H114&lt;&gt;"",NOT(ISNUMBER(H114))),"Paid not a number",IF(AND(I114&lt;&gt;"",NOT(ISNUMBER(I114))),"Worth not a number",IF(AND(G114&lt;&gt;"",NOT(ISNUMBER(G114))),"Bought is not a date",IF(AND(L114&lt;&gt;"",NOT(ISNUMBER(L114))),"Warranty is not a date",""))))))))</f>
        <v/>
      </c>
      <c r="S114" s="1">
        <f>IF(AND(C114&lt;&gt;"",R114=""),1,0)</f>
        <v/>
      </c>
      <c r="T114">
        <f>IF(S114=1,N(N114),0)</f>
        <v/>
      </c>
      <c r="U114">
        <f>IF(AND(S114=1,T114&gt;0),ROUND(T114*100,0)*10000+10000-ROW(),"")</f>
        <v/>
      </c>
      <c r="V114">
        <f>IF(AND(S114=1,OR(Report!$C$5="",B114=Report!$C$5)),MATCH(B114,Rooms!$B$6:$B$35,0)*10000+ROW(),"")</f>
        <v/>
      </c>
      <c r="W114">
        <f>IF(AND(S114=1,OR(J114="",J114="No")),1,0)</f>
        <v/>
      </c>
      <c r="X114">
        <f>IF(AND(S114=1,K114=""),1,0)</f>
        <v/>
      </c>
      <c r="Y114">
        <f>IF(AND(S114=1,Q114&lt;&gt;""),ROUND(T114*100,0)*10000+10000-ROW(),"")</f>
        <v/>
      </c>
    </row>
    <row r="115">
      <c r="A115" s="1" t="n"/>
      <c r="B115" s="17" t="n"/>
      <c r="C115" s="18" t="n"/>
      <c r="D115" s="17" t="n"/>
      <c r="E115" s="19" t="n"/>
      <c r="F115" s="19" t="n"/>
      <c r="G115" s="20" t="n"/>
      <c r="H115" s="21" t="n"/>
      <c r="I115" s="21" t="n"/>
      <c r="J115" s="17" t="n"/>
      <c r="K115" s="19" t="n"/>
      <c r="L115" s="20" t="n"/>
      <c r="M115" s="19" t="n"/>
      <c r="N115" s="22">
        <f>IF(C115="","",IF(ISNUMBER(I115),I115,IF(ISNUMBER(H115),H115,"")))</f>
        <v/>
      </c>
      <c r="O115" s="23">
        <f>IF(OR(C115="",NOT(ISNUMBER(G115))),"",(TODAY()-INT(G115))/365.25)</f>
        <v/>
      </c>
      <c r="P115" s="13">
        <f>IF(OR(C115="",NOT(ISNUMBER(L115))),"",IF(L115&lt;TODAY(),"Ended",IF(L115-TODAY()&lt;=N(Settings!$C$10),"Ends soon","Covered")))</f>
        <v/>
      </c>
      <c r="Q115" s="13">
        <f>IF(C115="","",MID(IF(N115="",", value","")&amp;IF(OR(J115="",J115="No"),", receipt","")&amp;IF(K115="",", photo",""),3,100))</f>
        <v/>
      </c>
      <c r="R115" s="13">
        <f>IF(AND(B115="",C115=""),"",IF(C115="","Needs the item",IF(B115="","Needs a room",IF(COUNTIF(Rooms!$B$6:$B$35,B115)=0,"Not on Rooms",IF(AND(H115&lt;&gt;"",NOT(ISNUMBER(H115))),"Paid not a number",IF(AND(I115&lt;&gt;"",NOT(ISNUMBER(I115))),"Worth not a number",IF(AND(G115&lt;&gt;"",NOT(ISNUMBER(G115))),"Bought is not a date",IF(AND(L115&lt;&gt;"",NOT(ISNUMBER(L115))),"Warranty is not a date",""))))))))</f>
        <v/>
      </c>
      <c r="S115" s="1">
        <f>IF(AND(C115&lt;&gt;"",R115=""),1,0)</f>
        <v/>
      </c>
      <c r="T115">
        <f>IF(S115=1,N(N115),0)</f>
        <v/>
      </c>
      <c r="U115">
        <f>IF(AND(S115=1,T115&gt;0),ROUND(T115*100,0)*10000+10000-ROW(),"")</f>
        <v/>
      </c>
      <c r="V115">
        <f>IF(AND(S115=1,OR(Report!$C$5="",B115=Report!$C$5)),MATCH(B115,Rooms!$B$6:$B$35,0)*10000+ROW(),"")</f>
        <v/>
      </c>
      <c r="W115">
        <f>IF(AND(S115=1,OR(J115="",J115="No")),1,0)</f>
        <v/>
      </c>
      <c r="X115">
        <f>IF(AND(S115=1,K115=""),1,0)</f>
        <v/>
      </c>
      <c r="Y115">
        <f>IF(AND(S115=1,Q115&lt;&gt;""),ROUND(T115*100,0)*10000+10000-ROW(),"")</f>
        <v/>
      </c>
    </row>
    <row r="116">
      <c r="A116" s="1" t="n"/>
      <c r="B116" s="17" t="n"/>
      <c r="C116" s="18" t="n"/>
      <c r="D116" s="17" t="n"/>
      <c r="E116" s="19" t="n"/>
      <c r="F116" s="19" t="n"/>
      <c r="G116" s="20" t="n"/>
      <c r="H116" s="21" t="n"/>
      <c r="I116" s="21" t="n"/>
      <c r="J116" s="17" t="n"/>
      <c r="K116" s="19" t="n"/>
      <c r="L116" s="20" t="n"/>
      <c r="M116" s="19" t="n"/>
      <c r="N116" s="22">
        <f>IF(C116="","",IF(ISNUMBER(I116),I116,IF(ISNUMBER(H116),H116,"")))</f>
        <v/>
      </c>
      <c r="O116" s="23">
        <f>IF(OR(C116="",NOT(ISNUMBER(G116))),"",(TODAY()-INT(G116))/365.25)</f>
        <v/>
      </c>
      <c r="P116" s="13">
        <f>IF(OR(C116="",NOT(ISNUMBER(L116))),"",IF(L116&lt;TODAY(),"Ended",IF(L116-TODAY()&lt;=N(Settings!$C$10),"Ends soon","Covered")))</f>
        <v/>
      </c>
      <c r="Q116" s="13">
        <f>IF(C116="","",MID(IF(N116="",", value","")&amp;IF(OR(J116="",J116="No"),", receipt","")&amp;IF(K116="",", photo",""),3,100))</f>
        <v/>
      </c>
      <c r="R116" s="13">
        <f>IF(AND(B116="",C116=""),"",IF(C116="","Needs the item",IF(B116="","Needs a room",IF(COUNTIF(Rooms!$B$6:$B$35,B116)=0,"Not on Rooms",IF(AND(H116&lt;&gt;"",NOT(ISNUMBER(H116))),"Paid not a number",IF(AND(I116&lt;&gt;"",NOT(ISNUMBER(I116))),"Worth not a number",IF(AND(G116&lt;&gt;"",NOT(ISNUMBER(G116))),"Bought is not a date",IF(AND(L116&lt;&gt;"",NOT(ISNUMBER(L116))),"Warranty is not a date",""))))))))</f>
        <v/>
      </c>
      <c r="S116" s="1">
        <f>IF(AND(C116&lt;&gt;"",R116=""),1,0)</f>
        <v/>
      </c>
      <c r="T116">
        <f>IF(S116=1,N(N116),0)</f>
        <v/>
      </c>
      <c r="U116">
        <f>IF(AND(S116=1,T116&gt;0),ROUND(T116*100,0)*10000+10000-ROW(),"")</f>
        <v/>
      </c>
      <c r="V116">
        <f>IF(AND(S116=1,OR(Report!$C$5="",B116=Report!$C$5)),MATCH(B116,Rooms!$B$6:$B$35,0)*10000+ROW(),"")</f>
        <v/>
      </c>
      <c r="W116">
        <f>IF(AND(S116=1,OR(J116="",J116="No")),1,0)</f>
        <v/>
      </c>
      <c r="X116">
        <f>IF(AND(S116=1,K116=""),1,0)</f>
        <v/>
      </c>
      <c r="Y116">
        <f>IF(AND(S116=1,Q116&lt;&gt;""),ROUND(T116*100,0)*10000+10000-ROW(),"")</f>
        <v/>
      </c>
    </row>
    <row r="117">
      <c r="A117" s="1" t="n"/>
      <c r="B117" s="17" t="n"/>
      <c r="C117" s="18" t="n"/>
      <c r="D117" s="17" t="n"/>
      <c r="E117" s="19" t="n"/>
      <c r="F117" s="19" t="n"/>
      <c r="G117" s="20" t="n"/>
      <c r="H117" s="21" t="n"/>
      <c r="I117" s="21" t="n"/>
      <c r="J117" s="17" t="n"/>
      <c r="K117" s="19" t="n"/>
      <c r="L117" s="20" t="n"/>
      <c r="M117" s="19" t="n"/>
      <c r="N117" s="22">
        <f>IF(C117="","",IF(ISNUMBER(I117),I117,IF(ISNUMBER(H117),H117,"")))</f>
        <v/>
      </c>
      <c r="O117" s="23">
        <f>IF(OR(C117="",NOT(ISNUMBER(G117))),"",(TODAY()-INT(G117))/365.25)</f>
        <v/>
      </c>
      <c r="P117" s="13">
        <f>IF(OR(C117="",NOT(ISNUMBER(L117))),"",IF(L117&lt;TODAY(),"Ended",IF(L117-TODAY()&lt;=N(Settings!$C$10),"Ends soon","Covered")))</f>
        <v/>
      </c>
      <c r="Q117" s="13">
        <f>IF(C117="","",MID(IF(N117="",", value","")&amp;IF(OR(J117="",J117="No"),", receipt","")&amp;IF(K117="",", photo",""),3,100))</f>
        <v/>
      </c>
      <c r="R117" s="13">
        <f>IF(AND(B117="",C117=""),"",IF(C117="","Needs the item",IF(B117="","Needs a room",IF(COUNTIF(Rooms!$B$6:$B$35,B117)=0,"Not on Rooms",IF(AND(H117&lt;&gt;"",NOT(ISNUMBER(H117))),"Paid not a number",IF(AND(I117&lt;&gt;"",NOT(ISNUMBER(I117))),"Worth not a number",IF(AND(G117&lt;&gt;"",NOT(ISNUMBER(G117))),"Bought is not a date",IF(AND(L117&lt;&gt;"",NOT(ISNUMBER(L117))),"Warranty is not a date",""))))))))</f>
        <v/>
      </c>
      <c r="S117" s="1">
        <f>IF(AND(C117&lt;&gt;"",R117=""),1,0)</f>
        <v/>
      </c>
      <c r="T117">
        <f>IF(S117=1,N(N117),0)</f>
        <v/>
      </c>
      <c r="U117">
        <f>IF(AND(S117=1,T117&gt;0),ROUND(T117*100,0)*10000+10000-ROW(),"")</f>
        <v/>
      </c>
      <c r="V117">
        <f>IF(AND(S117=1,OR(Report!$C$5="",B117=Report!$C$5)),MATCH(B117,Rooms!$B$6:$B$35,0)*10000+ROW(),"")</f>
        <v/>
      </c>
      <c r="W117">
        <f>IF(AND(S117=1,OR(J117="",J117="No")),1,0)</f>
        <v/>
      </c>
      <c r="X117">
        <f>IF(AND(S117=1,K117=""),1,0)</f>
        <v/>
      </c>
      <c r="Y117">
        <f>IF(AND(S117=1,Q117&lt;&gt;""),ROUND(T117*100,0)*10000+10000-ROW(),"")</f>
        <v/>
      </c>
    </row>
    <row r="118">
      <c r="A118" s="1" t="n"/>
      <c r="B118" s="17" t="n"/>
      <c r="C118" s="18" t="n"/>
      <c r="D118" s="17" t="n"/>
      <c r="E118" s="19" t="n"/>
      <c r="F118" s="19" t="n"/>
      <c r="G118" s="20" t="n"/>
      <c r="H118" s="21" t="n"/>
      <c r="I118" s="21" t="n"/>
      <c r="J118" s="17" t="n"/>
      <c r="K118" s="19" t="n"/>
      <c r="L118" s="20" t="n"/>
      <c r="M118" s="19" t="n"/>
      <c r="N118" s="22">
        <f>IF(C118="","",IF(ISNUMBER(I118),I118,IF(ISNUMBER(H118),H118,"")))</f>
        <v/>
      </c>
      <c r="O118" s="23">
        <f>IF(OR(C118="",NOT(ISNUMBER(G118))),"",(TODAY()-INT(G118))/365.25)</f>
        <v/>
      </c>
      <c r="P118" s="13">
        <f>IF(OR(C118="",NOT(ISNUMBER(L118))),"",IF(L118&lt;TODAY(),"Ended",IF(L118-TODAY()&lt;=N(Settings!$C$10),"Ends soon","Covered")))</f>
        <v/>
      </c>
      <c r="Q118" s="13">
        <f>IF(C118="","",MID(IF(N118="",", value","")&amp;IF(OR(J118="",J118="No"),", receipt","")&amp;IF(K118="",", photo",""),3,100))</f>
        <v/>
      </c>
      <c r="R118" s="13">
        <f>IF(AND(B118="",C118=""),"",IF(C118="","Needs the item",IF(B118="","Needs a room",IF(COUNTIF(Rooms!$B$6:$B$35,B118)=0,"Not on Rooms",IF(AND(H118&lt;&gt;"",NOT(ISNUMBER(H118))),"Paid not a number",IF(AND(I118&lt;&gt;"",NOT(ISNUMBER(I118))),"Worth not a number",IF(AND(G118&lt;&gt;"",NOT(ISNUMBER(G118))),"Bought is not a date",IF(AND(L118&lt;&gt;"",NOT(ISNUMBER(L118))),"Warranty is not a date",""))))))))</f>
        <v/>
      </c>
      <c r="S118" s="1">
        <f>IF(AND(C118&lt;&gt;"",R118=""),1,0)</f>
        <v/>
      </c>
      <c r="T118">
        <f>IF(S118=1,N(N118),0)</f>
        <v/>
      </c>
      <c r="U118">
        <f>IF(AND(S118=1,T118&gt;0),ROUND(T118*100,0)*10000+10000-ROW(),"")</f>
        <v/>
      </c>
      <c r="V118">
        <f>IF(AND(S118=1,OR(Report!$C$5="",B118=Report!$C$5)),MATCH(B118,Rooms!$B$6:$B$35,0)*10000+ROW(),"")</f>
        <v/>
      </c>
      <c r="W118">
        <f>IF(AND(S118=1,OR(J118="",J118="No")),1,0)</f>
        <v/>
      </c>
      <c r="X118">
        <f>IF(AND(S118=1,K118=""),1,0)</f>
        <v/>
      </c>
      <c r="Y118">
        <f>IF(AND(S118=1,Q118&lt;&gt;""),ROUND(T118*100,0)*10000+10000-ROW(),"")</f>
        <v/>
      </c>
    </row>
    <row r="119">
      <c r="A119" s="1" t="n"/>
      <c r="B119" s="17" t="n"/>
      <c r="C119" s="18" t="n"/>
      <c r="D119" s="17" t="n"/>
      <c r="E119" s="19" t="n"/>
      <c r="F119" s="19" t="n"/>
      <c r="G119" s="20" t="n"/>
      <c r="H119" s="21" t="n"/>
      <c r="I119" s="21" t="n"/>
      <c r="J119" s="17" t="n"/>
      <c r="K119" s="19" t="n"/>
      <c r="L119" s="20" t="n"/>
      <c r="M119" s="19" t="n"/>
      <c r="N119" s="22">
        <f>IF(C119="","",IF(ISNUMBER(I119),I119,IF(ISNUMBER(H119),H119,"")))</f>
        <v/>
      </c>
      <c r="O119" s="23">
        <f>IF(OR(C119="",NOT(ISNUMBER(G119))),"",(TODAY()-INT(G119))/365.25)</f>
        <v/>
      </c>
      <c r="P119" s="13">
        <f>IF(OR(C119="",NOT(ISNUMBER(L119))),"",IF(L119&lt;TODAY(),"Ended",IF(L119-TODAY()&lt;=N(Settings!$C$10),"Ends soon","Covered")))</f>
        <v/>
      </c>
      <c r="Q119" s="13">
        <f>IF(C119="","",MID(IF(N119="",", value","")&amp;IF(OR(J119="",J119="No"),", receipt","")&amp;IF(K119="",", photo",""),3,100))</f>
        <v/>
      </c>
      <c r="R119" s="13">
        <f>IF(AND(B119="",C119=""),"",IF(C119="","Needs the item",IF(B119="","Needs a room",IF(COUNTIF(Rooms!$B$6:$B$35,B119)=0,"Not on Rooms",IF(AND(H119&lt;&gt;"",NOT(ISNUMBER(H119))),"Paid not a number",IF(AND(I119&lt;&gt;"",NOT(ISNUMBER(I119))),"Worth not a number",IF(AND(G119&lt;&gt;"",NOT(ISNUMBER(G119))),"Bought is not a date",IF(AND(L119&lt;&gt;"",NOT(ISNUMBER(L119))),"Warranty is not a date",""))))))))</f>
        <v/>
      </c>
      <c r="S119" s="1">
        <f>IF(AND(C119&lt;&gt;"",R119=""),1,0)</f>
        <v/>
      </c>
      <c r="T119">
        <f>IF(S119=1,N(N119),0)</f>
        <v/>
      </c>
      <c r="U119">
        <f>IF(AND(S119=1,T119&gt;0),ROUND(T119*100,0)*10000+10000-ROW(),"")</f>
        <v/>
      </c>
      <c r="V119">
        <f>IF(AND(S119=1,OR(Report!$C$5="",B119=Report!$C$5)),MATCH(B119,Rooms!$B$6:$B$35,0)*10000+ROW(),"")</f>
        <v/>
      </c>
      <c r="W119">
        <f>IF(AND(S119=1,OR(J119="",J119="No")),1,0)</f>
        <v/>
      </c>
      <c r="X119">
        <f>IF(AND(S119=1,K119=""),1,0)</f>
        <v/>
      </c>
      <c r="Y119">
        <f>IF(AND(S119=1,Q119&lt;&gt;""),ROUND(T119*100,0)*10000+10000-ROW(),"")</f>
        <v/>
      </c>
    </row>
    <row r="120">
      <c r="A120" s="1" t="n"/>
      <c r="B120" s="17" t="n"/>
      <c r="C120" s="18" t="n"/>
      <c r="D120" s="17" t="n"/>
      <c r="E120" s="19" t="n"/>
      <c r="F120" s="19" t="n"/>
      <c r="G120" s="20" t="n"/>
      <c r="H120" s="21" t="n"/>
      <c r="I120" s="21" t="n"/>
      <c r="J120" s="17" t="n"/>
      <c r="K120" s="19" t="n"/>
      <c r="L120" s="20" t="n"/>
      <c r="M120" s="19" t="n"/>
      <c r="N120" s="22">
        <f>IF(C120="","",IF(ISNUMBER(I120),I120,IF(ISNUMBER(H120),H120,"")))</f>
        <v/>
      </c>
      <c r="O120" s="23">
        <f>IF(OR(C120="",NOT(ISNUMBER(G120))),"",(TODAY()-INT(G120))/365.25)</f>
        <v/>
      </c>
      <c r="P120" s="13">
        <f>IF(OR(C120="",NOT(ISNUMBER(L120))),"",IF(L120&lt;TODAY(),"Ended",IF(L120-TODAY()&lt;=N(Settings!$C$10),"Ends soon","Covered")))</f>
        <v/>
      </c>
      <c r="Q120" s="13">
        <f>IF(C120="","",MID(IF(N120="",", value","")&amp;IF(OR(J120="",J120="No"),", receipt","")&amp;IF(K120="",", photo",""),3,100))</f>
        <v/>
      </c>
      <c r="R120" s="13">
        <f>IF(AND(B120="",C120=""),"",IF(C120="","Needs the item",IF(B120="","Needs a room",IF(COUNTIF(Rooms!$B$6:$B$35,B120)=0,"Not on Rooms",IF(AND(H120&lt;&gt;"",NOT(ISNUMBER(H120))),"Paid not a number",IF(AND(I120&lt;&gt;"",NOT(ISNUMBER(I120))),"Worth not a number",IF(AND(G120&lt;&gt;"",NOT(ISNUMBER(G120))),"Bought is not a date",IF(AND(L120&lt;&gt;"",NOT(ISNUMBER(L120))),"Warranty is not a date",""))))))))</f>
        <v/>
      </c>
      <c r="S120" s="1">
        <f>IF(AND(C120&lt;&gt;"",R120=""),1,0)</f>
        <v/>
      </c>
      <c r="T120">
        <f>IF(S120=1,N(N120),0)</f>
        <v/>
      </c>
      <c r="U120">
        <f>IF(AND(S120=1,T120&gt;0),ROUND(T120*100,0)*10000+10000-ROW(),"")</f>
        <v/>
      </c>
      <c r="V120">
        <f>IF(AND(S120=1,OR(Report!$C$5="",B120=Report!$C$5)),MATCH(B120,Rooms!$B$6:$B$35,0)*10000+ROW(),"")</f>
        <v/>
      </c>
      <c r="W120">
        <f>IF(AND(S120=1,OR(J120="",J120="No")),1,0)</f>
        <v/>
      </c>
      <c r="X120">
        <f>IF(AND(S120=1,K120=""),1,0)</f>
        <v/>
      </c>
      <c r="Y120">
        <f>IF(AND(S120=1,Q120&lt;&gt;""),ROUND(T120*100,0)*10000+10000-ROW(),"")</f>
        <v/>
      </c>
    </row>
    <row r="121">
      <c r="A121" s="1" t="n"/>
      <c r="B121" s="17" t="n"/>
      <c r="C121" s="18" t="n"/>
      <c r="D121" s="17" t="n"/>
      <c r="E121" s="19" t="n"/>
      <c r="F121" s="19" t="n"/>
      <c r="G121" s="20" t="n"/>
      <c r="H121" s="21" t="n"/>
      <c r="I121" s="21" t="n"/>
      <c r="J121" s="17" t="n"/>
      <c r="K121" s="19" t="n"/>
      <c r="L121" s="20" t="n"/>
      <c r="M121" s="19" t="n"/>
      <c r="N121" s="22">
        <f>IF(C121="","",IF(ISNUMBER(I121),I121,IF(ISNUMBER(H121),H121,"")))</f>
        <v/>
      </c>
      <c r="O121" s="23">
        <f>IF(OR(C121="",NOT(ISNUMBER(G121))),"",(TODAY()-INT(G121))/365.25)</f>
        <v/>
      </c>
      <c r="P121" s="13">
        <f>IF(OR(C121="",NOT(ISNUMBER(L121))),"",IF(L121&lt;TODAY(),"Ended",IF(L121-TODAY()&lt;=N(Settings!$C$10),"Ends soon","Covered")))</f>
        <v/>
      </c>
      <c r="Q121" s="13">
        <f>IF(C121="","",MID(IF(N121="",", value","")&amp;IF(OR(J121="",J121="No"),", receipt","")&amp;IF(K121="",", photo",""),3,100))</f>
        <v/>
      </c>
      <c r="R121" s="13">
        <f>IF(AND(B121="",C121=""),"",IF(C121="","Needs the item",IF(B121="","Needs a room",IF(COUNTIF(Rooms!$B$6:$B$35,B121)=0,"Not on Rooms",IF(AND(H121&lt;&gt;"",NOT(ISNUMBER(H121))),"Paid not a number",IF(AND(I121&lt;&gt;"",NOT(ISNUMBER(I121))),"Worth not a number",IF(AND(G121&lt;&gt;"",NOT(ISNUMBER(G121))),"Bought is not a date",IF(AND(L121&lt;&gt;"",NOT(ISNUMBER(L121))),"Warranty is not a date",""))))))))</f>
        <v/>
      </c>
      <c r="S121" s="1">
        <f>IF(AND(C121&lt;&gt;"",R121=""),1,0)</f>
        <v/>
      </c>
      <c r="T121">
        <f>IF(S121=1,N(N121),0)</f>
        <v/>
      </c>
      <c r="U121">
        <f>IF(AND(S121=1,T121&gt;0),ROUND(T121*100,0)*10000+10000-ROW(),"")</f>
        <v/>
      </c>
      <c r="V121">
        <f>IF(AND(S121=1,OR(Report!$C$5="",B121=Report!$C$5)),MATCH(B121,Rooms!$B$6:$B$35,0)*10000+ROW(),"")</f>
        <v/>
      </c>
      <c r="W121">
        <f>IF(AND(S121=1,OR(J121="",J121="No")),1,0)</f>
        <v/>
      </c>
      <c r="X121">
        <f>IF(AND(S121=1,K121=""),1,0)</f>
        <v/>
      </c>
      <c r="Y121">
        <f>IF(AND(S121=1,Q121&lt;&gt;""),ROUND(T121*100,0)*10000+10000-ROW(),"")</f>
        <v/>
      </c>
    </row>
    <row r="122">
      <c r="A122" s="1" t="n"/>
      <c r="B122" s="17" t="n"/>
      <c r="C122" s="18" t="n"/>
      <c r="D122" s="17" t="n"/>
      <c r="E122" s="19" t="n"/>
      <c r="F122" s="19" t="n"/>
      <c r="G122" s="20" t="n"/>
      <c r="H122" s="21" t="n"/>
      <c r="I122" s="21" t="n"/>
      <c r="J122" s="17" t="n"/>
      <c r="K122" s="19" t="n"/>
      <c r="L122" s="20" t="n"/>
      <c r="M122" s="19" t="n"/>
      <c r="N122" s="22">
        <f>IF(C122="","",IF(ISNUMBER(I122),I122,IF(ISNUMBER(H122),H122,"")))</f>
        <v/>
      </c>
      <c r="O122" s="23">
        <f>IF(OR(C122="",NOT(ISNUMBER(G122))),"",(TODAY()-INT(G122))/365.25)</f>
        <v/>
      </c>
      <c r="P122" s="13">
        <f>IF(OR(C122="",NOT(ISNUMBER(L122))),"",IF(L122&lt;TODAY(),"Ended",IF(L122-TODAY()&lt;=N(Settings!$C$10),"Ends soon","Covered")))</f>
        <v/>
      </c>
      <c r="Q122" s="13">
        <f>IF(C122="","",MID(IF(N122="",", value","")&amp;IF(OR(J122="",J122="No"),", receipt","")&amp;IF(K122="",", photo",""),3,100))</f>
        <v/>
      </c>
      <c r="R122" s="13">
        <f>IF(AND(B122="",C122=""),"",IF(C122="","Needs the item",IF(B122="","Needs a room",IF(COUNTIF(Rooms!$B$6:$B$35,B122)=0,"Not on Rooms",IF(AND(H122&lt;&gt;"",NOT(ISNUMBER(H122))),"Paid not a number",IF(AND(I122&lt;&gt;"",NOT(ISNUMBER(I122))),"Worth not a number",IF(AND(G122&lt;&gt;"",NOT(ISNUMBER(G122))),"Bought is not a date",IF(AND(L122&lt;&gt;"",NOT(ISNUMBER(L122))),"Warranty is not a date",""))))))))</f>
        <v/>
      </c>
      <c r="S122" s="1">
        <f>IF(AND(C122&lt;&gt;"",R122=""),1,0)</f>
        <v/>
      </c>
      <c r="T122">
        <f>IF(S122=1,N(N122),0)</f>
        <v/>
      </c>
      <c r="U122">
        <f>IF(AND(S122=1,T122&gt;0),ROUND(T122*100,0)*10000+10000-ROW(),"")</f>
        <v/>
      </c>
      <c r="V122">
        <f>IF(AND(S122=1,OR(Report!$C$5="",B122=Report!$C$5)),MATCH(B122,Rooms!$B$6:$B$35,0)*10000+ROW(),"")</f>
        <v/>
      </c>
      <c r="W122">
        <f>IF(AND(S122=1,OR(J122="",J122="No")),1,0)</f>
        <v/>
      </c>
      <c r="X122">
        <f>IF(AND(S122=1,K122=""),1,0)</f>
        <v/>
      </c>
      <c r="Y122">
        <f>IF(AND(S122=1,Q122&lt;&gt;""),ROUND(T122*100,0)*10000+10000-ROW(),"")</f>
        <v/>
      </c>
    </row>
    <row r="123">
      <c r="A123" s="1" t="n"/>
      <c r="B123" s="17" t="n"/>
      <c r="C123" s="18" t="n"/>
      <c r="D123" s="17" t="n"/>
      <c r="E123" s="19" t="n"/>
      <c r="F123" s="19" t="n"/>
      <c r="G123" s="20" t="n"/>
      <c r="H123" s="21" t="n"/>
      <c r="I123" s="21" t="n"/>
      <c r="J123" s="17" t="n"/>
      <c r="K123" s="19" t="n"/>
      <c r="L123" s="20" t="n"/>
      <c r="M123" s="19" t="n"/>
      <c r="N123" s="22">
        <f>IF(C123="","",IF(ISNUMBER(I123),I123,IF(ISNUMBER(H123),H123,"")))</f>
        <v/>
      </c>
      <c r="O123" s="23">
        <f>IF(OR(C123="",NOT(ISNUMBER(G123))),"",(TODAY()-INT(G123))/365.25)</f>
        <v/>
      </c>
      <c r="P123" s="13">
        <f>IF(OR(C123="",NOT(ISNUMBER(L123))),"",IF(L123&lt;TODAY(),"Ended",IF(L123-TODAY()&lt;=N(Settings!$C$10),"Ends soon","Covered")))</f>
        <v/>
      </c>
      <c r="Q123" s="13">
        <f>IF(C123="","",MID(IF(N123="",", value","")&amp;IF(OR(J123="",J123="No"),", receipt","")&amp;IF(K123="",", photo",""),3,100))</f>
        <v/>
      </c>
      <c r="R123" s="13">
        <f>IF(AND(B123="",C123=""),"",IF(C123="","Needs the item",IF(B123="","Needs a room",IF(COUNTIF(Rooms!$B$6:$B$35,B123)=0,"Not on Rooms",IF(AND(H123&lt;&gt;"",NOT(ISNUMBER(H123))),"Paid not a number",IF(AND(I123&lt;&gt;"",NOT(ISNUMBER(I123))),"Worth not a number",IF(AND(G123&lt;&gt;"",NOT(ISNUMBER(G123))),"Bought is not a date",IF(AND(L123&lt;&gt;"",NOT(ISNUMBER(L123))),"Warranty is not a date",""))))))))</f>
        <v/>
      </c>
      <c r="S123" s="1">
        <f>IF(AND(C123&lt;&gt;"",R123=""),1,0)</f>
        <v/>
      </c>
      <c r="T123">
        <f>IF(S123=1,N(N123),0)</f>
        <v/>
      </c>
      <c r="U123">
        <f>IF(AND(S123=1,T123&gt;0),ROUND(T123*100,0)*10000+10000-ROW(),"")</f>
        <v/>
      </c>
      <c r="V123">
        <f>IF(AND(S123=1,OR(Report!$C$5="",B123=Report!$C$5)),MATCH(B123,Rooms!$B$6:$B$35,0)*10000+ROW(),"")</f>
        <v/>
      </c>
      <c r="W123">
        <f>IF(AND(S123=1,OR(J123="",J123="No")),1,0)</f>
        <v/>
      </c>
      <c r="X123">
        <f>IF(AND(S123=1,K123=""),1,0)</f>
        <v/>
      </c>
      <c r="Y123">
        <f>IF(AND(S123=1,Q123&lt;&gt;""),ROUND(T123*100,0)*10000+10000-ROW(),"")</f>
        <v/>
      </c>
    </row>
    <row r="124">
      <c r="A124" s="1" t="n"/>
      <c r="B124" s="17" t="n"/>
      <c r="C124" s="18" t="n"/>
      <c r="D124" s="17" t="n"/>
      <c r="E124" s="19" t="n"/>
      <c r="F124" s="19" t="n"/>
      <c r="G124" s="20" t="n"/>
      <c r="H124" s="21" t="n"/>
      <c r="I124" s="21" t="n"/>
      <c r="J124" s="17" t="n"/>
      <c r="K124" s="19" t="n"/>
      <c r="L124" s="20" t="n"/>
      <c r="M124" s="19" t="n"/>
      <c r="N124" s="22">
        <f>IF(C124="","",IF(ISNUMBER(I124),I124,IF(ISNUMBER(H124),H124,"")))</f>
        <v/>
      </c>
      <c r="O124" s="23">
        <f>IF(OR(C124="",NOT(ISNUMBER(G124))),"",(TODAY()-INT(G124))/365.25)</f>
        <v/>
      </c>
      <c r="P124" s="13">
        <f>IF(OR(C124="",NOT(ISNUMBER(L124))),"",IF(L124&lt;TODAY(),"Ended",IF(L124-TODAY()&lt;=N(Settings!$C$10),"Ends soon","Covered")))</f>
        <v/>
      </c>
      <c r="Q124" s="13">
        <f>IF(C124="","",MID(IF(N124="",", value","")&amp;IF(OR(J124="",J124="No"),", receipt","")&amp;IF(K124="",", photo",""),3,100))</f>
        <v/>
      </c>
      <c r="R124" s="13">
        <f>IF(AND(B124="",C124=""),"",IF(C124="","Needs the item",IF(B124="","Needs a room",IF(COUNTIF(Rooms!$B$6:$B$35,B124)=0,"Not on Rooms",IF(AND(H124&lt;&gt;"",NOT(ISNUMBER(H124))),"Paid not a number",IF(AND(I124&lt;&gt;"",NOT(ISNUMBER(I124))),"Worth not a number",IF(AND(G124&lt;&gt;"",NOT(ISNUMBER(G124))),"Bought is not a date",IF(AND(L124&lt;&gt;"",NOT(ISNUMBER(L124))),"Warranty is not a date",""))))))))</f>
        <v/>
      </c>
      <c r="S124" s="1">
        <f>IF(AND(C124&lt;&gt;"",R124=""),1,0)</f>
        <v/>
      </c>
      <c r="T124">
        <f>IF(S124=1,N(N124),0)</f>
        <v/>
      </c>
      <c r="U124">
        <f>IF(AND(S124=1,T124&gt;0),ROUND(T124*100,0)*10000+10000-ROW(),"")</f>
        <v/>
      </c>
      <c r="V124">
        <f>IF(AND(S124=1,OR(Report!$C$5="",B124=Report!$C$5)),MATCH(B124,Rooms!$B$6:$B$35,0)*10000+ROW(),"")</f>
        <v/>
      </c>
      <c r="W124">
        <f>IF(AND(S124=1,OR(J124="",J124="No")),1,0)</f>
        <v/>
      </c>
      <c r="X124">
        <f>IF(AND(S124=1,K124=""),1,0)</f>
        <v/>
      </c>
      <c r="Y124">
        <f>IF(AND(S124=1,Q124&lt;&gt;""),ROUND(T124*100,0)*10000+10000-ROW(),"")</f>
        <v/>
      </c>
    </row>
    <row r="125">
      <c r="A125" s="1" t="n"/>
      <c r="B125" s="17" t="n"/>
      <c r="C125" s="18" t="n"/>
      <c r="D125" s="17" t="n"/>
      <c r="E125" s="19" t="n"/>
      <c r="F125" s="19" t="n"/>
      <c r="G125" s="20" t="n"/>
      <c r="H125" s="21" t="n"/>
      <c r="I125" s="21" t="n"/>
      <c r="J125" s="17" t="n"/>
      <c r="K125" s="19" t="n"/>
      <c r="L125" s="20" t="n"/>
      <c r="M125" s="19" t="n"/>
      <c r="N125" s="22">
        <f>IF(C125="","",IF(ISNUMBER(I125),I125,IF(ISNUMBER(H125),H125,"")))</f>
        <v/>
      </c>
      <c r="O125" s="23">
        <f>IF(OR(C125="",NOT(ISNUMBER(G125))),"",(TODAY()-INT(G125))/365.25)</f>
        <v/>
      </c>
      <c r="P125" s="13">
        <f>IF(OR(C125="",NOT(ISNUMBER(L125))),"",IF(L125&lt;TODAY(),"Ended",IF(L125-TODAY()&lt;=N(Settings!$C$10),"Ends soon","Covered")))</f>
        <v/>
      </c>
      <c r="Q125" s="13">
        <f>IF(C125="","",MID(IF(N125="",", value","")&amp;IF(OR(J125="",J125="No"),", receipt","")&amp;IF(K125="",", photo",""),3,100))</f>
        <v/>
      </c>
      <c r="R125" s="13">
        <f>IF(AND(B125="",C125=""),"",IF(C125="","Needs the item",IF(B125="","Needs a room",IF(COUNTIF(Rooms!$B$6:$B$35,B125)=0,"Not on Rooms",IF(AND(H125&lt;&gt;"",NOT(ISNUMBER(H125))),"Paid not a number",IF(AND(I125&lt;&gt;"",NOT(ISNUMBER(I125))),"Worth not a number",IF(AND(G125&lt;&gt;"",NOT(ISNUMBER(G125))),"Bought is not a date",IF(AND(L125&lt;&gt;"",NOT(ISNUMBER(L125))),"Warranty is not a date",""))))))))</f>
        <v/>
      </c>
      <c r="S125" s="1">
        <f>IF(AND(C125&lt;&gt;"",R125=""),1,0)</f>
        <v/>
      </c>
      <c r="T125">
        <f>IF(S125=1,N(N125),0)</f>
        <v/>
      </c>
      <c r="U125">
        <f>IF(AND(S125=1,T125&gt;0),ROUND(T125*100,0)*10000+10000-ROW(),"")</f>
        <v/>
      </c>
      <c r="V125">
        <f>IF(AND(S125=1,OR(Report!$C$5="",B125=Report!$C$5)),MATCH(B125,Rooms!$B$6:$B$35,0)*10000+ROW(),"")</f>
        <v/>
      </c>
      <c r="W125">
        <f>IF(AND(S125=1,OR(J125="",J125="No")),1,0)</f>
        <v/>
      </c>
      <c r="X125">
        <f>IF(AND(S125=1,K125=""),1,0)</f>
        <v/>
      </c>
      <c r="Y125">
        <f>IF(AND(S125=1,Q125&lt;&gt;""),ROUND(T125*100,0)*10000+10000-ROW(),"")</f>
        <v/>
      </c>
    </row>
    <row r="126">
      <c r="A126" s="1" t="n"/>
      <c r="B126" s="17" t="n"/>
      <c r="C126" s="18" t="n"/>
      <c r="D126" s="17" t="n"/>
      <c r="E126" s="19" t="n"/>
      <c r="F126" s="19" t="n"/>
      <c r="G126" s="20" t="n"/>
      <c r="H126" s="21" t="n"/>
      <c r="I126" s="21" t="n"/>
      <c r="J126" s="17" t="n"/>
      <c r="K126" s="19" t="n"/>
      <c r="L126" s="20" t="n"/>
      <c r="M126" s="19" t="n"/>
      <c r="N126" s="22">
        <f>IF(C126="","",IF(ISNUMBER(I126),I126,IF(ISNUMBER(H126),H126,"")))</f>
        <v/>
      </c>
      <c r="O126" s="23">
        <f>IF(OR(C126="",NOT(ISNUMBER(G126))),"",(TODAY()-INT(G126))/365.25)</f>
        <v/>
      </c>
      <c r="P126" s="13">
        <f>IF(OR(C126="",NOT(ISNUMBER(L126))),"",IF(L126&lt;TODAY(),"Ended",IF(L126-TODAY()&lt;=N(Settings!$C$10),"Ends soon","Covered")))</f>
        <v/>
      </c>
      <c r="Q126" s="13">
        <f>IF(C126="","",MID(IF(N126="",", value","")&amp;IF(OR(J126="",J126="No"),", receipt","")&amp;IF(K126="",", photo",""),3,100))</f>
        <v/>
      </c>
      <c r="R126" s="13">
        <f>IF(AND(B126="",C126=""),"",IF(C126="","Needs the item",IF(B126="","Needs a room",IF(COUNTIF(Rooms!$B$6:$B$35,B126)=0,"Not on Rooms",IF(AND(H126&lt;&gt;"",NOT(ISNUMBER(H126))),"Paid not a number",IF(AND(I126&lt;&gt;"",NOT(ISNUMBER(I126))),"Worth not a number",IF(AND(G126&lt;&gt;"",NOT(ISNUMBER(G126))),"Bought is not a date",IF(AND(L126&lt;&gt;"",NOT(ISNUMBER(L126))),"Warranty is not a date",""))))))))</f>
        <v/>
      </c>
      <c r="S126" s="1">
        <f>IF(AND(C126&lt;&gt;"",R126=""),1,0)</f>
        <v/>
      </c>
      <c r="T126">
        <f>IF(S126=1,N(N126),0)</f>
        <v/>
      </c>
      <c r="U126">
        <f>IF(AND(S126=1,T126&gt;0),ROUND(T126*100,0)*10000+10000-ROW(),"")</f>
        <v/>
      </c>
      <c r="V126">
        <f>IF(AND(S126=1,OR(Report!$C$5="",B126=Report!$C$5)),MATCH(B126,Rooms!$B$6:$B$35,0)*10000+ROW(),"")</f>
        <v/>
      </c>
      <c r="W126">
        <f>IF(AND(S126=1,OR(J126="",J126="No")),1,0)</f>
        <v/>
      </c>
      <c r="X126">
        <f>IF(AND(S126=1,K126=""),1,0)</f>
        <v/>
      </c>
      <c r="Y126">
        <f>IF(AND(S126=1,Q126&lt;&gt;""),ROUND(T126*100,0)*10000+10000-ROW(),"")</f>
        <v/>
      </c>
    </row>
    <row r="127">
      <c r="A127" s="1" t="n"/>
      <c r="B127" s="17" t="n"/>
      <c r="C127" s="18" t="n"/>
      <c r="D127" s="17" t="n"/>
      <c r="E127" s="19" t="n"/>
      <c r="F127" s="19" t="n"/>
      <c r="G127" s="20" t="n"/>
      <c r="H127" s="21" t="n"/>
      <c r="I127" s="21" t="n"/>
      <c r="J127" s="17" t="n"/>
      <c r="K127" s="19" t="n"/>
      <c r="L127" s="20" t="n"/>
      <c r="M127" s="19" t="n"/>
      <c r="N127" s="22">
        <f>IF(C127="","",IF(ISNUMBER(I127),I127,IF(ISNUMBER(H127),H127,"")))</f>
        <v/>
      </c>
      <c r="O127" s="23">
        <f>IF(OR(C127="",NOT(ISNUMBER(G127))),"",(TODAY()-INT(G127))/365.25)</f>
        <v/>
      </c>
      <c r="P127" s="13">
        <f>IF(OR(C127="",NOT(ISNUMBER(L127))),"",IF(L127&lt;TODAY(),"Ended",IF(L127-TODAY()&lt;=N(Settings!$C$10),"Ends soon","Covered")))</f>
        <v/>
      </c>
      <c r="Q127" s="13">
        <f>IF(C127="","",MID(IF(N127="",", value","")&amp;IF(OR(J127="",J127="No"),", receipt","")&amp;IF(K127="",", photo",""),3,100))</f>
        <v/>
      </c>
      <c r="R127" s="13">
        <f>IF(AND(B127="",C127=""),"",IF(C127="","Needs the item",IF(B127="","Needs a room",IF(COUNTIF(Rooms!$B$6:$B$35,B127)=0,"Not on Rooms",IF(AND(H127&lt;&gt;"",NOT(ISNUMBER(H127))),"Paid not a number",IF(AND(I127&lt;&gt;"",NOT(ISNUMBER(I127))),"Worth not a number",IF(AND(G127&lt;&gt;"",NOT(ISNUMBER(G127))),"Bought is not a date",IF(AND(L127&lt;&gt;"",NOT(ISNUMBER(L127))),"Warranty is not a date",""))))))))</f>
        <v/>
      </c>
      <c r="S127" s="1">
        <f>IF(AND(C127&lt;&gt;"",R127=""),1,0)</f>
        <v/>
      </c>
      <c r="T127">
        <f>IF(S127=1,N(N127),0)</f>
        <v/>
      </c>
      <c r="U127">
        <f>IF(AND(S127=1,T127&gt;0),ROUND(T127*100,0)*10000+10000-ROW(),"")</f>
        <v/>
      </c>
      <c r="V127">
        <f>IF(AND(S127=1,OR(Report!$C$5="",B127=Report!$C$5)),MATCH(B127,Rooms!$B$6:$B$35,0)*10000+ROW(),"")</f>
        <v/>
      </c>
      <c r="W127">
        <f>IF(AND(S127=1,OR(J127="",J127="No")),1,0)</f>
        <v/>
      </c>
      <c r="X127">
        <f>IF(AND(S127=1,K127=""),1,0)</f>
        <v/>
      </c>
      <c r="Y127">
        <f>IF(AND(S127=1,Q127&lt;&gt;""),ROUND(T127*100,0)*10000+10000-ROW(),"")</f>
        <v/>
      </c>
    </row>
    <row r="128">
      <c r="A128" s="1" t="n"/>
      <c r="B128" s="17" t="n"/>
      <c r="C128" s="18" t="n"/>
      <c r="D128" s="17" t="n"/>
      <c r="E128" s="19" t="n"/>
      <c r="F128" s="19" t="n"/>
      <c r="G128" s="20" t="n"/>
      <c r="H128" s="21" t="n"/>
      <c r="I128" s="21" t="n"/>
      <c r="J128" s="17" t="n"/>
      <c r="K128" s="19" t="n"/>
      <c r="L128" s="20" t="n"/>
      <c r="M128" s="19" t="n"/>
      <c r="N128" s="22">
        <f>IF(C128="","",IF(ISNUMBER(I128),I128,IF(ISNUMBER(H128),H128,"")))</f>
        <v/>
      </c>
      <c r="O128" s="23">
        <f>IF(OR(C128="",NOT(ISNUMBER(G128))),"",(TODAY()-INT(G128))/365.25)</f>
        <v/>
      </c>
      <c r="P128" s="13">
        <f>IF(OR(C128="",NOT(ISNUMBER(L128))),"",IF(L128&lt;TODAY(),"Ended",IF(L128-TODAY()&lt;=N(Settings!$C$10),"Ends soon","Covered")))</f>
        <v/>
      </c>
      <c r="Q128" s="13">
        <f>IF(C128="","",MID(IF(N128="",", value","")&amp;IF(OR(J128="",J128="No"),", receipt","")&amp;IF(K128="",", photo",""),3,100))</f>
        <v/>
      </c>
      <c r="R128" s="13">
        <f>IF(AND(B128="",C128=""),"",IF(C128="","Needs the item",IF(B128="","Needs a room",IF(COUNTIF(Rooms!$B$6:$B$35,B128)=0,"Not on Rooms",IF(AND(H128&lt;&gt;"",NOT(ISNUMBER(H128))),"Paid not a number",IF(AND(I128&lt;&gt;"",NOT(ISNUMBER(I128))),"Worth not a number",IF(AND(G128&lt;&gt;"",NOT(ISNUMBER(G128))),"Bought is not a date",IF(AND(L128&lt;&gt;"",NOT(ISNUMBER(L128))),"Warranty is not a date",""))))))))</f>
        <v/>
      </c>
      <c r="S128" s="1">
        <f>IF(AND(C128&lt;&gt;"",R128=""),1,0)</f>
        <v/>
      </c>
      <c r="T128">
        <f>IF(S128=1,N(N128),0)</f>
        <v/>
      </c>
      <c r="U128">
        <f>IF(AND(S128=1,T128&gt;0),ROUND(T128*100,0)*10000+10000-ROW(),"")</f>
        <v/>
      </c>
      <c r="V128">
        <f>IF(AND(S128=1,OR(Report!$C$5="",B128=Report!$C$5)),MATCH(B128,Rooms!$B$6:$B$35,0)*10000+ROW(),"")</f>
        <v/>
      </c>
      <c r="W128">
        <f>IF(AND(S128=1,OR(J128="",J128="No")),1,0)</f>
        <v/>
      </c>
      <c r="X128">
        <f>IF(AND(S128=1,K128=""),1,0)</f>
        <v/>
      </c>
      <c r="Y128">
        <f>IF(AND(S128=1,Q128&lt;&gt;""),ROUND(T128*100,0)*10000+10000-ROW(),"")</f>
        <v/>
      </c>
    </row>
    <row r="129">
      <c r="A129" s="1" t="n"/>
      <c r="B129" s="17" t="n"/>
      <c r="C129" s="18" t="n"/>
      <c r="D129" s="17" t="n"/>
      <c r="E129" s="19" t="n"/>
      <c r="F129" s="19" t="n"/>
      <c r="G129" s="20" t="n"/>
      <c r="H129" s="21" t="n"/>
      <c r="I129" s="21" t="n"/>
      <c r="J129" s="17" t="n"/>
      <c r="K129" s="19" t="n"/>
      <c r="L129" s="20" t="n"/>
      <c r="M129" s="19" t="n"/>
      <c r="N129" s="22">
        <f>IF(C129="","",IF(ISNUMBER(I129),I129,IF(ISNUMBER(H129),H129,"")))</f>
        <v/>
      </c>
      <c r="O129" s="23">
        <f>IF(OR(C129="",NOT(ISNUMBER(G129))),"",(TODAY()-INT(G129))/365.25)</f>
        <v/>
      </c>
      <c r="P129" s="13">
        <f>IF(OR(C129="",NOT(ISNUMBER(L129))),"",IF(L129&lt;TODAY(),"Ended",IF(L129-TODAY()&lt;=N(Settings!$C$10),"Ends soon","Covered")))</f>
        <v/>
      </c>
      <c r="Q129" s="13">
        <f>IF(C129="","",MID(IF(N129="",", value","")&amp;IF(OR(J129="",J129="No"),", receipt","")&amp;IF(K129="",", photo",""),3,100))</f>
        <v/>
      </c>
      <c r="R129" s="13">
        <f>IF(AND(B129="",C129=""),"",IF(C129="","Needs the item",IF(B129="","Needs a room",IF(COUNTIF(Rooms!$B$6:$B$35,B129)=0,"Not on Rooms",IF(AND(H129&lt;&gt;"",NOT(ISNUMBER(H129))),"Paid not a number",IF(AND(I129&lt;&gt;"",NOT(ISNUMBER(I129))),"Worth not a number",IF(AND(G129&lt;&gt;"",NOT(ISNUMBER(G129))),"Bought is not a date",IF(AND(L129&lt;&gt;"",NOT(ISNUMBER(L129))),"Warranty is not a date",""))))))))</f>
        <v/>
      </c>
      <c r="S129" s="1">
        <f>IF(AND(C129&lt;&gt;"",R129=""),1,0)</f>
        <v/>
      </c>
      <c r="T129">
        <f>IF(S129=1,N(N129),0)</f>
        <v/>
      </c>
      <c r="U129">
        <f>IF(AND(S129=1,T129&gt;0),ROUND(T129*100,0)*10000+10000-ROW(),"")</f>
        <v/>
      </c>
      <c r="V129">
        <f>IF(AND(S129=1,OR(Report!$C$5="",B129=Report!$C$5)),MATCH(B129,Rooms!$B$6:$B$35,0)*10000+ROW(),"")</f>
        <v/>
      </c>
      <c r="W129">
        <f>IF(AND(S129=1,OR(J129="",J129="No")),1,0)</f>
        <v/>
      </c>
      <c r="X129">
        <f>IF(AND(S129=1,K129=""),1,0)</f>
        <v/>
      </c>
      <c r="Y129">
        <f>IF(AND(S129=1,Q129&lt;&gt;""),ROUND(T129*100,0)*10000+10000-ROW(),"")</f>
        <v/>
      </c>
    </row>
    <row r="130">
      <c r="A130" s="1" t="n"/>
      <c r="B130" s="17" t="n"/>
      <c r="C130" s="18" t="n"/>
      <c r="D130" s="17" t="n"/>
      <c r="E130" s="19" t="n"/>
      <c r="F130" s="19" t="n"/>
      <c r="G130" s="20" t="n"/>
      <c r="H130" s="21" t="n"/>
      <c r="I130" s="21" t="n"/>
      <c r="J130" s="17" t="n"/>
      <c r="K130" s="19" t="n"/>
      <c r="L130" s="20" t="n"/>
      <c r="M130" s="19" t="n"/>
      <c r="N130" s="22">
        <f>IF(C130="","",IF(ISNUMBER(I130),I130,IF(ISNUMBER(H130),H130,"")))</f>
        <v/>
      </c>
      <c r="O130" s="23">
        <f>IF(OR(C130="",NOT(ISNUMBER(G130))),"",(TODAY()-INT(G130))/365.25)</f>
        <v/>
      </c>
      <c r="P130" s="13">
        <f>IF(OR(C130="",NOT(ISNUMBER(L130))),"",IF(L130&lt;TODAY(),"Ended",IF(L130-TODAY()&lt;=N(Settings!$C$10),"Ends soon","Covered")))</f>
        <v/>
      </c>
      <c r="Q130" s="13">
        <f>IF(C130="","",MID(IF(N130="",", value","")&amp;IF(OR(J130="",J130="No"),", receipt","")&amp;IF(K130="",", photo",""),3,100))</f>
        <v/>
      </c>
      <c r="R130" s="13">
        <f>IF(AND(B130="",C130=""),"",IF(C130="","Needs the item",IF(B130="","Needs a room",IF(COUNTIF(Rooms!$B$6:$B$35,B130)=0,"Not on Rooms",IF(AND(H130&lt;&gt;"",NOT(ISNUMBER(H130))),"Paid not a number",IF(AND(I130&lt;&gt;"",NOT(ISNUMBER(I130))),"Worth not a number",IF(AND(G130&lt;&gt;"",NOT(ISNUMBER(G130))),"Bought is not a date",IF(AND(L130&lt;&gt;"",NOT(ISNUMBER(L130))),"Warranty is not a date",""))))))))</f>
        <v/>
      </c>
      <c r="S130" s="1">
        <f>IF(AND(C130&lt;&gt;"",R130=""),1,0)</f>
        <v/>
      </c>
      <c r="T130">
        <f>IF(S130=1,N(N130),0)</f>
        <v/>
      </c>
      <c r="U130">
        <f>IF(AND(S130=1,T130&gt;0),ROUND(T130*100,0)*10000+10000-ROW(),"")</f>
        <v/>
      </c>
      <c r="V130">
        <f>IF(AND(S130=1,OR(Report!$C$5="",B130=Report!$C$5)),MATCH(B130,Rooms!$B$6:$B$35,0)*10000+ROW(),"")</f>
        <v/>
      </c>
      <c r="W130">
        <f>IF(AND(S130=1,OR(J130="",J130="No")),1,0)</f>
        <v/>
      </c>
      <c r="X130">
        <f>IF(AND(S130=1,K130=""),1,0)</f>
        <v/>
      </c>
      <c r="Y130">
        <f>IF(AND(S130=1,Q130&lt;&gt;""),ROUND(T130*100,0)*10000+10000-ROW(),"")</f>
        <v/>
      </c>
    </row>
    <row r="131">
      <c r="A131" s="1" t="n"/>
      <c r="B131" s="17" t="n"/>
      <c r="C131" s="18" t="n"/>
      <c r="D131" s="17" t="n"/>
      <c r="E131" s="19" t="n"/>
      <c r="F131" s="19" t="n"/>
      <c r="G131" s="20" t="n"/>
      <c r="H131" s="21" t="n"/>
      <c r="I131" s="21" t="n"/>
      <c r="J131" s="17" t="n"/>
      <c r="K131" s="19" t="n"/>
      <c r="L131" s="20" t="n"/>
      <c r="M131" s="19" t="n"/>
      <c r="N131" s="22">
        <f>IF(C131="","",IF(ISNUMBER(I131),I131,IF(ISNUMBER(H131),H131,"")))</f>
        <v/>
      </c>
      <c r="O131" s="23">
        <f>IF(OR(C131="",NOT(ISNUMBER(G131))),"",(TODAY()-INT(G131))/365.25)</f>
        <v/>
      </c>
      <c r="P131" s="13">
        <f>IF(OR(C131="",NOT(ISNUMBER(L131))),"",IF(L131&lt;TODAY(),"Ended",IF(L131-TODAY()&lt;=N(Settings!$C$10),"Ends soon","Covered")))</f>
        <v/>
      </c>
      <c r="Q131" s="13">
        <f>IF(C131="","",MID(IF(N131="",", value","")&amp;IF(OR(J131="",J131="No"),", receipt","")&amp;IF(K131="",", photo",""),3,100))</f>
        <v/>
      </c>
      <c r="R131" s="13">
        <f>IF(AND(B131="",C131=""),"",IF(C131="","Needs the item",IF(B131="","Needs a room",IF(COUNTIF(Rooms!$B$6:$B$35,B131)=0,"Not on Rooms",IF(AND(H131&lt;&gt;"",NOT(ISNUMBER(H131))),"Paid not a number",IF(AND(I131&lt;&gt;"",NOT(ISNUMBER(I131))),"Worth not a number",IF(AND(G131&lt;&gt;"",NOT(ISNUMBER(G131))),"Bought is not a date",IF(AND(L131&lt;&gt;"",NOT(ISNUMBER(L131))),"Warranty is not a date",""))))))))</f>
        <v/>
      </c>
      <c r="S131" s="1">
        <f>IF(AND(C131&lt;&gt;"",R131=""),1,0)</f>
        <v/>
      </c>
      <c r="T131">
        <f>IF(S131=1,N(N131),0)</f>
        <v/>
      </c>
      <c r="U131">
        <f>IF(AND(S131=1,T131&gt;0),ROUND(T131*100,0)*10000+10000-ROW(),"")</f>
        <v/>
      </c>
      <c r="V131">
        <f>IF(AND(S131=1,OR(Report!$C$5="",B131=Report!$C$5)),MATCH(B131,Rooms!$B$6:$B$35,0)*10000+ROW(),"")</f>
        <v/>
      </c>
      <c r="W131">
        <f>IF(AND(S131=1,OR(J131="",J131="No")),1,0)</f>
        <v/>
      </c>
      <c r="X131">
        <f>IF(AND(S131=1,K131=""),1,0)</f>
        <v/>
      </c>
      <c r="Y131">
        <f>IF(AND(S131=1,Q131&lt;&gt;""),ROUND(T131*100,0)*10000+10000-ROW(),"")</f>
        <v/>
      </c>
    </row>
    <row r="132">
      <c r="A132" s="1" t="n"/>
      <c r="B132" s="17" t="n"/>
      <c r="C132" s="18" t="n"/>
      <c r="D132" s="17" t="n"/>
      <c r="E132" s="19" t="n"/>
      <c r="F132" s="19" t="n"/>
      <c r="G132" s="20" t="n"/>
      <c r="H132" s="21" t="n"/>
      <c r="I132" s="21" t="n"/>
      <c r="J132" s="17" t="n"/>
      <c r="K132" s="19" t="n"/>
      <c r="L132" s="20" t="n"/>
      <c r="M132" s="19" t="n"/>
      <c r="N132" s="22">
        <f>IF(C132="","",IF(ISNUMBER(I132),I132,IF(ISNUMBER(H132),H132,"")))</f>
        <v/>
      </c>
      <c r="O132" s="23">
        <f>IF(OR(C132="",NOT(ISNUMBER(G132))),"",(TODAY()-INT(G132))/365.25)</f>
        <v/>
      </c>
      <c r="P132" s="13">
        <f>IF(OR(C132="",NOT(ISNUMBER(L132))),"",IF(L132&lt;TODAY(),"Ended",IF(L132-TODAY()&lt;=N(Settings!$C$10),"Ends soon","Covered")))</f>
        <v/>
      </c>
      <c r="Q132" s="13">
        <f>IF(C132="","",MID(IF(N132="",", value","")&amp;IF(OR(J132="",J132="No"),", receipt","")&amp;IF(K132="",", photo",""),3,100))</f>
        <v/>
      </c>
      <c r="R132" s="13">
        <f>IF(AND(B132="",C132=""),"",IF(C132="","Needs the item",IF(B132="","Needs a room",IF(COUNTIF(Rooms!$B$6:$B$35,B132)=0,"Not on Rooms",IF(AND(H132&lt;&gt;"",NOT(ISNUMBER(H132))),"Paid not a number",IF(AND(I132&lt;&gt;"",NOT(ISNUMBER(I132))),"Worth not a number",IF(AND(G132&lt;&gt;"",NOT(ISNUMBER(G132))),"Bought is not a date",IF(AND(L132&lt;&gt;"",NOT(ISNUMBER(L132))),"Warranty is not a date",""))))))))</f>
        <v/>
      </c>
      <c r="S132" s="1">
        <f>IF(AND(C132&lt;&gt;"",R132=""),1,0)</f>
        <v/>
      </c>
      <c r="T132">
        <f>IF(S132=1,N(N132),0)</f>
        <v/>
      </c>
      <c r="U132">
        <f>IF(AND(S132=1,T132&gt;0),ROUND(T132*100,0)*10000+10000-ROW(),"")</f>
        <v/>
      </c>
      <c r="V132">
        <f>IF(AND(S132=1,OR(Report!$C$5="",B132=Report!$C$5)),MATCH(B132,Rooms!$B$6:$B$35,0)*10000+ROW(),"")</f>
        <v/>
      </c>
      <c r="W132">
        <f>IF(AND(S132=1,OR(J132="",J132="No")),1,0)</f>
        <v/>
      </c>
      <c r="X132">
        <f>IF(AND(S132=1,K132=""),1,0)</f>
        <v/>
      </c>
      <c r="Y132">
        <f>IF(AND(S132=1,Q132&lt;&gt;""),ROUND(T132*100,0)*10000+10000-ROW(),"")</f>
        <v/>
      </c>
    </row>
    <row r="133">
      <c r="A133" s="1" t="n"/>
      <c r="B133" s="17" t="n"/>
      <c r="C133" s="18" t="n"/>
      <c r="D133" s="17" t="n"/>
      <c r="E133" s="19" t="n"/>
      <c r="F133" s="19" t="n"/>
      <c r="G133" s="20" t="n"/>
      <c r="H133" s="21" t="n"/>
      <c r="I133" s="21" t="n"/>
      <c r="J133" s="17" t="n"/>
      <c r="K133" s="19" t="n"/>
      <c r="L133" s="20" t="n"/>
      <c r="M133" s="19" t="n"/>
      <c r="N133" s="22">
        <f>IF(C133="","",IF(ISNUMBER(I133),I133,IF(ISNUMBER(H133),H133,"")))</f>
        <v/>
      </c>
      <c r="O133" s="23">
        <f>IF(OR(C133="",NOT(ISNUMBER(G133))),"",(TODAY()-INT(G133))/365.25)</f>
        <v/>
      </c>
      <c r="P133" s="13">
        <f>IF(OR(C133="",NOT(ISNUMBER(L133))),"",IF(L133&lt;TODAY(),"Ended",IF(L133-TODAY()&lt;=N(Settings!$C$10),"Ends soon","Covered")))</f>
        <v/>
      </c>
      <c r="Q133" s="13">
        <f>IF(C133="","",MID(IF(N133="",", value","")&amp;IF(OR(J133="",J133="No"),", receipt","")&amp;IF(K133="",", photo",""),3,100))</f>
        <v/>
      </c>
      <c r="R133" s="13">
        <f>IF(AND(B133="",C133=""),"",IF(C133="","Needs the item",IF(B133="","Needs a room",IF(COUNTIF(Rooms!$B$6:$B$35,B133)=0,"Not on Rooms",IF(AND(H133&lt;&gt;"",NOT(ISNUMBER(H133))),"Paid not a number",IF(AND(I133&lt;&gt;"",NOT(ISNUMBER(I133))),"Worth not a number",IF(AND(G133&lt;&gt;"",NOT(ISNUMBER(G133))),"Bought is not a date",IF(AND(L133&lt;&gt;"",NOT(ISNUMBER(L133))),"Warranty is not a date",""))))))))</f>
        <v/>
      </c>
      <c r="S133" s="1">
        <f>IF(AND(C133&lt;&gt;"",R133=""),1,0)</f>
        <v/>
      </c>
      <c r="T133">
        <f>IF(S133=1,N(N133),0)</f>
        <v/>
      </c>
      <c r="U133">
        <f>IF(AND(S133=1,T133&gt;0),ROUND(T133*100,0)*10000+10000-ROW(),"")</f>
        <v/>
      </c>
      <c r="V133">
        <f>IF(AND(S133=1,OR(Report!$C$5="",B133=Report!$C$5)),MATCH(B133,Rooms!$B$6:$B$35,0)*10000+ROW(),"")</f>
        <v/>
      </c>
      <c r="W133">
        <f>IF(AND(S133=1,OR(J133="",J133="No")),1,0)</f>
        <v/>
      </c>
      <c r="X133">
        <f>IF(AND(S133=1,K133=""),1,0)</f>
        <v/>
      </c>
      <c r="Y133">
        <f>IF(AND(S133=1,Q133&lt;&gt;""),ROUND(T133*100,0)*10000+10000-ROW(),"")</f>
        <v/>
      </c>
    </row>
    <row r="134">
      <c r="A134" s="1" t="n"/>
      <c r="B134" s="17" t="n"/>
      <c r="C134" s="18" t="n"/>
      <c r="D134" s="17" t="n"/>
      <c r="E134" s="19" t="n"/>
      <c r="F134" s="19" t="n"/>
      <c r="G134" s="20" t="n"/>
      <c r="H134" s="21" t="n"/>
      <c r="I134" s="21" t="n"/>
      <c r="J134" s="17" t="n"/>
      <c r="K134" s="19" t="n"/>
      <c r="L134" s="20" t="n"/>
      <c r="M134" s="19" t="n"/>
      <c r="N134" s="22">
        <f>IF(C134="","",IF(ISNUMBER(I134),I134,IF(ISNUMBER(H134),H134,"")))</f>
        <v/>
      </c>
      <c r="O134" s="23">
        <f>IF(OR(C134="",NOT(ISNUMBER(G134))),"",(TODAY()-INT(G134))/365.25)</f>
        <v/>
      </c>
      <c r="P134" s="13">
        <f>IF(OR(C134="",NOT(ISNUMBER(L134))),"",IF(L134&lt;TODAY(),"Ended",IF(L134-TODAY()&lt;=N(Settings!$C$10),"Ends soon","Covered")))</f>
        <v/>
      </c>
      <c r="Q134" s="13">
        <f>IF(C134="","",MID(IF(N134="",", value","")&amp;IF(OR(J134="",J134="No"),", receipt","")&amp;IF(K134="",", photo",""),3,100))</f>
        <v/>
      </c>
      <c r="R134" s="13">
        <f>IF(AND(B134="",C134=""),"",IF(C134="","Needs the item",IF(B134="","Needs a room",IF(COUNTIF(Rooms!$B$6:$B$35,B134)=0,"Not on Rooms",IF(AND(H134&lt;&gt;"",NOT(ISNUMBER(H134))),"Paid not a number",IF(AND(I134&lt;&gt;"",NOT(ISNUMBER(I134))),"Worth not a number",IF(AND(G134&lt;&gt;"",NOT(ISNUMBER(G134))),"Bought is not a date",IF(AND(L134&lt;&gt;"",NOT(ISNUMBER(L134))),"Warranty is not a date",""))))))))</f>
        <v/>
      </c>
      <c r="S134" s="1">
        <f>IF(AND(C134&lt;&gt;"",R134=""),1,0)</f>
        <v/>
      </c>
      <c r="T134">
        <f>IF(S134=1,N(N134),0)</f>
        <v/>
      </c>
      <c r="U134">
        <f>IF(AND(S134=1,T134&gt;0),ROUND(T134*100,0)*10000+10000-ROW(),"")</f>
        <v/>
      </c>
      <c r="V134">
        <f>IF(AND(S134=1,OR(Report!$C$5="",B134=Report!$C$5)),MATCH(B134,Rooms!$B$6:$B$35,0)*10000+ROW(),"")</f>
        <v/>
      </c>
      <c r="W134">
        <f>IF(AND(S134=1,OR(J134="",J134="No")),1,0)</f>
        <v/>
      </c>
      <c r="X134">
        <f>IF(AND(S134=1,K134=""),1,0)</f>
        <v/>
      </c>
      <c r="Y134">
        <f>IF(AND(S134=1,Q134&lt;&gt;""),ROUND(T134*100,0)*10000+10000-ROW(),"")</f>
        <v/>
      </c>
    </row>
    <row r="135">
      <c r="A135" s="1" t="n"/>
      <c r="B135" s="17" t="n"/>
      <c r="C135" s="18" t="n"/>
      <c r="D135" s="17" t="n"/>
      <c r="E135" s="19" t="n"/>
      <c r="F135" s="19" t="n"/>
      <c r="G135" s="20" t="n"/>
      <c r="H135" s="21" t="n"/>
      <c r="I135" s="21" t="n"/>
      <c r="J135" s="17" t="n"/>
      <c r="K135" s="19" t="n"/>
      <c r="L135" s="20" t="n"/>
      <c r="M135" s="19" t="n"/>
      <c r="N135" s="22">
        <f>IF(C135="","",IF(ISNUMBER(I135),I135,IF(ISNUMBER(H135),H135,"")))</f>
        <v/>
      </c>
      <c r="O135" s="23">
        <f>IF(OR(C135="",NOT(ISNUMBER(G135))),"",(TODAY()-INT(G135))/365.25)</f>
        <v/>
      </c>
      <c r="P135" s="13">
        <f>IF(OR(C135="",NOT(ISNUMBER(L135))),"",IF(L135&lt;TODAY(),"Ended",IF(L135-TODAY()&lt;=N(Settings!$C$10),"Ends soon","Covered")))</f>
        <v/>
      </c>
      <c r="Q135" s="13">
        <f>IF(C135="","",MID(IF(N135="",", value","")&amp;IF(OR(J135="",J135="No"),", receipt","")&amp;IF(K135="",", photo",""),3,100))</f>
        <v/>
      </c>
      <c r="R135" s="13">
        <f>IF(AND(B135="",C135=""),"",IF(C135="","Needs the item",IF(B135="","Needs a room",IF(COUNTIF(Rooms!$B$6:$B$35,B135)=0,"Not on Rooms",IF(AND(H135&lt;&gt;"",NOT(ISNUMBER(H135))),"Paid not a number",IF(AND(I135&lt;&gt;"",NOT(ISNUMBER(I135))),"Worth not a number",IF(AND(G135&lt;&gt;"",NOT(ISNUMBER(G135))),"Bought is not a date",IF(AND(L135&lt;&gt;"",NOT(ISNUMBER(L135))),"Warranty is not a date",""))))))))</f>
        <v/>
      </c>
      <c r="S135" s="1">
        <f>IF(AND(C135&lt;&gt;"",R135=""),1,0)</f>
        <v/>
      </c>
      <c r="T135">
        <f>IF(S135=1,N(N135),0)</f>
        <v/>
      </c>
      <c r="U135">
        <f>IF(AND(S135=1,T135&gt;0),ROUND(T135*100,0)*10000+10000-ROW(),"")</f>
        <v/>
      </c>
      <c r="V135">
        <f>IF(AND(S135=1,OR(Report!$C$5="",B135=Report!$C$5)),MATCH(B135,Rooms!$B$6:$B$35,0)*10000+ROW(),"")</f>
        <v/>
      </c>
      <c r="W135">
        <f>IF(AND(S135=1,OR(J135="",J135="No")),1,0)</f>
        <v/>
      </c>
      <c r="X135">
        <f>IF(AND(S135=1,K135=""),1,0)</f>
        <v/>
      </c>
      <c r="Y135">
        <f>IF(AND(S135=1,Q135&lt;&gt;""),ROUND(T135*100,0)*10000+10000-ROW(),"")</f>
        <v/>
      </c>
    </row>
    <row r="136">
      <c r="A136" s="1" t="n"/>
      <c r="B136" s="17" t="n"/>
      <c r="C136" s="18" t="n"/>
      <c r="D136" s="17" t="n"/>
      <c r="E136" s="19" t="n"/>
      <c r="F136" s="19" t="n"/>
      <c r="G136" s="20" t="n"/>
      <c r="H136" s="21" t="n"/>
      <c r="I136" s="21" t="n"/>
      <c r="J136" s="17" t="n"/>
      <c r="K136" s="19" t="n"/>
      <c r="L136" s="20" t="n"/>
      <c r="M136" s="19" t="n"/>
      <c r="N136" s="22">
        <f>IF(C136="","",IF(ISNUMBER(I136),I136,IF(ISNUMBER(H136),H136,"")))</f>
        <v/>
      </c>
      <c r="O136" s="23">
        <f>IF(OR(C136="",NOT(ISNUMBER(G136))),"",(TODAY()-INT(G136))/365.25)</f>
        <v/>
      </c>
      <c r="P136" s="13">
        <f>IF(OR(C136="",NOT(ISNUMBER(L136))),"",IF(L136&lt;TODAY(),"Ended",IF(L136-TODAY()&lt;=N(Settings!$C$10),"Ends soon","Covered")))</f>
        <v/>
      </c>
      <c r="Q136" s="13">
        <f>IF(C136="","",MID(IF(N136="",", value","")&amp;IF(OR(J136="",J136="No"),", receipt","")&amp;IF(K136="",", photo",""),3,100))</f>
        <v/>
      </c>
      <c r="R136" s="13">
        <f>IF(AND(B136="",C136=""),"",IF(C136="","Needs the item",IF(B136="","Needs a room",IF(COUNTIF(Rooms!$B$6:$B$35,B136)=0,"Not on Rooms",IF(AND(H136&lt;&gt;"",NOT(ISNUMBER(H136))),"Paid not a number",IF(AND(I136&lt;&gt;"",NOT(ISNUMBER(I136))),"Worth not a number",IF(AND(G136&lt;&gt;"",NOT(ISNUMBER(G136))),"Bought is not a date",IF(AND(L136&lt;&gt;"",NOT(ISNUMBER(L136))),"Warranty is not a date",""))))))))</f>
        <v/>
      </c>
      <c r="S136" s="1">
        <f>IF(AND(C136&lt;&gt;"",R136=""),1,0)</f>
        <v/>
      </c>
      <c r="T136">
        <f>IF(S136=1,N(N136),0)</f>
        <v/>
      </c>
      <c r="U136">
        <f>IF(AND(S136=1,T136&gt;0),ROUND(T136*100,0)*10000+10000-ROW(),"")</f>
        <v/>
      </c>
      <c r="V136">
        <f>IF(AND(S136=1,OR(Report!$C$5="",B136=Report!$C$5)),MATCH(B136,Rooms!$B$6:$B$35,0)*10000+ROW(),"")</f>
        <v/>
      </c>
      <c r="W136">
        <f>IF(AND(S136=1,OR(J136="",J136="No")),1,0)</f>
        <v/>
      </c>
      <c r="X136">
        <f>IF(AND(S136=1,K136=""),1,0)</f>
        <v/>
      </c>
      <c r="Y136">
        <f>IF(AND(S136=1,Q136&lt;&gt;""),ROUND(T136*100,0)*10000+10000-ROW(),"")</f>
        <v/>
      </c>
    </row>
    <row r="137">
      <c r="A137" s="1" t="n"/>
      <c r="B137" s="17" t="n"/>
      <c r="C137" s="18" t="n"/>
      <c r="D137" s="17" t="n"/>
      <c r="E137" s="19" t="n"/>
      <c r="F137" s="19" t="n"/>
      <c r="G137" s="20" t="n"/>
      <c r="H137" s="21" t="n"/>
      <c r="I137" s="21" t="n"/>
      <c r="J137" s="17" t="n"/>
      <c r="K137" s="19" t="n"/>
      <c r="L137" s="20" t="n"/>
      <c r="M137" s="19" t="n"/>
      <c r="N137" s="22">
        <f>IF(C137="","",IF(ISNUMBER(I137),I137,IF(ISNUMBER(H137),H137,"")))</f>
        <v/>
      </c>
      <c r="O137" s="23">
        <f>IF(OR(C137="",NOT(ISNUMBER(G137))),"",(TODAY()-INT(G137))/365.25)</f>
        <v/>
      </c>
      <c r="P137" s="13">
        <f>IF(OR(C137="",NOT(ISNUMBER(L137))),"",IF(L137&lt;TODAY(),"Ended",IF(L137-TODAY()&lt;=N(Settings!$C$10),"Ends soon","Covered")))</f>
        <v/>
      </c>
      <c r="Q137" s="13">
        <f>IF(C137="","",MID(IF(N137="",", value","")&amp;IF(OR(J137="",J137="No"),", receipt","")&amp;IF(K137="",", photo",""),3,100))</f>
        <v/>
      </c>
      <c r="R137" s="13">
        <f>IF(AND(B137="",C137=""),"",IF(C137="","Needs the item",IF(B137="","Needs a room",IF(COUNTIF(Rooms!$B$6:$B$35,B137)=0,"Not on Rooms",IF(AND(H137&lt;&gt;"",NOT(ISNUMBER(H137))),"Paid not a number",IF(AND(I137&lt;&gt;"",NOT(ISNUMBER(I137))),"Worth not a number",IF(AND(G137&lt;&gt;"",NOT(ISNUMBER(G137))),"Bought is not a date",IF(AND(L137&lt;&gt;"",NOT(ISNUMBER(L137))),"Warranty is not a date",""))))))))</f>
        <v/>
      </c>
      <c r="S137" s="1">
        <f>IF(AND(C137&lt;&gt;"",R137=""),1,0)</f>
        <v/>
      </c>
      <c r="T137">
        <f>IF(S137=1,N(N137),0)</f>
        <v/>
      </c>
      <c r="U137">
        <f>IF(AND(S137=1,T137&gt;0),ROUND(T137*100,0)*10000+10000-ROW(),"")</f>
        <v/>
      </c>
      <c r="V137">
        <f>IF(AND(S137=1,OR(Report!$C$5="",B137=Report!$C$5)),MATCH(B137,Rooms!$B$6:$B$35,0)*10000+ROW(),"")</f>
        <v/>
      </c>
      <c r="W137">
        <f>IF(AND(S137=1,OR(J137="",J137="No")),1,0)</f>
        <v/>
      </c>
      <c r="X137">
        <f>IF(AND(S137=1,K137=""),1,0)</f>
        <v/>
      </c>
      <c r="Y137">
        <f>IF(AND(S137=1,Q137&lt;&gt;""),ROUND(T137*100,0)*10000+10000-ROW(),"")</f>
        <v/>
      </c>
    </row>
    <row r="138">
      <c r="A138" s="1" t="n"/>
      <c r="B138" s="17" t="n"/>
      <c r="C138" s="18" t="n"/>
      <c r="D138" s="17" t="n"/>
      <c r="E138" s="19" t="n"/>
      <c r="F138" s="19" t="n"/>
      <c r="G138" s="20" t="n"/>
      <c r="H138" s="21" t="n"/>
      <c r="I138" s="21" t="n"/>
      <c r="J138" s="17" t="n"/>
      <c r="K138" s="19" t="n"/>
      <c r="L138" s="20" t="n"/>
      <c r="M138" s="19" t="n"/>
      <c r="N138" s="22">
        <f>IF(C138="","",IF(ISNUMBER(I138),I138,IF(ISNUMBER(H138),H138,"")))</f>
        <v/>
      </c>
      <c r="O138" s="23">
        <f>IF(OR(C138="",NOT(ISNUMBER(G138))),"",(TODAY()-INT(G138))/365.25)</f>
        <v/>
      </c>
      <c r="P138" s="13">
        <f>IF(OR(C138="",NOT(ISNUMBER(L138))),"",IF(L138&lt;TODAY(),"Ended",IF(L138-TODAY()&lt;=N(Settings!$C$10),"Ends soon","Covered")))</f>
        <v/>
      </c>
      <c r="Q138" s="13">
        <f>IF(C138="","",MID(IF(N138="",", value","")&amp;IF(OR(J138="",J138="No"),", receipt","")&amp;IF(K138="",", photo",""),3,100))</f>
        <v/>
      </c>
      <c r="R138" s="13">
        <f>IF(AND(B138="",C138=""),"",IF(C138="","Needs the item",IF(B138="","Needs a room",IF(COUNTIF(Rooms!$B$6:$B$35,B138)=0,"Not on Rooms",IF(AND(H138&lt;&gt;"",NOT(ISNUMBER(H138))),"Paid not a number",IF(AND(I138&lt;&gt;"",NOT(ISNUMBER(I138))),"Worth not a number",IF(AND(G138&lt;&gt;"",NOT(ISNUMBER(G138))),"Bought is not a date",IF(AND(L138&lt;&gt;"",NOT(ISNUMBER(L138))),"Warranty is not a date",""))))))))</f>
        <v/>
      </c>
      <c r="S138" s="1">
        <f>IF(AND(C138&lt;&gt;"",R138=""),1,0)</f>
        <v/>
      </c>
      <c r="T138">
        <f>IF(S138=1,N(N138),0)</f>
        <v/>
      </c>
      <c r="U138">
        <f>IF(AND(S138=1,T138&gt;0),ROUND(T138*100,0)*10000+10000-ROW(),"")</f>
        <v/>
      </c>
      <c r="V138">
        <f>IF(AND(S138=1,OR(Report!$C$5="",B138=Report!$C$5)),MATCH(B138,Rooms!$B$6:$B$35,0)*10000+ROW(),"")</f>
        <v/>
      </c>
      <c r="W138">
        <f>IF(AND(S138=1,OR(J138="",J138="No")),1,0)</f>
        <v/>
      </c>
      <c r="X138">
        <f>IF(AND(S138=1,K138=""),1,0)</f>
        <v/>
      </c>
      <c r="Y138">
        <f>IF(AND(S138=1,Q138&lt;&gt;""),ROUND(T138*100,0)*10000+10000-ROW(),"")</f>
        <v/>
      </c>
    </row>
    <row r="139">
      <c r="A139" s="1" t="n"/>
      <c r="B139" s="17" t="n"/>
      <c r="C139" s="18" t="n"/>
      <c r="D139" s="17" t="n"/>
      <c r="E139" s="19" t="n"/>
      <c r="F139" s="19" t="n"/>
      <c r="G139" s="20" t="n"/>
      <c r="H139" s="21" t="n"/>
      <c r="I139" s="21" t="n"/>
      <c r="J139" s="17" t="n"/>
      <c r="K139" s="19" t="n"/>
      <c r="L139" s="20" t="n"/>
      <c r="M139" s="19" t="n"/>
      <c r="N139" s="22">
        <f>IF(C139="","",IF(ISNUMBER(I139),I139,IF(ISNUMBER(H139),H139,"")))</f>
        <v/>
      </c>
      <c r="O139" s="23">
        <f>IF(OR(C139="",NOT(ISNUMBER(G139))),"",(TODAY()-INT(G139))/365.25)</f>
        <v/>
      </c>
      <c r="P139" s="13">
        <f>IF(OR(C139="",NOT(ISNUMBER(L139))),"",IF(L139&lt;TODAY(),"Ended",IF(L139-TODAY()&lt;=N(Settings!$C$10),"Ends soon","Covered")))</f>
        <v/>
      </c>
      <c r="Q139" s="13">
        <f>IF(C139="","",MID(IF(N139="",", value","")&amp;IF(OR(J139="",J139="No"),", receipt","")&amp;IF(K139="",", photo",""),3,100))</f>
        <v/>
      </c>
      <c r="R139" s="13">
        <f>IF(AND(B139="",C139=""),"",IF(C139="","Needs the item",IF(B139="","Needs a room",IF(COUNTIF(Rooms!$B$6:$B$35,B139)=0,"Not on Rooms",IF(AND(H139&lt;&gt;"",NOT(ISNUMBER(H139))),"Paid not a number",IF(AND(I139&lt;&gt;"",NOT(ISNUMBER(I139))),"Worth not a number",IF(AND(G139&lt;&gt;"",NOT(ISNUMBER(G139))),"Bought is not a date",IF(AND(L139&lt;&gt;"",NOT(ISNUMBER(L139))),"Warranty is not a date",""))))))))</f>
        <v/>
      </c>
      <c r="S139" s="1">
        <f>IF(AND(C139&lt;&gt;"",R139=""),1,0)</f>
        <v/>
      </c>
      <c r="T139">
        <f>IF(S139=1,N(N139),0)</f>
        <v/>
      </c>
      <c r="U139">
        <f>IF(AND(S139=1,T139&gt;0),ROUND(T139*100,0)*10000+10000-ROW(),"")</f>
        <v/>
      </c>
      <c r="V139">
        <f>IF(AND(S139=1,OR(Report!$C$5="",B139=Report!$C$5)),MATCH(B139,Rooms!$B$6:$B$35,0)*10000+ROW(),"")</f>
        <v/>
      </c>
      <c r="W139">
        <f>IF(AND(S139=1,OR(J139="",J139="No")),1,0)</f>
        <v/>
      </c>
      <c r="X139">
        <f>IF(AND(S139=1,K139=""),1,0)</f>
        <v/>
      </c>
      <c r="Y139">
        <f>IF(AND(S139=1,Q139&lt;&gt;""),ROUND(T139*100,0)*10000+10000-ROW(),"")</f>
        <v/>
      </c>
    </row>
    <row r="140">
      <c r="A140" s="1" t="n"/>
      <c r="B140" s="17" t="n"/>
      <c r="C140" s="18" t="n"/>
      <c r="D140" s="17" t="n"/>
      <c r="E140" s="19" t="n"/>
      <c r="F140" s="19" t="n"/>
      <c r="G140" s="20" t="n"/>
      <c r="H140" s="21" t="n"/>
      <c r="I140" s="21" t="n"/>
      <c r="J140" s="17" t="n"/>
      <c r="K140" s="19" t="n"/>
      <c r="L140" s="20" t="n"/>
      <c r="M140" s="19" t="n"/>
      <c r="N140" s="22">
        <f>IF(C140="","",IF(ISNUMBER(I140),I140,IF(ISNUMBER(H140),H140,"")))</f>
        <v/>
      </c>
      <c r="O140" s="23">
        <f>IF(OR(C140="",NOT(ISNUMBER(G140))),"",(TODAY()-INT(G140))/365.25)</f>
        <v/>
      </c>
      <c r="P140" s="13">
        <f>IF(OR(C140="",NOT(ISNUMBER(L140))),"",IF(L140&lt;TODAY(),"Ended",IF(L140-TODAY()&lt;=N(Settings!$C$10),"Ends soon","Covered")))</f>
        <v/>
      </c>
      <c r="Q140" s="13">
        <f>IF(C140="","",MID(IF(N140="",", value","")&amp;IF(OR(J140="",J140="No"),", receipt","")&amp;IF(K140="",", photo",""),3,100))</f>
        <v/>
      </c>
      <c r="R140" s="13">
        <f>IF(AND(B140="",C140=""),"",IF(C140="","Needs the item",IF(B140="","Needs a room",IF(COUNTIF(Rooms!$B$6:$B$35,B140)=0,"Not on Rooms",IF(AND(H140&lt;&gt;"",NOT(ISNUMBER(H140))),"Paid not a number",IF(AND(I140&lt;&gt;"",NOT(ISNUMBER(I140))),"Worth not a number",IF(AND(G140&lt;&gt;"",NOT(ISNUMBER(G140))),"Bought is not a date",IF(AND(L140&lt;&gt;"",NOT(ISNUMBER(L140))),"Warranty is not a date",""))))))))</f>
        <v/>
      </c>
      <c r="S140" s="1">
        <f>IF(AND(C140&lt;&gt;"",R140=""),1,0)</f>
        <v/>
      </c>
      <c r="T140">
        <f>IF(S140=1,N(N140),0)</f>
        <v/>
      </c>
      <c r="U140">
        <f>IF(AND(S140=1,T140&gt;0),ROUND(T140*100,0)*10000+10000-ROW(),"")</f>
        <v/>
      </c>
      <c r="V140">
        <f>IF(AND(S140=1,OR(Report!$C$5="",B140=Report!$C$5)),MATCH(B140,Rooms!$B$6:$B$35,0)*10000+ROW(),"")</f>
        <v/>
      </c>
      <c r="W140">
        <f>IF(AND(S140=1,OR(J140="",J140="No")),1,0)</f>
        <v/>
      </c>
      <c r="X140">
        <f>IF(AND(S140=1,K140=""),1,0)</f>
        <v/>
      </c>
      <c r="Y140">
        <f>IF(AND(S140=1,Q140&lt;&gt;""),ROUND(T140*100,0)*10000+10000-ROW(),"")</f>
        <v/>
      </c>
    </row>
    <row r="141">
      <c r="A141" s="1" t="n"/>
      <c r="B141" s="17" t="n"/>
      <c r="C141" s="18" t="n"/>
      <c r="D141" s="17" t="n"/>
      <c r="E141" s="19" t="n"/>
      <c r="F141" s="19" t="n"/>
      <c r="G141" s="20" t="n"/>
      <c r="H141" s="21" t="n"/>
      <c r="I141" s="21" t="n"/>
      <c r="J141" s="17" t="n"/>
      <c r="K141" s="19" t="n"/>
      <c r="L141" s="20" t="n"/>
      <c r="M141" s="19" t="n"/>
      <c r="N141" s="22">
        <f>IF(C141="","",IF(ISNUMBER(I141),I141,IF(ISNUMBER(H141),H141,"")))</f>
        <v/>
      </c>
      <c r="O141" s="23">
        <f>IF(OR(C141="",NOT(ISNUMBER(G141))),"",(TODAY()-INT(G141))/365.25)</f>
        <v/>
      </c>
      <c r="P141" s="13">
        <f>IF(OR(C141="",NOT(ISNUMBER(L141))),"",IF(L141&lt;TODAY(),"Ended",IF(L141-TODAY()&lt;=N(Settings!$C$10),"Ends soon","Covered")))</f>
        <v/>
      </c>
      <c r="Q141" s="13">
        <f>IF(C141="","",MID(IF(N141="",", value","")&amp;IF(OR(J141="",J141="No"),", receipt","")&amp;IF(K141="",", photo",""),3,100))</f>
        <v/>
      </c>
      <c r="R141" s="13">
        <f>IF(AND(B141="",C141=""),"",IF(C141="","Needs the item",IF(B141="","Needs a room",IF(COUNTIF(Rooms!$B$6:$B$35,B141)=0,"Not on Rooms",IF(AND(H141&lt;&gt;"",NOT(ISNUMBER(H141))),"Paid not a number",IF(AND(I141&lt;&gt;"",NOT(ISNUMBER(I141))),"Worth not a number",IF(AND(G141&lt;&gt;"",NOT(ISNUMBER(G141))),"Bought is not a date",IF(AND(L141&lt;&gt;"",NOT(ISNUMBER(L141))),"Warranty is not a date",""))))))))</f>
        <v/>
      </c>
      <c r="S141" s="1">
        <f>IF(AND(C141&lt;&gt;"",R141=""),1,0)</f>
        <v/>
      </c>
      <c r="T141">
        <f>IF(S141=1,N(N141),0)</f>
        <v/>
      </c>
      <c r="U141">
        <f>IF(AND(S141=1,T141&gt;0),ROUND(T141*100,0)*10000+10000-ROW(),"")</f>
        <v/>
      </c>
      <c r="V141">
        <f>IF(AND(S141=1,OR(Report!$C$5="",B141=Report!$C$5)),MATCH(B141,Rooms!$B$6:$B$35,0)*10000+ROW(),"")</f>
        <v/>
      </c>
      <c r="W141">
        <f>IF(AND(S141=1,OR(J141="",J141="No")),1,0)</f>
        <v/>
      </c>
      <c r="X141">
        <f>IF(AND(S141=1,K141=""),1,0)</f>
        <v/>
      </c>
      <c r="Y141">
        <f>IF(AND(S141=1,Q141&lt;&gt;""),ROUND(T141*100,0)*10000+10000-ROW(),"")</f>
        <v/>
      </c>
    </row>
    <row r="142">
      <c r="A142" s="1" t="n"/>
      <c r="B142" s="17" t="n"/>
      <c r="C142" s="18" t="n"/>
      <c r="D142" s="17" t="n"/>
      <c r="E142" s="19" t="n"/>
      <c r="F142" s="19" t="n"/>
      <c r="G142" s="20" t="n"/>
      <c r="H142" s="21" t="n"/>
      <c r="I142" s="21" t="n"/>
      <c r="J142" s="17" t="n"/>
      <c r="K142" s="19" t="n"/>
      <c r="L142" s="20" t="n"/>
      <c r="M142" s="19" t="n"/>
      <c r="N142" s="22">
        <f>IF(C142="","",IF(ISNUMBER(I142),I142,IF(ISNUMBER(H142),H142,"")))</f>
        <v/>
      </c>
      <c r="O142" s="23">
        <f>IF(OR(C142="",NOT(ISNUMBER(G142))),"",(TODAY()-INT(G142))/365.25)</f>
        <v/>
      </c>
      <c r="P142" s="13">
        <f>IF(OR(C142="",NOT(ISNUMBER(L142))),"",IF(L142&lt;TODAY(),"Ended",IF(L142-TODAY()&lt;=N(Settings!$C$10),"Ends soon","Covered")))</f>
        <v/>
      </c>
      <c r="Q142" s="13">
        <f>IF(C142="","",MID(IF(N142="",", value","")&amp;IF(OR(J142="",J142="No"),", receipt","")&amp;IF(K142="",", photo",""),3,100))</f>
        <v/>
      </c>
      <c r="R142" s="13">
        <f>IF(AND(B142="",C142=""),"",IF(C142="","Needs the item",IF(B142="","Needs a room",IF(COUNTIF(Rooms!$B$6:$B$35,B142)=0,"Not on Rooms",IF(AND(H142&lt;&gt;"",NOT(ISNUMBER(H142))),"Paid not a number",IF(AND(I142&lt;&gt;"",NOT(ISNUMBER(I142))),"Worth not a number",IF(AND(G142&lt;&gt;"",NOT(ISNUMBER(G142))),"Bought is not a date",IF(AND(L142&lt;&gt;"",NOT(ISNUMBER(L142))),"Warranty is not a date",""))))))))</f>
        <v/>
      </c>
      <c r="S142" s="1">
        <f>IF(AND(C142&lt;&gt;"",R142=""),1,0)</f>
        <v/>
      </c>
      <c r="T142">
        <f>IF(S142=1,N(N142),0)</f>
        <v/>
      </c>
      <c r="U142">
        <f>IF(AND(S142=1,T142&gt;0),ROUND(T142*100,0)*10000+10000-ROW(),"")</f>
        <v/>
      </c>
      <c r="V142">
        <f>IF(AND(S142=1,OR(Report!$C$5="",B142=Report!$C$5)),MATCH(B142,Rooms!$B$6:$B$35,0)*10000+ROW(),"")</f>
        <v/>
      </c>
      <c r="W142">
        <f>IF(AND(S142=1,OR(J142="",J142="No")),1,0)</f>
        <v/>
      </c>
      <c r="X142">
        <f>IF(AND(S142=1,K142=""),1,0)</f>
        <v/>
      </c>
      <c r="Y142">
        <f>IF(AND(S142=1,Q142&lt;&gt;""),ROUND(T142*100,0)*10000+10000-ROW(),"")</f>
        <v/>
      </c>
    </row>
    <row r="143">
      <c r="A143" s="1" t="n"/>
      <c r="B143" s="17" t="n"/>
      <c r="C143" s="18" t="n"/>
      <c r="D143" s="17" t="n"/>
      <c r="E143" s="19" t="n"/>
      <c r="F143" s="19" t="n"/>
      <c r="G143" s="20" t="n"/>
      <c r="H143" s="21" t="n"/>
      <c r="I143" s="21" t="n"/>
      <c r="J143" s="17" t="n"/>
      <c r="K143" s="19" t="n"/>
      <c r="L143" s="20" t="n"/>
      <c r="M143" s="19" t="n"/>
      <c r="N143" s="22">
        <f>IF(C143="","",IF(ISNUMBER(I143),I143,IF(ISNUMBER(H143),H143,"")))</f>
        <v/>
      </c>
      <c r="O143" s="23">
        <f>IF(OR(C143="",NOT(ISNUMBER(G143))),"",(TODAY()-INT(G143))/365.25)</f>
        <v/>
      </c>
      <c r="P143" s="13">
        <f>IF(OR(C143="",NOT(ISNUMBER(L143))),"",IF(L143&lt;TODAY(),"Ended",IF(L143-TODAY()&lt;=N(Settings!$C$10),"Ends soon","Covered")))</f>
        <v/>
      </c>
      <c r="Q143" s="13">
        <f>IF(C143="","",MID(IF(N143="",", value","")&amp;IF(OR(J143="",J143="No"),", receipt","")&amp;IF(K143="",", photo",""),3,100))</f>
        <v/>
      </c>
      <c r="R143" s="13">
        <f>IF(AND(B143="",C143=""),"",IF(C143="","Needs the item",IF(B143="","Needs a room",IF(COUNTIF(Rooms!$B$6:$B$35,B143)=0,"Not on Rooms",IF(AND(H143&lt;&gt;"",NOT(ISNUMBER(H143))),"Paid not a number",IF(AND(I143&lt;&gt;"",NOT(ISNUMBER(I143))),"Worth not a number",IF(AND(G143&lt;&gt;"",NOT(ISNUMBER(G143))),"Bought is not a date",IF(AND(L143&lt;&gt;"",NOT(ISNUMBER(L143))),"Warranty is not a date",""))))))))</f>
        <v/>
      </c>
      <c r="S143" s="1">
        <f>IF(AND(C143&lt;&gt;"",R143=""),1,0)</f>
        <v/>
      </c>
      <c r="T143">
        <f>IF(S143=1,N(N143),0)</f>
        <v/>
      </c>
      <c r="U143">
        <f>IF(AND(S143=1,T143&gt;0),ROUND(T143*100,0)*10000+10000-ROW(),"")</f>
        <v/>
      </c>
      <c r="V143">
        <f>IF(AND(S143=1,OR(Report!$C$5="",B143=Report!$C$5)),MATCH(B143,Rooms!$B$6:$B$35,0)*10000+ROW(),"")</f>
        <v/>
      </c>
      <c r="W143">
        <f>IF(AND(S143=1,OR(J143="",J143="No")),1,0)</f>
        <v/>
      </c>
      <c r="X143">
        <f>IF(AND(S143=1,K143=""),1,0)</f>
        <v/>
      </c>
      <c r="Y143">
        <f>IF(AND(S143=1,Q143&lt;&gt;""),ROUND(T143*100,0)*10000+10000-ROW(),"")</f>
        <v/>
      </c>
    </row>
    <row r="144">
      <c r="A144" s="1" t="n"/>
      <c r="B144" s="17" t="n"/>
      <c r="C144" s="18" t="n"/>
      <c r="D144" s="17" t="n"/>
      <c r="E144" s="19" t="n"/>
      <c r="F144" s="19" t="n"/>
      <c r="G144" s="20" t="n"/>
      <c r="H144" s="21" t="n"/>
      <c r="I144" s="21" t="n"/>
      <c r="J144" s="17" t="n"/>
      <c r="K144" s="19" t="n"/>
      <c r="L144" s="20" t="n"/>
      <c r="M144" s="19" t="n"/>
      <c r="N144" s="22">
        <f>IF(C144="","",IF(ISNUMBER(I144),I144,IF(ISNUMBER(H144),H144,"")))</f>
        <v/>
      </c>
      <c r="O144" s="23">
        <f>IF(OR(C144="",NOT(ISNUMBER(G144))),"",(TODAY()-INT(G144))/365.25)</f>
        <v/>
      </c>
      <c r="P144" s="13">
        <f>IF(OR(C144="",NOT(ISNUMBER(L144))),"",IF(L144&lt;TODAY(),"Ended",IF(L144-TODAY()&lt;=N(Settings!$C$10),"Ends soon","Covered")))</f>
        <v/>
      </c>
      <c r="Q144" s="13">
        <f>IF(C144="","",MID(IF(N144="",", value","")&amp;IF(OR(J144="",J144="No"),", receipt","")&amp;IF(K144="",", photo",""),3,100))</f>
        <v/>
      </c>
      <c r="R144" s="13">
        <f>IF(AND(B144="",C144=""),"",IF(C144="","Needs the item",IF(B144="","Needs a room",IF(COUNTIF(Rooms!$B$6:$B$35,B144)=0,"Not on Rooms",IF(AND(H144&lt;&gt;"",NOT(ISNUMBER(H144))),"Paid not a number",IF(AND(I144&lt;&gt;"",NOT(ISNUMBER(I144))),"Worth not a number",IF(AND(G144&lt;&gt;"",NOT(ISNUMBER(G144))),"Bought is not a date",IF(AND(L144&lt;&gt;"",NOT(ISNUMBER(L144))),"Warranty is not a date",""))))))))</f>
        <v/>
      </c>
      <c r="S144" s="1">
        <f>IF(AND(C144&lt;&gt;"",R144=""),1,0)</f>
        <v/>
      </c>
      <c r="T144">
        <f>IF(S144=1,N(N144),0)</f>
        <v/>
      </c>
      <c r="U144">
        <f>IF(AND(S144=1,T144&gt;0),ROUND(T144*100,0)*10000+10000-ROW(),"")</f>
        <v/>
      </c>
      <c r="V144">
        <f>IF(AND(S144=1,OR(Report!$C$5="",B144=Report!$C$5)),MATCH(B144,Rooms!$B$6:$B$35,0)*10000+ROW(),"")</f>
        <v/>
      </c>
      <c r="W144">
        <f>IF(AND(S144=1,OR(J144="",J144="No")),1,0)</f>
        <v/>
      </c>
      <c r="X144">
        <f>IF(AND(S144=1,K144=""),1,0)</f>
        <v/>
      </c>
      <c r="Y144">
        <f>IF(AND(S144=1,Q144&lt;&gt;""),ROUND(T144*100,0)*10000+10000-ROW(),"")</f>
        <v/>
      </c>
    </row>
    <row r="145">
      <c r="A145" s="1" t="n"/>
      <c r="B145" s="17" t="n"/>
      <c r="C145" s="18" t="n"/>
      <c r="D145" s="17" t="n"/>
      <c r="E145" s="19" t="n"/>
      <c r="F145" s="19" t="n"/>
      <c r="G145" s="20" t="n"/>
      <c r="H145" s="21" t="n"/>
      <c r="I145" s="21" t="n"/>
      <c r="J145" s="17" t="n"/>
      <c r="K145" s="19" t="n"/>
      <c r="L145" s="20" t="n"/>
      <c r="M145" s="19" t="n"/>
      <c r="N145" s="22">
        <f>IF(C145="","",IF(ISNUMBER(I145),I145,IF(ISNUMBER(H145),H145,"")))</f>
        <v/>
      </c>
      <c r="O145" s="23">
        <f>IF(OR(C145="",NOT(ISNUMBER(G145))),"",(TODAY()-INT(G145))/365.25)</f>
        <v/>
      </c>
      <c r="P145" s="13">
        <f>IF(OR(C145="",NOT(ISNUMBER(L145))),"",IF(L145&lt;TODAY(),"Ended",IF(L145-TODAY()&lt;=N(Settings!$C$10),"Ends soon","Covered")))</f>
        <v/>
      </c>
      <c r="Q145" s="13">
        <f>IF(C145="","",MID(IF(N145="",", value","")&amp;IF(OR(J145="",J145="No"),", receipt","")&amp;IF(K145="",", photo",""),3,100))</f>
        <v/>
      </c>
      <c r="R145" s="13">
        <f>IF(AND(B145="",C145=""),"",IF(C145="","Needs the item",IF(B145="","Needs a room",IF(COUNTIF(Rooms!$B$6:$B$35,B145)=0,"Not on Rooms",IF(AND(H145&lt;&gt;"",NOT(ISNUMBER(H145))),"Paid not a number",IF(AND(I145&lt;&gt;"",NOT(ISNUMBER(I145))),"Worth not a number",IF(AND(G145&lt;&gt;"",NOT(ISNUMBER(G145))),"Bought is not a date",IF(AND(L145&lt;&gt;"",NOT(ISNUMBER(L145))),"Warranty is not a date",""))))))))</f>
        <v/>
      </c>
      <c r="S145" s="1">
        <f>IF(AND(C145&lt;&gt;"",R145=""),1,0)</f>
        <v/>
      </c>
      <c r="T145">
        <f>IF(S145=1,N(N145),0)</f>
        <v/>
      </c>
      <c r="U145">
        <f>IF(AND(S145=1,T145&gt;0),ROUND(T145*100,0)*10000+10000-ROW(),"")</f>
        <v/>
      </c>
      <c r="V145">
        <f>IF(AND(S145=1,OR(Report!$C$5="",B145=Report!$C$5)),MATCH(B145,Rooms!$B$6:$B$35,0)*10000+ROW(),"")</f>
        <v/>
      </c>
      <c r="W145">
        <f>IF(AND(S145=1,OR(J145="",J145="No")),1,0)</f>
        <v/>
      </c>
      <c r="X145">
        <f>IF(AND(S145=1,K145=""),1,0)</f>
        <v/>
      </c>
      <c r="Y145">
        <f>IF(AND(S145=1,Q145&lt;&gt;""),ROUND(T145*100,0)*10000+10000-ROW(),"")</f>
        <v/>
      </c>
    </row>
    <row r="146">
      <c r="A146" s="1" t="n"/>
      <c r="B146" s="17" t="n"/>
      <c r="C146" s="18" t="n"/>
      <c r="D146" s="17" t="n"/>
      <c r="E146" s="19" t="n"/>
      <c r="F146" s="19" t="n"/>
      <c r="G146" s="20" t="n"/>
      <c r="H146" s="21" t="n"/>
      <c r="I146" s="21" t="n"/>
      <c r="J146" s="17" t="n"/>
      <c r="K146" s="19" t="n"/>
      <c r="L146" s="20" t="n"/>
      <c r="M146" s="19" t="n"/>
      <c r="N146" s="22">
        <f>IF(C146="","",IF(ISNUMBER(I146),I146,IF(ISNUMBER(H146),H146,"")))</f>
        <v/>
      </c>
      <c r="O146" s="23">
        <f>IF(OR(C146="",NOT(ISNUMBER(G146))),"",(TODAY()-INT(G146))/365.25)</f>
        <v/>
      </c>
      <c r="P146" s="13">
        <f>IF(OR(C146="",NOT(ISNUMBER(L146))),"",IF(L146&lt;TODAY(),"Ended",IF(L146-TODAY()&lt;=N(Settings!$C$10),"Ends soon","Covered")))</f>
        <v/>
      </c>
      <c r="Q146" s="13">
        <f>IF(C146="","",MID(IF(N146="",", value","")&amp;IF(OR(J146="",J146="No"),", receipt","")&amp;IF(K146="",", photo",""),3,100))</f>
        <v/>
      </c>
      <c r="R146" s="13">
        <f>IF(AND(B146="",C146=""),"",IF(C146="","Needs the item",IF(B146="","Needs a room",IF(COUNTIF(Rooms!$B$6:$B$35,B146)=0,"Not on Rooms",IF(AND(H146&lt;&gt;"",NOT(ISNUMBER(H146))),"Paid not a number",IF(AND(I146&lt;&gt;"",NOT(ISNUMBER(I146))),"Worth not a number",IF(AND(G146&lt;&gt;"",NOT(ISNUMBER(G146))),"Bought is not a date",IF(AND(L146&lt;&gt;"",NOT(ISNUMBER(L146))),"Warranty is not a date",""))))))))</f>
        <v/>
      </c>
      <c r="S146" s="1">
        <f>IF(AND(C146&lt;&gt;"",R146=""),1,0)</f>
        <v/>
      </c>
      <c r="T146">
        <f>IF(S146=1,N(N146),0)</f>
        <v/>
      </c>
      <c r="U146">
        <f>IF(AND(S146=1,T146&gt;0),ROUND(T146*100,0)*10000+10000-ROW(),"")</f>
        <v/>
      </c>
      <c r="V146">
        <f>IF(AND(S146=1,OR(Report!$C$5="",B146=Report!$C$5)),MATCH(B146,Rooms!$B$6:$B$35,0)*10000+ROW(),"")</f>
        <v/>
      </c>
      <c r="W146">
        <f>IF(AND(S146=1,OR(J146="",J146="No")),1,0)</f>
        <v/>
      </c>
      <c r="X146">
        <f>IF(AND(S146=1,K146=""),1,0)</f>
        <v/>
      </c>
      <c r="Y146">
        <f>IF(AND(S146=1,Q146&lt;&gt;""),ROUND(T146*100,0)*10000+10000-ROW(),"")</f>
        <v/>
      </c>
    </row>
    <row r="147">
      <c r="A147" s="1" t="n"/>
      <c r="B147" s="17" t="n"/>
      <c r="C147" s="18" t="n"/>
      <c r="D147" s="17" t="n"/>
      <c r="E147" s="19" t="n"/>
      <c r="F147" s="19" t="n"/>
      <c r="G147" s="20" t="n"/>
      <c r="H147" s="21" t="n"/>
      <c r="I147" s="21" t="n"/>
      <c r="J147" s="17" t="n"/>
      <c r="K147" s="19" t="n"/>
      <c r="L147" s="20" t="n"/>
      <c r="M147" s="19" t="n"/>
      <c r="N147" s="22">
        <f>IF(C147="","",IF(ISNUMBER(I147),I147,IF(ISNUMBER(H147),H147,"")))</f>
        <v/>
      </c>
      <c r="O147" s="23">
        <f>IF(OR(C147="",NOT(ISNUMBER(G147))),"",(TODAY()-INT(G147))/365.25)</f>
        <v/>
      </c>
      <c r="P147" s="13">
        <f>IF(OR(C147="",NOT(ISNUMBER(L147))),"",IF(L147&lt;TODAY(),"Ended",IF(L147-TODAY()&lt;=N(Settings!$C$10),"Ends soon","Covered")))</f>
        <v/>
      </c>
      <c r="Q147" s="13">
        <f>IF(C147="","",MID(IF(N147="",", value","")&amp;IF(OR(J147="",J147="No"),", receipt","")&amp;IF(K147="",", photo",""),3,100))</f>
        <v/>
      </c>
      <c r="R147" s="13">
        <f>IF(AND(B147="",C147=""),"",IF(C147="","Needs the item",IF(B147="","Needs a room",IF(COUNTIF(Rooms!$B$6:$B$35,B147)=0,"Not on Rooms",IF(AND(H147&lt;&gt;"",NOT(ISNUMBER(H147))),"Paid not a number",IF(AND(I147&lt;&gt;"",NOT(ISNUMBER(I147))),"Worth not a number",IF(AND(G147&lt;&gt;"",NOT(ISNUMBER(G147))),"Bought is not a date",IF(AND(L147&lt;&gt;"",NOT(ISNUMBER(L147))),"Warranty is not a date",""))))))))</f>
        <v/>
      </c>
      <c r="S147" s="1">
        <f>IF(AND(C147&lt;&gt;"",R147=""),1,0)</f>
        <v/>
      </c>
      <c r="T147">
        <f>IF(S147=1,N(N147),0)</f>
        <v/>
      </c>
      <c r="U147">
        <f>IF(AND(S147=1,T147&gt;0),ROUND(T147*100,0)*10000+10000-ROW(),"")</f>
        <v/>
      </c>
      <c r="V147">
        <f>IF(AND(S147=1,OR(Report!$C$5="",B147=Report!$C$5)),MATCH(B147,Rooms!$B$6:$B$35,0)*10000+ROW(),"")</f>
        <v/>
      </c>
      <c r="W147">
        <f>IF(AND(S147=1,OR(J147="",J147="No")),1,0)</f>
        <v/>
      </c>
      <c r="X147">
        <f>IF(AND(S147=1,K147=""),1,0)</f>
        <v/>
      </c>
      <c r="Y147">
        <f>IF(AND(S147=1,Q147&lt;&gt;""),ROUND(T147*100,0)*10000+10000-ROW(),"")</f>
        <v/>
      </c>
    </row>
    <row r="148">
      <c r="A148" s="1" t="n"/>
      <c r="B148" s="17" t="n"/>
      <c r="C148" s="18" t="n"/>
      <c r="D148" s="17" t="n"/>
      <c r="E148" s="19" t="n"/>
      <c r="F148" s="19" t="n"/>
      <c r="G148" s="20" t="n"/>
      <c r="H148" s="21" t="n"/>
      <c r="I148" s="21" t="n"/>
      <c r="J148" s="17" t="n"/>
      <c r="K148" s="19" t="n"/>
      <c r="L148" s="20" t="n"/>
      <c r="M148" s="19" t="n"/>
      <c r="N148" s="22">
        <f>IF(C148="","",IF(ISNUMBER(I148),I148,IF(ISNUMBER(H148),H148,"")))</f>
        <v/>
      </c>
      <c r="O148" s="23">
        <f>IF(OR(C148="",NOT(ISNUMBER(G148))),"",(TODAY()-INT(G148))/365.25)</f>
        <v/>
      </c>
      <c r="P148" s="13">
        <f>IF(OR(C148="",NOT(ISNUMBER(L148))),"",IF(L148&lt;TODAY(),"Ended",IF(L148-TODAY()&lt;=N(Settings!$C$10),"Ends soon","Covered")))</f>
        <v/>
      </c>
      <c r="Q148" s="13">
        <f>IF(C148="","",MID(IF(N148="",", value","")&amp;IF(OR(J148="",J148="No"),", receipt","")&amp;IF(K148="",", photo",""),3,100))</f>
        <v/>
      </c>
      <c r="R148" s="13">
        <f>IF(AND(B148="",C148=""),"",IF(C148="","Needs the item",IF(B148="","Needs a room",IF(COUNTIF(Rooms!$B$6:$B$35,B148)=0,"Not on Rooms",IF(AND(H148&lt;&gt;"",NOT(ISNUMBER(H148))),"Paid not a number",IF(AND(I148&lt;&gt;"",NOT(ISNUMBER(I148))),"Worth not a number",IF(AND(G148&lt;&gt;"",NOT(ISNUMBER(G148))),"Bought is not a date",IF(AND(L148&lt;&gt;"",NOT(ISNUMBER(L148))),"Warranty is not a date",""))))))))</f>
        <v/>
      </c>
      <c r="S148" s="1">
        <f>IF(AND(C148&lt;&gt;"",R148=""),1,0)</f>
        <v/>
      </c>
      <c r="T148">
        <f>IF(S148=1,N(N148),0)</f>
        <v/>
      </c>
      <c r="U148">
        <f>IF(AND(S148=1,T148&gt;0),ROUND(T148*100,0)*10000+10000-ROW(),"")</f>
        <v/>
      </c>
      <c r="V148">
        <f>IF(AND(S148=1,OR(Report!$C$5="",B148=Report!$C$5)),MATCH(B148,Rooms!$B$6:$B$35,0)*10000+ROW(),"")</f>
        <v/>
      </c>
      <c r="W148">
        <f>IF(AND(S148=1,OR(J148="",J148="No")),1,0)</f>
        <v/>
      </c>
      <c r="X148">
        <f>IF(AND(S148=1,K148=""),1,0)</f>
        <v/>
      </c>
      <c r="Y148">
        <f>IF(AND(S148=1,Q148&lt;&gt;""),ROUND(T148*100,0)*10000+10000-ROW(),"")</f>
        <v/>
      </c>
    </row>
    <row r="149">
      <c r="A149" s="1" t="n"/>
      <c r="B149" s="17" t="n"/>
      <c r="C149" s="18" t="n"/>
      <c r="D149" s="17" t="n"/>
      <c r="E149" s="19" t="n"/>
      <c r="F149" s="19" t="n"/>
      <c r="G149" s="20" t="n"/>
      <c r="H149" s="21" t="n"/>
      <c r="I149" s="21" t="n"/>
      <c r="J149" s="17" t="n"/>
      <c r="K149" s="19" t="n"/>
      <c r="L149" s="20" t="n"/>
      <c r="M149" s="19" t="n"/>
      <c r="N149" s="22">
        <f>IF(C149="","",IF(ISNUMBER(I149),I149,IF(ISNUMBER(H149),H149,"")))</f>
        <v/>
      </c>
      <c r="O149" s="23">
        <f>IF(OR(C149="",NOT(ISNUMBER(G149))),"",(TODAY()-INT(G149))/365.25)</f>
        <v/>
      </c>
      <c r="P149" s="13">
        <f>IF(OR(C149="",NOT(ISNUMBER(L149))),"",IF(L149&lt;TODAY(),"Ended",IF(L149-TODAY()&lt;=N(Settings!$C$10),"Ends soon","Covered")))</f>
        <v/>
      </c>
      <c r="Q149" s="13">
        <f>IF(C149="","",MID(IF(N149="",", value","")&amp;IF(OR(J149="",J149="No"),", receipt","")&amp;IF(K149="",", photo",""),3,100))</f>
        <v/>
      </c>
      <c r="R149" s="13">
        <f>IF(AND(B149="",C149=""),"",IF(C149="","Needs the item",IF(B149="","Needs a room",IF(COUNTIF(Rooms!$B$6:$B$35,B149)=0,"Not on Rooms",IF(AND(H149&lt;&gt;"",NOT(ISNUMBER(H149))),"Paid not a number",IF(AND(I149&lt;&gt;"",NOT(ISNUMBER(I149))),"Worth not a number",IF(AND(G149&lt;&gt;"",NOT(ISNUMBER(G149))),"Bought is not a date",IF(AND(L149&lt;&gt;"",NOT(ISNUMBER(L149))),"Warranty is not a date",""))))))))</f>
        <v/>
      </c>
      <c r="S149" s="1">
        <f>IF(AND(C149&lt;&gt;"",R149=""),1,0)</f>
        <v/>
      </c>
      <c r="T149">
        <f>IF(S149=1,N(N149),0)</f>
        <v/>
      </c>
      <c r="U149">
        <f>IF(AND(S149=1,T149&gt;0),ROUND(T149*100,0)*10000+10000-ROW(),"")</f>
        <v/>
      </c>
      <c r="V149">
        <f>IF(AND(S149=1,OR(Report!$C$5="",B149=Report!$C$5)),MATCH(B149,Rooms!$B$6:$B$35,0)*10000+ROW(),"")</f>
        <v/>
      </c>
      <c r="W149">
        <f>IF(AND(S149=1,OR(J149="",J149="No")),1,0)</f>
        <v/>
      </c>
      <c r="X149">
        <f>IF(AND(S149=1,K149=""),1,0)</f>
        <v/>
      </c>
      <c r="Y149">
        <f>IF(AND(S149=1,Q149&lt;&gt;""),ROUND(T149*100,0)*10000+10000-ROW(),"")</f>
        <v/>
      </c>
    </row>
    <row r="150">
      <c r="A150" s="1" t="n"/>
      <c r="B150" s="17" t="n"/>
      <c r="C150" s="18" t="n"/>
      <c r="D150" s="17" t="n"/>
      <c r="E150" s="19" t="n"/>
      <c r="F150" s="19" t="n"/>
      <c r="G150" s="20" t="n"/>
      <c r="H150" s="21" t="n"/>
      <c r="I150" s="21" t="n"/>
      <c r="J150" s="17" t="n"/>
      <c r="K150" s="19" t="n"/>
      <c r="L150" s="20" t="n"/>
      <c r="M150" s="19" t="n"/>
      <c r="N150" s="22">
        <f>IF(C150="","",IF(ISNUMBER(I150),I150,IF(ISNUMBER(H150),H150,"")))</f>
        <v/>
      </c>
      <c r="O150" s="23">
        <f>IF(OR(C150="",NOT(ISNUMBER(G150))),"",(TODAY()-INT(G150))/365.25)</f>
        <v/>
      </c>
      <c r="P150" s="13">
        <f>IF(OR(C150="",NOT(ISNUMBER(L150))),"",IF(L150&lt;TODAY(),"Ended",IF(L150-TODAY()&lt;=N(Settings!$C$10),"Ends soon","Covered")))</f>
        <v/>
      </c>
      <c r="Q150" s="13">
        <f>IF(C150="","",MID(IF(N150="",", value","")&amp;IF(OR(J150="",J150="No"),", receipt","")&amp;IF(K150="",", photo",""),3,100))</f>
        <v/>
      </c>
      <c r="R150" s="13">
        <f>IF(AND(B150="",C150=""),"",IF(C150="","Needs the item",IF(B150="","Needs a room",IF(COUNTIF(Rooms!$B$6:$B$35,B150)=0,"Not on Rooms",IF(AND(H150&lt;&gt;"",NOT(ISNUMBER(H150))),"Paid not a number",IF(AND(I150&lt;&gt;"",NOT(ISNUMBER(I150))),"Worth not a number",IF(AND(G150&lt;&gt;"",NOT(ISNUMBER(G150))),"Bought is not a date",IF(AND(L150&lt;&gt;"",NOT(ISNUMBER(L150))),"Warranty is not a date",""))))))))</f>
        <v/>
      </c>
      <c r="S150" s="1">
        <f>IF(AND(C150&lt;&gt;"",R150=""),1,0)</f>
        <v/>
      </c>
      <c r="T150">
        <f>IF(S150=1,N(N150),0)</f>
        <v/>
      </c>
      <c r="U150">
        <f>IF(AND(S150=1,T150&gt;0),ROUND(T150*100,0)*10000+10000-ROW(),"")</f>
        <v/>
      </c>
      <c r="V150">
        <f>IF(AND(S150=1,OR(Report!$C$5="",B150=Report!$C$5)),MATCH(B150,Rooms!$B$6:$B$35,0)*10000+ROW(),"")</f>
        <v/>
      </c>
      <c r="W150">
        <f>IF(AND(S150=1,OR(J150="",J150="No")),1,0)</f>
        <v/>
      </c>
      <c r="X150">
        <f>IF(AND(S150=1,K150=""),1,0)</f>
        <v/>
      </c>
      <c r="Y150">
        <f>IF(AND(S150=1,Q150&lt;&gt;""),ROUND(T150*100,0)*10000+10000-ROW(),"")</f>
        <v/>
      </c>
    </row>
    <row r="151">
      <c r="A151" s="1" t="n"/>
      <c r="B151" s="17" t="n"/>
      <c r="C151" s="18" t="n"/>
      <c r="D151" s="17" t="n"/>
      <c r="E151" s="19" t="n"/>
      <c r="F151" s="19" t="n"/>
      <c r="G151" s="20" t="n"/>
      <c r="H151" s="21" t="n"/>
      <c r="I151" s="21" t="n"/>
      <c r="J151" s="17" t="n"/>
      <c r="K151" s="19" t="n"/>
      <c r="L151" s="20" t="n"/>
      <c r="M151" s="19" t="n"/>
      <c r="N151" s="22">
        <f>IF(C151="","",IF(ISNUMBER(I151),I151,IF(ISNUMBER(H151),H151,"")))</f>
        <v/>
      </c>
      <c r="O151" s="23">
        <f>IF(OR(C151="",NOT(ISNUMBER(G151))),"",(TODAY()-INT(G151))/365.25)</f>
        <v/>
      </c>
      <c r="P151" s="13">
        <f>IF(OR(C151="",NOT(ISNUMBER(L151))),"",IF(L151&lt;TODAY(),"Ended",IF(L151-TODAY()&lt;=N(Settings!$C$10),"Ends soon","Covered")))</f>
        <v/>
      </c>
      <c r="Q151" s="13">
        <f>IF(C151="","",MID(IF(N151="",", value","")&amp;IF(OR(J151="",J151="No"),", receipt","")&amp;IF(K151="",", photo",""),3,100))</f>
        <v/>
      </c>
      <c r="R151" s="13">
        <f>IF(AND(B151="",C151=""),"",IF(C151="","Needs the item",IF(B151="","Needs a room",IF(COUNTIF(Rooms!$B$6:$B$35,B151)=0,"Not on Rooms",IF(AND(H151&lt;&gt;"",NOT(ISNUMBER(H151))),"Paid not a number",IF(AND(I151&lt;&gt;"",NOT(ISNUMBER(I151))),"Worth not a number",IF(AND(G151&lt;&gt;"",NOT(ISNUMBER(G151))),"Bought is not a date",IF(AND(L151&lt;&gt;"",NOT(ISNUMBER(L151))),"Warranty is not a date",""))))))))</f>
        <v/>
      </c>
      <c r="S151" s="1">
        <f>IF(AND(C151&lt;&gt;"",R151=""),1,0)</f>
        <v/>
      </c>
      <c r="T151">
        <f>IF(S151=1,N(N151),0)</f>
        <v/>
      </c>
      <c r="U151">
        <f>IF(AND(S151=1,T151&gt;0),ROUND(T151*100,0)*10000+10000-ROW(),"")</f>
        <v/>
      </c>
      <c r="V151">
        <f>IF(AND(S151=1,OR(Report!$C$5="",B151=Report!$C$5)),MATCH(B151,Rooms!$B$6:$B$35,0)*10000+ROW(),"")</f>
        <v/>
      </c>
      <c r="W151">
        <f>IF(AND(S151=1,OR(J151="",J151="No")),1,0)</f>
        <v/>
      </c>
      <c r="X151">
        <f>IF(AND(S151=1,K151=""),1,0)</f>
        <v/>
      </c>
      <c r="Y151">
        <f>IF(AND(S151=1,Q151&lt;&gt;""),ROUND(T151*100,0)*10000+10000-ROW(),"")</f>
        <v/>
      </c>
    </row>
    <row r="152">
      <c r="A152" s="1" t="n"/>
      <c r="B152" s="17" t="n"/>
      <c r="C152" s="18" t="n"/>
      <c r="D152" s="17" t="n"/>
      <c r="E152" s="19" t="n"/>
      <c r="F152" s="19" t="n"/>
      <c r="G152" s="20" t="n"/>
      <c r="H152" s="21" t="n"/>
      <c r="I152" s="21" t="n"/>
      <c r="J152" s="17" t="n"/>
      <c r="K152" s="19" t="n"/>
      <c r="L152" s="20" t="n"/>
      <c r="M152" s="19" t="n"/>
      <c r="N152" s="22">
        <f>IF(C152="","",IF(ISNUMBER(I152),I152,IF(ISNUMBER(H152),H152,"")))</f>
        <v/>
      </c>
      <c r="O152" s="23">
        <f>IF(OR(C152="",NOT(ISNUMBER(G152))),"",(TODAY()-INT(G152))/365.25)</f>
        <v/>
      </c>
      <c r="P152" s="13">
        <f>IF(OR(C152="",NOT(ISNUMBER(L152))),"",IF(L152&lt;TODAY(),"Ended",IF(L152-TODAY()&lt;=N(Settings!$C$10),"Ends soon","Covered")))</f>
        <v/>
      </c>
      <c r="Q152" s="13">
        <f>IF(C152="","",MID(IF(N152="",", value","")&amp;IF(OR(J152="",J152="No"),", receipt","")&amp;IF(K152="",", photo",""),3,100))</f>
        <v/>
      </c>
      <c r="R152" s="13">
        <f>IF(AND(B152="",C152=""),"",IF(C152="","Needs the item",IF(B152="","Needs a room",IF(COUNTIF(Rooms!$B$6:$B$35,B152)=0,"Not on Rooms",IF(AND(H152&lt;&gt;"",NOT(ISNUMBER(H152))),"Paid not a number",IF(AND(I152&lt;&gt;"",NOT(ISNUMBER(I152))),"Worth not a number",IF(AND(G152&lt;&gt;"",NOT(ISNUMBER(G152))),"Bought is not a date",IF(AND(L152&lt;&gt;"",NOT(ISNUMBER(L152))),"Warranty is not a date",""))))))))</f>
        <v/>
      </c>
      <c r="S152" s="1">
        <f>IF(AND(C152&lt;&gt;"",R152=""),1,0)</f>
        <v/>
      </c>
      <c r="T152">
        <f>IF(S152=1,N(N152),0)</f>
        <v/>
      </c>
      <c r="U152">
        <f>IF(AND(S152=1,T152&gt;0),ROUND(T152*100,0)*10000+10000-ROW(),"")</f>
        <v/>
      </c>
      <c r="V152">
        <f>IF(AND(S152=1,OR(Report!$C$5="",B152=Report!$C$5)),MATCH(B152,Rooms!$B$6:$B$35,0)*10000+ROW(),"")</f>
        <v/>
      </c>
      <c r="W152">
        <f>IF(AND(S152=1,OR(J152="",J152="No")),1,0)</f>
        <v/>
      </c>
      <c r="X152">
        <f>IF(AND(S152=1,K152=""),1,0)</f>
        <v/>
      </c>
      <c r="Y152">
        <f>IF(AND(S152=1,Q152&lt;&gt;""),ROUND(T152*100,0)*10000+10000-ROW(),"")</f>
        <v/>
      </c>
    </row>
    <row r="153">
      <c r="A153" s="1" t="n"/>
      <c r="B153" s="17" t="n"/>
      <c r="C153" s="18" t="n"/>
      <c r="D153" s="17" t="n"/>
      <c r="E153" s="19" t="n"/>
      <c r="F153" s="19" t="n"/>
      <c r="G153" s="20" t="n"/>
      <c r="H153" s="21" t="n"/>
      <c r="I153" s="21" t="n"/>
      <c r="J153" s="17" t="n"/>
      <c r="K153" s="19" t="n"/>
      <c r="L153" s="20" t="n"/>
      <c r="M153" s="19" t="n"/>
      <c r="N153" s="22">
        <f>IF(C153="","",IF(ISNUMBER(I153),I153,IF(ISNUMBER(H153),H153,"")))</f>
        <v/>
      </c>
      <c r="O153" s="23">
        <f>IF(OR(C153="",NOT(ISNUMBER(G153))),"",(TODAY()-INT(G153))/365.25)</f>
        <v/>
      </c>
      <c r="P153" s="13">
        <f>IF(OR(C153="",NOT(ISNUMBER(L153))),"",IF(L153&lt;TODAY(),"Ended",IF(L153-TODAY()&lt;=N(Settings!$C$10),"Ends soon","Covered")))</f>
        <v/>
      </c>
      <c r="Q153" s="13">
        <f>IF(C153="","",MID(IF(N153="",", value","")&amp;IF(OR(J153="",J153="No"),", receipt","")&amp;IF(K153="",", photo",""),3,100))</f>
        <v/>
      </c>
      <c r="R153" s="13">
        <f>IF(AND(B153="",C153=""),"",IF(C153="","Needs the item",IF(B153="","Needs a room",IF(COUNTIF(Rooms!$B$6:$B$35,B153)=0,"Not on Rooms",IF(AND(H153&lt;&gt;"",NOT(ISNUMBER(H153))),"Paid not a number",IF(AND(I153&lt;&gt;"",NOT(ISNUMBER(I153))),"Worth not a number",IF(AND(G153&lt;&gt;"",NOT(ISNUMBER(G153))),"Bought is not a date",IF(AND(L153&lt;&gt;"",NOT(ISNUMBER(L153))),"Warranty is not a date",""))))))))</f>
        <v/>
      </c>
      <c r="S153" s="1">
        <f>IF(AND(C153&lt;&gt;"",R153=""),1,0)</f>
        <v/>
      </c>
      <c r="T153">
        <f>IF(S153=1,N(N153),0)</f>
        <v/>
      </c>
      <c r="U153">
        <f>IF(AND(S153=1,T153&gt;0),ROUND(T153*100,0)*10000+10000-ROW(),"")</f>
        <v/>
      </c>
      <c r="V153">
        <f>IF(AND(S153=1,OR(Report!$C$5="",B153=Report!$C$5)),MATCH(B153,Rooms!$B$6:$B$35,0)*10000+ROW(),"")</f>
        <v/>
      </c>
      <c r="W153">
        <f>IF(AND(S153=1,OR(J153="",J153="No")),1,0)</f>
        <v/>
      </c>
      <c r="X153">
        <f>IF(AND(S153=1,K153=""),1,0)</f>
        <v/>
      </c>
      <c r="Y153">
        <f>IF(AND(S153=1,Q153&lt;&gt;""),ROUND(T153*100,0)*10000+10000-ROW(),"")</f>
        <v/>
      </c>
    </row>
    <row r="154">
      <c r="A154" s="1" t="n"/>
      <c r="B154" s="17" t="n"/>
      <c r="C154" s="18" t="n"/>
      <c r="D154" s="17" t="n"/>
      <c r="E154" s="19" t="n"/>
      <c r="F154" s="19" t="n"/>
      <c r="G154" s="20" t="n"/>
      <c r="H154" s="21" t="n"/>
      <c r="I154" s="21" t="n"/>
      <c r="J154" s="17" t="n"/>
      <c r="K154" s="19" t="n"/>
      <c r="L154" s="20" t="n"/>
      <c r="M154" s="19" t="n"/>
      <c r="N154" s="22">
        <f>IF(C154="","",IF(ISNUMBER(I154),I154,IF(ISNUMBER(H154),H154,"")))</f>
        <v/>
      </c>
      <c r="O154" s="23">
        <f>IF(OR(C154="",NOT(ISNUMBER(G154))),"",(TODAY()-INT(G154))/365.25)</f>
        <v/>
      </c>
      <c r="P154" s="13">
        <f>IF(OR(C154="",NOT(ISNUMBER(L154))),"",IF(L154&lt;TODAY(),"Ended",IF(L154-TODAY()&lt;=N(Settings!$C$10),"Ends soon","Covered")))</f>
        <v/>
      </c>
      <c r="Q154" s="13">
        <f>IF(C154="","",MID(IF(N154="",", value","")&amp;IF(OR(J154="",J154="No"),", receipt","")&amp;IF(K154="",", photo",""),3,100))</f>
        <v/>
      </c>
      <c r="R154" s="13">
        <f>IF(AND(B154="",C154=""),"",IF(C154="","Needs the item",IF(B154="","Needs a room",IF(COUNTIF(Rooms!$B$6:$B$35,B154)=0,"Not on Rooms",IF(AND(H154&lt;&gt;"",NOT(ISNUMBER(H154))),"Paid not a number",IF(AND(I154&lt;&gt;"",NOT(ISNUMBER(I154))),"Worth not a number",IF(AND(G154&lt;&gt;"",NOT(ISNUMBER(G154))),"Bought is not a date",IF(AND(L154&lt;&gt;"",NOT(ISNUMBER(L154))),"Warranty is not a date",""))))))))</f>
        <v/>
      </c>
      <c r="S154" s="1">
        <f>IF(AND(C154&lt;&gt;"",R154=""),1,0)</f>
        <v/>
      </c>
      <c r="T154">
        <f>IF(S154=1,N(N154),0)</f>
        <v/>
      </c>
      <c r="U154">
        <f>IF(AND(S154=1,T154&gt;0),ROUND(T154*100,0)*10000+10000-ROW(),"")</f>
        <v/>
      </c>
      <c r="V154">
        <f>IF(AND(S154=1,OR(Report!$C$5="",B154=Report!$C$5)),MATCH(B154,Rooms!$B$6:$B$35,0)*10000+ROW(),"")</f>
        <v/>
      </c>
      <c r="W154">
        <f>IF(AND(S154=1,OR(J154="",J154="No")),1,0)</f>
        <v/>
      </c>
      <c r="X154">
        <f>IF(AND(S154=1,K154=""),1,0)</f>
        <v/>
      </c>
      <c r="Y154">
        <f>IF(AND(S154=1,Q154&lt;&gt;""),ROUND(T154*100,0)*10000+10000-ROW(),"")</f>
        <v/>
      </c>
    </row>
    <row r="155">
      <c r="A155" s="1" t="n"/>
      <c r="B155" s="17" t="n"/>
      <c r="C155" s="18" t="n"/>
      <c r="D155" s="17" t="n"/>
      <c r="E155" s="19" t="n"/>
      <c r="F155" s="19" t="n"/>
      <c r="G155" s="20" t="n"/>
      <c r="H155" s="21" t="n"/>
      <c r="I155" s="21" t="n"/>
      <c r="J155" s="17" t="n"/>
      <c r="K155" s="19" t="n"/>
      <c r="L155" s="20" t="n"/>
      <c r="M155" s="19" t="n"/>
      <c r="N155" s="22">
        <f>IF(C155="","",IF(ISNUMBER(I155),I155,IF(ISNUMBER(H155),H155,"")))</f>
        <v/>
      </c>
      <c r="O155" s="23">
        <f>IF(OR(C155="",NOT(ISNUMBER(G155))),"",(TODAY()-INT(G155))/365.25)</f>
        <v/>
      </c>
      <c r="P155" s="13">
        <f>IF(OR(C155="",NOT(ISNUMBER(L155))),"",IF(L155&lt;TODAY(),"Ended",IF(L155-TODAY()&lt;=N(Settings!$C$10),"Ends soon","Covered")))</f>
        <v/>
      </c>
      <c r="Q155" s="13">
        <f>IF(C155="","",MID(IF(N155="",", value","")&amp;IF(OR(J155="",J155="No"),", receipt","")&amp;IF(K155="",", photo",""),3,100))</f>
        <v/>
      </c>
      <c r="R155" s="13">
        <f>IF(AND(B155="",C155=""),"",IF(C155="","Needs the item",IF(B155="","Needs a room",IF(COUNTIF(Rooms!$B$6:$B$35,B155)=0,"Not on Rooms",IF(AND(H155&lt;&gt;"",NOT(ISNUMBER(H155))),"Paid not a number",IF(AND(I155&lt;&gt;"",NOT(ISNUMBER(I155))),"Worth not a number",IF(AND(G155&lt;&gt;"",NOT(ISNUMBER(G155))),"Bought is not a date",IF(AND(L155&lt;&gt;"",NOT(ISNUMBER(L155))),"Warranty is not a date",""))))))))</f>
        <v/>
      </c>
      <c r="S155" s="1">
        <f>IF(AND(C155&lt;&gt;"",R155=""),1,0)</f>
        <v/>
      </c>
      <c r="T155">
        <f>IF(S155=1,N(N155),0)</f>
        <v/>
      </c>
      <c r="U155">
        <f>IF(AND(S155=1,T155&gt;0),ROUND(T155*100,0)*10000+10000-ROW(),"")</f>
        <v/>
      </c>
      <c r="V155">
        <f>IF(AND(S155=1,OR(Report!$C$5="",B155=Report!$C$5)),MATCH(B155,Rooms!$B$6:$B$35,0)*10000+ROW(),"")</f>
        <v/>
      </c>
      <c r="W155">
        <f>IF(AND(S155=1,OR(J155="",J155="No")),1,0)</f>
        <v/>
      </c>
      <c r="X155">
        <f>IF(AND(S155=1,K155=""),1,0)</f>
        <v/>
      </c>
      <c r="Y155">
        <f>IF(AND(S155=1,Q155&lt;&gt;""),ROUND(T155*100,0)*10000+10000-ROW(),"")</f>
        <v/>
      </c>
    </row>
    <row r="156">
      <c r="A156" s="1" t="n"/>
      <c r="B156" s="17" t="n"/>
      <c r="C156" s="18" t="n"/>
      <c r="D156" s="17" t="n"/>
      <c r="E156" s="19" t="n"/>
      <c r="F156" s="19" t="n"/>
      <c r="G156" s="20" t="n"/>
      <c r="H156" s="21" t="n"/>
      <c r="I156" s="21" t="n"/>
      <c r="J156" s="17" t="n"/>
      <c r="K156" s="19" t="n"/>
      <c r="L156" s="20" t="n"/>
      <c r="M156" s="19" t="n"/>
      <c r="N156" s="22">
        <f>IF(C156="","",IF(ISNUMBER(I156),I156,IF(ISNUMBER(H156),H156,"")))</f>
        <v/>
      </c>
      <c r="O156" s="23">
        <f>IF(OR(C156="",NOT(ISNUMBER(G156))),"",(TODAY()-INT(G156))/365.25)</f>
        <v/>
      </c>
      <c r="P156" s="13">
        <f>IF(OR(C156="",NOT(ISNUMBER(L156))),"",IF(L156&lt;TODAY(),"Ended",IF(L156-TODAY()&lt;=N(Settings!$C$10),"Ends soon","Covered")))</f>
        <v/>
      </c>
      <c r="Q156" s="13">
        <f>IF(C156="","",MID(IF(N156="",", value","")&amp;IF(OR(J156="",J156="No"),", receipt","")&amp;IF(K156="",", photo",""),3,100))</f>
        <v/>
      </c>
      <c r="R156" s="13">
        <f>IF(AND(B156="",C156=""),"",IF(C156="","Needs the item",IF(B156="","Needs a room",IF(COUNTIF(Rooms!$B$6:$B$35,B156)=0,"Not on Rooms",IF(AND(H156&lt;&gt;"",NOT(ISNUMBER(H156))),"Paid not a number",IF(AND(I156&lt;&gt;"",NOT(ISNUMBER(I156))),"Worth not a number",IF(AND(G156&lt;&gt;"",NOT(ISNUMBER(G156))),"Bought is not a date",IF(AND(L156&lt;&gt;"",NOT(ISNUMBER(L156))),"Warranty is not a date",""))))))))</f>
        <v/>
      </c>
      <c r="S156" s="1">
        <f>IF(AND(C156&lt;&gt;"",R156=""),1,0)</f>
        <v/>
      </c>
      <c r="T156">
        <f>IF(S156=1,N(N156),0)</f>
        <v/>
      </c>
      <c r="U156">
        <f>IF(AND(S156=1,T156&gt;0),ROUND(T156*100,0)*10000+10000-ROW(),"")</f>
        <v/>
      </c>
      <c r="V156">
        <f>IF(AND(S156=1,OR(Report!$C$5="",B156=Report!$C$5)),MATCH(B156,Rooms!$B$6:$B$35,0)*10000+ROW(),"")</f>
        <v/>
      </c>
      <c r="W156">
        <f>IF(AND(S156=1,OR(J156="",J156="No")),1,0)</f>
        <v/>
      </c>
      <c r="X156">
        <f>IF(AND(S156=1,K156=""),1,0)</f>
        <v/>
      </c>
      <c r="Y156">
        <f>IF(AND(S156=1,Q156&lt;&gt;""),ROUND(T156*100,0)*10000+10000-ROW(),"")</f>
        <v/>
      </c>
    </row>
    <row r="157">
      <c r="A157" s="1" t="n"/>
      <c r="B157" s="17" t="n"/>
      <c r="C157" s="18" t="n"/>
      <c r="D157" s="17" t="n"/>
      <c r="E157" s="19" t="n"/>
      <c r="F157" s="19" t="n"/>
      <c r="G157" s="20" t="n"/>
      <c r="H157" s="21" t="n"/>
      <c r="I157" s="21" t="n"/>
      <c r="J157" s="17" t="n"/>
      <c r="K157" s="19" t="n"/>
      <c r="L157" s="20" t="n"/>
      <c r="M157" s="19" t="n"/>
      <c r="N157" s="22">
        <f>IF(C157="","",IF(ISNUMBER(I157),I157,IF(ISNUMBER(H157),H157,"")))</f>
        <v/>
      </c>
      <c r="O157" s="23">
        <f>IF(OR(C157="",NOT(ISNUMBER(G157))),"",(TODAY()-INT(G157))/365.25)</f>
        <v/>
      </c>
      <c r="P157" s="13">
        <f>IF(OR(C157="",NOT(ISNUMBER(L157))),"",IF(L157&lt;TODAY(),"Ended",IF(L157-TODAY()&lt;=N(Settings!$C$10),"Ends soon","Covered")))</f>
        <v/>
      </c>
      <c r="Q157" s="13">
        <f>IF(C157="","",MID(IF(N157="",", value","")&amp;IF(OR(J157="",J157="No"),", receipt","")&amp;IF(K157="",", photo",""),3,100))</f>
        <v/>
      </c>
      <c r="R157" s="13">
        <f>IF(AND(B157="",C157=""),"",IF(C157="","Needs the item",IF(B157="","Needs a room",IF(COUNTIF(Rooms!$B$6:$B$35,B157)=0,"Not on Rooms",IF(AND(H157&lt;&gt;"",NOT(ISNUMBER(H157))),"Paid not a number",IF(AND(I157&lt;&gt;"",NOT(ISNUMBER(I157))),"Worth not a number",IF(AND(G157&lt;&gt;"",NOT(ISNUMBER(G157))),"Bought is not a date",IF(AND(L157&lt;&gt;"",NOT(ISNUMBER(L157))),"Warranty is not a date",""))))))))</f>
        <v/>
      </c>
      <c r="S157" s="1">
        <f>IF(AND(C157&lt;&gt;"",R157=""),1,0)</f>
        <v/>
      </c>
      <c r="T157">
        <f>IF(S157=1,N(N157),0)</f>
        <v/>
      </c>
      <c r="U157">
        <f>IF(AND(S157=1,T157&gt;0),ROUND(T157*100,0)*10000+10000-ROW(),"")</f>
        <v/>
      </c>
      <c r="V157">
        <f>IF(AND(S157=1,OR(Report!$C$5="",B157=Report!$C$5)),MATCH(B157,Rooms!$B$6:$B$35,0)*10000+ROW(),"")</f>
        <v/>
      </c>
      <c r="W157">
        <f>IF(AND(S157=1,OR(J157="",J157="No")),1,0)</f>
        <v/>
      </c>
      <c r="X157">
        <f>IF(AND(S157=1,K157=""),1,0)</f>
        <v/>
      </c>
      <c r="Y157">
        <f>IF(AND(S157=1,Q157&lt;&gt;""),ROUND(T157*100,0)*10000+10000-ROW(),"")</f>
        <v/>
      </c>
    </row>
    <row r="158">
      <c r="A158" s="1" t="n"/>
      <c r="B158" s="17" t="n"/>
      <c r="C158" s="18" t="n"/>
      <c r="D158" s="17" t="n"/>
      <c r="E158" s="19" t="n"/>
      <c r="F158" s="19" t="n"/>
      <c r="G158" s="20" t="n"/>
      <c r="H158" s="21" t="n"/>
      <c r="I158" s="21" t="n"/>
      <c r="J158" s="17" t="n"/>
      <c r="K158" s="19" t="n"/>
      <c r="L158" s="20" t="n"/>
      <c r="M158" s="19" t="n"/>
      <c r="N158" s="22">
        <f>IF(C158="","",IF(ISNUMBER(I158),I158,IF(ISNUMBER(H158),H158,"")))</f>
        <v/>
      </c>
      <c r="O158" s="23">
        <f>IF(OR(C158="",NOT(ISNUMBER(G158))),"",(TODAY()-INT(G158))/365.25)</f>
        <v/>
      </c>
      <c r="P158" s="13">
        <f>IF(OR(C158="",NOT(ISNUMBER(L158))),"",IF(L158&lt;TODAY(),"Ended",IF(L158-TODAY()&lt;=N(Settings!$C$10),"Ends soon","Covered")))</f>
        <v/>
      </c>
      <c r="Q158" s="13">
        <f>IF(C158="","",MID(IF(N158="",", value","")&amp;IF(OR(J158="",J158="No"),", receipt","")&amp;IF(K158="",", photo",""),3,100))</f>
        <v/>
      </c>
      <c r="R158" s="13">
        <f>IF(AND(B158="",C158=""),"",IF(C158="","Needs the item",IF(B158="","Needs a room",IF(COUNTIF(Rooms!$B$6:$B$35,B158)=0,"Not on Rooms",IF(AND(H158&lt;&gt;"",NOT(ISNUMBER(H158))),"Paid not a number",IF(AND(I158&lt;&gt;"",NOT(ISNUMBER(I158))),"Worth not a number",IF(AND(G158&lt;&gt;"",NOT(ISNUMBER(G158))),"Bought is not a date",IF(AND(L158&lt;&gt;"",NOT(ISNUMBER(L158))),"Warranty is not a date",""))))))))</f>
        <v/>
      </c>
      <c r="S158" s="1">
        <f>IF(AND(C158&lt;&gt;"",R158=""),1,0)</f>
        <v/>
      </c>
      <c r="T158">
        <f>IF(S158=1,N(N158),0)</f>
        <v/>
      </c>
      <c r="U158">
        <f>IF(AND(S158=1,T158&gt;0),ROUND(T158*100,0)*10000+10000-ROW(),"")</f>
        <v/>
      </c>
      <c r="V158">
        <f>IF(AND(S158=1,OR(Report!$C$5="",B158=Report!$C$5)),MATCH(B158,Rooms!$B$6:$B$35,0)*10000+ROW(),"")</f>
        <v/>
      </c>
      <c r="W158">
        <f>IF(AND(S158=1,OR(J158="",J158="No")),1,0)</f>
        <v/>
      </c>
      <c r="X158">
        <f>IF(AND(S158=1,K158=""),1,0)</f>
        <v/>
      </c>
      <c r="Y158">
        <f>IF(AND(S158=1,Q158&lt;&gt;""),ROUND(T158*100,0)*10000+10000-ROW(),"")</f>
        <v/>
      </c>
    </row>
    <row r="159">
      <c r="A159" s="1" t="n"/>
      <c r="B159" s="17" t="n"/>
      <c r="C159" s="18" t="n"/>
      <c r="D159" s="17" t="n"/>
      <c r="E159" s="19" t="n"/>
      <c r="F159" s="19" t="n"/>
      <c r="G159" s="20" t="n"/>
      <c r="H159" s="21" t="n"/>
      <c r="I159" s="21" t="n"/>
      <c r="J159" s="17" t="n"/>
      <c r="K159" s="19" t="n"/>
      <c r="L159" s="20" t="n"/>
      <c r="M159" s="19" t="n"/>
      <c r="N159" s="22">
        <f>IF(C159="","",IF(ISNUMBER(I159),I159,IF(ISNUMBER(H159),H159,"")))</f>
        <v/>
      </c>
      <c r="O159" s="23">
        <f>IF(OR(C159="",NOT(ISNUMBER(G159))),"",(TODAY()-INT(G159))/365.25)</f>
        <v/>
      </c>
      <c r="P159" s="13">
        <f>IF(OR(C159="",NOT(ISNUMBER(L159))),"",IF(L159&lt;TODAY(),"Ended",IF(L159-TODAY()&lt;=N(Settings!$C$10),"Ends soon","Covered")))</f>
        <v/>
      </c>
      <c r="Q159" s="13">
        <f>IF(C159="","",MID(IF(N159="",", value","")&amp;IF(OR(J159="",J159="No"),", receipt","")&amp;IF(K159="",", photo",""),3,100))</f>
        <v/>
      </c>
      <c r="R159" s="13">
        <f>IF(AND(B159="",C159=""),"",IF(C159="","Needs the item",IF(B159="","Needs a room",IF(COUNTIF(Rooms!$B$6:$B$35,B159)=0,"Not on Rooms",IF(AND(H159&lt;&gt;"",NOT(ISNUMBER(H159))),"Paid not a number",IF(AND(I159&lt;&gt;"",NOT(ISNUMBER(I159))),"Worth not a number",IF(AND(G159&lt;&gt;"",NOT(ISNUMBER(G159))),"Bought is not a date",IF(AND(L159&lt;&gt;"",NOT(ISNUMBER(L159))),"Warranty is not a date",""))))))))</f>
        <v/>
      </c>
      <c r="S159" s="1">
        <f>IF(AND(C159&lt;&gt;"",R159=""),1,0)</f>
        <v/>
      </c>
      <c r="T159">
        <f>IF(S159=1,N(N159),0)</f>
        <v/>
      </c>
      <c r="U159">
        <f>IF(AND(S159=1,T159&gt;0),ROUND(T159*100,0)*10000+10000-ROW(),"")</f>
        <v/>
      </c>
      <c r="V159">
        <f>IF(AND(S159=1,OR(Report!$C$5="",B159=Report!$C$5)),MATCH(B159,Rooms!$B$6:$B$35,0)*10000+ROW(),"")</f>
        <v/>
      </c>
      <c r="W159">
        <f>IF(AND(S159=1,OR(J159="",J159="No")),1,0)</f>
        <v/>
      </c>
      <c r="X159">
        <f>IF(AND(S159=1,K159=""),1,0)</f>
        <v/>
      </c>
      <c r="Y159">
        <f>IF(AND(S159=1,Q159&lt;&gt;""),ROUND(T159*100,0)*10000+10000-ROW(),"")</f>
        <v/>
      </c>
    </row>
    <row r="160">
      <c r="A160" s="1" t="n"/>
      <c r="B160" s="17" t="n"/>
      <c r="C160" s="18" t="n"/>
      <c r="D160" s="17" t="n"/>
      <c r="E160" s="19" t="n"/>
      <c r="F160" s="19" t="n"/>
      <c r="G160" s="20" t="n"/>
      <c r="H160" s="21" t="n"/>
      <c r="I160" s="21" t="n"/>
      <c r="J160" s="17" t="n"/>
      <c r="K160" s="19" t="n"/>
      <c r="L160" s="20" t="n"/>
      <c r="M160" s="19" t="n"/>
      <c r="N160" s="22">
        <f>IF(C160="","",IF(ISNUMBER(I160),I160,IF(ISNUMBER(H160),H160,"")))</f>
        <v/>
      </c>
      <c r="O160" s="23">
        <f>IF(OR(C160="",NOT(ISNUMBER(G160))),"",(TODAY()-INT(G160))/365.25)</f>
        <v/>
      </c>
      <c r="P160" s="13">
        <f>IF(OR(C160="",NOT(ISNUMBER(L160))),"",IF(L160&lt;TODAY(),"Ended",IF(L160-TODAY()&lt;=N(Settings!$C$10),"Ends soon","Covered")))</f>
        <v/>
      </c>
      <c r="Q160" s="13">
        <f>IF(C160="","",MID(IF(N160="",", value","")&amp;IF(OR(J160="",J160="No"),", receipt","")&amp;IF(K160="",", photo",""),3,100))</f>
        <v/>
      </c>
      <c r="R160" s="13">
        <f>IF(AND(B160="",C160=""),"",IF(C160="","Needs the item",IF(B160="","Needs a room",IF(COUNTIF(Rooms!$B$6:$B$35,B160)=0,"Not on Rooms",IF(AND(H160&lt;&gt;"",NOT(ISNUMBER(H160))),"Paid not a number",IF(AND(I160&lt;&gt;"",NOT(ISNUMBER(I160))),"Worth not a number",IF(AND(G160&lt;&gt;"",NOT(ISNUMBER(G160))),"Bought is not a date",IF(AND(L160&lt;&gt;"",NOT(ISNUMBER(L160))),"Warranty is not a date",""))))))))</f>
        <v/>
      </c>
      <c r="S160" s="1">
        <f>IF(AND(C160&lt;&gt;"",R160=""),1,0)</f>
        <v/>
      </c>
      <c r="T160">
        <f>IF(S160=1,N(N160),0)</f>
        <v/>
      </c>
      <c r="U160">
        <f>IF(AND(S160=1,T160&gt;0),ROUND(T160*100,0)*10000+10000-ROW(),"")</f>
        <v/>
      </c>
      <c r="V160">
        <f>IF(AND(S160=1,OR(Report!$C$5="",B160=Report!$C$5)),MATCH(B160,Rooms!$B$6:$B$35,0)*10000+ROW(),"")</f>
        <v/>
      </c>
      <c r="W160">
        <f>IF(AND(S160=1,OR(J160="",J160="No")),1,0)</f>
        <v/>
      </c>
      <c r="X160">
        <f>IF(AND(S160=1,K160=""),1,0)</f>
        <v/>
      </c>
      <c r="Y160">
        <f>IF(AND(S160=1,Q160&lt;&gt;""),ROUND(T160*100,0)*10000+10000-ROW(),"")</f>
        <v/>
      </c>
    </row>
    <row r="161">
      <c r="A161" s="1" t="n"/>
      <c r="B161" s="17" t="n"/>
      <c r="C161" s="18" t="n"/>
      <c r="D161" s="17" t="n"/>
      <c r="E161" s="19" t="n"/>
      <c r="F161" s="19" t="n"/>
      <c r="G161" s="20" t="n"/>
      <c r="H161" s="21" t="n"/>
      <c r="I161" s="21" t="n"/>
      <c r="J161" s="17" t="n"/>
      <c r="K161" s="19" t="n"/>
      <c r="L161" s="20" t="n"/>
      <c r="M161" s="19" t="n"/>
      <c r="N161" s="22">
        <f>IF(C161="","",IF(ISNUMBER(I161),I161,IF(ISNUMBER(H161),H161,"")))</f>
        <v/>
      </c>
      <c r="O161" s="23">
        <f>IF(OR(C161="",NOT(ISNUMBER(G161))),"",(TODAY()-INT(G161))/365.25)</f>
        <v/>
      </c>
      <c r="P161" s="13">
        <f>IF(OR(C161="",NOT(ISNUMBER(L161))),"",IF(L161&lt;TODAY(),"Ended",IF(L161-TODAY()&lt;=N(Settings!$C$10),"Ends soon","Covered")))</f>
        <v/>
      </c>
      <c r="Q161" s="13">
        <f>IF(C161="","",MID(IF(N161="",", value","")&amp;IF(OR(J161="",J161="No"),", receipt","")&amp;IF(K161="",", photo",""),3,100))</f>
        <v/>
      </c>
      <c r="R161" s="13">
        <f>IF(AND(B161="",C161=""),"",IF(C161="","Needs the item",IF(B161="","Needs a room",IF(COUNTIF(Rooms!$B$6:$B$35,B161)=0,"Not on Rooms",IF(AND(H161&lt;&gt;"",NOT(ISNUMBER(H161))),"Paid not a number",IF(AND(I161&lt;&gt;"",NOT(ISNUMBER(I161))),"Worth not a number",IF(AND(G161&lt;&gt;"",NOT(ISNUMBER(G161))),"Bought is not a date",IF(AND(L161&lt;&gt;"",NOT(ISNUMBER(L161))),"Warranty is not a date",""))))))))</f>
        <v/>
      </c>
      <c r="S161" s="1">
        <f>IF(AND(C161&lt;&gt;"",R161=""),1,0)</f>
        <v/>
      </c>
      <c r="T161">
        <f>IF(S161=1,N(N161),0)</f>
        <v/>
      </c>
      <c r="U161">
        <f>IF(AND(S161=1,T161&gt;0),ROUND(T161*100,0)*10000+10000-ROW(),"")</f>
        <v/>
      </c>
      <c r="V161">
        <f>IF(AND(S161=1,OR(Report!$C$5="",B161=Report!$C$5)),MATCH(B161,Rooms!$B$6:$B$35,0)*10000+ROW(),"")</f>
        <v/>
      </c>
      <c r="W161">
        <f>IF(AND(S161=1,OR(J161="",J161="No")),1,0)</f>
        <v/>
      </c>
      <c r="X161">
        <f>IF(AND(S161=1,K161=""),1,0)</f>
        <v/>
      </c>
      <c r="Y161">
        <f>IF(AND(S161=1,Q161&lt;&gt;""),ROUND(T161*100,0)*10000+10000-ROW(),"")</f>
        <v/>
      </c>
    </row>
    <row r="162">
      <c r="A162" s="1" t="n"/>
      <c r="B162" s="17" t="n"/>
      <c r="C162" s="18" t="n"/>
      <c r="D162" s="17" t="n"/>
      <c r="E162" s="19" t="n"/>
      <c r="F162" s="19" t="n"/>
      <c r="G162" s="20" t="n"/>
      <c r="H162" s="21" t="n"/>
      <c r="I162" s="21" t="n"/>
      <c r="J162" s="17" t="n"/>
      <c r="K162" s="19" t="n"/>
      <c r="L162" s="20" t="n"/>
      <c r="M162" s="19" t="n"/>
      <c r="N162" s="22">
        <f>IF(C162="","",IF(ISNUMBER(I162),I162,IF(ISNUMBER(H162),H162,"")))</f>
        <v/>
      </c>
      <c r="O162" s="23">
        <f>IF(OR(C162="",NOT(ISNUMBER(G162))),"",(TODAY()-INT(G162))/365.25)</f>
        <v/>
      </c>
      <c r="P162" s="13">
        <f>IF(OR(C162="",NOT(ISNUMBER(L162))),"",IF(L162&lt;TODAY(),"Ended",IF(L162-TODAY()&lt;=N(Settings!$C$10),"Ends soon","Covered")))</f>
        <v/>
      </c>
      <c r="Q162" s="13">
        <f>IF(C162="","",MID(IF(N162="",", value","")&amp;IF(OR(J162="",J162="No"),", receipt","")&amp;IF(K162="",", photo",""),3,100))</f>
        <v/>
      </c>
      <c r="R162" s="13">
        <f>IF(AND(B162="",C162=""),"",IF(C162="","Needs the item",IF(B162="","Needs a room",IF(COUNTIF(Rooms!$B$6:$B$35,B162)=0,"Not on Rooms",IF(AND(H162&lt;&gt;"",NOT(ISNUMBER(H162))),"Paid not a number",IF(AND(I162&lt;&gt;"",NOT(ISNUMBER(I162))),"Worth not a number",IF(AND(G162&lt;&gt;"",NOT(ISNUMBER(G162))),"Bought is not a date",IF(AND(L162&lt;&gt;"",NOT(ISNUMBER(L162))),"Warranty is not a date",""))))))))</f>
        <v/>
      </c>
      <c r="S162" s="1">
        <f>IF(AND(C162&lt;&gt;"",R162=""),1,0)</f>
        <v/>
      </c>
      <c r="T162">
        <f>IF(S162=1,N(N162),0)</f>
        <v/>
      </c>
      <c r="U162">
        <f>IF(AND(S162=1,T162&gt;0),ROUND(T162*100,0)*10000+10000-ROW(),"")</f>
        <v/>
      </c>
      <c r="V162">
        <f>IF(AND(S162=1,OR(Report!$C$5="",B162=Report!$C$5)),MATCH(B162,Rooms!$B$6:$B$35,0)*10000+ROW(),"")</f>
        <v/>
      </c>
      <c r="W162">
        <f>IF(AND(S162=1,OR(J162="",J162="No")),1,0)</f>
        <v/>
      </c>
      <c r="X162">
        <f>IF(AND(S162=1,K162=""),1,0)</f>
        <v/>
      </c>
      <c r="Y162">
        <f>IF(AND(S162=1,Q162&lt;&gt;""),ROUND(T162*100,0)*10000+10000-ROW(),"")</f>
        <v/>
      </c>
    </row>
    <row r="163">
      <c r="A163" s="1" t="n"/>
      <c r="B163" s="17" t="n"/>
      <c r="C163" s="18" t="n"/>
      <c r="D163" s="17" t="n"/>
      <c r="E163" s="19" t="n"/>
      <c r="F163" s="19" t="n"/>
      <c r="G163" s="20" t="n"/>
      <c r="H163" s="21" t="n"/>
      <c r="I163" s="21" t="n"/>
      <c r="J163" s="17" t="n"/>
      <c r="K163" s="19" t="n"/>
      <c r="L163" s="20" t="n"/>
      <c r="M163" s="19" t="n"/>
      <c r="N163" s="22">
        <f>IF(C163="","",IF(ISNUMBER(I163),I163,IF(ISNUMBER(H163),H163,"")))</f>
        <v/>
      </c>
      <c r="O163" s="23">
        <f>IF(OR(C163="",NOT(ISNUMBER(G163))),"",(TODAY()-INT(G163))/365.25)</f>
        <v/>
      </c>
      <c r="P163" s="13">
        <f>IF(OR(C163="",NOT(ISNUMBER(L163))),"",IF(L163&lt;TODAY(),"Ended",IF(L163-TODAY()&lt;=N(Settings!$C$10),"Ends soon","Covered")))</f>
        <v/>
      </c>
      <c r="Q163" s="13">
        <f>IF(C163="","",MID(IF(N163="",", value","")&amp;IF(OR(J163="",J163="No"),", receipt","")&amp;IF(K163="",", photo",""),3,100))</f>
        <v/>
      </c>
      <c r="R163" s="13">
        <f>IF(AND(B163="",C163=""),"",IF(C163="","Needs the item",IF(B163="","Needs a room",IF(COUNTIF(Rooms!$B$6:$B$35,B163)=0,"Not on Rooms",IF(AND(H163&lt;&gt;"",NOT(ISNUMBER(H163))),"Paid not a number",IF(AND(I163&lt;&gt;"",NOT(ISNUMBER(I163))),"Worth not a number",IF(AND(G163&lt;&gt;"",NOT(ISNUMBER(G163))),"Bought is not a date",IF(AND(L163&lt;&gt;"",NOT(ISNUMBER(L163))),"Warranty is not a date",""))))))))</f>
        <v/>
      </c>
      <c r="S163" s="1">
        <f>IF(AND(C163&lt;&gt;"",R163=""),1,0)</f>
        <v/>
      </c>
      <c r="T163">
        <f>IF(S163=1,N(N163),0)</f>
        <v/>
      </c>
      <c r="U163">
        <f>IF(AND(S163=1,T163&gt;0),ROUND(T163*100,0)*10000+10000-ROW(),"")</f>
        <v/>
      </c>
      <c r="V163">
        <f>IF(AND(S163=1,OR(Report!$C$5="",B163=Report!$C$5)),MATCH(B163,Rooms!$B$6:$B$35,0)*10000+ROW(),"")</f>
        <v/>
      </c>
      <c r="W163">
        <f>IF(AND(S163=1,OR(J163="",J163="No")),1,0)</f>
        <v/>
      </c>
      <c r="X163">
        <f>IF(AND(S163=1,K163=""),1,0)</f>
        <v/>
      </c>
      <c r="Y163">
        <f>IF(AND(S163=1,Q163&lt;&gt;""),ROUND(T163*100,0)*10000+10000-ROW(),"")</f>
        <v/>
      </c>
    </row>
    <row r="164">
      <c r="A164" s="1" t="n"/>
      <c r="B164" s="17" t="n"/>
      <c r="C164" s="18" t="n"/>
      <c r="D164" s="17" t="n"/>
      <c r="E164" s="19" t="n"/>
      <c r="F164" s="19" t="n"/>
      <c r="G164" s="20" t="n"/>
      <c r="H164" s="21" t="n"/>
      <c r="I164" s="21" t="n"/>
      <c r="J164" s="17" t="n"/>
      <c r="K164" s="19" t="n"/>
      <c r="L164" s="20" t="n"/>
      <c r="M164" s="19" t="n"/>
      <c r="N164" s="22">
        <f>IF(C164="","",IF(ISNUMBER(I164),I164,IF(ISNUMBER(H164),H164,"")))</f>
        <v/>
      </c>
      <c r="O164" s="23">
        <f>IF(OR(C164="",NOT(ISNUMBER(G164))),"",(TODAY()-INT(G164))/365.25)</f>
        <v/>
      </c>
      <c r="P164" s="13">
        <f>IF(OR(C164="",NOT(ISNUMBER(L164))),"",IF(L164&lt;TODAY(),"Ended",IF(L164-TODAY()&lt;=N(Settings!$C$10),"Ends soon","Covered")))</f>
        <v/>
      </c>
      <c r="Q164" s="13">
        <f>IF(C164="","",MID(IF(N164="",", value","")&amp;IF(OR(J164="",J164="No"),", receipt","")&amp;IF(K164="",", photo",""),3,100))</f>
        <v/>
      </c>
      <c r="R164" s="13">
        <f>IF(AND(B164="",C164=""),"",IF(C164="","Needs the item",IF(B164="","Needs a room",IF(COUNTIF(Rooms!$B$6:$B$35,B164)=0,"Not on Rooms",IF(AND(H164&lt;&gt;"",NOT(ISNUMBER(H164))),"Paid not a number",IF(AND(I164&lt;&gt;"",NOT(ISNUMBER(I164))),"Worth not a number",IF(AND(G164&lt;&gt;"",NOT(ISNUMBER(G164))),"Bought is not a date",IF(AND(L164&lt;&gt;"",NOT(ISNUMBER(L164))),"Warranty is not a date",""))))))))</f>
        <v/>
      </c>
      <c r="S164" s="1">
        <f>IF(AND(C164&lt;&gt;"",R164=""),1,0)</f>
        <v/>
      </c>
      <c r="T164">
        <f>IF(S164=1,N(N164),0)</f>
        <v/>
      </c>
      <c r="U164">
        <f>IF(AND(S164=1,T164&gt;0),ROUND(T164*100,0)*10000+10000-ROW(),"")</f>
        <v/>
      </c>
      <c r="V164">
        <f>IF(AND(S164=1,OR(Report!$C$5="",B164=Report!$C$5)),MATCH(B164,Rooms!$B$6:$B$35,0)*10000+ROW(),"")</f>
        <v/>
      </c>
      <c r="W164">
        <f>IF(AND(S164=1,OR(J164="",J164="No")),1,0)</f>
        <v/>
      </c>
      <c r="X164">
        <f>IF(AND(S164=1,K164=""),1,0)</f>
        <v/>
      </c>
      <c r="Y164">
        <f>IF(AND(S164=1,Q164&lt;&gt;""),ROUND(T164*100,0)*10000+10000-ROW(),"")</f>
        <v/>
      </c>
    </row>
    <row r="165">
      <c r="A165" s="1" t="n"/>
      <c r="B165" s="17" t="n"/>
      <c r="C165" s="18" t="n"/>
      <c r="D165" s="17" t="n"/>
      <c r="E165" s="19" t="n"/>
      <c r="F165" s="19" t="n"/>
      <c r="G165" s="20" t="n"/>
      <c r="H165" s="21" t="n"/>
      <c r="I165" s="21" t="n"/>
      <c r="J165" s="17" t="n"/>
      <c r="K165" s="19" t="n"/>
      <c r="L165" s="20" t="n"/>
      <c r="M165" s="19" t="n"/>
      <c r="N165" s="22">
        <f>IF(C165="","",IF(ISNUMBER(I165),I165,IF(ISNUMBER(H165),H165,"")))</f>
        <v/>
      </c>
      <c r="O165" s="23">
        <f>IF(OR(C165="",NOT(ISNUMBER(G165))),"",(TODAY()-INT(G165))/365.25)</f>
        <v/>
      </c>
      <c r="P165" s="13">
        <f>IF(OR(C165="",NOT(ISNUMBER(L165))),"",IF(L165&lt;TODAY(),"Ended",IF(L165-TODAY()&lt;=N(Settings!$C$10),"Ends soon","Covered")))</f>
        <v/>
      </c>
      <c r="Q165" s="13">
        <f>IF(C165="","",MID(IF(N165="",", value","")&amp;IF(OR(J165="",J165="No"),", receipt","")&amp;IF(K165="",", photo",""),3,100))</f>
        <v/>
      </c>
      <c r="R165" s="13">
        <f>IF(AND(B165="",C165=""),"",IF(C165="","Needs the item",IF(B165="","Needs a room",IF(COUNTIF(Rooms!$B$6:$B$35,B165)=0,"Not on Rooms",IF(AND(H165&lt;&gt;"",NOT(ISNUMBER(H165))),"Paid not a number",IF(AND(I165&lt;&gt;"",NOT(ISNUMBER(I165))),"Worth not a number",IF(AND(G165&lt;&gt;"",NOT(ISNUMBER(G165))),"Bought is not a date",IF(AND(L165&lt;&gt;"",NOT(ISNUMBER(L165))),"Warranty is not a date",""))))))))</f>
        <v/>
      </c>
      <c r="S165" s="1">
        <f>IF(AND(C165&lt;&gt;"",R165=""),1,0)</f>
        <v/>
      </c>
      <c r="T165">
        <f>IF(S165=1,N(N165),0)</f>
        <v/>
      </c>
      <c r="U165">
        <f>IF(AND(S165=1,T165&gt;0),ROUND(T165*100,0)*10000+10000-ROW(),"")</f>
        <v/>
      </c>
      <c r="V165">
        <f>IF(AND(S165=1,OR(Report!$C$5="",B165=Report!$C$5)),MATCH(B165,Rooms!$B$6:$B$35,0)*10000+ROW(),"")</f>
        <v/>
      </c>
      <c r="W165">
        <f>IF(AND(S165=1,OR(J165="",J165="No")),1,0)</f>
        <v/>
      </c>
      <c r="X165">
        <f>IF(AND(S165=1,K165=""),1,0)</f>
        <v/>
      </c>
      <c r="Y165">
        <f>IF(AND(S165=1,Q165&lt;&gt;""),ROUND(T165*100,0)*10000+10000-ROW(),"")</f>
        <v/>
      </c>
    </row>
    <row r="166">
      <c r="A166" s="1" t="n"/>
      <c r="B166" s="17" t="n"/>
      <c r="C166" s="18" t="n"/>
      <c r="D166" s="17" t="n"/>
      <c r="E166" s="19" t="n"/>
      <c r="F166" s="19" t="n"/>
      <c r="G166" s="20" t="n"/>
      <c r="H166" s="21" t="n"/>
      <c r="I166" s="21" t="n"/>
      <c r="J166" s="17" t="n"/>
      <c r="K166" s="19" t="n"/>
      <c r="L166" s="20" t="n"/>
      <c r="M166" s="19" t="n"/>
      <c r="N166" s="22">
        <f>IF(C166="","",IF(ISNUMBER(I166),I166,IF(ISNUMBER(H166),H166,"")))</f>
        <v/>
      </c>
      <c r="O166" s="23">
        <f>IF(OR(C166="",NOT(ISNUMBER(G166))),"",(TODAY()-INT(G166))/365.25)</f>
        <v/>
      </c>
      <c r="P166" s="13">
        <f>IF(OR(C166="",NOT(ISNUMBER(L166))),"",IF(L166&lt;TODAY(),"Ended",IF(L166-TODAY()&lt;=N(Settings!$C$10),"Ends soon","Covered")))</f>
        <v/>
      </c>
      <c r="Q166" s="13">
        <f>IF(C166="","",MID(IF(N166="",", value","")&amp;IF(OR(J166="",J166="No"),", receipt","")&amp;IF(K166="",", photo",""),3,100))</f>
        <v/>
      </c>
      <c r="R166" s="13">
        <f>IF(AND(B166="",C166=""),"",IF(C166="","Needs the item",IF(B166="","Needs a room",IF(COUNTIF(Rooms!$B$6:$B$35,B166)=0,"Not on Rooms",IF(AND(H166&lt;&gt;"",NOT(ISNUMBER(H166))),"Paid not a number",IF(AND(I166&lt;&gt;"",NOT(ISNUMBER(I166))),"Worth not a number",IF(AND(G166&lt;&gt;"",NOT(ISNUMBER(G166))),"Bought is not a date",IF(AND(L166&lt;&gt;"",NOT(ISNUMBER(L166))),"Warranty is not a date",""))))))))</f>
        <v/>
      </c>
      <c r="S166" s="1">
        <f>IF(AND(C166&lt;&gt;"",R166=""),1,0)</f>
        <v/>
      </c>
      <c r="T166">
        <f>IF(S166=1,N(N166),0)</f>
        <v/>
      </c>
      <c r="U166">
        <f>IF(AND(S166=1,T166&gt;0),ROUND(T166*100,0)*10000+10000-ROW(),"")</f>
        <v/>
      </c>
      <c r="V166">
        <f>IF(AND(S166=1,OR(Report!$C$5="",B166=Report!$C$5)),MATCH(B166,Rooms!$B$6:$B$35,0)*10000+ROW(),"")</f>
        <v/>
      </c>
      <c r="W166">
        <f>IF(AND(S166=1,OR(J166="",J166="No")),1,0)</f>
        <v/>
      </c>
      <c r="X166">
        <f>IF(AND(S166=1,K166=""),1,0)</f>
        <v/>
      </c>
      <c r="Y166">
        <f>IF(AND(S166=1,Q166&lt;&gt;""),ROUND(T166*100,0)*10000+10000-ROW(),"")</f>
        <v/>
      </c>
    </row>
    <row r="167">
      <c r="A167" s="1" t="n"/>
      <c r="B167" s="17" t="n"/>
      <c r="C167" s="18" t="n"/>
      <c r="D167" s="17" t="n"/>
      <c r="E167" s="19" t="n"/>
      <c r="F167" s="19" t="n"/>
      <c r="G167" s="20" t="n"/>
      <c r="H167" s="21" t="n"/>
      <c r="I167" s="21" t="n"/>
      <c r="J167" s="17" t="n"/>
      <c r="K167" s="19" t="n"/>
      <c r="L167" s="20" t="n"/>
      <c r="M167" s="19" t="n"/>
      <c r="N167" s="22">
        <f>IF(C167="","",IF(ISNUMBER(I167),I167,IF(ISNUMBER(H167),H167,"")))</f>
        <v/>
      </c>
      <c r="O167" s="23">
        <f>IF(OR(C167="",NOT(ISNUMBER(G167))),"",(TODAY()-INT(G167))/365.25)</f>
        <v/>
      </c>
      <c r="P167" s="13">
        <f>IF(OR(C167="",NOT(ISNUMBER(L167))),"",IF(L167&lt;TODAY(),"Ended",IF(L167-TODAY()&lt;=N(Settings!$C$10),"Ends soon","Covered")))</f>
        <v/>
      </c>
      <c r="Q167" s="13">
        <f>IF(C167="","",MID(IF(N167="",", value","")&amp;IF(OR(J167="",J167="No"),", receipt","")&amp;IF(K167="",", photo",""),3,100))</f>
        <v/>
      </c>
      <c r="R167" s="13">
        <f>IF(AND(B167="",C167=""),"",IF(C167="","Needs the item",IF(B167="","Needs a room",IF(COUNTIF(Rooms!$B$6:$B$35,B167)=0,"Not on Rooms",IF(AND(H167&lt;&gt;"",NOT(ISNUMBER(H167))),"Paid not a number",IF(AND(I167&lt;&gt;"",NOT(ISNUMBER(I167))),"Worth not a number",IF(AND(G167&lt;&gt;"",NOT(ISNUMBER(G167))),"Bought is not a date",IF(AND(L167&lt;&gt;"",NOT(ISNUMBER(L167))),"Warranty is not a date",""))))))))</f>
        <v/>
      </c>
      <c r="S167" s="1">
        <f>IF(AND(C167&lt;&gt;"",R167=""),1,0)</f>
        <v/>
      </c>
      <c r="T167">
        <f>IF(S167=1,N(N167),0)</f>
        <v/>
      </c>
      <c r="U167">
        <f>IF(AND(S167=1,T167&gt;0),ROUND(T167*100,0)*10000+10000-ROW(),"")</f>
        <v/>
      </c>
      <c r="V167">
        <f>IF(AND(S167=1,OR(Report!$C$5="",B167=Report!$C$5)),MATCH(B167,Rooms!$B$6:$B$35,0)*10000+ROW(),"")</f>
        <v/>
      </c>
      <c r="W167">
        <f>IF(AND(S167=1,OR(J167="",J167="No")),1,0)</f>
        <v/>
      </c>
      <c r="X167">
        <f>IF(AND(S167=1,K167=""),1,0)</f>
        <v/>
      </c>
      <c r="Y167">
        <f>IF(AND(S167=1,Q167&lt;&gt;""),ROUND(T167*100,0)*10000+10000-ROW(),"")</f>
        <v/>
      </c>
    </row>
    <row r="168">
      <c r="A168" s="1" t="n"/>
      <c r="B168" s="17" t="n"/>
      <c r="C168" s="18" t="n"/>
      <c r="D168" s="17" t="n"/>
      <c r="E168" s="19" t="n"/>
      <c r="F168" s="19" t="n"/>
      <c r="G168" s="20" t="n"/>
      <c r="H168" s="21" t="n"/>
      <c r="I168" s="21" t="n"/>
      <c r="J168" s="17" t="n"/>
      <c r="K168" s="19" t="n"/>
      <c r="L168" s="20" t="n"/>
      <c r="M168" s="19" t="n"/>
      <c r="N168" s="22">
        <f>IF(C168="","",IF(ISNUMBER(I168),I168,IF(ISNUMBER(H168),H168,"")))</f>
        <v/>
      </c>
      <c r="O168" s="23">
        <f>IF(OR(C168="",NOT(ISNUMBER(G168))),"",(TODAY()-INT(G168))/365.25)</f>
        <v/>
      </c>
      <c r="P168" s="13">
        <f>IF(OR(C168="",NOT(ISNUMBER(L168))),"",IF(L168&lt;TODAY(),"Ended",IF(L168-TODAY()&lt;=N(Settings!$C$10),"Ends soon","Covered")))</f>
        <v/>
      </c>
      <c r="Q168" s="13">
        <f>IF(C168="","",MID(IF(N168="",", value","")&amp;IF(OR(J168="",J168="No"),", receipt","")&amp;IF(K168="",", photo",""),3,100))</f>
        <v/>
      </c>
      <c r="R168" s="13">
        <f>IF(AND(B168="",C168=""),"",IF(C168="","Needs the item",IF(B168="","Needs a room",IF(COUNTIF(Rooms!$B$6:$B$35,B168)=0,"Not on Rooms",IF(AND(H168&lt;&gt;"",NOT(ISNUMBER(H168))),"Paid not a number",IF(AND(I168&lt;&gt;"",NOT(ISNUMBER(I168))),"Worth not a number",IF(AND(G168&lt;&gt;"",NOT(ISNUMBER(G168))),"Bought is not a date",IF(AND(L168&lt;&gt;"",NOT(ISNUMBER(L168))),"Warranty is not a date",""))))))))</f>
        <v/>
      </c>
      <c r="S168" s="1">
        <f>IF(AND(C168&lt;&gt;"",R168=""),1,0)</f>
        <v/>
      </c>
      <c r="T168">
        <f>IF(S168=1,N(N168),0)</f>
        <v/>
      </c>
      <c r="U168">
        <f>IF(AND(S168=1,T168&gt;0),ROUND(T168*100,0)*10000+10000-ROW(),"")</f>
        <v/>
      </c>
      <c r="V168">
        <f>IF(AND(S168=1,OR(Report!$C$5="",B168=Report!$C$5)),MATCH(B168,Rooms!$B$6:$B$35,0)*10000+ROW(),"")</f>
        <v/>
      </c>
      <c r="W168">
        <f>IF(AND(S168=1,OR(J168="",J168="No")),1,0)</f>
        <v/>
      </c>
      <c r="X168">
        <f>IF(AND(S168=1,K168=""),1,0)</f>
        <v/>
      </c>
      <c r="Y168">
        <f>IF(AND(S168=1,Q168&lt;&gt;""),ROUND(T168*100,0)*10000+10000-ROW(),"")</f>
        <v/>
      </c>
    </row>
    <row r="169">
      <c r="A169" s="1" t="n"/>
      <c r="B169" s="17" t="n"/>
      <c r="C169" s="18" t="n"/>
      <c r="D169" s="17" t="n"/>
      <c r="E169" s="19" t="n"/>
      <c r="F169" s="19" t="n"/>
      <c r="G169" s="20" t="n"/>
      <c r="H169" s="21" t="n"/>
      <c r="I169" s="21" t="n"/>
      <c r="J169" s="17" t="n"/>
      <c r="K169" s="19" t="n"/>
      <c r="L169" s="20" t="n"/>
      <c r="M169" s="19" t="n"/>
      <c r="N169" s="22">
        <f>IF(C169="","",IF(ISNUMBER(I169),I169,IF(ISNUMBER(H169),H169,"")))</f>
        <v/>
      </c>
      <c r="O169" s="23">
        <f>IF(OR(C169="",NOT(ISNUMBER(G169))),"",(TODAY()-INT(G169))/365.25)</f>
        <v/>
      </c>
      <c r="P169" s="13">
        <f>IF(OR(C169="",NOT(ISNUMBER(L169))),"",IF(L169&lt;TODAY(),"Ended",IF(L169-TODAY()&lt;=N(Settings!$C$10),"Ends soon","Covered")))</f>
        <v/>
      </c>
      <c r="Q169" s="13">
        <f>IF(C169="","",MID(IF(N169="",", value","")&amp;IF(OR(J169="",J169="No"),", receipt","")&amp;IF(K169="",", photo",""),3,100))</f>
        <v/>
      </c>
      <c r="R169" s="13">
        <f>IF(AND(B169="",C169=""),"",IF(C169="","Needs the item",IF(B169="","Needs a room",IF(COUNTIF(Rooms!$B$6:$B$35,B169)=0,"Not on Rooms",IF(AND(H169&lt;&gt;"",NOT(ISNUMBER(H169))),"Paid not a number",IF(AND(I169&lt;&gt;"",NOT(ISNUMBER(I169))),"Worth not a number",IF(AND(G169&lt;&gt;"",NOT(ISNUMBER(G169))),"Bought is not a date",IF(AND(L169&lt;&gt;"",NOT(ISNUMBER(L169))),"Warranty is not a date",""))))))))</f>
        <v/>
      </c>
      <c r="S169" s="1">
        <f>IF(AND(C169&lt;&gt;"",R169=""),1,0)</f>
        <v/>
      </c>
      <c r="T169">
        <f>IF(S169=1,N(N169),0)</f>
        <v/>
      </c>
      <c r="U169">
        <f>IF(AND(S169=1,T169&gt;0),ROUND(T169*100,0)*10000+10000-ROW(),"")</f>
        <v/>
      </c>
      <c r="V169">
        <f>IF(AND(S169=1,OR(Report!$C$5="",B169=Report!$C$5)),MATCH(B169,Rooms!$B$6:$B$35,0)*10000+ROW(),"")</f>
        <v/>
      </c>
      <c r="W169">
        <f>IF(AND(S169=1,OR(J169="",J169="No")),1,0)</f>
        <v/>
      </c>
      <c r="X169">
        <f>IF(AND(S169=1,K169=""),1,0)</f>
        <v/>
      </c>
      <c r="Y169">
        <f>IF(AND(S169=1,Q169&lt;&gt;""),ROUND(T169*100,0)*10000+10000-ROW(),"")</f>
        <v/>
      </c>
    </row>
    <row r="170">
      <c r="A170" s="1" t="n"/>
      <c r="B170" s="17" t="n"/>
      <c r="C170" s="18" t="n"/>
      <c r="D170" s="17" t="n"/>
      <c r="E170" s="19" t="n"/>
      <c r="F170" s="19" t="n"/>
      <c r="G170" s="20" t="n"/>
      <c r="H170" s="21" t="n"/>
      <c r="I170" s="21" t="n"/>
      <c r="J170" s="17" t="n"/>
      <c r="K170" s="19" t="n"/>
      <c r="L170" s="20" t="n"/>
      <c r="M170" s="19" t="n"/>
      <c r="N170" s="22">
        <f>IF(C170="","",IF(ISNUMBER(I170),I170,IF(ISNUMBER(H170),H170,"")))</f>
        <v/>
      </c>
      <c r="O170" s="23">
        <f>IF(OR(C170="",NOT(ISNUMBER(G170))),"",(TODAY()-INT(G170))/365.25)</f>
        <v/>
      </c>
      <c r="P170" s="13">
        <f>IF(OR(C170="",NOT(ISNUMBER(L170))),"",IF(L170&lt;TODAY(),"Ended",IF(L170-TODAY()&lt;=N(Settings!$C$10),"Ends soon","Covered")))</f>
        <v/>
      </c>
      <c r="Q170" s="13">
        <f>IF(C170="","",MID(IF(N170="",", value","")&amp;IF(OR(J170="",J170="No"),", receipt","")&amp;IF(K170="",", photo",""),3,100))</f>
        <v/>
      </c>
      <c r="R170" s="13">
        <f>IF(AND(B170="",C170=""),"",IF(C170="","Needs the item",IF(B170="","Needs a room",IF(COUNTIF(Rooms!$B$6:$B$35,B170)=0,"Not on Rooms",IF(AND(H170&lt;&gt;"",NOT(ISNUMBER(H170))),"Paid not a number",IF(AND(I170&lt;&gt;"",NOT(ISNUMBER(I170))),"Worth not a number",IF(AND(G170&lt;&gt;"",NOT(ISNUMBER(G170))),"Bought is not a date",IF(AND(L170&lt;&gt;"",NOT(ISNUMBER(L170))),"Warranty is not a date",""))))))))</f>
        <v/>
      </c>
      <c r="S170" s="1">
        <f>IF(AND(C170&lt;&gt;"",R170=""),1,0)</f>
        <v/>
      </c>
      <c r="T170">
        <f>IF(S170=1,N(N170),0)</f>
        <v/>
      </c>
      <c r="U170">
        <f>IF(AND(S170=1,T170&gt;0),ROUND(T170*100,0)*10000+10000-ROW(),"")</f>
        <v/>
      </c>
      <c r="V170">
        <f>IF(AND(S170=1,OR(Report!$C$5="",B170=Report!$C$5)),MATCH(B170,Rooms!$B$6:$B$35,0)*10000+ROW(),"")</f>
        <v/>
      </c>
      <c r="W170">
        <f>IF(AND(S170=1,OR(J170="",J170="No")),1,0)</f>
        <v/>
      </c>
      <c r="X170">
        <f>IF(AND(S170=1,K170=""),1,0)</f>
        <v/>
      </c>
      <c r="Y170">
        <f>IF(AND(S170=1,Q170&lt;&gt;""),ROUND(T170*100,0)*10000+10000-ROW(),"")</f>
        <v/>
      </c>
    </row>
    <row r="171">
      <c r="A171" s="1" t="n"/>
      <c r="B171" s="17" t="n"/>
      <c r="C171" s="18" t="n"/>
      <c r="D171" s="17" t="n"/>
      <c r="E171" s="19" t="n"/>
      <c r="F171" s="19" t="n"/>
      <c r="G171" s="20" t="n"/>
      <c r="H171" s="21" t="n"/>
      <c r="I171" s="21" t="n"/>
      <c r="J171" s="17" t="n"/>
      <c r="K171" s="19" t="n"/>
      <c r="L171" s="20" t="n"/>
      <c r="M171" s="19" t="n"/>
      <c r="N171" s="22">
        <f>IF(C171="","",IF(ISNUMBER(I171),I171,IF(ISNUMBER(H171),H171,"")))</f>
        <v/>
      </c>
      <c r="O171" s="23">
        <f>IF(OR(C171="",NOT(ISNUMBER(G171))),"",(TODAY()-INT(G171))/365.25)</f>
        <v/>
      </c>
      <c r="P171" s="13">
        <f>IF(OR(C171="",NOT(ISNUMBER(L171))),"",IF(L171&lt;TODAY(),"Ended",IF(L171-TODAY()&lt;=N(Settings!$C$10),"Ends soon","Covered")))</f>
        <v/>
      </c>
      <c r="Q171" s="13">
        <f>IF(C171="","",MID(IF(N171="",", value","")&amp;IF(OR(J171="",J171="No"),", receipt","")&amp;IF(K171="",", photo",""),3,100))</f>
        <v/>
      </c>
      <c r="R171" s="13">
        <f>IF(AND(B171="",C171=""),"",IF(C171="","Needs the item",IF(B171="","Needs a room",IF(COUNTIF(Rooms!$B$6:$B$35,B171)=0,"Not on Rooms",IF(AND(H171&lt;&gt;"",NOT(ISNUMBER(H171))),"Paid not a number",IF(AND(I171&lt;&gt;"",NOT(ISNUMBER(I171))),"Worth not a number",IF(AND(G171&lt;&gt;"",NOT(ISNUMBER(G171))),"Bought is not a date",IF(AND(L171&lt;&gt;"",NOT(ISNUMBER(L171))),"Warranty is not a date",""))))))))</f>
        <v/>
      </c>
      <c r="S171" s="1">
        <f>IF(AND(C171&lt;&gt;"",R171=""),1,0)</f>
        <v/>
      </c>
      <c r="T171">
        <f>IF(S171=1,N(N171),0)</f>
        <v/>
      </c>
      <c r="U171">
        <f>IF(AND(S171=1,T171&gt;0),ROUND(T171*100,0)*10000+10000-ROW(),"")</f>
        <v/>
      </c>
      <c r="V171">
        <f>IF(AND(S171=1,OR(Report!$C$5="",B171=Report!$C$5)),MATCH(B171,Rooms!$B$6:$B$35,0)*10000+ROW(),"")</f>
        <v/>
      </c>
      <c r="W171">
        <f>IF(AND(S171=1,OR(J171="",J171="No")),1,0)</f>
        <v/>
      </c>
      <c r="X171">
        <f>IF(AND(S171=1,K171=""),1,0)</f>
        <v/>
      </c>
      <c r="Y171">
        <f>IF(AND(S171=1,Q171&lt;&gt;""),ROUND(T171*100,0)*10000+10000-ROW(),"")</f>
        <v/>
      </c>
    </row>
    <row r="172">
      <c r="A172" s="1" t="n"/>
      <c r="B172" s="17" t="n"/>
      <c r="C172" s="18" t="n"/>
      <c r="D172" s="17" t="n"/>
      <c r="E172" s="19" t="n"/>
      <c r="F172" s="19" t="n"/>
      <c r="G172" s="20" t="n"/>
      <c r="H172" s="21" t="n"/>
      <c r="I172" s="21" t="n"/>
      <c r="J172" s="17" t="n"/>
      <c r="K172" s="19" t="n"/>
      <c r="L172" s="20" t="n"/>
      <c r="M172" s="19" t="n"/>
      <c r="N172" s="22">
        <f>IF(C172="","",IF(ISNUMBER(I172),I172,IF(ISNUMBER(H172),H172,"")))</f>
        <v/>
      </c>
      <c r="O172" s="23">
        <f>IF(OR(C172="",NOT(ISNUMBER(G172))),"",(TODAY()-INT(G172))/365.25)</f>
        <v/>
      </c>
      <c r="P172" s="13">
        <f>IF(OR(C172="",NOT(ISNUMBER(L172))),"",IF(L172&lt;TODAY(),"Ended",IF(L172-TODAY()&lt;=N(Settings!$C$10),"Ends soon","Covered")))</f>
        <v/>
      </c>
      <c r="Q172" s="13">
        <f>IF(C172="","",MID(IF(N172="",", value","")&amp;IF(OR(J172="",J172="No"),", receipt","")&amp;IF(K172="",", photo",""),3,100))</f>
        <v/>
      </c>
      <c r="R172" s="13">
        <f>IF(AND(B172="",C172=""),"",IF(C172="","Needs the item",IF(B172="","Needs a room",IF(COUNTIF(Rooms!$B$6:$B$35,B172)=0,"Not on Rooms",IF(AND(H172&lt;&gt;"",NOT(ISNUMBER(H172))),"Paid not a number",IF(AND(I172&lt;&gt;"",NOT(ISNUMBER(I172))),"Worth not a number",IF(AND(G172&lt;&gt;"",NOT(ISNUMBER(G172))),"Bought is not a date",IF(AND(L172&lt;&gt;"",NOT(ISNUMBER(L172))),"Warranty is not a date",""))))))))</f>
        <v/>
      </c>
      <c r="S172" s="1">
        <f>IF(AND(C172&lt;&gt;"",R172=""),1,0)</f>
        <v/>
      </c>
      <c r="T172">
        <f>IF(S172=1,N(N172),0)</f>
        <v/>
      </c>
      <c r="U172">
        <f>IF(AND(S172=1,T172&gt;0),ROUND(T172*100,0)*10000+10000-ROW(),"")</f>
        <v/>
      </c>
      <c r="V172">
        <f>IF(AND(S172=1,OR(Report!$C$5="",B172=Report!$C$5)),MATCH(B172,Rooms!$B$6:$B$35,0)*10000+ROW(),"")</f>
        <v/>
      </c>
      <c r="W172">
        <f>IF(AND(S172=1,OR(J172="",J172="No")),1,0)</f>
        <v/>
      </c>
      <c r="X172">
        <f>IF(AND(S172=1,K172=""),1,0)</f>
        <v/>
      </c>
      <c r="Y172">
        <f>IF(AND(S172=1,Q172&lt;&gt;""),ROUND(T172*100,0)*10000+10000-ROW(),"")</f>
        <v/>
      </c>
    </row>
    <row r="173">
      <c r="A173" s="1" t="n"/>
      <c r="B173" s="17" t="n"/>
      <c r="C173" s="18" t="n"/>
      <c r="D173" s="17" t="n"/>
      <c r="E173" s="19" t="n"/>
      <c r="F173" s="19" t="n"/>
      <c r="G173" s="20" t="n"/>
      <c r="H173" s="21" t="n"/>
      <c r="I173" s="21" t="n"/>
      <c r="J173" s="17" t="n"/>
      <c r="K173" s="19" t="n"/>
      <c r="L173" s="20" t="n"/>
      <c r="M173" s="19" t="n"/>
      <c r="N173" s="22">
        <f>IF(C173="","",IF(ISNUMBER(I173),I173,IF(ISNUMBER(H173),H173,"")))</f>
        <v/>
      </c>
      <c r="O173" s="23">
        <f>IF(OR(C173="",NOT(ISNUMBER(G173))),"",(TODAY()-INT(G173))/365.25)</f>
        <v/>
      </c>
      <c r="P173" s="13">
        <f>IF(OR(C173="",NOT(ISNUMBER(L173))),"",IF(L173&lt;TODAY(),"Ended",IF(L173-TODAY()&lt;=N(Settings!$C$10),"Ends soon","Covered")))</f>
        <v/>
      </c>
      <c r="Q173" s="13">
        <f>IF(C173="","",MID(IF(N173="",", value","")&amp;IF(OR(J173="",J173="No"),", receipt","")&amp;IF(K173="",", photo",""),3,100))</f>
        <v/>
      </c>
      <c r="R173" s="13">
        <f>IF(AND(B173="",C173=""),"",IF(C173="","Needs the item",IF(B173="","Needs a room",IF(COUNTIF(Rooms!$B$6:$B$35,B173)=0,"Not on Rooms",IF(AND(H173&lt;&gt;"",NOT(ISNUMBER(H173))),"Paid not a number",IF(AND(I173&lt;&gt;"",NOT(ISNUMBER(I173))),"Worth not a number",IF(AND(G173&lt;&gt;"",NOT(ISNUMBER(G173))),"Bought is not a date",IF(AND(L173&lt;&gt;"",NOT(ISNUMBER(L173))),"Warranty is not a date",""))))))))</f>
        <v/>
      </c>
      <c r="S173" s="1">
        <f>IF(AND(C173&lt;&gt;"",R173=""),1,0)</f>
        <v/>
      </c>
      <c r="T173">
        <f>IF(S173=1,N(N173),0)</f>
        <v/>
      </c>
      <c r="U173">
        <f>IF(AND(S173=1,T173&gt;0),ROUND(T173*100,0)*10000+10000-ROW(),"")</f>
        <v/>
      </c>
      <c r="V173">
        <f>IF(AND(S173=1,OR(Report!$C$5="",B173=Report!$C$5)),MATCH(B173,Rooms!$B$6:$B$35,0)*10000+ROW(),"")</f>
        <v/>
      </c>
      <c r="W173">
        <f>IF(AND(S173=1,OR(J173="",J173="No")),1,0)</f>
        <v/>
      </c>
      <c r="X173">
        <f>IF(AND(S173=1,K173=""),1,0)</f>
        <v/>
      </c>
      <c r="Y173">
        <f>IF(AND(S173=1,Q173&lt;&gt;""),ROUND(T173*100,0)*10000+10000-ROW(),"")</f>
        <v/>
      </c>
    </row>
    <row r="174">
      <c r="A174" s="1" t="n"/>
      <c r="B174" s="17" t="n"/>
      <c r="C174" s="18" t="n"/>
      <c r="D174" s="17" t="n"/>
      <c r="E174" s="19" t="n"/>
      <c r="F174" s="19" t="n"/>
      <c r="G174" s="20" t="n"/>
      <c r="H174" s="21" t="n"/>
      <c r="I174" s="21" t="n"/>
      <c r="J174" s="17" t="n"/>
      <c r="K174" s="19" t="n"/>
      <c r="L174" s="20" t="n"/>
      <c r="M174" s="19" t="n"/>
      <c r="N174" s="22">
        <f>IF(C174="","",IF(ISNUMBER(I174),I174,IF(ISNUMBER(H174),H174,"")))</f>
        <v/>
      </c>
      <c r="O174" s="23">
        <f>IF(OR(C174="",NOT(ISNUMBER(G174))),"",(TODAY()-INT(G174))/365.25)</f>
        <v/>
      </c>
      <c r="P174" s="13">
        <f>IF(OR(C174="",NOT(ISNUMBER(L174))),"",IF(L174&lt;TODAY(),"Ended",IF(L174-TODAY()&lt;=N(Settings!$C$10),"Ends soon","Covered")))</f>
        <v/>
      </c>
      <c r="Q174" s="13">
        <f>IF(C174="","",MID(IF(N174="",", value","")&amp;IF(OR(J174="",J174="No"),", receipt","")&amp;IF(K174="",", photo",""),3,100))</f>
        <v/>
      </c>
      <c r="R174" s="13">
        <f>IF(AND(B174="",C174=""),"",IF(C174="","Needs the item",IF(B174="","Needs a room",IF(COUNTIF(Rooms!$B$6:$B$35,B174)=0,"Not on Rooms",IF(AND(H174&lt;&gt;"",NOT(ISNUMBER(H174))),"Paid not a number",IF(AND(I174&lt;&gt;"",NOT(ISNUMBER(I174))),"Worth not a number",IF(AND(G174&lt;&gt;"",NOT(ISNUMBER(G174))),"Bought is not a date",IF(AND(L174&lt;&gt;"",NOT(ISNUMBER(L174))),"Warranty is not a date",""))))))))</f>
        <v/>
      </c>
      <c r="S174" s="1">
        <f>IF(AND(C174&lt;&gt;"",R174=""),1,0)</f>
        <v/>
      </c>
      <c r="T174">
        <f>IF(S174=1,N(N174),0)</f>
        <v/>
      </c>
      <c r="U174">
        <f>IF(AND(S174=1,T174&gt;0),ROUND(T174*100,0)*10000+10000-ROW(),"")</f>
        <v/>
      </c>
      <c r="V174">
        <f>IF(AND(S174=1,OR(Report!$C$5="",B174=Report!$C$5)),MATCH(B174,Rooms!$B$6:$B$35,0)*10000+ROW(),"")</f>
        <v/>
      </c>
      <c r="W174">
        <f>IF(AND(S174=1,OR(J174="",J174="No")),1,0)</f>
        <v/>
      </c>
      <c r="X174">
        <f>IF(AND(S174=1,K174=""),1,0)</f>
        <v/>
      </c>
      <c r="Y174">
        <f>IF(AND(S174=1,Q174&lt;&gt;""),ROUND(T174*100,0)*10000+10000-ROW(),"")</f>
        <v/>
      </c>
    </row>
    <row r="175">
      <c r="A175" s="1" t="n"/>
      <c r="B175" s="17" t="n"/>
      <c r="C175" s="18" t="n"/>
      <c r="D175" s="17" t="n"/>
      <c r="E175" s="19" t="n"/>
      <c r="F175" s="19" t="n"/>
      <c r="G175" s="20" t="n"/>
      <c r="H175" s="21" t="n"/>
      <c r="I175" s="21" t="n"/>
      <c r="J175" s="17" t="n"/>
      <c r="K175" s="19" t="n"/>
      <c r="L175" s="20" t="n"/>
      <c r="M175" s="19" t="n"/>
      <c r="N175" s="22">
        <f>IF(C175="","",IF(ISNUMBER(I175),I175,IF(ISNUMBER(H175),H175,"")))</f>
        <v/>
      </c>
      <c r="O175" s="23">
        <f>IF(OR(C175="",NOT(ISNUMBER(G175))),"",(TODAY()-INT(G175))/365.25)</f>
        <v/>
      </c>
      <c r="P175" s="13">
        <f>IF(OR(C175="",NOT(ISNUMBER(L175))),"",IF(L175&lt;TODAY(),"Ended",IF(L175-TODAY()&lt;=N(Settings!$C$10),"Ends soon","Covered")))</f>
        <v/>
      </c>
      <c r="Q175" s="13">
        <f>IF(C175="","",MID(IF(N175="",", value","")&amp;IF(OR(J175="",J175="No"),", receipt","")&amp;IF(K175="",", photo",""),3,100))</f>
        <v/>
      </c>
      <c r="R175" s="13">
        <f>IF(AND(B175="",C175=""),"",IF(C175="","Needs the item",IF(B175="","Needs a room",IF(COUNTIF(Rooms!$B$6:$B$35,B175)=0,"Not on Rooms",IF(AND(H175&lt;&gt;"",NOT(ISNUMBER(H175))),"Paid not a number",IF(AND(I175&lt;&gt;"",NOT(ISNUMBER(I175))),"Worth not a number",IF(AND(G175&lt;&gt;"",NOT(ISNUMBER(G175))),"Bought is not a date",IF(AND(L175&lt;&gt;"",NOT(ISNUMBER(L175))),"Warranty is not a date",""))))))))</f>
        <v/>
      </c>
      <c r="S175" s="1">
        <f>IF(AND(C175&lt;&gt;"",R175=""),1,0)</f>
        <v/>
      </c>
      <c r="T175">
        <f>IF(S175=1,N(N175),0)</f>
        <v/>
      </c>
      <c r="U175">
        <f>IF(AND(S175=1,T175&gt;0),ROUND(T175*100,0)*10000+10000-ROW(),"")</f>
        <v/>
      </c>
      <c r="V175">
        <f>IF(AND(S175=1,OR(Report!$C$5="",B175=Report!$C$5)),MATCH(B175,Rooms!$B$6:$B$35,0)*10000+ROW(),"")</f>
        <v/>
      </c>
      <c r="W175">
        <f>IF(AND(S175=1,OR(J175="",J175="No")),1,0)</f>
        <v/>
      </c>
      <c r="X175">
        <f>IF(AND(S175=1,K175=""),1,0)</f>
        <v/>
      </c>
      <c r="Y175">
        <f>IF(AND(S175=1,Q175&lt;&gt;""),ROUND(T175*100,0)*10000+10000-ROW(),"")</f>
        <v/>
      </c>
    </row>
    <row r="176">
      <c r="A176" s="1" t="n"/>
      <c r="B176" s="17" t="n"/>
      <c r="C176" s="18" t="n"/>
      <c r="D176" s="17" t="n"/>
      <c r="E176" s="19" t="n"/>
      <c r="F176" s="19" t="n"/>
      <c r="G176" s="20" t="n"/>
      <c r="H176" s="21" t="n"/>
      <c r="I176" s="21" t="n"/>
      <c r="J176" s="17" t="n"/>
      <c r="K176" s="19" t="n"/>
      <c r="L176" s="20" t="n"/>
      <c r="M176" s="19" t="n"/>
      <c r="N176" s="22">
        <f>IF(C176="","",IF(ISNUMBER(I176),I176,IF(ISNUMBER(H176),H176,"")))</f>
        <v/>
      </c>
      <c r="O176" s="23">
        <f>IF(OR(C176="",NOT(ISNUMBER(G176))),"",(TODAY()-INT(G176))/365.25)</f>
        <v/>
      </c>
      <c r="P176" s="13">
        <f>IF(OR(C176="",NOT(ISNUMBER(L176))),"",IF(L176&lt;TODAY(),"Ended",IF(L176-TODAY()&lt;=N(Settings!$C$10),"Ends soon","Covered")))</f>
        <v/>
      </c>
      <c r="Q176" s="13">
        <f>IF(C176="","",MID(IF(N176="",", value","")&amp;IF(OR(J176="",J176="No"),", receipt","")&amp;IF(K176="",", photo",""),3,100))</f>
        <v/>
      </c>
      <c r="R176" s="13">
        <f>IF(AND(B176="",C176=""),"",IF(C176="","Needs the item",IF(B176="","Needs a room",IF(COUNTIF(Rooms!$B$6:$B$35,B176)=0,"Not on Rooms",IF(AND(H176&lt;&gt;"",NOT(ISNUMBER(H176))),"Paid not a number",IF(AND(I176&lt;&gt;"",NOT(ISNUMBER(I176))),"Worth not a number",IF(AND(G176&lt;&gt;"",NOT(ISNUMBER(G176))),"Bought is not a date",IF(AND(L176&lt;&gt;"",NOT(ISNUMBER(L176))),"Warranty is not a date",""))))))))</f>
        <v/>
      </c>
      <c r="S176" s="1">
        <f>IF(AND(C176&lt;&gt;"",R176=""),1,0)</f>
        <v/>
      </c>
      <c r="T176">
        <f>IF(S176=1,N(N176),0)</f>
        <v/>
      </c>
      <c r="U176">
        <f>IF(AND(S176=1,T176&gt;0),ROUND(T176*100,0)*10000+10000-ROW(),"")</f>
        <v/>
      </c>
      <c r="V176">
        <f>IF(AND(S176=1,OR(Report!$C$5="",B176=Report!$C$5)),MATCH(B176,Rooms!$B$6:$B$35,0)*10000+ROW(),"")</f>
        <v/>
      </c>
      <c r="W176">
        <f>IF(AND(S176=1,OR(J176="",J176="No")),1,0)</f>
        <v/>
      </c>
      <c r="X176">
        <f>IF(AND(S176=1,K176=""),1,0)</f>
        <v/>
      </c>
      <c r="Y176">
        <f>IF(AND(S176=1,Q176&lt;&gt;""),ROUND(T176*100,0)*10000+10000-ROW(),"")</f>
        <v/>
      </c>
    </row>
    <row r="177">
      <c r="A177" s="1" t="n"/>
      <c r="B177" s="17" t="n"/>
      <c r="C177" s="18" t="n"/>
      <c r="D177" s="17" t="n"/>
      <c r="E177" s="19" t="n"/>
      <c r="F177" s="19" t="n"/>
      <c r="G177" s="20" t="n"/>
      <c r="H177" s="21" t="n"/>
      <c r="I177" s="21" t="n"/>
      <c r="J177" s="17" t="n"/>
      <c r="K177" s="19" t="n"/>
      <c r="L177" s="20" t="n"/>
      <c r="M177" s="19" t="n"/>
      <c r="N177" s="22">
        <f>IF(C177="","",IF(ISNUMBER(I177),I177,IF(ISNUMBER(H177),H177,"")))</f>
        <v/>
      </c>
      <c r="O177" s="23">
        <f>IF(OR(C177="",NOT(ISNUMBER(G177))),"",(TODAY()-INT(G177))/365.25)</f>
        <v/>
      </c>
      <c r="P177" s="13">
        <f>IF(OR(C177="",NOT(ISNUMBER(L177))),"",IF(L177&lt;TODAY(),"Ended",IF(L177-TODAY()&lt;=N(Settings!$C$10),"Ends soon","Covered")))</f>
        <v/>
      </c>
      <c r="Q177" s="13">
        <f>IF(C177="","",MID(IF(N177="",", value","")&amp;IF(OR(J177="",J177="No"),", receipt","")&amp;IF(K177="",", photo",""),3,100))</f>
        <v/>
      </c>
      <c r="R177" s="13">
        <f>IF(AND(B177="",C177=""),"",IF(C177="","Needs the item",IF(B177="","Needs a room",IF(COUNTIF(Rooms!$B$6:$B$35,B177)=0,"Not on Rooms",IF(AND(H177&lt;&gt;"",NOT(ISNUMBER(H177))),"Paid not a number",IF(AND(I177&lt;&gt;"",NOT(ISNUMBER(I177))),"Worth not a number",IF(AND(G177&lt;&gt;"",NOT(ISNUMBER(G177))),"Bought is not a date",IF(AND(L177&lt;&gt;"",NOT(ISNUMBER(L177))),"Warranty is not a date",""))))))))</f>
        <v/>
      </c>
      <c r="S177" s="1">
        <f>IF(AND(C177&lt;&gt;"",R177=""),1,0)</f>
        <v/>
      </c>
      <c r="T177">
        <f>IF(S177=1,N(N177),0)</f>
        <v/>
      </c>
      <c r="U177">
        <f>IF(AND(S177=1,T177&gt;0),ROUND(T177*100,0)*10000+10000-ROW(),"")</f>
        <v/>
      </c>
      <c r="V177">
        <f>IF(AND(S177=1,OR(Report!$C$5="",B177=Report!$C$5)),MATCH(B177,Rooms!$B$6:$B$35,0)*10000+ROW(),"")</f>
        <v/>
      </c>
      <c r="W177">
        <f>IF(AND(S177=1,OR(J177="",J177="No")),1,0)</f>
        <v/>
      </c>
      <c r="X177">
        <f>IF(AND(S177=1,K177=""),1,0)</f>
        <v/>
      </c>
      <c r="Y177">
        <f>IF(AND(S177=1,Q177&lt;&gt;""),ROUND(T177*100,0)*10000+10000-ROW(),"")</f>
        <v/>
      </c>
    </row>
    <row r="178">
      <c r="A178" s="1" t="n"/>
      <c r="B178" s="17" t="n"/>
      <c r="C178" s="18" t="n"/>
      <c r="D178" s="17" t="n"/>
      <c r="E178" s="19" t="n"/>
      <c r="F178" s="19" t="n"/>
      <c r="G178" s="20" t="n"/>
      <c r="H178" s="21" t="n"/>
      <c r="I178" s="21" t="n"/>
      <c r="J178" s="17" t="n"/>
      <c r="K178" s="19" t="n"/>
      <c r="L178" s="20" t="n"/>
      <c r="M178" s="19" t="n"/>
      <c r="N178" s="22">
        <f>IF(C178="","",IF(ISNUMBER(I178),I178,IF(ISNUMBER(H178),H178,"")))</f>
        <v/>
      </c>
      <c r="O178" s="23">
        <f>IF(OR(C178="",NOT(ISNUMBER(G178))),"",(TODAY()-INT(G178))/365.25)</f>
        <v/>
      </c>
      <c r="P178" s="13">
        <f>IF(OR(C178="",NOT(ISNUMBER(L178))),"",IF(L178&lt;TODAY(),"Ended",IF(L178-TODAY()&lt;=N(Settings!$C$10),"Ends soon","Covered")))</f>
        <v/>
      </c>
      <c r="Q178" s="13">
        <f>IF(C178="","",MID(IF(N178="",", value","")&amp;IF(OR(J178="",J178="No"),", receipt","")&amp;IF(K178="",", photo",""),3,100))</f>
        <v/>
      </c>
      <c r="R178" s="13">
        <f>IF(AND(B178="",C178=""),"",IF(C178="","Needs the item",IF(B178="","Needs a room",IF(COUNTIF(Rooms!$B$6:$B$35,B178)=0,"Not on Rooms",IF(AND(H178&lt;&gt;"",NOT(ISNUMBER(H178))),"Paid not a number",IF(AND(I178&lt;&gt;"",NOT(ISNUMBER(I178))),"Worth not a number",IF(AND(G178&lt;&gt;"",NOT(ISNUMBER(G178))),"Bought is not a date",IF(AND(L178&lt;&gt;"",NOT(ISNUMBER(L178))),"Warranty is not a date",""))))))))</f>
        <v/>
      </c>
      <c r="S178" s="1">
        <f>IF(AND(C178&lt;&gt;"",R178=""),1,0)</f>
        <v/>
      </c>
      <c r="T178">
        <f>IF(S178=1,N(N178),0)</f>
        <v/>
      </c>
      <c r="U178">
        <f>IF(AND(S178=1,T178&gt;0),ROUND(T178*100,0)*10000+10000-ROW(),"")</f>
        <v/>
      </c>
      <c r="V178">
        <f>IF(AND(S178=1,OR(Report!$C$5="",B178=Report!$C$5)),MATCH(B178,Rooms!$B$6:$B$35,0)*10000+ROW(),"")</f>
        <v/>
      </c>
      <c r="W178">
        <f>IF(AND(S178=1,OR(J178="",J178="No")),1,0)</f>
        <v/>
      </c>
      <c r="X178">
        <f>IF(AND(S178=1,K178=""),1,0)</f>
        <v/>
      </c>
      <c r="Y178">
        <f>IF(AND(S178=1,Q178&lt;&gt;""),ROUND(T178*100,0)*10000+10000-ROW(),"")</f>
        <v/>
      </c>
    </row>
    <row r="179">
      <c r="A179" s="1" t="n"/>
      <c r="B179" s="17" t="n"/>
      <c r="C179" s="18" t="n"/>
      <c r="D179" s="17" t="n"/>
      <c r="E179" s="19" t="n"/>
      <c r="F179" s="19" t="n"/>
      <c r="G179" s="20" t="n"/>
      <c r="H179" s="21" t="n"/>
      <c r="I179" s="21" t="n"/>
      <c r="J179" s="17" t="n"/>
      <c r="K179" s="19" t="n"/>
      <c r="L179" s="20" t="n"/>
      <c r="M179" s="19" t="n"/>
      <c r="N179" s="22">
        <f>IF(C179="","",IF(ISNUMBER(I179),I179,IF(ISNUMBER(H179),H179,"")))</f>
        <v/>
      </c>
      <c r="O179" s="23">
        <f>IF(OR(C179="",NOT(ISNUMBER(G179))),"",(TODAY()-INT(G179))/365.25)</f>
        <v/>
      </c>
      <c r="P179" s="13">
        <f>IF(OR(C179="",NOT(ISNUMBER(L179))),"",IF(L179&lt;TODAY(),"Ended",IF(L179-TODAY()&lt;=N(Settings!$C$10),"Ends soon","Covered")))</f>
        <v/>
      </c>
      <c r="Q179" s="13">
        <f>IF(C179="","",MID(IF(N179="",", value","")&amp;IF(OR(J179="",J179="No"),", receipt","")&amp;IF(K179="",", photo",""),3,100))</f>
        <v/>
      </c>
      <c r="R179" s="13">
        <f>IF(AND(B179="",C179=""),"",IF(C179="","Needs the item",IF(B179="","Needs a room",IF(COUNTIF(Rooms!$B$6:$B$35,B179)=0,"Not on Rooms",IF(AND(H179&lt;&gt;"",NOT(ISNUMBER(H179))),"Paid not a number",IF(AND(I179&lt;&gt;"",NOT(ISNUMBER(I179))),"Worth not a number",IF(AND(G179&lt;&gt;"",NOT(ISNUMBER(G179))),"Bought is not a date",IF(AND(L179&lt;&gt;"",NOT(ISNUMBER(L179))),"Warranty is not a date",""))))))))</f>
        <v/>
      </c>
      <c r="S179" s="1">
        <f>IF(AND(C179&lt;&gt;"",R179=""),1,0)</f>
        <v/>
      </c>
      <c r="T179">
        <f>IF(S179=1,N(N179),0)</f>
        <v/>
      </c>
      <c r="U179">
        <f>IF(AND(S179=1,T179&gt;0),ROUND(T179*100,0)*10000+10000-ROW(),"")</f>
        <v/>
      </c>
      <c r="V179">
        <f>IF(AND(S179=1,OR(Report!$C$5="",B179=Report!$C$5)),MATCH(B179,Rooms!$B$6:$B$35,0)*10000+ROW(),"")</f>
        <v/>
      </c>
      <c r="W179">
        <f>IF(AND(S179=1,OR(J179="",J179="No")),1,0)</f>
        <v/>
      </c>
      <c r="X179">
        <f>IF(AND(S179=1,K179=""),1,0)</f>
        <v/>
      </c>
      <c r="Y179">
        <f>IF(AND(S179=1,Q179&lt;&gt;""),ROUND(T179*100,0)*10000+10000-ROW(),"")</f>
        <v/>
      </c>
    </row>
    <row r="180">
      <c r="A180" s="1" t="n"/>
      <c r="B180" s="17" t="n"/>
      <c r="C180" s="18" t="n"/>
      <c r="D180" s="17" t="n"/>
      <c r="E180" s="19" t="n"/>
      <c r="F180" s="19" t="n"/>
      <c r="G180" s="20" t="n"/>
      <c r="H180" s="21" t="n"/>
      <c r="I180" s="21" t="n"/>
      <c r="J180" s="17" t="n"/>
      <c r="K180" s="19" t="n"/>
      <c r="L180" s="20" t="n"/>
      <c r="M180" s="19" t="n"/>
      <c r="N180" s="22">
        <f>IF(C180="","",IF(ISNUMBER(I180),I180,IF(ISNUMBER(H180),H180,"")))</f>
        <v/>
      </c>
      <c r="O180" s="23">
        <f>IF(OR(C180="",NOT(ISNUMBER(G180))),"",(TODAY()-INT(G180))/365.25)</f>
        <v/>
      </c>
      <c r="P180" s="13">
        <f>IF(OR(C180="",NOT(ISNUMBER(L180))),"",IF(L180&lt;TODAY(),"Ended",IF(L180-TODAY()&lt;=N(Settings!$C$10),"Ends soon","Covered")))</f>
        <v/>
      </c>
      <c r="Q180" s="13">
        <f>IF(C180="","",MID(IF(N180="",", value","")&amp;IF(OR(J180="",J180="No"),", receipt","")&amp;IF(K180="",", photo",""),3,100))</f>
        <v/>
      </c>
      <c r="R180" s="13">
        <f>IF(AND(B180="",C180=""),"",IF(C180="","Needs the item",IF(B180="","Needs a room",IF(COUNTIF(Rooms!$B$6:$B$35,B180)=0,"Not on Rooms",IF(AND(H180&lt;&gt;"",NOT(ISNUMBER(H180))),"Paid not a number",IF(AND(I180&lt;&gt;"",NOT(ISNUMBER(I180))),"Worth not a number",IF(AND(G180&lt;&gt;"",NOT(ISNUMBER(G180))),"Bought is not a date",IF(AND(L180&lt;&gt;"",NOT(ISNUMBER(L180))),"Warranty is not a date",""))))))))</f>
        <v/>
      </c>
      <c r="S180" s="1">
        <f>IF(AND(C180&lt;&gt;"",R180=""),1,0)</f>
        <v/>
      </c>
      <c r="T180">
        <f>IF(S180=1,N(N180),0)</f>
        <v/>
      </c>
      <c r="U180">
        <f>IF(AND(S180=1,T180&gt;0),ROUND(T180*100,0)*10000+10000-ROW(),"")</f>
        <v/>
      </c>
      <c r="V180">
        <f>IF(AND(S180=1,OR(Report!$C$5="",B180=Report!$C$5)),MATCH(B180,Rooms!$B$6:$B$35,0)*10000+ROW(),"")</f>
        <v/>
      </c>
      <c r="W180">
        <f>IF(AND(S180=1,OR(J180="",J180="No")),1,0)</f>
        <v/>
      </c>
      <c r="X180">
        <f>IF(AND(S180=1,K180=""),1,0)</f>
        <v/>
      </c>
      <c r="Y180">
        <f>IF(AND(S180=1,Q180&lt;&gt;""),ROUND(T180*100,0)*10000+10000-ROW(),"")</f>
        <v/>
      </c>
    </row>
    <row r="181">
      <c r="A181" s="1" t="n"/>
      <c r="B181" s="17" t="n"/>
      <c r="C181" s="18" t="n"/>
      <c r="D181" s="17" t="n"/>
      <c r="E181" s="19" t="n"/>
      <c r="F181" s="19" t="n"/>
      <c r="G181" s="20" t="n"/>
      <c r="H181" s="21" t="n"/>
      <c r="I181" s="21" t="n"/>
      <c r="J181" s="17" t="n"/>
      <c r="K181" s="19" t="n"/>
      <c r="L181" s="20" t="n"/>
      <c r="M181" s="19" t="n"/>
      <c r="N181" s="22">
        <f>IF(C181="","",IF(ISNUMBER(I181),I181,IF(ISNUMBER(H181),H181,"")))</f>
        <v/>
      </c>
      <c r="O181" s="23">
        <f>IF(OR(C181="",NOT(ISNUMBER(G181))),"",(TODAY()-INT(G181))/365.25)</f>
        <v/>
      </c>
      <c r="P181" s="13">
        <f>IF(OR(C181="",NOT(ISNUMBER(L181))),"",IF(L181&lt;TODAY(),"Ended",IF(L181-TODAY()&lt;=N(Settings!$C$10),"Ends soon","Covered")))</f>
        <v/>
      </c>
      <c r="Q181" s="13">
        <f>IF(C181="","",MID(IF(N181="",", value","")&amp;IF(OR(J181="",J181="No"),", receipt","")&amp;IF(K181="",", photo",""),3,100))</f>
        <v/>
      </c>
      <c r="R181" s="13">
        <f>IF(AND(B181="",C181=""),"",IF(C181="","Needs the item",IF(B181="","Needs a room",IF(COUNTIF(Rooms!$B$6:$B$35,B181)=0,"Not on Rooms",IF(AND(H181&lt;&gt;"",NOT(ISNUMBER(H181))),"Paid not a number",IF(AND(I181&lt;&gt;"",NOT(ISNUMBER(I181))),"Worth not a number",IF(AND(G181&lt;&gt;"",NOT(ISNUMBER(G181))),"Bought is not a date",IF(AND(L181&lt;&gt;"",NOT(ISNUMBER(L181))),"Warranty is not a date",""))))))))</f>
        <v/>
      </c>
      <c r="S181" s="1">
        <f>IF(AND(C181&lt;&gt;"",R181=""),1,0)</f>
        <v/>
      </c>
      <c r="T181">
        <f>IF(S181=1,N(N181),0)</f>
        <v/>
      </c>
      <c r="U181">
        <f>IF(AND(S181=1,T181&gt;0),ROUND(T181*100,0)*10000+10000-ROW(),"")</f>
        <v/>
      </c>
      <c r="V181">
        <f>IF(AND(S181=1,OR(Report!$C$5="",B181=Report!$C$5)),MATCH(B181,Rooms!$B$6:$B$35,0)*10000+ROW(),"")</f>
        <v/>
      </c>
      <c r="W181">
        <f>IF(AND(S181=1,OR(J181="",J181="No")),1,0)</f>
        <v/>
      </c>
      <c r="X181">
        <f>IF(AND(S181=1,K181=""),1,0)</f>
        <v/>
      </c>
      <c r="Y181">
        <f>IF(AND(S181=1,Q181&lt;&gt;""),ROUND(T181*100,0)*10000+10000-ROW(),"")</f>
        <v/>
      </c>
    </row>
    <row r="182">
      <c r="A182" s="1" t="n"/>
      <c r="B182" s="17" t="n"/>
      <c r="C182" s="18" t="n"/>
      <c r="D182" s="17" t="n"/>
      <c r="E182" s="19" t="n"/>
      <c r="F182" s="19" t="n"/>
      <c r="G182" s="20" t="n"/>
      <c r="H182" s="21" t="n"/>
      <c r="I182" s="21" t="n"/>
      <c r="J182" s="17" t="n"/>
      <c r="K182" s="19" t="n"/>
      <c r="L182" s="20" t="n"/>
      <c r="M182" s="19" t="n"/>
      <c r="N182" s="22">
        <f>IF(C182="","",IF(ISNUMBER(I182),I182,IF(ISNUMBER(H182),H182,"")))</f>
        <v/>
      </c>
      <c r="O182" s="23">
        <f>IF(OR(C182="",NOT(ISNUMBER(G182))),"",(TODAY()-INT(G182))/365.25)</f>
        <v/>
      </c>
      <c r="P182" s="13">
        <f>IF(OR(C182="",NOT(ISNUMBER(L182))),"",IF(L182&lt;TODAY(),"Ended",IF(L182-TODAY()&lt;=N(Settings!$C$10),"Ends soon","Covered")))</f>
        <v/>
      </c>
      <c r="Q182" s="13">
        <f>IF(C182="","",MID(IF(N182="",", value","")&amp;IF(OR(J182="",J182="No"),", receipt","")&amp;IF(K182="",", photo",""),3,100))</f>
        <v/>
      </c>
      <c r="R182" s="13">
        <f>IF(AND(B182="",C182=""),"",IF(C182="","Needs the item",IF(B182="","Needs a room",IF(COUNTIF(Rooms!$B$6:$B$35,B182)=0,"Not on Rooms",IF(AND(H182&lt;&gt;"",NOT(ISNUMBER(H182))),"Paid not a number",IF(AND(I182&lt;&gt;"",NOT(ISNUMBER(I182))),"Worth not a number",IF(AND(G182&lt;&gt;"",NOT(ISNUMBER(G182))),"Bought is not a date",IF(AND(L182&lt;&gt;"",NOT(ISNUMBER(L182))),"Warranty is not a date",""))))))))</f>
        <v/>
      </c>
      <c r="S182" s="1">
        <f>IF(AND(C182&lt;&gt;"",R182=""),1,0)</f>
        <v/>
      </c>
      <c r="T182">
        <f>IF(S182=1,N(N182),0)</f>
        <v/>
      </c>
      <c r="U182">
        <f>IF(AND(S182=1,T182&gt;0),ROUND(T182*100,0)*10000+10000-ROW(),"")</f>
        <v/>
      </c>
      <c r="V182">
        <f>IF(AND(S182=1,OR(Report!$C$5="",B182=Report!$C$5)),MATCH(B182,Rooms!$B$6:$B$35,0)*10000+ROW(),"")</f>
        <v/>
      </c>
      <c r="W182">
        <f>IF(AND(S182=1,OR(J182="",J182="No")),1,0)</f>
        <v/>
      </c>
      <c r="X182">
        <f>IF(AND(S182=1,K182=""),1,0)</f>
        <v/>
      </c>
      <c r="Y182">
        <f>IF(AND(S182=1,Q182&lt;&gt;""),ROUND(T182*100,0)*10000+10000-ROW(),"")</f>
        <v/>
      </c>
    </row>
    <row r="183">
      <c r="A183" s="1" t="n"/>
      <c r="B183" s="17" t="n"/>
      <c r="C183" s="18" t="n"/>
      <c r="D183" s="17" t="n"/>
      <c r="E183" s="19" t="n"/>
      <c r="F183" s="19" t="n"/>
      <c r="G183" s="20" t="n"/>
      <c r="H183" s="21" t="n"/>
      <c r="I183" s="21" t="n"/>
      <c r="J183" s="17" t="n"/>
      <c r="K183" s="19" t="n"/>
      <c r="L183" s="20" t="n"/>
      <c r="M183" s="19" t="n"/>
      <c r="N183" s="22">
        <f>IF(C183="","",IF(ISNUMBER(I183),I183,IF(ISNUMBER(H183),H183,"")))</f>
        <v/>
      </c>
      <c r="O183" s="23">
        <f>IF(OR(C183="",NOT(ISNUMBER(G183))),"",(TODAY()-INT(G183))/365.25)</f>
        <v/>
      </c>
      <c r="P183" s="13">
        <f>IF(OR(C183="",NOT(ISNUMBER(L183))),"",IF(L183&lt;TODAY(),"Ended",IF(L183-TODAY()&lt;=N(Settings!$C$10),"Ends soon","Covered")))</f>
        <v/>
      </c>
      <c r="Q183" s="13">
        <f>IF(C183="","",MID(IF(N183="",", value","")&amp;IF(OR(J183="",J183="No"),", receipt","")&amp;IF(K183="",", photo",""),3,100))</f>
        <v/>
      </c>
      <c r="R183" s="13">
        <f>IF(AND(B183="",C183=""),"",IF(C183="","Needs the item",IF(B183="","Needs a room",IF(COUNTIF(Rooms!$B$6:$B$35,B183)=0,"Not on Rooms",IF(AND(H183&lt;&gt;"",NOT(ISNUMBER(H183))),"Paid not a number",IF(AND(I183&lt;&gt;"",NOT(ISNUMBER(I183))),"Worth not a number",IF(AND(G183&lt;&gt;"",NOT(ISNUMBER(G183))),"Bought is not a date",IF(AND(L183&lt;&gt;"",NOT(ISNUMBER(L183))),"Warranty is not a date",""))))))))</f>
        <v/>
      </c>
      <c r="S183" s="1">
        <f>IF(AND(C183&lt;&gt;"",R183=""),1,0)</f>
        <v/>
      </c>
      <c r="T183">
        <f>IF(S183=1,N(N183),0)</f>
        <v/>
      </c>
      <c r="U183">
        <f>IF(AND(S183=1,T183&gt;0),ROUND(T183*100,0)*10000+10000-ROW(),"")</f>
        <v/>
      </c>
      <c r="V183">
        <f>IF(AND(S183=1,OR(Report!$C$5="",B183=Report!$C$5)),MATCH(B183,Rooms!$B$6:$B$35,0)*10000+ROW(),"")</f>
        <v/>
      </c>
      <c r="W183">
        <f>IF(AND(S183=1,OR(J183="",J183="No")),1,0)</f>
        <v/>
      </c>
      <c r="X183">
        <f>IF(AND(S183=1,K183=""),1,0)</f>
        <v/>
      </c>
      <c r="Y183">
        <f>IF(AND(S183=1,Q183&lt;&gt;""),ROUND(T183*100,0)*10000+10000-ROW(),"")</f>
        <v/>
      </c>
    </row>
    <row r="184">
      <c r="A184" s="1" t="n"/>
      <c r="B184" s="17" t="n"/>
      <c r="C184" s="18" t="n"/>
      <c r="D184" s="17" t="n"/>
      <c r="E184" s="19" t="n"/>
      <c r="F184" s="19" t="n"/>
      <c r="G184" s="20" t="n"/>
      <c r="H184" s="21" t="n"/>
      <c r="I184" s="21" t="n"/>
      <c r="J184" s="17" t="n"/>
      <c r="K184" s="19" t="n"/>
      <c r="L184" s="20" t="n"/>
      <c r="M184" s="19" t="n"/>
      <c r="N184" s="22">
        <f>IF(C184="","",IF(ISNUMBER(I184),I184,IF(ISNUMBER(H184),H184,"")))</f>
        <v/>
      </c>
      <c r="O184" s="23">
        <f>IF(OR(C184="",NOT(ISNUMBER(G184))),"",(TODAY()-INT(G184))/365.25)</f>
        <v/>
      </c>
      <c r="P184" s="13">
        <f>IF(OR(C184="",NOT(ISNUMBER(L184))),"",IF(L184&lt;TODAY(),"Ended",IF(L184-TODAY()&lt;=N(Settings!$C$10),"Ends soon","Covered")))</f>
        <v/>
      </c>
      <c r="Q184" s="13">
        <f>IF(C184="","",MID(IF(N184="",", value","")&amp;IF(OR(J184="",J184="No"),", receipt","")&amp;IF(K184="",", photo",""),3,100))</f>
        <v/>
      </c>
      <c r="R184" s="13">
        <f>IF(AND(B184="",C184=""),"",IF(C184="","Needs the item",IF(B184="","Needs a room",IF(COUNTIF(Rooms!$B$6:$B$35,B184)=0,"Not on Rooms",IF(AND(H184&lt;&gt;"",NOT(ISNUMBER(H184))),"Paid not a number",IF(AND(I184&lt;&gt;"",NOT(ISNUMBER(I184))),"Worth not a number",IF(AND(G184&lt;&gt;"",NOT(ISNUMBER(G184))),"Bought is not a date",IF(AND(L184&lt;&gt;"",NOT(ISNUMBER(L184))),"Warranty is not a date",""))))))))</f>
        <v/>
      </c>
      <c r="S184" s="1">
        <f>IF(AND(C184&lt;&gt;"",R184=""),1,0)</f>
        <v/>
      </c>
      <c r="T184">
        <f>IF(S184=1,N(N184),0)</f>
        <v/>
      </c>
      <c r="U184">
        <f>IF(AND(S184=1,T184&gt;0),ROUND(T184*100,0)*10000+10000-ROW(),"")</f>
        <v/>
      </c>
      <c r="V184">
        <f>IF(AND(S184=1,OR(Report!$C$5="",B184=Report!$C$5)),MATCH(B184,Rooms!$B$6:$B$35,0)*10000+ROW(),"")</f>
        <v/>
      </c>
      <c r="W184">
        <f>IF(AND(S184=1,OR(J184="",J184="No")),1,0)</f>
        <v/>
      </c>
      <c r="X184">
        <f>IF(AND(S184=1,K184=""),1,0)</f>
        <v/>
      </c>
      <c r="Y184">
        <f>IF(AND(S184=1,Q184&lt;&gt;""),ROUND(T184*100,0)*10000+10000-ROW(),"")</f>
        <v/>
      </c>
    </row>
    <row r="185">
      <c r="A185" s="1" t="n"/>
      <c r="B185" s="17" t="n"/>
      <c r="C185" s="18" t="n"/>
      <c r="D185" s="17" t="n"/>
      <c r="E185" s="19" t="n"/>
      <c r="F185" s="19" t="n"/>
      <c r="G185" s="20" t="n"/>
      <c r="H185" s="21" t="n"/>
      <c r="I185" s="21" t="n"/>
      <c r="J185" s="17" t="n"/>
      <c r="K185" s="19" t="n"/>
      <c r="L185" s="20" t="n"/>
      <c r="M185" s="19" t="n"/>
      <c r="N185" s="22">
        <f>IF(C185="","",IF(ISNUMBER(I185),I185,IF(ISNUMBER(H185),H185,"")))</f>
        <v/>
      </c>
      <c r="O185" s="23">
        <f>IF(OR(C185="",NOT(ISNUMBER(G185))),"",(TODAY()-INT(G185))/365.25)</f>
        <v/>
      </c>
      <c r="P185" s="13">
        <f>IF(OR(C185="",NOT(ISNUMBER(L185))),"",IF(L185&lt;TODAY(),"Ended",IF(L185-TODAY()&lt;=N(Settings!$C$10),"Ends soon","Covered")))</f>
        <v/>
      </c>
      <c r="Q185" s="13">
        <f>IF(C185="","",MID(IF(N185="",", value","")&amp;IF(OR(J185="",J185="No"),", receipt","")&amp;IF(K185="",", photo",""),3,100))</f>
        <v/>
      </c>
      <c r="R185" s="13">
        <f>IF(AND(B185="",C185=""),"",IF(C185="","Needs the item",IF(B185="","Needs a room",IF(COUNTIF(Rooms!$B$6:$B$35,B185)=0,"Not on Rooms",IF(AND(H185&lt;&gt;"",NOT(ISNUMBER(H185))),"Paid not a number",IF(AND(I185&lt;&gt;"",NOT(ISNUMBER(I185))),"Worth not a number",IF(AND(G185&lt;&gt;"",NOT(ISNUMBER(G185))),"Bought is not a date",IF(AND(L185&lt;&gt;"",NOT(ISNUMBER(L185))),"Warranty is not a date",""))))))))</f>
        <v/>
      </c>
      <c r="S185" s="1">
        <f>IF(AND(C185&lt;&gt;"",R185=""),1,0)</f>
        <v/>
      </c>
      <c r="T185">
        <f>IF(S185=1,N(N185),0)</f>
        <v/>
      </c>
      <c r="U185">
        <f>IF(AND(S185=1,T185&gt;0),ROUND(T185*100,0)*10000+10000-ROW(),"")</f>
        <v/>
      </c>
      <c r="V185">
        <f>IF(AND(S185=1,OR(Report!$C$5="",B185=Report!$C$5)),MATCH(B185,Rooms!$B$6:$B$35,0)*10000+ROW(),"")</f>
        <v/>
      </c>
      <c r="W185">
        <f>IF(AND(S185=1,OR(J185="",J185="No")),1,0)</f>
        <v/>
      </c>
      <c r="X185">
        <f>IF(AND(S185=1,K185=""),1,0)</f>
        <v/>
      </c>
      <c r="Y185">
        <f>IF(AND(S185=1,Q185&lt;&gt;""),ROUND(T185*100,0)*10000+10000-ROW(),"")</f>
        <v/>
      </c>
    </row>
    <row r="186">
      <c r="A186" s="1" t="n"/>
      <c r="B186" s="17" t="n"/>
      <c r="C186" s="18" t="n"/>
      <c r="D186" s="17" t="n"/>
      <c r="E186" s="19" t="n"/>
      <c r="F186" s="19" t="n"/>
      <c r="G186" s="20" t="n"/>
      <c r="H186" s="21" t="n"/>
      <c r="I186" s="21" t="n"/>
      <c r="J186" s="17" t="n"/>
      <c r="K186" s="19" t="n"/>
      <c r="L186" s="20" t="n"/>
      <c r="M186" s="19" t="n"/>
      <c r="N186" s="22">
        <f>IF(C186="","",IF(ISNUMBER(I186),I186,IF(ISNUMBER(H186),H186,"")))</f>
        <v/>
      </c>
      <c r="O186" s="23">
        <f>IF(OR(C186="",NOT(ISNUMBER(G186))),"",(TODAY()-INT(G186))/365.25)</f>
        <v/>
      </c>
      <c r="P186" s="13">
        <f>IF(OR(C186="",NOT(ISNUMBER(L186))),"",IF(L186&lt;TODAY(),"Ended",IF(L186-TODAY()&lt;=N(Settings!$C$10),"Ends soon","Covered")))</f>
        <v/>
      </c>
      <c r="Q186" s="13">
        <f>IF(C186="","",MID(IF(N186="",", value","")&amp;IF(OR(J186="",J186="No"),", receipt","")&amp;IF(K186="",", photo",""),3,100))</f>
        <v/>
      </c>
      <c r="R186" s="13">
        <f>IF(AND(B186="",C186=""),"",IF(C186="","Needs the item",IF(B186="","Needs a room",IF(COUNTIF(Rooms!$B$6:$B$35,B186)=0,"Not on Rooms",IF(AND(H186&lt;&gt;"",NOT(ISNUMBER(H186))),"Paid not a number",IF(AND(I186&lt;&gt;"",NOT(ISNUMBER(I186))),"Worth not a number",IF(AND(G186&lt;&gt;"",NOT(ISNUMBER(G186))),"Bought is not a date",IF(AND(L186&lt;&gt;"",NOT(ISNUMBER(L186))),"Warranty is not a date",""))))))))</f>
        <v/>
      </c>
      <c r="S186" s="1">
        <f>IF(AND(C186&lt;&gt;"",R186=""),1,0)</f>
        <v/>
      </c>
      <c r="T186">
        <f>IF(S186=1,N(N186),0)</f>
        <v/>
      </c>
      <c r="U186">
        <f>IF(AND(S186=1,T186&gt;0),ROUND(T186*100,0)*10000+10000-ROW(),"")</f>
        <v/>
      </c>
      <c r="V186">
        <f>IF(AND(S186=1,OR(Report!$C$5="",B186=Report!$C$5)),MATCH(B186,Rooms!$B$6:$B$35,0)*10000+ROW(),"")</f>
        <v/>
      </c>
      <c r="W186">
        <f>IF(AND(S186=1,OR(J186="",J186="No")),1,0)</f>
        <v/>
      </c>
      <c r="X186">
        <f>IF(AND(S186=1,K186=""),1,0)</f>
        <v/>
      </c>
      <c r="Y186">
        <f>IF(AND(S186=1,Q186&lt;&gt;""),ROUND(T186*100,0)*10000+10000-ROW(),"")</f>
        <v/>
      </c>
    </row>
    <row r="187">
      <c r="A187" s="1" t="n"/>
      <c r="B187" s="17" t="n"/>
      <c r="C187" s="18" t="n"/>
      <c r="D187" s="17" t="n"/>
      <c r="E187" s="19" t="n"/>
      <c r="F187" s="19" t="n"/>
      <c r="G187" s="20" t="n"/>
      <c r="H187" s="21" t="n"/>
      <c r="I187" s="21" t="n"/>
      <c r="J187" s="17" t="n"/>
      <c r="K187" s="19" t="n"/>
      <c r="L187" s="20" t="n"/>
      <c r="M187" s="19" t="n"/>
      <c r="N187" s="22">
        <f>IF(C187="","",IF(ISNUMBER(I187),I187,IF(ISNUMBER(H187),H187,"")))</f>
        <v/>
      </c>
      <c r="O187" s="23">
        <f>IF(OR(C187="",NOT(ISNUMBER(G187))),"",(TODAY()-INT(G187))/365.25)</f>
        <v/>
      </c>
      <c r="P187" s="13">
        <f>IF(OR(C187="",NOT(ISNUMBER(L187))),"",IF(L187&lt;TODAY(),"Ended",IF(L187-TODAY()&lt;=N(Settings!$C$10),"Ends soon","Covered")))</f>
        <v/>
      </c>
      <c r="Q187" s="13">
        <f>IF(C187="","",MID(IF(N187="",", value","")&amp;IF(OR(J187="",J187="No"),", receipt","")&amp;IF(K187="",", photo",""),3,100))</f>
        <v/>
      </c>
      <c r="R187" s="13">
        <f>IF(AND(B187="",C187=""),"",IF(C187="","Needs the item",IF(B187="","Needs a room",IF(COUNTIF(Rooms!$B$6:$B$35,B187)=0,"Not on Rooms",IF(AND(H187&lt;&gt;"",NOT(ISNUMBER(H187))),"Paid not a number",IF(AND(I187&lt;&gt;"",NOT(ISNUMBER(I187))),"Worth not a number",IF(AND(G187&lt;&gt;"",NOT(ISNUMBER(G187))),"Bought is not a date",IF(AND(L187&lt;&gt;"",NOT(ISNUMBER(L187))),"Warranty is not a date",""))))))))</f>
        <v/>
      </c>
      <c r="S187" s="1">
        <f>IF(AND(C187&lt;&gt;"",R187=""),1,0)</f>
        <v/>
      </c>
      <c r="T187">
        <f>IF(S187=1,N(N187),0)</f>
        <v/>
      </c>
      <c r="U187">
        <f>IF(AND(S187=1,T187&gt;0),ROUND(T187*100,0)*10000+10000-ROW(),"")</f>
        <v/>
      </c>
      <c r="V187">
        <f>IF(AND(S187=1,OR(Report!$C$5="",B187=Report!$C$5)),MATCH(B187,Rooms!$B$6:$B$35,0)*10000+ROW(),"")</f>
        <v/>
      </c>
      <c r="W187">
        <f>IF(AND(S187=1,OR(J187="",J187="No")),1,0)</f>
        <v/>
      </c>
      <c r="X187">
        <f>IF(AND(S187=1,K187=""),1,0)</f>
        <v/>
      </c>
      <c r="Y187">
        <f>IF(AND(S187=1,Q187&lt;&gt;""),ROUND(T187*100,0)*10000+10000-ROW(),"")</f>
        <v/>
      </c>
    </row>
    <row r="188">
      <c r="A188" s="1" t="n"/>
      <c r="B188" s="17" t="n"/>
      <c r="C188" s="18" t="n"/>
      <c r="D188" s="17" t="n"/>
      <c r="E188" s="19" t="n"/>
      <c r="F188" s="19" t="n"/>
      <c r="G188" s="20" t="n"/>
      <c r="H188" s="21" t="n"/>
      <c r="I188" s="21" t="n"/>
      <c r="J188" s="17" t="n"/>
      <c r="K188" s="19" t="n"/>
      <c r="L188" s="20" t="n"/>
      <c r="M188" s="19" t="n"/>
      <c r="N188" s="22">
        <f>IF(C188="","",IF(ISNUMBER(I188),I188,IF(ISNUMBER(H188),H188,"")))</f>
        <v/>
      </c>
      <c r="O188" s="23">
        <f>IF(OR(C188="",NOT(ISNUMBER(G188))),"",(TODAY()-INT(G188))/365.25)</f>
        <v/>
      </c>
      <c r="P188" s="13">
        <f>IF(OR(C188="",NOT(ISNUMBER(L188))),"",IF(L188&lt;TODAY(),"Ended",IF(L188-TODAY()&lt;=N(Settings!$C$10),"Ends soon","Covered")))</f>
        <v/>
      </c>
      <c r="Q188" s="13">
        <f>IF(C188="","",MID(IF(N188="",", value","")&amp;IF(OR(J188="",J188="No"),", receipt","")&amp;IF(K188="",", photo",""),3,100))</f>
        <v/>
      </c>
      <c r="R188" s="13">
        <f>IF(AND(B188="",C188=""),"",IF(C188="","Needs the item",IF(B188="","Needs a room",IF(COUNTIF(Rooms!$B$6:$B$35,B188)=0,"Not on Rooms",IF(AND(H188&lt;&gt;"",NOT(ISNUMBER(H188))),"Paid not a number",IF(AND(I188&lt;&gt;"",NOT(ISNUMBER(I188))),"Worth not a number",IF(AND(G188&lt;&gt;"",NOT(ISNUMBER(G188))),"Bought is not a date",IF(AND(L188&lt;&gt;"",NOT(ISNUMBER(L188))),"Warranty is not a date",""))))))))</f>
        <v/>
      </c>
      <c r="S188" s="1">
        <f>IF(AND(C188&lt;&gt;"",R188=""),1,0)</f>
        <v/>
      </c>
      <c r="T188">
        <f>IF(S188=1,N(N188),0)</f>
        <v/>
      </c>
      <c r="U188">
        <f>IF(AND(S188=1,T188&gt;0),ROUND(T188*100,0)*10000+10000-ROW(),"")</f>
        <v/>
      </c>
      <c r="V188">
        <f>IF(AND(S188=1,OR(Report!$C$5="",B188=Report!$C$5)),MATCH(B188,Rooms!$B$6:$B$35,0)*10000+ROW(),"")</f>
        <v/>
      </c>
      <c r="W188">
        <f>IF(AND(S188=1,OR(J188="",J188="No")),1,0)</f>
        <v/>
      </c>
      <c r="X188">
        <f>IF(AND(S188=1,K188=""),1,0)</f>
        <v/>
      </c>
      <c r="Y188">
        <f>IF(AND(S188=1,Q188&lt;&gt;""),ROUND(T188*100,0)*10000+10000-ROW(),"")</f>
        <v/>
      </c>
    </row>
    <row r="189">
      <c r="A189" s="1" t="n"/>
      <c r="B189" s="17" t="n"/>
      <c r="C189" s="18" t="n"/>
      <c r="D189" s="17" t="n"/>
      <c r="E189" s="19" t="n"/>
      <c r="F189" s="19" t="n"/>
      <c r="G189" s="20" t="n"/>
      <c r="H189" s="21" t="n"/>
      <c r="I189" s="21" t="n"/>
      <c r="J189" s="17" t="n"/>
      <c r="K189" s="19" t="n"/>
      <c r="L189" s="20" t="n"/>
      <c r="M189" s="19" t="n"/>
      <c r="N189" s="22">
        <f>IF(C189="","",IF(ISNUMBER(I189),I189,IF(ISNUMBER(H189),H189,"")))</f>
        <v/>
      </c>
      <c r="O189" s="23">
        <f>IF(OR(C189="",NOT(ISNUMBER(G189))),"",(TODAY()-INT(G189))/365.25)</f>
        <v/>
      </c>
      <c r="P189" s="13">
        <f>IF(OR(C189="",NOT(ISNUMBER(L189))),"",IF(L189&lt;TODAY(),"Ended",IF(L189-TODAY()&lt;=N(Settings!$C$10),"Ends soon","Covered")))</f>
        <v/>
      </c>
      <c r="Q189" s="13">
        <f>IF(C189="","",MID(IF(N189="",", value","")&amp;IF(OR(J189="",J189="No"),", receipt","")&amp;IF(K189="",", photo",""),3,100))</f>
        <v/>
      </c>
      <c r="R189" s="13">
        <f>IF(AND(B189="",C189=""),"",IF(C189="","Needs the item",IF(B189="","Needs a room",IF(COUNTIF(Rooms!$B$6:$B$35,B189)=0,"Not on Rooms",IF(AND(H189&lt;&gt;"",NOT(ISNUMBER(H189))),"Paid not a number",IF(AND(I189&lt;&gt;"",NOT(ISNUMBER(I189))),"Worth not a number",IF(AND(G189&lt;&gt;"",NOT(ISNUMBER(G189))),"Bought is not a date",IF(AND(L189&lt;&gt;"",NOT(ISNUMBER(L189))),"Warranty is not a date",""))))))))</f>
        <v/>
      </c>
      <c r="S189" s="1">
        <f>IF(AND(C189&lt;&gt;"",R189=""),1,0)</f>
        <v/>
      </c>
      <c r="T189">
        <f>IF(S189=1,N(N189),0)</f>
        <v/>
      </c>
      <c r="U189">
        <f>IF(AND(S189=1,T189&gt;0),ROUND(T189*100,0)*10000+10000-ROW(),"")</f>
        <v/>
      </c>
      <c r="V189">
        <f>IF(AND(S189=1,OR(Report!$C$5="",B189=Report!$C$5)),MATCH(B189,Rooms!$B$6:$B$35,0)*10000+ROW(),"")</f>
        <v/>
      </c>
      <c r="W189">
        <f>IF(AND(S189=1,OR(J189="",J189="No")),1,0)</f>
        <v/>
      </c>
      <c r="X189">
        <f>IF(AND(S189=1,K189=""),1,0)</f>
        <v/>
      </c>
      <c r="Y189">
        <f>IF(AND(S189=1,Q189&lt;&gt;""),ROUND(T189*100,0)*10000+10000-ROW(),"")</f>
        <v/>
      </c>
    </row>
    <row r="190">
      <c r="A190" s="1" t="n"/>
      <c r="B190" s="17" t="n"/>
      <c r="C190" s="18" t="n"/>
      <c r="D190" s="17" t="n"/>
      <c r="E190" s="19" t="n"/>
      <c r="F190" s="19" t="n"/>
      <c r="G190" s="20" t="n"/>
      <c r="H190" s="21" t="n"/>
      <c r="I190" s="21" t="n"/>
      <c r="J190" s="17" t="n"/>
      <c r="K190" s="19" t="n"/>
      <c r="L190" s="20" t="n"/>
      <c r="M190" s="19" t="n"/>
      <c r="N190" s="22">
        <f>IF(C190="","",IF(ISNUMBER(I190),I190,IF(ISNUMBER(H190),H190,"")))</f>
        <v/>
      </c>
      <c r="O190" s="23">
        <f>IF(OR(C190="",NOT(ISNUMBER(G190))),"",(TODAY()-INT(G190))/365.25)</f>
        <v/>
      </c>
      <c r="P190" s="13">
        <f>IF(OR(C190="",NOT(ISNUMBER(L190))),"",IF(L190&lt;TODAY(),"Ended",IF(L190-TODAY()&lt;=N(Settings!$C$10),"Ends soon","Covered")))</f>
        <v/>
      </c>
      <c r="Q190" s="13">
        <f>IF(C190="","",MID(IF(N190="",", value","")&amp;IF(OR(J190="",J190="No"),", receipt","")&amp;IF(K190="",", photo",""),3,100))</f>
        <v/>
      </c>
      <c r="R190" s="13">
        <f>IF(AND(B190="",C190=""),"",IF(C190="","Needs the item",IF(B190="","Needs a room",IF(COUNTIF(Rooms!$B$6:$B$35,B190)=0,"Not on Rooms",IF(AND(H190&lt;&gt;"",NOT(ISNUMBER(H190))),"Paid not a number",IF(AND(I190&lt;&gt;"",NOT(ISNUMBER(I190))),"Worth not a number",IF(AND(G190&lt;&gt;"",NOT(ISNUMBER(G190))),"Bought is not a date",IF(AND(L190&lt;&gt;"",NOT(ISNUMBER(L190))),"Warranty is not a date",""))))))))</f>
        <v/>
      </c>
      <c r="S190" s="1">
        <f>IF(AND(C190&lt;&gt;"",R190=""),1,0)</f>
        <v/>
      </c>
      <c r="T190">
        <f>IF(S190=1,N(N190),0)</f>
        <v/>
      </c>
      <c r="U190">
        <f>IF(AND(S190=1,T190&gt;0),ROUND(T190*100,0)*10000+10000-ROW(),"")</f>
        <v/>
      </c>
      <c r="V190">
        <f>IF(AND(S190=1,OR(Report!$C$5="",B190=Report!$C$5)),MATCH(B190,Rooms!$B$6:$B$35,0)*10000+ROW(),"")</f>
        <v/>
      </c>
      <c r="W190">
        <f>IF(AND(S190=1,OR(J190="",J190="No")),1,0)</f>
        <v/>
      </c>
      <c r="X190">
        <f>IF(AND(S190=1,K190=""),1,0)</f>
        <v/>
      </c>
      <c r="Y190">
        <f>IF(AND(S190=1,Q190&lt;&gt;""),ROUND(T190*100,0)*10000+10000-ROW(),"")</f>
        <v/>
      </c>
    </row>
    <row r="191">
      <c r="A191" s="1" t="n"/>
      <c r="B191" s="17" t="n"/>
      <c r="C191" s="18" t="n"/>
      <c r="D191" s="17" t="n"/>
      <c r="E191" s="19" t="n"/>
      <c r="F191" s="19" t="n"/>
      <c r="G191" s="20" t="n"/>
      <c r="H191" s="21" t="n"/>
      <c r="I191" s="21" t="n"/>
      <c r="J191" s="17" t="n"/>
      <c r="K191" s="19" t="n"/>
      <c r="L191" s="20" t="n"/>
      <c r="M191" s="19" t="n"/>
      <c r="N191" s="22">
        <f>IF(C191="","",IF(ISNUMBER(I191),I191,IF(ISNUMBER(H191),H191,"")))</f>
        <v/>
      </c>
      <c r="O191" s="23">
        <f>IF(OR(C191="",NOT(ISNUMBER(G191))),"",(TODAY()-INT(G191))/365.25)</f>
        <v/>
      </c>
      <c r="P191" s="13">
        <f>IF(OR(C191="",NOT(ISNUMBER(L191))),"",IF(L191&lt;TODAY(),"Ended",IF(L191-TODAY()&lt;=N(Settings!$C$10),"Ends soon","Covered")))</f>
        <v/>
      </c>
      <c r="Q191" s="13">
        <f>IF(C191="","",MID(IF(N191="",", value","")&amp;IF(OR(J191="",J191="No"),", receipt","")&amp;IF(K191="",", photo",""),3,100))</f>
        <v/>
      </c>
      <c r="R191" s="13">
        <f>IF(AND(B191="",C191=""),"",IF(C191="","Needs the item",IF(B191="","Needs a room",IF(COUNTIF(Rooms!$B$6:$B$35,B191)=0,"Not on Rooms",IF(AND(H191&lt;&gt;"",NOT(ISNUMBER(H191))),"Paid not a number",IF(AND(I191&lt;&gt;"",NOT(ISNUMBER(I191))),"Worth not a number",IF(AND(G191&lt;&gt;"",NOT(ISNUMBER(G191))),"Bought is not a date",IF(AND(L191&lt;&gt;"",NOT(ISNUMBER(L191))),"Warranty is not a date",""))))))))</f>
        <v/>
      </c>
      <c r="S191" s="1">
        <f>IF(AND(C191&lt;&gt;"",R191=""),1,0)</f>
        <v/>
      </c>
      <c r="T191">
        <f>IF(S191=1,N(N191),0)</f>
        <v/>
      </c>
      <c r="U191">
        <f>IF(AND(S191=1,T191&gt;0),ROUND(T191*100,0)*10000+10000-ROW(),"")</f>
        <v/>
      </c>
      <c r="V191">
        <f>IF(AND(S191=1,OR(Report!$C$5="",B191=Report!$C$5)),MATCH(B191,Rooms!$B$6:$B$35,0)*10000+ROW(),"")</f>
        <v/>
      </c>
      <c r="W191">
        <f>IF(AND(S191=1,OR(J191="",J191="No")),1,0)</f>
        <v/>
      </c>
      <c r="X191">
        <f>IF(AND(S191=1,K191=""),1,0)</f>
        <v/>
      </c>
      <c r="Y191">
        <f>IF(AND(S191=1,Q191&lt;&gt;""),ROUND(T191*100,0)*10000+10000-ROW(),"")</f>
        <v/>
      </c>
    </row>
    <row r="192">
      <c r="A192" s="1" t="n"/>
      <c r="B192" s="17" t="n"/>
      <c r="C192" s="18" t="n"/>
      <c r="D192" s="17" t="n"/>
      <c r="E192" s="19" t="n"/>
      <c r="F192" s="19" t="n"/>
      <c r="G192" s="20" t="n"/>
      <c r="H192" s="21" t="n"/>
      <c r="I192" s="21" t="n"/>
      <c r="J192" s="17" t="n"/>
      <c r="K192" s="19" t="n"/>
      <c r="L192" s="20" t="n"/>
      <c r="M192" s="19" t="n"/>
      <c r="N192" s="22">
        <f>IF(C192="","",IF(ISNUMBER(I192),I192,IF(ISNUMBER(H192),H192,"")))</f>
        <v/>
      </c>
      <c r="O192" s="23">
        <f>IF(OR(C192="",NOT(ISNUMBER(G192))),"",(TODAY()-INT(G192))/365.25)</f>
        <v/>
      </c>
      <c r="P192" s="13">
        <f>IF(OR(C192="",NOT(ISNUMBER(L192))),"",IF(L192&lt;TODAY(),"Ended",IF(L192-TODAY()&lt;=N(Settings!$C$10),"Ends soon","Covered")))</f>
        <v/>
      </c>
      <c r="Q192" s="13">
        <f>IF(C192="","",MID(IF(N192="",", value","")&amp;IF(OR(J192="",J192="No"),", receipt","")&amp;IF(K192="",", photo",""),3,100))</f>
        <v/>
      </c>
      <c r="R192" s="13">
        <f>IF(AND(B192="",C192=""),"",IF(C192="","Needs the item",IF(B192="","Needs a room",IF(COUNTIF(Rooms!$B$6:$B$35,B192)=0,"Not on Rooms",IF(AND(H192&lt;&gt;"",NOT(ISNUMBER(H192))),"Paid not a number",IF(AND(I192&lt;&gt;"",NOT(ISNUMBER(I192))),"Worth not a number",IF(AND(G192&lt;&gt;"",NOT(ISNUMBER(G192))),"Bought is not a date",IF(AND(L192&lt;&gt;"",NOT(ISNUMBER(L192))),"Warranty is not a date",""))))))))</f>
        <v/>
      </c>
      <c r="S192" s="1">
        <f>IF(AND(C192&lt;&gt;"",R192=""),1,0)</f>
        <v/>
      </c>
      <c r="T192">
        <f>IF(S192=1,N(N192),0)</f>
        <v/>
      </c>
      <c r="U192">
        <f>IF(AND(S192=1,T192&gt;0),ROUND(T192*100,0)*10000+10000-ROW(),"")</f>
        <v/>
      </c>
      <c r="V192">
        <f>IF(AND(S192=1,OR(Report!$C$5="",B192=Report!$C$5)),MATCH(B192,Rooms!$B$6:$B$35,0)*10000+ROW(),"")</f>
        <v/>
      </c>
      <c r="W192">
        <f>IF(AND(S192=1,OR(J192="",J192="No")),1,0)</f>
        <v/>
      </c>
      <c r="X192">
        <f>IF(AND(S192=1,K192=""),1,0)</f>
        <v/>
      </c>
      <c r="Y192">
        <f>IF(AND(S192=1,Q192&lt;&gt;""),ROUND(T192*100,0)*10000+10000-ROW(),"")</f>
        <v/>
      </c>
    </row>
    <row r="193">
      <c r="A193" s="1" t="n"/>
      <c r="B193" s="17" t="n"/>
      <c r="C193" s="18" t="n"/>
      <c r="D193" s="17" t="n"/>
      <c r="E193" s="19" t="n"/>
      <c r="F193" s="19" t="n"/>
      <c r="G193" s="20" t="n"/>
      <c r="H193" s="21" t="n"/>
      <c r="I193" s="21" t="n"/>
      <c r="J193" s="17" t="n"/>
      <c r="K193" s="19" t="n"/>
      <c r="L193" s="20" t="n"/>
      <c r="M193" s="19" t="n"/>
      <c r="N193" s="22">
        <f>IF(C193="","",IF(ISNUMBER(I193),I193,IF(ISNUMBER(H193),H193,"")))</f>
        <v/>
      </c>
      <c r="O193" s="23">
        <f>IF(OR(C193="",NOT(ISNUMBER(G193))),"",(TODAY()-INT(G193))/365.25)</f>
        <v/>
      </c>
      <c r="P193" s="13">
        <f>IF(OR(C193="",NOT(ISNUMBER(L193))),"",IF(L193&lt;TODAY(),"Ended",IF(L193-TODAY()&lt;=N(Settings!$C$10),"Ends soon","Covered")))</f>
        <v/>
      </c>
      <c r="Q193" s="13">
        <f>IF(C193="","",MID(IF(N193="",", value","")&amp;IF(OR(J193="",J193="No"),", receipt","")&amp;IF(K193="",", photo",""),3,100))</f>
        <v/>
      </c>
      <c r="R193" s="13">
        <f>IF(AND(B193="",C193=""),"",IF(C193="","Needs the item",IF(B193="","Needs a room",IF(COUNTIF(Rooms!$B$6:$B$35,B193)=0,"Not on Rooms",IF(AND(H193&lt;&gt;"",NOT(ISNUMBER(H193))),"Paid not a number",IF(AND(I193&lt;&gt;"",NOT(ISNUMBER(I193))),"Worth not a number",IF(AND(G193&lt;&gt;"",NOT(ISNUMBER(G193))),"Bought is not a date",IF(AND(L193&lt;&gt;"",NOT(ISNUMBER(L193))),"Warranty is not a date",""))))))))</f>
        <v/>
      </c>
      <c r="S193" s="1">
        <f>IF(AND(C193&lt;&gt;"",R193=""),1,0)</f>
        <v/>
      </c>
      <c r="T193">
        <f>IF(S193=1,N(N193),0)</f>
        <v/>
      </c>
      <c r="U193">
        <f>IF(AND(S193=1,T193&gt;0),ROUND(T193*100,0)*10000+10000-ROW(),"")</f>
        <v/>
      </c>
      <c r="V193">
        <f>IF(AND(S193=1,OR(Report!$C$5="",B193=Report!$C$5)),MATCH(B193,Rooms!$B$6:$B$35,0)*10000+ROW(),"")</f>
        <v/>
      </c>
      <c r="W193">
        <f>IF(AND(S193=1,OR(J193="",J193="No")),1,0)</f>
        <v/>
      </c>
      <c r="X193">
        <f>IF(AND(S193=1,K193=""),1,0)</f>
        <v/>
      </c>
      <c r="Y193">
        <f>IF(AND(S193=1,Q193&lt;&gt;""),ROUND(T193*100,0)*10000+10000-ROW(),"")</f>
        <v/>
      </c>
    </row>
    <row r="194">
      <c r="A194" s="1" t="n"/>
      <c r="B194" s="17" t="n"/>
      <c r="C194" s="18" t="n"/>
      <c r="D194" s="17" t="n"/>
      <c r="E194" s="19" t="n"/>
      <c r="F194" s="19" t="n"/>
      <c r="G194" s="20" t="n"/>
      <c r="H194" s="21" t="n"/>
      <c r="I194" s="21" t="n"/>
      <c r="J194" s="17" t="n"/>
      <c r="K194" s="19" t="n"/>
      <c r="L194" s="20" t="n"/>
      <c r="M194" s="19" t="n"/>
      <c r="N194" s="22">
        <f>IF(C194="","",IF(ISNUMBER(I194),I194,IF(ISNUMBER(H194),H194,"")))</f>
        <v/>
      </c>
      <c r="O194" s="23">
        <f>IF(OR(C194="",NOT(ISNUMBER(G194))),"",(TODAY()-INT(G194))/365.25)</f>
        <v/>
      </c>
      <c r="P194" s="13">
        <f>IF(OR(C194="",NOT(ISNUMBER(L194))),"",IF(L194&lt;TODAY(),"Ended",IF(L194-TODAY()&lt;=N(Settings!$C$10),"Ends soon","Covered")))</f>
        <v/>
      </c>
      <c r="Q194" s="13">
        <f>IF(C194="","",MID(IF(N194="",", value","")&amp;IF(OR(J194="",J194="No"),", receipt","")&amp;IF(K194="",", photo",""),3,100))</f>
        <v/>
      </c>
      <c r="R194" s="13">
        <f>IF(AND(B194="",C194=""),"",IF(C194="","Needs the item",IF(B194="","Needs a room",IF(COUNTIF(Rooms!$B$6:$B$35,B194)=0,"Not on Rooms",IF(AND(H194&lt;&gt;"",NOT(ISNUMBER(H194))),"Paid not a number",IF(AND(I194&lt;&gt;"",NOT(ISNUMBER(I194))),"Worth not a number",IF(AND(G194&lt;&gt;"",NOT(ISNUMBER(G194))),"Bought is not a date",IF(AND(L194&lt;&gt;"",NOT(ISNUMBER(L194))),"Warranty is not a date",""))))))))</f>
        <v/>
      </c>
      <c r="S194" s="1">
        <f>IF(AND(C194&lt;&gt;"",R194=""),1,0)</f>
        <v/>
      </c>
      <c r="T194">
        <f>IF(S194=1,N(N194),0)</f>
        <v/>
      </c>
      <c r="U194">
        <f>IF(AND(S194=1,T194&gt;0),ROUND(T194*100,0)*10000+10000-ROW(),"")</f>
        <v/>
      </c>
      <c r="V194">
        <f>IF(AND(S194=1,OR(Report!$C$5="",B194=Report!$C$5)),MATCH(B194,Rooms!$B$6:$B$35,0)*10000+ROW(),"")</f>
        <v/>
      </c>
      <c r="W194">
        <f>IF(AND(S194=1,OR(J194="",J194="No")),1,0)</f>
        <v/>
      </c>
      <c r="X194">
        <f>IF(AND(S194=1,K194=""),1,0)</f>
        <v/>
      </c>
      <c r="Y194">
        <f>IF(AND(S194=1,Q194&lt;&gt;""),ROUND(T194*100,0)*10000+10000-ROW(),"")</f>
        <v/>
      </c>
    </row>
    <row r="195">
      <c r="A195" s="1" t="n"/>
      <c r="B195" s="17" t="n"/>
      <c r="C195" s="18" t="n"/>
      <c r="D195" s="17" t="n"/>
      <c r="E195" s="19" t="n"/>
      <c r="F195" s="19" t="n"/>
      <c r="G195" s="20" t="n"/>
      <c r="H195" s="21" t="n"/>
      <c r="I195" s="21" t="n"/>
      <c r="J195" s="17" t="n"/>
      <c r="K195" s="19" t="n"/>
      <c r="L195" s="20" t="n"/>
      <c r="M195" s="19" t="n"/>
      <c r="N195" s="22">
        <f>IF(C195="","",IF(ISNUMBER(I195),I195,IF(ISNUMBER(H195),H195,"")))</f>
        <v/>
      </c>
      <c r="O195" s="23">
        <f>IF(OR(C195="",NOT(ISNUMBER(G195))),"",(TODAY()-INT(G195))/365.25)</f>
        <v/>
      </c>
      <c r="P195" s="13">
        <f>IF(OR(C195="",NOT(ISNUMBER(L195))),"",IF(L195&lt;TODAY(),"Ended",IF(L195-TODAY()&lt;=N(Settings!$C$10),"Ends soon","Covered")))</f>
        <v/>
      </c>
      <c r="Q195" s="13">
        <f>IF(C195="","",MID(IF(N195="",", value","")&amp;IF(OR(J195="",J195="No"),", receipt","")&amp;IF(K195="",", photo",""),3,100))</f>
        <v/>
      </c>
      <c r="R195" s="13">
        <f>IF(AND(B195="",C195=""),"",IF(C195="","Needs the item",IF(B195="","Needs a room",IF(COUNTIF(Rooms!$B$6:$B$35,B195)=0,"Not on Rooms",IF(AND(H195&lt;&gt;"",NOT(ISNUMBER(H195))),"Paid not a number",IF(AND(I195&lt;&gt;"",NOT(ISNUMBER(I195))),"Worth not a number",IF(AND(G195&lt;&gt;"",NOT(ISNUMBER(G195))),"Bought is not a date",IF(AND(L195&lt;&gt;"",NOT(ISNUMBER(L195))),"Warranty is not a date",""))))))))</f>
        <v/>
      </c>
      <c r="S195" s="1">
        <f>IF(AND(C195&lt;&gt;"",R195=""),1,0)</f>
        <v/>
      </c>
      <c r="T195">
        <f>IF(S195=1,N(N195),0)</f>
        <v/>
      </c>
      <c r="U195">
        <f>IF(AND(S195=1,T195&gt;0),ROUND(T195*100,0)*10000+10000-ROW(),"")</f>
        <v/>
      </c>
      <c r="V195">
        <f>IF(AND(S195=1,OR(Report!$C$5="",B195=Report!$C$5)),MATCH(B195,Rooms!$B$6:$B$35,0)*10000+ROW(),"")</f>
        <v/>
      </c>
      <c r="W195">
        <f>IF(AND(S195=1,OR(J195="",J195="No")),1,0)</f>
        <v/>
      </c>
      <c r="X195">
        <f>IF(AND(S195=1,K195=""),1,0)</f>
        <v/>
      </c>
      <c r="Y195">
        <f>IF(AND(S195=1,Q195&lt;&gt;""),ROUND(T195*100,0)*10000+10000-ROW(),"")</f>
        <v/>
      </c>
    </row>
    <row r="196">
      <c r="A196" s="1" t="n"/>
      <c r="B196" s="17" t="n"/>
      <c r="C196" s="18" t="n"/>
      <c r="D196" s="17" t="n"/>
      <c r="E196" s="19" t="n"/>
      <c r="F196" s="19" t="n"/>
      <c r="G196" s="20" t="n"/>
      <c r="H196" s="21" t="n"/>
      <c r="I196" s="21" t="n"/>
      <c r="J196" s="17" t="n"/>
      <c r="K196" s="19" t="n"/>
      <c r="L196" s="20" t="n"/>
      <c r="M196" s="19" t="n"/>
      <c r="N196" s="22">
        <f>IF(C196="","",IF(ISNUMBER(I196),I196,IF(ISNUMBER(H196),H196,"")))</f>
        <v/>
      </c>
      <c r="O196" s="23">
        <f>IF(OR(C196="",NOT(ISNUMBER(G196))),"",(TODAY()-INT(G196))/365.25)</f>
        <v/>
      </c>
      <c r="P196" s="13">
        <f>IF(OR(C196="",NOT(ISNUMBER(L196))),"",IF(L196&lt;TODAY(),"Ended",IF(L196-TODAY()&lt;=N(Settings!$C$10),"Ends soon","Covered")))</f>
        <v/>
      </c>
      <c r="Q196" s="13">
        <f>IF(C196="","",MID(IF(N196="",", value","")&amp;IF(OR(J196="",J196="No"),", receipt","")&amp;IF(K196="",", photo",""),3,100))</f>
        <v/>
      </c>
      <c r="R196" s="13">
        <f>IF(AND(B196="",C196=""),"",IF(C196="","Needs the item",IF(B196="","Needs a room",IF(COUNTIF(Rooms!$B$6:$B$35,B196)=0,"Not on Rooms",IF(AND(H196&lt;&gt;"",NOT(ISNUMBER(H196))),"Paid not a number",IF(AND(I196&lt;&gt;"",NOT(ISNUMBER(I196))),"Worth not a number",IF(AND(G196&lt;&gt;"",NOT(ISNUMBER(G196))),"Bought is not a date",IF(AND(L196&lt;&gt;"",NOT(ISNUMBER(L196))),"Warranty is not a date",""))))))))</f>
        <v/>
      </c>
      <c r="S196" s="1">
        <f>IF(AND(C196&lt;&gt;"",R196=""),1,0)</f>
        <v/>
      </c>
      <c r="T196">
        <f>IF(S196=1,N(N196),0)</f>
        <v/>
      </c>
      <c r="U196">
        <f>IF(AND(S196=1,T196&gt;0),ROUND(T196*100,0)*10000+10000-ROW(),"")</f>
        <v/>
      </c>
      <c r="V196">
        <f>IF(AND(S196=1,OR(Report!$C$5="",B196=Report!$C$5)),MATCH(B196,Rooms!$B$6:$B$35,0)*10000+ROW(),"")</f>
        <v/>
      </c>
      <c r="W196">
        <f>IF(AND(S196=1,OR(J196="",J196="No")),1,0)</f>
        <v/>
      </c>
      <c r="X196">
        <f>IF(AND(S196=1,K196=""),1,0)</f>
        <v/>
      </c>
      <c r="Y196">
        <f>IF(AND(S196=1,Q196&lt;&gt;""),ROUND(T196*100,0)*10000+10000-ROW(),"")</f>
        <v/>
      </c>
    </row>
    <row r="197">
      <c r="A197" s="1" t="n"/>
      <c r="B197" s="17" t="n"/>
      <c r="C197" s="18" t="n"/>
      <c r="D197" s="17" t="n"/>
      <c r="E197" s="19" t="n"/>
      <c r="F197" s="19" t="n"/>
      <c r="G197" s="20" t="n"/>
      <c r="H197" s="21" t="n"/>
      <c r="I197" s="21" t="n"/>
      <c r="J197" s="17" t="n"/>
      <c r="K197" s="19" t="n"/>
      <c r="L197" s="20" t="n"/>
      <c r="M197" s="19" t="n"/>
      <c r="N197" s="22">
        <f>IF(C197="","",IF(ISNUMBER(I197),I197,IF(ISNUMBER(H197),H197,"")))</f>
        <v/>
      </c>
      <c r="O197" s="23">
        <f>IF(OR(C197="",NOT(ISNUMBER(G197))),"",(TODAY()-INT(G197))/365.25)</f>
        <v/>
      </c>
      <c r="P197" s="13">
        <f>IF(OR(C197="",NOT(ISNUMBER(L197))),"",IF(L197&lt;TODAY(),"Ended",IF(L197-TODAY()&lt;=N(Settings!$C$10),"Ends soon","Covered")))</f>
        <v/>
      </c>
      <c r="Q197" s="13">
        <f>IF(C197="","",MID(IF(N197="",", value","")&amp;IF(OR(J197="",J197="No"),", receipt","")&amp;IF(K197="",", photo",""),3,100))</f>
        <v/>
      </c>
      <c r="R197" s="13">
        <f>IF(AND(B197="",C197=""),"",IF(C197="","Needs the item",IF(B197="","Needs a room",IF(COUNTIF(Rooms!$B$6:$B$35,B197)=0,"Not on Rooms",IF(AND(H197&lt;&gt;"",NOT(ISNUMBER(H197))),"Paid not a number",IF(AND(I197&lt;&gt;"",NOT(ISNUMBER(I197))),"Worth not a number",IF(AND(G197&lt;&gt;"",NOT(ISNUMBER(G197))),"Bought is not a date",IF(AND(L197&lt;&gt;"",NOT(ISNUMBER(L197))),"Warranty is not a date",""))))))))</f>
        <v/>
      </c>
      <c r="S197" s="1">
        <f>IF(AND(C197&lt;&gt;"",R197=""),1,0)</f>
        <v/>
      </c>
      <c r="T197">
        <f>IF(S197=1,N(N197),0)</f>
        <v/>
      </c>
      <c r="U197">
        <f>IF(AND(S197=1,T197&gt;0),ROUND(T197*100,0)*10000+10000-ROW(),"")</f>
        <v/>
      </c>
      <c r="V197">
        <f>IF(AND(S197=1,OR(Report!$C$5="",B197=Report!$C$5)),MATCH(B197,Rooms!$B$6:$B$35,0)*10000+ROW(),"")</f>
        <v/>
      </c>
      <c r="W197">
        <f>IF(AND(S197=1,OR(J197="",J197="No")),1,0)</f>
        <v/>
      </c>
      <c r="X197">
        <f>IF(AND(S197=1,K197=""),1,0)</f>
        <v/>
      </c>
      <c r="Y197">
        <f>IF(AND(S197=1,Q197&lt;&gt;""),ROUND(T197*100,0)*10000+10000-ROW(),"")</f>
        <v/>
      </c>
    </row>
    <row r="198">
      <c r="A198" s="1" t="n"/>
      <c r="B198" s="17" t="n"/>
      <c r="C198" s="18" t="n"/>
      <c r="D198" s="17" t="n"/>
      <c r="E198" s="19" t="n"/>
      <c r="F198" s="19" t="n"/>
      <c r="G198" s="20" t="n"/>
      <c r="H198" s="21" t="n"/>
      <c r="I198" s="21" t="n"/>
      <c r="J198" s="17" t="n"/>
      <c r="K198" s="19" t="n"/>
      <c r="L198" s="20" t="n"/>
      <c r="M198" s="19" t="n"/>
      <c r="N198" s="22">
        <f>IF(C198="","",IF(ISNUMBER(I198),I198,IF(ISNUMBER(H198),H198,"")))</f>
        <v/>
      </c>
      <c r="O198" s="23">
        <f>IF(OR(C198="",NOT(ISNUMBER(G198))),"",(TODAY()-INT(G198))/365.25)</f>
        <v/>
      </c>
      <c r="P198" s="13">
        <f>IF(OR(C198="",NOT(ISNUMBER(L198))),"",IF(L198&lt;TODAY(),"Ended",IF(L198-TODAY()&lt;=N(Settings!$C$10),"Ends soon","Covered")))</f>
        <v/>
      </c>
      <c r="Q198" s="13">
        <f>IF(C198="","",MID(IF(N198="",", value","")&amp;IF(OR(J198="",J198="No"),", receipt","")&amp;IF(K198="",", photo",""),3,100))</f>
        <v/>
      </c>
      <c r="R198" s="13">
        <f>IF(AND(B198="",C198=""),"",IF(C198="","Needs the item",IF(B198="","Needs a room",IF(COUNTIF(Rooms!$B$6:$B$35,B198)=0,"Not on Rooms",IF(AND(H198&lt;&gt;"",NOT(ISNUMBER(H198))),"Paid not a number",IF(AND(I198&lt;&gt;"",NOT(ISNUMBER(I198))),"Worth not a number",IF(AND(G198&lt;&gt;"",NOT(ISNUMBER(G198))),"Bought is not a date",IF(AND(L198&lt;&gt;"",NOT(ISNUMBER(L198))),"Warranty is not a date",""))))))))</f>
        <v/>
      </c>
      <c r="S198" s="1">
        <f>IF(AND(C198&lt;&gt;"",R198=""),1,0)</f>
        <v/>
      </c>
      <c r="T198">
        <f>IF(S198=1,N(N198),0)</f>
        <v/>
      </c>
      <c r="U198">
        <f>IF(AND(S198=1,T198&gt;0),ROUND(T198*100,0)*10000+10000-ROW(),"")</f>
        <v/>
      </c>
      <c r="V198">
        <f>IF(AND(S198=1,OR(Report!$C$5="",B198=Report!$C$5)),MATCH(B198,Rooms!$B$6:$B$35,0)*10000+ROW(),"")</f>
        <v/>
      </c>
      <c r="W198">
        <f>IF(AND(S198=1,OR(J198="",J198="No")),1,0)</f>
        <v/>
      </c>
      <c r="X198">
        <f>IF(AND(S198=1,K198=""),1,0)</f>
        <v/>
      </c>
      <c r="Y198">
        <f>IF(AND(S198=1,Q198&lt;&gt;""),ROUND(T198*100,0)*10000+10000-ROW(),"")</f>
        <v/>
      </c>
    </row>
    <row r="199">
      <c r="A199" s="1" t="n"/>
      <c r="B199" s="17" t="n"/>
      <c r="C199" s="18" t="n"/>
      <c r="D199" s="17" t="n"/>
      <c r="E199" s="19" t="n"/>
      <c r="F199" s="19" t="n"/>
      <c r="G199" s="20" t="n"/>
      <c r="H199" s="21" t="n"/>
      <c r="I199" s="21" t="n"/>
      <c r="J199" s="17" t="n"/>
      <c r="K199" s="19" t="n"/>
      <c r="L199" s="20" t="n"/>
      <c r="M199" s="19" t="n"/>
      <c r="N199" s="22">
        <f>IF(C199="","",IF(ISNUMBER(I199),I199,IF(ISNUMBER(H199),H199,"")))</f>
        <v/>
      </c>
      <c r="O199" s="23">
        <f>IF(OR(C199="",NOT(ISNUMBER(G199))),"",(TODAY()-INT(G199))/365.25)</f>
        <v/>
      </c>
      <c r="P199" s="13">
        <f>IF(OR(C199="",NOT(ISNUMBER(L199))),"",IF(L199&lt;TODAY(),"Ended",IF(L199-TODAY()&lt;=N(Settings!$C$10),"Ends soon","Covered")))</f>
        <v/>
      </c>
      <c r="Q199" s="13">
        <f>IF(C199="","",MID(IF(N199="",", value","")&amp;IF(OR(J199="",J199="No"),", receipt","")&amp;IF(K199="",", photo",""),3,100))</f>
        <v/>
      </c>
      <c r="R199" s="13">
        <f>IF(AND(B199="",C199=""),"",IF(C199="","Needs the item",IF(B199="","Needs a room",IF(COUNTIF(Rooms!$B$6:$B$35,B199)=0,"Not on Rooms",IF(AND(H199&lt;&gt;"",NOT(ISNUMBER(H199))),"Paid not a number",IF(AND(I199&lt;&gt;"",NOT(ISNUMBER(I199))),"Worth not a number",IF(AND(G199&lt;&gt;"",NOT(ISNUMBER(G199))),"Bought is not a date",IF(AND(L199&lt;&gt;"",NOT(ISNUMBER(L199))),"Warranty is not a date",""))))))))</f>
        <v/>
      </c>
      <c r="S199" s="1">
        <f>IF(AND(C199&lt;&gt;"",R199=""),1,0)</f>
        <v/>
      </c>
      <c r="T199">
        <f>IF(S199=1,N(N199),0)</f>
        <v/>
      </c>
      <c r="U199">
        <f>IF(AND(S199=1,T199&gt;0),ROUND(T199*100,0)*10000+10000-ROW(),"")</f>
        <v/>
      </c>
      <c r="V199">
        <f>IF(AND(S199=1,OR(Report!$C$5="",B199=Report!$C$5)),MATCH(B199,Rooms!$B$6:$B$35,0)*10000+ROW(),"")</f>
        <v/>
      </c>
      <c r="W199">
        <f>IF(AND(S199=1,OR(J199="",J199="No")),1,0)</f>
        <v/>
      </c>
      <c r="X199">
        <f>IF(AND(S199=1,K199=""),1,0)</f>
        <v/>
      </c>
      <c r="Y199">
        <f>IF(AND(S199=1,Q199&lt;&gt;""),ROUND(T199*100,0)*10000+10000-ROW(),"")</f>
        <v/>
      </c>
    </row>
    <row r="200">
      <c r="A200" s="1" t="n"/>
      <c r="B200" s="17" t="n"/>
      <c r="C200" s="18" t="n"/>
      <c r="D200" s="17" t="n"/>
      <c r="E200" s="19" t="n"/>
      <c r="F200" s="19" t="n"/>
      <c r="G200" s="20" t="n"/>
      <c r="H200" s="21" t="n"/>
      <c r="I200" s="21" t="n"/>
      <c r="J200" s="17" t="n"/>
      <c r="K200" s="19" t="n"/>
      <c r="L200" s="20" t="n"/>
      <c r="M200" s="19" t="n"/>
      <c r="N200" s="22">
        <f>IF(C200="","",IF(ISNUMBER(I200),I200,IF(ISNUMBER(H200),H200,"")))</f>
        <v/>
      </c>
      <c r="O200" s="23">
        <f>IF(OR(C200="",NOT(ISNUMBER(G200))),"",(TODAY()-INT(G200))/365.25)</f>
        <v/>
      </c>
      <c r="P200" s="13">
        <f>IF(OR(C200="",NOT(ISNUMBER(L200))),"",IF(L200&lt;TODAY(),"Ended",IF(L200-TODAY()&lt;=N(Settings!$C$10),"Ends soon","Covered")))</f>
        <v/>
      </c>
      <c r="Q200" s="13">
        <f>IF(C200="","",MID(IF(N200="",", value","")&amp;IF(OR(J200="",J200="No"),", receipt","")&amp;IF(K200="",", photo",""),3,100))</f>
        <v/>
      </c>
      <c r="R200" s="13">
        <f>IF(AND(B200="",C200=""),"",IF(C200="","Needs the item",IF(B200="","Needs a room",IF(COUNTIF(Rooms!$B$6:$B$35,B200)=0,"Not on Rooms",IF(AND(H200&lt;&gt;"",NOT(ISNUMBER(H200))),"Paid not a number",IF(AND(I200&lt;&gt;"",NOT(ISNUMBER(I200))),"Worth not a number",IF(AND(G200&lt;&gt;"",NOT(ISNUMBER(G200))),"Bought is not a date",IF(AND(L200&lt;&gt;"",NOT(ISNUMBER(L200))),"Warranty is not a date",""))))))))</f>
        <v/>
      </c>
      <c r="S200" s="1">
        <f>IF(AND(C200&lt;&gt;"",R200=""),1,0)</f>
        <v/>
      </c>
      <c r="T200">
        <f>IF(S200=1,N(N200),0)</f>
        <v/>
      </c>
      <c r="U200">
        <f>IF(AND(S200=1,T200&gt;0),ROUND(T200*100,0)*10000+10000-ROW(),"")</f>
        <v/>
      </c>
      <c r="V200">
        <f>IF(AND(S200=1,OR(Report!$C$5="",B200=Report!$C$5)),MATCH(B200,Rooms!$B$6:$B$35,0)*10000+ROW(),"")</f>
        <v/>
      </c>
      <c r="W200">
        <f>IF(AND(S200=1,OR(J200="",J200="No")),1,0)</f>
        <v/>
      </c>
      <c r="X200">
        <f>IF(AND(S200=1,K200=""),1,0)</f>
        <v/>
      </c>
      <c r="Y200">
        <f>IF(AND(S200=1,Q200&lt;&gt;""),ROUND(T200*100,0)*10000+10000-ROW(),"")</f>
        <v/>
      </c>
    </row>
    <row r="201">
      <c r="A201" s="1" t="n"/>
      <c r="B201" s="17" t="n"/>
      <c r="C201" s="18" t="n"/>
      <c r="D201" s="17" t="n"/>
      <c r="E201" s="19" t="n"/>
      <c r="F201" s="19" t="n"/>
      <c r="G201" s="20" t="n"/>
      <c r="H201" s="21" t="n"/>
      <c r="I201" s="21" t="n"/>
      <c r="J201" s="17" t="n"/>
      <c r="K201" s="19" t="n"/>
      <c r="L201" s="20" t="n"/>
      <c r="M201" s="19" t="n"/>
      <c r="N201" s="22">
        <f>IF(C201="","",IF(ISNUMBER(I201),I201,IF(ISNUMBER(H201),H201,"")))</f>
        <v/>
      </c>
      <c r="O201" s="23">
        <f>IF(OR(C201="",NOT(ISNUMBER(G201))),"",(TODAY()-INT(G201))/365.25)</f>
        <v/>
      </c>
      <c r="P201" s="13">
        <f>IF(OR(C201="",NOT(ISNUMBER(L201))),"",IF(L201&lt;TODAY(),"Ended",IF(L201-TODAY()&lt;=N(Settings!$C$10),"Ends soon","Covered")))</f>
        <v/>
      </c>
      <c r="Q201" s="13">
        <f>IF(C201="","",MID(IF(N201="",", value","")&amp;IF(OR(J201="",J201="No"),", receipt","")&amp;IF(K201="",", photo",""),3,100))</f>
        <v/>
      </c>
      <c r="R201" s="13">
        <f>IF(AND(B201="",C201=""),"",IF(C201="","Needs the item",IF(B201="","Needs a room",IF(COUNTIF(Rooms!$B$6:$B$35,B201)=0,"Not on Rooms",IF(AND(H201&lt;&gt;"",NOT(ISNUMBER(H201))),"Paid not a number",IF(AND(I201&lt;&gt;"",NOT(ISNUMBER(I201))),"Worth not a number",IF(AND(G201&lt;&gt;"",NOT(ISNUMBER(G201))),"Bought is not a date",IF(AND(L201&lt;&gt;"",NOT(ISNUMBER(L201))),"Warranty is not a date",""))))))))</f>
        <v/>
      </c>
      <c r="S201" s="1">
        <f>IF(AND(C201&lt;&gt;"",R201=""),1,0)</f>
        <v/>
      </c>
      <c r="T201">
        <f>IF(S201=1,N(N201),0)</f>
        <v/>
      </c>
      <c r="U201">
        <f>IF(AND(S201=1,T201&gt;0),ROUND(T201*100,0)*10000+10000-ROW(),"")</f>
        <v/>
      </c>
      <c r="V201">
        <f>IF(AND(S201=1,OR(Report!$C$5="",B201=Report!$C$5)),MATCH(B201,Rooms!$B$6:$B$35,0)*10000+ROW(),"")</f>
        <v/>
      </c>
      <c r="W201">
        <f>IF(AND(S201=1,OR(J201="",J201="No")),1,0)</f>
        <v/>
      </c>
      <c r="X201">
        <f>IF(AND(S201=1,K201=""),1,0)</f>
        <v/>
      </c>
      <c r="Y201">
        <f>IF(AND(S201=1,Q201&lt;&gt;""),ROUND(T201*100,0)*10000+10000-ROW(),"")</f>
        <v/>
      </c>
    </row>
    <row r="202">
      <c r="A202" s="1" t="n"/>
      <c r="B202" s="17" t="n"/>
      <c r="C202" s="18" t="n"/>
      <c r="D202" s="17" t="n"/>
      <c r="E202" s="19" t="n"/>
      <c r="F202" s="19" t="n"/>
      <c r="G202" s="20" t="n"/>
      <c r="H202" s="21" t="n"/>
      <c r="I202" s="21" t="n"/>
      <c r="J202" s="17" t="n"/>
      <c r="K202" s="19" t="n"/>
      <c r="L202" s="20" t="n"/>
      <c r="M202" s="19" t="n"/>
      <c r="N202" s="22">
        <f>IF(C202="","",IF(ISNUMBER(I202),I202,IF(ISNUMBER(H202),H202,"")))</f>
        <v/>
      </c>
      <c r="O202" s="23">
        <f>IF(OR(C202="",NOT(ISNUMBER(G202))),"",(TODAY()-INT(G202))/365.25)</f>
        <v/>
      </c>
      <c r="P202" s="13">
        <f>IF(OR(C202="",NOT(ISNUMBER(L202))),"",IF(L202&lt;TODAY(),"Ended",IF(L202-TODAY()&lt;=N(Settings!$C$10),"Ends soon","Covered")))</f>
        <v/>
      </c>
      <c r="Q202" s="13">
        <f>IF(C202="","",MID(IF(N202="",", value","")&amp;IF(OR(J202="",J202="No"),", receipt","")&amp;IF(K202="",", photo",""),3,100))</f>
        <v/>
      </c>
      <c r="R202" s="13">
        <f>IF(AND(B202="",C202=""),"",IF(C202="","Needs the item",IF(B202="","Needs a room",IF(COUNTIF(Rooms!$B$6:$B$35,B202)=0,"Not on Rooms",IF(AND(H202&lt;&gt;"",NOT(ISNUMBER(H202))),"Paid not a number",IF(AND(I202&lt;&gt;"",NOT(ISNUMBER(I202))),"Worth not a number",IF(AND(G202&lt;&gt;"",NOT(ISNUMBER(G202))),"Bought is not a date",IF(AND(L202&lt;&gt;"",NOT(ISNUMBER(L202))),"Warranty is not a date",""))))))))</f>
        <v/>
      </c>
      <c r="S202" s="1">
        <f>IF(AND(C202&lt;&gt;"",R202=""),1,0)</f>
        <v/>
      </c>
      <c r="T202">
        <f>IF(S202=1,N(N202),0)</f>
        <v/>
      </c>
      <c r="U202">
        <f>IF(AND(S202=1,T202&gt;0),ROUND(T202*100,0)*10000+10000-ROW(),"")</f>
        <v/>
      </c>
      <c r="V202">
        <f>IF(AND(S202=1,OR(Report!$C$5="",B202=Report!$C$5)),MATCH(B202,Rooms!$B$6:$B$35,0)*10000+ROW(),"")</f>
        <v/>
      </c>
      <c r="W202">
        <f>IF(AND(S202=1,OR(J202="",J202="No")),1,0)</f>
        <v/>
      </c>
      <c r="X202">
        <f>IF(AND(S202=1,K202=""),1,0)</f>
        <v/>
      </c>
      <c r="Y202">
        <f>IF(AND(S202=1,Q202&lt;&gt;""),ROUND(T202*100,0)*10000+10000-ROW(),"")</f>
        <v/>
      </c>
    </row>
    <row r="203">
      <c r="A203" s="1" t="n"/>
      <c r="B203" s="17" t="n"/>
      <c r="C203" s="18" t="n"/>
      <c r="D203" s="17" t="n"/>
      <c r="E203" s="19" t="n"/>
      <c r="F203" s="19" t="n"/>
      <c r="G203" s="20" t="n"/>
      <c r="H203" s="21" t="n"/>
      <c r="I203" s="21" t="n"/>
      <c r="J203" s="17" t="n"/>
      <c r="K203" s="19" t="n"/>
      <c r="L203" s="20" t="n"/>
      <c r="M203" s="19" t="n"/>
      <c r="N203" s="22">
        <f>IF(C203="","",IF(ISNUMBER(I203),I203,IF(ISNUMBER(H203),H203,"")))</f>
        <v/>
      </c>
      <c r="O203" s="23">
        <f>IF(OR(C203="",NOT(ISNUMBER(G203))),"",(TODAY()-INT(G203))/365.25)</f>
        <v/>
      </c>
      <c r="P203" s="13">
        <f>IF(OR(C203="",NOT(ISNUMBER(L203))),"",IF(L203&lt;TODAY(),"Ended",IF(L203-TODAY()&lt;=N(Settings!$C$10),"Ends soon","Covered")))</f>
        <v/>
      </c>
      <c r="Q203" s="13">
        <f>IF(C203="","",MID(IF(N203="",", value","")&amp;IF(OR(J203="",J203="No"),", receipt","")&amp;IF(K203="",", photo",""),3,100))</f>
        <v/>
      </c>
      <c r="R203" s="13">
        <f>IF(AND(B203="",C203=""),"",IF(C203="","Needs the item",IF(B203="","Needs a room",IF(COUNTIF(Rooms!$B$6:$B$35,B203)=0,"Not on Rooms",IF(AND(H203&lt;&gt;"",NOT(ISNUMBER(H203))),"Paid not a number",IF(AND(I203&lt;&gt;"",NOT(ISNUMBER(I203))),"Worth not a number",IF(AND(G203&lt;&gt;"",NOT(ISNUMBER(G203))),"Bought is not a date",IF(AND(L203&lt;&gt;"",NOT(ISNUMBER(L203))),"Warranty is not a date",""))))))))</f>
        <v/>
      </c>
      <c r="S203" s="1">
        <f>IF(AND(C203&lt;&gt;"",R203=""),1,0)</f>
        <v/>
      </c>
      <c r="T203">
        <f>IF(S203=1,N(N203),0)</f>
        <v/>
      </c>
      <c r="U203">
        <f>IF(AND(S203=1,T203&gt;0),ROUND(T203*100,0)*10000+10000-ROW(),"")</f>
        <v/>
      </c>
      <c r="V203">
        <f>IF(AND(S203=1,OR(Report!$C$5="",B203=Report!$C$5)),MATCH(B203,Rooms!$B$6:$B$35,0)*10000+ROW(),"")</f>
        <v/>
      </c>
      <c r="W203">
        <f>IF(AND(S203=1,OR(J203="",J203="No")),1,0)</f>
        <v/>
      </c>
      <c r="X203">
        <f>IF(AND(S203=1,K203=""),1,0)</f>
        <v/>
      </c>
      <c r="Y203">
        <f>IF(AND(S203=1,Q203&lt;&gt;""),ROUND(T203*100,0)*10000+10000-ROW(),"")</f>
        <v/>
      </c>
    </row>
    <row r="204">
      <c r="A204" s="1" t="n"/>
      <c r="B204" s="17" t="n"/>
      <c r="C204" s="18" t="n"/>
      <c r="D204" s="17" t="n"/>
      <c r="E204" s="19" t="n"/>
      <c r="F204" s="19" t="n"/>
      <c r="G204" s="20" t="n"/>
      <c r="H204" s="21" t="n"/>
      <c r="I204" s="21" t="n"/>
      <c r="J204" s="17" t="n"/>
      <c r="K204" s="19" t="n"/>
      <c r="L204" s="20" t="n"/>
      <c r="M204" s="19" t="n"/>
      <c r="N204" s="22">
        <f>IF(C204="","",IF(ISNUMBER(I204),I204,IF(ISNUMBER(H204),H204,"")))</f>
        <v/>
      </c>
      <c r="O204" s="23">
        <f>IF(OR(C204="",NOT(ISNUMBER(G204))),"",(TODAY()-INT(G204))/365.25)</f>
        <v/>
      </c>
      <c r="P204" s="13">
        <f>IF(OR(C204="",NOT(ISNUMBER(L204))),"",IF(L204&lt;TODAY(),"Ended",IF(L204-TODAY()&lt;=N(Settings!$C$10),"Ends soon","Covered")))</f>
        <v/>
      </c>
      <c r="Q204" s="13">
        <f>IF(C204="","",MID(IF(N204="",", value","")&amp;IF(OR(J204="",J204="No"),", receipt","")&amp;IF(K204="",", photo",""),3,100))</f>
        <v/>
      </c>
      <c r="R204" s="13">
        <f>IF(AND(B204="",C204=""),"",IF(C204="","Needs the item",IF(B204="","Needs a room",IF(COUNTIF(Rooms!$B$6:$B$35,B204)=0,"Not on Rooms",IF(AND(H204&lt;&gt;"",NOT(ISNUMBER(H204))),"Paid not a number",IF(AND(I204&lt;&gt;"",NOT(ISNUMBER(I204))),"Worth not a number",IF(AND(G204&lt;&gt;"",NOT(ISNUMBER(G204))),"Bought is not a date",IF(AND(L204&lt;&gt;"",NOT(ISNUMBER(L204))),"Warranty is not a date",""))))))))</f>
        <v/>
      </c>
      <c r="S204" s="1">
        <f>IF(AND(C204&lt;&gt;"",R204=""),1,0)</f>
        <v/>
      </c>
      <c r="T204">
        <f>IF(S204=1,N(N204),0)</f>
        <v/>
      </c>
      <c r="U204">
        <f>IF(AND(S204=1,T204&gt;0),ROUND(T204*100,0)*10000+10000-ROW(),"")</f>
        <v/>
      </c>
      <c r="V204">
        <f>IF(AND(S204=1,OR(Report!$C$5="",B204=Report!$C$5)),MATCH(B204,Rooms!$B$6:$B$35,0)*10000+ROW(),"")</f>
        <v/>
      </c>
      <c r="W204">
        <f>IF(AND(S204=1,OR(J204="",J204="No")),1,0)</f>
        <v/>
      </c>
      <c r="X204">
        <f>IF(AND(S204=1,K204=""),1,0)</f>
        <v/>
      </c>
      <c r="Y204">
        <f>IF(AND(S204=1,Q204&lt;&gt;""),ROUND(T204*100,0)*10000+10000-ROW(),"")</f>
        <v/>
      </c>
    </row>
    <row r="205">
      <c r="A205" s="1" t="n"/>
      <c r="B205" s="17" t="n"/>
      <c r="C205" s="18" t="n"/>
      <c r="D205" s="17" t="n"/>
      <c r="E205" s="19" t="n"/>
      <c r="F205" s="19" t="n"/>
      <c r="G205" s="20" t="n"/>
      <c r="H205" s="21" t="n"/>
      <c r="I205" s="21" t="n"/>
      <c r="J205" s="17" t="n"/>
      <c r="K205" s="19" t="n"/>
      <c r="L205" s="20" t="n"/>
      <c r="M205" s="19" t="n"/>
      <c r="N205" s="22">
        <f>IF(C205="","",IF(ISNUMBER(I205),I205,IF(ISNUMBER(H205),H205,"")))</f>
        <v/>
      </c>
      <c r="O205" s="23">
        <f>IF(OR(C205="",NOT(ISNUMBER(G205))),"",(TODAY()-INT(G205))/365.25)</f>
        <v/>
      </c>
      <c r="P205" s="13">
        <f>IF(OR(C205="",NOT(ISNUMBER(L205))),"",IF(L205&lt;TODAY(),"Ended",IF(L205-TODAY()&lt;=N(Settings!$C$10),"Ends soon","Covered")))</f>
        <v/>
      </c>
      <c r="Q205" s="13">
        <f>IF(C205="","",MID(IF(N205="",", value","")&amp;IF(OR(J205="",J205="No"),", receipt","")&amp;IF(K205="",", photo",""),3,100))</f>
        <v/>
      </c>
      <c r="R205" s="13">
        <f>IF(AND(B205="",C205=""),"",IF(C205="","Needs the item",IF(B205="","Needs a room",IF(COUNTIF(Rooms!$B$6:$B$35,B205)=0,"Not on Rooms",IF(AND(H205&lt;&gt;"",NOT(ISNUMBER(H205))),"Paid not a number",IF(AND(I205&lt;&gt;"",NOT(ISNUMBER(I205))),"Worth not a number",IF(AND(G205&lt;&gt;"",NOT(ISNUMBER(G205))),"Bought is not a date",IF(AND(L205&lt;&gt;"",NOT(ISNUMBER(L205))),"Warranty is not a date",""))))))))</f>
        <v/>
      </c>
      <c r="S205" s="1">
        <f>IF(AND(C205&lt;&gt;"",R205=""),1,0)</f>
        <v/>
      </c>
      <c r="T205">
        <f>IF(S205=1,N(N205),0)</f>
        <v/>
      </c>
      <c r="U205">
        <f>IF(AND(S205=1,T205&gt;0),ROUND(T205*100,0)*10000+10000-ROW(),"")</f>
        <v/>
      </c>
      <c r="V205">
        <f>IF(AND(S205=1,OR(Report!$C$5="",B205=Report!$C$5)),MATCH(B205,Rooms!$B$6:$B$35,0)*10000+ROW(),"")</f>
        <v/>
      </c>
      <c r="W205">
        <f>IF(AND(S205=1,OR(J205="",J205="No")),1,0)</f>
        <v/>
      </c>
      <c r="X205">
        <f>IF(AND(S205=1,K205=""),1,0)</f>
        <v/>
      </c>
      <c r="Y205">
        <f>IF(AND(S205=1,Q205&lt;&gt;""),ROUND(T205*100,0)*10000+10000-ROW(),"")</f>
        <v/>
      </c>
    </row>
    <row r="206">
      <c r="A206" s="1" t="n"/>
      <c r="B206" s="17" t="n"/>
      <c r="C206" s="18" t="n"/>
      <c r="D206" s="17" t="n"/>
      <c r="E206" s="19" t="n"/>
      <c r="F206" s="19" t="n"/>
      <c r="G206" s="20" t="n"/>
      <c r="H206" s="21" t="n"/>
      <c r="I206" s="21" t="n"/>
      <c r="J206" s="17" t="n"/>
      <c r="K206" s="19" t="n"/>
      <c r="L206" s="20" t="n"/>
      <c r="M206" s="19" t="n"/>
      <c r="N206" s="22">
        <f>IF(C206="","",IF(ISNUMBER(I206),I206,IF(ISNUMBER(H206),H206,"")))</f>
        <v/>
      </c>
      <c r="O206" s="23">
        <f>IF(OR(C206="",NOT(ISNUMBER(G206))),"",(TODAY()-INT(G206))/365.25)</f>
        <v/>
      </c>
      <c r="P206" s="13">
        <f>IF(OR(C206="",NOT(ISNUMBER(L206))),"",IF(L206&lt;TODAY(),"Ended",IF(L206-TODAY()&lt;=N(Settings!$C$10),"Ends soon","Covered")))</f>
        <v/>
      </c>
      <c r="Q206" s="13">
        <f>IF(C206="","",MID(IF(N206="",", value","")&amp;IF(OR(J206="",J206="No"),", receipt","")&amp;IF(K206="",", photo",""),3,100))</f>
        <v/>
      </c>
      <c r="R206" s="13">
        <f>IF(AND(B206="",C206=""),"",IF(C206="","Needs the item",IF(B206="","Needs a room",IF(COUNTIF(Rooms!$B$6:$B$35,B206)=0,"Not on Rooms",IF(AND(H206&lt;&gt;"",NOT(ISNUMBER(H206))),"Paid not a number",IF(AND(I206&lt;&gt;"",NOT(ISNUMBER(I206))),"Worth not a number",IF(AND(G206&lt;&gt;"",NOT(ISNUMBER(G206))),"Bought is not a date",IF(AND(L206&lt;&gt;"",NOT(ISNUMBER(L206))),"Warranty is not a date",""))))))))</f>
        <v/>
      </c>
      <c r="S206" s="1">
        <f>IF(AND(C206&lt;&gt;"",R206=""),1,0)</f>
        <v/>
      </c>
      <c r="T206">
        <f>IF(S206=1,N(N206),0)</f>
        <v/>
      </c>
      <c r="U206">
        <f>IF(AND(S206=1,T206&gt;0),ROUND(T206*100,0)*10000+10000-ROW(),"")</f>
        <v/>
      </c>
      <c r="V206">
        <f>IF(AND(S206=1,OR(Report!$C$5="",B206=Report!$C$5)),MATCH(B206,Rooms!$B$6:$B$35,0)*10000+ROW(),"")</f>
        <v/>
      </c>
      <c r="W206">
        <f>IF(AND(S206=1,OR(J206="",J206="No")),1,0)</f>
        <v/>
      </c>
      <c r="X206">
        <f>IF(AND(S206=1,K206=""),1,0)</f>
        <v/>
      </c>
      <c r="Y206">
        <f>IF(AND(S206=1,Q206&lt;&gt;""),ROUND(T206*100,0)*10000+10000-ROW(),"")</f>
        <v/>
      </c>
    </row>
    <row r="207">
      <c r="A207" s="1" t="n"/>
      <c r="B207" s="17" t="n"/>
      <c r="C207" s="18" t="n"/>
      <c r="D207" s="17" t="n"/>
      <c r="E207" s="19" t="n"/>
      <c r="F207" s="19" t="n"/>
      <c r="G207" s="20" t="n"/>
      <c r="H207" s="21" t="n"/>
      <c r="I207" s="21" t="n"/>
      <c r="J207" s="17" t="n"/>
      <c r="K207" s="19" t="n"/>
      <c r="L207" s="20" t="n"/>
      <c r="M207" s="19" t="n"/>
      <c r="N207" s="22">
        <f>IF(C207="","",IF(ISNUMBER(I207),I207,IF(ISNUMBER(H207),H207,"")))</f>
        <v/>
      </c>
      <c r="O207" s="23">
        <f>IF(OR(C207="",NOT(ISNUMBER(G207))),"",(TODAY()-INT(G207))/365.25)</f>
        <v/>
      </c>
      <c r="P207" s="13">
        <f>IF(OR(C207="",NOT(ISNUMBER(L207))),"",IF(L207&lt;TODAY(),"Ended",IF(L207-TODAY()&lt;=N(Settings!$C$10),"Ends soon","Covered")))</f>
        <v/>
      </c>
      <c r="Q207" s="13">
        <f>IF(C207="","",MID(IF(N207="",", value","")&amp;IF(OR(J207="",J207="No"),", receipt","")&amp;IF(K207="",", photo",""),3,100))</f>
        <v/>
      </c>
      <c r="R207" s="13">
        <f>IF(AND(B207="",C207=""),"",IF(C207="","Needs the item",IF(B207="","Needs a room",IF(COUNTIF(Rooms!$B$6:$B$35,B207)=0,"Not on Rooms",IF(AND(H207&lt;&gt;"",NOT(ISNUMBER(H207))),"Paid not a number",IF(AND(I207&lt;&gt;"",NOT(ISNUMBER(I207))),"Worth not a number",IF(AND(G207&lt;&gt;"",NOT(ISNUMBER(G207))),"Bought is not a date",IF(AND(L207&lt;&gt;"",NOT(ISNUMBER(L207))),"Warranty is not a date",""))))))))</f>
        <v/>
      </c>
      <c r="S207" s="1">
        <f>IF(AND(C207&lt;&gt;"",R207=""),1,0)</f>
        <v/>
      </c>
      <c r="T207">
        <f>IF(S207=1,N(N207),0)</f>
        <v/>
      </c>
      <c r="U207">
        <f>IF(AND(S207=1,T207&gt;0),ROUND(T207*100,0)*10000+10000-ROW(),"")</f>
        <v/>
      </c>
      <c r="V207">
        <f>IF(AND(S207=1,OR(Report!$C$5="",B207=Report!$C$5)),MATCH(B207,Rooms!$B$6:$B$35,0)*10000+ROW(),"")</f>
        <v/>
      </c>
      <c r="W207">
        <f>IF(AND(S207=1,OR(J207="",J207="No")),1,0)</f>
        <v/>
      </c>
      <c r="X207">
        <f>IF(AND(S207=1,K207=""),1,0)</f>
        <v/>
      </c>
      <c r="Y207">
        <f>IF(AND(S207=1,Q207&lt;&gt;""),ROUND(T207*100,0)*10000+10000-ROW(),"")</f>
        <v/>
      </c>
    </row>
    <row r="208">
      <c r="A208" s="1" t="n"/>
      <c r="B208" s="17" t="n"/>
      <c r="C208" s="18" t="n"/>
      <c r="D208" s="17" t="n"/>
      <c r="E208" s="19" t="n"/>
      <c r="F208" s="19" t="n"/>
      <c r="G208" s="20" t="n"/>
      <c r="H208" s="21" t="n"/>
      <c r="I208" s="21" t="n"/>
      <c r="J208" s="17" t="n"/>
      <c r="K208" s="19" t="n"/>
      <c r="L208" s="20" t="n"/>
      <c r="M208" s="19" t="n"/>
      <c r="N208" s="22">
        <f>IF(C208="","",IF(ISNUMBER(I208),I208,IF(ISNUMBER(H208),H208,"")))</f>
        <v/>
      </c>
      <c r="O208" s="23">
        <f>IF(OR(C208="",NOT(ISNUMBER(G208))),"",(TODAY()-INT(G208))/365.25)</f>
        <v/>
      </c>
      <c r="P208" s="13">
        <f>IF(OR(C208="",NOT(ISNUMBER(L208))),"",IF(L208&lt;TODAY(),"Ended",IF(L208-TODAY()&lt;=N(Settings!$C$10),"Ends soon","Covered")))</f>
        <v/>
      </c>
      <c r="Q208" s="13">
        <f>IF(C208="","",MID(IF(N208="",", value","")&amp;IF(OR(J208="",J208="No"),", receipt","")&amp;IF(K208="",", photo",""),3,100))</f>
        <v/>
      </c>
      <c r="R208" s="13">
        <f>IF(AND(B208="",C208=""),"",IF(C208="","Needs the item",IF(B208="","Needs a room",IF(COUNTIF(Rooms!$B$6:$B$35,B208)=0,"Not on Rooms",IF(AND(H208&lt;&gt;"",NOT(ISNUMBER(H208))),"Paid not a number",IF(AND(I208&lt;&gt;"",NOT(ISNUMBER(I208))),"Worth not a number",IF(AND(G208&lt;&gt;"",NOT(ISNUMBER(G208))),"Bought is not a date",IF(AND(L208&lt;&gt;"",NOT(ISNUMBER(L208))),"Warranty is not a date",""))))))))</f>
        <v/>
      </c>
      <c r="S208" s="1">
        <f>IF(AND(C208&lt;&gt;"",R208=""),1,0)</f>
        <v/>
      </c>
      <c r="T208">
        <f>IF(S208=1,N(N208),0)</f>
        <v/>
      </c>
      <c r="U208">
        <f>IF(AND(S208=1,T208&gt;0),ROUND(T208*100,0)*10000+10000-ROW(),"")</f>
        <v/>
      </c>
      <c r="V208">
        <f>IF(AND(S208=1,OR(Report!$C$5="",B208=Report!$C$5)),MATCH(B208,Rooms!$B$6:$B$35,0)*10000+ROW(),"")</f>
        <v/>
      </c>
      <c r="W208">
        <f>IF(AND(S208=1,OR(J208="",J208="No")),1,0)</f>
        <v/>
      </c>
      <c r="X208">
        <f>IF(AND(S208=1,K208=""),1,0)</f>
        <v/>
      </c>
      <c r="Y208">
        <f>IF(AND(S208=1,Q208&lt;&gt;""),ROUND(T208*100,0)*10000+10000-ROW(),"")</f>
        <v/>
      </c>
    </row>
    <row r="209">
      <c r="A209" s="1" t="n"/>
      <c r="B209" s="17" t="n"/>
      <c r="C209" s="18" t="n"/>
      <c r="D209" s="17" t="n"/>
      <c r="E209" s="19" t="n"/>
      <c r="F209" s="19" t="n"/>
      <c r="G209" s="20" t="n"/>
      <c r="H209" s="21" t="n"/>
      <c r="I209" s="21" t="n"/>
      <c r="J209" s="17" t="n"/>
      <c r="K209" s="19" t="n"/>
      <c r="L209" s="20" t="n"/>
      <c r="M209" s="19" t="n"/>
      <c r="N209" s="22">
        <f>IF(C209="","",IF(ISNUMBER(I209),I209,IF(ISNUMBER(H209),H209,"")))</f>
        <v/>
      </c>
      <c r="O209" s="23">
        <f>IF(OR(C209="",NOT(ISNUMBER(G209))),"",(TODAY()-INT(G209))/365.25)</f>
        <v/>
      </c>
      <c r="P209" s="13">
        <f>IF(OR(C209="",NOT(ISNUMBER(L209))),"",IF(L209&lt;TODAY(),"Ended",IF(L209-TODAY()&lt;=N(Settings!$C$10),"Ends soon","Covered")))</f>
        <v/>
      </c>
      <c r="Q209" s="13">
        <f>IF(C209="","",MID(IF(N209="",", value","")&amp;IF(OR(J209="",J209="No"),", receipt","")&amp;IF(K209="",", photo",""),3,100))</f>
        <v/>
      </c>
      <c r="R209" s="13">
        <f>IF(AND(B209="",C209=""),"",IF(C209="","Needs the item",IF(B209="","Needs a room",IF(COUNTIF(Rooms!$B$6:$B$35,B209)=0,"Not on Rooms",IF(AND(H209&lt;&gt;"",NOT(ISNUMBER(H209))),"Paid not a number",IF(AND(I209&lt;&gt;"",NOT(ISNUMBER(I209))),"Worth not a number",IF(AND(G209&lt;&gt;"",NOT(ISNUMBER(G209))),"Bought is not a date",IF(AND(L209&lt;&gt;"",NOT(ISNUMBER(L209))),"Warranty is not a date",""))))))))</f>
        <v/>
      </c>
      <c r="S209" s="1">
        <f>IF(AND(C209&lt;&gt;"",R209=""),1,0)</f>
        <v/>
      </c>
      <c r="T209">
        <f>IF(S209=1,N(N209),0)</f>
        <v/>
      </c>
      <c r="U209">
        <f>IF(AND(S209=1,T209&gt;0),ROUND(T209*100,0)*10000+10000-ROW(),"")</f>
        <v/>
      </c>
      <c r="V209">
        <f>IF(AND(S209=1,OR(Report!$C$5="",B209=Report!$C$5)),MATCH(B209,Rooms!$B$6:$B$35,0)*10000+ROW(),"")</f>
        <v/>
      </c>
      <c r="W209">
        <f>IF(AND(S209=1,OR(J209="",J209="No")),1,0)</f>
        <v/>
      </c>
      <c r="X209">
        <f>IF(AND(S209=1,K209=""),1,0)</f>
        <v/>
      </c>
      <c r="Y209">
        <f>IF(AND(S209=1,Q209&lt;&gt;""),ROUND(T209*100,0)*10000+10000-ROW(),"")</f>
        <v/>
      </c>
    </row>
    <row r="210">
      <c r="A210" s="1" t="n"/>
      <c r="B210" s="17" t="n"/>
      <c r="C210" s="18" t="n"/>
      <c r="D210" s="17" t="n"/>
      <c r="E210" s="19" t="n"/>
      <c r="F210" s="19" t="n"/>
      <c r="G210" s="20" t="n"/>
      <c r="H210" s="21" t="n"/>
      <c r="I210" s="21" t="n"/>
      <c r="J210" s="17" t="n"/>
      <c r="K210" s="19" t="n"/>
      <c r="L210" s="20" t="n"/>
      <c r="M210" s="19" t="n"/>
      <c r="N210" s="22">
        <f>IF(C210="","",IF(ISNUMBER(I210),I210,IF(ISNUMBER(H210),H210,"")))</f>
        <v/>
      </c>
      <c r="O210" s="23">
        <f>IF(OR(C210="",NOT(ISNUMBER(G210))),"",(TODAY()-INT(G210))/365.25)</f>
        <v/>
      </c>
      <c r="P210" s="13">
        <f>IF(OR(C210="",NOT(ISNUMBER(L210))),"",IF(L210&lt;TODAY(),"Ended",IF(L210-TODAY()&lt;=N(Settings!$C$10),"Ends soon","Covered")))</f>
        <v/>
      </c>
      <c r="Q210" s="13">
        <f>IF(C210="","",MID(IF(N210="",", value","")&amp;IF(OR(J210="",J210="No"),", receipt","")&amp;IF(K210="",", photo",""),3,100))</f>
        <v/>
      </c>
      <c r="R210" s="13">
        <f>IF(AND(B210="",C210=""),"",IF(C210="","Needs the item",IF(B210="","Needs a room",IF(COUNTIF(Rooms!$B$6:$B$35,B210)=0,"Not on Rooms",IF(AND(H210&lt;&gt;"",NOT(ISNUMBER(H210))),"Paid not a number",IF(AND(I210&lt;&gt;"",NOT(ISNUMBER(I210))),"Worth not a number",IF(AND(G210&lt;&gt;"",NOT(ISNUMBER(G210))),"Bought is not a date",IF(AND(L210&lt;&gt;"",NOT(ISNUMBER(L210))),"Warranty is not a date",""))))))))</f>
        <v/>
      </c>
      <c r="S210" s="1">
        <f>IF(AND(C210&lt;&gt;"",R210=""),1,0)</f>
        <v/>
      </c>
      <c r="T210">
        <f>IF(S210=1,N(N210),0)</f>
        <v/>
      </c>
      <c r="U210">
        <f>IF(AND(S210=1,T210&gt;0),ROUND(T210*100,0)*10000+10000-ROW(),"")</f>
        <v/>
      </c>
      <c r="V210">
        <f>IF(AND(S210=1,OR(Report!$C$5="",B210=Report!$C$5)),MATCH(B210,Rooms!$B$6:$B$35,0)*10000+ROW(),"")</f>
        <v/>
      </c>
      <c r="W210">
        <f>IF(AND(S210=1,OR(J210="",J210="No")),1,0)</f>
        <v/>
      </c>
      <c r="X210">
        <f>IF(AND(S210=1,K210=""),1,0)</f>
        <v/>
      </c>
      <c r="Y210">
        <f>IF(AND(S210=1,Q210&lt;&gt;""),ROUND(T210*100,0)*10000+10000-ROW(),"")</f>
        <v/>
      </c>
    </row>
    <row r="211">
      <c r="A211" s="1" t="n"/>
      <c r="B211" s="17" t="n"/>
      <c r="C211" s="18" t="n"/>
      <c r="D211" s="17" t="n"/>
      <c r="E211" s="19" t="n"/>
      <c r="F211" s="19" t="n"/>
      <c r="G211" s="20" t="n"/>
      <c r="H211" s="21" t="n"/>
      <c r="I211" s="21" t="n"/>
      <c r="J211" s="17" t="n"/>
      <c r="K211" s="19" t="n"/>
      <c r="L211" s="20" t="n"/>
      <c r="M211" s="19" t="n"/>
      <c r="N211" s="22">
        <f>IF(C211="","",IF(ISNUMBER(I211),I211,IF(ISNUMBER(H211),H211,"")))</f>
        <v/>
      </c>
      <c r="O211" s="23">
        <f>IF(OR(C211="",NOT(ISNUMBER(G211))),"",(TODAY()-INT(G211))/365.25)</f>
        <v/>
      </c>
      <c r="P211" s="13">
        <f>IF(OR(C211="",NOT(ISNUMBER(L211))),"",IF(L211&lt;TODAY(),"Ended",IF(L211-TODAY()&lt;=N(Settings!$C$10),"Ends soon","Covered")))</f>
        <v/>
      </c>
      <c r="Q211" s="13">
        <f>IF(C211="","",MID(IF(N211="",", value","")&amp;IF(OR(J211="",J211="No"),", receipt","")&amp;IF(K211="",", photo",""),3,100))</f>
        <v/>
      </c>
      <c r="R211" s="13">
        <f>IF(AND(B211="",C211=""),"",IF(C211="","Needs the item",IF(B211="","Needs a room",IF(COUNTIF(Rooms!$B$6:$B$35,B211)=0,"Not on Rooms",IF(AND(H211&lt;&gt;"",NOT(ISNUMBER(H211))),"Paid not a number",IF(AND(I211&lt;&gt;"",NOT(ISNUMBER(I211))),"Worth not a number",IF(AND(G211&lt;&gt;"",NOT(ISNUMBER(G211))),"Bought is not a date",IF(AND(L211&lt;&gt;"",NOT(ISNUMBER(L211))),"Warranty is not a date",""))))))))</f>
        <v/>
      </c>
      <c r="S211" s="1">
        <f>IF(AND(C211&lt;&gt;"",R211=""),1,0)</f>
        <v/>
      </c>
      <c r="T211">
        <f>IF(S211=1,N(N211),0)</f>
        <v/>
      </c>
      <c r="U211">
        <f>IF(AND(S211=1,T211&gt;0),ROUND(T211*100,0)*10000+10000-ROW(),"")</f>
        <v/>
      </c>
      <c r="V211">
        <f>IF(AND(S211=1,OR(Report!$C$5="",B211=Report!$C$5)),MATCH(B211,Rooms!$B$6:$B$35,0)*10000+ROW(),"")</f>
        <v/>
      </c>
      <c r="W211">
        <f>IF(AND(S211=1,OR(J211="",J211="No")),1,0)</f>
        <v/>
      </c>
      <c r="X211">
        <f>IF(AND(S211=1,K211=""),1,0)</f>
        <v/>
      </c>
      <c r="Y211">
        <f>IF(AND(S211=1,Q211&lt;&gt;""),ROUND(T211*100,0)*10000+10000-ROW(),"")</f>
        <v/>
      </c>
    </row>
    <row r="212">
      <c r="A212" s="1" t="n"/>
      <c r="B212" s="17" t="n"/>
      <c r="C212" s="18" t="n"/>
      <c r="D212" s="17" t="n"/>
      <c r="E212" s="19" t="n"/>
      <c r="F212" s="19" t="n"/>
      <c r="G212" s="20" t="n"/>
      <c r="H212" s="21" t="n"/>
      <c r="I212" s="21" t="n"/>
      <c r="J212" s="17" t="n"/>
      <c r="K212" s="19" t="n"/>
      <c r="L212" s="20" t="n"/>
      <c r="M212" s="19" t="n"/>
      <c r="N212" s="22">
        <f>IF(C212="","",IF(ISNUMBER(I212),I212,IF(ISNUMBER(H212),H212,"")))</f>
        <v/>
      </c>
      <c r="O212" s="23">
        <f>IF(OR(C212="",NOT(ISNUMBER(G212))),"",(TODAY()-INT(G212))/365.25)</f>
        <v/>
      </c>
      <c r="P212" s="13">
        <f>IF(OR(C212="",NOT(ISNUMBER(L212))),"",IF(L212&lt;TODAY(),"Ended",IF(L212-TODAY()&lt;=N(Settings!$C$10),"Ends soon","Covered")))</f>
        <v/>
      </c>
      <c r="Q212" s="13">
        <f>IF(C212="","",MID(IF(N212="",", value","")&amp;IF(OR(J212="",J212="No"),", receipt","")&amp;IF(K212="",", photo",""),3,100))</f>
        <v/>
      </c>
      <c r="R212" s="13">
        <f>IF(AND(B212="",C212=""),"",IF(C212="","Needs the item",IF(B212="","Needs a room",IF(COUNTIF(Rooms!$B$6:$B$35,B212)=0,"Not on Rooms",IF(AND(H212&lt;&gt;"",NOT(ISNUMBER(H212))),"Paid not a number",IF(AND(I212&lt;&gt;"",NOT(ISNUMBER(I212))),"Worth not a number",IF(AND(G212&lt;&gt;"",NOT(ISNUMBER(G212))),"Bought is not a date",IF(AND(L212&lt;&gt;"",NOT(ISNUMBER(L212))),"Warranty is not a date",""))))))))</f>
        <v/>
      </c>
      <c r="S212" s="1">
        <f>IF(AND(C212&lt;&gt;"",R212=""),1,0)</f>
        <v/>
      </c>
      <c r="T212">
        <f>IF(S212=1,N(N212),0)</f>
        <v/>
      </c>
      <c r="U212">
        <f>IF(AND(S212=1,T212&gt;0),ROUND(T212*100,0)*10000+10000-ROW(),"")</f>
        <v/>
      </c>
      <c r="V212">
        <f>IF(AND(S212=1,OR(Report!$C$5="",B212=Report!$C$5)),MATCH(B212,Rooms!$B$6:$B$35,0)*10000+ROW(),"")</f>
        <v/>
      </c>
      <c r="W212">
        <f>IF(AND(S212=1,OR(J212="",J212="No")),1,0)</f>
        <v/>
      </c>
      <c r="X212">
        <f>IF(AND(S212=1,K212=""),1,0)</f>
        <v/>
      </c>
      <c r="Y212">
        <f>IF(AND(S212=1,Q212&lt;&gt;""),ROUND(T212*100,0)*10000+10000-ROW(),"")</f>
        <v/>
      </c>
    </row>
    <row r="213">
      <c r="A213" s="1" t="n"/>
      <c r="B213" s="17" t="n"/>
      <c r="C213" s="18" t="n"/>
      <c r="D213" s="17" t="n"/>
      <c r="E213" s="19" t="n"/>
      <c r="F213" s="19" t="n"/>
      <c r="G213" s="20" t="n"/>
      <c r="H213" s="21" t="n"/>
      <c r="I213" s="21" t="n"/>
      <c r="J213" s="17" t="n"/>
      <c r="K213" s="19" t="n"/>
      <c r="L213" s="20" t="n"/>
      <c r="M213" s="19" t="n"/>
      <c r="N213" s="22">
        <f>IF(C213="","",IF(ISNUMBER(I213),I213,IF(ISNUMBER(H213),H213,"")))</f>
        <v/>
      </c>
      <c r="O213" s="23">
        <f>IF(OR(C213="",NOT(ISNUMBER(G213))),"",(TODAY()-INT(G213))/365.25)</f>
        <v/>
      </c>
      <c r="P213" s="13">
        <f>IF(OR(C213="",NOT(ISNUMBER(L213))),"",IF(L213&lt;TODAY(),"Ended",IF(L213-TODAY()&lt;=N(Settings!$C$10),"Ends soon","Covered")))</f>
        <v/>
      </c>
      <c r="Q213" s="13">
        <f>IF(C213="","",MID(IF(N213="",", value","")&amp;IF(OR(J213="",J213="No"),", receipt","")&amp;IF(K213="",", photo",""),3,100))</f>
        <v/>
      </c>
      <c r="R213" s="13">
        <f>IF(AND(B213="",C213=""),"",IF(C213="","Needs the item",IF(B213="","Needs a room",IF(COUNTIF(Rooms!$B$6:$B$35,B213)=0,"Not on Rooms",IF(AND(H213&lt;&gt;"",NOT(ISNUMBER(H213))),"Paid not a number",IF(AND(I213&lt;&gt;"",NOT(ISNUMBER(I213))),"Worth not a number",IF(AND(G213&lt;&gt;"",NOT(ISNUMBER(G213))),"Bought is not a date",IF(AND(L213&lt;&gt;"",NOT(ISNUMBER(L213))),"Warranty is not a date",""))))))))</f>
        <v/>
      </c>
      <c r="S213" s="1">
        <f>IF(AND(C213&lt;&gt;"",R213=""),1,0)</f>
        <v/>
      </c>
      <c r="T213">
        <f>IF(S213=1,N(N213),0)</f>
        <v/>
      </c>
      <c r="U213">
        <f>IF(AND(S213=1,T213&gt;0),ROUND(T213*100,0)*10000+10000-ROW(),"")</f>
        <v/>
      </c>
      <c r="V213">
        <f>IF(AND(S213=1,OR(Report!$C$5="",B213=Report!$C$5)),MATCH(B213,Rooms!$B$6:$B$35,0)*10000+ROW(),"")</f>
        <v/>
      </c>
      <c r="W213">
        <f>IF(AND(S213=1,OR(J213="",J213="No")),1,0)</f>
        <v/>
      </c>
      <c r="X213">
        <f>IF(AND(S213=1,K213=""),1,0)</f>
        <v/>
      </c>
      <c r="Y213">
        <f>IF(AND(S213=1,Q213&lt;&gt;""),ROUND(T213*100,0)*10000+10000-ROW(),"")</f>
        <v/>
      </c>
    </row>
    <row r="214">
      <c r="A214" s="1" t="n"/>
      <c r="B214" s="17" t="n"/>
      <c r="C214" s="18" t="n"/>
      <c r="D214" s="17" t="n"/>
      <c r="E214" s="19" t="n"/>
      <c r="F214" s="19" t="n"/>
      <c r="G214" s="20" t="n"/>
      <c r="H214" s="21" t="n"/>
      <c r="I214" s="21" t="n"/>
      <c r="J214" s="17" t="n"/>
      <c r="K214" s="19" t="n"/>
      <c r="L214" s="20" t="n"/>
      <c r="M214" s="19" t="n"/>
      <c r="N214" s="22">
        <f>IF(C214="","",IF(ISNUMBER(I214),I214,IF(ISNUMBER(H214),H214,"")))</f>
        <v/>
      </c>
      <c r="O214" s="23">
        <f>IF(OR(C214="",NOT(ISNUMBER(G214))),"",(TODAY()-INT(G214))/365.25)</f>
        <v/>
      </c>
      <c r="P214" s="13">
        <f>IF(OR(C214="",NOT(ISNUMBER(L214))),"",IF(L214&lt;TODAY(),"Ended",IF(L214-TODAY()&lt;=N(Settings!$C$10),"Ends soon","Covered")))</f>
        <v/>
      </c>
      <c r="Q214" s="13">
        <f>IF(C214="","",MID(IF(N214="",", value","")&amp;IF(OR(J214="",J214="No"),", receipt","")&amp;IF(K214="",", photo",""),3,100))</f>
        <v/>
      </c>
      <c r="R214" s="13">
        <f>IF(AND(B214="",C214=""),"",IF(C214="","Needs the item",IF(B214="","Needs a room",IF(COUNTIF(Rooms!$B$6:$B$35,B214)=0,"Not on Rooms",IF(AND(H214&lt;&gt;"",NOT(ISNUMBER(H214))),"Paid not a number",IF(AND(I214&lt;&gt;"",NOT(ISNUMBER(I214))),"Worth not a number",IF(AND(G214&lt;&gt;"",NOT(ISNUMBER(G214))),"Bought is not a date",IF(AND(L214&lt;&gt;"",NOT(ISNUMBER(L214))),"Warranty is not a date",""))))))))</f>
        <v/>
      </c>
      <c r="S214" s="1">
        <f>IF(AND(C214&lt;&gt;"",R214=""),1,0)</f>
        <v/>
      </c>
      <c r="T214">
        <f>IF(S214=1,N(N214),0)</f>
        <v/>
      </c>
      <c r="U214">
        <f>IF(AND(S214=1,T214&gt;0),ROUND(T214*100,0)*10000+10000-ROW(),"")</f>
        <v/>
      </c>
      <c r="V214">
        <f>IF(AND(S214=1,OR(Report!$C$5="",B214=Report!$C$5)),MATCH(B214,Rooms!$B$6:$B$35,0)*10000+ROW(),"")</f>
        <v/>
      </c>
      <c r="W214">
        <f>IF(AND(S214=1,OR(J214="",J214="No")),1,0)</f>
        <v/>
      </c>
      <c r="X214">
        <f>IF(AND(S214=1,K214=""),1,0)</f>
        <v/>
      </c>
      <c r="Y214">
        <f>IF(AND(S214=1,Q214&lt;&gt;""),ROUND(T214*100,0)*10000+10000-ROW(),"")</f>
        <v/>
      </c>
    </row>
    <row r="215">
      <c r="A215" s="1" t="n"/>
      <c r="B215" s="17" t="n"/>
      <c r="C215" s="18" t="n"/>
      <c r="D215" s="17" t="n"/>
      <c r="E215" s="19" t="n"/>
      <c r="F215" s="19" t="n"/>
      <c r="G215" s="20" t="n"/>
      <c r="H215" s="21" t="n"/>
      <c r="I215" s="21" t="n"/>
      <c r="J215" s="17" t="n"/>
      <c r="K215" s="19" t="n"/>
      <c r="L215" s="20" t="n"/>
      <c r="M215" s="19" t="n"/>
      <c r="N215" s="22">
        <f>IF(C215="","",IF(ISNUMBER(I215),I215,IF(ISNUMBER(H215),H215,"")))</f>
        <v/>
      </c>
      <c r="O215" s="23">
        <f>IF(OR(C215="",NOT(ISNUMBER(G215))),"",(TODAY()-INT(G215))/365.25)</f>
        <v/>
      </c>
      <c r="P215" s="13">
        <f>IF(OR(C215="",NOT(ISNUMBER(L215))),"",IF(L215&lt;TODAY(),"Ended",IF(L215-TODAY()&lt;=N(Settings!$C$10),"Ends soon","Covered")))</f>
        <v/>
      </c>
      <c r="Q215" s="13">
        <f>IF(C215="","",MID(IF(N215="",", value","")&amp;IF(OR(J215="",J215="No"),", receipt","")&amp;IF(K215="",", photo",""),3,100))</f>
        <v/>
      </c>
      <c r="R215" s="13">
        <f>IF(AND(B215="",C215=""),"",IF(C215="","Needs the item",IF(B215="","Needs a room",IF(COUNTIF(Rooms!$B$6:$B$35,B215)=0,"Not on Rooms",IF(AND(H215&lt;&gt;"",NOT(ISNUMBER(H215))),"Paid not a number",IF(AND(I215&lt;&gt;"",NOT(ISNUMBER(I215))),"Worth not a number",IF(AND(G215&lt;&gt;"",NOT(ISNUMBER(G215))),"Bought is not a date",IF(AND(L215&lt;&gt;"",NOT(ISNUMBER(L215))),"Warranty is not a date",""))))))))</f>
        <v/>
      </c>
      <c r="S215" s="1">
        <f>IF(AND(C215&lt;&gt;"",R215=""),1,0)</f>
        <v/>
      </c>
      <c r="T215">
        <f>IF(S215=1,N(N215),0)</f>
        <v/>
      </c>
      <c r="U215">
        <f>IF(AND(S215=1,T215&gt;0),ROUND(T215*100,0)*10000+10000-ROW(),"")</f>
        <v/>
      </c>
      <c r="V215">
        <f>IF(AND(S215=1,OR(Report!$C$5="",B215=Report!$C$5)),MATCH(B215,Rooms!$B$6:$B$35,0)*10000+ROW(),"")</f>
        <v/>
      </c>
      <c r="W215">
        <f>IF(AND(S215=1,OR(J215="",J215="No")),1,0)</f>
        <v/>
      </c>
      <c r="X215">
        <f>IF(AND(S215=1,K215=""),1,0)</f>
        <v/>
      </c>
      <c r="Y215">
        <f>IF(AND(S215=1,Q215&lt;&gt;""),ROUND(T215*100,0)*10000+10000-ROW(),"")</f>
        <v/>
      </c>
    </row>
    <row r="216">
      <c r="A216" s="1" t="n"/>
      <c r="B216" s="17" t="n"/>
      <c r="C216" s="18" t="n"/>
      <c r="D216" s="17" t="n"/>
      <c r="E216" s="19" t="n"/>
      <c r="F216" s="19" t="n"/>
      <c r="G216" s="20" t="n"/>
      <c r="H216" s="21" t="n"/>
      <c r="I216" s="21" t="n"/>
      <c r="J216" s="17" t="n"/>
      <c r="K216" s="19" t="n"/>
      <c r="L216" s="20" t="n"/>
      <c r="M216" s="19" t="n"/>
      <c r="N216" s="22">
        <f>IF(C216="","",IF(ISNUMBER(I216),I216,IF(ISNUMBER(H216),H216,"")))</f>
        <v/>
      </c>
      <c r="O216" s="23">
        <f>IF(OR(C216="",NOT(ISNUMBER(G216))),"",(TODAY()-INT(G216))/365.25)</f>
        <v/>
      </c>
      <c r="P216" s="13">
        <f>IF(OR(C216="",NOT(ISNUMBER(L216))),"",IF(L216&lt;TODAY(),"Ended",IF(L216-TODAY()&lt;=N(Settings!$C$10),"Ends soon","Covered")))</f>
        <v/>
      </c>
      <c r="Q216" s="13">
        <f>IF(C216="","",MID(IF(N216="",", value","")&amp;IF(OR(J216="",J216="No"),", receipt","")&amp;IF(K216="",", photo",""),3,100))</f>
        <v/>
      </c>
      <c r="R216" s="13">
        <f>IF(AND(B216="",C216=""),"",IF(C216="","Needs the item",IF(B216="","Needs a room",IF(COUNTIF(Rooms!$B$6:$B$35,B216)=0,"Not on Rooms",IF(AND(H216&lt;&gt;"",NOT(ISNUMBER(H216))),"Paid not a number",IF(AND(I216&lt;&gt;"",NOT(ISNUMBER(I216))),"Worth not a number",IF(AND(G216&lt;&gt;"",NOT(ISNUMBER(G216))),"Bought is not a date",IF(AND(L216&lt;&gt;"",NOT(ISNUMBER(L216))),"Warranty is not a date",""))))))))</f>
        <v/>
      </c>
      <c r="S216" s="1">
        <f>IF(AND(C216&lt;&gt;"",R216=""),1,0)</f>
        <v/>
      </c>
      <c r="T216">
        <f>IF(S216=1,N(N216),0)</f>
        <v/>
      </c>
      <c r="U216">
        <f>IF(AND(S216=1,T216&gt;0),ROUND(T216*100,0)*10000+10000-ROW(),"")</f>
        <v/>
      </c>
      <c r="V216">
        <f>IF(AND(S216=1,OR(Report!$C$5="",B216=Report!$C$5)),MATCH(B216,Rooms!$B$6:$B$35,0)*10000+ROW(),"")</f>
        <v/>
      </c>
      <c r="W216">
        <f>IF(AND(S216=1,OR(J216="",J216="No")),1,0)</f>
        <v/>
      </c>
      <c r="X216">
        <f>IF(AND(S216=1,K216=""),1,0)</f>
        <v/>
      </c>
      <c r="Y216">
        <f>IF(AND(S216=1,Q216&lt;&gt;""),ROUND(T216*100,0)*10000+10000-ROW(),"")</f>
        <v/>
      </c>
    </row>
    <row r="217">
      <c r="A217" s="1" t="n"/>
      <c r="B217" s="17" t="n"/>
      <c r="C217" s="18" t="n"/>
      <c r="D217" s="17" t="n"/>
      <c r="E217" s="19" t="n"/>
      <c r="F217" s="19" t="n"/>
      <c r="G217" s="20" t="n"/>
      <c r="H217" s="21" t="n"/>
      <c r="I217" s="21" t="n"/>
      <c r="J217" s="17" t="n"/>
      <c r="K217" s="19" t="n"/>
      <c r="L217" s="20" t="n"/>
      <c r="M217" s="19" t="n"/>
      <c r="N217" s="22">
        <f>IF(C217="","",IF(ISNUMBER(I217),I217,IF(ISNUMBER(H217),H217,"")))</f>
        <v/>
      </c>
      <c r="O217" s="23">
        <f>IF(OR(C217="",NOT(ISNUMBER(G217))),"",(TODAY()-INT(G217))/365.25)</f>
        <v/>
      </c>
      <c r="P217" s="13">
        <f>IF(OR(C217="",NOT(ISNUMBER(L217))),"",IF(L217&lt;TODAY(),"Ended",IF(L217-TODAY()&lt;=N(Settings!$C$10),"Ends soon","Covered")))</f>
        <v/>
      </c>
      <c r="Q217" s="13">
        <f>IF(C217="","",MID(IF(N217="",", value","")&amp;IF(OR(J217="",J217="No"),", receipt","")&amp;IF(K217="",", photo",""),3,100))</f>
        <v/>
      </c>
      <c r="R217" s="13">
        <f>IF(AND(B217="",C217=""),"",IF(C217="","Needs the item",IF(B217="","Needs a room",IF(COUNTIF(Rooms!$B$6:$B$35,B217)=0,"Not on Rooms",IF(AND(H217&lt;&gt;"",NOT(ISNUMBER(H217))),"Paid not a number",IF(AND(I217&lt;&gt;"",NOT(ISNUMBER(I217))),"Worth not a number",IF(AND(G217&lt;&gt;"",NOT(ISNUMBER(G217))),"Bought is not a date",IF(AND(L217&lt;&gt;"",NOT(ISNUMBER(L217))),"Warranty is not a date",""))))))))</f>
        <v/>
      </c>
      <c r="S217" s="1">
        <f>IF(AND(C217&lt;&gt;"",R217=""),1,0)</f>
        <v/>
      </c>
      <c r="T217">
        <f>IF(S217=1,N(N217),0)</f>
        <v/>
      </c>
      <c r="U217">
        <f>IF(AND(S217=1,T217&gt;0),ROUND(T217*100,0)*10000+10000-ROW(),"")</f>
        <v/>
      </c>
      <c r="V217">
        <f>IF(AND(S217=1,OR(Report!$C$5="",B217=Report!$C$5)),MATCH(B217,Rooms!$B$6:$B$35,0)*10000+ROW(),"")</f>
        <v/>
      </c>
      <c r="W217">
        <f>IF(AND(S217=1,OR(J217="",J217="No")),1,0)</f>
        <v/>
      </c>
      <c r="X217">
        <f>IF(AND(S217=1,K217=""),1,0)</f>
        <v/>
      </c>
      <c r="Y217">
        <f>IF(AND(S217=1,Q217&lt;&gt;""),ROUND(T217*100,0)*10000+10000-ROW(),"")</f>
        <v/>
      </c>
    </row>
    <row r="218">
      <c r="A218" s="1" t="n"/>
      <c r="B218" s="17" t="n"/>
      <c r="C218" s="18" t="n"/>
      <c r="D218" s="17" t="n"/>
      <c r="E218" s="19" t="n"/>
      <c r="F218" s="19" t="n"/>
      <c r="G218" s="20" t="n"/>
      <c r="H218" s="21" t="n"/>
      <c r="I218" s="21" t="n"/>
      <c r="J218" s="17" t="n"/>
      <c r="K218" s="19" t="n"/>
      <c r="L218" s="20" t="n"/>
      <c r="M218" s="19" t="n"/>
      <c r="N218" s="22">
        <f>IF(C218="","",IF(ISNUMBER(I218),I218,IF(ISNUMBER(H218),H218,"")))</f>
        <v/>
      </c>
      <c r="O218" s="23">
        <f>IF(OR(C218="",NOT(ISNUMBER(G218))),"",(TODAY()-INT(G218))/365.25)</f>
        <v/>
      </c>
      <c r="P218" s="13">
        <f>IF(OR(C218="",NOT(ISNUMBER(L218))),"",IF(L218&lt;TODAY(),"Ended",IF(L218-TODAY()&lt;=N(Settings!$C$10),"Ends soon","Covered")))</f>
        <v/>
      </c>
      <c r="Q218" s="13">
        <f>IF(C218="","",MID(IF(N218="",", value","")&amp;IF(OR(J218="",J218="No"),", receipt","")&amp;IF(K218="",", photo",""),3,100))</f>
        <v/>
      </c>
      <c r="R218" s="13">
        <f>IF(AND(B218="",C218=""),"",IF(C218="","Needs the item",IF(B218="","Needs a room",IF(COUNTIF(Rooms!$B$6:$B$35,B218)=0,"Not on Rooms",IF(AND(H218&lt;&gt;"",NOT(ISNUMBER(H218))),"Paid not a number",IF(AND(I218&lt;&gt;"",NOT(ISNUMBER(I218))),"Worth not a number",IF(AND(G218&lt;&gt;"",NOT(ISNUMBER(G218))),"Bought is not a date",IF(AND(L218&lt;&gt;"",NOT(ISNUMBER(L218))),"Warranty is not a date",""))))))))</f>
        <v/>
      </c>
      <c r="S218" s="1">
        <f>IF(AND(C218&lt;&gt;"",R218=""),1,0)</f>
        <v/>
      </c>
      <c r="T218">
        <f>IF(S218=1,N(N218),0)</f>
        <v/>
      </c>
      <c r="U218">
        <f>IF(AND(S218=1,T218&gt;0),ROUND(T218*100,0)*10000+10000-ROW(),"")</f>
        <v/>
      </c>
      <c r="V218">
        <f>IF(AND(S218=1,OR(Report!$C$5="",B218=Report!$C$5)),MATCH(B218,Rooms!$B$6:$B$35,0)*10000+ROW(),"")</f>
        <v/>
      </c>
      <c r="W218">
        <f>IF(AND(S218=1,OR(J218="",J218="No")),1,0)</f>
        <v/>
      </c>
      <c r="X218">
        <f>IF(AND(S218=1,K218=""),1,0)</f>
        <v/>
      </c>
      <c r="Y218">
        <f>IF(AND(S218=1,Q218&lt;&gt;""),ROUND(T218*100,0)*10000+10000-ROW(),"")</f>
        <v/>
      </c>
    </row>
    <row r="219">
      <c r="A219" s="1" t="n"/>
      <c r="B219" s="17" t="n"/>
      <c r="C219" s="18" t="n"/>
      <c r="D219" s="17" t="n"/>
      <c r="E219" s="19" t="n"/>
      <c r="F219" s="19" t="n"/>
      <c r="G219" s="20" t="n"/>
      <c r="H219" s="21" t="n"/>
      <c r="I219" s="21" t="n"/>
      <c r="J219" s="17" t="n"/>
      <c r="K219" s="19" t="n"/>
      <c r="L219" s="20" t="n"/>
      <c r="M219" s="19" t="n"/>
      <c r="N219" s="22">
        <f>IF(C219="","",IF(ISNUMBER(I219),I219,IF(ISNUMBER(H219),H219,"")))</f>
        <v/>
      </c>
      <c r="O219" s="23">
        <f>IF(OR(C219="",NOT(ISNUMBER(G219))),"",(TODAY()-INT(G219))/365.25)</f>
        <v/>
      </c>
      <c r="P219" s="13">
        <f>IF(OR(C219="",NOT(ISNUMBER(L219))),"",IF(L219&lt;TODAY(),"Ended",IF(L219-TODAY()&lt;=N(Settings!$C$10),"Ends soon","Covered")))</f>
        <v/>
      </c>
      <c r="Q219" s="13">
        <f>IF(C219="","",MID(IF(N219="",", value","")&amp;IF(OR(J219="",J219="No"),", receipt","")&amp;IF(K219="",", photo",""),3,100))</f>
        <v/>
      </c>
      <c r="R219" s="13">
        <f>IF(AND(B219="",C219=""),"",IF(C219="","Needs the item",IF(B219="","Needs a room",IF(COUNTIF(Rooms!$B$6:$B$35,B219)=0,"Not on Rooms",IF(AND(H219&lt;&gt;"",NOT(ISNUMBER(H219))),"Paid not a number",IF(AND(I219&lt;&gt;"",NOT(ISNUMBER(I219))),"Worth not a number",IF(AND(G219&lt;&gt;"",NOT(ISNUMBER(G219))),"Bought is not a date",IF(AND(L219&lt;&gt;"",NOT(ISNUMBER(L219))),"Warranty is not a date",""))))))))</f>
        <v/>
      </c>
      <c r="S219" s="1">
        <f>IF(AND(C219&lt;&gt;"",R219=""),1,0)</f>
        <v/>
      </c>
      <c r="T219">
        <f>IF(S219=1,N(N219),0)</f>
        <v/>
      </c>
      <c r="U219">
        <f>IF(AND(S219=1,T219&gt;0),ROUND(T219*100,0)*10000+10000-ROW(),"")</f>
        <v/>
      </c>
      <c r="V219">
        <f>IF(AND(S219=1,OR(Report!$C$5="",B219=Report!$C$5)),MATCH(B219,Rooms!$B$6:$B$35,0)*10000+ROW(),"")</f>
        <v/>
      </c>
      <c r="W219">
        <f>IF(AND(S219=1,OR(J219="",J219="No")),1,0)</f>
        <v/>
      </c>
      <c r="X219">
        <f>IF(AND(S219=1,K219=""),1,0)</f>
        <v/>
      </c>
      <c r="Y219">
        <f>IF(AND(S219=1,Q219&lt;&gt;""),ROUND(T219*100,0)*10000+10000-ROW(),"")</f>
        <v/>
      </c>
    </row>
    <row r="220">
      <c r="A220" s="1" t="n"/>
      <c r="B220" s="17" t="n"/>
      <c r="C220" s="18" t="n"/>
      <c r="D220" s="17" t="n"/>
      <c r="E220" s="19" t="n"/>
      <c r="F220" s="19" t="n"/>
      <c r="G220" s="20" t="n"/>
      <c r="H220" s="21" t="n"/>
      <c r="I220" s="21" t="n"/>
      <c r="J220" s="17" t="n"/>
      <c r="K220" s="19" t="n"/>
      <c r="L220" s="20" t="n"/>
      <c r="M220" s="19" t="n"/>
      <c r="N220" s="22">
        <f>IF(C220="","",IF(ISNUMBER(I220),I220,IF(ISNUMBER(H220),H220,"")))</f>
        <v/>
      </c>
      <c r="O220" s="23">
        <f>IF(OR(C220="",NOT(ISNUMBER(G220))),"",(TODAY()-INT(G220))/365.25)</f>
        <v/>
      </c>
      <c r="P220" s="13">
        <f>IF(OR(C220="",NOT(ISNUMBER(L220))),"",IF(L220&lt;TODAY(),"Ended",IF(L220-TODAY()&lt;=N(Settings!$C$10),"Ends soon","Covered")))</f>
        <v/>
      </c>
      <c r="Q220" s="13">
        <f>IF(C220="","",MID(IF(N220="",", value","")&amp;IF(OR(J220="",J220="No"),", receipt","")&amp;IF(K220="",", photo",""),3,100))</f>
        <v/>
      </c>
      <c r="R220" s="13">
        <f>IF(AND(B220="",C220=""),"",IF(C220="","Needs the item",IF(B220="","Needs a room",IF(COUNTIF(Rooms!$B$6:$B$35,B220)=0,"Not on Rooms",IF(AND(H220&lt;&gt;"",NOT(ISNUMBER(H220))),"Paid not a number",IF(AND(I220&lt;&gt;"",NOT(ISNUMBER(I220))),"Worth not a number",IF(AND(G220&lt;&gt;"",NOT(ISNUMBER(G220))),"Bought is not a date",IF(AND(L220&lt;&gt;"",NOT(ISNUMBER(L220))),"Warranty is not a date",""))))))))</f>
        <v/>
      </c>
      <c r="S220" s="1">
        <f>IF(AND(C220&lt;&gt;"",R220=""),1,0)</f>
        <v/>
      </c>
      <c r="T220">
        <f>IF(S220=1,N(N220),0)</f>
        <v/>
      </c>
      <c r="U220">
        <f>IF(AND(S220=1,T220&gt;0),ROUND(T220*100,0)*10000+10000-ROW(),"")</f>
        <v/>
      </c>
      <c r="V220">
        <f>IF(AND(S220=1,OR(Report!$C$5="",B220=Report!$C$5)),MATCH(B220,Rooms!$B$6:$B$35,0)*10000+ROW(),"")</f>
        <v/>
      </c>
      <c r="W220">
        <f>IF(AND(S220=1,OR(J220="",J220="No")),1,0)</f>
        <v/>
      </c>
      <c r="X220">
        <f>IF(AND(S220=1,K220=""),1,0)</f>
        <v/>
      </c>
      <c r="Y220">
        <f>IF(AND(S220=1,Q220&lt;&gt;""),ROUND(T220*100,0)*10000+10000-ROW(),"")</f>
        <v/>
      </c>
    </row>
    <row r="221">
      <c r="A221" s="1" t="n"/>
      <c r="B221" s="17" t="n"/>
      <c r="C221" s="18" t="n"/>
      <c r="D221" s="17" t="n"/>
      <c r="E221" s="19" t="n"/>
      <c r="F221" s="19" t="n"/>
      <c r="G221" s="20" t="n"/>
      <c r="H221" s="21" t="n"/>
      <c r="I221" s="21" t="n"/>
      <c r="J221" s="17" t="n"/>
      <c r="K221" s="19" t="n"/>
      <c r="L221" s="20" t="n"/>
      <c r="M221" s="19" t="n"/>
      <c r="N221" s="22">
        <f>IF(C221="","",IF(ISNUMBER(I221),I221,IF(ISNUMBER(H221),H221,"")))</f>
        <v/>
      </c>
      <c r="O221" s="23">
        <f>IF(OR(C221="",NOT(ISNUMBER(G221))),"",(TODAY()-INT(G221))/365.25)</f>
        <v/>
      </c>
      <c r="P221" s="13">
        <f>IF(OR(C221="",NOT(ISNUMBER(L221))),"",IF(L221&lt;TODAY(),"Ended",IF(L221-TODAY()&lt;=N(Settings!$C$10),"Ends soon","Covered")))</f>
        <v/>
      </c>
      <c r="Q221" s="13">
        <f>IF(C221="","",MID(IF(N221="",", value","")&amp;IF(OR(J221="",J221="No"),", receipt","")&amp;IF(K221="",", photo",""),3,100))</f>
        <v/>
      </c>
      <c r="R221" s="13">
        <f>IF(AND(B221="",C221=""),"",IF(C221="","Needs the item",IF(B221="","Needs a room",IF(COUNTIF(Rooms!$B$6:$B$35,B221)=0,"Not on Rooms",IF(AND(H221&lt;&gt;"",NOT(ISNUMBER(H221))),"Paid not a number",IF(AND(I221&lt;&gt;"",NOT(ISNUMBER(I221))),"Worth not a number",IF(AND(G221&lt;&gt;"",NOT(ISNUMBER(G221))),"Bought is not a date",IF(AND(L221&lt;&gt;"",NOT(ISNUMBER(L221))),"Warranty is not a date",""))))))))</f>
        <v/>
      </c>
      <c r="S221" s="1">
        <f>IF(AND(C221&lt;&gt;"",R221=""),1,0)</f>
        <v/>
      </c>
      <c r="T221">
        <f>IF(S221=1,N(N221),0)</f>
        <v/>
      </c>
      <c r="U221">
        <f>IF(AND(S221=1,T221&gt;0),ROUND(T221*100,0)*10000+10000-ROW(),"")</f>
        <v/>
      </c>
      <c r="V221">
        <f>IF(AND(S221=1,OR(Report!$C$5="",B221=Report!$C$5)),MATCH(B221,Rooms!$B$6:$B$35,0)*10000+ROW(),"")</f>
        <v/>
      </c>
      <c r="W221">
        <f>IF(AND(S221=1,OR(J221="",J221="No")),1,0)</f>
        <v/>
      </c>
      <c r="X221">
        <f>IF(AND(S221=1,K221=""),1,0)</f>
        <v/>
      </c>
      <c r="Y221">
        <f>IF(AND(S221=1,Q221&lt;&gt;""),ROUND(T221*100,0)*10000+10000-ROW(),"")</f>
        <v/>
      </c>
    </row>
    <row r="222">
      <c r="A222" s="1" t="n"/>
      <c r="B222" s="17" t="n"/>
      <c r="C222" s="18" t="n"/>
      <c r="D222" s="17" t="n"/>
      <c r="E222" s="19" t="n"/>
      <c r="F222" s="19" t="n"/>
      <c r="G222" s="20" t="n"/>
      <c r="H222" s="21" t="n"/>
      <c r="I222" s="21" t="n"/>
      <c r="J222" s="17" t="n"/>
      <c r="K222" s="19" t="n"/>
      <c r="L222" s="20" t="n"/>
      <c r="M222" s="19" t="n"/>
      <c r="N222" s="22">
        <f>IF(C222="","",IF(ISNUMBER(I222),I222,IF(ISNUMBER(H222),H222,"")))</f>
        <v/>
      </c>
      <c r="O222" s="23">
        <f>IF(OR(C222="",NOT(ISNUMBER(G222))),"",(TODAY()-INT(G222))/365.25)</f>
        <v/>
      </c>
      <c r="P222" s="13">
        <f>IF(OR(C222="",NOT(ISNUMBER(L222))),"",IF(L222&lt;TODAY(),"Ended",IF(L222-TODAY()&lt;=N(Settings!$C$10),"Ends soon","Covered")))</f>
        <v/>
      </c>
      <c r="Q222" s="13">
        <f>IF(C222="","",MID(IF(N222="",", value","")&amp;IF(OR(J222="",J222="No"),", receipt","")&amp;IF(K222="",", photo",""),3,100))</f>
        <v/>
      </c>
      <c r="R222" s="13">
        <f>IF(AND(B222="",C222=""),"",IF(C222="","Needs the item",IF(B222="","Needs a room",IF(COUNTIF(Rooms!$B$6:$B$35,B222)=0,"Not on Rooms",IF(AND(H222&lt;&gt;"",NOT(ISNUMBER(H222))),"Paid not a number",IF(AND(I222&lt;&gt;"",NOT(ISNUMBER(I222))),"Worth not a number",IF(AND(G222&lt;&gt;"",NOT(ISNUMBER(G222))),"Bought is not a date",IF(AND(L222&lt;&gt;"",NOT(ISNUMBER(L222))),"Warranty is not a date",""))))))))</f>
        <v/>
      </c>
      <c r="S222" s="1">
        <f>IF(AND(C222&lt;&gt;"",R222=""),1,0)</f>
        <v/>
      </c>
      <c r="T222">
        <f>IF(S222=1,N(N222),0)</f>
        <v/>
      </c>
      <c r="U222">
        <f>IF(AND(S222=1,T222&gt;0),ROUND(T222*100,0)*10000+10000-ROW(),"")</f>
        <v/>
      </c>
      <c r="V222">
        <f>IF(AND(S222=1,OR(Report!$C$5="",B222=Report!$C$5)),MATCH(B222,Rooms!$B$6:$B$35,0)*10000+ROW(),"")</f>
        <v/>
      </c>
      <c r="W222">
        <f>IF(AND(S222=1,OR(J222="",J222="No")),1,0)</f>
        <v/>
      </c>
      <c r="X222">
        <f>IF(AND(S222=1,K222=""),1,0)</f>
        <v/>
      </c>
      <c r="Y222">
        <f>IF(AND(S222=1,Q222&lt;&gt;""),ROUND(T222*100,0)*10000+10000-ROW(),"")</f>
        <v/>
      </c>
    </row>
    <row r="223">
      <c r="A223" s="1" t="n"/>
      <c r="B223" s="17" t="n"/>
      <c r="C223" s="18" t="n"/>
      <c r="D223" s="17" t="n"/>
      <c r="E223" s="19" t="n"/>
      <c r="F223" s="19" t="n"/>
      <c r="G223" s="20" t="n"/>
      <c r="H223" s="21" t="n"/>
      <c r="I223" s="21" t="n"/>
      <c r="J223" s="17" t="n"/>
      <c r="K223" s="19" t="n"/>
      <c r="L223" s="20" t="n"/>
      <c r="M223" s="19" t="n"/>
      <c r="N223" s="22">
        <f>IF(C223="","",IF(ISNUMBER(I223),I223,IF(ISNUMBER(H223),H223,"")))</f>
        <v/>
      </c>
      <c r="O223" s="23">
        <f>IF(OR(C223="",NOT(ISNUMBER(G223))),"",(TODAY()-INT(G223))/365.25)</f>
        <v/>
      </c>
      <c r="P223" s="13">
        <f>IF(OR(C223="",NOT(ISNUMBER(L223))),"",IF(L223&lt;TODAY(),"Ended",IF(L223-TODAY()&lt;=N(Settings!$C$10),"Ends soon","Covered")))</f>
        <v/>
      </c>
      <c r="Q223" s="13">
        <f>IF(C223="","",MID(IF(N223="",", value","")&amp;IF(OR(J223="",J223="No"),", receipt","")&amp;IF(K223="",", photo",""),3,100))</f>
        <v/>
      </c>
      <c r="R223" s="13">
        <f>IF(AND(B223="",C223=""),"",IF(C223="","Needs the item",IF(B223="","Needs a room",IF(COUNTIF(Rooms!$B$6:$B$35,B223)=0,"Not on Rooms",IF(AND(H223&lt;&gt;"",NOT(ISNUMBER(H223))),"Paid not a number",IF(AND(I223&lt;&gt;"",NOT(ISNUMBER(I223))),"Worth not a number",IF(AND(G223&lt;&gt;"",NOT(ISNUMBER(G223))),"Bought is not a date",IF(AND(L223&lt;&gt;"",NOT(ISNUMBER(L223))),"Warranty is not a date",""))))))))</f>
        <v/>
      </c>
      <c r="S223" s="1">
        <f>IF(AND(C223&lt;&gt;"",R223=""),1,0)</f>
        <v/>
      </c>
      <c r="T223">
        <f>IF(S223=1,N(N223),0)</f>
        <v/>
      </c>
      <c r="U223">
        <f>IF(AND(S223=1,T223&gt;0),ROUND(T223*100,0)*10000+10000-ROW(),"")</f>
        <v/>
      </c>
      <c r="V223">
        <f>IF(AND(S223=1,OR(Report!$C$5="",B223=Report!$C$5)),MATCH(B223,Rooms!$B$6:$B$35,0)*10000+ROW(),"")</f>
        <v/>
      </c>
      <c r="W223">
        <f>IF(AND(S223=1,OR(J223="",J223="No")),1,0)</f>
        <v/>
      </c>
      <c r="X223">
        <f>IF(AND(S223=1,K223=""),1,0)</f>
        <v/>
      </c>
      <c r="Y223">
        <f>IF(AND(S223=1,Q223&lt;&gt;""),ROUND(T223*100,0)*10000+10000-ROW(),"")</f>
        <v/>
      </c>
    </row>
    <row r="224">
      <c r="A224" s="1" t="n"/>
      <c r="B224" s="17" t="n"/>
      <c r="C224" s="18" t="n"/>
      <c r="D224" s="17" t="n"/>
      <c r="E224" s="19" t="n"/>
      <c r="F224" s="19" t="n"/>
      <c r="G224" s="20" t="n"/>
      <c r="H224" s="21" t="n"/>
      <c r="I224" s="21" t="n"/>
      <c r="J224" s="17" t="n"/>
      <c r="K224" s="19" t="n"/>
      <c r="L224" s="20" t="n"/>
      <c r="M224" s="19" t="n"/>
      <c r="N224" s="22">
        <f>IF(C224="","",IF(ISNUMBER(I224),I224,IF(ISNUMBER(H224),H224,"")))</f>
        <v/>
      </c>
      <c r="O224" s="23">
        <f>IF(OR(C224="",NOT(ISNUMBER(G224))),"",(TODAY()-INT(G224))/365.25)</f>
        <v/>
      </c>
      <c r="P224" s="13">
        <f>IF(OR(C224="",NOT(ISNUMBER(L224))),"",IF(L224&lt;TODAY(),"Ended",IF(L224-TODAY()&lt;=N(Settings!$C$10),"Ends soon","Covered")))</f>
        <v/>
      </c>
      <c r="Q224" s="13">
        <f>IF(C224="","",MID(IF(N224="",", value","")&amp;IF(OR(J224="",J224="No"),", receipt","")&amp;IF(K224="",", photo",""),3,100))</f>
        <v/>
      </c>
      <c r="R224" s="13">
        <f>IF(AND(B224="",C224=""),"",IF(C224="","Needs the item",IF(B224="","Needs a room",IF(COUNTIF(Rooms!$B$6:$B$35,B224)=0,"Not on Rooms",IF(AND(H224&lt;&gt;"",NOT(ISNUMBER(H224))),"Paid not a number",IF(AND(I224&lt;&gt;"",NOT(ISNUMBER(I224))),"Worth not a number",IF(AND(G224&lt;&gt;"",NOT(ISNUMBER(G224))),"Bought is not a date",IF(AND(L224&lt;&gt;"",NOT(ISNUMBER(L224))),"Warranty is not a date",""))))))))</f>
        <v/>
      </c>
      <c r="S224" s="1">
        <f>IF(AND(C224&lt;&gt;"",R224=""),1,0)</f>
        <v/>
      </c>
      <c r="T224">
        <f>IF(S224=1,N(N224),0)</f>
        <v/>
      </c>
      <c r="U224">
        <f>IF(AND(S224=1,T224&gt;0),ROUND(T224*100,0)*10000+10000-ROW(),"")</f>
        <v/>
      </c>
      <c r="V224">
        <f>IF(AND(S224=1,OR(Report!$C$5="",B224=Report!$C$5)),MATCH(B224,Rooms!$B$6:$B$35,0)*10000+ROW(),"")</f>
        <v/>
      </c>
      <c r="W224">
        <f>IF(AND(S224=1,OR(J224="",J224="No")),1,0)</f>
        <v/>
      </c>
      <c r="X224">
        <f>IF(AND(S224=1,K224=""),1,0)</f>
        <v/>
      </c>
      <c r="Y224">
        <f>IF(AND(S224=1,Q224&lt;&gt;""),ROUND(T224*100,0)*10000+10000-ROW(),"")</f>
        <v/>
      </c>
    </row>
    <row r="225">
      <c r="A225" s="1" t="n"/>
      <c r="B225" s="17" t="n"/>
      <c r="C225" s="18" t="n"/>
      <c r="D225" s="17" t="n"/>
      <c r="E225" s="19" t="n"/>
      <c r="F225" s="19" t="n"/>
      <c r="G225" s="20" t="n"/>
      <c r="H225" s="21" t="n"/>
      <c r="I225" s="21" t="n"/>
      <c r="J225" s="17" t="n"/>
      <c r="K225" s="19" t="n"/>
      <c r="L225" s="20" t="n"/>
      <c r="M225" s="19" t="n"/>
      <c r="N225" s="22">
        <f>IF(C225="","",IF(ISNUMBER(I225),I225,IF(ISNUMBER(H225),H225,"")))</f>
        <v/>
      </c>
      <c r="O225" s="23">
        <f>IF(OR(C225="",NOT(ISNUMBER(G225))),"",(TODAY()-INT(G225))/365.25)</f>
        <v/>
      </c>
      <c r="P225" s="13">
        <f>IF(OR(C225="",NOT(ISNUMBER(L225))),"",IF(L225&lt;TODAY(),"Ended",IF(L225-TODAY()&lt;=N(Settings!$C$10),"Ends soon","Covered")))</f>
        <v/>
      </c>
      <c r="Q225" s="13">
        <f>IF(C225="","",MID(IF(N225="",", value","")&amp;IF(OR(J225="",J225="No"),", receipt","")&amp;IF(K225="",", photo",""),3,100))</f>
        <v/>
      </c>
      <c r="R225" s="13">
        <f>IF(AND(B225="",C225=""),"",IF(C225="","Needs the item",IF(B225="","Needs a room",IF(COUNTIF(Rooms!$B$6:$B$35,B225)=0,"Not on Rooms",IF(AND(H225&lt;&gt;"",NOT(ISNUMBER(H225))),"Paid not a number",IF(AND(I225&lt;&gt;"",NOT(ISNUMBER(I225))),"Worth not a number",IF(AND(G225&lt;&gt;"",NOT(ISNUMBER(G225))),"Bought is not a date",IF(AND(L225&lt;&gt;"",NOT(ISNUMBER(L225))),"Warranty is not a date",""))))))))</f>
        <v/>
      </c>
      <c r="S225" s="1">
        <f>IF(AND(C225&lt;&gt;"",R225=""),1,0)</f>
        <v/>
      </c>
      <c r="T225">
        <f>IF(S225=1,N(N225),0)</f>
        <v/>
      </c>
      <c r="U225">
        <f>IF(AND(S225=1,T225&gt;0),ROUND(T225*100,0)*10000+10000-ROW(),"")</f>
        <v/>
      </c>
      <c r="V225">
        <f>IF(AND(S225=1,OR(Report!$C$5="",B225=Report!$C$5)),MATCH(B225,Rooms!$B$6:$B$35,0)*10000+ROW(),"")</f>
        <v/>
      </c>
      <c r="W225">
        <f>IF(AND(S225=1,OR(J225="",J225="No")),1,0)</f>
        <v/>
      </c>
      <c r="X225">
        <f>IF(AND(S225=1,K225=""),1,0)</f>
        <v/>
      </c>
      <c r="Y225">
        <f>IF(AND(S225=1,Q225&lt;&gt;""),ROUND(T225*100,0)*10000+10000-ROW(),"")</f>
        <v/>
      </c>
    </row>
    <row r="226">
      <c r="A226" s="1" t="n"/>
      <c r="B226" s="17" t="n"/>
      <c r="C226" s="18" t="n"/>
      <c r="D226" s="17" t="n"/>
      <c r="E226" s="19" t="n"/>
      <c r="F226" s="19" t="n"/>
      <c r="G226" s="20" t="n"/>
      <c r="H226" s="21" t="n"/>
      <c r="I226" s="21" t="n"/>
      <c r="J226" s="17" t="n"/>
      <c r="K226" s="19" t="n"/>
      <c r="L226" s="20" t="n"/>
      <c r="M226" s="19" t="n"/>
      <c r="N226" s="22">
        <f>IF(C226="","",IF(ISNUMBER(I226),I226,IF(ISNUMBER(H226),H226,"")))</f>
        <v/>
      </c>
      <c r="O226" s="23">
        <f>IF(OR(C226="",NOT(ISNUMBER(G226))),"",(TODAY()-INT(G226))/365.25)</f>
        <v/>
      </c>
      <c r="P226" s="13">
        <f>IF(OR(C226="",NOT(ISNUMBER(L226))),"",IF(L226&lt;TODAY(),"Ended",IF(L226-TODAY()&lt;=N(Settings!$C$10),"Ends soon","Covered")))</f>
        <v/>
      </c>
      <c r="Q226" s="13">
        <f>IF(C226="","",MID(IF(N226="",", value","")&amp;IF(OR(J226="",J226="No"),", receipt","")&amp;IF(K226="",", photo",""),3,100))</f>
        <v/>
      </c>
      <c r="R226" s="13">
        <f>IF(AND(B226="",C226=""),"",IF(C226="","Needs the item",IF(B226="","Needs a room",IF(COUNTIF(Rooms!$B$6:$B$35,B226)=0,"Not on Rooms",IF(AND(H226&lt;&gt;"",NOT(ISNUMBER(H226))),"Paid not a number",IF(AND(I226&lt;&gt;"",NOT(ISNUMBER(I226))),"Worth not a number",IF(AND(G226&lt;&gt;"",NOT(ISNUMBER(G226))),"Bought is not a date",IF(AND(L226&lt;&gt;"",NOT(ISNUMBER(L226))),"Warranty is not a date",""))))))))</f>
        <v/>
      </c>
      <c r="S226" s="1">
        <f>IF(AND(C226&lt;&gt;"",R226=""),1,0)</f>
        <v/>
      </c>
      <c r="T226">
        <f>IF(S226=1,N(N226),0)</f>
        <v/>
      </c>
      <c r="U226">
        <f>IF(AND(S226=1,T226&gt;0),ROUND(T226*100,0)*10000+10000-ROW(),"")</f>
        <v/>
      </c>
      <c r="V226">
        <f>IF(AND(S226=1,OR(Report!$C$5="",B226=Report!$C$5)),MATCH(B226,Rooms!$B$6:$B$35,0)*10000+ROW(),"")</f>
        <v/>
      </c>
      <c r="W226">
        <f>IF(AND(S226=1,OR(J226="",J226="No")),1,0)</f>
        <v/>
      </c>
      <c r="X226">
        <f>IF(AND(S226=1,K226=""),1,0)</f>
        <v/>
      </c>
      <c r="Y226">
        <f>IF(AND(S226=1,Q226&lt;&gt;""),ROUND(T226*100,0)*10000+10000-ROW(),"")</f>
        <v/>
      </c>
    </row>
    <row r="227">
      <c r="A227" s="1" t="n"/>
      <c r="B227" s="17" t="n"/>
      <c r="C227" s="18" t="n"/>
      <c r="D227" s="17" t="n"/>
      <c r="E227" s="19" t="n"/>
      <c r="F227" s="19" t="n"/>
      <c r="G227" s="20" t="n"/>
      <c r="H227" s="21" t="n"/>
      <c r="I227" s="21" t="n"/>
      <c r="J227" s="17" t="n"/>
      <c r="K227" s="19" t="n"/>
      <c r="L227" s="20" t="n"/>
      <c r="M227" s="19" t="n"/>
      <c r="N227" s="22">
        <f>IF(C227="","",IF(ISNUMBER(I227),I227,IF(ISNUMBER(H227),H227,"")))</f>
        <v/>
      </c>
      <c r="O227" s="23">
        <f>IF(OR(C227="",NOT(ISNUMBER(G227))),"",(TODAY()-INT(G227))/365.25)</f>
        <v/>
      </c>
      <c r="P227" s="13">
        <f>IF(OR(C227="",NOT(ISNUMBER(L227))),"",IF(L227&lt;TODAY(),"Ended",IF(L227-TODAY()&lt;=N(Settings!$C$10),"Ends soon","Covered")))</f>
        <v/>
      </c>
      <c r="Q227" s="13">
        <f>IF(C227="","",MID(IF(N227="",", value","")&amp;IF(OR(J227="",J227="No"),", receipt","")&amp;IF(K227="",", photo",""),3,100))</f>
        <v/>
      </c>
      <c r="R227" s="13">
        <f>IF(AND(B227="",C227=""),"",IF(C227="","Needs the item",IF(B227="","Needs a room",IF(COUNTIF(Rooms!$B$6:$B$35,B227)=0,"Not on Rooms",IF(AND(H227&lt;&gt;"",NOT(ISNUMBER(H227))),"Paid not a number",IF(AND(I227&lt;&gt;"",NOT(ISNUMBER(I227))),"Worth not a number",IF(AND(G227&lt;&gt;"",NOT(ISNUMBER(G227))),"Bought is not a date",IF(AND(L227&lt;&gt;"",NOT(ISNUMBER(L227))),"Warranty is not a date",""))))))))</f>
        <v/>
      </c>
      <c r="S227" s="1">
        <f>IF(AND(C227&lt;&gt;"",R227=""),1,0)</f>
        <v/>
      </c>
      <c r="T227">
        <f>IF(S227=1,N(N227),0)</f>
        <v/>
      </c>
      <c r="U227">
        <f>IF(AND(S227=1,T227&gt;0),ROUND(T227*100,0)*10000+10000-ROW(),"")</f>
        <v/>
      </c>
      <c r="V227">
        <f>IF(AND(S227=1,OR(Report!$C$5="",B227=Report!$C$5)),MATCH(B227,Rooms!$B$6:$B$35,0)*10000+ROW(),"")</f>
        <v/>
      </c>
      <c r="W227">
        <f>IF(AND(S227=1,OR(J227="",J227="No")),1,0)</f>
        <v/>
      </c>
      <c r="X227">
        <f>IF(AND(S227=1,K227=""),1,0)</f>
        <v/>
      </c>
      <c r="Y227">
        <f>IF(AND(S227=1,Q227&lt;&gt;""),ROUND(T227*100,0)*10000+10000-ROW(),"")</f>
        <v/>
      </c>
    </row>
    <row r="228">
      <c r="A228" s="1" t="n"/>
      <c r="B228" s="17" t="n"/>
      <c r="C228" s="18" t="n"/>
      <c r="D228" s="17" t="n"/>
      <c r="E228" s="19" t="n"/>
      <c r="F228" s="19" t="n"/>
      <c r="G228" s="20" t="n"/>
      <c r="H228" s="21" t="n"/>
      <c r="I228" s="21" t="n"/>
      <c r="J228" s="17" t="n"/>
      <c r="K228" s="19" t="n"/>
      <c r="L228" s="20" t="n"/>
      <c r="M228" s="19" t="n"/>
      <c r="N228" s="22">
        <f>IF(C228="","",IF(ISNUMBER(I228),I228,IF(ISNUMBER(H228),H228,"")))</f>
        <v/>
      </c>
      <c r="O228" s="23">
        <f>IF(OR(C228="",NOT(ISNUMBER(G228))),"",(TODAY()-INT(G228))/365.25)</f>
        <v/>
      </c>
      <c r="P228" s="13">
        <f>IF(OR(C228="",NOT(ISNUMBER(L228))),"",IF(L228&lt;TODAY(),"Ended",IF(L228-TODAY()&lt;=N(Settings!$C$10),"Ends soon","Covered")))</f>
        <v/>
      </c>
      <c r="Q228" s="13">
        <f>IF(C228="","",MID(IF(N228="",", value","")&amp;IF(OR(J228="",J228="No"),", receipt","")&amp;IF(K228="",", photo",""),3,100))</f>
        <v/>
      </c>
      <c r="R228" s="13">
        <f>IF(AND(B228="",C228=""),"",IF(C228="","Needs the item",IF(B228="","Needs a room",IF(COUNTIF(Rooms!$B$6:$B$35,B228)=0,"Not on Rooms",IF(AND(H228&lt;&gt;"",NOT(ISNUMBER(H228))),"Paid not a number",IF(AND(I228&lt;&gt;"",NOT(ISNUMBER(I228))),"Worth not a number",IF(AND(G228&lt;&gt;"",NOT(ISNUMBER(G228))),"Bought is not a date",IF(AND(L228&lt;&gt;"",NOT(ISNUMBER(L228))),"Warranty is not a date",""))))))))</f>
        <v/>
      </c>
      <c r="S228" s="1">
        <f>IF(AND(C228&lt;&gt;"",R228=""),1,0)</f>
        <v/>
      </c>
      <c r="T228">
        <f>IF(S228=1,N(N228),0)</f>
        <v/>
      </c>
      <c r="U228">
        <f>IF(AND(S228=1,T228&gt;0),ROUND(T228*100,0)*10000+10000-ROW(),"")</f>
        <v/>
      </c>
      <c r="V228">
        <f>IF(AND(S228=1,OR(Report!$C$5="",B228=Report!$C$5)),MATCH(B228,Rooms!$B$6:$B$35,0)*10000+ROW(),"")</f>
        <v/>
      </c>
      <c r="W228">
        <f>IF(AND(S228=1,OR(J228="",J228="No")),1,0)</f>
        <v/>
      </c>
      <c r="X228">
        <f>IF(AND(S228=1,K228=""),1,0)</f>
        <v/>
      </c>
      <c r="Y228">
        <f>IF(AND(S228=1,Q228&lt;&gt;""),ROUND(T228*100,0)*10000+10000-ROW(),"")</f>
        <v/>
      </c>
    </row>
    <row r="229">
      <c r="A229" s="1" t="n"/>
      <c r="B229" s="17" t="n"/>
      <c r="C229" s="18" t="n"/>
      <c r="D229" s="17" t="n"/>
      <c r="E229" s="19" t="n"/>
      <c r="F229" s="19" t="n"/>
      <c r="G229" s="20" t="n"/>
      <c r="H229" s="21" t="n"/>
      <c r="I229" s="21" t="n"/>
      <c r="J229" s="17" t="n"/>
      <c r="K229" s="19" t="n"/>
      <c r="L229" s="20" t="n"/>
      <c r="M229" s="19" t="n"/>
      <c r="N229" s="22">
        <f>IF(C229="","",IF(ISNUMBER(I229),I229,IF(ISNUMBER(H229),H229,"")))</f>
        <v/>
      </c>
      <c r="O229" s="23">
        <f>IF(OR(C229="",NOT(ISNUMBER(G229))),"",(TODAY()-INT(G229))/365.25)</f>
        <v/>
      </c>
      <c r="P229" s="13">
        <f>IF(OR(C229="",NOT(ISNUMBER(L229))),"",IF(L229&lt;TODAY(),"Ended",IF(L229-TODAY()&lt;=N(Settings!$C$10),"Ends soon","Covered")))</f>
        <v/>
      </c>
      <c r="Q229" s="13">
        <f>IF(C229="","",MID(IF(N229="",", value","")&amp;IF(OR(J229="",J229="No"),", receipt","")&amp;IF(K229="",", photo",""),3,100))</f>
        <v/>
      </c>
      <c r="R229" s="13">
        <f>IF(AND(B229="",C229=""),"",IF(C229="","Needs the item",IF(B229="","Needs a room",IF(COUNTIF(Rooms!$B$6:$B$35,B229)=0,"Not on Rooms",IF(AND(H229&lt;&gt;"",NOT(ISNUMBER(H229))),"Paid not a number",IF(AND(I229&lt;&gt;"",NOT(ISNUMBER(I229))),"Worth not a number",IF(AND(G229&lt;&gt;"",NOT(ISNUMBER(G229))),"Bought is not a date",IF(AND(L229&lt;&gt;"",NOT(ISNUMBER(L229))),"Warranty is not a date",""))))))))</f>
        <v/>
      </c>
      <c r="S229" s="1">
        <f>IF(AND(C229&lt;&gt;"",R229=""),1,0)</f>
        <v/>
      </c>
      <c r="T229">
        <f>IF(S229=1,N(N229),0)</f>
        <v/>
      </c>
      <c r="U229">
        <f>IF(AND(S229=1,T229&gt;0),ROUND(T229*100,0)*10000+10000-ROW(),"")</f>
        <v/>
      </c>
      <c r="V229">
        <f>IF(AND(S229=1,OR(Report!$C$5="",B229=Report!$C$5)),MATCH(B229,Rooms!$B$6:$B$35,0)*10000+ROW(),"")</f>
        <v/>
      </c>
      <c r="W229">
        <f>IF(AND(S229=1,OR(J229="",J229="No")),1,0)</f>
        <v/>
      </c>
      <c r="X229">
        <f>IF(AND(S229=1,K229=""),1,0)</f>
        <v/>
      </c>
      <c r="Y229">
        <f>IF(AND(S229=1,Q229&lt;&gt;""),ROUND(T229*100,0)*10000+10000-ROW(),"")</f>
        <v/>
      </c>
    </row>
    <row r="230">
      <c r="A230" s="1" t="n"/>
      <c r="B230" s="17" t="n"/>
      <c r="C230" s="18" t="n"/>
      <c r="D230" s="17" t="n"/>
      <c r="E230" s="19" t="n"/>
      <c r="F230" s="19" t="n"/>
      <c r="G230" s="20" t="n"/>
      <c r="H230" s="21" t="n"/>
      <c r="I230" s="21" t="n"/>
      <c r="J230" s="17" t="n"/>
      <c r="K230" s="19" t="n"/>
      <c r="L230" s="20" t="n"/>
      <c r="M230" s="19" t="n"/>
      <c r="N230" s="22">
        <f>IF(C230="","",IF(ISNUMBER(I230),I230,IF(ISNUMBER(H230),H230,"")))</f>
        <v/>
      </c>
      <c r="O230" s="23">
        <f>IF(OR(C230="",NOT(ISNUMBER(G230))),"",(TODAY()-INT(G230))/365.25)</f>
        <v/>
      </c>
      <c r="P230" s="13">
        <f>IF(OR(C230="",NOT(ISNUMBER(L230))),"",IF(L230&lt;TODAY(),"Ended",IF(L230-TODAY()&lt;=N(Settings!$C$10),"Ends soon","Covered")))</f>
        <v/>
      </c>
      <c r="Q230" s="13">
        <f>IF(C230="","",MID(IF(N230="",", value","")&amp;IF(OR(J230="",J230="No"),", receipt","")&amp;IF(K230="",", photo",""),3,100))</f>
        <v/>
      </c>
      <c r="R230" s="13">
        <f>IF(AND(B230="",C230=""),"",IF(C230="","Needs the item",IF(B230="","Needs a room",IF(COUNTIF(Rooms!$B$6:$B$35,B230)=0,"Not on Rooms",IF(AND(H230&lt;&gt;"",NOT(ISNUMBER(H230))),"Paid not a number",IF(AND(I230&lt;&gt;"",NOT(ISNUMBER(I230))),"Worth not a number",IF(AND(G230&lt;&gt;"",NOT(ISNUMBER(G230))),"Bought is not a date",IF(AND(L230&lt;&gt;"",NOT(ISNUMBER(L230))),"Warranty is not a date",""))))))))</f>
        <v/>
      </c>
      <c r="S230" s="1">
        <f>IF(AND(C230&lt;&gt;"",R230=""),1,0)</f>
        <v/>
      </c>
      <c r="T230">
        <f>IF(S230=1,N(N230),0)</f>
        <v/>
      </c>
      <c r="U230">
        <f>IF(AND(S230=1,T230&gt;0),ROUND(T230*100,0)*10000+10000-ROW(),"")</f>
        <v/>
      </c>
      <c r="V230">
        <f>IF(AND(S230=1,OR(Report!$C$5="",B230=Report!$C$5)),MATCH(B230,Rooms!$B$6:$B$35,0)*10000+ROW(),"")</f>
        <v/>
      </c>
      <c r="W230">
        <f>IF(AND(S230=1,OR(J230="",J230="No")),1,0)</f>
        <v/>
      </c>
      <c r="X230">
        <f>IF(AND(S230=1,K230=""),1,0)</f>
        <v/>
      </c>
      <c r="Y230">
        <f>IF(AND(S230=1,Q230&lt;&gt;""),ROUND(T230*100,0)*10000+10000-ROW(),"")</f>
        <v/>
      </c>
    </row>
    <row r="231">
      <c r="A231" s="1" t="n"/>
      <c r="B231" s="17" t="n"/>
      <c r="C231" s="18" t="n"/>
      <c r="D231" s="17" t="n"/>
      <c r="E231" s="19" t="n"/>
      <c r="F231" s="19" t="n"/>
      <c r="G231" s="20" t="n"/>
      <c r="H231" s="21" t="n"/>
      <c r="I231" s="21" t="n"/>
      <c r="J231" s="17" t="n"/>
      <c r="K231" s="19" t="n"/>
      <c r="L231" s="20" t="n"/>
      <c r="M231" s="19" t="n"/>
      <c r="N231" s="22">
        <f>IF(C231="","",IF(ISNUMBER(I231),I231,IF(ISNUMBER(H231),H231,"")))</f>
        <v/>
      </c>
      <c r="O231" s="23">
        <f>IF(OR(C231="",NOT(ISNUMBER(G231))),"",(TODAY()-INT(G231))/365.25)</f>
        <v/>
      </c>
      <c r="P231" s="13">
        <f>IF(OR(C231="",NOT(ISNUMBER(L231))),"",IF(L231&lt;TODAY(),"Ended",IF(L231-TODAY()&lt;=N(Settings!$C$10),"Ends soon","Covered")))</f>
        <v/>
      </c>
      <c r="Q231" s="13">
        <f>IF(C231="","",MID(IF(N231="",", value","")&amp;IF(OR(J231="",J231="No"),", receipt","")&amp;IF(K231="",", photo",""),3,100))</f>
        <v/>
      </c>
      <c r="R231" s="13">
        <f>IF(AND(B231="",C231=""),"",IF(C231="","Needs the item",IF(B231="","Needs a room",IF(COUNTIF(Rooms!$B$6:$B$35,B231)=0,"Not on Rooms",IF(AND(H231&lt;&gt;"",NOT(ISNUMBER(H231))),"Paid not a number",IF(AND(I231&lt;&gt;"",NOT(ISNUMBER(I231))),"Worth not a number",IF(AND(G231&lt;&gt;"",NOT(ISNUMBER(G231))),"Bought is not a date",IF(AND(L231&lt;&gt;"",NOT(ISNUMBER(L231))),"Warranty is not a date",""))))))))</f>
        <v/>
      </c>
      <c r="S231" s="1">
        <f>IF(AND(C231&lt;&gt;"",R231=""),1,0)</f>
        <v/>
      </c>
      <c r="T231">
        <f>IF(S231=1,N(N231),0)</f>
        <v/>
      </c>
      <c r="U231">
        <f>IF(AND(S231=1,T231&gt;0),ROUND(T231*100,0)*10000+10000-ROW(),"")</f>
        <v/>
      </c>
      <c r="V231">
        <f>IF(AND(S231=1,OR(Report!$C$5="",B231=Report!$C$5)),MATCH(B231,Rooms!$B$6:$B$35,0)*10000+ROW(),"")</f>
        <v/>
      </c>
      <c r="W231">
        <f>IF(AND(S231=1,OR(J231="",J231="No")),1,0)</f>
        <v/>
      </c>
      <c r="X231">
        <f>IF(AND(S231=1,K231=""),1,0)</f>
        <v/>
      </c>
      <c r="Y231">
        <f>IF(AND(S231=1,Q231&lt;&gt;""),ROUND(T231*100,0)*10000+10000-ROW(),"")</f>
        <v/>
      </c>
    </row>
    <row r="232">
      <c r="A232" s="1" t="n"/>
      <c r="B232" s="17" t="n"/>
      <c r="C232" s="18" t="n"/>
      <c r="D232" s="17" t="n"/>
      <c r="E232" s="19" t="n"/>
      <c r="F232" s="19" t="n"/>
      <c r="G232" s="20" t="n"/>
      <c r="H232" s="21" t="n"/>
      <c r="I232" s="21" t="n"/>
      <c r="J232" s="17" t="n"/>
      <c r="K232" s="19" t="n"/>
      <c r="L232" s="20" t="n"/>
      <c r="M232" s="19" t="n"/>
      <c r="N232" s="22">
        <f>IF(C232="","",IF(ISNUMBER(I232),I232,IF(ISNUMBER(H232),H232,"")))</f>
        <v/>
      </c>
      <c r="O232" s="23">
        <f>IF(OR(C232="",NOT(ISNUMBER(G232))),"",(TODAY()-INT(G232))/365.25)</f>
        <v/>
      </c>
      <c r="P232" s="13">
        <f>IF(OR(C232="",NOT(ISNUMBER(L232))),"",IF(L232&lt;TODAY(),"Ended",IF(L232-TODAY()&lt;=N(Settings!$C$10),"Ends soon","Covered")))</f>
        <v/>
      </c>
      <c r="Q232" s="13">
        <f>IF(C232="","",MID(IF(N232="",", value","")&amp;IF(OR(J232="",J232="No"),", receipt","")&amp;IF(K232="",", photo",""),3,100))</f>
        <v/>
      </c>
      <c r="R232" s="13">
        <f>IF(AND(B232="",C232=""),"",IF(C232="","Needs the item",IF(B232="","Needs a room",IF(COUNTIF(Rooms!$B$6:$B$35,B232)=0,"Not on Rooms",IF(AND(H232&lt;&gt;"",NOT(ISNUMBER(H232))),"Paid not a number",IF(AND(I232&lt;&gt;"",NOT(ISNUMBER(I232))),"Worth not a number",IF(AND(G232&lt;&gt;"",NOT(ISNUMBER(G232))),"Bought is not a date",IF(AND(L232&lt;&gt;"",NOT(ISNUMBER(L232))),"Warranty is not a date",""))))))))</f>
        <v/>
      </c>
      <c r="S232" s="1">
        <f>IF(AND(C232&lt;&gt;"",R232=""),1,0)</f>
        <v/>
      </c>
      <c r="T232">
        <f>IF(S232=1,N(N232),0)</f>
        <v/>
      </c>
      <c r="U232">
        <f>IF(AND(S232=1,T232&gt;0),ROUND(T232*100,0)*10000+10000-ROW(),"")</f>
        <v/>
      </c>
      <c r="V232">
        <f>IF(AND(S232=1,OR(Report!$C$5="",B232=Report!$C$5)),MATCH(B232,Rooms!$B$6:$B$35,0)*10000+ROW(),"")</f>
        <v/>
      </c>
      <c r="W232">
        <f>IF(AND(S232=1,OR(J232="",J232="No")),1,0)</f>
        <v/>
      </c>
      <c r="X232">
        <f>IF(AND(S232=1,K232=""),1,0)</f>
        <v/>
      </c>
      <c r="Y232">
        <f>IF(AND(S232=1,Q232&lt;&gt;""),ROUND(T232*100,0)*10000+10000-ROW(),"")</f>
        <v/>
      </c>
    </row>
    <row r="233">
      <c r="A233" s="1" t="n"/>
      <c r="B233" s="17" t="n"/>
      <c r="C233" s="18" t="n"/>
      <c r="D233" s="17" t="n"/>
      <c r="E233" s="19" t="n"/>
      <c r="F233" s="19" t="n"/>
      <c r="G233" s="20" t="n"/>
      <c r="H233" s="21" t="n"/>
      <c r="I233" s="21" t="n"/>
      <c r="J233" s="17" t="n"/>
      <c r="K233" s="19" t="n"/>
      <c r="L233" s="20" t="n"/>
      <c r="M233" s="19" t="n"/>
      <c r="N233" s="22">
        <f>IF(C233="","",IF(ISNUMBER(I233),I233,IF(ISNUMBER(H233),H233,"")))</f>
        <v/>
      </c>
      <c r="O233" s="23">
        <f>IF(OR(C233="",NOT(ISNUMBER(G233))),"",(TODAY()-INT(G233))/365.25)</f>
        <v/>
      </c>
      <c r="P233" s="13">
        <f>IF(OR(C233="",NOT(ISNUMBER(L233))),"",IF(L233&lt;TODAY(),"Ended",IF(L233-TODAY()&lt;=N(Settings!$C$10),"Ends soon","Covered")))</f>
        <v/>
      </c>
      <c r="Q233" s="13">
        <f>IF(C233="","",MID(IF(N233="",", value","")&amp;IF(OR(J233="",J233="No"),", receipt","")&amp;IF(K233="",", photo",""),3,100))</f>
        <v/>
      </c>
      <c r="R233" s="13">
        <f>IF(AND(B233="",C233=""),"",IF(C233="","Needs the item",IF(B233="","Needs a room",IF(COUNTIF(Rooms!$B$6:$B$35,B233)=0,"Not on Rooms",IF(AND(H233&lt;&gt;"",NOT(ISNUMBER(H233))),"Paid not a number",IF(AND(I233&lt;&gt;"",NOT(ISNUMBER(I233))),"Worth not a number",IF(AND(G233&lt;&gt;"",NOT(ISNUMBER(G233))),"Bought is not a date",IF(AND(L233&lt;&gt;"",NOT(ISNUMBER(L233))),"Warranty is not a date",""))))))))</f>
        <v/>
      </c>
      <c r="S233" s="1">
        <f>IF(AND(C233&lt;&gt;"",R233=""),1,0)</f>
        <v/>
      </c>
      <c r="T233">
        <f>IF(S233=1,N(N233),0)</f>
        <v/>
      </c>
      <c r="U233">
        <f>IF(AND(S233=1,T233&gt;0),ROUND(T233*100,0)*10000+10000-ROW(),"")</f>
        <v/>
      </c>
      <c r="V233">
        <f>IF(AND(S233=1,OR(Report!$C$5="",B233=Report!$C$5)),MATCH(B233,Rooms!$B$6:$B$35,0)*10000+ROW(),"")</f>
        <v/>
      </c>
      <c r="W233">
        <f>IF(AND(S233=1,OR(J233="",J233="No")),1,0)</f>
        <v/>
      </c>
      <c r="X233">
        <f>IF(AND(S233=1,K233=""),1,0)</f>
        <v/>
      </c>
      <c r="Y233">
        <f>IF(AND(S233=1,Q233&lt;&gt;""),ROUND(T233*100,0)*10000+10000-ROW(),"")</f>
        <v/>
      </c>
    </row>
    <row r="234">
      <c r="A234" s="1" t="n"/>
      <c r="B234" s="17" t="n"/>
      <c r="C234" s="18" t="n"/>
      <c r="D234" s="17" t="n"/>
      <c r="E234" s="19" t="n"/>
      <c r="F234" s="19" t="n"/>
      <c r="G234" s="20" t="n"/>
      <c r="H234" s="21" t="n"/>
      <c r="I234" s="21" t="n"/>
      <c r="J234" s="17" t="n"/>
      <c r="K234" s="19" t="n"/>
      <c r="L234" s="20" t="n"/>
      <c r="M234" s="19" t="n"/>
      <c r="N234" s="22">
        <f>IF(C234="","",IF(ISNUMBER(I234),I234,IF(ISNUMBER(H234),H234,"")))</f>
        <v/>
      </c>
      <c r="O234" s="23">
        <f>IF(OR(C234="",NOT(ISNUMBER(G234))),"",(TODAY()-INT(G234))/365.25)</f>
        <v/>
      </c>
      <c r="P234" s="13">
        <f>IF(OR(C234="",NOT(ISNUMBER(L234))),"",IF(L234&lt;TODAY(),"Ended",IF(L234-TODAY()&lt;=N(Settings!$C$10),"Ends soon","Covered")))</f>
        <v/>
      </c>
      <c r="Q234" s="13">
        <f>IF(C234="","",MID(IF(N234="",", value","")&amp;IF(OR(J234="",J234="No"),", receipt","")&amp;IF(K234="",", photo",""),3,100))</f>
        <v/>
      </c>
      <c r="R234" s="13">
        <f>IF(AND(B234="",C234=""),"",IF(C234="","Needs the item",IF(B234="","Needs a room",IF(COUNTIF(Rooms!$B$6:$B$35,B234)=0,"Not on Rooms",IF(AND(H234&lt;&gt;"",NOT(ISNUMBER(H234))),"Paid not a number",IF(AND(I234&lt;&gt;"",NOT(ISNUMBER(I234))),"Worth not a number",IF(AND(G234&lt;&gt;"",NOT(ISNUMBER(G234))),"Bought is not a date",IF(AND(L234&lt;&gt;"",NOT(ISNUMBER(L234))),"Warranty is not a date",""))))))))</f>
        <v/>
      </c>
      <c r="S234" s="1">
        <f>IF(AND(C234&lt;&gt;"",R234=""),1,0)</f>
        <v/>
      </c>
      <c r="T234">
        <f>IF(S234=1,N(N234),0)</f>
        <v/>
      </c>
      <c r="U234">
        <f>IF(AND(S234=1,T234&gt;0),ROUND(T234*100,0)*10000+10000-ROW(),"")</f>
        <v/>
      </c>
      <c r="V234">
        <f>IF(AND(S234=1,OR(Report!$C$5="",B234=Report!$C$5)),MATCH(B234,Rooms!$B$6:$B$35,0)*10000+ROW(),"")</f>
        <v/>
      </c>
      <c r="W234">
        <f>IF(AND(S234=1,OR(J234="",J234="No")),1,0)</f>
        <v/>
      </c>
      <c r="X234">
        <f>IF(AND(S234=1,K234=""),1,0)</f>
        <v/>
      </c>
      <c r="Y234">
        <f>IF(AND(S234=1,Q234&lt;&gt;""),ROUND(T234*100,0)*10000+10000-ROW(),"")</f>
        <v/>
      </c>
    </row>
    <row r="235">
      <c r="A235" s="1" t="n"/>
      <c r="B235" s="17" t="n"/>
      <c r="C235" s="18" t="n"/>
      <c r="D235" s="17" t="n"/>
      <c r="E235" s="19" t="n"/>
      <c r="F235" s="19" t="n"/>
      <c r="G235" s="20" t="n"/>
      <c r="H235" s="21" t="n"/>
      <c r="I235" s="21" t="n"/>
      <c r="J235" s="17" t="n"/>
      <c r="K235" s="19" t="n"/>
      <c r="L235" s="20" t="n"/>
      <c r="M235" s="19" t="n"/>
      <c r="N235" s="22">
        <f>IF(C235="","",IF(ISNUMBER(I235),I235,IF(ISNUMBER(H235),H235,"")))</f>
        <v/>
      </c>
      <c r="O235" s="23">
        <f>IF(OR(C235="",NOT(ISNUMBER(G235))),"",(TODAY()-INT(G235))/365.25)</f>
        <v/>
      </c>
      <c r="P235" s="13">
        <f>IF(OR(C235="",NOT(ISNUMBER(L235))),"",IF(L235&lt;TODAY(),"Ended",IF(L235-TODAY()&lt;=N(Settings!$C$10),"Ends soon","Covered")))</f>
        <v/>
      </c>
      <c r="Q235" s="13">
        <f>IF(C235="","",MID(IF(N235="",", value","")&amp;IF(OR(J235="",J235="No"),", receipt","")&amp;IF(K235="",", photo",""),3,100))</f>
        <v/>
      </c>
      <c r="R235" s="13">
        <f>IF(AND(B235="",C235=""),"",IF(C235="","Needs the item",IF(B235="","Needs a room",IF(COUNTIF(Rooms!$B$6:$B$35,B235)=0,"Not on Rooms",IF(AND(H235&lt;&gt;"",NOT(ISNUMBER(H235))),"Paid not a number",IF(AND(I235&lt;&gt;"",NOT(ISNUMBER(I235))),"Worth not a number",IF(AND(G235&lt;&gt;"",NOT(ISNUMBER(G235))),"Bought is not a date",IF(AND(L235&lt;&gt;"",NOT(ISNUMBER(L235))),"Warranty is not a date",""))))))))</f>
        <v/>
      </c>
      <c r="S235" s="1">
        <f>IF(AND(C235&lt;&gt;"",R235=""),1,0)</f>
        <v/>
      </c>
      <c r="T235">
        <f>IF(S235=1,N(N235),0)</f>
        <v/>
      </c>
      <c r="U235">
        <f>IF(AND(S235=1,T235&gt;0),ROUND(T235*100,0)*10000+10000-ROW(),"")</f>
        <v/>
      </c>
      <c r="V235">
        <f>IF(AND(S235=1,OR(Report!$C$5="",B235=Report!$C$5)),MATCH(B235,Rooms!$B$6:$B$35,0)*10000+ROW(),"")</f>
        <v/>
      </c>
      <c r="W235">
        <f>IF(AND(S235=1,OR(J235="",J235="No")),1,0)</f>
        <v/>
      </c>
      <c r="X235">
        <f>IF(AND(S235=1,K235=""),1,0)</f>
        <v/>
      </c>
      <c r="Y235">
        <f>IF(AND(S235=1,Q235&lt;&gt;""),ROUND(T235*100,0)*10000+10000-ROW(),"")</f>
        <v/>
      </c>
    </row>
    <row r="236">
      <c r="A236" s="1" t="n"/>
      <c r="B236" s="17" t="n"/>
      <c r="C236" s="18" t="n"/>
      <c r="D236" s="17" t="n"/>
      <c r="E236" s="19" t="n"/>
      <c r="F236" s="19" t="n"/>
      <c r="G236" s="20" t="n"/>
      <c r="H236" s="21" t="n"/>
      <c r="I236" s="21" t="n"/>
      <c r="J236" s="17" t="n"/>
      <c r="K236" s="19" t="n"/>
      <c r="L236" s="20" t="n"/>
      <c r="M236" s="19" t="n"/>
      <c r="N236" s="22">
        <f>IF(C236="","",IF(ISNUMBER(I236),I236,IF(ISNUMBER(H236),H236,"")))</f>
        <v/>
      </c>
      <c r="O236" s="23">
        <f>IF(OR(C236="",NOT(ISNUMBER(G236))),"",(TODAY()-INT(G236))/365.25)</f>
        <v/>
      </c>
      <c r="P236" s="13">
        <f>IF(OR(C236="",NOT(ISNUMBER(L236))),"",IF(L236&lt;TODAY(),"Ended",IF(L236-TODAY()&lt;=N(Settings!$C$10),"Ends soon","Covered")))</f>
        <v/>
      </c>
      <c r="Q236" s="13">
        <f>IF(C236="","",MID(IF(N236="",", value","")&amp;IF(OR(J236="",J236="No"),", receipt","")&amp;IF(K236="",", photo",""),3,100))</f>
        <v/>
      </c>
      <c r="R236" s="13">
        <f>IF(AND(B236="",C236=""),"",IF(C236="","Needs the item",IF(B236="","Needs a room",IF(COUNTIF(Rooms!$B$6:$B$35,B236)=0,"Not on Rooms",IF(AND(H236&lt;&gt;"",NOT(ISNUMBER(H236))),"Paid not a number",IF(AND(I236&lt;&gt;"",NOT(ISNUMBER(I236))),"Worth not a number",IF(AND(G236&lt;&gt;"",NOT(ISNUMBER(G236))),"Bought is not a date",IF(AND(L236&lt;&gt;"",NOT(ISNUMBER(L236))),"Warranty is not a date",""))))))))</f>
        <v/>
      </c>
      <c r="S236" s="1">
        <f>IF(AND(C236&lt;&gt;"",R236=""),1,0)</f>
        <v/>
      </c>
      <c r="T236">
        <f>IF(S236=1,N(N236),0)</f>
        <v/>
      </c>
      <c r="U236">
        <f>IF(AND(S236=1,T236&gt;0),ROUND(T236*100,0)*10000+10000-ROW(),"")</f>
        <v/>
      </c>
      <c r="V236">
        <f>IF(AND(S236=1,OR(Report!$C$5="",B236=Report!$C$5)),MATCH(B236,Rooms!$B$6:$B$35,0)*10000+ROW(),"")</f>
        <v/>
      </c>
      <c r="W236">
        <f>IF(AND(S236=1,OR(J236="",J236="No")),1,0)</f>
        <v/>
      </c>
      <c r="X236">
        <f>IF(AND(S236=1,K236=""),1,0)</f>
        <v/>
      </c>
      <c r="Y236">
        <f>IF(AND(S236=1,Q236&lt;&gt;""),ROUND(T236*100,0)*10000+10000-ROW(),"")</f>
        <v/>
      </c>
    </row>
    <row r="237">
      <c r="A237" s="1" t="n"/>
      <c r="B237" s="17" t="n"/>
      <c r="C237" s="18" t="n"/>
      <c r="D237" s="17" t="n"/>
      <c r="E237" s="19" t="n"/>
      <c r="F237" s="19" t="n"/>
      <c r="G237" s="20" t="n"/>
      <c r="H237" s="21" t="n"/>
      <c r="I237" s="21" t="n"/>
      <c r="J237" s="17" t="n"/>
      <c r="K237" s="19" t="n"/>
      <c r="L237" s="20" t="n"/>
      <c r="M237" s="19" t="n"/>
      <c r="N237" s="22">
        <f>IF(C237="","",IF(ISNUMBER(I237),I237,IF(ISNUMBER(H237),H237,"")))</f>
        <v/>
      </c>
      <c r="O237" s="23">
        <f>IF(OR(C237="",NOT(ISNUMBER(G237))),"",(TODAY()-INT(G237))/365.25)</f>
        <v/>
      </c>
      <c r="P237" s="13">
        <f>IF(OR(C237="",NOT(ISNUMBER(L237))),"",IF(L237&lt;TODAY(),"Ended",IF(L237-TODAY()&lt;=N(Settings!$C$10),"Ends soon","Covered")))</f>
        <v/>
      </c>
      <c r="Q237" s="13">
        <f>IF(C237="","",MID(IF(N237="",", value","")&amp;IF(OR(J237="",J237="No"),", receipt","")&amp;IF(K237="",", photo",""),3,100))</f>
        <v/>
      </c>
      <c r="R237" s="13">
        <f>IF(AND(B237="",C237=""),"",IF(C237="","Needs the item",IF(B237="","Needs a room",IF(COUNTIF(Rooms!$B$6:$B$35,B237)=0,"Not on Rooms",IF(AND(H237&lt;&gt;"",NOT(ISNUMBER(H237))),"Paid not a number",IF(AND(I237&lt;&gt;"",NOT(ISNUMBER(I237))),"Worth not a number",IF(AND(G237&lt;&gt;"",NOT(ISNUMBER(G237))),"Bought is not a date",IF(AND(L237&lt;&gt;"",NOT(ISNUMBER(L237))),"Warranty is not a date",""))))))))</f>
        <v/>
      </c>
      <c r="S237" s="1">
        <f>IF(AND(C237&lt;&gt;"",R237=""),1,0)</f>
        <v/>
      </c>
      <c r="T237">
        <f>IF(S237=1,N(N237),0)</f>
        <v/>
      </c>
      <c r="U237">
        <f>IF(AND(S237=1,T237&gt;0),ROUND(T237*100,0)*10000+10000-ROW(),"")</f>
        <v/>
      </c>
      <c r="V237">
        <f>IF(AND(S237=1,OR(Report!$C$5="",B237=Report!$C$5)),MATCH(B237,Rooms!$B$6:$B$35,0)*10000+ROW(),"")</f>
        <v/>
      </c>
      <c r="W237">
        <f>IF(AND(S237=1,OR(J237="",J237="No")),1,0)</f>
        <v/>
      </c>
      <c r="X237">
        <f>IF(AND(S237=1,K237=""),1,0)</f>
        <v/>
      </c>
      <c r="Y237">
        <f>IF(AND(S237=1,Q237&lt;&gt;""),ROUND(T237*100,0)*10000+10000-ROW(),"")</f>
        <v/>
      </c>
    </row>
    <row r="238">
      <c r="A238" s="1" t="n"/>
      <c r="B238" s="17" t="n"/>
      <c r="C238" s="18" t="n"/>
      <c r="D238" s="17" t="n"/>
      <c r="E238" s="19" t="n"/>
      <c r="F238" s="19" t="n"/>
      <c r="G238" s="20" t="n"/>
      <c r="H238" s="21" t="n"/>
      <c r="I238" s="21" t="n"/>
      <c r="J238" s="17" t="n"/>
      <c r="K238" s="19" t="n"/>
      <c r="L238" s="20" t="n"/>
      <c r="M238" s="19" t="n"/>
      <c r="N238" s="22">
        <f>IF(C238="","",IF(ISNUMBER(I238),I238,IF(ISNUMBER(H238),H238,"")))</f>
        <v/>
      </c>
      <c r="O238" s="23">
        <f>IF(OR(C238="",NOT(ISNUMBER(G238))),"",(TODAY()-INT(G238))/365.25)</f>
        <v/>
      </c>
      <c r="P238" s="13">
        <f>IF(OR(C238="",NOT(ISNUMBER(L238))),"",IF(L238&lt;TODAY(),"Ended",IF(L238-TODAY()&lt;=N(Settings!$C$10),"Ends soon","Covered")))</f>
        <v/>
      </c>
      <c r="Q238" s="13">
        <f>IF(C238="","",MID(IF(N238="",", value","")&amp;IF(OR(J238="",J238="No"),", receipt","")&amp;IF(K238="",", photo",""),3,100))</f>
        <v/>
      </c>
      <c r="R238" s="13">
        <f>IF(AND(B238="",C238=""),"",IF(C238="","Needs the item",IF(B238="","Needs a room",IF(COUNTIF(Rooms!$B$6:$B$35,B238)=0,"Not on Rooms",IF(AND(H238&lt;&gt;"",NOT(ISNUMBER(H238))),"Paid not a number",IF(AND(I238&lt;&gt;"",NOT(ISNUMBER(I238))),"Worth not a number",IF(AND(G238&lt;&gt;"",NOT(ISNUMBER(G238))),"Bought is not a date",IF(AND(L238&lt;&gt;"",NOT(ISNUMBER(L238))),"Warranty is not a date",""))))))))</f>
        <v/>
      </c>
      <c r="S238" s="1">
        <f>IF(AND(C238&lt;&gt;"",R238=""),1,0)</f>
        <v/>
      </c>
      <c r="T238">
        <f>IF(S238=1,N(N238),0)</f>
        <v/>
      </c>
      <c r="U238">
        <f>IF(AND(S238=1,T238&gt;0),ROUND(T238*100,0)*10000+10000-ROW(),"")</f>
        <v/>
      </c>
      <c r="V238">
        <f>IF(AND(S238=1,OR(Report!$C$5="",B238=Report!$C$5)),MATCH(B238,Rooms!$B$6:$B$35,0)*10000+ROW(),"")</f>
        <v/>
      </c>
      <c r="W238">
        <f>IF(AND(S238=1,OR(J238="",J238="No")),1,0)</f>
        <v/>
      </c>
      <c r="X238">
        <f>IF(AND(S238=1,K238=""),1,0)</f>
        <v/>
      </c>
      <c r="Y238">
        <f>IF(AND(S238=1,Q238&lt;&gt;""),ROUND(T238*100,0)*10000+10000-ROW(),"")</f>
        <v/>
      </c>
    </row>
    <row r="239">
      <c r="A239" s="1" t="n"/>
      <c r="B239" s="17" t="n"/>
      <c r="C239" s="18" t="n"/>
      <c r="D239" s="17" t="n"/>
      <c r="E239" s="19" t="n"/>
      <c r="F239" s="19" t="n"/>
      <c r="G239" s="20" t="n"/>
      <c r="H239" s="21" t="n"/>
      <c r="I239" s="21" t="n"/>
      <c r="J239" s="17" t="n"/>
      <c r="K239" s="19" t="n"/>
      <c r="L239" s="20" t="n"/>
      <c r="M239" s="19" t="n"/>
      <c r="N239" s="22">
        <f>IF(C239="","",IF(ISNUMBER(I239),I239,IF(ISNUMBER(H239),H239,"")))</f>
        <v/>
      </c>
      <c r="O239" s="23">
        <f>IF(OR(C239="",NOT(ISNUMBER(G239))),"",(TODAY()-INT(G239))/365.25)</f>
        <v/>
      </c>
      <c r="P239" s="13">
        <f>IF(OR(C239="",NOT(ISNUMBER(L239))),"",IF(L239&lt;TODAY(),"Ended",IF(L239-TODAY()&lt;=N(Settings!$C$10),"Ends soon","Covered")))</f>
        <v/>
      </c>
      <c r="Q239" s="13">
        <f>IF(C239="","",MID(IF(N239="",", value","")&amp;IF(OR(J239="",J239="No"),", receipt","")&amp;IF(K239="",", photo",""),3,100))</f>
        <v/>
      </c>
      <c r="R239" s="13">
        <f>IF(AND(B239="",C239=""),"",IF(C239="","Needs the item",IF(B239="","Needs a room",IF(COUNTIF(Rooms!$B$6:$B$35,B239)=0,"Not on Rooms",IF(AND(H239&lt;&gt;"",NOT(ISNUMBER(H239))),"Paid not a number",IF(AND(I239&lt;&gt;"",NOT(ISNUMBER(I239))),"Worth not a number",IF(AND(G239&lt;&gt;"",NOT(ISNUMBER(G239))),"Bought is not a date",IF(AND(L239&lt;&gt;"",NOT(ISNUMBER(L239))),"Warranty is not a date",""))))))))</f>
        <v/>
      </c>
      <c r="S239" s="1">
        <f>IF(AND(C239&lt;&gt;"",R239=""),1,0)</f>
        <v/>
      </c>
      <c r="T239">
        <f>IF(S239=1,N(N239),0)</f>
        <v/>
      </c>
      <c r="U239">
        <f>IF(AND(S239=1,T239&gt;0),ROUND(T239*100,0)*10000+10000-ROW(),"")</f>
        <v/>
      </c>
      <c r="V239">
        <f>IF(AND(S239=1,OR(Report!$C$5="",B239=Report!$C$5)),MATCH(B239,Rooms!$B$6:$B$35,0)*10000+ROW(),"")</f>
        <v/>
      </c>
      <c r="W239">
        <f>IF(AND(S239=1,OR(J239="",J239="No")),1,0)</f>
        <v/>
      </c>
      <c r="X239">
        <f>IF(AND(S239=1,K239=""),1,0)</f>
        <v/>
      </c>
      <c r="Y239">
        <f>IF(AND(S239=1,Q239&lt;&gt;""),ROUND(T239*100,0)*10000+10000-ROW(),"")</f>
        <v/>
      </c>
    </row>
    <row r="240">
      <c r="A240" s="1" t="n"/>
      <c r="B240" s="17" t="n"/>
      <c r="C240" s="18" t="n"/>
      <c r="D240" s="17" t="n"/>
      <c r="E240" s="19" t="n"/>
      <c r="F240" s="19" t="n"/>
      <c r="G240" s="20" t="n"/>
      <c r="H240" s="21" t="n"/>
      <c r="I240" s="21" t="n"/>
      <c r="J240" s="17" t="n"/>
      <c r="K240" s="19" t="n"/>
      <c r="L240" s="20" t="n"/>
      <c r="M240" s="19" t="n"/>
      <c r="N240" s="22">
        <f>IF(C240="","",IF(ISNUMBER(I240),I240,IF(ISNUMBER(H240),H240,"")))</f>
        <v/>
      </c>
      <c r="O240" s="23">
        <f>IF(OR(C240="",NOT(ISNUMBER(G240))),"",(TODAY()-INT(G240))/365.25)</f>
        <v/>
      </c>
      <c r="P240" s="13">
        <f>IF(OR(C240="",NOT(ISNUMBER(L240))),"",IF(L240&lt;TODAY(),"Ended",IF(L240-TODAY()&lt;=N(Settings!$C$10),"Ends soon","Covered")))</f>
        <v/>
      </c>
      <c r="Q240" s="13">
        <f>IF(C240="","",MID(IF(N240="",", value","")&amp;IF(OR(J240="",J240="No"),", receipt","")&amp;IF(K240="",", photo",""),3,100))</f>
        <v/>
      </c>
      <c r="R240" s="13">
        <f>IF(AND(B240="",C240=""),"",IF(C240="","Needs the item",IF(B240="","Needs a room",IF(COUNTIF(Rooms!$B$6:$B$35,B240)=0,"Not on Rooms",IF(AND(H240&lt;&gt;"",NOT(ISNUMBER(H240))),"Paid not a number",IF(AND(I240&lt;&gt;"",NOT(ISNUMBER(I240))),"Worth not a number",IF(AND(G240&lt;&gt;"",NOT(ISNUMBER(G240))),"Bought is not a date",IF(AND(L240&lt;&gt;"",NOT(ISNUMBER(L240))),"Warranty is not a date",""))))))))</f>
        <v/>
      </c>
      <c r="S240" s="1">
        <f>IF(AND(C240&lt;&gt;"",R240=""),1,0)</f>
        <v/>
      </c>
      <c r="T240">
        <f>IF(S240=1,N(N240),0)</f>
        <v/>
      </c>
      <c r="U240">
        <f>IF(AND(S240=1,T240&gt;0),ROUND(T240*100,0)*10000+10000-ROW(),"")</f>
        <v/>
      </c>
      <c r="V240">
        <f>IF(AND(S240=1,OR(Report!$C$5="",B240=Report!$C$5)),MATCH(B240,Rooms!$B$6:$B$35,0)*10000+ROW(),"")</f>
        <v/>
      </c>
      <c r="W240">
        <f>IF(AND(S240=1,OR(J240="",J240="No")),1,0)</f>
        <v/>
      </c>
      <c r="X240">
        <f>IF(AND(S240=1,K240=""),1,0)</f>
        <v/>
      </c>
      <c r="Y240">
        <f>IF(AND(S240=1,Q240&lt;&gt;""),ROUND(T240*100,0)*10000+10000-ROW(),"")</f>
        <v/>
      </c>
    </row>
    <row r="241">
      <c r="A241" s="1" t="n"/>
      <c r="B241" s="17" t="n"/>
      <c r="C241" s="18" t="n"/>
      <c r="D241" s="17" t="n"/>
      <c r="E241" s="19" t="n"/>
      <c r="F241" s="19" t="n"/>
      <c r="G241" s="20" t="n"/>
      <c r="H241" s="21" t="n"/>
      <c r="I241" s="21" t="n"/>
      <c r="J241" s="17" t="n"/>
      <c r="K241" s="19" t="n"/>
      <c r="L241" s="20" t="n"/>
      <c r="M241" s="19" t="n"/>
      <c r="N241" s="22">
        <f>IF(C241="","",IF(ISNUMBER(I241),I241,IF(ISNUMBER(H241),H241,"")))</f>
        <v/>
      </c>
      <c r="O241" s="23">
        <f>IF(OR(C241="",NOT(ISNUMBER(G241))),"",(TODAY()-INT(G241))/365.25)</f>
        <v/>
      </c>
      <c r="P241" s="13">
        <f>IF(OR(C241="",NOT(ISNUMBER(L241))),"",IF(L241&lt;TODAY(),"Ended",IF(L241-TODAY()&lt;=N(Settings!$C$10),"Ends soon","Covered")))</f>
        <v/>
      </c>
      <c r="Q241" s="13">
        <f>IF(C241="","",MID(IF(N241="",", value","")&amp;IF(OR(J241="",J241="No"),", receipt","")&amp;IF(K241="",", photo",""),3,100))</f>
        <v/>
      </c>
      <c r="R241" s="13">
        <f>IF(AND(B241="",C241=""),"",IF(C241="","Needs the item",IF(B241="","Needs a room",IF(COUNTIF(Rooms!$B$6:$B$35,B241)=0,"Not on Rooms",IF(AND(H241&lt;&gt;"",NOT(ISNUMBER(H241))),"Paid not a number",IF(AND(I241&lt;&gt;"",NOT(ISNUMBER(I241))),"Worth not a number",IF(AND(G241&lt;&gt;"",NOT(ISNUMBER(G241))),"Bought is not a date",IF(AND(L241&lt;&gt;"",NOT(ISNUMBER(L241))),"Warranty is not a date",""))))))))</f>
        <v/>
      </c>
      <c r="S241" s="1">
        <f>IF(AND(C241&lt;&gt;"",R241=""),1,0)</f>
        <v/>
      </c>
      <c r="T241">
        <f>IF(S241=1,N(N241),0)</f>
        <v/>
      </c>
      <c r="U241">
        <f>IF(AND(S241=1,T241&gt;0),ROUND(T241*100,0)*10000+10000-ROW(),"")</f>
        <v/>
      </c>
      <c r="V241">
        <f>IF(AND(S241=1,OR(Report!$C$5="",B241=Report!$C$5)),MATCH(B241,Rooms!$B$6:$B$35,0)*10000+ROW(),"")</f>
        <v/>
      </c>
      <c r="W241">
        <f>IF(AND(S241=1,OR(J241="",J241="No")),1,0)</f>
        <v/>
      </c>
      <c r="X241">
        <f>IF(AND(S241=1,K241=""),1,0)</f>
        <v/>
      </c>
      <c r="Y241">
        <f>IF(AND(S241=1,Q241&lt;&gt;""),ROUND(T241*100,0)*10000+10000-ROW(),"")</f>
        <v/>
      </c>
    </row>
    <row r="242">
      <c r="A242" s="1" t="n"/>
      <c r="B242" s="17" t="n"/>
      <c r="C242" s="18" t="n"/>
      <c r="D242" s="17" t="n"/>
      <c r="E242" s="19" t="n"/>
      <c r="F242" s="19" t="n"/>
      <c r="G242" s="20" t="n"/>
      <c r="H242" s="21" t="n"/>
      <c r="I242" s="21" t="n"/>
      <c r="J242" s="17" t="n"/>
      <c r="K242" s="19" t="n"/>
      <c r="L242" s="20" t="n"/>
      <c r="M242" s="19" t="n"/>
      <c r="N242" s="22">
        <f>IF(C242="","",IF(ISNUMBER(I242),I242,IF(ISNUMBER(H242),H242,"")))</f>
        <v/>
      </c>
      <c r="O242" s="23">
        <f>IF(OR(C242="",NOT(ISNUMBER(G242))),"",(TODAY()-INT(G242))/365.25)</f>
        <v/>
      </c>
      <c r="P242" s="13">
        <f>IF(OR(C242="",NOT(ISNUMBER(L242))),"",IF(L242&lt;TODAY(),"Ended",IF(L242-TODAY()&lt;=N(Settings!$C$10),"Ends soon","Covered")))</f>
        <v/>
      </c>
      <c r="Q242" s="13">
        <f>IF(C242="","",MID(IF(N242="",", value","")&amp;IF(OR(J242="",J242="No"),", receipt","")&amp;IF(K242="",", photo",""),3,100))</f>
        <v/>
      </c>
      <c r="R242" s="13">
        <f>IF(AND(B242="",C242=""),"",IF(C242="","Needs the item",IF(B242="","Needs a room",IF(COUNTIF(Rooms!$B$6:$B$35,B242)=0,"Not on Rooms",IF(AND(H242&lt;&gt;"",NOT(ISNUMBER(H242))),"Paid not a number",IF(AND(I242&lt;&gt;"",NOT(ISNUMBER(I242))),"Worth not a number",IF(AND(G242&lt;&gt;"",NOT(ISNUMBER(G242))),"Bought is not a date",IF(AND(L242&lt;&gt;"",NOT(ISNUMBER(L242))),"Warranty is not a date",""))))))))</f>
        <v/>
      </c>
      <c r="S242" s="1">
        <f>IF(AND(C242&lt;&gt;"",R242=""),1,0)</f>
        <v/>
      </c>
      <c r="T242">
        <f>IF(S242=1,N(N242),0)</f>
        <v/>
      </c>
      <c r="U242">
        <f>IF(AND(S242=1,T242&gt;0),ROUND(T242*100,0)*10000+10000-ROW(),"")</f>
        <v/>
      </c>
      <c r="V242">
        <f>IF(AND(S242=1,OR(Report!$C$5="",B242=Report!$C$5)),MATCH(B242,Rooms!$B$6:$B$35,0)*10000+ROW(),"")</f>
        <v/>
      </c>
      <c r="W242">
        <f>IF(AND(S242=1,OR(J242="",J242="No")),1,0)</f>
        <v/>
      </c>
      <c r="X242">
        <f>IF(AND(S242=1,K242=""),1,0)</f>
        <v/>
      </c>
      <c r="Y242">
        <f>IF(AND(S242=1,Q242&lt;&gt;""),ROUND(T242*100,0)*10000+10000-ROW(),"")</f>
        <v/>
      </c>
    </row>
    <row r="243">
      <c r="A243" s="1" t="n"/>
      <c r="B243" s="17" t="n"/>
      <c r="C243" s="18" t="n"/>
      <c r="D243" s="17" t="n"/>
      <c r="E243" s="19" t="n"/>
      <c r="F243" s="19" t="n"/>
      <c r="G243" s="20" t="n"/>
      <c r="H243" s="21" t="n"/>
      <c r="I243" s="21" t="n"/>
      <c r="J243" s="17" t="n"/>
      <c r="K243" s="19" t="n"/>
      <c r="L243" s="20" t="n"/>
      <c r="M243" s="19" t="n"/>
      <c r="N243" s="22">
        <f>IF(C243="","",IF(ISNUMBER(I243),I243,IF(ISNUMBER(H243),H243,"")))</f>
        <v/>
      </c>
      <c r="O243" s="23">
        <f>IF(OR(C243="",NOT(ISNUMBER(G243))),"",(TODAY()-INT(G243))/365.25)</f>
        <v/>
      </c>
      <c r="P243" s="13">
        <f>IF(OR(C243="",NOT(ISNUMBER(L243))),"",IF(L243&lt;TODAY(),"Ended",IF(L243-TODAY()&lt;=N(Settings!$C$10),"Ends soon","Covered")))</f>
        <v/>
      </c>
      <c r="Q243" s="13">
        <f>IF(C243="","",MID(IF(N243="",", value","")&amp;IF(OR(J243="",J243="No"),", receipt","")&amp;IF(K243="",", photo",""),3,100))</f>
        <v/>
      </c>
      <c r="R243" s="13">
        <f>IF(AND(B243="",C243=""),"",IF(C243="","Needs the item",IF(B243="","Needs a room",IF(COUNTIF(Rooms!$B$6:$B$35,B243)=0,"Not on Rooms",IF(AND(H243&lt;&gt;"",NOT(ISNUMBER(H243))),"Paid not a number",IF(AND(I243&lt;&gt;"",NOT(ISNUMBER(I243))),"Worth not a number",IF(AND(G243&lt;&gt;"",NOT(ISNUMBER(G243))),"Bought is not a date",IF(AND(L243&lt;&gt;"",NOT(ISNUMBER(L243))),"Warranty is not a date",""))))))))</f>
        <v/>
      </c>
      <c r="S243" s="1">
        <f>IF(AND(C243&lt;&gt;"",R243=""),1,0)</f>
        <v/>
      </c>
      <c r="T243">
        <f>IF(S243=1,N(N243),0)</f>
        <v/>
      </c>
      <c r="U243">
        <f>IF(AND(S243=1,T243&gt;0),ROUND(T243*100,0)*10000+10000-ROW(),"")</f>
        <v/>
      </c>
      <c r="V243">
        <f>IF(AND(S243=1,OR(Report!$C$5="",B243=Report!$C$5)),MATCH(B243,Rooms!$B$6:$B$35,0)*10000+ROW(),"")</f>
        <v/>
      </c>
      <c r="W243">
        <f>IF(AND(S243=1,OR(J243="",J243="No")),1,0)</f>
        <v/>
      </c>
      <c r="X243">
        <f>IF(AND(S243=1,K243=""),1,0)</f>
        <v/>
      </c>
      <c r="Y243">
        <f>IF(AND(S243=1,Q243&lt;&gt;""),ROUND(T243*100,0)*10000+10000-ROW(),"")</f>
        <v/>
      </c>
    </row>
    <row r="244">
      <c r="A244" s="1" t="n"/>
      <c r="B244" s="17" t="n"/>
      <c r="C244" s="18" t="n"/>
      <c r="D244" s="17" t="n"/>
      <c r="E244" s="19" t="n"/>
      <c r="F244" s="19" t="n"/>
      <c r="G244" s="20" t="n"/>
      <c r="H244" s="21" t="n"/>
      <c r="I244" s="21" t="n"/>
      <c r="J244" s="17" t="n"/>
      <c r="K244" s="19" t="n"/>
      <c r="L244" s="20" t="n"/>
      <c r="M244" s="19" t="n"/>
      <c r="N244" s="22">
        <f>IF(C244="","",IF(ISNUMBER(I244),I244,IF(ISNUMBER(H244),H244,"")))</f>
        <v/>
      </c>
      <c r="O244" s="23">
        <f>IF(OR(C244="",NOT(ISNUMBER(G244))),"",(TODAY()-INT(G244))/365.25)</f>
        <v/>
      </c>
      <c r="P244" s="13">
        <f>IF(OR(C244="",NOT(ISNUMBER(L244))),"",IF(L244&lt;TODAY(),"Ended",IF(L244-TODAY()&lt;=N(Settings!$C$10),"Ends soon","Covered")))</f>
        <v/>
      </c>
      <c r="Q244" s="13">
        <f>IF(C244="","",MID(IF(N244="",", value","")&amp;IF(OR(J244="",J244="No"),", receipt","")&amp;IF(K244="",", photo",""),3,100))</f>
        <v/>
      </c>
      <c r="R244" s="13">
        <f>IF(AND(B244="",C244=""),"",IF(C244="","Needs the item",IF(B244="","Needs a room",IF(COUNTIF(Rooms!$B$6:$B$35,B244)=0,"Not on Rooms",IF(AND(H244&lt;&gt;"",NOT(ISNUMBER(H244))),"Paid not a number",IF(AND(I244&lt;&gt;"",NOT(ISNUMBER(I244))),"Worth not a number",IF(AND(G244&lt;&gt;"",NOT(ISNUMBER(G244))),"Bought is not a date",IF(AND(L244&lt;&gt;"",NOT(ISNUMBER(L244))),"Warranty is not a date",""))))))))</f>
        <v/>
      </c>
      <c r="S244" s="1">
        <f>IF(AND(C244&lt;&gt;"",R244=""),1,0)</f>
        <v/>
      </c>
      <c r="T244">
        <f>IF(S244=1,N(N244),0)</f>
        <v/>
      </c>
      <c r="U244">
        <f>IF(AND(S244=1,T244&gt;0),ROUND(T244*100,0)*10000+10000-ROW(),"")</f>
        <v/>
      </c>
      <c r="V244">
        <f>IF(AND(S244=1,OR(Report!$C$5="",B244=Report!$C$5)),MATCH(B244,Rooms!$B$6:$B$35,0)*10000+ROW(),"")</f>
        <v/>
      </c>
      <c r="W244">
        <f>IF(AND(S244=1,OR(J244="",J244="No")),1,0)</f>
        <v/>
      </c>
      <c r="X244">
        <f>IF(AND(S244=1,K244=""),1,0)</f>
        <v/>
      </c>
      <c r="Y244">
        <f>IF(AND(S244=1,Q244&lt;&gt;""),ROUND(T244*100,0)*10000+10000-ROW(),"")</f>
        <v/>
      </c>
    </row>
    <row r="245">
      <c r="A245" s="1" t="n"/>
      <c r="B245" s="17" t="n"/>
      <c r="C245" s="18" t="n"/>
      <c r="D245" s="17" t="n"/>
      <c r="E245" s="19" t="n"/>
      <c r="F245" s="19" t="n"/>
      <c r="G245" s="20" t="n"/>
      <c r="H245" s="21" t="n"/>
      <c r="I245" s="21" t="n"/>
      <c r="J245" s="17" t="n"/>
      <c r="K245" s="19" t="n"/>
      <c r="L245" s="20" t="n"/>
      <c r="M245" s="19" t="n"/>
      <c r="N245" s="22">
        <f>IF(C245="","",IF(ISNUMBER(I245),I245,IF(ISNUMBER(H245),H245,"")))</f>
        <v/>
      </c>
      <c r="O245" s="23">
        <f>IF(OR(C245="",NOT(ISNUMBER(G245))),"",(TODAY()-INT(G245))/365.25)</f>
        <v/>
      </c>
      <c r="P245" s="13">
        <f>IF(OR(C245="",NOT(ISNUMBER(L245))),"",IF(L245&lt;TODAY(),"Ended",IF(L245-TODAY()&lt;=N(Settings!$C$10),"Ends soon","Covered")))</f>
        <v/>
      </c>
      <c r="Q245" s="13">
        <f>IF(C245="","",MID(IF(N245="",", value","")&amp;IF(OR(J245="",J245="No"),", receipt","")&amp;IF(K245="",", photo",""),3,100))</f>
        <v/>
      </c>
      <c r="R245" s="13">
        <f>IF(AND(B245="",C245=""),"",IF(C245="","Needs the item",IF(B245="","Needs a room",IF(COUNTIF(Rooms!$B$6:$B$35,B245)=0,"Not on Rooms",IF(AND(H245&lt;&gt;"",NOT(ISNUMBER(H245))),"Paid not a number",IF(AND(I245&lt;&gt;"",NOT(ISNUMBER(I245))),"Worth not a number",IF(AND(G245&lt;&gt;"",NOT(ISNUMBER(G245))),"Bought is not a date",IF(AND(L245&lt;&gt;"",NOT(ISNUMBER(L245))),"Warranty is not a date",""))))))))</f>
        <v/>
      </c>
      <c r="S245" s="1">
        <f>IF(AND(C245&lt;&gt;"",R245=""),1,0)</f>
        <v/>
      </c>
      <c r="T245">
        <f>IF(S245=1,N(N245),0)</f>
        <v/>
      </c>
      <c r="U245">
        <f>IF(AND(S245=1,T245&gt;0),ROUND(T245*100,0)*10000+10000-ROW(),"")</f>
        <v/>
      </c>
      <c r="V245">
        <f>IF(AND(S245=1,OR(Report!$C$5="",B245=Report!$C$5)),MATCH(B245,Rooms!$B$6:$B$35,0)*10000+ROW(),"")</f>
        <v/>
      </c>
      <c r="W245">
        <f>IF(AND(S245=1,OR(J245="",J245="No")),1,0)</f>
        <v/>
      </c>
      <c r="X245">
        <f>IF(AND(S245=1,K245=""),1,0)</f>
        <v/>
      </c>
      <c r="Y245">
        <f>IF(AND(S245=1,Q245&lt;&gt;""),ROUND(T245*100,0)*10000+10000-ROW(),"")</f>
        <v/>
      </c>
    </row>
    <row r="246">
      <c r="A246" s="1" t="n"/>
      <c r="B246" s="17" t="n"/>
      <c r="C246" s="18" t="n"/>
      <c r="D246" s="17" t="n"/>
      <c r="E246" s="19" t="n"/>
      <c r="F246" s="19" t="n"/>
      <c r="G246" s="20" t="n"/>
      <c r="H246" s="21" t="n"/>
      <c r="I246" s="21" t="n"/>
      <c r="J246" s="17" t="n"/>
      <c r="K246" s="19" t="n"/>
      <c r="L246" s="20" t="n"/>
      <c r="M246" s="19" t="n"/>
      <c r="N246" s="22">
        <f>IF(C246="","",IF(ISNUMBER(I246),I246,IF(ISNUMBER(H246),H246,"")))</f>
        <v/>
      </c>
      <c r="O246" s="23">
        <f>IF(OR(C246="",NOT(ISNUMBER(G246))),"",(TODAY()-INT(G246))/365.25)</f>
        <v/>
      </c>
      <c r="P246" s="13">
        <f>IF(OR(C246="",NOT(ISNUMBER(L246))),"",IF(L246&lt;TODAY(),"Ended",IF(L246-TODAY()&lt;=N(Settings!$C$10),"Ends soon","Covered")))</f>
        <v/>
      </c>
      <c r="Q246" s="13">
        <f>IF(C246="","",MID(IF(N246="",", value","")&amp;IF(OR(J246="",J246="No"),", receipt","")&amp;IF(K246="",", photo",""),3,100))</f>
        <v/>
      </c>
      <c r="R246" s="13">
        <f>IF(AND(B246="",C246=""),"",IF(C246="","Needs the item",IF(B246="","Needs a room",IF(COUNTIF(Rooms!$B$6:$B$35,B246)=0,"Not on Rooms",IF(AND(H246&lt;&gt;"",NOT(ISNUMBER(H246))),"Paid not a number",IF(AND(I246&lt;&gt;"",NOT(ISNUMBER(I246))),"Worth not a number",IF(AND(G246&lt;&gt;"",NOT(ISNUMBER(G246))),"Bought is not a date",IF(AND(L246&lt;&gt;"",NOT(ISNUMBER(L246))),"Warranty is not a date",""))))))))</f>
        <v/>
      </c>
      <c r="S246" s="1">
        <f>IF(AND(C246&lt;&gt;"",R246=""),1,0)</f>
        <v/>
      </c>
      <c r="T246">
        <f>IF(S246=1,N(N246),0)</f>
        <v/>
      </c>
      <c r="U246">
        <f>IF(AND(S246=1,T246&gt;0),ROUND(T246*100,0)*10000+10000-ROW(),"")</f>
        <v/>
      </c>
      <c r="V246">
        <f>IF(AND(S246=1,OR(Report!$C$5="",B246=Report!$C$5)),MATCH(B246,Rooms!$B$6:$B$35,0)*10000+ROW(),"")</f>
        <v/>
      </c>
      <c r="W246">
        <f>IF(AND(S246=1,OR(J246="",J246="No")),1,0)</f>
        <v/>
      </c>
      <c r="X246">
        <f>IF(AND(S246=1,K246=""),1,0)</f>
        <v/>
      </c>
      <c r="Y246">
        <f>IF(AND(S246=1,Q246&lt;&gt;""),ROUND(T246*100,0)*10000+10000-ROW(),"")</f>
        <v/>
      </c>
    </row>
    <row r="247">
      <c r="A247" s="1" t="n"/>
      <c r="B247" s="17" t="n"/>
      <c r="C247" s="18" t="n"/>
      <c r="D247" s="17" t="n"/>
      <c r="E247" s="19" t="n"/>
      <c r="F247" s="19" t="n"/>
      <c r="G247" s="20" t="n"/>
      <c r="H247" s="21" t="n"/>
      <c r="I247" s="21" t="n"/>
      <c r="J247" s="17" t="n"/>
      <c r="K247" s="19" t="n"/>
      <c r="L247" s="20" t="n"/>
      <c r="M247" s="19" t="n"/>
      <c r="N247" s="22">
        <f>IF(C247="","",IF(ISNUMBER(I247),I247,IF(ISNUMBER(H247),H247,"")))</f>
        <v/>
      </c>
      <c r="O247" s="23">
        <f>IF(OR(C247="",NOT(ISNUMBER(G247))),"",(TODAY()-INT(G247))/365.25)</f>
        <v/>
      </c>
      <c r="P247" s="13">
        <f>IF(OR(C247="",NOT(ISNUMBER(L247))),"",IF(L247&lt;TODAY(),"Ended",IF(L247-TODAY()&lt;=N(Settings!$C$10),"Ends soon","Covered")))</f>
        <v/>
      </c>
      <c r="Q247" s="13">
        <f>IF(C247="","",MID(IF(N247="",", value","")&amp;IF(OR(J247="",J247="No"),", receipt","")&amp;IF(K247="",", photo",""),3,100))</f>
        <v/>
      </c>
      <c r="R247" s="13">
        <f>IF(AND(B247="",C247=""),"",IF(C247="","Needs the item",IF(B247="","Needs a room",IF(COUNTIF(Rooms!$B$6:$B$35,B247)=0,"Not on Rooms",IF(AND(H247&lt;&gt;"",NOT(ISNUMBER(H247))),"Paid not a number",IF(AND(I247&lt;&gt;"",NOT(ISNUMBER(I247))),"Worth not a number",IF(AND(G247&lt;&gt;"",NOT(ISNUMBER(G247))),"Bought is not a date",IF(AND(L247&lt;&gt;"",NOT(ISNUMBER(L247))),"Warranty is not a date",""))))))))</f>
        <v/>
      </c>
      <c r="S247" s="1">
        <f>IF(AND(C247&lt;&gt;"",R247=""),1,0)</f>
        <v/>
      </c>
      <c r="T247">
        <f>IF(S247=1,N(N247),0)</f>
        <v/>
      </c>
      <c r="U247">
        <f>IF(AND(S247=1,T247&gt;0),ROUND(T247*100,0)*10000+10000-ROW(),"")</f>
        <v/>
      </c>
      <c r="V247">
        <f>IF(AND(S247=1,OR(Report!$C$5="",B247=Report!$C$5)),MATCH(B247,Rooms!$B$6:$B$35,0)*10000+ROW(),"")</f>
        <v/>
      </c>
      <c r="W247">
        <f>IF(AND(S247=1,OR(J247="",J247="No")),1,0)</f>
        <v/>
      </c>
      <c r="X247">
        <f>IF(AND(S247=1,K247=""),1,0)</f>
        <v/>
      </c>
      <c r="Y247">
        <f>IF(AND(S247=1,Q247&lt;&gt;""),ROUND(T247*100,0)*10000+10000-ROW(),"")</f>
        <v/>
      </c>
    </row>
    <row r="248">
      <c r="A248" s="1" t="n"/>
      <c r="B248" s="17" t="n"/>
      <c r="C248" s="18" t="n"/>
      <c r="D248" s="17" t="n"/>
      <c r="E248" s="19" t="n"/>
      <c r="F248" s="19" t="n"/>
      <c r="G248" s="20" t="n"/>
      <c r="H248" s="21" t="n"/>
      <c r="I248" s="21" t="n"/>
      <c r="J248" s="17" t="n"/>
      <c r="K248" s="19" t="n"/>
      <c r="L248" s="20" t="n"/>
      <c r="M248" s="19" t="n"/>
      <c r="N248" s="22">
        <f>IF(C248="","",IF(ISNUMBER(I248),I248,IF(ISNUMBER(H248),H248,"")))</f>
        <v/>
      </c>
      <c r="O248" s="23">
        <f>IF(OR(C248="",NOT(ISNUMBER(G248))),"",(TODAY()-INT(G248))/365.25)</f>
        <v/>
      </c>
      <c r="P248" s="13">
        <f>IF(OR(C248="",NOT(ISNUMBER(L248))),"",IF(L248&lt;TODAY(),"Ended",IF(L248-TODAY()&lt;=N(Settings!$C$10),"Ends soon","Covered")))</f>
        <v/>
      </c>
      <c r="Q248" s="13">
        <f>IF(C248="","",MID(IF(N248="",", value","")&amp;IF(OR(J248="",J248="No"),", receipt","")&amp;IF(K248="",", photo",""),3,100))</f>
        <v/>
      </c>
      <c r="R248" s="13">
        <f>IF(AND(B248="",C248=""),"",IF(C248="","Needs the item",IF(B248="","Needs a room",IF(COUNTIF(Rooms!$B$6:$B$35,B248)=0,"Not on Rooms",IF(AND(H248&lt;&gt;"",NOT(ISNUMBER(H248))),"Paid not a number",IF(AND(I248&lt;&gt;"",NOT(ISNUMBER(I248))),"Worth not a number",IF(AND(G248&lt;&gt;"",NOT(ISNUMBER(G248))),"Bought is not a date",IF(AND(L248&lt;&gt;"",NOT(ISNUMBER(L248))),"Warranty is not a date",""))))))))</f>
        <v/>
      </c>
      <c r="S248" s="1">
        <f>IF(AND(C248&lt;&gt;"",R248=""),1,0)</f>
        <v/>
      </c>
      <c r="T248">
        <f>IF(S248=1,N(N248),0)</f>
        <v/>
      </c>
      <c r="U248">
        <f>IF(AND(S248=1,T248&gt;0),ROUND(T248*100,0)*10000+10000-ROW(),"")</f>
        <v/>
      </c>
      <c r="V248">
        <f>IF(AND(S248=1,OR(Report!$C$5="",B248=Report!$C$5)),MATCH(B248,Rooms!$B$6:$B$35,0)*10000+ROW(),"")</f>
        <v/>
      </c>
      <c r="W248">
        <f>IF(AND(S248=1,OR(J248="",J248="No")),1,0)</f>
        <v/>
      </c>
      <c r="X248">
        <f>IF(AND(S248=1,K248=""),1,0)</f>
        <v/>
      </c>
      <c r="Y248">
        <f>IF(AND(S248=1,Q248&lt;&gt;""),ROUND(T248*100,0)*10000+10000-ROW(),"")</f>
        <v/>
      </c>
    </row>
    <row r="249">
      <c r="A249" s="1" t="n"/>
      <c r="B249" s="17" t="n"/>
      <c r="C249" s="18" t="n"/>
      <c r="D249" s="17" t="n"/>
      <c r="E249" s="19" t="n"/>
      <c r="F249" s="19" t="n"/>
      <c r="G249" s="20" t="n"/>
      <c r="H249" s="21" t="n"/>
      <c r="I249" s="21" t="n"/>
      <c r="J249" s="17" t="n"/>
      <c r="K249" s="19" t="n"/>
      <c r="L249" s="20" t="n"/>
      <c r="M249" s="19" t="n"/>
      <c r="N249" s="22">
        <f>IF(C249="","",IF(ISNUMBER(I249),I249,IF(ISNUMBER(H249),H249,"")))</f>
        <v/>
      </c>
      <c r="O249" s="23">
        <f>IF(OR(C249="",NOT(ISNUMBER(G249))),"",(TODAY()-INT(G249))/365.25)</f>
        <v/>
      </c>
      <c r="P249" s="13">
        <f>IF(OR(C249="",NOT(ISNUMBER(L249))),"",IF(L249&lt;TODAY(),"Ended",IF(L249-TODAY()&lt;=N(Settings!$C$10),"Ends soon","Covered")))</f>
        <v/>
      </c>
      <c r="Q249" s="13">
        <f>IF(C249="","",MID(IF(N249="",", value","")&amp;IF(OR(J249="",J249="No"),", receipt","")&amp;IF(K249="",", photo",""),3,100))</f>
        <v/>
      </c>
      <c r="R249" s="13">
        <f>IF(AND(B249="",C249=""),"",IF(C249="","Needs the item",IF(B249="","Needs a room",IF(COUNTIF(Rooms!$B$6:$B$35,B249)=0,"Not on Rooms",IF(AND(H249&lt;&gt;"",NOT(ISNUMBER(H249))),"Paid not a number",IF(AND(I249&lt;&gt;"",NOT(ISNUMBER(I249))),"Worth not a number",IF(AND(G249&lt;&gt;"",NOT(ISNUMBER(G249))),"Bought is not a date",IF(AND(L249&lt;&gt;"",NOT(ISNUMBER(L249))),"Warranty is not a date",""))))))))</f>
        <v/>
      </c>
      <c r="S249" s="1">
        <f>IF(AND(C249&lt;&gt;"",R249=""),1,0)</f>
        <v/>
      </c>
      <c r="T249">
        <f>IF(S249=1,N(N249),0)</f>
        <v/>
      </c>
      <c r="U249">
        <f>IF(AND(S249=1,T249&gt;0),ROUND(T249*100,0)*10000+10000-ROW(),"")</f>
        <v/>
      </c>
      <c r="V249">
        <f>IF(AND(S249=1,OR(Report!$C$5="",B249=Report!$C$5)),MATCH(B249,Rooms!$B$6:$B$35,0)*10000+ROW(),"")</f>
        <v/>
      </c>
      <c r="W249">
        <f>IF(AND(S249=1,OR(J249="",J249="No")),1,0)</f>
        <v/>
      </c>
      <c r="X249">
        <f>IF(AND(S249=1,K249=""),1,0)</f>
        <v/>
      </c>
      <c r="Y249">
        <f>IF(AND(S249=1,Q249&lt;&gt;""),ROUND(T249*100,0)*10000+10000-ROW(),"")</f>
        <v/>
      </c>
    </row>
    <row r="250">
      <c r="A250" s="1" t="n"/>
      <c r="B250" s="17" t="n"/>
      <c r="C250" s="18" t="n"/>
      <c r="D250" s="17" t="n"/>
      <c r="E250" s="19" t="n"/>
      <c r="F250" s="19" t="n"/>
      <c r="G250" s="20" t="n"/>
      <c r="H250" s="21" t="n"/>
      <c r="I250" s="21" t="n"/>
      <c r="J250" s="17" t="n"/>
      <c r="K250" s="19" t="n"/>
      <c r="L250" s="20" t="n"/>
      <c r="M250" s="19" t="n"/>
      <c r="N250" s="22">
        <f>IF(C250="","",IF(ISNUMBER(I250),I250,IF(ISNUMBER(H250),H250,"")))</f>
        <v/>
      </c>
      <c r="O250" s="23">
        <f>IF(OR(C250="",NOT(ISNUMBER(G250))),"",(TODAY()-INT(G250))/365.25)</f>
        <v/>
      </c>
      <c r="P250" s="13">
        <f>IF(OR(C250="",NOT(ISNUMBER(L250))),"",IF(L250&lt;TODAY(),"Ended",IF(L250-TODAY()&lt;=N(Settings!$C$10),"Ends soon","Covered")))</f>
        <v/>
      </c>
      <c r="Q250" s="13">
        <f>IF(C250="","",MID(IF(N250="",", value","")&amp;IF(OR(J250="",J250="No"),", receipt","")&amp;IF(K250="",", photo",""),3,100))</f>
        <v/>
      </c>
      <c r="R250" s="13">
        <f>IF(AND(B250="",C250=""),"",IF(C250="","Needs the item",IF(B250="","Needs a room",IF(COUNTIF(Rooms!$B$6:$B$35,B250)=0,"Not on Rooms",IF(AND(H250&lt;&gt;"",NOT(ISNUMBER(H250))),"Paid not a number",IF(AND(I250&lt;&gt;"",NOT(ISNUMBER(I250))),"Worth not a number",IF(AND(G250&lt;&gt;"",NOT(ISNUMBER(G250))),"Bought is not a date",IF(AND(L250&lt;&gt;"",NOT(ISNUMBER(L250))),"Warranty is not a date",""))))))))</f>
        <v/>
      </c>
      <c r="S250" s="1">
        <f>IF(AND(C250&lt;&gt;"",R250=""),1,0)</f>
        <v/>
      </c>
      <c r="T250">
        <f>IF(S250=1,N(N250),0)</f>
        <v/>
      </c>
      <c r="U250">
        <f>IF(AND(S250=1,T250&gt;0),ROUND(T250*100,0)*10000+10000-ROW(),"")</f>
        <v/>
      </c>
      <c r="V250">
        <f>IF(AND(S250=1,OR(Report!$C$5="",B250=Report!$C$5)),MATCH(B250,Rooms!$B$6:$B$35,0)*10000+ROW(),"")</f>
        <v/>
      </c>
      <c r="W250">
        <f>IF(AND(S250=1,OR(J250="",J250="No")),1,0)</f>
        <v/>
      </c>
      <c r="X250">
        <f>IF(AND(S250=1,K250=""),1,0)</f>
        <v/>
      </c>
      <c r="Y250">
        <f>IF(AND(S250=1,Q250&lt;&gt;""),ROUND(T250*100,0)*10000+10000-ROW(),"")</f>
        <v/>
      </c>
    </row>
    <row r="251">
      <c r="A251" s="1" t="n"/>
      <c r="B251" s="17" t="n"/>
      <c r="C251" s="18" t="n"/>
      <c r="D251" s="17" t="n"/>
      <c r="E251" s="19" t="n"/>
      <c r="F251" s="19" t="n"/>
      <c r="G251" s="20" t="n"/>
      <c r="H251" s="21" t="n"/>
      <c r="I251" s="21" t="n"/>
      <c r="J251" s="17" t="n"/>
      <c r="K251" s="19" t="n"/>
      <c r="L251" s="20" t="n"/>
      <c r="M251" s="19" t="n"/>
      <c r="N251" s="22">
        <f>IF(C251="","",IF(ISNUMBER(I251),I251,IF(ISNUMBER(H251),H251,"")))</f>
        <v/>
      </c>
      <c r="O251" s="23">
        <f>IF(OR(C251="",NOT(ISNUMBER(G251))),"",(TODAY()-INT(G251))/365.25)</f>
        <v/>
      </c>
      <c r="P251" s="13">
        <f>IF(OR(C251="",NOT(ISNUMBER(L251))),"",IF(L251&lt;TODAY(),"Ended",IF(L251-TODAY()&lt;=N(Settings!$C$10),"Ends soon","Covered")))</f>
        <v/>
      </c>
      <c r="Q251" s="13">
        <f>IF(C251="","",MID(IF(N251="",", value","")&amp;IF(OR(J251="",J251="No"),", receipt","")&amp;IF(K251="",", photo",""),3,100))</f>
        <v/>
      </c>
      <c r="R251" s="13">
        <f>IF(AND(B251="",C251=""),"",IF(C251="","Needs the item",IF(B251="","Needs a room",IF(COUNTIF(Rooms!$B$6:$B$35,B251)=0,"Not on Rooms",IF(AND(H251&lt;&gt;"",NOT(ISNUMBER(H251))),"Paid not a number",IF(AND(I251&lt;&gt;"",NOT(ISNUMBER(I251))),"Worth not a number",IF(AND(G251&lt;&gt;"",NOT(ISNUMBER(G251))),"Bought is not a date",IF(AND(L251&lt;&gt;"",NOT(ISNUMBER(L251))),"Warranty is not a date",""))))))))</f>
        <v/>
      </c>
      <c r="S251" s="1">
        <f>IF(AND(C251&lt;&gt;"",R251=""),1,0)</f>
        <v/>
      </c>
      <c r="T251">
        <f>IF(S251=1,N(N251),0)</f>
        <v/>
      </c>
      <c r="U251">
        <f>IF(AND(S251=1,T251&gt;0),ROUND(T251*100,0)*10000+10000-ROW(),"")</f>
        <v/>
      </c>
      <c r="V251">
        <f>IF(AND(S251=1,OR(Report!$C$5="",B251=Report!$C$5)),MATCH(B251,Rooms!$B$6:$B$35,0)*10000+ROW(),"")</f>
        <v/>
      </c>
      <c r="W251">
        <f>IF(AND(S251=1,OR(J251="",J251="No")),1,0)</f>
        <v/>
      </c>
      <c r="X251">
        <f>IF(AND(S251=1,K251=""),1,0)</f>
        <v/>
      </c>
      <c r="Y251">
        <f>IF(AND(S251=1,Q251&lt;&gt;""),ROUND(T251*100,0)*10000+10000-ROW(),"")</f>
        <v/>
      </c>
    </row>
    <row r="252">
      <c r="A252" s="1" t="n"/>
      <c r="B252" s="17" t="n"/>
      <c r="C252" s="18" t="n"/>
      <c r="D252" s="17" t="n"/>
      <c r="E252" s="19" t="n"/>
      <c r="F252" s="19" t="n"/>
      <c r="G252" s="20" t="n"/>
      <c r="H252" s="21" t="n"/>
      <c r="I252" s="21" t="n"/>
      <c r="J252" s="17" t="n"/>
      <c r="K252" s="19" t="n"/>
      <c r="L252" s="20" t="n"/>
      <c r="M252" s="19" t="n"/>
      <c r="N252" s="22">
        <f>IF(C252="","",IF(ISNUMBER(I252),I252,IF(ISNUMBER(H252),H252,"")))</f>
        <v/>
      </c>
      <c r="O252" s="23">
        <f>IF(OR(C252="",NOT(ISNUMBER(G252))),"",(TODAY()-INT(G252))/365.25)</f>
        <v/>
      </c>
      <c r="P252" s="13">
        <f>IF(OR(C252="",NOT(ISNUMBER(L252))),"",IF(L252&lt;TODAY(),"Ended",IF(L252-TODAY()&lt;=N(Settings!$C$10),"Ends soon","Covered")))</f>
        <v/>
      </c>
      <c r="Q252" s="13">
        <f>IF(C252="","",MID(IF(N252="",", value","")&amp;IF(OR(J252="",J252="No"),", receipt","")&amp;IF(K252="",", photo",""),3,100))</f>
        <v/>
      </c>
      <c r="R252" s="13">
        <f>IF(AND(B252="",C252=""),"",IF(C252="","Needs the item",IF(B252="","Needs a room",IF(COUNTIF(Rooms!$B$6:$B$35,B252)=0,"Not on Rooms",IF(AND(H252&lt;&gt;"",NOT(ISNUMBER(H252))),"Paid not a number",IF(AND(I252&lt;&gt;"",NOT(ISNUMBER(I252))),"Worth not a number",IF(AND(G252&lt;&gt;"",NOT(ISNUMBER(G252))),"Bought is not a date",IF(AND(L252&lt;&gt;"",NOT(ISNUMBER(L252))),"Warranty is not a date",""))))))))</f>
        <v/>
      </c>
      <c r="S252" s="1">
        <f>IF(AND(C252&lt;&gt;"",R252=""),1,0)</f>
        <v/>
      </c>
      <c r="T252">
        <f>IF(S252=1,N(N252),0)</f>
        <v/>
      </c>
      <c r="U252">
        <f>IF(AND(S252=1,T252&gt;0),ROUND(T252*100,0)*10000+10000-ROW(),"")</f>
        <v/>
      </c>
      <c r="V252">
        <f>IF(AND(S252=1,OR(Report!$C$5="",B252=Report!$C$5)),MATCH(B252,Rooms!$B$6:$B$35,0)*10000+ROW(),"")</f>
        <v/>
      </c>
      <c r="W252">
        <f>IF(AND(S252=1,OR(J252="",J252="No")),1,0)</f>
        <v/>
      </c>
      <c r="X252">
        <f>IF(AND(S252=1,K252=""),1,0)</f>
        <v/>
      </c>
      <c r="Y252">
        <f>IF(AND(S252=1,Q252&lt;&gt;""),ROUND(T252*100,0)*10000+10000-ROW(),"")</f>
        <v/>
      </c>
    </row>
    <row r="253">
      <c r="A253" s="1" t="n"/>
      <c r="B253" s="17" t="n"/>
      <c r="C253" s="18" t="n"/>
      <c r="D253" s="17" t="n"/>
      <c r="E253" s="19" t="n"/>
      <c r="F253" s="19" t="n"/>
      <c r="G253" s="20" t="n"/>
      <c r="H253" s="21" t="n"/>
      <c r="I253" s="21" t="n"/>
      <c r="J253" s="17" t="n"/>
      <c r="K253" s="19" t="n"/>
      <c r="L253" s="20" t="n"/>
      <c r="M253" s="19" t="n"/>
      <c r="N253" s="22">
        <f>IF(C253="","",IF(ISNUMBER(I253),I253,IF(ISNUMBER(H253),H253,"")))</f>
        <v/>
      </c>
      <c r="O253" s="23">
        <f>IF(OR(C253="",NOT(ISNUMBER(G253))),"",(TODAY()-INT(G253))/365.25)</f>
        <v/>
      </c>
      <c r="P253" s="13">
        <f>IF(OR(C253="",NOT(ISNUMBER(L253))),"",IF(L253&lt;TODAY(),"Ended",IF(L253-TODAY()&lt;=N(Settings!$C$10),"Ends soon","Covered")))</f>
        <v/>
      </c>
      <c r="Q253" s="13">
        <f>IF(C253="","",MID(IF(N253="",", value","")&amp;IF(OR(J253="",J253="No"),", receipt","")&amp;IF(K253="",", photo",""),3,100))</f>
        <v/>
      </c>
      <c r="R253" s="13">
        <f>IF(AND(B253="",C253=""),"",IF(C253="","Needs the item",IF(B253="","Needs a room",IF(COUNTIF(Rooms!$B$6:$B$35,B253)=0,"Not on Rooms",IF(AND(H253&lt;&gt;"",NOT(ISNUMBER(H253))),"Paid not a number",IF(AND(I253&lt;&gt;"",NOT(ISNUMBER(I253))),"Worth not a number",IF(AND(G253&lt;&gt;"",NOT(ISNUMBER(G253))),"Bought is not a date",IF(AND(L253&lt;&gt;"",NOT(ISNUMBER(L253))),"Warranty is not a date",""))))))))</f>
        <v/>
      </c>
      <c r="S253" s="1">
        <f>IF(AND(C253&lt;&gt;"",R253=""),1,0)</f>
        <v/>
      </c>
      <c r="T253">
        <f>IF(S253=1,N(N253),0)</f>
        <v/>
      </c>
      <c r="U253">
        <f>IF(AND(S253=1,T253&gt;0),ROUND(T253*100,0)*10000+10000-ROW(),"")</f>
        <v/>
      </c>
      <c r="V253">
        <f>IF(AND(S253=1,OR(Report!$C$5="",B253=Report!$C$5)),MATCH(B253,Rooms!$B$6:$B$35,0)*10000+ROW(),"")</f>
        <v/>
      </c>
      <c r="W253">
        <f>IF(AND(S253=1,OR(J253="",J253="No")),1,0)</f>
        <v/>
      </c>
      <c r="X253">
        <f>IF(AND(S253=1,K253=""),1,0)</f>
        <v/>
      </c>
      <c r="Y253">
        <f>IF(AND(S253=1,Q253&lt;&gt;""),ROUND(T253*100,0)*10000+10000-ROW(),"")</f>
        <v/>
      </c>
    </row>
    <row r="254">
      <c r="A254" s="1" t="n"/>
      <c r="B254" s="17" t="n"/>
      <c r="C254" s="18" t="n"/>
      <c r="D254" s="17" t="n"/>
      <c r="E254" s="19" t="n"/>
      <c r="F254" s="19" t="n"/>
      <c r="G254" s="20" t="n"/>
      <c r="H254" s="21" t="n"/>
      <c r="I254" s="21" t="n"/>
      <c r="J254" s="17" t="n"/>
      <c r="K254" s="19" t="n"/>
      <c r="L254" s="20" t="n"/>
      <c r="M254" s="19" t="n"/>
      <c r="N254" s="22">
        <f>IF(C254="","",IF(ISNUMBER(I254),I254,IF(ISNUMBER(H254),H254,"")))</f>
        <v/>
      </c>
      <c r="O254" s="23">
        <f>IF(OR(C254="",NOT(ISNUMBER(G254))),"",(TODAY()-INT(G254))/365.25)</f>
        <v/>
      </c>
      <c r="P254" s="13">
        <f>IF(OR(C254="",NOT(ISNUMBER(L254))),"",IF(L254&lt;TODAY(),"Ended",IF(L254-TODAY()&lt;=N(Settings!$C$10),"Ends soon","Covered")))</f>
        <v/>
      </c>
      <c r="Q254" s="13">
        <f>IF(C254="","",MID(IF(N254="",", value","")&amp;IF(OR(J254="",J254="No"),", receipt","")&amp;IF(K254="",", photo",""),3,100))</f>
        <v/>
      </c>
      <c r="R254" s="13">
        <f>IF(AND(B254="",C254=""),"",IF(C254="","Needs the item",IF(B254="","Needs a room",IF(COUNTIF(Rooms!$B$6:$B$35,B254)=0,"Not on Rooms",IF(AND(H254&lt;&gt;"",NOT(ISNUMBER(H254))),"Paid not a number",IF(AND(I254&lt;&gt;"",NOT(ISNUMBER(I254))),"Worth not a number",IF(AND(G254&lt;&gt;"",NOT(ISNUMBER(G254))),"Bought is not a date",IF(AND(L254&lt;&gt;"",NOT(ISNUMBER(L254))),"Warranty is not a date",""))))))))</f>
        <v/>
      </c>
      <c r="S254" s="1">
        <f>IF(AND(C254&lt;&gt;"",R254=""),1,0)</f>
        <v/>
      </c>
      <c r="T254">
        <f>IF(S254=1,N(N254),0)</f>
        <v/>
      </c>
      <c r="U254">
        <f>IF(AND(S254=1,T254&gt;0),ROUND(T254*100,0)*10000+10000-ROW(),"")</f>
        <v/>
      </c>
      <c r="V254">
        <f>IF(AND(S254=1,OR(Report!$C$5="",B254=Report!$C$5)),MATCH(B254,Rooms!$B$6:$B$35,0)*10000+ROW(),"")</f>
        <v/>
      </c>
      <c r="W254">
        <f>IF(AND(S254=1,OR(J254="",J254="No")),1,0)</f>
        <v/>
      </c>
      <c r="X254">
        <f>IF(AND(S254=1,K254=""),1,0)</f>
        <v/>
      </c>
      <c r="Y254">
        <f>IF(AND(S254=1,Q254&lt;&gt;""),ROUND(T254*100,0)*10000+10000-ROW(),"")</f>
        <v/>
      </c>
    </row>
    <row r="255">
      <c r="A255" s="1" t="n"/>
      <c r="B255" s="17" t="n"/>
      <c r="C255" s="18" t="n"/>
      <c r="D255" s="17" t="n"/>
      <c r="E255" s="19" t="n"/>
      <c r="F255" s="19" t="n"/>
      <c r="G255" s="20" t="n"/>
      <c r="H255" s="21" t="n"/>
      <c r="I255" s="21" t="n"/>
      <c r="J255" s="17" t="n"/>
      <c r="K255" s="19" t="n"/>
      <c r="L255" s="20" t="n"/>
      <c r="M255" s="19" t="n"/>
      <c r="N255" s="22">
        <f>IF(C255="","",IF(ISNUMBER(I255),I255,IF(ISNUMBER(H255),H255,"")))</f>
        <v/>
      </c>
      <c r="O255" s="23">
        <f>IF(OR(C255="",NOT(ISNUMBER(G255))),"",(TODAY()-INT(G255))/365.25)</f>
        <v/>
      </c>
      <c r="P255" s="13">
        <f>IF(OR(C255="",NOT(ISNUMBER(L255))),"",IF(L255&lt;TODAY(),"Ended",IF(L255-TODAY()&lt;=N(Settings!$C$10),"Ends soon","Covered")))</f>
        <v/>
      </c>
      <c r="Q255" s="13">
        <f>IF(C255="","",MID(IF(N255="",", value","")&amp;IF(OR(J255="",J255="No"),", receipt","")&amp;IF(K255="",", photo",""),3,100))</f>
        <v/>
      </c>
      <c r="R255" s="13">
        <f>IF(AND(B255="",C255=""),"",IF(C255="","Needs the item",IF(B255="","Needs a room",IF(COUNTIF(Rooms!$B$6:$B$35,B255)=0,"Not on Rooms",IF(AND(H255&lt;&gt;"",NOT(ISNUMBER(H255))),"Paid not a number",IF(AND(I255&lt;&gt;"",NOT(ISNUMBER(I255))),"Worth not a number",IF(AND(G255&lt;&gt;"",NOT(ISNUMBER(G255))),"Bought is not a date",IF(AND(L255&lt;&gt;"",NOT(ISNUMBER(L255))),"Warranty is not a date",""))))))))</f>
        <v/>
      </c>
      <c r="S255" s="1">
        <f>IF(AND(C255&lt;&gt;"",R255=""),1,0)</f>
        <v/>
      </c>
      <c r="T255">
        <f>IF(S255=1,N(N255),0)</f>
        <v/>
      </c>
      <c r="U255">
        <f>IF(AND(S255=1,T255&gt;0),ROUND(T255*100,0)*10000+10000-ROW(),"")</f>
        <v/>
      </c>
      <c r="V255">
        <f>IF(AND(S255=1,OR(Report!$C$5="",B255=Report!$C$5)),MATCH(B255,Rooms!$B$6:$B$35,0)*10000+ROW(),"")</f>
        <v/>
      </c>
      <c r="W255">
        <f>IF(AND(S255=1,OR(J255="",J255="No")),1,0)</f>
        <v/>
      </c>
      <c r="X255">
        <f>IF(AND(S255=1,K255=""),1,0)</f>
        <v/>
      </c>
      <c r="Y255">
        <f>IF(AND(S255=1,Q255&lt;&gt;""),ROUND(T255*100,0)*10000+10000-ROW(),"")</f>
        <v/>
      </c>
    </row>
    <row r="256">
      <c r="A256" s="1" t="n"/>
      <c r="B256" s="17" t="n"/>
      <c r="C256" s="18" t="n"/>
      <c r="D256" s="17" t="n"/>
      <c r="E256" s="19" t="n"/>
      <c r="F256" s="19" t="n"/>
      <c r="G256" s="20" t="n"/>
      <c r="H256" s="21" t="n"/>
      <c r="I256" s="21" t="n"/>
      <c r="J256" s="17" t="n"/>
      <c r="K256" s="19" t="n"/>
      <c r="L256" s="20" t="n"/>
      <c r="M256" s="19" t="n"/>
      <c r="N256" s="22">
        <f>IF(C256="","",IF(ISNUMBER(I256),I256,IF(ISNUMBER(H256),H256,"")))</f>
        <v/>
      </c>
      <c r="O256" s="23">
        <f>IF(OR(C256="",NOT(ISNUMBER(G256))),"",(TODAY()-INT(G256))/365.25)</f>
        <v/>
      </c>
      <c r="P256" s="13">
        <f>IF(OR(C256="",NOT(ISNUMBER(L256))),"",IF(L256&lt;TODAY(),"Ended",IF(L256-TODAY()&lt;=N(Settings!$C$10),"Ends soon","Covered")))</f>
        <v/>
      </c>
      <c r="Q256" s="13">
        <f>IF(C256="","",MID(IF(N256="",", value","")&amp;IF(OR(J256="",J256="No"),", receipt","")&amp;IF(K256="",", photo",""),3,100))</f>
        <v/>
      </c>
      <c r="R256" s="13">
        <f>IF(AND(B256="",C256=""),"",IF(C256="","Needs the item",IF(B256="","Needs a room",IF(COUNTIF(Rooms!$B$6:$B$35,B256)=0,"Not on Rooms",IF(AND(H256&lt;&gt;"",NOT(ISNUMBER(H256))),"Paid not a number",IF(AND(I256&lt;&gt;"",NOT(ISNUMBER(I256))),"Worth not a number",IF(AND(G256&lt;&gt;"",NOT(ISNUMBER(G256))),"Bought is not a date",IF(AND(L256&lt;&gt;"",NOT(ISNUMBER(L256))),"Warranty is not a date",""))))))))</f>
        <v/>
      </c>
      <c r="S256" s="1">
        <f>IF(AND(C256&lt;&gt;"",R256=""),1,0)</f>
        <v/>
      </c>
      <c r="T256">
        <f>IF(S256=1,N(N256),0)</f>
        <v/>
      </c>
      <c r="U256">
        <f>IF(AND(S256=1,T256&gt;0),ROUND(T256*100,0)*10000+10000-ROW(),"")</f>
        <v/>
      </c>
      <c r="V256">
        <f>IF(AND(S256=1,OR(Report!$C$5="",B256=Report!$C$5)),MATCH(B256,Rooms!$B$6:$B$35,0)*10000+ROW(),"")</f>
        <v/>
      </c>
      <c r="W256">
        <f>IF(AND(S256=1,OR(J256="",J256="No")),1,0)</f>
        <v/>
      </c>
      <c r="X256">
        <f>IF(AND(S256=1,K256=""),1,0)</f>
        <v/>
      </c>
      <c r="Y256">
        <f>IF(AND(S256=1,Q256&lt;&gt;""),ROUND(T256*100,0)*10000+10000-ROW(),"")</f>
        <v/>
      </c>
    </row>
    <row r="257">
      <c r="A257" s="1" t="n"/>
      <c r="B257" s="17" t="n"/>
      <c r="C257" s="18" t="n"/>
      <c r="D257" s="17" t="n"/>
      <c r="E257" s="19" t="n"/>
      <c r="F257" s="19" t="n"/>
      <c r="G257" s="20" t="n"/>
      <c r="H257" s="21" t="n"/>
      <c r="I257" s="21" t="n"/>
      <c r="J257" s="17" t="n"/>
      <c r="K257" s="19" t="n"/>
      <c r="L257" s="20" t="n"/>
      <c r="M257" s="19" t="n"/>
      <c r="N257" s="22">
        <f>IF(C257="","",IF(ISNUMBER(I257),I257,IF(ISNUMBER(H257),H257,"")))</f>
        <v/>
      </c>
      <c r="O257" s="23">
        <f>IF(OR(C257="",NOT(ISNUMBER(G257))),"",(TODAY()-INT(G257))/365.25)</f>
        <v/>
      </c>
      <c r="P257" s="13">
        <f>IF(OR(C257="",NOT(ISNUMBER(L257))),"",IF(L257&lt;TODAY(),"Ended",IF(L257-TODAY()&lt;=N(Settings!$C$10),"Ends soon","Covered")))</f>
        <v/>
      </c>
      <c r="Q257" s="13">
        <f>IF(C257="","",MID(IF(N257="",", value","")&amp;IF(OR(J257="",J257="No"),", receipt","")&amp;IF(K257="",", photo",""),3,100))</f>
        <v/>
      </c>
      <c r="R257" s="13">
        <f>IF(AND(B257="",C257=""),"",IF(C257="","Needs the item",IF(B257="","Needs a room",IF(COUNTIF(Rooms!$B$6:$B$35,B257)=0,"Not on Rooms",IF(AND(H257&lt;&gt;"",NOT(ISNUMBER(H257))),"Paid not a number",IF(AND(I257&lt;&gt;"",NOT(ISNUMBER(I257))),"Worth not a number",IF(AND(G257&lt;&gt;"",NOT(ISNUMBER(G257))),"Bought is not a date",IF(AND(L257&lt;&gt;"",NOT(ISNUMBER(L257))),"Warranty is not a date",""))))))))</f>
        <v/>
      </c>
      <c r="S257" s="1">
        <f>IF(AND(C257&lt;&gt;"",R257=""),1,0)</f>
        <v/>
      </c>
      <c r="T257">
        <f>IF(S257=1,N(N257),0)</f>
        <v/>
      </c>
      <c r="U257">
        <f>IF(AND(S257=1,T257&gt;0),ROUND(T257*100,0)*10000+10000-ROW(),"")</f>
        <v/>
      </c>
      <c r="V257">
        <f>IF(AND(S257=1,OR(Report!$C$5="",B257=Report!$C$5)),MATCH(B257,Rooms!$B$6:$B$35,0)*10000+ROW(),"")</f>
        <v/>
      </c>
      <c r="W257">
        <f>IF(AND(S257=1,OR(J257="",J257="No")),1,0)</f>
        <v/>
      </c>
      <c r="X257">
        <f>IF(AND(S257=1,K257=""),1,0)</f>
        <v/>
      </c>
      <c r="Y257">
        <f>IF(AND(S257=1,Q257&lt;&gt;""),ROUND(T257*100,0)*10000+10000-ROW(),"")</f>
        <v/>
      </c>
    </row>
    <row r="258">
      <c r="A258" s="1" t="n"/>
      <c r="B258" s="17" t="n"/>
      <c r="C258" s="18" t="n"/>
      <c r="D258" s="17" t="n"/>
      <c r="E258" s="19" t="n"/>
      <c r="F258" s="19" t="n"/>
      <c r="G258" s="20" t="n"/>
      <c r="H258" s="21" t="n"/>
      <c r="I258" s="21" t="n"/>
      <c r="J258" s="17" t="n"/>
      <c r="K258" s="19" t="n"/>
      <c r="L258" s="20" t="n"/>
      <c r="M258" s="19" t="n"/>
      <c r="N258" s="22">
        <f>IF(C258="","",IF(ISNUMBER(I258),I258,IF(ISNUMBER(H258),H258,"")))</f>
        <v/>
      </c>
      <c r="O258" s="23">
        <f>IF(OR(C258="",NOT(ISNUMBER(G258))),"",(TODAY()-INT(G258))/365.25)</f>
        <v/>
      </c>
      <c r="P258" s="13">
        <f>IF(OR(C258="",NOT(ISNUMBER(L258))),"",IF(L258&lt;TODAY(),"Ended",IF(L258-TODAY()&lt;=N(Settings!$C$10),"Ends soon","Covered")))</f>
        <v/>
      </c>
      <c r="Q258" s="13">
        <f>IF(C258="","",MID(IF(N258="",", value","")&amp;IF(OR(J258="",J258="No"),", receipt","")&amp;IF(K258="",", photo",""),3,100))</f>
        <v/>
      </c>
      <c r="R258" s="13">
        <f>IF(AND(B258="",C258=""),"",IF(C258="","Needs the item",IF(B258="","Needs a room",IF(COUNTIF(Rooms!$B$6:$B$35,B258)=0,"Not on Rooms",IF(AND(H258&lt;&gt;"",NOT(ISNUMBER(H258))),"Paid not a number",IF(AND(I258&lt;&gt;"",NOT(ISNUMBER(I258))),"Worth not a number",IF(AND(G258&lt;&gt;"",NOT(ISNUMBER(G258))),"Bought is not a date",IF(AND(L258&lt;&gt;"",NOT(ISNUMBER(L258))),"Warranty is not a date",""))))))))</f>
        <v/>
      </c>
      <c r="S258" s="1">
        <f>IF(AND(C258&lt;&gt;"",R258=""),1,0)</f>
        <v/>
      </c>
      <c r="T258">
        <f>IF(S258=1,N(N258),0)</f>
        <v/>
      </c>
      <c r="U258">
        <f>IF(AND(S258=1,T258&gt;0),ROUND(T258*100,0)*10000+10000-ROW(),"")</f>
        <v/>
      </c>
      <c r="V258">
        <f>IF(AND(S258=1,OR(Report!$C$5="",B258=Report!$C$5)),MATCH(B258,Rooms!$B$6:$B$35,0)*10000+ROW(),"")</f>
        <v/>
      </c>
      <c r="W258">
        <f>IF(AND(S258=1,OR(J258="",J258="No")),1,0)</f>
        <v/>
      </c>
      <c r="X258">
        <f>IF(AND(S258=1,K258=""),1,0)</f>
        <v/>
      </c>
      <c r="Y258">
        <f>IF(AND(S258=1,Q258&lt;&gt;""),ROUND(T258*100,0)*10000+10000-ROW(),"")</f>
        <v/>
      </c>
    </row>
    <row r="259">
      <c r="A259" s="1" t="n"/>
      <c r="B259" s="17" t="n"/>
      <c r="C259" s="18" t="n"/>
      <c r="D259" s="17" t="n"/>
      <c r="E259" s="19" t="n"/>
      <c r="F259" s="19" t="n"/>
      <c r="G259" s="20" t="n"/>
      <c r="H259" s="21" t="n"/>
      <c r="I259" s="21" t="n"/>
      <c r="J259" s="17" t="n"/>
      <c r="K259" s="19" t="n"/>
      <c r="L259" s="20" t="n"/>
      <c r="M259" s="19" t="n"/>
      <c r="N259" s="22">
        <f>IF(C259="","",IF(ISNUMBER(I259),I259,IF(ISNUMBER(H259),H259,"")))</f>
        <v/>
      </c>
      <c r="O259" s="23">
        <f>IF(OR(C259="",NOT(ISNUMBER(G259))),"",(TODAY()-INT(G259))/365.25)</f>
        <v/>
      </c>
      <c r="P259" s="13">
        <f>IF(OR(C259="",NOT(ISNUMBER(L259))),"",IF(L259&lt;TODAY(),"Ended",IF(L259-TODAY()&lt;=N(Settings!$C$10),"Ends soon","Covered")))</f>
        <v/>
      </c>
      <c r="Q259" s="13">
        <f>IF(C259="","",MID(IF(N259="",", value","")&amp;IF(OR(J259="",J259="No"),", receipt","")&amp;IF(K259="",", photo",""),3,100))</f>
        <v/>
      </c>
      <c r="R259" s="13">
        <f>IF(AND(B259="",C259=""),"",IF(C259="","Needs the item",IF(B259="","Needs a room",IF(COUNTIF(Rooms!$B$6:$B$35,B259)=0,"Not on Rooms",IF(AND(H259&lt;&gt;"",NOT(ISNUMBER(H259))),"Paid not a number",IF(AND(I259&lt;&gt;"",NOT(ISNUMBER(I259))),"Worth not a number",IF(AND(G259&lt;&gt;"",NOT(ISNUMBER(G259))),"Bought is not a date",IF(AND(L259&lt;&gt;"",NOT(ISNUMBER(L259))),"Warranty is not a date",""))))))))</f>
        <v/>
      </c>
      <c r="S259" s="1">
        <f>IF(AND(C259&lt;&gt;"",R259=""),1,0)</f>
        <v/>
      </c>
      <c r="T259">
        <f>IF(S259=1,N(N259),0)</f>
        <v/>
      </c>
      <c r="U259">
        <f>IF(AND(S259=1,T259&gt;0),ROUND(T259*100,0)*10000+10000-ROW(),"")</f>
        <v/>
      </c>
      <c r="V259">
        <f>IF(AND(S259=1,OR(Report!$C$5="",B259=Report!$C$5)),MATCH(B259,Rooms!$B$6:$B$35,0)*10000+ROW(),"")</f>
        <v/>
      </c>
      <c r="W259">
        <f>IF(AND(S259=1,OR(J259="",J259="No")),1,0)</f>
        <v/>
      </c>
      <c r="X259">
        <f>IF(AND(S259=1,K259=""),1,0)</f>
        <v/>
      </c>
      <c r="Y259">
        <f>IF(AND(S259=1,Q259&lt;&gt;""),ROUND(T259*100,0)*10000+10000-ROW(),"")</f>
        <v/>
      </c>
    </row>
    <row r="260">
      <c r="A260" s="1" t="n"/>
      <c r="B260" s="17" t="n"/>
      <c r="C260" s="18" t="n"/>
      <c r="D260" s="17" t="n"/>
      <c r="E260" s="19" t="n"/>
      <c r="F260" s="19" t="n"/>
      <c r="G260" s="20" t="n"/>
      <c r="H260" s="21" t="n"/>
      <c r="I260" s="21" t="n"/>
      <c r="J260" s="17" t="n"/>
      <c r="K260" s="19" t="n"/>
      <c r="L260" s="20" t="n"/>
      <c r="M260" s="19" t="n"/>
      <c r="N260" s="22">
        <f>IF(C260="","",IF(ISNUMBER(I260),I260,IF(ISNUMBER(H260),H260,"")))</f>
        <v/>
      </c>
      <c r="O260" s="23">
        <f>IF(OR(C260="",NOT(ISNUMBER(G260))),"",(TODAY()-INT(G260))/365.25)</f>
        <v/>
      </c>
      <c r="P260" s="13">
        <f>IF(OR(C260="",NOT(ISNUMBER(L260))),"",IF(L260&lt;TODAY(),"Ended",IF(L260-TODAY()&lt;=N(Settings!$C$10),"Ends soon","Covered")))</f>
        <v/>
      </c>
      <c r="Q260" s="13">
        <f>IF(C260="","",MID(IF(N260="",", value","")&amp;IF(OR(J260="",J260="No"),", receipt","")&amp;IF(K260="",", photo",""),3,100))</f>
        <v/>
      </c>
      <c r="R260" s="13">
        <f>IF(AND(B260="",C260=""),"",IF(C260="","Needs the item",IF(B260="","Needs a room",IF(COUNTIF(Rooms!$B$6:$B$35,B260)=0,"Not on Rooms",IF(AND(H260&lt;&gt;"",NOT(ISNUMBER(H260))),"Paid not a number",IF(AND(I260&lt;&gt;"",NOT(ISNUMBER(I260))),"Worth not a number",IF(AND(G260&lt;&gt;"",NOT(ISNUMBER(G260))),"Bought is not a date",IF(AND(L260&lt;&gt;"",NOT(ISNUMBER(L260))),"Warranty is not a date",""))))))))</f>
        <v/>
      </c>
      <c r="S260" s="1">
        <f>IF(AND(C260&lt;&gt;"",R260=""),1,0)</f>
        <v/>
      </c>
      <c r="T260">
        <f>IF(S260=1,N(N260),0)</f>
        <v/>
      </c>
      <c r="U260">
        <f>IF(AND(S260=1,T260&gt;0),ROUND(T260*100,0)*10000+10000-ROW(),"")</f>
        <v/>
      </c>
      <c r="V260">
        <f>IF(AND(S260=1,OR(Report!$C$5="",B260=Report!$C$5)),MATCH(B260,Rooms!$B$6:$B$35,0)*10000+ROW(),"")</f>
        <v/>
      </c>
      <c r="W260">
        <f>IF(AND(S260=1,OR(J260="",J260="No")),1,0)</f>
        <v/>
      </c>
      <c r="X260">
        <f>IF(AND(S260=1,K260=""),1,0)</f>
        <v/>
      </c>
      <c r="Y260">
        <f>IF(AND(S260=1,Q260&lt;&gt;""),ROUND(T260*100,0)*10000+10000-ROW(),"")</f>
        <v/>
      </c>
    </row>
    <row r="261">
      <c r="A261" s="1" t="n"/>
      <c r="B261" s="17" t="n"/>
      <c r="C261" s="18" t="n"/>
      <c r="D261" s="17" t="n"/>
      <c r="E261" s="19" t="n"/>
      <c r="F261" s="19" t="n"/>
      <c r="G261" s="20" t="n"/>
      <c r="H261" s="21" t="n"/>
      <c r="I261" s="21" t="n"/>
      <c r="J261" s="17" t="n"/>
      <c r="K261" s="19" t="n"/>
      <c r="L261" s="20" t="n"/>
      <c r="M261" s="19" t="n"/>
      <c r="N261" s="22">
        <f>IF(C261="","",IF(ISNUMBER(I261),I261,IF(ISNUMBER(H261),H261,"")))</f>
        <v/>
      </c>
      <c r="O261" s="23">
        <f>IF(OR(C261="",NOT(ISNUMBER(G261))),"",(TODAY()-INT(G261))/365.25)</f>
        <v/>
      </c>
      <c r="P261" s="13">
        <f>IF(OR(C261="",NOT(ISNUMBER(L261))),"",IF(L261&lt;TODAY(),"Ended",IF(L261-TODAY()&lt;=N(Settings!$C$10),"Ends soon","Covered")))</f>
        <v/>
      </c>
      <c r="Q261" s="13">
        <f>IF(C261="","",MID(IF(N261="",", value","")&amp;IF(OR(J261="",J261="No"),", receipt","")&amp;IF(K261="",", photo",""),3,100))</f>
        <v/>
      </c>
      <c r="R261" s="13">
        <f>IF(AND(B261="",C261=""),"",IF(C261="","Needs the item",IF(B261="","Needs a room",IF(COUNTIF(Rooms!$B$6:$B$35,B261)=0,"Not on Rooms",IF(AND(H261&lt;&gt;"",NOT(ISNUMBER(H261))),"Paid not a number",IF(AND(I261&lt;&gt;"",NOT(ISNUMBER(I261))),"Worth not a number",IF(AND(G261&lt;&gt;"",NOT(ISNUMBER(G261))),"Bought is not a date",IF(AND(L261&lt;&gt;"",NOT(ISNUMBER(L261))),"Warranty is not a date",""))))))))</f>
        <v/>
      </c>
      <c r="S261" s="1">
        <f>IF(AND(C261&lt;&gt;"",R261=""),1,0)</f>
        <v/>
      </c>
      <c r="T261">
        <f>IF(S261=1,N(N261),0)</f>
        <v/>
      </c>
      <c r="U261">
        <f>IF(AND(S261=1,T261&gt;0),ROUND(T261*100,0)*10000+10000-ROW(),"")</f>
        <v/>
      </c>
      <c r="V261">
        <f>IF(AND(S261=1,OR(Report!$C$5="",B261=Report!$C$5)),MATCH(B261,Rooms!$B$6:$B$35,0)*10000+ROW(),"")</f>
        <v/>
      </c>
      <c r="W261">
        <f>IF(AND(S261=1,OR(J261="",J261="No")),1,0)</f>
        <v/>
      </c>
      <c r="X261">
        <f>IF(AND(S261=1,K261=""),1,0)</f>
        <v/>
      </c>
      <c r="Y261">
        <f>IF(AND(S261=1,Q261&lt;&gt;""),ROUND(T261*100,0)*10000+10000-ROW(),"")</f>
        <v/>
      </c>
    </row>
    <row r="262">
      <c r="A262" s="1" t="n"/>
      <c r="B262" s="17" t="n"/>
      <c r="C262" s="18" t="n"/>
      <c r="D262" s="17" t="n"/>
      <c r="E262" s="19" t="n"/>
      <c r="F262" s="19" t="n"/>
      <c r="G262" s="20" t="n"/>
      <c r="H262" s="21" t="n"/>
      <c r="I262" s="21" t="n"/>
      <c r="J262" s="17" t="n"/>
      <c r="K262" s="19" t="n"/>
      <c r="L262" s="20" t="n"/>
      <c r="M262" s="19" t="n"/>
      <c r="N262" s="22">
        <f>IF(C262="","",IF(ISNUMBER(I262),I262,IF(ISNUMBER(H262),H262,"")))</f>
        <v/>
      </c>
      <c r="O262" s="23">
        <f>IF(OR(C262="",NOT(ISNUMBER(G262))),"",(TODAY()-INT(G262))/365.25)</f>
        <v/>
      </c>
      <c r="P262" s="13">
        <f>IF(OR(C262="",NOT(ISNUMBER(L262))),"",IF(L262&lt;TODAY(),"Ended",IF(L262-TODAY()&lt;=N(Settings!$C$10),"Ends soon","Covered")))</f>
        <v/>
      </c>
      <c r="Q262" s="13">
        <f>IF(C262="","",MID(IF(N262="",", value","")&amp;IF(OR(J262="",J262="No"),", receipt","")&amp;IF(K262="",", photo",""),3,100))</f>
        <v/>
      </c>
      <c r="R262" s="13">
        <f>IF(AND(B262="",C262=""),"",IF(C262="","Needs the item",IF(B262="","Needs a room",IF(COUNTIF(Rooms!$B$6:$B$35,B262)=0,"Not on Rooms",IF(AND(H262&lt;&gt;"",NOT(ISNUMBER(H262))),"Paid not a number",IF(AND(I262&lt;&gt;"",NOT(ISNUMBER(I262))),"Worth not a number",IF(AND(G262&lt;&gt;"",NOT(ISNUMBER(G262))),"Bought is not a date",IF(AND(L262&lt;&gt;"",NOT(ISNUMBER(L262))),"Warranty is not a date",""))))))))</f>
        <v/>
      </c>
      <c r="S262" s="1">
        <f>IF(AND(C262&lt;&gt;"",R262=""),1,0)</f>
        <v/>
      </c>
      <c r="T262">
        <f>IF(S262=1,N(N262),0)</f>
        <v/>
      </c>
      <c r="U262">
        <f>IF(AND(S262=1,T262&gt;0),ROUND(T262*100,0)*10000+10000-ROW(),"")</f>
        <v/>
      </c>
      <c r="V262">
        <f>IF(AND(S262=1,OR(Report!$C$5="",B262=Report!$C$5)),MATCH(B262,Rooms!$B$6:$B$35,0)*10000+ROW(),"")</f>
        <v/>
      </c>
      <c r="W262">
        <f>IF(AND(S262=1,OR(J262="",J262="No")),1,0)</f>
        <v/>
      </c>
      <c r="X262">
        <f>IF(AND(S262=1,K262=""),1,0)</f>
        <v/>
      </c>
      <c r="Y262">
        <f>IF(AND(S262=1,Q262&lt;&gt;""),ROUND(T262*100,0)*10000+10000-ROW(),"")</f>
        <v/>
      </c>
    </row>
    <row r="263">
      <c r="A263" s="1" t="n"/>
      <c r="B263" s="17" t="n"/>
      <c r="C263" s="18" t="n"/>
      <c r="D263" s="17" t="n"/>
      <c r="E263" s="19" t="n"/>
      <c r="F263" s="19" t="n"/>
      <c r="G263" s="20" t="n"/>
      <c r="H263" s="21" t="n"/>
      <c r="I263" s="21" t="n"/>
      <c r="J263" s="17" t="n"/>
      <c r="K263" s="19" t="n"/>
      <c r="L263" s="20" t="n"/>
      <c r="M263" s="19" t="n"/>
      <c r="N263" s="22">
        <f>IF(C263="","",IF(ISNUMBER(I263),I263,IF(ISNUMBER(H263),H263,"")))</f>
        <v/>
      </c>
      <c r="O263" s="23">
        <f>IF(OR(C263="",NOT(ISNUMBER(G263))),"",(TODAY()-INT(G263))/365.25)</f>
        <v/>
      </c>
      <c r="P263" s="13">
        <f>IF(OR(C263="",NOT(ISNUMBER(L263))),"",IF(L263&lt;TODAY(),"Ended",IF(L263-TODAY()&lt;=N(Settings!$C$10),"Ends soon","Covered")))</f>
        <v/>
      </c>
      <c r="Q263" s="13">
        <f>IF(C263="","",MID(IF(N263="",", value","")&amp;IF(OR(J263="",J263="No"),", receipt","")&amp;IF(K263="",", photo",""),3,100))</f>
        <v/>
      </c>
      <c r="R263" s="13">
        <f>IF(AND(B263="",C263=""),"",IF(C263="","Needs the item",IF(B263="","Needs a room",IF(COUNTIF(Rooms!$B$6:$B$35,B263)=0,"Not on Rooms",IF(AND(H263&lt;&gt;"",NOT(ISNUMBER(H263))),"Paid not a number",IF(AND(I263&lt;&gt;"",NOT(ISNUMBER(I263))),"Worth not a number",IF(AND(G263&lt;&gt;"",NOT(ISNUMBER(G263))),"Bought is not a date",IF(AND(L263&lt;&gt;"",NOT(ISNUMBER(L263))),"Warranty is not a date",""))))))))</f>
        <v/>
      </c>
      <c r="S263" s="1">
        <f>IF(AND(C263&lt;&gt;"",R263=""),1,0)</f>
        <v/>
      </c>
      <c r="T263">
        <f>IF(S263=1,N(N263),0)</f>
        <v/>
      </c>
      <c r="U263">
        <f>IF(AND(S263=1,T263&gt;0),ROUND(T263*100,0)*10000+10000-ROW(),"")</f>
        <v/>
      </c>
      <c r="V263">
        <f>IF(AND(S263=1,OR(Report!$C$5="",B263=Report!$C$5)),MATCH(B263,Rooms!$B$6:$B$35,0)*10000+ROW(),"")</f>
        <v/>
      </c>
      <c r="W263">
        <f>IF(AND(S263=1,OR(J263="",J263="No")),1,0)</f>
        <v/>
      </c>
      <c r="X263">
        <f>IF(AND(S263=1,K263=""),1,0)</f>
        <v/>
      </c>
      <c r="Y263">
        <f>IF(AND(S263=1,Q263&lt;&gt;""),ROUND(T263*100,0)*10000+10000-ROW(),"")</f>
        <v/>
      </c>
    </row>
    <row r="264">
      <c r="A264" s="1" t="n"/>
      <c r="B264" s="17" t="n"/>
      <c r="C264" s="18" t="n"/>
      <c r="D264" s="17" t="n"/>
      <c r="E264" s="19" t="n"/>
      <c r="F264" s="19" t="n"/>
      <c r="G264" s="20" t="n"/>
      <c r="H264" s="21" t="n"/>
      <c r="I264" s="21" t="n"/>
      <c r="J264" s="17" t="n"/>
      <c r="K264" s="19" t="n"/>
      <c r="L264" s="20" t="n"/>
      <c r="M264" s="19" t="n"/>
      <c r="N264" s="22">
        <f>IF(C264="","",IF(ISNUMBER(I264),I264,IF(ISNUMBER(H264),H264,"")))</f>
        <v/>
      </c>
      <c r="O264" s="23">
        <f>IF(OR(C264="",NOT(ISNUMBER(G264))),"",(TODAY()-INT(G264))/365.25)</f>
        <v/>
      </c>
      <c r="P264" s="13">
        <f>IF(OR(C264="",NOT(ISNUMBER(L264))),"",IF(L264&lt;TODAY(),"Ended",IF(L264-TODAY()&lt;=N(Settings!$C$10),"Ends soon","Covered")))</f>
        <v/>
      </c>
      <c r="Q264" s="13">
        <f>IF(C264="","",MID(IF(N264="",", value","")&amp;IF(OR(J264="",J264="No"),", receipt","")&amp;IF(K264="",", photo",""),3,100))</f>
        <v/>
      </c>
      <c r="R264" s="13">
        <f>IF(AND(B264="",C264=""),"",IF(C264="","Needs the item",IF(B264="","Needs a room",IF(COUNTIF(Rooms!$B$6:$B$35,B264)=0,"Not on Rooms",IF(AND(H264&lt;&gt;"",NOT(ISNUMBER(H264))),"Paid not a number",IF(AND(I264&lt;&gt;"",NOT(ISNUMBER(I264))),"Worth not a number",IF(AND(G264&lt;&gt;"",NOT(ISNUMBER(G264))),"Bought is not a date",IF(AND(L264&lt;&gt;"",NOT(ISNUMBER(L264))),"Warranty is not a date",""))))))))</f>
        <v/>
      </c>
      <c r="S264" s="1">
        <f>IF(AND(C264&lt;&gt;"",R264=""),1,0)</f>
        <v/>
      </c>
      <c r="T264">
        <f>IF(S264=1,N(N264),0)</f>
        <v/>
      </c>
      <c r="U264">
        <f>IF(AND(S264=1,T264&gt;0),ROUND(T264*100,0)*10000+10000-ROW(),"")</f>
        <v/>
      </c>
      <c r="V264">
        <f>IF(AND(S264=1,OR(Report!$C$5="",B264=Report!$C$5)),MATCH(B264,Rooms!$B$6:$B$35,0)*10000+ROW(),"")</f>
        <v/>
      </c>
      <c r="W264">
        <f>IF(AND(S264=1,OR(J264="",J264="No")),1,0)</f>
        <v/>
      </c>
      <c r="X264">
        <f>IF(AND(S264=1,K264=""),1,0)</f>
        <v/>
      </c>
      <c r="Y264">
        <f>IF(AND(S264=1,Q264&lt;&gt;""),ROUND(T264*100,0)*10000+10000-ROW(),"")</f>
        <v/>
      </c>
    </row>
    <row r="265">
      <c r="A265" s="1" t="n"/>
      <c r="B265" s="17" t="n"/>
      <c r="C265" s="18" t="n"/>
      <c r="D265" s="17" t="n"/>
      <c r="E265" s="19" t="n"/>
      <c r="F265" s="19" t="n"/>
      <c r="G265" s="20" t="n"/>
      <c r="H265" s="21" t="n"/>
      <c r="I265" s="21" t="n"/>
      <c r="J265" s="17" t="n"/>
      <c r="K265" s="19" t="n"/>
      <c r="L265" s="20" t="n"/>
      <c r="M265" s="19" t="n"/>
      <c r="N265" s="22">
        <f>IF(C265="","",IF(ISNUMBER(I265),I265,IF(ISNUMBER(H265),H265,"")))</f>
        <v/>
      </c>
      <c r="O265" s="23">
        <f>IF(OR(C265="",NOT(ISNUMBER(G265))),"",(TODAY()-INT(G265))/365.25)</f>
        <v/>
      </c>
      <c r="P265" s="13">
        <f>IF(OR(C265="",NOT(ISNUMBER(L265))),"",IF(L265&lt;TODAY(),"Ended",IF(L265-TODAY()&lt;=N(Settings!$C$10),"Ends soon","Covered")))</f>
        <v/>
      </c>
      <c r="Q265" s="13">
        <f>IF(C265="","",MID(IF(N265="",", value","")&amp;IF(OR(J265="",J265="No"),", receipt","")&amp;IF(K265="",", photo",""),3,100))</f>
        <v/>
      </c>
      <c r="R265" s="13">
        <f>IF(AND(B265="",C265=""),"",IF(C265="","Needs the item",IF(B265="","Needs a room",IF(COUNTIF(Rooms!$B$6:$B$35,B265)=0,"Not on Rooms",IF(AND(H265&lt;&gt;"",NOT(ISNUMBER(H265))),"Paid not a number",IF(AND(I265&lt;&gt;"",NOT(ISNUMBER(I265))),"Worth not a number",IF(AND(G265&lt;&gt;"",NOT(ISNUMBER(G265))),"Bought is not a date",IF(AND(L265&lt;&gt;"",NOT(ISNUMBER(L265))),"Warranty is not a date",""))))))))</f>
        <v/>
      </c>
      <c r="S265" s="1">
        <f>IF(AND(C265&lt;&gt;"",R265=""),1,0)</f>
        <v/>
      </c>
      <c r="T265">
        <f>IF(S265=1,N(N265),0)</f>
        <v/>
      </c>
      <c r="U265">
        <f>IF(AND(S265=1,T265&gt;0),ROUND(T265*100,0)*10000+10000-ROW(),"")</f>
        <v/>
      </c>
      <c r="V265">
        <f>IF(AND(S265=1,OR(Report!$C$5="",B265=Report!$C$5)),MATCH(B265,Rooms!$B$6:$B$35,0)*10000+ROW(),"")</f>
        <v/>
      </c>
      <c r="W265">
        <f>IF(AND(S265=1,OR(J265="",J265="No")),1,0)</f>
        <v/>
      </c>
      <c r="X265">
        <f>IF(AND(S265=1,K265=""),1,0)</f>
        <v/>
      </c>
      <c r="Y265">
        <f>IF(AND(S265=1,Q265&lt;&gt;""),ROUND(T265*100,0)*10000+10000-ROW(),"")</f>
        <v/>
      </c>
    </row>
    <row r="266">
      <c r="A266" s="1" t="n"/>
      <c r="B266" s="17" t="n"/>
      <c r="C266" s="18" t="n"/>
      <c r="D266" s="17" t="n"/>
      <c r="E266" s="19" t="n"/>
      <c r="F266" s="19" t="n"/>
      <c r="G266" s="20" t="n"/>
      <c r="H266" s="21" t="n"/>
      <c r="I266" s="21" t="n"/>
      <c r="J266" s="17" t="n"/>
      <c r="K266" s="19" t="n"/>
      <c r="L266" s="20" t="n"/>
      <c r="M266" s="19" t="n"/>
      <c r="N266" s="22">
        <f>IF(C266="","",IF(ISNUMBER(I266),I266,IF(ISNUMBER(H266),H266,"")))</f>
        <v/>
      </c>
      <c r="O266" s="23">
        <f>IF(OR(C266="",NOT(ISNUMBER(G266))),"",(TODAY()-INT(G266))/365.25)</f>
        <v/>
      </c>
      <c r="P266" s="13">
        <f>IF(OR(C266="",NOT(ISNUMBER(L266))),"",IF(L266&lt;TODAY(),"Ended",IF(L266-TODAY()&lt;=N(Settings!$C$10),"Ends soon","Covered")))</f>
        <v/>
      </c>
      <c r="Q266" s="13">
        <f>IF(C266="","",MID(IF(N266="",", value","")&amp;IF(OR(J266="",J266="No"),", receipt","")&amp;IF(K266="",", photo",""),3,100))</f>
        <v/>
      </c>
      <c r="R266" s="13">
        <f>IF(AND(B266="",C266=""),"",IF(C266="","Needs the item",IF(B266="","Needs a room",IF(COUNTIF(Rooms!$B$6:$B$35,B266)=0,"Not on Rooms",IF(AND(H266&lt;&gt;"",NOT(ISNUMBER(H266))),"Paid not a number",IF(AND(I266&lt;&gt;"",NOT(ISNUMBER(I266))),"Worth not a number",IF(AND(G266&lt;&gt;"",NOT(ISNUMBER(G266))),"Bought is not a date",IF(AND(L266&lt;&gt;"",NOT(ISNUMBER(L266))),"Warranty is not a date",""))))))))</f>
        <v/>
      </c>
      <c r="S266" s="1">
        <f>IF(AND(C266&lt;&gt;"",R266=""),1,0)</f>
        <v/>
      </c>
      <c r="T266">
        <f>IF(S266=1,N(N266),0)</f>
        <v/>
      </c>
      <c r="U266">
        <f>IF(AND(S266=1,T266&gt;0),ROUND(T266*100,0)*10000+10000-ROW(),"")</f>
        <v/>
      </c>
      <c r="V266">
        <f>IF(AND(S266=1,OR(Report!$C$5="",B266=Report!$C$5)),MATCH(B266,Rooms!$B$6:$B$35,0)*10000+ROW(),"")</f>
        <v/>
      </c>
      <c r="W266">
        <f>IF(AND(S266=1,OR(J266="",J266="No")),1,0)</f>
        <v/>
      </c>
      <c r="X266">
        <f>IF(AND(S266=1,K266=""),1,0)</f>
        <v/>
      </c>
      <c r="Y266">
        <f>IF(AND(S266=1,Q266&lt;&gt;""),ROUND(T266*100,0)*10000+10000-ROW(),"")</f>
        <v/>
      </c>
    </row>
    <row r="267">
      <c r="A267" s="1" t="n"/>
      <c r="B267" s="17" t="n"/>
      <c r="C267" s="18" t="n"/>
      <c r="D267" s="17" t="n"/>
      <c r="E267" s="19" t="n"/>
      <c r="F267" s="19" t="n"/>
      <c r="G267" s="20" t="n"/>
      <c r="H267" s="21" t="n"/>
      <c r="I267" s="21" t="n"/>
      <c r="J267" s="17" t="n"/>
      <c r="K267" s="19" t="n"/>
      <c r="L267" s="20" t="n"/>
      <c r="M267" s="19" t="n"/>
      <c r="N267" s="22">
        <f>IF(C267="","",IF(ISNUMBER(I267),I267,IF(ISNUMBER(H267),H267,"")))</f>
        <v/>
      </c>
      <c r="O267" s="23">
        <f>IF(OR(C267="",NOT(ISNUMBER(G267))),"",(TODAY()-INT(G267))/365.25)</f>
        <v/>
      </c>
      <c r="P267" s="13">
        <f>IF(OR(C267="",NOT(ISNUMBER(L267))),"",IF(L267&lt;TODAY(),"Ended",IF(L267-TODAY()&lt;=N(Settings!$C$10),"Ends soon","Covered")))</f>
        <v/>
      </c>
      <c r="Q267" s="13">
        <f>IF(C267="","",MID(IF(N267="",", value","")&amp;IF(OR(J267="",J267="No"),", receipt","")&amp;IF(K267="",", photo",""),3,100))</f>
        <v/>
      </c>
      <c r="R267" s="13">
        <f>IF(AND(B267="",C267=""),"",IF(C267="","Needs the item",IF(B267="","Needs a room",IF(COUNTIF(Rooms!$B$6:$B$35,B267)=0,"Not on Rooms",IF(AND(H267&lt;&gt;"",NOT(ISNUMBER(H267))),"Paid not a number",IF(AND(I267&lt;&gt;"",NOT(ISNUMBER(I267))),"Worth not a number",IF(AND(G267&lt;&gt;"",NOT(ISNUMBER(G267))),"Bought is not a date",IF(AND(L267&lt;&gt;"",NOT(ISNUMBER(L267))),"Warranty is not a date",""))))))))</f>
        <v/>
      </c>
      <c r="S267" s="1">
        <f>IF(AND(C267&lt;&gt;"",R267=""),1,0)</f>
        <v/>
      </c>
      <c r="T267">
        <f>IF(S267=1,N(N267),0)</f>
        <v/>
      </c>
      <c r="U267">
        <f>IF(AND(S267=1,T267&gt;0),ROUND(T267*100,0)*10000+10000-ROW(),"")</f>
        <v/>
      </c>
      <c r="V267">
        <f>IF(AND(S267=1,OR(Report!$C$5="",B267=Report!$C$5)),MATCH(B267,Rooms!$B$6:$B$35,0)*10000+ROW(),"")</f>
        <v/>
      </c>
      <c r="W267">
        <f>IF(AND(S267=1,OR(J267="",J267="No")),1,0)</f>
        <v/>
      </c>
      <c r="X267">
        <f>IF(AND(S267=1,K267=""),1,0)</f>
        <v/>
      </c>
      <c r="Y267">
        <f>IF(AND(S267=1,Q267&lt;&gt;""),ROUND(T267*100,0)*10000+10000-ROW(),"")</f>
        <v/>
      </c>
    </row>
    <row r="268">
      <c r="A268" s="1" t="n"/>
      <c r="B268" s="17" t="n"/>
      <c r="C268" s="18" t="n"/>
      <c r="D268" s="17" t="n"/>
      <c r="E268" s="19" t="n"/>
      <c r="F268" s="19" t="n"/>
      <c r="G268" s="20" t="n"/>
      <c r="H268" s="21" t="n"/>
      <c r="I268" s="21" t="n"/>
      <c r="J268" s="17" t="n"/>
      <c r="K268" s="19" t="n"/>
      <c r="L268" s="20" t="n"/>
      <c r="M268" s="19" t="n"/>
      <c r="N268" s="22">
        <f>IF(C268="","",IF(ISNUMBER(I268),I268,IF(ISNUMBER(H268),H268,"")))</f>
        <v/>
      </c>
      <c r="O268" s="23">
        <f>IF(OR(C268="",NOT(ISNUMBER(G268))),"",(TODAY()-INT(G268))/365.25)</f>
        <v/>
      </c>
      <c r="P268" s="13">
        <f>IF(OR(C268="",NOT(ISNUMBER(L268))),"",IF(L268&lt;TODAY(),"Ended",IF(L268-TODAY()&lt;=N(Settings!$C$10),"Ends soon","Covered")))</f>
        <v/>
      </c>
      <c r="Q268" s="13">
        <f>IF(C268="","",MID(IF(N268="",", value","")&amp;IF(OR(J268="",J268="No"),", receipt","")&amp;IF(K268="",", photo",""),3,100))</f>
        <v/>
      </c>
      <c r="R268" s="13">
        <f>IF(AND(B268="",C268=""),"",IF(C268="","Needs the item",IF(B268="","Needs a room",IF(COUNTIF(Rooms!$B$6:$B$35,B268)=0,"Not on Rooms",IF(AND(H268&lt;&gt;"",NOT(ISNUMBER(H268))),"Paid not a number",IF(AND(I268&lt;&gt;"",NOT(ISNUMBER(I268))),"Worth not a number",IF(AND(G268&lt;&gt;"",NOT(ISNUMBER(G268))),"Bought is not a date",IF(AND(L268&lt;&gt;"",NOT(ISNUMBER(L268))),"Warranty is not a date",""))))))))</f>
        <v/>
      </c>
      <c r="S268" s="1">
        <f>IF(AND(C268&lt;&gt;"",R268=""),1,0)</f>
        <v/>
      </c>
      <c r="T268">
        <f>IF(S268=1,N(N268),0)</f>
        <v/>
      </c>
      <c r="U268">
        <f>IF(AND(S268=1,T268&gt;0),ROUND(T268*100,0)*10000+10000-ROW(),"")</f>
        <v/>
      </c>
      <c r="V268">
        <f>IF(AND(S268=1,OR(Report!$C$5="",B268=Report!$C$5)),MATCH(B268,Rooms!$B$6:$B$35,0)*10000+ROW(),"")</f>
        <v/>
      </c>
      <c r="W268">
        <f>IF(AND(S268=1,OR(J268="",J268="No")),1,0)</f>
        <v/>
      </c>
      <c r="X268">
        <f>IF(AND(S268=1,K268=""),1,0)</f>
        <v/>
      </c>
      <c r="Y268">
        <f>IF(AND(S268=1,Q268&lt;&gt;""),ROUND(T268*100,0)*10000+10000-ROW(),"")</f>
        <v/>
      </c>
    </row>
    <row r="269">
      <c r="A269" s="1" t="n"/>
      <c r="B269" s="17" t="n"/>
      <c r="C269" s="18" t="n"/>
      <c r="D269" s="17" t="n"/>
      <c r="E269" s="19" t="n"/>
      <c r="F269" s="19" t="n"/>
      <c r="G269" s="20" t="n"/>
      <c r="H269" s="21" t="n"/>
      <c r="I269" s="21" t="n"/>
      <c r="J269" s="17" t="n"/>
      <c r="K269" s="19" t="n"/>
      <c r="L269" s="20" t="n"/>
      <c r="M269" s="19" t="n"/>
      <c r="N269" s="22">
        <f>IF(C269="","",IF(ISNUMBER(I269),I269,IF(ISNUMBER(H269),H269,"")))</f>
        <v/>
      </c>
      <c r="O269" s="23">
        <f>IF(OR(C269="",NOT(ISNUMBER(G269))),"",(TODAY()-INT(G269))/365.25)</f>
        <v/>
      </c>
      <c r="P269" s="13">
        <f>IF(OR(C269="",NOT(ISNUMBER(L269))),"",IF(L269&lt;TODAY(),"Ended",IF(L269-TODAY()&lt;=N(Settings!$C$10),"Ends soon","Covered")))</f>
        <v/>
      </c>
      <c r="Q269" s="13">
        <f>IF(C269="","",MID(IF(N269="",", value","")&amp;IF(OR(J269="",J269="No"),", receipt","")&amp;IF(K269="",", photo",""),3,100))</f>
        <v/>
      </c>
      <c r="R269" s="13">
        <f>IF(AND(B269="",C269=""),"",IF(C269="","Needs the item",IF(B269="","Needs a room",IF(COUNTIF(Rooms!$B$6:$B$35,B269)=0,"Not on Rooms",IF(AND(H269&lt;&gt;"",NOT(ISNUMBER(H269))),"Paid not a number",IF(AND(I269&lt;&gt;"",NOT(ISNUMBER(I269))),"Worth not a number",IF(AND(G269&lt;&gt;"",NOT(ISNUMBER(G269))),"Bought is not a date",IF(AND(L269&lt;&gt;"",NOT(ISNUMBER(L269))),"Warranty is not a date",""))))))))</f>
        <v/>
      </c>
      <c r="S269" s="1">
        <f>IF(AND(C269&lt;&gt;"",R269=""),1,0)</f>
        <v/>
      </c>
      <c r="T269">
        <f>IF(S269=1,N(N269),0)</f>
        <v/>
      </c>
      <c r="U269">
        <f>IF(AND(S269=1,T269&gt;0),ROUND(T269*100,0)*10000+10000-ROW(),"")</f>
        <v/>
      </c>
      <c r="V269">
        <f>IF(AND(S269=1,OR(Report!$C$5="",B269=Report!$C$5)),MATCH(B269,Rooms!$B$6:$B$35,0)*10000+ROW(),"")</f>
        <v/>
      </c>
      <c r="W269">
        <f>IF(AND(S269=1,OR(J269="",J269="No")),1,0)</f>
        <v/>
      </c>
      <c r="X269">
        <f>IF(AND(S269=1,K269=""),1,0)</f>
        <v/>
      </c>
      <c r="Y269">
        <f>IF(AND(S269=1,Q269&lt;&gt;""),ROUND(T269*100,0)*10000+10000-ROW(),"")</f>
        <v/>
      </c>
    </row>
    <row r="270">
      <c r="A270" s="1" t="n"/>
      <c r="B270" s="17" t="n"/>
      <c r="C270" s="18" t="n"/>
      <c r="D270" s="17" t="n"/>
      <c r="E270" s="19" t="n"/>
      <c r="F270" s="19" t="n"/>
      <c r="G270" s="20" t="n"/>
      <c r="H270" s="21" t="n"/>
      <c r="I270" s="21" t="n"/>
      <c r="J270" s="17" t="n"/>
      <c r="K270" s="19" t="n"/>
      <c r="L270" s="20" t="n"/>
      <c r="M270" s="19" t="n"/>
      <c r="N270" s="22">
        <f>IF(C270="","",IF(ISNUMBER(I270),I270,IF(ISNUMBER(H270),H270,"")))</f>
        <v/>
      </c>
      <c r="O270" s="23">
        <f>IF(OR(C270="",NOT(ISNUMBER(G270))),"",(TODAY()-INT(G270))/365.25)</f>
        <v/>
      </c>
      <c r="P270" s="13">
        <f>IF(OR(C270="",NOT(ISNUMBER(L270))),"",IF(L270&lt;TODAY(),"Ended",IF(L270-TODAY()&lt;=N(Settings!$C$10),"Ends soon","Covered")))</f>
        <v/>
      </c>
      <c r="Q270" s="13">
        <f>IF(C270="","",MID(IF(N270="",", value","")&amp;IF(OR(J270="",J270="No"),", receipt","")&amp;IF(K270="",", photo",""),3,100))</f>
        <v/>
      </c>
      <c r="R270" s="13">
        <f>IF(AND(B270="",C270=""),"",IF(C270="","Needs the item",IF(B270="","Needs a room",IF(COUNTIF(Rooms!$B$6:$B$35,B270)=0,"Not on Rooms",IF(AND(H270&lt;&gt;"",NOT(ISNUMBER(H270))),"Paid not a number",IF(AND(I270&lt;&gt;"",NOT(ISNUMBER(I270))),"Worth not a number",IF(AND(G270&lt;&gt;"",NOT(ISNUMBER(G270))),"Bought is not a date",IF(AND(L270&lt;&gt;"",NOT(ISNUMBER(L270))),"Warranty is not a date",""))))))))</f>
        <v/>
      </c>
      <c r="S270" s="1">
        <f>IF(AND(C270&lt;&gt;"",R270=""),1,0)</f>
        <v/>
      </c>
      <c r="T270">
        <f>IF(S270=1,N(N270),0)</f>
        <v/>
      </c>
      <c r="U270">
        <f>IF(AND(S270=1,T270&gt;0),ROUND(T270*100,0)*10000+10000-ROW(),"")</f>
        <v/>
      </c>
      <c r="V270">
        <f>IF(AND(S270=1,OR(Report!$C$5="",B270=Report!$C$5)),MATCH(B270,Rooms!$B$6:$B$35,0)*10000+ROW(),"")</f>
        <v/>
      </c>
      <c r="W270">
        <f>IF(AND(S270=1,OR(J270="",J270="No")),1,0)</f>
        <v/>
      </c>
      <c r="X270">
        <f>IF(AND(S270=1,K270=""),1,0)</f>
        <v/>
      </c>
      <c r="Y270">
        <f>IF(AND(S270=1,Q270&lt;&gt;""),ROUND(T270*100,0)*10000+10000-ROW(),"")</f>
        <v/>
      </c>
    </row>
    <row r="271">
      <c r="A271" s="1" t="n"/>
      <c r="B271" s="17" t="n"/>
      <c r="C271" s="18" t="n"/>
      <c r="D271" s="17" t="n"/>
      <c r="E271" s="19" t="n"/>
      <c r="F271" s="19" t="n"/>
      <c r="G271" s="20" t="n"/>
      <c r="H271" s="21" t="n"/>
      <c r="I271" s="21" t="n"/>
      <c r="J271" s="17" t="n"/>
      <c r="K271" s="19" t="n"/>
      <c r="L271" s="20" t="n"/>
      <c r="M271" s="19" t="n"/>
      <c r="N271" s="22">
        <f>IF(C271="","",IF(ISNUMBER(I271),I271,IF(ISNUMBER(H271),H271,"")))</f>
        <v/>
      </c>
      <c r="O271" s="23">
        <f>IF(OR(C271="",NOT(ISNUMBER(G271))),"",(TODAY()-INT(G271))/365.25)</f>
        <v/>
      </c>
      <c r="P271" s="13">
        <f>IF(OR(C271="",NOT(ISNUMBER(L271))),"",IF(L271&lt;TODAY(),"Ended",IF(L271-TODAY()&lt;=N(Settings!$C$10),"Ends soon","Covered")))</f>
        <v/>
      </c>
      <c r="Q271" s="13">
        <f>IF(C271="","",MID(IF(N271="",", value","")&amp;IF(OR(J271="",J271="No"),", receipt","")&amp;IF(K271="",", photo",""),3,100))</f>
        <v/>
      </c>
      <c r="R271" s="13">
        <f>IF(AND(B271="",C271=""),"",IF(C271="","Needs the item",IF(B271="","Needs a room",IF(COUNTIF(Rooms!$B$6:$B$35,B271)=0,"Not on Rooms",IF(AND(H271&lt;&gt;"",NOT(ISNUMBER(H271))),"Paid not a number",IF(AND(I271&lt;&gt;"",NOT(ISNUMBER(I271))),"Worth not a number",IF(AND(G271&lt;&gt;"",NOT(ISNUMBER(G271))),"Bought is not a date",IF(AND(L271&lt;&gt;"",NOT(ISNUMBER(L271))),"Warranty is not a date",""))))))))</f>
        <v/>
      </c>
      <c r="S271" s="1">
        <f>IF(AND(C271&lt;&gt;"",R271=""),1,0)</f>
        <v/>
      </c>
      <c r="T271">
        <f>IF(S271=1,N(N271),0)</f>
        <v/>
      </c>
      <c r="U271">
        <f>IF(AND(S271=1,T271&gt;0),ROUND(T271*100,0)*10000+10000-ROW(),"")</f>
        <v/>
      </c>
      <c r="V271">
        <f>IF(AND(S271=1,OR(Report!$C$5="",B271=Report!$C$5)),MATCH(B271,Rooms!$B$6:$B$35,0)*10000+ROW(),"")</f>
        <v/>
      </c>
      <c r="W271">
        <f>IF(AND(S271=1,OR(J271="",J271="No")),1,0)</f>
        <v/>
      </c>
      <c r="X271">
        <f>IF(AND(S271=1,K271=""),1,0)</f>
        <v/>
      </c>
      <c r="Y271">
        <f>IF(AND(S271=1,Q271&lt;&gt;""),ROUND(T271*100,0)*10000+10000-ROW(),"")</f>
        <v/>
      </c>
    </row>
    <row r="272">
      <c r="A272" s="1" t="n"/>
      <c r="B272" s="17" t="n"/>
      <c r="C272" s="18" t="n"/>
      <c r="D272" s="17" t="n"/>
      <c r="E272" s="19" t="n"/>
      <c r="F272" s="19" t="n"/>
      <c r="G272" s="20" t="n"/>
      <c r="H272" s="21" t="n"/>
      <c r="I272" s="21" t="n"/>
      <c r="J272" s="17" t="n"/>
      <c r="K272" s="19" t="n"/>
      <c r="L272" s="20" t="n"/>
      <c r="M272" s="19" t="n"/>
      <c r="N272" s="22">
        <f>IF(C272="","",IF(ISNUMBER(I272),I272,IF(ISNUMBER(H272),H272,"")))</f>
        <v/>
      </c>
      <c r="O272" s="23">
        <f>IF(OR(C272="",NOT(ISNUMBER(G272))),"",(TODAY()-INT(G272))/365.25)</f>
        <v/>
      </c>
      <c r="P272" s="13">
        <f>IF(OR(C272="",NOT(ISNUMBER(L272))),"",IF(L272&lt;TODAY(),"Ended",IF(L272-TODAY()&lt;=N(Settings!$C$10),"Ends soon","Covered")))</f>
        <v/>
      </c>
      <c r="Q272" s="13">
        <f>IF(C272="","",MID(IF(N272="",", value","")&amp;IF(OR(J272="",J272="No"),", receipt","")&amp;IF(K272="",", photo",""),3,100))</f>
        <v/>
      </c>
      <c r="R272" s="13">
        <f>IF(AND(B272="",C272=""),"",IF(C272="","Needs the item",IF(B272="","Needs a room",IF(COUNTIF(Rooms!$B$6:$B$35,B272)=0,"Not on Rooms",IF(AND(H272&lt;&gt;"",NOT(ISNUMBER(H272))),"Paid not a number",IF(AND(I272&lt;&gt;"",NOT(ISNUMBER(I272))),"Worth not a number",IF(AND(G272&lt;&gt;"",NOT(ISNUMBER(G272))),"Bought is not a date",IF(AND(L272&lt;&gt;"",NOT(ISNUMBER(L272))),"Warranty is not a date",""))))))))</f>
        <v/>
      </c>
      <c r="S272" s="1">
        <f>IF(AND(C272&lt;&gt;"",R272=""),1,0)</f>
        <v/>
      </c>
      <c r="T272">
        <f>IF(S272=1,N(N272),0)</f>
        <v/>
      </c>
      <c r="U272">
        <f>IF(AND(S272=1,T272&gt;0),ROUND(T272*100,0)*10000+10000-ROW(),"")</f>
        <v/>
      </c>
      <c r="V272">
        <f>IF(AND(S272=1,OR(Report!$C$5="",B272=Report!$C$5)),MATCH(B272,Rooms!$B$6:$B$35,0)*10000+ROW(),"")</f>
        <v/>
      </c>
      <c r="W272">
        <f>IF(AND(S272=1,OR(J272="",J272="No")),1,0)</f>
        <v/>
      </c>
      <c r="X272">
        <f>IF(AND(S272=1,K272=""),1,0)</f>
        <v/>
      </c>
      <c r="Y272">
        <f>IF(AND(S272=1,Q272&lt;&gt;""),ROUND(T272*100,0)*10000+10000-ROW(),"")</f>
        <v/>
      </c>
    </row>
    <row r="273">
      <c r="A273" s="1" t="n"/>
      <c r="B273" s="17" t="n"/>
      <c r="C273" s="18" t="n"/>
      <c r="D273" s="17" t="n"/>
      <c r="E273" s="19" t="n"/>
      <c r="F273" s="19" t="n"/>
      <c r="G273" s="20" t="n"/>
      <c r="H273" s="21" t="n"/>
      <c r="I273" s="21" t="n"/>
      <c r="J273" s="17" t="n"/>
      <c r="K273" s="19" t="n"/>
      <c r="L273" s="20" t="n"/>
      <c r="M273" s="19" t="n"/>
      <c r="N273" s="22">
        <f>IF(C273="","",IF(ISNUMBER(I273),I273,IF(ISNUMBER(H273),H273,"")))</f>
        <v/>
      </c>
      <c r="O273" s="23">
        <f>IF(OR(C273="",NOT(ISNUMBER(G273))),"",(TODAY()-INT(G273))/365.25)</f>
        <v/>
      </c>
      <c r="P273" s="13">
        <f>IF(OR(C273="",NOT(ISNUMBER(L273))),"",IF(L273&lt;TODAY(),"Ended",IF(L273-TODAY()&lt;=N(Settings!$C$10),"Ends soon","Covered")))</f>
        <v/>
      </c>
      <c r="Q273" s="13">
        <f>IF(C273="","",MID(IF(N273="",", value","")&amp;IF(OR(J273="",J273="No"),", receipt","")&amp;IF(K273="",", photo",""),3,100))</f>
        <v/>
      </c>
      <c r="R273" s="13">
        <f>IF(AND(B273="",C273=""),"",IF(C273="","Needs the item",IF(B273="","Needs a room",IF(COUNTIF(Rooms!$B$6:$B$35,B273)=0,"Not on Rooms",IF(AND(H273&lt;&gt;"",NOT(ISNUMBER(H273))),"Paid not a number",IF(AND(I273&lt;&gt;"",NOT(ISNUMBER(I273))),"Worth not a number",IF(AND(G273&lt;&gt;"",NOT(ISNUMBER(G273))),"Bought is not a date",IF(AND(L273&lt;&gt;"",NOT(ISNUMBER(L273))),"Warranty is not a date",""))))))))</f>
        <v/>
      </c>
      <c r="S273" s="1">
        <f>IF(AND(C273&lt;&gt;"",R273=""),1,0)</f>
        <v/>
      </c>
      <c r="T273">
        <f>IF(S273=1,N(N273),0)</f>
        <v/>
      </c>
      <c r="U273">
        <f>IF(AND(S273=1,T273&gt;0),ROUND(T273*100,0)*10000+10000-ROW(),"")</f>
        <v/>
      </c>
      <c r="V273">
        <f>IF(AND(S273=1,OR(Report!$C$5="",B273=Report!$C$5)),MATCH(B273,Rooms!$B$6:$B$35,0)*10000+ROW(),"")</f>
        <v/>
      </c>
      <c r="W273">
        <f>IF(AND(S273=1,OR(J273="",J273="No")),1,0)</f>
        <v/>
      </c>
      <c r="X273">
        <f>IF(AND(S273=1,K273=""),1,0)</f>
        <v/>
      </c>
      <c r="Y273">
        <f>IF(AND(S273=1,Q273&lt;&gt;""),ROUND(T273*100,0)*10000+10000-ROW(),"")</f>
        <v/>
      </c>
    </row>
    <row r="274">
      <c r="A274" s="1" t="n"/>
      <c r="B274" s="17" t="n"/>
      <c r="C274" s="18" t="n"/>
      <c r="D274" s="17" t="n"/>
      <c r="E274" s="19" t="n"/>
      <c r="F274" s="19" t="n"/>
      <c r="G274" s="20" t="n"/>
      <c r="H274" s="21" t="n"/>
      <c r="I274" s="21" t="n"/>
      <c r="J274" s="17" t="n"/>
      <c r="K274" s="19" t="n"/>
      <c r="L274" s="20" t="n"/>
      <c r="M274" s="19" t="n"/>
      <c r="N274" s="22">
        <f>IF(C274="","",IF(ISNUMBER(I274),I274,IF(ISNUMBER(H274),H274,"")))</f>
        <v/>
      </c>
      <c r="O274" s="23">
        <f>IF(OR(C274="",NOT(ISNUMBER(G274))),"",(TODAY()-INT(G274))/365.25)</f>
        <v/>
      </c>
      <c r="P274" s="13">
        <f>IF(OR(C274="",NOT(ISNUMBER(L274))),"",IF(L274&lt;TODAY(),"Ended",IF(L274-TODAY()&lt;=N(Settings!$C$10),"Ends soon","Covered")))</f>
        <v/>
      </c>
      <c r="Q274" s="13">
        <f>IF(C274="","",MID(IF(N274="",", value","")&amp;IF(OR(J274="",J274="No"),", receipt","")&amp;IF(K274="",", photo",""),3,100))</f>
        <v/>
      </c>
      <c r="R274" s="13">
        <f>IF(AND(B274="",C274=""),"",IF(C274="","Needs the item",IF(B274="","Needs a room",IF(COUNTIF(Rooms!$B$6:$B$35,B274)=0,"Not on Rooms",IF(AND(H274&lt;&gt;"",NOT(ISNUMBER(H274))),"Paid not a number",IF(AND(I274&lt;&gt;"",NOT(ISNUMBER(I274))),"Worth not a number",IF(AND(G274&lt;&gt;"",NOT(ISNUMBER(G274))),"Bought is not a date",IF(AND(L274&lt;&gt;"",NOT(ISNUMBER(L274))),"Warranty is not a date",""))))))))</f>
        <v/>
      </c>
      <c r="S274" s="1">
        <f>IF(AND(C274&lt;&gt;"",R274=""),1,0)</f>
        <v/>
      </c>
      <c r="T274">
        <f>IF(S274=1,N(N274),0)</f>
        <v/>
      </c>
      <c r="U274">
        <f>IF(AND(S274=1,T274&gt;0),ROUND(T274*100,0)*10000+10000-ROW(),"")</f>
        <v/>
      </c>
      <c r="V274">
        <f>IF(AND(S274=1,OR(Report!$C$5="",B274=Report!$C$5)),MATCH(B274,Rooms!$B$6:$B$35,0)*10000+ROW(),"")</f>
        <v/>
      </c>
      <c r="W274">
        <f>IF(AND(S274=1,OR(J274="",J274="No")),1,0)</f>
        <v/>
      </c>
      <c r="X274">
        <f>IF(AND(S274=1,K274=""),1,0)</f>
        <v/>
      </c>
      <c r="Y274">
        <f>IF(AND(S274=1,Q274&lt;&gt;""),ROUND(T274*100,0)*10000+10000-ROW(),"")</f>
        <v/>
      </c>
    </row>
    <row r="275">
      <c r="A275" s="1" t="n"/>
      <c r="B275" s="17" t="n"/>
      <c r="C275" s="18" t="n"/>
      <c r="D275" s="17" t="n"/>
      <c r="E275" s="19" t="n"/>
      <c r="F275" s="19" t="n"/>
      <c r="G275" s="20" t="n"/>
      <c r="H275" s="21" t="n"/>
      <c r="I275" s="21" t="n"/>
      <c r="J275" s="17" t="n"/>
      <c r="K275" s="19" t="n"/>
      <c r="L275" s="20" t="n"/>
      <c r="M275" s="19" t="n"/>
      <c r="N275" s="22">
        <f>IF(C275="","",IF(ISNUMBER(I275),I275,IF(ISNUMBER(H275),H275,"")))</f>
        <v/>
      </c>
      <c r="O275" s="23">
        <f>IF(OR(C275="",NOT(ISNUMBER(G275))),"",(TODAY()-INT(G275))/365.25)</f>
        <v/>
      </c>
      <c r="P275" s="13">
        <f>IF(OR(C275="",NOT(ISNUMBER(L275))),"",IF(L275&lt;TODAY(),"Ended",IF(L275-TODAY()&lt;=N(Settings!$C$10),"Ends soon","Covered")))</f>
        <v/>
      </c>
      <c r="Q275" s="13">
        <f>IF(C275="","",MID(IF(N275="",", value","")&amp;IF(OR(J275="",J275="No"),", receipt","")&amp;IF(K275="",", photo",""),3,100))</f>
        <v/>
      </c>
      <c r="R275" s="13">
        <f>IF(AND(B275="",C275=""),"",IF(C275="","Needs the item",IF(B275="","Needs a room",IF(COUNTIF(Rooms!$B$6:$B$35,B275)=0,"Not on Rooms",IF(AND(H275&lt;&gt;"",NOT(ISNUMBER(H275))),"Paid not a number",IF(AND(I275&lt;&gt;"",NOT(ISNUMBER(I275))),"Worth not a number",IF(AND(G275&lt;&gt;"",NOT(ISNUMBER(G275))),"Bought is not a date",IF(AND(L275&lt;&gt;"",NOT(ISNUMBER(L275))),"Warranty is not a date",""))))))))</f>
        <v/>
      </c>
      <c r="S275" s="1">
        <f>IF(AND(C275&lt;&gt;"",R275=""),1,0)</f>
        <v/>
      </c>
      <c r="T275">
        <f>IF(S275=1,N(N275),0)</f>
        <v/>
      </c>
      <c r="U275">
        <f>IF(AND(S275=1,T275&gt;0),ROUND(T275*100,0)*10000+10000-ROW(),"")</f>
        <v/>
      </c>
      <c r="V275">
        <f>IF(AND(S275=1,OR(Report!$C$5="",B275=Report!$C$5)),MATCH(B275,Rooms!$B$6:$B$35,0)*10000+ROW(),"")</f>
        <v/>
      </c>
      <c r="W275">
        <f>IF(AND(S275=1,OR(J275="",J275="No")),1,0)</f>
        <v/>
      </c>
      <c r="X275">
        <f>IF(AND(S275=1,K275=""),1,0)</f>
        <v/>
      </c>
      <c r="Y275">
        <f>IF(AND(S275=1,Q275&lt;&gt;""),ROUND(T275*100,0)*10000+10000-ROW(),"")</f>
        <v/>
      </c>
    </row>
    <row r="276">
      <c r="A276" s="1" t="n"/>
      <c r="B276" s="17" t="n"/>
      <c r="C276" s="18" t="n"/>
      <c r="D276" s="17" t="n"/>
      <c r="E276" s="19" t="n"/>
      <c r="F276" s="19" t="n"/>
      <c r="G276" s="20" t="n"/>
      <c r="H276" s="21" t="n"/>
      <c r="I276" s="21" t="n"/>
      <c r="J276" s="17" t="n"/>
      <c r="K276" s="19" t="n"/>
      <c r="L276" s="20" t="n"/>
      <c r="M276" s="19" t="n"/>
      <c r="N276" s="22">
        <f>IF(C276="","",IF(ISNUMBER(I276),I276,IF(ISNUMBER(H276),H276,"")))</f>
        <v/>
      </c>
      <c r="O276" s="23">
        <f>IF(OR(C276="",NOT(ISNUMBER(G276))),"",(TODAY()-INT(G276))/365.25)</f>
        <v/>
      </c>
      <c r="P276" s="13">
        <f>IF(OR(C276="",NOT(ISNUMBER(L276))),"",IF(L276&lt;TODAY(),"Ended",IF(L276-TODAY()&lt;=N(Settings!$C$10),"Ends soon","Covered")))</f>
        <v/>
      </c>
      <c r="Q276" s="13">
        <f>IF(C276="","",MID(IF(N276="",", value","")&amp;IF(OR(J276="",J276="No"),", receipt","")&amp;IF(K276="",", photo",""),3,100))</f>
        <v/>
      </c>
      <c r="R276" s="13">
        <f>IF(AND(B276="",C276=""),"",IF(C276="","Needs the item",IF(B276="","Needs a room",IF(COUNTIF(Rooms!$B$6:$B$35,B276)=0,"Not on Rooms",IF(AND(H276&lt;&gt;"",NOT(ISNUMBER(H276))),"Paid not a number",IF(AND(I276&lt;&gt;"",NOT(ISNUMBER(I276))),"Worth not a number",IF(AND(G276&lt;&gt;"",NOT(ISNUMBER(G276))),"Bought is not a date",IF(AND(L276&lt;&gt;"",NOT(ISNUMBER(L276))),"Warranty is not a date",""))))))))</f>
        <v/>
      </c>
      <c r="S276" s="1">
        <f>IF(AND(C276&lt;&gt;"",R276=""),1,0)</f>
        <v/>
      </c>
      <c r="T276">
        <f>IF(S276=1,N(N276),0)</f>
        <v/>
      </c>
      <c r="U276">
        <f>IF(AND(S276=1,T276&gt;0),ROUND(T276*100,0)*10000+10000-ROW(),"")</f>
        <v/>
      </c>
      <c r="V276">
        <f>IF(AND(S276=1,OR(Report!$C$5="",B276=Report!$C$5)),MATCH(B276,Rooms!$B$6:$B$35,0)*10000+ROW(),"")</f>
        <v/>
      </c>
      <c r="W276">
        <f>IF(AND(S276=1,OR(J276="",J276="No")),1,0)</f>
        <v/>
      </c>
      <c r="X276">
        <f>IF(AND(S276=1,K276=""),1,0)</f>
        <v/>
      </c>
      <c r="Y276">
        <f>IF(AND(S276=1,Q276&lt;&gt;""),ROUND(T276*100,0)*10000+10000-ROW(),"")</f>
        <v/>
      </c>
    </row>
    <row r="277">
      <c r="A277" s="1" t="n"/>
      <c r="B277" s="17" t="n"/>
      <c r="C277" s="18" t="n"/>
      <c r="D277" s="17" t="n"/>
      <c r="E277" s="19" t="n"/>
      <c r="F277" s="19" t="n"/>
      <c r="G277" s="20" t="n"/>
      <c r="H277" s="21" t="n"/>
      <c r="I277" s="21" t="n"/>
      <c r="J277" s="17" t="n"/>
      <c r="K277" s="19" t="n"/>
      <c r="L277" s="20" t="n"/>
      <c r="M277" s="19" t="n"/>
      <c r="N277" s="22">
        <f>IF(C277="","",IF(ISNUMBER(I277),I277,IF(ISNUMBER(H277),H277,"")))</f>
        <v/>
      </c>
      <c r="O277" s="23">
        <f>IF(OR(C277="",NOT(ISNUMBER(G277))),"",(TODAY()-INT(G277))/365.25)</f>
        <v/>
      </c>
      <c r="P277" s="13">
        <f>IF(OR(C277="",NOT(ISNUMBER(L277))),"",IF(L277&lt;TODAY(),"Ended",IF(L277-TODAY()&lt;=N(Settings!$C$10),"Ends soon","Covered")))</f>
        <v/>
      </c>
      <c r="Q277" s="13">
        <f>IF(C277="","",MID(IF(N277="",", value","")&amp;IF(OR(J277="",J277="No"),", receipt","")&amp;IF(K277="",", photo",""),3,100))</f>
        <v/>
      </c>
      <c r="R277" s="13">
        <f>IF(AND(B277="",C277=""),"",IF(C277="","Needs the item",IF(B277="","Needs a room",IF(COUNTIF(Rooms!$B$6:$B$35,B277)=0,"Not on Rooms",IF(AND(H277&lt;&gt;"",NOT(ISNUMBER(H277))),"Paid not a number",IF(AND(I277&lt;&gt;"",NOT(ISNUMBER(I277))),"Worth not a number",IF(AND(G277&lt;&gt;"",NOT(ISNUMBER(G277))),"Bought is not a date",IF(AND(L277&lt;&gt;"",NOT(ISNUMBER(L277))),"Warranty is not a date",""))))))))</f>
        <v/>
      </c>
      <c r="S277" s="1">
        <f>IF(AND(C277&lt;&gt;"",R277=""),1,0)</f>
        <v/>
      </c>
      <c r="T277">
        <f>IF(S277=1,N(N277),0)</f>
        <v/>
      </c>
      <c r="U277">
        <f>IF(AND(S277=1,T277&gt;0),ROUND(T277*100,0)*10000+10000-ROW(),"")</f>
        <v/>
      </c>
      <c r="V277">
        <f>IF(AND(S277=1,OR(Report!$C$5="",B277=Report!$C$5)),MATCH(B277,Rooms!$B$6:$B$35,0)*10000+ROW(),"")</f>
        <v/>
      </c>
      <c r="W277">
        <f>IF(AND(S277=1,OR(J277="",J277="No")),1,0)</f>
        <v/>
      </c>
      <c r="X277">
        <f>IF(AND(S277=1,K277=""),1,0)</f>
        <v/>
      </c>
      <c r="Y277">
        <f>IF(AND(S277=1,Q277&lt;&gt;""),ROUND(T277*100,0)*10000+10000-ROW(),"")</f>
        <v/>
      </c>
    </row>
    <row r="278">
      <c r="A278" s="1" t="n"/>
      <c r="B278" s="17" t="n"/>
      <c r="C278" s="18" t="n"/>
      <c r="D278" s="17" t="n"/>
      <c r="E278" s="19" t="n"/>
      <c r="F278" s="19" t="n"/>
      <c r="G278" s="20" t="n"/>
      <c r="H278" s="21" t="n"/>
      <c r="I278" s="21" t="n"/>
      <c r="J278" s="17" t="n"/>
      <c r="K278" s="19" t="n"/>
      <c r="L278" s="20" t="n"/>
      <c r="M278" s="19" t="n"/>
      <c r="N278" s="22">
        <f>IF(C278="","",IF(ISNUMBER(I278),I278,IF(ISNUMBER(H278),H278,"")))</f>
        <v/>
      </c>
      <c r="O278" s="23">
        <f>IF(OR(C278="",NOT(ISNUMBER(G278))),"",(TODAY()-INT(G278))/365.25)</f>
        <v/>
      </c>
      <c r="P278" s="13">
        <f>IF(OR(C278="",NOT(ISNUMBER(L278))),"",IF(L278&lt;TODAY(),"Ended",IF(L278-TODAY()&lt;=N(Settings!$C$10),"Ends soon","Covered")))</f>
        <v/>
      </c>
      <c r="Q278" s="13">
        <f>IF(C278="","",MID(IF(N278="",", value","")&amp;IF(OR(J278="",J278="No"),", receipt","")&amp;IF(K278="",", photo",""),3,100))</f>
        <v/>
      </c>
      <c r="R278" s="13">
        <f>IF(AND(B278="",C278=""),"",IF(C278="","Needs the item",IF(B278="","Needs a room",IF(COUNTIF(Rooms!$B$6:$B$35,B278)=0,"Not on Rooms",IF(AND(H278&lt;&gt;"",NOT(ISNUMBER(H278))),"Paid not a number",IF(AND(I278&lt;&gt;"",NOT(ISNUMBER(I278))),"Worth not a number",IF(AND(G278&lt;&gt;"",NOT(ISNUMBER(G278))),"Bought is not a date",IF(AND(L278&lt;&gt;"",NOT(ISNUMBER(L278))),"Warranty is not a date",""))))))))</f>
        <v/>
      </c>
      <c r="S278" s="1">
        <f>IF(AND(C278&lt;&gt;"",R278=""),1,0)</f>
        <v/>
      </c>
      <c r="T278">
        <f>IF(S278=1,N(N278),0)</f>
        <v/>
      </c>
      <c r="U278">
        <f>IF(AND(S278=1,T278&gt;0),ROUND(T278*100,0)*10000+10000-ROW(),"")</f>
        <v/>
      </c>
      <c r="V278">
        <f>IF(AND(S278=1,OR(Report!$C$5="",B278=Report!$C$5)),MATCH(B278,Rooms!$B$6:$B$35,0)*10000+ROW(),"")</f>
        <v/>
      </c>
      <c r="W278">
        <f>IF(AND(S278=1,OR(J278="",J278="No")),1,0)</f>
        <v/>
      </c>
      <c r="X278">
        <f>IF(AND(S278=1,K278=""),1,0)</f>
        <v/>
      </c>
      <c r="Y278">
        <f>IF(AND(S278=1,Q278&lt;&gt;""),ROUND(T278*100,0)*10000+10000-ROW(),"")</f>
        <v/>
      </c>
    </row>
    <row r="279">
      <c r="A279" s="1" t="n"/>
      <c r="B279" s="17" t="n"/>
      <c r="C279" s="18" t="n"/>
      <c r="D279" s="17" t="n"/>
      <c r="E279" s="19" t="n"/>
      <c r="F279" s="19" t="n"/>
      <c r="G279" s="20" t="n"/>
      <c r="H279" s="21" t="n"/>
      <c r="I279" s="21" t="n"/>
      <c r="J279" s="17" t="n"/>
      <c r="K279" s="19" t="n"/>
      <c r="L279" s="20" t="n"/>
      <c r="M279" s="19" t="n"/>
      <c r="N279" s="22">
        <f>IF(C279="","",IF(ISNUMBER(I279),I279,IF(ISNUMBER(H279),H279,"")))</f>
        <v/>
      </c>
      <c r="O279" s="23">
        <f>IF(OR(C279="",NOT(ISNUMBER(G279))),"",(TODAY()-INT(G279))/365.25)</f>
        <v/>
      </c>
      <c r="P279" s="13">
        <f>IF(OR(C279="",NOT(ISNUMBER(L279))),"",IF(L279&lt;TODAY(),"Ended",IF(L279-TODAY()&lt;=N(Settings!$C$10),"Ends soon","Covered")))</f>
        <v/>
      </c>
      <c r="Q279" s="13">
        <f>IF(C279="","",MID(IF(N279="",", value","")&amp;IF(OR(J279="",J279="No"),", receipt","")&amp;IF(K279="",", photo",""),3,100))</f>
        <v/>
      </c>
      <c r="R279" s="13">
        <f>IF(AND(B279="",C279=""),"",IF(C279="","Needs the item",IF(B279="","Needs a room",IF(COUNTIF(Rooms!$B$6:$B$35,B279)=0,"Not on Rooms",IF(AND(H279&lt;&gt;"",NOT(ISNUMBER(H279))),"Paid not a number",IF(AND(I279&lt;&gt;"",NOT(ISNUMBER(I279))),"Worth not a number",IF(AND(G279&lt;&gt;"",NOT(ISNUMBER(G279))),"Bought is not a date",IF(AND(L279&lt;&gt;"",NOT(ISNUMBER(L279))),"Warranty is not a date",""))))))))</f>
        <v/>
      </c>
      <c r="S279" s="1">
        <f>IF(AND(C279&lt;&gt;"",R279=""),1,0)</f>
        <v/>
      </c>
      <c r="T279">
        <f>IF(S279=1,N(N279),0)</f>
        <v/>
      </c>
      <c r="U279">
        <f>IF(AND(S279=1,T279&gt;0),ROUND(T279*100,0)*10000+10000-ROW(),"")</f>
        <v/>
      </c>
      <c r="V279">
        <f>IF(AND(S279=1,OR(Report!$C$5="",B279=Report!$C$5)),MATCH(B279,Rooms!$B$6:$B$35,0)*10000+ROW(),"")</f>
        <v/>
      </c>
      <c r="W279">
        <f>IF(AND(S279=1,OR(J279="",J279="No")),1,0)</f>
        <v/>
      </c>
      <c r="X279">
        <f>IF(AND(S279=1,K279=""),1,0)</f>
        <v/>
      </c>
      <c r="Y279">
        <f>IF(AND(S279=1,Q279&lt;&gt;""),ROUND(T279*100,0)*10000+10000-ROW(),"")</f>
        <v/>
      </c>
    </row>
    <row r="280">
      <c r="A280" s="1" t="n"/>
      <c r="B280" s="17" t="n"/>
      <c r="C280" s="18" t="n"/>
      <c r="D280" s="17" t="n"/>
      <c r="E280" s="19" t="n"/>
      <c r="F280" s="19" t="n"/>
      <c r="G280" s="20" t="n"/>
      <c r="H280" s="21" t="n"/>
      <c r="I280" s="21" t="n"/>
      <c r="J280" s="17" t="n"/>
      <c r="K280" s="19" t="n"/>
      <c r="L280" s="20" t="n"/>
      <c r="M280" s="19" t="n"/>
      <c r="N280" s="22">
        <f>IF(C280="","",IF(ISNUMBER(I280),I280,IF(ISNUMBER(H280),H280,"")))</f>
        <v/>
      </c>
      <c r="O280" s="23">
        <f>IF(OR(C280="",NOT(ISNUMBER(G280))),"",(TODAY()-INT(G280))/365.25)</f>
        <v/>
      </c>
      <c r="P280" s="13">
        <f>IF(OR(C280="",NOT(ISNUMBER(L280))),"",IF(L280&lt;TODAY(),"Ended",IF(L280-TODAY()&lt;=N(Settings!$C$10),"Ends soon","Covered")))</f>
        <v/>
      </c>
      <c r="Q280" s="13">
        <f>IF(C280="","",MID(IF(N280="",", value","")&amp;IF(OR(J280="",J280="No"),", receipt","")&amp;IF(K280="",", photo",""),3,100))</f>
        <v/>
      </c>
      <c r="R280" s="13">
        <f>IF(AND(B280="",C280=""),"",IF(C280="","Needs the item",IF(B280="","Needs a room",IF(COUNTIF(Rooms!$B$6:$B$35,B280)=0,"Not on Rooms",IF(AND(H280&lt;&gt;"",NOT(ISNUMBER(H280))),"Paid not a number",IF(AND(I280&lt;&gt;"",NOT(ISNUMBER(I280))),"Worth not a number",IF(AND(G280&lt;&gt;"",NOT(ISNUMBER(G280))),"Bought is not a date",IF(AND(L280&lt;&gt;"",NOT(ISNUMBER(L280))),"Warranty is not a date",""))))))))</f>
        <v/>
      </c>
      <c r="S280" s="1">
        <f>IF(AND(C280&lt;&gt;"",R280=""),1,0)</f>
        <v/>
      </c>
      <c r="T280">
        <f>IF(S280=1,N(N280),0)</f>
        <v/>
      </c>
      <c r="U280">
        <f>IF(AND(S280=1,T280&gt;0),ROUND(T280*100,0)*10000+10000-ROW(),"")</f>
        <v/>
      </c>
      <c r="V280">
        <f>IF(AND(S280=1,OR(Report!$C$5="",B280=Report!$C$5)),MATCH(B280,Rooms!$B$6:$B$35,0)*10000+ROW(),"")</f>
        <v/>
      </c>
      <c r="W280">
        <f>IF(AND(S280=1,OR(J280="",J280="No")),1,0)</f>
        <v/>
      </c>
      <c r="X280">
        <f>IF(AND(S280=1,K280=""),1,0)</f>
        <v/>
      </c>
      <c r="Y280">
        <f>IF(AND(S280=1,Q280&lt;&gt;""),ROUND(T280*100,0)*10000+10000-ROW(),"")</f>
        <v/>
      </c>
    </row>
    <row r="281">
      <c r="A281" s="1" t="n"/>
      <c r="B281" s="17" t="n"/>
      <c r="C281" s="18" t="n"/>
      <c r="D281" s="17" t="n"/>
      <c r="E281" s="19" t="n"/>
      <c r="F281" s="19" t="n"/>
      <c r="G281" s="20" t="n"/>
      <c r="H281" s="21" t="n"/>
      <c r="I281" s="21" t="n"/>
      <c r="J281" s="17" t="n"/>
      <c r="K281" s="19" t="n"/>
      <c r="L281" s="20" t="n"/>
      <c r="M281" s="19" t="n"/>
      <c r="N281" s="22">
        <f>IF(C281="","",IF(ISNUMBER(I281),I281,IF(ISNUMBER(H281),H281,"")))</f>
        <v/>
      </c>
      <c r="O281" s="23">
        <f>IF(OR(C281="",NOT(ISNUMBER(G281))),"",(TODAY()-INT(G281))/365.25)</f>
        <v/>
      </c>
      <c r="P281" s="13">
        <f>IF(OR(C281="",NOT(ISNUMBER(L281))),"",IF(L281&lt;TODAY(),"Ended",IF(L281-TODAY()&lt;=N(Settings!$C$10),"Ends soon","Covered")))</f>
        <v/>
      </c>
      <c r="Q281" s="13">
        <f>IF(C281="","",MID(IF(N281="",", value","")&amp;IF(OR(J281="",J281="No"),", receipt","")&amp;IF(K281="",", photo",""),3,100))</f>
        <v/>
      </c>
      <c r="R281" s="13">
        <f>IF(AND(B281="",C281=""),"",IF(C281="","Needs the item",IF(B281="","Needs a room",IF(COUNTIF(Rooms!$B$6:$B$35,B281)=0,"Not on Rooms",IF(AND(H281&lt;&gt;"",NOT(ISNUMBER(H281))),"Paid not a number",IF(AND(I281&lt;&gt;"",NOT(ISNUMBER(I281))),"Worth not a number",IF(AND(G281&lt;&gt;"",NOT(ISNUMBER(G281))),"Bought is not a date",IF(AND(L281&lt;&gt;"",NOT(ISNUMBER(L281))),"Warranty is not a date",""))))))))</f>
        <v/>
      </c>
      <c r="S281" s="1">
        <f>IF(AND(C281&lt;&gt;"",R281=""),1,0)</f>
        <v/>
      </c>
      <c r="T281">
        <f>IF(S281=1,N(N281),0)</f>
        <v/>
      </c>
      <c r="U281">
        <f>IF(AND(S281=1,T281&gt;0),ROUND(T281*100,0)*10000+10000-ROW(),"")</f>
        <v/>
      </c>
      <c r="V281">
        <f>IF(AND(S281=1,OR(Report!$C$5="",B281=Report!$C$5)),MATCH(B281,Rooms!$B$6:$B$35,0)*10000+ROW(),"")</f>
        <v/>
      </c>
      <c r="W281">
        <f>IF(AND(S281=1,OR(J281="",J281="No")),1,0)</f>
        <v/>
      </c>
      <c r="X281">
        <f>IF(AND(S281=1,K281=""),1,0)</f>
        <v/>
      </c>
      <c r="Y281">
        <f>IF(AND(S281=1,Q281&lt;&gt;""),ROUND(T281*100,0)*10000+10000-ROW(),"")</f>
        <v/>
      </c>
    </row>
    <row r="282">
      <c r="A282" s="1" t="n"/>
      <c r="B282" s="17" t="n"/>
      <c r="C282" s="18" t="n"/>
      <c r="D282" s="17" t="n"/>
      <c r="E282" s="19" t="n"/>
      <c r="F282" s="19" t="n"/>
      <c r="G282" s="20" t="n"/>
      <c r="H282" s="21" t="n"/>
      <c r="I282" s="21" t="n"/>
      <c r="J282" s="17" t="n"/>
      <c r="K282" s="19" t="n"/>
      <c r="L282" s="20" t="n"/>
      <c r="M282" s="19" t="n"/>
      <c r="N282" s="22">
        <f>IF(C282="","",IF(ISNUMBER(I282),I282,IF(ISNUMBER(H282),H282,"")))</f>
        <v/>
      </c>
      <c r="O282" s="23">
        <f>IF(OR(C282="",NOT(ISNUMBER(G282))),"",(TODAY()-INT(G282))/365.25)</f>
        <v/>
      </c>
      <c r="P282" s="13">
        <f>IF(OR(C282="",NOT(ISNUMBER(L282))),"",IF(L282&lt;TODAY(),"Ended",IF(L282-TODAY()&lt;=N(Settings!$C$10),"Ends soon","Covered")))</f>
        <v/>
      </c>
      <c r="Q282" s="13">
        <f>IF(C282="","",MID(IF(N282="",", value","")&amp;IF(OR(J282="",J282="No"),", receipt","")&amp;IF(K282="",", photo",""),3,100))</f>
        <v/>
      </c>
      <c r="R282" s="13">
        <f>IF(AND(B282="",C282=""),"",IF(C282="","Needs the item",IF(B282="","Needs a room",IF(COUNTIF(Rooms!$B$6:$B$35,B282)=0,"Not on Rooms",IF(AND(H282&lt;&gt;"",NOT(ISNUMBER(H282))),"Paid not a number",IF(AND(I282&lt;&gt;"",NOT(ISNUMBER(I282))),"Worth not a number",IF(AND(G282&lt;&gt;"",NOT(ISNUMBER(G282))),"Bought is not a date",IF(AND(L282&lt;&gt;"",NOT(ISNUMBER(L282))),"Warranty is not a date",""))))))))</f>
        <v/>
      </c>
      <c r="S282" s="1">
        <f>IF(AND(C282&lt;&gt;"",R282=""),1,0)</f>
        <v/>
      </c>
      <c r="T282">
        <f>IF(S282=1,N(N282),0)</f>
        <v/>
      </c>
      <c r="U282">
        <f>IF(AND(S282=1,T282&gt;0),ROUND(T282*100,0)*10000+10000-ROW(),"")</f>
        <v/>
      </c>
      <c r="V282">
        <f>IF(AND(S282=1,OR(Report!$C$5="",B282=Report!$C$5)),MATCH(B282,Rooms!$B$6:$B$35,0)*10000+ROW(),"")</f>
        <v/>
      </c>
      <c r="W282">
        <f>IF(AND(S282=1,OR(J282="",J282="No")),1,0)</f>
        <v/>
      </c>
      <c r="X282">
        <f>IF(AND(S282=1,K282=""),1,0)</f>
        <v/>
      </c>
      <c r="Y282">
        <f>IF(AND(S282=1,Q282&lt;&gt;""),ROUND(T282*100,0)*10000+10000-ROW(),"")</f>
        <v/>
      </c>
    </row>
    <row r="283">
      <c r="A283" s="1" t="n"/>
      <c r="B283" s="17" t="n"/>
      <c r="C283" s="18" t="n"/>
      <c r="D283" s="17" t="n"/>
      <c r="E283" s="19" t="n"/>
      <c r="F283" s="19" t="n"/>
      <c r="G283" s="20" t="n"/>
      <c r="H283" s="21" t="n"/>
      <c r="I283" s="21" t="n"/>
      <c r="J283" s="17" t="n"/>
      <c r="K283" s="19" t="n"/>
      <c r="L283" s="20" t="n"/>
      <c r="M283" s="19" t="n"/>
      <c r="N283" s="22">
        <f>IF(C283="","",IF(ISNUMBER(I283),I283,IF(ISNUMBER(H283),H283,"")))</f>
        <v/>
      </c>
      <c r="O283" s="23">
        <f>IF(OR(C283="",NOT(ISNUMBER(G283))),"",(TODAY()-INT(G283))/365.25)</f>
        <v/>
      </c>
      <c r="P283" s="13">
        <f>IF(OR(C283="",NOT(ISNUMBER(L283))),"",IF(L283&lt;TODAY(),"Ended",IF(L283-TODAY()&lt;=N(Settings!$C$10),"Ends soon","Covered")))</f>
        <v/>
      </c>
      <c r="Q283" s="13">
        <f>IF(C283="","",MID(IF(N283="",", value","")&amp;IF(OR(J283="",J283="No"),", receipt","")&amp;IF(K283="",", photo",""),3,100))</f>
        <v/>
      </c>
      <c r="R283" s="13">
        <f>IF(AND(B283="",C283=""),"",IF(C283="","Needs the item",IF(B283="","Needs a room",IF(COUNTIF(Rooms!$B$6:$B$35,B283)=0,"Not on Rooms",IF(AND(H283&lt;&gt;"",NOT(ISNUMBER(H283))),"Paid not a number",IF(AND(I283&lt;&gt;"",NOT(ISNUMBER(I283))),"Worth not a number",IF(AND(G283&lt;&gt;"",NOT(ISNUMBER(G283))),"Bought is not a date",IF(AND(L283&lt;&gt;"",NOT(ISNUMBER(L283))),"Warranty is not a date",""))))))))</f>
        <v/>
      </c>
      <c r="S283" s="1">
        <f>IF(AND(C283&lt;&gt;"",R283=""),1,0)</f>
        <v/>
      </c>
      <c r="T283">
        <f>IF(S283=1,N(N283),0)</f>
        <v/>
      </c>
      <c r="U283">
        <f>IF(AND(S283=1,T283&gt;0),ROUND(T283*100,0)*10000+10000-ROW(),"")</f>
        <v/>
      </c>
      <c r="V283">
        <f>IF(AND(S283=1,OR(Report!$C$5="",B283=Report!$C$5)),MATCH(B283,Rooms!$B$6:$B$35,0)*10000+ROW(),"")</f>
        <v/>
      </c>
      <c r="W283">
        <f>IF(AND(S283=1,OR(J283="",J283="No")),1,0)</f>
        <v/>
      </c>
      <c r="X283">
        <f>IF(AND(S283=1,K283=""),1,0)</f>
        <v/>
      </c>
      <c r="Y283">
        <f>IF(AND(S283=1,Q283&lt;&gt;""),ROUND(T283*100,0)*10000+10000-ROW(),"")</f>
        <v/>
      </c>
    </row>
    <row r="284">
      <c r="A284" s="1" t="n"/>
      <c r="B284" s="17" t="n"/>
      <c r="C284" s="18" t="n"/>
      <c r="D284" s="17" t="n"/>
      <c r="E284" s="19" t="n"/>
      <c r="F284" s="19" t="n"/>
      <c r="G284" s="20" t="n"/>
      <c r="H284" s="21" t="n"/>
      <c r="I284" s="21" t="n"/>
      <c r="J284" s="17" t="n"/>
      <c r="K284" s="19" t="n"/>
      <c r="L284" s="20" t="n"/>
      <c r="M284" s="19" t="n"/>
      <c r="N284" s="22">
        <f>IF(C284="","",IF(ISNUMBER(I284),I284,IF(ISNUMBER(H284),H284,"")))</f>
        <v/>
      </c>
      <c r="O284" s="23">
        <f>IF(OR(C284="",NOT(ISNUMBER(G284))),"",(TODAY()-INT(G284))/365.25)</f>
        <v/>
      </c>
      <c r="P284" s="13">
        <f>IF(OR(C284="",NOT(ISNUMBER(L284))),"",IF(L284&lt;TODAY(),"Ended",IF(L284-TODAY()&lt;=N(Settings!$C$10),"Ends soon","Covered")))</f>
        <v/>
      </c>
      <c r="Q284" s="13">
        <f>IF(C284="","",MID(IF(N284="",", value","")&amp;IF(OR(J284="",J284="No"),", receipt","")&amp;IF(K284="",", photo",""),3,100))</f>
        <v/>
      </c>
      <c r="R284" s="13">
        <f>IF(AND(B284="",C284=""),"",IF(C284="","Needs the item",IF(B284="","Needs a room",IF(COUNTIF(Rooms!$B$6:$B$35,B284)=0,"Not on Rooms",IF(AND(H284&lt;&gt;"",NOT(ISNUMBER(H284))),"Paid not a number",IF(AND(I284&lt;&gt;"",NOT(ISNUMBER(I284))),"Worth not a number",IF(AND(G284&lt;&gt;"",NOT(ISNUMBER(G284))),"Bought is not a date",IF(AND(L284&lt;&gt;"",NOT(ISNUMBER(L284))),"Warranty is not a date",""))))))))</f>
        <v/>
      </c>
      <c r="S284" s="1">
        <f>IF(AND(C284&lt;&gt;"",R284=""),1,0)</f>
        <v/>
      </c>
      <c r="T284">
        <f>IF(S284=1,N(N284),0)</f>
        <v/>
      </c>
      <c r="U284">
        <f>IF(AND(S284=1,T284&gt;0),ROUND(T284*100,0)*10000+10000-ROW(),"")</f>
        <v/>
      </c>
      <c r="V284">
        <f>IF(AND(S284=1,OR(Report!$C$5="",B284=Report!$C$5)),MATCH(B284,Rooms!$B$6:$B$35,0)*10000+ROW(),"")</f>
        <v/>
      </c>
      <c r="W284">
        <f>IF(AND(S284=1,OR(J284="",J284="No")),1,0)</f>
        <v/>
      </c>
      <c r="X284">
        <f>IF(AND(S284=1,K284=""),1,0)</f>
        <v/>
      </c>
      <c r="Y284">
        <f>IF(AND(S284=1,Q284&lt;&gt;""),ROUND(T284*100,0)*10000+10000-ROW(),"")</f>
        <v/>
      </c>
    </row>
    <row r="285">
      <c r="A285" s="1" t="n"/>
      <c r="B285" s="17" t="n"/>
      <c r="C285" s="18" t="n"/>
      <c r="D285" s="17" t="n"/>
      <c r="E285" s="19" t="n"/>
      <c r="F285" s="19" t="n"/>
      <c r="G285" s="20" t="n"/>
      <c r="H285" s="21" t="n"/>
      <c r="I285" s="21" t="n"/>
      <c r="J285" s="17" t="n"/>
      <c r="K285" s="19" t="n"/>
      <c r="L285" s="20" t="n"/>
      <c r="M285" s="19" t="n"/>
      <c r="N285" s="22">
        <f>IF(C285="","",IF(ISNUMBER(I285),I285,IF(ISNUMBER(H285),H285,"")))</f>
        <v/>
      </c>
      <c r="O285" s="23">
        <f>IF(OR(C285="",NOT(ISNUMBER(G285))),"",(TODAY()-INT(G285))/365.25)</f>
        <v/>
      </c>
      <c r="P285" s="13">
        <f>IF(OR(C285="",NOT(ISNUMBER(L285))),"",IF(L285&lt;TODAY(),"Ended",IF(L285-TODAY()&lt;=N(Settings!$C$10),"Ends soon","Covered")))</f>
        <v/>
      </c>
      <c r="Q285" s="13">
        <f>IF(C285="","",MID(IF(N285="",", value","")&amp;IF(OR(J285="",J285="No"),", receipt","")&amp;IF(K285="",", photo",""),3,100))</f>
        <v/>
      </c>
      <c r="R285" s="13">
        <f>IF(AND(B285="",C285=""),"",IF(C285="","Needs the item",IF(B285="","Needs a room",IF(COUNTIF(Rooms!$B$6:$B$35,B285)=0,"Not on Rooms",IF(AND(H285&lt;&gt;"",NOT(ISNUMBER(H285))),"Paid not a number",IF(AND(I285&lt;&gt;"",NOT(ISNUMBER(I285))),"Worth not a number",IF(AND(G285&lt;&gt;"",NOT(ISNUMBER(G285))),"Bought is not a date",IF(AND(L285&lt;&gt;"",NOT(ISNUMBER(L285))),"Warranty is not a date",""))))))))</f>
        <v/>
      </c>
      <c r="S285" s="1">
        <f>IF(AND(C285&lt;&gt;"",R285=""),1,0)</f>
        <v/>
      </c>
      <c r="T285">
        <f>IF(S285=1,N(N285),0)</f>
        <v/>
      </c>
      <c r="U285">
        <f>IF(AND(S285=1,T285&gt;0),ROUND(T285*100,0)*10000+10000-ROW(),"")</f>
        <v/>
      </c>
      <c r="V285">
        <f>IF(AND(S285=1,OR(Report!$C$5="",B285=Report!$C$5)),MATCH(B285,Rooms!$B$6:$B$35,0)*10000+ROW(),"")</f>
        <v/>
      </c>
      <c r="W285">
        <f>IF(AND(S285=1,OR(J285="",J285="No")),1,0)</f>
        <v/>
      </c>
      <c r="X285">
        <f>IF(AND(S285=1,K285=""),1,0)</f>
        <v/>
      </c>
      <c r="Y285">
        <f>IF(AND(S285=1,Q285&lt;&gt;""),ROUND(T285*100,0)*10000+10000-ROW(),"")</f>
        <v/>
      </c>
    </row>
    <row r="286">
      <c r="A286" s="1" t="n"/>
      <c r="B286" s="17" t="n"/>
      <c r="C286" s="18" t="n"/>
      <c r="D286" s="17" t="n"/>
      <c r="E286" s="19" t="n"/>
      <c r="F286" s="19" t="n"/>
      <c r="G286" s="20" t="n"/>
      <c r="H286" s="21" t="n"/>
      <c r="I286" s="21" t="n"/>
      <c r="J286" s="17" t="n"/>
      <c r="K286" s="19" t="n"/>
      <c r="L286" s="20" t="n"/>
      <c r="M286" s="19" t="n"/>
      <c r="N286" s="22">
        <f>IF(C286="","",IF(ISNUMBER(I286),I286,IF(ISNUMBER(H286),H286,"")))</f>
        <v/>
      </c>
      <c r="O286" s="23">
        <f>IF(OR(C286="",NOT(ISNUMBER(G286))),"",(TODAY()-INT(G286))/365.25)</f>
        <v/>
      </c>
      <c r="P286" s="13">
        <f>IF(OR(C286="",NOT(ISNUMBER(L286))),"",IF(L286&lt;TODAY(),"Ended",IF(L286-TODAY()&lt;=N(Settings!$C$10),"Ends soon","Covered")))</f>
        <v/>
      </c>
      <c r="Q286" s="13">
        <f>IF(C286="","",MID(IF(N286="",", value","")&amp;IF(OR(J286="",J286="No"),", receipt","")&amp;IF(K286="",", photo",""),3,100))</f>
        <v/>
      </c>
      <c r="R286" s="13">
        <f>IF(AND(B286="",C286=""),"",IF(C286="","Needs the item",IF(B286="","Needs a room",IF(COUNTIF(Rooms!$B$6:$B$35,B286)=0,"Not on Rooms",IF(AND(H286&lt;&gt;"",NOT(ISNUMBER(H286))),"Paid not a number",IF(AND(I286&lt;&gt;"",NOT(ISNUMBER(I286))),"Worth not a number",IF(AND(G286&lt;&gt;"",NOT(ISNUMBER(G286))),"Bought is not a date",IF(AND(L286&lt;&gt;"",NOT(ISNUMBER(L286))),"Warranty is not a date",""))))))))</f>
        <v/>
      </c>
      <c r="S286" s="1">
        <f>IF(AND(C286&lt;&gt;"",R286=""),1,0)</f>
        <v/>
      </c>
      <c r="T286">
        <f>IF(S286=1,N(N286),0)</f>
        <v/>
      </c>
      <c r="U286">
        <f>IF(AND(S286=1,T286&gt;0),ROUND(T286*100,0)*10000+10000-ROW(),"")</f>
        <v/>
      </c>
      <c r="V286">
        <f>IF(AND(S286=1,OR(Report!$C$5="",B286=Report!$C$5)),MATCH(B286,Rooms!$B$6:$B$35,0)*10000+ROW(),"")</f>
        <v/>
      </c>
      <c r="W286">
        <f>IF(AND(S286=1,OR(J286="",J286="No")),1,0)</f>
        <v/>
      </c>
      <c r="X286">
        <f>IF(AND(S286=1,K286=""),1,0)</f>
        <v/>
      </c>
      <c r="Y286">
        <f>IF(AND(S286=1,Q286&lt;&gt;""),ROUND(T286*100,0)*10000+10000-ROW(),"")</f>
        <v/>
      </c>
    </row>
    <row r="287">
      <c r="A287" s="1" t="n"/>
      <c r="B287" s="17" t="n"/>
      <c r="C287" s="18" t="n"/>
      <c r="D287" s="17" t="n"/>
      <c r="E287" s="19" t="n"/>
      <c r="F287" s="19" t="n"/>
      <c r="G287" s="20" t="n"/>
      <c r="H287" s="21" t="n"/>
      <c r="I287" s="21" t="n"/>
      <c r="J287" s="17" t="n"/>
      <c r="K287" s="19" t="n"/>
      <c r="L287" s="20" t="n"/>
      <c r="M287" s="19" t="n"/>
      <c r="N287" s="22">
        <f>IF(C287="","",IF(ISNUMBER(I287),I287,IF(ISNUMBER(H287),H287,"")))</f>
        <v/>
      </c>
      <c r="O287" s="23">
        <f>IF(OR(C287="",NOT(ISNUMBER(G287))),"",(TODAY()-INT(G287))/365.25)</f>
        <v/>
      </c>
      <c r="P287" s="13">
        <f>IF(OR(C287="",NOT(ISNUMBER(L287))),"",IF(L287&lt;TODAY(),"Ended",IF(L287-TODAY()&lt;=N(Settings!$C$10),"Ends soon","Covered")))</f>
        <v/>
      </c>
      <c r="Q287" s="13">
        <f>IF(C287="","",MID(IF(N287="",", value","")&amp;IF(OR(J287="",J287="No"),", receipt","")&amp;IF(K287="",", photo",""),3,100))</f>
        <v/>
      </c>
      <c r="R287" s="13">
        <f>IF(AND(B287="",C287=""),"",IF(C287="","Needs the item",IF(B287="","Needs a room",IF(COUNTIF(Rooms!$B$6:$B$35,B287)=0,"Not on Rooms",IF(AND(H287&lt;&gt;"",NOT(ISNUMBER(H287))),"Paid not a number",IF(AND(I287&lt;&gt;"",NOT(ISNUMBER(I287))),"Worth not a number",IF(AND(G287&lt;&gt;"",NOT(ISNUMBER(G287))),"Bought is not a date",IF(AND(L287&lt;&gt;"",NOT(ISNUMBER(L287))),"Warranty is not a date",""))))))))</f>
        <v/>
      </c>
      <c r="S287" s="1">
        <f>IF(AND(C287&lt;&gt;"",R287=""),1,0)</f>
        <v/>
      </c>
      <c r="T287">
        <f>IF(S287=1,N(N287),0)</f>
        <v/>
      </c>
      <c r="U287">
        <f>IF(AND(S287=1,T287&gt;0),ROUND(T287*100,0)*10000+10000-ROW(),"")</f>
        <v/>
      </c>
      <c r="V287">
        <f>IF(AND(S287=1,OR(Report!$C$5="",B287=Report!$C$5)),MATCH(B287,Rooms!$B$6:$B$35,0)*10000+ROW(),"")</f>
        <v/>
      </c>
      <c r="W287">
        <f>IF(AND(S287=1,OR(J287="",J287="No")),1,0)</f>
        <v/>
      </c>
      <c r="X287">
        <f>IF(AND(S287=1,K287=""),1,0)</f>
        <v/>
      </c>
      <c r="Y287">
        <f>IF(AND(S287=1,Q287&lt;&gt;""),ROUND(T287*100,0)*10000+10000-ROW(),"")</f>
        <v/>
      </c>
    </row>
    <row r="288">
      <c r="A288" s="1" t="n"/>
      <c r="B288" s="17" t="n"/>
      <c r="C288" s="18" t="n"/>
      <c r="D288" s="17" t="n"/>
      <c r="E288" s="19" t="n"/>
      <c r="F288" s="19" t="n"/>
      <c r="G288" s="20" t="n"/>
      <c r="H288" s="21" t="n"/>
      <c r="I288" s="21" t="n"/>
      <c r="J288" s="17" t="n"/>
      <c r="K288" s="19" t="n"/>
      <c r="L288" s="20" t="n"/>
      <c r="M288" s="19" t="n"/>
      <c r="N288" s="22">
        <f>IF(C288="","",IF(ISNUMBER(I288),I288,IF(ISNUMBER(H288),H288,"")))</f>
        <v/>
      </c>
      <c r="O288" s="23">
        <f>IF(OR(C288="",NOT(ISNUMBER(G288))),"",(TODAY()-INT(G288))/365.25)</f>
        <v/>
      </c>
      <c r="P288" s="13">
        <f>IF(OR(C288="",NOT(ISNUMBER(L288))),"",IF(L288&lt;TODAY(),"Ended",IF(L288-TODAY()&lt;=N(Settings!$C$10),"Ends soon","Covered")))</f>
        <v/>
      </c>
      <c r="Q288" s="13">
        <f>IF(C288="","",MID(IF(N288="",", value","")&amp;IF(OR(J288="",J288="No"),", receipt","")&amp;IF(K288="",", photo",""),3,100))</f>
        <v/>
      </c>
      <c r="R288" s="13">
        <f>IF(AND(B288="",C288=""),"",IF(C288="","Needs the item",IF(B288="","Needs a room",IF(COUNTIF(Rooms!$B$6:$B$35,B288)=0,"Not on Rooms",IF(AND(H288&lt;&gt;"",NOT(ISNUMBER(H288))),"Paid not a number",IF(AND(I288&lt;&gt;"",NOT(ISNUMBER(I288))),"Worth not a number",IF(AND(G288&lt;&gt;"",NOT(ISNUMBER(G288))),"Bought is not a date",IF(AND(L288&lt;&gt;"",NOT(ISNUMBER(L288))),"Warranty is not a date",""))))))))</f>
        <v/>
      </c>
      <c r="S288" s="1">
        <f>IF(AND(C288&lt;&gt;"",R288=""),1,0)</f>
        <v/>
      </c>
      <c r="T288">
        <f>IF(S288=1,N(N288),0)</f>
        <v/>
      </c>
      <c r="U288">
        <f>IF(AND(S288=1,T288&gt;0),ROUND(T288*100,0)*10000+10000-ROW(),"")</f>
        <v/>
      </c>
      <c r="V288">
        <f>IF(AND(S288=1,OR(Report!$C$5="",B288=Report!$C$5)),MATCH(B288,Rooms!$B$6:$B$35,0)*10000+ROW(),"")</f>
        <v/>
      </c>
      <c r="W288">
        <f>IF(AND(S288=1,OR(J288="",J288="No")),1,0)</f>
        <v/>
      </c>
      <c r="X288">
        <f>IF(AND(S288=1,K288=""),1,0)</f>
        <v/>
      </c>
      <c r="Y288">
        <f>IF(AND(S288=1,Q288&lt;&gt;""),ROUND(T288*100,0)*10000+10000-ROW(),"")</f>
        <v/>
      </c>
    </row>
    <row r="289">
      <c r="A289" s="1" t="n"/>
      <c r="B289" s="17" t="n"/>
      <c r="C289" s="18" t="n"/>
      <c r="D289" s="17" t="n"/>
      <c r="E289" s="19" t="n"/>
      <c r="F289" s="19" t="n"/>
      <c r="G289" s="20" t="n"/>
      <c r="H289" s="21" t="n"/>
      <c r="I289" s="21" t="n"/>
      <c r="J289" s="17" t="n"/>
      <c r="K289" s="19" t="n"/>
      <c r="L289" s="20" t="n"/>
      <c r="M289" s="19" t="n"/>
      <c r="N289" s="22">
        <f>IF(C289="","",IF(ISNUMBER(I289),I289,IF(ISNUMBER(H289),H289,"")))</f>
        <v/>
      </c>
      <c r="O289" s="23">
        <f>IF(OR(C289="",NOT(ISNUMBER(G289))),"",(TODAY()-INT(G289))/365.25)</f>
        <v/>
      </c>
      <c r="P289" s="13">
        <f>IF(OR(C289="",NOT(ISNUMBER(L289))),"",IF(L289&lt;TODAY(),"Ended",IF(L289-TODAY()&lt;=N(Settings!$C$10),"Ends soon","Covered")))</f>
        <v/>
      </c>
      <c r="Q289" s="13">
        <f>IF(C289="","",MID(IF(N289="",", value","")&amp;IF(OR(J289="",J289="No"),", receipt","")&amp;IF(K289="",", photo",""),3,100))</f>
        <v/>
      </c>
      <c r="R289" s="13">
        <f>IF(AND(B289="",C289=""),"",IF(C289="","Needs the item",IF(B289="","Needs a room",IF(COUNTIF(Rooms!$B$6:$B$35,B289)=0,"Not on Rooms",IF(AND(H289&lt;&gt;"",NOT(ISNUMBER(H289))),"Paid not a number",IF(AND(I289&lt;&gt;"",NOT(ISNUMBER(I289))),"Worth not a number",IF(AND(G289&lt;&gt;"",NOT(ISNUMBER(G289))),"Bought is not a date",IF(AND(L289&lt;&gt;"",NOT(ISNUMBER(L289))),"Warranty is not a date",""))))))))</f>
        <v/>
      </c>
      <c r="S289" s="1">
        <f>IF(AND(C289&lt;&gt;"",R289=""),1,0)</f>
        <v/>
      </c>
      <c r="T289">
        <f>IF(S289=1,N(N289),0)</f>
        <v/>
      </c>
      <c r="U289">
        <f>IF(AND(S289=1,T289&gt;0),ROUND(T289*100,0)*10000+10000-ROW(),"")</f>
        <v/>
      </c>
      <c r="V289">
        <f>IF(AND(S289=1,OR(Report!$C$5="",B289=Report!$C$5)),MATCH(B289,Rooms!$B$6:$B$35,0)*10000+ROW(),"")</f>
        <v/>
      </c>
      <c r="W289">
        <f>IF(AND(S289=1,OR(J289="",J289="No")),1,0)</f>
        <v/>
      </c>
      <c r="X289">
        <f>IF(AND(S289=1,K289=""),1,0)</f>
        <v/>
      </c>
      <c r="Y289">
        <f>IF(AND(S289=1,Q289&lt;&gt;""),ROUND(T289*100,0)*10000+10000-ROW(),"")</f>
        <v/>
      </c>
    </row>
    <row r="290">
      <c r="A290" s="1" t="n"/>
      <c r="B290" s="17" t="n"/>
      <c r="C290" s="18" t="n"/>
      <c r="D290" s="17" t="n"/>
      <c r="E290" s="19" t="n"/>
      <c r="F290" s="19" t="n"/>
      <c r="G290" s="20" t="n"/>
      <c r="H290" s="21" t="n"/>
      <c r="I290" s="21" t="n"/>
      <c r="J290" s="17" t="n"/>
      <c r="K290" s="19" t="n"/>
      <c r="L290" s="20" t="n"/>
      <c r="M290" s="19" t="n"/>
      <c r="N290" s="22">
        <f>IF(C290="","",IF(ISNUMBER(I290),I290,IF(ISNUMBER(H290),H290,"")))</f>
        <v/>
      </c>
      <c r="O290" s="23">
        <f>IF(OR(C290="",NOT(ISNUMBER(G290))),"",(TODAY()-INT(G290))/365.25)</f>
        <v/>
      </c>
      <c r="P290" s="13">
        <f>IF(OR(C290="",NOT(ISNUMBER(L290))),"",IF(L290&lt;TODAY(),"Ended",IF(L290-TODAY()&lt;=N(Settings!$C$10),"Ends soon","Covered")))</f>
        <v/>
      </c>
      <c r="Q290" s="13">
        <f>IF(C290="","",MID(IF(N290="",", value","")&amp;IF(OR(J290="",J290="No"),", receipt","")&amp;IF(K290="",", photo",""),3,100))</f>
        <v/>
      </c>
      <c r="R290" s="13">
        <f>IF(AND(B290="",C290=""),"",IF(C290="","Needs the item",IF(B290="","Needs a room",IF(COUNTIF(Rooms!$B$6:$B$35,B290)=0,"Not on Rooms",IF(AND(H290&lt;&gt;"",NOT(ISNUMBER(H290))),"Paid not a number",IF(AND(I290&lt;&gt;"",NOT(ISNUMBER(I290))),"Worth not a number",IF(AND(G290&lt;&gt;"",NOT(ISNUMBER(G290))),"Bought is not a date",IF(AND(L290&lt;&gt;"",NOT(ISNUMBER(L290))),"Warranty is not a date",""))))))))</f>
        <v/>
      </c>
      <c r="S290" s="1">
        <f>IF(AND(C290&lt;&gt;"",R290=""),1,0)</f>
        <v/>
      </c>
      <c r="T290">
        <f>IF(S290=1,N(N290),0)</f>
        <v/>
      </c>
      <c r="U290">
        <f>IF(AND(S290=1,T290&gt;0),ROUND(T290*100,0)*10000+10000-ROW(),"")</f>
        <v/>
      </c>
      <c r="V290">
        <f>IF(AND(S290=1,OR(Report!$C$5="",B290=Report!$C$5)),MATCH(B290,Rooms!$B$6:$B$35,0)*10000+ROW(),"")</f>
        <v/>
      </c>
      <c r="W290">
        <f>IF(AND(S290=1,OR(J290="",J290="No")),1,0)</f>
        <v/>
      </c>
      <c r="X290">
        <f>IF(AND(S290=1,K290=""),1,0)</f>
        <v/>
      </c>
      <c r="Y290">
        <f>IF(AND(S290=1,Q290&lt;&gt;""),ROUND(T290*100,0)*10000+10000-ROW(),"")</f>
        <v/>
      </c>
    </row>
    <row r="291">
      <c r="A291" s="1" t="n"/>
      <c r="B291" s="17" t="n"/>
      <c r="C291" s="18" t="n"/>
      <c r="D291" s="17" t="n"/>
      <c r="E291" s="19" t="n"/>
      <c r="F291" s="19" t="n"/>
      <c r="G291" s="20" t="n"/>
      <c r="H291" s="21" t="n"/>
      <c r="I291" s="21" t="n"/>
      <c r="J291" s="17" t="n"/>
      <c r="K291" s="19" t="n"/>
      <c r="L291" s="20" t="n"/>
      <c r="M291" s="19" t="n"/>
      <c r="N291" s="22">
        <f>IF(C291="","",IF(ISNUMBER(I291),I291,IF(ISNUMBER(H291),H291,"")))</f>
        <v/>
      </c>
      <c r="O291" s="23">
        <f>IF(OR(C291="",NOT(ISNUMBER(G291))),"",(TODAY()-INT(G291))/365.25)</f>
        <v/>
      </c>
      <c r="P291" s="13">
        <f>IF(OR(C291="",NOT(ISNUMBER(L291))),"",IF(L291&lt;TODAY(),"Ended",IF(L291-TODAY()&lt;=N(Settings!$C$10),"Ends soon","Covered")))</f>
        <v/>
      </c>
      <c r="Q291" s="13">
        <f>IF(C291="","",MID(IF(N291="",", value","")&amp;IF(OR(J291="",J291="No"),", receipt","")&amp;IF(K291="",", photo",""),3,100))</f>
        <v/>
      </c>
      <c r="R291" s="13">
        <f>IF(AND(B291="",C291=""),"",IF(C291="","Needs the item",IF(B291="","Needs a room",IF(COUNTIF(Rooms!$B$6:$B$35,B291)=0,"Not on Rooms",IF(AND(H291&lt;&gt;"",NOT(ISNUMBER(H291))),"Paid not a number",IF(AND(I291&lt;&gt;"",NOT(ISNUMBER(I291))),"Worth not a number",IF(AND(G291&lt;&gt;"",NOT(ISNUMBER(G291))),"Bought is not a date",IF(AND(L291&lt;&gt;"",NOT(ISNUMBER(L291))),"Warranty is not a date",""))))))))</f>
        <v/>
      </c>
      <c r="S291" s="1">
        <f>IF(AND(C291&lt;&gt;"",R291=""),1,0)</f>
        <v/>
      </c>
      <c r="T291">
        <f>IF(S291=1,N(N291),0)</f>
        <v/>
      </c>
      <c r="U291">
        <f>IF(AND(S291=1,T291&gt;0),ROUND(T291*100,0)*10000+10000-ROW(),"")</f>
        <v/>
      </c>
      <c r="V291">
        <f>IF(AND(S291=1,OR(Report!$C$5="",B291=Report!$C$5)),MATCH(B291,Rooms!$B$6:$B$35,0)*10000+ROW(),"")</f>
        <v/>
      </c>
      <c r="W291">
        <f>IF(AND(S291=1,OR(J291="",J291="No")),1,0)</f>
        <v/>
      </c>
      <c r="X291">
        <f>IF(AND(S291=1,K291=""),1,0)</f>
        <v/>
      </c>
      <c r="Y291">
        <f>IF(AND(S291=1,Q291&lt;&gt;""),ROUND(T291*100,0)*10000+10000-ROW(),"")</f>
        <v/>
      </c>
    </row>
    <row r="292">
      <c r="A292" s="1" t="n"/>
      <c r="B292" s="17" t="n"/>
      <c r="C292" s="18" t="n"/>
      <c r="D292" s="17" t="n"/>
      <c r="E292" s="19" t="n"/>
      <c r="F292" s="19" t="n"/>
      <c r="G292" s="20" t="n"/>
      <c r="H292" s="21" t="n"/>
      <c r="I292" s="21" t="n"/>
      <c r="J292" s="17" t="n"/>
      <c r="K292" s="19" t="n"/>
      <c r="L292" s="20" t="n"/>
      <c r="M292" s="19" t="n"/>
      <c r="N292" s="22">
        <f>IF(C292="","",IF(ISNUMBER(I292),I292,IF(ISNUMBER(H292),H292,"")))</f>
        <v/>
      </c>
      <c r="O292" s="23">
        <f>IF(OR(C292="",NOT(ISNUMBER(G292))),"",(TODAY()-INT(G292))/365.25)</f>
        <v/>
      </c>
      <c r="P292" s="13">
        <f>IF(OR(C292="",NOT(ISNUMBER(L292))),"",IF(L292&lt;TODAY(),"Ended",IF(L292-TODAY()&lt;=N(Settings!$C$10),"Ends soon","Covered")))</f>
        <v/>
      </c>
      <c r="Q292" s="13">
        <f>IF(C292="","",MID(IF(N292="",", value","")&amp;IF(OR(J292="",J292="No"),", receipt","")&amp;IF(K292="",", photo",""),3,100))</f>
        <v/>
      </c>
      <c r="R292" s="13">
        <f>IF(AND(B292="",C292=""),"",IF(C292="","Needs the item",IF(B292="","Needs a room",IF(COUNTIF(Rooms!$B$6:$B$35,B292)=0,"Not on Rooms",IF(AND(H292&lt;&gt;"",NOT(ISNUMBER(H292))),"Paid not a number",IF(AND(I292&lt;&gt;"",NOT(ISNUMBER(I292))),"Worth not a number",IF(AND(G292&lt;&gt;"",NOT(ISNUMBER(G292))),"Bought is not a date",IF(AND(L292&lt;&gt;"",NOT(ISNUMBER(L292))),"Warranty is not a date",""))))))))</f>
        <v/>
      </c>
      <c r="S292" s="1">
        <f>IF(AND(C292&lt;&gt;"",R292=""),1,0)</f>
        <v/>
      </c>
      <c r="T292">
        <f>IF(S292=1,N(N292),0)</f>
        <v/>
      </c>
      <c r="U292">
        <f>IF(AND(S292=1,T292&gt;0),ROUND(T292*100,0)*10000+10000-ROW(),"")</f>
        <v/>
      </c>
      <c r="V292">
        <f>IF(AND(S292=1,OR(Report!$C$5="",B292=Report!$C$5)),MATCH(B292,Rooms!$B$6:$B$35,0)*10000+ROW(),"")</f>
        <v/>
      </c>
      <c r="W292">
        <f>IF(AND(S292=1,OR(J292="",J292="No")),1,0)</f>
        <v/>
      </c>
      <c r="X292">
        <f>IF(AND(S292=1,K292=""),1,0)</f>
        <v/>
      </c>
      <c r="Y292">
        <f>IF(AND(S292=1,Q292&lt;&gt;""),ROUND(T292*100,0)*10000+10000-ROW(),"")</f>
        <v/>
      </c>
    </row>
    <row r="293">
      <c r="A293" s="1" t="n"/>
      <c r="B293" s="17" t="n"/>
      <c r="C293" s="18" t="n"/>
      <c r="D293" s="17" t="n"/>
      <c r="E293" s="19" t="n"/>
      <c r="F293" s="19" t="n"/>
      <c r="G293" s="20" t="n"/>
      <c r="H293" s="21" t="n"/>
      <c r="I293" s="21" t="n"/>
      <c r="J293" s="17" t="n"/>
      <c r="K293" s="19" t="n"/>
      <c r="L293" s="20" t="n"/>
      <c r="M293" s="19" t="n"/>
      <c r="N293" s="22">
        <f>IF(C293="","",IF(ISNUMBER(I293),I293,IF(ISNUMBER(H293),H293,"")))</f>
        <v/>
      </c>
      <c r="O293" s="23">
        <f>IF(OR(C293="",NOT(ISNUMBER(G293))),"",(TODAY()-INT(G293))/365.25)</f>
        <v/>
      </c>
      <c r="P293" s="13">
        <f>IF(OR(C293="",NOT(ISNUMBER(L293))),"",IF(L293&lt;TODAY(),"Ended",IF(L293-TODAY()&lt;=N(Settings!$C$10),"Ends soon","Covered")))</f>
        <v/>
      </c>
      <c r="Q293" s="13">
        <f>IF(C293="","",MID(IF(N293="",", value","")&amp;IF(OR(J293="",J293="No"),", receipt","")&amp;IF(K293="",", photo",""),3,100))</f>
        <v/>
      </c>
      <c r="R293" s="13">
        <f>IF(AND(B293="",C293=""),"",IF(C293="","Needs the item",IF(B293="","Needs a room",IF(COUNTIF(Rooms!$B$6:$B$35,B293)=0,"Not on Rooms",IF(AND(H293&lt;&gt;"",NOT(ISNUMBER(H293))),"Paid not a number",IF(AND(I293&lt;&gt;"",NOT(ISNUMBER(I293))),"Worth not a number",IF(AND(G293&lt;&gt;"",NOT(ISNUMBER(G293))),"Bought is not a date",IF(AND(L293&lt;&gt;"",NOT(ISNUMBER(L293))),"Warranty is not a date",""))))))))</f>
        <v/>
      </c>
      <c r="S293" s="1">
        <f>IF(AND(C293&lt;&gt;"",R293=""),1,0)</f>
        <v/>
      </c>
      <c r="T293">
        <f>IF(S293=1,N(N293),0)</f>
        <v/>
      </c>
      <c r="U293">
        <f>IF(AND(S293=1,T293&gt;0),ROUND(T293*100,0)*10000+10000-ROW(),"")</f>
        <v/>
      </c>
      <c r="V293">
        <f>IF(AND(S293=1,OR(Report!$C$5="",B293=Report!$C$5)),MATCH(B293,Rooms!$B$6:$B$35,0)*10000+ROW(),"")</f>
        <v/>
      </c>
      <c r="W293">
        <f>IF(AND(S293=1,OR(J293="",J293="No")),1,0)</f>
        <v/>
      </c>
      <c r="X293">
        <f>IF(AND(S293=1,K293=""),1,0)</f>
        <v/>
      </c>
      <c r="Y293">
        <f>IF(AND(S293=1,Q293&lt;&gt;""),ROUND(T293*100,0)*10000+10000-ROW(),"")</f>
        <v/>
      </c>
    </row>
    <row r="294">
      <c r="A294" s="1" t="n"/>
      <c r="B294" s="17" t="n"/>
      <c r="C294" s="18" t="n"/>
      <c r="D294" s="17" t="n"/>
      <c r="E294" s="19" t="n"/>
      <c r="F294" s="19" t="n"/>
      <c r="G294" s="20" t="n"/>
      <c r="H294" s="21" t="n"/>
      <c r="I294" s="21" t="n"/>
      <c r="J294" s="17" t="n"/>
      <c r="K294" s="19" t="n"/>
      <c r="L294" s="20" t="n"/>
      <c r="M294" s="19" t="n"/>
      <c r="N294" s="22">
        <f>IF(C294="","",IF(ISNUMBER(I294),I294,IF(ISNUMBER(H294),H294,"")))</f>
        <v/>
      </c>
      <c r="O294" s="23">
        <f>IF(OR(C294="",NOT(ISNUMBER(G294))),"",(TODAY()-INT(G294))/365.25)</f>
        <v/>
      </c>
      <c r="P294" s="13">
        <f>IF(OR(C294="",NOT(ISNUMBER(L294))),"",IF(L294&lt;TODAY(),"Ended",IF(L294-TODAY()&lt;=N(Settings!$C$10),"Ends soon","Covered")))</f>
        <v/>
      </c>
      <c r="Q294" s="13">
        <f>IF(C294="","",MID(IF(N294="",", value","")&amp;IF(OR(J294="",J294="No"),", receipt","")&amp;IF(K294="",", photo",""),3,100))</f>
        <v/>
      </c>
      <c r="R294" s="13">
        <f>IF(AND(B294="",C294=""),"",IF(C294="","Needs the item",IF(B294="","Needs a room",IF(COUNTIF(Rooms!$B$6:$B$35,B294)=0,"Not on Rooms",IF(AND(H294&lt;&gt;"",NOT(ISNUMBER(H294))),"Paid not a number",IF(AND(I294&lt;&gt;"",NOT(ISNUMBER(I294))),"Worth not a number",IF(AND(G294&lt;&gt;"",NOT(ISNUMBER(G294))),"Bought is not a date",IF(AND(L294&lt;&gt;"",NOT(ISNUMBER(L294))),"Warranty is not a date",""))))))))</f>
        <v/>
      </c>
      <c r="S294" s="1">
        <f>IF(AND(C294&lt;&gt;"",R294=""),1,0)</f>
        <v/>
      </c>
      <c r="T294">
        <f>IF(S294=1,N(N294),0)</f>
        <v/>
      </c>
      <c r="U294">
        <f>IF(AND(S294=1,T294&gt;0),ROUND(T294*100,0)*10000+10000-ROW(),"")</f>
        <v/>
      </c>
      <c r="V294">
        <f>IF(AND(S294=1,OR(Report!$C$5="",B294=Report!$C$5)),MATCH(B294,Rooms!$B$6:$B$35,0)*10000+ROW(),"")</f>
        <v/>
      </c>
      <c r="W294">
        <f>IF(AND(S294=1,OR(J294="",J294="No")),1,0)</f>
        <v/>
      </c>
      <c r="X294">
        <f>IF(AND(S294=1,K294=""),1,0)</f>
        <v/>
      </c>
      <c r="Y294">
        <f>IF(AND(S294=1,Q294&lt;&gt;""),ROUND(T294*100,0)*10000+10000-ROW(),"")</f>
        <v/>
      </c>
    </row>
    <row r="295">
      <c r="A295" s="1" t="n"/>
      <c r="B295" s="17" t="n"/>
      <c r="C295" s="18" t="n"/>
      <c r="D295" s="17" t="n"/>
      <c r="E295" s="19" t="n"/>
      <c r="F295" s="19" t="n"/>
      <c r="G295" s="20" t="n"/>
      <c r="H295" s="21" t="n"/>
      <c r="I295" s="21" t="n"/>
      <c r="J295" s="17" t="n"/>
      <c r="K295" s="19" t="n"/>
      <c r="L295" s="20" t="n"/>
      <c r="M295" s="19" t="n"/>
      <c r="N295" s="22">
        <f>IF(C295="","",IF(ISNUMBER(I295),I295,IF(ISNUMBER(H295),H295,"")))</f>
        <v/>
      </c>
      <c r="O295" s="23">
        <f>IF(OR(C295="",NOT(ISNUMBER(G295))),"",(TODAY()-INT(G295))/365.25)</f>
        <v/>
      </c>
      <c r="P295" s="13">
        <f>IF(OR(C295="",NOT(ISNUMBER(L295))),"",IF(L295&lt;TODAY(),"Ended",IF(L295-TODAY()&lt;=N(Settings!$C$10),"Ends soon","Covered")))</f>
        <v/>
      </c>
      <c r="Q295" s="13">
        <f>IF(C295="","",MID(IF(N295="",", value","")&amp;IF(OR(J295="",J295="No"),", receipt","")&amp;IF(K295="",", photo",""),3,100))</f>
        <v/>
      </c>
      <c r="R295" s="13">
        <f>IF(AND(B295="",C295=""),"",IF(C295="","Needs the item",IF(B295="","Needs a room",IF(COUNTIF(Rooms!$B$6:$B$35,B295)=0,"Not on Rooms",IF(AND(H295&lt;&gt;"",NOT(ISNUMBER(H295))),"Paid not a number",IF(AND(I295&lt;&gt;"",NOT(ISNUMBER(I295))),"Worth not a number",IF(AND(G295&lt;&gt;"",NOT(ISNUMBER(G295))),"Bought is not a date",IF(AND(L295&lt;&gt;"",NOT(ISNUMBER(L295))),"Warranty is not a date",""))))))))</f>
        <v/>
      </c>
      <c r="S295" s="1">
        <f>IF(AND(C295&lt;&gt;"",R295=""),1,0)</f>
        <v/>
      </c>
      <c r="T295">
        <f>IF(S295=1,N(N295),0)</f>
        <v/>
      </c>
      <c r="U295">
        <f>IF(AND(S295=1,T295&gt;0),ROUND(T295*100,0)*10000+10000-ROW(),"")</f>
        <v/>
      </c>
      <c r="V295">
        <f>IF(AND(S295=1,OR(Report!$C$5="",B295=Report!$C$5)),MATCH(B295,Rooms!$B$6:$B$35,0)*10000+ROW(),"")</f>
        <v/>
      </c>
      <c r="W295">
        <f>IF(AND(S295=1,OR(J295="",J295="No")),1,0)</f>
        <v/>
      </c>
      <c r="X295">
        <f>IF(AND(S295=1,K295=""),1,0)</f>
        <v/>
      </c>
      <c r="Y295">
        <f>IF(AND(S295=1,Q295&lt;&gt;""),ROUND(T295*100,0)*10000+10000-ROW(),"")</f>
        <v/>
      </c>
    </row>
    <row r="296">
      <c r="A296" s="1" t="n"/>
      <c r="B296" s="17" t="n"/>
      <c r="C296" s="18" t="n"/>
      <c r="D296" s="17" t="n"/>
      <c r="E296" s="19" t="n"/>
      <c r="F296" s="19" t="n"/>
      <c r="G296" s="20" t="n"/>
      <c r="H296" s="21" t="n"/>
      <c r="I296" s="21" t="n"/>
      <c r="J296" s="17" t="n"/>
      <c r="K296" s="19" t="n"/>
      <c r="L296" s="20" t="n"/>
      <c r="M296" s="19" t="n"/>
      <c r="N296" s="22">
        <f>IF(C296="","",IF(ISNUMBER(I296),I296,IF(ISNUMBER(H296),H296,"")))</f>
        <v/>
      </c>
      <c r="O296" s="23">
        <f>IF(OR(C296="",NOT(ISNUMBER(G296))),"",(TODAY()-INT(G296))/365.25)</f>
        <v/>
      </c>
      <c r="P296" s="13">
        <f>IF(OR(C296="",NOT(ISNUMBER(L296))),"",IF(L296&lt;TODAY(),"Ended",IF(L296-TODAY()&lt;=N(Settings!$C$10),"Ends soon","Covered")))</f>
        <v/>
      </c>
      <c r="Q296" s="13">
        <f>IF(C296="","",MID(IF(N296="",", value","")&amp;IF(OR(J296="",J296="No"),", receipt","")&amp;IF(K296="",", photo",""),3,100))</f>
        <v/>
      </c>
      <c r="R296" s="13">
        <f>IF(AND(B296="",C296=""),"",IF(C296="","Needs the item",IF(B296="","Needs a room",IF(COUNTIF(Rooms!$B$6:$B$35,B296)=0,"Not on Rooms",IF(AND(H296&lt;&gt;"",NOT(ISNUMBER(H296))),"Paid not a number",IF(AND(I296&lt;&gt;"",NOT(ISNUMBER(I296))),"Worth not a number",IF(AND(G296&lt;&gt;"",NOT(ISNUMBER(G296))),"Bought is not a date",IF(AND(L296&lt;&gt;"",NOT(ISNUMBER(L296))),"Warranty is not a date",""))))))))</f>
        <v/>
      </c>
      <c r="S296" s="1">
        <f>IF(AND(C296&lt;&gt;"",R296=""),1,0)</f>
        <v/>
      </c>
      <c r="T296">
        <f>IF(S296=1,N(N296),0)</f>
        <v/>
      </c>
      <c r="U296">
        <f>IF(AND(S296=1,T296&gt;0),ROUND(T296*100,0)*10000+10000-ROW(),"")</f>
        <v/>
      </c>
      <c r="V296">
        <f>IF(AND(S296=1,OR(Report!$C$5="",B296=Report!$C$5)),MATCH(B296,Rooms!$B$6:$B$35,0)*10000+ROW(),"")</f>
        <v/>
      </c>
      <c r="W296">
        <f>IF(AND(S296=1,OR(J296="",J296="No")),1,0)</f>
        <v/>
      </c>
      <c r="X296">
        <f>IF(AND(S296=1,K296=""),1,0)</f>
        <v/>
      </c>
      <c r="Y296">
        <f>IF(AND(S296=1,Q296&lt;&gt;""),ROUND(T296*100,0)*10000+10000-ROW(),"")</f>
        <v/>
      </c>
    </row>
    <row r="297">
      <c r="A297" s="1" t="n"/>
      <c r="B297" s="17" t="n"/>
      <c r="C297" s="18" t="n"/>
      <c r="D297" s="17" t="n"/>
      <c r="E297" s="19" t="n"/>
      <c r="F297" s="19" t="n"/>
      <c r="G297" s="20" t="n"/>
      <c r="H297" s="21" t="n"/>
      <c r="I297" s="21" t="n"/>
      <c r="J297" s="17" t="n"/>
      <c r="K297" s="19" t="n"/>
      <c r="L297" s="20" t="n"/>
      <c r="M297" s="19" t="n"/>
      <c r="N297" s="22">
        <f>IF(C297="","",IF(ISNUMBER(I297),I297,IF(ISNUMBER(H297),H297,"")))</f>
        <v/>
      </c>
      <c r="O297" s="23">
        <f>IF(OR(C297="",NOT(ISNUMBER(G297))),"",(TODAY()-INT(G297))/365.25)</f>
        <v/>
      </c>
      <c r="P297" s="13">
        <f>IF(OR(C297="",NOT(ISNUMBER(L297))),"",IF(L297&lt;TODAY(),"Ended",IF(L297-TODAY()&lt;=N(Settings!$C$10),"Ends soon","Covered")))</f>
        <v/>
      </c>
      <c r="Q297" s="13">
        <f>IF(C297="","",MID(IF(N297="",", value","")&amp;IF(OR(J297="",J297="No"),", receipt","")&amp;IF(K297="",", photo",""),3,100))</f>
        <v/>
      </c>
      <c r="R297" s="13">
        <f>IF(AND(B297="",C297=""),"",IF(C297="","Needs the item",IF(B297="","Needs a room",IF(COUNTIF(Rooms!$B$6:$B$35,B297)=0,"Not on Rooms",IF(AND(H297&lt;&gt;"",NOT(ISNUMBER(H297))),"Paid not a number",IF(AND(I297&lt;&gt;"",NOT(ISNUMBER(I297))),"Worth not a number",IF(AND(G297&lt;&gt;"",NOT(ISNUMBER(G297))),"Bought is not a date",IF(AND(L297&lt;&gt;"",NOT(ISNUMBER(L297))),"Warranty is not a date",""))))))))</f>
        <v/>
      </c>
      <c r="S297" s="1">
        <f>IF(AND(C297&lt;&gt;"",R297=""),1,0)</f>
        <v/>
      </c>
      <c r="T297">
        <f>IF(S297=1,N(N297),0)</f>
        <v/>
      </c>
      <c r="U297">
        <f>IF(AND(S297=1,T297&gt;0),ROUND(T297*100,0)*10000+10000-ROW(),"")</f>
        <v/>
      </c>
      <c r="V297">
        <f>IF(AND(S297=1,OR(Report!$C$5="",B297=Report!$C$5)),MATCH(B297,Rooms!$B$6:$B$35,0)*10000+ROW(),"")</f>
        <v/>
      </c>
      <c r="W297">
        <f>IF(AND(S297=1,OR(J297="",J297="No")),1,0)</f>
        <v/>
      </c>
      <c r="X297">
        <f>IF(AND(S297=1,K297=""),1,0)</f>
        <v/>
      </c>
      <c r="Y297">
        <f>IF(AND(S297=1,Q297&lt;&gt;""),ROUND(T297*100,0)*10000+10000-ROW(),"")</f>
        <v/>
      </c>
    </row>
    <row r="298">
      <c r="A298" s="1" t="n"/>
      <c r="B298" s="17" t="n"/>
      <c r="C298" s="18" t="n"/>
      <c r="D298" s="17" t="n"/>
      <c r="E298" s="19" t="n"/>
      <c r="F298" s="19" t="n"/>
      <c r="G298" s="20" t="n"/>
      <c r="H298" s="21" t="n"/>
      <c r="I298" s="21" t="n"/>
      <c r="J298" s="17" t="n"/>
      <c r="K298" s="19" t="n"/>
      <c r="L298" s="20" t="n"/>
      <c r="M298" s="19" t="n"/>
      <c r="N298" s="22">
        <f>IF(C298="","",IF(ISNUMBER(I298),I298,IF(ISNUMBER(H298),H298,"")))</f>
        <v/>
      </c>
      <c r="O298" s="23">
        <f>IF(OR(C298="",NOT(ISNUMBER(G298))),"",(TODAY()-INT(G298))/365.25)</f>
        <v/>
      </c>
      <c r="P298" s="13">
        <f>IF(OR(C298="",NOT(ISNUMBER(L298))),"",IF(L298&lt;TODAY(),"Ended",IF(L298-TODAY()&lt;=N(Settings!$C$10),"Ends soon","Covered")))</f>
        <v/>
      </c>
      <c r="Q298" s="13">
        <f>IF(C298="","",MID(IF(N298="",", value","")&amp;IF(OR(J298="",J298="No"),", receipt","")&amp;IF(K298="",", photo",""),3,100))</f>
        <v/>
      </c>
      <c r="R298" s="13">
        <f>IF(AND(B298="",C298=""),"",IF(C298="","Needs the item",IF(B298="","Needs a room",IF(COUNTIF(Rooms!$B$6:$B$35,B298)=0,"Not on Rooms",IF(AND(H298&lt;&gt;"",NOT(ISNUMBER(H298))),"Paid not a number",IF(AND(I298&lt;&gt;"",NOT(ISNUMBER(I298))),"Worth not a number",IF(AND(G298&lt;&gt;"",NOT(ISNUMBER(G298))),"Bought is not a date",IF(AND(L298&lt;&gt;"",NOT(ISNUMBER(L298))),"Warranty is not a date",""))))))))</f>
        <v/>
      </c>
      <c r="S298" s="1">
        <f>IF(AND(C298&lt;&gt;"",R298=""),1,0)</f>
        <v/>
      </c>
      <c r="T298">
        <f>IF(S298=1,N(N298),0)</f>
        <v/>
      </c>
      <c r="U298">
        <f>IF(AND(S298=1,T298&gt;0),ROUND(T298*100,0)*10000+10000-ROW(),"")</f>
        <v/>
      </c>
      <c r="V298">
        <f>IF(AND(S298=1,OR(Report!$C$5="",B298=Report!$C$5)),MATCH(B298,Rooms!$B$6:$B$35,0)*10000+ROW(),"")</f>
        <v/>
      </c>
      <c r="W298">
        <f>IF(AND(S298=1,OR(J298="",J298="No")),1,0)</f>
        <v/>
      </c>
      <c r="X298">
        <f>IF(AND(S298=1,K298=""),1,0)</f>
        <v/>
      </c>
      <c r="Y298">
        <f>IF(AND(S298=1,Q298&lt;&gt;""),ROUND(T298*100,0)*10000+10000-ROW(),"")</f>
        <v/>
      </c>
    </row>
    <row r="299">
      <c r="A299" s="1" t="n"/>
      <c r="B299" s="17" t="n"/>
      <c r="C299" s="18" t="n"/>
      <c r="D299" s="17" t="n"/>
      <c r="E299" s="19" t="n"/>
      <c r="F299" s="19" t="n"/>
      <c r="G299" s="20" t="n"/>
      <c r="H299" s="21" t="n"/>
      <c r="I299" s="21" t="n"/>
      <c r="J299" s="17" t="n"/>
      <c r="K299" s="19" t="n"/>
      <c r="L299" s="20" t="n"/>
      <c r="M299" s="19" t="n"/>
      <c r="N299" s="22">
        <f>IF(C299="","",IF(ISNUMBER(I299),I299,IF(ISNUMBER(H299),H299,"")))</f>
        <v/>
      </c>
      <c r="O299" s="23">
        <f>IF(OR(C299="",NOT(ISNUMBER(G299))),"",(TODAY()-INT(G299))/365.25)</f>
        <v/>
      </c>
      <c r="P299" s="13">
        <f>IF(OR(C299="",NOT(ISNUMBER(L299))),"",IF(L299&lt;TODAY(),"Ended",IF(L299-TODAY()&lt;=N(Settings!$C$10),"Ends soon","Covered")))</f>
        <v/>
      </c>
      <c r="Q299" s="13">
        <f>IF(C299="","",MID(IF(N299="",", value","")&amp;IF(OR(J299="",J299="No"),", receipt","")&amp;IF(K299="",", photo",""),3,100))</f>
        <v/>
      </c>
      <c r="R299" s="13">
        <f>IF(AND(B299="",C299=""),"",IF(C299="","Needs the item",IF(B299="","Needs a room",IF(COUNTIF(Rooms!$B$6:$B$35,B299)=0,"Not on Rooms",IF(AND(H299&lt;&gt;"",NOT(ISNUMBER(H299))),"Paid not a number",IF(AND(I299&lt;&gt;"",NOT(ISNUMBER(I299))),"Worth not a number",IF(AND(G299&lt;&gt;"",NOT(ISNUMBER(G299))),"Bought is not a date",IF(AND(L299&lt;&gt;"",NOT(ISNUMBER(L299))),"Warranty is not a date",""))))))))</f>
        <v/>
      </c>
      <c r="S299" s="1">
        <f>IF(AND(C299&lt;&gt;"",R299=""),1,0)</f>
        <v/>
      </c>
      <c r="T299">
        <f>IF(S299=1,N(N299),0)</f>
        <v/>
      </c>
      <c r="U299">
        <f>IF(AND(S299=1,T299&gt;0),ROUND(T299*100,0)*10000+10000-ROW(),"")</f>
        <v/>
      </c>
      <c r="V299">
        <f>IF(AND(S299=1,OR(Report!$C$5="",B299=Report!$C$5)),MATCH(B299,Rooms!$B$6:$B$35,0)*10000+ROW(),"")</f>
        <v/>
      </c>
      <c r="W299">
        <f>IF(AND(S299=1,OR(J299="",J299="No")),1,0)</f>
        <v/>
      </c>
      <c r="X299">
        <f>IF(AND(S299=1,K299=""),1,0)</f>
        <v/>
      </c>
      <c r="Y299">
        <f>IF(AND(S299=1,Q299&lt;&gt;""),ROUND(T299*100,0)*10000+10000-ROW(),"")</f>
        <v/>
      </c>
    </row>
    <row r="300">
      <c r="A300" s="1" t="n"/>
      <c r="B300" s="17" t="n"/>
      <c r="C300" s="18" t="n"/>
      <c r="D300" s="17" t="n"/>
      <c r="E300" s="19" t="n"/>
      <c r="F300" s="19" t="n"/>
      <c r="G300" s="20" t="n"/>
      <c r="H300" s="21" t="n"/>
      <c r="I300" s="21" t="n"/>
      <c r="J300" s="17" t="n"/>
      <c r="K300" s="19" t="n"/>
      <c r="L300" s="20" t="n"/>
      <c r="M300" s="19" t="n"/>
      <c r="N300" s="22">
        <f>IF(C300="","",IF(ISNUMBER(I300),I300,IF(ISNUMBER(H300),H300,"")))</f>
        <v/>
      </c>
      <c r="O300" s="23">
        <f>IF(OR(C300="",NOT(ISNUMBER(G300))),"",(TODAY()-INT(G300))/365.25)</f>
        <v/>
      </c>
      <c r="P300" s="13">
        <f>IF(OR(C300="",NOT(ISNUMBER(L300))),"",IF(L300&lt;TODAY(),"Ended",IF(L300-TODAY()&lt;=N(Settings!$C$10),"Ends soon","Covered")))</f>
        <v/>
      </c>
      <c r="Q300" s="13">
        <f>IF(C300="","",MID(IF(N300="",", value","")&amp;IF(OR(J300="",J300="No"),", receipt","")&amp;IF(K300="",", photo",""),3,100))</f>
        <v/>
      </c>
      <c r="R300" s="13">
        <f>IF(AND(B300="",C300=""),"",IF(C300="","Needs the item",IF(B300="","Needs a room",IF(COUNTIF(Rooms!$B$6:$B$35,B300)=0,"Not on Rooms",IF(AND(H300&lt;&gt;"",NOT(ISNUMBER(H300))),"Paid not a number",IF(AND(I300&lt;&gt;"",NOT(ISNUMBER(I300))),"Worth not a number",IF(AND(G300&lt;&gt;"",NOT(ISNUMBER(G300))),"Bought is not a date",IF(AND(L300&lt;&gt;"",NOT(ISNUMBER(L300))),"Warranty is not a date",""))))))))</f>
        <v/>
      </c>
      <c r="S300" s="1">
        <f>IF(AND(C300&lt;&gt;"",R300=""),1,0)</f>
        <v/>
      </c>
      <c r="T300">
        <f>IF(S300=1,N(N300),0)</f>
        <v/>
      </c>
      <c r="U300">
        <f>IF(AND(S300=1,T300&gt;0),ROUND(T300*100,0)*10000+10000-ROW(),"")</f>
        <v/>
      </c>
      <c r="V300">
        <f>IF(AND(S300=1,OR(Report!$C$5="",B300=Report!$C$5)),MATCH(B300,Rooms!$B$6:$B$35,0)*10000+ROW(),"")</f>
        <v/>
      </c>
      <c r="W300">
        <f>IF(AND(S300=1,OR(J300="",J300="No")),1,0)</f>
        <v/>
      </c>
      <c r="X300">
        <f>IF(AND(S300=1,K300=""),1,0)</f>
        <v/>
      </c>
      <c r="Y300">
        <f>IF(AND(S300=1,Q300&lt;&gt;""),ROUND(T300*100,0)*10000+10000-ROW(),"")</f>
        <v/>
      </c>
    </row>
    <row r="301">
      <c r="A301" s="1" t="n"/>
      <c r="B301" s="17" t="n"/>
      <c r="C301" s="18" t="n"/>
      <c r="D301" s="17" t="n"/>
      <c r="E301" s="19" t="n"/>
      <c r="F301" s="19" t="n"/>
      <c r="G301" s="20" t="n"/>
      <c r="H301" s="21" t="n"/>
      <c r="I301" s="21" t="n"/>
      <c r="J301" s="17" t="n"/>
      <c r="K301" s="19" t="n"/>
      <c r="L301" s="20" t="n"/>
      <c r="M301" s="19" t="n"/>
      <c r="N301" s="22">
        <f>IF(C301="","",IF(ISNUMBER(I301),I301,IF(ISNUMBER(H301),H301,"")))</f>
        <v/>
      </c>
      <c r="O301" s="23">
        <f>IF(OR(C301="",NOT(ISNUMBER(G301))),"",(TODAY()-INT(G301))/365.25)</f>
        <v/>
      </c>
      <c r="P301" s="13">
        <f>IF(OR(C301="",NOT(ISNUMBER(L301))),"",IF(L301&lt;TODAY(),"Ended",IF(L301-TODAY()&lt;=N(Settings!$C$10),"Ends soon","Covered")))</f>
        <v/>
      </c>
      <c r="Q301" s="13">
        <f>IF(C301="","",MID(IF(N301="",", value","")&amp;IF(OR(J301="",J301="No"),", receipt","")&amp;IF(K301="",", photo",""),3,100))</f>
        <v/>
      </c>
      <c r="R301" s="13">
        <f>IF(AND(B301="",C301=""),"",IF(C301="","Needs the item",IF(B301="","Needs a room",IF(COUNTIF(Rooms!$B$6:$B$35,B301)=0,"Not on Rooms",IF(AND(H301&lt;&gt;"",NOT(ISNUMBER(H301))),"Paid not a number",IF(AND(I301&lt;&gt;"",NOT(ISNUMBER(I301))),"Worth not a number",IF(AND(G301&lt;&gt;"",NOT(ISNUMBER(G301))),"Bought is not a date",IF(AND(L301&lt;&gt;"",NOT(ISNUMBER(L301))),"Warranty is not a date",""))))))))</f>
        <v/>
      </c>
      <c r="S301" s="1">
        <f>IF(AND(C301&lt;&gt;"",R301=""),1,0)</f>
        <v/>
      </c>
      <c r="T301">
        <f>IF(S301=1,N(N301),0)</f>
        <v/>
      </c>
      <c r="U301">
        <f>IF(AND(S301=1,T301&gt;0),ROUND(T301*100,0)*10000+10000-ROW(),"")</f>
        <v/>
      </c>
      <c r="V301">
        <f>IF(AND(S301=1,OR(Report!$C$5="",B301=Report!$C$5)),MATCH(B301,Rooms!$B$6:$B$35,0)*10000+ROW(),"")</f>
        <v/>
      </c>
      <c r="W301">
        <f>IF(AND(S301=1,OR(J301="",J301="No")),1,0)</f>
        <v/>
      </c>
      <c r="X301">
        <f>IF(AND(S301=1,K301=""),1,0)</f>
        <v/>
      </c>
      <c r="Y301">
        <f>IF(AND(S301=1,Q301&lt;&gt;""),ROUND(T301*100,0)*10000+10000-ROW(),"")</f>
        <v/>
      </c>
    </row>
    <row r="302">
      <c r="A302" s="1" t="n"/>
      <c r="B302" s="17" t="n"/>
      <c r="C302" s="18" t="n"/>
      <c r="D302" s="17" t="n"/>
      <c r="E302" s="19" t="n"/>
      <c r="F302" s="19" t="n"/>
      <c r="G302" s="20" t="n"/>
      <c r="H302" s="21" t="n"/>
      <c r="I302" s="21" t="n"/>
      <c r="J302" s="17" t="n"/>
      <c r="K302" s="19" t="n"/>
      <c r="L302" s="20" t="n"/>
      <c r="M302" s="19" t="n"/>
      <c r="N302" s="22">
        <f>IF(C302="","",IF(ISNUMBER(I302),I302,IF(ISNUMBER(H302),H302,"")))</f>
        <v/>
      </c>
      <c r="O302" s="23">
        <f>IF(OR(C302="",NOT(ISNUMBER(G302))),"",(TODAY()-INT(G302))/365.25)</f>
        <v/>
      </c>
      <c r="P302" s="13">
        <f>IF(OR(C302="",NOT(ISNUMBER(L302))),"",IF(L302&lt;TODAY(),"Ended",IF(L302-TODAY()&lt;=N(Settings!$C$10),"Ends soon","Covered")))</f>
        <v/>
      </c>
      <c r="Q302" s="13">
        <f>IF(C302="","",MID(IF(N302="",", value","")&amp;IF(OR(J302="",J302="No"),", receipt","")&amp;IF(K302="",", photo",""),3,100))</f>
        <v/>
      </c>
      <c r="R302" s="13">
        <f>IF(AND(B302="",C302=""),"",IF(C302="","Needs the item",IF(B302="","Needs a room",IF(COUNTIF(Rooms!$B$6:$B$35,B302)=0,"Not on Rooms",IF(AND(H302&lt;&gt;"",NOT(ISNUMBER(H302))),"Paid not a number",IF(AND(I302&lt;&gt;"",NOT(ISNUMBER(I302))),"Worth not a number",IF(AND(G302&lt;&gt;"",NOT(ISNUMBER(G302))),"Bought is not a date",IF(AND(L302&lt;&gt;"",NOT(ISNUMBER(L302))),"Warranty is not a date",""))))))))</f>
        <v/>
      </c>
      <c r="S302" s="1">
        <f>IF(AND(C302&lt;&gt;"",R302=""),1,0)</f>
        <v/>
      </c>
      <c r="T302">
        <f>IF(S302=1,N(N302),0)</f>
        <v/>
      </c>
      <c r="U302">
        <f>IF(AND(S302=1,T302&gt;0),ROUND(T302*100,0)*10000+10000-ROW(),"")</f>
        <v/>
      </c>
      <c r="V302">
        <f>IF(AND(S302=1,OR(Report!$C$5="",B302=Report!$C$5)),MATCH(B302,Rooms!$B$6:$B$35,0)*10000+ROW(),"")</f>
        <v/>
      </c>
      <c r="W302">
        <f>IF(AND(S302=1,OR(J302="",J302="No")),1,0)</f>
        <v/>
      </c>
      <c r="X302">
        <f>IF(AND(S302=1,K302=""),1,0)</f>
        <v/>
      </c>
      <c r="Y302">
        <f>IF(AND(S302=1,Q302&lt;&gt;""),ROUND(T302*100,0)*10000+10000-ROW(),"")</f>
        <v/>
      </c>
    </row>
    <row r="303">
      <c r="A303" s="1" t="n"/>
      <c r="B303" s="17" t="n"/>
      <c r="C303" s="18" t="n"/>
      <c r="D303" s="17" t="n"/>
      <c r="E303" s="19" t="n"/>
      <c r="F303" s="19" t="n"/>
      <c r="G303" s="20" t="n"/>
      <c r="H303" s="21" t="n"/>
      <c r="I303" s="21" t="n"/>
      <c r="J303" s="17" t="n"/>
      <c r="K303" s="19" t="n"/>
      <c r="L303" s="20" t="n"/>
      <c r="M303" s="19" t="n"/>
      <c r="N303" s="22">
        <f>IF(C303="","",IF(ISNUMBER(I303),I303,IF(ISNUMBER(H303),H303,"")))</f>
        <v/>
      </c>
      <c r="O303" s="23">
        <f>IF(OR(C303="",NOT(ISNUMBER(G303))),"",(TODAY()-INT(G303))/365.25)</f>
        <v/>
      </c>
      <c r="P303" s="13">
        <f>IF(OR(C303="",NOT(ISNUMBER(L303))),"",IF(L303&lt;TODAY(),"Ended",IF(L303-TODAY()&lt;=N(Settings!$C$10),"Ends soon","Covered")))</f>
        <v/>
      </c>
      <c r="Q303" s="13">
        <f>IF(C303="","",MID(IF(N303="",", value","")&amp;IF(OR(J303="",J303="No"),", receipt","")&amp;IF(K303="",", photo",""),3,100))</f>
        <v/>
      </c>
      <c r="R303" s="13">
        <f>IF(AND(B303="",C303=""),"",IF(C303="","Needs the item",IF(B303="","Needs a room",IF(COUNTIF(Rooms!$B$6:$B$35,B303)=0,"Not on Rooms",IF(AND(H303&lt;&gt;"",NOT(ISNUMBER(H303))),"Paid not a number",IF(AND(I303&lt;&gt;"",NOT(ISNUMBER(I303))),"Worth not a number",IF(AND(G303&lt;&gt;"",NOT(ISNUMBER(G303))),"Bought is not a date",IF(AND(L303&lt;&gt;"",NOT(ISNUMBER(L303))),"Warranty is not a date",""))))))))</f>
        <v/>
      </c>
      <c r="S303" s="1">
        <f>IF(AND(C303&lt;&gt;"",R303=""),1,0)</f>
        <v/>
      </c>
      <c r="T303">
        <f>IF(S303=1,N(N303),0)</f>
        <v/>
      </c>
      <c r="U303">
        <f>IF(AND(S303=1,T303&gt;0),ROUND(T303*100,0)*10000+10000-ROW(),"")</f>
        <v/>
      </c>
      <c r="V303">
        <f>IF(AND(S303=1,OR(Report!$C$5="",B303=Report!$C$5)),MATCH(B303,Rooms!$B$6:$B$35,0)*10000+ROW(),"")</f>
        <v/>
      </c>
      <c r="W303">
        <f>IF(AND(S303=1,OR(J303="",J303="No")),1,0)</f>
        <v/>
      </c>
      <c r="X303">
        <f>IF(AND(S303=1,K303=""),1,0)</f>
        <v/>
      </c>
      <c r="Y303">
        <f>IF(AND(S303=1,Q303&lt;&gt;""),ROUND(T303*100,0)*10000+10000-ROW(),"")</f>
        <v/>
      </c>
    </row>
    <row r="304">
      <c r="A304" s="1" t="n"/>
      <c r="B304" s="17" t="n"/>
      <c r="C304" s="18" t="n"/>
      <c r="D304" s="17" t="n"/>
      <c r="E304" s="19" t="n"/>
      <c r="F304" s="19" t="n"/>
      <c r="G304" s="20" t="n"/>
      <c r="H304" s="21" t="n"/>
      <c r="I304" s="21" t="n"/>
      <c r="J304" s="17" t="n"/>
      <c r="K304" s="19" t="n"/>
      <c r="L304" s="20" t="n"/>
      <c r="M304" s="19" t="n"/>
      <c r="N304" s="22">
        <f>IF(C304="","",IF(ISNUMBER(I304),I304,IF(ISNUMBER(H304),H304,"")))</f>
        <v/>
      </c>
      <c r="O304" s="23">
        <f>IF(OR(C304="",NOT(ISNUMBER(G304))),"",(TODAY()-INT(G304))/365.25)</f>
        <v/>
      </c>
      <c r="P304" s="13">
        <f>IF(OR(C304="",NOT(ISNUMBER(L304))),"",IF(L304&lt;TODAY(),"Ended",IF(L304-TODAY()&lt;=N(Settings!$C$10),"Ends soon","Covered")))</f>
        <v/>
      </c>
      <c r="Q304" s="13">
        <f>IF(C304="","",MID(IF(N304="",", value","")&amp;IF(OR(J304="",J304="No"),", receipt","")&amp;IF(K304="",", photo",""),3,100))</f>
        <v/>
      </c>
      <c r="R304" s="13">
        <f>IF(AND(B304="",C304=""),"",IF(C304="","Needs the item",IF(B304="","Needs a room",IF(COUNTIF(Rooms!$B$6:$B$35,B304)=0,"Not on Rooms",IF(AND(H304&lt;&gt;"",NOT(ISNUMBER(H304))),"Paid not a number",IF(AND(I304&lt;&gt;"",NOT(ISNUMBER(I304))),"Worth not a number",IF(AND(G304&lt;&gt;"",NOT(ISNUMBER(G304))),"Bought is not a date",IF(AND(L304&lt;&gt;"",NOT(ISNUMBER(L304))),"Warranty is not a date",""))))))))</f>
        <v/>
      </c>
      <c r="S304" s="1">
        <f>IF(AND(C304&lt;&gt;"",R304=""),1,0)</f>
        <v/>
      </c>
      <c r="T304">
        <f>IF(S304=1,N(N304),0)</f>
        <v/>
      </c>
      <c r="U304">
        <f>IF(AND(S304=1,T304&gt;0),ROUND(T304*100,0)*10000+10000-ROW(),"")</f>
        <v/>
      </c>
      <c r="V304">
        <f>IF(AND(S304=1,OR(Report!$C$5="",B304=Report!$C$5)),MATCH(B304,Rooms!$B$6:$B$35,0)*10000+ROW(),"")</f>
        <v/>
      </c>
      <c r="W304">
        <f>IF(AND(S304=1,OR(J304="",J304="No")),1,0)</f>
        <v/>
      </c>
      <c r="X304">
        <f>IF(AND(S304=1,K304=""),1,0)</f>
        <v/>
      </c>
      <c r="Y304">
        <f>IF(AND(S304=1,Q304&lt;&gt;""),ROUND(T304*100,0)*10000+10000-ROW(),"")</f>
        <v/>
      </c>
    </row>
    <row r="305">
      <c r="A305" s="1" t="n"/>
      <c r="B305" s="17" t="n"/>
      <c r="C305" s="18" t="n"/>
      <c r="D305" s="17" t="n"/>
      <c r="E305" s="19" t="n"/>
      <c r="F305" s="19" t="n"/>
      <c r="G305" s="20" t="n"/>
      <c r="H305" s="21" t="n"/>
      <c r="I305" s="21" t="n"/>
      <c r="J305" s="17" t="n"/>
      <c r="K305" s="19" t="n"/>
      <c r="L305" s="20" t="n"/>
      <c r="M305" s="19" t="n"/>
      <c r="N305" s="22">
        <f>IF(C305="","",IF(ISNUMBER(I305),I305,IF(ISNUMBER(H305),H305,"")))</f>
        <v/>
      </c>
      <c r="O305" s="23">
        <f>IF(OR(C305="",NOT(ISNUMBER(G305))),"",(TODAY()-INT(G305))/365.25)</f>
        <v/>
      </c>
      <c r="P305" s="13">
        <f>IF(OR(C305="",NOT(ISNUMBER(L305))),"",IF(L305&lt;TODAY(),"Ended",IF(L305-TODAY()&lt;=N(Settings!$C$10),"Ends soon","Covered")))</f>
        <v/>
      </c>
      <c r="Q305" s="13">
        <f>IF(C305="","",MID(IF(N305="",", value","")&amp;IF(OR(J305="",J305="No"),", receipt","")&amp;IF(K305="",", photo",""),3,100))</f>
        <v/>
      </c>
      <c r="R305" s="13">
        <f>IF(AND(B305="",C305=""),"",IF(C305="","Needs the item",IF(B305="","Needs a room",IF(COUNTIF(Rooms!$B$6:$B$35,B305)=0,"Not on Rooms",IF(AND(H305&lt;&gt;"",NOT(ISNUMBER(H305))),"Paid not a number",IF(AND(I305&lt;&gt;"",NOT(ISNUMBER(I305))),"Worth not a number",IF(AND(G305&lt;&gt;"",NOT(ISNUMBER(G305))),"Bought is not a date",IF(AND(L305&lt;&gt;"",NOT(ISNUMBER(L305))),"Warranty is not a date",""))))))))</f>
        <v/>
      </c>
      <c r="S305" s="1">
        <f>IF(AND(C305&lt;&gt;"",R305=""),1,0)</f>
        <v/>
      </c>
      <c r="T305">
        <f>IF(S305=1,N(N305),0)</f>
        <v/>
      </c>
      <c r="U305">
        <f>IF(AND(S305=1,T305&gt;0),ROUND(T305*100,0)*10000+10000-ROW(),"")</f>
        <v/>
      </c>
      <c r="V305">
        <f>IF(AND(S305=1,OR(Report!$C$5="",B305=Report!$C$5)),MATCH(B305,Rooms!$B$6:$B$35,0)*10000+ROW(),"")</f>
        <v/>
      </c>
      <c r="W305">
        <f>IF(AND(S305=1,OR(J305="",J305="No")),1,0)</f>
        <v/>
      </c>
      <c r="X305">
        <f>IF(AND(S305=1,K305=""),1,0)</f>
        <v/>
      </c>
      <c r="Y305">
        <f>IF(AND(S305=1,Q305&lt;&gt;""),ROUND(T305*100,0)*10000+10000-ROW(),"")</f>
        <v/>
      </c>
    </row>
    <row r="306">
      <c r="A306" s="1" t="n"/>
      <c r="B306" s="17" t="n"/>
      <c r="C306" s="18" t="n"/>
      <c r="D306" s="17" t="n"/>
      <c r="E306" s="19" t="n"/>
      <c r="F306" s="19" t="n"/>
      <c r="G306" s="20" t="n"/>
      <c r="H306" s="21" t="n"/>
      <c r="I306" s="21" t="n"/>
      <c r="J306" s="17" t="n"/>
      <c r="K306" s="19" t="n"/>
      <c r="L306" s="20" t="n"/>
      <c r="M306" s="19" t="n"/>
      <c r="N306" s="22">
        <f>IF(C306="","",IF(ISNUMBER(I306),I306,IF(ISNUMBER(H306),H306,"")))</f>
        <v/>
      </c>
      <c r="O306" s="23">
        <f>IF(OR(C306="",NOT(ISNUMBER(G306))),"",(TODAY()-INT(G306))/365.25)</f>
        <v/>
      </c>
      <c r="P306" s="13">
        <f>IF(OR(C306="",NOT(ISNUMBER(L306))),"",IF(L306&lt;TODAY(),"Ended",IF(L306-TODAY()&lt;=N(Settings!$C$10),"Ends soon","Covered")))</f>
        <v/>
      </c>
      <c r="Q306" s="13">
        <f>IF(C306="","",MID(IF(N306="",", value","")&amp;IF(OR(J306="",J306="No"),", receipt","")&amp;IF(K306="",", photo",""),3,100))</f>
        <v/>
      </c>
      <c r="R306" s="13">
        <f>IF(AND(B306="",C306=""),"",IF(C306="","Needs the item",IF(B306="","Needs a room",IF(COUNTIF(Rooms!$B$6:$B$35,B306)=0,"Not on Rooms",IF(AND(H306&lt;&gt;"",NOT(ISNUMBER(H306))),"Paid not a number",IF(AND(I306&lt;&gt;"",NOT(ISNUMBER(I306))),"Worth not a number",IF(AND(G306&lt;&gt;"",NOT(ISNUMBER(G306))),"Bought is not a date",IF(AND(L306&lt;&gt;"",NOT(ISNUMBER(L306))),"Warranty is not a date",""))))))))</f>
        <v/>
      </c>
      <c r="S306" s="1">
        <f>IF(AND(C306&lt;&gt;"",R306=""),1,0)</f>
        <v/>
      </c>
      <c r="T306">
        <f>IF(S306=1,N(N306),0)</f>
        <v/>
      </c>
      <c r="U306">
        <f>IF(AND(S306=1,T306&gt;0),ROUND(T306*100,0)*10000+10000-ROW(),"")</f>
        <v/>
      </c>
      <c r="V306">
        <f>IF(AND(S306=1,OR(Report!$C$5="",B306=Report!$C$5)),MATCH(B306,Rooms!$B$6:$B$35,0)*10000+ROW(),"")</f>
        <v/>
      </c>
      <c r="W306">
        <f>IF(AND(S306=1,OR(J306="",J306="No")),1,0)</f>
        <v/>
      </c>
      <c r="X306">
        <f>IF(AND(S306=1,K306=""),1,0)</f>
        <v/>
      </c>
      <c r="Y306">
        <f>IF(AND(S306=1,Q306&lt;&gt;""),ROUND(T306*100,0)*10000+10000-ROW(),"")</f>
        <v/>
      </c>
    </row>
    <row r="307">
      <c r="A307" s="1" t="n"/>
      <c r="B307" s="17" t="n"/>
      <c r="C307" s="18" t="n"/>
      <c r="D307" s="17" t="n"/>
      <c r="E307" s="19" t="n"/>
      <c r="F307" s="19" t="n"/>
      <c r="G307" s="20" t="n"/>
      <c r="H307" s="21" t="n"/>
      <c r="I307" s="21" t="n"/>
      <c r="J307" s="17" t="n"/>
      <c r="K307" s="19" t="n"/>
      <c r="L307" s="20" t="n"/>
      <c r="M307" s="19" t="n"/>
      <c r="N307" s="22">
        <f>IF(C307="","",IF(ISNUMBER(I307),I307,IF(ISNUMBER(H307),H307,"")))</f>
        <v/>
      </c>
      <c r="O307" s="23">
        <f>IF(OR(C307="",NOT(ISNUMBER(G307))),"",(TODAY()-INT(G307))/365.25)</f>
        <v/>
      </c>
      <c r="P307" s="13">
        <f>IF(OR(C307="",NOT(ISNUMBER(L307))),"",IF(L307&lt;TODAY(),"Ended",IF(L307-TODAY()&lt;=N(Settings!$C$10),"Ends soon","Covered")))</f>
        <v/>
      </c>
      <c r="Q307" s="13">
        <f>IF(C307="","",MID(IF(N307="",", value","")&amp;IF(OR(J307="",J307="No"),", receipt","")&amp;IF(K307="",", photo",""),3,100))</f>
        <v/>
      </c>
      <c r="R307" s="13">
        <f>IF(AND(B307="",C307=""),"",IF(C307="","Needs the item",IF(B307="","Needs a room",IF(COUNTIF(Rooms!$B$6:$B$35,B307)=0,"Not on Rooms",IF(AND(H307&lt;&gt;"",NOT(ISNUMBER(H307))),"Paid not a number",IF(AND(I307&lt;&gt;"",NOT(ISNUMBER(I307))),"Worth not a number",IF(AND(G307&lt;&gt;"",NOT(ISNUMBER(G307))),"Bought is not a date",IF(AND(L307&lt;&gt;"",NOT(ISNUMBER(L307))),"Warranty is not a date",""))))))))</f>
        <v/>
      </c>
      <c r="S307" s="1">
        <f>IF(AND(C307&lt;&gt;"",R307=""),1,0)</f>
        <v/>
      </c>
      <c r="T307">
        <f>IF(S307=1,N(N307),0)</f>
        <v/>
      </c>
      <c r="U307">
        <f>IF(AND(S307=1,T307&gt;0),ROUND(T307*100,0)*10000+10000-ROW(),"")</f>
        <v/>
      </c>
      <c r="V307">
        <f>IF(AND(S307=1,OR(Report!$C$5="",B307=Report!$C$5)),MATCH(B307,Rooms!$B$6:$B$35,0)*10000+ROW(),"")</f>
        <v/>
      </c>
      <c r="W307">
        <f>IF(AND(S307=1,OR(J307="",J307="No")),1,0)</f>
        <v/>
      </c>
      <c r="X307">
        <f>IF(AND(S307=1,K307=""),1,0)</f>
        <v/>
      </c>
      <c r="Y307">
        <f>IF(AND(S307=1,Q307&lt;&gt;""),ROUND(T307*100,0)*10000+10000-ROW(),"")</f>
        <v/>
      </c>
    </row>
    <row r="308">
      <c r="A308" s="1" t="n"/>
      <c r="B308" s="17" t="n"/>
      <c r="C308" s="18" t="n"/>
      <c r="D308" s="17" t="n"/>
      <c r="E308" s="19" t="n"/>
      <c r="F308" s="19" t="n"/>
      <c r="G308" s="20" t="n"/>
      <c r="H308" s="21" t="n"/>
      <c r="I308" s="21" t="n"/>
      <c r="J308" s="17" t="n"/>
      <c r="K308" s="19" t="n"/>
      <c r="L308" s="20" t="n"/>
      <c r="M308" s="19" t="n"/>
      <c r="N308" s="22">
        <f>IF(C308="","",IF(ISNUMBER(I308),I308,IF(ISNUMBER(H308),H308,"")))</f>
        <v/>
      </c>
      <c r="O308" s="23">
        <f>IF(OR(C308="",NOT(ISNUMBER(G308))),"",(TODAY()-INT(G308))/365.25)</f>
        <v/>
      </c>
      <c r="P308" s="13">
        <f>IF(OR(C308="",NOT(ISNUMBER(L308))),"",IF(L308&lt;TODAY(),"Ended",IF(L308-TODAY()&lt;=N(Settings!$C$10),"Ends soon","Covered")))</f>
        <v/>
      </c>
      <c r="Q308" s="13">
        <f>IF(C308="","",MID(IF(N308="",", value","")&amp;IF(OR(J308="",J308="No"),", receipt","")&amp;IF(K308="",", photo",""),3,100))</f>
        <v/>
      </c>
      <c r="R308" s="13">
        <f>IF(AND(B308="",C308=""),"",IF(C308="","Needs the item",IF(B308="","Needs a room",IF(COUNTIF(Rooms!$B$6:$B$35,B308)=0,"Not on Rooms",IF(AND(H308&lt;&gt;"",NOT(ISNUMBER(H308))),"Paid not a number",IF(AND(I308&lt;&gt;"",NOT(ISNUMBER(I308))),"Worth not a number",IF(AND(G308&lt;&gt;"",NOT(ISNUMBER(G308))),"Bought is not a date",IF(AND(L308&lt;&gt;"",NOT(ISNUMBER(L308))),"Warranty is not a date",""))))))))</f>
        <v/>
      </c>
      <c r="S308" s="1">
        <f>IF(AND(C308&lt;&gt;"",R308=""),1,0)</f>
        <v/>
      </c>
      <c r="T308">
        <f>IF(S308=1,N(N308),0)</f>
        <v/>
      </c>
      <c r="U308">
        <f>IF(AND(S308=1,T308&gt;0),ROUND(T308*100,0)*10000+10000-ROW(),"")</f>
        <v/>
      </c>
      <c r="V308">
        <f>IF(AND(S308=1,OR(Report!$C$5="",B308=Report!$C$5)),MATCH(B308,Rooms!$B$6:$B$35,0)*10000+ROW(),"")</f>
        <v/>
      </c>
      <c r="W308">
        <f>IF(AND(S308=1,OR(J308="",J308="No")),1,0)</f>
        <v/>
      </c>
      <c r="X308">
        <f>IF(AND(S308=1,K308=""),1,0)</f>
        <v/>
      </c>
      <c r="Y308">
        <f>IF(AND(S308=1,Q308&lt;&gt;""),ROUND(T308*100,0)*10000+10000-ROW(),"")</f>
        <v/>
      </c>
    </row>
    <row r="309">
      <c r="A309" s="1" t="n"/>
      <c r="B309" s="17" t="n"/>
      <c r="C309" s="18" t="n"/>
      <c r="D309" s="17" t="n"/>
      <c r="E309" s="19" t="n"/>
      <c r="F309" s="19" t="n"/>
      <c r="G309" s="20" t="n"/>
      <c r="H309" s="21" t="n"/>
      <c r="I309" s="21" t="n"/>
      <c r="J309" s="17" t="n"/>
      <c r="K309" s="19" t="n"/>
      <c r="L309" s="20" t="n"/>
      <c r="M309" s="19" t="n"/>
      <c r="N309" s="22">
        <f>IF(C309="","",IF(ISNUMBER(I309),I309,IF(ISNUMBER(H309),H309,"")))</f>
        <v/>
      </c>
      <c r="O309" s="23">
        <f>IF(OR(C309="",NOT(ISNUMBER(G309))),"",(TODAY()-INT(G309))/365.25)</f>
        <v/>
      </c>
      <c r="P309" s="13">
        <f>IF(OR(C309="",NOT(ISNUMBER(L309))),"",IF(L309&lt;TODAY(),"Ended",IF(L309-TODAY()&lt;=N(Settings!$C$10),"Ends soon","Covered")))</f>
        <v/>
      </c>
      <c r="Q309" s="13">
        <f>IF(C309="","",MID(IF(N309="",", value","")&amp;IF(OR(J309="",J309="No"),", receipt","")&amp;IF(K309="",", photo",""),3,100))</f>
        <v/>
      </c>
      <c r="R309" s="13">
        <f>IF(AND(B309="",C309=""),"",IF(C309="","Needs the item",IF(B309="","Needs a room",IF(COUNTIF(Rooms!$B$6:$B$35,B309)=0,"Not on Rooms",IF(AND(H309&lt;&gt;"",NOT(ISNUMBER(H309))),"Paid not a number",IF(AND(I309&lt;&gt;"",NOT(ISNUMBER(I309))),"Worth not a number",IF(AND(G309&lt;&gt;"",NOT(ISNUMBER(G309))),"Bought is not a date",IF(AND(L309&lt;&gt;"",NOT(ISNUMBER(L309))),"Warranty is not a date",""))))))))</f>
        <v/>
      </c>
      <c r="S309" s="1">
        <f>IF(AND(C309&lt;&gt;"",R309=""),1,0)</f>
        <v/>
      </c>
      <c r="T309">
        <f>IF(S309=1,N(N309),0)</f>
        <v/>
      </c>
      <c r="U309">
        <f>IF(AND(S309=1,T309&gt;0),ROUND(T309*100,0)*10000+10000-ROW(),"")</f>
        <v/>
      </c>
      <c r="V309">
        <f>IF(AND(S309=1,OR(Report!$C$5="",B309=Report!$C$5)),MATCH(B309,Rooms!$B$6:$B$35,0)*10000+ROW(),"")</f>
        <v/>
      </c>
      <c r="W309">
        <f>IF(AND(S309=1,OR(J309="",J309="No")),1,0)</f>
        <v/>
      </c>
      <c r="X309">
        <f>IF(AND(S309=1,K309=""),1,0)</f>
        <v/>
      </c>
      <c r="Y309">
        <f>IF(AND(S309=1,Q309&lt;&gt;""),ROUND(T309*100,0)*10000+10000-ROW(),"")</f>
        <v/>
      </c>
    </row>
    <row r="310">
      <c r="A310" s="1" t="n"/>
      <c r="B310" s="17" t="n"/>
      <c r="C310" s="18" t="n"/>
      <c r="D310" s="17" t="n"/>
      <c r="E310" s="19" t="n"/>
      <c r="F310" s="19" t="n"/>
      <c r="G310" s="20" t="n"/>
      <c r="H310" s="21" t="n"/>
      <c r="I310" s="21" t="n"/>
      <c r="J310" s="17" t="n"/>
      <c r="K310" s="19" t="n"/>
      <c r="L310" s="20" t="n"/>
      <c r="M310" s="19" t="n"/>
      <c r="N310" s="22">
        <f>IF(C310="","",IF(ISNUMBER(I310),I310,IF(ISNUMBER(H310),H310,"")))</f>
        <v/>
      </c>
      <c r="O310" s="23">
        <f>IF(OR(C310="",NOT(ISNUMBER(G310))),"",(TODAY()-INT(G310))/365.25)</f>
        <v/>
      </c>
      <c r="P310" s="13">
        <f>IF(OR(C310="",NOT(ISNUMBER(L310))),"",IF(L310&lt;TODAY(),"Ended",IF(L310-TODAY()&lt;=N(Settings!$C$10),"Ends soon","Covered")))</f>
        <v/>
      </c>
      <c r="Q310" s="13">
        <f>IF(C310="","",MID(IF(N310="",", value","")&amp;IF(OR(J310="",J310="No"),", receipt","")&amp;IF(K310="",", photo",""),3,100))</f>
        <v/>
      </c>
      <c r="R310" s="13">
        <f>IF(AND(B310="",C310=""),"",IF(C310="","Needs the item",IF(B310="","Needs a room",IF(COUNTIF(Rooms!$B$6:$B$35,B310)=0,"Not on Rooms",IF(AND(H310&lt;&gt;"",NOT(ISNUMBER(H310))),"Paid not a number",IF(AND(I310&lt;&gt;"",NOT(ISNUMBER(I310))),"Worth not a number",IF(AND(G310&lt;&gt;"",NOT(ISNUMBER(G310))),"Bought is not a date",IF(AND(L310&lt;&gt;"",NOT(ISNUMBER(L310))),"Warranty is not a date",""))))))))</f>
        <v/>
      </c>
      <c r="S310" s="1">
        <f>IF(AND(C310&lt;&gt;"",R310=""),1,0)</f>
        <v/>
      </c>
      <c r="T310">
        <f>IF(S310=1,N(N310),0)</f>
        <v/>
      </c>
      <c r="U310">
        <f>IF(AND(S310=1,T310&gt;0),ROUND(T310*100,0)*10000+10000-ROW(),"")</f>
        <v/>
      </c>
      <c r="V310">
        <f>IF(AND(S310=1,OR(Report!$C$5="",B310=Report!$C$5)),MATCH(B310,Rooms!$B$6:$B$35,0)*10000+ROW(),"")</f>
        <v/>
      </c>
      <c r="W310">
        <f>IF(AND(S310=1,OR(J310="",J310="No")),1,0)</f>
        <v/>
      </c>
      <c r="X310">
        <f>IF(AND(S310=1,K310=""),1,0)</f>
        <v/>
      </c>
      <c r="Y310">
        <f>IF(AND(S310=1,Q310&lt;&gt;""),ROUND(T310*100,0)*10000+10000-ROW(),"")</f>
        <v/>
      </c>
    </row>
    <row r="311">
      <c r="A311" s="1" t="n"/>
      <c r="B311" s="17" t="n"/>
      <c r="C311" s="18" t="n"/>
      <c r="D311" s="17" t="n"/>
      <c r="E311" s="19" t="n"/>
      <c r="F311" s="19" t="n"/>
      <c r="G311" s="20" t="n"/>
      <c r="H311" s="21" t="n"/>
      <c r="I311" s="21" t="n"/>
      <c r="J311" s="17" t="n"/>
      <c r="K311" s="19" t="n"/>
      <c r="L311" s="20" t="n"/>
      <c r="M311" s="19" t="n"/>
      <c r="N311" s="22">
        <f>IF(C311="","",IF(ISNUMBER(I311),I311,IF(ISNUMBER(H311),H311,"")))</f>
        <v/>
      </c>
      <c r="O311" s="23">
        <f>IF(OR(C311="",NOT(ISNUMBER(G311))),"",(TODAY()-INT(G311))/365.25)</f>
        <v/>
      </c>
      <c r="P311" s="13">
        <f>IF(OR(C311="",NOT(ISNUMBER(L311))),"",IF(L311&lt;TODAY(),"Ended",IF(L311-TODAY()&lt;=N(Settings!$C$10),"Ends soon","Covered")))</f>
        <v/>
      </c>
      <c r="Q311" s="13">
        <f>IF(C311="","",MID(IF(N311="",", value","")&amp;IF(OR(J311="",J311="No"),", receipt","")&amp;IF(K311="",", photo",""),3,100))</f>
        <v/>
      </c>
      <c r="R311" s="13">
        <f>IF(AND(B311="",C311=""),"",IF(C311="","Needs the item",IF(B311="","Needs a room",IF(COUNTIF(Rooms!$B$6:$B$35,B311)=0,"Not on Rooms",IF(AND(H311&lt;&gt;"",NOT(ISNUMBER(H311))),"Paid not a number",IF(AND(I311&lt;&gt;"",NOT(ISNUMBER(I311))),"Worth not a number",IF(AND(G311&lt;&gt;"",NOT(ISNUMBER(G311))),"Bought is not a date",IF(AND(L311&lt;&gt;"",NOT(ISNUMBER(L311))),"Warranty is not a date",""))))))))</f>
        <v/>
      </c>
      <c r="S311" s="1">
        <f>IF(AND(C311&lt;&gt;"",R311=""),1,0)</f>
        <v/>
      </c>
      <c r="T311">
        <f>IF(S311=1,N(N311),0)</f>
        <v/>
      </c>
      <c r="U311">
        <f>IF(AND(S311=1,T311&gt;0),ROUND(T311*100,0)*10000+10000-ROW(),"")</f>
        <v/>
      </c>
      <c r="V311">
        <f>IF(AND(S311=1,OR(Report!$C$5="",B311=Report!$C$5)),MATCH(B311,Rooms!$B$6:$B$35,0)*10000+ROW(),"")</f>
        <v/>
      </c>
      <c r="W311">
        <f>IF(AND(S311=1,OR(J311="",J311="No")),1,0)</f>
        <v/>
      </c>
      <c r="X311">
        <f>IF(AND(S311=1,K311=""),1,0)</f>
        <v/>
      </c>
      <c r="Y311">
        <f>IF(AND(S311=1,Q311&lt;&gt;""),ROUND(T311*100,0)*10000+10000-ROW(),"")</f>
        <v/>
      </c>
    </row>
    <row r="312">
      <c r="A312" s="1" t="n"/>
      <c r="B312" s="17" t="n"/>
      <c r="C312" s="18" t="n"/>
      <c r="D312" s="17" t="n"/>
      <c r="E312" s="19" t="n"/>
      <c r="F312" s="19" t="n"/>
      <c r="G312" s="20" t="n"/>
      <c r="H312" s="21" t="n"/>
      <c r="I312" s="21" t="n"/>
      <c r="J312" s="17" t="n"/>
      <c r="K312" s="19" t="n"/>
      <c r="L312" s="20" t="n"/>
      <c r="M312" s="19" t="n"/>
      <c r="N312" s="22">
        <f>IF(C312="","",IF(ISNUMBER(I312),I312,IF(ISNUMBER(H312),H312,"")))</f>
        <v/>
      </c>
      <c r="O312" s="23">
        <f>IF(OR(C312="",NOT(ISNUMBER(G312))),"",(TODAY()-INT(G312))/365.25)</f>
        <v/>
      </c>
      <c r="P312" s="13">
        <f>IF(OR(C312="",NOT(ISNUMBER(L312))),"",IF(L312&lt;TODAY(),"Ended",IF(L312-TODAY()&lt;=N(Settings!$C$10),"Ends soon","Covered")))</f>
        <v/>
      </c>
      <c r="Q312" s="13">
        <f>IF(C312="","",MID(IF(N312="",", value","")&amp;IF(OR(J312="",J312="No"),", receipt","")&amp;IF(K312="",", photo",""),3,100))</f>
        <v/>
      </c>
      <c r="R312" s="13">
        <f>IF(AND(B312="",C312=""),"",IF(C312="","Needs the item",IF(B312="","Needs a room",IF(COUNTIF(Rooms!$B$6:$B$35,B312)=0,"Not on Rooms",IF(AND(H312&lt;&gt;"",NOT(ISNUMBER(H312))),"Paid not a number",IF(AND(I312&lt;&gt;"",NOT(ISNUMBER(I312))),"Worth not a number",IF(AND(G312&lt;&gt;"",NOT(ISNUMBER(G312))),"Bought is not a date",IF(AND(L312&lt;&gt;"",NOT(ISNUMBER(L312))),"Warranty is not a date",""))))))))</f>
        <v/>
      </c>
      <c r="S312" s="1">
        <f>IF(AND(C312&lt;&gt;"",R312=""),1,0)</f>
        <v/>
      </c>
      <c r="T312">
        <f>IF(S312=1,N(N312),0)</f>
        <v/>
      </c>
      <c r="U312">
        <f>IF(AND(S312=1,T312&gt;0),ROUND(T312*100,0)*10000+10000-ROW(),"")</f>
        <v/>
      </c>
      <c r="V312">
        <f>IF(AND(S312=1,OR(Report!$C$5="",B312=Report!$C$5)),MATCH(B312,Rooms!$B$6:$B$35,0)*10000+ROW(),"")</f>
        <v/>
      </c>
      <c r="W312">
        <f>IF(AND(S312=1,OR(J312="",J312="No")),1,0)</f>
        <v/>
      </c>
      <c r="X312">
        <f>IF(AND(S312=1,K312=""),1,0)</f>
        <v/>
      </c>
      <c r="Y312">
        <f>IF(AND(S312=1,Q312&lt;&gt;""),ROUND(T312*100,0)*10000+10000-ROW(),"")</f>
        <v/>
      </c>
    </row>
    <row r="313">
      <c r="A313" s="1" t="n"/>
      <c r="B313" s="17" t="n"/>
      <c r="C313" s="18" t="n"/>
      <c r="D313" s="17" t="n"/>
      <c r="E313" s="19" t="n"/>
      <c r="F313" s="19" t="n"/>
      <c r="G313" s="20" t="n"/>
      <c r="H313" s="21" t="n"/>
      <c r="I313" s="21" t="n"/>
      <c r="J313" s="17" t="n"/>
      <c r="K313" s="19" t="n"/>
      <c r="L313" s="20" t="n"/>
      <c r="M313" s="19" t="n"/>
      <c r="N313" s="22">
        <f>IF(C313="","",IF(ISNUMBER(I313),I313,IF(ISNUMBER(H313),H313,"")))</f>
        <v/>
      </c>
      <c r="O313" s="23">
        <f>IF(OR(C313="",NOT(ISNUMBER(G313))),"",(TODAY()-INT(G313))/365.25)</f>
        <v/>
      </c>
      <c r="P313" s="13">
        <f>IF(OR(C313="",NOT(ISNUMBER(L313))),"",IF(L313&lt;TODAY(),"Ended",IF(L313-TODAY()&lt;=N(Settings!$C$10),"Ends soon","Covered")))</f>
        <v/>
      </c>
      <c r="Q313" s="13">
        <f>IF(C313="","",MID(IF(N313="",", value","")&amp;IF(OR(J313="",J313="No"),", receipt","")&amp;IF(K313="",", photo",""),3,100))</f>
        <v/>
      </c>
      <c r="R313" s="13">
        <f>IF(AND(B313="",C313=""),"",IF(C313="","Needs the item",IF(B313="","Needs a room",IF(COUNTIF(Rooms!$B$6:$B$35,B313)=0,"Not on Rooms",IF(AND(H313&lt;&gt;"",NOT(ISNUMBER(H313))),"Paid not a number",IF(AND(I313&lt;&gt;"",NOT(ISNUMBER(I313))),"Worth not a number",IF(AND(G313&lt;&gt;"",NOT(ISNUMBER(G313))),"Bought is not a date",IF(AND(L313&lt;&gt;"",NOT(ISNUMBER(L313))),"Warranty is not a date",""))))))))</f>
        <v/>
      </c>
      <c r="S313" s="1">
        <f>IF(AND(C313&lt;&gt;"",R313=""),1,0)</f>
        <v/>
      </c>
      <c r="T313">
        <f>IF(S313=1,N(N313),0)</f>
        <v/>
      </c>
      <c r="U313">
        <f>IF(AND(S313=1,T313&gt;0),ROUND(T313*100,0)*10000+10000-ROW(),"")</f>
        <v/>
      </c>
      <c r="V313">
        <f>IF(AND(S313=1,OR(Report!$C$5="",B313=Report!$C$5)),MATCH(B313,Rooms!$B$6:$B$35,0)*10000+ROW(),"")</f>
        <v/>
      </c>
      <c r="W313">
        <f>IF(AND(S313=1,OR(J313="",J313="No")),1,0)</f>
        <v/>
      </c>
      <c r="X313">
        <f>IF(AND(S313=1,K313=""),1,0)</f>
        <v/>
      </c>
      <c r="Y313">
        <f>IF(AND(S313=1,Q313&lt;&gt;""),ROUND(T313*100,0)*10000+10000-ROW(),"")</f>
        <v/>
      </c>
    </row>
    <row r="314">
      <c r="A314" s="1" t="n"/>
      <c r="B314" s="17" t="n"/>
      <c r="C314" s="18" t="n"/>
      <c r="D314" s="17" t="n"/>
      <c r="E314" s="19" t="n"/>
      <c r="F314" s="19" t="n"/>
      <c r="G314" s="20" t="n"/>
      <c r="H314" s="21" t="n"/>
      <c r="I314" s="21" t="n"/>
      <c r="J314" s="17" t="n"/>
      <c r="K314" s="19" t="n"/>
      <c r="L314" s="20" t="n"/>
      <c r="M314" s="19" t="n"/>
      <c r="N314" s="22">
        <f>IF(C314="","",IF(ISNUMBER(I314),I314,IF(ISNUMBER(H314),H314,"")))</f>
        <v/>
      </c>
      <c r="O314" s="23">
        <f>IF(OR(C314="",NOT(ISNUMBER(G314))),"",(TODAY()-INT(G314))/365.25)</f>
        <v/>
      </c>
      <c r="P314" s="13">
        <f>IF(OR(C314="",NOT(ISNUMBER(L314))),"",IF(L314&lt;TODAY(),"Ended",IF(L314-TODAY()&lt;=N(Settings!$C$10),"Ends soon","Covered")))</f>
        <v/>
      </c>
      <c r="Q314" s="13">
        <f>IF(C314="","",MID(IF(N314="",", value","")&amp;IF(OR(J314="",J314="No"),", receipt","")&amp;IF(K314="",", photo",""),3,100))</f>
        <v/>
      </c>
      <c r="R314" s="13">
        <f>IF(AND(B314="",C314=""),"",IF(C314="","Needs the item",IF(B314="","Needs a room",IF(COUNTIF(Rooms!$B$6:$B$35,B314)=0,"Not on Rooms",IF(AND(H314&lt;&gt;"",NOT(ISNUMBER(H314))),"Paid not a number",IF(AND(I314&lt;&gt;"",NOT(ISNUMBER(I314))),"Worth not a number",IF(AND(G314&lt;&gt;"",NOT(ISNUMBER(G314))),"Bought is not a date",IF(AND(L314&lt;&gt;"",NOT(ISNUMBER(L314))),"Warranty is not a date",""))))))))</f>
        <v/>
      </c>
      <c r="S314" s="1">
        <f>IF(AND(C314&lt;&gt;"",R314=""),1,0)</f>
        <v/>
      </c>
      <c r="T314">
        <f>IF(S314=1,N(N314),0)</f>
        <v/>
      </c>
      <c r="U314">
        <f>IF(AND(S314=1,T314&gt;0),ROUND(T314*100,0)*10000+10000-ROW(),"")</f>
        <v/>
      </c>
      <c r="V314">
        <f>IF(AND(S314=1,OR(Report!$C$5="",B314=Report!$C$5)),MATCH(B314,Rooms!$B$6:$B$35,0)*10000+ROW(),"")</f>
        <v/>
      </c>
      <c r="W314">
        <f>IF(AND(S314=1,OR(J314="",J314="No")),1,0)</f>
        <v/>
      </c>
      <c r="X314">
        <f>IF(AND(S314=1,K314=""),1,0)</f>
        <v/>
      </c>
      <c r="Y314">
        <f>IF(AND(S314=1,Q314&lt;&gt;""),ROUND(T314*100,0)*10000+10000-ROW(),"")</f>
        <v/>
      </c>
    </row>
    <row r="315">
      <c r="A315" s="1" t="n"/>
      <c r="B315" s="17" t="n"/>
      <c r="C315" s="18" t="n"/>
      <c r="D315" s="17" t="n"/>
      <c r="E315" s="19" t="n"/>
      <c r="F315" s="19" t="n"/>
      <c r="G315" s="20" t="n"/>
      <c r="H315" s="21" t="n"/>
      <c r="I315" s="21" t="n"/>
      <c r="J315" s="17" t="n"/>
      <c r="K315" s="19" t="n"/>
      <c r="L315" s="20" t="n"/>
      <c r="M315" s="19" t="n"/>
      <c r="N315" s="22">
        <f>IF(C315="","",IF(ISNUMBER(I315),I315,IF(ISNUMBER(H315),H315,"")))</f>
        <v/>
      </c>
      <c r="O315" s="23">
        <f>IF(OR(C315="",NOT(ISNUMBER(G315))),"",(TODAY()-INT(G315))/365.25)</f>
        <v/>
      </c>
      <c r="P315" s="13">
        <f>IF(OR(C315="",NOT(ISNUMBER(L315))),"",IF(L315&lt;TODAY(),"Ended",IF(L315-TODAY()&lt;=N(Settings!$C$10),"Ends soon","Covered")))</f>
        <v/>
      </c>
      <c r="Q315" s="13">
        <f>IF(C315="","",MID(IF(N315="",", value","")&amp;IF(OR(J315="",J315="No"),", receipt","")&amp;IF(K315="",", photo",""),3,100))</f>
        <v/>
      </c>
      <c r="R315" s="13">
        <f>IF(AND(B315="",C315=""),"",IF(C315="","Needs the item",IF(B315="","Needs a room",IF(COUNTIF(Rooms!$B$6:$B$35,B315)=0,"Not on Rooms",IF(AND(H315&lt;&gt;"",NOT(ISNUMBER(H315))),"Paid not a number",IF(AND(I315&lt;&gt;"",NOT(ISNUMBER(I315))),"Worth not a number",IF(AND(G315&lt;&gt;"",NOT(ISNUMBER(G315))),"Bought is not a date",IF(AND(L315&lt;&gt;"",NOT(ISNUMBER(L315))),"Warranty is not a date",""))))))))</f>
        <v/>
      </c>
      <c r="S315" s="1">
        <f>IF(AND(C315&lt;&gt;"",R315=""),1,0)</f>
        <v/>
      </c>
      <c r="T315">
        <f>IF(S315=1,N(N315),0)</f>
        <v/>
      </c>
      <c r="U315">
        <f>IF(AND(S315=1,T315&gt;0),ROUND(T315*100,0)*10000+10000-ROW(),"")</f>
        <v/>
      </c>
      <c r="V315">
        <f>IF(AND(S315=1,OR(Report!$C$5="",B315=Report!$C$5)),MATCH(B315,Rooms!$B$6:$B$35,0)*10000+ROW(),"")</f>
        <v/>
      </c>
      <c r="W315">
        <f>IF(AND(S315=1,OR(J315="",J315="No")),1,0)</f>
        <v/>
      </c>
      <c r="X315">
        <f>IF(AND(S315=1,K315=""),1,0)</f>
        <v/>
      </c>
      <c r="Y315">
        <f>IF(AND(S315=1,Q315&lt;&gt;""),ROUND(T315*100,0)*10000+10000-ROW(),"")</f>
        <v/>
      </c>
    </row>
    <row r="316">
      <c r="A316" s="1" t="n"/>
      <c r="B316" s="17" t="n"/>
      <c r="C316" s="18" t="n"/>
      <c r="D316" s="17" t="n"/>
      <c r="E316" s="19" t="n"/>
      <c r="F316" s="19" t="n"/>
      <c r="G316" s="20" t="n"/>
      <c r="H316" s="21" t="n"/>
      <c r="I316" s="21" t="n"/>
      <c r="J316" s="17" t="n"/>
      <c r="K316" s="19" t="n"/>
      <c r="L316" s="20" t="n"/>
      <c r="M316" s="19" t="n"/>
      <c r="N316" s="22">
        <f>IF(C316="","",IF(ISNUMBER(I316),I316,IF(ISNUMBER(H316),H316,"")))</f>
        <v/>
      </c>
      <c r="O316" s="23">
        <f>IF(OR(C316="",NOT(ISNUMBER(G316))),"",(TODAY()-INT(G316))/365.25)</f>
        <v/>
      </c>
      <c r="P316" s="13">
        <f>IF(OR(C316="",NOT(ISNUMBER(L316))),"",IF(L316&lt;TODAY(),"Ended",IF(L316-TODAY()&lt;=N(Settings!$C$10),"Ends soon","Covered")))</f>
        <v/>
      </c>
      <c r="Q316" s="13">
        <f>IF(C316="","",MID(IF(N316="",", value","")&amp;IF(OR(J316="",J316="No"),", receipt","")&amp;IF(K316="",", photo",""),3,100))</f>
        <v/>
      </c>
      <c r="R316" s="13">
        <f>IF(AND(B316="",C316=""),"",IF(C316="","Needs the item",IF(B316="","Needs a room",IF(COUNTIF(Rooms!$B$6:$B$35,B316)=0,"Not on Rooms",IF(AND(H316&lt;&gt;"",NOT(ISNUMBER(H316))),"Paid not a number",IF(AND(I316&lt;&gt;"",NOT(ISNUMBER(I316))),"Worth not a number",IF(AND(G316&lt;&gt;"",NOT(ISNUMBER(G316))),"Bought is not a date",IF(AND(L316&lt;&gt;"",NOT(ISNUMBER(L316))),"Warranty is not a date",""))))))))</f>
        <v/>
      </c>
      <c r="S316" s="1">
        <f>IF(AND(C316&lt;&gt;"",R316=""),1,0)</f>
        <v/>
      </c>
      <c r="T316">
        <f>IF(S316=1,N(N316),0)</f>
        <v/>
      </c>
      <c r="U316">
        <f>IF(AND(S316=1,T316&gt;0),ROUND(T316*100,0)*10000+10000-ROW(),"")</f>
        <v/>
      </c>
      <c r="V316">
        <f>IF(AND(S316=1,OR(Report!$C$5="",B316=Report!$C$5)),MATCH(B316,Rooms!$B$6:$B$35,0)*10000+ROW(),"")</f>
        <v/>
      </c>
      <c r="W316">
        <f>IF(AND(S316=1,OR(J316="",J316="No")),1,0)</f>
        <v/>
      </c>
      <c r="X316">
        <f>IF(AND(S316=1,K316=""),1,0)</f>
        <v/>
      </c>
      <c r="Y316">
        <f>IF(AND(S316=1,Q316&lt;&gt;""),ROUND(T316*100,0)*10000+10000-ROW(),"")</f>
        <v/>
      </c>
    </row>
    <row r="317">
      <c r="A317" s="1" t="n"/>
      <c r="B317" s="17" t="n"/>
      <c r="C317" s="18" t="n"/>
      <c r="D317" s="17" t="n"/>
      <c r="E317" s="19" t="n"/>
      <c r="F317" s="19" t="n"/>
      <c r="G317" s="20" t="n"/>
      <c r="H317" s="21" t="n"/>
      <c r="I317" s="21" t="n"/>
      <c r="J317" s="17" t="n"/>
      <c r="K317" s="19" t="n"/>
      <c r="L317" s="20" t="n"/>
      <c r="M317" s="19" t="n"/>
      <c r="N317" s="22">
        <f>IF(C317="","",IF(ISNUMBER(I317),I317,IF(ISNUMBER(H317),H317,"")))</f>
        <v/>
      </c>
      <c r="O317" s="23">
        <f>IF(OR(C317="",NOT(ISNUMBER(G317))),"",(TODAY()-INT(G317))/365.25)</f>
        <v/>
      </c>
      <c r="P317" s="13">
        <f>IF(OR(C317="",NOT(ISNUMBER(L317))),"",IF(L317&lt;TODAY(),"Ended",IF(L317-TODAY()&lt;=N(Settings!$C$10),"Ends soon","Covered")))</f>
        <v/>
      </c>
      <c r="Q317" s="13">
        <f>IF(C317="","",MID(IF(N317="",", value","")&amp;IF(OR(J317="",J317="No"),", receipt","")&amp;IF(K317="",", photo",""),3,100))</f>
        <v/>
      </c>
      <c r="R317" s="13">
        <f>IF(AND(B317="",C317=""),"",IF(C317="","Needs the item",IF(B317="","Needs a room",IF(COUNTIF(Rooms!$B$6:$B$35,B317)=0,"Not on Rooms",IF(AND(H317&lt;&gt;"",NOT(ISNUMBER(H317))),"Paid not a number",IF(AND(I317&lt;&gt;"",NOT(ISNUMBER(I317))),"Worth not a number",IF(AND(G317&lt;&gt;"",NOT(ISNUMBER(G317))),"Bought is not a date",IF(AND(L317&lt;&gt;"",NOT(ISNUMBER(L317))),"Warranty is not a date",""))))))))</f>
        <v/>
      </c>
      <c r="S317" s="1">
        <f>IF(AND(C317&lt;&gt;"",R317=""),1,0)</f>
        <v/>
      </c>
      <c r="T317">
        <f>IF(S317=1,N(N317),0)</f>
        <v/>
      </c>
      <c r="U317">
        <f>IF(AND(S317=1,T317&gt;0),ROUND(T317*100,0)*10000+10000-ROW(),"")</f>
        <v/>
      </c>
      <c r="V317">
        <f>IF(AND(S317=1,OR(Report!$C$5="",B317=Report!$C$5)),MATCH(B317,Rooms!$B$6:$B$35,0)*10000+ROW(),"")</f>
        <v/>
      </c>
      <c r="W317">
        <f>IF(AND(S317=1,OR(J317="",J317="No")),1,0)</f>
        <v/>
      </c>
      <c r="X317">
        <f>IF(AND(S317=1,K317=""),1,0)</f>
        <v/>
      </c>
      <c r="Y317">
        <f>IF(AND(S317=1,Q317&lt;&gt;""),ROUND(T317*100,0)*10000+10000-ROW(),"")</f>
        <v/>
      </c>
    </row>
    <row r="318">
      <c r="A318" s="1" t="n"/>
      <c r="B318" s="17" t="n"/>
      <c r="C318" s="18" t="n"/>
      <c r="D318" s="17" t="n"/>
      <c r="E318" s="19" t="n"/>
      <c r="F318" s="19" t="n"/>
      <c r="G318" s="20" t="n"/>
      <c r="H318" s="21" t="n"/>
      <c r="I318" s="21" t="n"/>
      <c r="J318" s="17" t="n"/>
      <c r="K318" s="19" t="n"/>
      <c r="L318" s="20" t="n"/>
      <c r="M318" s="19" t="n"/>
      <c r="N318" s="22">
        <f>IF(C318="","",IF(ISNUMBER(I318),I318,IF(ISNUMBER(H318),H318,"")))</f>
        <v/>
      </c>
      <c r="O318" s="23">
        <f>IF(OR(C318="",NOT(ISNUMBER(G318))),"",(TODAY()-INT(G318))/365.25)</f>
        <v/>
      </c>
      <c r="P318" s="13">
        <f>IF(OR(C318="",NOT(ISNUMBER(L318))),"",IF(L318&lt;TODAY(),"Ended",IF(L318-TODAY()&lt;=N(Settings!$C$10),"Ends soon","Covered")))</f>
        <v/>
      </c>
      <c r="Q318" s="13">
        <f>IF(C318="","",MID(IF(N318="",", value","")&amp;IF(OR(J318="",J318="No"),", receipt","")&amp;IF(K318="",", photo",""),3,100))</f>
        <v/>
      </c>
      <c r="R318" s="13">
        <f>IF(AND(B318="",C318=""),"",IF(C318="","Needs the item",IF(B318="","Needs a room",IF(COUNTIF(Rooms!$B$6:$B$35,B318)=0,"Not on Rooms",IF(AND(H318&lt;&gt;"",NOT(ISNUMBER(H318))),"Paid not a number",IF(AND(I318&lt;&gt;"",NOT(ISNUMBER(I318))),"Worth not a number",IF(AND(G318&lt;&gt;"",NOT(ISNUMBER(G318))),"Bought is not a date",IF(AND(L318&lt;&gt;"",NOT(ISNUMBER(L318))),"Warranty is not a date",""))))))))</f>
        <v/>
      </c>
      <c r="S318" s="1">
        <f>IF(AND(C318&lt;&gt;"",R318=""),1,0)</f>
        <v/>
      </c>
      <c r="T318">
        <f>IF(S318=1,N(N318),0)</f>
        <v/>
      </c>
      <c r="U318">
        <f>IF(AND(S318=1,T318&gt;0),ROUND(T318*100,0)*10000+10000-ROW(),"")</f>
        <v/>
      </c>
      <c r="V318">
        <f>IF(AND(S318=1,OR(Report!$C$5="",B318=Report!$C$5)),MATCH(B318,Rooms!$B$6:$B$35,0)*10000+ROW(),"")</f>
        <v/>
      </c>
      <c r="W318">
        <f>IF(AND(S318=1,OR(J318="",J318="No")),1,0)</f>
        <v/>
      </c>
      <c r="X318">
        <f>IF(AND(S318=1,K318=""),1,0)</f>
        <v/>
      </c>
      <c r="Y318">
        <f>IF(AND(S318=1,Q318&lt;&gt;""),ROUND(T318*100,0)*10000+10000-ROW(),"")</f>
        <v/>
      </c>
    </row>
    <row r="319">
      <c r="A319" s="1" t="n"/>
      <c r="B319" s="17" t="n"/>
      <c r="C319" s="18" t="n"/>
      <c r="D319" s="17" t="n"/>
      <c r="E319" s="19" t="n"/>
      <c r="F319" s="19" t="n"/>
      <c r="G319" s="20" t="n"/>
      <c r="H319" s="21" t="n"/>
      <c r="I319" s="21" t="n"/>
      <c r="J319" s="17" t="n"/>
      <c r="K319" s="19" t="n"/>
      <c r="L319" s="20" t="n"/>
      <c r="M319" s="19" t="n"/>
      <c r="N319" s="22">
        <f>IF(C319="","",IF(ISNUMBER(I319),I319,IF(ISNUMBER(H319),H319,"")))</f>
        <v/>
      </c>
      <c r="O319" s="23">
        <f>IF(OR(C319="",NOT(ISNUMBER(G319))),"",(TODAY()-INT(G319))/365.25)</f>
        <v/>
      </c>
      <c r="P319" s="13">
        <f>IF(OR(C319="",NOT(ISNUMBER(L319))),"",IF(L319&lt;TODAY(),"Ended",IF(L319-TODAY()&lt;=N(Settings!$C$10),"Ends soon","Covered")))</f>
        <v/>
      </c>
      <c r="Q319" s="13">
        <f>IF(C319="","",MID(IF(N319="",", value","")&amp;IF(OR(J319="",J319="No"),", receipt","")&amp;IF(K319="",", photo",""),3,100))</f>
        <v/>
      </c>
      <c r="R319" s="13">
        <f>IF(AND(B319="",C319=""),"",IF(C319="","Needs the item",IF(B319="","Needs a room",IF(COUNTIF(Rooms!$B$6:$B$35,B319)=0,"Not on Rooms",IF(AND(H319&lt;&gt;"",NOT(ISNUMBER(H319))),"Paid not a number",IF(AND(I319&lt;&gt;"",NOT(ISNUMBER(I319))),"Worth not a number",IF(AND(G319&lt;&gt;"",NOT(ISNUMBER(G319))),"Bought is not a date",IF(AND(L319&lt;&gt;"",NOT(ISNUMBER(L319))),"Warranty is not a date",""))))))))</f>
        <v/>
      </c>
      <c r="S319" s="1">
        <f>IF(AND(C319&lt;&gt;"",R319=""),1,0)</f>
        <v/>
      </c>
      <c r="T319">
        <f>IF(S319=1,N(N319),0)</f>
        <v/>
      </c>
      <c r="U319">
        <f>IF(AND(S319=1,T319&gt;0),ROUND(T319*100,0)*10000+10000-ROW(),"")</f>
        <v/>
      </c>
      <c r="V319">
        <f>IF(AND(S319=1,OR(Report!$C$5="",B319=Report!$C$5)),MATCH(B319,Rooms!$B$6:$B$35,0)*10000+ROW(),"")</f>
        <v/>
      </c>
      <c r="W319">
        <f>IF(AND(S319=1,OR(J319="",J319="No")),1,0)</f>
        <v/>
      </c>
      <c r="X319">
        <f>IF(AND(S319=1,K319=""),1,0)</f>
        <v/>
      </c>
      <c r="Y319">
        <f>IF(AND(S319=1,Q319&lt;&gt;""),ROUND(T319*100,0)*10000+10000-ROW(),"")</f>
        <v/>
      </c>
    </row>
    <row r="320">
      <c r="A320" s="1" t="n"/>
      <c r="B320" s="17" t="n"/>
      <c r="C320" s="18" t="n"/>
      <c r="D320" s="17" t="n"/>
      <c r="E320" s="19" t="n"/>
      <c r="F320" s="19" t="n"/>
      <c r="G320" s="20" t="n"/>
      <c r="H320" s="21" t="n"/>
      <c r="I320" s="21" t="n"/>
      <c r="J320" s="17" t="n"/>
      <c r="K320" s="19" t="n"/>
      <c r="L320" s="20" t="n"/>
      <c r="M320" s="19" t="n"/>
      <c r="N320" s="22">
        <f>IF(C320="","",IF(ISNUMBER(I320),I320,IF(ISNUMBER(H320),H320,"")))</f>
        <v/>
      </c>
      <c r="O320" s="23">
        <f>IF(OR(C320="",NOT(ISNUMBER(G320))),"",(TODAY()-INT(G320))/365.25)</f>
        <v/>
      </c>
      <c r="P320" s="13">
        <f>IF(OR(C320="",NOT(ISNUMBER(L320))),"",IF(L320&lt;TODAY(),"Ended",IF(L320-TODAY()&lt;=N(Settings!$C$10),"Ends soon","Covered")))</f>
        <v/>
      </c>
      <c r="Q320" s="13">
        <f>IF(C320="","",MID(IF(N320="",", value","")&amp;IF(OR(J320="",J320="No"),", receipt","")&amp;IF(K320="",", photo",""),3,100))</f>
        <v/>
      </c>
      <c r="R320" s="13">
        <f>IF(AND(B320="",C320=""),"",IF(C320="","Needs the item",IF(B320="","Needs a room",IF(COUNTIF(Rooms!$B$6:$B$35,B320)=0,"Not on Rooms",IF(AND(H320&lt;&gt;"",NOT(ISNUMBER(H320))),"Paid not a number",IF(AND(I320&lt;&gt;"",NOT(ISNUMBER(I320))),"Worth not a number",IF(AND(G320&lt;&gt;"",NOT(ISNUMBER(G320))),"Bought is not a date",IF(AND(L320&lt;&gt;"",NOT(ISNUMBER(L320))),"Warranty is not a date",""))))))))</f>
        <v/>
      </c>
      <c r="S320" s="1">
        <f>IF(AND(C320&lt;&gt;"",R320=""),1,0)</f>
        <v/>
      </c>
      <c r="T320">
        <f>IF(S320=1,N(N320),0)</f>
        <v/>
      </c>
      <c r="U320">
        <f>IF(AND(S320=1,T320&gt;0),ROUND(T320*100,0)*10000+10000-ROW(),"")</f>
        <v/>
      </c>
      <c r="V320">
        <f>IF(AND(S320=1,OR(Report!$C$5="",B320=Report!$C$5)),MATCH(B320,Rooms!$B$6:$B$35,0)*10000+ROW(),"")</f>
        <v/>
      </c>
      <c r="W320">
        <f>IF(AND(S320=1,OR(J320="",J320="No")),1,0)</f>
        <v/>
      </c>
      <c r="X320">
        <f>IF(AND(S320=1,K320=""),1,0)</f>
        <v/>
      </c>
      <c r="Y320">
        <f>IF(AND(S320=1,Q320&lt;&gt;""),ROUND(T320*100,0)*10000+10000-ROW(),"")</f>
        <v/>
      </c>
    </row>
    <row r="321">
      <c r="A321" s="1" t="n"/>
      <c r="B321" s="17" t="n"/>
      <c r="C321" s="18" t="n"/>
      <c r="D321" s="17" t="n"/>
      <c r="E321" s="19" t="n"/>
      <c r="F321" s="19" t="n"/>
      <c r="G321" s="20" t="n"/>
      <c r="H321" s="21" t="n"/>
      <c r="I321" s="21" t="n"/>
      <c r="J321" s="17" t="n"/>
      <c r="K321" s="19" t="n"/>
      <c r="L321" s="20" t="n"/>
      <c r="M321" s="19" t="n"/>
      <c r="N321" s="22">
        <f>IF(C321="","",IF(ISNUMBER(I321),I321,IF(ISNUMBER(H321),H321,"")))</f>
        <v/>
      </c>
      <c r="O321" s="23">
        <f>IF(OR(C321="",NOT(ISNUMBER(G321))),"",(TODAY()-INT(G321))/365.25)</f>
        <v/>
      </c>
      <c r="P321" s="13">
        <f>IF(OR(C321="",NOT(ISNUMBER(L321))),"",IF(L321&lt;TODAY(),"Ended",IF(L321-TODAY()&lt;=N(Settings!$C$10),"Ends soon","Covered")))</f>
        <v/>
      </c>
      <c r="Q321" s="13">
        <f>IF(C321="","",MID(IF(N321="",", value","")&amp;IF(OR(J321="",J321="No"),", receipt","")&amp;IF(K321="",", photo",""),3,100))</f>
        <v/>
      </c>
      <c r="R321" s="13">
        <f>IF(AND(B321="",C321=""),"",IF(C321="","Needs the item",IF(B321="","Needs a room",IF(COUNTIF(Rooms!$B$6:$B$35,B321)=0,"Not on Rooms",IF(AND(H321&lt;&gt;"",NOT(ISNUMBER(H321))),"Paid not a number",IF(AND(I321&lt;&gt;"",NOT(ISNUMBER(I321))),"Worth not a number",IF(AND(G321&lt;&gt;"",NOT(ISNUMBER(G321))),"Bought is not a date",IF(AND(L321&lt;&gt;"",NOT(ISNUMBER(L321))),"Warranty is not a date",""))))))))</f>
        <v/>
      </c>
      <c r="S321" s="1">
        <f>IF(AND(C321&lt;&gt;"",R321=""),1,0)</f>
        <v/>
      </c>
      <c r="T321">
        <f>IF(S321=1,N(N321),0)</f>
        <v/>
      </c>
      <c r="U321">
        <f>IF(AND(S321=1,T321&gt;0),ROUND(T321*100,0)*10000+10000-ROW(),"")</f>
        <v/>
      </c>
      <c r="V321">
        <f>IF(AND(S321=1,OR(Report!$C$5="",B321=Report!$C$5)),MATCH(B321,Rooms!$B$6:$B$35,0)*10000+ROW(),"")</f>
        <v/>
      </c>
      <c r="W321">
        <f>IF(AND(S321=1,OR(J321="",J321="No")),1,0)</f>
        <v/>
      </c>
      <c r="X321">
        <f>IF(AND(S321=1,K321=""),1,0)</f>
        <v/>
      </c>
      <c r="Y321">
        <f>IF(AND(S321=1,Q321&lt;&gt;""),ROUND(T321*100,0)*10000+10000-ROW(),"")</f>
        <v/>
      </c>
    </row>
    <row r="322">
      <c r="A322" s="1" t="n"/>
      <c r="B322" s="17" t="n"/>
      <c r="C322" s="18" t="n"/>
      <c r="D322" s="17" t="n"/>
      <c r="E322" s="19" t="n"/>
      <c r="F322" s="19" t="n"/>
      <c r="G322" s="20" t="n"/>
      <c r="H322" s="21" t="n"/>
      <c r="I322" s="21" t="n"/>
      <c r="J322" s="17" t="n"/>
      <c r="K322" s="19" t="n"/>
      <c r="L322" s="20" t="n"/>
      <c r="M322" s="19" t="n"/>
      <c r="N322" s="22">
        <f>IF(C322="","",IF(ISNUMBER(I322),I322,IF(ISNUMBER(H322),H322,"")))</f>
        <v/>
      </c>
      <c r="O322" s="23">
        <f>IF(OR(C322="",NOT(ISNUMBER(G322))),"",(TODAY()-INT(G322))/365.25)</f>
        <v/>
      </c>
      <c r="P322" s="13">
        <f>IF(OR(C322="",NOT(ISNUMBER(L322))),"",IF(L322&lt;TODAY(),"Ended",IF(L322-TODAY()&lt;=N(Settings!$C$10),"Ends soon","Covered")))</f>
        <v/>
      </c>
      <c r="Q322" s="13">
        <f>IF(C322="","",MID(IF(N322="",", value","")&amp;IF(OR(J322="",J322="No"),", receipt","")&amp;IF(K322="",", photo",""),3,100))</f>
        <v/>
      </c>
      <c r="R322" s="13">
        <f>IF(AND(B322="",C322=""),"",IF(C322="","Needs the item",IF(B322="","Needs a room",IF(COUNTIF(Rooms!$B$6:$B$35,B322)=0,"Not on Rooms",IF(AND(H322&lt;&gt;"",NOT(ISNUMBER(H322))),"Paid not a number",IF(AND(I322&lt;&gt;"",NOT(ISNUMBER(I322))),"Worth not a number",IF(AND(G322&lt;&gt;"",NOT(ISNUMBER(G322))),"Bought is not a date",IF(AND(L322&lt;&gt;"",NOT(ISNUMBER(L322))),"Warranty is not a date",""))))))))</f>
        <v/>
      </c>
      <c r="S322" s="1">
        <f>IF(AND(C322&lt;&gt;"",R322=""),1,0)</f>
        <v/>
      </c>
      <c r="T322">
        <f>IF(S322=1,N(N322),0)</f>
        <v/>
      </c>
      <c r="U322">
        <f>IF(AND(S322=1,T322&gt;0),ROUND(T322*100,0)*10000+10000-ROW(),"")</f>
        <v/>
      </c>
      <c r="V322">
        <f>IF(AND(S322=1,OR(Report!$C$5="",B322=Report!$C$5)),MATCH(B322,Rooms!$B$6:$B$35,0)*10000+ROW(),"")</f>
        <v/>
      </c>
      <c r="W322">
        <f>IF(AND(S322=1,OR(J322="",J322="No")),1,0)</f>
        <v/>
      </c>
      <c r="X322">
        <f>IF(AND(S322=1,K322=""),1,0)</f>
        <v/>
      </c>
      <c r="Y322">
        <f>IF(AND(S322=1,Q322&lt;&gt;""),ROUND(T322*100,0)*10000+10000-ROW(),"")</f>
        <v/>
      </c>
    </row>
    <row r="323">
      <c r="A323" s="1" t="n"/>
      <c r="B323" s="17" t="n"/>
      <c r="C323" s="18" t="n"/>
      <c r="D323" s="17" t="n"/>
      <c r="E323" s="19" t="n"/>
      <c r="F323" s="19" t="n"/>
      <c r="G323" s="20" t="n"/>
      <c r="H323" s="21" t="n"/>
      <c r="I323" s="21" t="n"/>
      <c r="J323" s="17" t="n"/>
      <c r="K323" s="19" t="n"/>
      <c r="L323" s="20" t="n"/>
      <c r="M323" s="19" t="n"/>
      <c r="N323" s="22">
        <f>IF(C323="","",IF(ISNUMBER(I323),I323,IF(ISNUMBER(H323),H323,"")))</f>
        <v/>
      </c>
      <c r="O323" s="23">
        <f>IF(OR(C323="",NOT(ISNUMBER(G323))),"",(TODAY()-INT(G323))/365.25)</f>
        <v/>
      </c>
      <c r="P323" s="13">
        <f>IF(OR(C323="",NOT(ISNUMBER(L323))),"",IF(L323&lt;TODAY(),"Ended",IF(L323-TODAY()&lt;=N(Settings!$C$10),"Ends soon","Covered")))</f>
        <v/>
      </c>
      <c r="Q323" s="13">
        <f>IF(C323="","",MID(IF(N323="",", value","")&amp;IF(OR(J323="",J323="No"),", receipt","")&amp;IF(K323="",", photo",""),3,100))</f>
        <v/>
      </c>
      <c r="R323" s="13">
        <f>IF(AND(B323="",C323=""),"",IF(C323="","Needs the item",IF(B323="","Needs a room",IF(COUNTIF(Rooms!$B$6:$B$35,B323)=0,"Not on Rooms",IF(AND(H323&lt;&gt;"",NOT(ISNUMBER(H323))),"Paid not a number",IF(AND(I323&lt;&gt;"",NOT(ISNUMBER(I323))),"Worth not a number",IF(AND(G323&lt;&gt;"",NOT(ISNUMBER(G323))),"Bought is not a date",IF(AND(L323&lt;&gt;"",NOT(ISNUMBER(L323))),"Warranty is not a date",""))))))))</f>
        <v/>
      </c>
      <c r="S323" s="1">
        <f>IF(AND(C323&lt;&gt;"",R323=""),1,0)</f>
        <v/>
      </c>
      <c r="T323">
        <f>IF(S323=1,N(N323),0)</f>
        <v/>
      </c>
      <c r="U323">
        <f>IF(AND(S323=1,T323&gt;0),ROUND(T323*100,0)*10000+10000-ROW(),"")</f>
        <v/>
      </c>
      <c r="V323">
        <f>IF(AND(S323=1,OR(Report!$C$5="",B323=Report!$C$5)),MATCH(B323,Rooms!$B$6:$B$35,0)*10000+ROW(),"")</f>
        <v/>
      </c>
      <c r="W323">
        <f>IF(AND(S323=1,OR(J323="",J323="No")),1,0)</f>
        <v/>
      </c>
      <c r="X323">
        <f>IF(AND(S323=1,K323=""),1,0)</f>
        <v/>
      </c>
      <c r="Y323">
        <f>IF(AND(S323=1,Q323&lt;&gt;""),ROUND(T323*100,0)*10000+10000-ROW(),"")</f>
        <v/>
      </c>
    </row>
    <row r="324">
      <c r="A324" s="1" t="n"/>
      <c r="B324" s="17" t="n"/>
      <c r="C324" s="18" t="n"/>
      <c r="D324" s="17" t="n"/>
      <c r="E324" s="19" t="n"/>
      <c r="F324" s="19" t="n"/>
      <c r="G324" s="20" t="n"/>
      <c r="H324" s="21" t="n"/>
      <c r="I324" s="21" t="n"/>
      <c r="J324" s="17" t="n"/>
      <c r="K324" s="19" t="n"/>
      <c r="L324" s="20" t="n"/>
      <c r="M324" s="19" t="n"/>
      <c r="N324" s="22">
        <f>IF(C324="","",IF(ISNUMBER(I324),I324,IF(ISNUMBER(H324),H324,"")))</f>
        <v/>
      </c>
      <c r="O324" s="23">
        <f>IF(OR(C324="",NOT(ISNUMBER(G324))),"",(TODAY()-INT(G324))/365.25)</f>
        <v/>
      </c>
      <c r="P324" s="13">
        <f>IF(OR(C324="",NOT(ISNUMBER(L324))),"",IF(L324&lt;TODAY(),"Ended",IF(L324-TODAY()&lt;=N(Settings!$C$10),"Ends soon","Covered")))</f>
        <v/>
      </c>
      <c r="Q324" s="13">
        <f>IF(C324="","",MID(IF(N324="",", value","")&amp;IF(OR(J324="",J324="No"),", receipt","")&amp;IF(K324="",", photo",""),3,100))</f>
        <v/>
      </c>
      <c r="R324" s="13">
        <f>IF(AND(B324="",C324=""),"",IF(C324="","Needs the item",IF(B324="","Needs a room",IF(COUNTIF(Rooms!$B$6:$B$35,B324)=0,"Not on Rooms",IF(AND(H324&lt;&gt;"",NOT(ISNUMBER(H324))),"Paid not a number",IF(AND(I324&lt;&gt;"",NOT(ISNUMBER(I324))),"Worth not a number",IF(AND(G324&lt;&gt;"",NOT(ISNUMBER(G324))),"Bought is not a date",IF(AND(L324&lt;&gt;"",NOT(ISNUMBER(L324))),"Warranty is not a date",""))))))))</f>
        <v/>
      </c>
      <c r="S324" s="1">
        <f>IF(AND(C324&lt;&gt;"",R324=""),1,0)</f>
        <v/>
      </c>
      <c r="T324">
        <f>IF(S324=1,N(N324),0)</f>
        <v/>
      </c>
      <c r="U324">
        <f>IF(AND(S324=1,T324&gt;0),ROUND(T324*100,0)*10000+10000-ROW(),"")</f>
        <v/>
      </c>
      <c r="V324">
        <f>IF(AND(S324=1,OR(Report!$C$5="",B324=Report!$C$5)),MATCH(B324,Rooms!$B$6:$B$35,0)*10000+ROW(),"")</f>
        <v/>
      </c>
      <c r="W324">
        <f>IF(AND(S324=1,OR(J324="",J324="No")),1,0)</f>
        <v/>
      </c>
      <c r="X324">
        <f>IF(AND(S324=1,K324=""),1,0)</f>
        <v/>
      </c>
      <c r="Y324">
        <f>IF(AND(S324=1,Q324&lt;&gt;""),ROUND(T324*100,0)*10000+10000-ROW(),"")</f>
        <v/>
      </c>
    </row>
    <row r="325">
      <c r="A325" s="1" t="n"/>
      <c r="B325" s="17" t="n"/>
      <c r="C325" s="18" t="n"/>
      <c r="D325" s="17" t="n"/>
      <c r="E325" s="19" t="n"/>
      <c r="F325" s="19" t="n"/>
      <c r="G325" s="20" t="n"/>
      <c r="H325" s="21" t="n"/>
      <c r="I325" s="21" t="n"/>
      <c r="J325" s="17" t="n"/>
      <c r="K325" s="19" t="n"/>
      <c r="L325" s="20" t="n"/>
      <c r="M325" s="19" t="n"/>
      <c r="N325" s="22">
        <f>IF(C325="","",IF(ISNUMBER(I325),I325,IF(ISNUMBER(H325),H325,"")))</f>
        <v/>
      </c>
      <c r="O325" s="23">
        <f>IF(OR(C325="",NOT(ISNUMBER(G325))),"",(TODAY()-INT(G325))/365.25)</f>
        <v/>
      </c>
      <c r="P325" s="13">
        <f>IF(OR(C325="",NOT(ISNUMBER(L325))),"",IF(L325&lt;TODAY(),"Ended",IF(L325-TODAY()&lt;=N(Settings!$C$10),"Ends soon","Covered")))</f>
        <v/>
      </c>
      <c r="Q325" s="13">
        <f>IF(C325="","",MID(IF(N325="",", value","")&amp;IF(OR(J325="",J325="No"),", receipt","")&amp;IF(K325="",", photo",""),3,100))</f>
        <v/>
      </c>
      <c r="R325" s="13">
        <f>IF(AND(B325="",C325=""),"",IF(C325="","Needs the item",IF(B325="","Needs a room",IF(COUNTIF(Rooms!$B$6:$B$35,B325)=0,"Not on Rooms",IF(AND(H325&lt;&gt;"",NOT(ISNUMBER(H325))),"Paid not a number",IF(AND(I325&lt;&gt;"",NOT(ISNUMBER(I325))),"Worth not a number",IF(AND(G325&lt;&gt;"",NOT(ISNUMBER(G325))),"Bought is not a date",IF(AND(L325&lt;&gt;"",NOT(ISNUMBER(L325))),"Warranty is not a date",""))))))))</f>
        <v/>
      </c>
      <c r="S325" s="1">
        <f>IF(AND(C325&lt;&gt;"",R325=""),1,0)</f>
        <v/>
      </c>
      <c r="T325">
        <f>IF(S325=1,N(N325),0)</f>
        <v/>
      </c>
      <c r="U325">
        <f>IF(AND(S325=1,T325&gt;0),ROUND(T325*100,0)*10000+10000-ROW(),"")</f>
        <v/>
      </c>
      <c r="V325">
        <f>IF(AND(S325=1,OR(Report!$C$5="",B325=Report!$C$5)),MATCH(B325,Rooms!$B$6:$B$35,0)*10000+ROW(),"")</f>
        <v/>
      </c>
      <c r="W325">
        <f>IF(AND(S325=1,OR(J325="",J325="No")),1,0)</f>
        <v/>
      </c>
      <c r="X325">
        <f>IF(AND(S325=1,K325=""),1,0)</f>
        <v/>
      </c>
      <c r="Y325">
        <f>IF(AND(S325=1,Q325&lt;&gt;""),ROUND(T325*100,0)*10000+10000-ROW(),"")</f>
        <v/>
      </c>
    </row>
    <row r="326">
      <c r="A326" s="1" t="n"/>
      <c r="B326" s="17" t="n"/>
      <c r="C326" s="18" t="n"/>
      <c r="D326" s="17" t="n"/>
      <c r="E326" s="19" t="n"/>
      <c r="F326" s="19" t="n"/>
      <c r="G326" s="20" t="n"/>
      <c r="H326" s="21" t="n"/>
      <c r="I326" s="21" t="n"/>
      <c r="J326" s="17" t="n"/>
      <c r="K326" s="19" t="n"/>
      <c r="L326" s="20" t="n"/>
      <c r="M326" s="19" t="n"/>
      <c r="N326" s="22">
        <f>IF(C326="","",IF(ISNUMBER(I326),I326,IF(ISNUMBER(H326),H326,"")))</f>
        <v/>
      </c>
      <c r="O326" s="23">
        <f>IF(OR(C326="",NOT(ISNUMBER(G326))),"",(TODAY()-INT(G326))/365.25)</f>
        <v/>
      </c>
      <c r="P326" s="13">
        <f>IF(OR(C326="",NOT(ISNUMBER(L326))),"",IF(L326&lt;TODAY(),"Ended",IF(L326-TODAY()&lt;=N(Settings!$C$10),"Ends soon","Covered")))</f>
        <v/>
      </c>
      <c r="Q326" s="13">
        <f>IF(C326="","",MID(IF(N326="",", value","")&amp;IF(OR(J326="",J326="No"),", receipt","")&amp;IF(K326="",", photo",""),3,100))</f>
        <v/>
      </c>
      <c r="R326" s="13">
        <f>IF(AND(B326="",C326=""),"",IF(C326="","Needs the item",IF(B326="","Needs a room",IF(COUNTIF(Rooms!$B$6:$B$35,B326)=0,"Not on Rooms",IF(AND(H326&lt;&gt;"",NOT(ISNUMBER(H326))),"Paid not a number",IF(AND(I326&lt;&gt;"",NOT(ISNUMBER(I326))),"Worth not a number",IF(AND(G326&lt;&gt;"",NOT(ISNUMBER(G326))),"Bought is not a date",IF(AND(L326&lt;&gt;"",NOT(ISNUMBER(L326))),"Warranty is not a date",""))))))))</f>
        <v/>
      </c>
      <c r="S326" s="1">
        <f>IF(AND(C326&lt;&gt;"",R326=""),1,0)</f>
        <v/>
      </c>
      <c r="T326">
        <f>IF(S326=1,N(N326),0)</f>
        <v/>
      </c>
      <c r="U326">
        <f>IF(AND(S326=1,T326&gt;0),ROUND(T326*100,0)*10000+10000-ROW(),"")</f>
        <v/>
      </c>
      <c r="V326">
        <f>IF(AND(S326=1,OR(Report!$C$5="",B326=Report!$C$5)),MATCH(B326,Rooms!$B$6:$B$35,0)*10000+ROW(),"")</f>
        <v/>
      </c>
      <c r="W326">
        <f>IF(AND(S326=1,OR(J326="",J326="No")),1,0)</f>
        <v/>
      </c>
      <c r="X326">
        <f>IF(AND(S326=1,K326=""),1,0)</f>
        <v/>
      </c>
      <c r="Y326">
        <f>IF(AND(S326=1,Q326&lt;&gt;""),ROUND(T326*100,0)*10000+10000-ROW(),"")</f>
        <v/>
      </c>
    </row>
    <row r="327">
      <c r="A327" s="1" t="n"/>
      <c r="B327" s="17" t="n"/>
      <c r="C327" s="18" t="n"/>
      <c r="D327" s="17" t="n"/>
      <c r="E327" s="19" t="n"/>
      <c r="F327" s="19" t="n"/>
      <c r="G327" s="20" t="n"/>
      <c r="H327" s="21" t="n"/>
      <c r="I327" s="21" t="n"/>
      <c r="J327" s="17" t="n"/>
      <c r="K327" s="19" t="n"/>
      <c r="L327" s="20" t="n"/>
      <c r="M327" s="19" t="n"/>
      <c r="N327" s="22">
        <f>IF(C327="","",IF(ISNUMBER(I327),I327,IF(ISNUMBER(H327),H327,"")))</f>
        <v/>
      </c>
      <c r="O327" s="23">
        <f>IF(OR(C327="",NOT(ISNUMBER(G327))),"",(TODAY()-INT(G327))/365.25)</f>
        <v/>
      </c>
      <c r="P327" s="13">
        <f>IF(OR(C327="",NOT(ISNUMBER(L327))),"",IF(L327&lt;TODAY(),"Ended",IF(L327-TODAY()&lt;=N(Settings!$C$10),"Ends soon","Covered")))</f>
        <v/>
      </c>
      <c r="Q327" s="13">
        <f>IF(C327="","",MID(IF(N327="",", value","")&amp;IF(OR(J327="",J327="No"),", receipt","")&amp;IF(K327="",", photo",""),3,100))</f>
        <v/>
      </c>
      <c r="R327" s="13">
        <f>IF(AND(B327="",C327=""),"",IF(C327="","Needs the item",IF(B327="","Needs a room",IF(COUNTIF(Rooms!$B$6:$B$35,B327)=0,"Not on Rooms",IF(AND(H327&lt;&gt;"",NOT(ISNUMBER(H327))),"Paid not a number",IF(AND(I327&lt;&gt;"",NOT(ISNUMBER(I327))),"Worth not a number",IF(AND(G327&lt;&gt;"",NOT(ISNUMBER(G327))),"Bought is not a date",IF(AND(L327&lt;&gt;"",NOT(ISNUMBER(L327))),"Warranty is not a date",""))))))))</f>
        <v/>
      </c>
      <c r="S327" s="1">
        <f>IF(AND(C327&lt;&gt;"",R327=""),1,0)</f>
        <v/>
      </c>
      <c r="T327">
        <f>IF(S327=1,N(N327),0)</f>
        <v/>
      </c>
      <c r="U327">
        <f>IF(AND(S327=1,T327&gt;0),ROUND(T327*100,0)*10000+10000-ROW(),"")</f>
        <v/>
      </c>
      <c r="V327">
        <f>IF(AND(S327=1,OR(Report!$C$5="",B327=Report!$C$5)),MATCH(B327,Rooms!$B$6:$B$35,0)*10000+ROW(),"")</f>
        <v/>
      </c>
      <c r="W327">
        <f>IF(AND(S327=1,OR(J327="",J327="No")),1,0)</f>
        <v/>
      </c>
      <c r="X327">
        <f>IF(AND(S327=1,K327=""),1,0)</f>
        <v/>
      </c>
      <c r="Y327">
        <f>IF(AND(S327=1,Q327&lt;&gt;""),ROUND(T327*100,0)*10000+10000-ROW(),"")</f>
        <v/>
      </c>
    </row>
    <row r="328">
      <c r="A328" s="1" t="n"/>
      <c r="B328" s="17" t="n"/>
      <c r="C328" s="18" t="n"/>
      <c r="D328" s="17" t="n"/>
      <c r="E328" s="19" t="n"/>
      <c r="F328" s="19" t="n"/>
      <c r="G328" s="20" t="n"/>
      <c r="H328" s="21" t="n"/>
      <c r="I328" s="21" t="n"/>
      <c r="J328" s="17" t="n"/>
      <c r="K328" s="19" t="n"/>
      <c r="L328" s="20" t="n"/>
      <c r="M328" s="19" t="n"/>
      <c r="N328" s="22">
        <f>IF(C328="","",IF(ISNUMBER(I328),I328,IF(ISNUMBER(H328),H328,"")))</f>
        <v/>
      </c>
      <c r="O328" s="23">
        <f>IF(OR(C328="",NOT(ISNUMBER(G328))),"",(TODAY()-INT(G328))/365.25)</f>
        <v/>
      </c>
      <c r="P328" s="13">
        <f>IF(OR(C328="",NOT(ISNUMBER(L328))),"",IF(L328&lt;TODAY(),"Ended",IF(L328-TODAY()&lt;=N(Settings!$C$10),"Ends soon","Covered")))</f>
        <v/>
      </c>
      <c r="Q328" s="13">
        <f>IF(C328="","",MID(IF(N328="",", value","")&amp;IF(OR(J328="",J328="No"),", receipt","")&amp;IF(K328="",", photo",""),3,100))</f>
        <v/>
      </c>
      <c r="R328" s="13">
        <f>IF(AND(B328="",C328=""),"",IF(C328="","Needs the item",IF(B328="","Needs a room",IF(COUNTIF(Rooms!$B$6:$B$35,B328)=0,"Not on Rooms",IF(AND(H328&lt;&gt;"",NOT(ISNUMBER(H328))),"Paid not a number",IF(AND(I328&lt;&gt;"",NOT(ISNUMBER(I328))),"Worth not a number",IF(AND(G328&lt;&gt;"",NOT(ISNUMBER(G328))),"Bought is not a date",IF(AND(L328&lt;&gt;"",NOT(ISNUMBER(L328))),"Warranty is not a date",""))))))))</f>
        <v/>
      </c>
      <c r="S328" s="1">
        <f>IF(AND(C328&lt;&gt;"",R328=""),1,0)</f>
        <v/>
      </c>
      <c r="T328">
        <f>IF(S328=1,N(N328),0)</f>
        <v/>
      </c>
      <c r="U328">
        <f>IF(AND(S328=1,T328&gt;0),ROUND(T328*100,0)*10000+10000-ROW(),"")</f>
        <v/>
      </c>
      <c r="V328">
        <f>IF(AND(S328=1,OR(Report!$C$5="",B328=Report!$C$5)),MATCH(B328,Rooms!$B$6:$B$35,0)*10000+ROW(),"")</f>
        <v/>
      </c>
      <c r="W328">
        <f>IF(AND(S328=1,OR(J328="",J328="No")),1,0)</f>
        <v/>
      </c>
      <c r="X328">
        <f>IF(AND(S328=1,K328=""),1,0)</f>
        <v/>
      </c>
      <c r="Y328">
        <f>IF(AND(S328=1,Q328&lt;&gt;""),ROUND(T328*100,0)*10000+10000-ROW(),"")</f>
        <v/>
      </c>
    </row>
    <row r="329">
      <c r="A329" s="1" t="n"/>
      <c r="B329" s="17" t="n"/>
      <c r="C329" s="18" t="n"/>
      <c r="D329" s="17" t="n"/>
      <c r="E329" s="19" t="n"/>
      <c r="F329" s="19" t="n"/>
      <c r="G329" s="20" t="n"/>
      <c r="H329" s="21" t="n"/>
      <c r="I329" s="21" t="n"/>
      <c r="J329" s="17" t="n"/>
      <c r="K329" s="19" t="n"/>
      <c r="L329" s="20" t="n"/>
      <c r="M329" s="19" t="n"/>
      <c r="N329" s="22">
        <f>IF(C329="","",IF(ISNUMBER(I329),I329,IF(ISNUMBER(H329),H329,"")))</f>
        <v/>
      </c>
      <c r="O329" s="23">
        <f>IF(OR(C329="",NOT(ISNUMBER(G329))),"",(TODAY()-INT(G329))/365.25)</f>
        <v/>
      </c>
      <c r="P329" s="13">
        <f>IF(OR(C329="",NOT(ISNUMBER(L329))),"",IF(L329&lt;TODAY(),"Ended",IF(L329-TODAY()&lt;=N(Settings!$C$10),"Ends soon","Covered")))</f>
        <v/>
      </c>
      <c r="Q329" s="13">
        <f>IF(C329="","",MID(IF(N329="",", value","")&amp;IF(OR(J329="",J329="No"),", receipt","")&amp;IF(K329="",", photo",""),3,100))</f>
        <v/>
      </c>
      <c r="R329" s="13">
        <f>IF(AND(B329="",C329=""),"",IF(C329="","Needs the item",IF(B329="","Needs a room",IF(COUNTIF(Rooms!$B$6:$B$35,B329)=0,"Not on Rooms",IF(AND(H329&lt;&gt;"",NOT(ISNUMBER(H329))),"Paid not a number",IF(AND(I329&lt;&gt;"",NOT(ISNUMBER(I329))),"Worth not a number",IF(AND(G329&lt;&gt;"",NOT(ISNUMBER(G329))),"Bought is not a date",IF(AND(L329&lt;&gt;"",NOT(ISNUMBER(L329))),"Warranty is not a date",""))))))))</f>
        <v/>
      </c>
      <c r="S329" s="1">
        <f>IF(AND(C329&lt;&gt;"",R329=""),1,0)</f>
        <v/>
      </c>
      <c r="T329">
        <f>IF(S329=1,N(N329),0)</f>
        <v/>
      </c>
      <c r="U329">
        <f>IF(AND(S329=1,T329&gt;0),ROUND(T329*100,0)*10000+10000-ROW(),"")</f>
        <v/>
      </c>
      <c r="V329">
        <f>IF(AND(S329=1,OR(Report!$C$5="",B329=Report!$C$5)),MATCH(B329,Rooms!$B$6:$B$35,0)*10000+ROW(),"")</f>
        <v/>
      </c>
      <c r="W329">
        <f>IF(AND(S329=1,OR(J329="",J329="No")),1,0)</f>
        <v/>
      </c>
      <c r="X329">
        <f>IF(AND(S329=1,K329=""),1,0)</f>
        <v/>
      </c>
      <c r="Y329">
        <f>IF(AND(S329=1,Q329&lt;&gt;""),ROUND(T329*100,0)*10000+10000-ROW(),"")</f>
        <v/>
      </c>
    </row>
    <row r="330">
      <c r="A330" s="1" t="n"/>
      <c r="B330" s="17" t="n"/>
      <c r="C330" s="18" t="n"/>
      <c r="D330" s="17" t="n"/>
      <c r="E330" s="19" t="n"/>
      <c r="F330" s="19" t="n"/>
      <c r="G330" s="20" t="n"/>
      <c r="H330" s="21" t="n"/>
      <c r="I330" s="21" t="n"/>
      <c r="J330" s="17" t="n"/>
      <c r="K330" s="19" t="n"/>
      <c r="L330" s="20" t="n"/>
      <c r="M330" s="19" t="n"/>
      <c r="N330" s="22">
        <f>IF(C330="","",IF(ISNUMBER(I330),I330,IF(ISNUMBER(H330),H330,"")))</f>
        <v/>
      </c>
      <c r="O330" s="23">
        <f>IF(OR(C330="",NOT(ISNUMBER(G330))),"",(TODAY()-INT(G330))/365.25)</f>
        <v/>
      </c>
      <c r="P330" s="13">
        <f>IF(OR(C330="",NOT(ISNUMBER(L330))),"",IF(L330&lt;TODAY(),"Ended",IF(L330-TODAY()&lt;=N(Settings!$C$10),"Ends soon","Covered")))</f>
        <v/>
      </c>
      <c r="Q330" s="13">
        <f>IF(C330="","",MID(IF(N330="",", value","")&amp;IF(OR(J330="",J330="No"),", receipt","")&amp;IF(K330="",", photo",""),3,100))</f>
        <v/>
      </c>
      <c r="R330" s="13">
        <f>IF(AND(B330="",C330=""),"",IF(C330="","Needs the item",IF(B330="","Needs a room",IF(COUNTIF(Rooms!$B$6:$B$35,B330)=0,"Not on Rooms",IF(AND(H330&lt;&gt;"",NOT(ISNUMBER(H330))),"Paid not a number",IF(AND(I330&lt;&gt;"",NOT(ISNUMBER(I330))),"Worth not a number",IF(AND(G330&lt;&gt;"",NOT(ISNUMBER(G330))),"Bought is not a date",IF(AND(L330&lt;&gt;"",NOT(ISNUMBER(L330))),"Warranty is not a date",""))))))))</f>
        <v/>
      </c>
      <c r="S330" s="1">
        <f>IF(AND(C330&lt;&gt;"",R330=""),1,0)</f>
        <v/>
      </c>
      <c r="T330">
        <f>IF(S330=1,N(N330),0)</f>
        <v/>
      </c>
      <c r="U330">
        <f>IF(AND(S330=1,T330&gt;0),ROUND(T330*100,0)*10000+10000-ROW(),"")</f>
        <v/>
      </c>
      <c r="V330">
        <f>IF(AND(S330=1,OR(Report!$C$5="",B330=Report!$C$5)),MATCH(B330,Rooms!$B$6:$B$35,0)*10000+ROW(),"")</f>
        <v/>
      </c>
      <c r="W330">
        <f>IF(AND(S330=1,OR(J330="",J330="No")),1,0)</f>
        <v/>
      </c>
      <c r="X330">
        <f>IF(AND(S330=1,K330=""),1,0)</f>
        <v/>
      </c>
      <c r="Y330">
        <f>IF(AND(S330=1,Q330&lt;&gt;""),ROUND(T330*100,0)*10000+10000-ROW(),"")</f>
        <v/>
      </c>
    </row>
    <row r="331">
      <c r="A331" s="1" t="n"/>
      <c r="B331" s="17" t="n"/>
      <c r="C331" s="18" t="n"/>
      <c r="D331" s="17" t="n"/>
      <c r="E331" s="19" t="n"/>
      <c r="F331" s="19" t="n"/>
      <c r="G331" s="20" t="n"/>
      <c r="H331" s="21" t="n"/>
      <c r="I331" s="21" t="n"/>
      <c r="J331" s="17" t="n"/>
      <c r="K331" s="19" t="n"/>
      <c r="L331" s="20" t="n"/>
      <c r="M331" s="19" t="n"/>
      <c r="N331" s="22">
        <f>IF(C331="","",IF(ISNUMBER(I331),I331,IF(ISNUMBER(H331),H331,"")))</f>
        <v/>
      </c>
      <c r="O331" s="23">
        <f>IF(OR(C331="",NOT(ISNUMBER(G331))),"",(TODAY()-INT(G331))/365.25)</f>
        <v/>
      </c>
      <c r="P331" s="13">
        <f>IF(OR(C331="",NOT(ISNUMBER(L331))),"",IF(L331&lt;TODAY(),"Ended",IF(L331-TODAY()&lt;=N(Settings!$C$10),"Ends soon","Covered")))</f>
        <v/>
      </c>
      <c r="Q331" s="13">
        <f>IF(C331="","",MID(IF(N331="",", value","")&amp;IF(OR(J331="",J331="No"),", receipt","")&amp;IF(K331="",", photo",""),3,100))</f>
        <v/>
      </c>
      <c r="R331" s="13">
        <f>IF(AND(B331="",C331=""),"",IF(C331="","Needs the item",IF(B331="","Needs a room",IF(COUNTIF(Rooms!$B$6:$B$35,B331)=0,"Not on Rooms",IF(AND(H331&lt;&gt;"",NOT(ISNUMBER(H331))),"Paid not a number",IF(AND(I331&lt;&gt;"",NOT(ISNUMBER(I331))),"Worth not a number",IF(AND(G331&lt;&gt;"",NOT(ISNUMBER(G331))),"Bought is not a date",IF(AND(L331&lt;&gt;"",NOT(ISNUMBER(L331))),"Warranty is not a date",""))))))))</f>
        <v/>
      </c>
      <c r="S331" s="1">
        <f>IF(AND(C331&lt;&gt;"",R331=""),1,0)</f>
        <v/>
      </c>
      <c r="T331">
        <f>IF(S331=1,N(N331),0)</f>
        <v/>
      </c>
      <c r="U331">
        <f>IF(AND(S331=1,T331&gt;0),ROUND(T331*100,0)*10000+10000-ROW(),"")</f>
        <v/>
      </c>
      <c r="V331">
        <f>IF(AND(S331=1,OR(Report!$C$5="",B331=Report!$C$5)),MATCH(B331,Rooms!$B$6:$B$35,0)*10000+ROW(),"")</f>
        <v/>
      </c>
      <c r="W331">
        <f>IF(AND(S331=1,OR(J331="",J331="No")),1,0)</f>
        <v/>
      </c>
      <c r="X331">
        <f>IF(AND(S331=1,K331=""),1,0)</f>
        <v/>
      </c>
      <c r="Y331">
        <f>IF(AND(S331=1,Q331&lt;&gt;""),ROUND(T331*100,0)*10000+10000-ROW(),"")</f>
        <v/>
      </c>
    </row>
    <row r="332">
      <c r="A332" s="1" t="n"/>
      <c r="B332" s="17" t="n"/>
      <c r="C332" s="18" t="n"/>
      <c r="D332" s="17" t="n"/>
      <c r="E332" s="19" t="n"/>
      <c r="F332" s="19" t="n"/>
      <c r="G332" s="20" t="n"/>
      <c r="H332" s="21" t="n"/>
      <c r="I332" s="21" t="n"/>
      <c r="J332" s="17" t="n"/>
      <c r="K332" s="19" t="n"/>
      <c r="L332" s="20" t="n"/>
      <c r="M332" s="19" t="n"/>
      <c r="N332" s="22">
        <f>IF(C332="","",IF(ISNUMBER(I332),I332,IF(ISNUMBER(H332),H332,"")))</f>
        <v/>
      </c>
      <c r="O332" s="23">
        <f>IF(OR(C332="",NOT(ISNUMBER(G332))),"",(TODAY()-INT(G332))/365.25)</f>
        <v/>
      </c>
      <c r="P332" s="13">
        <f>IF(OR(C332="",NOT(ISNUMBER(L332))),"",IF(L332&lt;TODAY(),"Ended",IF(L332-TODAY()&lt;=N(Settings!$C$10),"Ends soon","Covered")))</f>
        <v/>
      </c>
      <c r="Q332" s="13">
        <f>IF(C332="","",MID(IF(N332="",", value","")&amp;IF(OR(J332="",J332="No"),", receipt","")&amp;IF(K332="",", photo",""),3,100))</f>
        <v/>
      </c>
      <c r="R332" s="13">
        <f>IF(AND(B332="",C332=""),"",IF(C332="","Needs the item",IF(B332="","Needs a room",IF(COUNTIF(Rooms!$B$6:$B$35,B332)=0,"Not on Rooms",IF(AND(H332&lt;&gt;"",NOT(ISNUMBER(H332))),"Paid not a number",IF(AND(I332&lt;&gt;"",NOT(ISNUMBER(I332))),"Worth not a number",IF(AND(G332&lt;&gt;"",NOT(ISNUMBER(G332))),"Bought is not a date",IF(AND(L332&lt;&gt;"",NOT(ISNUMBER(L332))),"Warranty is not a date",""))))))))</f>
        <v/>
      </c>
      <c r="S332" s="1">
        <f>IF(AND(C332&lt;&gt;"",R332=""),1,0)</f>
        <v/>
      </c>
      <c r="T332">
        <f>IF(S332=1,N(N332),0)</f>
        <v/>
      </c>
      <c r="U332">
        <f>IF(AND(S332=1,T332&gt;0),ROUND(T332*100,0)*10000+10000-ROW(),"")</f>
        <v/>
      </c>
      <c r="V332">
        <f>IF(AND(S332=1,OR(Report!$C$5="",B332=Report!$C$5)),MATCH(B332,Rooms!$B$6:$B$35,0)*10000+ROW(),"")</f>
        <v/>
      </c>
      <c r="W332">
        <f>IF(AND(S332=1,OR(J332="",J332="No")),1,0)</f>
        <v/>
      </c>
      <c r="X332">
        <f>IF(AND(S332=1,K332=""),1,0)</f>
        <v/>
      </c>
      <c r="Y332">
        <f>IF(AND(S332=1,Q332&lt;&gt;""),ROUND(T332*100,0)*10000+10000-ROW(),"")</f>
        <v/>
      </c>
    </row>
    <row r="333">
      <c r="A333" s="1" t="n"/>
      <c r="B333" s="17" t="n"/>
      <c r="C333" s="18" t="n"/>
      <c r="D333" s="17" t="n"/>
      <c r="E333" s="19" t="n"/>
      <c r="F333" s="19" t="n"/>
      <c r="G333" s="20" t="n"/>
      <c r="H333" s="21" t="n"/>
      <c r="I333" s="21" t="n"/>
      <c r="J333" s="17" t="n"/>
      <c r="K333" s="19" t="n"/>
      <c r="L333" s="20" t="n"/>
      <c r="M333" s="19" t="n"/>
      <c r="N333" s="22">
        <f>IF(C333="","",IF(ISNUMBER(I333),I333,IF(ISNUMBER(H333),H333,"")))</f>
        <v/>
      </c>
      <c r="O333" s="23">
        <f>IF(OR(C333="",NOT(ISNUMBER(G333))),"",(TODAY()-INT(G333))/365.25)</f>
        <v/>
      </c>
      <c r="P333" s="13">
        <f>IF(OR(C333="",NOT(ISNUMBER(L333))),"",IF(L333&lt;TODAY(),"Ended",IF(L333-TODAY()&lt;=N(Settings!$C$10),"Ends soon","Covered")))</f>
        <v/>
      </c>
      <c r="Q333" s="13">
        <f>IF(C333="","",MID(IF(N333="",", value","")&amp;IF(OR(J333="",J333="No"),", receipt","")&amp;IF(K333="",", photo",""),3,100))</f>
        <v/>
      </c>
      <c r="R333" s="13">
        <f>IF(AND(B333="",C333=""),"",IF(C333="","Needs the item",IF(B333="","Needs a room",IF(COUNTIF(Rooms!$B$6:$B$35,B333)=0,"Not on Rooms",IF(AND(H333&lt;&gt;"",NOT(ISNUMBER(H333))),"Paid not a number",IF(AND(I333&lt;&gt;"",NOT(ISNUMBER(I333))),"Worth not a number",IF(AND(G333&lt;&gt;"",NOT(ISNUMBER(G333))),"Bought is not a date",IF(AND(L333&lt;&gt;"",NOT(ISNUMBER(L333))),"Warranty is not a date",""))))))))</f>
        <v/>
      </c>
      <c r="S333" s="1">
        <f>IF(AND(C333&lt;&gt;"",R333=""),1,0)</f>
        <v/>
      </c>
      <c r="T333">
        <f>IF(S333=1,N(N333),0)</f>
        <v/>
      </c>
      <c r="U333">
        <f>IF(AND(S333=1,T333&gt;0),ROUND(T333*100,0)*10000+10000-ROW(),"")</f>
        <v/>
      </c>
      <c r="V333">
        <f>IF(AND(S333=1,OR(Report!$C$5="",B333=Report!$C$5)),MATCH(B333,Rooms!$B$6:$B$35,0)*10000+ROW(),"")</f>
        <v/>
      </c>
      <c r="W333">
        <f>IF(AND(S333=1,OR(J333="",J333="No")),1,0)</f>
        <v/>
      </c>
      <c r="X333">
        <f>IF(AND(S333=1,K333=""),1,0)</f>
        <v/>
      </c>
      <c r="Y333">
        <f>IF(AND(S333=1,Q333&lt;&gt;""),ROUND(T333*100,0)*10000+10000-ROW(),"")</f>
        <v/>
      </c>
    </row>
    <row r="334">
      <c r="A334" s="1" t="n"/>
      <c r="B334" s="17" t="n"/>
      <c r="C334" s="18" t="n"/>
      <c r="D334" s="17" t="n"/>
      <c r="E334" s="19" t="n"/>
      <c r="F334" s="19" t="n"/>
      <c r="G334" s="20" t="n"/>
      <c r="H334" s="21" t="n"/>
      <c r="I334" s="21" t="n"/>
      <c r="J334" s="17" t="n"/>
      <c r="K334" s="19" t="n"/>
      <c r="L334" s="20" t="n"/>
      <c r="M334" s="19" t="n"/>
      <c r="N334" s="22">
        <f>IF(C334="","",IF(ISNUMBER(I334),I334,IF(ISNUMBER(H334),H334,"")))</f>
        <v/>
      </c>
      <c r="O334" s="23">
        <f>IF(OR(C334="",NOT(ISNUMBER(G334))),"",(TODAY()-INT(G334))/365.25)</f>
        <v/>
      </c>
      <c r="P334" s="13">
        <f>IF(OR(C334="",NOT(ISNUMBER(L334))),"",IF(L334&lt;TODAY(),"Ended",IF(L334-TODAY()&lt;=N(Settings!$C$10),"Ends soon","Covered")))</f>
        <v/>
      </c>
      <c r="Q334" s="13">
        <f>IF(C334="","",MID(IF(N334="",", value","")&amp;IF(OR(J334="",J334="No"),", receipt","")&amp;IF(K334="",", photo",""),3,100))</f>
        <v/>
      </c>
      <c r="R334" s="13">
        <f>IF(AND(B334="",C334=""),"",IF(C334="","Needs the item",IF(B334="","Needs a room",IF(COUNTIF(Rooms!$B$6:$B$35,B334)=0,"Not on Rooms",IF(AND(H334&lt;&gt;"",NOT(ISNUMBER(H334))),"Paid not a number",IF(AND(I334&lt;&gt;"",NOT(ISNUMBER(I334))),"Worth not a number",IF(AND(G334&lt;&gt;"",NOT(ISNUMBER(G334))),"Bought is not a date",IF(AND(L334&lt;&gt;"",NOT(ISNUMBER(L334))),"Warranty is not a date",""))))))))</f>
        <v/>
      </c>
      <c r="S334" s="1">
        <f>IF(AND(C334&lt;&gt;"",R334=""),1,0)</f>
        <v/>
      </c>
      <c r="T334">
        <f>IF(S334=1,N(N334),0)</f>
        <v/>
      </c>
      <c r="U334">
        <f>IF(AND(S334=1,T334&gt;0),ROUND(T334*100,0)*10000+10000-ROW(),"")</f>
        <v/>
      </c>
      <c r="V334">
        <f>IF(AND(S334=1,OR(Report!$C$5="",B334=Report!$C$5)),MATCH(B334,Rooms!$B$6:$B$35,0)*10000+ROW(),"")</f>
        <v/>
      </c>
      <c r="W334">
        <f>IF(AND(S334=1,OR(J334="",J334="No")),1,0)</f>
        <v/>
      </c>
      <c r="X334">
        <f>IF(AND(S334=1,K334=""),1,0)</f>
        <v/>
      </c>
      <c r="Y334">
        <f>IF(AND(S334=1,Q334&lt;&gt;""),ROUND(T334*100,0)*10000+10000-ROW(),"")</f>
        <v/>
      </c>
    </row>
    <row r="335">
      <c r="A335" s="1" t="n"/>
      <c r="B335" s="17" t="n"/>
      <c r="C335" s="18" t="n"/>
      <c r="D335" s="17" t="n"/>
      <c r="E335" s="19" t="n"/>
      <c r="F335" s="19" t="n"/>
      <c r="G335" s="20" t="n"/>
      <c r="H335" s="21" t="n"/>
      <c r="I335" s="21" t="n"/>
      <c r="J335" s="17" t="n"/>
      <c r="K335" s="19" t="n"/>
      <c r="L335" s="20" t="n"/>
      <c r="M335" s="19" t="n"/>
      <c r="N335" s="22">
        <f>IF(C335="","",IF(ISNUMBER(I335),I335,IF(ISNUMBER(H335),H335,"")))</f>
        <v/>
      </c>
      <c r="O335" s="23">
        <f>IF(OR(C335="",NOT(ISNUMBER(G335))),"",(TODAY()-INT(G335))/365.25)</f>
        <v/>
      </c>
      <c r="P335" s="13">
        <f>IF(OR(C335="",NOT(ISNUMBER(L335))),"",IF(L335&lt;TODAY(),"Ended",IF(L335-TODAY()&lt;=N(Settings!$C$10),"Ends soon","Covered")))</f>
        <v/>
      </c>
      <c r="Q335" s="13">
        <f>IF(C335="","",MID(IF(N335="",", value","")&amp;IF(OR(J335="",J335="No"),", receipt","")&amp;IF(K335="",", photo",""),3,100))</f>
        <v/>
      </c>
      <c r="R335" s="13">
        <f>IF(AND(B335="",C335=""),"",IF(C335="","Needs the item",IF(B335="","Needs a room",IF(COUNTIF(Rooms!$B$6:$B$35,B335)=0,"Not on Rooms",IF(AND(H335&lt;&gt;"",NOT(ISNUMBER(H335))),"Paid not a number",IF(AND(I335&lt;&gt;"",NOT(ISNUMBER(I335))),"Worth not a number",IF(AND(G335&lt;&gt;"",NOT(ISNUMBER(G335))),"Bought is not a date",IF(AND(L335&lt;&gt;"",NOT(ISNUMBER(L335))),"Warranty is not a date",""))))))))</f>
        <v/>
      </c>
      <c r="S335" s="1">
        <f>IF(AND(C335&lt;&gt;"",R335=""),1,0)</f>
        <v/>
      </c>
      <c r="T335">
        <f>IF(S335=1,N(N335),0)</f>
        <v/>
      </c>
      <c r="U335">
        <f>IF(AND(S335=1,T335&gt;0),ROUND(T335*100,0)*10000+10000-ROW(),"")</f>
        <v/>
      </c>
      <c r="V335">
        <f>IF(AND(S335=1,OR(Report!$C$5="",B335=Report!$C$5)),MATCH(B335,Rooms!$B$6:$B$35,0)*10000+ROW(),"")</f>
        <v/>
      </c>
      <c r="W335">
        <f>IF(AND(S335=1,OR(J335="",J335="No")),1,0)</f>
        <v/>
      </c>
      <c r="X335">
        <f>IF(AND(S335=1,K335=""),1,0)</f>
        <v/>
      </c>
      <c r="Y335">
        <f>IF(AND(S335=1,Q335&lt;&gt;""),ROUND(T335*100,0)*10000+10000-ROW(),"")</f>
        <v/>
      </c>
    </row>
    <row r="336">
      <c r="A336" s="1" t="n"/>
      <c r="B336" s="17" t="n"/>
      <c r="C336" s="18" t="n"/>
      <c r="D336" s="17" t="n"/>
      <c r="E336" s="19" t="n"/>
      <c r="F336" s="19" t="n"/>
      <c r="G336" s="20" t="n"/>
      <c r="H336" s="21" t="n"/>
      <c r="I336" s="21" t="n"/>
      <c r="J336" s="17" t="n"/>
      <c r="K336" s="19" t="n"/>
      <c r="L336" s="20" t="n"/>
      <c r="M336" s="19" t="n"/>
      <c r="N336" s="22">
        <f>IF(C336="","",IF(ISNUMBER(I336),I336,IF(ISNUMBER(H336),H336,"")))</f>
        <v/>
      </c>
      <c r="O336" s="23">
        <f>IF(OR(C336="",NOT(ISNUMBER(G336))),"",(TODAY()-INT(G336))/365.25)</f>
        <v/>
      </c>
      <c r="P336" s="13">
        <f>IF(OR(C336="",NOT(ISNUMBER(L336))),"",IF(L336&lt;TODAY(),"Ended",IF(L336-TODAY()&lt;=N(Settings!$C$10),"Ends soon","Covered")))</f>
        <v/>
      </c>
      <c r="Q336" s="13">
        <f>IF(C336="","",MID(IF(N336="",", value","")&amp;IF(OR(J336="",J336="No"),", receipt","")&amp;IF(K336="",", photo",""),3,100))</f>
        <v/>
      </c>
      <c r="R336" s="13">
        <f>IF(AND(B336="",C336=""),"",IF(C336="","Needs the item",IF(B336="","Needs a room",IF(COUNTIF(Rooms!$B$6:$B$35,B336)=0,"Not on Rooms",IF(AND(H336&lt;&gt;"",NOT(ISNUMBER(H336))),"Paid not a number",IF(AND(I336&lt;&gt;"",NOT(ISNUMBER(I336))),"Worth not a number",IF(AND(G336&lt;&gt;"",NOT(ISNUMBER(G336))),"Bought is not a date",IF(AND(L336&lt;&gt;"",NOT(ISNUMBER(L336))),"Warranty is not a date",""))))))))</f>
        <v/>
      </c>
      <c r="S336" s="1">
        <f>IF(AND(C336&lt;&gt;"",R336=""),1,0)</f>
        <v/>
      </c>
      <c r="T336">
        <f>IF(S336=1,N(N336),0)</f>
        <v/>
      </c>
      <c r="U336">
        <f>IF(AND(S336=1,T336&gt;0),ROUND(T336*100,0)*10000+10000-ROW(),"")</f>
        <v/>
      </c>
      <c r="V336">
        <f>IF(AND(S336=1,OR(Report!$C$5="",B336=Report!$C$5)),MATCH(B336,Rooms!$B$6:$B$35,0)*10000+ROW(),"")</f>
        <v/>
      </c>
      <c r="W336">
        <f>IF(AND(S336=1,OR(J336="",J336="No")),1,0)</f>
        <v/>
      </c>
      <c r="X336">
        <f>IF(AND(S336=1,K336=""),1,0)</f>
        <v/>
      </c>
      <c r="Y336">
        <f>IF(AND(S336=1,Q336&lt;&gt;""),ROUND(T336*100,0)*10000+10000-ROW(),"")</f>
        <v/>
      </c>
    </row>
    <row r="337">
      <c r="A337" s="1" t="n"/>
      <c r="B337" s="17" t="n"/>
      <c r="C337" s="18" t="n"/>
      <c r="D337" s="17" t="n"/>
      <c r="E337" s="19" t="n"/>
      <c r="F337" s="19" t="n"/>
      <c r="G337" s="20" t="n"/>
      <c r="H337" s="21" t="n"/>
      <c r="I337" s="21" t="n"/>
      <c r="J337" s="17" t="n"/>
      <c r="K337" s="19" t="n"/>
      <c r="L337" s="20" t="n"/>
      <c r="M337" s="19" t="n"/>
      <c r="N337" s="22">
        <f>IF(C337="","",IF(ISNUMBER(I337),I337,IF(ISNUMBER(H337),H337,"")))</f>
        <v/>
      </c>
      <c r="O337" s="23">
        <f>IF(OR(C337="",NOT(ISNUMBER(G337))),"",(TODAY()-INT(G337))/365.25)</f>
        <v/>
      </c>
      <c r="P337" s="13">
        <f>IF(OR(C337="",NOT(ISNUMBER(L337))),"",IF(L337&lt;TODAY(),"Ended",IF(L337-TODAY()&lt;=N(Settings!$C$10),"Ends soon","Covered")))</f>
        <v/>
      </c>
      <c r="Q337" s="13">
        <f>IF(C337="","",MID(IF(N337="",", value","")&amp;IF(OR(J337="",J337="No"),", receipt","")&amp;IF(K337="",", photo",""),3,100))</f>
        <v/>
      </c>
      <c r="R337" s="13">
        <f>IF(AND(B337="",C337=""),"",IF(C337="","Needs the item",IF(B337="","Needs a room",IF(COUNTIF(Rooms!$B$6:$B$35,B337)=0,"Not on Rooms",IF(AND(H337&lt;&gt;"",NOT(ISNUMBER(H337))),"Paid not a number",IF(AND(I337&lt;&gt;"",NOT(ISNUMBER(I337))),"Worth not a number",IF(AND(G337&lt;&gt;"",NOT(ISNUMBER(G337))),"Bought is not a date",IF(AND(L337&lt;&gt;"",NOT(ISNUMBER(L337))),"Warranty is not a date",""))))))))</f>
        <v/>
      </c>
      <c r="S337" s="1">
        <f>IF(AND(C337&lt;&gt;"",R337=""),1,0)</f>
        <v/>
      </c>
      <c r="T337">
        <f>IF(S337=1,N(N337),0)</f>
        <v/>
      </c>
      <c r="U337">
        <f>IF(AND(S337=1,T337&gt;0),ROUND(T337*100,0)*10000+10000-ROW(),"")</f>
        <v/>
      </c>
      <c r="V337">
        <f>IF(AND(S337=1,OR(Report!$C$5="",B337=Report!$C$5)),MATCH(B337,Rooms!$B$6:$B$35,0)*10000+ROW(),"")</f>
        <v/>
      </c>
      <c r="W337">
        <f>IF(AND(S337=1,OR(J337="",J337="No")),1,0)</f>
        <v/>
      </c>
      <c r="X337">
        <f>IF(AND(S337=1,K337=""),1,0)</f>
        <v/>
      </c>
      <c r="Y337">
        <f>IF(AND(S337=1,Q337&lt;&gt;""),ROUND(T337*100,0)*10000+10000-ROW(),"")</f>
        <v/>
      </c>
    </row>
    <row r="338">
      <c r="A338" s="1" t="n"/>
      <c r="B338" s="17" t="n"/>
      <c r="C338" s="18" t="n"/>
      <c r="D338" s="17" t="n"/>
      <c r="E338" s="19" t="n"/>
      <c r="F338" s="19" t="n"/>
      <c r="G338" s="20" t="n"/>
      <c r="H338" s="21" t="n"/>
      <c r="I338" s="21" t="n"/>
      <c r="J338" s="17" t="n"/>
      <c r="K338" s="19" t="n"/>
      <c r="L338" s="20" t="n"/>
      <c r="M338" s="19" t="n"/>
      <c r="N338" s="22">
        <f>IF(C338="","",IF(ISNUMBER(I338),I338,IF(ISNUMBER(H338),H338,"")))</f>
        <v/>
      </c>
      <c r="O338" s="23">
        <f>IF(OR(C338="",NOT(ISNUMBER(G338))),"",(TODAY()-INT(G338))/365.25)</f>
        <v/>
      </c>
      <c r="P338" s="13">
        <f>IF(OR(C338="",NOT(ISNUMBER(L338))),"",IF(L338&lt;TODAY(),"Ended",IF(L338-TODAY()&lt;=N(Settings!$C$10),"Ends soon","Covered")))</f>
        <v/>
      </c>
      <c r="Q338" s="13">
        <f>IF(C338="","",MID(IF(N338="",", value","")&amp;IF(OR(J338="",J338="No"),", receipt","")&amp;IF(K338="",", photo",""),3,100))</f>
        <v/>
      </c>
      <c r="R338" s="13">
        <f>IF(AND(B338="",C338=""),"",IF(C338="","Needs the item",IF(B338="","Needs a room",IF(COUNTIF(Rooms!$B$6:$B$35,B338)=0,"Not on Rooms",IF(AND(H338&lt;&gt;"",NOT(ISNUMBER(H338))),"Paid not a number",IF(AND(I338&lt;&gt;"",NOT(ISNUMBER(I338))),"Worth not a number",IF(AND(G338&lt;&gt;"",NOT(ISNUMBER(G338))),"Bought is not a date",IF(AND(L338&lt;&gt;"",NOT(ISNUMBER(L338))),"Warranty is not a date",""))))))))</f>
        <v/>
      </c>
      <c r="S338" s="1">
        <f>IF(AND(C338&lt;&gt;"",R338=""),1,0)</f>
        <v/>
      </c>
      <c r="T338">
        <f>IF(S338=1,N(N338),0)</f>
        <v/>
      </c>
      <c r="U338">
        <f>IF(AND(S338=1,T338&gt;0),ROUND(T338*100,0)*10000+10000-ROW(),"")</f>
        <v/>
      </c>
      <c r="V338">
        <f>IF(AND(S338=1,OR(Report!$C$5="",B338=Report!$C$5)),MATCH(B338,Rooms!$B$6:$B$35,0)*10000+ROW(),"")</f>
        <v/>
      </c>
      <c r="W338">
        <f>IF(AND(S338=1,OR(J338="",J338="No")),1,0)</f>
        <v/>
      </c>
      <c r="X338">
        <f>IF(AND(S338=1,K338=""),1,0)</f>
        <v/>
      </c>
      <c r="Y338">
        <f>IF(AND(S338=1,Q338&lt;&gt;""),ROUND(T338*100,0)*10000+10000-ROW(),"")</f>
        <v/>
      </c>
    </row>
    <row r="339">
      <c r="A339" s="1" t="n"/>
      <c r="B339" s="17" t="n"/>
      <c r="C339" s="18" t="n"/>
      <c r="D339" s="17" t="n"/>
      <c r="E339" s="19" t="n"/>
      <c r="F339" s="19" t="n"/>
      <c r="G339" s="20" t="n"/>
      <c r="H339" s="21" t="n"/>
      <c r="I339" s="21" t="n"/>
      <c r="J339" s="17" t="n"/>
      <c r="K339" s="19" t="n"/>
      <c r="L339" s="20" t="n"/>
      <c r="M339" s="19" t="n"/>
      <c r="N339" s="22">
        <f>IF(C339="","",IF(ISNUMBER(I339),I339,IF(ISNUMBER(H339),H339,"")))</f>
        <v/>
      </c>
      <c r="O339" s="23">
        <f>IF(OR(C339="",NOT(ISNUMBER(G339))),"",(TODAY()-INT(G339))/365.25)</f>
        <v/>
      </c>
      <c r="P339" s="13">
        <f>IF(OR(C339="",NOT(ISNUMBER(L339))),"",IF(L339&lt;TODAY(),"Ended",IF(L339-TODAY()&lt;=N(Settings!$C$10),"Ends soon","Covered")))</f>
        <v/>
      </c>
      <c r="Q339" s="13">
        <f>IF(C339="","",MID(IF(N339="",", value","")&amp;IF(OR(J339="",J339="No"),", receipt","")&amp;IF(K339="",", photo",""),3,100))</f>
        <v/>
      </c>
      <c r="R339" s="13">
        <f>IF(AND(B339="",C339=""),"",IF(C339="","Needs the item",IF(B339="","Needs a room",IF(COUNTIF(Rooms!$B$6:$B$35,B339)=0,"Not on Rooms",IF(AND(H339&lt;&gt;"",NOT(ISNUMBER(H339))),"Paid not a number",IF(AND(I339&lt;&gt;"",NOT(ISNUMBER(I339))),"Worth not a number",IF(AND(G339&lt;&gt;"",NOT(ISNUMBER(G339))),"Bought is not a date",IF(AND(L339&lt;&gt;"",NOT(ISNUMBER(L339))),"Warranty is not a date",""))))))))</f>
        <v/>
      </c>
      <c r="S339" s="1">
        <f>IF(AND(C339&lt;&gt;"",R339=""),1,0)</f>
        <v/>
      </c>
      <c r="T339">
        <f>IF(S339=1,N(N339),0)</f>
        <v/>
      </c>
      <c r="U339">
        <f>IF(AND(S339=1,T339&gt;0),ROUND(T339*100,0)*10000+10000-ROW(),"")</f>
        <v/>
      </c>
      <c r="V339">
        <f>IF(AND(S339=1,OR(Report!$C$5="",B339=Report!$C$5)),MATCH(B339,Rooms!$B$6:$B$35,0)*10000+ROW(),"")</f>
        <v/>
      </c>
      <c r="W339">
        <f>IF(AND(S339=1,OR(J339="",J339="No")),1,0)</f>
        <v/>
      </c>
      <c r="X339">
        <f>IF(AND(S339=1,K339=""),1,0)</f>
        <v/>
      </c>
      <c r="Y339">
        <f>IF(AND(S339=1,Q339&lt;&gt;""),ROUND(T339*100,0)*10000+10000-ROW(),"")</f>
        <v/>
      </c>
    </row>
    <row r="340">
      <c r="A340" s="1" t="n"/>
      <c r="B340" s="17" t="n"/>
      <c r="C340" s="18" t="n"/>
      <c r="D340" s="17" t="n"/>
      <c r="E340" s="19" t="n"/>
      <c r="F340" s="19" t="n"/>
      <c r="G340" s="20" t="n"/>
      <c r="H340" s="21" t="n"/>
      <c r="I340" s="21" t="n"/>
      <c r="J340" s="17" t="n"/>
      <c r="K340" s="19" t="n"/>
      <c r="L340" s="20" t="n"/>
      <c r="M340" s="19" t="n"/>
      <c r="N340" s="22">
        <f>IF(C340="","",IF(ISNUMBER(I340),I340,IF(ISNUMBER(H340),H340,"")))</f>
        <v/>
      </c>
      <c r="O340" s="23">
        <f>IF(OR(C340="",NOT(ISNUMBER(G340))),"",(TODAY()-INT(G340))/365.25)</f>
        <v/>
      </c>
      <c r="P340" s="13">
        <f>IF(OR(C340="",NOT(ISNUMBER(L340))),"",IF(L340&lt;TODAY(),"Ended",IF(L340-TODAY()&lt;=N(Settings!$C$10),"Ends soon","Covered")))</f>
        <v/>
      </c>
      <c r="Q340" s="13">
        <f>IF(C340="","",MID(IF(N340="",", value","")&amp;IF(OR(J340="",J340="No"),", receipt","")&amp;IF(K340="",", photo",""),3,100))</f>
        <v/>
      </c>
      <c r="R340" s="13">
        <f>IF(AND(B340="",C340=""),"",IF(C340="","Needs the item",IF(B340="","Needs a room",IF(COUNTIF(Rooms!$B$6:$B$35,B340)=0,"Not on Rooms",IF(AND(H340&lt;&gt;"",NOT(ISNUMBER(H340))),"Paid not a number",IF(AND(I340&lt;&gt;"",NOT(ISNUMBER(I340))),"Worth not a number",IF(AND(G340&lt;&gt;"",NOT(ISNUMBER(G340))),"Bought is not a date",IF(AND(L340&lt;&gt;"",NOT(ISNUMBER(L340))),"Warranty is not a date",""))))))))</f>
        <v/>
      </c>
      <c r="S340" s="1">
        <f>IF(AND(C340&lt;&gt;"",R340=""),1,0)</f>
        <v/>
      </c>
      <c r="T340">
        <f>IF(S340=1,N(N340),0)</f>
        <v/>
      </c>
      <c r="U340">
        <f>IF(AND(S340=1,T340&gt;0),ROUND(T340*100,0)*10000+10000-ROW(),"")</f>
        <v/>
      </c>
      <c r="V340">
        <f>IF(AND(S340=1,OR(Report!$C$5="",B340=Report!$C$5)),MATCH(B340,Rooms!$B$6:$B$35,0)*10000+ROW(),"")</f>
        <v/>
      </c>
      <c r="W340">
        <f>IF(AND(S340=1,OR(J340="",J340="No")),1,0)</f>
        <v/>
      </c>
      <c r="X340">
        <f>IF(AND(S340=1,K340=""),1,0)</f>
        <v/>
      </c>
      <c r="Y340">
        <f>IF(AND(S340=1,Q340&lt;&gt;""),ROUND(T340*100,0)*10000+10000-ROW(),"")</f>
        <v/>
      </c>
    </row>
    <row r="341">
      <c r="A341" s="1" t="n"/>
      <c r="B341" s="17" t="n"/>
      <c r="C341" s="18" t="n"/>
      <c r="D341" s="17" t="n"/>
      <c r="E341" s="19" t="n"/>
      <c r="F341" s="19" t="n"/>
      <c r="G341" s="20" t="n"/>
      <c r="H341" s="21" t="n"/>
      <c r="I341" s="21" t="n"/>
      <c r="J341" s="17" t="n"/>
      <c r="K341" s="19" t="n"/>
      <c r="L341" s="20" t="n"/>
      <c r="M341" s="19" t="n"/>
      <c r="N341" s="22">
        <f>IF(C341="","",IF(ISNUMBER(I341),I341,IF(ISNUMBER(H341),H341,"")))</f>
        <v/>
      </c>
      <c r="O341" s="23">
        <f>IF(OR(C341="",NOT(ISNUMBER(G341))),"",(TODAY()-INT(G341))/365.25)</f>
        <v/>
      </c>
      <c r="P341" s="13">
        <f>IF(OR(C341="",NOT(ISNUMBER(L341))),"",IF(L341&lt;TODAY(),"Ended",IF(L341-TODAY()&lt;=N(Settings!$C$10),"Ends soon","Covered")))</f>
        <v/>
      </c>
      <c r="Q341" s="13">
        <f>IF(C341="","",MID(IF(N341="",", value","")&amp;IF(OR(J341="",J341="No"),", receipt","")&amp;IF(K341="",", photo",""),3,100))</f>
        <v/>
      </c>
      <c r="R341" s="13">
        <f>IF(AND(B341="",C341=""),"",IF(C341="","Needs the item",IF(B341="","Needs a room",IF(COUNTIF(Rooms!$B$6:$B$35,B341)=0,"Not on Rooms",IF(AND(H341&lt;&gt;"",NOT(ISNUMBER(H341))),"Paid not a number",IF(AND(I341&lt;&gt;"",NOT(ISNUMBER(I341))),"Worth not a number",IF(AND(G341&lt;&gt;"",NOT(ISNUMBER(G341))),"Bought is not a date",IF(AND(L341&lt;&gt;"",NOT(ISNUMBER(L341))),"Warranty is not a date",""))))))))</f>
        <v/>
      </c>
      <c r="S341" s="1">
        <f>IF(AND(C341&lt;&gt;"",R341=""),1,0)</f>
        <v/>
      </c>
      <c r="T341">
        <f>IF(S341=1,N(N341),0)</f>
        <v/>
      </c>
      <c r="U341">
        <f>IF(AND(S341=1,T341&gt;0),ROUND(T341*100,0)*10000+10000-ROW(),"")</f>
        <v/>
      </c>
      <c r="V341">
        <f>IF(AND(S341=1,OR(Report!$C$5="",B341=Report!$C$5)),MATCH(B341,Rooms!$B$6:$B$35,0)*10000+ROW(),"")</f>
        <v/>
      </c>
      <c r="W341">
        <f>IF(AND(S341=1,OR(J341="",J341="No")),1,0)</f>
        <v/>
      </c>
      <c r="X341">
        <f>IF(AND(S341=1,K341=""),1,0)</f>
        <v/>
      </c>
      <c r="Y341">
        <f>IF(AND(S341=1,Q341&lt;&gt;""),ROUND(T341*100,0)*10000+10000-ROW(),"")</f>
        <v/>
      </c>
    </row>
    <row r="342">
      <c r="A342" s="1" t="n"/>
      <c r="B342" s="17" t="n"/>
      <c r="C342" s="18" t="n"/>
      <c r="D342" s="17" t="n"/>
      <c r="E342" s="19" t="n"/>
      <c r="F342" s="19" t="n"/>
      <c r="G342" s="20" t="n"/>
      <c r="H342" s="21" t="n"/>
      <c r="I342" s="21" t="n"/>
      <c r="J342" s="17" t="n"/>
      <c r="K342" s="19" t="n"/>
      <c r="L342" s="20" t="n"/>
      <c r="M342" s="19" t="n"/>
      <c r="N342" s="22">
        <f>IF(C342="","",IF(ISNUMBER(I342),I342,IF(ISNUMBER(H342),H342,"")))</f>
        <v/>
      </c>
      <c r="O342" s="23">
        <f>IF(OR(C342="",NOT(ISNUMBER(G342))),"",(TODAY()-INT(G342))/365.25)</f>
        <v/>
      </c>
      <c r="P342" s="13">
        <f>IF(OR(C342="",NOT(ISNUMBER(L342))),"",IF(L342&lt;TODAY(),"Ended",IF(L342-TODAY()&lt;=N(Settings!$C$10),"Ends soon","Covered")))</f>
        <v/>
      </c>
      <c r="Q342" s="13">
        <f>IF(C342="","",MID(IF(N342="",", value","")&amp;IF(OR(J342="",J342="No"),", receipt","")&amp;IF(K342="",", photo",""),3,100))</f>
        <v/>
      </c>
      <c r="R342" s="13">
        <f>IF(AND(B342="",C342=""),"",IF(C342="","Needs the item",IF(B342="","Needs a room",IF(COUNTIF(Rooms!$B$6:$B$35,B342)=0,"Not on Rooms",IF(AND(H342&lt;&gt;"",NOT(ISNUMBER(H342))),"Paid not a number",IF(AND(I342&lt;&gt;"",NOT(ISNUMBER(I342))),"Worth not a number",IF(AND(G342&lt;&gt;"",NOT(ISNUMBER(G342))),"Bought is not a date",IF(AND(L342&lt;&gt;"",NOT(ISNUMBER(L342))),"Warranty is not a date",""))))))))</f>
        <v/>
      </c>
      <c r="S342" s="1">
        <f>IF(AND(C342&lt;&gt;"",R342=""),1,0)</f>
        <v/>
      </c>
      <c r="T342">
        <f>IF(S342=1,N(N342),0)</f>
        <v/>
      </c>
      <c r="U342">
        <f>IF(AND(S342=1,T342&gt;0),ROUND(T342*100,0)*10000+10000-ROW(),"")</f>
        <v/>
      </c>
      <c r="V342">
        <f>IF(AND(S342=1,OR(Report!$C$5="",B342=Report!$C$5)),MATCH(B342,Rooms!$B$6:$B$35,0)*10000+ROW(),"")</f>
        <v/>
      </c>
      <c r="W342">
        <f>IF(AND(S342=1,OR(J342="",J342="No")),1,0)</f>
        <v/>
      </c>
      <c r="X342">
        <f>IF(AND(S342=1,K342=""),1,0)</f>
        <v/>
      </c>
      <c r="Y342">
        <f>IF(AND(S342=1,Q342&lt;&gt;""),ROUND(T342*100,0)*10000+10000-ROW(),"")</f>
        <v/>
      </c>
    </row>
    <row r="343">
      <c r="A343" s="1" t="n"/>
      <c r="B343" s="17" t="n"/>
      <c r="C343" s="18" t="n"/>
      <c r="D343" s="17" t="n"/>
      <c r="E343" s="19" t="n"/>
      <c r="F343" s="19" t="n"/>
      <c r="G343" s="20" t="n"/>
      <c r="H343" s="21" t="n"/>
      <c r="I343" s="21" t="n"/>
      <c r="J343" s="17" t="n"/>
      <c r="K343" s="19" t="n"/>
      <c r="L343" s="20" t="n"/>
      <c r="M343" s="19" t="n"/>
      <c r="N343" s="22">
        <f>IF(C343="","",IF(ISNUMBER(I343),I343,IF(ISNUMBER(H343),H343,"")))</f>
        <v/>
      </c>
      <c r="O343" s="23">
        <f>IF(OR(C343="",NOT(ISNUMBER(G343))),"",(TODAY()-INT(G343))/365.25)</f>
        <v/>
      </c>
      <c r="P343" s="13">
        <f>IF(OR(C343="",NOT(ISNUMBER(L343))),"",IF(L343&lt;TODAY(),"Ended",IF(L343-TODAY()&lt;=N(Settings!$C$10),"Ends soon","Covered")))</f>
        <v/>
      </c>
      <c r="Q343" s="13">
        <f>IF(C343="","",MID(IF(N343="",", value","")&amp;IF(OR(J343="",J343="No"),", receipt","")&amp;IF(K343="",", photo",""),3,100))</f>
        <v/>
      </c>
      <c r="R343" s="13">
        <f>IF(AND(B343="",C343=""),"",IF(C343="","Needs the item",IF(B343="","Needs a room",IF(COUNTIF(Rooms!$B$6:$B$35,B343)=0,"Not on Rooms",IF(AND(H343&lt;&gt;"",NOT(ISNUMBER(H343))),"Paid not a number",IF(AND(I343&lt;&gt;"",NOT(ISNUMBER(I343))),"Worth not a number",IF(AND(G343&lt;&gt;"",NOT(ISNUMBER(G343))),"Bought is not a date",IF(AND(L343&lt;&gt;"",NOT(ISNUMBER(L343))),"Warranty is not a date",""))))))))</f>
        <v/>
      </c>
      <c r="S343" s="1">
        <f>IF(AND(C343&lt;&gt;"",R343=""),1,0)</f>
        <v/>
      </c>
      <c r="T343">
        <f>IF(S343=1,N(N343),0)</f>
        <v/>
      </c>
      <c r="U343">
        <f>IF(AND(S343=1,T343&gt;0),ROUND(T343*100,0)*10000+10000-ROW(),"")</f>
        <v/>
      </c>
      <c r="V343">
        <f>IF(AND(S343=1,OR(Report!$C$5="",B343=Report!$C$5)),MATCH(B343,Rooms!$B$6:$B$35,0)*10000+ROW(),"")</f>
        <v/>
      </c>
      <c r="W343">
        <f>IF(AND(S343=1,OR(J343="",J343="No")),1,0)</f>
        <v/>
      </c>
      <c r="X343">
        <f>IF(AND(S343=1,K343=""),1,0)</f>
        <v/>
      </c>
      <c r="Y343">
        <f>IF(AND(S343=1,Q343&lt;&gt;""),ROUND(T343*100,0)*10000+10000-ROW(),"")</f>
        <v/>
      </c>
    </row>
    <row r="344">
      <c r="A344" s="1" t="n"/>
      <c r="B344" s="17" t="n"/>
      <c r="C344" s="18" t="n"/>
      <c r="D344" s="17" t="n"/>
      <c r="E344" s="19" t="n"/>
      <c r="F344" s="19" t="n"/>
      <c r="G344" s="20" t="n"/>
      <c r="H344" s="21" t="n"/>
      <c r="I344" s="21" t="n"/>
      <c r="J344" s="17" t="n"/>
      <c r="K344" s="19" t="n"/>
      <c r="L344" s="20" t="n"/>
      <c r="M344" s="19" t="n"/>
      <c r="N344" s="22">
        <f>IF(C344="","",IF(ISNUMBER(I344),I344,IF(ISNUMBER(H344),H344,"")))</f>
        <v/>
      </c>
      <c r="O344" s="23">
        <f>IF(OR(C344="",NOT(ISNUMBER(G344))),"",(TODAY()-INT(G344))/365.25)</f>
        <v/>
      </c>
      <c r="P344" s="13">
        <f>IF(OR(C344="",NOT(ISNUMBER(L344))),"",IF(L344&lt;TODAY(),"Ended",IF(L344-TODAY()&lt;=N(Settings!$C$10),"Ends soon","Covered")))</f>
        <v/>
      </c>
      <c r="Q344" s="13">
        <f>IF(C344="","",MID(IF(N344="",", value","")&amp;IF(OR(J344="",J344="No"),", receipt","")&amp;IF(K344="",", photo",""),3,100))</f>
        <v/>
      </c>
      <c r="R344" s="13">
        <f>IF(AND(B344="",C344=""),"",IF(C344="","Needs the item",IF(B344="","Needs a room",IF(COUNTIF(Rooms!$B$6:$B$35,B344)=0,"Not on Rooms",IF(AND(H344&lt;&gt;"",NOT(ISNUMBER(H344))),"Paid not a number",IF(AND(I344&lt;&gt;"",NOT(ISNUMBER(I344))),"Worth not a number",IF(AND(G344&lt;&gt;"",NOT(ISNUMBER(G344))),"Bought is not a date",IF(AND(L344&lt;&gt;"",NOT(ISNUMBER(L344))),"Warranty is not a date",""))))))))</f>
        <v/>
      </c>
      <c r="S344" s="1">
        <f>IF(AND(C344&lt;&gt;"",R344=""),1,0)</f>
        <v/>
      </c>
      <c r="T344">
        <f>IF(S344=1,N(N344),0)</f>
        <v/>
      </c>
      <c r="U344">
        <f>IF(AND(S344=1,T344&gt;0),ROUND(T344*100,0)*10000+10000-ROW(),"")</f>
        <v/>
      </c>
      <c r="V344">
        <f>IF(AND(S344=1,OR(Report!$C$5="",B344=Report!$C$5)),MATCH(B344,Rooms!$B$6:$B$35,0)*10000+ROW(),"")</f>
        <v/>
      </c>
      <c r="W344">
        <f>IF(AND(S344=1,OR(J344="",J344="No")),1,0)</f>
        <v/>
      </c>
      <c r="X344">
        <f>IF(AND(S344=1,K344=""),1,0)</f>
        <v/>
      </c>
      <c r="Y344">
        <f>IF(AND(S344=1,Q344&lt;&gt;""),ROUND(T344*100,0)*10000+10000-ROW(),"")</f>
        <v/>
      </c>
    </row>
    <row r="345">
      <c r="A345" s="1" t="n"/>
      <c r="B345" s="17" t="n"/>
      <c r="C345" s="18" t="n"/>
      <c r="D345" s="17" t="n"/>
      <c r="E345" s="19" t="n"/>
      <c r="F345" s="19" t="n"/>
      <c r="G345" s="20" t="n"/>
      <c r="H345" s="21" t="n"/>
      <c r="I345" s="21" t="n"/>
      <c r="J345" s="17" t="n"/>
      <c r="K345" s="19" t="n"/>
      <c r="L345" s="20" t="n"/>
      <c r="M345" s="19" t="n"/>
      <c r="N345" s="22">
        <f>IF(C345="","",IF(ISNUMBER(I345),I345,IF(ISNUMBER(H345),H345,"")))</f>
        <v/>
      </c>
      <c r="O345" s="23">
        <f>IF(OR(C345="",NOT(ISNUMBER(G345))),"",(TODAY()-INT(G345))/365.25)</f>
        <v/>
      </c>
      <c r="P345" s="13">
        <f>IF(OR(C345="",NOT(ISNUMBER(L345))),"",IF(L345&lt;TODAY(),"Ended",IF(L345-TODAY()&lt;=N(Settings!$C$10),"Ends soon","Covered")))</f>
        <v/>
      </c>
      <c r="Q345" s="13">
        <f>IF(C345="","",MID(IF(N345="",", value","")&amp;IF(OR(J345="",J345="No"),", receipt","")&amp;IF(K345="",", photo",""),3,100))</f>
        <v/>
      </c>
      <c r="R345" s="13">
        <f>IF(AND(B345="",C345=""),"",IF(C345="","Needs the item",IF(B345="","Needs a room",IF(COUNTIF(Rooms!$B$6:$B$35,B345)=0,"Not on Rooms",IF(AND(H345&lt;&gt;"",NOT(ISNUMBER(H345))),"Paid not a number",IF(AND(I345&lt;&gt;"",NOT(ISNUMBER(I345))),"Worth not a number",IF(AND(G345&lt;&gt;"",NOT(ISNUMBER(G345))),"Bought is not a date",IF(AND(L345&lt;&gt;"",NOT(ISNUMBER(L345))),"Warranty is not a date",""))))))))</f>
        <v/>
      </c>
      <c r="S345" s="1">
        <f>IF(AND(C345&lt;&gt;"",R345=""),1,0)</f>
        <v/>
      </c>
      <c r="T345">
        <f>IF(S345=1,N(N345),0)</f>
        <v/>
      </c>
      <c r="U345">
        <f>IF(AND(S345=1,T345&gt;0),ROUND(T345*100,0)*10000+10000-ROW(),"")</f>
        <v/>
      </c>
      <c r="V345">
        <f>IF(AND(S345=1,OR(Report!$C$5="",B345=Report!$C$5)),MATCH(B345,Rooms!$B$6:$B$35,0)*10000+ROW(),"")</f>
        <v/>
      </c>
      <c r="W345">
        <f>IF(AND(S345=1,OR(J345="",J345="No")),1,0)</f>
        <v/>
      </c>
      <c r="X345">
        <f>IF(AND(S345=1,K345=""),1,0)</f>
        <v/>
      </c>
      <c r="Y345">
        <f>IF(AND(S345=1,Q345&lt;&gt;""),ROUND(T345*100,0)*10000+10000-ROW(),"")</f>
        <v/>
      </c>
    </row>
    <row r="346">
      <c r="A346" s="1" t="n"/>
      <c r="B346" s="17" t="n"/>
      <c r="C346" s="18" t="n"/>
      <c r="D346" s="17" t="n"/>
      <c r="E346" s="19" t="n"/>
      <c r="F346" s="19" t="n"/>
      <c r="G346" s="20" t="n"/>
      <c r="H346" s="21" t="n"/>
      <c r="I346" s="21" t="n"/>
      <c r="J346" s="17" t="n"/>
      <c r="K346" s="19" t="n"/>
      <c r="L346" s="20" t="n"/>
      <c r="M346" s="19" t="n"/>
      <c r="N346" s="22">
        <f>IF(C346="","",IF(ISNUMBER(I346),I346,IF(ISNUMBER(H346),H346,"")))</f>
        <v/>
      </c>
      <c r="O346" s="23">
        <f>IF(OR(C346="",NOT(ISNUMBER(G346))),"",(TODAY()-INT(G346))/365.25)</f>
        <v/>
      </c>
      <c r="P346" s="13">
        <f>IF(OR(C346="",NOT(ISNUMBER(L346))),"",IF(L346&lt;TODAY(),"Ended",IF(L346-TODAY()&lt;=N(Settings!$C$10),"Ends soon","Covered")))</f>
        <v/>
      </c>
      <c r="Q346" s="13">
        <f>IF(C346="","",MID(IF(N346="",", value","")&amp;IF(OR(J346="",J346="No"),", receipt","")&amp;IF(K346="",", photo",""),3,100))</f>
        <v/>
      </c>
      <c r="R346" s="13">
        <f>IF(AND(B346="",C346=""),"",IF(C346="","Needs the item",IF(B346="","Needs a room",IF(COUNTIF(Rooms!$B$6:$B$35,B346)=0,"Not on Rooms",IF(AND(H346&lt;&gt;"",NOT(ISNUMBER(H346))),"Paid not a number",IF(AND(I346&lt;&gt;"",NOT(ISNUMBER(I346))),"Worth not a number",IF(AND(G346&lt;&gt;"",NOT(ISNUMBER(G346))),"Bought is not a date",IF(AND(L346&lt;&gt;"",NOT(ISNUMBER(L346))),"Warranty is not a date",""))))))))</f>
        <v/>
      </c>
      <c r="S346" s="1">
        <f>IF(AND(C346&lt;&gt;"",R346=""),1,0)</f>
        <v/>
      </c>
      <c r="T346">
        <f>IF(S346=1,N(N346),0)</f>
        <v/>
      </c>
      <c r="U346">
        <f>IF(AND(S346=1,T346&gt;0),ROUND(T346*100,0)*10000+10000-ROW(),"")</f>
        <v/>
      </c>
      <c r="V346">
        <f>IF(AND(S346=1,OR(Report!$C$5="",B346=Report!$C$5)),MATCH(B346,Rooms!$B$6:$B$35,0)*10000+ROW(),"")</f>
        <v/>
      </c>
      <c r="W346">
        <f>IF(AND(S346=1,OR(J346="",J346="No")),1,0)</f>
        <v/>
      </c>
      <c r="X346">
        <f>IF(AND(S346=1,K346=""),1,0)</f>
        <v/>
      </c>
      <c r="Y346">
        <f>IF(AND(S346=1,Q346&lt;&gt;""),ROUND(T346*100,0)*10000+10000-ROW(),"")</f>
        <v/>
      </c>
    </row>
    <row r="347">
      <c r="A347" s="1" t="n"/>
      <c r="B347" s="17" t="n"/>
      <c r="C347" s="18" t="n"/>
      <c r="D347" s="17" t="n"/>
      <c r="E347" s="19" t="n"/>
      <c r="F347" s="19" t="n"/>
      <c r="G347" s="20" t="n"/>
      <c r="H347" s="21" t="n"/>
      <c r="I347" s="21" t="n"/>
      <c r="J347" s="17" t="n"/>
      <c r="K347" s="19" t="n"/>
      <c r="L347" s="20" t="n"/>
      <c r="M347" s="19" t="n"/>
      <c r="N347" s="22">
        <f>IF(C347="","",IF(ISNUMBER(I347),I347,IF(ISNUMBER(H347),H347,"")))</f>
        <v/>
      </c>
      <c r="O347" s="23">
        <f>IF(OR(C347="",NOT(ISNUMBER(G347))),"",(TODAY()-INT(G347))/365.25)</f>
        <v/>
      </c>
      <c r="P347" s="13">
        <f>IF(OR(C347="",NOT(ISNUMBER(L347))),"",IF(L347&lt;TODAY(),"Ended",IF(L347-TODAY()&lt;=N(Settings!$C$10),"Ends soon","Covered")))</f>
        <v/>
      </c>
      <c r="Q347" s="13">
        <f>IF(C347="","",MID(IF(N347="",", value","")&amp;IF(OR(J347="",J347="No"),", receipt","")&amp;IF(K347="",", photo",""),3,100))</f>
        <v/>
      </c>
      <c r="R347" s="13">
        <f>IF(AND(B347="",C347=""),"",IF(C347="","Needs the item",IF(B347="","Needs a room",IF(COUNTIF(Rooms!$B$6:$B$35,B347)=0,"Not on Rooms",IF(AND(H347&lt;&gt;"",NOT(ISNUMBER(H347))),"Paid not a number",IF(AND(I347&lt;&gt;"",NOT(ISNUMBER(I347))),"Worth not a number",IF(AND(G347&lt;&gt;"",NOT(ISNUMBER(G347))),"Bought is not a date",IF(AND(L347&lt;&gt;"",NOT(ISNUMBER(L347))),"Warranty is not a date",""))))))))</f>
        <v/>
      </c>
      <c r="S347" s="1">
        <f>IF(AND(C347&lt;&gt;"",R347=""),1,0)</f>
        <v/>
      </c>
      <c r="T347">
        <f>IF(S347=1,N(N347),0)</f>
        <v/>
      </c>
      <c r="U347">
        <f>IF(AND(S347=1,T347&gt;0),ROUND(T347*100,0)*10000+10000-ROW(),"")</f>
        <v/>
      </c>
      <c r="V347">
        <f>IF(AND(S347=1,OR(Report!$C$5="",B347=Report!$C$5)),MATCH(B347,Rooms!$B$6:$B$35,0)*10000+ROW(),"")</f>
        <v/>
      </c>
      <c r="W347">
        <f>IF(AND(S347=1,OR(J347="",J347="No")),1,0)</f>
        <v/>
      </c>
      <c r="X347">
        <f>IF(AND(S347=1,K347=""),1,0)</f>
        <v/>
      </c>
      <c r="Y347">
        <f>IF(AND(S347=1,Q347&lt;&gt;""),ROUND(T347*100,0)*10000+10000-ROW(),"")</f>
        <v/>
      </c>
    </row>
    <row r="348">
      <c r="A348" s="1" t="n"/>
      <c r="B348" s="17" t="n"/>
      <c r="C348" s="18" t="n"/>
      <c r="D348" s="17" t="n"/>
      <c r="E348" s="19" t="n"/>
      <c r="F348" s="19" t="n"/>
      <c r="G348" s="20" t="n"/>
      <c r="H348" s="21" t="n"/>
      <c r="I348" s="21" t="n"/>
      <c r="J348" s="17" t="n"/>
      <c r="K348" s="19" t="n"/>
      <c r="L348" s="20" t="n"/>
      <c r="M348" s="19" t="n"/>
      <c r="N348" s="22">
        <f>IF(C348="","",IF(ISNUMBER(I348),I348,IF(ISNUMBER(H348),H348,"")))</f>
        <v/>
      </c>
      <c r="O348" s="23">
        <f>IF(OR(C348="",NOT(ISNUMBER(G348))),"",(TODAY()-INT(G348))/365.25)</f>
        <v/>
      </c>
      <c r="P348" s="13">
        <f>IF(OR(C348="",NOT(ISNUMBER(L348))),"",IF(L348&lt;TODAY(),"Ended",IF(L348-TODAY()&lt;=N(Settings!$C$10),"Ends soon","Covered")))</f>
        <v/>
      </c>
      <c r="Q348" s="13">
        <f>IF(C348="","",MID(IF(N348="",", value","")&amp;IF(OR(J348="",J348="No"),", receipt","")&amp;IF(K348="",", photo",""),3,100))</f>
        <v/>
      </c>
      <c r="R348" s="13">
        <f>IF(AND(B348="",C348=""),"",IF(C348="","Needs the item",IF(B348="","Needs a room",IF(COUNTIF(Rooms!$B$6:$B$35,B348)=0,"Not on Rooms",IF(AND(H348&lt;&gt;"",NOT(ISNUMBER(H348))),"Paid not a number",IF(AND(I348&lt;&gt;"",NOT(ISNUMBER(I348))),"Worth not a number",IF(AND(G348&lt;&gt;"",NOT(ISNUMBER(G348))),"Bought is not a date",IF(AND(L348&lt;&gt;"",NOT(ISNUMBER(L348))),"Warranty is not a date",""))))))))</f>
        <v/>
      </c>
      <c r="S348" s="1">
        <f>IF(AND(C348&lt;&gt;"",R348=""),1,0)</f>
        <v/>
      </c>
      <c r="T348">
        <f>IF(S348=1,N(N348),0)</f>
        <v/>
      </c>
      <c r="U348">
        <f>IF(AND(S348=1,T348&gt;0),ROUND(T348*100,0)*10000+10000-ROW(),"")</f>
        <v/>
      </c>
      <c r="V348">
        <f>IF(AND(S348=1,OR(Report!$C$5="",B348=Report!$C$5)),MATCH(B348,Rooms!$B$6:$B$35,0)*10000+ROW(),"")</f>
        <v/>
      </c>
      <c r="W348">
        <f>IF(AND(S348=1,OR(J348="",J348="No")),1,0)</f>
        <v/>
      </c>
      <c r="X348">
        <f>IF(AND(S348=1,K348=""),1,0)</f>
        <v/>
      </c>
      <c r="Y348">
        <f>IF(AND(S348=1,Q348&lt;&gt;""),ROUND(T348*100,0)*10000+10000-ROW(),"")</f>
        <v/>
      </c>
    </row>
    <row r="349">
      <c r="A349" s="1" t="n"/>
      <c r="B349" s="17" t="n"/>
      <c r="C349" s="18" t="n"/>
      <c r="D349" s="17" t="n"/>
      <c r="E349" s="19" t="n"/>
      <c r="F349" s="19" t="n"/>
      <c r="G349" s="20" t="n"/>
      <c r="H349" s="21" t="n"/>
      <c r="I349" s="21" t="n"/>
      <c r="J349" s="17" t="n"/>
      <c r="K349" s="19" t="n"/>
      <c r="L349" s="20" t="n"/>
      <c r="M349" s="19" t="n"/>
      <c r="N349" s="22">
        <f>IF(C349="","",IF(ISNUMBER(I349),I349,IF(ISNUMBER(H349),H349,"")))</f>
        <v/>
      </c>
      <c r="O349" s="23">
        <f>IF(OR(C349="",NOT(ISNUMBER(G349))),"",(TODAY()-INT(G349))/365.25)</f>
        <v/>
      </c>
      <c r="P349" s="13">
        <f>IF(OR(C349="",NOT(ISNUMBER(L349))),"",IF(L349&lt;TODAY(),"Ended",IF(L349-TODAY()&lt;=N(Settings!$C$10),"Ends soon","Covered")))</f>
        <v/>
      </c>
      <c r="Q349" s="13">
        <f>IF(C349="","",MID(IF(N349="",", value","")&amp;IF(OR(J349="",J349="No"),", receipt","")&amp;IF(K349="",", photo",""),3,100))</f>
        <v/>
      </c>
      <c r="R349" s="13">
        <f>IF(AND(B349="",C349=""),"",IF(C349="","Needs the item",IF(B349="","Needs a room",IF(COUNTIF(Rooms!$B$6:$B$35,B349)=0,"Not on Rooms",IF(AND(H349&lt;&gt;"",NOT(ISNUMBER(H349))),"Paid not a number",IF(AND(I349&lt;&gt;"",NOT(ISNUMBER(I349))),"Worth not a number",IF(AND(G349&lt;&gt;"",NOT(ISNUMBER(G349))),"Bought is not a date",IF(AND(L349&lt;&gt;"",NOT(ISNUMBER(L349))),"Warranty is not a date",""))))))))</f>
        <v/>
      </c>
      <c r="S349" s="1">
        <f>IF(AND(C349&lt;&gt;"",R349=""),1,0)</f>
        <v/>
      </c>
      <c r="T349">
        <f>IF(S349=1,N(N349),0)</f>
        <v/>
      </c>
      <c r="U349">
        <f>IF(AND(S349=1,T349&gt;0),ROUND(T349*100,0)*10000+10000-ROW(),"")</f>
        <v/>
      </c>
      <c r="V349">
        <f>IF(AND(S349=1,OR(Report!$C$5="",B349=Report!$C$5)),MATCH(B349,Rooms!$B$6:$B$35,0)*10000+ROW(),"")</f>
        <v/>
      </c>
      <c r="W349">
        <f>IF(AND(S349=1,OR(J349="",J349="No")),1,0)</f>
        <v/>
      </c>
      <c r="X349">
        <f>IF(AND(S349=1,K349=""),1,0)</f>
        <v/>
      </c>
      <c r="Y349">
        <f>IF(AND(S349=1,Q349&lt;&gt;""),ROUND(T349*100,0)*10000+10000-ROW(),"")</f>
        <v/>
      </c>
    </row>
    <row r="350">
      <c r="A350" s="1" t="n"/>
      <c r="B350" s="17" t="n"/>
      <c r="C350" s="18" t="n"/>
      <c r="D350" s="17" t="n"/>
      <c r="E350" s="19" t="n"/>
      <c r="F350" s="19" t="n"/>
      <c r="G350" s="20" t="n"/>
      <c r="H350" s="21" t="n"/>
      <c r="I350" s="21" t="n"/>
      <c r="J350" s="17" t="n"/>
      <c r="K350" s="19" t="n"/>
      <c r="L350" s="20" t="n"/>
      <c r="M350" s="19" t="n"/>
      <c r="N350" s="22">
        <f>IF(C350="","",IF(ISNUMBER(I350),I350,IF(ISNUMBER(H350),H350,"")))</f>
        <v/>
      </c>
      <c r="O350" s="23">
        <f>IF(OR(C350="",NOT(ISNUMBER(G350))),"",(TODAY()-INT(G350))/365.25)</f>
        <v/>
      </c>
      <c r="P350" s="13">
        <f>IF(OR(C350="",NOT(ISNUMBER(L350))),"",IF(L350&lt;TODAY(),"Ended",IF(L350-TODAY()&lt;=N(Settings!$C$10),"Ends soon","Covered")))</f>
        <v/>
      </c>
      <c r="Q350" s="13">
        <f>IF(C350="","",MID(IF(N350="",", value","")&amp;IF(OR(J350="",J350="No"),", receipt","")&amp;IF(K350="",", photo",""),3,100))</f>
        <v/>
      </c>
      <c r="R350" s="13">
        <f>IF(AND(B350="",C350=""),"",IF(C350="","Needs the item",IF(B350="","Needs a room",IF(COUNTIF(Rooms!$B$6:$B$35,B350)=0,"Not on Rooms",IF(AND(H350&lt;&gt;"",NOT(ISNUMBER(H350))),"Paid not a number",IF(AND(I350&lt;&gt;"",NOT(ISNUMBER(I350))),"Worth not a number",IF(AND(G350&lt;&gt;"",NOT(ISNUMBER(G350))),"Bought is not a date",IF(AND(L350&lt;&gt;"",NOT(ISNUMBER(L350))),"Warranty is not a date",""))))))))</f>
        <v/>
      </c>
      <c r="S350" s="1">
        <f>IF(AND(C350&lt;&gt;"",R350=""),1,0)</f>
        <v/>
      </c>
      <c r="T350">
        <f>IF(S350=1,N(N350),0)</f>
        <v/>
      </c>
      <c r="U350">
        <f>IF(AND(S350=1,T350&gt;0),ROUND(T350*100,0)*10000+10000-ROW(),"")</f>
        <v/>
      </c>
      <c r="V350">
        <f>IF(AND(S350=1,OR(Report!$C$5="",B350=Report!$C$5)),MATCH(B350,Rooms!$B$6:$B$35,0)*10000+ROW(),"")</f>
        <v/>
      </c>
      <c r="W350">
        <f>IF(AND(S350=1,OR(J350="",J350="No")),1,0)</f>
        <v/>
      </c>
      <c r="X350">
        <f>IF(AND(S350=1,K350=""),1,0)</f>
        <v/>
      </c>
      <c r="Y350">
        <f>IF(AND(S350=1,Q350&lt;&gt;""),ROUND(T350*100,0)*10000+10000-ROW(),"")</f>
        <v/>
      </c>
    </row>
    <row r="351">
      <c r="A351" s="1" t="n"/>
      <c r="B351" s="17" t="n"/>
      <c r="C351" s="18" t="n"/>
      <c r="D351" s="17" t="n"/>
      <c r="E351" s="19" t="n"/>
      <c r="F351" s="19" t="n"/>
      <c r="G351" s="20" t="n"/>
      <c r="H351" s="21" t="n"/>
      <c r="I351" s="21" t="n"/>
      <c r="J351" s="17" t="n"/>
      <c r="K351" s="19" t="n"/>
      <c r="L351" s="20" t="n"/>
      <c r="M351" s="19" t="n"/>
      <c r="N351" s="22">
        <f>IF(C351="","",IF(ISNUMBER(I351),I351,IF(ISNUMBER(H351),H351,"")))</f>
        <v/>
      </c>
      <c r="O351" s="23">
        <f>IF(OR(C351="",NOT(ISNUMBER(G351))),"",(TODAY()-INT(G351))/365.25)</f>
        <v/>
      </c>
      <c r="P351" s="13">
        <f>IF(OR(C351="",NOT(ISNUMBER(L351))),"",IF(L351&lt;TODAY(),"Ended",IF(L351-TODAY()&lt;=N(Settings!$C$10),"Ends soon","Covered")))</f>
        <v/>
      </c>
      <c r="Q351" s="13">
        <f>IF(C351="","",MID(IF(N351="",", value","")&amp;IF(OR(J351="",J351="No"),", receipt","")&amp;IF(K351="",", photo",""),3,100))</f>
        <v/>
      </c>
      <c r="R351" s="13">
        <f>IF(AND(B351="",C351=""),"",IF(C351="","Needs the item",IF(B351="","Needs a room",IF(COUNTIF(Rooms!$B$6:$B$35,B351)=0,"Not on Rooms",IF(AND(H351&lt;&gt;"",NOT(ISNUMBER(H351))),"Paid not a number",IF(AND(I351&lt;&gt;"",NOT(ISNUMBER(I351))),"Worth not a number",IF(AND(G351&lt;&gt;"",NOT(ISNUMBER(G351))),"Bought is not a date",IF(AND(L351&lt;&gt;"",NOT(ISNUMBER(L351))),"Warranty is not a date",""))))))))</f>
        <v/>
      </c>
      <c r="S351" s="1">
        <f>IF(AND(C351&lt;&gt;"",R351=""),1,0)</f>
        <v/>
      </c>
      <c r="T351">
        <f>IF(S351=1,N(N351),0)</f>
        <v/>
      </c>
      <c r="U351">
        <f>IF(AND(S351=1,T351&gt;0),ROUND(T351*100,0)*10000+10000-ROW(),"")</f>
        <v/>
      </c>
      <c r="V351">
        <f>IF(AND(S351=1,OR(Report!$C$5="",B351=Report!$C$5)),MATCH(B351,Rooms!$B$6:$B$35,0)*10000+ROW(),"")</f>
        <v/>
      </c>
      <c r="W351">
        <f>IF(AND(S351=1,OR(J351="",J351="No")),1,0)</f>
        <v/>
      </c>
      <c r="X351">
        <f>IF(AND(S351=1,K351=""),1,0)</f>
        <v/>
      </c>
      <c r="Y351">
        <f>IF(AND(S351=1,Q351&lt;&gt;""),ROUND(T351*100,0)*10000+10000-ROW(),"")</f>
        <v/>
      </c>
    </row>
    <row r="352">
      <c r="A352" s="1" t="n"/>
      <c r="B352" s="17" t="n"/>
      <c r="C352" s="18" t="n"/>
      <c r="D352" s="17" t="n"/>
      <c r="E352" s="19" t="n"/>
      <c r="F352" s="19" t="n"/>
      <c r="G352" s="20" t="n"/>
      <c r="H352" s="21" t="n"/>
      <c r="I352" s="21" t="n"/>
      <c r="J352" s="17" t="n"/>
      <c r="K352" s="19" t="n"/>
      <c r="L352" s="20" t="n"/>
      <c r="M352" s="19" t="n"/>
      <c r="N352" s="22">
        <f>IF(C352="","",IF(ISNUMBER(I352),I352,IF(ISNUMBER(H352),H352,"")))</f>
        <v/>
      </c>
      <c r="O352" s="23">
        <f>IF(OR(C352="",NOT(ISNUMBER(G352))),"",(TODAY()-INT(G352))/365.25)</f>
        <v/>
      </c>
      <c r="P352" s="13">
        <f>IF(OR(C352="",NOT(ISNUMBER(L352))),"",IF(L352&lt;TODAY(),"Ended",IF(L352-TODAY()&lt;=N(Settings!$C$10),"Ends soon","Covered")))</f>
        <v/>
      </c>
      <c r="Q352" s="13">
        <f>IF(C352="","",MID(IF(N352="",", value","")&amp;IF(OR(J352="",J352="No"),", receipt","")&amp;IF(K352="",", photo",""),3,100))</f>
        <v/>
      </c>
      <c r="R352" s="13">
        <f>IF(AND(B352="",C352=""),"",IF(C352="","Needs the item",IF(B352="","Needs a room",IF(COUNTIF(Rooms!$B$6:$B$35,B352)=0,"Not on Rooms",IF(AND(H352&lt;&gt;"",NOT(ISNUMBER(H352))),"Paid not a number",IF(AND(I352&lt;&gt;"",NOT(ISNUMBER(I352))),"Worth not a number",IF(AND(G352&lt;&gt;"",NOT(ISNUMBER(G352))),"Bought is not a date",IF(AND(L352&lt;&gt;"",NOT(ISNUMBER(L352))),"Warranty is not a date",""))))))))</f>
        <v/>
      </c>
      <c r="S352" s="1">
        <f>IF(AND(C352&lt;&gt;"",R352=""),1,0)</f>
        <v/>
      </c>
      <c r="T352">
        <f>IF(S352=1,N(N352),0)</f>
        <v/>
      </c>
      <c r="U352">
        <f>IF(AND(S352=1,T352&gt;0),ROUND(T352*100,0)*10000+10000-ROW(),"")</f>
        <v/>
      </c>
      <c r="V352">
        <f>IF(AND(S352=1,OR(Report!$C$5="",B352=Report!$C$5)),MATCH(B352,Rooms!$B$6:$B$35,0)*10000+ROW(),"")</f>
        <v/>
      </c>
      <c r="W352">
        <f>IF(AND(S352=1,OR(J352="",J352="No")),1,0)</f>
        <v/>
      </c>
      <c r="X352">
        <f>IF(AND(S352=1,K352=""),1,0)</f>
        <v/>
      </c>
      <c r="Y352">
        <f>IF(AND(S352=1,Q352&lt;&gt;""),ROUND(T352*100,0)*10000+10000-ROW(),"")</f>
        <v/>
      </c>
    </row>
    <row r="353">
      <c r="A353" s="1" t="n"/>
      <c r="B353" s="17" t="n"/>
      <c r="C353" s="18" t="n"/>
      <c r="D353" s="17" t="n"/>
      <c r="E353" s="19" t="n"/>
      <c r="F353" s="19" t="n"/>
      <c r="G353" s="20" t="n"/>
      <c r="H353" s="21" t="n"/>
      <c r="I353" s="21" t="n"/>
      <c r="J353" s="17" t="n"/>
      <c r="K353" s="19" t="n"/>
      <c r="L353" s="20" t="n"/>
      <c r="M353" s="19" t="n"/>
      <c r="N353" s="22">
        <f>IF(C353="","",IF(ISNUMBER(I353),I353,IF(ISNUMBER(H353),H353,"")))</f>
        <v/>
      </c>
      <c r="O353" s="23">
        <f>IF(OR(C353="",NOT(ISNUMBER(G353))),"",(TODAY()-INT(G353))/365.25)</f>
        <v/>
      </c>
      <c r="P353" s="13">
        <f>IF(OR(C353="",NOT(ISNUMBER(L353))),"",IF(L353&lt;TODAY(),"Ended",IF(L353-TODAY()&lt;=N(Settings!$C$10),"Ends soon","Covered")))</f>
        <v/>
      </c>
      <c r="Q353" s="13">
        <f>IF(C353="","",MID(IF(N353="",", value","")&amp;IF(OR(J353="",J353="No"),", receipt","")&amp;IF(K353="",", photo",""),3,100))</f>
        <v/>
      </c>
      <c r="R353" s="13">
        <f>IF(AND(B353="",C353=""),"",IF(C353="","Needs the item",IF(B353="","Needs a room",IF(COUNTIF(Rooms!$B$6:$B$35,B353)=0,"Not on Rooms",IF(AND(H353&lt;&gt;"",NOT(ISNUMBER(H353))),"Paid not a number",IF(AND(I353&lt;&gt;"",NOT(ISNUMBER(I353))),"Worth not a number",IF(AND(G353&lt;&gt;"",NOT(ISNUMBER(G353))),"Bought is not a date",IF(AND(L353&lt;&gt;"",NOT(ISNUMBER(L353))),"Warranty is not a date",""))))))))</f>
        <v/>
      </c>
      <c r="S353" s="1">
        <f>IF(AND(C353&lt;&gt;"",R353=""),1,0)</f>
        <v/>
      </c>
      <c r="T353">
        <f>IF(S353=1,N(N353),0)</f>
        <v/>
      </c>
      <c r="U353">
        <f>IF(AND(S353=1,T353&gt;0),ROUND(T353*100,0)*10000+10000-ROW(),"")</f>
        <v/>
      </c>
      <c r="V353">
        <f>IF(AND(S353=1,OR(Report!$C$5="",B353=Report!$C$5)),MATCH(B353,Rooms!$B$6:$B$35,0)*10000+ROW(),"")</f>
        <v/>
      </c>
      <c r="W353">
        <f>IF(AND(S353=1,OR(J353="",J353="No")),1,0)</f>
        <v/>
      </c>
      <c r="X353">
        <f>IF(AND(S353=1,K353=""),1,0)</f>
        <v/>
      </c>
      <c r="Y353">
        <f>IF(AND(S353=1,Q353&lt;&gt;""),ROUND(T353*100,0)*10000+10000-ROW(),"")</f>
        <v/>
      </c>
    </row>
    <row r="354">
      <c r="A354" s="1" t="n"/>
      <c r="B354" s="17" t="n"/>
      <c r="C354" s="18" t="n"/>
      <c r="D354" s="17" t="n"/>
      <c r="E354" s="19" t="n"/>
      <c r="F354" s="19" t="n"/>
      <c r="G354" s="20" t="n"/>
      <c r="H354" s="21" t="n"/>
      <c r="I354" s="21" t="n"/>
      <c r="J354" s="17" t="n"/>
      <c r="K354" s="19" t="n"/>
      <c r="L354" s="20" t="n"/>
      <c r="M354" s="19" t="n"/>
      <c r="N354" s="22">
        <f>IF(C354="","",IF(ISNUMBER(I354),I354,IF(ISNUMBER(H354),H354,"")))</f>
        <v/>
      </c>
      <c r="O354" s="23">
        <f>IF(OR(C354="",NOT(ISNUMBER(G354))),"",(TODAY()-INT(G354))/365.25)</f>
        <v/>
      </c>
      <c r="P354" s="13">
        <f>IF(OR(C354="",NOT(ISNUMBER(L354))),"",IF(L354&lt;TODAY(),"Ended",IF(L354-TODAY()&lt;=N(Settings!$C$10),"Ends soon","Covered")))</f>
        <v/>
      </c>
      <c r="Q354" s="13">
        <f>IF(C354="","",MID(IF(N354="",", value","")&amp;IF(OR(J354="",J354="No"),", receipt","")&amp;IF(K354="",", photo",""),3,100))</f>
        <v/>
      </c>
      <c r="R354" s="13">
        <f>IF(AND(B354="",C354=""),"",IF(C354="","Needs the item",IF(B354="","Needs a room",IF(COUNTIF(Rooms!$B$6:$B$35,B354)=0,"Not on Rooms",IF(AND(H354&lt;&gt;"",NOT(ISNUMBER(H354))),"Paid not a number",IF(AND(I354&lt;&gt;"",NOT(ISNUMBER(I354))),"Worth not a number",IF(AND(G354&lt;&gt;"",NOT(ISNUMBER(G354))),"Bought is not a date",IF(AND(L354&lt;&gt;"",NOT(ISNUMBER(L354))),"Warranty is not a date",""))))))))</f>
        <v/>
      </c>
      <c r="S354" s="1">
        <f>IF(AND(C354&lt;&gt;"",R354=""),1,0)</f>
        <v/>
      </c>
      <c r="T354">
        <f>IF(S354=1,N(N354),0)</f>
        <v/>
      </c>
      <c r="U354">
        <f>IF(AND(S354=1,T354&gt;0),ROUND(T354*100,0)*10000+10000-ROW(),"")</f>
        <v/>
      </c>
      <c r="V354">
        <f>IF(AND(S354=1,OR(Report!$C$5="",B354=Report!$C$5)),MATCH(B354,Rooms!$B$6:$B$35,0)*10000+ROW(),"")</f>
        <v/>
      </c>
      <c r="W354">
        <f>IF(AND(S354=1,OR(J354="",J354="No")),1,0)</f>
        <v/>
      </c>
      <c r="X354">
        <f>IF(AND(S354=1,K354=""),1,0)</f>
        <v/>
      </c>
      <c r="Y354">
        <f>IF(AND(S354=1,Q354&lt;&gt;""),ROUND(T354*100,0)*10000+10000-ROW(),"")</f>
        <v/>
      </c>
    </row>
    <row r="355">
      <c r="A355" s="1" t="n"/>
      <c r="B355" s="17" t="n"/>
      <c r="C355" s="18" t="n"/>
      <c r="D355" s="17" t="n"/>
      <c r="E355" s="19" t="n"/>
      <c r="F355" s="19" t="n"/>
      <c r="G355" s="20" t="n"/>
      <c r="H355" s="21" t="n"/>
      <c r="I355" s="21" t="n"/>
      <c r="J355" s="17" t="n"/>
      <c r="K355" s="19" t="n"/>
      <c r="L355" s="20" t="n"/>
      <c r="M355" s="19" t="n"/>
      <c r="N355" s="22">
        <f>IF(C355="","",IF(ISNUMBER(I355),I355,IF(ISNUMBER(H355),H355,"")))</f>
        <v/>
      </c>
      <c r="O355" s="23">
        <f>IF(OR(C355="",NOT(ISNUMBER(G355))),"",(TODAY()-INT(G355))/365.25)</f>
        <v/>
      </c>
      <c r="P355" s="13">
        <f>IF(OR(C355="",NOT(ISNUMBER(L355))),"",IF(L355&lt;TODAY(),"Ended",IF(L355-TODAY()&lt;=N(Settings!$C$10),"Ends soon","Covered")))</f>
        <v/>
      </c>
      <c r="Q355" s="13">
        <f>IF(C355="","",MID(IF(N355="",", value","")&amp;IF(OR(J355="",J355="No"),", receipt","")&amp;IF(K355="",", photo",""),3,100))</f>
        <v/>
      </c>
      <c r="R355" s="13">
        <f>IF(AND(B355="",C355=""),"",IF(C355="","Needs the item",IF(B355="","Needs a room",IF(COUNTIF(Rooms!$B$6:$B$35,B355)=0,"Not on Rooms",IF(AND(H355&lt;&gt;"",NOT(ISNUMBER(H355))),"Paid not a number",IF(AND(I355&lt;&gt;"",NOT(ISNUMBER(I355))),"Worth not a number",IF(AND(G355&lt;&gt;"",NOT(ISNUMBER(G355))),"Bought is not a date",IF(AND(L355&lt;&gt;"",NOT(ISNUMBER(L355))),"Warranty is not a date",""))))))))</f>
        <v/>
      </c>
      <c r="S355" s="1">
        <f>IF(AND(C355&lt;&gt;"",R355=""),1,0)</f>
        <v/>
      </c>
      <c r="T355">
        <f>IF(S355=1,N(N355),0)</f>
        <v/>
      </c>
      <c r="U355">
        <f>IF(AND(S355=1,T355&gt;0),ROUND(T355*100,0)*10000+10000-ROW(),"")</f>
        <v/>
      </c>
      <c r="V355">
        <f>IF(AND(S355=1,OR(Report!$C$5="",B355=Report!$C$5)),MATCH(B355,Rooms!$B$6:$B$35,0)*10000+ROW(),"")</f>
        <v/>
      </c>
      <c r="W355">
        <f>IF(AND(S355=1,OR(J355="",J355="No")),1,0)</f>
        <v/>
      </c>
      <c r="X355">
        <f>IF(AND(S355=1,K355=""),1,0)</f>
        <v/>
      </c>
      <c r="Y355">
        <f>IF(AND(S355=1,Q355&lt;&gt;""),ROUND(T355*100,0)*10000+10000-ROW(),"")</f>
        <v/>
      </c>
    </row>
    <row r="356">
      <c r="A356" s="1" t="n"/>
      <c r="B356" s="17" t="n"/>
      <c r="C356" s="18" t="n"/>
      <c r="D356" s="17" t="n"/>
      <c r="E356" s="19" t="n"/>
      <c r="F356" s="19" t="n"/>
      <c r="G356" s="20" t="n"/>
      <c r="H356" s="21" t="n"/>
      <c r="I356" s="21" t="n"/>
      <c r="J356" s="17" t="n"/>
      <c r="K356" s="19" t="n"/>
      <c r="L356" s="20" t="n"/>
      <c r="M356" s="19" t="n"/>
      <c r="N356" s="22">
        <f>IF(C356="","",IF(ISNUMBER(I356),I356,IF(ISNUMBER(H356),H356,"")))</f>
        <v/>
      </c>
      <c r="O356" s="23">
        <f>IF(OR(C356="",NOT(ISNUMBER(G356))),"",(TODAY()-INT(G356))/365.25)</f>
        <v/>
      </c>
      <c r="P356" s="13">
        <f>IF(OR(C356="",NOT(ISNUMBER(L356))),"",IF(L356&lt;TODAY(),"Ended",IF(L356-TODAY()&lt;=N(Settings!$C$10),"Ends soon","Covered")))</f>
        <v/>
      </c>
      <c r="Q356" s="13">
        <f>IF(C356="","",MID(IF(N356="",", value","")&amp;IF(OR(J356="",J356="No"),", receipt","")&amp;IF(K356="",", photo",""),3,100))</f>
        <v/>
      </c>
      <c r="R356" s="13">
        <f>IF(AND(B356="",C356=""),"",IF(C356="","Needs the item",IF(B356="","Needs a room",IF(COUNTIF(Rooms!$B$6:$B$35,B356)=0,"Not on Rooms",IF(AND(H356&lt;&gt;"",NOT(ISNUMBER(H356))),"Paid not a number",IF(AND(I356&lt;&gt;"",NOT(ISNUMBER(I356))),"Worth not a number",IF(AND(G356&lt;&gt;"",NOT(ISNUMBER(G356))),"Bought is not a date",IF(AND(L356&lt;&gt;"",NOT(ISNUMBER(L356))),"Warranty is not a date",""))))))))</f>
        <v/>
      </c>
      <c r="S356" s="1">
        <f>IF(AND(C356&lt;&gt;"",R356=""),1,0)</f>
        <v/>
      </c>
      <c r="T356">
        <f>IF(S356=1,N(N356),0)</f>
        <v/>
      </c>
      <c r="U356">
        <f>IF(AND(S356=1,T356&gt;0),ROUND(T356*100,0)*10000+10000-ROW(),"")</f>
        <v/>
      </c>
      <c r="V356">
        <f>IF(AND(S356=1,OR(Report!$C$5="",B356=Report!$C$5)),MATCH(B356,Rooms!$B$6:$B$35,0)*10000+ROW(),"")</f>
        <v/>
      </c>
      <c r="W356">
        <f>IF(AND(S356=1,OR(J356="",J356="No")),1,0)</f>
        <v/>
      </c>
      <c r="X356">
        <f>IF(AND(S356=1,K356=""),1,0)</f>
        <v/>
      </c>
      <c r="Y356">
        <f>IF(AND(S356=1,Q356&lt;&gt;""),ROUND(T356*100,0)*10000+10000-ROW(),"")</f>
        <v/>
      </c>
    </row>
    <row r="357">
      <c r="A357" s="1" t="n"/>
      <c r="B357" s="17" t="n"/>
      <c r="C357" s="18" t="n"/>
      <c r="D357" s="17" t="n"/>
      <c r="E357" s="19" t="n"/>
      <c r="F357" s="19" t="n"/>
      <c r="G357" s="20" t="n"/>
      <c r="H357" s="21" t="n"/>
      <c r="I357" s="21" t="n"/>
      <c r="J357" s="17" t="n"/>
      <c r="K357" s="19" t="n"/>
      <c r="L357" s="20" t="n"/>
      <c r="M357" s="19" t="n"/>
      <c r="N357" s="22">
        <f>IF(C357="","",IF(ISNUMBER(I357),I357,IF(ISNUMBER(H357),H357,"")))</f>
        <v/>
      </c>
      <c r="O357" s="23">
        <f>IF(OR(C357="",NOT(ISNUMBER(G357))),"",(TODAY()-INT(G357))/365.25)</f>
        <v/>
      </c>
      <c r="P357" s="13">
        <f>IF(OR(C357="",NOT(ISNUMBER(L357))),"",IF(L357&lt;TODAY(),"Ended",IF(L357-TODAY()&lt;=N(Settings!$C$10),"Ends soon","Covered")))</f>
        <v/>
      </c>
      <c r="Q357" s="13">
        <f>IF(C357="","",MID(IF(N357="",", value","")&amp;IF(OR(J357="",J357="No"),", receipt","")&amp;IF(K357="",", photo",""),3,100))</f>
        <v/>
      </c>
      <c r="R357" s="13">
        <f>IF(AND(B357="",C357=""),"",IF(C357="","Needs the item",IF(B357="","Needs a room",IF(COUNTIF(Rooms!$B$6:$B$35,B357)=0,"Not on Rooms",IF(AND(H357&lt;&gt;"",NOT(ISNUMBER(H357))),"Paid not a number",IF(AND(I357&lt;&gt;"",NOT(ISNUMBER(I357))),"Worth not a number",IF(AND(G357&lt;&gt;"",NOT(ISNUMBER(G357))),"Bought is not a date",IF(AND(L357&lt;&gt;"",NOT(ISNUMBER(L357))),"Warranty is not a date",""))))))))</f>
        <v/>
      </c>
      <c r="S357" s="1">
        <f>IF(AND(C357&lt;&gt;"",R357=""),1,0)</f>
        <v/>
      </c>
      <c r="T357">
        <f>IF(S357=1,N(N357),0)</f>
        <v/>
      </c>
      <c r="U357">
        <f>IF(AND(S357=1,T357&gt;0),ROUND(T357*100,0)*10000+10000-ROW(),"")</f>
        <v/>
      </c>
      <c r="V357">
        <f>IF(AND(S357=1,OR(Report!$C$5="",B357=Report!$C$5)),MATCH(B357,Rooms!$B$6:$B$35,0)*10000+ROW(),"")</f>
        <v/>
      </c>
      <c r="W357">
        <f>IF(AND(S357=1,OR(J357="",J357="No")),1,0)</f>
        <v/>
      </c>
      <c r="X357">
        <f>IF(AND(S357=1,K357=""),1,0)</f>
        <v/>
      </c>
      <c r="Y357">
        <f>IF(AND(S357=1,Q357&lt;&gt;""),ROUND(T357*100,0)*10000+10000-ROW(),"")</f>
        <v/>
      </c>
    </row>
    <row r="358">
      <c r="A358" s="1" t="n"/>
      <c r="B358" s="17" t="n"/>
      <c r="C358" s="18" t="n"/>
      <c r="D358" s="17" t="n"/>
      <c r="E358" s="19" t="n"/>
      <c r="F358" s="19" t="n"/>
      <c r="G358" s="20" t="n"/>
      <c r="H358" s="21" t="n"/>
      <c r="I358" s="21" t="n"/>
      <c r="J358" s="17" t="n"/>
      <c r="K358" s="19" t="n"/>
      <c r="L358" s="20" t="n"/>
      <c r="M358" s="19" t="n"/>
      <c r="N358" s="22">
        <f>IF(C358="","",IF(ISNUMBER(I358),I358,IF(ISNUMBER(H358),H358,"")))</f>
        <v/>
      </c>
      <c r="O358" s="23">
        <f>IF(OR(C358="",NOT(ISNUMBER(G358))),"",(TODAY()-INT(G358))/365.25)</f>
        <v/>
      </c>
      <c r="P358" s="13">
        <f>IF(OR(C358="",NOT(ISNUMBER(L358))),"",IF(L358&lt;TODAY(),"Ended",IF(L358-TODAY()&lt;=N(Settings!$C$10),"Ends soon","Covered")))</f>
        <v/>
      </c>
      <c r="Q358" s="13">
        <f>IF(C358="","",MID(IF(N358="",", value","")&amp;IF(OR(J358="",J358="No"),", receipt","")&amp;IF(K358="",", photo",""),3,100))</f>
        <v/>
      </c>
      <c r="R358" s="13">
        <f>IF(AND(B358="",C358=""),"",IF(C358="","Needs the item",IF(B358="","Needs a room",IF(COUNTIF(Rooms!$B$6:$B$35,B358)=0,"Not on Rooms",IF(AND(H358&lt;&gt;"",NOT(ISNUMBER(H358))),"Paid not a number",IF(AND(I358&lt;&gt;"",NOT(ISNUMBER(I358))),"Worth not a number",IF(AND(G358&lt;&gt;"",NOT(ISNUMBER(G358))),"Bought is not a date",IF(AND(L358&lt;&gt;"",NOT(ISNUMBER(L358))),"Warranty is not a date",""))))))))</f>
        <v/>
      </c>
      <c r="S358" s="1">
        <f>IF(AND(C358&lt;&gt;"",R358=""),1,0)</f>
        <v/>
      </c>
      <c r="T358">
        <f>IF(S358=1,N(N358),0)</f>
        <v/>
      </c>
      <c r="U358">
        <f>IF(AND(S358=1,T358&gt;0),ROUND(T358*100,0)*10000+10000-ROW(),"")</f>
        <v/>
      </c>
      <c r="V358">
        <f>IF(AND(S358=1,OR(Report!$C$5="",B358=Report!$C$5)),MATCH(B358,Rooms!$B$6:$B$35,0)*10000+ROW(),"")</f>
        <v/>
      </c>
      <c r="W358">
        <f>IF(AND(S358=1,OR(J358="",J358="No")),1,0)</f>
        <v/>
      </c>
      <c r="X358">
        <f>IF(AND(S358=1,K358=""),1,0)</f>
        <v/>
      </c>
      <c r="Y358">
        <f>IF(AND(S358=1,Q358&lt;&gt;""),ROUND(T358*100,0)*10000+10000-ROW(),"")</f>
        <v/>
      </c>
    </row>
    <row r="359">
      <c r="A359" s="1" t="n"/>
      <c r="B359" s="17" t="n"/>
      <c r="C359" s="18" t="n"/>
      <c r="D359" s="17" t="n"/>
      <c r="E359" s="19" t="n"/>
      <c r="F359" s="19" t="n"/>
      <c r="G359" s="20" t="n"/>
      <c r="H359" s="21" t="n"/>
      <c r="I359" s="21" t="n"/>
      <c r="J359" s="17" t="n"/>
      <c r="K359" s="19" t="n"/>
      <c r="L359" s="20" t="n"/>
      <c r="M359" s="19" t="n"/>
      <c r="N359" s="22">
        <f>IF(C359="","",IF(ISNUMBER(I359),I359,IF(ISNUMBER(H359),H359,"")))</f>
        <v/>
      </c>
      <c r="O359" s="23">
        <f>IF(OR(C359="",NOT(ISNUMBER(G359))),"",(TODAY()-INT(G359))/365.25)</f>
        <v/>
      </c>
      <c r="P359" s="13">
        <f>IF(OR(C359="",NOT(ISNUMBER(L359))),"",IF(L359&lt;TODAY(),"Ended",IF(L359-TODAY()&lt;=N(Settings!$C$10),"Ends soon","Covered")))</f>
        <v/>
      </c>
      <c r="Q359" s="13">
        <f>IF(C359="","",MID(IF(N359="",", value","")&amp;IF(OR(J359="",J359="No"),", receipt","")&amp;IF(K359="",", photo",""),3,100))</f>
        <v/>
      </c>
      <c r="R359" s="13">
        <f>IF(AND(B359="",C359=""),"",IF(C359="","Needs the item",IF(B359="","Needs a room",IF(COUNTIF(Rooms!$B$6:$B$35,B359)=0,"Not on Rooms",IF(AND(H359&lt;&gt;"",NOT(ISNUMBER(H359))),"Paid not a number",IF(AND(I359&lt;&gt;"",NOT(ISNUMBER(I359))),"Worth not a number",IF(AND(G359&lt;&gt;"",NOT(ISNUMBER(G359))),"Bought is not a date",IF(AND(L359&lt;&gt;"",NOT(ISNUMBER(L359))),"Warranty is not a date",""))))))))</f>
        <v/>
      </c>
      <c r="S359" s="1">
        <f>IF(AND(C359&lt;&gt;"",R359=""),1,0)</f>
        <v/>
      </c>
      <c r="T359">
        <f>IF(S359=1,N(N359),0)</f>
        <v/>
      </c>
      <c r="U359">
        <f>IF(AND(S359=1,T359&gt;0),ROUND(T359*100,0)*10000+10000-ROW(),"")</f>
        <v/>
      </c>
      <c r="V359">
        <f>IF(AND(S359=1,OR(Report!$C$5="",B359=Report!$C$5)),MATCH(B359,Rooms!$B$6:$B$35,0)*10000+ROW(),"")</f>
        <v/>
      </c>
      <c r="W359">
        <f>IF(AND(S359=1,OR(J359="",J359="No")),1,0)</f>
        <v/>
      </c>
      <c r="X359">
        <f>IF(AND(S359=1,K359=""),1,0)</f>
        <v/>
      </c>
      <c r="Y359">
        <f>IF(AND(S359=1,Q359&lt;&gt;""),ROUND(T359*100,0)*10000+10000-ROW(),"")</f>
        <v/>
      </c>
    </row>
    <row r="360">
      <c r="A360" s="1" t="n"/>
      <c r="B360" s="17" t="n"/>
      <c r="C360" s="18" t="n"/>
      <c r="D360" s="17" t="n"/>
      <c r="E360" s="19" t="n"/>
      <c r="F360" s="19" t="n"/>
      <c r="G360" s="20" t="n"/>
      <c r="H360" s="21" t="n"/>
      <c r="I360" s="21" t="n"/>
      <c r="J360" s="17" t="n"/>
      <c r="K360" s="19" t="n"/>
      <c r="L360" s="20" t="n"/>
      <c r="M360" s="19" t="n"/>
      <c r="N360" s="22">
        <f>IF(C360="","",IF(ISNUMBER(I360),I360,IF(ISNUMBER(H360),H360,"")))</f>
        <v/>
      </c>
      <c r="O360" s="23">
        <f>IF(OR(C360="",NOT(ISNUMBER(G360))),"",(TODAY()-INT(G360))/365.25)</f>
        <v/>
      </c>
      <c r="P360" s="13">
        <f>IF(OR(C360="",NOT(ISNUMBER(L360))),"",IF(L360&lt;TODAY(),"Ended",IF(L360-TODAY()&lt;=N(Settings!$C$10),"Ends soon","Covered")))</f>
        <v/>
      </c>
      <c r="Q360" s="13">
        <f>IF(C360="","",MID(IF(N360="",", value","")&amp;IF(OR(J360="",J360="No"),", receipt","")&amp;IF(K360="",", photo",""),3,100))</f>
        <v/>
      </c>
      <c r="R360" s="13">
        <f>IF(AND(B360="",C360=""),"",IF(C360="","Needs the item",IF(B360="","Needs a room",IF(COUNTIF(Rooms!$B$6:$B$35,B360)=0,"Not on Rooms",IF(AND(H360&lt;&gt;"",NOT(ISNUMBER(H360))),"Paid not a number",IF(AND(I360&lt;&gt;"",NOT(ISNUMBER(I360))),"Worth not a number",IF(AND(G360&lt;&gt;"",NOT(ISNUMBER(G360))),"Bought is not a date",IF(AND(L360&lt;&gt;"",NOT(ISNUMBER(L360))),"Warranty is not a date",""))))))))</f>
        <v/>
      </c>
      <c r="S360" s="1">
        <f>IF(AND(C360&lt;&gt;"",R360=""),1,0)</f>
        <v/>
      </c>
      <c r="T360">
        <f>IF(S360=1,N(N360),0)</f>
        <v/>
      </c>
      <c r="U360">
        <f>IF(AND(S360=1,T360&gt;0),ROUND(T360*100,0)*10000+10000-ROW(),"")</f>
        <v/>
      </c>
      <c r="V360">
        <f>IF(AND(S360=1,OR(Report!$C$5="",B360=Report!$C$5)),MATCH(B360,Rooms!$B$6:$B$35,0)*10000+ROW(),"")</f>
        <v/>
      </c>
      <c r="W360">
        <f>IF(AND(S360=1,OR(J360="",J360="No")),1,0)</f>
        <v/>
      </c>
      <c r="X360">
        <f>IF(AND(S360=1,K360=""),1,0)</f>
        <v/>
      </c>
      <c r="Y360">
        <f>IF(AND(S360=1,Q360&lt;&gt;""),ROUND(T360*100,0)*10000+10000-ROW(),"")</f>
        <v/>
      </c>
    </row>
    <row r="361">
      <c r="A361" s="1" t="n"/>
      <c r="B361" s="17" t="n"/>
      <c r="C361" s="18" t="n"/>
      <c r="D361" s="17" t="n"/>
      <c r="E361" s="19" t="n"/>
      <c r="F361" s="19" t="n"/>
      <c r="G361" s="20" t="n"/>
      <c r="H361" s="21" t="n"/>
      <c r="I361" s="21" t="n"/>
      <c r="J361" s="17" t="n"/>
      <c r="K361" s="19" t="n"/>
      <c r="L361" s="20" t="n"/>
      <c r="M361" s="19" t="n"/>
      <c r="N361" s="22">
        <f>IF(C361="","",IF(ISNUMBER(I361),I361,IF(ISNUMBER(H361),H361,"")))</f>
        <v/>
      </c>
      <c r="O361" s="23">
        <f>IF(OR(C361="",NOT(ISNUMBER(G361))),"",(TODAY()-INT(G361))/365.25)</f>
        <v/>
      </c>
      <c r="P361" s="13">
        <f>IF(OR(C361="",NOT(ISNUMBER(L361))),"",IF(L361&lt;TODAY(),"Ended",IF(L361-TODAY()&lt;=N(Settings!$C$10),"Ends soon","Covered")))</f>
        <v/>
      </c>
      <c r="Q361" s="13">
        <f>IF(C361="","",MID(IF(N361="",", value","")&amp;IF(OR(J361="",J361="No"),", receipt","")&amp;IF(K361="",", photo",""),3,100))</f>
        <v/>
      </c>
      <c r="R361" s="13">
        <f>IF(AND(B361="",C361=""),"",IF(C361="","Needs the item",IF(B361="","Needs a room",IF(COUNTIF(Rooms!$B$6:$B$35,B361)=0,"Not on Rooms",IF(AND(H361&lt;&gt;"",NOT(ISNUMBER(H361))),"Paid not a number",IF(AND(I361&lt;&gt;"",NOT(ISNUMBER(I361))),"Worth not a number",IF(AND(G361&lt;&gt;"",NOT(ISNUMBER(G361))),"Bought is not a date",IF(AND(L361&lt;&gt;"",NOT(ISNUMBER(L361))),"Warranty is not a date",""))))))))</f>
        <v/>
      </c>
      <c r="S361" s="1">
        <f>IF(AND(C361&lt;&gt;"",R361=""),1,0)</f>
        <v/>
      </c>
      <c r="T361">
        <f>IF(S361=1,N(N361),0)</f>
        <v/>
      </c>
      <c r="U361">
        <f>IF(AND(S361=1,T361&gt;0),ROUND(T361*100,0)*10000+10000-ROW(),"")</f>
        <v/>
      </c>
      <c r="V361">
        <f>IF(AND(S361=1,OR(Report!$C$5="",B361=Report!$C$5)),MATCH(B361,Rooms!$B$6:$B$35,0)*10000+ROW(),"")</f>
        <v/>
      </c>
      <c r="W361">
        <f>IF(AND(S361=1,OR(J361="",J361="No")),1,0)</f>
        <v/>
      </c>
      <c r="X361">
        <f>IF(AND(S361=1,K361=""),1,0)</f>
        <v/>
      </c>
      <c r="Y361">
        <f>IF(AND(S361=1,Q361&lt;&gt;""),ROUND(T361*100,0)*10000+10000-ROW(),"")</f>
        <v/>
      </c>
    </row>
    <row r="362">
      <c r="A362" s="1" t="n"/>
      <c r="B362" s="17" t="n"/>
      <c r="C362" s="18" t="n"/>
      <c r="D362" s="17" t="n"/>
      <c r="E362" s="19" t="n"/>
      <c r="F362" s="19" t="n"/>
      <c r="G362" s="20" t="n"/>
      <c r="H362" s="21" t="n"/>
      <c r="I362" s="21" t="n"/>
      <c r="J362" s="17" t="n"/>
      <c r="K362" s="19" t="n"/>
      <c r="L362" s="20" t="n"/>
      <c r="M362" s="19" t="n"/>
      <c r="N362" s="22">
        <f>IF(C362="","",IF(ISNUMBER(I362),I362,IF(ISNUMBER(H362),H362,"")))</f>
        <v/>
      </c>
      <c r="O362" s="23">
        <f>IF(OR(C362="",NOT(ISNUMBER(G362))),"",(TODAY()-INT(G362))/365.25)</f>
        <v/>
      </c>
      <c r="P362" s="13">
        <f>IF(OR(C362="",NOT(ISNUMBER(L362))),"",IF(L362&lt;TODAY(),"Ended",IF(L362-TODAY()&lt;=N(Settings!$C$10),"Ends soon","Covered")))</f>
        <v/>
      </c>
      <c r="Q362" s="13">
        <f>IF(C362="","",MID(IF(N362="",", value","")&amp;IF(OR(J362="",J362="No"),", receipt","")&amp;IF(K362="",", photo",""),3,100))</f>
        <v/>
      </c>
      <c r="R362" s="13">
        <f>IF(AND(B362="",C362=""),"",IF(C362="","Needs the item",IF(B362="","Needs a room",IF(COUNTIF(Rooms!$B$6:$B$35,B362)=0,"Not on Rooms",IF(AND(H362&lt;&gt;"",NOT(ISNUMBER(H362))),"Paid not a number",IF(AND(I362&lt;&gt;"",NOT(ISNUMBER(I362))),"Worth not a number",IF(AND(G362&lt;&gt;"",NOT(ISNUMBER(G362))),"Bought is not a date",IF(AND(L362&lt;&gt;"",NOT(ISNUMBER(L362))),"Warranty is not a date",""))))))))</f>
        <v/>
      </c>
      <c r="S362" s="1">
        <f>IF(AND(C362&lt;&gt;"",R362=""),1,0)</f>
        <v/>
      </c>
      <c r="T362">
        <f>IF(S362=1,N(N362),0)</f>
        <v/>
      </c>
      <c r="U362">
        <f>IF(AND(S362=1,T362&gt;0),ROUND(T362*100,0)*10000+10000-ROW(),"")</f>
        <v/>
      </c>
      <c r="V362">
        <f>IF(AND(S362=1,OR(Report!$C$5="",B362=Report!$C$5)),MATCH(B362,Rooms!$B$6:$B$35,0)*10000+ROW(),"")</f>
        <v/>
      </c>
      <c r="W362">
        <f>IF(AND(S362=1,OR(J362="",J362="No")),1,0)</f>
        <v/>
      </c>
      <c r="X362">
        <f>IF(AND(S362=1,K362=""),1,0)</f>
        <v/>
      </c>
      <c r="Y362">
        <f>IF(AND(S362=1,Q362&lt;&gt;""),ROUND(T362*100,0)*10000+10000-ROW(),"")</f>
        <v/>
      </c>
    </row>
    <row r="363">
      <c r="A363" s="1" t="n"/>
      <c r="B363" s="17" t="n"/>
      <c r="C363" s="18" t="n"/>
      <c r="D363" s="17" t="n"/>
      <c r="E363" s="19" t="n"/>
      <c r="F363" s="19" t="n"/>
      <c r="G363" s="20" t="n"/>
      <c r="H363" s="21" t="n"/>
      <c r="I363" s="21" t="n"/>
      <c r="J363" s="17" t="n"/>
      <c r="K363" s="19" t="n"/>
      <c r="L363" s="20" t="n"/>
      <c r="M363" s="19" t="n"/>
      <c r="N363" s="22">
        <f>IF(C363="","",IF(ISNUMBER(I363),I363,IF(ISNUMBER(H363),H363,"")))</f>
        <v/>
      </c>
      <c r="O363" s="23">
        <f>IF(OR(C363="",NOT(ISNUMBER(G363))),"",(TODAY()-INT(G363))/365.25)</f>
        <v/>
      </c>
      <c r="P363" s="13">
        <f>IF(OR(C363="",NOT(ISNUMBER(L363))),"",IF(L363&lt;TODAY(),"Ended",IF(L363-TODAY()&lt;=N(Settings!$C$10),"Ends soon","Covered")))</f>
        <v/>
      </c>
      <c r="Q363" s="13">
        <f>IF(C363="","",MID(IF(N363="",", value","")&amp;IF(OR(J363="",J363="No"),", receipt","")&amp;IF(K363="",", photo",""),3,100))</f>
        <v/>
      </c>
      <c r="R363" s="13">
        <f>IF(AND(B363="",C363=""),"",IF(C363="","Needs the item",IF(B363="","Needs a room",IF(COUNTIF(Rooms!$B$6:$B$35,B363)=0,"Not on Rooms",IF(AND(H363&lt;&gt;"",NOT(ISNUMBER(H363))),"Paid not a number",IF(AND(I363&lt;&gt;"",NOT(ISNUMBER(I363))),"Worth not a number",IF(AND(G363&lt;&gt;"",NOT(ISNUMBER(G363))),"Bought is not a date",IF(AND(L363&lt;&gt;"",NOT(ISNUMBER(L363))),"Warranty is not a date",""))))))))</f>
        <v/>
      </c>
      <c r="S363" s="1">
        <f>IF(AND(C363&lt;&gt;"",R363=""),1,0)</f>
        <v/>
      </c>
      <c r="T363">
        <f>IF(S363=1,N(N363),0)</f>
        <v/>
      </c>
      <c r="U363">
        <f>IF(AND(S363=1,T363&gt;0),ROUND(T363*100,0)*10000+10000-ROW(),"")</f>
        <v/>
      </c>
      <c r="V363">
        <f>IF(AND(S363=1,OR(Report!$C$5="",B363=Report!$C$5)),MATCH(B363,Rooms!$B$6:$B$35,0)*10000+ROW(),"")</f>
        <v/>
      </c>
      <c r="W363">
        <f>IF(AND(S363=1,OR(J363="",J363="No")),1,0)</f>
        <v/>
      </c>
      <c r="X363">
        <f>IF(AND(S363=1,K363=""),1,0)</f>
        <v/>
      </c>
      <c r="Y363">
        <f>IF(AND(S363=1,Q363&lt;&gt;""),ROUND(T363*100,0)*10000+10000-ROW(),"")</f>
        <v/>
      </c>
    </row>
    <row r="364">
      <c r="A364" s="1" t="n"/>
      <c r="B364" s="17" t="n"/>
      <c r="C364" s="18" t="n"/>
      <c r="D364" s="17" t="n"/>
      <c r="E364" s="19" t="n"/>
      <c r="F364" s="19" t="n"/>
      <c r="G364" s="20" t="n"/>
      <c r="H364" s="21" t="n"/>
      <c r="I364" s="21" t="n"/>
      <c r="J364" s="17" t="n"/>
      <c r="K364" s="19" t="n"/>
      <c r="L364" s="20" t="n"/>
      <c r="M364" s="19" t="n"/>
      <c r="N364" s="22">
        <f>IF(C364="","",IF(ISNUMBER(I364),I364,IF(ISNUMBER(H364),H364,"")))</f>
        <v/>
      </c>
      <c r="O364" s="23">
        <f>IF(OR(C364="",NOT(ISNUMBER(G364))),"",(TODAY()-INT(G364))/365.25)</f>
        <v/>
      </c>
      <c r="P364" s="13">
        <f>IF(OR(C364="",NOT(ISNUMBER(L364))),"",IF(L364&lt;TODAY(),"Ended",IF(L364-TODAY()&lt;=N(Settings!$C$10),"Ends soon","Covered")))</f>
        <v/>
      </c>
      <c r="Q364" s="13">
        <f>IF(C364="","",MID(IF(N364="",", value","")&amp;IF(OR(J364="",J364="No"),", receipt","")&amp;IF(K364="",", photo",""),3,100))</f>
        <v/>
      </c>
      <c r="R364" s="13">
        <f>IF(AND(B364="",C364=""),"",IF(C364="","Needs the item",IF(B364="","Needs a room",IF(COUNTIF(Rooms!$B$6:$B$35,B364)=0,"Not on Rooms",IF(AND(H364&lt;&gt;"",NOT(ISNUMBER(H364))),"Paid not a number",IF(AND(I364&lt;&gt;"",NOT(ISNUMBER(I364))),"Worth not a number",IF(AND(G364&lt;&gt;"",NOT(ISNUMBER(G364))),"Bought is not a date",IF(AND(L364&lt;&gt;"",NOT(ISNUMBER(L364))),"Warranty is not a date",""))))))))</f>
        <v/>
      </c>
      <c r="S364" s="1">
        <f>IF(AND(C364&lt;&gt;"",R364=""),1,0)</f>
        <v/>
      </c>
      <c r="T364">
        <f>IF(S364=1,N(N364),0)</f>
        <v/>
      </c>
      <c r="U364">
        <f>IF(AND(S364=1,T364&gt;0),ROUND(T364*100,0)*10000+10000-ROW(),"")</f>
        <v/>
      </c>
      <c r="V364">
        <f>IF(AND(S364=1,OR(Report!$C$5="",B364=Report!$C$5)),MATCH(B364,Rooms!$B$6:$B$35,0)*10000+ROW(),"")</f>
        <v/>
      </c>
      <c r="W364">
        <f>IF(AND(S364=1,OR(J364="",J364="No")),1,0)</f>
        <v/>
      </c>
      <c r="X364">
        <f>IF(AND(S364=1,K364=""),1,0)</f>
        <v/>
      </c>
      <c r="Y364">
        <f>IF(AND(S364=1,Q364&lt;&gt;""),ROUND(T364*100,0)*10000+10000-ROW(),"")</f>
        <v/>
      </c>
    </row>
    <row r="365">
      <c r="A365" s="1" t="n"/>
      <c r="B365" s="17" t="n"/>
      <c r="C365" s="18" t="n"/>
      <c r="D365" s="17" t="n"/>
      <c r="E365" s="19" t="n"/>
      <c r="F365" s="19" t="n"/>
      <c r="G365" s="20" t="n"/>
      <c r="H365" s="21" t="n"/>
      <c r="I365" s="21" t="n"/>
      <c r="J365" s="17" t="n"/>
      <c r="K365" s="19" t="n"/>
      <c r="L365" s="20" t="n"/>
      <c r="M365" s="19" t="n"/>
      <c r="N365" s="22">
        <f>IF(C365="","",IF(ISNUMBER(I365),I365,IF(ISNUMBER(H365),H365,"")))</f>
        <v/>
      </c>
      <c r="O365" s="23">
        <f>IF(OR(C365="",NOT(ISNUMBER(G365))),"",(TODAY()-INT(G365))/365.25)</f>
        <v/>
      </c>
      <c r="P365" s="13">
        <f>IF(OR(C365="",NOT(ISNUMBER(L365))),"",IF(L365&lt;TODAY(),"Ended",IF(L365-TODAY()&lt;=N(Settings!$C$10),"Ends soon","Covered")))</f>
        <v/>
      </c>
      <c r="Q365" s="13">
        <f>IF(C365="","",MID(IF(N365="",", value","")&amp;IF(OR(J365="",J365="No"),", receipt","")&amp;IF(K365="",", photo",""),3,100))</f>
        <v/>
      </c>
      <c r="R365" s="13">
        <f>IF(AND(B365="",C365=""),"",IF(C365="","Needs the item",IF(B365="","Needs a room",IF(COUNTIF(Rooms!$B$6:$B$35,B365)=0,"Not on Rooms",IF(AND(H365&lt;&gt;"",NOT(ISNUMBER(H365))),"Paid not a number",IF(AND(I365&lt;&gt;"",NOT(ISNUMBER(I365))),"Worth not a number",IF(AND(G365&lt;&gt;"",NOT(ISNUMBER(G365))),"Bought is not a date",IF(AND(L365&lt;&gt;"",NOT(ISNUMBER(L365))),"Warranty is not a date",""))))))))</f>
        <v/>
      </c>
      <c r="S365" s="1">
        <f>IF(AND(C365&lt;&gt;"",R365=""),1,0)</f>
        <v/>
      </c>
      <c r="T365">
        <f>IF(S365=1,N(N365),0)</f>
        <v/>
      </c>
      <c r="U365">
        <f>IF(AND(S365=1,T365&gt;0),ROUND(T365*100,0)*10000+10000-ROW(),"")</f>
        <v/>
      </c>
      <c r="V365">
        <f>IF(AND(S365=1,OR(Report!$C$5="",B365=Report!$C$5)),MATCH(B365,Rooms!$B$6:$B$35,0)*10000+ROW(),"")</f>
        <v/>
      </c>
      <c r="W365">
        <f>IF(AND(S365=1,OR(J365="",J365="No")),1,0)</f>
        <v/>
      </c>
      <c r="X365">
        <f>IF(AND(S365=1,K365=""),1,0)</f>
        <v/>
      </c>
      <c r="Y365">
        <f>IF(AND(S365=1,Q365&lt;&gt;""),ROUND(T365*100,0)*10000+10000-ROW(),"")</f>
        <v/>
      </c>
    </row>
    <row r="366">
      <c r="A366" s="1" t="n"/>
      <c r="B366" s="17" t="n"/>
      <c r="C366" s="18" t="n"/>
      <c r="D366" s="17" t="n"/>
      <c r="E366" s="19" t="n"/>
      <c r="F366" s="19" t="n"/>
      <c r="G366" s="20" t="n"/>
      <c r="H366" s="21" t="n"/>
      <c r="I366" s="21" t="n"/>
      <c r="J366" s="17" t="n"/>
      <c r="K366" s="19" t="n"/>
      <c r="L366" s="20" t="n"/>
      <c r="M366" s="19" t="n"/>
      <c r="N366" s="22">
        <f>IF(C366="","",IF(ISNUMBER(I366),I366,IF(ISNUMBER(H366),H366,"")))</f>
        <v/>
      </c>
      <c r="O366" s="23">
        <f>IF(OR(C366="",NOT(ISNUMBER(G366))),"",(TODAY()-INT(G366))/365.25)</f>
        <v/>
      </c>
      <c r="P366" s="13">
        <f>IF(OR(C366="",NOT(ISNUMBER(L366))),"",IF(L366&lt;TODAY(),"Ended",IF(L366-TODAY()&lt;=N(Settings!$C$10),"Ends soon","Covered")))</f>
        <v/>
      </c>
      <c r="Q366" s="13">
        <f>IF(C366="","",MID(IF(N366="",", value","")&amp;IF(OR(J366="",J366="No"),", receipt","")&amp;IF(K366="",", photo",""),3,100))</f>
        <v/>
      </c>
      <c r="R366" s="13">
        <f>IF(AND(B366="",C366=""),"",IF(C366="","Needs the item",IF(B366="","Needs a room",IF(COUNTIF(Rooms!$B$6:$B$35,B366)=0,"Not on Rooms",IF(AND(H366&lt;&gt;"",NOT(ISNUMBER(H366))),"Paid not a number",IF(AND(I366&lt;&gt;"",NOT(ISNUMBER(I366))),"Worth not a number",IF(AND(G366&lt;&gt;"",NOT(ISNUMBER(G366))),"Bought is not a date",IF(AND(L366&lt;&gt;"",NOT(ISNUMBER(L366))),"Warranty is not a date",""))))))))</f>
        <v/>
      </c>
      <c r="S366" s="1">
        <f>IF(AND(C366&lt;&gt;"",R366=""),1,0)</f>
        <v/>
      </c>
      <c r="T366">
        <f>IF(S366=1,N(N366),0)</f>
        <v/>
      </c>
      <c r="U366">
        <f>IF(AND(S366=1,T366&gt;0),ROUND(T366*100,0)*10000+10000-ROW(),"")</f>
        <v/>
      </c>
      <c r="V366">
        <f>IF(AND(S366=1,OR(Report!$C$5="",B366=Report!$C$5)),MATCH(B366,Rooms!$B$6:$B$35,0)*10000+ROW(),"")</f>
        <v/>
      </c>
      <c r="W366">
        <f>IF(AND(S366=1,OR(J366="",J366="No")),1,0)</f>
        <v/>
      </c>
      <c r="X366">
        <f>IF(AND(S366=1,K366=""),1,0)</f>
        <v/>
      </c>
      <c r="Y366">
        <f>IF(AND(S366=1,Q366&lt;&gt;""),ROUND(T366*100,0)*10000+10000-ROW(),"")</f>
        <v/>
      </c>
    </row>
    <row r="367">
      <c r="A367" s="1" t="n"/>
      <c r="B367" s="17" t="n"/>
      <c r="C367" s="18" t="n"/>
      <c r="D367" s="17" t="n"/>
      <c r="E367" s="19" t="n"/>
      <c r="F367" s="19" t="n"/>
      <c r="G367" s="20" t="n"/>
      <c r="H367" s="21" t="n"/>
      <c r="I367" s="21" t="n"/>
      <c r="J367" s="17" t="n"/>
      <c r="K367" s="19" t="n"/>
      <c r="L367" s="20" t="n"/>
      <c r="M367" s="19" t="n"/>
      <c r="N367" s="22">
        <f>IF(C367="","",IF(ISNUMBER(I367),I367,IF(ISNUMBER(H367),H367,"")))</f>
        <v/>
      </c>
      <c r="O367" s="23">
        <f>IF(OR(C367="",NOT(ISNUMBER(G367))),"",(TODAY()-INT(G367))/365.25)</f>
        <v/>
      </c>
      <c r="P367" s="13">
        <f>IF(OR(C367="",NOT(ISNUMBER(L367))),"",IF(L367&lt;TODAY(),"Ended",IF(L367-TODAY()&lt;=N(Settings!$C$10),"Ends soon","Covered")))</f>
        <v/>
      </c>
      <c r="Q367" s="13">
        <f>IF(C367="","",MID(IF(N367="",", value","")&amp;IF(OR(J367="",J367="No"),", receipt","")&amp;IF(K367="",", photo",""),3,100))</f>
        <v/>
      </c>
      <c r="R367" s="13">
        <f>IF(AND(B367="",C367=""),"",IF(C367="","Needs the item",IF(B367="","Needs a room",IF(COUNTIF(Rooms!$B$6:$B$35,B367)=0,"Not on Rooms",IF(AND(H367&lt;&gt;"",NOT(ISNUMBER(H367))),"Paid not a number",IF(AND(I367&lt;&gt;"",NOT(ISNUMBER(I367))),"Worth not a number",IF(AND(G367&lt;&gt;"",NOT(ISNUMBER(G367))),"Bought is not a date",IF(AND(L367&lt;&gt;"",NOT(ISNUMBER(L367))),"Warranty is not a date",""))))))))</f>
        <v/>
      </c>
      <c r="S367" s="1">
        <f>IF(AND(C367&lt;&gt;"",R367=""),1,0)</f>
        <v/>
      </c>
      <c r="T367">
        <f>IF(S367=1,N(N367),0)</f>
        <v/>
      </c>
      <c r="U367">
        <f>IF(AND(S367=1,T367&gt;0),ROUND(T367*100,0)*10000+10000-ROW(),"")</f>
        <v/>
      </c>
      <c r="V367">
        <f>IF(AND(S367=1,OR(Report!$C$5="",B367=Report!$C$5)),MATCH(B367,Rooms!$B$6:$B$35,0)*10000+ROW(),"")</f>
        <v/>
      </c>
      <c r="W367">
        <f>IF(AND(S367=1,OR(J367="",J367="No")),1,0)</f>
        <v/>
      </c>
      <c r="X367">
        <f>IF(AND(S367=1,K367=""),1,0)</f>
        <v/>
      </c>
      <c r="Y367">
        <f>IF(AND(S367=1,Q367&lt;&gt;""),ROUND(T367*100,0)*10000+10000-ROW(),"")</f>
        <v/>
      </c>
    </row>
    <row r="368">
      <c r="A368" s="1" t="n"/>
      <c r="B368" s="17" t="n"/>
      <c r="C368" s="18" t="n"/>
      <c r="D368" s="17" t="n"/>
      <c r="E368" s="19" t="n"/>
      <c r="F368" s="19" t="n"/>
      <c r="G368" s="20" t="n"/>
      <c r="H368" s="21" t="n"/>
      <c r="I368" s="21" t="n"/>
      <c r="J368" s="17" t="n"/>
      <c r="K368" s="19" t="n"/>
      <c r="L368" s="20" t="n"/>
      <c r="M368" s="19" t="n"/>
      <c r="N368" s="22">
        <f>IF(C368="","",IF(ISNUMBER(I368),I368,IF(ISNUMBER(H368),H368,"")))</f>
        <v/>
      </c>
      <c r="O368" s="23">
        <f>IF(OR(C368="",NOT(ISNUMBER(G368))),"",(TODAY()-INT(G368))/365.25)</f>
        <v/>
      </c>
      <c r="P368" s="13">
        <f>IF(OR(C368="",NOT(ISNUMBER(L368))),"",IF(L368&lt;TODAY(),"Ended",IF(L368-TODAY()&lt;=N(Settings!$C$10),"Ends soon","Covered")))</f>
        <v/>
      </c>
      <c r="Q368" s="13">
        <f>IF(C368="","",MID(IF(N368="",", value","")&amp;IF(OR(J368="",J368="No"),", receipt","")&amp;IF(K368="",", photo",""),3,100))</f>
        <v/>
      </c>
      <c r="R368" s="13">
        <f>IF(AND(B368="",C368=""),"",IF(C368="","Needs the item",IF(B368="","Needs a room",IF(COUNTIF(Rooms!$B$6:$B$35,B368)=0,"Not on Rooms",IF(AND(H368&lt;&gt;"",NOT(ISNUMBER(H368))),"Paid not a number",IF(AND(I368&lt;&gt;"",NOT(ISNUMBER(I368))),"Worth not a number",IF(AND(G368&lt;&gt;"",NOT(ISNUMBER(G368))),"Bought is not a date",IF(AND(L368&lt;&gt;"",NOT(ISNUMBER(L368))),"Warranty is not a date",""))))))))</f>
        <v/>
      </c>
      <c r="S368" s="1">
        <f>IF(AND(C368&lt;&gt;"",R368=""),1,0)</f>
        <v/>
      </c>
      <c r="T368">
        <f>IF(S368=1,N(N368),0)</f>
        <v/>
      </c>
      <c r="U368">
        <f>IF(AND(S368=1,T368&gt;0),ROUND(T368*100,0)*10000+10000-ROW(),"")</f>
        <v/>
      </c>
      <c r="V368">
        <f>IF(AND(S368=1,OR(Report!$C$5="",B368=Report!$C$5)),MATCH(B368,Rooms!$B$6:$B$35,0)*10000+ROW(),"")</f>
        <v/>
      </c>
      <c r="W368">
        <f>IF(AND(S368=1,OR(J368="",J368="No")),1,0)</f>
        <v/>
      </c>
      <c r="X368">
        <f>IF(AND(S368=1,K368=""),1,0)</f>
        <v/>
      </c>
      <c r="Y368">
        <f>IF(AND(S368=1,Q368&lt;&gt;""),ROUND(T368*100,0)*10000+10000-ROW(),"")</f>
        <v/>
      </c>
    </row>
    <row r="369">
      <c r="A369" s="1" t="n"/>
      <c r="B369" s="17" t="n"/>
      <c r="C369" s="18" t="n"/>
      <c r="D369" s="17" t="n"/>
      <c r="E369" s="19" t="n"/>
      <c r="F369" s="19" t="n"/>
      <c r="G369" s="20" t="n"/>
      <c r="H369" s="21" t="n"/>
      <c r="I369" s="21" t="n"/>
      <c r="J369" s="17" t="n"/>
      <c r="K369" s="19" t="n"/>
      <c r="L369" s="20" t="n"/>
      <c r="M369" s="19" t="n"/>
      <c r="N369" s="22">
        <f>IF(C369="","",IF(ISNUMBER(I369),I369,IF(ISNUMBER(H369),H369,"")))</f>
        <v/>
      </c>
      <c r="O369" s="23">
        <f>IF(OR(C369="",NOT(ISNUMBER(G369))),"",(TODAY()-INT(G369))/365.25)</f>
        <v/>
      </c>
      <c r="P369" s="13">
        <f>IF(OR(C369="",NOT(ISNUMBER(L369))),"",IF(L369&lt;TODAY(),"Ended",IF(L369-TODAY()&lt;=N(Settings!$C$10),"Ends soon","Covered")))</f>
        <v/>
      </c>
      <c r="Q369" s="13">
        <f>IF(C369="","",MID(IF(N369="",", value","")&amp;IF(OR(J369="",J369="No"),", receipt","")&amp;IF(K369="",", photo",""),3,100))</f>
        <v/>
      </c>
      <c r="R369" s="13">
        <f>IF(AND(B369="",C369=""),"",IF(C369="","Needs the item",IF(B369="","Needs a room",IF(COUNTIF(Rooms!$B$6:$B$35,B369)=0,"Not on Rooms",IF(AND(H369&lt;&gt;"",NOT(ISNUMBER(H369))),"Paid not a number",IF(AND(I369&lt;&gt;"",NOT(ISNUMBER(I369))),"Worth not a number",IF(AND(G369&lt;&gt;"",NOT(ISNUMBER(G369))),"Bought is not a date",IF(AND(L369&lt;&gt;"",NOT(ISNUMBER(L369))),"Warranty is not a date",""))))))))</f>
        <v/>
      </c>
      <c r="S369" s="1">
        <f>IF(AND(C369&lt;&gt;"",R369=""),1,0)</f>
        <v/>
      </c>
      <c r="T369">
        <f>IF(S369=1,N(N369),0)</f>
        <v/>
      </c>
      <c r="U369">
        <f>IF(AND(S369=1,T369&gt;0),ROUND(T369*100,0)*10000+10000-ROW(),"")</f>
        <v/>
      </c>
      <c r="V369">
        <f>IF(AND(S369=1,OR(Report!$C$5="",B369=Report!$C$5)),MATCH(B369,Rooms!$B$6:$B$35,0)*10000+ROW(),"")</f>
        <v/>
      </c>
      <c r="W369">
        <f>IF(AND(S369=1,OR(J369="",J369="No")),1,0)</f>
        <v/>
      </c>
      <c r="X369">
        <f>IF(AND(S369=1,K369=""),1,0)</f>
        <v/>
      </c>
      <c r="Y369">
        <f>IF(AND(S369=1,Q369&lt;&gt;""),ROUND(T369*100,0)*10000+10000-ROW(),"")</f>
        <v/>
      </c>
    </row>
    <row r="370">
      <c r="A370" s="1" t="n"/>
      <c r="B370" s="17" t="n"/>
      <c r="C370" s="18" t="n"/>
      <c r="D370" s="17" t="n"/>
      <c r="E370" s="19" t="n"/>
      <c r="F370" s="19" t="n"/>
      <c r="G370" s="20" t="n"/>
      <c r="H370" s="21" t="n"/>
      <c r="I370" s="21" t="n"/>
      <c r="J370" s="17" t="n"/>
      <c r="K370" s="19" t="n"/>
      <c r="L370" s="20" t="n"/>
      <c r="M370" s="19" t="n"/>
      <c r="N370" s="22">
        <f>IF(C370="","",IF(ISNUMBER(I370),I370,IF(ISNUMBER(H370),H370,"")))</f>
        <v/>
      </c>
      <c r="O370" s="23">
        <f>IF(OR(C370="",NOT(ISNUMBER(G370))),"",(TODAY()-INT(G370))/365.25)</f>
        <v/>
      </c>
      <c r="P370" s="13">
        <f>IF(OR(C370="",NOT(ISNUMBER(L370))),"",IF(L370&lt;TODAY(),"Ended",IF(L370-TODAY()&lt;=N(Settings!$C$10),"Ends soon","Covered")))</f>
        <v/>
      </c>
      <c r="Q370" s="13">
        <f>IF(C370="","",MID(IF(N370="",", value","")&amp;IF(OR(J370="",J370="No"),", receipt","")&amp;IF(K370="",", photo",""),3,100))</f>
        <v/>
      </c>
      <c r="R370" s="13">
        <f>IF(AND(B370="",C370=""),"",IF(C370="","Needs the item",IF(B370="","Needs a room",IF(COUNTIF(Rooms!$B$6:$B$35,B370)=0,"Not on Rooms",IF(AND(H370&lt;&gt;"",NOT(ISNUMBER(H370))),"Paid not a number",IF(AND(I370&lt;&gt;"",NOT(ISNUMBER(I370))),"Worth not a number",IF(AND(G370&lt;&gt;"",NOT(ISNUMBER(G370))),"Bought is not a date",IF(AND(L370&lt;&gt;"",NOT(ISNUMBER(L370))),"Warranty is not a date",""))))))))</f>
        <v/>
      </c>
      <c r="S370" s="1">
        <f>IF(AND(C370&lt;&gt;"",R370=""),1,0)</f>
        <v/>
      </c>
      <c r="T370">
        <f>IF(S370=1,N(N370),0)</f>
        <v/>
      </c>
      <c r="U370">
        <f>IF(AND(S370=1,T370&gt;0),ROUND(T370*100,0)*10000+10000-ROW(),"")</f>
        <v/>
      </c>
      <c r="V370">
        <f>IF(AND(S370=1,OR(Report!$C$5="",B370=Report!$C$5)),MATCH(B370,Rooms!$B$6:$B$35,0)*10000+ROW(),"")</f>
        <v/>
      </c>
      <c r="W370">
        <f>IF(AND(S370=1,OR(J370="",J370="No")),1,0)</f>
        <v/>
      </c>
      <c r="X370">
        <f>IF(AND(S370=1,K370=""),1,0)</f>
        <v/>
      </c>
      <c r="Y370">
        <f>IF(AND(S370=1,Q370&lt;&gt;""),ROUND(T370*100,0)*10000+10000-ROW(),"")</f>
        <v/>
      </c>
    </row>
    <row r="371">
      <c r="A371" s="1" t="n"/>
      <c r="B371" s="17" t="n"/>
      <c r="C371" s="18" t="n"/>
      <c r="D371" s="17" t="n"/>
      <c r="E371" s="19" t="n"/>
      <c r="F371" s="19" t="n"/>
      <c r="G371" s="20" t="n"/>
      <c r="H371" s="21" t="n"/>
      <c r="I371" s="21" t="n"/>
      <c r="J371" s="17" t="n"/>
      <c r="K371" s="19" t="n"/>
      <c r="L371" s="20" t="n"/>
      <c r="M371" s="19" t="n"/>
      <c r="N371" s="22">
        <f>IF(C371="","",IF(ISNUMBER(I371),I371,IF(ISNUMBER(H371),H371,"")))</f>
        <v/>
      </c>
      <c r="O371" s="23">
        <f>IF(OR(C371="",NOT(ISNUMBER(G371))),"",(TODAY()-INT(G371))/365.25)</f>
        <v/>
      </c>
      <c r="P371" s="13">
        <f>IF(OR(C371="",NOT(ISNUMBER(L371))),"",IF(L371&lt;TODAY(),"Ended",IF(L371-TODAY()&lt;=N(Settings!$C$10),"Ends soon","Covered")))</f>
        <v/>
      </c>
      <c r="Q371" s="13">
        <f>IF(C371="","",MID(IF(N371="",", value","")&amp;IF(OR(J371="",J371="No"),", receipt","")&amp;IF(K371="",", photo",""),3,100))</f>
        <v/>
      </c>
      <c r="R371" s="13">
        <f>IF(AND(B371="",C371=""),"",IF(C371="","Needs the item",IF(B371="","Needs a room",IF(COUNTIF(Rooms!$B$6:$B$35,B371)=0,"Not on Rooms",IF(AND(H371&lt;&gt;"",NOT(ISNUMBER(H371))),"Paid not a number",IF(AND(I371&lt;&gt;"",NOT(ISNUMBER(I371))),"Worth not a number",IF(AND(G371&lt;&gt;"",NOT(ISNUMBER(G371))),"Bought is not a date",IF(AND(L371&lt;&gt;"",NOT(ISNUMBER(L371))),"Warranty is not a date",""))))))))</f>
        <v/>
      </c>
      <c r="S371" s="1">
        <f>IF(AND(C371&lt;&gt;"",R371=""),1,0)</f>
        <v/>
      </c>
      <c r="T371">
        <f>IF(S371=1,N(N371),0)</f>
        <v/>
      </c>
      <c r="U371">
        <f>IF(AND(S371=1,T371&gt;0),ROUND(T371*100,0)*10000+10000-ROW(),"")</f>
        <v/>
      </c>
      <c r="V371">
        <f>IF(AND(S371=1,OR(Report!$C$5="",B371=Report!$C$5)),MATCH(B371,Rooms!$B$6:$B$35,0)*10000+ROW(),"")</f>
        <v/>
      </c>
      <c r="W371">
        <f>IF(AND(S371=1,OR(J371="",J371="No")),1,0)</f>
        <v/>
      </c>
      <c r="X371">
        <f>IF(AND(S371=1,K371=""),1,0)</f>
        <v/>
      </c>
      <c r="Y371">
        <f>IF(AND(S371=1,Q371&lt;&gt;""),ROUND(T371*100,0)*10000+10000-ROW(),"")</f>
        <v/>
      </c>
    </row>
    <row r="372">
      <c r="A372" s="1" t="n"/>
      <c r="B372" s="17" t="n"/>
      <c r="C372" s="18" t="n"/>
      <c r="D372" s="17" t="n"/>
      <c r="E372" s="19" t="n"/>
      <c r="F372" s="19" t="n"/>
      <c r="G372" s="20" t="n"/>
      <c r="H372" s="21" t="n"/>
      <c r="I372" s="21" t="n"/>
      <c r="J372" s="17" t="n"/>
      <c r="K372" s="19" t="n"/>
      <c r="L372" s="20" t="n"/>
      <c r="M372" s="19" t="n"/>
      <c r="N372" s="22">
        <f>IF(C372="","",IF(ISNUMBER(I372),I372,IF(ISNUMBER(H372),H372,"")))</f>
        <v/>
      </c>
      <c r="O372" s="23">
        <f>IF(OR(C372="",NOT(ISNUMBER(G372))),"",(TODAY()-INT(G372))/365.25)</f>
        <v/>
      </c>
      <c r="P372" s="13">
        <f>IF(OR(C372="",NOT(ISNUMBER(L372))),"",IF(L372&lt;TODAY(),"Ended",IF(L372-TODAY()&lt;=N(Settings!$C$10),"Ends soon","Covered")))</f>
        <v/>
      </c>
      <c r="Q372" s="13">
        <f>IF(C372="","",MID(IF(N372="",", value","")&amp;IF(OR(J372="",J372="No"),", receipt","")&amp;IF(K372="",", photo",""),3,100))</f>
        <v/>
      </c>
      <c r="R372" s="13">
        <f>IF(AND(B372="",C372=""),"",IF(C372="","Needs the item",IF(B372="","Needs a room",IF(COUNTIF(Rooms!$B$6:$B$35,B372)=0,"Not on Rooms",IF(AND(H372&lt;&gt;"",NOT(ISNUMBER(H372))),"Paid not a number",IF(AND(I372&lt;&gt;"",NOT(ISNUMBER(I372))),"Worth not a number",IF(AND(G372&lt;&gt;"",NOT(ISNUMBER(G372))),"Bought is not a date",IF(AND(L372&lt;&gt;"",NOT(ISNUMBER(L372))),"Warranty is not a date",""))))))))</f>
        <v/>
      </c>
      <c r="S372" s="1">
        <f>IF(AND(C372&lt;&gt;"",R372=""),1,0)</f>
        <v/>
      </c>
      <c r="T372">
        <f>IF(S372=1,N(N372),0)</f>
        <v/>
      </c>
      <c r="U372">
        <f>IF(AND(S372=1,T372&gt;0),ROUND(T372*100,0)*10000+10000-ROW(),"")</f>
        <v/>
      </c>
      <c r="V372">
        <f>IF(AND(S372=1,OR(Report!$C$5="",B372=Report!$C$5)),MATCH(B372,Rooms!$B$6:$B$35,0)*10000+ROW(),"")</f>
        <v/>
      </c>
      <c r="W372">
        <f>IF(AND(S372=1,OR(J372="",J372="No")),1,0)</f>
        <v/>
      </c>
      <c r="X372">
        <f>IF(AND(S372=1,K372=""),1,0)</f>
        <v/>
      </c>
      <c r="Y372">
        <f>IF(AND(S372=1,Q372&lt;&gt;""),ROUND(T372*100,0)*10000+10000-ROW(),"")</f>
        <v/>
      </c>
    </row>
    <row r="373">
      <c r="A373" s="1" t="n"/>
      <c r="B373" s="17" t="n"/>
      <c r="C373" s="18" t="n"/>
      <c r="D373" s="17" t="n"/>
      <c r="E373" s="19" t="n"/>
      <c r="F373" s="19" t="n"/>
      <c r="G373" s="20" t="n"/>
      <c r="H373" s="21" t="n"/>
      <c r="I373" s="21" t="n"/>
      <c r="J373" s="17" t="n"/>
      <c r="K373" s="19" t="n"/>
      <c r="L373" s="20" t="n"/>
      <c r="M373" s="19" t="n"/>
      <c r="N373" s="22">
        <f>IF(C373="","",IF(ISNUMBER(I373),I373,IF(ISNUMBER(H373),H373,"")))</f>
        <v/>
      </c>
      <c r="O373" s="23">
        <f>IF(OR(C373="",NOT(ISNUMBER(G373))),"",(TODAY()-INT(G373))/365.25)</f>
        <v/>
      </c>
      <c r="P373" s="13">
        <f>IF(OR(C373="",NOT(ISNUMBER(L373))),"",IF(L373&lt;TODAY(),"Ended",IF(L373-TODAY()&lt;=N(Settings!$C$10),"Ends soon","Covered")))</f>
        <v/>
      </c>
      <c r="Q373" s="13">
        <f>IF(C373="","",MID(IF(N373="",", value","")&amp;IF(OR(J373="",J373="No"),", receipt","")&amp;IF(K373="",", photo",""),3,100))</f>
        <v/>
      </c>
      <c r="R373" s="13">
        <f>IF(AND(B373="",C373=""),"",IF(C373="","Needs the item",IF(B373="","Needs a room",IF(COUNTIF(Rooms!$B$6:$B$35,B373)=0,"Not on Rooms",IF(AND(H373&lt;&gt;"",NOT(ISNUMBER(H373))),"Paid not a number",IF(AND(I373&lt;&gt;"",NOT(ISNUMBER(I373))),"Worth not a number",IF(AND(G373&lt;&gt;"",NOT(ISNUMBER(G373))),"Bought is not a date",IF(AND(L373&lt;&gt;"",NOT(ISNUMBER(L373))),"Warranty is not a date",""))))))))</f>
        <v/>
      </c>
      <c r="S373" s="1">
        <f>IF(AND(C373&lt;&gt;"",R373=""),1,0)</f>
        <v/>
      </c>
      <c r="T373">
        <f>IF(S373=1,N(N373),0)</f>
        <v/>
      </c>
      <c r="U373">
        <f>IF(AND(S373=1,T373&gt;0),ROUND(T373*100,0)*10000+10000-ROW(),"")</f>
        <v/>
      </c>
      <c r="V373">
        <f>IF(AND(S373=1,OR(Report!$C$5="",B373=Report!$C$5)),MATCH(B373,Rooms!$B$6:$B$35,0)*10000+ROW(),"")</f>
        <v/>
      </c>
      <c r="W373">
        <f>IF(AND(S373=1,OR(J373="",J373="No")),1,0)</f>
        <v/>
      </c>
      <c r="X373">
        <f>IF(AND(S373=1,K373=""),1,0)</f>
        <v/>
      </c>
      <c r="Y373">
        <f>IF(AND(S373=1,Q373&lt;&gt;""),ROUND(T373*100,0)*10000+10000-ROW(),"")</f>
        <v/>
      </c>
    </row>
    <row r="374">
      <c r="A374" s="1" t="n"/>
      <c r="B374" s="17" t="n"/>
      <c r="C374" s="18" t="n"/>
      <c r="D374" s="17" t="n"/>
      <c r="E374" s="19" t="n"/>
      <c r="F374" s="19" t="n"/>
      <c r="G374" s="20" t="n"/>
      <c r="H374" s="21" t="n"/>
      <c r="I374" s="21" t="n"/>
      <c r="J374" s="17" t="n"/>
      <c r="K374" s="19" t="n"/>
      <c r="L374" s="20" t="n"/>
      <c r="M374" s="19" t="n"/>
      <c r="N374" s="22">
        <f>IF(C374="","",IF(ISNUMBER(I374),I374,IF(ISNUMBER(H374),H374,"")))</f>
        <v/>
      </c>
      <c r="O374" s="23">
        <f>IF(OR(C374="",NOT(ISNUMBER(G374))),"",(TODAY()-INT(G374))/365.25)</f>
        <v/>
      </c>
      <c r="P374" s="13">
        <f>IF(OR(C374="",NOT(ISNUMBER(L374))),"",IF(L374&lt;TODAY(),"Ended",IF(L374-TODAY()&lt;=N(Settings!$C$10),"Ends soon","Covered")))</f>
        <v/>
      </c>
      <c r="Q374" s="13">
        <f>IF(C374="","",MID(IF(N374="",", value","")&amp;IF(OR(J374="",J374="No"),", receipt","")&amp;IF(K374="",", photo",""),3,100))</f>
        <v/>
      </c>
      <c r="R374" s="13">
        <f>IF(AND(B374="",C374=""),"",IF(C374="","Needs the item",IF(B374="","Needs a room",IF(COUNTIF(Rooms!$B$6:$B$35,B374)=0,"Not on Rooms",IF(AND(H374&lt;&gt;"",NOT(ISNUMBER(H374))),"Paid not a number",IF(AND(I374&lt;&gt;"",NOT(ISNUMBER(I374))),"Worth not a number",IF(AND(G374&lt;&gt;"",NOT(ISNUMBER(G374))),"Bought is not a date",IF(AND(L374&lt;&gt;"",NOT(ISNUMBER(L374))),"Warranty is not a date",""))))))))</f>
        <v/>
      </c>
      <c r="S374" s="1">
        <f>IF(AND(C374&lt;&gt;"",R374=""),1,0)</f>
        <v/>
      </c>
      <c r="T374">
        <f>IF(S374=1,N(N374),0)</f>
        <v/>
      </c>
      <c r="U374">
        <f>IF(AND(S374=1,T374&gt;0),ROUND(T374*100,0)*10000+10000-ROW(),"")</f>
        <v/>
      </c>
      <c r="V374">
        <f>IF(AND(S374=1,OR(Report!$C$5="",B374=Report!$C$5)),MATCH(B374,Rooms!$B$6:$B$35,0)*10000+ROW(),"")</f>
        <v/>
      </c>
      <c r="W374">
        <f>IF(AND(S374=1,OR(J374="",J374="No")),1,0)</f>
        <v/>
      </c>
      <c r="X374">
        <f>IF(AND(S374=1,K374=""),1,0)</f>
        <v/>
      </c>
      <c r="Y374">
        <f>IF(AND(S374=1,Q374&lt;&gt;""),ROUND(T374*100,0)*10000+10000-ROW(),"")</f>
        <v/>
      </c>
    </row>
    <row r="375">
      <c r="A375" s="1" t="n"/>
      <c r="B375" s="17" t="n"/>
      <c r="C375" s="18" t="n"/>
      <c r="D375" s="17" t="n"/>
      <c r="E375" s="19" t="n"/>
      <c r="F375" s="19" t="n"/>
      <c r="G375" s="20" t="n"/>
      <c r="H375" s="21" t="n"/>
      <c r="I375" s="21" t="n"/>
      <c r="J375" s="17" t="n"/>
      <c r="K375" s="19" t="n"/>
      <c r="L375" s="20" t="n"/>
      <c r="M375" s="19" t="n"/>
      <c r="N375" s="22">
        <f>IF(C375="","",IF(ISNUMBER(I375),I375,IF(ISNUMBER(H375),H375,"")))</f>
        <v/>
      </c>
      <c r="O375" s="23">
        <f>IF(OR(C375="",NOT(ISNUMBER(G375))),"",(TODAY()-INT(G375))/365.25)</f>
        <v/>
      </c>
      <c r="P375" s="13">
        <f>IF(OR(C375="",NOT(ISNUMBER(L375))),"",IF(L375&lt;TODAY(),"Ended",IF(L375-TODAY()&lt;=N(Settings!$C$10),"Ends soon","Covered")))</f>
        <v/>
      </c>
      <c r="Q375" s="13">
        <f>IF(C375="","",MID(IF(N375="",", value","")&amp;IF(OR(J375="",J375="No"),", receipt","")&amp;IF(K375="",", photo",""),3,100))</f>
        <v/>
      </c>
      <c r="R375" s="13">
        <f>IF(AND(B375="",C375=""),"",IF(C375="","Needs the item",IF(B375="","Needs a room",IF(COUNTIF(Rooms!$B$6:$B$35,B375)=0,"Not on Rooms",IF(AND(H375&lt;&gt;"",NOT(ISNUMBER(H375))),"Paid not a number",IF(AND(I375&lt;&gt;"",NOT(ISNUMBER(I375))),"Worth not a number",IF(AND(G375&lt;&gt;"",NOT(ISNUMBER(G375))),"Bought is not a date",IF(AND(L375&lt;&gt;"",NOT(ISNUMBER(L375))),"Warranty is not a date",""))))))))</f>
        <v/>
      </c>
      <c r="S375" s="1">
        <f>IF(AND(C375&lt;&gt;"",R375=""),1,0)</f>
        <v/>
      </c>
      <c r="T375">
        <f>IF(S375=1,N(N375),0)</f>
        <v/>
      </c>
      <c r="U375">
        <f>IF(AND(S375=1,T375&gt;0),ROUND(T375*100,0)*10000+10000-ROW(),"")</f>
        <v/>
      </c>
      <c r="V375">
        <f>IF(AND(S375=1,OR(Report!$C$5="",B375=Report!$C$5)),MATCH(B375,Rooms!$B$6:$B$35,0)*10000+ROW(),"")</f>
        <v/>
      </c>
      <c r="W375">
        <f>IF(AND(S375=1,OR(J375="",J375="No")),1,0)</f>
        <v/>
      </c>
      <c r="X375">
        <f>IF(AND(S375=1,K375=""),1,0)</f>
        <v/>
      </c>
      <c r="Y375">
        <f>IF(AND(S375=1,Q375&lt;&gt;""),ROUND(T375*100,0)*10000+10000-ROW(),"")</f>
        <v/>
      </c>
    </row>
    <row r="376">
      <c r="A376" s="1" t="n"/>
      <c r="B376" s="17" t="n"/>
      <c r="C376" s="18" t="n"/>
      <c r="D376" s="17" t="n"/>
      <c r="E376" s="19" t="n"/>
      <c r="F376" s="19" t="n"/>
      <c r="G376" s="20" t="n"/>
      <c r="H376" s="21" t="n"/>
      <c r="I376" s="21" t="n"/>
      <c r="J376" s="17" t="n"/>
      <c r="K376" s="19" t="n"/>
      <c r="L376" s="20" t="n"/>
      <c r="M376" s="19" t="n"/>
      <c r="N376" s="22">
        <f>IF(C376="","",IF(ISNUMBER(I376),I376,IF(ISNUMBER(H376),H376,"")))</f>
        <v/>
      </c>
      <c r="O376" s="23">
        <f>IF(OR(C376="",NOT(ISNUMBER(G376))),"",(TODAY()-INT(G376))/365.25)</f>
        <v/>
      </c>
      <c r="P376" s="13">
        <f>IF(OR(C376="",NOT(ISNUMBER(L376))),"",IF(L376&lt;TODAY(),"Ended",IF(L376-TODAY()&lt;=N(Settings!$C$10),"Ends soon","Covered")))</f>
        <v/>
      </c>
      <c r="Q376" s="13">
        <f>IF(C376="","",MID(IF(N376="",", value","")&amp;IF(OR(J376="",J376="No"),", receipt","")&amp;IF(K376="",", photo",""),3,100))</f>
        <v/>
      </c>
      <c r="R376" s="13">
        <f>IF(AND(B376="",C376=""),"",IF(C376="","Needs the item",IF(B376="","Needs a room",IF(COUNTIF(Rooms!$B$6:$B$35,B376)=0,"Not on Rooms",IF(AND(H376&lt;&gt;"",NOT(ISNUMBER(H376))),"Paid not a number",IF(AND(I376&lt;&gt;"",NOT(ISNUMBER(I376))),"Worth not a number",IF(AND(G376&lt;&gt;"",NOT(ISNUMBER(G376))),"Bought is not a date",IF(AND(L376&lt;&gt;"",NOT(ISNUMBER(L376))),"Warranty is not a date",""))))))))</f>
        <v/>
      </c>
      <c r="S376" s="1">
        <f>IF(AND(C376&lt;&gt;"",R376=""),1,0)</f>
        <v/>
      </c>
      <c r="T376">
        <f>IF(S376=1,N(N376),0)</f>
        <v/>
      </c>
      <c r="U376">
        <f>IF(AND(S376=1,T376&gt;0),ROUND(T376*100,0)*10000+10000-ROW(),"")</f>
        <v/>
      </c>
      <c r="V376">
        <f>IF(AND(S376=1,OR(Report!$C$5="",B376=Report!$C$5)),MATCH(B376,Rooms!$B$6:$B$35,0)*10000+ROW(),"")</f>
        <v/>
      </c>
      <c r="W376">
        <f>IF(AND(S376=1,OR(J376="",J376="No")),1,0)</f>
        <v/>
      </c>
      <c r="X376">
        <f>IF(AND(S376=1,K376=""),1,0)</f>
        <v/>
      </c>
      <c r="Y376">
        <f>IF(AND(S376=1,Q376&lt;&gt;""),ROUND(T376*100,0)*10000+10000-ROW(),"")</f>
        <v/>
      </c>
    </row>
    <row r="377">
      <c r="A377" s="1" t="n"/>
      <c r="B377" s="17" t="n"/>
      <c r="C377" s="18" t="n"/>
      <c r="D377" s="17" t="n"/>
      <c r="E377" s="19" t="n"/>
      <c r="F377" s="19" t="n"/>
      <c r="G377" s="20" t="n"/>
      <c r="H377" s="21" t="n"/>
      <c r="I377" s="21" t="n"/>
      <c r="J377" s="17" t="n"/>
      <c r="K377" s="19" t="n"/>
      <c r="L377" s="20" t="n"/>
      <c r="M377" s="19" t="n"/>
      <c r="N377" s="22">
        <f>IF(C377="","",IF(ISNUMBER(I377),I377,IF(ISNUMBER(H377),H377,"")))</f>
        <v/>
      </c>
      <c r="O377" s="23">
        <f>IF(OR(C377="",NOT(ISNUMBER(G377))),"",(TODAY()-INT(G377))/365.25)</f>
        <v/>
      </c>
      <c r="P377" s="13">
        <f>IF(OR(C377="",NOT(ISNUMBER(L377))),"",IF(L377&lt;TODAY(),"Ended",IF(L377-TODAY()&lt;=N(Settings!$C$10),"Ends soon","Covered")))</f>
        <v/>
      </c>
      <c r="Q377" s="13">
        <f>IF(C377="","",MID(IF(N377="",", value","")&amp;IF(OR(J377="",J377="No"),", receipt","")&amp;IF(K377="",", photo",""),3,100))</f>
        <v/>
      </c>
      <c r="R377" s="13">
        <f>IF(AND(B377="",C377=""),"",IF(C377="","Needs the item",IF(B377="","Needs a room",IF(COUNTIF(Rooms!$B$6:$B$35,B377)=0,"Not on Rooms",IF(AND(H377&lt;&gt;"",NOT(ISNUMBER(H377))),"Paid not a number",IF(AND(I377&lt;&gt;"",NOT(ISNUMBER(I377))),"Worth not a number",IF(AND(G377&lt;&gt;"",NOT(ISNUMBER(G377))),"Bought is not a date",IF(AND(L377&lt;&gt;"",NOT(ISNUMBER(L377))),"Warranty is not a date",""))))))))</f>
        <v/>
      </c>
      <c r="S377" s="1">
        <f>IF(AND(C377&lt;&gt;"",R377=""),1,0)</f>
        <v/>
      </c>
      <c r="T377">
        <f>IF(S377=1,N(N377),0)</f>
        <v/>
      </c>
      <c r="U377">
        <f>IF(AND(S377=1,T377&gt;0),ROUND(T377*100,0)*10000+10000-ROW(),"")</f>
        <v/>
      </c>
      <c r="V377">
        <f>IF(AND(S377=1,OR(Report!$C$5="",B377=Report!$C$5)),MATCH(B377,Rooms!$B$6:$B$35,0)*10000+ROW(),"")</f>
        <v/>
      </c>
      <c r="W377">
        <f>IF(AND(S377=1,OR(J377="",J377="No")),1,0)</f>
        <v/>
      </c>
      <c r="X377">
        <f>IF(AND(S377=1,K377=""),1,0)</f>
        <v/>
      </c>
      <c r="Y377">
        <f>IF(AND(S377=1,Q377&lt;&gt;""),ROUND(T377*100,0)*10000+10000-ROW(),"")</f>
        <v/>
      </c>
    </row>
    <row r="378">
      <c r="A378" s="1" t="n"/>
      <c r="B378" s="17" t="n"/>
      <c r="C378" s="18" t="n"/>
      <c r="D378" s="17" t="n"/>
      <c r="E378" s="19" t="n"/>
      <c r="F378" s="19" t="n"/>
      <c r="G378" s="20" t="n"/>
      <c r="H378" s="21" t="n"/>
      <c r="I378" s="21" t="n"/>
      <c r="J378" s="17" t="n"/>
      <c r="K378" s="19" t="n"/>
      <c r="L378" s="20" t="n"/>
      <c r="M378" s="19" t="n"/>
      <c r="N378" s="22">
        <f>IF(C378="","",IF(ISNUMBER(I378),I378,IF(ISNUMBER(H378),H378,"")))</f>
        <v/>
      </c>
      <c r="O378" s="23">
        <f>IF(OR(C378="",NOT(ISNUMBER(G378))),"",(TODAY()-INT(G378))/365.25)</f>
        <v/>
      </c>
      <c r="P378" s="13">
        <f>IF(OR(C378="",NOT(ISNUMBER(L378))),"",IF(L378&lt;TODAY(),"Ended",IF(L378-TODAY()&lt;=N(Settings!$C$10),"Ends soon","Covered")))</f>
        <v/>
      </c>
      <c r="Q378" s="13">
        <f>IF(C378="","",MID(IF(N378="",", value","")&amp;IF(OR(J378="",J378="No"),", receipt","")&amp;IF(K378="",", photo",""),3,100))</f>
        <v/>
      </c>
      <c r="R378" s="13">
        <f>IF(AND(B378="",C378=""),"",IF(C378="","Needs the item",IF(B378="","Needs a room",IF(COUNTIF(Rooms!$B$6:$B$35,B378)=0,"Not on Rooms",IF(AND(H378&lt;&gt;"",NOT(ISNUMBER(H378))),"Paid not a number",IF(AND(I378&lt;&gt;"",NOT(ISNUMBER(I378))),"Worth not a number",IF(AND(G378&lt;&gt;"",NOT(ISNUMBER(G378))),"Bought is not a date",IF(AND(L378&lt;&gt;"",NOT(ISNUMBER(L378))),"Warranty is not a date",""))))))))</f>
        <v/>
      </c>
      <c r="S378" s="1">
        <f>IF(AND(C378&lt;&gt;"",R378=""),1,0)</f>
        <v/>
      </c>
      <c r="T378">
        <f>IF(S378=1,N(N378),0)</f>
        <v/>
      </c>
      <c r="U378">
        <f>IF(AND(S378=1,T378&gt;0),ROUND(T378*100,0)*10000+10000-ROW(),"")</f>
        <v/>
      </c>
      <c r="V378">
        <f>IF(AND(S378=1,OR(Report!$C$5="",B378=Report!$C$5)),MATCH(B378,Rooms!$B$6:$B$35,0)*10000+ROW(),"")</f>
        <v/>
      </c>
      <c r="W378">
        <f>IF(AND(S378=1,OR(J378="",J378="No")),1,0)</f>
        <v/>
      </c>
      <c r="X378">
        <f>IF(AND(S378=1,K378=""),1,0)</f>
        <v/>
      </c>
      <c r="Y378">
        <f>IF(AND(S378=1,Q378&lt;&gt;""),ROUND(T378*100,0)*10000+10000-ROW(),"")</f>
        <v/>
      </c>
    </row>
    <row r="379">
      <c r="A379" s="1" t="n"/>
      <c r="B379" s="17" t="n"/>
      <c r="C379" s="18" t="n"/>
      <c r="D379" s="17" t="n"/>
      <c r="E379" s="19" t="n"/>
      <c r="F379" s="19" t="n"/>
      <c r="G379" s="20" t="n"/>
      <c r="H379" s="21" t="n"/>
      <c r="I379" s="21" t="n"/>
      <c r="J379" s="17" t="n"/>
      <c r="K379" s="19" t="n"/>
      <c r="L379" s="20" t="n"/>
      <c r="M379" s="19" t="n"/>
      <c r="N379" s="22">
        <f>IF(C379="","",IF(ISNUMBER(I379),I379,IF(ISNUMBER(H379),H379,"")))</f>
        <v/>
      </c>
      <c r="O379" s="23">
        <f>IF(OR(C379="",NOT(ISNUMBER(G379))),"",(TODAY()-INT(G379))/365.25)</f>
        <v/>
      </c>
      <c r="P379" s="13">
        <f>IF(OR(C379="",NOT(ISNUMBER(L379))),"",IF(L379&lt;TODAY(),"Ended",IF(L379-TODAY()&lt;=N(Settings!$C$10),"Ends soon","Covered")))</f>
        <v/>
      </c>
      <c r="Q379" s="13">
        <f>IF(C379="","",MID(IF(N379="",", value","")&amp;IF(OR(J379="",J379="No"),", receipt","")&amp;IF(K379="",", photo",""),3,100))</f>
        <v/>
      </c>
      <c r="R379" s="13">
        <f>IF(AND(B379="",C379=""),"",IF(C379="","Needs the item",IF(B379="","Needs a room",IF(COUNTIF(Rooms!$B$6:$B$35,B379)=0,"Not on Rooms",IF(AND(H379&lt;&gt;"",NOT(ISNUMBER(H379))),"Paid not a number",IF(AND(I379&lt;&gt;"",NOT(ISNUMBER(I379))),"Worth not a number",IF(AND(G379&lt;&gt;"",NOT(ISNUMBER(G379))),"Bought is not a date",IF(AND(L379&lt;&gt;"",NOT(ISNUMBER(L379))),"Warranty is not a date",""))))))))</f>
        <v/>
      </c>
      <c r="S379" s="1">
        <f>IF(AND(C379&lt;&gt;"",R379=""),1,0)</f>
        <v/>
      </c>
      <c r="T379">
        <f>IF(S379=1,N(N379),0)</f>
        <v/>
      </c>
      <c r="U379">
        <f>IF(AND(S379=1,T379&gt;0),ROUND(T379*100,0)*10000+10000-ROW(),"")</f>
        <v/>
      </c>
      <c r="V379">
        <f>IF(AND(S379=1,OR(Report!$C$5="",B379=Report!$C$5)),MATCH(B379,Rooms!$B$6:$B$35,0)*10000+ROW(),"")</f>
        <v/>
      </c>
      <c r="W379">
        <f>IF(AND(S379=1,OR(J379="",J379="No")),1,0)</f>
        <v/>
      </c>
      <c r="X379">
        <f>IF(AND(S379=1,K379=""),1,0)</f>
        <v/>
      </c>
      <c r="Y379">
        <f>IF(AND(S379=1,Q379&lt;&gt;""),ROUND(T379*100,0)*10000+10000-ROW(),"")</f>
        <v/>
      </c>
    </row>
    <row r="380">
      <c r="A380" s="1" t="n"/>
      <c r="B380" s="17" t="n"/>
      <c r="C380" s="18" t="n"/>
      <c r="D380" s="17" t="n"/>
      <c r="E380" s="19" t="n"/>
      <c r="F380" s="19" t="n"/>
      <c r="G380" s="20" t="n"/>
      <c r="H380" s="21" t="n"/>
      <c r="I380" s="21" t="n"/>
      <c r="J380" s="17" t="n"/>
      <c r="K380" s="19" t="n"/>
      <c r="L380" s="20" t="n"/>
      <c r="M380" s="19" t="n"/>
      <c r="N380" s="22">
        <f>IF(C380="","",IF(ISNUMBER(I380),I380,IF(ISNUMBER(H380),H380,"")))</f>
        <v/>
      </c>
      <c r="O380" s="23">
        <f>IF(OR(C380="",NOT(ISNUMBER(G380))),"",(TODAY()-INT(G380))/365.25)</f>
        <v/>
      </c>
      <c r="P380" s="13">
        <f>IF(OR(C380="",NOT(ISNUMBER(L380))),"",IF(L380&lt;TODAY(),"Ended",IF(L380-TODAY()&lt;=N(Settings!$C$10),"Ends soon","Covered")))</f>
        <v/>
      </c>
      <c r="Q380" s="13">
        <f>IF(C380="","",MID(IF(N380="",", value","")&amp;IF(OR(J380="",J380="No"),", receipt","")&amp;IF(K380="",", photo",""),3,100))</f>
        <v/>
      </c>
      <c r="R380" s="13">
        <f>IF(AND(B380="",C380=""),"",IF(C380="","Needs the item",IF(B380="","Needs a room",IF(COUNTIF(Rooms!$B$6:$B$35,B380)=0,"Not on Rooms",IF(AND(H380&lt;&gt;"",NOT(ISNUMBER(H380))),"Paid not a number",IF(AND(I380&lt;&gt;"",NOT(ISNUMBER(I380))),"Worth not a number",IF(AND(G380&lt;&gt;"",NOT(ISNUMBER(G380))),"Bought is not a date",IF(AND(L380&lt;&gt;"",NOT(ISNUMBER(L380))),"Warranty is not a date",""))))))))</f>
        <v/>
      </c>
      <c r="S380" s="1">
        <f>IF(AND(C380&lt;&gt;"",R380=""),1,0)</f>
        <v/>
      </c>
      <c r="T380">
        <f>IF(S380=1,N(N380),0)</f>
        <v/>
      </c>
      <c r="U380">
        <f>IF(AND(S380=1,T380&gt;0),ROUND(T380*100,0)*10000+10000-ROW(),"")</f>
        <v/>
      </c>
      <c r="V380">
        <f>IF(AND(S380=1,OR(Report!$C$5="",B380=Report!$C$5)),MATCH(B380,Rooms!$B$6:$B$35,0)*10000+ROW(),"")</f>
        <v/>
      </c>
      <c r="W380">
        <f>IF(AND(S380=1,OR(J380="",J380="No")),1,0)</f>
        <v/>
      </c>
      <c r="X380">
        <f>IF(AND(S380=1,K380=""),1,0)</f>
        <v/>
      </c>
      <c r="Y380">
        <f>IF(AND(S380=1,Q380&lt;&gt;""),ROUND(T380*100,0)*10000+10000-ROW(),"")</f>
        <v/>
      </c>
    </row>
    <row r="381">
      <c r="A381" s="1" t="n"/>
      <c r="B381" s="17" t="n"/>
      <c r="C381" s="18" t="n"/>
      <c r="D381" s="17" t="n"/>
      <c r="E381" s="19" t="n"/>
      <c r="F381" s="19" t="n"/>
      <c r="G381" s="20" t="n"/>
      <c r="H381" s="21" t="n"/>
      <c r="I381" s="21" t="n"/>
      <c r="J381" s="17" t="n"/>
      <c r="K381" s="19" t="n"/>
      <c r="L381" s="20" t="n"/>
      <c r="M381" s="19" t="n"/>
      <c r="N381" s="22">
        <f>IF(C381="","",IF(ISNUMBER(I381),I381,IF(ISNUMBER(H381),H381,"")))</f>
        <v/>
      </c>
      <c r="O381" s="23">
        <f>IF(OR(C381="",NOT(ISNUMBER(G381))),"",(TODAY()-INT(G381))/365.25)</f>
        <v/>
      </c>
      <c r="P381" s="13">
        <f>IF(OR(C381="",NOT(ISNUMBER(L381))),"",IF(L381&lt;TODAY(),"Ended",IF(L381-TODAY()&lt;=N(Settings!$C$10),"Ends soon","Covered")))</f>
        <v/>
      </c>
      <c r="Q381" s="13">
        <f>IF(C381="","",MID(IF(N381="",", value","")&amp;IF(OR(J381="",J381="No"),", receipt","")&amp;IF(K381="",", photo",""),3,100))</f>
        <v/>
      </c>
      <c r="R381" s="13">
        <f>IF(AND(B381="",C381=""),"",IF(C381="","Needs the item",IF(B381="","Needs a room",IF(COUNTIF(Rooms!$B$6:$B$35,B381)=0,"Not on Rooms",IF(AND(H381&lt;&gt;"",NOT(ISNUMBER(H381))),"Paid not a number",IF(AND(I381&lt;&gt;"",NOT(ISNUMBER(I381))),"Worth not a number",IF(AND(G381&lt;&gt;"",NOT(ISNUMBER(G381))),"Bought is not a date",IF(AND(L381&lt;&gt;"",NOT(ISNUMBER(L381))),"Warranty is not a date",""))))))))</f>
        <v/>
      </c>
      <c r="S381" s="1">
        <f>IF(AND(C381&lt;&gt;"",R381=""),1,0)</f>
        <v/>
      </c>
      <c r="T381">
        <f>IF(S381=1,N(N381),0)</f>
        <v/>
      </c>
      <c r="U381">
        <f>IF(AND(S381=1,T381&gt;0),ROUND(T381*100,0)*10000+10000-ROW(),"")</f>
        <v/>
      </c>
      <c r="V381">
        <f>IF(AND(S381=1,OR(Report!$C$5="",B381=Report!$C$5)),MATCH(B381,Rooms!$B$6:$B$35,0)*10000+ROW(),"")</f>
        <v/>
      </c>
      <c r="W381">
        <f>IF(AND(S381=1,OR(J381="",J381="No")),1,0)</f>
        <v/>
      </c>
      <c r="X381">
        <f>IF(AND(S381=1,K381=""),1,0)</f>
        <v/>
      </c>
      <c r="Y381">
        <f>IF(AND(S381=1,Q381&lt;&gt;""),ROUND(T381*100,0)*10000+10000-ROW(),"")</f>
        <v/>
      </c>
    </row>
    <row r="382">
      <c r="A382" s="1" t="n"/>
      <c r="B382" s="17" t="n"/>
      <c r="C382" s="18" t="n"/>
      <c r="D382" s="17" t="n"/>
      <c r="E382" s="19" t="n"/>
      <c r="F382" s="19" t="n"/>
      <c r="G382" s="20" t="n"/>
      <c r="H382" s="21" t="n"/>
      <c r="I382" s="21" t="n"/>
      <c r="J382" s="17" t="n"/>
      <c r="K382" s="19" t="n"/>
      <c r="L382" s="20" t="n"/>
      <c r="M382" s="19" t="n"/>
      <c r="N382" s="22">
        <f>IF(C382="","",IF(ISNUMBER(I382),I382,IF(ISNUMBER(H382),H382,"")))</f>
        <v/>
      </c>
      <c r="O382" s="23">
        <f>IF(OR(C382="",NOT(ISNUMBER(G382))),"",(TODAY()-INT(G382))/365.25)</f>
        <v/>
      </c>
      <c r="P382" s="13">
        <f>IF(OR(C382="",NOT(ISNUMBER(L382))),"",IF(L382&lt;TODAY(),"Ended",IF(L382-TODAY()&lt;=N(Settings!$C$10),"Ends soon","Covered")))</f>
        <v/>
      </c>
      <c r="Q382" s="13">
        <f>IF(C382="","",MID(IF(N382="",", value","")&amp;IF(OR(J382="",J382="No"),", receipt","")&amp;IF(K382="",", photo",""),3,100))</f>
        <v/>
      </c>
      <c r="R382" s="13">
        <f>IF(AND(B382="",C382=""),"",IF(C382="","Needs the item",IF(B382="","Needs a room",IF(COUNTIF(Rooms!$B$6:$B$35,B382)=0,"Not on Rooms",IF(AND(H382&lt;&gt;"",NOT(ISNUMBER(H382))),"Paid not a number",IF(AND(I382&lt;&gt;"",NOT(ISNUMBER(I382))),"Worth not a number",IF(AND(G382&lt;&gt;"",NOT(ISNUMBER(G382))),"Bought is not a date",IF(AND(L382&lt;&gt;"",NOT(ISNUMBER(L382))),"Warranty is not a date",""))))))))</f>
        <v/>
      </c>
      <c r="S382" s="1">
        <f>IF(AND(C382&lt;&gt;"",R382=""),1,0)</f>
        <v/>
      </c>
      <c r="T382">
        <f>IF(S382=1,N(N382),0)</f>
        <v/>
      </c>
      <c r="U382">
        <f>IF(AND(S382=1,T382&gt;0),ROUND(T382*100,0)*10000+10000-ROW(),"")</f>
        <v/>
      </c>
      <c r="V382">
        <f>IF(AND(S382=1,OR(Report!$C$5="",B382=Report!$C$5)),MATCH(B382,Rooms!$B$6:$B$35,0)*10000+ROW(),"")</f>
        <v/>
      </c>
      <c r="W382">
        <f>IF(AND(S382=1,OR(J382="",J382="No")),1,0)</f>
        <v/>
      </c>
      <c r="X382">
        <f>IF(AND(S382=1,K382=""),1,0)</f>
        <v/>
      </c>
      <c r="Y382">
        <f>IF(AND(S382=1,Q382&lt;&gt;""),ROUND(T382*100,0)*10000+10000-ROW(),"")</f>
        <v/>
      </c>
    </row>
    <row r="383">
      <c r="A383" s="1" t="n"/>
      <c r="B383" s="17" t="n"/>
      <c r="C383" s="18" t="n"/>
      <c r="D383" s="17" t="n"/>
      <c r="E383" s="19" t="n"/>
      <c r="F383" s="19" t="n"/>
      <c r="G383" s="20" t="n"/>
      <c r="H383" s="21" t="n"/>
      <c r="I383" s="21" t="n"/>
      <c r="J383" s="17" t="n"/>
      <c r="K383" s="19" t="n"/>
      <c r="L383" s="20" t="n"/>
      <c r="M383" s="19" t="n"/>
      <c r="N383" s="22">
        <f>IF(C383="","",IF(ISNUMBER(I383),I383,IF(ISNUMBER(H383),H383,"")))</f>
        <v/>
      </c>
      <c r="O383" s="23">
        <f>IF(OR(C383="",NOT(ISNUMBER(G383))),"",(TODAY()-INT(G383))/365.25)</f>
        <v/>
      </c>
      <c r="P383" s="13">
        <f>IF(OR(C383="",NOT(ISNUMBER(L383))),"",IF(L383&lt;TODAY(),"Ended",IF(L383-TODAY()&lt;=N(Settings!$C$10),"Ends soon","Covered")))</f>
        <v/>
      </c>
      <c r="Q383" s="13">
        <f>IF(C383="","",MID(IF(N383="",", value","")&amp;IF(OR(J383="",J383="No"),", receipt","")&amp;IF(K383="",", photo",""),3,100))</f>
        <v/>
      </c>
      <c r="R383" s="13">
        <f>IF(AND(B383="",C383=""),"",IF(C383="","Needs the item",IF(B383="","Needs a room",IF(COUNTIF(Rooms!$B$6:$B$35,B383)=0,"Not on Rooms",IF(AND(H383&lt;&gt;"",NOT(ISNUMBER(H383))),"Paid not a number",IF(AND(I383&lt;&gt;"",NOT(ISNUMBER(I383))),"Worth not a number",IF(AND(G383&lt;&gt;"",NOT(ISNUMBER(G383))),"Bought is not a date",IF(AND(L383&lt;&gt;"",NOT(ISNUMBER(L383))),"Warranty is not a date",""))))))))</f>
        <v/>
      </c>
      <c r="S383" s="1">
        <f>IF(AND(C383&lt;&gt;"",R383=""),1,0)</f>
        <v/>
      </c>
      <c r="T383">
        <f>IF(S383=1,N(N383),0)</f>
        <v/>
      </c>
      <c r="U383">
        <f>IF(AND(S383=1,T383&gt;0),ROUND(T383*100,0)*10000+10000-ROW(),"")</f>
        <v/>
      </c>
      <c r="V383">
        <f>IF(AND(S383=1,OR(Report!$C$5="",B383=Report!$C$5)),MATCH(B383,Rooms!$B$6:$B$35,0)*10000+ROW(),"")</f>
        <v/>
      </c>
      <c r="W383">
        <f>IF(AND(S383=1,OR(J383="",J383="No")),1,0)</f>
        <v/>
      </c>
      <c r="X383">
        <f>IF(AND(S383=1,K383=""),1,0)</f>
        <v/>
      </c>
      <c r="Y383">
        <f>IF(AND(S383=1,Q383&lt;&gt;""),ROUND(T383*100,0)*10000+10000-ROW(),"")</f>
        <v/>
      </c>
    </row>
    <row r="384">
      <c r="A384" s="1" t="n"/>
      <c r="B384" s="17" t="n"/>
      <c r="C384" s="18" t="n"/>
      <c r="D384" s="17" t="n"/>
      <c r="E384" s="19" t="n"/>
      <c r="F384" s="19" t="n"/>
      <c r="G384" s="20" t="n"/>
      <c r="H384" s="21" t="n"/>
      <c r="I384" s="21" t="n"/>
      <c r="J384" s="17" t="n"/>
      <c r="K384" s="19" t="n"/>
      <c r="L384" s="20" t="n"/>
      <c r="M384" s="19" t="n"/>
      <c r="N384" s="22">
        <f>IF(C384="","",IF(ISNUMBER(I384),I384,IF(ISNUMBER(H384),H384,"")))</f>
        <v/>
      </c>
      <c r="O384" s="23">
        <f>IF(OR(C384="",NOT(ISNUMBER(G384))),"",(TODAY()-INT(G384))/365.25)</f>
        <v/>
      </c>
      <c r="P384" s="13">
        <f>IF(OR(C384="",NOT(ISNUMBER(L384))),"",IF(L384&lt;TODAY(),"Ended",IF(L384-TODAY()&lt;=N(Settings!$C$10),"Ends soon","Covered")))</f>
        <v/>
      </c>
      <c r="Q384" s="13">
        <f>IF(C384="","",MID(IF(N384="",", value","")&amp;IF(OR(J384="",J384="No"),", receipt","")&amp;IF(K384="",", photo",""),3,100))</f>
        <v/>
      </c>
      <c r="R384" s="13">
        <f>IF(AND(B384="",C384=""),"",IF(C384="","Needs the item",IF(B384="","Needs a room",IF(COUNTIF(Rooms!$B$6:$B$35,B384)=0,"Not on Rooms",IF(AND(H384&lt;&gt;"",NOT(ISNUMBER(H384))),"Paid not a number",IF(AND(I384&lt;&gt;"",NOT(ISNUMBER(I384))),"Worth not a number",IF(AND(G384&lt;&gt;"",NOT(ISNUMBER(G384))),"Bought is not a date",IF(AND(L384&lt;&gt;"",NOT(ISNUMBER(L384))),"Warranty is not a date",""))))))))</f>
        <v/>
      </c>
      <c r="S384" s="1">
        <f>IF(AND(C384&lt;&gt;"",R384=""),1,0)</f>
        <v/>
      </c>
      <c r="T384">
        <f>IF(S384=1,N(N384),0)</f>
        <v/>
      </c>
      <c r="U384">
        <f>IF(AND(S384=1,T384&gt;0),ROUND(T384*100,0)*10000+10000-ROW(),"")</f>
        <v/>
      </c>
      <c r="V384">
        <f>IF(AND(S384=1,OR(Report!$C$5="",B384=Report!$C$5)),MATCH(B384,Rooms!$B$6:$B$35,0)*10000+ROW(),"")</f>
        <v/>
      </c>
      <c r="W384">
        <f>IF(AND(S384=1,OR(J384="",J384="No")),1,0)</f>
        <v/>
      </c>
      <c r="X384">
        <f>IF(AND(S384=1,K384=""),1,0)</f>
        <v/>
      </c>
      <c r="Y384">
        <f>IF(AND(S384=1,Q384&lt;&gt;""),ROUND(T384*100,0)*10000+10000-ROW(),"")</f>
        <v/>
      </c>
    </row>
    <row r="385">
      <c r="A385" s="1" t="n"/>
      <c r="B385" s="17" t="n"/>
      <c r="C385" s="18" t="n"/>
      <c r="D385" s="17" t="n"/>
      <c r="E385" s="19" t="n"/>
      <c r="F385" s="19" t="n"/>
      <c r="G385" s="20" t="n"/>
      <c r="H385" s="21" t="n"/>
      <c r="I385" s="21" t="n"/>
      <c r="J385" s="17" t="n"/>
      <c r="K385" s="19" t="n"/>
      <c r="L385" s="20" t="n"/>
      <c r="M385" s="19" t="n"/>
      <c r="N385" s="22">
        <f>IF(C385="","",IF(ISNUMBER(I385),I385,IF(ISNUMBER(H385),H385,"")))</f>
        <v/>
      </c>
      <c r="O385" s="23">
        <f>IF(OR(C385="",NOT(ISNUMBER(G385))),"",(TODAY()-INT(G385))/365.25)</f>
        <v/>
      </c>
      <c r="P385" s="13">
        <f>IF(OR(C385="",NOT(ISNUMBER(L385))),"",IF(L385&lt;TODAY(),"Ended",IF(L385-TODAY()&lt;=N(Settings!$C$10),"Ends soon","Covered")))</f>
        <v/>
      </c>
      <c r="Q385" s="13">
        <f>IF(C385="","",MID(IF(N385="",", value","")&amp;IF(OR(J385="",J385="No"),", receipt","")&amp;IF(K385="",", photo",""),3,100))</f>
        <v/>
      </c>
      <c r="R385" s="13">
        <f>IF(AND(B385="",C385=""),"",IF(C385="","Needs the item",IF(B385="","Needs a room",IF(COUNTIF(Rooms!$B$6:$B$35,B385)=0,"Not on Rooms",IF(AND(H385&lt;&gt;"",NOT(ISNUMBER(H385))),"Paid not a number",IF(AND(I385&lt;&gt;"",NOT(ISNUMBER(I385))),"Worth not a number",IF(AND(G385&lt;&gt;"",NOT(ISNUMBER(G385))),"Bought is not a date",IF(AND(L385&lt;&gt;"",NOT(ISNUMBER(L385))),"Warranty is not a date",""))))))))</f>
        <v/>
      </c>
      <c r="S385" s="1">
        <f>IF(AND(C385&lt;&gt;"",R385=""),1,0)</f>
        <v/>
      </c>
      <c r="T385">
        <f>IF(S385=1,N(N385),0)</f>
        <v/>
      </c>
      <c r="U385">
        <f>IF(AND(S385=1,T385&gt;0),ROUND(T385*100,0)*10000+10000-ROW(),"")</f>
        <v/>
      </c>
      <c r="V385">
        <f>IF(AND(S385=1,OR(Report!$C$5="",B385=Report!$C$5)),MATCH(B385,Rooms!$B$6:$B$35,0)*10000+ROW(),"")</f>
        <v/>
      </c>
      <c r="W385">
        <f>IF(AND(S385=1,OR(J385="",J385="No")),1,0)</f>
        <v/>
      </c>
      <c r="X385">
        <f>IF(AND(S385=1,K385=""),1,0)</f>
        <v/>
      </c>
      <c r="Y385">
        <f>IF(AND(S385=1,Q385&lt;&gt;""),ROUND(T385*100,0)*10000+10000-ROW(),"")</f>
        <v/>
      </c>
    </row>
    <row r="386">
      <c r="A386" s="1" t="n"/>
      <c r="B386" s="17" t="n"/>
      <c r="C386" s="18" t="n"/>
      <c r="D386" s="17" t="n"/>
      <c r="E386" s="19" t="n"/>
      <c r="F386" s="19" t="n"/>
      <c r="G386" s="20" t="n"/>
      <c r="H386" s="21" t="n"/>
      <c r="I386" s="21" t="n"/>
      <c r="J386" s="17" t="n"/>
      <c r="K386" s="19" t="n"/>
      <c r="L386" s="20" t="n"/>
      <c r="M386" s="19" t="n"/>
      <c r="N386" s="22">
        <f>IF(C386="","",IF(ISNUMBER(I386),I386,IF(ISNUMBER(H386),H386,"")))</f>
        <v/>
      </c>
      <c r="O386" s="23">
        <f>IF(OR(C386="",NOT(ISNUMBER(G386))),"",(TODAY()-INT(G386))/365.25)</f>
        <v/>
      </c>
      <c r="P386" s="13">
        <f>IF(OR(C386="",NOT(ISNUMBER(L386))),"",IF(L386&lt;TODAY(),"Ended",IF(L386-TODAY()&lt;=N(Settings!$C$10),"Ends soon","Covered")))</f>
        <v/>
      </c>
      <c r="Q386" s="13">
        <f>IF(C386="","",MID(IF(N386="",", value","")&amp;IF(OR(J386="",J386="No"),", receipt","")&amp;IF(K386="",", photo",""),3,100))</f>
        <v/>
      </c>
      <c r="R386" s="13">
        <f>IF(AND(B386="",C386=""),"",IF(C386="","Needs the item",IF(B386="","Needs a room",IF(COUNTIF(Rooms!$B$6:$B$35,B386)=0,"Not on Rooms",IF(AND(H386&lt;&gt;"",NOT(ISNUMBER(H386))),"Paid not a number",IF(AND(I386&lt;&gt;"",NOT(ISNUMBER(I386))),"Worth not a number",IF(AND(G386&lt;&gt;"",NOT(ISNUMBER(G386))),"Bought is not a date",IF(AND(L386&lt;&gt;"",NOT(ISNUMBER(L386))),"Warranty is not a date",""))))))))</f>
        <v/>
      </c>
      <c r="S386" s="1">
        <f>IF(AND(C386&lt;&gt;"",R386=""),1,0)</f>
        <v/>
      </c>
      <c r="T386">
        <f>IF(S386=1,N(N386),0)</f>
        <v/>
      </c>
      <c r="U386">
        <f>IF(AND(S386=1,T386&gt;0),ROUND(T386*100,0)*10000+10000-ROW(),"")</f>
        <v/>
      </c>
      <c r="V386">
        <f>IF(AND(S386=1,OR(Report!$C$5="",B386=Report!$C$5)),MATCH(B386,Rooms!$B$6:$B$35,0)*10000+ROW(),"")</f>
        <v/>
      </c>
      <c r="W386">
        <f>IF(AND(S386=1,OR(J386="",J386="No")),1,0)</f>
        <v/>
      </c>
      <c r="X386">
        <f>IF(AND(S386=1,K386=""),1,0)</f>
        <v/>
      </c>
      <c r="Y386">
        <f>IF(AND(S386=1,Q386&lt;&gt;""),ROUND(T386*100,0)*10000+10000-ROW(),"")</f>
        <v/>
      </c>
    </row>
    <row r="387">
      <c r="A387" s="1" t="n"/>
      <c r="B387" s="17" t="n"/>
      <c r="C387" s="18" t="n"/>
      <c r="D387" s="17" t="n"/>
      <c r="E387" s="19" t="n"/>
      <c r="F387" s="19" t="n"/>
      <c r="G387" s="20" t="n"/>
      <c r="H387" s="21" t="n"/>
      <c r="I387" s="21" t="n"/>
      <c r="J387" s="17" t="n"/>
      <c r="K387" s="19" t="n"/>
      <c r="L387" s="20" t="n"/>
      <c r="M387" s="19" t="n"/>
      <c r="N387" s="22">
        <f>IF(C387="","",IF(ISNUMBER(I387),I387,IF(ISNUMBER(H387),H387,"")))</f>
        <v/>
      </c>
      <c r="O387" s="23">
        <f>IF(OR(C387="",NOT(ISNUMBER(G387))),"",(TODAY()-INT(G387))/365.25)</f>
        <v/>
      </c>
      <c r="P387" s="13">
        <f>IF(OR(C387="",NOT(ISNUMBER(L387))),"",IF(L387&lt;TODAY(),"Ended",IF(L387-TODAY()&lt;=N(Settings!$C$10),"Ends soon","Covered")))</f>
        <v/>
      </c>
      <c r="Q387" s="13">
        <f>IF(C387="","",MID(IF(N387="",", value","")&amp;IF(OR(J387="",J387="No"),", receipt","")&amp;IF(K387="",", photo",""),3,100))</f>
        <v/>
      </c>
      <c r="R387" s="13">
        <f>IF(AND(B387="",C387=""),"",IF(C387="","Needs the item",IF(B387="","Needs a room",IF(COUNTIF(Rooms!$B$6:$B$35,B387)=0,"Not on Rooms",IF(AND(H387&lt;&gt;"",NOT(ISNUMBER(H387))),"Paid not a number",IF(AND(I387&lt;&gt;"",NOT(ISNUMBER(I387))),"Worth not a number",IF(AND(G387&lt;&gt;"",NOT(ISNUMBER(G387))),"Bought is not a date",IF(AND(L387&lt;&gt;"",NOT(ISNUMBER(L387))),"Warranty is not a date",""))))))))</f>
        <v/>
      </c>
      <c r="S387" s="1">
        <f>IF(AND(C387&lt;&gt;"",R387=""),1,0)</f>
        <v/>
      </c>
      <c r="T387">
        <f>IF(S387=1,N(N387),0)</f>
        <v/>
      </c>
      <c r="U387">
        <f>IF(AND(S387=1,T387&gt;0),ROUND(T387*100,0)*10000+10000-ROW(),"")</f>
        <v/>
      </c>
      <c r="V387">
        <f>IF(AND(S387=1,OR(Report!$C$5="",B387=Report!$C$5)),MATCH(B387,Rooms!$B$6:$B$35,0)*10000+ROW(),"")</f>
        <v/>
      </c>
      <c r="W387">
        <f>IF(AND(S387=1,OR(J387="",J387="No")),1,0)</f>
        <v/>
      </c>
      <c r="X387">
        <f>IF(AND(S387=1,K387=""),1,0)</f>
        <v/>
      </c>
      <c r="Y387">
        <f>IF(AND(S387=1,Q387&lt;&gt;""),ROUND(T387*100,0)*10000+10000-ROW(),"")</f>
        <v/>
      </c>
    </row>
    <row r="388">
      <c r="A388" s="1" t="n"/>
      <c r="B388" s="17" t="n"/>
      <c r="C388" s="18" t="n"/>
      <c r="D388" s="17" t="n"/>
      <c r="E388" s="19" t="n"/>
      <c r="F388" s="19" t="n"/>
      <c r="G388" s="20" t="n"/>
      <c r="H388" s="21" t="n"/>
      <c r="I388" s="21" t="n"/>
      <c r="J388" s="17" t="n"/>
      <c r="K388" s="19" t="n"/>
      <c r="L388" s="20" t="n"/>
      <c r="M388" s="19" t="n"/>
      <c r="N388" s="22">
        <f>IF(C388="","",IF(ISNUMBER(I388),I388,IF(ISNUMBER(H388),H388,"")))</f>
        <v/>
      </c>
      <c r="O388" s="23">
        <f>IF(OR(C388="",NOT(ISNUMBER(G388))),"",(TODAY()-INT(G388))/365.25)</f>
        <v/>
      </c>
      <c r="P388" s="13">
        <f>IF(OR(C388="",NOT(ISNUMBER(L388))),"",IF(L388&lt;TODAY(),"Ended",IF(L388-TODAY()&lt;=N(Settings!$C$10),"Ends soon","Covered")))</f>
        <v/>
      </c>
      <c r="Q388" s="13">
        <f>IF(C388="","",MID(IF(N388="",", value","")&amp;IF(OR(J388="",J388="No"),", receipt","")&amp;IF(K388="",", photo",""),3,100))</f>
        <v/>
      </c>
      <c r="R388" s="13">
        <f>IF(AND(B388="",C388=""),"",IF(C388="","Needs the item",IF(B388="","Needs a room",IF(COUNTIF(Rooms!$B$6:$B$35,B388)=0,"Not on Rooms",IF(AND(H388&lt;&gt;"",NOT(ISNUMBER(H388))),"Paid not a number",IF(AND(I388&lt;&gt;"",NOT(ISNUMBER(I388))),"Worth not a number",IF(AND(G388&lt;&gt;"",NOT(ISNUMBER(G388))),"Bought is not a date",IF(AND(L388&lt;&gt;"",NOT(ISNUMBER(L388))),"Warranty is not a date",""))))))))</f>
        <v/>
      </c>
      <c r="S388" s="1">
        <f>IF(AND(C388&lt;&gt;"",R388=""),1,0)</f>
        <v/>
      </c>
      <c r="T388">
        <f>IF(S388=1,N(N388),0)</f>
        <v/>
      </c>
      <c r="U388">
        <f>IF(AND(S388=1,T388&gt;0),ROUND(T388*100,0)*10000+10000-ROW(),"")</f>
        <v/>
      </c>
      <c r="V388">
        <f>IF(AND(S388=1,OR(Report!$C$5="",B388=Report!$C$5)),MATCH(B388,Rooms!$B$6:$B$35,0)*10000+ROW(),"")</f>
        <v/>
      </c>
      <c r="W388">
        <f>IF(AND(S388=1,OR(J388="",J388="No")),1,0)</f>
        <v/>
      </c>
      <c r="X388">
        <f>IF(AND(S388=1,K388=""),1,0)</f>
        <v/>
      </c>
      <c r="Y388">
        <f>IF(AND(S388=1,Q388&lt;&gt;""),ROUND(T388*100,0)*10000+10000-ROW(),"")</f>
        <v/>
      </c>
    </row>
    <row r="389">
      <c r="A389" s="1" t="n"/>
      <c r="B389" s="17" t="n"/>
      <c r="C389" s="18" t="n"/>
      <c r="D389" s="17" t="n"/>
      <c r="E389" s="19" t="n"/>
      <c r="F389" s="19" t="n"/>
      <c r="G389" s="20" t="n"/>
      <c r="H389" s="21" t="n"/>
      <c r="I389" s="21" t="n"/>
      <c r="J389" s="17" t="n"/>
      <c r="K389" s="19" t="n"/>
      <c r="L389" s="20" t="n"/>
      <c r="M389" s="19" t="n"/>
      <c r="N389" s="22">
        <f>IF(C389="","",IF(ISNUMBER(I389),I389,IF(ISNUMBER(H389),H389,"")))</f>
        <v/>
      </c>
      <c r="O389" s="23">
        <f>IF(OR(C389="",NOT(ISNUMBER(G389))),"",(TODAY()-INT(G389))/365.25)</f>
        <v/>
      </c>
      <c r="P389" s="13">
        <f>IF(OR(C389="",NOT(ISNUMBER(L389))),"",IF(L389&lt;TODAY(),"Ended",IF(L389-TODAY()&lt;=N(Settings!$C$10),"Ends soon","Covered")))</f>
        <v/>
      </c>
      <c r="Q389" s="13">
        <f>IF(C389="","",MID(IF(N389="",", value","")&amp;IF(OR(J389="",J389="No"),", receipt","")&amp;IF(K389="",", photo",""),3,100))</f>
        <v/>
      </c>
      <c r="R389" s="13">
        <f>IF(AND(B389="",C389=""),"",IF(C389="","Needs the item",IF(B389="","Needs a room",IF(COUNTIF(Rooms!$B$6:$B$35,B389)=0,"Not on Rooms",IF(AND(H389&lt;&gt;"",NOT(ISNUMBER(H389))),"Paid not a number",IF(AND(I389&lt;&gt;"",NOT(ISNUMBER(I389))),"Worth not a number",IF(AND(G389&lt;&gt;"",NOT(ISNUMBER(G389))),"Bought is not a date",IF(AND(L389&lt;&gt;"",NOT(ISNUMBER(L389))),"Warranty is not a date",""))))))))</f>
        <v/>
      </c>
      <c r="S389" s="1">
        <f>IF(AND(C389&lt;&gt;"",R389=""),1,0)</f>
        <v/>
      </c>
      <c r="T389">
        <f>IF(S389=1,N(N389),0)</f>
        <v/>
      </c>
      <c r="U389">
        <f>IF(AND(S389=1,T389&gt;0),ROUND(T389*100,0)*10000+10000-ROW(),"")</f>
        <v/>
      </c>
      <c r="V389">
        <f>IF(AND(S389=1,OR(Report!$C$5="",B389=Report!$C$5)),MATCH(B389,Rooms!$B$6:$B$35,0)*10000+ROW(),"")</f>
        <v/>
      </c>
      <c r="W389">
        <f>IF(AND(S389=1,OR(J389="",J389="No")),1,0)</f>
        <v/>
      </c>
      <c r="X389">
        <f>IF(AND(S389=1,K389=""),1,0)</f>
        <v/>
      </c>
      <c r="Y389">
        <f>IF(AND(S389=1,Q389&lt;&gt;""),ROUND(T389*100,0)*10000+10000-ROW(),"")</f>
        <v/>
      </c>
    </row>
    <row r="390">
      <c r="A390" s="1" t="n"/>
      <c r="B390" s="17" t="n"/>
      <c r="C390" s="18" t="n"/>
      <c r="D390" s="17" t="n"/>
      <c r="E390" s="19" t="n"/>
      <c r="F390" s="19" t="n"/>
      <c r="G390" s="20" t="n"/>
      <c r="H390" s="21" t="n"/>
      <c r="I390" s="21" t="n"/>
      <c r="J390" s="17" t="n"/>
      <c r="K390" s="19" t="n"/>
      <c r="L390" s="20" t="n"/>
      <c r="M390" s="19" t="n"/>
      <c r="N390" s="22">
        <f>IF(C390="","",IF(ISNUMBER(I390),I390,IF(ISNUMBER(H390),H390,"")))</f>
        <v/>
      </c>
      <c r="O390" s="23">
        <f>IF(OR(C390="",NOT(ISNUMBER(G390))),"",(TODAY()-INT(G390))/365.25)</f>
        <v/>
      </c>
      <c r="P390" s="13">
        <f>IF(OR(C390="",NOT(ISNUMBER(L390))),"",IF(L390&lt;TODAY(),"Ended",IF(L390-TODAY()&lt;=N(Settings!$C$10),"Ends soon","Covered")))</f>
        <v/>
      </c>
      <c r="Q390" s="13">
        <f>IF(C390="","",MID(IF(N390="",", value","")&amp;IF(OR(J390="",J390="No"),", receipt","")&amp;IF(K390="",", photo",""),3,100))</f>
        <v/>
      </c>
      <c r="R390" s="13">
        <f>IF(AND(B390="",C390=""),"",IF(C390="","Needs the item",IF(B390="","Needs a room",IF(COUNTIF(Rooms!$B$6:$B$35,B390)=0,"Not on Rooms",IF(AND(H390&lt;&gt;"",NOT(ISNUMBER(H390))),"Paid not a number",IF(AND(I390&lt;&gt;"",NOT(ISNUMBER(I390))),"Worth not a number",IF(AND(G390&lt;&gt;"",NOT(ISNUMBER(G390))),"Bought is not a date",IF(AND(L390&lt;&gt;"",NOT(ISNUMBER(L390))),"Warranty is not a date",""))))))))</f>
        <v/>
      </c>
      <c r="S390" s="1">
        <f>IF(AND(C390&lt;&gt;"",R390=""),1,0)</f>
        <v/>
      </c>
      <c r="T390">
        <f>IF(S390=1,N(N390),0)</f>
        <v/>
      </c>
      <c r="U390">
        <f>IF(AND(S390=1,T390&gt;0),ROUND(T390*100,0)*10000+10000-ROW(),"")</f>
        <v/>
      </c>
      <c r="V390">
        <f>IF(AND(S390=1,OR(Report!$C$5="",B390=Report!$C$5)),MATCH(B390,Rooms!$B$6:$B$35,0)*10000+ROW(),"")</f>
        <v/>
      </c>
      <c r="W390">
        <f>IF(AND(S390=1,OR(J390="",J390="No")),1,0)</f>
        <v/>
      </c>
      <c r="X390">
        <f>IF(AND(S390=1,K390=""),1,0)</f>
        <v/>
      </c>
      <c r="Y390">
        <f>IF(AND(S390=1,Q390&lt;&gt;""),ROUND(T390*100,0)*10000+10000-ROW(),"")</f>
        <v/>
      </c>
    </row>
    <row r="391">
      <c r="A391" s="1" t="n"/>
      <c r="B391" s="17" t="n"/>
      <c r="C391" s="18" t="n"/>
      <c r="D391" s="17" t="n"/>
      <c r="E391" s="19" t="n"/>
      <c r="F391" s="19" t="n"/>
      <c r="G391" s="20" t="n"/>
      <c r="H391" s="21" t="n"/>
      <c r="I391" s="21" t="n"/>
      <c r="J391" s="17" t="n"/>
      <c r="K391" s="19" t="n"/>
      <c r="L391" s="20" t="n"/>
      <c r="M391" s="19" t="n"/>
      <c r="N391" s="22">
        <f>IF(C391="","",IF(ISNUMBER(I391),I391,IF(ISNUMBER(H391),H391,"")))</f>
        <v/>
      </c>
      <c r="O391" s="23">
        <f>IF(OR(C391="",NOT(ISNUMBER(G391))),"",(TODAY()-INT(G391))/365.25)</f>
        <v/>
      </c>
      <c r="P391" s="13">
        <f>IF(OR(C391="",NOT(ISNUMBER(L391))),"",IF(L391&lt;TODAY(),"Ended",IF(L391-TODAY()&lt;=N(Settings!$C$10),"Ends soon","Covered")))</f>
        <v/>
      </c>
      <c r="Q391" s="13">
        <f>IF(C391="","",MID(IF(N391="",", value","")&amp;IF(OR(J391="",J391="No"),", receipt","")&amp;IF(K391="",", photo",""),3,100))</f>
        <v/>
      </c>
      <c r="R391" s="13">
        <f>IF(AND(B391="",C391=""),"",IF(C391="","Needs the item",IF(B391="","Needs a room",IF(COUNTIF(Rooms!$B$6:$B$35,B391)=0,"Not on Rooms",IF(AND(H391&lt;&gt;"",NOT(ISNUMBER(H391))),"Paid not a number",IF(AND(I391&lt;&gt;"",NOT(ISNUMBER(I391))),"Worth not a number",IF(AND(G391&lt;&gt;"",NOT(ISNUMBER(G391))),"Bought is not a date",IF(AND(L391&lt;&gt;"",NOT(ISNUMBER(L391))),"Warranty is not a date",""))))))))</f>
        <v/>
      </c>
      <c r="S391" s="1">
        <f>IF(AND(C391&lt;&gt;"",R391=""),1,0)</f>
        <v/>
      </c>
      <c r="T391">
        <f>IF(S391=1,N(N391),0)</f>
        <v/>
      </c>
      <c r="U391">
        <f>IF(AND(S391=1,T391&gt;0),ROUND(T391*100,0)*10000+10000-ROW(),"")</f>
        <v/>
      </c>
      <c r="V391">
        <f>IF(AND(S391=1,OR(Report!$C$5="",B391=Report!$C$5)),MATCH(B391,Rooms!$B$6:$B$35,0)*10000+ROW(),"")</f>
        <v/>
      </c>
      <c r="W391">
        <f>IF(AND(S391=1,OR(J391="",J391="No")),1,0)</f>
        <v/>
      </c>
      <c r="X391">
        <f>IF(AND(S391=1,K391=""),1,0)</f>
        <v/>
      </c>
      <c r="Y391">
        <f>IF(AND(S391=1,Q391&lt;&gt;""),ROUND(T391*100,0)*10000+10000-ROW(),"")</f>
        <v/>
      </c>
    </row>
    <row r="392">
      <c r="A392" s="1" t="n"/>
      <c r="B392" s="17" t="n"/>
      <c r="C392" s="18" t="n"/>
      <c r="D392" s="17" t="n"/>
      <c r="E392" s="19" t="n"/>
      <c r="F392" s="19" t="n"/>
      <c r="G392" s="20" t="n"/>
      <c r="H392" s="21" t="n"/>
      <c r="I392" s="21" t="n"/>
      <c r="J392" s="17" t="n"/>
      <c r="K392" s="19" t="n"/>
      <c r="L392" s="20" t="n"/>
      <c r="M392" s="19" t="n"/>
      <c r="N392" s="22">
        <f>IF(C392="","",IF(ISNUMBER(I392),I392,IF(ISNUMBER(H392),H392,"")))</f>
        <v/>
      </c>
      <c r="O392" s="23">
        <f>IF(OR(C392="",NOT(ISNUMBER(G392))),"",(TODAY()-INT(G392))/365.25)</f>
        <v/>
      </c>
      <c r="P392" s="13">
        <f>IF(OR(C392="",NOT(ISNUMBER(L392))),"",IF(L392&lt;TODAY(),"Ended",IF(L392-TODAY()&lt;=N(Settings!$C$10),"Ends soon","Covered")))</f>
        <v/>
      </c>
      <c r="Q392" s="13">
        <f>IF(C392="","",MID(IF(N392="",", value","")&amp;IF(OR(J392="",J392="No"),", receipt","")&amp;IF(K392="",", photo",""),3,100))</f>
        <v/>
      </c>
      <c r="R392" s="13">
        <f>IF(AND(B392="",C392=""),"",IF(C392="","Needs the item",IF(B392="","Needs a room",IF(COUNTIF(Rooms!$B$6:$B$35,B392)=0,"Not on Rooms",IF(AND(H392&lt;&gt;"",NOT(ISNUMBER(H392))),"Paid not a number",IF(AND(I392&lt;&gt;"",NOT(ISNUMBER(I392))),"Worth not a number",IF(AND(G392&lt;&gt;"",NOT(ISNUMBER(G392))),"Bought is not a date",IF(AND(L392&lt;&gt;"",NOT(ISNUMBER(L392))),"Warranty is not a date",""))))))))</f>
        <v/>
      </c>
      <c r="S392" s="1">
        <f>IF(AND(C392&lt;&gt;"",R392=""),1,0)</f>
        <v/>
      </c>
      <c r="T392">
        <f>IF(S392=1,N(N392),0)</f>
        <v/>
      </c>
      <c r="U392">
        <f>IF(AND(S392=1,T392&gt;0),ROUND(T392*100,0)*10000+10000-ROW(),"")</f>
        <v/>
      </c>
      <c r="V392">
        <f>IF(AND(S392=1,OR(Report!$C$5="",B392=Report!$C$5)),MATCH(B392,Rooms!$B$6:$B$35,0)*10000+ROW(),"")</f>
        <v/>
      </c>
      <c r="W392">
        <f>IF(AND(S392=1,OR(J392="",J392="No")),1,0)</f>
        <v/>
      </c>
      <c r="X392">
        <f>IF(AND(S392=1,K392=""),1,0)</f>
        <v/>
      </c>
      <c r="Y392">
        <f>IF(AND(S392=1,Q392&lt;&gt;""),ROUND(T392*100,0)*10000+10000-ROW(),"")</f>
        <v/>
      </c>
    </row>
    <row r="393">
      <c r="A393" s="1" t="n"/>
      <c r="B393" s="17" t="n"/>
      <c r="C393" s="18" t="n"/>
      <c r="D393" s="17" t="n"/>
      <c r="E393" s="19" t="n"/>
      <c r="F393" s="19" t="n"/>
      <c r="G393" s="20" t="n"/>
      <c r="H393" s="21" t="n"/>
      <c r="I393" s="21" t="n"/>
      <c r="J393" s="17" t="n"/>
      <c r="K393" s="19" t="n"/>
      <c r="L393" s="20" t="n"/>
      <c r="M393" s="19" t="n"/>
      <c r="N393" s="22">
        <f>IF(C393="","",IF(ISNUMBER(I393),I393,IF(ISNUMBER(H393),H393,"")))</f>
        <v/>
      </c>
      <c r="O393" s="23">
        <f>IF(OR(C393="",NOT(ISNUMBER(G393))),"",(TODAY()-INT(G393))/365.25)</f>
        <v/>
      </c>
      <c r="P393" s="13">
        <f>IF(OR(C393="",NOT(ISNUMBER(L393))),"",IF(L393&lt;TODAY(),"Ended",IF(L393-TODAY()&lt;=N(Settings!$C$10),"Ends soon","Covered")))</f>
        <v/>
      </c>
      <c r="Q393" s="13">
        <f>IF(C393="","",MID(IF(N393="",", value","")&amp;IF(OR(J393="",J393="No"),", receipt","")&amp;IF(K393="",", photo",""),3,100))</f>
        <v/>
      </c>
      <c r="R393" s="13">
        <f>IF(AND(B393="",C393=""),"",IF(C393="","Needs the item",IF(B393="","Needs a room",IF(COUNTIF(Rooms!$B$6:$B$35,B393)=0,"Not on Rooms",IF(AND(H393&lt;&gt;"",NOT(ISNUMBER(H393))),"Paid not a number",IF(AND(I393&lt;&gt;"",NOT(ISNUMBER(I393))),"Worth not a number",IF(AND(G393&lt;&gt;"",NOT(ISNUMBER(G393))),"Bought is not a date",IF(AND(L393&lt;&gt;"",NOT(ISNUMBER(L393))),"Warranty is not a date",""))))))))</f>
        <v/>
      </c>
      <c r="S393" s="1">
        <f>IF(AND(C393&lt;&gt;"",R393=""),1,0)</f>
        <v/>
      </c>
      <c r="T393">
        <f>IF(S393=1,N(N393),0)</f>
        <v/>
      </c>
      <c r="U393">
        <f>IF(AND(S393=1,T393&gt;0),ROUND(T393*100,0)*10000+10000-ROW(),"")</f>
        <v/>
      </c>
      <c r="V393">
        <f>IF(AND(S393=1,OR(Report!$C$5="",B393=Report!$C$5)),MATCH(B393,Rooms!$B$6:$B$35,0)*10000+ROW(),"")</f>
        <v/>
      </c>
      <c r="W393">
        <f>IF(AND(S393=1,OR(J393="",J393="No")),1,0)</f>
        <v/>
      </c>
      <c r="X393">
        <f>IF(AND(S393=1,K393=""),1,0)</f>
        <v/>
      </c>
      <c r="Y393">
        <f>IF(AND(S393=1,Q393&lt;&gt;""),ROUND(T393*100,0)*10000+10000-ROW(),"")</f>
        <v/>
      </c>
    </row>
    <row r="394">
      <c r="A394" s="1" t="n"/>
      <c r="B394" s="17" t="n"/>
      <c r="C394" s="18" t="n"/>
      <c r="D394" s="17" t="n"/>
      <c r="E394" s="19" t="n"/>
      <c r="F394" s="19" t="n"/>
      <c r="G394" s="20" t="n"/>
      <c r="H394" s="21" t="n"/>
      <c r="I394" s="21" t="n"/>
      <c r="J394" s="17" t="n"/>
      <c r="K394" s="19" t="n"/>
      <c r="L394" s="20" t="n"/>
      <c r="M394" s="19" t="n"/>
      <c r="N394" s="22">
        <f>IF(C394="","",IF(ISNUMBER(I394),I394,IF(ISNUMBER(H394),H394,"")))</f>
        <v/>
      </c>
      <c r="O394" s="23">
        <f>IF(OR(C394="",NOT(ISNUMBER(G394))),"",(TODAY()-INT(G394))/365.25)</f>
        <v/>
      </c>
      <c r="P394" s="13">
        <f>IF(OR(C394="",NOT(ISNUMBER(L394))),"",IF(L394&lt;TODAY(),"Ended",IF(L394-TODAY()&lt;=N(Settings!$C$10),"Ends soon","Covered")))</f>
        <v/>
      </c>
      <c r="Q394" s="13">
        <f>IF(C394="","",MID(IF(N394="",", value","")&amp;IF(OR(J394="",J394="No"),", receipt","")&amp;IF(K394="",", photo",""),3,100))</f>
        <v/>
      </c>
      <c r="R394" s="13">
        <f>IF(AND(B394="",C394=""),"",IF(C394="","Needs the item",IF(B394="","Needs a room",IF(COUNTIF(Rooms!$B$6:$B$35,B394)=0,"Not on Rooms",IF(AND(H394&lt;&gt;"",NOT(ISNUMBER(H394))),"Paid not a number",IF(AND(I394&lt;&gt;"",NOT(ISNUMBER(I394))),"Worth not a number",IF(AND(G394&lt;&gt;"",NOT(ISNUMBER(G394))),"Bought is not a date",IF(AND(L394&lt;&gt;"",NOT(ISNUMBER(L394))),"Warranty is not a date",""))))))))</f>
        <v/>
      </c>
      <c r="S394" s="1">
        <f>IF(AND(C394&lt;&gt;"",R394=""),1,0)</f>
        <v/>
      </c>
      <c r="T394">
        <f>IF(S394=1,N(N394),0)</f>
        <v/>
      </c>
      <c r="U394">
        <f>IF(AND(S394=1,T394&gt;0),ROUND(T394*100,0)*10000+10000-ROW(),"")</f>
        <v/>
      </c>
      <c r="V394">
        <f>IF(AND(S394=1,OR(Report!$C$5="",B394=Report!$C$5)),MATCH(B394,Rooms!$B$6:$B$35,0)*10000+ROW(),"")</f>
        <v/>
      </c>
      <c r="W394">
        <f>IF(AND(S394=1,OR(J394="",J394="No")),1,0)</f>
        <v/>
      </c>
      <c r="X394">
        <f>IF(AND(S394=1,K394=""),1,0)</f>
        <v/>
      </c>
      <c r="Y394">
        <f>IF(AND(S394=1,Q394&lt;&gt;""),ROUND(T394*100,0)*10000+10000-ROW(),"")</f>
        <v/>
      </c>
    </row>
    <row r="395">
      <c r="A395" s="1" t="n"/>
      <c r="B395" s="17" t="n"/>
      <c r="C395" s="18" t="n"/>
      <c r="D395" s="17" t="n"/>
      <c r="E395" s="19" t="n"/>
      <c r="F395" s="19" t="n"/>
      <c r="G395" s="20" t="n"/>
      <c r="H395" s="21" t="n"/>
      <c r="I395" s="21" t="n"/>
      <c r="J395" s="17" t="n"/>
      <c r="K395" s="19" t="n"/>
      <c r="L395" s="20" t="n"/>
      <c r="M395" s="19" t="n"/>
      <c r="N395" s="22">
        <f>IF(C395="","",IF(ISNUMBER(I395),I395,IF(ISNUMBER(H395),H395,"")))</f>
        <v/>
      </c>
      <c r="O395" s="23">
        <f>IF(OR(C395="",NOT(ISNUMBER(G395))),"",(TODAY()-INT(G395))/365.25)</f>
        <v/>
      </c>
      <c r="P395" s="13">
        <f>IF(OR(C395="",NOT(ISNUMBER(L395))),"",IF(L395&lt;TODAY(),"Ended",IF(L395-TODAY()&lt;=N(Settings!$C$10),"Ends soon","Covered")))</f>
        <v/>
      </c>
      <c r="Q395" s="13">
        <f>IF(C395="","",MID(IF(N395="",", value","")&amp;IF(OR(J395="",J395="No"),", receipt","")&amp;IF(K395="",", photo",""),3,100))</f>
        <v/>
      </c>
      <c r="R395" s="13">
        <f>IF(AND(B395="",C395=""),"",IF(C395="","Needs the item",IF(B395="","Needs a room",IF(COUNTIF(Rooms!$B$6:$B$35,B395)=0,"Not on Rooms",IF(AND(H395&lt;&gt;"",NOT(ISNUMBER(H395))),"Paid not a number",IF(AND(I395&lt;&gt;"",NOT(ISNUMBER(I395))),"Worth not a number",IF(AND(G395&lt;&gt;"",NOT(ISNUMBER(G395))),"Bought is not a date",IF(AND(L395&lt;&gt;"",NOT(ISNUMBER(L395))),"Warranty is not a date",""))))))))</f>
        <v/>
      </c>
      <c r="S395" s="1">
        <f>IF(AND(C395&lt;&gt;"",R395=""),1,0)</f>
        <v/>
      </c>
      <c r="T395">
        <f>IF(S395=1,N(N395),0)</f>
        <v/>
      </c>
      <c r="U395">
        <f>IF(AND(S395=1,T395&gt;0),ROUND(T395*100,0)*10000+10000-ROW(),"")</f>
        <v/>
      </c>
      <c r="V395">
        <f>IF(AND(S395=1,OR(Report!$C$5="",B395=Report!$C$5)),MATCH(B395,Rooms!$B$6:$B$35,0)*10000+ROW(),"")</f>
        <v/>
      </c>
      <c r="W395">
        <f>IF(AND(S395=1,OR(J395="",J395="No")),1,0)</f>
        <v/>
      </c>
      <c r="X395">
        <f>IF(AND(S395=1,K395=""),1,0)</f>
        <v/>
      </c>
      <c r="Y395">
        <f>IF(AND(S395=1,Q395&lt;&gt;""),ROUND(T395*100,0)*10000+10000-ROW(),"")</f>
        <v/>
      </c>
    </row>
    <row r="396">
      <c r="A396" s="1" t="n"/>
      <c r="B396" s="17" t="n"/>
      <c r="C396" s="18" t="n"/>
      <c r="D396" s="17" t="n"/>
      <c r="E396" s="19" t="n"/>
      <c r="F396" s="19" t="n"/>
      <c r="G396" s="20" t="n"/>
      <c r="H396" s="21" t="n"/>
      <c r="I396" s="21" t="n"/>
      <c r="J396" s="17" t="n"/>
      <c r="K396" s="19" t="n"/>
      <c r="L396" s="20" t="n"/>
      <c r="M396" s="19" t="n"/>
      <c r="N396" s="22">
        <f>IF(C396="","",IF(ISNUMBER(I396),I396,IF(ISNUMBER(H396),H396,"")))</f>
        <v/>
      </c>
      <c r="O396" s="23">
        <f>IF(OR(C396="",NOT(ISNUMBER(G396))),"",(TODAY()-INT(G396))/365.25)</f>
        <v/>
      </c>
      <c r="P396" s="13">
        <f>IF(OR(C396="",NOT(ISNUMBER(L396))),"",IF(L396&lt;TODAY(),"Ended",IF(L396-TODAY()&lt;=N(Settings!$C$10),"Ends soon","Covered")))</f>
        <v/>
      </c>
      <c r="Q396" s="13">
        <f>IF(C396="","",MID(IF(N396="",", value","")&amp;IF(OR(J396="",J396="No"),", receipt","")&amp;IF(K396="",", photo",""),3,100))</f>
        <v/>
      </c>
      <c r="R396" s="13">
        <f>IF(AND(B396="",C396=""),"",IF(C396="","Needs the item",IF(B396="","Needs a room",IF(COUNTIF(Rooms!$B$6:$B$35,B396)=0,"Not on Rooms",IF(AND(H396&lt;&gt;"",NOT(ISNUMBER(H396))),"Paid not a number",IF(AND(I396&lt;&gt;"",NOT(ISNUMBER(I396))),"Worth not a number",IF(AND(G396&lt;&gt;"",NOT(ISNUMBER(G396))),"Bought is not a date",IF(AND(L396&lt;&gt;"",NOT(ISNUMBER(L396))),"Warranty is not a date",""))))))))</f>
        <v/>
      </c>
      <c r="S396" s="1">
        <f>IF(AND(C396&lt;&gt;"",R396=""),1,0)</f>
        <v/>
      </c>
      <c r="T396">
        <f>IF(S396=1,N(N396),0)</f>
        <v/>
      </c>
      <c r="U396">
        <f>IF(AND(S396=1,T396&gt;0),ROUND(T396*100,0)*10000+10000-ROW(),"")</f>
        <v/>
      </c>
      <c r="V396">
        <f>IF(AND(S396=1,OR(Report!$C$5="",B396=Report!$C$5)),MATCH(B396,Rooms!$B$6:$B$35,0)*10000+ROW(),"")</f>
        <v/>
      </c>
      <c r="W396">
        <f>IF(AND(S396=1,OR(J396="",J396="No")),1,0)</f>
        <v/>
      </c>
      <c r="X396">
        <f>IF(AND(S396=1,K396=""),1,0)</f>
        <v/>
      </c>
      <c r="Y396">
        <f>IF(AND(S396=1,Q396&lt;&gt;""),ROUND(T396*100,0)*10000+10000-ROW(),"")</f>
        <v/>
      </c>
    </row>
    <row r="397">
      <c r="A397" s="1" t="n"/>
      <c r="B397" s="17" t="n"/>
      <c r="C397" s="18" t="n"/>
      <c r="D397" s="17" t="n"/>
      <c r="E397" s="19" t="n"/>
      <c r="F397" s="19" t="n"/>
      <c r="G397" s="20" t="n"/>
      <c r="H397" s="21" t="n"/>
      <c r="I397" s="21" t="n"/>
      <c r="J397" s="17" t="n"/>
      <c r="K397" s="19" t="n"/>
      <c r="L397" s="20" t="n"/>
      <c r="M397" s="19" t="n"/>
      <c r="N397" s="22">
        <f>IF(C397="","",IF(ISNUMBER(I397),I397,IF(ISNUMBER(H397),H397,"")))</f>
        <v/>
      </c>
      <c r="O397" s="23">
        <f>IF(OR(C397="",NOT(ISNUMBER(G397))),"",(TODAY()-INT(G397))/365.25)</f>
        <v/>
      </c>
      <c r="P397" s="13">
        <f>IF(OR(C397="",NOT(ISNUMBER(L397))),"",IF(L397&lt;TODAY(),"Ended",IF(L397-TODAY()&lt;=N(Settings!$C$10),"Ends soon","Covered")))</f>
        <v/>
      </c>
      <c r="Q397" s="13">
        <f>IF(C397="","",MID(IF(N397="",", value","")&amp;IF(OR(J397="",J397="No"),", receipt","")&amp;IF(K397="",", photo",""),3,100))</f>
        <v/>
      </c>
      <c r="R397" s="13">
        <f>IF(AND(B397="",C397=""),"",IF(C397="","Needs the item",IF(B397="","Needs a room",IF(COUNTIF(Rooms!$B$6:$B$35,B397)=0,"Not on Rooms",IF(AND(H397&lt;&gt;"",NOT(ISNUMBER(H397))),"Paid not a number",IF(AND(I397&lt;&gt;"",NOT(ISNUMBER(I397))),"Worth not a number",IF(AND(G397&lt;&gt;"",NOT(ISNUMBER(G397))),"Bought is not a date",IF(AND(L397&lt;&gt;"",NOT(ISNUMBER(L397))),"Warranty is not a date",""))))))))</f>
        <v/>
      </c>
      <c r="S397" s="1">
        <f>IF(AND(C397&lt;&gt;"",R397=""),1,0)</f>
        <v/>
      </c>
      <c r="T397">
        <f>IF(S397=1,N(N397),0)</f>
        <v/>
      </c>
      <c r="U397">
        <f>IF(AND(S397=1,T397&gt;0),ROUND(T397*100,0)*10000+10000-ROW(),"")</f>
        <v/>
      </c>
      <c r="V397">
        <f>IF(AND(S397=1,OR(Report!$C$5="",B397=Report!$C$5)),MATCH(B397,Rooms!$B$6:$B$35,0)*10000+ROW(),"")</f>
        <v/>
      </c>
      <c r="W397">
        <f>IF(AND(S397=1,OR(J397="",J397="No")),1,0)</f>
        <v/>
      </c>
      <c r="X397">
        <f>IF(AND(S397=1,K397=""),1,0)</f>
        <v/>
      </c>
      <c r="Y397">
        <f>IF(AND(S397=1,Q397&lt;&gt;""),ROUND(T397*100,0)*10000+10000-ROW(),"")</f>
        <v/>
      </c>
    </row>
    <row r="398">
      <c r="A398" s="1" t="n"/>
      <c r="B398" s="17" t="n"/>
      <c r="C398" s="18" t="n"/>
      <c r="D398" s="17" t="n"/>
      <c r="E398" s="19" t="n"/>
      <c r="F398" s="19" t="n"/>
      <c r="G398" s="20" t="n"/>
      <c r="H398" s="21" t="n"/>
      <c r="I398" s="21" t="n"/>
      <c r="J398" s="17" t="n"/>
      <c r="K398" s="19" t="n"/>
      <c r="L398" s="20" t="n"/>
      <c r="M398" s="19" t="n"/>
      <c r="N398" s="22">
        <f>IF(C398="","",IF(ISNUMBER(I398),I398,IF(ISNUMBER(H398),H398,"")))</f>
        <v/>
      </c>
      <c r="O398" s="23">
        <f>IF(OR(C398="",NOT(ISNUMBER(G398))),"",(TODAY()-INT(G398))/365.25)</f>
        <v/>
      </c>
      <c r="P398" s="13">
        <f>IF(OR(C398="",NOT(ISNUMBER(L398))),"",IF(L398&lt;TODAY(),"Ended",IF(L398-TODAY()&lt;=N(Settings!$C$10),"Ends soon","Covered")))</f>
        <v/>
      </c>
      <c r="Q398" s="13">
        <f>IF(C398="","",MID(IF(N398="",", value","")&amp;IF(OR(J398="",J398="No"),", receipt","")&amp;IF(K398="",", photo",""),3,100))</f>
        <v/>
      </c>
      <c r="R398" s="13">
        <f>IF(AND(B398="",C398=""),"",IF(C398="","Needs the item",IF(B398="","Needs a room",IF(COUNTIF(Rooms!$B$6:$B$35,B398)=0,"Not on Rooms",IF(AND(H398&lt;&gt;"",NOT(ISNUMBER(H398))),"Paid not a number",IF(AND(I398&lt;&gt;"",NOT(ISNUMBER(I398))),"Worth not a number",IF(AND(G398&lt;&gt;"",NOT(ISNUMBER(G398))),"Bought is not a date",IF(AND(L398&lt;&gt;"",NOT(ISNUMBER(L398))),"Warranty is not a date",""))))))))</f>
        <v/>
      </c>
      <c r="S398" s="1">
        <f>IF(AND(C398&lt;&gt;"",R398=""),1,0)</f>
        <v/>
      </c>
      <c r="T398">
        <f>IF(S398=1,N(N398),0)</f>
        <v/>
      </c>
      <c r="U398">
        <f>IF(AND(S398=1,T398&gt;0),ROUND(T398*100,0)*10000+10000-ROW(),"")</f>
        <v/>
      </c>
      <c r="V398">
        <f>IF(AND(S398=1,OR(Report!$C$5="",B398=Report!$C$5)),MATCH(B398,Rooms!$B$6:$B$35,0)*10000+ROW(),"")</f>
        <v/>
      </c>
      <c r="W398">
        <f>IF(AND(S398=1,OR(J398="",J398="No")),1,0)</f>
        <v/>
      </c>
      <c r="X398">
        <f>IF(AND(S398=1,K398=""),1,0)</f>
        <v/>
      </c>
      <c r="Y398">
        <f>IF(AND(S398=1,Q398&lt;&gt;""),ROUND(T398*100,0)*10000+10000-ROW(),"")</f>
        <v/>
      </c>
    </row>
    <row r="399">
      <c r="A399" s="1" t="n"/>
      <c r="B399" s="17" t="n"/>
      <c r="C399" s="18" t="n"/>
      <c r="D399" s="17" t="n"/>
      <c r="E399" s="19" t="n"/>
      <c r="F399" s="19" t="n"/>
      <c r="G399" s="20" t="n"/>
      <c r="H399" s="21" t="n"/>
      <c r="I399" s="21" t="n"/>
      <c r="J399" s="17" t="n"/>
      <c r="K399" s="19" t="n"/>
      <c r="L399" s="20" t="n"/>
      <c r="M399" s="19" t="n"/>
      <c r="N399" s="22">
        <f>IF(C399="","",IF(ISNUMBER(I399),I399,IF(ISNUMBER(H399),H399,"")))</f>
        <v/>
      </c>
      <c r="O399" s="23">
        <f>IF(OR(C399="",NOT(ISNUMBER(G399))),"",(TODAY()-INT(G399))/365.25)</f>
        <v/>
      </c>
      <c r="P399" s="13">
        <f>IF(OR(C399="",NOT(ISNUMBER(L399))),"",IF(L399&lt;TODAY(),"Ended",IF(L399-TODAY()&lt;=N(Settings!$C$10),"Ends soon","Covered")))</f>
        <v/>
      </c>
      <c r="Q399" s="13">
        <f>IF(C399="","",MID(IF(N399="",", value","")&amp;IF(OR(J399="",J399="No"),", receipt","")&amp;IF(K399="",", photo",""),3,100))</f>
        <v/>
      </c>
      <c r="R399" s="13">
        <f>IF(AND(B399="",C399=""),"",IF(C399="","Needs the item",IF(B399="","Needs a room",IF(COUNTIF(Rooms!$B$6:$B$35,B399)=0,"Not on Rooms",IF(AND(H399&lt;&gt;"",NOT(ISNUMBER(H399))),"Paid not a number",IF(AND(I399&lt;&gt;"",NOT(ISNUMBER(I399))),"Worth not a number",IF(AND(G399&lt;&gt;"",NOT(ISNUMBER(G399))),"Bought is not a date",IF(AND(L399&lt;&gt;"",NOT(ISNUMBER(L399))),"Warranty is not a date",""))))))))</f>
        <v/>
      </c>
      <c r="S399" s="1">
        <f>IF(AND(C399&lt;&gt;"",R399=""),1,0)</f>
        <v/>
      </c>
      <c r="T399">
        <f>IF(S399=1,N(N399),0)</f>
        <v/>
      </c>
      <c r="U399">
        <f>IF(AND(S399=1,T399&gt;0),ROUND(T399*100,0)*10000+10000-ROW(),"")</f>
        <v/>
      </c>
      <c r="V399">
        <f>IF(AND(S399=1,OR(Report!$C$5="",B399=Report!$C$5)),MATCH(B399,Rooms!$B$6:$B$35,0)*10000+ROW(),"")</f>
        <v/>
      </c>
      <c r="W399">
        <f>IF(AND(S399=1,OR(J399="",J399="No")),1,0)</f>
        <v/>
      </c>
      <c r="X399">
        <f>IF(AND(S399=1,K399=""),1,0)</f>
        <v/>
      </c>
      <c r="Y399">
        <f>IF(AND(S399=1,Q399&lt;&gt;""),ROUND(T399*100,0)*10000+10000-ROW(),"")</f>
        <v/>
      </c>
    </row>
    <row r="400">
      <c r="A400" s="1" t="n"/>
      <c r="B400" s="17" t="n"/>
      <c r="C400" s="18" t="n"/>
      <c r="D400" s="17" t="n"/>
      <c r="E400" s="19" t="n"/>
      <c r="F400" s="19" t="n"/>
      <c r="G400" s="20" t="n"/>
      <c r="H400" s="21" t="n"/>
      <c r="I400" s="21" t="n"/>
      <c r="J400" s="17" t="n"/>
      <c r="K400" s="19" t="n"/>
      <c r="L400" s="20" t="n"/>
      <c r="M400" s="19" t="n"/>
      <c r="N400" s="22">
        <f>IF(C400="","",IF(ISNUMBER(I400),I400,IF(ISNUMBER(H400),H400,"")))</f>
        <v/>
      </c>
      <c r="O400" s="23">
        <f>IF(OR(C400="",NOT(ISNUMBER(G400))),"",(TODAY()-INT(G400))/365.25)</f>
        <v/>
      </c>
      <c r="P400" s="13">
        <f>IF(OR(C400="",NOT(ISNUMBER(L400))),"",IF(L400&lt;TODAY(),"Ended",IF(L400-TODAY()&lt;=N(Settings!$C$10),"Ends soon","Covered")))</f>
        <v/>
      </c>
      <c r="Q400" s="13">
        <f>IF(C400="","",MID(IF(N400="",", value","")&amp;IF(OR(J400="",J400="No"),", receipt","")&amp;IF(K400="",", photo",""),3,100))</f>
        <v/>
      </c>
      <c r="R400" s="13">
        <f>IF(AND(B400="",C400=""),"",IF(C400="","Needs the item",IF(B400="","Needs a room",IF(COUNTIF(Rooms!$B$6:$B$35,B400)=0,"Not on Rooms",IF(AND(H400&lt;&gt;"",NOT(ISNUMBER(H400))),"Paid not a number",IF(AND(I400&lt;&gt;"",NOT(ISNUMBER(I400))),"Worth not a number",IF(AND(G400&lt;&gt;"",NOT(ISNUMBER(G400))),"Bought is not a date",IF(AND(L400&lt;&gt;"",NOT(ISNUMBER(L400))),"Warranty is not a date",""))))))))</f>
        <v/>
      </c>
      <c r="S400" s="1">
        <f>IF(AND(C400&lt;&gt;"",R400=""),1,0)</f>
        <v/>
      </c>
      <c r="T400">
        <f>IF(S400=1,N(N400),0)</f>
        <v/>
      </c>
      <c r="U400">
        <f>IF(AND(S400=1,T400&gt;0),ROUND(T400*100,0)*10000+10000-ROW(),"")</f>
        <v/>
      </c>
      <c r="V400">
        <f>IF(AND(S400=1,OR(Report!$C$5="",B400=Report!$C$5)),MATCH(B400,Rooms!$B$6:$B$35,0)*10000+ROW(),"")</f>
        <v/>
      </c>
      <c r="W400">
        <f>IF(AND(S400=1,OR(J400="",J400="No")),1,0)</f>
        <v/>
      </c>
      <c r="X400">
        <f>IF(AND(S400=1,K400=""),1,0)</f>
        <v/>
      </c>
      <c r="Y400">
        <f>IF(AND(S400=1,Q400&lt;&gt;""),ROUND(T400*100,0)*10000+10000-ROW(),"")</f>
        <v/>
      </c>
    </row>
    <row r="401">
      <c r="A401" s="1" t="n"/>
      <c r="B401" s="17" t="n"/>
      <c r="C401" s="18" t="n"/>
      <c r="D401" s="17" t="n"/>
      <c r="E401" s="19" t="n"/>
      <c r="F401" s="19" t="n"/>
      <c r="G401" s="20" t="n"/>
      <c r="H401" s="21" t="n"/>
      <c r="I401" s="21" t="n"/>
      <c r="J401" s="17" t="n"/>
      <c r="K401" s="19" t="n"/>
      <c r="L401" s="20" t="n"/>
      <c r="M401" s="19" t="n"/>
      <c r="N401" s="22">
        <f>IF(C401="","",IF(ISNUMBER(I401),I401,IF(ISNUMBER(H401),H401,"")))</f>
        <v/>
      </c>
      <c r="O401" s="23">
        <f>IF(OR(C401="",NOT(ISNUMBER(G401))),"",(TODAY()-INT(G401))/365.25)</f>
        <v/>
      </c>
      <c r="P401" s="13">
        <f>IF(OR(C401="",NOT(ISNUMBER(L401))),"",IF(L401&lt;TODAY(),"Ended",IF(L401-TODAY()&lt;=N(Settings!$C$10),"Ends soon","Covered")))</f>
        <v/>
      </c>
      <c r="Q401" s="13">
        <f>IF(C401="","",MID(IF(N401="",", value","")&amp;IF(OR(J401="",J401="No"),", receipt","")&amp;IF(K401="",", photo",""),3,100))</f>
        <v/>
      </c>
      <c r="R401" s="13">
        <f>IF(AND(B401="",C401=""),"",IF(C401="","Needs the item",IF(B401="","Needs a room",IF(COUNTIF(Rooms!$B$6:$B$35,B401)=0,"Not on Rooms",IF(AND(H401&lt;&gt;"",NOT(ISNUMBER(H401))),"Paid not a number",IF(AND(I401&lt;&gt;"",NOT(ISNUMBER(I401))),"Worth not a number",IF(AND(G401&lt;&gt;"",NOT(ISNUMBER(G401))),"Bought is not a date",IF(AND(L401&lt;&gt;"",NOT(ISNUMBER(L401))),"Warranty is not a date",""))))))))</f>
        <v/>
      </c>
      <c r="S401" s="1">
        <f>IF(AND(C401&lt;&gt;"",R401=""),1,0)</f>
        <v/>
      </c>
      <c r="T401">
        <f>IF(S401=1,N(N401),0)</f>
        <v/>
      </c>
      <c r="U401">
        <f>IF(AND(S401=1,T401&gt;0),ROUND(T401*100,0)*10000+10000-ROW(),"")</f>
        <v/>
      </c>
      <c r="V401">
        <f>IF(AND(S401=1,OR(Report!$C$5="",B401=Report!$C$5)),MATCH(B401,Rooms!$B$6:$B$35,0)*10000+ROW(),"")</f>
        <v/>
      </c>
      <c r="W401">
        <f>IF(AND(S401=1,OR(J401="",J401="No")),1,0)</f>
        <v/>
      </c>
      <c r="X401">
        <f>IF(AND(S401=1,K401=""),1,0)</f>
        <v/>
      </c>
      <c r="Y401">
        <f>IF(AND(S401=1,Q401&lt;&gt;""),ROUND(T401*100,0)*10000+10000-ROW(),"")</f>
        <v/>
      </c>
    </row>
    <row r="402">
      <c r="A402" s="1" t="n"/>
      <c r="B402" s="17" t="n"/>
      <c r="C402" s="18" t="n"/>
      <c r="D402" s="17" t="n"/>
      <c r="E402" s="19" t="n"/>
      <c r="F402" s="19" t="n"/>
      <c r="G402" s="20" t="n"/>
      <c r="H402" s="21" t="n"/>
      <c r="I402" s="21" t="n"/>
      <c r="J402" s="17" t="n"/>
      <c r="K402" s="19" t="n"/>
      <c r="L402" s="20" t="n"/>
      <c r="M402" s="19" t="n"/>
      <c r="N402" s="22">
        <f>IF(C402="","",IF(ISNUMBER(I402),I402,IF(ISNUMBER(H402),H402,"")))</f>
        <v/>
      </c>
      <c r="O402" s="23">
        <f>IF(OR(C402="",NOT(ISNUMBER(G402))),"",(TODAY()-INT(G402))/365.25)</f>
        <v/>
      </c>
      <c r="P402" s="13">
        <f>IF(OR(C402="",NOT(ISNUMBER(L402))),"",IF(L402&lt;TODAY(),"Ended",IF(L402-TODAY()&lt;=N(Settings!$C$10),"Ends soon","Covered")))</f>
        <v/>
      </c>
      <c r="Q402" s="13">
        <f>IF(C402="","",MID(IF(N402="",", value","")&amp;IF(OR(J402="",J402="No"),", receipt","")&amp;IF(K402="",", photo",""),3,100))</f>
        <v/>
      </c>
      <c r="R402" s="13">
        <f>IF(AND(B402="",C402=""),"",IF(C402="","Needs the item",IF(B402="","Needs a room",IF(COUNTIF(Rooms!$B$6:$B$35,B402)=0,"Not on Rooms",IF(AND(H402&lt;&gt;"",NOT(ISNUMBER(H402))),"Paid not a number",IF(AND(I402&lt;&gt;"",NOT(ISNUMBER(I402))),"Worth not a number",IF(AND(G402&lt;&gt;"",NOT(ISNUMBER(G402))),"Bought is not a date",IF(AND(L402&lt;&gt;"",NOT(ISNUMBER(L402))),"Warranty is not a date",""))))))))</f>
        <v/>
      </c>
      <c r="S402" s="1">
        <f>IF(AND(C402&lt;&gt;"",R402=""),1,0)</f>
        <v/>
      </c>
      <c r="T402">
        <f>IF(S402=1,N(N402),0)</f>
        <v/>
      </c>
      <c r="U402">
        <f>IF(AND(S402=1,T402&gt;0),ROUND(T402*100,0)*10000+10000-ROW(),"")</f>
        <v/>
      </c>
      <c r="V402">
        <f>IF(AND(S402=1,OR(Report!$C$5="",B402=Report!$C$5)),MATCH(B402,Rooms!$B$6:$B$35,0)*10000+ROW(),"")</f>
        <v/>
      </c>
      <c r="W402">
        <f>IF(AND(S402=1,OR(J402="",J402="No")),1,0)</f>
        <v/>
      </c>
      <c r="X402">
        <f>IF(AND(S402=1,K402=""),1,0)</f>
        <v/>
      </c>
      <c r="Y402">
        <f>IF(AND(S402=1,Q402&lt;&gt;""),ROUND(T402*100,0)*10000+10000-ROW(),"")</f>
        <v/>
      </c>
    </row>
    <row r="403">
      <c r="A403" s="1" t="n"/>
      <c r="B403" s="17" t="n"/>
      <c r="C403" s="18" t="n"/>
      <c r="D403" s="17" t="n"/>
      <c r="E403" s="19" t="n"/>
      <c r="F403" s="19" t="n"/>
      <c r="G403" s="20" t="n"/>
      <c r="H403" s="21" t="n"/>
      <c r="I403" s="21" t="n"/>
      <c r="J403" s="17" t="n"/>
      <c r="K403" s="19" t="n"/>
      <c r="L403" s="20" t="n"/>
      <c r="M403" s="19" t="n"/>
      <c r="N403" s="22">
        <f>IF(C403="","",IF(ISNUMBER(I403),I403,IF(ISNUMBER(H403),H403,"")))</f>
        <v/>
      </c>
      <c r="O403" s="23">
        <f>IF(OR(C403="",NOT(ISNUMBER(G403))),"",(TODAY()-INT(G403))/365.25)</f>
        <v/>
      </c>
      <c r="P403" s="13">
        <f>IF(OR(C403="",NOT(ISNUMBER(L403))),"",IF(L403&lt;TODAY(),"Ended",IF(L403-TODAY()&lt;=N(Settings!$C$10),"Ends soon","Covered")))</f>
        <v/>
      </c>
      <c r="Q403" s="13">
        <f>IF(C403="","",MID(IF(N403="",", value","")&amp;IF(OR(J403="",J403="No"),", receipt","")&amp;IF(K403="",", photo",""),3,100))</f>
        <v/>
      </c>
      <c r="R403" s="13">
        <f>IF(AND(B403="",C403=""),"",IF(C403="","Needs the item",IF(B403="","Needs a room",IF(COUNTIF(Rooms!$B$6:$B$35,B403)=0,"Not on Rooms",IF(AND(H403&lt;&gt;"",NOT(ISNUMBER(H403))),"Paid not a number",IF(AND(I403&lt;&gt;"",NOT(ISNUMBER(I403))),"Worth not a number",IF(AND(G403&lt;&gt;"",NOT(ISNUMBER(G403))),"Bought is not a date",IF(AND(L403&lt;&gt;"",NOT(ISNUMBER(L403))),"Warranty is not a date",""))))))))</f>
        <v/>
      </c>
      <c r="S403" s="1">
        <f>IF(AND(C403&lt;&gt;"",R403=""),1,0)</f>
        <v/>
      </c>
      <c r="T403">
        <f>IF(S403=1,N(N403),0)</f>
        <v/>
      </c>
      <c r="U403">
        <f>IF(AND(S403=1,T403&gt;0),ROUND(T403*100,0)*10000+10000-ROW(),"")</f>
        <v/>
      </c>
      <c r="V403">
        <f>IF(AND(S403=1,OR(Report!$C$5="",B403=Report!$C$5)),MATCH(B403,Rooms!$B$6:$B$35,0)*10000+ROW(),"")</f>
        <v/>
      </c>
      <c r="W403">
        <f>IF(AND(S403=1,OR(J403="",J403="No")),1,0)</f>
        <v/>
      </c>
      <c r="X403">
        <f>IF(AND(S403=1,K403=""),1,0)</f>
        <v/>
      </c>
      <c r="Y403">
        <f>IF(AND(S403=1,Q403&lt;&gt;""),ROUND(T403*100,0)*10000+10000-ROW(),"")</f>
        <v/>
      </c>
    </row>
    <row r="404">
      <c r="A404" s="1" t="n"/>
      <c r="B404" s="17" t="n"/>
      <c r="C404" s="18" t="n"/>
      <c r="D404" s="17" t="n"/>
      <c r="E404" s="19" t="n"/>
      <c r="F404" s="19" t="n"/>
      <c r="G404" s="20" t="n"/>
      <c r="H404" s="21" t="n"/>
      <c r="I404" s="21" t="n"/>
      <c r="J404" s="17" t="n"/>
      <c r="K404" s="19" t="n"/>
      <c r="L404" s="20" t="n"/>
      <c r="M404" s="19" t="n"/>
      <c r="N404" s="22">
        <f>IF(C404="","",IF(ISNUMBER(I404),I404,IF(ISNUMBER(H404),H404,"")))</f>
        <v/>
      </c>
      <c r="O404" s="23">
        <f>IF(OR(C404="",NOT(ISNUMBER(G404))),"",(TODAY()-INT(G404))/365.25)</f>
        <v/>
      </c>
      <c r="P404" s="13">
        <f>IF(OR(C404="",NOT(ISNUMBER(L404))),"",IF(L404&lt;TODAY(),"Ended",IF(L404-TODAY()&lt;=N(Settings!$C$10),"Ends soon","Covered")))</f>
        <v/>
      </c>
      <c r="Q404" s="13">
        <f>IF(C404="","",MID(IF(N404="",", value","")&amp;IF(OR(J404="",J404="No"),", receipt","")&amp;IF(K404="",", photo",""),3,100))</f>
        <v/>
      </c>
      <c r="R404" s="13">
        <f>IF(AND(B404="",C404=""),"",IF(C404="","Needs the item",IF(B404="","Needs a room",IF(COUNTIF(Rooms!$B$6:$B$35,B404)=0,"Not on Rooms",IF(AND(H404&lt;&gt;"",NOT(ISNUMBER(H404))),"Paid not a number",IF(AND(I404&lt;&gt;"",NOT(ISNUMBER(I404))),"Worth not a number",IF(AND(G404&lt;&gt;"",NOT(ISNUMBER(G404))),"Bought is not a date",IF(AND(L404&lt;&gt;"",NOT(ISNUMBER(L404))),"Warranty is not a date",""))))))))</f>
        <v/>
      </c>
      <c r="S404" s="1">
        <f>IF(AND(C404&lt;&gt;"",R404=""),1,0)</f>
        <v/>
      </c>
      <c r="T404">
        <f>IF(S404=1,N(N404),0)</f>
        <v/>
      </c>
      <c r="U404">
        <f>IF(AND(S404=1,T404&gt;0),ROUND(T404*100,0)*10000+10000-ROW(),"")</f>
        <v/>
      </c>
      <c r="V404">
        <f>IF(AND(S404=1,OR(Report!$C$5="",B404=Report!$C$5)),MATCH(B404,Rooms!$B$6:$B$35,0)*10000+ROW(),"")</f>
        <v/>
      </c>
      <c r="W404">
        <f>IF(AND(S404=1,OR(J404="",J404="No")),1,0)</f>
        <v/>
      </c>
      <c r="X404">
        <f>IF(AND(S404=1,K404=""),1,0)</f>
        <v/>
      </c>
      <c r="Y404">
        <f>IF(AND(S404=1,Q404&lt;&gt;""),ROUND(T404*100,0)*10000+10000-ROW(),"")</f>
        <v/>
      </c>
    </row>
    <row r="405">
      <c r="A405" s="1" t="n"/>
      <c r="B405" s="17" t="n"/>
      <c r="C405" s="18" t="n"/>
      <c r="D405" s="17" t="n"/>
      <c r="E405" s="19" t="n"/>
      <c r="F405" s="19" t="n"/>
      <c r="G405" s="20" t="n"/>
      <c r="H405" s="21" t="n"/>
      <c r="I405" s="21" t="n"/>
      <c r="J405" s="17" t="n"/>
      <c r="K405" s="19" t="n"/>
      <c r="L405" s="20" t="n"/>
      <c r="M405" s="19" t="n"/>
      <c r="N405" s="22">
        <f>IF(C405="","",IF(ISNUMBER(I405),I405,IF(ISNUMBER(H405),H405,"")))</f>
        <v/>
      </c>
      <c r="O405" s="23">
        <f>IF(OR(C405="",NOT(ISNUMBER(G405))),"",(TODAY()-INT(G405))/365.25)</f>
        <v/>
      </c>
      <c r="P405" s="13">
        <f>IF(OR(C405="",NOT(ISNUMBER(L405))),"",IF(L405&lt;TODAY(),"Ended",IF(L405-TODAY()&lt;=N(Settings!$C$10),"Ends soon","Covered")))</f>
        <v/>
      </c>
      <c r="Q405" s="13">
        <f>IF(C405="","",MID(IF(N405="",", value","")&amp;IF(OR(J405="",J405="No"),", receipt","")&amp;IF(K405="",", photo",""),3,100))</f>
        <v/>
      </c>
      <c r="R405" s="13">
        <f>IF(AND(B405="",C405=""),"",IF(C405="","Needs the item",IF(B405="","Needs a room",IF(COUNTIF(Rooms!$B$6:$B$35,B405)=0,"Not on Rooms",IF(AND(H405&lt;&gt;"",NOT(ISNUMBER(H405))),"Paid not a number",IF(AND(I405&lt;&gt;"",NOT(ISNUMBER(I405))),"Worth not a number",IF(AND(G405&lt;&gt;"",NOT(ISNUMBER(G405))),"Bought is not a date",IF(AND(L405&lt;&gt;"",NOT(ISNUMBER(L405))),"Warranty is not a date",""))))))))</f>
        <v/>
      </c>
      <c r="S405" s="1">
        <f>IF(AND(C405&lt;&gt;"",R405=""),1,0)</f>
        <v/>
      </c>
      <c r="T405">
        <f>IF(S405=1,N(N405),0)</f>
        <v/>
      </c>
      <c r="U405">
        <f>IF(AND(S405=1,T405&gt;0),ROUND(T405*100,0)*10000+10000-ROW(),"")</f>
        <v/>
      </c>
      <c r="V405">
        <f>IF(AND(S405=1,OR(Report!$C$5="",B405=Report!$C$5)),MATCH(B405,Rooms!$B$6:$B$35,0)*10000+ROW(),"")</f>
        <v/>
      </c>
      <c r="W405">
        <f>IF(AND(S405=1,OR(J405="",J405="No")),1,0)</f>
        <v/>
      </c>
      <c r="X405">
        <f>IF(AND(S405=1,K405=""),1,0)</f>
        <v/>
      </c>
      <c r="Y405">
        <f>IF(AND(S405=1,Q405&lt;&gt;""),ROUND(T405*100,0)*10000+10000-ROW(),"")</f>
        <v/>
      </c>
    </row>
    <row r="406">
      <c r="A406" s="1" t="n"/>
      <c r="B406" s="17" t="n"/>
      <c r="C406" s="18" t="n"/>
      <c r="D406" s="17" t="n"/>
      <c r="E406" s="19" t="n"/>
      <c r="F406" s="19" t="n"/>
      <c r="G406" s="20" t="n"/>
      <c r="H406" s="21" t="n"/>
      <c r="I406" s="21" t="n"/>
      <c r="J406" s="17" t="n"/>
      <c r="K406" s="19" t="n"/>
      <c r="L406" s="20" t="n"/>
      <c r="M406" s="19" t="n"/>
      <c r="N406" s="22">
        <f>IF(C406="","",IF(ISNUMBER(I406),I406,IF(ISNUMBER(H406),H406,"")))</f>
        <v/>
      </c>
      <c r="O406" s="23">
        <f>IF(OR(C406="",NOT(ISNUMBER(G406))),"",(TODAY()-INT(G406))/365.25)</f>
        <v/>
      </c>
      <c r="P406" s="13">
        <f>IF(OR(C406="",NOT(ISNUMBER(L406))),"",IF(L406&lt;TODAY(),"Ended",IF(L406-TODAY()&lt;=N(Settings!$C$10),"Ends soon","Covered")))</f>
        <v/>
      </c>
      <c r="Q406" s="13">
        <f>IF(C406="","",MID(IF(N406="",", value","")&amp;IF(OR(J406="",J406="No"),", receipt","")&amp;IF(K406="",", photo",""),3,100))</f>
        <v/>
      </c>
      <c r="R406" s="13">
        <f>IF(AND(B406="",C406=""),"",IF(C406="","Needs the item",IF(B406="","Needs a room",IF(COUNTIF(Rooms!$B$6:$B$35,B406)=0,"Not on Rooms",IF(AND(H406&lt;&gt;"",NOT(ISNUMBER(H406))),"Paid not a number",IF(AND(I406&lt;&gt;"",NOT(ISNUMBER(I406))),"Worth not a number",IF(AND(G406&lt;&gt;"",NOT(ISNUMBER(G406))),"Bought is not a date",IF(AND(L406&lt;&gt;"",NOT(ISNUMBER(L406))),"Warranty is not a date",""))))))))</f>
        <v/>
      </c>
      <c r="S406" s="1">
        <f>IF(AND(C406&lt;&gt;"",R406=""),1,0)</f>
        <v/>
      </c>
      <c r="T406">
        <f>IF(S406=1,N(N406),0)</f>
        <v/>
      </c>
      <c r="U406">
        <f>IF(AND(S406=1,T406&gt;0),ROUND(T406*100,0)*10000+10000-ROW(),"")</f>
        <v/>
      </c>
      <c r="V406">
        <f>IF(AND(S406=1,OR(Report!$C$5="",B406=Report!$C$5)),MATCH(B406,Rooms!$B$6:$B$35,0)*10000+ROW(),"")</f>
        <v/>
      </c>
      <c r="W406">
        <f>IF(AND(S406=1,OR(J406="",J406="No")),1,0)</f>
        <v/>
      </c>
      <c r="X406">
        <f>IF(AND(S406=1,K406=""),1,0)</f>
        <v/>
      </c>
      <c r="Y406">
        <f>IF(AND(S406=1,Q406&lt;&gt;""),ROUND(T406*100,0)*10000+10000-ROW(),"")</f>
        <v/>
      </c>
    </row>
    <row r="407">
      <c r="A407" s="1" t="n"/>
      <c r="B407" s="17" t="n"/>
      <c r="C407" s="18" t="n"/>
      <c r="D407" s="17" t="n"/>
      <c r="E407" s="19" t="n"/>
      <c r="F407" s="19" t="n"/>
      <c r="G407" s="20" t="n"/>
      <c r="H407" s="21" t="n"/>
      <c r="I407" s="21" t="n"/>
      <c r="J407" s="17" t="n"/>
      <c r="K407" s="19" t="n"/>
      <c r="L407" s="20" t="n"/>
      <c r="M407" s="19" t="n"/>
      <c r="N407" s="22">
        <f>IF(C407="","",IF(ISNUMBER(I407),I407,IF(ISNUMBER(H407),H407,"")))</f>
        <v/>
      </c>
      <c r="O407" s="23">
        <f>IF(OR(C407="",NOT(ISNUMBER(G407))),"",(TODAY()-INT(G407))/365.25)</f>
        <v/>
      </c>
      <c r="P407" s="13">
        <f>IF(OR(C407="",NOT(ISNUMBER(L407))),"",IF(L407&lt;TODAY(),"Ended",IF(L407-TODAY()&lt;=N(Settings!$C$10),"Ends soon","Covered")))</f>
        <v/>
      </c>
      <c r="Q407" s="13">
        <f>IF(C407="","",MID(IF(N407="",", value","")&amp;IF(OR(J407="",J407="No"),", receipt","")&amp;IF(K407="",", photo",""),3,100))</f>
        <v/>
      </c>
      <c r="R407" s="13">
        <f>IF(AND(B407="",C407=""),"",IF(C407="","Needs the item",IF(B407="","Needs a room",IF(COUNTIF(Rooms!$B$6:$B$35,B407)=0,"Not on Rooms",IF(AND(H407&lt;&gt;"",NOT(ISNUMBER(H407))),"Paid not a number",IF(AND(I407&lt;&gt;"",NOT(ISNUMBER(I407))),"Worth not a number",IF(AND(G407&lt;&gt;"",NOT(ISNUMBER(G407))),"Bought is not a date",IF(AND(L407&lt;&gt;"",NOT(ISNUMBER(L407))),"Warranty is not a date",""))))))))</f>
        <v/>
      </c>
      <c r="S407" s="1">
        <f>IF(AND(C407&lt;&gt;"",R407=""),1,0)</f>
        <v/>
      </c>
      <c r="T407">
        <f>IF(S407=1,N(N407),0)</f>
        <v/>
      </c>
      <c r="U407">
        <f>IF(AND(S407=1,T407&gt;0),ROUND(T407*100,0)*10000+10000-ROW(),"")</f>
        <v/>
      </c>
      <c r="V407">
        <f>IF(AND(S407=1,OR(Report!$C$5="",B407=Report!$C$5)),MATCH(B407,Rooms!$B$6:$B$35,0)*10000+ROW(),"")</f>
        <v/>
      </c>
      <c r="W407">
        <f>IF(AND(S407=1,OR(J407="",J407="No")),1,0)</f>
        <v/>
      </c>
      <c r="X407">
        <f>IF(AND(S407=1,K407=""),1,0)</f>
        <v/>
      </c>
      <c r="Y407">
        <f>IF(AND(S407=1,Q407&lt;&gt;""),ROUND(T407*100,0)*10000+10000-ROW(),"")</f>
        <v/>
      </c>
    </row>
    <row r="408">
      <c r="A408" s="1" t="n"/>
      <c r="B408" s="17" t="n"/>
      <c r="C408" s="18" t="n"/>
      <c r="D408" s="17" t="n"/>
      <c r="E408" s="19" t="n"/>
      <c r="F408" s="19" t="n"/>
      <c r="G408" s="20" t="n"/>
      <c r="H408" s="21" t="n"/>
      <c r="I408" s="21" t="n"/>
      <c r="J408" s="17" t="n"/>
      <c r="K408" s="19" t="n"/>
      <c r="L408" s="20" t="n"/>
      <c r="M408" s="19" t="n"/>
      <c r="N408" s="22">
        <f>IF(C408="","",IF(ISNUMBER(I408),I408,IF(ISNUMBER(H408),H408,"")))</f>
        <v/>
      </c>
      <c r="O408" s="23">
        <f>IF(OR(C408="",NOT(ISNUMBER(G408))),"",(TODAY()-INT(G408))/365.25)</f>
        <v/>
      </c>
      <c r="P408" s="13">
        <f>IF(OR(C408="",NOT(ISNUMBER(L408))),"",IF(L408&lt;TODAY(),"Ended",IF(L408-TODAY()&lt;=N(Settings!$C$10),"Ends soon","Covered")))</f>
        <v/>
      </c>
      <c r="Q408" s="13">
        <f>IF(C408="","",MID(IF(N408="",", value","")&amp;IF(OR(J408="",J408="No"),", receipt","")&amp;IF(K408="",", photo",""),3,100))</f>
        <v/>
      </c>
      <c r="R408" s="13">
        <f>IF(AND(B408="",C408=""),"",IF(C408="","Needs the item",IF(B408="","Needs a room",IF(COUNTIF(Rooms!$B$6:$B$35,B408)=0,"Not on Rooms",IF(AND(H408&lt;&gt;"",NOT(ISNUMBER(H408))),"Paid not a number",IF(AND(I408&lt;&gt;"",NOT(ISNUMBER(I408))),"Worth not a number",IF(AND(G408&lt;&gt;"",NOT(ISNUMBER(G408))),"Bought is not a date",IF(AND(L408&lt;&gt;"",NOT(ISNUMBER(L408))),"Warranty is not a date",""))))))))</f>
        <v/>
      </c>
      <c r="S408" s="1">
        <f>IF(AND(C408&lt;&gt;"",R408=""),1,0)</f>
        <v/>
      </c>
      <c r="T408">
        <f>IF(S408=1,N(N408),0)</f>
        <v/>
      </c>
      <c r="U408">
        <f>IF(AND(S408=1,T408&gt;0),ROUND(T408*100,0)*10000+10000-ROW(),"")</f>
        <v/>
      </c>
      <c r="V408">
        <f>IF(AND(S408=1,OR(Report!$C$5="",B408=Report!$C$5)),MATCH(B408,Rooms!$B$6:$B$35,0)*10000+ROW(),"")</f>
        <v/>
      </c>
      <c r="W408">
        <f>IF(AND(S408=1,OR(J408="",J408="No")),1,0)</f>
        <v/>
      </c>
      <c r="X408">
        <f>IF(AND(S408=1,K408=""),1,0)</f>
        <v/>
      </c>
      <c r="Y408">
        <f>IF(AND(S408=1,Q408&lt;&gt;""),ROUND(T408*100,0)*10000+10000-ROW(),"")</f>
        <v/>
      </c>
    </row>
    <row r="409">
      <c r="A409" s="1" t="n"/>
      <c r="B409" s="17" t="n"/>
      <c r="C409" s="18" t="n"/>
      <c r="D409" s="17" t="n"/>
      <c r="E409" s="19" t="n"/>
      <c r="F409" s="19" t="n"/>
      <c r="G409" s="20" t="n"/>
      <c r="H409" s="21" t="n"/>
      <c r="I409" s="21" t="n"/>
      <c r="J409" s="17" t="n"/>
      <c r="K409" s="19" t="n"/>
      <c r="L409" s="20" t="n"/>
      <c r="M409" s="19" t="n"/>
      <c r="N409" s="22">
        <f>IF(C409="","",IF(ISNUMBER(I409),I409,IF(ISNUMBER(H409),H409,"")))</f>
        <v/>
      </c>
      <c r="O409" s="23">
        <f>IF(OR(C409="",NOT(ISNUMBER(G409))),"",(TODAY()-INT(G409))/365.25)</f>
        <v/>
      </c>
      <c r="P409" s="13">
        <f>IF(OR(C409="",NOT(ISNUMBER(L409))),"",IF(L409&lt;TODAY(),"Ended",IF(L409-TODAY()&lt;=N(Settings!$C$10),"Ends soon","Covered")))</f>
        <v/>
      </c>
      <c r="Q409" s="13">
        <f>IF(C409="","",MID(IF(N409="",", value","")&amp;IF(OR(J409="",J409="No"),", receipt","")&amp;IF(K409="",", photo",""),3,100))</f>
        <v/>
      </c>
      <c r="R409" s="13">
        <f>IF(AND(B409="",C409=""),"",IF(C409="","Needs the item",IF(B409="","Needs a room",IF(COUNTIF(Rooms!$B$6:$B$35,B409)=0,"Not on Rooms",IF(AND(H409&lt;&gt;"",NOT(ISNUMBER(H409))),"Paid not a number",IF(AND(I409&lt;&gt;"",NOT(ISNUMBER(I409))),"Worth not a number",IF(AND(G409&lt;&gt;"",NOT(ISNUMBER(G409))),"Bought is not a date",IF(AND(L409&lt;&gt;"",NOT(ISNUMBER(L409))),"Warranty is not a date",""))))))))</f>
        <v/>
      </c>
      <c r="S409" s="1">
        <f>IF(AND(C409&lt;&gt;"",R409=""),1,0)</f>
        <v/>
      </c>
      <c r="T409">
        <f>IF(S409=1,N(N409),0)</f>
        <v/>
      </c>
      <c r="U409">
        <f>IF(AND(S409=1,T409&gt;0),ROUND(T409*100,0)*10000+10000-ROW(),"")</f>
        <v/>
      </c>
      <c r="V409">
        <f>IF(AND(S409=1,OR(Report!$C$5="",B409=Report!$C$5)),MATCH(B409,Rooms!$B$6:$B$35,0)*10000+ROW(),"")</f>
        <v/>
      </c>
      <c r="W409">
        <f>IF(AND(S409=1,OR(J409="",J409="No")),1,0)</f>
        <v/>
      </c>
      <c r="X409">
        <f>IF(AND(S409=1,K409=""),1,0)</f>
        <v/>
      </c>
      <c r="Y409">
        <f>IF(AND(S409=1,Q409&lt;&gt;""),ROUND(T409*100,0)*10000+10000-ROW(),"")</f>
        <v/>
      </c>
    </row>
    <row r="410">
      <c r="A410" s="1" t="n"/>
      <c r="B410" s="17" t="n"/>
      <c r="C410" s="18" t="n"/>
      <c r="D410" s="17" t="n"/>
      <c r="E410" s="19" t="n"/>
      <c r="F410" s="19" t="n"/>
      <c r="G410" s="20" t="n"/>
      <c r="H410" s="21" t="n"/>
      <c r="I410" s="21" t="n"/>
      <c r="J410" s="17" t="n"/>
      <c r="K410" s="19" t="n"/>
      <c r="L410" s="20" t="n"/>
      <c r="M410" s="19" t="n"/>
      <c r="N410" s="22">
        <f>IF(C410="","",IF(ISNUMBER(I410),I410,IF(ISNUMBER(H410),H410,"")))</f>
        <v/>
      </c>
      <c r="O410" s="23">
        <f>IF(OR(C410="",NOT(ISNUMBER(G410))),"",(TODAY()-INT(G410))/365.25)</f>
        <v/>
      </c>
      <c r="P410" s="13">
        <f>IF(OR(C410="",NOT(ISNUMBER(L410))),"",IF(L410&lt;TODAY(),"Ended",IF(L410-TODAY()&lt;=N(Settings!$C$10),"Ends soon","Covered")))</f>
        <v/>
      </c>
      <c r="Q410" s="13">
        <f>IF(C410="","",MID(IF(N410="",", value","")&amp;IF(OR(J410="",J410="No"),", receipt","")&amp;IF(K410="",", photo",""),3,100))</f>
        <v/>
      </c>
      <c r="R410" s="13">
        <f>IF(AND(B410="",C410=""),"",IF(C410="","Needs the item",IF(B410="","Needs a room",IF(COUNTIF(Rooms!$B$6:$B$35,B410)=0,"Not on Rooms",IF(AND(H410&lt;&gt;"",NOT(ISNUMBER(H410))),"Paid not a number",IF(AND(I410&lt;&gt;"",NOT(ISNUMBER(I410))),"Worth not a number",IF(AND(G410&lt;&gt;"",NOT(ISNUMBER(G410))),"Bought is not a date",IF(AND(L410&lt;&gt;"",NOT(ISNUMBER(L410))),"Warranty is not a date",""))))))))</f>
        <v/>
      </c>
      <c r="S410" s="1">
        <f>IF(AND(C410&lt;&gt;"",R410=""),1,0)</f>
        <v/>
      </c>
      <c r="T410">
        <f>IF(S410=1,N(N410),0)</f>
        <v/>
      </c>
      <c r="U410">
        <f>IF(AND(S410=1,T410&gt;0),ROUND(T410*100,0)*10000+10000-ROW(),"")</f>
        <v/>
      </c>
      <c r="V410">
        <f>IF(AND(S410=1,OR(Report!$C$5="",B410=Report!$C$5)),MATCH(B410,Rooms!$B$6:$B$35,0)*10000+ROW(),"")</f>
        <v/>
      </c>
      <c r="W410">
        <f>IF(AND(S410=1,OR(J410="",J410="No")),1,0)</f>
        <v/>
      </c>
      <c r="X410">
        <f>IF(AND(S410=1,K410=""),1,0)</f>
        <v/>
      </c>
      <c r="Y410">
        <f>IF(AND(S410=1,Q410&lt;&gt;""),ROUND(T410*100,0)*10000+10000-ROW(),"")</f>
        <v/>
      </c>
    </row>
    <row r="411">
      <c r="A411" s="1" t="n"/>
      <c r="B411" s="17" t="n"/>
      <c r="C411" s="18" t="n"/>
      <c r="D411" s="17" t="n"/>
      <c r="E411" s="19" t="n"/>
      <c r="F411" s="19" t="n"/>
      <c r="G411" s="20" t="n"/>
      <c r="H411" s="21" t="n"/>
      <c r="I411" s="21" t="n"/>
      <c r="J411" s="17" t="n"/>
      <c r="K411" s="19" t="n"/>
      <c r="L411" s="20" t="n"/>
      <c r="M411" s="19" t="n"/>
      <c r="N411" s="22">
        <f>IF(C411="","",IF(ISNUMBER(I411),I411,IF(ISNUMBER(H411),H411,"")))</f>
        <v/>
      </c>
      <c r="O411" s="23">
        <f>IF(OR(C411="",NOT(ISNUMBER(G411))),"",(TODAY()-INT(G411))/365.25)</f>
        <v/>
      </c>
      <c r="P411" s="13">
        <f>IF(OR(C411="",NOT(ISNUMBER(L411))),"",IF(L411&lt;TODAY(),"Ended",IF(L411-TODAY()&lt;=N(Settings!$C$10),"Ends soon","Covered")))</f>
        <v/>
      </c>
      <c r="Q411" s="13">
        <f>IF(C411="","",MID(IF(N411="",", value","")&amp;IF(OR(J411="",J411="No"),", receipt","")&amp;IF(K411="",", photo",""),3,100))</f>
        <v/>
      </c>
      <c r="R411" s="13">
        <f>IF(AND(B411="",C411=""),"",IF(C411="","Needs the item",IF(B411="","Needs a room",IF(COUNTIF(Rooms!$B$6:$B$35,B411)=0,"Not on Rooms",IF(AND(H411&lt;&gt;"",NOT(ISNUMBER(H411))),"Paid not a number",IF(AND(I411&lt;&gt;"",NOT(ISNUMBER(I411))),"Worth not a number",IF(AND(G411&lt;&gt;"",NOT(ISNUMBER(G411))),"Bought is not a date",IF(AND(L411&lt;&gt;"",NOT(ISNUMBER(L411))),"Warranty is not a date",""))))))))</f>
        <v/>
      </c>
      <c r="S411" s="1">
        <f>IF(AND(C411&lt;&gt;"",R411=""),1,0)</f>
        <v/>
      </c>
      <c r="T411">
        <f>IF(S411=1,N(N411),0)</f>
        <v/>
      </c>
      <c r="U411">
        <f>IF(AND(S411=1,T411&gt;0),ROUND(T411*100,0)*10000+10000-ROW(),"")</f>
        <v/>
      </c>
      <c r="V411">
        <f>IF(AND(S411=1,OR(Report!$C$5="",B411=Report!$C$5)),MATCH(B411,Rooms!$B$6:$B$35,0)*10000+ROW(),"")</f>
        <v/>
      </c>
      <c r="W411">
        <f>IF(AND(S411=1,OR(J411="",J411="No")),1,0)</f>
        <v/>
      </c>
      <c r="X411">
        <f>IF(AND(S411=1,K411=""),1,0)</f>
        <v/>
      </c>
      <c r="Y411">
        <f>IF(AND(S411=1,Q411&lt;&gt;""),ROUND(T411*100,0)*10000+10000-ROW(),"")</f>
        <v/>
      </c>
    </row>
    <row r="412">
      <c r="A412" s="1" t="n"/>
      <c r="B412" s="17" t="n"/>
      <c r="C412" s="18" t="n"/>
      <c r="D412" s="17" t="n"/>
      <c r="E412" s="19" t="n"/>
      <c r="F412" s="19" t="n"/>
      <c r="G412" s="20" t="n"/>
      <c r="H412" s="21" t="n"/>
      <c r="I412" s="21" t="n"/>
      <c r="J412" s="17" t="n"/>
      <c r="K412" s="19" t="n"/>
      <c r="L412" s="20" t="n"/>
      <c r="M412" s="19" t="n"/>
      <c r="N412" s="22">
        <f>IF(C412="","",IF(ISNUMBER(I412),I412,IF(ISNUMBER(H412),H412,"")))</f>
        <v/>
      </c>
      <c r="O412" s="23">
        <f>IF(OR(C412="",NOT(ISNUMBER(G412))),"",(TODAY()-INT(G412))/365.25)</f>
        <v/>
      </c>
      <c r="P412" s="13">
        <f>IF(OR(C412="",NOT(ISNUMBER(L412))),"",IF(L412&lt;TODAY(),"Ended",IF(L412-TODAY()&lt;=N(Settings!$C$10),"Ends soon","Covered")))</f>
        <v/>
      </c>
      <c r="Q412" s="13">
        <f>IF(C412="","",MID(IF(N412="",", value","")&amp;IF(OR(J412="",J412="No"),", receipt","")&amp;IF(K412="",", photo",""),3,100))</f>
        <v/>
      </c>
      <c r="R412" s="13">
        <f>IF(AND(B412="",C412=""),"",IF(C412="","Needs the item",IF(B412="","Needs a room",IF(COUNTIF(Rooms!$B$6:$B$35,B412)=0,"Not on Rooms",IF(AND(H412&lt;&gt;"",NOT(ISNUMBER(H412))),"Paid not a number",IF(AND(I412&lt;&gt;"",NOT(ISNUMBER(I412))),"Worth not a number",IF(AND(G412&lt;&gt;"",NOT(ISNUMBER(G412))),"Bought is not a date",IF(AND(L412&lt;&gt;"",NOT(ISNUMBER(L412))),"Warranty is not a date",""))))))))</f>
        <v/>
      </c>
      <c r="S412" s="1">
        <f>IF(AND(C412&lt;&gt;"",R412=""),1,0)</f>
        <v/>
      </c>
      <c r="T412">
        <f>IF(S412=1,N(N412),0)</f>
        <v/>
      </c>
      <c r="U412">
        <f>IF(AND(S412=1,T412&gt;0),ROUND(T412*100,0)*10000+10000-ROW(),"")</f>
        <v/>
      </c>
      <c r="V412">
        <f>IF(AND(S412=1,OR(Report!$C$5="",B412=Report!$C$5)),MATCH(B412,Rooms!$B$6:$B$35,0)*10000+ROW(),"")</f>
        <v/>
      </c>
      <c r="W412">
        <f>IF(AND(S412=1,OR(J412="",J412="No")),1,0)</f>
        <v/>
      </c>
      <c r="X412">
        <f>IF(AND(S412=1,K412=""),1,0)</f>
        <v/>
      </c>
      <c r="Y412">
        <f>IF(AND(S412=1,Q412&lt;&gt;""),ROUND(T412*100,0)*10000+10000-ROW(),"")</f>
        <v/>
      </c>
    </row>
    <row r="413">
      <c r="A413" s="1" t="n"/>
      <c r="B413" s="17" t="n"/>
      <c r="C413" s="18" t="n"/>
      <c r="D413" s="17" t="n"/>
      <c r="E413" s="19" t="n"/>
      <c r="F413" s="19" t="n"/>
      <c r="G413" s="20" t="n"/>
      <c r="H413" s="21" t="n"/>
      <c r="I413" s="21" t="n"/>
      <c r="J413" s="17" t="n"/>
      <c r="K413" s="19" t="n"/>
      <c r="L413" s="20" t="n"/>
      <c r="M413" s="19" t="n"/>
      <c r="N413" s="22">
        <f>IF(C413="","",IF(ISNUMBER(I413),I413,IF(ISNUMBER(H413),H413,"")))</f>
        <v/>
      </c>
      <c r="O413" s="23">
        <f>IF(OR(C413="",NOT(ISNUMBER(G413))),"",(TODAY()-INT(G413))/365.25)</f>
        <v/>
      </c>
      <c r="P413" s="13">
        <f>IF(OR(C413="",NOT(ISNUMBER(L413))),"",IF(L413&lt;TODAY(),"Ended",IF(L413-TODAY()&lt;=N(Settings!$C$10),"Ends soon","Covered")))</f>
        <v/>
      </c>
      <c r="Q413" s="13">
        <f>IF(C413="","",MID(IF(N413="",", value","")&amp;IF(OR(J413="",J413="No"),", receipt","")&amp;IF(K413="",", photo",""),3,100))</f>
        <v/>
      </c>
      <c r="R413" s="13">
        <f>IF(AND(B413="",C413=""),"",IF(C413="","Needs the item",IF(B413="","Needs a room",IF(COUNTIF(Rooms!$B$6:$B$35,B413)=0,"Not on Rooms",IF(AND(H413&lt;&gt;"",NOT(ISNUMBER(H413))),"Paid not a number",IF(AND(I413&lt;&gt;"",NOT(ISNUMBER(I413))),"Worth not a number",IF(AND(G413&lt;&gt;"",NOT(ISNUMBER(G413))),"Bought is not a date",IF(AND(L413&lt;&gt;"",NOT(ISNUMBER(L413))),"Warranty is not a date",""))))))))</f>
        <v/>
      </c>
      <c r="S413" s="1">
        <f>IF(AND(C413&lt;&gt;"",R413=""),1,0)</f>
        <v/>
      </c>
      <c r="T413">
        <f>IF(S413=1,N(N413),0)</f>
        <v/>
      </c>
      <c r="U413">
        <f>IF(AND(S413=1,T413&gt;0),ROUND(T413*100,0)*10000+10000-ROW(),"")</f>
        <v/>
      </c>
      <c r="V413">
        <f>IF(AND(S413=1,OR(Report!$C$5="",B413=Report!$C$5)),MATCH(B413,Rooms!$B$6:$B$35,0)*10000+ROW(),"")</f>
        <v/>
      </c>
      <c r="W413">
        <f>IF(AND(S413=1,OR(J413="",J413="No")),1,0)</f>
        <v/>
      </c>
      <c r="X413">
        <f>IF(AND(S413=1,K413=""),1,0)</f>
        <v/>
      </c>
      <c r="Y413">
        <f>IF(AND(S413=1,Q413&lt;&gt;""),ROUND(T413*100,0)*10000+10000-ROW(),"")</f>
        <v/>
      </c>
    </row>
    <row r="414">
      <c r="A414" s="1" t="n"/>
      <c r="B414" s="17" t="n"/>
      <c r="C414" s="18" t="n"/>
      <c r="D414" s="17" t="n"/>
      <c r="E414" s="19" t="n"/>
      <c r="F414" s="19" t="n"/>
      <c r="G414" s="20" t="n"/>
      <c r="H414" s="21" t="n"/>
      <c r="I414" s="21" t="n"/>
      <c r="J414" s="17" t="n"/>
      <c r="K414" s="19" t="n"/>
      <c r="L414" s="20" t="n"/>
      <c r="M414" s="19" t="n"/>
      <c r="N414" s="22">
        <f>IF(C414="","",IF(ISNUMBER(I414),I414,IF(ISNUMBER(H414),H414,"")))</f>
        <v/>
      </c>
      <c r="O414" s="23">
        <f>IF(OR(C414="",NOT(ISNUMBER(G414))),"",(TODAY()-INT(G414))/365.25)</f>
        <v/>
      </c>
      <c r="P414" s="13">
        <f>IF(OR(C414="",NOT(ISNUMBER(L414))),"",IF(L414&lt;TODAY(),"Ended",IF(L414-TODAY()&lt;=N(Settings!$C$10),"Ends soon","Covered")))</f>
        <v/>
      </c>
      <c r="Q414" s="13">
        <f>IF(C414="","",MID(IF(N414="",", value","")&amp;IF(OR(J414="",J414="No"),", receipt","")&amp;IF(K414="",", photo",""),3,100))</f>
        <v/>
      </c>
      <c r="R414" s="13">
        <f>IF(AND(B414="",C414=""),"",IF(C414="","Needs the item",IF(B414="","Needs a room",IF(COUNTIF(Rooms!$B$6:$B$35,B414)=0,"Not on Rooms",IF(AND(H414&lt;&gt;"",NOT(ISNUMBER(H414))),"Paid not a number",IF(AND(I414&lt;&gt;"",NOT(ISNUMBER(I414))),"Worth not a number",IF(AND(G414&lt;&gt;"",NOT(ISNUMBER(G414))),"Bought is not a date",IF(AND(L414&lt;&gt;"",NOT(ISNUMBER(L414))),"Warranty is not a date",""))))))))</f>
        <v/>
      </c>
      <c r="S414" s="1">
        <f>IF(AND(C414&lt;&gt;"",R414=""),1,0)</f>
        <v/>
      </c>
      <c r="T414">
        <f>IF(S414=1,N(N414),0)</f>
        <v/>
      </c>
      <c r="U414">
        <f>IF(AND(S414=1,T414&gt;0),ROUND(T414*100,0)*10000+10000-ROW(),"")</f>
        <v/>
      </c>
      <c r="V414">
        <f>IF(AND(S414=1,OR(Report!$C$5="",B414=Report!$C$5)),MATCH(B414,Rooms!$B$6:$B$35,0)*10000+ROW(),"")</f>
        <v/>
      </c>
      <c r="W414">
        <f>IF(AND(S414=1,OR(J414="",J414="No")),1,0)</f>
        <v/>
      </c>
      <c r="X414">
        <f>IF(AND(S414=1,K414=""),1,0)</f>
        <v/>
      </c>
      <c r="Y414">
        <f>IF(AND(S414=1,Q414&lt;&gt;""),ROUND(T414*100,0)*10000+10000-ROW(),"")</f>
        <v/>
      </c>
    </row>
    <row r="415">
      <c r="A415" s="1" t="n"/>
      <c r="B415" s="17" t="n"/>
      <c r="C415" s="18" t="n"/>
      <c r="D415" s="17" t="n"/>
      <c r="E415" s="19" t="n"/>
      <c r="F415" s="19" t="n"/>
      <c r="G415" s="20" t="n"/>
      <c r="H415" s="21" t="n"/>
      <c r="I415" s="21" t="n"/>
      <c r="J415" s="17" t="n"/>
      <c r="K415" s="19" t="n"/>
      <c r="L415" s="20" t="n"/>
      <c r="M415" s="19" t="n"/>
      <c r="N415" s="22">
        <f>IF(C415="","",IF(ISNUMBER(I415),I415,IF(ISNUMBER(H415),H415,"")))</f>
        <v/>
      </c>
      <c r="O415" s="23">
        <f>IF(OR(C415="",NOT(ISNUMBER(G415))),"",(TODAY()-INT(G415))/365.25)</f>
        <v/>
      </c>
      <c r="P415" s="13">
        <f>IF(OR(C415="",NOT(ISNUMBER(L415))),"",IF(L415&lt;TODAY(),"Ended",IF(L415-TODAY()&lt;=N(Settings!$C$10),"Ends soon","Covered")))</f>
        <v/>
      </c>
      <c r="Q415" s="13">
        <f>IF(C415="","",MID(IF(N415="",", value","")&amp;IF(OR(J415="",J415="No"),", receipt","")&amp;IF(K415="",", photo",""),3,100))</f>
        <v/>
      </c>
      <c r="R415" s="13">
        <f>IF(AND(B415="",C415=""),"",IF(C415="","Needs the item",IF(B415="","Needs a room",IF(COUNTIF(Rooms!$B$6:$B$35,B415)=0,"Not on Rooms",IF(AND(H415&lt;&gt;"",NOT(ISNUMBER(H415))),"Paid not a number",IF(AND(I415&lt;&gt;"",NOT(ISNUMBER(I415))),"Worth not a number",IF(AND(G415&lt;&gt;"",NOT(ISNUMBER(G415))),"Bought is not a date",IF(AND(L415&lt;&gt;"",NOT(ISNUMBER(L415))),"Warranty is not a date",""))))))))</f>
        <v/>
      </c>
      <c r="S415" s="1">
        <f>IF(AND(C415&lt;&gt;"",R415=""),1,0)</f>
        <v/>
      </c>
      <c r="T415">
        <f>IF(S415=1,N(N415),0)</f>
        <v/>
      </c>
      <c r="U415">
        <f>IF(AND(S415=1,T415&gt;0),ROUND(T415*100,0)*10000+10000-ROW(),"")</f>
        <v/>
      </c>
      <c r="V415">
        <f>IF(AND(S415=1,OR(Report!$C$5="",B415=Report!$C$5)),MATCH(B415,Rooms!$B$6:$B$35,0)*10000+ROW(),"")</f>
        <v/>
      </c>
      <c r="W415">
        <f>IF(AND(S415=1,OR(J415="",J415="No")),1,0)</f>
        <v/>
      </c>
      <c r="X415">
        <f>IF(AND(S415=1,K415=""),1,0)</f>
        <v/>
      </c>
      <c r="Y415">
        <f>IF(AND(S415=1,Q415&lt;&gt;""),ROUND(T415*100,0)*10000+10000-ROW(),"")</f>
        <v/>
      </c>
    </row>
    <row r="416">
      <c r="A416" s="1" t="n"/>
      <c r="B416" s="17" t="n"/>
      <c r="C416" s="18" t="n"/>
      <c r="D416" s="17" t="n"/>
      <c r="E416" s="19" t="n"/>
      <c r="F416" s="19" t="n"/>
      <c r="G416" s="20" t="n"/>
      <c r="H416" s="21" t="n"/>
      <c r="I416" s="21" t="n"/>
      <c r="J416" s="17" t="n"/>
      <c r="K416" s="19" t="n"/>
      <c r="L416" s="20" t="n"/>
      <c r="M416" s="19" t="n"/>
      <c r="N416" s="22">
        <f>IF(C416="","",IF(ISNUMBER(I416),I416,IF(ISNUMBER(H416),H416,"")))</f>
        <v/>
      </c>
      <c r="O416" s="23">
        <f>IF(OR(C416="",NOT(ISNUMBER(G416))),"",(TODAY()-INT(G416))/365.25)</f>
        <v/>
      </c>
      <c r="P416" s="13">
        <f>IF(OR(C416="",NOT(ISNUMBER(L416))),"",IF(L416&lt;TODAY(),"Ended",IF(L416-TODAY()&lt;=N(Settings!$C$10),"Ends soon","Covered")))</f>
        <v/>
      </c>
      <c r="Q416" s="13">
        <f>IF(C416="","",MID(IF(N416="",", value","")&amp;IF(OR(J416="",J416="No"),", receipt","")&amp;IF(K416="",", photo",""),3,100))</f>
        <v/>
      </c>
      <c r="R416" s="13">
        <f>IF(AND(B416="",C416=""),"",IF(C416="","Needs the item",IF(B416="","Needs a room",IF(COUNTIF(Rooms!$B$6:$B$35,B416)=0,"Not on Rooms",IF(AND(H416&lt;&gt;"",NOT(ISNUMBER(H416))),"Paid not a number",IF(AND(I416&lt;&gt;"",NOT(ISNUMBER(I416))),"Worth not a number",IF(AND(G416&lt;&gt;"",NOT(ISNUMBER(G416))),"Bought is not a date",IF(AND(L416&lt;&gt;"",NOT(ISNUMBER(L416))),"Warranty is not a date",""))))))))</f>
        <v/>
      </c>
      <c r="S416" s="1">
        <f>IF(AND(C416&lt;&gt;"",R416=""),1,0)</f>
        <v/>
      </c>
      <c r="T416">
        <f>IF(S416=1,N(N416),0)</f>
        <v/>
      </c>
      <c r="U416">
        <f>IF(AND(S416=1,T416&gt;0),ROUND(T416*100,0)*10000+10000-ROW(),"")</f>
        <v/>
      </c>
      <c r="V416">
        <f>IF(AND(S416=1,OR(Report!$C$5="",B416=Report!$C$5)),MATCH(B416,Rooms!$B$6:$B$35,0)*10000+ROW(),"")</f>
        <v/>
      </c>
      <c r="W416">
        <f>IF(AND(S416=1,OR(J416="",J416="No")),1,0)</f>
        <v/>
      </c>
      <c r="X416">
        <f>IF(AND(S416=1,K416=""),1,0)</f>
        <v/>
      </c>
      <c r="Y416">
        <f>IF(AND(S416=1,Q416&lt;&gt;""),ROUND(T416*100,0)*10000+10000-ROW(),"")</f>
        <v/>
      </c>
    </row>
    <row r="417">
      <c r="A417" s="1" t="n"/>
      <c r="B417" s="17" t="n"/>
      <c r="C417" s="18" t="n"/>
      <c r="D417" s="17" t="n"/>
      <c r="E417" s="19" t="n"/>
      <c r="F417" s="19" t="n"/>
      <c r="G417" s="20" t="n"/>
      <c r="H417" s="21" t="n"/>
      <c r="I417" s="21" t="n"/>
      <c r="J417" s="17" t="n"/>
      <c r="K417" s="19" t="n"/>
      <c r="L417" s="20" t="n"/>
      <c r="M417" s="19" t="n"/>
      <c r="N417" s="22">
        <f>IF(C417="","",IF(ISNUMBER(I417),I417,IF(ISNUMBER(H417),H417,"")))</f>
        <v/>
      </c>
      <c r="O417" s="23">
        <f>IF(OR(C417="",NOT(ISNUMBER(G417))),"",(TODAY()-INT(G417))/365.25)</f>
        <v/>
      </c>
      <c r="P417" s="13">
        <f>IF(OR(C417="",NOT(ISNUMBER(L417))),"",IF(L417&lt;TODAY(),"Ended",IF(L417-TODAY()&lt;=N(Settings!$C$10),"Ends soon","Covered")))</f>
        <v/>
      </c>
      <c r="Q417" s="13">
        <f>IF(C417="","",MID(IF(N417="",", value","")&amp;IF(OR(J417="",J417="No"),", receipt","")&amp;IF(K417="",", photo",""),3,100))</f>
        <v/>
      </c>
      <c r="R417" s="13">
        <f>IF(AND(B417="",C417=""),"",IF(C417="","Needs the item",IF(B417="","Needs a room",IF(COUNTIF(Rooms!$B$6:$B$35,B417)=0,"Not on Rooms",IF(AND(H417&lt;&gt;"",NOT(ISNUMBER(H417))),"Paid not a number",IF(AND(I417&lt;&gt;"",NOT(ISNUMBER(I417))),"Worth not a number",IF(AND(G417&lt;&gt;"",NOT(ISNUMBER(G417))),"Bought is not a date",IF(AND(L417&lt;&gt;"",NOT(ISNUMBER(L417))),"Warranty is not a date",""))))))))</f>
        <v/>
      </c>
      <c r="S417" s="1">
        <f>IF(AND(C417&lt;&gt;"",R417=""),1,0)</f>
        <v/>
      </c>
      <c r="T417">
        <f>IF(S417=1,N(N417),0)</f>
        <v/>
      </c>
      <c r="U417">
        <f>IF(AND(S417=1,T417&gt;0),ROUND(T417*100,0)*10000+10000-ROW(),"")</f>
        <v/>
      </c>
      <c r="V417">
        <f>IF(AND(S417=1,OR(Report!$C$5="",B417=Report!$C$5)),MATCH(B417,Rooms!$B$6:$B$35,0)*10000+ROW(),"")</f>
        <v/>
      </c>
      <c r="W417">
        <f>IF(AND(S417=1,OR(J417="",J417="No")),1,0)</f>
        <v/>
      </c>
      <c r="X417">
        <f>IF(AND(S417=1,K417=""),1,0)</f>
        <v/>
      </c>
      <c r="Y417">
        <f>IF(AND(S417=1,Q417&lt;&gt;""),ROUND(T417*100,0)*10000+10000-ROW(),"")</f>
        <v/>
      </c>
    </row>
    <row r="418">
      <c r="A418" s="1" t="n"/>
      <c r="B418" s="17" t="n"/>
      <c r="C418" s="18" t="n"/>
      <c r="D418" s="17" t="n"/>
      <c r="E418" s="19" t="n"/>
      <c r="F418" s="19" t="n"/>
      <c r="G418" s="20" t="n"/>
      <c r="H418" s="21" t="n"/>
      <c r="I418" s="21" t="n"/>
      <c r="J418" s="17" t="n"/>
      <c r="K418" s="19" t="n"/>
      <c r="L418" s="20" t="n"/>
      <c r="M418" s="19" t="n"/>
      <c r="N418" s="22">
        <f>IF(C418="","",IF(ISNUMBER(I418),I418,IF(ISNUMBER(H418),H418,"")))</f>
        <v/>
      </c>
      <c r="O418" s="23">
        <f>IF(OR(C418="",NOT(ISNUMBER(G418))),"",(TODAY()-INT(G418))/365.25)</f>
        <v/>
      </c>
      <c r="P418" s="13">
        <f>IF(OR(C418="",NOT(ISNUMBER(L418))),"",IF(L418&lt;TODAY(),"Ended",IF(L418-TODAY()&lt;=N(Settings!$C$10),"Ends soon","Covered")))</f>
        <v/>
      </c>
      <c r="Q418" s="13">
        <f>IF(C418="","",MID(IF(N418="",", value","")&amp;IF(OR(J418="",J418="No"),", receipt","")&amp;IF(K418="",", photo",""),3,100))</f>
        <v/>
      </c>
      <c r="R418" s="13">
        <f>IF(AND(B418="",C418=""),"",IF(C418="","Needs the item",IF(B418="","Needs a room",IF(COUNTIF(Rooms!$B$6:$B$35,B418)=0,"Not on Rooms",IF(AND(H418&lt;&gt;"",NOT(ISNUMBER(H418))),"Paid not a number",IF(AND(I418&lt;&gt;"",NOT(ISNUMBER(I418))),"Worth not a number",IF(AND(G418&lt;&gt;"",NOT(ISNUMBER(G418))),"Bought is not a date",IF(AND(L418&lt;&gt;"",NOT(ISNUMBER(L418))),"Warranty is not a date",""))))))))</f>
        <v/>
      </c>
      <c r="S418" s="1">
        <f>IF(AND(C418&lt;&gt;"",R418=""),1,0)</f>
        <v/>
      </c>
      <c r="T418">
        <f>IF(S418=1,N(N418),0)</f>
        <v/>
      </c>
      <c r="U418">
        <f>IF(AND(S418=1,T418&gt;0),ROUND(T418*100,0)*10000+10000-ROW(),"")</f>
        <v/>
      </c>
      <c r="V418">
        <f>IF(AND(S418=1,OR(Report!$C$5="",B418=Report!$C$5)),MATCH(B418,Rooms!$B$6:$B$35,0)*10000+ROW(),"")</f>
        <v/>
      </c>
      <c r="W418">
        <f>IF(AND(S418=1,OR(J418="",J418="No")),1,0)</f>
        <v/>
      </c>
      <c r="X418">
        <f>IF(AND(S418=1,K418=""),1,0)</f>
        <v/>
      </c>
      <c r="Y418">
        <f>IF(AND(S418=1,Q418&lt;&gt;""),ROUND(T418*100,0)*10000+10000-ROW(),"")</f>
        <v/>
      </c>
    </row>
    <row r="419">
      <c r="A419" s="1" t="n"/>
      <c r="B419" s="17" t="n"/>
      <c r="C419" s="18" t="n"/>
      <c r="D419" s="17" t="n"/>
      <c r="E419" s="19" t="n"/>
      <c r="F419" s="19" t="n"/>
      <c r="G419" s="20" t="n"/>
      <c r="H419" s="21" t="n"/>
      <c r="I419" s="21" t="n"/>
      <c r="J419" s="17" t="n"/>
      <c r="K419" s="19" t="n"/>
      <c r="L419" s="20" t="n"/>
      <c r="M419" s="19" t="n"/>
      <c r="N419" s="22">
        <f>IF(C419="","",IF(ISNUMBER(I419),I419,IF(ISNUMBER(H419),H419,"")))</f>
        <v/>
      </c>
      <c r="O419" s="23">
        <f>IF(OR(C419="",NOT(ISNUMBER(G419))),"",(TODAY()-INT(G419))/365.25)</f>
        <v/>
      </c>
      <c r="P419" s="13">
        <f>IF(OR(C419="",NOT(ISNUMBER(L419))),"",IF(L419&lt;TODAY(),"Ended",IF(L419-TODAY()&lt;=N(Settings!$C$10),"Ends soon","Covered")))</f>
        <v/>
      </c>
      <c r="Q419" s="13">
        <f>IF(C419="","",MID(IF(N419="",", value","")&amp;IF(OR(J419="",J419="No"),", receipt","")&amp;IF(K419="",", photo",""),3,100))</f>
        <v/>
      </c>
      <c r="R419" s="13">
        <f>IF(AND(B419="",C419=""),"",IF(C419="","Needs the item",IF(B419="","Needs a room",IF(COUNTIF(Rooms!$B$6:$B$35,B419)=0,"Not on Rooms",IF(AND(H419&lt;&gt;"",NOT(ISNUMBER(H419))),"Paid not a number",IF(AND(I419&lt;&gt;"",NOT(ISNUMBER(I419))),"Worth not a number",IF(AND(G419&lt;&gt;"",NOT(ISNUMBER(G419))),"Bought is not a date",IF(AND(L419&lt;&gt;"",NOT(ISNUMBER(L419))),"Warranty is not a date",""))))))))</f>
        <v/>
      </c>
      <c r="S419" s="1">
        <f>IF(AND(C419&lt;&gt;"",R419=""),1,0)</f>
        <v/>
      </c>
      <c r="T419">
        <f>IF(S419=1,N(N419),0)</f>
        <v/>
      </c>
      <c r="U419">
        <f>IF(AND(S419=1,T419&gt;0),ROUND(T419*100,0)*10000+10000-ROW(),"")</f>
        <v/>
      </c>
      <c r="V419">
        <f>IF(AND(S419=1,OR(Report!$C$5="",B419=Report!$C$5)),MATCH(B419,Rooms!$B$6:$B$35,0)*10000+ROW(),"")</f>
        <v/>
      </c>
      <c r="W419">
        <f>IF(AND(S419=1,OR(J419="",J419="No")),1,0)</f>
        <v/>
      </c>
      <c r="X419">
        <f>IF(AND(S419=1,K419=""),1,0)</f>
        <v/>
      </c>
      <c r="Y419">
        <f>IF(AND(S419=1,Q419&lt;&gt;""),ROUND(T419*100,0)*10000+10000-ROW(),"")</f>
        <v/>
      </c>
    </row>
    <row r="420">
      <c r="A420" s="1" t="n"/>
      <c r="B420" s="17" t="n"/>
      <c r="C420" s="18" t="n"/>
      <c r="D420" s="17" t="n"/>
      <c r="E420" s="19" t="n"/>
      <c r="F420" s="19" t="n"/>
      <c r="G420" s="20" t="n"/>
      <c r="H420" s="21" t="n"/>
      <c r="I420" s="21" t="n"/>
      <c r="J420" s="17" t="n"/>
      <c r="K420" s="19" t="n"/>
      <c r="L420" s="20" t="n"/>
      <c r="M420" s="19" t="n"/>
      <c r="N420" s="22">
        <f>IF(C420="","",IF(ISNUMBER(I420),I420,IF(ISNUMBER(H420),H420,"")))</f>
        <v/>
      </c>
      <c r="O420" s="23">
        <f>IF(OR(C420="",NOT(ISNUMBER(G420))),"",(TODAY()-INT(G420))/365.25)</f>
        <v/>
      </c>
      <c r="P420" s="13">
        <f>IF(OR(C420="",NOT(ISNUMBER(L420))),"",IF(L420&lt;TODAY(),"Ended",IF(L420-TODAY()&lt;=N(Settings!$C$10),"Ends soon","Covered")))</f>
        <v/>
      </c>
      <c r="Q420" s="13">
        <f>IF(C420="","",MID(IF(N420="",", value","")&amp;IF(OR(J420="",J420="No"),", receipt","")&amp;IF(K420="",", photo",""),3,100))</f>
        <v/>
      </c>
      <c r="R420" s="13">
        <f>IF(AND(B420="",C420=""),"",IF(C420="","Needs the item",IF(B420="","Needs a room",IF(COUNTIF(Rooms!$B$6:$B$35,B420)=0,"Not on Rooms",IF(AND(H420&lt;&gt;"",NOT(ISNUMBER(H420))),"Paid not a number",IF(AND(I420&lt;&gt;"",NOT(ISNUMBER(I420))),"Worth not a number",IF(AND(G420&lt;&gt;"",NOT(ISNUMBER(G420))),"Bought is not a date",IF(AND(L420&lt;&gt;"",NOT(ISNUMBER(L420))),"Warranty is not a date",""))))))))</f>
        <v/>
      </c>
      <c r="S420" s="1">
        <f>IF(AND(C420&lt;&gt;"",R420=""),1,0)</f>
        <v/>
      </c>
      <c r="T420">
        <f>IF(S420=1,N(N420),0)</f>
        <v/>
      </c>
      <c r="U420">
        <f>IF(AND(S420=1,T420&gt;0),ROUND(T420*100,0)*10000+10000-ROW(),"")</f>
        <v/>
      </c>
      <c r="V420">
        <f>IF(AND(S420=1,OR(Report!$C$5="",B420=Report!$C$5)),MATCH(B420,Rooms!$B$6:$B$35,0)*10000+ROW(),"")</f>
        <v/>
      </c>
      <c r="W420">
        <f>IF(AND(S420=1,OR(J420="",J420="No")),1,0)</f>
        <v/>
      </c>
      <c r="X420">
        <f>IF(AND(S420=1,K420=""),1,0)</f>
        <v/>
      </c>
      <c r="Y420">
        <f>IF(AND(S420=1,Q420&lt;&gt;""),ROUND(T420*100,0)*10000+10000-ROW(),"")</f>
        <v/>
      </c>
    </row>
    <row r="421">
      <c r="A421" s="1" t="n"/>
      <c r="B421" s="17" t="n"/>
      <c r="C421" s="18" t="n"/>
      <c r="D421" s="17" t="n"/>
      <c r="E421" s="19" t="n"/>
      <c r="F421" s="19" t="n"/>
      <c r="G421" s="20" t="n"/>
      <c r="H421" s="21" t="n"/>
      <c r="I421" s="21" t="n"/>
      <c r="J421" s="17" t="n"/>
      <c r="K421" s="19" t="n"/>
      <c r="L421" s="20" t="n"/>
      <c r="M421" s="19" t="n"/>
      <c r="N421" s="22">
        <f>IF(C421="","",IF(ISNUMBER(I421),I421,IF(ISNUMBER(H421),H421,"")))</f>
        <v/>
      </c>
      <c r="O421" s="23">
        <f>IF(OR(C421="",NOT(ISNUMBER(G421))),"",(TODAY()-INT(G421))/365.25)</f>
        <v/>
      </c>
      <c r="P421" s="13">
        <f>IF(OR(C421="",NOT(ISNUMBER(L421))),"",IF(L421&lt;TODAY(),"Ended",IF(L421-TODAY()&lt;=N(Settings!$C$10),"Ends soon","Covered")))</f>
        <v/>
      </c>
      <c r="Q421" s="13">
        <f>IF(C421="","",MID(IF(N421="",", value","")&amp;IF(OR(J421="",J421="No"),", receipt","")&amp;IF(K421="",", photo",""),3,100))</f>
        <v/>
      </c>
      <c r="R421" s="13">
        <f>IF(AND(B421="",C421=""),"",IF(C421="","Needs the item",IF(B421="","Needs a room",IF(COUNTIF(Rooms!$B$6:$B$35,B421)=0,"Not on Rooms",IF(AND(H421&lt;&gt;"",NOT(ISNUMBER(H421))),"Paid not a number",IF(AND(I421&lt;&gt;"",NOT(ISNUMBER(I421))),"Worth not a number",IF(AND(G421&lt;&gt;"",NOT(ISNUMBER(G421))),"Bought is not a date",IF(AND(L421&lt;&gt;"",NOT(ISNUMBER(L421))),"Warranty is not a date",""))))))))</f>
        <v/>
      </c>
      <c r="S421" s="1">
        <f>IF(AND(C421&lt;&gt;"",R421=""),1,0)</f>
        <v/>
      </c>
      <c r="T421">
        <f>IF(S421=1,N(N421),0)</f>
        <v/>
      </c>
      <c r="U421">
        <f>IF(AND(S421=1,T421&gt;0),ROUND(T421*100,0)*10000+10000-ROW(),"")</f>
        <v/>
      </c>
      <c r="V421">
        <f>IF(AND(S421=1,OR(Report!$C$5="",B421=Report!$C$5)),MATCH(B421,Rooms!$B$6:$B$35,0)*10000+ROW(),"")</f>
        <v/>
      </c>
      <c r="W421">
        <f>IF(AND(S421=1,OR(J421="",J421="No")),1,0)</f>
        <v/>
      </c>
      <c r="X421">
        <f>IF(AND(S421=1,K421=""),1,0)</f>
        <v/>
      </c>
      <c r="Y421">
        <f>IF(AND(S421=1,Q421&lt;&gt;""),ROUND(T421*100,0)*10000+10000-ROW(),"")</f>
        <v/>
      </c>
    </row>
    <row r="422">
      <c r="A422" s="1" t="n"/>
      <c r="B422" s="17" t="n"/>
      <c r="C422" s="18" t="n"/>
      <c r="D422" s="17" t="n"/>
      <c r="E422" s="19" t="n"/>
      <c r="F422" s="19" t="n"/>
      <c r="G422" s="20" t="n"/>
      <c r="H422" s="21" t="n"/>
      <c r="I422" s="21" t="n"/>
      <c r="J422" s="17" t="n"/>
      <c r="K422" s="19" t="n"/>
      <c r="L422" s="20" t="n"/>
      <c r="M422" s="19" t="n"/>
      <c r="N422" s="22">
        <f>IF(C422="","",IF(ISNUMBER(I422),I422,IF(ISNUMBER(H422),H422,"")))</f>
        <v/>
      </c>
      <c r="O422" s="23">
        <f>IF(OR(C422="",NOT(ISNUMBER(G422))),"",(TODAY()-INT(G422))/365.25)</f>
        <v/>
      </c>
      <c r="P422" s="13">
        <f>IF(OR(C422="",NOT(ISNUMBER(L422))),"",IF(L422&lt;TODAY(),"Ended",IF(L422-TODAY()&lt;=N(Settings!$C$10),"Ends soon","Covered")))</f>
        <v/>
      </c>
      <c r="Q422" s="13">
        <f>IF(C422="","",MID(IF(N422="",", value","")&amp;IF(OR(J422="",J422="No"),", receipt","")&amp;IF(K422="",", photo",""),3,100))</f>
        <v/>
      </c>
      <c r="R422" s="13">
        <f>IF(AND(B422="",C422=""),"",IF(C422="","Needs the item",IF(B422="","Needs a room",IF(COUNTIF(Rooms!$B$6:$B$35,B422)=0,"Not on Rooms",IF(AND(H422&lt;&gt;"",NOT(ISNUMBER(H422))),"Paid not a number",IF(AND(I422&lt;&gt;"",NOT(ISNUMBER(I422))),"Worth not a number",IF(AND(G422&lt;&gt;"",NOT(ISNUMBER(G422))),"Bought is not a date",IF(AND(L422&lt;&gt;"",NOT(ISNUMBER(L422))),"Warranty is not a date",""))))))))</f>
        <v/>
      </c>
      <c r="S422" s="1">
        <f>IF(AND(C422&lt;&gt;"",R422=""),1,0)</f>
        <v/>
      </c>
      <c r="T422">
        <f>IF(S422=1,N(N422),0)</f>
        <v/>
      </c>
      <c r="U422">
        <f>IF(AND(S422=1,T422&gt;0),ROUND(T422*100,0)*10000+10000-ROW(),"")</f>
        <v/>
      </c>
      <c r="V422">
        <f>IF(AND(S422=1,OR(Report!$C$5="",B422=Report!$C$5)),MATCH(B422,Rooms!$B$6:$B$35,0)*10000+ROW(),"")</f>
        <v/>
      </c>
      <c r="W422">
        <f>IF(AND(S422=1,OR(J422="",J422="No")),1,0)</f>
        <v/>
      </c>
      <c r="X422">
        <f>IF(AND(S422=1,K422=""),1,0)</f>
        <v/>
      </c>
      <c r="Y422">
        <f>IF(AND(S422=1,Q422&lt;&gt;""),ROUND(T422*100,0)*10000+10000-ROW(),"")</f>
        <v/>
      </c>
    </row>
    <row r="423">
      <c r="A423" s="1" t="n"/>
      <c r="B423" s="17" t="n"/>
      <c r="C423" s="18" t="n"/>
      <c r="D423" s="17" t="n"/>
      <c r="E423" s="19" t="n"/>
      <c r="F423" s="19" t="n"/>
      <c r="G423" s="20" t="n"/>
      <c r="H423" s="21" t="n"/>
      <c r="I423" s="21" t="n"/>
      <c r="J423" s="17" t="n"/>
      <c r="K423" s="19" t="n"/>
      <c r="L423" s="20" t="n"/>
      <c r="M423" s="19" t="n"/>
      <c r="N423" s="22">
        <f>IF(C423="","",IF(ISNUMBER(I423),I423,IF(ISNUMBER(H423),H423,"")))</f>
        <v/>
      </c>
      <c r="O423" s="23">
        <f>IF(OR(C423="",NOT(ISNUMBER(G423))),"",(TODAY()-INT(G423))/365.25)</f>
        <v/>
      </c>
      <c r="P423" s="13">
        <f>IF(OR(C423="",NOT(ISNUMBER(L423))),"",IF(L423&lt;TODAY(),"Ended",IF(L423-TODAY()&lt;=N(Settings!$C$10),"Ends soon","Covered")))</f>
        <v/>
      </c>
      <c r="Q423" s="13">
        <f>IF(C423="","",MID(IF(N423="",", value","")&amp;IF(OR(J423="",J423="No"),", receipt","")&amp;IF(K423="",", photo",""),3,100))</f>
        <v/>
      </c>
      <c r="R423" s="13">
        <f>IF(AND(B423="",C423=""),"",IF(C423="","Needs the item",IF(B423="","Needs a room",IF(COUNTIF(Rooms!$B$6:$B$35,B423)=0,"Not on Rooms",IF(AND(H423&lt;&gt;"",NOT(ISNUMBER(H423))),"Paid not a number",IF(AND(I423&lt;&gt;"",NOT(ISNUMBER(I423))),"Worth not a number",IF(AND(G423&lt;&gt;"",NOT(ISNUMBER(G423))),"Bought is not a date",IF(AND(L423&lt;&gt;"",NOT(ISNUMBER(L423))),"Warranty is not a date",""))))))))</f>
        <v/>
      </c>
      <c r="S423" s="1">
        <f>IF(AND(C423&lt;&gt;"",R423=""),1,0)</f>
        <v/>
      </c>
      <c r="T423">
        <f>IF(S423=1,N(N423),0)</f>
        <v/>
      </c>
      <c r="U423">
        <f>IF(AND(S423=1,T423&gt;0),ROUND(T423*100,0)*10000+10000-ROW(),"")</f>
        <v/>
      </c>
      <c r="V423">
        <f>IF(AND(S423=1,OR(Report!$C$5="",B423=Report!$C$5)),MATCH(B423,Rooms!$B$6:$B$35,0)*10000+ROW(),"")</f>
        <v/>
      </c>
      <c r="W423">
        <f>IF(AND(S423=1,OR(J423="",J423="No")),1,0)</f>
        <v/>
      </c>
      <c r="X423">
        <f>IF(AND(S423=1,K423=""),1,0)</f>
        <v/>
      </c>
      <c r="Y423">
        <f>IF(AND(S423=1,Q423&lt;&gt;""),ROUND(T423*100,0)*10000+10000-ROW(),"")</f>
        <v/>
      </c>
    </row>
    <row r="424">
      <c r="A424" s="1" t="n"/>
      <c r="B424" s="17" t="n"/>
      <c r="C424" s="18" t="n"/>
      <c r="D424" s="17" t="n"/>
      <c r="E424" s="19" t="n"/>
      <c r="F424" s="19" t="n"/>
      <c r="G424" s="20" t="n"/>
      <c r="H424" s="21" t="n"/>
      <c r="I424" s="21" t="n"/>
      <c r="J424" s="17" t="n"/>
      <c r="K424" s="19" t="n"/>
      <c r="L424" s="20" t="n"/>
      <c r="M424" s="19" t="n"/>
      <c r="N424" s="22">
        <f>IF(C424="","",IF(ISNUMBER(I424),I424,IF(ISNUMBER(H424),H424,"")))</f>
        <v/>
      </c>
      <c r="O424" s="23">
        <f>IF(OR(C424="",NOT(ISNUMBER(G424))),"",(TODAY()-INT(G424))/365.25)</f>
        <v/>
      </c>
      <c r="P424" s="13">
        <f>IF(OR(C424="",NOT(ISNUMBER(L424))),"",IF(L424&lt;TODAY(),"Ended",IF(L424-TODAY()&lt;=N(Settings!$C$10),"Ends soon","Covered")))</f>
        <v/>
      </c>
      <c r="Q424" s="13">
        <f>IF(C424="","",MID(IF(N424="",", value","")&amp;IF(OR(J424="",J424="No"),", receipt","")&amp;IF(K424="",", photo",""),3,100))</f>
        <v/>
      </c>
      <c r="R424" s="13">
        <f>IF(AND(B424="",C424=""),"",IF(C424="","Needs the item",IF(B424="","Needs a room",IF(COUNTIF(Rooms!$B$6:$B$35,B424)=0,"Not on Rooms",IF(AND(H424&lt;&gt;"",NOT(ISNUMBER(H424))),"Paid not a number",IF(AND(I424&lt;&gt;"",NOT(ISNUMBER(I424))),"Worth not a number",IF(AND(G424&lt;&gt;"",NOT(ISNUMBER(G424))),"Bought is not a date",IF(AND(L424&lt;&gt;"",NOT(ISNUMBER(L424))),"Warranty is not a date",""))))))))</f>
        <v/>
      </c>
      <c r="S424" s="1">
        <f>IF(AND(C424&lt;&gt;"",R424=""),1,0)</f>
        <v/>
      </c>
      <c r="T424">
        <f>IF(S424=1,N(N424),0)</f>
        <v/>
      </c>
      <c r="U424">
        <f>IF(AND(S424=1,T424&gt;0),ROUND(T424*100,0)*10000+10000-ROW(),"")</f>
        <v/>
      </c>
      <c r="V424">
        <f>IF(AND(S424=1,OR(Report!$C$5="",B424=Report!$C$5)),MATCH(B424,Rooms!$B$6:$B$35,0)*10000+ROW(),"")</f>
        <v/>
      </c>
      <c r="W424">
        <f>IF(AND(S424=1,OR(J424="",J424="No")),1,0)</f>
        <v/>
      </c>
      <c r="X424">
        <f>IF(AND(S424=1,K424=""),1,0)</f>
        <v/>
      </c>
      <c r="Y424">
        <f>IF(AND(S424=1,Q424&lt;&gt;""),ROUND(T424*100,0)*10000+10000-ROW(),"")</f>
        <v/>
      </c>
    </row>
    <row r="425">
      <c r="A425" s="1" t="n"/>
      <c r="B425" s="17" t="n"/>
      <c r="C425" s="18" t="n"/>
      <c r="D425" s="17" t="n"/>
      <c r="E425" s="19" t="n"/>
      <c r="F425" s="19" t="n"/>
      <c r="G425" s="20" t="n"/>
      <c r="H425" s="21" t="n"/>
      <c r="I425" s="21" t="n"/>
      <c r="J425" s="17" t="n"/>
      <c r="K425" s="19" t="n"/>
      <c r="L425" s="20" t="n"/>
      <c r="M425" s="19" t="n"/>
      <c r="N425" s="22">
        <f>IF(C425="","",IF(ISNUMBER(I425),I425,IF(ISNUMBER(H425),H425,"")))</f>
        <v/>
      </c>
      <c r="O425" s="23">
        <f>IF(OR(C425="",NOT(ISNUMBER(G425))),"",(TODAY()-INT(G425))/365.25)</f>
        <v/>
      </c>
      <c r="P425" s="13">
        <f>IF(OR(C425="",NOT(ISNUMBER(L425))),"",IF(L425&lt;TODAY(),"Ended",IF(L425-TODAY()&lt;=N(Settings!$C$10),"Ends soon","Covered")))</f>
        <v/>
      </c>
      <c r="Q425" s="13">
        <f>IF(C425="","",MID(IF(N425="",", value","")&amp;IF(OR(J425="",J425="No"),", receipt","")&amp;IF(K425="",", photo",""),3,100))</f>
        <v/>
      </c>
      <c r="R425" s="13">
        <f>IF(AND(B425="",C425=""),"",IF(C425="","Needs the item",IF(B425="","Needs a room",IF(COUNTIF(Rooms!$B$6:$B$35,B425)=0,"Not on Rooms",IF(AND(H425&lt;&gt;"",NOT(ISNUMBER(H425))),"Paid not a number",IF(AND(I425&lt;&gt;"",NOT(ISNUMBER(I425))),"Worth not a number",IF(AND(G425&lt;&gt;"",NOT(ISNUMBER(G425))),"Bought is not a date",IF(AND(L425&lt;&gt;"",NOT(ISNUMBER(L425))),"Warranty is not a date",""))))))))</f>
        <v/>
      </c>
      <c r="S425" s="1">
        <f>IF(AND(C425&lt;&gt;"",R425=""),1,0)</f>
        <v/>
      </c>
      <c r="T425">
        <f>IF(S425=1,N(N425),0)</f>
        <v/>
      </c>
      <c r="U425">
        <f>IF(AND(S425=1,T425&gt;0),ROUND(T425*100,0)*10000+10000-ROW(),"")</f>
        <v/>
      </c>
      <c r="V425">
        <f>IF(AND(S425=1,OR(Report!$C$5="",B425=Report!$C$5)),MATCH(B425,Rooms!$B$6:$B$35,0)*10000+ROW(),"")</f>
        <v/>
      </c>
      <c r="W425">
        <f>IF(AND(S425=1,OR(J425="",J425="No")),1,0)</f>
        <v/>
      </c>
      <c r="X425">
        <f>IF(AND(S425=1,K425=""),1,0)</f>
        <v/>
      </c>
      <c r="Y425">
        <f>IF(AND(S425=1,Q425&lt;&gt;""),ROUND(T425*100,0)*10000+10000-ROW(),"")</f>
        <v/>
      </c>
    </row>
    <row r="426">
      <c r="A426" s="1" t="n"/>
      <c r="B426" s="17" t="n"/>
      <c r="C426" s="18" t="n"/>
      <c r="D426" s="17" t="n"/>
      <c r="E426" s="19" t="n"/>
      <c r="F426" s="19" t="n"/>
      <c r="G426" s="20" t="n"/>
      <c r="H426" s="21" t="n"/>
      <c r="I426" s="21" t="n"/>
      <c r="J426" s="17" t="n"/>
      <c r="K426" s="19" t="n"/>
      <c r="L426" s="20" t="n"/>
      <c r="M426" s="19" t="n"/>
      <c r="N426" s="22">
        <f>IF(C426="","",IF(ISNUMBER(I426),I426,IF(ISNUMBER(H426),H426,"")))</f>
        <v/>
      </c>
      <c r="O426" s="23">
        <f>IF(OR(C426="",NOT(ISNUMBER(G426))),"",(TODAY()-INT(G426))/365.25)</f>
        <v/>
      </c>
      <c r="P426" s="13">
        <f>IF(OR(C426="",NOT(ISNUMBER(L426))),"",IF(L426&lt;TODAY(),"Ended",IF(L426-TODAY()&lt;=N(Settings!$C$10),"Ends soon","Covered")))</f>
        <v/>
      </c>
      <c r="Q426" s="13">
        <f>IF(C426="","",MID(IF(N426="",", value","")&amp;IF(OR(J426="",J426="No"),", receipt","")&amp;IF(K426="",", photo",""),3,100))</f>
        <v/>
      </c>
      <c r="R426" s="13">
        <f>IF(AND(B426="",C426=""),"",IF(C426="","Needs the item",IF(B426="","Needs a room",IF(COUNTIF(Rooms!$B$6:$B$35,B426)=0,"Not on Rooms",IF(AND(H426&lt;&gt;"",NOT(ISNUMBER(H426))),"Paid not a number",IF(AND(I426&lt;&gt;"",NOT(ISNUMBER(I426))),"Worth not a number",IF(AND(G426&lt;&gt;"",NOT(ISNUMBER(G426))),"Bought is not a date",IF(AND(L426&lt;&gt;"",NOT(ISNUMBER(L426))),"Warranty is not a date",""))))))))</f>
        <v/>
      </c>
      <c r="S426" s="1">
        <f>IF(AND(C426&lt;&gt;"",R426=""),1,0)</f>
        <v/>
      </c>
      <c r="T426">
        <f>IF(S426=1,N(N426),0)</f>
        <v/>
      </c>
      <c r="U426">
        <f>IF(AND(S426=1,T426&gt;0),ROUND(T426*100,0)*10000+10000-ROW(),"")</f>
        <v/>
      </c>
      <c r="V426">
        <f>IF(AND(S426=1,OR(Report!$C$5="",B426=Report!$C$5)),MATCH(B426,Rooms!$B$6:$B$35,0)*10000+ROW(),"")</f>
        <v/>
      </c>
      <c r="W426">
        <f>IF(AND(S426=1,OR(J426="",J426="No")),1,0)</f>
        <v/>
      </c>
      <c r="X426">
        <f>IF(AND(S426=1,K426=""),1,0)</f>
        <v/>
      </c>
      <c r="Y426">
        <f>IF(AND(S426=1,Q426&lt;&gt;""),ROUND(T426*100,0)*10000+10000-ROW(),"")</f>
        <v/>
      </c>
    </row>
    <row r="427">
      <c r="A427" s="1" t="n"/>
      <c r="B427" s="17" t="n"/>
      <c r="C427" s="18" t="n"/>
      <c r="D427" s="17" t="n"/>
      <c r="E427" s="19" t="n"/>
      <c r="F427" s="19" t="n"/>
      <c r="G427" s="20" t="n"/>
      <c r="H427" s="21" t="n"/>
      <c r="I427" s="21" t="n"/>
      <c r="J427" s="17" t="n"/>
      <c r="K427" s="19" t="n"/>
      <c r="L427" s="20" t="n"/>
      <c r="M427" s="19" t="n"/>
      <c r="N427" s="22">
        <f>IF(C427="","",IF(ISNUMBER(I427),I427,IF(ISNUMBER(H427),H427,"")))</f>
        <v/>
      </c>
      <c r="O427" s="23">
        <f>IF(OR(C427="",NOT(ISNUMBER(G427))),"",(TODAY()-INT(G427))/365.25)</f>
        <v/>
      </c>
      <c r="P427" s="13">
        <f>IF(OR(C427="",NOT(ISNUMBER(L427))),"",IF(L427&lt;TODAY(),"Ended",IF(L427-TODAY()&lt;=N(Settings!$C$10),"Ends soon","Covered")))</f>
        <v/>
      </c>
      <c r="Q427" s="13">
        <f>IF(C427="","",MID(IF(N427="",", value","")&amp;IF(OR(J427="",J427="No"),", receipt","")&amp;IF(K427="",", photo",""),3,100))</f>
        <v/>
      </c>
      <c r="R427" s="13">
        <f>IF(AND(B427="",C427=""),"",IF(C427="","Needs the item",IF(B427="","Needs a room",IF(COUNTIF(Rooms!$B$6:$B$35,B427)=0,"Not on Rooms",IF(AND(H427&lt;&gt;"",NOT(ISNUMBER(H427))),"Paid not a number",IF(AND(I427&lt;&gt;"",NOT(ISNUMBER(I427))),"Worth not a number",IF(AND(G427&lt;&gt;"",NOT(ISNUMBER(G427))),"Bought is not a date",IF(AND(L427&lt;&gt;"",NOT(ISNUMBER(L427))),"Warranty is not a date",""))))))))</f>
        <v/>
      </c>
      <c r="S427" s="1">
        <f>IF(AND(C427&lt;&gt;"",R427=""),1,0)</f>
        <v/>
      </c>
      <c r="T427">
        <f>IF(S427=1,N(N427),0)</f>
        <v/>
      </c>
      <c r="U427">
        <f>IF(AND(S427=1,T427&gt;0),ROUND(T427*100,0)*10000+10000-ROW(),"")</f>
        <v/>
      </c>
      <c r="V427">
        <f>IF(AND(S427=1,OR(Report!$C$5="",B427=Report!$C$5)),MATCH(B427,Rooms!$B$6:$B$35,0)*10000+ROW(),"")</f>
        <v/>
      </c>
      <c r="W427">
        <f>IF(AND(S427=1,OR(J427="",J427="No")),1,0)</f>
        <v/>
      </c>
      <c r="X427">
        <f>IF(AND(S427=1,K427=""),1,0)</f>
        <v/>
      </c>
      <c r="Y427">
        <f>IF(AND(S427=1,Q427&lt;&gt;""),ROUND(T427*100,0)*10000+10000-ROW(),"")</f>
        <v/>
      </c>
    </row>
    <row r="428">
      <c r="A428" s="1" t="n"/>
      <c r="B428" s="17" t="n"/>
      <c r="C428" s="18" t="n"/>
      <c r="D428" s="17" t="n"/>
      <c r="E428" s="19" t="n"/>
      <c r="F428" s="19" t="n"/>
      <c r="G428" s="20" t="n"/>
      <c r="H428" s="21" t="n"/>
      <c r="I428" s="21" t="n"/>
      <c r="J428" s="17" t="n"/>
      <c r="K428" s="19" t="n"/>
      <c r="L428" s="20" t="n"/>
      <c r="M428" s="19" t="n"/>
      <c r="N428" s="22">
        <f>IF(C428="","",IF(ISNUMBER(I428),I428,IF(ISNUMBER(H428),H428,"")))</f>
        <v/>
      </c>
      <c r="O428" s="23">
        <f>IF(OR(C428="",NOT(ISNUMBER(G428))),"",(TODAY()-INT(G428))/365.25)</f>
        <v/>
      </c>
      <c r="P428" s="13">
        <f>IF(OR(C428="",NOT(ISNUMBER(L428))),"",IF(L428&lt;TODAY(),"Ended",IF(L428-TODAY()&lt;=N(Settings!$C$10),"Ends soon","Covered")))</f>
        <v/>
      </c>
      <c r="Q428" s="13">
        <f>IF(C428="","",MID(IF(N428="",", value","")&amp;IF(OR(J428="",J428="No"),", receipt","")&amp;IF(K428="",", photo",""),3,100))</f>
        <v/>
      </c>
      <c r="R428" s="13">
        <f>IF(AND(B428="",C428=""),"",IF(C428="","Needs the item",IF(B428="","Needs a room",IF(COUNTIF(Rooms!$B$6:$B$35,B428)=0,"Not on Rooms",IF(AND(H428&lt;&gt;"",NOT(ISNUMBER(H428))),"Paid not a number",IF(AND(I428&lt;&gt;"",NOT(ISNUMBER(I428))),"Worth not a number",IF(AND(G428&lt;&gt;"",NOT(ISNUMBER(G428))),"Bought is not a date",IF(AND(L428&lt;&gt;"",NOT(ISNUMBER(L428))),"Warranty is not a date",""))))))))</f>
        <v/>
      </c>
      <c r="S428" s="1">
        <f>IF(AND(C428&lt;&gt;"",R428=""),1,0)</f>
        <v/>
      </c>
      <c r="T428">
        <f>IF(S428=1,N(N428),0)</f>
        <v/>
      </c>
      <c r="U428">
        <f>IF(AND(S428=1,T428&gt;0),ROUND(T428*100,0)*10000+10000-ROW(),"")</f>
        <v/>
      </c>
      <c r="V428">
        <f>IF(AND(S428=1,OR(Report!$C$5="",B428=Report!$C$5)),MATCH(B428,Rooms!$B$6:$B$35,0)*10000+ROW(),"")</f>
        <v/>
      </c>
      <c r="W428">
        <f>IF(AND(S428=1,OR(J428="",J428="No")),1,0)</f>
        <v/>
      </c>
      <c r="X428">
        <f>IF(AND(S428=1,K428=""),1,0)</f>
        <v/>
      </c>
      <c r="Y428">
        <f>IF(AND(S428=1,Q428&lt;&gt;""),ROUND(T428*100,0)*10000+10000-ROW(),"")</f>
        <v/>
      </c>
    </row>
    <row r="429">
      <c r="A429" s="1" t="n"/>
      <c r="B429" s="17" t="n"/>
      <c r="C429" s="18" t="n"/>
      <c r="D429" s="17" t="n"/>
      <c r="E429" s="19" t="n"/>
      <c r="F429" s="19" t="n"/>
      <c r="G429" s="20" t="n"/>
      <c r="H429" s="21" t="n"/>
      <c r="I429" s="21" t="n"/>
      <c r="J429" s="17" t="n"/>
      <c r="K429" s="19" t="n"/>
      <c r="L429" s="20" t="n"/>
      <c r="M429" s="19" t="n"/>
      <c r="N429" s="22">
        <f>IF(C429="","",IF(ISNUMBER(I429),I429,IF(ISNUMBER(H429),H429,"")))</f>
        <v/>
      </c>
      <c r="O429" s="23">
        <f>IF(OR(C429="",NOT(ISNUMBER(G429))),"",(TODAY()-INT(G429))/365.25)</f>
        <v/>
      </c>
      <c r="P429" s="13">
        <f>IF(OR(C429="",NOT(ISNUMBER(L429))),"",IF(L429&lt;TODAY(),"Ended",IF(L429-TODAY()&lt;=N(Settings!$C$10),"Ends soon","Covered")))</f>
        <v/>
      </c>
      <c r="Q429" s="13">
        <f>IF(C429="","",MID(IF(N429="",", value","")&amp;IF(OR(J429="",J429="No"),", receipt","")&amp;IF(K429="",", photo",""),3,100))</f>
        <v/>
      </c>
      <c r="R429" s="13">
        <f>IF(AND(B429="",C429=""),"",IF(C429="","Needs the item",IF(B429="","Needs a room",IF(COUNTIF(Rooms!$B$6:$B$35,B429)=0,"Not on Rooms",IF(AND(H429&lt;&gt;"",NOT(ISNUMBER(H429))),"Paid not a number",IF(AND(I429&lt;&gt;"",NOT(ISNUMBER(I429))),"Worth not a number",IF(AND(G429&lt;&gt;"",NOT(ISNUMBER(G429))),"Bought is not a date",IF(AND(L429&lt;&gt;"",NOT(ISNUMBER(L429))),"Warranty is not a date",""))))))))</f>
        <v/>
      </c>
      <c r="S429" s="1">
        <f>IF(AND(C429&lt;&gt;"",R429=""),1,0)</f>
        <v/>
      </c>
      <c r="T429">
        <f>IF(S429=1,N(N429),0)</f>
        <v/>
      </c>
      <c r="U429">
        <f>IF(AND(S429=1,T429&gt;0),ROUND(T429*100,0)*10000+10000-ROW(),"")</f>
        <v/>
      </c>
      <c r="V429">
        <f>IF(AND(S429=1,OR(Report!$C$5="",B429=Report!$C$5)),MATCH(B429,Rooms!$B$6:$B$35,0)*10000+ROW(),"")</f>
        <v/>
      </c>
      <c r="W429">
        <f>IF(AND(S429=1,OR(J429="",J429="No")),1,0)</f>
        <v/>
      </c>
      <c r="X429">
        <f>IF(AND(S429=1,K429=""),1,0)</f>
        <v/>
      </c>
      <c r="Y429">
        <f>IF(AND(S429=1,Q429&lt;&gt;""),ROUND(T429*100,0)*10000+10000-ROW(),"")</f>
        <v/>
      </c>
    </row>
    <row r="430">
      <c r="A430" s="1" t="n"/>
      <c r="B430" s="17" t="n"/>
      <c r="C430" s="18" t="n"/>
      <c r="D430" s="17" t="n"/>
      <c r="E430" s="19" t="n"/>
      <c r="F430" s="19" t="n"/>
      <c r="G430" s="20" t="n"/>
      <c r="H430" s="21" t="n"/>
      <c r="I430" s="21" t="n"/>
      <c r="J430" s="17" t="n"/>
      <c r="K430" s="19" t="n"/>
      <c r="L430" s="20" t="n"/>
      <c r="M430" s="19" t="n"/>
      <c r="N430" s="22">
        <f>IF(C430="","",IF(ISNUMBER(I430),I430,IF(ISNUMBER(H430),H430,"")))</f>
        <v/>
      </c>
      <c r="O430" s="23">
        <f>IF(OR(C430="",NOT(ISNUMBER(G430))),"",(TODAY()-INT(G430))/365.25)</f>
        <v/>
      </c>
      <c r="P430" s="13">
        <f>IF(OR(C430="",NOT(ISNUMBER(L430))),"",IF(L430&lt;TODAY(),"Ended",IF(L430-TODAY()&lt;=N(Settings!$C$10),"Ends soon","Covered")))</f>
        <v/>
      </c>
      <c r="Q430" s="13">
        <f>IF(C430="","",MID(IF(N430="",", value","")&amp;IF(OR(J430="",J430="No"),", receipt","")&amp;IF(K430="",", photo",""),3,100))</f>
        <v/>
      </c>
      <c r="R430" s="13">
        <f>IF(AND(B430="",C430=""),"",IF(C430="","Needs the item",IF(B430="","Needs a room",IF(COUNTIF(Rooms!$B$6:$B$35,B430)=0,"Not on Rooms",IF(AND(H430&lt;&gt;"",NOT(ISNUMBER(H430))),"Paid not a number",IF(AND(I430&lt;&gt;"",NOT(ISNUMBER(I430))),"Worth not a number",IF(AND(G430&lt;&gt;"",NOT(ISNUMBER(G430))),"Bought is not a date",IF(AND(L430&lt;&gt;"",NOT(ISNUMBER(L430))),"Warranty is not a date",""))))))))</f>
        <v/>
      </c>
      <c r="S430" s="1">
        <f>IF(AND(C430&lt;&gt;"",R430=""),1,0)</f>
        <v/>
      </c>
      <c r="T430">
        <f>IF(S430=1,N(N430),0)</f>
        <v/>
      </c>
      <c r="U430">
        <f>IF(AND(S430=1,T430&gt;0),ROUND(T430*100,0)*10000+10000-ROW(),"")</f>
        <v/>
      </c>
      <c r="V430">
        <f>IF(AND(S430=1,OR(Report!$C$5="",B430=Report!$C$5)),MATCH(B430,Rooms!$B$6:$B$35,0)*10000+ROW(),"")</f>
        <v/>
      </c>
      <c r="W430">
        <f>IF(AND(S430=1,OR(J430="",J430="No")),1,0)</f>
        <v/>
      </c>
      <c r="X430">
        <f>IF(AND(S430=1,K430=""),1,0)</f>
        <v/>
      </c>
      <c r="Y430">
        <f>IF(AND(S430=1,Q430&lt;&gt;""),ROUND(T430*100,0)*10000+10000-ROW(),"")</f>
        <v/>
      </c>
    </row>
    <row r="431">
      <c r="A431" s="1" t="n"/>
      <c r="B431" s="17" t="n"/>
      <c r="C431" s="18" t="n"/>
      <c r="D431" s="17" t="n"/>
      <c r="E431" s="19" t="n"/>
      <c r="F431" s="19" t="n"/>
      <c r="G431" s="20" t="n"/>
      <c r="H431" s="21" t="n"/>
      <c r="I431" s="21" t="n"/>
      <c r="J431" s="17" t="n"/>
      <c r="K431" s="19" t="n"/>
      <c r="L431" s="20" t="n"/>
      <c r="M431" s="19" t="n"/>
      <c r="N431" s="22">
        <f>IF(C431="","",IF(ISNUMBER(I431),I431,IF(ISNUMBER(H431),H431,"")))</f>
        <v/>
      </c>
      <c r="O431" s="23">
        <f>IF(OR(C431="",NOT(ISNUMBER(G431))),"",(TODAY()-INT(G431))/365.25)</f>
        <v/>
      </c>
      <c r="P431" s="13">
        <f>IF(OR(C431="",NOT(ISNUMBER(L431))),"",IF(L431&lt;TODAY(),"Ended",IF(L431-TODAY()&lt;=N(Settings!$C$10),"Ends soon","Covered")))</f>
        <v/>
      </c>
      <c r="Q431" s="13">
        <f>IF(C431="","",MID(IF(N431="",", value","")&amp;IF(OR(J431="",J431="No"),", receipt","")&amp;IF(K431="",", photo",""),3,100))</f>
        <v/>
      </c>
      <c r="R431" s="13">
        <f>IF(AND(B431="",C431=""),"",IF(C431="","Needs the item",IF(B431="","Needs a room",IF(COUNTIF(Rooms!$B$6:$B$35,B431)=0,"Not on Rooms",IF(AND(H431&lt;&gt;"",NOT(ISNUMBER(H431))),"Paid not a number",IF(AND(I431&lt;&gt;"",NOT(ISNUMBER(I431))),"Worth not a number",IF(AND(G431&lt;&gt;"",NOT(ISNUMBER(G431))),"Bought is not a date",IF(AND(L431&lt;&gt;"",NOT(ISNUMBER(L431))),"Warranty is not a date",""))))))))</f>
        <v/>
      </c>
      <c r="S431" s="1">
        <f>IF(AND(C431&lt;&gt;"",R431=""),1,0)</f>
        <v/>
      </c>
      <c r="T431">
        <f>IF(S431=1,N(N431),0)</f>
        <v/>
      </c>
      <c r="U431">
        <f>IF(AND(S431=1,T431&gt;0),ROUND(T431*100,0)*10000+10000-ROW(),"")</f>
        <v/>
      </c>
      <c r="V431">
        <f>IF(AND(S431=1,OR(Report!$C$5="",B431=Report!$C$5)),MATCH(B431,Rooms!$B$6:$B$35,0)*10000+ROW(),"")</f>
        <v/>
      </c>
      <c r="W431">
        <f>IF(AND(S431=1,OR(J431="",J431="No")),1,0)</f>
        <v/>
      </c>
      <c r="X431">
        <f>IF(AND(S431=1,K431=""),1,0)</f>
        <v/>
      </c>
      <c r="Y431">
        <f>IF(AND(S431=1,Q431&lt;&gt;""),ROUND(T431*100,0)*10000+10000-ROW(),"")</f>
        <v/>
      </c>
    </row>
    <row r="432">
      <c r="A432" s="1" t="n"/>
      <c r="B432" s="17" t="n"/>
      <c r="C432" s="18" t="n"/>
      <c r="D432" s="17" t="n"/>
      <c r="E432" s="19" t="n"/>
      <c r="F432" s="19" t="n"/>
      <c r="G432" s="20" t="n"/>
      <c r="H432" s="21" t="n"/>
      <c r="I432" s="21" t="n"/>
      <c r="J432" s="17" t="n"/>
      <c r="K432" s="19" t="n"/>
      <c r="L432" s="20" t="n"/>
      <c r="M432" s="19" t="n"/>
      <c r="N432" s="22">
        <f>IF(C432="","",IF(ISNUMBER(I432),I432,IF(ISNUMBER(H432),H432,"")))</f>
        <v/>
      </c>
      <c r="O432" s="23">
        <f>IF(OR(C432="",NOT(ISNUMBER(G432))),"",(TODAY()-INT(G432))/365.25)</f>
        <v/>
      </c>
      <c r="P432" s="13">
        <f>IF(OR(C432="",NOT(ISNUMBER(L432))),"",IF(L432&lt;TODAY(),"Ended",IF(L432-TODAY()&lt;=N(Settings!$C$10),"Ends soon","Covered")))</f>
        <v/>
      </c>
      <c r="Q432" s="13">
        <f>IF(C432="","",MID(IF(N432="",", value","")&amp;IF(OR(J432="",J432="No"),", receipt","")&amp;IF(K432="",", photo",""),3,100))</f>
        <v/>
      </c>
      <c r="R432" s="13">
        <f>IF(AND(B432="",C432=""),"",IF(C432="","Needs the item",IF(B432="","Needs a room",IF(COUNTIF(Rooms!$B$6:$B$35,B432)=0,"Not on Rooms",IF(AND(H432&lt;&gt;"",NOT(ISNUMBER(H432))),"Paid not a number",IF(AND(I432&lt;&gt;"",NOT(ISNUMBER(I432))),"Worth not a number",IF(AND(G432&lt;&gt;"",NOT(ISNUMBER(G432))),"Bought is not a date",IF(AND(L432&lt;&gt;"",NOT(ISNUMBER(L432))),"Warranty is not a date",""))))))))</f>
        <v/>
      </c>
      <c r="S432" s="1">
        <f>IF(AND(C432&lt;&gt;"",R432=""),1,0)</f>
        <v/>
      </c>
      <c r="T432">
        <f>IF(S432=1,N(N432),0)</f>
        <v/>
      </c>
      <c r="U432">
        <f>IF(AND(S432=1,T432&gt;0),ROUND(T432*100,0)*10000+10000-ROW(),"")</f>
        <v/>
      </c>
      <c r="V432">
        <f>IF(AND(S432=1,OR(Report!$C$5="",B432=Report!$C$5)),MATCH(B432,Rooms!$B$6:$B$35,0)*10000+ROW(),"")</f>
        <v/>
      </c>
      <c r="W432">
        <f>IF(AND(S432=1,OR(J432="",J432="No")),1,0)</f>
        <v/>
      </c>
      <c r="X432">
        <f>IF(AND(S432=1,K432=""),1,0)</f>
        <v/>
      </c>
      <c r="Y432">
        <f>IF(AND(S432=1,Q432&lt;&gt;""),ROUND(T432*100,0)*10000+10000-ROW(),"")</f>
        <v/>
      </c>
    </row>
    <row r="433">
      <c r="A433" s="1" t="n"/>
      <c r="B433" s="17" t="n"/>
      <c r="C433" s="18" t="n"/>
      <c r="D433" s="17" t="n"/>
      <c r="E433" s="19" t="n"/>
      <c r="F433" s="19" t="n"/>
      <c r="G433" s="20" t="n"/>
      <c r="H433" s="21" t="n"/>
      <c r="I433" s="21" t="n"/>
      <c r="J433" s="17" t="n"/>
      <c r="K433" s="19" t="n"/>
      <c r="L433" s="20" t="n"/>
      <c r="M433" s="19" t="n"/>
      <c r="N433" s="22">
        <f>IF(C433="","",IF(ISNUMBER(I433),I433,IF(ISNUMBER(H433),H433,"")))</f>
        <v/>
      </c>
      <c r="O433" s="23">
        <f>IF(OR(C433="",NOT(ISNUMBER(G433))),"",(TODAY()-INT(G433))/365.25)</f>
        <v/>
      </c>
      <c r="P433" s="13">
        <f>IF(OR(C433="",NOT(ISNUMBER(L433))),"",IF(L433&lt;TODAY(),"Ended",IF(L433-TODAY()&lt;=N(Settings!$C$10),"Ends soon","Covered")))</f>
        <v/>
      </c>
      <c r="Q433" s="13">
        <f>IF(C433="","",MID(IF(N433="",", value","")&amp;IF(OR(J433="",J433="No"),", receipt","")&amp;IF(K433="",", photo",""),3,100))</f>
        <v/>
      </c>
      <c r="R433" s="13">
        <f>IF(AND(B433="",C433=""),"",IF(C433="","Needs the item",IF(B433="","Needs a room",IF(COUNTIF(Rooms!$B$6:$B$35,B433)=0,"Not on Rooms",IF(AND(H433&lt;&gt;"",NOT(ISNUMBER(H433))),"Paid not a number",IF(AND(I433&lt;&gt;"",NOT(ISNUMBER(I433))),"Worth not a number",IF(AND(G433&lt;&gt;"",NOT(ISNUMBER(G433))),"Bought is not a date",IF(AND(L433&lt;&gt;"",NOT(ISNUMBER(L433))),"Warranty is not a date",""))))))))</f>
        <v/>
      </c>
      <c r="S433" s="1">
        <f>IF(AND(C433&lt;&gt;"",R433=""),1,0)</f>
        <v/>
      </c>
      <c r="T433">
        <f>IF(S433=1,N(N433),0)</f>
        <v/>
      </c>
      <c r="U433">
        <f>IF(AND(S433=1,T433&gt;0),ROUND(T433*100,0)*10000+10000-ROW(),"")</f>
        <v/>
      </c>
      <c r="V433">
        <f>IF(AND(S433=1,OR(Report!$C$5="",B433=Report!$C$5)),MATCH(B433,Rooms!$B$6:$B$35,0)*10000+ROW(),"")</f>
        <v/>
      </c>
      <c r="W433">
        <f>IF(AND(S433=1,OR(J433="",J433="No")),1,0)</f>
        <v/>
      </c>
      <c r="X433">
        <f>IF(AND(S433=1,K433=""),1,0)</f>
        <v/>
      </c>
      <c r="Y433">
        <f>IF(AND(S433=1,Q433&lt;&gt;""),ROUND(T433*100,0)*10000+10000-ROW(),"")</f>
        <v/>
      </c>
    </row>
    <row r="434">
      <c r="A434" s="1" t="n"/>
      <c r="B434" s="17" t="n"/>
      <c r="C434" s="18" t="n"/>
      <c r="D434" s="17" t="n"/>
      <c r="E434" s="19" t="n"/>
      <c r="F434" s="19" t="n"/>
      <c r="G434" s="20" t="n"/>
      <c r="H434" s="21" t="n"/>
      <c r="I434" s="21" t="n"/>
      <c r="J434" s="17" t="n"/>
      <c r="K434" s="19" t="n"/>
      <c r="L434" s="20" t="n"/>
      <c r="M434" s="19" t="n"/>
      <c r="N434" s="22">
        <f>IF(C434="","",IF(ISNUMBER(I434),I434,IF(ISNUMBER(H434),H434,"")))</f>
        <v/>
      </c>
      <c r="O434" s="23">
        <f>IF(OR(C434="",NOT(ISNUMBER(G434))),"",(TODAY()-INT(G434))/365.25)</f>
        <v/>
      </c>
      <c r="P434" s="13">
        <f>IF(OR(C434="",NOT(ISNUMBER(L434))),"",IF(L434&lt;TODAY(),"Ended",IF(L434-TODAY()&lt;=N(Settings!$C$10),"Ends soon","Covered")))</f>
        <v/>
      </c>
      <c r="Q434" s="13">
        <f>IF(C434="","",MID(IF(N434="",", value","")&amp;IF(OR(J434="",J434="No"),", receipt","")&amp;IF(K434="",", photo",""),3,100))</f>
        <v/>
      </c>
      <c r="R434" s="13">
        <f>IF(AND(B434="",C434=""),"",IF(C434="","Needs the item",IF(B434="","Needs a room",IF(COUNTIF(Rooms!$B$6:$B$35,B434)=0,"Not on Rooms",IF(AND(H434&lt;&gt;"",NOT(ISNUMBER(H434))),"Paid not a number",IF(AND(I434&lt;&gt;"",NOT(ISNUMBER(I434))),"Worth not a number",IF(AND(G434&lt;&gt;"",NOT(ISNUMBER(G434))),"Bought is not a date",IF(AND(L434&lt;&gt;"",NOT(ISNUMBER(L434))),"Warranty is not a date",""))))))))</f>
        <v/>
      </c>
      <c r="S434" s="1">
        <f>IF(AND(C434&lt;&gt;"",R434=""),1,0)</f>
        <v/>
      </c>
      <c r="T434">
        <f>IF(S434=1,N(N434),0)</f>
        <v/>
      </c>
      <c r="U434">
        <f>IF(AND(S434=1,T434&gt;0),ROUND(T434*100,0)*10000+10000-ROW(),"")</f>
        <v/>
      </c>
      <c r="V434">
        <f>IF(AND(S434=1,OR(Report!$C$5="",B434=Report!$C$5)),MATCH(B434,Rooms!$B$6:$B$35,0)*10000+ROW(),"")</f>
        <v/>
      </c>
      <c r="W434">
        <f>IF(AND(S434=1,OR(J434="",J434="No")),1,0)</f>
        <v/>
      </c>
      <c r="X434">
        <f>IF(AND(S434=1,K434=""),1,0)</f>
        <v/>
      </c>
      <c r="Y434">
        <f>IF(AND(S434=1,Q434&lt;&gt;""),ROUND(T434*100,0)*10000+10000-ROW(),"")</f>
        <v/>
      </c>
    </row>
    <row r="435">
      <c r="A435" s="1" t="n"/>
      <c r="B435" s="17" t="n"/>
      <c r="C435" s="18" t="n"/>
      <c r="D435" s="17" t="n"/>
      <c r="E435" s="19" t="n"/>
      <c r="F435" s="19" t="n"/>
      <c r="G435" s="20" t="n"/>
      <c r="H435" s="21" t="n"/>
      <c r="I435" s="21" t="n"/>
      <c r="J435" s="17" t="n"/>
      <c r="K435" s="19" t="n"/>
      <c r="L435" s="20" t="n"/>
      <c r="M435" s="19" t="n"/>
      <c r="N435" s="22">
        <f>IF(C435="","",IF(ISNUMBER(I435),I435,IF(ISNUMBER(H435),H435,"")))</f>
        <v/>
      </c>
      <c r="O435" s="23">
        <f>IF(OR(C435="",NOT(ISNUMBER(G435))),"",(TODAY()-INT(G435))/365.25)</f>
        <v/>
      </c>
      <c r="P435" s="13">
        <f>IF(OR(C435="",NOT(ISNUMBER(L435))),"",IF(L435&lt;TODAY(),"Ended",IF(L435-TODAY()&lt;=N(Settings!$C$10),"Ends soon","Covered")))</f>
        <v/>
      </c>
      <c r="Q435" s="13">
        <f>IF(C435="","",MID(IF(N435="",", value","")&amp;IF(OR(J435="",J435="No"),", receipt","")&amp;IF(K435="",", photo",""),3,100))</f>
        <v/>
      </c>
      <c r="R435" s="13">
        <f>IF(AND(B435="",C435=""),"",IF(C435="","Needs the item",IF(B435="","Needs a room",IF(COUNTIF(Rooms!$B$6:$B$35,B435)=0,"Not on Rooms",IF(AND(H435&lt;&gt;"",NOT(ISNUMBER(H435))),"Paid not a number",IF(AND(I435&lt;&gt;"",NOT(ISNUMBER(I435))),"Worth not a number",IF(AND(G435&lt;&gt;"",NOT(ISNUMBER(G435))),"Bought is not a date",IF(AND(L435&lt;&gt;"",NOT(ISNUMBER(L435))),"Warranty is not a date",""))))))))</f>
        <v/>
      </c>
      <c r="S435" s="1">
        <f>IF(AND(C435&lt;&gt;"",R435=""),1,0)</f>
        <v/>
      </c>
      <c r="T435">
        <f>IF(S435=1,N(N435),0)</f>
        <v/>
      </c>
      <c r="U435">
        <f>IF(AND(S435=1,T435&gt;0),ROUND(T435*100,0)*10000+10000-ROW(),"")</f>
        <v/>
      </c>
      <c r="V435">
        <f>IF(AND(S435=1,OR(Report!$C$5="",B435=Report!$C$5)),MATCH(B435,Rooms!$B$6:$B$35,0)*10000+ROW(),"")</f>
        <v/>
      </c>
      <c r="W435">
        <f>IF(AND(S435=1,OR(J435="",J435="No")),1,0)</f>
        <v/>
      </c>
      <c r="X435">
        <f>IF(AND(S435=1,K435=""),1,0)</f>
        <v/>
      </c>
      <c r="Y435">
        <f>IF(AND(S435=1,Q435&lt;&gt;""),ROUND(T435*100,0)*10000+10000-ROW(),"")</f>
        <v/>
      </c>
    </row>
    <row r="436">
      <c r="A436" s="1" t="n"/>
      <c r="B436" s="17" t="n"/>
      <c r="C436" s="18" t="n"/>
      <c r="D436" s="17" t="n"/>
      <c r="E436" s="19" t="n"/>
      <c r="F436" s="19" t="n"/>
      <c r="G436" s="20" t="n"/>
      <c r="H436" s="21" t="n"/>
      <c r="I436" s="21" t="n"/>
      <c r="J436" s="17" t="n"/>
      <c r="K436" s="19" t="n"/>
      <c r="L436" s="20" t="n"/>
      <c r="M436" s="19" t="n"/>
      <c r="N436" s="22">
        <f>IF(C436="","",IF(ISNUMBER(I436),I436,IF(ISNUMBER(H436),H436,"")))</f>
        <v/>
      </c>
      <c r="O436" s="23">
        <f>IF(OR(C436="",NOT(ISNUMBER(G436))),"",(TODAY()-INT(G436))/365.25)</f>
        <v/>
      </c>
      <c r="P436" s="13">
        <f>IF(OR(C436="",NOT(ISNUMBER(L436))),"",IF(L436&lt;TODAY(),"Ended",IF(L436-TODAY()&lt;=N(Settings!$C$10),"Ends soon","Covered")))</f>
        <v/>
      </c>
      <c r="Q436" s="13">
        <f>IF(C436="","",MID(IF(N436="",", value","")&amp;IF(OR(J436="",J436="No"),", receipt","")&amp;IF(K436="",", photo",""),3,100))</f>
        <v/>
      </c>
      <c r="R436" s="13">
        <f>IF(AND(B436="",C436=""),"",IF(C436="","Needs the item",IF(B436="","Needs a room",IF(COUNTIF(Rooms!$B$6:$B$35,B436)=0,"Not on Rooms",IF(AND(H436&lt;&gt;"",NOT(ISNUMBER(H436))),"Paid not a number",IF(AND(I436&lt;&gt;"",NOT(ISNUMBER(I436))),"Worth not a number",IF(AND(G436&lt;&gt;"",NOT(ISNUMBER(G436))),"Bought is not a date",IF(AND(L436&lt;&gt;"",NOT(ISNUMBER(L436))),"Warranty is not a date",""))))))))</f>
        <v/>
      </c>
      <c r="S436" s="1">
        <f>IF(AND(C436&lt;&gt;"",R436=""),1,0)</f>
        <v/>
      </c>
      <c r="T436">
        <f>IF(S436=1,N(N436),0)</f>
        <v/>
      </c>
      <c r="U436">
        <f>IF(AND(S436=1,T436&gt;0),ROUND(T436*100,0)*10000+10000-ROW(),"")</f>
        <v/>
      </c>
      <c r="V436">
        <f>IF(AND(S436=1,OR(Report!$C$5="",B436=Report!$C$5)),MATCH(B436,Rooms!$B$6:$B$35,0)*10000+ROW(),"")</f>
        <v/>
      </c>
      <c r="W436">
        <f>IF(AND(S436=1,OR(J436="",J436="No")),1,0)</f>
        <v/>
      </c>
      <c r="X436">
        <f>IF(AND(S436=1,K436=""),1,0)</f>
        <v/>
      </c>
      <c r="Y436">
        <f>IF(AND(S436=1,Q436&lt;&gt;""),ROUND(T436*100,0)*10000+10000-ROW(),"")</f>
        <v/>
      </c>
    </row>
    <row r="437">
      <c r="A437" s="1" t="n"/>
      <c r="B437" s="17" t="n"/>
      <c r="C437" s="18" t="n"/>
      <c r="D437" s="17" t="n"/>
      <c r="E437" s="19" t="n"/>
      <c r="F437" s="19" t="n"/>
      <c r="G437" s="20" t="n"/>
      <c r="H437" s="21" t="n"/>
      <c r="I437" s="21" t="n"/>
      <c r="J437" s="17" t="n"/>
      <c r="K437" s="19" t="n"/>
      <c r="L437" s="20" t="n"/>
      <c r="M437" s="19" t="n"/>
      <c r="N437" s="22">
        <f>IF(C437="","",IF(ISNUMBER(I437),I437,IF(ISNUMBER(H437),H437,"")))</f>
        <v/>
      </c>
      <c r="O437" s="23">
        <f>IF(OR(C437="",NOT(ISNUMBER(G437))),"",(TODAY()-INT(G437))/365.25)</f>
        <v/>
      </c>
      <c r="P437" s="13">
        <f>IF(OR(C437="",NOT(ISNUMBER(L437))),"",IF(L437&lt;TODAY(),"Ended",IF(L437-TODAY()&lt;=N(Settings!$C$10),"Ends soon","Covered")))</f>
        <v/>
      </c>
      <c r="Q437" s="13">
        <f>IF(C437="","",MID(IF(N437="",", value","")&amp;IF(OR(J437="",J437="No"),", receipt","")&amp;IF(K437="",", photo",""),3,100))</f>
        <v/>
      </c>
      <c r="R437" s="13">
        <f>IF(AND(B437="",C437=""),"",IF(C437="","Needs the item",IF(B437="","Needs a room",IF(COUNTIF(Rooms!$B$6:$B$35,B437)=0,"Not on Rooms",IF(AND(H437&lt;&gt;"",NOT(ISNUMBER(H437))),"Paid not a number",IF(AND(I437&lt;&gt;"",NOT(ISNUMBER(I437))),"Worth not a number",IF(AND(G437&lt;&gt;"",NOT(ISNUMBER(G437))),"Bought is not a date",IF(AND(L437&lt;&gt;"",NOT(ISNUMBER(L437))),"Warranty is not a date",""))))))))</f>
        <v/>
      </c>
      <c r="S437" s="1">
        <f>IF(AND(C437&lt;&gt;"",R437=""),1,0)</f>
        <v/>
      </c>
      <c r="T437">
        <f>IF(S437=1,N(N437),0)</f>
        <v/>
      </c>
      <c r="U437">
        <f>IF(AND(S437=1,T437&gt;0),ROUND(T437*100,0)*10000+10000-ROW(),"")</f>
        <v/>
      </c>
      <c r="V437">
        <f>IF(AND(S437=1,OR(Report!$C$5="",B437=Report!$C$5)),MATCH(B437,Rooms!$B$6:$B$35,0)*10000+ROW(),"")</f>
        <v/>
      </c>
      <c r="W437">
        <f>IF(AND(S437=1,OR(J437="",J437="No")),1,0)</f>
        <v/>
      </c>
      <c r="X437">
        <f>IF(AND(S437=1,K437=""),1,0)</f>
        <v/>
      </c>
      <c r="Y437">
        <f>IF(AND(S437=1,Q437&lt;&gt;""),ROUND(T437*100,0)*10000+10000-ROW(),"")</f>
        <v/>
      </c>
    </row>
    <row r="438">
      <c r="A438" s="1" t="n"/>
      <c r="B438" s="17" t="n"/>
      <c r="C438" s="18" t="n"/>
      <c r="D438" s="17" t="n"/>
      <c r="E438" s="19" t="n"/>
      <c r="F438" s="19" t="n"/>
      <c r="G438" s="20" t="n"/>
      <c r="H438" s="21" t="n"/>
      <c r="I438" s="21" t="n"/>
      <c r="J438" s="17" t="n"/>
      <c r="K438" s="19" t="n"/>
      <c r="L438" s="20" t="n"/>
      <c r="M438" s="19" t="n"/>
      <c r="N438" s="22">
        <f>IF(C438="","",IF(ISNUMBER(I438),I438,IF(ISNUMBER(H438),H438,"")))</f>
        <v/>
      </c>
      <c r="O438" s="23">
        <f>IF(OR(C438="",NOT(ISNUMBER(G438))),"",(TODAY()-INT(G438))/365.25)</f>
        <v/>
      </c>
      <c r="P438" s="13">
        <f>IF(OR(C438="",NOT(ISNUMBER(L438))),"",IF(L438&lt;TODAY(),"Ended",IF(L438-TODAY()&lt;=N(Settings!$C$10),"Ends soon","Covered")))</f>
        <v/>
      </c>
      <c r="Q438" s="13">
        <f>IF(C438="","",MID(IF(N438="",", value","")&amp;IF(OR(J438="",J438="No"),", receipt","")&amp;IF(K438="",", photo",""),3,100))</f>
        <v/>
      </c>
      <c r="R438" s="13">
        <f>IF(AND(B438="",C438=""),"",IF(C438="","Needs the item",IF(B438="","Needs a room",IF(COUNTIF(Rooms!$B$6:$B$35,B438)=0,"Not on Rooms",IF(AND(H438&lt;&gt;"",NOT(ISNUMBER(H438))),"Paid not a number",IF(AND(I438&lt;&gt;"",NOT(ISNUMBER(I438))),"Worth not a number",IF(AND(G438&lt;&gt;"",NOT(ISNUMBER(G438))),"Bought is not a date",IF(AND(L438&lt;&gt;"",NOT(ISNUMBER(L438))),"Warranty is not a date",""))))))))</f>
        <v/>
      </c>
      <c r="S438" s="1">
        <f>IF(AND(C438&lt;&gt;"",R438=""),1,0)</f>
        <v/>
      </c>
      <c r="T438">
        <f>IF(S438=1,N(N438),0)</f>
        <v/>
      </c>
      <c r="U438">
        <f>IF(AND(S438=1,T438&gt;0),ROUND(T438*100,0)*10000+10000-ROW(),"")</f>
        <v/>
      </c>
      <c r="V438">
        <f>IF(AND(S438=1,OR(Report!$C$5="",B438=Report!$C$5)),MATCH(B438,Rooms!$B$6:$B$35,0)*10000+ROW(),"")</f>
        <v/>
      </c>
      <c r="W438">
        <f>IF(AND(S438=1,OR(J438="",J438="No")),1,0)</f>
        <v/>
      </c>
      <c r="X438">
        <f>IF(AND(S438=1,K438=""),1,0)</f>
        <v/>
      </c>
      <c r="Y438">
        <f>IF(AND(S438=1,Q438&lt;&gt;""),ROUND(T438*100,0)*10000+10000-ROW(),"")</f>
        <v/>
      </c>
    </row>
    <row r="439">
      <c r="A439" s="1" t="n"/>
      <c r="B439" s="17" t="n"/>
      <c r="C439" s="18" t="n"/>
      <c r="D439" s="17" t="n"/>
      <c r="E439" s="19" t="n"/>
      <c r="F439" s="19" t="n"/>
      <c r="G439" s="20" t="n"/>
      <c r="H439" s="21" t="n"/>
      <c r="I439" s="21" t="n"/>
      <c r="J439" s="17" t="n"/>
      <c r="K439" s="19" t="n"/>
      <c r="L439" s="20" t="n"/>
      <c r="M439" s="19" t="n"/>
      <c r="N439" s="22">
        <f>IF(C439="","",IF(ISNUMBER(I439),I439,IF(ISNUMBER(H439),H439,"")))</f>
        <v/>
      </c>
      <c r="O439" s="23">
        <f>IF(OR(C439="",NOT(ISNUMBER(G439))),"",(TODAY()-INT(G439))/365.25)</f>
        <v/>
      </c>
      <c r="P439" s="13">
        <f>IF(OR(C439="",NOT(ISNUMBER(L439))),"",IF(L439&lt;TODAY(),"Ended",IF(L439-TODAY()&lt;=N(Settings!$C$10),"Ends soon","Covered")))</f>
        <v/>
      </c>
      <c r="Q439" s="13">
        <f>IF(C439="","",MID(IF(N439="",", value","")&amp;IF(OR(J439="",J439="No"),", receipt","")&amp;IF(K439="",", photo",""),3,100))</f>
        <v/>
      </c>
      <c r="R439" s="13">
        <f>IF(AND(B439="",C439=""),"",IF(C439="","Needs the item",IF(B439="","Needs a room",IF(COUNTIF(Rooms!$B$6:$B$35,B439)=0,"Not on Rooms",IF(AND(H439&lt;&gt;"",NOT(ISNUMBER(H439))),"Paid not a number",IF(AND(I439&lt;&gt;"",NOT(ISNUMBER(I439))),"Worth not a number",IF(AND(G439&lt;&gt;"",NOT(ISNUMBER(G439))),"Bought is not a date",IF(AND(L439&lt;&gt;"",NOT(ISNUMBER(L439))),"Warranty is not a date",""))))))))</f>
        <v/>
      </c>
      <c r="S439" s="1">
        <f>IF(AND(C439&lt;&gt;"",R439=""),1,0)</f>
        <v/>
      </c>
      <c r="T439">
        <f>IF(S439=1,N(N439),0)</f>
        <v/>
      </c>
      <c r="U439">
        <f>IF(AND(S439=1,T439&gt;0),ROUND(T439*100,0)*10000+10000-ROW(),"")</f>
        <v/>
      </c>
      <c r="V439">
        <f>IF(AND(S439=1,OR(Report!$C$5="",B439=Report!$C$5)),MATCH(B439,Rooms!$B$6:$B$35,0)*10000+ROW(),"")</f>
        <v/>
      </c>
      <c r="W439">
        <f>IF(AND(S439=1,OR(J439="",J439="No")),1,0)</f>
        <v/>
      </c>
      <c r="X439">
        <f>IF(AND(S439=1,K439=""),1,0)</f>
        <v/>
      </c>
      <c r="Y439">
        <f>IF(AND(S439=1,Q439&lt;&gt;""),ROUND(T439*100,0)*10000+10000-ROW(),"")</f>
        <v/>
      </c>
    </row>
    <row r="440">
      <c r="A440" s="1" t="n"/>
      <c r="B440" s="17" t="n"/>
      <c r="C440" s="18" t="n"/>
      <c r="D440" s="17" t="n"/>
      <c r="E440" s="19" t="n"/>
      <c r="F440" s="19" t="n"/>
      <c r="G440" s="20" t="n"/>
      <c r="H440" s="21" t="n"/>
      <c r="I440" s="21" t="n"/>
      <c r="J440" s="17" t="n"/>
      <c r="K440" s="19" t="n"/>
      <c r="L440" s="20" t="n"/>
      <c r="M440" s="19" t="n"/>
      <c r="N440" s="22">
        <f>IF(C440="","",IF(ISNUMBER(I440),I440,IF(ISNUMBER(H440),H440,"")))</f>
        <v/>
      </c>
      <c r="O440" s="23">
        <f>IF(OR(C440="",NOT(ISNUMBER(G440))),"",(TODAY()-INT(G440))/365.25)</f>
        <v/>
      </c>
      <c r="P440" s="13">
        <f>IF(OR(C440="",NOT(ISNUMBER(L440))),"",IF(L440&lt;TODAY(),"Ended",IF(L440-TODAY()&lt;=N(Settings!$C$10),"Ends soon","Covered")))</f>
        <v/>
      </c>
      <c r="Q440" s="13">
        <f>IF(C440="","",MID(IF(N440="",", value","")&amp;IF(OR(J440="",J440="No"),", receipt","")&amp;IF(K440="",", photo",""),3,100))</f>
        <v/>
      </c>
      <c r="R440" s="13">
        <f>IF(AND(B440="",C440=""),"",IF(C440="","Needs the item",IF(B440="","Needs a room",IF(COUNTIF(Rooms!$B$6:$B$35,B440)=0,"Not on Rooms",IF(AND(H440&lt;&gt;"",NOT(ISNUMBER(H440))),"Paid not a number",IF(AND(I440&lt;&gt;"",NOT(ISNUMBER(I440))),"Worth not a number",IF(AND(G440&lt;&gt;"",NOT(ISNUMBER(G440))),"Bought is not a date",IF(AND(L440&lt;&gt;"",NOT(ISNUMBER(L440))),"Warranty is not a date",""))))))))</f>
        <v/>
      </c>
      <c r="S440" s="1">
        <f>IF(AND(C440&lt;&gt;"",R440=""),1,0)</f>
        <v/>
      </c>
      <c r="T440">
        <f>IF(S440=1,N(N440),0)</f>
        <v/>
      </c>
      <c r="U440">
        <f>IF(AND(S440=1,T440&gt;0),ROUND(T440*100,0)*10000+10000-ROW(),"")</f>
        <v/>
      </c>
      <c r="V440">
        <f>IF(AND(S440=1,OR(Report!$C$5="",B440=Report!$C$5)),MATCH(B440,Rooms!$B$6:$B$35,0)*10000+ROW(),"")</f>
        <v/>
      </c>
      <c r="W440">
        <f>IF(AND(S440=1,OR(J440="",J440="No")),1,0)</f>
        <v/>
      </c>
      <c r="X440">
        <f>IF(AND(S440=1,K440=""),1,0)</f>
        <v/>
      </c>
      <c r="Y440">
        <f>IF(AND(S440=1,Q440&lt;&gt;""),ROUND(T440*100,0)*10000+10000-ROW(),"")</f>
        <v/>
      </c>
    </row>
    <row r="441">
      <c r="A441" s="1" t="n"/>
      <c r="B441" s="17" t="n"/>
      <c r="C441" s="18" t="n"/>
      <c r="D441" s="17" t="n"/>
      <c r="E441" s="19" t="n"/>
      <c r="F441" s="19" t="n"/>
      <c r="G441" s="20" t="n"/>
      <c r="H441" s="21" t="n"/>
      <c r="I441" s="21" t="n"/>
      <c r="J441" s="17" t="n"/>
      <c r="K441" s="19" t="n"/>
      <c r="L441" s="20" t="n"/>
      <c r="M441" s="19" t="n"/>
      <c r="N441" s="22">
        <f>IF(C441="","",IF(ISNUMBER(I441),I441,IF(ISNUMBER(H441),H441,"")))</f>
        <v/>
      </c>
      <c r="O441" s="23">
        <f>IF(OR(C441="",NOT(ISNUMBER(G441))),"",(TODAY()-INT(G441))/365.25)</f>
        <v/>
      </c>
      <c r="P441" s="13">
        <f>IF(OR(C441="",NOT(ISNUMBER(L441))),"",IF(L441&lt;TODAY(),"Ended",IF(L441-TODAY()&lt;=N(Settings!$C$10),"Ends soon","Covered")))</f>
        <v/>
      </c>
      <c r="Q441" s="13">
        <f>IF(C441="","",MID(IF(N441="",", value","")&amp;IF(OR(J441="",J441="No"),", receipt","")&amp;IF(K441="",", photo",""),3,100))</f>
        <v/>
      </c>
      <c r="R441" s="13">
        <f>IF(AND(B441="",C441=""),"",IF(C441="","Needs the item",IF(B441="","Needs a room",IF(COUNTIF(Rooms!$B$6:$B$35,B441)=0,"Not on Rooms",IF(AND(H441&lt;&gt;"",NOT(ISNUMBER(H441))),"Paid not a number",IF(AND(I441&lt;&gt;"",NOT(ISNUMBER(I441))),"Worth not a number",IF(AND(G441&lt;&gt;"",NOT(ISNUMBER(G441))),"Bought is not a date",IF(AND(L441&lt;&gt;"",NOT(ISNUMBER(L441))),"Warranty is not a date",""))))))))</f>
        <v/>
      </c>
      <c r="S441" s="1">
        <f>IF(AND(C441&lt;&gt;"",R441=""),1,0)</f>
        <v/>
      </c>
      <c r="T441">
        <f>IF(S441=1,N(N441),0)</f>
        <v/>
      </c>
      <c r="U441">
        <f>IF(AND(S441=1,T441&gt;0),ROUND(T441*100,0)*10000+10000-ROW(),"")</f>
        <v/>
      </c>
      <c r="V441">
        <f>IF(AND(S441=1,OR(Report!$C$5="",B441=Report!$C$5)),MATCH(B441,Rooms!$B$6:$B$35,0)*10000+ROW(),"")</f>
        <v/>
      </c>
      <c r="W441">
        <f>IF(AND(S441=1,OR(J441="",J441="No")),1,0)</f>
        <v/>
      </c>
      <c r="X441">
        <f>IF(AND(S441=1,K441=""),1,0)</f>
        <v/>
      </c>
      <c r="Y441">
        <f>IF(AND(S441=1,Q441&lt;&gt;""),ROUND(T441*100,0)*10000+10000-ROW(),"")</f>
        <v/>
      </c>
    </row>
    <row r="442">
      <c r="A442" s="1" t="n"/>
      <c r="B442" s="17" t="n"/>
      <c r="C442" s="18" t="n"/>
      <c r="D442" s="17" t="n"/>
      <c r="E442" s="19" t="n"/>
      <c r="F442" s="19" t="n"/>
      <c r="G442" s="20" t="n"/>
      <c r="H442" s="21" t="n"/>
      <c r="I442" s="21" t="n"/>
      <c r="J442" s="17" t="n"/>
      <c r="K442" s="19" t="n"/>
      <c r="L442" s="20" t="n"/>
      <c r="M442" s="19" t="n"/>
      <c r="N442" s="22">
        <f>IF(C442="","",IF(ISNUMBER(I442),I442,IF(ISNUMBER(H442),H442,"")))</f>
        <v/>
      </c>
      <c r="O442" s="23">
        <f>IF(OR(C442="",NOT(ISNUMBER(G442))),"",(TODAY()-INT(G442))/365.25)</f>
        <v/>
      </c>
      <c r="P442" s="13">
        <f>IF(OR(C442="",NOT(ISNUMBER(L442))),"",IF(L442&lt;TODAY(),"Ended",IF(L442-TODAY()&lt;=N(Settings!$C$10),"Ends soon","Covered")))</f>
        <v/>
      </c>
      <c r="Q442" s="13">
        <f>IF(C442="","",MID(IF(N442="",", value","")&amp;IF(OR(J442="",J442="No"),", receipt","")&amp;IF(K442="",", photo",""),3,100))</f>
        <v/>
      </c>
      <c r="R442" s="13">
        <f>IF(AND(B442="",C442=""),"",IF(C442="","Needs the item",IF(B442="","Needs a room",IF(COUNTIF(Rooms!$B$6:$B$35,B442)=0,"Not on Rooms",IF(AND(H442&lt;&gt;"",NOT(ISNUMBER(H442))),"Paid not a number",IF(AND(I442&lt;&gt;"",NOT(ISNUMBER(I442))),"Worth not a number",IF(AND(G442&lt;&gt;"",NOT(ISNUMBER(G442))),"Bought is not a date",IF(AND(L442&lt;&gt;"",NOT(ISNUMBER(L442))),"Warranty is not a date",""))))))))</f>
        <v/>
      </c>
      <c r="S442" s="1">
        <f>IF(AND(C442&lt;&gt;"",R442=""),1,0)</f>
        <v/>
      </c>
      <c r="T442">
        <f>IF(S442=1,N(N442),0)</f>
        <v/>
      </c>
      <c r="U442">
        <f>IF(AND(S442=1,T442&gt;0),ROUND(T442*100,0)*10000+10000-ROW(),"")</f>
        <v/>
      </c>
      <c r="V442">
        <f>IF(AND(S442=1,OR(Report!$C$5="",B442=Report!$C$5)),MATCH(B442,Rooms!$B$6:$B$35,0)*10000+ROW(),"")</f>
        <v/>
      </c>
      <c r="W442">
        <f>IF(AND(S442=1,OR(J442="",J442="No")),1,0)</f>
        <v/>
      </c>
      <c r="X442">
        <f>IF(AND(S442=1,K442=""),1,0)</f>
        <v/>
      </c>
      <c r="Y442">
        <f>IF(AND(S442=1,Q442&lt;&gt;""),ROUND(T442*100,0)*10000+10000-ROW(),"")</f>
        <v/>
      </c>
    </row>
    <row r="443">
      <c r="A443" s="1" t="n"/>
      <c r="B443" s="17" t="n"/>
      <c r="C443" s="18" t="n"/>
      <c r="D443" s="17" t="n"/>
      <c r="E443" s="19" t="n"/>
      <c r="F443" s="19" t="n"/>
      <c r="G443" s="20" t="n"/>
      <c r="H443" s="21" t="n"/>
      <c r="I443" s="21" t="n"/>
      <c r="J443" s="17" t="n"/>
      <c r="K443" s="19" t="n"/>
      <c r="L443" s="20" t="n"/>
      <c r="M443" s="19" t="n"/>
      <c r="N443" s="22">
        <f>IF(C443="","",IF(ISNUMBER(I443),I443,IF(ISNUMBER(H443),H443,"")))</f>
        <v/>
      </c>
      <c r="O443" s="23">
        <f>IF(OR(C443="",NOT(ISNUMBER(G443))),"",(TODAY()-INT(G443))/365.25)</f>
        <v/>
      </c>
      <c r="P443" s="13">
        <f>IF(OR(C443="",NOT(ISNUMBER(L443))),"",IF(L443&lt;TODAY(),"Ended",IF(L443-TODAY()&lt;=N(Settings!$C$10),"Ends soon","Covered")))</f>
        <v/>
      </c>
      <c r="Q443" s="13">
        <f>IF(C443="","",MID(IF(N443="",", value","")&amp;IF(OR(J443="",J443="No"),", receipt","")&amp;IF(K443="",", photo",""),3,100))</f>
        <v/>
      </c>
      <c r="R443" s="13">
        <f>IF(AND(B443="",C443=""),"",IF(C443="","Needs the item",IF(B443="","Needs a room",IF(COUNTIF(Rooms!$B$6:$B$35,B443)=0,"Not on Rooms",IF(AND(H443&lt;&gt;"",NOT(ISNUMBER(H443))),"Paid not a number",IF(AND(I443&lt;&gt;"",NOT(ISNUMBER(I443))),"Worth not a number",IF(AND(G443&lt;&gt;"",NOT(ISNUMBER(G443))),"Bought is not a date",IF(AND(L443&lt;&gt;"",NOT(ISNUMBER(L443))),"Warranty is not a date",""))))))))</f>
        <v/>
      </c>
      <c r="S443" s="1">
        <f>IF(AND(C443&lt;&gt;"",R443=""),1,0)</f>
        <v/>
      </c>
      <c r="T443">
        <f>IF(S443=1,N(N443),0)</f>
        <v/>
      </c>
      <c r="U443">
        <f>IF(AND(S443=1,T443&gt;0),ROUND(T443*100,0)*10000+10000-ROW(),"")</f>
        <v/>
      </c>
      <c r="V443">
        <f>IF(AND(S443=1,OR(Report!$C$5="",B443=Report!$C$5)),MATCH(B443,Rooms!$B$6:$B$35,0)*10000+ROW(),"")</f>
        <v/>
      </c>
      <c r="W443">
        <f>IF(AND(S443=1,OR(J443="",J443="No")),1,0)</f>
        <v/>
      </c>
      <c r="X443">
        <f>IF(AND(S443=1,K443=""),1,0)</f>
        <v/>
      </c>
      <c r="Y443">
        <f>IF(AND(S443=1,Q443&lt;&gt;""),ROUND(T443*100,0)*10000+10000-ROW(),"")</f>
        <v/>
      </c>
    </row>
    <row r="444">
      <c r="A444" s="1" t="n"/>
      <c r="B444" s="17" t="n"/>
      <c r="C444" s="18" t="n"/>
      <c r="D444" s="17" t="n"/>
      <c r="E444" s="19" t="n"/>
      <c r="F444" s="19" t="n"/>
      <c r="G444" s="20" t="n"/>
      <c r="H444" s="21" t="n"/>
      <c r="I444" s="21" t="n"/>
      <c r="J444" s="17" t="n"/>
      <c r="K444" s="19" t="n"/>
      <c r="L444" s="20" t="n"/>
      <c r="M444" s="19" t="n"/>
      <c r="N444" s="22">
        <f>IF(C444="","",IF(ISNUMBER(I444),I444,IF(ISNUMBER(H444),H444,"")))</f>
        <v/>
      </c>
      <c r="O444" s="23">
        <f>IF(OR(C444="",NOT(ISNUMBER(G444))),"",(TODAY()-INT(G444))/365.25)</f>
        <v/>
      </c>
      <c r="P444" s="13">
        <f>IF(OR(C444="",NOT(ISNUMBER(L444))),"",IF(L444&lt;TODAY(),"Ended",IF(L444-TODAY()&lt;=N(Settings!$C$10),"Ends soon","Covered")))</f>
        <v/>
      </c>
      <c r="Q444" s="13">
        <f>IF(C444="","",MID(IF(N444="",", value","")&amp;IF(OR(J444="",J444="No"),", receipt","")&amp;IF(K444="",", photo",""),3,100))</f>
        <v/>
      </c>
      <c r="R444" s="13">
        <f>IF(AND(B444="",C444=""),"",IF(C444="","Needs the item",IF(B444="","Needs a room",IF(COUNTIF(Rooms!$B$6:$B$35,B444)=0,"Not on Rooms",IF(AND(H444&lt;&gt;"",NOT(ISNUMBER(H444))),"Paid not a number",IF(AND(I444&lt;&gt;"",NOT(ISNUMBER(I444))),"Worth not a number",IF(AND(G444&lt;&gt;"",NOT(ISNUMBER(G444))),"Bought is not a date",IF(AND(L444&lt;&gt;"",NOT(ISNUMBER(L444))),"Warranty is not a date",""))))))))</f>
        <v/>
      </c>
      <c r="S444" s="1">
        <f>IF(AND(C444&lt;&gt;"",R444=""),1,0)</f>
        <v/>
      </c>
      <c r="T444">
        <f>IF(S444=1,N(N444),0)</f>
        <v/>
      </c>
      <c r="U444">
        <f>IF(AND(S444=1,T444&gt;0),ROUND(T444*100,0)*10000+10000-ROW(),"")</f>
        <v/>
      </c>
      <c r="V444">
        <f>IF(AND(S444=1,OR(Report!$C$5="",B444=Report!$C$5)),MATCH(B444,Rooms!$B$6:$B$35,0)*10000+ROW(),"")</f>
        <v/>
      </c>
      <c r="W444">
        <f>IF(AND(S444=1,OR(J444="",J444="No")),1,0)</f>
        <v/>
      </c>
      <c r="X444">
        <f>IF(AND(S444=1,K444=""),1,0)</f>
        <v/>
      </c>
      <c r="Y444">
        <f>IF(AND(S444=1,Q444&lt;&gt;""),ROUND(T444*100,0)*10000+10000-ROW(),"")</f>
        <v/>
      </c>
    </row>
    <row r="445">
      <c r="A445" s="1" t="n"/>
      <c r="B445" s="17" t="n"/>
      <c r="C445" s="18" t="n"/>
      <c r="D445" s="17" t="n"/>
      <c r="E445" s="19" t="n"/>
      <c r="F445" s="19" t="n"/>
      <c r="G445" s="20" t="n"/>
      <c r="H445" s="21" t="n"/>
      <c r="I445" s="21" t="n"/>
      <c r="J445" s="17" t="n"/>
      <c r="K445" s="19" t="n"/>
      <c r="L445" s="20" t="n"/>
      <c r="M445" s="19" t="n"/>
      <c r="N445" s="22">
        <f>IF(C445="","",IF(ISNUMBER(I445),I445,IF(ISNUMBER(H445),H445,"")))</f>
        <v/>
      </c>
      <c r="O445" s="23">
        <f>IF(OR(C445="",NOT(ISNUMBER(G445))),"",(TODAY()-INT(G445))/365.25)</f>
        <v/>
      </c>
      <c r="P445" s="13">
        <f>IF(OR(C445="",NOT(ISNUMBER(L445))),"",IF(L445&lt;TODAY(),"Ended",IF(L445-TODAY()&lt;=N(Settings!$C$10),"Ends soon","Covered")))</f>
        <v/>
      </c>
      <c r="Q445" s="13">
        <f>IF(C445="","",MID(IF(N445="",", value","")&amp;IF(OR(J445="",J445="No"),", receipt","")&amp;IF(K445="",", photo",""),3,100))</f>
        <v/>
      </c>
      <c r="R445" s="13">
        <f>IF(AND(B445="",C445=""),"",IF(C445="","Needs the item",IF(B445="","Needs a room",IF(COUNTIF(Rooms!$B$6:$B$35,B445)=0,"Not on Rooms",IF(AND(H445&lt;&gt;"",NOT(ISNUMBER(H445))),"Paid not a number",IF(AND(I445&lt;&gt;"",NOT(ISNUMBER(I445))),"Worth not a number",IF(AND(G445&lt;&gt;"",NOT(ISNUMBER(G445))),"Bought is not a date",IF(AND(L445&lt;&gt;"",NOT(ISNUMBER(L445))),"Warranty is not a date",""))))))))</f>
        <v/>
      </c>
      <c r="S445" s="1">
        <f>IF(AND(C445&lt;&gt;"",R445=""),1,0)</f>
        <v/>
      </c>
      <c r="T445">
        <f>IF(S445=1,N(N445),0)</f>
        <v/>
      </c>
      <c r="U445">
        <f>IF(AND(S445=1,T445&gt;0),ROUND(T445*100,0)*10000+10000-ROW(),"")</f>
        <v/>
      </c>
      <c r="V445">
        <f>IF(AND(S445=1,OR(Report!$C$5="",B445=Report!$C$5)),MATCH(B445,Rooms!$B$6:$B$35,0)*10000+ROW(),"")</f>
        <v/>
      </c>
      <c r="W445">
        <f>IF(AND(S445=1,OR(J445="",J445="No")),1,0)</f>
        <v/>
      </c>
      <c r="X445">
        <f>IF(AND(S445=1,K445=""),1,0)</f>
        <v/>
      </c>
      <c r="Y445">
        <f>IF(AND(S445=1,Q445&lt;&gt;""),ROUND(T445*100,0)*10000+10000-ROW(),"")</f>
        <v/>
      </c>
    </row>
    <row r="446">
      <c r="A446" s="1" t="n"/>
      <c r="B446" s="17" t="n"/>
      <c r="C446" s="18" t="n"/>
      <c r="D446" s="17" t="n"/>
      <c r="E446" s="19" t="n"/>
      <c r="F446" s="19" t="n"/>
      <c r="G446" s="20" t="n"/>
      <c r="H446" s="21" t="n"/>
      <c r="I446" s="21" t="n"/>
      <c r="J446" s="17" t="n"/>
      <c r="K446" s="19" t="n"/>
      <c r="L446" s="20" t="n"/>
      <c r="M446" s="19" t="n"/>
      <c r="N446" s="22">
        <f>IF(C446="","",IF(ISNUMBER(I446),I446,IF(ISNUMBER(H446),H446,"")))</f>
        <v/>
      </c>
      <c r="O446" s="23">
        <f>IF(OR(C446="",NOT(ISNUMBER(G446))),"",(TODAY()-INT(G446))/365.25)</f>
        <v/>
      </c>
      <c r="P446" s="13">
        <f>IF(OR(C446="",NOT(ISNUMBER(L446))),"",IF(L446&lt;TODAY(),"Ended",IF(L446-TODAY()&lt;=N(Settings!$C$10),"Ends soon","Covered")))</f>
        <v/>
      </c>
      <c r="Q446" s="13">
        <f>IF(C446="","",MID(IF(N446="",", value","")&amp;IF(OR(J446="",J446="No"),", receipt","")&amp;IF(K446="",", photo",""),3,100))</f>
        <v/>
      </c>
      <c r="R446" s="13">
        <f>IF(AND(B446="",C446=""),"",IF(C446="","Needs the item",IF(B446="","Needs a room",IF(COUNTIF(Rooms!$B$6:$B$35,B446)=0,"Not on Rooms",IF(AND(H446&lt;&gt;"",NOT(ISNUMBER(H446))),"Paid not a number",IF(AND(I446&lt;&gt;"",NOT(ISNUMBER(I446))),"Worth not a number",IF(AND(G446&lt;&gt;"",NOT(ISNUMBER(G446))),"Bought is not a date",IF(AND(L446&lt;&gt;"",NOT(ISNUMBER(L446))),"Warranty is not a date",""))))))))</f>
        <v/>
      </c>
      <c r="S446" s="1">
        <f>IF(AND(C446&lt;&gt;"",R446=""),1,0)</f>
        <v/>
      </c>
      <c r="T446">
        <f>IF(S446=1,N(N446),0)</f>
        <v/>
      </c>
      <c r="U446">
        <f>IF(AND(S446=1,T446&gt;0),ROUND(T446*100,0)*10000+10000-ROW(),"")</f>
        <v/>
      </c>
      <c r="V446">
        <f>IF(AND(S446=1,OR(Report!$C$5="",B446=Report!$C$5)),MATCH(B446,Rooms!$B$6:$B$35,0)*10000+ROW(),"")</f>
        <v/>
      </c>
      <c r="W446">
        <f>IF(AND(S446=1,OR(J446="",J446="No")),1,0)</f>
        <v/>
      </c>
      <c r="X446">
        <f>IF(AND(S446=1,K446=""),1,0)</f>
        <v/>
      </c>
      <c r="Y446">
        <f>IF(AND(S446=1,Q446&lt;&gt;""),ROUND(T446*100,0)*10000+10000-ROW(),"")</f>
        <v/>
      </c>
    </row>
    <row r="447">
      <c r="A447" s="1" t="n"/>
      <c r="B447" s="17" t="n"/>
      <c r="C447" s="18" t="n"/>
      <c r="D447" s="17" t="n"/>
      <c r="E447" s="19" t="n"/>
      <c r="F447" s="19" t="n"/>
      <c r="G447" s="20" t="n"/>
      <c r="H447" s="21" t="n"/>
      <c r="I447" s="21" t="n"/>
      <c r="J447" s="17" t="n"/>
      <c r="K447" s="19" t="n"/>
      <c r="L447" s="20" t="n"/>
      <c r="M447" s="19" t="n"/>
      <c r="N447" s="22">
        <f>IF(C447="","",IF(ISNUMBER(I447),I447,IF(ISNUMBER(H447),H447,"")))</f>
        <v/>
      </c>
      <c r="O447" s="23">
        <f>IF(OR(C447="",NOT(ISNUMBER(G447))),"",(TODAY()-INT(G447))/365.25)</f>
        <v/>
      </c>
      <c r="P447" s="13">
        <f>IF(OR(C447="",NOT(ISNUMBER(L447))),"",IF(L447&lt;TODAY(),"Ended",IF(L447-TODAY()&lt;=N(Settings!$C$10),"Ends soon","Covered")))</f>
        <v/>
      </c>
      <c r="Q447" s="13">
        <f>IF(C447="","",MID(IF(N447="",", value","")&amp;IF(OR(J447="",J447="No"),", receipt","")&amp;IF(K447="",", photo",""),3,100))</f>
        <v/>
      </c>
      <c r="R447" s="13">
        <f>IF(AND(B447="",C447=""),"",IF(C447="","Needs the item",IF(B447="","Needs a room",IF(COUNTIF(Rooms!$B$6:$B$35,B447)=0,"Not on Rooms",IF(AND(H447&lt;&gt;"",NOT(ISNUMBER(H447))),"Paid not a number",IF(AND(I447&lt;&gt;"",NOT(ISNUMBER(I447))),"Worth not a number",IF(AND(G447&lt;&gt;"",NOT(ISNUMBER(G447))),"Bought is not a date",IF(AND(L447&lt;&gt;"",NOT(ISNUMBER(L447))),"Warranty is not a date",""))))))))</f>
        <v/>
      </c>
      <c r="S447" s="1">
        <f>IF(AND(C447&lt;&gt;"",R447=""),1,0)</f>
        <v/>
      </c>
      <c r="T447">
        <f>IF(S447=1,N(N447),0)</f>
        <v/>
      </c>
      <c r="U447">
        <f>IF(AND(S447=1,T447&gt;0),ROUND(T447*100,0)*10000+10000-ROW(),"")</f>
        <v/>
      </c>
      <c r="V447">
        <f>IF(AND(S447=1,OR(Report!$C$5="",B447=Report!$C$5)),MATCH(B447,Rooms!$B$6:$B$35,0)*10000+ROW(),"")</f>
        <v/>
      </c>
      <c r="W447">
        <f>IF(AND(S447=1,OR(J447="",J447="No")),1,0)</f>
        <v/>
      </c>
      <c r="X447">
        <f>IF(AND(S447=1,K447=""),1,0)</f>
        <v/>
      </c>
      <c r="Y447">
        <f>IF(AND(S447=1,Q447&lt;&gt;""),ROUND(T447*100,0)*10000+10000-ROW(),"")</f>
        <v/>
      </c>
    </row>
    <row r="448">
      <c r="A448" s="1" t="n"/>
      <c r="B448" s="17" t="n"/>
      <c r="C448" s="18" t="n"/>
      <c r="D448" s="17" t="n"/>
      <c r="E448" s="19" t="n"/>
      <c r="F448" s="19" t="n"/>
      <c r="G448" s="20" t="n"/>
      <c r="H448" s="21" t="n"/>
      <c r="I448" s="21" t="n"/>
      <c r="J448" s="17" t="n"/>
      <c r="K448" s="19" t="n"/>
      <c r="L448" s="20" t="n"/>
      <c r="M448" s="19" t="n"/>
      <c r="N448" s="22">
        <f>IF(C448="","",IF(ISNUMBER(I448),I448,IF(ISNUMBER(H448),H448,"")))</f>
        <v/>
      </c>
      <c r="O448" s="23">
        <f>IF(OR(C448="",NOT(ISNUMBER(G448))),"",(TODAY()-INT(G448))/365.25)</f>
        <v/>
      </c>
      <c r="P448" s="13">
        <f>IF(OR(C448="",NOT(ISNUMBER(L448))),"",IF(L448&lt;TODAY(),"Ended",IF(L448-TODAY()&lt;=N(Settings!$C$10),"Ends soon","Covered")))</f>
        <v/>
      </c>
      <c r="Q448" s="13">
        <f>IF(C448="","",MID(IF(N448="",", value","")&amp;IF(OR(J448="",J448="No"),", receipt","")&amp;IF(K448="",", photo",""),3,100))</f>
        <v/>
      </c>
      <c r="R448" s="13">
        <f>IF(AND(B448="",C448=""),"",IF(C448="","Needs the item",IF(B448="","Needs a room",IF(COUNTIF(Rooms!$B$6:$B$35,B448)=0,"Not on Rooms",IF(AND(H448&lt;&gt;"",NOT(ISNUMBER(H448))),"Paid not a number",IF(AND(I448&lt;&gt;"",NOT(ISNUMBER(I448))),"Worth not a number",IF(AND(G448&lt;&gt;"",NOT(ISNUMBER(G448))),"Bought is not a date",IF(AND(L448&lt;&gt;"",NOT(ISNUMBER(L448))),"Warranty is not a date",""))))))))</f>
        <v/>
      </c>
      <c r="S448" s="1">
        <f>IF(AND(C448&lt;&gt;"",R448=""),1,0)</f>
        <v/>
      </c>
      <c r="T448">
        <f>IF(S448=1,N(N448),0)</f>
        <v/>
      </c>
      <c r="U448">
        <f>IF(AND(S448=1,T448&gt;0),ROUND(T448*100,0)*10000+10000-ROW(),"")</f>
        <v/>
      </c>
      <c r="V448">
        <f>IF(AND(S448=1,OR(Report!$C$5="",B448=Report!$C$5)),MATCH(B448,Rooms!$B$6:$B$35,0)*10000+ROW(),"")</f>
        <v/>
      </c>
      <c r="W448">
        <f>IF(AND(S448=1,OR(J448="",J448="No")),1,0)</f>
        <v/>
      </c>
      <c r="X448">
        <f>IF(AND(S448=1,K448=""),1,0)</f>
        <v/>
      </c>
      <c r="Y448">
        <f>IF(AND(S448=1,Q448&lt;&gt;""),ROUND(T448*100,0)*10000+10000-ROW(),"")</f>
        <v/>
      </c>
    </row>
    <row r="449">
      <c r="A449" s="1" t="n"/>
      <c r="B449" s="17" t="n"/>
      <c r="C449" s="18" t="n"/>
      <c r="D449" s="17" t="n"/>
      <c r="E449" s="19" t="n"/>
      <c r="F449" s="19" t="n"/>
      <c r="G449" s="20" t="n"/>
      <c r="H449" s="21" t="n"/>
      <c r="I449" s="21" t="n"/>
      <c r="J449" s="17" t="n"/>
      <c r="K449" s="19" t="n"/>
      <c r="L449" s="20" t="n"/>
      <c r="M449" s="19" t="n"/>
      <c r="N449" s="22">
        <f>IF(C449="","",IF(ISNUMBER(I449),I449,IF(ISNUMBER(H449),H449,"")))</f>
        <v/>
      </c>
      <c r="O449" s="23">
        <f>IF(OR(C449="",NOT(ISNUMBER(G449))),"",(TODAY()-INT(G449))/365.25)</f>
        <v/>
      </c>
      <c r="P449" s="13">
        <f>IF(OR(C449="",NOT(ISNUMBER(L449))),"",IF(L449&lt;TODAY(),"Ended",IF(L449-TODAY()&lt;=N(Settings!$C$10),"Ends soon","Covered")))</f>
        <v/>
      </c>
      <c r="Q449" s="13">
        <f>IF(C449="","",MID(IF(N449="",", value","")&amp;IF(OR(J449="",J449="No"),", receipt","")&amp;IF(K449="",", photo",""),3,100))</f>
        <v/>
      </c>
      <c r="R449" s="13">
        <f>IF(AND(B449="",C449=""),"",IF(C449="","Needs the item",IF(B449="","Needs a room",IF(COUNTIF(Rooms!$B$6:$B$35,B449)=0,"Not on Rooms",IF(AND(H449&lt;&gt;"",NOT(ISNUMBER(H449))),"Paid not a number",IF(AND(I449&lt;&gt;"",NOT(ISNUMBER(I449))),"Worth not a number",IF(AND(G449&lt;&gt;"",NOT(ISNUMBER(G449))),"Bought is not a date",IF(AND(L449&lt;&gt;"",NOT(ISNUMBER(L449))),"Warranty is not a date",""))))))))</f>
        <v/>
      </c>
      <c r="S449" s="1">
        <f>IF(AND(C449&lt;&gt;"",R449=""),1,0)</f>
        <v/>
      </c>
      <c r="T449">
        <f>IF(S449=1,N(N449),0)</f>
        <v/>
      </c>
      <c r="U449">
        <f>IF(AND(S449=1,T449&gt;0),ROUND(T449*100,0)*10000+10000-ROW(),"")</f>
        <v/>
      </c>
      <c r="V449">
        <f>IF(AND(S449=1,OR(Report!$C$5="",B449=Report!$C$5)),MATCH(B449,Rooms!$B$6:$B$35,0)*10000+ROW(),"")</f>
        <v/>
      </c>
      <c r="W449">
        <f>IF(AND(S449=1,OR(J449="",J449="No")),1,0)</f>
        <v/>
      </c>
      <c r="X449">
        <f>IF(AND(S449=1,K449=""),1,0)</f>
        <v/>
      </c>
      <c r="Y449">
        <f>IF(AND(S449=1,Q449&lt;&gt;""),ROUND(T449*100,0)*10000+10000-ROW(),"")</f>
        <v/>
      </c>
    </row>
    <row r="450">
      <c r="A450" s="1" t="n"/>
      <c r="B450" s="17" t="n"/>
      <c r="C450" s="18" t="n"/>
      <c r="D450" s="17" t="n"/>
      <c r="E450" s="19" t="n"/>
      <c r="F450" s="19" t="n"/>
      <c r="G450" s="20" t="n"/>
      <c r="H450" s="21" t="n"/>
      <c r="I450" s="21" t="n"/>
      <c r="J450" s="17" t="n"/>
      <c r="K450" s="19" t="n"/>
      <c r="L450" s="20" t="n"/>
      <c r="M450" s="19" t="n"/>
      <c r="N450" s="22">
        <f>IF(C450="","",IF(ISNUMBER(I450),I450,IF(ISNUMBER(H450),H450,"")))</f>
        <v/>
      </c>
      <c r="O450" s="23">
        <f>IF(OR(C450="",NOT(ISNUMBER(G450))),"",(TODAY()-INT(G450))/365.25)</f>
        <v/>
      </c>
      <c r="P450" s="13">
        <f>IF(OR(C450="",NOT(ISNUMBER(L450))),"",IF(L450&lt;TODAY(),"Ended",IF(L450-TODAY()&lt;=N(Settings!$C$10),"Ends soon","Covered")))</f>
        <v/>
      </c>
      <c r="Q450" s="13">
        <f>IF(C450="","",MID(IF(N450="",", value","")&amp;IF(OR(J450="",J450="No"),", receipt","")&amp;IF(K450="",", photo",""),3,100))</f>
        <v/>
      </c>
      <c r="R450" s="13">
        <f>IF(AND(B450="",C450=""),"",IF(C450="","Needs the item",IF(B450="","Needs a room",IF(COUNTIF(Rooms!$B$6:$B$35,B450)=0,"Not on Rooms",IF(AND(H450&lt;&gt;"",NOT(ISNUMBER(H450))),"Paid not a number",IF(AND(I450&lt;&gt;"",NOT(ISNUMBER(I450))),"Worth not a number",IF(AND(G450&lt;&gt;"",NOT(ISNUMBER(G450))),"Bought is not a date",IF(AND(L450&lt;&gt;"",NOT(ISNUMBER(L450))),"Warranty is not a date",""))))))))</f>
        <v/>
      </c>
      <c r="S450" s="1">
        <f>IF(AND(C450&lt;&gt;"",R450=""),1,0)</f>
        <v/>
      </c>
      <c r="T450">
        <f>IF(S450=1,N(N450),0)</f>
        <v/>
      </c>
      <c r="U450">
        <f>IF(AND(S450=1,T450&gt;0),ROUND(T450*100,0)*10000+10000-ROW(),"")</f>
        <v/>
      </c>
      <c r="V450">
        <f>IF(AND(S450=1,OR(Report!$C$5="",B450=Report!$C$5)),MATCH(B450,Rooms!$B$6:$B$35,0)*10000+ROW(),"")</f>
        <v/>
      </c>
      <c r="W450">
        <f>IF(AND(S450=1,OR(J450="",J450="No")),1,0)</f>
        <v/>
      </c>
      <c r="X450">
        <f>IF(AND(S450=1,K450=""),1,0)</f>
        <v/>
      </c>
      <c r="Y450">
        <f>IF(AND(S450=1,Q450&lt;&gt;""),ROUND(T450*100,0)*10000+10000-ROW(),"")</f>
        <v/>
      </c>
    </row>
    <row r="451">
      <c r="A451" s="1" t="n"/>
      <c r="B451" s="17" t="n"/>
      <c r="C451" s="18" t="n"/>
      <c r="D451" s="17" t="n"/>
      <c r="E451" s="19" t="n"/>
      <c r="F451" s="19" t="n"/>
      <c r="G451" s="20" t="n"/>
      <c r="H451" s="21" t="n"/>
      <c r="I451" s="21" t="n"/>
      <c r="J451" s="17" t="n"/>
      <c r="K451" s="19" t="n"/>
      <c r="L451" s="20" t="n"/>
      <c r="M451" s="19" t="n"/>
      <c r="N451" s="22">
        <f>IF(C451="","",IF(ISNUMBER(I451),I451,IF(ISNUMBER(H451),H451,"")))</f>
        <v/>
      </c>
      <c r="O451" s="23">
        <f>IF(OR(C451="",NOT(ISNUMBER(G451))),"",(TODAY()-INT(G451))/365.25)</f>
        <v/>
      </c>
      <c r="P451" s="13">
        <f>IF(OR(C451="",NOT(ISNUMBER(L451))),"",IF(L451&lt;TODAY(),"Ended",IF(L451-TODAY()&lt;=N(Settings!$C$10),"Ends soon","Covered")))</f>
        <v/>
      </c>
      <c r="Q451" s="13">
        <f>IF(C451="","",MID(IF(N451="",", value","")&amp;IF(OR(J451="",J451="No"),", receipt","")&amp;IF(K451="",", photo",""),3,100))</f>
        <v/>
      </c>
      <c r="R451" s="13">
        <f>IF(AND(B451="",C451=""),"",IF(C451="","Needs the item",IF(B451="","Needs a room",IF(COUNTIF(Rooms!$B$6:$B$35,B451)=0,"Not on Rooms",IF(AND(H451&lt;&gt;"",NOT(ISNUMBER(H451))),"Paid not a number",IF(AND(I451&lt;&gt;"",NOT(ISNUMBER(I451))),"Worth not a number",IF(AND(G451&lt;&gt;"",NOT(ISNUMBER(G451))),"Bought is not a date",IF(AND(L451&lt;&gt;"",NOT(ISNUMBER(L451))),"Warranty is not a date",""))))))))</f>
        <v/>
      </c>
      <c r="S451" s="1">
        <f>IF(AND(C451&lt;&gt;"",R451=""),1,0)</f>
        <v/>
      </c>
      <c r="T451">
        <f>IF(S451=1,N(N451),0)</f>
        <v/>
      </c>
      <c r="U451">
        <f>IF(AND(S451=1,T451&gt;0),ROUND(T451*100,0)*10000+10000-ROW(),"")</f>
        <v/>
      </c>
      <c r="V451">
        <f>IF(AND(S451=1,OR(Report!$C$5="",B451=Report!$C$5)),MATCH(B451,Rooms!$B$6:$B$35,0)*10000+ROW(),"")</f>
        <v/>
      </c>
      <c r="W451">
        <f>IF(AND(S451=1,OR(J451="",J451="No")),1,0)</f>
        <v/>
      </c>
      <c r="X451">
        <f>IF(AND(S451=1,K451=""),1,0)</f>
        <v/>
      </c>
      <c r="Y451">
        <f>IF(AND(S451=1,Q451&lt;&gt;""),ROUND(T451*100,0)*10000+10000-ROW(),"")</f>
        <v/>
      </c>
    </row>
    <row r="452">
      <c r="A452" s="1" t="n"/>
      <c r="B452" s="17" t="n"/>
      <c r="C452" s="18" t="n"/>
      <c r="D452" s="17" t="n"/>
      <c r="E452" s="19" t="n"/>
      <c r="F452" s="19" t="n"/>
      <c r="G452" s="20" t="n"/>
      <c r="H452" s="21" t="n"/>
      <c r="I452" s="21" t="n"/>
      <c r="J452" s="17" t="n"/>
      <c r="K452" s="19" t="n"/>
      <c r="L452" s="20" t="n"/>
      <c r="M452" s="19" t="n"/>
      <c r="N452" s="22">
        <f>IF(C452="","",IF(ISNUMBER(I452),I452,IF(ISNUMBER(H452),H452,"")))</f>
        <v/>
      </c>
      <c r="O452" s="23">
        <f>IF(OR(C452="",NOT(ISNUMBER(G452))),"",(TODAY()-INT(G452))/365.25)</f>
        <v/>
      </c>
      <c r="P452" s="13">
        <f>IF(OR(C452="",NOT(ISNUMBER(L452))),"",IF(L452&lt;TODAY(),"Ended",IF(L452-TODAY()&lt;=N(Settings!$C$10),"Ends soon","Covered")))</f>
        <v/>
      </c>
      <c r="Q452" s="13">
        <f>IF(C452="","",MID(IF(N452="",", value","")&amp;IF(OR(J452="",J452="No"),", receipt","")&amp;IF(K452="",", photo",""),3,100))</f>
        <v/>
      </c>
      <c r="R452" s="13">
        <f>IF(AND(B452="",C452=""),"",IF(C452="","Needs the item",IF(B452="","Needs a room",IF(COUNTIF(Rooms!$B$6:$B$35,B452)=0,"Not on Rooms",IF(AND(H452&lt;&gt;"",NOT(ISNUMBER(H452))),"Paid not a number",IF(AND(I452&lt;&gt;"",NOT(ISNUMBER(I452))),"Worth not a number",IF(AND(G452&lt;&gt;"",NOT(ISNUMBER(G452))),"Bought is not a date",IF(AND(L452&lt;&gt;"",NOT(ISNUMBER(L452))),"Warranty is not a date",""))))))))</f>
        <v/>
      </c>
      <c r="S452" s="1">
        <f>IF(AND(C452&lt;&gt;"",R452=""),1,0)</f>
        <v/>
      </c>
      <c r="T452">
        <f>IF(S452=1,N(N452),0)</f>
        <v/>
      </c>
      <c r="U452">
        <f>IF(AND(S452=1,T452&gt;0),ROUND(T452*100,0)*10000+10000-ROW(),"")</f>
        <v/>
      </c>
      <c r="V452">
        <f>IF(AND(S452=1,OR(Report!$C$5="",B452=Report!$C$5)),MATCH(B452,Rooms!$B$6:$B$35,0)*10000+ROW(),"")</f>
        <v/>
      </c>
      <c r="W452">
        <f>IF(AND(S452=1,OR(J452="",J452="No")),1,0)</f>
        <v/>
      </c>
      <c r="X452">
        <f>IF(AND(S452=1,K452=""),1,0)</f>
        <v/>
      </c>
      <c r="Y452">
        <f>IF(AND(S452=1,Q452&lt;&gt;""),ROUND(T452*100,0)*10000+10000-ROW(),"")</f>
        <v/>
      </c>
    </row>
    <row r="453">
      <c r="A453" s="1" t="n"/>
      <c r="B453" s="17" t="n"/>
      <c r="C453" s="18" t="n"/>
      <c r="D453" s="17" t="n"/>
      <c r="E453" s="19" t="n"/>
      <c r="F453" s="19" t="n"/>
      <c r="G453" s="20" t="n"/>
      <c r="H453" s="21" t="n"/>
      <c r="I453" s="21" t="n"/>
      <c r="J453" s="17" t="n"/>
      <c r="K453" s="19" t="n"/>
      <c r="L453" s="20" t="n"/>
      <c r="M453" s="19" t="n"/>
      <c r="N453" s="22">
        <f>IF(C453="","",IF(ISNUMBER(I453),I453,IF(ISNUMBER(H453),H453,"")))</f>
        <v/>
      </c>
      <c r="O453" s="23">
        <f>IF(OR(C453="",NOT(ISNUMBER(G453))),"",(TODAY()-INT(G453))/365.25)</f>
        <v/>
      </c>
      <c r="P453" s="13">
        <f>IF(OR(C453="",NOT(ISNUMBER(L453))),"",IF(L453&lt;TODAY(),"Ended",IF(L453-TODAY()&lt;=N(Settings!$C$10),"Ends soon","Covered")))</f>
        <v/>
      </c>
      <c r="Q453" s="13">
        <f>IF(C453="","",MID(IF(N453="",", value","")&amp;IF(OR(J453="",J453="No"),", receipt","")&amp;IF(K453="",", photo",""),3,100))</f>
        <v/>
      </c>
      <c r="R453" s="13">
        <f>IF(AND(B453="",C453=""),"",IF(C453="","Needs the item",IF(B453="","Needs a room",IF(COUNTIF(Rooms!$B$6:$B$35,B453)=0,"Not on Rooms",IF(AND(H453&lt;&gt;"",NOT(ISNUMBER(H453))),"Paid not a number",IF(AND(I453&lt;&gt;"",NOT(ISNUMBER(I453))),"Worth not a number",IF(AND(G453&lt;&gt;"",NOT(ISNUMBER(G453))),"Bought is not a date",IF(AND(L453&lt;&gt;"",NOT(ISNUMBER(L453))),"Warranty is not a date",""))))))))</f>
        <v/>
      </c>
      <c r="S453" s="1">
        <f>IF(AND(C453&lt;&gt;"",R453=""),1,0)</f>
        <v/>
      </c>
      <c r="T453">
        <f>IF(S453=1,N(N453),0)</f>
        <v/>
      </c>
      <c r="U453">
        <f>IF(AND(S453=1,T453&gt;0),ROUND(T453*100,0)*10000+10000-ROW(),"")</f>
        <v/>
      </c>
      <c r="V453">
        <f>IF(AND(S453=1,OR(Report!$C$5="",B453=Report!$C$5)),MATCH(B453,Rooms!$B$6:$B$35,0)*10000+ROW(),"")</f>
        <v/>
      </c>
      <c r="W453">
        <f>IF(AND(S453=1,OR(J453="",J453="No")),1,0)</f>
        <v/>
      </c>
      <c r="X453">
        <f>IF(AND(S453=1,K453=""),1,0)</f>
        <v/>
      </c>
      <c r="Y453">
        <f>IF(AND(S453=1,Q453&lt;&gt;""),ROUND(T453*100,0)*10000+10000-ROW(),"")</f>
        <v/>
      </c>
    </row>
    <row r="454">
      <c r="A454" s="1" t="n"/>
      <c r="B454" s="17" t="n"/>
      <c r="C454" s="18" t="n"/>
      <c r="D454" s="17" t="n"/>
      <c r="E454" s="19" t="n"/>
      <c r="F454" s="19" t="n"/>
      <c r="G454" s="20" t="n"/>
      <c r="H454" s="21" t="n"/>
      <c r="I454" s="21" t="n"/>
      <c r="J454" s="17" t="n"/>
      <c r="K454" s="19" t="n"/>
      <c r="L454" s="20" t="n"/>
      <c r="M454" s="19" t="n"/>
      <c r="N454" s="22">
        <f>IF(C454="","",IF(ISNUMBER(I454),I454,IF(ISNUMBER(H454),H454,"")))</f>
        <v/>
      </c>
      <c r="O454" s="23">
        <f>IF(OR(C454="",NOT(ISNUMBER(G454))),"",(TODAY()-INT(G454))/365.25)</f>
        <v/>
      </c>
      <c r="P454" s="13">
        <f>IF(OR(C454="",NOT(ISNUMBER(L454))),"",IF(L454&lt;TODAY(),"Ended",IF(L454-TODAY()&lt;=N(Settings!$C$10),"Ends soon","Covered")))</f>
        <v/>
      </c>
      <c r="Q454" s="13">
        <f>IF(C454="","",MID(IF(N454="",", value","")&amp;IF(OR(J454="",J454="No"),", receipt","")&amp;IF(K454="",", photo",""),3,100))</f>
        <v/>
      </c>
      <c r="R454" s="13">
        <f>IF(AND(B454="",C454=""),"",IF(C454="","Needs the item",IF(B454="","Needs a room",IF(COUNTIF(Rooms!$B$6:$B$35,B454)=0,"Not on Rooms",IF(AND(H454&lt;&gt;"",NOT(ISNUMBER(H454))),"Paid not a number",IF(AND(I454&lt;&gt;"",NOT(ISNUMBER(I454))),"Worth not a number",IF(AND(G454&lt;&gt;"",NOT(ISNUMBER(G454))),"Bought is not a date",IF(AND(L454&lt;&gt;"",NOT(ISNUMBER(L454))),"Warranty is not a date",""))))))))</f>
        <v/>
      </c>
      <c r="S454" s="1">
        <f>IF(AND(C454&lt;&gt;"",R454=""),1,0)</f>
        <v/>
      </c>
      <c r="T454">
        <f>IF(S454=1,N(N454),0)</f>
        <v/>
      </c>
      <c r="U454">
        <f>IF(AND(S454=1,T454&gt;0),ROUND(T454*100,0)*10000+10000-ROW(),"")</f>
        <v/>
      </c>
      <c r="V454">
        <f>IF(AND(S454=1,OR(Report!$C$5="",B454=Report!$C$5)),MATCH(B454,Rooms!$B$6:$B$35,0)*10000+ROW(),"")</f>
        <v/>
      </c>
      <c r="W454">
        <f>IF(AND(S454=1,OR(J454="",J454="No")),1,0)</f>
        <v/>
      </c>
      <c r="X454">
        <f>IF(AND(S454=1,K454=""),1,0)</f>
        <v/>
      </c>
      <c r="Y454">
        <f>IF(AND(S454=1,Q454&lt;&gt;""),ROUND(T454*100,0)*10000+10000-ROW(),"")</f>
        <v/>
      </c>
    </row>
    <row r="455">
      <c r="A455" s="1" t="n"/>
      <c r="B455" s="17" t="n"/>
      <c r="C455" s="18" t="n"/>
      <c r="D455" s="17" t="n"/>
      <c r="E455" s="19" t="n"/>
      <c r="F455" s="19" t="n"/>
      <c r="G455" s="20" t="n"/>
      <c r="H455" s="21" t="n"/>
      <c r="I455" s="21" t="n"/>
      <c r="J455" s="17" t="n"/>
      <c r="K455" s="19" t="n"/>
      <c r="L455" s="20" t="n"/>
      <c r="M455" s="19" t="n"/>
      <c r="N455" s="22">
        <f>IF(C455="","",IF(ISNUMBER(I455),I455,IF(ISNUMBER(H455),H455,"")))</f>
        <v/>
      </c>
      <c r="O455" s="23">
        <f>IF(OR(C455="",NOT(ISNUMBER(G455))),"",(TODAY()-INT(G455))/365.25)</f>
        <v/>
      </c>
      <c r="P455" s="13">
        <f>IF(OR(C455="",NOT(ISNUMBER(L455))),"",IF(L455&lt;TODAY(),"Ended",IF(L455-TODAY()&lt;=N(Settings!$C$10),"Ends soon","Covered")))</f>
        <v/>
      </c>
      <c r="Q455" s="13">
        <f>IF(C455="","",MID(IF(N455="",", value","")&amp;IF(OR(J455="",J455="No"),", receipt","")&amp;IF(K455="",", photo",""),3,100))</f>
        <v/>
      </c>
      <c r="R455" s="13">
        <f>IF(AND(B455="",C455=""),"",IF(C455="","Needs the item",IF(B455="","Needs a room",IF(COUNTIF(Rooms!$B$6:$B$35,B455)=0,"Not on Rooms",IF(AND(H455&lt;&gt;"",NOT(ISNUMBER(H455))),"Paid not a number",IF(AND(I455&lt;&gt;"",NOT(ISNUMBER(I455))),"Worth not a number",IF(AND(G455&lt;&gt;"",NOT(ISNUMBER(G455))),"Bought is not a date",IF(AND(L455&lt;&gt;"",NOT(ISNUMBER(L455))),"Warranty is not a date",""))))))))</f>
        <v/>
      </c>
      <c r="S455" s="1">
        <f>IF(AND(C455&lt;&gt;"",R455=""),1,0)</f>
        <v/>
      </c>
      <c r="T455">
        <f>IF(S455=1,N(N455),0)</f>
        <v/>
      </c>
      <c r="U455">
        <f>IF(AND(S455=1,T455&gt;0),ROUND(T455*100,0)*10000+10000-ROW(),"")</f>
        <v/>
      </c>
      <c r="V455">
        <f>IF(AND(S455=1,OR(Report!$C$5="",B455=Report!$C$5)),MATCH(B455,Rooms!$B$6:$B$35,0)*10000+ROW(),"")</f>
        <v/>
      </c>
      <c r="W455">
        <f>IF(AND(S455=1,OR(J455="",J455="No")),1,0)</f>
        <v/>
      </c>
      <c r="X455">
        <f>IF(AND(S455=1,K455=""),1,0)</f>
        <v/>
      </c>
      <c r="Y455">
        <f>IF(AND(S455=1,Q455&lt;&gt;""),ROUND(T455*100,0)*10000+10000-ROW(),"")</f>
        <v/>
      </c>
    </row>
    <row r="456">
      <c r="A456" s="1" t="n"/>
      <c r="B456" s="17" t="n"/>
      <c r="C456" s="18" t="n"/>
      <c r="D456" s="17" t="n"/>
      <c r="E456" s="19" t="n"/>
      <c r="F456" s="19" t="n"/>
      <c r="G456" s="20" t="n"/>
      <c r="H456" s="21" t="n"/>
      <c r="I456" s="21" t="n"/>
      <c r="J456" s="17" t="n"/>
      <c r="K456" s="19" t="n"/>
      <c r="L456" s="20" t="n"/>
      <c r="M456" s="19" t="n"/>
      <c r="N456" s="22">
        <f>IF(C456="","",IF(ISNUMBER(I456),I456,IF(ISNUMBER(H456),H456,"")))</f>
        <v/>
      </c>
      <c r="O456" s="23">
        <f>IF(OR(C456="",NOT(ISNUMBER(G456))),"",(TODAY()-INT(G456))/365.25)</f>
        <v/>
      </c>
      <c r="P456" s="13">
        <f>IF(OR(C456="",NOT(ISNUMBER(L456))),"",IF(L456&lt;TODAY(),"Ended",IF(L456-TODAY()&lt;=N(Settings!$C$10),"Ends soon","Covered")))</f>
        <v/>
      </c>
      <c r="Q456" s="13">
        <f>IF(C456="","",MID(IF(N456="",", value","")&amp;IF(OR(J456="",J456="No"),", receipt","")&amp;IF(K456="",", photo",""),3,100))</f>
        <v/>
      </c>
      <c r="R456" s="13">
        <f>IF(AND(B456="",C456=""),"",IF(C456="","Needs the item",IF(B456="","Needs a room",IF(COUNTIF(Rooms!$B$6:$B$35,B456)=0,"Not on Rooms",IF(AND(H456&lt;&gt;"",NOT(ISNUMBER(H456))),"Paid not a number",IF(AND(I456&lt;&gt;"",NOT(ISNUMBER(I456))),"Worth not a number",IF(AND(G456&lt;&gt;"",NOT(ISNUMBER(G456))),"Bought is not a date",IF(AND(L456&lt;&gt;"",NOT(ISNUMBER(L456))),"Warranty is not a date",""))))))))</f>
        <v/>
      </c>
      <c r="S456" s="1">
        <f>IF(AND(C456&lt;&gt;"",R456=""),1,0)</f>
        <v/>
      </c>
      <c r="T456">
        <f>IF(S456=1,N(N456),0)</f>
        <v/>
      </c>
      <c r="U456">
        <f>IF(AND(S456=1,T456&gt;0),ROUND(T456*100,0)*10000+10000-ROW(),"")</f>
        <v/>
      </c>
      <c r="V456">
        <f>IF(AND(S456=1,OR(Report!$C$5="",B456=Report!$C$5)),MATCH(B456,Rooms!$B$6:$B$35,0)*10000+ROW(),"")</f>
        <v/>
      </c>
      <c r="W456">
        <f>IF(AND(S456=1,OR(J456="",J456="No")),1,0)</f>
        <v/>
      </c>
      <c r="X456">
        <f>IF(AND(S456=1,K456=""),1,0)</f>
        <v/>
      </c>
      <c r="Y456">
        <f>IF(AND(S456=1,Q456&lt;&gt;""),ROUND(T456*100,0)*10000+10000-ROW(),"")</f>
        <v/>
      </c>
    </row>
    <row r="457">
      <c r="A457" s="1" t="n"/>
      <c r="B457" s="17" t="n"/>
      <c r="C457" s="18" t="n"/>
      <c r="D457" s="17" t="n"/>
      <c r="E457" s="19" t="n"/>
      <c r="F457" s="19" t="n"/>
      <c r="G457" s="20" t="n"/>
      <c r="H457" s="21" t="n"/>
      <c r="I457" s="21" t="n"/>
      <c r="J457" s="17" t="n"/>
      <c r="K457" s="19" t="n"/>
      <c r="L457" s="20" t="n"/>
      <c r="M457" s="19" t="n"/>
      <c r="N457" s="22">
        <f>IF(C457="","",IF(ISNUMBER(I457),I457,IF(ISNUMBER(H457),H457,"")))</f>
        <v/>
      </c>
      <c r="O457" s="23">
        <f>IF(OR(C457="",NOT(ISNUMBER(G457))),"",(TODAY()-INT(G457))/365.25)</f>
        <v/>
      </c>
      <c r="P457" s="13">
        <f>IF(OR(C457="",NOT(ISNUMBER(L457))),"",IF(L457&lt;TODAY(),"Ended",IF(L457-TODAY()&lt;=N(Settings!$C$10),"Ends soon","Covered")))</f>
        <v/>
      </c>
      <c r="Q457" s="13">
        <f>IF(C457="","",MID(IF(N457="",", value","")&amp;IF(OR(J457="",J457="No"),", receipt","")&amp;IF(K457="",", photo",""),3,100))</f>
        <v/>
      </c>
      <c r="R457" s="13">
        <f>IF(AND(B457="",C457=""),"",IF(C457="","Needs the item",IF(B457="","Needs a room",IF(COUNTIF(Rooms!$B$6:$B$35,B457)=0,"Not on Rooms",IF(AND(H457&lt;&gt;"",NOT(ISNUMBER(H457))),"Paid not a number",IF(AND(I457&lt;&gt;"",NOT(ISNUMBER(I457))),"Worth not a number",IF(AND(G457&lt;&gt;"",NOT(ISNUMBER(G457))),"Bought is not a date",IF(AND(L457&lt;&gt;"",NOT(ISNUMBER(L457))),"Warranty is not a date",""))))))))</f>
        <v/>
      </c>
      <c r="S457" s="1">
        <f>IF(AND(C457&lt;&gt;"",R457=""),1,0)</f>
        <v/>
      </c>
      <c r="T457">
        <f>IF(S457=1,N(N457),0)</f>
        <v/>
      </c>
      <c r="U457">
        <f>IF(AND(S457=1,T457&gt;0),ROUND(T457*100,0)*10000+10000-ROW(),"")</f>
        <v/>
      </c>
      <c r="V457">
        <f>IF(AND(S457=1,OR(Report!$C$5="",B457=Report!$C$5)),MATCH(B457,Rooms!$B$6:$B$35,0)*10000+ROW(),"")</f>
        <v/>
      </c>
      <c r="W457">
        <f>IF(AND(S457=1,OR(J457="",J457="No")),1,0)</f>
        <v/>
      </c>
      <c r="X457">
        <f>IF(AND(S457=1,K457=""),1,0)</f>
        <v/>
      </c>
      <c r="Y457">
        <f>IF(AND(S457=1,Q457&lt;&gt;""),ROUND(T457*100,0)*10000+10000-ROW(),"")</f>
        <v/>
      </c>
    </row>
    <row r="458">
      <c r="A458" s="1" t="n"/>
      <c r="B458" s="17" t="n"/>
      <c r="C458" s="18" t="n"/>
      <c r="D458" s="17" t="n"/>
      <c r="E458" s="19" t="n"/>
      <c r="F458" s="19" t="n"/>
      <c r="G458" s="20" t="n"/>
      <c r="H458" s="21" t="n"/>
      <c r="I458" s="21" t="n"/>
      <c r="J458" s="17" t="n"/>
      <c r="K458" s="19" t="n"/>
      <c r="L458" s="20" t="n"/>
      <c r="M458" s="19" t="n"/>
      <c r="N458" s="22">
        <f>IF(C458="","",IF(ISNUMBER(I458),I458,IF(ISNUMBER(H458),H458,"")))</f>
        <v/>
      </c>
      <c r="O458" s="23">
        <f>IF(OR(C458="",NOT(ISNUMBER(G458))),"",(TODAY()-INT(G458))/365.25)</f>
        <v/>
      </c>
      <c r="P458" s="13">
        <f>IF(OR(C458="",NOT(ISNUMBER(L458))),"",IF(L458&lt;TODAY(),"Ended",IF(L458-TODAY()&lt;=N(Settings!$C$10),"Ends soon","Covered")))</f>
        <v/>
      </c>
      <c r="Q458" s="13">
        <f>IF(C458="","",MID(IF(N458="",", value","")&amp;IF(OR(J458="",J458="No"),", receipt","")&amp;IF(K458="",", photo",""),3,100))</f>
        <v/>
      </c>
      <c r="R458" s="13">
        <f>IF(AND(B458="",C458=""),"",IF(C458="","Needs the item",IF(B458="","Needs a room",IF(COUNTIF(Rooms!$B$6:$B$35,B458)=0,"Not on Rooms",IF(AND(H458&lt;&gt;"",NOT(ISNUMBER(H458))),"Paid not a number",IF(AND(I458&lt;&gt;"",NOT(ISNUMBER(I458))),"Worth not a number",IF(AND(G458&lt;&gt;"",NOT(ISNUMBER(G458))),"Bought is not a date",IF(AND(L458&lt;&gt;"",NOT(ISNUMBER(L458))),"Warranty is not a date",""))))))))</f>
        <v/>
      </c>
      <c r="S458" s="1">
        <f>IF(AND(C458&lt;&gt;"",R458=""),1,0)</f>
        <v/>
      </c>
      <c r="T458">
        <f>IF(S458=1,N(N458),0)</f>
        <v/>
      </c>
      <c r="U458">
        <f>IF(AND(S458=1,T458&gt;0),ROUND(T458*100,0)*10000+10000-ROW(),"")</f>
        <v/>
      </c>
      <c r="V458">
        <f>IF(AND(S458=1,OR(Report!$C$5="",B458=Report!$C$5)),MATCH(B458,Rooms!$B$6:$B$35,0)*10000+ROW(),"")</f>
        <v/>
      </c>
      <c r="W458">
        <f>IF(AND(S458=1,OR(J458="",J458="No")),1,0)</f>
        <v/>
      </c>
      <c r="X458">
        <f>IF(AND(S458=1,K458=""),1,0)</f>
        <v/>
      </c>
      <c r="Y458">
        <f>IF(AND(S458=1,Q458&lt;&gt;""),ROUND(T458*100,0)*10000+10000-ROW(),"")</f>
        <v/>
      </c>
    </row>
    <row r="459">
      <c r="A459" s="1" t="n"/>
      <c r="B459" s="17" t="n"/>
      <c r="C459" s="18" t="n"/>
      <c r="D459" s="17" t="n"/>
      <c r="E459" s="19" t="n"/>
      <c r="F459" s="19" t="n"/>
      <c r="G459" s="20" t="n"/>
      <c r="H459" s="21" t="n"/>
      <c r="I459" s="21" t="n"/>
      <c r="J459" s="17" t="n"/>
      <c r="K459" s="19" t="n"/>
      <c r="L459" s="20" t="n"/>
      <c r="M459" s="19" t="n"/>
      <c r="N459" s="22">
        <f>IF(C459="","",IF(ISNUMBER(I459),I459,IF(ISNUMBER(H459),H459,"")))</f>
        <v/>
      </c>
      <c r="O459" s="23">
        <f>IF(OR(C459="",NOT(ISNUMBER(G459))),"",(TODAY()-INT(G459))/365.25)</f>
        <v/>
      </c>
      <c r="P459" s="13">
        <f>IF(OR(C459="",NOT(ISNUMBER(L459))),"",IF(L459&lt;TODAY(),"Ended",IF(L459-TODAY()&lt;=N(Settings!$C$10),"Ends soon","Covered")))</f>
        <v/>
      </c>
      <c r="Q459" s="13">
        <f>IF(C459="","",MID(IF(N459="",", value","")&amp;IF(OR(J459="",J459="No"),", receipt","")&amp;IF(K459="",", photo",""),3,100))</f>
        <v/>
      </c>
      <c r="R459" s="13">
        <f>IF(AND(B459="",C459=""),"",IF(C459="","Needs the item",IF(B459="","Needs a room",IF(COUNTIF(Rooms!$B$6:$B$35,B459)=0,"Not on Rooms",IF(AND(H459&lt;&gt;"",NOT(ISNUMBER(H459))),"Paid not a number",IF(AND(I459&lt;&gt;"",NOT(ISNUMBER(I459))),"Worth not a number",IF(AND(G459&lt;&gt;"",NOT(ISNUMBER(G459))),"Bought is not a date",IF(AND(L459&lt;&gt;"",NOT(ISNUMBER(L459))),"Warranty is not a date",""))))))))</f>
        <v/>
      </c>
      <c r="S459" s="1">
        <f>IF(AND(C459&lt;&gt;"",R459=""),1,0)</f>
        <v/>
      </c>
      <c r="T459">
        <f>IF(S459=1,N(N459),0)</f>
        <v/>
      </c>
      <c r="U459">
        <f>IF(AND(S459=1,T459&gt;0),ROUND(T459*100,0)*10000+10000-ROW(),"")</f>
        <v/>
      </c>
      <c r="V459">
        <f>IF(AND(S459=1,OR(Report!$C$5="",B459=Report!$C$5)),MATCH(B459,Rooms!$B$6:$B$35,0)*10000+ROW(),"")</f>
        <v/>
      </c>
      <c r="W459">
        <f>IF(AND(S459=1,OR(J459="",J459="No")),1,0)</f>
        <v/>
      </c>
      <c r="X459">
        <f>IF(AND(S459=1,K459=""),1,0)</f>
        <v/>
      </c>
      <c r="Y459">
        <f>IF(AND(S459=1,Q459&lt;&gt;""),ROUND(T459*100,0)*10000+10000-ROW(),"")</f>
        <v/>
      </c>
    </row>
    <row r="460">
      <c r="A460" s="1" t="n"/>
      <c r="B460" s="17" t="n"/>
      <c r="C460" s="18" t="n"/>
      <c r="D460" s="17" t="n"/>
      <c r="E460" s="19" t="n"/>
      <c r="F460" s="19" t="n"/>
      <c r="G460" s="20" t="n"/>
      <c r="H460" s="21" t="n"/>
      <c r="I460" s="21" t="n"/>
      <c r="J460" s="17" t="n"/>
      <c r="K460" s="19" t="n"/>
      <c r="L460" s="20" t="n"/>
      <c r="M460" s="19" t="n"/>
      <c r="N460" s="22">
        <f>IF(C460="","",IF(ISNUMBER(I460),I460,IF(ISNUMBER(H460),H460,"")))</f>
        <v/>
      </c>
      <c r="O460" s="23">
        <f>IF(OR(C460="",NOT(ISNUMBER(G460))),"",(TODAY()-INT(G460))/365.25)</f>
        <v/>
      </c>
      <c r="P460" s="13">
        <f>IF(OR(C460="",NOT(ISNUMBER(L460))),"",IF(L460&lt;TODAY(),"Ended",IF(L460-TODAY()&lt;=N(Settings!$C$10),"Ends soon","Covered")))</f>
        <v/>
      </c>
      <c r="Q460" s="13">
        <f>IF(C460="","",MID(IF(N460="",", value","")&amp;IF(OR(J460="",J460="No"),", receipt","")&amp;IF(K460="",", photo",""),3,100))</f>
        <v/>
      </c>
      <c r="R460" s="13">
        <f>IF(AND(B460="",C460=""),"",IF(C460="","Needs the item",IF(B460="","Needs a room",IF(COUNTIF(Rooms!$B$6:$B$35,B460)=0,"Not on Rooms",IF(AND(H460&lt;&gt;"",NOT(ISNUMBER(H460))),"Paid not a number",IF(AND(I460&lt;&gt;"",NOT(ISNUMBER(I460))),"Worth not a number",IF(AND(G460&lt;&gt;"",NOT(ISNUMBER(G460))),"Bought is not a date",IF(AND(L460&lt;&gt;"",NOT(ISNUMBER(L460))),"Warranty is not a date",""))))))))</f>
        <v/>
      </c>
      <c r="S460" s="1">
        <f>IF(AND(C460&lt;&gt;"",R460=""),1,0)</f>
        <v/>
      </c>
      <c r="T460">
        <f>IF(S460=1,N(N460),0)</f>
        <v/>
      </c>
      <c r="U460">
        <f>IF(AND(S460=1,T460&gt;0),ROUND(T460*100,0)*10000+10000-ROW(),"")</f>
        <v/>
      </c>
      <c r="V460">
        <f>IF(AND(S460=1,OR(Report!$C$5="",B460=Report!$C$5)),MATCH(B460,Rooms!$B$6:$B$35,0)*10000+ROW(),"")</f>
        <v/>
      </c>
      <c r="W460">
        <f>IF(AND(S460=1,OR(J460="",J460="No")),1,0)</f>
        <v/>
      </c>
      <c r="X460">
        <f>IF(AND(S460=1,K460=""),1,0)</f>
        <v/>
      </c>
      <c r="Y460">
        <f>IF(AND(S460=1,Q460&lt;&gt;""),ROUND(T460*100,0)*10000+10000-ROW(),"")</f>
        <v/>
      </c>
    </row>
    <row r="461">
      <c r="A461" s="1" t="n"/>
      <c r="B461" s="17" t="n"/>
      <c r="C461" s="18" t="n"/>
      <c r="D461" s="17" t="n"/>
      <c r="E461" s="19" t="n"/>
      <c r="F461" s="19" t="n"/>
      <c r="G461" s="20" t="n"/>
      <c r="H461" s="21" t="n"/>
      <c r="I461" s="21" t="n"/>
      <c r="J461" s="17" t="n"/>
      <c r="K461" s="19" t="n"/>
      <c r="L461" s="20" t="n"/>
      <c r="M461" s="19" t="n"/>
      <c r="N461" s="22">
        <f>IF(C461="","",IF(ISNUMBER(I461),I461,IF(ISNUMBER(H461),H461,"")))</f>
        <v/>
      </c>
      <c r="O461" s="23">
        <f>IF(OR(C461="",NOT(ISNUMBER(G461))),"",(TODAY()-INT(G461))/365.25)</f>
        <v/>
      </c>
      <c r="P461" s="13">
        <f>IF(OR(C461="",NOT(ISNUMBER(L461))),"",IF(L461&lt;TODAY(),"Ended",IF(L461-TODAY()&lt;=N(Settings!$C$10),"Ends soon","Covered")))</f>
        <v/>
      </c>
      <c r="Q461" s="13">
        <f>IF(C461="","",MID(IF(N461="",", value","")&amp;IF(OR(J461="",J461="No"),", receipt","")&amp;IF(K461="",", photo",""),3,100))</f>
        <v/>
      </c>
      <c r="R461" s="13">
        <f>IF(AND(B461="",C461=""),"",IF(C461="","Needs the item",IF(B461="","Needs a room",IF(COUNTIF(Rooms!$B$6:$B$35,B461)=0,"Not on Rooms",IF(AND(H461&lt;&gt;"",NOT(ISNUMBER(H461))),"Paid not a number",IF(AND(I461&lt;&gt;"",NOT(ISNUMBER(I461))),"Worth not a number",IF(AND(G461&lt;&gt;"",NOT(ISNUMBER(G461))),"Bought is not a date",IF(AND(L461&lt;&gt;"",NOT(ISNUMBER(L461))),"Warranty is not a date",""))))))))</f>
        <v/>
      </c>
      <c r="S461" s="1">
        <f>IF(AND(C461&lt;&gt;"",R461=""),1,0)</f>
        <v/>
      </c>
      <c r="T461">
        <f>IF(S461=1,N(N461),0)</f>
        <v/>
      </c>
      <c r="U461">
        <f>IF(AND(S461=1,T461&gt;0),ROUND(T461*100,0)*10000+10000-ROW(),"")</f>
        <v/>
      </c>
      <c r="V461">
        <f>IF(AND(S461=1,OR(Report!$C$5="",B461=Report!$C$5)),MATCH(B461,Rooms!$B$6:$B$35,0)*10000+ROW(),"")</f>
        <v/>
      </c>
      <c r="W461">
        <f>IF(AND(S461=1,OR(J461="",J461="No")),1,0)</f>
        <v/>
      </c>
      <c r="X461">
        <f>IF(AND(S461=1,K461=""),1,0)</f>
        <v/>
      </c>
      <c r="Y461">
        <f>IF(AND(S461=1,Q461&lt;&gt;""),ROUND(T461*100,0)*10000+10000-ROW(),"")</f>
        <v/>
      </c>
    </row>
    <row r="462">
      <c r="A462" s="1" t="n"/>
      <c r="B462" s="17" t="n"/>
      <c r="C462" s="18" t="n"/>
      <c r="D462" s="17" t="n"/>
      <c r="E462" s="19" t="n"/>
      <c r="F462" s="19" t="n"/>
      <c r="G462" s="20" t="n"/>
      <c r="H462" s="21" t="n"/>
      <c r="I462" s="21" t="n"/>
      <c r="J462" s="17" t="n"/>
      <c r="K462" s="19" t="n"/>
      <c r="L462" s="20" t="n"/>
      <c r="M462" s="19" t="n"/>
      <c r="N462" s="22">
        <f>IF(C462="","",IF(ISNUMBER(I462),I462,IF(ISNUMBER(H462),H462,"")))</f>
        <v/>
      </c>
      <c r="O462" s="23">
        <f>IF(OR(C462="",NOT(ISNUMBER(G462))),"",(TODAY()-INT(G462))/365.25)</f>
        <v/>
      </c>
      <c r="P462" s="13">
        <f>IF(OR(C462="",NOT(ISNUMBER(L462))),"",IF(L462&lt;TODAY(),"Ended",IF(L462-TODAY()&lt;=N(Settings!$C$10),"Ends soon","Covered")))</f>
        <v/>
      </c>
      <c r="Q462" s="13">
        <f>IF(C462="","",MID(IF(N462="",", value","")&amp;IF(OR(J462="",J462="No"),", receipt","")&amp;IF(K462="",", photo",""),3,100))</f>
        <v/>
      </c>
      <c r="R462" s="13">
        <f>IF(AND(B462="",C462=""),"",IF(C462="","Needs the item",IF(B462="","Needs a room",IF(COUNTIF(Rooms!$B$6:$B$35,B462)=0,"Not on Rooms",IF(AND(H462&lt;&gt;"",NOT(ISNUMBER(H462))),"Paid not a number",IF(AND(I462&lt;&gt;"",NOT(ISNUMBER(I462))),"Worth not a number",IF(AND(G462&lt;&gt;"",NOT(ISNUMBER(G462))),"Bought is not a date",IF(AND(L462&lt;&gt;"",NOT(ISNUMBER(L462))),"Warranty is not a date",""))))))))</f>
        <v/>
      </c>
      <c r="S462" s="1">
        <f>IF(AND(C462&lt;&gt;"",R462=""),1,0)</f>
        <v/>
      </c>
      <c r="T462">
        <f>IF(S462=1,N(N462),0)</f>
        <v/>
      </c>
      <c r="U462">
        <f>IF(AND(S462=1,T462&gt;0),ROUND(T462*100,0)*10000+10000-ROW(),"")</f>
        <v/>
      </c>
      <c r="V462">
        <f>IF(AND(S462=1,OR(Report!$C$5="",B462=Report!$C$5)),MATCH(B462,Rooms!$B$6:$B$35,0)*10000+ROW(),"")</f>
        <v/>
      </c>
      <c r="W462">
        <f>IF(AND(S462=1,OR(J462="",J462="No")),1,0)</f>
        <v/>
      </c>
      <c r="X462">
        <f>IF(AND(S462=1,K462=""),1,0)</f>
        <v/>
      </c>
      <c r="Y462">
        <f>IF(AND(S462=1,Q462&lt;&gt;""),ROUND(T462*100,0)*10000+10000-ROW(),"")</f>
        <v/>
      </c>
    </row>
    <row r="463">
      <c r="A463" s="1" t="n"/>
      <c r="B463" s="17" t="n"/>
      <c r="C463" s="18" t="n"/>
      <c r="D463" s="17" t="n"/>
      <c r="E463" s="19" t="n"/>
      <c r="F463" s="19" t="n"/>
      <c r="G463" s="20" t="n"/>
      <c r="H463" s="21" t="n"/>
      <c r="I463" s="21" t="n"/>
      <c r="J463" s="17" t="n"/>
      <c r="K463" s="19" t="n"/>
      <c r="L463" s="20" t="n"/>
      <c r="M463" s="19" t="n"/>
      <c r="N463" s="22">
        <f>IF(C463="","",IF(ISNUMBER(I463),I463,IF(ISNUMBER(H463),H463,"")))</f>
        <v/>
      </c>
      <c r="O463" s="23">
        <f>IF(OR(C463="",NOT(ISNUMBER(G463))),"",(TODAY()-INT(G463))/365.25)</f>
        <v/>
      </c>
      <c r="P463" s="13">
        <f>IF(OR(C463="",NOT(ISNUMBER(L463))),"",IF(L463&lt;TODAY(),"Ended",IF(L463-TODAY()&lt;=N(Settings!$C$10),"Ends soon","Covered")))</f>
        <v/>
      </c>
      <c r="Q463" s="13">
        <f>IF(C463="","",MID(IF(N463="",", value","")&amp;IF(OR(J463="",J463="No"),", receipt","")&amp;IF(K463="",", photo",""),3,100))</f>
        <v/>
      </c>
      <c r="R463" s="13">
        <f>IF(AND(B463="",C463=""),"",IF(C463="","Needs the item",IF(B463="","Needs a room",IF(COUNTIF(Rooms!$B$6:$B$35,B463)=0,"Not on Rooms",IF(AND(H463&lt;&gt;"",NOT(ISNUMBER(H463))),"Paid not a number",IF(AND(I463&lt;&gt;"",NOT(ISNUMBER(I463))),"Worth not a number",IF(AND(G463&lt;&gt;"",NOT(ISNUMBER(G463))),"Bought is not a date",IF(AND(L463&lt;&gt;"",NOT(ISNUMBER(L463))),"Warranty is not a date",""))))))))</f>
        <v/>
      </c>
      <c r="S463" s="1">
        <f>IF(AND(C463&lt;&gt;"",R463=""),1,0)</f>
        <v/>
      </c>
      <c r="T463">
        <f>IF(S463=1,N(N463),0)</f>
        <v/>
      </c>
      <c r="U463">
        <f>IF(AND(S463=1,T463&gt;0),ROUND(T463*100,0)*10000+10000-ROW(),"")</f>
        <v/>
      </c>
      <c r="V463">
        <f>IF(AND(S463=1,OR(Report!$C$5="",B463=Report!$C$5)),MATCH(B463,Rooms!$B$6:$B$35,0)*10000+ROW(),"")</f>
        <v/>
      </c>
      <c r="W463">
        <f>IF(AND(S463=1,OR(J463="",J463="No")),1,0)</f>
        <v/>
      </c>
      <c r="X463">
        <f>IF(AND(S463=1,K463=""),1,0)</f>
        <v/>
      </c>
      <c r="Y463">
        <f>IF(AND(S463=1,Q463&lt;&gt;""),ROUND(T463*100,0)*10000+10000-ROW(),"")</f>
        <v/>
      </c>
    </row>
    <row r="464">
      <c r="A464" s="1" t="n"/>
      <c r="B464" s="17" t="n"/>
      <c r="C464" s="18" t="n"/>
      <c r="D464" s="17" t="n"/>
      <c r="E464" s="19" t="n"/>
      <c r="F464" s="19" t="n"/>
      <c r="G464" s="20" t="n"/>
      <c r="H464" s="21" t="n"/>
      <c r="I464" s="21" t="n"/>
      <c r="J464" s="17" t="n"/>
      <c r="K464" s="19" t="n"/>
      <c r="L464" s="20" t="n"/>
      <c r="M464" s="19" t="n"/>
      <c r="N464" s="22">
        <f>IF(C464="","",IF(ISNUMBER(I464),I464,IF(ISNUMBER(H464),H464,"")))</f>
        <v/>
      </c>
      <c r="O464" s="23">
        <f>IF(OR(C464="",NOT(ISNUMBER(G464))),"",(TODAY()-INT(G464))/365.25)</f>
        <v/>
      </c>
      <c r="P464" s="13">
        <f>IF(OR(C464="",NOT(ISNUMBER(L464))),"",IF(L464&lt;TODAY(),"Ended",IF(L464-TODAY()&lt;=N(Settings!$C$10),"Ends soon","Covered")))</f>
        <v/>
      </c>
      <c r="Q464" s="13">
        <f>IF(C464="","",MID(IF(N464="",", value","")&amp;IF(OR(J464="",J464="No"),", receipt","")&amp;IF(K464="",", photo",""),3,100))</f>
        <v/>
      </c>
      <c r="R464" s="13">
        <f>IF(AND(B464="",C464=""),"",IF(C464="","Needs the item",IF(B464="","Needs a room",IF(COUNTIF(Rooms!$B$6:$B$35,B464)=0,"Not on Rooms",IF(AND(H464&lt;&gt;"",NOT(ISNUMBER(H464))),"Paid not a number",IF(AND(I464&lt;&gt;"",NOT(ISNUMBER(I464))),"Worth not a number",IF(AND(G464&lt;&gt;"",NOT(ISNUMBER(G464))),"Bought is not a date",IF(AND(L464&lt;&gt;"",NOT(ISNUMBER(L464))),"Warranty is not a date",""))))))))</f>
        <v/>
      </c>
      <c r="S464" s="1">
        <f>IF(AND(C464&lt;&gt;"",R464=""),1,0)</f>
        <v/>
      </c>
      <c r="T464">
        <f>IF(S464=1,N(N464),0)</f>
        <v/>
      </c>
      <c r="U464">
        <f>IF(AND(S464=1,T464&gt;0),ROUND(T464*100,0)*10000+10000-ROW(),"")</f>
        <v/>
      </c>
      <c r="V464">
        <f>IF(AND(S464=1,OR(Report!$C$5="",B464=Report!$C$5)),MATCH(B464,Rooms!$B$6:$B$35,0)*10000+ROW(),"")</f>
        <v/>
      </c>
      <c r="W464">
        <f>IF(AND(S464=1,OR(J464="",J464="No")),1,0)</f>
        <v/>
      </c>
      <c r="X464">
        <f>IF(AND(S464=1,K464=""),1,0)</f>
        <v/>
      </c>
      <c r="Y464">
        <f>IF(AND(S464=1,Q464&lt;&gt;""),ROUND(T464*100,0)*10000+10000-ROW(),"")</f>
        <v/>
      </c>
    </row>
    <row r="465">
      <c r="A465" s="1" t="n"/>
      <c r="B465" s="17" t="n"/>
      <c r="C465" s="18" t="n"/>
      <c r="D465" s="17" t="n"/>
      <c r="E465" s="19" t="n"/>
      <c r="F465" s="19" t="n"/>
      <c r="G465" s="20" t="n"/>
      <c r="H465" s="21" t="n"/>
      <c r="I465" s="21" t="n"/>
      <c r="J465" s="17" t="n"/>
      <c r="K465" s="19" t="n"/>
      <c r="L465" s="20" t="n"/>
      <c r="M465" s="19" t="n"/>
      <c r="N465" s="22">
        <f>IF(C465="","",IF(ISNUMBER(I465),I465,IF(ISNUMBER(H465),H465,"")))</f>
        <v/>
      </c>
      <c r="O465" s="23">
        <f>IF(OR(C465="",NOT(ISNUMBER(G465))),"",(TODAY()-INT(G465))/365.25)</f>
        <v/>
      </c>
      <c r="P465" s="13">
        <f>IF(OR(C465="",NOT(ISNUMBER(L465))),"",IF(L465&lt;TODAY(),"Ended",IF(L465-TODAY()&lt;=N(Settings!$C$10),"Ends soon","Covered")))</f>
        <v/>
      </c>
      <c r="Q465" s="13">
        <f>IF(C465="","",MID(IF(N465="",", value","")&amp;IF(OR(J465="",J465="No"),", receipt","")&amp;IF(K465="",", photo",""),3,100))</f>
        <v/>
      </c>
      <c r="R465" s="13">
        <f>IF(AND(B465="",C465=""),"",IF(C465="","Needs the item",IF(B465="","Needs a room",IF(COUNTIF(Rooms!$B$6:$B$35,B465)=0,"Not on Rooms",IF(AND(H465&lt;&gt;"",NOT(ISNUMBER(H465))),"Paid not a number",IF(AND(I465&lt;&gt;"",NOT(ISNUMBER(I465))),"Worth not a number",IF(AND(G465&lt;&gt;"",NOT(ISNUMBER(G465))),"Bought is not a date",IF(AND(L465&lt;&gt;"",NOT(ISNUMBER(L465))),"Warranty is not a date",""))))))))</f>
        <v/>
      </c>
      <c r="S465" s="1">
        <f>IF(AND(C465&lt;&gt;"",R465=""),1,0)</f>
        <v/>
      </c>
      <c r="T465">
        <f>IF(S465=1,N(N465),0)</f>
        <v/>
      </c>
      <c r="U465">
        <f>IF(AND(S465=1,T465&gt;0),ROUND(T465*100,0)*10000+10000-ROW(),"")</f>
        <v/>
      </c>
      <c r="V465">
        <f>IF(AND(S465=1,OR(Report!$C$5="",B465=Report!$C$5)),MATCH(B465,Rooms!$B$6:$B$35,0)*10000+ROW(),"")</f>
        <v/>
      </c>
      <c r="W465">
        <f>IF(AND(S465=1,OR(J465="",J465="No")),1,0)</f>
        <v/>
      </c>
      <c r="X465">
        <f>IF(AND(S465=1,K465=""),1,0)</f>
        <v/>
      </c>
      <c r="Y465">
        <f>IF(AND(S465=1,Q465&lt;&gt;""),ROUND(T465*100,0)*10000+10000-ROW(),"")</f>
        <v/>
      </c>
    </row>
    <row r="466">
      <c r="A466" s="1" t="n"/>
      <c r="B466" s="17" t="n"/>
      <c r="C466" s="18" t="n"/>
      <c r="D466" s="17" t="n"/>
      <c r="E466" s="19" t="n"/>
      <c r="F466" s="19" t="n"/>
      <c r="G466" s="20" t="n"/>
      <c r="H466" s="21" t="n"/>
      <c r="I466" s="21" t="n"/>
      <c r="J466" s="17" t="n"/>
      <c r="K466" s="19" t="n"/>
      <c r="L466" s="20" t="n"/>
      <c r="M466" s="19" t="n"/>
      <c r="N466" s="22">
        <f>IF(C466="","",IF(ISNUMBER(I466),I466,IF(ISNUMBER(H466),H466,"")))</f>
        <v/>
      </c>
      <c r="O466" s="23">
        <f>IF(OR(C466="",NOT(ISNUMBER(G466))),"",(TODAY()-INT(G466))/365.25)</f>
        <v/>
      </c>
      <c r="P466" s="13">
        <f>IF(OR(C466="",NOT(ISNUMBER(L466))),"",IF(L466&lt;TODAY(),"Ended",IF(L466-TODAY()&lt;=N(Settings!$C$10),"Ends soon","Covered")))</f>
        <v/>
      </c>
      <c r="Q466" s="13">
        <f>IF(C466="","",MID(IF(N466="",", value","")&amp;IF(OR(J466="",J466="No"),", receipt","")&amp;IF(K466="",", photo",""),3,100))</f>
        <v/>
      </c>
      <c r="R466" s="13">
        <f>IF(AND(B466="",C466=""),"",IF(C466="","Needs the item",IF(B466="","Needs a room",IF(COUNTIF(Rooms!$B$6:$B$35,B466)=0,"Not on Rooms",IF(AND(H466&lt;&gt;"",NOT(ISNUMBER(H466))),"Paid not a number",IF(AND(I466&lt;&gt;"",NOT(ISNUMBER(I466))),"Worth not a number",IF(AND(G466&lt;&gt;"",NOT(ISNUMBER(G466))),"Bought is not a date",IF(AND(L466&lt;&gt;"",NOT(ISNUMBER(L466))),"Warranty is not a date",""))))))))</f>
        <v/>
      </c>
      <c r="S466" s="1">
        <f>IF(AND(C466&lt;&gt;"",R466=""),1,0)</f>
        <v/>
      </c>
      <c r="T466">
        <f>IF(S466=1,N(N466),0)</f>
        <v/>
      </c>
      <c r="U466">
        <f>IF(AND(S466=1,T466&gt;0),ROUND(T466*100,0)*10000+10000-ROW(),"")</f>
        <v/>
      </c>
      <c r="V466">
        <f>IF(AND(S466=1,OR(Report!$C$5="",B466=Report!$C$5)),MATCH(B466,Rooms!$B$6:$B$35,0)*10000+ROW(),"")</f>
        <v/>
      </c>
      <c r="W466">
        <f>IF(AND(S466=1,OR(J466="",J466="No")),1,0)</f>
        <v/>
      </c>
      <c r="X466">
        <f>IF(AND(S466=1,K466=""),1,0)</f>
        <v/>
      </c>
      <c r="Y466">
        <f>IF(AND(S466=1,Q466&lt;&gt;""),ROUND(T466*100,0)*10000+10000-ROW(),"")</f>
        <v/>
      </c>
    </row>
    <row r="467">
      <c r="A467" s="1" t="n"/>
      <c r="B467" s="17" t="n"/>
      <c r="C467" s="18" t="n"/>
      <c r="D467" s="17" t="n"/>
      <c r="E467" s="19" t="n"/>
      <c r="F467" s="19" t="n"/>
      <c r="G467" s="20" t="n"/>
      <c r="H467" s="21" t="n"/>
      <c r="I467" s="21" t="n"/>
      <c r="J467" s="17" t="n"/>
      <c r="K467" s="19" t="n"/>
      <c r="L467" s="20" t="n"/>
      <c r="M467" s="19" t="n"/>
      <c r="N467" s="22">
        <f>IF(C467="","",IF(ISNUMBER(I467),I467,IF(ISNUMBER(H467),H467,"")))</f>
        <v/>
      </c>
      <c r="O467" s="23">
        <f>IF(OR(C467="",NOT(ISNUMBER(G467))),"",(TODAY()-INT(G467))/365.25)</f>
        <v/>
      </c>
      <c r="P467" s="13">
        <f>IF(OR(C467="",NOT(ISNUMBER(L467))),"",IF(L467&lt;TODAY(),"Ended",IF(L467-TODAY()&lt;=N(Settings!$C$10),"Ends soon","Covered")))</f>
        <v/>
      </c>
      <c r="Q467" s="13">
        <f>IF(C467="","",MID(IF(N467="",", value","")&amp;IF(OR(J467="",J467="No"),", receipt","")&amp;IF(K467="",", photo",""),3,100))</f>
        <v/>
      </c>
      <c r="R467" s="13">
        <f>IF(AND(B467="",C467=""),"",IF(C467="","Needs the item",IF(B467="","Needs a room",IF(COUNTIF(Rooms!$B$6:$B$35,B467)=0,"Not on Rooms",IF(AND(H467&lt;&gt;"",NOT(ISNUMBER(H467))),"Paid not a number",IF(AND(I467&lt;&gt;"",NOT(ISNUMBER(I467))),"Worth not a number",IF(AND(G467&lt;&gt;"",NOT(ISNUMBER(G467))),"Bought is not a date",IF(AND(L467&lt;&gt;"",NOT(ISNUMBER(L467))),"Warranty is not a date",""))))))))</f>
        <v/>
      </c>
      <c r="S467" s="1">
        <f>IF(AND(C467&lt;&gt;"",R467=""),1,0)</f>
        <v/>
      </c>
      <c r="T467">
        <f>IF(S467=1,N(N467),0)</f>
        <v/>
      </c>
      <c r="U467">
        <f>IF(AND(S467=1,T467&gt;0),ROUND(T467*100,0)*10000+10000-ROW(),"")</f>
        <v/>
      </c>
      <c r="V467">
        <f>IF(AND(S467=1,OR(Report!$C$5="",B467=Report!$C$5)),MATCH(B467,Rooms!$B$6:$B$35,0)*10000+ROW(),"")</f>
        <v/>
      </c>
      <c r="W467">
        <f>IF(AND(S467=1,OR(J467="",J467="No")),1,0)</f>
        <v/>
      </c>
      <c r="X467">
        <f>IF(AND(S467=1,K467=""),1,0)</f>
        <v/>
      </c>
      <c r="Y467">
        <f>IF(AND(S467=1,Q467&lt;&gt;""),ROUND(T467*100,0)*10000+10000-ROW(),"")</f>
        <v/>
      </c>
    </row>
    <row r="468">
      <c r="A468" s="1" t="n"/>
      <c r="B468" s="17" t="n"/>
      <c r="C468" s="18" t="n"/>
      <c r="D468" s="17" t="n"/>
      <c r="E468" s="19" t="n"/>
      <c r="F468" s="19" t="n"/>
      <c r="G468" s="20" t="n"/>
      <c r="H468" s="21" t="n"/>
      <c r="I468" s="21" t="n"/>
      <c r="J468" s="17" t="n"/>
      <c r="K468" s="19" t="n"/>
      <c r="L468" s="20" t="n"/>
      <c r="M468" s="19" t="n"/>
      <c r="N468" s="22">
        <f>IF(C468="","",IF(ISNUMBER(I468),I468,IF(ISNUMBER(H468),H468,"")))</f>
        <v/>
      </c>
      <c r="O468" s="23">
        <f>IF(OR(C468="",NOT(ISNUMBER(G468))),"",(TODAY()-INT(G468))/365.25)</f>
        <v/>
      </c>
      <c r="P468" s="13">
        <f>IF(OR(C468="",NOT(ISNUMBER(L468))),"",IF(L468&lt;TODAY(),"Ended",IF(L468-TODAY()&lt;=N(Settings!$C$10),"Ends soon","Covered")))</f>
        <v/>
      </c>
      <c r="Q468" s="13">
        <f>IF(C468="","",MID(IF(N468="",", value","")&amp;IF(OR(J468="",J468="No"),", receipt","")&amp;IF(K468="",", photo",""),3,100))</f>
        <v/>
      </c>
      <c r="R468" s="13">
        <f>IF(AND(B468="",C468=""),"",IF(C468="","Needs the item",IF(B468="","Needs a room",IF(COUNTIF(Rooms!$B$6:$B$35,B468)=0,"Not on Rooms",IF(AND(H468&lt;&gt;"",NOT(ISNUMBER(H468))),"Paid not a number",IF(AND(I468&lt;&gt;"",NOT(ISNUMBER(I468))),"Worth not a number",IF(AND(G468&lt;&gt;"",NOT(ISNUMBER(G468))),"Bought is not a date",IF(AND(L468&lt;&gt;"",NOT(ISNUMBER(L468))),"Warranty is not a date",""))))))))</f>
        <v/>
      </c>
      <c r="S468" s="1">
        <f>IF(AND(C468&lt;&gt;"",R468=""),1,0)</f>
        <v/>
      </c>
      <c r="T468">
        <f>IF(S468=1,N(N468),0)</f>
        <v/>
      </c>
      <c r="U468">
        <f>IF(AND(S468=1,T468&gt;0),ROUND(T468*100,0)*10000+10000-ROW(),"")</f>
        <v/>
      </c>
      <c r="V468">
        <f>IF(AND(S468=1,OR(Report!$C$5="",B468=Report!$C$5)),MATCH(B468,Rooms!$B$6:$B$35,0)*10000+ROW(),"")</f>
        <v/>
      </c>
      <c r="W468">
        <f>IF(AND(S468=1,OR(J468="",J468="No")),1,0)</f>
        <v/>
      </c>
      <c r="X468">
        <f>IF(AND(S468=1,K468=""),1,0)</f>
        <v/>
      </c>
      <c r="Y468">
        <f>IF(AND(S468=1,Q468&lt;&gt;""),ROUND(T468*100,0)*10000+10000-ROW(),"")</f>
        <v/>
      </c>
    </row>
    <row r="469">
      <c r="A469" s="1" t="n"/>
      <c r="B469" s="17" t="n"/>
      <c r="C469" s="18" t="n"/>
      <c r="D469" s="17" t="n"/>
      <c r="E469" s="19" t="n"/>
      <c r="F469" s="19" t="n"/>
      <c r="G469" s="20" t="n"/>
      <c r="H469" s="21" t="n"/>
      <c r="I469" s="21" t="n"/>
      <c r="J469" s="17" t="n"/>
      <c r="K469" s="19" t="n"/>
      <c r="L469" s="20" t="n"/>
      <c r="M469" s="19" t="n"/>
      <c r="N469" s="22">
        <f>IF(C469="","",IF(ISNUMBER(I469),I469,IF(ISNUMBER(H469),H469,"")))</f>
        <v/>
      </c>
      <c r="O469" s="23">
        <f>IF(OR(C469="",NOT(ISNUMBER(G469))),"",(TODAY()-INT(G469))/365.25)</f>
        <v/>
      </c>
      <c r="P469" s="13">
        <f>IF(OR(C469="",NOT(ISNUMBER(L469))),"",IF(L469&lt;TODAY(),"Ended",IF(L469-TODAY()&lt;=N(Settings!$C$10),"Ends soon","Covered")))</f>
        <v/>
      </c>
      <c r="Q469" s="13">
        <f>IF(C469="","",MID(IF(N469="",", value","")&amp;IF(OR(J469="",J469="No"),", receipt","")&amp;IF(K469="",", photo",""),3,100))</f>
        <v/>
      </c>
      <c r="R469" s="13">
        <f>IF(AND(B469="",C469=""),"",IF(C469="","Needs the item",IF(B469="","Needs a room",IF(COUNTIF(Rooms!$B$6:$B$35,B469)=0,"Not on Rooms",IF(AND(H469&lt;&gt;"",NOT(ISNUMBER(H469))),"Paid not a number",IF(AND(I469&lt;&gt;"",NOT(ISNUMBER(I469))),"Worth not a number",IF(AND(G469&lt;&gt;"",NOT(ISNUMBER(G469))),"Bought is not a date",IF(AND(L469&lt;&gt;"",NOT(ISNUMBER(L469))),"Warranty is not a date",""))))))))</f>
        <v/>
      </c>
      <c r="S469" s="1">
        <f>IF(AND(C469&lt;&gt;"",R469=""),1,0)</f>
        <v/>
      </c>
      <c r="T469">
        <f>IF(S469=1,N(N469),0)</f>
        <v/>
      </c>
      <c r="U469">
        <f>IF(AND(S469=1,T469&gt;0),ROUND(T469*100,0)*10000+10000-ROW(),"")</f>
        <v/>
      </c>
      <c r="V469">
        <f>IF(AND(S469=1,OR(Report!$C$5="",B469=Report!$C$5)),MATCH(B469,Rooms!$B$6:$B$35,0)*10000+ROW(),"")</f>
        <v/>
      </c>
      <c r="W469">
        <f>IF(AND(S469=1,OR(J469="",J469="No")),1,0)</f>
        <v/>
      </c>
      <c r="X469">
        <f>IF(AND(S469=1,K469=""),1,0)</f>
        <v/>
      </c>
      <c r="Y469">
        <f>IF(AND(S469=1,Q469&lt;&gt;""),ROUND(T469*100,0)*10000+10000-ROW(),"")</f>
        <v/>
      </c>
    </row>
    <row r="470">
      <c r="A470" s="1" t="n"/>
      <c r="B470" s="17" t="n"/>
      <c r="C470" s="18" t="n"/>
      <c r="D470" s="17" t="n"/>
      <c r="E470" s="19" t="n"/>
      <c r="F470" s="19" t="n"/>
      <c r="G470" s="20" t="n"/>
      <c r="H470" s="21" t="n"/>
      <c r="I470" s="21" t="n"/>
      <c r="J470" s="17" t="n"/>
      <c r="K470" s="19" t="n"/>
      <c r="L470" s="20" t="n"/>
      <c r="M470" s="19" t="n"/>
      <c r="N470" s="22">
        <f>IF(C470="","",IF(ISNUMBER(I470),I470,IF(ISNUMBER(H470),H470,"")))</f>
        <v/>
      </c>
      <c r="O470" s="23">
        <f>IF(OR(C470="",NOT(ISNUMBER(G470))),"",(TODAY()-INT(G470))/365.25)</f>
        <v/>
      </c>
      <c r="P470" s="13">
        <f>IF(OR(C470="",NOT(ISNUMBER(L470))),"",IF(L470&lt;TODAY(),"Ended",IF(L470-TODAY()&lt;=N(Settings!$C$10),"Ends soon","Covered")))</f>
        <v/>
      </c>
      <c r="Q470" s="13">
        <f>IF(C470="","",MID(IF(N470="",", value","")&amp;IF(OR(J470="",J470="No"),", receipt","")&amp;IF(K470="",", photo",""),3,100))</f>
        <v/>
      </c>
      <c r="R470" s="13">
        <f>IF(AND(B470="",C470=""),"",IF(C470="","Needs the item",IF(B470="","Needs a room",IF(COUNTIF(Rooms!$B$6:$B$35,B470)=0,"Not on Rooms",IF(AND(H470&lt;&gt;"",NOT(ISNUMBER(H470))),"Paid not a number",IF(AND(I470&lt;&gt;"",NOT(ISNUMBER(I470))),"Worth not a number",IF(AND(G470&lt;&gt;"",NOT(ISNUMBER(G470))),"Bought is not a date",IF(AND(L470&lt;&gt;"",NOT(ISNUMBER(L470))),"Warranty is not a date",""))))))))</f>
        <v/>
      </c>
      <c r="S470" s="1">
        <f>IF(AND(C470&lt;&gt;"",R470=""),1,0)</f>
        <v/>
      </c>
      <c r="T470">
        <f>IF(S470=1,N(N470),0)</f>
        <v/>
      </c>
      <c r="U470">
        <f>IF(AND(S470=1,T470&gt;0),ROUND(T470*100,0)*10000+10000-ROW(),"")</f>
        <v/>
      </c>
      <c r="V470">
        <f>IF(AND(S470=1,OR(Report!$C$5="",B470=Report!$C$5)),MATCH(B470,Rooms!$B$6:$B$35,0)*10000+ROW(),"")</f>
        <v/>
      </c>
      <c r="W470">
        <f>IF(AND(S470=1,OR(J470="",J470="No")),1,0)</f>
        <v/>
      </c>
      <c r="X470">
        <f>IF(AND(S470=1,K470=""),1,0)</f>
        <v/>
      </c>
      <c r="Y470">
        <f>IF(AND(S470=1,Q470&lt;&gt;""),ROUND(T470*100,0)*10000+10000-ROW(),"")</f>
        <v/>
      </c>
    </row>
    <row r="471">
      <c r="A471" s="1" t="n"/>
      <c r="B471" s="17" t="n"/>
      <c r="C471" s="18" t="n"/>
      <c r="D471" s="17" t="n"/>
      <c r="E471" s="19" t="n"/>
      <c r="F471" s="19" t="n"/>
      <c r="G471" s="20" t="n"/>
      <c r="H471" s="21" t="n"/>
      <c r="I471" s="21" t="n"/>
      <c r="J471" s="17" t="n"/>
      <c r="K471" s="19" t="n"/>
      <c r="L471" s="20" t="n"/>
      <c r="M471" s="19" t="n"/>
      <c r="N471" s="22">
        <f>IF(C471="","",IF(ISNUMBER(I471),I471,IF(ISNUMBER(H471),H471,"")))</f>
        <v/>
      </c>
      <c r="O471" s="23">
        <f>IF(OR(C471="",NOT(ISNUMBER(G471))),"",(TODAY()-INT(G471))/365.25)</f>
        <v/>
      </c>
      <c r="P471" s="13">
        <f>IF(OR(C471="",NOT(ISNUMBER(L471))),"",IF(L471&lt;TODAY(),"Ended",IF(L471-TODAY()&lt;=N(Settings!$C$10),"Ends soon","Covered")))</f>
        <v/>
      </c>
      <c r="Q471" s="13">
        <f>IF(C471="","",MID(IF(N471="",", value","")&amp;IF(OR(J471="",J471="No"),", receipt","")&amp;IF(K471="",", photo",""),3,100))</f>
        <v/>
      </c>
      <c r="R471" s="13">
        <f>IF(AND(B471="",C471=""),"",IF(C471="","Needs the item",IF(B471="","Needs a room",IF(COUNTIF(Rooms!$B$6:$B$35,B471)=0,"Not on Rooms",IF(AND(H471&lt;&gt;"",NOT(ISNUMBER(H471))),"Paid not a number",IF(AND(I471&lt;&gt;"",NOT(ISNUMBER(I471))),"Worth not a number",IF(AND(G471&lt;&gt;"",NOT(ISNUMBER(G471))),"Bought is not a date",IF(AND(L471&lt;&gt;"",NOT(ISNUMBER(L471))),"Warranty is not a date",""))))))))</f>
        <v/>
      </c>
      <c r="S471" s="1">
        <f>IF(AND(C471&lt;&gt;"",R471=""),1,0)</f>
        <v/>
      </c>
      <c r="T471">
        <f>IF(S471=1,N(N471),0)</f>
        <v/>
      </c>
      <c r="U471">
        <f>IF(AND(S471=1,T471&gt;0),ROUND(T471*100,0)*10000+10000-ROW(),"")</f>
        <v/>
      </c>
      <c r="V471">
        <f>IF(AND(S471=1,OR(Report!$C$5="",B471=Report!$C$5)),MATCH(B471,Rooms!$B$6:$B$35,0)*10000+ROW(),"")</f>
        <v/>
      </c>
      <c r="W471">
        <f>IF(AND(S471=1,OR(J471="",J471="No")),1,0)</f>
        <v/>
      </c>
      <c r="X471">
        <f>IF(AND(S471=1,K471=""),1,0)</f>
        <v/>
      </c>
      <c r="Y471">
        <f>IF(AND(S471=1,Q471&lt;&gt;""),ROUND(T471*100,0)*10000+10000-ROW(),"")</f>
        <v/>
      </c>
    </row>
    <row r="472">
      <c r="A472" s="1" t="n"/>
      <c r="B472" s="17" t="n"/>
      <c r="C472" s="18" t="n"/>
      <c r="D472" s="17" t="n"/>
      <c r="E472" s="19" t="n"/>
      <c r="F472" s="19" t="n"/>
      <c r="G472" s="20" t="n"/>
      <c r="H472" s="21" t="n"/>
      <c r="I472" s="21" t="n"/>
      <c r="J472" s="17" t="n"/>
      <c r="K472" s="19" t="n"/>
      <c r="L472" s="20" t="n"/>
      <c r="M472" s="19" t="n"/>
      <c r="N472" s="22">
        <f>IF(C472="","",IF(ISNUMBER(I472),I472,IF(ISNUMBER(H472),H472,"")))</f>
        <v/>
      </c>
      <c r="O472" s="23">
        <f>IF(OR(C472="",NOT(ISNUMBER(G472))),"",(TODAY()-INT(G472))/365.25)</f>
        <v/>
      </c>
      <c r="P472" s="13">
        <f>IF(OR(C472="",NOT(ISNUMBER(L472))),"",IF(L472&lt;TODAY(),"Ended",IF(L472-TODAY()&lt;=N(Settings!$C$10),"Ends soon","Covered")))</f>
        <v/>
      </c>
      <c r="Q472" s="13">
        <f>IF(C472="","",MID(IF(N472="",", value","")&amp;IF(OR(J472="",J472="No"),", receipt","")&amp;IF(K472="",", photo",""),3,100))</f>
        <v/>
      </c>
      <c r="R472" s="13">
        <f>IF(AND(B472="",C472=""),"",IF(C472="","Needs the item",IF(B472="","Needs a room",IF(COUNTIF(Rooms!$B$6:$B$35,B472)=0,"Not on Rooms",IF(AND(H472&lt;&gt;"",NOT(ISNUMBER(H472))),"Paid not a number",IF(AND(I472&lt;&gt;"",NOT(ISNUMBER(I472))),"Worth not a number",IF(AND(G472&lt;&gt;"",NOT(ISNUMBER(G472))),"Bought is not a date",IF(AND(L472&lt;&gt;"",NOT(ISNUMBER(L472))),"Warranty is not a date",""))))))))</f>
        <v/>
      </c>
      <c r="S472" s="1">
        <f>IF(AND(C472&lt;&gt;"",R472=""),1,0)</f>
        <v/>
      </c>
      <c r="T472">
        <f>IF(S472=1,N(N472),0)</f>
        <v/>
      </c>
      <c r="U472">
        <f>IF(AND(S472=1,T472&gt;0),ROUND(T472*100,0)*10000+10000-ROW(),"")</f>
        <v/>
      </c>
      <c r="V472">
        <f>IF(AND(S472=1,OR(Report!$C$5="",B472=Report!$C$5)),MATCH(B472,Rooms!$B$6:$B$35,0)*10000+ROW(),"")</f>
        <v/>
      </c>
      <c r="W472">
        <f>IF(AND(S472=1,OR(J472="",J472="No")),1,0)</f>
        <v/>
      </c>
      <c r="X472">
        <f>IF(AND(S472=1,K472=""),1,0)</f>
        <v/>
      </c>
      <c r="Y472">
        <f>IF(AND(S472=1,Q472&lt;&gt;""),ROUND(T472*100,0)*10000+10000-ROW(),"")</f>
        <v/>
      </c>
    </row>
    <row r="473">
      <c r="A473" s="1" t="n"/>
      <c r="B473" s="17" t="n"/>
      <c r="C473" s="18" t="n"/>
      <c r="D473" s="17" t="n"/>
      <c r="E473" s="19" t="n"/>
      <c r="F473" s="19" t="n"/>
      <c r="G473" s="20" t="n"/>
      <c r="H473" s="21" t="n"/>
      <c r="I473" s="21" t="n"/>
      <c r="J473" s="17" t="n"/>
      <c r="K473" s="19" t="n"/>
      <c r="L473" s="20" t="n"/>
      <c r="M473" s="19" t="n"/>
      <c r="N473" s="22">
        <f>IF(C473="","",IF(ISNUMBER(I473),I473,IF(ISNUMBER(H473),H473,"")))</f>
        <v/>
      </c>
      <c r="O473" s="23">
        <f>IF(OR(C473="",NOT(ISNUMBER(G473))),"",(TODAY()-INT(G473))/365.25)</f>
        <v/>
      </c>
      <c r="P473" s="13">
        <f>IF(OR(C473="",NOT(ISNUMBER(L473))),"",IF(L473&lt;TODAY(),"Ended",IF(L473-TODAY()&lt;=N(Settings!$C$10),"Ends soon","Covered")))</f>
        <v/>
      </c>
      <c r="Q473" s="13">
        <f>IF(C473="","",MID(IF(N473="",", value","")&amp;IF(OR(J473="",J473="No"),", receipt","")&amp;IF(K473="",", photo",""),3,100))</f>
        <v/>
      </c>
      <c r="R473" s="13">
        <f>IF(AND(B473="",C473=""),"",IF(C473="","Needs the item",IF(B473="","Needs a room",IF(COUNTIF(Rooms!$B$6:$B$35,B473)=0,"Not on Rooms",IF(AND(H473&lt;&gt;"",NOT(ISNUMBER(H473))),"Paid not a number",IF(AND(I473&lt;&gt;"",NOT(ISNUMBER(I473))),"Worth not a number",IF(AND(G473&lt;&gt;"",NOT(ISNUMBER(G473))),"Bought is not a date",IF(AND(L473&lt;&gt;"",NOT(ISNUMBER(L473))),"Warranty is not a date",""))))))))</f>
        <v/>
      </c>
      <c r="S473" s="1">
        <f>IF(AND(C473&lt;&gt;"",R473=""),1,0)</f>
        <v/>
      </c>
      <c r="T473">
        <f>IF(S473=1,N(N473),0)</f>
        <v/>
      </c>
      <c r="U473">
        <f>IF(AND(S473=1,T473&gt;0),ROUND(T473*100,0)*10000+10000-ROW(),"")</f>
        <v/>
      </c>
      <c r="V473">
        <f>IF(AND(S473=1,OR(Report!$C$5="",B473=Report!$C$5)),MATCH(B473,Rooms!$B$6:$B$35,0)*10000+ROW(),"")</f>
        <v/>
      </c>
      <c r="W473">
        <f>IF(AND(S473=1,OR(J473="",J473="No")),1,0)</f>
        <v/>
      </c>
      <c r="X473">
        <f>IF(AND(S473=1,K473=""),1,0)</f>
        <v/>
      </c>
      <c r="Y473">
        <f>IF(AND(S473=1,Q473&lt;&gt;""),ROUND(T473*100,0)*10000+10000-ROW(),"")</f>
        <v/>
      </c>
    </row>
    <row r="474">
      <c r="A474" s="1" t="n"/>
      <c r="B474" s="17" t="n"/>
      <c r="C474" s="18" t="n"/>
      <c r="D474" s="17" t="n"/>
      <c r="E474" s="19" t="n"/>
      <c r="F474" s="19" t="n"/>
      <c r="G474" s="20" t="n"/>
      <c r="H474" s="21" t="n"/>
      <c r="I474" s="21" t="n"/>
      <c r="J474" s="17" t="n"/>
      <c r="K474" s="19" t="n"/>
      <c r="L474" s="20" t="n"/>
      <c r="M474" s="19" t="n"/>
      <c r="N474" s="22">
        <f>IF(C474="","",IF(ISNUMBER(I474),I474,IF(ISNUMBER(H474),H474,"")))</f>
        <v/>
      </c>
      <c r="O474" s="23">
        <f>IF(OR(C474="",NOT(ISNUMBER(G474))),"",(TODAY()-INT(G474))/365.25)</f>
        <v/>
      </c>
      <c r="P474" s="13">
        <f>IF(OR(C474="",NOT(ISNUMBER(L474))),"",IF(L474&lt;TODAY(),"Ended",IF(L474-TODAY()&lt;=N(Settings!$C$10),"Ends soon","Covered")))</f>
        <v/>
      </c>
      <c r="Q474" s="13">
        <f>IF(C474="","",MID(IF(N474="",", value","")&amp;IF(OR(J474="",J474="No"),", receipt","")&amp;IF(K474="",", photo",""),3,100))</f>
        <v/>
      </c>
      <c r="R474" s="13">
        <f>IF(AND(B474="",C474=""),"",IF(C474="","Needs the item",IF(B474="","Needs a room",IF(COUNTIF(Rooms!$B$6:$B$35,B474)=0,"Not on Rooms",IF(AND(H474&lt;&gt;"",NOT(ISNUMBER(H474))),"Paid not a number",IF(AND(I474&lt;&gt;"",NOT(ISNUMBER(I474))),"Worth not a number",IF(AND(G474&lt;&gt;"",NOT(ISNUMBER(G474))),"Bought is not a date",IF(AND(L474&lt;&gt;"",NOT(ISNUMBER(L474))),"Warranty is not a date",""))))))))</f>
        <v/>
      </c>
      <c r="S474" s="1">
        <f>IF(AND(C474&lt;&gt;"",R474=""),1,0)</f>
        <v/>
      </c>
      <c r="T474">
        <f>IF(S474=1,N(N474),0)</f>
        <v/>
      </c>
      <c r="U474">
        <f>IF(AND(S474=1,T474&gt;0),ROUND(T474*100,0)*10000+10000-ROW(),"")</f>
        <v/>
      </c>
      <c r="V474">
        <f>IF(AND(S474=1,OR(Report!$C$5="",B474=Report!$C$5)),MATCH(B474,Rooms!$B$6:$B$35,0)*10000+ROW(),"")</f>
        <v/>
      </c>
      <c r="W474">
        <f>IF(AND(S474=1,OR(J474="",J474="No")),1,0)</f>
        <v/>
      </c>
      <c r="X474">
        <f>IF(AND(S474=1,K474=""),1,0)</f>
        <v/>
      </c>
      <c r="Y474">
        <f>IF(AND(S474=1,Q474&lt;&gt;""),ROUND(T474*100,0)*10000+10000-ROW(),"")</f>
        <v/>
      </c>
    </row>
    <row r="475">
      <c r="A475" s="1" t="n"/>
      <c r="B475" s="17" t="n"/>
      <c r="C475" s="18" t="n"/>
      <c r="D475" s="17" t="n"/>
      <c r="E475" s="19" t="n"/>
      <c r="F475" s="19" t="n"/>
      <c r="G475" s="20" t="n"/>
      <c r="H475" s="21" t="n"/>
      <c r="I475" s="21" t="n"/>
      <c r="J475" s="17" t="n"/>
      <c r="K475" s="19" t="n"/>
      <c r="L475" s="20" t="n"/>
      <c r="M475" s="19" t="n"/>
      <c r="N475" s="22">
        <f>IF(C475="","",IF(ISNUMBER(I475),I475,IF(ISNUMBER(H475),H475,"")))</f>
        <v/>
      </c>
      <c r="O475" s="23">
        <f>IF(OR(C475="",NOT(ISNUMBER(G475))),"",(TODAY()-INT(G475))/365.25)</f>
        <v/>
      </c>
      <c r="P475" s="13">
        <f>IF(OR(C475="",NOT(ISNUMBER(L475))),"",IF(L475&lt;TODAY(),"Ended",IF(L475-TODAY()&lt;=N(Settings!$C$10),"Ends soon","Covered")))</f>
        <v/>
      </c>
      <c r="Q475" s="13">
        <f>IF(C475="","",MID(IF(N475="",", value","")&amp;IF(OR(J475="",J475="No"),", receipt","")&amp;IF(K475="",", photo",""),3,100))</f>
        <v/>
      </c>
      <c r="R475" s="13">
        <f>IF(AND(B475="",C475=""),"",IF(C475="","Needs the item",IF(B475="","Needs a room",IF(COUNTIF(Rooms!$B$6:$B$35,B475)=0,"Not on Rooms",IF(AND(H475&lt;&gt;"",NOT(ISNUMBER(H475))),"Paid not a number",IF(AND(I475&lt;&gt;"",NOT(ISNUMBER(I475))),"Worth not a number",IF(AND(G475&lt;&gt;"",NOT(ISNUMBER(G475))),"Bought is not a date",IF(AND(L475&lt;&gt;"",NOT(ISNUMBER(L475))),"Warranty is not a date",""))))))))</f>
        <v/>
      </c>
      <c r="S475" s="1">
        <f>IF(AND(C475&lt;&gt;"",R475=""),1,0)</f>
        <v/>
      </c>
      <c r="T475">
        <f>IF(S475=1,N(N475),0)</f>
        <v/>
      </c>
      <c r="U475">
        <f>IF(AND(S475=1,T475&gt;0),ROUND(T475*100,0)*10000+10000-ROW(),"")</f>
        <v/>
      </c>
      <c r="V475">
        <f>IF(AND(S475=1,OR(Report!$C$5="",B475=Report!$C$5)),MATCH(B475,Rooms!$B$6:$B$35,0)*10000+ROW(),"")</f>
        <v/>
      </c>
      <c r="W475">
        <f>IF(AND(S475=1,OR(J475="",J475="No")),1,0)</f>
        <v/>
      </c>
      <c r="X475">
        <f>IF(AND(S475=1,K475=""),1,0)</f>
        <v/>
      </c>
      <c r="Y475">
        <f>IF(AND(S475=1,Q475&lt;&gt;""),ROUND(T475*100,0)*10000+10000-ROW(),"")</f>
        <v/>
      </c>
    </row>
    <row r="476">
      <c r="A476" s="1" t="n"/>
      <c r="B476" s="17" t="n"/>
      <c r="C476" s="18" t="n"/>
      <c r="D476" s="17" t="n"/>
      <c r="E476" s="19" t="n"/>
      <c r="F476" s="19" t="n"/>
      <c r="G476" s="20" t="n"/>
      <c r="H476" s="21" t="n"/>
      <c r="I476" s="21" t="n"/>
      <c r="J476" s="17" t="n"/>
      <c r="K476" s="19" t="n"/>
      <c r="L476" s="20" t="n"/>
      <c r="M476" s="19" t="n"/>
      <c r="N476" s="22">
        <f>IF(C476="","",IF(ISNUMBER(I476),I476,IF(ISNUMBER(H476),H476,"")))</f>
        <v/>
      </c>
      <c r="O476" s="23">
        <f>IF(OR(C476="",NOT(ISNUMBER(G476))),"",(TODAY()-INT(G476))/365.25)</f>
        <v/>
      </c>
      <c r="P476" s="13">
        <f>IF(OR(C476="",NOT(ISNUMBER(L476))),"",IF(L476&lt;TODAY(),"Ended",IF(L476-TODAY()&lt;=N(Settings!$C$10),"Ends soon","Covered")))</f>
        <v/>
      </c>
      <c r="Q476" s="13">
        <f>IF(C476="","",MID(IF(N476="",", value","")&amp;IF(OR(J476="",J476="No"),", receipt","")&amp;IF(K476="",", photo",""),3,100))</f>
        <v/>
      </c>
      <c r="R476" s="13">
        <f>IF(AND(B476="",C476=""),"",IF(C476="","Needs the item",IF(B476="","Needs a room",IF(COUNTIF(Rooms!$B$6:$B$35,B476)=0,"Not on Rooms",IF(AND(H476&lt;&gt;"",NOT(ISNUMBER(H476))),"Paid not a number",IF(AND(I476&lt;&gt;"",NOT(ISNUMBER(I476))),"Worth not a number",IF(AND(G476&lt;&gt;"",NOT(ISNUMBER(G476))),"Bought is not a date",IF(AND(L476&lt;&gt;"",NOT(ISNUMBER(L476))),"Warranty is not a date",""))))))))</f>
        <v/>
      </c>
      <c r="S476" s="1">
        <f>IF(AND(C476&lt;&gt;"",R476=""),1,0)</f>
        <v/>
      </c>
      <c r="T476">
        <f>IF(S476=1,N(N476),0)</f>
        <v/>
      </c>
      <c r="U476">
        <f>IF(AND(S476=1,T476&gt;0),ROUND(T476*100,0)*10000+10000-ROW(),"")</f>
        <v/>
      </c>
      <c r="V476">
        <f>IF(AND(S476=1,OR(Report!$C$5="",B476=Report!$C$5)),MATCH(B476,Rooms!$B$6:$B$35,0)*10000+ROW(),"")</f>
        <v/>
      </c>
      <c r="W476">
        <f>IF(AND(S476=1,OR(J476="",J476="No")),1,0)</f>
        <v/>
      </c>
      <c r="X476">
        <f>IF(AND(S476=1,K476=""),1,0)</f>
        <v/>
      </c>
      <c r="Y476">
        <f>IF(AND(S476=1,Q476&lt;&gt;""),ROUND(T476*100,0)*10000+10000-ROW(),"")</f>
        <v/>
      </c>
    </row>
    <row r="477">
      <c r="A477" s="1" t="n"/>
      <c r="B477" s="17" t="n"/>
      <c r="C477" s="18" t="n"/>
      <c r="D477" s="17" t="n"/>
      <c r="E477" s="19" t="n"/>
      <c r="F477" s="19" t="n"/>
      <c r="G477" s="20" t="n"/>
      <c r="H477" s="21" t="n"/>
      <c r="I477" s="21" t="n"/>
      <c r="J477" s="17" t="n"/>
      <c r="K477" s="19" t="n"/>
      <c r="L477" s="20" t="n"/>
      <c r="M477" s="19" t="n"/>
      <c r="N477" s="22">
        <f>IF(C477="","",IF(ISNUMBER(I477),I477,IF(ISNUMBER(H477),H477,"")))</f>
        <v/>
      </c>
      <c r="O477" s="23">
        <f>IF(OR(C477="",NOT(ISNUMBER(G477))),"",(TODAY()-INT(G477))/365.25)</f>
        <v/>
      </c>
      <c r="P477" s="13">
        <f>IF(OR(C477="",NOT(ISNUMBER(L477))),"",IF(L477&lt;TODAY(),"Ended",IF(L477-TODAY()&lt;=N(Settings!$C$10),"Ends soon","Covered")))</f>
        <v/>
      </c>
      <c r="Q477" s="13">
        <f>IF(C477="","",MID(IF(N477="",", value","")&amp;IF(OR(J477="",J477="No"),", receipt","")&amp;IF(K477="",", photo",""),3,100))</f>
        <v/>
      </c>
      <c r="R477" s="13">
        <f>IF(AND(B477="",C477=""),"",IF(C477="","Needs the item",IF(B477="","Needs a room",IF(COUNTIF(Rooms!$B$6:$B$35,B477)=0,"Not on Rooms",IF(AND(H477&lt;&gt;"",NOT(ISNUMBER(H477))),"Paid not a number",IF(AND(I477&lt;&gt;"",NOT(ISNUMBER(I477))),"Worth not a number",IF(AND(G477&lt;&gt;"",NOT(ISNUMBER(G477))),"Bought is not a date",IF(AND(L477&lt;&gt;"",NOT(ISNUMBER(L477))),"Warranty is not a date",""))))))))</f>
        <v/>
      </c>
      <c r="S477" s="1">
        <f>IF(AND(C477&lt;&gt;"",R477=""),1,0)</f>
        <v/>
      </c>
      <c r="T477">
        <f>IF(S477=1,N(N477),0)</f>
        <v/>
      </c>
      <c r="U477">
        <f>IF(AND(S477=1,T477&gt;0),ROUND(T477*100,0)*10000+10000-ROW(),"")</f>
        <v/>
      </c>
      <c r="V477">
        <f>IF(AND(S477=1,OR(Report!$C$5="",B477=Report!$C$5)),MATCH(B477,Rooms!$B$6:$B$35,0)*10000+ROW(),"")</f>
        <v/>
      </c>
      <c r="W477">
        <f>IF(AND(S477=1,OR(J477="",J477="No")),1,0)</f>
        <v/>
      </c>
      <c r="X477">
        <f>IF(AND(S477=1,K477=""),1,0)</f>
        <v/>
      </c>
      <c r="Y477">
        <f>IF(AND(S477=1,Q477&lt;&gt;""),ROUND(T477*100,0)*10000+10000-ROW(),"")</f>
        <v/>
      </c>
    </row>
    <row r="478">
      <c r="A478" s="1" t="n"/>
      <c r="B478" s="17" t="n"/>
      <c r="C478" s="18" t="n"/>
      <c r="D478" s="17" t="n"/>
      <c r="E478" s="19" t="n"/>
      <c r="F478" s="19" t="n"/>
      <c r="G478" s="20" t="n"/>
      <c r="H478" s="21" t="n"/>
      <c r="I478" s="21" t="n"/>
      <c r="J478" s="17" t="n"/>
      <c r="K478" s="19" t="n"/>
      <c r="L478" s="20" t="n"/>
      <c r="M478" s="19" t="n"/>
      <c r="N478" s="22">
        <f>IF(C478="","",IF(ISNUMBER(I478),I478,IF(ISNUMBER(H478),H478,"")))</f>
        <v/>
      </c>
      <c r="O478" s="23">
        <f>IF(OR(C478="",NOT(ISNUMBER(G478))),"",(TODAY()-INT(G478))/365.25)</f>
        <v/>
      </c>
      <c r="P478" s="13">
        <f>IF(OR(C478="",NOT(ISNUMBER(L478))),"",IF(L478&lt;TODAY(),"Ended",IF(L478-TODAY()&lt;=N(Settings!$C$10),"Ends soon","Covered")))</f>
        <v/>
      </c>
      <c r="Q478" s="13">
        <f>IF(C478="","",MID(IF(N478="",", value","")&amp;IF(OR(J478="",J478="No"),", receipt","")&amp;IF(K478="",", photo",""),3,100))</f>
        <v/>
      </c>
      <c r="R478" s="13">
        <f>IF(AND(B478="",C478=""),"",IF(C478="","Needs the item",IF(B478="","Needs a room",IF(COUNTIF(Rooms!$B$6:$B$35,B478)=0,"Not on Rooms",IF(AND(H478&lt;&gt;"",NOT(ISNUMBER(H478))),"Paid not a number",IF(AND(I478&lt;&gt;"",NOT(ISNUMBER(I478))),"Worth not a number",IF(AND(G478&lt;&gt;"",NOT(ISNUMBER(G478))),"Bought is not a date",IF(AND(L478&lt;&gt;"",NOT(ISNUMBER(L478))),"Warranty is not a date",""))))))))</f>
        <v/>
      </c>
      <c r="S478" s="1">
        <f>IF(AND(C478&lt;&gt;"",R478=""),1,0)</f>
        <v/>
      </c>
      <c r="T478">
        <f>IF(S478=1,N(N478),0)</f>
        <v/>
      </c>
      <c r="U478">
        <f>IF(AND(S478=1,T478&gt;0),ROUND(T478*100,0)*10000+10000-ROW(),"")</f>
        <v/>
      </c>
      <c r="V478">
        <f>IF(AND(S478=1,OR(Report!$C$5="",B478=Report!$C$5)),MATCH(B478,Rooms!$B$6:$B$35,0)*10000+ROW(),"")</f>
        <v/>
      </c>
      <c r="W478">
        <f>IF(AND(S478=1,OR(J478="",J478="No")),1,0)</f>
        <v/>
      </c>
      <c r="X478">
        <f>IF(AND(S478=1,K478=""),1,0)</f>
        <v/>
      </c>
      <c r="Y478">
        <f>IF(AND(S478=1,Q478&lt;&gt;""),ROUND(T478*100,0)*10000+10000-ROW(),"")</f>
        <v/>
      </c>
    </row>
    <row r="479">
      <c r="A479" s="1" t="n"/>
      <c r="B479" s="17" t="n"/>
      <c r="C479" s="18" t="n"/>
      <c r="D479" s="17" t="n"/>
      <c r="E479" s="19" t="n"/>
      <c r="F479" s="19" t="n"/>
      <c r="G479" s="20" t="n"/>
      <c r="H479" s="21" t="n"/>
      <c r="I479" s="21" t="n"/>
      <c r="J479" s="17" t="n"/>
      <c r="K479" s="19" t="n"/>
      <c r="L479" s="20" t="n"/>
      <c r="M479" s="19" t="n"/>
      <c r="N479" s="22">
        <f>IF(C479="","",IF(ISNUMBER(I479),I479,IF(ISNUMBER(H479),H479,"")))</f>
        <v/>
      </c>
      <c r="O479" s="23">
        <f>IF(OR(C479="",NOT(ISNUMBER(G479))),"",(TODAY()-INT(G479))/365.25)</f>
        <v/>
      </c>
      <c r="P479" s="13">
        <f>IF(OR(C479="",NOT(ISNUMBER(L479))),"",IF(L479&lt;TODAY(),"Ended",IF(L479-TODAY()&lt;=N(Settings!$C$10),"Ends soon","Covered")))</f>
        <v/>
      </c>
      <c r="Q479" s="13">
        <f>IF(C479="","",MID(IF(N479="",", value","")&amp;IF(OR(J479="",J479="No"),", receipt","")&amp;IF(K479="",", photo",""),3,100))</f>
        <v/>
      </c>
      <c r="R479" s="13">
        <f>IF(AND(B479="",C479=""),"",IF(C479="","Needs the item",IF(B479="","Needs a room",IF(COUNTIF(Rooms!$B$6:$B$35,B479)=0,"Not on Rooms",IF(AND(H479&lt;&gt;"",NOT(ISNUMBER(H479))),"Paid not a number",IF(AND(I479&lt;&gt;"",NOT(ISNUMBER(I479))),"Worth not a number",IF(AND(G479&lt;&gt;"",NOT(ISNUMBER(G479))),"Bought is not a date",IF(AND(L479&lt;&gt;"",NOT(ISNUMBER(L479))),"Warranty is not a date",""))))))))</f>
        <v/>
      </c>
      <c r="S479" s="1">
        <f>IF(AND(C479&lt;&gt;"",R479=""),1,0)</f>
        <v/>
      </c>
      <c r="T479">
        <f>IF(S479=1,N(N479),0)</f>
        <v/>
      </c>
      <c r="U479">
        <f>IF(AND(S479=1,T479&gt;0),ROUND(T479*100,0)*10000+10000-ROW(),"")</f>
        <v/>
      </c>
      <c r="V479">
        <f>IF(AND(S479=1,OR(Report!$C$5="",B479=Report!$C$5)),MATCH(B479,Rooms!$B$6:$B$35,0)*10000+ROW(),"")</f>
        <v/>
      </c>
      <c r="W479">
        <f>IF(AND(S479=1,OR(J479="",J479="No")),1,0)</f>
        <v/>
      </c>
      <c r="X479">
        <f>IF(AND(S479=1,K479=""),1,0)</f>
        <v/>
      </c>
      <c r="Y479">
        <f>IF(AND(S479=1,Q479&lt;&gt;""),ROUND(T479*100,0)*10000+10000-ROW(),"")</f>
        <v/>
      </c>
    </row>
    <row r="480">
      <c r="A480" s="1" t="n"/>
      <c r="B480" s="17" t="n"/>
      <c r="C480" s="18" t="n"/>
      <c r="D480" s="17" t="n"/>
      <c r="E480" s="19" t="n"/>
      <c r="F480" s="19" t="n"/>
      <c r="G480" s="20" t="n"/>
      <c r="H480" s="21" t="n"/>
      <c r="I480" s="21" t="n"/>
      <c r="J480" s="17" t="n"/>
      <c r="K480" s="19" t="n"/>
      <c r="L480" s="20" t="n"/>
      <c r="M480" s="19" t="n"/>
      <c r="N480" s="22">
        <f>IF(C480="","",IF(ISNUMBER(I480),I480,IF(ISNUMBER(H480),H480,"")))</f>
        <v/>
      </c>
      <c r="O480" s="23">
        <f>IF(OR(C480="",NOT(ISNUMBER(G480))),"",(TODAY()-INT(G480))/365.25)</f>
        <v/>
      </c>
      <c r="P480" s="13">
        <f>IF(OR(C480="",NOT(ISNUMBER(L480))),"",IF(L480&lt;TODAY(),"Ended",IF(L480-TODAY()&lt;=N(Settings!$C$10),"Ends soon","Covered")))</f>
        <v/>
      </c>
      <c r="Q480" s="13">
        <f>IF(C480="","",MID(IF(N480="",", value","")&amp;IF(OR(J480="",J480="No"),", receipt","")&amp;IF(K480="",", photo",""),3,100))</f>
        <v/>
      </c>
      <c r="R480" s="13">
        <f>IF(AND(B480="",C480=""),"",IF(C480="","Needs the item",IF(B480="","Needs a room",IF(COUNTIF(Rooms!$B$6:$B$35,B480)=0,"Not on Rooms",IF(AND(H480&lt;&gt;"",NOT(ISNUMBER(H480))),"Paid not a number",IF(AND(I480&lt;&gt;"",NOT(ISNUMBER(I480))),"Worth not a number",IF(AND(G480&lt;&gt;"",NOT(ISNUMBER(G480))),"Bought is not a date",IF(AND(L480&lt;&gt;"",NOT(ISNUMBER(L480))),"Warranty is not a date",""))))))))</f>
        <v/>
      </c>
      <c r="S480" s="1">
        <f>IF(AND(C480&lt;&gt;"",R480=""),1,0)</f>
        <v/>
      </c>
      <c r="T480">
        <f>IF(S480=1,N(N480),0)</f>
        <v/>
      </c>
      <c r="U480">
        <f>IF(AND(S480=1,T480&gt;0),ROUND(T480*100,0)*10000+10000-ROW(),"")</f>
        <v/>
      </c>
      <c r="V480">
        <f>IF(AND(S480=1,OR(Report!$C$5="",B480=Report!$C$5)),MATCH(B480,Rooms!$B$6:$B$35,0)*10000+ROW(),"")</f>
        <v/>
      </c>
      <c r="W480">
        <f>IF(AND(S480=1,OR(J480="",J480="No")),1,0)</f>
        <v/>
      </c>
      <c r="X480">
        <f>IF(AND(S480=1,K480=""),1,0)</f>
        <v/>
      </c>
      <c r="Y480">
        <f>IF(AND(S480=1,Q480&lt;&gt;""),ROUND(T480*100,0)*10000+10000-ROW(),"")</f>
        <v/>
      </c>
    </row>
    <row r="481">
      <c r="A481" s="1" t="n"/>
      <c r="B481" s="17" t="n"/>
      <c r="C481" s="18" t="n"/>
      <c r="D481" s="17" t="n"/>
      <c r="E481" s="19" t="n"/>
      <c r="F481" s="19" t="n"/>
      <c r="G481" s="20" t="n"/>
      <c r="H481" s="21" t="n"/>
      <c r="I481" s="21" t="n"/>
      <c r="J481" s="17" t="n"/>
      <c r="K481" s="19" t="n"/>
      <c r="L481" s="20" t="n"/>
      <c r="M481" s="19" t="n"/>
      <c r="N481" s="22">
        <f>IF(C481="","",IF(ISNUMBER(I481),I481,IF(ISNUMBER(H481),H481,"")))</f>
        <v/>
      </c>
      <c r="O481" s="23">
        <f>IF(OR(C481="",NOT(ISNUMBER(G481))),"",(TODAY()-INT(G481))/365.25)</f>
        <v/>
      </c>
      <c r="P481" s="13">
        <f>IF(OR(C481="",NOT(ISNUMBER(L481))),"",IF(L481&lt;TODAY(),"Ended",IF(L481-TODAY()&lt;=N(Settings!$C$10),"Ends soon","Covered")))</f>
        <v/>
      </c>
      <c r="Q481" s="13">
        <f>IF(C481="","",MID(IF(N481="",", value","")&amp;IF(OR(J481="",J481="No"),", receipt","")&amp;IF(K481="",", photo",""),3,100))</f>
        <v/>
      </c>
      <c r="R481" s="13">
        <f>IF(AND(B481="",C481=""),"",IF(C481="","Needs the item",IF(B481="","Needs a room",IF(COUNTIF(Rooms!$B$6:$B$35,B481)=0,"Not on Rooms",IF(AND(H481&lt;&gt;"",NOT(ISNUMBER(H481))),"Paid not a number",IF(AND(I481&lt;&gt;"",NOT(ISNUMBER(I481))),"Worth not a number",IF(AND(G481&lt;&gt;"",NOT(ISNUMBER(G481))),"Bought is not a date",IF(AND(L481&lt;&gt;"",NOT(ISNUMBER(L481))),"Warranty is not a date",""))))))))</f>
        <v/>
      </c>
      <c r="S481" s="1">
        <f>IF(AND(C481&lt;&gt;"",R481=""),1,0)</f>
        <v/>
      </c>
      <c r="T481">
        <f>IF(S481=1,N(N481),0)</f>
        <v/>
      </c>
      <c r="U481">
        <f>IF(AND(S481=1,T481&gt;0),ROUND(T481*100,0)*10000+10000-ROW(),"")</f>
        <v/>
      </c>
      <c r="V481">
        <f>IF(AND(S481=1,OR(Report!$C$5="",B481=Report!$C$5)),MATCH(B481,Rooms!$B$6:$B$35,0)*10000+ROW(),"")</f>
        <v/>
      </c>
      <c r="W481">
        <f>IF(AND(S481=1,OR(J481="",J481="No")),1,0)</f>
        <v/>
      </c>
      <c r="X481">
        <f>IF(AND(S481=1,K481=""),1,0)</f>
        <v/>
      </c>
      <c r="Y481">
        <f>IF(AND(S481=1,Q481&lt;&gt;""),ROUND(T481*100,0)*10000+10000-ROW(),"")</f>
        <v/>
      </c>
    </row>
    <row r="482">
      <c r="A482" s="1" t="n"/>
      <c r="B482" s="17" t="n"/>
      <c r="C482" s="18" t="n"/>
      <c r="D482" s="17" t="n"/>
      <c r="E482" s="19" t="n"/>
      <c r="F482" s="19" t="n"/>
      <c r="G482" s="20" t="n"/>
      <c r="H482" s="21" t="n"/>
      <c r="I482" s="21" t="n"/>
      <c r="J482" s="17" t="n"/>
      <c r="K482" s="19" t="n"/>
      <c r="L482" s="20" t="n"/>
      <c r="M482" s="19" t="n"/>
      <c r="N482" s="22">
        <f>IF(C482="","",IF(ISNUMBER(I482),I482,IF(ISNUMBER(H482),H482,"")))</f>
        <v/>
      </c>
      <c r="O482" s="23">
        <f>IF(OR(C482="",NOT(ISNUMBER(G482))),"",(TODAY()-INT(G482))/365.25)</f>
        <v/>
      </c>
      <c r="P482" s="13">
        <f>IF(OR(C482="",NOT(ISNUMBER(L482))),"",IF(L482&lt;TODAY(),"Ended",IF(L482-TODAY()&lt;=N(Settings!$C$10),"Ends soon","Covered")))</f>
        <v/>
      </c>
      <c r="Q482" s="13">
        <f>IF(C482="","",MID(IF(N482="",", value","")&amp;IF(OR(J482="",J482="No"),", receipt","")&amp;IF(K482="",", photo",""),3,100))</f>
        <v/>
      </c>
      <c r="R482" s="13">
        <f>IF(AND(B482="",C482=""),"",IF(C482="","Needs the item",IF(B482="","Needs a room",IF(COUNTIF(Rooms!$B$6:$B$35,B482)=0,"Not on Rooms",IF(AND(H482&lt;&gt;"",NOT(ISNUMBER(H482))),"Paid not a number",IF(AND(I482&lt;&gt;"",NOT(ISNUMBER(I482))),"Worth not a number",IF(AND(G482&lt;&gt;"",NOT(ISNUMBER(G482))),"Bought is not a date",IF(AND(L482&lt;&gt;"",NOT(ISNUMBER(L482))),"Warranty is not a date",""))))))))</f>
        <v/>
      </c>
      <c r="S482" s="1">
        <f>IF(AND(C482&lt;&gt;"",R482=""),1,0)</f>
        <v/>
      </c>
      <c r="T482">
        <f>IF(S482=1,N(N482),0)</f>
        <v/>
      </c>
      <c r="U482">
        <f>IF(AND(S482=1,T482&gt;0),ROUND(T482*100,0)*10000+10000-ROW(),"")</f>
        <v/>
      </c>
      <c r="V482">
        <f>IF(AND(S482=1,OR(Report!$C$5="",B482=Report!$C$5)),MATCH(B482,Rooms!$B$6:$B$35,0)*10000+ROW(),"")</f>
        <v/>
      </c>
      <c r="W482">
        <f>IF(AND(S482=1,OR(J482="",J482="No")),1,0)</f>
        <v/>
      </c>
      <c r="X482">
        <f>IF(AND(S482=1,K482=""),1,0)</f>
        <v/>
      </c>
      <c r="Y482">
        <f>IF(AND(S482=1,Q482&lt;&gt;""),ROUND(T482*100,0)*10000+10000-ROW(),"")</f>
        <v/>
      </c>
    </row>
    <row r="483">
      <c r="A483" s="1" t="n"/>
      <c r="B483" s="17" t="n"/>
      <c r="C483" s="18" t="n"/>
      <c r="D483" s="17" t="n"/>
      <c r="E483" s="19" t="n"/>
      <c r="F483" s="19" t="n"/>
      <c r="G483" s="20" t="n"/>
      <c r="H483" s="21" t="n"/>
      <c r="I483" s="21" t="n"/>
      <c r="J483" s="17" t="n"/>
      <c r="K483" s="19" t="n"/>
      <c r="L483" s="20" t="n"/>
      <c r="M483" s="19" t="n"/>
      <c r="N483" s="22">
        <f>IF(C483="","",IF(ISNUMBER(I483),I483,IF(ISNUMBER(H483),H483,"")))</f>
        <v/>
      </c>
      <c r="O483" s="23">
        <f>IF(OR(C483="",NOT(ISNUMBER(G483))),"",(TODAY()-INT(G483))/365.25)</f>
        <v/>
      </c>
      <c r="P483" s="13">
        <f>IF(OR(C483="",NOT(ISNUMBER(L483))),"",IF(L483&lt;TODAY(),"Ended",IF(L483-TODAY()&lt;=N(Settings!$C$10),"Ends soon","Covered")))</f>
        <v/>
      </c>
      <c r="Q483" s="13">
        <f>IF(C483="","",MID(IF(N483="",", value","")&amp;IF(OR(J483="",J483="No"),", receipt","")&amp;IF(K483="",", photo",""),3,100))</f>
        <v/>
      </c>
      <c r="R483" s="13">
        <f>IF(AND(B483="",C483=""),"",IF(C483="","Needs the item",IF(B483="","Needs a room",IF(COUNTIF(Rooms!$B$6:$B$35,B483)=0,"Not on Rooms",IF(AND(H483&lt;&gt;"",NOT(ISNUMBER(H483))),"Paid not a number",IF(AND(I483&lt;&gt;"",NOT(ISNUMBER(I483))),"Worth not a number",IF(AND(G483&lt;&gt;"",NOT(ISNUMBER(G483))),"Bought is not a date",IF(AND(L483&lt;&gt;"",NOT(ISNUMBER(L483))),"Warranty is not a date",""))))))))</f>
        <v/>
      </c>
      <c r="S483" s="1">
        <f>IF(AND(C483&lt;&gt;"",R483=""),1,0)</f>
        <v/>
      </c>
      <c r="T483">
        <f>IF(S483=1,N(N483),0)</f>
        <v/>
      </c>
      <c r="U483">
        <f>IF(AND(S483=1,T483&gt;0),ROUND(T483*100,0)*10000+10000-ROW(),"")</f>
        <v/>
      </c>
      <c r="V483">
        <f>IF(AND(S483=1,OR(Report!$C$5="",B483=Report!$C$5)),MATCH(B483,Rooms!$B$6:$B$35,0)*10000+ROW(),"")</f>
        <v/>
      </c>
      <c r="W483">
        <f>IF(AND(S483=1,OR(J483="",J483="No")),1,0)</f>
        <v/>
      </c>
      <c r="X483">
        <f>IF(AND(S483=1,K483=""),1,0)</f>
        <v/>
      </c>
      <c r="Y483">
        <f>IF(AND(S483=1,Q483&lt;&gt;""),ROUND(T483*100,0)*10000+10000-ROW(),"")</f>
        <v/>
      </c>
    </row>
    <row r="484">
      <c r="A484" s="1" t="n"/>
      <c r="B484" s="17" t="n"/>
      <c r="C484" s="18" t="n"/>
      <c r="D484" s="17" t="n"/>
      <c r="E484" s="19" t="n"/>
      <c r="F484" s="19" t="n"/>
      <c r="G484" s="20" t="n"/>
      <c r="H484" s="21" t="n"/>
      <c r="I484" s="21" t="n"/>
      <c r="J484" s="17" t="n"/>
      <c r="K484" s="19" t="n"/>
      <c r="L484" s="20" t="n"/>
      <c r="M484" s="19" t="n"/>
      <c r="N484" s="22">
        <f>IF(C484="","",IF(ISNUMBER(I484),I484,IF(ISNUMBER(H484),H484,"")))</f>
        <v/>
      </c>
      <c r="O484" s="23">
        <f>IF(OR(C484="",NOT(ISNUMBER(G484))),"",(TODAY()-INT(G484))/365.25)</f>
        <v/>
      </c>
      <c r="P484" s="13">
        <f>IF(OR(C484="",NOT(ISNUMBER(L484))),"",IF(L484&lt;TODAY(),"Ended",IF(L484-TODAY()&lt;=N(Settings!$C$10),"Ends soon","Covered")))</f>
        <v/>
      </c>
      <c r="Q484" s="13">
        <f>IF(C484="","",MID(IF(N484="",", value","")&amp;IF(OR(J484="",J484="No"),", receipt","")&amp;IF(K484="",", photo",""),3,100))</f>
        <v/>
      </c>
      <c r="R484" s="13">
        <f>IF(AND(B484="",C484=""),"",IF(C484="","Needs the item",IF(B484="","Needs a room",IF(COUNTIF(Rooms!$B$6:$B$35,B484)=0,"Not on Rooms",IF(AND(H484&lt;&gt;"",NOT(ISNUMBER(H484))),"Paid not a number",IF(AND(I484&lt;&gt;"",NOT(ISNUMBER(I484))),"Worth not a number",IF(AND(G484&lt;&gt;"",NOT(ISNUMBER(G484))),"Bought is not a date",IF(AND(L484&lt;&gt;"",NOT(ISNUMBER(L484))),"Warranty is not a date",""))))))))</f>
        <v/>
      </c>
      <c r="S484" s="1">
        <f>IF(AND(C484&lt;&gt;"",R484=""),1,0)</f>
        <v/>
      </c>
      <c r="T484">
        <f>IF(S484=1,N(N484),0)</f>
        <v/>
      </c>
      <c r="U484">
        <f>IF(AND(S484=1,T484&gt;0),ROUND(T484*100,0)*10000+10000-ROW(),"")</f>
        <v/>
      </c>
      <c r="V484">
        <f>IF(AND(S484=1,OR(Report!$C$5="",B484=Report!$C$5)),MATCH(B484,Rooms!$B$6:$B$35,0)*10000+ROW(),"")</f>
        <v/>
      </c>
      <c r="W484">
        <f>IF(AND(S484=1,OR(J484="",J484="No")),1,0)</f>
        <v/>
      </c>
      <c r="X484">
        <f>IF(AND(S484=1,K484=""),1,0)</f>
        <v/>
      </c>
      <c r="Y484">
        <f>IF(AND(S484=1,Q484&lt;&gt;""),ROUND(T484*100,0)*10000+10000-ROW(),"")</f>
        <v/>
      </c>
    </row>
    <row r="485">
      <c r="A485" s="1" t="n"/>
      <c r="B485" s="17" t="n"/>
      <c r="C485" s="18" t="n"/>
      <c r="D485" s="17" t="n"/>
      <c r="E485" s="19" t="n"/>
      <c r="F485" s="19" t="n"/>
      <c r="G485" s="20" t="n"/>
      <c r="H485" s="21" t="n"/>
      <c r="I485" s="21" t="n"/>
      <c r="J485" s="17" t="n"/>
      <c r="K485" s="19" t="n"/>
      <c r="L485" s="20" t="n"/>
      <c r="M485" s="19" t="n"/>
      <c r="N485" s="22">
        <f>IF(C485="","",IF(ISNUMBER(I485),I485,IF(ISNUMBER(H485),H485,"")))</f>
        <v/>
      </c>
      <c r="O485" s="23">
        <f>IF(OR(C485="",NOT(ISNUMBER(G485))),"",(TODAY()-INT(G485))/365.25)</f>
        <v/>
      </c>
      <c r="P485" s="13">
        <f>IF(OR(C485="",NOT(ISNUMBER(L485))),"",IF(L485&lt;TODAY(),"Ended",IF(L485-TODAY()&lt;=N(Settings!$C$10),"Ends soon","Covered")))</f>
        <v/>
      </c>
      <c r="Q485" s="13">
        <f>IF(C485="","",MID(IF(N485="",", value","")&amp;IF(OR(J485="",J485="No"),", receipt","")&amp;IF(K485="",", photo",""),3,100))</f>
        <v/>
      </c>
      <c r="R485" s="13">
        <f>IF(AND(B485="",C485=""),"",IF(C485="","Needs the item",IF(B485="","Needs a room",IF(COUNTIF(Rooms!$B$6:$B$35,B485)=0,"Not on Rooms",IF(AND(H485&lt;&gt;"",NOT(ISNUMBER(H485))),"Paid not a number",IF(AND(I485&lt;&gt;"",NOT(ISNUMBER(I485))),"Worth not a number",IF(AND(G485&lt;&gt;"",NOT(ISNUMBER(G485))),"Bought is not a date",IF(AND(L485&lt;&gt;"",NOT(ISNUMBER(L485))),"Warranty is not a date",""))))))))</f>
        <v/>
      </c>
      <c r="S485" s="1">
        <f>IF(AND(C485&lt;&gt;"",R485=""),1,0)</f>
        <v/>
      </c>
      <c r="T485">
        <f>IF(S485=1,N(N485),0)</f>
        <v/>
      </c>
      <c r="U485">
        <f>IF(AND(S485=1,T485&gt;0),ROUND(T485*100,0)*10000+10000-ROW(),"")</f>
        <v/>
      </c>
      <c r="V485">
        <f>IF(AND(S485=1,OR(Report!$C$5="",B485=Report!$C$5)),MATCH(B485,Rooms!$B$6:$B$35,0)*10000+ROW(),"")</f>
        <v/>
      </c>
      <c r="W485">
        <f>IF(AND(S485=1,OR(J485="",J485="No")),1,0)</f>
        <v/>
      </c>
      <c r="X485">
        <f>IF(AND(S485=1,K485=""),1,0)</f>
        <v/>
      </c>
      <c r="Y485">
        <f>IF(AND(S485=1,Q485&lt;&gt;""),ROUND(T485*100,0)*10000+10000-ROW(),"")</f>
        <v/>
      </c>
    </row>
    <row r="486">
      <c r="A486" s="1" t="n"/>
      <c r="B486" s="17" t="n"/>
      <c r="C486" s="18" t="n"/>
      <c r="D486" s="17" t="n"/>
      <c r="E486" s="19" t="n"/>
      <c r="F486" s="19" t="n"/>
      <c r="G486" s="20" t="n"/>
      <c r="H486" s="21" t="n"/>
      <c r="I486" s="21" t="n"/>
      <c r="J486" s="17" t="n"/>
      <c r="K486" s="19" t="n"/>
      <c r="L486" s="20" t="n"/>
      <c r="M486" s="19" t="n"/>
      <c r="N486" s="22">
        <f>IF(C486="","",IF(ISNUMBER(I486),I486,IF(ISNUMBER(H486),H486,"")))</f>
        <v/>
      </c>
      <c r="O486" s="23">
        <f>IF(OR(C486="",NOT(ISNUMBER(G486))),"",(TODAY()-INT(G486))/365.25)</f>
        <v/>
      </c>
      <c r="P486" s="13">
        <f>IF(OR(C486="",NOT(ISNUMBER(L486))),"",IF(L486&lt;TODAY(),"Ended",IF(L486-TODAY()&lt;=N(Settings!$C$10),"Ends soon","Covered")))</f>
        <v/>
      </c>
      <c r="Q486" s="13">
        <f>IF(C486="","",MID(IF(N486="",", value","")&amp;IF(OR(J486="",J486="No"),", receipt","")&amp;IF(K486="",", photo",""),3,100))</f>
        <v/>
      </c>
      <c r="R486" s="13">
        <f>IF(AND(B486="",C486=""),"",IF(C486="","Needs the item",IF(B486="","Needs a room",IF(COUNTIF(Rooms!$B$6:$B$35,B486)=0,"Not on Rooms",IF(AND(H486&lt;&gt;"",NOT(ISNUMBER(H486))),"Paid not a number",IF(AND(I486&lt;&gt;"",NOT(ISNUMBER(I486))),"Worth not a number",IF(AND(G486&lt;&gt;"",NOT(ISNUMBER(G486))),"Bought is not a date",IF(AND(L486&lt;&gt;"",NOT(ISNUMBER(L486))),"Warranty is not a date",""))))))))</f>
        <v/>
      </c>
      <c r="S486" s="1">
        <f>IF(AND(C486&lt;&gt;"",R486=""),1,0)</f>
        <v/>
      </c>
      <c r="T486">
        <f>IF(S486=1,N(N486),0)</f>
        <v/>
      </c>
      <c r="U486">
        <f>IF(AND(S486=1,T486&gt;0),ROUND(T486*100,0)*10000+10000-ROW(),"")</f>
        <v/>
      </c>
      <c r="V486">
        <f>IF(AND(S486=1,OR(Report!$C$5="",B486=Report!$C$5)),MATCH(B486,Rooms!$B$6:$B$35,0)*10000+ROW(),"")</f>
        <v/>
      </c>
      <c r="W486">
        <f>IF(AND(S486=1,OR(J486="",J486="No")),1,0)</f>
        <v/>
      </c>
      <c r="X486">
        <f>IF(AND(S486=1,K486=""),1,0)</f>
        <v/>
      </c>
      <c r="Y486">
        <f>IF(AND(S486=1,Q486&lt;&gt;""),ROUND(T486*100,0)*10000+10000-ROW(),"")</f>
        <v/>
      </c>
    </row>
    <row r="487">
      <c r="A487" s="1" t="n"/>
      <c r="B487" s="17" t="n"/>
      <c r="C487" s="18" t="n"/>
      <c r="D487" s="17" t="n"/>
      <c r="E487" s="19" t="n"/>
      <c r="F487" s="19" t="n"/>
      <c r="G487" s="20" t="n"/>
      <c r="H487" s="21" t="n"/>
      <c r="I487" s="21" t="n"/>
      <c r="J487" s="17" t="n"/>
      <c r="K487" s="19" t="n"/>
      <c r="L487" s="20" t="n"/>
      <c r="M487" s="19" t="n"/>
      <c r="N487" s="22">
        <f>IF(C487="","",IF(ISNUMBER(I487),I487,IF(ISNUMBER(H487),H487,"")))</f>
        <v/>
      </c>
      <c r="O487" s="23">
        <f>IF(OR(C487="",NOT(ISNUMBER(G487))),"",(TODAY()-INT(G487))/365.25)</f>
        <v/>
      </c>
      <c r="P487" s="13">
        <f>IF(OR(C487="",NOT(ISNUMBER(L487))),"",IF(L487&lt;TODAY(),"Ended",IF(L487-TODAY()&lt;=N(Settings!$C$10),"Ends soon","Covered")))</f>
        <v/>
      </c>
      <c r="Q487" s="13">
        <f>IF(C487="","",MID(IF(N487="",", value","")&amp;IF(OR(J487="",J487="No"),", receipt","")&amp;IF(K487="",", photo",""),3,100))</f>
        <v/>
      </c>
      <c r="R487" s="13">
        <f>IF(AND(B487="",C487=""),"",IF(C487="","Needs the item",IF(B487="","Needs a room",IF(COUNTIF(Rooms!$B$6:$B$35,B487)=0,"Not on Rooms",IF(AND(H487&lt;&gt;"",NOT(ISNUMBER(H487))),"Paid not a number",IF(AND(I487&lt;&gt;"",NOT(ISNUMBER(I487))),"Worth not a number",IF(AND(G487&lt;&gt;"",NOT(ISNUMBER(G487))),"Bought is not a date",IF(AND(L487&lt;&gt;"",NOT(ISNUMBER(L487))),"Warranty is not a date",""))))))))</f>
        <v/>
      </c>
      <c r="S487" s="1">
        <f>IF(AND(C487&lt;&gt;"",R487=""),1,0)</f>
        <v/>
      </c>
      <c r="T487">
        <f>IF(S487=1,N(N487),0)</f>
        <v/>
      </c>
      <c r="U487">
        <f>IF(AND(S487=1,T487&gt;0),ROUND(T487*100,0)*10000+10000-ROW(),"")</f>
        <v/>
      </c>
      <c r="V487">
        <f>IF(AND(S487=1,OR(Report!$C$5="",B487=Report!$C$5)),MATCH(B487,Rooms!$B$6:$B$35,0)*10000+ROW(),"")</f>
        <v/>
      </c>
      <c r="W487">
        <f>IF(AND(S487=1,OR(J487="",J487="No")),1,0)</f>
        <v/>
      </c>
      <c r="X487">
        <f>IF(AND(S487=1,K487=""),1,0)</f>
        <v/>
      </c>
      <c r="Y487">
        <f>IF(AND(S487=1,Q487&lt;&gt;""),ROUND(T487*100,0)*10000+10000-ROW(),"")</f>
        <v/>
      </c>
    </row>
    <row r="488">
      <c r="A488" s="1" t="n"/>
      <c r="B488" s="17" t="n"/>
      <c r="C488" s="18" t="n"/>
      <c r="D488" s="17" t="n"/>
      <c r="E488" s="19" t="n"/>
      <c r="F488" s="19" t="n"/>
      <c r="G488" s="20" t="n"/>
      <c r="H488" s="21" t="n"/>
      <c r="I488" s="21" t="n"/>
      <c r="J488" s="17" t="n"/>
      <c r="K488" s="19" t="n"/>
      <c r="L488" s="20" t="n"/>
      <c r="M488" s="19" t="n"/>
      <c r="N488" s="22">
        <f>IF(C488="","",IF(ISNUMBER(I488),I488,IF(ISNUMBER(H488),H488,"")))</f>
        <v/>
      </c>
      <c r="O488" s="23">
        <f>IF(OR(C488="",NOT(ISNUMBER(G488))),"",(TODAY()-INT(G488))/365.25)</f>
        <v/>
      </c>
      <c r="P488" s="13">
        <f>IF(OR(C488="",NOT(ISNUMBER(L488))),"",IF(L488&lt;TODAY(),"Ended",IF(L488-TODAY()&lt;=N(Settings!$C$10),"Ends soon","Covered")))</f>
        <v/>
      </c>
      <c r="Q488" s="13">
        <f>IF(C488="","",MID(IF(N488="",", value","")&amp;IF(OR(J488="",J488="No"),", receipt","")&amp;IF(K488="",", photo",""),3,100))</f>
        <v/>
      </c>
      <c r="R488" s="13">
        <f>IF(AND(B488="",C488=""),"",IF(C488="","Needs the item",IF(B488="","Needs a room",IF(COUNTIF(Rooms!$B$6:$B$35,B488)=0,"Not on Rooms",IF(AND(H488&lt;&gt;"",NOT(ISNUMBER(H488))),"Paid not a number",IF(AND(I488&lt;&gt;"",NOT(ISNUMBER(I488))),"Worth not a number",IF(AND(G488&lt;&gt;"",NOT(ISNUMBER(G488))),"Bought is not a date",IF(AND(L488&lt;&gt;"",NOT(ISNUMBER(L488))),"Warranty is not a date",""))))))))</f>
        <v/>
      </c>
      <c r="S488" s="1">
        <f>IF(AND(C488&lt;&gt;"",R488=""),1,0)</f>
        <v/>
      </c>
      <c r="T488">
        <f>IF(S488=1,N(N488),0)</f>
        <v/>
      </c>
      <c r="U488">
        <f>IF(AND(S488=1,T488&gt;0),ROUND(T488*100,0)*10000+10000-ROW(),"")</f>
        <v/>
      </c>
      <c r="V488">
        <f>IF(AND(S488=1,OR(Report!$C$5="",B488=Report!$C$5)),MATCH(B488,Rooms!$B$6:$B$35,0)*10000+ROW(),"")</f>
        <v/>
      </c>
      <c r="W488">
        <f>IF(AND(S488=1,OR(J488="",J488="No")),1,0)</f>
        <v/>
      </c>
      <c r="X488">
        <f>IF(AND(S488=1,K488=""),1,0)</f>
        <v/>
      </c>
      <c r="Y488">
        <f>IF(AND(S488=1,Q488&lt;&gt;""),ROUND(T488*100,0)*10000+10000-ROW(),"")</f>
        <v/>
      </c>
    </row>
    <row r="489">
      <c r="A489" s="1" t="n"/>
      <c r="B489" s="17" t="n"/>
      <c r="C489" s="18" t="n"/>
      <c r="D489" s="17" t="n"/>
      <c r="E489" s="19" t="n"/>
      <c r="F489" s="19" t="n"/>
      <c r="G489" s="20" t="n"/>
      <c r="H489" s="21" t="n"/>
      <c r="I489" s="21" t="n"/>
      <c r="J489" s="17" t="n"/>
      <c r="K489" s="19" t="n"/>
      <c r="L489" s="20" t="n"/>
      <c r="M489" s="19" t="n"/>
      <c r="N489" s="22">
        <f>IF(C489="","",IF(ISNUMBER(I489),I489,IF(ISNUMBER(H489),H489,"")))</f>
        <v/>
      </c>
      <c r="O489" s="23">
        <f>IF(OR(C489="",NOT(ISNUMBER(G489))),"",(TODAY()-INT(G489))/365.25)</f>
        <v/>
      </c>
      <c r="P489" s="13">
        <f>IF(OR(C489="",NOT(ISNUMBER(L489))),"",IF(L489&lt;TODAY(),"Ended",IF(L489-TODAY()&lt;=N(Settings!$C$10),"Ends soon","Covered")))</f>
        <v/>
      </c>
      <c r="Q489" s="13">
        <f>IF(C489="","",MID(IF(N489="",", value","")&amp;IF(OR(J489="",J489="No"),", receipt","")&amp;IF(K489="",", photo",""),3,100))</f>
        <v/>
      </c>
      <c r="R489" s="13">
        <f>IF(AND(B489="",C489=""),"",IF(C489="","Needs the item",IF(B489="","Needs a room",IF(COUNTIF(Rooms!$B$6:$B$35,B489)=0,"Not on Rooms",IF(AND(H489&lt;&gt;"",NOT(ISNUMBER(H489))),"Paid not a number",IF(AND(I489&lt;&gt;"",NOT(ISNUMBER(I489))),"Worth not a number",IF(AND(G489&lt;&gt;"",NOT(ISNUMBER(G489))),"Bought is not a date",IF(AND(L489&lt;&gt;"",NOT(ISNUMBER(L489))),"Warranty is not a date",""))))))))</f>
        <v/>
      </c>
      <c r="S489" s="1">
        <f>IF(AND(C489&lt;&gt;"",R489=""),1,0)</f>
        <v/>
      </c>
      <c r="T489">
        <f>IF(S489=1,N(N489),0)</f>
        <v/>
      </c>
      <c r="U489">
        <f>IF(AND(S489=1,T489&gt;0),ROUND(T489*100,0)*10000+10000-ROW(),"")</f>
        <v/>
      </c>
      <c r="V489">
        <f>IF(AND(S489=1,OR(Report!$C$5="",B489=Report!$C$5)),MATCH(B489,Rooms!$B$6:$B$35,0)*10000+ROW(),"")</f>
        <v/>
      </c>
      <c r="W489">
        <f>IF(AND(S489=1,OR(J489="",J489="No")),1,0)</f>
        <v/>
      </c>
      <c r="X489">
        <f>IF(AND(S489=1,K489=""),1,0)</f>
        <v/>
      </c>
      <c r="Y489">
        <f>IF(AND(S489=1,Q489&lt;&gt;""),ROUND(T489*100,0)*10000+10000-ROW(),"")</f>
        <v/>
      </c>
    </row>
    <row r="490">
      <c r="A490" s="1" t="n"/>
      <c r="B490" s="17" t="n"/>
      <c r="C490" s="18" t="n"/>
      <c r="D490" s="17" t="n"/>
      <c r="E490" s="19" t="n"/>
      <c r="F490" s="19" t="n"/>
      <c r="G490" s="20" t="n"/>
      <c r="H490" s="21" t="n"/>
      <c r="I490" s="21" t="n"/>
      <c r="J490" s="17" t="n"/>
      <c r="K490" s="19" t="n"/>
      <c r="L490" s="20" t="n"/>
      <c r="M490" s="19" t="n"/>
      <c r="N490" s="22">
        <f>IF(C490="","",IF(ISNUMBER(I490),I490,IF(ISNUMBER(H490),H490,"")))</f>
        <v/>
      </c>
      <c r="O490" s="23">
        <f>IF(OR(C490="",NOT(ISNUMBER(G490))),"",(TODAY()-INT(G490))/365.25)</f>
        <v/>
      </c>
      <c r="P490" s="13">
        <f>IF(OR(C490="",NOT(ISNUMBER(L490))),"",IF(L490&lt;TODAY(),"Ended",IF(L490-TODAY()&lt;=N(Settings!$C$10),"Ends soon","Covered")))</f>
        <v/>
      </c>
      <c r="Q490" s="13">
        <f>IF(C490="","",MID(IF(N490="",", value","")&amp;IF(OR(J490="",J490="No"),", receipt","")&amp;IF(K490="",", photo",""),3,100))</f>
        <v/>
      </c>
      <c r="R490" s="13">
        <f>IF(AND(B490="",C490=""),"",IF(C490="","Needs the item",IF(B490="","Needs a room",IF(COUNTIF(Rooms!$B$6:$B$35,B490)=0,"Not on Rooms",IF(AND(H490&lt;&gt;"",NOT(ISNUMBER(H490))),"Paid not a number",IF(AND(I490&lt;&gt;"",NOT(ISNUMBER(I490))),"Worth not a number",IF(AND(G490&lt;&gt;"",NOT(ISNUMBER(G490))),"Bought is not a date",IF(AND(L490&lt;&gt;"",NOT(ISNUMBER(L490))),"Warranty is not a date",""))))))))</f>
        <v/>
      </c>
      <c r="S490" s="1">
        <f>IF(AND(C490&lt;&gt;"",R490=""),1,0)</f>
        <v/>
      </c>
      <c r="T490">
        <f>IF(S490=1,N(N490),0)</f>
        <v/>
      </c>
      <c r="U490">
        <f>IF(AND(S490=1,T490&gt;0),ROUND(T490*100,0)*10000+10000-ROW(),"")</f>
        <v/>
      </c>
      <c r="V490">
        <f>IF(AND(S490=1,OR(Report!$C$5="",B490=Report!$C$5)),MATCH(B490,Rooms!$B$6:$B$35,0)*10000+ROW(),"")</f>
        <v/>
      </c>
      <c r="W490">
        <f>IF(AND(S490=1,OR(J490="",J490="No")),1,0)</f>
        <v/>
      </c>
      <c r="X490">
        <f>IF(AND(S490=1,K490=""),1,0)</f>
        <v/>
      </c>
      <c r="Y490">
        <f>IF(AND(S490=1,Q490&lt;&gt;""),ROUND(T490*100,0)*10000+10000-ROW(),"")</f>
        <v/>
      </c>
    </row>
    <row r="491">
      <c r="A491" s="1" t="n"/>
      <c r="B491" s="17" t="n"/>
      <c r="C491" s="18" t="n"/>
      <c r="D491" s="17" t="n"/>
      <c r="E491" s="19" t="n"/>
      <c r="F491" s="19" t="n"/>
      <c r="G491" s="20" t="n"/>
      <c r="H491" s="21" t="n"/>
      <c r="I491" s="21" t="n"/>
      <c r="J491" s="17" t="n"/>
      <c r="K491" s="19" t="n"/>
      <c r="L491" s="20" t="n"/>
      <c r="M491" s="19" t="n"/>
      <c r="N491" s="22">
        <f>IF(C491="","",IF(ISNUMBER(I491),I491,IF(ISNUMBER(H491),H491,"")))</f>
        <v/>
      </c>
      <c r="O491" s="23">
        <f>IF(OR(C491="",NOT(ISNUMBER(G491))),"",(TODAY()-INT(G491))/365.25)</f>
        <v/>
      </c>
      <c r="P491" s="13">
        <f>IF(OR(C491="",NOT(ISNUMBER(L491))),"",IF(L491&lt;TODAY(),"Ended",IF(L491-TODAY()&lt;=N(Settings!$C$10),"Ends soon","Covered")))</f>
        <v/>
      </c>
      <c r="Q491" s="13">
        <f>IF(C491="","",MID(IF(N491="",", value","")&amp;IF(OR(J491="",J491="No"),", receipt","")&amp;IF(K491="",", photo",""),3,100))</f>
        <v/>
      </c>
      <c r="R491" s="13">
        <f>IF(AND(B491="",C491=""),"",IF(C491="","Needs the item",IF(B491="","Needs a room",IF(COUNTIF(Rooms!$B$6:$B$35,B491)=0,"Not on Rooms",IF(AND(H491&lt;&gt;"",NOT(ISNUMBER(H491))),"Paid not a number",IF(AND(I491&lt;&gt;"",NOT(ISNUMBER(I491))),"Worth not a number",IF(AND(G491&lt;&gt;"",NOT(ISNUMBER(G491))),"Bought is not a date",IF(AND(L491&lt;&gt;"",NOT(ISNUMBER(L491))),"Warranty is not a date",""))))))))</f>
        <v/>
      </c>
      <c r="S491" s="1">
        <f>IF(AND(C491&lt;&gt;"",R491=""),1,0)</f>
        <v/>
      </c>
      <c r="T491">
        <f>IF(S491=1,N(N491),0)</f>
        <v/>
      </c>
      <c r="U491">
        <f>IF(AND(S491=1,T491&gt;0),ROUND(T491*100,0)*10000+10000-ROW(),"")</f>
        <v/>
      </c>
      <c r="V491">
        <f>IF(AND(S491=1,OR(Report!$C$5="",B491=Report!$C$5)),MATCH(B491,Rooms!$B$6:$B$35,0)*10000+ROW(),"")</f>
        <v/>
      </c>
      <c r="W491">
        <f>IF(AND(S491=1,OR(J491="",J491="No")),1,0)</f>
        <v/>
      </c>
      <c r="X491">
        <f>IF(AND(S491=1,K491=""),1,0)</f>
        <v/>
      </c>
      <c r="Y491">
        <f>IF(AND(S491=1,Q491&lt;&gt;""),ROUND(T491*100,0)*10000+10000-ROW(),"")</f>
        <v/>
      </c>
    </row>
    <row r="492">
      <c r="A492" s="1" t="n"/>
      <c r="B492" s="17" t="n"/>
      <c r="C492" s="18" t="n"/>
      <c r="D492" s="17" t="n"/>
      <c r="E492" s="19" t="n"/>
      <c r="F492" s="19" t="n"/>
      <c r="G492" s="20" t="n"/>
      <c r="H492" s="21" t="n"/>
      <c r="I492" s="21" t="n"/>
      <c r="J492" s="17" t="n"/>
      <c r="K492" s="19" t="n"/>
      <c r="L492" s="20" t="n"/>
      <c r="M492" s="19" t="n"/>
      <c r="N492" s="22">
        <f>IF(C492="","",IF(ISNUMBER(I492),I492,IF(ISNUMBER(H492),H492,"")))</f>
        <v/>
      </c>
      <c r="O492" s="23">
        <f>IF(OR(C492="",NOT(ISNUMBER(G492))),"",(TODAY()-INT(G492))/365.25)</f>
        <v/>
      </c>
      <c r="P492" s="13">
        <f>IF(OR(C492="",NOT(ISNUMBER(L492))),"",IF(L492&lt;TODAY(),"Ended",IF(L492-TODAY()&lt;=N(Settings!$C$10),"Ends soon","Covered")))</f>
        <v/>
      </c>
      <c r="Q492" s="13">
        <f>IF(C492="","",MID(IF(N492="",", value","")&amp;IF(OR(J492="",J492="No"),", receipt","")&amp;IF(K492="",", photo",""),3,100))</f>
        <v/>
      </c>
      <c r="R492" s="13">
        <f>IF(AND(B492="",C492=""),"",IF(C492="","Needs the item",IF(B492="","Needs a room",IF(COUNTIF(Rooms!$B$6:$B$35,B492)=0,"Not on Rooms",IF(AND(H492&lt;&gt;"",NOT(ISNUMBER(H492))),"Paid not a number",IF(AND(I492&lt;&gt;"",NOT(ISNUMBER(I492))),"Worth not a number",IF(AND(G492&lt;&gt;"",NOT(ISNUMBER(G492))),"Bought is not a date",IF(AND(L492&lt;&gt;"",NOT(ISNUMBER(L492))),"Warranty is not a date",""))))))))</f>
        <v/>
      </c>
      <c r="S492" s="1">
        <f>IF(AND(C492&lt;&gt;"",R492=""),1,0)</f>
        <v/>
      </c>
      <c r="T492">
        <f>IF(S492=1,N(N492),0)</f>
        <v/>
      </c>
      <c r="U492">
        <f>IF(AND(S492=1,T492&gt;0),ROUND(T492*100,0)*10000+10000-ROW(),"")</f>
        <v/>
      </c>
      <c r="V492">
        <f>IF(AND(S492=1,OR(Report!$C$5="",B492=Report!$C$5)),MATCH(B492,Rooms!$B$6:$B$35,0)*10000+ROW(),"")</f>
        <v/>
      </c>
      <c r="W492">
        <f>IF(AND(S492=1,OR(J492="",J492="No")),1,0)</f>
        <v/>
      </c>
      <c r="X492">
        <f>IF(AND(S492=1,K492=""),1,0)</f>
        <v/>
      </c>
      <c r="Y492">
        <f>IF(AND(S492=1,Q492&lt;&gt;""),ROUND(T492*100,0)*10000+10000-ROW(),"")</f>
        <v/>
      </c>
    </row>
    <row r="493">
      <c r="A493" s="1" t="n"/>
      <c r="B493" s="17" t="n"/>
      <c r="C493" s="18" t="n"/>
      <c r="D493" s="17" t="n"/>
      <c r="E493" s="19" t="n"/>
      <c r="F493" s="19" t="n"/>
      <c r="G493" s="20" t="n"/>
      <c r="H493" s="21" t="n"/>
      <c r="I493" s="21" t="n"/>
      <c r="J493" s="17" t="n"/>
      <c r="K493" s="19" t="n"/>
      <c r="L493" s="20" t="n"/>
      <c r="M493" s="19" t="n"/>
      <c r="N493" s="22">
        <f>IF(C493="","",IF(ISNUMBER(I493),I493,IF(ISNUMBER(H493),H493,"")))</f>
        <v/>
      </c>
      <c r="O493" s="23">
        <f>IF(OR(C493="",NOT(ISNUMBER(G493))),"",(TODAY()-INT(G493))/365.25)</f>
        <v/>
      </c>
      <c r="P493" s="13">
        <f>IF(OR(C493="",NOT(ISNUMBER(L493))),"",IF(L493&lt;TODAY(),"Ended",IF(L493-TODAY()&lt;=N(Settings!$C$10),"Ends soon","Covered")))</f>
        <v/>
      </c>
      <c r="Q493" s="13">
        <f>IF(C493="","",MID(IF(N493="",", value","")&amp;IF(OR(J493="",J493="No"),", receipt","")&amp;IF(K493="",", photo",""),3,100))</f>
        <v/>
      </c>
      <c r="R493" s="13">
        <f>IF(AND(B493="",C493=""),"",IF(C493="","Needs the item",IF(B493="","Needs a room",IF(COUNTIF(Rooms!$B$6:$B$35,B493)=0,"Not on Rooms",IF(AND(H493&lt;&gt;"",NOT(ISNUMBER(H493))),"Paid not a number",IF(AND(I493&lt;&gt;"",NOT(ISNUMBER(I493))),"Worth not a number",IF(AND(G493&lt;&gt;"",NOT(ISNUMBER(G493))),"Bought is not a date",IF(AND(L493&lt;&gt;"",NOT(ISNUMBER(L493))),"Warranty is not a date",""))))))))</f>
        <v/>
      </c>
      <c r="S493" s="1">
        <f>IF(AND(C493&lt;&gt;"",R493=""),1,0)</f>
        <v/>
      </c>
      <c r="T493">
        <f>IF(S493=1,N(N493),0)</f>
        <v/>
      </c>
      <c r="U493">
        <f>IF(AND(S493=1,T493&gt;0),ROUND(T493*100,0)*10000+10000-ROW(),"")</f>
        <v/>
      </c>
      <c r="V493">
        <f>IF(AND(S493=1,OR(Report!$C$5="",B493=Report!$C$5)),MATCH(B493,Rooms!$B$6:$B$35,0)*10000+ROW(),"")</f>
        <v/>
      </c>
      <c r="W493">
        <f>IF(AND(S493=1,OR(J493="",J493="No")),1,0)</f>
        <v/>
      </c>
      <c r="X493">
        <f>IF(AND(S493=1,K493=""),1,0)</f>
        <v/>
      </c>
      <c r="Y493">
        <f>IF(AND(S493=1,Q493&lt;&gt;""),ROUND(T493*100,0)*10000+10000-ROW(),"")</f>
        <v/>
      </c>
    </row>
    <row r="494">
      <c r="A494" s="1" t="n"/>
      <c r="B494" s="17" t="n"/>
      <c r="C494" s="18" t="n"/>
      <c r="D494" s="17" t="n"/>
      <c r="E494" s="19" t="n"/>
      <c r="F494" s="19" t="n"/>
      <c r="G494" s="20" t="n"/>
      <c r="H494" s="21" t="n"/>
      <c r="I494" s="21" t="n"/>
      <c r="J494" s="17" t="n"/>
      <c r="K494" s="19" t="n"/>
      <c r="L494" s="20" t="n"/>
      <c r="M494" s="19" t="n"/>
      <c r="N494" s="22">
        <f>IF(C494="","",IF(ISNUMBER(I494),I494,IF(ISNUMBER(H494),H494,"")))</f>
        <v/>
      </c>
      <c r="O494" s="23">
        <f>IF(OR(C494="",NOT(ISNUMBER(G494))),"",(TODAY()-INT(G494))/365.25)</f>
        <v/>
      </c>
      <c r="P494" s="13">
        <f>IF(OR(C494="",NOT(ISNUMBER(L494))),"",IF(L494&lt;TODAY(),"Ended",IF(L494-TODAY()&lt;=N(Settings!$C$10),"Ends soon","Covered")))</f>
        <v/>
      </c>
      <c r="Q494" s="13">
        <f>IF(C494="","",MID(IF(N494="",", value","")&amp;IF(OR(J494="",J494="No"),", receipt","")&amp;IF(K494="",", photo",""),3,100))</f>
        <v/>
      </c>
      <c r="R494" s="13">
        <f>IF(AND(B494="",C494=""),"",IF(C494="","Needs the item",IF(B494="","Needs a room",IF(COUNTIF(Rooms!$B$6:$B$35,B494)=0,"Not on Rooms",IF(AND(H494&lt;&gt;"",NOT(ISNUMBER(H494))),"Paid not a number",IF(AND(I494&lt;&gt;"",NOT(ISNUMBER(I494))),"Worth not a number",IF(AND(G494&lt;&gt;"",NOT(ISNUMBER(G494))),"Bought is not a date",IF(AND(L494&lt;&gt;"",NOT(ISNUMBER(L494))),"Warranty is not a date",""))))))))</f>
        <v/>
      </c>
      <c r="S494" s="1">
        <f>IF(AND(C494&lt;&gt;"",R494=""),1,0)</f>
        <v/>
      </c>
      <c r="T494">
        <f>IF(S494=1,N(N494),0)</f>
        <v/>
      </c>
      <c r="U494">
        <f>IF(AND(S494=1,T494&gt;0),ROUND(T494*100,0)*10000+10000-ROW(),"")</f>
        <v/>
      </c>
      <c r="V494">
        <f>IF(AND(S494=1,OR(Report!$C$5="",B494=Report!$C$5)),MATCH(B494,Rooms!$B$6:$B$35,0)*10000+ROW(),"")</f>
        <v/>
      </c>
      <c r="W494">
        <f>IF(AND(S494=1,OR(J494="",J494="No")),1,0)</f>
        <v/>
      </c>
      <c r="X494">
        <f>IF(AND(S494=1,K494=""),1,0)</f>
        <v/>
      </c>
      <c r="Y494">
        <f>IF(AND(S494=1,Q494&lt;&gt;""),ROUND(T494*100,0)*10000+10000-ROW(),"")</f>
        <v/>
      </c>
    </row>
    <row r="495">
      <c r="A495" s="1" t="n"/>
      <c r="B495" s="17" t="n"/>
      <c r="C495" s="18" t="n"/>
      <c r="D495" s="17" t="n"/>
      <c r="E495" s="19" t="n"/>
      <c r="F495" s="19" t="n"/>
      <c r="G495" s="20" t="n"/>
      <c r="H495" s="21" t="n"/>
      <c r="I495" s="21" t="n"/>
      <c r="J495" s="17" t="n"/>
      <c r="K495" s="19" t="n"/>
      <c r="L495" s="20" t="n"/>
      <c r="M495" s="19" t="n"/>
      <c r="N495" s="22">
        <f>IF(C495="","",IF(ISNUMBER(I495),I495,IF(ISNUMBER(H495),H495,"")))</f>
        <v/>
      </c>
      <c r="O495" s="23">
        <f>IF(OR(C495="",NOT(ISNUMBER(G495))),"",(TODAY()-INT(G495))/365.25)</f>
        <v/>
      </c>
      <c r="P495" s="13">
        <f>IF(OR(C495="",NOT(ISNUMBER(L495))),"",IF(L495&lt;TODAY(),"Ended",IF(L495-TODAY()&lt;=N(Settings!$C$10),"Ends soon","Covered")))</f>
        <v/>
      </c>
      <c r="Q495" s="13">
        <f>IF(C495="","",MID(IF(N495="",", value","")&amp;IF(OR(J495="",J495="No"),", receipt","")&amp;IF(K495="",", photo",""),3,100))</f>
        <v/>
      </c>
      <c r="R495" s="13">
        <f>IF(AND(B495="",C495=""),"",IF(C495="","Needs the item",IF(B495="","Needs a room",IF(COUNTIF(Rooms!$B$6:$B$35,B495)=0,"Not on Rooms",IF(AND(H495&lt;&gt;"",NOT(ISNUMBER(H495))),"Paid not a number",IF(AND(I495&lt;&gt;"",NOT(ISNUMBER(I495))),"Worth not a number",IF(AND(G495&lt;&gt;"",NOT(ISNUMBER(G495))),"Bought is not a date",IF(AND(L495&lt;&gt;"",NOT(ISNUMBER(L495))),"Warranty is not a date",""))))))))</f>
        <v/>
      </c>
      <c r="S495" s="1">
        <f>IF(AND(C495&lt;&gt;"",R495=""),1,0)</f>
        <v/>
      </c>
      <c r="T495">
        <f>IF(S495=1,N(N495),0)</f>
        <v/>
      </c>
      <c r="U495">
        <f>IF(AND(S495=1,T495&gt;0),ROUND(T495*100,0)*10000+10000-ROW(),"")</f>
        <v/>
      </c>
      <c r="V495">
        <f>IF(AND(S495=1,OR(Report!$C$5="",B495=Report!$C$5)),MATCH(B495,Rooms!$B$6:$B$35,0)*10000+ROW(),"")</f>
        <v/>
      </c>
      <c r="W495">
        <f>IF(AND(S495=1,OR(J495="",J495="No")),1,0)</f>
        <v/>
      </c>
      <c r="X495">
        <f>IF(AND(S495=1,K495=""),1,0)</f>
        <v/>
      </c>
      <c r="Y495">
        <f>IF(AND(S495=1,Q495&lt;&gt;""),ROUND(T495*100,0)*10000+10000-ROW(),"")</f>
        <v/>
      </c>
    </row>
    <row r="496">
      <c r="A496" s="1" t="n"/>
      <c r="B496" s="17" t="n"/>
      <c r="C496" s="18" t="n"/>
      <c r="D496" s="17" t="n"/>
      <c r="E496" s="19" t="n"/>
      <c r="F496" s="19" t="n"/>
      <c r="G496" s="20" t="n"/>
      <c r="H496" s="21" t="n"/>
      <c r="I496" s="21" t="n"/>
      <c r="J496" s="17" t="n"/>
      <c r="K496" s="19" t="n"/>
      <c r="L496" s="20" t="n"/>
      <c r="M496" s="19" t="n"/>
      <c r="N496" s="22">
        <f>IF(C496="","",IF(ISNUMBER(I496),I496,IF(ISNUMBER(H496),H496,"")))</f>
        <v/>
      </c>
      <c r="O496" s="23">
        <f>IF(OR(C496="",NOT(ISNUMBER(G496))),"",(TODAY()-INT(G496))/365.25)</f>
        <v/>
      </c>
      <c r="P496" s="13">
        <f>IF(OR(C496="",NOT(ISNUMBER(L496))),"",IF(L496&lt;TODAY(),"Ended",IF(L496-TODAY()&lt;=N(Settings!$C$10),"Ends soon","Covered")))</f>
        <v/>
      </c>
      <c r="Q496" s="13">
        <f>IF(C496="","",MID(IF(N496="",", value","")&amp;IF(OR(J496="",J496="No"),", receipt","")&amp;IF(K496="",", photo",""),3,100))</f>
        <v/>
      </c>
      <c r="R496" s="13">
        <f>IF(AND(B496="",C496=""),"",IF(C496="","Needs the item",IF(B496="","Needs a room",IF(COUNTIF(Rooms!$B$6:$B$35,B496)=0,"Not on Rooms",IF(AND(H496&lt;&gt;"",NOT(ISNUMBER(H496))),"Paid not a number",IF(AND(I496&lt;&gt;"",NOT(ISNUMBER(I496))),"Worth not a number",IF(AND(G496&lt;&gt;"",NOT(ISNUMBER(G496))),"Bought is not a date",IF(AND(L496&lt;&gt;"",NOT(ISNUMBER(L496))),"Warranty is not a date",""))))))))</f>
        <v/>
      </c>
      <c r="S496" s="1">
        <f>IF(AND(C496&lt;&gt;"",R496=""),1,0)</f>
        <v/>
      </c>
      <c r="T496">
        <f>IF(S496=1,N(N496),0)</f>
        <v/>
      </c>
      <c r="U496">
        <f>IF(AND(S496=1,T496&gt;0),ROUND(T496*100,0)*10000+10000-ROW(),"")</f>
        <v/>
      </c>
      <c r="V496">
        <f>IF(AND(S496=1,OR(Report!$C$5="",B496=Report!$C$5)),MATCH(B496,Rooms!$B$6:$B$35,0)*10000+ROW(),"")</f>
        <v/>
      </c>
      <c r="W496">
        <f>IF(AND(S496=1,OR(J496="",J496="No")),1,0)</f>
        <v/>
      </c>
      <c r="X496">
        <f>IF(AND(S496=1,K496=""),1,0)</f>
        <v/>
      </c>
      <c r="Y496">
        <f>IF(AND(S496=1,Q496&lt;&gt;""),ROUND(T496*100,0)*10000+10000-ROW(),"")</f>
        <v/>
      </c>
    </row>
    <row r="497">
      <c r="A497" s="1" t="n"/>
      <c r="B497" s="17" t="n"/>
      <c r="C497" s="18" t="n"/>
      <c r="D497" s="17" t="n"/>
      <c r="E497" s="19" t="n"/>
      <c r="F497" s="19" t="n"/>
      <c r="G497" s="20" t="n"/>
      <c r="H497" s="21" t="n"/>
      <c r="I497" s="21" t="n"/>
      <c r="J497" s="17" t="n"/>
      <c r="K497" s="19" t="n"/>
      <c r="L497" s="20" t="n"/>
      <c r="M497" s="19" t="n"/>
      <c r="N497" s="22">
        <f>IF(C497="","",IF(ISNUMBER(I497),I497,IF(ISNUMBER(H497),H497,"")))</f>
        <v/>
      </c>
      <c r="O497" s="23">
        <f>IF(OR(C497="",NOT(ISNUMBER(G497))),"",(TODAY()-INT(G497))/365.25)</f>
        <v/>
      </c>
      <c r="P497" s="13">
        <f>IF(OR(C497="",NOT(ISNUMBER(L497))),"",IF(L497&lt;TODAY(),"Ended",IF(L497-TODAY()&lt;=N(Settings!$C$10),"Ends soon","Covered")))</f>
        <v/>
      </c>
      <c r="Q497" s="13">
        <f>IF(C497="","",MID(IF(N497="",", value","")&amp;IF(OR(J497="",J497="No"),", receipt","")&amp;IF(K497="",", photo",""),3,100))</f>
        <v/>
      </c>
      <c r="R497" s="13">
        <f>IF(AND(B497="",C497=""),"",IF(C497="","Needs the item",IF(B497="","Needs a room",IF(COUNTIF(Rooms!$B$6:$B$35,B497)=0,"Not on Rooms",IF(AND(H497&lt;&gt;"",NOT(ISNUMBER(H497))),"Paid not a number",IF(AND(I497&lt;&gt;"",NOT(ISNUMBER(I497))),"Worth not a number",IF(AND(G497&lt;&gt;"",NOT(ISNUMBER(G497))),"Bought is not a date",IF(AND(L497&lt;&gt;"",NOT(ISNUMBER(L497))),"Warranty is not a date",""))))))))</f>
        <v/>
      </c>
      <c r="S497" s="1">
        <f>IF(AND(C497&lt;&gt;"",R497=""),1,0)</f>
        <v/>
      </c>
      <c r="T497">
        <f>IF(S497=1,N(N497),0)</f>
        <v/>
      </c>
      <c r="U497">
        <f>IF(AND(S497=1,T497&gt;0),ROUND(T497*100,0)*10000+10000-ROW(),"")</f>
        <v/>
      </c>
      <c r="V497">
        <f>IF(AND(S497=1,OR(Report!$C$5="",B497=Report!$C$5)),MATCH(B497,Rooms!$B$6:$B$35,0)*10000+ROW(),"")</f>
        <v/>
      </c>
      <c r="W497">
        <f>IF(AND(S497=1,OR(J497="",J497="No")),1,0)</f>
        <v/>
      </c>
      <c r="X497">
        <f>IF(AND(S497=1,K497=""),1,0)</f>
        <v/>
      </c>
      <c r="Y497">
        <f>IF(AND(S497=1,Q497&lt;&gt;""),ROUND(T497*100,0)*10000+10000-ROW(),"")</f>
        <v/>
      </c>
    </row>
    <row r="498">
      <c r="A498" s="1" t="n"/>
      <c r="B498" s="17" t="n"/>
      <c r="C498" s="18" t="n"/>
      <c r="D498" s="17" t="n"/>
      <c r="E498" s="19" t="n"/>
      <c r="F498" s="19" t="n"/>
      <c r="G498" s="20" t="n"/>
      <c r="H498" s="21" t="n"/>
      <c r="I498" s="21" t="n"/>
      <c r="J498" s="17" t="n"/>
      <c r="K498" s="19" t="n"/>
      <c r="L498" s="20" t="n"/>
      <c r="M498" s="19" t="n"/>
      <c r="N498" s="22">
        <f>IF(C498="","",IF(ISNUMBER(I498),I498,IF(ISNUMBER(H498),H498,"")))</f>
        <v/>
      </c>
      <c r="O498" s="23">
        <f>IF(OR(C498="",NOT(ISNUMBER(G498))),"",(TODAY()-INT(G498))/365.25)</f>
        <v/>
      </c>
      <c r="P498" s="13">
        <f>IF(OR(C498="",NOT(ISNUMBER(L498))),"",IF(L498&lt;TODAY(),"Ended",IF(L498-TODAY()&lt;=N(Settings!$C$10),"Ends soon","Covered")))</f>
        <v/>
      </c>
      <c r="Q498" s="13">
        <f>IF(C498="","",MID(IF(N498="",", value","")&amp;IF(OR(J498="",J498="No"),", receipt","")&amp;IF(K498="",", photo",""),3,100))</f>
        <v/>
      </c>
      <c r="R498" s="13">
        <f>IF(AND(B498="",C498=""),"",IF(C498="","Needs the item",IF(B498="","Needs a room",IF(COUNTIF(Rooms!$B$6:$B$35,B498)=0,"Not on Rooms",IF(AND(H498&lt;&gt;"",NOT(ISNUMBER(H498))),"Paid not a number",IF(AND(I498&lt;&gt;"",NOT(ISNUMBER(I498))),"Worth not a number",IF(AND(G498&lt;&gt;"",NOT(ISNUMBER(G498))),"Bought is not a date",IF(AND(L498&lt;&gt;"",NOT(ISNUMBER(L498))),"Warranty is not a date",""))))))))</f>
        <v/>
      </c>
      <c r="S498" s="1">
        <f>IF(AND(C498&lt;&gt;"",R498=""),1,0)</f>
        <v/>
      </c>
      <c r="T498">
        <f>IF(S498=1,N(N498),0)</f>
        <v/>
      </c>
      <c r="U498">
        <f>IF(AND(S498=1,T498&gt;0),ROUND(T498*100,0)*10000+10000-ROW(),"")</f>
        <v/>
      </c>
      <c r="V498">
        <f>IF(AND(S498=1,OR(Report!$C$5="",B498=Report!$C$5)),MATCH(B498,Rooms!$B$6:$B$35,0)*10000+ROW(),"")</f>
        <v/>
      </c>
      <c r="W498">
        <f>IF(AND(S498=1,OR(J498="",J498="No")),1,0)</f>
        <v/>
      </c>
      <c r="X498">
        <f>IF(AND(S498=1,K498=""),1,0)</f>
        <v/>
      </c>
      <c r="Y498">
        <f>IF(AND(S498=1,Q498&lt;&gt;""),ROUND(T498*100,0)*10000+10000-ROW(),"")</f>
        <v/>
      </c>
    </row>
    <row r="499">
      <c r="A499" s="1" t="n"/>
      <c r="B499" s="17" t="n"/>
      <c r="C499" s="18" t="n"/>
      <c r="D499" s="17" t="n"/>
      <c r="E499" s="19" t="n"/>
      <c r="F499" s="19" t="n"/>
      <c r="G499" s="20" t="n"/>
      <c r="H499" s="21" t="n"/>
      <c r="I499" s="21" t="n"/>
      <c r="J499" s="17" t="n"/>
      <c r="K499" s="19" t="n"/>
      <c r="L499" s="20" t="n"/>
      <c r="M499" s="19" t="n"/>
      <c r="N499" s="22">
        <f>IF(C499="","",IF(ISNUMBER(I499),I499,IF(ISNUMBER(H499),H499,"")))</f>
        <v/>
      </c>
      <c r="O499" s="23">
        <f>IF(OR(C499="",NOT(ISNUMBER(G499))),"",(TODAY()-INT(G499))/365.25)</f>
        <v/>
      </c>
      <c r="P499" s="13">
        <f>IF(OR(C499="",NOT(ISNUMBER(L499))),"",IF(L499&lt;TODAY(),"Ended",IF(L499-TODAY()&lt;=N(Settings!$C$10),"Ends soon","Covered")))</f>
        <v/>
      </c>
      <c r="Q499" s="13">
        <f>IF(C499="","",MID(IF(N499="",", value","")&amp;IF(OR(J499="",J499="No"),", receipt","")&amp;IF(K499="",", photo",""),3,100))</f>
        <v/>
      </c>
      <c r="R499" s="13">
        <f>IF(AND(B499="",C499=""),"",IF(C499="","Needs the item",IF(B499="","Needs a room",IF(COUNTIF(Rooms!$B$6:$B$35,B499)=0,"Not on Rooms",IF(AND(H499&lt;&gt;"",NOT(ISNUMBER(H499))),"Paid not a number",IF(AND(I499&lt;&gt;"",NOT(ISNUMBER(I499))),"Worth not a number",IF(AND(G499&lt;&gt;"",NOT(ISNUMBER(G499))),"Bought is not a date",IF(AND(L499&lt;&gt;"",NOT(ISNUMBER(L499))),"Warranty is not a date",""))))))))</f>
        <v/>
      </c>
      <c r="S499" s="1">
        <f>IF(AND(C499&lt;&gt;"",R499=""),1,0)</f>
        <v/>
      </c>
      <c r="T499">
        <f>IF(S499=1,N(N499),0)</f>
        <v/>
      </c>
      <c r="U499">
        <f>IF(AND(S499=1,T499&gt;0),ROUND(T499*100,0)*10000+10000-ROW(),"")</f>
        <v/>
      </c>
      <c r="V499">
        <f>IF(AND(S499=1,OR(Report!$C$5="",B499=Report!$C$5)),MATCH(B499,Rooms!$B$6:$B$35,0)*10000+ROW(),"")</f>
        <v/>
      </c>
      <c r="W499">
        <f>IF(AND(S499=1,OR(J499="",J499="No")),1,0)</f>
        <v/>
      </c>
      <c r="X499">
        <f>IF(AND(S499=1,K499=""),1,0)</f>
        <v/>
      </c>
      <c r="Y499">
        <f>IF(AND(S499=1,Q499&lt;&gt;""),ROUND(T499*100,0)*10000+10000-ROW(),"")</f>
        <v/>
      </c>
    </row>
    <row r="500">
      <c r="A500" s="1" t="n"/>
      <c r="B500" s="17" t="n"/>
      <c r="C500" s="18" t="n"/>
      <c r="D500" s="17" t="n"/>
      <c r="E500" s="19" t="n"/>
      <c r="F500" s="19" t="n"/>
      <c r="G500" s="20" t="n"/>
      <c r="H500" s="21" t="n"/>
      <c r="I500" s="21" t="n"/>
      <c r="J500" s="17" t="n"/>
      <c r="K500" s="19" t="n"/>
      <c r="L500" s="20" t="n"/>
      <c r="M500" s="19" t="n"/>
      <c r="N500" s="22">
        <f>IF(C500="","",IF(ISNUMBER(I500),I500,IF(ISNUMBER(H500),H500,"")))</f>
        <v/>
      </c>
      <c r="O500" s="23">
        <f>IF(OR(C500="",NOT(ISNUMBER(G500))),"",(TODAY()-INT(G500))/365.25)</f>
        <v/>
      </c>
      <c r="P500" s="13">
        <f>IF(OR(C500="",NOT(ISNUMBER(L500))),"",IF(L500&lt;TODAY(),"Ended",IF(L500-TODAY()&lt;=N(Settings!$C$10),"Ends soon","Covered")))</f>
        <v/>
      </c>
      <c r="Q500" s="13">
        <f>IF(C500="","",MID(IF(N500="",", value","")&amp;IF(OR(J500="",J500="No"),", receipt","")&amp;IF(K500="",", photo",""),3,100))</f>
        <v/>
      </c>
      <c r="R500" s="13">
        <f>IF(AND(B500="",C500=""),"",IF(C500="","Needs the item",IF(B500="","Needs a room",IF(COUNTIF(Rooms!$B$6:$B$35,B500)=0,"Not on Rooms",IF(AND(H500&lt;&gt;"",NOT(ISNUMBER(H500))),"Paid not a number",IF(AND(I500&lt;&gt;"",NOT(ISNUMBER(I500))),"Worth not a number",IF(AND(G500&lt;&gt;"",NOT(ISNUMBER(G500))),"Bought is not a date",IF(AND(L500&lt;&gt;"",NOT(ISNUMBER(L500))),"Warranty is not a date",""))))))))</f>
        <v/>
      </c>
      <c r="S500" s="1">
        <f>IF(AND(C500&lt;&gt;"",R500=""),1,0)</f>
        <v/>
      </c>
      <c r="T500">
        <f>IF(S500=1,N(N500),0)</f>
        <v/>
      </c>
      <c r="U500">
        <f>IF(AND(S500=1,T500&gt;0),ROUND(T500*100,0)*10000+10000-ROW(),"")</f>
        <v/>
      </c>
      <c r="V500">
        <f>IF(AND(S500=1,OR(Report!$C$5="",B500=Report!$C$5)),MATCH(B500,Rooms!$B$6:$B$35,0)*10000+ROW(),"")</f>
        <v/>
      </c>
      <c r="W500">
        <f>IF(AND(S500=1,OR(J500="",J500="No")),1,0)</f>
        <v/>
      </c>
      <c r="X500">
        <f>IF(AND(S500=1,K500=""),1,0)</f>
        <v/>
      </c>
      <c r="Y500">
        <f>IF(AND(S500=1,Q500&lt;&gt;""),ROUND(T500*100,0)*10000+10000-ROW(),"")</f>
        <v/>
      </c>
    </row>
    <row r="501">
      <c r="A501" s="1" t="n"/>
      <c r="B501" s="17" t="n"/>
      <c r="C501" s="18" t="n"/>
      <c r="D501" s="17" t="n"/>
      <c r="E501" s="19" t="n"/>
      <c r="F501" s="19" t="n"/>
      <c r="G501" s="20" t="n"/>
      <c r="H501" s="21" t="n"/>
      <c r="I501" s="21" t="n"/>
      <c r="J501" s="17" t="n"/>
      <c r="K501" s="19" t="n"/>
      <c r="L501" s="20" t="n"/>
      <c r="M501" s="19" t="n"/>
      <c r="N501" s="22">
        <f>IF(C501="","",IF(ISNUMBER(I501),I501,IF(ISNUMBER(H501),H501,"")))</f>
        <v/>
      </c>
      <c r="O501" s="23">
        <f>IF(OR(C501="",NOT(ISNUMBER(G501))),"",(TODAY()-INT(G501))/365.25)</f>
        <v/>
      </c>
      <c r="P501" s="13">
        <f>IF(OR(C501="",NOT(ISNUMBER(L501))),"",IF(L501&lt;TODAY(),"Ended",IF(L501-TODAY()&lt;=N(Settings!$C$10),"Ends soon","Covered")))</f>
        <v/>
      </c>
      <c r="Q501" s="13">
        <f>IF(C501="","",MID(IF(N501="",", value","")&amp;IF(OR(J501="",J501="No"),", receipt","")&amp;IF(K501="",", photo",""),3,100))</f>
        <v/>
      </c>
      <c r="R501" s="13">
        <f>IF(AND(B501="",C501=""),"",IF(C501="","Needs the item",IF(B501="","Needs a room",IF(COUNTIF(Rooms!$B$6:$B$35,B501)=0,"Not on Rooms",IF(AND(H501&lt;&gt;"",NOT(ISNUMBER(H501))),"Paid not a number",IF(AND(I501&lt;&gt;"",NOT(ISNUMBER(I501))),"Worth not a number",IF(AND(G501&lt;&gt;"",NOT(ISNUMBER(G501))),"Bought is not a date",IF(AND(L501&lt;&gt;"",NOT(ISNUMBER(L501))),"Warranty is not a date",""))))))))</f>
        <v/>
      </c>
      <c r="S501" s="1">
        <f>IF(AND(C501&lt;&gt;"",R501=""),1,0)</f>
        <v/>
      </c>
      <c r="T501">
        <f>IF(S501=1,N(N501),0)</f>
        <v/>
      </c>
      <c r="U501">
        <f>IF(AND(S501=1,T501&gt;0),ROUND(T501*100,0)*10000+10000-ROW(),"")</f>
        <v/>
      </c>
      <c r="V501">
        <f>IF(AND(S501=1,OR(Report!$C$5="",B501=Report!$C$5)),MATCH(B501,Rooms!$B$6:$B$35,0)*10000+ROW(),"")</f>
        <v/>
      </c>
      <c r="W501">
        <f>IF(AND(S501=1,OR(J501="",J501="No")),1,0)</f>
        <v/>
      </c>
      <c r="X501">
        <f>IF(AND(S501=1,K501=""),1,0)</f>
        <v/>
      </c>
      <c r="Y501">
        <f>IF(AND(S501=1,Q501&lt;&gt;""),ROUND(T501*100,0)*10000+10000-ROW(),"")</f>
        <v/>
      </c>
    </row>
    <row r="502">
      <c r="A502" s="1" t="n"/>
      <c r="B502" s="17" t="n"/>
      <c r="C502" s="18" t="n"/>
      <c r="D502" s="17" t="n"/>
      <c r="E502" s="19" t="n"/>
      <c r="F502" s="19" t="n"/>
      <c r="G502" s="20" t="n"/>
      <c r="H502" s="21" t="n"/>
      <c r="I502" s="21" t="n"/>
      <c r="J502" s="17" t="n"/>
      <c r="K502" s="19" t="n"/>
      <c r="L502" s="20" t="n"/>
      <c r="M502" s="19" t="n"/>
      <c r="N502" s="22">
        <f>IF(C502="","",IF(ISNUMBER(I502),I502,IF(ISNUMBER(H502),H502,"")))</f>
        <v/>
      </c>
      <c r="O502" s="23">
        <f>IF(OR(C502="",NOT(ISNUMBER(G502))),"",(TODAY()-INT(G502))/365.25)</f>
        <v/>
      </c>
      <c r="P502" s="13">
        <f>IF(OR(C502="",NOT(ISNUMBER(L502))),"",IF(L502&lt;TODAY(),"Ended",IF(L502-TODAY()&lt;=N(Settings!$C$10),"Ends soon","Covered")))</f>
        <v/>
      </c>
      <c r="Q502" s="13">
        <f>IF(C502="","",MID(IF(N502="",", value","")&amp;IF(OR(J502="",J502="No"),", receipt","")&amp;IF(K502="",", photo",""),3,100))</f>
        <v/>
      </c>
      <c r="R502" s="13">
        <f>IF(AND(B502="",C502=""),"",IF(C502="","Needs the item",IF(B502="","Needs a room",IF(COUNTIF(Rooms!$B$6:$B$35,B502)=0,"Not on Rooms",IF(AND(H502&lt;&gt;"",NOT(ISNUMBER(H502))),"Paid not a number",IF(AND(I502&lt;&gt;"",NOT(ISNUMBER(I502))),"Worth not a number",IF(AND(G502&lt;&gt;"",NOT(ISNUMBER(G502))),"Bought is not a date",IF(AND(L502&lt;&gt;"",NOT(ISNUMBER(L502))),"Warranty is not a date",""))))))))</f>
        <v/>
      </c>
      <c r="S502" s="1">
        <f>IF(AND(C502&lt;&gt;"",R502=""),1,0)</f>
        <v/>
      </c>
      <c r="T502">
        <f>IF(S502=1,N(N502),0)</f>
        <v/>
      </c>
      <c r="U502">
        <f>IF(AND(S502=1,T502&gt;0),ROUND(T502*100,0)*10000+10000-ROW(),"")</f>
        <v/>
      </c>
      <c r="V502">
        <f>IF(AND(S502=1,OR(Report!$C$5="",B502=Report!$C$5)),MATCH(B502,Rooms!$B$6:$B$35,0)*10000+ROW(),"")</f>
        <v/>
      </c>
      <c r="W502">
        <f>IF(AND(S502=1,OR(J502="",J502="No")),1,0)</f>
        <v/>
      </c>
      <c r="X502">
        <f>IF(AND(S502=1,K502=""),1,0)</f>
        <v/>
      </c>
      <c r="Y502">
        <f>IF(AND(S502=1,Q502&lt;&gt;""),ROUND(T502*100,0)*10000+10000-ROW(),"")</f>
        <v/>
      </c>
    </row>
    <row r="503">
      <c r="A503" s="1" t="n"/>
      <c r="B503" s="17" t="n"/>
      <c r="C503" s="18" t="n"/>
      <c r="D503" s="17" t="n"/>
      <c r="E503" s="19" t="n"/>
      <c r="F503" s="19" t="n"/>
      <c r="G503" s="20" t="n"/>
      <c r="H503" s="21" t="n"/>
      <c r="I503" s="21" t="n"/>
      <c r="J503" s="17" t="n"/>
      <c r="K503" s="19" t="n"/>
      <c r="L503" s="20" t="n"/>
      <c r="M503" s="19" t="n"/>
      <c r="N503" s="22">
        <f>IF(C503="","",IF(ISNUMBER(I503),I503,IF(ISNUMBER(H503),H503,"")))</f>
        <v/>
      </c>
      <c r="O503" s="23">
        <f>IF(OR(C503="",NOT(ISNUMBER(G503))),"",(TODAY()-INT(G503))/365.25)</f>
        <v/>
      </c>
      <c r="P503" s="13">
        <f>IF(OR(C503="",NOT(ISNUMBER(L503))),"",IF(L503&lt;TODAY(),"Ended",IF(L503-TODAY()&lt;=N(Settings!$C$10),"Ends soon","Covered")))</f>
        <v/>
      </c>
      <c r="Q503" s="13">
        <f>IF(C503="","",MID(IF(N503="",", value","")&amp;IF(OR(J503="",J503="No"),", receipt","")&amp;IF(K503="",", photo",""),3,100))</f>
        <v/>
      </c>
      <c r="R503" s="13">
        <f>IF(AND(B503="",C503=""),"",IF(C503="","Needs the item",IF(B503="","Needs a room",IF(COUNTIF(Rooms!$B$6:$B$35,B503)=0,"Not on Rooms",IF(AND(H503&lt;&gt;"",NOT(ISNUMBER(H503))),"Paid not a number",IF(AND(I503&lt;&gt;"",NOT(ISNUMBER(I503))),"Worth not a number",IF(AND(G503&lt;&gt;"",NOT(ISNUMBER(G503))),"Bought is not a date",IF(AND(L503&lt;&gt;"",NOT(ISNUMBER(L503))),"Warranty is not a date",""))))))))</f>
        <v/>
      </c>
      <c r="S503" s="1">
        <f>IF(AND(C503&lt;&gt;"",R503=""),1,0)</f>
        <v/>
      </c>
      <c r="T503">
        <f>IF(S503=1,N(N503),0)</f>
        <v/>
      </c>
      <c r="U503">
        <f>IF(AND(S503=1,T503&gt;0),ROUND(T503*100,0)*10000+10000-ROW(),"")</f>
        <v/>
      </c>
      <c r="V503">
        <f>IF(AND(S503=1,OR(Report!$C$5="",B503=Report!$C$5)),MATCH(B503,Rooms!$B$6:$B$35,0)*10000+ROW(),"")</f>
        <v/>
      </c>
      <c r="W503">
        <f>IF(AND(S503=1,OR(J503="",J503="No")),1,0)</f>
        <v/>
      </c>
      <c r="X503">
        <f>IF(AND(S503=1,K503=""),1,0)</f>
        <v/>
      </c>
      <c r="Y503">
        <f>IF(AND(S503=1,Q503&lt;&gt;""),ROUND(T503*100,0)*10000+10000-ROW(),"")</f>
        <v/>
      </c>
    </row>
    <row r="504">
      <c r="A504" s="1" t="n"/>
      <c r="B504" s="17" t="n"/>
      <c r="C504" s="18" t="n"/>
      <c r="D504" s="17" t="n"/>
      <c r="E504" s="19" t="n"/>
      <c r="F504" s="19" t="n"/>
      <c r="G504" s="20" t="n"/>
      <c r="H504" s="21" t="n"/>
      <c r="I504" s="21" t="n"/>
      <c r="J504" s="17" t="n"/>
      <c r="K504" s="19" t="n"/>
      <c r="L504" s="20" t="n"/>
      <c r="M504" s="19" t="n"/>
      <c r="N504" s="22">
        <f>IF(C504="","",IF(ISNUMBER(I504),I504,IF(ISNUMBER(H504),H504,"")))</f>
        <v/>
      </c>
      <c r="O504" s="23">
        <f>IF(OR(C504="",NOT(ISNUMBER(G504))),"",(TODAY()-INT(G504))/365.25)</f>
        <v/>
      </c>
      <c r="P504" s="13">
        <f>IF(OR(C504="",NOT(ISNUMBER(L504))),"",IF(L504&lt;TODAY(),"Ended",IF(L504-TODAY()&lt;=N(Settings!$C$10),"Ends soon","Covered")))</f>
        <v/>
      </c>
      <c r="Q504" s="13">
        <f>IF(C504="","",MID(IF(N504="",", value","")&amp;IF(OR(J504="",J504="No"),", receipt","")&amp;IF(K504="",", photo",""),3,100))</f>
        <v/>
      </c>
      <c r="R504" s="13">
        <f>IF(AND(B504="",C504=""),"",IF(C504="","Needs the item",IF(B504="","Needs a room",IF(COUNTIF(Rooms!$B$6:$B$35,B504)=0,"Not on Rooms",IF(AND(H504&lt;&gt;"",NOT(ISNUMBER(H504))),"Paid not a number",IF(AND(I504&lt;&gt;"",NOT(ISNUMBER(I504))),"Worth not a number",IF(AND(G504&lt;&gt;"",NOT(ISNUMBER(G504))),"Bought is not a date",IF(AND(L504&lt;&gt;"",NOT(ISNUMBER(L504))),"Warranty is not a date",""))))))))</f>
        <v/>
      </c>
      <c r="S504" s="1">
        <f>IF(AND(C504&lt;&gt;"",R504=""),1,0)</f>
        <v/>
      </c>
      <c r="T504">
        <f>IF(S504=1,N(N504),0)</f>
        <v/>
      </c>
      <c r="U504">
        <f>IF(AND(S504=1,T504&gt;0),ROUND(T504*100,0)*10000+10000-ROW(),"")</f>
        <v/>
      </c>
      <c r="V504">
        <f>IF(AND(S504=1,OR(Report!$C$5="",B504=Report!$C$5)),MATCH(B504,Rooms!$B$6:$B$35,0)*10000+ROW(),"")</f>
        <v/>
      </c>
      <c r="W504">
        <f>IF(AND(S504=1,OR(J504="",J504="No")),1,0)</f>
        <v/>
      </c>
      <c r="X504">
        <f>IF(AND(S504=1,K504=""),1,0)</f>
        <v/>
      </c>
      <c r="Y504">
        <f>IF(AND(S504=1,Q504&lt;&gt;""),ROUND(T504*100,0)*10000+10000-ROW(),"")</f>
        <v/>
      </c>
    </row>
    <row r="505">
      <c r="A505" s="1" t="n"/>
      <c r="B505" s="17" t="n"/>
      <c r="C505" s="18" t="n"/>
      <c r="D505" s="17" t="n"/>
      <c r="E505" s="19" t="n"/>
      <c r="F505" s="19" t="n"/>
      <c r="G505" s="20" t="n"/>
      <c r="H505" s="21" t="n"/>
      <c r="I505" s="21" t="n"/>
      <c r="J505" s="17" t="n"/>
      <c r="K505" s="19" t="n"/>
      <c r="L505" s="20" t="n"/>
      <c r="M505" s="19" t="n"/>
      <c r="N505" s="22">
        <f>IF(C505="","",IF(ISNUMBER(I505),I505,IF(ISNUMBER(H505),H505,"")))</f>
        <v/>
      </c>
      <c r="O505" s="23">
        <f>IF(OR(C505="",NOT(ISNUMBER(G505))),"",(TODAY()-INT(G505))/365.25)</f>
        <v/>
      </c>
      <c r="P505" s="13">
        <f>IF(OR(C505="",NOT(ISNUMBER(L505))),"",IF(L505&lt;TODAY(),"Ended",IF(L505-TODAY()&lt;=N(Settings!$C$10),"Ends soon","Covered")))</f>
        <v/>
      </c>
      <c r="Q505" s="13">
        <f>IF(C505="","",MID(IF(N505="",", value","")&amp;IF(OR(J505="",J505="No"),", receipt","")&amp;IF(K505="",", photo",""),3,100))</f>
        <v/>
      </c>
      <c r="R505" s="13">
        <f>IF(AND(B505="",C505=""),"",IF(C505="","Needs the item",IF(B505="","Needs a room",IF(COUNTIF(Rooms!$B$6:$B$35,B505)=0,"Not on Rooms",IF(AND(H505&lt;&gt;"",NOT(ISNUMBER(H505))),"Paid not a number",IF(AND(I505&lt;&gt;"",NOT(ISNUMBER(I505))),"Worth not a number",IF(AND(G505&lt;&gt;"",NOT(ISNUMBER(G505))),"Bought is not a date",IF(AND(L505&lt;&gt;"",NOT(ISNUMBER(L505))),"Warranty is not a date",""))))))))</f>
        <v/>
      </c>
      <c r="S505" s="1">
        <f>IF(AND(C505&lt;&gt;"",R505=""),1,0)</f>
        <v/>
      </c>
      <c r="T505">
        <f>IF(S505=1,N(N505),0)</f>
        <v/>
      </c>
      <c r="U505">
        <f>IF(AND(S505=1,T505&gt;0),ROUND(T505*100,0)*10000+10000-ROW(),"")</f>
        <v/>
      </c>
      <c r="V505">
        <f>IF(AND(S505=1,OR(Report!$C$5="",B505=Report!$C$5)),MATCH(B505,Rooms!$B$6:$B$35,0)*10000+ROW(),"")</f>
        <v/>
      </c>
      <c r="W505">
        <f>IF(AND(S505=1,OR(J505="",J505="No")),1,0)</f>
        <v/>
      </c>
      <c r="X505">
        <f>IF(AND(S505=1,K505=""),1,0)</f>
        <v/>
      </c>
      <c r="Y505">
        <f>IF(AND(S505=1,Q505&lt;&gt;""),ROUND(T505*100,0)*10000+10000-ROW(),"")</f>
        <v/>
      </c>
    </row>
    <row r="506">
      <c r="A506" s="1" t="n"/>
      <c r="B506" s="17" t="n"/>
      <c r="C506" s="18" t="n"/>
      <c r="D506" s="17" t="n"/>
      <c r="E506" s="19" t="n"/>
      <c r="F506" s="19" t="n"/>
      <c r="G506" s="20" t="n"/>
      <c r="H506" s="21" t="n"/>
      <c r="I506" s="21" t="n"/>
      <c r="J506" s="17" t="n"/>
      <c r="K506" s="19" t="n"/>
      <c r="L506" s="20" t="n"/>
      <c r="M506" s="19" t="n"/>
      <c r="N506" s="22">
        <f>IF(C506="","",IF(ISNUMBER(I506),I506,IF(ISNUMBER(H506),H506,"")))</f>
        <v/>
      </c>
      <c r="O506" s="23">
        <f>IF(OR(C506="",NOT(ISNUMBER(G506))),"",(TODAY()-INT(G506))/365.25)</f>
        <v/>
      </c>
      <c r="P506" s="13">
        <f>IF(OR(C506="",NOT(ISNUMBER(L506))),"",IF(L506&lt;TODAY(),"Ended",IF(L506-TODAY()&lt;=N(Settings!$C$10),"Ends soon","Covered")))</f>
        <v/>
      </c>
      <c r="Q506" s="13">
        <f>IF(C506="","",MID(IF(N506="",", value","")&amp;IF(OR(J506="",J506="No"),", receipt","")&amp;IF(K506="",", photo",""),3,100))</f>
        <v/>
      </c>
      <c r="R506" s="13">
        <f>IF(AND(B506="",C506=""),"",IF(C506="","Needs the item",IF(B506="","Needs a room",IF(COUNTIF(Rooms!$B$6:$B$35,B506)=0,"Not on Rooms",IF(AND(H506&lt;&gt;"",NOT(ISNUMBER(H506))),"Paid not a number",IF(AND(I506&lt;&gt;"",NOT(ISNUMBER(I506))),"Worth not a number",IF(AND(G506&lt;&gt;"",NOT(ISNUMBER(G506))),"Bought is not a date",IF(AND(L506&lt;&gt;"",NOT(ISNUMBER(L506))),"Warranty is not a date",""))))))))</f>
        <v/>
      </c>
      <c r="S506" s="1">
        <f>IF(AND(C506&lt;&gt;"",R506=""),1,0)</f>
        <v/>
      </c>
      <c r="T506">
        <f>IF(S506=1,N(N506),0)</f>
        <v/>
      </c>
      <c r="U506">
        <f>IF(AND(S506=1,T506&gt;0),ROUND(T506*100,0)*10000+10000-ROW(),"")</f>
        <v/>
      </c>
      <c r="V506">
        <f>IF(AND(S506=1,OR(Report!$C$5="",B506=Report!$C$5)),MATCH(B506,Rooms!$B$6:$B$35,0)*10000+ROW(),"")</f>
        <v/>
      </c>
      <c r="W506">
        <f>IF(AND(S506=1,OR(J506="",J506="No")),1,0)</f>
        <v/>
      </c>
      <c r="X506">
        <f>IF(AND(S506=1,K506=""),1,0)</f>
        <v/>
      </c>
      <c r="Y506">
        <f>IF(AND(S506=1,Q506&lt;&gt;""),ROUND(T506*100,0)*10000+10000-ROW(),"")</f>
        <v/>
      </c>
    </row>
    <row r="507">
      <c r="A507" s="1" t="n"/>
      <c r="B507" s="17" t="n"/>
      <c r="C507" s="18" t="n"/>
      <c r="D507" s="17" t="n"/>
      <c r="E507" s="19" t="n"/>
      <c r="F507" s="19" t="n"/>
      <c r="G507" s="20" t="n"/>
      <c r="H507" s="21" t="n"/>
      <c r="I507" s="21" t="n"/>
      <c r="J507" s="17" t="n"/>
      <c r="K507" s="19" t="n"/>
      <c r="L507" s="20" t="n"/>
      <c r="M507" s="19" t="n"/>
      <c r="N507" s="22">
        <f>IF(C507="","",IF(ISNUMBER(I507),I507,IF(ISNUMBER(H507),H507,"")))</f>
        <v/>
      </c>
      <c r="O507" s="23">
        <f>IF(OR(C507="",NOT(ISNUMBER(G507))),"",(TODAY()-INT(G507))/365.25)</f>
        <v/>
      </c>
      <c r="P507" s="13">
        <f>IF(OR(C507="",NOT(ISNUMBER(L507))),"",IF(L507&lt;TODAY(),"Ended",IF(L507-TODAY()&lt;=N(Settings!$C$10),"Ends soon","Covered")))</f>
        <v/>
      </c>
      <c r="Q507" s="13">
        <f>IF(C507="","",MID(IF(N507="",", value","")&amp;IF(OR(J507="",J507="No"),", receipt","")&amp;IF(K507="",", photo",""),3,100))</f>
        <v/>
      </c>
      <c r="R507" s="13">
        <f>IF(AND(B507="",C507=""),"",IF(C507="","Needs the item",IF(B507="","Needs a room",IF(COUNTIF(Rooms!$B$6:$B$35,B507)=0,"Not on Rooms",IF(AND(H507&lt;&gt;"",NOT(ISNUMBER(H507))),"Paid not a number",IF(AND(I507&lt;&gt;"",NOT(ISNUMBER(I507))),"Worth not a number",IF(AND(G507&lt;&gt;"",NOT(ISNUMBER(G507))),"Bought is not a date",IF(AND(L507&lt;&gt;"",NOT(ISNUMBER(L507))),"Warranty is not a date",""))))))))</f>
        <v/>
      </c>
      <c r="S507" s="1">
        <f>IF(AND(C507&lt;&gt;"",R507=""),1,0)</f>
        <v/>
      </c>
      <c r="T507">
        <f>IF(S507=1,N(N507),0)</f>
        <v/>
      </c>
      <c r="U507">
        <f>IF(AND(S507=1,T507&gt;0),ROUND(T507*100,0)*10000+10000-ROW(),"")</f>
        <v/>
      </c>
      <c r="V507">
        <f>IF(AND(S507=1,OR(Report!$C$5="",B507=Report!$C$5)),MATCH(B507,Rooms!$B$6:$B$35,0)*10000+ROW(),"")</f>
        <v/>
      </c>
      <c r="W507">
        <f>IF(AND(S507=1,OR(J507="",J507="No")),1,0)</f>
        <v/>
      </c>
      <c r="X507">
        <f>IF(AND(S507=1,K507=""),1,0)</f>
        <v/>
      </c>
      <c r="Y507">
        <f>IF(AND(S507=1,Q507&lt;&gt;""),ROUND(T507*100,0)*10000+10000-ROW(),"")</f>
        <v/>
      </c>
    </row>
    <row r="508">
      <c r="A508" s="1" t="n"/>
      <c r="B508" s="17" t="n"/>
      <c r="C508" s="18" t="n"/>
      <c r="D508" s="17" t="n"/>
      <c r="E508" s="19" t="n"/>
      <c r="F508" s="19" t="n"/>
      <c r="G508" s="20" t="n"/>
      <c r="H508" s="21" t="n"/>
      <c r="I508" s="21" t="n"/>
      <c r="J508" s="17" t="n"/>
      <c r="K508" s="19" t="n"/>
      <c r="L508" s="20" t="n"/>
      <c r="M508" s="19" t="n"/>
      <c r="N508" s="22">
        <f>IF(C508="","",IF(ISNUMBER(I508),I508,IF(ISNUMBER(H508),H508,"")))</f>
        <v/>
      </c>
      <c r="O508" s="23">
        <f>IF(OR(C508="",NOT(ISNUMBER(G508))),"",(TODAY()-INT(G508))/365.25)</f>
        <v/>
      </c>
      <c r="P508" s="13">
        <f>IF(OR(C508="",NOT(ISNUMBER(L508))),"",IF(L508&lt;TODAY(),"Ended",IF(L508-TODAY()&lt;=N(Settings!$C$10),"Ends soon","Covered")))</f>
        <v/>
      </c>
      <c r="Q508" s="13">
        <f>IF(C508="","",MID(IF(N508="",", value","")&amp;IF(OR(J508="",J508="No"),", receipt","")&amp;IF(K508="",", photo",""),3,100))</f>
        <v/>
      </c>
      <c r="R508" s="13">
        <f>IF(AND(B508="",C508=""),"",IF(C508="","Needs the item",IF(B508="","Needs a room",IF(COUNTIF(Rooms!$B$6:$B$35,B508)=0,"Not on Rooms",IF(AND(H508&lt;&gt;"",NOT(ISNUMBER(H508))),"Paid not a number",IF(AND(I508&lt;&gt;"",NOT(ISNUMBER(I508))),"Worth not a number",IF(AND(G508&lt;&gt;"",NOT(ISNUMBER(G508))),"Bought is not a date",IF(AND(L508&lt;&gt;"",NOT(ISNUMBER(L508))),"Warranty is not a date",""))))))))</f>
        <v/>
      </c>
      <c r="S508" s="1">
        <f>IF(AND(C508&lt;&gt;"",R508=""),1,0)</f>
        <v/>
      </c>
      <c r="T508">
        <f>IF(S508=1,N(N508),0)</f>
        <v/>
      </c>
      <c r="U508">
        <f>IF(AND(S508=1,T508&gt;0),ROUND(T508*100,0)*10000+10000-ROW(),"")</f>
        <v/>
      </c>
      <c r="V508">
        <f>IF(AND(S508=1,OR(Report!$C$5="",B508=Report!$C$5)),MATCH(B508,Rooms!$B$6:$B$35,0)*10000+ROW(),"")</f>
        <v/>
      </c>
      <c r="W508">
        <f>IF(AND(S508=1,OR(J508="",J508="No")),1,0)</f>
        <v/>
      </c>
      <c r="X508">
        <f>IF(AND(S508=1,K508=""),1,0)</f>
        <v/>
      </c>
      <c r="Y508">
        <f>IF(AND(S508=1,Q508&lt;&gt;""),ROUND(T508*100,0)*10000+10000-ROW(),"")</f>
        <v/>
      </c>
    </row>
    <row r="509">
      <c r="A509" s="1" t="n"/>
      <c r="B509" s="17" t="n"/>
      <c r="C509" s="18" t="n"/>
      <c r="D509" s="17" t="n"/>
      <c r="E509" s="19" t="n"/>
      <c r="F509" s="19" t="n"/>
      <c r="G509" s="20" t="n"/>
      <c r="H509" s="21" t="n"/>
      <c r="I509" s="21" t="n"/>
      <c r="J509" s="17" t="n"/>
      <c r="K509" s="19" t="n"/>
      <c r="L509" s="20" t="n"/>
      <c r="M509" s="19" t="n"/>
      <c r="N509" s="22">
        <f>IF(C509="","",IF(ISNUMBER(I509),I509,IF(ISNUMBER(H509),H509,"")))</f>
        <v/>
      </c>
      <c r="O509" s="23">
        <f>IF(OR(C509="",NOT(ISNUMBER(G509))),"",(TODAY()-INT(G509))/365.25)</f>
        <v/>
      </c>
      <c r="P509" s="13">
        <f>IF(OR(C509="",NOT(ISNUMBER(L509))),"",IF(L509&lt;TODAY(),"Ended",IF(L509-TODAY()&lt;=N(Settings!$C$10),"Ends soon","Covered")))</f>
        <v/>
      </c>
      <c r="Q509" s="13">
        <f>IF(C509="","",MID(IF(N509="",", value","")&amp;IF(OR(J509="",J509="No"),", receipt","")&amp;IF(K509="",", photo",""),3,100))</f>
        <v/>
      </c>
      <c r="R509" s="13">
        <f>IF(AND(B509="",C509=""),"",IF(C509="","Needs the item",IF(B509="","Needs a room",IF(COUNTIF(Rooms!$B$6:$B$35,B509)=0,"Not on Rooms",IF(AND(H509&lt;&gt;"",NOT(ISNUMBER(H509))),"Paid not a number",IF(AND(I509&lt;&gt;"",NOT(ISNUMBER(I509))),"Worth not a number",IF(AND(G509&lt;&gt;"",NOT(ISNUMBER(G509))),"Bought is not a date",IF(AND(L509&lt;&gt;"",NOT(ISNUMBER(L509))),"Warranty is not a date",""))))))))</f>
        <v/>
      </c>
      <c r="S509" s="1">
        <f>IF(AND(C509&lt;&gt;"",R509=""),1,0)</f>
        <v/>
      </c>
      <c r="T509">
        <f>IF(S509=1,N(N509),0)</f>
        <v/>
      </c>
      <c r="U509">
        <f>IF(AND(S509=1,T509&gt;0),ROUND(T509*100,0)*10000+10000-ROW(),"")</f>
        <v/>
      </c>
      <c r="V509">
        <f>IF(AND(S509=1,OR(Report!$C$5="",B509=Report!$C$5)),MATCH(B509,Rooms!$B$6:$B$35,0)*10000+ROW(),"")</f>
        <v/>
      </c>
      <c r="W509">
        <f>IF(AND(S509=1,OR(J509="",J509="No")),1,0)</f>
        <v/>
      </c>
      <c r="X509">
        <f>IF(AND(S509=1,K509=""),1,0)</f>
        <v/>
      </c>
      <c r="Y509">
        <f>IF(AND(S509=1,Q509&lt;&gt;""),ROUND(T509*100,0)*10000+10000-ROW(),"")</f>
        <v/>
      </c>
    </row>
    <row r="510">
      <c r="A510" s="1" t="n"/>
      <c r="B510" s="17" t="n"/>
      <c r="C510" s="18" t="n"/>
      <c r="D510" s="17" t="n"/>
      <c r="E510" s="19" t="n"/>
      <c r="F510" s="19" t="n"/>
      <c r="G510" s="20" t="n"/>
      <c r="H510" s="21" t="n"/>
      <c r="I510" s="21" t="n"/>
      <c r="J510" s="17" t="n"/>
      <c r="K510" s="19" t="n"/>
      <c r="L510" s="20" t="n"/>
      <c r="M510" s="19" t="n"/>
      <c r="N510" s="22">
        <f>IF(C510="","",IF(ISNUMBER(I510),I510,IF(ISNUMBER(H510),H510,"")))</f>
        <v/>
      </c>
      <c r="O510" s="23">
        <f>IF(OR(C510="",NOT(ISNUMBER(G510))),"",(TODAY()-INT(G510))/365.25)</f>
        <v/>
      </c>
      <c r="P510" s="13">
        <f>IF(OR(C510="",NOT(ISNUMBER(L510))),"",IF(L510&lt;TODAY(),"Ended",IF(L510-TODAY()&lt;=N(Settings!$C$10),"Ends soon","Covered")))</f>
        <v/>
      </c>
      <c r="Q510" s="13">
        <f>IF(C510="","",MID(IF(N510="",", value","")&amp;IF(OR(J510="",J510="No"),", receipt","")&amp;IF(K510="",", photo",""),3,100))</f>
        <v/>
      </c>
      <c r="R510" s="13">
        <f>IF(AND(B510="",C510=""),"",IF(C510="","Needs the item",IF(B510="","Needs a room",IF(COUNTIF(Rooms!$B$6:$B$35,B510)=0,"Not on Rooms",IF(AND(H510&lt;&gt;"",NOT(ISNUMBER(H510))),"Paid not a number",IF(AND(I510&lt;&gt;"",NOT(ISNUMBER(I510))),"Worth not a number",IF(AND(G510&lt;&gt;"",NOT(ISNUMBER(G510))),"Bought is not a date",IF(AND(L510&lt;&gt;"",NOT(ISNUMBER(L510))),"Warranty is not a date",""))))))))</f>
        <v/>
      </c>
      <c r="S510" s="1">
        <f>IF(AND(C510&lt;&gt;"",R510=""),1,0)</f>
        <v/>
      </c>
      <c r="T510">
        <f>IF(S510=1,N(N510),0)</f>
        <v/>
      </c>
      <c r="U510">
        <f>IF(AND(S510=1,T510&gt;0),ROUND(T510*100,0)*10000+10000-ROW(),"")</f>
        <v/>
      </c>
      <c r="V510">
        <f>IF(AND(S510=1,OR(Report!$C$5="",B510=Report!$C$5)),MATCH(B510,Rooms!$B$6:$B$35,0)*10000+ROW(),"")</f>
        <v/>
      </c>
      <c r="W510">
        <f>IF(AND(S510=1,OR(J510="",J510="No")),1,0)</f>
        <v/>
      </c>
      <c r="X510">
        <f>IF(AND(S510=1,K510=""),1,0)</f>
        <v/>
      </c>
      <c r="Y510">
        <f>IF(AND(S510=1,Q510&lt;&gt;""),ROUND(T510*100,0)*10000+10000-ROW(),"")</f>
        <v/>
      </c>
    </row>
    <row r="511">
      <c r="A511" s="1" t="n"/>
      <c r="B511" s="17" t="n"/>
      <c r="C511" s="18" t="n"/>
      <c r="D511" s="17" t="n"/>
      <c r="E511" s="19" t="n"/>
      <c r="F511" s="19" t="n"/>
      <c r="G511" s="20" t="n"/>
      <c r="H511" s="21" t="n"/>
      <c r="I511" s="21" t="n"/>
      <c r="J511" s="17" t="n"/>
      <c r="K511" s="19" t="n"/>
      <c r="L511" s="20" t="n"/>
      <c r="M511" s="19" t="n"/>
      <c r="N511" s="22">
        <f>IF(C511="","",IF(ISNUMBER(I511),I511,IF(ISNUMBER(H511),H511,"")))</f>
        <v/>
      </c>
      <c r="O511" s="23">
        <f>IF(OR(C511="",NOT(ISNUMBER(G511))),"",(TODAY()-INT(G511))/365.25)</f>
        <v/>
      </c>
      <c r="P511" s="13">
        <f>IF(OR(C511="",NOT(ISNUMBER(L511))),"",IF(L511&lt;TODAY(),"Ended",IF(L511-TODAY()&lt;=N(Settings!$C$10),"Ends soon","Covered")))</f>
        <v/>
      </c>
      <c r="Q511" s="13">
        <f>IF(C511="","",MID(IF(N511="",", value","")&amp;IF(OR(J511="",J511="No"),", receipt","")&amp;IF(K511="",", photo",""),3,100))</f>
        <v/>
      </c>
      <c r="R511" s="13">
        <f>IF(AND(B511="",C511=""),"",IF(C511="","Needs the item",IF(B511="","Needs a room",IF(COUNTIF(Rooms!$B$6:$B$35,B511)=0,"Not on Rooms",IF(AND(H511&lt;&gt;"",NOT(ISNUMBER(H511))),"Paid not a number",IF(AND(I511&lt;&gt;"",NOT(ISNUMBER(I511))),"Worth not a number",IF(AND(G511&lt;&gt;"",NOT(ISNUMBER(G511))),"Bought is not a date",IF(AND(L511&lt;&gt;"",NOT(ISNUMBER(L511))),"Warranty is not a date",""))))))))</f>
        <v/>
      </c>
      <c r="S511" s="1">
        <f>IF(AND(C511&lt;&gt;"",R511=""),1,0)</f>
        <v/>
      </c>
      <c r="T511">
        <f>IF(S511=1,N(N511),0)</f>
        <v/>
      </c>
      <c r="U511">
        <f>IF(AND(S511=1,T511&gt;0),ROUND(T511*100,0)*10000+10000-ROW(),"")</f>
        <v/>
      </c>
      <c r="V511">
        <f>IF(AND(S511=1,OR(Report!$C$5="",B511=Report!$C$5)),MATCH(B511,Rooms!$B$6:$B$35,0)*10000+ROW(),"")</f>
        <v/>
      </c>
      <c r="W511">
        <f>IF(AND(S511=1,OR(J511="",J511="No")),1,0)</f>
        <v/>
      </c>
      <c r="X511">
        <f>IF(AND(S511=1,K511=""),1,0)</f>
        <v/>
      </c>
      <c r="Y511">
        <f>IF(AND(S511=1,Q511&lt;&gt;""),ROUND(T511*100,0)*10000+10000-ROW(),"")</f>
        <v/>
      </c>
    </row>
    <row r="512">
      <c r="A512" s="1" t="n"/>
      <c r="B512" s="17" t="n"/>
      <c r="C512" s="18" t="n"/>
      <c r="D512" s="17" t="n"/>
      <c r="E512" s="19" t="n"/>
      <c r="F512" s="19" t="n"/>
      <c r="G512" s="20" t="n"/>
      <c r="H512" s="21" t="n"/>
      <c r="I512" s="21" t="n"/>
      <c r="J512" s="17" t="n"/>
      <c r="K512" s="19" t="n"/>
      <c r="L512" s="20" t="n"/>
      <c r="M512" s="19" t="n"/>
      <c r="N512" s="22">
        <f>IF(C512="","",IF(ISNUMBER(I512),I512,IF(ISNUMBER(H512),H512,"")))</f>
        <v/>
      </c>
      <c r="O512" s="23">
        <f>IF(OR(C512="",NOT(ISNUMBER(G512))),"",(TODAY()-INT(G512))/365.25)</f>
        <v/>
      </c>
      <c r="P512" s="13">
        <f>IF(OR(C512="",NOT(ISNUMBER(L512))),"",IF(L512&lt;TODAY(),"Ended",IF(L512-TODAY()&lt;=N(Settings!$C$10),"Ends soon","Covered")))</f>
        <v/>
      </c>
      <c r="Q512" s="13">
        <f>IF(C512="","",MID(IF(N512="",", value","")&amp;IF(OR(J512="",J512="No"),", receipt","")&amp;IF(K512="",", photo",""),3,100))</f>
        <v/>
      </c>
      <c r="R512" s="13">
        <f>IF(AND(B512="",C512=""),"",IF(C512="","Needs the item",IF(B512="","Needs a room",IF(COUNTIF(Rooms!$B$6:$B$35,B512)=0,"Not on Rooms",IF(AND(H512&lt;&gt;"",NOT(ISNUMBER(H512))),"Paid not a number",IF(AND(I512&lt;&gt;"",NOT(ISNUMBER(I512))),"Worth not a number",IF(AND(G512&lt;&gt;"",NOT(ISNUMBER(G512))),"Bought is not a date",IF(AND(L512&lt;&gt;"",NOT(ISNUMBER(L512))),"Warranty is not a date",""))))))))</f>
        <v/>
      </c>
      <c r="S512" s="1">
        <f>IF(AND(C512&lt;&gt;"",R512=""),1,0)</f>
        <v/>
      </c>
      <c r="T512">
        <f>IF(S512=1,N(N512),0)</f>
        <v/>
      </c>
      <c r="U512">
        <f>IF(AND(S512=1,T512&gt;0),ROUND(T512*100,0)*10000+10000-ROW(),"")</f>
        <v/>
      </c>
      <c r="V512">
        <f>IF(AND(S512=1,OR(Report!$C$5="",B512=Report!$C$5)),MATCH(B512,Rooms!$B$6:$B$35,0)*10000+ROW(),"")</f>
        <v/>
      </c>
      <c r="W512">
        <f>IF(AND(S512=1,OR(J512="",J512="No")),1,0)</f>
        <v/>
      </c>
      <c r="X512">
        <f>IF(AND(S512=1,K512=""),1,0)</f>
        <v/>
      </c>
      <c r="Y512">
        <f>IF(AND(S512=1,Q512&lt;&gt;""),ROUND(T512*100,0)*10000+10000-ROW(),"")</f>
        <v/>
      </c>
    </row>
    <row r="513">
      <c r="A513" s="1" t="n"/>
      <c r="B513" s="17" t="n"/>
      <c r="C513" s="18" t="n"/>
      <c r="D513" s="17" t="n"/>
      <c r="E513" s="19" t="n"/>
      <c r="F513" s="19" t="n"/>
      <c r="G513" s="20" t="n"/>
      <c r="H513" s="21" t="n"/>
      <c r="I513" s="21" t="n"/>
      <c r="J513" s="17" t="n"/>
      <c r="K513" s="19" t="n"/>
      <c r="L513" s="20" t="n"/>
      <c r="M513" s="19" t="n"/>
      <c r="N513" s="22">
        <f>IF(C513="","",IF(ISNUMBER(I513),I513,IF(ISNUMBER(H513),H513,"")))</f>
        <v/>
      </c>
      <c r="O513" s="23">
        <f>IF(OR(C513="",NOT(ISNUMBER(G513))),"",(TODAY()-INT(G513))/365.25)</f>
        <v/>
      </c>
      <c r="P513" s="13">
        <f>IF(OR(C513="",NOT(ISNUMBER(L513))),"",IF(L513&lt;TODAY(),"Ended",IF(L513-TODAY()&lt;=N(Settings!$C$10),"Ends soon","Covered")))</f>
        <v/>
      </c>
      <c r="Q513" s="13">
        <f>IF(C513="","",MID(IF(N513="",", value","")&amp;IF(OR(J513="",J513="No"),", receipt","")&amp;IF(K513="",", photo",""),3,100))</f>
        <v/>
      </c>
      <c r="R513" s="13">
        <f>IF(AND(B513="",C513=""),"",IF(C513="","Needs the item",IF(B513="","Needs a room",IF(COUNTIF(Rooms!$B$6:$B$35,B513)=0,"Not on Rooms",IF(AND(H513&lt;&gt;"",NOT(ISNUMBER(H513))),"Paid not a number",IF(AND(I513&lt;&gt;"",NOT(ISNUMBER(I513))),"Worth not a number",IF(AND(G513&lt;&gt;"",NOT(ISNUMBER(G513))),"Bought is not a date",IF(AND(L513&lt;&gt;"",NOT(ISNUMBER(L513))),"Warranty is not a date",""))))))))</f>
        <v/>
      </c>
      <c r="S513" s="1">
        <f>IF(AND(C513&lt;&gt;"",R513=""),1,0)</f>
        <v/>
      </c>
      <c r="T513">
        <f>IF(S513=1,N(N513),0)</f>
        <v/>
      </c>
      <c r="U513">
        <f>IF(AND(S513=1,T513&gt;0),ROUND(T513*100,0)*10000+10000-ROW(),"")</f>
        <v/>
      </c>
      <c r="V513">
        <f>IF(AND(S513=1,OR(Report!$C$5="",B513=Report!$C$5)),MATCH(B513,Rooms!$B$6:$B$35,0)*10000+ROW(),"")</f>
        <v/>
      </c>
      <c r="W513">
        <f>IF(AND(S513=1,OR(J513="",J513="No")),1,0)</f>
        <v/>
      </c>
      <c r="X513">
        <f>IF(AND(S513=1,K513=""),1,0)</f>
        <v/>
      </c>
      <c r="Y513">
        <f>IF(AND(S513=1,Q513&lt;&gt;""),ROUND(T513*100,0)*10000+10000-ROW(),"")</f>
        <v/>
      </c>
    </row>
    <row r="514">
      <c r="A514" s="1" t="n"/>
      <c r="B514" s="17" t="n"/>
      <c r="C514" s="18" t="n"/>
      <c r="D514" s="17" t="n"/>
      <c r="E514" s="19" t="n"/>
      <c r="F514" s="19" t="n"/>
      <c r="G514" s="20" t="n"/>
      <c r="H514" s="21" t="n"/>
      <c r="I514" s="21" t="n"/>
      <c r="J514" s="17" t="n"/>
      <c r="K514" s="19" t="n"/>
      <c r="L514" s="20" t="n"/>
      <c r="M514" s="19" t="n"/>
      <c r="N514" s="22">
        <f>IF(C514="","",IF(ISNUMBER(I514),I514,IF(ISNUMBER(H514),H514,"")))</f>
        <v/>
      </c>
      <c r="O514" s="23">
        <f>IF(OR(C514="",NOT(ISNUMBER(G514))),"",(TODAY()-INT(G514))/365.25)</f>
        <v/>
      </c>
      <c r="P514" s="13">
        <f>IF(OR(C514="",NOT(ISNUMBER(L514))),"",IF(L514&lt;TODAY(),"Ended",IF(L514-TODAY()&lt;=N(Settings!$C$10),"Ends soon","Covered")))</f>
        <v/>
      </c>
      <c r="Q514" s="13">
        <f>IF(C514="","",MID(IF(N514="",", value","")&amp;IF(OR(J514="",J514="No"),", receipt","")&amp;IF(K514="",", photo",""),3,100))</f>
        <v/>
      </c>
      <c r="R514" s="13">
        <f>IF(AND(B514="",C514=""),"",IF(C514="","Needs the item",IF(B514="","Needs a room",IF(COUNTIF(Rooms!$B$6:$B$35,B514)=0,"Not on Rooms",IF(AND(H514&lt;&gt;"",NOT(ISNUMBER(H514))),"Paid not a number",IF(AND(I514&lt;&gt;"",NOT(ISNUMBER(I514))),"Worth not a number",IF(AND(G514&lt;&gt;"",NOT(ISNUMBER(G514))),"Bought is not a date",IF(AND(L514&lt;&gt;"",NOT(ISNUMBER(L514))),"Warranty is not a date",""))))))))</f>
        <v/>
      </c>
      <c r="S514" s="1">
        <f>IF(AND(C514&lt;&gt;"",R514=""),1,0)</f>
        <v/>
      </c>
      <c r="T514">
        <f>IF(S514=1,N(N514),0)</f>
        <v/>
      </c>
      <c r="U514">
        <f>IF(AND(S514=1,T514&gt;0),ROUND(T514*100,0)*10000+10000-ROW(),"")</f>
        <v/>
      </c>
      <c r="V514">
        <f>IF(AND(S514=1,OR(Report!$C$5="",B514=Report!$C$5)),MATCH(B514,Rooms!$B$6:$B$35,0)*10000+ROW(),"")</f>
        <v/>
      </c>
      <c r="W514">
        <f>IF(AND(S514=1,OR(J514="",J514="No")),1,0)</f>
        <v/>
      </c>
      <c r="X514">
        <f>IF(AND(S514=1,K514=""),1,0)</f>
        <v/>
      </c>
      <c r="Y514">
        <f>IF(AND(S514=1,Q514&lt;&gt;""),ROUND(T514*100,0)*10000+10000-ROW(),"")</f>
        <v/>
      </c>
    </row>
    <row r="515">
      <c r="A515" s="1" t="n"/>
      <c r="B515" s="17" t="n"/>
      <c r="C515" s="18" t="n"/>
      <c r="D515" s="17" t="n"/>
      <c r="E515" s="19" t="n"/>
      <c r="F515" s="19" t="n"/>
      <c r="G515" s="20" t="n"/>
      <c r="H515" s="21" t="n"/>
      <c r="I515" s="21" t="n"/>
      <c r="J515" s="17" t="n"/>
      <c r="K515" s="19" t="n"/>
      <c r="L515" s="20" t="n"/>
      <c r="M515" s="19" t="n"/>
      <c r="N515" s="22">
        <f>IF(C515="","",IF(ISNUMBER(I515),I515,IF(ISNUMBER(H515),H515,"")))</f>
        <v/>
      </c>
      <c r="O515" s="23">
        <f>IF(OR(C515="",NOT(ISNUMBER(G515))),"",(TODAY()-INT(G515))/365.25)</f>
        <v/>
      </c>
      <c r="P515" s="13">
        <f>IF(OR(C515="",NOT(ISNUMBER(L515))),"",IF(L515&lt;TODAY(),"Ended",IF(L515-TODAY()&lt;=N(Settings!$C$10),"Ends soon","Covered")))</f>
        <v/>
      </c>
      <c r="Q515" s="13">
        <f>IF(C515="","",MID(IF(N515="",", value","")&amp;IF(OR(J515="",J515="No"),", receipt","")&amp;IF(K515="",", photo",""),3,100))</f>
        <v/>
      </c>
      <c r="R515" s="13">
        <f>IF(AND(B515="",C515=""),"",IF(C515="","Needs the item",IF(B515="","Needs a room",IF(COUNTIF(Rooms!$B$6:$B$35,B515)=0,"Not on Rooms",IF(AND(H515&lt;&gt;"",NOT(ISNUMBER(H515))),"Paid not a number",IF(AND(I515&lt;&gt;"",NOT(ISNUMBER(I515))),"Worth not a number",IF(AND(G515&lt;&gt;"",NOT(ISNUMBER(G515))),"Bought is not a date",IF(AND(L515&lt;&gt;"",NOT(ISNUMBER(L515))),"Warranty is not a date",""))))))))</f>
        <v/>
      </c>
      <c r="S515" s="1">
        <f>IF(AND(C515&lt;&gt;"",R515=""),1,0)</f>
        <v/>
      </c>
      <c r="T515">
        <f>IF(S515=1,N(N515),0)</f>
        <v/>
      </c>
      <c r="U515">
        <f>IF(AND(S515=1,T515&gt;0),ROUND(T515*100,0)*10000+10000-ROW(),"")</f>
        <v/>
      </c>
      <c r="V515">
        <f>IF(AND(S515=1,OR(Report!$C$5="",B515=Report!$C$5)),MATCH(B515,Rooms!$B$6:$B$35,0)*10000+ROW(),"")</f>
        <v/>
      </c>
      <c r="W515">
        <f>IF(AND(S515=1,OR(J515="",J515="No")),1,0)</f>
        <v/>
      </c>
      <c r="X515">
        <f>IF(AND(S515=1,K515=""),1,0)</f>
        <v/>
      </c>
      <c r="Y515">
        <f>IF(AND(S515=1,Q515&lt;&gt;""),ROUND(T515*100,0)*10000+10000-ROW(),"")</f>
        <v/>
      </c>
    </row>
    <row r="516">
      <c r="A516" s="1" t="n"/>
      <c r="B516" s="17" t="n"/>
      <c r="C516" s="18" t="n"/>
      <c r="D516" s="17" t="n"/>
      <c r="E516" s="19" t="n"/>
      <c r="F516" s="19" t="n"/>
      <c r="G516" s="20" t="n"/>
      <c r="H516" s="21" t="n"/>
      <c r="I516" s="21" t="n"/>
      <c r="J516" s="17" t="n"/>
      <c r="K516" s="19" t="n"/>
      <c r="L516" s="20" t="n"/>
      <c r="M516" s="19" t="n"/>
      <c r="N516" s="22">
        <f>IF(C516="","",IF(ISNUMBER(I516),I516,IF(ISNUMBER(H516),H516,"")))</f>
        <v/>
      </c>
      <c r="O516" s="23">
        <f>IF(OR(C516="",NOT(ISNUMBER(G516))),"",(TODAY()-INT(G516))/365.25)</f>
        <v/>
      </c>
      <c r="P516" s="13">
        <f>IF(OR(C516="",NOT(ISNUMBER(L516))),"",IF(L516&lt;TODAY(),"Ended",IF(L516-TODAY()&lt;=N(Settings!$C$10),"Ends soon","Covered")))</f>
        <v/>
      </c>
      <c r="Q516" s="13">
        <f>IF(C516="","",MID(IF(N516="",", value","")&amp;IF(OR(J516="",J516="No"),", receipt","")&amp;IF(K516="",", photo",""),3,100))</f>
        <v/>
      </c>
      <c r="R516" s="13">
        <f>IF(AND(B516="",C516=""),"",IF(C516="","Needs the item",IF(B516="","Needs a room",IF(COUNTIF(Rooms!$B$6:$B$35,B516)=0,"Not on Rooms",IF(AND(H516&lt;&gt;"",NOT(ISNUMBER(H516))),"Paid not a number",IF(AND(I516&lt;&gt;"",NOT(ISNUMBER(I516))),"Worth not a number",IF(AND(G516&lt;&gt;"",NOT(ISNUMBER(G516))),"Bought is not a date",IF(AND(L516&lt;&gt;"",NOT(ISNUMBER(L516))),"Warranty is not a date",""))))))))</f>
        <v/>
      </c>
      <c r="S516" s="1">
        <f>IF(AND(C516&lt;&gt;"",R516=""),1,0)</f>
        <v/>
      </c>
      <c r="T516">
        <f>IF(S516=1,N(N516),0)</f>
        <v/>
      </c>
      <c r="U516">
        <f>IF(AND(S516=1,T516&gt;0),ROUND(T516*100,0)*10000+10000-ROW(),"")</f>
        <v/>
      </c>
      <c r="V516">
        <f>IF(AND(S516=1,OR(Report!$C$5="",B516=Report!$C$5)),MATCH(B516,Rooms!$B$6:$B$35,0)*10000+ROW(),"")</f>
        <v/>
      </c>
      <c r="W516">
        <f>IF(AND(S516=1,OR(J516="",J516="No")),1,0)</f>
        <v/>
      </c>
      <c r="X516">
        <f>IF(AND(S516=1,K516=""),1,0)</f>
        <v/>
      </c>
      <c r="Y516">
        <f>IF(AND(S516=1,Q516&lt;&gt;""),ROUND(T516*100,0)*10000+10000-ROW(),"")</f>
        <v/>
      </c>
    </row>
    <row r="517">
      <c r="A517" s="1" t="n"/>
      <c r="B517" s="17" t="n"/>
      <c r="C517" s="18" t="n"/>
      <c r="D517" s="17" t="n"/>
      <c r="E517" s="19" t="n"/>
      <c r="F517" s="19" t="n"/>
      <c r="G517" s="20" t="n"/>
      <c r="H517" s="21" t="n"/>
      <c r="I517" s="21" t="n"/>
      <c r="J517" s="17" t="n"/>
      <c r="K517" s="19" t="n"/>
      <c r="L517" s="20" t="n"/>
      <c r="M517" s="19" t="n"/>
      <c r="N517" s="22">
        <f>IF(C517="","",IF(ISNUMBER(I517),I517,IF(ISNUMBER(H517),H517,"")))</f>
        <v/>
      </c>
      <c r="O517" s="23">
        <f>IF(OR(C517="",NOT(ISNUMBER(G517))),"",(TODAY()-INT(G517))/365.25)</f>
        <v/>
      </c>
      <c r="P517" s="13">
        <f>IF(OR(C517="",NOT(ISNUMBER(L517))),"",IF(L517&lt;TODAY(),"Ended",IF(L517-TODAY()&lt;=N(Settings!$C$10),"Ends soon","Covered")))</f>
        <v/>
      </c>
      <c r="Q517" s="13">
        <f>IF(C517="","",MID(IF(N517="",", value","")&amp;IF(OR(J517="",J517="No"),", receipt","")&amp;IF(K517="",", photo",""),3,100))</f>
        <v/>
      </c>
      <c r="R517" s="13">
        <f>IF(AND(B517="",C517=""),"",IF(C517="","Needs the item",IF(B517="","Needs a room",IF(COUNTIF(Rooms!$B$6:$B$35,B517)=0,"Not on Rooms",IF(AND(H517&lt;&gt;"",NOT(ISNUMBER(H517))),"Paid not a number",IF(AND(I517&lt;&gt;"",NOT(ISNUMBER(I517))),"Worth not a number",IF(AND(G517&lt;&gt;"",NOT(ISNUMBER(G517))),"Bought is not a date",IF(AND(L517&lt;&gt;"",NOT(ISNUMBER(L517))),"Warranty is not a date",""))))))))</f>
        <v/>
      </c>
      <c r="S517" s="1">
        <f>IF(AND(C517&lt;&gt;"",R517=""),1,0)</f>
        <v/>
      </c>
      <c r="T517">
        <f>IF(S517=1,N(N517),0)</f>
        <v/>
      </c>
      <c r="U517">
        <f>IF(AND(S517=1,T517&gt;0),ROUND(T517*100,0)*10000+10000-ROW(),"")</f>
        <v/>
      </c>
      <c r="V517">
        <f>IF(AND(S517=1,OR(Report!$C$5="",B517=Report!$C$5)),MATCH(B517,Rooms!$B$6:$B$35,0)*10000+ROW(),"")</f>
        <v/>
      </c>
      <c r="W517">
        <f>IF(AND(S517=1,OR(J517="",J517="No")),1,0)</f>
        <v/>
      </c>
      <c r="X517">
        <f>IF(AND(S517=1,K517=""),1,0)</f>
        <v/>
      </c>
      <c r="Y517">
        <f>IF(AND(S517=1,Q517&lt;&gt;""),ROUND(T517*100,0)*10000+10000-ROW(),"")</f>
        <v/>
      </c>
    </row>
    <row r="518">
      <c r="A518" s="1" t="n"/>
      <c r="B518" s="17" t="n"/>
      <c r="C518" s="18" t="n"/>
      <c r="D518" s="17" t="n"/>
      <c r="E518" s="19" t="n"/>
      <c r="F518" s="19" t="n"/>
      <c r="G518" s="20" t="n"/>
      <c r="H518" s="21" t="n"/>
      <c r="I518" s="21" t="n"/>
      <c r="J518" s="17" t="n"/>
      <c r="K518" s="19" t="n"/>
      <c r="L518" s="20" t="n"/>
      <c r="M518" s="19" t="n"/>
      <c r="N518" s="22">
        <f>IF(C518="","",IF(ISNUMBER(I518),I518,IF(ISNUMBER(H518),H518,"")))</f>
        <v/>
      </c>
      <c r="O518" s="23">
        <f>IF(OR(C518="",NOT(ISNUMBER(G518))),"",(TODAY()-INT(G518))/365.25)</f>
        <v/>
      </c>
      <c r="P518" s="13">
        <f>IF(OR(C518="",NOT(ISNUMBER(L518))),"",IF(L518&lt;TODAY(),"Ended",IF(L518-TODAY()&lt;=N(Settings!$C$10),"Ends soon","Covered")))</f>
        <v/>
      </c>
      <c r="Q518" s="13">
        <f>IF(C518="","",MID(IF(N518="",", value","")&amp;IF(OR(J518="",J518="No"),", receipt","")&amp;IF(K518="",", photo",""),3,100))</f>
        <v/>
      </c>
      <c r="R518" s="13">
        <f>IF(AND(B518="",C518=""),"",IF(C518="","Needs the item",IF(B518="","Needs a room",IF(COUNTIF(Rooms!$B$6:$B$35,B518)=0,"Not on Rooms",IF(AND(H518&lt;&gt;"",NOT(ISNUMBER(H518))),"Paid not a number",IF(AND(I518&lt;&gt;"",NOT(ISNUMBER(I518))),"Worth not a number",IF(AND(G518&lt;&gt;"",NOT(ISNUMBER(G518))),"Bought is not a date",IF(AND(L518&lt;&gt;"",NOT(ISNUMBER(L518))),"Warranty is not a date",""))))))))</f>
        <v/>
      </c>
      <c r="S518" s="1">
        <f>IF(AND(C518&lt;&gt;"",R518=""),1,0)</f>
        <v/>
      </c>
      <c r="T518">
        <f>IF(S518=1,N(N518),0)</f>
        <v/>
      </c>
      <c r="U518">
        <f>IF(AND(S518=1,T518&gt;0),ROUND(T518*100,0)*10000+10000-ROW(),"")</f>
        <v/>
      </c>
      <c r="V518">
        <f>IF(AND(S518=1,OR(Report!$C$5="",B518=Report!$C$5)),MATCH(B518,Rooms!$B$6:$B$35,0)*10000+ROW(),"")</f>
        <v/>
      </c>
      <c r="W518">
        <f>IF(AND(S518=1,OR(J518="",J518="No")),1,0)</f>
        <v/>
      </c>
      <c r="X518">
        <f>IF(AND(S518=1,K518=""),1,0)</f>
        <v/>
      </c>
      <c r="Y518">
        <f>IF(AND(S518=1,Q518&lt;&gt;""),ROUND(T518*100,0)*10000+10000-ROW(),"")</f>
        <v/>
      </c>
    </row>
    <row r="519">
      <c r="A519" s="1" t="n"/>
      <c r="B519" s="17" t="n"/>
      <c r="C519" s="18" t="n"/>
      <c r="D519" s="17" t="n"/>
      <c r="E519" s="19" t="n"/>
      <c r="F519" s="19" t="n"/>
      <c r="G519" s="20" t="n"/>
      <c r="H519" s="21" t="n"/>
      <c r="I519" s="21" t="n"/>
      <c r="J519" s="17" t="n"/>
      <c r="K519" s="19" t="n"/>
      <c r="L519" s="20" t="n"/>
      <c r="M519" s="19" t="n"/>
      <c r="N519" s="22">
        <f>IF(C519="","",IF(ISNUMBER(I519),I519,IF(ISNUMBER(H519),H519,"")))</f>
        <v/>
      </c>
      <c r="O519" s="23">
        <f>IF(OR(C519="",NOT(ISNUMBER(G519))),"",(TODAY()-INT(G519))/365.25)</f>
        <v/>
      </c>
      <c r="P519" s="13">
        <f>IF(OR(C519="",NOT(ISNUMBER(L519))),"",IF(L519&lt;TODAY(),"Ended",IF(L519-TODAY()&lt;=N(Settings!$C$10),"Ends soon","Covered")))</f>
        <v/>
      </c>
      <c r="Q519" s="13">
        <f>IF(C519="","",MID(IF(N519="",", value","")&amp;IF(OR(J519="",J519="No"),", receipt","")&amp;IF(K519="",", photo",""),3,100))</f>
        <v/>
      </c>
      <c r="R519" s="13">
        <f>IF(AND(B519="",C519=""),"",IF(C519="","Needs the item",IF(B519="","Needs a room",IF(COUNTIF(Rooms!$B$6:$B$35,B519)=0,"Not on Rooms",IF(AND(H519&lt;&gt;"",NOT(ISNUMBER(H519))),"Paid not a number",IF(AND(I519&lt;&gt;"",NOT(ISNUMBER(I519))),"Worth not a number",IF(AND(G519&lt;&gt;"",NOT(ISNUMBER(G519))),"Bought is not a date",IF(AND(L519&lt;&gt;"",NOT(ISNUMBER(L519))),"Warranty is not a date",""))))))))</f>
        <v/>
      </c>
      <c r="S519" s="1">
        <f>IF(AND(C519&lt;&gt;"",R519=""),1,0)</f>
        <v/>
      </c>
      <c r="T519">
        <f>IF(S519=1,N(N519),0)</f>
        <v/>
      </c>
      <c r="U519">
        <f>IF(AND(S519=1,T519&gt;0),ROUND(T519*100,0)*10000+10000-ROW(),"")</f>
        <v/>
      </c>
      <c r="V519">
        <f>IF(AND(S519=1,OR(Report!$C$5="",B519=Report!$C$5)),MATCH(B519,Rooms!$B$6:$B$35,0)*10000+ROW(),"")</f>
        <v/>
      </c>
      <c r="W519">
        <f>IF(AND(S519=1,OR(J519="",J519="No")),1,0)</f>
        <v/>
      </c>
      <c r="X519">
        <f>IF(AND(S519=1,K519=""),1,0)</f>
        <v/>
      </c>
      <c r="Y519">
        <f>IF(AND(S519=1,Q519&lt;&gt;""),ROUND(T519*100,0)*10000+10000-ROW(),"")</f>
        <v/>
      </c>
    </row>
    <row r="520">
      <c r="A520" s="1" t="n"/>
      <c r="B520" s="17" t="n"/>
      <c r="C520" s="18" t="n"/>
      <c r="D520" s="17" t="n"/>
      <c r="E520" s="19" t="n"/>
      <c r="F520" s="19" t="n"/>
      <c r="G520" s="20" t="n"/>
      <c r="H520" s="21" t="n"/>
      <c r="I520" s="21" t="n"/>
      <c r="J520" s="17" t="n"/>
      <c r="K520" s="19" t="n"/>
      <c r="L520" s="20" t="n"/>
      <c r="M520" s="19" t="n"/>
      <c r="N520" s="22">
        <f>IF(C520="","",IF(ISNUMBER(I520),I520,IF(ISNUMBER(H520),H520,"")))</f>
        <v/>
      </c>
      <c r="O520" s="23">
        <f>IF(OR(C520="",NOT(ISNUMBER(G520))),"",(TODAY()-INT(G520))/365.25)</f>
        <v/>
      </c>
      <c r="P520" s="13">
        <f>IF(OR(C520="",NOT(ISNUMBER(L520))),"",IF(L520&lt;TODAY(),"Ended",IF(L520-TODAY()&lt;=N(Settings!$C$10),"Ends soon","Covered")))</f>
        <v/>
      </c>
      <c r="Q520" s="13">
        <f>IF(C520="","",MID(IF(N520="",", value","")&amp;IF(OR(J520="",J520="No"),", receipt","")&amp;IF(K520="",", photo",""),3,100))</f>
        <v/>
      </c>
      <c r="R520" s="13">
        <f>IF(AND(B520="",C520=""),"",IF(C520="","Needs the item",IF(B520="","Needs a room",IF(COUNTIF(Rooms!$B$6:$B$35,B520)=0,"Not on Rooms",IF(AND(H520&lt;&gt;"",NOT(ISNUMBER(H520))),"Paid not a number",IF(AND(I520&lt;&gt;"",NOT(ISNUMBER(I520))),"Worth not a number",IF(AND(G520&lt;&gt;"",NOT(ISNUMBER(G520))),"Bought is not a date",IF(AND(L520&lt;&gt;"",NOT(ISNUMBER(L520))),"Warranty is not a date",""))))))))</f>
        <v/>
      </c>
      <c r="S520" s="1">
        <f>IF(AND(C520&lt;&gt;"",R520=""),1,0)</f>
        <v/>
      </c>
      <c r="T520">
        <f>IF(S520=1,N(N520),0)</f>
        <v/>
      </c>
      <c r="U520">
        <f>IF(AND(S520=1,T520&gt;0),ROUND(T520*100,0)*10000+10000-ROW(),"")</f>
        <v/>
      </c>
      <c r="V520">
        <f>IF(AND(S520=1,OR(Report!$C$5="",B520=Report!$C$5)),MATCH(B520,Rooms!$B$6:$B$35,0)*10000+ROW(),"")</f>
        <v/>
      </c>
      <c r="W520">
        <f>IF(AND(S520=1,OR(J520="",J520="No")),1,0)</f>
        <v/>
      </c>
      <c r="X520">
        <f>IF(AND(S520=1,K520=""),1,0)</f>
        <v/>
      </c>
      <c r="Y520">
        <f>IF(AND(S520=1,Q520&lt;&gt;""),ROUND(T520*100,0)*10000+10000-ROW(),"")</f>
        <v/>
      </c>
    </row>
    <row r="521">
      <c r="A521" s="1" t="n"/>
      <c r="B521" s="17" t="n"/>
      <c r="C521" s="18" t="n"/>
      <c r="D521" s="17" t="n"/>
      <c r="E521" s="19" t="n"/>
      <c r="F521" s="19" t="n"/>
      <c r="G521" s="20" t="n"/>
      <c r="H521" s="21" t="n"/>
      <c r="I521" s="21" t="n"/>
      <c r="J521" s="17" t="n"/>
      <c r="K521" s="19" t="n"/>
      <c r="L521" s="20" t="n"/>
      <c r="M521" s="19" t="n"/>
      <c r="N521" s="22">
        <f>IF(C521="","",IF(ISNUMBER(I521),I521,IF(ISNUMBER(H521),H521,"")))</f>
        <v/>
      </c>
      <c r="O521" s="23">
        <f>IF(OR(C521="",NOT(ISNUMBER(G521))),"",(TODAY()-INT(G521))/365.25)</f>
        <v/>
      </c>
      <c r="P521" s="13">
        <f>IF(OR(C521="",NOT(ISNUMBER(L521))),"",IF(L521&lt;TODAY(),"Ended",IF(L521-TODAY()&lt;=N(Settings!$C$10),"Ends soon","Covered")))</f>
        <v/>
      </c>
      <c r="Q521" s="13">
        <f>IF(C521="","",MID(IF(N521="",", value","")&amp;IF(OR(J521="",J521="No"),", receipt","")&amp;IF(K521="",", photo",""),3,100))</f>
        <v/>
      </c>
      <c r="R521" s="13">
        <f>IF(AND(B521="",C521=""),"",IF(C521="","Needs the item",IF(B521="","Needs a room",IF(COUNTIF(Rooms!$B$6:$B$35,B521)=0,"Not on Rooms",IF(AND(H521&lt;&gt;"",NOT(ISNUMBER(H521))),"Paid not a number",IF(AND(I521&lt;&gt;"",NOT(ISNUMBER(I521))),"Worth not a number",IF(AND(G521&lt;&gt;"",NOT(ISNUMBER(G521))),"Bought is not a date",IF(AND(L521&lt;&gt;"",NOT(ISNUMBER(L521))),"Warranty is not a date",""))))))))</f>
        <v/>
      </c>
      <c r="S521" s="1">
        <f>IF(AND(C521&lt;&gt;"",R521=""),1,0)</f>
        <v/>
      </c>
      <c r="T521">
        <f>IF(S521=1,N(N521),0)</f>
        <v/>
      </c>
      <c r="U521">
        <f>IF(AND(S521=1,T521&gt;0),ROUND(T521*100,0)*10000+10000-ROW(),"")</f>
        <v/>
      </c>
      <c r="V521">
        <f>IF(AND(S521=1,OR(Report!$C$5="",B521=Report!$C$5)),MATCH(B521,Rooms!$B$6:$B$35,0)*10000+ROW(),"")</f>
        <v/>
      </c>
      <c r="W521">
        <f>IF(AND(S521=1,OR(J521="",J521="No")),1,0)</f>
        <v/>
      </c>
      <c r="X521">
        <f>IF(AND(S521=1,K521=""),1,0)</f>
        <v/>
      </c>
      <c r="Y521">
        <f>IF(AND(S521=1,Q521&lt;&gt;""),ROUND(T521*100,0)*10000+10000-ROW(),"")</f>
        <v/>
      </c>
    </row>
    <row r="522">
      <c r="A522" s="1" t="n"/>
      <c r="B522" s="17" t="n"/>
      <c r="C522" s="18" t="n"/>
      <c r="D522" s="17" t="n"/>
      <c r="E522" s="19" t="n"/>
      <c r="F522" s="19" t="n"/>
      <c r="G522" s="20" t="n"/>
      <c r="H522" s="21" t="n"/>
      <c r="I522" s="21" t="n"/>
      <c r="J522" s="17" t="n"/>
      <c r="K522" s="19" t="n"/>
      <c r="L522" s="20" t="n"/>
      <c r="M522" s="19" t="n"/>
      <c r="N522" s="22">
        <f>IF(C522="","",IF(ISNUMBER(I522),I522,IF(ISNUMBER(H522),H522,"")))</f>
        <v/>
      </c>
      <c r="O522" s="23">
        <f>IF(OR(C522="",NOT(ISNUMBER(G522))),"",(TODAY()-INT(G522))/365.25)</f>
        <v/>
      </c>
      <c r="P522" s="13">
        <f>IF(OR(C522="",NOT(ISNUMBER(L522))),"",IF(L522&lt;TODAY(),"Ended",IF(L522-TODAY()&lt;=N(Settings!$C$10),"Ends soon","Covered")))</f>
        <v/>
      </c>
      <c r="Q522" s="13">
        <f>IF(C522="","",MID(IF(N522="",", value","")&amp;IF(OR(J522="",J522="No"),", receipt","")&amp;IF(K522="",", photo",""),3,100))</f>
        <v/>
      </c>
      <c r="R522" s="13">
        <f>IF(AND(B522="",C522=""),"",IF(C522="","Needs the item",IF(B522="","Needs a room",IF(COUNTIF(Rooms!$B$6:$B$35,B522)=0,"Not on Rooms",IF(AND(H522&lt;&gt;"",NOT(ISNUMBER(H522))),"Paid not a number",IF(AND(I522&lt;&gt;"",NOT(ISNUMBER(I522))),"Worth not a number",IF(AND(G522&lt;&gt;"",NOT(ISNUMBER(G522))),"Bought is not a date",IF(AND(L522&lt;&gt;"",NOT(ISNUMBER(L522))),"Warranty is not a date",""))))))))</f>
        <v/>
      </c>
      <c r="S522" s="1">
        <f>IF(AND(C522&lt;&gt;"",R522=""),1,0)</f>
        <v/>
      </c>
      <c r="T522">
        <f>IF(S522=1,N(N522),0)</f>
        <v/>
      </c>
      <c r="U522">
        <f>IF(AND(S522=1,T522&gt;0),ROUND(T522*100,0)*10000+10000-ROW(),"")</f>
        <v/>
      </c>
      <c r="V522">
        <f>IF(AND(S522=1,OR(Report!$C$5="",B522=Report!$C$5)),MATCH(B522,Rooms!$B$6:$B$35,0)*10000+ROW(),"")</f>
        <v/>
      </c>
      <c r="W522">
        <f>IF(AND(S522=1,OR(J522="",J522="No")),1,0)</f>
        <v/>
      </c>
      <c r="X522">
        <f>IF(AND(S522=1,K522=""),1,0)</f>
        <v/>
      </c>
      <c r="Y522">
        <f>IF(AND(S522=1,Q522&lt;&gt;""),ROUND(T522*100,0)*10000+10000-ROW(),"")</f>
        <v/>
      </c>
    </row>
    <row r="523">
      <c r="A523" s="1" t="n"/>
      <c r="B523" s="17" t="n"/>
      <c r="C523" s="18" t="n"/>
      <c r="D523" s="17" t="n"/>
      <c r="E523" s="19" t="n"/>
      <c r="F523" s="19" t="n"/>
      <c r="G523" s="20" t="n"/>
      <c r="H523" s="21" t="n"/>
      <c r="I523" s="21" t="n"/>
      <c r="J523" s="17" t="n"/>
      <c r="K523" s="19" t="n"/>
      <c r="L523" s="20" t="n"/>
      <c r="M523" s="19" t="n"/>
      <c r="N523" s="22">
        <f>IF(C523="","",IF(ISNUMBER(I523),I523,IF(ISNUMBER(H523),H523,"")))</f>
        <v/>
      </c>
      <c r="O523" s="23">
        <f>IF(OR(C523="",NOT(ISNUMBER(G523))),"",(TODAY()-INT(G523))/365.25)</f>
        <v/>
      </c>
      <c r="P523" s="13">
        <f>IF(OR(C523="",NOT(ISNUMBER(L523))),"",IF(L523&lt;TODAY(),"Ended",IF(L523-TODAY()&lt;=N(Settings!$C$10),"Ends soon","Covered")))</f>
        <v/>
      </c>
      <c r="Q523" s="13">
        <f>IF(C523="","",MID(IF(N523="",", value","")&amp;IF(OR(J523="",J523="No"),", receipt","")&amp;IF(K523="",", photo",""),3,100))</f>
        <v/>
      </c>
      <c r="R523" s="13">
        <f>IF(AND(B523="",C523=""),"",IF(C523="","Needs the item",IF(B523="","Needs a room",IF(COUNTIF(Rooms!$B$6:$B$35,B523)=0,"Not on Rooms",IF(AND(H523&lt;&gt;"",NOT(ISNUMBER(H523))),"Paid not a number",IF(AND(I523&lt;&gt;"",NOT(ISNUMBER(I523))),"Worth not a number",IF(AND(G523&lt;&gt;"",NOT(ISNUMBER(G523))),"Bought is not a date",IF(AND(L523&lt;&gt;"",NOT(ISNUMBER(L523))),"Warranty is not a date",""))))))))</f>
        <v/>
      </c>
      <c r="S523" s="1">
        <f>IF(AND(C523&lt;&gt;"",R523=""),1,0)</f>
        <v/>
      </c>
      <c r="T523">
        <f>IF(S523=1,N(N523),0)</f>
        <v/>
      </c>
      <c r="U523">
        <f>IF(AND(S523=1,T523&gt;0),ROUND(T523*100,0)*10000+10000-ROW(),"")</f>
        <v/>
      </c>
      <c r="V523">
        <f>IF(AND(S523=1,OR(Report!$C$5="",B523=Report!$C$5)),MATCH(B523,Rooms!$B$6:$B$35,0)*10000+ROW(),"")</f>
        <v/>
      </c>
      <c r="W523">
        <f>IF(AND(S523=1,OR(J523="",J523="No")),1,0)</f>
        <v/>
      </c>
      <c r="X523">
        <f>IF(AND(S523=1,K523=""),1,0)</f>
        <v/>
      </c>
      <c r="Y523">
        <f>IF(AND(S523=1,Q523&lt;&gt;""),ROUND(T523*100,0)*10000+10000-ROW(),"")</f>
        <v/>
      </c>
    </row>
    <row r="524">
      <c r="A524" s="1" t="n"/>
      <c r="B524" s="17" t="n"/>
      <c r="C524" s="18" t="n"/>
      <c r="D524" s="17" t="n"/>
      <c r="E524" s="19" t="n"/>
      <c r="F524" s="19" t="n"/>
      <c r="G524" s="20" t="n"/>
      <c r="H524" s="21" t="n"/>
      <c r="I524" s="21" t="n"/>
      <c r="J524" s="17" t="n"/>
      <c r="K524" s="19" t="n"/>
      <c r="L524" s="20" t="n"/>
      <c r="M524" s="19" t="n"/>
      <c r="N524" s="22">
        <f>IF(C524="","",IF(ISNUMBER(I524),I524,IF(ISNUMBER(H524),H524,"")))</f>
        <v/>
      </c>
      <c r="O524" s="23">
        <f>IF(OR(C524="",NOT(ISNUMBER(G524))),"",(TODAY()-INT(G524))/365.25)</f>
        <v/>
      </c>
      <c r="P524" s="13">
        <f>IF(OR(C524="",NOT(ISNUMBER(L524))),"",IF(L524&lt;TODAY(),"Ended",IF(L524-TODAY()&lt;=N(Settings!$C$10),"Ends soon","Covered")))</f>
        <v/>
      </c>
      <c r="Q524" s="13">
        <f>IF(C524="","",MID(IF(N524="",", value","")&amp;IF(OR(J524="",J524="No"),", receipt","")&amp;IF(K524="",", photo",""),3,100))</f>
        <v/>
      </c>
      <c r="R524" s="13">
        <f>IF(AND(B524="",C524=""),"",IF(C524="","Needs the item",IF(B524="","Needs a room",IF(COUNTIF(Rooms!$B$6:$B$35,B524)=0,"Not on Rooms",IF(AND(H524&lt;&gt;"",NOT(ISNUMBER(H524))),"Paid not a number",IF(AND(I524&lt;&gt;"",NOT(ISNUMBER(I524))),"Worth not a number",IF(AND(G524&lt;&gt;"",NOT(ISNUMBER(G524))),"Bought is not a date",IF(AND(L524&lt;&gt;"",NOT(ISNUMBER(L524))),"Warranty is not a date",""))))))))</f>
        <v/>
      </c>
      <c r="S524" s="1">
        <f>IF(AND(C524&lt;&gt;"",R524=""),1,0)</f>
        <v/>
      </c>
      <c r="T524">
        <f>IF(S524=1,N(N524),0)</f>
        <v/>
      </c>
      <c r="U524">
        <f>IF(AND(S524=1,T524&gt;0),ROUND(T524*100,0)*10000+10000-ROW(),"")</f>
        <v/>
      </c>
      <c r="V524">
        <f>IF(AND(S524=1,OR(Report!$C$5="",B524=Report!$C$5)),MATCH(B524,Rooms!$B$6:$B$35,0)*10000+ROW(),"")</f>
        <v/>
      </c>
      <c r="W524">
        <f>IF(AND(S524=1,OR(J524="",J524="No")),1,0)</f>
        <v/>
      </c>
      <c r="X524">
        <f>IF(AND(S524=1,K524=""),1,0)</f>
        <v/>
      </c>
      <c r="Y524">
        <f>IF(AND(S524=1,Q524&lt;&gt;""),ROUND(T524*100,0)*10000+10000-ROW(),"")</f>
        <v/>
      </c>
    </row>
    <row r="525">
      <c r="A525" s="1" t="n"/>
      <c r="B525" s="17" t="n"/>
      <c r="C525" s="18" t="n"/>
      <c r="D525" s="17" t="n"/>
      <c r="E525" s="19" t="n"/>
      <c r="F525" s="19" t="n"/>
      <c r="G525" s="20" t="n"/>
      <c r="H525" s="21" t="n"/>
      <c r="I525" s="21" t="n"/>
      <c r="J525" s="17" t="n"/>
      <c r="K525" s="19" t="n"/>
      <c r="L525" s="20" t="n"/>
      <c r="M525" s="19" t="n"/>
      <c r="N525" s="22">
        <f>IF(C525="","",IF(ISNUMBER(I525),I525,IF(ISNUMBER(H525),H525,"")))</f>
        <v/>
      </c>
      <c r="O525" s="23">
        <f>IF(OR(C525="",NOT(ISNUMBER(G525))),"",(TODAY()-INT(G525))/365.25)</f>
        <v/>
      </c>
      <c r="P525" s="13">
        <f>IF(OR(C525="",NOT(ISNUMBER(L525))),"",IF(L525&lt;TODAY(),"Ended",IF(L525-TODAY()&lt;=N(Settings!$C$10),"Ends soon","Covered")))</f>
        <v/>
      </c>
      <c r="Q525" s="13">
        <f>IF(C525="","",MID(IF(N525="",", value","")&amp;IF(OR(J525="",J525="No"),", receipt","")&amp;IF(K525="",", photo",""),3,100))</f>
        <v/>
      </c>
      <c r="R525" s="13">
        <f>IF(AND(B525="",C525=""),"",IF(C525="","Needs the item",IF(B525="","Needs a room",IF(COUNTIF(Rooms!$B$6:$B$35,B525)=0,"Not on Rooms",IF(AND(H525&lt;&gt;"",NOT(ISNUMBER(H525))),"Paid not a number",IF(AND(I525&lt;&gt;"",NOT(ISNUMBER(I525))),"Worth not a number",IF(AND(G525&lt;&gt;"",NOT(ISNUMBER(G525))),"Bought is not a date",IF(AND(L525&lt;&gt;"",NOT(ISNUMBER(L525))),"Warranty is not a date",""))))))))</f>
        <v/>
      </c>
      <c r="S525" s="1">
        <f>IF(AND(C525&lt;&gt;"",R525=""),1,0)</f>
        <v/>
      </c>
      <c r="T525">
        <f>IF(S525=1,N(N525),0)</f>
        <v/>
      </c>
      <c r="U525">
        <f>IF(AND(S525=1,T525&gt;0),ROUND(T525*100,0)*10000+10000-ROW(),"")</f>
        <v/>
      </c>
      <c r="V525">
        <f>IF(AND(S525=1,OR(Report!$C$5="",B525=Report!$C$5)),MATCH(B525,Rooms!$B$6:$B$35,0)*10000+ROW(),"")</f>
        <v/>
      </c>
      <c r="W525">
        <f>IF(AND(S525=1,OR(J525="",J525="No")),1,0)</f>
        <v/>
      </c>
      <c r="X525">
        <f>IF(AND(S525=1,K525=""),1,0)</f>
        <v/>
      </c>
      <c r="Y525">
        <f>IF(AND(S525=1,Q525&lt;&gt;""),ROUND(T525*100,0)*10000+10000-ROW(),"")</f>
        <v/>
      </c>
    </row>
    <row r="526">
      <c r="A526" s="1" t="n"/>
      <c r="B526" s="17" t="n"/>
      <c r="C526" s="18" t="n"/>
      <c r="D526" s="17" t="n"/>
      <c r="E526" s="19" t="n"/>
      <c r="F526" s="19" t="n"/>
      <c r="G526" s="20" t="n"/>
      <c r="H526" s="21" t="n"/>
      <c r="I526" s="21" t="n"/>
      <c r="J526" s="17" t="n"/>
      <c r="K526" s="19" t="n"/>
      <c r="L526" s="20" t="n"/>
      <c r="M526" s="19" t="n"/>
      <c r="N526" s="22">
        <f>IF(C526="","",IF(ISNUMBER(I526),I526,IF(ISNUMBER(H526),H526,"")))</f>
        <v/>
      </c>
      <c r="O526" s="23">
        <f>IF(OR(C526="",NOT(ISNUMBER(G526))),"",(TODAY()-INT(G526))/365.25)</f>
        <v/>
      </c>
      <c r="P526" s="13">
        <f>IF(OR(C526="",NOT(ISNUMBER(L526))),"",IF(L526&lt;TODAY(),"Ended",IF(L526-TODAY()&lt;=N(Settings!$C$10),"Ends soon","Covered")))</f>
        <v/>
      </c>
      <c r="Q526" s="13">
        <f>IF(C526="","",MID(IF(N526="",", value","")&amp;IF(OR(J526="",J526="No"),", receipt","")&amp;IF(K526="",", photo",""),3,100))</f>
        <v/>
      </c>
      <c r="R526" s="13">
        <f>IF(AND(B526="",C526=""),"",IF(C526="","Needs the item",IF(B526="","Needs a room",IF(COUNTIF(Rooms!$B$6:$B$35,B526)=0,"Not on Rooms",IF(AND(H526&lt;&gt;"",NOT(ISNUMBER(H526))),"Paid not a number",IF(AND(I526&lt;&gt;"",NOT(ISNUMBER(I526))),"Worth not a number",IF(AND(G526&lt;&gt;"",NOT(ISNUMBER(G526))),"Bought is not a date",IF(AND(L526&lt;&gt;"",NOT(ISNUMBER(L526))),"Warranty is not a date",""))))))))</f>
        <v/>
      </c>
      <c r="S526" s="1">
        <f>IF(AND(C526&lt;&gt;"",R526=""),1,0)</f>
        <v/>
      </c>
      <c r="T526">
        <f>IF(S526=1,N(N526),0)</f>
        <v/>
      </c>
      <c r="U526">
        <f>IF(AND(S526=1,T526&gt;0),ROUND(T526*100,0)*10000+10000-ROW(),"")</f>
        <v/>
      </c>
      <c r="V526">
        <f>IF(AND(S526=1,OR(Report!$C$5="",B526=Report!$C$5)),MATCH(B526,Rooms!$B$6:$B$35,0)*10000+ROW(),"")</f>
        <v/>
      </c>
      <c r="W526">
        <f>IF(AND(S526=1,OR(J526="",J526="No")),1,0)</f>
        <v/>
      </c>
      <c r="X526">
        <f>IF(AND(S526=1,K526=""),1,0)</f>
        <v/>
      </c>
      <c r="Y526">
        <f>IF(AND(S526=1,Q526&lt;&gt;""),ROUND(T526*100,0)*10000+10000-ROW(),"")</f>
        <v/>
      </c>
    </row>
    <row r="527">
      <c r="A527" s="1" t="n"/>
      <c r="B527" s="17" t="n"/>
      <c r="C527" s="18" t="n"/>
      <c r="D527" s="17" t="n"/>
      <c r="E527" s="19" t="n"/>
      <c r="F527" s="19" t="n"/>
      <c r="G527" s="20" t="n"/>
      <c r="H527" s="21" t="n"/>
      <c r="I527" s="21" t="n"/>
      <c r="J527" s="17" t="n"/>
      <c r="K527" s="19" t="n"/>
      <c r="L527" s="20" t="n"/>
      <c r="M527" s="19" t="n"/>
      <c r="N527" s="22">
        <f>IF(C527="","",IF(ISNUMBER(I527),I527,IF(ISNUMBER(H527),H527,"")))</f>
        <v/>
      </c>
      <c r="O527" s="23">
        <f>IF(OR(C527="",NOT(ISNUMBER(G527))),"",(TODAY()-INT(G527))/365.25)</f>
        <v/>
      </c>
      <c r="P527" s="13">
        <f>IF(OR(C527="",NOT(ISNUMBER(L527))),"",IF(L527&lt;TODAY(),"Ended",IF(L527-TODAY()&lt;=N(Settings!$C$10),"Ends soon","Covered")))</f>
        <v/>
      </c>
      <c r="Q527" s="13">
        <f>IF(C527="","",MID(IF(N527="",", value","")&amp;IF(OR(J527="",J527="No"),", receipt","")&amp;IF(K527="",", photo",""),3,100))</f>
        <v/>
      </c>
      <c r="R527" s="13">
        <f>IF(AND(B527="",C527=""),"",IF(C527="","Needs the item",IF(B527="","Needs a room",IF(COUNTIF(Rooms!$B$6:$B$35,B527)=0,"Not on Rooms",IF(AND(H527&lt;&gt;"",NOT(ISNUMBER(H527))),"Paid not a number",IF(AND(I527&lt;&gt;"",NOT(ISNUMBER(I527))),"Worth not a number",IF(AND(G527&lt;&gt;"",NOT(ISNUMBER(G527))),"Bought is not a date",IF(AND(L527&lt;&gt;"",NOT(ISNUMBER(L527))),"Warranty is not a date",""))))))))</f>
        <v/>
      </c>
      <c r="S527" s="1">
        <f>IF(AND(C527&lt;&gt;"",R527=""),1,0)</f>
        <v/>
      </c>
      <c r="T527">
        <f>IF(S527=1,N(N527),0)</f>
        <v/>
      </c>
      <c r="U527">
        <f>IF(AND(S527=1,T527&gt;0),ROUND(T527*100,0)*10000+10000-ROW(),"")</f>
        <v/>
      </c>
      <c r="V527">
        <f>IF(AND(S527=1,OR(Report!$C$5="",B527=Report!$C$5)),MATCH(B527,Rooms!$B$6:$B$35,0)*10000+ROW(),"")</f>
        <v/>
      </c>
      <c r="W527">
        <f>IF(AND(S527=1,OR(J527="",J527="No")),1,0)</f>
        <v/>
      </c>
      <c r="X527">
        <f>IF(AND(S527=1,K527=""),1,0)</f>
        <v/>
      </c>
      <c r="Y527">
        <f>IF(AND(S527=1,Q527&lt;&gt;""),ROUND(T527*100,0)*10000+10000-ROW(),"")</f>
        <v/>
      </c>
    </row>
    <row r="528">
      <c r="A528" s="1" t="n"/>
      <c r="B528" s="17" t="n"/>
      <c r="C528" s="18" t="n"/>
      <c r="D528" s="17" t="n"/>
      <c r="E528" s="19" t="n"/>
      <c r="F528" s="19" t="n"/>
      <c r="G528" s="20" t="n"/>
      <c r="H528" s="21" t="n"/>
      <c r="I528" s="21" t="n"/>
      <c r="J528" s="17" t="n"/>
      <c r="K528" s="19" t="n"/>
      <c r="L528" s="20" t="n"/>
      <c r="M528" s="19" t="n"/>
      <c r="N528" s="22">
        <f>IF(C528="","",IF(ISNUMBER(I528),I528,IF(ISNUMBER(H528),H528,"")))</f>
        <v/>
      </c>
      <c r="O528" s="23">
        <f>IF(OR(C528="",NOT(ISNUMBER(G528))),"",(TODAY()-INT(G528))/365.25)</f>
        <v/>
      </c>
      <c r="P528" s="13">
        <f>IF(OR(C528="",NOT(ISNUMBER(L528))),"",IF(L528&lt;TODAY(),"Ended",IF(L528-TODAY()&lt;=N(Settings!$C$10),"Ends soon","Covered")))</f>
        <v/>
      </c>
      <c r="Q528" s="13">
        <f>IF(C528="","",MID(IF(N528="",", value","")&amp;IF(OR(J528="",J528="No"),", receipt","")&amp;IF(K528="",", photo",""),3,100))</f>
        <v/>
      </c>
      <c r="R528" s="13">
        <f>IF(AND(B528="",C528=""),"",IF(C528="","Needs the item",IF(B528="","Needs a room",IF(COUNTIF(Rooms!$B$6:$B$35,B528)=0,"Not on Rooms",IF(AND(H528&lt;&gt;"",NOT(ISNUMBER(H528))),"Paid not a number",IF(AND(I528&lt;&gt;"",NOT(ISNUMBER(I528))),"Worth not a number",IF(AND(G528&lt;&gt;"",NOT(ISNUMBER(G528))),"Bought is not a date",IF(AND(L528&lt;&gt;"",NOT(ISNUMBER(L528))),"Warranty is not a date",""))))))))</f>
        <v/>
      </c>
      <c r="S528" s="1">
        <f>IF(AND(C528&lt;&gt;"",R528=""),1,0)</f>
        <v/>
      </c>
      <c r="T528">
        <f>IF(S528=1,N(N528),0)</f>
        <v/>
      </c>
      <c r="U528">
        <f>IF(AND(S528=1,T528&gt;0),ROUND(T528*100,0)*10000+10000-ROW(),"")</f>
        <v/>
      </c>
      <c r="V528">
        <f>IF(AND(S528=1,OR(Report!$C$5="",B528=Report!$C$5)),MATCH(B528,Rooms!$B$6:$B$35,0)*10000+ROW(),"")</f>
        <v/>
      </c>
      <c r="W528">
        <f>IF(AND(S528=1,OR(J528="",J528="No")),1,0)</f>
        <v/>
      </c>
      <c r="X528">
        <f>IF(AND(S528=1,K528=""),1,0)</f>
        <v/>
      </c>
      <c r="Y528">
        <f>IF(AND(S528=1,Q528&lt;&gt;""),ROUND(T528*100,0)*10000+10000-ROW(),"")</f>
        <v/>
      </c>
    </row>
    <row r="529">
      <c r="A529" s="1" t="n"/>
      <c r="B529" s="17" t="n"/>
      <c r="C529" s="18" t="n"/>
      <c r="D529" s="17" t="n"/>
      <c r="E529" s="19" t="n"/>
      <c r="F529" s="19" t="n"/>
      <c r="G529" s="20" t="n"/>
      <c r="H529" s="21" t="n"/>
      <c r="I529" s="21" t="n"/>
      <c r="J529" s="17" t="n"/>
      <c r="K529" s="19" t="n"/>
      <c r="L529" s="20" t="n"/>
      <c r="M529" s="19" t="n"/>
      <c r="N529" s="22">
        <f>IF(C529="","",IF(ISNUMBER(I529),I529,IF(ISNUMBER(H529),H529,"")))</f>
        <v/>
      </c>
      <c r="O529" s="23">
        <f>IF(OR(C529="",NOT(ISNUMBER(G529))),"",(TODAY()-INT(G529))/365.25)</f>
        <v/>
      </c>
      <c r="P529" s="13">
        <f>IF(OR(C529="",NOT(ISNUMBER(L529))),"",IF(L529&lt;TODAY(),"Ended",IF(L529-TODAY()&lt;=N(Settings!$C$10),"Ends soon","Covered")))</f>
        <v/>
      </c>
      <c r="Q529" s="13">
        <f>IF(C529="","",MID(IF(N529="",", value","")&amp;IF(OR(J529="",J529="No"),", receipt","")&amp;IF(K529="",", photo",""),3,100))</f>
        <v/>
      </c>
      <c r="R529" s="13">
        <f>IF(AND(B529="",C529=""),"",IF(C529="","Needs the item",IF(B529="","Needs a room",IF(COUNTIF(Rooms!$B$6:$B$35,B529)=0,"Not on Rooms",IF(AND(H529&lt;&gt;"",NOT(ISNUMBER(H529))),"Paid not a number",IF(AND(I529&lt;&gt;"",NOT(ISNUMBER(I529))),"Worth not a number",IF(AND(G529&lt;&gt;"",NOT(ISNUMBER(G529))),"Bought is not a date",IF(AND(L529&lt;&gt;"",NOT(ISNUMBER(L529))),"Warranty is not a date",""))))))))</f>
        <v/>
      </c>
      <c r="S529" s="1">
        <f>IF(AND(C529&lt;&gt;"",R529=""),1,0)</f>
        <v/>
      </c>
      <c r="T529">
        <f>IF(S529=1,N(N529),0)</f>
        <v/>
      </c>
      <c r="U529">
        <f>IF(AND(S529=1,T529&gt;0),ROUND(T529*100,0)*10000+10000-ROW(),"")</f>
        <v/>
      </c>
      <c r="V529">
        <f>IF(AND(S529=1,OR(Report!$C$5="",B529=Report!$C$5)),MATCH(B529,Rooms!$B$6:$B$35,0)*10000+ROW(),"")</f>
        <v/>
      </c>
      <c r="W529">
        <f>IF(AND(S529=1,OR(J529="",J529="No")),1,0)</f>
        <v/>
      </c>
      <c r="X529">
        <f>IF(AND(S529=1,K529=""),1,0)</f>
        <v/>
      </c>
      <c r="Y529">
        <f>IF(AND(S529=1,Q529&lt;&gt;""),ROUND(T529*100,0)*10000+10000-ROW(),"")</f>
        <v/>
      </c>
    </row>
    <row r="530">
      <c r="A530" s="1" t="n"/>
      <c r="B530" s="17" t="n"/>
      <c r="C530" s="18" t="n"/>
      <c r="D530" s="17" t="n"/>
      <c r="E530" s="19" t="n"/>
      <c r="F530" s="19" t="n"/>
      <c r="G530" s="20" t="n"/>
      <c r="H530" s="21" t="n"/>
      <c r="I530" s="21" t="n"/>
      <c r="J530" s="17" t="n"/>
      <c r="K530" s="19" t="n"/>
      <c r="L530" s="20" t="n"/>
      <c r="M530" s="19" t="n"/>
      <c r="N530" s="22">
        <f>IF(C530="","",IF(ISNUMBER(I530),I530,IF(ISNUMBER(H530),H530,"")))</f>
        <v/>
      </c>
      <c r="O530" s="23">
        <f>IF(OR(C530="",NOT(ISNUMBER(G530))),"",(TODAY()-INT(G530))/365.25)</f>
        <v/>
      </c>
      <c r="P530" s="13">
        <f>IF(OR(C530="",NOT(ISNUMBER(L530))),"",IF(L530&lt;TODAY(),"Ended",IF(L530-TODAY()&lt;=N(Settings!$C$10),"Ends soon","Covered")))</f>
        <v/>
      </c>
      <c r="Q530" s="13">
        <f>IF(C530="","",MID(IF(N530="",", value","")&amp;IF(OR(J530="",J530="No"),", receipt","")&amp;IF(K530="",", photo",""),3,100))</f>
        <v/>
      </c>
      <c r="R530" s="13">
        <f>IF(AND(B530="",C530=""),"",IF(C530="","Needs the item",IF(B530="","Needs a room",IF(COUNTIF(Rooms!$B$6:$B$35,B530)=0,"Not on Rooms",IF(AND(H530&lt;&gt;"",NOT(ISNUMBER(H530))),"Paid not a number",IF(AND(I530&lt;&gt;"",NOT(ISNUMBER(I530))),"Worth not a number",IF(AND(G530&lt;&gt;"",NOT(ISNUMBER(G530))),"Bought is not a date",IF(AND(L530&lt;&gt;"",NOT(ISNUMBER(L530))),"Warranty is not a date",""))))))))</f>
        <v/>
      </c>
      <c r="S530" s="1">
        <f>IF(AND(C530&lt;&gt;"",R530=""),1,0)</f>
        <v/>
      </c>
      <c r="T530">
        <f>IF(S530=1,N(N530),0)</f>
        <v/>
      </c>
      <c r="U530">
        <f>IF(AND(S530=1,T530&gt;0),ROUND(T530*100,0)*10000+10000-ROW(),"")</f>
        <v/>
      </c>
      <c r="V530">
        <f>IF(AND(S530=1,OR(Report!$C$5="",B530=Report!$C$5)),MATCH(B530,Rooms!$B$6:$B$35,0)*10000+ROW(),"")</f>
        <v/>
      </c>
      <c r="W530">
        <f>IF(AND(S530=1,OR(J530="",J530="No")),1,0)</f>
        <v/>
      </c>
      <c r="X530">
        <f>IF(AND(S530=1,K530=""),1,0)</f>
        <v/>
      </c>
      <c r="Y530">
        <f>IF(AND(S530=1,Q530&lt;&gt;""),ROUND(T530*100,0)*10000+10000-ROW(),"")</f>
        <v/>
      </c>
    </row>
    <row r="531">
      <c r="A531" s="1" t="n"/>
      <c r="B531" s="17" t="n"/>
      <c r="C531" s="18" t="n"/>
      <c r="D531" s="17" t="n"/>
      <c r="E531" s="19" t="n"/>
      <c r="F531" s="19" t="n"/>
      <c r="G531" s="20" t="n"/>
      <c r="H531" s="21" t="n"/>
      <c r="I531" s="21" t="n"/>
      <c r="J531" s="17" t="n"/>
      <c r="K531" s="19" t="n"/>
      <c r="L531" s="20" t="n"/>
      <c r="M531" s="19" t="n"/>
      <c r="N531" s="22">
        <f>IF(C531="","",IF(ISNUMBER(I531),I531,IF(ISNUMBER(H531),H531,"")))</f>
        <v/>
      </c>
      <c r="O531" s="23">
        <f>IF(OR(C531="",NOT(ISNUMBER(G531))),"",(TODAY()-INT(G531))/365.25)</f>
        <v/>
      </c>
      <c r="P531" s="13">
        <f>IF(OR(C531="",NOT(ISNUMBER(L531))),"",IF(L531&lt;TODAY(),"Ended",IF(L531-TODAY()&lt;=N(Settings!$C$10),"Ends soon","Covered")))</f>
        <v/>
      </c>
      <c r="Q531" s="13">
        <f>IF(C531="","",MID(IF(N531="",", value","")&amp;IF(OR(J531="",J531="No"),", receipt","")&amp;IF(K531="",", photo",""),3,100))</f>
        <v/>
      </c>
      <c r="R531" s="13">
        <f>IF(AND(B531="",C531=""),"",IF(C531="","Needs the item",IF(B531="","Needs a room",IF(COUNTIF(Rooms!$B$6:$B$35,B531)=0,"Not on Rooms",IF(AND(H531&lt;&gt;"",NOT(ISNUMBER(H531))),"Paid not a number",IF(AND(I531&lt;&gt;"",NOT(ISNUMBER(I531))),"Worth not a number",IF(AND(G531&lt;&gt;"",NOT(ISNUMBER(G531))),"Bought is not a date",IF(AND(L531&lt;&gt;"",NOT(ISNUMBER(L531))),"Warranty is not a date",""))))))))</f>
        <v/>
      </c>
      <c r="S531" s="1">
        <f>IF(AND(C531&lt;&gt;"",R531=""),1,0)</f>
        <v/>
      </c>
      <c r="T531">
        <f>IF(S531=1,N(N531),0)</f>
        <v/>
      </c>
      <c r="U531">
        <f>IF(AND(S531=1,T531&gt;0),ROUND(T531*100,0)*10000+10000-ROW(),"")</f>
        <v/>
      </c>
      <c r="V531">
        <f>IF(AND(S531=1,OR(Report!$C$5="",B531=Report!$C$5)),MATCH(B531,Rooms!$B$6:$B$35,0)*10000+ROW(),"")</f>
        <v/>
      </c>
      <c r="W531">
        <f>IF(AND(S531=1,OR(J531="",J531="No")),1,0)</f>
        <v/>
      </c>
      <c r="X531">
        <f>IF(AND(S531=1,K531=""),1,0)</f>
        <v/>
      </c>
      <c r="Y531">
        <f>IF(AND(S531=1,Q531&lt;&gt;""),ROUND(T531*100,0)*10000+10000-ROW(),"")</f>
        <v/>
      </c>
    </row>
    <row r="532">
      <c r="A532" s="1" t="n"/>
      <c r="B532" s="17" t="n"/>
      <c r="C532" s="18" t="n"/>
      <c r="D532" s="17" t="n"/>
      <c r="E532" s="19" t="n"/>
      <c r="F532" s="19" t="n"/>
      <c r="G532" s="20" t="n"/>
      <c r="H532" s="21" t="n"/>
      <c r="I532" s="21" t="n"/>
      <c r="J532" s="17" t="n"/>
      <c r="K532" s="19" t="n"/>
      <c r="L532" s="20" t="n"/>
      <c r="M532" s="19" t="n"/>
      <c r="N532" s="22">
        <f>IF(C532="","",IF(ISNUMBER(I532),I532,IF(ISNUMBER(H532),H532,"")))</f>
        <v/>
      </c>
      <c r="O532" s="23">
        <f>IF(OR(C532="",NOT(ISNUMBER(G532))),"",(TODAY()-INT(G532))/365.25)</f>
        <v/>
      </c>
      <c r="P532" s="13">
        <f>IF(OR(C532="",NOT(ISNUMBER(L532))),"",IF(L532&lt;TODAY(),"Ended",IF(L532-TODAY()&lt;=N(Settings!$C$10),"Ends soon","Covered")))</f>
        <v/>
      </c>
      <c r="Q532" s="13">
        <f>IF(C532="","",MID(IF(N532="",", value","")&amp;IF(OR(J532="",J532="No"),", receipt","")&amp;IF(K532="",", photo",""),3,100))</f>
        <v/>
      </c>
      <c r="R532" s="13">
        <f>IF(AND(B532="",C532=""),"",IF(C532="","Needs the item",IF(B532="","Needs a room",IF(COUNTIF(Rooms!$B$6:$B$35,B532)=0,"Not on Rooms",IF(AND(H532&lt;&gt;"",NOT(ISNUMBER(H532))),"Paid not a number",IF(AND(I532&lt;&gt;"",NOT(ISNUMBER(I532))),"Worth not a number",IF(AND(G532&lt;&gt;"",NOT(ISNUMBER(G532))),"Bought is not a date",IF(AND(L532&lt;&gt;"",NOT(ISNUMBER(L532))),"Warranty is not a date",""))))))))</f>
        <v/>
      </c>
      <c r="S532" s="1">
        <f>IF(AND(C532&lt;&gt;"",R532=""),1,0)</f>
        <v/>
      </c>
      <c r="T532">
        <f>IF(S532=1,N(N532),0)</f>
        <v/>
      </c>
      <c r="U532">
        <f>IF(AND(S532=1,T532&gt;0),ROUND(T532*100,0)*10000+10000-ROW(),"")</f>
        <v/>
      </c>
      <c r="V532">
        <f>IF(AND(S532=1,OR(Report!$C$5="",B532=Report!$C$5)),MATCH(B532,Rooms!$B$6:$B$35,0)*10000+ROW(),"")</f>
        <v/>
      </c>
      <c r="W532">
        <f>IF(AND(S532=1,OR(J532="",J532="No")),1,0)</f>
        <v/>
      </c>
      <c r="X532">
        <f>IF(AND(S532=1,K532=""),1,0)</f>
        <v/>
      </c>
      <c r="Y532">
        <f>IF(AND(S532=1,Q532&lt;&gt;""),ROUND(T532*100,0)*10000+10000-ROW(),"")</f>
        <v/>
      </c>
    </row>
    <row r="533">
      <c r="A533" s="1" t="n"/>
      <c r="B533" s="17" t="n"/>
      <c r="C533" s="18" t="n"/>
      <c r="D533" s="17" t="n"/>
      <c r="E533" s="19" t="n"/>
      <c r="F533" s="19" t="n"/>
      <c r="G533" s="20" t="n"/>
      <c r="H533" s="21" t="n"/>
      <c r="I533" s="21" t="n"/>
      <c r="J533" s="17" t="n"/>
      <c r="K533" s="19" t="n"/>
      <c r="L533" s="20" t="n"/>
      <c r="M533" s="19" t="n"/>
      <c r="N533" s="22">
        <f>IF(C533="","",IF(ISNUMBER(I533),I533,IF(ISNUMBER(H533),H533,"")))</f>
        <v/>
      </c>
      <c r="O533" s="23">
        <f>IF(OR(C533="",NOT(ISNUMBER(G533))),"",(TODAY()-INT(G533))/365.25)</f>
        <v/>
      </c>
      <c r="P533" s="13">
        <f>IF(OR(C533="",NOT(ISNUMBER(L533))),"",IF(L533&lt;TODAY(),"Ended",IF(L533-TODAY()&lt;=N(Settings!$C$10),"Ends soon","Covered")))</f>
        <v/>
      </c>
      <c r="Q533" s="13">
        <f>IF(C533="","",MID(IF(N533="",", value","")&amp;IF(OR(J533="",J533="No"),", receipt","")&amp;IF(K533="",", photo",""),3,100))</f>
        <v/>
      </c>
      <c r="R533" s="13">
        <f>IF(AND(B533="",C533=""),"",IF(C533="","Needs the item",IF(B533="","Needs a room",IF(COUNTIF(Rooms!$B$6:$B$35,B533)=0,"Not on Rooms",IF(AND(H533&lt;&gt;"",NOT(ISNUMBER(H533))),"Paid not a number",IF(AND(I533&lt;&gt;"",NOT(ISNUMBER(I533))),"Worth not a number",IF(AND(G533&lt;&gt;"",NOT(ISNUMBER(G533))),"Bought is not a date",IF(AND(L533&lt;&gt;"",NOT(ISNUMBER(L533))),"Warranty is not a date",""))))))))</f>
        <v/>
      </c>
      <c r="S533" s="1">
        <f>IF(AND(C533&lt;&gt;"",R533=""),1,0)</f>
        <v/>
      </c>
      <c r="T533">
        <f>IF(S533=1,N(N533),0)</f>
        <v/>
      </c>
      <c r="U533">
        <f>IF(AND(S533=1,T533&gt;0),ROUND(T533*100,0)*10000+10000-ROW(),"")</f>
        <v/>
      </c>
      <c r="V533">
        <f>IF(AND(S533=1,OR(Report!$C$5="",B533=Report!$C$5)),MATCH(B533,Rooms!$B$6:$B$35,0)*10000+ROW(),"")</f>
        <v/>
      </c>
      <c r="W533">
        <f>IF(AND(S533=1,OR(J533="",J533="No")),1,0)</f>
        <v/>
      </c>
      <c r="X533">
        <f>IF(AND(S533=1,K533=""),1,0)</f>
        <v/>
      </c>
      <c r="Y533">
        <f>IF(AND(S533=1,Q533&lt;&gt;""),ROUND(T533*100,0)*10000+10000-ROW(),"")</f>
        <v/>
      </c>
    </row>
    <row r="534">
      <c r="A534" s="1" t="n"/>
      <c r="B534" s="17" t="n"/>
      <c r="C534" s="18" t="n"/>
      <c r="D534" s="17" t="n"/>
      <c r="E534" s="19" t="n"/>
      <c r="F534" s="19" t="n"/>
      <c r="G534" s="20" t="n"/>
      <c r="H534" s="21" t="n"/>
      <c r="I534" s="21" t="n"/>
      <c r="J534" s="17" t="n"/>
      <c r="K534" s="19" t="n"/>
      <c r="L534" s="20" t="n"/>
      <c r="M534" s="19" t="n"/>
      <c r="N534" s="22">
        <f>IF(C534="","",IF(ISNUMBER(I534),I534,IF(ISNUMBER(H534),H534,"")))</f>
        <v/>
      </c>
      <c r="O534" s="23">
        <f>IF(OR(C534="",NOT(ISNUMBER(G534))),"",(TODAY()-INT(G534))/365.25)</f>
        <v/>
      </c>
      <c r="P534" s="13">
        <f>IF(OR(C534="",NOT(ISNUMBER(L534))),"",IF(L534&lt;TODAY(),"Ended",IF(L534-TODAY()&lt;=N(Settings!$C$10),"Ends soon","Covered")))</f>
        <v/>
      </c>
      <c r="Q534" s="13">
        <f>IF(C534="","",MID(IF(N534="",", value","")&amp;IF(OR(J534="",J534="No"),", receipt","")&amp;IF(K534="",", photo",""),3,100))</f>
        <v/>
      </c>
      <c r="R534" s="13">
        <f>IF(AND(B534="",C534=""),"",IF(C534="","Needs the item",IF(B534="","Needs a room",IF(COUNTIF(Rooms!$B$6:$B$35,B534)=0,"Not on Rooms",IF(AND(H534&lt;&gt;"",NOT(ISNUMBER(H534))),"Paid not a number",IF(AND(I534&lt;&gt;"",NOT(ISNUMBER(I534))),"Worth not a number",IF(AND(G534&lt;&gt;"",NOT(ISNUMBER(G534))),"Bought is not a date",IF(AND(L534&lt;&gt;"",NOT(ISNUMBER(L534))),"Warranty is not a date",""))))))))</f>
        <v/>
      </c>
      <c r="S534" s="1">
        <f>IF(AND(C534&lt;&gt;"",R534=""),1,0)</f>
        <v/>
      </c>
      <c r="T534">
        <f>IF(S534=1,N(N534),0)</f>
        <v/>
      </c>
      <c r="U534">
        <f>IF(AND(S534=1,T534&gt;0),ROUND(T534*100,0)*10000+10000-ROW(),"")</f>
        <v/>
      </c>
      <c r="V534">
        <f>IF(AND(S534=1,OR(Report!$C$5="",B534=Report!$C$5)),MATCH(B534,Rooms!$B$6:$B$35,0)*10000+ROW(),"")</f>
        <v/>
      </c>
      <c r="W534">
        <f>IF(AND(S534=1,OR(J534="",J534="No")),1,0)</f>
        <v/>
      </c>
      <c r="X534">
        <f>IF(AND(S534=1,K534=""),1,0)</f>
        <v/>
      </c>
      <c r="Y534">
        <f>IF(AND(S534=1,Q534&lt;&gt;""),ROUND(T534*100,0)*10000+10000-ROW(),"")</f>
        <v/>
      </c>
    </row>
    <row r="535">
      <c r="A535" s="1" t="n"/>
      <c r="B535" s="17" t="n"/>
      <c r="C535" s="18" t="n"/>
      <c r="D535" s="17" t="n"/>
      <c r="E535" s="19" t="n"/>
      <c r="F535" s="19" t="n"/>
      <c r="G535" s="20" t="n"/>
      <c r="H535" s="21" t="n"/>
      <c r="I535" s="21" t="n"/>
      <c r="J535" s="17" t="n"/>
      <c r="K535" s="19" t="n"/>
      <c r="L535" s="20" t="n"/>
      <c r="M535" s="19" t="n"/>
      <c r="N535" s="22">
        <f>IF(C535="","",IF(ISNUMBER(I535),I535,IF(ISNUMBER(H535),H535,"")))</f>
        <v/>
      </c>
      <c r="O535" s="23">
        <f>IF(OR(C535="",NOT(ISNUMBER(G535))),"",(TODAY()-INT(G535))/365.25)</f>
        <v/>
      </c>
      <c r="P535" s="13">
        <f>IF(OR(C535="",NOT(ISNUMBER(L535))),"",IF(L535&lt;TODAY(),"Ended",IF(L535-TODAY()&lt;=N(Settings!$C$10),"Ends soon","Covered")))</f>
        <v/>
      </c>
      <c r="Q535" s="13">
        <f>IF(C535="","",MID(IF(N535="",", value","")&amp;IF(OR(J535="",J535="No"),", receipt","")&amp;IF(K535="",", photo",""),3,100))</f>
        <v/>
      </c>
      <c r="R535" s="13">
        <f>IF(AND(B535="",C535=""),"",IF(C535="","Needs the item",IF(B535="","Needs a room",IF(COUNTIF(Rooms!$B$6:$B$35,B535)=0,"Not on Rooms",IF(AND(H535&lt;&gt;"",NOT(ISNUMBER(H535))),"Paid not a number",IF(AND(I535&lt;&gt;"",NOT(ISNUMBER(I535))),"Worth not a number",IF(AND(G535&lt;&gt;"",NOT(ISNUMBER(G535))),"Bought is not a date",IF(AND(L535&lt;&gt;"",NOT(ISNUMBER(L535))),"Warranty is not a date",""))))))))</f>
        <v/>
      </c>
      <c r="S535" s="1">
        <f>IF(AND(C535&lt;&gt;"",R535=""),1,0)</f>
        <v/>
      </c>
      <c r="T535">
        <f>IF(S535=1,N(N535),0)</f>
        <v/>
      </c>
      <c r="U535">
        <f>IF(AND(S535=1,T535&gt;0),ROUND(T535*100,0)*10000+10000-ROW(),"")</f>
        <v/>
      </c>
      <c r="V535">
        <f>IF(AND(S535=1,OR(Report!$C$5="",B535=Report!$C$5)),MATCH(B535,Rooms!$B$6:$B$35,0)*10000+ROW(),"")</f>
        <v/>
      </c>
      <c r="W535">
        <f>IF(AND(S535=1,OR(J535="",J535="No")),1,0)</f>
        <v/>
      </c>
      <c r="X535">
        <f>IF(AND(S535=1,K535=""),1,0)</f>
        <v/>
      </c>
      <c r="Y535">
        <f>IF(AND(S535=1,Q535&lt;&gt;""),ROUND(T535*100,0)*10000+10000-ROW(),"")</f>
        <v/>
      </c>
    </row>
    <row r="536">
      <c r="A536" s="1" t="n"/>
      <c r="B536" s="17" t="n"/>
      <c r="C536" s="18" t="n"/>
      <c r="D536" s="17" t="n"/>
      <c r="E536" s="19" t="n"/>
      <c r="F536" s="19" t="n"/>
      <c r="G536" s="20" t="n"/>
      <c r="H536" s="21" t="n"/>
      <c r="I536" s="21" t="n"/>
      <c r="J536" s="17" t="n"/>
      <c r="K536" s="19" t="n"/>
      <c r="L536" s="20" t="n"/>
      <c r="M536" s="19" t="n"/>
      <c r="N536" s="22">
        <f>IF(C536="","",IF(ISNUMBER(I536),I536,IF(ISNUMBER(H536),H536,"")))</f>
        <v/>
      </c>
      <c r="O536" s="23">
        <f>IF(OR(C536="",NOT(ISNUMBER(G536))),"",(TODAY()-INT(G536))/365.25)</f>
        <v/>
      </c>
      <c r="P536" s="13">
        <f>IF(OR(C536="",NOT(ISNUMBER(L536))),"",IF(L536&lt;TODAY(),"Ended",IF(L536-TODAY()&lt;=N(Settings!$C$10),"Ends soon","Covered")))</f>
        <v/>
      </c>
      <c r="Q536" s="13">
        <f>IF(C536="","",MID(IF(N536="",", value","")&amp;IF(OR(J536="",J536="No"),", receipt","")&amp;IF(K536="",", photo",""),3,100))</f>
        <v/>
      </c>
      <c r="R536" s="13">
        <f>IF(AND(B536="",C536=""),"",IF(C536="","Needs the item",IF(B536="","Needs a room",IF(COUNTIF(Rooms!$B$6:$B$35,B536)=0,"Not on Rooms",IF(AND(H536&lt;&gt;"",NOT(ISNUMBER(H536))),"Paid not a number",IF(AND(I536&lt;&gt;"",NOT(ISNUMBER(I536))),"Worth not a number",IF(AND(G536&lt;&gt;"",NOT(ISNUMBER(G536))),"Bought is not a date",IF(AND(L536&lt;&gt;"",NOT(ISNUMBER(L536))),"Warranty is not a date",""))))))))</f>
        <v/>
      </c>
      <c r="S536" s="1">
        <f>IF(AND(C536&lt;&gt;"",R536=""),1,0)</f>
        <v/>
      </c>
      <c r="T536">
        <f>IF(S536=1,N(N536),0)</f>
        <v/>
      </c>
      <c r="U536">
        <f>IF(AND(S536=1,T536&gt;0),ROUND(T536*100,0)*10000+10000-ROW(),"")</f>
        <v/>
      </c>
      <c r="V536">
        <f>IF(AND(S536=1,OR(Report!$C$5="",B536=Report!$C$5)),MATCH(B536,Rooms!$B$6:$B$35,0)*10000+ROW(),"")</f>
        <v/>
      </c>
      <c r="W536">
        <f>IF(AND(S536=1,OR(J536="",J536="No")),1,0)</f>
        <v/>
      </c>
      <c r="X536">
        <f>IF(AND(S536=1,K536=""),1,0)</f>
        <v/>
      </c>
      <c r="Y536">
        <f>IF(AND(S536=1,Q536&lt;&gt;""),ROUND(T536*100,0)*10000+10000-ROW(),"")</f>
        <v/>
      </c>
    </row>
    <row r="537">
      <c r="A537" s="1" t="n"/>
      <c r="B537" s="17" t="n"/>
      <c r="C537" s="18" t="n"/>
      <c r="D537" s="17" t="n"/>
      <c r="E537" s="19" t="n"/>
      <c r="F537" s="19" t="n"/>
      <c r="G537" s="20" t="n"/>
      <c r="H537" s="21" t="n"/>
      <c r="I537" s="21" t="n"/>
      <c r="J537" s="17" t="n"/>
      <c r="K537" s="19" t="n"/>
      <c r="L537" s="20" t="n"/>
      <c r="M537" s="19" t="n"/>
      <c r="N537" s="22">
        <f>IF(C537="","",IF(ISNUMBER(I537),I537,IF(ISNUMBER(H537),H537,"")))</f>
        <v/>
      </c>
      <c r="O537" s="23">
        <f>IF(OR(C537="",NOT(ISNUMBER(G537))),"",(TODAY()-INT(G537))/365.25)</f>
        <v/>
      </c>
      <c r="P537" s="13">
        <f>IF(OR(C537="",NOT(ISNUMBER(L537))),"",IF(L537&lt;TODAY(),"Ended",IF(L537-TODAY()&lt;=N(Settings!$C$10),"Ends soon","Covered")))</f>
        <v/>
      </c>
      <c r="Q537" s="13">
        <f>IF(C537="","",MID(IF(N537="",", value","")&amp;IF(OR(J537="",J537="No"),", receipt","")&amp;IF(K537="",", photo",""),3,100))</f>
        <v/>
      </c>
      <c r="R537" s="13">
        <f>IF(AND(B537="",C537=""),"",IF(C537="","Needs the item",IF(B537="","Needs a room",IF(COUNTIF(Rooms!$B$6:$B$35,B537)=0,"Not on Rooms",IF(AND(H537&lt;&gt;"",NOT(ISNUMBER(H537))),"Paid not a number",IF(AND(I537&lt;&gt;"",NOT(ISNUMBER(I537))),"Worth not a number",IF(AND(G537&lt;&gt;"",NOT(ISNUMBER(G537))),"Bought is not a date",IF(AND(L537&lt;&gt;"",NOT(ISNUMBER(L537))),"Warranty is not a date",""))))))))</f>
        <v/>
      </c>
      <c r="S537" s="1">
        <f>IF(AND(C537&lt;&gt;"",R537=""),1,0)</f>
        <v/>
      </c>
      <c r="T537">
        <f>IF(S537=1,N(N537),0)</f>
        <v/>
      </c>
      <c r="U537">
        <f>IF(AND(S537=1,T537&gt;0),ROUND(T537*100,0)*10000+10000-ROW(),"")</f>
        <v/>
      </c>
      <c r="V537">
        <f>IF(AND(S537=1,OR(Report!$C$5="",B537=Report!$C$5)),MATCH(B537,Rooms!$B$6:$B$35,0)*10000+ROW(),"")</f>
        <v/>
      </c>
      <c r="W537">
        <f>IF(AND(S537=1,OR(J537="",J537="No")),1,0)</f>
        <v/>
      </c>
      <c r="X537">
        <f>IF(AND(S537=1,K537=""),1,0)</f>
        <v/>
      </c>
      <c r="Y537">
        <f>IF(AND(S537=1,Q537&lt;&gt;""),ROUND(T537*100,0)*10000+10000-ROW(),"")</f>
        <v/>
      </c>
    </row>
    <row r="538">
      <c r="A538" s="1" t="n"/>
      <c r="B538" s="17" t="n"/>
      <c r="C538" s="18" t="n"/>
      <c r="D538" s="17" t="n"/>
      <c r="E538" s="19" t="n"/>
      <c r="F538" s="19" t="n"/>
      <c r="G538" s="20" t="n"/>
      <c r="H538" s="21" t="n"/>
      <c r="I538" s="21" t="n"/>
      <c r="J538" s="17" t="n"/>
      <c r="K538" s="19" t="n"/>
      <c r="L538" s="20" t="n"/>
      <c r="M538" s="19" t="n"/>
      <c r="N538" s="22">
        <f>IF(C538="","",IF(ISNUMBER(I538),I538,IF(ISNUMBER(H538),H538,"")))</f>
        <v/>
      </c>
      <c r="O538" s="23">
        <f>IF(OR(C538="",NOT(ISNUMBER(G538))),"",(TODAY()-INT(G538))/365.25)</f>
        <v/>
      </c>
      <c r="P538" s="13">
        <f>IF(OR(C538="",NOT(ISNUMBER(L538))),"",IF(L538&lt;TODAY(),"Ended",IF(L538-TODAY()&lt;=N(Settings!$C$10),"Ends soon","Covered")))</f>
        <v/>
      </c>
      <c r="Q538" s="13">
        <f>IF(C538="","",MID(IF(N538="",", value","")&amp;IF(OR(J538="",J538="No"),", receipt","")&amp;IF(K538="",", photo",""),3,100))</f>
        <v/>
      </c>
      <c r="R538" s="13">
        <f>IF(AND(B538="",C538=""),"",IF(C538="","Needs the item",IF(B538="","Needs a room",IF(COUNTIF(Rooms!$B$6:$B$35,B538)=0,"Not on Rooms",IF(AND(H538&lt;&gt;"",NOT(ISNUMBER(H538))),"Paid not a number",IF(AND(I538&lt;&gt;"",NOT(ISNUMBER(I538))),"Worth not a number",IF(AND(G538&lt;&gt;"",NOT(ISNUMBER(G538))),"Bought is not a date",IF(AND(L538&lt;&gt;"",NOT(ISNUMBER(L538))),"Warranty is not a date",""))))))))</f>
        <v/>
      </c>
      <c r="S538" s="1">
        <f>IF(AND(C538&lt;&gt;"",R538=""),1,0)</f>
        <v/>
      </c>
      <c r="T538">
        <f>IF(S538=1,N(N538),0)</f>
        <v/>
      </c>
      <c r="U538">
        <f>IF(AND(S538=1,T538&gt;0),ROUND(T538*100,0)*10000+10000-ROW(),"")</f>
        <v/>
      </c>
      <c r="V538">
        <f>IF(AND(S538=1,OR(Report!$C$5="",B538=Report!$C$5)),MATCH(B538,Rooms!$B$6:$B$35,0)*10000+ROW(),"")</f>
        <v/>
      </c>
      <c r="W538">
        <f>IF(AND(S538=1,OR(J538="",J538="No")),1,0)</f>
        <v/>
      </c>
      <c r="X538">
        <f>IF(AND(S538=1,K538=""),1,0)</f>
        <v/>
      </c>
      <c r="Y538">
        <f>IF(AND(S538=1,Q538&lt;&gt;""),ROUND(T538*100,0)*10000+10000-ROW(),"")</f>
        <v/>
      </c>
    </row>
    <row r="539">
      <c r="A539" s="1" t="n"/>
      <c r="B539" s="17" t="n"/>
      <c r="C539" s="18" t="n"/>
      <c r="D539" s="17" t="n"/>
      <c r="E539" s="19" t="n"/>
      <c r="F539" s="19" t="n"/>
      <c r="G539" s="20" t="n"/>
      <c r="H539" s="21" t="n"/>
      <c r="I539" s="21" t="n"/>
      <c r="J539" s="17" t="n"/>
      <c r="K539" s="19" t="n"/>
      <c r="L539" s="20" t="n"/>
      <c r="M539" s="19" t="n"/>
      <c r="N539" s="22">
        <f>IF(C539="","",IF(ISNUMBER(I539),I539,IF(ISNUMBER(H539),H539,"")))</f>
        <v/>
      </c>
      <c r="O539" s="23">
        <f>IF(OR(C539="",NOT(ISNUMBER(G539))),"",(TODAY()-INT(G539))/365.25)</f>
        <v/>
      </c>
      <c r="P539" s="13">
        <f>IF(OR(C539="",NOT(ISNUMBER(L539))),"",IF(L539&lt;TODAY(),"Ended",IF(L539-TODAY()&lt;=N(Settings!$C$10),"Ends soon","Covered")))</f>
        <v/>
      </c>
      <c r="Q539" s="13">
        <f>IF(C539="","",MID(IF(N539="",", value","")&amp;IF(OR(J539="",J539="No"),", receipt","")&amp;IF(K539="",", photo",""),3,100))</f>
        <v/>
      </c>
      <c r="R539" s="13">
        <f>IF(AND(B539="",C539=""),"",IF(C539="","Needs the item",IF(B539="","Needs a room",IF(COUNTIF(Rooms!$B$6:$B$35,B539)=0,"Not on Rooms",IF(AND(H539&lt;&gt;"",NOT(ISNUMBER(H539))),"Paid not a number",IF(AND(I539&lt;&gt;"",NOT(ISNUMBER(I539))),"Worth not a number",IF(AND(G539&lt;&gt;"",NOT(ISNUMBER(G539))),"Bought is not a date",IF(AND(L539&lt;&gt;"",NOT(ISNUMBER(L539))),"Warranty is not a date",""))))))))</f>
        <v/>
      </c>
      <c r="S539" s="1">
        <f>IF(AND(C539&lt;&gt;"",R539=""),1,0)</f>
        <v/>
      </c>
      <c r="T539">
        <f>IF(S539=1,N(N539),0)</f>
        <v/>
      </c>
      <c r="U539">
        <f>IF(AND(S539=1,T539&gt;0),ROUND(T539*100,0)*10000+10000-ROW(),"")</f>
        <v/>
      </c>
      <c r="V539">
        <f>IF(AND(S539=1,OR(Report!$C$5="",B539=Report!$C$5)),MATCH(B539,Rooms!$B$6:$B$35,0)*10000+ROW(),"")</f>
        <v/>
      </c>
      <c r="W539">
        <f>IF(AND(S539=1,OR(J539="",J539="No")),1,0)</f>
        <v/>
      </c>
      <c r="X539">
        <f>IF(AND(S539=1,K539=""),1,0)</f>
        <v/>
      </c>
      <c r="Y539">
        <f>IF(AND(S539=1,Q539&lt;&gt;""),ROUND(T539*100,0)*10000+10000-ROW(),"")</f>
        <v/>
      </c>
    </row>
    <row r="540">
      <c r="A540" s="1" t="n"/>
      <c r="B540" s="17" t="n"/>
      <c r="C540" s="18" t="n"/>
      <c r="D540" s="17" t="n"/>
      <c r="E540" s="19" t="n"/>
      <c r="F540" s="19" t="n"/>
      <c r="G540" s="20" t="n"/>
      <c r="H540" s="21" t="n"/>
      <c r="I540" s="21" t="n"/>
      <c r="J540" s="17" t="n"/>
      <c r="K540" s="19" t="n"/>
      <c r="L540" s="20" t="n"/>
      <c r="M540" s="19" t="n"/>
      <c r="N540" s="22">
        <f>IF(C540="","",IF(ISNUMBER(I540),I540,IF(ISNUMBER(H540),H540,"")))</f>
        <v/>
      </c>
      <c r="O540" s="23">
        <f>IF(OR(C540="",NOT(ISNUMBER(G540))),"",(TODAY()-INT(G540))/365.25)</f>
        <v/>
      </c>
      <c r="P540" s="13">
        <f>IF(OR(C540="",NOT(ISNUMBER(L540))),"",IF(L540&lt;TODAY(),"Ended",IF(L540-TODAY()&lt;=N(Settings!$C$10),"Ends soon","Covered")))</f>
        <v/>
      </c>
      <c r="Q540" s="13">
        <f>IF(C540="","",MID(IF(N540="",", value","")&amp;IF(OR(J540="",J540="No"),", receipt","")&amp;IF(K540="",", photo",""),3,100))</f>
        <v/>
      </c>
      <c r="R540" s="13">
        <f>IF(AND(B540="",C540=""),"",IF(C540="","Needs the item",IF(B540="","Needs a room",IF(COUNTIF(Rooms!$B$6:$B$35,B540)=0,"Not on Rooms",IF(AND(H540&lt;&gt;"",NOT(ISNUMBER(H540))),"Paid not a number",IF(AND(I540&lt;&gt;"",NOT(ISNUMBER(I540))),"Worth not a number",IF(AND(G540&lt;&gt;"",NOT(ISNUMBER(G540))),"Bought is not a date",IF(AND(L540&lt;&gt;"",NOT(ISNUMBER(L540))),"Warranty is not a date",""))))))))</f>
        <v/>
      </c>
      <c r="S540" s="1">
        <f>IF(AND(C540&lt;&gt;"",R540=""),1,0)</f>
        <v/>
      </c>
      <c r="T540">
        <f>IF(S540=1,N(N540),0)</f>
        <v/>
      </c>
      <c r="U540">
        <f>IF(AND(S540=1,T540&gt;0),ROUND(T540*100,0)*10000+10000-ROW(),"")</f>
        <v/>
      </c>
      <c r="V540">
        <f>IF(AND(S540=1,OR(Report!$C$5="",B540=Report!$C$5)),MATCH(B540,Rooms!$B$6:$B$35,0)*10000+ROW(),"")</f>
        <v/>
      </c>
      <c r="W540">
        <f>IF(AND(S540=1,OR(J540="",J540="No")),1,0)</f>
        <v/>
      </c>
      <c r="X540">
        <f>IF(AND(S540=1,K540=""),1,0)</f>
        <v/>
      </c>
      <c r="Y540">
        <f>IF(AND(S540=1,Q540&lt;&gt;""),ROUND(T540*100,0)*10000+10000-ROW(),"")</f>
        <v/>
      </c>
    </row>
    <row r="541">
      <c r="A541" s="1" t="n"/>
      <c r="B541" s="17" t="n"/>
      <c r="C541" s="18" t="n"/>
      <c r="D541" s="17" t="n"/>
      <c r="E541" s="19" t="n"/>
      <c r="F541" s="19" t="n"/>
      <c r="G541" s="20" t="n"/>
      <c r="H541" s="21" t="n"/>
      <c r="I541" s="21" t="n"/>
      <c r="J541" s="17" t="n"/>
      <c r="K541" s="19" t="n"/>
      <c r="L541" s="20" t="n"/>
      <c r="M541" s="19" t="n"/>
      <c r="N541" s="22">
        <f>IF(C541="","",IF(ISNUMBER(I541),I541,IF(ISNUMBER(H541),H541,"")))</f>
        <v/>
      </c>
      <c r="O541" s="23">
        <f>IF(OR(C541="",NOT(ISNUMBER(G541))),"",(TODAY()-INT(G541))/365.25)</f>
        <v/>
      </c>
      <c r="P541" s="13">
        <f>IF(OR(C541="",NOT(ISNUMBER(L541))),"",IF(L541&lt;TODAY(),"Ended",IF(L541-TODAY()&lt;=N(Settings!$C$10),"Ends soon","Covered")))</f>
        <v/>
      </c>
      <c r="Q541" s="13">
        <f>IF(C541="","",MID(IF(N541="",", value","")&amp;IF(OR(J541="",J541="No"),", receipt","")&amp;IF(K541="",", photo",""),3,100))</f>
        <v/>
      </c>
      <c r="R541" s="13">
        <f>IF(AND(B541="",C541=""),"",IF(C541="","Needs the item",IF(B541="","Needs a room",IF(COUNTIF(Rooms!$B$6:$B$35,B541)=0,"Not on Rooms",IF(AND(H541&lt;&gt;"",NOT(ISNUMBER(H541))),"Paid not a number",IF(AND(I541&lt;&gt;"",NOT(ISNUMBER(I541))),"Worth not a number",IF(AND(G541&lt;&gt;"",NOT(ISNUMBER(G541))),"Bought is not a date",IF(AND(L541&lt;&gt;"",NOT(ISNUMBER(L541))),"Warranty is not a date",""))))))))</f>
        <v/>
      </c>
      <c r="S541" s="1">
        <f>IF(AND(C541&lt;&gt;"",R541=""),1,0)</f>
        <v/>
      </c>
      <c r="T541">
        <f>IF(S541=1,N(N541),0)</f>
        <v/>
      </c>
      <c r="U541">
        <f>IF(AND(S541=1,T541&gt;0),ROUND(T541*100,0)*10000+10000-ROW(),"")</f>
        <v/>
      </c>
      <c r="V541">
        <f>IF(AND(S541=1,OR(Report!$C$5="",B541=Report!$C$5)),MATCH(B541,Rooms!$B$6:$B$35,0)*10000+ROW(),"")</f>
        <v/>
      </c>
      <c r="W541">
        <f>IF(AND(S541=1,OR(J541="",J541="No")),1,0)</f>
        <v/>
      </c>
      <c r="X541">
        <f>IF(AND(S541=1,K541=""),1,0)</f>
        <v/>
      </c>
      <c r="Y541">
        <f>IF(AND(S541=1,Q541&lt;&gt;""),ROUND(T541*100,0)*10000+10000-ROW(),"")</f>
        <v/>
      </c>
    </row>
    <row r="542">
      <c r="A542" s="1" t="n"/>
      <c r="B542" s="17" t="n"/>
      <c r="C542" s="18" t="n"/>
      <c r="D542" s="17" t="n"/>
      <c r="E542" s="19" t="n"/>
      <c r="F542" s="19" t="n"/>
      <c r="G542" s="20" t="n"/>
      <c r="H542" s="21" t="n"/>
      <c r="I542" s="21" t="n"/>
      <c r="J542" s="17" t="n"/>
      <c r="K542" s="19" t="n"/>
      <c r="L542" s="20" t="n"/>
      <c r="M542" s="19" t="n"/>
      <c r="N542" s="22">
        <f>IF(C542="","",IF(ISNUMBER(I542),I542,IF(ISNUMBER(H542),H542,"")))</f>
        <v/>
      </c>
      <c r="O542" s="23">
        <f>IF(OR(C542="",NOT(ISNUMBER(G542))),"",(TODAY()-INT(G542))/365.25)</f>
        <v/>
      </c>
      <c r="P542" s="13">
        <f>IF(OR(C542="",NOT(ISNUMBER(L542))),"",IF(L542&lt;TODAY(),"Ended",IF(L542-TODAY()&lt;=N(Settings!$C$10),"Ends soon","Covered")))</f>
        <v/>
      </c>
      <c r="Q542" s="13">
        <f>IF(C542="","",MID(IF(N542="",", value","")&amp;IF(OR(J542="",J542="No"),", receipt","")&amp;IF(K542="",", photo",""),3,100))</f>
        <v/>
      </c>
      <c r="R542" s="13">
        <f>IF(AND(B542="",C542=""),"",IF(C542="","Needs the item",IF(B542="","Needs a room",IF(COUNTIF(Rooms!$B$6:$B$35,B542)=0,"Not on Rooms",IF(AND(H542&lt;&gt;"",NOT(ISNUMBER(H542))),"Paid not a number",IF(AND(I542&lt;&gt;"",NOT(ISNUMBER(I542))),"Worth not a number",IF(AND(G542&lt;&gt;"",NOT(ISNUMBER(G542))),"Bought is not a date",IF(AND(L542&lt;&gt;"",NOT(ISNUMBER(L542))),"Warranty is not a date",""))))))))</f>
        <v/>
      </c>
      <c r="S542" s="1">
        <f>IF(AND(C542&lt;&gt;"",R542=""),1,0)</f>
        <v/>
      </c>
      <c r="T542">
        <f>IF(S542=1,N(N542),0)</f>
        <v/>
      </c>
      <c r="U542">
        <f>IF(AND(S542=1,T542&gt;0),ROUND(T542*100,0)*10000+10000-ROW(),"")</f>
        <v/>
      </c>
      <c r="V542">
        <f>IF(AND(S542=1,OR(Report!$C$5="",B542=Report!$C$5)),MATCH(B542,Rooms!$B$6:$B$35,0)*10000+ROW(),"")</f>
        <v/>
      </c>
      <c r="W542">
        <f>IF(AND(S542=1,OR(J542="",J542="No")),1,0)</f>
        <v/>
      </c>
      <c r="X542">
        <f>IF(AND(S542=1,K542=""),1,0)</f>
        <v/>
      </c>
      <c r="Y542">
        <f>IF(AND(S542=1,Q542&lt;&gt;""),ROUND(T542*100,0)*10000+10000-ROW(),"")</f>
        <v/>
      </c>
    </row>
    <row r="543">
      <c r="A543" s="1" t="n"/>
      <c r="B543" s="17" t="n"/>
      <c r="C543" s="18" t="n"/>
      <c r="D543" s="17" t="n"/>
      <c r="E543" s="19" t="n"/>
      <c r="F543" s="19" t="n"/>
      <c r="G543" s="20" t="n"/>
      <c r="H543" s="21" t="n"/>
      <c r="I543" s="21" t="n"/>
      <c r="J543" s="17" t="n"/>
      <c r="K543" s="19" t="n"/>
      <c r="L543" s="20" t="n"/>
      <c r="M543" s="19" t="n"/>
      <c r="N543" s="22">
        <f>IF(C543="","",IF(ISNUMBER(I543),I543,IF(ISNUMBER(H543),H543,"")))</f>
        <v/>
      </c>
      <c r="O543" s="23">
        <f>IF(OR(C543="",NOT(ISNUMBER(G543))),"",(TODAY()-INT(G543))/365.25)</f>
        <v/>
      </c>
      <c r="P543" s="13">
        <f>IF(OR(C543="",NOT(ISNUMBER(L543))),"",IF(L543&lt;TODAY(),"Ended",IF(L543-TODAY()&lt;=N(Settings!$C$10),"Ends soon","Covered")))</f>
        <v/>
      </c>
      <c r="Q543" s="13">
        <f>IF(C543="","",MID(IF(N543="",", value","")&amp;IF(OR(J543="",J543="No"),", receipt","")&amp;IF(K543="",", photo",""),3,100))</f>
        <v/>
      </c>
      <c r="R543" s="13">
        <f>IF(AND(B543="",C543=""),"",IF(C543="","Needs the item",IF(B543="","Needs a room",IF(COUNTIF(Rooms!$B$6:$B$35,B543)=0,"Not on Rooms",IF(AND(H543&lt;&gt;"",NOT(ISNUMBER(H543))),"Paid not a number",IF(AND(I543&lt;&gt;"",NOT(ISNUMBER(I543))),"Worth not a number",IF(AND(G543&lt;&gt;"",NOT(ISNUMBER(G543))),"Bought is not a date",IF(AND(L543&lt;&gt;"",NOT(ISNUMBER(L543))),"Warranty is not a date",""))))))))</f>
        <v/>
      </c>
      <c r="S543" s="1">
        <f>IF(AND(C543&lt;&gt;"",R543=""),1,0)</f>
        <v/>
      </c>
      <c r="T543">
        <f>IF(S543=1,N(N543),0)</f>
        <v/>
      </c>
      <c r="U543">
        <f>IF(AND(S543=1,T543&gt;0),ROUND(T543*100,0)*10000+10000-ROW(),"")</f>
        <v/>
      </c>
      <c r="V543">
        <f>IF(AND(S543=1,OR(Report!$C$5="",B543=Report!$C$5)),MATCH(B543,Rooms!$B$6:$B$35,0)*10000+ROW(),"")</f>
        <v/>
      </c>
      <c r="W543">
        <f>IF(AND(S543=1,OR(J543="",J543="No")),1,0)</f>
        <v/>
      </c>
      <c r="X543">
        <f>IF(AND(S543=1,K543=""),1,0)</f>
        <v/>
      </c>
      <c r="Y543">
        <f>IF(AND(S543=1,Q543&lt;&gt;""),ROUND(T543*100,0)*10000+10000-ROW(),"")</f>
        <v/>
      </c>
    </row>
    <row r="544">
      <c r="A544" s="1" t="n"/>
      <c r="B544" s="17" t="n"/>
      <c r="C544" s="18" t="n"/>
      <c r="D544" s="17" t="n"/>
      <c r="E544" s="19" t="n"/>
      <c r="F544" s="19" t="n"/>
      <c r="G544" s="20" t="n"/>
      <c r="H544" s="21" t="n"/>
      <c r="I544" s="21" t="n"/>
      <c r="J544" s="17" t="n"/>
      <c r="K544" s="19" t="n"/>
      <c r="L544" s="20" t="n"/>
      <c r="M544" s="19" t="n"/>
      <c r="N544" s="22">
        <f>IF(C544="","",IF(ISNUMBER(I544),I544,IF(ISNUMBER(H544),H544,"")))</f>
        <v/>
      </c>
      <c r="O544" s="23">
        <f>IF(OR(C544="",NOT(ISNUMBER(G544))),"",(TODAY()-INT(G544))/365.25)</f>
        <v/>
      </c>
      <c r="P544" s="13">
        <f>IF(OR(C544="",NOT(ISNUMBER(L544))),"",IF(L544&lt;TODAY(),"Ended",IF(L544-TODAY()&lt;=N(Settings!$C$10),"Ends soon","Covered")))</f>
        <v/>
      </c>
      <c r="Q544" s="13">
        <f>IF(C544="","",MID(IF(N544="",", value","")&amp;IF(OR(J544="",J544="No"),", receipt","")&amp;IF(K544="",", photo",""),3,100))</f>
        <v/>
      </c>
      <c r="R544" s="13">
        <f>IF(AND(B544="",C544=""),"",IF(C544="","Needs the item",IF(B544="","Needs a room",IF(COUNTIF(Rooms!$B$6:$B$35,B544)=0,"Not on Rooms",IF(AND(H544&lt;&gt;"",NOT(ISNUMBER(H544))),"Paid not a number",IF(AND(I544&lt;&gt;"",NOT(ISNUMBER(I544))),"Worth not a number",IF(AND(G544&lt;&gt;"",NOT(ISNUMBER(G544))),"Bought is not a date",IF(AND(L544&lt;&gt;"",NOT(ISNUMBER(L544))),"Warranty is not a date",""))))))))</f>
        <v/>
      </c>
      <c r="S544" s="1">
        <f>IF(AND(C544&lt;&gt;"",R544=""),1,0)</f>
        <v/>
      </c>
      <c r="T544">
        <f>IF(S544=1,N(N544),0)</f>
        <v/>
      </c>
      <c r="U544">
        <f>IF(AND(S544=1,T544&gt;0),ROUND(T544*100,0)*10000+10000-ROW(),"")</f>
        <v/>
      </c>
      <c r="V544">
        <f>IF(AND(S544=1,OR(Report!$C$5="",B544=Report!$C$5)),MATCH(B544,Rooms!$B$6:$B$35,0)*10000+ROW(),"")</f>
        <v/>
      </c>
      <c r="W544">
        <f>IF(AND(S544=1,OR(J544="",J544="No")),1,0)</f>
        <v/>
      </c>
      <c r="X544">
        <f>IF(AND(S544=1,K544=""),1,0)</f>
        <v/>
      </c>
      <c r="Y544">
        <f>IF(AND(S544=1,Q544&lt;&gt;""),ROUND(T544*100,0)*10000+10000-ROW(),"")</f>
        <v/>
      </c>
    </row>
    <row r="545">
      <c r="A545" s="1" t="n"/>
      <c r="B545" s="17" t="n"/>
      <c r="C545" s="18" t="n"/>
      <c r="D545" s="17" t="n"/>
      <c r="E545" s="19" t="n"/>
      <c r="F545" s="19" t="n"/>
      <c r="G545" s="20" t="n"/>
      <c r="H545" s="21" t="n"/>
      <c r="I545" s="21" t="n"/>
      <c r="J545" s="17" t="n"/>
      <c r="K545" s="19" t="n"/>
      <c r="L545" s="20" t="n"/>
      <c r="M545" s="19" t="n"/>
      <c r="N545" s="22">
        <f>IF(C545="","",IF(ISNUMBER(I545),I545,IF(ISNUMBER(H545),H545,"")))</f>
        <v/>
      </c>
      <c r="O545" s="23">
        <f>IF(OR(C545="",NOT(ISNUMBER(G545))),"",(TODAY()-INT(G545))/365.25)</f>
        <v/>
      </c>
      <c r="P545" s="13">
        <f>IF(OR(C545="",NOT(ISNUMBER(L545))),"",IF(L545&lt;TODAY(),"Ended",IF(L545-TODAY()&lt;=N(Settings!$C$10),"Ends soon","Covered")))</f>
        <v/>
      </c>
      <c r="Q545" s="13">
        <f>IF(C545="","",MID(IF(N545="",", value","")&amp;IF(OR(J545="",J545="No"),", receipt","")&amp;IF(K545="",", photo",""),3,100))</f>
        <v/>
      </c>
      <c r="R545" s="13">
        <f>IF(AND(B545="",C545=""),"",IF(C545="","Needs the item",IF(B545="","Needs a room",IF(COUNTIF(Rooms!$B$6:$B$35,B545)=0,"Not on Rooms",IF(AND(H545&lt;&gt;"",NOT(ISNUMBER(H545))),"Paid not a number",IF(AND(I545&lt;&gt;"",NOT(ISNUMBER(I545))),"Worth not a number",IF(AND(G545&lt;&gt;"",NOT(ISNUMBER(G545))),"Bought is not a date",IF(AND(L545&lt;&gt;"",NOT(ISNUMBER(L545))),"Warranty is not a date",""))))))))</f>
        <v/>
      </c>
      <c r="S545" s="1">
        <f>IF(AND(C545&lt;&gt;"",R545=""),1,0)</f>
        <v/>
      </c>
      <c r="T545">
        <f>IF(S545=1,N(N545),0)</f>
        <v/>
      </c>
      <c r="U545">
        <f>IF(AND(S545=1,T545&gt;0),ROUND(T545*100,0)*10000+10000-ROW(),"")</f>
        <v/>
      </c>
      <c r="V545">
        <f>IF(AND(S545=1,OR(Report!$C$5="",B545=Report!$C$5)),MATCH(B545,Rooms!$B$6:$B$35,0)*10000+ROW(),"")</f>
        <v/>
      </c>
      <c r="W545">
        <f>IF(AND(S545=1,OR(J545="",J545="No")),1,0)</f>
        <v/>
      </c>
      <c r="X545">
        <f>IF(AND(S545=1,K545=""),1,0)</f>
        <v/>
      </c>
      <c r="Y545">
        <f>IF(AND(S545=1,Q545&lt;&gt;""),ROUND(T545*100,0)*10000+10000-ROW(),"")</f>
        <v/>
      </c>
    </row>
    <row r="546">
      <c r="A546" s="1" t="n"/>
      <c r="B546" s="17" t="n"/>
      <c r="C546" s="18" t="n"/>
      <c r="D546" s="17" t="n"/>
      <c r="E546" s="19" t="n"/>
      <c r="F546" s="19" t="n"/>
      <c r="G546" s="20" t="n"/>
      <c r="H546" s="21" t="n"/>
      <c r="I546" s="21" t="n"/>
      <c r="J546" s="17" t="n"/>
      <c r="K546" s="19" t="n"/>
      <c r="L546" s="20" t="n"/>
      <c r="M546" s="19" t="n"/>
      <c r="N546" s="22">
        <f>IF(C546="","",IF(ISNUMBER(I546),I546,IF(ISNUMBER(H546),H546,"")))</f>
        <v/>
      </c>
      <c r="O546" s="23">
        <f>IF(OR(C546="",NOT(ISNUMBER(G546))),"",(TODAY()-INT(G546))/365.25)</f>
        <v/>
      </c>
      <c r="P546" s="13">
        <f>IF(OR(C546="",NOT(ISNUMBER(L546))),"",IF(L546&lt;TODAY(),"Ended",IF(L546-TODAY()&lt;=N(Settings!$C$10),"Ends soon","Covered")))</f>
        <v/>
      </c>
      <c r="Q546" s="13">
        <f>IF(C546="","",MID(IF(N546="",", value","")&amp;IF(OR(J546="",J546="No"),", receipt","")&amp;IF(K546="",", photo",""),3,100))</f>
        <v/>
      </c>
      <c r="R546" s="13">
        <f>IF(AND(B546="",C546=""),"",IF(C546="","Needs the item",IF(B546="","Needs a room",IF(COUNTIF(Rooms!$B$6:$B$35,B546)=0,"Not on Rooms",IF(AND(H546&lt;&gt;"",NOT(ISNUMBER(H546))),"Paid not a number",IF(AND(I546&lt;&gt;"",NOT(ISNUMBER(I546))),"Worth not a number",IF(AND(G546&lt;&gt;"",NOT(ISNUMBER(G546))),"Bought is not a date",IF(AND(L546&lt;&gt;"",NOT(ISNUMBER(L546))),"Warranty is not a date",""))))))))</f>
        <v/>
      </c>
      <c r="S546" s="1">
        <f>IF(AND(C546&lt;&gt;"",R546=""),1,0)</f>
        <v/>
      </c>
      <c r="T546">
        <f>IF(S546=1,N(N546),0)</f>
        <v/>
      </c>
      <c r="U546">
        <f>IF(AND(S546=1,T546&gt;0),ROUND(T546*100,0)*10000+10000-ROW(),"")</f>
        <v/>
      </c>
      <c r="V546">
        <f>IF(AND(S546=1,OR(Report!$C$5="",B546=Report!$C$5)),MATCH(B546,Rooms!$B$6:$B$35,0)*10000+ROW(),"")</f>
        <v/>
      </c>
      <c r="W546">
        <f>IF(AND(S546=1,OR(J546="",J546="No")),1,0)</f>
        <v/>
      </c>
      <c r="X546">
        <f>IF(AND(S546=1,K546=""),1,0)</f>
        <v/>
      </c>
      <c r="Y546">
        <f>IF(AND(S546=1,Q546&lt;&gt;""),ROUND(T546*100,0)*10000+10000-ROW(),"")</f>
        <v/>
      </c>
    </row>
    <row r="547">
      <c r="A547" s="1" t="n"/>
      <c r="B547" s="17" t="n"/>
      <c r="C547" s="18" t="n"/>
      <c r="D547" s="17" t="n"/>
      <c r="E547" s="19" t="n"/>
      <c r="F547" s="19" t="n"/>
      <c r="G547" s="20" t="n"/>
      <c r="H547" s="21" t="n"/>
      <c r="I547" s="21" t="n"/>
      <c r="J547" s="17" t="n"/>
      <c r="K547" s="19" t="n"/>
      <c r="L547" s="20" t="n"/>
      <c r="M547" s="19" t="n"/>
      <c r="N547" s="22">
        <f>IF(C547="","",IF(ISNUMBER(I547),I547,IF(ISNUMBER(H547),H547,"")))</f>
        <v/>
      </c>
      <c r="O547" s="23">
        <f>IF(OR(C547="",NOT(ISNUMBER(G547))),"",(TODAY()-INT(G547))/365.25)</f>
        <v/>
      </c>
      <c r="P547" s="13">
        <f>IF(OR(C547="",NOT(ISNUMBER(L547))),"",IF(L547&lt;TODAY(),"Ended",IF(L547-TODAY()&lt;=N(Settings!$C$10),"Ends soon","Covered")))</f>
        <v/>
      </c>
      <c r="Q547" s="13">
        <f>IF(C547="","",MID(IF(N547="",", value","")&amp;IF(OR(J547="",J547="No"),", receipt","")&amp;IF(K547="",", photo",""),3,100))</f>
        <v/>
      </c>
      <c r="R547" s="13">
        <f>IF(AND(B547="",C547=""),"",IF(C547="","Needs the item",IF(B547="","Needs a room",IF(COUNTIF(Rooms!$B$6:$B$35,B547)=0,"Not on Rooms",IF(AND(H547&lt;&gt;"",NOT(ISNUMBER(H547))),"Paid not a number",IF(AND(I547&lt;&gt;"",NOT(ISNUMBER(I547))),"Worth not a number",IF(AND(G547&lt;&gt;"",NOT(ISNUMBER(G547))),"Bought is not a date",IF(AND(L547&lt;&gt;"",NOT(ISNUMBER(L547))),"Warranty is not a date",""))))))))</f>
        <v/>
      </c>
      <c r="S547" s="1">
        <f>IF(AND(C547&lt;&gt;"",R547=""),1,0)</f>
        <v/>
      </c>
      <c r="T547">
        <f>IF(S547=1,N(N547),0)</f>
        <v/>
      </c>
      <c r="U547">
        <f>IF(AND(S547=1,T547&gt;0),ROUND(T547*100,0)*10000+10000-ROW(),"")</f>
        <v/>
      </c>
      <c r="V547">
        <f>IF(AND(S547=1,OR(Report!$C$5="",B547=Report!$C$5)),MATCH(B547,Rooms!$B$6:$B$35,0)*10000+ROW(),"")</f>
        <v/>
      </c>
      <c r="W547">
        <f>IF(AND(S547=1,OR(J547="",J547="No")),1,0)</f>
        <v/>
      </c>
      <c r="X547">
        <f>IF(AND(S547=1,K547=""),1,0)</f>
        <v/>
      </c>
      <c r="Y547">
        <f>IF(AND(S547=1,Q547&lt;&gt;""),ROUND(T547*100,0)*10000+10000-ROW(),"")</f>
        <v/>
      </c>
    </row>
    <row r="548">
      <c r="A548" s="1" t="n"/>
      <c r="B548" s="17" t="n"/>
      <c r="C548" s="18" t="n"/>
      <c r="D548" s="17" t="n"/>
      <c r="E548" s="19" t="n"/>
      <c r="F548" s="19" t="n"/>
      <c r="G548" s="20" t="n"/>
      <c r="H548" s="21" t="n"/>
      <c r="I548" s="21" t="n"/>
      <c r="J548" s="17" t="n"/>
      <c r="K548" s="19" t="n"/>
      <c r="L548" s="20" t="n"/>
      <c r="M548" s="19" t="n"/>
      <c r="N548" s="22">
        <f>IF(C548="","",IF(ISNUMBER(I548),I548,IF(ISNUMBER(H548),H548,"")))</f>
        <v/>
      </c>
      <c r="O548" s="23">
        <f>IF(OR(C548="",NOT(ISNUMBER(G548))),"",(TODAY()-INT(G548))/365.25)</f>
        <v/>
      </c>
      <c r="P548" s="13">
        <f>IF(OR(C548="",NOT(ISNUMBER(L548))),"",IF(L548&lt;TODAY(),"Ended",IF(L548-TODAY()&lt;=N(Settings!$C$10),"Ends soon","Covered")))</f>
        <v/>
      </c>
      <c r="Q548" s="13">
        <f>IF(C548="","",MID(IF(N548="",", value","")&amp;IF(OR(J548="",J548="No"),", receipt","")&amp;IF(K548="",", photo",""),3,100))</f>
        <v/>
      </c>
      <c r="R548" s="13">
        <f>IF(AND(B548="",C548=""),"",IF(C548="","Needs the item",IF(B548="","Needs a room",IF(COUNTIF(Rooms!$B$6:$B$35,B548)=0,"Not on Rooms",IF(AND(H548&lt;&gt;"",NOT(ISNUMBER(H548))),"Paid not a number",IF(AND(I548&lt;&gt;"",NOT(ISNUMBER(I548))),"Worth not a number",IF(AND(G548&lt;&gt;"",NOT(ISNUMBER(G548))),"Bought is not a date",IF(AND(L548&lt;&gt;"",NOT(ISNUMBER(L548))),"Warranty is not a date",""))))))))</f>
        <v/>
      </c>
      <c r="S548" s="1">
        <f>IF(AND(C548&lt;&gt;"",R548=""),1,0)</f>
        <v/>
      </c>
      <c r="T548">
        <f>IF(S548=1,N(N548),0)</f>
        <v/>
      </c>
      <c r="U548">
        <f>IF(AND(S548=1,T548&gt;0),ROUND(T548*100,0)*10000+10000-ROW(),"")</f>
        <v/>
      </c>
      <c r="V548">
        <f>IF(AND(S548=1,OR(Report!$C$5="",B548=Report!$C$5)),MATCH(B548,Rooms!$B$6:$B$35,0)*10000+ROW(),"")</f>
        <v/>
      </c>
      <c r="W548">
        <f>IF(AND(S548=1,OR(J548="",J548="No")),1,0)</f>
        <v/>
      </c>
      <c r="X548">
        <f>IF(AND(S548=1,K548=""),1,0)</f>
        <v/>
      </c>
      <c r="Y548">
        <f>IF(AND(S548=1,Q548&lt;&gt;""),ROUND(T548*100,0)*10000+10000-ROW(),"")</f>
        <v/>
      </c>
    </row>
    <row r="549">
      <c r="A549" s="1" t="n"/>
      <c r="B549" s="17" t="n"/>
      <c r="C549" s="18" t="n"/>
      <c r="D549" s="17" t="n"/>
      <c r="E549" s="19" t="n"/>
      <c r="F549" s="19" t="n"/>
      <c r="G549" s="20" t="n"/>
      <c r="H549" s="21" t="n"/>
      <c r="I549" s="21" t="n"/>
      <c r="J549" s="17" t="n"/>
      <c r="K549" s="19" t="n"/>
      <c r="L549" s="20" t="n"/>
      <c r="M549" s="19" t="n"/>
      <c r="N549" s="22">
        <f>IF(C549="","",IF(ISNUMBER(I549),I549,IF(ISNUMBER(H549),H549,"")))</f>
        <v/>
      </c>
      <c r="O549" s="23">
        <f>IF(OR(C549="",NOT(ISNUMBER(G549))),"",(TODAY()-INT(G549))/365.25)</f>
        <v/>
      </c>
      <c r="P549" s="13">
        <f>IF(OR(C549="",NOT(ISNUMBER(L549))),"",IF(L549&lt;TODAY(),"Ended",IF(L549-TODAY()&lt;=N(Settings!$C$10),"Ends soon","Covered")))</f>
        <v/>
      </c>
      <c r="Q549" s="13">
        <f>IF(C549="","",MID(IF(N549="",", value","")&amp;IF(OR(J549="",J549="No"),", receipt","")&amp;IF(K549="",", photo",""),3,100))</f>
        <v/>
      </c>
      <c r="R549" s="13">
        <f>IF(AND(B549="",C549=""),"",IF(C549="","Needs the item",IF(B549="","Needs a room",IF(COUNTIF(Rooms!$B$6:$B$35,B549)=0,"Not on Rooms",IF(AND(H549&lt;&gt;"",NOT(ISNUMBER(H549))),"Paid not a number",IF(AND(I549&lt;&gt;"",NOT(ISNUMBER(I549))),"Worth not a number",IF(AND(G549&lt;&gt;"",NOT(ISNUMBER(G549))),"Bought is not a date",IF(AND(L549&lt;&gt;"",NOT(ISNUMBER(L549))),"Warranty is not a date",""))))))))</f>
        <v/>
      </c>
      <c r="S549" s="1">
        <f>IF(AND(C549&lt;&gt;"",R549=""),1,0)</f>
        <v/>
      </c>
      <c r="T549">
        <f>IF(S549=1,N(N549),0)</f>
        <v/>
      </c>
      <c r="U549">
        <f>IF(AND(S549=1,T549&gt;0),ROUND(T549*100,0)*10000+10000-ROW(),"")</f>
        <v/>
      </c>
      <c r="V549">
        <f>IF(AND(S549=1,OR(Report!$C$5="",B549=Report!$C$5)),MATCH(B549,Rooms!$B$6:$B$35,0)*10000+ROW(),"")</f>
        <v/>
      </c>
      <c r="W549">
        <f>IF(AND(S549=1,OR(J549="",J549="No")),1,0)</f>
        <v/>
      </c>
      <c r="X549">
        <f>IF(AND(S549=1,K549=""),1,0)</f>
        <v/>
      </c>
      <c r="Y549">
        <f>IF(AND(S549=1,Q549&lt;&gt;""),ROUND(T549*100,0)*10000+10000-ROW(),"")</f>
        <v/>
      </c>
    </row>
    <row r="550">
      <c r="A550" s="1" t="n"/>
      <c r="B550" s="17" t="n"/>
      <c r="C550" s="18" t="n"/>
      <c r="D550" s="17" t="n"/>
      <c r="E550" s="19" t="n"/>
      <c r="F550" s="19" t="n"/>
      <c r="G550" s="20" t="n"/>
      <c r="H550" s="21" t="n"/>
      <c r="I550" s="21" t="n"/>
      <c r="J550" s="17" t="n"/>
      <c r="K550" s="19" t="n"/>
      <c r="L550" s="20" t="n"/>
      <c r="M550" s="19" t="n"/>
      <c r="N550" s="22">
        <f>IF(C550="","",IF(ISNUMBER(I550),I550,IF(ISNUMBER(H550),H550,"")))</f>
        <v/>
      </c>
      <c r="O550" s="23">
        <f>IF(OR(C550="",NOT(ISNUMBER(G550))),"",(TODAY()-INT(G550))/365.25)</f>
        <v/>
      </c>
      <c r="P550" s="13">
        <f>IF(OR(C550="",NOT(ISNUMBER(L550))),"",IF(L550&lt;TODAY(),"Ended",IF(L550-TODAY()&lt;=N(Settings!$C$10),"Ends soon","Covered")))</f>
        <v/>
      </c>
      <c r="Q550" s="13">
        <f>IF(C550="","",MID(IF(N550="",", value","")&amp;IF(OR(J550="",J550="No"),", receipt","")&amp;IF(K550="",", photo",""),3,100))</f>
        <v/>
      </c>
      <c r="R550" s="13">
        <f>IF(AND(B550="",C550=""),"",IF(C550="","Needs the item",IF(B550="","Needs a room",IF(COUNTIF(Rooms!$B$6:$B$35,B550)=0,"Not on Rooms",IF(AND(H550&lt;&gt;"",NOT(ISNUMBER(H550))),"Paid not a number",IF(AND(I550&lt;&gt;"",NOT(ISNUMBER(I550))),"Worth not a number",IF(AND(G550&lt;&gt;"",NOT(ISNUMBER(G550))),"Bought is not a date",IF(AND(L550&lt;&gt;"",NOT(ISNUMBER(L550))),"Warranty is not a date",""))))))))</f>
        <v/>
      </c>
      <c r="S550" s="1">
        <f>IF(AND(C550&lt;&gt;"",R550=""),1,0)</f>
        <v/>
      </c>
      <c r="T550">
        <f>IF(S550=1,N(N550),0)</f>
        <v/>
      </c>
      <c r="U550">
        <f>IF(AND(S550=1,T550&gt;0),ROUND(T550*100,0)*10000+10000-ROW(),"")</f>
        <v/>
      </c>
      <c r="V550">
        <f>IF(AND(S550=1,OR(Report!$C$5="",B550=Report!$C$5)),MATCH(B550,Rooms!$B$6:$B$35,0)*10000+ROW(),"")</f>
        <v/>
      </c>
      <c r="W550">
        <f>IF(AND(S550=1,OR(J550="",J550="No")),1,0)</f>
        <v/>
      </c>
      <c r="X550">
        <f>IF(AND(S550=1,K550=""),1,0)</f>
        <v/>
      </c>
      <c r="Y550">
        <f>IF(AND(S550=1,Q550&lt;&gt;""),ROUND(T550*100,0)*10000+10000-ROW(),"")</f>
        <v/>
      </c>
    </row>
    <row r="551">
      <c r="A551" s="1" t="n"/>
      <c r="B551" s="17" t="n"/>
      <c r="C551" s="18" t="n"/>
      <c r="D551" s="17" t="n"/>
      <c r="E551" s="19" t="n"/>
      <c r="F551" s="19" t="n"/>
      <c r="G551" s="20" t="n"/>
      <c r="H551" s="21" t="n"/>
      <c r="I551" s="21" t="n"/>
      <c r="J551" s="17" t="n"/>
      <c r="K551" s="19" t="n"/>
      <c r="L551" s="20" t="n"/>
      <c r="M551" s="19" t="n"/>
      <c r="N551" s="22">
        <f>IF(C551="","",IF(ISNUMBER(I551),I551,IF(ISNUMBER(H551),H551,"")))</f>
        <v/>
      </c>
      <c r="O551" s="23">
        <f>IF(OR(C551="",NOT(ISNUMBER(G551))),"",(TODAY()-INT(G551))/365.25)</f>
        <v/>
      </c>
      <c r="P551" s="13">
        <f>IF(OR(C551="",NOT(ISNUMBER(L551))),"",IF(L551&lt;TODAY(),"Ended",IF(L551-TODAY()&lt;=N(Settings!$C$10),"Ends soon","Covered")))</f>
        <v/>
      </c>
      <c r="Q551" s="13">
        <f>IF(C551="","",MID(IF(N551="",", value","")&amp;IF(OR(J551="",J551="No"),", receipt","")&amp;IF(K551="",", photo",""),3,100))</f>
        <v/>
      </c>
      <c r="R551" s="13">
        <f>IF(AND(B551="",C551=""),"",IF(C551="","Needs the item",IF(B551="","Needs a room",IF(COUNTIF(Rooms!$B$6:$B$35,B551)=0,"Not on Rooms",IF(AND(H551&lt;&gt;"",NOT(ISNUMBER(H551))),"Paid not a number",IF(AND(I551&lt;&gt;"",NOT(ISNUMBER(I551))),"Worth not a number",IF(AND(G551&lt;&gt;"",NOT(ISNUMBER(G551))),"Bought is not a date",IF(AND(L551&lt;&gt;"",NOT(ISNUMBER(L551))),"Warranty is not a date",""))))))))</f>
        <v/>
      </c>
      <c r="S551" s="1">
        <f>IF(AND(C551&lt;&gt;"",R551=""),1,0)</f>
        <v/>
      </c>
      <c r="T551">
        <f>IF(S551=1,N(N551),0)</f>
        <v/>
      </c>
      <c r="U551">
        <f>IF(AND(S551=1,T551&gt;0),ROUND(T551*100,0)*10000+10000-ROW(),"")</f>
        <v/>
      </c>
      <c r="V551">
        <f>IF(AND(S551=1,OR(Report!$C$5="",B551=Report!$C$5)),MATCH(B551,Rooms!$B$6:$B$35,0)*10000+ROW(),"")</f>
        <v/>
      </c>
      <c r="W551">
        <f>IF(AND(S551=1,OR(J551="",J551="No")),1,0)</f>
        <v/>
      </c>
      <c r="X551">
        <f>IF(AND(S551=1,K551=""),1,0)</f>
        <v/>
      </c>
      <c r="Y551">
        <f>IF(AND(S551=1,Q551&lt;&gt;""),ROUND(T551*100,0)*10000+10000-ROW(),"")</f>
        <v/>
      </c>
    </row>
    <row r="552">
      <c r="A552" s="1" t="n"/>
      <c r="B552" s="17" t="n"/>
      <c r="C552" s="18" t="n"/>
      <c r="D552" s="17" t="n"/>
      <c r="E552" s="19" t="n"/>
      <c r="F552" s="19" t="n"/>
      <c r="G552" s="20" t="n"/>
      <c r="H552" s="21" t="n"/>
      <c r="I552" s="21" t="n"/>
      <c r="J552" s="17" t="n"/>
      <c r="K552" s="19" t="n"/>
      <c r="L552" s="20" t="n"/>
      <c r="M552" s="19" t="n"/>
      <c r="N552" s="22">
        <f>IF(C552="","",IF(ISNUMBER(I552),I552,IF(ISNUMBER(H552),H552,"")))</f>
        <v/>
      </c>
      <c r="O552" s="23">
        <f>IF(OR(C552="",NOT(ISNUMBER(G552))),"",(TODAY()-INT(G552))/365.25)</f>
        <v/>
      </c>
      <c r="P552" s="13">
        <f>IF(OR(C552="",NOT(ISNUMBER(L552))),"",IF(L552&lt;TODAY(),"Ended",IF(L552-TODAY()&lt;=N(Settings!$C$10),"Ends soon","Covered")))</f>
        <v/>
      </c>
      <c r="Q552" s="13">
        <f>IF(C552="","",MID(IF(N552="",", value","")&amp;IF(OR(J552="",J552="No"),", receipt","")&amp;IF(K552="",", photo",""),3,100))</f>
        <v/>
      </c>
      <c r="R552" s="13">
        <f>IF(AND(B552="",C552=""),"",IF(C552="","Needs the item",IF(B552="","Needs a room",IF(COUNTIF(Rooms!$B$6:$B$35,B552)=0,"Not on Rooms",IF(AND(H552&lt;&gt;"",NOT(ISNUMBER(H552))),"Paid not a number",IF(AND(I552&lt;&gt;"",NOT(ISNUMBER(I552))),"Worth not a number",IF(AND(G552&lt;&gt;"",NOT(ISNUMBER(G552))),"Bought is not a date",IF(AND(L552&lt;&gt;"",NOT(ISNUMBER(L552))),"Warranty is not a date",""))))))))</f>
        <v/>
      </c>
      <c r="S552" s="1">
        <f>IF(AND(C552&lt;&gt;"",R552=""),1,0)</f>
        <v/>
      </c>
      <c r="T552">
        <f>IF(S552=1,N(N552),0)</f>
        <v/>
      </c>
      <c r="U552">
        <f>IF(AND(S552=1,T552&gt;0),ROUND(T552*100,0)*10000+10000-ROW(),"")</f>
        <v/>
      </c>
      <c r="V552">
        <f>IF(AND(S552=1,OR(Report!$C$5="",B552=Report!$C$5)),MATCH(B552,Rooms!$B$6:$B$35,0)*10000+ROW(),"")</f>
        <v/>
      </c>
      <c r="W552">
        <f>IF(AND(S552=1,OR(J552="",J552="No")),1,0)</f>
        <v/>
      </c>
      <c r="X552">
        <f>IF(AND(S552=1,K552=""),1,0)</f>
        <v/>
      </c>
      <c r="Y552">
        <f>IF(AND(S552=1,Q552&lt;&gt;""),ROUND(T552*100,0)*10000+10000-ROW(),"")</f>
        <v/>
      </c>
    </row>
    <row r="553">
      <c r="A553" s="1" t="n"/>
      <c r="B553" s="17" t="n"/>
      <c r="C553" s="18" t="n"/>
      <c r="D553" s="17" t="n"/>
      <c r="E553" s="19" t="n"/>
      <c r="F553" s="19" t="n"/>
      <c r="G553" s="20" t="n"/>
      <c r="H553" s="21" t="n"/>
      <c r="I553" s="21" t="n"/>
      <c r="J553" s="17" t="n"/>
      <c r="K553" s="19" t="n"/>
      <c r="L553" s="20" t="n"/>
      <c r="M553" s="19" t="n"/>
      <c r="N553" s="22">
        <f>IF(C553="","",IF(ISNUMBER(I553),I553,IF(ISNUMBER(H553),H553,"")))</f>
        <v/>
      </c>
      <c r="O553" s="23">
        <f>IF(OR(C553="",NOT(ISNUMBER(G553))),"",(TODAY()-INT(G553))/365.25)</f>
        <v/>
      </c>
      <c r="P553" s="13">
        <f>IF(OR(C553="",NOT(ISNUMBER(L553))),"",IF(L553&lt;TODAY(),"Ended",IF(L553-TODAY()&lt;=N(Settings!$C$10),"Ends soon","Covered")))</f>
        <v/>
      </c>
      <c r="Q553" s="13">
        <f>IF(C553="","",MID(IF(N553="",", value","")&amp;IF(OR(J553="",J553="No"),", receipt","")&amp;IF(K553="",", photo",""),3,100))</f>
        <v/>
      </c>
      <c r="R553" s="13">
        <f>IF(AND(B553="",C553=""),"",IF(C553="","Needs the item",IF(B553="","Needs a room",IF(COUNTIF(Rooms!$B$6:$B$35,B553)=0,"Not on Rooms",IF(AND(H553&lt;&gt;"",NOT(ISNUMBER(H553))),"Paid not a number",IF(AND(I553&lt;&gt;"",NOT(ISNUMBER(I553))),"Worth not a number",IF(AND(G553&lt;&gt;"",NOT(ISNUMBER(G553))),"Bought is not a date",IF(AND(L553&lt;&gt;"",NOT(ISNUMBER(L553))),"Warranty is not a date",""))))))))</f>
        <v/>
      </c>
      <c r="S553" s="1">
        <f>IF(AND(C553&lt;&gt;"",R553=""),1,0)</f>
        <v/>
      </c>
      <c r="T553">
        <f>IF(S553=1,N(N553),0)</f>
        <v/>
      </c>
      <c r="U553">
        <f>IF(AND(S553=1,T553&gt;0),ROUND(T553*100,0)*10000+10000-ROW(),"")</f>
        <v/>
      </c>
      <c r="V553">
        <f>IF(AND(S553=1,OR(Report!$C$5="",B553=Report!$C$5)),MATCH(B553,Rooms!$B$6:$B$35,0)*10000+ROW(),"")</f>
        <v/>
      </c>
      <c r="W553">
        <f>IF(AND(S553=1,OR(J553="",J553="No")),1,0)</f>
        <v/>
      </c>
      <c r="X553">
        <f>IF(AND(S553=1,K553=""),1,0)</f>
        <v/>
      </c>
      <c r="Y553">
        <f>IF(AND(S553=1,Q553&lt;&gt;""),ROUND(T553*100,0)*10000+10000-ROW(),"")</f>
        <v/>
      </c>
    </row>
    <row r="554">
      <c r="A554" s="1" t="n"/>
      <c r="B554" s="17" t="n"/>
      <c r="C554" s="18" t="n"/>
      <c r="D554" s="17" t="n"/>
      <c r="E554" s="19" t="n"/>
      <c r="F554" s="19" t="n"/>
      <c r="G554" s="20" t="n"/>
      <c r="H554" s="21" t="n"/>
      <c r="I554" s="21" t="n"/>
      <c r="J554" s="17" t="n"/>
      <c r="K554" s="19" t="n"/>
      <c r="L554" s="20" t="n"/>
      <c r="M554" s="19" t="n"/>
      <c r="N554" s="22">
        <f>IF(C554="","",IF(ISNUMBER(I554),I554,IF(ISNUMBER(H554),H554,"")))</f>
        <v/>
      </c>
      <c r="O554" s="23">
        <f>IF(OR(C554="",NOT(ISNUMBER(G554))),"",(TODAY()-INT(G554))/365.25)</f>
        <v/>
      </c>
      <c r="P554" s="13">
        <f>IF(OR(C554="",NOT(ISNUMBER(L554))),"",IF(L554&lt;TODAY(),"Ended",IF(L554-TODAY()&lt;=N(Settings!$C$10),"Ends soon","Covered")))</f>
        <v/>
      </c>
      <c r="Q554" s="13">
        <f>IF(C554="","",MID(IF(N554="",", value","")&amp;IF(OR(J554="",J554="No"),", receipt","")&amp;IF(K554="",", photo",""),3,100))</f>
        <v/>
      </c>
      <c r="R554" s="13">
        <f>IF(AND(B554="",C554=""),"",IF(C554="","Needs the item",IF(B554="","Needs a room",IF(COUNTIF(Rooms!$B$6:$B$35,B554)=0,"Not on Rooms",IF(AND(H554&lt;&gt;"",NOT(ISNUMBER(H554))),"Paid not a number",IF(AND(I554&lt;&gt;"",NOT(ISNUMBER(I554))),"Worth not a number",IF(AND(G554&lt;&gt;"",NOT(ISNUMBER(G554))),"Bought is not a date",IF(AND(L554&lt;&gt;"",NOT(ISNUMBER(L554))),"Warranty is not a date",""))))))))</f>
        <v/>
      </c>
      <c r="S554" s="1">
        <f>IF(AND(C554&lt;&gt;"",R554=""),1,0)</f>
        <v/>
      </c>
      <c r="T554">
        <f>IF(S554=1,N(N554),0)</f>
        <v/>
      </c>
      <c r="U554">
        <f>IF(AND(S554=1,T554&gt;0),ROUND(T554*100,0)*10000+10000-ROW(),"")</f>
        <v/>
      </c>
      <c r="V554">
        <f>IF(AND(S554=1,OR(Report!$C$5="",B554=Report!$C$5)),MATCH(B554,Rooms!$B$6:$B$35,0)*10000+ROW(),"")</f>
        <v/>
      </c>
      <c r="W554">
        <f>IF(AND(S554=1,OR(J554="",J554="No")),1,0)</f>
        <v/>
      </c>
      <c r="X554">
        <f>IF(AND(S554=1,K554=""),1,0)</f>
        <v/>
      </c>
      <c r="Y554">
        <f>IF(AND(S554=1,Q554&lt;&gt;""),ROUND(T554*100,0)*10000+10000-ROW(),"")</f>
        <v/>
      </c>
    </row>
    <row r="555">
      <c r="A555" s="1" t="n"/>
      <c r="B555" s="17" t="n"/>
      <c r="C555" s="18" t="n"/>
      <c r="D555" s="17" t="n"/>
      <c r="E555" s="19" t="n"/>
      <c r="F555" s="19" t="n"/>
      <c r="G555" s="20" t="n"/>
      <c r="H555" s="21" t="n"/>
      <c r="I555" s="21" t="n"/>
      <c r="J555" s="17" t="n"/>
      <c r="K555" s="19" t="n"/>
      <c r="L555" s="20" t="n"/>
      <c r="M555" s="19" t="n"/>
      <c r="N555" s="22">
        <f>IF(C555="","",IF(ISNUMBER(I555),I555,IF(ISNUMBER(H555),H555,"")))</f>
        <v/>
      </c>
      <c r="O555" s="23">
        <f>IF(OR(C555="",NOT(ISNUMBER(G555))),"",(TODAY()-INT(G555))/365.25)</f>
        <v/>
      </c>
      <c r="P555" s="13">
        <f>IF(OR(C555="",NOT(ISNUMBER(L555))),"",IF(L555&lt;TODAY(),"Ended",IF(L555-TODAY()&lt;=N(Settings!$C$10),"Ends soon","Covered")))</f>
        <v/>
      </c>
      <c r="Q555" s="13">
        <f>IF(C555="","",MID(IF(N555="",", value","")&amp;IF(OR(J555="",J555="No"),", receipt","")&amp;IF(K555="",", photo",""),3,100))</f>
        <v/>
      </c>
      <c r="R555" s="13">
        <f>IF(AND(B555="",C555=""),"",IF(C555="","Needs the item",IF(B555="","Needs a room",IF(COUNTIF(Rooms!$B$6:$B$35,B555)=0,"Not on Rooms",IF(AND(H555&lt;&gt;"",NOT(ISNUMBER(H555))),"Paid not a number",IF(AND(I555&lt;&gt;"",NOT(ISNUMBER(I555))),"Worth not a number",IF(AND(G555&lt;&gt;"",NOT(ISNUMBER(G555))),"Bought is not a date",IF(AND(L555&lt;&gt;"",NOT(ISNUMBER(L555))),"Warranty is not a date",""))))))))</f>
        <v/>
      </c>
      <c r="S555" s="1">
        <f>IF(AND(C555&lt;&gt;"",R555=""),1,0)</f>
        <v/>
      </c>
      <c r="T555">
        <f>IF(S555=1,N(N555),0)</f>
        <v/>
      </c>
      <c r="U555">
        <f>IF(AND(S555=1,T555&gt;0),ROUND(T555*100,0)*10000+10000-ROW(),"")</f>
        <v/>
      </c>
      <c r="V555">
        <f>IF(AND(S555=1,OR(Report!$C$5="",B555=Report!$C$5)),MATCH(B555,Rooms!$B$6:$B$35,0)*10000+ROW(),"")</f>
        <v/>
      </c>
      <c r="W555">
        <f>IF(AND(S555=1,OR(J555="",J555="No")),1,0)</f>
        <v/>
      </c>
      <c r="X555">
        <f>IF(AND(S555=1,K555=""),1,0)</f>
        <v/>
      </c>
      <c r="Y555">
        <f>IF(AND(S555=1,Q555&lt;&gt;""),ROUND(T555*100,0)*10000+10000-ROW(),"")</f>
        <v/>
      </c>
    </row>
    <row r="556">
      <c r="A556" s="1" t="n"/>
      <c r="B556" s="17" t="n"/>
      <c r="C556" s="18" t="n"/>
      <c r="D556" s="17" t="n"/>
      <c r="E556" s="19" t="n"/>
      <c r="F556" s="19" t="n"/>
      <c r="G556" s="20" t="n"/>
      <c r="H556" s="21" t="n"/>
      <c r="I556" s="21" t="n"/>
      <c r="J556" s="17" t="n"/>
      <c r="K556" s="19" t="n"/>
      <c r="L556" s="20" t="n"/>
      <c r="M556" s="19" t="n"/>
      <c r="N556" s="22">
        <f>IF(C556="","",IF(ISNUMBER(I556),I556,IF(ISNUMBER(H556),H556,"")))</f>
        <v/>
      </c>
      <c r="O556" s="23">
        <f>IF(OR(C556="",NOT(ISNUMBER(G556))),"",(TODAY()-INT(G556))/365.25)</f>
        <v/>
      </c>
      <c r="P556" s="13">
        <f>IF(OR(C556="",NOT(ISNUMBER(L556))),"",IF(L556&lt;TODAY(),"Ended",IF(L556-TODAY()&lt;=N(Settings!$C$10),"Ends soon","Covered")))</f>
        <v/>
      </c>
      <c r="Q556" s="13">
        <f>IF(C556="","",MID(IF(N556="",", value","")&amp;IF(OR(J556="",J556="No"),", receipt","")&amp;IF(K556="",", photo",""),3,100))</f>
        <v/>
      </c>
      <c r="R556" s="13">
        <f>IF(AND(B556="",C556=""),"",IF(C556="","Needs the item",IF(B556="","Needs a room",IF(COUNTIF(Rooms!$B$6:$B$35,B556)=0,"Not on Rooms",IF(AND(H556&lt;&gt;"",NOT(ISNUMBER(H556))),"Paid not a number",IF(AND(I556&lt;&gt;"",NOT(ISNUMBER(I556))),"Worth not a number",IF(AND(G556&lt;&gt;"",NOT(ISNUMBER(G556))),"Bought is not a date",IF(AND(L556&lt;&gt;"",NOT(ISNUMBER(L556))),"Warranty is not a date",""))))))))</f>
        <v/>
      </c>
      <c r="S556" s="1">
        <f>IF(AND(C556&lt;&gt;"",R556=""),1,0)</f>
        <v/>
      </c>
      <c r="T556">
        <f>IF(S556=1,N(N556),0)</f>
        <v/>
      </c>
      <c r="U556">
        <f>IF(AND(S556=1,T556&gt;0),ROUND(T556*100,0)*10000+10000-ROW(),"")</f>
        <v/>
      </c>
      <c r="V556">
        <f>IF(AND(S556=1,OR(Report!$C$5="",B556=Report!$C$5)),MATCH(B556,Rooms!$B$6:$B$35,0)*10000+ROW(),"")</f>
        <v/>
      </c>
      <c r="W556">
        <f>IF(AND(S556=1,OR(J556="",J556="No")),1,0)</f>
        <v/>
      </c>
      <c r="X556">
        <f>IF(AND(S556=1,K556=""),1,0)</f>
        <v/>
      </c>
      <c r="Y556">
        <f>IF(AND(S556=1,Q556&lt;&gt;""),ROUND(T556*100,0)*10000+10000-ROW(),"")</f>
        <v/>
      </c>
    </row>
    <row r="557">
      <c r="A557" s="1" t="n"/>
      <c r="B557" s="17" t="n"/>
      <c r="C557" s="18" t="n"/>
      <c r="D557" s="17" t="n"/>
      <c r="E557" s="19" t="n"/>
      <c r="F557" s="19" t="n"/>
      <c r="G557" s="20" t="n"/>
      <c r="H557" s="21" t="n"/>
      <c r="I557" s="21" t="n"/>
      <c r="J557" s="17" t="n"/>
      <c r="K557" s="19" t="n"/>
      <c r="L557" s="20" t="n"/>
      <c r="M557" s="19" t="n"/>
      <c r="N557" s="22">
        <f>IF(C557="","",IF(ISNUMBER(I557),I557,IF(ISNUMBER(H557),H557,"")))</f>
        <v/>
      </c>
      <c r="O557" s="23">
        <f>IF(OR(C557="",NOT(ISNUMBER(G557))),"",(TODAY()-INT(G557))/365.25)</f>
        <v/>
      </c>
      <c r="P557" s="13">
        <f>IF(OR(C557="",NOT(ISNUMBER(L557))),"",IF(L557&lt;TODAY(),"Ended",IF(L557-TODAY()&lt;=N(Settings!$C$10),"Ends soon","Covered")))</f>
        <v/>
      </c>
      <c r="Q557" s="13">
        <f>IF(C557="","",MID(IF(N557="",", value","")&amp;IF(OR(J557="",J557="No"),", receipt","")&amp;IF(K557="",", photo",""),3,100))</f>
        <v/>
      </c>
      <c r="R557" s="13">
        <f>IF(AND(B557="",C557=""),"",IF(C557="","Needs the item",IF(B557="","Needs a room",IF(COUNTIF(Rooms!$B$6:$B$35,B557)=0,"Not on Rooms",IF(AND(H557&lt;&gt;"",NOT(ISNUMBER(H557))),"Paid not a number",IF(AND(I557&lt;&gt;"",NOT(ISNUMBER(I557))),"Worth not a number",IF(AND(G557&lt;&gt;"",NOT(ISNUMBER(G557))),"Bought is not a date",IF(AND(L557&lt;&gt;"",NOT(ISNUMBER(L557))),"Warranty is not a date",""))))))))</f>
        <v/>
      </c>
      <c r="S557" s="1">
        <f>IF(AND(C557&lt;&gt;"",R557=""),1,0)</f>
        <v/>
      </c>
      <c r="T557">
        <f>IF(S557=1,N(N557),0)</f>
        <v/>
      </c>
      <c r="U557">
        <f>IF(AND(S557=1,T557&gt;0),ROUND(T557*100,0)*10000+10000-ROW(),"")</f>
        <v/>
      </c>
      <c r="V557">
        <f>IF(AND(S557=1,OR(Report!$C$5="",B557=Report!$C$5)),MATCH(B557,Rooms!$B$6:$B$35,0)*10000+ROW(),"")</f>
        <v/>
      </c>
      <c r="W557">
        <f>IF(AND(S557=1,OR(J557="",J557="No")),1,0)</f>
        <v/>
      </c>
      <c r="X557">
        <f>IF(AND(S557=1,K557=""),1,0)</f>
        <v/>
      </c>
      <c r="Y557">
        <f>IF(AND(S557=1,Q557&lt;&gt;""),ROUND(T557*100,0)*10000+10000-ROW(),"")</f>
        <v/>
      </c>
    </row>
    <row r="558">
      <c r="A558" s="1" t="n"/>
      <c r="B558" s="17" t="n"/>
      <c r="C558" s="18" t="n"/>
      <c r="D558" s="17" t="n"/>
      <c r="E558" s="19" t="n"/>
      <c r="F558" s="19" t="n"/>
      <c r="G558" s="20" t="n"/>
      <c r="H558" s="21" t="n"/>
      <c r="I558" s="21" t="n"/>
      <c r="J558" s="17" t="n"/>
      <c r="K558" s="19" t="n"/>
      <c r="L558" s="20" t="n"/>
      <c r="M558" s="19" t="n"/>
      <c r="N558" s="22">
        <f>IF(C558="","",IF(ISNUMBER(I558),I558,IF(ISNUMBER(H558),H558,"")))</f>
        <v/>
      </c>
      <c r="O558" s="23">
        <f>IF(OR(C558="",NOT(ISNUMBER(G558))),"",(TODAY()-INT(G558))/365.25)</f>
        <v/>
      </c>
      <c r="P558" s="13">
        <f>IF(OR(C558="",NOT(ISNUMBER(L558))),"",IF(L558&lt;TODAY(),"Ended",IF(L558-TODAY()&lt;=N(Settings!$C$10),"Ends soon","Covered")))</f>
        <v/>
      </c>
      <c r="Q558" s="13">
        <f>IF(C558="","",MID(IF(N558="",", value","")&amp;IF(OR(J558="",J558="No"),", receipt","")&amp;IF(K558="",", photo",""),3,100))</f>
        <v/>
      </c>
      <c r="R558" s="13">
        <f>IF(AND(B558="",C558=""),"",IF(C558="","Needs the item",IF(B558="","Needs a room",IF(COUNTIF(Rooms!$B$6:$B$35,B558)=0,"Not on Rooms",IF(AND(H558&lt;&gt;"",NOT(ISNUMBER(H558))),"Paid not a number",IF(AND(I558&lt;&gt;"",NOT(ISNUMBER(I558))),"Worth not a number",IF(AND(G558&lt;&gt;"",NOT(ISNUMBER(G558))),"Bought is not a date",IF(AND(L558&lt;&gt;"",NOT(ISNUMBER(L558))),"Warranty is not a date",""))))))))</f>
        <v/>
      </c>
      <c r="S558" s="1">
        <f>IF(AND(C558&lt;&gt;"",R558=""),1,0)</f>
        <v/>
      </c>
      <c r="T558">
        <f>IF(S558=1,N(N558),0)</f>
        <v/>
      </c>
      <c r="U558">
        <f>IF(AND(S558=1,T558&gt;0),ROUND(T558*100,0)*10000+10000-ROW(),"")</f>
        <v/>
      </c>
      <c r="V558">
        <f>IF(AND(S558=1,OR(Report!$C$5="",B558=Report!$C$5)),MATCH(B558,Rooms!$B$6:$B$35,0)*10000+ROW(),"")</f>
        <v/>
      </c>
      <c r="W558">
        <f>IF(AND(S558=1,OR(J558="",J558="No")),1,0)</f>
        <v/>
      </c>
      <c r="X558">
        <f>IF(AND(S558=1,K558=""),1,0)</f>
        <v/>
      </c>
      <c r="Y558">
        <f>IF(AND(S558=1,Q558&lt;&gt;""),ROUND(T558*100,0)*10000+10000-ROW(),"")</f>
        <v/>
      </c>
    </row>
    <row r="559">
      <c r="A559" s="1" t="n"/>
      <c r="B559" s="17" t="n"/>
      <c r="C559" s="18" t="n"/>
      <c r="D559" s="17" t="n"/>
      <c r="E559" s="19" t="n"/>
      <c r="F559" s="19" t="n"/>
      <c r="G559" s="20" t="n"/>
      <c r="H559" s="21" t="n"/>
      <c r="I559" s="21" t="n"/>
      <c r="J559" s="17" t="n"/>
      <c r="K559" s="19" t="n"/>
      <c r="L559" s="20" t="n"/>
      <c r="M559" s="19" t="n"/>
      <c r="N559" s="22">
        <f>IF(C559="","",IF(ISNUMBER(I559),I559,IF(ISNUMBER(H559),H559,"")))</f>
        <v/>
      </c>
      <c r="O559" s="23">
        <f>IF(OR(C559="",NOT(ISNUMBER(G559))),"",(TODAY()-INT(G559))/365.25)</f>
        <v/>
      </c>
      <c r="P559" s="13">
        <f>IF(OR(C559="",NOT(ISNUMBER(L559))),"",IF(L559&lt;TODAY(),"Ended",IF(L559-TODAY()&lt;=N(Settings!$C$10),"Ends soon","Covered")))</f>
        <v/>
      </c>
      <c r="Q559" s="13">
        <f>IF(C559="","",MID(IF(N559="",", value","")&amp;IF(OR(J559="",J559="No"),", receipt","")&amp;IF(K559="",", photo",""),3,100))</f>
        <v/>
      </c>
      <c r="R559" s="13">
        <f>IF(AND(B559="",C559=""),"",IF(C559="","Needs the item",IF(B559="","Needs a room",IF(COUNTIF(Rooms!$B$6:$B$35,B559)=0,"Not on Rooms",IF(AND(H559&lt;&gt;"",NOT(ISNUMBER(H559))),"Paid not a number",IF(AND(I559&lt;&gt;"",NOT(ISNUMBER(I559))),"Worth not a number",IF(AND(G559&lt;&gt;"",NOT(ISNUMBER(G559))),"Bought is not a date",IF(AND(L559&lt;&gt;"",NOT(ISNUMBER(L559))),"Warranty is not a date",""))))))))</f>
        <v/>
      </c>
      <c r="S559" s="1">
        <f>IF(AND(C559&lt;&gt;"",R559=""),1,0)</f>
        <v/>
      </c>
      <c r="T559">
        <f>IF(S559=1,N(N559),0)</f>
        <v/>
      </c>
      <c r="U559">
        <f>IF(AND(S559=1,T559&gt;0),ROUND(T559*100,0)*10000+10000-ROW(),"")</f>
        <v/>
      </c>
      <c r="V559">
        <f>IF(AND(S559=1,OR(Report!$C$5="",B559=Report!$C$5)),MATCH(B559,Rooms!$B$6:$B$35,0)*10000+ROW(),"")</f>
        <v/>
      </c>
      <c r="W559">
        <f>IF(AND(S559=1,OR(J559="",J559="No")),1,0)</f>
        <v/>
      </c>
      <c r="X559">
        <f>IF(AND(S559=1,K559=""),1,0)</f>
        <v/>
      </c>
      <c r="Y559">
        <f>IF(AND(S559=1,Q559&lt;&gt;""),ROUND(T559*100,0)*10000+10000-ROW(),"")</f>
        <v/>
      </c>
    </row>
    <row r="560">
      <c r="A560" s="1" t="n"/>
      <c r="B560" s="17" t="n"/>
      <c r="C560" s="18" t="n"/>
      <c r="D560" s="17" t="n"/>
      <c r="E560" s="19" t="n"/>
      <c r="F560" s="19" t="n"/>
      <c r="G560" s="20" t="n"/>
      <c r="H560" s="21" t="n"/>
      <c r="I560" s="21" t="n"/>
      <c r="J560" s="17" t="n"/>
      <c r="K560" s="19" t="n"/>
      <c r="L560" s="20" t="n"/>
      <c r="M560" s="19" t="n"/>
      <c r="N560" s="22">
        <f>IF(C560="","",IF(ISNUMBER(I560),I560,IF(ISNUMBER(H560),H560,"")))</f>
        <v/>
      </c>
      <c r="O560" s="23">
        <f>IF(OR(C560="",NOT(ISNUMBER(G560))),"",(TODAY()-INT(G560))/365.25)</f>
        <v/>
      </c>
      <c r="P560" s="13">
        <f>IF(OR(C560="",NOT(ISNUMBER(L560))),"",IF(L560&lt;TODAY(),"Ended",IF(L560-TODAY()&lt;=N(Settings!$C$10),"Ends soon","Covered")))</f>
        <v/>
      </c>
      <c r="Q560" s="13">
        <f>IF(C560="","",MID(IF(N560="",", value","")&amp;IF(OR(J560="",J560="No"),", receipt","")&amp;IF(K560="",", photo",""),3,100))</f>
        <v/>
      </c>
      <c r="R560" s="13">
        <f>IF(AND(B560="",C560=""),"",IF(C560="","Needs the item",IF(B560="","Needs a room",IF(COUNTIF(Rooms!$B$6:$B$35,B560)=0,"Not on Rooms",IF(AND(H560&lt;&gt;"",NOT(ISNUMBER(H560))),"Paid not a number",IF(AND(I560&lt;&gt;"",NOT(ISNUMBER(I560))),"Worth not a number",IF(AND(G560&lt;&gt;"",NOT(ISNUMBER(G560))),"Bought is not a date",IF(AND(L560&lt;&gt;"",NOT(ISNUMBER(L560))),"Warranty is not a date",""))))))))</f>
        <v/>
      </c>
      <c r="S560" s="1">
        <f>IF(AND(C560&lt;&gt;"",R560=""),1,0)</f>
        <v/>
      </c>
      <c r="T560">
        <f>IF(S560=1,N(N560),0)</f>
        <v/>
      </c>
      <c r="U560">
        <f>IF(AND(S560=1,T560&gt;0),ROUND(T560*100,0)*10000+10000-ROW(),"")</f>
        <v/>
      </c>
      <c r="V560">
        <f>IF(AND(S560=1,OR(Report!$C$5="",B560=Report!$C$5)),MATCH(B560,Rooms!$B$6:$B$35,0)*10000+ROW(),"")</f>
        <v/>
      </c>
      <c r="W560">
        <f>IF(AND(S560=1,OR(J560="",J560="No")),1,0)</f>
        <v/>
      </c>
      <c r="X560">
        <f>IF(AND(S560=1,K560=""),1,0)</f>
        <v/>
      </c>
      <c r="Y560">
        <f>IF(AND(S560=1,Q560&lt;&gt;""),ROUND(T560*100,0)*10000+10000-ROW(),"")</f>
        <v/>
      </c>
    </row>
    <row r="561">
      <c r="A561" s="1" t="n"/>
      <c r="B561" s="17" t="n"/>
      <c r="C561" s="18" t="n"/>
      <c r="D561" s="17" t="n"/>
      <c r="E561" s="19" t="n"/>
      <c r="F561" s="19" t="n"/>
      <c r="G561" s="20" t="n"/>
      <c r="H561" s="21" t="n"/>
      <c r="I561" s="21" t="n"/>
      <c r="J561" s="17" t="n"/>
      <c r="K561" s="19" t="n"/>
      <c r="L561" s="20" t="n"/>
      <c r="M561" s="19" t="n"/>
      <c r="N561" s="22">
        <f>IF(C561="","",IF(ISNUMBER(I561),I561,IF(ISNUMBER(H561),H561,"")))</f>
        <v/>
      </c>
      <c r="O561" s="23">
        <f>IF(OR(C561="",NOT(ISNUMBER(G561))),"",(TODAY()-INT(G561))/365.25)</f>
        <v/>
      </c>
      <c r="P561" s="13">
        <f>IF(OR(C561="",NOT(ISNUMBER(L561))),"",IF(L561&lt;TODAY(),"Ended",IF(L561-TODAY()&lt;=N(Settings!$C$10),"Ends soon","Covered")))</f>
        <v/>
      </c>
      <c r="Q561" s="13">
        <f>IF(C561="","",MID(IF(N561="",", value","")&amp;IF(OR(J561="",J561="No"),", receipt","")&amp;IF(K561="",", photo",""),3,100))</f>
        <v/>
      </c>
      <c r="R561" s="13">
        <f>IF(AND(B561="",C561=""),"",IF(C561="","Needs the item",IF(B561="","Needs a room",IF(COUNTIF(Rooms!$B$6:$B$35,B561)=0,"Not on Rooms",IF(AND(H561&lt;&gt;"",NOT(ISNUMBER(H561))),"Paid not a number",IF(AND(I561&lt;&gt;"",NOT(ISNUMBER(I561))),"Worth not a number",IF(AND(G561&lt;&gt;"",NOT(ISNUMBER(G561))),"Bought is not a date",IF(AND(L561&lt;&gt;"",NOT(ISNUMBER(L561))),"Warranty is not a date",""))))))))</f>
        <v/>
      </c>
      <c r="S561" s="1">
        <f>IF(AND(C561&lt;&gt;"",R561=""),1,0)</f>
        <v/>
      </c>
      <c r="T561">
        <f>IF(S561=1,N(N561),0)</f>
        <v/>
      </c>
      <c r="U561">
        <f>IF(AND(S561=1,T561&gt;0),ROUND(T561*100,0)*10000+10000-ROW(),"")</f>
        <v/>
      </c>
      <c r="V561">
        <f>IF(AND(S561=1,OR(Report!$C$5="",B561=Report!$C$5)),MATCH(B561,Rooms!$B$6:$B$35,0)*10000+ROW(),"")</f>
        <v/>
      </c>
      <c r="W561">
        <f>IF(AND(S561=1,OR(J561="",J561="No")),1,0)</f>
        <v/>
      </c>
      <c r="X561">
        <f>IF(AND(S561=1,K561=""),1,0)</f>
        <v/>
      </c>
      <c r="Y561">
        <f>IF(AND(S561=1,Q561&lt;&gt;""),ROUND(T561*100,0)*10000+10000-ROW(),"")</f>
        <v/>
      </c>
    </row>
    <row r="562">
      <c r="A562" s="1" t="n"/>
      <c r="B562" s="17" t="n"/>
      <c r="C562" s="18" t="n"/>
      <c r="D562" s="17" t="n"/>
      <c r="E562" s="19" t="n"/>
      <c r="F562" s="19" t="n"/>
      <c r="G562" s="20" t="n"/>
      <c r="H562" s="21" t="n"/>
      <c r="I562" s="21" t="n"/>
      <c r="J562" s="17" t="n"/>
      <c r="K562" s="19" t="n"/>
      <c r="L562" s="20" t="n"/>
      <c r="M562" s="19" t="n"/>
      <c r="N562" s="22">
        <f>IF(C562="","",IF(ISNUMBER(I562),I562,IF(ISNUMBER(H562),H562,"")))</f>
        <v/>
      </c>
      <c r="O562" s="23">
        <f>IF(OR(C562="",NOT(ISNUMBER(G562))),"",(TODAY()-INT(G562))/365.25)</f>
        <v/>
      </c>
      <c r="P562" s="13">
        <f>IF(OR(C562="",NOT(ISNUMBER(L562))),"",IF(L562&lt;TODAY(),"Ended",IF(L562-TODAY()&lt;=N(Settings!$C$10),"Ends soon","Covered")))</f>
        <v/>
      </c>
      <c r="Q562" s="13">
        <f>IF(C562="","",MID(IF(N562="",", value","")&amp;IF(OR(J562="",J562="No"),", receipt","")&amp;IF(K562="",", photo",""),3,100))</f>
        <v/>
      </c>
      <c r="R562" s="13">
        <f>IF(AND(B562="",C562=""),"",IF(C562="","Needs the item",IF(B562="","Needs a room",IF(COUNTIF(Rooms!$B$6:$B$35,B562)=0,"Not on Rooms",IF(AND(H562&lt;&gt;"",NOT(ISNUMBER(H562))),"Paid not a number",IF(AND(I562&lt;&gt;"",NOT(ISNUMBER(I562))),"Worth not a number",IF(AND(G562&lt;&gt;"",NOT(ISNUMBER(G562))),"Bought is not a date",IF(AND(L562&lt;&gt;"",NOT(ISNUMBER(L562))),"Warranty is not a date",""))))))))</f>
        <v/>
      </c>
      <c r="S562" s="1">
        <f>IF(AND(C562&lt;&gt;"",R562=""),1,0)</f>
        <v/>
      </c>
      <c r="T562">
        <f>IF(S562=1,N(N562),0)</f>
        <v/>
      </c>
      <c r="U562">
        <f>IF(AND(S562=1,T562&gt;0),ROUND(T562*100,0)*10000+10000-ROW(),"")</f>
        <v/>
      </c>
      <c r="V562">
        <f>IF(AND(S562=1,OR(Report!$C$5="",B562=Report!$C$5)),MATCH(B562,Rooms!$B$6:$B$35,0)*10000+ROW(),"")</f>
        <v/>
      </c>
      <c r="W562">
        <f>IF(AND(S562=1,OR(J562="",J562="No")),1,0)</f>
        <v/>
      </c>
      <c r="X562">
        <f>IF(AND(S562=1,K562=""),1,0)</f>
        <v/>
      </c>
      <c r="Y562">
        <f>IF(AND(S562=1,Q562&lt;&gt;""),ROUND(T562*100,0)*10000+10000-ROW(),"")</f>
        <v/>
      </c>
    </row>
    <row r="563">
      <c r="A563" s="1" t="n"/>
      <c r="B563" s="17" t="n"/>
      <c r="C563" s="18" t="n"/>
      <c r="D563" s="17" t="n"/>
      <c r="E563" s="19" t="n"/>
      <c r="F563" s="19" t="n"/>
      <c r="G563" s="20" t="n"/>
      <c r="H563" s="21" t="n"/>
      <c r="I563" s="21" t="n"/>
      <c r="J563" s="17" t="n"/>
      <c r="K563" s="19" t="n"/>
      <c r="L563" s="20" t="n"/>
      <c r="M563" s="19" t="n"/>
      <c r="N563" s="22">
        <f>IF(C563="","",IF(ISNUMBER(I563),I563,IF(ISNUMBER(H563),H563,"")))</f>
        <v/>
      </c>
      <c r="O563" s="23">
        <f>IF(OR(C563="",NOT(ISNUMBER(G563))),"",(TODAY()-INT(G563))/365.25)</f>
        <v/>
      </c>
      <c r="P563" s="13">
        <f>IF(OR(C563="",NOT(ISNUMBER(L563))),"",IF(L563&lt;TODAY(),"Ended",IF(L563-TODAY()&lt;=N(Settings!$C$10),"Ends soon","Covered")))</f>
        <v/>
      </c>
      <c r="Q563" s="13">
        <f>IF(C563="","",MID(IF(N563="",", value","")&amp;IF(OR(J563="",J563="No"),", receipt","")&amp;IF(K563="",", photo",""),3,100))</f>
        <v/>
      </c>
      <c r="R563" s="13">
        <f>IF(AND(B563="",C563=""),"",IF(C563="","Needs the item",IF(B563="","Needs a room",IF(COUNTIF(Rooms!$B$6:$B$35,B563)=0,"Not on Rooms",IF(AND(H563&lt;&gt;"",NOT(ISNUMBER(H563))),"Paid not a number",IF(AND(I563&lt;&gt;"",NOT(ISNUMBER(I563))),"Worth not a number",IF(AND(G563&lt;&gt;"",NOT(ISNUMBER(G563))),"Bought is not a date",IF(AND(L563&lt;&gt;"",NOT(ISNUMBER(L563))),"Warranty is not a date",""))))))))</f>
        <v/>
      </c>
      <c r="S563" s="1">
        <f>IF(AND(C563&lt;&gt;"",R563=""),1,0)</f>
        <v/>
      </c>
      <c r="T563">
        <f>IF(S563=1,N(N563),0)</f>
        <v/>
      </c>
      <c r="U563">
        <f>IF(AND(S563=1,T563&gt;0),ROUND(T563*100,0)*10000+10000-ROW(),"")</f>
        <v/>
      </c>
      <c r="V563">
        <f>IF(AND(S563=1,OR(Report!$C$5="",B563=Report!$C$5)),MATCH(B563,Rooms!$B$6:$B$35,0)*10000+ROW(),"")</f>
        <v/>
      </c>
      <c r="W563">
        <f>IF(AND(S563=1,OR(J563="",J563="No")),1,0)</f>
        <v/>
      </c>
      <c r="X563">
        <f>IF(AND(S563=1,K563=""),1,0)</f>
        <v/>
      </c>
      <c r="Y563">
        <f>IF(AND(S563=1,Q563&lt;&gt;""),ROUND(T563*100,0)*10000+10000-ROW(),"")</f>
        <v/>
      </c>
    </row>
    <row r="564">
      <c r="A564" s="1" t="n"/>
      <c r="B564" s="17" t="n"/>
      <c r="C564" s="18" t="n"/>
      <c r="D564" s="17" t="n"/>
      <c r="E564" s="19" t="n"/>
      <c r="F564" s="19" t="n"/>
      <c r="G564" s="20" t="n"/>
      <c r="H564" s="21" t="n"/>
      <c r="I564" s="21" t="n"/>
      <c r="J564" s="17" t="n"/>
      <c r="K564" s="19" t="n"/>
      <c r="L564" s="20" t="n"/>
      <c r="M564" s="19" t="n"/>
      <c r="N564" s="22">
        <f>IF(C564="","",IF(ISNUMBER(I564),I564,IF(ISNUMBER(H564),H564,"")))</f>
        <v/>
      </c>
      <c r="O564" s="23">
        <f>IF(OR(C564="",NOT(ISNUMBER(G564))),"",(TODAY()-INT(G564))/365.25)</f>
        <v/>
      </c>
      <c r="P564" s="13">
        <f>IF(OR(C564="",NOT(ISNUMBER(L564))),"",IF(L564&lt;TODAY(),"Ended",IF(L564-TODAY()&lt;=N(Settings!$C$10),"Ends soon","Covered")))</f>
        <v/>
      </c>
      <c r="Q564" s="13">
        <f>IF(C564="","",MID(IF(N564="",", value","")&amp;IF(OR(J564="",J564="No"),", receipt","")&amp;IF(K564="",", photo",""),3,100))</f>
        <v/>
      </c>
      <c r="R564" s="13">
        <f>IF(AND(B564="",C564=""),"",IF(C564="","Needs the item",IF(B564="","Needs a room",IF(COUNTIF(Rooms!$B$6:$B$35,B564)=0,"Not on Rooms",IF(AND(H564&lt;&gt;"",NOT(ISNUMBER(H564))),"Paid not a number",IF(AND(I564&lt;&gt;"",NOT(ISNUMBER(I564))),"Worth not a number",IF(AND(G564&lt;&gt;"",NOT(ISNUMBER(G564))),"Bought is not a date",IF(AND(L564&lt;&gt;"",NOT(ISNUMBER(L564))),"Warranty is not a date",""))))))))</f>
        <v/>
      </c>
      <c r="S564" s="1">
        <f>IF(AND(C564&lt;&gt;"",R564=""),1,0)</f>
        <v/>
      </c>
      <c r="T564">
        <f>IF(S564=1,N(N564),0)</f>
        <v/>
      </c>
      <c r="U564">
        <f>IF(AND(S564=1,T564&gt;0),ROUND(T564*100,0)*10000+10000-ROW(),"")</f>
        <v/>
      </c>
      <c r="V564">
        <f>IF(AND(S564=1,OR(Report!$C$5="",B564=Report!$C$5)),MATCH(B564,Rooms!$B$6:$B$35,0)*10000+ROW(),"")</f>
        <v/>
      </c>
      <c r="W564">
        <f>IF(AND(S564=1,OR(J564="",J564="No")),1,0)</f>
        <v/>
      </c>
      <c r="X564">
        <f>IF(AND(S564=1,K564=""),1,0)</f>
        <v/>
      </c>
      <c r="Y564">
        <f>IF(AND(S564=1,Q564&lt;&gt;""),ROUND(T564*100,0)*10000+10000-ROW(),"")</f>
        <v/>
      </c>
    </row>
    <row r="565">
      <c r="A565" s="1" t="n"/>
      <c r="B565" s="17" t="n"/>
      <c r="C565" s="18" t="n"/>
      <c r="D565" s="17" t="n"/>
      <c r="E565" s="19" t="n"/>
      <c r="F565" s="19" t="n"/>
      <c r="G565" s="20" t="n"/>
      <c r="H565" s="21" t="n"/>
      <c r="I565" s="21" t="n"/>
      <c r="J565" s="17" t="n"/>
      <c r="K565" s="19" t="n"/>
      <c r="L565" s="20" t="n"/>
      <c r="M565" s="19" t="n"/>
      <c r="N565" s="22">
        <f>IF(C565="","",IF(ISNUMBER(I565),I565,IF(ISNUMBER(H565),H565,"")))</f>
        <v/>
      </c>
      <c r="O565" s="23">
        <f>IF(OR(C565="",NOT(ISNUMBER(G565))),"",(TODAY()-INT(G565))/365.25)</f>
        <v/>
      </c>
      <c r="P565" s="13">
        <f>IF(OR(C565="",NOT(ISNUMBER(L565))),"",IF(L565&lt;TODAY(),"Ended",IF(L565-TODAY()&lt;=N(Settings!$C$10),"Ends soon","Covered")))</f>
        <v/>
      </c>
      <c r="Q565" s="13">
        <f>IF(C565="","",MID(IF(N565="",", value","")&amp;IF(OR(J565="",J565="No"),", receipt","")&amp;IF(K565="",", photo",""),3,100))</f>
        <v/>
      </c>
      <c r="R565" s="13">
        <f>IF(AND(B565="",C565=""),"",IF(C565="","Needs the item",IF(B565="","Needs a room",IF(COUNTIF(Rooms!$B$6:$B$35,B565)=0,"Not on Rooms",IF(AND(H565&lt;&gt;"",NOT(ISNUMBER(H565))),"Paid not a number",IF(AND(I565&lt;&gt;"",NOT(ISNUMBER(I565))),"Worth not a number",IF(AND(G565&lt;&gt;"",NOT(ISNUMBER(G565))),"Bought is not a date",IF(AND(L565&lt;&gt;"",NOT(ISNUMBER(L565))),"Warranty is not a date",""))))))))</f>
        <v/>
      </c>
      <c r="S565" s="1">
        <f>IF(AND(C565&lt;&gt;"",R565=""),1,0)</f>
        <v/>
      </c>
      <c r="T565">
        <f>IF(S565=1,N(N565),0)</f>
        <v/>
      </c>
      <c r="U565">
        <f>IF(AND(S565=1,T565&gt;0),ROUND(T565*100,0)*10000+10000-ROW(),"")</f>
        <v/>
      </c>
      <c r="V565">
        <f>IF(AND(S565=1,OR(Report!$C$5="",B565=Report!$C$5)),MATCH(B565,Rooms!$B$6:$B$35,0)*10000+ROW(),"")</f>
        <v/>
      </c>
      <c r="W565">
        <f>IF(AND(S565=1,OR(J565="",J565="No")),1,0)</f>
        <v/>
      </c>
      <c r="X565">
        <f>IF(AND(S565=1,K565=""),1,0)</f>
        <v/>
      </c>
      <c r="Y565">
        <f>IF(AND(S565=1,Q565&lt;&gt;""),ROUND(T565*100,0)*10000+10000-ROW(),"")</f>
        <v/>
      </c>
    </row>
    <row r="566">
      <c r="A566" s="1" t="n"/>
      <c r="B566" s="17" t="n"/>
      <c r="C566" s="18" t="n"/>
      <c r="D566" s="17" t="n"/>
      <c r="E566" s="19" t="n"/>
      <c r="F566" s="19" t="n"/>
      <c r="G566" s="20" t="n"/>
      <c r="H566" s="21" t="n"/>
      <c r="I566" s="21" t="n"/>
      <c r="J566" s="17" t="n"/>
      <c r="K566" s="19" t="n"/>
      <c r="L566" s="20" t="n"/>
      <c r="M566" s="19" t="n"/>
      <c r="N566" s="22">
        <f>IF(C566="","",IF(ISNUMBER(I566),I566,IF(ISNUMBER(H566),H566,"")))</f>
        <v/>
      </c>
      <c r="O566" s="23">
        <f>IF(OR(C566="",NOT(ISNUMBER(G566))),"",(TODAY()-INT(G566))/365.25)</f>
        <v/>
      </c>
      <c r="P566" s="13">
        <f>IF(OR(C566="",NOT(ISNUMBER(L566))),"",IF(L566&lt;TODAY(),"Ended",IF(L566-TODAY()&lt;=N(Settings!$C$10),"Ends soon","Covered")))</f>
        <v/>
      </c>
      <c r="Q566" s="13">
        <f>IF(C566="","",MID(IF(N566="",", value","")&amp;IF(OR(J566="",J566="No"),", receipt","")&amp;IF(K566="",", photo",""),3,100))</f>
        <v/>
      </c>
      <c r="R566" s="13">
        <f>IF(AND(B566="",C566=""),"",IF(C566="","Needs the item",IF(B566="","Needs a room",IF(COUNTIF(Rooms!$B$6:$B$35,B566)=0,"Not on Rooms",IF(AND(H566&lt;&gt;"",NOT(ISNUMBER(H566))),"Paid not a number",IF(AND(I566&lt;&gt;"",NOT(ISNUMBER(I566))),"Worth not a number",IF(AND(G566&lt;&gt;"",NOT(ISNUMBER(G566))),"Bought is not a date",IF(AND(L566&lt;&gt;"",NOT(ISNUMBER(L566))),"Warranty is not a date",""))))))))</f>
        <v/>
      </c>
      <c r="S566" s="1">
        <f>IF(AND(C566&lt;&gt;"",R566=""),1,0)</f>
        <v/>
      </c>
      <c r="T566">
        <f>IF(S566=1,N(N566),0)</f>
        <v/>
      </c>
      <c r="U566">
        <f>IF(AND(S566=1,T566&gt;0),ROUND(T566*100,0)*10000+10000-ROW(),"")</f>
        <v/>
      </c>
      <c r="V566">
        <f>IF(AND(S566=1,OR(Report!$C$5="",B566=Report!$C$5)),MATCH(B566,Rooms!$B$6:$B$35,0)*10000+ROW(),"")</f>
        <v/>
      </c>
      <c r="W566">
        <f>IF(AND(S566=1,OR(J566="",J566="No")),1,0)</f>
        <v/>
      </c>
      <c r="X566">
        <f>IF(AND(S566=1,K566=""),1,0)</f>
        <v/>
      </c>
      <c r="Y566">
        <f>IF(AND(S566=1,Q566&lt;&gt;""),ROUND(T566*100,0)*10000+10000-ROW(),"")</f>
        <v/>
      </c>
    </row>
    <row r="567">
      <c r="A567" s="1" t="n"/>
      <c r="B567" s="17" t="n"/>
      <c r="C567" s="18" t="n"/>
      <c r="D567" s="17" t="n"/>
      <c r="E567" s="19" t="n"/>
      <c r="F567" s="19" t="n"/>
      <c r="G567" s="20" t="n"/>
      <c r="H567" s="21" t="n"/>
      <c r="I567" s="21" t="n"/>
      <c r="J567" s="17" t="n"/>
      <c r="K567" s="19" t="n"/>
      <c r="L567" s="20" t="n"/>
      <c r="M567" s="19" t="n"/>
      <c r="N567" s="22">
        <f>IF(C567="","",IF(ISNUMBER(I567),I567,IF(ISNUMBER(H567),H567,"")))</f>
        <v/>
      </c>
      <c r="O567" s="23">
        <f>IF(OR(C567="",NOT(ISNUMBER(G567))),"",(TODAY()-INT(G567))/365.25)</f>
        <v/>
      </c>
      <c r="P567" s="13">
        <f>IF(OR(C567="",NOT(ISNUMBER(L567))),"",IF(L567&lt;TODAY(),"Ended",IF(L567-TODAY()&lt;=N(Settings!$C$10),"Ends soon","Covered")))</f>
        <v/>
      </c>
      <c r="Q567" s="13">
        <f>IF(C567="","",MID(IF(N567="",", value","")&amp;IF(OR(J567="",J567="No"),", receipt","")&amp;IF(K567="",", photo",""),3,100))</f>
        <v/>
      </c>
      <c r="R567" s="13">
        <f>IF(AND(B567="",C567=""),"",IF(C567="","Needs the item",IF(B567="","Needs a room",IF(COUNTIF(Rooms!$B$6:$B$35,B567)=0,"Not on Rooms",IF(AND(H567&lt;&gt;"",NOT(ISNUMBER(H567))),"Paid not a number",IF(AND(I567&lt;&gt;"",NOT(ISNUMBER(I567))),"Worth not a number",IF(AND(G567&lt;&gt;"",NOT(ISNUMBER(G567))),"Bought is not a date",IF(AND(L567&lt;&gt;"",NOT(ISNUMBER(L567))),"Warranty is not a date",""))))))))</f>
        <v/>
      </c>
      <c r="S567" s="1">
        <f>IF(AND(C567&lt;&gt;"",R567=""),1,0)</f>
        <v/>
      </c>
      <c r="T567">
        <f>IF(S567=1,N(N567),0)</f>
        <v/>
      </c>
      <c r="U567">
        <f>IF(AND(S567=1,T567&gt;0),ROUND(T567*100,0)*10000+10000-ROW(),"")</f>
        <v/>
      </c>
      <c r="V567">
        <f>IF(AND(S567=1,OR(Report!$C$5="",B567=Report!$C$5)),MATCH(B567,Rooms!$B$6:$B$35,0)*10000+ROW(),"")</f>
        <v/>
      </c>
      <c r="W567">
        <f>IF(AND(S567=1,OR(J567="",J567="No")),1,0)</f>
        <v/>
      </c>
      <c r="X567">
        <f>IF(AND(S567=1,K567=""),1,0)</f>
        <v/>
      </c>
      <c r="Y567">
        <f>IF(AND(S567=1,Q567&lt;&gt;""),ROUND(T567*100,0)*10000+10000-ROW(),"")</f>
        <v/>
      </c>
    </row>
    <row r="568">
      <c r="A568" s="1" t="n"/>
      <c r="B568" s="17" t="n"/>
      <c r="C568" s="18" t="n"/>
      <c r="D568" s="17" t="n"/>
      <c r="E568" s="19" t="n"/>
      <c r="F568" s="19" t="n"/>
      <c r="G568" s="20" t="n"/>
      <c r="H568" s="21" t="n"/>
      <c r="I568" s="21" t="n"/>
      <c r="J568" s="17" t="n"/>
      <c r="K568" s="19" t="n"/>
      <c r="L568" s="20" t="n"/>
      <c r="M568" s="19" t="n"/>
      <c r="N568" s="22">
        <f>IF(C568="","",IF(ISNUMBER(I568),I568,IF(ISNUMBER(H568),H568,"")))</f>
        <v/>
      </c>
      <c r="O568" s="23">
        <f>IF(OR(C568="",NOT(ISNUMBER(G568))),"",(TODAY()-INT(G568))/365.25)</f>
        <v/>
      </c>
      <c r="P568" s="13">
        <f>IF(OR(C568="",NOT(ISNUMBER(L568))),"",IF(L568&lt;TODAY(),"Ended",IF(L568-TODAY()&lt;=N(Settings!$C$10),"Ends soon","Covered")))</f>
        <v/>
      </c>
      <c r="Q568" s="13">
        <f>IF(C568="","",MID(IF(N568="",", value","")&amp;IF(OR(J568="",J568="No"),", receipt","")&amp;IF(K568="",", photo",""),3,100))</f>
        <v/>
      </c>
      <c r="R568" s="13">
        <f>IF(AND(B568="",C568=""),"",IF(C568="","Needs the item",IF(B568="","Needs a room",IF(COUNTIF(Rooms!$B$6:$B$35,B568)=0,"Not on Rooms",IF(AND(H568&lt;&gt;"",NOT(ISNUMBER(H568))),"Paid not a number",IF(AND(I568&lt;&gt;"",NOT(ISNUMBER(I568))),"Worth not a number",IF(AND(G568&lt;&gt;"",NOT(ISNUMBER(G568))),"Bought is not a date",IF(AND(L568&lt;&gt;"",NOT(ISNUMBER(L568))),"Warranty is not a date",""))))))))</f>
        <v/>
      </c>
      <c r="S568" s="1">
        <f>IF(AND(C568&lt;&gt;"",R568=""),1,0)</f>
        <v/>
      </c>
      <c r="T568">
        <f>IF(S568=1,N(N568),0)</f>
        <v/>
      </c>
      <c r="U568">
        <f>IF(AND(S568=1,T568&gt;0),ROUND(T568*100,0)*10000+10000-ROW(),"")</f>
        <v/>
      </c>
      <c r="V568">
        <f>IF(AND(S568=1,OR(Report!$C$5="",B568=Report!$C$5)),MATCH(B568,Rooms!$B$6:$B$35,0)*10000+ROW(),"")</f>
        <v/>
      </c>
      <c r="W568">
        <f>IF(AND(S568=1,OR(J568="",J568="No")),1,0)</f>
        <v/>
      </c>
      <c r="X568">
        <f>IF(AND(S568=1,K568=""),1,0)</f>
        <v/>
      </c>
      <c r="Y568">
        <f>IF(AND(S568=1,Q568&lt;&gt;""),ROUND(T568*100,0)*10000+10000-ROW(),"")</f>
        <v/>
      </c>
    </row>
    <row r="569">
      <c r="A569" s="1" t="n"/>
      <c r="B569" s="17" t="n"/>
      <c r="C569" s="18" t="n"/>
      <c r="D569" s="17" t="n"/>
      <c r="E569" s="19" t="n"/>
      <c r="F569" s="19" t="n"/>
      <c r="G569" s="20" t="n"/>
      <c r="H569" s="21" t="n"/>
      <c r="I569" s="21" t="n"/>
      <c r="J569" s="17" t="n"/>
      <c r="K569" s="19" t="n"/>
      <c r="L569" s="20" t="n"/>
      <c r="M569" s="19" t="n"/>
      <c r="N569" s="22">
        <f>IF(C569="","",IF(ISNUMBER(I569),I569,IF(ISNUMBER(H569),H569,"")))</f>
        <v/>
      </c>
      <c r="O569" s="23">
        <f>IF(OR(C569="",NOT(ISNUMBER(G569))),"",(TODAY()-INT(G569))/365.25)</f>
        <v/>
      </c>
      <c r="P569" s="13">
        <f>IF(OR(C569="",NOT(ISNUMBER(L569))),"",IF(L569&lt;TODAY(),"Ended",IF(L569-TODAY()&lt;=N(Settings!$C$10),"Ends soon","Covered")))</f>
        <v/>
      </c>
      <c r="Q569" s="13">
        <f>IF(C569="","",MID(IF(N569="",", value","")&amp;IF(OR(J569="",J569="No"),", receipt","")&amp;IF(K569="",", photo",""),3,100))</f>
        <v/>
      </c>
      <c r="R569" s="13">
        <f>IF(AND(B569="",C569=""),"",IF(C569="","Needs the item",IF(B569="","Needs a room",IF(COUNTIF(Rooms!$B$6:$B$35,B569)=0,"Not on Rooms",IF(AND(H569&lt;&gt;"",NOT(ISNUMBER(H569))),"Paid not a number",IF(AND(I569&lt;&gt;"",NOT(ISNUMBER(I569))),"Worth not a number",IF(AND(G569&lt;&gt;"",NOT(ISNUMBER(G569))),"Bought is not a date",IF(AND(L569&lt;&gt;"",NOT(ISNUMBER(L569))),"Warranty is not a date",""))))))))</f>
        <v/>
      </c>
      <c r="S569" s="1">
        <f>IF(AND(C569&lt;&gt;"",R569=""),1,0)</f>
        <v/>
      </c>
      <c r="T569">
        <f>IF(S569=1,N(N569),0)</f>
        <v/>
      </c>
      <c r="U569">
        <f>IF(AND(S569=1,T569&gt;0),ROUND(T569*100,0)*10000+10000-ROW(),"")</f>
        <v/>
      </c>
      <c r="V569">
        <f>IF(AND(S569=1,OR(Report!$C$5="",B569=Report!$C$5)),MATCH(B569,Rooms!$B$6:$B$35,0)*10000+ROW(),"")</f>
        <v/>
      </c>
      <c r="W569">
        <f>IF(AND(S569=1,OR(J569="",J569="No")),1,0)</f>
        <v/>
      </c>
      <c r="X569">
        <f>IF(AND(S569=1,K569=""),1,0)</f>
        <v/>
      </c>
      <c r="Y569">
        <f>IF(AND(S569=1,Q569&lt;&gt;""),ROUND(T569*100,0)*10000+10000-ROW(),"")</f>
        <v/>
      </c>
    </row>
    <row r="570">
      <c r="A570" s="1" t="n"/>
      <c r="B570" s="17" t="n"/>
      <c r="C570" s="18" t="n"/>
      <c r="D570" s="17" t="n"/>
      <c r="E570" s="19" t="n"/>
      <c r="F570" s="19" t="n"/>
      <c r="G570" s="20" t="n"/>
      <c r="H570" s="21" t="n"/>
      <c r="I570" s="21" t="n"/>
      <c r="J570" s="17" t="n"/>
      <c r="K570" s="19" t="n"/>
      <c r="L570" s="20" t="n"/>
      <c r="M570" s="19" t="n"/>
      <c r="N570" s="22">
        <f>IF(C570="","",IF(ISNUMBER(I570),I570,IF(ISNUMBER(H570),H570,"")))</f>
        <v/>
      </c>
      <c r="O570" s="23">
        <f>IF(OR(C570="",NOT(ISNUMBER(G570))),"",(TODAY()-INT(G570))/365.25)</f>
        <v/>
      </c>
      <c r="P570" s="13">
        <f>IF(OR(C570="",NOT(ISNUMBER(L570))),"",IF(L570&lt;TODAY(),"Ended",IF(L570-TODAY()&lt;=N(Settings!$C$10),"Ends soon","Covered")))</f>
        <v/>
      </c>
      <c r="Q570" s="13">
        <f>IF(C570="","",MID(IF(N570="",", value","")&amp;IF(OR(J570="",J570="No"),", receipt","")&amp;IF(K570="",", photo",""),3,100))</f>
        <v/>
      </c>
      <c r="R570" s="13">
        <f>IF(AND(B570="",C570=""),"",IF(C570="","Needs the item",IF(B570="","Needs a room",IF(COUNTIF(Rooms!$B$6:$B$35,B570)=0,"Not on Rooms",IF(AND(H570&lt;&gt;"",NOT(ISNUMBER(H570))),"Paid not a number",IF(AND(I570&lt;&gt;"",NOT(ISNUMBER(I570))),"Worth not a number",IF(AND(G570&lt;&gt;"",NOT(ISNUMBER(G570))),"Bought is not a date",IF(AND(L570&lt;&gt;"",NOT(ISNUMBER(L570))),"Warranty is not a date",""))))))))</f>
        <v/>
      </c>
      <c r="S570" s="1">
        <f>IF(AND(C570&lt;&gt;"",R570=""),1,0)</f>
        <v/>
      </c>
      <c r="T570">
        <f>IF(S570=1,N(N570),0)</f>
        <v/>
      </c>
      <c r="U570">
        <f>IF(AND(S570=1,T570&gt;0),ROUND(T570*100,0)*10000+10000-ROW(),"")</f>
        <v/>
      </c>
      <c r="V570">
        <f>IF(AND(S570=1,OR(Report!$C$5="",B570=Report!$C$5)),MATCH(B570,Rooms!$B$6:$B$35,0)*10000+ROW(),"")</f>
        <v/>
      </c>
      <c r="W570">
        <f>IF(AND(S570=1,OR(J570="",J570="No")),1,0)</f>
        <v/>
      </c>
      <c r="X570">
        <f>IF(AND(S570=1,K570=""),1,0)</f>
        <v/>
      </c>
      <c r="Y570">
        <f>IF(AND(S570=1,Q570&lt;&gt;""),ROUND(T570*100,0)*10000+10000-ROW(),"")</f>
        <v/>
      </c>
    </row>
    <row r="571">
      <c r="A571" s="1" t="n"/>
      <c r="B571" s="17" t="n"/>
      <c r="C571" s="18" t="n"/>
      <c r="D571" s="17" t="n"/>
      <c r="E571" s="19" t="n"/>
      <c r="F571" s="19" t="n"/>
      <c r="G571" s="20" t="n"/>
      <c r="H571" s="21" t="n"/>
      <c r="I571" s="21" t="n"/>
      <c r="J571" s="17" t="n"/>
      <c r="K571" s="19" t="n"/>
      <c r="L571" s="20" t="n"/>
      <c r="M571" s="19" t="n"/>
      <c r="N571" s="22">
        <f>IF(C571="","",IF(ISNUMBER(I571),I571,IF(ISNUMBER(H571),H571,"")))</f>
        <v/>
      </c>
      <c r="O571" s="23">
        <f>IF(OR(C571="",NOT(ISNUMBER(G571))),"",(TODAY()-INT(G571))/365.25)</f>
        <v/>
      </c>
      <c r="P571" s="13">
        <f>IF(OR(C571="",NOT(ISNUMBER(L571))),"",IF(L571&lt;TODAY(),"Ended",IF(L571-TODAY()&lt;=N(Settings!$C$10),"Ends soon","Covered")))</f>
        <v/>
      </c>
      <c r="Q571" s="13">
        <f>IF(C571="","",MID(IF(N571="",", value","")&amp;IF(OR(J571="",J571="No"),", receipt","")&amp;IF(K571="",", photo",""),3,100))</f>
        <v/>
      </c>
      <c r="R571" s="13">
        <f>IF(AND(B571="",C571=""),"",IF(C571="","Needs the item",IF(B571="","Needs a room",IF(COUNTIF(Rooms!$B$6:$B$35,B571)=0,"Not on Rooms",IF(AND(H571&lt;&gt;"",NOT(ISNUMBER(H571))),"Paid not a number",IF(AND(I571&lt;&gt;"",NOT(ISNUMBER(I571))),"Worth not a number",IF(AND(G571&lt;&gt;"",NOT(ISNUMBER(G571))),"Bought is not a date",IF(AND(L571&lt;&gt;"",NOT(ISNUMBER(L571))),"Warranty is not a date",""))))))))</f>
        <v/>
      </c>
      <c r="S571" s="1">
        <f>IF(AND(C571&lt;&gt;"",R571=""),1,0)</f>
        <v/>
      </c>
      <c r="T571">
        <f>IF(S571=1,N(N571),0)</f>
        <v/>
      </c>
      <c r="U571">
        <f>IF(AND(S571=1,T571&gt;0),ROUND(T571*100,0)*10000+10000-ROW(),"")</f>
        <v/>
      </c>
      <c r="V571">
        <f>IF(AND(S571=1,OR(Report!$C$5="",B571=Report!$C$5)),MATCH(B571,Rooms!$B$6:$B$35,0)*10000+ROW(),"")</f>
        <v/>
      </c>
      <c r="W571">
        <f>IF(AND(S571=1,OR(J571="",J571="No")),1,0)</f>
        <v/>
      </c>
      <c r="X571">
        <f>IF(AND(S571=1,K571=""),1,0)</f>
        <v/>
      </c>
      <c r="Y571">
        <f>IF(AND(S571=1,Q571&lt;&gt;""),ROUND(T571*100,0)*10000+10000-ROW(),"")</f>
        <v/>
      </c>
    </row>
    <row r="572">
      <c r="A572" s="1" t="n"/>
      <c r="B572" s="17" t="n"/>
      <c r="C572" s="18" t="n"/>
      <c r="D572" s="17" t="n"/>
      <c r="E572" s="19" t="n"/>
      <c r="F572" s="19" t="n"/>
      <c r="G572" s="20" t="n"/>
      <c r="H572" s="21" t="n"/>
      <c r="I572" s="21" t="n"/>
      <c r="J572" s="17" t="n"/>
      <c r="K572" s="19" t="n"/>
      <c r="L572" s="20" t="n"/>
      <c r="M572" s="19" t="n"/>
      <c r="N572" s="22">
        <f>IF(C572="","",IF(ISNUMBER(I572),I572,IF(ISNUMBER(H572),H572,"")))</f>
        <v/>
      </c>
      <c r="O572" s="23">
        <f>IF(OR(C572="",NOT(ISNUMBER(G572))),"",(TODAY()-INT(G572))/365.25)</f>
        <v/>
      </c>
      <c r="P572" s="13">
        <f>IF(OR(C572="",NOT(ISNUMBER(L572))),"",IF(L572&lt;TODAY(),"Ended",IF(L572-TODAY()&lt;=N(Settings!$C$10),"Ends soon","Covered")))</f>
        <v/>
      </c>
      <c r="Q572" s="13">
        <f>IF(C572="","",MID(IF(N572="",", value","")&amp;IF(OR(J572="",J572="No"),", receipt","")&amp;IF(K572="",", photo",""),3,100))</f>
        <v/>
      </c>
      <c r="R572" s="13">
        <f>IF(AND(B572="",C572=""),"",IF(C572="","Needs the item",IF(B572="","Needs a room",IF(COUNTIF(Rooms!$B$6:$B$35,B572)=0,"Not on Rooms",IF(AND(H572&lt;&gt;"",NOT(ISNUMBER(H572))),"Paid not a number",IF(AND(I572&lt;&gt;"",NOT(ISNUMBER(I572))),"Worth not a number",IF(AND(G572&lt;&gt;"",NOT(ISNUMBER(G572))),"Bought is not a date",IF(AND(L572&lt;&gt;"",NOT(ISNUMBER(L572))),"Warranty is not a date",""))))))))</f>
        <v/>
      </c>
      <c r="S572" s="1">
        <f>IF(AND(C572&lt;&gt;"",R572=""),1,0)</f>
        <v/>
      </c>
      <c r="T572">
        <f>IF(S572=1,N(N572),0)</f>
        <v/>
      </c>
      <c r="U572">
        <f>IF(AND(S572=1,T572&gt;0),ROUND(T572*100,0)*10000+10000-ROW(),"")</f>
        <v/>
      </c>
      <c r="V572">
        <f>IF(AND(S572=1,OR(Report!$C$5="",B572=Report!$C$5)),MATCH(B572,Rooms!$B$6:$B$35,0)*10000+ROW(),"")</f>
        <v/>
      </c>
      <c r="W572">
        <f>IF(AND(S572=1,OR(J572="",J572="No")),1,0)</f>
        <v/>
      </c>
      <c r="X572">
        <f>IF(AND(S572=1,K572=""),1,0)</f>
        <v/>
      </c>
      <c r="Y572">
        <f>IF(AND(S572=1,Q572&lt;&gt;""),ROUND(T572*100,0)*10000+10000-ROW(),"")</f>
        <v/>
      </c>
    </row>
    <row r="573">
      <c r="A573" s="1" t="n"/>
      <c r="B573" s="17" t="n"/>
      <c r="C573" s="18" t="n"/>
      <c r="D573" s="17" t="n"/>
      <c r="E573" s="19" t="n"/>
      <c r="F573" s="19" t="n"/>
      <c r="G573" s="20" t="n"/>
      <c r="H573" s="21" t="n"/>
      <c r="I573" s="21" t="n"/>
      <c r="J573" s="17" t="n"/>
      <c r="K573" s="19" t="n"/>
      <c r="L573" s="20" t="n"/>
      <c r="M573" s="19" t="n"/>
      <c r="N573" s="22">
        <f>IF(C573="","",IF(ISNUMBER(I573),I573,IF(ISNUMBER(H573),H573,"")))</f>
        <v/>
      </c>
      <c r="O573" s="23">
        <f>IF(OR(C573="",NOT(ISNUMBER(G573))),"",(TODAY()-INT(G573))/365.25)</f>
        <v/>
      </c>
      <c r="P573" s="13">
        <f>IF(OR(C573="",NOT(ISNUMBER(L573))),"",IF(L573&lt;TODAY(),"Ended",IF(L573-TODAY()&lt;=N(Settings!$C$10),"Ends soon","Covered")))</f>
        <v/>
      </c>
      <c r="Q573" s="13">
        <f>IF(C573="","",MID(IF(N573="",", value","")&amp;IF(OR(J573="",J573="No"),", receipt","")&amp;IF(K573="",", photo",""),3,100))</f>
        <v/>
      </c>
      <c r="R573" s="13">
        <f>IF(AND(B573="",C573=""),"",IF(C573="","Needs the item",IF(B573="","Needs a room",IF(COUNTIF(Rooms!$B$6:$B$35,B573)=0,"Not on Rooms",IF(AND(H573&lt;&gt;"",NOT(ISNUMBER(H573))),"Paid not a number",IF(AND(I573&lt;&gt;"",NOT(ISNUMBER(I573))),"Worth not a number",IF(AND(G573&lt;&gt;"",NOT(ISNUMBER(G573))),"Bought is not a date",IF(AND(L573&lt;&gt;"",NOT(ISNUMBER(L573))),"Warranty is not a date",""))))))))</f>
        <v/>
      </c>
      <c r="S573" s="1">
        <f>IF(AND(C573&lt;&gt;"",R573=""),1,0)</f>
        <v/>
      </c>
      <c r="T573">
        <f>IF(S573=1,N(N573),0)</f>
        <v/>
      </c>
      <c r="U573">
        <f>IF(AND(S573=1,T573&gt;0),ROUND(T573*100,0)*10000+10000-ROW(),"")</f>
        <v/>
      </c>
      <c r="V573">
        <f>IF(AND(S573=1,OR(Report!$C$5="",B573=Report!$C$5)),MATCH(B573,Rooms!$B$6:$B$35,0)*10000+ROW(),"")</f>
        <v/>
      </c>
      <c r="W573">
        <f>IF(AND(S573=1,OR(J573="",J573="No")),1,0)</f>
        <v/>
      </c>
      <c r="X573">
        <f>IF(AND(S573=1,K573=""),1,0)</f>
        <v/>
      </c>
      <c r="Y573">
        <f>IF(AND(S573=1,Q573&lt;&gt;""),ROUND(T573*100,0)*10000+10000-ROW(),"")</f>
        <v/>
      </c>
    </row>
    <row r="574">
      <c r="A574" s="1" t="n"/>
      <c r="B574" s="17" t="n"/>
      <c r="C574" s="18" t="n"/>
      <c r="D574" s="17" t="n"/>
      <c r="E574" s="19" t="n"/>
      <c r="F574" s="19" t="n"/>
      <c r="G574" s="20" t="n"/>
      <c r="H574" s="21" t="n"/>
      <c r="I574" s="21" t="n"/>
      <c r="J574" s="17" t="n"/>
      <c r="K574" s="19" t="n"/>
      <c r="L574" s="20" t="n"/>
      <c r="M574" s="19" t="n"/>
      <c r="N574" s="22">
        <f>IF(C574="","",IF(ISNUMBER(I574),I574,IF(ISNUMBER(H574),H574,"")))</f>
        <v/>
      </c>
      <c r="O574" s="23">
        <f>IF(OR(C574="",NOT(ISNUMBER(G574))),"",(TODAY()-INT(G574))/365.25)</f>
        <v/>
      </c>
      <c r="P574" s="13">
        <f>IF(OR(C574="",NOT(ISNUMBER(L574))),"",IF(L574&lt;TODAY(),"Ended",IF(L574-TODAY()&lt;=N(Settings!$C$10),"Ends soon","Covered")))</f>
        <v/>
      </c>
      <c r="Q574" s="13">
        <f>IF(C574="","",MID(IF(N574="",", value","")&amp;IF(OR(J574="",J574="No"),", receipt","")&amp;IF(K574="",", photo",""),3,100))</f>
        <v/>
      </c>
      <c r="R574" s="13">
        <f>IF(AND(B574="",C574=""),"",IF(C574="","Needs the item",IF(B574="","Needs a room",IF(COUNTIF(Rooms!$B$6:$B$35,B574)=0,"Not on Rooms",IF(AND(H574&lt;&gt;"",NOT(ISNUMBER(H574))),"Paid not a number",IF(AND(I574&lt;&gt;"",NOT(ISNUMBER(I574))),"Worth not a number",IF(AND(G574&lt;&gt;"",NOT(ISNUMBER(G574))),"Bought is not a date",IF(AND(L574&lt;&gt;"",NOT(ISNUMBER(L574))),"Warranty is not a date",""))))))))</f>
        <v/>
      </c>
      <c r="S574" s="1">
        <f>IF(AND(C574&lt;&gt;"",R574=""),1,0)</f>
        <v/>
      </c>
      <c r="T574">
        <f>IF(S574=1,N(N574),0)</f>
        <v/>
      </c>
      <c r="U574">
        <f>IF(AND(S574=1,T574&gt;0),ROUND(T574*100,0)*10000+10000-ROW(),"")</f>
        <v/>
      </c>
      <c r="V574">
        <f>IF(AND(S574=1,OR(Report!$C$5="",B574=Report!$C$5)),MATCH(B574,Rooms!$B$6:$B$35,0)*10000+ROW(),"")</f>
        <v/>
      </c>
      <c r="W574">
        <f>IF(AND(S574=1,OR(J574="",J574="No")),1,0)</f>
        <v/>
      </c>
      <c r="X574">
        <f>IF(AND(S574=1,K574=""),1,0)</f>
        <v/>
      </c>
      <c r="Y574">
        <f>IF(AND(S574=1,Q574&lt;&gt;""),ROUND(T574*100,0)*10000+10000-ROW(),"")</f>
        <v/>
      </c>
    </row>
    <row r="575">
      <c r="A575" s="1" t="n"/>
      <c r="B575" s="17" t="n"/>
      <c r="C575" s="18" t="n"/>
      <c r="D575" s="17" t="n"/>
      <c r="E575" s="19" t="n"/>
      <c r="F575" s="19" t="n"/>
      <c r="G575" s="20" t="n"/>
      <c r="H575" s="21" t="n"/>
      <c r="I575" s="21" t="n"/>
      <c r="J575" s="17" t="n"/>
      <c r="K575" s="19" t="n"/>
      <c r="L575" s="20" t="n"/>
      <c r="M575" s="19" t="n"/>
      <c r="N575" s="22">
        <f>IF(C575="","",IF(ISNUMBER(I575),I575,IF(ISNUMBER(H575),H575,"")))</f>
        <v/>
      </c>
      <c r="O575" s="23">
        <f>IF(OR(C575="",NOT(ISNUMBER(G575))),"",(TODAY()-INT(G575))/365.25)</f>
        <v/>
      </c>
      <c r="P575" s="13">
        <f>IF(OR(C575="",NOT(ISNUMBER(L575))),"",IF(L575&lt;TODAY(),"Ended",IF(L575-TODAY()&lt;=N(Settings!$C$10),"Ends soon","Covered")))</f>
        <v/>
      </c>
      <c r="Q575" s="13">
        <f>IF(C575="","",MID(IF(N575="",", value","")&amp;IF(OR(J575="",J575="No"),", receipt","")&amp;IF(K575="",", photo",""),3,100))</f>
        <v/>
      </c>
      <c r="R575" s="13">
        <f>IF(AND(B575="",C575=""),"",IF(C575="","Needs the item",IF(B575="","Needs a room",IF(COUNTIF(Rooms!$B$6:$B$35,B575)=0,"Not on Rooms",IF(AND(H575&lt;&gt;"",NOT(ISNUMBER(H575))),"Paid not a number",IF(AND(I575&lt;&gt;"",NOT(ISNUMBER(I575))),"Worth not a number",IF(AND(G575&lt;&gt;"",NOT(ISNUMBER(G575))),"Bought is not a date",IF(AND(L575&lt;&gt;"",NOT(ISNUMBER(L575))),"Warranty is not a date",""))))))))</f>
        <v/>
      </c>
      <c r="S575" s="1">
        <f>IF(AND(C575&lt;&gt;"",R575=""),1,0)</f>
        <v/>
      </c>
      <c r="T575">
        <f>IF(S575=1,N(N575),0)</f>
        <v/>
      </c>
      <c r="U575">
        <f>IF(AND(S575=1,T575&gt;0),ROUND(T575*100,0)*10000+10000-ROW(),"")</f>
        <v/>
      </c>
      <c r="V575">
        <f>IF(AND(S575=1,OR(Report!$C$5="",B575=Report!$C$5)),MATCH(B575,Rooms!$B$6:$B$35,0)*10000+ROW(),"")</f>
        <v/>
      </c>
      <c r="W575">
        <f>IF(AND(S575=1,OR(J575="",J575="No")),1,0)</f>
        <v/>
      </c>
      <c r="X575">
        <f>IF(AND(S575=1,K575=""),1,0)</f>
        <v/>
      </c>
      <c r="Y575">
        <f>IF(AND(S575=1,Q575&lt;&gt;""),ROUND(T575*100,0)*10000+10000-ROW(),"")</f>
        <v/>
      </c>
    </row>
    <row r="576">
      <c r="A576" s="1" t="n"/>
      <c r="B576" s="17" t="n"/>
      <c r="C576" s="18" t="n"/>
      <c r="D576" s="17" t="n"/>
      <c r="E576" s="19" t="n"/>
      <c r="F576" s="19" t="n"/>
      <c r="G576" s="20" t="n"/>
      <c r="H576" s="21" t="n"/>
      <c r="I576" s="21" t="n"/>
      <c r="J576" s="17" t="n"/>
      <c r="K576" s="19" t="n"/>
      <c r="L576" s="20" t="n"/>
      <c r="M576" s="19" t="n"/>
      <c r="N576" s="22">
        <f>IF(C576="","",IF(ISNUMBER(I576),I576,IF(ISNUMBER(H576),H576,"")))</f>
        <v/>
      </c>
      <c r="O576" s="23">
        <f>IF(OR(C576="",NOT(ISNUMBER(G576))),"",(TODAY()-INT(G576))/365.25)</f>
        <v/>
      </c>
      <c r="P576" s="13">
        <f>IF(OR(C576="",NOT(ISNUMBER(L576))),"",IF(L576&lt;TODAY(),"Ended",IF(L576-TODAY()&lt;=N(Settings!$C$10),"Ends soon","Covered")))</f>
        <v/>
      </c>
      <c r="Q576" s="13">
        <f>IF(C576="","",MID(IF(N576="",", value","")&amp;IF(OR(J576="",J576="No"),", receipt","")&amp;IF(K576="",", photo",""),3,100))</f>
        <v/>
      </c>
      <c r="R576" s="13">
        <f>IF(AND(B576="",C576=""),"",IF(C576="","Needs the item",IF(B576="","Needs a room",IF(COUNTIF(Rooms!$B$6:$B$35,B576)=0,"Not on Rooms",IF(AND(H576&lt;&gt;"",NOT(ISNUMBER(H576))),"Paid not a number",IF(AND(I576&lt;&gt;"",NOT(ISNUMBER(I576))),"Worth not a number",IF(AND(G576&lt;&gt;"",NOT(ISNUMBER(G576))),"Bought is not a date",IF(AND(L576&lt;&gt;"",NOT(ISNUMBER(L576))),"Warranty is not a date",""))))))))</f>
        <v/>
      </c>
      <c r="S576" s="1">
        <f>IF(AND(C576&lt;&gt;"",R576=""),1,0)</f>
        <v/>
      </c>
      <c r="T576">
        <f>IF(S576=1,N(N576),0)</f>
        <v/>
      </c>
      <c r="U576">
        <f>IF(AND(S576=1,T576&gt;0),ROUND(T576*100,0)*10000+10000-ROW(),"")</f>
        <v/>
      </c>
      <c r="V576">
        <f>IF(AND(S576=1,OR(Report!$C$5="",B576=Report!$C$5)),MATCH(B576,Rooms!$B$6:$B$35,0)*10000+ROW(),"")</f>
        <v/>
      </c>
      <c r="W576">
        <f>IF(AND(S576=1,OR(J576="",J576="No")),1,0)</f>
        <v/>
      </c>
      <c r="X576">
        <f>IF(AND(S576=1,K576=""),1,0)</f>
        <v/>
      </c>
      <c r="Y576">
        <f>IF(AND(S576=1,Q576&lt;&gt;""),ROUND(T576*100,0)*10000+10000-ROW(),"")</f>
        <v/>
      </c>
    </row>
    <row r="577">
      <c r="A577" s="1" t="n"/>
      <c r="B577" s="17" t="n"/>
      <c r="C577" s="18" t="n"/>
      <c r="D577" s="17" t="n"/>
      <c r="E577" s="19" t="n"/>
      <c r="F577" s="19" t="n"/>
      <c r="G577" s="20" t="n"/>
      <c r="H577" s="21" t="n"/>
      <c r="I577" s="21" t="n"/>
      <c r="J577" s="17" t="n"/>
      <c r="K577" s="19" t="n"/>
      <c r="L577" s="20" t="n"/>
      <c r="M577" s="19" t="n"/>
      <c r="N577" s="22">
        <f>IF(C577="","",IF(ISNUMBER(I577),I577,IF(ISNUMBER(H577),H577,"")))</f>
        <v/>
      </c>
      <c r="O577" s="23">
        <f>IF(OR(C577="",NOT(ISNUMBER(G577))),"",(TODAY()-INT(G577))/365.25)</f>
        <v/>
      </c>
      <c r="P577" s="13">
        <f>IF(OR(C577="",NOT(ISNUMBER(L577))),"",IF(L577&lt;TODAY(),"Ended",IF(L577-TODAY()&lt;=N(Settings!$C$10),"Ends soon","Covered")))</f>
        <v/>
      </c>
      <c r="Q577" s="13">
        <f>IF(C577="","",MID(IF(N577="",", value","")&amp;IF(OR(J577="",J577="No"),", receipt","")&amp;IF(K577="",", photo",""),3,100))</f>
        <v/>
      </c>
      <c r="R577" s="13">
        <f>IF(AND(B577="",C577=""),"",IF(C577="","Needs the item",IF(B577="","Needs a room",IF(COUNTIF(Rooms!$B$6:$B$35,B577)=0,"Not on Rooms",IF(AND(H577&lt;&gt;"",NOT(ISNUMBER(H577))),"Paid not a number",IF(AND(I577&lt;&gt;"",NOT(ISNUMBER(I577))),"Worth not a number",IF(AND(G577&lt;&gt;"",NOT(ISNUMBER(G577))),"Bought is not a date",IF(AND(L577&lt;&gt;"",NOT(ISNUMBER(L577))),"Warranty is not a date",""))))))))</f>
        <v/>
      </c>
      <c r="S577" s="1">
        <f>IF(AND(C577&lt;&gt;"",R577=""),1,0)</f>
        <v/>
      </c>
      <c r="T577">
        <f>IF(S577=1,N(N577),0)</f>
        <v/>
      </c>
      <c r="U577">
        <f>IF(AND(S577=1,T577&gt;0),ROUND(T577*100,0)*10000+10000-ROW(),"")</f>
        <v/>
      </c>
      <c r="V577">
        <f>IF(AND(S577=1,OR(Report!$C$5="",B577=Report!$C$5)),MATCH(B577,Rooms!$B$6:$B$35,0)*10000+ROW(),"")</f>
        <v/>
      </c>
      <c r="W577">
        <f>IF(AND(S577=1,OR(J577="",J577="No")),1,0)</f>
        <v/>
      </c>
      <c r="X577">
        <f>IF(AND(S577=1,K577=""),1,0)</f>
        <v/>
      </c>
      <c r="Y577">
        <f>IF(AND(S577=1,Q577&lt;&gt;""),ROUND(T577*100,0)*10000+10000-ROW(),"")</f>
        <v/>
      </c>
    </row>
    <row r="578">
      <c r="A578" s="1" t="n"/>
      <c r="B578" s="17" t="n"/>
      <c r="C578" s="18" t="n"/>
      <c r="D578" s="17" t="n"/>
      <c r="E578" s="19" t="n"/>
      <c r="F578" s="19" t="n"/>
      <c r="G578" s="20" t="n"/>
      <c r="H578" s="21" t="n"/>
      <c r="I578" s="21" t="n"/>
      <c r="J578" s="17" t="n"/>
      <c r="K578" s="19" t="n"/>
      <c r="L578" s="20" t="n"/>
      <c r="M578" s="19" t="n"/>
      <c r="N578" s="22">
        <f>IF(C578="","",IF(ISNUMBER(I578),I578,IF(ISNUMBER(H578),H578,"")))</f>
        <v/>
      </c>
      <c r="O578" s="23">
        <f>IF(OR(C578="",NOT(ISNUMBER(G578))),"",(TODAY()-INT(G578))/365.25)</f>
        <v/>
      </c>
      <c r="P578" s="13">
        <f>IF(OR(C578="",NOT(ISNUMBER(L578))),"",IF(L578&lt;TODAY(),"Ended",IF(L578-TODAY()&lt;=N(Settings!$C$10),"Ends soon","Covered")))</f>
        <v/>
      </c>
      <c r="Q578" s="13">
        <f>IF(C578="","",MID(IF(N578="",", value","")&amp;IF(OR(J578="",J578="No"),", receipt","")&amp;IF(K578="",", photo",""),3,100))</f>
        <v/>
      </c>
      <c r="R578" s="13">
        <f>IF(AND(B578="",C578=""),"",IF(C578="","Needs the item",IF(B578="","Needs a room",IF(COUNTIF(Rooms!$B$6:$B$35,B578)=0,"Not on Rooms",IF(AND(H578&lt;&gt;"",NOT(ISNUMBER(H578))),"Paid not a number",IF(AND(I578&lt;&gt;"",NOT(ISNUMBER(I578))),"Worth not a number",IF(AND(G578&lt;&gt;"",NOT(ISNUMBER(G578))),"Bought is not a date",IF(AND(L578&lt;&gt;"",NOT(ISNUMBER(L578))),"Warranty is not a date",""))))))))</f>
        <v/>
      </c>
      <c r="S578" s="1">
        <f>IF(AND(C578&lt;&gt;"",R578=""),1,0)</f>
        <v/>
      </c>
      <c r="T578">
        <f>IF(S578=1,N(N578),0)</f>
        <v/>
      </c>
      <c r="U578">
        <f>IF(AND(S578=1,T578&gt;0),ROUND(T578*100,0)*10000+10000-ROW(),"")</f>
        <v/>
      </c>
      <c r="V578">
        <f>IF(AND(S578=1,OR(Report!$C$5="",B578=Report!$C$5)),MATCH(B578,Rooms!$B$6:$B$35,0)*10000+ROW(),"")</f>
        <v/>
      </c>
      <c r="W578">
        <f>IF(AND(S578=1,OR(J578="",J578="No")),1,0)</f>
        <v/>
      </c>
      <c r="X578">
        <f>IF(AND(S578=1,K578=""),1,0)</f>
        <v/>
      </c>
      <c r="Y578">
        <f>IF(AND(S578=1,Q578&lt;&gt;""),ROUND(T578*100,0)*10000+10000-ROW(),"")</f>
        <v/>
      </c>
    </row>
    <row r="579">
      <c r="A579" s="1" t="n"/>
      <c r="B579" s="17" t="n"/>
      <c r="C579" s="18" t="n"/>
      <c r="D579" s="17" t="n"/>
      <c r="E579" s="19" t="n"/>
      <c r="F579" s="19" t="n"/>
      <c r="G579" s="20" t="n"/>
      <c r="H579" s="21" t="n"/>
      <c r="I579" s="21" t="n"/>
      <c r="J579" s="17" t="n"/>
      <c r="K579" s="19" t="n"/>
      <c r="L579" s="20" t="n"/>
      <c r="M579" s="19" t="n"/>
      <c r="N579" s="22">
        <f>IF(C579="","",IF(ISNUMBER(I579),I579,IF(ISNUMBER(H579),H579,"")))</f>
        <v/>
      </c>
      <c r="O579" s="23">
        <f>IF(OR(C579="",NOT(ISNUMBER(G579))),"",(TODAY()-INT(G579))/365.25)</f>
        <v/>
      </c>
      <c r="P579" s="13">
        <f>IF(OR(C579="",NOT(ISNUMBER(L579))),"",IF(L579&lt;TODAY(),"Ended",IF(L579-TODAY()&lt;=N(Settings!$C$10),"Ends soon","Covered")))</f>
        <v/>
      </c>
      <c r="Q579" s="13">
        <f>IF(C579="","",MID(IF(N579="",", value","")&amp;IF(OR(J579="",J579="No"),", receipt","")&amp;IF(K579="",", photo",""),3,100))</f>
        <v/>
      </c>
      <c r="R579" s="13">
        <f>IF(AND(B579="",C579=""),"",IF(C579="","Needs the item",IF(B579="","Needs a room",IF(COUNTIF(Rooms!$B$6:$B$35,B579)=0,"Not on Rooms",IF(AND(H579&lt;&gt;"",NOT(ISNUMBER(H579))),"Paid not a number",IF(AND(I579&lt;&gt;"",NOT(ISNUMBER(I579))),"Worth not a number",IF(AND(G579&lt;&gt;"",NOT(ISNUMBER(G579))),"Bought is not a date",IF(AND(L579&lt;&gt;"",NOT(ISNUMBER(L579))),"Warranty is not a date",""))))))))</f>
        <v/>
      </c>
      <c r="S579" s="1">
        <f>IF(AND(C579&lt;&gt;"",R579=""),1,0)</f>
        <v/>
      </c>
      <c r="T579">
        <f>IF(S579=1,N(N579),0)</f>
        <v/>
      </c>
      <c r="U579">
        <f>IF(AND(S579=1,T579&gt;0),ROUND(T579*100,0)*10000+10000-ROW(),"")</f>
        <v/>
      </c>
      <c r="V579">
        <f>IF(AND(S579=1,OR(Report!$C$5="",B579=Report!$C$5)),MATCH(B579,Rooms!$B$6:$B$35,0)*10000+ROW(),"")</f>
        <v/>
      </c>
      <c r="W579">
        <f>IF(AND(S579=1,OR(J579="",J579="No")),1,0)</f>
        <v/>
      </c>
      <c r="X579">
        <f>IF(AND(S579=1,K579=""),1,0)</f>
        <v/>
      </c>
      <c r="Y579">
        <f>IF(AND(S579=1,Q579&lt;&gt;""),ROUND(T579*100,0)*10000+10000-ROW(),"")</f>
        <v/>
      </c>
    </row>
    <row r="580">
      <c r="A580" s="1" t="n"/>
      <c r="B580" s="17" t="n"/>
      <c r="C580" s="18" t="n"/>
      <c r="D580" s="17" t="n"/>
      <c r="E580" s="19" t="n"/>
      <c r="F580" s="19" t="n"/>
      <c r="G580" s="20" t="n"/>
      <c r="H580" s="21" t="n"/>
      <c r="I580" s="21" t="n"/>
      <c r="J580" s="17" t="n"/>
      <c r="K580" s="19" t="n"/>
      <c r="L580" s="20" t="n"/>
      <c r="M580" s="19" t="n"/>
      <c r="N580" s="22">
        <f>IF(C580="","",IF(ISNUMBER(I580),I580,IF(ISNUMBER(H580),H580,"")))</f>
        <v/>
      </c>
      <c r="O580" s="23">
        <f>IF(OR(C580="",NOT(ISNUMBER(G580))),"",(TODAY()-INT(G580))/365.25)</f>
        <v/>
      </c>
      <c r="P580" s="13">
        <f>IF(OR(C580="",NOT(ISNUMBER(L580))),"",IF(L580&lt;TODAY(),"Ended",IF(L580-TODAY()&lt;=N(Settings!$C$10),"Ends soon","Covered")))</f>
        <v/>
      </c>
      <c r="Q580" s="13">
        <f>IF(C580="","",MID(IF(N580="",", value","")&amp;IF(OR(J580="",J580="No"),", receipt","")&amp;IF(K580="",", photo",""),3,100))</f>
        <v/>
      </c>
      <c r="R580" s="13">
        <f>IF(AND(B580="",C580=""),"",IF(C580="","Needs the item",IF(B580="","Needs a room",IF(COUNTIF(Rooms!$B$6:$B$35,B580)=0,"Not on Rooms",IF(AND(H580&lt;&gt;"",NOT(ISNUMBER(H580))),"Paid not a number",IF(AND(I580&lt;&gt;"",NOT(ISNUMBER(I580))),"Worth not a number",IF(AND(G580&lt;&gt;"",NOT(ISNUMBER(G580))),"Bought is not a date",IF(AND(L580&lt;&gt;"",NOT(ISNUMBER(L580))),"Warranty is not a date",""))))))))</f>
        <v/>
      </c>
      <c r="S580" s="1">
        <f>IF(AND(C580&lt;&gt;"",R580=""),1,0)</f>
        <v/>
      </c>
      <c r="T580">
        <f>IF(S580=1,N(N580),0)</f>
        <v/>
      </c>
      <c r="U580">
        <f>IF(AND(S580=1,T580&gt;0),ROUND(T580*100,0)*10000+10000-ROW(),"")</f>
        <v/>
      </c>
      <c r="V580">
        <f>IF(AND(S580=1,OR(Report!$C$5="",B580=Report!$C$5)),MATCH(B580,Rooms!$B$6:$B$35,0)*10000+ROW(),"")</f>
        <v/>
      </c>
      <c r="W580">
        <f>IF(AND(S580=1,OR(J580="",J580="No")),1,0)</f>
        <v/>
      </c>
      <c r="X580">
        <f>IF(AND(S580=1,K580=""),1,0)</f>
        <v/>
      </c>
      <c r="Y580">
        <f>IF(AND(S580=1,Q580&lt;&gt;""),ROUND(T580*100,0)*10000+10000-ROW(),"")</f>
        <v/>
      </c>
    </row>
    <row r="581">
      <c r="A581" s="1" t="n"/>
      <c r="B581" s="17" t="n"/>
      <c r="C581" s="18" t="n"/>
      <c r="D581" s="17" t="n"/>
      <c r="E581" s="19" t="n"/>
      <c r="F581" s="19" t="n"/>
      <c r="G581" s="20" t="n"/>
      <c r="H581" s="21" t="n"/>
      <c r="I581" s="21" t="n"/>
      <c r="J581" s="17" t="n"/>
      <c r="K581" s="19" t="n"/>
      <c r="L581" s="20" t="n"/>
      <c r="M581" s="19" t="n"/>
      <c r="N581" s="22">
        <f>IF(C581="","",IF(ISNUMBER(I581),I581,IF(ISNUMBER(H581),H581,"")))</f>
        <v/>
      </c>
      <c r="O581" s="23">
        <f>IF(OR(C581="",NOT(ISNUMBER(G581))),"",(TODAY()-INT(G581))/365.25)</f>
        <v/>
      </c>
      <c r="P581" s="13">
        <f>IF(OR(C581="",NOT(ISNUMBER(L581))),"",IF(L581&lt;TODAY(),"Ended",IF(L581-TODAY()&lt;=N(Settings!$C$10),"Ends soon","Covered")))</f>
        <v/>
      </c>
      <c r="Q581" s="13">
        <f>IF(C581="","",MID(IF(N581="",", value","")&amp;IF(OR(J581="",J581="No"),", receipt","")&amp;IF(K581="",", photo",""),3,100))</f>
        <v/>
      </c>
      <c r="R581" s="13">
        <f>IF(AND(B581="",C581=""),"",IF(C581="","Needs the item",IF(B581="","Needs a room",IF(COUNTIF(Rooms!$B$6:$B$35,B581)=0,"Not on Rooms",IF(AND(H581&lt;&gt;"",NOT(ISNUMBER(H581))),"Paid not a number",IF(AND(I581&lt;&gt;"",NOT(ISNUMBER(I581))),"Worth not a number",IF(AND(G581&lt;&gt;"",NOT(ISNUMBER(G581))),"Bought is not a date",IF(AND(L581&lt;&gt;"",NOT(ISNUMBER(L581))),"Warranty is not a date",""))))))))</f>
        <v/>
      </c>
      <c r="S581" s="1">
        <f>IF(AND(C581&lt;&gt;"",R581=""),1,0)</f>
        <v/>
      </c>
      <c r="T581">
        <f>IF(S581=1,N(N581),0)</f>
        <v/>
      </c>
      <c r="U581">
        <f>IF(AND(S581=1,T581&gt;0),ROUND(T581*100,0)*10000+10000-ROW(),"")</f>
        <v/>
      </c>
      <c r="V581">
        <f>IF(AND(S581=1,OR(Report!$C$5="",B581=Report!$C$5)),MATCH(B581,Rooms!$B$6:$B$35,0)*10000+ROW(),"")</f>
        <v/>
      </c>
      <c r="W581">
        <f>IF(AND(S581=1,OR(J581="",J581="No")),1,0)</f>
        <v/>
      </c>
      <c r="X581">
        <f>IF(AND(S581=1,K581=""),1,0)</f>
        <v/>
      </c>
      <c r="Y581">
        <f>IF(AND(S581=1,Q581&lt;&gt;""),ROUND(T581*100,0)*10000+10000-ROW(),"")</f>
        <v/>
      </c>
    </row>
    <row r="582">
      <c r="A582" s="1" t="n"/>
      <c r="B582" s="17" t="n"/>
      <c r="C582" s="18" t="n"/>
      <c r="D582" s="17" t="n"/>
      <c r="E582" s="19" t="n"/>
      <c r="F582" s="19" t="n"/>
      <c r="G582" s="20" t="n"/>
      <c r="H582" s="21" t="n"/>
      <c r="I582" s="21" t="n"/>
      <c r="J582" s="17" t="n"/>
      <c r="K582" s="19" t="n"/>
      <c r="L582" s="20" t="n"/>
      <c r="M582" s="19" t="n"/>
      <c r="N582" s="22">
        <f>IF(C582="","",IF(ISNUMBER(I582),I582,IF(ISNUMBER(H582),H582,"")))</f>
        <v/>
      </c>
      <c r="O582" s="23">
        <f>IF(OR(C582="",NOT(ISNUMBER(G582))),"",(TODAY()-INT(G582))/365.25)</f>
        <v/>
      </c>
      <c r="P582" s="13">
        <f>IF(OR(C582="",NOT(ISNUMBER(L582))),"",IF(L582&lt;TODAY(),"Ended",IF(L582-TODAY()&lt;=N(Settings!$C$10),"Ends soon","Covered")))</f>
        <v/>
      </c>
      <c r="Q582" s="13">
        <f>IF(C582="","",MID(IF(N582="",", value","")&amp;IF(OR(J582="",J582="No"),", receipt","")&amp;IF(K582="",", photo",""),3,100))</f>
        <v/>
      </c>
      <c r="R582" s="13">
        <f>IF(AND(B582="",C582=""),"",IF(C582="","Needs the item",IF(B582="","Needs a room",IF(COUNTIF(Rooms!$B$6:$B$35,B582)=0,"Not on Rooms",IF(AND(H582&lt;&gt;"",NOT(ISNUMBER(H582))),"Paid not a number",IF(AND(I582&lt;&gt;"",NOT(ISNUMBER(I582))),"Worth not a number",IF(AND(G582&lt;&gt;"",NOT(ISNUMBER(G582))),"Bought is not a date",IF(AND(L582&lt;&gt;"",NOT(ISNUMBER(L582))),"Warranty is not a date",""))))))))</f>
        <v/>
      </c>
      <c r="S582" s="1">
        <f>IF(AND(C582&lt;&gt;"",R582=""),1,0)</f>
        <v/>
      </c>
      <c r="T582">
        <f>IF(S582=1,N(N582),0)</f>
        <v/>
      </c>
      <c r="U582">
        <f>IF(AND(S582=1,T582&gt;0),ROUND(T582*100,0)*10000+10000-ROW(),"")</f>
        <v/>
      </c>
      <c r="V582">
        <f>IF(AND(S582=1,OR(Report!$C$5="",B582=Report!$C$5)),MATCH(B582,Rooms!$B$6:$B$35,0)*10000+ROW(),"")</f>
        <v/>
      </c>
      <c r="W582">
        <f>IF(AND(S582=1,OR(J582="",J582="No")),1,0)</f>
        <v/>
      </c>
      <c r="X582">
        <f>IF(AND(S582=1,K582=""),1,0)</f>
        <v/>
      </c>
      <c r="Y582">
        <f>IF(AND(S582=1,Q582&lt;&gt;""),ROUND(T582*100,0)*10000+10000-ROW(),"")</f>
        <v/>
      </c>
    </row>
    <row r="583">
      <c r="A583" s="1" t="n"/>
      <c r="B583" s="17" t="n"/>
      <c r="C583" s="18" t="n"/>
      <c r="D583" s="17" t="n"/>
      <c r="E583" s="19" t="n"/>
      <c r="F583" s="19" t="n"/>
      <c r="G583" s="20" t="n"/>
      <c r="H583" s="21" t="n"/>
      <c r="I583" s="21" t="n"/>
      <c r="J583" s="17" t="n"/>
      <c r="K583" s="19" t="n"/>
      <c r="L583" s="20" t="n"/>
      <c r="M583" s="19" t="n"/>
      <c r="N583" s="22">
        <f>IF(C583="","",IF(ISNUMBER(I583),I583,IF(ISNUMBER(H583),H583,"")))</f>
        <v/>
      </c>
      <c r="O583" s="23">
        <f>IF(OR(C583="",NOT(ISNUMBER(G583))),"",(TODAY()-INT(G583))/365.25)</f>
        <v/>
      </c>
      <c r="P583" s="13">
        <f>IF(OR(C583="",NOT(ISNUMBER(L583))),"",IF(L583&lt;TODAY(),"Ended",IF(L583-TODAY()&lt;=N(Settings!$C$10),"Ends soon","Covered")))</f>
        <v/>
      </c>
      <c r="Q583" s="13">
        <f>IF(C583="","",MID(IF(N583="",", value","")&amp;IF(OR(J583="",J583="No"),", receipt","")&amp;IF(K583="",", photo",""),3,100))</f>
        <v/>
      </c>
      <c r="R583" s="13">
        <f>IF(AND(B583="",C583=""),"",IF(C583="","Needs the item",IF(B583="","Needs a room",IF(COUNTIF(Rooms!$B$6:$B$35,B583)=0,"Not on Rooms",IF(AND(H583&lt;&gt;"",NOT(ISNUMBER(H583))),"Paid not a number",IF(AND(I583&lt;&gt;"",NOT(ISNUMBER(I583))),"Worth not a number",IF(AND(G583&lt;&gt;"",NOT(ISNUMBER(G583))),"Bought is not a date",IF(AND(L583&lt;&gt;"",NOT(ISNUMBER(L583))),"Warranty is not a date",""))))))))</f>
        <v/>
      </c>
      <c r="S583" s="1">
        <f>IF(AND(C583&lt;&gt;"",R583=""),1,0)</f>
        <v/>
      </c>
      <c r="T583">
        <f>IF(S583=1,N(N583),0)</f>
        <v/>
      </c>
      <c r="U583">
        <f>IF(AND(S583=1,T583&gt;0),ROUND(T583*100,0)*10000+10000-ROW(),"")</f>
        <v/>
      </c>
      <c r="V583">
        <f>IF(AND(S583=1,OR(Report!$C$5="",B583=Report!$C$5)),MATCH(B583,Rooms!$B$6:$B$35,0)*10000+ROW(),"")</f>
        <v/>
      </c>
      <c r="W583">
        <f>IF(AND(S583=1,OR(J583="",J583="No")),1,0)</f>
        <v/>
      </c>
      <c r="X583">
        <f>IF(AND(S583=1,K583=""),1,0)</f>
        <v/>
      </c>
      <c r="Y583">
        <f>IF(AND(S583=1,Q583&lt;&gt;""),ROUND(T583*100,0)*10000+10000-ROW(),"")</f>
        <v/>
      </c>
    </row>
    <row r="584">
      <c r="A584" s="1" t="n"/>
      <c r="B584" s="17" t="n"/>
      <c r="C584" s="18" t="n"/>
      <c r="D584" s="17" t="n"/>
      <c r="E584" s="19" t="n"/>
      <c r="F584" s="19" t="n"/>
      <c r="G584" s="20" t="n"/>
      <c r="H584" s="21" t="n"/>
      <c r="I584" s="21" t="n"/>
      <c r="J584" s="17" t="n"/>
      <c r="K584" s="19" t="n"/>
      <c r="L584" s="20" t="n"/>
      <c r="M584" s="19" t="n"/>
      <c r="N584" s="22">
        <f>IF(C584="","",IF(ISNUMBER(I584),I584,IF(ISNUMBER(H584),H584,"")))</f>
        <v/>
      </c>
      <c r="O584" s="23">
        <f>IF(OR(C584="",NOT(ISNUMBER(G584))),"",(TODAY()-INT(G584))/365.25)</f>
        <v/>
      </c>
      <c r="P584" s="13">
        <f>IF(OR(C584="",NOT(ISNUMBER(L584))),"",IF(L584&lt;TODAY(),"Ended",IF(L584-TODAY()&lt;=N(Settings!$C$10),"Ends soon","Covered")))</f>
        <v/>
      </c>
      <c r="Q584" s="13">
        <f>IF(C584="","",MID(IF(N584="",", value","")&amp;IF(OR(J584="",J584="No"),", receipt","")&amp;IF(K584="",", photo",""),3,100))</f>
        <v/>
      </c>
      <c r="R584" s="13">
        <f>IF(AND(B584="",C584=""),"",IF(C584="","Needs the item",IF(B584="","Needs a room",IF(COUNTIF(Rooms!$B$6:$B$35,B584)=0,"Not on Rooms",IF(AND(H584&lt;&gt;"",NOT(ISNUMBER(H584))),"Paid not a number",IF(AND(I584&lt;&gt;"",NOT(ISNUMBER(I584))),"Worth not a number",IF(AND(G584&lt;&gt;"",NOT(ISNUMBER(G584))),"Bought is not a date",IF(AND(L584&lt;&gt;"",NOT(ISNUMBER(L584))),"Warranty is not a date",""))))))))</f>
        <v/>
      </c>
      <c r="S584" s="1">
        <f>IF(AND(C584&lt;&gt;"",R584=""),1,0)</f>
        <v/>
      </c>
      <c r="T584">
        <f>IF(S584=1,N(N584),0)</f>
        <v/>
      </c>
      <c r="U584">
        <f>IF(AND(S584=1,T584&gt;0),ROUND(T584*100,0)*10000+10000-ROW(),"")</f>
        <v/>
      </c>
      <c r="V584">
        <f>IF(AND(S584=1,OR(Report!$C$5="",B584=Report!$C$5)),MATCH(B584,Rooms!$B$6:$B$35,0)*10000+ROW(),"")</f>
        <v/>
      </c>
      <c r="W584">
        <f>IF(AND(S584=1,OR(J584="",J584="No")),1,0)</f>
        <v/>
      </c>
      <c r="X584">
        <f>IF(AND(S584=1,K584=""),1,0)</f>
        <v/>
      </c>
      <c r="Y584">
        <f>IF(AND(S584=1,Q584&lt;&gt;""),ROUND(T584*100,0)*10000+10000-ROW(),"")</f>
        <v/>
      </c>
    </row>
    <row r="585">
      <c r="A585" s="1" t="n"/>
      <c r="B585" s="17" t="n"/>
      <c r="C585" s="18" t="n"/>
      <c r="D585" s="17" t="n"/>
      <c r="E585" s="19" t="n"/>
      <c r="F585" s="19" t="n"/>
      <c r="G585" s="20" t="n"/>
      <c r="H585" s="21" t="n"/>
      <c r="I585" s="21" t="n"/>
      <c r="J585" s="17" t="n"/>
      <c r="K585" s="19" t="n"/>
      <c r="L585" s="20" t="n"/>
      <c r="M585" s="19" t="n"/>
      <c r="N585" s="22">
        <f>IF(C585="","",IF(ISNUMBER(I585),I585,IF(ISNUMBER(H585),H585,"")))</f>
        <v/>
      </c>
      <c r="O585" s="23">
        <f>IF(OR(C585="",NOT(ISNUMBER(G585))),"",(TODAY()-INT(G585))/365.25)</f>
        <v/>
      </c>
      <c r="P585" s="13">
        <f>IF(OR(C585="",NOT(ISNUMBER(L585))),"",IF(L585&lt;TODAY(),"Ended",IF(L585-TODAY()&lt;=N(Settings!$C$10),"Ends soon","Covered")))</f>
        <v/>
      </c>
      <c r="Q585" s="13">
        <f>IF(C585="","",MID(IF(N585="",", value","")&amp;IF(OR(J585="",J585="No"),", receipt","")&amp;IF(K585="",", photo",""),3,100))</f>
        <v/>
      </c>
      <c r="R585" s="13">
        <f>IF(AND(B585="",C585=""),"",IF(C585="","Needs the item",IF(B585="","Needs a room",IF(COUNTIF(Rooms!$B$6:$B$35,B585)=0,"Not on Rooms",IF(AND(H585&lt;&gt;"",NOT(ISNUMBER(H585))),"Paid not a number",IF(AND(I585&lt;&gt;"",NOT(ISNUMBER(I585))),"Worth not a number",IF(AND(G585&lt;&gt;"",NOT(ISNUMBER(G585))),"Bought is not a date",IF(AND(L585&lt;&gt;"",NOT(ISNUMBER(L585))),"Warranty is not a date",""))))))))</f>
        <v/>
      </c>
      <c r="S585" s="1">
        <f>IF(AND(C585&lt;&gt;"",R585=""),1,0)</f>
        <v/>
      </c>
      <c r="T585">
        <f>IF(S585=1,N(N585),0)</f>
        <v/>
      </c>
      <c r="U585">
        <f>IF(AND(S585=1,T585&gt;0),ROUND(T585*100,0)*10000+10000-ROW(),"")</f>
        <v/>
      </c>
      <c r="V585">
        <f>IF(AND(S585=1,OR(Report!$C$5="",B585=Report!$C$5)),MATCH(B585,Rooms!$B$6:$B$35,0)*10000+ROW(),"")</f>
        <v/>
      </c>
      <c r="W585">
        <f>IF(AND(S585=1,OR(J585="",J585="No")),1,0)</f>
        <v/>
      </c>
      <c r="X585">
        <f>IF(AND(S585=1,K585=""),1,0)</f>
        <v/>
      </c>
      <c r="Y585">
        <f>IF(AND(S585=1,Q585&lt;&gt;""),ROUND(T585*100,0)*10000+10000-ROW(),"")</f>
        <v/>
      </c>
    </row>
    <row r="586">
      <c r="A586" s="1" t="n"/>
      <c r="B586" s="17" t="n"/>
      <c r="C586" s="18" t="n"/>
      <c r="D586" s="17" t="n"/>
      <c r="E586" s="19" t="n"/>
      <c r="F586" s="19" t="n"/>
      <c r="G586" s="20" t="n"/>
      <c r="H586" s="21" t="n"/>
      <c r="I586" s="21" t="n"/>
      <c r="J586" s="17" t="n"/>
      <c r="K586" s="19" t="n"/>
      <c r="L586" s="20" t="n"/>
      <c r="M586" s="19" t="n"/>
      <c r="N586" s="22">
        <f>IF(C586="","",IF(ISNUMBER(I586),I586,IF(ISNUMBER(H586),H586,"")))</f>
        <v/>
      </c>
      <c r="O586" s="23">
        <f>IF(OR(C586="",NOT(ISNUMBER(G586))),"",(TODAY()-INT(G586))/365.25)</f>
        <v/>
      </c>
      <c r="P586" s="13">
        <f>IF(OR(C586="",NOT(ISNUMBER(L586))),"",IF(L586&lt;TODAY(),"Ended",IF(L586-TODAY()&lt;=N(Settings!$C$10),"Ends soon","Covered")))</f>
        <v/>
      </c>
      <c r="Q586" s="13">
        <f>IF(C586="","",MID(IF(N586="",", value","")&amp;IF(OR(J586="",J586="No"),", receipt","")&amp;IF(K586="",", photo",""),3,100))</f>
        <v/>
      </c>
      <c r="R586" s="13">
        <f>IF(AND(B586="",C586=""),"",IF(C586="","Needs the item",IF(B586="","Needs a room",IF(COUNTIF(Rooms!$B$6:$B$35,B586)=0,"Not on Rooms",IF(AND(H586&lt;&gt;"",NOT(ISNUMBER(H586))),"Paid not a number",IF(AND(I586&lt;&gt;"",NOT(ISNUMBER(I586))),"Worth not a number",IF(AND(G586&lt;&gt;"",NOT(ISNUMBER(G586))),"Bought is not a date",IF(AND(L586&lt;&gt;"",NOT(ISNUMBER(L586))),"Warranty is not a date",""))))))))</f>
        <v/>
      </c>
      <c r="S586" s="1">
        <f>IF(AND(C586&lt;&gt;"",R586=""),1,0)</f>
        <v/>
      </c>
      <c r="T586">
        <f>IF(S586=1,N(N586),0)</f>
        <v/>
      </c>
      <c r="U586">
        <f>IF(AND(S586=1,T586&gt;0),ROUND(T586*100,0)*10000+10000-ROW(),"")</f>
        <v/>
      </c>
      <c r="V586">
        <f>IF(AND(S586=1,OR(Report!$C$5="",B586=Report!$C$5)),MATCH(B586,Rooms!$B$6:$B$35,0)*10000+ROW(),"")</f>
        <v/>
      </c>
      <c r="W586">
        <f>IF(AND(S586=1,OR(J586="",J586="No")),1,0)</f>
        <v/>
      </c>
      <c r="X586">
        <f>IF(AND(S586=1,K586=""),1,0)</f>
        <v/>
      </c>
      <c r="Y586">
        <f>IF(AND(S586=1,Q586&lt;&gt;""),ROUND(T586*100,0)*10000+10000-ROW(),"")</f>
        <v/>
      </c>
    </row>
    <row r="587">
      <c r="A587" s="1" t="n"/>
      <c r="B587" s="17" t="n"/>
      <c r="C587" s="18" t="n"/>
      <c r="D587" s="17" t="n"/>
      <c r="E587" s="19" t="n"/>
      <c r="F587" s="19" t="n"/>
      <c r="G587" s="20" t="n"/>
      <c r="H587" s="21" t="n"/>
      <c r="I587" s="21" t="n"/>
      <c r="J587" s="17" t="n"/>
      <c r="K587" s="19" t="n"/>
      <c r="L587" s="20" t="n"/>
      <c r="M587" s="19" t="n"/>
      <c r="N587" s="22">
        <f>IF(C587="","",IF(ISNUMBER(I587),I587,IF(ISNUMBER(H587),H587,"")))</f>
        <v/>
      </c>
      <c r="O587" s="23">
        <f>IF(OR(C587="",NOT(ISNUMBER(G587))),"",(TODAY()-INT(G587))/365.25)</f>
        <v/>
      </c>
      <c r="P587" s="13">
        <f>IF(OR(C587="",NOT(ISNUMBER(L587))),"",IF(L587&lt;TODAY(),"Ended",IF(L587-TODAY()&lt;=N(Settings!$C$10),"Ends soon","Covered")))</f>
        <v/>
      </c>
      <c r="Q587" s="13">
        <f>IF(C587="","",MID(IF(N587="",", value","")&amp;IF(OR(J587="",J587="No"),", receipt","")&amp;IF(K587="",", photo",""),3,100))</f>
        <v/>
      </c>
      <c r="R587" s="13">
        <f>IF(AND(B587="",C587=""),"",IF(C587="","Needs the item",IF(B587="","Needs a room",IF(COUNTIF(Rooms!$B$6:$B$35,B587)=0,"Not on Rooms",IF(AND(H587&lt;&gt;"",NOT(ISNUMBER(H587))),"Paid not a number",IF(AND(I587&lt;&gt;"",NOT(ISNUMBER(I587))),"Worth not a number",IF(AND(G587&lt;&gt;"",NOT(ISNUMBER(G587))),"Bought is not a date",IF(AND(L587&lt;&gt;"",NOT(ISNUMBER(L587))),"Warranty is not a date",""))))))))</f>
        <v/>
      </c>
      <c r="S587" s="1">
        <f>IF(AND(C587&lt;&gt;"",R587=""),1,0)</f>
        <v/>
      </c>
      <c r="T587">
        <f>IF(S587=1,N(N587),0)</f>
        <v/>
      </c>
      <c r="U587">
        <f>IF(AND(S587=1,T587&gt;0),ROUND(T587*100,0)*10000+10000-ROW(),"")</f>
        <v/>
      </c>
      <c r="V587">
        <f>IF(AND(S587=1,OR(Report!$C$5="",B587=Report!$C$5)),MATCH(B587,Rooms!$B$6:$B$35,0)*10000+ROW(),"")</f>
        <v/>
      </c>
      <c r="W587">
        <f>IF(AND(S587=1,OR(J587="",J587="No")),1,0)</f>
        <v/>
      </c>
      <c r="X587">
        <f>IF(AND(S587=1,K587=""),1,0)</f>
        <v/>
      </c>
      <c r="Y587">
        <f>IF(AND(S587=1,Q587&lt;&gt;""),ROUND(T587*100,0)*10000+10000-ROW(),"")</f>
        <v/>
      </c>
    </row>
    <row r="588">
      <c r="A588" s="1" t="n"/>
      <c r="B588" s="17" t="n"/>
      <c r="C588" s="18" t="n"/>
      <c r="D588" s="17" t="n"/>
      <c r="E588" s="19" t="n"/>
      <c r="F588" s="19" t="n"/>
      <c r="G588" s="20" t="n"/>
      <c r="H588" s="21" t="n"/>
      <c r="I588" s="21" t="n"/>
      <c r="J588" s="17" t="n"/>
      <c r="K588" s="19" t="n"/>
      <c r="L588" s="20" t="n"/>
      <c r="M588" s="19" t="n"/>
      <c r="N588" s="22">
        <f>IF(C588="","",IF(ISNUMBER(I588),I588,IF(ISNUMBER(H588),H588,"")))</f>
        <v/>
      </c>
      <c r="O588" s="23">
        <f>IF(OR(C588="",NOT(ISNUMBER(G588))),"",(TODAY()-INT(G588))/365.25)</f>
        <v/>
      </c>
      <c r="P588" s="13">
        <f>IF(OR(C588="",NOT(ISNUMBER(L588))),"",IF(L588&lt;TODAY(),"Ended",IF(L588-TODAY()&lt;=N(Settings!$C$10),"Ends soon","Covered")))</f>
        <v/>
      </c>
      <c r="Q588" s="13">
        <f>IF(C588="","",MID(IF(N588="",", value","")&amp;IF(OR(J588="",J588="No"),", receipt","")&amp;IF(K588="",", photo",""),3,100))</f>
        <v/>
      </c>
      <c r="R588" s="13">
        <f>IF(AND(B588="",C588=""),"",IF(C588="","Needs the item",IF(B588="","Needs a room",IF(COUNTIF(Rooms!$B$6:$B$35,B588)=0,"Not on Rooms",IF(AND(H588&lt;&gt;"",NOT(ISNUMBER(H588))),"Paid not a number",IF(AND(I588&lt;&gt;"",NOT(ISNUMBER(I588))),"Worth not a number",IF(AND(G588&lt;&gt;"",NOT(ISNUMBER(G588))),"Bought is not a date",IF(AND(L588&lt;&gt;"",NOT(ISNUMBER(L588))),"Warranty is not a date",""))))))))</f>
        <v/>
      </c>
      <c r="S588" s="1">
        <f>IF(AND(C588&lt;&gt;"",R588=""),1,0)</f>
        <v/>
      </c>
      <c r="T588">
        <f>IF(S588=1,N(N588),0)</f>
        <v/>
      </c>
      <c r="U588">
        <f>IF(AND(S588=1,T588&gt;0),ROUND(T588*100,0)*10000+10000-ROW(),"")</f>
        <v/>
      </c>
      <c r="V588">
        <f>IF(AND(S588=1,OR(Report!$C$5="",B588=Report!$C$5)),MATCH(B588,Rooms!$B$6:$B$35,0)*10000+ROW(),"")</f>
        <v/>
      </c>
      <c r="W588">
        <f>IF(AND(S588=1,OR(J588="",J588="No")),1,0)</f>
        <v/>
      </c>
      <c r="X588">
        <f>IF(AND(S588=1,K588=""),1,0)</f>
        <v/>
      </c>
      <c r="Y588">
        <f>IF(AND(S588=1,Q588&lt;&gt;""),ROUND(T588*100,0)*10000+10000-ROW(),"")</f>
        <v/>
      </c>
    </row>
    <row r="589">
      <c r="A589" s="1" t="n"/>
      <c r="B589" s="17" t="n"/>
      <c r="C589" s="18" t="n"/>
      <c r="D589" s="17" t="n"/>
      <c r="E589" s="19" t="n"/>
      <c r="F589" s="19" t="n"/>
      <c r="G589" s="20" t="n"/>
      <c r="H589" s="21" t="n"/>
      <c r="I589" s="21" t="n"/>
      <c r="J589" s="17" t="n"/>
      <c r="K589" s="19" t="n"/>
      <c r="L589" s="20" t="n"/>
      <c r="M589" s="19" t="n"/>
      <c r="N589" s="22">
        <f>IF(C589="","",IF(ISNUMBER(I589),I589,IF(ISNUMBER(H589),H589,"")))</f>
        <v/>
      </c>
      <c r="O589" s="23">
        <f>IF(OR(C589="",NOT(ISNUMBER(G589))),"",(TODAY()-INT(G589))/365.25)</f>
        <v/>
      </c>
      <c r="P589" s="13">
        <f>IF(OR(C589="",NOT(ISNUMBER(L589))),"",IF(L589&lt;TODAY(),"Ended",IF(L589-TODAY()&lt;=N(Settings!$C$10),"Ends soon","Covered")))</f>
        <v/>
      </c>
      <c r="Q589" s="13">
        <f>IF(C589="","",MID(IF(N589="",", value","")&amp;IF(OR(J589="",J589="No"),", receipt","")&amp;IF(K589="",", photo",""),3,100))</f>
        <v/>
      </c>
      <c r="R589" s="13">
        <f>IF(AND(B589="",C589=""),"",IF(C589="","Needs the item",IF(B589="","Needs a room",IF(COUNTIF(Rooms!$B$6:$B$35,B589)=0,"Not on Rooms",IF(AND(H589&lt;&gt;"",NOT(ISNUMBER(H589))),"Paid not a number",IF(AND(I589&lt;&gt;"",NOT(ISNUMBER(I589))),"Worth not a number",IF(AND(G589&lt;&gt;"",NOT(ISNUMBER(G589))),"Bought is not a date",IF(AND(L589&lt;&gt;"",NOT(ISNUMBER(L589))),"Warranty is not a date",""))))))))</f>
        <v/>
      </c>
      <c r="S589" s="1">
        <f>IF(AND(C589&lt;&gt;"",R589=""),1,0)</f>
        <v/>
      </c>
      <c r="T589">
        <f>IF(S589=1,N(N589),0)</f>
        <v/>
      </c>
      <c r="U589">
        <f>IF(AND(S589=1,T589&gt;0),ROUND(T589*100,0)*10000+10000-ROW(),"")</f>
        <v/>
      </c>
      <c r="V589">
        <f>IF(AND(S589=1,OR(Report!$C$5="",B589=Report!$C$5)),MATCH(B589,Rooms!$B$6:$B$35,0)*10000+ROW(),"")</f>
        <v/>
      </c>
      <c r="W589">
        <f>IF(AND(S589=1,OR(J589="",J589="No")),1,0)</f>
        <v/>
      </c>
      <c r="X589">
        <f>IF(AND(S589=1,K589=""),1,0)</f>
        <v/>
      </c>
      <c r="Y589">
        <f>IF(AND(S589=1,Q589&lt;&gt;""),ROUND(T589*100,0)*10000+10000-ROW(),"")</f>
        <v/>
      </c>
    </row>
    <row r="590">
      <c r="A590" s="1" t="n"/>
      <c r="B590" s="17" t="n"/>
      <c r="C590" s="18" t="n"/>
      <c r="D590" s="17" t="n"/>
      <c r="E590" s="19" t="n"/>
      <c r="F590" s="19" t="n"/>
      <c r="G590" s="20" t="n"/>
      <c r="H590" s="21" t="n"/>
      <c r="I590" s="21" t="n"/>
      <c r="J590" s="17" t="n"/>
      <c r="K590" s="19" t="n"/>
      <c r="L590" s="20" t="n"/>
      <c r="M590" s="19" t="n"/>
      <c r="N590" s="22">
        <f>IF(C590="","",IF(ISNUMBER(I590),I590,IF(ISNUMBER(H590),H590,"")))</f>
        <v/>
      </c>
      <c r="O590" s="23">
        <f>IF(OR(C590="",NOT(ISNUMBER(G590))),"",(TODAY()-INT(G590))/365.25)</f>
        <v/>
      </c>
      <c r="P590" s="13">
        <f>IF(OR(C590="",NOT(ISNUMBER(L590))),"",IF(L590&lt;TODAY(),"Ended",IF(L590-TODAY()&lt;=N(Settings!$C$10),"Ends soon","Covered")))</f>
        <v/>
      </c>
      <c r="Q590" s="13">
        <f>IF(C590="","",MID(IF(N590="",", value","")&amp;IF(OR(J590="",J590="No"),", receipt","")&amp;IF(K590="",", photo",""),3,100))</f>
        <v/>
      </c>
      <c r="R590" s="13">
        <f>IF(AND(B590="",C590=""),"",IF(C590="","Needs the item",IF(B590="","Needs a room",IF(COUNTIF(Rooms!$B$6:$B$35,B590)=0,"Not on Rooms",IF(AND(H590&lt;&gt;"",NOT(ISNUMBER(H590))),"Paid not a number",IF(AND(I590&lt;&gt;"",NOT(ISNUMBER(I590))),"Worth not a number",IF(AND(G590&lt;&gt;"",NOT(ISNUMBER(G590))),"Bought is not a date",IF(AND(L590&lt;&gt;"",NOT(ISNUMBER(L590))),"Warranty is not a date",""))))))))</f>
        <v/>
      </c>
      <c r="S590" s="1">
        <f>IF(AND(C590&lt;&gt;"",R590=""),1,0)</f>
        <v/>
      </c>
      <c r="T590">
        <f>IF(S590=1,N(N590),0)</f>
        <v/>
      </c>
      <c r="U590">
        <f>IF(AND(S590=1,T590&gt;0),ROUND(T590*100,0)*10000+10000-ROW(),"")</f>
        <v/>
      </c>
      <c r="V590">
        <f>IF(AND(S590=1,OR(Report!$C$5="",B590=Report!$C$5)),MATCH(B590,Rooms!$B$6:$B$35,0)*10000+ROW(),"")</f>
        <v/>
      </c>
      <c r="W590">
        <f>IF(AND(S590=1,OR(J590="",J590="No")),1,0)</f>
        <v/>
      </c>
      <c r="X590">
        <f>IF(AND(S590=1,K590=""),1,0)</f>
        <v/>
      </c>
      <c r="Y590">
        <f>IF(AND(S590=1,Q590&lt;&gt;""),ROUND(T590*100,0)*10000+10000-ROW(),"")</f>
        <v/>
      </c>
    </row>
    <row r="591">
      <c r="A591" s="1" t="n"/>
      <c r="B591" s="17" t="n"/>
      <c r="C591" s="18" t="n"/>
      <c r="D591" s="17" t="n"/>
      <c r="E591" s="19" t="n"/>
      <c r="F591" s="19" t="n"/>
      <c r="G591" s="20" t="n"/>
      <c r="H591" s="21" t="n"/>
      <c r="I591" s="21" t="n"/>
      <c r="J591" s="17" t="n"/>
      <c r="K591" s="19" t="n"/>
      <c r="L591" s="20" t="n"/>
      <c r="M591" s="19" t="n"/>
      <c r="N591" s="22">
        <f>IF(C591="","",IF(ISNUMBER(I591),I591,IF(ISNUMBER(H591),H591,"")))</f>
        <v/>
      </c>
      <c r="O591" s="23">
        <f>IF(OR(C591="",NOT(ISNUMBER(G591))),"",(TODAY()-INT(G591))/365.25)</f>
        <v/>
      </c>
      <c r="P591" s="13">
        <f>IF(OR(C591="",NOT(ISNUMBER(L591))),"",IF(L591&lt;TODAY(),"Ended",IF(L591-TODAY()&lt;=N(Settings!$C$10),"Ends soon","Covered")))</f>
        <v/>
      </c>
      <c r="Q591" s="13">
        <f>IF(C591="","",MID(IF(N591="",", value","")&amp;IF(OR(J591="",J591="No"),", receipt","")&amp;IF(K591="",", photo",""),3,100))</f>
        <v/>
      </c>
      <c r="R591" s="13">
        <f>IF(AND(B591="",C591=""),"",IF(C591="","Needs the item",IF(B591="","Needs a room",IF(COUNTIF(Rooms!$B$6:$B$35,B591)=0,"Not on Rooms",IF(AND(H591&lt;&gt;"",NOT(ISNUMBER(H591))),"Paid not a number",IF(AND(I591&lt;&gt;"",NOT(ISNUMBER(I591))),"Worth not a number",IF(AND(G591&lt;&gt;"",NOT(ISNUMBER(G591))),"Bought is not a date",IF(AND(L591&lt;&gt;"",NOT(ISNUMBER(L591))),"Warranty is not a date",""))))))))</f>
        <v/>
      </c>
      <c r="S591" s="1">
        <f>IF(AND(C591&lt;&gt;"",R591=""),1,0)</f>
        <v/>
      </c>
      <c r="T591">
        <f>IF(S591=1,N(N591),0)</f>
        <v/>
      </c>
      <c r="U591">
        <f>IF(AND(S591=1,T591&gt;0),ROUND(T591*100,0)*10000+10000-ROW(),"")</f>
        <v/>
      </c>
      <c r="V591">
        <f>IF(AND(S591=1,OR(Report!$C$5="",B591=Report!$C$5)),MATCH(B591,Rooms!$B$6:$B$35,0)*10000+ROW(),"")</f>
        <v/>
      </c>
      <c r="W591">
        <f>IF(AND(S591=1,OR(J591="",J591="No")),1,0)</f>
        <v/>
      </c>
      <c r="X591">
        <f>IF(AND(S591=1,K591=""),1,0)</f>
        <v/>
      </c>
      <c r="Y591">
        <f>IF(AND(S591=1,Q591&lt;&gt;""),ROUND(T591*100,0)*10000+10000-ROW(),"")</f>
        <v/>
      </c>
    </row>
    <row r="592">
      <c r="A592" s="1" t="n"/>
      <c r="B592" s="17" t="n"/>
      <c r="C592" s="18" t="n"/>
      <c r="D592" s="17" t="n"/>
      <c r="E592" s="19" t="n"/>
      <c r="F592" s="19" t="n"/>
      <c r="G592" s="20" t="n"/>
      <c r="H592" s="21" t="n"/>
      <c r="I592" s="21" t="n"/>
      <c r="J592" s="17" t="n"/>
      <c r="K592" s="19" t="n"/>
      <c r="L592" s="20" t="n"/>
      <c r="M592" s="19" t="n"/>
      <c r="N592" s="22">
        <f>IF(C592="","",IF(ISNUMBER(I592),I592,IF(ISNUMBER(H592),H592,"")))</f>
        <v/>
      </c>
      <c r="O592" s="23">
        <f>IF(OR(C592="",NOT(ISNUMBER(G592))),"",(TODAY()-INT(G592))/365.25)</f>
        <v/>
      </c>
      <c r="P592" s="13">
        <f>IF(OR(C592="",NOT(ISNUMBER(L592))),"",IF(L592&lt;TODAY(),"Ended",IF(L592-TODAY()&lt;=N(Settings!$C$10),"Ends soon","Covered")))</f>
        <v/>
      </c>
      <c r="Q592" s="13">
        <f>IF(C592="","",MID(IF(N592="",", value","")&amp;IF(OR(J592="",J592="No"),", receipt","")&amp;IF(K592="",", photo",""),3,100))</f>
        <v/>
      </c>
      <c r="R592" s="13">
        <f>IF(AND(B592="",C592=""),"",IF(C592="","Needs the item",IF(B592="","Needs a room",IF(COUNTIF(Rooms!$B$6:$B$35,B592)=0,"Not on Rooms",IF(AND(H592&lt;&gt;"",NOT(ISNUMBER(H592))),"Paid not a number",IF(AND(I592&lt;&gt;"",NOT(ISNUMBER(I592))),"Worth not a number",IF(AND(G592&lt;&gt;"",NOT(ISNUMBER(G592))),"Bought is not a date",IF(AND(L592&lt;&gt;"",NOT(ISNUMBER(L592))),"Warranty is not a date",""))))))))</f>
        <v/>
      </c>
      <c r="S592" s="1">
        <f>IF(AND(C592&lt;&gt;"",R592=""),1,0)</f>
        <v/>
      </c>
      <c r="T592">
        <f>IF(S592=1,N(N592),0)</f>
        <v/>
      </c>
      <c r="U592">
        <f>IF(AND(S592=1,T592&gt;0),ROUND(T592*100,0)*10000+10000-ROW(),"")</f>
        <v/>
      </c>
      <c r="V592">
        <f>IF(AND(S592=1,OR(Report!$C$5="",B592=Report!$C$5)),MATCH(B592,Rooms!$B$6:$B$35,0)*10000+ROW(),"")</f>
        <v/>
      </c>
      <c r="W592">
        <f>IF(AND(S592=1,OR(J592="",J592="No")),1,0)</f>
        <v/>
      </c>
      <c r="X592">
        <f>IF(AND(S592=1,K592=""),1,0)</f>
        <v/>
      </c>
      <c r="Y592">
        <f>IF(AND(S592=1,Q592&lt;&gt;""),ROUND(T592*100,0)*10000+10000-ROW(),"")</f>
        <v/>
      </c>
    </row>
    <row r="593">
      <c r="A593" s="1" t="n"/>
      <c r="B593" s="17" t="n"/>
      <c r="C593" s="18" t="n"/>
      <c r="D593" s="17" t="n"/>
      <c r="E593" s="19" t="n"/>
      <c r="F593" s="19" t="n"/>
      <c r="G593" s="20" t="n"/>
      <c r="H593" s="21" t="n"/>
      <c r="I593" s="21" t="n"/>
      <c r="J593" s="17" t="n"/>
      <c r="K593" s="19" t="n"/>
      <c r="L593" s="20" t="n"/>
      <c r="M593" s="19" t="n"/>
      <c r="N593" s="22">
        <f>IF(C593="","",IF(ISNUMBER(I593),I593,IF(ISNUMBER(H593),H593,"")))</f>
        <v/>
      </c>
      <c r="O593" s="23">
        <f>IF(OR(C593="",NOT(ISNUMBER(G593))),"",(TODAY()-INT(G593))/365.25)</f>
        <v/>
      </c>
      <c r="P593" s="13">
        <f>IF(OR(C593="",NOT(ISNUMBER(L593))),"",IF(L593&lt;TODAY(),"Ended",IF(L593-TODAY()&lt;=N(Settings!$C$10),"Ends soon","Covered")))</f>
        <v/>
      </c>
      <c r="Q593" s="13">
        <f>IF(C593="","",MID(IF(N593="",", value","")&amp;IF(OR(J593="",J593="No"),", receipt","")&amp;IF(K593="",", photo",""),3,100))</f>
        <v/>
      </c>
      <c r="R593" s="13">
        <f>IF(AND(B593="",C593=""),"",IF(C593="","Needs the item",IF(B593="","Needs a room",IF(COUNTIF(Rooms!$B$6:$B$35,B593)=0,"Not on Rooms",IF(AND(H593&lt;&gt;"",NOT(ISNUMBER(H593))),"Paid not a number",IF(AND(I593&lt;&gt;"",NOT(ISNUMBER(I593))),"Worth not a number",IF(AND(G593&lt;&gt;"",NOT(ISNUMBER(G593))),"Bought is not a date",IF(AND(L593&lt;&gt;"",NOT(ISNUMBER(L593))),"Warranty is not a date",""))))))))</f>
        <v/>
      </c>
      <c r="S593" s="1">
        <f>IF(AND(C593&lt;&gt;"",R593=""),1,0)</f>
        <v/>
      </c>
      <c r="T593">
        <f>IF(S593=1,N(N593),0)</f>
        <v/>
      </c>
      <c r="U593">
        <f>IF(AND(S593=1,T593&gt;0),ROUND(T593*100,0)*10000+10000-ROW(),"")</f>
        <v/>
      </c>
      <c r="V593">
        <f>IF(AND(S593=1,OR(Report!$C$5="",B593=Report!$C$5)),MATCH(B593,Rooms!$B$6:$B$35,0)*10000+ROW(),"")</f>
        <v/>
      </c>
      <c r="W593">
        <f>IF(AND(S593=1,OR(J593="",J593="No")),1,0)</f>
        <v/>
      </c>
      <c r="X593">
        <f>IF(AND(S593=1,K593=""),1,0)</f>
        <v/>
      </c>
      <c r="Y593">
        <f>IF(AND(S593=1,Q593&lt;&gt;""),ROUND(T593*100,0)*10000+10000-ROW(),"")</f>
        <v/>
      </c>
    </row>
    <row r="594">
      <c r="A594" s="1" t="n"/>
      <c r="B594" s="17" t="n"/>
      <c r="C594" s="18" t="n"/>
      <c r="D594" s="17" t="n"/>
      <c r="E594" s="19" t="n"/>
      <c r="F594" s="19" t="n"/>
      <c r="G594" s="20" t="n"/>
      <c r="H594" s="21" t="n"/>
      <c r="I594" s="21" t="n"/>
      <c r="J594" s="17" t="n"/>
      <c r="K594" s="19" t="n"/>
      <c r="L594" s="20" t="n"/>
      <c r="M594" s="19" t="n"/>
      <c r="N594" s="22">
        <f>IF(C594="","",IF(ISNUMBER(I594),I594,IF(ISNUMBER(H594),H594,"")))</f>
        <v/>
      </c>
      <c r="O594" s="23">
        <f>IF(OR(C594="",NOT(ISNUMBER(G594))),"",(TODAY()-INT(G594))/365.25)</f>
        <v/>
      </c>
      <c r="P594" s="13">
        <f>IF(OR(C594="",NOT(ISNUMBER(L594))),"",IF(L594&lt;TODAY(),"Ended",IF(L594-TODAY()&lt;=N(Settings!$C$10),"Ends soon","Covered")))</f>
        <v/>
      </c>
      <c r="Q594" s="13">
        <f>IF(C594="","",MID(IF(N594="",", value","")&amp;IF(OR(J594="",J594="No"),", receipt","")&amp;IF(K594="",", photo",""),3,100))</f>
        <v/>
      </c>
      <c r="R594" s="13">
        <f>IF(AND(B594="",C594=""),"",IF(C594="","Needs the item",IF(B594="","Needs a room",IF(COUNTIF(Rooms!$B$6:$B$35,B594)=0,"Not on Rooms",IF(AND(H594&lt;&gt;"",NOT(ISNUMBER(H594))),"Paid not a number",IF(AND(I594&lt;&gt;"",NOT(ISNUMBER(I594))),"Worth not a number",IF(AND(G594&lt;&gt;"",NOT(ISNUMBER(G594))),"Bought is not a date",IF(AND(L594&lt;&gt;"",NOT(ISNUMBER(L594))),"Warranty is not a date",""))))))))</f>
        <v/>
      </c>
      <c r="S594" s="1">
        <f>IF(AND(C594&lt;&gt;"",R594=""),1,0)</f>
        <v/>
      </c>
      <c r="T594">
        <f>IF(S594=1,N(N594),0)</f>
        <v/>
      </c>
      <c r="U594">
        <f>IF(AND(S594=1,T594&gt;0),ROUND(T594*100,0)*10000+10000-ROW(),"")</f>
        <v/>
      </c>
      <c r="V594">
        <f>IF(AND(S594=1,OR(Report!$C$5="",B594=Report!$C$5)),MATCH(B594,Rooms!$B$6:$B$35,0)*10000+ROW(),"")</f>
        <v/>
      </c>
      <c r="W594">
        <f>IF(AND(S594=1,OR(J594="",J594="No")),1,0)</f>
        <v/>
      </c>
      <c r="X594">
        <f>IF(AND(S594=1,K594=""),1,0)</f>
        <v/>
      </c>
      <c r="Y594">
        <f>IF(AND(S594=1,Q594&lt;&gt;""),ROUND(T594*100,0)*10000+10000-ROW(),"")</f>
        <v/>
      </c>
    </row>
    <row r="595">
      <c r="A595" s="1" t="n"/>
      <c r="B595" s="17" t="n"/>
      <c r="C595" s="18" t="n"/>
      <c r="D595" s="17" t="n"/>
      <c r="E595" s="19" t="n"/>
      <c r="F595" s="19" t="n"/>
      <c r="G595" s="20" t="n"/>
      <c r="H595" s="21" t="n"/>
      <c r="I595" s="21" t="n"/>
      <c r="J595" s="17" t="n"/>
      <c r="K595" s="19" t="n"/>
      <c r="L595" s="20" t="n"/>
      <c r="M595" s="19" t="n"/>
      <c r="N595" s="22">
        <f>IF(C595="","",IF(ISNUMBER(I595),I595,IF(ISNUMBER(H595),H595,"")))</f>
        <v/>
      </c>
      <c r="O595" s="23">
        <f>IF(OR(C595="",NOT(ISNUMBER(G595))),"",(TODAY()-INT(G595))/365.25)</f>
        <v/>
      </c>
      <c r="P595" s="13">
        <f>IF(OR(C595="",NOT(ISNUMBER(L595))),"",IF(L595&lt;TODAY(),"Ended",IF(L595-TODAY()&lt;=N(Settings!$C$10),"Ends soon","Covered")))</f>
        <v/>
      </c>
      <c r="Q595" s="13">
        <f>IF(C595="","",MID(IF(N595="",", value","")&amp;IF(OR(J595="",J595="No"),", receipt","")&amp;IF(K595="",", photo",""),3,100))</f>
        <v/>
      </c>
      <c r="R595" s="13">
        <f>IF(AND(B595="",C595=""),"",IF(C595="","Needs the item",IF(B595="","Needs a room",IF(COUNTIF(Rooms!$B$6:$B$35,B595)=0,"Not on Rooms",IF(AND(H595&lt;&gt;"",NOT(ISNUMBER(H595))),"Paid not a number",IF(AND(I595&lt;&gt;"",NOT(ISNUMBER(I595))),"Worth not a number",IF(AND(G595&lt;&gt;"",NOT(ISNUMBER(G595))),"Bought is not a date",IF(AND(L595&lt;&gt;"",NOT(ISNUMBER(L595))),"Warranty is not a date",""))))))))</f>
        <v/>
      </c>
      <c r="S595" s="1">
        <f>IF(AND(C595&lt;&gt;"",R595=""),1,0)</f>
        <v/>
      </c>
      <c r="T595">
        <f>IF(S595=1,N(N595),0)</f>
        <v/>
      </c>
      <c r="U595">
        <f>IF(AND(S595=1,T595&gt;0),ROUND(T595*100,0)*10000+10000-ROW(),"")</f>
        <v/>
      </c>
      <c r="V595">
        <f>IF(AND(S595=1,OR(Report!$C$5="",B595=Report!$C$5)),MATCH(B595,Rooms!$B$6:$B$35,0)*10000+ROW(),"")</f>
        <v/>
      </c>
      <c r="W595">
        <f>IF(AND(S595=1,OR(J595="",J595="No")),1,0)</f>
        <v/>
      </c>
      <c r="X595">
        <f>IF(AND(S595=1,K595=""),1,0)</f>
        <v/>
      </c>
      <c r="Y595">
        <f>IF(AND(S595=1,Q595&lt;&gt;""),ROUND(T595*100,0)*10000+10000-ROW(),"")</f>
        <v/>
      </c>
    </row>
    <row r="596">
      <c r="A596" s="1" t="n"/>
      <c r="B596" s="17" t="n"/>
      <c r="C596" s="18" t="n"/>
      <c r="D596" s="17" t="n"/>
      <c r="E596" s="19" t="n"/>
      <c r="F596" s="19" t="n"/>
      <c r="G596" s="20" t="n"/>
      <c r="H596" s="21" t="n"/>
      <c r="I596" s="21" t="n"/>
      <c r="J596" s="17" t="n"/>
      <c r="K596" s="19" t="n"/>
      <c r="L596" s="20" t="n"/>
      <c r="M596" s="19" t="n"/>
      <c r="N596" s="22">
        <f>IF(C596="","",IF(ISNUMBER(I596),I596,IF(ISNUMBER(H596),H596,"")))</f>
        <v/>
      </c>
      <c r="O596" s="23">
        <f>IF(OR(C596="",NOT(ISNUMBER(G596))),"",(TODAY()-INT(G596))/365.25)</f>
        <v/>
      </c>
      <c r="P596" s="13">
        <f>IF(OR(C596="",NOT(ISNUMBER(L596))),"",IF(L596&lt;TODAY(),"Ended",IF(L596-TODAY()&lt;=N(Settings!$C$10),"Ends soon","Covered")))</f>
        <v/>
      </c>
      <c r="Q596" s="13">
        <f>IF(C596="","",MID(IF(N596="",", value","")&amp;IF(OR(J596="",J596="No"),", receipt","")&amp;IF(K596="",", photo",""),3,100))</f>
        <v/>
      </c>
      <c r="R596" s="13">
        <f>IF(AND(B596="",C596=""),"",IF(C596="","Needs the item",IF(B596="","Needs a room",IF(COUNTIF(Rooms!$B$6:$B$35,B596)=0,"Not on Rooms",IF(AND(H596&lt;&gt;"",NOT(ISNUMBER(H596))),"Paid not a number",IF(AND(I596&lt;&gt;"",NOT(ISNUMBER(I596))),"Worth not a number",IF(AND(G596&lt;&gt;"",NOT(ISNUMBER(G596))),"Bought is not a date",IF(AND(L596&lt;&gt;"",NOT(ISNUMBER(L596))),"Warranty is not a date",""))))))))</f>
        <v/>
      </c>
      <c r="S596" s="1">
        <f>IF(AND(C596&lt;&gt;"",R596=""),1,0)</f>
        <v/>
      </c>
      <c r="T596">
        <f>IF(S596=1,N(N596),0)</f>
        <v/>
      </c>
      <c r="U596">
        <f>IF(AND(S596=1,T596&gt;0),ROUND(T596*100,0)*10000+10000-ROW(),"")</f>
        <v/>
      </c>
      <c r="V596">
        <f>IF(AND(S596=1,OR(Report!$C$5="",B596=Report!$C$5)),MATCH(B596,Rooms!$B$6:$B$35,0)*10000+ROW(),"")</f>
        <v/>
      </c>
      <c r="W596">
        <f>IF(AND(S596=1,OR(J596="",J596="No")),1,0)</f>
        <v/>
      </c>
      <c r="X596">
        <f>IF(AND(S596=1,K596=""),1,0)</f>
        <v/>
      </c>
      <c r="Y596">
        <f>IF(AND(S596=1,Q596&lt;&gt;""),ROUND(T596*100,0)*10000+10000-ROW(),"")</f>
        <v/>
      </c>
    </row>
    <row r="597">
      <c r="A597" s="1" t="n"/>
      <c r="B597" s="17" t="n"/>
      <c r="C597" s="18" t="n"/>
      <c r="D597" s="17" t="n"/>
      <c r="E597" s="19" t="n"/>
      <c r="F597" s="19" t="n"/>
      <c r="G597" s="20" t="n"/>
      <c r="H597" s="21" t="n"/>
      <c r="I597" s="21" t="n"/>
      <c r="J597" s="17" t="n"/>
      <c r="K597" s="19" t="n"/>
      <c r="L597" s="20" t="n"/>
      <c r="M597" s="19" t="n"/>
      <c r="N597" s="22">
        <f>IF(C597="","",IF(ISNUMBER(I597),I597,IF(ISNUMBER(H597),H597,"")))</f>
        <v/>
      </c>
      <c r="O597" s="23">
        <f>IF(OR(C597="",NOT(ISNUMBER(G597))),"",(TODAY()-INT(G597))/365.25)</f>
        <v/>
      </c>
      <c r="P597" s="13">
        <f>IF(OR(C597="",NOT(ISNUMBER(L597))),"",IF(L597&lt;TODAY(),"Ended",IF(L597-TODAY()&lt;=N(Settings!$C$10),"Ends soon","Covered")))</f>
        <v/>
      </c>
      <c r="Q597" s="13">
        <f>IF(C597="","",MID(IF(N597="",", value","")&amp;IF(OR(J597="",J597="No"),", receipt","")&amp;IF(K597="",", photo",""),3,100))</f>
        <v/>
      </c>
      <c r="R597" s="13">
        <f>IF(AND(B597="",C597=""),"",IF(C597="","Needs the item",IF(B597="","Needs a room",IF(COUNTIF(Rooms!$B$6:$B$35,B597)=0,"Not on Rooms",IF(AND(H597&lt;&gt;"",NOT(ISNUMBER(H597))),"Paid not a number",IF(AND(I597&lt;&gt;"",NOT(ISNUMBER(I597))),"Worth not a number",IF(AND(G597&lt;&gt;"",NOT(ISNUMBER(G597))),"Bought is not a date",IF(AND(L597&lt;&gt;"",NOT(ISNUMBER(L597))),"Warranty is not a date",""))))))))</f>
        <v/>
      </c>
      <c r="S597" s="1">
        <f>IF(AND(C597&lt;&gt;"",R597=""),1,0)</f>
        <v/>
      </c>
      <c r="T597">
        <f>IF(S597=1,N(N597),0)</f>
        <v/>
      </c>
      <c r="U597">
        <f>IF(AND(S597=1,T597&gt;0),ROUND(T597*100,0)*10000+10000-ROW(),"")</f>
        <v/>
      </c>
      <c r="V597">
        <f>IF(AND(S597=1,OR(Report!$C$5="",B597=Report!$C$5)),MATCH(B597,Rooms!$B$6:$B$35,0)*10000+ROW(),"")</f>
        <v/>
      </c>
      <c r="W597">
        <f>IF(AND(S597=1,OR(J597="",J597="No")),1,0)</f>
        <v/>
      </c>
      <c r="X597">
        <f>IF(AND(S597=1,K597=""),1,0)</f>
        <v/>
      </c>
      <c r="Y597">
        <f>IF(AND(S597=1,Q597&lt;&gt;""),ROUND(T597*100,0)*10000+10000-ROW(),"")</f>
        <v/>
      </c>
    </row>
    <row r="598">
      <c r="A598" s="1" t="n"/>
      <c r="B598" s="17" t="n"/>
      <c r="C598" s="18" t="n"/>
      <c r="D598" s="17" t="n"/>
      <c r="E598" s="19" t="n"/>
      <c r="F598" s="19" t="n"/>
      <c r="G598" s="20" t="n"/>
      <c r="H598" s="21" t="n"/>
      <c r="I598" s="21" t="n"/>
      <c r="J598" s="17" t="n"/>
      <c r="K598" s="19" t="n"/>
      <c r="L598" s="20" t="n"/>
      <c r="M598" s="19" t="n"/>
      <c r="N598" s="22">
        <f>IF(C598="","",IF(ISNUMBER(I598),I598,IF(ISNUMBER(H598),H598,"")))</f>
        <v/>
      </c>
      <c r="O598" s="23">
        <f>IF(OR(C598="",NOT(ISNUMBER(G598))),"",(TODAY()-INT(G598))/365.25)</f>
        <v/>
      </c>
      <c r="P598" s="13">
        <f>IF(OR(C598="",NOT(ISNUMBER(L598))),"",IF(L598&lt;TODAY(),"Ended",IF(L598-TODAY()&lt;=N(Settings!$C$10),"Ends soon","Covered")))</f>
        <v/>
      </c>
      <c r="Q598" s="13">
        <f>IF(C598="","",MID(IF(N598="",", value","")&amp;IF(OR(J598="",J598="No"),", receipt","")&amp;IF(K598="",", photo",""),3,100))</f>
        <v/>
      </c>
      <c r="R598" s="13">
        <f>IF(AND(B598="",C598=""),"",IF(C598="","Needs the item",IF(B598="","Needs a room",IF(COUNTIF(Rooms!$B$6:$B$35,B598)=0,"Not on Rooms",IF(AND(H598&lt;&gt;"",NOT(ISNUMBER(H598))),"Paid not a number",IF(AND(I598&lt;&gt;"",NOT(ISNUMBER(I598))),"Worth not a number",IF(AND(G598&lt;&gt;"",NOT(ISNUMBER(G598))),"Bought is not a date",IF(AND(L598&lt;&gt;"",NOT(ISNUMBER(L598))),"Warranty is not a date",""))))))))</f>
        <v/>
      </c>
      <c r="S598" s="1">
        <f>IF(AND(C598&lt;&gt;"",R598=""),1,0)</f>
        <v/>
      </c>
      <c r="T598">
        <f>IF(S598=1,N(N598),0)</f>
        <v/>
      </c>
      <c r="U598">
        <f>IF(AND(S598=1,T598&gt;0),ROUND(T598*100,0)*10000+10000-ROW(),"")</f>
        <v/>
      </c>
      <c r="V598">
        <f>IF(AND(S598=1,OR(Report!$C$5="",B598=Report!$C$5)),MATCH(B598,Rooms!$B$6:$B$35,0)*10000+ROW(),"")</f>
        <v/>
      </c>
      <c r="W598">
        <f>IF(AND(S598=1,OR(J598="",J598="No")),1,0)</f>
        <v/>
      </c>
      <c r="X598">
        <f>IF(AND(S598=1,K598=""),1,0)</f>
        <v/>
      </c>
      <c r="Y598">
        <f>IF(AND(S598=1,Q598&lt;&gt;""),ROUND(T598*100,0)*10000+10000-ROW(),"")</f>
        <v/>
      </c>
    </row>
    <row r="599">
      <c r="A599" s="1" t="n"/>
      <c r="B599" s="17" t="n"/>
      <c r="C599" s="18" t="n"/>
      <c r="D599" s="17" t="n"/>
      <c r="E599" s="19" t="n"/>
      <c r="F599" s="19" t="n"/>
      <c r="G599" s="20" t="n"/>
      <c r="H599" s="21" t="n"/>
      <c r="I599" s="21" t="n"/>
      <c r="J599" s="17" t="n"/>
      <c r="K599" s="19" t="n"/>
      <c r="L599" s="20" t="n"/>
      <c r="M599" s="19" t="n"/>
      <c r="N599" s="22">
        <f>IF(C599="","",IF(ISNUMBER(I599),I599,IF(ISNUMBER(H599),H599,"")))</f>
        <v/>
      </c>
      <c r="O599" s="23">
        <f>IF(OR(C599="",NOT(ISNUMBER(G599))),"",(TODAY()-INT(G599))/365.25)</f>
        <v/>
      </c>
      <c r="P599" s="13">
        <f>IF(OR(C599="",NOT(ISNUMBER(L599))),"",IF(L599&lt;TODAY(),"Ended",IF(L599-TODAY()&lt;=N(Settings!$C$10),"Ends soon","Covered")))</f>
        <v/>
      </c>
      <c r="Q599" s="13">
        <f>IF(C599="","",MID(IF(N599="",", value","")&amp;IF(OR(J599="",J599="No"),", receipt","")&amp;IF(K599="",", photo",""),3,100))</f>
        <v/>
      </c>
      <c r="R599" s="13">
        <f>IF(AND(B599="",C599=""),"",IF(C599="","Needs the item",IF(B599="","Needs a room",IF(COUNTIF(Rooms!$B$6:$B$35,B599)=0,"Not on Rooms",IF(AND(H599&lt;&gt;"",NOT(ISNUMBER(H599))),"Paid not a number",IF(AND(I599&lt;&gt;"",NOT(ISNUMBER(I599))),"Worth not a number",IF(AND(G599&lt;&gt;"",NOT(ISNUMBER(G599))),"Bought is not a date",IF(AND(L599&lt;&gt;"",NOT(ISNUMBER(L599))),"Warranty is not a date",""))))))))</f>
        <v/>
      </c>
      <c r="S599" s="1">
        <f>IF(AND(C599&lt;&gt;"",R599=""),1,0)</f>
        <v/>
      </c>
      <c r="T599">
        <f>IF(S599=1,N(N599),0)</f>
        <v/>
      </c>
      <c r="U599">
        <f>IF(AND(S599=1,T599&gt;0),ROUND(T599*100,0)*10000+10000-ROW(),"")</f>
        <v/>
      </c>
      <c r="V599">
        <f>IF(AND(S599=1,OR(Report!$C$5="",B599=Report!$C$5)),MATCH(B599,Rooms!$B$6:$B$35,0)*10000+ROW(),"")</f>
        <v/>
      </c>
      <c r="W599">
        <f>IF(AND(S599=1,OR(J599="",J599="No")),1,0)</f>
        <v/>
      </c>
      <c r="X599">
        <f>IF(AND(S599=1,K599=""),1,0)</f>
        <v/>
      </c>
      <c r="Y599">
        <f>IF(AND(S599=1,Q599&lt;&gt;""),ROUND(T599*100,0)*10000+10000-ROW(),"")</f>
        <v/>
      </c>
    </row>
    <row r="600">
      <c r="A600" s="1" t="n"/>
      <c r="B600" s="17" t="n"/>
      <c r="C600" s="18" t="n"/>
      <c r="D600" s="17" t="n"/>
      <c r="E600" s="19" t="n"/>
      <c r="F600" s="19" t="n"/>
      <c r="G600" s="20" t="n"/>
      <c r="H600" s="21" t="n"/>
      <c r="I600" s="21" t="n"/>
      <c r="J600" s="17" t="n"/>
      <c r="K600" s="19" t="n"/>
      <c r="L600" s="20" t="n"/>
      <c r="M600" s="19" t="n"/>
      <c r="N600" s="22">
        <f>IF(C600="","",IF(ISNUMBER(I600),I600,IF(ISNUMBER(H600),H600,"")))</f>
        <v/>
      </c>
      <c r="O600" s="23">
        <f>IF(OR(C600="",NOT(ISNUMBER(G600))),"",(TODAY()-INT(G600))/365.25)</f>
        <v/>
      </c>
      <c r="P600" s="13">
        <f>IF(OR(C600="",NOT(ISNUMBER(L600))),"",IF(L600&lt;TODAY(),"Ended",IF(L600-TODAY()&lt;=N(Settings!$C$10),"Ends soon","Covered")))</f>
        <v/>
      </c>
      <c r="Q600" s="13">
        <f>IF(C600="","",MID(IF(N600="",", value","")&amp;IF(OR(J600="",J600="No"),", receipt","")&amp;IF(K600="",", photo",""),3,100))</f>
        <v/>
      </c>
      <c r="R600" s="13">
        <f>IF(AND(B600="",C600=""),"",IF(C600="","Needs the item",IF(B600="","Needs a room",IF(COUNTIF(Rooms!$B$6:$B$35,B600)=0,"Not on Rooms",IF(AND(H600&lt;&gt;"",NOT(ISNUMBER(H600))),"Paid not a number",IF(AND(I600&lt;&gt;"",NOT(ISNUMBER(I600))),"Worth not a number",IF(AND(G600&lt;&gt;"",NOT(ISNUMBER(G600))),"Bought is not a date",IF(AND(L600&lt;&gt;"",NOT(ISNUMBER(L600))),"Warranty is not a date",""))))))))</f>
        <v/>
      </c>
      <c r="S600" s="1">
        <f>IF(AND(C600&lt;&gt;"",R600=""),1,0)</f>
        <v/>
      </c>
      <c r="T600">
        <f>IF(S600=1,N(N600),0)</f>
        <v/>
      </c>
      <c r="U600">
        <f>IF(AND(S600=1,T600&gt;0),ROUND(T600*100,0)*10000+10000-ROW(),"")</f>
        <v/>
      </c>
      <c r="V600">
        <f>IF(AND(S600=1,OR(Report!$C$5="",B600=Report!$C$5)),MATCH(B600,Rooms!$B$6:$B$35,0)*10000+ROW(),"")</f>
        <v/>
      </c>
      <c r="W600">
        <f>IF(AND(S600=1,OR(J600="",J600="No")),1,0)</f>
        <v/>
      </c>
      <c r="X600">
        <f>IF(AND(S600=1,K600=""),1,0)</f>
        <v/>
      </c>
      <c r="Y600">
        <f>IF(AND(S600=1,Q600&lt;&gt;""),ROUND(T600*100,0)*10000+10000-ROW(),"")</f>
        <v/>
      </c>
    </row>
    <row r="601">
      <c r="A601" s="1" t="n"/>
      <c r="B601" s="17" t="n"/>
      <c r="C601" s="18" t="n"/>
      <c r="D601" s="17" t="n"/>
      <c r="E601" s="19" t="n"/>
      <c r="F601" s="19" t="n"/>
      <c r="G601" s="20" t="n"/>
      <c r="H601" s="21" t="n"/>
      <c r="I601" s="21" t="n"/>
      <c r="J601" s="17" t="n"/>
      <c r="K601" s="19" t="n"/>
      <c r="L601" s="20" t="n"/>
      <c r="M601" s="19" t="n"/>
      <c r="N601" s="22">
        <f>IF(C601="","",IF(ISNUMBER(I601),I601,IF(ISNUMBER(H601),H601,"")))</f>
        <v/>
      </c>
      <c r="O601" s="23">
        <f>IF(OR(C601="",NOT(ISNUMBER(G601))),"",(TODAY()-INT(G601))/365.25)</f>
        <v/>
      </c>
      <c r="P601" s="13">
        <f>IF(OR(C601="",NOT(ISNUMBER(L601))),"",IF(L601&lt;TODAY(),"Ended",IF(L601-TODAY()&lt;=N(Settings!$C$10),"Ends soon","Covered")))</f>
        <v/>
      </c>
      <c r="Q601" s="13">
        <f>IF(C601="","",MID(IF(N601="",", value","")&amp;IF(OR(J601="",J601="No"),", receipt","")&amp;IF(K601="",", photo",""),3,100))</f>
        <v/>
      </c>
      <c r="R601" s="13">
        <f>IF(AND(B601="",C601=""),"",IF(C601="","Needs the item",IF(B601="","Needs a room",IF(COUNTIF(Rooms!$B$6:$B$35,B601)=0,"Not on Rooms",IF(AND(H601&lt;&gt;"",NOT(ISNUMBER(H601))),"Paid not a number",IF(AND(I601&lt;&gt;"",NOT(ISNUMBER(I601))),"Worth not a number",IF(AND(G601&lt;&gt;"",NOT(ISNUMBER(G601))),"Bought is not a date",IF(AND(L601&lt;&gt;"",NOT(ISNUMBER(L601))),"Warranty is not a date",""))))))))</f>
        <v/>
      </c>
      <c r="S601" s="1">
        <f>IF(AND(C601&lt;&gt;"",R601=""),1,0)</f>
        <v/>
      </c>
      <c r="T601">
        <f>IF(S601=1,N(N601),0)</f>
        <v/>
      </c>
      <c r="U601">
        <f>IF(AND(S601=1,T601&gt;0),ROUND(T601*100,0)*10000+10000-ROW(),"")</f>
        <v/>
      </c>
      <c r="V601">
        <f>IF(AND(S601=1,OR(Report!$C$5="",B601=Report!$C$5)),MATCH(B601,Rooms!$B$6:$B$35,0)*10000+ROW(),"")</f>
        <v/>
      </c>
      <c r="W601">
        <f>IF(AND(S601=1,OR(J601="",J601="No")),1,0)</f>
        <v/>
      </c>
      <c r="X601">
        <f>IF(AND(S601=1,K601=""),1,0)</f>
        <v/>
      </c>
      <c r="Y601">
        <f>IF(AND(S601=1,Q601&lt;&gt;""),ROUND(T601*100,0)*10000+10000-ROW(),"")</f>
        <v/>
      </c>
    </row>
    <row r="602">
      <c r="A602" s="1" t="n"/>
      <c r="B602" s="17" t="n"/>
      <c r="C602" s="18" t="n"/>
      <c r="D602" s="17" t="n"/>
      <c r="E602" s="19" t="n"/>
      <c r="F602" s="19" t="n"/>
      <c r="G602" s="20" t="n"/>
      <c r="H602" s="21" t="n"/>
      <c r="I602" s="21" t="n"/>
      <c r="J602" s="17" t="n"/>
      <c r="K602" s="19" t="n"/>
      <c r="L602" s="20" t="n"/>
      <c r="M602" s="19" t="n"/>
      <c r="N602" s="22">
        <f>IF(C602="","",IF(ISNUMBER(I602),I602,IF(ISNUMBER(H602),H602,"")))</f>
        <v/>
      </c>
      <c r="O602" s="23">
        <f>IF(OR(C602="",NOT(ISNUMBER(G602))),"",(TODAY()-INT(G602))/365.25)</f>
        <v/>
      </c>
      <c r="P602" s="13">
        <f>IF(OR(C602="",NOT(ISNUMBER(L602))),"",IF(L602&lt;TODAY(),"Ended",IF(L602-TODAY()&lt;=N(Settings!$C$10),"Ends soon","Covered")))</f>
        <v/>
      </c>
      <c r="Q602" s="13">
        <f>IF(C602="","",MID(IF(N602="",", value","")&amp;IF(OR(J602="",J602="No"),", receipt","")&amp;IF(K602="",", photo",""),3,100))</f>
        <v/>
      </c>
      <c r="R602" s="13">
        <f>IF(AND(B602="",C602=""),"",IF(C602="","Needs the item",IF(B602="","Needs a room",IF(COUNTIF(Rooms!$B$6:$B$35,B602)=0,"Not on Rooms",IF(AND(H602&lt;&gt;"",NOT(ISNUMBER(H602))),"Paid not a number",IF(AND(I602&lt;&gt;"",NOT(ISNUMBER(I602))),"Worth not a number",IF(AND(G602&lt;&gt;"",NOT(ISNUMBER(G602))),"Bought is not a date",IF(AND(L602&lt;&gt;"",NOT(ISNUMBER(L602))),"Warranty is not a date",""))))))))</f>
        <v/>
      </c>
      <c r="S602" s="1">
        <f>IF(AND(C602&lt;&gt;"",R602=""),1,0)</f>
        <v/>
      </c>
      <c r="T602">
        <f>IF(S602=1,N(N602),0)</f>
        <v/>
      </c>
      <c r="U602">
        <f>IF(AND(S602=1,T602&gt;0),ROUND(T602*100,0)*10000+10000-ROW(),"")</f>
        <v/>
      </c>
      <c r="V602">
        <f>IF(AND(S602=1,OR(Report!$C$5="",B602=Report!$C$5)),MATCH(B602,Rooms!$B$6:$B$35,0)*10000+ROW(),"")</f>
        <v/>
      </c>
      <c r="W602">
        <f>IF(AND(S602=1,OR(J602="",J602="No")),1,0)</f>
        <v/>
      </c>
      <c r="X602">
        <f>IF(AND(S602=1,K602=""),1,0)</f>
        <v/>
      </c>
      <c r="Y602">
        <f>IF(AND(S602=1,Q602&lt;&gt;""),ROUND(T602*100,0)*10000+10000-ROW(),"")</f>
        <v/>
      </c>
    </row>
    <row r="603">
      <c r="A603" s="1" t="n"/>
      <c r="B603" s="17" t="n"/>
      <c r="C603" s="18" t="n"/>
      <c r="D603" s="17" t="n"/>
      <c r="E603" s="19" t="n"/>
      <c r="F603" s="19" t="n"/>
      <c r="G603" s="20" t="n"/>
      <c r="H603" s="21" t="n"/>
      <c r="I603" s="21" t="n"/>
      <c r="J603" s="17" t="n"/>
      <c r="K603" s="19" t="n"/>
      <c r="L603" s="20" t="n"/>
      <c r="M603" s="19" t="n"/>
      <c r="N603" s="22">
        <f>IF(C603="","",IF(ISNUMBER(I603),I603,IF(ISNUMBER(H603),H603,"")))</f>
        <v/>
      </c>
      <c r="O603" s="23">
        <f>IF(OR(C603="",NOT(ISNUMBER(G603))),"",(TODAY()-INT(G603))/365.25)</f>
        <v/>
      </c>
      <c r="P603" s="13">
        <f>IF(OR(C603="",NOT(ISNUMBER(L603))),"",IF(L603&lt;TODAY(),"Ended",IF(L603-TODAY()&lt;=N(Settings!$C$10),"Ends soon","Covered")))</f>
        <v/>
      </c>
      <c r="Q603" s="13">
        <f>IF(C603="","",MID(IF(N603="",", value","")&amp;IF(OR(J603="",J603="No"),", receipt","")&amp;IF(K603="",", photo",""),3,100))</f>
        <v/>
      </c>
      <c r="R603" s="13">
        <f>IF(AND(B603="",C603=""),"",IF(C603="","Needs the item",IF(B603="","Needs a room",IF(COUNTIF(Rooms!$B$6:$B$35,B603)=0,"Not on Rooms",IF(AND(H603&lt;&gt;"",NOT(ISNUMBER(H603))),"Paid not a number",IF(AND(I603&lt;&gt;"",NOT(ISNUMBER(I603))),"Worth not a number",IF(AND(G603&lt;&gt;"",NOT(ISNUMBER(G603))),"Bought is not a date",IF(AND(L603&lt;&gt;"",NOT(ISNUMBER(L603))),"Warranty is not a date",""))))))))</f>
        <v/>
      </c>
      <c r="S603" s="1">
        <f>IF(AND(C603&lt;&gt;"",R603=""),1,0)</f>
        <v/>
      </c>
      <c r="T603">
        <f>IF(S603=1,N(N603),0)</f>
        <v/>
      </c>
      <c r="U603">
        <f>IF(AND(S603=1,T603&gt;0),ROUND(T603*100,0)*10000+10000-ROW(),"")</f>
        <v/>
      </c>
      <c r="V603">
        <f>IF(AND(S603=1,OR(Report!$C$5="",B603=Report!$C$5)),MATCH(B603,Rooms!$B$6:$B$35,0)*10000+ROW(),"")</f>
        <v/>
      </c>
      <c r="W603">
        <f>IF(AND(S603=1,OR(J603="",J603="No")),1,0)</f>
        <v/>
      </c>
      <c r="X603">
        <f>IF(AND(S603=1,K603=""),1,0)</f>
        <v/>
      </c>
      <c r="Y603">
        <f>IF(AND(S603=1,Q603&lt;&gt;""),ROUND(T603*100,0)*10000+10000-ROW(),"")</f>
        <v/>
      </c>
    </row>
    <row r="604">
      <c r="A604" s="1" t="n"/>
      <c r="B604" s="17" t="n"/>
      <c r="C604" s="18" t="n"/>
      <c r="D604" s="17" t="n"/>
      <c r="E604" s="19" t="n"/>
      <c r="F604" s="19" t="n"/>
      <c r="G604" s="20" t="n"/>
      <c r="H604" s="21" t="n"/>
      <c r="I604" s="21" t="n"/>
      <c r="J604" s="17" t="n"/>
      <c r="K604" s="19" t="n"/>
      <c r="L604" s="20" t="n"/>
      <c r="M604" s="19" t="n"/>
      <c r="N604" s="22">
        <f>IF(C604="","",IF(ISNUMBER(I604),I604,IF(ISNUMBER(H604),H604,"")))</f>
        <v/>
      </c>
      <c r="O604" s="23">
        <f>IF(OR(C604="",NOT(ISNUMBER(G604))),"",(TODAY()-INT(G604))/365.25)</f>
        <v/>
      </c>
      <c r="P604" s="13">
        <f>IF(OR(C604="",NOT(ISNUMBER(L604))),"",IF(L604&lt;TODAY(),"Ended",IF(L604-TODAY()&lt;=N(Settings!$C$10),"Ends soon","Covered")))</f>
        <v/>
      </c>
      <c r="Q604" s="13">
        <f>IF(C604="","",MID(IF(N604="",", value","")&amp;IF(OR(J604="",J604="No"),", receipt","")&amp;IF(K604="",", photo",""),3,100))</f>
        <v/>
      </c>
      <c r="R604" s="13">
        <f>IF(AND(B604="",C604=""),"",IF(C604="","Needs the item",IF(B604="","Needs a room",IF(COUNTIF(Rooms!$B$6:$B$35,B604)=0,"Not on Rooms",IF(AND(H604&lt;&gt;"",NOT(ISNUMBER(H604))),"Paid not a number",IF(AND(I604&lt;&gt;"",NOT(ISNUMBER(I604))),"Worth not a number",IF(AND(G604&lt;&gt;"",NOT(ISNUMBER(G604))),"Bought is not a date",IF(AND(L604&lt;&gt;"",NOT(ISNUMBER(L604))),"Warranty is not a date",""))))))))</f>
        <v/>
      </c>
      <c r="S604" s="1">
        <f>IF(AND(C604&lt;&gt;"",R604=""),1,0)</f>
        <v/>
      </c>
      <c r="T604">
        <f>IF(S604=1,N(N604),0)</f>
        <v/>
      </c>
      <c r="U604">
        <f>IF(AND(S604=1,T604&gt;0),ROUND(T604*100,0)*10000+10000-ROW(),"")</f>
        <v/>
      </c>
      <c r="V604">
        <f>IF(AND(S604=1,OR(Report!$C$5="",B604=Report!$C$5)),MATCH(B604,Rooms!$B$6:$B$35,0)*10000+ROW(),"")</f>
        <v/>
      </c>
      <c r="W604">
        <f>IF(AND(S604=1,OR(J604="",J604="No")),1,0)</f>
        <v/>
      </c>
      <c r="X604">
        <f>IF(AND(S604=1,K604=""),1,0)</f>
        <v/>
      </c>
      <c r="Y604">
        <f>IF(AND(S604=1,Q604&lt;&gt;""),ROUND(T604*100,0)*10000+10000-ROW(),"")</f>
        <v/>
      </c>
    </row>
    <row r="605">
      <c r="A605" s="1" t="n"/>
      <c r="B605" s="17" t="n"/>
      <c r="C605" s="18" t="n"/>
      <c r="D605" s="17" t="n"/>
      <c r="E605" s="19" t="n"/>
      <c r="F605" s="19" t="n"/>
      <c r="G605" s="20" t="n"/>
      <c r="H605" s="21" t="n"/>
      <c r="I605" s="21" t="n"/>
      <c r="J605" s="17" t="n"/>
      <c r="K605" s="19" t="n"/>
      <c r="L605" s="20" t="n"/>
      <c r="M605" s="19" t="n"/>
      <c r="N605" s="22">
        <f>IF(C605="","",IF(ISNUMBER(I605),I605,IF(ISNUMBER(H605),H605,"")))</f>
        <v/>
      </c>
      <c r="O605" s="23">
        <f>IF(OR(C605="",NOT(ISNUMBER(G605))),"",(TODAY()-INT(G605))/365.25)</f>
        <v/>
      </c>
      <c r="P605" s="13">
        <f>IF(OR(C605="",NOT(ISNUMBER(L605))),"",IF(L605&lt;TODAY(),"Ended",IF(L605-TODAY()&lt;=N(Settings!$C$10),"Ends soon","Covered")))</f>
        <v/>
      </c>
      <c r="Q605" s="13">
        <f>IF(C605="","",MID(IF(N605="",", value","")&amp;IF(OR(J605="",J605="No"),", receipt","")&amp;IF(K605="",", photo",""),3,100))</f>
        <v/>
      </c>
      <c r="R605" s="13">
        <f>IF(AND(B605="",C605=""),"",IF(C605="","Needs the item",IF(B605="","Needs a room",IF(COUNTIF(Rooms!$B$6:$B$35,B605)=0,"Not on Rooms",IF(AND(H605&lt;&gt;"",NOT(ISNUMBER(H605))),"Paid not a number",IF(AND(I605&lt;&gt;"",NOT(ISNUMBER(I605))),"Worth not a number",IF(AND(G605&lt;&gt;"",NOT(ISNUMBER(G605))),"Bought is not a date",IF(AND(L605&lt;&gt;"",NOT(ISNUMBER(L605))),"Warranty is not a date",""))))))))</f>
        <v/>
      </c>
      <c r="S605" s="1">
        <f>IF(AND(C605&lt;&gt;"",R605=""),1,0)</f>
        <v/>
      </c>
      <c r="T605">
        <f>IF(S605=1,N(N605),0)</f>
        <v/>
      </c>
      <c r="U605">
        <f>IF(AND(S605=1,T605&gt;0),ROUND(T605*100,0)*10000+10000-ROW(),"")</f>
        <v/>
      </c>
      <c r="V605">
        <f>IF(AND(S605=1,OR(Report!$C$5="",B605=Report!$C$5)),MATCH(B605,Rooms!$B$6:$B$35,0)*10000+ROW(),"")</f>
        <v/>
      </c>
      <c r="W605">
        <f>IF(AND(S605=1,OR(J605="",J605="No")),1,0)</f>
        <v/>
      </c>
      <c r="X605">
        <f>IF(AND(S605=1,K605=""),1,0)</f>
        <v/>
      </c>
      <c r="Y605">
        <f>IF(AND(S605=1,Q605&lt;&gt;""),ROUND(T605*100,0)*10000+10000-ROW(),"")</f>
        <v/>
      </c>
    </row>
    <row r="606">
      <c r="A606" s="1" t="n"/>
      <c r="B606" s="17" t="n"/>
      <c r="C606" s="18" t="n"/>
      <c r="D606" s="17" t="n"/>
      <c r="E606" s="19" t="n"/>
      <c r="F606" s="19" t="n"/>
      <c r="G606" s="20" t="n"/>
      <c r="H606" s="21" t="n"/>
      <c r="I606" s="21" t="n"/>
      <c r="J606" s="17" t="n"/>
      <c r="K606" s="19" t="n"/>
      <c r="L606" s="20" t="n"/>
      <c r="M606" s="19" t="n"/>
      <c r="N606" s="22">
        <f>IF(C606="","",IF(ISNUMBER(I606),I606,IF(ISNUMBER(H606),H606,"")))</f>
        <v/>
      </c>
      <c r="O606" s="23">
        <f>IF(OR(C606="",NOT(ISNUMBER(G606))),"",(TODAY()-INT(G606))/365.25)</f>
        <v/>
      </c>
      <c r="P606" s="13">
        <f>IF(OR(C606="",NOT(ISNUMBER(L606))),"",IF(L606&lt;TODAY(),"Ended",IF(L606-TODAY()&lt;=N(Settings!$C$10),"Ends soon","Covered")))</f>
        <v/>
      </c>
      <c r="Q606" s="13">
        <f>IF(C606="","",MID(IF(N606="",", value","")&amp;IF(OR(J606="",J606="No"),", receipt","")&amp;IF(K606="",", photo",""),3,100))</f>
        <v/>
      </c>
      <c r="R606" s="13">
        <f>IF(AND(B606="",C606=""),"",IF(C606="","Needs the item",IF(B606="","Needs a room",IF(COUNTIF(Rooms!$B$6:$B$35,B606)=0,"Not on Rooms",IF(AND(H606&lt;&gt;"",NOT(ISNUMBER(H606))),"Paid not a number",IF(AND(I606&lt;&gt;"",NOT(ISNUMBER(I606))),"Worth not a number",IF(AND(G606&lt;&gt;"",NOT(ISNUMBER(G606))),"Bought is not a date",IF(AND(L606&lt;&gt;"",NOT(ISNUMBER(L606))),"Warranty is not a date",""))))))))</f>
        <v/>
      </c>
      <c r="S606" s="1">
        <f>IF(AND(C606&lt;&gt;"",R606=""),1,0)</f>
        <v/>
      </c>
      <c r="T606">
        <f>IF(S606=1,N(N606),0)</f>
        <v/>
      </c>
      <c r="U606">
        <f>IF(AND(S606=1,T606&gt;0),ROUND(T606*100,0)*10000+10000-ROW(),"")</f>
        <v/>
      </c>
      <c r="V606">
        <f>IF(AND(S606=1,OR(Report!$C$5="",B606=Report!$C$5)),MATCH(B606,Rooms!$B$6:$B$35,0)*10000+ROW(),"")</f>
        <v/>
      </c>
      <c r="W606">
        <f>IF(AND(S606=1,OR(J606="",J606="No")),1,0)</f>
        <v/>
      </c>
      <c r="X606">
        <f>IF(AND(S606=1,K606=""),1,0)</f>
        <v/>
      </c>
      <c r="Y606">
        <f>IF(AND(S606=1,Q606&lt;&gt;""),ROUND(T606*100,0)*10000+10000-ROW(),"")</f>
        <v/>
      </c>
    </row>
    <row r="607">
      <c r="A607" s="1" t="n"/>
      <c r="B607" s="17" t="n"/>
      <c r="C607" s="18" t="n"/>
      <c r="D607" s="17" t="n"/>
      <c r="E607" s="19" t="n"/>
      <c r="F607" s="19" t="n"/>
      <c r="G607" s="20" t="n"/>
      <c r="H607" s="21" t="n"/>
      <c r="I607" s="21" t="n"/>
      <c r="J607" s="17" t="n"/>
      <c r="K607" s="19" t="n"/>
      <c r="L607" s="20" t="n"/>
      <c r="M607" s="19" t="n"/>
      <c r="N607" s="22">
        <f>IF(C607="","",IF(ISNUMBER(I607),I607,IF(ISNUMBER(H607),H607,"")))</f>
        <v/>
      </c>
      <c r="O607" s="23">
        <f>IF(OR(C607="",NOT(ISNUMBER(G607))),"",(TODAY()-INT(G607))/365.25)</f>
        <v/>
      </c>
      <c r="P607" s="13">
        <f>IF(OR(C607="",NOT(ISNUMBER(L607))),"",IF(L607&lt;TODAY(),"Ended",IF(L607-TODAY()&lt;=N(Settings!$C$10),"Ends soon","Covered")))</f>
        <v/>
      </c>
      <c r="Q607" s="13">
        <f>IF(C607="","",MID(IF(N607="",", value","")&amp;IF(OR(J607="",J607="No"),", receipt","")&amp;IF(K607="",", photo",""),3,100))</f>
        <v/>
      </c>
      <c r="R607" s="13">
        <f>IF(AND(B607="",C607=""),"",IF(C607="","Needs the item",IF(B607="","Needs a room",IF(COUNTIF(Rooms!$B$6:$B$35,B607)=0,"Not on Rooms",IF(AND(H607&lt;&gt;"",NOT(ISNUMBER(H607))),"Paid not a number",IF(AND(I607&lt;&gt;"",NOT(ISNUMBER(I607))),"Worth not a number",IF(AND(G607&lt;&gt;"",NOT(ISNUMBER(G607))),"Bought is not a date",IF(AND(L607&lt;&gt;"",NOT(ISNUMBER(L607))),"Warranty is not a date",""))))))))</f>
        <v/>
      </c>
      <c r="S607" s="1">
        <f>IF(AND(C607&lt;&gt;"",R607=""),1,0)</f>
        <v/>
      </c>
      <c r="T607">
        <f>IF(S607=1,N(N607),0)</f>
        <v/>
      </c>
      <c r="U607">
        <f>IF(AND(S607=1,T607&gt;0),ROUND(T607*100,0)*10000+10000-ROW(),"")</f>
        <v/>
      </c>
      <c r="V607">
        <f>IF(AND(S607=1,OR(Report!$C$5="",B607=Report!$C$5)),MATCH(B607,Rooms!$B$6:$B$35,0)*10000+ROW(),"")</f>
        <v/>
      </c>
      <c r="W607">
        <f>IF(AND(S607=1,OR(J607="",J607="No")),1,0)</f>
        <v/>
      </c>
      <c r="X607">
        <f>IF(AND(S607=1,K607=""),1,0)</f>
        <v/>
      </c>
      <c r="Y607">
        <f>IF(AND(S607=1,Q607&lt;&gt;""),ROUND(T607*100,0)*10000+10000-ROW(),"")</f>
        <v/>
      </c>
    </row>
    <row r="608">
      <c r="A608" s="1" t="n"/>
      <c r="B608" s="17" t="n"/>
      <c r="C608" s="18" t="n"/>
      <c r="D608" s="17" t="n"/>
      <c r="E608" s="19" t="n"/>
      <c r="F608" s="19" t="n"/>
      <c r="G608" s="20" t="n"/>
      <c r="H608" s="21" t="n"/>
      <c r="I608" s="21" t="n"/>
      <c r="J608" s="17" t="n"/>
      <c r="K608" s="19" t="n"/>
      <c r="L608" s="20" t="n"/>
      <c r="M608" s="19" t="n"/>
      <c r="N608" s="22">
        <f>IF(C608="","",IF(ISNUMBER(I608),I608,IF(ISNUMBER(H608),H608,"")))</f>
        <v/>
      </c>
      <c r="O608" s="23">
        <f>IF(OR(C608="",NOT(ISNUMBER(G608))),"",(TODAY()-INT(G608))/365.25)</f>
        <v/>
      </c>
      <c r="P608" s="13">
        <f>IF(OR(C608="",NOT(ISNUMBER(L608))),"",IF(L608&lt;TODAY(),"Ended",IF(L608-TODAY()&lt;=N(Settings!$C$10),"Ends soon","Covered")))</f>
        <v/>
      </c>
      <c r="Q608" s="13">
        <f>IF(C608="","",MID(IF(N608="",", value","")&amp;IF(OR(J608="",J608="No"),", receipt","")&amp;IF(K608="",", photo",""),3,100))</f>
        <v/>
      </c>
      <c r="R608" s="13">
        <f>IF(AND(B608="",C608=""),"",IF(C608="","Needs the item",IF(B608="","Needs a room",IF(COUNTIF(Rooms!$B$6:$B$35,B608)=0,"Not on Rooms",IF(AND(H608&lt;&gt;"",NOT(ISNUMBER(H608))),"Paid not a number",IF(AND(I608&lt;&gt;"",NOT(ISNUMBER(I608))),"Worth not a number",IF(AND(G608&lt;&gt;"",NOT(ISNUMBER(G608))),"Bought is not a date",IF(AND(L608&lt;&gt;"",NOT(ISNUMBER(L608))),"Warranty is not a date",""))))))))</f>
        <v/>
      </c>
      <c r="S608" s="1">
        <f>IF(AND(C608&lt;&gt;"",R608=""),1,0)</f>
        <v/>
      </c>
      <c r="T608">
        <f>IF(S608=1,N(N608),0)</f>
        <v/>
      </c>
      <c r="U608">
        <f>IF(AND(S608=1,T608&gt;0),ROUND(T608*100,0)*10000+10000-ROW(),"")</f>
        <v/>
      </c>
      <c r="V608">
        <f>IF(AND(S608=1,OR(Report!$C$5="",B608=Report!$C$5)),MATCH(B608,Rooms!$B$6:$B$35,0)*10000+ROW(),"")</f>
        <v/>
      </c>
      <c r="W608">
        <f>IF(AND(S608=1,OR(J608="",J608="No")),1,0)</f>
        <v/>
      </c>
      <c r="X608">
        <f>IF(AND(S608=1,K608=""),1,0)</f>
        <v/>
      </c>
      <c r="Y608">
        <f>IF(AND(S608=1,Q608&lt;&gt;""),ROUND(T608*100,0)*10000+10000-ROW(),"")</f>
        <v/>
      </c>
    </row>
    <row r="609">
      <c r="A609" s="1" t="n"/>
      <c r="B609" s="17" t="n"/>
      <c r="C609" s="18" t="n"/>
      <c r="D609" s="17" t="n"/>
      <c r="E609" s="19" t="n"/>
      <c r="F609" s="19" t="n"/>
      <c r="G609" s="20" t="n"/>
      <c r="H609" s="21" t="n"/>
      <c r="I609" s="21" t="n"/>
      <c r="J609" s="17" t="n"/>
      <c r="K609" s="19" t="n"/>
      <c r="L609" s="20" t="n"/>
      <c r="M609" s="19" t="n"/>
      <c r="N609" s="22">
        <f>IF(C609="","",IF(ISNUMBER(I609),I609,IF(ISNUMBER(H609),H609,"")))</f>
        <v/>
      </c>
      <c r="O609" s="23">
        <f>IF(OR(C609="",NOT(ISNUMBER(G609))),"",(TODAY()-INT(G609))/365.25)</f>
        <v/>
      </c>
      <c r="P609" s="13">
        <f>IF(OR(C609="",NOT(ISNUMBER(L609))),"",IF(L609&lt;TODAY(),"Ended",IF(L609-TODAY()&lt;=N(Settings!$C$10),"Ends soon","Covered")))</f>
        <v/>
      </c>
      <c r="Q609" s="13">
        <f>IF(C609="","",MID(IF(N609="",", value","")&amp;IF(OR(J609="",J609="No"),", receipt","")&amp;IF(K609="",", photo",""),3,100))</f>
        <v/>
      </c>
      <c r="R609" s="13">
        <f>IF(AND(B609="",C609=""),"",IF(C609="","Needs the item",IF(B609="","Needs a room",IF(COUNTIF(Rooms!$B$6:$B$35,B609)=0,"Not on Rooms",IF(AND(H609&lt;&gt;"",NOT(ISNUMBER(H609))),"Paid not a number",IF(AND(I609&lt;&gt;"",NOT(ISNUMBER(I609))),"Worth not a number",IF(AND(G609&lt;&gt;"",NOT(ISNUMBER(G609))),"Bought is not a date",IF(AND(L609&lt;&gt;"",NOT(ISNUMBER(L609))),"Warranty is not a date",""))))))))</f>
        <v/>
      </c>
      <c r="S609" s="1">
        <f>IF(AND(C609&lt;&gt;"",R609=""),1,0)</f>
        <v/>
      </c>
      <c r="T609">
        <f>IF(S609=1,N(N609),0)</f>
        <v/>
      </c>
      <c r="U609">
        <f>IF(AND(S609=1,T609&gt;0),ROUND(T609*100,0)*10000+10000-ROW(),"")</f>
        <v/>
      </c>
      <c r="V609">
        <f>IF(AND(S609=1,OR(Report!$C$5="",B609=Report!$C$5)),MATCH(B609,Rooms!$B$6:$B$35,0)*10000+ROW(),"")</f>
        <v/>
      </c>
      <c r="W609">
        <f>IF(AND(S609=1,OR(J609="",J609="No")),1,0)</f>
        <v/>
      </c>
      <c r="X609">
        <f>IF(AND(S609=1,K609=""),1,0)</f>
        <v/>
      </c>
      <c r="Y609">
        <f>IF(AND(S609=1,Q609&lt;&gt;""),ROUND(T609*100,0)*10000+10000-ROW(),"")</f>
        <v/>
      </c>
    </row>
    <row r="610">
      <c r="A610" s="1" t="n"/>
      <c r="B610" s="17" t="n"/>
      <c r="C610" s="18" t="n"/>
      <c r="D610" s="17" t="n"/>
      <c r="E610" s="19" t="n"/>
      <c r="F610" s="19" t="n"/>
      <c r="G610" s="20" t="n"/>
      <c r="H610" s="21" t="n"/>
      <c r="I610" s="21" t="n"/>
      <c r="J610" s="17" t="n"/>
      <c r="K610" s="19" t="n"/>
      <c r="L610" s="20" t="n"/>
      <c r="M610" s="19" t="n"/>
      <c r="N610" s="22">
        <f>IF(C610="","",IF(ISNUMBER(I610),I610,IF(ISNUMBER(H610),H610,"")))</f>
        <v/>
      </c>
      <c r="O610" s="23">
        <f>IF(OR(C610="",NOT(ISNUMBER(G610))),"",(TODAY()-INT(G610))/365.25)</f>
        <v/>
      </c>
      <c r="P610" s="13">
        <f>IF(OR(C610="",NOT(ISNUMBER(L610))),"",IF(L610&lt;TODAY(),"Ended",IF(L610-TODAY()&lt;=N(Settings!$C$10),"Ends soon","Covered")))</f>
        <v/>
      </c>
      <c r="Q610" s="13">
        <f>IF(C610="","",MID(IF(N610="",", value","")&amp;IF(OR(J610="",J610="No"),", receipt","")&amp;IF(K610="",", photo",""),3,100))</f>
        <v/>
      </c>
      <c r="R610" s="13">
        <f>IF(AND(B610="",C610=""),"",IF(C610="","Needs the item",IF(B610="","Needs a room",IF(COUNTIF(Rooms!$B$6:$B$35,B610)=0,"Not on Rooms",IF(AND(H610&lt;&gt;"",NOT(ISNUMBER(H610))),"Paid not a number",IF(AND(I610&lt;&gt;"",NOT(ISNUMBER(I610))),"Worth not a number",IF(AND(G610&lt;&gt;"",NOT(ISNUMBER(G610))),"Bought is not a date",IF(AND(L610&lt;&gt;"",NOT(ISNUMBER(L610))),"Warranty is not a date",""))))))))</f>
        <v/>
      </c>
      <c r="S610" s="1">
        <f>IF(AND(C610&lt;&gt;"",R610=""),1,0)</f>
        <v/>
      </c>
      <c r="T610">
        <f>IF(S610=1,N(N610),0)</f>
        <v/>
      </c>
      <c r="U610">
        <f>IF(AND(S610=1,T610&gt;0),ROUND(T610*100,0)*10000+10000-ROW(),"")</f>
        <v/>
      </c>
      <c r="V610">
        <f>IF(AND(S610=1,OR(Report!$C$5="",B610=Report!$C$5)),MATCH(B610,Rooms!$B$6:$B$35,0)*10000+ROW(),"")</f>
        <v/>
      </c>
      <c r="W610">
        <f>IF(AND(S610=1,OR(J610="",J610="No")),1,0)</f>
        <v/>
      </c>
      <c r="X610">
        <f>IF(AND(S610=1,K610=""),1,0)</f>
        <v/>
      </c>
      <c r="Y610">
        <f>IF(AND(S610=1,Q610&lt;&gt;""),ROUND(T610*100,0)*10000+10000-ROW(),"")</f>
        <v/>
      </c>
    </row>
    <row r="611">
      <c r="A611" s="1" t="n"/>
      <c r="B611" s="17" t="n"/>
      <c r="C611" s="18" t="n"/>
      <c r="D611" s="17" t="n"/>
      <c r="E611" s="19" t="n"/>
      <c r="F611" s="19" t="n"/>
      <c r="G611" s="20" t="n"/>
      <c r="H611" s="21" t="n"/>
      <c r="I611" s="21" t="n"/>
      <c r="J611" s="17" t="n"/>
      <c r="K611" s="19" t="n"/>
      <c r="L611" s="20" t="n"/>
      <c r="M611" s="19" t="n"/>
      <c r="N611" s="22">
        <f>IF(C611="","",IF(ISNUMBER(I611),I611,IF(ISNUMBER(H611),H611,"")))</f>
        <v/>
      </c>
      <c r="O611" s="23">
        <f>IF(OR(C611="",NOT(ISNUMBER(G611))),"",(TODAY()-INT(G611))/365.25)</f>
        <v/>
      </c>
      <c r="P611" s="13">
        <f>IF(OR(C611="",NOT(ISNUMBER(L611))),"",IF(L611&lt;TODAY(),"Ended",IF(L611-TODAY()&lt;=N(Settings!$C$10),"Ends soon","Covered")))</f>
        <v/>
      </c>
      <c r="Q611" s="13">
        <f>IF(C611="","",MID(IF(N611="",", value","")&amp;IF(OR(J611="",J611="No"),", receipt","")&amp;IF(K611="",", photo",""),3,100))</f>
        <v/>
      </c>
      <c r="R611" s="13">
        <f>IF(AND(B611="",C611=""),"",IF(C611="","Needs the item",IF(B611="","Needs a room",IF(COUNTIF(Rooms!$B$6:$B$35,B611)=0,"Not on Rooms",IF(AND(H611&lt;&gt;"",NOT(ISNUMBER(H611))),"Paid not a number",IF(AND(I611&lt;&gt;"",NOT(ISNUMBER(I611))),"Worth not a number",IF(AND(G611&lt;&gt;"",NOT(ISNUMBER(G611))),"Bought is not a date",IF(AND(L611&lt;&gt;"",NOT(ISNUMBER(L611))),"Warranty is not a date",""))))))))</f>
        <v/>
      </c>
      <c r="S611" s="1">
        <f>IF(AND(C611&lt;&gt;"",R611=""),1,0)</f>
        <v/>
      </c>
      <c r="T611">
        <f>IF(S611=1,N(N611),0)</f>
        <v/>
      </c>
      <c r="U611">
        <f>IF(AND(S611=1,T611&gt;0),ROUND(T611*100,0)*10000+10000-ROW(),"")</f>
        <v/>
      </c>
      <c r="V611">
        <f>IF(AND(S611=1,OR(Report!$C$5="",B611=Report!$C$5)),MATCH(B611,Rooms!$B$6:$B$35,0)*10000+ROW(),"")</f>
        <v/>
      </c>
      <c r="W611">
        <f>IF(AND(S611=1,OR(J611="",J611="No")),1,0)</f>
        <v/>
      </c>
      <c r="X611">
        <f>IF(AND(S611=1,K611=""),1,0)</f>
        <v/>
      </c>
      <c r="Y611">
        <f>IF(AND(S611=1,Q611&lt;&gt;""),ROUND(T611*100,0)*10000+10000-ROW(),"")</f>
        <v/>
      </c>
    </row>
    <row r="612">
      <c r="A612" s="1" t="n"/>
      <c r="B612" s="17" t="n"/>
      <c r="C612" s="18" t="n"/>
      <c r="D612" s="17" t="n"/>
      <c r="E612" s="19" t="n"/>
      <c r="F612" s="19" t="n"/>
      <c r="G612" s="20" t="n"/>
      <c r="H612" s="21" t="n"/>
      <c r="I612" s="21" t="n"/>
      <c r="J612" s="17" t="n"/>
      <c r="K612" s="19" t="n"/>
      <c r="L612" s="20" t="n"/>
      <c r="M612" s="19" t="n"/>
      <c r="N612" s="22">
        <f>IF(C612="","",IF(ISNUMBER(I612),I612,IF(ISNUMBER(H612),H612,"")))</f>
        <v/>
      </c>
      <c r="O612" s="23">
        <f>IF(OR(C612="",NOT(ISNUMBER(G612))),"",(TODAY()-INT(G612))/365.25)</f>
        <v/>
      </c>
      <c r="P612" s="13">
        <f>IF(OR(C612="",NOT(ISNUMBER(L612))),"",IF(L612&lt;TODAY(),"Ended",IF(L612-TODAY()&lt;=N(Settings!$C$10),"Ends soon","Covered")))</f>
        <v/>
      </c>
      <c r="Q612" s="13">
        <f>IF(C612="","",MID(IF(N612="",", value","")&amp;IF(OR(J612="",J612="No"),", receipt","")&amp;IF(K612="",", photo",""),3,100))</f>
        <v/>
      </c>
      <c r="R612" s="13">
        <f>IF(AND(B612="",C612=""),"",IF(C612="","Needs the item",IF(B612="","Needs a room",IF(COUNTIF(Rooms!$B$6:$B$35,B612)=0,"Not on Rooms",IF(AND(H612&lt;&gt;"",NOT(ISNUMBER(H612))),"Paid not a number",IF(AND(I612&lt;&gt;"",NOT(ISNUMBER(I612))),"Worth not a number",IF(AND(G612&lt;&gt;"",NOT(ISNUMBER(G612))),"Bought is not a date",IF(AND(L612&lt;&gt;"",NOT(ISNUMBER(L612))),"Warranty is not a date",""))))))))</f>
        <v/>
      </c>
      <c r="S612" s="1">
        <f>IF(AND(C612&lt;&gt;"",R612=""),1,0)</f>
        <v/>
      </c>
      <c r="T612">
        <f>IF(S612=1,N(N612),0)</f>
        <v/>
      </c>
      <c r="U612">
        <f>IF(AND(S612=1,T612&gt;0),ROUND(T612*100,0)*10000+10000-ROW(),"")</f>
        <v/>
      </c>
      <c r="V612">
        <f>IF(AND(S612=1,OR(Report!$C$5="",B612=Report!$C$5)),MATCH(B612,Rooms!$B$6:$B$35,0)*10000+ROW(),"")</f>
        <v/>
      </c>
      <c r="W612">
        <f>IF(AND(S612=1,OR(J612="",J612="No")),1,0)</f>
        <v/>
      </c>
      <c r="X612">
        <f>IF(AND(S612=1,K612=""),1,0)</f>
        <v/>
      </c>
      <c r="Y612">
        <f>IF(AND(S612=1,Q612&lt;&gt;""),ROUND(T612*100,0)*10000+10000-ROW(),"")</f>
        <v/>
      </c>
    </row>
    <row r="613">
      <c r="A613" s="1" t="n"/>
      <c r="B613" s="17" t="n"/>
      <c r="C613" s="18" t="n"/>
      <c r="D613" s="17" t="n"/>
      <c r="E613" s="19" t="n"/>
      <c r="F613" s="19" t="n"/>
      <c r="G613" s="20" t="n"/>
      <c r="H613" s="21" t="n"/>
      <c r="I613" s="21" t="n"/>
      <c r="J613" s="17" t="n"/>
      <c r="K613" s="19" t="n"/>
      <c r="L613" s="20" t="n"/>
      <c r="M613" s="19" t="n"/>
      <c r="N613" s="22">
        <f>IF(C613="","",IF(ISNUMBER(I613),I613,IF(ISNUMBER(H613),H613,"")))</f>
        <v/>
      </c>
      <c r="O613" s="23">
        <f>IF(OR(C613="",NOT(ISNUMBER(G613))),"",(TODAY()-INT(G613))/365.25)</f>
        <v/>
      </c>
      <c r="P613" s="13">
        <f>IF(OR(C613="",NOT(ISNUMBER(L613))),"",IF(L613&lt;TODAY(),"Ended",IF(L613-TODAY()&lt;=N(Settings!$C$10),"Ends soon","Covered")))</f>
        <v/>
      </c>
      <c r="Q613" s="13">
        <f>IF(C613="","",MID(IF(N613="",", value","")&amp;IF(OR(J613="",J613="No"),", receipt","")&amp;IF(K613="",", photo",""),3,100))</f>
        <v/>
      </c>
      <c r="R613" s="13">
        <f>IF(AND(B613="",C613=""),"",IF(C613="","Needs the item",IF(B613="","Needs a room",IF(COUNTIF(Rooms!$B$6:$B$35,B613)=0,"Not on Rooms",IF(AND(H613&lt;&gt;"",NOT(ISNUMBER(H613))),"Paid not a number",IF(AND(I613&lt;&gt;"",NOT(ISNUMBER(I613))),"Worth not a number",IF(AND(G613&lt;&gt;"",NOT(ISNUMBER(G613))),"Bought is not a date",IF(AND(L613&lt;&gt;"",NOT(ISNUMBER(L613))),"Warranty is not a date",""))))))))</f>
        <v/>
      </c>
      <c r="S613" s="1">
        <f>IF(AND(C613&lt;&gt;"",R613=""),1,0)</f>
        <v/>
      </c>
      <c r="T613">
        <f>IF(S613=1,N(N613),0)</f>
        <v/>
      </c>
      <c r="U613">
        <f>IF(AND(S613=1,T613&gt;0),ROUND(T613*100,0)*10000+10000-ROW(),"")</f>
        <v/>
      </c>
      <c r="V613">
        <f>IF(AND(S613=1,OR(Report!$C$5="",B613=Report!$C$5)),MATCH(B613,Rooms!$B$6:$B$35,0)*10000+ROW(),"")</f>
        <v/>
      </c>
      <c r="W613">
        <f>IF(AND(S613=1,OR(J613="",J613="No")),1,0)</f>
        <v/>
      </c>
      <c r="X613">
        <f>IF(AND(S613=1,K613=""),1,0)</f>
        <v/>
      </c>
      <c r="Y613">
        <f>IF(AND(S613=1,Q613&lt;&gt;""),ROUND(T613*100,0)*10000+10000-ROW(),"")</f>
        <v/>
      </c>
    </row>
    <row r="614">
      <c r="A614" s="1" t="n"/>
      <c r="B614" s="17" t="n"/>
      <c r="C614" s="18" t="n"/>
      <c r="D614" s="17" t="n"/>
      <c r="E614" s="19" t="n"/>
      <c r="F614" s="19" t="n"/>
      <c r="G614" s="20" t="n"/>
      <c r="H614" s="21" t="n"/>
      <c r="I614" s="21" t="n"/>
      <c r="J614" s="17" t="n"/>
      <c r="K614" s="19" t="n"/>
      <c r="L614" s="20" t="n"/>
      <c r="M614" s="19" t="n"/>
      <c r="N614" s="22">
        <f>IF(C614="","",IF(ISNUMBER(I614),I614,IF(ISNUMBER(H614),H614,"")))</f>
        <v/>
      </c>
      <c r="O614" s="23">
        <f>IF(OR(C614="",NOT(ISNUMBER(G614))),"",(TODAY()-INT(G614))/365.25)</f>
        <v/>
      </c>
      <c r="P614" s="13">
        <f>IF(OR(C614="",NOT(ISNUMBER(L614))),"",IF(L614&lt;TODAY(),"Ended",IF(L614-TODAY()&lt;=N(Settings!$C$10),"Ends soon","Covered")))</f>
        <v/>
      </c>
      <c r="Q614" s="13">
        <f>IF(C614="","",MID(IF(N614="",", value","")&amp;IF(OR(J614="",J614="No"),", receipt","")&amp;IF(K614="",", photo",""),3,100))</f>
        <v/>
      </c>
      <c r="R614" s="13">
        <f>IF(AND(B614="",C614=""),"",IF(C614="","Needs the item",IF(B614="","Needs a room",IF(COUNTIF(Rooms!$B$6:$B$35,B614)=0,"Not on Rooms",IF(AND(H614&lt;&gt;"",NOT(ISNUMBER(H614))),"Paid not a number",IF(AND(I614&lt;&gt;"",NOT(ISNUMBER(I614))),"Worth not a number",IF(AND(G614&lt;&gt;"",NOT(ISNUMBER(G614))),"Bought is not a date",IF(AND(L614&lt;&gt;"",NOT(ISNUMBER(L614))),"Warranty is not a date",""))))))))</f>
        <v/>
      </c>
      <c r="S614" s="1">
        <f>IF(AND(C614&lt;&gt;"",R614=""),1,0)</f>
        <v/>
      </c>
      <c r="T614">
        <f>IF(S614=1,N(N614),0)</f>
        <v/>
      </c>
      <c r="U614">
        <f>IF(AND(S614=1,T614&gt;0),ROUND(T614*100,0)*10000+10000-ROW(),"")</f>
        <v/>
      </c>
      <c r="V614">
        <f>IF(AND(S614=1,OR(Report!$C$5="",B614=Report!$C$5)),MATCH(B614,Rooms!$B$6:$B$35,0)*10000+ROW(),"")</f>
        <v/>
      </c>
      <c r="W614">
        <f>IF(AND(S614=1,OR(J614="",J614="No")),1,0)</f>
        <v/>
      </c>
      <c r="X614">
        <f>IF(AND(S614=1,K614=""),1,0)</f>
        <v/>
      </c>
      <c r="Y614">
        <f>IF(AND(S614=1,Q614&lt;&gt;""),ROUND(T614*100,0)*10000+10000-ROW(),"")</f>
        <v/>
      </c>
    </row>
    <row r="615">
      <c r="A615" s="1" t="n"/>
      <c r="B615" s="17" t="n"/>
      <c r="C615" s="18" t="n"/>
      <c r="D615" s="17" t="n"/>
      <c r="E615" s="19" t="n"/>
      <c r="F615" s="19" t="n"/>
      <c r="G615" s="20" t="n"/>
      <c r="H615" s="21" t="n"/>
      <c r="I615" s="21" t="n"/>
      <c r="J615" s="17" t="n"/>
      <c r="K615" s="19" t="n"/>
      <c r="L615" s="20" t="n"/>
      <c r="M615" s="19" t="n"/>
      <c r="N615" s="22">
        <f>IF(C615="","",IF(ISNUMBER(I615),I615,IF(ISNUMBER(H615),H615,"")))</f>
        <v/>
      </c>
      <c r="O615" s="23">
        <f>IF(OR(C615="",NOT(ISNUMBER(G615))),"",(TODAY()-INT(G615))/365.25)</f>
        <v/>
      </c>
      <c r="P615" s="13">
        <f>IF(OR(C615="",NOT(ISNUMBER(L615))),"",IF(L615&lt;TODAY(),"Ended",IF(L615-TODAY()&lt;=N(Settings!$C$10),"Ends soon","Covered")))</f>
        <v/>
      </c>
      <c r="Q615" s="13">
        <f>IF(C615="","",MID(IF(N615="",", value","")&amp;IF(OR(J615="",J615="No"),", receipt","")&amp;IF(K615="",", photo",""),3,100))</f>
        <v/>
      </c>
      <c r="R615" s="13">
        <f>IF(AND(B615="",C615=""),"",IF(C615="","Needs the item",IF(B615="","Needs a room",IF(COUNTIF(Rooms!$B$6:$B$35,B615)=0,"Not on Rooms",IF(AND(H615&lt;&gt;"",NOT(ISNUMBER(H615))),"Paid not a number",IF(AND(I615&lt;&gt;"",NOT(ISNUMBER(I615))),"Worth not a number",IF(AND(G615&lt;&gt;"",NOT(ISNUMBER(G615))),"Bought is not a date",IF(AND(L615&lt;&gt;"",NOT(ISNUMBER(L615))),"Warranty is not a date",""))))))))</f>
        <v/>
      </c>
      <c r="S615" s="1">
        <f>IF(AND(C615&lt;&gt;"",R615=""),1,0)</f>
        <v/>
      </c>
      <c r="T615">
        <f>IF(S615=1,N(N615),0)</f>
        <v/>
      </c>
      <c r="U615">
        <f>IF(AND(S615=1,T615&gt;0),ROUND(T615*100,0)*10000+10000-ROW(),"")</f>
        <v/>
      </c>
      <c r="V615">
        <f>IF(AND(S615=1,OR(Report!$C$5="",B615=Report!$C$5)),MATCH(B615,Rooms!$B$6:$B$35,0)*10000+ROW(),"")</f>
        <v/>
      </c>
      <c r="W615">
        <f>IF(AND(S615=1,OR(J615="",J615="No")),1,0)</f>
        <v/>
      </c>
      <c r="X615">
        <f>IF(AND(S615=1,K615=""),1,0)</f>
        <v/>
      </c>
      <c r="Y615">
        <f>IF(AND(S615=1,Q615&lt;&gt;""),ROUND(T615*100,0)*10000+10000-ROW(),"")</f>
        <v/>
      </c>
    </row>
    <row r="616">
      <c r="A616" s="1" t="n"/>
      <c r="B616" s="17" t="n"/>
      <c r="C616" s="18" t="n"/>
      <c r="D616" s="17" t="n"/>
      <c r="E616" s="19" t="n"/>
      <c r="F616" s="19" t="n"/>
      <c r="G616" s="20" t="n"/>
      <c r="H616" s="21" t="n"/>
      <c r="I616" s="21" t="n"/>
      <c r="J616" s="17" t="n"/>
      <c r="K616" s="19" t="n"/>
      <c r="L616" s="20" t="n"/>
      <c r="M616" s="19" t="n"/>
      <c r="N616" s="22">
        <f>IF(C616="","",IF(ISNUMBER(I616),I616,IF(ISNUMBER(H616),H616,"")))</f>
        <v/>
      </c>
      <c r="O616" s="23">
        <f>IF(OR(C616="",NOT(ISNUMBER(G616))),"",(TODAY()-INT(G616))/365.25)</f>
        <v/>
      </c>
      <c r="P616" s="13">
        <f>IF(OR(C616="",NOT(ISNUMBER(L616))),"",IF(L616&lt;TODAY(),"Ended",IF(L616-TODAY()&lt;=N(Settings!$C$10),"Ends soon","Covered")))</f>
        <v/>
      </c>
      <c r="Q616" s="13">
        <f>IF(C616="","",MID(IF(N616="",", value","")&amp;IF(OR(J616="",J616="No"),", receipt","")&amp;IF(K616="",", photo",""),3,100))</f>
        <v/>
      </c>
      <c r="R616" s="13">
        <f>IF(AND(B616="",C616=""),"",IF(C616="","Needs the item",IF(B616="","Needs a room",IF(COUNTIF(Rooms!$B$6:$B$35,B616)=0,"Not on Rooms",IF(AND(H616&lt;&gt;"",NOT(ISNUMBER(H616))),"Paid not a number",IF(AND(I616&lt;&gt;"",NOT(ISNUMBER(I616))),"Worth not a number",IF(AND(G616&lt;&gt;"",NOT(ISNUMBER(G616))),"Bought is not a date",IF(AND(L616&lt;&gt;"",NOT(ISNUMBER(L616))),"Warranty is not a date",""))))))))</f>
        <v/>
      </c>
      <c r="S616" s="1">
        <f>IF(AND(C616&lt;&gt;"",R616=""),1,0)</f>
        <v/>
      </c>
      <c r="T616">
        <f>IF(S616=1,N(N616),0)</f>
        <v/>
      </c>
      <c r="U616">
        <f>IF(AND(S616=1,T616&gt;0),ROUND(T616*100,0)*10000+10000-ROW(),"")</f>
        <v/>
      </c>
      <c r="V616">
        <f>IF(AND(S616=1,OR(Report!$C$5="",B616=Report!$C$5)),MATCH(B616,Rooms!$B$6:$B$35,0)*10000+ROW(),"")</f>
        <v/>
      </c>
      <c r="W616">
        <f>IF(AND(S616=1,OR(J616="",J616="No")),1,0)</f>
        <v/>
      </c>
      <c r="X616">
        <f>IF(AND(S616=1,K616=""),1,0)</f>
        <v/>
      </c>
      <c r="Y616">
        <f>IF(AND(S616=1,Q616&lt;&gt;""),ROUND(T616*100,0)*10000+10000-ROW(),"")</f>
        <v/>
      </c>
    </row>
    <row r="617">
      <c r="A617" s="1" t="n"/>
      <c r="B617" s="17" t="n"/>
      <c r="C617" s="18" t="n"/>
      <c r="D617" s="17" t="n"/>
      <c r="E617" s="19" t="n"/>
      <c r="F617" s="19" t="n"/>
      <c r="G617" s="20" t="n"/>
      <c r="H617" s="21" t="n"/>
      <c r="I617" s="21" t="n"/>
      <c r="J617" s="17" t="n"/>
      <c r="K617" s="19" t="n"/>
      <c r="L617" s="20" t="n"/>
      <c r="M617" s="19" t="n"/>
      <c r="N617" s="22">
        <f>IF(C617="","",IF(ISNUMBER(I617),I617,IF(ISNUMBER(H617),H617,"")))</f>
        <v/>
      </c>
      <c r="O617" s="23">
        <f>IF(OR(C617="",NOT(ISNUMBER(G617))),"",(TODAY()-INT(G617))/365.25)</f>
        <v/>
      </c>
      <c r="P617" s="13">
        <f>IF(OR(C617="",NOT(ISNUMBER(L617))),"",IF(L617&lt;TODAY(),"Ended",IF(L617-TODAY()&lt;=N(Settings!$C$10),"Ends soon","Covered")))</f>
        <v/>
      </c>
      <c r="Q617" s="13">
        <f>IF(C617="","",MID(IF(N617="",", value","")&amp;IF(OR(J617="",J617="No"),", receipt","")&amp;IF(K617="",", photo",""),3,100))</f>
        <v/>
      </c>
      <c r="R617" s="13">
        <f>IF(AND(B617="",C617=""),"",IF(C617="","Needs the item",IF(B617="","Needs a room",IF(COUNTIF(Rooms!$B$6:$B$35,B617)=0,"Not on Rooms",IF(AND(H617&lt;&gt;"",NOT(ISNUMBER(H617))),"Paid not a number",IF(AND(I617&lt;&gt;"",NOT(ISNUMBER(I617))),"Worth not a number",IF(AND(G617&lt;&gt;"",NOT(ISNUMBER(G617))),"Bought is not a date",IF(AND(L617&lt;&gt;"",NOT(ISNUMBER(L617))),"Warranty is not a date",""))))))))</f>
        <v/>
      </c>
      <c r="S617" s="1">
        <f>IF(AND(C617&lt;&gt;"",R617=""),1,0)</f>
        <v/>
      </c>
      <c r="T617">
        <f>IF(S617=1,N(N617),0)</f>
        <v/>
      </c>
      <c r="U617">
        <f>IF(AND(S617=1,T617&gt;0),ROUND(T617*100,0)*10000+10000-ROW(),"")</f>
        <v/>
      </c>
      <c r="V617">
        <f>IF(AND(S617=1,OR(Report!$C$5="",B617=Report!$C$5)),MATCH(B617,Rooms!$B$6:$B$35,0)*10000+ROW(),"")</f>
        <v/>
      </c>
      <c r="W617">
        <f>IF(AND(S617=1,OR(J617="",J617="No")),1,0)</f>
        <v/>
      </c>
      <c r="X617">
        <f>IF(AND(S617=1,K617=""),1,0)</f>
        <v/>
      </c>
      <c r="Y617">
        <f>IF(AND(S617=1,Q617&lt;&gt;""),ROUND(T617*100,0)*10000+10000-ROW(),"")</f>
        <v/>
      </c>
    </row>
    <row r="618">
      <c r="A618" s="1" t="n"/>
      <c r="B618" s="17" t="n"/>
      <c r="C618" s="18" t="n"/>
      <c r="D618" s="17" t="n"/>
      <c r="E618" s="19" t="n"/>
      <c r="F618" s="19" t="n"/>
      <c r="G618" s="20" t="n"/>
      <c r="H618" s="21" t="n"/>
      <c r="I618" s="21" t="n"/>
      <c r="J618" s="17" t="n"/>
      <c r="K618" s="19" t="n"/>
      <c r="L618" s="20" t="n"/>
      <c r="M618" s="19" t="n"/>
      <c r="N618" s="22">
        <f>IF(C618="","",IF(ISNUMBER(I618),I618,IF(ISNUMBER(H618),H618,"")))</f>
        <v/>
      </c>
      <c r="O618" s="23">
        <f>IF(OR(C618="",NOT(ISNUMBER(G618))),"",(TODAY()-INT(G618))/365.25)</f>
        <v/>
      </c>
      <c r="P618" s="13">
        <f>IF(OR(C618="",NOT(ISNUMBER(L618))),"",IF(L618&lt;TODAY(),"Ended",IF(L618-TODAY()&lt;=N(Settings!$C$10),"Ends soon","Covered")))</f>
        <v/>
      </c>
      <c r="Q618" s="13">
        <f>IF(C618="","",MID(IF(N618="",", value","")&amp;IF(OR(J618="",J618="No"),", receipt","")&amp;IF(K618="",", photo",""),3,100))</f>
        <v/>
      </c>
      <c r="R618" s="13">
        <f>IF(AND(B618="",C618=""),"",IF(C618="","Needs the item",IF(B618="","Needs a room",IF(COUNTIF(Rooms!$B$6:$B$35,B618)=0,"Not on Rooms",IF(AND(H618&lt;&gt;"",NOT(ISNUMBER(H618))),"Paid not a number",IF(AND(I618&lt;&gt;"",NOT(ISNUMBER(I618))),"Worth not a number",IF(AND(G618&lt;&gt;"",NOT(ISNUMBER(G618))),"Bought is not a date",IF(AND(L618&lt;&gt;"",NOT(ISNUMBER(L618))),"Warranty is not a date",""))))))))</f>
        <v/>
      </c>
      <c r="S618" s="1">
        <f>IF(AND(C618&lt;&gt;"",R618=""),1,0)</f>
        <v/>
      </c>
      <c r="T618">
        <f>IF(S618=1,N(N618),0)</f>
        <v/>
      </c>
      <c r="U618">
        <f>IF(AND(S618=1,T618&gt;0),ROUND(T618*100,0)*10000+10000-ROW(),"")</f>
        <v/>
      </c>
      <c r="V618">
        <f>IF(AND(S618=1,OR(Report!$C$5="",B618=Report!$C$5)),MATCH(B618,Rooms!$B$6:$B$35,0)*10000+ROW(),"")</f>
        <v/>
      </c>
      <c r="W618">
        <f>IF(AND(S618=1,OR(J618="",J618="No")),1,0)</f>
        <v/>
      </c>
      <c r="X618">
        <f>IF(AND(S618=1,K618=""),1,0)</f>
        <v/>
      </c>
      <c r="Y618">
        <f>IF(AND(S618=1,Q618&lt;&gt;""),ROUND(T618*100,0)*10000+10000-ROW(),"")</f>
        <v/>
      </c>
    </row>
    <row r="619">
      <c r="A619" s="1" t="n"/>
      <c r="B619" s="17" t="n"/>
      <c r="C619" s="18" t="n"/>
      <c r="D619" s="17" t="n"/>
      <c r="E619" s="19" t="n"/>
      <c r="F619" s="19" t="n"/>
      <c r="G619" s="20" t="n"/>
      <c r="H619" s="21" t="n"/>
      <c r="I619" s="21" t="n"/>
      <c r="J619" s="17" t="n"/>
      <c r="K619" s="19" t="n"/>
      <c r="L619" s="20" t="n"/>
      <c r="M619" s="19" t="n"/>
      <c r="N619" s="22">
        <f>IF(C619="","",IF(ISNUMBER(I619),I619,IF(ISNUMBER(H619),H619,"")))</f>
        <v/>
      </c>
      <c r="O619" s="23">
        <f>IF(OR(C619="",NOT(ISNUMBER(G619))),"",(TODAY()-INT(G619))/365.25)</f>
        <v/>
      </c>
      <c r="P619" s="13">
        <f>IF(OR(C619="",NOT(ISNUMBER(L619))),"",IF(L619&lt;TODAY(),"Ended",IF(L619-TODAY()&lt;=N(Settings!$C$10),"Ends soon","Covered")))</f>
        <v/>
      </c>
      <c r="Q619" s="13">
        <f>IF(C619="","",MID(IF(N619="",", value","")&amp;IF(OR(J619="",J619="No"),", receipt","")&amp;IF(K619="",", photo",""),3,100))</f>
        <v/>
      </c>
      <c r="R619" s="13">
        <f>IF(AND(B619="",C619=""),"",IF(C619="","Needs the item",IF(B619="","Needs a room",IF(COUNTIF(Rooms!$B$6:$B$35,B619)=0,"Not on Rooms",IF(AND(H619&lt;&gt;"",NOT(ISNUMBER(H619))),"Paid not a number",IF(AND(I619&lt;&gt;"",NOT(ISNUMBER(I619))),"Worth not a number",IF(AND(G619&lt;&gt;"",NOT(ISNUMBER(G619))),"Bought is not a date",IF(AND(L619&lt;&gt;"",NOT(ISNUMBER(L619))),"Warranty is not a date",""))))))))</f>
        <v/>
      </c>
      <c r="S619" s="1">
        <f>IF(AND(C619&lt;&gt;"",R619=""),1,0)</f>
        <v/>
      </c>
      <c r="T619">
        <f>IF(S619=1,N(N619),0)</f>
        <v/>
      </c>
      <c r="U619">
        <f>IF(AND(S619=1,T619&gt;0),ROUND(T619*100,0)*10000+10000-ROW(),"")</f>
        <v/>
      </c>
      <c r="V619">
        <f>IF(AND(S619=1,OR(Report!$C$5="",B619=Report!$C$5)),MATCH(B619,Rooms!$B$6:$B$35,0)*10000+ROW(),"")</f>
        <v/>
      </c>
      <c r="W619">
        <f>IF(AND(S619=1,OR(J619="",J619="No")),1,0)</f>
        <v/>
      </c>
      <c r="X619">
        <f>IF(AND(S619=1,K619=""),1,0)</f>
        <v/>
      </c>
      <c r="Y619">
        <f>IF(AND(S619=1,Q619&lt;&gt;""),ROUND(T619*100,0)*10000+10000-ROW(),"")</f>
        <v/>
      </c>
    </row>
    <row r="620">
      <c r="A620" s="1" t="n"/>
      <c r="B620" s="17" t="n"/>
      <c r="C620" s="18" t="n"/>
      <c r="D620" s="17" t="n"/>
      <c r="E620" s="19" t="n"/>
      <c r="F620" s="19" t="n"/>
      <c r="G620" s="20" t="n"/>
      <c r="H620" s="21" t="n"/>
      <c r="I620" s="21" t="n"/>
      <c r="J620" s="17" t="n"/>
      <c r="K620" s="19" t="n"/>
      <c r="L620" s="20" t="n"/>
      <c r="M620" s="19" t="n"/>
      <c r="N620" s="22">
        <f>IF(C620="","",IF(ISNUMBER(I620),I620,IF(ISNUMBER(H620),H620,"")))</f>
        <v/>
      </c>
      <c r="O620" s="23">
        <f>IF(OR(C620="",NOT(ISNUMBER(G620))),"",(TODAY()-INT(G620))/365.25)</f>
        <v/>
      </c>
      <c r="P620" s="13">
        <f>IF(OR(C620="",NOT(ISNUMBER(L620))),"",IF(L620&lt;TODAY(),"Ended",IF(L620-TODAY()&lt;=N(Settings!$C$10),"Ends soon","Covered")))</f>
        <v/>
      </c>
      <c r="Q620" s="13">
        <f>IF(C620="","",MID(IF(N620="",", value","")&amp;IF(OR(J620="",J620="No"),", receipt","")&amp;IF(K620="",", photo",""),3,100))</f>
        <v/>
      </c>
      <c r="R620" s="13">
        <f>IF(AND(B620="",C620=""),"",IF(C620="","Needs the item",IF(B620="","Needs a room",IF(COUNTIF(Rooms!$B$6:$B$35,B620)=0,"Not on Rooms",IF(AND(H620&lt;&gt;"",NOT(ISNUMBER(H620))),"Paid not a number",IF(AND(I620&lt;&gt;"",NOT(ISNUMBER(I620))),"Worth not a number",IF(AND(G620&lt;&gt;"",NOT(ISNUMBER(G620))),"Bought is not a date",IF(AND(L620&lt;&gt;"",NOT(ISNUMBER(L620))),"Warranty is not a date",""))))))))</f>
        <v/>
      </c>
      <c r="S620" s="1">
        <f>IF(AND(C620&lt;&gt;"",R620=""),1,0)</f>
        <v/>
      </c>
      <c r="T620">
        <f>IF(S620=1,N(N620),0)</f>
        <v/>
      </c>
      <c r="U620">
        <f>IF(AND(S620=1,T620&gt;0),ROUND(T620*100,0)*10000+10000-ROW(),"")</f>
        <v/>
      </c>
      <c r="V620">
        <f>IF(AND(S620=1,OR(Report!$C$5="",B620=Report!$C$5)),MATCH(B620,Rooms!$B$6:$B$35,0)*10000+ROW(),"")</f>
        <v/>
      </c>
      <c r="W620">
        <f>IF(AND(S620=1,OR(J620="",J620="No")),1,0)</f>
        <v/>
      </c>
      <c r="X620">
        <f>IF(AND(S620=1,K620=""),1,0)</f>
        <v/>
      </c>
      <c r="Y620">
        <f>IF(AND(S620=1,Q620&lt;&gt;""),ROUND(T620*100,0)*10000+10000-ROW(),"")</f>
        <v/>
      </c>
    </row>
    <row r="621">
      <c r="A621" s="1" t="n"/>
      <c r="B621" s="17" t="n"/>
      <c r="C621" s="18" t="n"/>
      <c r="D621" s="17" t="n"/>
      <c r="E621" s="19" t="n"/>
      <c r="F621" s="19" t="n"/>
      <c r="G621" s="20" t="n"/>
      <c r="H621" s="21" t="n"/>
      <c r="I621" s="21" t="n"/>
      <c r="J621" s="17" t="n"/>
      <c r="K621" s="19" t="n"/>
      <c r="L621" s="20" t="n"/>
      <c r="M621" s="19" t="n"/>
      <c r="N621" s="22">
        <f>IF(C621="","",IF(ISNUMBER(I621),I621,IF(ISNUMBER(H621),H621,"")))</f>
        <v/>
      </c>
      <c r="O621" s="23">
        <f>IF(OR(C621="",NOT(ISNUMBER(G621))),"",(TODAY()-INT(G621))/365.25)</f>
        <v/>
      </c>
      <c r="P621" s="13">
        <f>IF(OR(C621="",NOT(ISNUMBER(L621))),"",IF(L621&lt;TODAY(),"Ended",IF(L621-TODAY()&lt;=N(Settings!$C$10),"Ends soon","Covered")))</f>
        <v/>
      </c>
      <c r="Q621" s="13">
        <f>IF(C621="","",MID(IF(N621="",", value","")&amp;IF(OR(J621="",J621="No"),", receipt","")&amp;IF(K621="",", photo",""),3,100))</f>
        <v/>
      </c>
      <c r="R621" s="13">
        <f>IF(AND(B621="",C621=""),"",IF(C621="","Needs the item",IF(B621="","Needs a room",IF(COUNTIF(Rooms!$B$6:$B$35,B621)=0,"Not on Rooms",IF(AND(H621&lt;&gt;"",NOT(ISNUMBER(H621))),"Paid not a number",IF(AND(I621&lt;&gt;"",NOT(ISNUMBER(I621))),"Worth not a number",IF(AND(G621&lt;&gt;"",NOT(ISNUMBER(G621))),"Bought is not a date",IF(AND(L621&lt;&gt;"",NOT(ISNUMBER(L621))),"Warranty is not a date",""))))))))</f>
        <v/>
      </c>
      <c r="S621" s="1">
        <f>IF(AND(C621&lt;&gt;"",R621=""),1,0)</f>
        <v/>
      </c>
      <c r="T621">
        <f>IF(S621=1,N(N621),0)</f>
        <v/>
      </c>
      <c r="U621">
        <f>IF(AND(S621=1,T621&gt;0),ROUND(T621*100,0)*10000+10000-ROW(),"")</f>
        <v/>
      </c>
      <c r="V621">
        <f>IF(AND(S621=1,OR(Report!$C$5="",B621=Report!$C$5)),MATCH(B621,Rooms!$B$6:$B$35,0)*10000+ROW(),"")</f>
        <v/>
      </c>
      <c r="W621">
        <f>IF(AND(S621=1,OR(J621="",J621="No")),1,0)</f>
        <v/>
      </c>
      <c r="X621">
        <f>IF(AND(S621=1,K621=""),1,0)</f>
        <v/>
      </c>
      <c r="Y621">
        <f>IF(AND(S621=1,Q621&lt;&gt;""),ROUND(T621*100,0)*10000+10000-ROW(),"")</f>
        <v/>
      </c>
    </row>
    <row r="622">
      <c r="A622" s="1" t="n"/>
      <c r="B622" s="17" t="n"/>
      <c r="C622" s="18" t="n"/>
      <c r="D622" s="17" t="n"/>
      <c r="E622" s="19" t="n"/>
      <c r="F622" s="19" t="n"/>
      <c r="G622" s="20" t="n"/>
      <c r="H622" s="21" t="n"/>
      <c r="I622" s="21" t="n"/>
      <c r="J622" s="17" t="n"/>
      <c r="K622" s="19" t="n"/>
      <c r="L622" s="20" t="n"/>
      <c r="M622" s="19" t="n"/>
      <c r="N622" s="22">
        <f>IF(C622="","",IF(ISNUMBER(I622),I622,IF(ISNUMBER(H622),H622,"")))</f>
        <v/>
      </c>
      <c r="O622" s="23">
        <f>IF(OR(C622="",NOT(ISNUMBER(G622))),"",(TODAY()-INT(G622))/365.25)</f>
        <v/>
      </c>
      <c r="P622" s="13">
        <f>IF(OR(C622="",NOT(ISNUMBER(L622))),"",IF(L622&lt;TODAY(),"Ended",IF(L622-TODAY()&lt;=N(Settings!$C$10),"Ends soon","Covered")))</f>
        <v/>
      </c>
      <c r="Q622" s="13">
        <f>IF(C622="","",MID(IF(N622="",", value","")&amp;IF(OR(J622="",J622="No"),", receipt","")&amp;IF(K622="",", photo",""),3,100))</f>
        <v/>
      </c>
      <c r="R622" s="13">
        <f>IF(AND(B622="",C622=""),"",IF(C622="","Needs the item",IF(B622="","Needs a room",IF(COUNTIF(Rooms!$B$6:$B$35,B622)=0,"Not on Rooms",IF(AND(H622&lt;&gt;"",NOT(ISNUMBER(H622))),"Paid not a number",IF(AND(I622&lt;&gt;"",NOT(ISNUMBER(I622))),"Worth not a number",IF(AND(G622&lt;&gt;"",NOT(ISNUMBER(G622))),"Bought is not a date",IF(AND(L622&lt;&gt;"",NOT(ISNUMBER(L622))),"Warranty is not a date",""))))))))</f>
        <v/>
      </c>
      <c r="S622" s="1">
        <f>IF(AND(C622&lt;&gt;"",R622=""),1,0)</f>
        <v/>
      </c>
      <c r="T622">
        <f>IF(S622=1,N(N622),0)</f>
        <v/>
      </c>
      <c r="U622">
        <f>IF(AND(S622=1,T622&gt;0),ROUND(T622*100,0)*10000+10000-ROW(),"")</f>
        <v/>
      </c>
      <c r="V622">
        <f>IF(AND(S622=1,OR(Report!$C$5="",B622=Report!$C$5)),MATCH(B622,Rooms!$B$6:$B$35,0)*10000+ROW(),"")</f>
        <v/>
      </c>
      <c r="W622">
        <f>IF(AND(S622=1,OR(J622="",J622="No")),1,0)</f>
        <v/>
      </c>
      <c r="X622">
        <f>IF(AND(S622=1,K622=""),1,0)</f>
        <v/>
      </c>
      <c r="Y622">
        <f>IF(AND(S622=1,Q622&lt;&gt;""),ROUND(T622*100,0)*10000+10000-ROW(),"")</f>
        <v/>
      </c>
    </row>
    <row r="623">
      <c r="A623" s="1" t="n"/>
      <c r="B623" s="17" t="n"/>
      <c r="C623" s="18" t="n"/>
      <c r="D623" s="17" t="n"/>
      <c r="E623" s="19" t="n"/>
      <c r="F623" s="19" t="n"/>
      <c r="G623" s="20" t="n"/>
      <c r="H623" s="21" t="n"/>
      <c r="I623" s="21" t="n"/>
      <c r="J623" s="17" t="n"/>
      <c r="K623" s="19" t="n"/>
      <c r="L623" s="20" t="n"/>
      <c r="M623" s="19" t="n"/>
      <c r="N623" s="22">
        <f>IF(C623="","",IF(ISNUMBER(I623),I623,IF(ISNUMBER(H623),H623,"")))</f>
        <v/>
      </c>
      <c r="O623" s="23">
        <f>IF(OR(C623="",NOT(ISNUMBER(G623))),"",(TODAY()-INT(G623))/365.25)</f>
        <v/>
      </c>
      <c r="P623" s="13">
        <f>IF(OR(C623="",NOT(ISNUMBER(L623))),"",IF(L623&lt;TODAY(),"Ended",IF(L623-TODAY()&lt;=N(Settings!$C$10),"Ends soon","Covered")))</f>
        <v/>
      </c>
      <c r="Q623" s="13">
        <f>IF(C623="","",MID(IF(N623="",", value","")&amp;IF(OR(J623="",J623="No"),", receipt","")&amp;IF(K623="",", photo",""),3,100))</f>
        <v/>
      </c>
      <c r="R623" s="13">
        <f>IF(AND(B623="",C623=""),"",IF(C623="","Needs the item",IF(B623="","Needs a room",IF(COUNTIF(Rooms!$B$6:$B$35,B623)=0,"Not on Rooms",IF(AND(H623&lt;&gt;"",NOT(ISNUMBER(H623))),"Paid not a number",IF(AND(I623&lt;&gt;"",NOT(ISNUMBER(I623))),"Worth not a number",IF(AND(G623&lt;&gt;"",NOT(ISNUMBER(G623))),"Bought is not a date",IF(AND(L623&lt;&gt;"",NOT(ISNUMBER(L623))),"Warranty is not a date",""))))))))</f>
        <v/>
      </c>
      <c r="S623" s="1">
        <f>IF(AND(C623&lt;&gt;"",R623=""),1,0)</f>
        <v/>
      </c>
      <c r="T623">
        <f>IF(S623=1,N(N623),0)</f>
        <v/>
      </c>
      <c r="U623">
        <f>IF(AND(S623=1,T623&gt;0),ROUND(T623*100,0)*10000+10000-ROW(),"")</f>
        <v/>
      </c>
      <c r="V623">
        <f>IF(AND(S623=1,OR(Report!$C$5="",B623=Report!$C$5)),MATCH(B623,Rooms!$B$6:$B$35,0)*10000+ROW(),"")</f>
        <v/>
      </c>
      <c r="W623">
        <f>IF(AND(S623=1,OR(J623="",J623="No")),1,0)</f>
        <v/>
      </c>
      <c r="X623">
        <f>IF(AND(S623=1,K623=""),1,0)</f>
        <v/>
      </c>
      <c r="Y623">
        <f>IF(AND(S623=1,Q623&lt;&gt;""),ROUND(T623*100,0)*10000+10000-ROW(),"")</f>
        <v/>
      </c>
    </row>
    <row r="624">
      <c r="A624" s="1" t="n"/>
      <c r="B624" s="17" t="n"/>
      <c r="C624" s="18" t="n"/>
      <c r="D624" s="17" t="n"/>
      <c r="E624" s="19" t="n"/>
      <c r="F624" s="19" t="n"/>
      <c r="G624" s="20" t="n"/>
      <c r="H624" s="21" t="n"/>
      <c r="I624" s="21" t="n"/>
      <c r="J624" s="17" t="n"/>
      <c r="K624" s="19" t="n"/>
      <c r="L624" s="20" t="n"/>
      <c r="M624" s="19" t="n"/>
      <c r="N624" s="22">
        <f>IF(C624="","",IF(ISNUMBER(I624),I624,IF(ISNUMBER(H624),H624,"")))</f>
        <v/>
      </c>
      <c r="O624" s="23">
        <f>IF(OR(C624="",NOT(ISNUMBER(G624))),"",(TODAY()-INT(G624))/365.25)</f>
        <v/>
      </c>
      <c r="P624" s="13">
        <f>IF(OR(C624="",NOT(ISNUMBER(L624))),"",IF(L624&lt;TODAY(),"Ended",IF(L624-TODAY()&lt;=N(Settings!$C$10),"Ends soon","Covered")))</f>
        <v/>
      </c>
      <c r="Q624" s="13">
        <f>IF(C624="","",MID(IF(N624="",", value","")&amp;IF(OR(J624="",J624="No"),", receipt","")&amp;IF(K624="",", photo",""),3,100))</f>
        <v/>
      </c>
      <c r="R624" s="13">
        <f>IF(AND(B624="",C624=""),"",IF(C624="","Needs the item",IF(B624="","Needs a room",IF(COUNTIF(Rooms!$B$6:$B$35,B624)=0,"Not on Rooms",IF(AND(H624&lt;&gt;"",NOT(ISNUMBER(H624))),"Paid not a number",IF(AND(I624&lt;&gt;"",NOT(ISNUMBER(I624))),"Worth not a number",IF(AND(G624&lt;&gt;"",NOT(ISNUMBER(G624))),"Bought is not a date",IF(AND(L624&lt;&gt;"",NOT(ISNUMBER(L624))),"Warranty is not a date",""))))))))</f>
        <v/>
      </c>
      <c r="S624" s="1">
        <f>IF(AND(C624&lt;&gt;"",R624=""),1,0)</f>
        <v/>
      </c>
      <c r="T624">
        <f>IF(S624=1,N(N624),0)</f>
        <v/>
      </c>
      <c r="U624">
        <f>IF(AND(S624=1,T624&gt;0),ROUND(T624*100,0)*10000+10000-ROW(),"")</f>
        <v/>
      </c>
      <c r="V624">
        <f>IF(AND(S624=1,OR(Report!$C$5="",B624=Report!$C$5)),MATCH(B624,Rooms!$B$6:$B$35,0)*10000+ROW(),"")</f>
        <v/>
      </c>
      <c r="W624">
        <f>IF(AND(S624=1,OR(J624="",J624="No")),1,0)</f>
        <v/>
      </c>
      <c r="X624">
        <f>IF(AND(S624=1,K624=""),1,0)</f>
        <v/>
      </c>
      <c r="Y624">
        <f>IF(AND(S624=1,Q624&lt;&gt;""),ROUND(T624*100,0)*10000+10000-ROW(),"")</f>
        <v/>
      </c>
    </row>
    <row r="625">
      <c r="A625" s="1" t="n"/>
      <c r="B625" s="17" t="n"/>
      <c r="C625" s="18" t="n"/>
      <c r="D625" s="17" t="n"/>
      <c r="E625" s="19" t="n"/>
      <c r="F625" s="19" t="n"/>
      <c r="G625" s="20" t="n"/>
      <c r="H625" s="21" t="n"/>
      <c r="I625" s="21" t="n"/>
      <c r="J625" s="17" t="n"/>
      <c r="K625" s="19" t="n"/>
      <c r="L625" s="20" t="n"/>
      <c r="M625" s="19" t="n"/>
      <c r="N625" s="22">
        <f>IF(C625="","",IF(ISNUMBER(I625),I625,IF(ISNUMBER(H625),H625,"")))</f>
        <v/>
      </c>
      <c r="O625" s="23">
        <f>IF(OR(C625="",NOT(ISNUMBER(G625))),"",(TODAY()-INT(G625))/365.25)</f>
        <v/>
      </c>
      <c r="P625" s="13">
        <f>IF(OR(C625="",NOT(ISNUMBER(L625))),"",IF(L625&lt;TODAY(),"Ended",IF(L625-TODAY()&lt;=N(Settings!$C$10),"Ends soon","Covered")))</f>
        <v/>
      </c>
      <c r="Q625" s="13">
        <f>IF(C625="","",MID(IF(N625="",", value","")&amp;IF(OR(J625="",J625="No"),", receipt","")&amp;IF(K625="",", photo",""),3,100))</f>
        <v/>
      </c>
      <c r="R625" s="13">
        <f>IF(AND(B625="",C625=""),"",IF(C625="","Needs the item",IF(B625="","Needs a room",IF(COUNTIF(Rooms!$B$6:$B$35,B625)=0,"Not on Rooms",IF(AND(H625&lt;&gt;"",NOT(ISNUMBER(H625))),"Paid not a number",IF(AND(I625&lt;&gt;"",NOT(ISNUMBER(I625))),"Worth not a number",IF(AND(G625&lt;&gt;"",NOT(ISNUMBER(G625))),"Bought is not a date",IF(AND(L625&lt;&gt;"",NOT(ISNUMBER(L625))),"Warranty is not a date",""))))))))</f>
        <v/>
      </c>
      <c r="S625" s="1">
        <f>IF(AND(C625&lt;&gt;"",R625=""),1,0)</f>
        <v/>
      </c>
      <c r="T625">
        <f>IF(S625=1,N(N625),0)</f>
        <v/>
      </c>
      <c r="U625">
        <f>IF(AND(S625=1,T625&gt;0),ROUND(T625*100,0)*10000+10000-ROW(),"")</f>
        <v/>
      </c>
      <c r="V625">
        <f>IF(AND(S625=1,OR(Report!$C$5="",B625=Report!$C$5)),MATCH(B625,Rooms!$B$6:$B$35,0)*10000+ROW(),"")</f>
        <v/>
      </c>
      <c r="W625">
        <f>IF(AND(S625=1,OR(J625="",J625="No")),1,0)</f>
        <v/>
      </c>
      <c r="X625">
        <f>IF(AND(S625=1,K625=""),1,0)</f>
        <v/>
      </c>
      <c r="Y625">
        <f>IF(AND(S625=1,Q625&lt;&gt;""),ROUND(T625*100,0)*10000+10000-ROW(),"")</f>
        <v/>
      </c>
    </row>
    <row r="626">
      <c r="A626" s="1" t="n"/>
      <c r="B626" s="17" t="n"/>
      <c r="C626" s="18" t="n"/>
      <c r="D626" s="17" t="n"/>
      <c r="E626" s="19" t="n"/>
      <c r="F626" s="19" t="n"/>
      <c r="G626" s="20" t="n"/>
      <c r="H626" s="21" t="n"/>
      <c r="I626" s="21" t="n"/>
      <c r="J626" s="17" t="n"/>
      <c r="K626" s="19" t="n"/>
      <c r="L626" s="20" t="n"/>
      <c r="M626" s="19" t="n"/>
      <c r="N626" s="22">
        <f>IF(C626="","",IF(ISNUMBER(I626),I626,IF(ISNUMBER(H626),H626,"")))</f>
        <v/>
      </c>
      <c r="O626" s="23">
        <f>IF(OR(C626="",NOT(ISNUMBER(G626))),"",(TODAY()-INT(G626))/365.25)</f>
        <v/>
      </c>
      <c r="P626" s="13">
        <f>IF(OR(C626="",NOT(ISNUMBER(L626))),"",IF(L626&lt;TODAY(),"Ended",IF(L626-TODAY()&lt;=N(Settings!$C$10),"Ends soon","Covered")))</f>
        <v/>
      </c>
      <c r="Q626" s="13">
        <f>IF(C626="","",MID(IF(N626="",", value","")&amp;IF(OR(J626="",J626="No"),", receipt","")&amp;IF(K626="",", photo",""),3,100))</f>
        <v/>
      </c>
      <c r="R626" s="13">
        <f>IF(AND(B626="",C626=""),"",IF(C626="","Needs the item",IF(B626="","Needs a room",IF(COUNTIF(Rooms!$B$6:$B$35,B626)=0,"Not on Rooms",IF(AND(H626&lt;&gt;"",NOT(ISNUMBER(H626))),"Paid not a number",IF(AND(I626&lt;&gt;"",NOT(ISNUMBER(I626))),"Worth not a number",IF(AND(G626&lt;&gt;"",NOT(ISNUMBER(G626))),"Bought is not a date",IF(AND(L626&lt;&gt;"",NOT(ISNUMBER(L626))),"Warranty is not a date",""))))))))</f>
        <v/>
      </c>
      <c r="S626" s="1">
        <f>IF(AND(C626&lt;&gt;"",R626=""),1,0)</f>
        <v/>
      </c>
      <c r="T626">
        <f>IF(S626=1,N(N626),0)</f>
        <v/>
      </c>
      <c r="U626">
        <f>IF(AND(S626=1,T626&gt;0),ROUND(T626*100,0)*10000+10000-ROW(),"")</f>
        <v/>
      </c>
      <c r="V626">
        <f>IF(AND(S626=1,OR(Report!$C$5="",B626=Report!$C$5)),MATCH(B626,Rooms!$B$6:$B$35,0)*10000+ROW(),"")</f>
        <v/>
      </c>
      <c r="W626">
        <f>IF(AND(S626=1,OR(J626="",J626="No")),1,0)</f>
        <v/>
      </c>
      <c r="X626">
        <f>IF(AND(S626=1,K626=""),1,0)</f>
        <v/>
      </c>
      <c r="Y626">
        <f>IF(AND(S626=1,Q626&lt;&gt;""),ROUND(T626*100,0)*10000+10000-ROW(),"")</f>
        <v/>
      </c>
    </row>
    <row r="627">
      <c r="A627" s="1" t="n"/>
      <c r="B627" s="17" t="n"/>
      <c r="C627" s="18" t="n"/>
      <c r="D627" s="17" t="n"/>
      <c r="E627" s="19" t="n"/>
      <c r="F627" s="19" t="n"/>
      <c r="G627" s="20" t="n"/>
      <c r="H627" s="21" t="n"/>
      <c r="I627" s="21" t="n"/>
      <c r="J627" s="17" t="n"/>
      <c r="K627" s="19" t="n"/>
      <c r="L627" s="20" t="n"/>
      <c r="M627" s="19" t="n"/>
      <c r="N627" s="22">
        <f>IF(C627="","",IF(ISNUMBER(I627),I627,IF(ISNUMBER(H627),H627,"")))</f>
        <v/>
      </c>
      <c r="O627" s="23">
        <f>IF(OR(C627="",NOT(ISNUMBER(G627))),"",(TODAY()-INT(G627))/365.25)</f>
        <v/>
      </c>
      <c r="P627" s="13">
        <f>IF(OR(C627="",NOT(ISNUMBER(L627))),"",IF(L627&lt;TODAY(),"Ended",IF(L627-TODAY()&lt;=N(Settings!$C$10),"Ends soon","Covered")))</f>
        <v/>
      </c>
      <c r="Q627" s="13">
        <f>IF(C627="","",MID(IF(N627="",", value","")&amp;IF(OR(J627="",J627="No"),", receipt","")&amp;IF(K627="",", photo",""),3,100))</f>
        <v/>
      </c>
      <c r="R627" s="13">
        <f>IF(AND(B627="",C627=""),"",IF(C627="","Needs the item",IF(B627="","Needs a room",IF(COUNTIF(Rooms!$B$6:$B$35,B627)=0,"Not on Rooms",IF(AND(H627&lt;&gt;"",NOT(ISNUMBER(H627))),"Paid not a number",IF(AND(I627&lt;&gt;"",NOT(ISNUMBER(I627))),"Worth not a number",IF(AND(G627&lt;&gt;"",NOT(ISNUMBER(G627))),"Bought is not a date",IF(AND(L627&lt;&gt;"",NOT(ISNUMBER(L627))),"Warranty is not a date",""))))))))</f>
        <v/>
      </c>
      <c r="S627" s="1">
        <f>IF(AND(C627&lt;&gt;"",R627=""),1,0)</f>
        <v/>
      </c>
      <c r="T627">
        <f>IF(S627=1,N(N627),0)</f>
        <v/>
      </c>
      <c r="U627">
        <f>IF(AND(S627=1,T627&gt;0),ROUND(T627*100,0)*10000+10000-ROW(),"")</f>
        <v/>
      </c>
      <c r="V627">
        <f>IF(AND(S627=1,OR(Report!$C$5="",B627=Report!$C$5)),MATCH(B627,Rooms!$B$6:$B$35,0)*10000+ROW(),"")</f>
        <v/>
      </c>
      <c r="W627">
        <f>IF(AND(S627=1,OR(J627="",J627="No")),1,0)</f>
        <v/>
      </c>
      <c r="X627">
        <f>IF(AND(S627=1,K627=""),1,0)</f>
        <v/>
      </c>
      <c r="Y627">
        <f>IF(AND(S627=1,Q627&lt;&gt;""),ROUND(T627*100,0)*10000+10000-ROW(),"")</f>
        <v/>
      </c>
    </row>
    <row r="628">
      <c r="A628" s="1" t="n"/>
      <c r="B628" s="17" t="n"/>
      <c r="C628" s="18" t="n"/>
      <c r="D628" s="17" t="n"/>
      <c r="E628" s="19" t="n"/>
      <c r="F628" s="19" t="n"/>
      <c r="G628" s="20" t="n"/>
      <c r="H628" s="21" t="n"/>
      <c r="I628" s="21" t="n"/>
      <c r="J628" s="17" t="n"/>
      <c r="K628" s="19" t="n"/>
      <c r="L628" s="20" t="n"/>
      <c r="M628" s="19" t="n"/>
      <c r="N628" s="22">
        <f>IF(C628="","",IF(ISNUMBER(I628),I628,IF(ISNUMBER(H628),H628,"")))</f>
        <v/>
      </c>
      <c r="O628" s="23">
        <f>IF(OR(C628="",NOT(ISNUMBER(G628))),"",(TODAY()-INT(G628))/365.25)</f>
        <v/>
      </c>
      <c r="P628" s="13">
        <f>IF(OR(C628="",NOT(ISNUMBER(L628))),"",IF(L628&lt;TODAY(),"Ended",IF(L628-TODAY()&lt;=N(Settings!$C$10),"Ends soon","Covered")))</f>
        <v/>
      </c>
      <c r="Q628" s="13">
        <f>IF(C628="","",MID(IF(N628="",", value","")&amp;IF(OR(J628="",J628="No"),", receipt","")&amp;IF(K628="",", photo",""),3,100))</f>
        <v/>
      </c>
      <c r="R628" s="13">
        <f>IF(AND(B628="",C628=""),"",IF(C628="","Needs the item",IF(B628="","Needs a room",IF(COUNTIF(Rooms!$B$6:$B$35,B628)=0,"Not on Rooms",IF(AND(H628&lt;&gt;"",NOT(ISNUMBER(H628))),"Paid not a number",IF(AND(I628&lt;&gt;"",NOT(ISNUMBER(I628))),"Worth not a number",IF(AND(G628&lt;&gt;"",NOT(ISNUMBER(G628))),"Bought is not a date",IF(AND(L628&lt;&gt;"",NOT(ISNUMBER(L628))),"Warranty is not a date",""))))))))</f>
        <v/>
      </c>
      <c r="S628" s="1">
        <f>IF(AND(C628&lt;&gt;"",R628=""),1,0)</f>
        <v/>
      </c>
      <c r="T628">
        <f>IF(S628=1,N(N628),0)</f>
        <v/>
      </c>
      <c r="U628">
        <f>IF(AND(S628=1,T628&gt;0),ROUND(T628*100,0)*10000+10000-ROW(),"")</f>
        <v/>
      </c>
      <c r="V628">
        <f>IF(AND(S628=1,OR(Report!$C$5="",B628=Report!$C$5)),MATCH(B628,Rooms!$B$6:$B$35,0)*10000+ROW(),"")</f>
        <v/>
      </c>
      <c r="W628">
        <f>IF(AND(S628=1,OR(J628="",J628="No")),1,0)</f>
        <v/>
      </c>
      <c r="X628">
        <f>IF(AND(S628=1,K628=""),1,0)</f>
        <v/>
      </c>
      <c r="Y628">
        <f>IF(AND(S628=1,Q628&lt;&gt;""),ROUND(T628*100,0)*10000+10000-ROW(),"")</f>
        <v/>
      </c>
    </row>
    <row r="629">
      <c r="A629" s="1" t="n"/>
      <c r="B629" s="17" t="n"/>
      <c r="C629" s="18" t="n"/>
      <c r="D629" s="17" t="n"/>
      <c r="E629" s="19" t="n"/>
      <c r="F629" s="19" t="n"/>
      <c r="G629" s="20" t="n"/>
      <c r="H629" s="21" t="n"/>
      <c r="I629" s="21" t="n"/>
      <c r="J629" s="17" t="n"/>
      <c r="K629" s="19" t="n"/>
      <c r="L629" s="20" t="n"/>
      <c r="M629" s="19" t="n"/>
      <c r="N629" s="22">
        <f>IF(C629="","",IF(ISNUMBER(I629),I629,IF(ISNUMBER(H629),H629,"")))</f>
        <v/>
      </c>
      <c r="O629" s="23">
        <f>IF(OR(C629="",NOT(ISNUMBER(G629))),"",(TODAY()-INT(G629))/365.25)</f>
        <v/>
      </c>
      <c r="P629" s="13">
        <f>IF(OR(C629="",NOT(ISNUMBER(L629))),"",IF(L629&lt;TODAY(),"Ended",IF(L629-TODAY()&lt;=N(Settings!$C$10),"Ends soon","Covered")))</f>
        <v/>
      </c>
      <c r="Q629" s="13">
        <f>IF(C629="","",MID(IF(N629="",", value","")&amp;IF(OR(J629="",J629="No"),", receipt","")&amp;IF(K629="",", photo",""),3,100))</f>
        <v/>
      </c>
      <c r="R629" s="13">
        <f>IF(AND(B629="",C629=""),"",IF(C629="","Needs the item",IF(B629="","Needs a room",IF(COUNTIF(Rooms!$B$6:$B$35,B629)=0,"Not on Rooms",IF(AND(H629&lt;&gt;"",NOT(ISNUMBER(H629))),"Paid not a number",IF(AND(I629&lt;&gt;"",NOT(ISNUMBER(I629))),"Worth not a number",IF(AND(G629&lt;&gt;"",NOT(ISNUMBER(G629))),"Bought is not a date",IF(AND(L629&lt;&gt;"",NOT(ISNUMBER(L629))),"Warranty is not a date",""))))))))</f>
        <v/>
      </c>
      <c r="S629" s="1">
        <f>IF(AND(C629&lt;&gt;"",R629=""),1,0)</f>
        <v/>
      </c>
      <c r="T629">
        <f>IF(S629=1,N(N629),0)</f>
        <v/>
      </c>
      <c r="U629">
        <f>IF(AND(S629=1,T629&gt;0),ROUND(T629*100,0)*10000+10000-ROW(),"")</f>
        <v/>
      </c>
      <c r="V629">
        <f>IF(AND(S629=1,OR(Report!$C$5="",B629=Report!$C$5)),MATCH(B629,Rooms!$B$6:$B$35,0)*10000+ROW(),"")</f>
        <v/>
      </c>
      <c r="W629">
        <f>IF(AND(S629=1,OR(J629="",J629="No")),1,0)</f>
        <v/>
      </c>
      <c r="X629">
        <f>IF(AND(S629=1,K629=""),1,0)</f>
        <v/>
      </c>
      <c r="Y629">
        <f>IF(AND(S629=1,Q629&lt;&gt;""),ROUND(T629*100,0)*10000+10000-ROW(),"")</f>
        <v/>
      </c>
    </row>
    <row r="630">
      <c r="A630" s="1" t="n"/>
      <c r="B630" s="17" t="n"/>
      <c r="C630" s="18" t="n"/>
      <c r="D630" s="17" t="n"/>
      <c r="E630" s="19" t="n"/>
      <c r="F630" s="19" t="n"/>
      <c r="G630" s="20" t="n"/>
      <c r="H630" s="21" t="n"/>
      <c r="I630" s="21" t="n"/>
      <c r="J630" s="17" t="n"/>
      <c r="K630" s="19" t="n"/>
      <c r="L630" s="20" t="n"/>
      <c r="M630" s="19" t="n"/>
      <c r="N630" s="22">
        <f>IF(C630="","",IF(ISNUMBER(I630),I630,IF(ISNUMBER(H630),H630,"")))</f>
        <v/>
      </c>
      <c r="O630" s="23">
        <f>IF(OR(C630="",NOT(ISNUMBER(G630))),"",(TODAY()-INT(G630))/365.25)</f>
        <v/>
      </c>
      <c r="P630" s="13">
        <f>IF(OR(C630="",NOT(ISNUMBER(L630))),"",IF(L630&lt;TODAY(),"Ended",IF(L630-TODAY()&lt;=N(Settings!$C$10),"Ends soon","Covered")))</f>
        <v/>
      </c>
      <c r="Q630" s="13">
        <f>IF(C630="","",MID(IF(N630="",", value","")&amp;IF(OR(J630="",J630="No"),", receipt","")&amp;IF(K630="",", photo",""),3,100))</f>
        <v/>
      </c>
      <c r="R630" s="13">
        <f>IF(AND(B630="",C630=""),"",IF(C630="","Needs the item",IF(B630="","Needs a room",IF(COUNTIF(Rooms!$B$6:$B$35,B630)=0,"Not on Rooms",IF(AND(H630&lt;&gt;"",NOT(ISNUMBER(H630))),"Paid not a number",IF(AND(I630&lt;&gt;"",NOT(ISNUMBER(I630))),"Worth not a number",IF(AND(G630&lt;&gt;"",NOT(ISNUMBER(G630))),"Bought is not a date",IF(AND(L630&lt;&gt;"",NOT(ISNUMBER(L630))),"Warranty is not a date",""))))))))</f>
        <v/>
      </c>
      <c r="S630" s="1">
        <f>IF(AND(C630&lt;&gt;"",R630=""),1,0)</f>
        <v/>
      </c>
      <c r="T630">
        <f>IF(S630=1,N(N630),0)</f>
        <v/>
      </c>
      <c r="U630">
        <f>IF(AND(S630=1,T630&gt;0),ROUND(T630*100,0)*10000+10000-ROW(),"")</f>
        <v/>
      </c>
      <c r="V630">
        <f>IF(AND(S630=1,OR(Report!$C$5="",B630=Report!$C$5)),MATCH(B630,Rooms!$B$6:$B$35,0)*10000+ROW(),"")</f>
        <v/>
      </c>
      <c r="W630">
        <f>IF(AND(S630=1,OR(J630="",J630="No")),1,0)</f>
        <v/>
      </c>
      <c r="X630">
        <f>IF(AND(S630=1,K630=""),1,0)</f>
        <v/>
      </c>
      <c r="Y630">
        <f>IF(AND(S630=1,Q630&lt;&gt;""),ROUND(T630*100,0)*10000+10000-ROW(),"")</f>
        <v/>
      </c>
    </row>
    <row r="631">
      <c r="A631" s="1" t="n"/>
      <c r="B631" s="17" t="n"/>
      <c r="C631" s="18" t="n"/>
      <c r="D631" s="17" t="n"/>
      <c r="E631" s="19" t="n"/>
      <c r="F631" s="19" t="n"/>
      <c r="G631" s="20" t="n"/>
      <c r="H631" s="21" t="n"/>
      <c r="I631" s="21" t="n"/>
      <c r="J631" s="17" t="n"/>
      <c r="K631" s="19" t="n"/>
      <c r="L631" s="20" t="n"/>
      <c r="M631" s="19" t="n"/>
      <c r="N631" s="22">
        <f>IF(C631="","",IF(ISNUMBER(I631),I631,IF(ISNUMBER(H631),H631,"")))</f>
        <v/>
      </c>
      <c r="O631" s="23">
        <f>IF(OR(C631="",NOT(ISNUMBER(G631))),"",(TODAY()-INT(G631))/365.25)</f>
        <v/>
      </c>
      <c r="P631" s="13">
        <f>IF(OR(C631="",NOT(ISNUMBER(L631))),"",IF(L631&lt;TODAY(),"Ended",IF(L631-TODAY()&lt;=N(Settings!$C$10),"Ends soon","Covered")))</f>
        <v/>
      </c>
      <c r="Q631" s="13">
        <f>IF(C631="","",MID(IF(N631="",", value","")&amp;IF(OR(J631="",J631="No"),", receipt","")&amp;IF(K631="",", photo",""),3,100))</f>
        <v/>
      </c>
      <c r="R631" s="13">
        <f>IF(AND(B631="",C631=""),"",IF(C631="","Needs the item",IF(B631="","Needs a room",IF(COUNTIF(Rooms!$B$6:$B$35,B631)=0,"Not on Rooms",IF(AND(H631&lt;&gt;"",NOT(ISNUMBER(H631))),"Paid not a number",IF(AND(I631&lt;&gt;"",NOT(ISNUMBER(I631))),"Worth not a number",IF(AND(G631&lt;&gt;"",NOT(ISNUMBER(G631))),"Bought is not a date",IF(AND(L631&lt;&gt;"",NOT(ISNUMBER(L631))),"Warranty is not a date",""))))))))</f>
        <v/>
      </c>
      <c r="S631" s="1">
        <f>IF(AND(C631&lt;&gt;"",R631=""),1,0)</f>
        <v/>
      </c>
      <c r="T631">
        <f>IF(S631=1,N(N631),0)</f>
        <v/>
      </c>
      <c r="U631">
        <f>IF(AND(S631=1,T631&gt;0),ROUND(T631*100,0)*10000+10000-ROW(),"")</f>
        <v/>
      </c>
      <c r="V631">
        <f>IF(AND(S631=1,OR(Report!$C$5="",B631=Report!$C$5)),MATCH(B631,Rooms!$B$6:$B$35,0)*10000+ROW(),"")</f>
        <v/>
      </c>
      <c r="W631">
        <f>IF(AND(S631=1,OR(J631="",J631="No")),1,0)</f>
        <v/>
      </c>
      <c r="X631">
        <f>IF(AND(S631=1,K631=""),1,0)</f>
        <v/>
      </c>
      <c r="Y631">
        <f>IF(AND(S631=1,Q631&lt;&gt;""),ROUND(T631*100,0)*10000+10000-ROW(),"")</f>
        <v/>
      </c>
    </row>
    <row r="632">
      <c r="A632" s="1" t="n"/>
      <c r="B632" s="17" t="n"/>
      <c r="C632" s="18" t="n"/>
      <c r="D632" s="17" t="n"/>
      <c r="E632" s="19" t="n"/>
      <c r="F632" s="19" t="n"/>
      <c r="G632" s="20" t="n"/>
      <c r="H632" s="21" t="n"/>
      <c r="I632" s="21" t="n"/>
      <c r="J632" s="17" t="n"/>
      <c r="K632" s="19" t="n"/>
      <c r="L632" s="20" t="n"/>
      <c r="M632" s="19" t="n"/>
      <c r="N632" s="22">
        <f>IF(C632="","",IF(ISNUMBER(I632),I632,IF(ISNUMBER(H632),H632,"")))</f>
        <v/>
      </c>
      <c r="O632" s="23">
        <f>IF(OR(C632="",NOT(ISNUMBER(G632))),"",(TODAY()-INT(G632))/365.25)</f>
        <v/>
      </c>
      <c r="P632" s="13">
        <f>IF(OR(C632="",NOT(ISNUMBER(L632))),"",IF(L632&lt;TODAY(),"Ended",IF(L632-TODAY()&lt;=N(Settings!$C$10),"Ends soon","Covered")))</f>
        <v/>
      </c>
      <c r="Q632" s="13">
        <f>IF(C632="","",MID(IF(N632="",", value","")&amp;IF(OR(J632="",J632="No"),", receipt","")&amp;IF(K632="",", photo",""),3,100))</f>
        <v/>
      </c>
      <c r="R632" s="13">
        <f>IF(AND(B632="",C632=""),"",IF(C632="","Needs the item",IF(B632="","Needs a room",IF(COUNTIF(Rooms!$B$6:$B$35,B632)=0,"Not on Rooms",IF(AND(H632&lt;&gt;"",NOT(ISNUMBER(H632))),"Paid not a number",IF(AND(I632&lt;&gt;"",NOT(ISNUMBER(I632))),"Worth not a number",IF(AND(G632&lt;&gt;"",NOT(ISNUMBER(G632))),"Bought is not a date",IF(AND(L632&lt;&gt;"",NOT(ISNUMBER(L632))),"Warranty is not a date",""))))))))</f>
        <v/>
      </c>
      <c r="S632" s="1">
        <f>IF(AND(C632&lt;&gt;"",R632=""),1,0)</f>
        <v/>
      </c>
      <c r="T632">
        <f>IF(S632=1,N(N632),0)</f>
        <v/>
      </c>
      <c r="U632">
        <f>IF(AND(S632=1,T632&gt;0),ROUND(T632*100,0)*10000+10000-ROW(),"")</f>
        <v/>
      </c>
      <c r="V632">
        <f>IF(AND(S632=1,OR(Report!$C$5="",B632=Report!$C$5)),MATCH(B632,Rooms!$B$6:$B$35,0)*10000+ROW(),"")</f>
        <v/>
      </c>
      <c r="W632">
        <f>IF(AND(S632=1,OR(J632="",J632="No")),1,0)</f>
        <v/>
      </c>
      <c r="X632">
        <f>IF(AND(S632=1,K632=""),1,0)</f>
        <v/>
      </c>
      <c r="Y632">
        <f>IF(AND(S632=1,Q632&lt;&gt;""),ROUND(T632*100,0)*10000+10000-ROW(),"")</f>
        <v/>
      </c>
    </row>
    <row r="633">
      <c r="A633" s="1" t="n"/>
      <c r="B633" s="17" t="n"/>
      <c r="C633" s="18" t="n"/>
      <c r="D633" s="17" t="n"/>
      <c r="E633" s="19" t="n"/>
      <c r="F633" s="19" t="n"/>
      <c r="G633" s="20" t="n"/>
      <c r="H633" s="21" t="n"/>
      <c r="I633" s="21" t="n"/>
      <c r="J633" s="17" t="n"/>
      <c r="K633" s="19" t="n"/>
      <c r="L633" s="20" t="n"/>
      <c r="M633" s="19" t="n"/>
      <c r="N633" s="22">
        <f>IF(C633="","",IF(ISNUMBER(I633),I633,IF(ISNUMBER(H633),H633,"")))</f>
        <v/>
      </c>
      <c r="O633" s="23">
        <f>IF(OR(C633="",NOT(ISNUMBER(G633))),"",(TODAY()-INT(G633))/365.25)</f>
        <v/>
      </c>
      <c r="P633" s="13">
        <f>IF(OR(C633="",NOT(ISNUMBER(L633))),"",IF(L633&lt;TODAY(),"Ended",IF(L633-TODAY()&lt;=N(Settings!$C$10),"Ends soon","Covered")))</f>
        <v/>
      </c>
      <c r="Q633" s="13">
        <f>IF(C633="","",MID(IF(N633="",", value","")&amp;IF(OR(J633="",J633="No"),", receipt","")&amp;IF(K633="",", photo",""),3,100))</f>
        <v/>
      </c>
      <c r="R633" s="13">
        <f>IF(AND(B633="",C633=""),"",IF(C633="","Needs the item",IF(B633="","Needs a room",IF(COUNTIF(Rooms!$B$6:$B$35,B633)=0,"Not on Rooms",IF(AND(H633&lt;&gt;"",NOT(ISNUMBER(H633))),"Paid not a number",IF(AND(I633&lt;&gt;"",NOT(ISNUMBER(I633))),"Worth not a number",IF(AND(G633&lt;&gt;"",NOT(ISNUMBER(G633))),"Bought is not a date",IF(AND(L633&lt;&gt;"",NOT(ISNUMBER(L633))),"Warranty is not a date",""))))))))</f>
        <v/>
      </c>
      <c r="S633" s="1">
        <f>IF(AND(C633&lt;&gt;"",R633=""),1,0)</f>
        <v/>
      </c>
      <c r="T633">
        <f>IF(S633=1,N(N633),0)</f>
        <v/>
      </c>
      <c r="U633">
        <f>IF(AND(S633=1,T633&gt;0),ROUND(T633*100,0)*10000+10000-ROW(),"")</f>
        <v/>
      </c>
      <c r="V633">
        <f>IF(AND(S633=1,OR(Report!$C$5="",B633=Report!$C$5)),MATCH(B633,Rooms!$B$6:$B$35,0)*10000+ROW(),"")</f>
        <v/>
      </c>
      <c r="W633">
        <f>IF(AND(S633=1,OR(J633="",J633="No")),1,0)</f>
        <v/>
      </c>
      <c r="X633">
        <f>IF(AND(S633=1,K633=""),1,0)</f>
        <v/>
      </c>
      <c r="Y633">
        <f>IF(AND(S633=1,Q633&lt;&gt;""),ROUND(T633*100,0)*10000+10000-ROW(),"")</f>
        <v/>
      </c>
    </row>
    <row r="634">
      <c r="A634" s="1" t="n"/>
      <c r="B634" s="17" t="n"/>
      <c r="C634" s="18" t="n"/>
      <c r="D634" s="17" t="n"/>
      <c r="E634" s="19" t="n"/>
      <c r="F634" s="19" t="n"/>
      <c r="G634" s="20" t="n"/>
      <c r="H634" s="21" t="n"/>
      <c r="I634" s="21" t="n"/>
      <c r="J634" s="17" t="n"/>
      <c r="K634" s="19" t="n"/>
      <c r="L634" s="20" t="n"/>
      <c r="M634" s="19" t="n"/>
      <c r="N634" s="22">
        <f>IF(C634="","",IF(ISNUMBER(I634),I634,IF(ISNUMBER(H634),H634,"")))</f>
        <v/>
      </c>
      <c r="O634" s="23">
        <f>IF(OR(C634="",NOT(ISNUMBER(G634))),"",(TODAY()-INT(G634))/365.25)</f>
        <v/>
      </c>
      <c r="P634" s="13">
        <f>IF(OR(C634="",NOT(ISNUMBER(L634))),"",IF(L634&lt;TODAY(),"Ended",IF(L634-TODAY()&lt;=N(Settings!$C$10),"Ends soon","Covered")))</f>
        <v/>
      </c>
      <c r="Q634" s="13">
        <f>IF(C634="","",MID(IF(N634="",", value","")&amp;IF(OR(J634="",J634="No"),", receipt","")&amp;IF(K634="",", photo",""),3,100))</f>
        <v/>
      </c>
      <c r="R634" s="13">
        <f>IF(AND(B634="",C634=""),"",IF(C634="","Needs the item",IF(B634="","Needs a room",IF(COUNTIF(Rooms!$B$6:$B$35,B634)=0,"Not on Rooms",IF(AND(H634&lt;&gt;"",NOT(ISNUMBER(H634))),"Paid not a number",IF(AND(I634&lt;&gt;"",NOT(ISNUMBER(I634))),"Worth not a number",IF(AND(G634&lt;&gt;"",NOT(ISNUMBER(G634))),"Bought is not a date",IF(AND(L634&lt;&gt;"",NOT(ISNUMBER(L634))),"Warranty is not a date",""))))))))</f>
        <v/>
      </c>
      <c r="S634" s="1">
        <f>IF(AND(C634&lt;&gt;"",R634=""),1,0)</f>
        <v/>
      </c>
      <c r="T634">
        <f>IF(S634=1,N(N634),0)</f>
        <v/>
      </c>
      <c r="U634">
        <f>IF(AND(S634=1,T634&gt;0),ROUND(T634*100,0)*10000+10000-ROW(),"")</f>
        <v/>
      </c>
      <c r="V634">
        <f>IF(AND(S634=1,OR(Report!$C$5="",B634=Report!$C$5)),MATCH(B634,Rooms!$B$6:$B$35,0)*10000+ROW(),"")</f>
        <v/>
      </c>
      <c r="W634">
        <f>IF(AND(S634=1,OR(J634="",J634="No")),1,0)</f>
        <v/>
      </c>
      <c r="X634">
        <f>IF(AND(S634=1,K634=""),1,0)</f>
        <v/>
      </c>
      <c r="Y634">
        <f>IF(AND(S634=1,Q634&lt;&gt;""),ROUND(T634*100,0)*10000+10000-ROW(),"")</f>
        <v/>
      </c>
    </row>
    <row r="635">
      <c r="A635" s="1" t="n"/>
      <c r="B635" s="17" t="n"/>
      <c r="C635" s="18" t="n"/>
      <c r="D635" s="17" t="n"/>
      <c r="E635" s="19" t="n"/>
      <c r="F635" s="19" t="n"/>
      <c r="G635" s="20" t="n"/>
      <c r="H635" s="21" t="n"/>
      <c r="I635" s="21" t="n"/>
      <c r="J635" s="17" t="n"/>
      <c r="K635" s="19" t="n"/>
      <c r="L635" s="20" t="n"/>
      <c r="M635" s="19" t="n"/>
      <c r="N635" s="22">
        <f>IF(C635="","",IF(ISNUMBER(I635),I635,IF(ISNUMBER(H635),H635,"")))</f>
        <v/>
      </c>
      <c r="O635" s="23">
        <f>IF(OR(C635="",NOT(ISNUMBER(G635))),"",(TODAY()-INT(G635))/365.25)</f>
        <v/>
      </c>
      <c r="P635" s="13">
        <f>IF(OR(C635="",NOT(ISNUMBER(L635))),"",IF(L635&lt;TODAY(),"Ended",IF(L635-TODAY()&lt;=N(Settings!$C$10),"Ends soon","Covered")))</f>
        <v/>
      </c>
      <c r="Q635" s="13">
        <f>IF(C635="","",MID(IF(N635="",", value","")&amp;IF(OR(J635="",J635="No"),", receipt","")&amp;IF(K635="",", photo",""),3,100))</f>
        <v/>
      </c>
      <c r="R635" s="13">
        <f>IF(AND(B635="",C635=""),"",IF(C635="","Needs the item",IF(B635="","Needs a room",IF(COUNTIF(Rooms!$B$6:$B$35,B635)=0,"Not on Rooms",IF(AND(H635&lt;&gt;"",NOT(ISNUMBER(H635))),"Paid not a number",IF(AND(I635&lt;&gt;"",NOT(ISNUMBER(I635))),"Worth not a number",IF(AND(G635&lt;&gt;"",NOT(ISNUMBER(G635))),"Bought is not a date",IF(AND(L635&lt;&gt;"",NOT(ISNUMBER(L635))),"Warranty is not a date",""))))))))</f>
        <v/>
      </c>
      <c r="S635" s="1">
        <f>IF(AND(C635&lt;&gt;"",R635=""),1,0)</f>
        <v/>
      </c>
      <c r="T635">
        <f>IF(S635=1,N(N635),0)</f>
        <v/>
      </c>
      <c r="U635">
        <f>IF(AND(S635=1,T635&gt;0),ROUND(T635*100,0)*10000+10000-ROW(),"")</f>
        <v/>
      </c>
      <c r="V635">
        <f>IF(AND(S635=1,OR(Report!$C$5="",B635=Report!$C$5)),MATCH(B635,Rooms!$B$6:$B$35,0)*10000+ROW(),"")</f>
        <v/>
      </c>
      <c r="W635">
        <f>IF(AND(S635=1,OR(J635="",J635="No")),1,0)</f>
        <v/>
      </c>
      <c r="X635">
        <f>IF(AND(S635=1,K635=""),1,0)</f>
        <v/>
      </c>
      <c r="Y635">
        <f>IF(AND(S635=1,Q635&lt;&gt;""),ROUND(T635*100,0)*10000+10000-ROW(),"")</f>
        <v/>
      </c>
    </row>
    <row r="636">
      <c r="A636" s="1" t="n"/>
      <c r="B636" s="17" t="n"/>
      <c r="C636" s="18" t="n"/>
      <c r="D636" s="17" t="n"/>
      <c r="E636" s="19" t="n"/>
      <c r="F636" s="19" t="n"/>
      <c r="G636" s="20" t="n"/>
      <c r="H636" s="21" t="n"/>
      <c r="I636" s="21" t="n"/>
      <c r="J636" s="17" t="n"/>
      <c r="K636" s="19" t="n"/>
      <c r="L636" s="20" t="n"/>
      <c r="M636" s="19" t="n"/>
      <c r="N636" s="22">
        <f>IF(C636="","",IF(ISNUMBER(I636),I636,IF(ISNUMBER(H636),H636,"")))</f>
        <v/>
      </c>
      <c r="O636" s="23">
        <f>IF(OR(C636="",NOT(ISNUMBER(G636))),"",(TODAY()-INT(G636))/365.25)</f>
        <v/>
      </c>
      <c r="P636" s="13">
        <f>IF(OR(C636="",NOT(ISNUMBER(L636))),"",IF(L636&lt;TODAY(),"Ended",IF(L636-TODAY()&lt;=N(Settings!$C$10),"Ends soon","Covered")))</f>
        <v/>
      </c>
      <c r="Q636" s="13">
        <f>IF(C636="","",MID(IF(N636="",", value","")&amp;IF(OR(J636="",J636="No"),", receipt","")&amp;IF(K636="",", photo",""),3,100))</f>
        <v/>
      </c>
      <c r="R636" s="13">
        <f>IF(AND(B636="",C636=""),"",IF(C636="","Needs the item",IF(B636="","Needs a room",IF(COUNTIF(Rooms!$B$6:$B$35,B636)=0,"Not on Rooms",IF(AND(H636&lt;&gt;"",NOT(ISNUMBER(H636))),"Paid not a number",IF(AND(I636&lt;&gt;"",NOT(ISNUMBER(I636))),"Worth not a number",IF(AND(G636&lt;&gt;"",NOT(ISNUMBER(G636))),"Bought is not a date",IF(AND(L636&lt;&gt;"",NOT(ISNUMBER(L636))),"Warranty is not a date",""))))))))</f>
        <v/>
      </c>
      <c r="S636" s="1">
        <f>IF(AND(C636&lt;&gt;"",R636=""),1,0)</f>
        <v/>
      </c>
      <c r="T636">
        <f>IF(S636=1,N(N636),0)</f>
        <v/>
      </c>
      <c r="U636">
        <f>IF(AND(S636=1,T636&gt;0),ROUND(T636*100,0)*10000+10000-ROW(),"")</f>
        <v/>
      </c>
      <c r="V636">
        <f>IF(AND(S636=1,OR(Report!$C$5="",B636=Report!$C$5)),MATCH(B636,Rooms!$B$6:$B$35,0)*10000+ROW(),"")</f>
        <v/>
      </c>
      <c r="W636">
        <f>IF(AND(S636=1,OR(J636="",J636="No")),1,0)</f>
        <v/>
      </c>
      <c r="X636">
        <f>IF(AND(S636=1,K636=""),1,0)</f>
        <v/>
      </c>
      <c r="Y636">
        <f>IF(AND(S636=1,Q636&lt;&gt;""),ROUND(T636*100,0)*10000+10000-ROW(),"")</f>
        <v/>
      </c>
    </row>
    <row r="637">
      <c r="A637" s="1" t="n"/>
      <c r="B637" s="17" t="n"/>
      <c r="C637" s="18" t="n"/>
      <c r="D637" s="17" t="n"/>
      <c r="E637" s="19" t="n"/>
      <c r="F637" s="19" t="n"/>
      <c r="G637" s="20" t="n"/>
      <c r="H637" s="21" t="n"/>
      <c r="I637" s="21" t="n"/>
      <c r="J637" s="17" t="n"/>
      <c r="K637" s="19" t="n"/>
      <c r="L637" s="20" t="n"/>
      <c r="M637" s="19" t="n"/>
      <c r="N637" s="22">
        <f>IF(C637="","",IF(ISNUMBER(I637),I637,IF(ISNUMBER(H637),H637,"")))</f>
        <v/>
      </c>
      <c r="O637" s="23">
        <f>IF(OR(C637="",NOT(ISNUMBER(G637))),"",(TODAY()-INT(G637))/365.25)</f>
        <v/>
      </c>
      <c r="P637" s="13">
        <f>IF(OR(C637="",NOT(ISNUMBER(L637))),"",IF(L637&lt;TODAY(),"Ended",IF(L637-TODAY()&lt;=N(Settings!$C$10),"Ends soon","Covered")))</f>
        <v/>
      </c>
      <c r="Q637" s="13">
        <f>IF(C637="","",MID(IF(N637="",", value","")&amp;IF(OR(J637="",J637="No"),", receipt","")&amp;IF(K637="",", photo",""),3,100))</f>
        <v/>
      </c>
      <c r="R637" s="13">
        <f>IF(AND(B637="",C637=""),"",IF(C637="","Needs the item",IF(B637="","Needs a room",IF(COUNTIF(Rooms!$B$6:$B$35,B637)=0,"Not on Rooms",IF(AND(H637&lt;&gt;"",NOT(ISNUMBER(H637))),"Paid not a number",IF(AND(I637&lt;&gt;"",NOT(ISNUMBER(I637))),"Worth not a number",IF(AND(G637&lt;&gt;"",NOT(ISNUMBER(G637))),"Bought is not a date",IF(AND(L637&lt;&gt;"",NOT(ISNUMBER(L637))),"Warranty is not a date",""))))))))</f>
        <v/>
      </c>
      <c r="S637" s="1">
        <f>IF(AND(C637&lt;&gt;"",R637=""),1,0)</f>
        <v/>
      </c>
      <c r="T637">
        <f>IF(S637=1,N(N637),0)</f>
        <v/>
      </c>
      <c r="U637">
        <f>IF(AND(S637=1,T637&gt;0),ROUND(T637*100,0)*10000+10000-ROW(),"")</f>
        <v/>
      </c>
      <c r="V637">
        <f>IF(AND(S637=1,OR(Report!$C$5="",B637=Report!$C$5)),MATCH(B637,Rooms!$B$6:$B$35,0)*10000+ROW(),"")</f>
        <v/>
      </c>
      <c r="W637">
        <f>IF(AND(S637=1,OR(J637="",J637="No")),1,0)</f>
        <v/>
      </c>
      <c r="X637">
        <f>IF(AND(S637=1,K637=""),1,0)</f>
        <v/>
      </c>
      <c r="Y637">
        <f>IF(AND(S637=1,Q637&lt;&gt;""),ROUND(T637*100,0)*10000+10000-ROW(),"")</f>
        <v/>
      </c>
    </row>
    <row r="638">
      <c r="A638" s="1" t="n"/>
      <c r="B638" s="17" t="n"/>
      <c r="C638" s="18" t="n"/>
      <c r="D638" s="17" t="n"/>
      <c r="E638" s="19" t="n"/>
      <c r="F638" s="19" t="n"/>
      <c r="G638" s="20" t="n"/>
      <c r="H638" s="21" t="n"/>
      <c r="I638" s="21" t="n"/>
      <c r="J638" s="17" t="n"/>
      <c r="K638" s="19" t="n"/>
      <c r="L638" s="20" t="n"/>
      <c r="M638" s="19" t="n"/>
      <c r="N638" s="22">
        <f>IF(C638="","",IF(ISNUMBER(I638),I638,IF(ISNUMBER(H638),H638,"")))</f>
        <v/>
      </c>
      <c r="O638" s="23">
        <f>IF(OR(C638="",NOT(ISNUMBER(G638))),"",(TODAY()-INT(G638))/365.25)</f>
        <v/>
      </c>
      <c r="P638" s="13">
        <f>IF(OR(C638="",NOT(ISNUMBER(L638))),"",IF(L638&lt;TODAY(),"Ended",IF(L638-TODAY()&lt;=N(Settings!$C$10),"Ends soon","Covered")))</f>
        <v/>
      </c>
      <c r="Q638" s="13">
        <f>IF(C638="","",MID(IF(N638="",", value","")&amp;IF(OR(J638="",J638="No"),", receipt","")&amp;IF(K638="",", photo",""),3,100))</f>
        <v/>
      </c>
      <c r="R638" s="13">
        <f>IF(AND(B638="",C638=""),"",IF(C638="","Needs the item",IF(B638="","Needs a room",IF(COUNTIF(Rooms!$B$6:$B$35,B638)=0,"Not on Rooms",IF(AND(H638&lt;&gt;"",NOT(ISNUMBER(H638))),"Paid not a number",IF(AND(I638&lt;&gt;"",NOT(ISNUMBER(I638))),"Worth not a number",IF(AND(G638&lt;&gt;"",NOT(ISNUMBER(G638))),"Bought is not a date",IF(AND(L638&lt;&gt;"",NOT(ISNUMBER(L638))),"Warranty is not a date",""))))))))</f>
        <v/>
      </c>
      <c r="S638" s="1">
        <f>IF(AND(C638&lt;&gt;"",R638=""),1,0)</f>
        <v/>
      </c>
      <c r="T638">
        <f>IF(S638=1,N(N638),0)</f>
        <v/>
      </c>
      <c r="U638">
        <f>IF(AND(S638=1,T638&gt;0),ROUND(T638*100,0)*10000+10000-ROW(),"")</f>
        <v/>
      </c>
      <c r="V638">
        <f>IF(AND(S638=1,OR(Report!$C$5="",B638=Report!$C$5)),MATCH(B638,Rooms!$B$6:$B$35,0)*10000+ROW(),"")</f>
        <v/>
      </c>
      <c r="W638">
        <f>IF(AND(S638=1,OR(J638="",J638="No")),1,0)</f>
        <v/>
      </c>
      <c r="X638">
        <f>IF(AND(S638=1,K638=""),1,0)</f>
        <v/>
      </c>
      <c r="Y638">
        <f>IF(AND(S638=1,Q638&lt;&gt;""),ROUND(T638*100,0)*10000+10000-ROW(),"")</f>
        <v/>
      </c>
    </row>
    <row r="639">
      <c r="A639" s="1" t="n"/>
      <c r="B639" s="17" t="n"/>
      <c r="C639" s="18" t="n"/>
      <c r="D639" s="17" t="n"/>
      <c r="E639" s="19" t="n"/>
      <c r="F639" s="19" t="n"/>
      <c r="G639" s="20" t="n"/>
      <c r="H639" s="21" t="n"/>
      <c r="I639" s="21" t="n"/>
      <c r="J639" s="17" t="n"/>
      <c r="K639" s="19" t="n"/>
      <c r="L639" s="20" t="n"/>
      <c r="M639" s="19" t="n"/>
      <c r="N639" s="22">
        <f>IF(C639="","",IF(ISNUMBER(I639),I639,IF(ISNUMBER(H639),H639,"")))</f>
        <v/>
      </c>
      <c r="O639" s="23">
        <f>IF(OR(C639="",NOT(ISNUMBER(G639))),"",(TODAY()-INT(G639))/365.25)</f>
        <v/>
      </c>
      <c r="P639" s="13">
        <f>IF(OR(C639="",NOT(ISNUMBER(L639))),"",IF(L639&lt;TODAY(),"Ended",IF(L639-TODAY()&lt;=N(Settings!$C$10),"Ends soon","Covered")))</f>
        <v/>
      </c>
      <c r="Q639" s="13">
        <f>IF(C639="","",MID(IF(N639="",", value","")&amp;IF(OR(J639="",J639="No"),", receipt","")&amp;IF(K639="",", photo",""),3,100))</f>
        <v/>
      </c>
      <c r="R639" s="13">
        <f>IF(AND(B639="",C639=""),"",IF(C639="","Needs the item",IF(B639="","Needs a room",IF(COUNTIF(Rooms!$B$6:$B$35,B639)=0,"Not on Rooms",IF(AND(H639&lt;&gt;"",NOT(ISNUMBER(H639))),"Paid not a number",IF(AND(I639&lt;&gt;"",NOT(ISNUMBER(I639))),"Worth not a number",IF(AND(G639&lt;&gt;"",NOT(ISNUMBER(G639))),"Bought is not a date",IF(AND(L639&lt;&gt;"",NOT(ISNUMBER(L639))),"Warranty is not a date",""))))))))</f>
        <v/>
      </c>
      <c r="S639" s="1">
        <f>IF(AND(C639&lt;&gt;"",R639=""),1,0)</f>
        <v/>
      </c>
      <c r="T639">
        <f>IF(S639=1,N(N639),0)</f>
        <v/>
      </c>
      <c r="U639">
        <f>IF(AND(S639=1,T639&gt;0),ROUND(T639*100,0)*10000+10000-ROW(),"")</f>
        <v/>
      </c>
      <c r="V639">
        <f>IF(AND(S639=1,OR(Report!$C$5="",B639=Report!$C$5)),MATCH(B639,Rooms!$B$6:$B$35,0)*10000+ROW(),"")</f>
        <v/>
      </c>
      <c r="W639">
        <f>IF(AND(S639=1,OR(J639="",J639="No")),1,0)</f>
        <v/>
      </c>
      <c r="X639">
        <f>IF(AND(S639=1,K639=""),1,0)</f>
        <v/>
      </c>
      <c r="Y639">
        <f>IF(AND(S639=1,Q639&lt;&gt;""),ROUND(T639*100,0)*10000+10000-ROW(),"")</f>
        <v/>
      </c>
    </row>
    <row r="640">
      <c r="A640" s="1" t="n"/>
      <c r="B640" s="17" t="n"/>
      <c r="C640" s="18" t="n"/>
      <c r="D640" s="17" t="n"/>
      <c r="E640" s="19" t="n"/>
      <c r="F640" s="19" t="n"/>
      <c r="G640" s="20" t="n"/>
      <c r="H640" s="21" t="n"/>
      <c r="I640" s="21" t="n"/>
      <c r="J640" s="17" t="n"/>
      <c r="K640" s="19" t="n"/>
      <c r="L640" s="20" t="n"/>
      <c r="M640" s="19" t="n"/>
      <c r="N640" s="22">
        <f>IF(C640="","",IF(ISNUMBER(I640),I640,IF(ISNUMBER(H640),H640,"")))</f>
        <v/>
      </c>
      <c r="O640" s="23">
        <f>IF(OR(C640="",NOT(ISNUMBER(G640))),"",(TODAY()-INT(G640))/365.25)</f>
        <v/>
      </c>
      <c r="P640" s="13">
        <f>IF(OR(C640="",NOT(ISNUMBER(L640))),"",IF(L640&lt;TODAY(),"Ended",IF(L640-TODAY()&lt;=N(Settings!$C$10),"Ends soon","Covered")))</f>
        <v/>
      </c>
      <c r="Q640" s="13">
        <f>IF(C640="","",MID(IF(N640="",", value","")&amp;IF(OR(J640="",J640="No"),", receipt","")&amp;IF(K640="",", photo",""),3,100))</f>
        <v/>
      </c>
      <c r="R640" s="13">
        <f>IF(AND(B640="",C640=""),"",IF(C640="","Needs the item",IF(B640="","Needs a room",IF(COUNTIF(Rooms!$B$6:$B$35,B640)=0,"Not on Rooms",IF(AND(H640&lt;&gt;"",NOT(ISNUMBER(H640))),"Paid not a number",IF(AND(I640&lt;&gt;"",NOT(ISNUMBER(I640))),"Worth not a number",IF(AND(G640&lt;&gt;"",NOT(ISNUMBER(G640))),"Bought is not a date",IF(AND(L640&lt;&gt;"",NOT(ISNUMBER(L640))),"Warranty is not a date",""))))))))</f>
        <v/>
      </c>
      <c r="S640" s="1">
        <f>IF(AND(C640&lt;&gt;"",R640=""),1,0)</f>
        <v/>
      </c>
      <c r="T640">
        <f>IF(S640=1,N(N640),0)</f>
        <v/>
      </c>
      <c r="U640">
        <f>IF(AND(S640=1,T640&gt;0),ROUND(T640*100,0)*10000+10000-ROW(),"")</f>
        <v/>
      </c>
      <c r="V640">
        <f>IF(AND(S640=1,OR(Report!$C$5="",B640=Report!$C$5)),MATCH(B640,Rooms!$B$6:$B$35,0)*10000+ROW(),"")</f>
        <v/>
      </c>
      <c r="W640">
        <f>IF(AND(S640=1,OR(J640="",J640="No")),1,0)</f>
        <v/>
      </c>
      <c r="X640">
        <f>IF(AND(S640=1,K640=""),1,0)</f>
        <v/>
      </c>
      <c r="Y640">
        <f>IF(AND(S640=1,Q640&lt;&gt;""),ROUND(T640*100,0)*10000+10000-ROW(),"")</f>
        <v/>
      </c>
    </row>
    <row r="641">
      <c r="A641" s="1" t="n"/>
      <c r="B641" s="17" t="n"/>
      <c r="C641" s="18" t="n"/>
      <c r="D641" s="17" t="n"/>
      <c r="E641" s="19" t="n"/>
      <c r="F641" s="19" t="n"/>
      <c r="G641" s="20" t="n"/>
      <c r="H641" s="21" t="n"/>
      <c r="I641" s="21" t="n"/>
      <c r="J641" s="17" t="n"/>
      <c r="K641" s="19" t="n"/>
      <c r="L641" s="20" t="n"/>
      <c r="M641" s="19" t="n"/>
      <c r="N641" s="22">
        <f>IF(C641="","",IF(ISNUMBER(I641),I641,IF(ISNUMBER(H641),H641,"")))</f>
        <v/>
      </c>
      <c r="O641" s="23">
        <f>IF(OR(C641="",NOT(ISNUMBER(G641))),"",(TODAY()-INT(G641))/365.25)</f>
        <v/>
      </c>
      <c r="P641" s="13">
        <f>IF(OR(C641="",NOT(ISNUMBER(L641))),"",IF(L641&lt;TODAY(),"Ended",IF(L641-TODAY()&lt;=N(Settings!$C$10),"Ends soon","Covered")))</f>
        <v/>
      </c>
      <c r="Q641" s="13">
        <f>IF(C641="","",MID(IF(N641="",", value","")&amp;IF(OR(J641="",J641="No"),", receipt","")&amp;IF(K641="",", photo",""),3,100))</f>
        <v/>
      </c>
      <c r="R641" s="13">
        <f>IF(AND(B641="",C641=""),"",IF(C641="","Needs the item",IF(B641="","Needs a room",IF(COUNTIF(Rooms!$B$6:$B$35,B641)=0,"Not on Rooms",IF(AND(H641&lt;&gt;"",NOT(ISNUMBER(H641))),"Paid not a number",IF(AND(I641&lt;&gt;"",NOT(ISNUMBER(I641))),"Worth not a number",IF(AND(G641&lt;&gt;"",NOT(ISNUMBER(G641))),"Bought is not a date",IF(AND(L641&lt;&gt;"",NOT(ISNUMBER(L641))),"Warranty is not a date",""))))))))</f>
        <v/>
      </c>
      <c r="S641" s="1">
        <f>IF(AND(C641&lt;&gt;"",R641=""),1,0)</f>
        <v/>
      </c>
      <c r="T641">
        <f>IF(S641=1,N(N641),0)</f>
        <v/>
      </c>
      <c r="U641">
        <f>IF(AND(S641=1,T641&gt;0),ROUND(T641*100,0)*10000+10000-ROW(),"")</f>
        <v/>
      </c>
      <c r="V641">
        <f>IF(AND(S641=1,OR(Report!$C$5="",B641=Report!$C$5)),MATCH(B641,Rooms!$B$6:$B$35,0)*10000+ROW(),"")</f>
        <v/>
      </c>
      <c r="W641">
        <f>IF(AND(S641=1,OR(J641="",J641="No")),1,0)</f>
        <v/>
      </c>
      <c r="X641">
        <f>IF(AND(S641=1,K641=""),1,0)</f>
        <v/>
      </c>
      <c r="Y641">
        <f>IF(AND(S641=1,Q641&lt;&gt;""),ROUND(T641*100,0)*10000+10000-ROW(),"")</f>
        <v/>
      </c>
    </row>
    <row r="642">
      <c r="A642" s="1" t="n"/>
      <c r="B642" s="17" t="n"/>
      <c r="C642" s="18" t="n"/>
      <c r="D642" s="17" t="n"/>
      <c r="E642" s="19" t="n"/>
      <c r="F642" s="19" t="n"/>
      <c r="G642" s="20" t="n"/>
      <c r="H642" s="21" t="n"/>
      <c r="I642" s="21" t="n"/>
      <c r="J642" s="17" t="n"/>
      <c r="K642" s="19" t="n"/>
      <c r="L642" s="20" t="n"/>
      <c r="M642" s="19" t="n"/>
      <c r="N642" s="22">
        <f>IF(C642="","",IF(ISNUMBER(I642),I642,IF(ISNUMBER(H642),H642,"")))</f>
        <v/>
      </c>
      <c r="O642" s="23">
        <f>IF(OR(C642="",NOT(ISNUMBER(G642))),"",(TODAY()-INT(G642))/365.25)</f>
        <v/>
      </c>
      <c r="P642" s="13">
        <f>IF(OR(C642="",NOT(ISNUMBER(L642))),"",IF(L642&lt;TODAY(),"Ended",IF(L642-TODAY()&lt;=N(Settings!$C$10),"Ends soon","Covered")))</f>
        <v/>
      </c>
      <c r="Q642" s="13">
        <f>IF(C642="","",MID(IF(N642="",", value","")&amp;IF(OR(J642="",J642="No"),", receipt","")&amp;IF(K642="",", photo",""),3,100))</f>
        <v/>
      </c>
      <c r="R642" s="13">
        <f>IF(AND(B642="",C642=""),"",IF(C642="","Needs the item",IF(B642="","Needs a room",IF(COUNTIF(Rooms!$B$6:$B$35,B642)=0,"Not on Rooms",IF(AND(H642&lt;&gt;"",NOT(ISNUMBER(H642))),"Paid not a number",IF(AND(I642&lt;&gt;"",NOT(ISNUMBER(I642))),"Worth not a number",IF(AND(G642&lt;&gt;"",NOT(ISNUMBER(G642))),"Bought is not a date",IF(AND(L642&lt;&gt;"",NOT(ISNUMBER(L642))),"Warranty is not a date",""))))))))</f>
        <v/>
      </c>
      <c r="S642" s="1">
        <f>IF(AND(C642&lt;&gt;"",R642=""),1,0)</f>
        <v/>
      </c>
      <c r="T642">
        <f>IF(S642=1,N(N642),0)</f>
        <v/>
      </c>
      <c r="U642">
        <f>IF(AND(S642=1,T642&gt;0),ROUND(T642*100,0)*10000+10000-ROW(),"")</f>
        <v/>
      </c>
      <c r="V642">
        <f>IF(AND(S642=1,OR(Report!$C$5="",B642=Report!$C$5)),MATCH(B642,Rooms!$B$6:$B$35,0)*10000+ROW(),"")</f>
        <v/>
      </c>
      <c r="W642">
        <f>IF(AND(S642=1,OR(J642="",J642="No")),1,0)</f>
        <v/>
      </c>
      <c r="X642">
        <f>IF(AND(S642=1,K642=""),1,0)</f>
        <v/>
      </c>
      <c r="Y642">
        <f>IF(AND(S642=1,Q642&lt;&gt;""),ROUND(T642*100,0)*10000+10000-ROW(),"")</f>
        <v/>
      </c>
    </row>
    <row r="643">
      <c r="A643" s="1" t="n"/>
      <c r="B643" s="17" t="n"/>
      <c r="C643" s="18" t="n"/>
      <c r="D643" s="17" t="n"/>
      <c r="E643" s="19" t="n"/>
      <c r="F643" s="19" t="n"/>
      <c r="G643" s="20" t="n"/>
      <c r="H643" s="21" t="n"/>
      <c r="I643" s="21" t="n"/>
      <c r="J643" s="17" t="n"/>
      <c r="K643" s="19" t="n"/>
      <c r="L643" s="20" t="n"/>
      <c r="M643" s="19" t="n"/>
      <c r="N643" s="22">
        <f>IF(C643="","",IF(ISNUMBER(I643),I643,IF(ISNUMBER(H643),H643,"")))</f>
        <v/>
      </c>
      <c r="O643" s="23">
        <f>IF(OR(C643="",NOT(ISNUMBER(G643))),"",(TODAY()-INT(G643))/365.25)</f>
        <v/>
      </c>
      <c r="P643" s="13">
        <f>IF(OR(C643="",NOT(ISNUMBER(L643))),"",IF(L643&lt;TODAY(),"Ended",IF(L643-TODAY()&lt;=N(Settings!$C$10),"Ends soon","Covered")))</f>
        <v/>
      </c>
      <c r="Q643" s="13">
        <f>IF(C643="","",MID(IF(N643="",", value","")&amp;IF(OR(J643="",J643="No"),", receipt","")&amp;IF(K643="",", photo",""),3,100))</f>
        <v/>
      </c>
      <c r="R643" s="13">
        <f>IF(AND(B643="",C643=""),"",IF(C643="","Needs the item",IF(B643="","Needs a room",IF(COUNTIF(Rooms!$B$6:$B$35,B643)=0,"Not on Rooms",IF(AND(H643&lt;&gt;"",NOT(ISNUMBER(H643))),"Paid not a number",IF(AND(I643&lt;&gt;"",NOT(ISNUMBER(I643))),"Worth not a number",IF(AND(G643&lt;&gt;"",NOT(ISNUMBER(G643))),"Bought is not a date",IF(AND(L643&lt;&gt;"",NOT(ISNUMBER(L643))),"Warranty is not a date",""))))))))</f>
        <v/>
      </c>
      <c r="S643" s="1">
        <f>IF(AND(C643&lt;&gt;"",R643=""),1,0)</f>
        <v/>
      </c>
      <c r="T643">
        <f>IF(S643=1,N(N643),0)</f>
        <v/>
      </c>
      <c r="U643">
        <f>IF(AND(S643=1,T643&gt;0),ROUND(T643*100,0)*10000+10000-ROW(),"")</f>
        <v/>
      </c>
      <c r="V643">
        <f>IF(AND(S643=1,OR(Report!$C$5="",B643=Report!$C$5)),MATCH(B643,Rooms!$B$6:$B$35,0)*10000+ROW(),"")</f>
        <v/>
      </c>
      <c r="W643">
        <f>IF(AND(S643=1,OR(J643="",J643="No")),1,0)</f>
        <v/>
      </c>
      <c r="X643">
        <f>IF(AND(S643=1,K643=""),1,0)</f>
        <v/>
      </c>
      <c r="Y643">
        <f>IF(AND(S643=1,Q643&lt;&gt;""),ROUND(T643*100,0)*10000+10000-ROW(),"")</f>
        <v/>
      </c>
    </row>
    <row r="644">
      <c r="A644" s="1" t="n"/>
      <c r="B644" s="17" t="n"/>
      <c r="C644" s="18" t="n"/>
      <c r="D644" s="17" t="n"/>
      <c r="E644" s="19" t="n"/>
      <c r="F644" s="19" t="n"/>
      <c r="G644" s="20" t="n"/>
      <c r="H644" s="21" t="n"/>
      <c r="I644" s="21" t="n"/>
      <c r="J644" s="17" t="n"/>
      <c r="K644" s="19" t="n"/>
      <c r="L644" s="20" t="n"/>
      <c r="M644" s="19" t="n"/>
      <c r="N644" s="22">
        <f>IF(C644="","",IF(ISNUMBER(I644),I644,IF(ISNUMBER(H644),H644,"")))</f>
        <v/>
      </c>
      <c r="O644" s="23">
        <f>IF(OR(C644="",NOT(ISNUMBER(G644))),"",(TODAY()-INT(G644))/365.25)</f>
        <v/>
      </c>
      <c r="P644" s="13">
        <f>IF(OR(C644="",NOT(ISNUMBER(L644))),"",IF(L644&lt;TODAY(),"Ended",IF(L644-TODAY()&lt;=N(Settings!$C$10),"Ends soon","Covered")))</f>
        <v/>
      </c>
      <c r="Q644" s="13">
        <f>IF(C644="","",MID(IF(N644="",", value","")&amp;IF(OR(J644="",J644="No"),", receipt","")&amp;IF(K644="",", photo",""),3,100))</f>
        <v/>
      </c>
      <c r="R644" s="13">
        <f>IF(AND(B644="",C644=""),"",IF(C644="","Needs the item",IF(B644="","Needs a room",IF(COUNTIF(Rooms!$B$6:$B$35,B644)=0,"Not on Rooms",IF(AND(H644&lt;&gt;"",NOT(ISNUMBER(H644))),"Paid not a number",IF(AND(I644&lt;&gt;"",NOT(ISNUMBER(I644))),"Worth not a number",IF(AND(G644&lt;&gt;"",NOT(ISNUMBER(G644))),"Bought is not a date",IF(AND(L644&lt;&gt;"",NOT(ISNUMBER(L644))),"Warranty is not a date",""))))))))</f>
        <v/>
      </c>
      <c r="S644" s="1">
        <f>IF(AND(C644&lt;&gt;"",R644=""),1,0)</f>
        <v/>
      </c>
      <c r="T644">
        <f>IF(S644=1,N(N644),0)</f>
        <v/>
      </c>
      <c r="U644">
        <f>IF(AND(S644=1,T644&gt;0),ROUND(T644*100,0)*10000+10000-ROW(),"")</f>
        <v/>
      </c>
      <c r="V644">
        <f>IF(AND(S644=1,OR(Report!$C$5="",B644=Report!$C$5)),MATCH(B644,Rooms!$B$6:$B$35,0)*10000+ROW(),"")</f>
        <v/>
      </c>
      <c r="W644">
        <f>IF(AND(S644=1,OR(J644="",J644="No")),1,0)</f>
        <v/>
      </c>
      <c r="X644">
        <f>IF(AND(S644=1,K644=""),1,0)</f>
        <v/>
      </c>
      <c r="Y644">
        <f>IF(AND(S644=1,Q644&lt;&gt;""),ROUND(T644*100,0)*10000+10000-ROW(),"")</f>
        <v/>
      </c>
    </row>
    <row r="645">
      <c r="A645" s="1" t="n"/>
      <c r="B645" s="17" t="n"/>
      <c r="C645" s="18" t="n"/>
      <c r="D645" s="17" t="n"/>
      <c r="E645" s="19" t="n"/>
      <c r="F645" s="19" t="n"/>
      <c r="G645" s="20" t="n"/>
      <c r="H645" s="21" t="n"/>
      <c r="I645" s="21" t="n"/>
      <c r="J645" s="17" t="n"/>
      <c r="K645" s="19" t="n"/>
      <c r="L645" s="20" t="n"/>
      <c r="M645" s="19" t="n"/>
      <c r="N645" s="22">
        <f>IF(C645="","",IF(ISNUMBER(I645),I645,IF(ISNUMBER(H645),H645,"")))</f>
        <v/>
      </c>
      <c r="O645" s="23">
        <f>IF(OR(C645="",NOT(ISNUMBER(G645))),"",(TODAY()-INT(G645))/365.25)</f>
        <v/>
      </c>
      <c r="P645" s="13">
        <f>IF(OR(C645="",NOT(ISNUMBER(L645))),"",IF(L645&lt;TODAY(),"Ended",IF(L645-TODAY()&lt;=N(Settings!$C$10),"Ends soon","Covered")))</f>
        <v/>
      </c>
      <c r="Q645" s="13">
        <f>IF(C645="","",MID(IF(N645="",", value","")&amp;IF(OR(J645="",J645="No"),", receipt","")&amp;IF(K645="",", photo",""),3,100))</f>
        <v/>
      </c>
      <c r="R645" s="13">
        <f>IF(AND(B645="",C645=""),"",IF(C645="","Needs the item",IF(B645="","Needs a room",IF(COUNTIF(Rooms!$B$6:$B$35,B645)=0,"Not on Rooms",IF(AND(H645&lt;&gt;"",NOT(ISNUMBER(H645))),"Paid not a number",IF(AND(I645&lt;&gt;"",NOT(ISNUMBER(I645))),"Worth not a number",IF(AND(G645&lt;&gt;"",NOT(ISNUMBER(G645))),"Bought is not a date",IF(AND(L645&lt;&gt;"",NOT(ISNUMBER(L645))),"Warranty is not a date",""))))))))</f>
        <v/>
      </c>
      <c r="S645" s="1">
        <f>IF(AND(C645&lt;&gt;"",R645=""),1,0)</f>
        <v/>
      </c>
      <c r="T645">
        <f>IF(S645=1,N(N645),0)</f>
        <v/>
      </c>
      <c r="U645">
        <f>IF(AND(S645=1,T645&gt;0),ROUND(T645*100,0)*10000+10000-ROW(),"")</f>
        <v/>
      </c>
      <c r="V645">
        <f>IF(AND(S645=1,OR(Report!$C$5="",B645=Report!$C$5)),MATCH(B645,Rooms!$B$6:$B$35,0)*10000+ROW(),"")</f>
        <v/>
      </c>
      <c r="W645">
        <f>IF(AND(S645=1,OR(J645="",J645="No")),1,0)</f>
        <v/>
      </c>
      <c r="X645">
        <f>IF(AND(S645=1,K645=""),1,0)</f>
        <v/>
      </c>
      <c r="Y645">
        <f>IF(AND(S645=1,Q645&lt;&gt;""),ROUND(T645*100,0)*10000+10000-ROW(),"")</f>
        <v/>
      </c>
    </row>
    <row r="646">
      <c r="A646" s="1" t="n"/>
      <c r="B646" s="17" t="n"/>
      <c r="C646" s="18" t="n"/>
      <c r="D646" s="17" t="n"/>
      <c r="E646" s="19" t="n"/>
      <c r="F646" s="19" t="n"/>
      <c r="G646" s="20" t="n"/>
      <c r="H646" s="21" t="n"/>
      <c r="I646" s="21" t="n"/>
      <c r="J646" s="17" t="n"/>
      <c r="K646" s="19" t="n"/>
      <c r="L646" s="20" t="n"/>
      <c r="M646" s="19" t="n"/>
      <c r="N646" s="22">
        <f>IF(C646="","",IF(ISNUMBER(I646),I646,IF(ISNUMBER(H646),H646,"")))</f>
        <v/>
      </c>
      <c r="O646" s="23">
        <f>IF(OR(C646="",NOT(ISNUMBER(G646))),"",(TODAY()-INT(G646))/365.25)</f>
        <v/>
      </c>
      <c r="P646" s="13">
        <f>IF(OR(C646="",NOT(ISNUMBER(L646))),"",IF(L646&lt;TODAY(),"Ended",IF(L646-TODAY()&lt;=N(Settings!$C$10),"Ends soon","Covered")))</f>
        <v/>
      </c>
      <c r="Q646" s="13">
        <f>IF(C646="","",MID(IF(N646="",", value","")&amp;IF(OR(J646="",J646="No"),", receipt","")&amp;IF(K646="",", photo",""),3,100))</f>
        <v/>
      </c>
      <c r="R646" s="13">
        <f>IF(AND(B646="",C646=""),"",IF(C646="","Needs the item",IF(B646="","Needs a room",IF(COUNTIF(Rooms!$B$6:$B$35,B646)=0,"Not on Rooms",IF(AND(H646&lt;&gt;"",NOT(ISNUMBER(H646))),"Paid not a number",IF(AND(I646&lt;&gt;"",NOT(ISNUMBER(I646))),"Worth not a number",IF(AND(G646&lt;&gt;"",NOT(ISNUMBER(G646))),"Bought is not a date",IF(AND(L646&lt;&gt;"",NOT(ISNUMBER(L646))),"Warranty is not a date",""))))))))</f>
        <v/>
      </c>
      <c r="S646" s="1">
        <f>IF(AND(C646&lt;&gt;"",R646=""),1,0)</f>
        <v/>
      </c>
      <c r="T646">
        <f>IF(S646=1,N(N646),0)</f>
        <v/>
      </c>
      <c r="U646">
        <f>IF(AND(S646=1,T646&gt;0),ROUND(T646*100,0)*10000+10000-ROW(),"")</f>
        <v/>
      </c>
      <c r="V646">
        <f>IF(AND(S646=1,OR(Report!$C$5="",B646=Report!$C$5)),MATCH(B646,Rooms!$B$6:$B$35,0)*10000+ROW(),"")</f>
        <v/>
      </c>
      <c r="W646">
        <f>IF(AND(S646=1,OR(J646="",J646="No")),1,0)</f>
        <v/>
      </c>
      <c r="X646">
        <f>IF(AND(S646=1,K646=""),1,0)</f>
        <v/>
      </c>
      <c r="Y646">
        <f>IF(AND(S646=1,Q646&lt;&gt;""),ROUND(T646*100,0)*10000+10000-ROW(),"")</f>
        <v/>
      </c>
    </row>
    <row r="647">
      <c r="A647" s="1" t="n"/>
      <c r="B647" s="17" t="n"/>
      <c r="C647" s="18" t="n"/>
      <c r="D647" s="17" t="n"/>
      <c r="E647" s="19" t="n"/>
      <c r="F647" s="19" t="n"/>
      <c r="G647" s="20" t="n"/>
      <c r="H647" s="21" t="n"/>
      <c r="I647" s="21" t="n"/>
      <c r="J647" s="17" t="n"/>
      <c r="K647" s="19" t="n"/>
      <c r="L647" s="20" t="n"/>
      <c r="M647" s="19" t="n"/>
      <c r="N647" s="22">
        <f>IF(C647="","",IF(ISNUMBER(I647),I647,IF(ISNUMBER(H647),H647,"")))</f>
        <v/>
      </c>
      <c r="O647" s="23">
        <f>IF(OR(C647="",NOT(ISNUMBER(G647))),"",(TODAY()-INT(G647))/365.25)</f>
        <v/>
      </c>
      <c r="P647" s="13">
        <f>IF(OR(C647="",NOT(ISNUMBER(L647))),"",IF(L647&lt;TODAY(),"Ended",IF(L647-TODAY()&lt;=N(Settings!$C$10),"Ends soon","Covered")))</f>
        <v/>
      </c>
      <c r="Q647" s="13">
        <f>IF(C647="","",MID(IF(N647="",", value","")&amp;IF(OR(J647="",J647="No"),", receipt","")&amp;IF(K647="",", photo",""),3,100))</f>
        <v/>
      </c>
      <c r="R647" s="13">
        <f>IF(AND(B647="",C647=""),"",IF(C647="","Needs the item",IF(B647="","Needs a room",IF(COUNTIF(Rooms!$B$6:$B$35,B647)=0,"Not on Rooms",IF(AND(H647&lt;&gt;"",NOT(ISNUMBER(H647))),"Paid not a number",IF(AND(I647&lt;&gt;"",NOT(ISNUMBER(I647))),"Worth not a number",IF(AND(G647&lt;&gt;"",NOT(ISNUMBER(G647))),"Bought is not a date",IF(AND(L647&lt;&gt;"",NOT(ISNUMBER(L647))),"Warranty is not a date",""))))))))</f>
        <v/>
      </c>
      <c r="S647" s="1">
        <f>IF(AND(C647&lt;&gt;"",R647=""),1,0)</f>
        <v/>
      </c>
      <c r="T647">
        <f>IF(S647=1,N(N647),0)</f>
        <v/>
      </c>
      <c r="U647">
        <f>IF(AND(S647=1,T647&gt;0),ROUND(T647*100,0)*10000+10000-ROW(),"")</f>
        <v/>
      </c>
      <c r="V647">
        <f>IF(AND(S647=1,OR(Report!$C$5="",B647=Report!$C$5)),MATCH(B647,Rooms!$B$6:$B$35,0)*10000+ROW(),"")</f>
        <v/>
      </c>
      <c r="W647">
        <f>IF(AND(S647=1,OR(J647="",J647="No")),1,0)</f>
        <v/>
      </c>
      <c r="X647">
        <f>IF(AND(S647=1,K647=""),1,0)</f>
        <v/>
      </c>
      <c r="Y647">
        <f>IF(AND(S647=1,Q647&lt;&gt;""),ROUND(T647*100,0)*10000+10000-ROW(),"")</f>
        <v/>
      </c>
    </row>
    <row r="648">
      <c r="A648" s="1" t="n"/>
      <c r="B648" s="17" t="n"/>
      <c r="C648" s="18" t="n"/>
      <c r="D648" s="17" t="n"/>
      <c r="E648" s="19" t="n"/>
      <c r="F648" s="19" t="n"/>
      <c r="G648" s="20" t="n"/>
      <c r="H648" s="21" t="n"/>
      <c r="I648" s="21" t="n"/>
      <c r="J648" s="17" t="n"/>
      <c r="K648" s="19" t="n"/>
      <c r="L648" s="20" t="n"/>
      <c r="M648" s="19" t="n"/>
      <c r="N648" s="22">
        <f>IF(C648="","",IF(ISNUMBER(I648),I648,IF(ISNUMBER(H648),H648,"")))</f>
        <v/>
      </c>
      <c r="O648" s="23">
        <f>IF(OR(C648="",NOT(ISNUMBER(G648))),"",(TODAY()-INT(G648))/365.25)</f>
        <v/>
      </c>
      <c r="P648" s="13">
        <f>IF(OR(C648="",NOT(ISNUMBER(L648))),"",IF(L648&lt;TODAY(),"Ended",IF(L648-TODAY()&lt;=N(Settings!$C$10),"Ends soon","Covered")))</f>
        <v/>
      </c>
      <c r="Q648" s="13">
        <f>IF(C648="","",MID(IF(N648="",", value","")&amp;IF(OR(J648="",J648="No"),", receipt","")&amp;IF(K648="",", photo",""),3,100))</f>
        <v/>
      </c>
      <c r="R648" s="13">
        <f>IF(AND(B648="",C648=""),"",IF(C648="","Needs the item",IF(B648="","Needs a room",IF(COUNTIF(Rooms!$B$6:$B$35,B648)=0,"Not on Rooms",IF(AND(H648&lt;&gt;"",NOT(ISNUMBER(H648))),"Paid not a number",IF(AND(I648&lt;&gt;"",NOT(ISNUMBER(I648))),"Worth not a number",IF(AND(G648&lt;&gt;"",NOT(ISNUMBER(G648))),"Bought is not a date",IF(AND(L648&lt;&gt;"",NOT(ISNUMBER(L648))),"Warranty is not a date",""))))))))</f>
        <v/>
      </c>
      <c r="S648" s="1">
        <f>IF(AND(C648&lt;&gt;"",R648=""),1,0)</f>
        <v/>
      </c>
      <c r="T648">
        <f>IF(S648=1,N(N648),0)</f>
        <v/>
      </c>
      <c r="U648">
        <f>IF(AND(S648=1,T648&gt;0),ROUND(T648*100,0)*10000+10000-ROW(),"")</f>
        <v/>
      </c>
      <c r="V648">
        <f>IF(AND(S648=1,OR(Report!$C$5="",B648=Report!$C$5)),MATCH(B648,Rooms!$B$6:$B$35,0)*10000+ROW(),"")</f>
        <v/>
      </c>
      <c r="W648">
        <f>IF(AND(S648=1,OR(J648="",J648="No")),1,0)</f>
        <v/>
      </c>
      <c r="X648">
        <f>IF(AND(S648=1,K648=""),1,0)</f>
        <v/>
      </c>
      <c r="Y648">
        <f>IF(AND(S648=1,Q648&lt;&gt;""),ROUND(T648*100,0)*10000+10000-ROW(),"")</f>
        <v/>
      </c>
    </row>
    <row r="649">
      <c r="A649" s="1" t="n"/>
      <c r="B649" s="17" t="n"/>
      <c r="C649" s="18" t="n"/>
      <c r="D649" s="17" t="n"/>
      <c r="E649" s="19" t="n"/>
      <c r="F649" s="19" t="n"/>
      <c r="G649" s="20" t="n"/>
      <c r="H649" s="21" t="n"/>
      <c r="I649" s="21" t="n"/>
      <c r="J649" s="17" t="n"/>
      <c r="K649" s="19" t="n"/>
      <c r="L649" s="20" t="n"/>
      <c r="M649" s="19" t="n"/>
      <c r="N649" s="22">
        <f>IF(C649="","",IF(ISNUMBER(I649),I649,IF(ISNUMBER(H649),H649,"")))</f>
        <v/>
      </c>
      <c r="O649" s="23">
        <f>IF(OR(C649="",NOT(ISNUMBER(G649))),"",(TODAY()-INT(G649))/365.25)</f>
        <v/>
      </c>
      <c r="P649" s="13">
        <f>IF(OR(C649="",NOT(ISNUMBER(L649))),"",IF(L649&lt;TODAY(),"Ended",IF(L649-TODAY()&lt;=N(Settings!$C$10),"Ends soon","Covered")))</f>
        <v/>
      </c>
      <c r="Q649" s="13">
        <f>IF(C649="","",MID(IF(N649="",", value","")&amp;IF(OR(J649="",J649="No"),", receipt","")&amp;IF(K649="",", photo",""),3,100))</f>
        <v/>
      </c>
      <c r="R649" s="13">
        <f>IF(AND(B649="",C649=""),"",IF(C649="","Needs the item",IF(B649="","Needs a room",IF(COUNTIF(Rooms!$B$6:$B$35,B649)=0,"Not on Rooms",IF(AND(H649&lt;&gt;"",NOT(ISNUMBER(H649))),"Paid not a number",IF(AND(I649&lt;&gt;"",NOT(ISNUMBER(I649))),"Worth not a number",IF(AND(G649&lt;&gt;"",NOT(ISNUMBER(G649))),"Bought is not a date",IF(AND(L649&lt;&gt;"",NOT(ISNUMBER(L649))),"Warranty is not a date",""))))))))</f>
        <v/>
      </c>
      <c r="S649" s="1">
        <f>IF(AND(C649&lt;&gt;"",R649=""),1,0)</f>
        <v/>
      </c>
      <c r="T649">
        <f>IF(S649=1,N(N649),0)</f>
        <v/>
      </c>
      <c r="U649">
        <f>IF(AND(S649=1,T649&gt;0),ROUND(T649*100,0)*10000+10000-ROW(),"")</f>
        <v/>
      </c>
      <c r="V649">
        <f>IF(AND(S649=1,OR(Report!$C$5="",B649=Report!$C$5)),MATCH(B649,Rooms!$B$6:$B$35,0)*10000+ROW(),"")</f>
        <v/>
      </c>
      <c r="W649">
        <f>IF(AND(S649=1,OR(J649="",J649="No")),1,0)</f>
        <v/>
      </c>
      <c r="X649">
        <f>IF(AND(S649=1,K649=""),1,0)</f>
        <v/>
      </c>
      <c r="Y649">
        <f>IF(AND(S649=1,Q649&lt;&gt;""),ROUND(T649*100,0)*10000+10000-ROW(),"")</f>
        <v/>
      </c>
    </row>
    <row r="650">
      <c r="A650" s="1" t="n"/>
      <c r="B650" s="17" t="n"/>
      <c r="C650" s="18" t="n"/>
      <c r="D650" s="17" t="n"/>
      <c r="E650" s="19" t="n"/>
      <c r="F650" s="19" t="n"/>
      <c r="G650" s="20" t="n"/>
      <c r="H650" s="21" t="n"/>
      <c r="I650" s="21" t="n"/>
      <c r="J650" s="17" t="n"/>
      <c r="K650" s="19" t="n"/>
      <c r="L650" s="20" t="n"/>
      <c r="M650" s="19" t="n"/>
      <c r="N650" s="22">
        <f>IF(C650="","",IF(ISNUMBER(I650),I650,IF(ISNUMBER(H650),H650,"")))</f>
        <v/>
      </c>
      <c r="O650" s="23">
        <f>IF(OR(C650="",NOT(ISNUMBER(G650))),"",(TODAY()-INT(G650))/365.25)</f>
        <v/>
      </c>
      <c r="P650" s="13">
        <f>IF(OR(C650="",NOT(ISNUMBER(L650))),"",IF(L650&lt;TODAY(),"Ended",IF(L650-TODAY()&lt;=N(Settings!$C$10),"Ends soon","Covered")))</f>
        <v/>
      </c>
      <c r="Q650" s="13">
        <f>IF(C650="","",MID(IF(N650="",", value","")&amp;IF(OR(J650="",J650="No"),", receipt","")&amp;IF(K650="",", photo",""),3,100))</f>
        <v/>
      </c>
      <c r="R650" s="13">
        <f>IF(AND(B650="",C650=""),"",IF(C650="","Needs the item",IF(B650="","Needs a room",IF(COUNTIF(Rooms!$B$6:$B$35,B650)=0,"Not on Rooms",IF(AND(H650&lt;&gt;"",NOT(ISNUMBER(H650))),"Paid not a number",IF(AND(I650&lt;&gt;"",NOT(ISNUMBER(I650))),"Worth not a number",IF(AND(G650&lt;&gt;"",NOT(ISNUMBER(G650))),"Bought is not a date",IF(AND(L650&lt;&gt;"",NOT(ISNUMBER(L650))),"Warranty is not a date",""))))))))</f>
        <v/>
      </c>
      <c r="S650" s="1">
        <f>IF(AND(C650&lt;&gt;"",R650=""),1,0)</f>
        <v/>
      </c>
      <c r="T650">
        <f>IF(S650=1,N(N650),0)</f>
        <v/>
      </c>
      <c r="U650">
        <f>IF(AND(S650=1,T650&gt;0),ROUND(T650*100,0)*10000+10000-ROW(),"")</f>
        <v/>
      </c>
      <c r="V650">
        <f>IF(AND(S650=1,OR(Report!$C$5="",B650=Report!$C$5)),MATCH(B650,Rooms!$B$6:$B$35,0)*10000+ROW(),"")</f>
        <v/>
      </c>
      <c r="W650">
        <f>IF(AND(S650=1,OR(J650="",J650="No")),1,0)</f>
        <v/>
      </c>
      <c r="X650">
        <f>IF(AND(S650=1,K650=""),1,0)</f>
        <v/>
      </c>
      <c r="Y650">
        <f>IF(AND(S650=1,Q650&lt;&gt;""),ROUND(T650*100,0)*10000+10000-ROW(),"")</f>
        <v/>
      </c>
    </row>
    <row r="651">
      <c r="A651" s="1" t="n"/>
      <c r="B651" s="17" t="n"/>
      <c r="C651" s="18" t="n"/>
      <c r="D651" s="17" t="n"/>
      <c r="E651" s="19" t="n"/>
      <c r="F651" s="19" t="n"/>
      <c r="G651" s="20" t="n"/>
      <c r="H651" s="21" t="n"/>
      <c r="I651" s="21" t="n"/>
      <c r="J651" s="17" t="n"/>
      <c r="K651" s="19" t="n"/>
      <c r="L651" s="20" t="n"/>
      <c r="M651" s="19" t="n"/>
      <c r="N651" s="22">
        <f>IF(C651="","",IF(ISNUMBER(I651),I651,IF(ISNUMBER(H651),H651,"")))</f>
        <v/>
      </c>
      <c r="O651" s="23">
        <f>IF(OR(C651="",NOT(ISNUMBER(G651))),"",(TODAY()-INT(G651))/365.25)</f>
        <v/>
      </c>
      <c r="P651" s="13">
        <f>IF(OR(C651="",NOT(ISNUMBER(L651))),"",IF(L651&lt;TODAY(),"Ended",IF(L651-TODAY()&lt;=N(Settings!$C$10),"Ends soon","Covered")))</f>
        <v/>
      </c>
      <c r="Q651" s="13">
        <f>IF(C651="","",MID(IF(N651="",", value","")&amp;IF(OR(J651="",J651="No"),", receipt","")&amp;IF(K651="",", photo",""),3,100))</f>
        <v/>
      </c>
      <c r="R651" s="13">
        <f>IF(AND(B651="",C651=""),"",IF(C651="","Needs the item",IF(B651="","Needs a room",IF(COUNTIF(Rooms!$B$6:$B$35,B651)=0,"Not on Rooms",IF(AND(H651&lt;&gt;"",NOT(ISNUMBER(H651))),"Paid not a number",IF(AND(I651&lt;&gt;"",NOT(ISNUMBER(I651))),"Worth not a number",IF(AND(G651&lt;&gt;"",NOT(ISNUMBER(G651))),"Bought is not a date",IF(AND(L651&lt;&gt;"",NOT(ISNUMBER(L651))),"Warranty is not a date",""))))))))</f>
        <v/>
      </c>
      <c r="S651" s="1">
        <f>IF(AND(C651&lt;&gt;"",R651=""),1,0)</f>
        <v/>
      </c>
      <c r="T651">
        <f>IF(S651=1,N(N651),0)</f>
        <v/>
      </c>
      <c r="U651">
        <f>IF(AND(S651=1,T651&gt;0),ROUND(T651*100,0)*10000+10000-ROW(),"")</f>
        <v/>
      </c>
      <c r="V651">
        <f>IF(AND(S651=1,OR(Report!$C$5="",B651=Report!$C$5)),MATCH(B651,Rooms!$B$6:$B$35,0)*10000+ROW(),"")</f>
        <v/>
      </c>
      <c r="W651">
        <f>IF(AND(S651=1,OR(J651="",J651="No")),1,0)</f>
        <v/>
      </c>
      <c r="X651">
        <f>IF(AND(S651=1,K651=""),1,0)</f>
        <v/>
      </c>
      <c r="Y651">
        <f>IF(AND(S651=1,Q651&lt;&gt;""),ROUND(T651*100,0)*10000+10000-ROW(),"")</f>
        <v/>
      </c>
    </row>
    <row r="652">
      <c r="A652" s="1" t="n"/>
      <c r="B652" s="17" t="n"/>
      <c r="C652" s="18" t="n"/>
      <c r="D652" s="17" t="n"/>
      <c r="E652" s="19" t="n"/>
      <c r="F652" s="19" t="n"/>
      <c r="G652" s="20" t="n"/>
      <c r="H652" s="21" t="n"/>
      <c r="I652" s="21" t="n"/>
      <c r="J652" s="17" t="n"/>
      <c r="K652" s="19" t="n"/>
      <c r="L652" s="20" t="n"/>
      <c r="M652" s="19" t="n"/>
      <c r="N652" s="22">
        <f>IF(C652="","",IF(ISNUMBER(I652),I652,IF(ISNUMBER(H652),H652,"")))</f>
        <v/>
      </c>
      <c r="O652" s="23">
        <f>IF(OR(C652="",NOT(ISNUMBER(G652))),"",(TODAY()-INT(G652))/365.25)</f>
        <v/>
      </c>
      <c r="P652" s="13">
        <f>IF(OR(C652="",NOT(ISNUMBER(L652))),"",IF(L652&lt;TODAY(),"Ended",IF(L652-TODAY()&lt;=N(Settings!$C$10),"Ends soon","Covered")))</f>
        <v/>
      </c>
      <c r="Q652" s="13">
        <f>IF(C652="","",MID(IF(N652="",", value","")&amp;IF(OR(J652="",J652="No"),", receipt","")&amp;IF(K652="",", photo",""),3,100))</f>
        <v/>
      </c>
      <c r="R652" s="13">
        <f>IF(AND(B652="",C652=""),"",IF(C652="","Needs the item",IF(B652="","Needs a room",IF(COUNTIF(Rooms!$B$6:$B$35,B652)=0,"Not on Rooms",IF(AND(H652&lt;&gt;"",NOT(ISNUMBER(H652))),"Paid not a number",IF(AND(I652&lt;&gt;"",NOT(ISNUMBER(I652))),"Worth not a number",IF(AND(G652&lt;&gt;"",NOT(ISNUMBER(G652))),"Bought is not a date",IF(AND(L652&lt;&gt;"",NOT(ISNUMBER(L652))),"Warranty is not a date",""))))))))</f>
        <v/>
      </c>
      <c r="S652" s="1">
        <f>IF(AND(C652&lt;&gt;"",R652=""),1,0)</f>
        <v/>
      </c>
      <c r="T652">
        <f>IF(S652=1,N(N652),0)</f>
        <v/>
      </c>
      <c r="U652">
        <f>IF(AND(S652=1,T652&gt;0),ROUND(T652*100,0)*10000+10000-ROW(),"")</f>
        <v/>
      </c>
      <c r="V652">
        <f>IF(AND(S652=1,OR(Report!$C$5="",B652=Report!$C$5)),MATCH(B652,Rooms!$B$6:$B$35,0)*10000+ROW(),"")</f>
        <v/>
      </c>
      <c r="W652">
        <f>IF(AND(S652=1,OR(J652="",J652="No")),1,0)</f>
        <v/>
      </c>
      <c r="X652">
        <f>IF(AND(S652=1,K652=""),1,0)</f>
        <v/>
      </c>
      <c r="Y652">
        <f>IF(AND(S652=1,Q652&lt;&gt;""),ROUND(T652*100,0)*10000+10000-ROW(),"")</f>
        <v/>
      </c>
    </row>
    <row r="653">
      <c r="A653" s="1" t="n"/>
      <c r="B653" s="17" t="n"/>
      <c r="C653" s="18" t="n"/>
      <c r="D653" s="17" t="n"/>
      <c r="E653" s="19" t="n"/>
      <c r="F653" s="19" t="n"/>
      <c r="G653" s="20" t="n"/>
      <c r="H653" s="21" t="n"/>
      <c r="I653" s="21" t="n"/>
      <c r="J653" s="17" t="n"/>
      <c r="K653" s="19" t="n"/>
      <c r="L653" s="20" t="n"/>
      <c r="M653" s="19" t="n"/>
      <c r="N653" s="22">
        <f>IF(C653="","",IF(ISNUMBER(I653),I653,IF(ISNUMBER(H653),H653,"")))</f>
        <v/>
      </c>
      <c r="O653" s="23">
        <f>IF(OR(C653="",NOT(ISNUMBER(G653))),"",(TODAY()-INT(G653))/365.25)</f>
        <v/>
      </c>
      <c r="P653" s="13">
        <f>IF(OR(C653="",NOT(ISNUMBER(L653))),"",IF(L653&lt;TODAY(),"Ended",IF(L653-TODAY()&lt;=N(Settings!$C$10),"Ends soon","Covered")))</f>
        <v/>
      </c>
      <c r="Q653" s="13">
        <f>IF(C653="","",MID(IF(N653="",", value","")&amp;IF(OR(J653="",J653="No"),", receipt","")&amp;IF(K653="",", photo",""),3,100))</f>
        <v/>
      </c>
      <c r="R653" s="13">
        <f>IF(AND(B653="",C653=""),"",IF(C653="","Needs the item",IF(B653="","Needs a room",IF(COUNTIF(Rooms!$B$6:$B$35,B653)=0,"Not on Rooms",IF(AND(H653&lt;&gt;"",NOT(ISNUMBER(H653))),"Paid not a number",IF(AND(I653&lt;&gt;"",NOT(ISNUMBER(I653))),"Worth not a number",IF(AND(G653&lt;&gt;"",NOT(ISNUMBER(G653))),"Bought is not a date",IF(AND(L653&lt;&gt;"",NOT(ISNUMBER(L653))),"Warranty is not a date",""))))))))</f>
        <v/>
      </c>
      <c r="S653" s="1">
        <f>IF(AND(C653&lt;&gt;"",R653=""),1,0)</f>
        <v/>
      </c>
      <c r="T653">
        <f>IF(S653=1,N(N653),0)</f>
        <v/>
      </c>
      <c r="U653">
        <f>IF(AND(S653=1,T653&gt;0),ROUND(T653*100,0)*10000+10000-ROW(),"")</f>
        <v/>
      </c>
      <c r="V653">
        <f>IF(AND(S653=1,OR(Report!$C$5="",B653=Report!$C$5)),MATCH(B653,Rooms!$B$6:$B$35,0)*10000+ROW(),"")</f>
        <v/>
      </c>
      <c r="W653">
        <f>IF(AND(S653=1,OR(J653="",J653="No")),1,0)</f>
        <v/>
      </c>
      <c r="X653">
        <f>IF(AND(S653=1,K653=""),1,0)</f>
        <v/>
      </c>
      <c r="Y653">
        <f>IF(AND(S653=1,Q653&lt;&gt;""),ROUND(T653*100,0)*10000+10000-ROW(),"")</f>
        <v/>
      </c>
    </row>
    <row r="654">
      <c r="A654" s="1" t="n"/>
      <c r="B654" s="17" t="n"/>
      <c r="C654" s="18" t="n"/>
      <c r="D654" s="17" t="n"/>
      <c r="E654" s="19" t="n"/>
      <c r="F654" s="19" t="n"/>
      <c r="G654" s="20" t="n"/>
      <c r="H654" s="21" t="n"/>
      <c r="I654" s="21" t="n"/>
      <c r="J654" s="17" t="n"/>
      <c r="K654" s="19" t="n"/>
      <c r="L654" s="20" t="n"/>
      <c r="M654" s="19" t="n"/>
      <c r="N654" s="22">
        <f>IF(C654="","",IF(ISNUMBER(I654),I654,IF(ISNUMBER(H654),H654,"")))</f>
        <v/>
      </c>
      <c r="O654" s="23">
        <f>IF(OR(C654="",NOT(ISNUMBER(G654))),"",(TODAY()-INT(G654))/365.25)</f>
        <v/>
      </c>
      <c r="P654" s="13">
        <f>IF(OR(C654="",NOT(ISNUMBER(L654))),"",IF(L654&lt;TODAY(),"Ended",IF(L654-TODAY()&lt;=N(Settings!$C$10),"Ends soon","Covered")))</f>
        <v/>
      </c>
      <c r="Q654" s="13">
        <f>IF(C654="","",MID(IF(N654="",", value","")&amp;IF(OR(J654="",J654="No"),", receipt","")&amp;IF(K654="",", photo",""),3,100))</f>
        <v/>
      </c>
      <c r="R654" s="13">
        <f>IF(AND(B654="",C654=""),"",IF(C654="","Needs the item",IF(B654="","Needs a room",IF(COUNTIF(Rooms!$B$6:$B$35,B654)=0,"Not on Rooms",IF(AND(H654&lt;&gt;"",NOT(ISNUMBER(H654))),"Paid not a number",IF(AND(I654&lt;&gt;"",NOT(ISNUMBER(I654))),"Worth not a number",IF(AND(G654&lt;&gt;"",NOT(ISNUMBER(G654))),"Bought is not a date",IF(AND(L654&lt;&gt;"",NOT(ISNUMBER(L654))),"Warranty is not a date",""))))))))</f>
        <v/>
      </c>
      <c r="S654" s="1">
        <f>IF(AND(C654&lt;&gt;"",R654=""),1,0)</f>
        <v/>
      </c>
      <c r="T654">
        <f>IF(S654=1,N(N654),0)</f>
        <v/>
      </c>
      <c r="U654">
        <f>IF(AND(S654=1,T654&gt;0),ROUND(T654*100,0)*10000+10000-ROW(),"")</f>
        <v/>
      </c>
      <c r="V654">
        <f>IF(AND(S654=1,OR(Report!$C$5="",B654=Report!$C$5)),MATCH(B654,Rooms!$B$6:$B$35,0)*10000+ROW(),"")</f>
        <v/>
      </c>
      <c r="W654">
        <f>IF(AND(S654=1,OR(J654="",J654="No")),1,0)</f>
        <v/>
      </c>
      <c r="X654">
        <f>IF(AND(S654=1,K654=""),1,0)</f>
        <v/>
      </c>
      <c r="Y654">
        <f>IF(AND(S654=1,Q654&lt;&gt;""),ROUND(T654*100,0)*10000+10000-ROW(),"")</f>
        <v/>
      </c>
    </row>
    <row r="655">
      <c r="A655" s="1" t="n"/>
      <c r="B655" s="17" t="n"/>
      <c r="C655" s="18" t="n"/>
      <c r="D655" s="17" t="n"/>
      <c r="E655" s="19" t="n"/>
      <c r="F655" s="19" t="n"/>
      <c r="G655" s="20" t="n"/>
      <c r="H655" s="21" t="n"/>
      <c r="I655" s="21" t="n"/>
      <c r="J655" s="17" t="n"/>
      <c r="K655" s="19" t="n"/>
      <c r="L655" s="20" t="n"/>
      <c r="M655" s="19" t="n"/>
      <c r="N655" s="22">
        <f>IF(C655="","",IF(ISNUMBER(I655),I655,IF(ISNUMBER(H655),H655,"")))</f>
        <v/>
      </c>
      <c r="O655" s="23">
        <f>IF(OR(C655="",NOT(ISNUMBER(G655))),"",(TODAY()-INT(G655))/365.25)</f>
        <v/>
      </c>
      <c r="P655" s="13">
        <f>IF(OR(C655="",NOT(ISNUMBER(L655))),"",IF(L655&lt;TODAY(),"Ended",IF(L655-TODAY()&lt;=N(Settings!$C$10),"Ends soon","Covered")))</f>
        <v/>
      </c>
      <c r="Q655" s="13">
        <f>IF(C655="","",MID(IF(N655="",", value","")&amp;IF(OR(J655="",J655="No"),", receipt","")&amp;IF(K655="",", photo",""),3,100))</f>
        <v/>
      </c>
      <c r="R655" s="13">
        <f>IF(AND(B655="",C655=""),"",IF(C655="","Needs the item",IF(B655="","Needs a room",IF(COUNTIF(Rooms!$B$6:$B$35,B655)=0,"Not on Rooms",IF(AND(H655&lt;&gt;"",NOT(ISNUMBER(H655))),"Paid not a number",IF(AND(I655&lt;&gt;"",NOT(ISNUMBER(I655))),"Worth not a number",IF(AND(G655&lt;&gt;"",NOT(ISNUMBER(G655))),"Bought is not a date",IF(AND(L655&lt;&gt;"",NOT(ISNUMBER(L655))),"Warranty is not a date",""))))))))</f>
        <v/>
      </c>
      <c r="S655" s="1">
        <f>IF(AND(C655&lt;&gt;"",R655=""),1,0)</f>
        <v/>
      </c>
      <c r="T655">
        <f>IF(S655=1,N(N655),0)</f>
        <v/>
      </c>
      <c r="U655">
        <f>IF(AND(S655=1,T655&gt;0),ROUND(T655*100,0)*10000+10000-ROW(),"")</f>
        <v/>
      </c>
      <c r="V655">
        <f>IF(AND(S655=1,OR(Report!$C$5="",B655=Report!$C$5)),MATCH(B655,Rooms!$B$6:$B$35,0)*10000+ROW(),"")</f>
        <v/>
      </c>
      <c r="W655">
        <f>IF(AND(S655=1,OR(J655="",J655="No")),1,0)</f>
        <v/>
      </c>
      <c r="X655">
        <f>IF(AND(S655=1,K655=""),1,0)</f>
        <v/>
      </c>
      <c r="Y655">
        <f>IF(AND(S655=1,Q655&lt;&gt;""),ROUND(T655*100,0)*10000+10000-ROW(),"")</f>
        <v/>
      </c>
    </row>
    <row r="656">
      <c r="A656" s="1" t="n"/>
      <c r="B656" s="17" t="n"/>
      <c r="C656" s="18" t="n"/>
      <c r="D656" s="17" t="n"/>
      <c r="E656" s="19" t="n"/>
      <c r="F656" s="19" t="n"/>
      <c r="G656" s="20" t="n"/>
      <c r="H656" s="21" t="n"/>
      <c r="I656" s="21" t="n"/>
      <c r="J656" s="17" t="n"/>
      <c r="K656" s="19" t="n"/>
      <c r="L656" s="20" t="n"/>
      <c r="M656" s="19" t="n"/>
      <c r="N656" s="22">
        <f>IF(C656="","",IF(ISNUMBER(I656),I656,IF(ISNUMBER(H656),H656,"")))</f>
        <v/>
      </c>
      <c r="O656" s="23">
        <f>IF(OR(C656="",NOT(ISNUMBER(G656))),"",(TODAY()-INT(G656))/365.25)</f>
        <v/>
      </c>
      <c r="P656" s="13">
        <f>IF(OR(C656="",NOT(ISNUMBER(L656))),"",IF(L656&lt;TODAY(),"Ended",IF(L656-TODAY()&lt;=N(Settings!$C$10),"Ends soon","Covered")))</f>
        <v/>
      </c>
      <c r="Q656" s="13">
        <f>IF(C656="","",MID(IF(N656="",", value","")&amp;IF(OR(J656="",J656="No"),", receipt","")&amp;IF(K656="",", photo",""),3,100))</f>
        <v/>
      </c>
      <c r="R656" s="13">
        <f>IF(AND(B656="",C656=""),"",IF(C656="","Needs the item",IF(B656="","Needs a room",IF(COUNTIF(Rooms!$B$6:$B$35,B656)=0,"Not on Rooms",IF(AND(H656&lt;&gt;"",NOT(ISNUMBER(H656))),"Paid not a number",IF(AND(I656&lt;&gt;"",NOT(ISNUMBER(I656))),"Worth not a number",IF(AND(G656&lt;&gt;"",NOT(ISNUMBER(G656))),"Bought is not a date",IF(AND(L656&lt;&gt;"",NOT(ISNUMBER(L656))),"Warranty is not a date",""))))))))</f>
        <v/>
      </c>
      <c r="S656" s="1">
        <f>IF(AND(C656&lt;&gt;"",R656=""),1,0)</f>
        <v/>
      </c>
      <c r="T656">
        <f>IF(S656=1,N(N656),0)</f>
        <v/>
      </c>
      <c r="U656">
        <f>IF(AND(S656=1,T656&gt;0),ROUND(T656*100,0)*10000+10000-ROW(),"")</f>
        <v/>
      </c>
      <c r="V656">
        <f>IF(AND(S656=1,OR(Report!$C$5="",B656=Report!$C$5)),MATCH(B656,Rooms!$B$6:$B$35,0)*10000+ROW(),"")</f>
        <v/>
      </c>
      <c r="W656">
        <f>IF(AND(S656=1,OR(J656="",J656="No")),1,0)</f>
        <v/>
      </c>
      <c r="X656">
        <f>IF(AND(S656=1,K656=""),1,0)</f>
        <v/>
      </c>
      <c r="Y656">
        <f>IF(AND(S656=1,Q656&lt;&gt;""),ROUND(T656*100,0)*10000+10000-ROW(),"")</f>
        <v/>
      </c>
    </row>
    <row r="657">
      <c r="A657" s="1" t="n"/>
      <c r="B657" s="17" t="n"/>
      <c r="C657" s="18" t="n"/>
      <c r="D657" s="17" t="n"/>
      <c r="E657" s="19" t="n"/>
      <c r="F657" s="19" t="n"/>
      <c r="G657" s="20" t="n"/>
      <c r="H657" s="21" t="n"/>
      <c r="I657" s="21" t="n"/>
      <c r="J657" s="17" t="n"/>
      <c r="K657" s="19" t="n"/>
      <c r="L657" s="20" t="n"/>
      <c r="M657" s="19" t="n"/>
      <c r="N657" s="22">
        <f>IF(C657="","",IF(ISNUMBER(I657),I657,IF(ISNUMBER(H657),H657,"")))</f>
        <v/>
      </c>
      <c r="O657" s="23">
        <f>IF(OR(C657="",NOT(ISNUMBER(G657))),"",(TODAY()-INT(G657))/365.25)</f>
        <v/>
      </c>
      <c r="P657" s="13">
        <f>IF(OR(C657="",NOT(ISNUMBER(L657))),"",IF(L657&lt;TODAY(),"Ended",IF(L657-TODAY()&lt;=N(Settings!$C$10),"Ends soon","Covered")))</f>
        <v/>
      </c>
      <c r="Q657" s="13">
        <f>IF(C657="","",MID(IF(N657="",", value","")&amp;IF(OR(J657="",J657="No"),", receipt","")&amp;IF(K657="",", photo",""),3,100))</f>
        <v/>
      </c>
      <c r="R657" s="13">
        <f>IF(AND(B657="",C657=""),"",IF(C657="","Needs the item",IF(B657="","Needs a room",IF(COUNTIF(Rooms!$B$6:$B$35,B657)=0,"Not on Rooms",IF(AND(H657&lt;&gt;"",NOT(ISNUMBER(H657))),"Paid not a number",IF(AND(I657&lt;&gt;"",NOT(ISNUMBER(I657))),"Worth not a number",IF(AND(G657&lt;&gt;"",NOT(ISNUMBER(G657))),"Bought is not a date",IF(AND(L657&lt;&gt;"",NOT(ISNUMBER(L657))),"Warranty is not a date",""))))))))</f>
        <v/>
      </c>
      <c r="S657" s="1">
        <f>IF(AND(C657&lt;&gt;"",R657=""),1,0)</f>
        <v/>
      </c>
      <c r="T657">
        <f>IF(S657=1,N(N657),0)</f>
        <v/>
      </c>
      <c r="U657">
        <f>IF(AND(S657=1,T657&gt;0),ROUND(T657*100,0)*10000+10000-ROW(),"")</f>
        <v/>
      </c>
      <c r="V657">
        <f>IF(AND(S657=1,OR(Report!$C$5="",B657=Report!$C$5)),MATCH(B657,Rooms!$B$6:$B$35,0)*10000+ROW(),"")</f>
        <v/>
      </c>
      <c r="W657">
        <f>IF(AND(S657=1,OR(J657="",J657="No")),1,0)</f>
        <v/>
      </c>
      <c r="X657">
        <f>IF(AND(S657=1,K657=""),1,0)</f>
        <v/>
      </c>
      <c r="Y657">
        <f>IF(AND(S657=1,Q657&lt;&gt;""),ROUND(T657*100,0)*10000+10000-ROW(),"")</f>
        <v/>
      </c>
    </row>
    <row r="658">
      <c r="A658" s="1" t="n"/>
      <c r="B658" s="17" t="n"/>
      <c r="C658" s="18" t="n"/>
      <c r="D658" s="17" t="n"/>
      <c r="E658" s="19" t="n"/>
      <c r="F658" s="19" t="n"/>
      <c r="G658" s="20" t="n"/>
      <c r="H658" s="21" t="n"/>
      <c r="I658" s="21" t="n"/>
      <c r="J658" s="17" t="n"/>
      <c r="K658" s="19" t="n"/>
      <c r="L658" s="20" t="n"/>
      <c r="M658" s="19" t="n"/>
      <c r="N658" s="22">
        <f>IF(C658="","",IF(ISNUMBER(I658),I658,IF(ISNUMBER(H658),H658,"")))</f>
        <v/>
      </c>
      <c r="O658" s="23">
        <f>IF(OR(C658="",NOT(ISNUMBER(G658))),"",(TODAY()-INT(G658))/365.25)</f>
        <v/>
      </c>
      <c r="P658" s="13">
        <f>IF(OR(C658="",NOT(ISNUMBER(L658))),"",IF(L658&lt;TODAY(),"Ended",IF(L658-TODAY()&lt;=N(Settings!$C$10),"Ends soon","Covered")))</f>
        <v/>
      </c>
      <c r="Q658" s="13">
        <f>IF(C658="","",MID(IF(N658="",", value","")&amp;IF(OR(J658="",J658="No"),", receipt","")&amp;IF(K658="",", photo",""),3,100))</f>
        <v/>
      </c>
      <c r="R658" s="13">
        <f>IF(AND(B658="",C658=""),"",IF(C658="","Needs the item",IF(B658="","Needs a room",IF(COUNTIF(Rooms!$B$6:$B$35,B658)=0,"Not on Rooms",IF(AND(H658&lt;&gt;"",NOT(ISNUMBER(H658))),"Paid not a number",IF(AND(I658&lt;&gt;"",NOT(ISNUMBER(I658))),"Worth not a number",IF(AND(G658&lt;&gt;"",NOT(ISNUMBER(G658))),"Bought is not a date",IF(AND(L658&lt;&gt;"",NOT(ISNUMBER(L658))),"Warranty is not a date",""))))))))</f>
        <v/>
      </c>
      <c r="S658" s="1">
        <f>IF(AND(C658&lt;&gt;"",R658=""),1,0)</f>
        <v/>
      </c>
      <c r="T658">
        <f>IF(S658=1,N(N658),0)</f>
        <v/>
      </c>
      <c r="U658">
        <f>IF(AND(S658=1,T658&gt;0),ROUND(T658*100,0)*10000+10000-ROW(),"")</f>
        <v/>
      </c>
      <c r="V658">
        <f>IF(AND(S658=1,OR(Report!$C$5="",B658=Report!$C$5)),MATCH(B658,Rooms!$B$6:$B$35,0)*10000+ROW(),"")</f>
        <v/>
      </c>
      <c r="W658">
        <f>IF(AND(S658=1,OR(J658="",J658="No")),1,0)</f>
        <v/>
      </c>
      <c r="X658">
        <f>IF(AND(S658=1,K658=""),1,0)</f>
        <v/>
      </c>
      <c r="Y658">
        <f>IF(AND(S658=1,Q658&lt;&gt;""),ROUND(T658*100,0)*10000+10000-ROW(),"")</f>
        <v/>
      </c>
    </row>
    <row r="659">
      <c r="A659" s="1" t="n"/>
      <c r="B659" s="17" t="n"/>
      <c r="C659" s="18" t="n"/>
      <c r="D659" s="17" t="n"/>
      <c r="E659" s="19" t="n"/>
      <c r="F659" s="19" t="n"/>
      <c r="G659" s="20" t="n"/>
      <c r="H659" s="21" t="n"/>
      <c r="I659" s="21" t="n"/>
      <c r="J659" s="17" t="n"/>
      <c r="K659" s="19" t="n"/>
      <c r="L659" s="20" t="n"/>
      <c r="M659" s="19" t="n"/>
      <c r="N659" s="22">
        <f>IF(C659="","",IF(ISNUMBER(I659),I659,IF(ISNUMBER(H659),H659,"")))</f>
        <v/>
      </c>
      <c r="O659" s="23">
        <f>IF(OR(C659="",NOT(ISNUMBER(G659))),"",(TODAY()-INT(G659))/365.25)</f>
        <v/>
      </c>
      <c r="P659" s="13">
        <f>IF(OR(C659="",NOT(ISNUMBER(L659))),"",IF(L659&lt;TODAY(),"Ended",IF(L659-TODAY()&lt;=N(Settings!$C$10),"Ends soon","Covered")))</f>
        <v/>
      </c>
      <c r="Q659" s="13">
        <f>IF(C659="","",MID(IF(N659="",", value","")&amp;IF(OR(J659="",J659="No"),", receipt","")&amp;IF(K659="",", photo",""),3,100))</f>
        <v/>
      </c>
      <c r="R659" s="13">
        <f>IF(AND(B659="",C659=""),"",IF(C659="","Needs the item",IF(B659="","Needs a room",IF(COUNTIF(Rooms!$B$6:$B$35,B659)=0,"Not on Rooms",IF(AND(H659&lt;&gt;"",NOT(ISNUMBER(H659))),"Paid not a number",IF(AND(I659&lt;&gt;"",NOT(ISNUMBER(I659))),"Worth not a number",IF(AND(G659&lt;&gt;"",NOT(ISNUMBER(G659))),"Bought is not a date",IF(AND(L659&lt;&gt;"",NOT(ISNUMBER(L659))),"Warranty is not a date",""))))))))</f>
        <v/>
      </c>
      <c r="S659" s="1">
        <f>IF(AND(C659&lt;&gt;"",R659=""),1,0)</f>
        <v/>
      </c>
      <c r="T659">
        <f>IF(S659=1,N(N659),0)</f>
        <v/>
      </c>
      <c r="U659">
        <f>IF(AND(S659=1,T659&gt;0),ROUND(T659*100,0)*10000+10000-ROW(),"")</f>
        <v/>
      </c>
      <c r="V659">
        <f>IF(AND(S659=1,OR(Report!$C$5="",B659=Report!$C$5)),MATCH(B659,Rooms!$B$6:$B$35,0)*10000+ROW(),"")</f>
        <v/>
      </c>
      <c r="W659">
        <f>IF(AND(S659=1,OR(J659="",J659="No")),1,0)</f>
        <v/>
      </c>
      <c r="X659">
        <f>IF(AND(S659=1,K659=""),1,0)</f>
        <v/>
      </c>
      <c r="Y659">
        <f>IF(AND(S659=1,Q659&lt;&gt;""),ROUND(T659*100,0)*10000+10000-ROW(),"")</f>
        <v/>
      </c>
    </row>
    <row r="660">
      <c r="A660" s="1" t="n"/>
      <c r="B660" s="17" t="n"/>
      <c r="C660" s="18" t="n"/>
      <c r="D660" s="17" t="n"/>
      <c r="E660" s="19" t="n"/>
      <c r="F660" s="19" t="n"/>
      <c r="G660" s="20" t="n"/>
      <c r="H660" s="21" t="n"/>
      <c r="I660" s="21" t="n"/>
      <c r="J660" s="17" t="n"/>
      <c r="K660" s="19" t="n"/>
      <c r="L660" s="20" t="n"/>
      <c r="M660" s="19" t="n"/>
      <c r="N660" s="22">
        <f>IF(C660="","",IF(ISNUMBER(I660),I660,IF(ISNUMBER(H660),H660,"")))</f>
        <v/>
      </c>
      <c r="O660" s="23">
        <f>IF(OR(C660="",NOT(ISNUMBER(G660))),"",(TODAY()-INT(G660))/365.25)</f>
        <v/>
      </c>
      <c r="P660" s="13">
        <f>IF(OR(C660="",NOT(ISNUMBER(L660))),"",IF(L660&lt;TODAY(),"Ended",IF(L660-TODAY()&lt;=N(Settings!$C$10),"Ends soon","Covered")))</f>
        <v/>
      </c>
      <c r="Q660" s="13">
        <f>IF(C660="","",MID(IF(N660="",", value","")&amp;IF(OR(J660="",J660="No"),", receipt","")&amp;IF(K660="",", photo",""),3,100))</f>
        <v/>
      </c>
      <c r="R660" s="13">
        <f>IF(AND(B660="",C660=""),"",IF(C660="","Needs the item",IF(B660="","Needs a room",IF(COUNTIF(Rooms!$B$6:$B$35,B660)=0,"Not on Rooms",IF(AND(H660&lt;&gt;"",NOT(ISNUMBER(H660))),"Paid not a number",IF(AND(I660&lt;&gt;"",NOT(ISNUMBER(I660))),"Worth not a number",IF(AND(G660&lt;&gt;"",NOT(ISNUMBER(G660))),"Bought is not a date",IF(AND(L660&lt;&gt;"",NOT(ISNUMBER(L660))),"Warranty is not a date",""))))))))</f>
        <v/>
      </c>
      <c r="S660" s="1">
        <f>IF(AND(C660&lt;&gt;"",R660=""),1,0)</f>
        <v/>
      </c>
      <c r="T660">
        <f>IF(S660=1,N(N660),0)</f>
        <v/>
      </c>
      <c r="U660">
        <f>IF(AND(S660=1,T660&gt;0),ROUND(T660*100,0)*10000+10000-ROW(),"")</f>
        <v/>
      </c>
      <c r="V660">
        <f>IF(AND(S660=1,OR(Report!$C$5="",B660=Report!$C$5)),MATCH(B660,Rooms!$B$6:$B$35,0)*10000+ROW(),"")</f>
        <v/>
      </c>
      <c r="W660">
        <f>IF(AND(S660=1,OR(J660="",J660="No")),1,0)</f>
        <v/>
      </c>
      <c r="X660">
        <f>IF(AND(S660=1,K660=""),1,0)</f>
        <v/>
      </c>
      <c r="Y660">
        <f>IF(AND(S660=1,Q660&lt;&gt;""),ROUND(T660*100,0)*10000+10000-ROW(),"")</f>
        <v/>
      </c>
    </row>
    <row r="661">
      <c r="A661" s="1" t="n"/>
      <c r="B661" s="17" t="n"/>
      <c r="C661" s="18" t="n"/>
      <c r="D661" s="17" t="n"/>
      <c r="E661" s="19" t="n"/>
      <c r="F661" s="19" t="n"/>
      <c r="G661" s="20" t="n"/>
      <c r="H661" s="21" t="n"/>
      <c r="I661" s="21" t="n"/>
      <c r="J661" s="17" t="n"/>
      <c r="K661" s="19" t="n"/>
      <c r="L661" s="20" t="n"/>
      <c r="M661" s="19" t="n"/>
      <c r="N661" s="22">
        <f>IF(C661="","",IF(ISNUMBER(I661),I661,IF(ISNUMBER(H661),H661,"")))</f>
        <v/>
      </c>
      <c r="O661" s="23">
        <f>IF(OR(C661="",NOT(ISNUMBER(G661))),"",(TODAY()-INT(G661))/365.25)</f>
        <v/>
      </c>
      <c r="P661" s="13">
        <f>IF(OR(C661="",NOT(ISNUMBER(L661))),"",IF(L661&lt;TODAY(),"Ended",IF(L661-TODAY()&lt;=N(Settings!$C$10),"Ends soon","Covered")))</f>
        <v/>
      </c>
      <c r="Q661" s="13">
        <f>IF(C661="","",MID(IF(N661="",", value","")&amp;IF(OR(J661="",J661="No"),", receipt","")&amp;IF(K661="",", photo",""),3,100))</f>
        <v/>
      </c>
      <c r="R661" s="13">
        <f>IF(AND(B661="",C661=""),"",IF(C661="","Needs the item",IF(B661="","Needs a room",IF(COUNTIF(Rooms!$B$6:$B$35,B661)=0,"Not on Rooms",IF(AND(H661&lt;&gt;"",NOT(ISNUMBER(H661))),"Paid not a number",IF(AND(I661&lt;&gt;"",NOT(ISNUMBER(I661))),"Worth not a number",IF(AND(G661&lt;&gt;"",NOT(ISNUMBER(G661))),"Bought is not a date",IF(AND(L661&lt;&gt;"",NOT(ISNUMBER(L661))),"Warranty is not a date",""))))))))</f>
        <v/>
      </c>
      <c r="S661" s="1">
        <f>IF(AND(C661&lt;&gt;"",R661=""),1,0)</f>
        <v/>
      </c>
      <c r="T661">
        <f>IF(S661=1,N(N661),0)</f>
        <v/>
      </c>
      <c r="U661">
        <f>IF(AND(S661=1,T661&gt;0),ROUND(T661*100,0)*10000+10000-ROW(),"")</f>
        <v/>
      </c>
      <c r="V661">
        <f>IF(AND(S661=1,OR(Report!$C$5="",B661=Report!$C$5)),MATCH(B661,Rooms!$B$6:$B$35,0)*10000+ROW(),"")</f>
        <v/>
      </c>
      <c r="W661">
        <f>IF(AND(S661=1,OR(J661="",J661="No")),1,0)</f>
        <v/>
      </c>
      <c r="X661">
        <f>IF(AND(S661=1,K661=""),1,0)</f>
        <v/>
      </c>
      <c r="Y661">
        <f>IF(AND(S661=1,Q661&lt;&gt;""),ROUND(T661*100,0)*10000+10000-ROW(),"")</f>
        <v/>
      </c>
    </row>
    <row r="662">
      <c r="A662" s="1" t="n"/>
      <c r="B662" s="17" t="n"/>
      <c r="C662" s="18" t="n"/>
      <c r="D662" s="17" t="n"/>
      <c r="E662" s="19" t="n"/>
      <c r="F662" s="19" t="n"/>
      <c r="G662" s="20" t="n"/>
      <c r="H662" s="21" t="n"/>
      <c r="I662" s="21" t="n"/>
      <c r="J662" s="17" t="n"/>
      <c r="K662" s="19" t="n"/>
      <c r="L662" s="20" t="n"/>
      <c r="M662" s="19" t="n"/>
      <c r="N662" s="22">
        <f>IF(C662="","",IF(ISNUMBER(I662),I662,IF(ISNUMBER(H662),H662,"")))</f>
        <v/>
      </c>
      <c r="O662" s="23">
        <f>IF(OR(C662="",NOT(ISNUMBER(G662))),"",(TODAY()-INT(G662))/365.25)</f>
        <v/>
      </c>
      <c r="P662" s="13">
        <f>IF(OR(C662="",NOT(ISNUMBER(L662))),"",IF(L662&lt;TODAY(),"Ended",IF(L662-TODAY()&lt;=N(Settings!$C$10),"Ends soon","Covered")))</f>
        <v/>
      </c>
      <c r="Q662" s="13">
        <f>IF(C662="","",MID(IF(N662="",", value","")&amp;IF(OR(J662="",J662="No"),", receipt","")&amp;IF(K662="",", photo",""),3,100))</f>
        <v/>
      </c>
      <c r="R662" s="13">
        <f>IF(AND(B662="",C662=""),"",IF(C662="","Needs the item",IF(B662="","Needs a room",IF(COUNTIF(Rooms!$B$6:$B$35,B662)=0,"Not on Rooms",IF(AND(H662&lt;&gt;"",NOT(ISNUMBER(H662))),"Paid not a number",IF(AND(I662&lt;&gt;"",NOT(ISNUMBER(I662))),"Worth not a number",IF(AND(G662&lt;&gt;"",NOT(ISNUMBER(G662))),"Bought is not a date",IF(AND(L662&lt;&gt;"",NOT(ISNUMBER(L662))),"Warranty is not a date",""))))))))</f>
        <v/>
      </c>
      <c r="S662" s="1">
        <f>IF(AND(C662&lt;&gt;"",R662=""),1,0)</f>
        <v/>
      </c>
      <c r="T662">
        <f>IF(S662=1,N(N662),0)</f>
        <v/>
      </c>
      <c r="U662">
        <f>IF(AND(S662=1,T662&gt;0),ROUND(T662*100,0)*10000+10000-ROW(),"")</f>
        <v/>
      </c>
      <c r="V662">
        <f>IF(AND(S662=1,OR(Report!$C$5="",B662=Report!$C$5)),MATCH(B662,Rooms!$B$6:$B$35,0)*10000+ROW(),"")</f>
        <v/>
      </c>
      <c r="W662">
        <f>IF(AND(S662=1,OR(J662="",J662="No")),1,0)</f>
        <v/>
      </c>
      <c r="X662">
        <f>IF(AND(S662=1,K662=""),1,0)</f>
        <v/>
      </c>
      <c r="Y662">
        <f>IF(AND(S662=1,Q662&lt;&gt;""),ROUND(T662*100,0)*10000+10000-ROW(),"")</f>
        <v/>
      </c>
    </row>
    <row r="663">
      <c r="A663" s="1" t="n"/>
      <c r="B663" s="17" t="n"/>
      <c r="C663" s="18" t="n"/>
      <c r="D663" s="17" t="n"/>
      <c r="E663" s="19" t="n"/>
      <c r="F663" s="19" t="n"/>
      <c r="G663" s="20" t="n"/>
      <c r="H663" s="21" t="n"/>
      <c r="I663" s="21" t="n"/>
      <c r="J663" s="17" t="n"/>
      <c r="K663" s="19" t="n"/>
      <c r="L663" s="20" t="n"/>
      <c r="M663" s="19" t="n"/>
      <c r="N663" s="22">
        <f>IF(C663="","",IF(ISNUMBER(I663),I663,IF(ISNUMBER(H663),H663,"")))</f>
        <v/>
      </c>
      <c r="O663" s="23">
        <f>IF(OR(C663="",NOT(ISNUMBER(G663))),"",(TODAY()-INT(G663))/365.25)</f>
        <v/>
      </c>
      <c r="P663" s="13">
        <f>IF(OR(C663="",NOT(ISNUMBER(L663))),"",IF(L663&lt;TODAY(),"Ended",IF(L663-TODAY()&lt;=N(Settings!$C$10),"Ends soon","Covered")))</f>
        <v/>
      </c>
      <c r="Q663" s="13">
        <f>IF(C663="","",MID(IF(N663="",", value","")&amp;IF(OR(J663="",J663="No"),", receipt","")&amp;IF(K663="",", photo",""),3,100))</f>
        <v/>
      </c>
      <c r="R663" s="13">
        <f>IF(AND(B663="",C663=""),"",IF(C663="","Needs the item",IF(B663="","Needs a room",IF(COUNTIF(Rooms!$B$6:$B$35,B663)=0,"Not on Rooms",IF(AND(H663&lt;&gt;"",NOT(ISNUMBER(H663))),"Paid not a number",IF(AND(I663&lt;&gt;"",NOT(ISNUMBER(I663))),"Worth not a number",IF(AND(G663&lt;&gt;"",NOT(ISNUMBER(G663))),"Bought is not a date",IF(AND(L663&lt;&gt;"",NOT(ISNUMBER(L663))),"Warranty is not a date",""))))))))</f>
        <v/>
      </c>
      <c r="S663" s="1">
        <f>IF(AND(C663&lt;&gt;"",R663=""),1,0)</f>
        <v/>
      </c>
      <c r="T663">
        <f>IF(S663=1,N(N663),0)</f>
        <v/>
      </c>
      <c r="U663">
        <f>IF(AND(S663=1,T663&gt;0),ROUND(T663*100,0)*10000+10000-ROW(),"")</f>
        <v/>
      </c>
      <c r="V663">
        <f>IF(AND(S663=1,OR(Report!$C$5="",B663=Report!$C$5)),MATCH(B663,Rooms!$B$6:$B$35,0)*10000+ROW(),"")</f>
        <v/>
      </c>
      <c r="W663">
        <f>IF(AND(S663=1,OR(J663="",J663="No")),1,0)</f>
        <v/>
      </c>
      <c r="X663">
        <f>IF(AND(S663=1,K663=""),1,0)</f>
        <v/>
      </c>
      <c r="Y663">
        <f>IF(AND(S663=1,Q663&lt;&gt;""),ROUND(T663*100,0)*10000+10000-ROW(),"")</f>
        <v/>
      </c>
    </row>
    <row r="664">
      <c r="A664" s="1" t="n"/>
      <c r="B664" s="17" t="n"/>
      <c r="C664" s="18" t="n"/>
      <c r="D664" s="17" t="n"/>
      <c r="E664" s="19" t="n"/>
      <c r="F664" s="19" t="n"/>
      <c r="G664" s="20" t="n"/>
      <c r="H664" s="21" t="n"/>
      <c r="I664" s="21" t="n"/>
      <c r="J664" s="17" t="n"/>
      <c r="K664" s="19" t="n"/>
      <c r="L664" s="20" t="n"/>
      <c r="M664" s="19" t="n"/>
      <c r="N664" s="22">
        <f>IF(C664="","",IF(ISNUMBER(I664),I664,IF(ISNUMBER(H664),H664,"")))</f>
        <v/>
      </c>
      <c r="O664" s="23">
        <f>IF(OR(C664="",NOT(ISNUMBER(G664))),"",(TODAY()-INT(G664))/365.25)</f>
        <v/>
      </c>
      <c r="P664" s="13">
        <f>IF(OR(C664="",NOT(ISNUMBER(L664))),"",IF(L664&lt;TODAY(),"Ended",IF(L664-TODAY()&lt;=N(Settings!$C$10),"Ends soon","Covered")))</f>
        <v/>
      </c>
      <c r="Q664" s="13">
        <f>IF(C664="","",MID(IF(N664="",", value","")&amp;IF(OR(J664="",J664="No"),", receipt","")&amp;IF(K664="",", photo",""),3,100))</f>
        <v/>
      </c>
      <c r="R664" s="13">
        <f>IF(AND(B664="",C664=""),"",IF(C664="","Needs the item",IF(B664="","Needs a room",IF(COUNTIF(Rooms!$B$6:$B$35,B664)=0,"Not on Rooms",IF(AND(H664&lt;&gt;"",NOT(ISNUMBER(H664))),"Paid not a number",IF(AND(I664&lt;&gt;"",NOT(ISNUMBER(I664))),"Worth not a number",IF(AND(G664&lt;&gt;"",NOT(ISNUMBER(G664))),"Bought is not a date",IF(AND(L664&lt;&gt;"",NOT(ISNUMBER(L664))),"Warranty is not a date",""))))))))</f>
        <v/>
      </c>
      <c r="S664" s="1">
        <f>IF(AND(C664&lt;&gt;"",R664=""),1,0)</f>
        <v/>
      </c>
      <c r="T664">
        <f>IF(S664=1,N(N664),0)</f>
        <v/>
      </c>
      <c r="U664">
        <f>IF(AND(S664=1,T664&gt;0),ROUND(T664*100,0)*10000+10000-ROW(),"")</f>
        <v/>
      </c>
      <c r="V664">
        <f>IF(AND(S664=1,OR(Report!$C$5="",B664=Report!$C$5)),MATCH(B664,Rooms!$B$6:$B$35,0)*10000+ROW(),"")</f>
        <v/>
      </c>
      <c r="W664">
        <f>IF(AND(S664=1,OR(J664="",J664="No")),1,0)</f>
        <v/>
      </c>
      <c r="X664">
        <f>IF(AND(S664=1,K664=""),1,0)</f>
        <v/>
      </c>
      <c r="Y664">
        <f>IF(AND(S664=1,Q664&lt;&gt;""),ROUND(T664*100,0)*10000+10000-ROW(),"")</f>
        <v/>
      </c>
    </row>
    <row r="665">
      <c r="A665" s="1" t="n"/>
      <c r="B665" s="17" t="n"/>
      <c r="C665" s="18" t="n"/>
      <c r="D665" s="17" t="n"/>
      <c r="E665" s="19" t="n"/>
      <c r="F665" s="19" t="n"/>
      <c r="G665" s="20" t="n"/>
      <c r="H665" s="21" t="n"/>
      <c r="I665" s="21" t="n"/>
      <c r="J665" s="17" t="n"/>
      <c r="K665" s="19" t="n"/>
      <c r="L665" s="20" t="n"/>
      <c r="M665" s="19" t="n"/>
      <c r="N665" s="22">
        <f>IF(C665="","",IF(ISNUMBER(I665),I665,IF(ISNUMBER(H665),H665,"")))</f>
        <v/>
      </c>
      <c r="O665" s="23">
        <f>IF(OR(C665="",NOT(ISNUMBER(G665))),"",(TODAY()-INT(G665))/365.25)</f>
        <v/>
      </c>
      <c r="P665" s="13">
        <f>IF(OR(C665="",NOT(ISNUMBER(L665))),"",IF(L665&lt;TODAY(),"Ended",IF(L665-TODAY()&lt;=N(Settings!$C$10),"Ends soon","Covered")))</f>
        <v/>
      </c>
      <c r="Q665" s="13">
        <f>IF(C665="","",MID(IF(N665="",", value","")&amp;IF(OR(J665="",J665="No"),", receipt","")&amp;IF(K665="",", photo",""),3,100))</f>
        <v/>
      </c>
      <c r="R665" s="13">
        <f>IF(AND(B665="",C665=""),"",IF(C665="","Needs the item",IF(B665="","Needs a room",IF(COUNTIF(Rooms!$B$6:$B$35,B665)=0,"Not on Rooms",IF(AND(H665&lt;&gt;"",NOT(ISNUMBER(H665))),"Paid not a number",IF(AND(I665&lt;&gt;"",NOT(ISNUMBER(I665))),"Worth not a number",IF(AND(G665&lt;&gt;"",NOT(ISNUMBER(G665))),"Bought is not a date",IF(AND(L665&lt;&gt;"",NOT(ISNUMBER(L665))),"Warranty is not a date",""))))))))</f>
        <v/>
      </c>
      <c r="S665" s="1">
        <f>IF(AND(C665&lt;&gt;"",R665=""),1,0)</f>
        <v/>
      </c>
      <c r="T665">
        <f>IF(S665=1,N(N665),0)</f>
        <v/>
      </c>
      <c r="U665">
        <f>IF(AND(S665=1,T665&gt;0),ROUND(T665*100,0)*10000+10000-ROW(),"")</f>
        <v/>
      </c>
      <c r="V665">
        <f>IF(AND(S665=1,OR(Report!$C$5="",B665=Report!$C$5)),MATCH(B665,Rooms!$B$6:$B$35,0)*10000+ROW(),"")</f>
        <v/>
      </c>
      <c r="W665">
        <f>IF(AND(S665=1,OR(J665="",J665="No")),1,0)</f>
        <v/>
      </c>
      <c r="X665">
        <f>IF(AND(S665=1,K665=""),1,0)</f>
        <v/>
      </c>
      <c r="Y665">
        <f>IF(AND(S665=1,Q665&lt;&gt;""),ROUND(T665*100,0)*10000+10000-ROW(),"")</f>
        <v/>
      </c>
    </row>
    <row r="666">
      <c r="A666" s="1" t="n"/>
      <c r="B666" s="17" t="n"/>
      <c r="C666" s="18" t="n"/>
      <c r="D666" s="17" t="n"/>
      <c r="E666" s="19" t="n"/>
      <c r="F666" s="19" t="n"/>
      <c r="G666" s="20" t="n"/>
      <c r="H666" s="21" t="n"/>
      <c r="I666" s="21" t="n"/>
      <c r="J666" s="17" t="n"/>
      <c r="K666" s="19" t="n"/>
      <c r="L666" s="20" t="n"/>
      <c r="M666" s="19" t="n"/>
      <c r="N666" s="22">
        <f>IF(C666="","",IF(ISNUMBER(I666),I666,IF(ISNUMBER(H666),H666,"")))</f>
        <v/>
      </c>
      <c r="O666" s="23">
        <f>IF(OR(C666="",NOT(ISNUMBER(G666))),"",(TODAY()-INT(G666))/365.25)</f>
        <v/>
      </c>
      <c r="P666" s="13">
        <f>IF(OR(C666="",NOT(ISNUMBER(L666))),"",IF(L666&lt;TODAY(),"Ended",IF(L666-TODAY()&lt;=N(Settings!$C$10),"Ends soon","Covered")))</f>
        <v/>
      </c>
      <c r="Q666" s="13">
        <f>IF(C666="","",MID(IF(N666="",", value","")&amp;IF(OR(J666="",J666="No"),", receipt","")&amp;IF(K666="",", photo",""),3,100))</f>
        <v/>
      </c>
      <c r="R666" s="13">
        <f>IF(AND(B666="",C666=""),"",IF(C666="","Needs the item",IF(B666="","Needs a room",IF(COUNTIF(Rooms!$B$6:$B$35,B666)=0,"Not on Rooms",IF(AND(H666&lt;&gt;"",NOT(ISNUMBER(H666))),"Paid not a number",IF(AND(I666&lt;&gt;"",NOT(ISNUMBER(I666))),"Worth not a number",IF(AND(G666&lt;&gt;"",NOT(ISNUMBER(G666))),"Bought is not a date",IF(AND(L666&lt;&gt;"",NOT(ISNUMBER(L666))),"Warranty is not a date",""))))))))</f>
        <v/>
      </c>
      <c r="S666" s="1">
        <f>IF(AND(C666&lt;&gt;"",R666=""),1,0)</f>
        <v/>
      </c>
      <c r="T666">
        <f>IF(S666=1,N(N666),0)</f>
        <v/>
      </c>
      <c r="U666">
        <f>IF(AND(S666=1,T666&gt;0),ROUND(T666*100,0)*10000+10000-ROW(),"")</f>
        <v/>
      </c>
      <c r="V666">
        <f>IF(AND(S666=1,OR(Report!$C$5="",B666=Report!$C$5)),MATCH(B666,Rooms!$B$6:$B$35,0)*10000+ROW(),"")</f>
        <v/>
      </c>
      <c r="W666">
        <f>IF(AND(S666=1,OR(J666="",J666="No")),1,0)</f>
        <v/>
      </c>
      <c r="X666">
        <f>IF(AND(S666=1,K666=""),1,0)</f>
        <v/>
      </c>
      <c r="Y666">
        <f>IF(AND(S666=1,Q666&lt;&gt;""),ROUND(T666*100,0)*10000+10000-ROW(),"")</f>
        <v/>
      </c>
    </row>
    <row r="667">
      <c r="A667" s="1" t="n"/>
      <c r="B667" s="17" t="n"/>
      <c r="C667" s="18" t="n"/>
      <c r="D667" s="17" t="n"/>
      <c r="E667" s="19" t="n"/>
      <c r="F667" s="19" t="n"/>
      <c r="G667" s="20" t="n"/>
      <c r="H667" s="21" t="n"/>
      <c r="I667" s="21" t="n"/>
      <c r="J667" s="17" t="n"/>
      <c r="K667" s="19" t="n"/>
      <c r="L667" s="20" t="n"/>
      <c r="M667" s="19" t="n"/>
      <c r="N667" s="22">
        <f>IF(C667="","",IF(ISNUMBER(I667),I667,IF(ISNUMBER(H667),H667,"")))</f>
        <v/>
      </c>
      <c r="O667" s="23">
        <f>IF(OR(C667="",NOT(ISNUMBER(G667))),"",(TODAY()-INT(G667))/365.25)</f>
        <v/>
      </c>
      <c r="P667" s="13">
        <f>IF(OR(C667="",NOT(ISNUMBER(L667))),"",IF(L667&lt;TODAY(),"Ended",IF(L667-TODAY()&lt;=N(Settings!$C$10),"Ends soon","Covered")))</f>
        <v/>
      </c>
      <c r="Q667" s="13">
        <f>IF(C667="","",MID(IF(N667="",", value","")&amp;IF(OR(J667="",J667="No"),", receipt","")&amp;IF(K667="",", photo",""),3,100))</f>
        <v/>
      </c>
      <c r="R667" s="13">
        <f>IF(AND(B667="",C667=""),"",IF(C667="","Needs the item",IF(B667="","Needs a room",IF(COUNTIF(Rooms!$B$6:$B$35,B667)=0,"Not on Rooms",IF(AND(H667&lt;&gt;"",NOT(ISNUMBER(H667))),"Paid not a number",IF(AND(I667&lt;&gt;"",NOT(ISNUMBER(I667))),"Worth not a number",IF(AND(G667&lt;&gt;"",NOT(ISNUMBER(G667))),"Bought is not a date",IF(AND(L667&lt;&gt;"",NOT(ISNUMBER(L667))),"Warranty is not a date",""))))))))</f>
        <v/>
      </c>
      <c r="S667" s="1">
        <f>IF(AND(C667&lt;&gt;"",R667=""),1,0)</f>
        <v/>
      </c>
      <c r="T667">
        <f>IF(S667=1,N(N667),0)</f>
        <v/>
      </c>
      <c r="U667">
        <f>IF(AND(S667=1,T667&gt;0),ROUND(T667*100,0)*10000+10000-ROW(),"")</f>
        <v/>
      </c>
      <c r="V667">
        <f>IF(AND(S667=1,OR(Report!$C$5="",B667=Report!$C$5)),MATCH(B667,Rooms!$B$6:$B$35,0)*10000+ROW(),"")</f>
        <v/>
      </c>
      <c r="W667">
        <f>IF(AND(S667=1,OR(J667="",J667="No")),1,0)</f>
        <v/>
      </c>
      <c r="X667">
        <f>IF(AND(S667=1,K667=""),1,0)</f>
        <v/>
      </c>
      <c r="Y667">
        <f>IF(AND(S667=1,Q667&lt;&gt;""),ROUND(T667*100,0)*10000+10000-ROW(),"")</f>
        <v/>
      </c>
    </row>
    <row r="668">
      <c r="A668" s="1" t="n"/>
      <c r="B668" s="17" t="n"/>
      <c r="C668" s="18" t="n"/>
      <c r="D668" s="17" t="n"/>
      <c r="E668" s="19" t="n"/>
      <c r="F668" s="19" t="n"/>
      <c r="G668" s="20" t="n"/>
      <c r="H668" s="21" t="n"/>
      <c r="I668" s="21" t="n"/>
      <c r="J668" s="17" t="n"/>
      <c r="K668" s="19" t="n"/>
      <c r="L668" s="20" t="n"/>
      <c r="M668" s="19" t="n"/>
      <c r="N668" s="22">
        <f>IF(C668="","",IF(ISNUMBER(I668),I668,IF(ISNUMBER(H668),H668,"")))</f>
        <v/>
      </c>
      <c r="O668" s="23">
        <f>IF(OR(C668="",NOT(ISNUMBER(G668))),"",(TODAY()-INT(G668))/365.25)</f>
        <v/>
      </c>
      <c r="P668" s="13">
        <f>IF(OR(C668="",NOT(ISNUMBER(L668))),"",IF(L668&lt;TODAY(),"Ended",IF(L668-TODAY()&lt;=N(Settings!$C$10),"Ends soon","Covered")))</f>
        <v/>
      </c>
      <c r="Q668" s="13">
        <f>IF(C668="","",MID(IF(N668="",", value","")&amp;IF(OR(J668="",J668="No"),", receipt","")&amp;IF(K668="",", photo",""),3,100))</f>
        <v/>
      </c>
      <c r="R668" s="13">
        <f>IF(AND(B668="",C668=""),"",IF(C668="","Needs the item",IF(B668="","Needs a room",IF(COUNTIF(Rooms!$B$6:$B$35,B668)=0,"Not on Rooms",IF(AND(H668&lt;&gt;"",NOT(ISNUMBER(H668))),"Paid not a number",IF(AND(I668&lt;&gt;"",NOT(ISNUMBER(I668))),"Worth not a number",IF(AND(G668&lt;&gt;"",NOT(ISNUMBER(G668))),"Bought is not a date",IF(AND(L668&lt;&gt;"",NOT(ISNUMBER(L668))),"Warranty is not a date",""))))))))</f>
        <v/>
      </c>
      <c r="S668" s="1">
        <f>IF(AND(C668&lt;&gt;"",R668=""),1,0)</f>
        <v/>
      </c>
      <c r="T668">
        <f>IF(S668=1,N(N668),0)</f>
        <v/>
      </c>
      <c r="U668">
        <f>IF(AND(S668=1,T668&gt;0),ROUND(T668*100,0)*10000+10000-ROW(),"")</f>
        <v/>
      </c>
      <c r="V668">
        <f>IF(AND(S668=1,OR(Report!$C$5="",B668=Report!$C$5)),MATCH(B668,Rooms!$B$6:$B$35,0)*10000+ROW(),"")</f>
        <v/>
      </c>
      <c r="W668">
        <f>IF(AND(S668=1,OR(J668="",J668="No")),1,0)</f>
        <v/>
      </c>
      <c r="X668">
        <f>IF(AND(S668=1,K668=""),1,0)</f>
        <v/>
      </c>
      <c r="Y668">
        <f>IF(AND(S668=1,Q668&lt;&gt;""),ROUND(T668*100,0)*10000+10000-ROW(),"")</f>
        <v/>
      </c>
    </row>
    <row r="669">
      <c r="A669" s="1" t="n"/>
      <c r="B669" s="17" t="n"/>
      <c r="C669" s="18" t="n"/>
      <c r="D669" s="17" t="n"/>
      <c r="E669" s="19" t="n"/>
      <c r="F669" s="19" t="n"/>
      <c r="G669" s="20" t="n"/>
      <c r="H669" s="21" t="n"/>
      <c r="I669" s="21" t="n"/>
      <c r="J669" s="17" t="n"/>
      <c r="K669" s="19" t="n"/>
      <c r="L669" s="20" t="n"/>
      <c r="M669" s="19" t="n"/>
      <c r="N669" s="22">
        <f>IF(C669="","",IF(ISNUMBER(I669),I669,IF(ISNUMBER(H669),H669,"")))</f>
        <v/>
      </c>
      <c r="O669" s="23">
        <f>IF(OR(C669="",NOT(ISNUMBER(G669))),"",(TODAY()-INT(G669))/365.25)</f>
        <v/>
      </c>
      <c r="P669" s="13">
        <f>IF(OR(C669="",NOT(ISNUMBER(L669))),"",IF(L669&lt;TODAY(),"Ended",IF(L669-TODAY()&lt;=N(Settings!$C$10),"Ends soon","Covered")))</f>
        <v/>
      </c>
      <c r="Q669" s="13">
        <f>IF(C669="","",MID(IF(N669="",", value","")&amp;IF(OR(J669="",J669="No"),", receipt","")&amp;IF(K669="",", photo",""),3,100))</f>
        <v/>
      </c>
      <c r="R669" s="13">
        <f>IF(AND(B669="",C669=""),"",IF(C669="","Needs the item",IF(B669="","Needs a room",IF(COUNTIF(Rooms!$B$6:$B$35,B669)=0,"Not on Rooms",IF(AND(H669&lt;&gt;"",NOT(ISNUMBER(H669))),"Paid not a number",IF(AND(I669&lt;&gt;"",NOT(ISNUMBER(I669))),"Worth not a number",IF(AND(G669&lt;&gt;"",NOT(ISNUMBER(G669))),"Bought is not a date",IF(AND(L669&lt;&gt;"",NOT(ISNUMBER(L669))),"Warranty is not a date",""))))))))</f>
        <v/>
      </c>
      <c r="S669" s="1">
        <f>IF(AND(C669&lt;&gt;"",R669=""),1,0)</f>
        <v/>
      </c>
      <c r="T669">
        <f>IF(S669=1,N(N669),0)</f>
        <v/>
      </c>
      <c r="U669">
        <f>IF(AND(S669=1,T669&gt;0),ROUND(T669*100,0)*10000+10000-ROW(),"")</f>
        <v/>
      </c>
      <c r="V669">
        <f>IF(AND(S669=1,OR(Report!$C$5="",B669=Report!$C$5)),MATCH(B669,Rooms!$B$6:$B$35,0)*10000+ROW(),"")</f>
        <v/>
      </c>
      <c r="W669">
        <f>IF(AND(S669=1,OR(J669="",J669="No")),1,0)</f>
        <v/>
      </c>
      <c r="X669">
        <f>IF(AND(S669=1,K669=""),1,0)</f>
        <v/>
      </c>
      <c r="Y669">
        <f>IF(AND(S669=1,Q669&lt;&gt;""),ROUND(T669*100,0)*10000+10000-ROW(),"")</f>
        <v/>
      </c>
    </row>
    <row r="670">
      <c r="A670" s="1" t="n"/>
      <c r="B670" s="17" t="n"/>
      <c r="C670" s="18" t="n"/>
      <c r="D670" s="17" t="n"/>
      <c r="E670" s="19" t="n"/>
      <c r="F670" s="19" t="n"/>
      <c r="G670" s="20" t="n"/>
      <c r="H670" s="21" t="n"/>
      <c r="I670" s="21" t="n"/>
      <c r="J670" s="17" t="n"/>
      <c r="K670" s="19" t="n"/>
      <c r="L670" s="20" t="n"/>
      <c r="M670" s="19" t="n"/>
      <c r="N670" s="22">
        <f>IF(C670="","",IF(ISNUMBER(I670),I670,IF(ISNUMBER(H670),H670,"")))</f>
        <v/>
      </c>
      <c r="O670" s="23">
        <f>IF(OR(C670="",NOT(ISNUMBER(G670))),"",(TODAY()-INT(G670))/365.25)</f>
        <v/>
      </c>
      <c r="P670" s="13">
        <f>IF(OR(C670="",NOT(ISNUMBER(L670))),"",IF(L670&lt;TODAY(),"Ended",IF(L670-TODAY()&lt;=N(Settings!$C$10),"Ends soon","Covered")))</f>
        <v/>
      </c>
      <c r="Q670" s="13">
        <f>IF(C670="","",MID(IF(N670="",", value","")&amp;IF(OR(J670="",J670="No"),", receipt","")&amp;IF(K670="",", photo",""),3,100))</f>
        <v/>
      </c>
      <c r="R670" s="13">
        <f>IF(AND(B670="",C670=""),"",IF(C670="","Needs the item",IF(B670="","Needs a room",IF(COUNTIF(Rooms!$B$6:$B$35,B670)=0,"Not on Rooms",IF(AND(H670&lt;&gt;"",NOT(ISNUMBER(H670))),"Paid not a number",IF(AND(I670&lt;&gt;"",NOT(ISNUMBER(I670))),"Worth not a number",IF(AND(G670&lt;&gt;"",NOT(ISNUMBER(G670))),"Bought is not a date",IF(AND(L670&lt;&gt;"",NOT(ISNUMBER(L670))),"Warranty is not a date",""))))))))</f>
        <v/>
      </c>
      <c r="S670" s="1">
        <f>IF(AND(C670&lt;&gt;"",R670=""),1,0)</f>
        <v/>
      </c>
      <c r="T670">
        <f>IF(S670=1,N(N670),0)</f>
        <v/>
      </c>
      <c r="U670">
        <f>IF(AND(S670=1,T670&gt;0),ROUND(T670*100,0)*10000+10000-ROW(),"")</f>
        <v/>
      </c>
      <c r="V670">
        <f>IF(AND(S670=1,OR(Report!$C$5="",B670=Report!$C$5)),MATCH(B670,Rooms!$B$6:$B$35,0)*10000+ROW(),"")</f>
        <v/>
      </c>
      <c r="W670">
        <f>IF(AND(S670=1,OR(J670="",J670="No")),1,0)</f>
        <v/>
      </c>
      <c r="X670">
        <f>IF(AND(S670=1,K670=""),1,0)</f>
        <v/>
      </c>
      <c r="Y670">
        <f>IF(AND(S670=1,Q670&lt;&gt;""),ROUND(T670*100,0)*10000+10000-ROW(),"")</f>
        <v/>
      </c>
    </row>
    <row r="671">
      <c r="A671" s="1" t="n"/>
      <c r="B671" s="17" t="n"/>
      <c r="C671" s="18" t="n"/>
      <c r="D671" s="17" t="n"/>
      <c r="E671" s="19" t="n"/>
      <c r="F671" s="19" t="n"/>
      <c r="G671" s="20" t="n"/>
      <c r="H671" s="21" t="n"/>
      <c r="I671" s="21" t="n"/>
      <c r="J671" s="17" t="n"/>
      <c r="K671" s="19" t="n"/>
      <c r="L671" s="20" t="n"/>
      <c r="M671" s="19" t="n"/>
      <c r="N671" s="22">
        <f>IF(C671="","",IF(ISNUMBER(I671),I671,IF(ISNUMBER(H671),H671,"")))</f>
        <v/>
      </c>
      <c r="O671" s="23">
        <f>IF(OR(C671="",NOT(ISNUMBER(G671))),"",(TODAY()-INT(G671))/365.25)</f>
        <v/>
      </c>
      <c r="P671" s="13">
        <f>IF(OR(C671="",NOT(ISNUMBER(L671))),"",IF(L671&lt;TODAY(),"Ended",IF(L671-TODAY()&lt;=N(Settings!$C$10),"Ends soon","Covered")))</f>
        <v/>
      </c>
      <c r="Q671" s="13">
        <f>IF(C671="","",MID(IF(N671="",", value","")&amp;IF(OR(J671="",J671="No"),", receipt","")&amp;IF(K671="",", photo",""),3,100))</f>
        <v/>
      </c>
      <c r="R671" s="13">
        <f>IF(AND(B671="",C671=""),"",IF(C671="","Needs the item",IF(B671="","Needs a room",IF(COUNTIF(Rooms!$B$6:$B$35,B671)=0,"Not on Rooms",IF(AND(H671&lt;&gt;"",NOT(ISNUMBER(H671))),"Paid not a number",IF(AND(I671&lt;&gt;"",NOT(ISNUMBER(I671))),"Worth not a number",IF(AND(G671&lt;&gt;"",NOT(ISNUMBER(G671))),"Bought is not a date",IF(AND(L671&lt;&gt;"",NOT(ISNUMBER(L671))),"Warranty is not a date",""))))))))</f>
        <v/>
      </c>
      <c r="S671" s="1">
        <f>IF(AND(C671&lt;&gt;"",R671=""),1,0)</f>
        <v/>
      </c>
      <c r="T671">
        <f>IF(S671=1,N(N671),0)</f>
        <v/>
      </c>
      <c r="U671">
        <f>IF(AND(S671=1,T671&gt;0),ROUND(T671*100,0)*10000+10000-ROW(),"")</f>
        <v/>
      </c>
      <c r="V671">
        <f>IF(AND(S671=1,OR(Report!$C$5="",B671=Report!$C$5)),MATCH(B671,Rooms!$B$6:$B$35,0)*10000+ROW(),"")</f>
        <v/>
      </c>
      <c r="W671">
        <f>IF(AND(S671=1,OR(J671="",J671="No")),1,0)</f>
        <v/>
      </c>
      <c r="X671">
        <f>IF(AND(S671=1,K671=""),1,0)</f>
        <v/>
      </c>
      <c r="Y671">
        <f>IF(AND(S671=1,Q671&lt;&gt;""),ROUND(T671*100,0)*10000+10000-ROW(),"")</f>
        <v/>
      </c>
    </row>
    <row r="672">
      <c r="A672" s="1" t="n"/>
      <c r="B672" s="17" t="n"/>
      <c r="C672" s="18" t="n"/>
      <c r="D672" s="17" t="n"/>
      <c r="E672" s="19" t="n"/>
      <c r="F672" s="19" t="n"/>
      <c r="G672" s="20" t="n"/>
      <c r="H672" s="21" t="n"/>
      <c r="I672" s="21" t="n"/>
      <c r="J672" s="17" t="n"/>
      <c r="K672" s="19" t="n"/>
      <c r="L672" s="20" t="n"/>
      <c r="M672" s="19" t="n"/>
      <c r="N672" s="22">
        <f>IF(C672="","",IF(ISNUMBER(I672),I672,IF(ISNUMBER(H672),H672,"")))</f>
        <v/>
      </c>
      <c r="O672" s="23">
        <f>IF(OR(C672="",NOT(ISNUMBER(G672))),"",(TODAY()-INT(G672))/365.25)</f>
        <v/>
      </c>
      <c r="P672" s="13">
        <f>IF(OR(C672="",NOT(ISNUMBER(L672))),"",IF(L672&lt;TODAY(),"Ended",IF(L672-TODAY()&lt;=N(Settings!$C$10),"Ends soon","Covered")))</f>
        <v/>
      </c>
      <c r="Q672" s="13">
        <f>IF(C672="","",MID(IF(N672="",", value","")&amp;IF(OR(J672="",J672="No"),", receipt","")&amp;IF(K672="",", photo",""),3,100))</f>
        <v/>
      </c>
      <c r="R672" s="13">
        <f>IF(AND(B672="",C672=""),"",IF(C672="","Needs the item",IF(B672="","Needs a room",IF(COUNTIF(Rooms!$B$6:$B$35,B672)=0,"Not on Rooms",IF(AND(H672&lt;&gt;"",NOT(ISNUMBER(H672))),"Paid not a number",IF(AND(I672&lt;&gt;"",NOT(ISNUMBER(I672))),"Worth not a number",IF(AND(G672&lt;&gt;"",NOT(ISNUMBER(G672))),"Bought is not a date",IF(AND(L672&lt;&gt;"",NOT(ISNUMBER(L672))),"Warranty is not a date",""))))))))</f>
        <v/>
      </c>
      <c r="S672" s="1">
        <f>IF(AND(C672&lt;&gt;"",R672=""),1,0)</f>
        <v/>
      </c>
      <c r="T672">
        <f>IF(S672=1,N(N672),0)</f>
        <v/>
      </c>
      <c r="U672">
        <f>IF(AND(S672=1,T672&gt;0),ROUND(T672*100,0)*10000+10000-ROW(),"")</f>
        <v/>
      </c>
      <c r="V672">
        <f>IF(AND(S672=1,OR(Report!$C$5="",B672=Report!$C$5)),MATCH(B672,Rooms!$B$6:$B$35,0)*10000+ROW(),"")</f>
        <v/>
      </c>
      <c r="W672">
        <f>IF(AND(S672=1,OR(J672="",J672="No")),1,0)</f>
        <v/>
      </c>
      <c r="X672">
        <f>IF(AND(S672=1,K672=""),1,0)</f>
        <v/>
      </c>
      <c r="Y672">
        <f>IF(AND(S672=1,Q672&lt;&gt;""),ROUND(T672*100,0)*10000+10000-ROW(),"")</f>
        <v/>
      </c>
    </row>
    <row r="673">
      <c r="A673" s="1" t="n"/>
      <c r="B673" s="17" t="n"/>
      <c r="C673" s="18" t="n"/>
      <c r="D673" s="17" t="n"/>
      <c r="E673" s="19" t="n"/>
      <c r="F673" s="19" t="n"/>
      <c r="G673" s="20" t="n"/>
      <c r="H673" s="21" t="n"/>
      <c r="I673" s="21" t="n"/>
      <c r="J673" s="17" t="n"/>
      <c r="K673" s="19" t="n"/>
      <c r="L673" s="20" t="n"/>
      <c r="M673" s="19" t="n"/>
      <c r="N673" s="22">
        <f>IF(C673="","",IF(ISNUMBER(I673),I673,IF(ISNUMBER(H673),H673,"")))</f>
        <v/>
      </c>
      <c r="O673" s="23">
        <f>IF(OR(C673="",NOT(ISNUMBER(G673))),"",(TODAY()-INT(G673))/365.25)</f>
        <v/>
      </c>
      <c r="P673" s="13">
        <f>IF(OR(C673="",NOT(ISNUMBER(L673))),"",IF(L673&lt;TODAY(),"Ended",IF(L673-TODAY()&lt;=N(Settings!$C$10),"Ends soon","Covered")))</f>
        <v/>
      </c>
      <c r="Q673" s="13">
        <f>IF(C673="","",MID(IF(N673="",", value","")&amp;IF(OR(J673="",J673="No"),", receipt","")&amp;IF(K673="",", photo",""),3,100))</f>
        <v/>
      </c>
      <c r="R673" s="13">
        <f>IF(AND(B673="",C673=""),"",IF(C673="","Needs the item",IF(B673="","Needs a room",IF(COUNTIF(Rooms!$B$6:$B$35,B673)=0,"Not on Rooms",IF(AND(H673&lt;&gt;"",NOT(ISNUMBER(H673))),"Paid not a number",IF(AND(I673&lt;&gt;"",NOT(ISNUMBER(I673))),"Worth not a number",IF(AND(G673&lt;&gt;"",NOT(ISNUMBER(G673))),"Bought is not a date",IF(AND(L673&lt;&gt;"",NOT(ISNUMBER(L673))),"Warranty is not a date",""))))))))</f>
        <v/>
      </c>
      <c r="S673" s="1">
        <f>IF(AND(C673&lt;&gt;"",R673=""),1,0)</f>
        <v/>
      </c>
      <c r="T673">
        <f>IF(S673=1,N(N673),0)</f>
        <v/>
      </c>
      <c r="U673">
        <f>IF(AND(S673=1,T673&gt;0),ROUND(T673*100,0)*10000+10000-ROW(),"")</f>
        <v/>
      </c>
      <c r="V673">
        <f>IF(AND(S673=1,OR(Report!$C$5="",B673=Report!$C$5)),MATCH(B673,Rooms!$B$6:$B$35,0)*10000+ROW(),"")</f>
        <v/>
      </c>
      <c r="W673">
        <f>IF(AND(S673=1,OR(J673="",J673="No")),1,0)</f>
        <v/>
      </c>
      <c r="X673">
        <f>IF(AND(S673=1,K673=""),1,0)</f>
        <v/>
      </c>
      <c r="Y673">
        <f>IF(AND(S673=1,Q673&lt;&gt;""),ROUND(T673*100,0)*10000+10000-ROW(),"")</f>
        <v/>
      </c>
    </row>
    <row r="674">
      <c r="A674" s="1" t="n"/>
      <c r="B674" s="17" t="n"/>
      <c r="C674" s="18" t="n"/>
      <c r="D674" s="17" t="n"/>
      <c r="E674" s="19" t="n"/>
      <c r="F674" s="19" t="n"/>
      <c r="G674" s="20" t="n"/>
      <c r="H674" s="21" t="n"/>
      <c r="I674" s="21" t="n"/>
      <c r="J674" s="17" t="n"/>
      <c r="K674" s="19" t="n"/>
      <c r="L674" s="20" t="n"/>
      <c r="M674" s="19" t="n"/>
      <c r="N674" s="22">
        <f>IF(C674="","",IF(ISNUMBER(I674),I674,IF(ISNUMBER(H674),H674,"")))</f>
        <v/>
      </c>
      <c r="O674" s="23">
        <f>IF(OR(C674="",NOT(ISNUMBER(G674))),"",(TODAY()-INT(G674))/365.25)</f>
        <v/>
      </c>
      <c r="P674" s="13">
        <f>IF(OR(C674="",NOT(ISNUMBER(L674))),"",IF(L674&lt;TODAY(),"Ended",IF(L674-TODAY()&lt;=N(Settings!$C$10),"Ends soon","Covered")))</f>
        <v/>
      </c>
      <c r="Q674" s="13">
        <f>IF(C674="","",MID(IF(N674="",", value","")&amp;IF(OR(J674="",J674="No"),", receipt","")&amp;IF(K674="",", photo",""),3,100))</f>
        <v/>
      </c>
      <c r="R674" s="13">
        <f>IF(AND(B674="",C674=""),"",IF(C674="","Needs the item",IF(B674="","Needs a room",IF(COUNTIF(Rooms!$B$6:$B$35,B674)=0,"Not on Rooms",IF(AND(H674&lt;&gt;"",NOT(ISNUMBER(H674))),"Paid not a number",IF(AND(I674&lt;&gt;"",NOT(ISNUMBER(I674))),"Worth not a number",IF(AND(G674&lt;&gt;"",NOT(ISNUMBER(G674))),"Bought is not a date",IF(AND(L674&lt;&gt;"",NOT(ISNUMBER(L674))),"Warranty is not a date",""))))))))</f>
        <v/>
      </c>
      <c r="S674" s="1">
        <f>IF(AND(C674&lt;&gt;"",R674=""),1,0)</f>
        <v/>
      </c>
      <c r="T674">
        <f>IF(S674=1,N(N674),0)</f>
        <v/>
      </c>
      <c r="U674">
        <f>IF(AND(S674=1,T674&gt;0),ROUND(T674*100,0)*10000+10000-ROW(),"")</f>
        <v/>
      </c>
      <c r="V674">
        <f>IF(AND(S674=1,OR(Report!$C$5="",B674=Report!$C$5)),MATCH(B674,Rooms!$B$6:$B$35,0)*10000+ROW(),"")</f>
        <v/>
      </c>
      <c r="W674">
        <f>IF(AND(S674=1,OR(J674="",J674="No")),1,0)</f>
        <v/>
      </c>
      <c r="X674">
        <f>IF(AND(S674=1,K674=""),1,0)</f>
        <v/>
      </c>
      <c r="Y674">
        <f>IF(AND(S674=1,Q674&lt;&gt;""),ROUND(T674*100,0)*10000+10000-ROW(),"")</f>
        <v/>
      </c>
    </row>
    <row r="675">
      <c r="A675" s="1" t="n"/>
      <c r="B675" s="17" t="n"/>
      <c r="C675" s="18" t="n"/>
      <c r="D675" s="17" t="n"/>
      <c r="E675" s="19" t="n"/>
      <c r="F675" s="19" t="n"/>
      <c r="G675" s="20" t="n"/>
      <c r="H675" s="21" t="n"/>
      <c r="I675" s="21" t="n"/>
      <c r="J675" s="17" t="n"/>
      <c r="K675" s="19" t="n"/>
      <c r="L675" s="20" t="n"/>
      <c r="M675" s="19" t="n"/>
      <c r="N675" s="22">
        <f>IF(C675="","",IF(ISNUMBER(I675),I675,IF(ISNUMBER(H675),H675,"")))</f>
        <v/>
      </c>
      <c r="O675" s="23">
        <f>IF(OR(C675="",NOT(ISNUMBER(G675))),"",(TODAY()-INT(G675))/365.25)</f>
        <v/>
      </c>
      <c r="P675" s="13">
        <f>IF(OR(C675="",NOT(ISNUMBER(L675))),"",IF(L675&lt;TODAY(),"Ended",IF(L675-TODAY()&lt;=N(Settings!$C$10),"Ends soon","Covered")))</f>
        <v/>
      </c>
      <c r="Q675" s="13">
        <f>IF(C675="","",MID(IF(N675="",", value","")&amp;IF(OR(J675="",J675="No"),", receipt","")&amp;IF(K675="",", photo",""),3,100))</f>
        <v/>
      </c>
      <c r="R675" s="13">
        <f>IF(AND(B675="",C675=""),"",IF(C675="","Needs the item",IF(B675="","Needs a room",IF(COUNTIF(Rooms!$B$6:$B$35,B675)=0,"Not on Rooms",IF(AND(H675&lt;&gt;"",NOT(ISNUMBER(H675))),"Paid not a number",IF(AND(I675&lt;&gt;"",NOT(ISNUMBER(I675))),"Worth not a number",IF(AND(G675&lt;&gt;"",NOT(ISNUMBER(G675))),"Bought is not a date",IF(AND(L675&lt;&gt;"",NOT(ISNUMBER(L675))),"Warranty is not a date",""))))))))</f>
        <v/>
      </c>
      <c r="S675" s="1">
        <f>IF(AND(C675&lt;&gt;"",R675=""),1,0)</f>
        <v/>
      </c>
      <c r="T675">
        <f>IF(S675=1,N(N675),0)</f>
        <v/>
      </c>
      <c r="U675">
        <f>IF(AND(S675=1,T675&gt;0),ROUND(T675*100,0)*10000+10000-ROW(),"")</f>
        <v/>
      </c>
      <c r="V675">
        <f>IF(AND(S675=1,OR(Report!$C$5="",B675=Report!$C$5)),MATCH(B675,Rooms!$B$6:$B$35,0)*10000+ROW(),"")</f>
        <v/>
      </c>
      <c r="W675">
        <f>IF(AND(S675=1,OR(J675="",J675="No")),1,0)</f>
        <v/>
      </c>
      <c r="X675">
        <f>IF(AND(S675=1,K675=""),1,0)</f>
        <v/>
      </c>
      <c r="Y675">
        <f>IF(AND(S675=1,Q675&lt;&gt;""),ROUND(T675*100,0)*10000+10000-ROW(),"")</f>
        <v/>
      </c>
    </row>
    <row r="676">
      <c r="A676" s="1" t="n"/>
      <c r="B676" s="17" t="n"/>
      <c r="C676" s="18" t="n"/>
      <c r="D676" s="17" t="n"/>
      <c r="E676" s="19" t="n"/>
      <c r="F676" s="19" t="n"/>
      <c r="G676" s="20" t="n"/>
      <c r="H676" s="21" t="n"/>
      <c r="I676" s="21" t="n"/>
      <c r="J676" s="17" t="n"/>
      <c r="K676" s="19" t="n"/>
      <c r="L676" s="20" t="n"/>
      <c r="M676" s="19" t="n"/>
      <c r="N676" s="22">
        <f>IF(C676="","",IF(ISNUMBER(I676),I676,IF(ISNUMBER(H676),H676,"")))</f>
        <v/>
      </c>
      <c r="O676" s="23">
        <f>IF(OR(C676="",NOT(ISNUMBER(G676))),"",(TODAY()-INT(G676))/365.25)</f>
        <v/>
      </c>
      <c r="P676" s="13">
        <f>IF(OR(C676="",NOT(ISNUMBER(L676))),"",IF(L676&lt;TODAY(),"Ended",IF(L676-TODAY()&lt;=N(Settings!$C$10),"Ends soon","Covered")))</f>
        <v/>
      </c>
      <c r="Q676" s="13">
        <f>IF(C676="","",MID(IF(N676="",", value","")&amp;IF(OR(J676="",J676="No"),", receipt","")&amp;IF(K676="",", photo",""),3,100))</f>
        <v/>
      </c>
      <c r="R676" s="13">
        <f>IF(AND(B676="",C676=""),"",IF(C676="","Needs the item",IF(B676="","Needs a room",IF(COUNTIF(Rooms!$B$6:$B$35,B676)=0,"Not on Rooms",IF(AND(H676&lt;&gt;"",NOT(ISNUMBER(H676))),"Paid not a number",IF(AND(I676&lt;&gt;"",NOT(ISNUMBER(I676))),"Worth not a number",IF(AND(G676&lt;&gt;"",NOT(ISNUMBER(G676))),"Bought is not a date",IF(AND(L676&lt;&gt;"",NOT(ISNUMBER(L676))),"Warranty is not a date",""))))))))</f>
        <v/>
      </c>
      <c r="S676" s="1">
        <f>IF(AND(C676&lt;&gt;"",R676=""),1,0)</f>
        <v/>
      </c>
      <c r="T676">
        <f>IF(S676=1,N(N676),0)</f>
        <v/>
      </c>
      <c r="U676">
        <f>IF(AND(S676=1,T676&gt;0),ROUND(T676*100,0)*10000+10000-ROW(),"")</f>
        <v/>
      </c>
      <c r="V676">
        <f>IF(AND(S676=1,OR(Report!$C$5="",B676=Report!$C$5)),MATCH(B676,Rooms!$B$6:$B$35,0)*10000+ROW(),"")</f>
        <v/>
      </c>
      <c r="W676">
        <f>IF(AND(S676=1,OR(J676="",J676="No")),1,0)</f>
        <v/>
      </c>
      <c r="X676">
        <f>IF(AND(S676=1,K676=""),1,0)</f>
        <v/>
      </c>
      <c r="Y676">
        <f>IF(AND(S676=1,Q676&lt;&gt;""),ROUND(T676*100,0)*10000+10000-ROW(),"")</f>
        <v/>
      </c>
    </row>
    <row r="677">
      <c r="A677" s="1" t="n"/>
      <c r="B677" s="17" t="n"/>
      <c r="C677" s="18" t="n"/>
      <c r="D677" s="17" t="n"/>
      <c r="E677" s="19" t="n"/>
      <c r="F677" s="19" t="n"/>
      <c r="G677" s="20" t="n"/>
      <c r="H677" s="21" t="n"/>
      <c r="I677" s="21" t="n"/>
      <c r="J677" s="17" t="n"/>
      <c r="K677" s="19" t="n"/>
      <c r="L677" s="20" t="n"/>
      <c r="M677" s="19" t="n"/>
      <c r="N677" s="22">
        <f>IF(C677="","",IF(ISNUMBER(I677),I677,IF(ISNUMBER(H677),H677,"")))</f>
        <v/>
      </c>
      <c r="O677" s="23">
        <f>IF(OR(C677="",NOT(ISNUMBER(G677))),"",(TODAY()-INT(G677))/365.25)</f>
        <v/>
      </c>
      <c r="P677" s="13">
        <f>IF(OR(C677="",NOT(ISNUMBER(L677))),"",IF(L677&lt;TODAY(),"Ended",IF(L677-TODAY()&lt;=N(Settings!$C$10),"Ends soon","Covered")))</f>
        <v/>
      </c>
      <c r="Q677" s="13">
        <f>IF(C677="","",MID(IF(N677="",", value","")&amp;IF(OR(J677="",J677="No"),", receipt","")&amp;IF(K677="",", photo",""),3,100))</f>
        <v/>
      </c>
      <c r="R677" s="13">
        <f>IF(AND(B677="",C677=""),"",IF(C677="","Needs the item",IF(B677="","Needs a room",IF(COUNTIF(Rooms!$B$6:$B$35,B677)=0,"Not on Rooms",IF(AND(H677&lt;&gt;"",NOT(ISNUMBER(H677))),"Paid not a number",IF(AND(I677&lt;&gt;"",NOT(ISNUMBER(I677))),"Worth not a number",IF(AND(G677&lt;&gt;"",NOT(ISNUMBER(G677))),"Bought is not a date",IF(AND(L677&lt;&gt;"",NOT(ISNUMBER(L677))),"Warranty is not a date",""))))))))</f>
        <v/>
      </c>
      <c r="S677" s="1">
        <f>IF(AND(C677&lt;&gt;"",R677=""),1,0)</f>
        <v/>
      </c>
      <c r="T677">
        <f>IF(S677=1,N(N677),0)</f>
        <v/>
      </c>
      <c r="U677">
        <f>IF(AND(S677=1,T677&gt;0),ROUND(T677*100,0)*10000+10000-ROW(),"")</f>
        <v/>
      </c>
      <c r="V677">
        <f>IF(AND(S677=1,OR(Report!$C$5="",B677=Report!$C$5)),MATCH(B677,Rooms!$B$6:$B$35,0)*10000+ROW(),"")</f>
        <v/>
      </c>
      <c r="W677">
        <f>IF(AND(S677=1,OR(J677="",J677="No")),1,0)</f>
        <v/>
      </c>
      <c r="X677">
        <f>IF(AND(S677=1,K677=""),1,0)</f>
        <v/>
      </c>
      <c r="Y677">
        <f>IF(AND(S677=1,Q677&lt;&gt;""),ROUND(T677*100,0)*10000+10000-ROW(),"")</f>
        <v/>
      </c>
    </row>
    <row r="678">
      <c r="A678" s="1" t="n"/>
      <c r="B678" s="17" t="n"/>
      <c r="C678" s="18" t="n"/>
      <c r="D678" s="17" t="n"/>
      <c r="E678" s="19" t="n"/>
      <c r="F678" s="19" t="n"/>
      <c r="G678" s="20" t="n"/>
      <c r="H678" s="21" t="n"/>
      <c r="I678" s="21" t="n"/>
      <c r="J678" s="17" t="n"/>
      <c r="K678" s="19" t="n"/>
      <c r="L678" s="20" t="n"/>
      <c r="M678" s="19" t="n"/>
      <c r="N678" s="22">
        <f>IF(C678="","",IF(ISNUMBER(I678),I678,IF(ISNUMBER(H678),H678,"")))</f>
        <v/>
      </c>
      <c r="O678" s="23">
        <f>IF(OR(C678="",NOT(ISNUMBER(G678))),"",(TODAY()-INT(G678))/365.25)</f>
        <v/>
      </c>
      <c r="P678" s="13">
        <f>IF(OR(C678="",NOT(ISNUMBER(L678))),"",IF(L678&lt;TODAY(),"Ended",IF(L678-TODAY()&lt;=N(Settings!$C$10),"Ends soon","Covered")))</f>
        <v/>
      </c>
      <c r="Q678" s="13">
        <f>IF(C678="","",MID(IF(N678="",", value","")&amp;IF(OR(J678="",J678="No"),", receipt","")&amp;IF(K678="",", photo",""),3,100))</f>
        <v/>
      </c>
      <c r="R678" s="13">
        <f>IF(AND(B678="",C678=""),"",IF(C678="","Needs the item",IF(B678="","Needs a room",IF(COUNTIF(Rooms!$B$6:$B$35,B678)=0,"Not on Rooms",IF(AND(H678&lt;&gt;"",NOT(ISNUMBER(H678))),"Paid not a number",IF(AND(I678&lt;&gt;"",NOT(ISNUMBER(I678))),"Worth not a number",IF(AND(G678&lt;&gt;"",NOT(ISNUMBER(G678))),"Bought is not a date",IF(AND(L678&lt;&gt;"",NOT(ISNUMBER(L678))),"Warranty is not a date",""))))))))</f>
        <v/>
      </c>
      <c r="S678" s="1">
        <f>IF(AND(C678&lt;&gt;"",R678=""),1,0)</f>
        <v/>
      </c>
      <c r="T678">
        <f>IF(S678=1,N(N678),0)</f>
        <v/>
      </c>
      <c r="U678">
        <f>IF(AND(S678=1,T678&gt;0),ROUND(T678*100,0)*10000+10000-ROW(),"")</f>
        <v/>
      </c>
      <c r="V678">
        <f>IF(AND(S678=1,OR(Report!$C$5="",B678=Report!$C$5)),MATCH(B678,Rooms!$B$6:$B$35,0)*10000+ROW(),"")</f>
        <v/>
      </c>
      <c r="W678">
        <f>IF(AND(S678=1,OR(J678="",J678="No")),1,0)</f>
        <v/>
      </c>
      <c r="X678">
        <f>IF(AND(S678=1,K678=""),1,0)</f>
        <v/>
      </c>
      <c r="Y678">
        <f>IF(AND(S678=1,Q678&lt;&gt;""),ROUND(T678*100,0)*10000+10000-ROW(),"")</f>
        <v/>
      </c>
    </row>
    <row r="679">
      <c r="A679" s="1" t="n"/>
      <c r="B679" s="17" t="n"/>
      <c r="C679" s="18" t="n"/>
      <c r="D679" s="17" t="n"/>
      <c r="E679" s="19" t="n"/>
      <c r="F679" s="19" t="n"/>
      <c r="G679" s="20" t="n"/>
      <c r="H679" s="21" t="n"/>
      <c r="I679" s="21" t="n"/>
      <c r="J679" s="17" t="n"/>
      <c r="K679" s="19" t="n"/>
      <c r="L679" s="20" t="n"/>
      <c r="M679" s="19" t="n"/>
      <c r="N679" s="22">
        <f>IF(C679="","",IF(ISNUMBER(I679),I679,IF(ISNUMBER(H679),H679,"")))</f>
        <v/>
      </c>
      <c r="O679" s="23">
        <f>IF(OR(C679="",NOT(ISNUMBER(G679))),"",(TODAY()-INT(G679))/365.25)</f>
        <v/>
      </c>
      <c r="P679" s="13">
        <f>IF(OR(C679="",NOT(ISNUMBER(L679))),"",IF(L679&lt;TODAY(),"Ended",IF(L679-TODAY()&lt;=N(Settings!$C$10),"Ends soon","Covered")))</f>
        <v/>
      </c>
      <c r="Q679" s="13">
        <f>IF(C679="","",MID(IF(N679="",", value","")&amp;IF(OR(J679="",J679="No"),", receipt","")&amp;IF(K679="",", photo",""),3,100))</f>
        <v/>
      </c>
      <c r="R679" s="13">
        <f>IF(AND(B679="",C679=""),"",IF(C679="","Needs the item",IF(B679="","Needs a room",IF(COUNTIF(Rooms!$B$6:$B$35,B679)=0,"Not on Rooms",IF(AND(H679&lt;&gt;"",NOT(ISNUMBER(H679))),"Paid not a number",IF(AND(I679&lt;&gt;"",NOT(ISNUMBER(I679))),"Worth not a number",IF(AND(G679&lt;&gt;"",NOT(ISNUMBER(G679))),"Bought is not a date",IF(AND(L679&lt;&gt;"",NOT(ISNUMBER(L679))),"Warranty is not a date",""))))))))</f>
        <v/>
      </c>
      <c r="S679" s="1">
        <f>IF(AND(C679&lt;&gt;"",R679=""),1,0)</f>
        <v/>
      </c>
      <c r="T679">
        <f>IF(S679=1,N(N679),0)</f>
        <v/>
      </c>
      <c r="U679">
        <f>IF(AND(S679=1,T679&gt;0),ROUND(T679*100,0)*10000+10000-ROW(),"")</f>
        <v/>
      </c>
      <c r="V679">
        <f>IF(AND(S679=1,OR(Report!$C$5="",B679=Report!$C$5)),MATCH(B679,Rooms!$B$6:$B$35,0)*10000+ROW(),"")</f>
        <v/>
      </c>
      <c r="W679">
        <f>IF(AND(S679=1,OR(J679="",J679="No")),1,0)</f>
        <v/>
      </c>
      <c r="X679">
        <f>IF(AND(S679=1,K679=""),1,0)</f>
        <v/>
      </c>
      <c r="Y679">
        <f>IF(AND(S679=1,Q679&lt;&gt;""),ROUND(T679*100,0)*10000+10000-ROW(),"")</f>
        <v/>
      </c>
    </row>
    <row r="680">
      <c r="A680" s="1" t="n"/>
      <c r="B680" s="17" t="n"/>
      <c r="C680" s="18" t="n"/>
      <c r="D680" s="17" t="n"/>
      <c r="E680" s="19" t="n"/>
      <c r="F680" s="19" t="n"/>
      <c r="G680" s="20" t="n"/>
      <c r="H680" s="21" t="n"/>
      <c r="I680" s="21" t="n"/>
      <c r="J680" s="17" t="n"/>
      <c r="K680" s="19" t="n"/>
      <c r="L680" s="20" t="n"/>
      <c r="M680" s="19" t="n"/>
      <c r="N680" s="22">
        <f>IF(C680="","",IF(ISNUMBER(I680),I680,IF(ISNUMBER(H680),H680,"")))</f>
        <v/>
      </c>
      <c r="O680" s="23">
        <f>IF(OR(C680="",NOT(ISNUMBER(G680))),"",(TODAY()-INT(G680))/365.25)</f>
        <v/>
      </c>
      <c r="P680" s="13">
        <f>IF(OR(C680="",NOT(ISNUMBER(L680))),"",IF(L680&lt;TODAY(),"Ended",IF(L680-TODAY()&lt;=N(Settings!$C$10),"Ends soon","Covered")))</f>
        <v/>
      </c>
      <c r="Q680" s="13">
        <f>IF(C680="","",MID(IF(N680="",", value","")&amp;IF(OR(J680="",J680="No"),", receipt","")&amp;IF(K680="",", photo",""),3,100))</f>
        <v/>
      </c>
      <c r="R680" s="13">
        <f>IF(AND(B680="",C680=""),"",IF(C680="","Needs the item",IF(B680="","Needs a room",IF(COUNTIF(Rooms!$B$6:$B$35,B680)=0,"Not on Rooms",IF(AND(H680&lt;&gt;"",NOT(ISNUMBER(H680))),"Paid not a number",IF(AND(I680&lt;&gt;"",NOT(ISNUMBER(I680))),"Worth not a number",IF(AND(G680&lt;&gt;"",NOT(ISNUMBER(G680))),"Bought is not a date",IF(AND(L680&lt;&gt;"",NOT(ISNUMBER(L680))),"Warranty is not a date",""))))))))</f>
        <v/>
      </c>
      <c r="S680" s="1">
        <f>IF(AND(C680&lt;&gt;"",R680=""),1,0)</f>
        <v/>
      </c>
      <c r="T680">
        <f>IF(S680=1,N(N680),0)</f>
        <v/>
      </c>
      <c r="U680">
        <f>IF(AND(S680=1,T680&gt;0),ROUND(T680*100,0)*10000+10000-ROW(),"")</f>
        <v/>
      </c>
      <c r="V680">
        <f>IF(AND(S680=1,OR(Report!$C$5="",B680=Report!$C$5)),MATCH(B680,Rooms!$B$6:$B$35,0)*10000+ROW(),"")</f>
        <v/>
      </c>
      <c r="W680">
        <f>IF(AND(S680=1,OR(J680="",J680="No")),1,0)</f>
        <v/>
      </c>
      <c r="X680">
        <f>IF(AND(S680=1,K680=""),1,0)</f>
        <v/>
      </c>
      <c r="Y680">
        <f>IF(AND(S680=1,Q680&lt;&gt;""),ROUND(T680*100,0)*10000+10000-ROW(),"")</f>
        <v/>
      </c>
    </row>
    <row r="681">
      <c r="A681" s="1" t="n"/>
      <c r="B681" s="17" t="n"/>
      <c r="C681" s="18" t="n"/>
      <c r="D681" s="17" t="n"/>
      <c r="E681" s="19" t="n"/>
      <c r="F681" s="19" t="n"/>
      <c r="G681" s="20" t="n"/>
      <c r="H681" s="21" t="n"/>
      <c r="I681" s="21" t="n"/>
      <c r="J681" s="17" t="n"/>
      <c r="K681" s="19" t="n"/>
      <c r="L681" s="20" t="n"/>
      <c r="M681" s="19" t="n"/>
      <c r="N681" s="22">
        <f>IF(C681="","",IF(ISNUMBER(I681),I681,IF(ISNUMBER(H681),H681,"")))</f>
        <v/>
      </c>
      <c r="O681" s="23">
        <f>IF(OR(C681="",NOT(ISNUMBER(G681))),"",(TODAY()-INT(G681))/365.25)</f>
        <v/>
      </c>
      <c r="P681" s="13">
        <f>IF(OR(C681="",NOT(ISNUMBER(L681))),"",IF(L681&lt;TODAY(),"Ended",IF(L681-TODAY()&lt;=N(Settings!$C$10),"Ends soon","Covered")))</f>
        <v/>
      </c>
      <c r="Q681" s="13">
        <f>IF(C681="","",MID(IF(N681="",", value","")&amp;IF(OR(J681="",J681="No"),", receipt","")&amp;IF(K681="",", photo",""),3,100))</f>
        <v/>
      </c>
      <c r="R681" s="13">
        <f>IF(AND(B681="",C681=""),"",IF(C681="","Needs the item",IF(B681="","Needs a room",IF(COUNTIF(Rooms!$B$6:$B$35,B681)=0,"Not on Rooms",IF(AND(H681&lt;&gt;"",NOT(ISNUMBER(H681))),"Paid not a number",IF(AND(I681&lt;&gt;"",NOT(ISNUMBER(I681))),"Worth not a number",IF(AND(G681&lt;&gt;"",NOT(ISNUMBER(G681))),"Bought is not a date",IF(AND(L681&lt;&gt;"",NOT(ISNUMBER(L681))),"Warranty is not a date",""))))))))</f>
        <v/>
      </c>
      <c r="S681" s="1">
        <f>IF(AND(C681&lt;&gt;"",R681=""),1,0)</f>
        <v/>
      </c>
      <c r="T681">
        <f>IF(S681=1,N(N681),0)</f>
        <v/>
      </c>
      <c r="U681">
        <f>IF(AND(S681=1,T681&gt;0),ROUND(T681*100,0)*10000+10000-ROW(),"")</f>
        <v/>
      </c>
      <c r="V681">
        <f>IF(AND(S681=1,OR(Report!$C$5="",B681=Report!$C$5)),MATCH(B681,Rooms!$B$6:$B$35,0)*10000+ROW(),"")</f>
        <v/>
      </c>
      <c r="W681">
        <f>IF(AND(S681=1,OR(J681="",J681="No")),1,0)</f>
        <v/>
      </c>
      <c r="X681">
        <f>IF(AND(S681=1,K681=""),1,0)</f>
        <v/>
      </c>
      <c r="Y681">
        <f>IF(AND(S681=1,Q681&lt;&gt;""),ROUND(T681*100,0)*10000+10000-ROW(),"")</f>
        <v/>
      </c>
    </row>
    <row r="682">
      <c r="A682" s="1" t="n"/>
      <c r="B682" s="17" t="n"/>
      <c r="C682" s="18" t="n"/>
      <c r="D682" s="17" t="n"/>
      <c r="E682" s="19" t="n"/>
      <c r="F682" s="19" t="n"/>
      <c r="G682" s="20" t="n"/>
      <c r="H682" s="21" t="n"/>
      <c r="I682" s="21" t="n"/>
      <c r="J682" s="17" t="n"/>
      <c r="K682" s="19" t="n"/>
      <c r="L682" s="20" t="n"/>
      <c r="M682" s="19" t="n"/>
      <c r="N682" s="22">
        <f>IF(C682="","",IF(ISNUMBER(I682),I682,IF(ISNUMBER(H682),H682,"")))</f>
        <v/>
      </c>
      <c r="O682" s="23">
        <f>IF(OR(C682="",NOT(ISNUMBER(G682))),"",(TODAY()-INT(G682))/365.25)</f>
        <v/>
      </c>
      <c r="P682" s="13">
        <f>IF(OR(C682="",NOT(ISNUMBER(L682))),"",IF(L682&lt;TODAY(),"Ended",IF(L682-TODAY()&lt;=N(Settings!$C$10),"Ends soon","Covered")))</f>
        <v/>
      </c>
      <c r="Q682" s="13">
        <f>IF(C682="","",MID(IF(N682="",", value","")&amp;IF(OR(J682="",J682="No"),", receipt","")&amp;IF(K682="",", photo",""),3,100))</f>
        <v/>
      </c>
      <c r="R682" s="13">
        <f>IF(AND(B682="",C682=""),"",IF(C682="","Needs the item",IF(B682="","Needs a room",IF(COUNTIF(Rooms!$B$6:$B$35,B682)=0,"Not on Rooms",IF(AND(H682&lt;&gt;"",NOT(ISNUMBER(H682))),"Paid not a number",IF(AND(I682&lt;&gt;"",NOT(ISNUMBER(I682))),"Worth not a number",IF(AND(G682&lt;&gt;"",NOT(ISNUMBER(G682))),"Bought is not a date",IF(AND(L682&lt;&gt;"",NOT(ISNUMBER(L682))),"Warranty is not a date",""))))))))</f>
        <v/>
      </c>
      <c r="S682" s="1">
        <f>IF(AND(C682&lt;&gt;"",R682=""),1,0)</f>
        <v/>
      </c>
      <c r="T682">
        <f>IF(S682=1,N(N682),0)</f>
        <v/>
      </c>
      <c r="U682">
        <f>IF(AND(S682=1,T682&gt;0),ROUND(T682*100,0)*10000+10000-ROW(),"")</f>
        <v/>
      </c>
      <c r="V682">
        <f>IF(AND(S682=1,OR(Report!$C$5="",B682=Report!$C$5)),MATCH(B682,Rooms!$B$6:$B$35,0)*10000+ROW(),"")</f>
        <v/>
      </c>
      <c r="W682">
        <f>IF(AND(S682=1,OR(J682="",J682="No")),1,0)</f>
        <v/>
      </c>
      <c r="X682">
        <f>IF(AND(S682=1,K682=""),1,0)</f>
        <v/>
      </c>
      <c r="Y682">
        <f>IF(AND(S682=1,Q682&lt;&gt;""),ROUND(T682*100,0)*10000+10000-ROW(),"")</f>
        <v/>
      </c>
    </row>
    <row r="683">
      <c r="A683" s="1" t="n"/>
      <c r="B683" s="17" t="n"/>
      <c r="C683" s="18" t="n"/>
      <c r="D683" s="17" t="n"/>
      <c r="E683" s="19" t="n"/>
      <c r="F683" s="19" t="n"/>
      <c r="G683" s="20" t="n"/>
      <c r="H683" s="21" t="n"/>
      <c r="I683" s="21" t="n"/>
      <c r="J683" s="17" t="n"/>
      <c r="K683" s="19" t="n"/>
      <c r="L683" s="20" t="n"/>
      <c r="M683" s="19" t="n"/>
      <c r="N683" s="22">
        <f>IF(C683="","",IF(ISNUMBER(I683),I683,IF(ISNUMBER(H683),H683,"")))</f>
        <v/>
      </c>
      <c r="O683" s="23">
        <f>IF(OR(C683="",NOT(ISNUMBER(G683))),"",(TODAY()-INT(G683))/365.25)</f>
        <v/>
      </c>
      <c r="P683" s="13">
        <f>IF(OR(C683="",NOT(ISNUMBER(L683))),"",IF(L683&lt;TODAY(),"Ended",IF(L683-TODAY()&lt;=N(Settings!$C$10),"Ends soon","Covered")))</f>
        <v/>
      </c>
      <c r="Q683" s="13">
        <f>IF(C683="","",MID(IF(N683="",", value","")&amp;IF(OR(J683="",J683="No"),", receipt","")&amp;IF(K683="",", photo",""),3,100))</f>
        <v/>
      </c>
      <c r="R683" s="13">
        <f>IF(AND(B683="",C683=""),"",IF(C683="","Needs the item",IF(B683="","Needs a room",IF(COUNTIF(Rooms!$B$6:$B$35,B683)=0,"Not on Rooms",IF(AND(H683&lt;&gt;"",NOT(ISNUMBER(H683))),"Paid not a number",IF(AND(I683&lt;&gt;"",NOT(ISNUMBER(I683))),"Worth not a number",IF(AND(G683&lt;&gt;"",NOT(ISNUMBER(G683))),"Bought is not a date",IF(AND(L683&lt;&gt;"",NOT(ISNUMBER(L683))),"Warranty is not a date",""))))))))</f>
        <v/>
      </c>
      <c r="S683" s="1">
        <f>IF(AND(C683&lt;&gt;"",R683=""),1,0)</f>
        <v/>
      </c>
      <c r="T683">
        <f>IF(S683=1,N(N683),0)</f>
        <v/>
      </c>
      <c r="U683">
        <f>IF(AND(S683=1,T683&gt;0),ROUND(T683*100,0)*10000+10000-ROW(),"")</f>
        <v/>
      </c>
      <c r="V683">
        <f>IF(AND(S683=1,OR(Report!$C$5="",B683=Report!$C$5)),MATCH(B683,Rooms!$B$6:$B$35,0)*10000+ROW(),"")</f>
        <v/>
      </c>
      <c r="W683">
        <f>IF(AND(S683=1,OR(J683="",J683="No")),1,0)</f>
        <v/>
      </c>
      <c r="X683">
        <f>IF(AND(S683=1,K683=""),1,0)</f>
        <v/>
      </c>
      <c r="Y683">
        <f>IF(AND(S683=1,Q683&lt;&gt;""),ROUND(T683*100,0)*10000+10000-ROW(),"")</f>
        <v/>
      </c>
    </row>
    <row r="684">
      <c r="A684" s="1" t="n"/>
      <c r="B684" s="17" t="n"/>
      <c r="C684" s="18" t="n"/>
      <c r="D684" s="17" t="n"/>
      <c r="E684" s="19" t="n"/>
      <c r="F684" s="19" t="n"/>
      <c r="G684" s="20" t="n"/>
      <c r="H684" s="21" t="n"/>
      <c r="I684" s="21" t="n"/>
      <c r="J684" s="17" t="n"/>
      <c r="K684" s="19" t="n"/>
      <c r="L684" s="20" t="n"/>
      <c r="M684" s="19" t="n"/>
      <c r="N684" s="22">
        <f>IF(C684="","",IF(ISNUMBER(I684),I684,IF(ISNUMBER(H684),H684,"")))</f>
        <v/>
      </c>
      <c r="O684" s="23">
        <f>IF(OR(C684="",NOT(ISNUMBER(G684))),"",(TODAY()-INT(G684))/365.25)</f>
        <v/>
      </c>
      <c r="P684" s="13">
        <f>IF(OR(C684="",NOT(ISNUMBER(L684))),"",IF(L684&lt;TODAY(),"Ended",IF(L684-TODAY()&lt;=N(Settings!$C$10),"Ends soon","Covered")))</f>
        <v/>
      </c>
      <c r="Q684" s="13">
        <f>IF(C684="","",MID(IF(N684="",", value","")&amp;IF(OR(J684="",J684="No"),", receipt","")&amp;IF(K684="",", photo",""),3,100))</f>
        <v/>
      </c>
      <c r="R684" s="13">
        <f>IF(AND(B684="",C684=""),"",IF(C684="","Needs the item",IF(B684="","Needs a room",IF(COUNTIF(Rooms!$B$6:$B$35,B684)=0,"Not on Rooms",IF(AND(H684&lt;&gt;"",NOT(ISNUMBER(H684))),"Paid not a number",IF(AND(I684&lt;&gt;"",NOT(ISNUMBER(I684))),"Worth not a number",IF(AND(G684&lt;&gt;"",NOT(ISNUMBER(G684))),"Bought is not a date",IF(AND(L684&lt;&gt;"",NOT(ISNUMBER(L684))),"Warranty is not a date",""))))))))</f>
        <v/>
      </c>
      <c r="S684" s="1">
        <f>IF(AND(C684&lt;&gt;"",R684=""),1,0)</f>
        <v/>
      </c>
      <c r="T684">
        <f>IF(S684=1,N(N684),0)</f>
        <v/>
      </c>
      <c r="U684">
        <f>IF(AND(S684=1,T684&gt;0),ROUND(T684*100,0)*10000+10000-ROW(),"")</f>
        <v/>
      </c>
      <c r="V684">
        <f>IF(AND(S684=1,OR(Report!$C$5="",B684=Report!$C$5)),MATCH(B684,Rooms!$B$6:$B$35,0)*10000+ROW(),"")</f>
        <v/>
      </c>
      <c r="W684">
        <f>IF(AND(S684=1,OR(J684="",J684="No")),1,0)</f>
        <v/>
      </c>
      <c r="X684">
        <f>IF(AND(S684=1,K684=""),1,0)</f>
        <v/>
      </c>
      <c r="Y684">
        <f>IF(AND(S684=1,Q684&lt;&gt;""),ROUND(T684*100,0)*10000+10000-ROW(),"")</f>
        <v/>
      </c>
    </row>
    <row r="685">
      <c r="A685" s="1" t="n"/>
      <c r="B685" s="17" t="n"/>
      <c r="C685" s="18" t="n"/>
      <c r="D685" s="17" t="n"/>
      <c r="E685" s="19" t="n"/>
      <c r="F685" s="19" t="n"/>
      <c r="G685" s="20" t="n"/>
      <c r="H685" s="21" t="n"/>
      <c r="I685" s="21" t="n"/>
      <c r="J685" s="17" t="n"/>
      <c r="K685" s="19" t="n"/>
      <c r="L685" s="20" t="n"/>
      <c r="M685" s="19" t="n"/>
      <c r="N685" s="22">
        <f>IF(C685="","",IF(ISNUMBER(I685),I685,IF(ISNUMBER(H685),H685,"")))</f>
        <v/>
      </c>
      <c r="O685" s="23">
        <f>IF(OR(C685="",NOT(ISNUMBER(G685))),"",(TODAY()-INT(G685))/365.25)</f>
        <v/>
      </c>
      <c r="P685" s="13">
        <f>IF(OR(C685="",NOT(ISNUMBER(L685))),"",IF(L685&lt;TODAY(),"Ended",IF(L685-TODAY()&lt;=N(Settings!$C$10),"Ends soon","Covered")))</f>
        <v/>
      </c>
      <c r="Q685" s="13">
        <f>IF(C685="","",MID(IF(N685="",", value","")&amp;IF(OR(J685="",J685="No"),", receipt","")&amp;IF(K685="",", photo",""),3,100))</f>
        <v/>
      </c>
      <c r="R685" s="13">
        <f>IF(AND(B685="",C685=""),"",IF(C685="","Needs the item",IF(B685="","Needs a room",IF(COUNTIF(Rooms!$B$6:$B$35,B685)=0,"Not on Rooms",IF(AND(H685&lt;&gt;"",NOT(ISNUMBER(H685))),"Paid not a number",IF(AND(I685&lt;&gt;"",NOT(ISNUMBER(I685))),"Worth not a number",IF(AND(G685&lt;&gt;"",NOT(ISNUMBER(G685))),"Bought is not a date",IF(AND(L685&lt;&gt;"",NOT(ISNUMBER(L685))),"Warranty is not a date",""))))))))</f>
        <v/>
      </c>
      <c r="S685" s="1">
        <f>IF(AND(C685&lt;&gt;"",R685=""),1,0)</f>
        <v/>
      </c>
      <c r="T685">
        <f>IF(S685=1,N(N685),0)</f>
        <v/>
      </c>
      <c r="U685">
        <f>IF(AND(S685=1,T685&gt;0),ROUND(T685*100,0)*10000+10000-ROW(),"")</f>
        <v/>
      </c>
      <c r="V685">
        <f>IF(AND(S685=1,OR(Report!$C$5="",B685=Report!$C$5)),MATCH(B685,Rooms!$B$6:$B$35,0)*10000+ROW(),"")</f>
        <v/>
      </c>
      <c r="W685">
        <f>IF(AND(S685=1,OR(J685="",J685="No")),1,0)</f>
        <v/>
      </c>
      <c r="X685">
        <f>IF(AND(S685=1,K685=""),1,0)</f>
        <v/>
      </c>
      <c r="Y685">
        <f>IF(AND(S685=1,Q685&lt;&gt;""),ROUND(T685*100,0)*10000+10000-ROW(),"")</f>
        <v/>
      </c>
    </row>
    <row r="686">
      <c r="A686" s="1" t="n"/>
      <c r="B686" s="17" t="n"/>
      <c r="C686" s="18" t="n"/>
      <c r="D686" s="17" t="n"/>
      <c r="E686" s="19" t="n"/>
      <c r="F686" s="19" t="n"/>
      <c r="G686" s="20" t="n"/>
      <c r="H686" s="21" t="n"/>
      <c r="I686" s="21" t="n"/>
      <c r="J686" s="17" t="n"/>
      <c r="K686" s="19" t="n"/>
      <c r="L686" s="20" t="n"/>
      <c r="M686" s="19" t="n"/>
      <c r="N686" s="22">
        <f>IF(C686="","",IF(ISNUMBER(I686),I686,IF(ISNUMBER(H686),H686,"")))</f>
        <v/>
      </c>
      <c r="O686" s="23">
        <f>IF(OR(C686="",NOT(ISNUMBER(G686))),"",(TODAY()-INT(G686))/365.25)</f>
        <v/>
      </c>
      <c r="P686" s="13">
        <f>IF(OR(C686="",NOT(ISNUMBER(L686))),"",IF(L686&lt;TODAY(),"Ended",IF(L686-TODAY()&lt;=N(Settings!$C$10),"Ends soon","Covered")))</f>
        <v/>
      </c>
      <c r="Q686" s="13">
        <f>IF(C686="","",MID(IF(N686="",", value","")&amp;IF(OR(J686="",J686="No"),", receipt","")&amp;IF(K686="",", photo",""),3,100))</f>
        <v/>
      </c>
      <c r="R686" s="13">
        <f>IF(AND(B686="",C686=""),"",IF(C686="","Needs the item",IF(B686="","Needs a room",IF(COUNTIF(Rooms!$B$6:$B$35,B686)=0,"Not on Rooms",IF(AND(H686&lt;&gt;"",NOT(ISNUMBER(H686))),"Paid not a number",IF(AND(I686&lt;&gt;"",NOT(ISNUMBER(I686))),"Worth not a number",IF(AND(G686&lt;&gt;"",NOT(ISNUMBER(G686))),"Bought is not a date",IF(AND(L686&lt;&gt;"",NOT(ISNUMBER(L686))),"Warranty is not a date",""))))))))</f>
        <v/>
      </c>
      <c r="S686" s="1">
        <f>IF(AND(C686&lt;&gt;"",R686=""),1,0)</f>
        <v/>
      </c>
      <c r="T686">
        <f>IF(S686=1,N(N686),0)</f>
        <v/>
      </c>
      <c r="U686">
        <f>IF(AND(S686=1,T686&gt;0),ROUND(T686*100,0)*10000+10000-ROW(),"")</f>
        <v/>
      </c>
      <c r="V686">
        <f>IF(AND(S686=1,OR(Report!$C$5="",B686=Report!$C$5)),MATCH(B686,Rooms!$B$6:$B$35,0)*10000+ROW(),"")</f>
        <v/>
      </c>
      <c r="W686">
        <f>IF(AND(S686=1,OR(J686="",J686="No")),1,0)</f>
        <v/>
      </c>
      <c r="X686">
        <f>IF(AND(S686=1,K686=""),1,0)</f>
        <v/>
      </c>
      <c r="Y686">
        <f>IF(AND(S686=1,Q686&lt;&gt;""),ROUND(T686*100,0)*10000+10000-ROW(),"")</f>
        <v/>
      </c>
    </row>
    <row r="687">
      <c r="A687" s="1" t="n"/>
      <c r="B687" s="17" t="n"/>
      <c r="C687" s="18" t="n"/>
      <c r="D687" s="17" t="n"/>
      <c r="E687" s="19" t="n"/>
      <c r="F687" s="19" t="n"/>
      <c r="G687" s="20" t="n"/>
      <c r="H687" s="21" t="n"/>
      <c r="I687" s="21" t="n"/>
      <c r="J687" s="17" t="n"/>
      <c r="K687" s="19" t="n"/>
      <c r="L687" s="20" t="n"/>
      <c r="M687" s="19" t="n"/>
      <c r="N687" s="22">
        <f>IF(C687="","",IF(ISNUMBER(I687),I687,IF(ISNUMBER(H687),H687,"")))</f>
        <v/>
      </c>
      <c r="O687" s="23">
        <f>IF(OR(C687="",NOT(ISNUMBER(G687))),"",(TODAY()-INT(G687))/365.25)</f>
        <v/>
      </c>
      <c r="P687" s="13">
        <f>IF(OR(C687="",NOT(ISNUMBER(L687))),"",IF(L687&lt;TODAY(),"Ended",IF(L687-TODAY()&lt;=N(Settings!$C$10),"Ends soon","Covered")))</f>
        <v/>
      </c>
      <c r="Q687" s="13">
        <f>IF(C687="","",MID(IF(N687="",", value","")&amp;IF(OR(J687="",J687="No"),", receipt","")&amp;IF(K687="",", photo",""),3,100))</f>
        <v/>
      </c>
      <c r="R687" s="13">
        <f>IF(AND(B687="",C687=""),"",IF(C687="","Needs the item",IF(B687="","Needs a room",IF(COUNTIF(Rooms!$B$6:$B$35,B687)=0,"Not on Rooms",IF(AND(H687&lt;&gt;"",NOT(ISNUMBER(H687))),"Paid not a number",IF(AND(I687&lt;&gt;"",NOT(ISNUMBER(I687))),"Worth not a number",IF(AND(G687&lt;&gt;"",NOT(ISNUMBER(G687))),"Bought is not a date",IF(AND(L687&lt;&gt;"",NOT(ISNUMBER(L687))),"Warranty is not a date",""))))))))</f>
        <v/>
      </c>
      <c r="S687" s="1">
        <f>IF(AND(C687&lt;&gt;"",R687=""),1,0)</f>
        <v/>
      </c>
      <c r="T687">
        <f>IF(S687=1,N(N687),0)</f>
        <v/>
      </c>
      <c r="U687">
        <f>IF(AND(S687=1,T687&gt;0),ROUND(T687*100,0)*10000+10000-ROW(),"")</f>
        <v/>
      </c>
      <c r="V687">
        <f>IF(AND(S687=1,OR(Report!$C$5="",B687=Report!$C$5)),MATCH(B687,Rooms!$B$6:$B$35,0)*10000+ROW(),"")</f>
        <v/>
      </c>
      <c r="W687">
        <f>IF(AND(S687=1,OR(J687="",J687="No")),1,0)</f>
        <v/>
      </c>
      <c r="X687">
        <f>IF(AND(S687=1,K687=""),1,0)</f>
        <v/>
      </c>
      <c r="Y687">
        <f>IF(AND(S687=1,Q687&lt;&gt;""),ROUND(T687*100,0)*10000+10000-ROW(),"")</f>
        <v/>
      </c>
    </row>
    <row r="688">
      <c r="A688" s="1" t="n"/>
      <c r="B688" s="17" t="n"/>
      <c r="C688" s="18" t="n"/>
      <c r="D688" s="17" t="n"/>
      <c r="E688" s="19" t="n"/>
      <c r="F688" s="19" t="n"/>
      <c r="G688" s="20" t="n"/>
      <c r="H688" s="21" t="n"/>
      <c r="I688" s="21" t="n"/>
      <c r="J688" s="17" t="n"/>
      <c r="K688" s="19" t="n"/>
      <c r="L688" s="20" t="n"/>
      <c r="M688" s="19" t="n"/>
      <c r="N688" s="22">
        <f>IF(C688="","",IF(ISNUMBER(I688),I688,IF(ISNUMBER(H688),H688,"")))</f>
        <v/>
      </c>
      <c r="O688" s="23">
        <f>IF(OR(C688="",NOT(ISNUMBER(G688))),"",(TODAY()-INT(G688))/365.25)</f>
        <v/>
      </c>
      <c r="P688" s="13">
        <f>IF(OR(C688="",NOT(ISNUMBER(L688))),"",IF(L688&lt;TODAY(),"Ended",IF(L688-TODAY()&lt;=N(Settings!$C$10),"Ends soon","Covered")))</f>
        <v/>
      </c>
      <c r="Q688" s="13">
        <f>IF(C688="","",MID(IF(N688="",", value","")&amp;IF(OR(J688="",J688="No"),", receipt","")&amp;IF(K688="",", photo",""),3,100))</f>
        <v/>
      </c>
      <c r="R688" s="13">
        <f>IF(AND(B688="",C688=""),"",IF(C688="","Needs the item",IF(B688="","Needs a room",IF(COUNTIF(Rooms!$B$6:$B$35,B688)=0,"Not on Rooms",IF(AND(H688&lt;&gt;"",NOT(ISNUMBER(H688))),"Paid not a number",IF(AND(I688&lt;&gt;"",NOT(ISNUMBER(I688))),"Worth not a number",IF(AND(G688&lt;&gt;"",NOT(ISNUMBER(G688))),"Bought is not a date",IF(AND(L688&lt;&gt;"",NOT(ISNUMBER(L688))),"Warranty is not a date",""))))))))</f>
        <v/>
      </c>
      <c r="S688" s="1">
        <f>IF(AND(C688&lt;&gt;"",R688=""),1,0)</f>
        <v/>
      </c>
      <c r="T688">
        <f>IF(S688=1,N(N688),0)</f>
        <v/>
      </c>
      <c r="U688">
        <f>IF(AND(S688=1,T688&gt;0),ROUND(T688*100,0)*10000+10000-ROW(),"")</f>
        <v/>
      </c>
      <c r="V688">
        <f>IF(AND(S688=1,OR(Report!$C$5="",B688=Report!$C$5)),MATCH(B688,Rooms!$B$6:$B$35,0)*10000+ROW(),"")</f>
        <v/>
      </c>
      <c r="W688">
        <f>IF(AND(S688=1,OR(J688="",J688="No")),1,0)</f>
        <v/>
      </c>
      <c r="X688">
        <f>IF(AND(S688=1,K688=""),1,0)</f>
        <v/>
      </c>
      <c r="Y688">
        <f>IF(AND(S688=1,Q688&lt;&gt;""),ROUND(T688*100,0)*10000+10000-ROW(),"")</f>
        <v/>
      </c>
    </row>
    <row r="689">
      <c r="A689" s="1" t="n"/>
      <c r="B689" s="17" t="n"/>
      <c r="C689" s="18" t="n"/>
      <c r="D689" s="17" t="n"/>
      <c r="E689" s="19" t="n"/>
      <c r="F689" s="19" t="n"/>
      <c r="G689" s="20" t="n"/>
      <c r="H689" s="21" t="n"/>
      <c r="I689" s="21" t="n"/>
      <c r="J689" s="17" t="n"/>
      <c r="K689" s="19" t="n"/>
      <c r="L689" s="20" t="n"/>
      <c r="M689" s="19" t="n"/>
      <c r="N689" s="22">
        <f>IF(C689="","",IF(ISNUMBER(I689),I689,IF(ISNUMBER(H689),H689,"")))</f>
        <v/>
      </c>
      <c r="O689" s="23">
        <f>IF(OR(C689="",NOT(ISNUMBER(G689))),"",(TODAY()-INT(G689))/365.25)</f>
        <v/>
      </c>
      <c r="P689" s="13">
        <f>IF(OR(C689="",NOT(ISNUMBER(L689))),"",IF(L689&lt;TODAY(),"Ended",IF(L689-TODAY()&lt;=N(Settings!$C$10),"Ends soon","Covered")))</f>
        <v/>
      </c>
      <c r="Q689" s="13">
        <f>IF(C689="","",MID(IF(N689="",", value","")&amp;IF(OR(J689="",J689="No"),", receipt","")&amp;IF(K689="",", photo",""),3,100))</f>
        <v/>
      </c>
      <c r="R689" s="13">
        <f>IF(AND(B689="",C689=""),"",IF(C689="","Needs the item",IF(B689="","Needs a room",IF(COUNTIF(Rooms!$B$6:$B$35,B689)=0,"Not on Rooms",IF(AND(H689&lt;&gt;"",NOT(ISNUMBER(H689))),"Paid not a number",IF(AND(I689&lt;&gt;"",NOT(ISNUMBER(I689))),"Worth not a number",IF(AND(G689&lt;&gt;"",NOT(ISNUMBER(G689))),"Bought is not a date",IF(AND(L689&lt;&gt;"",NOT(ISNUMBER(L689))),"Warranty is not a date",""))))))))</f>
        <v/>
      </c>
      <c r="S689" s="1">
        <f>IF(AND(C689&lt;&gt;"",R689=""),1,0)</f>
        <v/>
      </c>
      <c r="T689">
        <f>IF(S689=1,N(N689),0)</f>
        <v/>
      </c>
      <c r="U689">
        <f>IF(AND(S689=1,T689&gt;0),ROUND(T689*100,0)*10000+10000-ROW(),"")</f>
        <v/>
      </c>
      <c r="V689">
        <f>IF(AND(S689=1,OR(Report!$C$5="",B689=Report!$C$5)),MATCH(B689,Rooms!$B$6:$B$35,0)*10000+ROW(),"")</f>
        <v/>
      </c>
      <c r="W689">
        <f>IF(AND(S689=1,OR(J689="",J689="No")),1,0)</f>
        <v/>
      </c>
      <c r="X689">
        <f>IF(AND(S689=1,K689=""),1,0)</f>
        <v/>
      </c>
      <c r="Y689">
        <f>IF(AND(S689=1,Q689&lt;&gt;""),ROUND(T689*100,0)*10000+10000-ROW(),"")</f>
        <v/>
      </c>
    </row>
    <row r="690">
      <c r="A690" s="1" t="n"/>
      <c r="B690" s="17" t="n"/>
      <c r="C690" s="18" t="n"/>
      <c r="D690" s="17" t="n"/>
      <c r="E690" s="19" t="n"/>
      <c r="F690" s="19" t="n"/>
      <c r="G690" s="20" t="n"/>
      <c r="H690" s="21" t="n"/>
      <c r="I690" s="21" t="n"/>
      <c r="J690" s="17" t="n"/>
      <c r="K690" s="19" t="n"/>
      <c r="L690" s="20" t="n"/>
      <c r="M690" s="19" t="n"/>
      <c r="N690" s="22">
        <f>IF(C690="","",IF(ISNUMBER(I690),I690,IF(ISNUMBER(H690),H690,"")))</f>
        <v/>
      </c>
      <c r="O690" s="23">
        <f>IF(OR(C690="",NOT(ISNUMBER(G690))),"",(TODAY()-INT(G690))/365.25)</f>
        <v/>
      </c>
      <c r="P690" s="13">
        <f>IF(OR(C690="",NOT(ISNUMBER(L690))),"",IF(L690&lt;TODAY(),"Ended",IF(L690-TODAY()&lt;=N(Settings!$C$10),"Ends soon","Covered")))</f>
        <v/>
      </c>
      <c r="Q690" s="13">
        <f>IF(C690="","",MID(IF(N690="",", value","")&amp;IF(OR(J690="",J690="No"),", receipt","")&amp;IF(K690="",", photo",""),3,100))</f>
        <v/>
      </c>
      <c r="R690" s="13">
        <f>IF(AND(B690="",C690=""),"",IF(C690="","Needs the item",IF(B690="","Needs a room",IF(COUNTIF(Rooms!$B$6:$B$35,B690)=0,"Not on Rooms",IF(AND(H690&lt;&gt;"",NOT(ISNUMBER(H690))),"Paid not a number",IF(AND(I690&lt;&gt;"",NOT(ISNUMBER(I690))),"Worth not a number",IF(AND(G690&lt;&gt;"",NOT(ISNUMBER(G690))),"Bought is not a date",IF(AND(L690&lt;&gt;"",NOT(ISNUMBER(L690))),"Warranty is not a date",""))))))))</f>
        <v/>
      </c>
      <c r="S690" s="1">
        <f>IF(AND(C690&lt;&gt;"",R690=""),1,0)</f>
        <v/>
      </c>
      <c r="T690">
        <f>IF(S690=1,N(N690),0)</f>
        <v/>
      </c>
      <c r="U690">
        <f>IF(AND(S690=1,T690&gt;0),ROUND(T690*100,0)*10000+10000-ROW(),"")</f>
        <v/>
      </c>
      <c r="V690">
        <f>IF(AND(S690=1,OR(Report!$C$5="",B690=Report!$C$5)),MATCH(B690,Rooms!$B$6:$B$35,0)*10000+ROW(),"")</f>
        <v/>
      </c>
      <c r="W690">
        <f>IF(AND(S690=1,OR(J690="",J690="No")),1,0)</f>
        <v/>
      </c>
      <c r="X690">
        <f>IF(AND(S690=1,K690=""),1,0)</f>
        <v/>
      </c>
      <c r="Y690">
        <f>IF(AND(S690=1,Q690&lt;&gt;""),ROUND(T690*100,0)*10000+10000-ROW(),"")</f>
        <v/>
      </c>
    </row>
    <row r="691">
      <c r="A691" s="1" t="n"/>
      <c r="B691" s="17" t="n"/>
      <c r="C691" s="18" t="n"/>
      <c r="D691" s="17" t="n"/>
      <c r="E691" s="19" t="n"/>
      <c r="F691" s="19" t="n"/>
      <c r="G691" s="20" t="n"/>
      <c r="H691" s="21" t="n"/>
      <c r="I691" s="21" t="n"/>
      <c r="J691" s="17" t="n"/>
      <c r="K691" s="19" t="n"/>
      <c r="L691" s="20" t="n"/>
      <c r="M691" s="19" t="n"/>
      <c r="N691" s="22">
        <f>IF(C691="","",IF(ISNUMBER(I691),I691,IF(ISNUMBER(H691),H691,"")))</f>
        <v/>
      </c>
      <c r="O691" s="23">
        <f>IF(OR(C691="",NOT(ISNUMBER(G691))),"",(TODAY()-INT(G691))/365.25)</f>
        <v/>
      </c>
      <c r="P691" s="13">
        <f>IF(OR(C691="",NOT(ISNUMBER(L691))),"",IF(L691&lt;TODAY(),"Ended",IF(L691-TODAY()&lt;=N(Settings!$C$10),"Ends soon","Covered")))</f>
        <v/>
      </c>
      <c r="Q691" s="13">
        <f>IF(C691="","",MID(IF(N691="",", value","")&amp;IF(OR(J691="",J691="No"),", receipt","")&amp;IF(K691="",", photo",""),3,100))</f>
        <v/>
      </c>
      <c r="R691" s="13">
        <f>IF(AND(B691="",C691=""),"",IF(C691="","Needs the item",IF(B691="","Needs a room",IF(COUNTIF(Rooms!$B$6:$B$35,B691)=0,"Not on Rooms",IF(AND(H691&lt;&gt;"",NOT(ISNUMBER(H691))),"Paid not a number",IF(AND(I691&lt;&gt;"",NOT(ISNUMBER(I691))),"Worth not a number",IF(AND(G691&lt;&gt;"",NOT(ISNUMBER(G691))),"Bought is not a date",IF(AND(L691&lt;&gt;"",NOT(ISNUMBER(L691))),"Warranty is not a date",""))))))))</f>
        <v/>
      </c>
      <c r="S691" s="1">
        <f>IF(AND(C691&lt;&gt;"",R691=""),1,0)</f>
        <v/>
      </c>
      <c r="T691">
        <f>IF(S691=1,N(N691),0)</f>
        <v/>
      </c>
      <c r="U691">
        <f>IF(AND(S691=1,T691&gt;0),ROUND(T691*100,0)*10000+10000-ROW(),"")</f>
        <v/>
      </c>
      <c r="V691">
        <f>IF(AND(S691=1,OR(Report!$C$5="",B691=Report!$C$5)),MATCH(B691,Rooms!$B$6:$B$35,0)*10000+ROW(),"")</f>
        <v/>
      </c>
      <c r="W691">
        <f>IF(AND(S691=1,OR(J691="",J691="No")),1,0)</f>
        <v/>
      </c>
      <c r="X691">
        <f>IF(AND(S691=1,K691=""),1,0)</f>
        <v/>
      </c>
      <c r="Y691">
        <f>IF(AND(S691=1,Q691&lt;&gt;""),ROUND(T691*100,0)*10000+10000-ROW(),"")</f>
        <v/>
      </c>
    </row>
    <row r="692">
      <c r="A692" s="1" t="n"/>
      <c r="B692" s="17" t="n"/>
      <c r="C692" s="18" t="n"/>
      <c r="D692" s="17" t="n"/>
      <c r="E692" s="19" t="n"/>
      <c r="F692" s="19" t="n"/>
      <c r="G692" s="20" t="n"/>
      <c r="H692" s="21" t="n"/>
      <c r="I692" s="21" t="n"/>
      <c r="J692" s="17" t="n"/>
      <c r="K692" s="19" t="n"/>
      <c r="L692" s="20" t="n"/>
      <c r="M692" s="19" t="n"/>
      <c r="N692" s="22">
        <f>IF(C692="","",IF(ISNUMBER(I692),I692,IF(ISNUMBER(H692),H692,"")))</f>
        <v/>
      </c>
      <c r="O692" s="23">
        <f>IF(OR(C692="",NOT(ISNUMBER(G692))),"",(TODAY()-INT(G692))/365.25)</f>
        <v/>
      </c>
      <c r="P692" s="13">
        <f>IF(OR(C692="",NOT(ISNUMBER(L692))),"",IF(L692&lt;TODAY(),"Ended",IF(L692-TODAY()&lt;=N(Settings!$C$10),"Ends soon","Covered")))</f>
        <v/>
      </c>
      <c r="Q692" s="13">
        <f>IF(C692="","",MID(IF(N692="",", value","")&amp;IF(OR(J692="",J692="No"),", receipt","")&amp;IF(K692="",", photo",""),3,100))</f>
        <v/>
      </c>
      <c r="R692" s="13">
        <f>IF(AND(B692="",C692=""),"",IF(C692="","Needs the item",IF(B692="","Needs a room",IF(COUNTIF(Rooms!$B$6:$B$35,B692)=0,"Not on Rooms",IF(AND(H692&lt;&gt;"",NOT(ISNUMBER(H692))),"Paid not a number",IF(AND(I692&lt;&gt;"",NOT(ISNUMBER(I692))),"Worth not a number",IF(AND(G692&lt;&gt;"",NOT(ISNUMBER(G692))),"Bought is not a date",IF(AND(L692&lt;&gt;"",NOT(ISNUMBER(L692))),"Warranty is not a date",""))))))))</f>
        <v/>
      </c>
      <c r="S692" s="1">
        <f>IF(AND(C692&lt;&gt;"",R692=""),1,0)</f>
        <v/>
      </c>
      <c r="T692">
        <f>IF(S692=1,N(N692),0)</f>
        <v/>
      </c>
      <c r="U692">
        <f>IF(AND(S692=1,T692&gt;0),ROUND(T692*100,0)*10000+10000-ROW(),"")</f>
        <v/>
      </c>
      <c r="V692">
        <f>IF(AND(S692=1,OR(Report!$C$5="",B692=Report!$C$5)),MATCH(B692,Rooms!$B$6:$B$35,0)*10000+ROW(),"")</f>
        <v/>
      </c>
      <c r="W692">
        <f>IF(AND(S692=1,OR(J692="",J692="No")),1,0)</f>
        <v/>
      </c>
      <c r="X692">
        <f>IF(AND(S692=1,K692=""),1,0)</f>
        <v/>
      </c>
      <c r="Y692">
        <f>IF(AND(S692=1,Q692&lt;&gt;""),ROUND(T692*100,0)*10000+10000-ROW(),"")</f>
        <v/>
      </c>
    </row>
    <row r="693">
      <c r="A693" s="1" t="n"/>
      <c r="B693" s="17" t="n"/>
      <c r="C693" s="18" t="n"/>
      <c r="D693" s="17" t="n"/>
      <c r="E693" s="19" t="n"/>
      <c r="F693" s="19" t="n"/>
      <c r="G693" s="20" t="n"/>
      <c r="H693" s="21" t="n"/>
      <c r="I693" s="21" t="n"/>
      <c r="J693" s="17" t="n"/>
      <c r="K693" s="19" t="n"/>
      <c r="L693" s="20" t="n"/>
      <c r="M693" s="19" t="n"/>
      <c r="N693" s="22">
        <f>IF(C693="","",IF(ISNUMBER(I693),I693,IF(ISNUMBER(H693),H693,"")))</f>
        <v/>
      </c>
      <c r="O693" s="23">
        <f>IF(OR(C693="",NOT(ISNUMBER(G693))),"",(TODAY()-INT(G693))/365.25)</f>
        <v/>
      </c>
      <c r="P693" s="13">
        <f>IF(OR(C693="",NOT(ISNUMBER(L693))),"",IF(L693&lt;TODAY(),"Ended",IF(L693-TODAY()&lt;=N(Settings!$C$10),"Ends soon","Covered")))</f>
        <v/>
      </c>
      <c r="Q693" s="13">
        <f>IF(C693="","",MID(IF(N693="",", value","")&amp;IF(OR(J693="",J693="No"),", receipt","")&amp;IF(K693="",", photo",""),3,100))</f>
        <v/>
      </c>
      <c r="R693" s="13">
        <f>IF(AND(B693="",C693=""),"",IF(C693="","Needs the item",IF(B693="","Needs a room",IF(COUNTIF(Rooms!$B$6:$B$35,B693)=0,"Not on Rooms",IF(AND(H693&lt;&gt;"",NOT(ISNUMBER(H693))),"Paid not a number",IF(AND(I693&lt;&gt;"",NOT(ISNUMBER(I693))),"Worth not a number",IF(AND(G693&lt;&gt;"",NOT(ISNUMBER(G693))),"Bought is not a date",IF(AND(L693&lt;&gt;"",NOT(ISNUMBER(L693))),"Warranty is not a date",""))))))))</f>
        <v/>
      </c>
      <c r="S693" s="1">
        <f>IF(AND(C693&lt;&gt;"",R693=""),1,0)</f>
        <v/>
      </c>
      <c r="T693">
        <f>IF(S693=1,N(N693),0)</f>
        <v/>
      </c>
      <c r="U693">
        <f>IF(AND(S693=1,T693&gt;0),ROUND(T693*100,0)*10000+10000-ROW(),"")</f>
        <v/>
      </c>
      <c r="V693">
        <f>IF(AND(S693=1,OR(Report!$C$5="",B693=Report!$C$5)),MATCH(B693,Rooms!$B$6:$B$35,0)*10000+ROW(),"")</f>
        <v/>
      </c>
      <c r="W693">
        <f>IF(AND(S693=1,OR(J693="",J693="No")),1,0)</f>
        <v/>
      </c>
      <c r="X693">
        <f>IF(AND(S693=1,K693=""),1,0)</f>
        <v/>
      </c>
      <c r="Y693">
        <f>IF(AND(S693=1,Q693&lt;&gt;""),ROUND(T693*100,0)*10000+10000-ROW(),"")</f>
        <v/>
      </c>
    </row>
    <row r="694">
      <c r="A694" s="1" t="n"/>
      <c r="B694" s="17" t="n"/>
      <c r="C694" s="18" t="n"/>
      <c r="D694" s="17" t="n"/>
      <c r="E694" s="19" t="n"/>
      <c r="F694" s="19" t="n"/>
      <c r="G694" s="20" t="n"/>
      <c r="H694" s="21" t="n"/>
      <c r="I694" s="21" t="n"/>
      <c r="J694" s="17" t="n"/>
      <c r="K694" s="19" t="n"/>
      <c r="L694" s="20" t="n"/>
      <c r="M694" s="19" t="n"/>
      <c r="N694" s="22">
        <f>IF(C694="","",IF(ISNUMBER(I694),I694,IF(ISNUMBER(H694),H694,"")))</f>
        <v/>
      </c>
      <c r="O694" s="23">
        <f>IF(OR(C694="",NOT(ISNUMBER(G694))),"",(TODAY()-INT(G694))/365.25)</f>
        <v/>
      </c>
      <c r="P694" s="13">
        <f>IF(OR(C694="",NOT(ISNUMBER(L694))),"",IF(L694&lt;TODAY(),"Ended",IF(L694-TODAY()&lt;=N(Settings!$C$10),"Ends soon","Covered")))</f>
        <v/>
      </c>
      <c r="Q694" s="13">
        <f>IF(C694="","",MID(IF(N694="",", value","")&amp;IF(OR(J694="",J694="No"),", receipt","")&amp;IF(K694="",", photo",""),3,100))</f>
        <v/>
      </c>
      <c r="R694" s="13">
        <f>IF(AND(B694="",C694=""),"",IF(C694="","Needs the item",IF(B694="","Needs a room",IF(COUNTIF(Rooms!$B$6:$B$35,B694)=0,"Not on Rooms",IF(AND(H694&lt;&gt;"",NOT(ISNUMBER(H694))),"Paid not a number",IF(AND(I694&lt;&gt;"",NOT(ISNUMBER(I694))),"Worth not a number",IF(AND(G694&lt;&gt;"",NOT(ISNUMBER(G694))),"Bought is not a date",IF(AND(L694&lt;&gt;"",NOT(ISNUMBER(L694))),"Warranty is not a date",""))))))))</f>
        <v/>
      </c>
      <c r="S694" s="1">
        <f>IF(AND(C694&lt;&gt;"",R694=""),1,0)</f>
        <v/>
      </c>
      <c r="T694">
        <f>IF(S694=1,N(N694),0)</f>
        <v/>
      </c>
      <c r="U694">
        <f>IF(AND(S694=1,T694&gt;0),ROUND(T694*100,0)*10000+10000-ROW(),"")</f>
        <v/>
      </c>
      <c r="V694">
        <f>IF(AND(S694=1,OR(Report!$C$5="",B694=Report!$C$5)),MATCH(B694,Rooms!$B$6:$B$35,0)*10000+ROW(),"")</f>
        <v/>
      </c>
      <c r="W694">
        <f>IF(AND(S694=1,OR(J694="",J694="No")),1,0)</f>
        <v/>
      </c>
      <c r="X694">
        <f>IF(AND(S694=1,K694=""),1,0)</f>
        <v/>
      </c>
      <c r="Y694">
        <f>IF(AND(S694=1,Q694&lt;&gt;""),ROUND(T694*100,0)*10000+10000-ROW(),"")</f>
        <v/>
      </c>
    </row>
    <row r="695">
      <c r="A695" s="1" t="n"/>
      <c r="B695" s="17" t="n"/>
      <c r="C695" s="18" t="n"/>
      <c r="D695" s="17" t="n"/>
      <c r="E695" s="19" t="n"/>
      <c r="F695" s="19" t="n"/>
      <c r="G695" s="20" t="n"/>
      <c r="H695" s="21" t="n"/>
      <c r="I695" s="21" t="n"/>
      <c r="J695" s="17" t="n"/>
      <c r="K695" s="19" t="n"/>
      <c r="L695" s="20" t="n"/>
      <c r="M695" s="19" t="n"/>
      <c r="N695" s="22">
        <f>IF(C695="","",IF(ISNUMBER(I695),I695,IF(ISNUMBER(H695),H695,"")))</f>
        <v/>
      </c>
      <c r="O695" s="23">
        <f>IF(OR(C695="",NOT(ISNUMBER(G695))),"",(TODAY()-INT(G695))/365.25)</f>
        <v/>
      </c>
      <c r="P695" s="13">
        <f>IF(OR(C695="",NOT(ISNUMBER(L695))),"",IF(L695&lt;TODAY(),"Ended",IF(L695-TODAY()&lt;=N(Settings!$C$10),"Ends soon","Covered")))</f>
        <v/>
      </c>
      <c r="Q695" s="13">
        <f>IF(C695="","",MID(IF(N695="",", value","")&amp;IF(OR(J695="",J695="No"),", receipt","")&amp;IF(K695="",", photo",""),3,100))</f>
        <v/>
      </c>
      <c r="R695" s="13">
        <f>IF(AND(B695="",C695=""),"",IF(C695="","Needs the item",IF(B695="","Needs a room",IF(COUNTIF(Rooms!$B$6:$B$35,B695)=0,"Not on Rooms",IF(AND(H695&lt;&gt;"",NOT(ISNUMBER(H695))),"Paid not a number",IF(AND(I695&lt;&gt;"",NOT(ISNUMBER(I695))),"Worth not a number",IF(AND(G695&lt;&gt;"",NOT(ISNUMBER(G695))),"Bought is not a date",IF(AND(L695&lt;&gt;"",NOT(ISNUMBER(L695))),"Warranty is not a date",""))))))))</f>
        <v/>
      </c>
      <c r="S695" s="1">
        <f>IF(AND(C695&lt;&gt;"",R695=""),1,0)</f>
        <v/>
      </c>
      <c r="T695">
        <f>IF(S695=1,N(N695),0)</f>
        <v/>
      </c>
      <c r="U695">
        <f>IF(AND(S695=1,T695&gt;0),ROUND(T695*100,0)*10000+10000-ROW(),"")</f>
        <v/>
      </c>
      <c r="V695">
        <f>IF(AND(S695=1,OR(Report!$C$5="",B695=Report!$C$5)),MATCH(B695,Rooms!$B$6:$B$35,0)*10000+ROW(),"")</f>
        <v/>
      </c>
      <c r="W695">
        <f>IF(AND(S695=1,OR(J695="",J695="No")),1,0)</f>
        <v/>
      </c>
      <c r="X695">
        <f>IF(AND(S695=1,K695=""),1,0)</f>
        <v/>
      </c>
      <c r="Y695">
        <f>IF(AND(S695=1,Q695&lt;&gt;""),ROUND(T695*100,0)*10000+10000-ROW(),"")</f>
        <v/>
      </c>
    </row>
    <row r="696">
      <c r="A696" s="1" t="n"/>
      <c r="B696" s="17" t="n"/>
      <c r="C696" s="18" t="n"/>
      <c r="D696" s="17" t="n"/>
      <c r="E696" s="19" t="n"/>
      <c r="F696" s="19" t="n"/>
      <c r="G696" s="20" t="n"/>
      <c r="H696" s="21" t="n"/>
      <c r="I696" s="21" t="n"/>
      <c r="J696" s="17" t="n"/>
      <c r="K696" s="19" t="n"/>
      <c r="L696" s="20" t="n"/>
      <c r="M696" s="19" t="n"/>
      <c r="N696" s="22">
        <f>IF(C696="","",IF(ISNUMBER(I696),I696,IF(ISNUMBER(H696),H696,"")))</f>
        <v/>
      </c>
      <c r="O696" s="23">
        <f>IF(OR(C696="",NOT(ISNUMBER(G696))),"",(TODAY()-INT(G696))/365.25)</f>
        <v/>
      </c>
      <c r="P696" s="13">
        <f>IF(OR(C696="",NOT(ISNUMBER(L696))),"",IF(L696&lt;TODAY(),"Ended",IF(L696-TODAY()&lt;=N(Settings!$C$10),"Ends soon","Covered")))</f>
        <v/>
      </c>
      <c r="Q696" s="13">
        <f>IF(C696="","",MID(IF(N696="",", value","")&amp;IF(OR(J696="",J696="No"),", receipt","")&amp;IF(K696="",", photo",""),3,100))</f>
        <v/>
      </c>
      <c r="R696" s="13">
        <f>IF(AND(B696="",C696=""),"",IF(C696="","Needs the item",IF(B696="","Needs a room",IF(COUNTIF(Rooms!$B$6:$B$35,B696)=0,"Not on Rooms",IF(AND(H696&lt;&gt;"",NOT(ISNUMBER(H696))),"Paid not a number",IF(AND(I696&lt;&gt;"",NOT(ISNUMBER(I696))),"Worth not a number",IF(AND(G696&lt;&gt;"",NOT(ISNUMBER(G696))),"Bought is not a date",IF(AND(L696&lt;&gt;"",NOT(ISNUMBER(L696))),"Warranty is not a date",""))))))))</f>
        <v/>
      </c>
      <c r="S696" s="1">
        <f>IF(AND(C696&lt;&gt;"",R696=""),1,0)</f>
        <v/>
      </c>
      <c r="T696">
        <f>IF(S696=1,N(N696),0)</f>
        <v/>
      </c>
      <c r="U696">
        <f>IF(AND(S696=1,T696&gt;0),ROUND(T696*100,0)*10000+10000-ROW(),"")</f>
        <v/>
      </c>
      <c r="V696">
        <f>IF(AND(S696=1,OR(Report!$C$5="",B696=Report!$C$5)),MATCH(B696,Rooms!$B$6:$B$35,0)*10000+ROW(),"")</f>
        <v/>
      </c>
      <c r="W696">
        <f>IF(AND(S696=1,OR(J696="",J696="No")),1,0)</f>
        <v/>
      </c>
      <c r="X696">
        <f>IF(AND(S696=1,K696=""),1,0)</f>
        <v/>
      </c>
      <c r="Y696">
        <f>IF(AND(S696=1,Q696&lt;&gt;""),ROUND(T696*100,0)*10000+10000-ROW(),"")</f>
        <v/>
      </c>
    </row>
    <row r="697">
      <c r="A697" s="1" t="n"/>
      <c r="B697" s="17" t="n"/>
      <c r="C697" s="18" t="n"/>
      <c r="D697" s="17" t="n"/>
      <c r="E697" s="19" t="n"/>
      <c r="F697" s="19" t="n"/>
      <c r="G697" s="20" t="n"/>
      <c r="H697" s="21" t="n"/>
      <c r="I697" s="21" t="n"/>
      <c r="J697" s="17" t="n"/>
      <c r="K697" s="19" t="n"/>
      <c r="L697" s="20" t="n"/>
      <c r="M697" s="19" t="n"/>
      <c r="N697" s="22">
        <f>IF(C697="","",IF(ISNUMBER(I697),I697,IF(ISNUMBER(H697),H697,"")))</f>
        <v/>
      </c>
      <c r="O697" s="23">
        <f>IF(OR(C697="",NOT(ISNUMBER(G697))),"",(TODAY()-INT(G697))/365.25)</f>
        <v/>
      </c>
      <c r="P697" s="13">
        <f>IF(OR(C697="",NOT(ISNUMBER(L697))),"",IF(L697&lt;TODAY(),"Ended",IF(L697-TODAY()&lt;=N(Settings!$C$10),"Ends soon","Covered")))</f>
        <v/>
      </c>
      <c r="Q697" s="13">
        <f>IF(C697="","",MID(IF(N697="",", value","")&amp;IF(OR(J697="",J697="No"),", receipt","")&amp;IF(K697="",", photo",""),3,100))</f>
        <v/>
      </c>
      <c r="R697" s="13">
        <f>IF(AND(B697="",C697=""),"",IF(C697="","Needs the item",IF(B697="","Needs a room",IF(COUNTIF(Rooms!$B$6:$B$35,B697)=0,"Not on Rooms",IF(AND(H697&lt;&gt;"",NOT(ISNUMBER(H697))),"Paid not a number",IF(AND(I697&lt;&gt;"",NOT(ISNUMBER(I697))),"Worth not a number",IF(AND(G697&lt;&gt;"",NOT(ISNUMBER(G697))),"Bought is not a date",IF(AND(L697&lt;&gt;"",NOT(ISNUMBER(L697))),"Warranty is not a date",""))))))))</f>
        <v/>
      </c>
      <c r="S697" s="1">
        <f>IF(AND(C697&lt;&gt;"",R697=""),1,0)</f>
        <v/>
      </c>
      <c r="T697">
        <f>IF(S697=1,N(N697),0)</f>
        <v/>
      </c>
      <c r="U697">
        <f>IF(AND(S697=1,T697&gt;0),ROUND(T697*100,0)*10000+10000-ROW(),"")</f>
        <v/>
      </c>
      <c r="V697">
        <f>IF(AND(S697=1,OR(Report!$C$5="",B697=Report!$C$5)),MATCH(B697,Rooms!$B$6:$B$35,0)*10000+ROW(),"")</f>
        <v/>
      </c>
      <c r="W697">
        <f>IF(AND(S697=1,OR(J697="",J697="No")),1,0)</f>
        <v/>
      </c>
      <c r="X697">
        <f>IF(AND(S697=1,K697=""),1,0)</f>
        <v/>
      </c>
      <c r="Y697">
        <f>IF(AND(S697=1,Q697&lt;&gt;""),ROUND(T697*100,0)*10000+10000-ROW(),"")</f>
        <v/>
      </c>
    </row>
    <row r="698">
      <c r="A698" s="1" t="n"/>
      <c r="B698" s="17" t="n"/>
      <c r="C698" s="18" t="n"/>
      <c r="D698" s="17" t="n"/>
      <c r="E698" s="19" t="n"/>
      <c r="F698" s="19" t="n"/>
      <c r="G698" s="20" t="n"/>
      <c r="H698" s="21" t="n"/>
      <c r="I698" s="21" t="n"/>
      <c r="J698" s="17" t="n"/>
      <c r="K698" s="19" t="n"/>
      <c r="L698" s="20" t="n"/>
      <c r="M698" s="19" t="n"/>
      <c r="N698" s="22">
        <f>IF(C698="","",IF(ISNUMBER(I698),I698,IF(ISNUMBER(H698),H698,"")))</f>
        <v/>
      </c>
      <c r="O698" s="23">
        <f>IF(OR(C698="",NOT(ISNUMBER(G698))),"",(TODAY()-INT(G698))/365.25)</f>
        <v/>
      </c>
      <c r="P698" s="13">
        <f>IF(OR(C698="",NOT(ISNUMBER(L698))),"",IF(L698&lt;TODAY(),"Ended",IF(L698-TODAY()&lt;=N(Settings!$C$10),"Ends soon","Covered")))</f>
        <v/>
      </c>
      <c r="Q698" s="13">
        <f>IF(C698="","",MID(IF(N698="",", value","")&amp;IF(OR(J698="",J698="No"),", receipt","")&amp;IF(K698="",", photo",""),3,100))</f>
        <v/>
      </c>
      <c r="R698" s="13">
        <f>IF(AND(B698="",C698=""),"",IF(C698="","Needs the item",IF(B698="","Needs a room",IF(COUNTIF(Rooms!$B$6:$B$35,B698)=0,"Not on Rooms",IF(AND(H698&lt;&gt;"",NOT(ISNUMBER(H698))),"Paid not a number",IF(AND(I698&lt;&gt;"",NOT(ISNUMBER(I698))),"Worth not a number",IF(AND(G698&lt;&gt;"",NOT(ISNUMBER(G698))),"Bought is not a date",IF(AND(L698&lt;&gt;"",NOT(ISNUMBER(L698))),"Warranty is not a date",""))))))))</f>
        <v/>
      </c>
      <c r="S698" s="1">
        <f>IF(AND(C698&lt;&gt;"",R698=""),1,0)</f>
        <v/>
      </c>
      <c r="T698">
        <f>IF(S698=1,N(N698),0)</f>
        <v/>
      </c>
      <c r="U698">
        <f>IF(AND(S698=1,T698&gt;0),ROUND(T698*100,0)*10000+10000-ROW(),"")</f>
        <v/>
      </c>
      <c r="V698">
        <f>IF(AND(S698=1,OR(Report!$C$5="",B698=Report!$C$5)),MATCH(B698,Rooms!$B$6:$B$35,0)*10000+ROW(),"")</f>
        <v/>
      </c>
      <c r="W698">
        <f>IF(AND(S698=1,OR(J698="",J698="No")),1,0)</f>
        <v/>
      </c>
      <c r="X698">
        <f>IF(AND(S698=1,K698=""),1,0)</f>
        <v/>
      </c>
      <c r="Y698">
        <f>IF(AND(S698=1,Q698&lt;&gt;""),ROUND(T698*100,0)*10000+10000-ROW(),"")</f>
        <v/>
      </c>
    </row>
    <row r="699">
      <c r="A699" s="1" t="n"/>
      <c r="B699" s="17" t="n"/>
      <c r="C699" s="18" t="n"/>
      <c r="D699" s="17" t="n"/>
      <c r="E699" s="19" t="n"/>
      <c r="F699" s="19" t="n"/>
      <c r="G699" s="20" t="n"/>
      <c r="H699" s="21" t="n"/>
      <c r="I699" s="21" t="n"/>
      <c r="J699" s="17" t="n"/>
      <c r="K699" s="19" t="n"/>
      <c r="L699" s="20" t="n"/>
      <c r="M699" s="19" t="n"/>
      <c r="N699" s="22">
        <f>IF(C699="","",IF(ISNUMBER(I699),I699,IF(ISNUMBER(H699),H699,"")))</f>
        <v/>
      </c>
      <c r="O699" s="23">
        <f>IF(OR(C699="",NOT(ISNUMBER(G699))),"",(TODAY()-INT(G699))/365.25)</f>
        <v/>
      </c>
      <c r="P699" s="13">
        <f>IF(OR(C699="",NOT(ISNUMBER(L699))),"",IF(L699&lt;TODAY(),"Ended",IF(L699-TODAY()&lt;=N(Settings!$C$10),"Ends soon","Covered")))</f>
        <v/>
      </c>
      <c r="Q699" s="13">
        <f>IF(C699="","",MID(IF(N699="",", value","")&amp;IF(OR(J699="",J699="No"),", receipt","")&amp;IF(K699="",", photo",""),3,100))</f>
        <v/>
      </c>
      <c r="R699" s="13">
        <f>IF(AND(B699="",C699=""),"",IF(C699="","Needs the item",IF(B699="","Needs a room",IF(COUNTIF(Rooms!$B$6:$B$35,B699)=0,"Not on Rooms",IF(AND(H699&lt;&gt;"",NOT(ISNUMBER(H699))),"Paid not a number",IF(AND(I699&lt;&gt;"",NOT(ISNUMBER(I699))),"Worth not a number",IF(AND(G699&lt;&gt;"",NOT(ISNUMBER(G699))),"Bought is not a date",IF(AND(L699&lt;&gt;"",NOT(ISNUMBER(L699))),"Warranty is not a date",""))))))))</f>
        <v/>
      </c>
      <c r="S699" s="1">
        <f>IF(AND(C699&lt;&gt;"",R699=""),1,0)</f>
        <v/>
      </c>
      <c r="T699">
        <f>IF(S699=1,N(N699),0)</f>
        <v/>
      </c>
      <c r="U699">
        <f>IF(AND(S699=1,T699&gt;0),ROUND(T699*100,0)*10000+10000-ROW(),"")</f>
        <v/>
      </c>
      <c r="V699">
        <f>IF(AND(S699=1,OR(Report!$C$5="",B699=Report!$C$5)),MATCH(B699,Rooms!$B$6:$B$35,0)*10000+ROW(),"")</f>
        <v/>
      </c>
      <c r="W699">
        <f>IF(AND(S699=1,OR(J699="",J699="No")),1,0)</f>
        <v/>
      </c>
      <c r="X699">
        <f>IF(AND(S699=1,K699=""),1,0)</f>
        <v/>
      </c>
      <c r="Y699">
        <f>IF(AND(S699=1,Q699&lt;&gt;""),ROUND(T699*100,0)*10000+10000-ROW(),"")</f>
        <v/>
      </c>
    </row>
    <row r="700">
      <c r="A700" s="1" t="n"/>
      <c r="B700" s="17" t="n"/>
      <c r="C700" s="18" t="n"/>
      <c r="D700" s="17" t="n"/>
      <c r="E700" s="19" t="n"/>
      <c r="F700" s="19" t="n"/>
      <c r="G700" s="20" t="n"/>
      <c r="H700" s="21" t="n"/>
      <c r="I700" s="21" t="n"/>
      <c r="J700" s="17" t="n"/>
      <c r="K700" s="19" t="n"/>
      <c r="L700" s="20" t="n"/>
      <c r="M700" s="19" t="n"/>
      <c r="N700" s="22">
        <f>IF(C700="","",IF(ISNUMBER(I700),I700,IF(ISNUMBER(H700),H700,"")))</f>
        <v/>
      </c>
      <c r="O700" s="23">
        <f>IF(OR(C700="",NOT(ISNUMBER(G700))),"",(TODAY()-INT(G700))/365.25)</f>
        <v/>
      </c>
      <c r="P700" s="13">
        <f>IF(OR(C700="",NOT(ISNUMBER(L700))),"",IF(L700&lt;TODAY(),"Ended",IF(L700-TODAY()&lt;=N(Settings!$C$10),"Ends soon","Covered")))</f>
        <v/>
      </c>
      <c r="Q700" s="13">
        <f>IF(C700="","",MID(IF(N700="",", value","")&amp;IF(OR(J700="",J700="No"),", receipt","")&amp;IF(K700="",", photo",""),3,100))</f>
        <v/>
      </c>
      <c r="R700" s="13">
        <f>IF(AND(B700="",C700=""),"",IF(C700="","Needs the item",IF(B700="","Needs a room",IF(COUNTIF(Rooms!$B$6:$B$35,B700)=0,"Not on Rooms",IF(AND(H700&lt;&gt;"",NOT(ISNUMBER(H700))),"Paid not a number",IF(AND(I700&lt;&gt;"",NOT(ISNUMBER(I700))),"Worth not a number",IF(AND(G700&lt;&gt;"",NOT(ISNUMBER(G700))),"Bought is not a date",IF(AND(L700&lt;&gt;"",NOT(ISNUMBER(L700))),"Warranty is not a date",""))))))))</f>
        <v/>
      </c>
      <c r="S700" s="1">
        <f>IF(AND(C700&lt;&gt;"",R700=""),1,0)</f>
        <v/>
      </c>
      <c r="T700">
        <f>IF(S700=1,N(N700),0)</f>
        <v/>
      </c>
      <c r="U700">
        <f>IF(AND(S700=1,T700&gt;0),ROUND(T700*100,0)*10000+10000-ROW(),"")</f>
        <v/>
      </c>
      <c r="V700">
        <f>IF(AND(S700=1,OR(Report!$C$5="",B700=Report!$C$5)),MATCH(B700,Rooms!$B$6:$B$35,0)*10000+ROW(),"")</f>
        <v/>
      </c>
      <c r="W700">
        <f>IF(AND(S700=1,OR(J700="",J700="No")),1,0)</f>
        <v/>
      </c>
      <c r="X700">
        <f>IF(AND(S700=1,K700=""),1,0)</f>
        <v/>
      </c>
      <c r="Y700">
        <f>IF(AND(S700=1,Q700&lt;&gt;""),ROUND(T700*100,0)*10000+10000-ROW(),"")</f>
        <v/>
      </c>
    </row>
    <row r="701">
      <c r="A701" s="1" t="n"/>
      <c r="B701" s="17" t="n"/>
      <c r="C701" s="18" t="n"/>
      <c r="D701" s="17" t="n"/>
      <c r="E701" s="19" t="n"/>
      <c r="F701" s="19" t="n"/>
      <c r="G701" s="20" t="n"/>
      <c r="H701" s="21" t="n"/>
      <c r="I701" s="21" t="n"/>
      <c r="J701" s="17" t="n"/>
      <c r="K701" s="19" t="n"/>
      <c r="L701" s="20" t="n"/>
      <c r="M701" s="19" t="n"/>
      <c r="N701" s="22">
        <f>IF(C701="","",IF(ISNUMBER(I701),I701,IF(ISNUMBER(H701),H701,"")))</f>
        <v/>
      </c>
      <c r="O701" s="23">
        <f>IF(OR(C701="",NOT(ISNUMBER(G701))),"",(TODAY()-INT(G701))/365.25)</f>
        <v/>
      </c>
      <c r="P701" s="13">
        <f>IF(OR(C701="",NOT(ISNUMBER(L701))),"",IF(L701&lt;TODAY(),"Ended",IF(L701-TODAY()&lt;=N(Settings!$C$10),"Ends soon","Covered")))</f>
        <v/>
      </c>
      <c r="Q701" s="13">
        <f>IF(C701="","",MID(IF(N701="",", value","")&amp;IF(OR(J701="",J701="No"),", receipt","")&amp;IF(K701="",", photo",""),3,100))</f>
        <v/>
      </c>
      <c r="R701" s="13">
        <f>IF(AND(B701="",C701=""),"",IF(C701="","Needs the item",IF(B701="","Needs a room",IF(COUNTIF(Rooms!$B$6:$B$35,B701)=0,"Not on Rooms",IF(AND(H701&lt;&gt;"",NOT(ISNUMBER(H701))),"Paid not a number",IF(AND(I701&lt;&gt;"",NOT(ISNUMBER(I701))),"Worth not a number",IF(AND(G701&lt;&gt;"",NOT(ISNUMBER(G701))),"Bought is not a date",IF(AND(L701&lt;&gt;"",NOT(ISNUMBER(L701))),"Warranty is not a date",""))))))))</f>
        <v/>
      </c>
      <c r="S701" s="1">
        <f>IF(AND(C701&lt;&gt;"",R701=""),1,0)</f>
        <v/>
      </c>
      <c r="T701">
        <f>IF(S701=1,N(N701),0)</f>
        <v/>
      </c>
      <c r="U701">
        <f>IF(AND(S701=1,T701&gt;0),ROUND(T701*100,0)*10000+10000-ROW(),"")</f>
        <v/>
      </c>
      <c r="V701">
        <f>IF(AND(S701=1,OR(Report!$C$5="",B701=Report!$C$5)),MATCH(B701,Rooms!$B$6:$B$35,0)*10000+ROW(),"")</f>
        <v/>
      </c>
      <c r="W701">
        <f>IF(AND(S701=1,OR(J701="",J701="No")),1,0)</f>
        <v/>
      </c>
      <c r="X701">
        <f>IF(AND(S701=1,K701=""),1,0)</f>
        <v/>
      </c>
      <c r="Y701">
        <f>IF(AND(S701=1,Q701&lt;&gt;""),ROUND(T701*100,0)*10000+10000-ROW(),"")</f>
        <v/>
      </c>
    </row>
    <row r="702">
      <c r="A702" s="1" t="n"/>
      <c r="B702" s="17" t="n"/>
      <c r="C702" s="18" t="n"/>
      <c r="D702" s="17" t="n"/>
      <c r="E702" s="19" t="n"/>
      <c r="F702" s="19" t="n"/>
      <c r="G702" s="20" t="n"/>
      <c r="H702" s="21" t="n"/>
      <c r="I702" s="21" t="n"/>
      <c r="J702" s="17" t="n"/>
      <c r="K702" s="19" t="n"/>
      <c r="L702" s="20" t="n"/>
      <c r="M702" s="19" t="n"/>
      <c r="N702" s="22">
        <f>IF(C702="","",IF(ISNUMBER(I702),I702,IF(ISNUMBER(H702),H702,"")))</f>
        <v/>
      </c>
      <c r="O702" s="23">
        <f>IF(OR(C702="",NOT(ISNUMBER(G702))),"",(TODAY()-INT(G702))/365.25)</f>
        <v/>
      </c>
      <c r="P702" s="13">
        <f>IF(OR(C702="",NOT(ISNUMBER(L702))),"",IF(L702&lt;TODAY(),"Ended",IF(L702-TODAY()&lt;=N(Settings!$C$10),"Ends soon","Covered")))</f>
        <v/>
      </c>
      <c r="Q702" s="13">
        <f>IF(C702="","",MID(IF(N702="",", value","")&amp;IF(OR(J702="",J702="No"),", receipt","")&amp;IF(K702="",", photo",""),3,100))</f>
        <v/>
      </c>
      <c r="R702" s="13">
        <f>IF(AND(B702="",C702=""),"",IF(C702="","Needs the item",IF(B702="","Needs a room",IF(COUNTIF(Rooms!$B$6:$B$35,B702)=0,"Not on Rooms",IF(AND(H702&lt;&gt;"",NOT(ISNUMBER(H702))),"Paid not a number",IF(AND(I702&lt;&gt;"",NOT(ISNUMBER(I702))),"Worth not a number",IF(AND(G702&lt;&gt;"",NOT(ISNUMBER(G702))),"Bought is not a date",IF(AND(L702&lt;&gt;"",NOT(ISNUMBER(L702))),"Warranty is not a date",""))))))))</f>
        <v/>
      </c>
      <c r="S702" s="1">
        <f>IF(AND(C702&lt;&gt;"",R702=""),1,0)</f>
        <v/>
      </c>
      <c r="T702">
        <f>IF(S702=1,N(N702),0)</f>
        <v/>
      </c>
      <c r="U702">
        <f>IF(AND(S702=1,T702&gt;0),ROUND(T702*100,0)*10000+10000-ROW(),"")</f>
        <v/>
      </c>
      <c r="V702">
        <f>IF(AND(S702=1,OR(Report!$C$5="",B702=Report!$C$5)),MATCH(B702,Rooms!$B$6:$B$35,0)*10000+ROW(),"")</f>
        <v/>
      </c>
      <c r="W702">
        <f>IF(AND(S702=1,OR(J702="",J702="No")),1,0)</f>
        <v/>
      </c>
      <c r="X702">
        <f>IF(AND(S702=1,K702=""),1,0)</f>
        <v/>
      </c>
      <c r="Y702">
        <f>IF(AND(S702=1,Q702&lt;&gt;""),ROUND(T702*100,0)*10000+10000-ROW(),"")</f>
        <v/>
      </c>
    </row>
    <row r="703">
      <c r="A703" s="1" t="n"/>
      <c r="B703" s="17" t="n"/>
      <c r="C703" s="18" t="n"/>
      <c r="D703" s="17" t="n"/>
      <c r="E703" s="19" t="n"/>
      <c r="F703" s="19" t="n"/>
      <c r="G703" s="20" t="n"/>
      <c r="H703" s="21" t="n"/>
      <c r="I703" s="21" t="n"/>
      <c r="J703" s="17" t="n"/>
      <c r="K703" s="19" t="n"/>
      <c r="L703" s="20" t="n"/>
      <c r="M703" s="19" t="n"/>
      <c r="N703" s="22">
        <f>IF(C703="","",IF(ISNUMBER(I703),I703,IF(ISNUMBER(H703),H703,"")))</f>
        <v/>
      </c>
      <c r="O703" s="23">
        <f>IF(OR(C703="",NOT(ISNUMBER(G703))),"",(TODAY()-INT(G703))/365.25)</f>
        <v/>
      </c>
      <c r="P703" s="13">
        <f>IF(OR(C703="",NOT(ISNUMBER(L703))),"",IF(L703&lt;TODAY(),"Ended",IF(L703-TODAY()&lt;=N(Settings!$C$10),"Ends soon","Covered")))</f>
        <v/>
      </c>
      <c r="Q703" s="13">
        <f>IF(C703="","",MID(IF(N703="",", value","")&amp;IF(OR(J703="",J703="No"),", receipt","")&amp;IF(K703="",", photo",""),3,100))</f>
        <v/>
      </c>
      <c r="R703" s="13">
        <f>IF(AND(B703="",C703=""),"",IF(C703="","Needs the item",IF(B703="","Needs a room",IF(COUNTIF(Rooms!$B$6:$B$35,B703)=0,"Not on Rooms",IF(AND(H703&lt;&gt;"",NOT(ISNUMBER(H703))),"Paid not a number",IF(AND(I703&lt;&gt;"",NOT(ISNUMBER(I703))),"Worth not a number",IF(AND(G703&lt;&gt;"",NOT(ISNUMBER(G703))),"Bought is not a date",IF(AND(L703&lt;&gt;"",NOT(ISNUMBER(L703))),"Warranty is not a date",""))))))))</f>
        <v/>
      </c>
      <c r="S703" s="1">
        <f>IF(AND(C703&lt;&gt;"",R703=""),1,0)</f>
        <v/>
      </c>
      <c r="T703">
        <f>IF(S703=1,N(N703),0)</f>
        <v/>
      </c>
      <c r="U703">
        <f>IF(AND(S703=1,T703&gt;0),ROUND(T703*100,0)*10000+10000-ROW(),"")</f>
        <v/>
      </c>
      <c r="V703">
        <f>IF(AND(S703=1,OR(Report!$C$5="",B703=Report!$C$5)),MATCH(B703,Rooms!$B$6:$B$35,0)*10000+ROW(),"")</f>
        <v/>
      </c>
      <c r="W703">
        <f>IF(AND(S703=1,OR(J703="",J703="No")),1,0)</f>
        <v/>
      </c>
      <c r="X703">
        <f>IF(AND(S703=1,K703=""),1,0)</f>
        <v/>
      </c>
      <c r="Y703">
        <f>IF(AND(S703=1,Q703&lt;&gt;""),ROUND(T703*100,0)*10000+10000-ROW(),"")</f>
        <v/>
      </c>
    </row>
    <row r="704">
      <c r="A704" s="1" t="n"/>
      <c r="B704" s="17" t="n"/>
      <c r="C704" s="18" t="n"/>
      <c r="D704" s="17" t="n"/>
      <c r="E704" s="19" t="n"/>
      <c r="F704" s="19" t="n"/>
      <c r="G704" s="20" t="n"/>
      <c r="H704" s="21" t="n"/>
      <c r="I704" s="21" t="n"/>
      <c r="J704" s="17" t="n"/>
      <c r="K704" s="19" t="n"/>
      <c r="L704" s="20" t="n"/>
      <c r="M704" s="19" t="n"/>
      <c r="N704" s="22">
        <f>IF(C704="","",IF(ISNUMBER(I704),I704,IF(ISNUMBER(H704),H704,"")))</f>
        <v/>
      </c>
      <c r="O704" s="23">
        <f>IF(OR(C704="",NOT(ISNUMBER(G704))),"",(TODAY()-INT(G704))/365.25)</f>
        <v/>
      </c>
      <c r="P704" s="13">
        <f>IF(OR(C704="",NOT(ISNUMBER(L704))),"",IF(L704&lt;TODAY(),"Ended",IF(L704-TODAY()&lt;=N(Settings!$C$10),"Ends soon","Covered")))</f>
        <v/>
      </c>
      <c r="Q704" s="13">
        <f>IF(C704="","",MID(IF(N704="",", value","")&amp;IF(OR(J704="",J704="No"),", receipt","")&amp;IF(K704="",", photo",""),3,100))</f>
        <v/>
      </c>
      <c r="R704" s="13">
        <f>IF(AND(B704="",C704=""),"",IF(C704="","Needs the item",IF(B704="","Needs a room",IF(COUNTIF(Rooms!$B$6:$B$35,B704)=0,"Not on Rooms",IF(AND(H704&lt;&gt;"",NOT(ISNUMBER(H704))),"Paid not a number",IF(AND(I704&lt;&gt;"",NOT(ISNUMBER(I704))),"Worth not a number",IF(AND(G704&lt;&gt;"",NOT(ISNUMBER(G704))),"Bought is not a date",IF(AND(L704&lt;&gt;"",NOT(ISNUMBER(L704))),"Warranty is not a date",""))))))))</f>
        <v/>
      </c>
      <c r="S704" s="1">
        <f>IF(AND(C704&lt;&gt;"",R704=""),1,0)</f>
        <v/>
      </c>
      <c r="T704">
        <f>IF(S704=1,N(N704),0)</f>
        <v/>
      </c>
      <c r="U704">
        <f>IF(AND(S704=1,T704&gt;0),ROUND(T704*100,0)*10000+10000-ROW(),"")</f>
        <v/>
      </c>
      <c r="V704">
        <f>IF(AND(S704=1,OR(Report!$C$5="",B704=Report!$C$5)),MATCH(B704,Rooms!$B$6:$B$35,0)*10000+ROW(),"")</f>
        <v/>
      </c>
      <c r="W704">
        <f>IF(AND(S704=1,OR(J704="",J704="No")),1,0)</f>
        <v/>
      </c>
      <c r="X704">
        <f>IF(AND(S704=1,K704=""),1,0)</f>
        <v/>
      </c>
      <c r="Y704">
        <f>IF(AND(S704=1,Q704&lt;&gt;""),ROUND(T704*100,0)*10000+10000-ROW(),"")</f>
        <v/>
      </c>
    </row>
    <row r="705">
      <c r="A705" s="1" t="n"/>
      <c r="B705" s="17" t="n"/>
      <c r="C705" s="18" t="n"/>
      <c r="D705" s="17" t="n"/>
      <c r="E705" s="19" t="n"/>
      <c r="F705" s="19" t="n"/>
      <c r="G705" s="20" t="n"/>
      <c r="H705" s="21" t="n"/>
      <c r="I705" s="21" t="n"/>
      <c r="J705" s="17" t="n"/>
      <c r="K705" s="19" t="n"/>
      <c r="L705" s="20" t="n"/>
      <c r="M705" s="19" t="n"/>
      <c r="N705" s="22">
        <f>IF(C705="","",IF(ISNUMBER(I705),I705,IF(ISNUMBER(H705),H705,"")))</f>
        <v/>
      </c>
      <c r="O705" s="23">
        <f>IF(OR(C705="",NOT(ISNUMBER(G705))),"",(TODAY()-INT(G705))/365.25)</f>
        <v/>
      </c>
      <c r="P705" s="13">
        <f>IF(OR(C705="",NOT(ISNUMBER(L705))),"",IF(L705&lt;TODAY(),"Ended",IF(L705-TODAY()&lt;=N(Settings!$C$10),"Ends soon","Covered")))</f>
        <v/>
      </c>
      <c r="Q705" s="13">
        <f>IF(C705="","",MID(IF(N705="",", value","")&amp;IF(OR(J705="",J705="No"),", receipt","")&amp;IF(K705="",", photo",""),3,100))</f>
        <v/>
      </c>
      <c r="R705" s="13">
        <f>IF(AND(B705="",C705=""),"",IF(C705="","Needs the item",IF(B705="","Needs a room",IF(COUNTIF(Rooms!$B$6:$B$35,B705)=0,"Not on Rooms",IF(AND(H705&lt;&gt;"",NOT(ISNUMBER(H705))),"Paid not a number",IF(AND(I705&lt;&gt;"",NOT(ISNUMBER(I705))),"Worth not a number",IF(AND(G705&lt;&gt;"",NOT(ISNUMBER(G705))),"Bought is not a date",IF(AND(L705&lt;&gt;"",NOT(ISNUMBER(L705))),"Warranty is not a date",""))))))))</f>
        <v/>
      </c>
      <c r="S705" s="1">
        <f>IF(AND(C705&lt;&gt;"",R705=""),1,0)</f>
        <v/>
      </c>
      <c r="T705">
        <f>IF(S705=1,N(N705),0)</f>
        <v/>
      </c>
      <c r="U705">
        <f>IF(AND(S705=1,T705&gt;0),ROUND(T705*100,0)*10000+10000-ROW(),"")</f>
        <v/>
      </c>
      <c r="V705">
        <f>IF(AND(S705=1,OR(Report!$C$5="",B705=Report!$C$5)),MATCH(B705,Rooms!$B$6:$B$35,0)*10000+ROW(),"")</f>
        <v/>
      </c>
      <c r="W705">
        <f>IF(AND(S705=1,OR(J705="",J705="No")),1,0)</f>
        <v/>
      </c>
      <c r="X705">
        <f>IF(AND(S705=1,K705=""),1,0)</f>
        <v/>
      </c>
      <c r="Y705">
        <f>IF(AND(S705=1,Q705&lt;&gt;""),ROUND(T705*100,0)*10000+10000-ROW(),"")</f>
        <v/>
      </c>
    </row>
    <row r="706">
      <c r="A706" s="1" t="n"/>
      <c r="B706" s="17" t="n"/>
      <c r="C706" s="18" t="n"/>
      <c r="D706" s="17" t="n"/>
      <c r="E706" s="19" t="n"/>
      <c r="F706" s="19" t="n"/>
      <c r="G706" s="20" t="n"/>
      <c r="H706" s="21" t="n"/>
      <c r="I706" s="21" t="n"/>
      <c r="J706" s="17" t="n"/>
      <c r="K706" s="19" t="n"/>
      <c r="L706" s="20" t="n"/>
      <c r="M706" s="19" t="n"/>
      <c r="N706" s="22">
        <f>IF(C706="","",IF(ISNUMBER(I706),I706,IF(ISNUMBER(H706),H706,"")))</f>
        <v/>
      </c>
      <c r="O706" s="23">
        <f>IF(OR(C706="",NOT(ISNUMBER(G706))),"",(TODAY()-INT(G706))/365.25)</f>
        <v/>
      </c>
      <c r="P706" s="13">
        <f>IF(OR(C706="",NOT(ISNUMBER(L706))),"",IF(L706&lt;TODAY(),"Ended",IF(L706-TODAY()&lt;=N(Settings!$C$10),"Ends soon","Covered")))</f>
        <v/>
      </c>
      <c r="Q706" s="13">
        <f>IF(C706="","",MID(IF(N706="",", value","")&amp;IF(OR(J706="",J706="No"),", receipt","")&amp;IF(K706="",", photo",""),3,100))</f>
        <v/>
      </c>
      <c r="R706" s="13">
        <f>IF(AND(B706="",C706=""),"",IF(C706="","Needs the item",IF(B706="","Needs a room",IF(COUNTIF(Rooms!$B$6:$B$35,B706)=0,"Not on Rooms",IF(AND(H706&lt;&gt;"",NOT(ISNUMBER(H706))),"Paid not a number",IF(AND(I706&lt;&gt;"",NOT(ISNUMBER(I706))),"Worth not a number",IF(AND(G706&lt;&gt;"",NOT(ISNUMBER(G706))),"Bought is not a date",IF(AND(L706&lt;&gt;"",NOT(ISNUMBER(L706))),"Warranty is not a date",""))))))))</f>
        <v/>
      </c>
      <c r="S706" s="1">
        <f>IF(AND(C706&lt;&gt;"",R706=""),1,0)</f>
        <v/>
      </c>
      <c r="T706">
        <f>IF(S706=1,N(N706),0)</f>
        <v/>
      </c>
      <c r="U706">
        <f>IF(AND(S706=1,T706&gt;0),ROUND(T706*100,0)*10000+10000-ROW(),"")</f>
        <v/>
      </c>
      <c r="V706">
        <f>IF(AND(S706=1,OR(Report!$C$5="",B706=Report!$C$5)),MATCH(B706,Rooms!$B$6:$B$35,0)*10000+ROW(),"")</f>
        <v/>
      </c>
      <c r="W706">
        <f>IF(AND(S706=1,OR(J706="",J706="No")),1,0)</f>
        <v/>
      </c>
      <c r="X706">
        <f>IF(AND(S706=1,K706=""),1,0)</f>
        <v/>
      </c>
      <c r="Y706">
        <f>IF(AND(S706=1,Q706&lt;&gt;""),ROUND(T706*100,0)*10000+10000-ROW(),"")</f>
        <v/>
      </c>
    </row>
    <row r="707">
      <c r="A707" s="1" t="n"/>
      <c r="B707" s="17" t="n"/>
      <c r="C707" s="18" t="n"/>
      <c r="D707" s="17" t="n"/>
      <c r="E707" s="19" t="n"/>
      <c r="F707" s="19" t="n"/>
      <c r="G707" s="20" t="n"/>
      <c r="H707" s="21" t="n"/>
      <c r="I707" s="21" t="n"/>
      <c r="J707" s="17" t="n"/>
      <c r="K707" s="19" t="n"/>
      <c r="L707" s="20" t="n"/>
      <c r="M707" s="19" t="n"/>
      <c r="N707" s="22">
        <f>IF(C707="","",IF(ISNUMBER(I707),I707,IF(ISNUMBER(H707),H707,"")))</f>
        <v/>
      </c>
      <c r="O707" s="23">
        <f>IF(OR(C707="",NOT(ISNUMBER(G707))),"",(TODAY()-INT(G707))/365.25)</f>
        <v/>
      </c>
      <c r="P707" s="13">
        <f>IF(OR(C707="",NOT(ISNUMBER(L707))),"",IF(L707&lt;TODAY(),"Ended",IF(L707-TODAY()&lt;=N(Settings!$C$10),"Ends soon","Covered")))</f>
        <v/>
      </c>
      <c r="Q707" s="13">
        <f>IF(C707="","",MID(IF(N707="",", value","")&amp;IF(OR(J707="",J707="No"),", receipt","")&amp;IF(K707="",", photo",""),3,100))</f>
        <v/>
      </c>
      <c r="R707" s="13">
        <f>IF(AND(B707="",C707=""),"",IF(C707="","Needs the item",IF(B707="","Needs a room",IF(COUNTIF(Rooms!$B$6:$B$35,B707)=0,"Not on Rooms",IF(AND(H707&lt;&gt;"",NOT(ISNUMBER(H707))),"Paid not a number",IF(AND(I707&lt;&gt;"",NOT(ISNUMBER(I707))),"Worth not a number",IF(AND(G707&lt;&gt;"",NOT(ISNUMBER(G707))),"Bought is not a date",IF(AND(L707&lt;&gt;"",NOT(ISNUMBER(L707))),"Warranty is not a date",""))))))))</f>
        <v/>
      </c>
      <c r="S707" s="1">
        <f>IF(AND(C707&lt;&gt;"",R707=""),1,0)</f>
        <v/>
      </c>
      <c r="T707">
        <f>IF(S707=1,N(N707),0)</f>
        <v/>
      </c>
      <c r="U707">
        <f>IF(AND(S707=1,T707&gt;0),ROUND(T707*100,0)*10000+10000-ROW(),"")</f>
        <v/>
      </c>
      <c r="V707">
        <f>IF(AND(S707=1,OR(Report!$C$5="",B707=Report!$C$5)),MATCH(B707,Rooms!$B$6:$B$35,0)*10000+ROW(),"")</f>
        <v/>
      </c>
      <c r="W707">
        <f>IF(AND(S707=1,OR(J707="",J707="No")),1,0)</f>
        <v/>
      </c>
      <c r="X707">
        <f>IF(AND(S707=1,K707=""),1,0)</f>
        <v/>
      </c>
      <c r="Y707">
        <f>IF(AND(S707=1,Q707&lt;&gt;""),ROUND(T707*100,0)*10000+10000-ROW(),"")</f>
        <v/>
      </c>
    </row>
    <row r="708">
      <c r="A708" s="1" t="n"/>
      <c r="B708" s="17" t="n"/>
      <c r="C708" s="18" t="n"/>
      <c r="D708" s="17" t="n"/>
      <c r="E708" s="19" t="n"/>
      <c r="F708" s="19" t="n"/>
      <c r="G708" s="20" t="n"/>
      <c r="H708" s="21" t="n"/>
      <c r="I708" s="21" t="n"/>
      <c r="J708" s="17" t="n"/>
      <c r="K708" s="19" t="n"/>
      <c r="L708" s="20" t="n"/>
      <c r="M708" s="19" t="n"/>
      <c r="N708" s="22">
        <f>IF(C708="","",IF(ISNUMBER(I708),I708,IF(ISNUMBER(H708),H708,"")))</f>
        <v/>
      </c>
      <c r="O708" s="23">
        <f>IF(OR(C708="",NOT(ISNUMBER(G708))),"",(TODAY()-INT(G708))/365.25)</f>
        <v/>
      </c>
      <c r="P708" s="13">
        <f>IF(OR(C708="",NOT(ISNUMBER(L708))),"",IF(L708&lt;TODAY(),"Ended",IF(L708-TODAY()&lt;=N(Settings!$C$10),"Ends soon","Covered")))</f>
        <v/>
      </c>
      <c r="Q708" s="13">
        <f>IF(C708="","",MID(IF(N708="",", value","")&amp;IF(OR(J708="",J708="No"),", receipt","")&amp;IF(K708="",", photo",""),3,100))</f>
        <v/>
      </c>
      <c r="R708" s="13">
        <f>IF(AND(B708="",C708=""),"",IF(C708="","Needs the item",IF(B708="","Needs a room",IF(COUNTIF(Rooms!$B$6:$B$35,B708)=0,"Not on Rooms",IF(AND(H708&lt;&gt;"",NOT(ISNUMBER(H708))),"Paid not a number",IF(AND(I708&lt;&gt;"",NOT(ISNUMBER(I708))),"Worth not a number",IF(AND(G708&lt;&gt;"",NOT(ISNUMBER(G708))),"Bought is not a date",IF(AND(L708&lt;&gt;"",NOT(ISNUMBER(L708))),"Warranty is not a date",""))))))))</f>
        <v/>
      </c>
      <c r="S708" s="1">
        <f>IF(AND(C708&lt;&gt;"",R708=""),1,0)</f>
        <v/>
      </c>
      <c r="T708">
        <f>IF(S708=1,N(N708),0)</f>
        <v/>
      </c>
      <c r="U708">
        <f>IF(AND(S708=1,T708&gt;0),ROUND(T708*100,0)*10000+10000-ROW(),"")</f>
        <v/>
      </c>
      <c r="V708">
        <f>IF(AND(S708=1,OR(Report!$C$5="",B708=Report!$C$5)),MATCH(B708,Rooms!$B$6:$B$35,0)*10000+ROW(),"")</f>
        <v/>
      </c>
      <c r="W708">
        <f>IF(AND(S708=1,OR(J708="",J708="No")),1,0)</f>
        <v/>
      </c>
      <c r="X708">
        <f>IF(AND(S708=1,K708=""),1,0)</f>
        <v/>
      </c>
      <c r="Y708">
        <f>IF(AND(S708=1,Q708&lt;&gt;""),ROUND(T708*100,0)*10000+10000-ROW(),"")</f>
        <v/>
      </c>
    </row>
    <row r="709">
      <c r="A709" s="1" t="n"/>
      <c r="B709" s="17" t="n"/>
      <c r="C709" s="18" t="n"/>
      <c r="D709" s="17" t="n"/>
      <c r="E709" s="19" t="n"/>
      <c r="F709" s="19" t="n"/>
      <c r="G709" s="20" t="n"/>
      <c r="H709" s="21" t="n"/>
      <c r="I709" s="21" t="n"/>
      <c r="J709" s="17" t="n"/>
      <c r="K709" s="19" t="n"/>
      <c r="L709" s="20" t="n"/>
      <c r="M709" s="19" t="n"/>
      <c r="N709" s="22">
        <f>IF(C709="","",IF(ISNUMBER(I709),I709,IF(ISNUMBER(H709),H709,"")))</f>
        <v/>
      </c>
      <c r="O709" s="23">
        <f>IF(OR(C709="",NOT(ISNUMBER(G709))),"",(TODAY()-INT(G709))/365.25)</f>
        <v/>
      </c>
      <c r="P709" s="13">
        <f>IF(OR(C709="",NOT(ISNUMBER(L709))),"",IF(L709&lt;TODAY(),"Ended",IF(L709-TODAY()&lt;=N(Settings!$C$10),"Ends soon","Covered")))</f>
        <v/>
      </c>
      <c r="Q709" s="13">
        <f>IF(C709="","",MID(IF(N709="",", value","")&amp;IF(OR(J709="",J709="No"),", receipt","")&amp;IF(K709="",", photo",""),3,100))</f>
        <v/>
      </c>
      <c r="R709" s="13">
        <f>IF(AND(B709="",C709=""),"",IF(C709="","Needs the item",IF(B709="","Needs a room",IF(COUNTIF(Rooms!$B$6:$B$35,B709)=0,"Not on Rooms",IF(AND(H709&lt;&gt;"",NOT(ISNUMBER(H709))),"Paid not a number",IF(AND(I709&lt;&gt;"",NOT(ISNUMBER(I709))),"Worth not a number",IF(AND(G709&lt;&gt;"",NOT(ISNUMBER(G709))),"Bought is not a date",IF(AND(L709&lt;&gt;"",NOT(ISNUMBER(L709))),"Warranty is not a date",""))))))))</f>
        <v/>
      </c>
      <c r="S709" s="1">
        <f>IF(AND(C709&lt;&gt;"",R709=""),1,0)</f>
        <v/>
      </c>
      <c r="T709">
        <f>IF(S709=1,N(N709),0)</f>
        <v/>
      </c>
      <c r="U709">
        <f>IF(AND(S709=1,T709&gt;0),ROUND(T709*100,0)*10000+10000-ROW(),"")</f>
        <v/>
      </c>
      <c r="V709">
        <f>IF(AND(S709=1,OR(Report!$C$5="",B709=Report!$C$5)),MATCH(B709,Rooms!$B$6:$B$35,0)*10000+ROW(),"")</f>
        <v/>
      </c>
      <c r="W709">
        <f>IF(AND(S709=1,OR(J709="",J709="No")),1,0)</f>
        <v/>
      </c>
      <c r="X709">
        <f>IF(AND(S709=1,K709=""),1,0)</f>
        <v/>
      </c>
      <c r="Y709">
        <f>IF(AND(S709=1,Q709&lt;&gt;""),ROUND(T709*100,0)*10000+10000-ROW(),"")</f>
        <v/>
      </c>
    </row>
    <row r="710">
      <c r="A710" s="1" t="n"/>
      <c r="B710" s="17" t="n"/>
      <c r="C710" s="18" t="n"/>
      <c r="D710" s="17" t="n"/>
      <c r="E710" s="19" t="n"/>
      <c r="F710" s="19" t="n"/>
      <c r="G710" s="20" t="n"/>
      <c r="H710" s="21" t="n"/>
      <c r="I710" s="21" t="n"/>
      <c r="J710" s="17" t="n"/>
      <c r="K710" s="19" t="n"/>
      <c r="L710" s="20" t="n"/>
      <c r="M710" s="19" t="n"/>
      <c r="N710" s="22">
        <f>IF(C710="","",IF(ISNUMBER(I710),I710,IF(ISNUMBER(H710),H710,"")))</f>
        <v/>
      </c>
      <c r="O710" s="23">
        <f>IF(OR(C710="",NOT(ISNUMBER(G710))),"",(TODAY()-INT(G710))/365.25)</f>
        <v/>
      </c>
      <c r="P710" s="13">
        <f>IF(OR(C710="",NOT(ISNUMBER(L710))),"",IF(L710&lt;TODAY(),"Ended",IF(L710-TODAY()&lt;=N(Settings!$C$10),"Ends soon","Covered")))</f>
        <v/>
      </c>
      <c r="Q710" s="13">
        <f>IF(C710="","",MID(IF(N710="",", value","")&amp;IF(OR(J710="",J710="No"),", receipt","")&amp;IF(K710="",", photo",""),3,100))</f>
        <v/>
      </c>
      <c r="R710" s="13">
        <f>IF(AND(B710="",C710=""),"",IF(C710="","Needs the item",IF(B710="","Needs a room",IF(COUNTIF(Rooms!$B$6:$B$35,B710)=0,"Not on Rooms",IF(AND(H710&lt;&gt;"",NOT(ISNUMBER(H710))),"Paid not a number",IF(AND(I710&lt;&gt;"",NOT(ISNUMBER(I710))),"Worth not a number",IF(AND(G710&lt;&gt;"",NOT(ISNUMBER(G710))),"Bought is not a date",IF(AND(L710&lt;&gt;"",NOT(ISNUMBER(L710))),"Warranty is not a date",""))))))))</f>
        <v/>
      </c>
      <c r="S710" s="1">
        <f>IF(AND(C710&lt;&gt;"",R710=""),1,0)</f>
        <v/>
      </c>
      <c r="T710">
        <f>IF(S710=1,N(N710),0)</f>
        <v/>
      </c>
      <c r="U710">
        <f>IF(AND(S710=1,T710&gt;0),ROUND(T710*100,0)*10000+10000-ROW(),"")</f>
        <v/>
      </c>
      <c r="V710">
        <f>IF(AND(S710=1,OR(Report!$C$5="",B710=Report!$C$5)),MATCH(B710,Rooms!$B$6:$B$35,0)*10000+ROW(),"")</f>
        <v/>
      </c>
      <c r="W710">
        <f>IF(AND(S710=1,OR(J710="",J710="No")),1,0)</f>
        <v/>
      </c>
      <c r="X710">
        <f>IF(AND(S710=1,K710=""),1,0)</f>
        <v/>
      </c>
      <c r="Y710">
        <f>IF(AND(S710=1,Q710&lt;&gt;""),ROUND(T710*100,0)*10000+10000-ROW(),"")</f>
        <v/>
      </c>
    </row>
    <row r="711">
      <c r="A711" s="1" t="n"/>
      <c r="B711" s="17" t="n"/>
      <c r="C711" s="18" t="n"/>
      <c r="D711" s="17" t="n"/>
      <c r="E711" s="19" t="n"/>
      <c r="F711" s="19" t="n"/>
      <c r="G711" s="20" t="n"/>
      <c r="H711" s="21" t="n"/>
      <c r="I711" s="21" t="n"/>
      <c r="J711" s="17" t="n"/>
      <c r="K711" s="19" t="n"/>
      <c r="L711" s="20" t="n"/>
      <c r="M711" s="19" t="n"/>
      <c r="N711" s="22">
        <f>IF(C711="","",IF(ISNUMBER(I711),I711,IF(ISNUMBER(H711),H711,"")))</f>
        <v/>
      </c>
      <c r="O711" s="23">
        <f>IF(OR(C711="",NOT(ISNUMBER(G711))),"",(TODAY()-INT(G711))/365.25)</f>
        <v/>
      </c>
      <c r="P711" s="13">
        <f>IF(OR(C711="",NOT(ISNUMBER(L711))),"",IF(L711&lt;TODAY(),"Ended",IF(L711-TODAY()&lt;=N(Settings!$C$10),"Ends soon","Covered")))</f>
        <v/>
      </c>
      <c r="Q711" s="13">
        <f>IF(C711="","",MID(IF(N711="",", value","")&amp;IF(OR(J711="",J711="No"),", receipt","")&amp;IF(K711="",", photo",""),3,100))</f>
        <v/>
      </c>
      <c r="R711" s="13">
        <f>IF(AND(B711="",C711=""),"",IF(C711="","Needs the item",IF(B711="","Needs a room",IF(COUNTIF(Rooms!$B$6:$B$35,B711)=0,"Not on Rooms",IF(AND(H711&lt;&gt;"",NOT(ISNUMBER(H711))),"Paid not a number",IF(AND(I711&lt;&gt;"",NOT(ISNUMBER(I711))),"Worth not a number",IF(AND(G711&lt;&gt;"",NOT(ISNUMBER(G711))),"Bought is not a date",IF(AND(L711&lt;&gt;"",NOT(ISNUMBER(L711))),"Warranty is not a date",""))))))))</f>
        <v/>
      </c>
      <c r="S711" s="1">
        <f>IF(AND(C711&lt;&gt;"",R711=""),1,0)</f>
        <v/>
      </c>
      <c r="T711">
        <f>IF(S711=1,N(N711),0)</f>
        <v/>
      </c>
      <c r="U711">
        <f>IF(AND(S711=1,T711&gt;0),ROUND(T711*100,0)*10000+10000-ROW(),"")</f>
        <v/>
      </c>
      <c r="V711">
        <f>IF(AND(S711=1,OR(Report!$C$5="",B711=Report!$C$5)),MATCH(B711,Rooms!$B$6:$B$35,0)*10000+ROW(),"")</f>
        <v/>
      </c>
      <c r="W711">
        <f>IF(AND(S711=1,OR(J711="",J711="No")),1,0)</f>
        <v/>
      </c>
      <c r="X711">
        <f>IF(AND(S711=1,K711=""),1,0)</f>
        <v/>
      </c>
      <c r="Y711">
        <f>IF(AND(S711=1,Q711&lt;&gt;""),ROUND(T711*100,0)*10000+10000-ROW(),"")</f>
        <v/>
      </c>
    </row>
    <row r="712">
      <c r="A712" s="1" t="n"/>
      <c r="B712" s="17" t="n"/>
      <c r="C712" s="18" t="n"/>
      <c r="D712" s="17" t="n"/>
      <c r="E712" s="19" t="n"/>
      <c r="F712" s="19" t="n"/>
      <c r="G712" s="20" t="n"/>
      <c r="H712" s="21" t="n"/>
      <c r="I712" s="21" t="n"/>
      <c r="J712" s="17" t="n"/>
      <c r="K712" s="19" t="n"/>
      <c r="L712" s="20" t="n"/>
      <c r="M712" s="19" t="n"/>
      <c r="N712" s="22">
        <f>IF(C712="","",IF(ISNUMBER(I712),I712,IF(ISNUMBER(H712),H712,"")))</f>
        <v/>
      </c>
      <c r="O712" s="23">
        <f>IF(OR(C712="",NOT(ISNUMBER(G712))),"",(TODAY()-INT(G712))/365.25)</f>
        <v/>
      </c>
      <c r="P712" s="13">
        <f>IF(OR(C712="",NOT(ISNUMBER(L712))),"",IF(L712&lt;TODAY(),"Ended",IF(L712-TODAY()&lt;=N(Settings!$C$10),"Ends soon","Covered")))</f>
        <v/>
      </c>
      <c r="Q712" s="13">
        <f>IF(C712="","",MID(IF(N712="",", value","")&amp;IF(OR(J712="",J712="No"),", receipt","")&amp;IF(K712="",", photo",""),3,100))</f>
        <v/>
      </c>
      <c r="R712" s="13">
        <f>IF(AND(B712="",C712=""),"",IF(C712="","Needs the item",IF(B712="","Needs a room",IF(COUNTIF(Rooms!$B$6:$B$35,B712)=0,"Not on Rooms",IF(AND(H712&lt;&gt;"",NOT(ISNUMBER(H712))),"Paid not a number",IF(AND(I712&lt;&gt;"",NOT(ISNUMBER(I712))),"Worth not a number",IF(AND(G712&lt;&gt;"",NOT(ISNUMBER(G712))),"Bought is not a date",IF(AND(L712&lt;&gt;"",NOT(ISNUMBER(L712))),"Warranty is not a date",""))))))))</f>
        <v/>
      </c>
      <c r="S712" s="1">
        <f>IF(AND(C712&lt;&gt;"",R712=""),1,0)</f>
        <v/>
      </c>
      <c r="T712">
        <f>IF(S712=1,N(N712),0)</f>
        <v/>
      </c>
      <c r="U712">
        <f>IF(AND(S712=1,T712&gt;0),ROUND(T712*100,0)*10000+10000-ROW(),"")</f>
        <v/>
      </c>
      <c r="V712">
        <f>IF(AND(S712=1,OR(Report!$C$5="",B712=Report!$C$5)),MATCH(B712,Rooms!$B$6:$B$35,0)*10000+ROW(),"")</f>
        <v/>
      </c>
      <c r="W712">
        <f>IF(AND(S712=1,OR(J712="",J712="No")),1,0)</f>
        <v/>
      </c>
      <c r="X712">
        <f>IF(AND(S712=1,K712=""),1,0)</f>
        <v/>
      </c>
      <c r="Y712">
        <f>IF(AND(S712=1,Q712&lt;&gt;""),ROUND(T712*100,0)*10000+10000-ROW(),"")</f>
        <v/>
      </c>
    </row>
    <row r="713">
      <c r="A713" s="1" t="n"/>
      <c r="B713" s="17" t="n"/>
      <c r="C713" s="18" t="n"/>
      <c r="D713" s="17" t="n"/>
      <c r="E713" s="19" t="n"/>
      <c r="F713" s="19" t="n"/>
      <c r="G713" s="20" t="n"/>
      <c r="H713" s="21" t="n"/>
      <c r="I713" s="21" t="n"/>
      <c r="J713" s="17" t="n"/>
      <c r="K713" s="19" t="n"/>
      <c r="L713" s="20" t="n"/>
      <c r="M713" s="19" t="n"/>
      <c r="N713" s="22">
        <f>IF(C713="","",IF(ISNUMBER(I713),I713,IF(ISNUMBER(H713),H713,"")))</f>
        <v/>
      </c>
      <c r="O713" s="23">
        <f>IF(OR(C713="",NOT(ISNUMBER(G713))),"",(TODAY()-INT(G713))/365.25)</f>
        <v/>
      </c>
      <c r="P713" s="13">
        <f>IF(OR(C713="",NOT(ISNUMBER(L713))),"",IF(L713&lt;TODAY(),"Ended",IF(L713-TODAY()&lt;=N(Settings!$C$10),"Ends soon","Covered")))</f>
        <v/>
      </c>
      <c r="Q713" s="13">
        <f>IF(C713="","",MID(IF(N713="",", value","")&amp;IF(OR(J713="",J713="No"),", receipt","")&amp;IF(K713="",", photo",""),3,100))</f>
        <v/>
      </c>
      <c r="R713" s="13">
        <f>IF(AND(B713="",C713=""),"",IF(C713="","Needs the item",IF(B713="","Needs a room",IF(COUNTIF(Rooms!$B$6:$B$35,B713)=0,"Not on Rooms",IF(AND(H713&lt;&gt;"",NOT(ISNUMBER(H713))),"Paid not a number",IF(AND(I713&lt;&gt;"",NOT(ISNUMBER(I713))),"Worth not a number",IF(AND(G713&lt;&gt;"",NOT(ISNUMBER(G713))),"Bought is not a date",IF(AND(L713&lt;&gt;"",NOT(ISNUMBER(L713))),"Warranty is not a date",""))))))))</f>
        <v/>
      </c>
      <c r="S713" s="1">
        <f>IF(AND(C713&lt;&gt;"",R713=""),1,0)</f>
        <v/>
      </c>
      <c r="T713">
        <f>IF(S713=1,N(N713),0)</f>
        <v/>
      </c>
      <c r="U713">
        <f>IF(AND(S713=1,T713&gt;0),ROUND(T713*100,0)*10000+10000-ROW(),"")</f>
        <v/>
      </c>
      <c r="V713">
        <f>IF(AND(S713=1,OR(Report!$C$5="",B713=Report!$C$5)),MATCH(B713,Rooms!$B$6:$B$35,0)*10000+ROW(),"")</f>
        <v/>
      </c>
      <c r="W713">
        <f>IF(AND(S713=1,OR(J713="",J713="No")),1,0)</f>
        <v/>
      </c>
      <c r="X713">
        <f>IF(AND(S713=1,K713=""),1,0)</f>
        <v/>
      </c>
      <c r="Y713">
        <f>IF(AND(S713=1,Q713&lt;&gt;""),ROUND(T713*100,0)*10000+10000-ROW(),"")</f>
        <v/>
      </c>
    </row>
    <row r="714">
      <c r="A714" s="1" t="n"/>
      <c r="B714" s="17" t="n"/>
      <c r="C714" s="18" t="n"/>
      <c r="D714" s="17" t="n"/>
      <c r="E714" s="19" t="n"/>
      <c r="F714" s="19" t="n"/>
      <c r="G714" s="20" t="n"/>
      <c r="H714" s="21" t="n"/>
      <c r="I714" s="21" t="n"/>
      <c r="J714" s="17" t="n"/>
      <c r="K714" s="19" t="n"/>
      <c r="L714" s="20" t="n"/>
      <c r="M714" s="19" t="n"/>
      <c r="N714" s="22">
        <f>IF(C714="","",IF(ISNUMBER(I714),I714,IF(ISNUMBER(H714),H714,"")))</f>
        <v/>
      </c>
      <c r="O714" s="23">
        <f>IF(OR(C714="",NOT(ISNUMBER(G714))),"",(TODAY()-INT(G714))/365.25)</f>
        <v/>
      </c>
      <c r="P714" s="13">
        <f>IF(OR(C714="",NOT(ISNUMBER(L714))),"",IF(L714&lt;TODAY(),"Ended",IF(L714-TODAY()&lt;=N(Settings!$C$10),"Ends soon","Covered")))</f>
        <v/>
      </c>
      <c r="Q714" s="13">
        <f>IF(C714="","",MID(IF(N714="",", value","")&amp;IF(OR(J714="",J714="No"),", receipt","")&amp;IF(K714="",", photo",""),3,100))</f>
        <v/>
      </c>
      <c r="R714" s="13">
        <f>IF(AND(B714="",C714=""),"",IF(C714="","Needs the item",IF(B714="","Needs a room",IF(COUNTIF(Rooms!$B$6:$B$35,B714)=0,"Not on Rooms",IF(AND(H714&lt;&gt;"",NOT(ISNUMBER(H714))),"Paid not a number",IF(AND(I714&lt;&gt;"",NOT(ISNUMBER(I714))),"Worth not a number",IF(AND(G714&lt;&gt;"",NOT(ISNUMBER(G714))),"Bought is not a date",IF(AND(L714&lt;&gt;"",NOT(ISNUMBER(L714))),"Warranty is not a date",""))))))))</f>
        <v/>
      </c>
      <c r="S714" s="1">
        <f>IF(AND(C714&lt;&gt;"",R714=""),1,0)</f>
        <v/>
      </c>
      <c r="T714">
        <f>IF(S714=1,N(N714),0)</f>
        <v/>
      </c>
      <c r="U714">
        <f>IF(AND(S714=1,T714&gt;0),ROUND(T714*100,0)*10000+10000-ROW(),"")</f>
        <v/>
      </c>
      <c r="V714">
        <f>IF(AND(S714=1,OR(Report!$C$5="",B714=Report!$C$5)),MATCH(B714,Rooms!$B$6:$B$35,0)*10000+ROW(),"")</f>
        <v/>
      </c>
      <c r="W714">
        <f>IF(AND(S714=1,OR(J714="",J714="No")),1,0)</f>
        <v/>
      </c>
      <c r="X714">
        <f>IF(AND(S714=1,K714=""),1,0)</f>
        <v/>
      </c>
      <c r="Y714">
        <f>IF(AND(S714=1,Q714&lt;&gt;""),ROUND(T714*100,0)*10000+10000-ROW(),"")</f>
        <v/>
      </c>
    </row>
    <row r="715">
      <c r="A715" s="1" t="n"/>
      <c r="B715" s="17" t="n"/>
      <c r="C715" s="18" t="n"/>
      <c r="D715" s="17" t="n"/>
      <c r="E715" s="19" t="n"/>
      <c r="F715" s="19" t="n"/>
      <c r="G715" s="20" t="n"/>
      <c r="H715" s="21" t="n"/>
      <c r="I715" s="21" t="n"/>
      <c r="J715" s="17" t="n"/>
      <c r="K715" s="19" t="n"/>
      <c r="L715" s="20" t="n"/>
      <c r="M715" s="19" t="n"/>
      <c r="N715" s="22">
        <f>IF(C715="","",IF(ISNUMBER(I715),I715,IF(ISNUMBER(H715),H715,"")))</f>
        <v/>
      </c>
      <c r="O715" s="23">
        <f>IF(OR(C715="",NOT(ISNUMBER(G715))),"",(TODAY()-INT(G715))/365.25)</f>
        <v/>
      </c>
      <c r="P715" s="13">
        <f>IF(OR(C715="",NOT(ISNUMBER(L715))),"",IF(L715&lt;TODAY(),"Ended",IF(L715-TODAY()&lt;=N(Settings!$C$10),"Ends soon","Covered")))</f>
        <v/>
      </c>
      <c r="Q715" s="13">
        <f>IF(C715="","",MID(IF(N715="",", value","")&amp;IF(OR(J715="",J715="No"),", receipt","")&amp;IF(K715="",", photo",""),3,100))</f>
        <v/>
      </c>
      <c r="R715" s="13">
        <f>IF(AND(B715="",C715=""),"",IF(C715="","Needs the item",IF(B715="","Needs a room",IF(COUNTIF(Rooms!$B$6:$B$35,B715)=0,"Not on Rooms",IF(AND(H715&lt;&gt;"",NOT(ISNUMBER(H715))),"Paid not a number",IF(AND(I715&lt;&gt;"",NOT(ISNUMBER(I715))),"Worth not a number",IF(AND(G715&lt;&gt;"",NOT(ISNUMBER(G715))),"Bought is not a date",IF(AND(L715&lt;&gt;"",NOT(ISNUMBER(L715))),"Warranty is not a date",""))))))))</f>
        <v/>
      </c>
      <c r="S715" s="1">
        <f>IF(AND(C715&lt;&gt;"",R715=""),1,0)</f>
        <v/>
      </c>
      <c r="T715">
        <f>IF(S715=1,N(N715),0)</f>
        <v/>
      </c>
      <c r="U715">
        <f>IF(AND(S715=1,T715&gt;0),ROUND(T715*100,0)*10000+10000-ROW(),"")</f>
        <v/>
      </c>
      <c r="V715">
        <f>IF(AND(S715=1,OR(Report!$C$5="",B715=Report!$C$5)),MATCH(B715,Rooms!$B$6:$B$35,0)*10000+ROW(),"")</f>
        <v/>
      </c>
      <c r="W715">
        <f>IF(AND(S715=1,OR(J715="",J715="No")),1,0)</f>
        <v/>
      </c>
      <c r="X715">
        <f>IF(AND(S715=1,K715=""),1,0)</f>
        <v/>
      </c>
      <c r="Y715">
        <f>IF(AND(S715=1,Q715&lt;&gt;""),ROUND(T715*100,0)*10000+10000-ROW(),"")</f>
        <v/>
      </c>
    </row>
    <row r="716">
      <c r="A716" s="1" t="n"/>
      <c r="B716" s="17" t="n"/>
      <c r="C716" s="18" t="n"/>
      <c r="D716" s="17" t="n"/>
      <c r="E716" s="19" t="n"/>
      <c r="F716" s="19" t="n"/>
      <c r="G716" s="20" t="n"/>
      <c r="H716" s="21" t="n"/>
      <c r="I716" s="21" t="n"/>
      <c r="J716" s="17" t="n"/>
      <c r="K716" s="19" t="n"/>
      <c r="L716" s="20" t="n"/>
      <c r="M716" s="19" t="n"/>
      <c r="N716" s="22">
        <f>IF(C716="","",IF(ISNUMBER(I716),I716,IF(ISNUMBER(H716),H716,"")))</f>
        <v/>
      </c>
      <c r="O716" s="23">
        <f>IF(OR(C716="",NOT(ISNUMBER(G716))),"",(TODAY()-INT(G716))/365.25)</f>
        <v/>
      </c>
      <c r="P716" s="13">
        <f>IF(OR(C716="",NOT(ISNUMBER(L716))),"",IF(L716&lt;TODAY(),"Ended",IF(L716-TODAY()&lt;=N(Settings!$C$10),"Ends soon","Covered")))</f>
        <v/>
      </c>
      <c r="Q716" s="13">
        <f>IF(C716="","",MID(IF(N716="",", value","")&amp;IF(OR(J716="",J716="No"),", receipt","")&amp;IF(K716="",", photo",""),3,100))</f>
        <v/>
      </c>
      <c r="R716" s="13">
        <f>IF(AND(B716="",C716=""),"",IF(C716="","Needs the item",IF(B716="","Needs a room",IF(COUNTIF(Rooms!$B$6:$B$35,B716)=0,"Not on Rooms",IF(AND(H716&lt;&gt;"",NOT(ISNUMBER(H716))),"Paid not a number",IF(AND(I716&lt;&gt;"",NOT(ISNUMBER(I716))),"Worth not a number",IF(AND(G716&lt;&gt;"",NOT(ISNUMBER(G716))),"Bought is not a date",IF(AND(L716&lt;&gt;"",NOT(ISNUMBER(L716))),"Warranty is not a date",""))))))))</f>
        <v/>
      </c>
      <c r="S716" s="1">
        <f>IF(AND(C716&lt;&gt;"",R716=""),1,0)</f>
        <v/>
      </c>
      <c r="T716">
        <f>IF(S716=1,N(N716),0)</f>
        <v/>
      </c>
      <c r="U716">
        <f>IF(AND(S716=1,T716&gt;0),ROUND(T716*100,0)*10000+10000-ROW(),"")</f>
        <v/>
      </c>
      <c r="V716">
        <f>IF(AND(S716=1,OR(Report!$C$5="",B716=Report!$C$5)),MATCH(B716,Rooms!$B$6:$B$35,0)*10000+ROW(),"")</f>
        <v/>
      </c>
      <c r="W716">
        <f>IF(AND(S716=1,OR(J716="",J716="No")),1,0)</f>
        <v/>
      </c>
      <c r="X716">
        <f>IF(AND(S716=1,K716=""),1,0)</f>
        <v/>
      </c>
      <c r="Y716">
        <f>IF(AND(S716=1,Q716&lt;&gt;""),ROUND(T716*100,0)*10000+10000-ROW(),"")</f>
        <v/>
      </c>
    </row>
    <row r="717">
      <c r="A717" s="1" t="n"/>
      <c r="B717" s="17" t="n"/>
      <c r="C717" s="18" t="n"/>
      <c r="D717" s="17" t="n"/>
      <c r="E717" s="19" t="n"/>
      <c r="F717" s="19" t="n"/>
      <c r="G717" s="20" t="n"/>
      <c r="H717" s="21" t="n"/>
      <c r="I717" s="21" t="n"/>
      <c r="J717" s="17" t="n"/>
      <c r="K717" s="19" t="n"/>
      <c r="L717" s="20" t="n"/>
      <c r="M717" s="19" t="n"/>
      <c r="N717" s="22">
        <f>IF(C717="","",IF(ISNUMBER(I717),I717,IF(ISNUMBER(H717),H717,"")))</f>
        <v/>
      </c>
      <c r="O717" s="23">
        <f>IF(OR(C717="",NOT(ISNUMBER(G717))),"",(TODAY()-INT(G717))/365.25)</f>
        <v/>
      </c>
      <c r="P717" s="13">
        <f>IF(OR(C717="",NOT(ISNUMBER(L717))),"",IF(L717&lt;TODAY(),"Ended",IF(L717-TODAY()&lt;=N(Settings!$C$10),"Ends soon","Covered")))</f>
        <v/>
      </c>
      <c r="Q717" s="13">
        <f>IF(C717="","",MID(IF(N717="",", value","")&amp;IF(OR(J717="",J717="No"),", receipt","")&amp;IF(K717="",", photo",""),3,100))</f>
        <v/>
      </c>
      <c r="R717" s="13">
        <f>IF(AND(B717="",C717=""),"",IF(C717="","Needs the item",IF(B717="","Needs a room",IF(COUNTIF(Rooms!$B$6:$B$35,B717)=0,"Not on Rooms",IF(AND(H717&lt;&gt;"",NOT(ISNUMBER(H717))),"Paid not a number",IF(AND(I717&lt;&gt;"",NOT(ISNUMBER(I717))),"Worth not a number",IF(AND(G717&lt;&gt;"",NOT(ISNUMBER(G717))),"Bought is not a date",IF(AND(L717&lt;&gt;"",NOT(ISNUMBER(L717))),"Warranty is not a date",""))))))))</f>
        <v/>
      </c>
      <c r="S717" s="1">
        <f>IF(AND(C717&lt;&gt;"",R717=""),1,0)</f>
        <v/>
      </c>
      <c r="T717">
        <f>IF(S717=1,N(N717),0)</f>
        <v/>
      </c>
      <c r="U717">
        <f>IF(AND(S717=1,T717&gt;0),ROUND(T717*100,0)*10000+10000-ROW(),"")</f>
        <v/>
      </c>
      <c r="V717">
        <f>IF(AND(S717=1,OR(Report!$C$5="",B717=Report!$C$5)),MATCH(B717,Rooms!$B$6:$B$35,0)*10000+ROW(),"")</f>
        <v/>
      </c>
      <c r="W717">
        <f>IF(AND(S717=1,OR(J717="",J717="No")),1,0)</f>
        <v/>
      </c>
      <c r="X717">
        <f>IF(AND(S717=1,K717=""),1,0)</f>
        <v/>
      </c>
      <c r="Y717">
        <f>IF(AND(S717=1,Q717&lt;&gt;""),ROUND(T717*100,0)*10000+10000-ROW(),"")</f>
        <v/>
      </c>
    </row>
    <row r="718">
      <c r="A718" s="1" t="n"/>
      <c r="B718" s="17" t="n"/>
      <c r="C718" s="18" t="n"/>
      <c r="D718" s="17" t="n"/>
      <c r="E718" s="19" t="n"/>
      <c r="F718" s="19" t="n"/>
      <c r="G718" s="20" t="n"/>
      <c r="H718" s="21" t="n"/>
      <c r="I718" s="21" t="n"/>
      <c r="J718" s="17" t="n"/>
      <c r="K718" s="19" t="n"/>
      <c r="L718" s="20" t="n"/>
      <c r="M718" s="19" t="n"/>
      <c r="N718" s="22">
        <f>IF(C718="","",IF(ISNUMBER(I718),I718,IF(ISNUMBER(H718),H718,"")))</f>
        <v/>
      </c>
      <c r="O718" s="23">
        <f>IF(OR(C718="",NOT(ISNUMBER(G718))),"",(TODAY()-INT(G718))/365.25)</f>
        <v/>
      </c>
      <c r="P718" s="13">
        <f>IF(OR(C718="",NOT(ISNUMBER(L718))),"",IF(L718&lt;TODAY(),"Ended",IF(L718-TODAY()&lt;=N(Settings!$C$10),"Ends soon","Covered")))</f>
        <v/>
      </c>
      <c r="Q718" s="13">
        <f>IF(C718="","",MID(IF(N718="",", value","")&amp;IF(OR(J718="",J718="No"),", receipt","")&amp;IF(K718="",", photo",""),3,100))</f>
        <v/>
      </c>
      <c r="R718" s="13">
        <f>IF(AND(B718="",C718=""),"",IF(C718="","Needs the item",IF(B718="","Needs a room",IF(COUNTIF(Rooms!$B$6:$B$35,B718)=0,"Not on Rooms",IF(AND(H718&lt;&gt;"",NOT(ISNUMBER(H718))),"Paid not a number",IF(AND(I718&lt;&gt;"",NOT(ISNUMBER(I718))),"Worth not a number",IF(AND(G718&lt;&gt;"",NOT(ISNUMBER(G718))),"Bought is not a date",IF(AND(L718&lt;&gt;"",NOT(ISNUMBER(L718))),"Warranty is not a date",""))))))))</f>
        <v/>
      </c>
      <c r="S718" s="1">
        <f>IF(AND(C718&lt;&gt;"",R718=""),1,0)</f>
        <v/>
      </c>
      <c r="T718">
        <f>IF(S718=1,N(N718),0)</f>
        <v/>
      </c>
      <c r="U718">
        <f>IF(AND(S718=1,T718&gt;0),ROUND(T718*100,0)*10000+10000-ROW(),"")</f>
        <v/>
      </c>
      <c r="V718">
        <f>IF(AND(S718=1,OR(Report!$C$5="",B718=Report!$C$5)),MATCH(B718,Rooms!$B$6:$B$35,0)*10000+ROW(),"")</f>
        <v/>
      </c>
      <c r="W718">
        <f>IF(AND(S718=1,OR(J718="",J718="No")),1,0)</f>
        <v/>
      </c>
      <c r="X718">
        <f>IF(AND(S718=1,K718=""),1,0)</f>
        <v/>
      </c>
      <c r="Y718">
        <f>IF(AND(S718=1,Q718&lt;&gt;""),ROUND(T718*100,0)*10000+10000-ROW(),"")</f>
        <v/>
      </c>
    </row>
    <row r="719">
      <c r="A719" s="1" t="n"/>
      <c r="B719" s="17" t="n"/>
      <c r="C719" s="18" t="n"/>
      <c r="D719" s="17" t="n"/>
      <c r="E719" s="19" t="n"/>
      <c r="F719" s="19" t="n"/>
      <c r="G719" s="20" t="n"/>
      <c r="H719" s="21" t="n"/>
      <c r="I719" s="21" t="n"/>
      <c r="J719" s="17" t="n"/>
      <c r="K719" s="19" t="n"/>
      <c r="L719" s="20" t="n"/>
      <c r="M719" s="19" t="n"/>
      <c r="N719" s="22">
        <f>IF(C719="","",IF(ISNUMBER(I719),I719,IF(ISNUMBER(H719),H719,"")))</f>
        <v/>
      </c>
      <c r="O719" s="23">
        <f>IF(OR(C719="",NOT(ISNUMBER(G719))),"",(TODAY()-INT(G719))/365.25)</f>
        <v/>
      </c>
      <c r="P719" s="13">
        <f>IF(OR(C719="",NOT(ISNUMBER(L719))),"",IF(L719&lt;TODAY(),"Ended",IF(L719-TODAY()&lt;=N(Settings!$C$10),"Ends soon","Covered")))</f>
        <v/>
      </c>
      <c r="Q719" s="13">
        <f>IF(C719="","",MID(IF(N719="",", value","")&amp;IF(OR(J719="",J719="No"),", receipt","")&amp;IF(K719="",", photo",""),3,100))</f>
        <v/>
      </c>
      <c r="R719" s="13">
        <f>IF(AND(B719="",C719=""),"",IF(C719="","Needs the item",IF(B719="","Needs a room",IF(COUNTIF(Rooms!$B$6:$B$35,B719)=0,"Not on Rooms",IF(AND(H719&lt;&gt;"",NOT(ISNUMBER(H719))),"Paid not a number",IF(AND(I719&lt;&gt;"",NOT(ISNUMBER(I719))),"Worth not a number",IF(AND(G719&lt;&gt;"",NOT(ISNUMBER(G719))),"Bought is not a date",IF(AND(L719&lt;&gt;"",NOT(ISNUMBER(L719))),"Warranty is not a date",""))))))))</f>
        <v/>
      </c>
      <c r="S719" s="1">
        <f>IF(AND(C719&lt;&gt;"",R719=""),1,0)</f>
        <v/>
      </c>
      <c r="T719">
        <f>IF(S719=1,N(N719),0)</f>
        <v/>
      </c>
      <c r="U719">
        <f>IF(AND(S719=1,T719&gt;0),ROUND(T719*100,0)*10000+10000-ROW(),"")</f>
        <v/>
      </c>
      <c r="V719">
        <f>IF(AND(S719=1,OR(Report!$C$5="",B719=Report!$C$5)),MATCH(B719,Rooms!$B$6:$B$35,0)*10000+ROW(),"")</f>
        <v/>
      </c>
      <c r="W719">
        <f>IF(AND(S719=1,OR(J719="",J719="No")),1,0)</f>
        <v/>
      </c>
      <c r="X719">
        <f>IF(AND(S719=1,K719=""),1,0)</f>
        <v/>
      </c>
      <c r="Y719">
        <f>IF(AND(S719=1,Q719&lt;&gt;""),ROUND(T719*100,0)*10000+10000-ROW(),"")</f>
        <v/>
      </c>
    </row>
    <row r="720">
      <c r="A720" s="1" t="n"/>
      <c r="B720" s="17" t="n"/>
      <c r="C720" s="18" t="n"/>
      <c r="D720" s="17" t="n"/>
      <c r="E720" s="19" t="n"/>
      <c r="F720" s="19" t="n"/>
      <c r="G720" s="20" t="n"/>
      <c r="H720" s="21" t="n"/>
      <c r="I720" s="21" t="n"/>
      <c r="J720" s="17" t="n"/>
      <c r="K720" s="19" t="n"/>
      <c r="L720" s="20" t="n"/>
      <c r="M720" s="19" t="n"/>
      <c r="N720" s="22">
        <f>IF(C720="","",IF(ISNUMBER(I720),I720,IF(ISNUMBER(H720),H720,"")))</f>
        <v/>
      </c>
      <c r="O720" s="23">
        <f>IF(OR(C720="",NOT(ISNUMBER(G720))),"",(TODAY()-INT(G720))/365.25)</f>
        <v/>
      </c>
      <c r="P720" s="13">
        <f>IF(OR(C720="",NOT(ISNUMBER(L720))),"",IF(L720&lt;TODAY(),"Ended",IF(L720-TODAY()&lt;=N(Settings!$C$10),"Ends soon","Covered")))</f>
        <v/>
      </c>
      <c r="Q720" s="13">
        <f>IF(C720="","",MID(IF(N720="",", value","")&amp;IF(OR(J720="",J720="No"),", receipt","")&amp;IF(K720="",", photo",""),3,100))</f>
        <v/>
      </c>
      <c r="R720" s="13">
        <f>IF(AND(B720="",C720=""),"",IF(C720="","Needs the item",IF(B720="","Needs a room",IF(COUNTIF(Rooms!$B$6:$B$35,B720)=0,"Not on Rooms",IF(AND(H720&lt;&gt;"",NOT(ISNUMBER(H720))),"Paid not a number",IF(AND(I720&lt;&gt;"",NOT(ISNUMBER(I720))),"Worth not a number",IF(AND(G720&lt;&gt;"",NOT(ISNUMBER(G720))),"Bought is not a date",IF(AND(L720&lt;&gt;"",NOT(ISNUMBER(L720))),"Warranty is not a date",""))))))))</f>
        <v/>
      </c>
      <c r="S720" s="1">
        <f>IF(AND(C720&lt;&gt;"",R720=""),1,0)</f>
        <v/>
      </c>
      <c r="T720">
        <f>IF(S720=1,N(N720),0)</f>
        <v/>
      </c>
      <c r="U720">
        <f>IF(AND(S720=1,T720&gt;0),ROUND(T720*100,0)*10000+10000-ROW(),"")</f>
        <v/>
      </c>
      <c r="V720">
        <f>IF(AND(S720=1,OR(Report!$C$5="",B720=Report!$C$5)),MATCH(B720,Rooms!$B$6:$B$35,0)*10000+ROW(),"")</f>
        <v/>
      </c>
      <c r="W720">
        <f>IF(AND(S720=1,OR(J720="",J720="No")),1,0)</f>
        <v/>
      </c>
      <c r="X720">
        <f>IF(AND(S720=1,K720=""),1,0)</f>
        <v/>
      </c>
      <c r="Y720">
        <f>IF(AND(S720=1,Q720&lt;&gt;""),ROUND(T720*100,0)*10000+10000-ROW(),"")</f>
        <v/>
      </c>
    </row>
    <row r="721">
      <c r="A721" s="1" t="n"/>
      <c r="B721" s="17" t="n"/>
      <c r="C721" s="18" t="n"/>
      <c r="D721" s="17" t="n"/>
      <c r="E721" s="19" t="n"/>
      <c r="F721" s="19" t="n"/>
      <c r="G721" s="20" t="n"/>
      <c r="H721" s="21" t="n"/>
      <c r="I721" s="21" t="n"/>
      <c r="J721" s="17" t="n"/>
      <c r="K721" s="19" t="n"/>
      <c r="L721" s="20" t="n"/>
      <c r="M721" s="19" t="n"/>
      <c r="N721" s="22">
        <f>IF(C721="","",IF(ISNUMBER(I721),I721,IF(ISNUMBER(H721),H721,"")))</f>
        <v/>
      </c>
      <c r="O721" s="23">
        <f>IF(OR(C721="",NOT(ISNUMBER(G721))),"",(TODAY()-INT(G721))/365.25)</f>
        <v/>
      </c>
      <c r="P721" s="13">
        <f>IF(OR(C721="",NOT(ISNUMBER(L721))),"",IF(L721&lt;TODAY(),"Ended",IF(L721-TODAY()&lt;=N(Settings!$C$10),"Ends soon","Covered")))</f>
        <v/>
      </c>
      <c r="Q721" s="13">
        <f>IF(C721="","",MID(IF(N721="",", value","")&amp;IF(OR(J721="",J721="No"),", receipt","")&amp;IF(K721="",", photo",""),3,100))</f>
        <v/>
      </c>
      <c r="R721" s="13">
        <f>IF(AND(B721="",C721=""),"",IF(C721="","Needs the item",IF(B721="","Needs a room",IF(COUNTIF(Rooms!$B$6:$B$35,B721)=0,"Not on Rooms",IF(AND(H721&lt;&gt;"",NOT(ISNUMBER(H721))),"Paid not a number",IF(AND(I721&lt;&gt;"",NOT(ISNUMBER(I721))),"Worth not a number",IF(AND(G721&lt;&gt;"",NOT(ISNUMBER(G721))),"Bought is not a date",IF(AND(L721&lt;&gt;"",NOT(ISNUMBER(L721))),"Warranty is not a date",""))))))))</f>
        <v/>
      </c>
      <c r="S721" s="1">
        <f>IF(AND(C721&lt;&gt;"",R721=""),1,0)</f>
        <v/>
      </c>
      <c r="T721">
        <f>IF(S721=1,N(N721),0)</f>
        <v/>
      </c>
      <c r="U721">
        <f>IF(AND(S721=1,T721&gt;0),ROUND(T721*100,0)*10000+10000-ROW(),"")</f>
        <v/>
      </c>
      <c r="V721">
        <f>IF(AND(S721=1,OR(Report!$C$5="",B721=Report!$C$5)),MATCH(B721,Rooms!$B$6:$B$35,0)*10000+ROW(),"")</f>
        <v/>
      </c>
      <c r="W721">
        <f>IF(AND(S721=1,OR(J721="",J721="No")),1,0)</f>
        <v/>
      </c>
      <c r="X721">
        <f>IF(AND(S721=1,K721=""),1,0)</f>
        <v/>
      </c>
      <c r="Y721">
        <f>IF(AND(S721=1,Q721&lt;&gt;""),ROUND(T721*100,0)*10000+10000-ROW(),"")</f>
        <v/>
      </c>
    </row>
    <row r="722">
      <c r="A722" s="1" t="n"/>
      <c r="B722" s="17" t="n"/>
      <c r="C722" s="18" t="n"/>
      <c r="D722" s="17" t="n"/>
      <c r="E722" s="19" t="n"/>
      <c r="F722" s="19" t="n"/>
      <c r="G722" s="20" t="n"/>
      <c r="H722" s="21" t="n"/>
      <c r="I722" s="21" t="n"/>
      <c r="J722" s="17" t="n"/>
      <c r="K722" s="19" t="n"/>
      <c r="L722" s="20" t="n"/>
      <c r="M722" s="19" t="n"/>
      <c r="N722" s="22">
        <f>IF(C722="","",IF(ISNUMBER(I722),I722,IF(ISNUMBER(H722),H722,"")))</f>
        <v/>
      </c>
      <c r="O722" s="23">
        <f>IF(OR(C722="",NOT(ISNUMBER(G722))),"",(TODAY()-INT(G722))/365.25)</f>
        <v/>
      </c>
      <c r="P722" s="13">
        <f>IF(OR(C722="",NOT(ISNUMBER(L722))),"",IF(L722&lt;TODAY(),"Ended",IF(L722-TODAY()&lt;=N(Settings!$C$10),"Ends soon","Covered")))</f>
        <v/>
      </c>
      <c r="Q722" s="13">
        <f>IF(C722="","",MID(IF(N722="",", value","")&amp;IF(OR(J722="",J722="No"),", receipt","")&amp;IF(K722="",", photo",""),3,100))</f>
        <v/>
      </c>
      <c r="R722" s="13">
        <f>IF(AND(B722="",C722=""),"",IF(C722="","Needs the item",IF(B722="","Needs a room",IF(COUNTIF(Rooms!$B$6:$B$35,B722)=0,"Not on Rooms",IF(AND(H722&lt;&gt;"",NOT(ISNUMBER(H722))),"Paid not a number",IF(AND(I722&lt;&gt;"",NOT(ISNUMBER(I722))),"Worth not a number",IF(AND(G722&lt;&gt;"",NOT(ISNUMBER(G722))),"Bought is not a date",IF(AND(L722&lt;&gt;"",NOT(ISNUMBER(L722))),"Warranty is not a date",""))))))))</f>
        <v/>
      </c>
      <c r="S722" s="1">
        <f>IF(AND(C722&lt;&gt;"",R722=""),1,0)</f>
        <v/>
      </c>
      <c r="T722">
        <f>IF(S722=1,N(N722),0)</f>
        <v/>
      </c>
      <c r="U722">
        <f>IF(AND(S722=1,T722&gt;0),ROUND(T722*100,0)*10000+10000-ROW(),"")</f>
        <v/>
      </c>
      <c r="V722">
        <f>IF(AND(S722=1,OR(Report!$C$5="",B722=Report!$C$5)),MATCH(B722,Rooms!$B$6:$B$35,0)*10000+ROW(),"")</f>
        <v/>
      </c>
      <c r="W722">
        <f>IF(AND(S722=1,OR(J722="",J722="No")),1,0)</f>
        <v/>
      </c>
      <c r="X722">
        <f>IF(AND(S722=1,K722=""),1,0)</f>
        <v/>
      </c>
      <c r="Y722">
        <f>IF(AND(S722=1,Q722&lt;&gt;""),ROUND(T722*100,0)*10000+10000-ROW(),"")</f>
        <v/>
      </c>
    </row>
    <row r="723">
      <c r="A723" s="1" t="n"/>
      <c r="B723" s="17" t="n"/>
      <c r="C723" s="18" t="n"/>
      <c r="D723" s="17" t="n"/>
      <c r="E723" s="19" t="n"/>
      <c r="F723" s="19" t="n"/>
      <c r="G723" s="20" t="n"/>
      <c r="H723" s="21" t="n"/>
      <c r="I723" s="21" t="n"/>
      <c r="J723" s="17" t="n"/>
      <c r="K723" s="19" t="n"/>
      <c r="L723" s="20" t="n"/>
      <c r="M723" s="19" t="n"/>
      <c r="N723" s="22">
        <f>IF(C723="","",IF(ISNUMBER(I723),I723,IF(ISNUMBER(H723),H723,"")))</f>
        <v/>
      </c>
      <c r="O723" s="23">
        <f>IF(OR(C723="",NOT(ISNUMBER(G723))),"",(TODAY()-INT(G723))/365.25)</f>
        <v/>
      </c>
      <c r="P723" s="13">
        <f>IF(OR(C723="",NOT(ISNUMBER(L723))),"",IF(L723&lt;TODAY(),"Ended",IF(L723-TODAY()&lt;=N(Settings!$C$10),"Ends soon","Covered")))</f>
        <v/>
      </c>
      <c r="Q723" s="13">
        <f>IF(C723="","",MID(IF(N723="",", value","")&amp;IF(OR(J723="",J723="No"),", receipt","")&amp;IF(K723="",", photo",""),3,100))</f>
        <v/>
      </c>
      <c r="R723" s="13">
        <f>IF(AND(B723="",C723=""),"",IF(C723="","Needs the item",IF(B723="","Needs a room",IF(COUNTIF(Rooms!$B$6:$B$35,B723)=0,"Not on Rooms",IF(AND(H723&lt;&gt;"",NOT(ISNUMBER(H723))),"Paid not a number",IF(AND(I723&lt;&gt;"",NOT(ISNUMBER(I723))),"Worth not a number",IF(AND(G723&lt;&gt;"",NOT(ISNUMBER(G723))),"Bought is not a date",IF(AND(L723&lt;&gt;"",NOT(ISNUMBER(L723))),"Warranty is not a date",""))))))))</f>
        <v/>
      </c>
      <c r="S723" s="1">
        <f>IF(AND(C723&lt;&gt;"",R723=""),1,0)</f>
        <v/>
      </c>
      <c r="T723">
        <f>IF(S723=1,N(N723),0)</f>
        <v/>
      </c>
      <c r="U723">
        <f>IF(AND(S723=1,T723&gt;0),ROUND(T723*100,0)*10000+10000-ROW(),"")</f>
        <v/>
      </c>
      <c r="V723">
        <f>IF(AND(S723=1,OR(Report!$C$5="",B723=Report!$C$5)),MATCH(B723,Rooms!$B$6:$B$35,0)*10000+ROW(),"")</f>
        <v/>
      </c>
      <c r="W723">
        <f>IF(AND(S723=1,OR(J723="",J723="No")),1,0)</f>
        <v/>
      </c>
      <c r="X723">
        <f>IF(AND(S723=1,K723=""),1,0)</f>
        <v/>
      </c>
      <c r="Y723">
        <f>IF(AND(S723=1,Q723&lt;&gt;""),ROUND(T723*100,0)*10000+10000-ROW(),"")</f>
        <v/>
      </c>
    </row>
    <row r="724">
      <c r="A724" s="1" t="n"/>
      <c r="B724" s="17" t="n"/>
      <c r="C724" s="18" t="n"/>
      <c r="D724" s="17" t="n"/>
      <c r="E724" s="19" t="n"/>
      <c r="F724" s="19" t="n"/>
      <c r="G724" s="20" t="n"/>
      <c r="H724" s="21" t="n"/>
      <c r="I724" s="21" t="n"/>
      <c r="J724" s="17" t="n"/>
      <c r="K724" s="19" t="n"/>
      <c r="L724" s="20" t="n"/>
      <c r="M724" s="19" t="n"/>
      <c r="N724" s="22">
        <f>IF(C724="","",IF(ISNUMBER(I724),I724,IF(ISNUMBER(H724),H724,"")))</f>
        <v/>
      </c>
      <c r="O724" s="23">
        <f>IF(OR(C724="",NOT(ISNUMBER(G724))),"",(TODAY()-INT(G724))/365.25)</f>
        <v/>
      </c>
      <c r="P724" s="13">
        <f>IF(OR(C724="",NOT(ISNUMBER(L724))),"",IF(L724&lt;TODAY(),"Ended",IF(L724-TODAY()&lt;=N(Settings!$C$10),"Ends soon","Covered")))</f>
        <v/>
      </c>
      <c r="Q724" s="13">
        <f>IF(C724="","",MID(IF(N724="",", value","")&amp;IF(OR(J724="",J724="No"),", receipt","")&amp;IF(K724="",", photo",""),3,100))</f>
        <v/>
      </c>
      <c r="R724" s="13">
        <f>IF(AND(B724="",C724=""),"",IF(C724="","Needs the item",IF(B724="","Needs a room",IF(COUNTIF(Rooms!$B$6:$B$35,B724)=0,"Not on Rooms",IF(AND(H724&lt;&gt;"",NOT(ISNUMBER(H724))),"Paid not a number",IF(AND(I724&lt;&gt;"",NOT(ISNUMBER(I724))),"Worth not a number",IF(AND(G724&lt;&gt;"",NOT(ISNUMBER(G724))),"Bought is not a date",IF(AND(L724&lt;&gt;"",NOT(ISNUMBER(L724))),"Warranty is not a date",""))))))))</f>
        <v/>
      </c>
      <c r="S724" s="1">
        <f>IF(AND(C724&lt;&gt;"",R724=""),1,0)</f>
        <v/>
      </c>
      <c r="T724">
        <f>IF(S724=1,N(N724),0)</f>
        <v/>
      </c>
      <c r="U724">
        <f>IF(AND(S724=1,T724&gt;0),ROUND(T724*100,0)*10000+10000-ROW(),"")</f>
        <v/>
      </c>
      <c r="V724">
        <f>IF(AND(S724=1,OR(Report!$C$5="",B724=Report!$C$5)),MATCH(B724,Rooms!$B$6:$B$35,0)*10000+ROW(),"")</f>
        <v/>
      </c>
      <c r="W724">
        <f>IF(AND(S724=1,OR(J724="",J724="No")),1,0)</f>
        <v/>
      </c>
      <c r="X724">
        <f>IF(AND(S724=1,K724=""),1,0)</f>
        <v/>
      </c>
      <c r="Y724">
        <f>IF(AND(S724=1,Q724&lt;&gt;""),ROUND(T724*100,0)*10000+10000-ROW(),"")</f>
        <v/>
      </c>
    </row>
    <row r="725">
      <c r="A725" s="1" t="n"/>
      <c r="B725" s="17" t="n"/>
      <c r="C725" s="18" t="n"/>
      <c r="D725" s="17" t="n"/>
      <c r="E725" s="19" t="n"/>
      <c r="F725" s="19" t="n"/>
      <c r="G725" s="20" t="n"/>
      <c r="H725" s="21" t="n"/>
      <c r="I725" s="21" t="n"/>
      <c r="J725" s="17" t="n"/>
      <c r="K725" s="19" t="n"/>
      <c r="L725" s="20" t="n"/>
      <c r="M725" s="19" t="n"/>
      <c r="N725" s="22">
        <f>IF(C725="","",IF(ISNUMBER(I725),I725,IF(ISNUMBER(H725),H725,"")))</f>
        <v/>
      </c>
      <c r="O725" s="23">
        <f>IF(OR(C725="",NOT(ISNUMBER(G725))),"",(TODAY()-INT(G725))/365.25)</f>
        <v/>
      </c>
      <c r="P725" s="13">
        <f>IF(OR(C725="",NOT(ISNUMBER(L725))),"",IF(L725&lt;TODAY(),"Ended",IF(L725-TODAY()&lt;=N(Settings!$C$10),"Ends soon","Covered")))</f>
        <v/>
      </c>
      <c r="Q725" s="13">
        <f>IF(C725="","",MID(IF(N725="",", value","")&amp;IF(OR(J725="",J725="No"),", receipt","")&amp;IF(K725="",", photo",""),3,100))</f>
        <v/>
      </c>
      <c r="R725" s="13">
        <f>IF(AND(B725="",C725=""),"",IF(C725="","Needs the item",IF(B725="","Needs a room",IF(COUNTIF(Rooms!$B$6:$B$35,B725)=0,"Not on Rooms",IF(AND(H725&lt;&gt;"",NOT(ISNUMBER(H725))),"Paid not a number",IF(AND(I725&lt;&gt;"",NOT(ISNUMBER(I725))),"Worth not a number",IF(AND(G725&lt;&gt;"",NOT(ISNUMBER(G725))),"Bought is not a date",IF(AND(L725&lt;&gt;"",NOT(ISNUMBER(L725))),"Warranty is not a date",""))))))))</f>
        <v/>
      </c>
      <c r="S725" s="1">
        <f>IF(AND(C725&lt;&gt;"",R725=""),1,0)</f>
        <v/>
      </c>
      <c r="T725">
        <f>IF(S725=1,N(N725),0)</f>
        <v/>
      </c>
      <c r="U725">
        <f>IF(AND(S725=1,T725&gt;0),ROUND(T725*100,0)*10000+10000-ROW(),"")</f>
        <v/>
      </c>
      <c r="V725">
        <f>IF(AND(S725=1,OR(Report!$C$5="",B725=Report!$C$5)),MATCH(B725,Rooms!$B$6:$B$35,0)*10000+ROW(),"")</f>
        <v/>
      </c>
      <c r="W725">
        <f>IF(AND(S725=1,OR(J725="",J725="No")),1,0)</f>
        <v/>
      </c>
      <c r="X725">
        <f>IF(AND(S725=1,K725=""),1,0)</f>
        <v/>
      </c>
      <c r="Y725">
        <f>IF(AND(S725=1,Q725&lt;&gt;""),ROUND(T725*100,0)*10000+10000-ROW(),"")</f>
        <v/>
      </c>
    </row>
    <row r="726">
      <c r="A726" s="1" t="n"/>
      <c r="B726" s="17" t="n"/>
      <c r="C726" s="18" t="n"/>
      <c r="D726" s="17" t="n"/>
      <c r="E726" s="19" t="n"/>
      <c r="F726" s="19" t="n"/>
      <c r="G726" s="20" t="n"/>
      <c r="H726" s="21" t="n"/>
      <c r="I726" s="21" t="n"/>
      <c r="J726" s="17" t="n"/>
      <c r="K726" s="19" t="n"/>
      <c r="L726" s="20" t="n"/>
      <c r="M726" s="19" t="n"/>
      <c r="N726" s="22">
        <f>IF(C726="","",IF(ISNUMBER(I726),I726,IF(ISNUMBER(H726),H726,"")))</f>
        <v/>
      </c>
      <c r="O726" s="23">
        <f>IF(OR(C726="",NOT(ISNUMBER(G726))),"",(TODAY()-INT(G726))/365.25)</f>
        <v/>
      </c>
      <c r="P726" s="13">
        <f>IF(OR(C726="",NOT(ISNUMBER(L726))),"",IF(L726&lt;TODAY(),"Ended",IF(L726-TODAY()&lt;=N(Settings!$C$10),"Ends soon","Covered")))</f>
        <v/>
      </c>
      <c r="Q726" s="13">
        <f>IF(C726="","",MID(IF(N726="",", value","")&amp;IF(OR(J726="",J726="No"),", receipt","")&amp;IF(K726="",", photo",""),3,100))</f>
        <v/>
      </c>
      <c r="R726" s="13">
        <f>IF(AND(B726="",C726=""),"",IF(C726="","Needs the item",IF(B726="","Needs a room",IF(COUNTIF(Rooms!$B$6:$B$35,B726)=0,"Not on Rooms",IF(AND(H726&lt;&gt;"",NOT(ISNUMBER(H726))),"Paid not a number",IF(AND(I726&lt;&gt;"",NOT(ISNUMBER(I726))),"Worth not a number",IF(AND(G726&lt;&gt;"",NOT(ISNUMBER(G726))),"Bought is not a date",IF(AND(L726&lt;&gt;"",NOT(ISNUMBER(L726))),"Warranty is not a date",""))))))))</f>
        <v/>
      </c>
      <c r="S726" s="1">
        <f>IF(AND(C726&lt;&gt;"",R726=""),1,0)</f>
        <v/>
      </c>
      <c r="T726">
        <f>IF(S726=1,N(N726),0)</f>
        <v/>
      </c>
      <c r="U726">
        <f>IF(AND(S726=1,T726&gt;0),ROUND(T726*100,0)*10000+10000-ROW(),"")</f>
        <v/>
      </c>
      <c r="V726">
        <f>IF(AND(S726=1,OR(Report!$C$5="",B726=Report!$C$5)),MATCH(B726,Rooms!$B$6:$B$35,0)*10000+ROW(),"")</f>
        <v/>
      </c>
      <c r="W726">
        <f>IF(AND(S726=1,OR(J726="",J726="No")),1,0)</f>
        <v/>
      </c>
      <c r="X726">
        <f>IF(AND(S726=1,K726=""),1,0)</f>
        <v/>
      </c>
      <c r="Y726">
        <f>IF(AND(S726=1,Q726&lt;&gt;""),ROUND(T726*100,0)*10000+10000-ROW(),"")</f>
        <v/>
      </c>
    </row>
    <row r="727">
      <c r="A727" s="1" t="n"/>
      <c r="B727" s="17" t="n"/>
      <c r="C727" s="18" t="n"/>
      <c r="D727" s="17" t="n"/>
      <c r="E727" s="19" t="n"/>
      <c r="F727" s="19" t="n"/>
      <c r="G727" s="20" t="n"/>
      <c r="H727" s="21" t="n"/>
      <c r="I727" s="21" t="n"/>
      <c r="J727" s="17" t="n"/>
      <c r="K727" s="19" t="n"/>
      <c r="L727" s="20" t="n"/>
      <c r="M727" s="19" t="n"/>
      <c r="N727" s="22">
        <f>IF(C727="","",IF(ISNUMBER(I727),I727,IF(ISNUMBER(H727),H727,"")))</f>
        <v/>
      </c>
      <c r="O727" s="23">
        <f>IF(OR(C727="",NOT(ISNUMBER(G727))),"",(TODAY()-INT(G727))/365.25)</f>
        <v/>
      </c>
      <c r="P727" s="13">
        <f>IF(OR(C727="",NOT(ISNUMBER(L727))),"",IF(L727&lt;TODAY(),"Ended",IF(L727-TODAY()&lt;=N(Settings!$C$10),"Ends soon","Covered")))</f>
        <v/>
      </c>
      <c r="Q727" s="13">
        <f>IF(C727="","",MID(IF(N727="",", value","")&amp;IF(OR(J727="",J727="No"),", receipt","")&amp;IF(K727="",", photo",""),3,100))</f>
        <v/>
      </c>
      <c r="R727" s="13">
        <f>IF(AND(B727="",C727=""),"",IF(C727="","Needs the item",IF(B727="","Needs a room",IF(COUNTIF(Rooms!$B$6:$B$35,B727)=0,"Not on Rooms",IF(AND(H727&lt;&gt;"",NOT(ISNUMBER(H727))),"Paid not a number",IF(AND(I727&lt;&gt;"",NOT(ISNUMBER(I727))),"Worth not a number",IF(AND(G727&lt;&gt;"",NOT(ISNUMBER(G727))),"Bought is not a date",IF(AND(L727&lt;&gt;"",NOT(ISNUMBER(L727))),"Warranty is not a date",""))))))))</f>
        <v/>
      </c>
      <c r="S727" s="1">
        <f>IF(AND(C727&lt;&gt;"",R727=""),1,0)</f>
        <v/>
      </c>
      <c r="T727">
        <f>IF(S727=1,N(N727),0)</f>
        <v/>
      </c>
      <c r="U727">
        <f>IF(AND(S727=1,T727&gt;0),ROUND(T727*100,0)*10000+10000-ROW(),"")</f>
        <v/>
      </c>
      <c r="V727">
        <f>IF(AND(S727=1,OR(Report!$C$5="",B727=Report!$C$5)),MATCH(B727,Rooms!$B$6:$B$35,0)*10000+ROW(),"")</f>
        <v/>
      </c>
      <c r="W727">
        <f>IF(AND(S727=1,OR(J727="",J727="No")),1,0)</f>
        <v/>
      </c>
      <c r="X727">
        <f>IF(AND(S727=1,K727=""),1,0)</f>
        <v/>
      </c>
      <c r="Y727">
        <f>IF(AND(S727=1,Q727&lt;&gt;""),ROUND(T727*100,0)*10000+10000-ROW(),"")</f>
        <v/>
      </c>
    </row>
    <row r="728">
      <c r="A728" s="1" t="n"/>
      <c r="B728" s="17" t="n"/>
      <c r="C728" s="18" t="n"/>
      <c r="D728" s="17" t="n"/>
      <c r="E728" s="19" t="n"/>
      <c r="F728" s="19" t="n"/>
      <c r="G728" s="20" t="n"/>
      <c r="H728" s="21" t="n"/>
      <c r="I728" s="21" t="n"/>
      <c r="J728" s="17" t="n"/>
      <c r="K728" s="19" t="n"/>
      <c r="L728" s="20" t="n"/>
      <c r="M728" s="19" t="n"/>
      <c r="N728" s="22">
        <f>IF(C728="","",IF(ISNUMBER(I728),I728,IF(ISNUMBER(H728),H728,"")))</f>
        <v/>
      </c>
      <c r="O728" s="23">
        <f>IF(OR(C728="",NOT(ISNUMBER(G728))),"",(TODAY()-INT(G728))/365.25)</f>
        <v/>
      </c>
      <c r="P728" s="13">
        <f>IF(OR(C728="",NOT(ISNUMBER(L728))),"",IF(L728&lt;TODAY(),"Ended",IF(L728-TODAY()&lt;=N(Settings!$C$10),"Ends soon","Covered")))</f>
        <v/>
      </c>
      <c r="Q728" s="13">
        <f>IF(C728="","",MID(IF(N728="",", value","")&amp;IF(OR(J728="",J728="No"),", receipt","")&amp;IF(K728="",", photo",""),3,100))</f>
        <v/>
      </c>
      <c r="R728" s="13">
        <f>IF(AND(B728="",C728=""),"",IF(C728="","Needs the item",IF(B728="","Needs a room",IF(COUNTIF(Rooms!$B$6:$B$35,B728)=0,"Not on Rooms",IF(AND(H728&lt;&gt;"",NOT(ISNUMBER(H728))),"Paid not a number",IF(AND(I728&lt;&gt;"",NOT(ISNUMBER(I728))),"Worth not a number",IF(AND(G728&lt;&gt;"",NOT(ISNUMBER(G728))),"Bought is not a date",IF(AND(L728&lt;&gt;"",NOT(ISNUMBER(L728))),"Warranty is not a date",""))))))))</f>
        <v/>
      </c>
      <c r="S728" s="1">
        <f>IF(AND(C728&lt;&gt;"",R728=""),1,0)</f>
        <v/>
      </c>
      <c r="T728">
        <f>IF(S728=1,N(N728),0)</f>
        <v/>
      </c>
      <c r="U728">
        <f>IF(AND(S728=1,T728&gt;0),ROUND(T728*100,0)*10000+10000-ROW(),"")</f>
        <v/>
      </c>
      <c r="V728">
        <f>IF(AND(S728=1,OR(Report!$C$5="",B728=Report!$C$5)),MATCH(B728,Rooms!$B$6:$B$35,0)*10000+ROW(),"")</f>
        <v/>
      </c>
      <c r="W728">
        <f>IF(AND(S728=1,OR(J728="",J728="No")),1,0)</f>
        <v/>
      </c>
      <c r="X728">
        <f>IF(AND(S728=1,K728=""),1,0)</f>
        <v/>
      </c>
      <c r="Y728">
        <f>IF(AND(S728=1,Q728&lt;&gt;""),ROUND(T728*100,0)*10000+10000-ROW(),"")</f>
        <v/>
      </c>
    </row>
    <row r="729">
      <c r="A729" s="1" t="n"/>
      <c r="B729" s="17" t="n"/>
      <c r="C729" s="18" t="n"/>
      <c r="D729" s="17" t="n"/>
      <c r="E729" s="19" t="n"/>
      <c r="F729" s="19" t="n"/>
      <c r="G729" s="20" t="n"/>
      <c r="H729" s="21" t="n"/>
      <c r="I729" s="21" t="n"/>
      <c r="J729" s="17" t="n"/>
      <c r="K729" s="19" t="n"/>
      <c r="L729" s="20" t="n"/>
      <c r="M729" s="19" t="n"/>
      <c r="N729" s="22">
        <f>IF(C729="","",IF(ISNUMBER(I729),I729,IF(ISNUMBER(H729),H729,"")))</f>
        <v/>
      </c>
      <c r="O729" s="23">
        <f>IF(OR(C729="",NOT(ISNUMBER(G729))),"",(TODAY()-INT(G729))/365.25)</f>
        <v/>
      </c>
      <c r="P729" s="13">
        <f>IF(OR(C729="",NOT(ISNUMBER(L729))),"",IF(L729&lt;TODAY(),"Ended",IF(L729-TODAY()&lt;=N(Settings!$C$10),"Ends soon","Covered")))</f>
        <v/>
      </c>
      <c r="Q729" s="13">
        <f>IF(C729="","",MID(IF(N729="",", value","")&amp;IF(OR(J729="",J729="No"),", receipt","")&amp;IF(K729="",", photo",""),3,100))</f>
        <v/>
      </c>
      <c r="R729" s="13">
        <f>IF(AND(B729="",C729=""),"",IF(C729="","Needs the item",IF(B729="","Needs a room",IF(COUNTIF(Rooms!$B$6:$B$35,B729)=0,"Not on Rooms",IF(AND(H729&lt;&gt;"",NOT(ISNUMBER(H729))),"Paid not a number",IF(AND(I729&lt;&gt;"",NOT(ISNUMBER(I729))),"Worth not a number",IF(AND(G729&lt;&gt;"",NOT(ISNUMBER(G729))),"Bought is not a date",IF(AND(L729&lt;&gt;"",NOT(ISNUMBER(L729))),"Warranty is not a date",""))))))))</f>
        <v/>
      </c>
      <c r="S729" s="1">
        <f>IF(AND(C729&lt;&gt;"",R729=""),1,0)</f>
        <v/>
      </c>
      <c r="T729">
        <f>IF(S729=1,N(N729),0)</f>
        <v/>
      </c>
      <c r="U729">
        <f>IF(AND(S729=1,T729&gt;0),ROUND(T729*100,0)*10000+10000-ROW(),"")</f>
        <v/>
      </c>
      <c r="V729">
        <f>IF(AND(S729=1,OR(Report!$C$5="",B729=Report!$C$5)),MATCH(B729,Rooms!$B$6:$B$35,0)*10000+ROW(),"")</f>
        <v/>
      </c>
      <c r="W729">
        <f>IF(AND(S729=1,OR(J729="",J729="No")),1,0)</f>
        <v/>
      </c>
      <c r="X729">
        <f>IF(AND(S729=1,K729=""),1,0)</f>
        <v/>
      </c>
      <c r="Y729">
        <f>IF(AND(S729=1,Q729&lt;&gt;""),ROUND(T729*100,0)*10000+10000-ROW(),"")</f>
        <v/>
      </c>
    </row>
    <row r="730">
      <c r="A730" s="1" t="n"/>
      <c r="B730" s="17" t="n"/>
      <c r="C730" s="18" t="n"/>
      <c r="D730" s="17" t="n"/>
      <c r="E730" s="19" t="n"/>
      <c r="F730" s="19" t="n"/>
      <c r="G730" s="20" t="n"/>
      <c r="H730" s="21" t="n"/>
      <c r="I730" s="21" t="n"/>
      <c r="J730" s="17" t="n"/>
      <c r="K730" s="19" t="n"/>
      <c r="L730" s="20" t="n"/>
      <c r="M730" s="19" t="n"/>
      <c r="N730" s="22">
        <f>IF(C730="","",IF(ISNUMBER(I730),I730,IF(ISNUMBER(H730),H730,"")))</f>
        <v/>
      </c>
      <c r="O730" s="23">
        <f>IF(OR(C730="",NOT(ISNUMBER(G730))),"",(TODAY()-INT(G730))/365.25)</f>
        <v/>
      </c>
      <c r="P730" s="13">
        <f>IF(OR(C730="",NOT(ISNUMBER(L730))),"",IF(L730&lt;TODAY(),"Ended",IF(L730-TODAY()&lt;=N(Settings!$C$10),"Ends soon","Covered")))</f>
        <v/>
      </c>
      <c r="Q730" s="13">
        <f>IF(C730="","",MID(IF(N730="",", value","")&amp;IF(OR(J730="",J730="No"),", receipt","")&amp;IF(K730="",", photo",""),3,100))</f>
        <v/>
      </c>
      <c r="R730" s="13">
        <f>IF(AND(B730="",C730=""),"",IF(C730="","Needs the item",IF(B730="","Needs a room",IF(COUNTIF(Rooms!$B$6:$B$35,B730)=0,"Not on Rooms",IF(AND(H730&lt;&gt;"",NOT(ISNUMBER(H730))),"Paid not a number",IF(AND(I730&lt;&gt;"",NOT(ISNUMBER(I730))),"Worth not a number",IF(AND(G730&lt;&gt;"",NOT(ISNUMBER(G730))),"Bought is not a date",IF(AND(L730&lt;&gt;"",NOT(ISNUMBER(L730))),"Warranty is not a date",""))))))))</f>
        <v/>
      </c>
      <c r="S730" s="1">
        <f>IF(AND(C730&lt;&gt;"",R730=""),1,0)</f>
        <v/>
      </c>
      <c r="T730">
        <f>IF(S730=1,N(N730),0)</f>
        <v/>
      </c>
      <c r="U730">
        <f>IF(AND(S730=1,T730&gt;0),ROUND(T730*100,0)*10000+10000-ROW(),"")</f>
        <v/>
      </c>
      <c r="V730">
        <f>IF(AND(S730=1,OR(Report!$C$5="",B730=Report!$C$5)),MATCH(B730,Rooms!$B$6:$B$35,0)*10000+ROW(),"")</f>
        <v/>
      </c>
      <c r="W730">
        <f>IF(AND(S730=1,OR(J730="",J730="No")),1,0)</f>
        <v/>
      </c>
      <c r="X730">
        <f>IF(AND(S730=1,K730=""),1,0)</f>
        <v/>
      </c>
      <c r="Y730">
        <f>IF(AND(S730=1,Q730&lt;&gt;""),ROUND(T730*100,0)*10000+10000-ROW(),"")</f>
        <v/>
      </c>
    </row>
    <row r="731">
      <c r="A731" s="1" t="n"/>
      <c r="B731" s="17" t="n"/>
      <c r="C731" s="18" t="n"/>
      <c r="D731" s="17" t="n"/>
      <c r="E731" s="19" t="n"/>
      <c r="F731" s="19" t="n"/>
      <c r="G731" s="20" t="n"/>
      <c r="H731" s="21" t="n"/>
      <c r="I731" s="21" t="n"/>
      <c r="J731" s="17" t="n"/>
      <c r="K731" s="19" t="n"/>
      <c r="L731" s="20" t="n"/>
      <c r="M731" s="19" t="n"/>
      <c r="N731" s="22">
        <f>IF(C731="","",IF(ISNUMBER(I731),I731,IF(ISNUMBER(H731),H731,"")))</f>
        <v/>
      </c>
      <c r="O731" s="23">
        <f>IF(OR(C731="",NOT(ISNUMBER(G731))),"",(TODAY()-INT(G731))/365.25)</f>
        <v/>
      </c>
      <c r="P731" s="13">
        <f>IF(OR(C731="",NOT(ISNUMBER(L731))),"",IF(L731&lt;TODAY(),"Ended",IF(L731-TODAY()&lt;=N(Settings!$C$10),"Ends soon","Covered")))</f>
        <v/>
      </c>
      <c r="Q731" s="13">
        <f>IF(C731="","",MID(IF(N731="",", value","")&amp;IF(OR(J731="",J731="No"),", receipt","")&amp;IF(K731="",", photo",""),3,100))</f>
        <v/>
      </c>
      <c r="R731" s="13">
        <f>IF(AND(B731="",C731=""),"",IF(C731="","Needs the item",IF(B731="","Needs a room",IF(COUNTIF(Rooms!$B$6:$B$35,B731)=0,"Not on Rooms",IF(AND(H731&lt;&gt;"",NOT(ISNUMBER(H731))),"Paid not a number",IF(AND(I731&lt;&gt;"",NOT(ISNUMBER(I731))),"Worth not a number",IF(AND(G731&lt;&gt;"",NOT(ISNUMBER(G731))),"Bought is not a date",IF(AND(L731&lt;&gt;"",NOT(ISNUMBER(L731))),"Warranty is not a date",""))))))))</f>
        <v/>
      </c>
      <c r="S731" s="1">
        <f>IF(AND(C731&lt;&gt;"",R731=""),1,0)</f>
        <v/>
      </c>
      <c r="T731">
        <f>IF(S731=1,N(N731),0)</f>
        <v/>
      </c>
      <c r="U731">
        <f>IF(AND(S731=1,T731&gt;0),ROUND(T731*100,0)*10000+10000-ROW(),"")</f>
        <v/>
      </c>
      <c r="V731">
        <f>IF(AND(S731=1,OR(Report!$C$5="",B731=Report!$C$5)),MATCH(B731,Rooms!$B$6:$B$35,0)*10000+ROW(),"")</f>
        <v/>
      </c>
      <c r="W731">
        <f>IF(AND(S731=1,OR(J731="",J731="No")),1,0)</f>
        <v/>
      </c>
      <c r="X731">
        <f>IF(AND(S731=1,K731=""),1,0)</f>
        <v/>
      </c>
      <c r="Y731">
        <f>IF(AND(S731=1,Q731&lt;&gt;""),ROUND(T731*100,0)*10000+10000-ROW(),"")</f>
        <v/>
      </c>
    </row>
    <row r="732">
      <c r="A732" s="1" t="n"/>
      <c r="B732" s="17" t="n"/>
      <c r="C732" s="18" t="n"/>
      <c r="D732" s="17" t="n"/>
      <c r="E732" s="19" t="n"/>
      <c r="F732" s="19" t="n"/>
      <c r="G732" s="20" t="n"/>
      <c r="H732" s="21" t="n"/>
      <c r="I732" s="21" t="n"/>
      <c r="J732" s="17" t="n"/>
      <c r="K732" s="19" t="n"/>
      <c r="L732" s="20" t="n"/>
      <c r="M732" s="19" t="n"/>
      <c r="N732" s="22">
        <f>IF(C732="","",IF(ISNUMBER(I732),I732,IF(ISNUMBER(H732),H732,"")))</f>
        <v/>
      </c>
      <c r="O732" s="23">
        <f>IF(OR(C732="",NOT(ISNUMBER(G732))),"",(TODAY()-INT(G732))/365.25)</f>
        <v/>
      </c>
      <c r="P732" s="13">
        <f>IF(OR(C732="",NOT(ISNUMBER(L732))),"",IF(L732&lt;TODAY(),"Ended",IF(L732-TODAY()&lt;=N(Settings!$C$10),"Ends soon","Covered")))</f>
        <v/>
      </c>
      <c r="Q732" s="13">
        <f>IF(C732="","",MID(IF(N732="",", value","")&amp;IF(OR(J732="",J732="No"),", receipt","")&amp;IF(K732="",", photo",""),3,100))</f>
        <v/>
      </c>
      <c r="R732" s="13">
        <f>IF(AND(B732="",C732=""),"",IF(C732="","Needs the item",IF(B732="","Needs a room",IF(COUNTIF(Rooms!$B$6:$B$35,B732)=0,"Not on Rooms",IF(AND(H732&lt;&gt;"",NOT(ISNUMBER(H732))),"Paid not a number",IF(AND(I732&lt;&gt;"",NOT(ISNUMBER(I732))),"Worth not a number",IF(AND(G732&lt;&gt;"",NOT(ISNUMBER(G732))),"Bought is not a date",IF(AND(L732&lt;&gt;"",NOT(ISNUMBER(L732))),"Warranty is not a date",""))))))))</f>
        <v/>
      </c>
      <c r="S732" s="1">
        <f>IF(AND(C732&lt;&gt;"",R732=""),1,0)</f>
        <v/>
      </c>
      <c r="T732">
        <f>IF(S732=1,N(N732),0)</f>
        <v/>
      </c>
      <c r="U732">
        <f>IF(AND(S732=1,T732&gt;0),ROUND(T732*100,0)*10000+10000-ROW(),"")</f>
        <v/>
      </c>
      <c r="V732">
        <f>IF(AND(S732=1,OR(Report!$C$5="",B732=Report!$C$5)),MATCH(B732,Rooms!$B$6:$B$35,0)*10000+ROW(),"")</f>
        <v/>
      </c>
      <c r="W732">
        <f>IF(AND(S732=1,OR(J732="",J732="No")),1,0)</f>
        <v/>
      </c>
      <c r="X732">
        <f>IF(AND(S732=1,K732=""),1,0)</f>
        <v/>
      </c>
      <c r="Y732">
        <f>IF(AND(S732=1,Q732&lt;&gt;""),ROUND(T732*100,0)*10000+10000-ROW(),"")</f>
        <v/>
      </c>
    </row>
    <row r="733">
      <c r="A733" s="1" t="n"/>
      <c r="B733" s="17" t="n"/>
      <c r="C733" s="18" t="n"/>
      <c r="D733" s="17" t="n"/>
      <c r="E733" s="19" t="n"/>
      <c r="F733" s="19" t="n"/>
      <c r="G733" s="20" t="n"/>
      <c r="H733" s="21" t="n"/>
      <c r="I733" s="21" t="n"/>
      <c r="J733" s="17" t="n"/>
      <c r="K733" s="19" t="n"/>
      <c r="L733" s="20" t="n"/>
      <c r="M733" s="19" t="n"/>
      <c r="N733" s="22">
        <f>IF(C733="","",IF(ISNUMBER(I733),I733,IF(ISNUMBER(H733),H733,"")))</f>
        <v/>
      </c>
      <c r="O733" s="23">
        <f>IF(OR(C733="",NOT(ISNUMBER(G733))),"",(TODAY()-INT(G733))/365.25)</f>
        <v/>
      </c>
      <c r="P733" s="13">
        <f>IF(OR(C733="",NOT(ISNUMBER(L733))),"",IF(L733&lt;TODAY(),"Ended",IF(L733-TODAY()&lt;=N(Settings!$C$10),"Ends soon","Covered")))</f>
        <v/>
      </c>
      <c r="Q733" s="13">
        <f>IF(C733="","",MID(IF(N733="",", value","")&amp;IF(OR(J733="",J733="No"),", receipt","")&amp;IF(K733="",", photo",""),3,100))</f>
        <v/>
      </c>
      <c r="R733" s="13">
        <f>IF(AND(B733="",C733=""),"",IF(C733="","Needs the item",IF(B733="","Needs a room",IF(COUNTIF(Rooms!$B$6:$B$35,B733)=0,"Not on Rooms",IF(AND(H733&lt;&gt;"",NOT(ISNUMBER(H733))),"Paid not a number",IF(AND(I733&lt;&gt;"",NOT(ISNUMBER(I733))),"Worth not a number",IF(AND(G733&lt;&gt;"",NOT(ISNUMBER(G733))),"Bought is not a date",IF(AND(L733&lt;&gt;"",NOT(ISNUMBER(L733))),"Warranty is not a date",""))))))))</f>
        <v/>
      </c>
      <c r="S733" s="1">
        <f>IF(AND(C733&lt;&gt;"",R733=""),1,0)</f>
        <v/>
      </c>
      <c r="T733">
        <f>IF(S733=1,N(N733),0)</f>
        <v/>
      </c>
      <c r="U733">
        <f>IF(AND(S733=1,T733&gt;0),ROUND(T733*100,0)*10000+10000-ROW(),"")</f>
        <v/>
      </c>
      <c r="V733">
        <f>IF(AND(S733=1,OR(Report!$C$5="",B733=Report!$C$5)),MATCH(B733,Rooms!$B$6:$B$35,0)*10000+ROW(),"")</f>
        <v/>
      </c>
      <c r="W733">
        <f>IF(AND(S733=1,OR(J733="",J733="No")),1,0)</f>
        <v/>
      </c>
      <c r="X733">
        <f>IF(AND(S733=1,K733=""),1,0)</f>
        <v/>
      </c>
      <c r="Y733">
        <f>IF(AND(S733=1,Q733&lt;&gt;""),ROUND(T733*100,0)*10000+10000-ROW(),"")</f>
        <v/>
      </c>
    </row>
    <row r="734">
      <c r="A734" s="1" t="n"/>
      <c r="B734" s="17" t="n"/>
      <c r="C734" s="18" t="n"/>
      <c r="D734" s="17" t="n"/>
      <c r="E734" s="19" t="n"/>
      <c r="F734" s="19" t="n"/>
      <c r="G734" s="20" t="n"/>
      <c r="H734" s="21" t="n"/>
      <c r="I734" s="21" t="n"/>
      <c r="J734" s="17" t="n"/>
      <c r="K734" s="19" t="n"/>
      <c r="L734" s="20" t="n"/>
      <c r="M734" s="19" t="n"/>
      <c r="N734" s="22">
        <f>IF(C734="","",IF(ISNUMBER(I734),I734,IF(ISNUMBER(H734),H734,"")))</f>
        <v/>
      </c>
      <c r="O734" s="23">
        <f>IF(OR(C734="",NOT(ISNUMBER(G734))),"",(TODAY()-INT(G734))/365.25)</f>
        <v/>
      </c>
      <c r="P734" s="13">
        <f>IF(OR(C734="",NOT(ISNUMBER(L734))),"",IF(L734&lt;TODAY(),"Ended",IF(L734-TODAY()&lt;=N(Settings!$C$10),"Ends soon","Covered")))</f>
        <v/>
      </c>
      <c r="Q734" s="13">
        <f>IF(C734="","",MID(IF(N734="",", value","")&amp;IF(OR(J734="",J734="No"),", receipt","")&amp;IF(K734="",", photo",""),3,100))</f>
        <v/>
      </c>
      <c r="R734" s="13">
        <f>IF(AND(B734="",C734=""),"",IF(C734="","Needs the item",IF(B734="","Needs a room",IF(COUNTIF(Rooms!$B$6:$B$35,B734)=0,"Not on Rooms",IF(AND(H734&lt;&gt;"",NOT(ISNUMBER(H734))),"Paid not a number",IF(AND(I734&lt;&gt;"",NOT(ISNUMBER(I734))),"Worth not a number",IF(AND(G734&lt;&gt;"",NOT(ISNUMBER(G734))),"Bought is not a date",IF(AND(L734&lt;&gt;"",NOT(ISNUMBER(L734))),"Warranty is not a date",""))))))))</f>
        <v/>
      </c>
      <c r="S734" s="1">
        <f>IF(AND(C734&lt;&gt;"",R734=""),1,0)</f>
        <v/>
      </c>
      <c r="T734">
        <f>IF(S734=1,N(N734),0)</f>
        <v/>
      </c>
      <c r="U734">
        <f>IF(AND(S734=1,T734&gt;0),ROUND(T734*100,0)*10000+10000-ROW(),"")</f>
        <v/>
      </c>
      <c r="V734">
        <f>IF(AND(S734=1,OR(Report!$C$5="",B734=Report!$C$5)),MATCH(B734,Rooms!$B$6:$B$35,0)*10000+ROW(),"")</f>
        <v/>
      </c>
      <c r="W734">
        <f>IF(AND(S734=1,OR(J734="",J734="No")),1,0)</f>
        <v/>
      </c>
      <c r="X734">
        <f>IF(AND(S734=1,K734=""),1,0)</f>
        <v/>
      </c>
      <c r="Y734">
        <f>IF(AND(S734=1,Q734&lt;&gt;""),ROUND(T734*100,0)*10000+10000-ROW(),"")</f>
        <v/>
      </c>
    </row>
    <row r="735">
      <c r="A735" s="1" t="n"/>
      <c r="B735" s="17" t="n"/>
      <c r="C735" s="18" t="n"/>
      <c r="D735" s="17" t="n"/>
      <c r="E735" s="19" t="n"/>
      <c r="F735" s="19" t="n"/>
      <c r="G735" s="20" t="n"/>
      <c r="H735" s="21" t="n"/>
      <c r="I735" s="21" t="n"/>
      <c r="J735" s="17" t="n"/>
      <c r="K735" s="19" t="n"/>
      <c r="L735" s="20" t="n"/>
      <c r="M735" s="19" t="n"/>
      <c r="N735" s="22">
        <f>IF(C735="","",IF(ISNUMBER(I735),I735,IF(ISNUMBER(H735),H735,"")))</f>
        <v/>
      </c>
      <c r="O735" s="23">
        <f>IF(OR(C735="",NOT(ISNUMBER(G735))),"",(TODAY()-INT(G735))/365.25)</f>
        <v/>
      </c>
      <c r="P735" s="13">
        <f>IF(OR(C735="",NOT(ISNUMBER(L735))),"",IF(L735&lt;TODAY(),"Ended",IF(L735-TODAY()&lt;=N(Settings!$C$10),"Ends soon","Covered")))</f>
        <v/>
      </c>
      <c r="Q735" s="13">
        <f>IF(C735="","",MID(IF(N735="",", value","")&amp;IF(OR(J735="",J735="No"),", receipt","")&amp;IF(K735="",", photo",""),3,100))</f>
        <v/>
      </c>
      <c r="R735" s="13">
        <f>IF(AND(B735="",C735=""),"",IF(C735="","Needs the item",IF(B735="","Needs a room",IF(COUNTIF(Rooms!$B$6:$B$35,B735)=0,"Not on Rooms",IF(AND(H735&lt;&gt;"",NOT(ISNUMBER(H735))),"Paid not a number",IF(AND(I735&lt;&gt;"",NOT(ISNUMBER(I735))),"Worth not a number",IF(AND(G735&lt;&gt;"",NOT(ISNUMBER(G735))),"Bought is not a date",IF(AND(L735&lt;&gt;"",NOT(ISNUMBER(L735))),"Warranty is not a date",""))))))))</f>
        <v/>
      </c>
      <c r="S735" s="1">
        <f>IF(AND(C735&lt;&gt;"",R735=""),1,0)</f>
        <v/>
      </c>
      <c r="T735">
        <f>IF(S735=1,N(N735),0)</f>
        <v/>
      </c>
      <c r="U735">
        <f>IF(AND(S735=1,T735&gt;0),ROUND(T735*100,0)*10000+10000-ROW(),"")</f>
        <v/>
      </c>
      <c r="V735">
        <f>IF(AND(S735=1,OR(Report!$C$5="",B735=Report!$C$5)),MATCH(B735,Rooms!$B$6:$B$35,0)*10000+ROW(),"")</f>
        <v/>
      </c>
      <c r="W735">
        <f>IF(AND(S735=1,OR(J735="",J735="No")),1,0)</f>
        <v/>
      </c>
      <c r="X735">
        <f>IF(AND(S735=1,K735=""),1,0)</f>
        <v/>
      </c>
      <c r="Y735">
        <f>IF(AND(S735=1,Q735&lt;&gt;""),ROUND(T735*100,0)*10000+10000-ROW(),"")</f>
        <v/>
      </c>
    </row>
    <row r="736">
      <c r="A736" s="1" t="n"/>
      <c r="B736" s="17" t="n"/>
      <c r="C736" s="18" t="n"/>
      <c r="D736" s="17" t="n"/>
      <c r="E736" s="19" t="n"/>
      <c r="F736" s="19" t="n"/>
      <c r="G736" s="20" t="n"/>
      <c r="H736" s="21" t="n"/>
      <c r="I736" s="21" t="n"/>
      <c r="J736" s="17" t="n"/>
      <c r="K736" s="19" t="n"/>
      <c r="L736" s="20" t="n"/>
      <c r="M736" s="19" t="n"/>
      <c r="N736" s="22">
        <f>IF(C736="","",IF(ISNUMBER(I736),I736,IF(ISNUMBER(H736),H736,"")))</f>
        <v/>
      </c>
      <c r="O736" s="23">
        <f>IF(OR(C736="",NOT(ISNUMBER(G736))),"",(TODAY()-INT(G736))/365.25)</f>
        <v/>
      </c>
      <c r="P736" s="13">
        <f>IF(OR(C736="",NOT(ISNUMBER(L736))),"",IF(L736&lt;TODAY(),"Ended",IF(L736-TODAY()&lt;=N(Settings!$C$10),"Ends soon","Covered")))</f>
        <v/>
      </c>
      <c r="Q736" s="13">
        <f>IF(C736="","",MID(IF(N736="",", value","")&amp;IF(OR(J736="",J736="No"),", receipt","")&amp;IF(K736="",", photo",""),3,100))</f>
        <v/>
      </c>
      <c r="R736" s="13">
        <f>IF(AND(B736="",C736=""),"",IF(C736="","Needs the item",IF(B736="","Needs a room",IF(COUNTIF(Rooms!$B$6:$B$35,B736)=0,"Not on Rooms",IF(AND(H736&lt;&gt;"",NOT(ISNUMBER(H736))),"Paid not a number",IF(AND(I736&lt;&gt;"",NOT(ISNUMBER(I736))),"Worth not a number",IF(AND(G736&lt;&gt;"",NOT(ISNUMBER(G736))),"Bought is not a date",IF(AND(L736&lt;&gt;"",NOT(ISNUMBER(L736))),"Warranty is not a date",""))))))))</f>
        <v/>
      </c>
      <c r="S736" s="1">
        <f>IF(AND(C736&lt;&gt;"",R736=""),1,0)</f>
        <v/>
      </c>
      <c r="T736">
        <f>IF(S736=1,N(N736),0)</f>
        <v/>
      </c>
      <c r="U736">
        <f>IF(AND(S736=1,T736&gt;0),ROUND(T736*100,0)*10000+10000-ROW(),"")</f>
        <v/>
      </c>
      <c r="V736">
        <f>IF(AND(S736=1,OR(Report!$C$5="",B736=Report!$C$5)),MATCH(B736,Rooms!$B$6:$B$35,0)*10000+ROW(),"")</f>
        <v/>
      </c>
      <c r="W736">
        <f>IF(AND(S736=1,OR(J736="",J736="No")),1,0)</f>
        <v/>
      </c>
      <c r="X736">
        <f>IF(AND(S736=1,K736=""),1,0)</f>
        <v/>
      </c>
      <c r="Y736">
        <f>IF(AND(S736=1,Q736&lt;&gt;""),ROUND(T736*100,0)*10000+10000-ROW(),"")</f>
        <v/>
      </c>
    </row>
    <row r="737">
      <c r="A737" s="1" t="n"/>
      <c r="B737" s="17" t="n"/>
      <c r="C737" s="18" t="n"/>
      <c r="D737" s="17" t="n"/>
      <c r="E737" s="19" t="n"/>
      <c r="F737" s="19" t="n"/>
      <c r="G737" s="20" t="n"/>
      <c r="H737" s="21" t="n"/>
      <c r="I737" s="21" t="n"/>
      <c r="J737" s="17" t="n"/>
      <c r="K737" s="19" t="n"/>
      <c r="L737" s="20" t="n"/>
      <c r="M737" s="19" t="n"/>
      <c r="N737" s="22">
        <f>IF(C737="","",IF(ISNUMBER(I737),I737,IF(ISNUMBER(H737),H737,"")))</f>
        <v/>
      </c>
      <c r="O737" s="23">
        <f>IF(OR(C737="",NOT(ISNUMBER(G737))),"",(TODAY()-INT(G737))/365.25)</f>
        <v/>
      </c>
      <c r="P737" s="13">
        <f>IF(OR(C737="",NOT(ISNUMBER(L737))),"",IF(L737&lt;TODAY(),"Ended",IF(L737-TODAY()&lt;=N(Settings!$C$10),"Ends soon","Covered")))</f>
        <v/>
      </c>
      <c r="Q737" s="13">
        <f>IF(C737="","",MID(IF(N737="",", value","")&amp;IF(OR(J737="",J737="No"),", receipt","")&amp;IF(K737="",", photo",""),3,100))</f>
        <v/>
      </c>
      <c r="R737" s="13">
        <f>IF(AND(B737="",C737=""),"",IF(C737="","Needs the item",IF(B737="","Needs a room",IF(COUNTIF(Rooms!$B$6:$B$35,B737)=0,"Not on Rooms",IF(AND(H737&lt;&gt;"",NOT(ISNUMBER(H737))),"Paid not a number",IF(AND(I737&lt;&gt;"",NOT(ISNUMBER(I737))),"Worth not a number",IF(AND(G737&lt;&gt;"",NOT(ISNUMBER(G737))),"Bought is not a date",IF(AND(L737&lt;&gt;"",NOT(ISNUMBER(L737))),"Warranty is not a date",""))))))))</f>
        <v/>
      </c>
      <c r="S737" s="1">
        <f>IF(AND(C737&lt;&gt;"",R737=""),1,0)</f>
        <v/>
      </c>
      <c r="T737">
        <f>IF(S737=1,N(N737),0)</f>
        <v/>
      </c>
      <c r="U737">
        <f>IF(AND(S737=1,T737&gt;0),ROUND(T737*100,0)*10000+10000-ROW(),"")</f>
        <v/>
      </c>
      <c r="V737">
        <f>IF(AND(S737=1,OR(Report!$C$5="",B737=Report!$C$5)),MATCH(B737,Rooms!$B$6:$B$35,0)*10000+ROW(),"")</f>
        <v/>
      </c>
      <c r="W737">
        <f>IF(AND(S737=1,OR(J737="",J737="No")),1,0)</f>
        <v/>
      </c>
      <c r="X737">
        <f>IF(AND(S737=1,K737=""),1,0)</f>
        <v/>
      </c>
      <c r="Y737">
        <f>IF(AND(S737=1,Q737&lt;&gt;""),ROUND(T737*100,0)*10000+10000-ROW(),"")</f>
        <v/>
      </c>
    </row>
    <row r="738">
      <c r="A738" s="1" t="n"/>
      <c r="B738" s="17" t="n"/>
      <c r="C738" s="18" t="n"/>
      <c r="D738" s="17" t="n"/>
      <c r="E738" s="19" t="n"/>
      <c r="F738" s="19" t="n"/>
      <c r="G738" s="20" t="n"/>
      <c r="H738" s="21" t="n"/>
      <c r="I738" s="21" t="n"/>
      <c r="J738" s="17" t="n"/>
      <c r="K738" s="19" t="n"/>
      <c r="L738" s="20" t="n"/>
      <c r="M738" s="19" t="n"/>
      <c r="N738" s="22">
        <f>IF(C738="","",IF(ISNUMBER(I738),I738,IF(ISNUMBER(H738),H738,"")))</f>
        <v/>
      </c>
      <c r="O738" s="23">
        <f>IF(OR(C738="",NOT(ISNUMBER(G738))),"",(TODAY()-INT(G738))/365.25)</f>
        <v/>
      </c>
      <c r="P738" s="13">
        <f>IF(OR(C738="",NOT(ISNUMBER(L738))),"",IF(L738&lt;TODAY(),"Ended",IF(L738-TODAY()&lt;=N(Settings!$C$10),"Ends soon","Covered")))</f>
        <v/>
      </c>
      <c r="Q738" s="13">
        <f>IF(C738="","",MID(IF(N738="",", value","")&amp;IF(OR(J738="",J738="No"),", receipt","")&amp;IF(K738="",", photo",""),3,100))</f>
        <v/>
      </c>
      <c r="R738" s="13">
        <f>IF(AND(B738="",C738=""),"",IF(C738="","Needs the item",IF(B738="","Needs a room",IF(COUNTIF(Rooms!$B$6:$B$35,B738)=0,"Not on Rooms",IF(AND(H738&lt;&gt;"",NOT(ISNUMBER(H738))),"Paid not a number",IF(AND(I738&lt;&gt;"",NOT(ISNUMBER(I738))),"Worth not a number",IF(AND(G738&lt;&gt;"",NOT(ISNUMBER(G738))),"Bought is not a date",IF(AND(L738&lt;&gt;"",NOT(ISNUMBER(L738))),"Warranty is not a date",""))))))))</f>
        <v/>
      </c>
      <c r="S738" s="1">
        <f>IF(AND(C738&lt;&gt;"",R738=""),1,0)</f>
        <v/>
      </c>
      <c r="T738">
        <f>IF(S738=1,N(N738),0)</f>
        <v/>
      </c>
      <c r="U738">
        <f>IF(AND(S738=1,T738&gt;0),ROUND(T738*100,0)*10000+10000-ROW(),"")</f>
        <v/>
      </c>
      <c r="V738">
        <f>IF(AND(S738=1,OR(Report!$C$5="",B738=Report!$C$5)),MATCH(B738,Rooms!$B$6:$B$35,0)*10000+ROW(),"")</f>
        <v/>
      </c>
      <c r="W738">
        <f>IF(AND(S738=1,OR(J738="",J738="No")),1,0)</f>
        <v/>
      </c>
      <c r="X738">
        <f>IF(AND(S738=1,K738=""),1,0)</f>
        <v/>
      </c>
      <c r="Y738">
        <f>IF(AND(S738=1,Q738&lt;&gt;""),ROUND(T738*100,0)*10000+10000-ROW(),"")</f>
        <v/>
      </c>
    </row>
    <row r="739">
      <c r="A739" s="1" t="n"/>
      <c r="B739" s="17" t="n"/>
      <c r="C739" s="18" t="n"/>
      <c r="D739" s="17" t="n"/>
      <c r="E739" s="19" t="n"/>
      <c r="F739" s="19" t="n"/>
      <c r="G739" s="20" t="n"/>
      <c r="H739" s="21" t="n"/>
      <c r="I739" s="21" t="n"/>
      <c r="J739" s="17" t="n"/>
      <c r="K739" s="19" t="n"/>
      <c r="L739" s="20" t="n"/>
      <c r="M739" s="19" t="n"/>
      <c r="N739" s="22">
        <f>IF(C739="","",IF(ISNUMBER(I739),I739,IF(ISNUMBER(H739),H739,"")))</f>
        <v/>
      </c>
      <c r="O739" s="23">
        <f>IF(OR(C739="",NOT(ISNUMBER(G739))),"",(TODAY()-INT(G739))/365.25)</f>
        <v/>
      </c>
      <c r="P739" s="13">
        <f>IF(OR(C739="",NOT(ISNUMBER(L739))),"",IF(L739&lt;TODAY(),"Ended",IF(L739-TODAY()&lt;=N(Settings!$C$10),"Ends soon","Covered")))</f>
        <v/>
      </c>
      <c r="Q739" s="13">
        <f>IF(C739="","",MID(IF(N739="",", value","")&amp;IF(OR(J739="",J739="No"),", receipt","")&amp;IF(K739="",", photo",""),3,100))</f>
        <v/>
      </c>
      <c r="R739" s="13">
        <f>IF(AND(B739="",C739=""),"",IF(C739="","Needs the item",IF(B739="","Needs a room",IF(COUNTIF(Rooms!$B$6:$B$35,B739)=0,"Not on Rooms",IF(AND(H739&lt;&gt;"",NOT(ISNUMBER(H739))),"Paid not a number",IF(AND(I739&lt;&gt;"",NOT(ISNUMBER(I739))),"Worth not a number",IF(AND(G739&lt;&gt;"",NOT(ISNUMBER(G739))),"Bought is not a date",IF(AND(L739&lt;&gt;"",NOT(ISNUMBER(L739))),"Warranty is not a date",""))))))))</f>
        <v/>
      </c>
      <c r="S739" s="1">
        <f>IF(AND(C739&lt;&gt;"",R739=""),1,0)</f>
        <v/>
      </c>
      <c r="T739">
        <f>IF(S739=1,N(N739),0)</f>
        <v/>
      </c>
      <c r="U739">
        <f>IF(AND(S739=1,T739&gt;0),ROUND(T739*100,0)*10000+10000-ROW(),"")</f>
        <v/>
      </c>
      <c r="V739">
        <f>IF(AND(S739=1,OR(Report!$C$5="",B739=Report!$C$5)),MATCH(B739,Rooms!$B$6:$B$35,0)*10000+ROW(),"")</f>
        <v/>
      </c>
      <c r="W739">
        <f>IF(AND(S739=1,OR(J739="",J739="No")),1,0)</f>
        <v/>
      </c>
      <c r="X739">
        <f>IF(AND(S739=1,K739=""),1,0)</f>
        <v/>
      </c>
      <c r="Y739">
        <f>IF(AND(S739=1,Q739&lt;&gt;""),ROUND(T739*100,0)*10000+10000-ROW(),"")</f>
        <v/>
      </c>
    </row>
    <row r="740">
      <c r="A740" s="1" t="n"/>
      <c r="B740" s="17" t="n"/>
      <c r="C740" s="18" t="n"/>
      <c r="D740" s="17" t="n"/>
      <c r="E740" s="19" t="n"/>
      <c r="F740" s="19" t="n"/>
      <c r="G740" s="20" t="n"/>
      <c r="H740" s="21" t="n"/>
      <c r="I740" s="21" t="n"/>
      <c r="J740" s="17" t="n"/>
      <c r="K740" s="19" t="n"/>
      <c r="L740" s="20" t="n"/>
      <c r="M740" s="19" t="n"/>
      <c r="N740" s="22">
        <f>IF(C740="","",IF(ISNUMBER(I740),I740,IF(ISNUMBER(H740),H740,"")))</f>
        <v/>
      </c>
      <c r="O740" s="23">
        <f>IF(OR(C740="",NOT(ISNUMBER(G740))),"",(TODAY()-INT(G740))/365.25)</f>
        <v/>
      </c>
      <c r="P740" s="13">
        <f>IF(OR(C740="",NOT(ISNUMBER(L740))),"",IF(L740&lt;TODAY(),"Ended",IF(L740-TODAY()&lt;=N(Settings!$C$10),"Ends soon","Covered")))</f>
        <v/>
      </c>
      <c r="Q740" s="13">
        <f>IF(C740="","",MID(IF(N740="",", value","")&amp;IF(OR(J740="",J740="No"),", receipt","")&amp;IF(K740="",", photo",""),3,100))</f>
        <v/>
      </c>
      <c r="R740" s="13">
        <f>IF(AND(B740="",C740=""),"",IF(C740="","Needs the item",IF(B740="","Needs a room",IF(COUNTIF(Rooms!$B$6:$B$35,B740)=0,"Not on Rooms",IF(AND(H740&lt;&gt;"",NOT(ISNUMBER(H740))),"Paid not a number",IF(AND(I740&lt;&gt;"",NOT(ISNUMBER(I740))),"Worth not a number",IF(AND(G740&lt;&gt;"",NOT(ISNUMBER(G740))),"Bought is not a date",IF(AND(L740&lt;&gt;"",NOT(ISNUMBER(L740))),"Warranty is not a date",""))))))))</f>
        <v/>
      </c>
      <c r="S740" s="1">
        <f>IF(AND(C740&lt;&gt;"",R740=""),1,0)</f>
        <v/>
      </c>
      <c r="T740">
        <f>IF(S740=1,N(N740),0)</f>
        <v/>
      </c>
      <c r="U740">
        <f>IF(AND(S740=1,T740&gt;0),ROUND(T740*100,0)*10000+10000-ROW(),"")</f>
        <v/>
      </c>
      <c r="V740">
        <f>IF(AND(S740=1,OR(Report!$C$5="",B740=Report!$C$5)),MATCH(B740,Rooms!$B$6:$B$35,0)*10000+ROW(),"")</f>
        <v/>
      </c>
      <c r="W740">
        <f>IF(AND(S740=1,OR(J740="",J740="No")),1,0)</f>
        <v/>
      </c>
      <c r="X740">
        <f>IF(AND(S740=1,K740=""),1,0)</f>
        <v/>
      </c>
      <c r="Y740">
        <f>IF(AND(S740=1,Q740&lt;&gt;""),ROUND(T740*100,0)*10000+10000-ROW(),"")</f>
        <v/>
      </c>
    </row>
    <row r="741">
      <c r="A741" s="1" t="n"/>
      <c r="B741" s="17" t="n"/>
      <c r="C741" s="18" t="n"/>
      <c r="D741" s="17" t="n"/>
      <c r="E741" s="19" t="n"/>
      <c r="F741" s="19" t="n"/>
      <c r="G741" s="20" t="n"/>
      <c r="H741" s="21" t="n"/>
      <c r="I741" s="21" t="n"/>
      <c r="J741" s="17" t="n"/>
      <c r="K741" s="19" t="n"/>
      <c r="L741" s="20" t="n"/>
      <c r="M741" s="19" t="n"/>
      <c r="N741" s="22">
        <f>IF(C741="","",IF(ISNUMBER(I741),I741,IF(ISNUMBER(H741),H741,"")))</f>
        <v/>
      </c>
      <c r="O741" s="23">
        <f>IF(OR(C741="",NOT(ISNUMBER(G741))),"",(TODAY()-INT(G741))/365.25)</f>
        <v/>
      </c>
      <c r="P741" s="13">
        <f>IF(OR(C741="",NOT(ISNUMBER(L741))),"",IF(L741&lt;TODAY(),"Ended",IF(L741-TODAY()&lt;=N(Settings!$C$10),"Ends soon","Covered")))</f>
        <v/>
      </c>
      <c r="Q741" s="13">
        <f>IF(C741="","",MID(IF(N741="",", value","")&amp;IF(OR(J741="",J741="No"),", receipt","")&amp;IF(K741="",", photo",""),3,100))</f>
        <v/>
      </c>
      <c r="R741" s="13">
        <f>IF(AND(B741="",C741=""),"",IF(C741="","Needs the item",IF(B741="","Needs a room",IF(COUNTIF(Rooms!$B$6:$B$35,B741)=0,"Not on Rooms",IF(AND(H741&lt;&gt;"",NOT(ISNUMBER(H741))),"Paid not a number",IF(AND(I741&lt;&gt;"",NOT(ISNUMBER(I741))),"Worth not a number",IF(AND(G741&lt;&gt;"",NOT(ISNUMBER(G741))),"Bought is not a date",IF(AND(L741&lt;&gt;"",NOT(ISNUMBER(L741))),"Warranty is not a date",""))))))))</f>
        <v/>
      </c>
      <c r="S741" s="1">
        <f>IF(AND(C741&lt;&gt;"",R741=""),1,0)</f>
        <v/>
      </c>
      <c r="T741">
        <f>IF(S741=1,N(N741),0)</f>
        <v/>
      </c>
      <c r="U741">
        <f>IF(AND(S741=1,T741&gt;0),ROUND(T741*100,0)*10000+10000-ROW(),"")</f>
        <v/>
      </c>
      <c r="V741">
        <f>IF(AND(S741=1,OR(Report!$C$5="",B741=Report!$C$5)),MATCH(B741,Rooms!$B$6:$B$35,0)*10000+ROW(),"")</f>
        <v/>
      </c>
      <c r="W741">
        <f>IF(AND(S741=1,OR(J741="",J741="No")),1,0)</f>
        <v/>
      </c>
      <c r="X741">
        <f>IF(AND(S741=1,K741=""),1,0)</f>
        <v/>
      </c>
      <c r="Y741">
        <f>IF(AND(S741=1,Q741&lt;&gt;""),ROUND(T741*100,0)*10000+10000-ROW(),"")</f>
        <v/>
      </c>
    </row>
    <row r="742">
      <c r="A742" s="1" t="n"/>
      <c r="B742" s="17" t="n"/>
      <c r="C742" s="18" t="n"/>
      <c r="D742" s="17" t="n"/>
      <c r="E742" s="19" t="n"/>
      <c r="F742" s="19" t="n"/>
      <c r="G742" s="20" t="n"/>
      <c r="H742" s="21" t="n"/>
      <c r="I742" s="21" t="n"/>
      <c r="J742" s="17" t="n"/>
      <c r="K742" s="19" t="n"/>
      <c r="L742" s="20" t="n"/>
      <c r="M742" s="19" t="n"/>
      <c r="N742" s="22">
        <f>IF(C742="","",IF(ISNUMBER(I742),I742,IF(ISNUMBER(H742),H742,"")))</f>
        <v/>
      </c>
      <c r="O742" s="23">
        <f>IF(OR(C742="",NOT(ISNUMBER(G742))),"",(TODAY()-INT(G742))/365.25)</f>
        <v/>
      </c>
      <c r="P742" s="13">
        <f>IF(OR(C742="",NOT(ISNUMBER(L742))),"",IF(L742&lt;TODAY(),"Ended",IF(L742-TODAY()&lt;=N(Settings!$C$10),"Ends soon","Covered")))</f>
        <v/>
      </c>
      <c r="Q742" s="13">
        <f>IF(C742="","",MID(IF(N742="",", value","")&amp;IF(OR(J742="",J742="No"),", receipt","")&amp;IF(K742="",", photo",""),3,100))</f>
        <v/>
      </c>
      <c r="R742" s="13">
        <f>IF(AND(B742="",C742=""),"",IF(C742="","Needs the item",IF(B742="","Needs a room",IF(COUNTIF(Rooms!$B$6:$B$35,B742)=0,"Not on Rooms",IF(AND(H742&lt;&gt;"",NOT(ISNUMBER(H742))),"Paid not a number",IF(AND(I742&lt;&gt;"",NOT(ISNUMBER(I742))),"Worth not a number",IF(AND(G742&lt;&gt;"",NOT(ISNUMBER(G742))),"Bought is not a date",IF(AND(L742&lt;&gt;"",NOT(ISNUMBER(L742))),"Warranty is not a date",""))))))))</f>
        <v/>
      </c>
      <c r="S742" s="1">
        <f>IF(AND(C742&lt;&gt;"",R742=""),1,0)</f>
        <v/>
      </c>
      <c r="T742">
        <f>IF(S742=1,N(N742),0)</f>
        <v/>
      </c>
      <c r="U742">
        <f>IF(AND(S742=1,T742&gt;0),ROUND(T742*100,0)*10000+10000-ROW(),"")</f>
        <v/>
      </c>
      <c r="V742">
        <f>IF(AND(S742=1,OR(Report!$C$5="",B742=Report!$C$5)),MATCH(B742,Rooms!$B$6:$B$35,0)*10000+ROW(),"")</f>
        <v/>
      </c>
      <c r="W742">
        <f>IF(AND(S742=1,OR(J742="",J742="No")),1,0)</f>
        <v/>
      </c>
      <c r="X742">
        <f>IF(AND(S742=1,K742=""),1,0)</f>
        <v/>
      </c>
      <c r="Y742">
        <f>IF(AND(S742=1,Q742&lt;&gt;""),ROUND(T742*100,0)*10000+10000-ROW(),"")</f>
        <v/>
      </c>
    </row>
    <row r="743">
      <c r="A743" s="1" t="n"/>
      <c r="B743" s="17" t="n"/>
      <c r="C743" s="18" t="n"/>
      <c r="D743" s="17" t="n"/>
      <c r="E743" s="19" t="n"/>
      <c r="F743" s="19" t="n"/>
      <c r="G743" s="20" t="n"/>
      <c r="H743" s="21" t="n"/>
      <c r="I743" s="21" t="n"/>
      <c r="J743" s="17" t="n"/>
      <c r="K743" s="19" t="n"/>
      <c r="L743" s="20" t="n"/>
      <c r="M743" s="19" t="n"/>
      <c r="N743" s="22">
        <f>IF(C743="","",IF(ISNUMBER(I743),I743,IF(ISNUMBER(H743),H743,"")))</f>
        <v/>
      </c>
      <c r="O743" s="23">
        <f>IF(OR(C743="",NOT(ISNUMBER(G743))),"",(TODAY()-INT(G743))/365.25)</f>
        <v/>
      </c>
      <c r="P743" s="13">
        <f>IF(OR(C743="",NOT(ISNUMBER(L743))),"",IF(L743&lt;TODAY(),"Ended",IF(L743-TODAY()&lt;=N(Settings!$C$10),"Ends soon","Covered")))</f>
        <v/>
      </c>
      <c r="Q743" s="13">
        <f>IF(C743="","",MID(IF(N743="",", value","")&amp;IF(OR(J743="",J743="No"),", receipt","")&amp;IF(K743="",", photo",""),3,100))</f>
        <v/>
      </c>
      <c r="R743" s="13">
        <f>IF(AND(B743="",C743=""),"",IF(C743="","Needs the item",IF(B743="","Needs a room",IF(COUNTIF(Rooms!$B$6:$B$35,B743)=0,"Not on Rooms",IF(AND(H743&lt;&gt;"",NOT(ISNUMBER(H743))),"Paid not a number",IF(AND(I743&lt;&gt;"",NOT(ISNUMBER(I743))),"Worth not a number",IF(AND(G743&lt;&gt;"",NOT(ISNUMBER(G743))),"Bought is not a date",IF(AND(L743&lt;&gt;"",NOT(ISNUMBER(L743))),"Warranty is not a date",""))))))))</f>
        <v/>
      </c>
      <c r="S743" s="1">
        <f>IF(AND(C743&lt;&gt;"",R743=""),1,0)</f>
        <v/>
      </c>
      <c r="T743">
        <f>IF(S743=1,N(N743),0)</f>
        <v/>
      </c>
      <c r="U743">
        <f>IF(AND(S743=1,T743&gt;0),ROUND(T743*100,0)*10000+10000-ROW(),"")</f>
        <v/>
      </c>
      <c r="V743">
        <f>IF(AND(S743=1,OR(Report!$C$5="",B743=Report!$C$5)),MATCH(B743,Rooms!$B$6:$B$35,0)*10000+ROW(),"")</f>
        <v/>
      </c>
      <c r="W743">
        <f>IF(AND(S743=1,OR(J743="",J743="No")),1,0)</f>
        <v/>
      </c>
      <c r="X743">
        <f>IF(AND(S743=1,K743=""),1,0)</f>
        <v/>
      </c>
      <c r="Y743">
        <f>IF(AND(S743=1,Q743&lt;&gt;""),ROUND(T743*100,0)*10000+10000-ROW(),"")</f>
        <v/>
      </c>
    </row>
    <row r="744">
      <c r="A744" s="1" t="n"/>
      <c r="B744" s="17" t="n"/>
      <c r="C744" s="18" t="n"/>
      <c r="D744" s="17" t="n"/>
      <c r="E744" s="19" t="n"/>
      <c r="F744" s="19" t="n"/>
      <c r="G744" s="20" t="n"/>
      <c r="H744" s="21" t="n"/>
      <c r="I744" s="21" t="n"/>
      <c r="J744" s="17" t="n"/>
      <c r="K744" s="19" t="n"/>
      <c r="L744" s="20" t="n"/>
      <c r="M744" s="19" t="n"/>
      <c r="N744" s="22">
        <f>IF(C744="","",IF(ISNUMBER(I744),I744,IF(ISNUMBER(H744),H744,"")))</f>
        <v/>
      </c>
      <c r="O744" s="23">
        <f>IF(OR(C744="",NOT(ISNUMBER(G744))),"",(TODAY()-INT(G744))/365.25)</f>
        <v/>
      </c>
      <c r="P744" s="13">
        <f>IF(OR(C744="",NOT(ISNUMBER(L744))),"",IF(L744&lt;TODAY(),"Ended",IF(L744-TODAY()&lt;=N(Settings!$C$10),"Ends soon","Covered")))</f>
        <v/>
      </c>
      <c r="Q744" s="13">
        <f>IF(C744="","",MID(IF(N744="",", value","")&amp;IF(OR(J744="",J744="No"),", receipt","")&amp;IF(K744="",", photo",""),3,100))</f>
        <v/>
      </c>
      <c r="R744" s="13">
        <f>IF(AND(B744="",C744=""),"",IF(C744="","Needs the item",IF(B744="","Needs a room",IF(COUNTIF(Rooms!$B$6:$B$35,B744)=0,"Not on Rooms",IF(AND(H744&lt;&gt;"",NOT(ISNUMBER(H744))),"Paid not a number",IF(AND(I744&lt;&gt;"",NOT(ISNUMBER(I744))),"Worth not a number",IF(AND(G744&lt;&gt;"",NOT(ISNUMBER(G744))),"Bought is not a date",IF(AND(L744&lt;&gt;"",NOT(ISNUMBER(L744))),"Warranty is not a date",""))))))))</f>
        <v/>
      </c>
      <c r="S744" s="1">
        <f>IF(AND(C744&lt;&gt;"",R744=""),1,0)</f>
        <v/>
      </c>
      <c r="T744">
        <f>IF(S744=1,N(N744),0)</f>
        <v/>
      </c>
      <c r="U744">
        <f>IF(AND(S744=1,T744&gt;0),ROUND(T744*100,0)*10000+10000-ROW(),"")</f>
        <v/>
      </c>
      <c r="V744">
        <f>IF(AND(S744=1,OR(Report!$C$5="",B744=Report!$C$5)),MATCH(B744,Rooms!$B$6:$B$35,0)*10000+ROW(),"")</f>
        <v/>
      </c>
      <c r="W744">
        <f>IF(AND(S744=1,OR(J744="",J744="No")),1,0)</f>
        <v/>
      </c>
      <c r="X744">
        <f>IF(AND(S744=1,K744=""),1,0)</f>
        <v/>
      </c>
      <c r="Y744">
        <f>IF(AND(S744=1,Q744&lt;&gt;""),ROUND(T744*100,0)*10000+10000-ROW(),"")</f>
        <v/>
      </c>
    </row>
    <row r="745">
      <c r="A745" s="1" t="n"/>
      <c r="B745" s="17" t="n"/>
      <c r="C745" s="18" t="n"/>
      <c r="D745" s="17" t="n"/>
      <c r="E745" s="19" t="n"/>
      <c r="F745" s="19" t="n"/>
      <c r="G745" s="20" t="n"/>
      <c r="H745" s="21" t="n"/>
      <c r="I745" s="21" t="n"/>
      <c r="J745" s="17" t="n"/>
      <c r="K745" s="19" t="n"/>
      <c r="L745" s="20" t="n"/>
      <c r="M745" s="19" t="n"/>
      <c r="N745" s="22">
        <f>IF(C745="","",IF(ISNUMBER(I745),I745,IF(ISNUMBER(H745),H745,"")))</f>
        <v/>
      </c>
      <c r="O745" s="23">
        <f>IF(OR(C745="",NOT(ISNUMBER(G745))),"",(TODAY()-INT(G745))/365.25)</f>
        <v/>
      </c>
      <c r="P745" s="13">
        <f>IF(OR(C745="",NOT(ISNUMBER(L745))),"",IF(L745&lt;TODAY(),"Ended",IF(L745-TODAY()&lt;=N(Settings!$C$10),"Ends soon","Covered")))</f>
        <v/>
      </c>
      <c r="Q745" s="13">
        <f>IF(C745="","",MID(IF(N745="",", value","")&amp;IF(OR(J745="",J745="No"),", receipt","")&amp;IF(K745="",", photo",""),3,100))</f>
        <v/>
      </c>
      <c r="R745" s="13">
        <f>IF(AND(B745="",C745=""),"",IF(C745="","Needs the item",IF(B745="","Needs a room",IF(COUNTIF(Rooms!$B$6:$B$35,B745)=0,"Not on Rooms",IF(AND(H745&lt;&gt;"",NOT(ISNUMBER(H745))),"Paid not a number",IF(AND(I745&lt;&gt;"",NOT(ISNUMBER(I745))),"Worth not a number",IF(AND(G745&lt;&gt;"",NOT(ISNUMBER(G745))),"Bought is not a date",IF(AND(L745&lt;&gt;"",NOT(ISNUMBER(L745))),"Warranty is not a date",""))))))))</f>
        <v/>
      </c>
      <c r="S745" s="1">
        <f>IF(AND(C745&lt;&gt;"",R745=""),1,0)</f>
        <v/>
      </c>
      <c r="T745">
        <f>IF(S745=1,N(N745),0)</f>
        <v/>
      </c>
      <c r="U745">
        <f>IF(AND(S745=1,T745&gt;0),ROUND(T745*100,0)*10000+10000-ROW(),"")</f>
        <v/>
      </c>
      <c r="V745">
        <f>IF(AND(S745=1,OR(Report!$C$5="",B745=Report!$C$5)),MATCH(B745,Rooms!$B$6:$B$35,0)*10000+ROW(),"")</f>
        <v/>
      </c>
      <c r="W745">
        <f>IF(AND(S745=1,OR(J745="",J745="No")),1,0)</f>
        <v/>
      </c>
      <c r="X745">
        <f>IF(AND(S745=1,K745=""),1,0)</f>
        <v/>
      </c>
      <c r="Y745">
        <f>IF(AND(S745=1,Q745&lt;&gt;""),ROUND(T745*100,0)*10000+10000-ROW(),"")</f>
        <v/>
      </c>
    </row>
    <row r="746">
      <c r="A746" s="1" t="n"/>
      <c r="B746" s="17" t="n"/>
      <c r="C746" s="18" t="n"/>
      <c r="D746" s="17" t="n"/>
      <c r="E746" s="19" t="n"/>
      <c r="F746" s="19" t="n"/>
      <c r="G746" s="20" t="n"/>
      <c r="H746" s="21" t="n"/>
      <c r="I746" s="21" t="n"/>
      <c r="J746" s="17" t="n"/>
      <c r="K746" s="19" t="n"/>
      <c r="L746" s="20" t="n"/>
      <c r="M746" s="19" t="n"/>
      <c r="N746" s="22">
        <f>IF(C746="","",IF(ISNUMBER(I746),I746,IF(ISNUMBER(H746),H746,"")))</f>
        <v/>
      </c>
      <c r="O746" s="23">
        <f>IF(OR(C746="",NOT(ISNUMBER(G746))),"",(TODAY()-INT(G746))/365.25)</f>
        <v/>
      </c>
      <c r="P746" s="13">
        <f>IF(OR(C746="",NOT(ISNUMBER(L746))),"",IF(L746&lt;TODAY(),"Ended",IF(L746-TODAY()&lt;=N(Settings!$C$10),"Ends soon","Covered")))</f>
        <v/>
      </c>
      <c r="Q746" s="13">
        <f>IF(C746="","",MID(IF(N746="",", value","")&amp;IF(OR(J746="",J746="No"),", receipt","")&amp;IF(K746="",", photo",""),3,100))</f>
        <v/>
      </c>
      <c r="R746" s="13">
        <f>IF(AND(B746="",C746=""),"",IF(C746="","Needs the item",IF(B746="","Needs a room",IF(COUNTIF(Rooms!$B$6:$B$35,B746)=0,"Not on Rooms",IF(AND(H746&lt;&gt;"",NOT(ISNUMBER(H746))),"Paid not a number",IF(AND(I746&lt;&gt;"",NOT(ISNUMBER(I746))),"Worth not a number",IF(AND(G746&lt;&gt;"",NOT(ISNUMBER(G746))),"Bought is not a date",IF(AND(L746&lt;&gt;"",NOT(ISNUMBER(L746))),"Warranty is not a date",""))))))))</f>
        <v/>
      </c>
      <c r="S746" s="1">
        <f>IF(AND(C746&lt;&gt;"",R746=""),1,0)</f>
        <v/>
      </c>
      <c r="T746">
        <f>IF(S746=1,N(N746),0)</f>
        <v/>
      </c>
      <c r="U746">
        <f>IF(AND(S746=1,T746&gt;0),ROUND(T746*100,0)*10000+10000-ROW(),"")</f>
        <v/>
      </c>
      <c r="V746">
        <f>IF(AND(S746=1,OR(Report!$C$5="",B746=Report!$C$5)),MATCH(B746,Rooms!$B$6:$B$35,0)*10000+ROW(),"")</f>
        <v/>
      </c>
      <c r="W746">
        <f>IF(AND(S746=1,OR(J746="",J746="No")),1,0)</f>
        <v/>
      </c>
      <c r="X746">
        <f>IF(AND(S746=1,K746=""),1,0)</f>
        <v/>
      </c>
      <c r="Y746">
        <f>IF(AND(S746=1,Q746&lt;&gt;""),ROUND(T746*100,0)*10000+10000-ROW(),"")</f>
        <v/>
      </c>
    </row>
    <row r="747">
      <c r="A747" s="1" t="n"/>
      <c r="B747" s="17" t="n"/>
      <c r="C747" s="18" t="n"/>
      <c r="D747" s="17" t="n"/>
      <c r="E747" s="19" t="n"/>
      <c r="F747" s="19" t="n"/>
      <c r="G747" s="20" t="n"/>
      <c r="H747" s="21" t="n"/>
      <c r="I747" s="21" t="n"/>
      <c r="J747" s="17" t="n"/>
      <c r="K747" s="19" t="n"/>
      <c r="L747" s="20" t="n"/>
      <c r="M747" s="19" t="n"/>
      <c r="N747" s="22">
        <f>IF(C747="","",IF(ISNUMBER(I747),I747,IF(ISNUMBER(H747),H747,"")))</f>
        <v/>
      </c>
      <c r="O747" s="23">
        <f>IF(OR(C747="",NOT(ISNUMBER(G747))),"",(TODAY()-INT(G747))/365.25)</f>
        <v/>
      </c>
      <c r="P747" s="13">
        <f>IF(OR(C747="",NOT(ISNUMBER(L747))),"",IF(L747&lt;TODAY(),"Ended",IF(L747-TODAY()&lt;=N(Settings!$C$10),"Ends soon","Covered")))</f>
        <v/>
      </c>
      <c r="Q747" s="13">
        <f>IF(C747="","",MID(IF(N747="",", value","")&amp;IF(OR(J747="",J747="No"),", receipt","")&amp;IF(K747="",", photo",""),3,100))</f>
        <v/>
      </c>
      <c r="R747" s="13">
        <f>IF(AND(B747="",C747=""),"",IF(C747="","Needs the item",IF(B747="","Needs a room",IF(COUNTIF(Rooms!$B$6:$B$35,B747)=0,"Not on Rooms",IF(AND(H747&lt;&gt;"",NOT(ISNUMBER(H747))),"Paid not a number",IF(AND(I747&lt;&gt;"",NOT(ISNUMBER(I747))),"Worth not a number",IF(AND(G747&lt;&gt;"",NOT(ISNUMBER(G747))),"Bought is not a date",IF(AND(L747&lt;&gt;"",NOT(ISNUMBER(L747))),"Warranty is not a date",""))))))))</f>
        <v/>
      </c>
      <c r="S747" s="1">
        <f>IF(AND(C747&lt;&gt;"",R747=""),1,0)</f>
        <v/>
      </c>
      <c r="T747">
        <f>IF(S747=1,N(N747),0)</f>
        <v/>
      </c>
      <c r="U747">
        <f>IF(AND(S747=1,T747&gt;0),ROUND(T747*100,0)*10000+10000-ROW(),"")</f>
        <v/>
      </c>
      <c r="V747">
        <f>IF(AND(S747=1,OR(Report!$C$5="",B747=Report!$C$5)),MATCH(B747,Rooms!$B$6:$B$35,0)*10000+ROW(),"")</f>
        <v/>
      </c>
      <c r="W747">
        <f>IF(AND(S747=1,OR(J747="",J747="No")),1,0)</f>
        <v/>
      </c>
      <c r="X747">
        <f>IF(AND(S747=1,K747=""),1,0)</f>
        <v/>
      </c>
      <c r="Y747">
        <f>IF(AND(S747=1,Q747&lt;&gt;""),ROUND(T747*100,0)*10000+10000-ROW(),"")</f>
        <v/>
      </c>
    </row>
    <row r="748">
      <c r="A748" s="1" t="n"/>
      <c r="B748" s="17" t="n"/>
      <c r="C748" s="18" t="n"/>
      <c r="D748" s="17" t="n"/>
      <c r="E748" s="19" t="n"/>
      <c r="F748" s="19" t="n"/>
      <c r="G748" s="20" t="n"/>
      <c r="H748" s="21" t="n"/>
      <c r="I748" s="21" t="n"/>
      <c r="J748" s="17" t="n"/>
      <c r="K748" s="19" t="n"/>
      <c r="L748" s="20" t="n"/>
      <c r="M748" s="19" t="n"/>
      <c r="N748" s="22">
        <f>IF(C748="","",IF(ISNUMBER(I748),I748,IF(ISNUMBER(H748),H748,"")))</f>
        <v/>
      </c>
      <c r="O748" s="23">
        <f>IF(OR(C748="",NOT(ISNUMBER(G748))),"",(TODAY()-INT(G748))/365.25)</f>
        <v/>
      </c>
      <c r="P748" s="13">
        <f>IF(OR(C748="",NOT(ISNUMBER(L748))),"",IF(L748&lt;TODAY(),"Ended",IF(L748-TODAY()&lt;=N(Settings!$C$10),"Ends soon","Covered")))</f>
        <v/>
      </c>
      <c r="Q748" s="13">
        <f>IF(C748="","",MID(IF(N748="",", value","")&amp;IF(OR(J748="",J748="No"),", receipt","")&amp;IF(K748="",", photo",""),3,100))</f>
        <v/>
      </c>
      <c r="R748" s="13">
        <f>IF(AND(B748="",C748=""),"",IF(C748="","Needs the item",IF(B748="","Needs a room",IF(COUNTIF(Rooms!$B$6:$B$35,B748)=0,"Not on Rooms",IF(AND(H748&lt;&gt;"",NOT(ISNUMBER(H748))),"Paid not a number",IF(AND(I748&lt;&gt;"",NOT(ISNUMBER(I748))),"Worth not a number",IF(AND(G748&lt;&gt;"",NOT(ISNUMBER(G748))),"Bought is not a date",IF(AND(L748&lt;&gt;"",NOT(ISNUMBER(L748))),"Warranty is not a date",""))))))))</f>
        <v/>
      </c>
      <c r="S748" s="1">
        <f>IF(AND(C748&lt;&gt;"",R748=""),1,0)</f>
        <v/>
      </c>
      <c r="T748">
        <f>IF(S748=1,N(N748),0)</f>
        <v/>
      </c>
      <c r="U748">
        <f>IF(AND(S748=1,T748&gt;0),ROUND(T748*100,0)*10000+10000-ROW(),"")</f>
        <v/>
      </c>
      <c r="V748">
        <f>IF(AND(S748=1,OR(Report!$C$5="",B748=Report!$C$5)),MATCH(B748,Rooms!$B$6:$B$35,0)*10000+ROW(),"")</f>
        <v/>
      </c>
      <c r="W748">
        <f>IF(AND(S748=1,OR(J748="",J748="No")),1,0)</f>
        <v/>
      </c>
      <c r="X748">
        <f>IF(AND(S748=1,K748=""),1,0)</f>
        <v/>
      </c>
      <c r="Y748">
        <f>IF(AND(S748=1,Q748&lt;&gt;""),ROUND(T748*100,0)*10000+10000-ROW(),"")</f>
        <v/>
      </c>
    </row>
    <row r="749">
      <c r="A749" s="1" t="n"/>
      <c r="B749" s="17" t="n"/>
      <c r="C749" s="18" t="n"/>
      <c r="D749" s="17" t="n"/>
      <c r="E749" s="19" t="n"/>
      <c r="F749" s="19" t="n"/>
      <c r="G749" s="20" t="n"/>
      <c r="H749" s="21" t="n"/>
      <c r="I749" s="21" t="n"/>
      <c r="J749" s="17" t="n"/>
      <c r="K749" s="19" t="n"/>
      <c r="L749" s="20" t="n"/>
      <c r="M749" s="19" t="n"/>
      <c r="N749" s="22">
        <f>IF(C749="","",IF(ISNUMBER(I749),I749,IF(ISNUMBER(H749),H749,"")))</f>
        <v/>
      </c>
      <c r="O749" s="23">
        <f>IF(OR(C749="",NOT(ISNUMBER(G749))),"",(TODAY()-INT(G749))/365.25)</f>
        <v/>
      </c>
      <c r="P749" s="13">
        <f>IF(OR(C749="",NOT(ISNUMBER(L749))),"",IF(L749&lt;TODAY(),"Ended",IF(L749-TODAY()&lt;=N(Settings!$C$10),"Ends soon","Covered")))</f>
        <v/>
      </c>
      <c r="Q749" s="13">
        <f>IF(C749="","",MID(IF(N749="",", value","")&amp;IF(OR(J749="",J749="No"),", receipt","")&amp;IF(K749="",", photo",""),3,100))</f>
        <v/>
      </c>
      <c r="R749" s="13">
        <f>IF(AND(B749="",C749=""),"",IF(C749="","Needs the item",IF(B749="","Needs a room",IF(COUNTIF(Rooms!$B$6:$B$35,B749)=0,"Not on Rooms",IF(AND(H749&lt;&gt;"",NOT(ISNUMBER(H749))),"Paid not a number",IF(AND(I749&lt;&gt;"",NOT(ISNUMBER(I749))),"Worth not a number",IF(AND(G749&lt;&gt;"",NOT(ISNUMBER(G749))),"Bought is not a date",IF(AND(L749&lt;&gt;"",NOT(ISNUMBER(L749))),"Warranty is not a date",""))))))))</f>
        <v/>
      </c>
      <c r="S749" s="1">
        <f>IF(AND(C749&lt;&gt;"",R749=""),1,0)</f>
        <v/>
      </c>
      <c r="T749">
        <f>IF(S749=1,N(N749),0)</f>
        <v/>
      </c>
      <c r="U749">
        <f>IF(AND(S749=1,T749&gt;0),ROUND(T749*100,0)*10000+10000-ROW(),"")</f>
        <v/>
      </c>
      <c r="V749">
        <f>IF(AND(S749=1,OR(Report!$C$5="",B749=Report!$C$5)),MATCH(B749,Rooms!$B$6:$B$35,0)*10000+ROW(),"")</f>
        <v/>
      </c>
      <c r="W749">
        <f>IF(AND(S749=1,OR(J749="",J749="No")),1,0)</f>
        <v/>
      </c>
      <c r="X749">
        <f>IF(AND(S749=1,K749=""),1,0)</f>
        <v/>
      </c>
      <c r="Y749">
        <f>IF(AND(S749=1,Q749&lt;&gt;""),ROUND(T749*100,0)*10000+10000-ROW(),"")</f>
        <v/>
      </c>
    </row>
    <row r="750">
      <c r="A750" s="1" t="n"/>
      <c r="B750" s="17" t="n"/>
      <c r="C750" s="18" t="n"/>
      <c r="D750" s="17" t="n"/>
      <c r="E750" s="19" t="n"/>
      <c r="F750" s="19" t="n"/>
      <c r="G750" s="20" t="n"/>
      <c r="H750" s="21" t="n"/>
      <c r="I750" s="21" t="n"/>
      <c r="J750" s="17" t="n"/>
      <c r="K750" s="19" t="n"/>
      <c r="L750" s="20" t="n"/>
      <c r="M750" s="19" t="n"/>
      <c r="N750" s="22">
        <f>IF(C750="","",IF(ISNUMBER(I750),I750,IF(ISNUMBER(H750),H750,"")))</f>
        <v/>
      </c>
      <c r="O750" s="23">
        <f>IF(OR(C750="",NOT(ISNUMBER(G750))),"",(TODAY()-INT(G750))/365.25)</f>
        <v/>
      </c>
      <c r="P750" s="13">
        <f>IF(OR(C750="",NOT(ISNUMBER(L750))),"",IF(L750&lt;TODAY(),"Ended",IF(L750-TODAY()&lt;=N(Settings!$C$10),"Ends soon","Covered")))</f>
        <v/>
      </c>
      <c r="Q750" s="13">
        <f>IF(C750="","",MID(IF(N750="",", value","")&amp;IF(OR(J750="",J750="No"),", receipt","")&amp;IF(K750="",", photo",""),3,100))</f>
        <v/>
      </c>
      <c r="R750" s="13">
        <f>IF(AND(B750="",C750=""),"",IF(C750="","Needs the item",IF(B750="","Needs a room",IF(COUNTIF(Rooms!$B$6:$B$35,B750)=0,"Not on Rooms",IF(AND(H750&lt;&gt;"",NOT(ISNUMBER(H750))),"Paid not a number",IF(AND(I750&lt;&gt;"",NOT(ISNUMBER(I750))),"Worth not a number",IF(AND(G750&lt;&gt;"",NOT(ISNUMBER(G750))),"Bought is not a date",IF(AND(L750&lt;&gt;"",NOT(ISNUMBER(L750))),"Warranty is not a date",""))))))))</f>
        <v/>
      </c>
      <c r="S750" s="1">
        <f>IF(AND(C750&lt;&gt;"",R750=""),1,0)</f>
        <v/>
      </c>
      <c r="T750">
        <f>IF(S750=1,N(N750),0)</f>
        <v/>
      </c>
      <c r="U750">
        <f>IF(AND(S750=1,T750&gt;0),ROUND(T750*100,0)*10000+10000-ROW(),"")</f>
        <v/>
      </c>
      <c r="V750">
        <f>IF(AND(S750=1,OR(Report!$C$5="",B750=Report!$C$5)),MATCH(B750,Rooms!$B$6:$B$35,0)*10000+ROW(),"")</f>
        <v/>
      </c>
      <c r="W750">
        <f>IF(AND(S750=1,OR(J750="",J750="No")),1,0)</f>
        <v/>
      </c>
      <c r="X750">
        <f>IF(AND(S750=1,K750=""),1,0)</f>
        <v/>
      </c>
      <c r="Y750">
        <f>IF(AND(S750=1,Q750&lt;&gt;""),ROUND(T750*100,0)*10000+10000-ROW(),"")</f>
        <v/>
      </c>
    </row>
    <row r="751">
      <c r="A751" s="1" t="n"/>
      <c r="B751" s="17" t="n"/>
      <c r="C751" s="18" t="n"/>
      <c r="D751" s="17" t="n"/>
      <c r="E751" s="19" t="n"/>
      <c r="F751" s="19" t="n"/>
      <c r="G751" s="20" t="n"/>
      <c r="H751" s="21" t="n"/>
      <c r="I751" s="21" t="n"/>
      <c r="J751" s="17" t="n"/>
      <c r="K751" s="19" t="n"/>
      <c r="L751" s="20" t="n"/>
      <c r="M751" s="19" t="n"/>
      <c r="N751" s="22">
        <f>IF(C751="","",IF(ISNUMBER(I751),I751,IF(ISNUMBER(H751),H751,"")))</f>
        <v/>
      </c>
      <c r="O751" s="23">
        <f>IF(OR(C751="",NOT(ISNUMBER(G751))),"",(TODAY()-INT(G751))/365.25)</f>
        <v/>
      </c>
      <c r="P751" s="13">
        <f>IF(OR(C751="",NOT(ISNUMBER(L751))),"",IF(L751&lt;TODAY(),"Ended",IF(L751-TODAY()&lt;=N(Settings!$C$10),"Ends soon","Covered")))</f>
        <v/>
      </c>
      <c r="Q751" s="13">
        <f>IF(C751="","",MID(IF(N751="",", value","")&amp;IF(OR(J751="",J751="No"),", receipt","")&amp;IF(K751="",", photo",""),3,100))</f>
        <v/>
      </c>
      <c r="R751" s="13">
        <f>IF(AND(B751="",C751=""),"",IF(C751="","Needs the item",IF(B751="","Needs a room",IF(COUNTIF(Rooms!$B$6:$B$35,B751)=0,"Not on Rooms",IF(AND(H751&lt;&gt;"",NOT(ISNUMBER(H751))),"Paid not a number",IF(AND(I751&lt;&gt;"",NOT(ISNUMBER(I751))),"Worth not a number",IF(AND(G751&lt;&gt;"",NOT(ISNUMBER(G751))),"Bought is not a date",IF(AND(L751&lt;&gt;"",NOT(ISNUMBER(L751))),"Warranty is not a date",""))))))))</f>
        <v/>
      </c>
      <c r="S751" s="1">
        <f>IF(AND(C751&lt;&gt;"",R751=""),1,0)</f>
        <v/>
      </c>
      <c r="T751">
        <f>IF(S751=1,N(N751),0)</f>
        <v/>
      </c>
      <c r="U751">
        <f>IF(AND(S751=1,T751&gt;0),ROUND(T751*100,0)*10000+10000-ROW(),"")</f>
        <v/>
      </c>
      <c r="V751">
        <f>IF(AND(S751=1,OR(Report!$C$5="",B751=Report!$C$5)),MATCH(B751,Rooms!$B$6:$B$35,0)*10000+ROW(),"")</f>
        <v/>
      </c>
      <c r="W751">
        <f>IF(AND(S751=1,OR(J751="",J751="No")),1,0)</f>
        <v/>
      </c>
      <c r="X751">
        <f>IF(AND(S751=1,K751=""),1,0)</f>
        <v/>
      </c>
      <c r="Y751">
        <f>IF(AND(S751=1,Q751&lt;&gt;""),ROUND(T751*100,0)*10000+10000-ROW(),"")</f>
        <v/>
      </c>
    </row>
    <row r="752">
      <c r="A752" s="1" t="n"/>
      <c r="B752" s="17" t="n"/>
      <c r="C752" s="18" t="n"/>
      <c r="D752" s="17" t="n"/>
      <c r="E752" s="19" t="n"/>
      <c r="F752" s="19" t="n"/>
      <c r="G752" s="20" t="n"/>
      <c r="H752" s="21" t="n"/>
      <c r="I752" s="21" t="n"/>
      <c r="J752" s="17" t="n"/>
      <c r="K752" s="19" t="n"/>
      <c r="L752" s="20" t="n"/>
      <c r="M752" s="19" t="n"/>
      <c r="N752" s="22">
        <f>IF(C752="","",IF(ISNUMBER(I752),I752,IF(ISNUMBER(H752),H752,"")))</f>
        <v/>
      </c>
      <c r="O752" s="23">
        <f>IF(OR(C752="",NOT(ISNUMBER(G752))),"",(TODAY()-INT(G752))/365.25)</f>
        <v/>
      </c>
      <c r="P752" s="13">
        <f>IF(OR(C752="",NOT(ISNUMBER(L752))),"",IF(L752&lt;TODAY(),"Ended",IF(L752-TODAY()&lt;=N(Settings!$C$10),"Ends soon","Covered")))</f>
        <v/>
      </c>
      <c r="Q752" s="13">
        <f>IF(C752="","",MID(IF(N752="",", value","")&amp;IF(OR(J752="",J752="No"),", receipt","")&amp;IF(K752="",", photo",""),3,100))</f>
        <v/>
      </c>
      <c r="R752" s="13">
        <f>IF(AND(B752="",C752=""),"",IF(C752="","Needs the item",IF(B752="","Needs a room",IF(COUNTIF(Rooms!$B$6:$B$35,B752)=0,"Not on Rooms",IF(AND(H752&lt;&gt;"",NOT(ISNUMBER(H752))),"Paid not a number",IF(AND(I752&lt;&gt;"",NOT(ISNUMBER(I752))),"Worth not a number",IF(AND(G752&lt;&gt;"",NOT(ISNUMBER(G752))),"Bought is not a date",IF(AND(L752&lt;&gt;"",NOT(ISNUMBER(L752))),"Warranty is not a date",""))))))))</f>
        <v/>
      </c>
      <c r="S752" s="1">
        <f>IF(AND(C752&lt;&gt;"",R752=""),1,0)</f>
        <v/>
      </c>
      <c r="T752">
        <f>IF(S752=1,N(N752),0)</f>
        <v/>
      </c>
      <c r="U752">
        <f>IF(AND(S752=1,T752&gt;0),ROUND(T752*100,0)*10000+10000-ROW(),"")</f>
        <v/>
      </c>
      <c r="V752">
        <f>IF(AND(S752=1,OR(Report!$C$5="",B752=Report!$C$5)),MATCH(B752,Rooms!$B$6:$B$35,0)*10000+ROW(),"")</f>
        <v/>
      </c>
      <c r="W752">
        <f>IF(AND(S752=1,OR(J752="",J752="No")),1,0)</f>
        <v/>
      </c>
      <c r="X752">
        <f>IF(AND(S752=1,K752=""),1,0)</f>
        <v/>
      </c>
      <c r="Y752">
        <f>IF(AND(S752=1,Q752&lt;&gt;""),ROUND(T752*100,0)*10000+10000-ROW(),"")</f>
        <v/>
      </c>
    </row>
    <row r="753">
      <c r="A753" s="1" t="n"/>
      <c r="B753" s="17" t="n"/>
      <c r="C753" s="18" t="n"/>
      <c r="D753" s="17" t="n"/>
      <c r="E753" s="19" t="n"/>
      <c r="F753" s="19" t="n"/>
      <c r="G753" s="20" t="n"/>
      <c r="H753" s="21" t="n"/>
      <c r="I753" s="21" t="n"/>
      <c r="J753" s="17" t="n"/>
      <c r="K753" s="19" t="n"/>
      <c r="L753" s="20" t="n"/>
      <c r="M753" s="19" t="n"/>
      <c r="N753" s="22">
        <f>IF(C753="","",IF(ISNUMBER(I753),I753,IF(ISNUMBER(H753),H753,"")))</f>
        <v/>
      </c>
      <c r="O753" s="23">
        <f>IF(OR(C753="",NOT(ISNUMBER(G753))),"",(TODAY()-INT(G753))/365.25)</f>
        <v/>
      </c>
      <c r="P753" s="13">
        <f>IF(OR(C753="",NOT(ISNUMBER(L753))),"",IF(L753&lt;TODAY(),"Ended",IF(L753-TODAY()&lt;=N(Settings!$C$10),"Ends soon","Covered")))</f>
        <v/>
      </c>
      <c r="Q753" s="13">
        <f>IF(C753="","",MID(IF(N753="",", value","")&amp;IF(OR(J753="",J753="No"),", receipt","")&amp;IF(K753="",", photo",""),3,100))</f>
        <v/>
      </c>
      <c r="R753" s="13">
        <f>IF(AND(B753="",C753=""),"",IF(C753="","Needs the item",IF(B753="","Needs a room",IF(COUNTIF(Rooms!$B$6:$B$35,B753)=0,"Not on Rooms",IF(AND(H753&lt;&gt;"",NOT(ISNUMBER(H753))),"Paid not a number",IF(AND(I753&lt;&gt;"",NOT(ISNUMBER(I753))),"Worth not a number",IF(AND(G753&lt;&gt;"",NOT(ISNUMBER(G753))),"Bought is not a date",IF(AND(L753&lt;&gt;"",NOT(ISNUMBER(L753))),"Warranty is not a date",""))))))))</f>
        <v/>
      </c>
      <c r="S753" s="1">
        <f>IF(AND(C753&lt;&gt;"",R753=""),1,0)</f>
        <v/>
      </c>
      <c r="T753">
        <f>IF(S753=1,N(N753),0)</f>
        <v/>
      </c>
      <c r="U753">
        <f>IF(AND(S753=1,T753&gt;0),ROUND(T753*100,0)*10000+10000-ROW(),"")</f>
        <v/>
      </c>
      <c r="V753">
        <f>IF(AND(S753=1,OR(Report!$C$5="",B753=Report!$C$5)),MATCH(B753,Rooms!$B$6:$B$35,0)*10000+ROW(),"")</f>
        <v/>
      </c>
      <c r="W753">
        <f>IF(AND(S753=1,OR(J753="",J753="No")),1,0)</f>
        <v/>
      </c>
      <c r="X753">
        <f>IF(AND(S753=1,K753=""),1,0)</f>
        <v/>
      </c>
      <c r="Y753">
        <f>IF(AND(S753=1,Q753&lt;&gt;""),ROUND(T753*100,0)*10000+10000-ROW(),"")</f>
        <v/>
      </c>
    </row>
    <row r="754">
      <c r="A754" s="1" t="n"/>
      <c r="B754" s="17" t="n"/>
      <c r="C754" s="18" t="n"/>
      <c r="D754" s="17" t="n"/>
      <c r="E754" s="19" t="n"/>
      <c r="F754" s="19" t="n"/>
      <c r="G754" s="20" t="n"/>
      <c r="H754" s="21" t="n"/>
      <c r="I754" s="21" t="n"/>
      <c r="J754" s="17" t="n"/>
      <c r="K754" s="19" t="n"/>
      <c r="L754" s="20" t="n"/>
      <c r="M754" s="19" t="n"/>
      <c r="N754" s="22">
        <f>IF(C754="","",IF(ISNUMBER(I754),I754,IF(ISNUMBER(H754),H754,"")))</f>
        <v/>
      </c>
      <c r="O754" s="23">
        <f>IF(OR(C754="",NOT(ISNUMBER(G754))),"",(TODAY()-INT(G754))/365.25)</f>
        <v/>
      </c>
      <c r="P754" s="13">
        <f>IF(OR(C754="",NOT(ISNUMBER(L754))),"",IF(L754&lt;TODAY(),"Ended",IF(L754-TODAY()&lt;=N(Settings!$C$10),"Ends soon","Covered")))</f>
        <v/>
      </c>
      <c r="Q754" s="13">
        <f>IF(C754="","",MID(IF(N754="",", value","")&amp;IF(OR(J754="",J754="No"),", receipt","")&amp;IF(K754="",", photo",""),3,100))</f>
        <v/>
      </c>
      <c r="R754" s="13">
        <f>IF(AND(B754="",C754=""),"",IF(C754="","Needs the item",IF(B754="","Needs a room",IF(COUNTIF(Rooms!$B$6:$B$35,B754)=0,"Not on Rooms",IF(AND(H754&lt;&gt;"",NOT(ISNUMBER(H754))),"Paid not a number",IF(AND(I754&lt;&gt;"",NOT(ISNUMBER(I754))),"Worth not a number",IF(AND(G754&lt;&gt;"",NOT(ISNUMBER(G754))),"Bought is not a date",IF(AND(L754&lt;&gt;"",NOT(ISNUMBER(L754))),"Warranty is not a date",""))))))))</f>
        <v/>
      </c>
      <c r="S754" s="1">
        <f>IF(AND(C754&lt;&gt;"",R754=""),1,0)</f>
        <v/>
      </c>
      <c r="T754">
        <f>IF(S754=1,N(N754),0)</f>
        <v/>
      </c>
      <c r="U754">
        <f>IF(AND(S754=1,T754&gt;0),ROUND(T754*100,0)*10000+10000-ROW(),"")</f>
        <v/>
      </c>
      <c r="V754">
        <f>IF(AND(S754=1,OR(Report!$C$5="",B754=Report!$C$5)),MATCH(B754,Rooms!$B$6:$B$35,0)*10000+ROW(),"")</f>
        <v/>
      </c>
      <c r="W754">
        <f>IF(AND(S754=1,OR(J754="",J754="No")),1,0)</f>
        <v/>
      </c>
      <c r="X754">
        <f>IF(AND(S754=1,K754=""),1,0)</f>
        <v/>
      </c>
      <c r="Y754">
        <f>IF(AND(S754=1,Q754&lt;&gt;""),ROUND(T754*100,0)*10000+10000-ROW(),"")</f>
        <v/>
      </c>
    </row>
    <row r="755">
      <c r="A755" s="1" t="n"/>
      <c r="B755" s="17" t="n"/>
      <c r="C755" s="18" t="n"/>
      <c r="D755" s="17" t="n"/>
      <c r="E755" s="19" t="n"/>
      <c r="F755" s="19" t="n"/>
      <c r="G755" s="20" t="n"/>
      <c r="H755" s="21" t="n"/>
      <c r="I755" s="21" t="n"/>
      <c r="J755" s="17" t="n"/>
      <c r="K755" s="19" t="n"/>
      <c r="L755" s="20" t="n"/>
      <c r="M755" s="19" t="n"/>
      <c r="N755" s="22">
        <f>IF(C755="","",IF(ISNUMBER(I755),I755,IF(ISNUMBER(H755),H755,"")))</f>
        <v/>
      </c>
      <c r="O755" s="23">
        <f>IF(OR(C755="",NOT(ISNUMBER(G755))),"",(TODAY()-INT(G755))/365.25)</f>
        <v/>
      </c>
      <c r="P755" s="13">
        <f>IF(OR(C755="",NOT(ISNUMBER(L755))),"",IF(L755&lt;TODAY(),"Ended",IF(L755-TODAY()&lt;=N(Settings!$C$10),"Ends soon","Covered")))</f>
        <v/>
      </c>
      <c r="Q755" s="13">
        <f>IF(C755="","",MID(IF(N755="",", value","")&amp;IF(OR(J755="",J755="No"),", receipt","")&amp;IF(K755="",", photo",""),3,100))</f>
        <v/>
      </c>
      <c r="R755" s="13">
        <f>IF(AND(B755="",C755=""),"",IF(C755="","Needs the item",IF(B755="","Needs a room",IF(COUNTIF(Rooms!$B$6:$B$35,B755)=0,"Not on Rooms",IF(AND(H755&lt;&gt;"",NOT(ISNUMBER(H755))),"Paid not a number",IF(AND(I755&lt;&gt;"",NOT(ISNUMBER(I755))),"Worth not a number",IF(AND(G755&lt;&gt;"",NOT(ISNUMBER(G755))),"Bought is not a date",IF(AND(L755&lt;&gt;"",NOT(ISNUMBER(L755))),"Warranty is not a date",""))))))))</f>
        <v/>
      </c>
      <c r="S755" s="1">
        <f>IF(AND(C755&lt;&gt;"",R755=""),1,0)</f>
        <v/>
      </c>
      <c r="T755">
        <f>IF(S755=1,N(N755),0)</f>
        <v/>
      </c>
      <c r="U755">
        <f>IF(AND(S755=1,T755&gt;0),ROUND(T755*100,0)*10000+10000-ROW(),"")</f>
        <v/>
      </c>
      <c r="V755">
        <f>IF(AND(S755=1,OR(Report!$C$5="",B755=Report!$C$5)),MATCH(B755,Rooms!$B$6:$B$35,0)*10000+ROW(),"")</f>
        <v/>
      </c>
      <c r="W755">
        <f>IF(AND(S755=1,OR(J755="",J755="No")),1,0)</f>
        <v/>
      </c>
      <c r="X755">
        <f>IF(AND(S755=1,K755=""),1,0)</f>
        <v/>
      </c>
      <c r="Y755">
        <f>IF(AND(S755=1,Q755&lt;&gt;""),ROUND(T755*100,0)*10000+10000-ROW(),"")</f>
        <v/>
      </c>
    </row>
    <row r="756">
      <c r="A756" s="1" t="n"/>
      <c r="B756" s="17" t="n"/>
      <c r="C756" s="18" t="n"/>
      <c r="D756" s="17" t="n"/>
      <c r="E756" s="19" t="n"/>
      <c r="F756" s="19" t="n"/>
      <c r="G756" s="20" t="n"/>
      <c r="H756" s="21" t="n"/>
      <c r="I756" s="21" t="n"/>
      <c r="J756" s="17" t="n"/>
      <c r="K756" s="19" t="n"/>
      <c r="L756" s="20" t="n"/>
      <c r="M756" s="19" t="n"/>
      <c r="N756" s="22">
        <f>IF(C756="","",IF(ISNUMBER(I756),I756,IF(ISNUMBER(H756),H756,"")))</f>
        <v/>
      </c>
      <c r="O756" s="23">
        <f>IF(OR(C756="",NOT(ISNUMBER(G756))),"",(TODAY()-INT(G756))/365.25)</f>
        <v/>
      </c>
      <c r="P756" s="13">
        <f>IF(OR(C756="",NOT(ISNUMBER(L756))),"",IF(L756&lt;TODAY(),"Ended",IF(L756-TODAY()&lt;=N(Settings!$C$10),"Ends soon","Covered")))</f>
        <v/>
      </c>
      <c r="Q756" s="13">
        <f>IF(C756="","",MID(IF(N756="",", value","")&amp;IF(OR(J756="",J756="No"),", receipt","")&amp;IF(K756="",", photo",""),3,100))</f>
        <v/>
      </c>
      <c r="R756" s="13">
        <f>IF(AND(B756="",C756=""),"",IF(C756="","Needs the item",IF(B756="","Needs a room",IF(COUNTIF(Rooms!$B$6:$B$35,B756)=0,"Not on Rooms",IF(AND(H756&lt;&gt;"",NOT(ISNUMBER(H756))),"Paid not a number",IF(AND(I756&lt;&gt;"",NOT(ISNUMBER(I756))),"Worth not a number",IF(AND(G756&lt;&gt;"",NOT(ISNUMBER(G756))),"Bought is not a date",IF(AND(L756&lt;&gt;"",NOT(ISNUMBER(L756))),"Warranty is not a date",""))))))))</f>
        <v/>
      </c>
      <c r="S756" s="1">
        <f>IF(AND(C756&lt;&gt;"",R756=""),1,0)</f>
        <v/>
      </c>
      <c r="T756">
        <f>IF(S756=1,N(N756),0)</f>
        <v/>
      </c>
      <c r="U756">
        <f>IF(AND(S756=1,T756&gt;0),ROUND(T756*100,0)*10000+10000-ROW(),"")</f>
        <v/>
      </c>
      <c r="V756">
        <f>IF(AND(S756=1,OR(Report!$C$5="",B756=Report!$C$5)),MATCH(B756,Rooms!$B$6:$B$35,0)*10000+ROW(),"")</f>
        <v/>
      </c>
      <c r="W756">
        <f>IF(AND(S756=1,OR(J756="",J756="No")),1,0)</f>
        <v/>
      </c>
      <c r="X756">
        <f>IF(AND(S756=1,K756=""),1,0)</f>
        <v/>
      </c>
      <c r="Y756">
        <f>IF(AND(S756=1,Q756&lt;&gt;""),ROUND(T756*100,0)*10000+10000-ROW(),"")</f>
        <v/>
      </c>
    </row>
    <row r="757">
      <c r="A757" s="1" t="n"/>
      <c r="B757" s="17" t="n"/>
      <c r="C757" s="18" t="n"/>
      <c r="D757" s="17" t="n"/>
      <c r="E757" s="19" t="n"/>
      <c r="F757" s="19" t="n"/>
      <c r="G757" s="20" t="n"/>
      <c r="H757" s="21" t="n"/>
      <c r="I757" s="21" t="n"/>
      <c r="J757" s="17" t="n"/>
      <c r="K757" s="19" t="n"/>
      <c r="L757" s="20" t="n"/>
      <c r="M757" s="19" t="n"/>
      <c r="N757" s="22">
        <f>IF(C757="","",IF(ISNUMBER(I757),I757,IF(ISNUMBER(H757),H757,"")))</f>
        <v/>
      </c>
      <c r="O757" s="23">
        <f>IF(OR(C757="",NOT(ISNUMBER(G757))),"",(TODAY()-INT(G757))/365.25)</f>
        <v/>
      </c>
      <c r="P757" s="13">
        <f>IF(OR(C757="",NOT(ISNUMBER(L757))),"",IF(L757&lt;TODAY(),"Ended",IF(L757-TODAY()&lt;=N(Settings!$C$10),"Ends soon","Covered")))</f>
        <v/>
      </c>
      <c r="Q757" s="13">
        <f>IF(C757="","",MID(IF(N757="",", value","")&amp;IF(OR(J757="",J757="No"),", receipt","")&amp;IF(K757="",", photo",""),3,100))</f>
        <v/>
      </c>
      <c r="R757" s="13">
        <f>IF(AND(B757="",C757=""),"",IF(C757="","Needs the item",IF(B757="","Needs a room",IF(COUNTIF(Rooms!$B$6:$B$35,B757)=0,"Not on Rooms",IF(AND(H757&lt;&gt;"",NOT(ISNUMBER(H757))),"Paid not a number",IF(AND(I757&lt;&gt;"",NOT(ISNUMBER(I757))),"Worth not a number",IF(AND(G757&lt;&gt;"",NOT(ISNUMBER(G757))),"Bought is not a date",IF(AND(L757&lt;&gt;"",NOT(ISNUMBER(L757))),"Warranty is not a date",""))))))))</f>
        <v/>
      </c>
      <c r="S757" s="1">
        <f>IF(AND(C757&lt;&gt;"",R757=""),1,0)</f>
        <v/>
      </c>
      <c r="T757">
        <f>IF(S757=1,N(N757),0)</f>
        <v/>
      </c>
      <c r="U757">
        <f>IF(AND(S757=1,T757&gt;0),ROUND(T757*100,0)*10000+10000-ROW(),"")</f>
        <v/>
      </c>
      <c r="V757">
        <f>IF(AND(S757=1,OR(Report!$C$5="",B757=Report!$C$5)),MATCH(B757,Rooms!$B$6:$B$35,0)*10000+ROW(),"")</f>
        <v/>
      </c>
      <c r="W757">
        <f>IF(AND(S757=1,OR(J757="",J757="No")),1,0)</f>
        <v/>
      </c>
      <c r="X757">
        <f>IF(AND(S757=1,K757=""),1,0)</f>
        <v/>
      </c>
      <c r="Y757">
        <f>IF(AND(S757=1,Q757&lt;&gt;""),ROUND(T757*100,0)*10000+10000-ROW(),"")</f>
        <v/>
      </c>
    </row>
    <row r="758">
      <c r="A758" s="1" t="n"/>
      <c r="B758" s="17" t="n"/>
      <c r="C758" s="18" t="n"/>
      <c r="D758" s="17" t="n"/>
      <c r="E758" s="19" t="n"/>
      <c r="F758" s="19" t="n"/>
      <c r="G758" s="20" t="n"/>
      <c r="H758" s="21" t="n"/>
      <c r="I758" s="21" t="n"/>
      <c r="J758" s="17" t="n"/>
      <c r="K758" s="19" t="n"/>
      <c r="L758" s="20" t="n"/>
      <c r="M758" s="19" t="n"/>
      <c r="N758" s="22">
        <f>IF(C758="","",IF(ISNUMBER(I758),I758,IF(ISNUMBER(H758),H758,"")))</f>
        <v/>
      </c>
      <c r="O758" s="23">
        <f>IF(OR(C758="",NOT(ISNUMBER(G758))),"",(TODAY()-INT(G758))/365.25)</f>
        <v/>
      </c>
      <c r="P758" s="13">
        <f>IF(OR(C758="",NOT(ISNUMBER(L758))),"",IF(L758&lt;TODAY(),"Ended",IF(L758-TODAY()&lt;=N(Settings!$C$10),"Ends soon","Covered")))</f>
        <v/>
      </c>
      <c r="Q758" s="13">
        <f>IF(C758="","",MID(IF(N758="",", value","")&amp;IF(OR(J758="",J758="No"),", receipt","")&amp;IF(K758="",", photo",""),3,100))</f>
        <v/>
      </c>
      <c r="R758" s="13">
        <f>IF(AND(B758="",C758=""),"",IF(C758="","Needs the item",IF(B758="","Needs a room",IF(COUNTIF(Rooms!$B$6:$B$35,B758)=0,"Not on Rooms",IF(AND(H758&lt;&gt;"",NOT(ISNUMBER(H758))),"Paid not a number",IF(AND(I758&lt;&gt;"",NOT(ISNUMBER(I758))),"Worth not a number",IF(AND(G758&lt;&gt;"",NOT(ISNUMBER(G758))),"Bought is not a date",IF(AND(L758&lt;&gt;"",NOT(ISNUMBER(L758))),"Warranty is not a date",""))))))))</f>
        <v/>
      </c>
      <c r="S758" s="1">
        <f>IF(AND(C758&lt;&gt;"",R758=""),1,0)</f>
        <v/>
      </c>
      <c r="T758">
        <f>IF(S758=1,N(N758),0)</f>
        <v/>
      </c>
      <c r="U758">
        <f>IF(AND(S758=1,T758&gt;0),ROUND(T758*100,0)*10000+10000-ROW(),"")</f>
        <v/>
      </c>
      <c r="V758">
        <f>IF(AND(S758=1,OR(Report!$C$5="",B758=Report!$C$5)),MATCH(B758,Rooms!$B$6:$B$35,0)*10000+ROW(),"")</f>
        <v/>
      </c>
      <c r="W758">
        <f>IF(AND(S758=1,OR(J758="",J758="No")),1,0)</f>
        <v/>
      </c>
      <c r="X758">
        <f>IF(AND(S758=1,K758=""),1,0)</f>
        <v/>
      </c>
      <c r="Y758">
        <f>IF(AND(S758=1,Q758&lt;&gt;""),ROUND(T758*100,0)*10000+10000-ROW(),"")</f>
        <v/>
      </c>
    </row>
    <row r="759">
      <c r="A759" s="1" t="n"/>
      <c r="B759" s="17" t="n"/>
      <c r="C759" s="18" t="n"/>
      <c r="D759" s="17" t="n"/>
      <c r="E759" s="19" t="n"/>
      <c r="F759" s="19" t="n"/>
      <c r="G759" s="20" t="n"/>
      <c r="H759" s="21" t="n"/>
      <c r="I759" s="21" t="n"/>
      <c r="J759" s="17" t="n"/>
      <c r="K759" s="19" t="n"/>
      <c r="L759" s="20" t="n"/>
      <c r="M759" s="19" t="n"/>
      <c r="N759" s="22">
        <f>IF(C759="","",IF(ISNUMBER(I759),I759,IF(ISNUMBER(H759),H759,"")))</f>
        <v/>
      </c>
      <c r="O759" s="23">
        <f>IF(OR(C759="",NOT(ISNUMBER(G759))),"",(TODAY()-INT(G759))/365.25)</f>
        <v/>
      </c>
      <c r="P759" s="13">
        <f>IF(OR(C759="",NOT(ISNUMBER(L759))),"",IF(L759&lt;TODAY(),"Ended",IF(L759-TODAY()&lt;=N(Settings!$C$10),"Ends soon","Covered")))</f>
        <v/>
      </c>
      <c r="Q759" s="13">
        <f>IF(C759="","",MID(IF(N759="",", value","")&amp;IF(OR(J759="",J759="No"),", receipt","")&amp;IF(K759="",", photo",""),3,100))</f>
        <v/>
      </c>
      <c r="R759" s="13">
        <f>IF(AND(B759="",C759=""),"",IF(C759="","Needs the item",IF(B759="","Needs a room",IF(COUNTIF(Rooms!$B$6:$B$35,B759)=0,"Not on Rooms",IF(AND(H759&lt;&gt;"",NOT(ISNUMBER(H759))),"Paid not a number",IF(AND(I759&lt;&gt;"",NOT(ISNUMBER(I759))),"Worth not a number",IF(AND(G759&lt;&gt;"",NOT(ISNUMBER(G759))),"Bought is not a date",IF(AND(L759&lt;&gt;"",NOT(ISNUMBER(L759))),"Warranty is not a date",""))))))))</f>
        <v/>
      </c>
      <c r="S759" s="1">
        <f>IF(AND(C759&lt;&gt;"",R759=""),1,0)</f>
        <v/>
      </c>
      <c r="T759">
        <f>IF(S759=1,N(N759),0)</f>
        <v/>
      </c>
      <c r="U759">
        <f>IF(AND(S759=1,T759&gt;0),ROUND(T759*100,0)*10000+10000-ROW(),"")</f>
        <v/>
      </c>
      <c r="V759">
        <f>IF(AND(S759=1,OR(Report!$C$5="",B759=Report!$C$5)),MATCH(B759,Rooms!$B$6:$B$35,0)*10000+ROW(),"")</f>
        <v/>
      </c>
      <c r="W759">
        <f>IF(AND(S759=1,OR(J759="",J759="No")),1,0)</f>
        <v/>
      </c>
      <c r="X759">
        <f>IF(AND(S759=1,K759=""),1,0)</f>
        <v/>
      </c>
      <c r="Y759">
        <f>IF(AND(S759=1,Q759&lt;&gt;""),ROUND(T759*100,0)*10000+10000-ROW(),"")</f>
        <v/>
      </c>
    </row>
    <row r="760">
      <c r="A760" s="1" t="n"/>
      <c r="B760" s="17" t="n"/>
      <c r="C760" s="18" t="n"/>
      <c r="D760" s="17" t="n"/>
      <c r="E760" s="19" t="n"/>
      <c r="F760" s="19" t="n"/>
      <c r="G760" s="20" t="n"/>
      <c r="H760" s="21" t="n"/>
      <c r="I760" s="21" t="n"/>
      <c r="J760" s="17" t="n"/>
      <c r="K760" s="19" t="n"/>
      <c r="L760" s="20" t="n"/>
      <c r="M760" s="19" t="n"/>
      <c r="N760" s="22">
        <f>IF(C760="","",IF(ISNUMBER(I760),I760,IF(ISNUMBER(H760),H760,"")))</f>
        <v/>
      </c>
      <c r="O760" s="23">
        <f>IF(OR(C760="",NOT(ISNUMBER(G760))),"",(TODAY()-INT(G760))/365.25)</f>
        <v/>
      </c>
      <c r="P760" s="13">
        <f>IF(OR(C760="",NOT(ISNUMBER(L760))),"",IF(L760&lt;TODAY(),"Ended",IF(L760-TODAY()&lt;=N(Settings!$C$10),"Ends soon","Covered")))</f>
        <v/>
      </c>
      <c r="Q760" s="13">
        <f>IF(C760="","",MID(IF(N760="",", value","")&amp;IF(OR(J760="",J760="No"),", receipt","")&amp;IF(K760="",", photo",""),3,100))</f>
        <v/>
      </c>
      <c r="R760" s="13">
        <f>IF(AND(B760="",C760=""),"",IF(C760="","Needs the item",IF(B760="","Needs a room",IF(COUNTIF(Rooms!$B$6:$B$35,B760)=0,"Not on Rooms",IF(AND(H760&lt;&gt;"",NOT(ISNUMBER(H760))),"Paid not a number",IF(AND(I760&lt;&gt;"",NOT(ISNUMBER(I760))),"Worth not a number",IF(AND(G760&lt;&gt;"",NOT(ISNUMBER(G760))),"Bought is not a date",IF(AND(L760&lt;&gt;"",NOT(ISNUMBER(L760))),"Warranty is not a date",""))))))))</f>
        <v/>
      </c>
      <c r="S760" s="1">
        <f>IF(AND(C760&lt;&gt;"",R760=""),1,0)</f>
        <v/>
      </c>
      <c r="T760">
        <f>IF(S760=1,N(N760),0)</f>
        <v/>
      </c>
      <c r="U760">
        <f>IF(AND(S760=1,T760&gt;0),ROUND(T760*100,0)*10000+10000-ROW(),"")</f>
        <v/>
      </c>
      <c r="V760">
        <f>IF(AND(S760=1,OR(Report!$C$5="",B760=Report!$C$5)),MATCH(B760,Rooms!$B$6:$B$35,0)*10000+ROW(),"")</f>
        <v/>
      </c>
      <c r="W760">
        <f>IF(AND(S760=1,OR(J760="",J760="No")),1,0)</f>
        <v/>
      </c>
      <c r="X760">
        <f>IF(AND(S760=1,K760=""),1,0)</f>
        <v/>
      </c>
      <c r="Y760">
        <f>IF(AND(S760=1,Q760&lt;&gt;""),ROUND(T760*100,0)*10000+10000-ROW(),"")</f>
        <v/>
      </c>
    </row>
    <row r="761">
      <c r="A761" s="1" t="n"/>
      <c r="B761" s="17" t="n"/>
      <c r="C761" s="18" t="n"/>
      <c r="D761" s="17" t="n"/>
      <c r="E761" s="19" t="n"/>
      <c r="F761" s="19" t="n"/>
      <c r="G761" s="20" t="n"/>
      <c r="H761" s="21" t="n"/>
      <c r="I761" s="21" t="n"/>
      <c r="J761" s="17" t="n"/>
      <c r="K761" s="19" t="n"/>
      <c r="L761" s="20" t="n"/>
      <c r="M761" s="19" t="n"/>
      <c r="N761" s="22">
        <f>IF(C761="","",IF(ISNUMBER(I761),I761,IF(ISNUMBER(H761),H761,"")))</f>
        <v/>
      </c>
      <c r="O761" s="23">
        <f>IF(OR(C761="",NOT(ISNUMBER(G761))),"",(TODAY()-INT(G761))/365.25)</f>
        <v/>
      </c>
      <c r="P761" s="13">
        <f>IF(OR(C761="",NOT(ISNUMBER(L761))),"",IF(L761&lt;TODAY(),"Ended",IF(L761-TODAY()&lt;=N(Settings!$C$10),"Ends soon","Covered")))</f>
        <v/>
      </c>
      <c r="Q761" s="13">
        <f>IF(C761="","",MID(IF(N761="",", value","")&amp;IF(OR(J761="",J761="No"),", receipt","")&amp;IF(K761="",", photo",""),3,100))</f>
        <v/>
      </c>
      <c r="R761" s="13">
        <f>IF(AND(B761="",C761=""),"",IF(C761="","Needs the item",IF(B761="","Needs a room",IF(COUNTIF(Rooms!$B$6:$B$35,B761)=0,"Not on Rooms",IF(AND(H761&lt;&gt;"",NOT(ISNUMBER(H761))),"Paid not a number",IF(AND(I761&lt;&gt;"",NOT(ISNUMBER(I761))),"Worth not a number",IF(AND(G761&lt;&gt;"",NOT(ISNUMBER(G761))),"Bought is not a date",IF(AND(L761&lt;&gt;"",NOT(ISNUMBER(L761))),"Warranty is not a date",""))))))))</f>
        <v/>
      </c>
      <c r="S761" s="1">
        <f>IF(AND(C761&lt;&gt;"",R761=""),1,0)</f>
        <v/>
      </c>
      <c r="T761">
        <f>IF(S761=1,N(N761),0)</f>
        <v/>
      </c>
      <c r="U761">
        <f>IF(AND(S761=1,T761&gt;0),ROUND(T761*100,0)*10000+10000-ROW(),"")</f>
        <v/>
      </c>
      <c r="V761">
        <f>IF(AND(S761=1,OR(Report!$C$5="",B761=Report!$C$5)),MATCH(B761,Rooms!$B$6:$B$35,0)*10000+ROW(),"")</f>
        <v/>
      </c>
      <c r="W761">
        <f>IF(AND(S761=1,OR(J761="",J761="No")),1,0)</f>
        <v/>
      </c>
      <c r="X761">
        <f>IF(AND(S761=1,K761=""),1,0)</f>
        <v/>
      </c>
      <c r="Y761">
        <f>IF(AND(S761=1,Q761&lt;&gt;""),ROUND(T761*100,0)*10000+10000-ROW(),"")</f>
        <v/>
      </c>
    </row>
    <row r="762">
      <c r="A762" s="1" t="n"/>
      <c r="B762" s="17" t="n"/>
      <c r="C762" s="18" t="n"/>
      <c r="D762" s="17" t="n"/>
      <c r="E762" s="19" t="n"/>
      <c r="F762" s="19" t="n"/>
      <c r="G762" s="20" t="n"/>
      <c r="H762" s="21" t="n"/>
      <c r="I762" s="21" t="n"/>
      <c r="J762" s="17" t="n"/>
      <c r="K762" s="19" t="n"/>
      <c r="L762" s="20" t="n"/>
      <c r="M762" s="19" t="n"/>
      <c r="N762" s="22">
        <f>IF(C762="","",IF(ISNUMBER(I762),I762,IF(ISNUMBER(H762),H762,"")))</f>
        <v/>
      </c>
      <c r="O762" s="23">
        <f>IF(OR(C762="",NOT(ISNUMBER(G762))),"",(TODAY()-INT(G762))/365.25)</f>
        <v/>
      </c>
      <c r="P762" s="13">
        <f>IF(OR(C762="",NOT(ISNUMBER(L762))),"",IF(L762&lt;TODAY(),"Ended",IF(L762-TODAY()&lt;=N(Settings!$C$10),"Ends soon","Covered")))</f>
        <v/>
      </c>
      <c r="Q762" s="13">
        <f>IF(C762="","",MID(IF(N762="",", value","")&amp;IF(OR(J762="",J762="No"),", receipt","")&amp;IF(K762="",", photo",""),3,100))</f>
        <v/>
      </c>
      <c r="R762" s="13">
        <f>IF(AND(B762="",C762=""),"",IF(C762="","Needs the item",IF(B762="","Needs a room",IF(COUNTIF(Rooms!$B$6:$B$35,B762)=0,"Not on Rooms",IF(AND(H762&lt;&gt;"",NOT(ISNUMBER(H762))),"Paid not a number",IF(AND(I762&lt;&gt;"",NOT(ISNUMBER(I762))),"Worth not a number",IF(AND(G762&lt;&gt;"",NOT(ISNUMBER(G762))),"Bought is not a date",IF(AND(L762&lt;&gt;"",NOT(ISNUMBER(L762))),"Warranty is not a date",""))))))))</f>
        <v/>
      </c>
      <c r="S762" s="1">
        <f>IF(AND(C762&lt;&gt;"",R762=""),1,0)</f>
        <v/>
      </c>
      <c r="T762">
        <f>IF(S762=1,N(N762),0)</f>
        <v/>
      </c>
      <c r="U762">
        <f>IF(AND(S762=1,T762&gt;0),ROUND(T762*100,0)*10000+10000-ROW(),"")</f>
        <v/>
      </c>
      <c r="V762">
        <f>IF(AND(S762=1,OR(Report!$C$5="",B762=Report!$C$5)),MATCH(B762,Rooms!$B$6:$B$35,0)*10000+ROW(),"")</f>
        <v/>
      </c>
      <c r="W762">
        <f>IF(AND(S762=1,OR(J762="",J762="No")),1,0)</f>
        <v/>
      </c>
      <c r="X762">
        <f>IF(AND(S762=1,K762=""),1,0)</f>
        <v/>
      </c>
      <c r="Y762">
        <f>IF(AND(S762=1,Q762&lt;&gt;""),ROUND(T762*100,0)*10000+10000-ROW(),"")</f>
        <v/>
      </c>
    </row>
    <row r="763">
      <c r="A763" s="1" t="n"/>
      <c r="B763" s="17" t="n"/>
      <c r="C763" s="18" t="n"/>
      <c r="D763" s="17" t="n"/>
      <c r="E763" s="19" t="n"/>
      <c r="F763" s="19" t="n"/>
      <c r="G763" s="20" t="n"/>
      <c r="H763" s="21" t="n"/>
      <c r="I763" s="21" t="n"/>
      <c r="J763" s="17" t="n"/>
      <c r="K763" s="19" t="n"/>
      <c r="L763" s="20" t="n"/>
      <c r="M763" s="19" t="n"/>
      <c r="N763" s="22">
        <f>IF(C763="","",IF(ISNUMBER(I763),I763,IF(ISNUMBER(H763),H763,"")))</f>
        <v/>
      </c>
      <c r="O763" s="23">
        <f>IF(OR(C763="",NOT(ISNUMBER(G763))),"",(TODAY()-INT(G763))/365.25)</f>
        <v/>
      </c>
      <c r="P763" s="13">
        <f>IF(OR(C763="",NOT(ISNUMBER(L763))),"",IF(L763&lt;TODAY(),"Ended",IF(L763-TODAY()&lt;=N(Settings!$C$10),"Ends soon","Covered")))</f>
        <v/>
      </c>
      <c r="Q763" s="13">
        <f>IF(C763="","",MID(IF(N763="",", value","")&amp;IF(OR(J763="",J763="No"),", receipt","")&amp;IF(K763="",", photo",""),3,100))</f>
        <v/>
      </c>
      <c r="R763" s="13">
        <f>IF(AND(B763="",C763=""),"",IF(C763="","Needs the item",IF(B763="","Needs a room",IF(COUNTIF(Rooms!$B$6:$B$35,B763)=0,"Not on Rooms",IF(AND(H763&lt;&gt;"",NOT(ISNUMBER(H763))),"Paid not a number",IF(AND(I763&lt;&gt;"",NOT(ISNUMBER(I763))),"Worth not a number",IF(AND(G763&lt;&gt;"",NOT(ISNUMBER(G763))),"Bought is not a date",IF(AND(L763&lt;&gt;"",NOT(ISNUMBER(L763))),"Warranty is not a date",""))))))))</f>
        <v/>
      </c>
      <c r="S763" s="1">
        <f>IF(AND(C763&lt;&gt;"",R763=""),1,0)</f>
        <v/>
      </c>
      <c r="T763">
        <f>IF(S763=1,N(N763),0)</f>
        <v/>
      </c>
      <c r="U763">
        <f>IF(AND(S763=1,T763&gt;0),ROUND(T763*100,0)*10000+10000-ROW(),"")</f>
        <v/>
      </c>
      <c r="V763">
        <f>IF(AND(S763=1,OR(Report!$C$5="",B763=Report!$C$5)),MATCH(B763,Rooms!$B$6:$B$35,0)*10000+ROW(),"")</f>
        <v/>
      </c>
      <c r="W763">
        <f>IF(AND(S763=1,OR(J763="",J763="No")),1,0)</f>
        <v/>
      </c>
      <c r="X763">
        <f>IF(AND(S763=1,K763=""),1,0)</f>
        <v/>
      </c>
      <c r="Y763">
        <f>IF(AND(S763=1,Q763&lt;&gt;""),ROUND(T763*100,0)*10000+10000-ROW(),"")</f>
        <v/>
      </c>
    </row>
    <row r="764">
      <c r="A764" s="1" t="n"/>
      <c r="B764" s="17" t="n"/>
      <c r="C764" s="18" t="n"/>
      <c r="D764" s="17" t="n"/>
      <c r="E764" s="19" t="n"/>
      <c r="F764" s="19" t="n"/>
      <c r="G764" s="20" t="n"/>
      <c r="H764" s="21" t="n"/>
      <c r="I764" s="21" t="n"/>
      <c r="J764" s="17" t="n"/>
      <c r="K764" s="19" t="n"/>
      <c r="L764" s="20" t="n"/>
      <c r="M764" s="19" t="n"/>
      <c r="N764" s="22">
        <f>IF(C764="","",IF(ISNUMBER(I764),I764,IF(ISNUMBER(H764),H764,"")))</f>
        <v/>
      </c>
      <c r="O764" s="23">
        <f>IF(OR(C764="",NOT(ISNUMBER(G764))),"",(TODAY()-INT(G764))/365.25)</f>
        <v/>
      </c>
      <c r="P764" s="13">
        <f>IF(OR(C764="",NOT(ISNUMBER(L764))),"",IF(L764&lt;TODAY(),"Ended",IF(L764-TODAY()&lt;=N(Settings!$C$10),"Ends soon","Covered")))</f>
        <v/>
      </c>
      <c r="Q764" s="13">
        <f>IF(C764="","",MID(IF(N764="",", value","")&amp;IF(OR(J764="",J764="No"),", receipt","")&amp;IF(K764="",", photo",""),3,100))</f>
        <v/>
      </c>
      <c r="R764" s="13">
        <f>IF(AND(B764="",C764=""),"",IF(C764="","Needs the item",IF(B764="","Needs a room",IF(COUNTIF(Rooms!$B$6:$B$35,B764)=0,"Not on Rooms",IF(AND(H764&lt;&gt;"",NOT(ISNUMBER(H764))),"Paid not a number",IF(AND(I764&lt;&gt;"",NOT(ISNUMBER(I764))),"Worth not a number",IF(AND(G764&lt;&gt;"",NOT(ISNUMBER(G764))),"Bought is not a date",IF(AND(L764&lt;&gt;"",NOT(ISNUMBER(L764))),"Warranty is not a date",""))))))))</f>
        <v/>
      </c>
      <c r="S764" s="1">
        <f>IF(AND(C764&lt;&gt;"",R764=""),1,0)</f>
        <v/>
      </c>
      <c r="T764">
        <f>IF(S764=1,N(N764),0)</f>
        <v/>
      </c>
      <c r="U764">
        <f>IF(AND(S764=1,T764&gt;0),ROUND(T764*100,0)*10000+10000-ROW(),"")</f>
        <v/>
      </c>
      <c r="V764">
        <f>IF(AND(S764=1,OR(Report!$C$5="",B764=Report!$C$5)),MATCH(B764,Rooms!$B$6:$B$35,0)*10000+ROW(),"")</f>
        <v/>
      </c>
      <c r="W764">
        <f>IF(AND(S764=1,OR(J764="",J764="No")),1,0)</f>
        <v/>
      </c>
      <c r="X764">
        <f>IF(AND(S764=1,K764=""),1,0)</f>
        <v/>
      </c>
      <c r="Y764">
        <f>IF(AND(S764=1,Q764&lt;&gt;""),ROUND(T764*100,0)*10000+10000-ROW(),"")</f>
        <v/>
      </c>
    </row>
    <row r="765">
      <c r="A765" s="1" t="n"/>
      <c r="B765" s="17" t="n"/>
      <c r="C765" s="18" t="n"/>
      <c r="D765" s="17" t="n"/>
      <c r="E765" s="19" t="n"/>
      <c r="F765" s="19" t="n"/>
      <c r="G765" s="20" t="n"/>
      <c r="H765" s="21" t="n"/>
      <c r="I765" s="21" t="n"/>
      <c r="J765" s="17" t="n"/>
      <c r="K765" s="19" t="n"/>
      <c r="L765" s="20" t="n"/>
      <c r="M765" s="19" t="n"/>
      <c r="N765" s="22">
        <f>IF(C765="","",IF(ISNUMBER(I765),I765,IF(ISNUMBER(H765),H765,"")))</f>
        <v/>
      </c>
      <c r="O765" s="23">
        <f>IF(OR(C765="",NOT(ISNUMBER(G765))),"",(TODAY()-INT(G765))/365.25)</f>
        <v/>
      </c>
      <c r="P765" s="13">
        <f>IF(OR(C765="",NOT(ISNUMBER(L765))),"",IF(L765&lt;TODAY(),"Ended",IF(L765-TODAY()&lt;=N(Settings!$C$10),"Ends soon","Covered")))</f>
        <v/>
      </c>
      <c r="Q765" s="13">
        <f>IF(C765="","",MID(IF(N765="",", value","")&amp;IF(OR(J765="",J765="No"),", receipt","")&amp;IF(K765="",", photo",""),3,100))</f>
        <v/>
      </c>
      <c r="R765" s="13">
        <f>IF(AND(B765="",C765=""),"",IF(C765="","Needs the item",IF(B765="","Needs a room",IF(COUNTIF(Rooms!$B$6:$B$35,B765)=0,"Not on Rooms",IF(AND(H765&lt;&gt;"",NOT(ISNUMBER(H765))),"Paid not a number",IF(AND(I765&lt;&gt;"",NOT(ISNUMBER(I765))),"Worth not a number",IF(AND(G765&lt;&gt;"",NOT(ISNUMBER(G765))),"Bought is not a date",IF(AND(L765&lt;&gt;"",NOT(ISNUMBER(L765))),"Warranty is not a date",""))))))))</f>
        <v/>
      </c>
      <c r="S765" s="1">
        <f>IF(AND(C765&lt;&gt;"",R765=""),1,0)</f>
        <v/>
      </c>
      <c r="T765">
        <f>IF(S765=1,N(N765),0)</f>
        <v/>
      </c>
      <c r="U765">
        <f>IF(AND(S765=1,T765&gt;0),ROUND(T765*100,0)*10000+10000-ROW(),"")</f>
        <v/>
      </c>
      <c r="V765">
        <f>IF(AND(S765=1,OR(Report!$C$5="",B765=Report!$C$5)),MATCH(B765,Rooms!$B$6:$B$35,0)*10000+ROW(),"")</f>
        <v/>
      </c>
      <c r="W765">
        <f>IF(AND(S765=1,OR(J765="",J765="No")),1,0)</f>
        <v/>
      </c>
      <c r="X765">
        <f>IF(AND(S765=1,K765=""),1,0)</f>
        <v/>
      </c>
      <c r="Y765">
        <f>IF(AND(S765=1,Q765&lt;&gt;""),ROUND(T765*100,0)*10000+10000-ROW(),"")</f>
        <v/>
      </c>
    </row>
    <row r="766">
      <c r="A766" s="1" t="n"/>
      <c r="B766" s="17" t="n"/>
      <c r="C766" s="18" t="n"/>
      <c r="D766" s="17" t="n"/>
      <c r="E766" s="19" t="n"/>
      <c r="F766" s="19" t="n"/>
      <c r="G766" s="20" t="n"/>
      <c r="H766" s="21" t="n"/>
      <c r="I766" s="21" t="n"/>
      <c r="J766" s="17" t="n"/>
      <c r="K766" s="19" t="n"/>
      <c r="L766" s="20" t="n"/>
      <c r="M766" s="19" t="n"/>
      <c r="N766" s="22">
        <f>IF(C766="","",IF(ISNUMBER(I766),I766,IF(ISNUMBER(H766),H766,"")))</f>
        <v/>
      </c>
      <c r="O766" s="23">
        <f>IF(OR(C766="",NOT(ISNUMBER(G766))),"",(TODAY()-INT(G766))/365.25)</f>
        <v/>
      </c>
      <c r="P766" s="13">
        <f>IF(OR(C766="",NOT(ISNUMBER(L766))),"",IF(L766&lt;TODAY(),"Ended",IF(L766-TODAY()&lt;=N(Settings!$C$10),"Ends soon","Covered")))</f>
        <v/>
      </c>
      <c r="Q766" s="13">
        <f>IF(C766="","",MID(IF(N766="",", value","")&amp;IF(OR(J766="",J766="No"),", receipt","")&amp;IF(K766="",", photo",""),3,100))</f>
        <v/>
      </c>
      <c r="R766" s="13">
        <f>IF(AND(B766="",C766=""),"",IF(C766="","Needs the item",IF(B766="","Needs a room",IF(COUNTIF(Rooms!$B$6:$B$35,B766)=0,"Not on Rooms",IF(AND(H766&lt;&gt;"",NOT(ISNUMBER(H766))),"Paid not a number",IF(AND(I766&lt;&gt;"",NOT(ISNUMBER(I766))),"Worth not a number",IF(AND(G766&lt;&gt;"",NOT(ISNUMBER(G766))),"Bought is not a date",IF(AND(L766&lt;&gt;"",NOT(ISNUMBER(L766))),"Warranty is not a date",""))))))))</f>
        <v/>
      </c>
      <c r="S766" s="1">
        <f>IF(AND(C766&lt;&gt;"",R766=""),1,0)</f>
        <v/>
      </c>
      <c r="T766">
        <f>IF(S766=1,N(N766),0)</f>
        <v/>
      </c>
      <c r="U766">
        <f>IF(AND(S766=1,T766&gt;0),ROUND(T766*100,0)*10000+10000-ROW(),"")</f>
        <v/>
      </c>
      <c r="V766">
        <f>IF(AND(S766=1,OR(Report!$C$5="",B766=Report!$C$5)),MATCH(B766,Rooms!$B$6:$B$35,0)*10000+ROW(),"")</f>
        <v/>
      </c>
      <c r="W766">
        <f>IF(AND(S766=1,OR(J766="",J766="No")),1,0)</f>
        <v/>
      </c>
      <c r="X766">
        <f>IF(AND(S766=1,K766=""),1,0)</f>
        <v/>
      </c>
      <c r="Y766">
        <f>IF(AND(S766=1,Q766&lt;&gt;""),ROUND(T766*100,0)*10000+10000-ROW(),"")</f>
        <v/>
      </c>
    </row>
    <row r="767">
      <c r="A767" s="1" t="n"/>
      <c r="B767" s="17" t="n"/>
      <c r="C767" s="18" t="n"/>
      <c r="D767" s="17" t="n"/>
      <c r="E767" s="19" t="n"/>
      <c r="F767" s="19" t="n"/>
      <c r="G767" s="20" t="n"/>
      <c r="H767" s="21" t="n"/>
      <c r="I767" s="21" t="n"/>
      <c r="J767" s="17" t="n"/>
      <c r="K767" s="19" t="n"/>
      <c r="L767" s="20" t="n"/>
      <c r="M767" s="19" t="n"/>
      <c r="N767" s="22">
        <f>IF(C767="","",IF(ISNUMBER(I767),I767,IF(ISNUMBER(H767),H767,"")))</f>
        <v/>
      </c>
      <c r="O767" s="23">
        <f>IF(OR(C767="",NOT(ISNUMBER(G767))),"",(TODAY()-INT(G767))/365.25)</f>
        <v/>
      </c>
      <c r="P767" s="13">
        <f>IF(OR(C767="",NOT(ISNUMBER(L767))),"",IF(L767&lt;TODAY(),"Ended",IF(L767-TODAY()&lt;=N(Settings!$C$10),"Ends soon","Covered")))</f>
        <v/>
      </c>
      <c r="Q767" s="13">
        <f>IF(C767="","",MID(IF(N767="",", value","")&amp;IF(OR(J767="",J767="No"),", receipt","")&amp;IF(K767="",", photo",""),3,100))</f>
        <v/>
      </c>
      <c r="R767" s="13">
        <f>IF(AND(B767="",C767=""),"",IF(C767="","Needs the item",IF(B767="","Needs a room",IF(COUNTIF(Rooms!$B$6:$B$35,B767)=0,"Not on Rooms",IF(AND(H767&lt;&gt;"",NOT(ISNUMBER(H767))),"Paid not a number",IF(AND(I767&lt;&gt;"",NOT(ISNUMBER(I767))),"Worth not a number",IF(AND(G767&lt;&gt;"",NOT(ISNUMBER(G767))),"Bought is not a date",IF(AND(L767&lt;&gt;"",NOT(ISNUMBER(L767))),"Warranty is not a date",""))))))))</f>
        <v/>
      </c>
      <c r="S767" s="1">
        <f>IF(AND(C767&lt;&gt;"",R767=""),1,0)</f>
        <v/>
      </c>
      <c r="T767">
        <f>IF(S767=1,N(N767),0)</f>
        <v/>
      </c>
      <c r="U767">
        <f>IF(AND(S767=1,T767&gt;0),ROUND(T767*100,0)*10000+10000-ROW(),"")</f>
        <v/>
      </c>
      <c r="V767">
        <f>IF(AND(S767=1,OR(Report!$C$5="",B767=Report!$C$5)),MATCH(B767,Rooms!$B$6:$B$35,0)*10000+ROW(),"")</f>
        <v/>
      </c>
      <c r="W767">
        <f>IF(AND(S767=1,OR(J767="",J767="No")),1,0)</f>
        <v/>
      </c>
      <c r="X767">
        <f>IF(AND(S767=1,K767=""),1,0)</f>
        <v/>
      </c>
      <c r="Y767">
        <f>IF(AND(S767=1,Q767&lt;&gt;""),ROUND(T767*100,0)*10000+10000-ROW(),"")</f>
        <v/>
      </c>
    </row>
    <row r="768">
      <c r="A768" s="1" t="n"/>
      <c r="B768" s="17" t="n"/>
      <c r="C768" s="18" t="n"/>
      <c r="D768" s="17" t="n"/>
      <c r="E768" s="19" t="n"/>
      <c r="F768" s="19" t="n"/>
      <c r="G768" s="20" t="n"/>
      <c r="H768" s="21" t="n"/>
      <c r="I768" s="21" t="n"/>
      <c r="J768" s="17" t="n"/>
      <c r="K768" s="19" t="n"/>
      <c r="L768" s="20" t="n"/>
      <c r="M768" s="19" t="n"/>
      <c r="N768" s="22">
        <f>IF(C768="","",IF(ISNUMBER(I768),I768,IF(ISNUMBER(H768),H768,"")))</f>
        <v/>
      </c>
      <c r="O768" s="23">
        <f>IF(OR(C768="",NOT(ISNUMBER(G768))),"",(TODAY()-INT(G768))/365.25)</f>
        <v/>
      </c>
      <c r="P768" s="13">
        <f>IF(OR(C768="",NOT(ISNUMBER(L768))),"",IF(L768&lt;TODAY(),"Ended",IF(L768-TODAY()&lt;=N(Settings!$C$10),"Ends soon","Covered")))</f>
        <v/>
      </c>
      <c r="Q768" s="13">
        <f>IF(C768="","",MID(IF(N768="",", value","")&amp;IF(OR(J768="",J768="No"),", receipt","")&amp;IF(K768="",", photo",""),3,100))</f>
        <v/>
      </c>
      <c r="R768" s="13">
        <f>IF(AND(B768="",C768=""),"",IF(C768="","Needs the item",IF(B768="","Needs a room",IF(COUNTIF(Rooms!$B$6:$B$35,B768)=0,"Not on Rooms",IF(AND(H768&lt;&gt;"",NOT(ISNUMBER(H768))),"Paid not a number",IF(AND(I768&lt;&gt;"",NOT(ISNUMBER(I768))),"Worth not a number",IF(AND(G768&lt;&gt;"",NOT(ISNUMBER(G768))),"Bought is not a date",IF(AND(L768&lt;&gt;"",NOT(ISNUMBER(L768))),"Warranty is not a date",""))))))))</f>
        <v/>
      </c>
      <c r="S768" s="1">
        <f>IF(AND(C768&lt;&gt;"",R768=""),1,0)</f>
        <v/>
      </c>
      <c r="T768">
        <f>IF(S768=1,N(N768),0)</f>
        <v/>
      </c>
      <c r="U768">
        <f>IF(AND(S768=1,T768&gt;0),ROUND(T768*100,0)*10000+10000-ROW(),"")</f>
        <v/>
      </c>
      <c r="V768">
        <f>IF(AND(S768=1,OR(Report!$C$5="",B768=Report!$C$5)),MATCH(B768,Rooms!$B$6:$B$35,0)*10000+ROW(),"")</f>
        <v/>
      </c>
      <c r="W768">
        <f>IF(AND(S768=1,OR(J768="",J768="No")),1,0)</f>
        <v/>
      </c>
      <c r="X768">
        <f>IF(AND(S768=1,K768=""),1,0)</f>
        <v/>
      </c>
      <c r="Y768">
        <f>IF(AND(S768=1,Q768&lt;&gt;""),ROUND(T768*100,0)*10000+10000-ROW(),"")</f>
        <v/>
      </c>
    </row>
    <row r="769">
      <c r="A769" s="1" t="n"/>
      <c r="B769" s="17" t="n"/>
      <c r="C769" s="18" t="n"/>
      <c r="D769" s="17" t="n"/>
      <c r="E769" s="19" t="n"/>
      <c r="F769" s="19" t="n"/>
      <c r="G769" s="20" t="n"/>
      <c r="H769" s="21" t="n"/>
      <c r="I769" s="21" t="n"/>
      <c r="J769" s="17" t="n"/>
      <c r="K769" s="19" t="n"/>
      <c r="L769" s="20" t="n"/>
      <c r="M769" s="19" t="n"/>
      <c r="N769" s="22">
        <f>IF(C769="","",IF(ISNUMBER(I769),I769,IF(ISNUMBER(H769),H769,"")))</f>
        <v/>
      </c>
      <c r="O769" s="23">
        <f>IF(OR(C769="",NOT(ISNUMBER(G769))),"",(TODAY()-INT(G769))/365.25)</f>
        <v/>
      </c>
      <c r="P769" s="13">
        <f>IF(OR(C769="",NOT(ISNUMBER(L769))),"",IF(L769&lt;TODAY(),"Ended",IF(L769-TODAY()&lt;=N(Settings!$C$10),"Ends soon","Covered")))</f>
        <v/>
      </c>
      <c r="Q769" s="13">
        <f>IF(C769="","",MID(IF(N769="",", value","")&amp;IF(OR(J769="",J769="No"),", receipt","")&amp;IF(K769="",", photo",""),3,100))</f>
        <v/>
      </c>
      <c r="R769" s="13">
        <f>IF(AND(B769="",C769=""),"",IF(C769="","Needs the item",IF(B769="","Needs a room",IF(COUNTIF(Rooms!$B$6:$B$35,B769)=0,"Not on Rooms",IF(AND(H769&lt;&gt;"",NOT(ISNUMBER(H769))),"Paid not a number",IF(AND(I769&lt;&gt;"",NOT(ISNUMBER(I769))),"Worth not a number",IF(AND(G769&lt;&gt;"",NOT(ISNUMBER(G769))),"Bought is not a date",IF(AND(L769&lt;&gt;"",NOT(ISNUMBER(L769))),"Warranty is not a date",""))))))))</f>
        <v/>
      </c>
      <c r="S769" s="1">
        <f>IF(AND(C769&lt;&gt;"",R769=""),1,0)</f>
        <v/>
      </c>
      <c r="T769">
        <f>IF(S769=1,N(N769),0)</f>
        <v/>
      </c>
      <c r="U769">
        <f>IF(AND(S769=1,T769&gt;0),ROUND(T769*100,0)*10000+10000-ROW(),"")</f>
        <v/>
      </c>
      <c r="V769">
        <f>IF(AND(S769=1,OR(Report!$C$5="",B769=Report!$C$5)),MATCH(B769,Rooms!$B$6:$B$35,0)*10000+ROW(),"")</f>
        <v/>
      </c>
      <c r="W769">
        <f>IF(AND(S769=1,OR(J769="",J769="No")),1,0)</f>
        <v/>
      </c>
      <c r="X769">
        <f>IF(AND(S769=1,K769=""),1,0)</f>
        <v/>
      </c>
      <c r="Y769">
        <f>IF(AND(S769=1,Q769&lt;&gt;""),ROUND(T769*100,0)*10000+10000-ROW(),"")</f>
        <v/>
      </c>
    </row>
    <row r="770">
      <c r="A770" s="1" t="n"/>
      <c r="B770" s="17" t="n"/>
      <c r="C770" s="18" t="n"/>
      <c r="D770" s="17" t="n"/>
      <c r="E770" s="19" t="n"/>
      <c r="F770" s="19" t="n"/>
      <c r="G770" s="20" t="n"/>
      <c r="H770" s="21" t="n"/>
      <c r="I770" s="21" t="n"/>
      <c r="J770" s="17" t="n"/>
      <c r="K770" s="19" t="n"/>
      <c r="L770" s="20" t="n"/>
      <c r="M770" s="19" t="n"/>
      <c r="N770" s="22">
        <f>IF(C770="","",IF(ISNUMBER(I770),I770,IF(ISNUMBER(H770),H770,"")))</f>
        <v/>
      </c>
      <c r="O770" s="23">
        <f>IF(OR(C770="",NOT(ISNUMBER(G770))),"",(TODAY()-INT(G770))/365.25)</f>
        <v/>
      </c>
      <c r="P770" s="13">
        <f>IF(OR(C770="",NOT(ISNUMBER(L770))),"",IF(L770&lt;TODAY(),"Ended",IF(L770-TODAY()&lt;=N(Settings!$C$10),"Ends soon","Covered")))</f>
        <v/>
      </c>
      <c r="Q770" s="13">
        <f>IF(C770="","",MID(IF(N770="",", value","")&amp;IF(OR(J770="",J770="No"),", receipt","")&amp;IF(K770="",", photo",""),3,100))</f>
        <v/>
      </c>
      <c r="R770" s="13">
        <f>IF(AND(B770="",C770=""),"",IF(C770="","Needs the item",IF(B770="","Needs a room",IF(COUNTIF(Rooms!$B$6:$B$35,B770)=0,"Not on Rooms",IF(AND(H770&lt;&gt;"",NOT(ISNUMBER(H770))),"Paid not a number",IF(AND(I770&lt;&gt;"",NOT(ISNUMBER(I770))),"Worth not a number",IF(AND(G770&lt;&gt;"",NOT(ISNUMBER(G770))),"Bought is not a date",IF(AND(L770&lt;&gt;"",NOT(ISNUMBER(L770))),"Warranty is not a date",""))))))))</f>
        <v/>
      </c>
      <c r="S770" s="1">
        <f>IF(AND(C770&lt;&gt;"",R770=""),1,0)</f>
        <v/>
      </c>
      <c r="T770">
        <f>IF(S770=1,N(N770),0)</f>
        <v/>
      </c>
      <c r="U770">
        <f>IF(AND(S770=1,T770&gt;0),ROUND(T770*100,0)*10000+10000-ROW(),"")</f>
        <v/>
      </c>
      <c r="V770">
        <f>IF(AND(S770=1,OR(Report!$C$5="",B770=Report!$C$5)),MATCH(B770,Rooms!$B$6:$B$35,0)*10000+ROW(),"")</f>
        <v/>
      </c>
      <c r="W770">
        <f>IF(AND(S770=1,OR(J770="",J770="No")),1,0)</f>
        <v/>
      </c>
      <c r="X770">
        <f>IF(AND(S770=1,K770=""),1,0)</f>
        <v/>
      </c>
      <c r="Y770">
        <f>IF(AND(S770=1,Q770&lt;&gt;""),ROUND(T770*100,0)*10000+10000-ROW(),"")</f>
        <v/>
      </c>
    </row>
    <row r="771">
      <c r="A771" s="1" t="n"/>
      <c r="B771" s="17" t="n"/>
      <c r="C771" s="18" t="n"/>
      <c r="D771" s="17" t="n"/>
      <c r="E771" s="19" t="n"/>
      <c r="F771" s="19" t="n"/>
      <c r="G771" s="20" t="n"/>
      <c r="H771" s="21" t="n"/>
      <c r="I771" s="21" t="n"/>
      <c r="J771" s="17" t="n"/>
      <c r="K771" s="19" t="n"/>
      <c r="L771" s="20" t="n"/>
      <c r="M771" s="19" t="n"/>
      <c r="N771" s="22">
        <f>IF(C771="","",IF(ISNUMBER(I771),I771,IF(ISNUMBER(H771),H771,"")))</f>
        <v/>
      </c>
      <c r="O771" s="23">
        <f>IF(OR(C771="",NOT(ISNUMBER(G771))),"",(TODAY()-INT(G771))/365.25)</f>
        <v/>
      </c>
      <c r="P771" s="13">
        <f>IF(OR(C771="",NOT(ISNUMBER(L771))),"",IF(L771&lt;TODAY(),"Ended",IF(L771-TODAY()&lt;=N(Settings!$C$10),"Ends soon","Covered")))</f>
        <v/>
      </c>
      <c r="Q771" s="13">
        <f>IF(C771="","",MID(IF(N771="",", value","")&amp;IF(OR(J771="",J771="No"),", receipt","")&amp;IF(K771="",", photo",""),3,100))</f>
        <v/>
      </c>
      <c r="R771" s="13">
        <f>IF(AND(B771="",C771=""),"",IF(C771="","Needs the item",IF(B771="","Needs a room",IF(COUNTIF(Rooms!$B$6:$B$35,B771)=0,"Not on Rooms",IF(AND(H771&lt;&gt;"",NOT(ISNUMBER(H771))),"Paid not a number",IF(AND(I771&lt;&gt;"",NOT(ISNUMBER(I771))),"Worth not a number",IF(AND(G771&lt;&gt;"",NOT(ISNUMBER(G771))),"Bought is not a date",IF(AND(L771&lt;&gt;"",NOT(ISNUMBER(L771))),"Warranty is not a date",""))))))))</f>
        <v/>
      </c>
      <c r="S771" s="1">
        <f>IF(AND(C771&lt;&gt;"",R771=""),1,0)</f>
        <v/>
      </c>
      <c r="T771">
        <f>IF(S771=1,N(N771),0)</f>
        <v/>
      </c>
      <c r="U771">
        <f>IF(AND(S771=1,T771&gt;0),ROUND(T771*100,0)*10000+10000-ROW(),"")</f>
        <v/>
      </c>
      <c r="V771">
        <f>IF(AND(S771=1,OR(Report!$C$5="",B771=Report!$C$5)),MATCH(B771,Rooms!$B$6:$B$35,0)*10000+ROW(),"")</f>
        <v/>
      </c>
      <c r="W771">
        <f>IF(AND(S771=1,OR(J771="",J771="No")),1,0)</f>
        <v/>
      </c>
      <c r="X771">
        <f>IF(AND(S771=1,K771=""),1,0)</f>
        <v/>
      </c>
      <c r="Y771">
        <f>IF(AND(S771=1,Q771&lt;&gt;""),ROUND(T771*100,0)*10000+10000-ROW(),"")</f>
        <v/>
      </c>
    </row>
    <row r="772">
      <c r="A772" s="1" t="n"/>
      <c r="B772" s="17" t="n"/>
      <c r="C772" s="18" t="n"/>
      <c r="D772" s="17" t="n"/>
      <c r="E772" s="19" t="n"/>
      <c r="F772" s="19" t="n"/>
      <c r="G772" s="20" t="n"/>
      <c r="H772" s="21" t="n"/>
      <c r="I772" s="21" t="n"/>
      <c r="J772" s="17" t="n"/>
      <c r="K772" s="19" t="n"/>
      <c r="L772" s="20" t="n"/>
      <c r="M772" s="19" t="n"/>
      <c r="N772" s="22">
        <f>IF(C772="","",IF(ISNUMBER(I772),I772,IF(ISNUMBER(H772),H772,"")))</f>
        <v/>
      </c>
      <c r="O772" s="23">
        <f>IF(OR(C772="",NOT(ISNUMBER(G772))),"",(TODAY()-INT(G772))/365.25)</f>
        <v/>
      </c>
      <c r="P772" s="13">
        <f>IF(OR(C772="",NOT(ISNUMBER(L772))),"",IF(L772&lt;TODAY(),"Ended",IF(L772-TODAY()&lt;=N(Settings!$C$10),"Ends soon","Covered")))</f>
        <v/>
      </c>
      <c r="Q772" s="13">
        <f>IF(C772="","",MID(IF(N772="",", value","")&amp;IF(OR(J772="",J772="No"),", receipt","")&amp;IF(K772="",", photo",""),3,100))</f>
        <v/>
      </c>
      <c r="R772" s="13">
        <f>IF(AND(B772="",C772=""),"",IF(C772="","Needs the item",IF(B772="","Needs a room",IF(COUNTIF(Rooms!$B$6:$B$35,B772)=0,"Not on Rooms",IF(AND(H772&lt;&gt;"",NOT(ISNUMBER(H772))),"Paid not a number",IF(AND(I772&lt;&gt;"",NOT(ISNUMBER(I772))),"Worth not a number",IF(AND(G772&lt;&gt;"",NOT(ISNUMBER(G772))),"Bought is not a date",IF(AND(L772&lt;&gt;"",NOT(ISNUMBER(L772))),"Warranty is not a date",""))))))))</f>
        <v/>
      </c>
      <c r="S772" s="1">
        <f>IF(AND(C772&lt;&gt;"",R772=""),1,0)</f>
        <v/>
      </c>
      <c r="T772">
        <f>IF(S772=1,N(N772),0)</f>
        <v/>
      </c>
      <c r="U772">
        <f>IF(AND(S772=1,T772&gt;0),ROUND(T772*100,0)*10000+10000-ROW(),"")</f>
        <v/>
      </c>
      <c r="V772">
        <f>IF(AND(S772=1,OR(Report!$C$5="",B772=Report!$C$5)),MATCH(B772,Rooms!$B$6:$B$35,0)*10000+ROW(),"")</f>
        <v/>
      </c>
      <c r="W772">
        <f>IF(AND(S772=1,OR(J772="",J772="No")),1,0)</f>
        <v/>
      </c>
      <c r="X772">
        <f>IF(AND(S772=1,K772=""),1,0)</f>
        <v/>
      </c>
      <c r="Y772">
        <f>IF(AND(S772=1,Q772&lt;&gt;""),ROUND(T772*100,0)*10000+10000-ROW(),"")</f>
        <v/>
      </c>
    </row>
    <row r="773">
      <c r="A773" s="1" t="n"/>
      <c r="B773" s="17" t="n"/>
      <c r="C773" s="18" t="n"/>
      <c r="D773" s="17" t="n"/>
      <c r="E773" s="19" t="n"/>
      <c r="F773" s="19" t="n"/>
      <c r="G773" s="20" t="n"/>
      <c r="H773" s="21" t="n"/>
      <c r="I773" s="21" t="n"/>
      <c r="J773" s="17" t="n"/>
      <c r="K773" s="19" t="n"/>
      <c r="L773" s="20" t="n"/>
      <c r="M773" s="19" t="n"/>
      <c r="N773" s="22">
        <f>IF(C773="","",IF(ISNUMBER(I773),I773,IF(ISNUMBER(H773),H773,"")))</f>
        <v/>
      </c>
      <c r="O773" s="23">
        <f>IF(OR(C773="",NOT(ISNUMBER(G773))),"",(TODAY()-INT(G773))/365.25)</f>
        <v/>
      </c>
      <c r="P773" s="13">
        <f>IF(OR(C773="",NOT(ISNUMBER(L773))),"",IF(L773&lt;TODAY(),"Ended",IF(L773-TODAY()&lt;=N(Settings!$C$10),"Ends soon","Covered")))</f>
        <v/>
      </c>
      <c r="Q773" s="13">
        <f>IF(C773="","",MID(IF(N773="",", value","")&amp;IF(OR(J773="",J773="No"),", receipt","")&amp;IF(K773="",", photo",""),3,100))</f>
        <v/>
      </c>
      <c r="R773" s="13">
        <f>IF(AND(B773="",C773=""),"",IF(C773="","Needs the item",IF(B773="","Needs a room",IF(COUNTIF(Rooms!$B$6:$B$35,B773)=0,"Not on Rooms",IF(AND(H773&lt;&gt;"",NOT(ISNUMBER(H773))),"Paid not a number",IF(AND(I773&lt;&gt;"",NOT(ISNUMBER(I773))),"Worth not a number",IF(AND(G773&lt;&gt;"",NOT(ISNUMBER(G773))),"Bought is not a date",IF(AND(L773&lt;&gt;"",NOT(ISNUMBER(L773))),"Warranty is not a date",""))))))))</f>
        <v/>
      </c>
      <c r="S773" s="1">
        <f>IF(AND(C773&lt;&gt;"",R773=""),1,0)</f>
        <v/>
      </c>
      <c r="T773">
        <f>IF(S773=1,N(N773),0)</f>
        <v/>
      </c>
      <c r="U773">
        <f>IF(AND(S773=1,T773&gt;0),ROUND(T773*100,0)*10000+10000-ROW(),"")</f>
        <v/>
      </c>
      <c r="V773">
        <f>IF(AND(S773=1,OR(Report!$C$5="",B773=Report!$C$5)),MATCH(B773,Rooms!$B$6:$B$35,0)*10000+ROW(),"")</f>
        <v/>
      </c>
      <c r="W773">
        <f>IF(AND(S773=1,OR(J773="",J773="No")),1,0)</f>
        <v/>
      </c>
      <c r="X773">
        <f>IF(AND(S773=1,K773=""),1,0)</f>
        <v/>
      </c>
      <c r="Y773">
        <f>IF(AND(S773=1,Q773&lt;&gt;""),ROUND(T773*100,0)*10000+10000-ROW(),"")</f>
        <v/>
      </c>
    </row>
    <row r="774">
      <c r="A774" s="1" t="n"/>
      <c r="B774" s="17" t="n"/>
      <c r="C774" s="18" t="n"/>
      <c r="D774" s="17" t="n"/>
      <c r="E774" s="19" t="n"/>
      <c r="F774" s="19" t="n"/>
      <c r="G774" s="20" t="n"/>
      <c r="H774" s="21" t="n"/>
      <c r="I774" s="21" t="n"/>
      <c r="J774" s="17" t="n"/>
      <c r="K774" s="19" t="n"/>
      <c r="L774" s="20" t="n"/>
      <c r="M774" s="19" t="n"/>
      <c r="N774" s="22">
        <f>IF(C774="","",IF(ISNUMBER(I774),I774,IF(ISNUMBER(H774),H774,"")))</f>
        <v/>
      </c>
      <c r="O774" s="23">
        <f>IF(OR(C774="",NOT(ISNUMBER(G774))),"",(TODAY()-INT(G774))/365.25)</f>
        <v/>
      </c>
      <c r="P774" s="13">
        <f>IF(OR(C774="",NOT(ISNUMBER(L774))),"",IF(L774&lt;TODAY(),"Ended",IF(L774-TODAY()&lt;=N(Settings!$C$10),"Ends soon","Covered")))</f>
        <v/>
      </c>
      <c r="Q774" s="13">
        <f>IF(C774="","",MID(IF(N774="",", value","")&amp;IF(OR(J774="",J774="No"),", receipt","")&amp;IF(K774="",", photo",""),3,100))</f>
        <v/>
      </c>
      <c r="R774" s="13">
        <f>IF(AND(B774="",C774=""),"",IF(C774="","Needs the item",IF(B774="","Needs a room",IF(COUNTIF(Rooms!$B$6:$B$35,B774)=0,"Not on Rooms",IF(AND(H774&lt;&gt;"",NOT(ISNUMBER(H774))),"Paid not a number",IF(AND(I774&lt;&gt;"",NOT(ISNUMBER(I774))),"Worth not a number",IF(AND(G774&lt;&gt;"",NOT(ISNUMBER(G774))),"Bought is not a date",IF(AND(L774&lt;&gt;"",NOT(ISNUMBER(L774))),"Warranty is not a date",""))))))))</f>
        <v/>
      </c>
      <c r="S774" s="1">
        <f>IF(AND(C774&lt;&gt;"",R774=""),1,0)</f>
        <v/>
      </c>
      <c r="T774">
        <f>IF(S774=1,N(N774),0)</f>
        <v/>
      </c>
      <c r="U774">
        <f>IF(AND(S774=1,T774&gt;0),ROUND(T774*100,0)*10000+10000-ROW(),"")</f>
        <v/>
      </c>
      <c r="V774">
        <f>IF(AND(S774=1,OR(Report!$C$5="",B774=Report!$C$5)),MATCH(B774,Rooms!$B$6:$B$35,0)*10000+ROW(),"")</f>
        <v/>
      </c>
      <c r="W774">
        <f>IF(AND(S774=1,OR(J774="",J774="No")),1,0)</f>
        <v/>
      </c>
      <c r="X774">
        <f>IF(AND(S774=1,K774=""),1,0)</f>
        <v/>
      </c>
      <c r="Y774">
        <f>IF(AND(S774=1,Q774&lt;&gt;""),ROUND(T774*100,0)*10000+10000-ROW(),"")</f>
        <v/>
      </c>
    </row>
    <row r="775">
      <c r="A775" s="1" t="n"/>
      <c r="B775" s="17" t="n"/>
      <c r="C775" s="18" t="n"/>
      <c r="D775" s="17" t="n"/>
      <c r="E775" s="19" t="n"/>
      <c r="F775" s="19" t="n"/>
      <c r="G775" s="20" t="n"/>
      <c r="H775" s="21" t="n"/>
      <c r="I775" s="21" t="n"/>
      <c r="J775" s="17" t="n"/>
      <c r="K775" s="19" t="n"/>
      <c r="L775" s="20" t="n"/>
      <c r="M775" s="19" t="n"/>
      <c r="N775" s="22">
        <f>IF(C775="","",IF(ISNUMBER(I775),I775,IF(ISNUMBER(H775),H775,"")))</f>
        <v/>
      </c>
      <c r="O775" s="23">
        <f>IF(OR(C775="",NOT(ISNUMBER(G775))),"",(TODAY()-INT(G775))/365.25)</f>
        <v/>
      </c>
      <c r="P775" s="13">
        <f>IF(OR(C775="",NOT(ISNUMBER(L775))),"",IF(L775&lt;TODAY(),"Ended",IF(L775-TODAY()&lt;=N(Settings!$C$10),"Ends soon","Covered")))</f>
        <v/>
      </c>
      <c r="Q775" s="13">
        <f>IF(C775="","",MID(IF(N775="",", value","")&amp;IF(OR(J775="",J775="No"),", receipt","")&amp;IF(K775="",", photo",""),3,100))</f>
        <v/>
      </c>
      <c r="R775" s="13">
        <f>IF(AND(B775="",C775=""),"",IF(C775="","Needs the item",IF(B775="","Needs a room",IF(COUNTIF(Rooms!$B$6:$B$35,B775)=0,"Not on Rooms",IF(AND(H775&lt;&gt;"",NOT(ISNUMBER(H775))),"Paid not a number",IF(AND(I775&lt;&gt;"",NOT(ISNUMBER(I775))),"Worth not a number",IF(AND(G775&lt;&gt;"",NOT(ISNUMBER(G775))),"Bought is not a date",IF(AND(L775&lt;&gt;"",NOT(ISNUMBER(L775))),"Warranty is not a date",""))))))))</f>
        <v/>
      </c>
      <c r="S775" s="1">
        <f>IF(AND(C775&lt;&gt;"",R775=""),1,0)</f>
        <v/>
      </c>
      <c r="T775">
        <f>IF(S775=1,N(N775),0)</f>
        <v/>
      </c>
      <c r="U775">
        <f>IF(AND(S775=1,T775&gt;0),ROUND(T775*100,0)*10000+10000-ROW(),"")</f>
        <v/>
      </c>
      <c r="V775">
        <f>IF(AND(S775=1,OR(Report!$C$5="",B775=Report!$C$5)),MATCH(B775,Rooms!$B$6:$B$35,0)*10000+ROW(),"")</f>
        <v/>
      </c>
      <c r="W775">
        <f>IF(AND(S775=1,OR(J775="",J775="No")),1,0)</f>
        <v/>
      </c>
      <c r="X775">
        <f>IF(AND(S775=1,K775=""),1,0)</f>
        <v/>
      </c>
      <c r="Y775">
        <f>IF(AND(S775=1,Q775&lt;&gt;""),ROUND(T775*100,0)*10000+10000-ROW(),"")</f>
        <v/>
      </c>
    </row>
    <row r="776">
      <c r="A776" s="1" t="n"/>
      <c r="B776" s="17" t="n"/>
      <c r="C776" s="18" t="n"/>
      <c r="D776" s="17" t="n"/>
      <c r="E776" s="19" t="n"/>
      <c r="F776" s="19" t="n"/>
      <c r="G776" s="20" t="n"/>
      <c r="H776" s="21" t="n"/>
      <c r="I776" s="21" t="n"/>
      <c r="J776" s="17" t="n"/>
      <c r="K776" s="19" t="n"/>
      <c r="L776" s="20" t="n"/>
      <c r="M776" s="19" t="n"/>
      <c r="N776" s="22">
        <f>IF(C776="","",IF(ISNUMBER(I776),I776,IF(ISNUMBER(H776),H776,"")))</f>
        <v/>
      </c>
      <c r="O776" s="23">
        <f>IF(OR(C776="",NOT(ISNUMBER(G776))),"",(TODAY()-INT(G776))/365.25)</f>
        <v/>
      </c>
      <c r="P776" s="13">
        <f>IF(OR(C776="",NOT(ISNUMBER(L776))),"",IF(L776&lt;TODAY(),"Ended",IF(L776-TODAY()&lt;=N(Settings!$C$10),"Ends soon","Covered")))</f>
        <v/>
      </c>
      <c r="Q776" s="13">
        <f>IF(C776="","",MID(IF(N776="",", value","")&amp;IF(OR(J776="",J776="No"),", receipt","")&amp;IF(K776="",", photo",""),3,100))</f>
        <v/>
      </c>
      <c r="R776" s="13">
        <f>IF(AND(B776="",C776=""),"",IF(C776="","Needs the item",IF(B776="","Needs a room",IF(COUNTIF(Rooms!$B$6:$B$35,B776)=0,"Not on Rooms",IF(AND(H776&lt;&gt;"",NOT(ISNUMBER(H776))),"Paid not a number",IF(AND(I776&lt;&gt;"",NOT(ISNUMBER(I776))),"Worth not a number",IF(AND(G776&lt;&gt;"",NOT(ISNUMBER(G776))),"Bought is not a date",IF(AND(L776&lt;&gt;"",NOT(ISNUMBER(L776))),"Warranty is not a date",""))))))))</f>
        <v/>
      </c>
      <c r="S776" s="1">
        <f>IF(AND(C776&lt;&gt;"",R776=""),1,0)</f>
        <v/>
      </c>
      <c r="T776">
        <f>IF(S776=1,N(N776),0)</f>
        <v/>
      </c>
      <c r="U776">
        <f>IF(AND(S776=1,T776&gt;0),ROUND(T776*100,0)*10000+10000-ROW(),"")</f>
        <v/>
      </c>
      <c r="V776">
        <f>IF(AND(S776=1,OR(Report!$C$5="",B776=Report!$C$5)),MATCH(B776,Rooms!$B$6:$B$35,0)*10000+ROW(),"")</f>
        <v/>
      </c>
      <c r="W776">
        <f>IF(AND(S776=1,OR(J776="",J776="No")),1,0)</f>
        <v/>
      </c>
      <c r="X776">
        <f>IF(AND(S776=1,K776=""),1,0)</f>
        <v/>
      </c>
      <c r="Y776">
        <f>IF(AND(S776=1,Q776&lt;&gt;""),ROUND(T776*100,0)*10000+10000-ROW(),"")</f>
        <v/>
      </c>
    </row>
    <row r="777">
      <c r="A777" s="1" t="n"/>
      <c r="B777" s="17" t="n"/>
      <c r="C777" s="18" t="n"/>
      <c r="D777" s="17" t="n"/>
      <c r="E777" s="19" t="n"/>
      <c r="F777" s="19" t="n"/>
      <c r="G777" s="20" t="n"/>
      <c r="H777" s="21" t="n"/>
      <c r="I777" s="21" t="n"/>
      <c r="J777" s="17" t="n"/>
      <c r="K777" s="19" t="n"/>
      <c r="L777" s="20" t="n"/>
      <c r="M777" s="19" t="n"/>
      <c r="N777" s="22">
        <f>IF(C777="","",IF(ISNUMBER(I777),I777,IF(ISNUMBER(H777),H777,"")))</f>
        <v/>
      </c>
      <c r="O777" s="23">
        <f>IF(OR(C777="",NOT(ISNUMBER(G777))),"",(TODAY()-INT(G777))/365.25)</f>
        <v/>
      </c>
      <c r="P777" s="13">
        <f>IF(OR(C777="",NOT(ISNUMBER(L777))),"",IF(L777&lt;TODAY(),"Ended",IF(L777-TODAY()&lt;=N(Settings!$C$10),"Ends soon","Covered")))</f>
        <v/>
      </c>
      <c r="Q777" s="13">
        <f>IF(C777="","",MID(IF(N777="",", value","")&amp;IF(OR(J777="",J777="No"),", receipt","")&amp;IF(K777="",", photo",""),3,100))</f>
        <v/>
      </c>
      <c r="R777" s="13">
        <f>IF(AND(B777="",C777=""),"",IF(C777="","Needs the item",IF(B777="","Needs a room",IF(COUNTIF(Rooms!$B$6:$B$35,B777)=0,"Not on Rooms",IF(AND(H777&lt;&gt;"",NOT(ISNUMBER(H777))),"Paid not a number",IF(AND(I777&lt;&gt;"",NOT(ISNUMBER(I777))),"Worth not a number",IF(AND(G777&lt;&gt;"",NOT(ISNUMBER(G777))),"Bought is not a date",IF(AND(L777&lt;&gt;"",NOT(ISNUMBER(L777))),"Warranty is not a date",""))))))))</f>
        <v/>
      </c>
      <c r="S777" s="1">
        <f>IF(AND(C777&lt;&gt;"",R777=""),1,0)</f>
        <v/>
      </c>
      <c r="T777">
        <f>IF(S777=1,N(N777),0)</f>
        <v/>
      </c>
      <c r="U777">
        <f>IF(AND(S777=1,T777&gt;0),ROUND(T777*100,0)*10000+10000-ROW(),"")</f>
        <v/>
      </c>
      <c r="V777">
        <f>IF(AND(S777=1,OR(Report!$C$5="",B777=Report!$C$5)),MATCH(B777,Rooms!$B$6:$B$35,0)*10000+ROW(),"")</f>
        <v/>
      </c>
      <c r="W777">
        <f>IF(AND(S777=1,OR(J777="",J777="No")),1,0)</f>
        <v/>
      </c>
      <c r="X777">
        <f>IF(AND(S777=1,K777=""),1,0)</f>
        <v/>
      </c>
      <c r="Y777">
        <f>IF(AND(S777=1,Q777&lt;&gt;""),ROUND(T777*100,0)*10000+10000-ROW(),"")</f>
        <v/>
      </c>
    </row>
    <row r="778">
      <c r="A778" s="1" t="n"/>
      <c r="B778" s="17" t="n"/>
      <c r="C778" s="18" t="n"/>
      <c r="D778" s="17" t="n"/>
      <c r="E778" s="19" t="n"/>
      <c r="F778" s="19" t="n"/>
      <c r="G778" s="20" t="n"/>
      <c r="H778" s="21" t="n"/>
      <c r="I778" s="21" t="n"/>
      <c r="J778" s="17" t="n"/>
      <c r="K778" s="19" t="n"/>
      <c r="L778" s="20" t="n"/>
      <c r="M778" s="19" t="n"/>
      <c r="N778" s="22">
        <f>IF(C778="","",IF(ISNUMBER(I778),I778,IF(ISNUMBER(H778),H778,"")))</f>
        <v/>
      </c>
      <c r="O778" s="23">
        <f>IF(OR(C778="",NOT(ISNUMBER(G778))),"",(TODAY()-INT(G778))/365.25)</f>
        <v/>
      </c>
      <c r="P778" s="13">
        <f>IF(OR(C778="",NOT(ISNUMBER(L778))),"",IF(L778&lt;TODAY(),"Ended",IF(L778-TODAY()&lt;=N(Settings!$C$10),"Ends soon","Covered")))</f>
        <v/>
      </c>
      <c r="Q778" s="13">
        <f>IF(C778="","",MID(IF(N778="",", value","")&amp;IF(OR(J778="",J778="No"),", receipt","")&amp;IF(K778="",", photo",""),3,100))</f>
        <v/>
      </c>
      <c r="R778" s="13">
        <f>IF(AND(B778="",C778=""),"",IF(C778="","Needs the item",IF(B778="","Needs a room",IF(COUNTIF(Rooms!$B$6:$B$35,B778)=0,"Not on Rooms",IF(AND(H778&lt;&gt;"",NOT(ISNUMBER(H778))),"Paid not a number",IF(AND(I778&lt;&gt;"",NOT(ISNUMBER(I778))),"Worth not a number",IF(AND(G778&lt;&gt;"",NOT(ISNUMBER(G778))),"Bought is not a date",IF(AND(L778&lt;&gt;"",NOT(ISNUMBER(L778))),"Warranty is not a date",""))))))))</f>
        <v/>
      </c>
      <c r="S778" s="1">
        <f>IF(AND(C778&lt;&gt;"",R778=""),1,0)</f>
        <v/>
      </c>
      <c r="T778">
        <f>IF(S778=1,N(N778),0)</f>
        <v/>
      </c>
      <c r="U778">
        <f>IF(AND(S778=1,T778&gt;0),ROUND(T778*100,0)*10000+10000-ROW(),"")</f>
        <v/>
      </c>
      <c r="V778">
        <f>IF(AND(S778=1,OR(Report!$C$5="",B778=Report!$C$5)),MATCH(B778,Rooms!$B$6:$B$35,0)*10000+ROW(),"")</f>
        <v/>
      </c>
      <c r="W778">
        <f>IF(AND(S778=1,OR(J778="",J778="No")),1,0)</f>
        <v/>
      </c>
      <c r="X778">
        <f>IF(AND(S778=1,K778=""),1,0)</f>
        <v/>
      </c>
      <c r="Y778">
        <f>IF(AND(S778=1,Q778&lt;&gt;""),ROUND(T778*100,0)*10000+10000-ROW(),"")</f>
        <v/>
      </c>
    </row>
    <row r="779">
      <c r="A779" s="1" t="n"/>
      <c r="B779" s="17" t="n"/>
      <c r="C779" s="18" t="n"/>
      <c r="D779" s="17" t="n"/>
      <c r="E779" s="19" t="n"/>
      <c r="F779" s="19" t="n"/>
      <c r="G779" s="20" t="n"/>
      <c r="H779" s="21" t="n"/>
      <c r="I779" s="21" t="n"/>
      <c r="J779" s="17" t="n"/>
      <c r="K779" s="19" t="n"/>
      <c r="L779" s="20" t="n"/>
      <c r="M779" s="19" t="n"/>
      <c r="N779" s="22">
        <f>IF(C779="","",IF(ISNUMBER(I779),I779,IF(ISNUMBER(H779),H779,"")))</f>
        <v/>
      </c>
      <c r="O779" s="23">
        <f>IF(OR(C779="",NOT(ISNUMBER(G779))),"",(TODAY()-INT(G779))/365.25)</f>
        <v/>
      </c>
      <c r="P779" s="13">
        <f>IF(OR(C779="",NOT(ISNUMBER(L779))),"",IF(L779&lt;TODAY(),"Ended",IF(L779-TODAY()&lt;=N(Settings!$C$10),"Ends soon","Covered")))</f>
        <v/>
      </c>
      <c r="Q779" s="13">
        <f>IF(C779="","",MID(IF(N779="",", value","")&amp;IF(OR(J779="",J779="No"),", receipt","")&amp;IF(K779="",", photo",""),3,100))</f>
        <v/>
      </c>
      <c r="R779" s="13">
        <f>IF(AND(B779="",C779=""),"",IF(C779="","Needs the item",IF(B779="","Needs a room",IF(COUNTIF(Rooms!$B$6:$B$35,B779)=0,"Not on Rooms",IF(AND(H779&lt;&gt;"",NOT(ISNUMBER(H779))),"Paid not a number",IF(AND(I779&lt;&gt;"",NOT(ISNUMBER(I779))),"Worth not a number",IF(AND(G779&lt;&gt;"",NOT(ISNUMBER(G779))),"Bought is not a date",IF(AND(L779&lt;&gt;"",NOT(ISNUMBER(L779))),"Warranty is not a date",""))))))))</f>
        <v/>
      </c>
      <c r="S779" s="1">
        <f>IF(AND(C779&lt;&gt;"",R779=""),1,0)</f>
        <v/>
      </c>
      <c r="T779">
        <f>IF(S779=1,N(N779),0)</f>
        <v/>
      </c>
      <c r="U779">
        <f>IF(AND(S779=1,T779&gt;0),ROUND(T779*100,0)*10000+10000-ROW(),"")</f>
        <v/>
      </c>
      <c r="V779">
        <f>IF(AND(S779=1,OR(Report!$C$5="",B779=Report!$C$5)),MATCH(B779,Rooms!$B$6:$B$35,0)*10000+ROW(),"")</f>
        <v/>
      </c>
      <c r="W779">
        <f>IF(AND(S779=1,OR(J779="",J779="No")),1,0)</f>
        <v/>
      </c>
      <c r="X779">
        <f>IF(AND(S779=1,K779=""),1,0)</f>
        <v/>
      </c>
      <c r="Y779">
        <f>IF(AND(S779=1,Q779&lt;&gt;""),ROUND(T779*100,0)*10000+10000-ROW(),"")</f>
        <v/>
      </c>
    </row>
    <row r="780">
      <c r="A780" s="1" t="n"/>
      <c r="B780" s="17" t="n"/>
      <c r="C780" s="18" t="n"/>
      <c r="D780" s="17" t="n"/>
      <c r="E780" s="19" t="n"/>
      <c r="F780" s="19" t="n"/>
      <c r="G780" s="20" t="n"/>
      <c r="H780" s="21" t="n"/>
      <c r="I780" s="21" t="n"/>
      <c r="J780" s="17" t="n"/>
      <c r="K780" s="19" t="n"/>
      <c r="L780" s="20" t="n"/>
      <c r="M780" s="19" t="n"/>
      <c r="N780" s="22">
        <f>IF(C780="","",IF(ISNUMBER(I780),I780,IF(ISNUMBER(H780),H780,"")))</f>
        <v/>
      </c>
      <c r="O780" s="23">
        <f>IF(OR(C780="",NOT(ISNUMBER(G780))),"",(TODAY()-INT(G780))/365.25)</f>
        <v/>
      </c>
      <c r="P780" s="13">
        <f>IF(OR(C780="",NOT(ISNUMBER(L780))),"",IF(L780&lt;TODAY(),"Ended",IF(L780-TODAY()&lt;=N(Settings!$C$10),"Ends soon","Covered")))</f>
        <v/>
      </c>
      <c r="Q780" s="13">
        <f>IF(C780="","",MID(IF(N780="",", value","")&amp;IF(OR(J780="",J780="No"),", receipt","")&amp;IF(K780="",", photo",""),3,100))</f>
        <v/>
      </c>
      <c r="R780" s="13">
        <f>IF(AND(B780="",C780=""),"",IF(C780="","Needs the item",IF(B780="","Needs a room",IF(COUNTIF(Rooms!$B$6:$B$35,B780)=0,"Not on Rooms",IF(AND(H780&lt;&gt;"",NOT(ISNUMBER(H780))),"Paid not a number",IF(AND(I780&lt;&gt;"",NOT(ISNUMBER(I780))),"Worth not a number",IF(AND(G780&lt;&gt;"",NOT(ISNUMBER(G780))),"Bought is not a date",IF(AND(L780&lt;&gt;"",NOT(ISNUMBER(L780))),"Warranty is not a date",""))))))))</f>
        <v/>
      </c>
      <c r="S780" s="1">
        <f>IF(AND(C780&lt;&gt;"",R780=""),1,0)</f>
        <v/>
      </c>
      <c r="T780">
        <f>IF(S780=1,N(N780),0)</f>
        <v/>
      </c>
      <c r="U780">
        <f>IF(AND(S780=1,T780&gt;0),ROUND(T780*100,0)*10000+10000-ROW(),"")</f>
        <v/>
      </c>
      <c r="V780">
        <f>IF(AND(S780=1,OR(Report!$C$5="",B780=Report!$C$5)),MATCH(B780,Rooms!$B$6:$B$35,0)*10000+ROW(),"")</f>
        <v/>
      </c>
      <c r="W780">
        <f>IF(AND(S780=1,OR(J780="",J780="No")),1,0)</f>
        <v/>
      </c>
      <c r="X780">
        <f>IF(AND(S780=1,K780=""),1,0)</f>
        <v/>
      </c>
      <c r="Y780">
        <f>IF(AND(S780=1,Q780&lt;&gt;""),ROUND(T780*100,0)*10000+10000-ROW(),"")</f>
        <v/>
      </c>
    </row>
    <row r="781">
      <c r="A781" s="1" t="n"/>
      <c r="B781" s="17" t="n"/>
      <c r="C781" s="18" t="n"/>
      <c r="D781" s="17" t="n"/>
      <c r="E781" s="19" t="n"/>
      <c r="F781" s="19" t="n"/>
      <c r="G781" s="20" t="n"/>
      <c r="H781" s="21" t="n"/>
      <c r="I781" s="21" t="n"/>
      <c r="J781" s="17" t="n"/>
      <c r="K781" s="19" t="n"/>
      <c r="L781" s="20" t="n"/>
      <c r="M781" s="19" t="n"/>
      <c r="N781" s="22">
        <f>IF(C781="","",IF(ISNUMBER(I781),I781,IF(ISNUMBER(H781),H781,"")))</f>
        <v/>
      </c>
      <c r="O781" s="23">
        <f>IF(OR(C781="",NOT(ISNUMBER(G781))),"",(TODAY()-INT(G781))/365.25)</f>
        <v/>
      </c>
      <c r="P781" s="13">
        <f>IF(OR(C781="",NOT(ISNUMBER(L781))),"",IF(L781&lt;TODAY(),"Ended",IF(L781-TODAY()&lt;=N(Settings!$C$10),"Ends soon","Covered")))</f>
        <v/>
      </c>
      <c r="Q781" s="13">
        <f>IF(C781="","",MID(IF(N781="",", value","")&amp;IF(OR(J781="",J781="No"),", receipt","")&amp;IF(K781="",", photo",""),3,100))</f>
        <v/>
      </c>
      <c r="R781" s="13">
        <f>IF(AND(B781="",C781=""),"",IF(C781="","Needs the item",IF(B781="","Needs a room",IF(COUNTIF(Rooms!$B$6:$B$35,B781)=0,"Not on Rooms",IF(AND(H781&lt;&gt;"",NOT(ISNUMBER(H781))),"Paid not a number",IF(AND(I781&lt;&gt;"",NOT(ISNUMBER(I781))),"Worth not a number",IF(AND(G781&lt;&gt;"",NOT(ISNUMBER(G781))),"Bought is not a date",IF(AND(L781&lt;&gt;"",NOT(ISNUMBER(L781))),"Warranty is not a date",""))))))))</f>
        <v/>
      </c>
      <c r="S781" s="1">
        <f>IF(AND(C781&lt;&gt;"",R781=""),1,0)</f>
        <v/>
      </c>
      <c r="T781">
        <f>IF(S781=1,N(N781),0)</f>
        <v/>
      </c>
      <c r="U781">
        <f>IF(AND(S781=1,T781&gt;0),ROUND(T781*100,0)*10000+10000-ROW(),"")</f>
        <v/>
      </c>
      <c r="V781">
        <f>IF(AND(S781=1,OR(Report!$C$5="",B781=Report!$C$5)),MATCH(B781,Rooms!$B$6:$B$35,0)*10000+ROW(),"")</f>
        <v/>
      </c>
      <c r="W781">
        <f>IF(AND(S781=1,OR(J781="",J781="No")),1,0)</f>
        <v/>
      </c>
      <c r="X781">
        <f>IF(AND(S781=1,K781=""),1,0)</f>
        <v/>
      </c>
      <c r="Y781">
        <f>IF(AND(S781=1,Q781&lt;&gt;""),ROUND(T781*100,0)*10000+10000-ROW(),"")</f>
        <v/>
      </c>
    </row>
    <row r="782">
      <c r="A782" s="1" t="n"/>
      <c r="B782" s="17" t="n"/>
      <c r="C782" s="18" t="n"/>
      <c r="D782" s="17" t="n"/>
      <c r="E782" s="19" t="n"/>
      <c r="F782" s="19" t="n"/>
      <c r="G782" s="20" t="n"/>
      <c r="H782" s="21" t="n"/>
      <c r="I782" s="21" t="n"/>
      <c r="J782" s="17" t="n"/>
      <c r="K782" s="19" t="n"/>
      <c r="L782" s="20" t="n"/>
      <c r="M782" s="19" t="n"/>
      <c r="N782" s="22">
        <f>IF(C782="","",IF(ISNUMBER(I782),I782,IF(ISNUMBER(H782),H782,"")))</f>
        <v/>
      </c>
      <c r="O782" s="23">
        <f>IF(OR(C782="",NOT(ISNUMBER(G782))),"",(TODAY()-INT(G782))/365.25)</f>
        <v/>
      </c>
      <c r="P782" s="13">
        <f>IF(OR(C782="",NOT(ISNUMBER(L782))),"",IF(L782&lt;TODAY(),"Ended",IF(L782-TODAY()&lt;=N(Settings!$C$10),"Ends soon","Covered")))</f>
        <v/>
      </c>
      <c r="Q782" s="13">
        <f>IF(C782="","",MID(IF(N782="",", value","")&amp;IF(OR(J782="",J782="No"),", receipt","")&amp;IF(K782="",", photo",""),3,100))</f>
        <v/>
      </c>
      <c r="R782" s="13">
        <f>IF(AND(B782="",C782=""),"",IF(C782="","Needs the item",IF(B782="","Needs a room",IF(COUNTIF(Rooms!$B$6:$B$35,B782)=0,"Not on Rooms",IF(AND(H782&lt;&gt;"",NOT(ISNUMBER(H782))),"Paid not a number",IF(AND(I782&lt;&gt;"",NOT(ISNUMBER(I782))),"Worth not a number",IF(AND(G782&lt;&gt;"",NOT(ISNUMBER(G782))),"Bought is not a date",IF(AND(L782&lt;&gt;"",NOT(ISNUMBER(L782))),"Warranty is not a date",""))))))))</f>
        <v/>
      </c>
      <c r="S782" s="1">
        <f>IF(AND(C782&lt;&gt;"",R782=""),1,0)</f>
        <v/>
      </c>
      <c r="T782">
        <f>IF(S782=1,N(N782),0)</f>
        <v/>
      </c>
      <c r="U782">
        <f>IF(AND(S782=1,T782&gt;0),ROUND(T782*100,0)*10000+10000-ROW(),"")</f>
        <v/>
      </c>
      <c r="V782">
        <f>IF(AND(S782=1,OR(Report!$C$5="",B782=Report!$C$5)),MATCH(B782,Rooms!$B$6:$B$35,0)*10000+ROW(),"")</f>
        <v/>
      </c>
      <c r="W782">
        <f>IF(AND(S782=1,OR(J782="",J782="No")),1,0)</f>
        <v/>
      </c>
      <c r="X782">
        <f>IF(AND(S782=1,K782=""),1,0)</f>
        <v/>
      </c>
      <c r="Y782">
        <f>IF(AND(S782=1,Q782&lt;&gt;""),ROUND(T782*100,0)*10000+10000-ROW(),"")</f>
        <v/>
      </c>
    </row>
    <row r="783">
      <c r="A783" s="1" t="n"/>
      <c r="B783" s="17" t="n"/>
      <c r="C783" s="18" t="n"/>
      <c r="D783" s="17" t="n"/>
      <c r="E783" s="19" t="n"/>
      <c r="F783" s="19" t="n"/>
      <c r="G783" s="20" t="n"/>
      <c r="H783" s="21" t="n"/>
      <c r="I783" s="21" t="n"/>
      <c r="J783" s="17" t="n"/>
      <c r="K783" s="19" t="n"/>
      <c r="L783" s="20" t="n"/>
      <c r="M783" s="19" t="n"/>
      <c r="N783" s="22">
        <f>IF(C783="","",IF(ISNUMBER(I783),I783,IF(ISNUMBER(H783),H783,"")))</f>
        <v/>
      </c>
      <c r="O783" s="23">
        <f>IF(OR(C783="",NOT(ISNUMBER(G783))),"",(TODAY()-INT(G783))/365.25)</f>
        <v/>
      </c>
      <c r="P783" s="13">
        <f>IF(OR(C783="",NOT(ISNUMBER(L783))),"",IF(L783&lt;TODAY(),"Ended",IF(L783-TODAY()&lt;=N(Settings!$C$10),"Ends soon","Covered")))</f>
        <v/>
      </c>
      <c r="Q783" s="13">
        <f>IF(C783="","",MID(IF(N783="",", value","")&amp;IF(OR(J783="",J783="No"),", receipt","")&amp;IF(K783="",", photo",""),3,100))</f>
        <v/>
      </c>
      <c r="R783" s="13">
        <f>IF(AND(B783="",C783=""),"",IF(C783="","Needs the item",IF(B783="","Needs a room",IF(COUNTIF(Rooms!$B$6:$B$35,B783)=0,"Not on Rooms",IF(AND(H783&lt;&gt;"",NOT(ISNUMBER(H783))),"Paid not a number",IF(AND(I783&lt;&gt;"",NOT(ISNUMBER(I783))),"Worth not a number",IF(AND(G783&lt;&gt;"",NOT(ISNUMBER(G783))),"Bought is not a date",IF(AND(L783&lt;&gt;"",NOT(ISNUMBER(L783))),"Warranty is not a date",""))))))))</f>
        <v/>
      </c>
      <c r="S783" s="1">
        <f>IF(AND(C783&lt;&gt;"",R783=""),1,0)</f>
        <v/>
      </c>
      <c r="T783">
        <f>IF(S783=1,N(N783),0)</f>
        <v/>
      </c>
      <c r="U783">
        <f>IF(AND(S783=1,T783&gt;0),ROUND(T783*100,0)*10000+10000-ROW(),"")</f>
        <v/>
      </c>
      <c r="V783">
        <f>IF(AND(S783=1,OR(Report!$C$5="",B783=Report!$C$5)),MATCH(B783,Rooms!$B$6:$B$35,0)*10000+ROW(),"")</f>
        <v/>
      </c>
      <c r="W783">
        <f>IF(AND(S783=1,OR(J783="",J783="No")),1,0)</f>
        <v/>
      </c>
      <c r="X783">
        <f>IF(AND(S783=1,K783=""),1,0)</f>
        <v/>
      </c>
      <c r="Y783">
        <f>IF(AND(S783=1,Q783&lt;&gt;""),ROUND(T783*100,0)*10000+10000-ROW(),"")</f>
        <v/>
      </c>
    </row>
    <row r="784">
      <c r="A784" s="1" t="n"/>
      <c r="B784" s="17" t="n"/>
      <c r="C784" s="18" t="n"/>
      <c r="D784" s="17" t="n"/>
      <c r="E784" s="19" t="n"/>
      <c r="F784" s="19" t="n"/>
      <c r="G784" s="20" t="n"/>
      <c r="H784" s="21" t="n"/>
      <c r="I784" s="21" t="n"/>
      <c r="J784" s="17" t="n"/>
      <c r="K784" s="19" t="n"/>
      <c r="L784" s="20" t="n"/>
      <c r="M784" s="19" t="n"/>
      <c r="N784" s="22">
        <f>IF(C784="","",IF(ISNUMBER(I784),I784,IF(ISNUMBER(H784),H784,"")))</f>
        <v/>
      </c>
      <c r="O784" s="23">
        <f>IF(OR(C784="",NOT(ISNUMBER(G784))),"",(TODAY()-INT(G784))/365.25)</f>
        <v/>
      </c>
      <c r="P784" s="13">
        <f>IF(OR(C784="",NOT(ISNUMBER(L784))),"",IF(L784&lt;TODAY(),"Ended",IF(L784-TODAY()&lt;=N(Settings!$C$10),"Ends soon","Covered")))</f>
        <v/>
      </c>
      <c r="Q784" s="13">
        <f>IF(C784="","",MID(IF(N784="",", value","")&amp;IF(OR(J784="",J784="No"),", receipt","")&amp;IF(K784="",", photo",""),3,100))</f>
        <v/>
      </c>
      <c r="R784" s="13">
        <f>IF(AND(B784="",C784=""),"",IF(C784="","Needs the item",IF(B784="","Needs a room",IF(COUNTIF(Rooms!$B$6:$B$35,B784)=0,"Not on Rooms",IF(AND(H784&lt;&gt;"",NOT(ISNUMBER(H784))),"Paid not a number",IF(AND(I784&lt;&gt;"",NOT(ISNUMBER(I784))),"Worth not a number",IF(AND(G784&lt;&gt;"",NOT(ISNUMBER(G784))),"Bought is not a date",IF(AND(L784&lt;&gt;"",NOT(ISNUMBER(L784))),"Warranty is not a date",""))))))))</f>
        <v/>
      </c>
      <c r="S784" s="1">
        <f>IF(AND(C784&lt;&gt;"",R784=""),1,0)</f>
        <v/>
      </c>
      <c r="T784">
        <f>IF(S784=1,N(N784),0)</f>
        <v/>
      </c>
      <c r="U784">
        <f>IF(AND(S784=1,T784&gt;0),ROUND(T784*100,0)*10000+10000-ROW(),"")</f>
        <v/>
      </c>
      <c r="V784">
        <f>IF(AND(S784=1,OR(Report!$C$5="",B784=Report!$C$5)),MATCH(B784,Rooms!$B$6:$B$35,0)*10000+ROW(),"")</f>
        <v/>
      </c>
      <c r="W784">
        <f>IF(AND(S784=1,OR(J784="",J784="No")),1,0)</f>
        <v/>
      </c>
      <c r="X784">
        <f>IF(AND(S784=1,K784=""),1,0)</f>
        <v/>
      </c>
      <c r="Y784">
        <f>IF(AND(S784=1,Q784&lt;&gt;""),ROUND(T784*100,0)*10000+10000-ROW(),"")</f>
        <v/>
      </c>
    </row>
    <row r="785">
      <c r="A785" s="1" t="n"/>
      <c r="B785" s="17" t="n"/>
      <c r="C785" s="18" t="n"/>
      <c r="D785" s="17" t="n"/>
      <c r="E785" s="19" t="n"/>
      <c r="F785" s="19" t="n"/>
      <c r="G785" s="20" t="n"/>
      <c r="H785" s="21" t="n"/>
      <c r="I785" s="21" t="n"/>
      <c r="J785" s="17" t="n"/>
      <c r="K785" s="19" t="n"/>
      <c r="L785" s="20" t="n"/>
      <c r="M785" s="19" t="n"/>
      <c r="N785" s="22">
        <f>IF(C785="","",IF(ISNUMBER(I785),I785,IF(ISNUMBER(H785),H785,"")))</f>
        <v/>
      </c>
      <c r="O785" s="23">
        <f>IF(OR(C785="",NOT(ISNUMBER(G785))),"",(TODAY()-INT(G785))/365.25)</f>
        <v/>
      </c>
      <c r="P785" s="13">
        <f>IF(OR(C785="",NOT(ISNUMBER(L785))),"",IF(L785&lt;TODAY(),"Ended",IF(L785-TODAY()&lt;=N(Settings!$C$10),"Ends soon","Covered")))</f>
        <v/>
      </c>
      <c r="Q785" s="13">
        <f>IF(C785="","",MID(IF(N785="",", value","")&amp;IF(OR(J785="",J785="No"),", receipt","")&amp;IF(K785="",", photo",""),3,100))</f>
        <v/>
      </c>
      <c r="R785" s="13">
        <f>IF(AND(B785="",C785=""),"",IF(C785="","Needs the item",IF(B785="","Needs a room",IF(COUNTIF(Rooms!$B$6:$B$35,B785)=0,"Not on Rooms",IF(AND(H785&lt;&gt;"",NOT(ISNUMBER(H785))),"Paid not a number",IF(AND(I785&lt;&gt;"",NOT(ISNUMBER(I785))),"Worth not a number",IF(AND(G785&lt;&gt;"",NOT(ISNUMBER(G785))),"Bought is not a date",IF(AND(L785&lt;&gt;"",NOT(ISNUMBER(L785))),"Warranty is not a date",""))))))))</f>
        <v/>
      </c>
      <c r="S785" s="1">
        <f>IF(AND(C785&lt;&gt;"",R785=""),1,0)</f>
        <v/>
      </c>
      <c r="T785">
        <f>IF(S785=1,N(N785),0)</f>
        <v/>
      </c>
      <c r="U785">
        <f>IF(AND(S785=1,T785&gt;0),ROUND(T785*100,0)*10000+10000-ROW(),"")</f>
        <v/>
      </c>
      <c r="V785">
        <f>IF(AND(S785=1,OR(Report!$C$5="",B785=Report!$C$5)),MATCH(B785,Rooms!$B$6:$B$35,0)*10000+ROW(),"")</f>
        <v/>
      </c>
      <c r="W785">
        <f>IF(AND(S785=1,OR(J785="",J785="No")),1,0)</f>
        <v/>
      </c>
      <c r="X785">
        <f>IF(AND(S785=1,K785=""),1,0)</f>
        <v/>
      </c>
      <c r="Y785">
        <f>IF(AND(S785=1,Q785&lt;&gt;""),ROUND(T785*100,0)*10000+10000-ROW(),"")</f>
        <v/>
      </c>
    </row>
    <row r="786">
      <c r="A786" s="1" t="n"/>
      <c r="B786" s="17" t="n"/>
      <c r="C786" s="18" t="n"/>
      <c r="D786" s="17" t="n"/>
      <c r="E786" s="19" t="n"/>
      <c r="F786" s="19" t="n"/>
      <c r="G786" s="20" t="n"/>
      <c r="H786" s="21" t="n"/>
      <c r="I786" s="21" t="n"/>
      <c r="J786" s="17" t="n"/>
      <c r="K786" s="19" t="n"/>
      <c r="L786" s="20" t="n"/>
      <c r="M786" s="19" t="n"/>
      <c r="N786" s="22">
        <f>IF(C786="","",IF(ISNUMBER(I786),I786,IF(ISNUMBER(H786),H786,"")))</f>
        <v/>
      </c>
      <c r="O786" s="23">
        <f>IF(OR(C786="",NOT(ISNUMBER(G786))),"",(TODAY()-INT(G786))/365.25)</f>
        <v/>
      </c>
      <c r="P786" s="13">
        <f>IF(OR(C786="",NOT(ISNUMBER(L786))),"",IF(L786&lt;TODAY(),"Ended",IF(L786-TODAY()&lt;=N(Settings!$C$10),"Ends soon","Covered")))</f>
        <v/>
      </c>
      <c r="Q786" s="13">
        <f>IF(C786="","",MID(IF(N786="",", value","")&amp;IF(OR(J786="",J786="No"),", receipt","")&amp;IF(K786="",", photo",""),3,100))</f>
        <v/>
      </c>
      <c r="R786" s="13">
        <f>IF(AND(B786="",C786=""),"",IF(C786="","Needs the item",IF(B786="","Needs a room",IF(COUNTIF(Rooms!$B$6:$B$35,B786)=0,"Not on Rooms",IF(AND(H786&lt;&gt;"",NOT(ISNUMBER(H786))),"Paid not a number",IF(AND(I786&lt;&gt;"",NOT(ISNUMBER(I786))),"Worth not a number",IF(AND(G786&lt;&gt;"",NOT(ISNUMBER(G786))),"Bought is not a date",IF(AND(L786&lt;&gt;"",NOT(ISNUMBER(L786))),"Warranty is not a date",""))))))))</f>
        <v/>
      </c>
      <c r="S786" s="1">
        <f>IF(AND(C786&lt;&gt;"",R786=""),1,0)</f>
        <v/>
      </c>
      <c r="T786">
        <f>IF(S786=1,N(N786),0)</f>
        <v/>
      </c>
      <c r="U786">
        <f>IF(AND(S786=1,T786&gt;0),ROUND(T786*100,0)*10000+10000-ROW(),"")</f>
        <v/>
      </c>
      <c r="V786">
        <f>IF(AND(S786=1,OR(Report!$C$5="",B786=Report!$C$5)),MATCH(B786,Rooms!$B$6:$B$35,0)*10000+ROW(),"")</f>
        <v/>
      </c>
      <c r="W786">
        <f>IF(AND(S786=1,OR(J786="",J786="No")),1,0)</f>
        <v/>
      </c>
      <c r="X786">
        <f>IF(AND(S786=1,K786=""),1,0)</f>
        <v/>
      </c>
      <c r="Y786">
        <f>IF(AND(S786=1,Q786&lt;&gt;""),ROUND(T786*100,0)*10000+10000-ROW(),"")</f>
        <v/>
      </c>
    </row>
    <row r="787">
      <c r="A787" s="1" t="n"/>
      <c r="B787" s="17" t="n"/>
      <c r="C787" s="18" t="n"/>
      <c r="D787" s="17" t="n"/>
      <c r="E787" s="19" t="n"/>
      <c r="F787" s="19" t="n"/>
      <c r="G787" s="20" t="n"/>
      <c r="H787" s="21" t="n"/>
      <c r="I787" s="21" t="n"/>
      <c r="J787" s="17" t="n"/>
      <c r="K787" s="19" t="n"/>
      <c r="L787" s="20" t="n"/>
      <c r="M787" s="19" t="n"/>
      <c r="N787" s="22">
        <f>IF(C787="","",IF(ISNUMBER(I787),I787,IF(ISNUMBER(H787),H787,"")))</f>
        <v/>
      </c>
      <c r="O787" s="23">
        <f>IF(OR(C787="",NOT(ISNUMBER(G787))),"",(TODAY()-INT(G787))/365.25)</f>
        <v/>
      </c>
      <c r="P787" s="13">
        <f>IF(OR(C787="",NOT(ISNUMBER(L787))),"",IF(L787&lt;TODAY(),"Ended",IF(L787-TODAY()&lt;=N(Settings!$C$10),"Ends soon","Covered")))</f>
        <v/>
      </c>
      <c r="Q787" s="13">
        <f>IF(C787="","",MID(IF(N787="",", value","")&amp;IF(OR(J787="",J787="No"),", receipt","")&amp;IF(K787="",", photo",""),3,100))</f>
        <v/>
      </c>
      <c r="R787" s="13">
        <f>IF(AND(B787="",C787=""),"",IF(C787="","Needs the item",IF(B787="","Needs a room",IF(COUNTIF(Rooms!$B$6:$B$35,B787)=0,"Not on Rooms",IF(AND(H787&lt;&gt;"",NOT(ISNUMBER(H787))),"Paid not a number",IF(AND(I787&lt;&gt;"",NOT(ISNUMBER(I787))),"Worth not a number",IF(AND(G787&lt;&gt;"",NOT(ISNUMBER(G787))),"Bought is not a date",IF(AND(L787&lt;&gt;"",NOT(ISNUMBER(L787))),"Warranty is not a date",""))))))))</f>
        <v/>
      </c>
      <c r="S787" s="1">
        <f>IF(AND(C787&lt;&gt;"",R787=""),1,0)</f>
        <v/>
      </c>
      <c r="T787">
        <f>IF(S787=1,N(N787),0)</f>
        <v/>
      </c>
      <c r="U787">
        <f>IF(AND(S787=1,T787&gt;0),ROUND(T787*100,0)*10000+10000-ROW(),"")</f>
        <v/>
      </c>
      <c r="V787">
        <f>IF(AND(S787=1,OR(Report!$C$5="",B787=Report!$C$5)),MATCH(B787,Rooms!$B$6:$B$35,0)*10000+ROW(),"")</f>
        <v/>
      </c>
      <c r="W787">
        <f>IF(AND(S787=1,OR(J787="",J787="No")),1,0)</f>
        <v/>
      </c>
      <c r="X787">
        <f>IF(AND(S787=1,K787=""),1,0)</f>
        <v/>
      </c>
      <c r="Y787">
        <f>IF(AND(S787=1,Q787&lt;&gt;""),ROUND(T787*100,0)*10000+10000-ROW(),"")</f>
        <v/>
      </c>
    </row>
    <row r="788">
      <c r="A788" s="1" t="n"/>
      <c r="B788" s="17" t="n"/>
      <c r="C788" s="18" t="n"/>
      <c r="D788" s="17" t="n"/>
      <c r="E788" s="19" t="n"/>
      <c r="F788" s="19" t="n"/>
      <c r="G788" s="20" t="n"/>
      <c r="H788" s="21" t="n"/>
      <c r="I788" s="21" t="n"/>
      <c r="J788" s="17" t="n"/>
      <c r="K788" s="19" t="n"/>
      <c r="L788" s="20" t="n"/>
      <c r="M788" s="19" t="n"/>
      <c r="N788" s="22">
        <f>IF(C788="","",IF(ISNUMBER(I788),I788,IF(ISNUMBER(H788),H788,"")))</f>
        <v/>
      </c>
      <c r="O788" s="23">
        <f>IF(OR(C788="",NOT(ISNUMBER(G788))),"",(TODAY()-INT(G788))/365.25)</f>
        <v/>
      </c>
      <c r="P788" s="13">
        <f>IF(OR(C788="",NOT(ISNUMBER(L788))),"",IF(L788&lt;TODAY(),"Ended",IF(L788-TODAY()&lt;=N(Settings!$C$10),"Ends soon","Covered")))</f>
        <v/>
      </c>
      <c r="Q788" s="13">
        <f>IF(C788="","",MID(IF(N788="",", value","")&amp;IF(OR(J788="",J788="No"),", receipt","")&amp;IF(K788="",", photo",""),3,100))</f>
        <v/>
      </c>
      <c r="R788" s="13">
        <f>IF(AND(B788="",C788=""),"",IF(C788="","Needs the item",IF(B788="","Needs a room",IF(COUNTIF(Rooms!$B$6:$B$35,B788)=0,"Not on Rooms",IF(AND(H788&lt;&gt;"",NOT(ISNUMBER(H788))),"Paid not a number",IF(AND(I788&lt;&gt;"",NOT(ISNUMBER(I788))),"Worth not a number",IF(AND(G788&lt;&gt;"",NOT(ISNUMBER(G788))),"Bought is not a date",IF(AND(L788&lt;&gt;"",NOT(ISNUMBER(L788))),"Warranty is not a date",""))))))))</f>
        <v/>
      </c>
      <c r="S788" s="1">
        <f>IF(AND(C788&lt;&gt;"",R788=""),1,0)</f>
        <v/>
      </c>
      <c r="T788">
        <f>IF(S788=1,N(N788),0)</f>
        <v/>
      </c>
      <c r="U788">
        <f>IF(AND(S788=1,T788&gt;0),ROUND(T788*100,0)*10000+10000-ROW(),"")</f>
        <v/>
      </c>
      <c r="V788">
        <f>IF(AND(S788=1,OR(Report!$C$5="",B788=Report!$C$5)),MATCH(B788,Rooms!$B$6:$B$35,0)*10000+ROW(),"")</f>
        <v/>
      </c>
      <c r="W788">
        <f>IF(AND(S788=1,OR(J788="",J788="No")),1,0)</f>
        <v/>
      </c>
      <c r="X788">
        <f>IF(AND(S788=1,K788=""),1,0)</f>
        <v/>
      </c>
      <c r="Y788">
        <f>IF(AND(S788=1,Q788&lt;&gt;""),ROUND(T788*100,0)*10000+10000-ROW(),"")</f>
        <v/>
      </c>
    </row>
    <row r="789">
      <c r="A789" s="1" t="n"/>
      <c r="B789" s="17" t="n"/>
      <c r="C789" s="18" t="n"/>
      <c r="D789" s="17" t="n"/>
      <c r="E789" s="19" t="n"/>
      <c r="F789" s="19" t="n"/>
      <c r="G789" s="20" t="n"/>
      <c r="H789" s="21" t="n"/>
      <c r="I789" s="21" t="n"/>
      <c r="J789" s="17" t="n"/>
      <c r="K789" s="19" t="n"/>
      <c r="L789" s="20" t="n"/>
      <c r="M789" s="19" t="n"/>
      <c r="N789" s="22">
        <f>IF(C789="","",IF(ISNUMBER(I789),I789,IF(ISNUMBER(H789),H789,"")))</f>
        <v/>
      </c>
      <c r="O789" s="23">
        <f>IF(OR(C789="",NOT(ISNUMBER(G789))),"",(TODAY()-INT(G789))/365.25)</f>
        <v/>
      </c>
      <c r="P789" s="13">
        <f>IF(OR(C789="",NOT(ISNUMBER(L789))),"",IF(L789&lt;TODAY(),"Ended",IF(L789-TODAY()&lt;=N(Settings!$C$10),"Ends soon","Covered")))</f>
        <v/>
      </c>
      <c r="Q789" s="13">
        <f>IF(C789="","",MID(IF(N789="",", value","")&amp;IF(OR(J789="",J789="No"),", receipt","")&amp;IF(K789="",", photo",""),3,100))</f>
        <v/>
      </c>
      <c r="R789" s="13">
        <f>IF(AND(B789="",C789=""),"",IF(C789="","Needs the item",IF(B789="","Needs a room",IF(COUNTIF(Rooms!$B$6:$B$35,B789)=0,"Not on Rooms",IF(AND(H789&lt;&gt;"",NOT(ISNUMBER(H789))),"Paid not a number",IF(AND(I789&lt;&gt;"",NOT(ISNUMBER(I789))),"Worth not a number",IF(AND(G789&lt;&gt;"",NOT(ISNUMBER(G789))),"Bought is not a date",IF(AND(L789&lt;&gt;"",NOT(ISNUMBER(L789))),"Warranty is not a date",""))))))))</f>
        <v/>
      </c>
      <c r="S789" s="1">
        <f>IF(AND(C789&lt;&gt;"",R789=""),1,0)</f>
        <v/>
      </c>
      <c r="T789">
        <f>IF(S789=1,N(N789),0)</f>
        <v/>
      </c>
      <c r="U789">
        <f>IF(AND(S789=1,T789&gt;0),ROUND(T789*100,0)*10000+10000-ROW(),"")</f>
        <v/>
      </c>
      <c r="V789">
        <f>IF(AND(S789=1,OR(Report!$C$5="",B789=Report!$C$5)),MATCH(B789,Rooms!$B$6:$B$35,0)*10000+ROW(),"")</f>
        <v/>
      </c>
      <c r="W789">
        <f>IF(AND(S789=1,OR(J789="",J789="No")),1,0)</f>
        <v/>
      </c>
      <c r="X789">
        <f>IF(AND(S789=1,K789=""),1,0)</f>
        <v/>
      </c>
      <c r="Y789">
        <f>IF(AND(S789=1,Q789&lt;&gt;""),ROUND(T789*100,0)*10000+10000-ROW(),"")</f>
        <v/>
      </c>
    </row>
    <row r="790">
      <c r="A790" s="1" t="n"/>
      <c r="B790" s="17" t="n"/>
      <c r="C790" s="18" t="n"/>
      <c r="D790" s="17" t="n"/>
      <c r="E790" s="19" t="n"/>
      <c r="F790" s="19" t="n"/>
      <c r="G790" s="20" t="n"/>
      <c r="H790" s="21" t="n"/>
      <c r="I790" s="21" t="n"/>
      <c r="J790" s="17" t="n"/>
      <c r="K790" s="19" t="n"/>
      <c r="L790" s="20" t="n"/>
      <c r="M790" s="19" t="n"/>
      <c r="N790" s="22">
        <f>IF(C790="","",IF(ISNUMBER(I790),I790,IF(ISNUMBER(H790),H790,"")))</f>
        <v/>
      </c>
      <c r="O790" s="23">
        <f>IF(OR(C790="",NOT(ISNUMBER(G790))),"",(TODAY()-INT(G790))/365.25)</f>
        <v/>
      </c>
      <c r="P790" s="13">
        <f>IF(OR(C790="",NOT(ISNUMBER(L790))),"",IF(L790&lt;TODAY(),"Ended",IF(L790-TODAY()&lt;=N(Settings!$C$10),"Ends soon","Covered")))</f>
        <v/>
      </c>
      <c r="Q790" s="13">
        <f>IF(C790="","",MID(IF(N790="",", value","")&amp;IF(OR(J790="",J790="No"),", receipt","")&amp;IF(K790="",", photo",""),3,100))</f>
        <v/>
      </c>
      <c r="R790" s="13">
        <f>IF(AND(B790="",C790=""),"",IF(C790="","Needs the item",IF(B790="","Needs a room",IF(COUNTIF(Rooms!$B$6:$B$35,B790)=0,"Not on Rooms",IF(AND(H790&lt;&gt;"",NOT(ISNUMBER(H790))),"Paid not a number",IF(AND(I790&lt;&gt;"",NOT(ISNUMBER(I790))),"Worth not a number",IF(AND(G790&lt;&gt;"",NOT(ISNUMBER(G790))),"Bought is not a date",IF(AND(L790&lt;&gt;"",NOT(ISNUMBER(L790))),"Warranty is not a date",""))))))))</f>
        <v/>
      </c>
      <c r="S790" s="1">
        <f>IF(AND(C790&lt;&gt;"",R790=""),1,0)</f>
        <v/>
      </c>
      <c r="T790">
        <f>IF(S790=1,N(N790),0)</f>
        <v/>
      </c>
      <c r="U790">
        <f>IF(AND(S790=1,T790&gt;0),ROUND(T790*100,0)*10000+10000-ROW(),"")</f>
        <v/>
      </c>
      <c r="V790">
        <f>IF(AND(S790=1,OR(Report!$C$5="",B790=Report!$C$5)),MATCH(B790,Rooms!$B$6:$B$35,0)*10000+ROW(),"")</f>
        <v/>
      </c>
      <c r="W790">
        <f>IF(AND(S790=1,OR(J790="",J790="No")),1,0)</f>
        <v/>
      </c>
      <c r="X790">
        <f>IF(AND(S790=1,K790=""),1,0)</f>
        <v/>
      </c>
      <c r="Y790">
        <f>IF(AND(S790=1,Q790&lt;&gt;""),ROUND(T790*100,0)*10000+10000-ROW(),"")</f>
        <v/>
      </c>
    </row>
    <row r="791">
      <c r="A791" s="1" t="n"/>
      <c r="B791" s="17" t="n"/>
      <c r="C791" s="18" t="n"/>
      <c r="D791" s="17" t="n"/>
      <c r="E791" s="19" t="n"/>
      <c r="F791" s="19" t="n"/>
      <c r="G791" s="20" t="n"/>
      <c r="H791" s="21" t="n"/>
      <c r="I791" s="21" t="n"/>
      <c r="J791" s="17" t="n"/>
      <c r="K791" s="19" t="n"/>
      <c r="L791" s="20" t="n"/>
      <c r="M791" s="19" t="n"/>
      <c r="N791" s="22">
        <f>IF(C791="","",IF(ISNUMBER(I791),I791,IF(ISNUMBER(H791),H791,"")))</f>
        <v/>
      </c>
      <c r="O791" s="23">
        <f>IF(OR(C791="",NOT(ISNUMBER(G791))),"",(TODAY()-INT(G791))/365.25)</f>
        <v/>
      </c>
      <c r="P791" s="13">
        <f>IF(OR(C791="",NOT(ISNUMBER(L791))),"",IF(L791&lt;TODAY(),"Ended",IF(L791-TODAY()&lt;=N(Settings!$C$10),"Ends soon","Covered")))</f>
        <v/>
      </c>
      <c r="Q791" s="13">
        <f>IF(C791="","",MID(IF(N791="",", value","")&amp;IF(OR(J791="",J791="No"),", receipt","")&amp;IF(K791="",", photo",""),3,100))</f>
        <v/>
      </c>
      <c r="R791" s="13">
        <f>IF(AND(B791="",C791=""),"",IF(C791="","Needs the item",IF(B791="","Needs a room",IF(COUNTIF(Rooms!$B$6:$B$35,B791)=0,"Not on Rooms",IF(AND(H791&lt;&gt;"",NOT(ISNUMBER(H791))),"Paid not a number",IF(AND(I791&lt;&gt;"",NOT(ISNUMBER(I791))),"Worth not a number",IF(AND(G791&lt;&gt;"",NOT(ISNUMBER(G791))),"Bought is not a date",IF(AND(L791&lt;&gt;"",NOT(ISNUMBER(L791))),"Warranty is not a date",""))))))))</f>
        <v/>
      </c>
      <c r="S791" s="1">
        <f>IF(AND(C791&lt;&gt;"",R791=""),1,0)</f>
        <v/>
      </c>
      <c r="T791">
        <f>IF(S791=1,N(N791),0)</f>
        <v/>
      </c>
      <c r="U791">
        <f>IF(AND(S791=1,T791&gt;0),ROUND(T791*100,0)*10000+10000-ROW(),"")</f>
        <v/>
      </c>
      <c r="V791">
        <f>IF(AND(S791=1,OR(Report!$C$5="",B791=Report!$C$5)),MATCH(B791,Rooms!$B$6:$B$35,0)*10000+ROW(),"")</f>
        <v/>
      </c>
      <c r="W791">
        <f>IF(AND(S791=1,OR(J791="",J791="No")),1,0)</f>
        <v/>
      </c>
      <c r="X791">
        <f>IF(AND(S791=1,K791=""),1,0)</f>
        <v/>
      </c>
      <c r="Y791">
        <f>IF(AND(S791=1,Q791&lt;&gt;""),ROUND(T791*100,0)*10000+10000-ROW(),"")</f>
        <v/>
      </c>
    </row>
    <row r="792">
      <c r="A792" s="1" t="n"/>
      <c r="B792" s="17" t="n"/>
      <c r="C792" s="18" t="n"/>
      <c r="D792" s="17" t="n"/>
      <c r="E792" s="19" t="n"/>
      <c r="F792" s="19" t="n"/>
      <c r="G792" s="20" t="n"/>
      <c r="H792" s="21" t="n"/>
      <c r="I792" s="21" t="n"/>
      <c r="J792" s="17" t="n"/>
      <c r="K792" s="19" t="n"/>
      <c r="L792" s="20" t="n"/>
      <c r="M792" s="19" t="n"/>
      <c r="N792" s="22">
        <f>IF(C792="","",IF(ISNUMBER(I792),I792,IF(ISNUMBER(H792),H792,"")))</f>
        <v/>
      </c>
      <c r="O792" s="23">
        <f>IF(OR(C792="",NOT(ISNUMBER(G792))),"",(TODAY()-INT(G792))/365.25)</f>
        <v/>
      </c>
      <c r="P792" s="13">
        <f>IF(OR(C792="",NOT(ISNUMBER(L792))),"",IF(L792&lt;TODAY(),"Ended",IF(L792-TODAY()&lt;=N(Settings!$C$10),"Ends soon","Covered")))</f>
        <v/>
      </c>
      <c r="Q792" s="13">
        <f>IF(C792="","",MID(IF(N792="",", value","")&amp;IF(OR(J792="",J792="No"),", receipt","")&amp;IF(K792="",", photo",""),3,100))</f>
        <v/>
      </c>
      <c r="R792" s="13">
        <f>IF(AND(B792="",C792=""),"",IF(C792="","Needs the item",IF(B792="","Needs a room",IF(COUNTIF(Rooms!$B$6:$B$35,B792)=0,"Not on Rooms",IF(AND(H792&lt;&gt;"",NOT(ISNUMBER(H792))),"Paid not a number",IF(AND(I792&lt;&gt;"",NOT(ISNUMBER(I792))),"Worth not a number",IF(AND(G792&lt;&gt;"",NOT(ISNUMBER(G792))),"Bought is not a date",IF(AND(L792&lt;&gt;"",NOT(ISNUMBER(L792))),"Warranty is not a date",""))))))))</f>
        <v/>
      </c>
      <c r="S792" s="1">
        <f>IF(AND(C792&lt;&gt;"",R792=""),1,0)</f>
        <v/>
      </c>
      <c r="T792">
        <f>IF(S792=1,N(N792),0)</f>
        <v/>
      </c>
      <c r="U792">
        <f>IF(AND(S792=1,T792&gt;0),ROUND(T792*100,0)*10000+10000-ROW(),"")</f>
        <v/>
      </c>
      <c r="V792">
        <f>IF(AND(S792=1,OR(Report!$C$5="",B792=Report!$C$5)),MATCH(B792,Rooms!$B$6:$B$35,0)*10000+ROW(),"")</f>
        <v/>
      </c>
      <c r="W792">
        <f>IF(AND(S792=1,OR(J792="",J792="No")),1,0)</f>
        <v/>
      </c>
      <c r="X792">
        <f>IF(AND(S792=1,K792=""),1,0)</f>
        <v/>
      </c>
      <c r="Y792">
        <f>IF(AND(S792=1,Q792&lt;&gt;""),ROUND(T792*100,0)*10000+10000-ROW(),"")</f>
        <v/>
      </c>
    </row>
    <row r="793">
      <c r="A793" s="1" t="n"/>
      <c r="B793" s="17" t="n"/>
      <c r="C793" s="18" t="n"/>
      <c r="D793" s="17" t="n"/>
      <c r="E793" s="19" t="n"/>
      <c r="F793" s="19" t="n"/>
      <c r="G793" s="20" t="n"/>
      <c r="H793" s="21" t="n"/>
      <c r="I793" s="21" t="n"/>
      <c r="J793" s="17" t="n"/>
      <c r="K793" s="19" t="n"/>
      <c r="L793" s="20" t="n"/>
      <c r="M793" s="19" t="n"/>
      <c r="N793" s="22">
        <f>IF(C793="","",IF(ISNUMBER(I793),I793,IF(ISNUMBER(H793),H793,"")))</f>
        <v/>
      </c>
      <c r="O793" s="23">
        <f>IF(OR(C793="",NOT(ISNUMBER(G793))),"",(TODAY()-INT(G793))/365.25)</f>
        <v/>
      </c>
      <c r="P793" s="13">
        <f>IF(OR(C793="",NOT(ISNUMBER(L793))),"",IF(L793&lt;TODAY(),"Ended",IF(L793-TODAY()&lt;=N(Settings!$C$10),"Ends soon","Covered")))</f>
        <v/>
      </c>
      <c r="Q793" s="13">
        <f>IF(C793="","",MID(IF(N793="",", value","")&amp;IF(OR(J793="",J793="No"),", receipt","")&amp;IF(K793="",", photo",""),3,100))</f>
        <v/>
      </c>
      <c r="R793" s="13">
        <f>IF(AND(B793="",C793=""),"",IF(C793="","Needs the item",IF(B793="","Needs a room",IF(COUNTIF(Rooms!$B$6:$B$35,B793)=0,"Not on Rooms",IF(AND(H793&lt;&gt;"",NOT(ISNUMBER(H793))),"Paid not a number",IF(AND(I793&lt;&gt;"",NOT(ISNUMBER(I793))),"Worth not a number",IF(AND(G793&lt;&gt;"",NOT(ISNUMBER(G793))),"Bought is not a date",IF(AND(L793&lt;&gt;"",NOT(ISNUMBER(L793))),"Warranty is not a date",""))))))))</f>
        <v/>
      </c>
      <c r="S793" s="1">
        <f>IF(AND(C793&lt;&gt;"",R793=""),1,0)</f>
        <v/>
      </c>
      <c r="T793">
        <f>IF(S793=1,N(N793),0)</f>
        <v/>
      </c>
      <c r="U793">
        <f>IF(AND(S793=1,T793&gt;0),ROUND(T793*100,0)*10000+10000-ROW(),"")</f>
        <v/>
      </c>
      <c r="V793">
        <f>IF(AND(S793=1,OR(Report!$C$5="",B793=Report!$C$5)),MATCH(B793,Rooms!$B$6:$B$35,0)*10000+ROW(),"")</f>
        <v/>
      </c>
      <c r="W793">
        <f>IF(AND(S793=1,OR(J793="",J793="No")),1,0)</f>
        <v/>
      </c>
      <c r="X793">
        <f>IF(AND(S793=1,K793=""),1,0)</f>
        <v/>
      </c>
      <c r="Y793">
        <f>IF(AND(S793=1,Q793&lt;&gt;""),ROUND(T793*100,0)*10000+10000-ROW(),"")</f>
        <v/>
      </c>
    </row>
    <row r="794">
      <c r="A794" s="1" t="n"/>
      <c r="B794" s="17" t="n"/>
      <c r="C794" s="18" t="n"/>
      <c r="D794" s="17" t="n"/>
      <c r="E794" s="19" t="n"/>
      <c r="F794" s="19" t="n"/>
      <c r="G794" s="20" t="n"/>
      <c r="H794" s="21" t="n"/>
      <c r="I794" s="21" t="n"/>
      <c r="J794" s="17" t="n"/>
      <c r="K794" s="19" t="n"/>
      <c r="L794" s="20" t="n"/>
      <c r="M794" s="19" t="n"/>
      <c r="N794" s="22">
        <f>IF(C794="","",IF(ISNUMBER(I794),I794,IF(ISNUMBER(H794),H794,"")))</f>
        <v/>
      </c>
      <c r="O794" s="23">
        <f>IF(OR(C794="",NOT(ISNUMBER(G794))),"",(TODAY()-INT(G794))/365.25)</f>
        <v/>
      </c>
      <c r="P794" s="13">
        <f>IF(OR(C794="",NOT(ISNUMBER(L794))),"",IF(L794&lt;TODAY(),"Ended",IF(L794-TODAY()&lt;=N(Settings!$C$10),"Ends soon","Covered")))</f>
        <v/>
      </c>
      <c r="Q794" s="13">
        <f>IF(C794="","",MID(IF(N794="",", value","")&amp;IF(OR(J794="",J794="No"),", receipt","")&amp;IF(K794="",", photo",""),3,100))</f>
        <v/>
      </c>
      <c r="R794" s="13">
        <f>IF(AND(B794="",C794=""),"",IF(C794="","Needs the item",IF(B794="","Needs a room",IF(COUNTIF(Rooms!$B$6:$B$35,B794)=0,"Not on Rooms",IF(AND(H794&lt;&gt;"",NOT(ISNUMBER(H794))),"Paid not a number",IF(AND(I794&lt;&gt;"",NOT(ISNUMBER(I794))),"Worth not a number",IF(AND(G794&lt;&gt;"",NOT(ISNUMBER(G794))),"Bought is not a date",IF(AND(L794&lt;&gt;"",NOT(ISNUMBER(L794))),"Warranty is not a date",""))))))))</f>
        <v/>
      </c>
      <c r="S794" s="1">
        <f>IF(AND(C794&lt;&gt;"",R794=""),1,0)</f>
        <v/>
      </c>
      <c r="T794">
        <f>IF(S794=1,N(N794),0)</f>
        <v/>
      </c>
      <c r="U794">
        <f>IF(AND(S794=1,T794&gt;0),ROUND(T794*100,0)*10000+10000-ROW(),"")</f>
        <v/>
      </c>
      <c r="V794">
        <f>IF(AND(S794=1,OR(Report!$C$5="",B794=Report!$C$5)),MATCH(B794,Rooms!$B$6:$B$35,0)*10000+ROW(),"")</f>
        <v/>
      </c>
      <c r="W794">
        <f>IF(AND(S794=1,OR(J794="",J794="No")),1,0)</f>
        <v/>
      </c>
      <c r="X794">
        <f>IF(AND(S794=1,K794=""),1,0)</f>
        <v/>
      </c>
      <c r="Y794">
        <f>IF(AND(S794=1,Q794&lt;&gt;""),ROUND(T794*100,0)*10000+10000-ROW(),"")</f>
        <v/>
      </c>
    </row>
    <row r="795">
      <c r="A795" s="1" t="n"/>
      <c r="B795" s="17" t="n"/>
      <c r="C795" s="18" t="n"/>
      <c r="D795" s="17" t="n"/>
      <c r="E795" s="19" t="n"/>
      <c r="F795" s="19" t="n"/>
      <c r="G795" s="20" t="n"/>
      <c r="H795" s="21" t="n"/>
      <c r="I795" s="21" t="n"/>
      <c r="J795" s="17" t="n"/>
      <c r="K795" s="19" t="n"/>
      <c r="L795" s="20" t="n"/>
      <c r="M795" s="19" t="n"/>
      <c r="N795" s="22">
        <f>IF(C795="","",IF(ISNUMBER(I795),I795,IF(ISNUMBER(H795),H795,"")))</f>
        <v/>
      </c>
      <c r="O795" s="23">
        <f>IF(OR(C795="",NOT(ISNUMBER(G795))),"",(TODAY()-INT(G795))/365.25)</f>
        <v/>
      </c>
      <c r="P795" s="13">
        <f>IF(OR(C795="",NOT(ISNUMBER(L795))),"",IF(L795&lt;TODAY(),"Ended",IF(L795-TODAY()&lt;=N(Settings!$C$10),"Ends soon","Covered")))</f>
        <v/>
      </c>
      <c r="Q795" s="13">
        <f>IF(C795="","",MID(IF(N795="",", value","")&amp;IF(OR(J795="",J795="No"),", receipt","")&amp;IF(K795="",", photo",""),3,100))</f>
        <v/>
      </c>
      <c r="R795" s="13">
        <f>IF(AND(B795="",C795=""),"",IF(C795="","Needs the item",IF(B795="","Needs a room",IF(COUNTIF(Rooms!$B$6:$B$35,B795)=0,"Not on Rooms",IF(AND(H795&lt;&gt;"",NOT(ISNUMBER(H795))),"Paid not a number",IF(AND(I795&lt;&gt;"",NOT(ISNUMBER(I795))),"Worth not a number",IF(AND(G795&lt;&gt;"",NOT(ISNUMBER(G795))),"Bought is not a date",IF(AND(L795&lt;&gt;"",NOT(ISNUMBER(L795))),"Warranty is not a date",""))))))))</f>
        <v/>
      </c>
      <c r="S795" s="1">
        <f>IF(AND(C795&lt;&gt;"",R795=""),1,0)</f>
        <v/>
      </c>
      <c r="T795">
        <f>IF(S795=1,N(N795),0)</f>
        <v/>
      </c>
      <c r="U795">
        <f>IF(AND(S795=1,T795&gt;0),ROUND(T795*100,0)*10000+10000-ROW(),"")</f>
        <v/>
      </c>
      <c r="V795">
        <f>IF(AND(S795=1,OR(Report!$C$5="",B795=Report!$C$5)),MATCH(B795,Rooms!$B$6:$B$35,0)*10000+ROW(),"")</f>
        <v/>
      </c>
      <c r="W795">
        <f>IF(AND(S795=1,OR(J795="",J795="No")),1,0)</f>
        <v/>
      </c>
      <c r="X795">
        <f>IF(AND(S795=1,K795=""),1,0)</f>
        <v/>
      </c>
      <c r="Y795">
        <f>IF(AND(S795=1,Q795&lt;&gt;""),ROUND(T795*100,0)*10000+10000-ROW(),"")</f>
        <v/>
      </c>
    </row>
    <row r="796">
      <c r="A796" s="1" t="n"/>
      <c r="B796" s="17" t="n"/>
      <c r="C796" s="18" t="n"/>
      <c r="D796" s="17" t="n"/>
      <c r="E796" s="19" t="n"/>
      <c r="F796" s="19" t="n"/>
      <c r="G796" s="20" t="n"/>
      <c r="H796" s="21" t="n"/>
      <c r="I796" s="21" t="n"/>
      <c r="J796" s="17" t="n"/>
      <c r="K796" s="19" t="n"/>
      <c r="L796" s="20" t="n"/>
      <c r="M796" s="19" t="n"/>
      <c r="N796" s="22">
        <f>IF(C796="","",IF(ISNUMBER(I796),I796,IF(ISNUMBER(H796),H796,"")))</f>
        <v/>
      </c>
      <c r="O796" s="23">
        <f>IF(OR(C796="",NOT(ISNUMBER(G796))),"",(TODAY()-INT(G796))/365.25)</f>
        <v/>
      </c>
      <c r="P796" s="13">
        <f>IF(OR(C796="",NOT(ISNUMBER(L796))),"",IF(L796&lt;TODAY(),"Ended",IF(L796-TODAY()&lt;=N(Settings!$C$10),"Ends soon","Covered")))</f>
        <v/>
      </c>
      <c r="Q796" s="13">
        <f>IF(C796="","",MID(IF(N796="",", value","")&amp;IF(OR(J796="",J796="No"),", receipt","")&amp;IF(K796="",", photo",""),3,100))</f>
        <v/>
      </c>
      <c r="R796" s="13">
        <f>IF(AND(B796="",C796=""),"",IF(C796="","Needs the item",IF(B796="","Needs a room",IF(COUNTIF(Rooms!$B$6:$B$35,B796)=0,"Not on Rooms",IF(AND(H796&lt;&gt;"",NOT(ISNUMBER(H796))),"Paid not a number",IF(AND(I796&lt;&gt;"",NOT(ISNUMBER(I796))),"Worth not a number",IF(AND(G796&lt;&gt;"",NOT(ISNUMBER(G796))),"Bought is not a date",IF(AND(L796&lt;&gt;"",NOT(ISNUMBER(L796))),"Warranty is not a date",""))))))))</f>
        <v/>
      </c>
      <c r="S796" s="1">
        <f>IF(AND(C796&lt;&gt;"",R796=""),1,0)</f>
        <v/>
      </c>
      <c r="T796">
        <f>IF(S796=1,N(N796),0)</f>
        <v/>
      </c>
      <c r="U796">
        <f>IF(AND(S796=1,T796&gt;0),ROUND(T796*100,0)*10000+10000-ROW(),"")</f>
        <v/>
      </c>
      <c r="V796">
        <f>IF(AND(S796=1,OR(Report!$C$5="",B796=Report!$C$5)),MATCH(B796,Rooms!$B$6:$B$35,0)*10000+ROW(),"")</f>
        <v/>
      </c>
      <c r="W796">
        <f>IF(AND(S796=1,OR(J796="",J796="No")),1,0)</f>
        <v/>
      </c>
      <c r="X796">
        <f>IF(AND(S796=1,K796=""),1,0)</f>
        <v/>
      </c>
      <c r="Y796">
        <f>IF(AND(S796=1,Q796&lt;&gt;""),ROUND(T796*100,0)*10000+10000-ROW(),"")</f>
        <v/>
      </c>
    </row>
    <row r="797">
      <c r="A797" s="1" t="n"/>
      <c r="B797" s="17" t="n"/>
      <c r="C797" s="18" t="n"/>
      <c r="D797" s="17" t="n"/>
      <c r="E797" s="19" t="n"/>
      <c r="F797" s="19" t="n"/>
      <c r="G797" s="20" t="n"/>
      <c r="H797" s="21" t="n"/>
      <c r="I797" s="21" t="n"/>
      <c r="J797" s="17" t="n"/>
      <c r="K797" s="19" t="n"/>
      <c r="L797" s="20" t="n"/>
      <c r="M797" s="19" t="n"/>
      <c r="N797" s="22">
        <f>IF(C797="","",IF(ISNUMBER(I797),I797,IF(ISNUMBER(H797),H797,"")))</f>
        <v/>
      </c>
      <c r="O797" s="23">
        <f>IF(OR(C797="",NOT(ISNUMBER(G797))),"",(TODAY()-INT(G797))/365.25)</f>
        <v/>
      </c>
      <c r="P797" s="13">
        <f>IF(OR(C797="",NOT(ISNUMBER(L797))),"",IF(L797&lt;TODAY(),"Ended",IF(L797-TODAY()&lt;=N(Settings!$C$10),"Ends soon","Covered")))</f>
        <v/>
      </c>
      <c r="Q797" s="13">
        <f>IF(C797="","",MID(IF(N797="",", value","")&amp;IF(OR(J797="",J797="No"),", receipt","")&amp;IF(K797="",", photo",""),3,100))</f>
        <v/>
      </c>
      <c r="R797" s="13">
        <f>IF(AND(B797="",C797=""),"",IF(C797="","Needs the item",IF(B797="","Needs a room",IF(COUNTIF(Rooms!$B$6:$B$35,B797)=0,"Not on Rooms",IF(AND(H797&lt;&gt;"",NOT(ISNUMBER(H797))),"Paid not a number",IF(AND(I797&lt;&gt;"",NOT(ISNUMBER(I797))),"Worth not a number",IF(AND(G797&lt;&gt;"",NOT(ISNUMBER(G797))),"Bought is not a date",IF(AND(L797&lt;&gt;"",NOT(ISNUMBER(L797))),"Warranty is not a date",""))))))))</f>
        <v/>
      </c>
      <c r="S797" s="1">
        <f>IF(AND(C797&lt;&gt;"",R797=""),1,0)</f>
        <v/>
      </c>
      <c r="T797">
        <f>IF(S797=1,N(N797),0)</f>
        <v/>
      </c>
      <c r="U797">
        <f>IF(AND(S797=1,T797&gt;0),ROUND(T797*100,0)*10000+10000-ROW(),"")</f>
        <v/>
      </c>
      <c r="V797">
        <f>IF(AND(S797=1,OR(Report!$C$5="",B797=Report!$C$5)),MATCH(B797,Rooms!$B$6:$B$35,0)*10000+ROW(),"")</f>
        <v/>
      </c>
      <c r="W797">
        <f>IF(AND(S797=1,OR(J797="",J797="No")),1,0)</f>
        <v/>
      </c>
      <c r="X797">
        <f>IF(AND(S797=1,K797=""),1,0)</f>
        <v/>
      </c>
      <c r="Y797">
        <f>IF(AND(S797=1,Q797&lt;&gt;""),ROUND(T797*100,0)*10000+10000-ROW(),"")</f>
        <v/>
      </c>
    </row>
    <row r="798">
      <c r="A798" s="1" t="n"/>
      <c r="B798" s="17" t="n"/>
      <c r="C798" s="18" t="n"/>
      <c r="D798" s="17" t="n"/>
      <c r="E798" s="19" t="n"/>
      <c r="F798" s="19" t="n"/>
      <c r="G798" s="20" t="n"/>
      <c r="H798" s="21" t="n"/>
      <c r="I798" s="21" t="n"/>
      <c r="J798" s="17" t="n"/>
      <c r="K798" s="19" t="n"/>
      <c r="L798" s="20" t="n"/>
      <c r="M798" s="19" t="n"/>
      <c r="N798" s="22">
        <f>IF(C798="","",IF(ISNUMBER(I798),I798,IF(ISNUMBER(H798),H798,"")))</f>
        <v/>
      </c>
      <c r="O798" s="23">
        <f>IF(OR(C798="",NOT(ISNUMBER(G798))),"",(TODAY()-INT(G798))/365.25)</f>
        <v/>
      </c>
      <c r="P798" s="13">
        <f>IF(OR(C798="",NOT(ISNUMBER(L798))),"",IF(L798&lt;TODAY(),"Ended",IF(L798-TODAY()&lt;=N(Settings!$C$10),"Ends soon","Covered")))</f>
        <v/>
      </c>
      <c r="Q798" s="13">
        <f>IF(C798="","",MID(IF(N798="",", value","")&amp;IF(OR(J798="",J798="No"),", receipt","")&amp;IF(K798="",", photo",""),3,100))</f>
        <v/>
      </c>
      <c r="R798" s="13">
        <f>IF(AND(B798="",C798=""),"",IF(C798="","Needs the item",IF(B798="","Needs a room",IF(COUNTIF(Rooms!$B$6:$B$35,B798)=0,"Not on Rooms",IF(AND(H798&lt;&gt;"",NOT(ISNUMBER(H798))),"Paid not a number",IF(AND(I798&lt;&gt;"",NOT(ISNUMBER(I798))),"Worth not a number",IF(AND(G798&lt;&gt;"",NOT(ISNUMBER(G798))),"Bought is not a date",IF(AND(L798&lt;&gt;"",NOT(ISNUMBER(L798))),"Warranty is not a date",""))))))))</f>
        <v/>
      </c>
      <c r="S798" s="1">
        <f>IF(AND(C798&lt;&gt;"",R798=""),1,0)</f>
        <v/>
      </c>
      <c r="T798">
        <f>IF(S798=1,N(N798),0)</f>
        <v/>
      </c>
      <c r="U798">
        <f>IF(AND(S798=1,T798&gt;0),ROUND(T798*100,0)*10000+10000-ROW(),"")</f>
        <v/>
      </c>
      <c r="V798">
        <f>IF(AND(S798=1,OR(Report!$C$5="",B798=Report!$C$5)),MATCH(B798,Rooms!$B$6:$B$35,0)*10000+ROW(),"")</f>
        <v/>
      </c>
      <c r="W798">
        <f>IF(AND(S798=1,OR(J798="",J798="No")),1,0)</f>
        <v/>
      </c>
      <c r="X798">
        <f>IF(AND(S798=1,K798=""),1,0)</f>
        <v/>
      </c>
      <c r="Y798">
        <f>IF(AND(S798=1,Q798&lt;&gt;""),ROUND(T798*100,0)*10000+10000-ROW(),"")</f>
        <v/>
      </c>
    </row>
    <row r="799">
      <c r="A799" s="1" t="n"/>
      <c r="B799" s="17" t="n"/>
      <c r="C799" s="18" t="n"/>
      <c r="D799" s="17" t="n"/>
      <c r="E799" s="19" t="n"/>
      <c r="F799" s="19" t="n"/>
      <c r="G799" s="20" t="n"/>
      <c r="H799" s="21" t="n"/>
      <c r="I799" s="21" t="n"/>
      <c r="J799" s="17" t="n"/>
      <c r="K799" s="19" t="n"/>
      <c r="L799" s="20" t="n"/>
      <c r="M799" s="19" t="n"/>
      <c r="N799" s="22">
        <f>IF(C799="","",IF(ISNUMBER(I799),I799,IF(ISNUMBER(H799),H799,"")))</f>
        <v/>
      </c>
      <c r="O799" s="23">
        <f>IF(OR(C799="",NOT(ISNUMBER(G799))),"",(TODAY()-INT(G799))/365.25)</f>
        <v/>
      </c>
      <c r="P799" s="13">
        <f>IF(OR(C799="",NOT(ISNUMBER(L799))),"",IF(L799&lt;TODAY(),"Ended",IF(L799-TODAY()&lt;=N(Settings!$C$10),"Ends soon","Covered")))</f>
        <v/>
      </c>
      <c r="Q799" s="13">
        <f>IF(C799="","",MID(IF(N799="",", value","")&amp;IF(OR(J799="",J799="No"),", receipt","")&amp;IF(K799="",", photo",""),3,100))</f>
        <v/>
      </c>
      <c r="R799" s="13">
        <f>IF(AND(B799="",C799=""),"",IF(C799="","Needs the item",IF(B799="","Needs a room",IF(COUNTIF(Rooms!$B$6:$B$35,B799)=0,"Not on Rooms",IF(AND(H799&lt;&gt;"",NOT(ISNUMBER(H799))),"Paid not a number",IF(AND(I799&lt;&gt;"",NOT(ISNUMBER(I799))),"Worth not a number",IF(AND(G799&lt;&gt;"",NOT(ISNUMBER(G799))),"Bought is not a date",IF(AND(L799&lt;&gt;"",NOT(ISNUMBER(L799))),"Warranty is not a date",""))))))))</f>
        <v/>
      </c>
      <c r="S799" s="1">
        <f>IF(AND(C799&lt;&gt;"",R799=""),1,0)</f>
        <v/>
      </c>
      <c r="T799">
        <f>IF(S799=1,N(N799),0)</f>
        <v/>
      </c>
      <c r="U799">
        <f>IF(AND(S799=1,T799&gt;0),ROUND(T799*100,0)*10000+10000-ROW(),"")</f>
        <v/>
      </c>
      <c r="V799">
        <f>IF(AND(S799=1,OR(Report!$C$5="",B799=Report!$C$5)),MATCH(B799,Rooms!$B$6:$B$35,0)*10000+ROW(),"")</f>
        <v/>
      </c>
      <c r="W799">
        <f>IF(AND(S799=1,OR(J799="",J799="No")),1,0)</f>
        <v/>
      </c>
      <c r="X799">
        <f>IF(AND(S799=1,K799=""),1,0)</f>
        <v/>
      </c>
      <c r="Y799">
        <f>IF(AND(S799=1,Q799&lt;&gt;""),ROUND(T799*100,0)*10000+10000-ROW(),"")</f>
        <v/>
      </c>
    </row>
    <row r="800">
      <c r="A800" s="1" t="n"/>
      <c r="B800" s="17" t="n"/>
      <c r="C800" s="18" t="n"/>
      <c r="D800" s="17" t="n"/>
      <c r="E800" s="19" t="n"/>
      <c r="F800" s="19" t="n"/>
      <c r="G800" s="20" t="n"/>
      <c r="H800" s="21" t="n"/>
      <c r="I800" s="21" t="n"/>
      <c r="J800" s="17" t="n"/>
      <c r="K800" s="19" t="n"/>
      <c r="L800" s="20" t="n"/>
      <c r="M800" s="19" t="n"/>
      <c r="N800" s="22">
        <f>IF(C800="","",IF(ISNUMBER(I800),I800,IF(ISNUMBER(H800),H800,"")))</f>
        <v/>
      </c>
      <c r="O800" s="23">
        <f>IF(OR(C800="",NOT(ISNUMBER(G800))),"",(TODAY()-INT(G800))/365.25)</f>
        <v/>
      </c>
      <c r="P800" s="13">
        <f>IF(OR(C800="",NOT(ISNUMBER(L800))),"",IF(L800&lt;TODAY(),"Ended",IF(L800-TODAY()&lt;=N(Settings!$C$10),"Ends soon","Covered")))</f>
        <v/>
      </c>
      <c r="Q800" s="13">
        <f>IF(C800="","",MID(IF(N800="",", value","")&amp;IF(OR(J800="",J800="No"),", receipt","")&amp;IF(K800="",", photo",""),3,100))</f>
        <v/>
      </c>
      <c r="R800" s="13">
        <f>IF(AND(B800="",C800=""),"",IF(C800="","Needs the item",IF(B800="","Needs a room",IF(COUNTIF(Rooms!$B$6:$B$35,B800)=0,"Not on Rooms",IF(AND(H800&lt;&gt;"",NOT(ISNUMBER(H800))),"Paid not a number",IF(AND(I800&lt;&gt;"",NOT(ISNUMBER(I800))),"Worth not a number",IF(AND(G800&lt;&gt;"",NOT(ISNUMBER(G800))),"Bought is not a date",IF(AND(L800&lt;&gt;"",NOT(ISNUMBER(L800))),"Warranty is not a date",""))))))))</f>
        <v/>
      </c>
      <c r="S800" s="1">
        <f>IF(AND(C800&lt;&gt;"",R800=""),1,0)</f>
        <v/>
      </c>
      <c r="T800">
        <f>IF(S800=1,N(N800),0)</f>
        <v/>
      </c>
      <c r="U800">
        <f>IF(AND(S800=1,T800&gt;0),ROUND(T800*100,0)*10000+10000-ROW(),"")</f>
        <v/>
      </c>
      <c r="V800">
        <f>IF(AND(S800=1,OR(Report!$C$5="",B800=Report!$C$5)),MATCH(B800,Rooms!$B$6:$B$35,0)*10000+ROW(),"")</f>
        <v/>
      </c>
      <c r="W800">
        <f>IF(AND(S800=1,OR(J800="",J800="No")),1,0)</f>
        <v/>
      </c>
      <c r="X800">
        <f>IF(AND(S800=1,K800=""),1,0)</f>
        <v/>
      </c>
      <c r="Y800">
        <f>IF(AND(S800=1,Q800&lt;&gt;""),ROUND(T800*100,0)*10000+10000-ROW(),"")</f>
        <v/>
      </c>
    </row>
    <row r="801">
      <c r="A801" s="1" t="n"/>
      <c r="B801" s="17" t="n"/>
      <c r="C801" s="18" t="n"/>
      <c r="D801" s="17" t="n"/>
      <c r="E801" s="19" t="n"/>
      <c r="F801" s="19" t="n"/>
      <c r="G801" s="20" t="n"/>
      <c r="H801" s="21" t="n"/>
      <c r="I801" s="21" t="n"/>
      <c r="J801" s="17" t="n"/>
      <c r="K801" s="19" t="n"/>
      <c r="L801" s="20" t="n"/>
      <c r="M801" s="19" t="n"/>
      <c r="N801" s="22">
        <f>IF(C801="","",IF(ISNUMBER(I801),I801,IF(ISNUMBER(H801),H801,"")))</f>
        <v/>
      </c>
      <c r="O801" s="23">
        <f>IF(OR(C801="",NOT(ISNUMBER(G801))),"",(TODAY()-INT(G801))/365.25)</f>
        <v/>
      </c>
      <c r="P801" s="13">
        <f>IF(OR(C801="",NOT(ISNUMBER(L801))),"",IF(L801&lt;TODAY(),"Ended",IF(L801-TODAY()&lt;=N(Settings!$C$10),"Ends soon","Covered")))</f>
        <v/>
      </c>
      <c r="Q801" s="13">
        <f>IF(C801="","",MID(IF(N801="",", value","")&amp;IF(OR(J801="",J801="No"),", receipt","")&amp;IF(K801="",", photo",""),3,100))</f>
        <v/>
      </c>
      <c r="R801" s="13">
        <f>IF(AND(B801="",C801=""),"",IF(C801="","Needs the item",IF(B801="","Needs a room",IF(COUNTIF(Rooms!$B$6:$B$35,B801)=0,"Not on Rooms",IF(AND(H801&lt;&gt;"",NOT(ISNUMBER(H801))),"Paid not a number",IF(AND(I801&lt;&gt;"",NOT(ISNUMBER(I801))),"Worth not a number",IF(AND(G801&lt;&gt;"",NOT(ISNUMBER(G801))),"Bought is not a date",IF(AND(L801&lt;&gt;"",NOT(ISNUMBER(L801))),"Warranty is not a date",""))))))))</f>
        <v/>
      </c>
      <c r="S801" s="1">
        <f>IF(AND(C801&lt;&gt;"",R801=""),1,0)</f>
        <v/>
      </c>
      <c r="T801">
        <f>IF(S801=1,N(N801),0)</f>
        <v/>
      </c>
      <c r="U801">
        <f>IF(AND(S801=1,T801&gt;0),ROUND(T801*100,0)*10000+10000-ROW(),"")</f>
        <v/>
      </c>
      <c r="V801">
        <f>IF(AND(S801=1,OR(Report!$C$5="",B801=Report!$C$5)),MATCH(B801,Rooms!$B$6:$B$35,0)*10000+ROW(),"")</f>
        <v/>
      </c>
      <c r="W801">
        <f>IF(AND(S801=1,OR(J801="",J801="No")),1,0)</f>
        <v/>
      </c>
      <c r="X801">
        <f>IF(AND(S801=1,K801=""),1,0)</f>
        <v/>
      </c>
      <c r="Y801">
        <f>IF(AND(S801=1,Q801&lt;&gt;""),ROUND(T801*100,0)*10000+10000-ROW(),"")</f>
        <v/>
      </c>
    </row>
    <row r="802">
      <c r="A802" s="1" t="n"/>
      <c r="B802" s="17" t="n"/>
      <c r="C802" s="18" t="n"/>
      <c r="D802" s="17" t="n"/>
      <c r="E802" s="19" t="n"/>
      <c r="F802" s="19" t="n"/>
      <c r="G802" s="20" t="n"/>
      <c r="H802" s="21" t="n"/>
      <c r="I802" s="21" t="n"/>
      <c r="J802" s="17" t="n"/>
      <c r="K802" s="19" t="n"/>
      <c r="L802" s="20" t="n"/>
      <c r="M802" s="19" t="n"/>
      <c r="N802" s="22">
        <f>IF(C802="","",IF(ISNUMBER(I802),I802,IF(ISNUMBER(H802),H802,"")))</f>
        <v/>
      </c>
      <c r="O802" s="23">
        <f>IF(OR(C802="",NOT(ISNUMBER(G802))),"",(TODAY()-INT(G802))/365.25)</f>
        <v/>
      </c>
      <c r="P802" s="13">
        <f>IF(OR(C802="",NOT(ISNUMBER(L802))),"",IF(L802&lt;TODAY(),"Ended",IF(L802-TODAY()&lt;=N(Settings!$C$10),"Ends soon","Covered")))</f>
        <v/>
      </c>
      <c r="Q802" s="13">
        <f>IF(C802="","",MID(IF(N802="",", value","")&amp;IF(OR(J802="",J802="No"),", receipt","")&amp;IF(K802="",", photo",""),3,100))</f>
        <v/>
      </c>
      <c r="R802" s="13">
        <f>IF(AND(B802="",C802=""),"",IF(C802="","Needs the item",IF(B802="","Needs a room",IF(COUNTIF(Rooms!$B$6:$B$35,B802)=0,"Not on Rooms",IF(AND(H802&lt;&gt;"",NOT(ISNUMBER(H802))),"Paid not a number",IF(AND(I802&lt;&gt;"",NOT(ISNUMBER(I802))),"Worth not a number",IF(AND(G802&lt;&gt;"",NOT(ISNUMBER(G802))),"Bought is not a date",IF(AND(L802&lt;&gt;"",NOT(ISNUMBER(L802))),"Warranty is not a date",""))))))))</f>
        <v/>
      </c>
      <c r="S802" s="1">
        <f>IF(AND(C802&lt;&gt;"",R802=""),1,0)</f>
        <v/>
      </c>
      <c r="T802">
        <f>IF(S802=1,N(N802),0)</f>
        <v/>
      </c>
      <c r="U802">
        <f>IF(AND(S802=1,T802&gt;0),ROUND(T802*100,0)*10000+10000-ROW(),"")</f>
        <v/>
      </c>
      <c r="V802">
        <f>IF(AND(S802=1,OR(Report!$C$5="",B802=Report!$C$5)),MATCH(B802,Rooms!$B$6:$B$35,0)*10000+ROW(),"")</f>
        <v/>
      </c>
      <c r="W802">
        <f>IF(AND(S802=1,OR(J802="",J802="No")),1,0)</f>
        <v/>
      </c>
      <c r="X802">
        <f>IF(AND(S802=1,K802=""),1,0)</f>
        <v/>
      </c>
      <c r="Y802">
        <f>IF(AND(S802=1,Q802&lt;&gt;""),ROUND(T802*100,0)*10000+10000-ROW(),"")</f>
        <v/>
      </c>
    </row>
    <row r="803">
      <c r="A803" s="1" t="n"/>
      <c r="B803" s="17" t="n"/>
      <c r="C803" s="18" t="n"/>
      <c r="D803" s="17" t="n"/>
      <c r="E803" s="19" t="n"/>
      <c r="F803" s="19" t="n"/>
      <c r="G803" s="20" t="n"/>
      <c r="H803" s="21" t="n"/>
      <c r="I803" s="21" t="n"/>
      <c r="J803" s="17" t="n"/>
      <c r="K803" s="19" t="n"/>
      <c r="L803" s="20" t="n"/>
      <c r="M803" s="19" t="n"/>
      <c r="N803" s="22">
        <f>IF(C803="","",IF(ISNUMBER(I803),I803,IF(ISNUMBER(H803),H803,"")))</f>
        <v/>
      </c>
      <c r="O803" s="23">
        <f>IF(OR(C803="",NOT(ISNUMBER(G803))),"",(TODAY()-INT(G803))/365.25)</f>
        <v/>
      </c>
      <c r="P803" s="13">
        <f>IF(OR(C803="",NOT(ISNUMBER(L803))),"",IF(L803&lt;TODAY(),"Ended",IF(L803-TODAY()&lt;=N(Settings!$C$10),"Ends soon","Covered")))</f>
        <v/>
      </c>
      <c r="Q803" s="13">
        <f>IF(C803="","",MID(IF(N803="",", value","")&amp;IF(OR(J803="",J803="No"),", receipt","")&amp;IF(K803="",", photo",""),3,100))</f>
        <v/>
      </c>
      <c r="R803" s="13">
        <f>IF(AND(B803="",C803=""),"",IF(C803="","Needs the item",IF(B803="","Needs a room",IF(COUNTIF(Rooms!$B$6:$B$35,B803)=0,"Not on Rooms",IF(AND(H803&lt;&gt;"",NOT(ISNUMBER(H803))),"Paid not a number",IF(AND(I803&lt;&gt;"",NOT(ISNUMBER(I803))),"Worth not a number",IF(AND(G803&lt;&gt;"",NOT(ISNUMBER(G803))),"Bought is not a date",IF(AND(L803&lt;&gt;"",NOT(ISNUMBER(L803))),"Warranty is not a date",""))))))))</f>
        <v/>
      </c>
      <c r="S803" s="1">
        <f>IF(AND(C803&lt;&gt;"",R803=""),1,0)</f>
        <v/>
      </c>
      <c r="T803">
        <f>IF(S803=1,N(N803),0)</f>
        <v/>
      </c>
      <c r="U803">
        <f>IF(AND(S803=1,T803&gt;0),ROUND(T803*100,0)*10000+10000-ROW(),"")</f>
        <v/>
      </c>
      <c r="V803">
        <f>IF(AND(S803=1,OR(Report!$C$5="",B803=Report!$C$5)),MATCH(B803,Rooms!$B$6:$B$35,0)*10000+ROW(),"")</f>
        <v/>
      </c>
      <c r="W803">
        <f>IF(AND(S803=1,OR(J803="",J803="No")),1,0)</f>
        <v/>
      </c>
      <c r="X803">
        <f>IF(AND(S803=1,K803=""),1,0)</f>
        <v/>
      </c>
      <c r="Y803">
        <f>IF(AND(S803=1,Q803&lt;&gt;""),ROUND(T803*100,0)*10000+10000-ROW(),"")</f>
        <v/>
      </c>
    </row>
    <row r="804">
      <c r="A804" s="1" t="n"/>
      <c r="B804" s="17" t="n"/>
      <c r="C804" s="18" t="n"/>
      <c r="D804" s="17" t="n"/>
      <c r="E804" s="19" t="n"/>
      <c r="F804" s="19" t="n"/>
      <c r="G804" s="20" t="n"/>
      <c r="H804" s="21" t="n"/>
      <c r="I804" s="21" t="n"/>
      <c r="J804" s="17" t="n"/>
      <c r="K804" s="19" t="n"/>
      <c r="L804" s="20" t="n"/>
      <c r="M804" s="19" t="n"/>
      <c r="N804" s="22">
        <f>IF(C804="","",IF(ISNUMBER(I804),I804,IF(ISNUMBER(H804),H804,"")))</f>
        <v/>
      </c>
      <c r="O804" s="23">
        <f>IF(OR(C804="",NOT(ISNUMBER(G804))),"",(TODAY()-INT(G804))/365.25)</f>
        <v/>
      </c>
      <c r="P804" s="13">
        <f>IF(OR(C804="",NOT(ISNUMBER(L804))),"",IF(L804&lt;TODAY(),"Ended",IF(L804-TODAY()&lt;=N(Settings!$C$10),"Ends soon","Covered")))</f>
        <v/>
      </c>
      <c r="Q804" s="13">
        <f>IF(C804="","",MID(IF(N804="",", value","")&amp;IF(OR(J804="",J804="No"),", receipt","")&amp;IF(K804="",", photo",""),3,100))</f>
        <v/>
      </c>
      <c r="R804" s="13">
        <f>IF(AND(B804="",C804=""),"",IF(C804="","Needs the item",IF(B804="","Needs a room",IF(COUNTIF(Rooms!$B$6:$B$35,B804)=0,"Not on Rooms",IF(AND(H804&lt;&gt;"",NOT(ISNUMBER(H804))),"Paid not a number",IF(AND(I804&lt;&gt;"",NOT(ISNUMBER(I804))),"Worth not a number",IF(AND(G804&lt;&gt;"",NOT(ISNUMBER(G804))),"Bought is not a date",IF(AND(L804&lt;&gt;"",NOT(ISNUMBER(L804))),"Warranty is not a date",""))))))))</f>
        <v/>
      </c>
      <c r="S804" s="1">
        <f>IF(AND(C804&lt;&gt;"",R804=""),1,0)</f>
        <v/>
      </c>
      <c r="T804">
        <f>IF(S804=1,N(N804),0)</f>
        <v/>
      </c>
      <c r="U804">
        <f>IF(AND(S804=1,T804&gt;0),ROUND(T804*100,0)*10000+10000-ROW(),"")</f>
        <v/>
      </c>
      <c r="V804">
        <f>IF(AND(S804=1,OR(Report!$C$5="",B804=Report!$C$5)),MATCH(B804,Rooms!$B$6:$B$35,0)*10000+ROW(),"")</f>
        <v/>
      </c>
      <c r="W804">
        <f>IF(AND(S804=1,OR(J804="",J804="No")),1,0)</f>
        <v/>
      </c>
      <c r="X804">
        <f>IF(AND(S804=1,K804=""),1,0)</f>
        <v/>
      </c>
      <c r="Y804">
        <f>IF(AND(S804=1,Q804&lt;&gt;""),ROUND(T804*100,0)*10000+10000-ROW(),"")</f>
        <v/>
      </c>
    </row>
    <row r="805">
      <c r="A805" s="1" t="n"/>
      <c r="B805" s="17" t="n"/>
      <c r="C805" s="18" t="n"/>
      <c r="D805" s="17" t="n"/>
      <c r="E805" s="19" t="n"/>
      <c r="F805" s="19" t="n"/>
      <c r="G805" s="20" t="n"/>
      <c r="H805" s="21" t="n"/>
      <c r="I805" s="21" t="n"/>
      <c r="J805" s="17" t="n"/>
      <c r="K805" s="19" t="n"/>
      <c r="L805" s="20" t="n"/>
      <c r="M805" s="19" t="n"/>
      <c r="N805" s="22">
        <f>IF(C805="","",IF(ISNUMBER(I805),I805,IF(ISNUMBER(H805),H805,"")))</f>
        <v/>
      </c>
      <c r="O805" s="23">
        <f>IF(OR(C805="",NOT(ISNUMBER(G805))),"",(TODAY()-INT(G805))/365.25)</f>
        <v/>
      </c>
      <c r="P805" s="13">
        <f>IF(OR(C805="",NOT(ISNUMBER(L805))),"",IF(L805&lt;TODAY(),"Ended",IF(L805-TODAY()&lt;=N(Settings!$C$10),"Ends soon","Covered")))</f>
        <v/>
      </c>
      <c r="Q805" s="13">
        <f>IF(C805="","",MID(IF(N805="",", value","")&amp;IF(OR(J805="",J805="No"),", receipt","")&amp;IF(K805="",", photo",""),3,100))</f>
        <v/>
      </c>
      <c r="R805" s="13">
        <f>IF(AND(B805="",C805=""),"",IF(C805="","Needs the item",IF(B805="","Needs a room",IF(COUNTIF(Rooms!$B$6:$B$35,B805)=0,"Not on Rooms",IF(AND(H805&lt;&gt;"",NOT(ISNUMBER(H805))),"Paid not a number",IF(AND(I805&lt;&gt;"",NOT(ISNUMBER(I805))),"Worth not a number",IF(AND(G805&lt;&gt;"",NOT(ISNUMBER(G805))),"Bought is not a date",IF(AND(L805&lt;&gt;"",NOT(ISNUMBER(L805))),"Warranty is not a date",""))))))))</f>
        <v/>
      </c>
      <c r="S805" s="1">
        <f>IF(AND(C805&lt;&gt;"",R805=""),1,0)</f>
        <v/>
      </c>
      <c r="T805">
        <f>IF(S805=1,N(N805),0)</f>
        <v/>
      </c>
      <c r="U805">
        <f>IF(AND(S805=1,T805&gt;0),ROUND(T805*100,0)*10000+10000-ROW(),"")</f>
        <v/>
      </c>
      <c r="V805">
        <f>IF(AND(S805=1,OR(Report!$C$5="",B805=Report!$C$5)),MATCH(B805,Rooms!$B$6:$B$35,0)*10000+ROW(),"")</f>
        <v/>
      </c>
      <c r="W805">
        <f>IF(AND(S805=1,OR(J805="",J805="No")),1,0)</f>
        <v/>
      </c>
      <c r="X805">
        <f>IF(AND(S805=1,K805=""),1,0)</f>
        <v/>
      </c>
      <c r="Y805">
        <f>IF(AND(S805=1,Q805&lt;&gt;""),ROUND(T805*100,0)*10000+10000-ROW(),"")</f>
        <v/>
      </c>
    </row>
    <row r="806">
      <c r="A806" s="1" t="n"/>
      <c r="B806" s="17" t="n"/>
      <c r="C806" s="18" t="n"/>
      <c r="D806" s="17" t="n"/>
      <c r="E806" s="19" t="n"/>
      <c r="F806" s="19" t="n"/>
      <c r="G806" s="20" t="n"/>
      <c r="H806" s="21" t="n"/>
      <c r="I806" s="21" t="n"/>
      <c r="J806" s="17" t="n"/>
      <c r="K806" s="19" t="n"/>
      <c r="L806" s="20" t="n"/>
      <c r="M806" s="19" t="n"/>
      <c r="N806" s="22">
        <f>IF(C806="","",IF(ISNUMBER(I806),I806,IF(ISNUMBER(H806),H806,"")))</f>
        <v/>
      </c>
      <c r="O806" s="23">
        <f>IF(OR(C806="",NOT(ISNUMBER(G806))),"",(TODAY()-INT(G806))/365.25)</f>
        <v/>
      </c>
      <c r="P806" s="13">
        <f>IF(OR(C806="",NOT(ISNUMBER(L806))),"",IF(L806&lt;TODAY(),"Ended",IF(L806-TODAY()&lt;=N(Settings!$C$10),"Ends soon","Covered")))</f>
        <v/>
      </c>
      <c r="Q806" s="13">
        <f>IF(C806="","",MID(IF(N806="",", value","")&amp;IF(OR(J806="",J806="No"),", receipt","")&amp;IF(K806="",", photo",""),3,100))</f>
        <v/>
      </c>
      <c r="R806" s="13">
        <f>IF(AND(B806="",C806=""),"",IF(C806="","Needs the item",IF(B806="","Needs a room",IF(COUNTIF(Rooms!$B$6:$B$35,B806)=0,"Not on Rooms",IF(AND(H806&lt;&gt;"",NOT(ISNUMBER(H806))),"Paid not a number",IF(AND(I806&lt;&gt;"",NOT(ISNUMBER(I806))),"Worth not a number",IF(AND(G806&lt;&gt;"",NOT(ISNUMBER(G806))),"Bought is not a date",IF(AND(L806&lt;&gt;"",NOT(ISNUMBER(L806))),"Warranty is not a date",""))))))))</f>
        <v/>
      </c>
      <c r="S806" s="1">
        <f>IF(AND(C806&lt;&gt;"",R806=""),1,0)</f>
        <v/>
      </c>
      <c r="T806">
        <f>IF(S806=1,N(N806),0)</f>
        <v/>
      </c>
      <c r="U806">
        <f>IF(AND(S806=1,T806&gt;0),ROUND(T806*100,0)*10000+10000-ROW(),"")</f>
        <v/>
      </c>
      <c r="V806">
        <f>IF(AND(S806=1,OR(Report!$C$5="",B806=Report!$C$5)),MATCH(B806,Rooms!$B$6:$B$35,0)*10000+ROW(),"")</f>
        <v/>
      </c>
      <c r="W806">
        <f>IF(AND(S806=1,OR(J806="",J806="No")),1,0)</f>
        <v/>
      </c>
      <c r="X806">
        <f>IF(AND(S806=1,K806=""),1,0)</f>
        <v/>
      </c>
      <c r="Y806">
        <f>IF(AND(S806=1,Q806&lt;&gt;""),ROUND(T806*100,0)*10000+10000-ROW(),"")</f>
        <v/>
      </c>
    </row>
    <row r="807">
      <c r="A807" s="1" t="n"/>
      <c r="B807" s="17" t="n"/>
      <c r="C807" s="18" t="n"/>
      <c r="D807" s="17" t="n"/>
      <c r="E807" s="19" t="n"/>
      <c r="F807" s="19" t="n"/>
      <c r="G807" s="20" t="n"/>
      <c r="H807" s="21" t="n"/>
      <c r="I807" s="21" t="n"/>
      <c r="J807" s="17" t="n"/>
      <c r="K807" s="19" t="n"/>
      <c r="L807" s="20" t="n"/>
      <c r="M807" s="19" t="n"/>
      <c r="N807" s="22">
        <f>IF(C807="","",IF(ISNUMBER(I807),I807,IF(ISNUMBER(H807),H807,"")))</f>
        <v/>
      </c>
      <c r="O807" s="23">
        <f>IF(OR(C807="",NOT(ISNUMBER(G807))),"",(TODAY()-INT(G807))/365.25)</f>
        <v/>
      </c>
      <c r="P807" s="13">
        <f>IF(OR(C807="",NOT(ISNUMBER(L807))),"",IF(L807&lt;TODAY(),"Ended",IF(L807-TODAY()&lt;=N(Settings!$C$10),"Ends soon","Covered")))</f>
        <v/>
      </c>
      <c r="Q807" s="13">
        <f>IF(C807="","",MID(IF(N807="",", value","")&amp;IF(OR(J807="",J807="No"),", receipt","")&amp;IF(K807="",", photo",""),3,100))</f>
        <v/>
      </c>
      <c r="R807" s="13">
        <f>IF(AND(B807="",C807=""),"",IF(C807="","Needs the item",IF(B807="","Needs a room",IF(COUNTIF(Rooms!$B$6:$B$35,B807)=0,"Not on Rooms",IF(AND(H807&lt;&gt;"",NOT(ISNUMBER(H807))),"Paid not a number",IF(AND(I807&lt;&gt;"",NOT(ISNUMBER(I807))),"Worth not a number",IF(AND(G807&lt;&gt;"",NOT(ISNUMBER(G807))),"Bought is not a date",IF(AND(L807&lt;&gt;"",NOT(ISNUMBER(L807))),"Warranty is not a date",""))))))))</f>
        <v/>
      </c>
      <c r="S807" s="1">
        <f>IF(AND(C807&lt;&gt;"",R807=""),1,0)</f>
        <v/>
      </c>
      <c r="T807">
        <f>IF(S807=1,N(N807),0)</f>
        <v/>
      </c>
      <c r="U807">
        <f>IF(AND(S807=1,T807&gt;0),ROUND(T807*100,0)*10000+10000-ROW(),"")</f>
        <v/>
      </c>
      <c r="V807">
        <f>IF(AND(S807=1,OR(Report!$C$5="",B807=Report!$C$5)),MATCH(B807,Rooms!$B$6:$B$35,0)*10000+ROW(),"")</f>
        <v/>
      </c>
      <c r="W807">
        <f>IF(AND(S807=1,OR(J807="",J807="No")),1,0)</f>
        <v/>
      </c>
      <c r="X807">
        <f>IF(AND(S807=1,K807=""),1,0)</f>
        <v/>
      </c>
      <c r="Y807">
        <f>IF(AND(S807=1,Q807&lt;&gt;""),ROUND(T807*100,0)*10000+10000-ROW(),"")</f>
        <v/>
      </c>
    </row>
    <row r="808">
      <c r="A808" s="1" t="n"/>
      <c r="B808" s="17" t="n"/>
      <c r="C808" s="18" t="n"/>
      <c r="D808" s="17" t="n"/>
      <c r="E808" s="19" t="n"/>
      <c r="F808" s="19" t="n"/>
      <c r="G808" s="20" t="n"/>
      <c r="H808" s="21" t="n"/>
      <c r="I808" s="21" t="n"/>
      <c r="J808" s="17" t="n"/>
      <c r="K808" s="19" t="n"/>
      <c r="L808" s="20" t="n"/>
      <c r="M808" s="19" t="n"/>
      <c r="N808" s="22">
        <f>IF(C808="","",IF(ISNUMBER(I808),I808,IF(ISNUMBER(H808),H808,"")))</f>
        <v/>
      </c>
      <c r="O808" s="23">
        <f>IF(OR(C808="",NOT(ISNUMBER(G808))),"",(TODAY()-INT(G808))/365.25)</f>
        <v/>
      </c>
      <c r="P808" s="13">
        <f>IF(OR(C808="",NOT(ISNUMBER(L808))),"",IF(L808&lt;TODAY(),"Ended",IF(L808-TODAY()&lt;=N(Settings!$C$10),"Ends soon","Covered")))</f>
        <v/>
      </c>
      <c r="Q808" s="13">
        <f>IF(C808="","",MID(IF(N808="",", value","")&amp;IF(OR(J808="",J808="No"),", receipt","")&amp;IF(K808="",", photo",""),3,100))</f>
        <v/>
      </c>
      <c r="R808" s="13">
        <f>IF(AND(B808="",C808=""),"",IF(C808="","Needs the item",IF(B808="","Needs a room",IF(COUNTIF(Rooms!$B$6:$B$35,B808)=0,"Not on Rooms",IF(AND(H808&lt;&gt;"",NOT(ISNUMBER(H808))),"Paid not a number",IF(AND(I808&lt;&gt;"",NOT(ISNUMBER(I808))),"Worth not a number",IF(AND(G808&lt;&gt;"",NOT(ISNUMBER(G808))),"Bought is not a date",IF(AND(L808&lt;&gt;"",NOT(ISNUMBER(L808))),"Warranty is not a date",""))))))))</f>
        <v/>
      </c>
      <c r="S808" s="1">
        <f>IF(AND(C808&lt;&gt;"",R808=""),1,0)</f>
        <v/>
      </c>
      <c r="T808">
        <f>IF(S808=1,N(N808),0)</f>
        <v/>
      </c>
      <c r="U808">
        <f>IF(AND(S808=1,T808&gt;0),ROUND(T808*100,0)*10000+10000-ROW(),"")</f>
        <v/>
      </c>
      <c r="V808">
        <f>IF(AND(S808=1,OR(Report!$C$5="",B808=Report!$C$5)),MATCH(B808,Rooms!$B$6:$B$35,0)*10000+ROW(),"")</f>
        <v/>
      </c>
      <c r="W808">
        <f>IF(AND(S808=1,OR(J808="",J808="No")),1,0)</f>
        <v/>
      </c>
      <c r="X808">
        <f>IF(AND(S808=1,K808=""),1,0)</f>
        <v/>
      </c>
      <c r="Y808">
        <f>IF(AND(S808=1,Q808&lt;&gt;""),ROUND(T808*100,0)*10000+10000-ROW(),"")</f>
        <v/>
      </c>
    </row>
    <row r="809">
      <c r="A809" s="1" t="n"/>
      <c r="B809" s="17" t="n"/>
      <c r="C809" s="18" t="n"/>
      <c r="D809" s="17" t="n"/>
      <c r="E809" s="19" t="n"/>
      <c r="F809" s="19" t="n"/>
      <c r="G809" s="20" t="n"/>
      <c r="H809" s="21" t="n"/>
      <c r="I809" s="21" t="n"/>
      <c r="J809" s="17" t="n"/>
      <c r="K809" s="19" t="n"/>
      <c r="L809" s="20" t="n"/>
      <c r="M809" s="19" t="n"/>
      <c r="N809" s="22">
        <f>IF(C809="","",IF(ISNUMBER(I809),I809,IF(ISNUMBER(H809),H809,"")))</f>
        <v/>
      </c>
      <c r="O809" s="23">
        <f>IF(OR(C809="",NOT(ISNUMBER(G809))),"",(TODAY()-INT(G809))/365.25)</f>
        <v/>
      </c>
      <c r="P809" s="13">
        <f>IF(OR(C809="",NOT(ISNUMBER(L809))),"",IF(L809&lt;TODAY(),"Ended",IF(L809-TODAY()&lt;=N(Settings!$C$10),"Ends soon","Covered")))</f>
        <v/>
      </c>
      <c r="Q809" s="13">
        <f>IF(C809="","",MID(IF(N809="",", value","")&amp;IF(OR(J809="",J809="No"),", receipt","")&amp;IF(K809="",", photo",""),3,100))</f>
        <v/>
      </c>
      <c r="R809" s="13">
        <f>IF(AND(B809="",C809=""),"",IF(C809="","Needs the item",IF(B809="","Needs a room",IF(COUNTIF(Rooms!$B$6:$B$35,B809)=0,"Not on Rooms",IF(AND(H809&lt;&gt;"",NOT(ISNUMBER(H809))),"Paid not a number",IF(AND(I809&lt;&gt;"",NOT(ISNUMBER(I809))),"Worth not a number",IF(AND(G809&lt;&gt;"",NOT(ISNUMBER(G809))),"Bought is not a date",IF(AND(L809&lt;&gt;"",NOT(ISNUMBER(L809))),"Warranty is not a date",""))))))))</f>
        <v/>
      </c>
      <c r="S809" s="1">
        <f>IF(AND(C809&lt;&gt;"",R809=""),1,0)</f>
        <v/>
      </c>
      <c r="T809">
        <f>IF(S809=1,N(N809),0)</f>
        <v/>
      </c>
      <c r="U809">
        <f>IF(AND(S809=1,T809&gt;0),ROUND(T809*100,0)*10000+10000-ROW(),"")</f>
        <v/>
      </c>
      <c r="V809">
        <f>IF(AND(S809=1,OR(Report!$C$5="",B809=Report!$C$5)),MATCH(B809,Rooms!$B$6:$B$35,0)*10000+ROW(),"")</f>
        <v/>
      </c>
      <c r="W809">
        <f>IF(AND(S809=1,OR(J809="",J809="No")),1,0)</f>
        <v/>
      </c>
      <c r="X809">
        <f>IF(AND(S809=1,K809=""),1,0)</f>
        <v/>
      </c>
      <c r="Y809">
        <f>IF(AND(S809=1,Q809&lt;&gt;""),ROUND(T809*100,0)*10000+10000-ROW(),"")</f>
        <v/>
      </c>
    </row>
    <row r="810">
      <c r="A810" s="1" t="n"/>
      <c r="B810" s="17" t="n"/>
      <c r="C810" s="18" t="n"/>
      <c r="D810" s="17" t="n"/>
      <c r="E810" s="19" t="n"/>
      <c r="F810" s="19" t="n"/>
      <c r="G810" s="20" t="n"/>
      <c r="H810" s="21" t="n"/>
      <c r="I810" s="21" t="n"/>
      <c r="J810" s="17" t="n"/>
      <c r="K810" s="19" t="n"/>
      <c r="L810" s="20" t="n"/>
      <c r="M810" s="19" t="n"/>
      <c r="N810" s="22">
        <f>IF(C810="","",IF(ISNUMBER(I810),I810,IF(ISNUMBER(H810),H810,"")))</f>
        <v/>
      </c>
      <c r="O810" s="23">
        <f>IF(OR(C810="",NOT(ISNUMBER(G810))),"",(TODAY()-INT(G810))/365.25)</f>
        <v/>
      </c>
      <c r="P810" s="13">
        <f>IF(OR(C810="",NOT(ISNUMBER(L810))),"",IF(L810&lt;TODAY(),"Ended",IF(L810-TODAY()&lt;=N(Settings!$C$10),"Ends soon","Covered")))</f>
        <v/>
      </c>
      <c r="Q810" s="13">
        <f>IF(C810="","",MID(IF(N810="",", value","")&amp;IF(OR(J810="",J810="No"),", receipt","")&amp;IF(K810="",", photo",""),3,100))</f>
        <v/>
      </c>
      <c r="R810" s="13">
        <f>IF(AND(B810="",C810=""),"",IF(C810="","Needs the item",IF(B810="","Needs a room",IF(COUNTIF(Rooms!$B$6:$B$35,B810)=0,"Not on Rooms",IF(AND(H810&lt;&gt;"",NOT(ISNUMBER(H810))),"Paid not a number",IF(AND(I810&lt;&gt;"",NOT(ISNUMBER(I810))),"Worth not a number",IF(AND(G810&lt;&gt;"",NOT(ISNUMBER(G810))),"Bought is not a date",IF(AND(L810&lt;&gt;"",NOT(ISNUMBER(L810))),"Warranty is not a date",""))))))))</f>
        <v/>
      </c>
      <c r="S810" s="1">
        <f>IF(AND(C810&lt;&gt;"",R810=""),1,0)</f>
        <v/>
      </c>
      <c r="T810">
        <f>IF(S810=1,N(N810),0)</f>
        <v/>
      </c>
      <c r="U810">
        <f>IF(AND(S810=1,T810&gt;0),ROUND(T810*100,0)*10000+10000-ROW(),"")</f>
        <v/>
      </c>
      <c r="V810">
        <f>IF(AND(S810=1,OR(Report!$C$5="",B810=Report!$C$5)),MATCH(B810,Rooms!$B$6:$B$35,0)*10000+ROW(),"")</f>
        <v/>
      </c>
      <c r="W810">
        <f>IF(AND(S810=1,OR(J810="",J810="No")),1,0)</f>
        <v/>
      </c>
      <c r="X810">
        <f>IF(AND(S810=1,K810=""),1,0)</f>
        <v/>
      </c>
      <c r="Y810">
        <f>IF(AND(S810=1,Q810&lt;&gt;""),ROUND(T810*100,0)*10000+10000-ROW(),"")</f>
        <v/>
      </c>
    </row>
    <row r="811">
      <c r="A811" s="1" t="n"/>
      <c r="B811" s="17" t="n"/>
      <c r="C811" s="18" t="n"/>
      <c r="D811" s="17" t="n"/>
      <c r="E811" s="19" t="n"/>
      <c r="F811" s="19" t="n"/>
      <c r="G811" s="20" t="n"/>
      <c r="H811" s="21" t="n"/>
      <c r="I811" s="21" t="n"/>
      <c r="J811" s="17" t="n"/>
      <c r="K811" s="19" t="n"/>
      <c r="L811" s="20" t="n"/>
      <c r="M811" s="19" t="n"/>
      <c r="N811" s="22">
        <f>IF(C811="","",IF(ISNUMBER(I811),I811,IF(ISNUMBER(H811),H811,"")))</f>
        <v/>
      </c>
      <c r="O811" s="23">
        <f>IF(OR(C811="",NOT(ISNUMBER(G811))),"",(TODAY()-INT(G811))/365.25)</f>
        <v/>
      </c>
      <c r="P811" s="13">
        <f>IF(OR(C811="",NOT(ISNUMBER(L811))),"",IF(L811&lt;TODAY(),"Ended",IF(L811-TODAY()&lt;=N(Settings!$C$10),"Ends soon","Covered")))</f>
        <v/>
      </c>
      <c r="Q811" s="13">
        <f>IF(C811="","",MID(IF(N811="",", value","")&amp;IF(OR(J811="",J811="No"),", receipt","")&amp;IF(K811="",", photo",""),3,100))</f>
        <v/>
      </c>
      <c r="R811" s="13">
        <f>IF(AND(B811="",C811=""),"",IF(C811="","Needs the item",IF(B811="","Needs a room",IF(COUNTIF(Rooms!$B$6:$B$35,B811)=0,"Not on Rooms",IF(AND(H811&lt;&gt;"",NOT(ISNUMBER(H811))),"Paid not a number",IF(AND(I811&lt;&gt;"",NOT(ISNUMBER(I811))),"Worth not a number",IF(AND(G811&lt;&gt;"",NOT(ISNUMBER(G811))),"Bought is not a date",IF(AND(L811&lt;&gt;"",NOT(ISNUMBER(L811))),"Warranty is not a date",""))))))))</f>
        <v/>
      </c>
      <c r="S811" s="1">
        <f>IF(AND(C811&lt;&gt;"",R811=""),1,0)</f>
        <v/>
      </c>
      <c r="T811">
        <f>IF(S811=1,N(N811),0)</f>
        <v/>
      </c>
      <c r="U811">
        <f>IF(AND(S811=1,T811&gt;0),ROUND(T811*100,0)*10000+10000-ROW(),"")</f>
        <v/>
      </c>
      <c r="V811">
        <f>IF(AND(S811=1,OR(Report!$C$5="",B811=Report!$C$5)),MATCH(B811,Rooms!$B$6:$B$35,0)*10000+ROW(),"")</f>
        <v/>
      </c>
      <c r="W811">
        <f>IF(AND(S811=1,OR(J811="",J811="No")),1,0)</f>
        <v/>
      </c>
      <c r="X811">
        <f>IF(AND(S811=1,K811=""),1,0)</f>
        <v/>
      </c>
      <c r="Y811">
        <f>IF(AND(S811=1,Q811&lt;&gt;""),ROUND(T811*100,0)*10000+10000-ROW(),"")</f>
        <v/>
      </c>
    </row>
    <row r="812">
      <c r="A812" s="1" t="n"/>
      <c r="B812" s="17" t="n"/>
      <c r="C812" s="18" t="n"/>
      <c r="D812" s="17" t="n"/>
      <c r="E812" s="19" t="n"/>
      <c r="F812" s="19" t="n"/>
      <c r="G812" s="20" t="n"/>
      <c r="H812" s="21" t="n"/>
      <c r="I812" s="21" t="n"/>
      <c r="J812" s="17" t="n"/>
      <c r="K812" s="19" t="n"/>
      <c r="L812" s="20" t="n"/>
      <c r="M812" s="19" t="n"/>
      <c r="N812" s="22">
        <f>IF(C812="","",IF(ISNUMBER(I812),I812,IF(ISNUMBER(H812),H812,"")))</f>
        <v/>
      </c>
      <c r="O812" s="23">
        <f>IF(OR(C812="",NOT(ISNUMBER(G812))),"",(TODAY()-INT(G812))/365.25)</f>
        <v/>
      </c>
      <c r="P812" s="13">
        <f>IF(OR(C812="",NOT(ISNUMBER(L812))),"",IF(L812&lt;TODAY(),"Ended",IF(L812-TODAY()&lt;=N(Settings!$C$10),"Ends soon","Covered")))</f>
        <v/>
      </c>
      <c r="Q812" s="13">
        <f>IF(C812="","",MID(IF(N812="",", value","")&amp;IF(OR(J812="",J812="No"),", receipt","")&amp;IF(K812="",", photo",""),3,100))</f>
        <v/>
      </c>
      <c r="R812" s="13">
        <f>IF(AND(B812="",C812=""),"",IF(C812="","Needs the item",IF(B812="","Needs a room",IF(COUNTIF(Rooms!$B$6:$B$35,B812)=0,"Not on Rooms",IF(AND(H812&lt;&gt;"",NOT(ISNUMBER(H812))),"Paid not a number",IF(AND(I812&lt;&gt;"",NOT(ISNUMBER(I812))),"Worth not a number",IF(AND(G812&lt;&gt;"",NOT(ISNUMBER(G812))),"Bought is not a date",IF(AND(L812&lt;&gt;"",NOT(ISNUMBER(L812))),"Warranty is not a date",""))))))))</f>
        <v/>
      </c>
      <c r="S812" s="1">
        <f>IF(AND(C812&lt;&gt;"",R812=""),1,0)</f>
        <v/>
      </c>
      <c r="T812">
        <f>IF(S812=1,N(N812),0)</f>
        <v/>
      </c>
      <c r="U812">
        <f>IF(AND(S812=1,T812&gt;0),ROUND(T812*100,0)*10000+10000-ROW(),"")</f>
        <v/>
      </c>
      <c r="V812">
        <f>IF(AND(S812=1,OR(Report!$C$5="",B812=Report!$C$5)),MATCH(B812,Rooms!$B$6:$B$35,0)*10000+ROW(),"")</f>
        <v/>
      </c>
      <c r="W812">
        <f>IF(AND(S812=1,OR(J812="",J812="No")),1,0)</f>
        <v/>
      </c>
      <c r="X812">
        <f>IF(AND(S812=1,K812=""),1,0)</f>
        <v/>
      </c>
      <c r="Y812">
        <f>IF(AND(S812=1,Q812&lt;&gt;""),ROUND(T812*100,0)*10000+10000-ROW(),"")</f>
        <v/>
      </c>
    </row>
    <row r="813">
      <c r="A813" s="1" t="n"/>
      <c r="B813" s="17" t="n"/>
      <c r="C813" s="18" t="n"/>
      <c r="D813" s="17" t="n"/>
      <c r="E813" s="19" t="n"/>
      <c r="F813" s="19" t="n"/>
      <c r="G813" s="20" t="n"/>
      <c r="H813" s="21" t="n"/>
      <c r="I813" s="21" t="n"/>
      <c r="J813" s="17" t="n"/>
      <c r="K813" s="19" t="n"/>
      <c r="L813" s="20" t="n"/>
      <c r="M813" s="19" t="n"/>
      <c r="N813" s="22">
        <f>IF(C813="","",IF(ISNUMBER(I813),I813,IF(ISNUMBER(H813),H813,"")))</f>
        <v/>
      </c>
      <c r="O813" s="23">
        <f>IF(OR(C813="",NOT(ISNUMBER(G813))),"",(TODAY()-INT(G813))/365.25)</f>
        <v/>
      </c>
      <c r="P813" s="13">
        <f>IF(OR(C813="",NOT(ISNUMBER(L813))),"",IF(L813&lt;TODAY(),"Ended",IF(L813-TODAY()&lt;=N(Settings!$C$10),"Ends soon","Covered")))</f>
        <v/>
      </c>
      <c r="Q813" s="13">
        <f>IF(C813="","",MID(IF(N813="",", value","")&amp;IF(OR(J813="",J813="No"),", receipt","")&amp;IF(K813="",", photo",""),3,100))</f>
        <v/>
      </c>
      <c r="R813" s="13">
        <f>IF(AND(B813="",C813=""),"",IF(C813="","Needs the item",IF(B813="","Needs a room",IF(COUNTIF(Rooms!$B$6:$B$35,B813)=0,"Not on Rooms",IF(AND(H813&lt;&gt;"",NOT(ISNUMBER(H813))),"Paid not a number",IF(AND(I813&lt;&gt;"",NOT(ISNUMBER(I813))),"Worth not a number",IF(AND(G813&lt;&gt;"",NOT(ISNUMBER(G813))),"Bought is not a date",IF(AND(L813&lt;&gt;"",NOT(ISNUMBER(L813))),"Warranty is not a date",""))))))))</f>
        <v/>
      </c>
      <c r="S813" s="1">
        <f>IF(AND(C813&lt;&gt;"",R813=""),1,0)</f>
        <v/>
      </c>
      <c r="T813">
        <f>IF(S813=1,N(N813),0)</f>
        <v/>
      </c>
      <c r="U813">
        <f>IF(AND(S813=1,T813&gt;0),ROUND(T813*100,0)*10000+10000-ROW(),"")</f>
        <v/>
      </c>
      <c r="V813">
        <f>IF(AND(S813=1,OR(Report!$C$5="",B813=Report!$C$5)),MATCH(B813,Rooms!$B$6:$B$35,0)*10000+ROW(),"")</f>
        <v/>
      </c>
      <c r="W813">
        <f>IF(AND(S813=1,OR(J813="",J813="No")),1,0)</f>
        <v/>
      </c>
      <c r="X813">
        <f>IF(AND(S813=1,K813=""),1,0)</f>
        <v/>
      </c>
      <c r="Y813">
        <f>IF(AND(S813=1,Q813&lt;&gt;""),ROUND(T813*100,0)*10000+10000-ROW(),"")</f>
        <v/>
      </c>
    </row>
    <row r="814">
      <c r="A814" s="1" t="n"/>
      <c r="B814" s="17" t="n"/>
      <c r="C814" s="18" t="n"/>
      <c r="D814" s="17" t="n"/>
      <c r="E814" s="19" t="n"/>
      <c r="F814" s="19" t="n"/>
      <c r="G814" s="20" t="n"/>
      <c r="H814" s="21" t="n"/>
      <c r="I814" s="21" t="n"/>
      <c r="J814" s="17" t="n"/>
      <c r="K814" s="19" t="n"/>
      <c r="L814" s="20" t="n"/>
      <c r="M814" s="19" t="n"/>
      <c r="N814" s="22">
        <f>IF(C814="","",IF(ISNUMBER(I814),I814,IF(ISNUMBER(H814),H814,"")))</f>
        <v/>
      </c>
      <c r="O814" s="23">
        <f>IF(OR(C814="",NOT(ISNUMBER(G814))),"",(TODAY()-INT(G814))/365.25)</f>
        <v/>
      </c>
      <c r="P814" s="13">
        <f>IF(OR(C814="",NOT(ISNUMBER(L814))),"",IF(L814&lt;TODAY(),"Ended",IF(L814-TODAY()&lt;=N(Settings!$C$10),"Ends soon","Covered")))</f>
        <v/>
      </c>
      <c r="Q814" s="13">
        <f>IF(C814="","",MID(IF(N814="",", value","")&amp;IF(OR(J814="",J814="No"),", receipt","")&amp;IF(K814="",", photo",""),3,100))</f>
        <v/>
      </c>
      <c r="R814" s="13">
        <f>IF(AND(B814="",C814=""),"",IF(C814="","Needs the item",IF(B814="","Needs a room",IF(COUNTIF(Rooms!$B$6:$B$35,B814)=0,"Not on Rooms",IF(AND(H814&lt;&gt;"",NOT(ISNUMBER(H814))),"Paid not a number",IF(AND(I814&lt;&gt;"",NOT(ISNUMBER(I814))),"Worth not a number",IF(AND(G814&lt;&gt;"",NOT(ISNUMBER(G814))),"Bought is not a date",IF(AND(L814&lt;&gt;"",NOT(ISNUMBER(L814))),"Warranty is not a date",""))))))))</f>
        <v/>
      </c>
      <c r="S814" s="1">
        <f>IF(AND(C814&lt;&gt;"",R814=""),1,0)</f>
        <v/>
      </c>
      <c r="T814">
        <f>IF(S814=1,N(N814),0)</f>
        <v/>
      </c>
      <c r="U814">
        <f>IF(AND(S814=1,T814&gt;0),ROUND(T814*100,0)*10000+10000-ROW(),"")</f>
        <v/>
      </c>
      <c r="V814">
        <f>IF(AND(S814=1,OR(Report!$C$5="",B814=Report!$C$5)),MATCH(B814,Rooms!$B$6:$B$35,0)*10000+ROW(),"")</f>
        <v/>
      </c>
      <c r="W814">
        <f>IF(AND(S814=1,OR(J814="",J814="No")),1,0)</f>
        <v/>
      </c>
      <c r="X814">
        <f>IF(AND(S814=1,K814=""),1,0)</f>
        <v/>
      </c>
      <c r="Y814">
        <f>IF(AND(S814=1,Q814&lt;&gt;""),ROUND(T814*100,0)*10000+10000-ROW(),"")</f>
        <v/>
      </c>
    </row>
    <row r="815">
      <c r="A815" s="1" t="n"/>
      <c r="B815" s="17" t="n"/>
      <c r="C815" s="18" t="n"/>
      <c r="D815" s="17" t="n"/>
      <c r="E815" s="19" t="n"/>
      <c r="F815" s="19" t="n"/>
      <c r="G815" s="20" t="n"/>
      <c r="H815" s="21" t="n"/>
      <c r="I815" s="21" t="n"/>
      <c r="J815" s="17" t="n"/>
      <c r="K815" s="19" t="n"/>
      <c r="L815" s="20" t="n"/>
      <c r="M815" s="19" t="n"/>
      <c r="N815" s="22">
        <f>IF(C815="","",IF(ISNUMBER(I815),I815,IF(ISNUMBER(H815),H815,"")))</f>
        <v/>
      </c>
      <c r="O815" s="23">
        <f>IF(OR(C815="",NOT(ISNUMBER(G815))),"",(TODAY()-INT(G815))/365.25)</f>
        <v/>
      </c>
      <c r="P815" s="13">
        <f>IF(OR(C815="",NOT(ISNUMBER(L815))),"",IF(L815&lt;TODAY(),"Ended",IF(L815-TODAY()&lt;=N(Settings!$C$10),"Ends soon","Covered")))</f>
        <v/>
      </c>
      <c r="Q815" s="13">
        <f>IF(C815="","",MID(IF(N815="",", value","")&amp;IF(OR(J815="",J815="No"),", receipt","")&amp;IF(K815="",", photo",""),3,100))</f>
        <v/>
      </c>
      <c r="R815" s="13">
        <f>IF(AND(B815="",C815=""),"",IF(C815="","Needs the item",IF(B815="","Needs a room",IF(COUNTIF(Rooms!$B$6:$B$35,B815)=0,"Not on Rooms",IF(AND(H815&lt;&gt;"",NOT(ISNUMBER(H815))),"Paid not a number",IF(AND(I815&lt;&gt;"",NOT(ISNUMBER(I815))),"Worth not a number",IF(AND(G815&lt;&gt;"",NOT(ISNUMBER(G815))),"Bought is not a date",IF(AND(L815&lt;&gt;"",NOT(ISNUMBER(L815))),"Warranty is not a date",""))))))))</f>
        <v/>
      </c>
      <c r="S815" s="1">
        <f>IF(AND(C815&lt;&gt;"",R815=""),1,0)</f>
        <v/>
      </c>
      <c r="T815">
        <f>IF(S815=1,N(N815),0)</f>
        <v/>
      </c>
      <c r="U815">
        <f>IF(AND(S815=1,T815&gt;0),ROUND(T815*100,0)*10000+10000-ROW(),"")</f>
        <v/>
      </c>
      <c r="V815">
        <f>IF(AND(S815=1,OR(Report!$C$5="",B815=Report!$C$5)),MATCH(B815,Rooms!$B$6:$B$35,0)*10000+ROW(),"")</f>
        <v/>
      </c>
      <c r="W815">
        <f>IF(AND(S815=1,OR(J815="",J815="No")),1,0)</f>
        <v/>
      </c>
      <c r="X815">
        <f>IF(AND(S815=1,K815=""),1,0)</f>
        <v/>
      </c>
      <c r="Y815">
        <f>IF(AND(S815=1,Q815&lt;&gt;""),ROUND(T815*100,0)*10000+10000-ROW(),"")</f>
        <v/>
      </c>
    </row>
    <row r="816">
      <c r="A816" s="1" t="n"/>
      <c r="B816" s="17" t="n"/>
      <c r="C816" s="18" t="n"/>
      <c r="D816" s="17" t="n"/>
      <c r="E816" s="19" t="n"/>
      <c r="F816" s="19" t="n"/>
      <c r="G816" s="20" t="n"/>
      <c r="H816" s="21" t="n"/>
      <c r="I816" s="21" t="n"/>
      <c r="J816" s="17" t="n"/>
      <c r="K816" s="19" t="n"/>
      <c r="L816" s="20" t="n"/>
      <c r="M816" s="19" t="n"/>
      <c r="N816" s="22">
        <f>IF(C816="","",IF(ISNUMBER(I816),I816,IF(ISNUMBER(H816),H816,"")))</f>
        <v/>
      </c>
      <c r="O816" s="23">
        <f>IF(OR(C816="",NOT(ISNUMBER(G816))),"",(TODAY()-INT(G816))/365.25)</f>
        <v/>
      </c>
      <c r="P816" s="13">
        <f>IF(OR(C816="",NOT(ISNUMBER(L816))),"",IF(L816&lt;TODAY(),"Ended",IF(L816-TODAY()&lt;=N(Settings!$C$10),"Ends soon","Covered")))</f>
        <v/>
      </c>
      <c r="Q816" s="13">
        <f>IF(C816="","",MID(IF(N816="",", value","")&amp;IF(OR(J816="",J816="No"),", receipt","")&amp;IF(K816="",", photo",""),3,100))</f>
        <v/>
      </c>
      <c r="R816" s="13">
        <f>IF(AND(B816="",C816=""),"",IF(C816="","Needs the item",IF(B816="","Needs a room",IF(COUNTIF(Rooms!$B$6:$B$35,B816)=0,"Not on Rooms",IF(AND(H816&lt;&gt;"",NOT(ISNUMBER(H816))),"Paid not a number",IF(AND(I816&lt;&gt;"",NOT(ISNUMBER(I816))),"Worth not a number",IF(AND(G816&lt;&gt;"",NOT(ISNUMBER(G816))),"Bought is not a date",IF(AND(L816&lt;&gt;"",NOT(ISNUMBER(L816))),"Warranty is not a date",""))))))))</f>
        <v/>
      </c>
      <c r="S816" s="1">
        <f>IF(AND(C816&lt;&gt;"",R816=""),1,0)</f>
        <v/>
      </c>
      <c r="T816">
        <f>IF(S816=1,N(N816),0)</f>
        <v/>
      </c>
      <c r="U816">
        <f>IF(AND(S816=1,T816&gt;0),ROUND(T816*100,0)*10000+10000-ROW(),"")</f>
        <v/>
      </c>
      <c r="V816">
        <f>IF(AND(S816=1,OR(Report!$C$5="",B816=Report!$C$5)),MATCH(B816,Rooms!$B$6:$B$35,0)*10000+ROW(),"")</f>
        <v/>
      </c>
      <c r="W816">
        <f>IF(AND(S816=1,OR(J816="",J816="No")),1,0)</f>
        <v/>
      </c>
      <c r="X816">
        <f>IF(AND(S816=1,K816=""),1,0)</f>
        <v/>
      </c>
      <c r="Y816">
        <f>IF(AND(S816=1,Q816&lt;&gt;""),ROUND(T816*100,0)*10000+10000-ROW(),"")</f>
        <v/>
      </c>
    </row>
    <row r="817">
      <c r="A817" s="1" t="n"/>
      <c r="B817" s="17" t="n"/>
      <c r="C817" s="18" t="n"/>
      <c r="D817" s="17" t="n"/>
      <c r="E817" s="19" t="n"/>
      <c r="F817" s="19" t="n"/>
      <c r="G817" s="20" t="n"/>
      <c r="H817" s="21" t="n"/>
      <c r="I817" s="21" t="n"/>
      <c r="J817" s="17" t="n"/>
      <c r="K817" s="19" t="n"/>
      <c r="L817" s="20" t="n"/>
      <c r="M817" s="19" t="n"/>
      <c r="N817" s="22">
        <f>IF(C817="","",IF(ISNUMBER(I817),I817,IF(ISNUMBER(H817),H817,"")))</f>
        <v/>
      </c>
      <c r="O817" s="23">
        <f>IF(OR(C817="",NOT(ISNUMBER(G817))),"",(TODAY()-INT(G817))/365.25)</f>
        <v/>
      </c>
      <c r="P817" s="13">
        <f>IF(OR(C817="",NOT(ISNUMBER(L817))),"",IF(L817&lt;TODAY(),"Ended",IF(L817-TODAY()&lt;=N(Settings!$C$10),"Ends soon","Covered")))</f>
        <v/>
      </c>
      <c r="Q817" s="13">
        <f>IF(C817="","",MID(IF(N817="",", value","")&amp;IF(OR(J817="",J817="No"),", receipt","")&amp;IF(K817="",", photo",""),3,100))</f>
        <v/>
      </c>
      <c r="R817" s="13">
        <f>IF(AND(B817="",C817=""),"",IF(C817="","Needs the item",IF(B817="","Needs a room",IF(COUNTIF(Rooms!$B$6:$B$35,B817)=0,"Not on Rooms",IF(AND(H817&lt;&gt;"",NOT(ISNUMBER(H817))),"Paid not a number",IF(AND(I817&lt;&gt;"",NOT(ISNUMBER(I817))),"Worth not a number",IF(AND(G817&lt;&gt;"",NOT(ISNUMBER(G817))),"Bought is not a date",IF(AND(L817&lt;&gt;"",NOT(ISNUMBER(L817))),"Warranty is not a date",""))))))))</f>
        <v/>
      </c>
      <c r="S817" s="1">
        <f>IF(AND(C817&lt;&gt;"",R817=""),1,0)</f>
        <v/>
      </c>
      <c r="T817">
        <f>IF(S817=1,N(N817),0)</f>
        <v/>
      </c>
      <c r="U817">
        <f>IF(AND(S817=1,T817&gt;0),ROUND(T817*100,0)*10000+10000-ROW(),"")</f>
        <v/>
      </c>
      <c r="V817">
        <f>IF(AND(S817=1,OR(Report!$C$5="",B817=Report!$C$5)),MATCH(B817,Rooms!$B$6:$B$35,0)*10000+ROW(),"")</f>
        <v/>
      </c>
      <c r="W817">
        <f>IF(AND(S817=1,OR(J817="",J817="No")),1,0)</f>
        <v/>
      </c>
      <c r="X817">
        <f>IF(AND(S817=1,K817=""),1,0)</f>
        <v/>
      </c>
      <c r="Y817">
        <f>IF(AND(S817=1,Q817&lt;&gt;""),ROUND(T817*100,0)*10000+10000-ROW(),"")</f>
        <v/>
      </c>
    </row>
    <row r="818">
      <c r="A818" s="1" t="n"/>
      <c r="B818" s="17" t="n"/>
      <c r="C818" s="18" t="n"/>
      <c r="D818" s="17" t="n"/>
      <c r="E818" s="19" t="n"/>
      <c r="F818" s="19" t="n"/>
      <c r="G818" s="20" t="n"/>
      <c r="H818" s="21" t="n"/>
      <c r="I818" s="21" t="n"/>
      <c r="J818" s="17" t="n"/>
      <c r="K818" s="19" t="n"/>
      <c r="L818" s="20" t="n"/>
      <c r="M818" s="19" t="n"/>
      <c r="N818" s="22">
        <f>IF(C818="","",IF(ISNUMBER(I818),I818,IF(ISNUMBER(H818),H818,"")))</f>
        <v/>
      </c>
      <c r="O818" s="23">
        <f>IF(OR(C818="",NOT(ISNUMBER(G818))),"",(TODAY()-INT(G818))/365.25)</f>
        <v/>
      </c>
      <c r="P818" s="13">
        <f>IF(OR(C818="",NOT(ISNUMBER(L818))),"",IF(L818&lt;TODAY(),"Ended",IF(L818-TODAY()&lt;=N(Settings!$C$10),"Ends soon","Covered")))</f>
        <v/>
      </c>
      <c r="Q818" s="13">
        <f>IF(C818="","",MID(IF(N818="",", value","")&amp;IF(OR(J818="",J818="No"),", receipt","")&amp;IF(K818="",", photo",""),3,100))</f>
        <v/>
      </c>
      <c r="R818" s="13">
        <f>IF(AND(B818="",C818=""),"",IF(C818="","Needs the item",IF(B818="","Needs a room",IF(COUNTIF(Rooms!$B$6:$B$35,B818)=0,"Not on Rooms",IF(AND(H818&lt;&gt;"",NOT(ISNUMBER(H818))),"Paid not a number",IF(AND(I818&lt;&gt;"",NOT(ISNUMBER(I818))),"Worth not a number",IF(AND(G818&lt;&gt;"",NOT(ISNUMBER(G818))),"Bought is not a date",IF(AND(L818&lt;&gt;"",NOT(ISNUMBER(L818))),"Warranty is not a date",""))))))))</f>
        <v/>
      </c>
      <c r="S818" s="1">
        <f>IF(AND(C818&lt;&gt;"",R818=""),1,0)</f>
        <v/>
      </c>
      <c r="T818">
        <f>IF(S818=1,N(N818),0)</f>
        <v/>
      </c>
      <c r="U818">
        <f>IF(AND(S818=1,T818&gt;0),ROUND(T818*100,0)*10000+10000-ROW(),"")</f>
        <v/>
      </c>
      <c r="V818">
        <f>IF(AND(S818=1,OR(Report!$C$5="",B818=Report!$C$5)),MATCH(B818,Rooms!$B$6:$B$35,0)*10000+ROW(),"")</f>
        <v/>
      </c>
      <c r="W818">
        <f>IF(AND(S818=1,OR(J818="",J818="No")),1,0)</f>
        <v/>
      </c>
      <c r="X818">
        <f>IF(AND(S818=1,K818=""),1,0)</f>
        <v/>
      </c>
      <c r="Y818">
        <f>IF(AND(S818=1,Q818&lt;&gt;""),ROUND(T818*100,0)*10000+10000-ROW(),"")</f>
        <v/>
      </c>
    </row>
    <row r="819">
      <c r="A819" s="1" t="n"/>
      <c r="B819" s="17" t="n"/>
      <c r="C819" s="18" t="n"/>
      <c r="D819" s="17" t="n"/>
      <c r="E819" s="19" t="n"/>
      <c r="F819" s="19" t="n"/>
      <c r="G819" s="20" t="n"/>
      <c r="H819" s="21" t="n"/>
      <c r="I819" s="21" t="n"/>
      <c r="J819" s="17" t="n"/>
      <c r="K819" s="19" t="n"/>
      <c r="L819" s="20" t="n"/>
      <c r="M819" s="19" t="n"/>
      <c r="N819" s="22">
        <f>IF(C819="","",IF(ISNUMBER(I819),I819,IF(ISNUMBER(H819),H819,"")))</f>
        <v/>
      </c>
      <c r="O819" s="23">
        <f>IF(OR(C819="",NOT(ISNUMBER(G819))),"",(TODAY()-INT(G819))/365.25)</f>
        <v/>
      </c>
      <c r="P819" s="13">
        <f>IF(OR(C819="",NOT(ISNUMBER(L819))),"",IF(L819&lt;TODAY(),"Ended",IF(L819-TODAY()&lt;=N(Settings!$C$10),"Ends soon","Covered")))</f>
        <v/>
      </c>
      <c r="Q819" s="13">
        <f>IF(C819="","",MID(IF(N819="",", value","")&amp;IF(OR(J819="",J819="No"),", receipt","")&amp;IF(K819="",", photo",""),3,100))</f>
        <v/>
      </c>
      <c r="R819" s="13">
        <f>IF(AND(B819="",C819=""),"",IF(C819="","Needs the item",IF(B819="","Needs a room",IF(COUNTIF(Rooms!$B$6:$B$35,B819)=0,"Not on Rooms",IF(AND(H819&lt;&gt;"",NOT(ISNUMBER(H819))),"Paid not a number",IF(AND(I819&lt;&gt;"",NOT(ISNUMBER(I819))),"Worth not a number",IF(AND(G819&lt;&gt;"",NOT(ISNUMBER(G819))),"Bought is not a date",IF(AND(L819&lt;&gt;"",NOT(ISNUMBER(L819))),"Warranty is not a date",""))))))))</f>
        <v/>
      </c>
      <c r="S819" s="1">
        <f>IF(AND(C819&lt;&gt;"",R819=""),1,0)</f>
        <v/>
      </c>
      <c r="T819">
        <f>IF(S819=1,N(N819),0)</f>
        <v/>
      </c>
      <c r="U819">
        <f>IF(AND(S819=1,T819&gt;0),ROUND(T819*100,0)*10000+10000-ROW(),"")</f>
        <v/>
      </c>
      <c r="V819">
        <f>IF(AND(S819=1,OR(Report!$C$5="",B819=Report!$C$5)),MATCH(B819,Rooms!$B$6:$B$35,0)*10000+ROW(),"")</f>
        <v/>
      </c>
      <c r="W819">
        <f>IF(AND(S819=1,OR(J819="",J819="No")),1,0)</f>
        <v/>
      </c>
      <c r="X819">
        <f>IF(AND(S819=1,K819=""),1,0)</f>
        <v/>
      </c>
      <c r="Y819">
        <f>IF(AND(S819=1,Q819&lt;&gt;""),ROUND(T819*100,0)*10000+10000-ROW(),"")</f>
        <v/>
      </c>
    </row>
    <row r="820">
      <c r="A820" s="1" t="n"/>
      <c r="B820" s="17" t="n"/>
      <c r="C820" s="18" t="n"/>
      <c r="D820" s="17" t="n"/>
      <c r="E820" s="19" t="n"/>
      <c r="F820" s="19" t="n"/>
      <c r="G820" s="20" t="n"/>
      <c r="H820" s="21" t="n"/>
      <c r="I820" s="21" t="n"/>
      <c r="J820" s="17" t="n"/>
      <c r="K820" s="19" t="n"/>
      <c r="L820" s="20" t="n"/>
      <c r="M820" s="19" t="n"/>
      <c r="N820" s="22">
        <f>IF(C820="","",IF(ISNUMBER(I820),I820,IF(ISNUMBER(H820),H820,"")))</f>
        <v/>
      </c>
      <c r="O820" s="23">
        <f>IF(OR(C820="",NOT(ISNUMBER(G820))),"",(TODAY()-INT(G820))/365.25)</f>
        <v/>
      </c>
      <c r="P820" s="13">
        <f>IF(OR(C820="",NOT(ISNUMBER(L820))),"",IF(L820&lt;TODAY(),"Ended",IF(L820-TODAY()&lt;=N(Settings!$C$10),"Ends soon","Covered")))</f>
        <v/>
      </c>
      <c r="Q820" s="13">
        <f>IF(C820="","",MID(IF(N820="",", value","")&amp;IF(OR(J820="",J820="No"),", receipt","")&amp;IF(K820="",", photo",""),3,100))</f>
        <v/>
      </c>
      <c r="R820" s="13">
        <f>IF(AND(B820="",C820=""),"",IF(C820="","Needs the item",IF(B820="","Needs a room",IF(COUNTIF(Rooms!$B$6:$B$35,B820)=0,"Not on Rooms",IF(AND(H820&lt;&gt;"",NOT(ISNUMBER(H820))),"Paid not a number",IF(AND(I820&lt;&gt;"",NOT(ISNUMBER(I820))),"Worth not a number",IF(AND(G820&lt;&gt;"",NOT(ISNUMBER(G820))),"Bought is not a date",IF(AND(L820&lt;&gt;"",NOT(ISNUMBER(L820))),"Warranty is not a date",""))))))))</f>
        <v/>
      </c>
      <c r="S820" s="1">
        <f>IF(AND(C820&lt;&gt;"",R820=""),1,0)</f>
        <v/>
      </c>
      <c r="T820">
        <f>IF(S820=1,N(N820),0)</f>
        <v/>
      </c>
      <c r="U820">
        <f>IF(AND(S820=1,T820&gt;0),ROUND(T820*100,0)*10000+10000-ROW(),"")</f>
        <v/>
      </c>
      <c r="V820">
        <f>IF(AND(S820=1,OR(Report!$C$5="",B820=Report!$C$5)),MATCH(B820,Rooms!$B$6:$B$35,0)*10000+ROW(),"")</f>
        <v/>
      </c>
      <c r="W820">
        <f>IF(AND(S820=1,OR(J820="",J820="No")),1,0)</f>
        <v/>
      </c>
      <c r="X820">
        <f>IF(AND(S820=1,K820=""),1,0)</f>
        <v/>
      </c>
      <c r="Y820">
        <f>IF(AND(S820=1,Q820&lt;&gt;""),ROUND(T820*100,0)*10000+10000-ROW(),"")</f>
        <v/>
      </c>
    </row>
    <row r="821">
      <c r="A821" s="1" t="n"/>
      <c r="B821" s="17" t="n"/>
      <c r="C821" s="18" t="n"/>
      <c r="D821" s="17" t="n"/>
      <c r="E821" s="19" t="n"/>
      <c r="F821" s="19" t="n"/>
      <c r="G821" s="20" t="n"/>
      <c r="H821" s="21" t="n"/>
      <c r="I821" s="21" t="n"/>
      <c r="J821" s="17" t="n"/>
      <c r="K821" s="19" t="n"/>
      <c r="L821" s="20" t="n"/>
      <c r="M821" s="19" t="n"/>
      <c r="N821" s="22">
        <f>IF(C821="","",IF(ISNUMBER(I821),I821,IF(ISNUMBER(H821),H821,"")))</f>
        <v/>
      </c>
      <c r="O821" s="23">
        <f>IF(OR(C821="",NOT(ISNUMBER(G821))),"",(TODAY()-INT(G821))/365.25)</f>
        <v/>
      </c>
      <c r="P821" s="13">
        <f>IF(OR(C821="",NOT(ISNUMBER(L821))),"",IF(L821&lt;TODAY(),"Ended",IF(L821-TODAY()&lt;=N(Settings!$C$10),"Ends soon","Covered")))</f>
        <v/>
      </c>
      <c r="Q821" s="13">
        <f>IF(C821="","",MID(IF(N821="",", value","")&amp;IF(OR(J821="",J821="No"),", receipt","")&amp;IF(K821="",", photo",""),3,100))</f>
        <v/>
      </c>
      <c r="R821" s="13">
        <f>IF(AND(B821="",C821=""),"",IF(C821="","Needs the item",IF(B821="","Needs a room",IF(COUNTIF(Rooms!$B$6:$B$35,B821)=0,"Not on Rooms",IF(AND(H821&lt;&gt;"",NOT(ISNUMBER(H821))),"Paid not a number",IF(AND(I821&lt;&gt;"",NOT(ISNUMBER(I821))),"Worth not a number",IF(AND(G821&lt;&gt;"",NOT(ISNUMBER(G821))),"Bought is not a date",IF(AND(L821&lt;&gt;"",NOT(ISNUMBER(L821))),"Warranty is not a date",""))))))))</f>
        <v/>
      </c>
      <c r="S821" s="1">
        <f>IF(AND(C821&lt;&gt;"",R821=""),1,0)</f>
        <v/>
      </c>
      <c r="T821">
        <f>IF(S821=1,N(N821),0)</f>
        <v/>
      </c>
      <c r="U821">
        <f>IF(AND(S821=1,T821&gt;0),ROUND(T821*100,0)*10000+10000-ROW(),"")</f>
        <v/>
      </c>
      <c r="V821">
        <f>IF(AND(S821=1,OR(Report!$C$5="",B821=Report!$C$5)),MATCH(B821,Rooms!$B$6:$B$35,0)*10000+ROW(),"")</f>
        <v/>
      </c>
      <c r="W821">
        <f>IF(AND(S821=1,OR(J821="",J821="No")),1,0)</f>
        <v/>
      </c>
      <c r="X821">
        <f>IF(AND(S821=1,K821=""),1,0)</f>
        <v/>
      </c>
      <c r="Y821">
        <f>IF(AND(S821=1,Q821&lt;&gt;""),ROUND(T821*100,0)*10000+10000-ROW(),"")</f>
        <v/>
      </c>
    </row>
    <row r="822">
      <c r="A822" s="1" t="n"/>
      <c r="B822" s="17" t="n"/>
      <c r="C822" s="18" t="n"/>
      <c r="D822" s="17" t="n"/>
      <c r="E822" s="19" t="n"/>
      <c r="F822" s="19" t="n"/>
      <c r="G822" s="20" t="n"/>
      <c r="H822" s="21" t="n"/>
      <c r="I822" s="21" t="n"/>
      <c r="J822" s="17" t="n"/>
      <c r="K822" s="19" t="n"/>
      <c r="L822" s="20" t="n"/>
      <c r="M822" s="19" t="n"/>
      <c r="N822" s="22">
        <f>IF(C822="","",IF(ISNUMBER(I822),I822,IF(ISNUMBER(H822),H822,"")))</f>
        <v/>
      </c>
      <c r="O822" s="23">
        <f>IF(OR(C822="",NOT(ISNUMBER(G822))),"",(TODAY()-INT(G822))/365.25)</f>
        <v/>
      </c>
      <c r="P822" s="13">
        <f>IF(OR(C822="",NOT(ISNUMBER(L822))),"",IF(L822&lt;TODAY(),"Ended",IF(L822-TODAY()&lt;=N(Settings!$C$10),"Ends soon","Covered")))</f>
        <v/>
      </c>
      <c r="Q822" s="13">
        <f>IF(C822="","",MID(IF(N822="",", value","")&amp;IF(OR(J822="",J822="No"),", receipt","")&amp;IF(K822="",", photo",""),3,100))</f>
        <v/>
      </c>
      <c r="R822" s="13">
        <f>IF(AND(B822="",C822=""),"",IF(C822="","Needs the item",IF(B822="","Needs a room",IF(COUNTIF(Rooms!$B$6:$B$35,B822)=0,"Not on Rooms",IF(AND(H822&lt;&gt;"",NOT(ISNUMBER(H822))),"Paid not a number",IF(AND(I822&lt;&gt;"",NOT(ISNUMBER(I822))),"Worth not a number",IF(AND(G822&lt;&gt;"",NOT(ISNUMBER(G822))),"Bought is not a date",IF(AND(L822&lt;&gt;"",NOT(ISNUMBER(L822))),"Warranty is not a date",""))))))))</f>
        <v/>
      </c>
      <c r="S822" s="1">
        <f>IF(AND(C822&lt;&gt;"",R822=""),1,0)</f>
        <v/>
      </c>
      <c r="T822">
        <f>IF(S822=1,N(N822),0)</f>
        <v/>
      </c>
      <c r="U822">
        <f>IF(AND(S822=1,T822&gt;0),ROUND(T822*100,0)*10000+10000-ROW(),"")</f>
        <v/>
      </c>
      <c r="V822">
        <f>IF(AND(S822=1,OR(Report!$C$5="",B822=Report!$C$5)),MATCH(B822,Rooms!$B$6:$B$35,0)*10000+ROW(),"")</f>
        <v/>
      </c>
      <c r="W822">
        <f>IF(AND(S822=1,OR(J822="",J822="No")),1,0)</f>
        <v/>
      </c>
      <c r="X822">
        <f>IF(AND(S822=1,K822=""),1,0)</f>
        <v/>
      </c>
      <c r="Y822">
        <f>IF(AND(S822=1,Q822&lt;&gt;""),ROUND(T822*100,0)*10000+10000-ROW(),"")</f>
        <v/>
      </c>
    </row>
    <row r="823">
      <c r="A823" s="1" t="n"/>
      <c r="B823" s="17" t="n"/>
      <c r="C823" s="18" t="n"/>
      <c r="D823" s="17" t="n"/>
      <c r="E823" s="19" t="n"/>
      <c r="F823" s="19" t="n"/>
      <c r="G823" s="20" t="n"/>
      <c r="H823" s="21" t="n"/>
      <c r="I823" s="21" t="n"/>
      <c r="J823" s="17" t="n"/>
      <c r="K823" s="19" t="n"/>
      <c r="L823" s="20" t="n"/>
      <c r="M823" s="19" t="n"/>
      <c r="N823" s="22">
        <f>IF(C823="","",IF(ISNUMBER(I823),I823,IF(ISNUMBER(H823),H823,"")))</f>
        <v/>
      </c>
      <c r="O823" s="23">
        <f>IF(OR(C823="",NOT(ISNUMBER(G823))),"",(TODAY()-INT(G823))/365.25)</f>
        <v/>
      </c>
      <c r="P823" s="13">
        <f>IF(OR(C823="",NOT(ISNUMBER(L823))),"",IF(L823&lt;TODAY(),"Ended",IF(L823-TODAY()&lt;=N(Settings!$C$10),"Ends soon","Covered")))</f>
        <v/>
      </c>
      <c r="Q823" s="13">
        <f>IF(C823="","",MID(IF(N823="",", value","")&amp;IF(OR(J823="",J823="No"),", receipt","")&amp;IF(K823="",", photo",""),3,100))</f>
        <v/>
      </c>
      <c r="R823" s="13">
        <f>IF(AND(B823="",C823=""),"",IF(C823="","Needs the item",IF(B823="","Needs a room",IF(COUNTIF(Rooms!$B$6:$B$35,B823)=0,"Not on Rooms",IF(AND(H823&lt;&gt;"",NOT(ISNUMBER(H823))),"Paid not a number",IF(AND(I823&lt;&gt;"",NOT(ISNUMBER(I823))),"Worth not a number",IF(AND(G823&lt;&gt;"",NOT(ISNUMBER(G823))),"Bought is not a date",IF(AND(L823&lt;&gt;"",NOT(ISNUMBER(L823))),"Warranty is not a date",""))))))))</f>
        <v/>
      </c>
      <c r="S823" s="1">
        <f>IF(AND(C823&lt;&gt;"",R823=""),1,0)</f>
        <v/>
      </c>
      <c r="T823">
        <f>IF(S823=1,N(N823),0)</f>
        <v/>
      </c>
      <c r="U823">
        <f>IF(AND(S823=1,T823&gt;0),ROUND(T823*100,0)*10000+10000-ROW(),"")</f>
        <v/>
      </c>
      <c r="V823">
        <f>IF(AND(S823=1,OR(Report!$C$5="",B823=Report!$C$5)),MATCH(B823,Rooms!$B$6:$B$35,0)*10000+ROW(),"")</f>
        <v/>
      </c>
      <c r="W823">
        <f>IF(AND(S823=1,OR(J823="",J823="No")),1,0)</f>
        <v/>
      </c>
      <c r="X823">
        <f>IF(AND(S823=1,K823=""),1,0)</f>
        <v/>
      </c>
      <c r="Y823">
        <f>IF(AND(S823=1,Q823&lt;&gt;""),ROUND(T823*100,0)*10000+10000-ROW(),"")</f>
        <v/>
      </c>
    </row>
    <row r="824">
      <c r="A824" s="1" t="n"/>
      <c r="B824" s="17" t="n"/>
      <c r="C824" s="18" t="n"/>
      <c r="D824" s="17" t="n"/>
      <c r="E824" s="19" t="n"/>
      <c r="F824" s="19" t="n"/>
      <c r="G824" s="20" t="n"/>
      <c r="H824" s="21" t="n"/>
      <c r="I824" s="21" t="n"/>
      <c r="J824" s="17" t="n"/>
      <c r="K824" s="19" t="n"/>
      <c r="L824" s="20" t="n"/>
      <c r="M824" s="19" t="n"/>
      <c r="N824" s="22">
        <f>IF(C824="","",IF(ISNUMBER(I824),I824,IF(ISNUMBER(H824),H824,"")))</f>
        <v/>
      </c>
      <c r="O824" s="23">
        <f>IF(OR(C824="",NOT(ISNUMBER(G824))),"",(TODAY()-INT(G824))/365.25)</f>
        <v/>
      </c>
      <c r="P824" s="13">
        <f>IF(OR(C824="",NOT(ISNUMBER(L824))),"",IF(L824&lt;TODAY(),"Ended",IF(L824-TODAY()&lt;=N(Settings!$C$10),"Ends soon","Covered")))</f>
        <v/>
      </c>
      <c r="Q824" s="13">
        <f>IF(C824="","",MID(IF(N824="",", value","")&amp;IF(OR(J824="",J824="No"),", receipt","")&amp;IF(K824="",", photo",""),3,100))</f>
        <v/>
      </c>
      <c r="R824" s="13">
        <f>IF(AND(B824="",C824=""),"",IF(C824="","Needs the item",IF(B824="","Needs a room",IF(COUNTIF(Rooms!$B$6:$B$35,B824)=0,"Not on Rooms",IF(AND(H824&lt;&gt;"",NOT(ISNUMBER(H824))),"Paid not a number",IF(AND(I824&lt;&gt;"",NOT(ISNUMBER(I824))),"Worth not a number",IF(AND(G824&lt;&gt;"",NOT(ISNUMBER(G824))),"Bought is not a date",IF(AND(L824&lt;&gt;"",NOT(ISNUMBER(L824))),"Warranty is not a date",""))))))))</f>
        <v/>
      </c>
      <c r="S824" s="1">
        <f>IF(AND(C824&lt;&gt;"",R824=""),1,0)</f>
        <v/>
      </c>
      <c r="T824">
        <f>IF(S824=1,N(N824),0)</f>
        <v/>
      </c>
      <c r="U824">
        <f>IF(AND(S824=1,T824&gt;0),ROUND(T824*100,0)*10000+10000-ROW(),"")</f>
        <v/>
      </c>
      <c r="V824">
        <f>IF(AND(S824=1,OR(Report!$C$5="",B824=Report!$C$5)),MATCH(B824,Rooms!$B$6:$B$35,0)*10000+ROW(),"")</f>
        <v/>
      </c>
      <c r="W824">
        <f>IF(AND(S824=1,OR(J824="",J824="No")),1,0)</f>
        <v/>
      </c>
      <c r="X824">
        <f>IF(AND(S824=1,K824=""),1,0)</f>
        <v/>
      </c>
      <c r="Y824">
        <f>IF(AND(S824=1,Q824&lt;&gt;""),ROUND(T824*100,0)*10000+10000-ROW(),"")</f>
        <v/>
      </c>
    </row>
    <row r="825">
      <c r="A825" s="1" t="n"/>
      <c r="B825" s="17" t="n"/>
      <c r="C825" s="18" t="n"/>
      <c r="D825" s="17" t="n"/>
      <c r="E825" s="19" t="n"/>
      <c r="F825" s="19" t="n"/>
      <c r="G825" s="20" t="n"/>
      <c r="H825" s="21" t="n"/>
      <c r="I825" s="21" t="n"/>
      <c r="J825" s="17" t="n"/>
      <c r="K825" s="19" t="n"/>
      <c r="L825" s="20" t="n"/>
      <c r="M825" s="19" t="n"/>
      <c r="N825" s="22">
        <f>IF(C825="","",IF(ISNUMBER(I825),I825,IF(ISNUMBER(H825),H825,"")))</f>
        <v/>
      </c>
      <c r="O825" s="23">
        <f>IF(OR(C825="",NOT(ISNUMBER(G825))),"",(TODAY()-INT(G825))/365.25)</f>
        <v/>
      </c>
      <c r="P825" s="13">
        <f>IF(OR(C825="",NOT(ISNUMBER(L825))),"",IF(L825&lt;TODAY(),"Ended",IF(L825-TODAY()&lt;=N(Settings!$C$10),"Ends soon","Covered")))</f>
        <v/>
      </c>
      <c r="Q825" s="13">
        <f>IF(C825="","",MID(IF(N825="",", value","")&amp;IF(OR(J825="",J825="No"),", receipt","")&amp;IF(K825="",", photo",""),3,100))</f>
        <v/>
      </c>
      <c r="R825" s="13">
        <f>IF(AND(B825="",C825=""),"",IF(C825="","Needs the item",IF(B825="","Needs a room",IF(COUNTIF(Rooms!$B$6:$B$35,B825)=0,"Not on Rooms",IF(AND(H825&lt;&gt;"",NOT(ISNUMBER(H825))),"Paid not a number",IF(AND(I825&lt;&gt;"",NOT(ISNUMBER(I825))),"Worth not a number",IF(AND(G825&lt;&gt;"",NOT(ISNUMBER(G825))),"Bought is not a date",IF(AND(L825&lt;&gt;"",NOT(ISNUMBER(L825))),"Warranty is not a date",""))))))))</f>
        <v/>
      </c>
      <c r="S825" s="1">
        <f>IF(AND(C825&lt;&gt;"",R825=""),1,0)</f>
        <v/>
      </c>
      <c r="T825">
        <f>IF(S825=1,N(N825),0)</f>
        <v/>
      </c>
      <c r="U825">
        <f>IF(AND(S825=1,T825&gt;0),ROUND(T825*100,0)*10000+10000-ROW(),"")</f>
        <v/>
      </c>
      <c r="V825">
        <f>IF(AND(S825=1,OR(Report!$C$5="",B825=Report!$C$5)),MATCH(B825,Rooms!$B$6:$B$35,0)*10000+ROW(),"")</f>
        <v/>
      </c>
      <c r="W825">
        <f>IF(AND(S825=1,OR(J825="",J825="No")),1,0)</f>
        <v/>
      </c>
      <c r="X825">
        <f>IF(AND(S825=1,K825=""),1,0)</f>
        <v/>
      </c>
      <c r="Y825">
        <f>IF(AND(S825=1,Q825&lt;&gt;""),ROUND(T825*100,0)*10000+10000-ROW(),"")</f>
        <v/>
      </c>
    </row>
    <row r="826">
      <c r="A826" s="1" t="n"/>
      <c r="B826" s="17" t="n"/>
      <c r="C826" s="18" t="n"/>
      <c r="D826" s="17" t="n"/>
      <c r="E826" s="19" t="n"/>
      <c r="F826" s="19" t="n"/>
      <c r="G826" s="20" t="n"/>
      <c r="H826" s="21" t="n"/>
      <c r="I826" s="21" t="n"/>
      <c r="J826" s="17" t="n"/>
      <c r="K826" s="19" t="n"/>
      <c r="L826" s="20" t="n"/>
      <c r="M826" s="19" t="n"/>
      <c r="N826" s="22">
        <f>IF(C826="","",IF(ISNUMBER(I826),I826,IF(ISNUMBER(H826),H826,"")))</f>
        <v/>
      </c>
      <c r="O826" s="23">
        <f>IF(OR(C826="",NOT(ISNUMBER(G826))),"",(TODAY()-INT(G826))/365.25)</f>
        <v/>
      </c>
      <c r="P826" s="13">
        <f>IF(OR(C826="",NOT(ISNUMBER(L826))),"",IF(L826&lt;TODAY(),"Ended",IF(L826-TODAY()&lt;=N(Settings!$C$10),"Ends soon","Covered")))</f>
        <v/>
      </c>
      <c r="Q826" s="13">
        <f>IF(C826="","",MID(IF(N826="",", value","")&amp;IF(OR(J826="",J826="No"),", receipt","")&amp;IF(K826="",", photo",""),3,100))</f>
        <v/>
      </c>
      <c r="R826" s="13">
        <f>IF(AND(B826="",C826=""),"",IF(C826="","Needs the item",IF(B826="","Needs a room",IF(COUNTIF(Rooms!$B$6:$B$35,B826)=0,"Not on Rooms",IF(AND(H826&lt;&gt;"",NOT(ISNUMBER(H826))),"Paid not a number",IF(AND(I826&lt;&gt;"",NOT(ISNUMBER(I826))),"Worth not a number",IF(AND(G826&lt;&gt;"",NOT(ISNUMBER(G826))),"Bought is not a date",IF(AND(L826&lt;&gt;"",NOT(ISNUMBER(L826))),"Warranty is not a date",""))))))))</f>
        <v/>
      </c>
      <c r="S826" s="1">
        <f>IF(AND(C826&lt;&gt;"",R826=""),1,0)</f>
        <v/>
      </c>
      <c r="T826">
        <f>IF(S826=1,N(N826),0)</f>
        <v/>
      </c>
      <c r="U826">
        <f>IF(AND(S826=1,T826&gt;0),ROUND(T826*100,0)*10000+10000-ROW(),"")</f>
        <v/>
      </c>
      <c r="V826">
        <f>IF(AND(S826=1,OR(Report!$C$5="",B826=Report!$C$5)),MATCH(B826,Rooms!$B$6:$B$35,0)*10000+ROW(),"")</f>
        <v/>
      </c>
      <c r="W826">
        <f>IF(AND(S826=1,OR(J826="",J826="No")),1,0)</f>
        <v/>
      </c>
      <c r="X826">
        <f>IF(AND(S826=1,K826=""),1,0)</f>
        <v/>
      </c>
      <c r="Y826">
        <f>IF(AND(S826=1,Q826&lt;&gt;""),ROUND(T826*100,0)*10000+10000-ROW(),"")</f>
        <v/>
      </c>
    </row>
    <row r="827">
      <c r="A827" s="1" t="n"/>
      <c r="B827" s="17" t="n"/>
      <c r="C827" s="18" t="n"/>
      <c r="D827" s="17" t="n"/>
      <c r="E827" s="19" t="n"/>
      <c r="F827" s="19" t="n"/>
      <c r="G827" s="20" t="n"/>
      <c r="H827" s="21" t="n"/>
      <c r="I827" s="21" t="n"/>
      <c r="J827" s="17" t="n"/>
      <c r="K827" s="19" t="n"/>
      <c r="L827" s="20" t="n"/>
      <c r="M827" s="19" t="n"/>
      <c r="N827" s="22">
        <f>IF(C827="","",IF(ISNUMBER(I827),I827,IF(ISNUMBER(H827),H827,"")))</f>
        <v/>
      </c>
      <c r="O827" s="23">
        <f>IF(OR(C827="",NOT(ISNUMBER(G827))),"",(TODAY()-INT(G827))/365.25)</f>
        <v/>
      </c>
      <c r="P827" s="13">
        <f>IF(OR(C827="",NOT(ISNUMBER(L827))),"",IF(L827&lt;TODAY(),"Ended",IF(L827-TODAY()&lt;=N(Settings!$C$10),"Ends soon","Covered")))</f>
        <v/>
      </c>
      <c r="Q827" s="13">
        <f>IF(C827="","",MID(IF(N827="",", value","")&amp;IF(OR(J827="",J827="No"),", receipt","")&amp;IF(K827="",", photo",""),3,100))</f>
        <v/>
      </c>
      <c r="R827" s="13">
        <f>IF(AND(B827="",C827=""),"",IF(C827="","Needs the item",IF(B827="","Needs a room",IF(COUNTIF(Rooms!$B$6:$B$35,B827)=0,"Not on Rooms",IF(AND(H827&lt;&gt;"",NOT(ISNUMBER(H827))),"Paid not a number",IF(AND(I827&lt;&gt;"",NOT(ISNUMBER(I827))),"Worth not a number",IF(AND(G827&lt;&gt;"",NOT(ISNUMBER(G827))),"Bought is not a date",IF(AND(L827&lt;&gt;"",NOT(ISNUMBER(L827))),"Warranty is not a date",""))))))))</f>
        <v/>
      </c>
      <c r="S827" s="1">
        <f>IF(AND(C827&lt;&gt;"",R827=""),1,0)</f>
        <v/>
      </c>
      <c r="T827">
        <f>IF(S827=1,N(N827),0)</f>
        <v/>
      </c>
      <c r="U827">
        <f>IF(AND(S827=1,T827&gt;0),ROUND(T827*100,0)*10000+10000-ROW(),"")</f>
        <v/>
      </c>
      <c r="V827">
        <f>IF(AND(S827=1,OR(Report!$C$5="",B827=Report!$C$5)),MATCH(B827,Rooms!$B$6:$B$35,0)*10000+ROW(),"")</f>
        <v/>
      </c>
      <c r="W827">
        <f>IF(AND(S827=1,OR(J827="",J827="No")),1,0)</f>
        <v/>
      </c>
      <c r="X827">
        <f>IF(AND(S827=1,K827=""),1,0)</f>
        <v/>
      </c>
      <c r="Y827">
        <f>IF(AND(S827=1,Q827&lt;&gt;""),ROUND(T827*100,0)*10000+10000-ROW(),"")</f>
        <v/>
      </c>
    </row>
    <row r="828">
      <c r="A828" s="1" t="n"/>
      <c r="B828" s="17" t="n"/>
      <c r="C828" s="18" t="n"/>
      <c r="D828" s="17" t="n"/>
      <c r="E828" s="19" t="n"/>
      <c r="F828" s="19" t="n"/>
      <c r="G828" s="20" t="n"/>
      <c r="H828" s="21" t="n"/>
      <c r="I828" s="21" t="n"/>
      <c r="J828" s="17" t="n"/>
      <c r="K828" s="19" t="n"/>
      <c r="L828" s="20" t="n"/>
      <c r="M828" s="19" t="n"/>
      <c r="N828" s="22">
        <f>IF(C828="","",IF(ISNUMBER(I828),I828,IF(ISNUMBER(H828),H828,"")))</f>
        <v/>
      </c>
      <c r="O828" s="23">
        <f>IF(OR(C828="",NOT(ISNUMBER(G828))),"",(TODAY()-INT(G828))/365.25)</f>
        <v/>
      </c>
      <c r="P828" s="13">
        <f>IF(OR(C828="",NOT(ISNUMBER(L828))),"",IF(L828&lt;TODAY(),"Ended",IF(L828-TODAY()&lt;=N(Settings!$C$10),"Ends soon","Covered")))</f>
        <v/>
      </c>
      <c r="Q828" s="13">
        <f>IF(C828="","",MID(IF(N828="",", value","")&amp;IF(OR(J828="",J828="No"),", receipt","")&amp;IF(K828="",", photo",""),3,100))</f>
        <v/>
      </c>
      <c r="R828" s="13">
        <f>IF(AND(B828="",C828=""),"",IF(C828="","Needs the item",IF(B828="","Needs a room",IF(COUNTIF(Rooms!$B$6:$B$35,B828)=0,"Not on Rooms",IF(AND(H828&lt;&gt;"",NOT(ISNUMBER(H828))),"Paid not a number",IF(AND(I828&lt;&gt;"",NOT(ISNUMBER(I828))),"Worth not a number",IF(AND(G828&lt;&gt;"",NOT(ISNUMBER(G828))),"Bought is not a date",IF(AND(L828&lt;&gt;"",NOT(ISNUMBER(L828))),"Warranty is not a date",""))))))))</f>
        <v/>
      </c>
      <c r="S828" s="1">
        <f>IF(AND(C828&lt;&gt;"",R828=""),1,0)</f>
        <v/>
      </c>
      <c r="T828">
        <f>IF(S828=1,N(N828),0)</f>
        <v/>
      </c>
      <c r="U828">
        <f>IF(AND(S828=1,T828&gt;0),ROUND(T828*100,0)*10000+10000-ROW(),"")</f>
        <v/>
      </c>
      <c r="V828">
        <f>IF(AND(S828=1,OR(Report!$C$5="",B828=Report!$C$5)),MATCH(B828,Rooms!$B$6:$B$35,0)*10000+ROW(),"")</f>
        <v/>
      </c>
      <c r="W828">
        <f>IF(AND(S828=1,OR(J828="",J828="No")),1,0)</f>
        <v/>
      </c>
      <c r="X828">
        <f>IF(AND(S828=1,K828=""),1,0)</f>
        <v/>
      </c>
      <c r="Y828">
        <f>IF(AND(S828=1,Q828&lt;&gt;""),ROUND(T828*100,0)*10000+10000-ROW(),"")</f>
        <v/>
      </c>
    </row>
    <row r="829">
      <c r="A829" s="1" t="n"/>
      <c r="B829" s="17" t="n"/>
      <c r="C829" s="18" t="n"/>
      <c r="D829" s="17" t="n"/>
      <c r="E829" s="19" t="n"/>
      <c r="F829" s="19" t="n"/>
      <c r="G829" s="20" t="n"/>
      <c r="H829" s="21" t="n"/>
      <c r="I829" s="21" t="n"/>
      <c r="J829" s="17" t="n"/>
      <c r="K829" s="19" t="n"/>
      <c r="L829" s="20" t="n"/>
      <c r="M829" s="19" t="n"/>
      <c r="N829" s="22">
        <f>IF(C829="","",IF(ISNUMBER(I829),I829,IF(ISNUMBER(H829),H829,"")))</f>
        <v/>
      </c>
      <c r="O829" s="23">
        <f>IF(OR(C829="",NOT(ISNUMBER(G829))),"",(TODAY()-INT(G829))/365.25)</f>
        <v/>
      </c>
      <c r="P829" s="13">
        <f>IF(OR(C829="",NOT(ISNUMBER(L829))),"",IF(L829&lt;TODAY(),"Ended",IF(L829-TODAY()&lt;=N(Settings!$C$10),"Ends soon","Covered")))</f>
        <v/>
      </c>
      <c r="Q829" s="13">
        <f>IF(C829="","",MID(IF(N829="",", value","")&amp;IF(OR(J829="",J829="No"),", receipt","")&amp;IF(K829="",", photo",""),3,100))</f>
        <v/>
      </c>
      <c r="R829" s="13">
        <f>IF(AND(B829="",C829=""),"",IF(C829="","Needs the item",IF(B829="","Needs a room",IF(COUNTIF(Rooms!$B$6:$B$35,B829)=0,"Not on Rooms",IF(AND(H829&lt;&gt;"",NOT(ISNUMBER(H829))),"Paid not a number",IF(AND(I829&lt;&gt;"",NOT(ISNUMBER(I829))),"Worth not a number",IF(AND(G829&lt;&gt;"",NOT(ISNUMBER(G829))),"Bought is not a date",IF(AND(L829&lt;&gt;"",NOT(ISNUMBER(L829))),"Warranty is not a date",""))))))))</f>
        <v/>
      </c>
      <c r="S829" s="1">
        <f>IF(AND(C829&lt;&gt;"",R829=""),1,0)</f>
        <v/>
      </c>
      <c r="T829">
        <f>IF(S829=1,N(N829),0)</f>
        <v/>
      </c>
      <c r="U829">
        <f>IF(AND(S829=1,T829&gt;0),ROUND(T829*100,0)*10000+10000-ROW(),"")</f>
        <v/>
      </c>
      <c r="V829">
        <f>IF(AND(S829=1,OR(Report!$C$5="",B829=Report!$C$5)),MATCH(B829,Rooms!$B$6:$B$35,0)*10000+ROW(),"")</f>
        <v/>
      </c>
      <c r="W829">
        <f>IF(AND(S829=1,OR(J829="",J829="No")),1,0)</f>
        <v/>
      </c>
      <c r="X829">
        <f>IF(AND(S829=1,K829=""),1,0)</f>
        <v/>
      </c>
      <c r="Y829">
        <f>IF(AND(S829=1,Q829&lt;&gt;""),ROUND(T829*100,0)*10000+10000-ROW(),"")</f>
        <v/>
      </c>
    </row>
    <row r="830">
      <c r="A830" s="1" t="n"/>
      <c r="B830" s="17" t="n"/>
      <c r="C830" s="18" t="n"/>
      <c r="D830" s="17" t="n"/>
      <c r="E830" s="19" t="n"/>
      <c r="F830" s="19" t="n"/>
      <c r="G830" s="20" t="n"/>
      <c r="H830" s="21" t="n"/>
      <c r="I830" s="21" t="n"/>
      <c r="J830" s="17" t="n"/>
      <c r="K830" s="19" t="n"/>
      <c r="L830" s="20" t="n"/>
      <c r="M830" s="19" t="n"/>
      <c r="N830" s="22">
        <f>IF(C830="","",IF(ISNUMBER(I830),I830,IF(ISNUMBER(H830),H830,"")))</f>
        <v/>
      </c>
      <c r="O830" s="23">
        <f>IF(OR(C830="",NOT(ISNUMBER(G830))),"",(TODAY()-INT(G830))/365.25)</f>
        <v/>
      </c>
      <c r="P830" s="13">
        <f>IF(OR(C830="",NOT(ISNUMBER(L830))),"",IF(L830&lt;TODAY(),"Ended",IF(L830-TODAY()&lt;=N(Settings!$C$10),"Ends soon","Covered")))</f>
        <v/>
      </c>
      <c r="Q830" s="13">
        <f>IF(C830="","",MID(IF(N830="",", value","")&amp;IF(OR(J830="",J830="No"),", receipt","")&amp;IF(K830="",", photo",""),3,100))</f>
        <v/>
      </c>
      <c r="R830" s="13">
        <f>IF(AND(B830="",C830=""),"",IF(C830="","Needs the item",IF(B830="","Needs a room",IF(COUNTIF(Rooms!$B$6:$B$35,B830)=0,"Not on Rooms",IF(AND(H830&lt;&gt;"",NOT(ISNUMBER(H830))),"Paid not a number",IF(AND(I830&lt;&gt;"",NOT(ISNUMBER(I830))),"Worth not a number",IF(AND(G830&lt;&gt;"",NOT(ISNUMBER(G830))),"Bought is not a date",IF(AND(L830&lt;&gt;"",NOT(ISNUMBER(L830))),"Warranty is not a date",""))))))))</f>
        <v/>
      </c>
      <c r="S830" s="1">
        <f>IF(AND(C830&lt;&gt;"",R830=""),1,0)</f>
        <v/>
      </c>
      <c r="T830">
        <f>IF(S830=1,N(N830),0)</f>
        <v/>
      </c>
      <c r="U830">
        <f>IF(AND(S830=1,T830&gt;0),ROUND(T830*100,0)*10000+10000-ROW(),"")</f>
        <v/>
      </c>
      <c r="V830">
        <f>IF(AND(S830=1,OR(Report!$C$5="",B830=Report!$C$5)),MATCH(B830,Rooms!$B$6:$B$35,0)*10000+ROW(),"")</f>
        <v/>
      </c>
      <c r="W830">
        <f>IF(AND(S830=1,OR(J830="",J830="No")),1,0)</f>
        <v/>
      </c>
      <c r="X830">
        <f>IF(AND(S830=1,K830=""),1,0)</f>
        <v/>
      </c>
      <c r="Y830">
        <f>IF(AND(S830=1,Q830&lt;&gt;""),ROUND(T830*100,0)*10000+10000-ROW(),"")</f>
        <v/>
      </c>
    </row>
    <row r="831">
      <c r="A831" s="1" t="n"/>
      <c r="B831" s="17" t="n"/>
      <c r="C831" s="18" t="n"/>
      <c r="D831" s="17" t="n"/>
      <c r="E831" s="19" t="n"/>
      <c r="F831" s="19" t="n"/>
      <c r="G831" s="20" t="n"/>
      <c r="H831" s="21" t="n"/>
      <c r="I831" s="21" t="n"/>
      <c r="J831" s="17" t="n"/>
      <c r="K831" s="19" t="n"/>
      <c r="L831" s="20" t="n"/>
      <c r="M831" s="19" t="n"/>
      <c r="N831" s="22">
        <f>IF(C831="","",IF(ISNUMBER(I831),I831,IF(ISNUMBER(H831),H831,"")))</f>
        <v/>
      </c>
      <c r="O831" s="23">
        <f>IF(OR(C831="",NOT(ISNUMBER(G831))),"",(TODAY()-INT(G831))/365.25)</f>
        <v/>
      </c>
      <c r="P831" s="13">
        <f>IF(OR(C831="",NOT(ISNUMBER(L831))),"",IF(L831&lt;TODAY(),"Ended",IF(L831-TODAY()&lt;=N(Settings!$C$10),"Ends soon","Covered")))</f>
        <v/>
      </c>
      <c r="Q831" s="13">
        <f>IF(C831="","",MID(IF(N831="",", value","")&amp;IF(OR(J831="",J831="No"),", receipt","")&amp;IF(K831="",", photo",""),3,100))</f>
        <v/>
      </c>
      <c r="R831" s="13">
        <f>IF(AND(B831="",C831=""),"",IF(C831="","Needs the item",IF(B831="","Needs a room",IF(COUNTIF(Rooms!$B$6:$B$35,B831)=0,"Not on Rooms",IF(AND(H831&lt;&gt;"",NOT(ISNUMBER(H831))),"Paid not a number",IF(AND(I831&lt;&gt;"",NOT(ISNUMBER(I831))),"Worth not a number",IF(AND(G831&lt;&gt;"",NOT(ISNUMBER(G831))),"Bought is not a date",IF(AND(L831&lt;&gt;"",NOT(ISNUMBER(L831))),"Warranty is not a date",""))))))))</f>
        <v/>
      </c>
      <c r="S831" s="1">
        <f>IF(AND(C831&lt;&gt;"",R831=""),1,0)</f>
        <v/>
      </c>
      <c r="T831">
        <f>IF(S831=1,N(N831),0)</f>
        <v/>
      </c>
      <c r="U831">
        <f>IF(AND(S831=1,T831&gt;0),ROUND(T831*100,0)*10000+10000-ROW(),"")</f>
        <v/>
      </c>
      <c r="V831">
        <f>IF(AND(S831=1,OR(Report!$C$5="",B831=Report!$C$5)),MATCH(B831,Rooms!$B$6:$B$35,0)*10000+ROW(),"")</f>
        <v/>
      </c>
      <c r="W831">
        <f>IF(AND(S831=1,OR(J831="",J831="No")),1,0)</f>
        <v/>
      </c>
      <c r="X831">
        <f>IF(AND(S831=1,K831=""),1,0)</f>
        <v/>
      </c>
      <c r="Y831">
        <f>IF(AND(S831=1,Q831&lt;&gt;""),ROUND(T831*100,0)*10000+10000-ROW(),"")</f>
        <v/>
      </c>
    </row>
    <row r="832">
      <c r="A832" s="1" t="n"/>
      <c r="B832" s="17" t="n"/>
      <c r="C832" s="18" t="n"/>
      <c r="D832" s="17" t="n"/>
      <c r="E832" s="19" t="n"/>
      <c r="F832" s="19" t="n"/>
      <c r="G832" s="20" t="n"/>
      <c r="H832" s="21" t="n"/>
      <c r="I832" s="21" t="n"/>
      <c r="J832" s="17" t="n"/>
      <c r="K832" s="19" t="n"/>
      <c r="L832" s="20" t="n"/>
      <c r="M832" s="19" t="n"/>
      <c r="N832" s="22">
        <f>IF(C832="","",IF(ISNUMBER(I832),I832,IF(ISNUMBER(H832),H832,"")))</f>
        <v/>
      </c>
      <c r="O832" s="23">
        <f>IF(OR(C832="",NOT(ISNUMBER(G832))),"",(TODAY()-INT(G832))/365.25)</f>
        <v/>
      </c>
      <c r="P832" s="13">
        <f>IF(OR(C832="",NOT(ISNUMBER(L832))),"",IF(L832&lt;TODAY(),"Ended",IF(L832-TODAY()&lt;=N(Settings!$C$10),"Ends soon","Covered")))</f>
        <v/>
      </c>
      <c r="Q832" s="13">
        <f>IF(C832="","",MID(IF(N832="",", value","")&amp;IF(OR(J832="",J832="No"),", receipt","")&amp;IF(K832="",", photo",""),3,100))</f>
        <v/>
      </c>
      <c r="R832" s="13">
        <f>IF(AND(B832="",C832=""),"",IF(C832="","Needs the item",IF(B832="","Needs a room",IF(COUNTIF(Rooms!$B$6:$B$35,B832)=0,"Not on Rooms",IF(AND(H832&lt;&gt;"",NOT(ISNUMBER(H832))),"Paid not a number",IF(AND(I832&lt;&gt;"",NOT(ISNUMBER(I832))),"Worth not a number",IF(AND(G832&lt;&gt;"",NOT(ISNUMBER(G832))),"Bought is not a date",IF(AND(L832&lt;&gt;"",NOT(ISNUMBER(L832))),"Warranty is not a date",""))))))))</f>
        <v/>
      </c>
      <c r="S832" s="1">
        <f>IF(AND(C832&lt;&gt;"",R832=""),1,0)</f>
        <v/>
      </c>
      <c r="T832">
        <f>IF(S832=1,N(N832),0)</f>
        <v/>
      </c>
      <c r="U832">
        <f>IF(AND(S832=1,T832&gt;0),ROUND(T832*100,0)*10000+10000-ROW(),"")</f>
        <v/>
      </c>
      <c r="V832">
        <f>IF(AND(S832=1,OR(Report!$C$5="",B832=Report!$C$5)),MATCH(B832,Rooms!$B$6:$B$35,0)*10000+ROW(),"")</f>
        <v/>
      </c>
      <c r="W832">
        <f>IF(AND(S832=1,OR(J832="",J832="No")),1,0)</f>
        <v/>
      </c>
      <c r="X832">
        <f>IF(AND(S832=1,K832=""),1,0)</f>
        <v/>
      </c>
      <c r="Y832">
        <f>IF(AND(S832=1,Q832&lt;&gt;""),ROUND(T832*100,0)*10000+10000-ROW(),"")</f>
        <v/>
      </c>
    </row>
    <row r="833">
      <c r="A833" s="1" t="n"/>
      <c r="B833" s="17" t="n"/>
      <c r="C833" s="18" t="n"/>
      <c r="D833" s="17" t="n"/>
      <c r="E833" s="19" t="n"/>
      <c r="F833" s="19" t="n"/>
      <c r="G833" s="20" t="n"/>
      <c r="H833" s="21" t="n"/>
      <c r="I833" s="21" t="n"/>
      <c r="J833" s="17" t="n"/>
      <c r="K833" s="19" t="n"/>
      <c r="L833" s="20" t="n"/>
      <c r="M833" s="19" t="n"/>
      <c r="N833" s="22">
        <f>IF(C833="","",IF(ISNUMBER(I833),I833,IF(ISNUMBER(H833),H833,"")))</f>
        <v/>
      </c>
      <c r="O833" s="23">
        <f>IF(OR(C833="",NOT(ISNUMBER(G833))),"",(TODAY()-INT(G833))/365.25)</f>
        <v/>
      </c>
      <c r="P833" s="13">
        <f>IF(OR(C833="",NOT(ISNUMBER(L833))),"",IF(L833&lt;TODAY(),"Ended",IF(L833-TODAY()&lt;=N(Settings!$C$10),"Ends soon","Covered")))</f>
        <v/>
      </c>
      <c r="Q833" s="13">
        <f>IF(C833="","",MID(IF(N833="",", value","")&amp;IF(OR(J833="",J833="No"),", receipt","")&amp;IF(K833="",", photo",""),3,100))</f>
        <v/>
      </c>
      <c r="R833" s="13">
        <f>IF(AND(B833="",C833=""),"",IF(C833="","Needs the item",IF(B833="","Needs a room",IF(COUNTIF(Rooms!$B$6:$B$35,B833)=0,"Not on Rooms",IF(AND(H833&lt;&gt;"",NOT(ISNUMBER(H833))),"Paid not a number",IF(AND(I833&lt;&gt;"",NOT(ISNUMBER(I833))),"Worth not a number",IF(AND(G833&lt;&gt;"",NOT(ISNUMBER(G833))),"Bought is not a date",IF(AND(L833&lt;&gt;"",NOT(ISNUMBER(L833))),"Warranty is not a date",""))))))))</f>
        <v/>
      </c>
      <c r="S833" s="1">
        <f>IF(AND(C833&lt;&gt;"",R833=""),1,0)</f>
        <v/>
      </c>
      <c r="T833">
        <f>IF(S833=1,N(N833),0)</f>
        <v/>
      </c>
      <c r="U833">
        <f>IF(AND(S833=1,T833&gt;0),ROUND(T833*100,0)*10000+10000-ROW(),"")</f>
        <v/>
      </c>
      <c r="V833">
        <f>IF(AND(S833=1,OR(Report!$C$5="",B833=Report!$C$5)),MATCH(B833,Rooms!$B$6:$B$35,0)*10000+ROW(),"")</f>
        <v/>
      </c>
      <c r="W833">
        <f>IF(AND(S833=1,OR(J833="",J833="No")),1,0)</f>
        <v/>
      </c>
      <c r="X833">
        <f>IF(AND(S833=1,K833=""),1,0)</f>
        <v/>
      </c>
      <c r="Y833">
        <f>IF(AND(S833=1,Q833&lt;&gt;""),ROUND(T833*100,0)*10000+10000-ROW(),"")</f>
        <v/>
      </c>
    </row>
    <row r="834">
      <c r="A834" s="1" t="n"/>
      <c r="B834" s="17" t="n"/>
      <c r="C834" s="18" t="n"/>
      <c r="D834" s="17" t="n"/>
      <c r="E834" s="19" t="n"/>
      <c r="F834" s="19" t="n"/>
      <c r="G834" s="20" t="n"/>
      <c r="H834" s="21" t="n"/>
      <c r="I834" s="21" t="n"/>
      <c r="J834" s="17" t="n"/>
      <c r="K834" s="19" t="n"/>
      <c r="L834" s="20" t="n"/>
      <c r="M834" s="19" t="n"/>
      <c r="N834" s="22">
        <f>IF(C834="","",IF(ISNUMBER(I834),I834,IF(ISNUMBER(H834),H834,"")))</f>
        <v/>
      </c>
      <c r="O834" s="23">
        <f>IF(OR(C834="",NOT(ISNUMBER(G834))),"",(TODAY()-INT(G834))/365.25)</f>
        <v/>
      </c>
      <c r="P834" s="13">
        <f>IF(OR(C834="",NOT(ISNUMBER(L834))),"",IF(L834&lt;TODAY(),"Ended",IF(L834-TODAY()&lt;=N(Settings!$C$10),"Ends soon","Covered")))</f>
        <v/>
      </c>
      <c r="Q834" s="13">
        <f>IF(C834="","",MID(IF(N834="",", value","")&amp;IF(OR(J834="",J834="No"),", receipt","")&amp;IF(K834="",", photo",""),3,100))</f>
        <v/>
      </c>
      <c r="R834" s="13">
        <f>IF(AND(B834="",C834=""),"",IF(C834="","Needs the item",IF(B834="","Needs a room",IF(COUNTIF(Rooms!$B$6:$B$35,B834)=0,"Not on Rooms",IF(AND(H834&lt;&gt;"",NOT(ISNUMBER(H834))),"Paid not a number",IF(AND(I834&lt;&gt;"",NOT(ISNUMBER(I834))),"Worth not a number",IF(AND(G834&lt;&gt;"",NOT(ISNUMBER(G834))),"Bought is not a date",IF(AND(L834&lt;&gt;"",NOT(ISNUMBER(L834))),"Warranty is not a date",""))))))))</f>
        <v/>
      </c>
      <c r="S834" s="1">
        <f>IF(AND(C834&lt;&gt;"",R834=""),1,0)</f>
        <v/>
      </c>
      <c r="T834">
        <f>IF(S834=1,N(N834),0)</f>
        <v/>
      </c>
      <c r="U834">
        <f>IF(AND(S834=1,T834&gt;0),ROUND(T834*100,0)*10000+10000-ROW(),"")</f>
        <v/>
      </c>
      <c r="V834">
        <f>IF(AND(S834=1,OR(Report!$C$5="",B834=Report!$C$5)),MATCH(B834,Rooms!$B$6:$B$35,0)*10000+ROW(),"")</f>
        <v/>
      </c>
      <c r="W834">
        <f>IF(AND(S834=1,OR(J834="",J834="No")),1,0)</f>
        <v/>
      </c>
      <c r="X834">
        <f>IF(AND(S834=1,K834=""),1,0)</f>
        <v/>
      </c>
      <c r="Y834">
        <f>IF(AND(S834=1,Q834&lt;&gt;""),ROUND(T834*100,0)*10000+10000-ROW(),"")</f>
        <v/>
      </c>
    </row>
    <row r="835">
      <c r="A835" s="1" t="n"/>
      <c r="B835" s="17" t="n"/>
      <c r="C835" s="18" t="n"/>
      <c r="D835" s="17" t="n"/>
      <c r="E835" s="19" t="n"/>
      <c r="F835" s="19" t="n"/>
      <c r="G835" s="20" t="n"/>
      <c r="H835" s="21" t="n"/>
      <c r="I835" s="21" t="n"/>
      <c r="J835" s="17" t="n"/>
      <c r="K835" s="19" t="n"/>
      <c r="L835" s="20" t="n"/>
      <c r="M835" s="19" t="n"/>
      <c r="N835" s="22">
        <f>IF(C835="","",IF(ISNUMBER(I835),I835,IF(ISNUMBER(H835),H835,"")))</f>
        <v/>
      </c>
      <c r="O835" s="23">
        <f>IF(OR(C835="",NOT(ISNUMBER(G835))),"",(TODAY()-INT(G835))/365.25)</f>
        <v/>
      </c>
      <c r="P835" s="13">
        <f>IF(OR(C835="",NOT(ISNUMBER(L835))),"",IF(L835&lt;TODAY(),"Ended",IF(L835-TODAY()&lt;=N(Settings!$C$10),"Ends soon","Covered")))</f>
        <v/>
      </c>
      <c r="Q835" s="13">
        <f>IF(C835="","",MID(IF(N835="",", value","")&amp;IF(OR(J835="",J835="No"),", receipt","")&amp;IF(K835="",", photo",""),3,100))</f>
        <v/>
      </c>
      <c r="R835" s="13">
        <f>IF(AND(B835="",C835=""),"",IF(C835="","Needs the item",IF(B835="","Needs a room",IF(COUNTIF(Rooms!$B$6:$B$35,B835)=0,"Not on Rooms",IF(AND(H835&lt;&gt;"",NOT(ISNUMBER(H835))),"Paid not a number",IF(AND(I835&lt;&gt;"",NOT(ISNUMBER(I835))),"Worth not a number",IF(AND(G835&lt;&gt;"",NOT(ISNUMBER(G835))),"Bought is not a date",IF(AND(L835&lt;&gt;"",NOT(ISNUMBER(L835))),"Warranty is not a date",""))))))))</f>
        <v/>
      </c>
      <c r="S835" s="1">
        <f>IF(AND(C835&lt;&gt;"",R835=""),1,0)</f>
        <v/>
      </c>
      <c r="T835">
        <f>IF(S835=1,N(N835),0)</f>
        <v/>
      </c>
      <c r="U835">
        <f>IF(AND(S835=1,T835&gt;0),ROUND(T835*100,0)*10000+10000-ROW(),"")</f>
        <v/>
      </c>
      <c r="V835">
        <f>IF(AND(S835=1,OR(Report!$C$5="",B835=Report!$C$5)),MATCH(B835,Rooms!$B$6:$B$35,0)*10000+ROW(),"")</f>
        <v/>
      </c>
      <c r="W835">
        <f>IF(AND(S835=1,OR(J835="",J835="No")),1,0)</f>
        <v/>
      </c>
      <c r="X835">
        <f>IF(AND(S835=1,K835=""),1,0)</f>
        <v/>
      </c>
      <c r="Y835">
        <f>IF(AND(S835=1,Q835&lt;&gt;""),ROUND(T835*100,0)*10000+10000-ROW(),"")</f>
        <v/>
      </c>
    </row>
    <row r="836">
      <c r="A836" s="1" t="n"/>
      <c r="B836" s="17" t="n"/>
      <c r="C836" s="18" t="n"/>
      <c r="D836" s="17" t="n"/>
      <c r="E836" s="19" t="n"/>
      <c r="F836" s="19" t="n"/>
      <c r="G836" s="20" t="n"/>
      <c r="H836" s="21" t="n"/>
      <c r="I836" s="21" t="n"/>
      <c r="J836" s="17" t="n"/>
      <c r="K836" s="19" t="n"/>
      <c r="L836" s="20" t="n"/>
      <c r="M836" s="19" t="n"/>
      <c r="N836" s="22">
        <f>IF(C836="","",IF(ISNUMBER(I836),I836,IF(ISNUMBER(H836),H836,"")))</f>
        <v/>
      </c>
      <c r="O836" s="23">
        <f>IF(OR(C836="",NOT(ISNUMBER(G836))),"",(TODAY()-INT(G836))/365.25)</f>
        <v/>
      </c>
      <c r="P836" s="13">
        <f>IF(OR(C836="",NOT(ISNUMBER(L836))),"",IF(L836&lt;TODAY(),"Ended",IF(L836-TODAY()&lt;=N(Settings!$C$10),"Ends soon","Covered")))</f>
        <v/>
      </c>
      <c r="Q836" s="13">
        <f>IF(C836="","",MID(IF(N836="",", value","")&amp;IF(OR(J836="",J836="No"),", receipt","")&amp;IF(K836="",", photo",""),3,100))</f>
        <v/>
      </c>
      <c r="R836" s="13">
        <f>IF(AND(B836="",C836=""),"",IF(C836="","Needs the item",IF(B836="","Needs a room",IF(COUNTIF(Rooms!$B$6:$B$35,B836)=0,"Not on Rooms",IF(AND(H836&lt;&gt;"",NOT(ISNUMBER(H836))),"Paid not a number",IF(AND(I836&lt;&gt;"",NOT(ISNUMBER(I836))),"Worth not a number",IF(AND(G836&lt;&gt;"",NOT(ISNUMBER(G836))),"Bought is not a date",IF(AND(L836&lt;&gt;"",NOT(ISNUMBER(L836))),"Warranty is not a date",""))))))))</f>
        <v/>
      </c>
      <c r="S836" s="1">
        <f>IF(AND(C836&lt;&gt;"",R836=""),1,0)</f>
        <v/>
      </c>
      <c r="T836">
        <f>IF(S836=1,N(N836),0)</f>
        <v/>
      </c>
      <c r="U836">
        <f>IF(AND(S836=1,T836&gt;0),ROUND(T836*100,0)*10000+10000-ROW(),"")</f>
        <v/>
      </c>
      <c r="V836">
        <f>IF(AND(S836=1,OR(Report!$C$5="",B836=Report!$C$5)),MATCH(B836,Rooms!$B$6:$B$35,0)*10000+ROW(),"")</f>
        <v/>
      </c>
      <c r="W836">
        <f>IF(AND(S836=1,OR(J836="",J836="No")),1,0)</f>
        <v/>
      </c>
      <c r="X836">
        <f>IF(AND(S836=1,K836=""),1,0)</f>
        <v/>
      </c>
      <c r="Y836">
        <f>IF(AND(S836=1,Q836&lt;&gt;""),ROUND(T836*100,0)*10000+10000-ROW(),"")</f>
        <v/>
      </c>
    </row>
    <row r="837">
      <c r="A837" s="1" t="n"/>
      <c r="B837" s="17" t="n"/>
      <c r="C837" s="18" t="n"/>
      <c r="D837" s="17" t="n"/>
      <c r="E837" s="19" t="n"/>
      <c r="F837" s="19" t="n"/>
      <c r="G837" s="20" t="n"/>
      <c r="H837" s="21" t="n"/>
      <c r="I837" s="21" t="n"/>
      <c r="J837" s="17" t="n"/>
      <c r="K837" s="19" t="n"/>
      <c r="L837" s="20" t="n"/>
      <c r="M837" s="19" t="n"/>
      <c r="N837" s="22">
        <f>IF(C837="","",IF(ISNUMBER(I837),I837,IF(ISNUMBER(H837),H837,"")))</f>
        <v/>
      </c>
      <c r="O837" s="23">
        <f>IF(OR(C837="",NOT(ISNUMBER(G837))),"",(TODAY()-INT(G837))/365.25)</f>
        <v/>
      </c>
      <c r="P837" s="13">
        <f>IF(OR(C837="",NOT(ISNUMBER(L837))),"",IF(L837&lt;TODAY(),"Ended",IF(L837-TODAY()&lt;=N(Settings!$C$10),"Ends soon","Covered")))</f>
        <v/>
      </c>
      <c r="Q837" s="13">
        <f>IF(C837="","",MID(IF(N837="",", value","")&amp;IF(OR(J837="",J837="No"),", receipt","")&amp;IF(K837="",", photo",""),3,100))</f>
        <v/>
      </c>
      <c r="R837" s="13">
        <f>IF(AND(B837="",C837=""),"",IF(C837="","Needs the item",IF(B837="","Needs a room",IF(COUNTIF(Rooms!$B$6:$B$35,B837)=0,"Not on Rooms",IF(AND(H837&lt;&gt;"",NOT(ISNUMBER(H837))),"Paid not a number",IF(AND(I837&lt;&gt;"",NOT(ISNUMBER(I837))),"Worth not a number",IF(AND(G837&lt;&gt;"",NOT(ISNUMBER(G837))),"Bought is not a date",IF(AND(L837&lt;&gt;"",NOT(ISNUMBER(L837))),"Warranty is not a date",""))))))))</f>
        <v/>
      </c>
      <c r="S837" s="1">
        <f>IF(AND(C837&lt;&gt;"",R837=""),1,0)</f>
        <v/>
      </c>
      <c r="T837">
        <f>IF(S837=1,N(N837),0)</f>
        <v/>
      </c>
      <c r="U837">
        <f>IF(AND(S837=1,T837&gt;0),ROUND(T837*100,0)*10000+10000-ROW(),"")</f>
        <v/>
      </c>
      <c r="V837">
        <f>IF(AND(S837=1,OR(Report!$C$5="",B837=Report!$C$5)),MATCH(B837,Rooms!$B$6:$B$35,0)*10000+ROW(),"")</f>
        <v/>
      </c>
      <c r="W837">
        <f>IF(AND(S837=1,OR(J837="",J837="No")),1,0)</f>
        <v/>
      </c>
      <c r="X837">
        <f>IF(AND(S837=1,K837=""),1,0)</f>
        <v/>
      </c>
      <c r="Y837">
        <f>IF(AND(S837=1,Q837&lt;&gt;""),ROUND(T837*100,0)*10000+10000-ROW(),"")</f>
        <v/>
      </c>
    </row>
    <row r="838">
      <c r="A838" s="1" t="n"/>
      <c r="B838" s="17" t="n"/>
      <c r="C838" s="18" t="n"/>
      <c r="D838" s="17" t="n"/>
      <c r="E838" s="19" t="n"/>
      <c r="F838" s="19" t="n"/>
      <c r="G838" s="20" t="n"/>
      <c r="H838" s="21" t="n"/>
      <c r="I838" s="21" t="n"/>
      <c r="J838" s="17" t="n"/>
      <c r="K838" s="19" t="n"/>
      <c r="L838" s="20" t="n"/>
      <c r="M838" s="19" t="n"/>
      <c r="N838" s="22">
        <f>IF(C838="","",IF(ISNUMBER(I838),I838,IF(ISNUMBER(H838),H838,"")))</f>
        <v/>
      </c>
      <c r="O838" s="23">
        <f>IF(OR(C838="",NOT(ISNUMBER(G838))),"",(TODAY()-INT(G838))/365.25)</f>
        <v/>
      </c>
      <c r="P838" s="13">
        <f>IF(OR(C838="",NOT(ISNUMBER(L838))),"",IF(L838&lt;TODAY(),"Ended",IF(L838-TODAY()&lt;=N(Settings!$C$10),"Ends soon","Covered")))</f>
        <v/>
      </c>
      <c r="Q838" s="13">
        <f>IF(C838="","",MID(IF(N838="",", value","")&amp;IF(OR(J838="",J838="No"),", receipt","")&amp;IF(K838="",", photo",""),3,100))</f>
        <v/>
      </c>
      <c r="R838" s="13">
        <f>IF(AND(B838="",C838=""),"",IF(C838="","Needs the item",IF(B838="","Needs a room",IF(COUNTIF(Rooms!$B$6:$B$35,B838)=0,"Not on Rooms",IF(AND(H838&lt;&gt;"",NOT(ISNUMBER(H838))),"Paid not a number",IF(AND(I838&lt;&gt;"",NOT(ISNUMBER(I838))),"Worth not a number",IF(AND(G838&lt;&gt;"",NOT(ISNUMBER(G838))),"Bought is not a date",IF(AND(L838&lt;&gt;"",NOT(ISNUMBER(L838))),"Warranty is not a date",""))))))))</f>
        <v/>
      </c>
      <c r="S838" s="1">
        <f>IF(AND(C838&lt;&gt;"",R838=""),1,0)</f>
        <v/>
      </c>
      <c r="T838">
        <f>IF(S838=1,N(N838),0)</f>
        <v/>
      </c>
      <c r="U838">
        <f>IF(AND(S838=1,T838&gt;0),ROUND(T838*100,0)*10000+10000-ROW(),"")</f>
        <v/>
      </c>
      <c r="V838">
        <f>IF(AND(S838=1,OR(Report!$C$5="",B838=Report!$C$5)),MATCH(B838,Rooms!$B$6:$B$35,0)*10000+ROW(),"")</f>
        <v/>
      </c>
      <c r="W838">
        <f>IF(AND(S838=1,OR(J838="",J838="No")),1,0)</f>
        <v/>
      </c>
      <c r="X838">
        <f>IF(AND(S838=1,K838=""),1,0)</f>
        <v/>
      </c>
      <c r="Y838">
        <f>IF(AND(S838=1,Q838&lt;&gt;""),ROUND(T838*100,0)*10000+10000-ROW(),"")</f>
        <v/>
      </c>
    </row>
    <row r="839">
      <c r="A839" s="1" t="n"/>
      <c r="B839" s="17" t="n"/>
      <c r="C839" s="18" t="n"/>
      <c r="D839" s="17" t="n"/>
      <c r="E839" s="19" t="n"/>
      <c r="F839" s="19" t="n"/>
      <c r="G839" s="20" t="n"/>
      <c r="H839" s="21" t="n"/>
      <c r="I839" s="21" t="n"/>
      <c r="J839" s="17" t="n"/>
      <c r="K839" s="19" t="n"/>
      <c r="L839" s="20" t="n"/>
      <c r="M839" s="19" t="n"/>
      <c r="N839" s="22">
        <f>IF(C839="","",IF(ISNUMBER(I839),I839,IF(ISNUMBER(H839),H839,"")))</f>
        <v/>
      </c>
      <c r="O839" s="23">
        <f>IF(OR(C839="",NOT(ISNUMBER(G839))),"",(TODAY()-INT(G839))/365.25)</f>
        <v/>
      </c>
      <c r="P839" s="13">
        <f>IF(OR(C839="",NOT(ISNUMBER(L839))),"",IF(L839&lt;TODAY(),"Ended",IF(L839-TODAY()&lt;=N(Settings!$C$10),"Ends soon","Covered")))</f>
        <v/>
      </c>
      <c r="Q839" s="13">
        <f>IF(C839="","",MID(IF(N839="",", value","")&amp;IF(OR(J839="",J839="No"),", receipt","")&amp;IF(K839="",", photo",""),3,100))</f>
        <v/>
      </c>
      <c r="R839" s="13">
        <f>IF(AND(B839="",C839=""),"",IF(C839="","Needs the item",IF(B839="","Needs a room",IF(COUNTIF(Rooms!$B$6:$B$35,B839)=0,"Not on Rooms",IF(AND(H839&lt;&gt;"",NOT(ISNUMBER(H839))),"Paid not a number",IF(AND(I839&lt;&gt;"",NOT(ISNUMBER(I839))),"Worth not a number",IF(AND(G839&lt;&gt;"",NOT(ISNUMBER(G839))),"Bought is not a date",IF(AND(L839&lt;&gt;"",NOT(ISNUMBER(L839))),"Warranty is not a date",""))))))))</f>
        <v/>
      </c>
      <c r="S839" s="1">
        <f>IF(AND(C839&lt;&gt;"",R839=""),1,0)</f>
        <v/>
      </c>
      <c r="T839">
        <f>IF(S839=1,N(N839),0)</f>
        <v/>
      </c>
      <c r="U839">
        <f>IF(AND(S839=1,T839&gt;0),ROUND(T839*100,0)*10000+10000-ROW(),"")</f>
        <v/>
      </c>
      <c r="V839">
        <f>IF(AND(S839=1,OR(Report!$C$5="",B839=Report!$C$5)),MATCH(B839,Rooms!$B$6:$B$35,0)*10000+ROW(),"")</f>
        <v/>
      </c>
      <c r="W839">
        <f>IF(AND(S839=1,OR(J839="",J839="No")),1,0)</f>
        <v/>
      </c>
      <c r="X839">
        <f>IF(AND(S839=1,K839=""),1,0)</f>
        <v/>
      </c>
      <c r="Y839">
        <f>IF(AND(S839=1,Q839&lt;&gt;""),ROUND(T839*100,0)*10000+10000-ROW(),"")</f>
        <v/>
      </c>
    </row>
    <row r="840">
      <c r="A840" s="1" t="n"/>
      <c r="B840" s="17" t="n"/>
      <c r="C840" s="18" t="n"/>
      <c r="D840" s="17" t="n"/>
      <c r="E840" s="19" t="n"/>
      <c r="F840" s="19" t="n"/>
      <c r="G840" s="20" t="n"/>
      <c r="H840" s="21" t="n"/>
      <c r="I840" s="21" t="n"/>
      <c r="J840" s="17" t="n"/>
      <c r="K840" s="19" t="n"/>
      <c r="L840" s="20" t="n"/>
      <c r="M840" s="19" t="n"/>
      <c r="N840" s="22">
        <f>IF(C840="","",IF(ISNUMBER(I840),I840,IF(ISNUMBER(H840),H840,"")))</f>
        <v/>
      </c>
      <c r="O840" s="23">
        <f>IF(OR(C840="",NOT(ISNUMBER(G840))),"",(TODAY()-INT(G840))/365.25)</f>
        <v/>
      </c>
      <c r="P840" s="13">
        <f>IF(OR(C840="",NOT(ISNUMBER(L840))),"",IF(L840&lt;TODAY(),"Ended",IF(L840-TODAY()&lt;=N(Settings!$C$10),"Ends soon","Covered")))</f>
        <v/>
      </c>
      <c r="Q840" s="13">
        <f>IF(C840="","",MID(IF(N840="",", value","")&amp;IF(OR(J840="",J840="No"),", receipt","")&amp;IF(K840="",", photo",""),3,100))</f>
        <v/>
      </c>
      <c r="R840" s="13">
        <f>IF(AND(B840="",C840=""),"",IF(C840="","Needs the item",IF(B840="","Needs a room",IF(COUNTIF(Rooms!$B$6:$B$35,B840)=0,"Not on Rooms",IF(AND(H840&lt;&gt;"",NOT(ISNUMBER(H840))),"Paid not a number",IF(AND(I840&lt;&gt;"",NOT(ISNUMBER(I840))),"Worth not a number",IF(AND(G840&lt;&gt;"",NOT(ISNUMBER(G840))),"Bought is not a date",IF(AND(L840&lt;&gt;"",NOT(ISNUMBER(L840))),"Warranty is not a date",""))))))))</f>
        <v/>
      </c>
      <c r="S840" s="1">
        <f>IF(AND(C840&lt;&gt;"",R840=""),1,0)</f>
        <v/>
      </c>
      <c r="T840">
        <f>IF(S840=1,N(N840),0)</f>
        <v/>
      </c>
      <c r="U840">
        <f>IF(AND(S840=1,T840&gt;0),ROUND(T840*100,0)*10000+10000-ROW(),"")</f>
        <v/>
      </c>
      <c r="V840">
        <f>IF(AND(S840=1,OR(Report!$C$5="",B840=Report!$C$5)),MATCH(B840,Rooms!$B$6:$B$35,0)*10000+ROW(),"")</f>
        <v/>
      </c>
      <c r="W840">
        <f>IF(AND(S840=1,OR(J840="",J840="No")),1,0)</f>
        <v/>
      </c>
      <c r="X840">
        <f>IF(AND(S840=1,K840=""),1,0)</f>
        <v/>
      </c>
      <c r="Y840">
        <f>IF(AND(S840=1,Q840&lt;&gt;""),ROUND(T840*100,0)*10000+10000-ROW(),"")</f>
        <v/>
      </c>
    </row>
    <row r="841">
      <c r="A841" s="1" t="n"/>
      <c r="B841" s="17" t="n"/>
      <c r="C841" s="18" t="n"/>
      <c r="D841" s="17" t="n"/>
      <c r="E841" s="19" t="n"/>
      <c r="F841" s="19" t="n"/>
      <c r="G841" s="20" t="n"/>
      <c r="H841" s="21" t="n"/>
      <c r="I841" s="21" t="n"/>
      <c r="J841" s="17" t="n"/>
      <c r="K841" s="19" t="n"/>
      <c r="L841" s="20" t="n"/>
      <c r="M841" s="19" t="n"/>
      <c r="N841" s="22">
        <f>IF(C841="","",IF(ISNUMBER(I841),I841,IF(ISNUMBER(H841),H841,"")))</f>
        <v/>
      </c>
      <c r="O841" s="23">
        <f>IF(OR(C841="",NOT(ISNUMBER(G841))),"",(TODAY()-INT(G841))/365.25)</f>
        <v/>
      </c>
      <c r="P841" s="13">
        <f>IF(OR(C841="",NOT(ISNUMBER(L841))),"",IF(L841&lt;TODAY(),"Ended",IF(L841-TODAY()&lt;=N(Settings!$C$10),"Ends soon","Covered")))</f>
        <v/>
      </c>
      <c r="Q841" s="13">
        <f>IF(C841="","",MID(IF(N841="",", value","")&amp;IF(OR(J841="",J841="No"),", receipt","")&amp;IF(K841="",", photo",""),3,100))</f>
        <v/>
      </c>
      <c r="R841" s="13">
        <f>IF(AND(B841="",C841=""),"",IF(C841="","Needs the item",IF(B841="","Needs a room",IF(COUNTIF(Rooms!$B$6:$B$35,B841)=0,"Not on Rooms",IF(AND(H841&lt;&gt;"",NOT(ISNUMBER(H841))),"Paid not a number",IF(AND(I841&lt;&gt;"",NOT(ISNUMBER(I841))),"Worth not a number",IF(AND(G841&lt;&gt;"",NOT(ISNUMBER(G841))),"Bought is not a date",IF(AND(L841&lt;&gt;"",NOT(ISNUMBER(L841))),"Warranty is not a date",""))))))))</f>
        <v/>
      </c>
      <c r="S841" s="1">
        <f>IF(AND(C841&lt;&gt;"",R841=""),1,0)</f>
        <v/>
      </c>
      <c r="T841">
        <f>IF(S841=1,N(N841),0)</f>
        <v/>
      </c>
      <c r="U841">
        <f>IF(AND(S841=1,T841&gt;0),ROUND(T841*100,0)*10000+10000-ROW(),"")</f>
        <v/>
      </c>
      <c r="V841">
        <f>IF(AND(S841=1,OR(Report!$C$5="",B841=Report!$C$5)),MATCH(B841,Rooms!$B$6:$B$35,0)*10000+ROW(),"")</f>
        <v/>
      </c>
      <c r="W841">
        <f>IF(AND(S841=1,OR(J841="",J841="No")),1,0)</f>
        <v/>
      </c>
      <c r="X841">
        <f>IF(AND(S841=1,K841=""),1,0)</f>
        <v/>
      </c>
      <c r="Y841">
        <f>IF(AND(S841=1,Q841&lt;&gt;""),ROUND(T841*100,0)*10000+10000-ROW(),"")</f>
        <v/>
      </c>
    </row>
    <row r="842">
      <c r="A842" s="1" t="n"/>
      <c r="B842" s="17" t="n"/>
      <c r="C842" s="18" t="n"/>
      <c r="D842" s="17" t="n"/>
      <c r="E842" s="19" t="n"/>
      <c r="F842" s="19" t="n"/>
      <c r="G842" s="20" t="n"/>
      <c r="H842" s="21" t="n"/>
      <c r="I842" s="21" t="n"/>
      <c r="J842" s="17" t="n"/>
      <c r="K842" s="19" t="n"/>
      <c r="L842" s="20" t="n"/>
      <c r="M842" s="19" t="n"/>
      <c r="N842" s="22">
        <f>IF(C842="","",IF(ISNUMBER(I842),I842,IF(ISNUMBER(H842),H842,"")))</f>
        <v/>
      </c>
      <c r="O842" s="23">
        <f>IF(OR(C842="",NOT(ISNUMBER(G842))),"",(TODAY()-INT(G842))/365.25)</f>
        <v/>
      </c>
      <c r="P842" s="13">
        <f>IF(OR(C842="",NOT(ISNUMBER(L842))),"",IF(L842&lt;TODAY(),"Ended",IF(L842-TODAY()&lt;=N(Settings!$C$10),"Ends soon","Covered")))</f>
        <v/>
      </c>
      <c r="Q842" s="13">
        <f>IF(C842="","",MID(IF(N842="",", value","")&amp;IF(OR(J842="",J842="No"),", receipt","")&amp;IF(K842="",", photo",""),3,100))</f>
        <v/>
      </c>
      <c r="R842" s="13">
        <f>IF(AND(B842="",C842=""),"",IF(C842="","Needs the item",IF(B842="","Needs a room",IF(COUNTIF(Rooms!$B$6:$B$35,B842)=0,"Not on Rooms",IF(AND(H842&lt;&gt;"",NOT(ISNUMBER(H842))),"Paid not a number",IF(AND(I842&lt;&gt;"",NOT(ISNUMBER(I842))),"Worth not a number",IF(AND(G842&lt;&gt;"",NOT(ISNUMBER(G842))),"Bought is not a date",IF(AND(L842&lt;&gt;"",NOT(ISNUMBER(L842))),"Warranty is not a date",""))))))))</f>
        <v/>
      </c>
      <c r="S842" s="1">
        <f>IF(AND(C842&lt;&gt;"",R842=""),1,0)</f>
        <v/>
      </c>
      <c r="T842">
        <f>IF(S842=1,N(N842),0)</f>
        <v/>
      </c>
      <c r="U842">
        <f>IF(AND(S842=1,T842&gt;0),ROUND(T842*100,0)*10000+10000-ROW(),"")</f>
        <v/>
      </c>
      <c r="V842">
        <f>IF(AND(S842=1,OR(Report!$C$5="",B842=Report!$C$5)),MATCH(B842,Rooms!$B$6:$B$35,0)*10000+ROW(),"")</f>
        <v/>
      </c>
      <c r="W842">
        <f>IF(AND(S842=1,OR(J842="",J842="No")),1,0)</f>
        <v/>
      </c>
      <c r="X842">
        <f>IF(AND(S842=1,K842=""),1,0)</f>
        <v/>
      </c>
      <c r="Y842">
        <f>IF(AND(S842=1,Q842&lt;&gt;""),ROUND(T842*100,0)*10000+10000-ROW(),"")</f>
        <v/>
      </c>
    </row>
    <row r="843">
      <c r="A843" s="1" t="n"/>
      <c r="B843" s="17" t="n"/>
      <c r="C843" s="18" t="n"/>
      <c r="D843" s="17" t="n"/>
      <c r="E843" s="19" t="n"/>
      <c r="F843" s="19" t="n"/>
      <c r="G843" s="20" t="n"/>
      <c r="H843" s="21" t="n"/>
      <c r="I843" s="21" t="n"/>
      <c r="J843" s="17" t="n"/>
      <c r="K843" s="19" t="n"/>
      <c r="L843" s="20" t="n"/>
      <c r="M843" s="19" t="n"/>
      <c r="N843" s="22">
        <f>IF(C843="","",IF(ISNUMBER(I843),I843,IF(ISNUMBER(H843),H843,"")))</f>
        <v/>
      </c>
      <c r="O843" s="23">
        <f>IF(OR(C843="",NOT(ISNUMBER(G843))),"",(TODAY()-INT(G843))/365.25)</f>
        <v/>
      </c>
      <c r="P843" s="13">
        <f>IF(OR(C843="",NOT(ISNUMBER(L843))),"",IF(L843&lt;TODAY(),"Ended",IF(L843-TODAY()&lt;=N(Settings!$C$10),"Ends soon","Covered")))</f>
        <v/>
      </c>
      <c r="Q843" s="13">
        <f>IF(C843="","",MID(IF(N843="",", value","")&amp;IF(OR(J843="",J843="No"),", receipt","")&amp;IF(K843="",", photo",""),3,100))</f>
        <v/>
      </c>
      <c r="R843" s="13">
        <f>IF(AND(B843="",C843=""),"",IF(C843="","Needs the item",IF(B843="","Needs a room",IF(COUNTIF(Rooms!$B$6:$B$35,B843)=0,"Not on Rooms",IF(AND(H843&lt;&gt;"",NOT(ISNUMBER(H843))),"Paid not a number",IF(AND(I843&lt;&gt;"",NOT(ISNUMBER(I843))),"Worth not a number",IF(AND(G843&lt;&gt;"",NOT(ISNUMBER(G843))),"Bought is not a date",IF(AND(L843&lt;&gt;"",NOT(ISNUMBER(L843))),"Warranty is not a date",""))))))))</f>
        <v/>
      </c>
      <c r="S843" s="1">
        <f>IF(AND(C843&lt;&gt;"",R843=""),1,0)</f>
        <v/>
      </c>
      <c r="T843">
        <f>IF(S843=1,N(N843),0)</f>
        <v/>
      </c>
      <c r="U843">
        <f>IF(AND(S843=1,T843&gt;0),ROUND(T843*100,0)*10000+10000-ROW(),"")</f>
        <v/>
      </c>
      <c r="V843">
        <f>IF(AND(S843=1,OR(Report!$C$5="",B843=Report!$C$5)),MATCH(B843,Rooms!$B$6:$B$35,0)*10000+ROW(),"")</f>
        <v/>
      </c>
      <c r="W843">
        <f>IF(AND(S843=1,OR(J843="",J843="No")),1,0)</f>
        <v/>
      </c>
      <c r="X843">
        <f>IF(AND(S843=1,K843=""),1,0)</f>
        <v/>
      </c>
      <c r="Y843">
        <f>IF(AND(S843=1,Q843&lt;&gt;""),ROUND(T843*100,0)*10000+10000-ROW(),"")</f>
        <v/>
      </c>
    </row>
    <row r="844">
      <c r="A844" s="1" t="n"/>
      <c r="B844" s="17" t="n"/>
      <c r="C844" s="18" t="n"/>
      <c r="D844" s="17" t="n"/>
      <c r="E844" s="19" t="n"/>
      <c r="F844" s="19" t="n"/>
      <c r="G844" s="20" t="n"/>
      <c r="H844" s="21" t="n"/>
      <c r="I844" s="21" t="n"/>
      <c r="J844" s="17" t="n"/>
      <c r="K844" s="19" t="n"/>
      <c r="L844" s="20" t="n"/>
      <c r="M844" s="19" t="n"/>
      <c r="N844" s="22">
        <f>IF(C844="","",IF(ISNUMBER(I844),I844,IF(ISNUMBER(H844),H844,"")))</f>
        <v/>
      </c>
      <c r="O844" s="23">
        <f>IF(OR(C844="",NOT(ISNUMBER(G844))),"",(TODAY()-INT(G844))/365.25)</f>
        <v/>
      </c>
      <c r="P844" s="13">
        <f>IF(OR(C844="",NOT(ISNUMBER(L844))),"",IF(L844&lt;TODAY(),"Ended",IF(L844-TODAY()&lt;=N(Settings!$C$10),"Ends soon","Covered")))</f>
        <v/>
      </c>
      <c r="Q844" s="13">
        <f>IF(C844="","",MID(IF(N844="",", value","")&amp;IF(OR(J844="",J844="No"),", receipt","")&amp;IF(K844="",", photo",""),3,100))</f>
        <v/>
      </c>
      <c r="R844" s="13">
        <f>IF(AND(B844="",C844=""),"",IF(C844="","Needs the item",IF(B844="","Needs a room",IF(COUNTIF(Rooms!$B$6:$B$35,B844)=0,"Not on Rooms",IF(AND(H844&lt;&gt;"",NOT(ISNUMBER(H844))),"Paid not a number",IF(AND(I844&lt;&gt;"",NOT(ISNUMBER(I844))),"Worth not a number",IF(AND(G844&lt;&gt;"",NOT(ISNUMBER(G844))),"Bought is not a date",IF(AND(L844&lt;&gt;"",NOT(ISNUMBER(L844))),"Warranty is not a date",""))))))))</f>
        <v/>
      </c>
      <c r="S844" s="1">
        <f>IF(AND(C844&lt;&gt;"",R844=""),1,0)</f>
        <v/>
      </c>
      <c r="T844">
        <f>IF(S844=1,N(N844),0)</f>
        <v/>
      </c>
      <c r="U844">
        <f>IF(AND(S844=1,T844&gt;0),ROUND(T844*100,0)*10000+10000-ROW(),"")</f>
        <v/>
      </c>
      <c r="V844">
        <f>IF(AND(S844=1,OR(Report!$C$5="",B844=Report!$C$5)),MATCH(B844,Rooms!$B$6:$B$35,0)*10000+ROW(),"")</f>
        <v/>
      </c>
      <c r="W844">
        <f>IF(AND(S844=1,OR(J844="",J844="No")),1,0)</f>
        <v/>
      </c>
      <c r="X844">
        <f>IF(AND(S844=1,K844=""),1,0)</f>
        <v/>
      </c>
      <c r="Y844">
        <f>IF(AND(S844=1,Q844&lt;&gt;""),ROUND(T844*100,0)*10000+10000-ROW(),"")</f>
        <v/>
      </c>
    </row>
    <row r="845">
      <c r="A845" s="1" t="n"/>
      <c r="B845" s="17" t="n"/>
      <c r="C845" s="18" t="n"/>
      <c r="D845" s="17" t="n"/>
      <c r="E845" s="19" t="n"/>
      <c r="F845" s="19" t="n"/>
      <c r="G845" s="20" t="n"/>
      <c r="H845" s="21" t="n"/>
      <c r="I845" s="21" t="n"/>
      <c r="J845" s="17" t="n"/>
      <c r="K845" s="19" t="n"/>
      <c r="L845" s="20" t="n"/>
      <c r="M845" s="19" t="n"/>
      <c r="N845" s="22">
        <f>IF(C845="","",IF(ISNUMBER(I845),I845,IF(ISNUMBER(H845),H845,"")))</f>
        <v/>
      </c>
      <c r="O845" s="23">
        <f>IF(OR(C845="",NOT(ISNUMBER(G845))),"",(TODAY()-INT(G845))/365.25)</f>
        <v/>
      </c>
      <c r="P845" s="13">
        <f>IF(OR(C845="",NOT(ISNUMBER(L845))),"",IF(L845&lt;TODAY(),"Ended",IF(L845-TODAY()&lt;=N(Settings!$C$10),"Ends soon","Covered")))</f>
        <v/>
      </c>
      <c r="Q845" s="13">
        <f>IF(C845="","",MID(IF(N845="",", value","")&amp;IF(OR(J845="",J845="No"),", receipt","")&amp;IF(K845="",", photo",""),3,100))</f>
        <v/>
      </c>
      <c r="R845" s="13">
        <f>IF(AND(B845="",C845=""),"",IF(C845="","Needs the item",IF(B845="","Needs a room",IF(COUNTIF(Rooms!$B$6:$B$35,B845)=0,"Not on Rooms",IF(AND(H845&lt;&gt;"",NOT(ISNUMBER(H845))),"Paid not a number",IF(AND(I845&lt;&gt;"",NOT(ISNUMBER(I845))),"Worth not a number",IF(AND(G845&lt;&gt;"",NOT(ISNUMBER(G845))),"Bought is not a date",IF(AND(L845&lt;&gt;"",NOT(ISNUMBER(L845))),"Warranty is not a date",""))))))))</f>
        <v/>
      </c>
      <c r="S845" s="1">
        <f>IF(AND(C845&lt;&gt;"",R845=""),1,0)</f>
        <v/>
      </c>
      <c r="T845">
        <f>IF(S845=1,N(N845),0)</f>
        <v/>
      </c>
      <c r="U845">
        <f>IF(AND(S845=1,T845&gt;0),ROUND(T845*100,0)*10000+10000-ROW(),"")</f>
        <v/>
      </c>
      <c r="V845">
        <f>IF(AND(S845=1,OR(Report!$C$5="",B845=Report!$C$5)),MATCH(B845,Rooms!$B$6:$B$35,0)*10000+ROW(),"")</f>
        <v/>
      </c>
      <c r="W845">
        <f>IF(AND(S845=1,OR(J845="",J845="No")),1,0)</f>
        <v/>
      </c>
      <c r="X845">
        <f>IF(AND(S845=1,K845=""),1,0)</f>
        <v/>
      </c>
      <c r="Y845">
        <f>IF(AND(S845=1,Q845&lt;&gt;""),ROUND(T845*100,0)*10000+10000-ROW(),"")</f>
        <v/>
      </c>
    </row>
    <row r="846">
      <c r="A846" s="1" t="n"/>
      <c r="B846" s="17" t="n"/>
      <c r="C846" s="18" t="n"/>
      <c r="D846" s="17" t="n"/>
      <c r="E846" s="19" t="n"/>
      <c r="F846" s="19" t="n"/>
      <c r="G846" s="20" t="n"/>
      <c r="H846" s="21" t="n"/>
      <c r="I846" s="21" t="n"/>
      <c r="J846" s="17" t="n"/>
      <c r="K846" s="19" t="n"/>
      <c r="L846" s="20" t="n"/>
      <c r="M846" s="19" t="n"/>
      <c r="N846" s="22">
        <f>IF(C846="","",IF(ISNUMBER(I846),I846,IF(ISNUMBER(H846),H846,"")))</f>
        <v/>
      </c>
      <c r="O846" s="23">
        <f>IF(OR(C846="",NOT(ISNUMBER(G846))),"",(TODAY()-INT(G846))/365.25)</f>
        <v/>
      </c>
      <c r="P846" s="13">
        <f>IF(OR(C846="",NOT(ISNUMBER(L846))),"",IF(L846&lt;TODAY(),"Ended",IF(L846-TODAY()&lt;=N(Settings!$C$10),"Ends soon","Covered")))</f>
        <v/>
      </c>
      <c r="Q846" s="13">
        <f>IF(C846="","",MID(IF(N846="",", value","")&amp;IF(OR(J846="",J846="No"),", receipt","")&amp;IF(K846="",", photo",""),3,100))</f>
        <v/>
      </c>
      <c r="R846" s="13">
        <f>IF(AND(B846="",C846=""),"",IF(C846="","Needs the item",IF(B846="","Needs a room",IF(COUNTIF(Rooms!$B$6:$B$35,B846)=0,"Not on Rooms",IF(AND(H846&lt;&gt;"",NOT(ISNUMBER(H846))),"Paid not a number",IF(AND(I846&lt;&gt;"",NOT(ISNUMBER(I846))),"Worth not a number",IF(AND(G846&lt;&gt;"",NOT(ISNUMBER(G846))),"Bought is not a date",IF(AND(L846&lt;&gt;"",NOT(ISNUMBER(L846))),"Warranty is not a date",""))))))))</f>
        <v/>
      </c>
      <c r="S846" s="1">
        <f>IF(AND(C846&lt;&gt;"",R846=""),1,0)</f>
        <v/>
      </c>
      <c r="T846">
        <f>IF(S846=1,N(N846),0)</f>
        <v/>
      </c>
      <c r="U846">
        <f>IF(AND(S846=1,T846&gt;0),ROUND(T846*100,0)*10000+10000-ROW(),"")</f>
        <v/>
      </c>
      <c r="V846">
        <f>IF(AND(S846=1,OR(Report!$C$5="",B846=Report!$C$5)),MATCH(B846,Rooms!$B$6:$B$35,0)*10000+ROW(),"")</f>
        <v/>
      </c>
      <c r="W846">
        <f>IF(AND(S846=1,OR(J846="",J846="No")),1,0)</f>
        <v/>
      </c>
      <c r="X846">
        <f>IF(AND(S846=1,K846=""),1,0)</f>
        <v/>
      </c>
      <c r="Y846">
        <f>IF(AND(S846=1,Q846&lt;&gt;""),ROUND(T846*100,0)*10000+10000-ROW(),"")</f>
        <v/>
      </c>
    </row>
    <row r="847">
      <c r="A847" s="1" t="n"/>
      <c r="B847" s="17" t="n"/>
      <c r="C847" s="18" t="n"/>
      <c r="D847" s="17" t="n"/>
      <c r="E847" s="19" t="n"/>
      <c r="F847" s="19" t="n"/>
      <c r="G847" s="20" t="n"/>
      <c r="H847" s="21" t="n"/>
      <c r="I847" s="21" t="n"/>
      <c r="J847" s="17" t="n"/>
      <c r="K847" s="19" t="n"/>
      <c r="L847" s="20" t="n"/>
      <c r="M847" s="19" t="n"/>
      <c r="N847" s="22">
        <f>IF(C847="","",IF(ISNUMBER(I847),I847,IF(ISNUMBER(H847),H847,"")))</f>
        <v/>
      </c>
      <c r="O847" s="23">
        <f>IF(OR(C847="",NOT(ISNUMBER(G847))),"",(TODAY()-INT(G847))/365.25)</f>
        <v/>
      </c>
      <c r="P847" s="13">
        <f>IF(OR(C847="",NOT(ISNUMBER(L847))),"",IF(L847&lt;TODAY(),"Ended",IF(L847-TODAY()&lt;=N(Settings!$C$10),"Ends soon","Covered")))</f>
        <v/>
      </c>
      <c r="Q847" s="13">
        <f>IF(C847="","",MID(IF(N847="",", value","")&amp;IF(OR(J847="",J847="No"),", receipt","")&amp;IF(K847="",", photo",""),3,100))</f>
        <v/>
      </c>
      <c r="R847" s="13">
        <f>IF(AND(B847="",C847=""),"",IF(C847="","Needs the item",IF(B847="","Needs a room",IF(COUNTIF(Rooms!$B$6:$B$35,B847)=0,"Not on Rooms",IF(AND(H847&lt;&gt;"",NOT(ISNUMBER(H847))),"Paid not a number",IF(AND(I847&lt;&gt;"",NOT(ISNUMBER(I847))),"Worth not a number",IF(AND(G847&lt;&gt;"",NOT(ISNUMBER(G847))),"Bought is not a date",IF(AND(L847&lt;&gt;"",NOT(ISNUMBER(L847))),"Warranty is not a date",""))))))))</f>
        <v/>
      </c>
      <c r="S847" s="1">
        <f>IF(AND(C847&lt;&gt;"",R847=""),1,0)</f>
        <v/>
      </c>
      <c r="T847">
        <f>IF(S847=1,N(N847),0)</f>
        <v/>
      </c>
      <c r="U847">
        <f>IF(AND(S847=1,T847&gt;0),ROUND(T847*100,0)*10000+10000-ROW(),"")</f>
        <v/>
      </c>
      <c r="V847">
        <f>IF(AND(S847=1,OR(Report!$C$5="",B847=Report!$C$5)),MATCH(B847,Rooms!$B$6:$B$35,0)*10000+ROW(),"")</f>
        <v/>
      </c>
      <c r="W847">
        <f>IF(AND(S847=1,OR(J847="",J847="No")),1,0)</f>
        <v/>
      </c>
      <c r="X847">
        <f>IF(AND(S847=1,K847=""),1,0)</f>
        <v/>
      </c>
      <c r="Y847">
        <f>IF(AND(S847=1,Q847&lt;&gt;""),ROUND(T847*100,0)*10000+10000-ROW(),"")</f>
        <v/>
      </c>
    </row>
    <row r="848">
      <c r="A848" s="1" t="n"/>
      <c r="B848" s="17" t="n"/>
      <c r="C848" s="18" t="n"/>
      <c r="D848" s="17" t="n"/>
      <c r="E848" s="19" t="n"/>
      <c r="F848" s="19" t="n"/>
      <c r="G848" s="20" t="n"/>
      <c r="H848" s="21" t="n"/>
      <c r="I848" s="21" t="n"/>
      <c r="J848" s="17" t="n"/>
      <c r="K848" s="19" t="n"/>
      <c r="L848" s="20" t="n"/>
      <c r="M848" s="19" t="n"/>
      <c r="N848" s="22">
        <f>IF(C848="","",IF(ISNUMBER(I848),I848,IF(ISNUMBER(H848),H848,"")))</f>
        <v/>
      </c>
      <c r="O848" s="23">
        <f>IF(OR(C848="",NOT(ISNUMBER(G848))),"",(TODAY()-INT(G848))/365.25)</f>
        <v/>
      </c>
      <c r="P848" s="13">
        <f>IF(OR(C848="",NOT(ISNUMBER(L848))),"",IF(L848&lt;TODAY(),"Ended",IF(L848-TODAY()&lt;=N(Settings!$C$10),"Ends soon","Covered")))</f>
        <v/>
      </c>
      <c r="Q848" s="13">
        <f>IF(C848="","",MID(IF(N848="",", value","")&amp;IF(OR(J848="",J848="No"),", receipt","")&amp;IF(K848="",", photo",""),3,100))</f>
        <v/>
      </c>
      <c r="R848" s="13">
        <f>IF(AND(B848="",C848=""),"",IF(C848="","Needs the item",IF(B848="","Needs a room",IF(COUNTIF(Rooms!$B$6:$B$35,B848)=0,"Not on Rooms",IF(AND(H848&lt;&gt;"",NOT(ISNUMBER(H848))),"Paid not a number",IF(AND(I848&lt;&gt;"",NOT(ISNUMBER(I848))),"Worth not a number",IF(AND(G848&lt;&gt;"",NOT(ISNUMBER(G848))),"Bought is not a date",IF(AND(L848&lt;&gt;"",NOT(ISNUMBER(L848))),"Warranty is not a date",""))))))))</f>
        <v/>
      </c>
      <c r="S848" s="1">
        <f>IF(AND(C848&lt;&gt;"",R848=""),1,0)</f>
        <v/>
      </c>
      <c r="T848">
        <f>IF(S848=1,N(N848),0)</f>
        <v/>
      </c>
      <c r="U848">
        <f>IF(AND(S848=1,T848&gt;0),ROUND(T848*100,0)*10000+10000-ROW(),"")</f>
        <v/>
      </c>
      <c r="V848">
        <f>IF(AND(S848=1,OR(Report!$C$5="",B848=Report!$C$5)),MATCH(B848,Rooms!$B$6:$B$35,0)*10000+ROW(),"")</f>
        <v/>
      </c>
      <c r="W848">
        <f>IF(AND(S848=1,OR(J848="",J848="No")),1,0)</f>
        <v/>
      </c>
      <c r="X848">
        <f>IF(AND(S848=1,K848=""),1,0)</f>
        <v/>
      </c>
      <c r="Y848">
        <f>IF(AND(S848=1,Q848&lt;&gt;""),ROUND(T848*100,0)*10000+10000-ROW(),"")</f>
        <v/>
      </c>
    </row>
    <row r="849">
      <c r="A849" s="1" t="n"/>
      <c r="B849" s="17" t="n"/>
      <c r="C849" s="18" t="n"/>
      <c r="D849" s="17" t="n"/>
      <c r="E849" s="19" t="n"/>
      <c r="F849" s="19" t="n"/>
      <c r="G849" s="20" t="n"/>
      <c r="H849" s="21" t="n"/>
      <c r="I849" s="21" t="n"/>
      <c r="J849" s="17" t="n"/>
      <c r="K849" s="19" t="n"/>
      <c r="L849" s="20" t="n"/>
      <c r="M849" s="19" t="n"/>
      <c r="N849" s="22">
        <f>IF(C849="","",IF(ISNUMBER(I849),I849,IF(ISNUMBER(H849),H849,"")))</f>
        <v/>
      </c>
      <c r="O849" s="23">
        <f>IF(OR(C849="",NOT(ISNUMBER(G849))),"",(TODAY()-INT(G849))/365.25)</f>
        <v/>
      </c>
      <c r="P849" s="13">
        <f>IF(OR(C849="",NOT(ISNUMBER(L849))),"",IF(L849&lt;TODAY(),"Ended",IF(L849-TODAY()&lt;=N(Settings!$C$10),"Ends soon","Covered")))</f>
        <v/>
      </c>
      <c r="Q849" s="13">
        <f>IF(C849="","",MID(IF(N849="",", value","")&amp;IF(OR(J849="",J849="No"),", receipt","")&amp;IF(K849="",", photo",""),3,100))</f>
        <v/>
      </c>
      <c r="R849" s="13">
        <f>IF(AND(B849="",C849=""),"",IF(C849="","Needs the item",IF(B849="","Needs a room",IF(COUNTIF(Rooms!$B$6:$B$35,B849)=0,"Not on Rooms",IF(AND(H849&lt;&gt;"",NOT(ISNUMBER(H849))),"Paid not a number",IF(AND(I849&lt;&gt;"",NOT(ISNUMBER(I849))),"Worth not a number",IF(AND(G849&lt;&gt;"",NOT(ISNUMBER(G849))),"Bought is not a date",IF(AND(L849&lt;&gt;"",NOT(ISNUMBER(L849))),"Warranty is not a date",""))))))))</f>
        <v/>
      </c>
      <c r="S849" s="1">
        <f>IF(AND(C849&lt;&gt;"",R849=""),1,0)</f>
        <v/>
      </c>
      <c r="T849">
        <f>IF(S849=1,N(N849),0)</f>
        <v/>
      </c>
      <c r="U849">
        <f>IF(AND(S849=1,T849&gt;0),ROUND(T849*100,0)*10000+10000-ROW(),"")</f>
        <v/>
      </c>
      <c r="V849">
        <f>IF(AND(S849=1,OR(Report!$C$5="",B849=Report!$C$5)),MATCH(B849,Rooms!$B$6:$B$35,0)*10000+ROW(),"")</f>
        <v/>
      </c>
      <c r="W849">
        <f>IF(AND(S849=1,OR(J849="",J849="No")),1,0)</f>
        <v/>
      </c>
      <c r="X849">
        <f>IF(AND(S849=1,K849=""),1,0)</f>
        <v/>
      </c>
      <c r="Y849">
        <f>IF(AND(S849=1,Q849&lt;&gt;""),ROUND(T849*100,0)*10000+10000-ROW(),"")</f>
        <v/>
      </c>
    </row>
    <row r="850">
      <c r="A850" s="1" t="n"/>
      <c r="B850" s="17" t="n"/>
      <c r="C850" s="18" t="n"/>
      <c r="D850" s="17" t="n"/>
      <c r="E850" s="19" t="n"/>
      <c r="F850" s="19" t="n"/>
      <c r="G850" s="20" t="n"/>
      <c r="H850" s="21" t="n"/>
      <c r="I850" s="21" t="n"/>
      <c r="J850" s="17" t="n"/>
      <c r="K850" s="19" t="n"/>
      <c r="L850" s="20" t="n"/>
      <c r="M850" s="19" t="n"/>
      <c r="N850" s="22">
        <f>IF(C850="","",IF(ISNUMBER(I850),I850,IF(ISNUMBER(H850),H850,"")))</f>
        <v/>
      </c>
      <c r="O850" s="23">
        <f>IF(OR(C850="",NOT(ISNUMBER(G850))),"",(TODAY()-INT(G850))/365.25)</f>
        <v/>
      </c>
      <c r="P850" s="13">
        <f>IF(OR(C850="",NOT(ISNUMBER(L850))),"",IF(L850&lt;TODAY(),"Ended",IF(L850-TODAY()&lt;=N(Settings!$C$10),"Ends soon","Covered")))</f>
        <v/>
      </c>
      <c r="Q850" s="13">
        <f>IF(C850="","",MID(IF(N850="",", value","")&amp;IF(OR(J850="",J850="No"),", receipt","")&amp;IF(K850="",", photo",""),3,100))</f>
        <v/>
      </c>
      <c r="R850" s="13">
        <f>IF(AND(B850="",C850=""),"",IF(C850="","Needs the item",IF(B850="","Needs a room",IF(COUNTIF(Rooms!$B$6:$B$35,B850)=0,"Not on Rooms",IF(AND(H850&lt;&gt;"",NOT(ISNUMBER(H850))),"Paid not a number",IF(AND(I850&lt;&gt;"",NOT(ISNUMBER(I850))),"Worth not a number",IF(AND(G850&lt;&gt;"",NOT(ISNUMBER(G850))),"Bought is not a date",IF(AND(L850&lt;&gt;"",NOT(ISNUMBER(L850))),"Warranty is not a date",""))))))))</f>
        <v/>
      </c>
      <c r="S850" s="1">
        <f>IF(AND(C850&lt;&gt;"",R850=""),1,0)</f>
        <v/>
      </c>
      <c r="T850">
        <f>IF(S850=1,N(N850),0)</f>
        <v/>
      </c>
      <c r="U850">
        <f>IF(AND(S850=1,T850&gt;0),ROUND(T850*100,0)*10000+10000-ROW(),"")</f>
        <v/>
      </c>
      <c r="V850">
        <f>IF(AND(S850=1,OR(Report!$C$5="",B850=Report!$C$5)),MATCH(B850,Rooms!$B$6:$B$35,0)*10000+ROW(),"")</f>
        <v/>
      </c>
      <c r="W850">
        <f>IF(AND(S850=1,OR(J850="",J850="No")),1,0)</f>
        <v/>
      </c>
      <c r="X850">
        <f>IF(AND(S850=1,K850=""),1,0)</f>
        <v/>
      </c>
      <c r="Y850">
        <f>IF(AND(S850=1,Q850&lt;&gt;""),ROUND(T850*100,0)*10000+10000-ROW(),"")</f>
        <v/>
      </c>
    </row>
    <row r="851">
      <c r="A851" s="1" t="n"/>
      <c r="B851" s="17" t="n"/>
      <c r="C851" s="18" t="n"/>
      <c r="D851" s="17" t="n"/>
      <c r="E851" s="19" t="n"/>
      <c r="F851" s="19" t="n"/>
      <c r="G851" s="20" t="n"/>
      <c r="H851" s="21" t="n"/>
      <c r="I851" s="21" t="n"/>
      <c r="J851" s="17" t="n"/>
      <c r="K851" s="19" t="n"/>
      <c r="L851" s="20" t="n"/>
      <c r="M851" s="19" t="n"/>
      <c r="N851" s="22">
        <f>IF(C851="","",IF(ISNUMBER(I851),I851,IF(ISNUMBER(H851),H851,"")))</f>
        <v/>
      </c>
      <c r="O851" s="23">
        <f>IF(OR(C851="",NOT(ISNUMBER(G851))),"",(TODAY()-INT(G851))/365.25)</f>
        <v/>
      </c>
      <c r="P851" s="13">
        <f>IF(OR(C851="",NOT(ISNUMBER(L851))),"",IF(L851&lt;TODAY(),"Ended",IF(L851-TODAY()&lt;=N(Settings!$C$10),"Ends soon","Covered")))</f>
        <v/>
      </c>
      <c r="Q851" s="13">
        <f>IF(C851="","",MID(IF(N851="",", value","")&amp;IF(OR(J851="",J851="No"),", receipt","")&amp;IF(K851="",", photo",""),3,100))</f>
        <v/>
      </c>
      <c r="R851" s="13">
        <f>IF(AND(B851="",C851=""),"",IF(C851="","Needs the item",IF(B851="","Needs a room",IF(COUNTIF(Rooms!$B$6:$B$35,B851)=0,"Not on Rooms",IF(AND(H851&lt;&gt;"",NOT(ISNUMBER(H851))),"Paid not a number",IF(AND(I851&lt;&gt;"",NOT(ISNUMBER(I851))),"Worth not a number",IF(AND(G851&lt;&gt;"",NOT(ISNUMBER(G851))),"Bought is not a date",IF(AND(L851&lt;&gt;"",NOT(ISNUMBER(L851))),"Warranty is not a date",""))))))))</f>
        <v/>
      </c>
      <c r="S851" s="1">
        <f>IF(AND(C851&lt;&gt;"",R851=""),1,0)</f>
        <v/>
      </c>
      <c r="T851">
        <f>IF(S851=1,N(N851),0)</f>
        <v/>
      </c>
      <c r="U851">
        <f>IF(AND(S851=1,T851&gt;0),ROUND(T851*100,0)*10000+10000-ROW(),"")</f>
        <v/>
      </c>
      <c r="V851">
        <f>IF(AND(S851=1,OR(Report!$C$5="",B851=Report!$C$5)),MATCH(B851,Rooms!$B$6:$B$35,0)*10000+ROW(),"")</f>
        <v/>
      </c>
      <c r="W851">
        <f>IF(AND(S851=1,OR(J851="",J851="No")),1,0)</f>
        <v/>
      </c>
      <c r="X851">
        <f>IF(AND(S851=1,K851=""),1,0)</f>
        <v/>
      </c>
      <c r="Y851">
        <f>IF(AND(S851=1,Q851&lt;&gt;""),ROUND(T851*100,0)*10000+10000-ROW(),"")</f>
        <v/>
      </c>
    </row>
    <row r="852">
      <c r="A852" s="1" t="n"/>
      <c r="B852" s="17" t="n"/>
      <c r="C852" s="18" t="n"/>
      <c r="D852" s="17" t="n"/>
      <c r="E852" s="19" t="n"/>
      <c r="F852" s="19" t="n"/>
      <c r="G852" s="20" t="n"/>
      <c r="H852" s="21" t="n"/>
      <c r="I852" s="21" t="n"/>
      <c r="J852" s="17" t="n"/>
      <c r="K852" s="19" t="n"/>
      <c r="L852" s="20" t="n"/>
      <c r="M852" s="19" t="n"/>
      <c r="N852" s="22">
        <f>IF(C852="","",IF(ISNUMBER(I852),I852,IF(ISNUMBER(H852),H852,"")))</f>
        <v/>
      </c>
      <c r="O852" s="23">
        <f>IF(OR(C852="",NOT(ISNUMBER(G852))),"",(TODAY()-INT(G852))/365.25)</f>
        <v/>
      </c>
      <c r="P852" s="13">
        <f>IF(OR(C852="",NOT(ISNUMBER(L852))),"",IF(L852&lt;TODAY(),"Ended",IF(L852-TODAY()&lt;=N(Settings!$C$10),"Ends soon","Covered")))</f>
        <v/>
      </c>
      <c r="Q852" s="13">
        <f>IF(C852="","",MID(IF(N852="",", value","")&amp;IF(OR(J852="",J852="No"),", receipt","")&amp;IF(K852="",", photo",""),3,100))</f>
        <v/>
      </c>
      <c r="R852" s="13">
        <f>IF(AND(B852="",C852=""),"",IF(C852="","Needs the item",IF(B852="","Needs a room",IF(COUNTIF(Rooms!$B$6:$B$35,B852)=0,"Not on Rooms",IF(AND(H852&lt;&gt;"",NOT(ISNUMBER(H852))),"Paid not a number",IF(AND(I852&lt;&gt;"",NOT(ISNUMBER(I852))),"Worth not a number",IF(AND(G852&lt;&gt;"",NOT(ISNUMBER(G852))),"Bought is not a date",IF(AND(L852&lt;&gt;"",NOT(ISNUMBER(L852))),"Warranty is not a date",""))))))))</f>
        <v/>
      </c>
      <c r="S852" s="1">
        <f>IF(AND(C852&lt;&gt;"",R852=""),1,0)</f>
        <v/>
      </c>
      <c r="T852">
        <f>IF(S852=1,N(N852),0)</f>
        <v/>
      </c>
      <c r="U852">
        <f>IF(AND(S852=1,T852&gt;0),ROUND(T852*100,0)*10000+10000-ROW(),"")</f>
        <v/>
      </c>
      <c r="V852">
        <f>IF(AND(S852=1,OR(Report!$C$5="",B852=Report!$C$5)),MATCH(B852,Rooms!$B$6:$B$35,0)*10000+ROW(),"")</f>
        <v/>
      </c>
      <c r="W852">
        <f>IF(AND(S852=1,OR(J852="",J852="No")),1,0)</f>
        <v/>
      </c>
      <c r="X852">
        <f>IF(AND(S852=1,K852=""),1,0)</f>
        <v/>
      </c>
      <c r="Y852">
        <f>IF(AND(S852=1,Q852&lt;&gt;""),ROUND(T852*100,0)*10000+10000-ROW(),"")</f>
        <v/>
      </c>
    </row>
    <row r="853">
      <c r="A853" s="1" t="n"/>
      <c r="B853" s="17" t="n"/>
      <c r="C853" s="18" t="n"/>
      <c r="D853" s="17" t="n"/>
      <c r="E853" s="19" t="n"/>
      <c r="F853" s="19" t="n"/>
      <c r="G853" s="20" t="n"/>
      <c r="H853" s="21" t="n"/>
      <c r="I853" s="21" t="n"/>
      <c r="J853" s="17" t="n"/>
      <c r="K853" s="19" t="n"/>
      <c r="L853" s="20" t="n"/>
      <c r="M853" s="19" t="n"/>
      <c r="N853" s="22">
        <f>IF(C853="","",IF(ISNUMBER(I853),I853,IF(ISNUMBER(H853),H853,"")))</f>
        <v/>
      </c>
      <c r="O853" s="23">
        <f>IF(OR(C853="",NOT(ISNUMBER(G853))),"",(TODAY()-INT(G853))/365.25)</f>
        <v/>
      </c>
      <c r="P853" s="13">
        <f>IF(OR(C853="",NOT(ISNUMBER(L853))),"",IF(L853&lt;TODAY(),"Ended",IF(L853-TODAY()&lt;=N(Settings!$C$10),"Ends soon","Covered")))</f>
        <v/>
      </c>
      <c r="Q853" s="13">
        <f>IF(C853="","",MID(IF(N853="",", value","")&amp;IF(OR(J853="",J853="No"),", receipt","")&amp;IF(K853="",", photo",""),3,100))</f>
        <v/>
      </c>
      <c r="R853" s="13">
        <f>IF(AND(B853="",C853=""),"",IF(C853="","Needs the item",IF(B853="","Needs a room",IF(COUNTIF(Rooms!$B$6:$B$35,B853)=0,"Not on Rooms",IF(AND(H853&lt;&gt;"",NOT(ISNUMBER(H853))),"Paid not a number",IF(AND(I853&lt;&gt;"",NOT(ISNUMBER(I853))),"Worth not a number",IF(AND(G853&lt;&gt;"",NOT(ISNUMBER(G853))),"Bought is not a date",IF(AND(L853&lt;&gt;"",NOT(ISNUMBER(L853))),"Warranty is not a date",""))))))))</f>
        <v/>
      </c>
      <c r="S853" s="1">
        <f>IF(AND(C853&lt;&gt;"",R853=""),1,0)</f>
        <v/>
      </c>
      <c r="T853">
        <f>IF(S853=1,N(N853),0)</f>
        <v/>
      </c>
      <c r="U853">
        <f>IF(AND(S853=1,T853&gt;0),ROUND(T853*100,0)*10000+10000-ROW(),"")</f>
        <v/>
      </c>
      <c r="V853">
        <f>IF(AND(S853=1,OR(Report!$C$5="",B853=Report!$C$5)),MATCH(B853,Rooms!$B$6:$B$35,0)*10000+ROW(),"")</f>
        <v/>
      </c>
      <c r="W853">
        <f>IF(AND(S853=1,OR(J853="",J853="No")),1,0)</f>
        <v/>
      </c>
      <c r="X853">
        <f>IF(AND(S853=1,K853=""),1,0)</f>
        <v/>
      </c>
      <c r="Y853">
        <f>IF(AND(S853=1,Q853&lt;&gt;""),ROUND(T853*100,0)*10000+10000-ROW(),"")</f>
        <v/>
      </c>
    </row>
    <row r="854">
      <c r="A854" s="1" t="n"/>
      <c r="B854" s="17" t="n"/>
      <c r="C854" s="18" t="n"/>
      <c r="D854" s="17" t="n"/>
      <c r="E854" s="19" t="n"/>
      <c r="F854" s="19" t="n"/>
      <c r="G854" s="20" t="n"/>
      <c r="H854" s="21" t="n"/>
      <c r="I854" s="21" t="n"/>
      <c r="J854" s="17" t="n"/>
      <c r="K854" s="19" t="n"/>
      <c r="L854" s="20" t="n"/>
      <c r="M854" s="19" t="n"/>
      <c r="N854" s="22">
        <f>IF(C854="","",IF(ISNUMBER(I854),I854,IF(ISNUMBER(H854),H854,"")))</f>
        <v/>
      </c>
      <c r="O854" s="23">
        <f>IF(OR(C854="",NOT(ISNUMBER(G854))),"",(TODAY()-INT(G854))/365.25)</f>
        <v/>
      </c>
      <c r="P854" s="13">
        <f>IF(OR(C854="",NOT(ISNUMBER(L854))),"",IF(L854&lt;TODAY(),"Ended",IF(L854-TODAY()&lt;=N(Settings!$C$10),"Ends soon","Covered")))</f>
        <v/>
      </c>
      <c r="Q854" s="13">
        <f>IF(C854="","",MID(IF(N854="",", value","")&amp;IF(OR(J854="",J854="No"),", receipt","")&amp;IF(K854="",", photo",""),3,100))</f>
        <v/>
      </c>
      <c r="R854" s="13">
        <f>IF(AND(B854="",C854=""),"",IF(C854="","Needs the item",IF(B854="","Needs a room",IF(COUNTIF(Rooms!$B$6:$B$35,B854)=0,"Not on Rooms",IF(AND(H854&lt;&gt;"",NOT(ISNUMBER(H854))),"Paid not a number",IF(AND(I854&lt;&gt;"",NOT(ISNUMBER(I854))),"Worth not a number",IF(AND(G854&lt;&gt;"",NOT(ISNUMBER(G854))),"Bought is not a date",IF(AND(L854&lt;&gt;"",NOT(ISNUMBER(L854))),"Warranty is not a date",""))))))))</f>
        <v/>
      </c>
      <c r="S854" s="1">
        <f>IF(AND(C854&lt;&gt;"",R854=""),1,0)</f>
        <v/>
      </c>
      <c r="T854">
        <f>IF(S854=1,N(N854),0)</f>
        <v/>
      </c>
      <c r="U854">
        <f>IF(AND(S854=1,T854&gt;0),ROUND(T854*100,0)*10000+10000-ROW(),"")</f>
        <v/>
      </c>
      <c r="V854">
        <f>IF(AND(S854=1,OR(Report!$C$5="",B854=Report!$C$5)),MATCH(B854,Rooms!$B$6:$B$35,0)*10000+ROW(),"")</f>
        <v/>
      </c>
      <c r="W854">
        <f>IF(AND(S854=1,OR(J854="",J854="No")),1,0)</f>
        <v/>
      </c>
      <c r="X854">
        <f>IF(AND(S854=1,K854=""),1,0)</f>
        <v/>
      </c>
      <c r="Y854">
        <f>IF(AND(S854=1,Q854&lt;&gt;""),ROUND(T854*100,0)*10000+10000-ROW(),"")</f>
        <v/>
      </c>
    </row>
    <row r="855">
      <c r="A855" s="1" t="n"/>
      <c r="B855" s="17" t="n"/>
      <c r="C855" s="18" t="n"/>
      <c r="D855" s="17" t="n"/>
      <c r="E855" s="19" t="n"/>
      <c r="F855" s="19" t="n"/>
      <c r="G855" s="20" t="n"/>
      <c r="H855" s="21" t="n"/>
      <c r="I855" s="21" t="n"/>
      <c r="J855" s="17" t="n"/>
      <c r="K855" s="19" t="n"/>
      <c r="L855" s="20" t="n"/>
      <c r="M855" s="19" t="n"/>
      <c r="N855" s="22">
        <f>IF(C855="","",IF(ISNUMBER(I855),I855,IF(ISNUMBER(H855),H855,"")))</f>
        <v/>
      </c>
      <c r="O855" s="23">
        <f>IF(OR(C855="",NOT(ISNUMBER(G855))),"",(TODAY()-INT(G855))/365.25)</f>
        <v/>
      </c>
      <c r="P855" s="13">
        <f>IF(OR(C855="",NOT(ISNUMBER(L855))),"",IF(L855&lt;TODAY(),"Ended",IF(L855-TODAY()&lt;=N(Settings!$C$10),"Ends soon","Covered")))</f>
        <v/>
      </c>
      <c r="Q855" s="13">
        <f>IF(C855="","",MID(IF(N855="",", value","")&amp;IF(OR(J855="",J855="No"),", receipt","")&amp;IF(K855="",", photo",""),3,100))</f>
        <v/>
      </c>
      <c r="R855" s="13">
        <f>IF(AND(B855="",C855=""),"",IF(C855="","Needs the item",IF(B855="","Needs a room",IF(COUNTIF(Rooms!$B$6:$B$35,B855)=0,"Not on Rooms",IF(AND(H855&lt;&gt;"",NOT(ISNUMBER(H855))),"Paid not a number",IF(AND(I855&lt;&gt;"",NOT(ISNUMBER(I855))),"Worth not a number",IF(AND(G855&lt;&gt;"",NOT(ISNUMBER(G855))),"Bought is not a date",IF(AND(L855&lt;&gt;"",NOT(ISNUMBER(L855))),"Warranty is not a date",""))))))))</f>
        <v/>
      </c>
      <c r="S855" s="1">
        <f>IF(AND(C855&lt;&gt;"",R855=""),1,0)</f>
        <v/>
      </c>
      <c r="T855">
        <f>IF(S855=1,N(N855),0)</f>
        <v/>
      </c>
      <c r="U855">
        <f>IF(AND(S855=1,T855&gt;0),ROUND(T855*100,0)*10000+10000-ROW(),"")</f>
        <v/>
      </c>
      <c r="V855">
        <f>IF(AND(S855=1,OR(Report!$C$5="",B855=Report!$C$5)),MATCH(B855,Rooms!$B$6:$B$35,0)*10000+ROW(),"")</f>
        <v/>
      </c>
      <c r="W855">
        <f>IF(AND(S855=1,OR(J855="",J855="No")),1,0)</f>
        <v/>
      </c>
      <c r="X855">
        <f>IF(AND(S855=1,K855=""),1,0)</f>
        <v/>
      </c>
      <c r="Y855">
        <f>IF(AND(S855=1,Q855&lt;&gt;""),ROUND(T855*100,0)*10000+10000-ROW(),"")</f>
        <v/>
      </c>
    </row>
    <row r="856">
      <c r="A856" s="1" t="n"/>
      <c r="B856" s="17" t="n"/>
      <c r="C856" s="18" t="n"/>
      <c r="D856" s="17" t="n"/>
      <c r="E856" s="19" t="n"/>
      <c r="F856" s="19" t="n"/>
      <c r="G856" s="20" t="n"/>
      <c r="H856" s="21" t="n"/>
      <c r="I856" s="21" t="n"/>
      <c r="J856" s="17" t="n"/>
      <c r="K856" s="19" t="n"/>
      <c r="L856" s="20" t="n"/>
      <c r="M856" s="19" t="n"/>
      <c r="N856" s="22">
        <f>IF(C856="","",IF(ISNUMBER(I856),I856,IF(ISNUMBER(H856),H856,"")))</f>
        <v/>
      </c>
      <c r="O856" s="23">
        <f>IF(OR(C856="",NOT(ISNUMBER(G856))),"",(TODAY()-INT(G856))/365.25)</f>
        <v/>
      </c>
      <c r="P856" s="13">
        <f>IF(OR(C856="",NOT(ISNUMBER(L856))),"",IF(L856&lt;TODAY(),"Ended",IF(L856-TODAY()&lt;=N(Settings!$C$10),"Ends soon","Covered")))</f>
        <v/>
      </c>
      <c r="Q856" s="13">
        <f>IF(C856="","",MID(IF(N856="",", value","")&amp;IF(OR(J856="",J856="No"),", receipt","")&amp;IF(K856="",", photo",""),3,100))</f>
        <v/>
      </c>
      <c r="R856" s="13">
        <f>IF(AND(B856="",C856=""),"",IF(C856="","Needs the item",IF(B856="","Needs a room",IF(COUNTIF(Rooms!$B$6:$B$35,B856)=0,"Not on Rooms",IF(AND(H856&lt;&gt;"",NOT(ISNUMBER(H856))),"Paid not a number",IF(AND(I856&lt;&gt;"",NOT(ISNUMBER(I856))),"Worth not a number",IF(AND(G856&lt;&gt;"",NOT(ISNUMBER(G856))),"Bought is not a date",IF(AND(L856&lt;&gt;"",NOT(ISNUMBER(L856))),"Warranty is not a date",""))))))))</f>
        <v/>
      </c>
      <c r="S856" s="1">
        <f>IF(AND(C856&lt;&gt;"",R856=""),1,0)</f>
        <v/>
      </c>
      <c r="T856">
        <f>IF(S856=1,N(N856),0)</f>
        <v/>
      </c>
      <c r="U856">
        <f>IF(AND(S856=1,T856&gt;0),ROUND(T856*100,0)*10000+10000-ROW(),"")</f>
        <v/>
      </c>
      <c r="V856">
        <f>IF(AND(S856=1,OR(Report!$C$5="",B856=Report!$C$5)),MATCH(B856,Rooms!$B$6:$B$35,0)*10000+ROW(),"")</f>
        <v/>
      </c>
      <c r="W856">
        <f>IF(AND(S856=1,OR(J856="",J856="No")),1,0)</f>
        <v/>
      </c>
      <c r="X856">
        <f>IF(AND(S856=1,K856=""),1,0)</f>
        <v/>
      </c>
      <c r="Y856">
        <f>IF(AND(S856=1,Q856&lt;&gt;""),ROUND(T856*100,0)*10000+10000-ROW(),"")</f>
        <v/>
      </c>
    </row>
    <row r="857">
      <c r="A857" s="1" t="n"/>
      <c r="B857" s="17" t="n"/>
      <c r="C857" s="18" t="n"/>
      <c r="D857" s="17" t="n"/>
      <c r="E857" s="19" t="n"/>
      <c r="F857" s="19" t="n"/>
      <c r="G857" s="20" t="n"/>
      <c r="H857" s="21" t="n"/>
      <c r="I857" s="21" t="n"/>
      <c r="J857" s="17" t="n"/>
      <c r="K857" s="19" t="n"/>
      <c r="L857" s="20" t="n"/>
      <c r="M857" s="19" t="n"/>
      <c r="N857" s="22">
        <f>IF(C857="","",IF(ISNUMBER(I857),I857,IF(ISNUMBER(H857),H857,"")))</f>
        <v/>
      </c>
      <c r="O857" s="23">
        <f>IF(OR(C857="",NOT(ISNUMBER(G857))),"",(TODAY()-INT(G857))/365.25)</f>
        <v/>
      </c>
      <c r="P857" s="13">
        <f>IF(OR(C857="",NOT(ISNUMBER(L857))),"",IF(L857&lt;TODAY(),"Ended",IF(L857-TODAY()&lt;=N(Settings!$C$10),"Ends soon","Covered")))</f>
        <v/>
      </c>
      <c r="Q857" s="13">
        <f>IF(C857="","",MID(IF(N857="",", value","")&amp;IF(OR(J857="",J857="No"),", receipt","")&amp;IF(K857="",", photo",""),3,100))</f>
        <v/>
      </c>
      <c r="R857" s="13">
        <f>IF(AND(B857="",C857=""),"",IF(C857="","Needs the item",IF(B857="","Needs a room",IF(COUNTIF(Rooms!$B$6:$B$35,B857)=0,"Not on Rooms",IF(AND(H857&lt;&gt;"",NOT(ISNUMBER(H857))),"Paid not a number",IF(AND(I857&lt;&gt;"",NOT(ISNUMBER(I857))),"Worth not a number",IF(AND(G857&lt;&gt;"",NOT(ISNUMBER(G857))),"Bought is not a date",IF(AND(L857&lt;&gt;"",NOT(ISNUMBER(L857))),"Warranty is not a date",""))))))))</f>
        <v/>
      </c>
      <c r="S857" s="1">
        <f>IF(AND(C857&lt;&gt;"",R857=""),1,0)</f>
        <v/>
      </c>
      <c r="T857">
        <f>IF(S857=1,N(N857),0)</f>
        <v/>
      </c>
      <c r="U857">
        <f>IF(AND(S857=1,T857&gt;0),ROUND(T857*100,0)*10000+10000-ROW(),"")</f>
        <v/>
      </c>
      <c r="V857">
        <f>IF(AND(S857=1,OR(Report!$C$5="",B857=Report!$C$5)),MATCH(B857,Rooms!$B$6:$B$35,0)*10000+ROW(),"")</f>
        <v/>
      </c>
      <c r="W857">
        <f>IF(AND(S857=1,OR(J857="",J857="No")),1,0)</f>
        <v/>
      </c>
      <c r="X857">
        <f>IF(AND(S857=1,K857=""),1,0)</f>
        <v/>
      </c>
      <c r="Y857">
        <f>IF(AND(S857=1,Q857&lt;&gt;""),ROUND(T857*100,0)*10000+10000-ROW(),"")</f>
        <v/>
      </c>
    </row>
    <row r="858">
      <c r="A858" s="1" t="n"/>
      <c r="B858" s="17" t="n"/>
      <c r="C858" s="18" t="n"/>
      <c r="D858" s="17" t="n"/>
      <c r="E858" s="19" t="n"/>
      <c r="F858" s="19" t="n"/>
      <c r="G858" s="20" t="n"/>
      <c r="H858" s="21" t="n"/>
      <c r="I858" s="21" t="n"/>
      <c r="J858" s="17" t="n"/>
      <c r="K858" s="19" t="n"/>
      <c r="L858" s="20" t="n"/>
      <c r="M858" s="19" t="n"/>
      <c r="N858" s="22">
        <f>IF(C858="","",IF(ISNUMBER(I858),I858,IF(ISNUMBER(H858),H858,"")))</f>
        <v/>
      </c>
      <c r="O858" s="23">
        <f>IF(OR(C858="",NOT(ISNUMBER(G858))),"",(TODAY()-INT(G858))/365.25)</f>
        <v/>
      </c>
      <c r="P858" s="13">
        <f>IF(OR(C858="",NOT(ISNUMBER(L858))),"",IF(L858&lt;TODAY(),"Ended",IF(L858-TODAY()&lt;=N(Settings!$C$10),"Ends soon","Covered")))</f>
        <v/>
      </c>
      <c r="Q858" s="13">
        <f>IF(C858="","",MID(IF(N858="",", value","")&amp;IF(OR(J858="",J858="No"),", receipt","")&amp;IF(K858="",", photo",""),3,100))</f>
        <v/>
      </c>
      <c r="R858" s="13">
        <f>IF(AND(B858="",C858=""),"",IF(C858="","Needs the item",IF(B858="","Needs a room",IF(COUNTIF(Rooms!$B$6:$B$35,B858)=0,"Not on Rooms",IF(AND(H858&lt;&gt;"",NOT(ISNUMBER(H858))),"Paid not a number",IF(AND(I858&lt;&gt;"",NOT(ISNUMBER(I858))),"Worth not a number",IF(AND(G858&lt;&gt;"",NOT(ISNUMBER(G858))),"Bought is not a date",IF(AND(L858&lt;&gt;"",NOT(ISNUMBER(L858))),"Warranty is not a date",""))))))))</f>
        <v/>
      </c>
      <c r="S858" s="1">
        <f>IF(AND(C858&lt;&gt;"",R858=""),1,0)</f>
        <v/>
      </c>
      <c r="T858">
        <f>IF(S858=1,N(N858),0)</f>
        <v/>
      </c>
      <c r="U858">
        <f>IF(AND(S858=1,T858&gt;0),ROUND(T858*100,0)*10000+10000-ROW(),"")</f>
        <v/>
      </c>
      <c r="V858">
        <f>IF(AND(S858=1,OR(Report!$C$5="",B858=Report!$C$5)),MATCH(B858,Rooms!$B$6:$B$35,0)*10000+ROW(),"")</f>
        <v/>
      </c>
      <c r="W858">
        <f>IF(AND(S858=1,OR(J858="",J858="No")),1,0)</f>
        <v/>
      </c>
      <c r="X858">
        <f>IF(AND(S858=1,K858=""),1,0)</f>
        <v/>
      </c>
      <c r="Y858">
        <f>IF(AND(S858=1,Q858&lt;&gt;""),ROUND(T858*100,0)*10000+10000-ROW(),"")</f>
        <v/>
      </c>
    </row>
    <row r="859">
      <c r="A859" s="1" t="n"/>
      <c r="B859" s="17" t="n"/>
      <c r="C859" s="18" t="n"/>
      <c r="D859" s="17" t="n"/>
      <c r="E859" s="19" t="n"/>
      <c r="F859" s="19" t="n"/>
      <c r="G859" s="20" t="n"/>
      <c r="H859" s="21" t="n"/>
      <c r="I859" s="21" t="n"/>
      <c r="J859" s="17" t="n"/>
      <c r="K859" s="19" t="n"/>
      <c r="L859" s="20" t="n"/>
      <c r="M859" s="19" t="n"/>
      <c r="N859" s="22">
        <f>IF(C859="","",IF(ISNUMBER(I859),I859,IF(ISNUMBER(H859),H859,"")))</f>
        <v/>
      </c>
      <c r="O859" s="23">
        <f>IF(OR(C859="",NOT(ISNUMBER(G859))),"",(TODAY()-INT(G859))/365.25)</f>
        <v/>
      </c>
      <c r="P859" s="13">
        <f>IF(OR(C859="",NOT(ISNUMBER(L859))),"",IF(L859&lt;TODAY(),"Ended",IF(L859-TODAY()&lt;=N(Settings!$C$10),"Ends soon","Covered")))</f>
        <v/>
      </c>
      <c r="Q859" s="13">
        <f>IF(C859="","",MID(IF(N859="",", value","")&amp;IF(OR(J859="",J859="No"),", receipt","")&amp;IF(K859="",", photo",""),3,100))</f>
        <v/>
      </c>
      <c r="R859" s="13">
        <f>IF(AND(B859="",C859=""),"",IF(C859="","Needs the item",IF(B859="","Needs a room",IF(COUNTIF(Rooms!$B$6:$B$35,B859)=0,"Not on Rooms",IF(AND(H859&lt;&gt;"",NOT(ISNUMBER(H859))),"Paid not a number",IF(AND(I859&lt;&gt;"",NOT(ISNUMBER(I859))),"Worth not a number",IF(AND(G859&lt;&gt;"",NOT(ISNUMBER(G859))),"Bought is not a date",IF(AND(L859&lt;&gt;"",NOT(ISNUMBER(L859))),"Warranty is not a date",""))))))))</f>
        <v/>
      </c>
      <c r="S859" s="1">
        <f>IF(AND(C859&lt;&gt;"",R859=""),1,0)</f>
        <v/>
      </c>
      <c r="T859">
        <f>IF(S859=1,N(N859),0)</f>
        <v/>
      </c>
      <c r="U859">
        <f>IF(AND(S859=1,T859&gt;0),ROUND(T859*100,0)*10000+10000-ROW(),"")</f>
        <v/>
      </c>
      <c r="V859">
        <f>IF(AND(S859=1,OR(Report!$C$5="",B859=Report!$C$5)),MATCH(B859,Rooms!$B$6:$B$35,0)*10000+ROW(),"")</f>
        <v/>
      </c>
      <c r="W859">
        <f>IF(AND(S859=1,OR(J859="",J859="No")),1,0)</f>
        <v/>
      </c>
      <c r="X859">
        <f>IF(AND(S859=1,K859=""),1,0)</f>
        <v/>
      </c>
      <c r="Y859">
        <f>IF(AND(S859=1,Q859&lt;&gt;""),ROUND(T859*100,0)*10000+10000-ROW(),"")</f>
        <v/>
      </c>
    </row>
    <row r="860">
      <c r="A860" s="1" t="n"/>
      <c r="B860" s="17" t="n"/>
      <c r="C860" s="18" t="n"/>
      <c r="D860" s="17" t="n"/>
      <c r="E860" s="19" t="n"/>
      <c r="F860" s="19" t="n"/>
      <c r="G860" s="20" t="n"/>
      <c r="H860" s="21" t="n"/>
      <c r="I860" s="21" t="n"/>
      <c r="J860" s="17" t="n"/>
      <c r="K860" s="19" t="n"/>
      <c r="L860" s="20" t="n"/>
      <c r="M860" s="19" t="n"/>
      <c r="N860" s="22">
        <f>IF(C860="","",IF(ISNUMBER(I860),I860,IF(ISNUMBER(H860),H860,"")))</f>
        <v/>
      </c>
      <c r="O860" s="23">
        <f>IF(OR(C860="",NOT(ISNUMBER(G860))),"",(TODAY()-INT(G860))/365.25)</f>
        <v/>
      </c>
      <c r="P860" s="13">
        <f>IF(OR(C860="",NOT(ISNUMBER(L860))),"",IF(L860&lt;TODAY(),"Ended",IF(L860-TODAY()&lt;=N(Settings!$C$10),"Ends soon","Covered")))</f>
        <v/>
      </c>
      <c r="Q860" s="13">
        <f>IF(C860="","",MID(IF(N860="",", value","")&amp;IF(OR(J860="",J860="No"),", receipt","")&amp;IF(K860="",", photo",""),3,100))</f>
        <v/>
      </c>
      <c r="R860" s="13">
        <f>IF(AND(B860="",C860=""),"",IF(C860="","Needs the item",IF(B860="","Needs a room",IF(COUNTIF(Rooms!$B$6:$B$35,B860)=0,"Not on Rooms",IF(AND(H860&lt;&gt;"",NOT(ISNUMBER(H860))),"Paid not a number",IF(AND(I860&lt;&gt;"",NOT(ISNUMBER(I860))),"Worth not a number",IF(AND(G860&lt;&gt;"",NOT(ISNUMBER(G860))),"Bought is not a date",IF(AND(L860&lt;&gt;"",NOT(ISNUMBER(L860))),"Warranty is not a date",""))))))))</f>
        <v/>
      </c>
      <c r="S860" s="1">
        <f>IF(AND(C860&lt;&gt;"",R860=""),1,0)</f>
        <v/>
      </c>
      <c r="T860">
        <f>IF(S860=1,N(N860),0)</f>
        <v/>
      </c>
      <c r="U860">
        <f>IF(AND(S860=1,T860&gt;0),ROUND(T860*100,0)*10000+10000-ROW(),"")</f>
        <v/>
      </c>
      <c r="V860">
        <f>IF(AND(S860=1,OR(Report!$C$5="",B860=Report!$C$5)),MATCH(B860,Rooms!$B$6:$B$35,0)*10000+ROW(),"")</f>
        <v/>
      </c>
      <c r="W860">
        <f>IF(AND(S860=1,OR(J860="",J860="No")),1,0)</f>
        <v/>
      </c>
      <c r="X860">
        <f>IF(AND(S860=1,K860=""),1,0)</f>
        <v/>
      </c>
      <c r="Y860">
        <f>IF(AND(S860=1,Q860&lt;&gt;""),ROUND(T860*100,0)*10000+10000-ROW(),"")</f>
        <v/>
      </c>
    </row>
    <row r="861">
      <c r="A861" s="1" t="n"/>
      <c r="B861" s="17" t="n"/>
      <c r="C861" s="18" t="n"/>
      <c r="D861" s="17" t="n"/>
      <c r="E861" s="19" t="n"/>
      <c r="F861" s="19" t="n"/>
      <c r="G861" s="20" t="n"/>
      <c r="H861" s="21" t="n"/>
      <c r="I861" s="21" t="n"/>
      <c r="J861" s="17" t="n"/>
      <c r="K861" s="19" t="n"/>
      <c r="L861" s="20" t="n"/>
      <c r="M861" s="19" t="n"/>
      <c r="N861" s="22">
        <f>IF(C861="","",IF(ISNUMBER(I861),I861,IF(ISNUMBER(H861),H861,"")))</f>
        <v/>
      </c>
      <c r="O861" s="23">
        <f>IF(OR(C861="",NOT(ISNUMBER(G861))),"",(TODAY()-INT(G861))/365.25)</f>
        <v/>
      </c>
      <c r="P861" s="13">
        <f>IF(OR(C861="",NOT(ISNUMBER(L861))),"",IF(L861&lt;TODAY(),"Ended",IF(L861-TODAY()&lt;=N(Settings!$C$10),"Ends soon","Covered")))</f>
        <v/>
      </c>
      <c r="Q861" s="13">
        <f>IF(C861="","",MID(IF(N861="",", value","")&amp;IF(OR(J861="",J861="No"),", receipt","")&amp;IF(K861="",", photo",""),3,100))</f>
        <v/>
      </c>
      <c r="R861" s="13">
        <f>IF(AND(B861="",C861=""),"",IF(C861="","Needs the item",IF(B861="","Needs a room",IF(COUNTIF(Rooms!$B$6:$B$35,B861)=0,"Not on Rooms",IF(AND(H861&lt;&gt;"",NOT(ISNUMBER(H861))),"Paid not a number",IF(AND(I861&lt;&gt;"",NOT(ISNUMBER(I861))),"Worth not a number",IF(AND(G861&lt;&gt;"",NOT(ISNUMBER(G861))),"Bought is not a date",IF(AND(L861&lt;&gt;"",NOT(ISNUMBER(L861))),"Warranty is not a date",""))))))))</f>
        <v/>
      </c>
      <c r="S861" s="1">
        <f>IF(AND(C861&lt;&gt;"",R861=""),1,0)</f>
        <v/>
      </c>
      <c r="T861">
        <f>IF(S861=1,N(N861),0)</f>
        <v/>
      </c>
      <c r="U861">
        <f>IF(AND(S861=1,T861&gt;0),ROUND(T861*100,0)*10000+10000-ROW(),"")</f>
        <v/>
      </c>
      <c r="V861">
        <f>IF(AND(S861=1,OR(Report!$C$5="",B861=Report!$C$5)),MATCH(B861,Rooms!$B$6:$B$35,0)*10000+ROW(),"")</f>
        <v/>
      </c>
      <c r="W861">
        <f>IF(AND(S861=1,OR(J861="",J861="No")),1,0)</f>
        <v/>
      </c>
      <c r="X861">
        <f>IF(AND(S861=1,K861=""),1,0)</f>
        <v/>
      </c>
      <c r="Y861">
        <f>IF(AND(S861=1,Q861&lt;&gt;""),ROUND(T861*100,0)*10000+10000-ROW(),"")</f>
        <v/>
      </c>
    </row>
    <row r="862">
      <c r="A862" s="1" t="n"/>
      <c r="B862" s="17" t="n"/>
      <c r="C862" s="18" t="n"/>
      <c r="D862" s="17" t="n"/>
      <c r="E862" s="19" t="n"/>
      <c r="F862" s="19" t="n"/>
      <c r="G862" s="20" t="n"/>
      <c r="H862" s="21" t="n"/>
      <c r="I862" s="21" t="n"/>
      <c r="J862" s="17" t="n"/>
      <c r="K862" s="19" t="n"/>
      <c r="L862" s="20" t="n"/>
      <c r="M862" s="19" t="n"/>
      <c r="N862" s="22">
        <f>IF(C862="","",IF(ISNUMBER(I862),I862,IF(ISNUMBER(H862),H862,"")))</f>
        <v/>
      </c>
      <c r="O862" s="23">
        <f>IF(OR(C862="",NOT(ISNUMBER(G862))),"",(TODAY()-INT(G862))/365.25)</f>
        <v/>
      </c>
      <c r="P862" s="13">
        <f>IF(OR(C862="",NOT(ISNUMBER(L862))),"",IF(L862&lt;TODAY(),"Ended",IF(L862-TODAY()&lt;=N(Settings!$C$10),"Ends soon","Covered")))</f>
        <v/>
      </c>
      <c r="Q862" s="13">
        <f>IF(C862="","",MID(IF(N862="",", value","")&amp;IF(OR(J862="",J862="No"),", receipt","")&amp;IF(K862="",", photo",""),3,100))</f>
        <v/>
      </c>
      <c r="R862" s="13">
        <f>IF(AND(B862="",C862=""),"",IF(C862="","Needs the item",IF(B862="","Needs a room",IF(COUNTIF(Rooms!$B$6:$B$35,B862)=0,"Not on Rooms",IF(AND(H862&lt;&gt;"",NOT(ISNUMBER(H862))),"Paid not a number",IF(AND(I862&lt;&gt;"",NOT(ISNUMBER(I862))),"Worth not a number",IF(AND(G862&lt;&gt;"",NOT(ISNUMBER(G862))),"Bought is not a date",IF(AND(L862&lt;&gt;"",NOT(ISNUMBER(L862))),"Warranty is not a date",""))))))))</f>
        <v/>
      </c>
      <c r="S862" s="1">
        <f>IF(AND(C862&lt;&gt;"",R862=""),1,0)</f>
        <v/>
      </c>
      <c r="T862">
        <f>IF(S862=1,N(N862),0)</f>
        <v/>
      </c>
      <c r="U862">
        <f>IF(AND(S862=1,T862&gt;0),ROUND(T862*100,0)*10000+10000-ROW(),"")</f>
        <v/>
      </c>
      <c r="V862">
        <f>IF(AND(S862=1,OR(Report!$C$5="",B862=Report!$C$5)),MATCH(B862,Rooms!$B$6:$B$35,0)*10000+ROW(),"")</f>
        <v/>
      </c>
      <c r="W862">
        <f>IF(AND(S862=1,OR(J862="",J862="No")),1,0)</f>
        <v/>
      </c>
      <c r="X862">
        <f>IF(AND(S862=1,K862=""),1,0)</f>
        <v/>
      </c>
      <c r="Y862">
        <f>IF(AND(S862=1,Q862&lt;&gt;""),ROUND(T862*100,0)*10000+10000-ROW(),"")</f>
        <v/>
      </c>
    </row>
    <row r="863">
      <c r="A863" s="1" t="n"/>
      <c r="B863" s="17" t="n"/>
      <c r="C863" s="18" t="n"/>
      <c r="D863" s="17" t="n"/>
      <c r="E863" s="19" t="n"/>
      <c r="F863" s="19" t="n"/>
      <c r="G863" s="20" t="n"/>
      <c r="H863" s="21" t="n"/>
      <c r="I863" s="21" t="n"/>
      <c r="J863" s="17" t="n"/>
      <c r="K863" s="19" t="n"/>
      <c r="L863" s="20" t="n"/>
      <c r="M863" s="19" t="n"/>
      <c r="N863" s="22">
        <f>IF(C863="","",IF(ISNUMBER(I863),I863,IF(ISNUMBER(H863),H863,"")))</f>
        <v/>
      </c>
      <c r="O863" s="23">
        <f>IF(OR(C863="",NOT(ISNUMBER(G863))),"",(TODAY()-INT(G863))/365.25)</f>
        <v/>
      </c>
      <c r="P863" s="13">
        <f>IF(OR(C863="",NOT(ISNUMBER(L863))),"",IF(L863&lt;TODAY(),"Ended",IF(L863-TODAY()&lt;=N(Settings!$C$10),"Ends soon","Covered")))</f>
        <v/>
      </c>
      <c r="Q863" s="13">
        <f>IF(C863="","",MID(IF(N863="",", value","")&amp;IF(OR(J863="",J863="No"),", receipt","")&amp;IF(K863="",", photo",""),3,100))</f>
        <v/>
      </c>
      <c r="R863" s="13">
        <f>IF(AND(B863="",C863=""),"",IF(C863="","Needs the item",IF(B863="","Needs a room",IF(COUNTIF(Rooms!$B$6:$B$35,B863)=0,"Not on Rooms",IF(AND(H863&lt;&gt;"",NOT(ISNUMBER(H863))),"Paid not a number",IF(AND(I863&lt;&gt;"",NOT(ISNUMBER(I863))),"Worth not a number",IF(AND(G863&lt;&gt;"",NOT(ISNUMBER(G863))),"Bought is not a date",IF(AND(L863&lt;&gt;"",NOT(ISNUMBER(L863))),"Warranty is not a date",""))))))))</f>
        <v/>
      </c>
      <c r="S863" s="1">
        <f>IF(AND(C863&lt;&gt;"",R863=""),1,0)</f>
        <v/>
      </c>
      <c r="T863">
        <f>IF(S863=1,N(N863),0)</f>
        <v/>
      </c>
      <c r="U863">
        <f>IF(AND(S863=1,T863&gt;0),ROUND(T863*100,0)*10000+10000-ROW(),"")</f>
        <v/>
      </c>
      <c r="V863">
        <f>IF(AND(S863=1,OR(Report!$C$5="",B863=Report!$C$5)),MATCH(B863,Rooms!$B$6:$B$35,0)*10000+ROW(),"")</f>
        <v/>
      </c>
      <c r="W863">
        <f>IF(AND(S863=1,OR(J863="",J863="No")),1,0)</f>
        <v/>
      </c>
      <c r="X863">
        <f>IF(AND(S863=1,K863=""),1,0)</f>
        <v/>
      </c>
      <c r="Y863">
        <f>IF(AND(S863=1,Q863&lt;&gt;""),ROUND(T863*100,0)*10000+10000-ROW(),"")</f>
        <v/>
      </c>
    </row>
    <row r="864">
      <c r="A864" s="1" t="n"/>
      <c r="B864" s="17" t="n"/>
      <c r="C864" s="18" t="n"/>
      <c r="D864" s="17" t="n"/>
      <c r="E864" s="19" t="n"/>
      <c r="F864" s="19" t="n"/>
      <c r="G864" s="20" t="n"/>
      <c r="H864" s="21" t="n"/>
      <c r="I864" s="21" t="n"/>
      <c r="J864" s="17" t="n"/>
      <c r="K864" s="19" t="n"/>
      <c r="L864" s="20" t="n"/>
      <c r="M864" s="19" t="n"/>
      <c r="N864" s="22">
        <f>IF(C864="","",IF(ISNUMBER(I864),I864,IF(ISNUMBER(H864),H864,"")))</f>
        <v/>
      </c>
      <c r="O864" s="23">
        <f>IF(OR(C864="",NOT(ISNUMBER(G864))),"",(TODAY()-INT(G864))/365.25)</f>
        <v/>
      </c>
      <c r="P864" s="13">
        <f>IF(OR(C864="",NOT(ISNUMBER(L864))),"",IF(L864&lt;TODAY(),"Ended",IF(L864-TODAY()&lt;=N(Settings!$C$10),"Ends soon","Covered")))</f>
        <v/>
      </c>
      <c r="Q864" s="13">
        <f>IF(C864="","",MID(IF(N864="",", value","")&amp;IF(OR(J864="",J864="No"),", receipt","")&amp;IF(K864="",", photo",""),3,100))</f>
        <v/>
      </c>
      <c r="R864" s="13">
        <f>IF(AND(B864="",C864=""),"",IF(C864="","Needs the item",IF(B864="","Needs a room",IF(COUNTIF(Rooms!$B$6:$B$35,B864)=0,"Not on Rooms",IF(AND(H864&lt;&gt;"",NOT(ISNUMBER(H864))),"Paid not a number",IF(AND(I864&lt;&gt;"",NOT(ISNUMBER(I864))),"Worth not a number",IF(AND(G864&lt;&gt;"",NOT(ISNUMBER(G864))),"Bought is not a date",IF(AND(L864&lt;&gt;"",NOT(ISNUMBER(L864))),"Warranty is not a date",""))))))))</f>
        <v/>
      </c>
      <c r="S864" s="1">
        <f>IF(AND(C864&lt;&gt;"",R864=""),1,0)</f>
        <v/>
      </c>
      <c r="T864">
        <f>IF(S864=1,N(N864),0)</f>
        <v/>
      </c>
      <c r="U864">
        <f>IF(AND(S864=1,T864&gt;0),ROUND(T864*100,0)*10000+10000-ROW(),"")</f>
        <v/>
      </c>
      <c r="V864">
        <f>IF(AND(S864=1,OR(Report!$C$5="",B864=Report!$C$5)),MATCH(B864,Rooms!$B$6:$B$35,0)*10000+ROW(),"")</f>
        <v/>
      </c>
      <c r="W864">
        <f>IF(AND(S864=1,OR(J864="",J864="No")),1,0)</f>
        <v/>
      </c>
      <c r="X864">
        <f>IF(AND(S864=1,K864=""),1,0)</f>
        <v/>
      </c>
      <c r="Y864">
        <f>IF(AND(S864=1,Q864&lt;&gt;""),ROUND(T864*100,0)*10000+10000-ROW(),"")</f>
        <v/>
      </c>
    </row>
    <row r="865">
      <c r="A865" s="1" t="n"/>
      <c r="B865" s="17" t="n"/>
      <c r="C865" s="18" t="n"/>
      <c r="D865" s="17" t="n"/>
      <c r="E865" s="19" t="n"/>
      <c r="F865" s="19" t="n"/>
      <c r="G865" s="20" t="n"/>
      <c r="H865" s="21" t="n"/>
      <c r="I865" s="21" t="n"/>
      <c r="J865" s="17" t="n"/>
      <c r="K865" s="19" t="n"/>
      <c r="L865" s="20" t="n"/>
      <c r="M865" s="19" t="n"/>
      <c r="N865" s="22">
        <f>IF(C865="","",IF(ISNUMBER(I865),I865,IF(ISNUMBER(H865),H865,"")))</f>
        <v/>
      </c>
      <c r="O865" s="23">
        <f>IF(OR(C865="",NOT(ISNUMBER(G865))),"",(TODAY()-INT(G865))/365.25)</f>
        <v/>
      </c>
      <c r="P865" s="13">
        <f>IF(OR(C865="",NOT(ISNUMBER(L865))),"",IF(L865&lt;TODAY(),"Ended",IF(L865-TODAY()&lt;=N(Settings!$C$10),"Ends soon","Covered")))</f>
        <v/>
      </c>
      <c r="Q865" s="13">
        <f>IF(C865="","",MID(IF(N865="",", value","")&amp;IF(OR(J865="",J865="No"),", receipt","")&amp;IF(K865="",", photo",""),3,100))</f>
        <v/>
      </c>
      <c r="R865" s="13">
        <f>IF(AND(B865="",C865=""),"",IF(C865="","Needs the item",IF(B865="","Needs a room",IF(COUNTIF(Rooms!$B$6:$B$35,B865)=0,"Not on Rooms",IF(AND(H865&lt;&gt;"",NOT(ISNUMBER(H865))),"Paid not a number",IF(AND(I865&lt;&gt;"",NOT(ISNUMBER(I865))),"Worth not a number",IF(AND(G865&lt;&gt;"",NOT(ISNUMBER(G865))),"Bought is not a date",IF(AND(L865&lt;&gt;"",NOT(ISNUMBER(L865))),"Warranty is not a date",""))))))))</f>
        <v/>
      </c>
      <c r="S865" s="1">
        <f>IF(AND(C865&lt;&gt;"",R865=""),1,0)</f>
        <v/>
      </c>
      <c r="T865">
        <f>IF(S865=1,N(N865),0)</f>
        <v/>
      </c>
      <c r="U865">
        <f>IF(AND(S865=1,T865&gt;0),ROUND(T865*100,0)*10000+10000-ROW(),"")</f>
        <v/>
      </c>
      <c r="V865">
        <f>IF(AND(S865=1,OR(Report!$C$5="",B865=Report!$C$5)),MATCH(B865,Rooms!$B$6:$B$35,0)*10000+ROW(),"")</f>
        <v/>
      </c>
      <c r="W865">
        <f>IF(AND(S865=1,OR(J865="",J865="No")),1,0)</f>
        <v/>
      </c>
      <c r="X865">
        <f>IF(AND(S865=1,K865=""),1,0)</f>
        <v/>
      </c>
      <c r="Y865">
        <f>IF(AND(S865=1,Q865&lt;&gt;""),ROUND(T865*100,0)*10000+10000-ROW(),"")</f>
        <v/>
      </c>
    </row>
    <row r="866">
      <c r="A866" s="1" t="n"/>
      <c r="B866" s="17" t="n"/>
      <c r="C866" s="18" t="n"/>
      <c r="D866" s="17" t="n"/>
      <c r="E866" s="19" t="n"/>
      <c r="F866" s="19" t="n"/>
      <c r="G866" s="20" t="n"/>
      <c r="H866" s="21" t="n"/>
      <c r="I866" s="21" t="n"/>
      <c r="J866" s="17" t="n"/>
      <c r="K866" s="19" t="n"/>
      <c r="L866" s="20" t="n"/>
      <c r="M866" s="19" t="n"/>
      <c r="N866" s="22">
        <f>IF(C866="","",IF(ISNUMBER(I866),I866,IF(ISNUMBER(H866),H866,"")))</f>
        <v/>
      </c>
      <c r="O866" s="23">
        <f>IF(OR(C866="",NOT(ISNUMBER(G866))),"",(TODAY()-INT(G866))/365.25)</f>
        <v/>
      </c>
      <c r="P866" s="13">
        <f>IF(OR(C866="",NOT(ISNUMBER(L866))),"",IF(L866&lt;TODAY(),"Ended",IF(L866-TODAY()&lt;=N(Settings!$C$10),"Ends soon","Covered")))</f>
        <v/>
      </c>
      <c r="Q866" s="13">
        <f>IF(C866="","",MID(IF(N866="",", value","")&amp;IF(OR(J866="",J866="No"),", receipt","")&amp;IF(K866="",", photo",""),3,100))</f>
        <v/>
      </c>
      <c r="R866" s="13">
        <f>IF(AND(B866="",C866=""),"",IF(C866="","Needs the item",IF(B866="","Needs a room",IF(COUNTIF(Rooms!$B$6:$B$35,B866)=0,"Not on Rooms",IF(AND(H866&lt;&gt;"",NOT(ISNUMBER(H866))),"Paid not a number",IF(AND(I866&lt;&gt;"",NOT(ISNUMBER(I866))),"Worth not a number",IF(AND(G866&lt;&gt;"",NOT(ISNUMBER(G866))),"Bought is not a date",IF(AND(L866&lt;&gt;"",NOT(ISNUMBER(L866))),"Warranty is not a date",""))))))))</f>
        <v/>
      </c>
      <c r="S866" s="1">
        <f>IF(AND(C866&lt;&gt;"",R866=""),1,0)</f>
        <v/>
      </c>
      <c r="T866">
        <f>IF(S866=1,N(N866),0)</f>
        <v/>
      </c>
      <c r="U866">
        <f>IF(AND(S866=1,T866&gt;0),ROUND(T866*100,0)*10000+10000-ROW(),"")</f>
        <v/>
      </c>
      <c r="V866">
        <f>IF(AND(S866=1,OR(Report!$C$5="",B866=Report!$C$5)),MATCH(B866,Rooms!$B$6:$B$35,0)*10000+ROW(),"")</f>
        <v/>
      </c>
      <c r="W866">
        <f>IF(AND(S866=1,OR(J866="",J866="No")),1,0)</f>
        <v/>
      </c>
      <c r="X866">
        <f>IF(AND(S866=1,K866=""),1,0)</f>
        <v/>
      </c>
      <c r="Y866">
        <f>IF(AND(S866=1,Q866&lt;&gt;""),ROUND(T866*100,0)*10000+10000-ROW(),"")</f>
        <v/>
      </c>
    </row>
    <row r="867">
      <c r="A867" s="1" t="n"/>
      <c r="B867" s="17" t="n"/>
      <c r="C867" s="18" t="n"/>
      <c r="D867" s="17" t="n"/>
      <c r="E867" s="19" t="n"/>
      <c r="F867" s="19" t="n"/>
      <c r="G867" s="20" t="n"/>
      <c r="H867" s="21" t="n"/>
      <c r="I867" s="21" t="n"/>
      <c r="J867" s="17" t="n"/>
      <c r="K867" s="19" t="n"/>
      <c r="L867" s="20" t="n"/>
      <c r="M867" s="19" t="n"/>
      <c r="N867" s="22">
        <f>IF(C867="","",IF(ISNUMBER(I867),I867,IF(ISNUMBER(H867),H867,"")))</f>
        <v/>
      </c>
      <c r="O867" s="23">
        <f>IF(OR(C867="",NOT(ISNUMBER(G867))),"",(TODAY()-INT(G867))/365.25)</f>
        <v/>
      </c>
      <c r="P867" s="13">
        <f>IF(OR(C867="",NOT(ISNUMBER(L867))),"",IF(L867&lt;TODAY(),"Ended",IF(L867-TODAY()&lt;=N(Settings!$C$10),"Ends soon","Covered")))</f>
        <v/>
      </c>
      <c r="Q867" s="13">
        <f>IF(C867="","",MID(IF(N867="",", value","")&amp;IF(OR(J867="",J867="No"),", receipt","")&amp;IF(K867="",", photo",""),3,100))</f>
        <v/>
      </c>
      <c r="R867" s="13">
        <f>IF(AND(B867="",C867=""),"",IF(C867="","Needs the item",IF(B867="","Needs a room",IF(COUNTIF(Rooms!$B$6:$B$35,B867)=0,"Not on Rooms",IF(AND(H867&lt;&gt;"",NOT(ISNUMBER(H867))),"Paid not a number",IF(AND(I867&lt;&gt;"",NOT(ISNUMBER(I867))),"Worth not a number",IF(AND(G867&lt;&gt;"",NOT(ISNUMBER(G867))),"Bought is not a date",IF(AND(L867&lt;&gt;"",NOT(ISNUMBER(L867))),"Warranty is not a date",""))))))))</f>
        <v/>
      </c>
      <c r="S867" s="1">
        <f>IF(AND(C867&lt;&gt;"",R867=""),1,0)</f>
        <v/>
      </c>
      <c r="T867">
        <f>IF(S867=1,N(N867),0)</f>
        <v/>
      </c>
      <c r="U867">
        <f>IF(AND(S867=1,T867&gt;0),ROUND(T867*100,0)*10000+10000-ROW(),"")</f>
        <v/>
      </c>
      <c r="V867">
        <f>IF(AND(S867=1,OR(Report!$C$5="",B867=Report!$C$5)),MATCH(B867,Rooms!$B$6:$B$35,0)*10000+ROW(),"")</f>
        <v/>
      </c>
      <c r="W867">
        <f>IF(AND(S867=1,OR(J867="",J867="No")),1,0)</f>
        <v/>
      </c>
      <c r="X867">
        <f>IF(AND(S867=1,K867=""),1,0)</f>
        <v/>
      </c>
      <c r="Y867">
        <f>IF(AND(S867=1,Q867&lt;&gt;""),ROUND(T867*100,0)*10000+10000-ROW(),"")</f>
        <v/>
      </c>
    </row>
    <row r="868">
      <c r="A868" s="1" t="n"/>
      <c r="B868" s="17" t="n"/>
      <c r="C868" s="18" t="n"/>
      <c r="D868" s="17" t="n"/>
      <c r="E868" s="19" t="n"/>
      <c r="F868" s="19" t="n"/>
      <c r="G868" s="20" t="n"/>
      <c r="H868" s="21" t="n"/>
      <c r="I868" s="21" t="n"/>
      <c r="J868" s="17" t="n"/>
      <c r="K868" s="19" t="n"/>
      <c r="L868" s="20" t="n"/>
      <c r="M868" s="19" t="n"/>
      <c r="N868" s="22">
        <f>IF(C868="","",IF(ISNUMBER(I868),I868,IF(ISNUMBER(H868),H868,"")))</f>
        <v/>
      </c>
      <c r="O868" s="23">
        <f>IF(OR(C868="",NOT(ISNUMBER(G868))),"",(TODAY()-INT(G868))/365.25)</f>
        <v/>
      </c>
      <c r="P868" s="13">
        <f>IF(OR(C868="",NOT(ISNUMBER(L868))),"",IF(L868&lt;TODAY(),"Ended",IF(L868-TODAY()&lt;=N(Settings!$C$10),"Ends soon","Covered")))</f>
        <v/>
      </c>
      <c r="Q868" s="13">
        <f>IF(C868="","",MID(IF(N868="",", value","")&amp;IF(OR(J868="",J868="No"),", receipt","")&amp;IF(K868="",", photo",""),3,100))</f>
        <v/>
      </c>
      <c r="R868" s="13">
        <f>IF(AND(B868="",C868=""),"",IF(C868="","Needs the item",IF(B868="","Needs a room",IF(COUNTIF(Rooms!$B$6:$B$35,B868)=0,"Not on Rooms",IF(AND(H868&lt;&gt;"",NOT(ISNUMBER(H868))),"Paid not a number",IF(AND(I868&lt;&gt;"",NOT(ISNUMBER(I868))),"Worth not a number",IF(AND(G868&lt;&gt;"",NOT(ISNUMBER(G868))),"Bought is not a date",IF(AND(L868&lt;&gt;"",NOT(ISNUMBER(L868))),"Warranty is not a date",""))))))))</f>
        <v/>
      </c>
      <c r="S868" s="1">
        <f>IF(AND(C868&lt;&gt;"",R868=""),1,0)</f>
        <v/>
      </c>
      <c r="T868">
        <f>IF(S868=1,N(N868),0)</f>
        <v/>
      </c>
      <c r="U868">
        <f>IF(AND(S868=1,T868&gt;0),ROUND(T868*100,0)*10000+10000-ROW(),"")</f>
        <v/>
      </c>
      <c r="V868">
        <f>IF(AND(S868=1,OR(Report!$C$5="",B868=Report!$C$5)),MATCH(B868,Rooms!$B$6:$B$35,0)*10000+ROW(),"")</f>
        <v/>
      </c>
      <c r="W868">
        <f>IF(AND(S868=1,OR(J868="",J868="No")),1,0)</f>
        <v/>
      </c>
      <c r="X868">
        <f>IF(AND(S868=1,K868=""),1,0)</f>
        <v/>
      </c>
      <c r="Y868">
        <f>IF(AND(S868=1,Q868&lt;&gt;""),ROUND(T868*100,0)*10000+10000-ROW(),"")</f>
        <v/>
      </c>
    </row>
    <row r="869">
      <c r="A869" s="1" t="n"/>
      <c r="B869" s="17" t="n"/>
      <c r="C869" s="18" t="n"/>
      <c r="D869" s="17" t="n"/>
      <c r="E869" s="19" t="n"/>
      <c r="F869" s="19" t="n"/>
      <c r="G869" s="20" t="n"/>
      <c r="H869" s="21" t="n"/>
      <c r="I869" s="21" t="n"/>
      <c r="J869" s="17" t="n"/>
      <c r="K869" s="19" t="n"/>
      <c r="L869" s="20" t="n"/>
      <c r="M869" s="19" t="n"/>
      <c r="N869" s="22">
        <f>IF(C869="","",IF(ISNUMBER(I869),I869,IF(ISNUMBER(H869),H869,"")))</f>
        <v/>
      </c>
      <c r="O869" s="23">
        <f>IF(OR(C869="",NOT(ISNUMBER(G869))),"",(TODAY()-INT(G869))/365.25)</f>
        <v/>
      </c>
      <c r="P869" s="13">
        <f>IF(OR(C869="",NOT(ISNUMBER(L869))),"",IF(L869&lt;TODAY(),"Ended",IF(L869-TODAY()&lt;=N(Settings!$C$10),"Ends soon","Covered")))</f>
        <v/>
      </c>
      <c r="Q869" s="13">
        <f>IF(C869="","",MID(IF(N869="",", value","")&amp;IF(OR(J869="",J869="No"),", receipt","")&amp;IF(K869="",", photo",""),3,100))</f>
        <v/>
      </c>
      <c r="R869" s="13">
        <f>IF(AND(B869="",C869=""),"",IF(C869="","Needs the item",IF(B869="","Needs a room",IF(COUNTIF(Rooms!$B$6:$B$35,B869)=0,"Not on Rooms",IF(AND(H869&lt;&gt;"",NOT(ISNUMBER(H869))),"Paid not a number",IF(AND(I869&lt;&gt;"",NOT(ISNUMBER(I869))),"Worth not a number",IF(AND(G869&lt;&gt;"",NOT(ISNUMBER(G869))),"Bought is not a date",IF(AND(L869&lt;&gt;"",NOT(ISNUMBER(L869))),"Warranty is not a date",""))))))))</f>
        <v/>
      </c>
      <c r="S869" s="1">
        <f>IF(AND(C869&lt;&gt;"",R869=""),1,0)</f>
        <v/>
      </c>
      <c r="T869">
        <f>IF(S869=1,N(N869),0)</f>
        <v/>
      </c>
      <c r="U869">
        <f>IF(AND(S869=1,T869&gt;0),ROUND(T869*100,0)*10000+10000-ROW(),"")</f>
        <v/>
      </c>
      <c r="V869">
        <f>IF(AND(S869=1,OR(Report!$C$5="",B869=Report!$C$5)),MATCH(B869,Rooms!$B$6:$B$35,0)*10000+ROW(),"")</f>
        <v/>
      </c>
      <c r="W869">
        <f>IF(AND(S869=1,OR(J869="",J869="No")),1,0)</f>
        <v/>
      </c>
      <c r="X869">
        <f>IF(AND(S869=1,K869=""),1,0)</f>
        <v/>
      </c>
      <c r="Y869">
        <f>IF(AND(S869=1,Q869&lt;&gt;""),ROUND(T869*100,0)*10000+10000-ROW(),"")</f>
        <v/>
      </c>
    </row>
    <row r="870">
      <c r="A870" s="1" t="n"/>
      <c r="B870" s="17" t="n"/>
      <c r="C870" s="18" t="n"/>
      <c r="D870" s="17" t="n"/>
      <c r="E870" s="19" t="n"/>
      <c r="F870" s="19" t="n"/>
      <c r="G870" s="20" t="n"/>
      <c r="H870" s="21" t="n"/>
      <c r="I870" s="21" t="n"/>
      <c r="J870" s="17" t="n"/>
      <c r="K870" s="19" t="n"/>
      <c r="L870" s="20" t="n"/>
      <c r="M870" s="19" t="n"/>
      <c r="N870" s="22">
        <f>IF(C870="","",IF(ISNUMBER(I870),I870,IF(ISNUMBER(H870),H870,"")))</f>
        <v/>
      </c>
      <c r="O870" s="23">
        <f>IF(OR(C870="",NOT(ISNUMBER(G870))),"",(TODAY()-INT(G870))/365.25)</f>
        <v/>
      </c>
      <c r="P870" s="13">
        <f>IF(OR(C870="",NOT(ISNUMBER(L870))),"",IF(L870&lt;TODAY(),"Ended",IF(L870-TODAY()&lt;=N(Settings!$C$10),"Ends soon","Covered")))</f>
        <v/>
      </c>
      <c r="Q870" s="13">
        <f>IF(C870="","",MID(IF(N870="",", value","")&amp;IF(OR(J870="",J870="No"),", receipt","")&amp;IF(K870="",", photo",""),3,100))</f>
        <v/>
      </c>
      <c r="R870" s="13">
        <f>IF(AND(B870="",C870=""),"",IF(C870="","Needs the item",IF(B870="","Needs a room",IF(COUNTIF(Rooms!$B$6:$B$35,B870)=0,"Not on Rooms",IF(AND(H870&lt;&gt;"",NOT(ISNUMBER(H870))),"Paid not a number",IF(AND(I870&lt;&gt;"",NOT(ISNUMBER(I870))),"Worth not a number",IF(AND(G870&lt;&gt;"",NOT(ISNUMBER(G870))),"Bought is not a date",IF(AND(L870&lt;&gt;"",NOT(ISNUMBER(L870))),"Warranty is not a date",""))))))))</f>
        <v/>
      </c>
      <c r="S870" s="1">
        <f>IF(AND(C870&lt;&gt;"",R870=""),1,0)</f>
        <v/>
      </c>
      <c r="T870">
        <f>IF(S870=1,N(N870),0)</f>
        <v/>
      </c>
      <c r="U870">
        <f>IF(AND(S870=1,T870&gt;0),ROUND(T870*100,0)*10000+10000-ROW(),"")</f>
        <v/>
      </c>
      <c r="V870">
        <f>IF(AND(S870=1,OR(Report!$C$5="",B870=Report!$C$5)),MATCH(B870,Rooms!$B$6:$B$35,0)*10000+ROW(),"")</f>
        <v/>
      </c>
      <c r="W870">
        <f>IF(AND(S870=1,OR(J870="",J870="No")),1,0)</f>
        <v/>
      </c>
      <c r="X870">
        <f>IF(AND(S870=1,K870=""),1,0)</f>
        <v/>
      </c>
      <c r="Y870">
        <f>IF(AND(S870=1,Q870&lt;&gt;""),ROUND(T870*100,0)*10000+10000-ROW(),"")</f>
        <v/>
      </c>
    </row>
    <row r="871">
      <c r="A871" s="1" t="n"/>
      <c r="B871" s="17" t="n"/>
      <c r="C871" s="18" t="n"/>
      <c r="D871" s="17" t="n"/>
      <c r="E871" s="19" t="n"/>
      <c r="F871" s="19" t="n"/>
      <c r="G871" s="20" t="n"/>
      <c r="H871" s="21" t="n"/>
      <c r="I871" s="21" t="n"/>
      <c r="J871" s="17" t="n"/>
      <c r="K871" s="19" t="n"/>
      <c r="L871" s="20" t="n"/>
      <c r="M871" s="19" t="n"/>
      <c r="N871" s="22">
        <f>IF(C871="","",IF(ISNUMBER(I871),I871,IF(ISNUMBER(H871),H871,"")))</f>
        <v/>
      </c>
      <c r="O871" s="23">
        <f>IF(OR(C871="",NOT(ISNUMBER(G871))),"",(TODAY()-INT(G871))/365.25)</f>
        <v/>
      </c>
      <c r="P871" s="13">
        <f>IF(OR(C871="",NOT(ISNUMBER(L871))),"",IF(L871&lt;TODAY(),"Ended",IF(L871-TODAY()&lt;=N(Settings!$C$10),"Ends soon","Covered")))</f>
        <v/>
      </c>
      <c r="Q871" s="13">
        <f>IF(C871="","",MID(IF(N871="",", value","")&amp;IF(OR(J871="",J871="No"),", receipt","")&amp;IF(K871="",", photo",""),3,100))</f>
        <v/>
      </c>
      <c r="R871" s="13">
        <f>IF(AND(B871="",C871=""),"",IF(C871="","Needs the item",IF(B871="","Needs a room",IF(COUNTIF(Rooms!$B$6:$B$35,B871)=0,"Not on Rooms",IF(AND(H871&lt;&gt;"",NOT(ISNUMBER(H871))),"Paid not a number",IF(AND(I871&lt;&gt;"",NOT(ISNUMBER(I871))),"Worth not a number",IF(AND(G871&lt;&gt;"",NOT(ISNUMBER(G871))),"Bought is not a date",IF(AND(L871&lt;&gt;"",NOT(ISNUMBER(L871))),"Warranty is not a date",""))))))))</f>
        <v/>
      </c>
      <c r="S871" s="1">
        <f>IF(AND(C871&lt;&gt;"",R871=""),1,0)</f>
        <v/>
      </c>
      <c r="T871">
        <f>IF(S871=1,N(N871),0)</f>
        <v/>
      </c>
      <c r="U871">
        <f>IF(AND(S871=1,T871&gt;0),ROUND(T871*100,0)*10000+10000-ROW(),"")</f>
        <v/>
      </c>
      <c r="V871">
        <f>IF(AND(S871=1,OR(Report!$C$5="",B871=Report!$C$5)),MATCH(B871,Rooms!$B$6:$B$35,0)*10000+ROW(),"")</f>
        <v/>
      </c>
      <c r="W871">
        <f>IF(AND(S871=1,OR(J871="",J871="No")),1,0)</f>
        <v/>
      </c>
      <c r="X871">
        <f>IF(AND(S871=1,K871=""),1,0)</f>
        <v/>
      </c>
      <c r="Y871">
        <f>IF(AND(S871=1,Q871&lt;&gt;""),ROUND(T871*100,0)*10000+10000-ROW(),"")</f>
        <v/>
      </c>
    </row>
    <row r="872">
      <c r="A872" s="1" t="n"/>
      <c r="B872" s="17" t="n"/>
      <c r="C872" s="18" t="n"/>
      <c r="D872" s="17" t="n"/>
      <c r="E872" s="19" t="n"/>
      <c r="F872" s="19" t="n"/>
      <c r="G872" s="20" t="n"/>
      <c r="H872" s="21" t="n"/>
      <c r="I872" s="21" t="n"/>
      <c r="J872" s="17" t="n"/>
      <c r="K872" s="19" t="n"/>
      <c r="L872" s="20" t="n"/>
      <c r="M872" s="19" t="n"/>
      <c r="N872" s="22">
        <f>IF(C872="","",IF(ISNUMBER(I872),I872,IF(ISNUMBER(H872),H872,"")))</f>
        <v/>
      </c>
      <c r="O872" s="23">
        <f>IF(OR(C872="",NOT(ISNUMBER(G872))),"",(TODAY()-INT(G872))/365.25)</f>
        <v/>
      </c>
      <c r="P872" s="13">
        <f>IF(OR(C872="",NOT(ISNUMBER(L872))),"",IF(L872&lt;TODAY(),"Ended",IF(L872-TODAY()&lt;=N(Settings!$C$10),"Ends soon","Covered")))</f>
        <v/>
      </c>
      <c r="Q872" s="13">
        <f>IF(C872="","",MID(IF(N872="",", value","")&amp;IF(OR(J872="",J872="No"),", receipt","")&amp;IF(K872="",", photo",""),3,100))</f>
        <v/>
      </c>
      <c r="R872" s="13">
        <f>IF(AND(B872="",C872=""),"",IF(C872="","Needs the item",IF(B872="","Needs a room",IF(COUNTIF(Rooms!$B$6:$B$35,B872)=0,"Not on Rooms",IF(AND(H872&lt;&gt;"",NOT(ISNUMBER(H872))),"Paid not a number",IF(AND(I872&lt;&gt;"",NOT(ISNUMBER(I872))),"Worth not a number",IF(AND(G872&lt;&gt;"",NOT(ISNUMBER(G872))),"Bought is not a date",IF(AND(L872&lt;&gt;"",NOT(ISNUMBER(L872))),"Warranty is not a date",""))))))))</f>
        <v/>
      </c>
      <c r="S872" s="1">
        <f>IF(AND(C872&lt;&gt;"",R872=""),1,0)</f>
        <v/>
      </c>
      <c r="T872">
        <f>IF(S872=1,N(N872),0)</f>
        <v/>
      </c>
      <c r="U872">
        <f>IF(AND(S872=1,T872&gt;0),ROUND(T872*100,0)*10000+10000-ROW(),"")</f>
        <v/>
      </c>
      <c r="V872">
        <f>IF(AND(S872=1,OR(Report!$C$5="",B872=Report!$C$5)),MATCH(B872,Rooms!$B$6:$B$35,0)*10000+ROW(),"")</f>
        <v/>
      </c>
      <c r="W872">
        <f>IF(AND(S872=1,OR(J872="",J872="No")),1,0)</f>
        <v/>
      </c>
      <c r="X872">
        <f>IF(AND(S872=1,K872=""),1,0)</f>
        <v/>
      </c>
      <c r="Y872">
        <f>IF(AND(S872=1,Q872&lt;&gt;""),ROUND(T872*100,0)*10000+10000-ROW(),"")</f>
        <v/>
      </c>
    </row>
    <row r="873">
      <c r="A873" s="1" t="n"/>
      <c r="B873" s="17" t="n"/>
      <c r="C873" s="18" t="n"/>
      <c r="D873" s="17" t="n"/>
      <c r="E873" s="19" t="n"/>
      <c r="F873" s="19" t="n"/>
      <c r="G873" s="20" t="n"/>
      <c r="H873" s="21" t="n"/>
      <c r="I873" s="21" t="n"/>
      <c r="J873" s="17" t="n"/>
      <c r="K873" s="19" t="n"/>
      <c r="L873" s="20" t="n"/>
      <c r="M873" s="19" t="n"/>
      <c r="N873" s="22">
        <f>IF(C873="","",IF(ISNUMBER(I873),I873,IF(ISNUMBER(H873),H873,"")))</f>
        <v/>
      </c>
      <c r="O873" s="23">
        <f>IF(OR(C873="",NOT(ISNUMBER(G873))),"",(TODAY()-INT(G873))/365.25)</f>
        <v/>
      </c>
      <c r="P873" s="13">
        <f>IF(OR(C873="",NOT(ISNUMBER(L873))),"",IF(L873&lt;TODAY(),"Ended",IF(L873-TODAY()&lt;=N(Settings!$C$10),"Ends soon","Covered")))</f>
        <v/>
      </c>
      <c r="Q873" s="13">
        <f>IF(C873="","",MID(IF(N873="",", value","")&amp;IF(OR(J873="",J873="No"),", receipt","")&amp;IF(K873="",", photo",""),3,100))</f>
        <v/>
      </c>
      <c r="R873" s="13">
        <f>IF(AND(B873="",C873=""),"",IF(C873="","Needs the item",IF(B873="","Needs a room",IF(COUNTIF(Rooms!$B$6:$B$35,B873)=0,"Not on Rooms",IF(AND(H873&lt;&gt;"",NOT(ISNUMBER(H873))),"Paid not a number",IF(AND(I873&lt;&gt;"",NOT(ISNUMBER(I873))),"Worth not a number",IF(AND(G873&lt;&gt;"",NOT(ISNUMBER(G873))),"Bought is not a date",IF(AND(L873&lt;&gt;"",NOT(ISNUMBER(L873))),"Warranty is not a date",""))))))))</f>
        <v/>
      </c>
      <c r="S873" s="1">
        <f>IF(AND(C873&lt;&gt;"",R873=""),1,0)</f>
        <v/>
      </c>
      <c r="T873">
        <f>IF(S873=1,N(N873),0)</f>
        <v/>
      </c>
      <c r="U873">
        <f>IF(AND(S873=1,T873&gt;0),ROUND(T873*100,0)*10000+10000-ROW(),"")</f>
        <v/>
      </c>
      <c r="V873">
        <f>IF(AND(S873=1,OR(Report!$C$5="",B873=Report!$C$5)),MATCH(B873,Rooms!$B$6:$B$35,0)*10000+ROW(),"")</f>
        <v/>
      </c>
      <c r="W873">
        <f>IF(AND(S873=1,OR(J873="",J873="No")),1,0)</f>
        <v/>
      </c>
      <c r="X873">
        <f>IF(AND(S873=1,K873=""),1,0)</f>
        <v/>
      </c>
      <c r="Y873">
        <f>IF(AND(S873=1,Q873&lt;&gt;""),ROUND(T873*100,0)*10000+10000-ROW(),"")</f>
        <v/>
      </c>
    </row>
    <row r="874">
      <c r="A874" s="1" t="n"/>
      <c r="B874" s="17" t="n"/>
      <c r="C874" s="18" t="n"/>
      <c r="D874" s="17" t="n"/>
      <c r="E874" s="19" t="n"/>
      <c r="F874" s="19" t="n"/>
      <c r="G874" s="20" t="n"/>
      <c r="H874" s="21" t="n"/>
      <c r="I874" s="21" t="n"/>
      <c r="J874" s="17" t="n"/>
      <c r="K874" s="19" t="n"/>
      <c r="L874" s="20" t="n"/>
      <c r="M874" s="19" t="n"/>
      <c r="N874" s="22">
        <f>IF(C874="","",IF(ISNUMBER(I874),I874,IF(ISNUMBER(H874),H874,"")))</f>
        <v/>
      </c>
      <c r="O874" s="23">
        <f>IF(OR(C874="",NOT(ISNUMBER(G874))),"",(TODAY()-INT(G874))/365.25)</f>
        <v/>
      </c>
      <c r="P874" s="13">
        <f>IF(OR(C874="",NOT(ISNUMBER(L874))),"",IF(L874&lt;TODAY(),"Ended",IF(L874-TODAY()&lt;=N(Settings!$C$10),"Ends soon","Covered")))</f>
        <v/>
      </c>
      <c r="Q874" s="13">
        <f>IF(C874="","",MID(IF(N874="",", value","")&amp;IF(OR(J874="",J874="No"),", receipt","")&amp;IF(K874="",", photo",""),3,100))</f>
        <v/>
      </c>
      <c r="R874" s="13">
        <f>IF(AND(B874="",C874=""),"",IF(C874="","Needs the item",IF(B874="","Needs a room",IF(COUNTIF(Rooms!$B$6:$B$35,B874)=0,"Not on Rooms",IF(AND(H874&lt;&gt;"",NOT(ISNUMBER(H874))),"Paid not a number",IF(AND(I874&lt;&gt;"",NOT(ISNUMBER(I874))),"Worth not a number",IF(AND(G874&lt;&gt;"",NOT(ISNUMBER(G874))),"Bought is not a date",IF(AND(L874&lt;&gt;"",NOT(ISNUMBER(L874))),"Warranty is not a date",""))))))))</f>
        <v/>
      </c>
      <c r="S874" s="1">
        <f>IF(AND(C874&lt;&gt;"",R874=""),1,0)</f>
        <v/>
      </c>
      <c r="T874">
        <f>IF(S874=1,N(N874),0)</f>
        <v/>
      </c>
      <c r="U874">
        <f>IF(AND(S874=1,T874&gt;0),ROUND(T874*100,0)*10000+10000-ROW(),"")</f>
        <v/>
      </c>
      <c r="V874">
        <f>IF(AND(S874=1,OR(Report!$C$5="",B874=Report!$C$5)),MATCH(B874,Rooms!$B$6:$B$35,0)*10000+ROW(),"")</f>
        <v/>
      </c>
      <c r="W874">
        <f>IF(AND(S874=1,OR(J874="",J874="No")),1,0)</f>
        <v/>
      </c>
      <c r="X874">
        <f>IF(AND(S874=1,K874=""),1,0)</f>
        <v/>
      </c>
      <c r="Y874">
        <f>IF(AND(S874=1,Q874&lt;&gt;""),ROUND(T874*100,0)*10000+10000-ROW(),"")</f>
        <v/>
      </c>
    </row>
    <row r="875">
      <c r="A875" s="1" t="n"/>
      <c r="B875" s="17" t="n"/>
      <c r="C875" s="18" t="n"/>
      <c r="D875" s="17" t="n"/>
      <c r="E875" s="19" t="n"/>
      <c r="F875" s="19" t="n"/>
      <c r="G875" s="20" t="n"/>
      <c r="H875" s="21" t="n"/>
      <c r="I875" s="21" t="n"/>
      <c r="J875" s="17" t="n"/>
      <c r="K875" s="19" t="n"/>
      <c r="L875" s="20" t="n"/>
      <c r="M875" s="19" t="n"/>
      <c r="N875" s="22">
        <f>IF(C875="","",IF(ISNUMBER(I875),I875,IF(ISNUMBER(H875),H875,"")))</f>
        <v/>
      </c>
      <c r="O875" s="23">
        <f>IF(OR(C875="",NOT(ISNUMBER(G875))),"",(TODAY()-INT(G875))/365.25)</f>
        <v/>
      </c>
      <c r="P875" s="13">
        <f>IF(OR(C875="",NOT(ISNUMBER(L875))),"",IF(L875&lt;TODAY(),"Ended",IF(L875-TODAY()&lt;=N(Settings!$C$10),"Ends soon","Covered")))</f>
        <v/>
      </c>
      <c r="Q875" s="13">
        <f>IF(C875="","",MID(IF(N875="",", value","")&amp;IF(OR(J875="",J875="No"),", receipt","")&amp;IF(K875="",", photo",""),3,100))</f>
        <v/>
      </c>
      <c r="R875" s="13">
        <f>IF(AND(B875="",C875=""),"",IF(C875="","Needs the item",IF(B875="","Needs a room",IF(COUNTIF(Rooms!$B$6:$B$35,B875)=0,"Not on Rooms",IF(AND(H875&lt;&gt;"",NOT(ISNUMBER(H875))),"Paid not a number",IF(AND(I875&lt;&gt;"",NOT(ISNUMBER(I875))),"Worth not a number",IF(AND(G875&lt;&gt;"",NOT(ISNUMBER(G875))),"Bought is not a date",IF(AND(L875&lt;&gt;"",NOT(ISNUMBER(L875))),"Warranty is not a date",""))))))))</f>
        <v/>
      </c>
      <c r="S875" s="1">
        <f>IF(AND(C875&lt;&gt;"",R875=""),1,0)</f>
        <v/>
      </c>
      <c r="T875">
        <f>IF(S875=1,N(N875),0)</f>
        <v/>
      </c>
      <c r="U875">
        <f>IF(AND(S875=1,T875&gt;0),ROUND(T875*100,0)*10000+10000-ROW(),"")</f>
        <v/>
      </c>
      <c r="V875">
        <f>IF(AND(S875=1,OR(Report!$C$5="",B875=Report!$C$5)),MATCH(B875,Rooms!$B$6:$B$35,0)*10000+ROW(),"")</f>
        <v/>
      </c>
      <c r="W875">
        <f>IF(AND(S875=1,OR(J875="",J875="No")),1,0)</f>
        <v/>
      </c>
      <c r="X875">
        <f>IF(AND(S875=1,K875=""),1,0)</f>
        <v/>
      </c>
      <c r="Y875">
        <f>IF(AND(S875=1,Q875&lt;&gt;""),ROUND(T875*100,0)*10000+10000-ROW(),"")</f>
        <v/>
      </c>
    </row>
    <row r="876">
      <c r="A876" s="1" t="n"/>
      <c r="B876" s="17" t="n"/>
      <c r="C876" s="18" t="n"/>
      <c r="D876" s="17" t="n"/>
      <c r="E876" s="19" t="n"/>
      <c r="F876" s="19" t="n"/>
      <c r="G876" s="20" t="n"/>
      <c r="H876" s="21" t="n"/>
      <c r="I876" s="21" t="n"/>
      <c r="J876" s="17" t="n"/>
      <c r="K876" s="19" t="n"/>
      <c r="L876" s="20" t="n"/>
      <c r="M876" s="19" t="n"/>
      <c r="N876" s="22">
        <f>IF(C876="","",IF(ISNUMBER(I876),I876,IF(ISNUMBER(H876),H876,"")))</f>
        <v/>
      </c>
      <c r="O876" s="23">
        <f>IF(OR(C876="",NOT(ISNUMBER(G876))),"",(TODAY()-INT(G876))/365.25)</f>
        <v/>
      </c>
      <c r="P876" s="13">
        <f>IF(OR(C876="",NOT(ISNUMBER(L876))),"",IF(L876&lt;TODAY(),"Ended",IF(L876-TODAY()&lt;=N(Settings!$C$10),"Ends soon","Covered")))</f>
        <v/>
      </c>
      <c r="Q876" s="13">
        <f>IF(C876="","",MID(IF(N876="",", value","")&amp;IF(OR(J876="",J876="No"),", receipt","")&amp;IF(K876="",", photo",""),3,100))</f>
        <v/>
      </c>
      <c r="R876" s="13">
        <f>IF(AND(B876="",C876=""),"",IF(C876="","Needs the item",IF(B876="","Needs a room",IF(COUNTIF(Rooms!$B$6:$B$35,B876)=0,"Not on Rooms",IF(AND(H876&lt;&gt;"",NOT(ISNUMBER(H876))),"Paid not a number",IF(AND(I876&lt;&gt;"",NOT(ISNUMBER(I876))),"Worth not a number",IF(AND(G876&lt;&gt;"",NOT(ISNUMBER(G876))),"Bought is not a date",IF(AND(L876&lt;&gt;"",NOT(ISNUMBER(L876))),"Warranty is not a date",""))))))))</f>
        <v/>
      </c>
      <c r="S876" s="1">
        <f>IF(AND(C876&lt;&gt;"",R876=""),1,0)</f>
        <v/>
      </c>
      <c r="T876">
        <f>IF(S876=1,N(N876),0)</f>
        <v/>
      </c>
      <c r="U876">
        <f>IF(AND(S876=1,T876&gt;0),ROUND(T876*100,0)*10000+10000-ROW(),"")</f>
        <v/>
      </c>
      <c r="V876">
        <f>IF(AND(S876=1,OR(Report!$C$5="",B876=Report!$C$5)),MATCH(B876,Rooms!$B$6:$B$35,0)*10000+ROW(),"")</f>
        <v/>
      </c>
      <c r="W876">
        <f>IF(AND(S876=1,OR(J876="",J876="No")),1,0)</f>
        <v/>
      </c>
      <c r="X876">
        <f>IF(AND(S876=1,K876=""),1,0)</f>
        <v/>
      </c>
      <c r="Y876">
        <f>IF(AND(S876=1,Q876&lt;&gt;""),ROUND(T876*100,0)*10000+10000-ROW(),"")</f>
        <v/>
      </c>
    </row>
    <row r="877">
      <c r="A877" s="1" t="n"/>
      <c r="B877" s="17" t="n"/>
      <c r="C877" s="18" t="n"/>
      <c r="D877" s="17" t="n"/>
      <c r="E877" s="19" t="n"/>
      <c r="F877" s="19" t="n"/>
      <c r="G877" s="20" t="n"/>
      <c r="H877" s="21" t="n"/>
      <c r="I877" s="21" t="n"/>
      <c r="J877" s="17" t="n"/>
      <c r="K877" s="19" t="n"/>
      <c r="L877" s="20" t="n"/>
      <c r="M877" s="19" t="n"/>
      <c r="N877" s="22">
        <f>IF(C877="","",IF(ISNUMBER(I877),I877,IF(ISNUMBER(H877),H877,"")))</f>
        <v/>
      </c>
      <c r="O877" s="23">
        <f>IF(OR(C877="",NOT(ISNUMBER(G877))),"",(TODAY()-INT(G877))/365.25)</f>
        <v/>
      </c>
      <c r="P877" s="13">
        <f>IF(OR(C877="",NOT(ISNUMBER(L877))),"",IF(L877&lt;TODAY(),"Ended",IF(L877-TODAY()&lt;=N(Settings!$C$10),"Ends soon","Covered")))</f>
        <v/>
      </c>
      <c r="Q877" s="13">
        <f>IF(C877="","",MID(IF(N877="",", value","")&amp;IF(OR(J877="",J877="No"),", receipt","")&amp;IF(K877="",", photo",""),3,100))</f>
        <v/>
      </c>
      <c r="R877" s="13">
        <f>IF(AND(B877="",C877=""),"",IF(C877="","Needs the item",IF(B877="","Needs a room",IF(COUNTIF(Rooms!$B$6:$B$35,B877)=0,"Not on Rooms",IF(AND(H877&lt;&gt;"",NOT(ISNUMBER(H877))),"Paid not a number",IF(AND(I877&lt;&gt;"",NOT(ISNUMBER(I877))),"Worth not a number",IF(AND(G877&lt;&gt;"",NOT(ISNUMBER(G877))),"Bought is not a date",IF(AND(L877&lt;&gt;"",NOT(ISNUMBER(L877))),"Warranty is not a date",""))))))))</f>
        <v/>
      </c>
      <c r="S877" s="1">
        <f>IF(AND(C877&lt;&gt;"",R877=""),1,0)</f>
        <v/>
      </c>
      <c r="T877">
        <f>IF(S877=1,N(N877),0)</f>
        <v/>
      </c>
      <c r="U877">
        <f>IF(AND(S877=1,T877&gt;0),ROUND(T877*100,0)*10000+10000-ROW(),"")</f>
        <v/>
      </c>
      <c r="V877">
        <f>IF(AND(S877=1,OR(Report!$C$5="",B877=Report!$C$5)),MATCH(B877,Rooms!$B$6:$B$35,0)*10000+ROW(),"")</f>
        <v/>
      </c>
      <c r="W877">
        <f>IF(AND(S877=1,OR(J877="",J877="No")),1,0)</f>
        <v/>
      </c>
      <c r="X877">
        <f>IF(AND(S877=1,K877=""),1,0)</f>
        <v/>
      </c>
      <c r="Y877">
        <f>IF(AND(S877=1,Q877&lt;&gt;""),ROUND(T877*100,0)*10000+10000-ROW(),"")</f>
        <v/>
      </c>
    </row>
    <row r="878">
      <c r="A878" s="1" t="n"/>
      <c r="B878" s="17" t="n"/>
      <c r="C878" s="18" t="n"/>
      <c r="D878" s="17" t="n"/>
      <c r="E878" s="19" t="n"/>
      <c r="F878" s="19" t="n"/>
      <c r="G878" s="20" t="n"/>
      <c r="H878" s="21" t="n"/>
      <c r="I878" s="21" t="n"/>
      <c r="J878" s="17" t="n"/>
      <c r="K878" s="19" t="n"/>
      <c r="L878" s="20" t="n"/>
      <c r="M878" s="19" t="n"/>
      <c r="N878" s="22">
        <f>IF(C878="","",IF(ISNUMBER(I878),I878,IF(ISNUMBER(H878),H878,"")))</f>
        <v/>
      </c>
      <c r="O878" s="23">
        <f>IF(OR(C878="",NOT(ISNUMBER(G878))),"",(TODAY()-INT(G878))/365.25)</f>
        <v/>
      </c>
      <c r="P878" s="13">
        <f>IF(OR(C878="",NOT(ISNUMBER(L878))),"",IF(L878&lt;TODAY(),"Ended",IF(L878-TODAY()&lt;=N(Settings!$C$10),"Ends soon","Covered")))</f>
        <v/>
      </c>
      <c r="Q878" s="13">
        <f>IF(C878="","",MID(IF(N878="",", value","")&amp;IF(OR(J878="",J878="No"),", receipt","")&amp;IF(K878="",", photo",""),3,100))</f>
        <v/>
      </c>
      <c r="R878" s="13">
        <f>IF(AND(B878="",C878=""),"",IF(C878="","Needs the item",IF(B878="","Needs a room",IF(COUNTIF(Rooms!$B$6:$B$35,B878)=0,"Not on Rooms",IF(AND(H878&lt;&gt;"",NOT(ISNUMBER(H878))),"Paid not a number",IF(AND(I878&lt;&gt;"",NOT(ISNUMBER(I878))),"Worth not a number",IF(AND(G878&lt;&gt;"",NOT(ISNUMBER(G878))),"Bought is not a date",IF(AND(L878&lt;&gt;"",NOT(ISNUMBER(L878))),"Warranty is not a date",""))))))))</f>
        <v/>
      </c>
      <c r="S878" s="1">
        <f>IF(AND(C878&lt;&gt;"",R878=""),1,0)</f>
        <v/>
      </c>
      <c r="T878">
        <f>IF(S878=1,N(N878),0)</f>
        <v/>
      </c>
      <c r="U878">
        <f>IF(AND(S878=1,T878&gt;0),ROUND(T878*100,0)*10000+10000-ROW(),"")</f>
        <v/>
      </c>
      <c r="V878">
        <f>IF(AND(S878=1,OR(Report!$C$5="",B878=Report!$C$5)),MATCH(B878,Rooms!$B$6:$B$35,0)*10000+ROW(),"")</f>
        <v/>
      </c>
      <c r="W878">
        <f>IF(AND(S878=1,OR(J878="",J878="No")),1,0)</f>
        <v/>
      </c>
      <c r="X878">
        <f>IF(AND(S878=1,K878=""),1,0)</f>
        <v/>
      </c>
      <c r="Y878">
        <f>IF(AND(S878=1,Q878&lt;&gt;""),ROUND(T878*100,0)*10000+10000-ROW(),"")</f>
        <v/>
      </c>
    </row>
    <row r="879">
      <c r="A879" s="1" t="n"/>
      <c r="B879" s="17" t="n"/>
      <c r="C879" s="18" t="n"/>
      <c r="D879" s="17" t="n"/>
      <c r="E879" s="19" t="n"/>
      <c r="F879" s="19" t="n"/>
      <c r="G879" s="20" t="n"/>
      <c r="H879" s="21" t="n"/>
      <c r="I879" s="21" t="n"/>
      <c r="J879" s="17" t="n"/>
      <c r="K879" s="19" t="n"/>
      <c r="L879" s="20" t="n"/>
      <c r="M879" s="19" t="n"/>
      <c r="N879" s="22">
        <f>IF(C879="","",IF(ISNUMBER(I879),I879,IF(ISNUMBER(H879),H879,"")))</f>
        <v/>
      </c>
      <c r="O879" s="23">
        <f>IF(OR(C879="",NOT(ISNUMBER(G879))),"",(TODAY()-INT(G879))/365.25)</f>
        <v/>
      </c>
      <c r="P879" s="13">
        <f>IF(OR(C879="",NOT(ISNUMBER(L879))),"",IF(L879&lt;TODAY(),"Ended",IF(L879-TODAY()&lt;=N(Settings!$C$10),"Ends soon","Covered")))</f>
        <v/>
      </c>
      <c r="Q879" s="13">
        <f>IF(C879="","",MID(IF(N879="",", value","")&amp;IF(OR(J879="",J879="No"),", receipt","")&amp;IF(K879="",", photo",""),3,100))</f>
        <v/>
      </c>
      <c r="R879" s="13">
        <f>IF(AND(B879="",C879=""),"",IF(C879="","Needs the item",IF(B879="","Needs a room",IF(COUNTIF(Rooms!$B$6:$B$35,B879)=0,"Not on Rooms",IF(AND(H879&lt;&gt;"",NOT(ISNUMBER(H879))),"Paid not a number",IF(AND(I879&lt;&gt;"",NOT(ISNUMBER(I879))),"Worth not a number",IF(AND(G879&lt;&gt;"",NOT(ISNUMBER(G879))),"Bought is not a date",IF(AND(L879&lt;&gt;"",NOT(ISNUMBER(L879))),"Warranty is not a date",""))))))))</f>
        <v/>
      </c>
      <c r="S879" s="1">
        <f>IF(AND(C879&lt;&gt;"",R879=""),1,0)</f>
        <v/>
      </c>
      <c r="T879">
        <f>IF(S879=1,N(N879),0)</f>
        <v/>
      </c>
      <c r="U879">
        <f>IF(AND(S879=1,T879&gt;0),ROUND(T879*100,0)*10000+10000-ROW(),"")</f>
        <v/>
      </c>
      <c r="V879">
        <f>IF(AND(S879=1,OR(Report!$C$5="",B879=Report!$C$5)),MATCH(B879,Rooms!$B$6:$B$35,0)*10000+ROW(),"")</f>
        <v/>
      </c>
      <c r="W879">
        <f>IF(AND(S879=1,OR(J879="",J879="No")),1,0)</f>
        <v/>
      </c>
      <c r="X879">
        <f>IF(AND(S879=1,K879=""),1,0)</f>
        <v/>
      </c>
      <c r="Y879">
        <f>IF(AND(S879=1,Q879&lt;&gt;""),ROUND(T879*100,0)*10000+10000-ROW(),"")</f>
        <v/>
      </c>
    </row>
    <row r="880">
      <c r="A880" s="1" t="n"/>
      <c r="B880" s="17" t="n"/>
      <c r="C880" s="18" t="n"/>
      <c r="D880" s="17" t="n"/>
      <c r="E880" s="19" t="n"/>
      <c r="F880" s="19" t="n"/>
      <c r="G880" s="20" t="n"/>
      <c r="H880" s="21" t="n"/>
      <c r="I880" s="21" t="n"/>
      <c r="J880" s="17" t="n"/>
      <c r="K880" s="19" t="n"/>
      <c r="L880" s="20" t="n"/>
      <c r="M880" s="19" t="n"/>
      <c r="N880" s="22">
        <f>IF(C880="","",IF(ISNUMBER(I880),I880,IF(ISNUMBER(H880),H880,"")))</f>
        <v/>
      </c>
      <c r="O880" s="23">
        <f>IF(OR(C880="",NOT(ISNUMBER(G880))),"",(TODAY()-INT(G880))/365.25)</f>
        <v/>
      </c>
      <c r="P880" s="13">
        <f>IF(OR(C880="",NOT(ISNUMBER(L880))),"",IF(L880&lt;TODAY(),"Ended",IF(L880-TODAY()&lt;=N(Settings!$C$10),"Ends soon","Covered")))</f>
        <v/>
      </c>
      <c r="Q880" s="13">
        <f>IF(C880="","",MID(IF(N880="",", value","")&amp;IF(OR(J880="",J880="No"),", receipt","")&amp;IF(K880="",", photo",""),3,100))</f>
        <v/>
      </c>
      <c r="R880" s="13">
        <f>IF(AND(B880="",C880=""),"",IF(C880="","Needs the item",IF(B880="","Needs a room",IF(COUNTIF(Rooms!$B$6:$B$35,B880)=0,"Not on Rooms",IF(AND(H880&lt;&gt;"",NOT(ISNUMBER(H880))),"Paid not a number",IF(AND(I880&lt;&gt;"",NOT(ISNUMBER(I880))),"Worth not a number",IF(AND(G880&lt;&gt;"",NOT(ISNUMBER(G880))),"Bought is not a date",IF(AND(L880&lt;&gt;"",NOT(ISNUMBER(L880))),"Warranty is not a date",""))))))))</f>
        <v/>
      </c>
      <c r="S880" s="1">
        <f>IF(AND(C880&lt;&gt;"",R880=""),1,0)</f>
        <v/>
      </c>
      <c r="T880">
        <f>IF(S880=1,N(N880),0)</f>
        <v/>
      </c>
      <c r="U880">
        <f>IF(AND(S880=1,T880&gt;0),ROUND(T880*100,0)*10000+10000-ROW(),"")</f>
        <v/>
      </c>
      <c r="V880">
        <f>IF(AND(S880=1,OR(Report!$C$5="",B880=Report!$C$5)),MATCH(B880,Rooms!$B$6:$B$35,0)*10000+ROW(),"")</f>
        <v/>
      </c>
      <c r="W880">
        <f>IF(AND(S880=1,OR(J880="",J880="No")),1,0)</f>
        <v/>
      </c>
      <c r="X880">
        <f>IF(AND(S880=1,K880=""),1,0)</f>
        <v/>
      </c>
      <c r="Y880">
        <f>IF(AND(S880=1,Q880&lt;&gt;""),ROUND(T880*100,0)*10000+10000-ROW(),"")</f>
        <v/>
      </c>
    </row>
    <row r="881">
      <c r="A881" s="1" t="n"/>
      <c r="B881" s="17" t="n"/>
      <c r="C881" s="18" t="n"/>
      <c r="D881" s="17" t="n"/>
      <c r="E881" s="19" t="n"/>
      <c r="F881" s="19" t="n"/>
      <c r="G881" s="20" t="n"/>
      <c r="H881" s="21" t="n"/>
      <c r="I881" s="21" t="n"/>
      <c r="J881" s="17" t="n"/>
      <c r="K881" s="19" t="n"/>
      <c r="L881" s="20" t="n"/>
      <c r="M881" s="19" t="n"/>
      <c r="N881" s="22">
        <f>IF(C881="","",IF(ISNUMBER(I881),I881,IF(ISNUMBER(H881),H881,"")))</f>
        <v/>
      </c>
      <c r="O881" s="23">
        <f>IF(OR(C881="",NOT(ISNUMBER(G881))),"",(TODAY()-INT(G881))/365.25)</f>
        <v/>
      </c>
      <c r="P881" s="13">
        <f>IF(OR(C881="",NOT(ISNUMBER(L881))),"",IF(L881&lt;TODAY(),"Ended",IF(L881-TODAY()&lt;=N(Settings!$C$10),"Ends soon","Covered")))</f>
        <v/>
      </c>
      <c r="Q881" s="13">
        <f>IF(C881="","",MID(IF(N881="",", value","")&amp;IF(OR(J881="",J881="No"),", receipt","")&amp;IF(K881="",", photo",""),3,100))</f>
        <v/>
      </c>
      <c r="R881" s="13">
        <f>IF(AND(B881="",C881=""),"",IF(C881="","Needs the item",IF(B881="","Needs a room",IF(COUNTIF(Rooms!$B$6:$B$35,B881)=0,"Not on Rooms",IF(AND(H881&lt;&gt;"",NOT(ISNUMBER(H881))),"Paid not a number",IF(AND(I881&lt;&gt;"",NOT(ISNUMBER(I881))),"Worth not a number",IF(AND(G881&lt;&gt;"",NOT(ISNUMBER(G881))),"Bought is not a date",IF(AND(L881&lt;&gt;"",NOT(ISNUMBER(L881))),"Warranty is not a date",""))))))))</f>
        <v/>
      </c>
      <c r="S881" s="1">
        <f>IF(AND(C881&lt;&gt;"",R881=""),1,0)</f>
        <v/>
      </c>
      <c r="T881">
        <f>IF(S881=1,N(N881),0)</f>
        <v/>
      </c>
      <c r="U881">
        <f>IF(AND(S881=1,T881&gt;0),ROUND(T881*100,0)*10000+10000-ROW(),"")</f>
        <v/>
      </c>
      <c r="V881">
        <f>IF(AND(S881=1,OR(Report!$C$5="",B881=Report!$C$5)),MATCH(B881,Rooms!$B$6:$B$35,0)*10000+ROW(),"")</f>
        <v/>
      </c>
      <c r="W881">
        <f>IF(AND(S881=1,OR(J881="",J881="No")),1,0)</f>
        <v/>
      </c>
      <c r="X881">
        <f>IF(AND(S881=1,K881=""),1,0)</f>
        <v/>
      </c>
      <c r="Y881">
        <f>IF(AND(S881=1,Q881&lt;&gt;""),ROUND(T881*100,0)*10000+10000-ROW(),"")</f>
        <v/>
      </c>
    </row>
    <row r="882">
      <c r="A882" s="1" t="n"/>
      <c r="B882" s="17" t="n"/>
      <c r="C882" s="18" t="n"/>
      <c r="D882" s="17" t="n"/>
      <c r="E882" s="19" t="n"/>
      <c r="F882" s="19" t="n"/>
      <c r="G882" s="20" t="n"/>
      <c r="H882" s="21" t="n"/>
      <c r="I882" s="21" t="n"/>
      <c r="J882" s="17" t="n"/>
      <c r="K882" s="19" t="n"/>
      <c r="L882" s="20" t="n"/>
      <c r="M882" s="19" t="n"/>
      <c r="N882" s="22">
        <f>IF(C882="","",IF(ISNUMBER(I882),I882,IF(ISNUMBER(H882),H882,"")))</f>
        <v/>
      </c>
      <c r="O882" s="23">
        <f>IF(OR(C882="",NOT(ISNUMBER(G882))),"",(TODAY()-INT(G882))/365.25)</f>
        <v/>
      </c>
      <c r="P882" s="13">
        <f>IF(OR(C882="",NOT(ISNUMBER(L882))),"",IF(L882&lt;TODAY(),"Ended",IF(L882-TODAY()&lt;=N(Settings!$C$10),"Ends soon","Covered")))</f>
        <v/>
      </c>
      <c r="Q882" s="13">
        <f>IF(C882="","",MID(IF(N882="",", value","")&amp;IF(OR(J882="",J882="No"),", receipt","")&amp;IF(K882="",", photo",""),3,100))</f>
        <v/>
      </c>
      <c r="R882" s="13">
        <f>IF(AND(B882="",C882=""),"",IF(C882="","Needs the item",IF(B882="","Needs a room",IF(COUNTIF(Rooms!$B$6:$B$35,B882)=0,"Not on Rooms",IF(AND(H882&lt;&gt;"",NOT(ISNUMBER(H882))),"Paid not a number",IF(AND(I882&lt;&gt;"",NOT(ISNUMBER(I882))),"Worth not a number",IF(AND(G882&lt;&gt;"",NOT(ISNUMBER(G882))),"Bought is not a date",IF(AND(L882&lt;&gt;"",NOT(ISNUMBER(L882))),"Warranty is not a date",""))))))))</f>
        <v/>
      </c>
      <c r="S882" s="1">
        <f>IF(AND(C882&lt;&gt;"",R882=""),1,0)</f>
        <v/>
      </c>
      <c r="T882">
        <f>IF(S882=1,N(N882),0)</f>
        <v/>
      </c>
      <c r="U882">
        <f>IF(AND(S882=1,T882&gt;0),ROUND(T882*100,0)*10000+10000-ROW(),"")</f>
        <v/>
      </c>
      <c r="V882">
        <f>IF(AND(S882=1,OR(Report!$C$5="",B882=Report!$C$5)),MATCH(B882,Rooms!$B$6:$B$35,0)*10000+ROW(),"")</f>
        <v/>
      </c>
      <c r="W882">
        <f>IF(AND(S882=1,OR(J882="",J882="No")),1,0)</f>
        <v/>
      </c>
      <c r="X882">
        <f>IF(AND(S882=1,K882=""),1,0)</f>
        <v/>
      </c>
      <c r="Y882">
        <f>IF(AND(S882=1,Q882&lt;&gt;""),ROUND(T882*100,0)*10000+10000-ROW(),"")</f>
        <v/>
      </c>
    </row>
    <row r="883">
      <c r="A883" s="1" t="n"/>
      <c r="B883" s="17" t="n"/>
      <c r="C883" s="18" t="n"/>
      <c r="D883" s="17" t="n"/>
      <c r="E883" s="19" t="n"/>
      <c r="F883" s="19" t="n"/>
      <c r="G883" s="20" t="n"/>
      <c r="H883" s="21" t="n"/>
      <c r="I883" s="21" t="n"/>
      <c r="J883" s="17" t="n"/>
      <c r="K883" s="19" t="n"/>
      <c r="L883" s="20" t="n"/>
      <c r="M883" s="19" t="n"/>
      <c r="N883" s="22">
        <f>IF(C883="","",IF(ISNUMBER(I883),I883,IF(ISNUMBER(H883),H883,"")))</f>
        <v/>
      </c>
      <c r="O883" s="23">
        <f>IF(OR(C883="",NOT(ISNUMBER(G883))),"",(TODAY()-INT(G883))/365.25)</f>
        <v/>
      </c>
      <c r="P883" s="13">
        <f>IF(OR(C883="",NOT(ISNUMBER(L883))),"",IF(L883&lt;TODAY(),"Ended",IF(L883-TODAY()&lt;=N(Settings!$C$10),"Ends soon","Covered")))</f>
        <v/>
      </c>
      <c r="Q883" s="13">
        <f>IF(C883="","",MID(IF(N883="",", value","")&amp;IF(OR(J883="",J883="No"),", receipt","")&amp;IF(K883="",", photo",""),3,100))</f>
        <v/>
      </c>
      <c r="R883" s="13">
        <f>IF(AND(B883="",C883=""),"",IF(C883="","Needs the item",IF(B883="","Needs a room",IF(COUNTIF(Rooms!$B$6:$B$35,B883)=0,"Not on Rooms",IF(AND(H883&lt;&gt;"",NOT(ISNUMBER(H883))),"Paid not a number",IF(AND(I883&lt;&gt;"",NOT(ISNUMBER(I883))),"Worth not a number",IF(AND(G883&lt;&gt;"",NOT(ISNUMBER(G883))),"Bought is not a date",IF(AND(L883&lt;&gt;"",NOT(ISNUMBER(L883))),"Warranty is not a date",""))))))))</f>
        <v/>
      </c>
      <c r="S883" s="1">
        <f>IF(AND(C883&lt;&gt;"",R883=""),1,0)</f>
        <v/>
      </c>
      <c r="T883">
        <f>IF(S883=1,N(N883),0)</f>
        <v/>
      </c>
      <c r="U883">
        <f>IF(AND(S883=1,T883&gt;0),ROUND(T883*100,0)*10000+10000-ROW(),"")</f>
        <v/>
      </c>
      <c r="V883">
        <f>IF(AND(S883=1,OR(Report!$C$5="",B883=Report!$C$5)),MATCH(B883,Rooms!$B$6:$B$35,0)*10000+ROW(),"")</f>
        <v/>
      </c>
      <c r="W883">
        <f>IF(AND(S883=1,OR(J883="",J883="No")),1,0)</f>
        <v/>
      </c>
      <c r="X883">
        <f>IF(AND(S883=1,K883=""),1,0)</f>
        <v/>
      </c>
      <c r="Y883">
        <f>IF(AND(S883=1,Q883&lt;&gt;""),ROUND(T883*100,0)*10000+10000-ROW(),"")</f>
        <v/>
      </c>
    </row>
    <row r="884">
      <c r="A884" s="1" t="n"/>
      <c r="B884" s="17" t="n"/>
      <c r="C884" s="18" t="n"/>
      <c r="D884" s="17" t="n"/>
      <c r="E884" s="19" t="n"/>
      <c r="F884" s="19" t="n"/>
      <c r="G884" s="20" t="n"/>
      <c r="H884" s="21" t="n"/>
      <c r="I884" s="21" t="n"/>
      <c r="J884" s="17" t="n"/>
      <c r="K884" s="19" t="n"/>
      <c r="L884" s="20" t="n"/>
      <c r="M884" s="19" t="n"/>
      <c r="N884" s="22">
        <f>IF(C884="","",IF(ISNUMBER(I884),I884,IF(ISNUMBER(H884),H884,"")))</f>
        <v/>
      </c>
      <c r="O884" s="23">
        <f>IF(OR(C884="",NOT(ISNUMBER(G884))),"",(TODAY()-INT(G884))/365.25)</f>
        <v/>
      </c>
      <c r="P884" s="13">
        <f>IF(OR(C884="",NOT(ISNUMBER(L884))),"",IF(L884&lt;TODAY(),"Ended",IF(L884-TODAY()&lt;=N(Settings!$C$10),"Ends soon","Covered")))</f>
        <v/>
      </c>
      <c r="Q884" s="13">
        <f>IF(C884="","",MID(IF(N884="",", value","")&amp;IF(OR(J884="",J884="No"),", receipt","")&amp;IF(K884="",", photo",""),3,100))</f>
        <v/>
      </c>
      <c r="R884" s="13">
        <f>IF(AND(B884="",C884=""),"",IF(C884="","Needs the item",IF(B884="","Needs a room",IF(COUNTIF(Rooms!$B$6:$B$35,B884)=0,"Not on Rooms",IF(AND(H884&lt;&gt;"",NOT(ISNUMBER(H884))),"Paid not a number",IF(AND(I884&lt;&gt;"",NOT(ISNUMBER(I884))),"Worth not a number",IF(AND(G884&lt;&gt;"",NOT(ISNUMBER(G884))),"Bought is not a date",IF(AND(L884&lt;&gt;"",NOT(ISNUMBER(L884))),"Warranty is not a date",""))))))))</f>
        <v/>
      </c>
      <c r="S884" s="1">
        <f>IF(AND(C884&lt;&gt;"",R884=""),1,0)</f>
        <v/>
      </c>
      <c r="T884">
        <f>IF(S884=1,N(N884),0)</f>
        <v/>
      </c>
      <c r="U884">
        <f>IF(AND(S884=1,T884&gt;0),ROUND(T884*100,0)*10000+10000-ROW(),"")</f>
        <v/>
      </c>
      <c r="V884">
        <f>IF(AND(S884=1,OR(Report!$C$5="",B884=Report!$C$5)),MATCH(B884,Rooms!$B$6:$B$35,0)*10000+ROW(),"")</f>
        <v/>
      </c>
      <c r="W884">
        <f>IF(AND(S884=1,OR(J884="",J884="No")),1,0)</f>
        <v/>
      </c>
      <c r="X884">
        <f>IF(AND(S884=1,K884=""),1,0)</f>
        <v/>
      </c>
      <c r="Y884">
        <f>IF(AND(S884=1,Q884&lt;&gt;""),ROUND(T884*100,0)*10000+10000-ROW(),"")</f>
        <v/>
      </c>
    </row>
    <row r="885">
      <c r="A885" s="1" t="n"/>
      <c r="B885" s="17" t="n"/>
      <c r="C885" s="18" t="n"/>
      <c r="D885" s="17" t="n"/>
      <c r="E885" s="19" t="n"/>
      <c r="F885" s="19" t="n"/>
      <c r="G885" s="20" t="n"/>
      <c r="H885" s="21" t="n"/>
      <c r="I885" s="21" t="n"/>
      <c r="J885" s="17" t="n"/>
      <c r="K885" s="19" t="n"/>
      <c r="L885" s="20" t="n"/>
      <c r="M885" s="19" t="n"/>
      <c r="N885" s="22">
        <f>IF(C885="","",IF(ISNUMBER(I885),I885,IF(ISNUMBER(H885),H885,"")))</f>
        <v/>
      </c>
      <c r="O885" s="23">
        <f>IF(OR(C885="",NOT(ISNUMBER(G885))),"",(TODAY()-INT(G885))/365.25)</f>
        <v/>
      </c>
      <c r="P885" s="13">
        <f>IF(OR(C885="",NOT(ISNUMBER(L885))),"",IF(L885&lt;TODAY(),"Ended",IF(L885-TODAY()&lt;=N(Settings!$C$10),"Ends soon","Covered")))</f>
        <v/>
      </c>
      <c r="Q885" s="13">
        <f>IF(C885="","",MID(IF(N885="",", value","")&amp;IF(OR(J885="",J885="No"),", receipt","")&amp;IF(K885="",", photo",""),3,100))</f>
        <v/>
      </c>
      <c r="R885" s="13">
        <f>IF(AND(B885="",C885=""),"",IF(C885="","Needs the item",IF(B885="","Needs a room",IF(COUNTIF(Rooms!$B$6:$B$35,B885)=0,"Not on Rooms",IF(AND(H885&lt;&gt;"",NOT(ISNUMBER(H885))),"Paid not a number",IF(AND(I885&lt;&gt;"",NOT(ISNUMBER(I885))),"Worth not a number",IF(AND(G885&lt;&gt;"",NOT(ISNUMBER(G885))),"Bought is not a date",IF(AND(L885&lt;&gt;"",NOT(ISNUMBER(L885))),"Warranty is not a date",""))))))))</f>
        <v/>
      </c>
      <c r="S885" s="1">
        <f>IF(AND(C885&lt;&gt;"",R885=""),1,0)</f>
        <v/>
      </c>
      <c r="T885">
        <f>IF(S885=1,N(N885),0)</f>
        <v/>
      </c>
      <c r="U885">
        <f>IF(AND(S885=1,T885&gt;0),ROUND(T885*100,0)*10000+10000-ROW(),"")</f>
        <v/>
      </c>
      <c r="V885">
        <f>IF(AND(S885=1,OR(Report!$C$5="",B885=Report!$C$5)),MATCH(B885,Rooms!$B$6:$B$35,0)*10000+ROW(),"")</f>
        <v/>
      </c>
      <c r="W885">
        <f>IF(AND(S885=1,OR(J885="",J885="No")),1,0)</f>
        <v/>
      </c>
      <c r="X885">
        <f>IF(AND(S885=1,K885=""),1,0)</f>
        <v/>
      </c>
      <c r="Y885">
        <f>IF(AND(S885=1,Q885&lt;&gt;""),ROUND(T885*100,0)*10000+10000-ROW(),"")</f>
        <v/>
      </c>
    </row>
    <row r="886">
      <c r="A886" s="1" t="n"/>
      <c r="B886" s="17" t="n"/>
      <c r="C886" s="18" t="n"/>
      <c r="D886" s="17" t="n"/>
      <c r="E886" s="19" t="n"/>
      <c r="F886" s="19" t="n"/>
      <c r="G886" s="20" t="n"/>
      <c r="H886" s="21" t="n"/>
      <c r="I886" s="21" t="n"/>
      <c r="J886" s="17" t="n"/>
      <c r="K886" s="19" t="n"/>
      <c r="L886" s="20" t="n"/>
      <c r="M886" s="19" t="n"/>
      <c r="N886" s="22">
        <f>IF(C886="","",IF(ISNUMBER(I886),I886,IF(ISNUMBER(H886),H886,"")))</f>
        <v/>
      </c>
      <c r="O886" s="23">
        <f>IF(OR(C886="",NOT(ISNUMBER(G886))),"",(TODAY()-INT(G886))/365.25)</f>
        <v/>
      </c>
      <c r="P886" s="13">
        <f>IF(OR(C886="",NOT(ISNUMBER(L886))),"",IF(L886&lt;TODAY(),"Ended",IF(L886-TODAY()&lt;=N(Settings!$C$10),"Ends soon","Covered")))</f>
        <v/>
      </c>
      <c r="Q886" s="13">
        <f>IF(C886="","",MID(IF(N886="",", value","")&amp;IF(OR(J886="",J886="No"),", receipt","")&amp;IF(K886="",", photo",""),3,100))</f>
        <v/>
      </c>
      <c r="R886" s="13">
        <f>IF(AND(B886="",C886=""),"",IF(C886="","Needs the item",IF(B886="","Needs a room",IF(COUNTIF(Rooms!$B$6:$B$35,B886)=0,"Not on Rooms",IF(AND(H886&lt;&gt;"",NOT(ISNUMBER(H886))),"Paid not a number",IF(AND(I886&lt;&gt;"",NOT(ISNUMBER(I886))),"Worth not a number",IF(AND(G886&lt;&gt;"",NOT(ISNUMBER(G886))),"Bought is not a date",IF(AND(L886&lt;&gt;"",NOT(ISNUMBER(L886))),"Warranty is not a date",""))))))))</f>
        <v/>
      </c>
      <c r="S886" s="1">
        <f>IF(AND(C886&lt;&gt;"",R886=""),1,0)</f>
        <v/>
      </c>
      <c r="T886">
        <f>IF(S886=1,N(N886),0)</f>
        <v/>
      </c>
      <c r="U886">
        <f>IF(AND(S886=1,T886&gt;0),ROUND(T886*100,0)*10000+10000-ROW(),"")</f>
        <v/>
      </c>
      <c r="V886">
        <f>IF(AND(S886=1,OR(Report!$C$5="",B886=Report!$C$5)),MATCH(B886,Rooms!$B$6:$B$35,0)*10000+ROW(),"")</f>
        <v/>
      </c>
      <c r="W886">
        <f>IF(AND(S886=1,OR(J886="",J886="No")),1,0)</f>
        <v/>
      </c>
      <c r="X886">
        <f>IF(AND(S886=1,K886=""),1,0)</f>
        <v/>
      </c>
      <c r="Y886">
        <f>IF(AND(S886=1,Q886&lt;&gt;""),ROUND(T886*100,0)*10000+10000-ROW(),"")</f>
        <v/>
      </c>
    </row>
    <row r="887">
      <c r="A887" s="1" t="n"/>
      <c r="B887" s="17" t="n"/>
      <c r="C887" s="18" t="n"/>
      <c r="D887" s="17" t="n"/>
      <c r="E887" s="19" t="n"/>
      <c r="F887" s="19" t="n"/>
      <c r="G887" s="20" t="n"/>
      <c r="H887" s="21" t="n"/>
      <c r="I887" s="21" t="n"/>
      <c r="J887" s="17" t="n"/>
      <c r="K887" s="19" t="n"/>
      <c r="L887" s="20" t="n"/>
      <c r="M887" s="19" t="n"/>
      <c r="N887" s="22">
        <f>IF(C887="","",IF(ISNUMBER(I887),I887,IF(ISNUMBER(H887),H887,"")))</f>
        <v/>
      </c>
      <c r="O887" s="23">
        <f>IF(OR(C887="",NOT(ISNUMBER(G887))),"",(TODAY()-INT(G887))/365.25)</f>
        <v/>
      </c>
      <c r="P887" s="13">
        <f>IF(OR(C887="",NOT(ISNUMBER(L887))),"",IF(L887&lt;TODAY(),"Ended",IF(L887-TODAY()&lt;=N(Settings!$C$10),"Ends soon","Covered")))</f>
        <v/>
      </c>
      <c r="Q887" s="13">
        <f>IF(C887="","",MID(IF(N887="",", value","")&amp;IF(OR(J887="",J887="No"),", receipt","")&amp;IF(K887="",", photo",""),3,100))</f>
        <v/>
      </c>
      <c r="R887" s="13">
        <f>IF(AND(B887="",C887=""),"",IF(C887="","Needs the item",IF(B887="","Needs a room",IF(COUNTIF(Rooms!$B$6:$B$35,B887)=0,"Not on Rooms",IF(AND(H887&lt;&gt;"",NOT(ISNUMBER(H887))),"Paid not a number",IF(AND(I887&lt;&gt;"",NOT(ISNUMBER(I887))),"Worth not a number",IF(AND(G887&lt;&gt;"",NOT(ISNUMBER(G887))),"Bought is not a date",IF(AND(L887&lt;&gt;"",NOT(ISNUMBER(L887))),"Warranty is not a date",""))))))))</f>
        <v/>
      </c>
      <c r="S887" s="1">
        <f>IF(AND(C887&lt;&gt;"",R887=""),1,0)</f>
        <v/>
      </c>
      <c r="T887">
        <f>IF(S887=1,N(N887),0)</f>
        <v/>
      </c>
      <c r="U887">
        <f>IF(AND(S887=1,T887&gt;0),ROUND(T887*100,0)*10000+10000-ROW(),"")</f>
        <v/>
      </c>
      <c r="V887">
        <f>IF(AND(S887=1,OR(Report!$C$5="",B887=Report!$C$5)),MATCH(B887,Rooms!$B$6:$B$35,0)*10000+ROW(),"")</f>
        <v/>
      </c>
      <c r="W887">
        <f>IF(AND(S887=1,OR(J887="",J887="No")),1,0)</f>
        <v/>
      </c>
      <c r="X887">
        <f>IF(AND(S887=1,K887=""),1,0)</f>
        <v/>
      </c>
      <c r="Y887">
        <f>IF(AND(S887=1,Q887&lt;&gt;""),ROUND(T887*100,0)*10000+10000-ROW(),"")</f>
        <v/>
      </c>
    </row>
    <row r="888">
      <c r="A888" s="1" t="n"/>
      <c r="B888" s="17" t="n"/>
      <c r="C888" s="18" t="n"/>
      <c r="D888" s="17" t="n"/>
      <c r="E888" s="19" t="n"/>
      <c r="F888" s="19" t="n"/>
      <c r="G888" s="20" t="n"/>
      <c r="H888" s="21" t="n"/>
      <c r="I888" s="21" t="n"/>
      <c r="J888" s="17" t="n"/>
      <c r="K888" s="19" t="n"/>
      <c r="L888" s="20" t="n"/>
      <c r="M888" s="19" t="n"/>
      <c r="N888" s="22">
        <f>IF(C888="","",IF(ISNUMBER(I888),I888,IF(ISNUMBER(H888),H888,"")))</f>
        <v/>
      </c>
      <c r="O888" s="23">
        <f>IF(OR(C888="",NOT(ISNUMBER(G888))),"",(TODAY()-INT(G888))/365.25)</f>
        <v/>
      </c>
      <c r="P888" s="13">
        <f>IF(OR(C888="",NOT(ISNUMBER(L888))),"",IF(L888&lt;TODAY(),"Ended",IF(L888-TODAY()&lt;=N(Settings!$C$10),"Ends soon","Covered")))</f>
        <v/>
      </c>
      <c r="Q888" s="13">
        <f>IF(C888="","",MID(IF(N888="",", value","")&amp;IF(OR(J888="",J888="No"),", receipt","")&amp;IF(K888="",", photo",""),3,100))</f>
        <v/>
      </c>
      <c r="R888" s="13">
        <f>IF(AND(B888="",C888=""),"",IF(C888="","Needs the item",IF(B888="","Needs a room",IF(COUNTIF(Rooms!$B$6:$B$35,B888)=0,"Not on Rooms",IF(AND(H888&lt;&gt;"",NOT(ISNUMBER(H888))),"Paid not a number",IF(AND(I888&lt;&gt;"",NOT(ISNUMBER(I888))),"Worth not a number",IF(AND(G888&lt;&gt;"",NOT(ISNUMBER(G888))),"Bought is not a date",IF(AND(L888&lt;&gt;"",NOT(ISNUMBER(L888))),"Warranty is not a date",""))))))))</f>
        <v/>
      </c>
      <c r="S888" s="1">
        <f>IF(AND(C888&lt;&gt;"",R888=""),1,0)</f>
        <v/>
      </c>
      <c r="T888">
        <f>IF(S888=1,N(N888),0)</f>
        <v/>
      </c>
      <c r="U888">
        <f>IF(AND(S888=1,T888&gt;0),ROUND(T888*100,0)*10000+10000-ROW(),"")</f>
        <v/>
      </c>
      <c r="V888">
        <f>IF(AND(S888=1,OR(Report!$C$5="",B888=Report!$C$5)),MATCH(B888,Rooms!$B$6:$B$35,0)*10000+ROW(),"")</f>
        <v/>
      </c>
      <c r="W888">
        <f>IF(AND(S888=1,OR(J888="",J888="No")),1,0)</f>
        <v/>
      </c>
      <c r="X888">
        <f>IF(AND(S888=1,K888=""),1,0)</f>
        <v/>
      </c>
      <c r="Y888">
        <f>IF(AND(S888=1,Q888&lt;&gt;""),ROUND(T888*100,0)*10000+10000-ROW(),"")</f>
        <v/>
      </c>
    </row>
    <row r="889">
      <c r="A889" s="1" t="n"/>
      <c r="B889" s="17" t="n"/>
      <c r="C889" s="18" t="n"/>
      <c r="D889" s="17" t="n"/>
      <c r="E889" s="19" t="n"/>
      <c r="F889" s="19" t="n"/>
      <c r="G889" s="20" t="n"/>
      <c r="H889" s="21" t="n"/>
      <c r="I889" s="21" t="n"/>
      <c r="J889" s="17" t="n"/>
      <c r="K889" s="19" t="n"/>
      <c r="L889" s="20" t="n"/>
      <c r="M889" s="19" t="n"/>
      <c r="N889" s="22">
        <f>IF(C889="","",IF(ISNUMBER(I889),I889,IF(ISNUMBER(H889),H889,"")))</f>
        <v/>
      </c>
      <c r="O889" s="23">
        <f>IF(OR(C889="",NOT(ISNUMBER(G889))),"",(TODAY()-INT(G889))/365.25)</f>
        <v/>
      </c>
      <c r="P889" s="13">
        <f>IF(OR(C889="",NOT(ISNUMBER(L889))),"",IF(L889&lt;TODAY(),"Ended",IF(L889-TODAY()&lt;=N(Settings!$C$10),"Ends soon","Covered")))</f>
        <v/>
      </c>
      <c r="Q889" s="13">
        <f>IF(C889="","",MID(IF(N889="",", value","")&amp;IF(OR(J889="",J889="No"),", receipt","")&amp;IF(K889="",", photo",""),3,100))</f>
        <v/>
      </c>
      <c r="R889" s="13">
        <f>IF(AND(B889="",C889=""),"",IF(C889="","Needs the item",IF(B889="","Needs a room",IF(COUNTIF(Rooms!$B$6:$B$35,B889)=0,"Not on Rooms",IF(AND(H889&lt;&gt;"",NOT(ISNUMBER(H889))),"Paid not a number",IF(AND(I889&lt;&gt;"",NOT(ISNUMBER(I889))),"Worth not a number",IF(AND(G889&lt;&gt;"",NOT(ISNUMBER(G889))),"Bought is not a date",IF(AND(L889&lt;&gt;"",NOT(ISNUMBER(L889))),"Warranty is not a date",""))))))))</f>
        <v/>
      </c>
      <c r="S889" s="1">
        <f>IF(AND(C889&lt;&gt;"",R889=""),1,0)</f>
        <v/>
      </c>
      <c r="T889">
        <f>IF(S889=1,N(N889),0)</f>
        <v/>
      </c>
      <c r="U889">
        <f>IF(AND(S889=1,T889&gt;0),ROUND(T889*100,0)*10000+10000-ROW(),"")</f>
        <v/>
      </c>
      <c r="V889">
        <f>IF(AND(S889=1,OR(Report!$C$5="",B889=Report!$C$5)),MATCH(B889,Rooms!$B$6:$B$35,0)*10000+ROW(),"")</f>
        <v/>
      </c>
      <c r="W889">
        <f>IF(AND(S889=1,OR(J889="",J889="No")),1,0)</f>
        <v/>
      </c>
      <c r="X889">
        <f>IF(AND(S889=1,K889=""),1,0)</f>
        <v/>
      </c>
      <c r="Y889">
        <f>IF(AND(S889=1,Q889&lt;&gt;""),ROUND(T889*100,0)*10000+10000-ROW(),"")</f>
        <v/>
      </c>
    </row>
    <row r="890">
      <c r="A890" s="1" t="n"/>
      <c r="B890" s="17" t="n"/>
      <c r="C890" s="18" t="n"/>
      <c r="D890" s="17" t="n"/>
      <c r="E890" s="19" t="n"/>
      <c r="F890" s="19" t="n"/>
      <c r="G890" s="20" t="n"/>
      <c r="H890" s="21" t="n"/>
      <c r="I890" s="21" t="n"/>
      <c r="J890" s="17" t="n"/>
      <c r="K890" s="19" t="n"/>
      <c r="L890" s="20" t="n"/>
      <c r="M890" s="19" t="n"/>
      <c r="N890" s="22">
        <f>IF(C890="","",IF(ISNUMBER(I890),I890,IF(ISNUMBER(H890),H890,"")))</f>
        <v/>
      </c>
      <c r="O890" s="23">
        <f>IF(OR(C890="",NOT(ISNUMBER(G890))),"",(TODAY()-INT(G890))/365.25)</f>
        <v/>
      </c>
      <c r="P890" s="13">
        <f>IF(OR(C890="",NOT(ISNUMBER(L890))),"",IF(L890&lt;TODAY(),"Ended",IF(L890-TODAY()&lt;=N(Settings!$C$10),"Ends soon","Covered")))</f>
        <v/>
      </c>
      <c r="Q890" s="13">
        <f>IF(C890="","",MID(IF(N890="",", value","")&amp;IF(OR(J890="",J890="No"),", receipt","")&amp;IF(K890="",", photo",""),3,100))</f>
        <v/>
      </c>
      <c r="R890" s="13">
        <f>IF(AND(B890="",C890=""),"",IF(C890="","Needs the item",IF(B890="","Needs a room",IF(COUNTIF(Rooms!$B$6:$B$35,B890)=0,"Not on Rooms",IF(AND(H890&lt;&gt;"",NOT(ISNUMBER(H890))),"Paid not a number",IF(AND(I890&lt;&gt;"",NOT(ISNUMBER(I890))),"Worth not a number",IF(AND(G890&lt;&gt;"",NOT(ISNUMBER(G890))),"Bought is not a date",IF(AND(L890&lt;&gt;"",NOT(ISNUMBER(L890))),"Warranty is not a date",""))))))))</f>
        <v/>
      </c>
      <c r="S890" s="1">
        <f>IF(AND(C890&lt;&gt;"",R890=""),1,0)</f>
        <v/>
      </c>
      <c r="T890">
        <f>IF(S890=1,N(N890),0)</f>
        <v/>
      </c>
      <c r="U890">
        <f>IF(AND(S890=1,T890&gt;0),ROUND(T890*100,0)*10000+10000-ROW(),"")</f>
        <v/>
      </c>
      <c r="V890">
        <f>IF(AND(S890=1,OR(Report!$C$5="",B890=Report!$C$5)),MATCH(B890,Rooms!$B$6:$B$35,0)*10000+ROW(),"")</f>
        <v/>
      </c>
      <c r="W890">
        <f>IF(AND(S890=1,OR(J890="",J890="No")),1,0)</f>
        <v/>
      </c>
      <c r="X890">
        <f>IF(AND(S890=1,K890=""),1,0)</f>
        <v/>
      </c>
      <c r="Y890">
        <f>IF(AND(S890=1,Q890&lt;&gt;""),ROUND(T890*100,0)*10000+10000-ROW(),"")</f>
        <v/>
      </c>
    </row>
    <row r="891">
      <c r="A891" s="1" t="n"/>
      <c r="B891" s="17" t="n"/>
      <c r="C891" s="18" t="n"/>
      <c r="D891" s="17" t="n"/>
      <c r="E891" s="19" t="n"/>
      <c r="F891" s="19" t="n"/>
      <c r="G891" s="20" t="n"/>
      <c r="H891" s="21" t="n"/>
      <c r="I891" s="21" t="n"/>
      <c r="J891" s="17" t="n"/>
      <c r="K891" s="19" t="n"/>
      <c r="L891" s="20" t="n"/>
      <c r="M891" s="19" t="n"/>
      <c r="N891" s="22">
        <f>IF(C891="","",IF(ISNUMBER(I891),I891,IF(ISNUMBER(H891),H891,"")))</f>
        <v/>
      </c>
      <c r="O891" s="23">
        <f>IF(OR(C891="",NOT(ISNUMBER(G891))),"",(TODAY()-INT(G891))/365.25)</f>
        <v/>
      </c>
      <c r="P891" s="13">
        <f>IF(OR(C891="",NOT(ISNUMBER(L891))),"",IF(L891&lt;TODAY(),"Ended",IF(L891-TODAY()&lt;=N(Settings!$C$10),"Ends soon","Covered")))</f>
        <v/>
      </c>
      <c r="Q891" s="13">
        <f>IF(C891="","",MID(IF(N891="",", value","")&amp;IF(OR(J891="",J891="No"),", receipt","")&amp;IF(K891="",", photo",""),3,100))</f>
        <v/>
      </c>
      <c r="R891" s="13">
        <f>IF(AND(B891="",C891=""),"",IF(C891="","Needs the item",IF(B891="","Needs a room",IF(COUNTIF(Rooms!$B$6:$B$35,B891)=0,"Not on Rooms",IF(AND(H891&lt;&gt;"",NOT(ISNUMBER(H891))),"Paid not a number",IF(AND(I891&lt;&gt;"",NOT(ISNUMBER(I891))),"Worth not a number",IF(AND(G891&lt;&gt;"",NOT(ISNUMBER(G891))),"Bought is not a date",IF(AND(L891&lt;&gt;"",NOT(ISNUMBER(L891))),"Warranty is not a date",""))))))))</f>
        <v/>
      </c>
      <c r="S891" s="1">
        <f>IF(AND(C891&lt;&gt;"",R891=""),1,0)</f>
        <v/>
      </c>
      <c r="T891">
        <f>IF(S891=1,N(N891),0)</f>
        <v/>
      </c>
      <c r="U891">
        <f>IF(AND(S891=1,T891&gt;0),ROUND(T891*100,0)*10000+10000-ROW(),"")</f>
        <v/>
      </c>
      <c r="V891">
        <f>IF(AND(S891=1,OR(Report!$C$5="",B891=Report!$C$5)),MATCH(B891,Rooms!$B$6:$B$35,0)*10000+ROW(),"")</f>
        <v/>
      </c>
      <c r="W891">
        <f>IF(AND(S891=1,OR(J891="",J891="No")),1,0)</f>
        <v/>
      </c>
      <c r="X891">
        <f>IF(AND(S891=1,K891=""),1,0)</f>
        <v/>
      </c>
      <c r="Y891">
        <f>IF(AND(S891=1,Q891&lt;&gt;""),ROUND(T891*100,0)*10000+10000-ROW(),"")</f>
        <v/>
      </c>
    </row>
    <row r="892">
      <c r="A892" s="1" t="n"/>
      <c r="B892" s="17" t="n"/>
      <c r="C892" s="18" t="n"/>
      <c r="D892" s="17" t="n"/>
      <c r="E892" s="19" t="n"/>
      <c r="F892" s="19" t="n"/>
      <c r="G892" s="20" t="n"/>
      <c r="H892" s="21" t="n"/>
      <c r="I892" s="21" t="n"/>
      <c r="J892" s="17" t="n"/>
      <c r="K892" s="19" t="n"/>
      <c r="L892" s="20" t="n"/>
      <c r="M892" s="19" t="n"/>
      <c r="N892" s="22">
        <f>IF(C892="","",IF(ISNUMBER(I892),I892,IF(ISNUMBER(H892),H892,"")))</f>
        <v/>
      </c>
      <c r="O892" s="23">
        <f>IF(OR(C892="",NOT(ISNUMBER(G892))),"",(TODAY()-INT(G892))/365.25)</f>
        <v/>
      </c>
      <c r="P892" s="13">
        <f>IF(OR(C892="",NOT(ISNUMBER(L892))),"",IF(L892&lt;TODAY(),"Ended",IF(L892-TODAY()&lt;=N(Settings!$C$10),"Ends soon","Covered")))</f>
        <v/>
      </c>
      <c r="Q892" s="13">
        <f>IF(C892="","",MID(IF(N892="",", value","")&amp;IF(OR(J892="",J892="No"),", receipt","")&amp;IF(K892="",", photo",""),3,100))</f>
        <v/>
      </c>
      <c r="R892" s="13">
        <f>IF(AND(B892="",C892=""),"",IF(C892="","Needs the item",IF(B892="","Needs a room",IF(COUNTIF(Rooms!$B$6:$B$35,B892)=0,"Not on Rooms",IF(AND(H892&lt;&gt;"",NOT(ISNUMBER(H892))),"Paid not a number",IF(AND(I892&lt;&gt;"",NOT(ISNUMBER(I892))),"Worth not a number",IF(AND(G892&lt;&gt;"",NOT(ISNUMBER(G892))),"Bought is not a date",IF(AND(L892&lt;&gt;"",NOT(ISNUMBER(L892))),"Warranty is not a date",""))))))))</f>
        <v/>
      </c>
      <c r="S892" s="1">
        <f>IF(AND(C892&lt;&gt;"",R892=""),1,0)</f>
        <v/>
      </c>
      <c r="T892">
        <f>IF(S892=1,N(N892),0)</f>
        <v/>
      </c>
      <c r="U892">
        <f>IF(AND(S892=1,T892&gt;0),ROUND(T892*100,0)*10000+10000-ROW(),"")</f>
        <v/>
      </c>
      <c r="V892">
        <f>IF(AND(S892=1,OR(Report!$C$5="",B892=Report!$C$5)),MATCH(B892,Rooms!$B$6:$B$35,0)*10000+ROW(),"")</f>
        <v/>
      </c>
      <c r="W892">
        <f>IF(AND(S892=1,OR(J892="",J892="No")),1,0)</f>
        <v/>
      </c>
      <c r="X892">
        <f>IF(AND(S892=1,K892=""),1,0)</f>
        <v/>
      </c>
      <c r="Y892">
        <f>IF(AND(S892=1,Q892&lt;&gt;""),ROUND(T892*100,0)*10000+10000-ROW(),"")</f>
        <v/>
      </c>
    </row>
    <row r="893">
      <c r="A893" s="1" t="n"/>
      <c r="B893" s="17" t="n"/>
      <c r="C893" s="18" t="n"/>
      <c r="D893" s="17" t="n"/>
      <c r="E893" s="19" t="n"/>
      <c r="F893" s="19" t="n"/>
      <c r="G893" s="20" t="n"/>
      <c r="H893" s="21" t="n"/>
      <c r="I893" s="21" t="n"/>
      <c r="J893" s="17" t="n"/>
      <c r="K893" s="19" t="n"/>
      <c r="L893" s="20" t="n"/>
      <c r="M893" s="19" t="n"/>
      <c r="N893" s="22">
        <f>IF(C893="","",IF(ISNUMBER(I893),I893,IF(ISNUMBER(H893),H893,"")))</f>
        <v/>
      </c>
      <c r="O893" s="23">
        <f>IF(OR(C893="",NOT(ISNUMBER(G893))),"",(TODAY()-INT(G893))/365.25)</f>
        <v/>
      </c>
      <c r="P893" s="13">
        <f>IF(OR(C893="",NOT(ISNUMBER(L893))),"",IF(L893&lt;TODAY(),"Ended",IF(L893-TODAY()&lt;=N(Settings!$C$10),"Ends soon","Covered")))</f>
        <v/>
      </c>
      <c r="Q893" s="13">
        <f>IF(C893="","",MID(IF(N893="",", value","")&amp;IF(OR(J893="",J893="No"),", receipt","")&amp;IF(K893="",", photo",""),3,100))</f>
        <v/>
      </c>
      <c r="R893" s="13">
        <f>IF(AND(B893="",C893=""),"",IF(C893="","Needs the item",IF(B893="","Needs a room",IF(COUNTIF(Rooms!$B$6:$B$35,B893)=0,"Not on Rooms",IF(AND(H893&lt;&gt;"",NOT(ISNUMBER(H893))),"Paid not a number",IF(AND(I893&lt;&gt;"",NOT(ISNUMBER(I893))),"Worth not a number",IF(AND(G893&lt;&gt;"",NOT(ISNUMBER(G893))),"Bought is not a date",IF(AND(L893&lt;&gt;"",NOT(ISNUMBER(L893))),"Warranty is not a date",""))))))))</f>
        <v/>
      </c>
      <c r="S893" s="1">
        <f>IF(AND(C893&lt;&gt;"",R893=""),1,0)</f>
        <v/>
      </c>
      <c r="T893">
        <f>IF(S893=1,N(N893),0)</f>
        <v/>
      </c>
      <c r="U893">
        <f>IF(AND(S893=1,T893&gt;0),ROUND(T893*100,0)*10000+10000-ROW(),"")</f>
        <v/>
      </c>
      <c r="V893">
        <f>IF(AND(S893=1,OR(Report!$C$5="",B893=Report!$C$5)),MATCH(B893,Rooms!$B$6:$B$35,0)*10000+ROW(),"")</f>
        <v/>
      </c>
      <c r="W893">
        <f>IF(AND(S893=1,OR(J893="",J893="No")),1,0)</f>
        <v/>
      </c>
      <c r="X893">
        <f>IF(AND(S893=1,K893=""),1,0)</f>
        <v/>
      </c>
      <c r="Y893">
        <f>IF(AND(S893=1,Q893&lt;&gt;""),ROUND(T893*100,0)*10000+10000-ROW(),"")</f>
        <v/>
      </c>
    </row>
    <row r="894">
      <c r="A894" s="1" t="n"/>
      <c r="B894" s="17" t="n"/>
      <c r="C894" s="18" t="n"/>
      <c r="D894" s="17" t="n"/>
      <c r="E894" s="19" t="n"/>
      <c r="F894" s="19" t="n"/>
      <c r="G894" s="20" t="n"/>
      <c r="H894" s="21" t="n"/>
      <c r="I894" s="21" t="n"/>
      <c r="J894" s="17" t="n"/>
      <c r="K894" s="19" t="n"/>
      <c r="L894" s="20" t="n"/>
      <c r="M894" s="19" t="n"/>
      <c r="N894" s="22">
        <f>IF(C894="","",IF(ISNUMBER(I894),I894,IF(ISNUMBER(H894),H894,"")))</f>
        <v/>
      </c>
      <c r="O894" s="23">
        <f>IF(OR(C894="",NOT(ISNUMBER(G894))),"",(TODAY()-INT(G894))/365.25)</f>
        <v/>
      </c>
      <c r="P894" s="13">
        <f>IF(OR(C894="",NOT(ISNUMBER(L894))),"",IF(L894&lt;TODAY(),"Ended",IF(L894-TODAY()&lt;=N(Settings!$C$10),"Ends soon","Covered")))</f>
        <v/>
      </c>
      <c r="Q894" s="13">
        <f>IF(C894="","",MID(IF(N894="",", value","")&amp;IF(OR(J894="",J894="No"),", receipt","")&amp;IF(K894="",", photo",""),3,100))</f>
        <v/>
      </c>
      <c r="R894" s="13">
        <f>IF(AND(B894="",C894=""),"",IF(C894="","Needs the item",IF(B894="","Needs a room",IF(COUNTIF(Rooms!$B$6:$B$35,B894)=0,"Not on Rooms",IF(AND(H894&lt;&gt;"",NOT(ISNUMBER(H894))),"Paid not a number",IF(AND(I894&lt;&gt;"",NOT(ISNUMBER(I894))),"Worth not a number",IF(AND(G894&lt;&gt;"",NOT(ISNUMBER(G894))),"Bought is not a date",IF(AND(L894&lt;&gt;"",NOT(ISNUMBER(L894))),"Warranty is not a date",""))))))))</f>
        <v/>
      </c>
      <c r="S894" s="1">
        <f>IF(AND(C894&lt;&gt;"",R894=""),1,0)</f>
        <v/>
      </c>
      <c r="T894">
        <f>IF(S894=1,N(N894),0)</f>
        <v/>
      </c>
      <c r="U894">
        <f>IF(AND(S894=1,T894&gt;0),ROUND(T894*100,0)*10000+10000-ROW(),"")</f>
        <v/>
      </c>
      <c r="V894">
        <f>IF(AND(S894=1,OR(Report!$C$5="",B894=Report!$C$5)),MATCH(B894,Rooms!$B$6:$B$35,0)*10000+ROW(),"")</f>
        <v/>
      </c>
      <c r="W894">
        <f>IF(AND(S894=1,OR(J894="",J894="No")),1,0)</f>
        <v/>
      </c>
      <c r="X894">
        <f>IF(AND(S894=1,K894=""),1,0)</f>
        <v/>
      </c>
      <c r="Y894">
        <f>IF(AND(S894=1,Q894&lt;&gt;""),ROUND(T894*100,0)*10000+10000-ROW(),"")</f>
        <v/>
      </c>
    </row>
    <row r="895">
      <c r="A895" s="1" t="n"/>
      <c r="B895" s="17" t="n"/>
      <c r="C895" s="18" t="n"/>
      <c r="D895" s="17" t="n"/>
      <c r="E895" s="19" t="n"/>
      <c r="F895" s="19" t="n"/>
      <c r="G895" s="20" t="n"/>
      <c r="H895" s="21" t="n"/>
      <c r="I895" s="21" t="n"/>
      <c r="J895" s="17" t="n"/>
      <c r="K895" s="19" t="n"/>
      <c r="L895" s="20" t="n"/>
      <c r="M895" s="19" t="n"/>
      <c r="N895" s="22">
        <f>IF(C895="","",IF(ISNUMBER(I895),I895,IF(ISNUMBER(H895),H895,"")))</f>
        <v/>
      </c>
      <c r="O895" s="23">
        <f>IF(OR(C895="",NOT(ISNUMBER(G895))),"",(TODAY()-INT(G895))/365.25)</f>
        <v/>
      </c>
      <c r="P895" s="13">
        <f>IF(OR(C895="",NOT(ISNUMBER(L895))),"",IF(L895&lt;TODAY(),"Ended",IF(L895-TODAY()&lt;=N(Settings!$C$10),"Ends soon","Covered")))</f>
        <v/>
      </c>
      <c r="Q895" s="13">
        <f>IF(C895="","",MID(IF(N895="",", value","")&amp;IF(OR(J895="",J895="No"),", receipt","")&amp;IF(K895="",", photo",""),3,100))</f>
        <v/>
      </c>
      <c r="R895" s="13">
        <f>IF(AND(B895="",C895=""),"",IF(C895="","Needs the item",IF(B895="","Needs a room",IF(COUNTIF(Rooms!$B$6:$B$35,B895)=0,"Not on Rooms",IF(AND(H895&lt;&gt;"",NOT(ISNUMBER(H895))),"Paid not a number",IF(AND(I895&lt;&gt;"",NOT(ISNUMBER(I895))),"Worth not a number",IF(AND(G895&lt;&gt;"",NOT(ISNUMBER(G895))),"Bought is not a date",IF(AND(L895&lt;&gt;"",NOT(ISNUMBER(L895))),"Warranty is not a date",""))))))))</f>
        <v/>
      </c>
      <c r="S895" s="1">
        <f>IF(AND(C895&lt;&gt;"",R895=""),1,0)</f>
        <v/>
      </c>
      <c r="T895">
        <f>IF(S895=1,N(N895),0)</f>
        <v/>
      </c>
      <c r="U895">
        <f>IF(AND(S895=1,T895&gt;0),ROUND(T895*100,0)*10000+10000-ROW(),"")</f>
        <v/>
      </c>
      <c r="V895">
        <f>IF(AND(S895=1,OR(Report!$C$5="",B895=Report!$C$5)),MATCH(B895,Rooms!$B$6:$B$35,0)*10000+ROW(),"")</f>
        <v/>
      </c>
      <c r="W895">
        <f>IF(AND(S895=1,OR(J895="",J895="No")),1,0)</f>
        <v/>
      </c>
      <c r="X895">
        <f>IF(AND(S895=1,K895=""),1,0)</f>
        <v/>
      </c>
      <c r="Y895">
        <f>IF(AND(S895=1,Q895&lt;&gt;""),ROUND(T895*100,0)*10000+10000-ROW(),"")</f>
        <v/>
      </c>
    </row>
    <row r="896">
      <c r="A896" s="1" t="n"/>
      <c r="B896" s="17" t="n"/>
      <c r="C896" s="18" t="n"/>
      <c r="D896" s="17" t="n"/>
      <c r="E896" s="19" t="n"/>
      <c r="F896" s="19" t="n"/>
      <c r="G896" s="20" t="n"/>
      <c r="H896" s="21" t="n"/>
      <c r="I896" s="21" t="n"/>
      <c r="J896" s="17" t="n"/>
      <c r="K896" s="19" t="n"/>
      <c r="L896" s="20" t="n"/>
      <c r="M896" s="19" t="n"/>
      <c r="N896" s="22">
        <f>IF(C896="","",IF(ISNUMBER(I896),I896,IF(ISNUMBER(H896),H896,"")))</f>
        <v/>
      </c>
      <c r="O896" s="23">
        <f>IF(OR(C896="",NOT(ISNUMBER(G896))),"",(TODAY()-INT(G896))/365.25)</f>
        <v/>
      </c>
      <c r="P896" s="13">
        <f>IF(OR(C896="",NOT(ISNUMBER(L896))),"",IF(L896&lt;TODAY(),"Ended",IF(L896-TODAY()&lt;=N(Settings!$C$10),"Ends soon","Covered")))</f>
        <v/>
      </c>
      <c r="Q896" s="13">
        <f>IF(C896="","",MID(IF(N896="",", value","")&amp;IF(OR(J896="",J896="No"),", receipt","")&amp;IF(K896="",", photo",""),3,100))</f>
        <v/>
      </c>
      <c r="R896" s="13">
        <f>IF(AND(B896="",C896=""),"",IF(C896="","Needs the item",IF(B896="","Needs a room",IF(COUNTIF(Rooms!$B$6:$B$35,B896)=0,"Not on Rooms",IF(AND(H896&lt;&gt;"",NOT(ISNUMBER(H896))),"Paid not a number",IF(AND(I896&lt;&gt;"",NOT(ISNUMBER(I896))),"Worth not a number",IF(AND(G896&lt;&gt;"",NOT(ISNUMBER(G896))),"Bought is not a date",IF(AND(L896&lt;&gt;"",NOT(ISNUMBER(L896))),"Warranty is not a date",""))))))))</f>
        <v/>
      </c>
      <c r="S896" s="1">
        <f>IF(AND(C896&lt;&gt;"",R896=""),1,0)</f>
        <v/>
      </c>
      <c r="T896">
        <f>IF(S896=1,N(N896),0)</f>
        <v/>
      </c>
      <c r="U896">
        <f>IF(AND(S896=1,T896&gt;0),ROUND(T896*100,0)*10000+10000-ROW(),"")</f>
        <v/>
      </c>
      <c r="V896">
        <f>IF(AND(S896=1,OR(Report!$C$5="",B896=Report!$C$5)),MATCH(B896,Rooms!$B$6:$B$35,0)*10000+ROW(),"")</f>
        <v/>
      </c>
      <c r="W896">
        <f>IF(AND(S896=1,OR(J896="",J896="No")),1,0)</f>
        <v/>
      </c>
      <c r="X896">
        <f>IF(AND(S896=1,K896=""),1,0)</f>
        <v/>
      </c>
      <c r="Y896">
        <f>IF(AND(S896=1,Q896&lt;&gt;""),ROUND(T896*100,0)*10000+10000-ROW(),"")</f>
        <v/>
      </c>
    </row>
    <row r="897">
      <c r="A897" s="1" t="n"/>
      <c r="B897" s="17" t="n"/>
      <c r="C897" s="18" t="n"/>
      <c r="D897" s="17" t="n"/>
      <c r="E897" s="19" t="n"/>
      <c r="F897" s="19" t="n"/>
      <c r="G897" s="20" t="n"/>
      <c r="H897" s="21" t="n"/>
      <c r="I897" s="21" t="n"/>
      <c r="J897" s="17" t="n"/>
      <c r="K897" s="19" t="n"/>
      <c r="L897" s="20" t="n"/>
      <c r="M897" s="19" t="n"/>
      <c r="N897" s="22">
        <f>IF(C897="","",IF(ISNUMBER(I897),I897,IF(ISNUMBER(H897),H897,"")))</f>
        <v/>
      </c>
      <c r="O897" s="23">
        <f>IF(OR(C897="",NOT(ISNUMBER(G897))),"",(TODAY()-INT(G897))/365.25)</f>
        <v/>
      </c>
      <c r="P897" s="13">
        <f>IF(OR(C897="",NOT(ISNUMBER(L897))),"",IF(L897&lt;TODAY(),"Ended",IF(L897-TODAY()&lt;=N(Settings!$C$10),"Ends soon","Covered")))</f>
        <v/>
      </c>
      <c r="Q897" s="13">
        <f>IF(C897="","",MID(IF(N897="",", value","")&amp;IF(OR(J897="",J897="No"),", receipt","")&amp;IF(K897="",", photo",""),3,100))</f>
        <v/>
      </c>
      <c r="R897" s="13">
        <f>IF(AND(B897="",C897=""),"",IF(C897="","Needs the item",IF(B897="","Needs a room",IF(COUNTIF(Rooms!$B$6:$B$35,B897)=0,"Not on Rooms",IF(AND(H897&lt;&gt;"",NOT(ISNUMBER(H897))),"Paid not a number",IF(AND(I897&lt;&gt;"",NOT(ISNUMBER(I897))),"Worth not a number",IF(AND(G897&lt;&gt;"",NOT(ISNUMBER(G897))),"Bought is not a date",IF(AND(L897&lt;&gt;"",NOT(ISNUMBER(L897))),"Warranty is not a date",""))))))))</f>
        <v/>
      </c>
      <c r="S897" s="1">
        <f>IF(AND(C897&lt;&gt;"",R897=""),1,0)</f>
        <v/>
      </c>
      <c r="T897">
        <f>IF(S897=1,N(N897),0)</f>
        <v/>
      </c>
      <c r="U897">
        <f>IF(AND(S897=1,T897&gt;0),ROUND(T897*100,0)*10000+10000-ROW(),"")</f>
        <v/>
      </c>
      <c r="V897">
        <f>IF(AND(S897=1,OR(Report!$C$5="",B897=Report!$C$5)),MATCH(B897,Rooms!$B$6:$B$35,0)*10000+ROW(),"")</f>
        <v/>
      </c>
      <c r="W897">
        <f>IF(AND(S897=1,OR(J897="",J897="No")),1,0)</f>
        <v/>
      </c>
      <c r="X897">
        <f>IF(AND(S897=1,K897=""),1,0)</f>
        <v/>
      </c>
      <c r="Y897">
        <f>IF(AND(S897=1,Q897&lt;&gt;""),ROUND(T897*100,0)*10000+10000-ROW(),"")</f>
        <v/>
      </c>
    </row>
    <row r="898">
      <c r="A898" s="1" t="n"/>
      <c r="B898" s="17" t="n"/>
      <c r="C898" s="18" t="n"/>
      <c r="D898" s="17" t="n"/>
      <c r="E898" s="19" t="n"/>
      <c r="F898" s="19" t="n"/>
      <c r="G898" s="20" t="n"/>
      <c r="H898" s="21" t="n"/>
      <c r="I898" s="21" t="n"/>
      <c r="J898" s="17" t="n"/>
      <c r="K898" s="19" t="n"/>
      <c r="L898" s="20" t="n"/>
      <c r="M898" s="19" t="n"/>
      <c r="N898" s="22">
        <f>IF(C898="","",IF(ISNUMBER(I898),I898,IF(ISNUMBER(H898),H898,"")))</f>
        <v/>
      </c>
      <c r="O898" s="23">
        <f>IF(OR(C898="",NOT(ISNUMBER(G898))),"",(TODAY()-INT(G898))/365.25)</f>
        <v/>
      </c>
      <c r="P898" s="13">
        <f>IF(OR(C898="",NOT(ISNUMBER(L898))),"",IF(L898&lt;TODAY(),"Ended",IF(L898-TODAY()&lt;=N(Settings!$C$10),"Ends soon","Covered")))</f>
        <v/>
      </c>
      <c r="Q898" s="13">
        <f>IF(C898="","",MID(IF(N898="",", value","")&amp;IF(OR(J898="",J898="No"),", receipt","")&amp;IF(K898="",", photo",""),3,100))</f>
        <v/>
      </c>
      <c r="R898" s="13">
        <f>IF(AND(B898="",C898=""),"",IF(C898="","Needs the item",IF(B898="","Needs a room",IF(COUNTIF(Rooms!$B$6:$B$35,B898)=0,"Not on Rooms",IF(AND(H898&lt;&gt;"",NOT(ISNUMBER(H898))),"Paid not a number",IF(AND(I898&lt;&gt;"",NOT(ISNUMBER(I898))),"Worth not a number",IF(AND(G898&lt;&gt;"",NOT(ISNUMBER(G898))),"Bought is not a date",IF(AND(L898&lt;&gt;"",NOT(ISNUMBER(L898))),"Warranty is not a date",""))))))))</f>
        <v/>
      </c>
      <c r="S898" s="1">
        <f>IF(AND(C898&lt;&gt;"",R898=""),1,0)</f>
        <v/>
      </c>
      <c r="T898">
        <f>IF(S898=1,N(N898),0)</f>
        <v/>
      </c>
      <c r="U898">
        <f>IF(AND(S898=1,T898&gt;0),ROUND(T898*100,0)*10000+10000-ROW(),"")</f>
        <v/>
      </c>
      <c r="V898">
        <f>IF(AND(S898=1,OR(Report!$C$5="",B898=Report!$C$5)),MATCH(B898,Rooms!$B$6:$B$35,0)*10000+ROW(),"")</f>
        <v/>
      </c>
      <c r="W898">
        <f>IF(AND(S898=1,OR(J898="",J898="No")),1,0)</f>
        <v/>
      </c>
      <c r="X898">
        <f>IF(AND(S898=1,K898=""),1,0)</f>
        <v/>
      </c>
      <c r="Y898">
        <f>IF(AND(S898=1,Q898&lt;&gt;""),ROUND(T898*100,0)*10000+10000-ROW(),"")</f>
        <v/>
      </c>
    </row>
    <row r="899">
      <c r="A899" s="1" t="n"/>
      <c r="B899" s="17" t="n"/>
      <c r="C899" s="18" t="n"/>
      <c r="D899" s="17" t="n"/>
      <c r="E899" s="19" t="n"/>
      <c r="F899" s="19" t="n"/>
      <c r="G899" s="20" t="n"/>
      <c r="H899" s="21" t="n"/>
      <c r="I899" s="21" t="n"/>
      <c r="J899" s="17" t="n"/>
      <c r="K899" s="19" t="n"/>
      <c r="L899" s="20" t="n"/>
      <c r="M899" s="19" t="n"/>
      <c r="N899" s="22">
        <f>IF(C899="","",IF(ISNUMBER(I899),I899,IF(ISNUMBER(H899),H899,"")))</f>
        <v/>
      </c>
      <c r="O899" s="23">
        <f>IF(OR(C899="",NOT(ISNUMBER(G899))),"",(TODAY()-INT(G899))/365.25)</f>
        <v/>
      </c>
      <c r="P899" s="13">
        <f>IF(OR(C899="",NOT(ISNUMBER(L899))),"",IF(L899&lt;TODAY(),"Ended",IF(L899-TODAY()&lt;=N(Settings!$C$10),"Ends soon","Covered")))</f>
        <v/>
      </c>
      <c r="Q899" s="13">
        <f>IF(C899="","",MID(IF(N899="",", value","")&amp;IF(OR(J899="",J899="No"),", receipt","")&amp;IF(K899="",", photo",""),3,100))</f>
        <v/>
      </c>
      <c r="R899" s="13">
        <f>IF(AND(B899="",C899=""),"",IF(C899="","Needs the item",IF(B899="","Needs a room",IF(COUNTIF(Rooms!$B$6:$B$35,B899)=0,"Not on Rooms",IF(AND(H899&lt;&gt;"",NOT(ISNUMBER(H899))),"Paid not a number",IF(AND(I899&lt;&gt;"",NOT(ISNUMBER(I899))),"Worth not a number",IF(AND(G899&lt;&gt;"",NOT(ISNUMBER(G899))),"Bought is not a date",IF(AND(L899&lt;&gt;"",NOT(ISNUMBER(L899))),"Warranty is not a date",""))))))))</f>
        <v/>
      </c>
      <c r="S899" s="1">
        <f>IF(AND(C899&lt;&gt;"",R899=""),1,0)</f>
        <v/>
      </c>
      <c r="T899">
        <f>IF(S899=1,N(N899),0)</f>
        <v/>
      </c>
      <c r="U899">
        <f>IF(AND(S899=1,T899&gt;0),ROUND(T899*100,0)*10000+10000-ROW(),"")</f>
        <v/>
      </c>
      <c r="V899">
        <f>IF(AND(S899=1,OR(Report!$C$5="",B899=Report!$C$5)),MATCH(B899,Rooms!$B$6:$B$35,0)*10000+ROW(),"")</f>
        <v/>
      </c>
      <c r="W899">
        <f>IF(AND(S899=1,OR(J899="",J899="No")),1,0)</f>
        <v/>
      </c>
      <c r="X899">
        <f>IF(AND(S899=1,K899=""),1,0)</f>
        <v/>
      </c>
      <c r="Y899">
        <f>IF(AND(S899=1,Q899&lt;&gt;""),ROUND(T899*100,0)*10000+10000-ROW(),"")</f>
        <v/>
      </c>
    </row>
    <row r="900">
      <c r="A900" s="1" t="n"/>
      <c r="B900" s="17" t="n"/>
      <c r="C900" s="18" t="n"/>
      <c r="D900" s="17" t="n"/>
      <c r="E900" s="19" t="n"/>
      <c r="F900" s="19" t="n"/>
      <c r="G900" s="20" t="n"/>
      <c r="H900" s="21" t="n"/>
      <c r="I900" s="21" t="n"/>
      <c r="J900" s="17" t="n"/>
      <c r="K900" s="19" t="n"/>
      <c r="L900" s="20" t="n"/>
      <c r="M900" s="19" t="n"/>
      <c r="N900" s="22">
        <f>IF(C900="","",IF(ISNUMBER(I900),I900,IF(ISNUMBER(H900),H900,"")))</f>
        <v/>
      </c>
      <c r="O900" s="23">
        <f>IF(OR(C900="",NOT(ISNUMBER(G900))),"",(TODAY()-INT(G900))/365.25)</f>
        <v/>
      </c>
      <c r="P900" s="13">
        <f>IF(OR(C900="",NOT(ISNUMBER(L900))),"",IF(L900&lt;TODAY(),"Ended",IF(L900-TODAY()&lt;=N(Settings!$C$10),"Ends soon","Covered")))</f>
        <v/>
      </c>
      <c r="Q900" s="13">
        <f>IF(C900="","",MID(IF(N900="",", value","")&amp;IF(OR(J900="",J900="No"),", receipt","")&amp;IF(K900="",", photo",""),3,100))</f>
        <v/>
      </c>
      <c r="R900" s="13">
        <f>IF(AND(B900="",C900=""),"",IF(C900="","Needs the item",IF(B900="","Needs a room",IF(COUNTIF(Rooms!$B$6:$B$35,B900)=0,"Not on Rooms",IF(AND(H900&lt;&gt;"",NOT(ISNUMBER(H900))),"Paid not a number",IF(AND(I900&lt;&gt;"",NOT(ISNUMBER(I900))),"Worth not a number",IF(AND(G900&lt;&gt;"",NOT(ISNUMBER(G900))),"Bought is not a date",IF(AND(L900&lt;&gt;"",NOT(ISNUMBER(L900))),"Warranty is not a date",""))))))))</f>
        <v/>
      </c>
      <c r="S900" s="1">
        <f>IF(AND(C900&lt;&gt;"",R900=""),1,0)</f>
        <v/>
      </c>
      <c r="T900">
        <f>IF(S900=1,N(N900),0)</f>
        <v/>
      </c>
      <c r="U900">
        <f>IF(AND(S900=1,T900&gt;0),ROUND(T900*100,0)*10000+10000-ROW(),"")</f>
        <v/>
      </c>
      <c r="V900">
        <f>IF(AND(S900=1,OR(Report!$C$5="",B900=Report!$C$5)),MATCH(B900,Rooms!$B$6:$B$35,0)*10000+ROW(),"")</f>
        <v/>
      </c>
      <c r="W900">
        <f>IF(AND(S900=1,OR(J900="",J900="No")),1,0)</f>
        <v/>
      </c>
      <c r="X900">
        <f>IF(AND(S900=1,K900=""),1,0)</f>
        <v/>
      </c>
      <c r="Y900">
        <f>IF(AND(S900=1,Q900&lt;&gt;""),ROUND(T900*100,0)*10000+10000-ROW(),"")</f>
        <v/>
      </c>
    </row>
    <row r="901">
      <c r="A901" s="1" t="n"/>
      <c r="B901" s="17" t="n"/>
      <c r="C901" s="18" t="n"/>
      <c r="D901" s="17" t="n"/>
      <c r="E901" s="19" t="n"/>
      <c r="F901" s="19" t="n"/>
      <c r="G901" s="20" t="n"/>
      <c r="H901" s="21" t="n"/>
      <c r="I901" s="21" t="n"/>
      <c r="J901" s="17" t="n"/>
      <c r="K901" s="19" t="n"/>
      <c r="L901" s="20" t="n"/>
      <c r="M901" s="19" t="n"/>
      <c r="N901" s="22">
        <f>IF(C901="","",IF(ISNUMBER(I901),I901,IF(ISNUMBER(H901),H901,"")))</f>
        <v/>
      </c>
      <c r="O901" s="23">
        <f>IF(OR(C901="",NOT(ISNUMBER(G901))),"",(TODAY()-INT(G901))/365.25)</f>
        <v/>
      </c>
      <c r="P901" s="13">
        <f>IF(OR(C901="",NOT(ISNUMBER(L901))),"",IF(L901&lt;TODAY(),"Ended",IF(L901-TODAY()&lt;=N(Settings!$C$10),"Ends soon","Covered")))</f>
        <v/>
      </c>
      <c r="Q901" s="13">
        <f>IF(C901="","",MID(IF(N901="",", value","")&amp;IF(OR(J901="",J901="No"),", receipt","")&amp;IF(K901="",", photo",""),3,100))</f>
        <v/>
      </c>
      <c r="R901" s="13">
        <f>IF(AND(B901="",C901=""),"",IF(C901="","Needs the item",IF(B901="","Needs a room",IF(COUNTIF(Rooms!$B$6:$B$35,B901)=0,"Not on Rooms",IF(AND(H901&lt;&gt;"",NOT(ISNUMBER(H901))),"Paid not a number",IF(AND(I901&lt;&gt;"",NOT(ISNUMBER(I901))),"Worth not a number",IF(AND(G901&lt;&gt;"",NOT(ISNUMBER(G901))),"Bought is not a date",IF(AND(L901&lt;&gt;"",NOT(ISNUMBER(L901))),"Warranty is not a date",""))))))))</f>
        <v/>
      </c>
      <c r="S901" s="1">
        <f>IF(AND(C901&lt;&gt;"",R901=""),1,0)</f>
        <v/>
      </c>
      <c r="T901">
        <f>IF(S901=1,N(N901),0)</f>
        <v/>
      </c>
      <c r="U901">
        <f>IF(AND(S901=1,T901&gt;0),ROUND(T901*100,0)*10000+10000-ROW(),"")</f>
        <v/>
      </c>
      <c r="V901">
        <f>IF(AND(S901=1,OR(Report!$C$5="",B901=Report!$C$5)),MATCH(B901,Rooms!$B$6:$B$35,0)*10000+ROW(),"")</f>
        <v/>
      </c>
      <c r="W901">
        <f>IF(AND(S901=1,OR(J901="",J901="No")),1,0)</f>
        <v/>
      </c>
      <c r="X901">
        <f>IF(AND(S901=1,K901=""),1,0)</f>
        <v/>
      </c>
      <c r="Y901">
        <f>IF(AND(S901=1,Q901&lt;&gt;""),ROUND(T901*100,0)*10000+10000-ROW(),"")</f>
        <v/>
      </c>
    </row>
    <row r="902">
      <c r="A902" s="1" t="n"/>
      <c r="B902" s="17" t="n"/>
      <c r="C902" s="18" t="n"/>
      <c r="D902" s="17" t="n"/>
      <c r="E902" s="19" t="n"/>
      <c r="F902" s="19" t="n"/>
      <c r="G902" s="20" t="n"/>
      <c r="H902" s="21" t="n"/>
      <c r="I902" s="21" t="n"/>
      <c r="J902" s="17" t="n"/>
      <c r="K902" s="19" t="n"/>
      <c r="L902" s="20" t="n"/>
      <c r="M902" s="19" t="n"/>
      <c r="N902" s="22">
        <f>IF(C902="","",IF(ISNUMBER(I902),I902,IF(ISNUMBER(H902),H902,"")))</f>
        <v/>
      </c>
      <c r="O902" s="23">
        <f>IF(OR(C902="",NOT(ISNUMBER(G902))),"",(TODAY()-INT(G902))/365.25)</f>
        <v/>
      </c>
      <c r="P902" s="13">
        <f>IF(OR(C902="",NOT(ISNUMBER(L902))),"",IF(L902&lt;TODAY(),"Ended",IF(L902-TODAY()&lt;=N(Settings!$C$10),"Ends soon","Covered")))</f>
        <v/>
      </c>
      <c r="Q902" s="13">
        <f>IF(C902="","",MID(IF(N902="",", value","")&amp;IF(OR(J902="",J902="No"),", receipt","")&amp;IF(K902="",", photo",""),3,100))</f>
        <v/>
      </c>
      <c r="R902" s="13">
        <f>IF(AND(B902="",C902=""),"",IF(C902="","Needs the item",IF(B902="","Needs a room",IF(COUNTIF(Rooms!$B$6:$B$35,B902)=0,"Not on Rooms",IF(AND(H902&lt;&gt;"",NOT(ISNUMBER(H902))),"Paid not a number",IF(AND(I902&lt;&gt;"",NOT(ISNUMBER(I902))),"Worth not a number",IF(AND(G902&lt;&gt;"",NOT(ISNUMBER(G902))),"Bought is not a date",IF(AND(L902&lt;&gt;"",NOT(ISNUMBER(L902))),"Warranty is not a date",""))))))))</f>
        <v/>
      </c>
      <c r="S902" s="1">
        <f>IF(AND(C902&lt;&gt;"",R902=""),1,0)</f>
        <v/>
      </c>
      <c r="T902">
        <f>IF(S902=1,N(N902),0)</f>
        <v/>
      </c>
      <c r="U902">
        <f>IF(AND(S902=1,T902&gt;0),ROUND(T902*100,0)*10000+10000-ROW(),"")</f>
        <v/>
      </c>
      <c r="V902">
        <f>IF(AND(S902=1,OR(Report!$C$5="",B902=Report!$C$5)),MATCH(B902,Rooms!$B$6:$B$35,0)*10000+ROW(),"")</f>
        <v/>
      </c>
      <c r="W902">
        <f>IF(AND(S902=1,OR(J902="",J902="No")),1,0)</f>
        <v/>
      </c>
      <c r="X902">
        <f>IF(AND(S902=1,K902=""),1,0)</f>
        <v/>
      </c>
      <c r="Y902">
        <f>IF(AND(S902=1,Q902&lt;&gt;""),ROUND(T902*100,0)*10000+10000-ROW(),"")</f>
        <v/>
      </c>
    </row>
    <row r="903">
      <c r="A903" s="1" t="n"/>
      <c r="B903" s="17" t="n"/>
      <c r="C903" s="18" t="n"/>
      <c r="D903" s="17" t="n"/>
      <c r="E903" s="19" t="n"/>
      <c r="F903" s="19" t="n"/>
      <c r="G903" s="20" t="n"/>
      <c r="H903" s="21" t="n"/>
      <c r="I903" s="21" t="n"/>
      <c r="J903" s="17" t="n"/>
      <c r="K903" s="19" t="n"/>
      <c r="L903" s="20" t="n"/>
      <c r="M903" s="19" t="n"/>
      <c r="N903" s="22">
        <f>IF(C903="","",IF(ISNUMBER(I903),I903,IF(ISNUMBER(H903),H903,"")))</f>
        <v/>
      </c>
      <c r="O903" s="23">
        <f>IF(OR(C903="",NOT(ISNUMBER(G903))),"",(TODAY()-INT(G903))/365.25)</f>
        <v/>
      </c>
      <c r="P903" s="13">
        <f>IF(OR(C903="",NOT(ISNUMBER(L903))),"",IF(L903&lt;TODAY(),"Ended",IF(L903-TODAY()&lt;=N(Settings!$C$10),"Ends soon","Covered")))</f>
        <v/>
      </c>
      <c r="Q903" s="13">
        <f>IF(C903="","",MID(IF(N903="",", value","")&amp;IF(OR(J903="",J903="No"),", receipt","")&amp;IF(K903="",", photo",""),3,100))</f>
        <v/>
      </c>
      <c r="R903" s="13">
        <f>IF(AND(B903="",C903=""),"",IF(C903="","Needs the item",IF(B903="","Needs a room",IF(COUNTIF(Rooms!$B$6:$B$35,B903)=0,"Not on Rooms",IF(AND(H903&lt;&gt;"",NOT(ISNUMBER(H903))),"Paid not a number",IF(AND(I903&lt;&gt;"",NOT(ISNUMBER(I903))),"Worth not a number",IF(AND(G903&lt;&gt;"",NOT(ISNUMBER(G903))),"Bought is not a date",IF(AND(L903&lt;&gt;"",NOT(ISNUMBER(L903))),"Warranty is not a date",""))))))))</f>
        <v/>
      </c>
      <c r="S903" s="1">
        <f>IF(AND(C903&lt;&gt;"",R903=""),1,0)</f>
        <v/>
      </c>
      <c r="T903">
        <f>IF(S903=1,N(N903),0)</f>
        <v/>
      </c>
      <c r="U903">
        <f>IF(AND(S903=1,T903&gt;0),ROUND(T903*100,0)*10000+10000-ROW(),"")</f>
        <v/>
      </c>
      <c r="V903">
        <f>IF(AND(S903=1,OR(Report!$C$5="",B903=Report!$C$5)),MATCH(B903,Rooms!$B$6:$B$35,0)*10000+ROW(),"")</f>
        <v/>
      </c>
      <c r="W903">
        <f>IF(AND(S903=1,OR(J903="",J903="No")),1,0)</f>
        <v/>
      </c>
      <c r="X903">
        <f>IF(AND(S903=1,K903=""),1,0)</f>
        <v/>
      </c>
      <c r="Y903">
        <f>IF(AND(S903=1,Q903&lt;&gt;""),ROUND(T903*100,0)*10000+10000-ROW(),"")</f>
        <v/>
      </c>
    </row>
    <row r="904">
      <c r="A904" s="1" t="n"/>
      <c r="B904" s="17" t="n"/>
      <c r="C904" s="18" t="n"/>
      <c r="D904" s="17" t="n"/>
      <c r="E904" s="19" t="n"/>
      <c r="F904" s="19" t="n"/>
      <c r="G904" s="20" t="n"/>
      <c r="H904" s="21" t="n"/>
      <c r="I904" s="21" t="n"/>
      <c r="J904" s="17" t="n"/>
      <c r="K904" s="19" t="n"/>
      <c r="L904" s="20" t="n"/>
      <c r="M904" s="19" t="n"/>
      <c r="N904" s="22">
        <f>IF(C904="","",IF(ISNUMBER(I904),I904,IF(ISNUMBER(H904),H904,"")))</f>
        <v/>
      </c>
      <c r="O904" s="23">
        <f>IF(OR(C904="",NOT(ISNUMBER(G904))),"",(TODAY()-INT(G904))/365.25)</f>
        <v/>
      </c>
      <c r="P904" s="13">
        <f>IF(OR(C904="",NOT(ISNUMBER(L904))),"",IF(L904&lt;TODAY(),"Ended",IF(L904-TODAY()&lt;=N(Settings!$C$10),"Ends soon","Covered")))</f>
        <v/>
      </c>
      <c r="Q904" s="13">
        <f>IF(C904="","",MID(IF(N904="",", value","")&amp;IF(OR(J904="",J904="No"),", receipt","")&amp;IF(K904="",", photo",""),3,100))</f>
        <v/>
      </c>
      <c r="R904" s="13">
        <f>IF(AND(B904="",C904=""),"",IF(C904="","Needs the item",IF(B904="","Needs a room",IF(COUNTIF(Rooms!$B$6:$B$35,B904)=0,"Not on Rooms",IF(AND(H904&lt;&gt;"",NOT(ISNUMBER(H904))),"Paid not a number",IF(AND(I904&lt;&gt;"",NOT(ISNUMBER(I904))),"Worth not a number",IF(AND(G904&lt;&gt;"",NOT(ISNUMBER(G904))),"Bought is not a date",IF(AND(L904&lt;&gt;"",NOT(ISNUMBER(L904))),"Warranty is not a date",""))))))))</f>
        <v/>
      </c>
      <c r="S904" s="1">
        <f>IF(AND(C904&lt;&gt;"",R904=""),1,0)</f>
        <v/>
      </c>
      <c r="T904">
        <f>IF(S904=1,N(N904),0)</f>
        <v/>
      </c>
      <c r="U904">
        <f>IF(AND(S904=1,T904&gt;0),ROUND(T904*100,0)*10000+10000-ROW(),"")</f>
        <v/>
      </c>
      <c r="V904">
        <f>IF(AND(S904=1,OR(Report!$C$5="",B904=Report!$C$5)),MATCH(B904,Rooms!$B$6:$B$35,0)*10000+ROW(),"")</f>
        <v/>
      </c>
      <c r="W904">
        <f>IF(AND(S904=1,OR(J904="",J904="No")),1,0)</f>
        <v/>
      </c>
      <c r="X904">
        <f>IF(AND(S904=1,K904=""),1,0)</f>
        <v/>
      </c>
      <c r="Y904">
        <f>IF(AND(S904=1,Q904&lt;&gt;""),ROUND(T904*100,0)*10000+10000-ROW(),"")</f>
        <v/>
      </c>
    </row>
    <row r="905">
      <c r="A905" s="1" t="n"/>
      <c r="B905" s="17" t="n"/>
      <c r="C905" s="18" t="n"/>
      <c r="D905" s="17" t="n"/>
      <c r="E905" s="19" t="n"/>
      <c r="F905" s="19" t="n"/>
      <c r="G905" s="20" t="n"/>
      <c r="H905" s="21" t="n"/>
      <c r="I905" s="21" t="n"/>
      <c r="J905" s="17" t="n"/>
      <c r="K905" s="19" t="n"/>
      <c r="L905" s="20" t="n"/>
      <c r="M905" s="19" t="n"/>
      <c r="N905" s="22">
        <f>IF(C905="","",IF(ISNUMBER(I905),I905,IF(ISNUMBER(H905),H905,"")))</f>
        <v/>
      </c>
      <c r="O905" s="23">
        <f>IF(OR(C905="",NOT(ISNUMBER(G905))),"",(TODAY()-INT(G905))/365.25)</f>
        <v/>
      </c>
      <c r="P905" s="13">
        <f>IF(OR(C905="",NOT(ISNUMBER(L905))),"",IF(L905&lt;TODAY(),"Ended",IF(L905-TODAY()&lt;=N(Settings!$C$10),"Ends soon","Covered")))</f>
        <v/>
      </c>
      <c r="Q905" s="13">
        <f>IF(C905="","",MID(IF(N905="",", value","")&amp;IF(OR(J905="",J905="No"),", receipt","")&amp;IF(K905="",", photo",""),3,100))</f>
        <v/>
      </c>
      <c r="R905" s="13">
        <f>IF(AND(B905="",C905=""),"",IF(C905="","Needs the item",IF(B905="","Needs a room",IF(COUNTIF(Rooms!$B$6:$B$35,B905)=0,"Not on Rooms",IF(AND(H905&lt;&gt;"",NOT(ISNUMBER(H905))),"Paid not a number",IF(AND(I905&lt;&gt;"",NOT(ISNUMBER(I905))),"Worth not a number",IF(AND(G905&lt;&gt;"",NOT(ISNUMBER(G905))),"Bought is not a date",IF(AND(L905&lt;&gt;"",NOT(ISNUMBER(L905))),"Warranty is not a date",""))))))))</f>
        <v/>
      </c>
      <c r="S905" s="1">
        <f>IF(AND(C905&lt;&gt;"",R905=""),1,0)</f>
        <v/>
      </c>
      <c r="T905">
        <f>IF(S905=1,N(N905),0)</f>
        <v/>
      </c>
      <c r="U905">
        <f>IF(AND(S905=1,T905&gt;0),ROUND(T905*100,0)*10000+10000-ROW(),"")</f>
        <v/>
      </c>
      <c r="V905">
        <f>IF(AND(S905=1,OR(Report!$C$5="",B905=Report!$C$5)),MATCH(B905,Rooms!$B$6:$B$35,0)*10000+ROW(),"")</f>
        <v/>
      </c>
      <c r="W905">
        <f>IF(AND(S905=1,OR(J905="",J905="No")),1,0)</f>
        <v/>
      </c>
      <c r="X905">
        <f>IF(AND(S905=1,K905=""),1,0)</f>
        <v/>
      </c>
      <c r="Y905">
        <f>IF(AND(S905=1,Q905&lt;&gt;""),ROUND(T905*100,0)*10000+10000-ROW(),"")</f>
        <v/>
      </c>
    </row>
    <row r="906">
      <c r="A906" s="1" t="n"/>
      <c r="B906" s="17" t="n"/>
      <c r="C906" s="18" t="n"/>
      <c r="D906" s="17" t="n"/>
      <c r="E906" s="19" t="n"/>
      <c r="F906" s="19" t="n"/>
      <c r="G906" s="20" t="n"/>
      <c r="H906" s="21" t="n"/>
      <c r="I906" s="21" t="n"/>
      <c r="J906" s="17" t="n"/>
      <c r="K906" s="19" t="n"/>
      <c r="L906" s="20" t="n"/>
      <c r="M906" s="19" t="n"/>
      <c r="N906" s="22">
        <f>IF(C906="","",IF(ISNUMBER(I906),I906,IF(ISNUMBER(H906),H906,"")))</f>
        <v/>
      </c>
      <c r="O906" s="23">
        <f>IF(OR(C906="",NOT(ISNUMBER(G906))),"",(TODAY()-INT(G906))/365.25)</f>
        <v/>
      </c>
      <c r="P906" s="13">
        <f>IF(OR(C906="",NOT(ISNUMBER(L906))),"",IF(L906&lt;TODAY(),"Ended",IF(L906-TODAY()&lt;=N(Settings!$C$10),"Ends soon","Covered")))</f>
        <v/>
      </c>
      <c r="Q906" s="13">
        <f>IF(C906="","",MID(IF(N906="",", value","")&amp;IF(OR(J906="",J906="No"),", receipt","")&amp;IF(K906="",", photo",""),3,100))</f>
        <v/>
      </c>
      <c r="R906" s="13">
        <f>IF(AND(B906="",C906=""),"",IF(C906="","Needs the item",IF(B906="","Needs a room",IF(COUNTIF(Rooms!$B$6:$B$35,B906)=0,"Not on Rooms",IF(AND(H906&lt;&gt;"",NOT(ISNUMBER(H906))),"Paid not a number",IF(AND(I906&lt;&gt;"",NOT(ISNUMBER(I906))),"Worth not a number",IF(AND(G906&lt;&gt;"",NOT(ISNUMBER(G906))),"Bought is not a date",IF(AND(L906&lt;&gt;"",NOT(ISNUMBER(L906))),"Warranty is not a date",""))))))))</f>
        <v/>
      </c>
      <c r="S906" s="1">
        <f>IF(AND(C906&lt;&gt;"",R906=""),1,0)</f>
        <v/>
      </c>
      <c r="T906">
        <f>IF(S906=1,N(N906),0)</f>
        <v/>
      </c>
      <c r="U906">
        <f>IF(AND(S906=1,T906&gt;0),ROUND(T906*100,0)*10000+10000-ROW(),"")</f>
        <v/>
      </c>
      <c r="V906">
        <f>IF(AND(S906=1,OR(Report!$C$5="",B906=Report!$C$5)),MATCH(B906,Rooms!$B$6:$B$35,0)*10000+ROW(),"")</f>
        <v/>
      </c>
      <c r="W906">
        <f>IF(AND(S906=1,OR(J906="",J906="No")),1,0)</f>
        <v/>
      </c>
      <c r="X906">
        <f>IF(AND(S906=1,K906=""),1,0)</f>
        <v/>
      </c>
      <c r="Y906">
        <f>IF(AND(S906=1,Q906&lt;&gt;""),ROUND(T906*100,0)*10000+10000-ROW(),"")</f>
        <v/>
      </c>
    </row>
    <row r="907">
      <c r="A907" s="1" t="n"/>
      <c r="B907" s="17" t="n"/>
      <c r="C907" s="18" t="n"/>
      <c r="D907" s="17" t="n"/>
      <c r="E907" s="19" t="n"/>
      <c r="F907" s="19" t="n"/>
      <c r="G907" s="20" t="n"/>
      <c r="H907" s="21" t="n"/>
      <c r="I907" s="21" t="n"/>
      <c r="J907" s="17" t="n"/>
      <c r="K907" s="19" t="n"/>
      <c r="L907" s="20" t="n"/>
      <c r="M907" s="19" t="n"/>
      <c r="N907" s="22">
        <f>IF(C907="","",IF(ISNUMBER(I907),I907,IF(ISNUMBER(H907),H907,"")))</f>
        <v/>
      </c>
      <c r="O907" s="23">
        <f>IF(OR(C907="",NOT(ISNUMBER(G907))),"",(TODAY()-INT(G907))/365.25)</f>
        <v/>
      </c>
      <c r="P907" s="13">
        <f>IF(OR(C907="",NOT(ISNUMBER(L907))),"",IF(L907&lt;TODAY(),"Ended",IF(L907-TODAY()&lt;=N(Settings!$C$10),"Ends soon","Covered")))</f>
        <v/>
      </c>
      <c r="Q907" s="13">
        <f>IF(C907="","",MID(IF(N907="",", value","")&amp;IF(OR(J907="",J907="No"),", receipt","")&amp;IF(K907="",", photo",""),3,100))</f>
        <v/>
      </c>
      <c r="R907" s="13">
        <f>IF(AND(B907="",C907=""),"",IF(C907="","Needs the item",IF(B907="","Needs a room",IF(COUNTIF(Rooms!$B$6:$B$35,B907)=0,"Not on Rooms",IF(AND(H907&lt;&gt;"",NOT(ISNUMBER(H907))),"Paid not a number",IF(AND(I907&lt;&gt;"",NOT(ISNUMBER(I907))),"Worth not a number",IF(AND(G907&lt;&gt;"",NOT(ISNUMBER(G907))),"Bought is not a date",IF(AND(L907&lt;&gt;"",NOT(ISNUMBER(L907))),"Warranty is not a date",""))))))))</f>
        <v/>
      </c>
      <c r="S907" s="1">
        <f>IF(AND(C907&lt;&gt;"",R907=""),1,0)</f>
        <v/>
      </c>
      <c r="T907">
        <f>IF(S907=1,N(N907),0)</f>
        <v/>
      </c>
      <c r="U907">
        <f>IF(AND(S907=1,T907&gt;0),ROUND(T907*100,0)*10000+10000-ROW(),"")</f>
        <v/>
      </c>
      <c r="V907">
        <f>IF(AND(S907=1,OR(Report!$C$5="",B907=Report!$C$5)),MATCH(B907,Rooms!$B$6:$B$35,0)*10000+ROW(),"")</f>
        <v/>
      </c>
      <c r="W907">
        <f>IF(AND(S907=1,OR(J907="",J907="No")),1,0)</f>
        <v/>
      </c>
      <c r="X907">
        <f>IF(AND(S907=1,K907=""),1,0)</f>
        <v/>
      </c>
      <c r="Y907">
        <f>IF(AND(S907=1,Q907&lt;&gt;""),ROUND(T907*100,0)*10000+10000-ROW(),"")</f>
        <v/>
      </c>
    </row>
    <row r="908">
      <c r="A908" s="1" t="n"/>
      <c r="B908" s="17" t="n"/>
      <c r="C908" s="18" t="n"/>
      <c r="D908" s="17" t="n"/>
      <c r="E908" s="19" t="n"/>
      <c r="F908" s="19" t="n"/>
      <c r="G908" s="20" t="n"/>
      <c r="H908" s="21" t="n"/>
      <c r="I908" s="21" t="n"/>
      <c r="J908" s="17" t="n"/>
      <c r="K908" s="19" t="n"/>
      <c r="L908" s="20" t="n"/>
      <c r="M908" s="19" t="n"/>
      <c r="N908" s="22">
        <f>IF(C908="","",IF(ISNUMBER(I908),I908,IF(ISNUMBER(H908),H908,"")))</f>
        <v/>
      </c>
      <c r="O908" s="23">
        <f>IF(OR(C908="",NOT(ISNUMBER(G908))),"",(TODAY()-INT(G908))/365.25)</f>
        <v/>
      </c>
      <c r="P908" s="13">
        <f>IF(OR(C908="",NOT(ISNUMBER(L908))),"",IF(L908&lt;TODAY(),"Ended",IF(L908-TODAY()&lt;=N(Settings!$C$10),"Ends soon","Covered")))</f>
        <v/>
      </c>
      <c r="Q908" s="13">
        <f>IF(C908="","",MID(IF(N908="",", value","")&amp;IF(OR(J908="",J908="No"),", receipt","")&amp;IF(K908="",", photo",""),3,100))</f>
        <v/>
      </c>
      <c r="R908" s="13">
        <f>IF(AND(B908="",C908=""),"",IF(C908="","Needs the item",IF(B908="","Needs a room",IF(COUNTIF(Rooms!$B$6:$B$35,B908)=0,"Not on Rooms",IF(AND(H908&lt;&gt;"",NOT(ISNUMBER(H908))),"Paid not a number",IF(AND(I908&lt;&gt;"",NOT(ISNUMBER(I908))),"Worth not a number",IF(AND(G908&lt;&gt;"",NOT(ISNUMBER(G908))),"Bought is not a date",IF(AND(L908&lt;&gt;"",NOT(ISNUMBER(L908))),"Warranty is not a date",""))))))))</f>
        <v/>
      </c>
      <c r="S908" s="1">
        <f>IF(AND(C908&lt;&gt;"",R908=""),1,0)</f>
        <v/>
      </c>
      <c r="T908">
        <f>IF(S908=1,N(N908),0)</f>
        <v/>
      </c>
      <c r="U908">
        <f>IF(AND(S908=1,T908&gt;0),ROUND(T908*100,0)*10000+10000-ROW(),"")</f>
        <v/>
      </c>
      <c r="V908">
        <f>IF(AND(S908=1,OR(Report!$C$5="",B908=Report!$C$5)),MATCH(B908,Rooms!$B$6:$B$35,0)*10000+ROW(),"")</f>
        <v/>
      </c>
      <c r="W908">
        <f>IF(AND(S908=1,OR(J908="",J908="No")),1,0)</f>
        <v/>
      </c>
      <c r="X908">
        <f>IF(AND(S908=1,K908=""),1,0)</f>
        <v/>
      </c>
      <c r="Y908">
        <f>IF(AND(S908=1,Q908&lt;&gt;""),ROUND(T908*100,0)*10000+10000-ROW(),"")</f>
        <v/>
      </c>
    </row>
    <row r="909">
      <c r="A909" s="1" t="n"/>
      <c r="B909" s="17" t="n"/>
      <c r="C909" s="18" t="n"/>
      <c r="D909" s="17" t="n"/>
      <c r="E909" s="19" t="n"/>
      <c r="F909" s="19" t="n"/>
      <c r="G909" s="20" t="n"/>
      <c r="H909" s="21" t="n"/>
      <c r="I909" s="21" t="n"/>
      <c r="J909" s="17" t="n"/>
      <c r="K909" s="19" t="n"/>
      <c r="L909" s="20" t="n"/>
      <c r="M909" s="19" t="n"/>
      <c r="N909" s="22">
        <f>IF(C909="","",IF(ISNUMBER(I909),I909,IF(ISNUMBER(H909),H909,"")))</f>
        <v/>
      </c>
      <c r="O909" s="23">
        <f>IF(OR(C909="",NOT(ISNUMBER(G909))),"",(TODAY()-INT(G909))/365.25)</f>
        <v/>
      </c>
      <c r="P909" s="13">
        <f>IF(OR(C909="",NOT(ISNUMBER(L909))),"",IF(L909&lt;TODAY(),"Ended",IF(L909-TODAY()&lt;=N(Settings!$C$10),"Ends soon","Covered")))</f>
        <v/>
      </c>
      <c r="Q909" s="13">
        <f>IF(C909="","",MID(IF(N909="",", value","")&amp;IF(OR(J909="",J909="No"),", receipt","")&amp;IF(K909="",", photo",""),3,100))</f>
        <v/>
      </c>
      <c r="R909" s="13">
        <f>IF(AND(B909="",C909=""),"",IF(C909="","Needs the item",IF(B909="","Needs a room",IF(COUNTIF(Rooms!$B$6:$B$35,B909)=0,"Not on Rooms",IF(AND(H909&lt;&gt;"",NOT(ISNUMBER(H909))),"Paid not a number",IF(AND(I909&lt;&gt;"",NOT(ISNUMBER(I909))),"Worth not a number",IF(AND(G909&lt;&gt;"",NOT(ISNUMBER(G909))),"Bought is not a date",IF(AND(L909&lt;&gt;"",NOT(ISNUMBER(L909))),"Warranty is not a date",""))))))))</f>
        <v/>
      </c>
      <c r="S909" s="1">
        <f>IF(AND(C909&lt;&gt;"",R909=""),1,0)</f>
        <v/>
      </c>
      <c r="T909">
        <f>IF(S909=1,N(N909),0)</f>
        <v/>
      </c>
      <c r="U909">
        <f>IF(AND(S909=1,T909&gt;0),ROUND(T909*100,0)*10000+10000-ROW(),"")</f>
        <v/>
      </c>
      <c r="V909">
        <f>IF(AND(S909=1,OR(Report!$C$5="",B909=Report!$C$5)),MATCH(B909,Rooms!$B$6:$B$35,0)*10000+ROW(),"")</f>
        <v/>
      </c>
      <c r="W909">
        <f>IF(AND(S909=1,OR(J909="",J909="No")),1,0)</f>
        <v/>
      </c>
      <c r="X909">
        <f>IF(AND(S909=1,K909=""),1,0)</f>
        <v/>
      </c>
      <c r="Y909">
        <f>IF(AND(S909=1,Q909&lt;&gt;""),ROUND(T909*100,0)*10000+10000-ROW(),"")</f>
        <v/>
      </c>
    </row>
    <row r="910">
      <c r="A910" s="1" t="n"/>
      <c r="B910" s="17" t="n"/>
      <c r="C910" s="18" t="n"/>
      <c r="D910" s="17" t="n"/>
      <c r="E910" s="19" t="n"/>
      <c r="F910" s="19" t="n"/>
      <c r="G910" s="20" t="n"/>
      <c r="H910" s="21" t="n"/>
      <c r="I910" s="21" t="n"/>
      <c r="J910" s="17" t="n"/>
      <c r="K910" s="19" t="n"/>
      <c r="L910" s="20" t="n"/>
      <c r="M910" s="19" t="n"/>
      <c r="N910" s="22">
        <f>IF(C910="","",IF(ISNUMBER(I910),I910,IF(ISNUMBER(H910),H910,"")))</f>
        <v/>
      </c>
      <c r="O910" s="23">
        <f>IF(OR(C910="",NOT(ISNUMBER(G910))),"",(TODAY()-INT(G910))/365.25)</f>
        <v/>
      </c>
      <c r="P910" s="13">
        <f>IF(OR(C910="",NOT(ISNUMBER(L910))),"",IF(L910&lt;TODAY(),"Ended",IF(L910-TODAY()&lt;=N(Settings!$C$10),"Ends soon","Covered")))</f>
        <v/>
      </c>
      <c r="Q910" s="13">
        <f>IF(C910="","",MID(IF(N910="",", value","")&amp;IF(OR(J910="",J910="No"),", receipt","")&amp;IF(K910="",", photo",""),3,100))</f>
        <v/>
      </c>
      <c r="R910" s="13">
        <f>IF(AND(B910="",C910=""),"",IF(C910="","Needs the item",IF(B910="","Needs a room",IF(COUNTIF(Rooms!$B$6:$B$35,B910)=0,"Not on Rooms",IF(AND(H910&lt;&gt;"",NOT(ISNUMBER(H910))),"Paid not a number",IF(AND(I910&lt;&gt;"",NOT(ISNUMBER(I910))),"Worth not a number",IF(AND(G910&lt;&gt;"",NOT(ISNUMBER(G910))),"Bought is not a date",IF(AND(L910&lt;&gt;"",NOT(ISNUMBER(L910))),"Warranty is not a date",""))))))))</f>
        <v/>
      </c>
      <c r="S910" s="1">
        <f>IF(AND(C910&lt;&gt;"",R910=""),1,0)</f>
        <v/>
      </c>
      <c r="T910">
        <f>IF(S910=1,N(N910),0)</f>
        <v/>
      </c>
      <c r="U910">
        <f>IF(AND(S910=1,T910&gt;0),ROUND(T910*100,0)*10000+10000-ROW(),"")</f>
        <v/>
      </c>
      <c r="V910">
        <f>IF(AND(S910=1,OR(Report!$C$5="",B910=Report!$C$5)),MATCH(B910,Rooms!$B$6:$B$35,0)*10000+ROW(),"")</f>
        <v/>
      </c>
      <c r="W910">
        <f>IF(AND(S910=1,OR(J910="",J910="No")),1,0)</f>
        <v/>
      </c>
      <c r="X910">
        <f>IF(AND(S910=1,K910=""),1,0)</f>
        <v/>
      </c>
      <c r="Y910">
        <f>IF(AND(S910=1,Q910&lt;&gt;""),ROUND(T910*100,0)*10000+10000-ROW(),"")</f>
        <v/>
      </c>
    </row>
    <row r="911">
      <c r="A911" s="1" t="n"/>
      <c r="B911" s="17" t="n"/>
      <c r="C911" s="18" t="n"/>
      <c r="D911" s="17" t="n"/>
      <c r="E911" s="19" t="n"/>
      <c r="F911" s="19" t="n"/>
      <c r="G911" s="20" t="n"/>
      <c r="H911" s="21" t="n"/>
      <c r="I911" s="21" t="n"/>
      <c r="J911" s="17" t="n"/>
      <c r="K911" s="19" t="n"/>
      <c r="L911" s="20" t="n"/>
      <c r="M911" s="19" t="n"/>
      <c r="N911" s="22">
        <f>IF(C911="","",IF(ISNUMBER(I911),I911,IF(ISNUMBER(H911),H911,"")))</f>
        <v/>
      </c>
      <c r="O911" s="23">
        <f>IF(OR(C911="",NOT(ISNUMBER(G911))),"",(TODAY()-INT(G911))/365.25)</f>
        <v/>
      </c>
      <c r="P911" s="13">
        <f>IF(OR(C911="",NOT(ISNUMBER(L911))),"",IF(L911&lt;TODAY(),"Ended",IF(L911-TODAY()&lt;=N(Settings!$C$10),"Ends soon","Covered")))</f>
        <v/>
      </c>
      <c r="Q911" s="13">
        <f>IF(C911="","",MID(IF(N911="",", value","")&amp;IF(OR(J911="",J911="No"),", receipt","")&amp;IF(K911="",", photo",""),3,100))</f>
        <v/>
      </c>
      <c r="R911" s="13">
        <f>IF(AND(B911="",C911=""),"",IF(C911="","Needs the item",IF(B911="","Needs a room",IF(COUNTIF(Rooms!$B$6:$B$35,B911)=0,"Not on Rooms",IF(AND(H911&lt;&gt;"",NOT(ISNUMBER(H911))),"Paid not a number",IF(AND(I911&lt;&gt;"",NOT(ISNUMBER(I911))),"Worth not a number",IF(AND(G911&lt;&gt;"",NOT(ISNUMBER(G911))),"Bought is not a date",IF(AND(L911&lt;&gt;"",NOT(ISNUMBER(L911))),"Warranty is not a date",""))))))))</f>
        <v/>
      </c>
      <c r="S911" s="1">
        <f>IF(AND(C911&lt;&gt;"",R911=""),1,0)</f>
        <v/>
      </c>
      <c r="T911">
        <f>IF(S911=1,N(N911),0)</f>
        <v/>
      </c>
      <c r="U911">
        <f>IF(AND(S911=1,T911&gt;0),ROUND(T911*100,0)*10000+10000-ROW(),"")</f>
        <v/>
      </c>
      <c r="V911">
        <f>IF(AND(S911=1,OR(Report!$C$5="",B911=Report!$C$5)),MATCH(B911,Rooms!$B$6:$B$35,0)*10000+ROW(),"")</f>
        <v/>
      </c>
      <c r="W911">
        <f>IF(AND(S911=1,OR(J911="",J911="No")),1,0)</f>
        <v/>
      </c>
      <c r="X911">
        <f>IF(AND(S911=1,K911=""),1,0)</f>
        <v/>
      </c>
      <c r="Y911">
        <f>IF(AND(S911=1,Q911&lt;&gt;""),ROUND(T911*100,0)*10000+10000-ROW(),"")</f>
        <v/>
      </c>
    </row>
    <row r="912">
      <c r="A912" s="1" t="n"/>
      <c r="B912" s="17" t="n"/>
      <c r="C912" s="18" t="n"/>
      <c r="D912" s="17" t="n"/>
      <c r="E912" s="19" t="n"/>
      <c r="F912" s="19" t="n"/>
      <c r="G912" s="20" t="n"/>
      <c r="H912" s="21" t="n"/>
      <c r="I912" s="21" t="n"/>
      <c r="J912" s="17" t="n"/>
      <c r="K912" s="19" t="n"/>
      <c r="L912" s="20" t="n"/>
      <c r="M912" s="19" t="n"/>
      <c r="N912" s="22">
        <f>IF(C912="","",IF(ISNUMBER(I912),I912,IF(ISNUMBER(H912),H912,"")))</f>
        <v/>
      </c>
      <c r="O912" s="23">
        <f>IF(OR(C912="",NOT(ISNUMBER(G912))),"",(TODAY()-INT(G912))/365.25)</f>
        <v/>
      </c>
      <c r="P912" s="13">
        <f>IF(OR(C912="",NOT(ISNUMBER(L912))),"",IF(L912&lt;TODAY(),"Ended",IF(L912-TODAY()&lt;=N(Settings!$C$10),"Ends soon","Covered")))</f>
        <v/>
      </c>
      <c r="Q912" s="13">
        <f>IF(C912="","",MID(IF(N912="",", value","")&amp;IF(OR(J912="",J912="No"),", receipt","")&amp;IF(K912="",", photo",""),3,100))</f>
        <v/>
      </c>
      <c r="R912" s="13">
        <f>IF(AND(B912="",C912=""),"",IF(C912="","Needs the item",IF(B912="","Needs a room",IF(COUNTIF(Rooms!$B$6:$B$35,B912)=0,"Not on Rooms",IF(AND(H912&lt;&gt;"",NOT(ISNUMBER(H912))),"Paid not a number",IF(AND(I912&lt;&gt;"",NOT(ISNUMBER(I912))),"Worth not a number",IF(AND(G912&lt;&gt;"",NOT(ISNUMBER(G912))),"Bought is not a date",IF(AND(L912&lt;&gt;"",NOT(ISNUMBER(L912))),"Warranty is not a date",""))))))))</f>
        <v/>
      </c>
      <c r="S912" s="1">
        <f>IF(AND(C912&lt;&gt;"",R912=""),1,0)</f>
        <v/>
      </c>
      <c r="T912">
        <f>IF(S912=1,N(N912),0)</f>
        <v/>
      </c>
      <c r="U912">
        <f>IF(AND(S912=1,T912&gt;0),ROUND(T912*100,0)*10000+10000-ROW(),"")</f>
        <v/>
      </c>
      <c r="V912">
        <f>IF(AND(S912=1,OR(Report!$C$5="",B912=Report!$C$5)),MATCH(B912,Rooms!$B$6:$B$35,0)*10000+ROW(),"")</f>
        <v/>
      </c>
      <c r="W912">
        <f>IF(AND(S912=1,OR(J912="",J912="No")),1,0)</f>
        <v/>
      </c>
      <c r="X912">
        <f>IF(AND(S912=1,K912=""),1,0)</f>
        <v/>
      </c>
      <c r="Y912">
        <f>IF(AND(S912=1,Q912&lt;&gt;""),ROUND(T912*100,0)*10000+10000-ROW(),"")</f>
        <v/>
      </c>
    </row>
    <row r="913">
      <c r="A913" s="1" t="n"/>
      <c r="B913" s="17" t="n"/>
      <c r="C913" s="18" t="n"/>
      <c r="D913" s="17" t="n"/>
      <c r="E913" s="19" t="n"/>
      <c r="F913" s="19" t="n"/>
      <c r="G913" s="20" t="n"/>
      <c r="H913" s="21" t="n"/>
      <c r="I913" s="21" t="n"/>
      <c r="J913" s="17" t="n"/>
      <c r="K913" s="19" t="n"/>
      <c r="L913" s="20" t="n"/>
      <c r="M913" s="19" t="n"/>
      <c r="N913" s="22">
        <f>IF(C913="","",IF(ISNUMBER(I913),I913,IF(ISNUMBER(H913),H913,"")))</f>
        <v/>
      </c>
      <c r="O913" s="23">
        <f>IF(OR(C913="",NOT(ISNUMBER(G913))),"",(TODAY()-INT(G913))/365.25)</f>
        <v/>
      </c>
      <c r="P913" s="13">
        <f>IF(OR(C913="",NOT(ISNUMBER(L913))),"",IF(L913&lt;TODAY(),"Ended",IF(L913-TODAY()&lt;=N(Settings!$C$10),"Ends soon","Covered")))</f>
        <v/>
      </c>
      <c r="Q913" s="13">
        <f>IF(C913="","",MID(IF(N913="",", value","")&amp;IF(OR(J913="",J913="No"),", receipt","")&amp;IF(K913="",", photo",""),3,100))</f>
        <v/>
      </c>
      <c r="R913" s="13">
        <f>IF(AND(B913="",C913=""),"",IF(C913="","Needs the item",IF(B913="","Needs a room",IF(COUNTIF(Rooms!$B$6:$B$35,B913)=0,"Not on Rooms",IF(AND(H913&lt;&gt;"",NOT(ISNUMBER(H913))),"Paid not a number",IF(AND(I913&lt;&gt;"",NOT(ISNUMBER(I913))),"Worth not a number",IF(AND(G913&lt;&gt;"",NOT(ISNUMBER(G913))),"Bought is not a date",IF(AND(L913&lt;&gt;"",NOT(ISNUMBER(L913))),"Warranty is not a date",""))))))))</f>
        <v/>
      </c>
      <c r="S913" s="1">
        <f>IF(AND(C913&lt;&gt;"",R913=""),1,0)</f>
        <v/>
      </c>
      <c r="T913">
        <f>IF(S913=1,N(N913),0)</f>
        <v/>
      </c>
      <c r="U913">
        <f>IF(AND(S913=1,T913&gt;0),ROUND(T913*100,0)*10000+10000-ROW(),"")</f>
        <v/>
      </c>
      <c r="V913">
        <f>IF(AND(S913=1,OR(Report!$C$5="",B913=Report!$C$5)),MATCH(B913,Rooms!$B$6:$B$35,0)*10000+ROW(),"")</f>
        <v/>
      </c>
      <c r="W913">
        <f>IF(AND(S913=1,OR(J913="",J913="No")),1,0)</f>
        <v/>
      </c>
      <c r="X913">
        <f>IF(AND(S913=1,K913=""),1,0)</f>
        <v/>
      </c>
      <c r="Y913">
        <f>IF(AND(S913=1,Q913&lt;&gt;""),ROUND(T913*100,0)*10000+10000-ROW(),"")</f>
        <v/>
      </c>
    </row>
    <row r="914">
      <c r="A914" s="1" t="n"/>
      <c r="B914" s="17" t="n"/>
      <c r="C914" s="18" t="n"/>
      <c r="D914" s="17" t="n"/>
      <c r="E914" s="19" t="n"/>
      <c r="F914" s="19" t="n"/>
      <c r="G914" s="20" t="n"/>
      <c r="H914" s="21" t="n"/>
      <c r="I914" s="21" t="n"/>
      <c r="J914" s="17" t="n"/>
      <c r="K914" s="19" t="n"/>
      <c r="L914" s="20" t="n"/>
      <c r="M914" s="19" t="n"/>
      <c r="N914" s="22">
        <f>IF(C914="","",IF(ISNUMBER(I914),I914,IF(ISNUMBER(H914),H914,"")))</f>
        <v/>
      </c>
      <c r="O914" s="23">
        <f>IF(OR(C914="",NOT(ISNUMBER(G914))),"",(TODAY()-INT(G914))/365.25)</f>
        <v/>
      </c>
      <c r="P914" s="13">
        <f>IF(OR(C914="",NOT(ISNUMBER(L914))),"",IF(L914&lt;TODAY(),"Ended",IF(L914-TODAY()&lt;=N(Settings!$C$10),"Ends soon","Covered")))</f>
        <v/>
      </c>
      <c r="Q914" s="13">
        <f>IF(C914="","",MID(IF(N914="",", value","")&amp;IF(OR(J914="",J914="No"),", receipt","")&amp;IF(K914="",", photo",""),3,100))</f>
        <v/>
      </c>
      <c r="R914" s="13">
        <f>IF(AND(B914="",C914=""),"",IF(C914="","Needs the item",IF(B914="","Needs a room",IF(COUNTIF(Rooms!$B$6:$B$35,B914)=0,"Not on Rooms",IF(AND(H914&lt;&gt;"",NOT(ISNUMBER(H914))),"Paid not a number",IF(AND(I914&lt;&gt;"",NOT(ISNUMBER(I914))),"Worth not a number",IF(AND(G914&lt;&gt;"",NOT(ISNUMBER(G914))),"Bought is not a date",IF(AND(L914&lt;&gt;"",NOT(ISNUMBER(L914))),"Warranty is not a date",""))))))))</f>
        <v/>
      </c>
      <c r="S914" s="1">
        <f>IF(AND(C914&lt;&gt;"",R914=""),1,0)</f>
        <v/>
      </c>
      <c r="T914">
        <f>IF(S914=1,N(N914),0)</f>
        <v/>
      </c>
      <c r="U914">
        <f>IF(AND(S914=1,T914&gt;0),ROUND(T914*100,0)*10000+10000-ROW(),"")</f>
        <v/>
      </c>
      <c r="V914">
        <f>IF(AND(S914=1,OR(Report!$C$5="",B914=Report!$C$5)),MATCH(B914,Rooms!$B$6:$B$35,0)*10000+ROW(),"")</f>
        <v/>
      </c>
      <c r="W914">
        <f>IF(AND(S914=1,OR(J914="",J914="No")),1,0)</f>
        <v/>
      </c>
      <c r="X914">
        <f>IF(AND(S914=1,K914=""),1,0)</f>
        <v/>
      </c>
      <c r="Y914">
        <f>IF(AND(S914=1,Q914&lt;&gt;""),ROUND(T914*100,0)*10000+10000-ROW(),"")</f>
        <v/>
      </c>
    </row>
    <row r="915">
      <c r="A915" s="1" t="n"/>
      <c r="B915" s="17" t="n"/>
      <c r="C915" s="18" t="n"/>
      <c r="D915" s="17" t="n"/>
      <c r="E915" s="19" t="n"/>
      <c r="F915" s="19" t="n"/>
      <c r="G915" s="20" t="n"/>
      <c r="H915" s="21" t="n"/>
      <c r="I915" s="21" t="n"/>
      <c r="J915" s="17" t="n"/>
      <c r="K915" s="19" t="n"/>
      <c r="L915" s="20" t="n"/>
      <c r="M915" s="19" t="n"/>
      <c r="N915" s="22">
        <f>IF(C915="","",IF(ISNUMBER(I915),I915,IF(ISNUMBER(H915),H915,"")))</f>
        <v/>
      </c>
      <c r="O915" s="23">
        <f>IF(OR(C915="",NOT(ISNUMBER(G915))),"",(TODAY()-INT(G915))/365.25)</f>
        <v/>
      </c>
      <c r="P915" s="13">
        <f>IF(OR(C915="",NOT(ISNUMBER(L915))),"",IF(L915&lt;TODAY(),"Ended",IF(L915-TODAY()&lt;=N(Settings!$C$10),"Ends soon","Covered")))</f>
        <v/>
      </c>
      <c r="Q915" s="13">
        <f>IF(C915="","",MID(IF(N915="",", value","")&amp;IF(OR(J915="",J915="No"),", receipt","")&amp;IF(K915="",", photo",""),3,100))</f>
        <v/>
      </c>
      <c r="R915" s="13">
        <f>IF(AND(B915="",C915=""),"",IF(C915="","Needs the item",IF(B915="","Needs a room",IF(COUNTIF(Rooms!$B$6:$B$35,B915)=0,"Not on Rooms",IF(AND(H915&lt;&gt;"",NOT(ISNUMBER(H915))),"Paid not a number",IF(AND(I915&lt;&gt;"",NOT(ISNUMBER(I915))),"Worth not a number",IF(AND(G915&lt;&gt;"",NOT(ISNUMBER(G915))),"Bought is not a date",IF(AND(L915&lt;&gt;"",NOT(ISNUMBER(L915))),"Warranty is not a date",""))))))))</f>
        <v/>
      </c>
      <c r="S915" s="1">
        <f>IF(AND(C915&lt;&gt;"",R915=""),1,0)</f>
        <v/>
      </c>
      <c r="T915">
        <f>IF(S915=1,N(N915),0)</f>
        <v/>
      </c>
      <c r="U915">
        <f>IF(AND(S915=1,T915&gt;0),ROUND(T915*100,0)*10000+10000-ROW(),"")</f>
        <v/>
      </c>
      <c r="V915">
        <f>IF(AND(S915=1,OR(Report!$C$5="",B915=Report!$C$5)),MATCH(B915,Rooms!$B$6:$B$35,0)*10000+ROW(),"")</f>
        <v/>
      </c>
      <c r="W915">
        <f>IF(AND(S915=1,OR(J915="",J915="No")),1,0)</f>
        <v/>
      </c>
      <c r="X915">
        <f>IF(AND(S915=1,K915=""),1,0)</f>
        <v/>
      </c>
      <c r="Y915">
        <f>IF(AND(S915=1,Q915&lt;&gt;""),ROUND(T915*100,0)*10000+10000-ROW(),"")</f>
        <v/>
      </c>
    </row>
    <row r="916">
      <c r="A916" s="1" t="n"/>
      <c r="B916" s="17" t="n"/>
      <c r="C916" s="18" t="n"/>
      <c r="D916" s="17" t="n"/>
      <c r="E916" s="19" t="n"/>
      <c r="F916" s="19" t="n"/>
      <c r="G916" s="20" t="n"/>
      <c r="H916" s="21" t="n"/>
      <c r="I916" s="21" t="n"/>
      <c r="J916" s="17" t="n"/>
      <c r="K916" s="19" t="n"/>
      <c r="L916" s="20" t="n"/>
      <c r="M916" s="19" t="n"/>
      <c r="N916" s="22">
        <f>IF(C916="","",IF(ISNUMBER(I916),I916,IF(ISNUMBER(H916),H916,"")))</f>
        <v/>
      </c>
      <c r="O916" s="23">
        <f>IF(OR(C916="",NOT(ISNUMBER(G916))),"",(TODAY()-INT(G916))/365.25)</f>
        <v/>
      </c>
      <c r="P916" s="13">
        <f>IF(OR(C916="",NOT(ISNUMBER(L916))),"",IF(L916&lt;TODAY(),"Ended",IF(L916-TODAY()&lt;=N(Settings!$C$10),"Ends soon","Covered")))</f>
        <v/>
      </c>
      <c r="Q916" s="13">
        <f>IF(C916="","",MID(IF(N916="",", value","")&amp;IF(OR(J916="",J916="No"),", receipt","")&amp;IF(K916="",", photo",""),3,100))</f>
        <v/>
      </c>
      <c r="R916" s="13">
        <f>IF(AND(B916="",C916=""),"",IF(C916="","Needs the item",IF(B916="","Needs a room",IF(COUNTIF(Rooms!$B$6:$B$35,B916)=0,"Not on Rooms",IF(AND(H916&lt;&gt;"",NOT(ISNUMBER(H916))),"Paid not a number",IF(AND(I916&lt;&gt;"",NOT(ISNUMBER(I916))),"Worth not a number",IF(AND(G916&lt;&gt;"",NOT(ISNUMBER(G916))),"Bought is not a date",IF(AND(L916&lt;&gt;"",NOT(ISNUMBER(L916))),"Warranty is not a date",""))))))))</f>
        <v/>
      </c>
      <c r="S916" s="1">
        <f>IF(AND(C916&lt;&gt;"",R916=""),1,0)</f>
        <v/>
      </c>
      <c r="T916">
        <f>IF(S916=1,N(N916),0)</f>
        <v/>
      </c>
      <c r="U916">
        <f>IF(AND(S916=1,T916&gt;0),ROUND(T916*100,0)*10000+10000-ROW(),"")</f>
        <v/>
      </c>
      <c r="V916">
        <f>IF(AND(S916=1,OR(Report!$C$5="",B916=Report!$C$5)),MATCH(B916,Rooms!$B$6:$B$35,0)*10000+ROW(),"")</f>
        <v/>
      </c>
      <c r="W916">
        <f>IF(AND(S916=1,OR(J916="",J916="No")),1,0)</f>
        <v/>
      </c>
      <c r="X916">
        <f>IF(AND(S916=1,K916=""),1,0)</f>
        <v/>
      </c>
      <c r="Y916">
        <f>IF(AND(S916=1,Q916&lt;&gt;""),ROUND(T916*100,0)*10000+10000-ROW(),"")</f>
        <v/>
      </c>
    </row>
    <row r="917">
      <c r="A917" s="1" t="n"/>
      <c r="B917" s="17" t="n"/>
      <c r="C917" s="18" t="n"/>
      <c r="D917" s="17" t="n"/>
      <c r="E917" s="19" t="n"/>
      <c r="F917" s="19" t="n"/>
      <c r="G917" s="20" t="n"/>
      <c r="H917" s="21" t="n"/>
      <c r="I917" s="21" t="n"/>
      <c r="J917" s="17" t="n"/>
      <c r="K917" s="19" t="n"/>
      <c r="L917" s="20" t="n"/>
      <c r="M917" s="19" t="n"/>
      <c r="N917" s="22">
        <f>IF(C917="","",IF(ISNUMBER(I917),I917,IF(ISNUMBER(H917),H917,"")))</f>
        <v/>
      </c>
      <c r="O917" s="23">
        <f>IF(OR(C917="",NOT(ISNUMBER(G917))),"",(TODAY()-INT(G917))/365.25)</f>
        <v/>
      </c>
      <c r="P917" s="13">
        <f>IF(OR(C917="",NOT(ISNUMBER(L917))),"",IF(L917&lt;TODAY(),"Ended",IF(L917-TODAY()&lt;=N(Settings!$C$10),"Ends soon","Covered")))</f>
        <v/>
      </c>
      <c r="Q917" s="13">
        <f>IF(C917="","",MID(IF(N917="",", value","")&amp;IF(OR(J917="",J917="No"),", receipt","")&amp;IF(K917="",", photo",""),3,100))</f>
        <v/>
      </c>
      <c r="R917" s="13">
        <f>IF(AND(B917="",C917=""),"",IF(C917="","Needs the item",IF(B917="","Needs a room",IF(COUNTIF(Rooms!$B$6:$B$35,B917)=0,"Not on Rooms",IF(AND(H917&lt;&gt;"",NOT(ISNUMBER(H917))),"Paid not a number",IF(AND(I917&lt;&gt;"",NOT(ISNUMBER(I917))),"Worth not a number",IF(AND(G917&lt;&gt;"",NOT(ISNUMBER(G917))),"Bought is not a date",IF(AND(L917&lt;&gt;"",NOT(ISNUMBER(L917))),"Warranty is not a date",""))))))))</f>
        <v/>
      </c>
      <c r="S917" s="1">
        <f>IF(AND(C917&lt;&gt;"",R917=""),1,0)</f>
        <v/>
      </c>
      <c r="T917">
        <f>IF(S917=1,N(N917),0)</f>
        <v/>
      </c>
      <c r="U917">
        <f>IF(AND(S917=1,T917&gt;0),ROUND(T917*100,0)*10000+10000-ROW(),"")</f>
        <v/>
      </c>
      <c r="V917">
        <f>IF(AND(S917=1,OR(Report!$C$5="",B917=Report!$C$5)),MATCH(B917,Rooms!$B$6:$B$35,0)*10000+ROW(),"")</f>
        <v/>
      </c>
      <c r="W917">
        <f>IF(AND(S917=1,OR(J917="",J917="No")),1,0)</f>
        <v/>
      </c>
      <c r="X917">
        <f>IF(AND(S917=1,K917=""),1,0)</f>
        <v/>
      </c>
      <c r="Y917">
        <f>IF(AND(S917=1,Q917&lt;&gt;""),ROUND(T917*100,0)*10000+10000-ROW(),"")</f>
        <v/>
      </c>
    </row>
    <row r="918">
      <c r="A918" s="1" t="n"/>
      <c r="B918" s="17" t="n"/>
      <c r="C918" s="18" t="n"/>
      <c r="D918" s="17" t="n"/>
      <c r="E918" s="19" t="n"/>
      <c r="F918" s="19" t="n"/>
      <c r="G918" s="20" t="n"/>
      <c r="H918" s="21" t="n"/>
      <c r="I918" s="21" t="n"/>
      <c r="J918" s="17" t="n"/>
      <c r="K918" s="19" t="n"/>
      <c r="L918" s="20" t="n"/>
      <c r="M918" s="19" t="n"/>
      <c r="N918" s="22">
        <f>IF(C918="","",IF(ISNUMBER(I918),I918,IF(ISNUMBER(H918),H918,"")))</f>
        <v/>
      </c>
      <c r="O918" s="23">
        <f>IF(OR(C918="",NOT(ISNUMBER(G918))),"",(TODAY()-INT(G918))/365.25)</f>
        <v/>
      </c>
      <c r="P918" s="13">
        <f>IF(OR(C918="",NOT(ISNUMBER(L918))),"",IF(L918&lt;TODAY(),"Ended",IF(L918-TODAY()&lt;=N(Settings!$C$10),"Ends soon","Covered")))</f>
        <v/>
      </c>
      <c r="Q918" s="13">
        <f>IF(C918="","",MID(IF(N918="",", value","")&amp;IF(OR(J918="",J918="No"),", receipt","")&amp;IF(K918="",", photo",""),3,100))</f>
        <v/>
      </c>
      <c r="R918" s="13">
        <f>IF(AND(B918="",C918=""),"",IF(C918="","Needs the item",IF(B918="","Needs a room",IF(COUNTIF(Rooms!$B$6:$B$35,B918)=0,"Not on Rooms",IF(AND(H918&lt;&gt;"",NOT(ISNUMBER(H918))),"Paid not a number",IF(AND(I918&lt;&gt;"",NOT(ISNUMBER(I918))),"Worth not a number",IF(AND(G918&lt;&gt;"",NOT(ISNUMBER(G918))),"Bought is not a date",IF(AND(L918&lt;&gt;"",NOT(ISNUMBER(L918))),"Warranty is not a date",""))))))))</f>
        <v/>
      </c>
      <c r="S918" s="1">
        <f>IF(AND(C918&lt;&gt;"",R918=""),1,0)</f>
        <v/>
      </c>
      <c r="T918">
        <f>IF(S918=1,N(N918),0)</f>
        <v/>
      </c>
      <c r="U918">
        <f>IF(AND(S918=1,T918&gt;0),ROUND(T918*100,0)*10000+10000-ROW(),"")</f>
        <v/>
      </c>
      <c r="V918">
        <f>IF(AND(S918=1,OR(Report!$C$5="",B918=Report!$C$5)),MATCH(B918,Rooms!$B$6:$B$35,0)*10000+ROW(),"")</f>
        <v/>
      </c>
      <c r="W918">
        <f>IF(AND(S918=1,OR(J918="",J918="No")),1,0)</f>
        <v/>
      </c>
      <c r="X918">
        <f>IF(AND(S918=1,K918=""),1,0)</f>
        <v/>
      </c>
      <c r="Y918">
        <f>IF(AND(S918=1,Q918&lt;&gt;""),ROUND(T918*100,0)*10000+10000-ROW(),"")</f>
        <v/>
      </c>
    </row>
    <row r="919">
      <c r="A919" s="1" t="n"/>
      <c r="B919" s="17" t="n"/>
      <c r="C919" s="18" t="n"/>
      <c r="D919" s="17" t="n"/>
      <c r="E919" s="19" t="n"/>
      <c r="F919" s="19" t="n"/>
      <c r="G919" s="20" t="n"/>
      <c r="H919" s="21" t="n"/>
      <c r="I919" s="21" t="n"/>
      <c r="J919" s="17" t="n"/>
      <c r="K919" s="19" t="n"/>
      <c r="L919" s="20" t="n"/>
      <c r="M919" s="19" t="n"/>
      <c r="N919" s="22">
        <f>IF(C919="","",IF(ISNUMBER(I919),I919,IF(ISNUMBER(H919),H919,"")))</f>
        <v/>
      </c>
      <c r="O919" s="23">
        <f>IF(OR(C919="",NOT(ISNUMBER(G919))),"",(TODAY()-INT(G919))/365.25)</f>
        <v/>
      </c>
      <c r="P919" s="13">
        <f>IF(OR(C919="",NOT(ISNUMBER(L919))),"",IF(L919&lt;TODAY(),"Ended",IF(L919-TODAY()&lt;=N(Settings!$C$10),"Ends soon","Covered")))</f>
        <v/>
      </c>
      <c r="Q919" s="13">
        <f>IF(C919="","",MID(IF(N919="",", value","")&amp;IF(OR(J919="",J919="No"),", receipt","")&amp;IF(K919="",", photo",""),3,100))</f>
        <v/>
      </c>
      <c r="R919" s="13">
        <f>IF(AND(B919="",C919=""),"",IF(C919="","Needs the item",IF(B919="","Needs a room",IF(COUNTIF(Rooms!$B$6:$B$35,B919)=0,"Not on Rooms",IF(AND(H919&lt;&gt;"",NOT(ISNUMBER(H919))),"Paid not a number",IF(AND(I919&lt;&gt;"",NOT(ISNUMBER(I919))),"Worth not a number",IF(AND(G919&lt;&gt;"",NOT(ISNUMBER(G919))),"Bought is not a date",IF(AND(L919&lt;&gt;"",NOT(ISNUMBER(L919))),"Warranty is not a date",""))))))))</f>
        <v/>
      </c>
      <c r="S919" s="1">
        <f>IF(AND(C919&lt;&gt;"",R919=""),1,0)</f>
        <v/>
      </c>
      <c r="T919">
        <f>IF(S919=1,N(N919),0)</f>
        <v/>
      </c>
      <c r="U919">
        <f>IF(AND(S919=1,T919&gt;0),ROUND(T919*100,0)*10000+10000-ROW(),"")</f>
        <v/>
      </c>
      <c r="V919">
        <f>IF(AND(S919=1,OR(Report!$C$5="",B919=Report!$C$5)),MATCH(B919,Rooms!$B$6:$B$35,0)*10000+ROW(),"")</f>
        <v/>
      </c>
      <c r="W919">
        <f>IF(AND(S919=1,OR(J919="",J919="No")),1,0)</f>
        <v/>
      </c>
      <c r="X919">
        <f>IF(AND(S919=1,K919=""),1,0)</f>
        <v/>
      </c>
      <c r="Y919">
        <f>IF(AND(S919=1,Q919&lt;&gt;""),ROUND(T919*100,0)*10000+10000-ROW(),"")</f>
        <v/>
      </c>
    </row>
    <row r="920">
      <c r="A920" s="1" t="n"/>
      <c r="B920" s="17" t="n"/>
      <c r="C920" s="18" t="n"/>
      <c r="D920" s="17" t="n"/>
      <c r="E920" s="19" t="n"/>
      <c r="F920" s="19" t="n"/>
      <c r="G920" s="20" t="n"/>
      <c r="H920" s="21" t="n"/>
      <c r="I920" s="21" t="n"/>
      <c r="J920" s="17" t="n"/>
      <c r="K920" s="19" t="n"/>
      <c r="L920" s="20" t="n"/>
      <c r="M920" s="19" t="n"/>
      <c r="N920" s="22">
        <f>IF(C920="","",IF(ISNUMBER(I920),I920,IF(ISNUMBER(H920),H920,"")))</f>
        <v/>
      </c>
      <c r="O920" s="23">
        <f>IF(OR(C920="",NOT(ISNUMBER(G920))),"",(TODAY()-INT(G920))/365.25)</f>
        <v/>
      </c>
      <c r="P920" s="13">
        <f>IF(OR(C920="",NOT(ISNUMBER(L920))),"",IF(L920&lt;TODAY(),"Ended",IF(L920-TODAY()&lt;=N(Settings!$C$10),"Ends soon","Covered")))</f>
        <v/>
      </c>
      <c r="Q920" s="13">
        <f>IF(C920="","",MID(IF(N920="",", value","")&amp;IF(OR(J920="",J920="No"),", receipt","")&amp;IF(K920="",", photo",""),3,100))</f>
        <v/>
      </c>
      <c r="R920" s="13">
        <f>IF(AND(B920="",C920=""),"",IF(C920="","Needs the item",IF(B920="","Needs a room",IF(COUNTIF(Rooms!$B$6:$B$35,B920)=0,"Not on Rooms",IF(AND(H920&lt;&gt;"",NOT(ISNUMBER(H920))),"Paid not a number",IF(AND(I920&lt;&gt;"",NOT(ISNUMBER(I920))),"Worth not a number",IF(AND(G920&lt;&gt;"",NOT(ISNUMBER(G920))),"Bought is not a date",IF(AND(L920&lt;&gt;"",NOT(ISNUMBER(L920))),"Warranty is not a date",""))))))))</f>
        <v/>
      </c>
      <c r="S920" s="1">
        <f>IF(AND(C920&lt;&gt;"",R920=""),1,0)</f>
        <v/>
      </c>
      <c r="T920">
        <f>IF(S920=1,N(N920),0)</f>
        <v/>
      </c>
      <c r="U920">
        <f>IF(AND(S920=1,T920&gt;0),ROUND(T920*100,0)*10000+10000-ROW(),"")</f>
        <v/>
      </c>
      <c r="V920">
        <f>IF(AND(S920=1,OR(Report!$C$5="",B920=Report!$C$5)),MATCH(B920,Rooms!$B$6:$B$35,0)*10000+ROW(),"")</f>
        <v/>
      </c>
      <c r="W920">
        <f>IF(AND(S920=1,OR(J920="",J920="No")),1,0)</f>
        <v/>
      </c>
      <c r="X920">
        <f>IF(AND(S920=1,K920=""),1,0)</f>
        <v/>
      </c>
      <c r="Y920">
        <f>IF(AND(S920=1,Q920&lt;&gt;""),ROUND(T920*100,0)*10000+10000-ROW(),"")</f>
        <v/>
      </c>
    </row>
    <row r="921">
      <c r="A921" s="1" t="n"/>
      <c r="B921" s="17" t="n"/>
      <c r="C921" s="18" t="n"/>
      <c r="D921" s="17" t="n"/>
      <c r="E921" s="19" t="n"/>
      <c r="F921" s="19" t="n"/>
      <c r="G921" s="20" t="n"/>
      <c r="H921" s="21" t="n"/>
      <c r="I921" s="21" t="n"/>
      <c r="J921" s="17" t="n"/>
      <c r="K921" s="19" t="n"/>
      <c r="L921" s="20" t="n"/>
      <c r="M921" s="19" t="n"/>
      <c r="N921" s="22">
        <f>IF(C921="","",IF(ISNUMBER(I921),I921,IF(ISNUMBER(H921),H921,"")))</f>
        <v/>
      </c>
      <c r="O921" s="23">
        <f>IF(OR(C921="",NOT(ISNUMBER(G921))),"",(TODAY()-INT(G921))/365.25)</f>
        <v/>
      </c>
      <c r="P921" s="13">
        <f>IF(OR(C921="",NOT(ISNUMBER(L921))),"",IF(L921&lt;TODAY(),"Ended",IF(L921-TODAY()&lt;=N(Settings!$C$10),"Ends soon","Covered")))</f>
        <v/>
      </c>
      <c r="Q921" s="13">
        <f>IF(C921="","",MID(IF(N921="",", value","")&amp;IF(OR(J921="",J921="No"),", receipt","")&amp;IF(K921="",", photo",""),3,100))</f>
        <v/>
      </c>
      <c r="R921" s="13">
        <f>IF(AND(B921="",C921=""),"",IF(C921="","Needs the item",IF(B921="","Needs a room",IF(COUNTIF(Rooms!$B$6:$B$35,B921)=0,"Not on Rooms",IF(AND(H921&lt;&gt;"",NOT(ISNUMBER(H921))),"Paid not a number",IF(AND(I921&lt;&gt;"",NOT(ISNUMBER(I921))),"Worth not a number",IF(AND(G921&lt;&gt;"",NOT(ISNUMBER(G921))),"Bought is not a date",IF(AND(L921&lt;&gt;"",NOT(ISNUMBER(L921))),"Warranty is not a date",""))))))))</f>
        <v/>
      </c>
      <c r="S921" s="1">
        <f>IF(AND(C921&lt;&gt;"",R921=""),1,0)</f>
        <v/>
      </c>
      <c r="T921">
        <f>IF(S921=1,N(N921),0)</f>
        <v/>
      </c>
      <c r="U921">
        <f>IF(AND(S921=1,T921&gt;0),ROUND(T921*100,0)*10000+10000-ROW(),"")</f>
        <v/>
      </c>
      <c r="V921">
        <f>IF(AND(S921=1,OR(Report!$C$5="",B921=Report!$C$5)),MATCH(B921,Rooms!$B$6:$B$35,0)*10000+ROW(),"")</f>
        <v/>
      </c>
      <c r="W921">
        <f>IF(AND(S921=1,OR(J921="",J921="No")),1,0)</f>
        <v/>
      </c>
      <c r="X921">
        <f>IF(AND(S921=1,K921=""),1,0)</f>
        <v/>
      </c>
      <c r="Y921">
        <f>IF(AND(S921=1,Q921&lt;&gt;""),ROUND(T921*100,0)*10000+10000-ROW(),"")</f>
        <v/>
      </c>
    </row>
    <row r="922">
      <c r="A922" s="1" t="n"/>
      <c r="B922" s="17" t="n"/>
      <c r="C922" s="18" t="n"/>
      <c r="D922" s="17" t="n"/>
      <c r="E922" s="19" t="n"/>
      <c r="F922" s="19" t="n"/>
      <c r="G922" s="20" t="n"/>
      <c r="H922" s="21" t="n"/>
      <c r="I922" s="21" t="n"/>
      <c r="J922" s="17" t="n"/>
      <c r="K922" s="19" t="n"/>
      <c r="L922" s="20" t="n"/>
      <c r="M922" s="19" t="n"/>
      <c r="N922" s="22">
        <f>IF(C922="","",IF(ISNUMBER(I922),I922,IF(ISNUMBER(H922),H922,"")))</f>
        <v/>
      </c>
      <c r="O922" s="23">
        <f>IF(OR(C922="",NOT(ISNUMBER(G922))),"",(TODAY()-INT(G922))/365.25)</f>
        <v/>
      </c>
      <c r="P922" s="13">
        <f>IF(OR(C922="",NOT(ISNUMBER(L922))),"",IF(L922&lt;TODAY(),"Ended",IF(L922-TODAY()&lt;=N(Settings!$C$10),"Ends soon","Covered")))</f>
        <v/>
      </c>
      <c r="Q922" s="13">
        <f>IF(C922="","",MID(IF(N922="",", value","")&amp;IF(OR(J922="",J922="No"),", receipt","")&amp;IF(K922="",", photo",""),3,100))</f>
        <v/>
      </c>
      <c r="R922" s="13">
        <f>IF(AND(B922="",C922=""),"",IF(C922="","Needs the item",IF(B922="","Needs a room",IF(COUNTIF(Rooms!$B$6:$B$35,B922)=0,"Not on Rooms",IF(AND(H922&lt;&gt;"",NOT(ISNUMBER(H922))),"Paid not a number",IF(AND(I922&lt;&gt;"",NOT(ISNUMBER(I922))),"Worth not a number",IF(AND(G922&lt;&gt;"",NOT(ISNUMBER(G922))),"Bought is not a date",IF(AND(L922&lt;&gt;"",NOT(ISNUMBER(L922))),"Warranty is not a date",""))))))))</f>
        <v/>
      </c>
      <c r="S922" s="1">
        <f>IF(AND(C922&lt;&gt;"",R922=""),1,0)</f>
        <v/>
      </c>
      <c r="T922">
        <f>IF(S922=1,N(N922),0)</f>
        <v/>
      </c>
      <c r="U922">
        <f>IF(AND(S922=1,T922&gt;0),ROUND(T922*100,0)*10000+10000-ROW(),"")</f>
        <v/>
      </c>
      <c r="V922">
        <f>IF(AND(S922=1,OR(Report!$C$5="",B922=Report!$C$5)),MATCH(B922,Rooms!$B$6:$B$35,0)*10000+ROW(),"")</f>
        <v/>
      </c>
      <c r="W922">
        <f>IF(AND(S922=1,OR(J922="",J922="No")),1,0)</f>
        <v/>
      </c>
      <c r="X922">
        <f>IF(AND(S922=1,K922=""),1,0)</f>
        <v/>
      </c>
      <c r="Y922">
        <f>IF(AND(S922=1,Q922&lt;&gt;""),ROUND(T922*100,0)*10000+10000-ROW(),"")</f>
        <v/>
      </c>
    </row>
    <row r="923">
      <c r="A923" s="1" t="n"/>
      <c r="B923" s="17" t="n"/>
      <c r="C923" s="18" t="n"/>
      <c r="D923" s="17" t="n"/>
      <c r="E923" s="19" t="n"/>
      <c r="F923" s="19" t="n"/>
      <c r="G923" s="20" t="n"/>
      <c r="H923" s="21" t="n"/>
      <c r="I923" s="21" t="n"/>
      <c r="J923" s="17" t="n"/>
      <c r="K923" s="19" t="n"/>
      <c r="L923" s="20" t="n"/>
      <c r="M923" s="19" t="n"/>
      <c r="N923" s="22">
        <f>IF(C923="","",IF(ISNUMBER(I923),I923,IF(ISNUMBER(H923),H923,"")))</f>
        <v/>
      </c>
      <c r="O923" s="23">
        <f>IF(OR(C923="",NOT(ISNUMBER(G923))),"",(TODAY()-INT(G923))/365.25)</f>
        <v/>
      </c>
      <c r="P923" s="13">
        <f>IF(OR(C923="",NOT(ISNUMBER(L923))),"",IF(L923&lt;TODAY(),"Ended",IF(L923-TODAY()&lt;=N(Settings!$C$10),"Ends soon","Covered")))</f>
        <v/>
      </c>
      <c r="Q923" s="13">
        <f>IF(C923="","",MID(IF(N923="",", value","")&amp;IF(OR(J923="",J923="No"),", receipt","")&amp;IF(K923="",", photo",""),3,100))</f>
        <v/>
      </c>
      <c r="R923" s="13">
        <f>IF(AND(B923="",C923=""),"",IF(C923="","Needs the item",IF(B923="","Needs a room",IF(COUNTIF(Rooms!$B$6:$B$35,B923)=0,"Not on Rooms",IF(AND(H923&lt;&gt;"",NOT(ISNUMBER(H923))),"Paid not a number",IF(AND(I923&lt;&gt;"",NOT(ISNUMBER(I923))),"Worth not a number",IF(AND(G923&lt;&gt;"",NOT(ISNUMBER(G923))),"Bought is not a date",IF(AND(L923&lt;&gt;"",NOT(ISNUMBER(L923))),"Warranty is not a date",""))))))))</f>
        <v/>
      </c>
      <c r="S923" s="1">
        <f>IF(AND(C923&lt;&gt;"",R923=""),1,0)</f>
        <v/>
      </c>
      <c r="T923">
        <f>IF(S923=1,N(N923),0)</f>
        <v/>
      </c>
      <c r="U923">
        <f>IF(AND(S923=1,T923&gt;0),ROUND(T923*100,0)*10000+10000-ROW(),"")</f>
        <v/>
      </c>
      <c r="V923">
        <f>IF(AND(S923=1,OR(Report!$C$5="",B923=Report!$C$5)),MATCH(B923,Rooms!$B$6:$B$35,0)*10000+ROW(),"")</f>
        <v/>
      </c>
      <c r="W923">
        <f>IF(AND(S923=1,OR(J923="",J923="No")),1,0)</f>
        <v/>
      </c>
      <c r="X923">
        <f>IF(AND(S923=1,K923=""),1,0)</f>
        <v/>
      </c>
      <c r="Y923">
        <f>IF(AND(S923=1,Q923&lt;&gt;""),ROUND(T923*100,0)*10000+10000-ROW(),"")</f>
        <v/>
      </c>
    </row>
    <row r="924">
      <c r="A924" s="1" t="n"/>
      <c r="B924" s="17" t="n"/>
      <c r="C924" s="18" t="n"/>
      <c r="D924" s="17" t="n"/>
      <c r="E924" s="19" t="n"/>
      <c r="F924" s="19" t="n"/>
      <c r="G924" s="20" t="n"/>
      <c r="H924" s="21" t="n"/>
      <c r="I924" s="21" t="n"/>
      <c r="J924" s="17" t="n"/>
      <c r="K924" s="19" t="n"/>
      <c r="L924" s="20" t="n"/>
      <c r="M924" s="19" t="n"/>
      <c r="N924" s="22">
        <f>IF(C924="","",IF(ISNUMBER(I924),I924,IF(ISNUMBER(H924),H924,"")))</f>
        <v/>
      </c>
      <c r="O924" s="23">
        <f>IF(OR(C924="",NOT(ISNUMBER(G924))),"",(TODAY()-INT(G924))/365.25)</f>
        <v/>
      </c>
      <c r="P924" s="13">
        <f>IF(OR(C924="",NOT(ISNUMBER(L924))),"",IF(L924&lt;TODAY(),"Ended",IF(L924-TODAY()&lt;=N(Settings!$C$10),"Ends soon","Covered")))</f>
        <v/>
      </c>
      <c r="Q924" s="13">
        <f>IF(C924="","",MID(IF(N924="",", value","")&amp;IF(OR(J924="",J924="No"),", receipt","")&amp;IF(K924="",", photo",""),3,100))</f>
        <v/>
      </c>
      <c r="R924" s="13">
        <f>IF(AND(B924="",C924=""),"",IF(C924="","Needs the item",IF(B924="","Needs a room",IF(COUNTIF(Rooms!$B$6:$B$35,B924)=0,"Not on Rooms",IF(AND(H924&lt;&gt;"",NOT(ISNUMBER(H924))),"Paid not a number",IF(AND(I924&lt;&gt;"",NOT(ISNUMBER(I924))),"Worth not a number",IF(AND(G924&lt;&gt;"",NOT(ISNUMBER(G924))),"Bought is not a date",IF(AND(L924&lt;&gt;"",NOT(ISNUMBER(L924))),"Warranty is not a date",""))))))))</f>
        <v/>
      </c>
      <c r="S924" s="1">
        <f>IF(AND(C924&lt;&gt;"",R924=""),1,0)</f>
        <v/>
      </c>
      <c r="T924">
        <f>IF(S924=1,N(N924),0)</f>
        <v/>
      </c>
      <c r="U924">
        <f>IF(AND(S924=1,T924&gt;0),ROUND(T924*100,0)*10000+10000-ROW(),"")</f>
        <v/>
      </c>
      <c r="V924">
        <f>IF(AND(S924=1,OR(Report!$C$5="",B924=Report!$C$5)),MATCH(B924,Rooms!$B$6:$B$35,0)*10000+ROW(),"")</f>
        <v/>
      </c>
      <c r="W924">
        <f>IF(AND(S924=1,OR(J924="",J924="No")),1,0)</f>
        <v/>
      </c>
      <c r="X924">
        <f>IF(AND(S924=1,K924=""),1,0)</f>
        <v/>
      </c>
      <c r="Y924">
        <f>IF(AND(S924=1,Q924&lt;&gt;""),ROUND(T924*100,0)*10000+10000-ROW(),"")</f>
        <v/>
      </c>
    </row>
    <row r="925">
      <c r="A925" s="1" t="n"/>
      <c r="B925" s="17" t="n"/>
      <c r="C925" s="18" t="n"/>
      <c r="D925" s="17" t="n"/>
      <c r="E925" s="19" t="n"/>
      <c r="F925" s="19" t="n"/>
      <c r="G925" s="20" t="n"/>
      <c r="H925" s="21" t="n"/>
      <c r="I925" s="21" t="n"/>
      <c r="J925" s="17" t="n"/>
      <c r="K925" s="19" t="n"/>
      <c r="L925" s="20" t="n"/>
      <c r="M925" s="19" t="n"/>
      <c r="N925" s="22">
        <f>IF(C925="","",IF(ISNUMBER(I925),I925,IF(ISNUMBER(H925),H925,"")))</f>
        <v/>
      </c>
      <c r="O925" s="23">
        <f>IF(OR(C925="",NOT(ISNUMBER(G925))),"",(TODAY()-INT(G925))/365.25)</f>
        <v/>
      </c>
      <c r="P925" s="13">
        <f>IF(OR(C925="",NOT(ISNUMBER(L925))),"",IF(L925&lt;TODAY(),"Ended",IF(L925-TODAY()&lt;=N(Settings!$C$10),"Ends soon","Covered")))</f>
        <v/>
      </c>
      <c r="Q925" s="13">
        <f>IF(C925="","",MID(IF(N925="",", value","")&amp;IF(OR(J925="",J925="No"),", receipt","")&amp;IF(K925="",", photo",""),3,100))</f>
        <v/>
      </c>
      <c r="R925" s="13">
        <f>IF(AND(B925="",C925=""),"",IF(C925="","Needs the item",IF(B925="","Needs a room",IF(COUNTIF(Rooms!$B$6:$B$35,B925)=0,"Not on Rooms",IF(AND(H925&lt;&gt;"",NOT(ISNUMBER(H925))),"Paid not a number",IF(AND(I925&lt;&gt;"",NOT(ISNUMBER(I925))),"Worth not a number",IF(AND(G925&lt;&gt;"",NOT(ISNUMBER(G925))),"Bought is not a date",IF(AND(L925&lt;&gt;"",NOT(ISNUMBER(L925))),"Warranty is not a date",""))))))))</f>
        <v/>
      </c>
      <c r="S925" s="1">
        <f>IF(AND(C925&lt;&gt;"",R925=""),1,0)</f>
        <v/>
      </c>
      <c r="T925">
        <f>IF(S925=1,N(N925),0)</f>
        <v/>
      </c>
      <c r="U925">
        <f>IF(AND(S925=1,T925&gt;0),ROUND(T925*100,0)*10000+10000-ROW(),"")</f>
        <v/>
      </c>
      <c r="V925">
        <f>IF(AND(S925=1,OR(Report!$C$5="",B925=Report!$C$5)),MATCH(B925,Rooms!$B$6:$B$35,0)*10000+ROW(),"")</f>
        <v/>
      </c>
      <c r="W925">
        <f>IF(AND(S925=1,OR(J925="",J925="No")),1,0)</f>
        <v/>
      </c>
      <c r="X925">
        <f>IF(AND(S925=1,K925=""),1,0)</f>
        <v/>
      </c>
      <c r="Y925">
        <f>IF(AND(S925=1,Q925&lt;&gt;""),ROUND(T925*100,0)*10000+10000-ROW(),"")</f>
        <v/>
      </c>
    </row>
    <row r="926">
      <c r="A926" s="1" t="n"/>
      <c r="B926" s="17" t="n"/>
      <c r="C926" s="18" t="n"/>
      <c r="D926" s="17" t="n"/>
      <c r="E926" s="19" t="n"/>
      <c r="F926" s="19" t="n"/>
      <c r="G926" s="20" t="n"/>
      <c r="H926" s="21" t="n"/>
      <c r="I926" s="21" t="n"/>
      <c r="J926" s="17" t="n"/>
      <c r="K926" s="19" t="n"/>
      <c r="L926" s="20" t="n"/>
      <c r="M926" s="19" t="n"/>
      <c r="N926" s="22">
        <f>IF(C926="","",IF(ISNUMBER(I926),I926,IF(ISNUMBER(H926),H926,"")))</f>
        <v/>
      </c>
      <c r="O926" s="23">
        <f>IF(OR(C926="",NOT(ISNUMBER(G926))),"",(TODAY()-INT(G926))/365.25)</f>
        <v/>
      </c>
      <c r="P926" s="13">
        <f>IF(OR(C926="",NOT(ISNUMBER(L926))),"",IF(L926&lt;TODAY(),"Ended",IF(L926-TODAY()&lt;=N(Settings!$C$10),"Ends soon","Covered")))</f>
        <v/>
      </c>
      <c r="Q926" s="13">
        <f>IF(C926="","",MID(IF(N926="",", value","")&amp;IF(OR(J926="",J926="No"),", receipt","")&amp;IF(K926="",", photo",""),3,100))</f>
        <v/>
      </c>
      <c r="R926" s="13">
        <f>IF(AND(B926="",C926=""),"",IF(C926="","Needs the item",IF(B926="","Needs a room",IF(COUNTIF(Rooms!$B$6:$B$35,B926)=0,"Not on Rooms",IF(AND(H926&lt;&gt;"",NOT(ISNUMBER(H926))),"Paid not a number",IF(AND(I926&lt;&gt;"",NOT(ISNUMBER(I926))),"Worth not a number",IF(AND(G926&lt;&gt;"",NOT(ISNUMBER(G926))),"Bought is not a date",IF(AND(L926&lt;&gt;"",NOT(ISNUMBER(L926))),"Warranty is not a date",""))))))))</f>
        <v/>
      </c>
      <c r="S926" s="1">
        <f>IF(AND(C926&lt;&gt;"",R926=""),1,0)</f>
        <v/>
      </c>
      <c r="T926">
        <f>IF(S926=1,N(N926),0)</f>
        <v/>
      </c>
      <c r="U926">
        <f>IF(AND(S926=1,T926&gt;0),ROUND(T926*100,0)*10000+10000-ROW(),"")</f>
        <v/>
      </c>
      <c r="V926">
        <f>IF(AND(S926=1,OR(Report!$C$5="",B926=Report!$C$5)),MATCH(B926,Rooms!$B$6:$B$35,0)*10000+ROW(),"")</f>
        <v/>
      </c>
      <c r="W926">
        <f>IF(AND(S926=1,OR(J926="",J926="No")),1,0)</f>
        <v/>
      </c>
      <c r="X926">
        <f>IF(AND(S926=1,K926=""),1,0)</f>
        <v/>
      </c>
      <c r="Y926">
        <f>IF(AND(S926=1,Q926&lt;&gt;""),ROUND(T926*100,0)*10000+10000-ROW(),"")</f>
        <v/>
      </c>
    </row>
    <row r="927">
      <c r="A927" s="1" t="n"/>
      <c r="B927" s="17" t="n"/>
      <c r="C927" s="18" t="n"/>
      <c r="D927" s="17" t="n"/>
      <c r="E927" s="19" t="n"/>
      <c r="F927" s="19" t="n"/>
      <c r="G927" s="20" t="n"/>
      <c r="H927" s="21" t="n"/>
      <c r="I927" s="21" t="n"/>
      <c r="J927" s="17" t="n"/>
      <c r="K927" s="19" t="n"/>
      <c r="L927" s="20" t="n"/>
      <c r="M927" s="19" t="n"/>
      <c r="N927" s="22">
        <f>IF(C927="","",IF(ISNUMBER(I927),I927,IF(ISNUMBER(H927),H927,"")))</f>
        <v/>
      </c>
      <c r="O927" s="23">
        <f>IF(OR(C927="",NOT(ISNUMBER(G927))),"",(TODAY()-INT(G927))/365.25)</f>
        <v/>
      </c>
      <c r="P927" s="13">
        <f>IF(OR(C927="",NOT(ISNUMBER(L927))),"",IF(L927&lt;TODAY(),"Ended",IF(L927-TODAY()&lt;=N(Settings!$C$10),"Ends soon","Covered")))</f>
        <v/>
      </c>
      <c r="Q927" s="13">
        <f>IF(C927="","",MID(IF(N927="",", value","")&amp;IF(OR(J927="",J927="No"),", receipt","")&amp;IF(K927="",", photo",""),3,100))</f>
        <v/>
      </c>
      <c r="R927" s="13">
        <f>IF(AND(B927="",C927=""),"",IF(C927="","Needs the item",IF(B927="","Needs a room",IF(COUNTIF(Rooms!$B$6:$B$35,B927)=0,"Not on Rooms",IF(AND(H927&lt;&gt;"",NOT(ISNUMBER(H927))),"Paid not a number",IF(AND(I927&lt;&gt;"",NOT(ISNUMBER(I927))),"Worth not a number",IF(AND(G927&lt;&gt;"",NOT(ISNUMBER(G927))),"Bought is not a date",IF(AND(L927&lt;&gt;"",NOT(ISNUMBER(L927))),"Warranty is not a date",""))))))))</f>
        <v/>
      </c>
      <c r="S927" s="1">
        <f>IF(AND(C927&lt;&gt;"",R927=""),1,0)</f>
        <v/>
      </c>
      <c r="T927">
        <f>IF(S927=1,N(N927),0)</f>
        <v/>
      </c>
      <c r="U927">
        <f>IF(AND(S927=1,T927&gt;0),ROUND(T927*100,0)*10000+10000-ROW(),"")</f>
        <v/>
      </c>
      <c r="V927">
        <f>IF(AND(S927=1,OR(Report!$C$5="",B927=Report!$C$5)),MATCH(B927,Rooms!$B$6:$B$35,0)*10000+ROW(),"")</f>
        <v/>
      </c>
      <c r="W927">
        <f>IF(AND(S927=1,OR(J927="",J927="No")),1,0)</f>
        <v/>
      </c>
      <c r="X927">
        <f>IF(AND(S927=1,K927=""),1,0)</f>
        <v/>
      </c>
      <c r="Y927">
        <f>IF(AND(S927=1,Q927&lt;&gt;""),ROUND(T927*100,0)*10000+10000-ROW(),"")</f>
        <v/>
      </c>
    </row>
    <row r="928">
      <c r="A928" s="1" t="n"/>
      <c r="B928" s="17" t="n"/>
      <c r="C928" s="18" t="n"/>
      <c r="D928" s="17" t="n"/>
      <c r="E928" s="19" t="n"/>
      <c r="F928" s="19" t="n"/>
      <c r="G928" s="20" t="n"/>
      <c r="H928" s="21" t="n"/>
      <c r="I928" s="21" t="n"/>
      <c r="J928" s="17" t="n"/>
      <c r="K928" s="19" t="n"/>
      <c r="L928" s="20" t="n"/>
      <c r="M928" s="19" t="n"/>
      <c r="N928" s="22">
        <f>IF(C928="","",IF(ISNUMBER(I928),I928,IF(ISNUMBER(H928),H928,"")))</f>
        <v/>
      </c>
      <c r="O928" s="23">
        <f>IF(OR(C928="",NOT(ISNUMBER(G928))),"",(TODAY()-INT(G928))/365.25)</f>
        <v/>
      </c>
      <c r="P928" s="13">
        <f>IF(OR(C928="",NOT(ISNUMBER(L928))),"",IF(L928&lt;TODAY(),"Ended",IF(L928-TODAY()&lt;=N(Settings!$C$10),"Ends soon","Covered")))</f>
        <v/>
      </c>
      <c r="Q928" s="13">
        <f>IF(C928="","",MID(IF(N928="",", value","")&amp;IF(OR(J928="",J928="No"),", receipt","")&amp;IF(K928="",", photo",""),3,100))</f>
        <v/>
      </c>
      <c r="R928" s="13">
        <f>IF(AND(B928="",C928=""),"",IF(C928="","Needs the item",IF(B928="","Needs a room",IF(COUNTIF(Rooms!$B$6:$B$35,B928)=0,"Not on Rooms",IF(AND(H928&lt;&gt;"",NOT(ISNUMBER(H928))),"Paid not a number",IF(AND(I928&lt;&gt;"",NOT(ISNUMBER(I928))),"Worth not a number",IF(AND(G928&lt;&gt;"",NOT(ISNUMBER(G928))),"Bought is not a date",IF(AND(L928&lt;&gt;"",NOT(ISNUMBER(L928))),"Warranty is not a date",""))))))))</f>
        <v/>
      </c>
      <c r="S928" s="1">
        <f>IF(AND(C928&lt;&gt;"",R928=""),1,0)</f>
        <v/>
      </c>
      <c r="T928">
        <f>IF(S928=1,N(N928),0)</f>
        <v/>
      </c>
      <c r="U928">
        <f>IF(AND(S928=1,T928&gt;0),ROUND(T928*100,0)*10000+10000-ROW(),"")</f>
        <v/>
      </c>
      <c r="V928">
        <f>IF(AND(S928=1,OR(Report!$C$5="",B928=Report!$C$5)),MATCH(B928,Rooms!$B$6:$B$35,0)*10000+ROW(),"")</f>
        <v/>
      </c>
      <c r="W928">
        <f>IF(AND(S928=1,OR(J928="",J928="No")),1,0)</f>
        <v/>
      </c>
      <c r="X928">
        <f>IF(AND(S928=1,K928=""),1,0)</f>
        <v/>
      </c>
      <c r="Y928">
        <f>IF(AND(S928=1,Q928&lt;&gt;""),ROUND(T928*100,0)*10000+10000-ROW(),"")</f>
        <v/>
      </c>
    </row>
    <row r="929">
      <c r="A929" s="1" t="n"/>
      <c r="B929" s="17" t="n"/>
      <c r="C929" s="18" t="n"/>
      <c r="D929" s="17" t="n"/>
      <c r="E929" s="19" t="n"/>
      <c r="F929" s="19" t="n"/>
      <c r="G929" s="20" t="n"/>
      <c r="H929" s="21" t="n"/>
      <c r="I929" s="21" t="n"/>
      <c r="J929" s="17" t="n"/>
      <c r="K929" s="19" t="n"/>
      <c r="L929" s="20" t="n"/>
      <c r="M929" s="19" t="n"/>
      <c r="N929" s="22">
        <f>IF(C929="","",IF(ISNUMBER(I929),I929,IF(ISNUMBER(H929),H929,"")))</f>
        <v/>
      </c>
      <c r="O929" s="23">
        <f>IF(OR(C929="",NOT(ISNUMBER(G929))),"",(TODAY()-INT(G929))/365.25)</f>
        <v/>
      </c>
      <c r="P929" s="13">
        <f>IF(OR(C929="",NOT(ISNUMBER(L929))),"",IF(L929&lt;TODAY(),"Ended",IF(L929-TODAY()&lt;=N(Settings!$C$10),"Ends soon","Covered")))</f>
        <v/>
      </c>
      <c r="Q929" s="13">
        <f>IF(C929="","",MID(IF(N929="",", value","")&amp;IF(OR(J929="",J929="No"),", receipt","")&amp;IF(K929="",", photo",""),3,100))</f>
        <v/>
      </c>
      <c r="R929" s="13">
        <f>IF(AND(B929="",C929=""),"",IF(C929="","Needs the item",IF(B929="","Needs a room",IF(COUNTIF(Rooms!$B$6:$B$35,B929)=0,"Not on Rooms",IF(AND(H929&lt;&gt;"",NOT(ISNUMBER(H929))),"Paid not a number",IF(AND(I929&lt;&gt;"",NOT(ISNUMBER(I929))),"Worth not a number",IF(AND(G929&lt;&gt;"",NOT(ISNUMBER(G929))),"Bought is not a date",IF(AND(L929&lt;&gt;"",NOT(ISNUMBER(L929))),"Warranty is not a date",""))))))))</f>
        <v/>
      </c>
      <c r="S929" s="1">
        <f>IF(AND(C929&lt;&gt;"",R929=""),1,0)</f>
        <v/>
      </c>
      <c r="T929">
        <f>IF(S929=1,N(N929),0)</f>
        <v/>
      </c>
      <c r="U929">
        <f>IF(AND(S929=1,T929&gt;0),ROUND(T929*100,0)*10000+10000-ROW(),"")</f>
        <v/>
      </c>
      <c r="V929">
        <f>IF(AND(S929=1,OR(Report!$C$5="",B929=Report!$C$5)),MATCH(B929,Rooms!$B$6:$B$35,0)*10000+ROW(),"")</f>
        <v/>
      </c>
      <c r="W929">
        <f>IF(AND(S929=1,OR(J929="",J929="No")),1,0)</f>
        <v/>
      </c>
      <c r="X929">
        <f>IF(AND(S929=1,K929=""),1,0)</f>
        <v/>
      </c>
      <c r="Y929">
        <f>IF(AND(S929=1,Q929&lt;&gt;""),ROUND(T929*100,0)*10000+10000-ROW(),"")</f>
        <v/>
      </c>
    </row>
    <row r="930">
      <c r="A930" s="1" t="n"/>
      <c r="B930" s="17" t="n"/>
      <c r="C930" s="18" t="n"/>
      <c r="D930" s="17" t="n"/>
      <c r="E930" s="19" t="n"/>
      <c r="F930" s="19" t="n"/>
      <c r="G930" s="20" t="n"/>
      <c r="H930" s="21" t="n"/>
      <c r="I930" s="21" t="n"/>
      <c r="J930" s="17" t="n"/>
      <c r="K930" s="19" t="n"/>
      <c r="L930" s="20" t="n"/>
      <c r="M930" s="19" t="n"/>
      <c r="N930" s="22">
        <f>IF(C930="","",IF(ISNUMBER(I930),I930,IF(ISNUMBER(H930),H930,"")))</f>
        <v/>
      </c>
      <c r="O930" s="23">
        <f>IF(OR(C930="",NOT(ISNUMBER(G930))),"",(TODAY()-INT(G930))/365.25)</f>
        <v/>
      </c>
      <c r="P930" s="13">
        <f>IF(OR(C930="",NOT(ISNUMBER(L930))),"",IF(L930&lt;TODAY(),"Ended",IF(L930-TODAY()&lt;=N(Settings!$C$10),"Ends soon","Covered")))</f>
        <v/>
      </c>
      <c r="Q930" s="13">
        <f>IF(C930="","",MID(IF(N930="",", value","")&amp;IF(OR(J930="",J930="No"),", receipt","")&amp;IF(K930="",", photo",""),3,100))</f>
        <v/>
      </c>
      <c r="R930" s="13">
        <f>IF(AND(B930="",C930=""),"",IF(C930="","Needs the item",IF(B930="","Needs a room",IF(COUNTIF(Rooms!$B$6:$B$35,B930)=0,"Not on Rooms",IF(AND(H930&lt;&gt;"",NOT(ISNUMBER(H930))),"Paid not a number",IF(AND(I930&lt;&gt;"",NOT(ISNUMBER(I930))),"Worth not a number",IF(AND(G930&lt;&gt;"",NOT(ISNUMBER(G930))),"Bought is not a date",IF(AND(L930&lt;&gt;"",NOT(ISNUMBER(L930))),"Warranty is not a date",""))))))))</f>
        <v/>
      </c>
      <c r="S930" s="1">
        <f>IF(AND(C930&lt;&gt;"",R930=""),1,0)</f>
        <v/>
      </c>
      <c r="T930">
        <f>IF(S930=1,N(N930),0)</f>
        <v/>
      </c>
      <c r="U930">
        <f>IF(AND(S930=1,T930&gt;0),ROUND(T930*100,0)*10000+10000-ROW(),"")</f>
        <v/>
      </c>
      <c r="V930">
        <f>IF(AND(S930=1,OR(Report!$C$5="",B930=Report!$C$5)),MATCH(B930,Rooms!$B$6:$B$35,0)*10000+ROW(),"")</f>
        <v/>
      </c>
      <c r="W930">
        <f>IF(AND(S930=1,OR(J930="",J930="No")),1,0)</f>
        <v/>
      </c>
      <c r="X930">
        <f>IF(AND(S930=1,K930=""),1,0)</f>
        <v/>
      </c>
      <c r="Y930">
        <f>IF(AND(S930=1,Q930&lt;&gt;""),ROUND(T930*100,0)*10000+10000-ROW(),"")</f>
        <v/>
      </c>
    </row>
    <row r="931">
      <c r="A931" s="1" t="n"/>
      <c r="B931" s="17" t="n"/>
      <c r="C931" s="18" t="n"/>
      <c r="D931" s="17" t="n"/>
      <c r="E931" s="19" t="n"/>
      <c r="F931" s="19" t="n"/>
      <c r="G931" s="20" t="n"/>
      <c r="H931" s="21" t="n"/>
      <c r="I931" s="21" t="n"/>
      <c r="J931" s="17" t="n"/>
      <c r="K931" s="19" t="n"/>
      <c r="L931" s="20" t="n"/>
      <c r="M931" s="19" t="n"/>
      <c r="N931" s="22">
        <f>IF(C931="","",IF(ISNUMBER(I931),I931,IF(ISNUMBER(H931),H931,"")))</f>
        <v/>
      </c>
      <c r="O931" s="23">
        <f>IF(OR(C931="",NOT(ISNUMBER(G931))),"",(TODAY()-INT(G931))/365.25)</f>
        <v/>
      </c>
      <c r="P931" s="13">
        <f>IF(OR(C931="",NOT(ISNUMBER(L931))),"",IF(L931&lt;TODAY(),"Ended",IF(L931-TODAY()&lt;=N(Settings!$C$10),"Ends soon","Covered")))</f>
        <v/>
      </c>
      <c r="Q931" s="13">
        <f>IF(C931="","",MID(IF(N931="",", value","")&amp;IF(OR(J931="",J931="No"),", receipt","")&amp;IF(K931="",", photo",""),3,100))</f>
        <v/>
      </c>
      <c r="R931" s="13">
        <f>IF(AND(B931="",C931=""),"",IF(C931="","Needs the item",IF(B931="","Needs a room",IF(COUNTIF(Rooms!$B$6:$B$35,B931)=0,"Not on Rooms",IF(AND(H931&lt;&gt;"",NOT(ISNUMBER(H931))),"Paid not a number",IF(AND(I931&lt;&gt;"",NOT(ISNUMBER(I931))),"Worth not a number",IF(AND(G931&lt;&gt;"",NOT(ISNUMBER(G931))),"Bought is not a date",IF(AND(L931&lt;&gt;"",NOT(ISNUMBER(L931))),"Warranty is not a date",""))))))))</f>
        <v/>
      </c>
      <c r="S931" s="1">
        <f>IF(AND(C931&lt;&gt;"",R931=""),1,0)</f>
        <v/>
      </c>
      <c r="T931">
        <f>IF(S931=1,N(N931),0)</f>
        <v/>
      </c>
      <c r="U931">
        <f>IF(AND(S931=1,T931&gt;0),ROUND(T931*100,0)*10000+10000-ROW(),"")</f>
        <v/>
      </c>
      <c r="V931">
        <f>IF(AND(S931=1,OR(Report!$C$5="",B931=Report!$C$5)),MATCH(B931,Rooms!$B$6:$B$35,0)*10000+ROW(),"")</f>
        <v/>
      </c>
      <c r="W931">
        <f>IF(AND(S931=1,OR(J931="",J931="No")),1,0)</f>
        <v/>
      </c>
      <c r="X931">
        <f>IF(AND(S931=1,K931=""),1,0)</f>
        <v/>
      </c>
      <c r="Y931">
        <f>IF(AND(S931=1,Q931&lt;&gt;""),ROUND(T931*100,0)*10000+10000-ROW(),"")</f>
        <v/>
      </c>
    </row>
    <row r="932">
      <c r="A932" s="1" t="n"/>
      <c r="B932" s="17" t="n"/>
      <c r="C932" s="18" t="n"/>
      <c r="D932" s="17" t="n"/>
      <c r="E932" s="19" t="n"/>
      <c r="F932" s="19" t="n"/>
      <c r="G932" s="20" t="n"/>
      <c r="H932" s="21" t="n"/>
      <c r="I932" s="21" t="n"/>
      <c r="J932" s="17" t="n"/>
      <c r="K932" s="19" t="n"/>
      <c r="L932" s="20" t="n"/>
      <c r="M932" s="19" t="n"/>
      <c r="N932" s="22">
        <f>IF(C932="","",IF(ISNUMBER(I932),I932,IF(ISNUMBER(H932),H932,"")))</f>
        <v/>
      </c>
      <c r="O932" s="23">
        <f>IF(OR(C932="",NOT(ISNUMBER(G932))),"",(TODAY()-INT(G932))/365.25)</f>
        <v/>
      </c>
      <c r="P932" s="13">
        <f>IF(OR(C932="",NOT(ISNUMBER(L932))),"",IF(L932&lt;TODAY(),"Ended",IF(L932-TODAY()&lt;=N(Settings!$C$10),"Ends soon","Covered")))</f>
        <v/>
      </c>
      <c r="Q932" s="13">
        <f>IF(C932="","",MID(IF(N932="",", value","")&amp;IF(OR(J932="",J932="No"),", receipt","")&amp;IF(K932="",", photo",""),3,100))</f>
        <v/>
      </c>
      <c r="R932" s="13">
        <f>IF(AND(B932="",C932=""),"",IF(C932="","Needs the item",IF(B932="","Needs a room",IF(COUNTIF(Rooms!$B$6:$B$35,B932)=0,"Not on Rooms",IF(AND(H932&lt;&gt;"",NOT(ISNUMBER(H932))),"Paid not a number",IF(AND(I932&lt;&gt;"",NOT(ISNUMBER(I932))),"Worth not a number",IF(AND(G932&lt;&gt;"",NOT(ISNUMBER(G932))),"Bought is not a date",IF(AND(L932&lt;&gt;"",NOT(ISNUMBER(L932))),"Warranty is not a date",""))))))))</f>
        <v/>
      </c>
      <c r="S932" s="1">
        <f>IF(AND(C932&lt;&gt;"",R932=""),1,0)</f>
        <v/>
      </c>
      <c r="T932">
        <f>IF(S932=1,N(N932),0)</f>
        <v/>
      </c>
      <c r="U932">
        <f>IF(AND(S932=1,T932&gt;0),ROUND(T932*100,0)*10000+10000-ROW(),"")</f>
        <v/>
      </c>
      <c r="V932">
        <f>IF(AND(S932=1,OR(Report!$C$5="",B932=Report!$C$5)),MATCH(B932,Rooms!$B$6:$B$35,0)*10000+ROW(),"")</f>
        <v/>
      </c>
      <c r="W932">
        <f>IF(AND(S932=1,OR(J932="",J932="No")),1,0)</f>
        <v/>
      </c>
      <c r="X932">
        <f>IF(AND(S932=1,K932=""),1,0)</f>
        <v/>
      </c>
      <c r="Y932">
        <f>IF(AND(S932=1,Q932&lt;&gt;""),ROUND(T932*100,0)*10000+10000-ROW(),"")</f>
        <v/>
      </c>
    </row>
    <row r="933">
      <c r="A933" s="1" t="n"/>
      <c r="B933" s="17" t="n"/>
      <c r="C933" s="18" t="n"/>
      <c r="D933" s="17" t="n"/>
      <c r="E933" s="19" t="n"/>
      <c r="F933" s="19" t="n"/>
      <c r="G933" s="20" t="n"/>
      <c r="H933" s="21" t="n"/>
      <c r="I933" s="21" t="n"/>
      <c r="J933" s="17" t="n"/>
      <c r="K933" s="19" t="n"/>
      <c r="L933" s="20" t="n"/>
      <c r="M933" s="19" t="n"/>
      <c r="N933" s="22">
        <f>IF(C933="","",IF(ISNUMBER(I933),I933,IF(ISNUMBER(H933),H933,"")))</f>
        <v/>
      </c>
      <c r="O933" s="23">
        <f>IF(OR(C933="",NOT(ISNUMBER(G933))),"",(TODAY()-INT(G933))/365.25)</f>
        <v/>
      </c>
      <c r="P933" s="13">
        <f>IF(OR(C933="",NOT(ISNUMBER(L933))),"",IF(L933&lt;TODAY(),"Ended",IF(L933-TODAY()&lt;=N(Settings!$C$10),"Ends soon","Covered")))</f>
        <v/>
      </c>
      <c r="Q933" s="13">
        <f>IF(C933="","",MID(IF(N933="",", value","")&amp;IF(OR(J933="",J933="No"),", receipt","")&amp;IF(K933="",", photo",""),3,100))</f>
        <v/>
      </c>
      <c r="R933" s="13">
        <f>IF(AND(B933="",C933=""),"",IF(C933="","Needs the item",IF(B933="","Needs a room",IF(COUNTIF(Rooms!$B$6:$B$35,B933)=0,"Not on Rooms",IF(AND(H933&lt;&gt;"",NOT(ISNUMBER(H933))),"Paid not a number",IF(AND(I933&lt;&gt;"",NOT(ISNUMBER(I933))),"Worth not a number",IF(AND(G933&lt;&gt;"",NOT(ISNUMBER(G933))),"Bought is not a date",IF(AND(L933&lt;&gt;"",NOT(ISNUMBER(L933))),"Warranty is not a date",""))))))))</f>
        <v/>
      </c>
      <c r="S933" s="1">
        <f>IF(AND(C933&lt;&gt;"",R933=""),1,0)</f>
        <v/>
      </c>
      <c r="T933">
        <f>IF(S933=1,N(N933),0)</f>
        <v/>
      </c>
      <c r="U933">
        <f>IF(AND(S933=1,T933&gt;0),ROUND(T933*100,0)*10000+10000-ROW(),"")</f>
        <v/>
      </c>
      <c r="V933">
        <f>IF(AND(S933=1,OR(Report!$C$5="",B933=Report!$C$5)),MATCH(B933,Rooms!$B$6:$B$35,0)*10000+ROW(),"")</f>
        <v/>
      </c>
      <c r="W933">
        <f>IF(AND(S933=1,OR(J933="",J933="No")),1,0)</f>
        <v/>
      </c>
      <c r="X933">
        <f>IF(AND(S933=1,K933=""),1,0)</f>
        <v/>
      </c>
      <c r="Y933">
        <f>IF(AND(S933=1,Q933&lt;&gt;""),ROUND(T933*100,0)*10000+10000-ROW(),"")</f>
        <v/>
      </c>
    </row>
    <row r="934">
      <c r="A934" s="1" t="n"/>
      <c r="B934" s="17" t="n"/>
      <c r="C934" s="18" t="n"/>
      <c r="D934" s="17" t="n"/>
      <c r="E934" s="19" t="n"/>
      <c r="F934" s="19" t="n"/>
      <c r="G934" s="20" t="n"/>
      <c r="H934" s="21" t="n"/>
      <c r="I934" s="21" t="n"/>
      <c r="J934" s="17" t="n"/>
      <c r="K934" s="19" t="n"/>
      <c r="L934" s="20" t="n"/>
      <c r="M934" s="19" t="n"/>
      <c r="N934" s="22">
        <f>IF(C934="","",IF(ISNUMBER(I934),I934,IF(ISNUMBER(H934),H934,"")))</f>
        <v/>
      </c>
      <c r="O934" s="23">
        <f>IF(OR(C934="",NOT(ISNUMBER(G934))),"",(TODAY()-INT(G934))/365.25)</f>
        <v/>
      </c>
      <c r="P934" s="13">
        <f>IF(OR(C934="",NOT(ISNUMBER(L934))),"",IF(L934&lt;TODAY(),"Ended",IF(L934-TODAY()&lt;=N(Settings!$C$10),"Ends soon","Covered")))</f>
        <v/>
      </c>
      <c r="Q934" s="13">
        <f>IF(C934="","",MID(IF(N934="",", value","")&amp;IF(OR(J934="",J934="No"),", receipt","")&amp;IF(K934="",", photo",""),3,100))</f>
        <v/>
      </c>
      <c r="R934" s="13">
        <f>IF(AND(B934="",C934=""),"",IF(C934="","Needs the item",IF(B934="","Needs a room",IF(COUNTIF(Rooms!$B$6:$B$35,B934)=0,"Not on Rooms",IF(AND(H934&lt;&gt;"",NOT(ISNUMBER(H934))),"Paid not a number",IF(AND(I934&lt;&gt;"",NOT(ISNUMBER(I934))),"Worth not a number",IF(AND(G934&lt;&gt;"",NOT(ISNUMBER(G934))),"Bought is not a date",IF(AND(L934&lt;&gt;"",NOT(ISNUMBER(L934))),"Warranty is not a date",""))))))))</f>
        <v/>
      </c>
      <c r="S934" s="1">
        <f>IF(AND(C934&lt;&gt;"",R934=""),1,0)</f>
        <v/>
      </c>
      <c r="T934">
        <f>IF(S934=1,N(N934),0)</f>
        <v/>
      </c>
      <c r="U934">
        <f>IF(AND(S934=1,T934&gt;0),ROUND(T934*100,0)*10000+10000-ROW(),"")</f>
        <v/>
      </c>
      <c r="V934">
        <f>IF(AND(S934=1,OR(Report!$C$5="",B934=Report!$C$5)),MATCH(B934,Rooms!$B$6:$B$35,0)*10000+ROW(),"")</f>
        <v/>
      </c>
      <c r="W934">
        <f>IF(AND(S934=1,OR(J934="",J934="No")),1,0)</f>
        <v/>
      </c>
      <c r="X934">
        <f>IF(AND(S934=1,K934=""),1,0)</f>
        <v/>
      </c>
      <c r="Y934">
        <f>IF(AND(S934=1,Q934&lt;&gt;""),ROUND(T934*100,0)*10000+10000-ROW(),"")</f>
        <v/>
      </c>
    </row>
    <row r="935">
      <c r="A935" s="1" t="n"/>
      <c r="B935" s="17" t="n"/>
      <c r="C935" s="18" t="n"/>
      <c r="D935" s="17" t="n"/>
      <c r="E935" s="19" t="n"/>
      <c r="F935" s="19" t="n"/>
      <c r="G935" s="20" t="n"/>
      <c r="H935" s="21" t="n"/>
      <c r="I935" s="21" t="n"/>
      <c r="J935" s="17" t="n"/>
      <c r="K935" s="19" t="n"/>
      <c r="L935" s="20" t="n"/>
      <c r="M935" s="19" t="n"/>
      <c r="N935" s="22">
        <f>IF(C935="","",IF(ISNUMBER(I935),I935,IF(ISNUMBER(H935),H935,"")))</f>
        <v/>
      </c>
      <c r="O935" s="23">
        <f>IF(OR(C935="",NOT(ISNUMBER(G935))),"",(TODAY()-INT(G935))/365.25)</f>
        <v/>
      </c>
      <c r="P935" s="13">
        <f>IF(OR(C935="",NOT(ISNUMBER(L935))),"",IF(L935&lt;TODAY(),"Ended",IF(L935-TODAY()&lt;=N(Settings!$C$10),"Ends soon","Covered")))</f>
        <v/>
      </c>
      <c r="Q935" s="13">
        <f>IF(C935="","",MID(IF(N935="",", value","")&amp;IF(OR(J935="",J935="No"),", receipt","")&amp;IF(K935="",", photo",""),3,100))</f>
        <v/>
      </c>
      <c r="R935" s="13">
        <f>IF(AND(B935="",C935=""),"",IF(C935="","Needs the item",IF(B935="","Needs a room",IF(COUNTIF(Rooms!$B$6:$B$35,B935)=0,"Not on Rooms",IF(AND(H935&lt;&gt;"",NOT(ISNUMBER(H935))),"Paid not a number",IF(AND(I935&lt;&gt;"",NOT(ISNUMBER(I935))),"Worth not a number",IF(AND(G935&lt;&gt;"",NOT(ISNUMBER(G935))),"Bought is not a date",IF(AND(L935&lt;&gt;"",NOT(ISNUMBER(L935))),"Warranty is not a date",""))))))))</f>
        <v/>
      </c>
      <c r="S935" s="1">
        <f>IF(AND(C935&lt;&gt;"",R935=""),1,0)</f>
        <v/>
      </c>
      <c r="T935">
        <f>IF(S935=1,N(N935),0)</f>
        <v/>
      </c>
      <c r="U935">
        <f>IF(AND(S935=1,T935&gt;0),ROUND(T935*100,0)*10000+10000-ROW(),"")</f>
        <v/>
      </c>
      <c r="V935">
        <f>IF(AND(S935=1,OR(Report!$C$5="",B935=Report!$C$5)),MATCH(B935,Rooms!$B$6:$B$35,0)*10000+ROW(),"")</f>
        <v/>
      </c>
      <c r="W935">
        <f>IF(AND(S935=1,OR(J935="",J935="No")),1,0)</f>
        <v/>
      </c>
      <c r="X935">
        <f>IF(AND(S935=1,K935=""),1,0)</f>
        <v/>
      </c>
      <c r="Y935">
        <f>IF(AND(S935=1,Q935&lt;&gt;""),ROUND(T935*100,0)*10000+10000-ROW(),"")</f>
        <v/>
      </c>
    </row>
    <row r="936">
      <c r="A936" s="1" t="n"/>
      <c r="B936" s="17" t="n"/>
      <c r="C936" s="18" t="n"/>
      <c r="D936" s="17" t="n"/>
      <c r="E936" s="19" t="n"/>
      <c r="F936" s="19" t="n"/>
      <c r="G936" s="20" t="n"/>
      <c r="H936" s="21" t="n"/>
      <c r="I936" s="21" t="n"/>
      <c r="J936" s="17" t="n"/>
      <c r="K936" s="19" t="n"/>
      <c r="L936" s="20" t="n"/>
      <c r="M936" s="19" t="n"/>
      <c r="N936" s="22">
        <f>IF(C936="","",IF(ISNUMBER(I936),I936,IF(ISNUMBER(H936),H936,"")))</f>
        <v/>
      </c>
      <c r="O936" s="23">
        <f>IF(OR(C936="",NOT(ISNUMBER(G936))),"",(TODAY()-INT(G936))/365.25)</f>
        <v/>
      </c>
      <c r="P936" s="13">
        <f>IF(OR(C936="",NOT(ISNUMBER(L936))),"",IF(L936&lt;TODAY(),"Ended",IF(L936-TODAY()&lt;=N(Settings!$C$10),"Ends soon","Covered")))</f>
        <v/>
      </c>
      <c r="Q936" s="13">
        <f>IF(C936="","",MID(IF(N936="",", value","")&amp;IF(OR(J936="",J936="No"),", receipt","")&amp;IF(K936="",", photo",""),3,100))</f>
        <v/>
      </c>
      <c r="R936" s="13">
        <f>IF(AND(B936="",C936=""),"",IF(C936="","Needs the item",IF(B936="","Needs a room",IF(COUNTIF(Rooms!$B$6:$B$35,B936)=0,"Not on Rooms",IF(AND(H936&lt;&gt;"",NOT(ISNUMBER(H936))),"Paid not a number",IF(AND(I936&lt;&gt;"",NOT(ISNUMBER(I936))),"Worth not a number",IF(AND(G936&lt;&gt;"",NOT(ISNUMBER(G936))),"Bought is not a date",IF(AND(L936&lt;&gt;"",NOT(ISNUMBER(L936))),"Warranty is not a date",""))))))))</f>
        <v/>
      </c>
      <c r="S936" s="1">
        <f>IF(AND(C936&lt;&gt;"",R936=""),1,0)</f>
        <v/>
      </c>
      <c r="T936">
        <f>IF(S936=1,N(N936),0)</f>
        <v/>
      </c>
      <c r="U936">
        <f>IF(AND(S936=1,T936&gt;0),ROUND(T936*100,0)*10000+10000-ROW(),"")</f>
        <v/>
      </c>
      <c r="V936">
        <f>IF(AND(S936=1,OR(Report!$C$5="",B936=Report!$C$5)),MATCH(B936,Rooms!$B$6:$B$35,0)*10000+ROW(),"")</f>
        <v/>
      </c>
      <c r="W936">
        <f>IF(AND(S936=1,OR(J936="",J936="No")),1,0)</f>
        <v/>
      </c>
      <c r="X936">
        <f>IF(AND(S936=1,K936=""),1,0)</f>
        <v/>
      </c>
      <c r="Y936">
        <f>IF(AND(S936=1,Q936&lt;&gt;""),ROUND(T936*100,0)*10000+10000-ROW(),"")</f>
        <v/>
      </c>
    </row>
    <row r="937">
      <c r="A937" s="1" t="n"/>
      <c r="B937" s="17" t="n"/>
      <c r="C937" s="18" t="n"/>
      <c r="D937" s="17" t="n"/>
      <c r="E937" s="19" t="n"/>
      <c r="F937" s="19" t="n"/>
      <c r="G937" s="20" t="n"/>
      <c r="H937" s="21" t="n"/>
      <c r="I937" s="21" t="n"/>
      <c r="J937" s="17" t="n"/>
      <c r="K937" s="19" t="n"/>
      <c r="L937" s="20" t="n"/>
      <c r="M937" s="19" t="n"/>
      <c r="N937" s="22">
        <f>IF(C937="","",IF(ISNUMBER(I937),I937,IF(ISNUMBER(H937),H937,"")))</f>
        <v/>
      </c>
      <c r="O937" s="23">
        <f>IF(OR(C937="",NOT(ISNUMBER(G937))),"",(TODAY()-INT(G937))/365.25)</f>
        <v/>
      </c>
      <c r="P937" s="13">
        <f>IF(OR(C937="",NOT(ISNUMBER(L937))),"",IF(L937&lt;TODAY(),"Ended",IF(L937-TODAY()&lt;=N(Settings!$C$10),"Ends soon","Covered")))</f>
        <v/>
      </c>
      <c r="Q937" s="13">
        <f>IF(C937="","",MID(IF(N937="",", value","")&amp;IF(OR(J937="",J937="No"),", receipt","")&amp;IF(K937="",", photo",""),3,100))</f>
        <v/>
      </c>
      <c r="R937" s="13">
        <f>IF(AND(B937="",C937=""),"",IF(C937="","Needs the item",IF(B937="","Needs a room",IF(COUNTIF(Rooms!$B$6:$B$35,B937)=0,"Not on Rooms",IF(AND(H937&lt;&gt;"",NOT(ISNUMBER(H937))),"Paid not a number",IF(AND(I937&lt;&gt;"",NOT(ISNUMBER(I937))),"Worth not a number",IF(AND(G937&lt;&gt;"",NOT(ISNUMBER(G937))),"Bought is not a date",IF(AND(L937&lt;&gt;"",NOT(ISNUMBER(L937))),"Warranty is not a date",""))))))))</f>
        <v/>
      </c>
      <c r="S937" s="1">
        <f>IF(AND(C937&lt;&gt;"",R937=""),1,0)</f>
        <v/>
      </c>
      <c r="T937">
        <f>IF(S937=1,N(N937),0)</f>
        <v/>
      </c>
      <c r="U937">
        <f>IF(AND(S937=1,T937&gt;0),ROUND(T937*100,0)*10000+10000-ROW(),"")</f>
        <v/>
      </c>
      <c r="V937">
        <f>IF(AND(S937=1,OR(Report!$C$5="",B937=Report!$C$5)),MATCH(B937,Rooms!$B$6:$B$35,0)*10000+ROW(),"")</f>
        <v/>
      </c>
      <c r="W937">
        <f>IF(AND(S937=1,OR(J937="",J937="No")),1,0)</f>
        <v/>
      </c>
      <c r="X937">
        <f>IF(AND(S937=1,K937=""),1,0)</f>
        <v/>
      </c>
      <c r="Y937">
        <f>IF(AND(S937=1,Q937&lt;&gt;""),ROUND(T937*100,0)*10000+10000-ROW(),"")</f>
        <v/>
      </c>
    </row>
    <row r="938">
      <c r="A938" s="1" t="n"/>
      <c r="B938" s="17" t="n"/>
      <c r="C938" s="18" t="n"/>
      <c r="D938" s="17" t="n"/>
      <c r="E938" s="19" t="n"/>
      <c r="F938" s="19" t="n"/>
      <c r="G938" s="20" t="n"/>
      <c r="H938" s="21" t="n"/>
      <c r="I938" s="21" t="n"/>
      <c r="J938" s="17" t="n"/>
      <c r="K938" s="19" t="n"/>
      <c r="L938" s="20" t="n"/>
      <c r="M938" s="19" t="n"/>
      <c r="N938" s="22">
        <f>IF(C938="","",IF(ISNUMBER(I938),I938,IF(ISNUMBER(H938),H938,"")))</f>
        <v/>
      </c>
      <c r="O938" s="23">
        <f>IF(OR(C938="",NOT(ISNUMBER(G938))),"",(TODAY()-INT(G938))/365.25)</f>
        <v/>
      </c>
      <c r="P938" s="13">
        <f>IF(OR(C938="",NOT(ISNUMBER(L938))),"",IF(L938&lt;TODAY(),"Ended",IF(L938-TODAY()&lt;=N(Settings!$C$10),"Ends soon","Covered")))</f>
        <v/>
      </c>
      <c r="Q938" s="13">
        <f>IF(C938="","",MID(IF(N938="",", value","")&amp;IF(OR(J938="",J938="No"),", receipt","")&amp;IF(K938="",", photo",""),3,100))</f>
        <v/>
      </c>
      <c r="R938" s="13">
        <f>IF(AND(B938="",C938=""),"",IF(C938="","Needs the item",IF(B938="","Needs a room",IF(COUNTIF(Rooms!$B$6:$B$35,B938)=0,"Not on Rooms",IF(AND(H938&lt;&gt;"",NOT(ISNUMBER(H938))),"Paid not a number",IF(AND(I938&lt;&gt;"",NOT(ISNUMBER(I938))),"Worth not a number",IF(AND(G938&lt;&gt;"",NOT(ISNUMBER(G938))),"Bought is not a date",IF(AND(L938&lt;&gt;"",NOT(ISNUMBER(L938))),"Warranty is not a date",""))))))))</f>
        <v/>
      </c>
      <c r="S938" s="1">
        <f>IF(AND(C938&lt;&gt;"",R938=""),1,0)</f>
        <v/>
      </c>
      <c r="T938">
        <f>IF(S938=1,N(N938),0)</f>
        <v/>
      </c>
      <c r="U938">
        <f>IF(AND(S938=1,T938&gt;0),ROUND(T938*100,0)*10000+10000-ROW(),"")</f>
        <v/>
      </c>
      <c r="V938">
        <f>IF(AND(S938=1,OR(Report!$C$5="",B938=Report!$C$5)),MATCH(B938,Rooms!$B$6:$B$35,0)*10000+ROW(),"")</f>
        <v/>
      </c>
      <c r="W938">
        <f>IF(AND(S938=1,OR(J938="",J938="No")),1,0)</f>
        <v/>
      </c>
      <c r="X938">
        <f>IF(AND(S938=1,K938=""),1,0)</f>
        <v/>
      </c>
      <c r="Y938">
        <f>IF(AND(S938=1,Q938&lt;&gt;""),ROUND(T938*100,0)*10000+10000-ROW(),"")</f>
        <v/>
      </c>
    </row>
    <row r="939">
      <c r="A939" s="1" t="n"/>
      <c r="B939" s="17" t="n"/>
      <c r="C939" s="18" t="n"/>
      <c r="D939" s="17" t="n"/>
      <c r="E939" s="19" t="n"/>
      <c r="F939" s="19" t="n"/>
      <c r="G939" s="20" t="n"/>
      <c r="H939" s="21" t="n"/>
      <c r="I939" s="21" t="n"/>
      <c r="J939" s="17" t="n"/>
      <c r="K939" s="19" t="n"/>
      <c r="L939" s="20" t="n"/>
      <c r="M939" s="19" t="n"/>
      <c r="N939" s="22">
        <f>IF(C939="","",IF(ISNUMBER(I939),I939,IF(ISNUMBER(H939),H939,"")))</f>
        <v/>
      </c>
      <c r="O939" s="23">
        <f>IF(OR(C939="",NOT(ISNUMBER(G939))),"",(TODAY()-INT(G939))/365.25)</f>
        <v/>
      </c>
      <c r="P939" s="13">
        <f>IF(OR(C939="",NOT(ISNUMBER(L939))),"",IF(L939&lt;TODAY(),"Ended",IF(L939-TODAY()&lt;=N(Settings!$C$10),"Ends soon","Covered")))</f>
        <v/>
      </c>
      <c r="Q939" s="13">
        <f>IF(C939="","",MID(IF(N939="",", value","")&amp;IF(OR(J939="",J939="No"),", receipt","")&amp;IF(K939="",", photo",""),3,100))</f>
        <v/>
      </c>
      <c r="R939" s="13">
        <f>IF(AND(B939="",C939=""),"",IF(C939="","Needs the item",IF(B939="","Needs a room",IF(COUNTIF(Rooms!$B$6:$B$35,B939)=0,"Not on Rooms",IF(AND(H939&lt;&gt;"",NOT(ISNUMBER(H939))),"Paid not a number",IF(AND(I939&lt;&gt;"",NOT(ISNUMBER(I939))),"Worth not a number",IF(AND(G939&lt;&gt;"",NOT(ISNUMBER(G939))),"Bought is not a date",IF(AND(L939&lt;&gt;"",NOT(ISNUMBER(L939))),"Warranty is not a date",""))))))))</f>
        <v/>
      </c>
      <c r="S939" s="1">
        <f>IF(AND(C939&lt;&gt;"",R939=""),1,0)</f>
        <v/>
      </c>
      <c r="T939">
        <f>IF(S939=1,N(N939),0)</f>
        <v/>
      </c>
      <c r="U939">
        <f>IF(AND(S939=1,T939&gt;0),ROUND(T939*100,0)*10000+10000-ROW(),"")</f>
        <v/>
      </c>
      <c r="V939">
        <f>IF(AND(S939=1,OR(Report!$C$5="",B939=Report!$C$5)),MATCH(B939,Rooms!$B$6:$B$35,0)*10000+ROW(),"")</f>
        <v/>
      </c>
      <c r="W939">
        <f>IF(AND(S939=1,OR(J939="",J939="No")),1,0)</f>
        <v/>
      </c>
      <c r="X939">
        <f>IF(AND(S939=1,K939=""),1,0)</f>
        <v/>
      </c>
      <c r="Y939">
        <f>IF(AND(S939=1,Q939&lt;&gt;""),ROUND(T939*100,0)*10000+10000-ROW(),"")</f>
        <v/>
      </c>
    </row>
    <row r="940">
      <c r="A940" s="1" t="n"/>
      <c r="B940" s="17" t="n"/>
      <c r="C940" s="18" t="n"/>
      <c r="D940" s="17" t="n"/>
      <c r="E940" s="19" t="n"/>
      <c r="F940" s="19" t="n"/>
      <c r="G940" s="20" t="n"/>
      <c r="H940" s="21" t="n"/>
      <c r="I940" s="21" t="n"/>
      <c r="J940" s="17" t="n"/>
      <c r="K940" s="19" t="n"/>
      <c r="L940" s="20" t="n"/>
      <c r="M940" s="19" t="n"/>
      <c r="N940" s="22">
        <f>IF(C940="","",IF(ISNUMBER(I940),I940,IF(ISNUMBER(H940),H940,"")))</f>
        <v/>
      </c>
      <c r="O940" s="23">
        <f>IF(OR(C940="",NOT(ISNUMBER(G940))),"",(TODAY()-INT(G940))/365.25)</f>
        <v/>
      </c>
      <c r="P940" s="13">
        <f>IF(OR(C940="",NOT(ISNUMBER(L940))),"",IF(L940&lt;TODAY(),"Ended",IF(L940-TODAY()&lt;=N(Settings!$C$10),"Ends soon","Covered")))</f>
        <v/>
      </c>
      <c r="Q940" s="13">
        <f>IF(C940="","",MID(IF(N940="",", value","")&amp;IF(OR(J940="",J940="No"),", receipt","")&amp;IF(K940="",", photo",""),3,100))</f>
        <v/>
      </c>
      <c r="R940" s="13">
        <f>IF(AND(B940="",C940=""),"",IF(C940="","Needs the item",IF(B940="","Needs a room",IF(COUNTIF(Rooms!$B$6:$B$35,B940)=0,"Not on Rooms",IF(AND(H940&lt;&gt;"",NOT(ISNUMBER(H940))),"Paid not a number",IF(AND(I940&lt;&gt;"",NOT(ISNUMBER(I940))),"Worth not a number",IF(AND(G940&lt;&gt;"",NOT(ISNUMBER(G940))),"Bought is not a date",IF(AND(L940&lt;&gt;"",NOT(ISNUMBER(L940))),"Warranty is not a date",""))))))))</f>
        <v/>
      </c>
      <c r="S940" s="1">
        <f>IF(AND(C940&lt;&gt;"",R940=""),1,0)</f>
        <v/>
      </c>
      <c r="T940">
        <f>IF(S940=1,N(N940),0)</f>
        <v/>
      </c>
      <c r="U940">
        <f>IF(AND(S940=1,T940&gt;0),ROUND(T940*100,0)*10000+10000-ROW(),"")</f>
        <v/>
      </c>
      <c r="V940">
        <f>IF(AND(S940=1,OR(Report!$C$5="",B940=Report!$C$5)),MATCH(B940,Rooms!$B$6:$B$35,0)*10000+ROW(),"")</f>
        <v/>
      </c>
      <c r="W940">
        <f>IF(AND(S940=1,OR(J940="",J940="No")),1,0)</f>
        <v/>
      </c>
      <c r="X940">
        <f>IF(AND(S940=1,K940=""),1,0)</f>
        <v/>
      </c>
      <c r="Y940">
        <f>IF(AND(S940=1,Q940&lt;&gt;""),ROUND(T940*100,0)*10000+10000-ROW(),"")</f>
        <v/>
      </c>
    </row>
    <row r="941">
      <c r="A941" s="1" t="n"/>
      <c r="B941" s="17" t="n"/>
      <c r="C941" s="18" t="n"/>
      <c r="D941" s="17" t="n"/>
      <c r="E941" s="19" t="n"/>
      <c r="F941" s="19" t="n"/>
      <c r="G941" s="20" t="n"/>
      <c r="H941" s="21" t="n"/>
      <c r="I941" s="21" t="n"/>
      <c r="J941" s="17" t="n"/>
      <c r="K941" s="19" t="n"/>
      <c r="L941" s="20" t="n"/>
      <c r="M941" s="19" t="n"/>
      <c r="N941" s="22">
        <f>IF(C941="","",IF(ISNUMBER(I941),I941,IF(ISNUMBER(H941),H941,"")))</f>
        <v/>
      </c>
      <c r="O941" s="23">
        <f>IF(OR(C941="",NOT(ISNUMBER(G941))),"",(TODAY()-INT(G941))/365.25)</f>
        <v/>
      </c>
      <c r="P941" s="13">
        <f>IF(OR(C941="",NOT(ISNUMBER(L941))),"",IF(L941&lt;TODAY(),"Ended",IF(L941-TODAY()&lt;=N(Settings!$C$10),"Ends soon","Covered")))</f>
        <v/>
      </c>
      <c r="Q941" s="13">
        <f>IF(C941="","",MID(IF(N941="",", value","")&amp;IF(OR(J941="",J941="No"),", receipt","")&amp;IF(K941="",", photo",""),3,100))</f>
        <v/>
      </c>
      <c r="R941" s="13">
        <f>IF(AND(B941="",C941=""),"",IF(C941="","Needs the item",IF(B941="","Needs a room",IF(COUNTIF(Rooms!$B$6:$B$35,B941)=0,"Not on Rooms",IF(AND(H941&lt;&gt;"",NOT(ISNUMBER(H941))),"Paid not a number",IF(AND(I941&lt;&gt;"",NOT(ISNUMBER(I941))),"Worth not a number",IF(AND(G941&lt;&gt;"",NOT(ISNUMBER(G941))),"Bought is not a date",IF(AND(L941&lt;&gt;"",NOT(ISNUMBER(L941))),"Warranty is not a date",""))))))))</f>
        <v/>
      </c>
      <c r="S941" s="1">
        <f>IF(AND(C941&lt;&gt;"",R941=""),1,0)</f>
        <v/>
      </c>
      <c r="T941">
        <f>IF(S941=1,N(N941),0)</f>
        <v/>
      </c>
      <c r="U941">
        <f>IF(AND(S941=1,T941&gt;0),ROUND(T941*100,0)*10000+10000-ROW(),"")</f>
        <v/>
      </c>
      <c r="V941">
        <f>IF(AND(S941=1,OR(Report!$C$5="",B941=Report!$C$5)),MATCH(B941,Rooms!$B$6:$B$35,0)*10000+ROW(),"")</f>
        <v/>
      </c>
      <c r="W941">
        <f>IF(AND(S941=1,OR(J941="",J941="No")),1,0)</f>
        <v/>
      </c>
      <c r="X941">
        <f>IF(AND(S941=1,K941=""),1,0)</f>
        <v/>
      </c>
      <c r="Y941">
        <f>IF(AND(S941=1,Q941&lt;&gt;""),ROUND(T941*100,0)*10000+10000-ROW(),"")</f>
        <v/>
      </c>
    </row>
    <row r="942">
      <c r="A942" s="1" t="n"/>
      <c r="B942" s="17" t="n"/>
      <c r="C942" s="18" t="n"/>
      <c r="D942" s="17" t="n"/>
      <c r="E942" s="19" t="n"/>
      <c r="F942" s="19" t="n"/>
      <c r="G942" s="20" t="n"/>
      <c r="H942" s="21" t="n"/>
      <c r="I942" s="21" t="n"/>
      <c r="J942" s="17" t="n"/>
      <c r="K942" s="19" t="n"/>
      <c r="L942" s="20" t="n"/>
      <c r="M942" s="19" t="n"/>
      <c r="N942" s="22">
        <f>IF(C942="","",IF(ISNUMBER(I942),I942,IF(ISNUMBER(H942),H942,"")))</f>
        <v/>
      </c>
      <c r="O942" s="23">
        <f>IF(OR(C942="",NOT(ISNUMBER(G942))),"",(TODAY()-INT(G942))/365.25)</f>
        <v/>
      </c>
      <c r="P942" s="13">
        <f>IF(OR(C942="",NOT(ISNUMBER(L942))),"",IF(L942&lt;TODAY(),"Ended",IF(L942-TODAY()&lt;=N(Settings!$C$10),"Ends soon","Covered")))</f>
        <v/>
      </c>
      <c r="Q942" s="13">
        <f>IF(C942="","",MID(IF(N942="",", value","")&amp;IF(OR(J942="",J942="No"),", receipt","")&amp;IF(K942="",", photo",""),3,100))</f>
        <v/>
      </c>
      <c r="R942" s="13">
        <f>IF(AND(B942="",C942=""),"",IF(C942="","Needs the item",IF(B942="","Needs a room",IF(COUNTIF(Rooms!$B$6:$B$35,B942)=0,"Not on Rooms",IF(AND(H942&lt;&gt;"",NOT(ISNUMBER(H942))),"Paid not a number",IF(AND(I942&lt;&gt;"",NOT(ISNUMBER(I942))),"Worth not a number",IF(AND(G942&lt;&gt;"",NOT(ISNUMBER(G942))),"Bought is not a date",IF(AND(L942&lt;&gt;"",NOT(ISNUMBER(L942))),"Warranty is not a date",""))))))))</f>
        <v/>
      </c>
      <c r="S942" s="1">
        <f>IF(AND(C942&lt;&gt;"",R942=""),1,0)</f>
        <v/>
      </c>
      <c r="T942">
        <f>IF(S942=1,N(N942),0)</f>
        <v/>
      </c>
      <c r="U942">
        <f>IF(AND(S942=1,T942&gt;0),ROUND(T942*100,0)*10000+10000-ROW(),"")</f>
        <v/>
      </c>
      <c r="V942">
        <f>IF(AND(S942=1,OR(Report!$C$5="",B942=Report!$C$5)),MATCH(B942,Rooms!$B$6:$B$35,0)*10000+ROW(),"")</f>
        <v/>
      </c>
      <c r="W942">
        <f>IF(AND(S942=1,OR(J942="",J942="No")),1,0)</f>
        <v/>
      </c>
      <c r="X942">
        <f>IF(AND(S942=1,K942=""),1,0)</f>
        <v/>
      </c>
      <c r="Y942">
        <f>IF(AND(S942=1,Q942&lt;&gt;""),ROUND(T942*100,0)*10000+10000-ROW(),"")</f>
        <v/>
      </c>
    </row>
    <row r="943">
      <c r="A943" s="1" t="n"/>
      <c r="B943" s="17" t="n"/>
      <c r="C943" s="18" t="n"/>
      <c r="D943" s="17" t="n"/>
      <c r="E943" s="19" t="n"/>
      <c r="F943" s="19" t="n"/>
      <c r="G943" s="20" t="n"/>
      <c r="H943" s="21" t="n"/>
      <c r="I943" s="21" t="n"/>
      <c r="J943" s="17" t="n"/>
      <c r="K943" s="19" t="n"/>
      <c r="L943" s="20" t="n"/>
      <c r="M943" s="19" t="n"/>
      <c r="N943" s="22">
        <f>IF(C943="","",IF(ISNUMBER(I943),I943,IF(ISNUMBER(H943),H943,"")))</f>
        <v/>
      </c>
      <c r="O943" s="23">
        <f>IF(OR(C943="",NOT(ISNUMBER(G943))),"",(TODAY()-INT(G943))/365.25)</f>
        <v/>
      </c>
      <c r="P943" s="13">
        <f>IF(OR(C943="",NOT(ISNUMBER(L943))),"",IF(L943&lt;TODAY(),"Ended",IF(L943-TODAY()&lt;=N(Settings!$C$10),"Ends soon","Covered")))</f>
        <v/>
      </c>
      <c r="Q943" s="13">
        <f>IF(C943="","",MID(IF(N943="",", value","")&amp;IF(OR(J943="",J943="No"),", receipt","")&amp;IF(K943="",", photo",""),3,100))</f>
        <v/>
      </c>
      <c r="R943" s="13">
        <f>IF(AND(B943="",C943=""),"",IF(C943="","Needs the item",IF(B943="","Needs a room",IF(COUNTIF(Rooms!$B$6:$B$35,B943)=0,"Not on Rooms",IF(AND(H943&lt;&gt;"",NOT(ISNUMBER(H943))),"Paid not a number",IF(AND(I943&lt;&gt;"",NOT(ISNUMBER(I943))),"Worth not a number",IF(AND(G943&lt;&gt;"",NOT(ISNUMBER(G943))),"Bought is not a date",IF(AND(L943&lt;&gt;"",NOT(ISNUMBER(L943))),"Warranty is not a date",""))))))))</f>
        <v/>
      </c>
      <c r="S943" s="1">
        <f>IF(AND(C943&lt;&gt;"",R943=""),1,0)</f>
        <v/>
      </c>
      <c r="T943">
        <f>IF(S943=1,N(N943),0)</f>
        <v/>
      </c>
      <c r="U943">
        <f>IF(AND(S943=1,T943&gt;0),ROUND(T943*100,0)*10000+10000-ROW(),"")</f>
        <v/>
      </c>
      <c r="V943">
        <f>IF(AND(S943=1,OR(Report!$C$5="",B943=Report!$C$5)),MATCH(B943,Rooms!$B$6:$B$35,0)*10000+ROW(),"")</f>
        <v/>
      </c>
      <c r="W943">
        <f>IF(AND(S943=1,OR(J943="",J943="No")),1,0)</f>
        <v/>
      </c>
      <c r="X943">
        <f>IF(AND(S943=1,K943=""),1,0)</f>
        <v/>
      </c>
      <c r="Y943">
        <f>IF(AND(S943=1,Q943&lt;&gt;""),ROUND(T943*100,0)*10000+10000-ROW(),"")</f>
        <v/>
      </c>
    </row>
    <row r="944">
      <c r="A944" s="1" t="n"/>
      <c r="B944" s="17" t="n"/>
      <c r="C944" s="18" t="n"/>
      <c r="D944" s="17" t="n"/>
      <c r="E944" s="19" t="n"/>
      <c r="F944" s="19" t="n"/>
      <c r="G944" s="20" t="n"/>
      <c r="H944" s="21" t="n"/>
      <c r="I944" s="21" t="n"/>
      <c r="J944" s="17" t="n"/>
      <c r="K944" s="19" t="n"/>
      <c r="L944" s="20" t="n"/>
      <c r="M944" s="19" t="n"/>
      <c r="N944" s="22">
        <f>IF(C944="","",IF(ISNUMBER(I944),I944,IF(ISNUMBER(H944),H944,"")))</f>
        <v/>
      </c>
      <c r="O944" s="23">
        <f>IF(OR(C944="",NOT(ISNUMBER(G944))),"",(TODAY()-INT(G944))/365.25)</f>
        <v/>
      </c>
      <c r="P944" s="13">
        <f>IF(OR(C944="",NOT(ISNUMBER(L944))),"",IF(L944&lt;TODAY(),"Ended",IF(L944-TODAY()&lt;=N(Settings!$C$10),"Ends soon","Covered")))</f>
        <v/>
      </c>
      <c r="Q944" s="13">
        <f>IF(C944="","",MID(IF(N944="",", value","")&amp;IF(OR(J944="",J944="No"),", receipt","")&amp;IF(K944="",", photo",""),3,100))</f>
        <v/>
      </c>
      <c r="R944" s="13">
        <f>IF(AND(B944="",C944=""),"",IF(C944="","Needs the item",IF(B944="","Needs a room",IF(COUNTIF(Rooms!$B$6:$B$35,B944)=0,"Not on Rooms",IF(AND(H944&lt;&gt;"",NOT(ISNUMBER(H944))),"Paid not a number",IF(AND(I944&lt;&gt;"",NOT(ISNUMBER(I944))),"Worth not a number",IF(AND(G944&lt;&gt;"",NOT(ISNUMBER(G944))),"Bought is not a date",IF(AND(L944&lt;&gt;"",NOT(ISNUMBER(L944))),"Warranty is not a date",""))))))))</f>
        <v/>
      </c>
      <c r="S944" s="1">
        <f>IF(AND(C944&lt;&gt;"",R944=""),1,0)</f>
        <v/>
      </c>
      <c r="T944">
        <f>IF(S944=1,N(N944),0)</f>
        <v/>
      </c>
      <c r="U944">
        <f>IF(AND(S944=1,T944&gt;0),ROUND(T944*100,0)*10000+10000-ROW(),"")</f>
        <v/>
      </c>
      <c r="V944">
        <f>IF(AND(S944=1,OR(Report!$C$5="",B944=Report!$C$5)),MATCH(B944,Rooms!$B$6:$B$35,0)*10000+ROW(),"")</f>
        <v/>
      </c>
      <c r="W944">
        <f>IF(AND(S944=1,OR(J944="",J944="No")),1,0)</f>
        <v/>
      </c>
      <c r="X944">
        <f>IF(AND(S944=1,K944=""),1,0)</f>
        <v/>
      </c>
      <c r="Y944">
        <f>IF(AND(S944=1,Q944&lt;&gt;""),ROUND(T944*100,0)*10000+10000-ROW(),"")</f>
        <v/>
      </c>
    </row>
    <row r="945">
      <c r="A945" s="1" t="n"/>
      <c r="B945" s="17" t="n"/>
      <c r="C945" s="18" t="n"/>
      <c r="D945" s="17" t="n"/>
      <c r="E945" s="19" t="n"/>
      <c r="F945" s="19" t="n"/>
      <c r="G945" s="20" t="n"/>
      <c r="H945" s="21" t="n"/>
      <c r="I945" s="21" t="n"/>
      <c r="J945" s="17" t="n"/>
      <c r="K945" s="19" t="n"/>
      <c r="L945" s="20" t="n"/>
      <c r="M945" s="19" t="n"/>
      <c r="N945" s="22">
        <f>IF(C945="","",IF(ISNUMBER(I945),I945,IF(ISNUMBER(H945),H945,"")))</f>
        <v/>
      </c>
      <c r="O945" s="23">
        <f>IF(OR(C945="",NOT(ISNUMBER(G945))),"",(TODAY()-INT(G945))/365.25)</f>
        <v/>
      </c>
      <c r="P945" s="13">
        <f>IF(OR(C945="",NOT(ISNUMBER(L945))),"",IF(L945&lt;TODAY(),"Ended",IF(L945-TODAY()&lt;=N(Settings!$C$10),"Ends soon","Covered")))</f>
        <v/>
      </c>
      <c r="Q945" s="13">
        <f>IF(C945="","",MID(IF(N945="",", value","")&amp;IF(OR(J945="",J945="No"),", receipt","")&amp;IF(K945="",", photo",""),3,100))</f>
        <v/>
      </c>
      <c r="R945" s="13">
        <f>IF(AND(B945="",C945=""),"",IF(C945="","Needs the item",IF(B945="","Needs a room",IF(COUNTIF(Rooms!$B$6:$B$35,B945)=0,"Not on Rooms",IF(AND(H945&lt;&gt;"",NOT(ISNUMBER(H945))),"Paid not a number",IF(AND(I945&lt;&gt;"",NOT(ISNUMBER(I945))),"Worth not a number",IF(AND(G945&lt;&gt;"",NOT(ISNUMBER(G945))),"Bought is not a date",IF(AND(L945&lt;&gt;"",NOT(ISNUMBER(L945))),"Warranty is not a date",""))))))))</f>
        <v/>
      </c>
      <c r="S945" s="1">
        <f>IF(AND(C945&lt;&gt;"",R945=""),1,0)</f>
        <v/>
      </c>
      <c r="T945">
        <f>IF(S945=1,N(N945),0)</f>
        <v/>
      </c>
      <c r="U945">
        <f>IF(AND(S945=1,T945&gt;0),ROUND(T945*100,0)*10000+10000-ROW(),"")</f>
        <v/>
      </c>
      <c r="V945">
        <f>IF(AND(S945=1,OR(Report!$C$5="",B945=Report!$C$5)),MATCH(B945,Rooms!$B$6:$B$35,0)*10000+ROW(),"")</f>
        <v/>
      </c>
      <c r="W945">
        <f>IF(AND(S945=1,OR(J945="",J945="No")),1,0)</f>
        <v/>
      </c>
      <c r="X945">
        <f>IF(AND(S945=1,K945=""),1,0)</f>
        <v/>
      </c>
      <c r="Y945">
        <f>IF(AND(S945=1,Q945&lt;&gt;""),ROUND(T945*100,0)*10000+10000-ROW(),"")</f>
        <v/>
      </c>
    </row>
    <row r="946">
      <c r="A946" s="1" t="n"/>
      <c r="B946" s="17" t="n"/>
      <c r="C946" s="18" t="n"/>
      <c r="D946" s="17" t="n"/>
      <c r="E946" s="19" t="n"/>
      <c r="F946" s="19" t="n"/>
      <c r="G946" s="20" t="n"/>
      <c r="H946" s="21" t="n"/>
      <c r="I946" s="21" t="n"/>
      <c r="J946" s="17" t="n"/>
      <c r="K946" s="19" t="n"/>
      <c r="L946" s="20" t="n"/>
      <c r="M946" s="19" t="n"/>
      <c r="N946" s="22">
        <f>IF(C946="","",IF(ISNUMBER(I946),I946,IF(ISNUMBER(H946),H946,"")))</f>
        <v/>
      </c>
      <c r="O946" s="23">
        <f>IF(OR(C946="",NOT(ISNUMBER(G946))),"",(TODAY()-INT(G946))/365.25)</f>
        <v/>
      </c>
      <c r="P946" s="13">
        <f>IF(OR(C946="",NOT(ISNUMBER(L946))),"",IF(L946&lt;TODAY(),"Ended",IF(L946-TODAY()&lt;=N(Settings!$C$10),"Ends soon","Covered")))</f>
        <v/>
      </c>
      <c r="Q946" s="13">
        <f>IF(C946="","",MID(IF(N946="",", value","")&amp;IF(OR(J946="",J946="No"),", receipt","")&amp;IF(K946="",", photo",""),3,100))</f>
        <v/>
      </c>
      <c r="R946" s="13">
        <f>IF(AND(B946="",C946=""),"",IF(C946="","Needs the item",IF(B946="","Needs a room",IF(COUNTIF(Rooms!$B$6:$B$35,B946)=0,"Not on Rooms",IF(AND(H946&lt;&gt;"",NOT(ISNUMBER(H946))),"Paid not a number",IF(AND(I946&lt;&gt;"",NOT(ISNUMBER(I946))),"Worth not a number",IF(AND(G946&lt;&gt;"",NOT(ISNUMBER(G946))),"Bought is not a date",IF(AND(L946&lt;&gt;"",NOT(ISNUMBER(L946))),"Warranty is not a date",""))))))))</f>
        <v/>
      </c>
      <c r="S946" s="1">
        <f>IF(AND(C946&lt;&gt;"",R946=""),1,0)</f>
        <v/>
      </c>
      <c r="T946">
        <f>IF(S946=1,N(N946),0)</f>
        <v/>
      </c>
      <c r="U946">
        <f>IF(AND(S946=1,T946&gt;0),ROUND(T946*100,0)*10000+10000-ROW(),"")</f>
        <v/>
      </c>
      <c r="V946">
        <f>IF(AND(S946=1,OR(Report!$C$5="",B946=Report!$C$5)),MATCH(B946,Rooms!$B$6:$B$35,0)*10000+ROW(),"")</f>
        <v/>
      </c>
      <c r="W946">
        <f>IF(AND(S946=1,OR(J946="",J946="No")),1,0)</f>
        <v/>
      </c>
      <c r="X946">
        <f>IF(AND(S946=1,K946=""),1,0)</f>
        <v/>
      </c>
      <c r="Y946">
        <f>IF(AND(S946=1,Q946&lt;&gt;""),ROUND(T946*100,0)*10000+10000-ROW(),"")</f>
        <v/>
      </c>
    </row>
    <row r="947">
      <c r="A947" s="1" t="n"/>
      <c r="B947" s="17" t="n"/>
      <c r="C947" s="18" t="n"/>
      <c r="D947" s="17" t="n"/>
      <c r="E947" s="19" t="n"/>
      <c r="F947" s="19" t="n"/>
      <c r="G947" s="20" t="n"/>
      <c r="H947" s="21" t="n"/>
      <c r="I947" s="21" t="n"/>
      <c r="J947" s="17" t="n"/>
      <c r="K947" s="19" t="n"/>
      <c r="L947" s="20" t="n"/>
      <c r="M947" s="19" t="n"/>
      <c r="N947" s="22">
        <f>IF(C947="","",IF(ISNUMBER(I947),I947,IF(ISNUMBER(H947),H947,"")))</f>
        <v/>
      </c>
      <c r="O947" s="23">
        <f>IF(OR(C947="",NOT(ISNUMBER(G947))),"",(TODAY()-INT(G947))/365.25)</f>
        <v/>
      </c>
      <c r="P947" s="13">
        <f>IF(OR(C947="",NOT(ISNUMBER(L947))),"",IF(L947&lt;TODAY(),"Ended",IF(L947-TODAY()&lt;=N(Settings!$C$10),"Ends soon","Covered")))</f>
        <v/>
      </c>
      <c r="Q947" s="13">
        <f>IF(C947="","",MID(IF(N947="",", value","")&amp;IF(OR(J947="",J947="No"),", receipt","")&amp;IF(K947="",", photo",""),3,100))</f>
        <v/>
      </c>
      <c r="R947" s="13">
        <f>IF(AND(B947="",C947=""),"",IF(C947="","Needs the item",IF(B947="","Needs a room",IF(COUNTIF(Rooms!$B$6:$B$35,B947)=0,"Not on Rooms",IF(AND(H947&lt;&gt;"",NOT(ISNUMBER(H947))),"Paid not a number",IF(AND(I947&lt;&gt;"",NOT(ISNUMBER(I947))),"Worth not a number",IF(AND(G947&lt;&gt;"",NOT(ISNUMBER(G947))),"Bought is not a date",IF(AND(L947&lt;&gt;"",NOT(ISNUMBER(L947))),"Warranty is not a date",""))))))))</f>
        <v/>
      </c>
      <c r="S947" s="1">
        <f>IF(AND(C947&lt;&gt;"",R947=""),1,0)</f>
        <v/>
      </c>
      <c r="T947">
        <f>IF(S947=1,N(N947),0)</f>
        <v/>
      </c>
      <c r="U947">
        <f>IF(AND(S947=1,T947&gt;0),ROUND(T947*100,0)*10000+10000-ROW(),"")</f>
        <v/>
      </c>
      <c r="V947">
        <f>IF(AND(S947=1,OR(Report!$C$5="",B947=Report!$C$5)),MATCH(B947,Rooms!$B$6:$B$35,0)*10000+ROW(),"")</f>
        <v/>
      </c>
      <c r="W947">
        <f>IF(AND(S947=1,OR(J947="",J947="No")),1,0)</f>
        <v/>
      </c>
      <c r="X947">
        <f>IF(AND(S947=1,K947=""),1,0)</f>
        <v/>
      </c>
      <c r="Y947">
        <f>IF(AND(S947=1,Q947&lt;&gt;""),ROUND(T947*100,0)*10000+10000-ROW(),"")</f>
        <v/>
      </c>
    </row>
    <row r="948">
      <c r="A948" s="1" t="n"/>
      <c r="B948" s="17" t="n"/>
      <c r="C948" s="18" t="n"/>
      <c r="D948" s="17" t="n"/>
      <c r="E948" s="19" t="n"/>
      <c r="F948" s="19" t="n"/>
      <c r="G948" s="20" t="n"/>
      <c r="H948" s="21" t="n"/>
      <c r="I948" s="21" t="n"/>
      <c r="J948" s="17" t="n"/>
      <c r="K948" s="19" t="n"/>
      <c r="L948" s="20" t="n"/>
      <c r="M948" s="19" t="n"/>
      <c r="N948" s="22">
        <f>IF(C948="","",IF(ISNUMBER(I948),I948,IF(ISNUMBER(H948),H948,"")))</f>
        <v/>
      </c>
      <c r="O948" s="23">
        <f>IF(OR(C948="",NOT(ISNUMBER(G948))),"",(TODAY()-INT(G948))/365.25)</f>
        <v/>
      </c>
      <c r="P948" s="13">
        <f>IF(OR(C948="",NOT(ISNUMBER(L948))),"",IF(L948&lt;TODAY(),"Ended",IF(L948-TODAY()&lt;=N(Settings!$C$10),"Ends soon","Covered")))</f>
        <v/>
      </c>
      <c r="Q948" s="13">
        <f>IF(C948="","",MID(IF(N948="",", value","")&amp;IF(OR(J948="",J948="No"),", receipt","")&amp;IF(K948="",", photo",""),3,100))</f>
        <v/>
      </c>
      <c r="R948" s="13">
        <f>IF(AND(B948="",C948=""),"",IF(C948="","Needs the item",IF(B948="","Needs a room",IF(COUNTIF(Rooms!$B$6:$B$35,B948)=0,"Not on Rooms",IF(AND(H948&lt;&gt;"",NOT(ISNUMBER(H948))),"Paid not a number",IF(AND(I948&lt;&gt;"",NOT(ISNUMBER(I948))),"Worth not a number",IF(AND(G948&lt;&gt;"",NOT(ISNUMBER(G948))),"Bought is not a date",IF(AND(L948&lt;&gt;"",NOT(ISNUMBER(L948))),"Warranty is not a date",""))))))))</f>
        <v/>
      </c>
      <c r="S948" s="1">
        <f>IF(AND(C948&lt;&gt;"",R948=""),1,0)</f>
        <v/>
      </c>
      <c r="T948">
        <f>IF(S948=1,N(N948),0)</f>
        <v/>
      </c>
      <c r="U948">
        <f>IF(AND(S948=1,T948&gt;0),ROUND(T948*100,0)*10000+10000-ROW(),"")</f>
        <v/>
      </c>
      <c r="V948">
        <f>IF(AND(S948=1,OR(Report!$C$5="",B948=Report!$C$5)),MATCH(B948,Rooms!$B$6:$B$35,0)*10000+ROW(),"")</f>
        <v/>
      </c>
      <c r="W948">
        <f>IF(AND(S948=1,OR(J948="",J948="No")),1,0)</f>
        <v/>
      </c>
      <c r="X948">
        <f>IF(AND(S948=1,K948=""),1,0)</f>
        <v/>
      </c>
      <c r="Y948">
        <f>IF(AND(S948=1,Q948&lt;&gt;""),ROUND(T948*100,0)*10000+10000-ROW(),"")</f>
        <v/>
      </c>
    </row>
    <row r="949">
      <c r="A949" s="1" t="n"/>
      <c r="B949" s="17" t="n"/>
      <c r="C949" s="18" t="n"/>
      <c r="D949" s="17" t="n"/>
      <c r="E949" s="19" t="n"/>
      <c r="F949" s="19" t="n"/>
      <c r="G949" s="20" t="n"/>
      <c r="H949" s="21" t="n"/>
      <c r="I949" s="21" t="n"/>
      <c r="J949" s="17" t="n"/>
      <c r="K949" s="19" t="n"/>
      <c r="L949" s="20" t="n"/>
      <c r="M949" s="19" t="n"/>
      <c r="N949" s="22">
        <f>IF(C949="","",IF(ISNUMBER(I949),I949,IF(ISNUMBER(H949),H949,"")))</f>
        <v/>
      </c>
      <c r="O949" s="23">
        <f>IF(OR(C949="",NOT(ISNUMBER(G949))),"",(TODAY()-INT(G949))/365.25)</f>
        <v/>
      </c>
      <c r="P949" s="13">
        <f>IF(OR(C949="",NOT(ISNUMBER(L949))),"",IF(L949&lt;TODAY(),"Ended",IF(L949-TODAY()&lt;=N(Settings!$C$10),"Ends soon","Covered")))</f>
        <v/>
      </c>
      <c r="Q949" s="13">
        <f>IF(C949="","",MID(IF(N949="",", value","")&amp;IF(OR(J949="",J949="No"),", receipt","")&amp;IF(K949="",", photo",""),3,100))</f>
        <v/>
      </c>
      <c r="R949" s="13">
        <f>IF(AND(B949="",C949=""),"",IF(C949="","Needs the item",IF(B949="","Needs a room",IF(COUNTIF(Rooms!$B$6:$B$35,B949)=0,"Not on Rooms",IF(AND(H949&lt;&gt;"",NOT(ISNUMBER(H949))),"Paid not a number",IF(AND(I949&lt;&gt;"",NOT(ISNUMBER(I949))),"Worth not a number",IF(AND(G949&lt;&gt;"",NOT(ISNUMBER(G949))),"Bought is not a date",IF(AND(L949&lt;&gt;"",NOT(ISNUMBER(L949))),"Warranty is not a date",""))))))))</f>
        <v/>
      </c>
      <c r="S949" s="1">
        <f>IF(AND(C949&lt;&gt;"",R949=""),1,0)</f>
        <v/>
      </c>
      <c r="T949">
        <f>IF(S949=1,N(N949),0)</f>
        <v/>
      </c>
      <c r="U949">
        <f>IF(AND(S949=1,T949&gt;0),ROUND(T949*100,0)*10000+10000-ROW(),"")</f>
        <v/>
      </c>
      <c r="V949">
        <f>IF(AND(S949=1,OR(Report!$C$5="",B949=Report!$C$5)),MATCH(B949,Rooms!$B$6:$B$35,0)*10000+ROW(),"")</f>
        <v/>
      </c>
      <c r="W949">
        <f>IF(AND(S949=1,OR(J949="",J949="No")),1,0)</f>
        <v/>
      </c>
      <c r="X949">
        <f>IF(AND(S949=1,K949=""),1,0)</f>
        <v/>
      </c>
      <c r="Y949">
        <f>IF(AND(S949=1,Q949&lt;&gt;""),ROUND(T949*100,0)*10000+10000-ROW(),"")</f>
        <v/>
      </c>
    </row>
    <row r="950">
      <c r="A950" s="1" t="n"/>
      <c r="B950" s="17" t="n"/>
      <c r="C950" s="18" t="n"/>
      <c r="D950" s="17" t="n"/>
      <c r="E950" s="19" t="n"/>
      <c r="F950" s="19" t="n"/>
      <c r="G950" s="20" t="n"/>
      <c r="H950" s="21" t="n"/>
      <c r="I950" s="21" t="n"/>
      <c r="J950" s="17" t="n"/>
      <c r="K950" s="19" t="n"/>
      <c r="L950" s="20" t="n"/>
      <c r="M950" s="19" t="n"/>
      <c r="N950" s="22">
        <f>IF(C950="","",IF(ISNUMBER(I950),I950,IF(ISNUMBER(H950),H950,"")))</f>
        <v/>
      </c>
      <c r="O950" s="23">
        <f>IF(OR(C950="",NOT(ISNUMBER(G950))),"",(TODAY()-INT(G950))/365.25)</f>
        <v/>
      </c>
      <c r="P950" s="13">
        <f>IF(OR(C950="",NOT(ISNUMBER(L950))),"",IF(L950&lt;TODAY(),"Ended",IF(L950-TODAY()&lt;=N(Settings!$C$10),"Ends soon","Covered")))</f>
        <v/>
      </c>
      <c r="Q950" s="13">
        <f>IF(C950="","",MID(IF(N950="",", value","")&amp;IF(OR(J950="",J950="No"),", receipt","")&amp;IF(K950="",", photo",""),3,100))</f>
        <v/>
      </c>
      <c r="R950" s="13">
        <f>IF(AND(B950="",C950=""),"",IF(C950="","Needs the item",IF(B950="","Needs a room",IF(COUNTIF(Rooms!$B$6:$B$35,B950)=0,"Not on Rooms",IF(AND(H950&lt;&gt;"",NOT(ISNUMBER(H950))),"Paid not a number",IF(AND(I950&lt;&gt;"",NOT(ISNUMBER(I950))),"Worth not a number",IF(AND(G950&lt;&gt;"",NOT(ISNUMBER(G950))),"Bought is not a date",IF(AND(L950&lt;&gt;"",NOT(ISNUMBER(L950))),"Warranty is not a date",""))))))))</f>
        <v/>
      </c>
      <c r="S950" s="1">
        <f>IF(AND(C950&lt;&gt;"",R950=""),1,0)</f>
        <v/>
      </c>
      <c r="T950">
        <f>IF(S950=1,N(N950),0)</f>
        <v/>
      </c>
      <c r="U950">
        <f>IF(AND(S950=1,T950&gt;0),ROUND(T950*100,0)*10000+10000-ROW(),"")</f>
        <v/>
      </c>
      <c r="V950">
        <f>IF(AND(S950=1,OR(Report!$C$5="",B950=Report!$C$5)),MATCH(B950,Rooms!$B$6:$B$35,0)*10000+ROW(),"")</f>
        <v/>
      </c>
      <c r="W950">
        <f>IF(AND(S950=1,OR(J950="",J950="No")),1,0)</f>
        <v/>
      </c>
      <c r="X950">
        <f>IF(AND(S950=1,K950=""),1,0)</f>
        <v/>
      </c>
      <c r="Y950">
        <f>IF(AND(S950=1,Q950&lt;&gt;""),ROUND(T950*100,0)*10000+10000-ROW(),"")</f>
        <v/>
      </c>
    </row>
    <row r="951">
      <c r="A951" s="1" t="n"/>
      <c r="B951" s="17" t="n"/>
      <c r="C951" s="18" t="n"/>
      <c r="D951" s="17" t="n"/>
      <c r="E951" s="19" t="n"/>
      <c r="F951" s="19" t="n"/>
      <c r="G951" s="20" t="n"/>
      <c r="H951" s="21" t="n"/>
      <c r="I951" s="21" t="n"/>
      <c r="J951" s="17" t="n"/>
      <c r="K951" s="19" t="n"/>
      <c r="L951" s="20" t="n"/>
      <c r="M951" s="19" t="n"/>
      <c r="N951" s="22">
        <f>IF(C951="","",IF(ISNUMBER(I951),I951,IF(ISNUMBER(H951),H951,"")))</f>
        <v/>
      </c>
      <c r="O951" s="23">
        <f>IF(OR(C951="",NOT(ISNUMBER(G951))),"",(TODAY()-INT(G951))/365.25)</f>
        <v/>
      </c>
      <c r="P951" s="13">
        <f>IF(OR(C951="",NOT(ISNUMBER(L951))),"",IF(L951&lt;TODAY(),"Ended",IF(L951-TODAY()&lt;=N(Settings!$C$10),"Ends soon","Covered")))</f>
        <v/>
      </c>
      <c r="Q951" s="13">
        <f>IF(C951="","",MID(IF(N951="",", value","")&amp;IF(OR(J951="",J951="No"),", receipt","")&amp;IF(K951="",", photo",""),3,100))</f>
        <v/>
      </c>
      <c r="R951" s="13">
        <f>IF(AND(B951="",C951=""),"",IF(C951="","Needs the item",IF(B951="","Needs a room",IF(COUNTIF(Rooms!$B$6:$B$35,B951)=0,"Not on Rooms",IF(AND(H951&lt;&gt;"",NOT(ISNUMBER(H951))),"Paid not a number",IF(AND(I951&lt;&gt;"",NOT(ISNUMBER(I951))),"Worth not a number",IF(AND(G951&lt;&gt;"",NOT(ISNUMBER(G951))),"Bought is not a date",IF(AND(L951&lt;&gt;"",NOT(ISNUMBER(L951))),"Warranty is not a date",""))))))))</f>
        <v/>
      </c>
      <c r="S951" s="1">
        <f>IF(AND(C951&lt;&gt;"",R951=""),1,0)</f>
        <v/>
      </c>
      <c r="T951">
        <f>IF(S951=1,N(N951),0)</f>
        <v/>
      </c>
      <c r="U951">
        <f>IF(AND(S951=1,T951&gt;0),ROUND(T951*100,0)*10000+10000-ROW(),"")</f>
        <v/>
      </c>
      <c r="V951">
        <f>IF(AND(S951=1,OR(Report!$C$5="",B951=Report!$C$5)),MATCH(B951,Rooms!$B$6:$B$35,0)*10000+ROW(),"")</f>
        <v/>
      </c>
      <c r="W951">
        <f>IF(AND(S951=1,OR(J951="",J951="No")),1,0)</f>
        <v/>
      </c>
      <c r="X951">
        <f>IF(AND(S951=1,K951=""),1,0)</f>
        <v/>
      </c>
      <c r="Y951">
        <f>IF(AND(S951=1,Q951&lt;&gt;""),ROUND(T951*100,0)*10000+10000-ROW(),"")</f>
        <v/>
      </c>
    </row>
    <row r="952">
      <c r="A952" s="1" t="n"/>
      <c r="B952" s="17" t="n"/>
      <c r="C952" s="18" t="n"/>
      <c r="D952" s="17" t="n"/>
      <c r="E952" s="19" t="n"/>
      <c r="F952" s="19" t="n"/>
      <c r="G952" s="20" t="n"/>
      <c r="H952" s="21" t="n"/>
      <c r="I952" s="21" t="n"/>
      <c r="J952" s="17" t="n"/>
      <c r="K952" s="19" t="n"/>
      <c r="L952" s="20" t="n"/>
      <c r="M952" s="19" t="n"/>
      <c r="N952" s="22">
        <f>IF(C952="","",IF(ISNUMBER(I952),I952,IF(ISNUMBER(H952),H952,"")))</f>
        <v/>
      </c>
      <c r="O952" s="23">
        <f>IF(OR(C952="",NOT(ISNUMBER(G952))),"",(TODAY()-INT(G952))/365.25)</f>
        <v/>
      </c>
      <c r="P952" s="13">
        <f>IF(OR(C952="",NOT(ISNUMBER(L952))),"",IF(L952&lt;TODAY(),"Ended",IF(L952-TODAY()&lt;=N(Settings!$C$10),"Ends soon","Covered")))</f>
        <v/>
      </c>
      <c r="Q952" s="13">
        <f>IF(C952="","",MID(IF(N952="",", value","")&amp;IF(OR(J952="",J952="No"),", receipt","")&amp;IF(K952="",", photo",""),3,100))</f>
        <v/>
      </c>
      <c r="R952" s="13">
        <f>IF(AND(B952="",C952=""),"",IF(C952="","Needs the item",IF(B952="","Needs a room",IF(COUNTIF(Rooms!$B$6:$B$35,B952)=0,"Not on Rooms",IF(AND(H952&lt;&gt;"",NOT(ISNUMBER(H952))),"Paid not a number",IF(AND(I952&lt;&gt;"",NOT(ISNUMBER(I952))),"Worth not a number",IF(AND(G952&lt;&gt;"",NOT(ISNUMBER(G952))),"Bought is not a date",IF(AND(L952&lt;&gt;"",NOT(ISNUMBER(L952))),"Warranty is not a date",""))))))))</f>
        <v/>
      </c>
      <c r="S952" s="1">
        <f>IF(AND(C952&lt;&gt;"",R952=""),1,0)</f>
        <v/>
      </c>
      <c r="T952">
        <f>IF(S952=1,N(N952),0)</f>
        <v/>
      </c>
      <c r="U952">
        <f>IF(AND(S952=1,T952&gt;0),ROUND(T952*100,0)*10000+10000-ROW(),"")</f>
        <v/>
      </c>
      <c r="V952">
        <f>IF(AND(S952=1,OR(Report!$C$5="",B952=Report!$C$5)),MATCH(B952,Rooms!$B$6:$B$35,0)*10000+ROW(),"")</f>
        <v/>
      </c>
      <c r="W952">
        <f>IF(AND(S952=1,OR(J952="",J952="No")),1,0)</f>
        <v/>
      </c>
      <c r="X952">
        <f>IF(AND(S952=1,K952=""),1,0)</f>
        <v/>
      </c>
      <c r="Y952">
        <f>IF(AND(S952=1,Q952&lt;&gt;""),ROUND(T952*100,0)*10000+10000-ROW(),"")</f>
        <v/>
      </c>
    </row>
    <row r="953">
      <c r="A953" s="1" t="n"/>
      <c r="B953" s="17" t="n"/>
      <c r="C953" s="18" t="n"/>
      <c r="D953" s="17" t="n"/>
      <c r="E953" s="19" t="n"/>
      <c r="F953" s="19" t="n"/>
      <c r="G953" s="20" t="n"/>
      <c r="H953" s="21" t="n"/>
      <c r="I953" s="21" t="n"/>
      <c r="J953" s="17" t="n"/>
      <c r="K953" s="19" t="n"/>
      <c r="L953" s="20" t="n"/>
      <c r="M953" s="19" t="n"/>
      <c r="N953" s="22">
        <f>IF(C953="","",IF(ISNUMBER(I953),I953,IF(ISNUMBER(H953),H953,"")))</f>
        <v/>
      </c>
      <c r="O953" s="23">
        <f>IF(OR(C953="",NOT(ISNUMBER(G953))),"",(TODAY()-INT(G953))/365.25)</f>
        <v/>
      </c>
      <c r="P953" s="13">
        <f>IF(OR(C953="",NOT(ISNUMBER(L953))),"",IF(L953&lt;TODAY(),"Ended",IF(L953-TODAY()&lt;=N(Settings!$C$10),"Ends soon","Covered")))</f>
        <v/>
      </c>
      <c r="Q953" s="13">
        <f>IF(C953="","",MID(IF(N953="",", value","")&amp;IF(OR(J953="",J953="No"),", receipt","")&amp;IF(K953="",", photo",""),3,100))</f>
        <v/>
      </c>
      <c r="R953" s="13">
        <f>IF(AND(B953="",C953=""),"",IF(C953="","Needs the item",IF(B953="","Needs a room",IF(COUNTIF(Rooms!$B$6:$B$35,B953)=0,"Not on Rooms",IF(AND(H953&lt;&gt;"",NOT(ISNUMBER(H953))),"Paid not a number",IF(AND(I953&lt;&gt;"",NOT(ISNUMBER(I953))),"Worth not a number",IF(AND(G953&lt;&gt;"",NOT(ISNUMBER(G953))),"Bought is not a date",IF(AND(L953&lt;&gt;"",NOT(ISNUMBER(L953))),"Warranty is not a date",""))))))))</f>
        <v/>
      </c>
      <c r="S953" s="1">
        <f>IF(AND(C953&lt;&gt;"",R953=""),1,0)</f>
        <v/>
      </c>
      <c r="T953">
        <f>IF(S953=1,N(N953),0)</f>
        <v/>
      </c>
      <c r="U953">
        <f>IF(AND(S953=1,T953&gt;0),ROUND(T953*100,0)*10000+10000-ROW(),"")</f>
        <v/>
      </c>
      <c r="V953">
        <f>IF(AND(S953=1,OR(Report!$C$5="",B953=Report!$C$5)),MATCH(B953,Rooms!$B$6:$B$35,0)*10000+ROW(),"")</f>
        <v/>
      </c>
      <c r="W953">
        <f>IF(AND(S953=1,OR(J953="",J953="No")),1,0)</f>
        <v/>
      </c>
      <c r="X953">
        <f>IF(AND(S953=1,K953=""),1,0)</f>
        <v/>
      </c>
      <c r="Y953">
        <f>IF(AND(S953=1,Q953&lt;&gt;""),ROUND(T953*100,0)*10000+10000-ROW(),"")</f>
        <v/>
      </c>
    </row>
    <row r="954">
      <c r="A954" s="1" t="n"/>
      <c r="B954" s="17" t="n"/>
      <c r="C954" s="18" t="n"/>
      <c r="D954" s="17" t="n"/>
      <c r="E954" s="19" t="n"/>
      <c r="F954" s="19" t="n"/>
      <c r="G954" s="20" t="n"/>
      <c r="H954" s="21" t="n"/>
      <c r="I954" s="21" t="n"/>
      <c r="J954" s="17" t="n"/>
      <c r="K954" s="19" t="n"/>
      <c r="L954" s="20" t="n"/>
      <c r="M954" s="19" t="n"/>
      <c r="N954" s="22">
        <f>IF(C954="","",IF(ISNUMBER(I954),I954,IF(ISNUMBER(H954),H954,"")))</f>
        <v/>
      </c>
      <c r="O954" s="23">
        <f>IF(OR(C954="",NOT(ISNUMBER(G954))),"",(TODAY()-INT(G954))/365.25)</f>
        <v/>
      </c>
      <c r="P954" s="13">
        <f>IF(OR(C954="",NOT(ISNUMBER(L954))),"",IF(L954&lt;TODAY(),"Ended",IF(L954-TODAY()&lt;=N(Settings!$C$10),"Ends soon","Covered")))</f>
        <v/>
      </c>
      <c r="Q954" s="13">
        <f>IF(C954="","",MID(IF(N954="",", value","")&amp;IF(OR(J954="",J954="No"),", receipt","")&amp;IF(K954="",", photo",""),3,100))</f>
        <v/>
      </c>
      <c r="R954" s="13">
        <f>IF(AND(B954="",C954=""),"",IF(C954="","Needs the item",IF(B954="","Needs a room",IF(COUNTIF(Rooms!$B$6:$B$35,B954)=0,"Not on Rooms",IF(AND(H954&lt;&gt;"",NOT(ISNUMBER(H954))),"Paid not a number",IF(AND(I954&lt;&gt;"",NOT(ISNUMBER(I954))),"Worth not a number",IF(AND(G954&lt;&gt;"",NOT(ISNUMBER(G954))),"Bought is not a date",IF(AND(L954&lt;&gt;"",NOT(ISNUMBER(L954))),"Warranty is not a date",""))))))))</f>
        <v/>
      </c>
      <c r="S954" s="1">
        <f>IF(AND(C954&lt;&gt;"",R954=""),1,0)</f>
        <v/>
      </c>
      <c r="T954">
        <f>IF(S954=1,N(N954),0)</f>
        <v/>
      </c>
      <c r="U954">
        <f>IF(AND(S954=1,T954&gt;0),ROUND(T954*100,0)*10000+10000-ROW(),"")</f>
        <v/>
      </c>
      <c r="V954">
        <f>IF(AND(S954=1,OR(Report!$C$5="",B954=Report!$C$5)),MATCH(B954,Rooms!$B$6:$B$35,0)*10000+ROW(),"")</f>
        <v/>
      </c>
      <c r="W954">
        <f>IF(AND(S954=1,OR(J954="",J954="No")),1,0)</f>
        <v/>
      </c>
      <c r="X954">
        <f>IF(AND(S954=1,K954=""),1,0)</f>
        <v/>
      </c>
      <c r="Y954">
        <f>IF(AND(S954=1,Q954&lt;&gt;""),ROUND(T954*100,0)*10000+10000-ROW(),"")</f>
        <v/>
      </c>
    </row>
    <row r="955">
      <c r="A955" s="1" t="n"/>
      <c r="B955" s="17" t="n"/>
      <c r="C955" s="18" t="n"/>
      <c r="D955" s="17" t="n"/>
      <c r="E955" s="19" t="n"/>
      <c r="F955" s="19" t="n"/>
      <c r="G955" s="20" t="n"/>
      <c r="H955" s="21" t="n"/>
      <c r="I955" s="21" t="n"/>
      <c r="J955" s="17" t="n"/>
      <c r="K955" s="19" t="n"/>
      <c r="L955" s="20" t="n"/>
      <c r="M955" s="19" t="n"/>
      <c r="N955" s="22">
        <f>IF(C955="","",IF(ISNUMBER(I955),I955,IF(ISNUMBER(H955),H955,"")))</f>
        <v/>
      </c>
      <c r="O955" s="23">
        <f>IF(OR(C955="",NOT(ISNUMBER(G955))),"",(TODAY()-INT(G955))/365.25)</f>
        <v/>
      </c>
      <c r="P955" s="13">
        <f>IF(OR(C955="",NOT(ISNUMBER(L955))),"",IF(L955&lt;TODAY(),"Ended",IF(L955-TODAY()&lt;=N(Settings!$C$10),"Ends soon","Covered")))</f>
        <v/>
      </c>
      <c r="Q955" s="13">
        <f>IF(C955="","",MID(IF(N955="",", value","")&amp;IF(OR(J955="",J955="No"),", receipt","")&amp;IF(K955="",", photo",""),3,100))</f>
        <v/>
      </c>
      <c r="R955" s="13">
        <f>IF(AND(B955="",C955=""),"",IF(C955="","Needs the item",IF(B955="","Needs a room",IF(COUNTIF(Rooms!$B$6:$B$35,B955)=0,"Not on Rooms",IF(AND(H955&lt;&gt;"",NOT(ISNUMBER(H955))),"Paid not a number",IF(AND(I955&lt;&gt;"",NOT(ISNUMBER(I955))),"Worth not a number",IF(AND(G955&lt;&gt;"",NOT(ISNUMBER(G955))),"Bought is not a date",IF(AND(L955&lt;&gt;"",NOT(ISNUMBER(L955))),"Warranty is not a date",""))))))))</f>
        <v/>
      </c>
      <c r="S955" s="1">
        <f>IF(AND(C955&lt;&gt;"",R955=""),1,0)</f>
        <v/>
      </c>
      <c r="T955">
        <f>IF(S955=1,N(N955),0)</f>
        <v/>
      </c>
      <c r="U955">
        <f>IF(AND(S955=1,T955&gt;0),ROUND(T955*100,0)*10000+10000-ROW(),"")</f>
        <v/>
      </c>
      <c r="V955">
        <f>IF(AND(S955=1,OR(Report!$C$5="",B955=Report!$C$5)),MATCH(B955,Rooms!$B$6:$B$35,0)*10000+ROW(),"")</f>
        <v/>
      </c>
      <c r="W955">
        <f>IF(AND(S955=1,OR(J955="",J955="No")),1,0)</f>
        <v/>
      </c>
      <c r="X955">
        <f>IF(AND(S955=1,K955=""),1,0)</f>
        <v/>
      </c>
      <c r="Y955">
        <f>IF(AND(S955=1,Q955&lt;&gt;""),ROUND(T955*100,0)*10000+10000-ROW(),"")</f>
        <v/>
      </c>
    </row>
    <row r="956">
      <c r="A956" s="1" t="n"/>
      <c r="B956" s="17" t="n"/>
      <c r="C956" s="18" t="n"/>
      <c r="D956" s="17" t="n"/>
      <c r="E956" s="19" t="n"/>
      <c r="F956" s="19" t="n"/>
      <c r="G956" s="20" t="n"/>
      <c r="H956" s="21" t="n"/>
      <c r="I956" s="21" t="n"/>
      <c r="J956" s="17" t="n"/>
      <c r="K956" s="19" t="n"/>
      <c r="L956" s="20" t="n"/>
      <c r="M956" s="19" t="n"/>
      <c r="N956" s="22">
        <f>IF(C956="","",IF(ISNUMBER(I956),I956,IF(ISNUMBER(H956),H956,"")))</f>
        <v/>
      </c>
      <c r="O956" s="23">
        <f>IF(OR(C956="",NOT(ISNUMBER(G956))),"",(TODAY()-INT(G956))/365.25)</f>
        <v/>
      </c>
      <c r="P956" s="13">
        <f>IF(OR(C956="",NOT(ISNUMBER(L956))),"",IF(L956&lt;TODAY(),"Ended",IF(L956-TODAY()&lt;=N(Settings!$C$10),"Ends soon","Covered")))</f>
        <v/>
      </c>
      <c r="Q956" s="13">
        <f>IF(C956="","",MID(IF(N956="",", value","")&amp;IF(OR(J956="",J956="No"),", receipt","")&amp;IF(K956="",", photo",""),3,100))</f>
        <v/>
      </c>
      <c r="R956" s="13">
        <f>IF(AND(B956="",C956=""),"",IF(C956="","Needs the item",IF(B956="","Needs a room",IF(COUNTIF(Rooms!$B$6:$B$35,B956)=0,"Not on Rooms",IF(AND(H956&lt;&gt;"",NOT(ISNUMBER(H956))),"Paid not a number",IF(AND(I956&lt;&gt;"",NOT(ISNUMBER(I956))),"Worth not a number",IF(AND(G956&lt;&gt;"",NOT(ISNUMBER(G956))),"Bought is not a date",IF(AND(L956&lt;&gt;"",NOT(ISNUMBER(L956))),"Warranty is not a date",""))))))))</f>
        <v/>
      </c>
      <c r="S956" s="1">
        <f>IF(AND(C956&lt;&gt;"",R956=""),1,0)</f>
        <v/>
      </c>
      <c r="T956">
        <f>IF(S956=1,N(N956),0)</f>
        <v/>
      </c>
      <c r="U956">
        <f>IF(AND(S956=1,T956&gt;0),ROUND(T956*100,0)*10000+10000-ROW(),"")</f>
        <v/>
      </c>
      <c r="V956">
        <f>IF(AND(S956=1,OR(Report!$C$5="",B956=Report!$C$5)),MATCH(B956,Rooms!$B$6:$B$35,0)*10000+ROW(),"")</f>
        <v/>
      </c>
      <c r="W956">
        <f>IF(AND(S956=1,OR(J956="",J956="No")),1,0)</f>
        <v/>
      </c>
      <c r="X956">
        <f>IF(AND(S956=1,K956=""),1,0)</f>
        <v/>
      </c>
      <c r="Y956">
        <f>IF(AND(S956=1,Q956&lt;&gt;""),ROUND(T956*100,0)*10000+10000-ROW(),"")</f>
        <v/>
      </c>
    </row>
    <row r="957">
      <c r="A957" s="1" t="n"/>
      <c r="B957" s="17" t="n"/>
      <c r="C957" s="18" t="n"/>
      <c r="D957" s="17" t="n"/>
      <c r="E957" s="19" t="n"/>
      <c r="F957" s="19" t="n"/>
      <c r="G957" s="20" t="n"/>
      <c r="H957" s="21" t="n"/>
      <c r="I957" s="21" t="n"/>
      <c r="J957" s="17" t="n"/>
      <c r="K957" s="19" t="n"/>
      <c r="L957" s="20" t="n"/>
      <c r="M957" s="19" t="n"/>
      <c r="N957" s="22">
        <f>IF(C957="","",IF(ISNUMBER(I957),I957,IF(ISNUMBER(H957),H957,"")))</f>
        <v/>
      </c>
      <c r="O957" s="23">
        <f>IF(OR(C957="",NOT(ISNUMBER(G957))),"",(TODAY()-INT(G957))/365.25)</f>
        <v/>
      </c>
      <c r="P957" s="13">
        <f>IF(OR(C957="",NOT(ISNUMBER(L957))),"",IF(L957&lt;TODAY(),"Ended",IF(L957-TODAY()&lt;=N(Settings!$C$10),"Ends soon","Covered")))</f>
        <v/>
      </c>
      <c r="Q957" s="13">
        <f>IF(C957="","",MID(IF(N957="",", value","")&amp;IF(OR(J957="",J957="No"),", receipt","")&amp;IF(K957="",", photo",""),3,100))</f>
        <v/>
      </c>
      <c r="R957" s="13">
        <f>IF(AND(B957="",C957=""),"",IF(C957="","Needs the item",IF(B957="","Needs a room",IF(COUNTIF(Rooms!$B$6:$B$35,B957)=0,"Not on Rooms",IF(AND(H957&lt;&gt;"",NOT(ISNUMBER(H957))),"Paid not a number",IF(AND(I957&lt;&gt;"",NOT(ISNUMBER(I957))),"Worth not a number",IF(AND(G957&lt;&gt;"",NOT(ISNUMBER(G957))),"Bought is not a date",IF(AND(L957&lt;&gt;"",NOT(ISNUMBER(L957))),"Warranty is not a date",""))))))))</f>
        <v/>
      </c>
      <c r="S957" s="1">
        <f>IF(AND(C957&lt;&gt;"",R957=""),1,0)</f>
        <v/>
      </c>
      <c r="T957">
        <f>IF(S957=1,N(N957),0)</f>
        <v/>
      </c>
      <c r="U957">
        <f>IF(AND(S957=1,T957&gt;0),ROUND(T957*100,0)*10000+10000-ROW(),"")</f>
        <v/>
      </c>
      <c r="V957">
        <f>IF(AND(S957=1,OR(Report!$C$5="",B957=Report!$C$5)),MATCH(B957,Rooms!$B$6:$B$35,0)*10000+ROW(),"")</f>
        <v/>
      </c>
      <c r="W957">
        <f>IF(AND(S957=1,OR(J957="",J957="No")),1,0)</f>
        <v/>
      </c>
      <c r="X957">
        <f>IF(AND(S957=1,K957=""),1,0)</f>
        <v/>
      </c>
      <c r="Y957">
        <f>IF(AND(S957=1,Q957&lt;&gt;""),ROUND(T957*100,0)*10000+10000-ROW(),"")</f>
        <v/>
      </c>
    </row>
    <row r="958">
      <c r="A958" s="1" t="n"/>
      <c r="B958" s="17" t="n"/>
      <c r="C958" s="18" t="n"/>
      <c r="D958" s="17" t="n"/>
      <c r="E958" s="19" t="n"/>
      <c r="F958" s="19" t="n"/>
      <c r="G958" s="20" t="n"/>
      <c r="H958" s="21" t="n"/>
      <c r="I958" s="21" t="n"/>
      <c r="J958" s="17" t="n"/>
      <c r="K958" s="19" t="n"/>
      <c r="L958" s="20" t="n"/>
      <c r="M958" s="19" t="n"/>
      <c r="N958" s="22">
        <f>IF(C958="","",IF(ISNUMBER(I958),I958,IF(ISNUMBER(H958),H958,"")))</f>
        <v/>
      </c>
      <c r="O958" s="23">
        <f>IF(OR(C958="",NOT(ISNUMBER(G958))),"",(TODAY()-INT(G958))/365.25)</f>
        <v/>
      </c>
      <c r="P958" s="13">
        <f>IF(OR(C958="",NOT(ISNUMBER(L958))),"",IF(L958&lt;TODAY(),"Ended",IF(L958-TODAY()&lt;=N(Settings!$C$10),"Ends soon","Covered")))</f>
        <v/>
      </c>
      <c r="Q958" s="13">
        <f>IF(C958="","",MID(IF(N958="",", value","")&amp;IF(OR(J958="",J958="No"),", receipt","")&amp;IF(K958="",", photo",""),3,100))</f>
        <v/>
      </c>
      <c r="R958" s="13">
        <f>IF(AND(B958="",C958=""),"",IF(C958="","Needs the item",IF(B958="","Needs a room",IF(COUNTIF(Rooms!$B$6:$B$35,B958)=0,"Not on Rooms",IF(AND(H958&lt;&gt;"",NOT(ISNUMBER(H958))),"Paid not a number",IF(AND(I958&lt;&gt;"",NOT(ISNUMBER(I958))),"Worth not a number",IF(AND(G958&lt;&gt;"",NOT(ISNUMBER(G958))),"Bought is not a date",IF(AND(L958&lt;&gt;"",NOT(ISNUMBER(L958))),"Warranty is not a date",""))))))))</f>
        <v/>
      </c>
      <c r="S958" s="1">
        <f>IF(AND(C958&lt;&gt;"",R958=""),1,0)</f>
        <v/>
      </c>
      <c r="T958">
        <f>IF(S958=1,N(N958),0)</f>
        <v/>
      </c>
      <c r="U958">
        <f>IF(AND(S958=1,T958&gt;0),ROUND(T958*100,0)*10000+10000-ROW(),"")</f>
        <v/>
      </c>
      <c r="V958">
        <f>IF(AND(S958=1,OR(Report!$C$5="",B958=Report!$C$5)),MATCH(B958,Rooms!$B$6:$B$35,0)*10000+ROW(),"")</f>
        <v/>
      </c>
      <c r="W958">
        <f>IF(AND(S958=1,OR(J958="",J958="No")),1,0)</f>
        <v/>
      </c>
      <c r="X958">
        <f>IF(AND(S958=1,K958=""),1,0)</f>
        <v/>
      </c>
      <c r="Y958">
        <f>IF(AND(S958=1,Q958&lt;&gt;""),ROUND(T958*100,0)*10000+10000-ROW(),"")</f>
        <v/>
      </c>
    </row>
    <row r="959">
      <c r="A959" s="1" t="n"/>
      <c r="B959" s="17" t="n"/>
      <c r="C959" s="18" t="n"/>
      <c r="D959" s="17" t="n"/>
      <c r="E959" s="19" t="n"/>
      <c r="F959" s="19" t="n"/>
      <c r="G959" s="20" t="n"/>
      <c r="H959" s="21" t="n"/>
      <c r="I959" s="21" t="n"/>
      <c r="J959" s="17" t="n"/>
      <c r="K959" s="19" t="n"/>
      <c r="L959" s="20" t="n"/>
      <c r="M959" s="19" t="n"/>
      <c r="N959" s="22">
        <f>IF(C959="","",IF(ISNUMBER(I959),I959,IF(ISNUMBER(H959),H959,"")))</f>
        <v/>
      </c>
      <c r="O959" s="23">
        <f>IF(OR(C959="",NOT(ISNUMBER(G959))),"",(TODAY()-INT(G959))/365.25)</f>
        <v/>
      </c>
      <c r="P959" s="13">
        <f>IF(OR(C959="",NOT(ISNUMBER(L959))),"",IF(L959&lt;TODAY(),"Ended",IF(L959-TODAY()&lt;=N(Settings!$C$10),"Ends soon","Covered")))</f>
        <v/>
      </c>
      <c r="Q959" s="13">
        <f>IF(C959="","",MID(IF(N959="",", value","")&amp;IF(OR(J959="",J959="No"),", receipt","")&amp;IF(K959="",", photo",""),3,100))</f>
        <v/>
      </c>
      <c r="R959" s="13">
        <f>IF(AND(B959="",C959=""),"",IF(C959="","Needs the item",IF(B959="","Needs a room",IF(COUNTIF(Rooms!$B$6:$B$35,B959)=0,"Not on Rooms",IF(AND(H959&lt;&gt;"",NOT(ISNUMBER(H959))),"Paid not a number",IF(AND(I959&lt;&gt;"",NOT(ISNUMBER(I959))),"Worth not a number",IF(AND(G959&lt;&gt;"",NOT(ISNUMBER(G959))),"Bought is not a date",IF(AND(L959&lt;&gt;"",NOT(ISNUMBER(L959))),"Warranty is not a date",""))))))))</f>
        <v/>
      </c>
      <c r="S959" s="1">
        <f>IF(AND(C959&lt;&gt;"",R959=""),1,0)</f>
        <v/>
      </c>
      <c r="T959">
        <f>IF(S959=1,N(N959),0)</f>
        <v/>
      </c>
      <c r="U959">
        <f>IF(AND(S959=1,T959&gt;0),ROUND(T959*100,0)*10000+10000-ROW(),"")</f>
        <v/>
      </c>
      <c r="V959">
        <f>IF(AND(S959=1,OR(Report!$C$5="",B959=Report!$C$5)),MATCH(B959,Rooms!$B$6:$B$35,0)*10000+ROW(),"")</f>
        <v/>
      </c>
      <c r="W959">
        <f>IF(AND(S959=1,OR(J959="",J959="No")),1,0)</f>
        <v/>
      </c>
      <c r="X959">
        <f>IF(AND(S959=1,K959=""),1,0)</f>
        <v/>
      </c>
      <c r="Y959">
        <f>IF(AND(S959=1,Q959&lt;&gt;""),ROUND(T959*100,0)*10000+10000-ROW(),"")</f>
        <v/>
      </c>
    </row>
    <row r="960">
      <c r="A960" s="1" t="n"/>
      <c r="B960" s="17" t="n"/>
      <c r="C960" s="18" t="n"/>
      <c r="D960" s="17" t="n"/>
      <c r="E960" s="19" t="n"/>
      <c r="F960" s="19" t="n"/>
      <c r="G960" s="20" t="n"/>
      <c r="H960" s="21" t="n"/>
      <c r="I960" s="21" t="n"/>
      <c r="J960" s="17" t="n"/>
      <c r="K960" s="19" t="n"/>
      <c r="L960" s="20" t="n"/>
      <c r="M960" s="19" t="n"/>
      <c r="N960" s="22">
        <f>IF(C960="","",IF(ISNUMBER(I960),I960,IF(ISNUMBER(H960),H960,"")))</f>
        <v/>
      </c>
      <c r="O960" s="23">
        <f>IF(OR(C960="",NOT(ISNUMBER(G960))),"",(TODAY()-INT(G960))/365.25)</f>
        <v/>
      </c>
      <c r="P960" s="13">
        <f>IF(OR(C960="",NOT(ISNUMBER(L960))),"",IF(L960&lt;TODAY(),"Ended",IF(L960-TODAY()&lt;=N(Settings!$C$10),"Ends soon","Covered")))</f>
        <v/>
      </c>
      <c r="Q960" s="13">
        <f>IF(C960="","",MID(IF(N960="",", value","")&amp;IF(OR(J960="",J960="No"),", receipt","")&amp;IF(K960="",", photo",""),3,100))</f>
        <v/>
      </c>
      <c r="R960" s="13">
        <f>IF(AND(B960="",C960=""),"",IF(C960="","Needs the item",IF(B960="","Needs a room",IF(COUNTIF(Rooms!$B$6:$B$35,B960)=0,"Not on Rooms",IF(AND(H960&lt;&gt;"",NOT(ISNUMBER(H960))),"Paid not a number",IF(AND(I960&lt;&gt;"",NOT(ISNUMBER(I960))),"Worth not a number",IF(AND(G960&lt;&gt;"",NOT(ISNUMBER(G960))),"Bought is not a date",IF(AND(L960&lt;&gt;"",NOT(ISNUMBER(L960))),"Warranty is not a date",""))))))))</f>
        <v/>
      </c>
      <c r="S960" s="1">
        <f>IF(AND(C960&lt;&gt;"",R960=""),1,0)</f>
        <v/>
      </c>
      <c r="T960">
        <f>IF(S960=1,N(N960),0)</f>
        <v/>
      </c>
      <c r="U960">
        <f>IF(AND(S960=1,T960&gt;0),ROUND(T960*100,0)*10000+10000-ROW(),"")</f>
        <v/>
      </c>
      <c r="V960">
        <f>IF(AND(S960=1,OR(Report!$C$5="",B960=Report!$C$5)),MATCH(B960,Rooms!$B$6:$B$35,0)*10000+ROW(),"")</f>
        <v/>
      </c>
      <c r="W960">
        <f>IF(AND(S960=1,OR(J960="",J960="No")),1,0)</f>
        <v/>
      </c>
      <c r="X960">
        <f>IF(AND(S960=1,K960=""),1,0)</f>
        <v/>
      </c>
      <c r="Y960">
        <f>IF(AND(S960=1,Q960&lt;&gt;""),ROUND(T960*100,0)*10000+10000-ROW(),"")</f>
        <v/>
      </c>
    </row>
    <row r="961">
      <c r="A961" s="1" t="n"/>
      <c r="B961" s="17" t="n"/>
      <c r="C961" s="18" t="n"/>
      <c r="D961" s="17" t="n"/>
      <c r="E961" s="19" t="n"/>
      <c r="F961" s="19" t="n"/>
      <c r="G961" s="20" t="n"/>
      <c r="H961" s="21" t="n"/>
      <c r="I961" s="21" t="n"/>
      <c r="J961" s="17" t="n"/>
      <c r="K961" s="19" t="n"/>
      <c r="L961" s="20" t="n"/>
      <c r="M961" s="19" t="n"/>
      <c r="N961" s="22">
        <f>IF(C961="","",IF(ISNUMBER(I961),I961,IF(ISNUMBER(H961),H961,"")))</f>
        <v/>
      </c>
      <c r="O961" s="23">
        <f>IF(OR(C961="",NOT(ISNUMBER(G961))),"",(TODAY()-INT(G961))/365.25)</f>
        <v/>
      </c>
      <c r="P961" s="13">
        <f>IF(OR(C961="",NOT(ISNUMBER(L961))),"",IF(L961&lt;TODAY(),"Ended",IF(L961-TODAY()&lt;=N(Settings!$C$10),"Ends soon","Covered")))</f>
        <v/>
      </c>
      <c r="Q961" s="13">
        <f>IF(C961="","",MID(IF(N961="",", value","")&amp;IF(OR(J961="",J961="No"),", receipt","")&amp;IF(K961="",", photo",""),3,100))</f>
        <v/>
      </c>
      <c r="R961" s="13">
        <f>IF(AND(B961="",C961=""),"",IF(C961="","Needs the item",IF(B961="","Needs a room",IF(COUNTIF(Rooms!$B$6:$B$35,B961)=0,"Not on Rooms",IF(AND(H961&lt;&gt;"",NOT(ISNUMBER(H961))),"Paid not a number",IF(AND(I961&lt;&gt;"",NOT(ISNUMBER(I961))),"Worth not a number",IF(AND(G961&lt;&gt;"",NOT(ISNUMBER(G961))),"Bought is not a date",IF(AND(L961&lt;&gt;"",NOT(ISNUMBER(L961))),"Warranty is not a date",""))))))))</f>
        <v/>
      </c>
      <c r="S961" s="1">
        <f>IF(AND(C961&lt;&gt;"",R961=""),1,0)</f>
        <v/>
      </c>
      <c r="T961">
        <f>IF(S961=1,N(N961),0)</f>
        <v/>
      </c>
      <c r="U961">
        <f>IF(AND(S961=1,T961&gt;0),ROUND(T961*100,0)*10000+10000-ROW(),"")</f>
        <v/>
      </c>
      <c r="V961">
        <f>IF(AND(S961=1,OR(Report!$C$5="",B961=Report!$C$5)),MATCH(B961,Rooms!$B$6:$B$35,0)*10000+ROW(),"")</f>
        <v/>
      </c>
      <c r="W961">
        <f>IF(AND(S961=1,OR(J961="",J961="No")),1,0)</f>
        <v/>
      </c>
      <c r="X961">
        <f>IF(AND(S961=1,K961=""),1,0)</f>
        <v/>
      </c>
      <c r="Y961">
        <f>IF(AND(S961=1,Q961&lt;&gt;""),ROUND(T961*100,0)*10000+10000-ROW(),"")</f>
        <v/>
      </c>
    </row>
    <row r="962">
      <c r="A962" s="1" t="n"/>
      <c r="B962" s="17" t="n"/>
      <c r="C962" s="18" t="n"/>
      <c r="D962" s="17" t="n"/>
      <c r="E962" s="19" t="n"/>
      <c r="F962" s="19" t="n"/>
      <c r="G962" s="20" t="n"/>
      <c r="H962" s="21" t="n"/>
      <c r="I962" s="21" t="n"/>
      <c r="J962" s="17" t="n"/>
      <c r="K962" s="19" t="n"/>
      <c r="L962" s="20" t="n"/>
      <c r="M962" s="19" t="n"/>
      <c r="N962" s="22">
        <f>IF(C962="","",IF(ISNUMBER(I962),I962,IF(ISNUMBER(H962),H962,"")))</f>
        <v/>
      </c>
      <c r="O962" s="23">
        <f>IF(OR(C962="",NOT(ISNUMBER(G962))),"",(TODAY()-INT(G962))/365.25)</f>
        <v/>
      </c>
      <c r="P962" s="13">
        <f>IF(OR(C962="",NOT(ISNUMBER(L962))),"",IF(L962&lt;TODAY(),"Ended",IF(L962-TODAY()&lt;=N(Settings!$C$10),"Ends soon","Covered")))</f>
        <v/>
      </c>
      <c r="Q962" s="13">
        <f>IF(C962="","",MID(IF(N962="",", value","")&amp;IF(OR(J962="",J962="No"),", receipt","")&amp;IF(K962="",", photo",""),3,100))</f>
        <v/>
      </c>
      <c r="R962" s="13">
        <f>IF(AND(B962="",C962=""),"",IF(C962="","Needs the item",IF(B962="","Needs a room",IF(COUNTIF(Rooms!$B$6:$B$35,B962)=0,"Not on Rooms",IF(AND(H962&lt;&gt;"",NOT(ISNUMBER(H962))),"Paid not a number",IF(AND(I962&lt;&gt;"",NOT(ISNUMBER(I962))),"Worth not a number",IF(AND(G962&lt;&gt;"",NOT(ISNUMBER(G962))),"Bought is not a date",IF(AND(L962&lt;&gt;"",NOT(ISNUMBER(L962))),"Warranty is not a date",""))))))))</f>
        <v/>
      </c>
      <c r="S962" s="1">
        <f>IF(AND(C962&lt;&gt;"",R962=""),1,0)</f>
        <v/>
      </c>
      <c r="T962">
        <f>IF(S962=1,N(N962),0)</f>
        <v/>
      </c>
      <c r="U962">
        <f>IF(AND(S962=1,T962&gt;0),ROUND(T962*100,0)*10000+10000-ROW(),"")</f>
        <v/>
      </c>
      <c r="V962">
        <f>IF(AND(S962=1,OR(Report!$C$5="",B962=Report!$C$5)),MATCH(B962,Rooms!$B$6:$B$35,0)*10000+ROW(),"")</f>
        <v/>
      </c>
      <c r="W962">
        <f>IF(AND(S962=1,OR(J962="",J962="No")),1,0)</f>
        <v/>
      </c>
      <c r="X962">
        <f>IF(AND(S962=1,K962=""),1,0)</f>
        <v/>
      </c>
      <c r="Y962">
        <f>IF(AND(S962=1,Q962&lt;&gt;""),ROUND(T962*100,0)*10000+10000-ROW(),"")</f>
        <v/>
      </c>
    </row>
    <row r="963">
      <c r="A963" s="1" t="n"/>
      <c r="B963" s="17" t="n"/>
      <c r="C963" s="18" t="n"/>
      <c r="D963" s="17" t="n"/>
      <c r="E963" s="19" t="n"/>
      <c r="F963" s="19" t="n"/>
      <c r="G963" s="20" t="n"/>
      <c r="H963" s="21" t="n"/>
      <c r="I963" s="21" t="n"/>
      <c r="J963" s="17" t="n"/>
      <c r="K963" s="19" t="n"/>
      <c r="L963" s="20" t="n"/>
      <c r="M963" s="19" t="n"/>
      <c r="N963" s="22">
        <f>IF(C963="","",IF(ISNUMBER(I963),I963,IF(ISNUMBER(H963),H963,"")))</f>
        <v/>
      </c>
      <c r="O963" s="23">
        <f>IF(OR(C963="",NOT(ISNUMBER(G963))),"",(TODAY()-INT(G963))/365.25)</f>
        <v/>
      </c>
      <c r="P963" s="13">
        <f>IF(OR(C963="",NOT(ISNUMBER(L963))),"",IF(L963&lt;TODAY(),"Ended",IF(L963-TODAY()&lt;=N(Settings!$C$10),"Ends soon","Covered")))</f>
        <v/>
      </c>
      <c r="Q963" s="13">
        <f>IF(C963="","",MID(IF(N963="",", value","")&amp;IF(OR(J963="",J963="No"),", receipt","")&amp;IF(K963="",", photo",""),3,100))</f>
        <v/>
      </c>
      <c r="R963" s="13">
        <f>IF(AND(B963="",C963=""),"",IF(C963="","Needs the item",IF(B963="","Needs a room",IF(COUNTIF(Rooms!$B$6:$B$35,B963)=0,"Not on Rooms",IF(AND(H963&lt;&gt;"",NOT(ISNUMBER(H963))),"Paid not a number",IF(AND(I963&lt;&gt;"",NOT(ISNUMBER(I963))),"Worth not a number",IF(AND(G963&lt;&gt;"",NOT(ISNUMBER(G963))),"Bought is not a date",IF(AND(L963&lt;&gt;"",NOT(ISNUMBER(L963))),"Warranty is not a date",""))))))))</f>
        <v/>
      </c>
      <c r="S963" s="1">
        <f>IF(AND(C963&lt;&gt;"",R963=""),1,0)</f>
        <v/>
      </c>
      <c r="T963">
        <f>IF(S963=1,N(N963),0)</f>
        <v/>
      </c>
      <c r="U963">
        <f>IF(AND(S963=1,T963&gt;0),ROUND(T963*100,0)*10000+10000-ROW(),"")</f>
        <v/>
      </c>
      <c r="V963">
        <f>IF(AND(S963=1,OR(Report!$C$5="",B963=Report!$C$5)),MATCH(B963,Rooms!$B$6:$B$35,0)*10000+ROW(),"")</f>
        <v/>
      </c>
      <c r="W963">
        <f>IF(AND(S963=1,OR(J963="",J963="No")),1,0)</f>
        <v/>
      </c>
      <c r="X963">
        <f>IF(AND(S963=1,K963=""),1,0)</f>
        <v/>
      </c>
      <c r="Y963">
        <f>IF(AND(S963=1,Q963&lt;&gt;""),ROUND(T963*100,0)*10000+10000-ROW(),"")</f>
        <v/>
      </c>
    </row>
    <row r="964">
      <c r="A964" s="1" t="n"/>
      <c r="B964" s="17" t="n"/>
      <c r="C964" s="18" t="n"/>
      <c r="D964" s="17" t="n"/>
      <c r="E964" s="19" t="n"/>
      <c r="F964" s="19" t="n"/>
      <c r="G964" s="20" t="n"/>
      <c r="H964" s="21" t="n"/>
      <c r="I964" s="21" t="n"/>
      <c r="J964" s="17" t="n"/>
      <c r="K964" s="19" t="n"/>
      <c r="L964" s="20" t="n"/>
      <c r="M964" s="19" t="n"/>
      <c r="N964" s="22">
        <f>IF(C964="","",IF(ISNUMBER(I964),I964,IF(ISNUMBER(H964),H964,"")))</f>
        <v/>
      </c>
      <c r="O964" s="23">
        <f>IF(OR(C964="",NOT(ISNUMBER(G964))),"",(TODAY()-INT(G964))/365.25)</f>
        <v/>
      </c>
      <c r="P964" s="13">
        <f>IF(OR(C964="",NOT(ISNUMBER(L964))),"",IF(L964&lt;TODAY(),"Ended",IF(L964-TODAY()&lt;=N(Settings!$C$10),"Ends soon","Covered")))</f>
        <v/>
      </c>
      <c r="Q964" s="13">
        <f>IF(C964="","",MID(IF(N964="",", value","")&amp;IF(OR(J964="",J964="No"),", receipt","")&amp;IF(K964="",", photo",""),3,100))</f>
        <v/>
      </c>
      <c r="R964" s="13">
        <f>IF(AND(B964="",C964=""),"",IF(C964="","Needs the item",IF(B964="","Needs a room",IF(COUNTIF(Rooms!$B$6:$B$35,B964)=0,"Not on Rooms",IF(AND(H964&lt;&gt;"",NOT(ISNUMBER(H964))),"Paid not a number",IF(AND(I964&lt;&gt;"",NOT(ISNUMBER(I964))),"Worth not a number",IF(AND(G964&lt;&gt;"",NOT(ISNUMBER(G964))),"Bought is not a date",IF(AND(L964&lt;&gt;"",NOT(ISNUMBER(L964))),"Warranty is not a date",""))))))))</f>
        <v/>
      </c>
      <c r="S964" s="1">
        <f>IF(AND(C964&lt;&gt;"",R964=""),1,0)</f>
        <v/>
      </c>
      <c r="T964">
        <f>IF(S964=1,N(N964),0)</f>
        <v/>
      </c>
      <c r="U964">
        <f>IF(AND(S964=1,T964&gt;0),ROUND(T964*100,0)*10000+10000-ROW(),"")</f>
        <v/>
      </c>
      <c r="V964">
        <f>IF(AND(S964=1,OR(Report!$C$5="",B964=Report!$C$5)),MATCH(B964,Rooms!$B$6:$B$35,0)*10000+ROW(),"")</f>
        <v/>
      </c>
      <c r="W964">
        <f>IF(AND(S964=1,OR(J964="",J964="No")),1,0)</f>
        <v/>
      </c>
      <c r="X964">
        <f>IF(AND(S964=1,K964=""),1,0)</f>
        <v/>
      </c>
      <c r="Y964">
        <f>IF(AND(S964=1,Q964&lt;&gt;""),ROUND(T964*100,0)*10000+10000-ROW(),"")</f>
        <v/>
      </c>
    </row>
    <row r="965">
      <c r="A965" s="1" t="n"/>
      <c r="B965" s="17" t="n"/>
      <c r="C965" s="18" t="n"/>
      <c r="D965" s="17" t="n"/>
      <c r="E965" s="19" t="n"/>
      <c r="F965" s="19" t="n"/>
      <c r="G965" s="20" t="n"/>
      <c r="H965" s="21" t="n"/>
      <c r="I965" s="21" t="n"/>
      <c r="J965" s="17" t="n"/>
      <c r="K965" s="19" t="n"/>
      <c r="L965" s="20" t="n"/>
      <c r="M965" s="19" t="n"/>
      <c r="N965" s="22">
        <f>IF(C965="","",IF(ISNUMBER(I965),I965,IF(ISNUMBER(H965),H965,"")))</f>
        <v/>
      </c>
      <c r="O965" s="23">
        <f>IF(OR(C965="",NOT(ISNUMBER(G965))),"",(TODAY()-INT(G965))/365.25)</f>
        <v/>
      </c>
      <c r="P965" s="13">
        <f>IF(OR(C965="",NOT(ISNUMBER(L965))),"",IF(L965&lt;TODAY(),"Ended",IF(L965-TODAY()&lt;=N(Settings!$C$10),"Ends soon","Covered")))</f>
        <v/>
      </c>
      <c r="Q965" s="13">
        <f>IF(C965="","",MID(IF(N965="",", value","")&amp;IF(OR(J965="",J965="No"),", receipt","")&amp;IF(K965="",", photo",""),3,100))</f>
        <v/>
      </c>
      <c r="R965" s="13">
        <f>IF(AND(B965="",C965=""),"",IF(C965="","Needs the item",IF(B965="","Needs a room",IF(COUNTIF(Rooms!$B$6:$B$35,B965)=0,"Not on Rooms",IF(AND(H965&lt;&gt;"",NOT(ISNUMBER(H965))),"Paid not a number",IF(AND(I965&lt;&gt;"",NOT(ISNUMBER(I965))),"Worth not a number",IF(AND(G965&lt;&gt;"",NOT(ISNUMBER(G965))),"Bought is not a date",IF(AND(L965&lt;&gt;"",NOT(ISNUMBER(L965))),"Warranty is not a date",""))))))))</f>
        <v/>
      </c>
      <c r="S965" s="1">
        <f>IF(AND(C965&lt;&gt;"",R965=""),1,0)</f>
        <v/>
      </c>
      <c r="T965">
        <f>IF(S965=1,N(N965),0)</f>
        <v/>
      </c>
      <c r="U965">
        <f>IF(AND(S965=1,T965&gt;0),ROUND(T965*100,0)*10000+10000-ROW(),"")</f>
        <v/>
      </c>
      <c r="V965">
        <f>IF(AND(S965=1,OR(Report!$C$5="",B965=Report!$C$5)),MATCH(B965,Rooms!$B$6:$B$35,0)*10000+ROW(),"")</f>
        <v/>
      </c>
      <c r="W965">
        <f>IF(AND(S965=1,OR(J965="",J965="No")),1,0)</f>
        <v/>
      </c>
      <c r="X965">
        <f>IF(AND(S965=1,K965=""),1,0)</f>
        <v/>
      </c>
      <c r="Y965">
        <f>IF(AND(S965=1,Q965&lt;&gt;""),ROUND(T965*100,0)*10000+10000-ROW(),"")</f>
        <v/>
      </c>
    </row>
    <row r="966">
      <c r="A966" s="1" t="n"/>
      <c r="B966" s="17" t="n"/>
      <c r="C966" s="18" t="n"/>
      <c r="D966" s="17" t="n"/>
      <c r="E966" s="19" t="n"/>
      <c r="F966" s="19" t="n"/>
      <c r="G966" s="20" t="n"/>
      <c r="H966" s="21" t="n"/>
      <c r="I966" s="21" t="n"/>
      <c r="J966" s="17" t="n"/>
      <c r="K966" s="19" t="n"/>
      <c r="L966" s="20" t="n"/>
      <c r="M966" s="19" t="n"/>
      <c r="N966" s="22">
        <f>IF(C966="","",IF(ISNUMBER(I966),I966,IF(ISNUMBER(H966),H966,"")))</f>
        <v/>
      </c>
      <c r="O966" s="23">
        <f>IF(OR(C966="",NOT(ISNUMBER(G966))),"",(TODAY()-INT(G966))/365.25)</f>
        <v/>
      </c>
      <c r="P966" s="13">
        <f>IF(OR(C966="",NOT(ISNUMBER(L966))),"",IF(L966&lt;TODAY(),"Ended",IF(L966-TODAY()&lt;=N(Settings!$C$10),"Ends soon","Covered")))</f>
        <v/>
      </c>
      <c r="Q966" s="13">
        <f>IF(C966="","",MID(IF(N966="",", value","")&amp;IF(OR(J966="",J966="No"),", receipt","")&amp;IF(K966="",", photo",""),3,100))</f>
        <v/>
      </c>
      <c r="R966" s="13">
        <f>IF(AND(B966="",C966=""),"",IF(C966="","Needs the item",IF(B966="","Needs a room",IF(COUNTIF(Rooms!$B$6:$B$35,B966)=0,"Not on Rooms",IF(AND(H966&lt;&gt;"",NOT(ISNUMBER(H966))),"Paid not a number",IF(AND(I966&lt;&gt;"",NOT(ISNUMBER(I966))),"Worth not a number",IF(AND(G966&lt;&gt;"",NOT(ISNUMBER(G966))),"Bought is not a date",IF(AND(L966&lt;&gt;"",NOT(ISNUMBER(L966))),"Warranty is not a date",""))))))))</f>
        <v/>
      </c>
      <c r="S966" s="1">
        <f>IF(AND(C966&lt;&gt;"",R966=""),1,0)</f>
        <v/>
      </c>
      <c r="T966">
        <f>IF(S966=1,N(N966),0)</f>
        <v/>
      </c>
      <c r="U966">
        <f>IF(AND(S966=1,T966&gt;0),ROUND(T966*100,0)*10000+10000-ROW(),"")</f>
        <v/>
      </c>
      <c r="V966">
        <f>IF(AND(S966=1,OR(Report!$C$5="",B966=Report!$C$5)),MATCH(B966,Rooms!$B$6:$B$35,0)*10000+ROW(),"")</f>
        <v/>
      </c>
      <c r="W966">
        <f>IF(AND(S966=1,OR(J966="",J966="No")),1,0)</f>
        <v/>
      </c>
      <c r="X966">
        <f>IF(AND(S966=1,K966=""),1,0)</f>
        <v/>
      </c>
      <c r="Y966">
        <f>IF(AND(S966=1,Q966&lt;&gt;""),ROUND(T966*100,0)*10000+10000-ROW(),"")</f>
        <v/>
      </c>
    </row>
    <row r="967">
      <c r="A967" s="1" t="n"/>
      <c r="B967" s="17" t="n"/>
      <c r="C967" s="18" t="n"/>
      <c r="D967" s="17" t="n"/>
      <c r="E967" s="19" t="n"/>
      <c r="F967" s="19" t="n"/>
      <c r="G967" s="20" t="n"/>
      <c r="H967" s="21" t="n"/>
      <c r="I967" s="21" t="n"/>
      <c r="J967" s="17" t="n"/>
      <c r="K967" s="19" t="n"/>
      <c r="L967" s="20" t="n"/>
      <c r="M967" s="19" t="n"/>
      <c r="N967" s="22">
        <f>IF(C967="","",IF(ISNUMBER(I967),I967,IF(ISNUMBER(H967),H967,"")))</f>
        <v/>
      </c>
      <c r="O967" s="23">
        <f>IF(OR(C967="",NOT(ISNUMBER(G967))),"",(TODAY()-INT(G967))/365.25)</f>
        <v/>
      </c>
      <c r="P967" s="13">
        <f>IF(OR(C967="",NOT(ISNUMBER(L967))),"",IF(L967&lt;TODAY(),"Ended",IF(L967-TODAY()&lt;=N(Settings!$C$10),"Ends soon","Covered")))</f>
        <v/>
      </c>
      <c r="Q967" s="13">
        <f>IF(C967="","",MID(IF(N967="",", value","")&amp;IF(OR(J967="",J967="No"),", receipt","")&amp;IF(K967="",", photo",""),3,100))</f>
        <v/>
      </c>
      <c r="R967" s="13">
        <f>IF(AND(B967="",C967=""),"",IF(C967="","Needs the item",IF(B967="","Needs a room",IF(COUNTIF(Rooms!$B$6:$B$35,B967)=0,"Not on Rooms",IF(AND(H967&lt;&gt;"",NOT(ISNUMBER(H967))),"Paid not a number",IF(AND(I967&lt;&gt;"",NOT(ISNUMBER(I967))),"Worth not a number",IF(AND(G967&lt;&gt;"",NOT(ISNUMBER(G967))),"Bought is not a date",IF(AND(L967&lt;&gt;"",NOT(ISNUMBER(L967))),"Warranty is not a date",""))))))))</f>
        <v/>
      </c>
      <c r="S967" s="1">
        <f>IF(AND(C967&lt;&gt;"",R967=""),1,0)</f>
        <v/>
      </c>
      <c r="T967">
        <f>IF(S967=1,N(N967),0)</f>
        <v/>
      </c>
      <c r="U967">
        <f>IF(AND(S967=1,T967&gt;0),ROUND(T967*100,0)*10000+10000-ROW(),"")</f>
        <v/>
      </c>
      <c r="V967">
        <f>IF(AND(S967=1,OR(Report!$C$5="",B967=Report!$C$5)),MATCH(B967,Rooms!$B$6:$B$35,0)*10000+ROW(),"")</f>
        <v/>
      </c>
      <c r="W967">
        <f>IF(AND(S967=1,OR(J967="",J967="No")),1,0)</f>
        <v/>
      </c>
      <c r="X967">
        <f>IF(AND(S967=1,K967=""),1,0)</f>
        <v/>
      </c>
      <c r="Y967">
        <f>IF(AND(S967=1,Q967&lt;&gt;""),ROUND(T967*100,0)*10000+10000-ROW(),"")</f>
        <v/>
      </c>
    </row>
    <row r="968">
      <c r="A968" s="1" t="n"/>
      <c r="B968" s="17" t="n"/>
      <c r="C968" s="18" t="n"/>
      <c r="D968" s="17" t="n"/>
      <c r="E968" s="19" t="n"/>
      <c r="F968" s="19" t="n"/>
      <c r="G968" s="20" t="n"/>
      <c r="H968" s="21" t="n"/>
      <c r="I968" s="21" t="n"/>
      <c r="J968" s="17" t="n"/>
      <c r="K968" s="19" t="n"/>
      <c r="L968" s="20" t="n"/>
      <c r="M968" s="19" t="n"/>
      <c r="N968" s="22">
        <f>IF(C968="","",IF(ISNUMBER(I968),I968,IF(ISNUMBER(H968),H968,"")))</f>
        <v/>
      </c>
      <c r="O968" s="23">
        <f>IF(OR(C968="",NOT(ISNUMBER(G968))),"",(TODAY()-INT(G968))/365.25)</f>
        <v/>
      </c>
      <c r="P968" s="13">
        <f>IF(OR(C968="",NOT(ISNUMBER(L968))),"",IF(L968&lt;TODAY(),"Ended",IF(L968-TODAY()&lt;=N(Settings!$C$10),"Ends soon","Covered")))</f>
        <v/>
      </c>
      <c r="Q968" s="13">
        <f>IF(C968="","",MID(IF(N968="",", value","")&amp;IF(OR(J968="",J968="No"),", receipt","")&amp;IF(K968="",", photo",""),3,100))</f>
        <v/>
      </c>
      <c r="R968" s="13">
        <f>IF(AND(B968="",C968=""),"",IF(C968="","Needs the item",IF(B968="","Needs a room",IF(COUNTIF(Rooms!$B$6:$B$35,B968)=0,"Not on Rooms",IF(AND(H968&lt;&gt;"",NOT(ISNUMBER(H968))),"Paid not a number",IF(AND(I968&lt;&gt;"",NOT(ISNUMBER(I968))),"Worth not a number",IF(AND(G968&lt;&gt;"",NOT(ISNUMBER(G968))),"Bought is not a date",IF(AND(L968&lt;&gt;"",NOT(ISNUMBER(L968))),"Warranty is not a date",""))))))))</f>
        <v/>
      </c>
      <c r="S968" s="1">
        <f>IF(AND(C968&lt;&gt;"",R968=""),1,0)</f>
        <v/>
      </c>
      <c r="T968">
        <f>IF(S968=1,N(N968),0)</f>
        <v/>
      </c>
      <c r="U968">
        <f>IF(AND(S968=1,T968&gt;0),ROUND(T968*100,0)*10000+10000-ROW(),"")</f>
        <v/>
      </c>
      <c r="V968">
        <f>IF(AND(S968=1,OR(Report!$C$5="",B968=Report!$C$5)),MATCH(B968,Rooms!$B$6:$B$35,0)*10000+ROW(),"")</f>
        <v/>
      </c>
      <c r="W968">
        <f>IF(AND(S968=1,OR(J968="",J968="No")),1,0)</f>
        <v/>
      </c>
      <c r="X968">
        <f>IF(AND(S968=1,K968=""),1,0)</f>
        <v/>
      </c>
      <c r="Y968">
        <f>IF(AND(S968=1,Q968&lt;&gt;""),ROUND(T968*100,0)*10000+10000-ROW(),"")</f>
        <v/>
      </c>
    </row>
    <row r="969">
      <c r="A969" s="1" t="n"/>
      <c r="B969" s="17" t="n"/>
      <c r="C969" s="18" t="n"/>
      <c r="D969" s="17" t="n"/>
      <c r="E969" s="19" t="n"/>
      <c r="F969" s="19" t="n"/>
      <c r="G969" s="20" t="n"/>
      <c r="H969" s="21" t="n"/>
      <c r="I969" s="21" t="n"/>
      <c r="J969" s="17" t="n"/>
      <c r="K969" s="19" t="n"/>
      <c r="L969" s="20" t="n"/>
      <c r="M969" s="19" t="n"/>
      <c r="N969" s="22">
        <f>IF(C969="","",IF(ISNUMBER(I969),I969,IF(ISNUMBER(H969),H969,"")))</f>
        <v/>
      </c>
      <c r="O969" s="23">
        <f>IF(OR(C969="",NOT(ISNUMBER(G969))),"",(TODAY()-INT(G969))/365.25)</f>
        <v/>
      </c>
      <c r="P969" s="13">
        <f>IF(OR(C969="",NOT(ISNUMBER(L969))),"",IF(L969&lt;TODAY(),"Ended",IF(L969-TODAY()&lt;=N(Settings!$C$10),"Ends soon","Covered")))</f>
        <v/>
      </c>
      <c r="Q969" s="13">
        <f>IF(C969="","",MID(IF(N969="",", value","")&amp;IF(OR(J969="",J969="No"),", receipt","")&amp;IF(K969="",", photo",""),3,100))</f>
        <v/>
      </c>
      <c r="R969" s="13">
        <f>IF(AND(B969="",C969=""),"",IF(C969="","Needs the item",IF(B969="","Needs a room",IF(COUNTIF(Rooms!$B$6:$B$35,B969)=0,"Not on Rooms",IF(AND(H969&lt;&gt;"",NOT(ISNUMBER(H969))),"Paid not a number",IF(AND(I969&lt;&gt;"",NOT(ISNUMBER(I969))),"Worth not a number",IF(AND(G969&lt;&gt;"",NOT(ISNUMBER(G969))),"Bought is not a date",IF(AND(L969&lt;&gt;"",NOT(ISNUMBER(L969))),"Warranty is not a date",""))))))))</f>
        <v/>
      </c>
      <c r="S969" s="1">
        <f>IF(AND(C969&lt;&gt;"",R969=""),1,0)</f>
        <v/>
      </c>
      <c r="T969">
        <f>IF(S969=1,N(N969),0)</f>
        <v/>
      </c>
      <c r="U969">
        <f>IF(AND(S969=1,T969&gt;0),ROUND(T969*100,0)*10000+10000-ROW(),"")</f>
        <v/>
      </c>
      <c r="V969">
        <f>IF(AND(S969=1,OR(Report!$C$5="",B969=Report!$C$5)),MATCH(B969,Rooms!$B$6:$B$35,0)*10000+ROW(),"")</f>
        <v/>
      </c>
      <c r="W969">
        <f>IF(AND(S969=1,OR(J969="",J969="No")),1,0)</f>
        <v/>
      </c>
      <c r="X969">
        <f>IF(AND(S969=1,K969=""),1,0)</f>
        <v/>
      </c>
      <c r="Y969">
        <f>IF(AND(S969=1,Q969&lt;&gt;""),ROUND(T969*100,0)*10000+10000-ROW(),"")</f>
        <v/>
      </c>
    </row>
    <row r="970">
      <c r="A970" s="1" t="n"/>
      <c r="B970" s="17" t="n"/>
      <c r="C970" s="18" t="n"/>
      <c r="D970" s="17" t="n"/>
      <c r="E970" s="19" t="n"/>
      <c r="F970" s="19" t="n"/>
      <c r="G970" s="20" t="n"/>
      <c r="H970" s="21" t="n"/>
      <c r="I970" s="21" t="n"/>
      <c r="J970" s="17" t="n"/>
      <c r="K970" s="19" t="n"/>
      <c r="L970" s="20" t="n"/>
      <c r="M970" s="19" t="n"/>
      <c r="N970" s="22">
        <f>IF(C970="","",IF(ISNUMBER(I970),I970,IF(ISNUMBER(H970),H970,"")))</f>
        <v/>
      </c>
      <c r="O970" s="23">
        <f>IF(OR(C970="",NOT(ISNUMBER(G970))),"",(TODAY()-INT(G970))/365.25)</f>
        <v/>
      </c>
      <c r="P970" s="13">
        <f>IF(OR(C970="",NOT(ISNUMBER(L970))),"",IF(L970&lt;TODAY(),"Ended",IF(L970-TODAY()&lt;=N(Settings!$C$10),"Ends soon","Covered")))</f>
        <v/>
      </c>
      <c r="Q970" s="13">
        <f>IF(C970="","",MID(IF(N970="",", value","")&amp;IF(OR(J970="",J970="No"),", receipt","")&amp;IF(K970="",", photo",""),3,100))</f>
        <v/>
      </c>
      <c r="R970" s="13">
        <f>IF(AND(B970="",C970=""),"",IF(C970="","Needs the item",IF(B970="","Needs a room",IF(COUNTIF(Rooms!$B$6:$B$35,B970)=0,"Not on Rooms",IF(AND(H970&lt;&gt;"",NOT(ISNUMBER(H970))),"Paid not a number",IF(AND(I970&lt;&gt;"",NOT(ISNUMBER(I970))),"Worth not a number",IF(AND(G970&lt;&gt;"",NOT(ISNUMBER(G970))),"Bought is not a date",IF(AND(L970&lt;&gt;"",NOT(ISNUMBER(L970))),"Warranty is not a date",""))))))))</f>
        <v/>
      </c>
      <c r="S970" s="1">
        <f>IF(AND(C970&lt;&gt;"",R970=""),1,0)</f>
        <v/>
      </c>
      <c r="T970">
        <f>IF(S970=1,N(N970),0)</f>
        <v/>
      </c>
      <c r="U970">
        <f>IF(AND(S970=1,T970&gt;0),ROUND(T970*100,0)*10000+10000-ROW(),"")</f>
        <v/>
      </c>
      <c r="V970">
        <f>IF(AND(S970=1,OR(Report!$C$5="",B970=Report!$C$5)),MATCH(B970,Rooms!$B$6:$B$35,0)*10000+ROW(),"")</f>
        <v/>
      </c>
      <c r="W970">
        <f>IF(AND(S970=1,OR(J970="",J970="No")),1,0)</f>
        <v/>
      </c>
      <c r="X970">
        <f>IF(AND(S970=1,K970=""),1,0)</f>
        <v/>
      </c>
      <c r="Y970">
        <f>IF(AND(S970=1,Q970&lt;&gt;""),ROUND(T970*100,0)*10000+10000-ROW(),"")</f>
        <v/>
      </c>
    </row>
    <row r="971">
      <c r="A971" s="1" t="n"/>
      <c r="B971" s="17" t="n"/>
      <c r="C971" s="18" t="n"/>
      <c r="D971" s="17" t="n"/>
      <c r="E971" s="19" t="n"/>
      <c r="F971" s="19" t="n"/>
      <c r="G971" s="20" t="n"/>
      <c r="H971" s="21" t="n"/>
      <c r="I971" s="21" t="n"/>
      <c r="J971" s="17" t="n"/>
      <c r="K971" s="19" t="n"/>
      <c r="L971" s="20" t="n"/>
      <c r="M971" s="19" t="n"/>
      <c r="N971" s="22">
        <f>IF(C971="","",IF(ISNUMBER(I971),I971,IF(ISNUMBER(H971),H971,"")))</f>
        <v/>
      </c>
      <c r="O971" s="23">
        <f>IF(OR(C971="",NOT(ISNUMBER(G971))),"",(TODAY()-INT(G971))/365.25)</f>
        <v/>
      </c>
      <c r="P971" s="13">
        <f>IF(OR(C971="",NOT(ISNUMBER(L971))),"",IF(L971&lt;TODAY(),"Ended",IF(L971-TODAY()&lt;=N(Settings!$C$10),"Ends soon","Covered")))</f>
        <v/>
      </c>
      <c r="Q971" s="13">
        <f>IF(C971="","",MID(IF(N971="",", value","")&amp;IF(OR(J971="",J971="No"),", receipt","")&amp;IF(K971="",", photo",""),3,100))</f>
        <v/>
      </c>
      <c r="R971" s="13">
        <f>IF(AND(B971="",C971=""),"",IF(C971="","Needs the item",IF(B971="","Needs a room",IF(COUNTIF(Rooms!$B$6:$B$35,B971)=0,"Not on Rooms",IF(AND(H971&lt;&gt;"",NOT(ISNUMBER(H971))),"Paid not a number",IF(AND(I971&lt;&gt;"",NOT(ISNUMBER(I971))),"Worth not a number",IF(AND(G971&lt;&gt;"",NOT(ISNUMBER(G971))),"Bought is not a date",IF(AND(L971&lt;&gt;"",NOT(ISNUMBER(L971))),"Warranty is not a date",""))))))))</f>
        <v/>
      </c>
      <c r="S971" s="1">
        <f>IF(AND(C971&lt;&gt;"",R971=""),1,0)</f>
        <v/>
      </c>
      <c r="T971">
        <f>IF(S971=1,N(N971),0)</f>
        <v/>
      </c>
      <c r="U971">
        <f>IF(AND(S971=1,T971&gt;0),ROUND(T971*100,0)*10000+10000-ROW(),"")</f>
        <v/>
      </c>
      <c r="V971">
        <f>IF(AND(S971=1,OR(Report!$C$5="",B971=Report!$C$5)),MATCH(B971,Rooms!$B$6:$B$35,0)*10000+ROW(),"")</f>
        <v/>
      </c>
      <c r="W971">
        <f>IF(AND(S971=1,OR(J971="",J971="No")),1,0)</f>
        <v/>
      </c>
      <c r="X971">
        <f>IF(AND(S971=1,K971=""),1,0)</f>
        <v/>
      </c>
      <c r="Y971">
        <f>IF(AND(S971=1,Q971&lt;&gt;""),ROUND(T971*100,0)*10000+10000-ROW(),"")</f>
        <v/>
      </c>
    </row>
    <row r="972">
      <c r="A972" s="1" t="n"/>
      <c r="B972" s="17" t="n"/>
      <c r="C972" s="18" t="n"/>
      <c r="D972" s="17" t="n"/>
      <c r="E972" s="19" t="n"/>
      <c r="F972" s="19" t="n"/>
      <c r="G972" s="20" t="n"/>
      <c r="H972" s="21" t="n"/>
      <c r="I972" s="21" t="n"/>
      <c r="J972" s="17" t="n"/>
      <c r="K972" s="19" t="n"/>
      <c r="L972" s="20" t="n"/>
      <c r="M972" s="19" t="n"/>
      <c r="N972" s="22">
        <f>IF(C972="","",IF(ISNUMBER(I972),I972,IF(ISNUMBER(H972),H972,"")))</f>
        <v/>
      </c>
      <c r="O972" s="23">
        <f>IF(OR(C972="",NOT(ISNUMBER(G972))),"",(TODAY()-INT(G972))/365.25)</f>
        <v/>
      </c>
      <c r="P972" s="13">
        <f>IF(OR(C972="",NOT(ISNUMBER(L972))),"",IF(L972&lt;TODAY(),"Ended",IF(L972-TODAY()&lt;=N(Settings!$C$10),"Ends soon","Covered")))</f>
        <v/>
      </c>
      <c r="Q972" s="13">
        <f>IF(C972="","",MID(IF(N972="",", value","")&amp;IF(OR(J972="",J972="No"),", receipt","")&amp;IF(K972="",", photo",""),3,100))</f>
        <v/>
      </c>
      <c r="R972" s="13">
        <f>IF(AND(B972="",C972=""),"",IF(C972="","Needs the item",IF(B972="","Needs a room",IF(COUNTIF(Rooms!$B$6:$B$35,B972)=0,"Not on Rooms",IF(AND(H972&lt;&gt;"",NOT(ISNUMBER(H972))),"Paid not a number",IF(AND(I972&lt;&gt;"",NOT(ISNUMBER(I972))),"Worth not a number",IF(AND(G972&lt;&gt;"",NOT(ISNUMBER(G972))),"Bought is not a date",IF(AND(L972&lt;&gt;"",NOT(ISNUMBER(L972))),"Warranty is not a date",""))))))))</f>
        <v/>
      </c>
      <c r="S972" s="1">
        <f>IF(AND(C972&lt;&gt;"",R972=""),1,0)</f>
        <v/>
      </c>
      <c r="T972">
        <f>IF(S972=1,N(N972),0)</f>
        <v/>
      </c>
      <c r="U972">
        <f>IF(AND(S972=1,T972&gt;0),ROUND(T972*100,0)*10000+10000-ROW(),"")</f>
        <v/>
      </c>
      <c r="V972">
        <f>IF(AND(S972=1,OR(Report!$C$5="",B972=Report!$C$5)),MATCH(B972,Rooms!$B$6:$B$35,0)*10000+ROW(),"")</f>
        <v/>
      </c>
      <c r="W972">
        <f>IF(AND(S972=1,OR(J972="",J972="No")),1,0)</f>
        <v/>
      </c>
      <c r="X972">
        <f>IF(AND(S972=1,K972=""),1,0)</f>
        <v/>
      </c>
      <c r="Y972">
        <f>IF(AND(S972=1,Q972&lt;&gt;""),ROUND(T972*100,0)*10000+10000-ROW(),"")</f>
        <v/>
      </c>
    </row>
    <row r="973">
      <c r="A973" s="1" t="n"/>
      <c r="B973" s="17" t="n"/>
      <c r="C973" s="18" t="n"/>
      <c r="D973" s="17" t="n"/>
      <c r="E973" s="19" t="n"/>
      <c r="F973" s="19" t="n"/>
      <c r="G973" s="20" t="n"/>
      <c r="H973" s="21" t="n"/>
      <c r="I973" s="21" t="n"/>
      <c r="J973" s="17" t="n"/>
      <c r="K973" s="19" t="n"/>
      <c r="L973" s="20" t="n"/>
      <c r="M973" s="19" t="n"/>
      <c r="N973" s="22">
        <f>IF(C973="","",IF(ISNUMBER(I973),I973,IF(ISNUMBER(H973),H973,"")))</f>
        <v/>
      </c>
      <c r="O973" s="23">
        <f>IF(OR(C973="",NOT(ISNUMBER(G973))),"",(TODAY()-INT(G973))/365.25)</f>
        <v/>
      </c>
      <c r="P973" s="13">
        <f>IF(OR(C973="",NOT(ISNUMBER(L973))),"",IF(L973&lt;TODAY(),"Ended",IF(L973-TODAY()&lt;=N(Settings!$C$10),"Ends soon","Covered")))</f>
        <v/>
      </c>
      <c r="Q973" s="13">
        <f>IF(C973="","",MID(IF(N973="",", value","")&amp;IF(OR(J973="",J973="No"),", receipt","")&amp;IF(K973="",", photo",""),3,100))</f>
        <v/>
      </c>
      <c r="R973" s="13">
        <f>IF(AND(B973="",C973=""),"",IF(C973="","Needs the item",IF(B973="","Needs a room",IF(COUNTIF(Rooms!$B$6:$B$35,B973)=0,"Not on Rooms",IF(AND(H973&lt;&gt;"",NOT(ISNUMBER(H973))),"Paid not a number",IF(AND(I973&lt;&gt;"",NOT(ISNUMBER(I973))),"Worth not a number",IF(AND(G973&lt;&gt;"",NOT(ISNUMBER(G973))),"Bought is not a date",IF(AND(L973&lt;&gt;"",NOT(ISNUMBER(L973))),"Warranty is not a date",""))))))))</f>
        <v/>
      </c>
      <c r="S973" s="1">
        <f>IF(AND(C973&lt;&gt;"",R973=""),1,0)</f>
        <v/>
      </c>
      <c r="T973">
        <f>IF(S973=1,N(N973),0)</f>
        <v/>
      </c>
      <c r="U973">
        <f>IF(AND(S973=1,T973&gt;0),ROUND(T973*100,0)*10000+10000-ROW(),"")</f>
        <v/>
      </c>
      <c r="V973">
        <f>IF(AND(S973=1,OR(Report!$C$5="",B973=Report!$C$5)),MATCH(B973,Rooms!$B$6:$B$35,0)*10000+ROW(),"")</f>
        <v/>
      </c>
      <c r="W973">
        <f>IF(AND(S973=1,OR(J973="",J973="No")),1,0)</f>
        <v/>
      </c>
      <c r="X973">
        <f>IF(AND(S973=1,K973=""),1,0)</f>
        <v/>
      </c>
      <c r="Y973">
        <f>IF(AND(S973=1,Q973&lt;&gt;""),ROUND(T973*100,0)*10000+10000-ROW(),"")</f>
        <v/>
      </c>
    </row>
    <row r="974">
      <c r="A974" s="1" t="n"/>
      <c r="B974" s="17" t="n"/>
      <c r="C974" s="18" t="n"/>
      <c r="D974" s="17" t="n"/>
      <c r="E974" s="19" t="n"/>
      <c r="F974" s="19" t="n"/>
      <c r="G974" s="20" t="n"/>
      <c r="H974" s="21" t="n"/>
      <c r="I974" s="21" t="n"/>
      <c r="J974" s="17" t="n"/>
      <c r="K974" s="19" t="n"/>
      <c r="L974" s="20" t="n"/>
      <c r="M974" s="19" t="n"/>
      <c r="N974" s="22">
        <f>IF(C974="","",IF(ISNUMBER(I974),I974,IF(ISNUMBER(H974),H974,"")))</f>
        <v/>
      </c>
      <c r="O974" s="23">
        <f>IF(OR(C974="",NOT(ISNUMBER(G974))),"",(TODAY()-INT(G974))/365.25)</f>
        <v/>
      </c>
      <c r="P974" s="13">
        <f>IF(OR(C974="",NOT(ISNUMBER(L974))),"",IF(L974&lt;TODAY(),"Ended",IF(L974-TODAY()&lt;=N(Settings!$C$10),"Ends soon","Covered")))</f>
        <v/>
      </c>
      <c r="Q974" s="13">
        <f>IF(C974="","",MID(IF(N974="",", value","")&amp;IF(OR(J974="",J974="No"),", receipt","")&amp;IF(K974="",", photo",""),3,100))</f>
        <v/>
      </c>
      <c r="R974" s="13">
        <f>IF(AND(B974="",C974=""),"",IF(C974="","Needs the item",IF(B974="","Needs a room",IF(COUNTIF(Rooms!$B$6:$B$35,B974)=0,"Not on Rooms",IF(AND(H974&lt;&gt;"",NOT(ISNUMBER(H974))),"Paid not a number",IF(AND(I974&lt;&gt;"",NOT(ISNUMBER(I974))),"Worth not a number",IF(AND(G974&lt;&gt;"",NOT(ISNUMBER(G974))),"Bought is not a date",IF(AND(L974&lt;&gt;"",NOT(ISNUMBER(L974))),"Warranty is not a date",""))))))))</f>
        <v/>
      </c>
      <c r="S974" s="1">
        <f>IF(AND(C974&lt;&gt;"",R974=""),1,0)</f>
        <v/>
      </c>
      <c r="T974">
        <f>IF(S974=1,N(N974),0)</f>
        <v/>
      </c>
      <c r="U974">
        <f>IF(AND(S974=1,T974&gt;0),ROUND(T974*100,0)*10000+10000-ROW(),"")</f>
        <v/>
      </c>
      <c r="V974">
        <f>IF(AND(S974=1,OR(Report!$C$5="",B974=Report!$C$5)),MATCH(B974,Rooms!$B$6:$B$35,0)*10000+ROW(),"")</f>
        <v/>
      </c>
      <c r="W974">
        <f>IF(AND(S974=1,OR(J974="",J974="No")),1,0)</f>
        <v/>
      </c>
      <c r="X974">
        <f>IF(AND(S974=1,K974=""),1,0)</f>
        <v/>
      </c>
      <c r="Y974">
        <f>IF(AND(S974=1,Q974&lt;&gt;""),ROUND(T974*100,0)*10000+10000-ROW(),"")</f>
        <v/>
      </c>
    </row>
    <row r="975">
      <c r="A975" s="1" t="n"/>
      <c r="B975" s="17" t="n"/>
      <c r="C975" s="18" t="n"/>
      <c r="D975" s="17" t="n"/>
      <c r="E975" s="19" t="n"/>
      <c r="F975" s="19" t="n"/>
      <c r="G975" s="20" t="n"/>
      <c r="H975" s="21" t="n"/>
      <c r="I975" s="21" t="n"/>
      <c r="J975" s="17" t="n"/>
      <c r="K975" s="19" t="n"/>
      <c r="L975" s="20" t="n"/>
      <c r="M975" s="19" t="n"/>
      <c r="N975" s="22">
        <f>IF(C975="","",IF(ISNUMBER(I975),I975,IF(ISNUMBER(H975),H975,"")))</f>
        <v/>
      </c>
      <c r="O975" s="23">
        <f>IF(OR(C975="",NOT(ISNUMBER(G975))),"",(TODAY()-INT(G975))/365.25)</f>
        <v/>
      </c>
      <c r="P975" s="13">
        <f>IF(OR(C975="",NOT(ISNUMBER(L975))),"",IF(L975&lt;TODAY(),"Ended",IF(L975-TODAY()&lt;=N(Settings!$C$10),"Ends soon","Covered")))</f>
        <v/>
      </c>
      <c r="Q975" s="13">
        <f>IF(C975="","",MID(IF(N975="",", value","")&amp;IF(OR(J975="",J975="No"),", receipt","")&amp;IF(K975="",", photo",""),3,100))</f>
        <v/>
      </c>
      <c r="R975" s="13">
        <f>IF(AND(B975="",C975=""),"",IF(C975="","Needs the item",IF(B975="","Needs a room",IF(COUNTIF(Rooms!$B$6:$B$35,B975)=0,"Not on Rooms",IF(AND(H975&lt;&gt;"",NOT(ISNUMBER(H975))),"Paid not a number",IF(AND(I975&lt;&gt;"",NOT(ISNUMBER(I975))),"Worth not a number",IF(AND(G975&lt;&gt;"",NOT(ISNUMBER(G975))),"Bought is not a date",IF(AND(L975&lt;&gt;"",NOT(ISNUMBER(L975))),"Warranty is not a date",""))))))))</f>
        <v/>
      </c>
      <c r="S975" s="1">
        <f>IF(AND(C975&lt;&gt;"",R975=""),1,0)</f>
        <v/>
      </c>
      <c r="T975">
        <f>IF(S975=1,N(N975),0)</f>
        <v/>
      </c>
      <c r="U975">
        <f>IF(AND(S975=1,T975&gt;0),ROUND(T975*100,0)*10000+10000-ROW(),"")</f>
        <v/>
      </c>
      <c r="V975">
        <f>IF(AND(S975=1,OR(Report!$C$5="",B975=Report!$C$5)),MATCH(B975,Rooms!$B$6:$B$35,0)*10000+ROW(),"")</f>
        <v/>
      </c>
      <c r="W975">
        <f>IF(AND(S975=1,OR(J975="",J975="No")),1,0)</f>
        <v/>
      </c>
      <c r="X975">
        <f>IF(AND(S975=1,K975=""),1,0)</f>
        <v/>
      </c>
      <c r="Y975">
        <f>IF(AND(S975=1,Q975&lt;&gt;""),ROUND(T975*100,0)*10000+10000-ROW(),"")</f>
        <v/>
      </c>
    </row>
    <row r="976">
      <c r="A976" s="1" t="n"/>
      <c r="B976" s="17" t="n"/>
      <c r="C976" s="18" t="n"/>
      <c r="D976" s="17" t="n"/>
      <c r="E976" s="19" t="n"/>
      <c r="F976" s="19" t="n"/>
      <c r="G976" s="20" t="n"/>
      <c r="H976" s="21" t="n"/>
      <c r="I976" s="21" t="n"/>
      <c r="J976" s="17" t="n"/>
      <c r="K976" s="19" t="n"/>
      <c r="L976" s="20" t="n"/>
      <c r="M976" s="19" t="n"/>
      <c r="N976" s="22">
        <f>IF(C976="","",IF(ISNUMBER(I976),I976,IF(ISNUMBER(H976),H976,"")))</f>
        <v/>
      </c>
      <c r="O976" s="23">
        <f>IF(OR(C976="",NOT(ISNUMBER(G976))),"",(TODAY()-INT(G976))/365.25)</f>
        <v/>
      </c>
      <c r="P976" s="13">
        <f>IF(OR(C976="",NOT(ISNUMBER(L976))),"",IF(L976&lt;TODAY(),"Ended",IF(L976-TODAY()&lt;=N(Settings!$C$10),"Ends soon","Covered")))</f>
        <v/>
      </c>
      <c r="Q976" s="13">
        <f>IF(C976="","",MID(IF(N976="",", value","")&amp;IF(OR(J976="",J976="No"),", receipt","")&amp;IF(K976="",", photo",""),3,100))</f>
        <v/>
      </c>
      <c r="R976" s="13">
        <f>IF(AND(B976="",C976=""),"",IF(C976="","Needs the item",IF(B976="","Needs a room",IF(COUNTIF(Rooms!$B$6:$B$35,B976)=0,"Not on Rooms",IF(AND(H976&lt;&gt;"",NOT(ISNUMBER(H976))),"Paid not a number",IF(AND(I976&lt;&gt;"",NOT(ISNUMBER(I976))),"Worth not a number",IF(AND(G976&lt;&gt;"",NOT(ISNUMBER(G976))),"Bought is not a date",IF(AND(L976&lt;&gt;"",NOT(ISNUMBER(L976))),"Warranty is not a date",""))))))))</f>
        <v/>
      </c>
      <c r="S976" s="1">
        <f>IF(AND(C976&lt;&gt;"",R976=""),1,0)</f>
        <v/>
      </c>
      <c r="T976">
        <f>IF(S976=1,N(N976),0)</f>
        <v/>
      </c>
      <c r="U976">
        <f>IF(AND(S976=1,T976&gt;0),ROUND(T976*100,0)*10000+10000-ROW(),"")</f>
        <v/>
      </c>
      <c r="V976">
        <f>IF(AND(S976=1,OR(Report!$C$5="",B976=Report!$C$5)),MATCH(B976,Rooms!$B$6:$B$35,0)*10000+ROW(),"")</f>
        <v/>
      </c>
      <c r="W976">
        <f>IF(AND(S976=1,OR(J976="",J976="No")),1,0)</f>
        <v/>
      </c>
      <c r="X976">
        <f>IF(AND(S976=1,K976=""),1,0)</f>
        <v/>
      </c>
      <c r="Y976">
        <f>IF(AND(S976=1,Q976&lt;&gt;""),ROUND(T976*100,0)*10000+10000-ROW(),"")</f>
        <v/>
      </c>
    </row>
    <row r="977">
      <c r="A977" s="1" t="n"/>
      <c r="B977" s="17" t="n"/>
      <c r="C977" s="18" t="n"/>
      <c r="D977" s="17" t="n"/>
      <c r="E977" s="19" t="n"/>
      <c r="F977" s="19" t="n"/>
      <c r="G977" s="20" t="n"/>
      <c r="H977" s="21" t="n"/>
      <c r="I977" s="21" t="n"/>
      <c r="J977" s="17" t="n"/>
      <c r="K977" s="19" t="n"/>
      <c r="L977" s="20" t="n"/>
      <c r="M977" s="19" t="n"/>
      <c r="N977" s="22">
        <f>IF(C977="","",IF(ISNUMBER(I977),I977,IF(ISNUMBER(H977),H977,"")))</f>
        <v/>
      </c>
      <c r="O977" s="23">
        <f>IF(OR(C977="",NOT(ISNUMBER(G977))),"",(TODAY()-INT(G977))/365.25)</f>
        <v/>
      </c>
      <c r="P977" s="13">
        <f>IF(OR(C977="",NOT(ISNUMBER(L977))),"",IF(L977&lt;TODAY(),"Ended",IF(L977-TODAY()&lt;=N(Settings!$C$10),"Ends soon","Covered")))</f>
        <v/>
      </c>
      <c r="Q977" s="13">
        <f>IF(C977="","",MID(IF(N977="",", value","")&amp;IF(OR(J977="",J977="No"),", receipt","")&amp;IF(K977="",", photo",""),3,100))</f>
        <v/>
      </c>
      <c r="R977" s="13">
        <f>IF(AND(B977="",C977=""),"",IF(C977="","Needs the item",IF(B977="","Needs a room",IF(COUNTIF(Rooms!$B$6:$B$35,B977)=0,"Not on Rooms",IF(AND(H977&lt;&gt;"",NOT(ISNUMBER(H977))),"Paid not a number",IF(AND(I977&lt;&gt;"",NOT(ISNUMBER(I977))),"Worth not a number",IF(AND(G977&lt;&gt;"",NOT(ISNUMBER(G977))),"Bought is not a date",IF(AND(L977&lt;&gt;"",NOT(ISNUMBER(L977))),"Warranty is not a date",""))))))))</f>
        <v/>
      </c>
      <c r="S977" s="1">
        <f>IF(AND(C977&lt;&gt;"",R977=""),1,0)</f>
        <v/>
      </c>
      <c r="T977">
        <f>IF(S977=1,N(N977),0)</f>
        <v/>
      </c>
      <c r="U977">
        <f>IF(AND(S977=1,T977&gt;0),ROUND(T977*100,0)*10000+10000-ROW(),"")</f>
        <v/>
      </c>
      <c r="V977">
        <f>IF(AND(S977=1,OR(Report!$C$5="",B977=Report!$C$5)),MATCH(B977,Rooms!$B$6:$B$35,0)*10000+ROW(),"")</f>
        <v/>
      </c>
      <c r="W977">
        <f>IF(AND(S977=1,OR(J977="",J977="No")),1,0)</f>
        <v/>
      </c>
      <c r="X977">
        <f>IF(AND(S977=1,K977=""),1,0)</f>
        <v/>
      </c>
      <c r="Y977">
        <f>IF(AND(S977=1,Q977&lt;&gt;""),ROUND(T977*100,0)*10000+10000-ROW(),"")</f>
        <v/>
      </c>
    </row>
    <row r="978">
      <c r="A978" s="1" t="n"/>
      <c r="B978" s="17" t="n"/>
      <c r="C978" s="18" t="n"/>
      <c r="D978" s="17" t="n"/>
      <c r="E978" s="19" t="n"/>
      <c r="F978" s="19" t="n"/>
      <c r="G978" s="20" t="n"/>
      <c r="H978" s="21" t="n"/>
      <c r="I978" s="21" t="n"/>
      <c r="J978" s="17" t="n"/>
      <c r="K978" s="19" t="n"/>
      <c r="L978" s="20" t="n"/>
      <c r="M978" s="19" t="n"/>
      <c r="N978" s="22">
        <f>IF(C978="","",IF(ISNUMBER(I978),I978,IF(ISNUMBER(H978),H978,"")))</f>
        <v/>
      </c>
      <c r="O978" s="23">
        <f>IF(OR(C978="",NOT(ISNUMBER(G978))),"",(TODAY()-INT(G978))/365.25)</f>
        <v/>
      </c>
      <c r="P978" s="13">
        <f>IF(OR(C978="",NOT(ISNUMBER(L978))),"",IF(L978&lt;TODAY(),"Ended",IF(L978-TODAY()&lt;=N(Settings!$C$10),"Ends soon","Covered")))</f>
        <v/>
      </c>
      <c r="Q978" s="13">
        <f>IF(C978="","",MID(IF(N978="",", value","")&amp;IF(OR(J978="",J978="No"),", receipt","")&amp;IF(K978="",", photo",""),3,100))</f>
        <v/>
      </c>
      <c r="R978" s="13">
        <f>IF(AND(B978="",C978=""),"",IF(C978="","Needs the item",IF(B978="","Needs a room",IF(COUNTIF(Rooms!$B$6:$B$35,B978)=0,"Not on Rooms",IF(AND(H978&lt;&gt;"",NOT(ISNUMBER(H978))),"Paid not a number",IF(AND(I978&lt;&gt;"",NOT(ISNUMBER(I978))),"Worth not a number",IF(AND(G978&lt;&gt;"",NOT(ISNUMBER(G978))),"Bought is not a date",IF(AND(L978&lt;&gt;"",NOT(ISNUMBER(L978))),"Warranty is not a date",""))))))))</f>
        <v/>
      </c>
      <c r="S978" s="1">
        <f>IF(AND(C978&lt;&gt;"",R978=""),1,0)</f>
        <v/>
      </c>
      <c r="T978">
        <f>IF(S978=1,N(N978),0)</f>
        <v/>
      </c>
      <c r="U978">
        <f>IF(AND(S978=1,T978&gt;0),ROUND(T978*100,0)*10000+10000-ROW(),"")</f>
        <v/>
      </c>
      <c r="V978">
        <f>IF(AND(S978=1,OR(Report!$C$5="",B978=Report!$C$5)),MATCH(B978,Rooms!$B$6:$B$35,0)*10000+ROW(),"")</f>
        <v/>
      </c>
      <c r="W978">
        <f>IF(AND(S978=1,OR(J978="",J978="No")),1,0)</f>
        <v/>
      </c>
      <c r="X978">
        <f>IF(AND(S978=1,K978=""),1,0)</f>
        <v/>
      </c>
      <c r="Y978">
        <f>IF(AND(S978=1,Q978&lt;&gt;""),ROUND(T978*100,0)*10000+10000-ROW(),"")</f>
        <v/>
      </c>
    </row>
    <row r="979">
      <c r="A979" s="1" t="n"/>
      <c r="B979" s="17" t="n"/>
      <c r="C979" s="18" t="n"/>
      <c r="D979" s="17" t="n"/>
      <c r="E979" s="19" t="n"/>
      <c r="F979" s="19" t="n"/>
      <c r="G979" s="20" t="n"/>
      <c r="H979" s="21" t="n"/>
      <c r="I979" s="21" t="n"/>
      <c r="J979" s="17" t="n"/>
      <c r="K979" s="19" t="n"/>
      <c r="L979" s="20" t="n"/>
      <c r="M979" s="19" t="n"/>
      <c r="N979" s="22">
        <f>IF(C979="","",IF(ISNUMBER(I979),I979,IF(ISNUMBER(H979),H979,"")))</f>
        <v/>
      </c>
      <c r="O979" s="23">
        <f>IF(OR(C979="",NOT(ISNUMBER(G979))),"",(TODAY()-INT(G979))/365.25)</f>
        <v/>
      </c>
      <c r="P979" s="13">
        <f>IF(OR(C979="",NOT(ISNUMBER(L979))),"",IF(L979&lt;TODAY(),"Ended",IF(L979-TODAY()&lt;=N(Settings!$C$10),"Ends soon","Covered")))</f>
        <v/>
      </c>
      <c r="Q979" s="13">
        <f>IF(C979="","",MID(IF(N979="",", value","")&amp;IF(OR(J979="",J979="No"),", receipt","")&amp;IF(K979="",", photo",""),3,100))</f>
        <v/>
      </c>
      <c r="R979" s="13">
        <f>IF(AND(B979="",C979=""),"",IF(C979="","Needs the item",IF(B979="","Needs a room",IF(COUNTIF(Rooms!$B$6:$B$35,B979)=0,"Not on Rooms",IF(AND(H979&lt;&gt;"",NOT(ISNUMBER(H979))),"Paid not a number",IF(AND(I979&lt;&gt;"",NOT(ISNUMBER(I979))),"Worth not a number",IF(AND(G979&lt;&gt;"",NOT(ISNUMBER(G979))),"Bought is not a date",IF(AND(L979&lt;&gt;"",NOT(ISNUMBER(L979))),"Warranty is not a date",""))))))))</f>
        <v/>
      </c>
      <c r="S979" s="1">
        <f>IF(AND(C979&lt;&gt;"",R979=""),1,0)</f>
        <v/>
      </c>
      <c r="T979">
        <f>IF(S979=1,N(N979),0)</f>
        <v/>
      </c>
      <c r="U979">
        <f>IF(AND(S979=1,T979&gt;0),ROUND(T979*100,0)*10000+10000-ROW(),"")</f>
        <v/>
      </c>
      <c r="V979">
        <f>IF(AND(S979=1,OR(Report!$C$5="",B979=Report!$C$5)),MATCH(B979,Rooms!$B$6:$B$35,0)*10000+ROW(),"")</f>
        <v/>
      </c>
      <c r="W979">
        <f>IF(AND(S979=1,OR(J979="",J979="No")),1,0)</f>
        <v/>
      </c>
      <c r="X979">
        <f>IF(AND(S979=1,K979=""),1,0)</f>
        <v/>
      </c>
      <c r="Y979">
        <f>IF(AND(S979=1,Q979&lt;&gt;""),ROUND(T979*100,0)*10000+10000-ROW(),"")</f>
        <v/>
      </c>
    </row>
    <row r="980">
      <c r="A980" s="1" t="n"/>
      <c r="B980" s="17" t="n"/>
      <c r="C980" s="18" t="n"/>
      <c r="D980" s="17" t="n"/>
      <c r="E980" s="19" t="n"/>
      <c r="F980" s="19" t="n"/>
      <c r="G980" s="20" t="n"/>
      <c r="H980" s="21" t="n"/>
      <c r="I980" s="21" t="n"/>
      <c r="J980" s="17" t="n"/>
      <c r="K980" s="19" t="n"/>
      <c r="L980" s="20" t="n"/>
      <c r="M980" s="19" t="n"/>
      <c r="N980" s="22">
        <f>IF(C980="","",IF(ISNUMBER(I980),I980,IF(ISNUMBER(H980),H980,"")))</f>
        <v/>
      </c>
      <c r="O980" s="23">
        <f>IF(OR(C980="",NOT(ISNUMBER(G980))),"",(TODAY()-INT(G980))/365.25)</f>
        <v/>
      </c>
      <c r="P980" s="13">
        <f>IF(OR(C980="",NOT(ISNUMBER(L980))),"",IF(L980&lt;TODAY(),"Ended",IF(L980-TODAY()&lt;=N(Settings!$C$10),"Ends soon","Covered")))</f>
        <v/>
      </c>
      <c r="Q980" s="13">
        <f>IF(C980="","",MID(IF(N980="",", value","")&amp;IF(OR(J980="",J980="No"),", receipt","")&amp;IF(K980="",", photo",""),3,100))</f>
        <v/>
      </c>
      <c r="R980" s="13">
        <f>IF(AND(B980="",C980=""),"",IF(C980="","Needs the item",IF(B980="","Needs a room",IF(COUNTIF(Rooms!$B$6:$B$35,B980)=0,"Not on Rooms",IF(AND(H980&lt;&gt;"",NOT(ISNUMBER(H980))),"Paid not a number",IF(AND(I980&lt;&gt;"",NOT(ISNUMBER(I980))),"Worth not a number",IF(AND(G980&lt;&gt;"",NOT(ISNUMBER(G980))),"Bought is not a date",IF(AND(L980&lt;&gt;"",NOT(ISNUMBER(L980))),"Warranty is not a date",""))))))))</f>
        <v/>
      </c>
      <c r="S980" s="1">
        <f>IF(AND(C980&lt;&gt;"",R980=""),1,0)</f>
        <v/>
      </c>
      <c r="T980">
        <f>IF(S980=1,N(N980),0)</f>
        <v/>
      </c>
      <c r="U980">
        <f>IF(AND(S980=1,T980&gt;0),ROUND(T980*100,0)*10000+10000-ROW(),"")</f>
        <v/>
      </c>
      <c r="V980">
        <f>IF(AND(S980=1,OR(Report!$C$5="",B980=Report!$C$5)),MATCH(B980,Rooms!$B$6:$B$35,0)*10000+ROW(),"")</f>
        <v/>
      </c>
      <c r="W980">
        <f>IF(AND(S980=1,OR(J980="",J980="No")),1,0)</f>
        <v/>
      </c>
      <c r="X980">
        <f>IF(AND(S980=1,K980=""),1,0)</f>
        <v/>
      </c>
      <c r="Y980">
        <f>IF(AND(S980=1,Q980&lt;&gt;""),ROUND(T980*100,0)*10000+10000-ROW(),"")</f>
        <v/>
      </c>
    </row>
    <row r="981">
      <c r="A981" s="1" t="n"/>
      <c r="B981" s="17" t="n"/>
      <c r="C981" s="18" t="n"/>
      <c r="D981" s="17" t="n"/>
      <c r="E981" s="19" t="n"/>
      <c r="F981" s="19" t="n"/>
      <c r="G981" s="20" t="n"/>
      <c r="H981" s="21" t="n"/>
      <c r="I981" s="21" t="n"/>
      <c r="J981" s="17" t="n"/>
      <c r="K981" s="19" t="n"/>
      <c r="L981" s="20" t="n"/>
      <c r="M981" s="19" t="n"/>
      <c r="N981" s="22">
        <f>IF(C981="","",IF(ISNUMBER(I981),I981,IF(ISNUMBER(H981),H981,"")))</f>
        <v/>
      </c>
      <c r="O981" s="23">
        <f>IF(OR(C981="",NOT(ISNUMBER(G981))),"",(TODAY()-INT(G981))/365.25)</f>
        <v/>
      </c>
      <c r="P981" s="13">
        <f>IF(OR(C981="",NOT(ISNUMBER(L981))),"",IF(L981&lt;TODAY(),"Ended",IF(L981-TODAY()&lt;=N(Settings!$C$10),"Ends soon","Covered")))</f>
        <v/>
      </c>
      <c r="Q981" s="13">
        <f>IF(C981="","",MID(IF(N981="",", value","")&amp;IF(OR(J981="",J981="No"),", receipt","")&amp;IF(K981="",", photo",""),3,100))</f>
        <v/>
      </c>
      <c r="R981" s="13">
        <f>IF(AND(B981="",C981=""),"",IF(C981="","Needs the item",IF(B981="","Needs a room",IF(COUNTIF(Rooms!$B$6:$B$35,B981)=0,"Not on Rooms",IF(AND(H981&lt;&gt;"",NOT(ISNUMBER(H981))),"Paid not a number",IF(AND(I981&lt;&gt;"",NOT(ISNUMBER(I981))),"Worth not a number",IF(AND(G981&lt;&gt;"",NOT(ISNUMBER(G981))),"Bought is not a date",IF(AND(L981&lt;&gt;"",NOT(ISNUMBER(L981))),"Warranty is not a date",""))))))))</f>
        <v/>
      </c>
      <c r="S981" s="1">
        <f>IF(AND(C981&lt;&gt;"",R981=""),1,0)</f>
        <v/>
      </c>
      <c r="T981">
        <f>IF(S981=1,N(N981),0)</f>
        <v/>
      </c>
      <c r="U981">
        <f>IF(AND(S981=1,T981&gt;0),ROUND(T981*100,0)*10000+10000-ROW(),"")</f>
        <v/>
      </c>
      <c r="V981">
        <f>IF(AND(S981=1,OR(Report!$C$5="",B981=Report!$C$5)),MATCH(B981,Rooms!$B$6:$B$35,0)*10000+ROW(),"")</f>
        <v/>
      </c>
      <c r="W981">
        <f>IF(AND(S981=1,OR(J981="",J981="No")),1,0)</f>
        <v/>
      </c>
      <c r="X981">
        <f>IF(AND(S981=1,K981=""),1,0)</f>
        <v/>
      </c>
      <c r="Y981">
        <f>IF(AND(S981=1,Q981&lt;&gt;""),ROUND(T981*100,0)*10000+10000-ROW(),"")</f>
        <v/>
      </c>
    </row>
    <row r="982">
      <c r="A982" s="1" t="n"/>
      <c r="B982" s="17" t="n"/>
      <c r="C982" s="18" t="n"/>
      <c r="D982" s="17" t="n"/>
      <c r="E982" s="19" t="n"/>
      <c r="F982" s="19" t="n"/>
      <c r="G982" s="20" t="n"/>
      <c r="H982" s="21" t="n"/>
      <c r="I982" s="21" t="n"/>
      <c r="J982" s="17" t="n"/>
      <c r="K982" s="19" t="n"/>
      <c r="L982" s="20" t="n"/>
      <c r="M982" s="19" t="n"/>
      <c r="N982" s="22">
        <f>IF(C982="","",IF(ISNUMBER(I982),I982,IF(ISNUMBER(H982),H982,"")))</f>
        <v/>
      </c>
      <c r="O982" s="23">
        <f>IF(OR(C982="",NOT(ISNUMBER(G982))),"",(TODAY()-INT(G982))/365.25)</f>
        <v/>
      </c>
      <c r="P982" s="13">
        <f>IF(OR(C982="",NOT(ISNUMBER(L982))),"",IF(L982&lt;TODAY(),"Ended",IF(L982-TODAY()&lt;=N(Settings!$C$10),"Ends soon","Covered")))</f>
        <v/>
      </c>
      <c r="Q982" s="13">
        <f>IF(C982="","",MID(IF(N982="",", value","")&amp;IF(OR(J982="",J982="No"),", receipt","")&amp;IF(K982="",", photo",""),3,100))</f>
        <v/>
      </c>
      <c r="R982" s="13">
        <f>IF(AND(B982="",C982=""),"",IF(C982="","Needs the item",IF(B982="","Needs a room",IF(COUNTIF(Rooms!$B$6:$B$35,B982)=0,"Not on Rooms",IF(AND(H982&lt;&gt;"",NOT(ISNUMBER(H982))),"Paid not a number",IF(AND(I982&lt;&gt;"",NOT(ISNUMBER(I982))),"Worth not a number",IF(AND(G982&lt;&gt;"",NOT(ISNUMBER(G982))),"Bought is not a date",IF(AND(L982&lt;&gt;"",NOT(ISNUMBER(L982))),"Warranty is not a date",""))))))))</f>
        <v/>
      </c>
      <c r="S982" s="1">
        <f>IF(AND(C982&lt;&gt;"",R982=""),1,0)</f>
        <v/>
      </c>
      <c r="T982">
        <f>IF(S982=1,N(N982),0)</f>
        <v/>
      </c>
      <c r="U982">
        <f>IF(AND(S982=1,T982&gt;0),ROUND(T982*100,0)*10000+10000-ROW(),"")</f>
        <v/>
      </c>
      <c r="V982">
        <f>IF(AND(S982=1,OR(Report!$C$5="",B982=Report!$C$5)),MATCH(B982,Rooms!$B$6:$B$35,0)*10000+ROW(),"")</f>
        <v/>
      </c>
      <c r="W982">
        <f>IF(AND(S982=1,OR(J982="",J982="No")),1,0)</f>
        <v/>
      </c>
      <c r="X982">
        <f>IF(AND(S982=1,K982=""),1,0)</f>
        <v/>
      </c>
      <c r="Y982">
        <f>IF(AND(S982=1,Q982&lt;&gt;""),ROUND(T982*100,0)*10000+10000-ROW(),"")</f>
        <v/>
      </c>
    </row>
    <row r="983">
      <c r="A983" s="1" t="n"/>
      <c r="B983" s="17" t="n"/>
      <c r="C983" s="18" t="n"/>
      <c r="D983" s="17" t="n"/>
      <c r="E983" s="19" t="n"/>
      <c r="F983" s="19" t="n"/>
      <c r="G983" s="20" t="n"/>
      <c r="H983" s="21" t="n"/>
      <c r="I983" s="21" t="n"/>
      <c r="J983" s="17" t="n"/>
      <c r="K983" s="19" t="n"/>
      <c r="L983" s="20" t="n"/>
      <c r="M983" s="19" t="n"/>
      <c r="N983" s="22">
        <f>IF(C983="","",IF(ISNUMBER(I983),I983,IF(ISNUMBER(H983),H983,"")))</f>
        <v/>
      </c>
      <c r="O983" s="23">
        <f>IF(OR(C983="",NOT(ISNUMBER(G983))),"",(TODAY()-INT(G983))/365.25)</f>
        <v/>
      </c>
      <c r="P983" s="13">
        <f>IF(OR(C983="",NOT(ISNUMBER(L983))),"",IF(L983&lt;TODAY(),"Ended",IF(L983-TODAY()&lt;=N(Settings!$C$10),"Ends soon","Covered")))</f>
        <v/>
      </c>
      <c r="Q983" s="13">
        <f>IF(C983="","",MID(IF(N983="",", value","")&amp;IF(OR(J983="",J983="No"),", receipt","")&amp;IF(K983="",", photo",""),3,100))</f>
        <v/>
      </c>
      <c r="R983" s="13">
        <f>IF(AND(B983="",C983=""),"",IF(C983="","Needs the item",IF(B983="","Needs a room",IF(COUNTIF(Rooms!$B$6:$B$35,B983)=0,"Not on Rooms",IF(AND(H983&lt;&gt;"",NOT(ISNUMBER(H983))),"Paid not a number",IF(AND(I983&lt;&gt;"",NOT(ISNUMBER(I983))),"Worth not a number",IF(AND(G983&lt;&gt;"",NOT(ISNUMBER(G983))),"Bought is not a date",IF(AND(L983&lt;&gt;"",NOT(ISNUMBER(L983))),"Warranty is not a date",""))))))))</f>
        <v/>
      </c>
      <c r="S983" s="1">
        <f>IF(AND(C983&lt;&gt;"",R983=""),1,0)</f>
        <v/>
      </c>
      <c r="T983">
        <f>IF(S983=1,N(N983),0)</f>
        <v/>
      </c>
      <c r="U983">
        <f>IF(AND(S983=1,T983&gt;0),ROUND(T983*100,0)*10000+10000-ROW(),"")</f>
        <v/>
      </c>
      <c r="V983">
        <f>IF(AND(S983=1,OR(Report!$C$5="",B983=Report!$C$5)),MATCH(B983,Rooms!$B$6:$B$35,0)*10000+ROW(),"")</f>
        <v/>
      </c>
      <c r="W983">
        <f>IF(AND(S983=1,OR(J983="",J983="No")),1,0)</f>
        <v/>
      </c>
      <c r="X983">
        <f>IF(AND(S983=1,K983=""),1,0)</f>
        <v/>
      </c>
      <c r="Y983">
        <f>IF(AND(S983=1,Q983&lt;&gt;""),ROUND(T983*100,0)*10000+10000-ROW(),"")</f>
        <v/>
      </c>
    </row>
    <row r="984">
      <c r="A984" s="1" t="n"/>
      <c r="B984" s="17" t="n"/>
      <c r="C984" s="18" t="n"/>
      <c r="D984" s="17" t="n"/>
      <c r="E984" s="19" t="n"/>
      <c r="F984" s="19" t="n"/>
      <c r="G984" s="20" t="n"/>
      <c r="H984" s="21" t="n"/>
      <c r="I984" s="21" t="n"/>
      <c r="J984" s="17" t="n"/>
      <c r="K984" s="19" t="n"/>
      <c r="L984" s="20" t="n"/>
      <c r="M984" s="19" t="n"/>
      <c r="N984" s="22">
        <f>IF(C984="","",IF(ISNUMBER(I984),I984,IF(ISNUMBER(H984),H984,"")))</f>
        <v/>
      </c>
      <c r="O984" s="23">
        <f>IF(OR(C984="",NOT(ISNUMBER(G984))),"",(TODAY()-INT(G984))/365.25)</f>
        <v/>
      </c>
      <c r="P984" s="13">
        <f>IF(OR(C984="",NOT(ISNUMBER(L984))),"",IF(L984&lt;TODAY(),"Ended",IF(L984-TODAY()&lt;=N(Settings!$C$10),"Ends soon","Covered")))</f>
        <v/>
      </c>
      <c r="Q984" s="13">
        <f>IF(C984="","",MID(IF(N984="",", value","")&amp;IF(OR(J984="",J984="No"),", receipt","")&amp;IF(K984="",", photo",""),3,100))</f>
        <v/>
      </c>
      <c r="R984" s="13">
        <f>IF(AND(B984="",C984=""),"",IF(C984="","Needs the item",IF(B984="","Needs a room",IF(COUNTIF(Rooms!$B$6:$B$35,B984)=0,"Not on Rooms",IF(AND(H984&lt;&gt;"",NOT(ISNUMBER(H984))),"Paid not a number",IF(AND(I984&lt;&gt;"",NOT(ISNUMBER(I984))),"Worth not a number",IF(AND(G984&lt;&gt;"",NOT(ISNUMBER(G984))),"Bought is not a date",IF(AND(L984&lt;&gt;"",NOT(ISNUMBER(L984))),"Warranty is not a date",""))))))))</f>
        <v/>
      </c>
      <c r="S984" s="1">
        <f>IF(AND(C984&lt;&gt;"",R984=""),1,0)</f>
        <v/>
      </c>
      <c r="T984">
        <f>IF(S984=1,N(N984),0)</f>
        <v/>
      </c>
      <c r="U984">
        <f>IF(AND(S984=1,T984&gt;0),ROUND(T984*100,0)*10000+10000-ROW(),"")</f>
        <v/>
      </c>
      <c r="V984">
        <f>IF(AND(S984=1,OR(Report!$C$5="",B984=Report!$C$5)),MATCH(B984,Rooms!$B$6:$B$35,0)*10000+ROW(),"")</f>
        <v/>
      </c>
      <c r="W984">
        <f>IF(AND(S984=1,OR(J984="",J984="No")),1,0)</f>
        <v/>
      </c>
      <c r="X984">
        <f>IF(AND(S984=1,K984=""),1,0)</f>
        <v/>
      </c>
      <c r="Y984">
        <f>IF(AND(S984=1,Q984&lt;&gt;""),ROUND(T984*100,0)*10000+10000-ROW(),"")</f>
        <v/>
      </c>
    </row>
    <row r="985">
      <c r="A985" s="1" t="n"/>
      <c r="B985" s="17" t="n"/>
      <c r="C985" s="18" t="n"/>
      <c r="D985" s="17" t="n"/>
      <c r="E985" s="19" t="n"/>
      <c r="F985" s="19" t="n"/>
      <c r="G985" s="20" t="n"/>
      <c r="H985" s="21" t="n"/>
      <c r="I985" s="21" t="n"/>
      <c r="J985" s="17" t="n"/>
      <c r="K985" s="19" t="n"/>
      <c r="L985" s="20" t="n"/>
      <c r="M985" s="19" t="n"/>
      <c r="N985" s="22">
        <f>IF(C985="","",IF(ISNUMBER(I985),I985,IF(ISNUMBER(H985),H985,"")))</f>
        <v/>
      </c>
      <c r="O985" s="23">
        <f>IF(OR(C985="",NOT(ISNUMBER(G985))),"",(TODAY()-INT(G985))/365.25)</f>
        <v/>
      </c>
      <c r="P985" s="13">
        <f>IF(OR(C985="",NOT(ISNUMBER(L985))),"",IF(L985&lt;TODAY(),"Ended",IF(L985-TODAY()&lt;=N(Settings!$C$10),"Ends soon","Covered")))</f>
        <v/>
      </c>
      <c r="Q985" s="13">
        <f>IF(C985="","",MID(IF(N985="",", value","")&amp;IF(OR(J985="",J985="No"),", receipt","")&amp;IF(K985="",", photo",""),3,100))</f>
        <v/>
      </c>
      <c r="R985" s="13">
        <f>IF(AND(B985="",C985=""),"",IF(C985="","Needs the item",IF(B985="","Needs a room",IF(COUNTIF(Rooms!$B$6:$B$35,B985)=0,"Not on Rooms",IF(AND(H985&lt;&gt;"",NOT(ISNUMBER(H985))),"Paid not a number",IF(AND(I985&lt;&gt;"",NOT(ISNUMBER(I985))),"Worth not a number",IF(AND(G985&lt;&gt;"",NOT(ISNUMBER(G985))),"Bought is not a date",IF(AND(L985&lt;&gt;"",NOT(ISNUMBER(L985))),"Warranty is not a date",""))))))))</f>
        <v/>
      </c>
      <c r="S985" s="1">
        <f>IF(AND(C985&lt;&gt;"",R985=""),1,0)</f>
        <v/>
      </c>
      <c r="T985">
        <f>IF(S985=1,N(N985),0)</f>
        <v/>
      </c>
      <c r="U985">
        <f>IF(AND(S985=1,T985&gt;0),ROUND(T985*100,0)*10000+10000-ROW(),"")</f>
        <v/>
      </c>
      <c r="V985">
        <f>IF(AND(S985=1,OR(Report!$C$5="",B985=Report!$C$5)),MATCH(B985,Rooms!$B$6:$B$35,0)*10000+ROW(),"")</f>
        <v/>
      </c>
      <c r="W985">
        <f>IF(AND(S985=1,OR(J985="",J985="No")),1,0)</f>
        <v/>
      </c>
      <c r="X985">
        <f>IF(AND(S985=1,K985=""),1,0)</f>
        <v/>
      </c>
      <c r="Y985">
        <f>IF(AND(S985=1,Q985&lt;&gt;""),ROUND(T985*100,0)*10000+10000-ROW(),"")</f>
        <v/>
      </c>
    </row>
    <row r="986">
      <c r="A986" s="1" t="n"/>
      <c r="B986" s="17" t="n"/>
      <c r="C986" s="18" t="n"/>
      <c r="D986" s="17" t="n"/>
      <c r="E986" s="19" t="n"/>
      <c r="F986" s="19" t="n"/>
      <c r="G986" s="20" t="n"/>
      <c r="H986" s="21" t="n"/>
      <c r="I986" s="21" t="n"/>
      <c r="J986" s="17" t="n"/>
      <c r="K986" s="19" t="n"/>
      <c r="L986" s="20" t="n"/>
      <c r="M986" s="19" t="n"/>
      <c r="N986" s="22">
        <f>IF(C986="","",IF(ISNUMBER(I986),I986,IF(ISNUMBER(H986),H986,"")))</f>
        <v/>
      </c>
      <c r="O986" s="23">
        <f>IF(OR(C986="",NOT(ISNUMBER(G986))),"",(TODAY()-INT(G986))/365.25)</f>
        <v/>
      </c>
      <c r="P986" s="13">
        <f>IF(OR(C986="",NOT(ISNUMBER(L986))),"",IF(L986&lt;TODAY(),"Ended",IF(L986-TODAY()&lt;=N(Settings!$C$10),"Ends soon","Covered")))</f>
        <v/>
      </c>
      <c r="Q986" s="13">
        <f>IF(C986="","",MID(IF(N986="",", value","")&amp;IF(OR(J986="",J986="No"),", receipt","")&amp;IF(K986="",", photo",""),3,100))</f>
        <v/>
      </c>
      <c r="R986" s="13">
        <f>IF(AND(B986="",C986=""),"",IF(C986="","Needs the item",IF(B986="","Needs a room",IF(COUNTIF(Rooms!$B$6:$B$35,B986)=0,"Not on Rooms",IF(AND(H986&lt;&gt;"",NOT(ISNUMBER(H986))),"Paid not a number",IF(AND(I986&lt;&gt;"",NOT(ISNUMBER(I986))),"Worth not a number",IF(AND(G986&lt;&gt;"",NOT(ISNUMBER(G986))),"Bought is not a date",IF(AND(L986&lt;&gt;"",NOT(ISNUMBER(L986))),"Warranty is not a date",""))))))))</f>
        <v/>
      </c>
      <c r="S986" s="1">
        <f>IF(AND(C986&lt;&gt;"",R986=""),1,0)</f>
        <v/>
      </c>
      <c r="T986">
        <f>IF(S986=1,N(N986),0)</f>
        <v/>
      </c>
      <c r="U986">
        <f>IF(AND(S986=1,T986&gt;0),ROUND(T986*100,0)*10000+10000-ROW(),"")</f>
        <v/>
      </c>
      <c r="V986">
        <f>IF(AND(S986=1,OR(Report!$C$5="",B986=Report!$C$5)),MATCH(B986,Rooms!$B$6:$B$35,0)*10000+ROW(),"")</f>
        <v/>
      </c>
      <c r="W986">
        <f>IF(AND(S986=1,OR(J986="",J986="No")),1,0)</f>
        <v/>
      </c>
      <c r="X986">
        <f>IF(AND(S986=1,K986=""),1,0)</f>
        <v/>
      </c>
      <c r="Y986">
        <f>IF(AND(S986=1,Q986&lt;&gt;""),ROUND(T986*100,0)*10000+10000-ROW(),"")</f>
        <v/>
      </c>
    </row>
    <row r="987">
      <c r="A987" s="1" t="n"/>
      <c r="B987" s="17" t="n"/>
      <c r="C987" s="18" t="n"/>
      <c r="D987" s="17" t="n"/>
      <c r="E987" s="19" t="n"/>
      <c r="F987" s="19" t="n"/>
      <c r="G987" s="20" t="n"/>
      <c r="H987" s="21" t="n"/>
      <c r="I987" s="21" t="n"/>
      <c r="J987" s="17" t="n"/>
      <c r="K987" s="19" t="n"/>
      <c r="L987" s="20" t="n"/>
      <c r="M987" s="19" t="n"/>
      <c r="N987" s="22">
        <f>IF(C987="","",IF(ISNUMBER(I987),I987,IF(ISNUMBER(H987),H987,"")))</f>
        <v/>
      </c>
      <c r="O987" s="23">
        <f>IF(OR(C987="",NOT(ISNUMBER(G987))),"",(TODAY()-INT(G987))/365.25)</f>
        <v/>
      </c>
      <c r="P987" s="13">
        <f>IF(OR(C987="",NOT(ISNUMBER(L987))),"",IF(L987&lt;TODAY(),"Ended",IF(L987-TODAY()&lt;=N(Settings!$C$10),"Ends soon","Covered")))</f>
        <v/>
      </c>
      <c r="Q987" s="13">
        <f>IF(C987="","",MID(IF(N987="",", value","")&amp;IF(OR(J987="",J987="No"),", receipt","")&amp;IF(K987="",", photo",""),3,100))</f>
        <v/>
      </c>
      <c r="R987" s="13">
        <f>IF(AND(B987="",C987=""),"",IF(C987="","Needs the item",IF(B987="","Needs a room",IF(COUNTIF(Rooms!$B$6:$B$35,B987)=0,"Not on Rooms",IF(AND(H987&lt;&gt;"",NOT(ISNUMBER(H987))),"Paid not a number",IF(AND(I987&lt;&gt;"",NOT(ISNUMBER(I987))),"Worth not a number",IF(AND(G987&lt;&gt;"",NOT(ISNUMBER(G987))),"Bought is not a date",IF(AND(L987&lt;&gt;"",NOT(ISNUMBER(L987))),"Warranty is not a date",""))))))))</f>
        <v/>
      </c>
      <c r="S987" s="1">
        <f>IF(AND(C987&lt;&gt;"",R987=""),1,0)</f>
        <v/>
      </c>
      <c r="T987">
        <f>IF(S987=1,N(N987),0)</f>
        <v/>
      </c>
      <c r="U987">
        <f>IF(AND(S987=1,T987&gt;0),ROUND(T987*100,0)*10000+10000-ROW(),"")</f>
        <v/>
      </c>
      <c r="V987">
        <f>IF(AND(S987=1,OR(Report!$C$5="",B987=Report!$C$5)),MATCH(B987,Rooms!$B$6:$B$35,0)*10000+ROW(),"")</f>
        <v/>
      </c>
      <c r="W987">
        <f>IF(AND(S987=1,OR(J987="",J987="No")),1,0)</f>
        <v/>
      </c>
      <c r="X987">
        <f>IF(AND(S987=1,K987=""),1,0)</f>
        <v/>
      </c>
      <c r="Y987">
        <f>IF(AND(S987=1,Q987&lt;&gt;""),ROUND(T987*100,0)*10000+10000-ROW(),"")</f>
        <v/>
      </c>
    </row>
    <row r="988">
      <c r="A988" s="1" t="n"/>
      <c r="B988" s="17" t="n"/>
      <c r="C988" s="18" t="n"/>
      <c r="D988" s="17" t="n"/>
      <c r="E988" s="19" t="n"/>
      <c r="F988" s="19" t="n"/>
      <c r="G988" s="20" t="n"/>
      <c r="H988" s="21" t="n"/>
      <c r="I988" s="21" t="n"/>
      <c r="J988" s="17" t="n"/>
      <c r="K988" s="19" t="n"/>
      <c r="L988" s="20" t="n"/>
      <c r="M988" s="19" t="n"/>
      <c r="N988" s="22">
        <f>IF(C988="","",IF(ISNUMBER(I988),I988,IF(ISNUMBER(H988),H988,"")))</f>
        <v/>
      </c>
      <c r="O988" s="23">
        <f>IF(OR(C988="",NOT(ISNUMBER(G988))),"",(TODAY()-INT(G988))/365.25)</f>
        <v/>
      </c>
      <c r="P988" s="13">
        <f>IF(OR(C988="",NOT(ISNUMBER(L988))),"",IF(L988&lt;TODAY(),"Ended",IF(L988-TODAY()&lt;=N(Settings!$C$10),"Ends soon","Covered")))</f>
        <v/>
      </c>
      <c r="Q988" s="13">
        <f>IF(C988="","",MID(IF(N988="",", value","")&amp;IF(OR(J988="",J988="No"),", receipt","")&amp;IF(K988="",", photo",""),3,100))</f>
        <v/>
      </c>
      <c r="R988" s="13">
        <f>IF(AND(B988="",C988=""),"",IF(C988="","Needs the item",IF(B988="","Needs a room",IF(COUNTIF(Rooms!$B$6:$B$35,B988)=0,"Not on Rooms",IF(AND(H988&lt;&gt;"",NOT(ISNUMBER(H988))),"Paid not a number",IF(AND(I988&lt;&gt;"",NOT(ISNUMBER(I988))),"Worth not a number",IF(AND(G988&lt;&gt;"",NOT(ISNUMBER(G988))),"Bought is not a date",IF(AND(L988&lt;&gt;"",NOT(ISNUMBER(L988))),"Warranty is not a date",""))))))))</f>
        <v/>
      </c>
      <c r="S988" s="1">
        <f>IF(AND(C988&lt;&gt;"",R988=""),1,0)</f>
        <v/>
      </c>
      <c r="T988">
        <f>IF(S988=1,N(N988),0)</f>
        <v/>
      </c>
      <c r="U988">
        <f>IF(AND(S988=1,T988&gt;0),ROUND(T988*100,0)*10000+10000-ROW(),"")</f>
        <v/>
      </c>
      <c r="V988">
        <f>IF(AND(S988=1,OR(Report!$C$5="",B988=Report!$C$5)),MATCH(B988,Rooms!$B$6:$B$35,0)*10000+ROW(),"")</f>
        <v/>
      </c>
      <c r="W988">
        <f>IF(AND(S988=1,OR(J988="",J988="No")),1,0)</f>
        <v/>
      </c>
      <c r="X988">
        <f>IF(AND(S988=1,K988=""),1,0)</f>
        <v/>
      </c>
      <c r="Y988">
        <f>IF(AND(S988=1,Q988&lt;&gt;""),ROUND(T988*100,0)*10000+10000-ROW(),"")</f>
        <v/>
      </c>
    </row>
    <row r="989">
      <c r="A989" s="1" t="n"/>
      <c r="B989" s="17" t="n"/>
      <c r="C989" s="18" t="n"/>
      <c r="D989" s="17" t="n"/>
      <c r="E989" s="19" t="n"/>
      <c r="F989" s="19" t="n"/>
      <c r="G989" s="20" t="n"/>
      <c r="H989" s="21" t="n"/>
      <c r="I989" s="21" t="n"/>
      <c r="J989" s="17" t="n"/>
      <c r="K989" s="19" t="n"/>
      <c r="L989" s="20" t="n"/>
      <c r="M989" s="19" t="n"/>
      <c r="N989" s="22">
        <f>IF(C989="","",IF(ISNUMBER(I989),I989,IF(ISNUMBER(H989),H989,"")))</f>
        <v/>
      </c>
      <c r="O989" s="23">
        <f>IF(OR(C989="",NOT(ISNUMBER(G989))),"",(TODAY()-INT(G989))/365.25)</f>
        <v/>
      </c>
      <c r="P989" s="13">
        <f>IF(OR(C989="",NOT(ISNUMBER(L989))),"",IF(L989&lt;TODAY(),"Ended",IF(L989-TODAY()&lt;=N(Settings!$C$10),"Ends soon","Covered")))</f>
        <v/>
      </c>
      <c r="Q989" s="13">
        <f>IF(C989="","",MID(IF(N989="",", value","")&amp;IF(OR(J989="",J989="No"),", receipt","")&amp;IF(K989="",", photo",""),3,100))</f>
        <v/>
      </c>
      <c r="R989" s="13">
        <f>IF(AND(B989="",C989=""),"",IF(C989="","Needs the item",IF(B989="","Needs a room",IF(COUNTIF(Rooms!$B$6:$B$35,B989)=0,"Not on Rooms",IF(AND(H989&lt;&gt;"",NOT(ISNUMBER(H989))),"Paid not a number",IF(AND(I989&lt;&gt;"",NOT(ISNUMBER(I989))),"Worth not a number",IF(AND(G989&lt;&gt;"",NOT(ISNUMBER(G989))),"Bought is not a date",IF(AND(L989&lt;&gt;"",NOT(ISNUMBER(L989))),"Warranty is not a date",""))))))))</f>
        <v/>
      </c>
      <c r="S989" s="1">
        <f>IF(AND(C989&lt;&gt;"",R989=""),1,0)</f>
        <v/>
      </c>
      <c r="T989">
        <f>IF(S989=1,N(N989),0)</f>
        <v/>
      </c>
      <c r="U989">
        <f>IF(AND(S989=1,T989&gt;0),ROUND(T989*100,0)*10000+10000-ROW(),"")</f>
        <v/>
      </c>
      <c r="V989">
        <f>IF(AND(S989=1,OR(Report!$C$5="",B989=Report!$C$5)),MATCH(B989,Rooms!$B$6:$B$35,0)*10000+ROW(),"")</f>
        <v/>
      </c>
      <c r="W989">
        <f>IF(AND(S989=1,OR(J989="",J989="No")),1,0)</f>
        <v/>
      </c>
      <c r="X989">
        <f>IF(AND(S989=1,K989=""),1,0)</f>
        <v/>
      </c>
      <c r="Y989">
        <f>IF(AND(S989=1,Q989&lt;&gt;""),ROUND(T989*100,0)*10000+10000-ROW(),"")</f>
        <v/>
      </c>
    </row>
    <row r="990">
      <c r="A990" s="1" t="n"/>
      <c r="B990" s="17" t="n"/>
      <c r="C990" s="18" t="n"/>
      <c r="D990" s="17" t="n"/>
      <c r="E990" s="19" t="n"/>
      <c r="F990" s="19" t="n"/>
      <c r="G990" s="20" t="n"/>
      <c r="H990" s="21" t="n"/>
      <c r="I990" s="21" t="n"/>
      <c r="J990" s="17" t="n"/>
      <c r="K990" s="19" t="n"/>
      <c r="L990" s="20" t="n"/>
      <c r="M990" s="19" t="n"/>
      <c r="N990" s="22">
        <f>IF(C990="","",IF(ISNUMBER(I990),I990,IF(ISNUMBER(H990),H990,"")))</f>
        <v/>
      </c>
      <c r="O990" s="23">
        <f>IF(OR(C990="",NOT(ISNUMBER(G990))),"",(TODAY()-INT(G990))/365.25)</f>
        <v/>
      </c>
      <c r="P990" s="13">
        <f>IF(OR(C990="",NOT(ISNUMBER(L990))),"",IF(L990&lt;TODAY(),"Ended",IF(L990-TODAY()&lt;=N(Settings!$C$10),"Ends soon","Covered")))</f>
        <v/>
      </c>
      <c r="Q990" s="13">
        <f>IF(C990="","",MID(IF(N990="",", value","")&amp;IF(OR(J990="",J990="No"),", receipt","")&amp;IF(K990="",", photo",""),3,100))</f>
        <v/>
      </c>
      <c r="R990" s="13">
        <f>IF(AND(B990="",C990=""),"",IF(C990="","Needs the item",IF(B990="","Needs a room",IF(COUNTIF(Rooms!$B$6:$B$35,B990)=0,"Not on Rooms",IF(AND(H990&lt;&gt;"",NOT(ISNUMBER(H990))),"Paid not a number",IF(AND(I990&lt;&gt;"",NOT(ISNUMBER(I990))),"Worth not a number",IF(AND(G990&lt;&gt;"",NOT(ISNUMBER(G990))),"Bought is not a date",IF(AND(L990&lt;&gt;"",NOT(ISNUMBER(L990))),"Warranty is not a date",""))))))))</f>
        <v/>
      </c>
      <c r="S990" s="1">
        <f>IF(AND(C990&lt;&gt;"",R990=""),1,0)</f>
        <v/>
      </c>
      <c r="T990">
        <f>IF(S990=1,N(N990),0)</f>
        <v/>
      </c>
      <c r="U990">
        <f>IF(AND(S990=1,T990&gt;0),ROUND(T990*100,0)*10000+10000-ROW(),"")</f>
        <v/>
      </c>
      <c r="V990">
        <f>IF(AND(S990=1,OR(Report!$C$5="",B990=Report!$C$5)),MATCH(B990,Rooms!$B$6:$B$35,0)*10000+ROW(),"")</f>
        <v/>
      </c>
      <c r="W990">
        <f>IF(AND(S990=1,OR(J990="",J990="No")),1,0)</f>
        <v/>
      </c>
      <c r="X990">
        <f>IF(AND(S990=1,K990=""),1,0)</f>
        <v/>
      </c>
      <c r="Y990">
        <f>IF(AND(S990=1,Q990&lt;&gt;""),ROUND(T990*100,0)*10000+10000-ROW(),"")</f>
        <v/>
      </c>
    </row>
    <row r="991">
      <c r="A991" s="1" t="n"/>
      <c r="B991" s="17" t="n"/>
      <c r="C991" s="18" t="n"/>
      <c r="D991" s="17" t="n"/>
      <c r="E991" s="19" t="n"/>
      <c r="F991" s="19" t="n"/>
      <c r="G991" s="20" t="n"/>
      <c r="H991" s="21" t="n"/>
      <c r="I991" s="21" t="n"/>
      <c r="J991" s="17" t="n"/>
      <c r="K991" s="19" t="n"/>
      <c r="L991" s="20" t="n"/>
      <c r="M991" s="19" t="n"/>
      <c r="N991" s="22">
        <f>IF(C991="","",IF(ISNUMBER(I991),I991,IF(ISNUMBER(H991),H991,"")))</f>
        <v/>
      </c>
      <c r="O991" s="23">
        <f>IF(OR(C991="",NOT(ISNUMBER(G991))),"",(TODAY()-INT(G991))/365.25)</f>
        <v/>
      </c>
      <c r="P991" s="13">
        <f>IF(OR(C991="",NOT(ISNUMBER(L991))),"",IF(L991&lt;TODAY(),"Ended",IF(L991-TODAY()&lt;=N(Settings!$C$10),"Ends soon","Covered")))</f>
        <v/>
      </c>
      <c r="Q991" s="13">
        <f>IF(C991="","",MID(IF(N991="",", value","")&amp;IF(OR(J991="",J991="No"),", receipt","")&amp;IF(K991="",", photo",""),3,100))</f>
        <v/>
      </c>
      <c r="R991" s="13">
        <f>IF(AND(B991="",C991=""),"",IF(C991="","Needs the item",IF(B991="","Needs a room",IF(COUNTIF(Rooms!$B$6:$B$35,B991)=0,"Not on Rooms",IF(AND(H991&lt;&gt;"",NOT(ISNUMBER(H991))),"Paid not a number",IF(AND(I991&lt;&gt;"",NOT(ISNUMBER(I991))),"Worth not a number",IF(AND(G991&lt;&gt;"",NOT(ISNUMBER(G991))),"Bought is not a date",IF(AND(L991&lt;&gt;"",NOT(ISNUMBER(L991))),"Warranty is not a date",""))))))))</f>
        <v/>
      </c>
      <c r="S991" s="1">
        <f>IF(AND(C991&lt;&gt;"",R991=""),1,0)</f>
        <v/>
      </c>
      <c r="T991">
        <f>IF(S991=1,N(N991),0)</f>
        <v/>
      </c>
      <c r="U991">
        <f>IF(AND(S991=1,T991&gt;0),ROUND(T991*100,0)*10000+10000-ROW(),"")</f>
        <v/>
      </c>
      <c r="V991">
        <f>IF(AND(S991=1,OR(Report!$C$5="",B991=Report!$C$5)),MATCH(B991,Rooms!$B$6:$B$35,0)*10000+ROW(),"")</f>
        <v/>
      </c>
      <c r="W991">
        <f>IF(AND(S991=1,OR(J991="",J991="No")),1,0)</f>
        <v/>
      </c>
      <c r="X991">
        <f>IF(AND(S991=1,K991=""),1,0)</f>
        <v/>
      </c>
      <c r="Y991">
        <f>IF(AND(S991=1,Q991&lt;&gt;""),ROUND(T991*100,0)*10000+10000-ROW(),"")</f>
        <v/>
      </c>
    </row>
    <row r="992">
      <c r="A992" s="1" t="n"/>
      <c r="B992" s="17" t="n"/>
      <c r="C992" s="18" t="n"/>
      <c r="D992" s="17" t="n"/>
      <c r="E992" s="19" t="n"/>
      <c r="F992" s="19" t="n"/>
      <c r="G992" s="20" t="n"/>
      <c r="H992" s="21" t="n"/>
      <c r="I992" s="21" t="n"/>
      <c r="J992" s="17" t="n"/>
      <c r="K992" s="19" t="n"/>
      <c r="L992" s="20" t="n"/>
      <c r="M992" s="19" t="n"/>
      <c r="N992" s="22">
        <f>IF(C992="","",IF(ISNUMBER(I992),I992,IF(ISNUMBER(H992),H992,"")))</f>
        <v/>
      </c>
      <c r="O992" s="23">
        <f>IF(OR(C992="",NOT(ISNUMBER(G992))),"",(TODAY()-INT(G992))/365.25)</f>
        <v/>
      </c>
      <c r="P992" s="13">
        <f>IF(OR(C992="",NOT(ISNUMBER(L992))),"",IF(L992&lt;TODAY(),"Ended",IF(L992-TODAY()&lt;=N(Settings!$C$10),"Ends soon","Covered")))</f>
        <v/>
      </c>
      <c r="Q992" s="13">
        <f>IF(C992="","",MID(IF(N992="",", value","")&amp;IF(OR(J992="",J992="No"),", receipt","")&amp;IF(K992="",", photo",""),3,100))</f>
        <v/>
      </c>
      <c r="R992" s="13">
        <f>IF(AND(B992="",C992=""),"",IF(C992="","Needs the item",IF(B992="","Needs a room",IF(COUNTIF(Rooms!$B$6:$B$35,B992)=0,"Not on Rooms",IF(AND(H992&lt;&gt;"",NOT(ISNUMBER(H992))),"Paid not a number",IF(AND(I992&lt;&gt;"",NOT(ISNUMBER(I992))),"Worth not a number",IF(AND(G992&lt;&gt;"",NOT(ISNUMBER(G992))),"Bought is not a date",IF(AND(L992&lt;&gt;"",NOT(ISNUMBER(L992))),"Warranty is not a date",""))))))))</f>
        <v/>
      </c>
      <c r="S992" s="1">
        <f>IF(AND(C992&lt;&gt;"",R992=""),1,0)</f>
        <v/>
      </c>
      <c r="T992">
        <f>IF(S992=1,N(N992),0)</f>
        <v/>
      </c>
      <c r="U992">
        <f>IF(AND(S992=1,T992&gt;0),ROUND(T992*100,0)*10000+10000-ROW(),"")</f>
        <v/>
      </c>
      <c r="V992">
        <f>IF(AND(S992=1,OR(Report!$C$5="",B992=Report!$C$5)),MATCH(B992,Rooms!$B$6:$B$35,0)*10000+ROW(),"")</f>
        <v/>
      </c>
      <c r="W992">
        <f>IF(AND(S992=1,OR(J992="",J992="No")),1,0)</f>
        <v/>
      </c>
      <c r="X992">
        <f>IF(AND(S992=1,K992=""),1,0)</f>
        <v/>
      </c>
      <c r="Y992">
        <f>IF(AND(S992=1,Q992&lt;&gt;""),ROUND(T992*100,0)*10000+10000-ROW(),"")</f>
        <v/>
      </c>
    </row>
    <row r="993">
      <c r="A993" s="1" t="n"/>
      <c r="B993" s="17" t="n"/>
      <c r="C993" s="18" t="n"/>
      <c r="D993" s="17" t="n"/>
      <c r="E993" s="19" t="n"/>
      <c r="F993" s="19" t="n"/>
      <c r="G993" s="20" t="n"/>
      <c r="H993" s="21" t="n"/>
      <c r="I993" s="21" t="n"/>
      <c r="J993" s="17" t="n"/>
      <c r="K993" s="19" t="n"/>
      <c r="L993" s="20" t="n"/>
      <c r="M993" s="19" t="n"/>
      <c r="N993" s="22">
        <f>IF(C993="","",IF(ISNUMBER(I993),I993,IF(ISNUMBER(H993),H993,"")))</f>
        <v/>
      </c>
      <c r="O993" s="23">
        <f>IF(OR(C993="",NOT(ISNUMBER(G993))),"",(TODAY()-INT(G993))/365.25)</f>
        <v/>
      </c>
      <c r="P993" s="13">
        <f>IF(OR(C993="",NOT(ISNUMBER(L993))),"",IF(L993&lt;TODAY(),"Ended",IF(L993-TODAY()&lt;=N(Settings!$C$10),"Ends soon","Covered")))</f>
        <v/>
      </c>
      <c r="Q993" s="13">
        <f>IF(C993="","",MID(IF(N993="",", value","")&amp;IF(OR(J993="",J993="No"),", receipt","")&amp;IF(K993="",", photo",""),3,100))</f>
        <v/>
      </c>
      <c r="R993" s="13">
        <f>IF(AND(B993="",C993=""),"",IF(C993="","Needs the item",IF(B993="","Needs a room",IF(COUNTIF(Rooms!$B$6:$B$35,B993)=0,"Not on Rooms",IF(AND(H993&lt;&gt;"",NOT(ISNUMBER(H993))),"Paid not a number",IF(AND(I993&lt;&gt;"",NOT(ISNUMBER(I993))),"Worth not a number",IF(AND(G993&lt;&gt;"",NOT(ISNUMBER(G993))),"Bought is not a date",IF(AND(L993&lt;&gt;"",NOT(ISNUMBER(L993))),"Warranty is not a date",""))))))))</f>
        <v/>
      </c>
      <c r="S993" s="1">
        <f>IF(AND(C993&lt;&gt;"",R993=""),1,0)</f>
        <v/>
      </c>
      <c r="T993">
        <f>IF(S993=1,N(N993),0)</f>
        <v/>
      </c>
      <c r="U993">
        <f>IF(AND(S993=1,T993&gt;0),ROUND(T993*100,0)*10000+10000-ROW(),"")</f>
        <v/>
      </c>
      <c r="V993">
        <f>IF(AND(S993=1,OR(Report!$C$5="",B993=Report!$C$5)),MATCH(B993,Rooms!$B$6:$B$35,0)*10000+ROW(),"")</f>
        <v/>
      </c>
      <c r="W993">
        <f>IF(AND(S993=1,OR(J993="",J993="No")),1,0)</f>
        <v/>
      </c>
      <c r="X993">
        <f>IF(AND(S993=1,K993=""),1,0)</f>
        <v/>
      </c>
      <c r="Y993">
        <f>IF(AND(S993=1,Q993&lt;&gt;""),ROUND(T993*100,0)*10000+10000-ROW(),"")</f>
        <v/>
      </c>
    </row>
    <row r="994">
      <c r="A994" s="1" t="n"/>
      <c r="B994" s="17" t="n"/>
      <c r="C994" s="18" t="n"/>
      <c r="D994" s="17" t="n"/>
      <c r="E994" s="19" t="n"/>
      <c r="F994" s="19" t="n"/>
      <c r="G994" s="20" t="n"/>
      <c r="H994" s="21" t="n"/>
      <c r="I994" s="21" t="n"/>
      <c r="J994" s="17" t="n"/>
      <c r="K994" s="19" t="n"/>
      <c r="L994" s="20" t="n"/>
      <c r="M994" s="19" t="n"/>
      <c r="N994" s="22">
        <f>IF(C994="","",IF(ISNUMBER(I994),I994,IF(ISNUMBER(H994),H994,"")))</f>
        <v/>
      </c>
      <c r="O994" s="23">
        <f>IF(OR(C994="",NOT(ISNUMBER(G994))),"",(TODAY()-INT(G994))/365.25)</f>
        <v/>
      </c>
      <c r="P994" s="13">
        <f>IF(OR(C994="",NOT(ISNUMBER(L994))),"",IF(L994&lt;TODAY(),"Ended",IF(L994-TODAY()&lt;=N(Settings!$C$10),"Ends soon","Covered")))</f>
        <v/>
      </c>
      <c r="Q994" s="13">
        <f>IF(C994="","",MID(IF(N994="",", value","")&amp;IF(OR(J994="",J994="No"),", receipt","")&amp;IF(K994="",", photo",""),3,100))</f>
        <v/>
      </c>
      <c r="R994" s="13">
        <f>IF(AND(B994="",C994=""),"",IF(C994="","Needs the item",IF(B994="","Needs a room",IF(COUNTIF(Rooms!$B$6:$B$35,B994)=0,"Not on Rooms",IF(AND(H994&lt;&gt;"",NOT(ISNUMBER(H994))),"Paid not a number",IF(AND(I994&lt;&gt;"",NOT(ISNUMBER(I994))),"Worth not a number",IF(AND(G994&lt;&gt;"",NOT(ISNUMBER(G994))),"Bought is not a date",IF(AND(L994&lt;&gt;"",NOT(ISNUMBER(L994))),"Warranty is not a date",""))))))))</f>
        <v/>
      </c>
      <c r="S994" s="1">
        <f>IF(AND(C994&lt;&gt;"",R994=""),1,0)</f>
        <v/>
      </c>
      <c r="T994">
        <f>IF(S994=1,N(N994),0)</f>
        <v/>
      </c>
      <c r="U994">
        <f>IF(AND(S994=1,T994&gt;0),ROUND(T994*100,0)*10000+10000-ROW(),"")</f>
        <v/>
      </c>
      <c r="V994">
        <f>IF(AND(S994=1,OR(Report!$C$5="",B994=Report!$C$5)),MATCH(B994,Rooms!$B$6:$B$35,0)*10000+ROW(),"")</f>
        <v/>
      </c>
      <c r="W994">
        <f>IF(AND(S994=1,OR(J994="",J994="No")),1,0)</f>
        <v/>
      </c>
      <c r="X994">
        <f>IF(AND(S994=1,K994=""),1,0)</f>
        <v/>
      </c>
      <c r="Y994">
        <f>IF(AND(S994=1,Q994&lt;&gt;""),ROUND(T994*100,0)*10000+10000-ROW(),"")</f>
        <v/>
      </c>
    </row>
    <row r="995">
      <c r="A995" s="1" t="n"/>
      <c r="B995" s="17" t="n"/>
      <c r="C995" s="18" t="n"/>
      <c r="D995" s="17" t="n"/>
      <c r="E995" s="19" t="n"/>
      <c r="F995" s="19" t="n"/>
      <c r="G995" s="20" t="n"/>
      <c r="H995" s="21" t="n"/>
      <c r="I995" s="21" t="n"/>
      <c r="J995" s="17" t="n"/>
      <c r="K995" s="19" t="n"/>
      <c r="L995" s="20" t="n"/>
      <c r="M995" s="19" t="n"/>
      <c r="N995" s="22">
        <f>IF(C995="","",IF(ISNUMBER(I995),I995,IF(ISNUMBER(H995),H995,"")))</f>
        <v/>
      </c>
      <c r="O995" s="23">
        <f>IF(OR(C995="",NOT(ISNUMBER(G995))),"",(TODAY()-INT(G995))/365.25)</f>
        <v/>
      </c>
      <c r="P995" s="13">
        <f>IF(OR(C995="",NOT(ISNUMBER(L995))),"",IF(L995&lt;TODAY(),"Ended",IF(L995-TODAY()&lt;=N(Settings!$C$10),"Ends soon","Covered")))</f>
        <v/>
      </c>
      <c r="Q995" s="13">
        <f>IF(C995="","",MID(IF(N995="",", value","")&amp;IF(OR(J995="",J995="No"),", receipt","")&amp;IF(K995="",", photo",""),3,100))</f>
        <v/>
      </c>
      <c r="R995" s="13">
        <f>IF(AND(B995="",C995=""),"",IF(C995="","Needs the item",IF(B995="","Needs a room",IF(COUNTIF(Rooms!$B$6:$B$35,B995)=0,"Not on Rooms",IF(AND(H995&lt;&gt;"",NOT(ISNUMBER(H995))),"Paid not a number",IF(AND(I995&lt;&gt;"",NOT(ISNUMBER(I995))),"Worth not a number",IF(AND(G995&lt;&gt;"",NOT(ISNUMBER(G995))),"Bought is not a date",IF(AND(L995&lt;&gt;"",NOT(ISNUMBER(L995))),"Warranty is not a date",""))))))))</f>
        <v/>
      </c>
      <c r="S995" s="1">
        <f>IF(AND(C995&lt;&gt;"",R995=""),1,0)</f>
        <v/>
      </c>
      <c r="T995">
        <f>IF(S995=1,N(N995),0)</f>
        <v/>
      </c>
      <c r="U995">
        <f>IF(AND(S995=1,T995&gt;0),ROUND(T995*100,0)*10000+10000-ROW(),"")</f>
        <v/>
      </c>
      <c r="V995">
        <f>IF(AND(S995=1,OR(Report!$C$5="",B995=Report!$C$5)),MATCH(B995,Rooms!$B$6:$B$35,0)*10000+ROW(),"")</f>
        <v/>
      </c>
      <c r="W995">
        <f>IF(AND(S995=1,OR(J995="",J995="No")),1,0)</f>
        <v/>
      </c>
      <c r="X995">
        <f>IF(AND(S995=1,K995=""),1,0)</f>
        <v/>
      </c>
      <c r="Y995">
        <f>IF(AND(S995=1,Q995&lt;&gt;""),ROUND(T995*100,0)*10000+10000-ROW(),"")</f>
        <v/>
      </c>
    </row>
    <row r="996">
      <c r="A996" s="1" t="n"/>
      <c r="B996" s="17" t="n"/>
      <c r="C996" s="18" t="n"/>
      <c r="D996" s="17" t="n"/>
      <c r="E996" s="19" t="n"/>
      <c r="F996" s="19" t="n"/>
      <c r="G996" s="20" t="n"/>
      <c r="H996" s="21" t="n"/>
      <c r="I996" s="21" t="n"/>
      <c r="J996" s="17" t="n"/>
      <c r="K996" s="19" t="n"/>
      <c r="L996" s="20" t="n"/>
      <c r="M996" s="19" t="n"/>
      <c r="N996" s="22">
        <f>IF(C996="","",IF(ISNUMBER(I996),I996,IF(ISNUMBER(H996),H996,"")))</f>
        <v/>
      </c>
      <c r="O996" s="23">
        <f>IF(OR(C996="",NOT(ISNUMBER(G996))),"",(TODAY()-INT(G996))/365.25)</f>
        <v/>
      </c>
      <c r="P996" s="13">
        <f>IF(OR(C996="",NOT(ISNUMBER(L996))),"",IF(L996&lt;TODAY(),"Ended",IF(L996-TODAY()&lt;=N(Settings!$C$10),"Ends soon","Covered")))</f>
        <v/>
      </c>
      <c r="Q996" s="13">
        <f>IF(C996="","",MID(IF(N996="",", value","")&amp;IF(OR(J996="",J996="No"),", receipt","")&amp;IF(K996="",", photo",""),3,100))</f>
        <v/>
      </c>
      <c r="R996" s="13">
        <f>IF(AND(B996="",C996=""),"",IF(C996="","Needs the item",IF(B996="","Needs a room",IF(COUNTIF(Rooms!$B$6:$B$35,B996)=0,"Not on Rooms",IF(AND(H996&lt;&gt;"",NOT(ISNUMBER(H996))),"Paid not a number",IF(AND(I996&lt;&gt;"",NOT(ISNUMBER(I996))),"Worth not a number",IF(AND(G996&lt;&gt;"",NOT(ISNUMBER(G996))),"Bought is not a date",IF(AND(L996&lt;&gt;"",NOT(ISNUMBER(L996))),"Warranty is not a date",""))))))))</f>
        <v/>
      </c>
      <c r="S996" s="1">
        <f>IF(AND(C996&lt;&gt;"",R996=""),1,0)</f>
        <v/>
      </c>
      <c r="T996">
        <f>IF(S996=1,N(N996),0)</f>
        <v/>
      </c>
      <c r="U996">
        <f>IF(AND(S996=1,T996&gt;0),ROUND(T996*100,0)*10000+10000-ROW(),"")</f>
        <v/>
      </c>
      <c r="V996">
        <f>IF(AND(S996=1,OR(Report!$C$5="",B996=Report!$C$5)),MATCH(B996,Rooms!$B$6:$B$35,0)*10000+ROW(),"")</f>
        <v/>
      </c>
      <c r="W996">
        <f>IF(AND(S996=1,OR(J996="",J996="No")),1,0)</f>
        <v/>
      </c>
      <c r="X996">
        <f>IF(AND(S996=1,K996=""),1,0)</f>
        <v/>
      </c>
      <c r="Y996">
        <f>IF(AND(S996=1,Q996&lt;&gt;""),ROUND(T996*100,0)*10000+10000-ROW(),"")</f>
        <v/>
      </c>
    </row>
    <row r="997">
      <c r="A997" s="1" t="n"/>
      <c r="B997" s="17" t="n"/>
      <c r="C997" s="18" t="n"/>
      <c r="D997" s="17" t="n"/>
      <c r="E997" s="19" t="n"/>
      <c r="F997" s="19" t="n"/>
      <c r="G997" s="20" t="n"/>
      <c r="H997" s="21" t="n"/>
      <c r="I997" s="21" t="n"/>
      <c r="J997" s="17" t="n"/>
      <c r="K997" s="19" t="n"/>
      <c r="L997" s="20" t="n"/>
      <c r="M997" s="19" t="n"/>
      <c r="N997" s="22">
        <f>IF(C997="","",IF(ISNUMBER(I997),I997,IF(ISNUMBER(H997),H997,"")))</f>
        <v/>
      </c>
      <c r="O997" s="23">
        <f>IF(OR(C997="",NOT(ISNUMBER(G997))),"",(TODAY()-INT(G997))/365.25)</f>
        <v/>
      </c>
      <c r="P997" s="13">
        <f>IF(OR(C997="",NOT(ISNUMBER(L997))),"",IF(L997&lt;TODAY(),"Ended",IF(L997-TODAY()&lt;=N(Settings!$C$10),"Ends soon","Covered")))</f>
        <v/>
      </c>
      <c r="Q997" s="13">
        <f>IF(C997="","",MID(IF(N997="",", value","")&amp;IF(OR(J997="",J997="No"),", receipt","")&amp;IF(K997="",", photo",""),3,100))</f>
        <v/>
      </c>
      <c r="R997" s="13">
        <f>IF(AND(B997="",C997=""),"",IF(C997="","Needs the item",IF(B997="","Needs a room",IF(COUNTIF(Rooms!$B$6:$B$35,B997)=0,"Not on Rooms",IF(AND(H997&lt;&gt;"",NOT(ISNUMBER(H997))),"Paid not a number",IF(AND(I997&lt;&gt;"",NOT(ISNUMBER(I997))),"Worth not a number",IF(AND(G997&lt;&gt;"",NOT(ISNUMBER(G997))),"Bought is not a date",IF(AND(L997&lt;&gt;"",NOT(ISNUMBER(L997))),"Warranty is not a date",""))))))))</f>
        <v/>
      </c>
      <c r="S997" s="1">
        <f>IF(AND(C997&lt;&gt;"",R997=""),1,0)</f>
        <v/>
      </c>
      <c r="T997">
        <f>IF(S997=1,N(N997),0)</f>
        <v/>
      </c>
      <c r="U997">
        <f>IF(AND(S997=1,T997&gt;0),ROUND(T997*100,0)*10000+10000-ROW(),"")</f>
        <v/>
      </c>
      <c r="V997">
        <f>IF(AND(S997=1,OR(Report!$C$5="",B997=Report!$C$5)),MATCH(B997,Rooms!$B$6:$B$35,0)*10000+ROW(),"")</f>
        <v/>
      </c>
      <c r="W997">
        <f>IF(AND(S997=1,OR(J997="",J997="No")),1,0)</f>
        <v/>
      </c>
      <c r="X997">
        <f>IF(AND(S997=1,K997=""),1,0)</f>
        <v/>
      </c>
      <c r="Y997">
        <f>IF(AND(S997=1,Q997&lt;&gt;""),ROUND(T997*100,0)*10000+10000-ROW(),"")</f>
        <v/>
      </c>
    </row>
    <row r="998">
      <c r="A998" s="1" t="n"/>
      <c r="B998" s="17" t="n"/>
      <c r="C998" s="18" t="n"/>
      <c r="D998" s="17" t="n"/>
      <c r="E998" s="19" t="n"/>
      <c r="F998" s="19" t="n"/>
      <c r="G998" s="20" t="n"/>
      <c r="H998" s="21" t="n"/>
      <c r="I998" s="21" t="n"/>
      <c r="J998" s="17" t="n"/>
      <c r="K998" s="19" t="n"/>
      <c r="L998" s="20" t="n"/>
      <c r="M998" s="19" t="n"/>
      <c r="N998" s="22">
        <f>IF(C998="","",IF(ISNUMBER(I998),I998,IF(ISNUMBER(H998),H998,"")))</f>
        <v/>
      </c>
      <c r="O998" s="23">
        <f>IF(OR(C998="",NOT(ISNUMBER(G998))),"",(TODAY()-INT(G998))/365.25)</f>
        <v/>
      </c>
      <c r="P998" s="13">
        <f>IF(OR(C998="",NOT(ISNUMBER(L998))),"",IF(L998&lt;TODAY(),"Ended",IF(L998-TODAY()&lt;=N(Settings!$C$10),"Ends soon","Covered")))</f>
        <v/>
      </c>
      <c r="Q998" s="13">
        <f>IF(C998="","",MID(IF(N998="",", value","")&amp;IF(OR(J998="",J998="No"),", receipt","")&amp;IF(K998="",", photo",""),3,100))</f>
        <v/>
      </c>
      <c r="R998" s="13">
        <f>IF(AND(B998="",C998=""),"",IF(C998="","Needs the item",IF(B998="","Needs a room",IF(COUNTIF(Rooms!$B$6:$B$35,B998)=0,"Not on Rooms",IF(AND(H998&lt;&gt;"",NOT(ISNUMBER(H998))),"Paid not a number",IF(AND(I998&lt;&gt;"",NOT(ISNUMBER(I998))),"Worth not a number",IF(AND(G998&lt;&gt;"",NOT(ISNUMBER(G998))),"Bought is not a date",IF(AND(L998&lt;&gt;"",NOT(ISNUMBER(L998))),"Warranty is not a date",""))))))))</f>
        <v/>
      </c>
      <c r="S998" s="1">
        <f>IF(AND(C998&lt;&gt;"",R998=""),1,0)</f>
        <v/>
      </c>
      <c r="T998">
        <f>IF(S998=1,N(N998),0)</f>
        <v/>
      </c>
      <c r="U998">
        <f>IF(AND(S998=1,T998&gt;0),ROUND(T998*100,0)*10000+10000-ROW(),"")</f>
        <v/>
      </c>
      <c r="V998">
        <f>IF(AND(S998=1,OR(Report!$C$5="",B998=Report!$C$5)),MATCH(B998,Rooms!$B$6:$B$35,0)*10000+ROW(),"")</f>
        <v/>
      </c>
      <c r="W998">
        <f>IF(AND(S998=1,OR(J998="",J998="No")),1,0)</f>
        <v/>
      </c>
      <c r="X998">
        <f>IF(AND(S998=1,K998=""),1,0)</f>
        <v/>
      </c>
      <c r="Y998">
        <f>IF(AND(S998=1,Q998&lt;&gt;""),ROUND(T998*100,0)*10000+10000-ROW(),"")</f>
        <v/>
      </c>
    </row>
    <row r="999">
      <c r="A999" s="1" t="n"/>
      <c r="B999" s="17" t="n"/>
      <c r="C999" s="18" t="n"/>
      <c r="D999" s="17" t="n"/>
      <c r="E999" s="19" t="n"/>
      <c r="F999" s="19" t="n"/>
      <c r="G999" s="20" t="n"/>
      <c r="H999" s="21" t="n"/>
      <c r="I999" s="21" t="n"/>
      <c r="J999" s="17" t="n"/>
      <c r="K999" s="19" t="n"/>
      <c r="L999" s="20" t="n"/>
      <c r="M999" s="19" t="n"/>
      <c r="N999" s="22">
        <f>IF(C999="","",IF(ISNUMBER(I999),I999,IF(ISNUMBER(H999),H999,"")))</f>
        <v/>
      </c>
      <c r="O999" s="23">
        <f>IF(OR(C999="",NOT(ISNUMBER(G999))),"",(TODAY()-INT(G999))/365.25)</f>
        <v/>
      </c>
      <c r="P999" s="13">
        <f>IF(OR(C999="",NOT(ISNUMBER(L999))),"",IF(L999&lt;TODAY(),"Ended",IF(L999-TODAY()&lt;=N(Settings!$C$10),"Ends soon","Covered")))</f>
        <v/>
      </c>
      <c r="Q999" s="13">
        <f>IF(C999="","",MID(IF(N999="",", value","")&amp;IF(OR(J999="",J999="No"),", receipt","")&amp;IF(K999="",", photo",""),3,100))</f>
        <v/>
      </c>
      <c r="R999" s="13">
        <f>IF(AND(B999="",C999=""),"",IF(C999="","Needs the item",IF(B999="","Needs a room",IF(COUNTIF(Rooms!$B$6:$B$35,B999)=0,"Not on Rooms",IF(AND(H999&lt;&gt;"",NOT(ISNUMBER(H999))),"Paid not a number",IF(AND(I999&lt;&gt;"",NOT(ISNUMBER(I999))),"Worth not a number",IF(AND(G999&lt;&gt;"",NOT(ISNUMBER(G999))),"Bought is not a date",IF(AND(L999&lt;&gt;"",NOT(ISNUMBER(L999))),"Warranty is not a date",""))))))))</f>
        <v/>
      </c>
      <c r="S999" s="1">
        <f>IF(AND(C999&lt;&gt;"",R999=""),1,0)</f>
        <v/>
      </c>
      <c r="T999">
        <f>IF(S999=1,N(N999),0)</f>
        <v/>
      </c>
      <c r="U999">
        <f>IF(AND(S999=1,T999&gt;0),ROUND(T999*100,0)*10000+10000-ROW(),"")</f>
        <v/>
      </c>
      <c r="V999">
        <f>IF(AND(S999=1,OR(Report!$C$5="",B999=Report!$C$5)),MATCH(B999,Rooms!$B$6:$B$35,0)*10000+ROW(),"")</f>
        <v/>
      </c>
      <c r="W999">
        <f>IF(AND(S999=1,OR(J999="",J999="No")),1,0)</f>
        <v/>
      </c>
      <c r="X999">
        <f>IF(AND(S999=1,K999=""),1,0)</f>
        <v/>
      </c>
      <c r="Y999">
        <f>IF(AND(S999=1,Q999&lt;&gt;""),ROUND(T999*100,0)*10000+10000-ROW(),"")</f>
        <v/>
      </c>
    </row>
    <row r="1000">
      <c r="A1000" s="1" t="n"/>
      <c r="B1000" s="17" t="n"/>
      <c r="C1000" s="18" t="n"/>
      <c r="D1000" s="17" t="n"/>
      <c r="E1000" s="19" t="n"/>
      <c r="F1000" s="19" t="n"/>
      <c r="G1000" s="20" t="n"/>
      <c r="H1000" s="21" t="n"/>
      <c r="I1000" s="21" t="n"/>
      <c r="J1000" s="17" t="n"/>
      <c r="K1000" s="19" t="n"/>
      <c r="L1000" s="20" t="n"/>
      <c r="M1000" s="19" t="n"/>
      <c r="N1000" s="22">
        <f>IF(C1000="","",IF(ISNUMBER(I1000),I1000,IF(ISNUMBER(H1000),H1000,"")))</f>
        <v/>
      </c>
      <c r="O1000" s="23">
        <f>IF(OR(C1000="",NOT(ISNUMBER(G1000))),"",(TODAY()-INT(G1000))/365.25)</f>
        <v/>
      </c>
      <c r="P1000" s="13">
        <f>IF(OR(C1000="",NOT(ISNUMBER(L1000))),"",IF(L1000&lt;TODAY(),"Ended",IF(L1000-TODAY()&lt;=N(Settings!$C$10),"Ends soon","Covered")))</f>
        <v/>
      </c>
      <c r="Q1000" s="13">
        <f>IF(C1000="","",MID(IF(N1000="",", value","")&amp;IF(OR(J1000="",J1000="No"),", receipt","")&amp;IF(K1000="",", photo",""),3,100))</f>
        <v/>
      </c>
      <c r="R1000" s="13">
        <f>IF(AND(B1000="",C1000=""),"",IF(C1000="","Needs the item",IF(B1000="","Needs a room",IF(COUNTIF(Rooms!$B$6:$B$35,B1000)=0,"Not on Rooms",IF(AND(H1000&lt;&gt;"",NOT(ISNUMBER(H1000))),"Paid not a number",IF(AND(I1000&lt;&gt;"",NOT(ISNUMBER(I1000))),"Worth not a number",IF(AND(G1000&lt;&gt;"",NOT(ISNUMBER(G1000))),"Bought is not a date",IF(AND(L1000&lt;&gt;"",NOT(ISNUMBER(L1000))),"Warranty is not a date",""))))))))</f>
        <v/>
      </c>
      <c r="S1000" s="1">
        <f>IF(AND(C1000&lt;&gt;"",R1000=""),1,0)</f>
        <v/>
      </c>
      <c r="T1000">
        <f>IF(S1000=1,N(N1000),0)</f>
        <v/>
      </c>
      <c r="U1000">
        <f>IF(AND(S1000=1,T1000&gt;0),ROUND(T1000*100,0)*10000+10000-ROW(),"")</f>
        <v/>
      </c>
      <c r="V1000">
        <f>IF(AND(S1000=1,OR(Report!$C$5="",B1000=Report!$C$5)),MATCH(B1000,Rooms!$B$6:$B$35,0)*10000+ROW(),"")</f>
        <v/>
      </c>
      <c r="W1000">
        <f>IF(AND(S1000=1,OR(J1000="",J1000="No")),1,0)</f>
        <v/>
      </c>
      <c r="X1000">
        <f>IF(AND(S1000=1,K1000=""),1,0)</f>
        <v/>
      </c>
      <c r="Y1000">
        <f>IF(AND(S1000=1,Q1000&lt;&gt;""),ROUND(T1000*100,0)*10000+10000-ROW(),"")</f>
        <v/>
      </c>
    </row>
    <row r="1001">
      <c r="A1001" s="1" t="n"/>
      <c r="B1001" s="17" t="n"/>
      <c r="C1001" s="18" t="n"/>
      <c r="D1001" s="17" t="n"/>
      <c r="E1001" s="19" t="n"/>
      <c r="F1001" s="19" t="n"/>
      <c r="G1001" s="20" t="n"/>
      <c r="H1001" s="21" t="n"/>
      <c r="I1001" s="21" t="n"/>
      <c r="J1001" s="17" t="n"/>
      <c r="K1001" s="19" t="n"/>
      <c r="L1001" s="20" t="n"/>
      <c r="M1001" s="19" t="n"/>
      <c r="N1001" s="22">
        <f>IF(C1001="","",IF(ISNUMBER(I1001),I1001,IF(ISNUMBER(H1001),H1001,"")))</f>
        <v/>
      </c>
      <c r="O1001" s="23">
        <f>IF(OR(C1001="",NOT(ISNUMBER(G1001))),"",(TODAY()-INT(G1001))/365.25)</f>
        <v/>
      </c>
      <c r="P1001" s="13">
        <f>IF(OR(C1001="",NOT(ISNUMBER(L1001))),"",IF(L1001&lt;TODAY(),"Ended",IF(L1001-TODAY()&lt;=N(Settings!$C$10),"Ends soon","Covered")))</f>
        <v/>
      </c>
      <c r="Q1001" s="13">
        <f>IF(C1001="","",MID(IF(N1001="",", value","")&amp;IF(OR(J1001="",J1001="No"),", receipt","")&amp;IF(K1001="",", photo",""),3,100))</f>
        <v/>
      </c>
      <c r="R1001" s="13">
        <f>IF(AND(B1001="",C1001=""),"",IF(C1001="","Needs the item",IF(B1001="","Needs a room",IF(COUNTIF(Rooms!$B$6:$B$35,B1001)=0,"Not on Rooms",IF(AND(H1001&lt;&gt;"",NOT(ISNUMBER(H1001))),"Paid not a number",IF(AND(I1001&lt;&gt;"",NOT(ISNUMBER(I1001))),"Worth not a number",IF(AND(G1001&lt;&gt;"",NOT(ISNUMBER(G1001))),"Bought is not a date",IF(AND(L1001&lt;&gt;"",NOT(ISNUMBER(L1001))),"Warranty is not a date",""))))))))</f>
        <v/>
      </c>
      <c r="S1001" s="1">
        <f>IF(AND(C1001&lt;&gt;"",R1001=""),1,0)</f>
        <v/>
      </c>
      <c r="T1001">
        <f>IF(S1001=1,N(N1001),0)</f>
        <v/>
      </c>
      <c r="U1001">
        <f>IF(AND(S1001=1,T1001&gt;0),ROUND(T1001*100,0)*10000+10000-ROW(),"")</f>
        <v/>
      </c>
      <c r="V1001">
        <f>IF(AND(S1001=1,OR(Report!$C$5="",B1001=Report!$C$5)),MATCH(B1001,Rooms!$B$6:$B$35,0)*10000+ROW(),"")</f>
        <v/>
      </c>
      <c r="W1001">
        <f>IF(AND(S1001=1,OR(J1001="",J1001="No")),1,0)</f>
        <v/>
      </c>
      <c r="X1001">
        <f>IF(AND(S1001=1,K1001=""),1,0)</f>
        <v/>
      </c>
      <c r="Y1001">
        <f>IF(AND(S1001=1,Q1001&lt;&gt;""),ROUND(T1001*100,0)*10000+10000-ROW(),"")</f>
        <v/>
      </c>
    </row>
    <row r="1002">
      <c r="A1002" s="1" t="n"/>
      <c r="B1002" s="17" t="n"/>
      <c r="C1002" s="18" t="n"/>
      <c r="D1002" s="17" t="n"/>
      <c r="E1002" s="19" t="n"/>
      <c r="F1002" s="19" t="n"/>
      <c r="G1002" s="20" t="n"/>
      <c r="H1002" s="21" t="n"/>
      <c r="I1002" s="21" t="n"/>
      <c r="J1002" s="17" t="n"/>
      <c r="K1002" s="19" t="n"/>
      <c r="L1002" s="20" t="n"/>
      <c r="M1002" s="19" t="n"/>
      <c r="N1002" s="22">
        <f>IF(C1002="","",IF(ISNUMBER(I1002),I1002,IF(ISNUMBER(H1002),H1002,"")))</f>
        <v/>
      </c>
      <c r="O1002" s="23">
        <f>IF(OR(C1002="",NOT(ISNUMBER(G1002))),"",(TODAY()-INT(G1002))/365.25)</f>
        <v/>
      </c>
      <c r="P1002" s="13">
        <f>IF(OR(C1002="",NOT(ISNUMBER(L1002))),"",IF(L1002&lt;TODAY(),"Ended",IF(L1002-TODAY()&lt;=N(Settings!$C$10),"Ends soon","Covered")))</f>
        <v/>
      </c>
      <c r="Q1002" s="13">
        <f>IF(C1002="","",MID(IF(N1002="",", value","")&amp;IF(OR(J1002="",J1002="No"),", receipt","")&amp;IF(K1002="",", photo",""),3,100))</f>
        <v/>
      </c>
      <c r="R1002" s="13">
        <f>IF(AND(B1002="",C1002=""),"",IF(C1002="","Needs the item",IF(B1002="","Needs a room",IF(COUNTIF(Rooms!$B$6:$B$35,B1002)=0,"Not on Rooms",IF(AND(H1002&lt;&gt;"",NOT(ISNUMBER(H1002))),"Paid not a number",IF(AND(I1002&lt;&gt;"",NOT(ISNUMBER(I1002))),"Worth not a number",IF(AND(G1002&lt;&gt;"",NOT(ISNUMBER(G1002))),"Bought is not a date",IF(AND(L1002&lt;&gt;"",NOT(ISNUMBER(L1002))),"Warranty is not a date",""))))))))</f>
        <v/>
      </c>
      <c r="S1002" s="1">
        <f>IF(AND(C1002&lt;&gt;"",R1002=""),1,0)</f>
        <v/>
      </c>
      <c r="T1002">
        <f>IF(S1002=1,N(N1002),0)</f>
        <v/>
      </c>
      <c r="U1002">
        <f>IF(AND(S1002=1,T1002&gt;0),ROUND(T1002*100,0)*10000+10000-ROW(),"")</f>
        <v/>
      </c>
      <c r="V1002">
        <f>IF(AND(S1002=1,OR(Report!$C$5="",B1002=Report!$C$5)),MATCH(B1002,Rooms!$B$6:$B$35,0)*10000+ROW(),"")</f>
        <v/>
      </c>
      <c r="W1002">
        <f>IF(AND(S1002=1,OR(J1002="",J1002="No")),1,0)</f>
        <v/>
      </c>
      <c r="X1002">
        <f>IF(AND(S1002=1,K1002=""),1,0)</f>
        <v/>
      </c>
      <c r="Y1002">
        <f>IF(AND(S1002=1,Q1002&lt;&gt;""),ROUND(T1002*100,0)*10000+10000-ROW(),"")</f>
        <v/>
      </c>
    </row>
    <row r="1003">
      <c r="A1003" s="1" t="n"/>
      <c r="B1003" s="17" t="n"/>
      <c r="C1003" s="18" t="n"/>
      <c r="D1003" s="17" t="n"/>
      <c r="E1003" s="19" t="n"/>
      <c r="F1003" s="19" t="n"/>
      <c r="G1003" s="20" t="n"/>
      <c r="H1003" s="21" t="n"/>
      <c r="I1003" s="21" t="n"/>
      <c r="J1003" s="17" t="n"/>
      <c r="K1003" s="19" t="n"/>
      <c r="L1003" s="20" t="n"/>
      <c r="M1003" s="19" t="n"/>
      <c r="N1003" s="22">
        <f>IF(C1003="","",IF(ISNUMBER(I1003),I1003,IF(ISNUMBER(H1003),H1003,"")))</f>
        <v/>
      </c>
      <c r="O1003" s="23">
        <f>IF(OR(C1003="",NOT(ISNUMBER(G1003))),"",(TODAY()-INT(G1003))/365.25)</f>
        <v/>
      </c>
      <c r="P1003" s="13">
        <f>IF(OR(C1003="",NOT(ISNUMBER(L1003))),"",IF(L1003&lt;TODAY(),"Ended",IF(L1003-TODAY()&lt;=N(Settings!$C$10),"Ends soon","Covered")))</f>
        <v/>
      </c>
      <c r="Q1003" s="13">
        <f>IF(C1003="","",MID(IF(N1003="",", value","")&amp;IF(OR(J1003="",J1003="No"),", receipt","")&amp;IF(K1003="",", photo",""),3,100))</f>
        <v/>
      </c>
      <c r="R1003" s="13">
        <f>IF(AND(B1003="",C1003=""),"",IF(C1003="","Needs the item",IF(B1003="","Needs a room",IF(COUNTIF(Rooms!$B$6:$B$35,B1003)=0,"Not on Rooms",IF(AND(H1003&lt;&gt;"",NOT(ISNUMBER(H1003))),"Paid not a number",IF(AND(I1003&lt;&gt;"",NOT(ISNUMBER(I1003))),"Worth not a number",IF(AND(G1003&lt;&gt;"",NOT(ISNUMBER(G1003))),"Bought is not a date",IF(AND(L1003&lt;&gt;"",NOT(ISNUMBER(L1003))),"Warranty is not a date",""))))))))</f>
        <v/>
      </c>
      <c r="S1003" s="1">
        <f>IF(AND(C1003&lt;&gt;"",R1003=""),1,0)</f>
        <v/>
      </c>
      <c r="T1003">
        <f>IF(S1003=1,N(N1003),0)</f>
        <v/>
      </c>
      <c r="U1003">
        <f>IF(AND(S1003=1,T1003&gt;0),ROUND(T1003*100,0)*10000+10000-ROW(),"")</f>
        <v/>
      </c>
      <c r="V1003">
        <f>IF(AND(S1003=1,OR(Report!$C$5="",B1003=Report!$C$5)),MATCH(B1003,Rooms!$B$6:$B$35,0)*10000+ROW(),"")</f>
        <v/>
      </c>
      <c r="W1003">
        <f>IF(AND(S1003=1,OR(J1003="",J1003="No")),1,0)</f>
        <v/>
      </c>
      <c r="X1003">
        <f>IF(AND(S1003=1,K1003=""),1,0)</f>
        <v/>
      </c>
      <c r="Y1003">
        <f>IF(AND(S1003=1,Q1003&lt;&gt;""),ROUND(T1003*100,0)*10000+10000-ROW(),"")</f>
        <v/>
      </c>
    </row>
    <row r="1004">
      <c r="A1004" s="1" t="n"/>
      <c r="B1004" s="17" t="n"/>
      <c r="C1004" s="18" t="n"/>
      <c r="D1004" s="17" t="n"/>
      <c r="E1004" s="19" t="n"/>
      <c r="F1004" s="19" t="n"/>
      <c r="G1004" s="20" t="n"/>
      <c r="H1004" s="21" t="n"/>
      <c r="I1004" s="21" t="n"/>
      <c r="J1004" s="17" t="n"/>
      <c r="K1004" s="19" t="n"/>
      <c r="L1004" s="20" t="n"/>
      <c r="M1004" s="19" t="n"/>
      <c r="N1004" s="22">
        <f>IF(C1004="","",IF(ISNUMBER(I1004),I1004,IF(ISNUMBER(H1004),H1004,"")))</f>
        <v/>
      </c>
      <c r="O1004" s="23">
        <f>IF(OR(C1004="",NOT(ISNUMBER(G1004))),"",(TODAY()-INT(G1004))/365.25)</f>
        <v/>
      </c>
      <c r="P1004" s="13">
        <f>IF(OR(C1004="",NOT(ISNUMBER(L1004))),"",IF(L1004&lt;TODAY(),"Ended",IF(L1004-TODAY()&lt;=N(Settings!$C$10),"Ends soon","Covered")))</f>
        <v/>
      </c>
      <c r="Q1004" s="13">
        <f>IF(C1004="","",MID(IF(N1004="",", value","")&amp;IF(OR(J1004="",J1004="No"),", receipt","")&amp;IF(K1004="",", photo",""),3,100))</f>
        <v/>
      </c>
      <c r="R1004" s="13">
        <f>IF(AND(B1004="",C1004=""),"",IF(C1004="","Needs the item",IF(B1004="","Needs a room",IF(COUNTIF(Rooms!$B$6:$B$35,B1004)=0,"Not on Rooms",IF(AND(H1004&lt;&gt;"",NOT(ISNUMBER(H1004))),"Paid not a number",IF(AND(I1004&lt;&gt;"",NOT(ISNUMBER(I1004))),"Worth not a number",IF(AND(G1004&lt;&gt;"",NOT(ISNUMBER(G1004))),"Bought is not a date",IF(AND(L1004&lt;&gt;"",NOT(ISNUMBER(L1004))),"Warranty is not a date",""))))))))</f>
        <v/>
      </c>
      <c r="S1004" s="1">
        <f>IF(AND(C1004&lt;&gt;"",R1004=""),1,0)</f>
        <v/>
      </c>
      <c r="T1004">
        <f>IF(S1004=1,N(N1004),0)</f>
        <v/>
      </c>
      <c r="U1004">
        <f>IF(AND(S1004=1,T1004&gt;0),ROUND(T1004*100,0)*10000+10000-ROW(),"")</f>
        <v/>
      </c>
      <c r="V1004">
        <f>IF(AND(S1004=1,OR(Report!$C$5="",B1004=Report!$C$5)),MATCH(B1004,Rooms!$B$6:$B$35,0)*10000+ROW(),"")</f>
        <v/>
      </c>
      <c r="W1004">
        <f>IF(AND(S1004=1,OR(J1004="",J1004="No")),1,0)</f>
        <v/>
      </c>
      <c r="X1004">
        <f>IF(AND(S1004=1,K1004=""),1,0)</f>
        <v/>
      </c>
      <c r="Y1004">
        <f>IF(AND(S1004=1,Q1004&lt;&gt;""),ROUND(T1004*100,0)*10000+10000-ROW(),"")</f>
        <v/>
      </c>
    </row>
    <row r="1005">
      <c r="A1005" s="1" t="n"/>
      <c r="B1005" s="17" t="n"/>
      <c r="C1005" s="18" t="n"/>
      <c r="D1005" s="17" t="n"/>
      <c r="E1005" s="19" t="n"/>
      <c r="F1005" s="19" t="n"/>
      <c r="G1005" s="20" t="n"/>
      <c r="H1005" s="21" t="n"/>
      <c r="I1005" s="21" t="n"/>
      <c r="J1005" s="17" t="n"/>
      <c r="K1005" s="19" t="n"/>
      <c r="L1005" s="20" t="n"/>
      <c r="M1005" s="19" t="n"/>
      <c r="N1005" s="22">
        <f>IF(C1005="","",IF(ISNUMBER(I1005),I1005,IF(ISNUMBER(H1005),H1005,"")))</f>
        <v/>
      </c>
      <c r="O1005" s="23">
        <f>IF(OR(C1005="",NOT(ISNUMBER(G1005))),"",(TODAY()-INT(G1005))/365.25)</f>
        <v/>
      </c>
      <c r="P1005" s="13">
        <f>IF(OR(C1005="",NOT(ISNUMBER(L1005))),"",IF(L1005&lt;TODAY(),"Ended",IF(L1005-TODAY()&lt;=N(Settings!$C$10),"Ends soon","Covered")))</f>
        <v/>
      </c>
      <c r="Q1005" s="13">
        <f>IF(C1005="","",MID(IF(N1005="",", value","")&amp;IF(OR(J1005="",J1005="No"),", receipt","")&amp;IF(K1005="",", photo",""),3,100))</f>
        <v/>
      </c>
      <c r="R1005" s="13">
        <f>IF(AND(B1005="",C1005=""),"",IF(C1005="","Needs the item",IF(B1005="","Needs a room",IF(COUNTIF(Rooms!$B$6:$B$35,B1005)=0,"Not on Rooms",IF(AND(H1005&lt;&gt;"",NOT(ISNUMBER(H1005))),"Paid not a number",IF(AND(I1005&lt;&gt;"",NOT(ISNUMBER(I1005))),"Worth not a number",IF(AND(G1005&lt;&gt;"",NOT(ISNUMBER(G1005))),"Bought is not a date",IF(AND(L1005&lt;&gt;"",NOT(ISNUMBER(L1005))),"Warranty is not a date",""))))))))</f>
        <v/>
      </c>
      <c r="S1005" s="1">
        <f>IF(AND(C1005&lt;&gt;"",R1005=""),1,0)</f>
        <v/>
      </c>
      <c r="T1005">
        <f>IF(S1005=1,N(N1005),0)</f>
        <v/>
      </c>
      <c r="U1005">
        <f>IF(AND(S1005=1,T1005&gt;0),ROUND(T1005*100,0)*10000+10000-ROW(),"")</f>
        <v/>
      </c>
      <c r="V1005">
        <f>IF(AND(S1005=1,OR(Report!$C$5="",B1005=Report!$C$5)),MATCH(B1005,Rooms!$B$6:$B$35,0)*10000+ROW(),"")</f>
        <v/>
      </c>
      <c r="W1005">
        <f>IF(AND(S1005=1,OR(J1005="",J1005="No")),1,0)</f>
        <v/>
      </c>
      <c r="X1005">
        <f>IF(AND(S1005=1,K1005=""),1,0)</f>
        <v/>
      </c>
      <c r="Y1005">
        <f>IF(AND(S1005=1,Q1005&lt;&gt;""),ROUND(T1005*100,0)*10000+10000-ROW(),"")</f>
        <v/>
      </c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</row>
  </sheetData>
  <conditionalFormatting sqref="R6:R1005">
    <cfRule type="expression" priority="1" dxfId="0">
      <formula>R6&lt;&gt;""</formula>
    </cfRule>
  </conditionalFormatting>
  <conditionalFormatting sqref="Q6:Q1005">
    <cfRule type="expression" priority="2" dxfId="1">
      <formula>Q6&lt;&gt;""</formula>
    </cfRule>
  </conditionalFormatting>
  <conditionalFormatting sqref="P6:P1005">
    <cfRule type="expression" priority="3" dxfId="1">
      <formula>P6="Ends soon"</formula>
    </cfRule>
    <cfRule type="expression" priority="4" dxfId="2">
      <formula>P6="Covered"</formula>
    </cfRule>
  </conditionalFormatting>
  <dataValidations count="3">
    <dataValidation sqref="B6:B1005" showDropDown="0" showInputMessage="0" showErrorMessage="0" allowBlank="1" type="list">
      <formula1>=Rooms!$B$6:$B$35</formula1>
    </dataValidation>
    <dataValidation sqref="D6:D1005" showDropDown="0" showInputMessage="0" showErrorMessage="0" allowBlank="1" type="list">
      <formula1>=Settings!$B$14:$B$25</formula1>
    </dataValidation>
    <dataValidation sqref="J6:J1005" showDropDown="0" showInputMessage="0" showErrorMessage="0" allowBlank="1" type="list">
      <formula1>"Paper,File,No"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24" customWidth="1" min="3" max="3"/>
    <col width="9" customWidth="1" min="4" max="4"/>
    <col width="13" customWidth="1" min="5" max="5"/>
    <col width="12" customWidth="1" min="6" max="6"/>
    <col width="11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Rooms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Each room or place once, in the order you walk through your home.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8" t="inlineStr">
        <is>
          <t>Room</t>
        </is>
      </c>
      <c r="C5" s="8" t="inlineStr">
        <is>
          <t>Note</t>
        </is>
      </c>
      <c r="D5" s="8" t="inlineStr">
        <is>
          <t>Items</t>
        </is>
      </c>
      <c r="E5" s="8" t="inlineStr">
        <is>
          <t>Worth</t>
        </is>
      </c>
      <c r="F5" s="8" t="inlineStr">
        <is>
          <t>No receipt</t>
        </is>
      </c>
      <c r="G5" s="8" t="inlineStr">
        <is>
          <t>No photo</t>
        </is>
      </c>
      <c r="H5" s="1" t="n"/>
    </row>
    <row r="6">
      <c r="A6" s="1" t="n"/>
      <c r="B6" s="18" t="inlineStr">
        <is>
          <t>Living room</t>
        </is>
      </c>
      <c r="C6" s="19" t="n"/>
      <c r="D6" s="10">
        <f>IF(B6="","",SUMIFS(Items!$S$6:$S$1005,Items!$B$6:$B$1005,B6))</f>
        <v/>
      </c>
      <c r="E6" s="22">
        <f>IF(B6="","",SUMIFS(Items!$T$6:$T$1005,Items!$B$6:$B$1005,B6))</f>
        <v/>
      </c>
      <c r="F6" s="10">
        <f>IF(B6="","",SUMIFS(Items!$W$6:$W$1005,Items!$B$6:$B$1005,B6))</f>
        <v/>
      </c>
      <c r="G6" s="10">
        <f>IF(B6="","",SUMIFS(Items!$X$6:$X$1005,Items!$B$6:$B$1005,B6))</f>
        <v/>
      </c>
      <c r="H6" s="1" t="n"/>
    </row>
    <row r="7">
      <c r="A7" s="1" t="n"/>
      <c r="B7" s="18" t="inlineStr">
        <is>
          <t>Kitchen</t>
        </is>
      </c>
      <c r="C7" s="19" t="n"/>
      <c r="D7" s="10">
        <f>IF(B7="","",SUMIFS(Items!$S$6:$S$1005,Items!$B$6:$B$1005,B7))</f>
        <v/>
      </c>
      <c r="E7" s="22">
        <f>IF(B7="","",SUMIFS(Items!$T$6:$T$1005,Items!$B$6:$B$1005,B7))</f>
        <v/>
      </c>
      <c r="F7" s="10">
        <f>IF(B7="","",SUMIFS(Items!$W$6:$W$1005,Items!$B$6:$B$1005,B7))</f>
        <v/>
      </c>
      <c r="G7" s="10">
        <f>IF(B7="","",SUMIFS(Items!$X$6:$X$1005,Items!$B$6:$B$1005,B7))</f>
        <v/>
      </c>
      <c r="H7" s="1" t="n"/>
    </row>
    <row r="8">
      <c r="A8" s="1" t="n"/>
      <c r="B8" s="18" t="inlineStr">
        <is>
          <t>Main bedroom</t>
        </is>
      </c>
      <c r="C8" s="19" t="n"/>
      <c r="D8" s="10">
        <f>IF(B8="","",SUMIFS(Items!$S$6:$S$1005,Items!$B$6:$B$1005,B8))</f>
        <v/>
      </c>
      <c r="E8" s="22">
        <f>IF(B8="","",SUMIFS(Items!$T$6:$T$1005,Items!$B$6:$B$1005,B8))</f>
        <v/>
      </c>
      <c r="F8" s="10">
        <f>IF(B8="","",SUMIFS(Items!$W$6:$W$1005,Items!$B$6:$B$1005,B8))</f>
        <v/>
      </c>
      <c r="G8" s="10">
        <f>IF(B8="","",SUMIFS(Items!$X$6:$X$1005,Items!$B$6:$B$1005,B8))</f>
        <v/>
      </c>
      <c r="H8" s="1" t="n"/>
    </row>
    <row r="9">
      <c r="A9" s="1" t="n"/>
      <c r="B9" s="18" t="inlineStr">
        <is>
          <t>Home office</t>
        </is>
      </c>
      <c r="C9" s="19" t="n"/>
      <c r="D9" s="10">
        <f>IF(B9="","",SUMIFS(Items!$S$6:$S$1005,Items!$B$6:$B$1005,B9))</f>
        <v/>
      </c>
      <c r="E9" s="22">
        <f>IF(B9="","",SUMIFS(Items!$T$6:$T$1005,Items!$B$6:$B$1005,B9))</f>
        <v/>
      </c>
      <c r="F9" s="10">
        <f>IF(B9="","",SUMIFS(Items!$W$6:$W$1005,Items!$B$6:$B$1005,B9))</f>
        <v/>
      </c>
      <c r="G9" s="10">
        <f>IF(B9="","",SUMIFS(Items!$X$6:$X$1005,Items!$B$6:$B$1005,B9))</f>
        <v/>
      </c>
      <c r="H9" s="1" t="n"/>
    </row>
    <row r="10">
      <c r="A10" s="1" t="n"/>
      <c r="B10" s="18" t="inlineStr">
        <is>
          <t>Kids room</t>
        </is>
      </c>
      <c r="C10" s="19" t="n"/>
      <c r="D10" s="10">
        <f>IF(B10="","",SUMIFS(Items!$S$6:$S$1005,Items!$B$6:$B$1005,B10))</f>
        <v/>
      </c>
      <c r="E10" s="22">
        <f>IF(B10="","",SUMIFS(Items!$T$6:$T$1005,Items!$B$6:$B$1005,B10))</f>
        <v/>
      </c>
      <c r="F10" s="10">
        <f>IF(B10="","",SUMIFS(Items!$W$6:$W$1005,Items!$B$6:$B$1005,B10))</f>
        <v/>
      </c>
      <c r="G10" s="10">
        <f>IF(B10="","",SUMIFS(Items!$X$6:$X$1005,Items!$B$6:$B$1005,B10))</f>
        <v/>
      </c>
      <c r="H10" s="1" t="n"/>
    </row>
    <row r="11">
      <c r="A11" s="1" t="n"/>
      <c r="B11" s="18" t="inlineStr">
        <is>
          <t>Bathroom</t>
        </is>
      </c>
      <c r="C11" s="19" t="n"/>
      <c r="D11" s="10">
        <f>IF(B11="","",SUMIFS(Items!$S$6:$S$1005,Items!$B$6:$B$1005,B11))</f>
        <v/>
      </c>
      <c r="E11" s="22">
        <f>IF(B11="","",SUMIFS(Items!$T$6:$T$1005,Items!$B$6:$B$1005,B11))</f>
        <v/>
      </c>
      <c r="F11" s="10">
        <f>IF(B11="","",SUMIFS(Items!$W$6:$W$1005,Items!$B$6:$B$1005,B11))</f>
        <v/>
      </c>
      <c r="G11" s="10">
        <f>IF(B11="","",SUMIFS(Items!$X$6:$X$1005,Items!$B$6:$B$1005,B11))</f>
        <v/>
      </c>
      <c r="H11" s="1" t="n"/>
    </row>
    <row r="12">
      <c r="A12" s="1" t="n"/>
      <c r="B12" s="18" t="inlineStr">
        <is>
          <t>Hallway</t>
        </is>
      </c>
      <c r="C12" s="19" t="inlineStr">
        <is>
          <t>Coats and shoes</t>
        </is>
      </c>
      <c r="D12" s="10">
        <f>IF(B12="","",SUMIFS(Items!$S$6:$S$1005,Items!$B$6:$B$1005,B12))</f>
        <v/>
      </c>
      <c r="E12" s="22">
        <f>IF(B12="","",SUMIFS(Items!$T$6:$T$1005,Items!$B$6:$B$1005,B12))</f>
        <v/>
      </c>
      <c r="F12" s="10">
        <f>IF(B12="","",SUMIFS(Items!$W$6:$W$1005,Items!$B$6:$B$1005,B12))</f>
        <v/>
      </c>
      <c r="G12" s="10">
        <f>IF(B12="","",SUMIFS(Items!$X$6:$X$1005,Items!$B$6:$B$1005,B12))</f>
        <v/>
      </c>
      <c r="H12" s="1" t="n"/>
    </row>
    <row r="13">
      <c r="A13" s="1" t="n"/>
      <c r="B13" s="18" t="inlineStr">
        <is>
          <t>Garage</t>
        </is>
      </c>
      <c r="C13" s="19" t="inlineStr">
        <is>
          <t>Bikes and tools</t>
        </is>
      </c>
      <c r="D13" s="10">
        <f>IF(B13="","",SUMIFS(Items!$S$6:$S$1005,Items!$B$6:$B$1005,B13))</f>
        <v/>
      </c>
      <c r="E13" s="22">
        <f>IF(B13="","",SUMIFS(Items!$T$6:$T$1005,Items!$B$6:$B$1005,B13))</f>
        <v/>
      </c>
      <c r="F13" s="10">
        <f>IF(B13="","",SUMIFS(Items!$W$6:$W$1005,Items!$B$6:$B$1005,B13))</f>
        <v/>
      </c>
      <c r="G13" s="10">
        <f>IF(B13="","",SUMIFS(Items!$X$6:$X$1005,Items!$B$6:$B$1005,B13))</f>
        <v/>
      </c>
      <c r="H13" s="1" t="n"/>
    </row>
    <row r="14">
      <c r="A14" s="1" t="n"/>
      <c r="B14" s="18" t="n"/>
      <c r="C14" s="19" t="n"/>
      <c r="D14" s="10">
        <f>IF(B14="","",SUMIFS(Items!$S$6:$S$1005,Items!$B$6:$B$1005,B14))</f>
        <v/>
      </c>
      <c r="E14" s="22">
        <f>IF(B14="","",SUMIFS(Items!$T$6:$T$1005,Items!$B$6:$B$1005,B14))</f>
        <v/>
      </c>
      <c r="F14" s="10">
        <f>IF(B14="","",SUMIFS(Items!$W$6:$W$1005,Items!$B$6:$B$1005,B14))</f>
        <v/>
      </c>
      <c r="G14" s="10">
        <f>IF(B14="","",SUMIFS(Items!$X$6:$X$1005,Items!$B$6:$B$1005,B14))</f>
        <v/>
      </c>
      <c r="H14" s="1" t="n"/>
    </row>
    <row r="15">
      <c r="A15" s="1" t="n"/>
      <c r="B15" s="18" t="n"/>
      <c r="C15" s="19" t="n"/>
      <c r="D15" s="10">
        <f>IF(B15="","",SUMIFS(Items!$S$6:$S$1005,Items!$B$6:$B$1005,B15))</f>
        <v/>
      </c>
      <c r="E15" s="22">
        <f>IF(B15="","",SUMIFS(Items!$T$6:$T$1005,Items!$B$6:$B$1005,B15))</f>
        <v/>
      </c>
      <c r="F15" s="10">
        <f>IF(B15="","",SUMIFS(Items!$W$6:$W$1005,Items!$B$6:$B$1005,B15))</f>
        <v/>
      </c>
      <c r="G15" s="10">
        <f>IF(B15="","",SUMIFS(Items!$X$6:$X$1005,Items!$B$6:$B$1005,B15))</f>
        <v/>
      </c>
      <c r="H15" s="1" t="n"/>
    </row>
    <row r="16">
      <c r="A16" s="1" t="n"/>
      <c r="B16" s="18" t="n"/>
      <c r="C16" s="19" t="n"/>
      <c r="D16" s="10">
        <f>IF(B16="","",SUMIFS(Items!$S$6:$S$1005,Items!$B$6:$B$1005,B16))</f>
        <v/>
      </c>
      <c r="E16" s="22">
        <f>IF(B16="","",SUMIFS(Items!$T$6:$T$1005,Items!$B$6:$B$1005,B16))</f>
        <v/>
      </c>
      <c r="F16" s="10">
        <f>IF(B16="","",SUMIFS(Items!$W$6:$W$1005,Items!$B$6:$B$1005,B16))</f>
        <v/>
      </c>
      <c r="G16" s="10">
        <f>IF(B16="","",SUMIFS(Items!$X$6:$X$1005,Items!$B$6:$B$1005,B16))</f>
        <v/>
      </c>
      <c r="H16" s="1" t="n"/>
    </row>
    <row r="17">
      <c r="A17" s="1" t="n"/>
      <c r="B17" s="18" t="n"/>
      <c r="C17" s="19" t="n"/>
      <c r="D17" s="10">
        <f>IF(B17="","",SUMIFS(Items!$S$6:$S$1005,Items!$B$6:$B$1005,B17))</f>
        <v/>
      </c>
      <c r="E17" s="22">
        <f>IF(B17="","",SUMIFS(Items!$T$6:$T$1005,Items!$B$6:$B$1005,B17))</f>
        <v/>
      </c>
      <c r="F17" s="10">
        <f>IF(B17="","",SUMIFS(Items!$W$6:$W$1005,Items!$B$6:$B$1005,B17))</f>
        <v/>
      </c>
      <c r="G17" s="10">
        <f>IF(B17="","",SUMIFS(Items!$X$6:$X$1005,Items!$B$6:$B$1005,B17))</f>
        <v/>
      </c>
      <c r="H17" s="1" t="n"/>
    </row>
    <row r="18">
      <c r="A18" s="1" t="n"/>
      <c r="B18" s="18" t="n"/>
      <c r="C18" s="19" t="n"/>
      <c r="D18" s="10">
        <f>IF(B18="","",SUMIFS(Items!$S$6:$S$1005,Items!$B$6:$B$1005,B18))</f>
        <v/>
      </c>
      <c r="E18" s="22">
        <f>IF(B18="","",SUMIFS(Items!$T$6:$T$1005,Items!$B$6:$B$1005,B18))</f>
        <v/>
      </c>
      <c r="F18" s="10">
        <f>IF(B18="","",SUMIFS(Items!$W$6:$W$1005,Items!$B$6:$B$1005,B18))</f>
        <v/>
      </c>
      <c r="G18" s="10">
        <f>IF(B18="","",SUMIFS(Items!$X$6:$X$1005,Items!$B$6:$B$1005,B18))</f>
        <v/>
      </c>
      <c r="H18" s="1" t="n"/>
    </row>
    <row r="19">
      <c r="A19" s="1" t="n"/>
      <c r="B19" s="18" t="n"/>
      <c r="C19" s="19" t="n"/>
      <c r="D19" s="10">
        <f>IF(B19="","",SUMIFS(Items!$S$6:$S$1005,Items!$B$6:$B$1005,B19))</f>
        <v/>
      </c>
      <c r="E19" s="22">
        <f>IF(B19="","",SUMIFS(Items!$T$6:$T$1005,Items!$B$6:$B$1005,B19))</f>
        <v/>
      </c>
      <c r="F19" s="10">
        <f>IF(B19="","",SUMIFS(Items!$W$6:$W$1005,Items!$B$6:$B$1005,B19))</f>
        <v/>
      </c>
      <c r="G19" s="10">
        <f>IF(B19="","",SUMIFS(Items!$X$6:$X$1005,Items!$B$6:$B$1005,B19))</f>
        <v/>
      </c>
      <c r="H19" s="1" t="n"/>
    </row>
    <row r="20">
      <c r="A20" s="1" t="n"/>
      <c r="B20" s="18" t="n"/>
      <c r="C20" s="19" t="n"/>
      <c r="D20" s="10">
        <f>IF(B20="","",SUMIFS(Items!$S$6:$S$1005,Items!$B$6:$B$1005,B20))</f>
        <v/>
      </c>
      <c r="E20" s="22">
        <f>IF(B20="","",SUMIFS(Items!$T$6:$T$1005,Items!$B$6:$B$1005,B20))</f>
        <v/>
      </c>
      <c r="F20" s="10">
        <f>IF(B20="","",SUMIFS(Items!$W$6:$W$1005,Items!$B$6:$B$1005,B20))</f>
        <v/>
      </c>
      <c r="G20" s="10">
        <f>IF(B20="","",SUMIFS(Items!$X$6:$X$1005,Items!$B$6:$B$1005,B20))</f>
        <v/>
      </c>
      <c r="H20" s="1" t="n"/>
    </row>
    <row r="21">
      <c r="A21" s="1" t="n"/>
      <c r="B21" s="18" t="n"/>
      <c r="C21" s="19" t="n"/>
      <c r="D21" s="10">
        <f>IF(B21="","",SUMIFS(Items!$S$6:$S$1005,Items!$B$6:$B$1005,B21))</f>
        <v/>
      </c>
      <c r="E21" s="22">
        <f>IF(B21="","",SUMIFS(Items!$T$6:$T$1005,Items!$B$6:$B$1005,B21))</f>
        <v/>
      </c>
      <c r="F21" s="10">
        <f>IF(B21="","",SUMIFS(Items!$W$6:$W$1005,Items!$B$6:$B$1005,B21))</f>
        <v/>
      </c>
      <c r="G21" s="10">
        <f>IF(B21="","",SUMIFS(Items!$X$6:$X$1005,Items!$B$6:$B$1005,B21))</f>
        <v/>
      </c>
      <c r="H21" s="1" t="n"/>
    </row>
    <row r="22">
      <c r="A22" s="1" t="n"/>
      <c r="B22" s="18" t="n"/>
      <c r="C22" s="19" t="n"/>
      <c r="D22" s="10">
        <f>IF(B22="","",SUMIFS(Items!$S$6:$S$1005,Items!$B$6:$B$1005,B22))</f>
        <v/>
      </c>
      <c r="E22" s="22">
        <f>IF(B22="","",SUMIFS(Items!$T$6:$T$1005,Items!$B$6:$B$1005,B22))</f>
        <v/>
      </c>
      <c r="F22" s="10">
        <f>IF(B22="","",SUMIFS(Items!$W$6:$W$1005,Items!$B$6:$B$1005,B22))</f>
        <v/>
      </c>
      <c r="G22" s="10">
        <f>IF(B22="","",SUMIFS(Items!$X$6:$X$1005,Items!$B$6:$B$1005,B22))</f>
        <v/>
      </c>
      <c r="H22" s="1" t="n"/>
    </row>
    <row r="23">
      <c r="A23" s="1" t="n"/>
      <c r="B23" s="18" t="n"/>
      <c r="C23" s="19" t="n"/>
      <c r="D23" s="10">
        <f>IF(B23="","",SUMIFS(Items!$S$6:$S$1005,Items!$B$6:$B$1005,B23))</f>
        <v/>
      </c>
      <c r="E23" s="22">
        <f>IF(B23="","",SUMIFS(Items!$T$6:$T$1005,Items!$B$6:$B$1005,B23))</f>
        <v/>
      </c>
      <c r="F23" s="10">
        <f>IF(B23="","",SUMIFS(Items!$W$6:$W$1005,Items!$B$6:$B$1005,B23))</f>
        <v/>
      </c>
      <c r="G23" s="10">
        <f>IF(B23="","",SUMIFS(Items!$X$6:$X$1005,Items!$B$6:$B$1005,B23))</f>
        <v/>
      </c>
      <c r="H23" s="1" t="n"/>
    </row>
    <row r="24">
      <c r="A24" s="1" t="n"/>
      <c r="B24" s="18" t="n"/>
      <c r="C24" s="19" t="n"/>
      <c r="D24" s="10">
        <f>IF(B24="","",SUMIFS(Items!$S$6:$S$1005,Items!$B$6:$B$1005,B24))</f>
        <v/>
      </c>
      <c r="E24" s="22">
        <f>IF(B24="","",SUMIFS(Items!$T$6:$T$1005,Items!$B$6:$B$1005,B24))</f>
        <v/>
      </c>
      <c r="F24" s="10">
        <f>IF(B24="","",SUMIFS(Items!$W$6:$W$1005,Items!$B$6:$B$1005,B24))</f>
        <v/>
      </c>
      <c r="G24" s="10">
        <f>IF(B24="","",SUMIFS(Items!$X$6:$X$1005,Items!$B$6:$B$1005,B24))</f>
        <v/>
      </c>
      <c r="H24" s="1" t="n"/>
    </row>
    <row r="25">
      <c r="A25" s="1" t="n"/>
      <c r="B25" s="18" t="n"/>
      <c r="C25" s="19" t="n"/>
      <c r="D25" s="10">
        <f>IF(B25="","",SUMIFS(Items!$S$6:$S$1005,Items!$B$6:$B$1005,B25))</f>
        <v/>
      </c>
      <c r="E25" s="22">
        <f>IF(B25="","",SUMIFS(Items!$T$6:$T$1005,Items!$B$6:$B$1005,B25))</f>
        <v/>
      </c>
      <c r="F25" s="10">
        <f>IF(B25="","",SUMIFS(Items!$W$6:$W$1005,Items!$B$6:$B$1005,B25))</f>
        <v/>
      </c>
      <c r="G25" s="10">
        <f>IF(B25="","",SUMIFS(Items!$X$6:$X$1005,Items!$B$6:$B$1005,B25))</f>
        <v/>
      </c>
      <c r="H25" s="1" t="n"/>
    </row>
    <row r="26">
      <c r="A26" s="1" t="n"/>
      <c r="B26" s="18" t="n"/>
      <c r="C26" s="19" t="n"/>
      <c r="D26" s="10">
        <f>IF(B26="","",SUMIFS(Items!$S$6:$S$1005,Items!$B$6:$B$1005,B26))</f>
        <v/>
      </c>
      <c r="E26" s="22">
        <f>IF(B26="","",SUMIFS(Items!$T$6:$T$1005,Items!$B$6:$B$1005,B26))</f>
        <v/>
      </c>
      <c r="F26" s="10">
        <f>IF(B26="","",SUMIFS(Items!$W$6:$W$1005,Items!$B$6:$B$1005,B26))</f>
        <v/>
      </c>
      <c r="G26" s="10">
        <f>IF(B26="","",SUMIFS(Items!$X$6:$X$1005,Items!$B$6:$B$1005,B26))</f>
        <v/>
      </c>
      <c r="H26" s="1" t="n"/>
    </row>
    <row r="27">
      <c r="A27" s="1" t="n"/>
      <c r="B27" s="18" t="n"/>
      <c r="C27" s="19" t="n"/>
      <c r="D27" s="10">
        <f>IF(B27="","",SUMIFS(Items!$S$6:$S$1005,Items!$B$6:$B$1005,B27))</f>
        <v/>
      </c>
      <c r="E27" s="22">
        <f>IF(B27="","",SUMIFS(Items!$T$6:$T$1005,Items!$B$6:$B$1005,B27))</f>
        <v/>
      </c>
      <c r="F27" s="10">
        <f>IF(B27="","",SUMIFS(Items!$W$6:$W$1005,Items!$B$6:$B$1005,B27))</f>
        <v/>
      </c>
      <c r="G27" s="10">
        <f>IF(B27="","",SUMIFS(Items!$X$6:$X$1005,Items!$B$6:$B$1005,B27))</f>
        <v/>
      </c>
      <c r="H27" s="1" t="n"/>
    </row>
    <row r="28">
      <c r="A28" s="1" t="n"/>
      <c r="B28" s="18" t="n"/>
      <c r="C28" s="19" t="n"/>
      <c r="D28" s="10">
        <f>IF(B28="","",SUMIFS(Items!$S$6:$S$1005,Items!$B$6:$B$1005,B28))</f>
        <v/>
      </c>
      <c r="E28" s="22">
        <f>IF(B28="","",SUMIFS(Items!$T$6:$T$1005,Items!$B$6:$B$1005,B28))</f>
        <v/>
      </c>
      <c r="F28" s="10">
        <f>IF(B28="","",SUMIFS(Items!$W$6:$W$1005,Items!$B$6:$B$1005,B28))</f>
        <v/>
      </c>
      <c r="G28" s="10">
        <f>IF(B28="","",SUMIFS(Items!$X$6:$X$1005,Items!$B$6:$B$1005,B28))</f>
        <v/>
      </c>
      <c r="H28" s="1" t="n"/>
    </row>
    <row r="29">
      <c r="A29" s="1" t="n"/>
      <c r="B29" s="18" t="n"/>
      <c r="C29" s="19" t="n"/>
      <c r="D29" s="10">
        <f>IF(B29="","",SUMIFS(Items!$S$6:$S$1005,Items!$B$6:$B$1005,B29))</f>
        <v/>
      </c>
      <c r="E29" s="22">
        <f>IF(B29="","",SUMIFS(Items!$T$6:$T$1005,Items!$B$6:$B$1005,B29))</f>
        <v/>
      </c>
      <c r="F29" s="10">
        <f>IF(B29="","",SUMIFS(Items!$W$6:$W$1005,Items!$B$6:$B$1005,B29))</f>
        <v/>
      </c>
      <c r="G29" s="10">
        <f>IF(B29="","",SUMIFS(Items!$X$6:$X$1005,Items!$B$6:$B$1005,B29))</f>
        <v/>
      </c>
      <c r="H29" s="1" t="n"/>
    </row>
    <row r="30">
      <c r="A30" s="1" t="n"/>
      <c r="B30" s="18" t="n"/>
      <c r="C30" s="19" t="n"/>
      <c r="D30" s="10">
        <f>IF(B30="","",SUMIFS(Items!$S$6:$S$1005,Items!$B$6:$B$1005,B30))</f>
        <v/>
      </c>
      <c r="E30" s="22">
        <f>IF(B30="","",SUMIFS(Items!$T$6:$T$1005,Items!$B$6:$B$1005,B30))</f>
        <v/>
      </c>
      <c r="F30" s="10">
        <f>IF(B30="","",SUMIFS(Items!$W$6:$W$1005,Items!$B$6:$B$1005,B30))</f>
        <v/>
      </c>
      <c r="G30" s="10">
        <f>IF(B30="","",SUMIFS(Items!$X$6:$X$1005,Items!$B$6:$B$1005,B30))</f>
        <v/>
      </c>
      <c r="H30" s="1" t="n"/>
    </row>
    <row r="31">
      <c r="A31" s="1" t="n"/>
      <c r="B31" s="18" t="n"/>
      <c r="C31" s="19" t="n"/>
      <c r="D31" s="10">
        <f>IF(B31="","",SUMIFS(Items!$S$6:$S$1005,Items!$B$6:$B$1005,B31))</f>
        <v/>
      </c>
      <c r="E31" s="22">
        <f>IF(B31="","",SUMIFS(Items!$T$6:$T$1005,Items!$B$6:$B$1005,B31))</f>
        <v/>
      </c>
      <c r="F31" s="10">
        <f>IF(B31="","",SUMIFS(Items!$W$6:$W$1005,Items!$B$6:$B$1005,B31))</f>
        <v/>
      </c>
      <c r="G31" s="10">
        <f>IF(B31="","",SUMIFS(Items!$X$6:$X$1005,Items!$B$6:$B$1005,B31))</f>
        <v/>
      </c>
      <c r="H31" s="1" t="n"/>
    </row>
    <row r="32">
      <c r="A32" s="1" t="n"/>
      <c r="B32" s="18" t="n"/>
      <c r="C32" s="19" t="n"/>
      <c r="D32" s="10">
        <f>IF(B32="","",SUMIFS(Items!$S$6:$S$1005,Items!$B$6:$B$1005,B32))</f>
        <v/>
      </c>
      <c r="E32" s="22">
        <f>IF(B32="","",SUMIFS(Items!$T$6:$T$1005,Items!$B$6:$B$1005,B32))</f>
        <v/>
      </c>
      <c r="F32" s="10">
        <f>IF(B32="","",SUMIFS(Items!$W$6:$W$1005,Items!$B$6:$B$1005,B32))</f>
        <v/>
      </c>
      <c r="G32" s="10">
        <f>IF(B32="","",SUMIFS(Items!$X$6:$X$1005,Items!$B$6:$B$1005,B32))</f>
        <v/>
      </c>
      <c r="H32" s="1" t="n"/>
    </row>
    <row r="33">
      <c r="A33" s="1" t="n"/>
      <c r="B33" s="18" t="n"/>
      <c r="C33" s="19" t="n"/>
      <c r="D33" s="10">
        <f>IF(B33="","",SUMIFS(Items!$S$6:$S$1005,Items!$B$6:$B$1005,B33))</f>
        <v/>
      </c>
      <c r="E33" s="22">
        <f>IF(B33="","",SUMIFS(Items!$T$6:$T$1005,Items!$B$6:$B$1005,B33))</f>
        <v/>
      </c>
      <c r="F33" s="10">
        <f>IF(B33="","",SUMIFS(Items!$W$6:$W$1005,Items!$B$6:$B$1005,B33))</f>
        <v/>
      </c>
      <c r="G33" s="10">
        <f>IF(B33="","",SUMIFS(Items!$X$6:$X$1005,Items!$B$6:$B$1005,B33))</f>
        <v/>
      </c>
      <c r="H33" s="1" t="n"/>
    </row>
    <row r="34">
      <c r="A34" s="1" t="n"/>
      <c r="B34" s="18" t="n"/>
      <c r="C34" s="19" t="n"/>
      <c r="D34" s="10">
        <f>IF(B34="","",SUMIFS(Items!$S$6:$S$1005,Items!$B$6:$B$1005,B34))</f>
        <v/>
      </c>
      <c r="E34" s="22">
        <f>IF(B34="","",SUMIFS(Items!$T$6:$T$1005,Items!$B$6:$B$1005,B34))</f>
        <v/>
      </c>
      <c r="F34" s="10">
        <f>IF(B34="","",SUMIFS(Items!$W$6:$W$1005,Items!$B$6:$B$1005,B34))</f>
        <v/>
      </c>
      <c r="G34" s="10">
        <f>IF(B34="","",SUMIFS(Items!$X$6:$X$1005,Items!$B$6:$B$1005,B34))</f>
        <v/>
      </c>
      <c r="H34" s="1" t="n"/>
    </row>
    <row r="35">
      <c r="A35" s="1" t="n"/>
      <c r="B35" s="18" t="n"/>
      <c r="C35" s="19" t="n"/>
      <c r="D35" s="10">
        <f>IF(B35="","",SUMIFS(Items!$S$6:$S$1005,Items!$B$6:$B$1005,B35))</f>
        <v/>
      </c>
      <c r="E35" s="22">
        <f>IF(B35="","",SUMIFS(Items!$T$6:$T$1005,Items!$B$6:$B$1005,B35))</f>
        <v/>
      </c>
      <c r="F35" s="10">
        <f>IF(B35="","",SUMIFS(Items!$W$6:$W$1005,Items!$B$6:$B$1005,B35))</f>
        <v/>
      </c>
      <c r="G35" s="10">
        <f>IF(B35="","",SUMIFS(Items!$X$6:$X$1005,Items!$B$6:$B$1005,B35))</f>
        <v/>
      </c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18" customWidth="1" min="4" max="4"/>
    <col width="14" customWidth="1" min="5" max="5"/>
    <col width="12" customWidth="1" min="6" max="6"/>
    <col width="12" customWidth="1" min="7" max="7"/>
    <col width="9" customWidth="1" min="8" max="8"/>
    <col width="13" customWidth="1" min="9" max="9"/>
    <col hidden="1" width="13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24">
        <f>IF(Settings!$C$4="","Home inventory",Settings!$C$4&amp;": home inventory")</f>
        <v/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25">
        <f>"Printed on "&amp;DAY(TODAY())&amp;" "&amp;CHOOSE(MONTH(TODAY()),"Jan","Feb","Mar","Apr","May","Jun","Jul","Aug","Sep","Oct","Nov","Dec")&amp;" "&amp;YEAR(TODAY())</f>
        <v/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26" t="inlineStr">
        <is>
          <t>Room</t>
        </is>
      </c>
      <c r="C5" s="18" t="n"/>
      <c r="D5" s="15" t="inlineStr">
        <is>
          <t>Leave it empty for the whole home.</t>
        </is>
      </c>
      <c r="E5" s="1" t="n"/>
      <c r="F5" s="1" t="n"/>
      <c r="G5" s="1" t="n"/>
      <c r="H5" s="1" t="n"/>
      <c r="I5" s="1" t="n"/>
      <c r="J5" s="1" t="n"/>
    </row>
    <row r="6">
      <c r="A6" s="1" t="n"/>
      <c r="B6" s="16">
        <f>IF(Settings!$C$7="","","Insurer: "&amp;Settings!$C$7)&amp;IF(Settings!$C$8="","","   Policy: "&amp;Settings!$C$8)</f>
        <v/>
      </c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 ht="30" customHeight="1">
      <c r="A8" s="1" t="n"/>
      <c r="B8" s="8" t="inlineStr">
        <is>
          <t>Room</t>
        </is>
      </c>
      <c r="C8" s="8" t="inlineStr">
        <is>
          <t>Item</t>
        </is>
      </c>
      <c r="D8" s="8" t="inlineStr">
        <is>
          <t>Brand and model</t>
        </is>
      </c>
      <c r="E8" s="8" t="inlineStr">
        <is>
          <t>Serial number</t>
        </is>
      </c>
      <c r="F8" s="8" t="inlineStr">
        <is>
          <t>Bought</t>
        </is>
      </c>
      <c r="G8" s="8" t="inlineStr">
        <is>
          <t>Value</t>
        </is>
      </c>
      <c r="H8" s="8" t="inlineStr">
        <is>
          <t>Receipt</t>
        </is>
      </c>
      <c r="I8" s="8" t="inlineStr">
        <is>
          <t>Photo</t>
        </is>
      </c>
      <c r="J8" s="1" t="n"/>
    </row>
    <row r="9" ht="15" customHeight="1">
      <c r="A9" s="1" t="n"/>
      <c r="B9" s="27">
        <f>IF(K9="","",IF(INDEX(Items!$B$1:$B$1005,MOD(K9,10000))="","",INDEX(Items!$B$1:$B$1005,MOD(K9,10000))))</f>
        <v/>
      </c>
      <c r="C9" s="28">
        <f>IF(K9="","",IF(INDEX(Items!$C$1:$C$1005,MOD(K9,10000))="","",INDEX(Items!$C$1:$C$1005,MOD(K9,10000))))</f>
        <v/>
      </c>
      <c r="D9" s="27">
        <f>IF(K9="","",IF(INDEX(Items!$E$1:$E$1005,MOD(K9,10000))="","",INDEX(Items!$E$1:$E$1005,MOD(K9,10000))))</f>
        <v/>
      </c>
      <c r="E9" s="29">
        <f>IF(K9="","",IF(INDEX(Items!$F$1:$F$1005,MOD(K9,10000))="","",INDEX(Items!$F$1:$F$1005,MOD(K9,10000))))</f>
        <v/>
      </c>
      <c r="F9" s="30">
        <f>IF(K9="","",IF(INDEX(Items!$G$1:$G$1005,MOD(K9,10000))="","",INDEX(Items!$G$1:$G$1005,MOD(K9,10000))))</f>
        <v/>
      </c>
      <c r="G9" s="31">
        <f>IF(K9="","",IF(INDEX(Items!$N$1:$N$1005,MOD(K9,10000))="","",INDEX(Items!$N$1:$N$1005,MOD(K9,10000))))</f>
        <v/>
      </c>
      <c r="H9" s="29">
        <f>IF(K9="","",IF(INDEX(Items!$J$1:$J$1005,MOD(K9,10000))="","",INDEX(Items!$J$1:$J$1005,MOD(K9,10000))))</f>
        <v/>
      </c>
      <c r="I9" s="29">
        <f>IF(K9="","",IF(INDEX(Items!$K$1:$K$1005,MOD(K9,10000))="","",INDEX(Items!$K$1:$K$1005,MOD(K9,10000))))</f>
        <v/>
      </c>
      <c r="J9" s="1" t="n"/>
      <c r="K9">
        <f>IFERROR(SMALL(Items!$V$6:$V$1005,1),"")</f>
        <v/>
      </c>
    </row>
    <row r="10" ht="15" customHeight="1">
      <c r="A10" s="1" t="n"/>
      <c r="B10" s="27">
        <f>IF(K10="","",IF(INDEX(Items!$B$1:$B$1005,MOD(K10,10000))="","",INDEX(Items!$B$1:$B$1005,MOD(K10,10000))))</f>
        <v/>
      </c>
      <c r="C10" s="28">
        <f>IF(K10="","",IF(INDEX(Items!$C$1:$C$1005,MOD(K10,10000))="","",INDEX(Items!$C$1:$C$1005,MOD(K10,10000))))</f>
        <v/>
      </c>
      <c r="D10" s="27">
        <f>IF(K10="","",IF(INDEX(Items!$E$1:$E$1005,MOD(K10,10000))="","",INDEX(Items!$E$1:$E$1005,MOD(K10,10000))))</f>
        <v/>
      </c>
      <c r="E10" s="29">
        <f>IF(K10="","",IF(INDEX(Items!$F$1:$F$1005,MOD(K10,10000))="","",INDEX(Items!$F$1:$F$1005,MOD(K10,10000))))</f>
        <v/>
      </c>
      <c r="F10" s="30">
        <f>IF(K10="","",IF(INDEX(Items!$G$1:$G$1005,MOD(K10,10000))="","",INDEX(Items!$G$1:$G$1005,MOD(K10,10000))))</f>
        <v/>
      </c>
      <c r="G10" s="31">
        <f>IF(K10="","",IF(INDEX(Items!$N$1:$N$1005,MOD(K10,10000))="","",INDEX(Items!$N$1:$N$1005,MOD(K10,10000))))</f>
        <v/>
      </c>
      <c r="H10" s="29">
        <f>IF(K10="","",IF(INDEX(Items!$J$1:$J$1005,MOD(K10,10000))="","",INDEX(Items!$J$1:$J$1005,MOD(K10,10000))))</f>
        <v/>
      </c>
      <c r="I10" s="29">
        <f>IF(K10="","",IF(INDEX(Items!$K$1:$K$1005,MOD(K10,10000))="","",INDEX(Items!$K$1:$K$1005,MOD(K10,10000))))</f>
        <v/>
      </c>
      <c r="J10" s="1" t="n"/>
      <c r="K10">
        <f>IFERROR(SMALL(Items!$V$6:$V$1005,2),"")</f>
        <v/>
      </c>
    </row>
    <row r="11" ht="15" customHeight="1">
      <c r="A11" s="1" t="n"/>
      <c r="B11" s="27">
        <f>IF(K11="","",IF(INDEX(Items!$B$1:$B$1005,MOD(K11,10000))="","",INDEX(Items!$B$1:$B$1005,MOD(K11,10000))))</f>
        <v/>
      </c>
      <c r="C11" s="28">
        <f>IF(K11="","",IF(INDEX(Items!$C$1:$C$1005,MOD(K11,10000))="","",INDEX(Items!$C$1:$C$1005,MOD(K11,10000))))</f>
        <v/>
      </c>
      <c r="D11" s="27">
        <f>IF(K11="","",IF(INDEX(Items!$E$1:$E$1005,MOD(K11,10000))="","",INDEX(Items!$E$1:$E$1005,MOD(K11,10000))))</f>
        <v/>
      </c>
      <c r="E11" s="29">
        <f>IF(K11="","",IF(INDEX(Items!$F$1:$F$1005,MOD(K11,10000))="","",INDEX(Items!$F$1:$F$1005,MOD(K11,10000))))</f>
        <v/>
      </c>
      <c r="F11" s="30">
        <f>IF(K11="","",IF(INDEX(Items!$G$1:$G$1005,MOD(K11,10000))="","",INDEX(Items!$G$1:$G$1005,MOD(K11,10000))))</f>
        <v/>
      </c>
      <c r="G11" s="31">
        <f>IF(K11="","",IF(INDEX(Items!$N$1:$N$1005,MOD(K11,10000))="","",INDEX(Items!$N$1:$N$1005,MOD(K11,10000))))</f>
        <v/>
      </c>
      <c r="H11" s="29">
        <f>IF(K11="","",IF(INDEX(Items!$J$1:$J$1005,MOD(K11,10000))="","",INDEX(Items!$J$1:$J$1005,MOD(K11,10000))))</f>
        <v/>
      </c>
      <c r="I11" s="29">
        <f>IF(K11="","",IF(INDEX(Items!$K$1:$K$1005,MOD(K11,10000))="","",INDEX(Items!$K$1:$K$1005,MOD(K11,10000))))</f>
        <v/>
      </c>
      <c r="J11" s="1" t="n"/>
      <c r="K11">
        <f>IFERROR(SMALL(Items!$V$6:$V$1005,3),"")</f>
        <v/>
      </c>
    </row>
    <row r="12" ht="15" customHeight="1">
      <c r="A12" s="1" t="n"/>
      <c r="B12" s="27">
        <f>IF(K12="","",IF(INDEX(Items!$B$1:$B$1005,MOD(K12,10000))="","",INDEX(Items!$B$1:$B$1005,MOD(K12,10000))))</f>
        <v/>
      </c>
      <c r="C12" s="28">
        <f>IF(K12="","",IF(INDEX(Items!$C$1:$C$1005,MOD(K12,10000))="","",INDEX(Items!$C$1:$C$1005,MOD(K12,10000))))</f>
        <v/>
      </c>
      <c r="D12" s="27">
        <f>IF(K12="","",IF(INDEX(Items!$E$1:$E$1005,MOD(K12,10000))="","",INDEX(Items!$E$1:$E$1005,MOD(K12,10000))))</f>
        <v/>
      </c>
      <c r="E12" s="29">
        <f>IF(K12="","",IF(INDEX(Items!$F$1:$F$1005,MOD(K12,10000))="","",INDEX(Items!$F$1:$F$1005,MOD(K12,10000))))</f>
        <v/>
      </c>
      <c r="F12" s="30">
        <f>IF(K12="","",IF(INDEX(Items!$G$1:$G$1005,MOD(K12,10000))="","",INDEX(Items!$G$1:$G$1005,MOD(K12,10000))))</f>
        <v/>
      </c>
      <c r="G12" s="31">
        <f>IF(K12="","",IF(INDEX(Items!$N$1:$N$1005,MOD(K12,10000))="","",INDEX(Items!$N$1:$N$1005,MOD(K12,10000))))</f>
        <v/>
      </c>
      <c r="H12" s="29">
        <f>IF(K12="","",IF(INDEX(Items!$J$1:$J$1005,MOD(K12,10000))="","",INDEX(Items!$J$1:$J$1005,MOD(K12,10000))))</f>
        <v/>
      </c>
      <c r="I12" s="29">
        <f>IF(K12="","",IF(INDEX(Items!$K$1:$K$1005,MOD(K12,10000))="","",INDEX(Items!$K$1:$K$1005,MOD(K12,10000))))</f>
        <v/>
      </c>
      <c r="J12" s="1" t="n"/>
      <c r="K12">
        <f>IFERROR(SMALL(Items!$V$6:$V$1005,4),"")</f>
        <v/>
      </c>
    </row>
    <row r="13" ht="15" customHeight="1">
      <c r="A13" s="1" t="n"/>
      <c r="B13" s="27">
        <f>IF(K13="","",IF(INDEX(Items!$B$1:$B$1005,MOD(K13,10000))="","",INDEX(Items!$B$1:$B$1005,MOD(K13,10000))))</f>
        <v/>
      </c>
      <c r="C13" s="28">
        <f>IF(K13="","",IF(INDEX(Items!$C$1:$C$1005,MOD(K13,10000))="","",INDEX(Items!$C$1:$C$1005,MOD(K13,10000))))</f>
        <v/>
      </c>
      <c r="D13" s="27">
        <f>IF(K13="","",IF(INDEX(Items!$E$1:$E$1005,MOD(K13,10000))="","",INDEX(Items!$E$1:$E$1005,MOD(K13,10000))))</f>
        <v/>
      </c>
      <c r="E13" s="29">
        <f>IF(K13="","",IF(INDEX(Items!$F$1:$F$1005,MOD(K13,10000))="","",INDEX(Items!$F$1:$F$1005,MOD(K13,10000))))</f>
        <v/>
      </c>
      <c r="F13" s="30">
        <f>IF(K13="","",IF(INDEX(Items!$G$1:$G$1005,MOD(K13,10000))="","",INDEX(Items!$G$1:$G$1005,MOD(K13,10000))))</f>
        <v/>
      </c>
      <c r="G13" s="31">
        <f>IF(K13="","",IF(INDEX(Items!$N$1:$N$1005,MOD(K13,10000))="","",INDEX(Items!$N$1:$N$1005,MOD(K13,10000))))</f>
        <v/>
      </c>
      <c r="H13" s="29">
        <f>IF(K13="","",IF(INDEX(Items!$J$1:$J$1005,MOD(K13,10000))="","",INDEX(Items!$J$1:$J$1005,MOD(K13,10000))))</f>
        <v/>
      </c>
      <c r="I13" s="29">
        <f>IF(K13="","",IF(INDEX(Items!$K$1:$K$1005,MOD(K13,10000))="","",INDEX(Items!$K$1:$K$1005,MOD(K13,10000))))</f>
        <v/>
      </c>
      <c r="J13" s="1" t="n"/>
      <c r="K13">
        <f>IFERROR(SMALL(Items!$V$6:$V$1005,5),"")</f>
        <v/>
      </c>
    </row>
    <row r="14" ht="15" customHeight="1">
      <c r="A14" s="1" t="n"/>
      <c r="B14" s="27">
        <f>IF(K14="","",IF(INDEX(Items!$B$1:$B$1005,MOD(K14,10000))="","",INDEX(Items!$B$1:$B$1005,MOD(K14,10000))))</f>
        <v/>
      </c>
      <c r="C14" s="28">
        <f>IF(K14="","",IF(INDEX(Items!$C$1:$C$1005,MOD(K14,10000))="","",INDEX(Items!$C$1:$C$1005,MOD(K14,10000))))</f>
        <v/>
      </c>
      <c r="D14" s="27">
        <f>IF(K14="","",IF(INDEX(Items!$E$1:$E$1005,MOD(K14,10000))="","",INDEX(Items!$E$1:$E$1005,MOD(K14,10000))))</f>
        <v/>
      </c>
      <c r="E14" s="29">
        <f>IF(K14="","",IF(INDEX(Items!$F$1:$F$1005,MOD(K14,10000))="","",INDEX(Items!$F$1:$F$1005,MOD(K14,10000))))</f>
        <v/>
      </c>
      <c r="F14" s="30">
        <f>IF(K14="","",IF(INDEX(Items!$G$1:$G$1005,MOD(K14,10000))="","",INDEX(Items!$G$1:$G$1005,MOD(K14,10000))))</f>
        <v/>
      </c>
      <c r="G14" s="31">
        <f>IF(K14="","",IF(INDEX(Items!$N$1:$N$1005,MOD(K14,10000))="","",INDEX(Items!$N$1:$N$1005,MOD(K14,10000))))</f>
        <v/>
      </c>
      <c r="H14" s="29">
        <f>IF(K14="","",IF(INDEX(Items!$J$1:$J$1005,MOD(K14,10000))="","",INDEX(Items!$J$1:$J$1005,MOD(K14,10000))))</f>
        <v/>
      </c>
      <c r="I14" s="29">
        <f>IF(K14="","",IF(INDEX(Items!$K$1:$K$1005,MOD(K14,10000))="","",INDEX(Items!$K$1:$K$1005,MOD(K14,10000))))</f>
        <v/>
      </c>
      <c r="J14" s="1" t="n"/>
      <c r="K14">
        <f>IFERROR(SMALL(Items!$V$6:$V$1005,6),"")</f>
        <v/>
      </c>
    </row>
    <row r="15" ht="15" customHeight="1">
      <c r="A15" s="1" t="n"/>
      <c r="B15" s="27">
        <f>IF(K15="","",IF(INDEX(Items!$B$1:$B$1005,MOD(K15,10000))="","",INDEX(Items!$B$1:$B$1005,MOD(K15,10000))))</f>
        <v/>
      </c>
      <c r="C15" s="28">
        <f>IF(K15="","",IF(INDEX(Items!$C$1:$C$1005,MOD(K15,10000))="","",INDEX(Items!$C$1:$C$1005,MOD(K15,10000))))</f>
        <v/>
      </c>
      <c r="D15" s="27">
        <f>IF(K15="","",IF(INDEX(Items!$E$1:$E$1005,MOD(K15,10000))="","",INDEX(Items!$E$1:$E$1005,MOD(K15,10000))))</f>
        <v/>
      </c>
      <c r="E15" s="29">
        <f>IF(K15="","",IF(INDEX(Items!$F$1:$F$1005,MOD(K15,10000))="","",INDEX(Items!$F$1:$F$1005,MOD(K15,10000))))</f>
        <v/>
      </c>
      <c r="F15" s="30">
        <f>IF(K15="","",IF(INDEX(Items!$G$1:$G$1005,MOD(K15,10000))="","",INDEX(Items!$G$1:$G$1005,MOD(K15,10000))))</f>
        <v/>
      </c>
      <c r="G15" s="31">
        <f>IF(K15="","",IF(INDEX(Items!$N$1:$N$1005,MOD(K15,10000))="","",INDEX(Items!$N$1:$N$1005,MOD(K15,10000))))</f>
        <v/>
      </c>
      <c r="H15" s="29">
        <f>IF(K15="","",IF(INDEX(Items!$J$1:$J$1005,MOD(K15,10000))="","",INDEX(Items!$J$1:$J$1005,MOD(K15,10000))))</f>
        <v/>
      </c>
      <c r="I15" s="29">
        <f>IF(K15="","",IF(INDEX(Items!$K$1:$K$1005,MOD(K15,10000))="","",INDEX(Items!$K$1:$K$1005,MOD(K15,10000))))</f>
        <v/>
      </c>
      <c r="J15" s="1" t="n"/>
      <c r="K15">
        <f>IFERROR(SMALL(Items!$V$6:$V$1005,7),"")</f>
        <v/>
      </c>
    </row>
    <row r="16" ht="15" customHeight="1">
      <c r="A16" s="1" t="n"/>
      <c r="B16" s="27">
        <f>IF(K16="","",IF(INDEX(Items!$B$1:$B$1005,MOD(K16,10000))="","",INDEX(Items!$B$1:$B$1005,MOD(K16,10000))))</f>
        <v/>
      </c>
      <c r="C16" s="28">
        <f>IF(K16="","",IF(INDEX(Items!$C$1:$C$1005,MOD(K16,10000))="","",INDEX(Items!$C$1:$C$1005,MOD(K16,10000))))</f>
        <v/>
      </c>
      <c r="D16" s="27">
        <f>IF(K16="","",IF(INDEX(Items!$E$1:$E$1005,MOD(K16,10000))="","",INDEX(Items!$E$1:$E$1005,MOD(K16,10000))))</f>
        <v/>
      </c>
      <c r="E16" s="29">
        <f>IF(K16="","",IF(INDEX(Items!$F$1:$F$1005,MOD(K16,10000))="","",INDEX(Items!$F$1:$F$1005,MOD(K16,10000))))</f>
        <v/>
      </c>
      <c r="F16" s="30">
        <f>IF(K16="","",IF(INDEX(Items!$G$1:$G$1005,MOD(K16,10000))="","",INDEX(Items!$G$1:$G$1005,MOD(K16,10000))))</f>
        <v/>
      </c>
      <c r="G16" s="31">
        <f>IF(K16="","",IF(INDEX(Items!$N$1:$N$1005,MOD(K16,10000))="","",INDEX(Items!$N$1:$N$1005,MOD(K16,10000))))</f>
        <v/>
      </c>
      <c r="H16" s="29">
        <f>IF(K16="","",IF(INDEX(Items!$J$1:$J$1005,MOD(K16,10000))="","",INDEX(Items!$J$1:$J$1005,MOD(K16,10000))))</f>
        <v/>
      </c>
      <c r="I16" s="29">
        <f>IF(K16="","",IF(INDEX(Items!$K$1:$K$1005,MOD(K16,10000))="","",INDEX(Items!$K$1:$K$1005,MOD(K16,10000))))</f>
        <v/>
      </c>
      <c r="J16" s="1" t="n"/>
      <c r="K16">
        <f>IFERROR(SMALL(Items!$V$6:$V$1005,8),"")</f>
        <v/>
      </c>
    </row>
    <row r="17" ht="15" customHeight="1">
      <c r="A17" s="1" t="n"/>
      <c r="B17" s="27">
        <f>IF(K17="","",IF(INDEX(Items!$B$1:$B$1005,MOD(K17,10000))="","",INDEX(Items!$B$1:$B$1005,MOD(K17,10000))))</f>
        <v/>
      </c>
      <c r="C17" s="28">
        <f>IF(K17="","",IF(INDEX(Items!$C$1:$C$1005,MOD(K17,10000))="","",INDEX(Items!$C$1:$C$1005,MOD(K17,10000))))</f>
        <v/>
      </c>
      <c r="D17" s="27">
        <f>IF(K17="","",IF(INDEX(Items!$E$1:$E$1005,MOD(K17,10000))="","",INDEX(Items!$E$1:$E$1005,MOD(K17,10000))))</f>
        <v/>
      </c>
      <c r="E17" s="29">
        <f>IF(K17="","",IF(INDEX(Items!$F$1:$F$1005,MOD(K17,10000))="","",INDEX(Items!$F$1:$F$1005,MOD(K17,10000))))</f>
        <v/>
      </c>
      <c r="F17" s="30">
        <f>IF(K17="","",IF(INDEX(Items!$G$1:$G$1005,MOD(K17,10000))="","",INDEX(Items!$G$1:$G$1005,MOD(K17,10000))))</f>
        <v/>
      </c>
      <c r="G17" s="31">
        <f>IF(K17="","",IF(INDEX(Items!$N$1:$N$1005,MOD(K17,10000))="","",INDEX(Items!$N$1:$N$1005,MOD(K17,10000))))</f>
        <v/>
      </c>
      <c r="H17" s="29">
        <f>IF(K17="","",IF(INDEX(Items!$J$1:$J$1005,MOD(K17,10000))="","",INDEX(Items!$J$1:$J$1005,MOD(K17,10000))))</f>
        <v/>
      </c>
      <c r="I17" s="29">
        <f>IF(K17="","",IF(INDEX(Items!$K$1:$K$1005,MOD(K17,10000))="","",INDEX(Items!$K$1:$K$1005,MOD(K17,10000))))</f>
        <v/>
      </c>
      <c r="J17" s="1" t="n"/>
      <c r="K17">
        <f>IFERROR(SMALL(Items!$V$6:$V$1005,9),"")</f>
        <v/>
      </c>
    </row>
    <row r="18" ht="15" customHeight="1">
      <c r="A18" s="1" t="n"/>
      <c r="B18" s="27">
        <f>IF(K18="","",IF(INDEX(Items!$B$1:$B$1005,MOD(K18,10000))="","",INDEX(Items!$B$1:$B$1005,MOD(K18,10000))))</f>
        <v/>
      </c>
      <c r="C18" s="28">
        <f>IF(K18="","",IF(INDEX(Items!$C$1:$C$1005,MOD(K18,10000))="","",INDEX(Items!$C$1:$C$1005,MOD(K18,10000))))</f>
        <v/>
      </c>
      <c r="D18" s="27">
        <f>IF(K18="","",IF(INDEX(Items!$E$1:$E$1005,MOD(K18,10000))="","",INDEX(Items!$E$1:$E$1005,MOD(K18,10000))))</f>
        <v/>
      </c>
      <c r="E18" s="29">
        <f>IF(K18="","",IF(INDEX(Items!$F$1:$F$1005,MOD(K18,10000))="","",INDEX(Items!$F$1:$F$1005,MOD(K18,10000))))</f>
        <v/>
      </c>
      <c r="F18" s="30">
        <f>IF(K18="","",IF(INDEX(Items!$G$1:$G$1005,MOD(K18,10000))="","",INDEX(Items!$G$1:$G$1005,MOD(K18,10000))))</f>
        <v/>
      </c>
      <c r="G18" s="31">
        <f>IF(K18="","",IF(INDEX(Items!$N$1:$N$1005,MOD(K18,10000))="","",INDEX(Items!$N$1:$N$1005,MOD(K18,10000))))</f>
        <v/>
      </c>
      <c r="H18" s="29">
        <f>IF(K18="","",IF(INDEX(Items!$J$1:$J$1005,MOD(K18,10000))="","",INDEX(Items!$J$1:$J$1005,MOD(K18,10000))))</f>
        <v/>
      </c>
      <c r="I18" s="29">
        <f>IF(K18="","",IF(INDEX(Items!$K$1:$K$1005,MOD(K18,10000))="","",INDEX(Items!$K$1:$K$1005,MOD(K18,10000))))</f>
        <v/>
      </c>
      <c r="J18" s="1" t="n"/>
      <c r="K18">
        <f>IFERROR(SMALL(Items!$V$6:$V$1005,10),"")</f>
        <v/>
      </c>
    </row>
    <row r="19" ht="15" customHeight="1">
      <c r="A19" s="1" t="n"/>
      <c r="B19" s="27">
        <f>IF(K19="","",IF(INDEX(Items!$B$1:$B$1005,MOD(K19,10000))="","",INDEX(Items!$B$1:$B$1005,MOD(K19,10000))))</f>
        <v/>
      </c>
      <c r="C19" s="28">
        <f>IF(K19="","",IF(INDEX(Items!$C$1:$C$1005,MOD(K19,10000))="","",INDEX(Items!$C$1:$C$1005,MOD(K19,10000))))</f>
        <v/>
      </c>
      <c r="D19" s="27">
        <f>IF(K19="","",IF(INDEX(Items!$E$1:$E$1005,MOD(K19,10000))="","",INDEX(Items!$E$1:$E$1005,MOD(K19,10000))))</f>
        <v/>
      </c>
      <c r="E19" s="29">
        <f>IF(K19="","",IF(INDEX(Items!$F$1:$F$1005,MOD(K19,10000))="","",INDEX(Items!$F$1:$F$1005,MOD(K19,10000))))</f>
        <v/>
      </c>
      <c r="F19" s="30">
        <f>IF(K19="","",IF(INDEX(Items!$G$1:$G$1005,MOD(K19,10000))="","",INDEX(Items!$G$1:$G$1005,MOD(K19,10000))))</f>
        <v/>
      </c>
      <c r="G19" s="31">
        <f>IF(K19="","",IF(INDEX(Items!$N$1:$N$1005,MOD(K19,10000))="","",INDEX(Items!$N$1:$N$1005,MOD(K19,10000))))</f>
        <v/>
      </c>
      <c r="H19" s="29">
        <f>IF(K19="","",IF(INDEX(Items!$J$1:$J$1005,MOD(K19,10000))="","",INDEX(Items!$J$1:$J$1005,MOD(K19,10000))))</f>
        <v/>
      </c>
      <c r="I19" s="29">
        <f>IF(K19="","",IF(INDEX(Items!$K$1:$K$1005,MOD(K19,10000))="","",INDEX(Items!$K$1:$K$1005,MOD(K19,10000))))</f>
        <v/>
      </c>
      <c r="J19" s="1" t="n"/>
      <c r="K19">
        <f>IFERROR(SMALL(Items!$V$6:$V$1005,11),"")</f>
        <v/>
      </c>
    </row>
    <row r="20" ht="15" customHeight="1">
      <c r="A20" s="1" t="n"/>
      <c r="B20" s="27">
        <f>IF(K20="","",IF(INDEX(Items!$B$1:$B$1005,MOD(K20,10000))="","",INDEX(Items!$B$1:$B$1005,MOD(K20,10000))))</f>
        <v/>
      </c>
      <c r="C20" s="28">
        <f>IF(K20="","",IF(INDEX(Items!$C$1:$C$1005,MOD(K20,10000))="","",INDEX(Items!$C$1:$C$1005,MOD(K20,10000))))</f>
        <v/>
      </c>
      <c r="D20" s="27">
        <f>IF(K20="","",IF(INDEX(Items!$E$1:$E$1005,MOD(K20,10000))="","",INDEX(Items!$E$1:$E$1005,MOD(K20,10000))))</f>
        <v/>
      </c>
      <c r="E20" s="29">
        <f>IF(K20="","",IF(INDEX(Items!$F$1:$F$1005,MOD(K20,10000))="","",INDEX(Items!$F$1:$F$1005,MOD(K20,10000))))</f>
        <v/>
      </c>
      <c r="F20" s="30">
        <f>IF(K20="","",IF(INDEX(Items!$G$1:$G$1005,MOD(K20,10000))="","",INDEX(Items!$G$1:$G$1005,MOD(K20,10000))))</f>
        <v/>
      </c>
      <c r="G20" s="31">
        <f>IF(K20="","",IF(INDEX(Items!$N$1:$N$1005,MOD(K20,10000))="","",INDEX(Items!$N$1:$N$1005,MOD(K20,10000))))</f>
        <v/>
      </c>
      <c r="H20" s="29">
        <f>IF(K20="","",IF(INDEX(Items!$J$1:$J$1005,MOD(K20,10000))="","",INDEX(Items!$J$1:$J$1005,MOD(K20,10000))))</f>
        <v/>
      </c>
      <c r="I20" s="29">
        <f>IF(K20="","",IF(INDEX(Items!$K$1:$K$1005,MOD(K20,10000))="","",INDEX(Items!$K$1:$K$1005,MOD(K20,10000))))</f>
        <v/>
      </c>
      <c r="J20" s="1" t="n"/>
      <c r="K20">
        <f>IFERROR(SMALL(Items!$V$6:$V$1005,12),"")</f>
        <v/>
      </c>
    </row>
    <row r="21" ht="15" customHeight="1">
      <c r="A21" s="1" t="n"/>
      <c r="B21" s="27">
        <f>IF(K21="","",IF(INDEX(Items!$B$1:$B$1005,MOD(K21,10000))="","",INDEX(Items!$B$1:$B$1005,MOD(K21,10000))))</f>
        <v/>
      </c>
      <c r="C21" s="28">
        <f>IF(K21="","",IF(INDEX(Items!$C$1:$C$1005,MOD(K21,10000))="","",INDEX(Items!$C$1:$C$1005,MOD(K21,10000))))</f>
        <v/>
      </c>
      <c r="D21" s="27">
        <f>IF(K21="","",IF(INDEX(Items!$E$1:$E$1005,MOD(K21,10000))="","",INDEX(Items!$E$1:$E$1005,MOD(K21,10000))))</f>
        <v/>
      </c>
      <c r="E21" s="29">
        <f>IF(K21="","",IF(INDEX(Items!$F$1:$F$1005,MOD(K21,10000))="","",INDEX(Items!$F$1:$F$1005,MOD(K21,10000))))</f>
        <v/>
      </c>
      <c r="F21" s="30">
        <f>IF(K21="","",IF(INDEX(Items!$G$1:$G$1005,MOD(K21,10000))="","",INDEX(Items!$G$1:$G$1005,MOD(K21,10000))))</f>
        <v/>
      </c>
      <c r="G21" s="31">
        <f>IF(K21="","",IF(INDEX(Items!$N$1:$N$1005,MOD(K21,10000))="","",INDEX(Items!$N$1:$N$1005,MOD(K21,10000))))</f>
        <v/>
      </c>
      <c r="H21" s="29">
        <f>IF(K21="","",IF(INDEX(Items!$J$1:$J$1005,MOD(K21,10000))="","",INDEX(Items!$J$1:$J$1005,MOD(K21,10000))))</f>
        <v/>
      </c>
      <c r="I21" s="29">
        <f>IF(K21="","",IF(INDEX(Items!$K$1:$K$1005,MOD(K21,10000))="","",INDEX(Items!$K$1:$K$1005,MOD(K21,10000))))</f>
        <v/>
      </c>
      <c r="J21" s="1" t="n"/>
      <c r="K21">
        <f>IFERROR(SMALL(Items!$V$6:$V$1005,13),"")</f>
        <v/>
      </c>
    </row>
    <row r="22" ht="15" customHeight="1">
      <c r="A22" s="1" t="n"/>
      <c r="B22" s="27">
        <f>IF(K22="","",IF(INDEX(Items!$B$1:$B$1005,MOD(K22,10000))="","",INDEX(Items!$B$1:$B$1005,MOD(K22,10000))))</f>
        <v/>
      </c>
      <c r="C22" s="28">
        <f>IF(K22="","",IF(INDEX(Items!$C$1:$C$1005,MOD(K22,10000))="","",INDEX(Items!$C$1:$C$1005,MOD(K22,10000))))</f>
        <v/>
      </c>
      <c r="D22" s="27">
        <f>IF(K22="","",IF(INDEX(Items!$E$1:$E$1005,MOD(K22,10000))="","",INDEX(Items!$E$1:$E$1005,MOD(K22,10000))))</f>
        <v/>
      </c>
      <c r="E22" s="29">
        <f>IF(K22="","",IF(INDEX(Items!$F$1:$F$1005,MOD(K22,10000))="","",INDEX(Items!$F$1:$F$1005,MOD(K22,10000))))</f>
        <v/>
      </c>
      <c r="F22" s="30">
        <f>IF(K22="","",IF(INDEX(Items!$G$1:$G$1005,MOD(K22,10000))="","",INDEX(Items!$G$1:$G$1005,MOD(K22,10000))))</f>
        <v/>
      </c>
      <c r="G22" s="31">
        <f>IF(K22="","",IF(INDEX(Items!$N$1:$N$1005,MOD(K22,10000))="","",INDEX(Items!$N$1:$N$1005,MOD(K22,10000))))</f>
        <v/>
      </c>
      <c r="H22" s="29">
        <f>IF(K22="","",IF(INDEX(Items!$J$1:$J$1005,MOD(K22,10000))="","",INDEX(Items!$J$1:$J$1005,MOD(K22,10000))))</f>
        <v/>
      </c>
      <c r="I22" s="29">
        <f>IF(K22="","",IF(INDEX(Items!$K$1:$K$1005,MOD(K22,10000))="","",INDEX(Items!$K$1:$K$1005,MOD(K22,10000))))</f>
        <v/>
      </c>
      <c r="J22" s="1" t="n"/>
      <c r="K22">
        <f>IFERROR(SMALL(Items!$V$6:$V$1005,14),"")</f>
        <v/>
      </c>
    </row>
    <row r="23" ht="15" customHeight="1">
      <c r="A23" s="1" t="n"/>
      <c r="B23" s="27">
        <f>IF(K23="","",IF(INDEX(Items!$B$1:$B$1005,MOD(K23,10000))="","",INDEX(Items!$B$1:$B$1005,MOD(K23,10000))))</f>
        <v/>
      </c>
      <c r="C23" s="28">
        <f>IF(K23="","",IF(INDEX(Items!$C$1:$C$1005,MOD(K23,10000))="","",INDEX(Items!$C$1:$C$1005,MOD(K23,10000))))</f>
        <v/>
      </c>
      <c r="D23" s="27">
        <f>IF(K23="","",IF(INDEX(Items!$E$1:$E$1005,MOD(K23,10000))="","",INDEX(Items!$E$1:$E$1005,MOD(K23,10000))))</f>
        <v/>
      </c>
      <c r="E23" s="29">
        <f>IF(K23="","",IF(INDEX(Items!$F$1:$F$1005,MOD(K23,10000))="","",INDEX(Items!$F$1:$F$1005,MOD(K23,10000))))</f>
        <v/>
      </c>
      <c r="F23" s="30">
        <f>IF(K23="","",IF(INDEX(Items!$G$1:$G$1005,MOD(K23,10000))="","",INDEX(Items!$G$1:$G$1005,MOD(K23,10000))))</f>
        <v/>
      </c>
      <c r="G23" s="31">
        <f>IF(K23="","",IF(INDEX(Items!$N$1:$N$1005,MOD(K23,10000))="","",INDEX(Items!$N$1:$N$1005,MOD(K23,10000))))</f>
        <v/>
      </c>
      <c r="H23" s="29">
        <f>IF(K23="","",IF(INDEX(Items!$J$1:$J$1005,MOD(K23,10000))="","",INDEX(Items!$J$1:$J$1005,MOD(K23,10000))))</f>
        <v/>
      </c>
      <c r="I23" s="29">
        <f>IF(K23="","",IF(INDEX(Items!$K$1:$K$1005,MOD(K23,10000))="","",INDEX(Items!$K$1:$K$1005,MOD(K23,10000))))</f>
        <v/>
      </c>
      <c r="J23" s="1" t="n"/>
      <c r="K23">
        <f>IFERROR(SMALL(Items!$V$6:$V$1005,15),"")</f>
        <v/>
      </c>
    </row>
    <row r="24" ht="15" customHeight="1">
      <c r="A24" s="1" t="n"/>
      <c r="B24" s="27">
        <f>IF(K24="","",IF(INDEX(Items!$B$1:$B$1005,MOD(K24,10000))="","",INDEX(Items!$B$1:$B$1005,MOD(K24,10000))))</f>
        <v/>
      </c>
      <c r="C24" s="28">
        <f>IF(K24="","",IF(INDEX(Items!$C$1:$C$1005,MOD(K24,10000))="","",INDEX(Items!$C$1:$C$1005,MOD(K24,10000))))</f>
        <v/>
      </c>
      <c r="D24" s="27">
        <f>IF(K24="","",IF(INDEX(Items!$E$1:$E$1005,MOD(K24,10000))="","",INDEX(Items!$E$1:$E$1005,MOD(K24,10000))))</f>
        <v/>
      </c>
      <c r="E24" s="29">
        <f>IF(K24="","",IF(INDEX(Items!$F$1:$F$1005,MOD(K24,10000))="","",INDEX(Items!$F$1:$F$1005,MOD(K24,10000))))</f>
        <v/>
      </c>
      <c r="F24" s="30">
        <f>IF(K24="","",IF(INDEX(Items!$G$1:$G$1005,MOD(K24,10000))="","",INDEX(Items!$G$1:$G$1005,MOD(K24,10000))))</f>
        <v/>
      </c>
      <c r="G24" s="31">
        <f>IF(K24="","",IF(INDEX(Items!$N$1:$N$1005,MOD(K24,10000))="","",INDEX(Items!$N$1:$N$1005,MOD(K24,10000))))</f>
        <v/>
      </c>
      <c r="H24" s="29">
        <f>IF(K24="","",IF(INDEX(Items!$J$1:$J$1005,MOD(K24,10000))="","",INDEX(Items!$J$1:$J$1005,MOD(K24,10000))))</f>
        <v/>
      </c>
      <c r="I24" s="29">
        <f>IF(K24="","",IF(INDEX(Items!$K$1:$K$1005,MOD(K24,10000))="","",INDEX(Items!$K$1:$K$1005,MOD(K24,10000))))</f>
        <v/>
      </c>
      <c r="J24" s="1" t="n"/>
      <c r="K24">
        <f>IFERROR(SMALL(Items!$V$6:$V$1005,16),"")</f>
        <v/>
      </c>
    </row>
    <row r="25" ht="15" customHeight="1">
      <c r="A25" s="1" t="n"/>
      <c r="B25" s="27">
        <f>IF(K25="","",IF(INDEX(Items!$B$1:$B$1005,MOD(K25,10000))="","",INDEX(Items!$B$1:$B$1005,MOD(K25,10000))))</f>
        <v/>
      </c>
      <c r="C25" s="28">
        <f>IF(K25="","",IF(INDEX(Items!$C$1:$C$1005,MOD(K25,10000))="","",INDEX(Items!$C$1:$C$1005,MOD(K25,10000))))</f>
        <v/>
      </c>
      <c r="D25" s="27">
        <f>IF(K25="","",IF(INDEX(Items!$E$1:$E$1005,MOD(K25,10000))="","",INDEX(Items!$E$1:$E$1005,MOD(K25,10000))))</f>
        <v/>
      </c>
      <c r="E25" s="29">
        <f>IF(K25="","",IF(INDEX(Items!$F$1:$F$1005,MOD(K25,10000))="","",INDEX(Items!$F$1:$F$1005,MOD(K25,10000))))</f>
        <v/>
      </c>
      <c r="F25" s="30">
        <f>IF(K25="","",IF(INDEX(Items!$G$1:$G$1005,MOD(K25,10000))="","",INDEX(Items!$G$1:$G$1005,MOD(K25,10000))))</f>
        <v/>
      </c>
      <c r="G25" s="31">
        <f>IF(K25="","",IF(INDEX(Items!$N$1:$N$1005,MOD(K25,10000))="","",INDEX(Items!$N$1:$N$1005,MOD(K25,10000))))</f>
        <v/>
      </c>
      <c r="H25" s="29">
        <f>IF(K25="","",IF(INDEX(Items!$J$1:$J$1005,MOD(K25,10000))="","",INDEX(Items!$J$1:$J$1005,MOD(K25,10000))))</f>
        <v/>
      </c>
      <c r="I25" s="29">
        <f>IF(K25="","",IF(INDEX(Items!$K$1:$K$1005,MOD(K25,10000))="","",INDEX(Items!$K$1:$K$1005,MOD(K25,10000))))</f>
        <v/>
      </c>
      <c r="J25" s="1" t="n"/>
      <c r="K25">
        <f>IFERROR(SMALL(Items!$V$6:$V$1005,17),"")</f>
        <v/>
      </c>
    </row>
    <row r="26" ht="15" customHeight="1">
      <c r="A26" s="1" t="n"/>
      <c r="B26" s="27">
        <f>IF(K26="","",IF(INDEX(Items!$B$1:$B$1005,MOD(K26,10000))="","",INDEX(Items!$B$1:$B$1005,MOD(K26,10000))))</f>
        <v/>
      </c>
      <c r="C26" s="28">
        <f>IF(K26="","",IF(INDEX(Items!$C$1:$C$1005,MOD(K26,10000))="","",INDEX(Items!$C$1:$C$1005,MOD(K26,10000))))</f>
        <v/>
      </c>
      <c r="D26" s="27">
        <f>IF(K26="","",IF(INDEX(Items!$E$1:$E$1005,MOD(K26,10000))="","",INDEX(Items!$E$1:$E$1005,MOD(K26,10000))))</f>
        <v/>
      </c>
      <c r="E26" s="29">
        <f>IF(K26="","",IF(INDEX(Items!$F$1:$F$1005,MOD(K26,10000))="","",INDEX(Items!$F$1:$F$1005,MOD(K26,10000))))</f>
        <v/>
      </c>
      <c r="F26" s="30">
        <f>IF(K26="","",IF(INDEX(Items!$G$1:$G$1005,MOD(K26,10000))="","",INDEX(Items!$G$1:$G$1005,MOD(K26,10000))))</f>
        <v/>
      </c>
      <c r="G26" s="31">
        <f>IF(K26="","",IF(INDEX(Items!$N$1:$N$1005,MOD(K26,10000))="","",INDEX(Items!$N$1:$N$1005,MOD(K26,10000))))</f>
        <v/>
      </c>
      <c r="H26" s="29">
        <f>IF(K26="","",IF(INDEX(Items!$J$1:$J$1005,MOD(K26,10000))="","",INDEX(Items!$J$1:$J$1005,MOD(K26,10000))))</f>
        <v/>
      </c>
      <c r="I26" s="29">
        <f>IF(K26="","",IF(INDEX(Items!$K$1:$K$1005,MOD(K26,10000))="","",INDEX(Items!$K$1:$K$1005,MOD(K26,10000))))</f>
        <v/>
      </c>
      <c r="J26" s="1" t="n"/>
      <c r="K26">
        <f>IFERROR(SMALL(Items!$V$6:$V$1005,18),"")</f>
        <v/>
      </c>
    </row>
    <row r="27" ht="15" customHeight="1">
      <c r="A27" s="1" t="n"/>
      <c r="B27" s="27">
        <f>IF(K27="","",IF(INDEX(Items!$B$1:$B$1005,MOD(K27,10000))="","",INDEX(Items!$B$1:$B$1005,MOD(K27,10000))))</f>
        <v/>
      </c>
      <c r="C27" s="28">
        <f>IF(K27="","",IF(INDEX(Items!$C$1:$C$1005,MOD(K27,10000))="","",INDEX(Items!$C$1:$C$1005,MOD(K27,10000))))</f>
        <v/>
      </c>
      <c r="D27" s="27">
        <f>IF(K27="","",IF(INDEX(Items!$E$1:$E$1005,MOD(K27,10000))="","",INDEX(Items!$E$1:$E$1005,MOD(K27,10000))))</f>
        <v/>
      </c>
      <c r="E27" s="29">
        <f>IF(K27="","",IF(INDEX(Items!$F$1:$F$1005,MOD(K27,10000))="","",INDEX(Items!$F$1:$F$1005,MOD(K27,10000))))</f>
        <v/>
      </c>
      <c r="F27" s="30">
        <f>IF(K27="","",IF(INDEX(Items!$G$1:$G$1005,MOD(K27,10000))="","",INDEX(Items!$G$1:$G$1005,MOD(K27,10000))))</f>
        <v/>
      </c>
      <c r="G27" s="31">
        <f>IF(K27="","",IF(INDEX(Items!$N$1:$N$1005,MOD(K27,10000))="","",INDEX(Items!$N$1:$N$1005,MOD(K27,10000))))</f>
        <v/>
      </c>
      <c r="H27" s="29">
        <f>IF(K27="","",IF(INDEX(Items!$J$1:$J$1005,MOD(K27,10000))="","",INDEX(Items!$J$1:$J$1005,MOD(K27,10000))))</f>
        <v/>
      </c>
      <c r="I27" s="29">
        <f>IF(K27="","",IF(INDEX(Items!$K$1:$K$1005,MOD(K27,10000))="","",INDEX(Items!$K$1:$K$1005,MOD(K27,10000))))</f>
        <v/>
      </c>
      <c r="J27" s="1" t="n"/>
      <c r="K27">
        <f>IFERROR(SMALL(Items!$V$6:$V$1005,19),"")</f>
        <v/>
      </c>
    </row>
    <row r="28" ht="15" customHeight="1">
      <c r="A28" s="1" t="n"/>
      <c r="B28" s="27">
        <f>IF(K28="","",IF(INDEX(Items!$B$1:$B$1005,MOD(K28,10000))="","",INDEX(Items!$B$1:$B$1005,MOD(K28,10000))))</f>
        <v/>
      </c>
      <c r="C28" s="28">
        <f>IF(K28="","",IF(INDEX(Items!$C$1:$C$1005,MOD(K28,10000))="","",INDEX(Items!$C$1:$C$1005,MOD(K28,10000))))</f>
        <v/>
      </c>
      <c r="D28" s="27">
        <f>IF(K28="","",IF(INDEX(Items!$E$1:$E$1005,MOD(K28,10000))="","",INDEX(Items!$E$1:$E$1005,MOD(K28,10000))))</f>
        <v/>
      </c>
      <c r="E28" s="29">
        <f>IF(K28="","",IF(INDEX(Items!$F$1:$F$1005,MOD(K28,10000))="","",INDEX(Items!$F$1:$F$1005,MOD(K28,10000))))</f>
        <v/>
      </c>
      <c r="F28" s="30">
        <f>IF(K28="","",IF(INDEX(Items!$G$1:$G$1005,MOD(K28,10000))="","",INDEX(Items!$G$1:$G$1005,MOD(K28,10000))))</f>
        <v/>
      </c>
      <c r="G28" s="31">
        <f>IF(K28="","",IF(INDEX(Items!$N$1:$N$1005,MOD(K28,10000))="","",INDEX(Items!$N$1:$N$1005,MOD(K28,10000))))</f>
        <v/>
      </c>
      <c r="H28" s="29">
        <f>IF(K28="","",IF(INDEX(Items!$J$1:$J$1005,MOD(K28,10000))="","",INDEX(Items!$J$1:$J$1005,MOD(K28,10000))))</f>
        <v/>
      </c>
      <c r="I28" s="29">
        <f>IF(K28="","",IF(INDEX(Items!$K$1:$K$1005,MOD(K28,10000))="","",INDEX(Items!$K$1:$K$1005,MOD(K28,10000))))</f>
        <v/>
      </c>
      <c r="J28" s="1" t="n"/>
      <c r="K28">
        <f>IFERROR(SMALL(Items!$V$6:$V$1005,20),"")</f>
        <v/>
      </c>
    </row>
    <row r="29" ht="15" customHeight="1">
      <c r="A29" s="1" t="n"/>
      <c r="B29" s="27">
        <f>IF(K29="","",IF(INDEX(Items!$B$1:$B$1005,MOD(K29,10000))="","",INDEX(Items!$B$1:$B$1005,MOD(K29,10000))))</f>
        <v/>
      </c>
      <c r="C29" s="28">
        <f>IF(K29="","",IF(INDEX(Items!$C$1:$C$1005,MOD(K29,10000))="","",INDEX(Items!$C$1:$C$1005,MOD(K29,10000))))</f>
        <v/>
      </c>
      <c r="D29" s="27">
        <f>IF(K29="","",IF(INDEX(Items!$E$1:$E$1005,MOD(K29,10000))="","",INDEX(Items!$E$1:$E$1005,MOD(K29,10000))))</f>
        <v/>
      </c>
      <c r="E29" s="29">
        <f>IF(K29="","",IF(INDEX(Items!$F$1:$F$1005,MOD(K29,10000))="","",INDEX(Items!$F$1:$F$1005,MOD(K29,10000))))</f>
        <v/>
      </c>
      <c r="F29" s="30">
        <f>IF(K29="","",IF(INDEX(Items!$G$1:$G$1005,MOD(K29,10000))="","",INDEX(Items!$G$1:$G$1005,MOD(K29,10000))))</f>
        <v/>
      </c>
      <c r="G29" s="31">
        <f>IF(K29="","",IF(INDEX(Items!$N$1:$N$1005,MOD(K29,10000))="","",INDEX(Items!$N$1:$N$1005,MOD(K29,10000))))</f>
        <v/>
      </c>
      <c r="H29" s="29">
        <f>IF(K29="","",IF(INDEX(Items!$J$1:$J$1005,MOD(K29,10000))="","",INDEX(Items!$J$1:$J$1005,MOD(K29,10000))))</f>
        <v/>
      </c>
      <c r="I29" s="29">
        <f>IF(K29="","",IF(INDEX(Items!$K$1:$K$1005,MOD(K29,10000))="","",INDEX(Items!$K$1:$K$1005,MOD(K29,10000))))</f>
        <v/>
      </c>
      <c r="J29" s="1" t="n"/>
      <c r="K29">
        <f>IFERROR(SMALL(Items!$V$6:$V$1005,21),"")</f>
        <v/>
      </c>
    </row>
    <row r="30" ht="15" customHeight="1">
      <c r="A30" s="1" t="n"/>
      <c r="B30" s="27">
        <f>IF(K30="","",IF(INDEX(Items!$B$1:$B$1005,MOD(K30,10000))="","",INDEX(Items!$B$1:$B$1005,MOD(K30,10000))))</f>
        <v/>
      </c>
      <c r="C30" s="28">
        <f>IF(K30="","",IF(INDEX(Items!$C$1:$C$1005,MOD(K30,10000))="","",INDEX(Items!$C$1:$C$1005,MOD(K30,10000))))</f>
        <v/>
      </c>
      <c r="D30" s="27">
        <f>IF(K30="","",IF(INDEX(Items!$E$1:$E$1005,MOD(K30,10000))="","",INDEX(Items!$E$1:$E$1005,MOD(K30,10000))))</f>
        <v/>
      </c>
      <c r="E30" s="29">
        <f>IF(K30="","",IF(INDEX(Items!$F$1:$F$1005,MOD(K30,10000))="","",INDEX(Items!$F$1:$F$1005,MOD(K30,10000))))</f>
        <v/>
      </c>
      <c r="F30" s="30">
        <f>IF(K30="","",IF(INDEX(Items!$G$1:$G$1005,MOD(K30,10000))="","",INDEX(Items!$G$1:$G$1005,MOD(K30,10000))))</f>
        <v/>
      </c>
      <c r="G30" s="31">
        <f>IF(K30="","",IF(INDEX(Items!$N$1:$N$1005,MOD(K30,10000))="","",INDEX(Items!$N$1:$N$1005,MOD(K30,10000))))</f>
        <v/>
      </c>
      <c r="H30" s="29">
        <f>IF(K30="","",IF(INDEX(Items!$J$1:$J$1005,MOD(K30,10000))="","",INDEX(Items!$J$1:$J$1005,MOD(K30,10000))))</f>
        <v/>
      </c>
      <c r="I30" s="29">
        <f>IF(K30="","",IF(INDEX(Items!$K$1:$K$1005,MOD(K30,10000))="","",INDEX(Items!$K$1:$K$1005,MOD(K30,10000))))</f>
        <v/>
      </c>
      <c r="J30" s="1" t="n"/>
      <c r="K30">
        <f>IFERROR(SMALL(Items!$V$6:$V$1005,22),"")</f>
        <v/>
      </c>
    </row>
    <row r="31" ht="15" customHeight="1">
      <c r="A31" s="1" t="n"/>
      <c r="B31" s="27">
        <f>IF(K31="","",IF(INDEX(Items!$B$1:$B$1005,MOD(K31,10000))="","",INDEX(Items!$B$1:$B$1005,MOD(K31,10000))))</f>
        <v/>
      </c>
      <c r="C31" s="28">
        <f>IF(K31="","",IF(INDEX(Items!$C$1:$C$1005,MOD(K31,10000))="","",INDEX(Items!$C$1:$C$1005,MOD(K31,10000))))</f>
        <v/>
      </c>
      <c r="D31" s="27">
        <f>IF(K31="","",IF(INDEX(Items!$E$1:$E$1005,MOD(K31,10000))="","",INDEX(Items!$E$1:$E$1005,MOD(K31,10000))))</f>
        <v/>
      </c>
      <c r="E31" s="29">
        <f>IF(K31="","",IF(INDEX(Items!$F$1:$F$1005,MOD(K31,10000))="","",INDEX(Items!$F$1:$F$1005,MOD(K31,10000))))</f>
        <v/>
      </c>
      <c r="F31" s="30">
        <f>IF(K31="","",IF(INDEX(Items!$G$1:$G$1005,MOD(K31,10000))="","",INDEX(Items!$G$1:$G$1005,MOD(K31,10000))))</f>
        <v/>
      </c>
      <c r="G31" s="31">
        <f>IF(K31="","",IF(INDEX(Items!$N$1:$N$1005,MOD(K31,10000))="","",INDEX(Items!$N$1:$N$1005,MOD(K31,10000))))</f>
        <v/>
      </c>
      <c r="H31" s="29">
        <f>IF(K31="","",IF(INDEX(Items!$J$1:$J$1005,MOD(K31,10000))="","",INDEX(Items!$J$1:$J$1005,MOD(K31,10000))))</f>
        <v/>
      </c>
      <c r="I31" s="29">
        <f>IF(K31="","",IF(INDEX(Items!$K$1:$K$1005,MOD(K31,10000))="","",INDEX(Items!$K$1:$K$1005,MOD(K31,10000))))</f>
        <v/>
      </c>
      <c r="J31" s="1" t="n"/>
      <c r="K31">
        <f>IFERROR(SMALL(Items!$V$6:$V$1005,23),"")</f>
        <v/>
      </c>
    </row>
    <row r="32" ht="15" customHeight="1">
      <c r="A32" s="1" t="n"/>
      <c r="B32" s="27">
        <f>IF(K32="","",IF(INDEX(Items!$B$1:$B$1005,MOD(K32,10000))="","",INDEX(Items!$B$1:$B$1005,MOD(K32,10000))))</f>
        <v/>
      </c>
      <c r="C32" s="28">
        <f>IF(K32="","",IF(INDEX(Items!$C$1:$C$1005,MOD(K32,10000))="","",INDEX(Items!$C$1:$C$1005,MOD(K32,10000))))</f>
        <v/>
      </c>
      <c r="D32" s="27">
        <f>IF(K32="","",IF(INDEX(Items!$E$1:$E$1005,MOD(K32,10000))="","",INDEX(Items!$E$1:$E$1005,MOD(K32,10000))))</f>
        <v/>
      </c>
      <c r="E32" s="29">
        <f>IF(K32="","",IF(INDEX(Items!$F$1:$F$1005,MOD(K32,10000))="","",INDEX(Items!$F$1:$F$1005,MOD(K32,10000))))</f>
        <v/>
      </c>
      <c r="F32" s="30">
        <f>IF(K32="","",IF(INDEX(Items!$G$1:$G$1005,MOD(K32,10000))="","",INDEX(Items!$G$1:$G$1005,MOD(K32,10000))))</f>
        <v/>
      </c>
      <c r="G32" s="31">
        <f>IF(K32="","",IF(INDEX(Items!$N$1:$N$1005,MOD(K32,10000))="","",INDEX(Items!$N$1:$N$1005,MOD(K32,10000))))</f>
        <v/>
      </c>
      <c r="H32" s="29">
        <f>IF(K32="","",IF(INDEX(Items!$J$1:$J$1005,MOD(K32,10000))="","",INDEX(Items!$J$1:$J$1005,MOD(K32,10000))))</f>
        <v/>
      </c>
      <c r="I32" s="29">
        <f>IF(K32="","",IF(INDEX(Items!$K$1:$K$1005,MOD(K32,10000))="","",INDEX(Items!$K$1:$K$1005,MOD(K32,10000))))</f>
        <v/>
      </c>
      <c r="J32" s="1" t="n"/>
      <c r="K32">
        <f>IFERROR(SMALL(Items!$V$6:$V$1005,24),"")</f>
        <v/>
      </c>
    </row>
    <row r="33" ht="15" customHeight="1">
      <c r="A33" s="1" t="n"/>
      <c r="B33" s="27">
        <f>IF(K33="","",IF(INDEX(Items!$B$1:$B$1005,MOD(K33,10000))="","",INDEX(Items!$B$1:$B$1005,MOD(K33,10000))))</f>
        <v/>
      </c>
      <c r="C33" s="28">
        <f>IF(K33="","",IF(INDEX(Items!$C$1:$C$1005,MOD(K33,10000))="","",INDEX(Items!$C$1:$C$1005,MOD(K33,10000))))</f>
        <v/>
      </c>
      <c r="D33" s="27">
        <f>IF(K33="","",IF(INDEX(Items!$E$1:$E$1005,MOD(K33,10000))="","",INDEX(Items!$E$1:$E$1005,MOD(K33,10000))))</f>
        <v/>
      </c>
      <c r="E33" s="29">
        <f>IF(K33="","",IF(INDEX(Items!$F$1:$F$1005,MOD(K33,10000))="","",INDEX(Items!$F$1:$F$1005,MOD(K33,10000))))</f>
        <v/>
      </c>
      <c r="F33" s="30">
        <f>IF(K33="","",IF(INDEX(Items!$G$1:$G$1005,MOD(K33,10000))="","",INDEX(Items!$G$1:$G$1005,MOD(K33,10000))))</f>
        <v/>
      </c>
      <c r="G33" s="31">
        <f>IF(K33="","",IF(INDEX(Items!$N$1:$N$1005,MOD(K33,10000))="","",INDEX(Items!$N$1:$N$1005,MOD(K33,10000))))</f>
        <v/>
      </c>
      <c r="H33" s="29">
        <f>IF(K33="","",IF(INDEX(Items!$J$1:$J$1005,MOD(K33,10000))="","",INDEX(Items!$J$1:$J$1005,MOD(K33,10000))))</f>
        <v/>
      </c>
      <c r="I33" s="29">
        <f>IF(K33="","",IF(INDEX(Items!$K$1:$K$1005,MOD(K33,10000))="","",INDEX(Items!$K$1:$K$1005,MOD(K33,10000))))</f>
        <v/>
      </c>
      <c r="J33" s="1" t="n"/>
      <c r="K33">
        <f>IFERROR(SMALL(Items!$V$6:$V$1005,25),"")</f>
        <v/>
      </c>
    </row>
    <row r="34" ht="15" customHeight="1">
      <c r="A34" s="1" t="n"/>
      <c r="B34" s="27">
        <f>IF(K34="","",IF(INDEX(Items!$B$1:$B$1005,MOD(K34,10000))="","",INDEX(Items!$B$1:$B$1005,MOD(K34,10000))))</f>
        <v/>
      </c>
      <c r="C34" s="28">
        <f>IF(K34="","",IF(INDEX(Items!$C$1:$C$1005,MOD(K34,10000))="","",INDEX(Items!$C$1:$C$1005,MOD(K34,10000))))</f>
        <v/>
      </c>
      <c r="D34" s="27">
        <f>IF(K34="","",IF(INDEX(Items!$E$1:$E$1005,MOD(K34,10000))="","",INDEX(Items!$E$1:$E$1005,MOD(K34,10000))))</f>
        <v/>
      </c>
      <c r="E34" s="29">
        <f>IF(K34="","",IF(INDEX(Items!$F$1:$F$1005,MOD(K34,10000))="","",INDEX(Items!$F$1:$F$1005,MOD(K34,10000))))</f>
        <v/>
      </c>
      <c r="F34" s="30">
        <f>IF(K34="","",IF(INDEX(Items!$G$1:$G$1005,MOD(K34,10000))="","",INDEX(Items!$G$1:$G$1005,MOD(K34,10000))))</f>
        <v/>
      </c>
      <c r="G34" s="31">
        <f>IF(K34="","",IF(INDEX(Items!$N$1:$N$1005,MOD(K34,10000))="","",INDEX(Items!$N$1:$N$1005,MOD(K34,10000))))</f>
        <v/>
      </c>
      <c r="H34" s="29">
        <f>IF(K34="","",IF(INDEX(Items!$J$1:$J$1005,MOD(K34,10000))="","",INDEX(Items!$J$1:$J$1005,MOD(K34,10000))))</f>
        <v/>
      </c>
      <c r="I34" s="29">
        <f>IF(K34="","",IF(INDEX(Items!$K$1:$K$1005,MOD(K34,10000))="","",INDEX(Items!$K$1:$K$1005,MOD(K34,10000))))</f>
        <v/>
      </c>
      <c r="J34" s="1" t="n"/>
      <c r="K34">
        <f>IFERROR(SMALL(Items!$V$6:$V$1005,26),"")</f>
        <v/>
      </c>
    </row>
    <row r="35" ht="15" customHeight="1">
      <c r="A35" s="1" t="n"/>
      <c r="B35" s="27">
        <f>IF(K35="","",IF(INDEX(Items!$B$1:$B$1005,MOD(K35,10000))="","",INDEX(Items!$B$1:$B$1005,MOD(K35,10000))))</f>
        <v/>
      </c>
      <c r="C35" s="28">
        <f>IF(K35="","",IF(INDEX(Items!$C$1:$C$1005,MOD(K35,10000))="","",INDEX(Items!$C$1:$C$1005,MOD(K35,10000))))</f>
        <v/>
      </c>
      <c r="D35" s="27">
        <f>IF(K35="","",IF(INDEX(Items!$E$1:$E$1005,MOD(K35,10000))="","",INDEX(Items!$E$1:$E$1005,MOD(K35,10000))))</f>
        <v/>
      </c>
      <c r="E35" s="29">
        <f>IF(K35="","",IF(INDEX(Items!$F$1:$F$1005,MOD(K35,10000))="","",INDEX(Items!$F$1:$F$1005,MOD(K35,10000))))</f>
        <v/>
      </c>
      <c r="F35" s="30">
        <f>IF(K35="","",IF(INDEX(Items!$G$1:$G$1005,MOD(K35,10000))="","",INDEX(Items!$G$1:$G$1005,MOD(K35,10000))))</f>
        <v/>
      </c>
      <c r="G35" s="31">
        <f>IF(K35="","",IF(INDEX(Items!$N$1:$N$1005,MOD(K35,10000))="","",INDEX(Items!$N$1:$N$1005,MOD(K35,10000))))</f>
        <v/>
      </c>
      <c r="H35" s="29">
        <f>IF(K35="","",IF(INDEX(Items!$J$1:$J$1005,MOD(K35,10000))="","",INDEX(Items!$J$1:$J$1005,MOD(K35,10000))))</f>
        <v/>
      </c>
      <c r="I35" s="29">
        <f>IF(K35="","",IF(INDEX(Items!$K$1:$K$1005,MOD(K35,10000))="","",INDEX(Items!$K$1:$K$1005,MOD(K35,10000))))</f>
        <v/>
      </c>
      <c r="J35" s="1" t="n"/>
      <c r="K35">
        <f>IFERROR(SMALL(Items!$V$6:$V$1005,27),"")</f>
        <v/>
      </c>
    </row>
    <row r="36" ht="15" customHeight="1">
      <c r="A36" s="1" t="n"/>
      <c r="B36" s="27">
        <f>IF(K36="","",IF(INDEX(Items!$B$1:$B$1005,MOD(K36,10000))="","",INDEX(Items!$B$1:$B$1005,MOD(K36,10000))))</f>
        <v/>
      </c>
      <c r="C36" s="28">
        <f>IF(K36="","",IF(INDEX(Items!$C$1:$C$1005,MOD(K36,10000))="","",INDEX(Items!$C$1:$C$1005,MOD(K36,10000))))</f>
        <v/>
      </c>
      <c r="D36" s="27">
        <f>IF(K36="","",IF(INDEX(Items!$E$1:$E$1005,MOD(K36,10000))="","",INDEX(Items!$E$1:$E$1005,MOD(K36,10000))))</f>
        <v/>
      </c>
      <c r="E36" s="29">
        <f>IF(K36="","",IF(INDEX(Items!$F$1:$F$1005,MOD(K36,10000))="","",INDEX(Items!$F$1:$F$1005,MOD(K36,10000))))</f>
        <v/>
      </c>
      <c r="F36" s="30">
        <f>IF(K36="","",IF(INDEX(Items!$G$1:$G$1005,MOD(K36,10000))="","",INDEX(Items!$G$1:$G$1005,MOD(K36,10000))))</f>
        <v/>
      </c>
      <c r="G36" s="31">
        <f>IF(K36="","",IF(INDEX(Items!$N$1:$N$1005,MOD(K36,10000))="","",INDEX(Items!$N$1:$N$1005,MOD(K36,10000))))</f>
        <v/>
      </c>
      <c r="H36" s="29">
        <f>IF(K36="","",IF(INDEX(Items!$J$1:$J$1005,MOD(K36,10000))="","",INDEX(Items!$J$1:$J$1005,MOD(K36,10000))))</f>
        <v/>
      </c>
      <c r="I36" s="29">
        <f>IF(K36="","",IF(INDEX(Items!$K$1:$K$1005,MOD(K36,10000))="","",INDEX(Items!$K$1:$K$1005,MOD(K36,10000))))</f>
        <v/>
      </c>
      <c r="J36" s="1" t="n"/>
      <c r="K36">
        <f>IFERROR(SMALL(Items!$V$6:$V$1005,28),"")</f>
        <v/>
      </c>
    </row>
    <row r="37" ht="15" customHeight="1">
      <c r="A37" s="1" t="n"/>
      <c r="B37" s="27">
        <f>IF(K37="","",IF(INDEX(Items!$B$1:$B$1005,MOD(K37,10000))="","",INDEX(Items!$B$1:$B$1005,MOD(K37,10000))))</f>
        <v/>
      </c>
      <c r="C37" s="28">
        <f>IF(K37="","",IF(INDEX(Items!$C$1:$C$1005,MOD(K37,10000))="","",INDEX(Items!$C$1:$C$1005,MOD(K37,10000))))</f>
        <v/>
      </c>
      <c r="D37" s="27">
        <f>IF(K37="","",IF(INDEX(Items!$E$1:$E$1005,MOD(K37,10000))="","",INDEX(Items!$E$1:$E$1005,MOD(K37,10000))))</f>
        <v/>
      </c>
      <c r="E37" s="29">
        <f>IF(K37="","",IF(INDEX(Items!$F$1:$F$1005,MOD(K37,10000))="","",INDEX(Items!$F$1:$F$1005,MOD(K37,10000))))</f>
        <v/>
      </c>
      <c r="F37" s="30">
        <f>IF(K37="","",IF(INDEX(Items!$G$1:$G$1005,MOD(K37,10000))="","",INDEX(Items!$G$1:$G$1005,MOD(K37,10000))))</f>
        <v/>
      </c>
      <c r="G37" s="31">
        <f>IF(K37="","",IF(INDEX(Items!$N$1:$N$1005,MOD(K37,10000))="","",INDEX(Items!$N$1:$N$1005,MOD(K37,10000))))</f>
        <v/>
      </c>
      <c r="H37" s="29">
        <f>IF(K37="","",IF(INDEX(Items!$J$1:$J$1005,MOD(K37,10000))="","",INDEX(Items!$J$1:$J$1005,MOD(K37,10000))))</f>
        <v/>
      </c>
      <c r="I37" s="29">
        <f>IF(K37="","",IF(INDEX(Items!$K$1:$K$1005,MOD(K37,10000))="","",INDEX(Items!$K$1:$K$1005,MOD(K37,10000))))</f>
        <v/>
      </c>
      <c r="J37" s="1" t="n"/>
      <c r="K37">
        <f>IFERROR(SMALL(Items!$V$6:$V$1005,29),"")</f>
        <v/>
      </c>
    </row>
    <row r="38" ht="15" customHeight="1">
      <c r="A38" s="1" t="n"/>
      <c r="B38" s="27">
        <f>IF(K38="","",IF(INDEX(Items!$B$1:$B$1005,MOD(K38,10000))="","",INDEX(Items!$B$1:$B$1005,MOD(K38,10000))))</f>
        <v/>
      </c>
      <c r="C38" s="28">
        <f>IF(K38="","",IF(INDEX(Items!$C$1:$C$1005,MOD(K38,10000))="","",INDEX(Items!$C$1:$C$1005,MOD(K38,10000))))</f>
        <v/>
      </c>
      <c r="D38" s="27">
        <f>IF(K38="","",IF(INDEX(Items!$E$1:$E$1005,MOD(K38,10000))="","",INDEX(Items!$E$1:$E$1005,MOD(K38,10000))))</f>
        <v/>
      </c>
      <c r="E38" s="29">
        <f>IF(K38="","",IF(INDEX(Items!$F$1:$F$1005,MOD(K38,10000))="","",INDEX(Items!$F$1:$F$1005,MOD(K38,10000))))</f>
        <v/>
      </c>
      <c r="F38" s="30">
        <f>IF(K38="","",IF(INDEX(Items!$G$1:$G$1005,MOD(K38,10000))="","",INDEX(Items!$G$1:$G$1005,MOD(K38,10000))))</f>
        <v/>
      </c>
      <c r="G38" s="31">
        <f>IF(K38="","",IF(INDEX(Items!$N$1:$N$1005,MOD(K38,10000))="","",INDEX(Items!$N$1:$N$1005,MOD(K38,10000))))</f>
        <v/>
      </c>
      <c r="H38" s="29">
        <f>IF(K38="","",IF(INDEX(Items!$J$1:$J$1005,MOD(K38,10000))="","",INDEX(Items!$J$1:$J$1005,MOD(K38,10000))))</f>
        <v/>
      </c>
      <c r="I38" s="29">
        <f>IF(K38="","",IF(INDEX(Items!$K$1:$K$1005,MOD(K38,10000))="","",INDEX(Items!$K$1:$K$1005,MOD(K38,10000))))</f>
        <v/>
      </c>
      <c r="J38" s="1" t="n"/>
      <c r="K38">
        <f>IFERROR(SMALL(Items!$V$6:$V$1005,30),"")</f>
        <v/>
      </c>
    </row>
    <row r="39" ht="15" customHeight="1">
      <c r="A39" s="1" t="n"/>
      <c r="B39" s="27">
        <f>IF(K39="","",IF(INDEX(Items!$B$1:$B$1005,MOD(K39,10000))="","",INDEX(Items!$B$1:$B$1005,MOD(K39,10000))))</f>
        <v/>
      </c>
      <c r="C39" s="28">
        <f>IF(K39="","",IF(INDEX(Items!$C$1:$C$1005,MOD(K39,10000))="","",INDEX(Items!$C$1:$C$1005,MOD(K39,10000))))</f>
        <v/>
      </c>
      <c r="D39" s="27">
        <f>IF(K39="","",IF(INDEX(Items!$E$1:$E$1005,MOD(K39,10000))="","",INDEX(Items!$E$1:$E$1005,MOD(K39,10000))))</f>
        <v/>
      </c>
      <c r="E39" s="29">
        <f>IF(K39="","",IF(INDEX(Items!$F$1:$F$1005,MOD(K39,10000))="","",INDEX(Items!$F$1:$F$1005,MOD(K39,10000))))</f>
        <v/>
      </c>
      <c r="F39" s="30">
        <f>IF(K39="","",IF(INDEX(Items!$G$1:$G$1005,MOD(K39,10000))="","",INDEX(Items!$G$1:$G$1005,MOD(K39,10000))))</f>
        <v/>
      </c>
      <c r="G39" s="31">
        <f>IF(K39="","",IF(INDEX(Items!$N$1:$N$1005,MOD(K39,10000))="","",INDEX(Items!$N$1:$N$1005,MOD(K39,10000))))</f>
        <v/>
      </c>
      <c r="H39" s="29">
        <f>IF(K39="","",IF(INDEX(Items!$J$1:$J$1005,MOD(K39,10000))="","",INDEX(Items!$J$1:$J$1005,MOD(K39,10000))))</f>
        <v/>
      </c>
      <c r="I39" s="29">
        <f>IF(K39="","",IF(INDEX(Items!$K$1:$K$1005,MOD(K39,10000))="","",INDEX(Items!$K$1:$K$1005,MOD(K39,10000))))</f>
        <v/>
      </c>
      <c r="J39" s="1" t="n"/>
      <c r="K39">
        <f>IFERROR(SMALL(Items!$V$6:$V$1005,31),"")</f>
        <v/>
      </c>
    </row>
    <row r="40" ht="15" customHeight="1">
      <c r="A40" s="1" t="n"/>
      <c r="B40" s="27">
        <f>IF(K40="","",IF(INDEX(Items!$B$1:$B$1005,MOD(K40,10000))="","",INDEX(Items!$B$1:$B$1005,MOD(K40,10000))))</f>
        <v/>
      </c>
      <c r="C40" s="28">
        <f>IF(K40="","",IF(INDEX(Items!$C$1:$C$1005,MOD(K40,10000))="","",INDEX(Items!$C$1:$C$1005,MOD(K40,10000))))</f>
        <v/>
      </c>
      <c r="D40" s="27">
        <f>IF(K40="","",IF(INDEX(Items!$E$1:$E$1005,MOD(K40,10000))="","",INDEX(Items!$E$1:$E$1005,MOD(K40,10000))))</f>
        <v/>
      </c>
      <c r="E40" s="29">
        <f>IF(K40="","",IF(INDEX(Items!$F$1:$F$1005,MOD(K40,10000))="","",INDEX(Items!$F$1:$F$1005,MOD(K40,10000))))</f>
        <v/>
      </c>
      <c r="F40" s="30">
        <f>IF(K40="","",IF(INDEX(Items!$G$1:$G$1005,MOD(K40,10000))="","",INDEX(Items!$G$1:$G$1005,MOD(K40,10000))))</f>
        <v/>
      </c>
      <c r="G40" s="31">
        <f>IF(K40="","",IF(INDEX(Items!$N$1:$N$1005,MOD(K40,10000))="","",INDEX(Items!$N$1:$N$1005,MOD(K40,10000))))</f>
        <v/>
      </c>
      <c r="H40" s="29">
        <f>IF(K40="","",IF(INDEX(Items!$J$1:$J$1005,MOD(K40,10000))="","",INDEX(Items!$J$1:$J$1005,MOD(K40,10000))))</f>
        <v/>
      </c>
      <c r="I40" s="29">
        <f>IF(K40="","",IF(INDEX(Items!$K$1:$K$1005,MOD(K40,10000))="","",INDEX(Items!$K$1:$K$1005,MOD(K40,10000))))</f>
        <v/>
      </c>
      <c r="J40" s="1" t="n"/>
      <c r="K40">
        <f>IFERROR(SMALL(Items!$V$6:$V$1005,32),"")</f>
        <v/>
      </c>
    </row>
    <row r="41" ht="15" customHeight="1">
      <c r="A41" s="1" t="n"/>
      <c r="B41" s="27">
        <f>IF(K41="","",IF(INDEX(Items!$B$1:$B$1005,MOD(K41,10000))="","",INDEX(Items!$B$1:$B$1005,MOD(K41,10000))))</f>
        <v/>
      </c>
      <c r="C41" s="28">
        <f>IF(K41="","",IF(INDEX(Items!$C$1:$C$1005,MOD(K41,10000))="","",INDEX(Items!$C$1:$C$1005,MOD(K41,10000))))</f>
        <v/>
      </c>
      <c r="D41" s="27">
        <f>IF(K41="","",IF(INDEX(Items!$E$1:$E$1005,MOD(K41,10000))="","",INDEX(Items!$E$1:$E$1005,MOD(K41,10000))))</f>
        <v/>
      </c>
      <c r="E41" s="29">
        <f>IF(K41="","",IF(INDEX(Items!$F$1:$F$1005,MOD(K41,10000))="","",INDEX(Items!$F$1:$F$1005,MOD(K41,10000))))</f>
        <v/>
      </c>
      <c r="F41" s="30">
        <f>IF(K41="","",IF(INDEX(Items!$G$1:$G$1005,MOD(K41,10000))="","",INDEX(Items!$G$1:$G$1005,MOD(K41,10000))))</f>
        <v/>
      </c>
      <c r="G41" s="31">
        <f>IF(K41="","",IF(INDEX(Items!$N$1:$N$1005,MOD(K41,10000))="","",INDEX(Items!$N$1:$N$1005,MOD(K41,10000))))</f>
        <v/>
      </c>
      <c r="H41" s="29">
        <f>IF(K41="","",IF(INDEX(Items!$J$1:$J$1005,MOD(K41,10000))="","",INDEX(Items!$J$1:$J$1005,MOD(K41,10000))))</f>
        <v/>
      </c>
      <c r="I41" s="29">
        <f>IF(K41="","",IF(INDEX(Items!$K$1:$K$1005,MOD(K41,10000))="","",INDEX(Items!$K$1:$K$1005,MOD(K41,10000))))</f>
        <v/>
      </c>
      <c r="J41" s="1" t="n"/>
      <c r="K41">
        <f>IFERROR(SMALL(Items!$V$6:$V$1005,33),"")</f>
        <v/>
      </c>
    </row>
    <row r="42" ht="15" customHeight="1">
      <c r="A42" s="1" t="n"/>
      <c r="B42" s="27">
        <f>IF(K42="","",IF(INDEX(Items!$B$1:$B$1005,MOD(K42,10000))="","",INDEX(Items!$B$1:$B$1005,MOD(K42,10000))))</f>
        <v/>
      </c>
      <c r="C42" s="28">
        <f>IF(K42="","",IF(INDEX(Items!$C$1:$C$1005,MOD(K42,10000))="","",INDEX(Items!$C$1:$C$1005,MOD(K42,10000))))</f>
        <v/>
      </c>
      <c r="D42" s="27">
        <f>IF(K42="","",IF(INDEX(Items!$E$1:$E$1005,MOD(K42,10000))="","",INDEX(Items!$E$1:$E$1005,MOD(K42,10000))))</f>
        <v/>
      </c>
      <c r="E42" s="29">
        <f>IF(K42="","",IF(INDEX(Items!$F$1:$F$1005,MOD(K42,10000))="","",INDEX(Items!$F$1:$F$1005,MOD(K42,10000))))</f>
        <v/>
      </c>
      <c r="F42" s="30">
        <f>IF(K42="","",IF(INDEX(Items!$G$1:$G$1005,MOD(K42,10000))="","",INDEX(Items!$G$1:$G$1005,MOD(K42,10000))))</f>
        <v/>
      </c>
      <c r="G42" s="31">
        <f>IF(K42="","",IF(INDEX(Items!$N$1:$N$1005,MOD(K42,10000))="","",INDEX(Items!$N$1:$N$1005,MOD(K42,10000))))</f>
        <v/>
      </c>
      <c r="H42" s="29">
        <f>IF(K42="","",IF(INDEX(Items!$J$1:$J$1005,MOD(K42,10000))="","",INDEX(Items!$J$1:$J$1005,MOD(K42,10000))))</f>
        <v/>
      </c>
      <c r="I42" s="29">
        <f>IF(K42="","",IF(INDEX(Items!$K$1:$K$1005,MOD(K42,10000))="","",INDEX(Items!$K$1:$K$1005,MOD(K42,10000))))</f>
        <v/>
      </c>
      <c r="J42" s="1" t="n"/>
      <c r="K42">
        <f>IFERROR(SMALL(Items!$V$6:$V$1005,34),"")</f>
        <v/>
      </c>
    </row>
    <row r="43" ht="15" customHeight="1">
      <c r="A43" s="1" t="n"/>
      <c r="B43" s="27">
        <f>IF(K43="","",IF(INDEX(Items!$B$1:$B$1005,MOD(K43,10000))="","",INDEX(Items!$B$1:$B$1005,MOD(K43,10000))))</f>
        <v/>
      </c>
      <c r="C43" s="28">
        <f>IF(K43="","",IF(INDEX(Items!$C$1:$C$1005,MOD(K43,10000))="","",INDEX(Items!$C$1:$C$1005,MOD(K43,10000))))</f>
        <v/>
      </c>
      <c r="D43" s="27">
        <f>IF(K43="","",IF(INDEX(Items!$E$1:$E$1005,MOD(K43,10000))="","",INDEX(Items!$E$1:$E$1005,MOD(K43,10000))))</f>
        <v/>
      </c>
      <c r="E43" s="29">
        <f>IF(K43="","",IF(INDEX(Items!$F$1:$F$1005,MOD(K43,10000))="","",INDEX(Items!$F$1:$F$1005,MOD(K43,10000))))</f>
        <v/>
      </c>
      <c r="F43" s="30">
        <f>IF(K43="","",IF(INDEX(Items!$G$1:$G$1005,MOD(K43,10000))="","",INDEX(Items!$G$1:$G$1005,MOD(K43,10000))))</f>
        <v/>
      </c>
      <c r="G43" s="31">
        <f>IF(K43="","",IF(INDEX(Items!$N$1:$N$1005,MOD(K43,10000))="","",INDEX(Items!$N$1:$N$1005,MOD(K43,10000))))</f>
        <v/>
      </c>
      <c r="H43" s="29">
        <f>IF(K43="","",IF(INDEX(Items!$J$1:$J$1005,MOD(K43,10000))="","",INDEX(Items!$J$1:$J$1005,MOD(K43,10000))))</f>
        <v/>
      </c>
      <c r="I43" s="29">
        <f>IF(K43="","",IF(INDEX(Items!$K$1:$K$1005,MOD(K43,10000))="","",INDEX(Items!$K$1:$K$1005,MOD(K43,10000))))</f>
        <v/>
      </c>
      <c r="J43" s="1" t="n"/>
      <c r="K43">
        <f>IFERROR(SMALL(Items!$V$6:$V$1005,35),"")</f>
        <v/>
      </c>
    </row>
    <row r="44" ht="15" customHeight="1">
      <c r="A44" s="1" t="n"/>
      <c r="B44" s="27">
        <f>IF(K44="","",IF(INDEX(Items!$B$1:$B$1005,MOD(K44,10000))="","",INDEX(Items!$B$1:$B$1005,MOD(K44,10000))))</f>
        <v/>
      </c>
      <c r="C44" s="28">
        <f>IF(K44="","",IF(INDEX(Items!$C$1:$C$1005,MOD(K44,10000))="","",INDEX(Items!$C$1:$C$1005,MOD(K44,10000))))</f>
        <v/>
      </c>
      <c r="D44" s="27">
        <f>IF(K44="","",IF(INDEX(Items!$E$1:$E$1005,MOD(K44,10000))="","",INDEX(Items!$E$1:$E$1005,MOD(K44,10000))))</f>
        <v/>
      </c>
      <c r="E44" s="29">
        <f>IF(K44="","",IF(INDEX(Items!$F$1:$F$1005,MOD(K44,10000))="","",INDEX(Items!$F$1:$F$1005,MOD(K44,10000))))</f>
        <v/>
      </c>
      <c r="F44" s="30">
        <f>IF(K44="","",IF(INDEX(Items!$G$1:$G$1005,MOD(K44,10000))="","",INDEX(Items!$G$1:$G$1005,MOD(K44,10000))))</f>
        <v/>
      </c>
      <c r="G44" s="31">
        <f>IF(K44="","",IF(INDEX(Items!$N$1:$N$1005,MOD(K44,10000))="","",INDEX(Items!$N$1:$N$1005,MOD(K44,10000))))</f>
        <v/>
      </c>
      <c r="H44" s="29">
        <f>IF(K44="","",IF(INDEX(Items!$J$1:$J$1005,MOD(K44,10000))="","",INDEX(Items!$J$1:$J$1005,MOD(K44,10000))))</f>
        <v/>
      </c>
      <c r="I44" s="29">
        <f>IF(K44="","",IF(INDEX(Items!$K$1:$K$1005,MOD(K44,10000))="","",INDEX(Items!$K$1:$K$1005,MOD(K44,10000))))</f>
        <v/>
      </c>
      <c r="J44" s="1" t="n"/>
      <c r="K44">
        <f>IFERROR(SMALL(Items!$V$6:$V$1005,36),"")</f>
        <v/>
      </c>
    </row>
    <row r="45" ht="15" customHeight="1">
      <c r="A45" s="1" t="n"/>
      <c r="B45" s="27">
        <f>IF(K45="","",IF(INDEX(Items!$B$1:$B$1005,MOD(K45,10000))="","",INDEX(Items!$B$1:$B$1005,MOD(K45,10000))))</f>
        <v/>
      </c>
      <c r="C45" s="28">
        <f>IF(K45="","",IF(INDEX(Items!$C$1:$C$1005,MOD(K45,10000))="","",INDEX(Items!$C$1:$C$1005,MOD(K45,10000))))</f>
        <v/>
      </c>
      <c r="D45" s="27">
        <f>IF(K45="","",IF(INDEX(Items!$E$1:$E$1005,MOD(K45,10000))="","",INDEX(Items!$E$1:$E$1005,MOD(K45,10000))))</f>
        <v/>
      </c>
      <c r="E45" s="29">
        <f>IF(K45="","",IF(INDEX(Items!$F$1:$F$1005,MOD(K45,10000))="","",INDEX(Items!$F$1:$F$1005,MOD(K45,10000))))</f>
        <v/>
      </c>
      <c r="F45" s="30">
        <f>IF(K45="","",IF(INDEX(Items!$G$1:$G$1005,MOD(K45,10000))="","",INDEX(Items!$G$1:$G$1005,MOD(K45,10000))))</f>
        <v/>
      </c>
      <c r="G45" s="31">
        <f>IF(K45="","",IF(INDEX(Items!$N$1:$N$1005,MOD(K45,10000))="","",INDEX(Items!$N$1:$N$1005,MOD(K45,10000))))</f>
        <v/>
      </c>
      <c r="H45" s="29">
        <f>IF(K45="","",IF(INDEX(Items!$J$1:$J$1005,MOD(K45,10000))="","",INDEX(Items!$J$1:$J$1005,MOD(K45,10000))))</f>
        <v/>
      </c>
      <c r="I45" s="29">
        <f>IF(K45="","",IF(INDEX(Items!$K$1:$K$1005,MOD(K45,10000))="","",INDEX(Items!$K$1:$K$1005,MOD(K45,10000))))</f>
        <v/>
      </c>
      <c r="J45" s="1" t="n"/>
      <c r="K45">
        <f>IFERROR(SMALL(Items!$V$6:$V$1005,37),"")</f>
        <v/>
      </c>
    </row>
    <row r="46" ht="15" customHeight="1">
      <c r="A46" s="1" t="n"/>
      <c r="B46" s="27">
        <f>IF(K46="","",IF(INDEX(Items!$B$1:$B$1005,MOD(K46,10000))="","",INDEX(Items!$B$1:$B$1005,MOD(K46,10000))))</f>
        <v/>
      </c>
      <c r="C46" s="28">
        <f>IF(K46="","",IF(INDEX(Items!$C$1:$C$1005,MOD(K46,10000))="","",INDEX(Items!$C$1:$C$1005,MOD(K46,10000))))</f>
        <v/>
      </c>
      <c r="D46" s="27">
        <f>IF(K46="","",IF(INDEX(Items!$E$1:$E$1005,MOD(K46,10000))="","",INDEX(Items!$E$1:$E$1005,MOD(K46,10000))))</f>
        <v/>
      </c>
      <c r="E46" s="29">
        <f>IF(K46="","",IF(INDEX(Items!$F$1:$F$1005,MOD(K46,10000))="","",INDEX(Items!$F$1:$F$1005,MOD(K46,10000))))</f>
        <v/>
      </c>
      <c r="F46" s="30">
        <f>IF(K46="","",IF(INDEX(Items!$G$1:$G$1005,MOD(K46,10000))="","",INDEX(Items!$G$1:$G$1005,MOD(K46,10000))))</f>
        <v/>
      </c>
      <c r="G46" s="31">
        <f>IF(K46="","",IF(INDEX(Items!$N$1:$N$1005,MOD(K46,10000))="","",INDEX(Items!$N$1:$N$1005,MOD(K46,10000))))</f>
        <v/>
      </c>
      <c r="H46" s="29">
        <f>IF(K46="","",IF(INDEX(Items!$J$1:$J$1005,MOD(K46,10000))="","",INDEX(Items!$J$1:$J$1005,MOD(K46,10000))))</f>
        <v/>
      </c>
      <c r="I46" s="29">
        <f>IF(K46="","",IF(INDEX(Items!$K$1:$K$1005,MOD(K46,10000))="","",INDEX(Items!$K$1:$K$1005,MOD(K46,10000))))</f>
        <v/>
      </c>
      <c r="J46" s="1" t="n"/>
      <c r="K46">
        <f>IFERROR(SMALL(Items!$V$6:$V$1005,38),"")</f>
        <v/>
      </c>
    </row>
    <row r="47" ht="15" customHeight="1">
      <c r="A47" s="1" t="n"/>
      <c r="B47" s="27">
        <f>IF(K47="","",IF(INDEX(Items!$B$1:$B$1005,MOD(K47,10000))="","",INDEX(Items!$B$1:$B$1005,MOD(K47,10000))))</f>
        <v/>
      </c>
      <c r="C47" s="28">
        <f>IF(K47="","",IF(INDEX(Items!$C$1:$C$1005,MOD(K47,10000))="","",INDEX(Items!$C$1:$C$1005,MOD(K47,10000))))</f>
        <v/>
      </c>
      <c r="D47" s="27">
        <f>IF(K47="","",IF(INDEX(Items!$E$1:$E$1005,MOD(K47,10000))="","",INDEX(Items!$E$1:$E$1005,MOD(K47,10000))))</f>
        <v/>
      </c>
      <c r="E47" s="29">
        <f>IF(K47="","",IF(INDEX(Items!$F$1:$F$1005,MOD(K47,10000))="","",INDEX(Items!$F$1:$F$1005,MOD(K47,10000))))</f>
        <v/>
      </c>
      <c r="F47" s="30">
        <f>IF(K47="","",IF(INDEX(Items!$G$1:$G$1005,MOD(K47,10000))="","",INDEX(Items!$G$1:$G$1005,MOD(K47,10000))))</f>
        <v/>
      </c>
      <c r="G47" s="31">
        <f>IF(K47="","",IF(INDEX(Items!$N$1:$N$1005,MOD(K47,10000))="","",INDEX(Items!$N$1:$N$1005,MOD(K47,10000))))</f>
        <v/>
      </c>
      <c r="H47" s="29">
        <f>IF(K47="","",IF(INDEX(Items!$J$1:$J$1005,MOD(K47,10000))="","",INDEX(Items!$J$1:$J$1005,MOD(K47,10000))))</f>
        <v/>
      </c>
      <c r="I47" s="29">
        <f>IF(K47="","",IF(INDEX(Items!$K$1:$K$1005,MOD(K47,10000))="","",INDEX(Items!$K$1:$K$1005,MOD(K47,10000))))</f>
        <v/>
      </c>
      <c r="J47" s="1" t="n"/>
      <c r="K47">
        <f>IFERROR(SMALL(Items!$V$6:$V$1005,39),"")</f>
        <v/>
      </c>
    </row>
    <row r="48" ht="15" customHeight="1">
      <c r="A48" s="1" t="n"/>
      <c r="B48" s="27">
        <f>IF(K48="","",IF(INDEX(Items!$B$1:$B$1005,MOD(K48,10000))="","",INDEX(Items!$B$1:$B$1005,MOD(K48,10000))))</f>
        <v/>
      </c>
      <c r="C48" s="28">
        <f>IF(K48="","",IF(INDEX(Items!$C$1:$C$1005,MOD(K48,10000))="","",INDEX(Items!$C$1:$C$1005,MOD(K48,10000))))</f>
        <v/>
      </c>
      <c r="D48" s="27">
        <f>IF(K48="","",IF(INDEX(Items!$E$1:$E$1005,MOD(K48,10000))="","",INDEX(Items!$E$1:$E$1005,MOD(K48,10000))))</f>
        <v/>
      </c>
      <c r="E48" s="29">
        <f>IF(K48="","",IF(INDEX(Items!$F$1:$F$1005,MOD(K48,10000))="","",INDEX(Items!$F$1:$F$1005,MOD(K48,10000))))</f>
        <v/>
      </c>
      <c r="F48" s="30">
        <f>IF(K48="","",IF(INDEX(Items!$G$1:$G$1005,MOD(K48,10000))="","",INDEX(Items!$G$1:$G$1005,MOD(K48,10000))))</f>
        <v/>
      </c>
      <c r="G48" s="31">
        <f>IF(K48="","",IF(INDEX(Items!$N$1:$N$1005,MOD(K48,10000))="","",INDEX(Items!$N$1:$N$1005,MOD(K48,10000))))</f>
        <v/>
      </c>
      <c r="H48" s="29">
        <f>IF(K48="","",IF(INDEX(Items!$J$1:$J$1005,MOD(K48,10000))="","",INDEX(Items!$J$1:$J$1005,MOD(K48,10000))))</f>
        <v/>
      </c>
      <c r="I48" s="29">
        <f>IF(K48="","",IF(INDEX(Items!$K$1:$K$1005,MOD(K48,10000))="","",INDEX(Items!$K$1:$K$1005,MOD(K48,10000))))</f>
        <v/>
      </c>
      <c r="J48" s="1" t="n"/>
      <c r="K48">
        <f>IFERROR(SMALL(Items!$V$6:$V$1005,40),"")</f>
        <v/>
      </c>
    </row>
    <row r="49">
      <c r="A49" s="1" t="n"/>
      <c r="B49" s="15">
        <f>IF(COUNT(Items!$V$6:$V$1005)&gt;40,"And "&amp;(COUNT(Items!$V$6:$V$1005)-40)&amp;" more items, in the total","")</f>
        <v/>
      </c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26">
        <f>COUNT(Items!$V$6:$V$1005)&amp;" items"</f>
        <v/>
      </c>
      <c r="C50" s="1" t="n"/>
      <c r="D50" s="1" t="n"/>
      <c r="E50" s="1" t="n"/>
      <c r="F50" s="26" t="inlineStr">
        <is>
          <t>Total</t>
        </is>
      </c>
      <c r="G50" s="32">
        <f>SUMPRODUCT(--(Items!$V$6:$V$1005&lt;&gt;""),Items!$T$6:$T$1005)</f>
        <v/>
      </c>
      <c r="H50" s="33">
        <f>IF(Settings!$C$5="","",Settings!$C$5)</f>
        <v/>
      </c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34" t="inlineStr">
        <is>
          <t>Keep a copy away from home. This list records what you own: it does not decide what an insurer pays.</t>
        </is>
      </c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</sheetData>
  <dataValidations count="1">
    <dataValidation sqref="C5" showDropDown="0" showInputMessage="0" showErrorMessage="0" allowBlank="1" type="list">
      <formula1>=Rooms!$B$6:$B$35</formula1>
    </dataValidation>
  </dataValidations>
  <pageMargins left="0.75" right="0.75" top="1" bottom="1" header="0.5" footer="0.5"/>
  <pageSetup orientation="portrait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4" customWidth="1" min="4" max="4"/>
    <col width="52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Your home, your policy, and the categories for your things.</t>
        </is>
      </c>
      <c r="C3" s="1" t="n"/>
      <c r="D3" s="1" t="n"/>
      <c r="E3" s="1" t="n"/>
      <c r="F3" s="1" t="n"/>
    </row>
    <row r="4">
      <c r="A4" s="1" t="n"/>
      <c r="B4" s="26" t="inlineStr">
        <is>
          <t>Home</t>
        </is>
      </c>
      <c r="C4" s="35" t="inlineStr">
        <is>
          <t>Our home</t>
        </is>
      </c>
      <c r="D4" s="1" t="n"/>
      <c r="E4" s="25" t="inlineStr">
        <is>
          <t>At the top of the Dashboard and the printed list.</t>
        </is>
      </c>
      <c r="F4" s="1" t="n"/>
    </row>
    <row r="5">
      <c r="A5" s="1" t="n"/>
      <c r="B5" s="26" t="inlineStr">
        <is>
          <t>Currency</t>
        </is>
      </c>
      <c r="C5" s="17" t="inlineStr">
        <is>
          <t>USD</t>
        </is>
      </c>
      <c r="D5" s="1" t="n"/>
      <c r="E5" s="25" t="inlineStr">
        <is>
          <t>Shown on the printed list.</t>
        </is>
      </c>
      <c r="F5" s="1" t="n"/>
    </row>
    <row r="6">
      <c r="A6" s="1" t="n"/>
      <c r="B6" s="26" t="inlineStr">
        <is>
          <t>Contents cover</t>
        </is>
      </c>
      <c r="C6" s="36" t="n">
        <v>40000</v>
      </c>
      <c r="D6" s="1" t="n"/>
      <c r="E6" s="25" t="inlineStr">
        <is>
          <t>The amount on your policy for the things inside your home.</t>
        </is>
      </c>
      <c r="F6" s="1" t="n"/>
    </row>
    <row r="7">
      <c r="A7" s="1" t="n"/>
      <c r="B7" s="26" t="inlineStr">
        <is>
          <t>Insurer</t>
        </is>
      </c>
      <c r="C7" s="17" t="inlineStr">
        <is>
          <t>Your insurer</t>
        </is>
      </c>
      <c r="D7" s="1" t="n"/>
      <c r="E7" s="25" t="inlineStr">
        <is>
          <t>Where to call, so it is on hand.</t>
        </is>
      </c>
      <c r="F7" s="1" t="n"/>
    </row>
    <row r="8">
      <c r="A8" s="1" t="n"/>
      <c r="B8" s="26" t="inlineStr">
        <is>
          <t>Policy number</t>
        </is>
      </c>
      <c r="C8" s="17" t="inlineStr">
        <is>
          <t>HC-48213-07</t>
        </is>
      </c>
      <c r="D8" s="1" t="n"/>
      <c r="E8" s="1" t="n"/>
      <c r="F8" s="1" t="n"/>
    </row>
    <row r="9">
      <c r="A9" s="1" t="n"/>
      <c r="B9" s="26" t="inlineStr">
        <is>
          <t>Renews on</t>
        </is>
      </c>
      <c r="C9" s="20" t="n">
        <v>46357</v>
      </c>
      <c r="D9" s="1" t="n"/>
      <c r="E9" s="25" t="inlineStr">
        <is>
          <t>The Dashboard counts down to it.</t>
        </is>
      </c>
      <c r="F9" s="1" t="n"/>
    </row>
    <row r="10">
      <c r="A10" s="1" t="n"/>
      <c r="B10" s="26" t="inlineStr">
        <is>
          <t>Warranty ends soon (days)</t>
        </is>
      </c>
      <c r="C10" s="37" t="n">
        <v>60</v>
      </c>
      <c r="D10" s="1" t="n"/>
      <c r="E10" s="25" t="inlineStr">
        <is>
          <t>A warranty ending within this many days is shown.</t>
        </is>
      </c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38" t="inlineStr">
        <is>
          <t>Categories</t>
        </is>
      </c>
      <c r="C13" s="1" t="n"/>
      <c r="D13" s="1" t="n"/>
      <c r="E13" s="1" t="n"/>
      <c r="F13" s="1" t="n"/>
    </row>
    <row r="14">
      <c r="A14" s="1" t="n"/>
      <c r="B14" s="19" t="inlineStr">
        <is>
          <t>Electronics</t>
        </is>
      </c>
      <c r="C14" s="1" t="n"/>
      <c r="D14" s="1" t="n"/>
      <c r="E14" s="1" t="n"/>
      <c r="F14" s="1" t="n"/>
    </row>
    <row r="15">
      <c r="A15" s="1" t="n"/>
      <c r="B15" s="19" t="inlineStr">
        <is>
          <t>Appliances</t>
        </is>
      </c>
      <c r="C15" s="1" t="n"/>
      <c r="D15" s="1" t="n"/>
      <c r="E15" s="1" t="n"/>
      <c r="F15" s="1" t="n"/>
    </row>
    <row r="16">
      <c r="A16" s="1" t="n"/>
      <c r="B16" s="19" t="inlineStr">
        <is>
          <t>Furniture</t>
        </is>
      </c>
      <c r="C16" s="1" t="n"/>
      <c r="D16" s="1" t="n"/>
      <c r="E16" s="1" t="n"/>
      <c r="F16" s="1" t="n"/>
    </row>
    <row r="17">
      <c r="A17" s="1" t="n"/>
      <c r="B17" s="19" t="inlineStr">
        <is>
          <t>Jewelry and watches</t>
        </is>
      </c>
      <c r="C17" s="1" t="n"/>
      <c r="D17" s="1" t="n"/>
      <c r="E17" s="1" t="n"/>
      <c r="F17" s="1" t="n"/>
    </row>
    <row r="18">
      <c r="A18" s="1" t="n"/>
      <c r="B18" s="19" t="inlineStr">
        <is>
          <t>Clothing</t>
        </is>
      </c>
      <c r="C18" s="1" t="n"/>
      <c r="D18" s="1" t="n"/>
      <c r="E18" s="1" t="n"/>
      <c r="F18" s="1" t="n"/>
    </row>
    <row r="19">
      <c r="A19" s="1" t="n"/>
      <c r="B19" s="19" t="inlineStr">
        <is>
          <t>Kitchenware</t>
        </is>
      </c>
      <c r="C19" s="1" t="n"/>
      <c r="D19" s="1" t="n"/>
      <c r="E19" s="1" t="n"/>
      <c r="F19" s="1" t="n"/>
    </row>
    <row r="20">
      <c r="A20" s="1" t="n"/>
      <c r="B20" s="19" t="inlineStr">
        <is>
          <t>Tools</t>
        </is>
      </c>
      <c r="C20" s="1" t="n"/>
      <c r="D20" s="1" t="n"/>
      <c r="E20" s="1" t="n"/>
      <c r="F20" s="1" t="n"/>
    </row>
    <row r="21">
      <c r="A21" s="1" t="n"/>
      <c r="B21" s="19" t="inlineStr">
        <is>
          <t>Sports</t>
        </is>
      </c>
      <c r="C21" s="1" t="n"/>
      <c r="D21" s="1" t="n"/>
      <c r="E21" s="1" t="n"/>
      <c r="F21" s="1" t="n"/>
    </row>
    <row r="22">
      <c r="A22" s="1" t="n"/>
      <c r="B22" s="19" t="inlineStr">
        <is>
          <t>Music</t>
        </is>
      </c>
      <c r="C22" s="1" t="n"/>
      <c r="D22" s="1" t="n"/>
      <c r="E22" s="1" t="n"/>
      <c r="F22" s="1" t="n"/>
    </row>
    <row r="23">
      <c r="A23" s="1" t="n"/>
      <c r="B23" s="19" t="inlineStr">
        <is>
          <t>Art and decor</t>
        </is>
      </c>
      <c r="C23" s="1" t="n"/>
      <c r="D23" s="1" t="n"/>
      <c r="E23" s="1" t="n"/>
      <c r="F23" s="1" t="n"/>
    </row>
    <row r="24">
      <c r="A24" s="1" t="n"/>
      <c r="B24" s="19" t="inlineStr">
        <is>
          <t>Toys</t>
        </is>
      </c>
      <c r="C24" s="1" t="n"/>
      <c r="D24" s="1" t="n"/>
      <c r="E24" s="1" t="n"/>
      <c r="F24" s="1" t="n"/>
    </row>
    <row r="25">
      <c r="A25" s="1" t="n"/>
      <c r="B25" s="19" t="inlineStr">
        <is>
          <t>Other</t>
        </is>
      </c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8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9" t="inlineStr">
        <is>
          <t>1</t>
        </is>
      </c>
      <c r="C5" s="40" t="inlineStr">
        <is>
          <t>Settings: your home, your contents cover and policy, and the categories you want.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9" t="inlineStr">
        <is>
          <t>2</t>
        </is>
      </c>
      <c r="C7" s="40" t="inlineStr">
        <is>
          <t>Rooms: each room or place once, in the order you walk through your home.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9" t="inlineStr">
        <is>
          <t>3</t>
        </is>
      </c>
      <c r="C9" s="40" t="inlineStr">
        <is>
          <t>Items: walk through each room and list what is worth listing, with the price, the receipt and a photo.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9" t="inlineStr">
        <is>
          <t>4</t>
        </is>
      </c>
      <c r="C11" s="40" t="inlineStr">
        <is>
          <t>Worth now is your own estimate. Leave it empty to use the price you paid.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9" t="inlineStr">
        <is>
          <t>5</t>
        </is>
      </c>
      <c r="C13" s="40" t="inlineStr">
        <is>
          <t>Report: pick a room, or none for the whole home, and print the list or save it as a PDF.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example home and its things are made up. To remove them, select the yellow cells and press Delete, rather than deleting whole rows.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This list records what you own. What an insurer pays depends on your policy.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2026-09-28T21:09:14Z</dcterms:created>
  <dcterms:modified xsi:type="dcterms:W3CDTF">2026-09-28T21:09:16Z</dcterms:modified>
</cp:coreProperties>
</file>