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ducts" sheetId="2" state="visible" r:id="rId2"/>
    <sheet name="Stock Moves" sheetId="3" state="visible" r:id="rId3"/>
    <sheet name="Start He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2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b val="1"/>
      <color rgb="006B7B80"/>
      <sz val="10"/>
    </font>
    <font>
      <name val="Arial"/>
      <b val="1"/>
      <color rgb="001F6F78"/>
      <sz val="17"/>
    </font>
    <font>
      <name val="Arial"/>
      <b val="1"/>
      <color rgb="00B4541F"/>
      <sz val="17"/>
    </font>
    <font>
      <name val="Arial"/>
      <b val="1"/>
      <color rgb="00FFFFFF"/>
      <sz val="28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15525A"/>
        <bgColor rgb="0015525A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D8F0DC"/>
        <bgColor rgb="00D8F0DC"/>
      </patternFill>
    </fill>
    <fill>
      <patternFill patternType="solid">
        <fgColor rgb="00E3E8FF"/>
        <bgColor rgb="00E3E8FF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5" fillId="2" borderId="0" pivotButton="0" quotePrefix="0" xfId="0"/>
    <xf numFmtId="0" fontId="5" fillId="4" borderId="1" pivotButton="0" quotePrefix="0" xfId="0"/>
    <xf numFmtId="0" fontId="5" fillId="2" borderId="0" applyAlignment="1" pivotButton="0" quotePrefix="0" xfId="0">
      <alignment horizontal="right"/>
    </xf>
    <xf numFmtId="1" fontId="5" fillId="4" borderId="1" pivotButton="0" quotePrefix="0" xfId="0"/>
    <xf numFmtId="0" fontId="6" fillId="2" borderId="1" pivotButton="0" quotePrefix="0" xfId="0"/>
    <xf numFmtId="0" fontId="3" fillId="5" borderId="0" applyAlignment="1" pivotButton="0" quotePrefix="0" xfId="0">
      <alignment horizontal="center" vertical="center"/>
    </xf>
    <xf numFmtId="4" fontId="7" fillId="2" borderId="1" pivotButton="0" quotePrefix="0" xfId="0"/>
    <xf numFmtId="1" fontId="7" fillId="2" borderId="1" pivotButton="0" quotePrefix="0" xfId="0"/>
    <xf numFmtId="4" fontId="8" fillId="2" borderId="1" pivotButton="0" quotePrefix="0" xfId="0"/>
    <xf numFmtId="1" fontId="9" fillId="5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4" fontId="4" fillId="2" borderId="1" pivotButton="0" quotePrefix="0" xfId="0"/>
    <xf numFmtId="1" fontId="4" fillId="2" borderId="1" applyAlignment="1" pivotButton="0" quotePrefix="0" xfId="0">
      <alignment horizontal="center" vertical="center"/>
    </xf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4" fontId="4" fillId="4" borderId="1" pivotButton="0" quotePrefix="0" xfId="0"/>
    <xf numFmtId="1" fontId="4" fillId="4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/>
    </xf>
    <xf numFmtId="0" fontId="4" fillId="2" borderId="1" pivotButton="0" quotePrefix="0" xfId="0"/>
    <xf numFmtId="165" fontId="4" fillId="4" borderId="1" pivotButton="0" quotePrefix="0" xfId="0"/>
    <xf numFmtId="0" fontId="10" fillId="2" borderId="0" pivotButton="0" quotePrefix="0" xfId="0"/>
    <xf numFmtId="0" fontId="1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8F0DC"/>
          <bgColor rgb="00D8F0DC"/>
        </patternFill>
      </fill>
    </dxf>
    <dxf>
      <font>
        <name val="Arial"/>
        <b val="1"/>
      </font>
      <fill>
        <patternFill patternType="solid">
          <fgColor rgb="00FFE2B8"/>
          <bgColor rgb="00FFE2B8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'Dashboard'!$B$10:$B$21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40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>
        <f>MATCH(C4,{"Jan","Feb","Mar","Apr","May","Jun","Jul","Aug","Sep","Oct","Nov","Dec"},0)</f>
        <v/>
      </c>
    </row>
    <row r="2" ht="32" customHeight="1">
      <c r="A2" s="1" t="n"/>
      <c r="B2" s="2" t="inlineStr">
        <is>
          <t>Shop dashboard</t>
        </is>
      </c>
      <c r="C2" s="1" t="n"/>
      <c r="D2" s="1" t="n"/>
      <c r="E2" s="1" t="n"/>
      <c r="F2" s="1" t="n"/>
      <c r="G2" s="1" t="n"/>
      <c r="H2" s="1" t="n"/>
      <c r="I2" s="1" t="n"/>
      <c r="J2">
        <f>DATE(E4,J1,1)</f>
        <v/>
      </c>
    </row>
    <row r="3">
      <c r="A3" s="1" t="n"/>
      <c r="B3" s="3" t="inlineStr">
        <is>
          <t>Pick a month and a year. Stock figures are always as of today.</t>
        </is>
      </c>
      <c r="C3" s="1" t="n"/>
      <c r="D3" s="1" t="n"/>
      <c r="E3" s="1" t="n"/>
      <c r="F3" s="1" t="n"/>
      <c r="G3" s="1" t="n"/>
      <c r="H3" s="1" t="n"/>
      <c r="I3" s="1" t="n"/>
      <c r="J3">
        <f>EOMONTH(J2,0)</f>
        <v/>
      </c>
    </row>
    <row r="4">
      <c r="A4" s="1" t="n"/>
      <c r="B4" s="4" t="inlineStr">
        <is>
          <t>Month</t>
        </is>
      </c>
      <c r="C4" s="5" t="inlineStr">
        <is>
          <t>Sep</t>
        </is>
      </c>
      <c r="D4" s="6" t="inlineStr">
        <is>
          <t>Year</t>
        </is>
      </c>
      <c r="E4" s="7" t="n">
        <v>2026</v>
      </c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8" t="inlineStr">
        <is>
          <t>Sales this month</t>
        </is>
      </c>
      <c r="C6" s="8" t="inlineStr">
        <is>
          <t>Gross profit</t>
        </is>
      </c>
      <c r="D6" s="8" t="inlineStr">
        <is>
          <t>Units sold</t>
        </is>
      </c>
      <c r="E6" s="8" t="inlineStr">
        <is>
          <t>Stock value (cost)</t>
        </is>
      </c>
      <c r="F6" s="8" t="inlineStr">
        <is>
          <t>Stock value (price)</t>
        </is>
      </c>
      <c r="G6" s="1" t="n"/>
      <c r="H6" s="9" t="inlineStr">
        <is>
          <t>To reorder now</t>
        </is>
      </c>
      <c r="I6" s="1" t="n"/>
    </row>
    <row r="7" ht="44" customHeight="1">
      <c r="A7" s="1" t="n"/>
      <c r="B7" s="10">
        <f>SUMIFS('Stock Moves'!$G$6:$G$2005,'Stock Moves'!$B$6:$B$2005,"&gt;="&amp;$J$2,'Stock Moves'!$B$6:$B$2005,"&lt;="&amp;$J$3)</f>
        <v/>
      </c>
      <c r="C7" s="10">
        <f>B7-SUMIFS('Stock Moves'!$H$6:$H$2005,'Stock Moves'!$B$6:$B$2005,"&gt;="&amp;$J$2,'Stock Moves'!$B$6:$B$2005,"&lt;="&amp;$J$3)</f>
        <v/>
      </c>
      <c r="D7" s="11">
        <f>SUMIFS('Stock Moves'!$E$6:$E$2005,'Stock Moves'!$D$6:$D$2005,"Sale",'Stock Moves'!$B$6:$B$2005,"&gt;="&amp;$J$2,'Stock Moves'!$B$6:$B$2005,"&lt;="&amp;$J$3)</f>
        <v/>
      </c>
      <c r="E7" s="12">
        <f>SUMPRODUCT(Products!$E$6:$E$205,Products!$K$6:$K$205)</f>
        <v/>
      </c>
      <c r="F7" s="10">
        <f>SUMPRODUCT(Products!$F$6:$F$205,Products!$K$6:$K$205)</f>
        <v/>
      </c>
      <c r="G7" s="1" t="n"/>
      <c r="H7" s="13">
        <f>COUNTIFS(Products!$M$6:$M$205,"Reorder now")+COUNTIFS(Products!$M$6:$M$205,"Out of stock")</f>
        <v/>
      </c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 ht="30" customHeight="1">
      <c r="A9" s="1" t="n"/>
      <c r="B9" s="14" t="inlineStr">
        <is>
          <t>Month</t>
        </is>
      </c>
      <c r="C9" s="14" t="inlineStr">
        <is>
          <t>Sales</t>
        </is>
      </c>
      <c r="D9" s="14" t="inlineStr">
        <is>
          <t>Units</t>
        </is>
      </c>
      <c r="E9" s="14" t="inlineStr">
        <is>
          <t>Gross profit</t>
        </is>
      </c>
      <c r="F9" s="1" t="n"/>
      <c r="G9" s="1" t="n"/>
      <c r="H9" s="15" t="inlineStr">
        <is>
          <t>Heads-up</t>
        </is>
      </c>
      <c r="I9" s="1" t="n"/>
    </row>
    <row r="10">
      <c r="A10" s="1" t="n"/>
      <c r="B10" s="16" t="inlineStr">
        <is>
          <t>Jan</t>
        </is>
      </c>
      <c r="C10" s="17">
        <f>SUMIFS('Stock Moves'!$G$6:$G$2005,'Stock Moves'!$B$6:$B$2005,"&gt;="&amp;DATE($E$4,1,1),'Stock Moves'!$B$6:$B$2005,"&lt;="&amp;EOMONTH(DATE($E$4,1,1),0))</f>
        <v/>
      </c>
      <c r="D10" s="18">
        <f>SUMIFS('Stock Moves'!$E$6:$E$2005,'Stock Moves'!$D$6:$D$2005,"Sale",'Stock Moves'!$B$6:$B$2005,"&gt;="&amp;DATE($E$4,1,1),'Stock Moves'!$B$6:$B$2005,"&lt;="&amp;EOMONTH(DATE($E$4,1,1),0))</f>
        <v/>
      </c>
      <c r="E10" s="17">
        <f>C10-SUMIFS('Stock Moves'!$H$6:$H$2005,'Stock Moves'!$B$6:$B$2005,"&gt;="&amp;DATE($E$4,1,1),'Stock Moves'!$B$6:$B$2005,"&lt;="&amp;EOMONTH(DATE($E$4,1,1),0))</f>
        <v/>
      </c>
      <c r="F10" s="1" t="n"/>
      <c r="G10" s="1" t="n"/>
      <c r="H10" s="19">
        <f>IF(COUNTIFS(Products!$M$6:$M$205,"Out of stock")=0,"Nothing is out of stock",IF(COUNTIFS(Products!$M$6:$M$205,"Out of stock")=1,"1 product is out of stock",COUNTIFS(Products!$M$6:$M$205,"Out of stock")&amp;" products are out of stock"))</f>
        <v/>
      </c>
      <c r="I10" s="1" t="n"/>
    </row>
    <row r="11">
      <c r="A11" s="1" t="n"/>
      <c r="B11" s="16" t="inlineStr">
        <is>
          <t>Feb</t>
        </is>
      </c>
      <c r="C11" s="17">
        <f>SUMIFS('Stock Moves'!$G$6:$G$2005,'Stock Moves'!$B$6:$B$2005,"&gt;="&amp;DATE($E$4,2,1),'Stock Moves'!$B$6:$B$2005,"&lt;="&amp;EOMONTH(DATE($E$4,2,1),0))</f>
        <v/>
      </c>
      <c r="D11" s="18">
        <f>SUMIFS('Stock Moves'!$E$6:$E$2005,'Stock Moves'!$D$6:$D$2005,"Sale",'Stock Moves'!$B$6:$B$2005,"&gt;="&amp;DATE($E$4,2,1),'Stock Moves'!$B$6:$B$2005,"&lt;="&amp;EOMONTH(DATE($E$4,2,1),0))</f>
        <v/>
      </c>
      <c r="E11" s="17">
        <f>C11-SUMIFS('Stock Moves'!$H$6:$H$2005,'Stock Moves'!$B$6:$B$2005,"&gt;="&amp;DATE($E$4,2,1),'Stock Moves'!$B$6:$B$2005,"&lt;="&amp;EOMONTH(DATE($E$4,2,1),0))</f>
        <v/>
      </c>
      <c r="F11" s="1" t="n"/>
      <c r="G11" s="1" t="n"/>
      <c r="H11" s="20">
        <f>IF(COUNTIFS(Products!$M$6:$M$205,"Reorder now")=0,"No product is at its reorder level",IF(COUNTIFS(Products!$M$6:$M$205,"Reorder now")=1,"1 product is at its reorder level",COUNTIFS(Products!$M$6:$M$205,"Reorder now")&amp;" products are at their reorder level"))</f>
        <v/>
      </c>
      <c r="I11" s="1" t="n"/>
    </row>
    <row r="12">
      <c r="A12" s="1" t="n"/>
      <c r="B12" s="16" t="inlineStr">
        <is>
          <t>Mar</t>
        </is>
      </c>
      <c r="C12" s="17">
        <f>SUMIFS('Stock Moves'!$G$6:$G$2005,'Stock Moves'!$B$6:$B$2005,"&gt;="&amp;DATE($E$4,3,1),'Stock Moves'!$B$6:$B$2005,"&lt;="&amp;EOMONTH(DATE($E$4,3,1),0))</f>
        <v/>
      </c>
      <c r="D12" s="18">
        <f>SUMIFS('Stock Moves'!$E$6:$E$2005,'Stock Moves'!$D$6:$D$2005,"Sale",'Stock Moves'!$B$6:$B$2005,"&gt;="&amp;DATE($E$4,3,1),'Stock Moves'!$B$6:$B$2005,"&lt;="&amp;EOMONTH(DATE($E$4,3,1),0))</f>
        <v/>
      </c>
      <c r="E12" s="17">
        <f>C12-SUMIFS('Stock Moves'!$H$6:$H$2005,'Stock Moves'!$B$6:$B$2005,"&gt;="&amp;DATE($E$4,3,1),'Stock Moves'!$B$6:$B$2005,"&lt;="&amp;EOMONTH(DATE($E$4,3,1),0))</f>
        <v/>
      </c>
      <c r="F12" s="1" t="n"/>
      <c r="G12" s="1" t="n"/>
      <c r="H12" s="21">
        <f>"Best seller so far: "&amp;IFERROR(INDEX(Products!$C$6:$C$205,MATCH(MAX(Products!$J$6:$J$205),Products!$J$6:$J$205,0)),"none yet")</f>
        <v/>
      </c>
      <c r="I12" s="1" t="n"/>
    </row>
    <row r="13">
      <c r="A13" s="1" t="n"/>
      <c r="B13" s="16" t="inlineStr">
        <is>
          <t>Apr</t>
        </is>
      </c>
      <c r="C13" s="17">
        <f>SUMIFS('Stock Moves'!$G$6:$G$2005,'Stock Moves'!$B$6:$B$2005,"&gt;="&amp;DATE($E$4,4,1),'Stock Moves'!$B$6:$B$2005,"&lt;="&amp;EOMONTH(DATE($E$4,4,1),0))</f>
        <v/>
      </c>
      <c r="D13" s="18">
        <f>SUMIFS('Stock Moves'!$E$6:$E$2005,'Stock Moves'!$D$6:$D$2005,"Sale",'Stock Moves'!$B$6:$B$2005,"&gt;="&amp;DATE($E$4,4,1),'Stock Moves'!$B$6:$B$2005,"&lt;="&amp;EOMONTH(DATE($E$4,4,1),0))</f>
        <v/>
      </c>
      <c r="E13" s="17">
        <f>C13-SUMIFS('Stock Moves'!$H$6:$H$2005,'Stock Moves'!$B$6:$B$2005,"&gt;="&amp;DATE($E$4,4,1),'Stock Moves'!$B$6:$B$2005,"&lt;="&amp;EOMONTH(DATE($E$4,4,1),0))</f>
        <v/>
      </c>
      <c r="F13" s="1" t="n"/>
      <c r="G13" s="1" t="n"/>
      <c r="H13" s="22">
        <f>"Average margin: "&amp;IFERROR(FIXED(AVERAGE(Products!$L$6:$L$205)*100,0)&amp;"%","n/a")</f>
        <v/>
      </c>
      <c r="I13" s="1" t="n"/>
    </row>
    <row r="14">
      <c r="A14" s="1" t="n"/>
      <c r="B14" s="16" t="inlineStr">
        <is>
          <t>May</t>
        </is>
      </c>
      <c r="C14" s="17">
        <f>SUMIFS('Stock Moves'!$G$6:$G$2005,'Stock Moves'!$B$6:$B$2005,"&gt;="&amp;DATE($E$4,5,1),'Stock Moves'!$B$6:$B$2005,"&lt;="&amp;EOMONTH(DATE($E$4,5,1),0))</f>
        <v/>
      </c>
      <c r="D14" s="18">
        <f>SUMIFS('Stock Moves'!$E$6:$E$2005,'Stock Moves'!$D$6:$D$2005,"Sale",'Stock Moves'!$B$6:$B$2005,"&gt;="&amp;DATE($E$4,5,1),'Stock Moves'!$B$6:$B$2005,"&lt;="&amp;EOMONTH(DATE($E$4,5,1),0))</f>
        <v/>
      </c>
      <c r="E14" s="17">
        <f>C14-SUMIFS('Stock Moves'!$H$6:$H$2005,'Stock Moves'!$B$6:$B$2005,"&gt;="&amp;DATE($E$4,5,1),'Stock Moves'!$B$6:$B$2005,"&lt;="&amp;EOMONTH(DATE($E$4,5,1),0))</f>
        <v/>
      </c>
      <c r="F14" s="1" t="n"/>
      <c r="G14" s="1" t="n"/>
      <c r="H14" s="1" t="n"/>
      <c r="I14" s="1" t="n"/>
    </row>
    <row r="15">
      <c r="A15" s="1" t="n"/>
      <c r="B15" s="16" t="inlineStr">
        <is>
          <t>Jun</t>
        </is>
      </c>
      <c r="C15" s="17">
        <f>SUMIFS('Stock Moves'!$G$6:$G$2005,'Stock Moves'!$B$6:$B$2005,"&gt;="&amp;DATE($E$4,6,1),'Stock Moves'!$B$6:$B$2005,"&lt;="&amp;EOMONTH(DATE($E$4,6,1),0))</f>
        <v/>
      </c>
      <c r="D15" s="18">
        <f>SUMIFS('Stock Moves'!$E$6:$E$2005,'Stock Moves'!$D$6:$D$2005,"Sale",'Stock Moves'!$B$6:$B$2005,"&gt;="&amp;DATE($E$4,6,1),'Stock Moves'!$B$6:$B$2005,"&lt;="&amp;EOMONTH(DATE($E$4,6,1),0))</f>
        <v/>
      </c>
      <c r="E15" s="17">
        <f>C15-SUMIFS('Stock Moves'!$H$6:$H$2005,'Stock Moves'!$B$6:$B$2005,"&gt;="&amp;DATE($E$4,6,1),'Stock Moves'!$B$6:$B$2005,"&lt;="&amp;EOMONTH(DATE($E$4,6,1),0))</f>
        <v/>
      </c>
      <c r="F15" s="1" t="n"/>
      <c r="G15" s="1" t="n"/>
      <c r="H15" s="1" t="n"/>
      <c r="I15" s="1" t="n"/>
    </row>
    <row r="16">
      <c r="A16" s="1" t="n"/>
      <c r="B16" s="16" t="inlineStr">
        <is>
          <t>Jul</t>
        </is>
      </c>
      <c r="C16" s="17">
        <f>SUMIFS('Stock Moves'!$G$6:$G$2005,'Stock Moves'!$B$6:$B$2005,"&gt;="&amp;DATE($E$4,7,1),'Stock Moves'!$B$6:$B$2005,"&lt;="&amp;EOMONTH(DATE($E$4,7,1),0))</f>
        <v/>
      </c>
      <c r="D16" s="18">
        <f>SUMIFS('Stock Moves'!$E$6:$E$2005,'Stock Moves'!$D$6:$D$2005,"Sale",'Stock Moves'!$B$6:$B$2005,"&gt;="&amp;DATE($E$4,7,1),'Stock Moves'!$B$6:$B$2005,"&lt;="&amp;EOMONTH(DATE($E$4,7,1),0))</f>
        <v/>
      </c>
      <c r="E16" s="17">
        <f>C16-SUMIFS('Stock Moves'!$H$6:$H$2005,'Stock Moves'!$B$6:$B$2005,"&gt;="&amp;DATE($E$4,7,1),'Stock Moves'!$B$6:$B$2005,"&lt;="&amp;EOMONTH(DATE($E$4,7,1),0))</f>
        <v/>
      </c>
      <c r="F16" s="1" t="n"/>
      <c r="G16" s="1" t="n"/>
      <c r="H16" s="1" t="n"/>
      <c r="I16" s="1" t="n"/>
    </row>
    <row r="17">
      <c r="A17" s="1" t="n"/>
      <c r="B17" s="16" t="inlineStr">
        <is>
          <t>Aug</t>
        </is>
      </c>
      <c r="C17" s="17">
        <f>SUMIFS('Stock Moves'!$G$6:$G$2005,'Stock Moves'!$B$6:$B$2005,"&gt;="&amp;DATE($E$4,8,1),'Stock Moves'!$B$6:$B$2005,"&lt;="&amp;EOMONTH(DATE($E$4,8,1),0))</f>
        <v/>
      </c>
      <c r="D17" s="18">
        <f>SUMIFS('Stock Moves'!$E$6:$E$2005,'Stock Moves'!$D$6:$D$2005,"Sale",'Stock Moves'!$B$6:$B$2005,"&gt;="&amp;DATE($E$4,8,1),'Stock Moves'!$B$6:$B$2005,"&lt;="&amp;EOMONTH(DATE($E$4,8,1),0))</f>
        <v/>
      </c>
      <c r="E17" s="17">
        <f>C17-SUMIFS('Stock Moves'!$H$6:$H$2005,'Stock Moves'!$B$6:$B$2005,"&gt;="&amp;DATE($E$4,8,1),'Stock Moves'!$B$6:$B$2005,"&lt;="&amp;EOMONTH(DATE($E$4,8,1),0))</f>
        <v/>
      </c>
      <c r="F17" s="1" t="n"/>
      <c r="G17" s="1" t="n"/>
      <c r="H17" s="1" t="n"/>
      <c r="I17" s="1" t="n"/>
    </row>
    <row r="18">
      <c r="A18" s="1" t="n"/>
      <c r="B18" s="16" t="inlineStr">
        <is>
          <t>Sep</t>
        </is>
      </c>
      <c r="C18" s="17">
        <f>SUMIFS('Stock Moves'!$G$6:$G$2005,'Stock Moves'!$B$6:$B$2005,"&gt;="&amp;DATE($E$4,9,1),'Stock Moves'!$B$6:$B$2005,"&lt;="&amp;EOMONTH(DATE($E$4,9,1),0))</f>
        <v/>
      </c>
      <c r="D18" s="18">
        <f>SUMIFS('Stock Moves'!$E$6:$E$2005,'Stock Moves'!$D$6:$D$2005,"Sale",'Stock Moves'!$B$6:$B$2005,"&gt;="&amp;DATE($E$4,9,1),'Stock Moves'!$B$6:$B$2005,"&lt;="&amp;EOMONTH(DATE($E$4,9,1),0))</f>
        <v/>
      </c>
      <c r="E18" s="17">
        <f>C18-SUMIFS('Stock Moves'!$H$6:$H$2005,'Stock Moves'!$B$6:$B$2005,"&gt;="&amp;DATE($E$4,9,1),'Stock Moves'!$B$6:$B$2005,"&lt;="&amp;EOMONTH(DATE($E$4,9,1),0))</f>
        <v/>
      </c>
      <c r="F18" s="1" t="n"/>
      <c r="G18" s="1" t="n"/>
      <c r="H18" s="1" t="n"/>
      <c r="I18" s="1" t="n"/>
    </row>
    <row r="19">
      <c r="A19" s="1" t="n"/>
      <c r="B19" s="16" t="inlineStr">
        <is>
          <t>Oct</t>
        </is>
      </c>
      <c r="C19" s="17">
        <f>SUMIFS('Stock Moves'!$G$6:$G$2005,'Stock Moves'!$B$6:$B$2005,"&gt;="&amp;DATE($E$4,10,1),'Stock Moves'!$B$6:$B$2005,"&lt;="&amp;EOMONTH(DATE($E$4,10,1),0))</f>
        <v/>
      </c>
      <c r="D19" s="18">
        <f>SUMIFS('Stock Moves'!$E$6:$E$2005,'Stock Moves'!$D$6:$D$2005,"Sale",'Stock Moves'!$B$6:$B$2005,"&gt;="&amp;DATE($E$4,10,1),'Stock Moves'!$B$6:$B$2005,"&lt;="&amp;EOMONTH(DATE($E$4,10,1),0))</f>
        <v/>
      </c>
      <c r="E19" s="17">
        <f>C19-SUMIFS('Stock Moves'!$H$6:$H$2005,'Stock Moves'!$B$6:$B$2005,"&gt;="&amp;DATE($E$4,10,1),'Stock Moves'!$B$6:$B$2005,"&lt;="&amp;EOMONTH(DATE($E$4,10,1),0))</f>
        <v/>
      </c>
      <c r="F19" s="1" t="n"/>
      <c r="G19" s="1" t="n"/>
      <c r="H19" s="1" t="n"/>
      <c r="I19" s="1" t="n"/>
    </row>
    <row r="20">
      <c r="A20" s="1" t="n"/>
      <c r="B20" s="16" t="inlineStr">
        <is>
          <t>Nov</t>
        </is>
      </c>
      <c r="C20" s="17">
        <f>SUMIFS('Stock Moves'!$G$6:$G$2005,'Stock Moves'!$B$6:$B$2005,"&gt;="&amp;DATE($E$4,11,1),'Stock Moves'!$B$6:$B$2005,"&lt;="&amp;EOMONTH(DATE($E$4,11,1),0))</f>
        <v/>
      </c>
      <c r="D20" s="18">
        <f>SUMIFS('Stock Moves'!$E$6:$E$2005,'Stock Moves'!$D$6:$D$2005,"Sale",'Stock Moves'!$B$6:$B$2005,"&gt;="&amp;DATE($E$4,11,1),'Stock Moves'!$B$6:$B$2005,"&lt;="&amp;EOMONTH(DATE($E$4,11,1),0))</f>
        <v/>
      </c>
      <c r="E20" s="17">
        <f>C20-SUMIFS('Stock Moves'!$H$6:$H$2005,'Stock Moves'!$B$6:$B$2005,"&gt;="&amp;DATE($E$4,11,1),'Stock Moves'!$B$6:$B$2005,"&lt;="&amp;EOMONTH(DATE($E$4,11,1),0))</f>
        <v/>
      </c>
      <c r="F20" s="1" t="n"/>
      <c r="G20" s="1" t="n"/>
      <c r="H20" s="1" t="n"/>
      <c r="I20" s="1" t="n"/>
    </row>
    <row r="21">
      <c r="A21" s="1" t="n"/>
      <c r="B21" s="16" t="inlineStr">
        <is>
          <t>Dec</t>
        </is>
      </c>
      <c r="C21" s="17">
        <f>SUMIFS('Stock Moves'!$G$6:$G$2005,'Stock Moves'!$B$6:$B$2005,"&gt;="&amp;DATE($E$4,12,1),'Stock Moves'!$B$6:$B$2005,"&lt;="&amp;EOMONTH(DATE($E$4,12,1),0))</f>
        <v/>
      </c>
      <c r="D21" s="18">
        <f>SUMIFS('Stock Moves'!$E$6:$E$2005,'Stock Moves'!$D$6:$D$2005,"Sale",'Stock Moves'!$B$6:$B$2005,"&gt;="&amp;DATE($E$4,12,1),'Stock Moves'!$B$6:$B$2005,"&lt;="&amp;EOMONTH(DATE($E$4,12,1),0))</f>
        <v/>
      </c>
      <c r="E21" s="17">
        <f>C21-SUMIFS('Stock Moves'!$H$6:$H$2005,'Stock Moves'!$B$6:$B$2005,"&gt;="&amp;DATE($E$4,12,1),'Stock Moves'!$B$6:$B$2005,"&lt;="&amp;EOMONTH(DATE($E$4,12,1),0))</f>
        <v/>
      </c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conditionalFormatting sqref="H10:H11">
    <cfRule type="expression" priority="1" dxfId="0">
      <formula>LEFT(H10,2)="No"</formula>
    </cfRule>
  </conditionalFormatting>
  <conditionalFormatting sqref="B10:E21">
    <cfRule type="expression" priority="2" dxfId="0">
      <formula>ROW()-9=$J$1</formula>
    </cfRule>
  </conditionalFormatting>
  <dataValidations count="1">
    <dataValidation sqref="C4" showDropDown="0" showInputMessage="0" showErrorMessage="0" allowBlank="0" type="list">
      <formula1>"Jan,Feb,Mar,Apr,May,Jun,Jul,Aug,Sep,Oct,Nov,Dec"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26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10" customWidth="1" min="12" max="12"/>
    <col width="18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Products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One line per product. Stock and status update from Stock Moves.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30" customHeight="1">
      <c r="A5" s="1" t="n"/>
      <c r="B5" s="14" t="inlineStr">
        <is>
          <t>SKU</t>
        </is>
      </c>
      <c r="C5" s="14" t="inlineStr">
        <is>
          <t>Product</t>
        </is>
      </c>
      <c r="D5" s="14" t="inlineStr">
        <is>
          <t>Category</t>
        </is>
      </c>
      <c r="E5" s="14" t="inlineStr">
        <is>
          <t>Unit cost</t>
        </is>
      </c>
      <c r="F5" s="14" t="inlineStr">
        <is>
          <t>Price</t>
        </is>
      </c>
      <c r="G5" s="14" t="inlineStr">
        <is>
          <t>Start stock</t>
        </is>
      </c>
      <c r="H5" s="14" t="inlineStr">
        <is>
          <t>Reorder at</t>
        </is>
      </c>
      <c r="I5" s="14" t="inlineStr">
        <is>
          <t>In</t>
        </is>
      </c>
      <c r="J5" s="14" t="inlineStr">
        <is>
          <t>Out</t>
        </is>
      </c>
      <c r="K5" s="14" t="inlineStr">
        <is>
          <t>Stock now</t>
        </is>
      </c>
      <c r="L5" s="14" t="inlineStr">
        <is>
          <t>Margin</t>
        </is>
      </c>
      <c r="M5" s="14" t="inlineStr">
        <is>
          <t>Status</t>
        </is>
      </c>
      <c r="N5" s="1" t="n"/>
    </row>
    <row r="6">
      <c r="A6" s="1" t="n"/>
      <c r="B6" s="23" t="inlineStr">
        <is>
          <t>CAN-01</t>
        </is>
      </c>
      <c r="C6" s="24" t="inlineStr">
        <is>
          <t>Soy candle, lavender</t>
        </is>
      </c>
      <c r="D6" s="24" t="inlineStr">
        <is>
          <t>Candles</t>
        </is>
      </c>
      <c r="E6" s="25" t="n">
        <v>4.2</v>
      </c>
      <c r="F6" s="25" t="n">
        <v>18</v>
      </c>
      <c r="G6" s="26" t="n">
        <v>20</v>
      </c>
      <c r="H6" s="26" t="n">
        <v>8</v>
      </c>
      <c r="I6" s="18">
        <f>IF(B6="","",SUMIFS('Stock Moves'!$E$6:$E$2005,'Stock Moves'!$C$6:$C$2005,B6,'Stock Moves'!$D$6:$D$2005,"Purchase")+SUMIFS('Stock Moves'!$E$6:$E$2005,'Stock Moves'!$C$6:$C$2005,B6,'Stock Moves'!$D$6:$D$2005,"Return")+SUMIFS('Stock Moves'!$E$6:$E$2005,'Stock Moves'!$C$6:$C$2005,B6,'Stock Moves'!$D$6:$D$2005,"Adjustment"))</f>
        <v/>
      </c>
      <c r="J6" s="18">
        <f>IF(B6="","",SUMIFS('Stock Moves'!$E$6:$E$2005,'Stock Moves'!$C$6:$C$2005,B6,'Stock Moves'!$D$6:$D$2005,"Sale"))</f>
        <v/>
      </c>
      <c r="K6" s="27">
        <f>IF(B6="","",G6+I6-J6)</f>
        <v/>
      </c>
      <c r="L6" s="28">
        <f>IF(OR(B6="",N(F6)=0),"",(F6-E6)/F6)</f>
        <v/>
      </c>
      <c r="M6" s="29">
        <f>IF(B6="","",IF(K6&lt;=0,"Out of stock",IF(K6&lt;=H6,"Reorder now","OK")))</f>
        <v/>
      </c>
      <c r="N6" s="1" t="n"/>
    </row>
    <row r="7">
      <c r="A7" s="1" t="n"/>
      <c r="B7" s="23" t="inlineStr">
        <is>
          <t>CAN-02</t>
        </is>
      </c>
      <c r="C7" s="24" t="inlineStr">
        <is>
          <t>Soy candle, cedar</t>
        </is>
      </c>
      <c r="D7" s="24" t="inlineStr">
        <is>
          <t>Candles</t>
        </is>
      </c>
      <c r="E7" s="25" t="n">
        <v>4.2</v>
      </c>
      <c r="F7" s="25" t="n">
        <v>18</v>
      </c>
      <c r="G7" s="26" t="n">
        <v>15</v>
      </c>
      <c r="H7" s="26" t="n">
        <v>8</v>
      </c>
      <c r="I7" s="18">
        <f>IF(B7="","",SUMIFS('Stock Moves'!$E$6:$E$2005,'Stock Moves'!$C$6:$C$2005,B7,'Stock Moves'!$D$6:$D$2005,"Purchase")+SUMIFS('Stock Moves'!$E$6:$E$2005,'Stock Moves'!$C$6:$C$2005,B7,'Stock Moves'!$D$6:$D$2005,"Return")+SUMIFS('Stock Moves'!$E$6:$E$2005,'Stock Moves'!$C$6:$C$2005,B7,'Stock Moves'!$D$6:$D$2005,"Adjustment"))</f>
        <v/>
      </c>
      <c r="J7" s="18">
        <f>IF(B7="","",SUMIFS('Stock Moves'!$E$6:$E$2005,'Stock Moves'!$C$6:$C$2005,B7,'Stock Moves'!$D$6:$D$2005,"Sale"))</f>
        <v/>
      </c>
      <c r="K7" s="27">
        <f>IF(B7="","",G7+I7-J7)</f>
        <v/>
      </c>
      <c r="L7" s="28">
        <f>IF(OR(B7="",N(F7)=0),"",(F7-E7)/F7)</f>
        <v/>
      </c>
      <c r="M7" s="29">
        <f>IF(B7="","",IF(K7&lt;=0,"Out of stock",IF(K7&lt;=H7,"Reorder now","OK")))</f>
        <v/>
      </c>
      <c r="N7" s="1" t="n"/>
    </row>
    <row r="8">
      <c r="A8" s="1" t="n"/>
      <c r="B8" s="23" t="inlineStr">
        <is>
          <t>MUG-01</t>
        </is>
      </c>
      <c r="C8" s="24" t="inlineStr">
        <is>
          <t>Hand-painted mug</t>
        </is>
      </c>
      <c r="D8" s="24" t="inlineStr">
        <is>
          <t>Ceramics</t>
        </is>
      </c>
      <c r="E8" s="25" t="n">
        <v>7.5</v>
      </c>
      <c r="F8" s="25" t="n">
        <v>28</v>
      </c>
      <c r="G8" s="26" t="n">
        <v>12</v>
      </c>
      <c r="H8" s="26" t="n">
        <v>5</v>
      </c>
      <c r="I8" s="18">
        <f>IF(B8="","",SUMIFS('Stock Moves'!$E$6:$E$2005,'Stock Moves'!$C$6:$C$2005,B8,'Stock Moves'!$D$6:$D$2005,"Purchase")+SUMIFS('Stock Moves'!$E$6:$E$2005,'Stock Moves'!$C$6:$C$2005,B8,'Stock Moves'!$D$6:$D$2005,"Return")+SUMIFS('Stock Moves'!$E$6:$E$2005,'Stock Moves'!$C$6:$C$2005,B8,'Stock Moves'!$D$6:$D$2005,"Adjustment"))</f>
        <v/>
      </c>
      <c r="J8" s="18">
        <f>IF(B8="","",SUMIFS('Stock Moves'!$E$6:$E$2005,'Stock Moves'!$C$6:$C$2005,B8,'Stock Moves'!$D$6:$D$2005,"Sale"))</f>
        <v/>
      </c>
      <c r="K8" s="27">
        <f>IF(B8="","",G8+I8-J8)</f>
        <v/>
      </c>
      <c r="L8" s="28">
        <f>IF(OR(B8="",N(F8)=0),"",(F8-E8)/F8)</f>
        <v/>
      </c>
      <c r="M8" s="29">
        <f>IF(B8="","",IF(K8&lt;=0,"Out of stock",IF(K8&lt;=H8,"Reorder now","OK")))</f>
        <v/>
      </c>
      <c r="N8" s="1" t="n"/>
    </row>
    <row r="9">
      <c r="A9" s="1" t="n"/>
      <c r="B9" s="23" t="inlineStr">
        <is>
          <t>EAR-01</t>
        </is>
      </c>
      <c r="C9" s="24" t="inlineStr">
        <is>
          <t>Brass earrings</t>
        </is>
      </c>
      <c r="D9" s="24" t="inlineStr">
        <is>
          <t>Jewelry</t>
        </is>
      </c>
      <c r="E9" s="25" t="n">
        <v>3.1</v>
      </c>
      <c r="F9" s="25" t="n">
        <v>22</v>
      </c>
      <c r="G9" s="26" t="n">
        <v>30</v>
      </c>
      <c r="H9" s="26" t="n">
        <v>6</v>
      </c>
      <c r="I9" s="18">
        <f>IF(B9="","",SUMIFS('Stock Moves'!$E$6:$E$2005,'Stock Moves'!$C$6:$C$2005,B9,'Stock Moves'!$D$6:$D$2005,"Purchase")+SUMIFS('Stock Moves'!$E$6:$E$2005,'Stock Moves'!$C$6:$C$2005,B9,'Stock Moves'!$D$6:$D$2005,"Return")+SUMIFS('Stock Moves'!$E$6:$E$2005,'Stock Moves'!$C$6:$C$2005,B9,'Stock Moves'!$D$6:$D$2005,"Adjustment"))</f>
        <v/>
      </c>
      <c r="J9" s="18">
        <f>IF(B9="","",SUMIFS('Stock Moves'!$E$6:$E$2005,'Stock Moves'!$C$6:$C$2005,B9,'Stock Moves'!$D$6:$D$2005,"Sale"))</f>
        <v/>
      </c>
      <c r="K9" s="27">
        <f>IF(B9="","",G9+I9-J9)</f>
        <v/>
      </c>
      <c r="L9" s="28">
        <f>IF(OR(B9="",N(F9)=0),"",(F9-E9)/F9)</f>
        <v/>
      </c>
      <c r="M9" s="29">
        <f>IF(B9="","",IF(K9&lt;=0,"Out of stock",IF(K9&lt;=H9,"Reorder now","OK")))</f>
        <v/>
      </c>
      <c r="N9" s="1" t="n"/>
    </row>
    <row r="10">
      <c r="A10" s="1" t="n"/>
      <c r="B10" s="23" t="inlineStr">
        <is>
          <t>CRD-01</t>
        </is>
      </c>
      <c r="C10" s="24" t="inlineStr">
        <is>
          <t>Greeting card set</t>
        </is>
      </c>
      <c r="D10" s="24" t="inlineStr">
        <is>
          <t>Paper</t>
        </is>
      </c>
      <c r="E10" s="25" t="n">
        <v>1.4</v>
      </c>
      <c r="F10" s="25" t="n">
        <v>9</v>
      </c>
      <c r="G10" s="26" t="n">
        <v>40</v>
      </c>
      <c r="H10" s="26" t="n">
        <v>10</v>
      </c>
      <c r="I10" s="18">
        <f>IF(B10="","",SUMIFS('Stock Moves'!$E$6:$E$2005,'Stock Moves'!$C$6:$C$2005,B10,'Stock Moves'!$D$6:$D$2005,"Purchase")+SUMIFS('Stock Moves'!$E$6:$E$2005,'Stock Moves'!$C$6:$C$2005,B10,'Stock Moves'!$D$6:$D$2005,"Return")+SUMIFS('Stock Moves'!$E$6:$E$2005,'Stock Moves'!$C$6:$C$2005,B10,'Stock Moves'!$D$6:$D$2005,"Adjustment"))</f>
        <v/>
      </c>
      <c r="J10" s="18">
        <f>IF(B10="","",SUMIFS('Stock Moves'!$E$6:$E$2005,'Stock Moves'!$C$6:$C$2005,B10,'Stock Moves'!$D$6:$D$2005,"Sale"))</f>
        <v/>
      </c>
      <c r="K10" s="27">
        <f>IF(B10="","",G10+I10-J10)</f>
        <v/>
      </c>
      <c r="L10" s="28">
        <f>IF(OR(B10="",N(F10)=0),"",(F10-E10)/F10)</f>
        <v/>
      </c>
      <c r="M10" s="29">
        <f>IF(B10="","",IF(K10&lt;=0,"Out of stock",IF(K10&lt;=H10,"Reorder now","OK")))</f>
        <v/>
      </c>
      <c r="N10" s="1" t="n"/>
    </row>
    <row r="11">
      <c r="A11" s="1" t="n"/>
      <c r="B11" s="23" t="inlineStr">
        <is>
          <t>BAG-01</t>
        </is>
      </c>
      <c r="C11" s="24" t="inlineStr">
        <is>
          <t>Linen tote bag</t>
        </is>
      </c>
      <c r="D11" s="24" t="inlineStr">
        <is>
          <t>Textile</t>
        </is>
      </c>
      <c r="E11" s="25" t="n">
        <v>6.8</v>
      </c>
      <c r="F11" s="25" t="n">
        <v>24</v>
      </c>
      <c r="G11" s="26" t="n">
        <v>10</v>
      </c>
      <c r="H11" s="26" t="n">
        <v>4</v>
      </c>
      <c r="I11" s="18">
        <f>IF(B11="","",SUMIFS('Stock Moves'!$E$6:$E$2005,'Stock Moves'!$C$6:$C$2005,B11,'Stock Moves'!$D$6:$D$2005,"Purchase")+SUMIFS('Stock Moves'!$E$6:$E$2005,'Stock Moves'!$C$6:$C$2005,B11,'Stock Moves'!$D$6:$D$2005,"Return")+SUMIFS('Stock Moves'!$E$6:$E$2005,'Stock Moves'!$C$6:$C$2005,B11,'Stock Moves'!$D$6:$D$2005,"Adjustment"))</f>
        <v/>
      </c>
      <c r="J11" s="18">
        <f>IF(B11="","",SUMIFS('Stock Moves'!$E$6:$E$2005,'Stock Moves'!$C$6:$C$2005,B11,'Stock Moves'!$D$6:$D$2005,"Sale"))</f>
        <v/>
      </c>
      <c r="K11" s="27">
        <f>IF(B11="","",G11+I11-J11)</f>
        <v/>
      </c>
      <c r="L11" s="28">
        <f>IF(OR(B11="",N(F11)=0),"",(F11-E11)/F11)</f>
        <v/>
      </c>
      <c r="M11" s="29">
        <f>IF(B11="","",IF(K11&lt;=0,"Out of stock",IF(K11&lt;=H11,"Reorder now","OK")))</f>
        <v/>
      </c>
      <c r="N11" s="1" t="n"/>
    </row>
    <row r="12">
      <c r="A12" s="1" t="n"/>
      <c r="B12" s="23" t="n"/>
      <c r="C12" s="24" t="n"/>
      <c r="D12" s="24" t="n"/>
      <c r="E12" s="25" t="n"/>
      <c r="F12" s="25" t="n"/>
      <c r="G12" s="26" t="n"/>
      <c r="H12" s="26" t="n"/>
      <c r="I12" s="18">
        <f>IF(B12="","",SUMIFS('Stock Moves'!$E$6:$E$2005,'Stock Moves'!$C$6:$C$2005,B12,'Stock Moves'!$D$6:$D$2005,"Purchase")+SUMIFS('Stock Moves'!$E$6:$E$2005,'Stock Moves'!$C$6:$C$2005,B12,'Stock Moves'!$D$6:$D$2005,"Return")+SUMIFS('Stock Moves'!$E$6:$E$2005,'Stock Moves'!$C$6:$C$2005,B12,'Stock Moves'!$D$6:$D$2005,"Adjustment"))</f>
        <v/>
      </c>
      <c r="J12" s="18">
        <f>IF(B12="","",SUMIFS('Stock Moves'!$E$6:$E$2005,'Stock Moves'!$C$6:$C$2005,B12,'Stock Moves'!$D$6:$D$2005,"Sale"))</f>
        <v/>
      </c>
      <c r="K12" s="27">
        <f>IF(B12="","",G12+I12-J12)</f>
        <v/>
      </c>
      <c r="L12" s="28">
        <f>IF(OR(B12="",N(F12)=0),"",(F12-E12)/F12)</f>
        <v/>
      </c>
      <c r="M12" s="29">
        <f>IF(B12="","",IF(K12&lt;=0,"Out of stock",IF(K12&lt;=H12,"Reorder now","OK")))</f>
        <v/>
      </c>
      <c r="N12" s="1" t="n"/>
    </row>
    <row r="13">
      <c r="A13" s="1" t="n"/>
      <c r="B13" s="23" t="n"/>
      <c r="C13" s="24" t="n"/>
      <c r="D13" s="24" t="n"/>
      <c r="E13" s="25" t="n"/>
      <c r="F13" s="25" t="n"/>
      <c r="G13" s="26" t="n"/>
      <c r="H13" s="26" t="n"/>
      <c r="I13" s="18">
        <f>IF(B13="","",SUMIFS('Stock Moves'!$E$6:$E$2005,'Stock Moves'!$C$6:$C$2005,B13,'Stock Moves'!$D$6:$D$2005,"Purchase")+SUMIFS('Stock Moves'!$E$6:$E$2005,'Stock Moves'!$C$6:$C$2005,B13,'Stock Moves'!$D$6:$D$2005,"Return")+SUMIFS('Stock Moves'!$E$6:$E$2005,'Stock Moves'!$C$6:$C$2005,B13,'Stock Moves'!$D$6:$D$2005,"Adjustment"))</f>
        <v/>
      </c>
      <c r="J13" s="18">
        <f>IF(B13="","",SUMIFS('Stock Moves'!$E$6:$E$2005,'Stock Moves'!$C$6:$C$2005,B13,'Stock Moves'!$D$6:$D$2005,"Sale"))</f>
        <v/>
      </c>
      <c r="K13" s="27">
        <f>IF(B13="","",G13+I13-J13)</f>
        <v/>
      </c>
      <c r="L13" s="28">
        <f>IF(OR(B13="",N(F13)=0),"",(F13-E13)/F13)</f>
        <v/>
      </c>
      <c r="M13" s="29">
        <f>IF(B13="","",IF(K13&lt;=0,"Out of stock",IF(K13&lt;=H13,"Reorder now","OK")))</f>
        <v/>
      </c>
      <c r="N13" s="1" t="n"/>
    </row>
    <row r="14">
      <c r="A14" s="1" t="n"/>
      <c r="B14" s="23" t="n"/>
      <c r="C14" s="24" t="n"/>
      <c r="D14" s="24" t="n"/>
      <c r="E14" s="25" t="n"/>
      <c r="F14" s="25" t="n"/>
      <c r="G14" s="26" t="n"/>
      <c r="H14" s="26" t="n"/>
      <c r="I14" s="18">
        <f>IF(B14="","",SUMIFS('Stock Moves'!$E$6:$E$2005,'Stock Moves'!$C$6:$C$2005,B14,'Stock Moves'!$D$6:$D$2005,"Purchase")+SUMIFS('Stock Moves'!$E$6:$E$2005,'Stock Moves'!$C$6:$C$2005,B14,'Stock Moves'!$D$6:$D$2005,"Return")+SUMIFS('Stock Moves'!$E$6:$E$2005,'Stock Moves'!$C$6:$C$2005,B14,'Stock Moves'!$D$6:$D$2005,"Adjustment"))</f>
        <v/>
      </c>
      <c r="J14" s="18">
        <f>IF(B14="","",SUMIFS('Stock Moves'!$E$6:$E$2005,'Stock Moves'!$C$6:$C$2005,B14,'Stock Moves'!$D$6:$D$2005,"Sale"))</f>
        <v/>
      </c>
      <c r="K14" s="27">
        <f>IF(B14="","",G14+I14-J14)</f>
        <v/>
      </c>
      <c r="L14" s="28">
        <f>IF(OR(B14="",N(F14)=0),"",(F14-E14)/F14)</f>
        <v/>
      </c>
      <c r="M14" s="29">
        <f>IF(B14="","",IF(K14&lt;=0,"Out of stock",IF(K14&lt;=H14,"Reorder now","OK")))</f>
        <v/>
      </c>
      <c r="N14" s="1" t="n"/>
    </row>
    <row r="15">
      <c r="A15" s="1" t="n"/>
      <c r="B15" s="23" t="n"/>
      <c r="C15" s="24" t="n"/>
      <c r="D15" s="24" t="n"/>
      <c r="E15" s="25" t="n"/>
      <c r="F15" s="25" t="n"/>
      <c r="G15" s="26" t="n"/>
      <c r="H15" s="26" t="n"/>
      <c r="I15" s="18">
        <f>IF(B15="","",SUMIFS('Stock Moves'!$E$6:$E$2005,'Stock Moves'!$C$6:$C$2005,B15,'Stock Moves'!$D$6:$D$2005,"Purchase")+SUMIFS('Stock Moves'!$E$6:$E$2005,'Stock Moves'!$C$6:$C$2005,B15,'Stock Moves'!$D$6:$D$2005,"Return")+SUMIFS('Stock Moves'!$E$6:$E$2005,'Stock Moves'!$C$6:$C$2005,B15,'Stock Moves'!$D$6:$D$2005,"Adjustment"))</f>
        <v/>
      </c>
      <c r="J15" s="18">
        <f>IF(B15="","",SUMIFS('Stock Moves'!$E$6:$E$2005,'Stock Moves'!$C$6:$C$2005,B15,'Stock Moves'!$D$6:$D$2005,"Sale"))</f>
        <v/>
      </c>
      <c r="K15" s="27">
        <f>IF(B15="","",G15+I15-J15)</f>
        <v/>
      </c>
      <c r="L15" s="28">
        <f>IF(OR(B15="",N(F15)=0),"",(F15-E15)/F15)</f>
        <v/>
      </c>
      <c r="M15" s="29">
        <f>IF(B15="","",IF(K15&lt;=0,"Out of stock",IF(K15&lt;=H15,"Reorder now","OK")))</f>
        <v/>
      </c>
      <c r="N15" s="1" t="n"/>
    </row>
    <row r="16">
      <c r="A16" s="1" t="n"/>
      <c r="B16" s="23" t="n"/>
      <c r="C16" s="24" t="n"/>
      <c r="D16" s="24" t="n"/>
      <c r="E16" s="25" t="n"/>
      <c r="F16" s="25" t="n"/>
      <c r="G16" s="26" t="n"/>
      <c r="H16" s="26" t="n"/>
      <c r="I16" s="18">
        <f>IF(B16="","",SUMIFS('Stock Moves'!$E$6:$E$2005,'Stock Moves'!$C$6:$C$2005,B16,'Stock Moves'!$D$6:$D$2005,"Purchase")+SUMIFS('Stock Moves'!$E$6:$E$2005,'Stock Moves'!$C$6:$C$2005,B16,'Stock Moves'!$D$6:$D$2005,"Return")+SUMIFS('Stock Moves'!$E$6:$E$2005,'Stock Moves'!$C$6:$C$2005,B16,'Stock Moves'!$D$6:$D$2005,"Adjustment"))</f>
        <v/>
      </c>
      <c r="J16" s="18">
        <f>IF(B16="","",SUMIFS('Stock Moves'!$E$6:$E$2005,'Stock Moves'!$C$6:$C$2005,B16,'Stock Moves'!$D$6:$D$2005,"Sale"))</f>
        <v/>
      </c>
      <c r="K16" s="27">
        <f>IF(B16="","",G16+I16-J16)</f>
        <v/>
      </c>
      <c r="L16" s="28">
        <f>IF(OR(B16="",N(F16)=0),"",(F16-E16)/F16)</f>
        <v/>
      </c>
      <c r="M16" s="29">
        <f>IF(B16="","",IF(K16&lt;=0,"Out of stock",IF(K16&lt;=H16,"Reorder now","OK")))</f>
        <v/>
      </c>
      <c r="N16" s="1" t="n"/>
    </row>
    <row r="17">
      <c r="A17" s="1" t="n"/>
      <c r="B17" s="23" t="n"/>
      <c r="C17" s="24" t="n"/>
      <c r="D17" s="24" t="n"/>
      <c r="E17" s="25" t="n"/>
      <c r="F17" s="25" t="n"/>
      <c r="G17" s="26" t="n"/>
      <c r="H17" s="26" t="n"/>
      <c r="I17" s="18">
        <f>IF(B17="","",SUMIFS('Stock Moves'!$E$6:$E$2005,'Stock Moves'!$C$6:$C$2005,B17,'Stock Moves'!$D$6:$D$2005,"Purchase")+SUMIFS('Stock Moves'!$E$6:$E$2005,'Stock Moves'!$C$6:$C$2005,B17,'Stock Moves'!$D$6:$D$2005,"Return")+SUMIFS('Stock Moves'!$E$6:$E$2005,'Stock Moves'!$C$6:$C$2005,B17,'Stock Moves'!$D$6:$D$2005,"Adjustment"))</f>
        <v/>
      </c>
      <c r="J17" s="18">
        <f>IF(B17="","",SUMIFS('Stock Moves'!$E$6:$E$2005,'Stock Moves'!$C$6:$C$2005,B17,'Stock Moves'!$D$6:$D$2005,"Sale"))</f>
        <v/>
      </c>
      <c r="K17" s="27">
        <f>IF(B17="","",G17+I17-J17)</f>
        <v/>
      </c>
      <c r="L17" s="28">
        <f>IF(OR(B17="",N(F17)=0),"",(F17-E17)/F17)</f>
        <v/>
      </c>
      <c r="M17" s="29">
        <f>IF(B17="","",IF(K17&lt;=0,"Out of stock",IF(K17&lt;=H17,"Reorder now","OK")))</f>
        <v/>
      </c>
      <c r="N17" s="1" t="n"/>
    </row>
    <row r="18">
      <c r="A18" s="1" t="n"/>
      <c r="B18" s="23" t="n"/>
      <c r="C18" s="24" t="n"/>
      <c r="D18" s="24" t="n"/>
      <c r="E18" s="25" t="n"/>
      <c r="F18" s="25" t="n"/>
      <c r="G18" s="26" t="n"/>
      <c r="H18" s="26" t="n"/>
      <c r="I18" s="18">
        <f>IF(B18="","",SUMIFS('Stock Moves'!$E$6:$E$2005,'Stock Moves'!$C$6:$C$2005,B18,'Stock Moves'!$D$6:$D$2005,"Purchase")+SUMIFS('Stock Moves'!$E$6:$E$2005,'Stock Moves'!$C$6:$C$2005,B18,'Stock Moves'!$D$6:$D$2005,"Return")+SUMIFS('Stock Moves'!$E$6:$E$2005,'Stock Moves'!$C$6:$C$2005,B18,'Stock Moves'!$D$6:$D$2005,"Adjustment"))</f>
        <v/>
      </c>
      <c r="J18" s="18">
        <f>IF(B18="","",SUMIFS('Stock Moves'!$E$6:$E$2005,'Stock Moves'!$C$6:$C$2005,B18,'Stock Moves'!$D$6:$D$2005,"Sale"))</f>
        <v/>
      </c>
      <c r="K18" s="27">
        <f>IF(B18="","",G18+I18-J18)</f>
        <v/>
      </c>
      <c r="L18" s="28">
        <f>IF(OR(B18="",N(F18)=0),"",(F18-E18)/F18)</f>
        <v/>
      </c>
      <c r="M18" s="29">
        <f>IF(B18="","",IF(K18&lt;=0,"Out of stock",IF(K18&lt;=H18,"Reorder now","OK")))</f>
        <v/>
      </c>
      <c r="N18" s="1" t="n"/>
    </row>
    <row r="19">
      <c r="A19" s="1" t="n"/>
      <c r="B19" s="23" t="n"/>
      <c r="C19" s="24" t="n"/>
      <c r="D19" s="24" t="n"/>
      <c r="E19" s="25" t="n"/>
      <c r="F19" s="25" t="n"/>
      <c r="G19" s="26" t="n"/>
      <c r="H19" s="26" t="n"/>
      <c r="I19" s="18">
        <f>IF(B19="","",SUMIFS('Stock Moves'!$E$6:$E$2005,'Stock Moves'!$C$6:$C$2005,B19,'Stock Moves'!$D$6:$D$2005,"Purchase")+SUMIFS('Stock Moves'!$E$6:$E$2005,'Stock Moves'!$C$6:$C$2005,B19,'Stock Moves'!$D$6:$D$2005,"Return")+SUMIFS('Stock Moves'!$E$6:$E$2005,'Stock Moves'!$C$6:$C$2005,B19,'Stock Moves'!$D$6:$D$2005,"Adjustment"))</f>
        <v/>
      </c>
      <c r="J19" s="18">
        <f>IF(B19="","",SUMIFS('Stock Moves'!$E$6:$E$2005,'Stock Moves'!$C$6:$C$2005,B19,'Stock Moves'!$D$6:$D$2005,"Sale"))</f>
        <v/>
      </c>
      <c r="K19" s="27">
        <f>IF(B19="","",G19+I19-J19)</f>
        <v/>
      </c>
      <c r="L19" s="28">
        <f>IF(OR(B19="",N(F19)=0),"",(F19-E19)/F19)</f>
        <v/>
      </c>
      <c r="M19" s="29">
        <f>IF(B19="","",IF(K19&lt;=0,"Out of stock",IF(K19&lt;=H19,"Reorder now","OK")))</f>
        <v/>
      </c>
      <c r="N19" s="1" t="n"/>
    </row>
    <row r="20">
      <c r="A20" s="1" t="n"/>
      <c r="B20" s="23" t="n"/>
      <c r="C20" s="24" t="n"/>
      <c r="D20" s="24" t="n"/>
      <c r="E20" s="25" t="n"/>
      <c r="F20" s="25" t="n"/>
      <c r="G20" s="26" t="n"/>
      <c r="H20" s="26" t="n"/>
      <c r="I20" s="18">
        <f>IF(B20="","",SUMIFS('Stock Moves'!$E$6:$E$2005,'Stock Moves'!$C$6:$C$2005,B20,'Stock Moves'!$D$6:$D$2005,"Purchase")+SUMIFS('Stock Moves'!$E$6:$E$2005,'Stock Moves'!$C$6:$C$2005,B20,'Stock Moves'!$D$6:$D$2005,"Return")+SUMIFS('Stock Moves'!$E$6:$E$2005,'Stock Moves'!$C$6:$C$2005,B20,'Stock Moves'!$D$6:$D$2005,"Adjustment"))</f>
        <v/>
      </c>
      <c r="J20" s="18">
        <f>IF(B20="","",SUMIFS('Stock Moves'!$E$6:$E$2005,'Stock Moves'!$C$6:$C$2005,B20,'Stock Moves'!$D$6:$D$2005,"Sale"))</f>
        <v/>
      </c>
      <c r="K20" s="27">
        <f>IF(B20="","",G20+I20-J20)</f>
        <v/>
      </c>
      <c r="L20" s="28">
        <f>IF(OR(B20="",N(F20)=0),"",(F20-E20)/F20)</f>
        <v/>
      </c>
      <c r="M20" s="29">
        <f>IF(B20="","",IF(K20&lt;=0,"Out of stock",IF(K20&lt;=H20,"Reorder now","OK")))</f>
        <v/>
      </c>
      <c r="N20" s="1" t="n"/>
    </row>
    <row r="21">
      <c r="A21" s="1" t="n"/>
      <c r="B21" s="23" t="n"/>
      <c r="C21" s="24" t="n"/>
      <c r="D21" s="24" t="n"/>
      <c r="E21" s="25" t="n"/>
      <c r="F21" s="25" t="n"/>
      <c r="G21" s="26" t="n"/>
      <c r="H21" s="26" t="n"/>
      <c r="I21" s="18">
        <f>IF(B21="","",SUMIFS('Stock Moves'!$E$6:$E$2005,'Stock Moves'!$C$6:$C$2005,B21,'Stock Moves'!$D$6:$D$2005,"Purchase")+SUMIFS('Stock Moves'!$E$6:$E$2005,'Stock Moves'!$C$6:$C$2005,B21,'Stock Moves'!$D$6:$D$2005,"Return")+SUMIFS('Stock Moves'!$E$6:$E$2005,'Stock Moves'!$C$6:$C$2005,B21,'Stock Moves'!$D$6:$D$2005,"Adjustment"))</f>
        <v/>
      </c>
      <c r="J21" s="18">
        <f>IF(B21="","",SUMIFS('Stock Moves'!$E$6:$E$2005,'Stock Moves'!$C$6:$C$2005,B21,'Stock Moves'!$D$6:$D$2005,"Sale"))</f>
        <v/>
      </c>
      <c r="K21" s="27">
        <f>IF(B21="","",G21+I21-J21)</f>
        <v/>
      </c>
      <c r="L21" s="28">
        <f>IF(OR(B21="",N(F21)=0),"",(F21-E21)/F21)</f>
        <v/>
      </c>
      <c r="M21" s="29">
        <f>IF(B21="","",IF(K21&lt;=0,"Out of stock",IF(K21&lt;=H21,"Reorder now","OK")))</f>
        <v/>
      </c>
      <c r="N21" s="1" t="n"/>
    </row>
    <row r="22">
      <c r="A22" s="1" t="n"/>
      <c r="B22" s="23" t="n"/>
      <c r="C22" s="24" t="n"/>
      <c r="D22" s="24" t="n"/>
      <c r="E22" s="25" t="n"/>
      <c r="F22" s="25" t="n"/>
      <c r="G22" s="26" t="n"/>
      <c r="H22" s="26" t="n"/>
      <c r="I22" s="18">
        <f>IF(B22="","",SUMIFS('Stock Moves'!$E$6:$E$2005,'Stock Moves'!$C$6:$C$2005,B22,'Stock Moves'!$D$6:$D$2005,"Purchase")+SUMIFS('Stock Moves'!$E$6:$E$2005,'Stock Moves'!$C$6:$C$2005,B22,'Stock Moves'!$D$6:$D$2005,"Return")+SUMIFS('Stock Moves'!$E$6:$E$2005,'Stock Moves'!$C$6:$C$2005,B22,'Stock Moves'!$D$6:$D$2005,"Adjustment"))</f>
        <v/>
      </c>
      <c r="J22" s="18">
        <f>IF(B22="","",SUMIFS('Stock Moves'!$E$6:$E$2005,'Stock Moves'!$C$6:$C$2005,B22,'Stock Moves'!$D$6:$D$2005,"Sale"))</f>
        <v/>
      </c>
      <c r="K22" s="27">
        <f>IF(B22="","",G22+I22-J22)</f>
        <v/>
      </c>
      <c r="L22" s="28">
        <f>IF(OR(B22="",N(F22)=0),"",(F22-E22)/F22)</f>
        <v/>
      </c>
      <c r="M22" s="29">
        <f>IF(B22="","",IF(K22&lt;=0,"Out of stock",IF(K22&lt;=H22,"Reorder now","OK")))</f>
        <v/>
      </c>
      <c r="N22" s="1" t="n"/>
    </row>
    <row r="23">
      <c r="A23" s="1" t="n"/>
      <c r="B23" s="23" t="n"/>
      <c r="C23" s="24" t="n"/>
      <c r="D23" s="24" t="n"/>
      <c r="E23" s="25" t="n"/>
      <c r="F23" s="25" t="n"/>
      <c r="G23" s="26" t="n"/>
      <c r="H23" s="26" t="n"/>
      <c r="I23" s="18">
        <f>IF(B23="","",SUMIFS('Stock Moves'!$E$6:$E$2005,'Stock Moves'!$C$6:$C$2005,B23,'Stock Moves'!$D$6:$D$2005,"Purchase")+SUMIFS('Stock Moves'!$E$6:$E$2005,'Stock Moves'!$C$6:$C$2005,B23,'Stock Moves'!$D$6:$D$2005,"Return")+SUMIFS('Stock Moves'!$E$6:$E$2005,'Stock Moves'!$C$6:$C$2005,B23,'Stock Moves'!$D$6:$D$2005,"Adjustment"))</f>
        <v/>
      </c>
      <c r="J23" s="18">
        <f>IF(B23="","",SUMIFS('Stock Moves'!$E$6:$E$2005,'Stock Moves'!$C$6:$C$2005,B23,'Stock Moves'!$D$6:$D$2005,"Sale"))</f>
        <v/>
      </c>
      <c r="K23" s="27">
        <f>IF(B23="","",G23+I23-J23)</f>
        <v/>
      </c>
      <c r="L23" s="28">
        <f>IF(OR(B23="",N(F23)=0),"",(F23-E23)/F23)</f>
        <v/>
      </c>
      <c r="M23" s="29">
        <f>IF(B23="","",IF(K23&lt;=0,"Out of stock",IF(K23&lt;=H23,"Reorder now","OK")))</f>
        <v/>
      </c>
      <c r="N23" s="1" t="n"/>
    </row>
    <row r="24">
      <c r="A24" s="1" t="n"/>
      <c r="B24" s="23" t="n"/>
      <c r="C24" s="24" t="n"/>
      <c r="D24" s="24" t="n"/>
      <c r="E24" s="25" t="n"/>
      <c r="F24" s="25" t="n"/>
      <c r="G24" s="26" t="n"/>
      <c r="H24" s="26" t="n"/>
      <c r="I24" s="18">
        <f>IF(B24="","",SUMIFS('Stock Moves'!$E$6:$E$2005,'Stock Moves'!$C$6:$C$2005,B24,'Stock Moves'!$D$6:$D$2005,"Purchase")+SUMIFS('Stock Moves'!$E$6:$E$2005,'Stock Moves'!$C$6:$C$2005,B24,'Stock Moves'!$D$6:$D$2005,"Return")+SUMIFS('Stock Moves'!$E$6:$E$2005,'Stock Moves'!$C$6:$C$2005,B24,'Stock Moves'!$D$6:$D$2005,"Adjustment"))</f>
        <v/>
      </c>
      <c r="J24" s="18">
        <f>IF(B24="","",SUMIFS('Stock Moves'!$E$6:$E$2005,'Stock Moves'!$C$6:$C$2005,B24,'Stock Moves'!$D$6:$D$2005,"Sale"))</f>
        <v/>
      </c>
      <c r="K24" s="27">
        <f>IF(B24="","",G24+I24-J24)</f>
        <v/>
      </c>
      <c r="L24" s="28">
        <f>IF(OR(B24="",N(F24)=0),"",(F24-E24)/F24)</f>
        <v/>
      </c>
      <c r="M24" s="29">
        <f>IF(B24="","",IF(K24&lt;=0,"Out of stock",IF(K24&lt;=H24,"Reorder now","OK")))</f>
        <v/>
      </c>
      <c r="N24" s="1" t="n"/>
    </row>
    <row r="25">
      <c r="A25" s="1" t="n"/>
      <c r="B25" s="23" t="n"/>
      <c r="C25" s="24" t="n"/>
      <c r="D25" s="24" t="n"/>
      <c r="E25" s="25" t="n"/>
      <c r="F25" s="25" t="n"/>
      <c r="G25" s="26" t="n"/>
      <c r="H25" s="26" t="n"/>
      <c r="I25" s="18">
        <f>IF(B25="","",SUMIFS('Stock Moves'!$E$6:$E$2005,'Stock Moves'!$C$6:$C$2005,B25,'Stock Moves'!$D$6:$D$2005,"Purchase")+SUMIFS('Stock Moves'!$E$6:$E$2005,'Stock Moves'!$C$6:$C$2005,B25,'Stock Moves'!$D$6:$D$2005,"Return")+SUMIFS('Stock Moves'!$E$6:$E$2005,'Stock Moves'!$C$6:$C$2005,B25,'Stock Moves'!$D$6:$D$2005,"Adjustment"))</f>
        <v/>
      </c>
      <c r="J25" s="18">
        <f>IF(B25="","",SUMIFS('Stock Moves'!$E$6:$E$2005,'Stock Moves'!$C$6:$C$2005,B25,'Stock Moves'!$D$6:$D$2005,"Sale"))</f>
        <v/>
      </c>
      <c r="K25" s="27">
        <f>IF(B25="","",G25+I25-J25)</f>
        <v/>
      </c>
      <c r="L25" s="28">
        <f>IF(OR(B25="",N(F25)=0),"",(F25-E25)/F25)</f>
        <v/>
      </c>
      <c r="M25" s="29">
        <f>IF(B25="","",IF(K25&lt;=0,"Out of stock",IF(K25&lt;=H25,"Reorder now","OK")))</f>
        <v/>
      </c>
      <c r="N25" s="1" t="n"/>
    </row>
    <row r="26">
      <c r="A26" s="1" t="n"/>
      <c r="B26" s="23" t="n"/>
      <c r="C26" s="24" t="n"/>
      <c r="D26" s="24" t="n"/>
      <c r="E26" s="25" t="n"/>
      <c r="F26" s="25" t="n"/>
      <c r="G26" s="26" t="n"/>
      <c r="H26" s="26" t="n"/>
      <c r="I26" s="18">
        <f>IF(B26="","",SUMIFS('Stock Moves'!$E$6:$E$2005,'Stock Moves'!$C$6:$C$2005,B26,'Stock Moves'!$D$6:$D$2005,"Purchase")+SUMIFS('Stock Moves'!$E$6:$E$2005,'Stock Moves'!$C$6:$C$2005,B26,'Stock Moves'!$D$6:$D$2005,"Return")+SUMIFS('Stock Moves'!$E$6:$E$2005,'Stock Moves'!$C$6:$C$2005,B26,'Stock Moves'!$D$6:$D$2005,"Adjustment"))</f>
        <v/>
      </c>
      <c r="J26" s="18">
        <f>IF(B26="","",SUMIFS('Stock Moves'!$E$6:$E$2005,'Stock Moves'!$C$6:$C$2005,B26,'Stock Moves'!$D$6:$D$2005,"Sale"))</f>
        <v/>
      </c>
      <c r="K26" s="27">
        <f>IF(B26="","",G26+I26-J26)</f>
        <v/>
      </c>
      <c r="L26" s="28">
        <f>IF(OR(B26="",N(F26)=0),"",(F26-E26)/F26)</f>
        <v/>
      </c>
      <c r="M26" s="29">
        <f>IF(B26="","",IF(K26&lt;=0,"Out of stock",IF(K26&lt;=H26,"Reorder now","OK")))</f>
        <v/>
      </c>
      <c r="N26" s="1" t="n"/>
    </row>
    <row r="27">
      <c r="A27" s="1" t="n"/>
      <c r="B27" s="23" t="n"/>
      <c r="C27" s="24" t="n"/>
      <c r="D27" s="24" t="n"/>
      <c r="E27" s="25" t="n"/>
      <c r="F27" s="25" t="n"/>
      <c r="G27" s="26" t="n"/>
      <c r="H27" s="26" t="n"/>
      <c r="I27" s="18">
        <f>IF(B27="","",SUMIFS('Stock Moves'!$E$6:$E$2005,'Stock Moves'!$C$6:$C$2005,B27,'Stock Moves'!$D$6:$D$2005,"Purchase")+SUMIFS('Stock Moves'!$E$6:$E$2005,'Stock Moves'!$C$6:$C$2005,B27,'Stock Moves'!$D$6:$D$2005,"Return")+SUMIFS('Stock Moves'!$E$6:$E$2005,'Stock Moves'!$C$6:$C$2005,B27,'Stock Moves'!$D$6:$D$2005,"Adjustment"))</f>
        <v/>
      </c>
      <c r="J27" s="18">
        <f>IF(B27="","",SUMIFS('Stock Moves'!$E$6:$E$2005,'Stock Moves'!$C$6:$C$2005,B27,'Stock Moves'!$D$6:$D$2005,"Sale"))</f>
        <v/>
      </c>
      <c r="K27" s="27">
        <f>IF(B27="","",G27+I27-J27)</f>
        <v/>
      </c>
      <c r="L27" s="28">
        <f>IF(OR(B27="",N(F27)=0),"",(F27-E27)/F27)</f>
        <v/>
      </c>
      <c r="M27" s="29">
        <f>IF(B27="","",IF(K27&lt;=0,"Out of stock",IF(K27&lt;=H27,"Reorder now","OK")))</f>
        <v/>
      </c>
      <c r="N27" s="1" t="n"/>
    </row>
    <row r="28">
      <c r="A28" s="1" t="n"/>
      <c r="B28" s="23" t="n"/>
      <c r="C28" s="24" t="n"/>
      <c r="D28" s="24" t="n"/>
      <c r="E28" s="25" t="n"/>
      <c r="F28" s="25" t="n"/>
      <c r="G28" s="26" t="n"/>
      <c r="H28" s="26" t="n"/>
      <c r="I28" s="18">
        <f>IF(B28="","",SUMIFS('Stock Moves'!$E$6:$E$2005,'Stock Moves'!$C$6:$C$2005,B28,'Stock Moves'!$D$6:$D$2005,"Purchase")+SUMIFS('Stock Moves'!$E$6:$E$2005,'Stock Moves'!$C$6:$C$2005,B28,'Stock Moves'!$D$6:$D$2005,"Return")+SUMIFS('Stock Moves'!$E$6:$E$2005,'Stock Moves'!$C$6:$C$2005,B28,'Stock Moves'!$D$6:$D$2005,"Adjustment"))</f>
        <v/>
      </c>
      <c r="J28" s="18">
        <f>IF(B28="","",SUMIFS('Stock Moves'!$E$6:$E$2005,'Stock Moves'!$C$6:$C$2005,B28,'Stock Moves'!$D$6:$D$2005,"Sale"))</f>
        <v/>
      </c>
      <c r="K28" s="27">
        <f>IF(B28="","",G28+I28-J28)</f>
        <v/>
      </c>
      <c r="L28" s="28">
        <f>IF(OR(B28="",N(F28)=0),"",(F28-E28)/F28)</f>
        <v/>
      </c>
      <c r="M28" s="29">
        <f>IF(B28="","",IF(K28&lt;=0,"Out of stock",IF(K28&lt;=H28,"Reorder now","OK")))</f>
        <v/>
      </c>
      <c r="N28" s="1" t="n"/>
    </row>
    <row r="29">
      <c r="A29" s="1" t="n"/>
      <c r="B29" s="23" t="n"/>
      <c r="C29" s="24" t="n"/>
      <c r="D29" s="24" t="n"/>
      <c r="E29" s="25" t="n"/>
      <c r="F29" s="25" t="n"/>
      <c r="G29" s="26" t="n"/>
      <c r="H29" s="26" t="n"/>
      <c r="I29" s="18">
        <f>IF(B29="","",SUMIFS('Stock Moves'!$E$6:$E$2005,'Stock Moves'!$C$6:$C$2005,B29,'Stock Moves'!$D$6:$D$2005,"Purchase")+SUMIFS('Stock Moves'!$E$6:$E$2005,'Stock Moves'!$C$6:$C$2005,B29,'Stock Moves'!$D$6:$D$2005,"Return")+SUMIFS('Stock Moves'!$E$6:$E$2005,'Stock Moves'!$C$6:$C$2005,B29,'Stock Moves'!$D$6:$D$2005,"Adjustment"))</f>
        <v/>
      </c>
      <c r="J29" s="18">
        <f>IF(B29="","",SUMIFS('Stock Moves'!$E$6:$E$2005,'Stock Moves'!$C$6:$C$2005,B29,'Stock Moves'!$D$6:$D$2005,"Sale"))</f>
        <v/>
      </c>
      <c r="K29" s="27">
        <f>IF(B29="","",G29+I29-J29)</f>
        <v/>
      </c>
      <c r="L29" s="28">
        <f>IF(OR(B29="",N(F29)=0),"",(F29-E29)/F29)</f>
        <v/>
      </c>
      <c r="M29" s="29">
        <f>IF(B29="","",IF(K29&lt;=0,"Out of stock",IF(K29&lt;=H29,"Reorder now","OK")))</f>
        <v/>
      </c>
      <c r="N29" s="1" t="n"/>
    </row>
    <row r="30">
      <c r="A30" s="1" t="n"/>
      <c r="B30" s="23" t="n"/>
      <c r="C30" s="24" t="n"/>
      <c r="D30" s="24" t="n"/>
      <c r="E30" s="25" t="n"/>
      <c r="F30" s="25" t="n"/>
      <c r="G30" s="26" t="n"/>
      <c r="H30" s="26" t="n"/>
      <c r="I30" s="18">
        <f>IF(B30="","",SUMIFS('Stock Moves'!$E$6:$E$2005,'Stock Moves'!$C$6:$C$2005,B30,'Stock Moves'!$D$6:$D$2005,"Purchase")+SUMIFS('Stock Moves'!$E$6:$E$2005,'Stock Moves'!$C$6:$C$2005,B30,'Stock Moves'!$D$6:$D$2005,"Return")+SUMIFS('Stock Moves'!$E$6:$E$2005,'Stock Moves'!$C$6:$C$2005,B30,'Stock Moves'!$D$6:$D$2005,"Adjustment"))</f>
        <v/>
      </c>
      <c r="J30" s="18">
        <f>IF(B30="","",SUMIFS('Stock Moves'!$E$6:$E$2005,'Stock Moves'!$C$6:$C$2005,B30,'Stock Moves'!$D$6:$D$2005,"Sale"))</f>
        <v/>
      </c>
      <c r="K30" s="27">
        <f>IF(B30="","",G30+I30-J30)</f>
        <v/>
      </c>
      <c r="L30" s="28">
        <f>IF(OR(B30="",N(F30)=0),"",(F30-E30)/F30)</f>
        <v/>
      </c>
      <c r="M30" s="29">
        <f>IF(B30="","",IF(K30&lt;=0,"Out of stock",IF(K30&lt;=H30,"Reorder now","OK")))</f>
        <v/>
      </c>
      <c r="N30" s="1" t="n"/>
    </row>
    <row r="31">
      <c r="A31" s="1" t="n"/>
      <c r="B31" s="23" t="n"/>
      <c r="C31" s="24" t="n"/>
      <c r="D31" s="24" t="n"/>
      <c r="E31" s="25" t="n"/>
      <c r="F31" s="25" t="n"/>
      <c r="G31" s="26" t="n"/>
      <c r="H31" s="26" t="n"/>
      <c r="I31" s="18">
        <f>IF(B31="","",SUMIFS('Stock Moves'!$E$6:$E$2005,'Stock Moves'!$C$6:$C$2005,B31,'Stock Moves'!$D$6:$D$2005,"Purchase")+SUMIFS('Stock Moves'!$E$6:$E$2005,'Stock Moves'!$C$6:$C$2005,B31,'Stock Moves'!$D$6:$D$2005,"Return")+SUMIFS('Stock Moves'!$E$6:$E$2005,'Stock Moves'!$C$6:$C$2005,B31,'Stock Moves'!$D$6:$D$2005,"Adjustment"))</f>
        <v/>
      </c>
      <c r="J31" s="18">
        <f>IF(B31="","",SUMIFS('Stock Moves'!$E$6:$E$2005,'Stock Moves'!$C$6:$C$2005,B31,'Stock Moves'!$D$6:$D$2005,"Sale"))</f>
        <v/>
      </c>
      <c r="K31" s="27">
        <f>IF(B31="","",G31+I31-J31)</f>
        <v/>
      </c>
      <c r="L31" s="28">
        <f>IF(OR(B31="",N(F31)=0),"",(F31-E31)/F31)</f>
        <v/>
      </c>
      <c r="M31" s="29">
        <f>IF(B31="","",IF(K31&lt;=0,"Out of stock",IF(K31&lt;=H31,"Reorder now","OK")))</f>
        <v/>
      </c>
      <c r="N31" s="1" t="n"/>
    </row>
    <row r="32">
      <c r="A32" s="1" t="n"/>
      <c r="B32" s="23" t="n"/>
      <c r="C32" s="24" t="n"/>
      <c r="D32" s="24" t="n"/>
      <c r="E32" s="25" t="n"/>
      <c r="F32" s="25" t="n"/>
      <c r="G32" s="26" t="n"/>
      <c r="H32" s="26" t="n"/>
      <c r="I32" s="18">
        <f>IF(B32="","",SUMIFS('Stock Moves'!$E$6:$E$2005,'Stock Moves'!$C$6:$C$2005,B32,'Stock Moves'!$D$6:$D$2005,"Purchase")+SUMIFS('Stock Moves'!$E$6:$E$2005,'Stock Moves'!$C$6:$C$2005,B32,'Stock Moves'!$D$6:$D$2005,"Return")+SUMIFS('Stock Moves'!$E$6:$E$2005,'Stock Moves'!$C$6:$C$2005,B32,'Stock Moves'!$D$6:$D$2005,"Adjustment"))</f>
        <v/>
      </c>
      <c r="J32" s="18">
        <f>IF(B32="","",SUMIFS('Stock Moves'!$E$6:$E$2005,'Stock Moves'!$C$6:$C$2005,B32,'Stock Moves'!$D$6:$D$2005,"Sale"))</f>
        <v/>
      </c>
      <c r="K32" s="27">
        <f>IF(B32="","",G32+I32-J32)</f>
        <v/>
      </c>
      <c r="L32" s="28">
        <f>IF(OR(B32="",N(F32)=0),"",(F32-E32)/F32)</f>
        <v/>
      </c>
      <c r="M32" s="29">
        <f>IF(B32="","",IF(K32&lt;=0,"Out of stock",IF(K32&lt;=H32,"Reorder now","OK")))</f>
        <v/>
      </c>
      <c r="N32" s="1" t="n"/>
    </row>
    <row r="33">
      <c r="A33" s="1" t="n"/>
      <c r="B33" s="23" t="n"/>
      <c r="C33" s="24" t="n"/>
      <c r="D33" s="24" t="n"/>
      <c r="E33" s="25" t="n"/>
      <c r="F33" s="25" t="n"/>
      <c r="G33" s="26" t="n"/>
      <c r="H33" s="26" t="n"/>
      <c r="I33" s="18">
        <f>IF(B33="","",SUMIFS('Stock Moves'!$E$6:$E$2005,'Stock Moves'!$C$6:$C$2005,B33,'Stock Moves'!$D$6:$D$2005,"Purchase")+SUMIFS('Stock Moves'!$E$6:$E$2005,'Stock Moves'!$C$6:$C$2005,B33,'Stock Moves'!$D$6:$D$2005,"Return")+SUMIFS('Stock Moves'!$E$6:$E$2005,'Stock Moves'!$C$6:$C$2005,B33,'Stock Moves'!$D$6:$D$2005,"Adjustment"))</f>
        <v/>
      </c>
      <c r="J33" s="18">
        <f>IF(B33="","",SUMIFS('Stock Moves'!$E$6:$E$2005,'Stock Moves'!$C$6:$C$2005,B33,'Stock Moves'!$D$6:$D$2005,"Sale"))</f>
        <v/>
      </c>
      <c r="K33" s="27">
        <f>IF(B33="","",G33+I33-J33)</f>
        <v/>
      </c>
      <c r="L33" s="28">
        <f>IF(OR(B33="",N(F33)=0),"",(F33-E33)/F33)</f>
        <v/>
      </c>
      <c r="M33" s="29">
        <f>IF(B33="","",IF(K33&lt;=0,"Out of stock",IF(K33&lt;=H33,"Reorder now","OK")))</f>
        <v/>
      </c>
      <c r="N33" s="1" t="n"/>
    </row>
    <row r="34">
      <c r="A34" s="1" t="n"/>
      <c r="B34" s="23" t="n"/>
      <c r="C34" s="24" t="n"/>
      <c r="D34" s="24" t="n"/>
      <c r="E34" s="25" t="n"/>
      <c r="F34" s="25" t="n"/>
      <c r="G34" s="26" t="n"/>
      <c r="H34" s="26" t="n"/>
      <c r="I34" s="18">
        <f>IF(B34="","",SUMIFS('Stock Moves'!$E$6:$E$2005,'Stock Moves'!$C$6:$C$2005,B34,'Stock Moves'!$D$6:$D$2005,"Purchase")+SUMIFS('Stock Moves'!$E$6:$E$2005,'Stock Moves'!$C$6:$C$2005,B34,'Stock Moves'!$D$6:$D$2005,"Return")+SUMIFS('Stock Moves'!$E$6:$E$2005,'Stock Moves'!$C$6:$C$2005,B34,'Stock Moves'!$D$6:$D$2005,"Adjustment"))</f>
        <v/>
      </c>
      <c r="J34" s="18">
        <f>IF(B34="","",SUMIFS('Stock Moves'!$E$6:$E$2005,'Stock Moves'!$C$6:$C$2005,B34,'Stock Moves'!$D$6:$D$2005,"Sale"))</f>
        <v/>
      </c>
      <c r="K34" s="27">
        <f>IF(B34="","",G34+I34-J34)</f>
        <v/>
      </c>
      <c r="L34" s="28">
        <f>IF(OR(B34="",N(F34)=0),"",(F34-E34)/F34)</f>
        <v/>
      </c>
      <c r="M34" s="29">
        <f>IF(B34="","",IF(K34&lt;=0,"Out of stock",IF(K34&lt;=H34,"Reorder now","OK")))</f>
        <v/>
      </c>
      <c r="N34" s="1" t="n"/>
    </row>
    <row r="35">
      <c r="A35" s="1" t="n"/>
      <c r="B35" s="23" t="n"/>
      <c r="C35" s="24" t="n"/>
      <c r="D35" s="24" t="n"/>
      <c r="E35" s="25" t="n"/>
      <c r="F35" s="25" t="n"/>
      <c r="G35" s="26" t="n"/>
      <c r="H35" s="26" t="n"/>
      <c r="I35" s="18">
        <f>IF(B35="","",SUMIFS('Stock Moves'!$E$6:$E$2005,'Stock Moves'!$C$6:$C$2005,B35,'Stock Moves'!$D$6:$D$2005,"Purchase")+SUMIFS('Stock Moves'!$E$6:$E$2005,'Stock Moves'!$C$6:$C$2005,B35,'Stock Moves'!$D$6:$D$2005,"Return")+SUMIFS('Stock Moves'!$E$6:$E$2005,'Stock Moves'!$C$6:$C$2005,B35,'Stock Moves'!$D$6:$D$2005,"Adjustment"))</f>
        <v/>
      </c>
      <c r="J35" s="18">
        <f>IF(B35="","",SUMIFS('Stock Moves'!$E$6:$E$2005,'Stock Moves'!$C$6:$C$2005,B35,'Stock Moves'!$D$6:$D$2005,"Sale"))</f>
        <v/>
      </c>
      <c r="K35" s="27">
        <f>IF(B35="","",G35+I35-J35)</f>
        <v/>
      </c>
      <c r="L35" s="28">
        <f>IF(OR(B35="",N(F35)=0),"",(F35-E35)/F35)</f>
        <v/>
      </c>
      <c r="M35" s="29">
        <f>IF(B35="","",IF(K35&lt;=0,"Out of stock",IF(K35&lt;=H35,"Reorder now","OK")))</f>
        <v/>
      </c>
      <c r="N35" s="1" t="n"/>
    </row>
    <row r="36">
      <c r="A36" s="1" t="n"/>
      <c r="B36" s="23" t="n"/>
      <c r="C36" s="24" t="n"/>
      <c r="D36" s="24" t="n"/>
      <c r="E36" s="25" t="n"/>
      <c r="F36" s="25" t="n"/>
      <c r="G36" s="26" t="n"/>
      <c r="H36" s="26" t="n"/>
      <c r="I36" s="18">
        <f>IF(B36="","",SUMIFS('Stock Moves'!$E$6:$E$2005,'Stock Moves'!$C$6:$C$2005,B36,'Stock Moves'!$D$6:$D$2005,"Purchase")+SUMIFS('Stock Moves'!$E$6:$E$2005,'Stock Moves'!$C$6:$C$2005,B36,'Stock Moves'!$D$6:$D$2005,"Return")+SUMIFS('Stock Moves'!$E$6:$E$2005,'Stock Moves'!$C$6:$C$2005,B36,'Stock Moves'!$D$6:$D$2005,"Adjustment"))</f>
        <v/>
      </c>
      <c r="J36" s="18">
        <f>IF(B36="","",SUMIFS('Stock Moves'!$E$6:$E$2005,'Stock Moves'!$C$6:$C$2005,B36,'Stock Moves'!$D$6:$D$2005,"Sale"))</f>
        <v/>
      </c>
      <c r="K36" s="27">
        <f>IF(B36="","",G36+I36-J36)</f>
        <v/>
      </c>
      <c r="L36" s="28">
        <f>IF(OR(B36="",N(F36)=0),"",(F36-E36)/F36)</f>
        <v/>
      </c>
      <c r="M36" s="29">
        <f>IF(B36="","",IF(K36&lt;=0,"Out of stock",IF(K36&lt;=H36,"Reorder now","OK")))</f>
        <v/>
      </c>
      <c r="N36" s="1" t="n"/>
    </row>
    <row r="37">
      <c r="A37" s="1" t="n"/>
      <c r="B37" s="23" t="n"/>
      <c r="C37" s="24" t="n"/>
      <c r="D37" s="24" t="n"/>
      <c r="E37" s="25" t="n"/>
      <c r="F37" s="25" t="n"/>
      <c r="G37" s="26" t="n"/>
      <c r="H37" s="26" t="n"/>
      <c r="I37" s="18">
        <f>IF(B37="","",SUMIFS('Stock Moves'!$E$6:$E$2005,'Stock Moves'!$C$6:$C$2005,B37,'Stock Moves'!$D$6:$D$2005,"Purchase")+SUMIFS('Stock Moves'!$E$6:$E$2005,'Stock Moves'!$C$6:$C$2005,B37,'Stock Moves'!$D$6:$D$2005,"Return")+SUMIFS('Stock Moves'!$E$6:$E$2005,'Stock Moves'!$C$6:$C$2005,B37,'Stock Moves'!$D$6:$D$2005,"Adjustment"))</f>
        <v/>
      </c>
      <c r="J37" s="18">
        <f>IF(B37="","",SUMIFS('Stock Moves'!$E$6:$E$2005,'Stock Moves'!$C$6:$C$2005,B37,'Stock Moves'!$D$6:$D$2005,"Sale"))</f>
        <v/>
      </c>
      <c r="K37" s="27">
        <f>IF(B37="","",G37+I37-J37)</f>
        <v/>
      </c>
      <c r="L37" s="28">
        <f>IF(OR(B37="",N(F37)=0),"",(F37-E37)/F37)</f>
        <v/>
      </c>
      <c r="M37" s="29">
        <f>IF(B37="","",IF(K37&lt;=0,"Out of stock",IF(K37&lt;=H37,"Reorder now","OK")))</f>
        <v/>
      </c>
      <c r="N37" s="1" t="n"/>
    </row>
    <row r="38">
      <c r="A38" s="1" t="n"/>
      <c r="B38" s="23" t="n"/>
      <c r="C38" s="24" t="n"/>
      <c r="D38" s="24" t="n"/>
      <c r="E38" s="25" t="n"/>
      <c r="F38" s="25" t="n"/>
      <c r="G38" s="26" t="n"/>
      <c r="H38" s="26" t="n"/>
      <c r="I38" s="18">
        <f>IF(B38="","",SUMIFS('Stock Moves'!$E$6:$E$2005,'Stock Moves'!$C$6:$C$2005,B38,'Stock Moves'!$D$6:$D$2005,"Purchase")+SUMIFS('Stock Moves'!$E$6:$E$2005,'Stock Moves'!$C$6:$C$2005,B38,'Stock Moves'!$D$6:$D$2005,"Return")+SUMIFS('Stock Moves'!$E$6:$E$2005,'Stock Moves'!$C$6:$C$2005,B38,'Stock Moves'!$D$6:$D$2005,"Adjustment"))</f>
        <v/>
      </c>
      <c r="J38" s="18">
        <f>IF(B38="","",SUMIFS('Stock Moves'!$E$6:$E$2005,'Stock Moves'!$C$6:$C$2005,B38,'Stock Moves'!$D$6:$D$2005,"Sale"))</f>
        <v/>
      </c>
      <c r="K38" s="27">
        <f>IF(B38="","",G38+I38-J38)</f>
        <v/>
      </c>
      <c r="L38" s="28">
        <f>IF(OR(B38="",N(F38)=0),"",(F38-E38)/F38)</f>
        <v/>
      </c>
      <c r="M38" s="29">
        <f>IF(B38="","",IF(K38&lt;=0,"Out of stock",IF(K38&lt;=H38,"Reorder now","OK")))</f>
        <v/>
      </c>
      <c r="N38" s="1" t="n"/>
    </row>
    <row r="39">
      <c r="A39" s="1" t="n"/>
      <c r="B39" s="23" t="n"/>
      <c r="C39" s="24" t="n"/>
      <c r="D39" s="24" t="n"/>
      <c r="E39" s="25" t="n"/>
      <c r="F39" s="25" t="n"/>
      <c r="G39" s="26" t="n"/>
      <c r="H39" s="26" t="n"/>
      <c r="I39" s="18">
        <f>IF(B39="","",SUMIFS('Stock Moves'!$E$6:$E$2005,'Stock Moves'!$C$6:$C$2005,B39,'Stock Moves'!$D$6:$D$2005,"Purchase")+SUMIFS('Stock Moves'!$E$6:$E$2005,'Stock Moves'!$C$6:$C$2005,B39,'Stock Moves'!$D$6:$D$2005,"Return")+SUMIFS('Stock Moves'!$E$6:$E$2005,'Stock Moves'!$C$6:$C$2005,B39,'Stock Moves'!$D$6:$D$2005,"Adjustment"))</f>
        <v/>
      </c>
      <c r="J39" s="18">
        <f>IF(B39="","",SUMIFS('Stock Moves'!$E$6:$E$2005,'Stock Moves'!$C$6:$C$2005,B39,'Stock Moves'!$D$6:$D$2005,"Sale"))</f>
        <v/>
      </c>
      <c r="K39" s="27">
        <f>IF(B39="","",G39+I39-J39)</f>
        <v/>
      </c>
      <c r="L39" s="28">
        <f>IF(OR(B39="",N(F39)=0),"",(F39-E39)/F39)</f>
        <v/>
      </c>
      <c r="M39" s="29">
        <f>IF(B39="","",IF(K39&lt;=0,"Out of stock",IF(K39&lt;=H39,"Reorder now","OK")))</f>
        <v/>
      </c>
      <c r="N39" s="1" t="n"/>
    </row>
    <row r="40">
      <c r="A40" s="1" t="n"/>
      <c r="B40" s="23" t="n"/>
      <c r="C40" s="24" t="n"/>
      <c r="D40" s="24" t="n"/>
      <c r="E40" s="25" t="n"/>
      <c r="F40" s="25" t="n"/>
      <c r="G40" s="26" t="n"/>
      <c r="H40" s="26" t="n"/>
      <c r="I40" s="18">
        <f>IF(B40="","",SUMIFS('Stock Moves'!$E$6:$E$2005,'Stock Moves'!$C$6:$C$2005,B40,'Stock Moves'!$D$6:$D$2005,"Purchase")+SUMIFS('Stock Moves'!$E$6:$E$2005,'Stock Moves'!$C$6:$C$2005,B40,'Stock Moves'!$D$6:$D$2005,"Return")+SUMIFS('Stock Moves'!$E$6:$E$2005,'Stock Moves'!$C$6:$C$2005,B40,'Stock Moves'!$D$6:$D$2005,"Adjustment"))</f>
        <v/>
      </c>
      <c r="J40" s="18">
        <f>IF(B40="","",SUMIFS('Stock Moves'!$E$6:$E$2005,'Stock Moves'!$C$6:$C$2005,B40,'Stock Moves'!$D$6:$D$2005,"Sale"))</f>
        <v/>
      </c>
      <c r="K40" s="27">
        <f>IF(B40="","",G40+I40-J40)</f>
        <v/>
      </c>
      <c r="L40" s="28">
        <f>IF(OR(B40="",N(F40)=0),"",(F40-E40)/F40)</f>
        <v/>
      </c>
      <c r="M40" s="29">
        <f>IF(B40="","",IF(K40&lt;=0,"Out of stock",IF(K40&lt;=H40,"Reorder now","OK")))</f>
        <v/>
      </c>
      <c r="N40" s="1" t="n"/>
    </row>
    <row r="41">
      <c r="A41" s="1" t="n"/>
      <c r="B41" s="23" t="n"/>
      <c r="C41" s="24" t="n"/>
      <c r="D41" s="24" t="n"/>
      <c r="E41" s="25" t="n"/>
      <c r="F41" s="25" t="n"/>
      <c r="G41" s="26" t="n"/>
      <c r="H41" s="26" t="n"/>
      <c r="I41" s="18">
        <f>IF(B41="","",SUMIFS('Stock Moves'!$E$6:$E$2005,'Stock Moves'!$C$6:$C$2005,B41,'Stock Moves'!$D$6:$D$2005,"Purchase")+SUMIFS('Stock Moves'!$E$6:$E$2005,'Stock Moves'!$C$6:$C$2005,B41,'Stock Moves'!$D$6:$D$2005,"Return")+SUMIFS('Stock Moves'!$E$6:$E$2005,'Stock Moves'!$C$6:$C$2005,B41,'Stock Moves'!$D$6:$D$2005,"Adjustment"))</f>
        <v/>
      </c>
      <c r="J41" s="18">
        <f>IF(B41="","",SUMIFS('Stock Moves'!$E$6:$E$2005,'Stock Moves'!$C$6:$C$2005,B41,'Stock Moves'!$D$6:$D$2005,"Sale"))</f>
        <v/>
      </c>
      <c r="K41" s="27">
        <f>IF(B41="","",G41+I41-J41)</f>
        <v/>
      </c>
      <c r="L41" s="28">
        <f>IF(OR(B41="",N(F41)=0),"",(F41-E41)/F41)</f>
        <v/>
      </c>
      <c r="M41" s="29">
        <f>IF(B41="","",IF(K41&lt;=0,"Out of stock",IF(K41&lt;=H41,"Reorder now","OK")))</f>
        <v/>
      </c>
      <c r="N41" s="1" t="n"/>
    </row>
    <row r="42">
      <c r="A42" s="1" t="n"/>
      <c r="B42" s="23" t="n"/>
      <c r="C42" s="24" t="n"/>
      <c r="D42" s="24" t="n"/>
      <c r="E42" s="25" t="n"/>
      <c r="F42" s="25" t="n"/>
      <c r="G42" s="26" t="n"/>
      <c r="H42" s="26" t="n"/>
      <c r="I42" s="18">
        <f>IF(B42="","",SUMIFS('Stock Moves'!$E$6:$E$2005,'Stock Moves'!$C$6:$C$2005,B42,'Stock Moves'!$D$6:$D$2005,"Purchase")+SUMIFS('Stock Moves'!$E$6:$E$2005,'Stock Moves'!$C$6:$C$2005,B42,'Stock Moves'!$D$6:$D$2005,"Return")+SUMIFS('Stock Moves'!$E$6:$E$2005,'Stock Moves'!$C$6:$C$2005,B42,'Stock Moves'!$D$6:$D$2005,"Adjustment"))</f>
        <v/>
      </c>
      <c r="J42" s="18">
        <f>IF(B42="","",SUMIFS('Stock Moves'!$E$6:$E$2005,'Stock Moves'!$C$6:$C$2005,B42,'Stock Moves'!$D$6:$D$2005,"Sale"))</f>
        <v/>
      </c>
      <c r="K42" s="27">
        <f>IF(B42="","",G42+I42-J42)</f>
        <v/>
      </c>
      <c r="L42" s="28">
        <f>IF(OR(B42="",N(F42)=0),"",(F42-E42)/F42)</f>
        <v/>
      </c>
      <c r="M42" s="29">
        <f>IF(B42="","",IF(K42&lt;=0,"Out of stock",IF(K42&lt;=H42,"Reorder now","OK")))</f>
        <v/>
      </c>
      <c r="N42" s="1" t="n"/>
    </row>
    <row r="43">
      <c r="A43" s="1" t="n"/>
      <c r="B43" s="23" t="n"/>
      <c r="C43" s="24" t="n"/>
      <c r="D43" s="24" t="n"/>
      <c r="E43" s="25" t="n"/>
      <c r="F43" s="25" t="n"/>
      <c r="G43" s="26" t="n"/>
      <c r="H43" s="26" t="n"/>
      <c r="I43" s="18">
        <f>IF(B43="","",SUMIFS('Stock Moves'!$E$6:$E$2005,'Stock Moves'!$C$6:$C$2005,B43,'Stock Moves'!$D$6:$D$2005,"Purchase")+SUMIFS('Stock Moves'!$E$6:$E$2005,'Stock Moves'!$C$6:$C$2005,B43,'Stock Moves'!$D$6:$D$2005,"Return")+SUMIFS('Stock Moves'!$E$6:$E$2005,'Stock Moves'!$C$6:$C$2005,B43,'Stock Moves'!$D$6:$D$2005,"Adjustment"))</f>
        <v/>
      </c>
      <c r="J43" s="18">
        <f>IF(B43="","",SUMIFS('Stock Moves'!$E$6:$E$2005,'Stock Moves'!$C$6:$C$2005,B43,'Stock Moves'!$D$6:$D$2005,"Sale"))</f>
        <v/>
      </c>
      <c r="K43" s="27">
        <f>IF(B43="","",G43+I43-J43)</f>
        <v/>
      </c>
      <c r="L43" s="28">
        <f>IF(OR(B43="",N(F43)=0),"",(F43-E43)/F43)</f>
        <v/>
      </c>
      <c r="M43" s="29">
        <f>IF(B43="","",IF(K43&lt;=0,"Out of stock",IF(K43&lt;=H43,"Reorder now","OK")))</f>
        <v/>
      </c>
      <c r="N43" s="1" t="n"/>
    </row>
    <row r="44">
      <c r="A44" s="1" t="n"/>
      <c r="B44" s="23" t="n"/>
      <c r="C44" s="24" t="n"/>
      <c r="D44" s="24" t="n"/>
      <c r="E44" s="25" t="n"/>
      <c r="F44" s="25" t="n"/>
      <c r="G44" s="26" t="n"/>
      <c r="H44" s="26" t="n"/>
      <c r="I44" s="18">
        <f>IF(B44="","",SUMIFS('Stock Moves'!$E$6:$E$2005,'Stock Moves'!$C$6:$C$2005,B44,'Stock Moves'!$D$6:$D$2005,"Purchase")+SUMIFS('Stock Moves'!$E$6:$E$2005,'Stock Moves'!$C$6:$C$2005,B44,'Stock Moves'!$D$6:$D$2005,"Return")+SUMIFS('Stock Moves'!$E$6:$E$2005,'Stock Moves'!$C$6:$C$2005,B44,'Stock Moves'!$D$6:$D$2005,"Adjustment"))</f>
        <v/>
      </c>
      <c r="J44" s="18">
        <f>IF(B44="","",SUMIFS('Stock Moves'!$E$6:$E$2005,'Stock Moves'!$C$6:$C$2005,B44,'Stock Moves'!$D$6:$D$2005,"Sale"))</f>
        <v/>
      </c>
      <c r="K44" s="27">
        <f>IF(B44="","",G44+I44-J44)</f>
        <v/>
      </c>
      <c r="L44" s="28">
        <f>IF(OR(B44="",N(F44)=0),"",(F44-E44)/F44)</f>
        <v/>
      </c>
      <c r="M44" s="29">
        <f>IF(B44="","",IF(K44&lt;=0,"Out of stock",IF(K44&lt;=H44,"Reorder now","OK")))</f>
        <v/>
      </c>
      <c r="N44" s="1" t="n"/>
    </row>
    <row r="45">
      <c r="A45" s="1" t="n"/>
      <c r="B45" s="23" t="n"/>
      <c r="C45" s="24" t="n"/>
      <c r="D45" s="24" t="n"/>
      <c r="E45" s="25" t="n"/>
      <c r="F45" s="25" t="n"/>
      <c r="G45" s="26" t="n"/>
      <c r="H45" s="26" t="n"/>
      <c r="I45" s="18">
        <f>IF(B45="","",SUMIFS('Stock Moves'!$E$6:$E$2005,'Stock Moves'!$C$6:$C$2005,B45,'Stock Moves'!$D$6:$D$2005,"Purchase")+SUMIFS('Stock Moves'!$E$6:$E$2005,'Stock Moves'!$C$6:$C$2005,B45,'Stock Moves'!$D$6:$D$2005,"Return")+SUMIFS('Stock Moves'!$E$6:$E$2005,'Stock Moves'!$C$6:$C$2005,B45,'Stock Moves'!$D$6:$D$2005,"Adjustment"))</f>
        <v/>
      </c>
      <c r="J45" s="18">
        <f>IF(B45="","",SUMIFS('Stock Moves'!$E$6:$E$2005,'Stock Moves'!$C$6:$C$2005,B45,'Stock Moves'!$D$6:$D$2005,"Sale"))</f>
        <v/>
      </c>
      <c r="K45" s="27">
        <f>IF(B45="","",G45+I45-J45)</f>
        <v/>
      </c>
      <c r="L45" s="28">
        <f>IF(OR(B45="",N(F45)=0),"",(F45-E45)/F45)</f>
        <v/>
      </c>
      <c r="M45" s="29">
        <f>IF(B45="","",IF(K45&lt;=0,"Out of stock",IF(K45&lt;=H45,"Reorder now","OK")))</f>
        <v/>
      </c>
      <c r="N45" s="1" t="n"/>
    </row>
    <row r="46">
      <c r="A46" s="1" t="n"/>
      <c r="B46" s="23" t="n"/>
      <c r="C46" s="24" t="n"/>
      <c r="D46" s="24" t="n"/>
      <c r="E46" s="25" t="n"/>
      <c r="F46" s="25" t="n"/>
      <c r="G46" s="26" t="n"/>
      <c r="H46" s="26" t="n"/>
      <c r="I46" s="18">
        <f>IF(B46="","",SUMIFS('Stock Moves'!$E$6:$E$2005,'Stock Moves'!$C$6:$C$2005,B46,'Stock Moves'!$D$6:$D$2005,"Purchase")+SUMIFS('Stock Moves'!$E$6:$E$2005,'Stock Moves'!$C$6:$C$2005,B46,'Stock Moves'!$D$6:$D$2005,"Return")+SUMIFS('Stock Moves'!$E$6:$E$2005,'Stock Moves'!$C$6:$C$2005,B46,'Stock Moves'!$D$6:$D$2005,"Adjustment"))</f>
        <v/>
      </c>
      <c r="J46" s="18">
        <f>IF(B46="","",SUMIFS('Stock Moves'!$E$6:$E$2005,'Stock Moves'!$C$6:$C$2005,B46,'Stock Moves'!$D$6:$D$2005,"Sale"))</f>
        <v/>
      </c>
      <c r="K46" s="27">
        <f>IF(B46="","",G46+I46-J46)</f>
        <v/>
      </c>
      <c r="L46" s="28">
        <f>IF(OR(B46="",N(F46)=0),"",(F46-E46)/F46)</f>
        <v/>
      </c>
      <c r="M46" s="29">
        <f>IF(B46="","",IF(K46&lt;=0,"Out of stock",IF(K46&lt;=H46,"Reorder now","OK")))</f>
        <v/>
      </c>
      <c r="N46" s="1" t="n"/>
    </row>
    <row r="47">
      <c r="A47" s="1" t="n"/>
      <c r="B47" s="23" t="n"/>
      <c r="C47" s="24" t="n"/>
      <c r="D47" s="24" t="n"/>
      <c r="E47" s="25" t="n"/>
      <c r="F47" s="25" t="n"/>
      <c r="G47" s="26" t="n"/>
      <c r="H47" s="26" t="n"/>
      <c r="I47" s="18">
        <f>IF(B47="","",SUMIFS('Stock Moves'!$E$6:$E$2005,'Stock Moves'!$C$6:$C$2005,B47,'Stock Moves'!$D$6:$D$2005,"Purchase")+SUMIFS('Stock Moves'!$E$6:$E$2005,'Stock Moves'!$C$6:$C$2005,B47,'Stock Moves'!$D$6:$D$2005,"Return")+SUMIFS('Stock Moves'!$E$6:$E$2005,'Stock Moves'!$C$6:$C$2005,B47,'Stock Moves'!$D$6:$D$2005,"Adjustment"))</f>
        <v/>
      </c>
      <c r="J47" s="18">
        <f>IF(B47="","",SUMIFS('Stock Moves'!$E$6:$E$2005,'Stock Moves'!$C$6:$C$2005,B47,'Stock Moves'!$D$6:$D$2005,"Sale"))</f>
        <v/>
      </c>
      <c r="K47" s="27">
        <f>IF(B47="","",G47+I47-J47)</f>
        <v/>
      </c>
      <c r="L47" s="28">
        <f>IF(OR(B47="",N(F47)=0),"",(F47-E47)/F47)</f>
        <v/>
      </c>
      <c r="M47" s="29">
        <f>IF(B47="","",IF(K47&lt;=0,"Out of stock",IF(K47&lt;=H47,"Reorder now","OK")))</f>
        <v/>
      </c>
      <c r="N47" s="1" t="n"/>
    </row>
    <row r="48">
      <c r="A48" s="1" t="n"/>
      <c r="B48" s="23" t="n"/>
      <c r="C48" s="24" t="n"/>
      <c r="D48" s="24" t="n"/>
      <c r="E48" s="25" t="n"/>
      <c r="F48" s="25" t="n"/>
      <c r="G48" s="26" t="n"/>
      <c r="H48" s="26" t="n"/>
      <c r="I48" s="18">
        <f>IF(B48="","",SUMIFS('Stock Moves'!$E$6:$E$2005,'Stock Moves'!$C$6:$C$2005,B48,'Stock Moves'!$D$6:$D$2005,"Purchase")+SUMIFS('Stock Moves'!$E$6:$E$2005,'Stock Moves'!$C$6:$C$2005,B48,'Stock Moves'!$D$6:$D$2005,"Return")+SUMIFS('Stock Moves'!$E$6:$E$2005,'Stock Moves'!$C$6:$C$2005,B48,'Stock Moves'!$D$6:$D$2005,"Adjustment"))</f>
        <v/>
      </c>
      <c r="J48" s="18">
        <f>IF(B48="","",SUMIFS('Stock Moves'!$E$6:$E$2005,'Stock Moves'!$C$6:$C$2005,B48,'Stock Moves'!$D$6:$D$2005,"Sale"))</f>
        <v/>
      </c>
      <c r="K48" s="27">
        <f>IF(B48="","",G48+I48-J48)</f>
        <v/>
      </c>
      <c r="L48" s="28">
        <f>IF(OR(B48="",N(F48)=0),"",(F48-E48)/F48)</f>
        <v/>
      </c>
      <c r="M48" s="29">
        <f>IF(B48="","",IF(K48&lt;=0,"Out of stock",IF(K48&lt;=H48,"Reorder now","OK")))</f>
        <v/>
      </c>
      <c r="N48" s="1" t="n"/>
    </row>
    <row r="49">
      <c r="A49" s="1" t="n"/>
      <c r="B49" s="23" t="n"/>
      <c r="C49" s="24" t="n"/>
      <c r="D49" s="24" t="n"/>
      <c r="E49" s="25" t="n"/>
      <c r="F49" s="25" t="n"/>
      <c r="G49" s="26" t="n"/>
      <c r="H49" s="26" t="n"/>
      <c r="I49" s="18">
        <f>IF(B49="","",SUMIFS('Stock Moves'!$E$6:$E$2005,'Stock Moves'!$C$6:$C$2005,B49,'Stock Moves'!$D$6:$D$2005,"Purchase")+SUMIFS('Stock Moves'!$E$6:$E$2005,'Stock Moves'!$C$6:$C$2005,B49,'Stock Moves'!$D$6:$D$2005,"Return")+SUMIFS('Stock Moves'!$E$6:$E$2005,'Stock Moves'!$C$6:$C$2005,B49,'Stock Moves'!$D$6:$D$2005,"Adjustment"))</f>
        <v/>
      </c>
      <c r="J49" s="18">
        <f>IF(B49="","",SUMIFS('Stock Moves'!$E$6:$E$2005,'Stock Moves'!$C$6:$C$2005,B49,'Stock Moves'!$D$6:$D$2005,"Sale"))</f>
        <v/>
      </c>
      <c r="K49" s="27">
        <f>IF(B49="","",G49+I49-J49)</f>
        <v/>
      </c>
      <c r="L49" s="28">
        <f>IF(OR(B49="",N(F49)=0),"",(F49-E49)/F49)</f>
        <v/>
      </c>
      <c r="M49" s="29">
        <f>IF(B49="","",IF(K49&lt;=0,"Out of stock",IF(K49&lt;=H49,"Reorder now","OK")))</f>
        <v/>
      </c>
      <c r="N49" s="1" t="n"/>
    </row>
    <row r="50">
      <c r="A50" s="1" t="n"/>
      <c r="B50" s="23" t="n"/>
      <c r="C50" s="24" t="n"/>
      <c r="D50" s="24" t="n"/>
      <c r="E50" s="25" t="n"/>
      <c r="F50" s="25" t="n"/>
      <c r="G50" s="26" t="n"/>
      <c r="H50" s="26" t="n"/>
      <c r="I50" s="18">
        <f>IF(B50="","",SUMIFS('Stock Moves'!$E$6:$E$2005,'Stock Moves'!$C$6:$C$2005,B50,'Stock Moves'!$D$6:$D$2005,"Purchase")+SUMIFS('Stock Moves'!$E$6:$E$2005,'Stock Moves'!$C$6:$C$2005,B50,'Stock Moves'!$D$6:$D$2005,"Return")+SUMIFS('Stock Moves'!$E$6:$E$2005,'Stock Moves'!$C$6:$C$2005,B50,'Stock Moves'!$D$6:$D$2005,"Adjustment"))</f>
        <v/>
      </c>
      <c r="J50" s="18">
        <f>IF(B50="","",SUMIFS('Stock Moves'!$E$6:$E$2005,'Stock Moves'!$C$6:$C$2005,B50,'Stock Moves'!$D$6:$D$2005,"Sale"))</f>
        <v/>
      </c>
      <c r="K50" s="27">
        <f>IF(B50="","",G50+I50-J50)</f>
        <v/>
      </c>
      <c r="L50" s="28">
        <f>IF(OR(B50="",N(F50)=0),"",(F50-E50)/F50)</f>
        <v/>
      </c>
      <c r="M50" s="29">
        <f>IF(B50="","",IF(K50&lt;=0,"Out of stock",IF(K50&lt;=H50,"Reorder now","OK")))</f>
        <v/>
      </c>
      <c r="N50" s="1" t="n"/>
    </row>
    <row r="51">
      <c r="A51" s="1" t="n"/>
      <c r="B51" s="23" t="n"/>
      <c r="C51" s="24" t="n"/>
      <c r="D51" s="24" t="n"/>
      <c r="E51" s="25" t="n"/>
      <c r="F51" s="25" t="n"/>
      <c r="G51" s="26" t="n"/>
      <c r="H51" s="26" t="n"/>
      <c r="I51" s="18">
        <f>IF(B51="","",SUMIFS('Stock Moves'!$E$6:$E$2005,'Stock Moves'!$C$6:$C$2005,B51,'Stock Moves'!$D$6:$D$2005,"Purchase")+SUMIFS('Stock Moves'!$E$6:$E$2005,'Stock Moves'!$C$6:$C$2005,B51,'Stock Moves'!$D$6:$D$2005,"Return")+SUMIFS('Stock Moves'!$E$6:$E$2005,'Stock Moves'!$C$6:$C$2005,B51,'Stock Moves'!$D$6:$D$2005,"Adjustment"))</f>
        <v/>
      </c>
      <c r="J51" s="18">
        <f>IF(B51="","",SUMIFS('Stock Moves'!$E$6:$E$2005,'Stock Moves'!$C$6:$C$2005,B51,'Stock Moves'!$D$6:$D$2005,"Sale"))</f>
        <v/>
      </c>
      <c r="K51" s="27">
        <f>IF(B51="","",G51+I51-J51)</f>
        <v/>
      </c>
      <c r="L51" s="28">
        <f>IF(OR(B51="",N(F51)=0),"",(F51-E51)/F51)</f>
        <v/>
      </c>
      <c r="M51" s="29">
        <f>IF(B51="","",IF(K51&lt;=0,"Out of stock",IF(K51&lt;=H51,"Reorder now","OK")))</f>
        <v/>
      </c>
      <c r="N51" s="1" t="n"/>
    </row>
    <row r="52">
      <c r="A52" s="1" t="n"/>
      <c r="B52" s="23" t="n"/>
      <c r="C52" s="24" t="n"/>
      <c r="D52" s="24" t="n"/>
      <c r="E52" s="25" t="n"/>
      <c r="F52" s="25" t="n"/>
      <c r="G52" s="26" t="n"/>
      <c r="H52" s="26" t="n"/>
      <c r="I52" s="18">
        <f>IF(B52="","",SUMIFS('Stock Moves'!$E$6:$E$2005,'Stock Moves'!$C$6:$C$2005,B52,'Stock Moves'!$D$6:$D$2005,"Purchase")+SUMIFS('Stock Moves'!$E$6:$E$2005,'Stock Moves'!$C$6:$C$2005,B52,'Stock Moves'!$D$6:$D$2005,"Return")+SUMIFS('Stock Moves'!$E$6:$E$2005,'Stock Moves'!$C$6:$C$2005,B52,'Stock Moves'!$D$6:$D$2005,"Adjustment"))</f>
        <v/>
      </c>
      <c r="J52" s="18">
        <f>IF(B52="","",SUMIFS('Stock Moves'!$E$6:$E$2005,'Stock Moves'!$C$6:$C$2005,B52,'Stock Moves'!$D$6:$D$2005,"Sale"))</f>
        <v/>
      </c>
      <c r="K52" s="27">
        <f>IF(B52="","",G52+I52-J52)</f>
        <v/>
      </c>
      <c r="L52" s="28">
        <f>IF(OR(B52="",N(F52)=0),"",(F52-E52)/F52)</f>
        <v/>
      </c>
      <c r="M52" s="29">
        <f>IF(B52="","",IF(K52&lt;=0,"Out of stock",IF(K52&lt;=H52,"Reorder now","OK")))</f>
        <v/>
      </c>
      <c r="N52" s="1" t="n"/>
    </row>
    <row r="53">
      <c r="A53" s="1" t="n"/>
      <c r="B53" s="23" t="n"/>
      <c r="C53" s="24" t="n"/>
      <c r="D53" s="24" t="n"/>
      <c r="E53" s="25" t="n"/>
      <c r="F53" s="25" t="n"/>
      <c r="G53" s="26" t="n"/>
      <c r="H53" s="26" t="n"/>
      <c r="I53" s="18">
        <f>IF(B53="","",SUMIFS('Stock Moves'!$E$6:$E$2005,'Stock Moves'!$C$6:$C$2005,B53,'Stock Moves'!$D$6:$D$2005,"Purchase")+SUMIFS('Stock Moves'!$E$6:$E$2005,'Stock Moves'!$C$6:$C$2005,B53,'Stock Moves'!$D$6:$D$2005,"Return")+SUMIFS('Stock Moves'!$E$6:$E$2005,'Stock Moves'!$C$6:$C$2005,B53,'Stock Moves'!$D$6:$D$2005,"Adjustment"))</f>
        <v/>
      </c>
      <c r="J53" s="18">
        <f>IF(B53="","",SUMIFS('Stock Moves'!$E$6:$E$2005,'Stock Moves'!$C$6:$C$2005,B53,'Stock Moves'!$D$6:$D$2005,"Sale"))</f>
        <v/>
      </c>
      <c r="K53" s="27">
        <f>IF(B53="","",G53+I53-J53)</f>
        <v/>
      </c>
      <c r="L53" s="28">
        <f>IF(OR(B53="",N(F53)=0),"",(F53-E53)/F53)</f>
        <v/>
      </c>
      <c r="M53" s="29">
        <f>IF(B53="","",IF(K53&lt;=0,"Out of stock",IF(K53&lt;=H53,"Reorder now","OK")))</f>
        <v/>
      </c>
      <c r="N53" s="1" t="n"/>
    </row>
    <row r="54">
      <c r="A54" s="1" t="n"/>
      <c r="B54" s="23" t="n"/>
      <c r="C54" s="24" t="n"/>
      <c r="D54" s="24" t="n"/>
      <c r="E54" s="25" t="n"/>
      <c r="F54" s="25" t="n"/>
      <c r="G54" s="26" t="n"/>
      <c r="H54" s="26" t="n"/>
      <c r="I54" s="18">
        <f>IF(B54="","",SUMIFS('Stock Moves'!$E$6:$E$2005,'Stock Moves'!$C$6:$C$2005,B54,'Stock Moves'!$D$6:$D$2005,"Purchase")+SUMIFS('Stock Moves'!$E$6:$E$2005,'Stock Moves'!$C$6:$C$2005,B54,'Stock Moves'!$D$6:$D$2005,"Return")+SUMIFS('Stock Moves'!$E$6:$E$2005,'Stock Moves'!$C$6:$C$2005,B54,'Stock Moves'!$D$6:$D$2005,"Adjustment"))</f>
        <v/>
      </c>
      <c r="J54" s="18">
        <f>IF(B54="","",SUMIFS('Stock Moves'!$E$6:$E$2005,'Stock Moves'!$C$6:$C$2005,B54,'Stock Moves'!$D$6:$D$2005,"Sale"))</f>
        <v/>
      </c>
      <c r="K54" s="27">
        <f>IF(B54="","",G54+I54-J54)</f>
        <v/>
      </c>
      <c r="L54" s="28">
        <f>IF(OR(B54="",N(F54)=0),"",(F54-E54)/F54)</f>
        <v/>
      </c>
      <c r="M54" s="29">
        <f>IF(B54="","",IF(K54&lt;=0,"Out of stock",IF(K54&lt;=H54,"Reorder now","OK")))</f>
        <v/>
      </c>
      <c r="N54" s="1" t="n"/>
    </row>
    <row r="55">
      <c r="A55" s="1" t="n"/>
      <c r="B55" s="23" t="n"/>
      <c r="C55" s="24" t="n"/>
      <c r="D55" s="24" t="n"/>
      <c r="E55" s="25" t="n"/>
      <c r="F55" s="25" t="n"/>
      <c r="G55" s="26" t="n"/>
      <c r="H55" s="26" t="n"/>
      <c r="I55" s="18">
        <f>IF(B55="","",SUMIFS('Stock Moves'!$E$6:$E$2005,'Stock Moves'!$C$6:$C$2005,B55,'Stock Moves'!$D$6:$D$2005,"Purchase")+SUMIFS('Stock Moves'!$E$6:$E$2005,'Stock Moves'!$C$6:$C$2005,B55,'Stock Moves'!$D$6:$D$2005,"Return")+SUMIFS('Stock Moves'!$E$6:$E$2005,'Stock Moves'!$C$6:$C$2005,B55,'Stock Moves'!$D$6:$D$2005,"Adjustment"))</f>
        <v/>
      </c>
      <c r="J55" s="18">
        <f>IF(B55="","",SUMIFS('Stock Moves'!$E$6:$E$2005,'Stock Moves'!$C$6:$C$2005,B55,'Stock Moves'!$D$6:$D$2005,"Sale"))</f>
        <v/>
      </c>
      <c r="K55" s="27">
        <f>IF(B55="","",G55+I55-J55)</f>
        <v/>
      </c>
      <c r="L55" s="28">
        <f>IF(OR(B55="",N(F55)=0),"",(F55-E55)/F55)</f>
        <v/>
      </c>
      <c r="M55" s="29">
        <f>IF(B55="","",IF(K55&lt;=0,"Out of stock",IF(K55&lt;=H55,"Reorder now","OK")))</f>
        <v/>
      </c>
      <c r="N55" s="1" t="n"/>
    </row>
    <row r="56">
      <c r="A56" s="1" t="n"/>
      <c r="B56" s="23" t="n"/>
      <c r="C56" s="24" t="n"/>
      <c r="D56" s="24" t="n"/>
      <c r="E56" s="25" t="n"/>
      <c r="F56" s="25" t="n"/>
      <c r="G56" s="26" t="n"/>
      <c r="H56" s="26" t="n"/>
      <c r="I56" s="18">
        <f>IF(B56="","",SUMIFS('Stock Moves'!$E$6:$E$2005,'Stock Moves'!$C$6:$C$2005,B56,'Stock Moves'!$D$6:$D$2005,"Purchase")+SUMIFS('Stock Moves'!$E$6:$E$2005,'Stock Moves'!$C$6:$C$2005,B56,'Stock Moves'!$D$6:$D$2005,"Return")+SUMIFS('Stock Moves'!$E$6:$E$2005,'Stock Moves'!$C$6:$C$2005,B56,'Stock Moves'!$D$6:$D$2005,"Adjustment"))</f>
        <v/>
      </c>
      <c r="J56" s="18">
        <f>IF(B56="","",SUMIFS('Stock Moves'!$E$6:$E$2005,'Stock Moves'!$C$6:$C$2005,B56,'Stock Moves'!$D$6:$D$2005,"Sale"))</f>
        <v/>
      </c>
      <c r="K56" s="27">
        <f>IF(B56="","",G56+I56-J56)</f>
        <v/>
      </c>
      <c r="L56" s="28">
        <f>IF(OR(B56="",N(F56)=0),"",(F56-E56)/F56)</f>
        <v/>
      </c>
      <c r="M56" s="29">
        <f>IF(B56="","",IF(K56&lt;=0,"Out of stock",IF(K56&lt;=H56,"Reorder now","OK")))</f>
        <v/>
      </c>
      <c r="N56" s="1" t="n"/>
    </row>
    <row r="57">
      <c r="A57" s="1" t="n"/>
      <c r="B57" s="23" t="n"/>
      <c r="C57" s="24" t="n"/>
      <c r="D57" s="24" t="n"/>
      <c r="E57" s="25" t="n"/>
      <c r="F57" s="25" t="n"/>
      <c r="G57" s="26" t="n"/>
      <c r="H57" s="26" t="n"/>
      <c r="I57" s="18">
        <f>IF(B57="","",SUMIFS('Stock Moves'!$E$6:$E$2005,'Stock Moves'!$C$6:$C$2005,B57,'Stock Moves'!$D$6:$D$2005,"Purchase")+SUMIFS('Stock Moves'!$E$6:$E$2005,'Stock Moves'!$C$6:$C$2005,B57,'Stock Moves'!$D$6:$D$2005,"Return")+SUMIFS('Stock Moves'!$E$6:$E$2005,'Stock Moves'!$C$6:$C$2005,B57,'Stock Moves'!$D$6:$D$2005,"Adjustment"))</f>
        <v/>
      </c>
      <c r="J57" s="18">
        <f>IF(B57="","",SUMIFS('Stock Moves'!$E$6:$E$2005,'Stock Moves'!$C$6:$C$2005,B57,'Stock Moves'!$D$6:$D$2005,"Sale"))</f>
        <v/>
      </c>
      <c r="K57" s="27">
        <f>IF(B57="","",G57+I57-J57)</f>
        <v/>
      </c>
      <c r="L57" s="28">
        <f>IF(OR(B57="",N(F57)=0),"",(F57-E57)/F57)</f>
        <v/>
      </c>
      <c r="M57" s="29">
        <f>IF(B57="","",IF(K57&lt;=0,"Out of stock",IF(K57&lt;=H57,"Reorder now","OK")))</f>
        <v/>
      </c>
      <c r="N57" s="1" t="n"/>
    </row>
    <row r="58">
      <c r="A58" s="1" t="n"/>
      <c r="B58" s="23" t="n"/>
      <c r="C58" s="24" t="n"/>
      <c r="D58" s="24" t="n"/>
      <c r="E58" s="25" t="n"/>
      <c r="F58" s="25" t="n"/>
      <c r="G58" s="26" t="n"/>
      <c r="H58" s="26" t="n"/>
      <c r="I58" s="18">
        <f>IF(B58="","",SUMIFS('Stock Moves'!$E$6:$E$2005,'Stock Moves'!$C$6:$C$2005,B58,'Stock Moves'!$D$6:$D$2005,"Purchase")+SUMIFS('Stock Moves'!$E$6:$E$2005,'Stock Moves'!$C$6:$C$2005,B58,'Stock Moves'!$D$6:$D$2005,"Return")+SUMIFS('Stock Moves'!$E$6:$E$2005,'Stock Moves'!$C$6:$C$2005,B58,'Stock Moves'!$D$6:$D$2005,"Adjustment"))</f>
        <v/>
      </c>
      <c r="J58" s="18">
        <f>IF(B58="","",SUMIFS('Stock Moves'!$E$6:$E$2005,'Stock Moves'!$C$6:$C$2005,B58,'Stock Moves'!$D$6:$D$2005,"Sale"))</f>
        <v/>
      </c>
      <c r="K58" s="27">
        <f>IF(B58="","",G58+I58-J58)</f>
        <v/>
      </c>
      <c r="L58" s="28">
        <f>IF(OR(B58="",N(F58)=0),"",(F58-E58)/F58)</f>
        <v/>
      </c>
      <c r="M58" s="29">
        <f>IF(B58="","",IF(K58&lt;=0,"Out of stock",IF(K58&lt;=H58,"Reorder now","OK")))</f>
        <v/>
      </c>
      <c r="N58" s="1" t="n"/>
    </row>
    <row r="59">
      <c r="A59" s="1" t="n"/>
      <c r="B59" s="23" t="n"/>
      <c r="C59" s="24" t="n"/>
      <c r="D59" s="24" t="n"/>
      <c r="E59" s="25" t="n"/>
      <c r="F59" s="25" t="n"/>
      <c r="G59" s="26" t="n"/>
      <c r="H59" s="26" t="n"/>
      <c r="I59" s="18">
        <f>IF(B59="","",SUMIFS('Stock Moves'!$E$6:$E$2005,'Stock Moves'!$C$6:$C$2005,B59,'Stock Moves'!$D$6:$D$2005,"Purchase")+SUMIFS('Stock Moves'!$E$6:$E$2005,'Stock Moves'!$C$6:$C$2005,B59,'Stock Moves'!$D$6:$D$2005,"Return")+SUMIFS('Stock Moves'!$E$6:$E$2005,'Stock Moves'!$C$6:$C$2005,B59,'Stock Moves'!$D$6:$D$2005,"Adjustment"))</f>
        <v/>
      </c>
      <c r="J59" s="18">
        <f>IF(B59="","",SUMIFS('Stock Moves'!$E$6:$E$2005,'Stock Moves'!$C$6:$C$2005,B59,'Stock Moves'!$D$6:$D$2005,"Sale"))</f>
        <v/>
      </c>
      <c r="K59" s="27">
        <f>IF(B59="","",G59+I59-J59)</f>
        <v/>
      </c>
      <c r="L59" s="28">
        <f>IF(OR(B59="",N(F59)=0),"",(F59-E59)/F59)</f>
        <v/>
      </c>
      <c r="M59" s="29">
        <f>IF(B59="","",IF(K59&lt;=0,"Out of stock",IF(K59&lt;=H59,"Reorder now","OK")))</f>
        <v/>
      </c>
      <c r="N59" s="1" t="n"/>
    </row>
    <row r="60">
      <c r="A60" s="1" t="n"/>
      <c r="B60" s="23" t="n"/>
      <c r="C60" s="24" t="n"/>
      <c r="D60" s="24" t="n"/>
      <c r="E60" s="25" t="n"/>
      <c r="F60" s="25" t="n"/>
      <c r="G60" s="26" t="n"/>
      <c r="H60" s="26" t="n"/>
      <c r="I60" s="18">
        <f>IF(B60="","",SUMIFS('Stock Moves'!$E$6:$E$2005,'Stock Moves'!$C$6:$C$2005,B60,'Stock Moves'!$D$6:$D$2005,"Purchase")+SUMIFS('Stock Moves'!$E$6:$E$2005,'Stock Moves'!$C$6:$C$2005,B60,'Stock Moves'!$D$6:$D$2005,"Return")+SUMIFS('Stock Moves'!$E$6:$E$2005,'Stock Moves'!$C$6:$C$2005,B60,'Stock Moves'!$D$6:$D$2005,"Adjustment"))</f>
        <v/>
      </c>
      <c r="J60" s="18">
        <f>IF(B60="","",SUMIFS('Stock Moves'!$E$6:$E$2005,'Stock Moves'!$C$6:$C$2005,B60,'Stock Moves'!$D$6:$D$2005,"Sale"))</f>
        <v/>
      </c>
      <c r="K60" s="27">
        <f>IF(B60="","",G60+I60-J60)</f>
        <v/>
      </c>
      <c r="L60" s="28">
        <f>IF(OR(B60="",N(F60)=0),"",(F60-E60)/F60)</f>
        <v/>
      </c>
      <c r="M60" s="29">
        <f>IF(B60="","",IF(K60&lt;=0,"Out of stock",IF(K60&lt;=H60,"Reorder now","OK")))</f>
        <v/>
      </c>
      <c r="N60" s="1" t="n"/>
    </row>
    <row r="61">
      <c r="A61" s="1" t="n"/>
      <c r="B61" s="23" t="n"/>
      <c r="C61" s="24" t="n"/>
      <c r="D61" s="24" t="n"/>
      <c r="E61" s="25" t="n"/>
      <c r="F61" s="25" t="n"/>
      <c r="G61" s="26" t="n"/>
      <c r="H61" s="26" t="n"/>
      <c r="I61" s="18">
        <f>IF(B61="","",SUMIFS('Stock Moves'!$E$6:$E$2005,'Stock Moves'!$C$6:$C$2005,B61,'Stock Moves'!$D$6:$D$2005,"Purchase")+SUMIFS('Stock Moves'!$E$6:$E$2005,'Stock Moves'!$C$6:$C$2005,B61,'Stock Moves'!$D$6:$D$2005,"Return")+SUMIFS('Stock Moves'!$E$6:$E$2005,'Stock Moves'!$C$6:$C$2005,B61,'Stock Moves'!$D$6:$D$2005,"Adjustment"))</f>
        <v/>
      </c>
      <c r="J61" s="18">
        <f>IF(B61="","",SUMIFS('Stock Moves'!$E$6:$E$2005,'Stock Moves'!$C$6:$C$2005,B61,'Stock Moves'!$D$6:$D$2005,"Sale"))</f>
        <v/>
      </c>
      <c r="K61" s="27">
        <f>IF(B61="","",G61+I61-J61)</f>
        <v/>
      </c>
      <c r="L61" s="28">
        <f>IF(OR(B61="",N(F61)=0),"",(F61-E61)/F61)</f>
        <v/>
      </c>
      <c r="M61" s="29">
        <f>IF(B61="","",IF(K61&lt;=0,"Out of stock",IF(K61&lt;=H61,"Reorder now","OK")))</f>
        <v/>
      </c>
      <c r="N61" s="1" t="n"/>
    </row>
    <row r="62">
      <c r="A62" s="1" t="n"/>
      <c r="B62" s="23" t="n"/>
      <c r="C62" s="24" t="n"/>
      <c r="D62" s="24" t="n"/>
      <c r="E62" s="25" t="n"/>
      <c r="F62" s="25" t="n"/>
      <c r="G62" s="26" t="n"/>
      <c r="H62" s="26" t="n"/>
      <c r="I62" s="18">
        <f>IF(B62="","",SUMIFS('Stock Moves'!$E$6:$E$2005,'Stock Moves'!$C$6:$C$2005,B62,'Stock Moves'!$D$6:$D$2005,"Purchase")+SUMIFS('Stock Moves'!$E$6:$E$2005,'Stock Moves'!$C$6:$C$2005,B62,'Stock Moves'!$D$6:$D$2005,"Return")+SUMIFS('Stock Moves'!$E$6:$E$2005,'Stock Moves'!$C$6:$C$2005,B62,'Stock Moves'!$D$6:$D$2005,"Adjustment"))</f>
        <v/>
      </c>
      <c r="J62" s="18">
        <f>IF(B62="","",SUMIFS('Stock Moves'!$E$6:$E$2005,'Stock Moves'!$C$6:$C$2005,B62,'Stock Moves'!$D$6:$D$2005,"Sale"))</f>
        <v/>
      </c>
      <c r="K62" s="27">
        <f>IF(B62="","",G62+I62-J62)</f>
        <v/>
      </c>
      <c r="L62" s="28">
        <f>IF(OR(B62="",N(F62)=0),"",(F62-E62)/F62)</f>
        <v/>
      </c>
      <c r="M62" s="29">
        <f>IF(B62="","",IF(K62&lt;=0,"Out of stock",IF(K62&lt;=H62,"Reorder now","OK")))</f>
        <v/>
      </c>
      <c r="N62" s="1" t="n"/>
    </row>
    <row r="63">
      <c r="A63" s="1" t="n"/>
      <c r="B63" s="23" t="n"/>
      <c r="C63" s="24" t="n"/>
      <c r="D63" s="24" t="n"/>
      <c r="E63" s="25" t="n"/>
      <c r="F63" s="25" t="n"/>
      <c r="G63" s="26" t="n"/>
      <c r="H63" s="26" t="n"/>
      <c r="I63" s="18">
        <f>IF(B63="","",SUMIFS('Stock Moves'!$E$6:$E$2005,'Stock Moves'!$C$6:$C$2005,B63,'Stock Moves'!$D$6:$D$2005,"Purchase")+SUMIFS('Stock Moves'!$E$6:$E$2005,'Stock Moves'!$C$6:$C$2005,B63,'Stock Moves'!$D$6:$D$2005,"Return")+SUMIFS('Stock Moves'!$E$6:$E$2005,'Stock Moves'!$C$6:$C$2005,B63,'Stock Moves'!$D$6:$D$2005,"Adjustment"))</f>
        <v/>
      </c>
      <c r="J63" s="18">
        <f>IF(B63="","",SUMIFS('Stock Moves'!$E$6:$E$2005,'Stock Moves'!$C$6:$C$2005,B63,'Stock Moves'!$D$6:$D$2005,"Sale"))</f>
        <v/>
      </c>
      <c r="K63" s="27">
        <f>IF(B63="","",G63+I63-J63)</f>
        <v/>
      </c>
      <c r="L63" s="28">
        <f>IF(OR(B63="",N(F63)=0),"",(F63-E63)/F63)</f>
        <v/>
      </c>
      <c r="M63" s="29">
        <f>IF(B63="","",IF(K63&lt;=0,"Out of stock",IF(K63&lt;=H63,"Reorder now","OK")))</f>
        <v/>
      </c>
      <c r="N63" s="1" t="n"/>
    </row>
    <row r="64">
      <c r="A64" s="1" t="n"/>
      <c r="B64" s="23" t="n"/>
      <c r="C64" s="24" t="n"/>
      <c r="D64" s="24" t="n"/>
      <c r="E64" s="25" t="n"/>
      <c r="F64" s="25" t="n"/>
      <c r="G64" s="26" t="n"/>
      <c r="H64" s="26" t="n"/>
      <c r="I64" s="18">
        <f>IF(B64="","",SUMIFS('Stock Moves'!$E$6:$E$2005,'Stock Moves'!$C$6:$C$2005,B64,'Stock Moves'!$D$6:$D$2005,"Purchase")+SUMIFS('Stock Moves'!$E$6:$E$2005,'Stock Moves'!$C$6:$C$2005,B64,'Stock Moves'!$D$6:$D$2005,"Return")+SUMIFS('Stock Moves'!$E$6:$E$2005,'Stock Moves'!$C$6:$C$2005,B64,'Stock Moves'!$D$6:$D$2005,"Adjustment"))</f>
        <v/>
      </c>
      <c r="J64" s="18">
        <f>IF(B64="","",SUMIFS('Stock Moves'!$E$6:$E$2005,'Stock Moves'!$C$6:$C$2005,B64,'Stock Moves'!$D$6:$D$2005,"Sale"))</f>
        <v/>
      </c>
      <c r="K64" s="27">
        <f>IF(B64="","",G64+I64-J64)</f>
        <v/>
      </c>
      <c r="L64" s="28">
        <f>IF(OR(B64="",N(F64)=0),"",(F64-E64)/F64)</f>
        <v/>
      </c>
      <c r="M64" s="29">
        <f>IF(B64="","",IF(K64&lt;=0,"Out of stock",IF(K64&lt;=H64,"Reorder now","OK")))</f>
        <v/>
      </c>
      <c r="N64" s="1" t="n"/>
    </row>
    <row r="65">
      <c r="A65" s="1" t="n"/>
      <c r="B65" s="23" t="n"/>
      <c r="C65" s="24" t="n"/>
      <c r="D65" s="24" t="n"/>
      <c r="E65" s="25" t="n"/>
      <c r="F65" s="25" t="n"/>
      <c r="G65" s="26" t="n"/>
      <c r="H65" s="26" t="n"/>
      <c r="I65" s="18">
        <f>IF(B65="","",SUMIFS('Stock Moves'!$E$6:$E$2005,'Stock Moves'!$C$6:$C$2005,B65,'Stock Moves'!$D$6:$D$2005,"Purchase")+SUMIFS('Stock Moves'!$E$6:$E$2005,'Stock Moves'!$C$6:$C$2005,B65,'Stock Moves'!$D$6:$D$2005,"Return")+SUMIFS('Stock Moves'!$E$6:$E$2005,'Stock Moves'!$C$6:$C$2005,B65,'Stock Moves'!$D$6:$D$2005,"Adjustment"))</f>
        <v/>
      </c>
      <c r="J65" s="18">
        <f>IF(B65="","",SUMIFS('Stock Moves'!$E$6:$E$2005,'Stock Moves'!$C$6:$C$2005,B65,'Stock Moves'!$D$6:$D$2005,"Sale"))</f>
        <v/>
      </c>
      <c r="K65" s="27">
        <f>IF(B65="","",G65+I65-J65)</f>
        <v/>
      </c>
      <c r="L65" s="28">
        <f>IF(OR(B65="",N(F65)=0),"",(F65-E65)/F65)</f>
        <v/>
      </c>
      <c r="M65" s="29">
        <f>IF(B65="","",IF(K65&lt;=0,"Out of stock",IF(K65&lt;=H65,"Reorder now","OK")))</f>
        <v/>
      </c>
      <c r="N65" s="1" t="n"/>
    </row>
    <row r="66">
      <c r="A66" s="1" t="n"/>
      <c r="B66" s="23" t="n"/>
      <c r="C66" s="24" t="n"/>
      <c r="D66" s="24" t="n"/>
      <c r="E66" s="25" t="n"/>
      <c r="F66" s="25" t="n"/>
      <c r="G66" s="26" t="n"/>
      <c r="H66" s="26" t="n"/>
      <c r="I66" s="18">
        <f>IF(B66="","",SUMIFS('Stock Moves'!$E$6:$E$2005,'Stock Moves'!$C$6:$C$2005,B66,'Stock Moves'!$D$6:$D$2005,"Purchase")+SUMIFS('Stock Moves'!$E$6:$E$2005,'Stock Moves'!$C$6:$C$2005,B66,'Stock Moves'!$D$6:$D$2005,"Return")+SUMIFS('Stock Moves'!$E$6:$E$2005,'Stock Moves'!$C$6:$C$2005,B66,'Stock Moves'!$D$6:$D$2005,"Adjustment"))</f>
        <v/>
      </c>
      <c r="J66" s="18">
        <f>IF(B66="","",SUMIFS('Stock Moves'!$E$6:$E$2005,'Stock Moves'!$C$6:$C$2005,B66,'Stock Moves'!$D$6:$D$2005,"Sale"))</f>
        <v/>
      </c>
      <c r="K66" s="27">
        <f>IF(B66="","",G66+I66-J66)</f>
        <v/>
      </c>
      <c r="L66" s="28">
        <f>IF(OR(B66="",N(F66)=0),"",(F66-E66)/F66)</f>
        <v/>
      </c>
      <c r="M66" s="29">
        <f>IF(B66="","",IF(K66&lt;=0,"Out of stock",IF(K66&lt;=H66,"Reorder now","OK")))</f>
        <v/>
      </c>
      <c r="N66" s="1" t="n"/>
    </row>
    <row r="67">
      <c r="A67" s="1" t="n"/>
      <c r="B67" s="23" t="n"/>
      <c r="C67" s="24" t="n"/>
      <c r="D67" s="24" t="n"/>
      <c r="E67" s="25" t="n"/>
      <c r="F67" s="25" t="n"/>
      <c r="G67" s="26" t="n"/>
      <c r="H67" s="26" t="n"/>
      <c r="I67" s="18">
        <f>IF(B67="","",SUMIFS('Stock Moves'!$E$6:$E$2005,'Stock Moves'!$C$6:$C$2005,B67,'Stock Moves'!$D$6:$D$2005,"Purchase")+SUMIFS('Stock Moves'!$E$6:$E$2005,'Stock Moves'!$C$6:$C$2005,B67,'Stock Moves'!$D$6:$D$2005,"Return")+SUMIFS('Stock Moves'!$E$6:$E$2005,'Stock Moves'!$C$6:$C$2005,B67,'Stock Moves'!$D$6:$D$2005,"Adjustment"))</f>
        <v/>
      </c>
      <c r="J67" s="18">
        <f>IF(B67="","",SUMIFS('Stock Moves'!$E$6:$E$2005,'Stock Moves'!$C$6:$C$2005,B67,'Stock Moves'!$D$6:$D$2005,"Sale"))</f>
        <v/>
      </c>
      <c r="K67" s="27">
        <f>IF(B67="","",G67+I67-J67)</f>
        <v/>
      </c>
      <c r="L67" s="28">
        <f>IF(OR(B67="",N(F67)=0),"",(F67-E67)/F67)</f>
        <v/>
      </c>
      <c r="M67" s="29">
        <f>IF(B67="","",IF(K67&lt;=0,"Out of stock",IF(K67&lt;=H67,"Reorder now","OK")))</f>
        <v/>
      </c>
      <c r="N67" s="1" t="n"/>
    </row>
    <row r="68">
      <c r="A68" s="1" t="n"/>
      <c r="B68" s="23" t="n"/>
      <c r="C68" s="24" t="n"/>
      <c r="D68" s="24" t="n"/>
      <c r="E68" s="25" t="n"/>
      <c r="F68" s="25" t="n"/>
      <c r="G68" s="26" t="n"/>
      <c r="H68" s="26" t="n"/>
      <c r="I68" s="18">
        <f>IF(B68="","",SUMIFS('Stock Moves'!$E$6:$E$2005,'Stock Moves'!$C$6:$C$2005,B68,'Stock Moves'!$D$6:$D$2005,"Purchase")+SUMIFS('Stock Moves'!$E$6:$E$2005,'Stock Moves'!$C$6:$C$2005,B68,'Stock Moves'!$D$6:$D$2005,"Return")+SUMIFS('Stock Moves'!$E$6:$E$2005,'Stock Moves'!$C$6:$C$2005,B68,'Stock Moves'!$D$6:$D$2005,"Adjustment"))</f>
        <v/>
      </c>
      <c r="J68" s="18">
        <f>IF(B68="","",SUMIFS('Stock Moves'!$E$6:$E$2005,'Stock Moves'!$C$6:$C$2005,B68,'Stock Moves'!$D$6:$D$2005,"Sale"))</f>
        <v/>
      </c>
      <c r="K68" s="27">
        <f>IF(B68="","",G68+I68-J68)</f>
        <v/>
      </c>
      <c r="L68" s="28">
        <f>IF(OR(B68="",N(F68)=0),"",(F68-E68)/F68)</f>
        <v/>
      </c>
      <c r="M68" s="29">
        <f>IF(B68="","",IF(K68&lt;=0,"Out of stock",IF(K68&lt;=H68,"Reorder now","OK")))</f>
        <v/>
      </c>
      <c r="N68" s="1" t="n"/>
    </row>
    <row r="69">
      <c r="A69" s="1" t="n"/>
      <c r="B69" s="23" t="n"/>
      <c r="C69" s="24" t="n"/>
      <c r="D69" s="24" t="n"/>
      <c r="E69" s="25" t="n"/>
      <c r="F69" s="25" t="n"/>
      <c r="G69" s="26" t="n"/>
      <c r="H69" s="26" t="n"/>
      <c r="I69" s="18">
        <f>IF(B69="","",SUMIFS('Stock Moves'!$E$6:$E$2005,'Stock Moves'!$C$6:$C$2005,B69,'Stock Moves'!$D$6:$D$2005,"Purchase")+SUMIFS('Stock Moves'!$E$6:$E$2005,'Stock Moves'!$C$6:$C$2005,B69,'Stock Moves'!$D$6:$D$2005,"Return")+SUMIFS('Stock Moves'!$E$6:$E$2005,'Stock Moves'!$C$6:$C$2005,B69,'Stock Moves'!$D$6:$D$2005,"Adjustment"))</f>
        <v/>
      </c>
      <c r="J69" s="18">
        <f>IF(B69="","",SUMIFS('Stock Moves'!$E$6:$E$2005,'Stock Moves'!$C$6:$C$2005,B69,'Stock Moves'!$D$6:$D$2005,"Sale"))</f>
        <v/>
      </c>
      <c r="K69" s="27">
        <f>IF(B69="","",G69+I69-J69)</f>
        <v/>
      </c>
      <c r="L69" s="28">
        <f>IF(OR(B69="",N(F69)=0),"",(F69-E69)/F69)</f>
        <v/>
      </c>
      <c r="M69" s="29">
        <f>IF(B69="","",IF(K69&lt;=0,"Out of stock",IF(K69&lt;=H69,"Reorder now","OK")))</f>
        <v/>
      </c>
      <c r="N69" s="1" t="n"/>
    </row>
    <row r="70">
      <c r="A70" s="1" t="n"/>
      <c r="B70" s="23" t="n"/>
      <c r="C70" s="24" t="n"/>
      <c r="D70" s="24" t="n"/>
      <c r="E70" s="25" t="n"/>
      <c r="F70" s="25" t="n"/>
      <c r="G70" s="26" t="n"/>
      <c r="H70" s="26" t="n"/>
      <c r="I70" s="18">
        <f>IF(B70="","",SUMIFS('Stock Moves'!$E$6:$E$2005,'Stock Moves'!$C$6:$C$2005,B70,'Stock Moves'!$D$6:$D$2005,"Purchase")+SUMIFS('Stock Moves'!$E$6:$E$2005,'Stock Moves'!$C$6:$C$2005,B70,'Stock Moves'!$D$6:$D$2005,"Return")+SUMIFS('Stock Moves'!$E$6:$E$2005,'Stock Moves'!$C$6:$C$2005,B70,'Stock Moves'!$D$6:$D$2005,"Adjustment"))</f>
        <v/>
      </c>
      <c r="J70" s="18">
        <f>IF(B70="","",SUMIFS('Stock Moves'!$E$6:$E$2005,'Stock Moves'!$C$6:$C$2005,B70,'Stock Moves'!$D$6:$D$2005,"Sale"))</f>
        <v/>
      </c>
      <c r="K70" s="27">
        <f>IF(B70="","",G70+I70-J70)</f>
        <v/>
      </c>
      <c r="L70" s="28">
        <f>IF(OR(B70="",N(F70)=0),"",(F70-E70)/F70)</f>
        <v/>
      </c>
      <c r="M70" s="29">
        <f>IF(B70="","",IF(K70&lt;=0,"Out of stock",IF(K70&lt;=H70,"Reorder now","OK")))</f>
        <v/>
      </c>
      <c r="N70" s="1" t="n"/>
    </row>
    <row r="71">
      <c r="A71" s="1" t="n"/>
      <c r="B71" s="23" t="n"/>
      <c r="C71" s="24" t="n"/>
      <c r="D71" s="24" t="n"/>
      <c r="E71" s="25" t="n"/>
      <c r="F71" s="25" t="n"/>
      <c r="G71" s="26" t="n"/>
      <c r="H71" s="26" t="n"/>
      <c r="I71" s="18">
        <f>IF(B71="","",SUMIFS('Stock Moves'!$E$6:$E$2005,'Stock Moves'!$C$6:$C$2005,B71,'Stock Moves'!$D$6:$D$2005,"Purchase")+SUMIFS('Stock Moves'!$E$6:$E$2005,'Stock Moves'!$C$6:$C$2005,B71,'Stock Moves'!$D$6:$D$2005,"Return")+SUMIFS('Stock Moves'!$E$6:$E$2005,'Stock Moves'!$C$6:$C$2005,B71,'Stock Moves'!$D$6:$D$2005,"Adjustment"))</f>
        <v/>
      </c>
      <c r="J71" s="18">
        <f>IF(B71="","",SUMIFS('Stock Moves'!$E$6:$E$2005,'Stock Moves'!$C$6:$C$2005,B71,'Stock Moves'!$D$6:$D$2005,"Sale"))</f>
        <v/>
      </c>
      <c r="K71" s="27">
        <f>IF(B71="","",G71+I71-J71)</f>
        <v/>
      </c>
      <c r="L71" s="28">
        <f>IF(OR(B71="",N(F71)=0),"",(F71-E71)/F71)</f>
        <v/>
      </c>
      <c r="M71" s="29">
        <f>IF(B71="","",IF(K71&lt;=0,"Out of stock",IF(K71&lt;=H71,"Reorder now","OK")))</f>
        <v/>
      </c>
      <c r="N71" s="1" t="n"/>
    </row>
    <row r="72">
      <c r="A72" s="1" t="n"/>
      <c r="B72" s="23" t="n"/>
      <c r="C72" s="24" t="n"/>
      <c r="D72" s="24" t="n"/>
      <c r="E72" s="25" t="n"/>
      <c r="F72" s="25" t="n"/>
      <c r="G72" s="26" t="n"/>
      <c r="H72" s="26" t="n"/>
      <c r="I72" s="18">
        <f>IF(B72="","",SUMIFS('Stock Moves'!$E$6:$E$2005,'Stock Moves'!$C$6:$C$2005,B72,'Stock Moves'!$D$6:$D$2005,"Purchase")+SUMIFS('Stock Moves'!$E$6:$E$2005,'Stock Moves'!$C$6:$C$2005,B72,'Stock Moves'!$D$6:$D$2005,"Return")+SUMIFS('Stock Moves'!$E$6:$E$2005,'Stock Moves'!$C$6:$C$2005,B72,'Stock Moves'!$D$6:$D$2005,"Adjustment"))</f>
        <v/>
      </c>
      <c r="J72" s="18">
        <f>IF(B72="","",SUMIFS('Stock Moves'!$E$6:$E$2005,'Stock Moves'!$C$6:$C$2005,B72,'Stock Moves'!$D$6:$D$2005,"Sale"))</f>
        <v/>
      </c>
      <c r="K72" s="27">
        <f>IF(B72="","",G72+I72-J72)</f>
        <v/>
      </c>
      <c r="L72" s="28">
        <f>IF(OR(B72="",N(F72)=0),"",(F72-E72)/F72)</f>
        <v/>
      </c>
      <c r="M72" s="29">
        <f>IF(B72="","",IF(K72&lt;=0,"Out of stock",IF(K72&lt;=H72,"Reorder now","OK")))</f>
        <v/>
      </c>
      <c r="N72" s="1" t="n"/>
    </row>
    <row r="73">
      <c r="A73" s="1" t="n"/>
      <c r="B73" s="23" t="n"/>
      <c r="C73" s="24" t="n"/>
      <c r="D73" s="24" t="n"/>
      <c r="E73" s="25" t="n"/>
      <c r="F73" s="25" t="n"/>
      <c r="G73" s="26" t="n"/>
      <c r="H73" s="26" t="n"/>
      <c r="I73" s="18">
        <f>IF(B73="","",SUMIFS('Stock Moves'!$E$6:$E$2005,'Stock Moves'!$C$6:$C$2005,B73,'Stock Moves'!$D$6:$D$2005,"Purchase")+SUMIFS('Stock Moves'!$E$6:$E$2005,'Stock Moves'!$C$6:$C$2005,B73,'Stock Moves'!$D$6:$D$2005,"Return")+SUMIFS('Stock Moves'!$E$6:$E$2005,'Stock Moves'!$C$6:$C$2005,B73,'Stock Moves'!$D$6:$D$2005,"Adjustment"))</f>
        <v/>
      </c>
      <c r="J73" s="18">
        <f>IF(B73="","",SUMIFS('Stock Moves'!$E$6:$E$2005,'Stock Moves'!$C$6:$C$2005,B73,'Stock Moves'!$D$6:$D$2005,"Sale"))</f>
        <v/>
      </c>
      <c r="K73" s="27">
        <f>IF(B73="","",G73+I73-J73)</f>
        <v/>
      </c>
      <c r="L73" s="28">
        <f>IF(OR(B73="",N(F73)=0),"",(F73-E73)/F73)</f>
        <v/>
      </c>
      <c r="M73" s="29">
        <f>IF(B73="","",IF(K73&lt;=0,"Out of stock",IF(K73&lt;=H73,"Reorder now","OK")))</f>
        <v/>
      </c>
      <c r="N73" s="1" t="n"/>
    </row>
    <row r="74">
      <c r="A74" s="1" t="n"/>
      <c r="B74" s="23" t="n"/>
      <c r="C74" s="24" t="n"/>
      <c r="D74" s="24" t="n"/>
      <c r="E74" s="25" t="n"/>
      <c r="F74" s="25" t="n"/>
      <c r="G74" s="26" t="n"/>
      <c r="H74" s="26" t="n"/>
      <c r="I74" s="18">
        <f>IF(B74="","",SUMIFS('Stock Moves'!$E$6:$E$2005,'Stock Moves'!$C$6:$C$2005,B74,'Stock Moves'!$D$6:$D$2005,"Purchase")+SUMIFS('Stock Moves'!$E$6:$E$2005,'Stock Moves'!$C$6:$C$2005,B74,'Stock Moves'!$D$6:$D$2005,"Return")+SUMIFS('Stock Moves'!$E$6:$E$2005,'Stock Moves'!$C$6:$C$2005,B74,'Stock Moves'!$D$6:$D$2005,"Adjustment"))</f>
        <v/>
      </c>
      <c r="J74" s="18">
        <f>IF(B74="","",SUMIFS('Stock Moves'!$E$6:$E$2005,'Stock Moves'!$C$6:$C$2005,B74,'Stock Moves'!$D$6:$D$2005,"Sale"))</f>
        <v/>
      </c>
      <c r="K74" s="27">
        <f>IF(B74="","",G74+I74-J74)</f>
        <v/>
      </c>
      <c r="L74" s="28">
        <f>IF(OR(B74="",N(F74)=0),"",(F74-E74)/F74)</f>
        <v/>
      </c>
      <c r="M74" s="29">
        <f>IF(B74="","",IF(K74&lt;=0,"Out of stock",IF(K74&lt;=H74,"Reorder now","OK")))</f>
        <v/>
      </c>
      <c r="N74" s="1" t="n"/>
    </row>
    <row r="75">
      <c r="A75" s="1" t="n"/>
      <c r="B75" s="23" t="n"/>
      <c r="C75" s="24" t="n"/>
      <c r="D75" s="24" t="n"/>
      <c r="E75" s="25" t="n"/>
      <c r="F75" s="25" t="n"/>
      <c r="G75" s="26" t="n"/>
      <c r="H75" s="26" t="n"/>
      <c r="I75" s="18">
        <f>IF(B75="","",SUMIFS('Stock Moves'!$E$6:$E$2005,'Stock Moves'!$C$6:$C$2005,B75,'Stock Moves'!$D$6:$D$2005,"Purchase")+SUMIFS('Stock Moves'!$E$6:$E$2005,'Stock Moves'!$C$6:$C$2005,B75,'Stock Moves'!$D$6:$D$2005,"Return")+SUMIFS('Stock Moves'!$E$6:$E$2005,'Stock Moves'!$C$6:$C$2005,B75,'Stock Moves'!$D$6:$D$2005,"Adjustment"))</f>
        <v/>
      </c>
      <c r="J75" s="18">
        <f>IF(B75="","",SUMIFS('Stock Moves'!$E$6:$E$2005,'Stock Moves'!$C$6:$C$2005,B75,'Stock Moves'!$D$6:$D$2005,"Sale"))</f>
        <v/>
      </c>
      <c r="K75" s="27">
        <f>IF(B75="","",G75+I75-J75)</f>
        <v/>
      </c>
      <c r="L75" s="28">
        <f>IF(OR(B75="",N(F75)=0),"",(F75-E75)/F75)</f>
        <v/>
      </c>
      <c r="M75" s="29">
        <f>IF(B75="","",IF(K75&lt;=0,"Out of stock",IF(K75&lt;=H75,"Reorder now","OK")))</f>
        <v/>
      </c>
      <c r="N75" s="1" t="n"/>
    </row>
    <row r="76">
      <c r="A76" s="1" t="n"/>
      <c r="B76" s="23" t="n"/>
      <c r="C76" s="24" t="n"/>
      <c r="D76" s="24" t="n"/>
      <c r="E76" s="25" t="n"/>
      <c r="F76" s="25" t="n"/>
      <c r="G76" s="26" t="n"/>
      <c r="H76" s="26" t="n"/>
      <c r="I76" s="18">
        <f>IF(B76="","",SUMIFS('Stock Moves'!$E$6:$E$2005,'Stock Moves'!$C$6:$C$2005,B76,'Stock Moves'!$D$6:$D$2005,"Purchase")+SUMIFS('Stock Moves'!$E$6:$E$2005,'Stock Moves'!$C$6:$C$2005,B76,'Stock Moves'!$D$6:$D$2005,"Return")+SUMIFS('Stock Moves'!$E$6:$E$2005,'Stock Moves'!$C$6:$C$2005,B76,'Stock Moves'!$D$6:$D$2005,"Adjustment"))</f>
        <v/>
      </c>
      <c r="J76" s="18">
        <f>IF(B76="","",SUMIFS('Stock Moves'!$E$6:$E$2005,'Stock Moves'!$C$6:$C$2005,B76,'Stock Moves'!$D$6:$D$2005,"Sale"))</f>
        <v/>
      </c>
      <c r="K76" s="27">
        <f>IF(B76="","",G76+I76-J76)</f>
        <v/>
      </c>
      <c r="L76" s="28">
        <f>IF(OR(B76="",N(F76)=0),"",(F76-E76)/F76)</f>
        <v/>
      </c>
      <c r="M76" s="29">
        <f>IF(B76="","",IF(K76&lt;=0,"Out of stock",IF(K76&lt;=H76,"Reorder now","OK")))</f>
        <v/>
      </c>
      <c r="N76" s="1" t="n"/>
    </row>
    <row r="77">
      <c r="A77" s="1" t="n"/>
      <c r="B77" s="23" t="n"/>
      <c r="C77" s="24" t="n"/>
      <c r="D77" s="24" t="n"/>
      <c r="E77" s="25" t="n"/>
      <c r="F77" s="25" t="n"/>
      <c r="G77" s="26" t="n"/>
      <c r="H77" s="26" t="n"/>
      <c r="I77" s="18">
        <f>IF(B77="","",SUMIFS('Stock Moves'!$E$6:$E$2005,'Stock Moves'!$C$6:$C$2005,B77,'Stock Moves'!$D$6:$D$2005,"Purchase")+SUMIFS('Stock Moves'!$E$6:$E$2005,'Stock Moves'!$C$6:$C$2005,B77,'Stock Moves'!$D$6:$D$2005,"Return")+SUMIFS('Stock Moves'!$E$6:$E$2005,'Stock Moves'!$C$6:$C$2005,B77,'Stock Moves'!$D$6:$D$2005,"Adjustment"))</f>
        <v/>
      </c>
      <c r="J77" s="18">
        <f>IF(B77="","",SUMIFS('Stock Moves'!$E$6:$E$2005,'Stock Moves'!$C$6:$C$2005,B77,'Stock Moves'!$D$6:$D$2005,"Sale"))</f>
        <v/>
      </c>
      <c r="K77" s="27">
        <f>IF(B77="","",G77+I77-J77)</f>
        <v/>
      </c>
      <c r="L77" s="28">
        <f>IF(OR(B77="",N(F77)=0),"",(F77-E77)/F77)</f>
        <v/>
      </c>
      <c r="M77" s="29">
        <f>IF(B77="","",IF(K77&lt;=0,"Out of stock",IF(K77&lt;=H77,"Reorder now","OK")))</f>
        <v/>
      </c>
      <c r="N77" s="1" t="n"/>
    </row>
    <row r="78">
      <c r="A78" s="1" t="n"/>
      <c r="B78" s="23" t="n"/>
      <c r="C78" s="24" t="n"/>
      <c r="D78" s="24" t="n"/>
      <c r="E78" s="25" t="n"/>
      <c r="F78" s="25" t="n"/>
      <c r="G78" s="26" t="n"/>
      <c r="H78" s="26" t="n"/>
      <c r="I78" s="18">
        <f>IF(B78="","",SUMIFS('Stock Moves'!$E$6:$E$2005,'Stock Moves'!$C$6:$C$2005,B78,'Stock Moves'!$D$6:$D$2005,"Purchase")+SUMIFS('Stock Moves'!$E$6:$E$2005,'Stock Moves'!$C$6:$C$2005,B78,'Stock Moves'!$D$6:$D$2005,"Return")+SUMIFS('Stock Moves'!$E$6:$E$2005,'Stock Moves'!$C$6:$C$2005,B78,'Stock Moves'!$D$6:$D$2005,"Adjustment"))</f>
        <v/>
      </c>
      <c r="J78" s="18">
        <f>IF(B78="","",SUMIFS('Stock Moves'!$E$6:$E$2005,'Stock Moves'!$C$6:$C$2005,B78,'Stock Moves'!$D$6:$D$2005,"Sale"))</f>
        <v/>
      </c>
      <c r="K78" s="27">
        <f>IF(B78="","",G78+I78-J78)</f>
        <v/>
      </c>
      <c r="L78" s="28">
        <f>IF(OR(B78="",N(F78)=0),"",(F78-E78)/F78)</f>
        <v/>
      </c>
      <c r="M78" s="29">
        <f>IF(B78="","",IF(K78&lt;=0,"Out of stock",IF(K78&lt;=H78,"Reorder now","OK")))</f>
        <v/>
      </c>
      <c r="N78" s="1" t="n"/>
    </row>
    <row r="79">
      <c r="A79" s="1" t="n"/>
      <c r="B79" s="23" t="n"/>
      <c r="C79" s="24" t="n"/>
      <c r="D79" s="24" t="n"/>
      <c r="E79" s="25" t="n"/>
      <c r="F79" s="25" t="n"/>
      <c r="G79" s="26" t="n"/>
      <c r="H79" s="26" t="n"/>
      <c r="I79" s="18">
        <f>IF(B79="","",SUMIFS('Stock Moves'!$E$6:$E$2005,'Stock Moves'!$C$6:$C$2005,B79,'Stock Moves'!$D$6:$D$2005,"Purchase")+SUMIFS('Stock Moves'!$E$6:$E$2005,'Stock Moves'!$C$6:$C$2005,B79,'Stock Moves'!$D$6:$D$2005,"Return")+SUMIFS('Stock Moves'!$E$6:$E$2005,'Stock Moves'!$C$6:$C$2005,B79,'Stock Moves'!$D$6:$D$2005,"Adjustment"))</f>
        <v/>
      </c>
      <c r="J79" s="18">
        <f>IF(B79="","",SUMIFS('Stock Moves'!$E$6:$E$2005,'Stock Moves'!$C$6:$C$2005,B79,'Stock Moves'!$D$6:$D$2005,"Sale"))</f>
        <v/>
      </c>
      <c r="K79" s="27">
        <f>IF(B79="","",G79+I79-J79)</f>
        <v/>
      </c>
      <c r="L79" s="28">
        <f>IF(OR(B79="",N(F79)=0),"",(F79-E79)/F79)</f>
        <v/>
      </c>
      <c r="M79" s="29">
        <f>IF(B79="","",IF(K79&lt;=0,"Out of stock",IF(K79&lt;=H79,"Reorder now","OK")))</f>
        <v/>
      </c>
      <c r="N79" s="1" t="n"/>
    </row>
    <row r="80">
      <c r="A80" s="1" t="n"/>
      <c r="B80" s="23" t="n"/>
      <c r="C80" s="24" t="n"/>
      <c r="D80" s="24" t="n"/>
      <c r="E80" s="25" t="n"/>
      <c r="F80" s="25" t="n"/>
      <c r="G80" s="26" t="n"/>
      <c r="H80" s="26" t="n"/>
      <c r="I80" s="18">
        <f>IF(B80="","",SUMIFS('Stock Moves'!$E$6:$E$2005,'Stock Moves'!$C$6:$C$2005,B80,'Stock Moves'!$D$6:$D$2005,"Purchase")+SUMIFS('Stock Moves'!$E$6:$E$2005,'Stock Moves'!$C$6:$C$2005,B80,'Stock Moves'!$D$6:$D$2005,"Return")+SUMIFS('Stock Moves'!$E$6:$E$2005,'Stock Moves'!$C$6:$C$2005,B80,'Stock Moves'!$D$6:$D$2005,"Adjustment"))</f>
        <v/>
      </c>
      <c r="J80" s="18">
        <f>IF(B80="","",SUMIFS('Stock Moves'!$E$6:$E$2005,'Stock Moves'!$C$6:$C$2005,B80,'Stock Moves'!$D$6:$D$2005,"Sale"))</f>
        <v/>
      </c>
      <c r="K80" s="27">
        <f>IF(B80="","",G80+I80-J80)</f>
        <v/>
      </c>
      <c r="L80" s="28">
        <f>IF(OR(B80="",N(F80)=0),"",(F80-E80)/F80)</f>
        <v/>
      </c>
      <c r="M80" s="29">
        <f>IF(B80="","",IF(K80&lt;=0,"Out of stock",IF(K80&lt;=H80,"Reorder now","OK")))</f>
        <v/>
      </c>
      <c r="N80" s="1" t="n"/>
    </row>
    <row r="81">
      <c r="A81" s="1" t="n"/>
      <c r="B81" s="23" t="n"/>
      <c r="C81" s="24" t="n"/>
      <c r="D81" s="24" t="n"/>
      <c r="E81" s="25" t="n"/>
      <c r="F81" s="25" t="n"/>
      <c r="G81" s="26" t="n"/>
      <c r="H81" s="26" t="n"/>
      <c r="I81" s="18">
        <f>IF(B81="","",SUMIFS('Stock Moves'!$E$6:$E$2005,'Stock Moves'!$C$6:$C$2005,B81,'Stock Moves'!$D$6:$D$2005,"Purchase")+SUMIFS('Stock Moves'!$E$6:$E$2005,'Stock Moves'!$C$6:$C$2005,B81,'Stock Moves'!$D$6:$D$2005,"Return")+SUMIFS('Stock Moves'!$E$6:$E$2005,'Stock Moves'!$C$6:$C$2005,B81,'Stock Moves'!$D$6:$D$2005,"Adjustment"))</f>
        <v/>
      </c>
      <c r="J81" s="18">
        <f>IF(B81="","",SUMIFS('Stock Moves'!$E$6:$E$2005,'Stock Moves'!$C$6:$C$2005,B81,'Stock Moves'!$D$6:$D$2005,"Sale"))</f>
        <v/>
      </c>
      <c r="K81" s="27">
        <f>IF(B81="","",G81+I81-J81)</f>
        <v/>
      </c>
      <c r="L81" s="28">
        <f>IF(OR(B81="",N(F81)=0),"",(F81-E81)/F81)</f>
        <v/>
      </c>
      <c r="M81" s="29">
        <f>IF(B81="","",IF(K81&lt;=0,"Out of stock",IF(K81&lt;=H81,"Reorder now","OK")))</f>
        <v/>
      </c>
      <c r="N81" s="1" t="n"/>
    </row>
    <row r="82">
      <c r="A82" s="1" t="n"/>
      <c r="B82" s="23" t="n"/>
      <c r="C82" s="24" t="n"/>
      <c r="D82" s="24" t="n"/>
      <c r="E82" s="25" t="n"/>
      <c r="F82" s="25" t="n"/>
      <c r="G82" s="26" t="n"/>
      <c r="H82" s="26" t="n"/>
      <c r="I82" s="18">
        <f>IF(B82="","",SUMIFS('Stock Moves'!$E$6:$E$2005,'Stock Moves'!$C$6:$C$2005,B82,'Stock Moves'!$D$6:$D$2005,"Purchase")+SUMIFS('Stock Moves'!$E$6:$E$2005,'Stock Moves'!$C$6:$C$2005,B82,'Stock Moves'!$D$6:$D$2005,"Return")+SUMIFS('Stock Moves'!$E$6:$E$2005,'Stock Moves'!$C$6:$C$2005,B82,'Stock Moves'!$D$6:$D$2005,"Adjustment"))</f>
        <v/>
      </c>
      <c r="J82" s="18">
        <f>IF(B82="","",SUMIFS('Stock Moves'!$E$6:$E$2005,'Stock Moves'!$C$6:$C$2005,B82,'Stock Moves'!$D$6:$D$2005,"Sale"))</f>
        <v/>
      </c>
      <c r="K82" s="27">
        <f>IF(B82="","",G82+I82-J82)</f>
        <v/>
      </c>
      <c r="L82" s="28">
        <f>IF(OR(B82="",N(F82)=0),"",(F82-E82)/F82)</f>
        <v/>
      </c>
      <c r="M82" s="29">
        <f>IF(B82="","",IF(K82&lt;=0,"Out of stock",IF(K82&lt;=H82,"Reorder now","OK")))</f>
        <v/>
      </c>
      <c r="N82" s="1" t="n"/>
    </row>
    <row r="83">
      <c r="A83" s="1" t="n"/>
      <c r="B83" s="23" t="n"/>
      <c r="C83" s="24" t="n"/>
      <c r="D83" s="24" t="n"/>
      <c r="E83" s="25" t="n"/>
      <c r="F83" s="25" t="n"/>
      <c r="G83" s="26" t="n"/>
      <c r="H83" s="26" t="n"/>
      <c r="I83" s="18">
        <f>IF(B83="","",SUMIFS('Stock Moves'!$E$6:$E$2005,'Stock Moves'!$C$6:$C$2005,B83,'Stock Moves'!$D$6:$D$2005,"Purchase")+SUMIFS('Stock Moves'!$E$6:$E$2005,'Stock Moves'!$C$6:$C$2005,B83,'Stock Moves'!$D$6:$D$2005,"Return")+SUMIFS('Stock Moves'!$E$6:$E$2005,'Stock Moves'!$C$6:$C$2005,B83,'Stock Moves'!$D$6:$D$2005,"Adjustment"))</f>
        <v/>
      </c>
      <c r="J83" s="18">
        <f>IF(B83="","",SUMIFS('Stock Moves'!$E$6:$E$2005,'Stock Moves'!$C$6:$C$2005,B83,'Stock Moves'!$D$6:$D$2005,"Sale"))</f>
        <v/>
      </c>
      <c r="K83" s="27">
        <f>IF(B83="","",G83+I83-J83)</f>
        <v/>
      </c>
      <c r="L83" s="28">
        <f>IF(OR(B83="",N(F83)=0),"",(F83-E83)/F83)</f>
        <v/>
      </c>
      <c r="M83" s="29">
        <f>IF(B83="","",IF(K83&lt;=0,"Out of stock",IF(K83&lt;=H83,"Reorder now","OK")))</f>
        <v/>
      </c>
      <c r="N83" s="1" t="n"/>
    </row>
    <row r="84">
      <c r="A84" s="1" t="n"/>
      <c r="B84" s="23" t="n"/>
      <c r="C84" s="24" t="n"/>
      <c r="D84" s="24" t="n"/>
      <c r="E84" s="25" t="n"/>
      <c r="F84" s="25" t="n"/>
      <c r="G84" s="26" t="n"/>
      <c r="H84" s="26" t="n"/>
      <c r="I84" s="18">
        <f>IF(B84="","",SUMIFS('Stock Moves'!$E$6:$E$2005,'Stock Moves'!$C$6:$C$2005,B84,'Stock Moves'!$D$6:$D$2005,"Purchase")+SUMIFS('Stock Moves'!$E$6:$E$2005,'Stock Moves'!$C$6:$C$2005,B84,'Stock Moves'!$D$6:$D$2005,"Return")+SUMIFS('Stock Moves'!$E$6:$E$2005,'Stock Moves'!$C$6:$C$2005,B84,'Stock Moves'!$D$6:$D$2005,"Adjustment"))</f>
        <v/>
      </c>
      <c r="J84" s="18">
        <f>IF(B84="","",SUMIFS('Stock Moves'!$E$6:$E$2005,'Stock Moves'!$C$6:$C$2005,B84,'Stock Moves'!$D$6:$D$2005,"Sale"))</f>
        <v/>
      </c>
      <c r="K84" s="27">
        <f>IF(B84="","",G84+I84-J84)</f>
        <v/>
      </c>
      <c r="L84" s="28">
        <f>IF(OR(B84="",N(F84)=0),"",(F84-E84)/F84)</f>
        <v/>
      </c>
      <c r="M84" s="29">
        <f>IF(B84="","",IF(K84&lt;=0,"Out of stock",IF(K84&lt;=H84,"Reorder now","OK")))</f>
        <v/>
      </c>
      <c r="N84" s="1" t="n"/>
    </row>
    <row r="85">
      <c r="A85" s="1" t="n"/>
      <c r="B85" s="23" t="n"/>
      <c r="C85" s="24" t="n"/>
      <c r="D85" s="24" t="n"/>
      <c r="E85" s="25" t="n"/>
      <c r="F85" s="25" t="n"/>
      <c r="G85" s="26" t="n"/>
      <c r="H85" s="26" t="n"/>
      <c r="I85" s="18">
        <f>IF(B85="","",SUMIFS('Stock Moves'!$E$6:$E$2005,'Stock Moves'!$C$6:$C$2005,B85,'Stock Moves'!$D$6:$D$2005,"Purchase")+SUMIFS('Stock Moves'!$E$6:$E$2005,'Stock Moves'!$C$6:$C$2005,B85,'Stock Moves'!$D$6:$D$2005,"Return")+SUMIFS('Stock Moves'!$E$6:$E$2005,'Stock Moves'!$C$6:$C$2005,B85,'Stock Moves'!$D$6:$D$2005,"Adjustment"))</f>
        <v/>
      </c>
      <c r="J85" s="18">
        <f>IF(B85="","",SUMIFS('Stock Moves'!$E$6:$E$2005,'Stock Moves'!$C$6:$C$2005,B85,'Stock Moves'!$D$6:$D$2005,"Sale"))</f>
        <v/>
      </c>
      <c r="K85" s="27">
        <f>IF(B85="","",G85+I85-J85)</f>
        <v/>
      </c>
      <c r="L85" s="28">
        <f>IF(OR(B85="",N(F85)=0),"",(F85-E85)/F85)</f>
        <v/>
      </c>
      <c r="M85" s="29">
        <f>IF(B85="","",IF(K85&lt;=0,"Out of stock",IF(K85&lt;=H85,"Reorder now","OK")))</f>
        <v/>
      </c>
      <c r="N85" s="1" t="n"/>
    </row>
    <row r="86">
      <c r="A86" s="1" t="n"/>
      <c r="B86" s="23" t="n"/>
      <c r="C86" s="24" t="n"/>
      <c r="D86" s="24" t="n"/>
      <c r="E86" s="25" t="n"/>
      <c r="F86" s="25" t="n"/>
      <c r="G86" s="26" t="n"/>
      <c r="H86" s="26" t="n"/>
      <c r="I86" s="18">
        <f>IF(B86="","",SUMIFS('Stock Moves'!$E$6:$E$2005,'Stock Moves'!$C$6:$C$2005,B86,'Stock Moves'!$D$6:$D$2005,"Purchase")+SUMIFS('Stock Moves'!$E$6:$E$2005,'Stock Moves'!$C$6:$C$2005,B86,'Stock Moves'!$D$6:$D$2005,"Return")+SUMIFS('Stock Moves'!$E$6:$E$2005,'Stock Moves'!$C$6:$C$2005,B86,'Stock Moves'!$D$6:$D$2005,"Adjustment"))</f>
        <v/>
      </c>
      <c r="J86" s="18">
        <f>IF(B86="","",SUMIFS('Stock Moves'!$E$6:$E$2005,'Stock Moves'!$C$6:$C$2005,B86,'Stock Moves'!$D$6:$D$2005,"Sale"))</f>
        <v/>
      </c>
      <c r="K86" s="27">
        <f>IF(B86="","",G86+I86-J86)</f>
        <v/>
      </c>
      <c r="L86" s="28">
        <f>IF(OR(B86="",N(F86)=0),"",(F86-E86)/F86)</f>
        <v/>
      </c>
      <c r="M86" s="29">
        <f>IF(B86="","",IF(K86&lt;=0,"Out of stock",IF(K86&lt;=H86,"Reorder now","OK")))</f>
        <v/>
      </c>
      <c r="N86" s="1" t="n"/>
    </row>
    <row r="87">
      <c r="A87" s="1" t="n"/>
      <c r="B87" s="23" t="n"/>
      <c r="C87" s="24" t="n"/>
      <c r="D87" s="24" t="n"/>
      <c r="E87" s="25" t="n"/>
      <c r="F87" s="25" t="n"/>
      <c r="G87" s="26" t="n"/>
      <c r="H87" s="26" t="n"/>
      <c r="I87" s="18">
        <f>IF(B87="","",SUMIFS('Stock Moves'!$E$6:$E$2005,'Stock Moves'!$C$6:$C$2005,B87,'Stock Moves'!$D$6:$D$2005,"Purchase")+SUMIFS('Stock Moves'!$E$6:$E$2005,'Stock Moves'!$C$6:$C$2005,B87,'Stock Moves'!$D$6:$D$2005,"Return")+SUMIFS('Stock Moves'!$E$6:$E$2005,'Stock Moves'!$C$6:$C$2005,B87,'Stock Moves'!$D$6:$D$2005,"Adjustment"))</f>
        <v/>
      </c>
      <c r="J87" s="18">
        <f>IF(B87="","",SUMIFS('Stock Moves'!$E$6:$E$2005,'Stock Moves'!$C$6:$C$2005,B87,'Stock Moves'!$D$6:$D$2005,"Sale"))</f>
        <v/>
      </c>
      <c r="K87" s="27">
        <f>IF(B87="","",G87+I87-J87)</f>
        <v/>
      </c>
      <c r="L87" s="28">
        <f>IF(OR(B87="",N(F87)=0),"",(F87-E87)/F87)</f>
        <v/>
      </c>
      <c r="M87" s="29">
        <f>IF(B87="","",IF(K87&lt;=0,"Out of stock",IF(K87&lt;=H87,"Reorder now","OK")))</f>
        <v/>
      </c>
      <c r="N87" s="1" t="n"/>
    </row>
    <row r="88">
      <c r="A88" s="1" t="n"/>
      <c r="B88" s="23" t="n"/>
      <c r="C88" s="24" t="n"/>
      <c r="D88" s="24" t="n"/>
      <c r="E88" s="25" t="n"/>
      <c r="F88" s="25" t="n"/>
      <c r="G88" s="26" t="n"/>
      <c r="H88" s="26" t="n"/>
      <c r="I88" s="18">
        <f>IF(B88="","",SUMIFS('Stock Moves'!$E$6:$E$2005,'Stock Moves'!$C$6:$C$2005,B88,'Stock Moves'!$D$6:$D$2005,"Purchase")+SUMIFS('Stock Moves'!$E$6:$E$2005,'Stock Moves'!$C$6:$C$2005,B88,'Stock Moves'!$D$6:$D$2005,"Return")+SUMIFS('Stock Moves'!$E$6:$E$2005,'Stock Moves'!$C$6:$C$2005,B88,'Stock Moves'!$D$6:$D$2005,"Adjustment"))</f>
        <v/>
      </c>
      <c r="J88" s="18">
        <f>IF(B88="","",SUMIFS('Stock Moves'!$E$6:$E$2005,'Stock Moves'!$C$6:$C$2005,B88,'Stock Moves'!$D$6:$D$2005,"Sale"))</f>
        <v/>
      </c>
      <c r="K88" s="27">
        <f>IF(B88="","",G88+I88-J88)</f>
        <v/>
      </c>
      <c r="L88" s="28">
        <f>IF(OR(B88="",N(F88)=0),"",(F88-E88)/F88)</f>
        <v/>
      </c>
      <c r="M88" s="29">
        <f>IF(B88="","",IF(K88&lt;=0,"Out of stock",IF(K88&lt;=H88,"Reorder now","OK")))</f>
        <v/>
      </c>
      <c r="N88" s="1" t="n"/>
    </row>
    <row r="89">
      <c r="A89" s="1" t="n"/>
      <c r="B89" s="23" t="n"/>
      <c r="C89" s="24" t="n"/>
      <c r="D89" s="24" t="n"/>
      <c r="E89" s="25" t="n"/>
      <c r="F89" s="25" t="n"/>
      <c r="G89" s="26" t="n"/>
      <c r="H89" s="26" t="n"/>
      <c r="I89" s="18">
        <f>IF(B89="","",SUMIFS('Stock Moves'!$E$6:$E$2005,'Stock Moves'!$C$6:$C$2005,B89,'Stock Moves'!$D$6:$D$2005,"Purchase")+SUMIFS('Stock Moves'!$E$6:$E$2005,'Stock Moves'!$C$6:$C$2005,B89,'Stock Moves'!$D$6:$D$2005,"Return")+SUMIFS('Stock Moves'!$E$6:$E$2005,'Stock Moves'!$C$6:$C$2005,B89,'Stock Moves'!$D$6:$D$2005,"Adjustment"))</f>
        <v/>
      </c>
      <c r="J89" s="18">
        <f>IF(B89="","",SUMIFS('Stock Moves'!$E$6:$E$2005,'Stock Moves'!$C$6:$C$2005,B89,'Stock Moves'!$D$6:$D$2005,"Sale"))</f>
        <v/>
      </c>
      <c r="K89" s="27">
        <f>IF(B89="","",G89+I89-J89)</f>
        <v/>
      </c>
      <c r="L89" s="28">
        <f>IF(OR(B89="",N(F89)=0),"",(F89-E89)/F89)</f>
        <v/>
      </c>
      <c r="M89" s="29">
        <f>IF(B89="","",IF(K89&lt;=0,"Out of stock",IF(K89&lt;=H89,"Reorder now","OK")))</f>
        <v/>
      </c>
      <c r="N89" s="1" t="n"/>
    </row>
    <row r="90">
      <c r="A90" s="1" t="n"/>
      <c r="B90" s="23" t="n"/>
      <c r="C90" s="24" t="n"/>
      <c r="D90" s="24" t="n"/>
      <c r="E90" s="25" t="n"/>
      <c r="F90" s="25" t="n"/>
      <c r="G90" s="26" t="n"/>
      <c r="H90" s="26" t="n"/>
      <c r="I90" s="18">
        <f>IF(B90="","",SUMIFS('Stock Moves'!$E$6:$E$2005,'Stock Moves'!$C$6:$C$2005,B90,'Stock Moves'!$D$6:$D$2005,"Purchase")+SUMIFS('Stock Moves'!$E$6:$E$2005,'Stock Moves'!$C$6:$C$2005,B90,'Stock Moves'!$D$6:$D$2005,"Return")+SUMIFS('Stock Moves'!$E$6:$E$2005,'Stock Moves'!$C$6:$C$2005,B90,'Stock Moves'!$D$6:$D$2005,"Adjustment"))</f>
        <v/>
      </c>
      <c r="J90" s="18">
        <f>IF(B90="","",SUMIFS('Stock Moves'!$E$6:$E$2005,'Stock Moves'!$C$6:$C$2005,B90,'Stock Moves'!$D$6:$D$2005,"Sale"))</f>
        <v/>
      </c>
      <c r="K90" s="27">
        <f>IF(B90="","",G90+I90-J90)</f>
        <v/>
      </c>
      <c r="L90" s="28">
        <f>IF(OR(B90="",N(F90)=0),"",(F90-E90)/F90)</f>
        <v/>
      </c>
      <c r="M90" s="29">
        <f>IF(B90="","",IF(K90&lt;=0,"Out of stock",IF(K90&lt;=H90,"Reorder now","OK")))</f>
        <v/>
      </c>
      <c r="N90" s="1" t="n"/>
    </row>
    <row r="91">
      <c r="A91" s="1" t="n"/>
      <c r="B91" s="23" t="n"/>
      <c r="C91" s="24" t="n"/>
      <c r="D91" s="24" t="n"/>
      <c r="E91" s="25" t="n"/>
      <c r="F91" s="25" t="n"/>
      <c r="G91" s="26" t="n"/>
      <c r="H91" s="26" t="n"/>
      <c r="I91" s="18">
        <f>IF(B91="","",SUMIFS('Stock Moves'!$E$6:$E$2005,'Stock Moves'!$C$6:$C$2005,B91,'Stock Moves'!$D$6:$D$2005,"Purchase")+SUMIFS('Stock Moves'!$E$6:$E$2005,'Stock Moves'!$C$6:$C$2005,B91,'Stock Moves'!$D$6:$D$2005,"Return")+SUMIFS('Stock Moves'!$E$6:$E$2005,'Stock Moves'!$C$6:$C$2005,B91,'Stock Moves'!$D$6:$D$2005,"Adjustment"))</f>
        <v/>
      </c>
      <c r="J91" s="18">
        <f>IF(B91="","",SUMIFS('Stock Moves'!$E$6:$E$2005,'Stock Moves'!$C$6:$C$2005,B91,'Stock Moves'!$D$6:$D$2005,"Sale"))</f>
        <v/>
      </c>
      <c r="K91" s="27">
        <f>IF(B91="","",G91+I91-J91)</f>
        <v/>
      </c>
      <c r="L91" s="28">
        <f>IF(OR(B91="",N(F91)=0),"",(F91-E91)/F91)</f>
        <v/>
      </c>
      <c r="M91" s="29">
        <f>IF(B91="","",IF(K91&lt;=0,"Out of stock",IF(K91&lt;=H91,"Reorder now","OK")))</f>
        <v/>
      </c>
      <c r="N91" s="1" t="n"/>
    </row>
    <row r="92">
      <c r="A92" s="1" t="n"/>
      <c r="B92" s="23" t="n"/>
      <c r="C92" s="24" t="n"/>
      <c r="D92" s="24" t="n"/>
      <c r="E92" s="25" t="n"/>
      <c r="F92" s="25" t="n"/>
      <c r="G92" s="26" t="n"/>
      <c r="H92" s="26" t="n"/>
      <c r="I92" s="18">
        <f>IF(B92="","",SUMIFS('Stock Moves'!$E$6:$E$2005,'Stock Moves'!$C$6:$C$2005,B92,'Stock Moves'!$D$6:$D$2005,"Purchase")+SUMIFS('Stock Moves'!$E$6:$E$2005,'Stock Moves'!$C$6:$C$2005,B92,'Stock Moves'!$D$6:$D$2005,"Return")+SUMIFS('Stock Moves'!$E$6:$E$2005,'Stock Moves'!$C$6:$C$2005,B92,'Stock Moves'!$D$6:$D$2005,"Adjustment"))</f>
        <v/>
      </c>
      <c r="J92" s="18">
        <f>IF(B92="","",SUMIFS('Stock Moves'!$E$6:$E$2005,'Stock Moves'!$C$6:$C$2005,B92,'Stock Moves'!$D$6:$D$2005,"Sale"))</f>
        <v/>
      </c>
      <c r="K92" s="27">
        <f>IF(B92="","",G92+I92-J92)</f>
        <v/>
      </c>
      <c r="L92" s="28">
        <f>IF(OR(B92="",N(F92)=0),"",(F92-E92)/F92)</f>
        <v/>
      </c>
      <c r="M92" s="29">
        <f>IF(B92="","",IF(K92&lt;=0,"Out of stock",IF(K92&lt;=H92,"Reorder now","OK")))</f>
        <v/>
      </c>
      <c r="N92" s="1" t="n"/>
    </row>
    <row r="93">
      <c r="A93" s="1" t="n"/>
      <c r="B93" s="23" t="n"/>
      <c r="C93" s="24" t="n"/>
      <c r="D93" s="24" t="n"/>
      <c r="E93" s="25" t="n"/>
      <c r="F93" s="25" t="n"/>
      <c r="G93" s="26" t="n"/>
      <c r="H93" s="26" t="n"/>
      <c r="I93" s="18">
        <f>IF(B93="","",SUMIFS('Stock Moves'!$E$6:$E$2005,'Stock Moves'!$C$6:$C$2005,B93,'Stock Moves'!$D$6:$D$2005,"Purchase")+SUMIFS('Stock Moves'!$E$6:$E$2005,'Stock Moves'!$C$6:$C$2005,B93,'Stock Moves'!$D$6:$D$2005,"Return")+SUMIFS('Stock Moves'!$E$6:$E$2005,'Stock Moves'!$C$6:$C$2005,B93,'Stock Moves'!$D$6:$D$2005,"Adjustment"))</f>
        <v/>
      </c>
      <c r="J93" s="18">
        <f>IF(B93="","",SUMIFS('Stock Moves'!$E$6:$E$2005,'Stock Moves'!$C$6:$C$2005,B93,'Stock Moves'!$D$6:$D$2005,"Sale"))</f>
        <v/>
      </c>
      <c r="K93" s="27">
        <f>IF(B93="","",G93+I93-J93)</f>
        <v/>
      </c>
      <c r="L93" s="28">
        <f>IF(OR(B93="",N(F93)=0),"",(F93-E93)/F93)</f>
        <v/>
      </c>
      <c r="M93" s="29">
        <f>IF(B93="","",IF(K93&lt;=0,"Out of stock",IF(K93&lt;=H93,"Reorder now","OK")))</f>
        <v/>
      </c>
      <c r="N93" s="1" t="n"/>
    </row>
    <row r="94">
      <c r="A94" s="1" t="n"/>
      <c r="B94" s="23" t="n"/>
      <c r="C94" s="24" t="n"/>
      <c r="D94" s="24" t="n"/>
      <c r="E94" s="25" t="n"/>
      <c r="F94" s="25" t="n"/>
      <c r="G94" s="26" t="n"/>
      <c r="H94" s="26" t="n"/>
      <c r="I94" s="18">
        <f>IF(B94="","",SUMIFS('Stock Moves'!$E$6:$E$2005,'Stock Moves'!$C$6:$C$2005,B94,'Stock Moves'!$D$6:$D$2005,"Purchase")+SUMIFS('Stock Moves'!$E$6:$E$2005,'Stock Moves'!$C$6:$C$2005,B94,'Stock Moves'!$D$6:$D$2005,"Return")+SUMIFS('Stock Moves'!$E$6:$E$2005,'Stock Moves'!$C$6:$C$2005,B94,'Stock Moves'!$D$6:$D$2005,"Adjustment"))</f>
        <v/>
      </c>
      <c r="J94" s="18">
        <f>IF(B94="","",SUMIFS('Stock Moves'!$E$6:$E$2005,'Stock Moves'!$C$6:$C$2005,B94,'Stock Moves'!$D$6:$D$2005,"Sale"))</f>
        <v/>
      </c>
      <c r="K94" s="27">
        <f>IF(B94="","",G94+I94-J94)</f>
        <v/>
      </c>
      <c r="L94" s="28">
        <f>IF(OR(B94="",N(F94)=0),"",(F94-E94)/F94)</f>
        <v/>
      </c>
      <c r="M94" s="29">
        <f>IF(B94="","",IF(K94&lt;=0,"Out of stock",IF(K94&lt;=H94,"Reorder now","OK")))</f>
        <v/>
      </c>
      <c r="N94" s="1" t="n"/>
    </row>
    <row r="95">
      <c r="A95" s="1" t="n"/>
      <c r="B95" s="23" t="n"/>
      <c r="C95" s="24" t="n"/>
      <c r="D95" s="24" t="n"/>
      <c r="E95" s="25" t="n"/>
      <c r="F95" s="25" t="n"/>
      <c r="G95" s="26" t="n"/>
      <c r="H95" s="26" t="n"/>
      <c r="I95" s="18">
        <f>IF(B95="","",SUMIFS('Stock Moves'!$E$6:$E$2005,'Stock Moves'!$C$6:$C$2005,B95,'Stock Moves'!$D$6:$D$2005,"Purchase")+SUMIFS('Stock Moves'!$E$6:$E$2005,'Stock Moves'!$C$6:$C$2005,B95,'Stock Moves'!$D$6:$D$2005,"Return")+SUMIFS('Stock Moves'!$E$6:$E$2005,'Stock Moves'!$C$6:$C$2005,B95,'Stock Moves'!$D$6:$D$2005,"Adjustment"))</f>
        <v/>
      </c>
      <c r="J95" s="18">
        <f>IF(B95="","",SUMIFS('Stock Moves'!$E$6:$E$2005,'Stock Moves'!$C$6:$C$2005,B95,'Stock Moves'!$D$6:$D$2005,"Sale"))</f>
        <v/>
      </c>
      <c r="K95" s="27">
        <f>IF(B95="","",G95+I95-J95)</f>
        <v/>
      </c>
      <c r="L95" s="28">
        <f>IF(OR(B95="",N(F95)=0),"",(F95-E95)/F95)</f>
        <v/>
      </c>
      <c r="M95" s="29">
        <f>IF(B95="","",IF(K95&lt;=0,"Out of stock",IF(K95&lt;=H95,"Reorder now","OK")))</f>
        <v/>
      </c>
      <c r="N95" s="1" t="n"/>
    </row>
    <row r="96">
      <c r="A96" s="1" t="n"/>
      <c r="B96" s="23" t="n"/>
      <c r="C96" s="24" t="n"/>
      <c r="D96" s="24" t="n"/>
      <c r="E96" s="25" t="n"/>
      <c r="F96" s="25" t="n"/>
      <c r="G96" s="26" t="n"/>
      <c r="H96" s="26" t="n"/>
      <c r="I96" s="18">
        <f>IF(B96="","",SUMIFS('Stock Moves'!$E$6:$E$2005,'Stock Moves'!$C$6:$C$2005,B96,'Stock Moves'!$D$6:$D$2005,"Purchase")+SUMIFS('Stock Moves'!$E$6:$E$2005,'Stock Moves'!$C$6:$C$2005,B96,'Stock Moves'!$D$6:$D$2005,"Return")+SUMIFS('Stock Moves'!$E$6:$E$2005,'Stock Moves'!$C$6:$C$2005,B96,'Stock Moves'!$D$6:$D$2005,"Adjustment"))</f>
        <v/>
      </c>
      <c r="J96" s="18">
        <f>IF(B96="","",SUMIFS('Stock Moves'!$E$6:$E$2005,'Stock Moves'!$C$6:$C$2005,B96,'Stock Moves'!$D$6:$D$2005,"Sale"))</f>
        <v/>
      </c>
      <c r="K96" s="27">
        <f>IF(B96="","",G96+I96-J96)</f>
        <v/>
      </c>
      <c r="L96" s="28">
        <f>IF(OR(B96="",N(F96)=0),"",(F96-E96)/F96)</f>
        <v/>
      </c>
      <c r="M96" s="29">
        <f>IF(B96="","",IF(K96&lt;=0,"Out of stock",IF(K96&lt;=H96,"Reorder now","OK")))</f>
        <v/>
      </c>
      <c r="N96" s="1" t="n"/>
    </row>
    <row r="97">
      <c r="A97" s="1" t="n"/>
      <c r="B97" s="23" t="n"/>
      <c r="C97" s="24" t="n"/>
      <c r="D97" s="24" t="n"/>
      <c r="E97" s="25" t="n"/>
      <c r="F97" s="25" t="n"/>
      <c r="G97" s="26" t="n"/>
      <c r="H97" s="26" t="n"/>
      <c r="I97" s="18">
        <f>IF(B97="","",SUMIFS('Stock Moves'!$E$6:$E$2005,'Stock Moves'!$C$6:$C$2005,B97,'Stock Moves'!$D$6:$D$2005,"Purchase")+SUMIFS('Stock Moves'!$E$6:$E$2005,'Stock Moves'!$C$6:$C$2005,B97,'Stock Moves'!$D$6:$D$2005,"Return")+SUMIFS('Stock Moves'!$E$6:$E$2005,'Stock Moves'!$C$6:$C$2005,B97,'Stock Moves'!$D$6:$D$2005,"Adjustment"))</f>
        <v/>
      </c>
      <c r="J97" s="18">
        <f>IF(B97="","",SUMIFS('Stock Moves'!$E$6:$E$2005,'Stock Moves'!$C$6:$C$2005,B97,'Stock Moves'!$D$6:$D$2005,"Sale"))</f>
        <v/>
      </c>
      <c r="K97" s="27">
        <f>IF(B97="","",G97+I97-J97)</f>
        <v/>
      </c>
      <c r="L97" s="28">
        <f>IF(OR(B97="",N(F97)=0),"",(F97-E97)/F97)</f>
        <v/>
      </c>
      <c r="M97" s="29">
        <f>IF(B97="","",IF(K97&lt;=0,"Out of stock",IF(K97&lt;=H97,"Reorder now","OK")))</f>
        <v/>
      </c>
      <c r="N97" s="1" t="n"/>
    </row>
    <row r="98">
      <c r="A98" s="1" t="n"/>
      <c r="B98" s="23" t="n"/>
      <c r="C98" s="24" t="n"/>
      <c r="D98" s="24" t="n"/>
      <c r="E98" s="25" t="n"/>
      <c r="F98" s="25" t="n"/>
      <c r="G98" s="26" t="n"/>
      <c r="H98" s="26" t="n"/>
      <c r="I98" s="18">
        <f>IF(B98="","",SUMIFS('Stock Moves'!$E$6:$E$2005,'Stock Moves'!$C$6:$C$2005,B98,'Stock Moves'!$D$6:$D$2005,"Purchase")+SUMIFS('Stock Moves'!$E$6:$E$2005,'Stock Moves'!$C$6:$C$2005,B98,'Stock Moves'!$D$6:$D$2005,"Return")+SUMIFS('Stock Moves'!$E$6:$E$2005,'Stock Moves'!$C$6:$C$2005,B98,'Stock Moves'!$D$6:$D$2005,"Adjustment"))</f>
        <v/>
      </c>
      <c r="J98" s="18">
        <f>IF(B98="","",SUMIFS('Stock Moves'!$E$6:$E$2005,'Stock Moves'!$C$6:$C$2005,B98,'Stock Moves'!$D$6:$D$2005,"Sale"))</f>
        <v/>
      </c>
      <c r="K98" s="27">
        <f>IF(B98="","",G98+I98-J98)</f>
        <v/>
      </c>
      <c r="L98" s="28">
        <f>IF(OR(B98="",N(F98)=0),"",(F98-E98)/F98)</f>
        <v/>
      </c>
      <c r="M98" s="29">
        <f>IF(B98="","",IF(K98&lt;=0,"Out of stock",IF(K98&lt;=H98,"Reorder now","OK")))</f>
        <v/>
      </c>
      <c r="N98" s="1" t="n"/>
    </row>
    <row r="99">
      <c r="A99" s="1" t="n"/>
      <c r="B99" s="23" t="n"/>
      <c r="C99" s="24" t="n"/>
      <c r="D99" s="24" t="n"/>
      <c r="E99" s="25" t="n"/>
      <c r="F99" s="25" t="n"/>
      <c r="G99" s="26" t="n"/>
      <c r="H99" s="26" t="n"/>
      <c r="I99" s="18">
        <f>IF(B99="","",SUMIFS('Stock Moves'!$E$6:$E$2005,'Stock Moves'!$C$6:$C$2005,B99,'Stock Moves'!$D$6:$D$2005,"Purchase")+SUMIFS('Stock Moves'!$E$6:$E$2005,'Stock Moves'!$C$6:$C$2005,B99,'Stock Moves'!$D$6:$D$2005,"Return")+SUMIFS('Stock Moves'!$E$6:$E$2005,'Stock Moves'!$C$6:$C$2005,B99,'Stock Moves'!$D$6:$D$2005,"Adjustment"))</f>
        <v/>
      </c>
      <c r="J99" s="18">
        <f>IF(B99="","",SUMIFS('Stock Moves'!$E$6:$E$2005,'Stock Moves'!$C$6:$C$2005,B99,'Stock Moves'!$D$6:$D$2005,"Sale"))</f>
        <v/>
      </c>
      <c r="K99" s="27">
        <f>IF(B99="","",G99+I99-J99)</f>
        <v/>
      </c>
      <c r="L99" s="28">
        <f>IF(OR(B99="",N(F99)=0),"",(F99-E99)/F99)</f>
        <v/>
      </c>
      <c r="M99" s="29">
        <f>IF(B99="","",IF(K99&lt;=0,"Out of stock",IF(K99&lt;=H99,"Reorder now","OK")))</f>
        <v/>
      </c>
      <c r="N99" s="1" t="n"/>
    </row>
    <row r="100">
      <c r="A100" s="1" t="n"/>
      <c r="B100" s="23" t="n"/>
      <c r="C100" s="24" t="n"/>
      <c r="D100" s="24" t="n"/>
      <c r="E100" s="25" t="n"/>
      <c r="F100" s="25" t="n"/>
      <c r="G100" s="26" t="n"/>
      <c r="H100" s="26" t="n"/>
      <c r="I100" s="18">
        <f>IF(B100="","",SUMIFS('Stock Moves'!$E$6:$E$2005,'Stock Moves'!$C$6:$C$2005,B100,'Stock Moves'!$D$6:$D$2005,"Purchase")+SUMIFS('Stock Moves'!$E$6:$E$2005,'Stock Moves'!$C$6:$C$2005,B100,'Stock Moves'!$D$6:$D$2005,"Return")+SUMIFS('Stock Moves'!$E$6:$E$2005,'Stock Moves'!$C$6:$C$2005,B100,'Stock Moves'!$D$6:$D$2005,"Adjustment"))</f>
        <v/>
      </c>
      <c r="J100" s="18">
        <f>IF(B100="","",SUMIFS('Stock Moves'!$E$6:$E$2005,'Stock Moves'!$C$6:$C$2005,B100,'Stock Moves'!$D$6:$D$2005,"Sale"))</f>
        <v/>
      </c>
      <c r="K100" s="27">
        <f>IF(B100="","",G100+I100-J100)</f>
        <v/>
      </c>
      <c r="L100" s="28">
        <f>IF(OR(B100="",N(F100)=0),"",(F100-E100)/F100)</f>
        <v/>
      </c>
      <c r="M100" s="29">
        <f>IF(B100="","",IF(K100&lt;=0,"Out of stock",IF(K100&lt;=H100,"Reorder now","OK")))</f>
        <v/>
      </c>
      <c r="N100" s="1" t="n"/>
    </row>
    <row r="101">
      <c r="A101" s="1" t="n"/>
      <c r="B101" s="23" t="n"/>
      <c r="C101" s="24" t="n"/>
      <c r="D101" s="24" t="n"/>
      <c r="E101" s="25" t="n"/>
      <c r="F101" s="25" t="n"/>
      <c r="G101" s="26" t="n"/>
      <c r="H101" s="26" t="n"/>
      <c r="I101" s="18">
        <f>IF(B101="","",SUMIFS('Stock Moves'!$E$6:$E$2005,'Stock Moves'!$C$6:$C$2005,B101,'Stock Moves'!$D$6:$D$2005,"Purchase")+SUMIFS('Stock Moves'!$E$6:$E$2005,'Stock Moves'!$C$6:$C$2005,B101,'Stock Moves'!$D$6:$D$2005,"Return")+SUMIFS('Stock Moves'!$E$6:$E$2005,'Stock Moves'!$C$6:$C$2005,B101,'Stock Moves'!$D$6:$D$2005,"Adjustment"))</f>
        <v/>
      </c>
      <c r="J101" s="18">
        <f>IF(B101="","",SUMIFS('Stock Moves'!$E$6:$E$2005,'Stock Moves'!$C$6:$C$2005,B101,'Stock Moves'!$D$6:$D$2005,"Sale"))</f>
        <v/>
      </c>
      <c r="K101" s="27">
        <f>IF(B101="","",G101+I101-J101)</f>
        <v/>
      </c>
      <c r="L101" s="28">
        <f>IF(OR(B101="",N(F101)=0),"",(F101-E101)/F101)</f>
        <v/>
      </c>
      <c r="M101" s="29">
        <f>IF(B101="","",IF(K101&lt;=0,"Out of stock",IF(K101&lt;=H101,"Reorder now","OK")))</f>
        <v/>
      </c>
      <c r="N101" s="1" t="n"/>
    </row>
    <row r="102">
      <c r="A102" s="1" t="n"/>
      <c r="B102" s="23" t="n"/>
      <c r="C102" s="24" t="n"/>
      <c r="D102" s="24" t="n"/>
      <c r="E102" s="25" t="n"/>
      <c r="F102" s="25" t="n"/>
      <c r="G102" s="26" t="n"/>
      <c r="H102" s="26" t="n"/>
      <c r="I102" s="18">
        <f>IF(B102="","",SUMIFS('Stock Moves'!$E$6:$E$2005,'Stock Moves'!$C$6:$C$2005,B102,'Stock Moves'!$D$6:$D$2005,"Purchase")+SUMIFS('Stock Moves'!$E$6:$E$2005,'Stock Moves'!$C$6:$C$2005,B102,'Stock Moves'!$D$6:$D$2005,"Return")+SUMIFS('Stock Moves'!$E$6:$E$2005,'Stock Moves'!$C$6:$C$2005,B102,'Stock Moves'!$D$6:$D$2005,"Adjustment"))</f>
        <v/>
      </c>
      <c r="J102" s="18">
        <f>IF(B102="","",SUMIFS('Stock Moves'!$E$6:$E$2005,'Stock Moves'!$C$6:$C$2005,B102,'Stock Moves'!$D$6:$D$2005,"Sale"))</f>
        <v/>
      </c>
      <c r="K102" s="27">
        <f>IF(B102="","",G102+I102-J102)</f>
        <v/>
      </c>
      <c r="L102" s="28">
        <f>IF(OR(B102="",N(F102)=0),"",(F102-E102)/F102)</f>
        <v/>
      </c>
      <c r="M102" s="29">
        <f>IF(B102="","",IF(K102&lt;=0,"Out of stock",IF(K102&lt;=H102,"Reorder now","OK")))</f>
        <v/>
      </c>
      <c r="N102" s="1" t="n"/>
    </row>
    <row r="103">
      <c r="A103" s="1" t="n"/>
      <c r="B103" s="23" t="n"/>
      <c r="C103" s="24" t="n"/>
      <c r="D103" s="24" t="n"/>
      <c r="E103" s="25" t="n"/>
      <c r="F103" s="25" t="n"/>
      <c r="G103" s="26" t="n"/>
      <c r="H103" s="26" t="n"/>
      <c r="I103" s="18">
        <f>IF(B103="","",SUMIFS('Stock Moves'!$E$6:$E$2005,'Stock Moves'!$C$6:$C$2005,B103,'Stock Moves'!$D$6:$D$2005,"Purchase")+SUMIFS('Stock Moves'!$E$6:$E$2005,'Stock Moves'!$C$6:$C$2005,B103,'Stock Moves'!$D$6:$D$2005,"Return")+SUMIFS('Stock Moves'!$E$6:$E$2005,'Stock Moves'!$C$6:$C$2005,B103,'Stock Moves'!$D$6:$D$2005,"Adjustment"))</f>
        <v/>
      </c>
      <c r="J103" s="18">
        <f>IF(B103="","",SUMIFS('Stock Moves'!$E$6:$E$2005,'Stock Moves'!$C$6:$C$2005,B103,'Stock Moves'!$D$6:$D$2005,"Sale"))</f>
        <v/>
      </c>
      <c r="K103" s="27">
        <f>IF(B103="","",G103+I103-J103)</f>
        <v/>
      </c>
      <c r="L103" s="28">
        <f>IF(OR(B103="",N(F103)=0),"",(F103-E103)/F103)</f>
        <v/>
      </c>
      <c r="M103" s="29">
        <f>IF(B103="","",IF(K103&lt;=0,"Out of stock",IF(K103&lt;=H103,"Reorder now","OK")))</f>
        <v/>
      </c>
      <c r="N103" s="1" t="n"/>
    </row>
    <row r="104">
      <c r="A104" s="1" t="n"/>
      <c r="B104" s="23" t="n"/>
      <c r="C104" s="24" t="n"/>
      <c r="D104" s="24" t="n"/>
      <c r="E104" s="25" t="n"/>
      <c r="F104" s="25" t="n"/>
      <c r="G104" s="26" t="n"/>
      <c r="H104" s="26" t="n"/>
      <c r="I104" s="18">
        <f>IF(B104="","",SUMIFS('Stock Moves'!$E$6:$E$2005,'Stock Moves'!$C$6:$C$2005,B104,'Stock Moves'!$D$6:$D$2005,"Purchase")+SUMIFS('Stock Moves'!$E$6:$E$2005,'Stock Moves'!$C$6:$C$2005,B104,'Stock Moves'!$D$6:$D$2005,"Return")+SUMIFS('Stock Moves'!$E$6:$E$2005,'Stock Moves'!$C$6:$C$2005,B104,'Stock Moves'!$D$6:$D$2005,"Adjustment"))</f>
        <v/>
      </c>
      <c r="J104" s="18">
        <f>IF(B104="","",SUMIFS('Stock Moves'!$E$6:$E$2005,'Stock Moves'!$C$6:$C$2005,B104,'Stock Moves'!$D$6:$D$2005,"Sale"))</f>
        <v/>
      </c>
      <c r="K104" s="27">
        <f>IF(B104="","",G104+I104-J104)</f>
        <v/>
      </c>
      <c r="L104" s="28">
        <f>IF(OR(B104="",N(F104)=0),"",(F104-E104)/F104)</f>
        <v/>
      </c>
      <c r="M104" s="29">
        <f>IF(B104="","",IF(K104&lt;=0,"Out of stock",IF(K104&lt;=H104,"Reorder now","OK")))</f>
        <v/>
      </c>
      <c r="N104" s="1" t="n"/>
    </row>
    <row r="105">
      <c r="A105" s="1" t="n"/>
      <c r="B105" s="23" t="n"/>
      <c r="C105" s="24" t="n"/>
      <c r="D105" s="24" t="n"/>
      <c r="E105" s="25" t="n"/>
      <c r="F105" s="25" t="n"/>
      <c r="G105" s="26" t="n"/>
      <c r="H105" s="26" t="n"/>
      <c r="I105" s="18">
        <f>IF(B105="","",SUMIFS('Stock Moves'!$E$6:$E$2005,'Stock Moves'!$C$6:$C$2005,B105,'Stock Moves'!$D$6:$D$2005,"Purchase")+SUMIFS('Stock Moves'!$E$6:$E$2005,'Stock Moves'!$C$6:$C$2005,B105,'Stock Moves'!$D$6:$D$2005,"Return")+SUMIFS('Stock Moves'!$E$6:$E$2005,'Stock Moves'!$C$6:$C$2005,B105,'Stock Moves'!$D$6:$D$2005,"Adjustment"))</f>
        <v/>
      </c>
      <c r="J105" s="18">
        <f>IF(B105="","",SUMIFS('Stock Moves'!$E$6:$E$2005,'Stock Moves'!$C$6:$C$2005,B105,'Stock Moves'!$D$6:$D$2005,"Sale"))</f>
        <v/>
      </c>
      <c r="K105" s="27">
        <f>IF(B105="","",G105+I105-J105)</f>
        <v/>
      </c>
      <c r="L105" s="28">
        <f>IF(OR(B105="",N(F105)=0),"",(F105-E105)/F105)</f>
        <v/>
      </c>
      <c r="M105" s="29">
        <f>IF(B105="","",IF(K105&lt;=0,"Out of stock",IF(K105&lt;=H105,"Reorder now","OK")))</f>
        <v/>
      </c>
      <c r="N105" s="1" t="n"/>
    </row>
    <row r="106">
      <c r="A106" s="1" t="n"/>
      <c r="B106" s="23" t="n"/>
      <c r="C106" s="24" t="n"/>
      <c r="D106" s="24" t="n"/>
      <c r="E106" s="25" t="n"/>
      <c r="F106" s="25" t="n"/>
      <c r="G106" s="26" t="n"/>
      <c r="H106" s="26" t="n"/>
      <c r="I106" s="18">
        <f>IF(B106="","",SUMIFS('Stock Moves'!$E$6:$E$2005,'Stock Moves'!$C$6:$C$2005,B106,'Stock Moves'!$D$6:$D$2005,"Purchase")+SUMIFS('Stock Moves'!$E$6:$E$2005,'Stock Moves'!$C$6:$C$2005,B106,'Stock Moves'!$D$6:$D$2005,"Return")+SUMIFS('Stock Moves'!$E$6:$E$2005,'Stock Moves'!$C$6:$C$2005,B106,'Stock Moves'!$D$6:$D$2005,"Adjustment"))</f>
        <v/>
      </c>
      <c r="J106" s="18">
        <f>IF(B106="","",SUMIFS('Stock Moves'!$E$6:$E$2005,'Stock Moves'!$C$6:$C$2005,B106,'Stock Moves'!$D$6:$D$2005,"Sale"))</f>
        <v/>
      </c>
      <c r="K106" s="27">
        <f>IF(B106="","",G106+I106-J106)</f>
        <v/>
      </c>
      <c r="L106" s="28">
        <f>IF(OR(B106="",N(F106)=0),"",(F106-E106)/F106)</f>
        <v/>
      </c>
      <c r="M106" s="29">
        <f>IF(B106="","",IF(K106&lt;=0,"Out of stock",IF(K106&lt;=H106,"Reorder now","OK")))</f>
        <v/>
      </c>
      <c r="N106" s="1" t="n"/>
    </row>
    <row r="107">
      <c r="A107" s="1" t="n"/>
      <c r="B107" s="23" t="n"/>
      <c r="C107" s="24" t="n"/>
      <c r="D107" s="24" t="n"/>
      <c r="E107" s="25" t="n"/>
      <c r="F107" s="25" t="n"/>
      <c r="G107" s="26" t="n"/>
      <c r="H107" s="26" t="n"/>
      <c r="I107" s="18">
        <f>IF(B107="","",SUMIFS('Stock Moves'!$E$6:$E$2005,'Stock Moves'!$C$6:$C$2005,B107,'Stock Moves'!$D$6:$D$2005,"Purchase")+SUMIFS('Stock Moves'!$E$6:$E$2005,'Stock Moves'!$C$6:$C$2005,B107,'Stock Moves'!$D$6:$D$2005,"Return")+SUMIFS('Stock Moves'!$E$6:$E$2005,'Stock Moves'!$C$6:$C$2005,B107,'Stock Moves'!$D$6:$D$2005,"Adjustment"))</f>
        <v/>
      </c>
      <c r="J107" s="18">
        <f>IF(B107="","",SUMIFS('Stock Moves'!$E$6:$E$2005,'Stock Moves'!$C$6:$C$2005,B107,'Stock Moves'!$D$6:$D$2005,"Sale"))</f>
        <v/>
      </c>
      <c r="K107" s="27">
        <f>IF(B107="","",G107+I107-J107)</f>
        <v/>
      </c>
      <c r="L107" s="28">
        <f>IF(OR(B107="",N(F107)=0),"",(F107-E107)/F107)</f>
        <v/>
      </c>
      <c r="M107" s="29">
        <f>IF(B107="","",IF(K107&lt;=0,"Out of stock",IF(K107&lt;=H107,"Reorder now","OK")))</f>
        <v/>
      </c>
      <c r="N107" s="1" t="n"/>
    </row>
    <row r="108">
      <c r="A108" s="1" t="n"/>
      <c r="B108" s="23" t="n"/>
      <c r="C108" s="24" t="n"/>
      <c r="D108" s="24" t="n"/>
      <c r="E108" s="25" t="n"/>
      <c r="F108" s="25" t="n"/>
      <c r="G108" s="26" t="n"/>
      <c r="H108" s="26" t="n"/>
      <c r="I108" s="18">
        <f>IF(B108="","",SUMIFS('Stock Moves'!$E$6:$E$2005,'Stock Moves'!$C$6:$C$2005,B108,'Stock Moves'!$D$6:$D$2005,"Purchase")+SUMIFS('Stock Moves'!$E$6:$E$2005,'Stock Moves'!$C$6:$C$2005,B108,'Stock Moves'!$D$6:$D$2005,"Return")+SUMIFS('Stock Moves'!$E$6:$E$2005,'Stock Moves'!$C$6:$C$2005,B108,'Stock Moves'!$D$6:$D$2005,"Adjustment"))</f>
        <v/>
      </c>
      <c r="J108" s="18">
        <f>IF(B108="","",SUMIFS('Stock Moves'!$E$6:$E$2005,'Stock Moves'!$C$6:$C$2005,B108,'Stock Moves'!$D$6:$D$2005,"Sale"))</f>
        <v/>
      </c>
      <c r="K108" s="27">
        <f>IF(B108="","",G108+I108-J108)</f>
        <v/>
      </c>
      <c r="L108" s="28">
        <f>IF(OR(B108="",N(F108)=0),"",(F108-E108)/F108)</f>
        <v/>
      </c>
      <c r="M108" s="29">
        <f>IF(B108="","",IF(K108&lt;=0,"Out of stock",IF(K108&lt;=H108,"Reorder now","OK")))</f>
        <v/>
      </c>
      <c r="N108" s="1" t="n"/>
    </row>
    <row r="109">
      <c r="A109" s="1" t="n"/>
      <c r="B109" s="23" t="n"/>
      <c r="C109" s="24" t="n"/>
      <c r="D109" s="24" t="n"/>
      <c r="E109" s="25" t="n"/>
      <c r="F109" s="25" t="n"/>
      <c r="G109" s="26" t="n"/>
      <c r="H109" s="26" t="n"/>
      <c r="I109" s="18">
        <f>IF(B109="","",SUMIFS('Stock Moves'!$E$6:$E$2005,'Stock Moves'!$C$6:$C$2005,B109,'Stock Moves'!$D$6:$D$2005,"Purchase")+SUMIFS('Stock Moves'!$E$6:$E$2005,'Stock Moves'!$C$6:$C$2005,B109,'Stock Moves'!$D$6:$D$2005,"Return")+SUMIFS('Stock Moves'!$E$6:$E$2005,'Stock Moves'!$C$6:$C$2005,B109,'Stock Moves'!$D$6:$D$2005,"Adjustment"))</f>
        <v/>
      </c>
      <c r="J109" s="18">
        <f>IF(B109="","",SUMIFS('Stock Moves'!$E$6:$E$2005,'Stock Moves'!$C$6:$C$2005,B109,'Stock Moves'!$D$6:$D$2005,"Sale"))</f>
        <v/>
      </c>
      <c r="K109" s="27">
        <f>IF(B109="","",G109+I109-J109)</f>
        <v/>
      </c>
      <c r="L109" s="28">
        <f>IF(OR(B109="",N(F109)=0),"",(F109-E109)/F109)</f>
        <v/>
      </c>
      <c r="M109" s="29">
        <f>IF(B109="","",IF(K109&lt;=0,"Out of stock",IF(K109&lt;=H109,"Reorder now","OK")))</f>
        <v/>
      </c>
      <c r="N109" s="1" t="n"/>
    </row>
    <row r="110">
      <c r="A110" s="1" t="n"/>
      <c r="B110" s="23" t="n"/>
      <c r="C110" s="24" t="n"/>
      <c r="D110" s="24" t="n"/>
      <c r="E110" s="25" t="n"/>
      <c r="F110" s="25" t="n"/>
      <c r="G110" s="26" t="n"/>
      <c r="H110" s="26" t="n"/>
      <c r="I110" s="18">
        <f>IF(B110="","",SUMIFS('Stock Moves'!$E$6:$E$2005,'Stock Moves'!$C$6:$C$2005,B110,'Stock Moves'!$D$6:$D$2005,"Purchase")+SUMIFS('Stock Moves'!$E$6:$E$2005,'Stock Moves'!$C$6:$C$2005,B110,'Stock Moves'!$D$6:$D$2005,"Return")+SUMIFS('Stock Moves'!$E$6:$E$2005,'Stock Moves'!$C$6:$C$2005,B110,'Stock Moves'!$D$6:$D$2005,"Adjustment"))</f>
        <v/>
      </c>
      <c r="J110" s="18">
        <f>IF(B110="","",SUMIFS('Stock Moves'!$E$6:$E$2005,'Stock Moves'!$C$6:$C$2005,B110,'Stock Moves'!$D$6:$D$2005,"Sale"))</f>
        <v/>
      </c>
      <c r="K110" s="27">
        <f>IF(B110="","",G110+I110-J110)</f>
        <v/>
      </c>
      <c r="L110" s="28">
        <f>IF(OR(B110="",N(F110)=0),"",(F110-E110)/F110)</f>
        <v/>
      </c>
      <c r="M110" s="29">
        <f>IF(B110="","",IF(K110&lt;=0,"Out of stock",IF(K110&lt;=H110,"Reorder now","OK")))</f>
        <v/>
      </c>
      <c r="N110" s="1" t="n"/>
    </row>
    <row r="111">
      <c r="A111" s="1" t="n"/>
      <c r="B111" s="23" t="n"/>
      <c r="C111" s="24" t="n"/>
      <c r="D111" s="24" t="n"/>
      <c r="E111" s="25" t="n"/>
      <c r="F111" s="25" t="n"/>
      <c r="G111" s="26" t="n"/>
      <c r="H111" s="26" t="n"/>
      <c r="I111" s="18">
        <f>IF(B111="","",SUMIFS('Stock Moves'!$E$6:$E$2005,'Stock Moves'!$C$6:$C$2005,B111,'Stock Moves'!$D$6:$D$2005,"Purchase")+SUMIFS('Stock Moves'!$E$6:$E$2005,'Stock Moves'!$C$6:$C$2005,B111,'Stock Moves'!$D$6:$D$2005,"Return")+SUMIFS('Stock Moves'!$E$6:$E$2005,'Stock Moves'!$C$6:$C$2005,B111,'Stock Moves'!$D$6:$D$2005,"Adjustment"))</f>
        <v/>
      </c>
      <c r="J111" s="18">
        <f>IF(B111="","",SUMIFS('Stock Moves'!$E$6:$E$2005,'Stock Moves'!$C$6:$C$2005,B111,'Stock Moves'!$D$6:$D$2005,"Sale"))</f>
        <v/>
      </c>
      <c r="K111" s="27">
        <f>IF(B111="","",G111+I111-J111)</f>
        <v/>
      </c>
      <c r="L111" s="28">
        <f>IF(OR(B111="",N(F111)=0),"",(F111-E111)/F111)</f>
        <v/>
      </c>
      <c r="M111" s="29">
        <f>IF(B111="","",IF(K111&lt;=0,"Out of stock",IF(K111&lt;=H111,"Reorder now","OK")))</f>
        <v/>
      </c>
      <c r="N111" s="1" t="n"/>
    </row>
    <row r="112">
      <c r="A112" s="1" t="n"/>
      <c r="B112" s="23" t="n"/>
      <c r="C112" s="24" t="n"/>
      <c r="D112" s="24" t="n"/>
      <c r="E112" s="25" t="n"/>
      <c r="F112" s="25" t="n"/>
      <c r="G112" s="26" t="n"/>
      <c r="H112" s="26" t="n"/>
      <c r="I112" s="18">
        <f>IF(B112="","",SUMIFS('Stock Moves'!$E$6:$E$2005,'Stock Moves'!$C$6:$C$2005,B112,'Stock Moves'!$D$6:$D$2005,"Purchase")+SUMIFS('Stock Moves'!$E$6:$E$2005,'Stock Moves'!$C$6:$C$2005,B112,'Stock Moves'!$D$6:$D$2005,"Return")+SUMIFS('Stock Moves'!$E$6:$E$2005,'Stock Moves'!$C$6:$C$2005,B112,'Stock Moves'!$D$6:$D$2005,"Adjustment"))</f>
        <v/>
      </c>
      <c r="J112" s="18">
        <f>IF(B112="","",SUMIFS('Stock Moves'!$E$6:$E$2005,'Stock Moves'!$C$6:$C$2005,B112,'Stock Moves'!$D$6:$D$2005,"Sale"))</f>
        <v/>
      </c>
      <c r="K112" s="27">
        <f>IF(B112="","",G112+I112-J112)</f>
        <v/>
      </c>
      <c r="L112" s="28">
        <f>IF(OR(B112="",N(F112)=0),"",(F112-E112)/F112)</f>
        <v/>
      </c>
      <c r="M112" s="29">
        <f>IF(B112="","",IF(K112&lt;=0,"Out of stock",IF(K112&lt;=H112,"Reorder now","OK")))</f>
        <v/>
      </c>
      <c r="N112" s="1" t="n"/>
    </row>
    <row r="113">
      <c r="A113" s="1" t="n"/>
      <c r="B113" s="23" t="n"/>
      <c r="C113" s="24" t="n"/>
      <c r="D113" s="24" t="n"/>
      <c r="E113" s="25" t="n"/>
      <c r="F113" s="25" t="n"/>
      <c r="G113" s="26" t="n"/>
      <c r="H113" s="26" t="n"/>
      <c r="I113" s="18">
        <f>IF(B113="","",SUMIFS('Stock Moves'!$E$6:$E$2005,'Stock Moves'!$C$6:$C$2005,B113,'Stock Moves'!$D$6:$D$2005,"Purchase")+SUMIFS('Stock Moves'!$E$6:$E$2005,'Stock Moves'!$C$6:$C$2005,B113,'Stock Moves'!$D$6:$D$2005,"Return")+SUMIFS('Stock Moves'!$E$6:$E$2005,'Stock Moves'!$C$6:$C$2005,B113,'Stock Moves'!$D$6:$D$2005,"Adjustment"))</f>
        <v/>
      </c>
      <c r="J113" s="18">
        <f>IF(B113="","",SUMIFS('Stock Moves'!$E$6:$E$2005,'Stock Moves'!$C$6:$C$2005,B113,'Stock Moves'!$D$6:$D$2005,"Sale"))</f>
        <v/>
      </c>
      <c r="K113" s="27">
        <f>IF(B113="","",G113+I113-J113)</f>
        <v/>
      </c>
      <c r="L113" s="28">
        <f>IF(OR(B113="",N(F113)=0),"",(F113-E113)/F113)</f>
        <v/>
      </c>
      <c r="M113" s="29">
        <f>IF(B113="","",IF(K113&lt;=0,"Out of stock",IF(K113&lt;=H113,"Reorder now","OK")))</f>
        <v/>
      </c>
      <c r="N113" s="1" t="n"/>
    </row>
    <row r="114">
      <c r="A114" s="1" t="n"/>
      <c r="B114" s="23" t="n"/>
      <c r="C114" s="24" t="n"/>
      <c r="D114" s="24" t="n"/>
      <c r="E114" s="25" t="n"/>
      <c r="F114" s="25" t="n"/>
      <c r="G114" s="26" t="n"/>
      <c r="H114" s="26" t="n"/>
      <c r="I114" s="18">
        <f>IF(B114="","",SUMIFS('Stock Moves'!$E$6:$E$2005,'Stock Moves'!$C$6:$C$2005,B114,'Stock Moves'!$D$6:$D$2005,"Purchase")+SUMIFS('Stock Moves'!$E$6:$E$2005,'Stock Moves'!$C$6:$C$2005,B114,'Stock Moves'!$D$6:$D$2005,"Return")+SUMIFS('Stock Moves'!$E$6:$E$2005,'Stock Moves'!$C$6:$C$2005,B114,'Stock Moves'!$D$6:$D$2005,"Adjustment"))</f>
        <v/>
      </c>
      <c r="J114" s="18">
        <f>IF(B114="","",SUMIFS('Stock Moves'!$E$6:$E$2005,'Stock Moves'!$C$6:$C$2005,B114,'Stock Moves'!$D$6:$D$2005,"Sale"))</f>
        <v/>
      </c>
      <c r="K114" s="27">
        <f>IF(B114="","",G114+I114-J114)</f>
        <v/>
      </c>
      <c r="L114" s="28">
        <f>IF(OR(B114="",N(F114)=0),"",(F114-E114)/F114)</f>
        <v/>
      </c>
      <c r="M114" s="29">
        <f>IF(B114="","",IF(K114&lt;=0,"Out of stock",IF(K114&lt;=H114,"Reorder now","OK")))</f>
        <v/>
      </c>
      <c r="N114" s="1" t="n"/>
    </row>
    <row r="115">
      <c r="A115" s="1" t="n"/>
      <c r="B115" s="23" t="n"/>
      <c r="C115" s="24" t="n"/>
      <c r="D115" s="24" t="n"/>
      <c r="E115" s="25" t="n"/>
      <c r="F115" s="25" t="n"/>
      <c r="G115" s="26" t="n"/>
      <c r="H115" s="26" t="n"/>
      <c r="I115" s="18">
        <f>IF(B115="","",SUMIFS('Stock Moves'!$E$6:$E$2005,'Stock Moves'!$C$6:$C$2005,B115,'Stock Moves'!$D$6:$D$2005,"Purchase")+SUMIFS('Stock Moves'!$E$6:$E$2005,'Stock Moves'!$C$6:$C$2005,B115,'Stock Moves'!$D$6:$D$2005,"Return")+SUMIFS('Stock Moves'!$E$6:$E$2005,'Stock Moves'!$C$6:$C$2005,B115,'Stock Moves'!$D$6:$D$2005,"Adjustment"))</f>
        <v/>
      </c>
      <c r="J115" s="18">
        <f>IF(B115="","",SUMIFS('Stock Moves'!$E$6:$E$2005,'Stock Moves'!$C$6:$C$2005,B115,'Stock Moves'!$D$6:$D$2005,"Sale"))</f>
        <v/>
      </c>
      <c r="K115" s="27">
        <f>IF(B115="","",G115+I115-J115)</f>
        <v/>
      </c>
      <c r="L115" s="28">
        <f>IF(OR(B115="",N(F115)=0),"",(F115-E115)/F115)</f>
        <v/>
      </c>
      <c r="M115" s="29">
        <f>IF(B115="","",IF(K115&lt;=0,"Out of stock",IF(K115&lt;=H115,"Reorder now","OK")))</f>
        <v/>
      </c>
      <c r="N115" s="1" t="n"/>
    </row>
    <row r="116">
      <c r="A116" s="1" t="n"/>
      <c r="B116" s="23" t="n"/>
      <c r="C116" s="24" t="n"/>
      <c r="D116" s="24" t="n"/>
      <c r="E116" s="25" t="n"/>
      <c r="F116" s="25" t="n"/>
      <c r="G116" s="26" t="n"/>
      <c r="H116" s="26" t="n"/>
      <c r="I116" s="18">
        <f>IF(B116="","",SUMIFS('Stock Moves'!$E$6:$E$2005,'Stock Moves'!$C$6:$C$2005,B116,'Stock Moves'!$D$6:$D$2005,"Purchase")+SUMIFS('Stock Moves'!$E$6:$E$2005,'Stock Moves'!$C$6:$C$2005,B116,'Stock Moves'!$D$6:$D$2005,"Return")+SUMIFS('Stock Moves'!$E$6:$E$2005,'Stock Moves'!$C$6:$C$2005,B116,'Stock Moves'!$D$6:$D$2005,"Adjustment"))</f>
        <v/>
      </c>
      <c r="J116" s="18">
        <f>IF(B116="","",SUMIFS('Stock Moves'!$E$6:$E$2005,'Stock Moves'!$C$6:$C$2005,B116,'Stock Moves'!$D$6:$D$2005,"Sale"))</f>
        <v/>
      </c>
      <c r="K116" s="27">
        <f>IF(B116="","",G116+I116-J116)</f>
        <v/>
      </c>
      <c r="L116" s="28">
        <f>IF(OR(B116="",N(F116)=0),"",(F116-E116)/F116)</f>
        <v/>
      </c>
      <c r="M116" s="29">
        <f>IF(B116="","",IF(K116&lt;=0,"Out of stock",IF(K116&lt;=H116,"Reorder now","OK")))</f>
        <v/>
      </c>
      <c r="N116" s="1" t="n"/>
    </row>
    <row r="117">
      <c r="A117" s="1" t="n"/>
      <c r="B117" s="23" t="n"/>
      <c r="C117" s="24" t="n"/>
      <c r="D117" s="24" t="n"/>
      <c r="E117" s="25" t="n"/>
      <c r="F117" s="25" t="n"/>
      <c r="G117" s="26" t="n"/>
      <c r="H117" s="26" t="n"/>
      <c r="I117" s="18">
        <f>IF(B117="","",SUMIFS('Stock Moves'!$E$6:$E$2005,'Stock Moves'!$C$6:$C$2005,B117,'Stock Moves'!$D$6:$D$2005,"Purchase")+SUMIFS('Stock Moves'!$E$6:$E$2005,'Stock Moves'!$C$6:$C$2005,B117,'Stock Moves'!$D$6:$D$2005,"Return")+SUMIFS('Stock Moves'!$E$6:$E$2005,'Stock Moves'!$C$6:$C$2005,B117,'Stock Moves'!$D$6:$D$2005,"Adjustment"))</f>
        <v/>
      </c>
      <c r="J117" s="18">
        <f>IF(B117="","",SUMIFS('Stock Moves'!$E$6:$E$2005,'Stock Moves'!$C$6:$C$2005,B117,'Stock Moves'!$D$6:$D$2005,"Sale"))</f>
        <v/>
      </c>
      <c r="K117" s="27">
        <f>IF(B117="","",G117+I117-J117)</f>
        <v/>
      </c>
      <c r="L117" s="28">
        <f>IF(OR(B117="",N(F117)=0),"",(F117-E117)/F117)</f>
        <v/>
      </c>
      <c r="M117" s="29">
        <f>IF(B117="","",IF(K117&lt;=0,"Out of stock",IF(K117&lt;=H117,"Reorder now","OK")))</f>
        <v/>
      </c>
      <c r="N117" s="1" t="n"/>
    </row>
    <row r="118">
      <c r="A118" s="1" t="n"/>
      <c r="B118" s="23" t="n"/>
      <c r="C118" s="24" t="n"/>
      <c r="D118" s="24" t="n"/>
      <c r="E118" s="25" t="n"/>
      <c r="F118" s="25" t="n"/>
      <c r="G118" s="26" t="n"/>
      <c r="H118" s="26" t="n"/>
      <c r="I118" s="18">
        <f>IF(B118="","",SUMIFS('Stock Moves'!$E$6:$E$2005,'Stock Moves'!$C$6:$C$2005,B118,'Stock Moves'!$D$6:$D$2005,"Purchase")+SUMIFS('Stock Moves'!$E$6:$E$2005,'Stock Moves'!$C$6:$C$2005,B118,'Stock Moves'!$D$6:$D$2005,"Return")+SUMIFS('Stock Moves'!$E$6:$E$2005,'Stock Moves'!$C$6:$C$2005,B118,'Stock Moves'!$D$6:$D$2005,"Adjustment"))</f>
        <v/>
      </c>
      <c r="J118" s="18">
        <f>IF(B118="","",SUMIFS('Stock Moves'!$E$6:$E$2005,'Stock Moves'!$C$6:$C$2005,B118,'Stock Moves'!$D$6:$D$2005,"Sale"))</f>
        <v/>
      </c>
      <c r="K118" s="27">
        <f>IF(B118="","",G118+I118-J118)</f>
        <v/>
      </c>
      <c r="L118" s="28">
        <f>IF(OR(B118="",N(F118)=0),"",(F118-E118)/F118)</f>
        <v/>
      </c>
      <c r="M118" s="29">
        <f>IF(B118="","",IF(K118&lt;=0,"Out of stock",IF(K118&lt;=H118,"Reorder now","OK")))</f>
        <v/>
      </c>
      <c r="N118" s="1" t="n"/>
    </row>
    <row r="119">
      <c r="A119" s="1" t="n"/>
      <c r="B119" s="23" t="n"/>
      <c r="C119" s="24" t="n"/>
      <c r="D119" s="24" t="n"/>
      <c r="E119" s="25" t="n"/>
      <c r="F119" s="25" t="n"/>
      <c r="G119" s="26" t="n"/>
      <c r="H119" s="26" t="n"/>
      <c r="I119" s="18">
        <f>IF(B119="","",SUMIFS('Stock Moves'!$E$6:$E$2005,'Stock Moves'!$C$6:$C$2005,B119,'Stock Moves'!$D$6:$D$2005,"Purchase")+SUMIFS('Stock Moves'!$E$6:$E$2005,'Stock Moves'!$C$6:$C$2005,B119,'Stock Moves'!$D$6:$D$2005,"Return")+SUMIFS('Stock Moves'!$E$6:$E$2005,'Stock Moves'!$C$6:$C$2005,B119,'Stock Moves'!$D$6:$D$2005,"Adjustment"))</f>
        <v/>
      </c>
      <c r="J119" s="18">
        <f>IF(B119="","",SUMIFS('Stock Moves'!$E$6:$E$2005,'Stock Moves'!$C$6:$C$2005,B119,'Stock Moves'!$D$6:$D$2005,"Sale"))</f>
        <v/>
      </c>
      <c r="K119" s="27">
        <f>IF(B119="","",G119+I119-J119)</f>
        <v/>
      </c>
      <c r="L119" s="28">
        <f>IF(OR(B119="",N(F119)=0),"",(F119-E119)/F119)</f>
        <v/>
      </c>
      <c r="M119" s="29">
        <f>IF(B119="","",IF(K119&lt;=0,"Out of stock",IF(K119&lt;=H119,"Reorder now","OK")))</f>
        <v/>
      </c>
      <c r="N119" s="1" t="n"/>
    </row>
    <row r="120">
      <c r="A120" s="1" t="n"/>
      <c r="B120" s="23" t="n"/>
      <c r="C120" s="24" t="n"/>
      <c r="D120" s="24" t="n"/>
      <c r="E120" s="25" t="n"/>
      <c r="F120" s="25" t="n"/>
      <c r="G120" s="26" t="n"/>
      <c r="H120" s="26" t="n"/>
      <c r="I120" s="18">
        <f>IF(B120="","",SUMIFS('Stock Moves'!$E$6:$E$2005,'Stock Moves'!$C$6:$C$2005,B120,'Stock Moves'!$D$6:$D$2005,"Purchase")+SUMIFS('Stock Moves'!$E$6:$E$2005,'Stock Moves'!$C$6:$C$2005,B120,'Stock Moves'!$D$6:$D$2005,"Return")+SUMIFS('Stock Moves'!$E$6:$E$2005,'Stock Moves'!$C$6:$C$2005,B120,'Stock Moves'!$D$6:$D$2005,"Adjustment"))</f>
        <v/>
      </c>
      <c r="J120" s="18">
        <f>IF(B120="","",SUMIFS('Stock Moves'!$E$6:$E$2005,'Stock Moves'!$C$6:$C$2005,B120,'Stock Moves'!$D$6:$D$2005,"Sale"))</f>
        <v/>
      </c>
      <c r="K120" s="27">
        <f>IF(B120="","",G120+I120-J120)</f>
        <v/>
      </c>
      <c r="L120" s="28">
        <f>IF(OR(B120="",N(F120)=0),"",(F120-E120)/F120)</f>
        <v/>
      </c>
      <c r="M120" s="29">
        <f>IF(B120="","",IF(K120&lt;=0,"Out of stock",IF(K120&lt;=H120,"Reorder now","OK")))</f>
        <v/>
      </c>
      <c r="N120" s="1" t="n"/>
    </row>
    <row r="121">
      <c r="A121" s="1" t="n"/>
      <c r="B121" s="23" t="n"/>
      <c r="C121" s="24" t="n"/>
      <c r="D121" s="24" t="n"/>
      <c r="E121" s="25" t="n"/>
      <c r="F121" s="25" t="n"/>
      <c r="G121" s="26" t="n"/>
      <c r="H121" s="26" t="n"/>
      <c r="I121" s="18">
        <f>IF(B121="","",SUMIFS('Stock Moves'!$E$6:$E$2005,'Stock Moves'!$C$6:$C$2005,B121,'Stock Moves'!$D$6:$D$2005,"Purchase")+SUMIFS('Stock Moves'!$E$6:$E$2005,'Stock Moves'!$C$6:$C$2005,B121,'Stock Moves'!$D$6:$D$2005,"Return")+SUMIFS('Stock Moves'!$E$6:$E$2005,'Stock Moves'!$C$6:$C$2005,B121,'Stock Moves'!$D$6:$D$2005,"Adjustment"))</f>
        <v/>
      </c>
      <c r="J121" s="18">
        <f>IF(B121="","",SUMIFS('Stock Moves'!$E$6:$E$2005,'Stock Moves'!$C$6:$C$2005,B121,'Stock Moves'!$D$6:$D$2005,"Sale"))</f>
        <v/>
      </c>
      <c r="K121" s="27">
        <f>IF(B121="","",G121+I121-J121)</f>
        <v/>
      </c>
      <c r="L121" s="28">
        <f>IF(OR(B121="",N(F121)=0),"",(F121-E121)/F121)</f>
        <v/>
      </c>
      <c r="M121" s="29">
        <f>IF(B121="","",IF(K121&lt;=0,"Out of stock",IF(K121&lt;=H121,"Reorder now","OK")))</f>
        <v/>
      </c>
      <c r="N121" s="1" t="n"/>
    </row>
    <row r="122">
      <c r="A122" s="1" t="n"/>
      <c r="B122" s="23" t="n"/>
      <c r="C122" s="24" t="n"/>
      <c r="D122" s="24" t="n"/>
      <c r="E122" s="25" t="n"/>
      <c r="F122" s="25" t="n"/>
      <c r="G122" s="26" t="n"/>
      <c r="H122" s="26" t="n"/>
      <c r="I122" s="18">
        <f>IF(B122="","",SUMIFS('Stock Moves'!$E$6:$E$2005,'Stock Moves'!$C$6:$C$2005,B122,'Stock Moves'!$D$6:$D$2005,"Purchase")+SUMIFS('Stock Moves'!$E$6:$E$2005,'Stock Moves'!$C$6:$C$2005,B122,'Stock Moves'!$D$6:$D$2005,"Return")+SUMIFS('Stock Moves'!$E$6:$E$2005,'Stock Moves'!$C$6:$C$2005,B122,'Stock Moves'!$D$6:$D$2005,"Adjustment"))</f>
        <v/>
      </c>
      <c r="J122" s="18">
        <f>IF(B122="","",SUMIFS('Stock Moves'!$E$6:$E$2005,'Stock Moves'!$C$6:$C$2005,B122,'Stock Moves'!$D$6:$D$2005,"Sale"))</f>
        <v/>
      </c>
      <c r="K122" s="27">
        <f>IF(B122="","",G122+I122-J122)</f>
        <v/>
      </c>
      <c r="L122" s="28">
        <f>IF(OR(B122="",N(F122)=0),"",(F122-E122)/F122)</f>
        <v/>
      </c>
      <c r="M122" s="29">
        <f>IF(B122="","",IF(K122&lt;=0,"Out of stock",IF(K122&lt;=H122,"Reorder now","OK")))</f>
        <v/>
      </c>
      <c r="N122" s="1" t="n"/>
    </row>
    <row r="123">
      <c r="A123" s="1" t="n"/>
      <c r="B123" s="23" t="n"/>
      <c r="C123" s="24" t="n"/>
      <c r="D123" s="24" t="n"/>
      <c r="E123" s="25" t="n"/>
      <c r="F123" s="25" t="n"/>
      <c r="G123" s="26" t="n"/>
      <c r="H123" s="26" t="n"/>
      <c r="I123" s="18">
        <f>IF(B123="","",SUMIFS('Stock Moves'!$E$6:$E$2005,'Stock Moves'!$C$6:$C$2005,B123,'Stock Moves'!$D$6:$D$2005,"Purchase")+SUMIFS('Stock Moves'!$E$6:$E$2005,'Stock Moves'!$C$6:$C$2005,B123,'Stock Moves'!$D$6:$D$2005,"Return")+SUMIFS('Stock Moves'!$E$6:$E$2005,'Stock Moves'!$C$6:$C$2005,B123,'Stock Moves'!$D$6:$D$2005,"Adjustment"))</f>
        <v/>
      </c>
      <c r="J123" s="18">
        <f>IF(B123="","",SUMIFS('Stock Moves'!$E$6:$E$2005,'Stock Moves'!$C$6:$C$2005,B123,'Stock Moves'!$D$6:$D$2005,"Sale"))</f>
        <v/>
      </c>
      <c r="K123" s="27">
        <f>IF(B123="","",G123+I123-J123)</f>
        <v/>
      </c>
      <c r="L123" s="28">
        <f>IF(OR(B123="",N(F123)=0),"",(F123-E123)/F123)</f>
        <v/>
      </c>
      <c r="M123" s="29">
        <f>IF(B123="","",IF(K123&lt;=0,"Out of stock",IF(K123&lt;=H123,"Reorder now","OK")))</f>
        <v/>
      </c>
      <c r="N123" s="1" t="n"/>
    </row>
    <row r="124">
      <c r="A124" s="1" t="n"/>
      <c r="B124" s="23" t="n"/>
      <c r="C124" s="24" t="n"/>
      <c r="D124" s="24" t="n"/>
      <c r="E124" s="25" t="n"/>
      <c r="F124" s="25" t="n"/>
      <c r="G124" s="26" t="n"/>
      <c r="H124" s="26" t="n"/>
      <c r="I124" s="18">
        <f>IF(B124="","",SUMIFS('Stock Moves'!$E$6:$E$2005,'Stock Moves'!$C$6:$C$2005,B124,'Stock Moves'!$D$6:$D$2005,"Purchase")+SUMIFS('Stock Moves'!$E$6:$E$2005,'Stock Moves'!$C$6:$C$2005,B124,'Stock Moves'!$D$6:$D$2005,"Return")+SUMIFS('Stock Moves'!$E$6:$E$2005,'Stock Moves'!$C$6:$C$2005,B124,'Stock Moves'!$D$6:$D$2005,"Adjustment"))</f>
        <v/>
      </c>
      <c r="J124" s="18">
        <f>IF(B124="","",SUMIFS('Stock Moves'!$E$6:$E$2005,'Stock Moves'!$C$6:$C$2005,B124,'Stock Moves'!$D$6:$D$2005,"Sale"))</f>
        <v/>
      </c>
      <c r="K124" s="27">
        <f>IF(B124="","",G124+I124-J124)</f>
        <v/>
      </c>
      <c r="L124" s="28">
        <f>IF(OR(B124="",N(F124)=0),"",(F124-E124)/F124)</f>
        <v/>
      </c>
      <c r="M124" s="29">
        <f>IF(B124="","",IF(K124&lt;=0,"Out of stock",IF(K124&lt;=H124,"Reorder now","OK")))</f>
        <v/>
      </c>
      <c r="N124" s="1" t="n"/>
    </row>
    <row r="125">
      <c r="A125" s="1" t="n"/>
      <c r="B125" s="23" t="n"/>
      <c r="C125" s="24" t="n"/>
      <c r="D125" s="24" t="n"/>
      <c r="E125" s="25" t="n"/>
      <c r="F125" s="25" t="n"/>
      <c r="G125" s="26" t="n"/>
      <c r="H125" s="26" t="n"/>
      <c r="I125" s="18">
        <f>IF(B125="","",SUMIFS('Stock Moves'!$E$6:$E$2005,'Stock Moves'!$C$6:$C$2005,B125,'Stock Moves'!$D$6:$D$2005,"Purchase")+SUMIFS('Stock Moves'!$E$6:$E$2005,'Stock Moves'!$C$6:$C$2005,B125,'Stock Moves'!$D$6:$D$2005,"Return")+SUMIFS('Stock Moves'!$E$6:$E$2005,'Stock Moves'!$C$6:$C$2005,B125,'Stock Moves'!$D$6:$D$2005,"Adjustment"))</f>
        <v/>
      </c>
      <c r="J125" s="18">
        <f>IF(B125="","",SUMIFS('Stock Moves'!$E$6:$E$2005,'Stock Moves'!$C$6:$C$2005,B125,'Stock Moves'!$D$6:$D$2005,"Sale"))</f>
        <v/>
      </c>
      <c r="K125" s="27">
        <f>IF(B125="","",G125+I125-J125)</f>
        <v/>
      </c>
      <c r="L125" s="28">
        <f>IF(OR(B125="",N(F125)=0),"",(F125-E125)/F125)</f>
        <v/>
      </c>
      <c r="M125" s="29">
        <f>IF(B125="","",IF(K125&lt;=0,"Out of stock",IF(K125&lt;=H125,"Reorder now","OK")))</f>
        <v/>
      </c>
      <c r="N125" s="1" t="n"/>
    </row>
    <row r="126">
      <c r="A126" s="1" t="n"/>
      <c r="B126" s="23" t="n"/>
      <c r="C126" s="24" t="n"/>
      <c r="D126" s="24" t="n"/>
      <c r="E126" s="25" t="n"/>
      <c r="F126" s="25" t="n"/>
      <c r="G126" s="26" t="n"/>
      <c r="H126" s="26" t="n"/>
      <c r="I126" s="18">
        <f>IF(B126="","",SUMIFS('Stock Moves'!$E$6:$E$2005,'Stock Moves'!$C$6:$C$2005,B126,'Stock Moves'!$D$6:$D$2005,"Purchase")+SUMIFS('Stock Moves'!$E$6:$E$2005,'Stock Moves'!$C$6:$C$2005,B126,'Stock Moves'!$D$6:$D$2005,"Return")+SUMIFS('Stock Moves'!$E$6:$E$2005,'Stock Moves'!$C$6:$C$2005,B126,'Stock Moves'!$D$6:$D$2005,"Adjustment"))</f>
        <v/>
      </c>
      <c r="J126" s="18">
        <f>IF(B126="","",SUMIFS('Stock Moves'!$E$6:$E$2005,'Stock Moves'!$C$6:$C$2005,B126,'Stock Moves'!$D$6:$D$2005,"Sale"))</f>
        <v/>
      </c>
      <c r="K126" s="27">
        <f>IF(B126="","",G126+I126-J126)</f>
        <v/>
      </c>
      <c r="L126" s="28">
        <f>IF(OR(B126="",N(F126)=0),"",(F126-E126)/F126)</f>
        <v/>
      </c>
      <c r="M126" s="29">
        <f>IF(B126="","",IF(K126&lt;=0,"Out of stock",IF(K126&lt;=H126,"Reorder now","OK")))</f>
        <v/>
      </c>
      <c r="N126" s="1" t="n"/>
    </row>
    <row r="127">
      <c r="A127" s="1" t="n"/>
      <c r="B127" s="23" t="n"/>
      <c r="C127" s="24" t="n"/>
      <c r="D127" s="24" t="n"/>
      <c r="E127" s="25" t="n"/>
      <c r="F127" s="25" t="n"/>
      <c r="G127" s="26" t="n"/>
      <c r="H127" s="26" t="n"/>
      <c r="I127" s="18">
        <f>IF(B127="","",SUMIFS('Stock Moves'!$E$6:$E$2005,'Stock Moves'!$C$6:$C$2005,B127,'Stock Moves'!$D$6:$D$2005,"Purchase")+SUMIFS('Stock Moves'!$E$6:$E$2005,'Stock Moves'!$C$6:$C$2005,B127,'Stock Moves'!$D$6:$D$2005,"Return")+SUMIFS('Stock Moves'!$E$6:$E$2005,'Stock Moves'!$C$6:$C$2005,B127,'Stock Moves'!$D$6:$D$2005,"Adjustment"))</f>
        <v/>
      </c>
      <c r="J127" s="18">
        <f>IF(B127="","",SUMIFS('Stock Moves'!$E$6:$E$2005,'Stock Moves'!$C$6:$C$2005,B127,'Stock Moves'!$D$6:$D$2005,"Sale"))</f>
        <v/>
      </c>
      <c r="K127" s="27">
        <f>IF(B127="","",G127+I127-J127)</f>
        <v/>
      </c>
      <c r="L127" s="28">
        <f>IF(OR(B127="",N(F127)=0),"",(F127-E127)/F127)</f>
        <v/>
      </c>
      <c r="M127" s="29">
        <f>IF(B127="","",IF(K127&lt;=0,"Out of stock",IF(K127&lt;=H127,"Reorder now","OK")))</f>
        <v/>
      </c>
      <c r="N127" s="1" t="n"/>
    </row>
    <row r="128">
      <c r="A128" s="1" t="n"/>
      <c r="B128" s="23" t="n"/>
      <c r="C128" s="24" t="n"/>
      <c r="D128" s="24" t="n"/>
      <c r="E128" s="25" t="n"/>
      <c r="F128" s="25" t="n"/>
      <c r="G128" s="26" t="n"/>
      <c r="H128" s="26" t="n"/>
      <c r="I128" s="18">
        <f>IF(B128="","",SUMIFS('Stock Moves'!$E$6:$E$2005,'Stock Moves'!$C$6:$C$2005,B128,'Stock Moves'!$D$6:$D$2005,"Purchase")+SUMIFS('Stock Moves'!$E$6:$E$2005,'Stock Moves'!$C$6:$C$2005,B128,'Stock Moves'!$D$6:$D$2005,"Return")+SUMIFS('Stock Moves'!$E$6:$E$2005,'Stock Moves'!$C$6:$C$2005,B128,'Stock Moves'!$D$6:$D$2005,"Adjustment"))</f>
        <v/>
      </c>
      <c r="J128" s="18">
        <f>IF(B128="","",SUMIFS('Stock Moves'!$E$6:$E$2005,'Stock Moves'!$C$6:$C$2005,B128,'Stock Moves'!$D$6:$D$2005,"Sale"))</f>
        <v/>
      </c>
      <c r="K128" s="27">
        <f>IF(B128="","",G128+I128-J128)</f>
        <v/>
      </c>
      <c r="L128" s="28">
        <f>IF(OR(B128="",N(F128)=0),"",(F128-E128)/F128)</f>
        <v/>
      </c>
      <c r="M128" s="29">
        <f>IF(B128="","",IF(K128&lt;=0,"Out of stock",IF(K128&lt;=H128,"Reorder now","OK")))</f>
        <v/>
      </c>
      <c r="N128" s="1" t="n"/>
    </row>
    <row r="129">
      <c r="A129" s="1" t="n"/>
      <c r="B129" s="23" t="n"/>
      <c r="C129" s="24" t="n"/>
      <c r="D129" s="24" t="n"/>
      <c r="E129" s="25" t="n"/>
      <c r="F129" s="25" t="n"/>
      <c r="G129" s="26" t="n"/>
      <c r="H129" s="26" t="n"/>
      <c r="I129" s="18">
        <f>IF(B129="","",SUMIFS('Stock Moves'!$E$6:$E$2005,'Stock Moves'!$C$6:$C$2005,B129,'Stock Moves'!$D$6:$D$2005,"Purchase")+SUMIFS('Stock Moves'!$E$6:$E$2005,'Stock Moves'!$C$6:$C$2005,B129,'Stock Moves'!$D$6:$D$2005,"Return")+SUMIFS('Stock Moves'!$E$6:$E$2005,'Stock Moves'!$C$6:$C$2005,B129,'Stock Moves'!$D$6:$D$2005,"Adjustment"))</f>
        <v/>
      </c>
      <c r="J129" s="18">
        <f>IF(B129="","",SUMIFS('Stock Moves'!$E$6:$E$2005,'Stock Moves'!$C$6:$C$2005,B129,'Stock Moves'!$D$6:$D$2005,"Sale"))</f>
        <v/>
      </c>
      <c r="K129" s="27">
        <f>IF(B129="","",G129+I129-J129)</f>
        <v/>
      </c>
      <c r="L129" s="28">
        <f>IF(OR(B129="",N(F129)=0),"",(F129-E129)/F129)</f>
        <v/>
      </c>
      <c r="M129" s="29">
        <f>IF(B129="","",IF(K129&lt;=0,"Out of stock",IF(K129&lt;=H129,"Reorder now","OK")))</f>
        <v/>
      </c>
      <c r="N129" s="1" t="n"/>
    </row>
    <row r="130">
      <c r="A130" s="1" t="n"/>
      <c r="B130" s="23" t="n"/>
      <c r="C130" s="24" t="n"/>
      <c r="D130" s="24" t="n"/>
      <c r="E130" s="25" t="n"/>
      <c r="F130" s="25" t="n"/>
      <c r="G130" s="26" t="n"/>
      <c r="H130" s="26" t="n"/>
      <c r="I130" s="18">
        <f>IF(B130="","",SUMIFS('Stock Moves'!$E$6:$E$2005,'Stock Moves'!$C$6:$C$2005,B130,'Stock Moves'!$D$6:$D$2005,"Purchase")+SUMIFS('Stock Moves'!$E$6:$E$2005,'Stock Moves'!$C$6:$C$2005,B130,'Stock Moves'!$D$6:$D$2005,"Return")+SUMIFS('Stock Moves'!$E$6:$E$2005,'Stock Moves'!$C$6:$C$2005,B130,'Stock Moves'!$D$6:$D$2005,"Adjustment"))</f>
        <v/>
      </c>
      <c r="J130" s="18">
        <f>IF(B130="","",SUMIFS('Stock Moves'!$E$6:$E$2005,'Stock Moves'!$C$6:$C$2005,B130,'Stock Moves'!$D$6:$D$2005,"Sale"))</f>
        <v/>
      </c>
      <c r="K130" s="27">
        <f>IF(B130="","",G130+I130-J130)</f>
        <v/>
      </c>
      <c r="L130" s="28">
        <f>IF(OR(B130="",N(F130)=0),"",(F130-E130)/F130)</f>
        <v/>
      </c>
      <c r="M130" s="29">
        <f>IF(B130="","",IF(K130&lt;=0,"Out of stock",IF(K130&lt;=H130,"Reorder now","OK")))</f>
        <v/>
      </c>
      <c r="N130" s="1" t="n"/>
    </row>
    <row r="131">
      <c r="A131" s="1" t="n"/>
      <c r="B131" s="23" t="n"/>
      <c r="C131" s="24" t="n"/>
      <c r="D131" s="24" t="n"/>
      <c r="E131" s="25" t="n"/>
      <c r="F131" s="25" t="n"/>
      <c r="G131" s="26" t="n"/>
      <c r="H131" s="26" t="n"/>
      <c r="I131" s="18">
        <f>IF(B131="","",SUMIFS('Stock Moves'!$E$6:$E$2005,'Stock Moves'!$C$6:$C$2005,B131,'Stock Moves'!$D$6:$D$2005,"Purchase")+SUMIFS('Stock Moves'!$E$6:$E$2005,'Stock Moves'!$C$6:$C$2005,B131,'Stock Moves'!$D$6:$D$2005,"Return")+SUMIFS('Stock Moves'!$E$6:$E$2005,'Stock Moves'!$C$6:$C$2005,B131,'Stock Moves'!$D$6:$D$2005,"Adjustment"))</f>
        <v/>
      </c>
      <c r="J131" s="18">
        <f>IF(B131="","",SUMIFS('Stock Moves'!$E$6:$E$2005,'Stock Moves'!$C$6:$C$2005,B131,'Stock Moves'!$D$6:$D$2005,"Sale"))</f>
        <v/>
      </c>
      <c r="K131" s="27">
        <f>IF(B131="","",G131+I131-J131)</f>
        <v/>
      </c>
      <c r="L131" s="28">
        <f>IF(OR(B131="",N(F131)=0),"",(F131-E131)/F131)</f>
        <v/>
      </c>
      <c r="M131" s="29">
        <f>IF(B131="","",IF(K131&lt;=0,"Out of stock",IF(K131&lt;=H131,"Reorder now","OK")))</f>
        <v/>
      </c>
      <c r="N131" s="1" t="n"/>
    </row>
    <row r="132">
      <c r="A132" s="1" t="n"/>
      <c r="B132" s="23" t="n"/>
      <c r="C132" s="24" t="n"/>
      <c r="D132" s="24" t="n"/>
      <c r="E132" s="25" t="n"/>
      <c r="F132" s="25" t="n"/>
      <c r="G132" s="26" t="n"/>
      <c r="H132" s="26" t="n"/>
      <c r="I132" s="18">
        <f>IF(B132="","",SUMIFS('Stock Moves'!$E$6:$E$2005,'Stock Moves'!$C$6:$C$2005,B132,'Stock Moves'!$D$6:$D$2005,"Purchase")+SUMIFS('Stock Moves'!$E$6:$E$2005,'Stock Moves'!$C$6:$C$2005,B132,'Stock Moves'!$D$6:$D$2005,"Return")+SUMIFS('Stock Moves'!$E$6:$E$2005,'Stock Moves'!$C$6:$C$2005,B132,'Stock Moves'!$D$6:$D$2005,"Adjustment"))</f>
        <v/>
      </c>
      <c r="J132" s="18">
        <f>IF(B132="","",SUMIFS('Stock Moves'!$E$6:$E$2005,'Stock Moves'!$C$6:$C$2005,B132,'Stock Moves'!$D$6:$D$2005,"Sale"))</f>
        <v/>
      </c>
      <c r="K132" s="27">
        <f>IF(B132="","",G132+I132-J132)</f>
        <v/>
      </c>
      <c r="L132" s="28">
        <f>IF(OR(B132="",N(F132)=0),"",(F132-E132)/F132)</f>
        <v/>
      </c>
      <c r="M132" s="29">
        <f>IF(B132="","",IF(K132&lt;=0,"Out of stock",IF(K132&lt;=H132,"Reorder now","OK")))</f>
        <v/>
      </c>
      <c r="N132" s="1" t="n"/>
    </row>
    <row r="133">
      <c r="A133" s="1" t="n"/>
      <c r="B133" s="23" t="n"/>
      <c r="C133" s="24" t="n"/>
      <c r="D133" s="24" t="n"/>
      <c r="E133" s="25" t="n"/>
      <c r="F133" s="25" t="n"/>
      <c r="G133" s="26" t="n"/>
      <c r="H133" s="26" t="n"/>
      <c r="I133" s="18">
        <f>IF(B133="","",SUMIFS('Stock Moves'!$E$6:$E$2005,'Stock Moves'!$C$6:$C$2005,B133,'Stock Moves'!$D$6:$D$2005,"Purchase")+SUMIFS('Stock Moves'!$E$6:$E$2005,'Stock Moves'!$C$6:$C$2005,B133,'Stock Moves'!$D$6:$D$2005,"Return")+SUMIFS('Stock Moves'!$E$6:$E$2005,'Stock Moves'!$C$6:$C$2005,B133,'Stock Moves'!$D$6:$D$2005,"Adjustment"))</f>
        <v/>
      </c>
      <c r="J133" s="18">
        <f>IF(B133="","",SUMIFS('Stock Moves'!$E$6:$E$2005,'Stock Moves'!$C$6:$C$2005,B133,'Stock Moves'!$D$6:$D$2005,"Sale"))</f>
        <v/>
      </c>
      <c r="K133" s="27">
        <f>IF(B133="","",G133+I133-J133)</f>
        <v/>
      </c>
      <c r="L133" s="28">
        <f>IF(OR(B133="",N(F133)=0),"",(F133-E133)/F133)</f>
        <v/>
      </c>
      <c r="M133" s="29">
        <f>IF(B133="","",IF(K133&lt;=0,"Out of stock",IF(K133&lt;=H133,"Reorder now","OK")))</f>
        <v/>
      </c>
      <c r="N133" s="1" t="n"/>
    </row>
    <row r="134">
      <c r="A134" s="1" t="n"/>
      <c r="B134" s="23" t="n"/>
      <c r="C134" s="24" t="n"/>
      <c r="D134" s="24" t="n"/>
      <c r="E134" s="25" t="n"/>
      <c r="F134" s="25" t="n"/>
      <c r="G134" s="26" t="n"/>
      <c r="H134" s="26" t="n"/>
      <c r="I134" s="18">
        <f>IF(B134="","",SUMIFS('Stock Moves'!$E$6:$E$2005,'Stock Moves'!$C$6:$C$2005,B134,'Stock Moves'!$D$6:$D$2005,"Purchase")+SUMIFS('Stock Moves'!$E$6:$E$2005,'Stock Moves'!$C$6:$C$2005,B134,'Stock Moves'!$D$6:$D$2005,"Return")+SUMIFS('Stock Moves'!$E$6:$E$2005,'Stock Moves'!$C$6:$C$2005,B134,'Stock Moves'!$D$6:$D$2005,"Adjustment"))</f>
        <v/>
      </c>
      <c r="J134" s="18">
        <f>IF(B134="","",SUMIFS('Stock Moves'!$E$6:$E$2005,'Stock Moves'!$C$6:$C$2005,B134,'Stock Moves'!$D$6:$D$2005,"Sale"))</f>
        <v/>
      </c>
      <c r="K134" s="27">
        <f>IF(B134="","",G134+I134-J134)</f>
        <v/>
      </c>
      <c r="L134" s="28">
        <f>IF(OR(B134="",N(F134)=0),"",(F134-E134)/F134)</f>
        <v/>
      </c>
      <c r="M134" s="29">
        <f>IF(B134="","",IF(K134&lt;=0,"Out of stock",IF(K134&lt;=H134,"Reorder now","OK")))</f>
        <v/>
      </c>
      <c r="N134" s="1" t="n"/>
    </row>
    <row r="135">
      <c r="A135" s="1" t="n"/>
      <c r="B135" s="23" t="n"/>
      <c r="C135" s="24" t="n"/>
      <c r="D135" s="24" t="n"/>
      <c r="E135" s="25" t="n"/>
      <c r="F135" s="25" t="n"/>
      <c r="G135" s="26" t="n"/>
      <c r="H135" s="26" t="n"/>
      <c r="I135" s="18">
        <f>IF(B135="","",SUMIFS('Stock Moves'!$E$6:$E$2005,'Stock Moves'!$C$6:$C$2005,B135,'Stock Moves'!$D$6:$D$2005,"Purchase")+SUMIFS('Stock Moves'!$E$6:$E$2005,'Stock Moves'!$C$6:$C$2005,B135,'Stock Moves'!$D$6:$D$2005,"Return")+SUMIFS('Stock Moves'!$E$6:$E$2005,'Stock Moves'!$C$6:$C$2005,B135,'Stock Moves'!$D$6:$D$2005,"Adjustment"))</f>
        <v/>
      </c>
      <c r="J135" s="18">
        <f>IF(B135="","",SUMIFS('Stock Moves'!$E$6:$E$2005,'Stock Moves'!$C$6:$C$2005,B135,'Stock Moves'!$D$6:$D$2005,"Sale"))</f>
        <v/>
      </c>
      <c r="K135" s="27">
        <f>IF(B135="","",G135+I135-J135)</f>
        <v/>
      </c>
      <c r="L135" s="28">
        <f>IF(OR(B135="",N(F135)=0),"",(F135-E135)/F135)</f>
        <v/>
      </c>
      <c r="M135" s="29">
        <f>IF(B135="","",IF(K135&lt;=0,"Out of stock",IF(K135&lt;=H135,"Reorder now","OK")))</f>
        <v/>
      </c>
      <c r="N135" s="1" t="n"/>
    </row>
    <row r="136">
      <c r="A136" s="1" t="n"/>
      <c r="B136" s="23" t="n"/>
      <c r="C136" s="24" t="n"/>
      <c r="D136" s="24" t="n"/>
      <c r="E136" s="25" t="n"/>
      <c r="F136" s="25" t="n"/>
      <c r="G136" s="26" t="n"/>
      <c r="H136" s="26" t="n"/>
      <c r="I136" s="18">
        <f>IF(B136="","",SUMIFS('Stock Moves'!$E$6:$E$2005,'Stock Moves'!$C$6:$C$2005,B136,'Stock Moves'!$D$6:$D$2005,"Purchase")+SUMIFS('Stock Moves'!$E$6:$E$2005,'Stock Moves'!$C$6:$C$2005,B136,'Stock Moves'!$D$6:$D$2005,"Return")+SUMIFS('Stock Moves'!$E$6:$E$2005,'Stock Moves'!$C$6:$C$2005,B136,'Stock Moves'!$D$6:$D$2005,"Adjustment"))</f>
        <v/>
      </c>
      <c r="J136" s="18">
        <f>IF(B136="","",SUMIFS('Stock Moves'!$E$6:$E$2005,'Stock Moves'!$C$6:$C$2005,B136,'Stock Moves'!$D$6:$D$2005,"Sale"))</f>
        <v/>
      </c>
      <c r="K136" s="27">
        <f>IF(B136="","",G136+I136-J136)</f>
        <v/>
      </c>
      <c r="L136" s="28">
        <f>IF(OR(B136="",N(F136)=0),"",(F136-E136)/F136)</f>
        <v/>
      </c>
      <c r="M136" s="29">
        <f>IF(B136="","",IF(K136&lt;=0,"Out of stock",IF(K136&lt;=H136,"Reorder now","OK")))</f>
        <v/>
      </c>
      <c r="N136" s="1" t="n"/>
    </row>
    <row r="137">
      <c r="A137" s="1" t="n"/>
      <c r="B137" s="23" t="n"/>
      <c r="C137" s="24" t="n"/>
      <c r="D137" s="24" t="n"/>
      <c r="E137" s="25" t="n"/>
      <c r="F137" s="25" t="n"/>
      <c r="G137" s="26" t="n"/>
      <c r="H137" s="26" t="n"/>
      <c r="I137" s="18">
        <f>IF(B137="","",SUMIFS('Stock Moves'!$E$6:$E$2005,'Stock Moves'!$C$6:$C$2005,B137,'Stock Moves'!$D$6:$D$2005,"Purchase")+SUMIFS('Stock Moves'!$E$6:$E$2005,'Stock Moves'!$C$6:$C$2005,B137,'Stock Moves'!$D$6:$D$2005,"Return")+SUMIFS('Stock Moves'!$E$6:$E$2005,'Stock Moves'!$C$6:$C$2005,B137,'Stock Moves'!$D$6:$D$2005,"Adjustment"))</f>
        <v/>
      </c>
      <c r="J137" s="18">
        <f>IF(B137="","",SUMIFS('Stock Moves'!$E$6:$E$2005,'Stock Moves'!$C$6:$C$2005,B137,'Stock Moves'!$D$6:$D$2005,"Sale"))</f>
        <v/>
      </c>
      <c r="K137" s="27">
        <f>IF(B137="","",G137+I137-J137)</f>
        <v/>
      </c>
      <c r="L137" s="28">
        <f>IF(OR(B137="",N(F137)=0),"",(F137-E137)/F137)</f>
        <v/>
      </c>
      <c r="M137" s="29">
        <f>IF(B137="","",IF(K137&lt;=0,"Out of stock",IF(K137&lt;=H137,"Reorder now","OK")))</f>
        <v/>
      </c>
      <c r="N137" s="1" t="n"/>
    </row>
    <row r="138">
      <c r="A138" s="1" t="n"/>
      <c r="B138" s="23" t="n"/>
      <c r="C138" s="24" t="n"/>
      <c r="D138" s="24" t="n"/>
      <c r="E138" s="25" t="n"/>
      <c r="F138" s="25" t="n"/>
      <c r="G138" s="26" t="n"/>
      <c r="H138" s="26" t="n"/>
      <c r="I138" s="18">
        <f>IF(B138="","",SUMIFS('Stock Moves'!$E$6:$E$2005,'Stock Moves'!$C$6:$C$2005,B138,'Stock Moves'!$D$6:$D$2005,"Purchase")+SUMIFS('Stock Moves'!$E$6:$E$2005,'Stock Moves'!$C$6:$C$2005,B138,'Stock Moves'!$D$6:$D$2005,"Return")+SUMIFS('Stock Moves'!$E$6:$E$2005,'Stock Moves'!$C$6:$C$2005,B138,'Stock Moves'!$D$6:$D$2005,"Adjustment"))</f>
        <v/>
      </c>
      <c r="J138" s="18">
        <f>IF(B138="","",SUMIFS('Stock Moves'!$E$6:$E$2005,'Stock Moves'!$C$6:$C$2005,B138,'Stock Moves'!$D$6:$D$2005,"Sale"))</f>
        <v/>
      </c>
      <c r="K138" s="27">
        <f>IF(B138="","",G138+I138-J138)</f>
        <v/>
      </c>
      <c r="L138" s="28">
        <f>IF(OR(B138="",N(F138)=0),"",(F138-E138)/F138)</f>
        <v/>
      </c>
      <c r="M138" s="29">
        <f>IF(B138="","",IF(K138&lt;=0,"Out of stock",IF(K138&lt;=H138,"Reorder now","OK")))</f>
        <v/>
      </c>
      <c r="N138" s="1" t="n"/>
    </row>
    <row r="139">
      <c r="A139" s="1" t="n"/>
      <c r="B139" s="23" t="n"/>
      <c r="C139" s="24" t="n"/>
      <c r="D139" s="24" t="n"/>
      <c r="E139" s="25" t="n"/>
      <c r="F139" s="25" t="n"/>
      <c r="G139" s="26" t="n"/>
      <c r="H139" s="26" t="n"/>
      <c r="I139" s="18">
        <f>IF(B139="","",SUMIFS('Stock Moves'!$E$6:$E$2005,'Stock Moves'!$C$6:$C$2005,B139,'Stock Moves'!$D$6:$D$2005,"Purchase")+SUMIFS('Stock Moves'!$E$6:$E$2005,'Stock Moves'!$C$6:$C$2005,B139,'Stock Moves'!$D$6:$D$2005,"Return")+SUMIFS('Stock Moves'!$E$6:$E$2005,'Stock Moves'!$C$6:$C$2005,B139,'Stock Moves'!$D$6:$D$2005,"Adjustment"))</f>
        <v/>
      </c>
      <c r="J139" s="18">
        <f>IF(B139="","",SUMIFS('Stock Moves'!$E$6:$E$2005,'Stock Moves'!$C$6:$C$2005,B139,'Stock Moves'!$D$6:$D$2005,"Sale"))</f>
        <v/>
      </c>
      <c r="K139" s="27">
        <f>IF(B139="","",G139+I139-J139)</f>
        <v/>
      </c>
      <c r="L139" s="28">
        <f>IF(OR(B139="",N(F139)=0),"",(F139-E139)/F139)</f>
        <v/>
      </c>
      <c r="M139" s="29">
        <f>IF(B139="","",IF(K139&lt;=0,"Out of stock",IF(K139&lt;=H139,"Reorder now","OK")))</f>
        <v/>
      </c>
      <c r="N139" s="1" t="n"/>
    </row>
    <row r="140">
      <c r="A140" s="1" t="n"/>
      <c r="B140" s="23" t="n"/>
      <c r="C140" s="24" t="n"/>
      <c r="D140" s="24" t="n"/>
      <c r="E140" s="25" t="n"/>
      <c r="F140" s="25" t="n"/>
      <c r="G140" s="26" t="n"/>
      <c r="H140" s="26" t="n"/>
      <c r="I140" s="18">
        <f>IF(B140="","",SUMIFS('Stock Moves'!$E$6:$E$2005,'Stock Moves'!$C$6:$C$2005,B140,'Stock Moves'!$D$6:$D$2005,"Purchase")+SUMIFS('Stock Moves'!$E$6:$E$2005,'Stock Moves'!$C$6:$C$2005,B140,'Stock Moves'!$D$6:$D$2005,"Return")+SUMIFS('Stock Moves'!$E$6:$E$2005,'Stock Moves'!$C$6:$C$2005,B140,'Stock Moves'!$D$6:$D$2005,"Adjustment"))</f>
        <v/>
      </c>
      <c r="J140" s="18">
        <f>IF(B140="","",SUMIFS('Stock Moves'!$E$6:$E$2005,'Stock Moves'!$C$6:$C$2005,B140,'Stock Moves'!$D$6:$D$2005,"Sale"))</f>
        <v/>
      </c>
      <c r="K140" s="27">
        <f>IF(B140="","",G140+I140-J140)</f>
        <v/>
      </c>
      <c r="L140" s="28">
        <f>IF(OR(B140="",N(F140)=0),"",(F140-E140)/F140)</f>
        <v/>
      </c>
      <c r="M140" s="29">
        <f>IF(B140="","",IF(K140&lt;=0,"Out of stock",IF(K140&lt;=H140,"Reorder now","OK")))</f>
        <v/>
      </c>
      <c r="N140" s="1" t="n"/>
    </row>
    <row r="141">
      <c r="A141" s="1" t="n"/>
      <c r="B141" s="23" t="n"/>
      <c r="C141" s="24" t="n"/>
      <c r="D141" s="24" t="n"/>
      <c r="E141" s="25" t="n"/>
      <c r="F141" s="25" t="n"/>
      <c r="G141" s="26" t="n"/>
      <c r="H141" s="26" t="n"/>
      <c r="I141" s="18">
        <f>IF(B141="","",SUMIFS('Stock Moves'!$E$6:$E$2005,'Stock Moves'!$C$6:$C$2005,B141,'Stock Moves'!$D$6:$D$2005,"Purchase")+SUMIFS('Stock Moves'!$E$6:$E$2005,'Stock Moves'!$C$6:$C$2005,B141,'Stock Moves'!$D$6:$D$2005,"Return")+SUMIFS('Stock Moves'!$E$6:$E$2005,'Stock Moves'!$C$6:$C$2005,B141,'Stock Moves'!$D$6:$D$2005,"Adjustment"))</f>
        <v/>
      </c>
      <c r="J141" s="18">
        <f>IF(B141="","",SUMIFS('Stock Moves'!$E$6:$E$2005,'Stock Moves'!$C$6:$C$2005,B141,'Stock Moves'!$D$6:$D$2005,"Sale"))</f>
        <v/>
      </c>
      <c r="K141" s="27">
        <f>IF(B141="","",G141+I141-J141)</f>
        <v/>
      </c>
      <c r="L141" s="28">
        <f>IF(OR(B141="",N(F141)=0),"",(F141-E141)/F141)</f>
        <v/>
      </c>
      <c r="M141" s="29">
        <f>IF(B141="","",IF(K141&lt;=0,"Out of stock",IF(K141&lt;=H141,"Reorder now","OK")))</f>
        <v/>
      </c>
      <c r="N141" s="1" t="n"/>
    </row>
    <row r="142">
      <c r="A142" s="1" t="n"/>
      <c r="B142" s="23" t="n"/>
      <c r="C142" s="24" t="n"/>
      <c r="D142" s="24" t="n"/>
      <c r="E142" s="25" t="n"/>
      <c r="F142" s="25" t="n"/>
      <c r="G142" s="26" t="n"/>
      <c r="H142" s="26" t="n"/>
      <c r="I142" s="18">
        <f>IF(B142="","",SUMIFS('Stock Moves'!$E$6:$E$2005,'Stock Moves'!$C$6:$C$2005,B142,'Stock Moves'!$D$6:$D$2005,"Purchase")+SUMIFS('Stock Moves'!$E$6:$E$2005,'Stock Moves'!$C$6:$C$2005,B142,'Stock Moves'!$D$6:$D$2005,"Return")+SUMIFS('Stock Moves'!$E$6:$E$2005,'Stock Moves'!$C$6:$C$2005,B142,'Stock Moves'!$D$6:$D$2005,"Adjustment"))</f>
        <v/>
      </c>
      <c r="J142" s="18">
        <f>IF(B142="","",SUMIFS('Stock Moves'!$E$6:$E$2005,'Stock Moves'!$C$6:$C$2005,B142,'Stock Moves'!$D$6:$D$2005,"Sale"))</f>
        <v/>
      </c>
      <c r="K142" s="27">
        <f>IF(B142="","",G142+I142-J142)</f>
        <v/>
      </c>
      <c r="L142" s="28">
        <f>IF(OR(B142="",N(F142)=0),"",(F142-E142)/F142)</f>
        <v/>
      </c>
      <c r="M142" s="29">
        <f>IF(B142="","",IF(K142&lt;=0,"Out of stock",IF(K142&lt;=H142,"Reorder now","OK")))</f>
        <v/>
      </c>
      <c r="N142" s="1" t="n"/>
    </row>
    <row r="143">
      <c r="A143" s="1" t="n"/>
      <c r="B143" s="23" t="n"/>
      <c r="C143" s="24" t="n"/>
      <c r="D143" s="24" t="n"/>
      <c r="E143" s="25" t="n"/>
      <c r="F143" s="25" t="n"/>
      <c r="G143" s="26" t="n"/>
      <c r="H143" s="26" t="n"/>
      <c r="I143" s="18">
        <f>IF(B143="","",SUMIFS('Stock Moves'!$E$6:$E$2005,'Stock Moves'!$C$6:$C$2005,B143,'Stock Moves'!$D$6:$D$2005,"Purchase")+SUMIFS('Stock Moves'!$E$6:$E$2005,'Stock Moves'!$C$6:$C$2005,B143,'Stock Moves'!$D$6:$D$2005,"Return")+SUMIFS('Stock Moves'!$E$6:$E$2005,'Stock Moves'!$C$6:$C$2005,B143,'Stock Moves'!$D$6:$D$2005,"Adjustment"))</f>
        <v/>
      </c>
      <c r="J143" s="18">
        <f>IF(B143="","",SUMIFS('Stock Moves'!$E$6:$E$2005,'Stock Moves'!$C$6:$C$2005,B143,'Stock Moves'!$D$6:$D$2005,"Sale"))</f>
        <v/>
      </c>
      <c r="K143" s="27">
        <f>IF(B143="","",G143+I143-J143)</f>
        <v/>
      </c>
      <c r="L143" s="28">
        <f>IF(OR(B143="",N(F143)=0),"",(F143-E143)/F143)</f>
        <v/>
      </c>
      <c r="M143" s="29">
        <f>IF(B143="","",IF(K143&lt;=0,"Out of stock",IF(K143&lt;=H143,"Reorder now","OK")))</f>
        <v/>
      </c>
      <c r="N143" s="1" t="n"/>
    </row>
    <row r="144">
      <c r="A144" s="1" t="n"/>
      <c r="B144" s="23" t="n"/>
      <c r="C144" s="24" t="n"/>
      <c r="D144" s="24" t="n"/>
      <c r="E144" s="25" t="n"/>
      <c r="F144" s="25" t="n"/>
      <c r="G144" s="26" t="n"/>
      <c r="H144" s="26" t="n"/>
      <c r="I144" s="18">
        <f>IF(B144="","",SUMIFS('Stock Moves'!$E$6:$E$2005,'Stock Moves'!$C$6:$C$2005,B144,'Stock Moves'!$D$6:$D$2005,"Purchase")+SUMIFS('Stock Moves'!$E$6:$E$2005,'Stock Moves'!$C$6:$C$2005,B144,'Stock Moves'!$D$6:$D$2005,"Return")+SUMIFS('Stock Moves'!$E$6:$E$2005,'Stock Moves'!$C$6:$C$2005,B144,'Stock Moves'!$D$6:$D$2005,"Adjustment"))</f>
        <v/>
      </c>
      <c r="J144" s="18">
        <f>IF(B144="","",SUMIFS('Stock Moves'!$E$6:$E$2005,'Stock Moves'!$C$6:$C$2005,B144,'Stock Moves'!$D$6:$D$2005,"Sale"))</f>
        <v/>
      </c>
      <c r="K144" s="27">
        <f>IF(B144="","",G144+I144-J144)</f>
        <v/>
      </c>
      <c r="L144" s="28">
        <f>IF(OR(B144="",N(F144)=0),"",(F144-E144)/F144)</f>
        <v/>
      </c>
      <c r="M144" s="29">
        <f>IF(B144="","",IF(K144&lt;=0,"Out of stock",IF(K144&lt;=H144,"Reorder now","OK")))</f>
        <v/>
      </c>
      <c r="N144" s="1" t="n"/>
    </row>
    <row r="145">
      <c r="A145" s="1" t="n"/>
      <c r="B145" s="23" t="n"/>
      <c r="C145" s="24" t="n"/>
      <c r="D145" s="24" t="n"/>
      <c r="E145" s="25" t="n"/>
      <c r="F145" s="25" t="n"/>
      <c r="G145" s="26" t="n"/>
      <c r="H145" s="26" t="n"/>
      <c r="I145" s="18">
        <f>IF(B145="","",SUMIFS('Stock Moves'!$E$6:$E$2005,'Stock Moves'!$C$6:$C$2005,B145,'Stock Moves'!$D$6:$D$2005,"Purchase")+SUMIFS('Stock Moves'!$E$6:$E$2005,'Stock Moves'!$C$6:$C$2005,B145,'Stock Moves'!$D$6:$D$2005,"Return")+SUMIFS('Stock Moves'!$E$6:$E$2005,'Stock Moves'!$C$6:$C$2005,B145,'Stock Moves'!$D$6:$D$2005,"Adjustment"))</f>
        <v/>
      </c>
      <c r="J145" s="18">
        <f>IF(B145="","",SUMIFS('Stock Moves'!$E$6:$E$2005,'Stock Moves'!$C$6:$C$2005,B145,'Stock Moves'!$D$6:$D$2005,"Sale"))</f>
        <v/>
      </c>
      <c r="K145" s="27">
        <f>IF(B145="","",G145+I145-J145)</f>
        <v/>
      </c>
      <c r="L145" s="28">
        <f>IF(OR(B145="",N(F145)=0),"",(F145-E145)/F145)</f>
        <v/>
      </c>
      <c r="M145" s="29">
        <f>IF(B145="","",IF(K145&lt;=0,"Out of stock",IF(K145&lt;=H145,"Reorder now","OK")))</f>
        <v/>
      </c>
      <c r="N145" s="1" t="n"/>
    </row>
    <row r="146">
      <c r="A146" s="1" t="n"/>
      <c r="B146" s="23" t="n"/>
      <c r="C146" s="24" t="n"/>
      <c r="D146" s="24" t="n"/>
      <c r="E146" s="25" t="n"/>
      <c r="F146" s="25" t="n"/>
      <c r="G146" s="26" t="n"/>
      <c r="H146" s="26" t="n"/>
      <c r="I146" s="18">
        <f>IF(B146="","",SUMIFS('Stock Moves'!$E$6:$E$2005,'Stock Moves'!$C$6:$C$2005,B146,'Stock Moves'!$D$6:$D$2005,"Purchase")+SUMIFS('Stock Moves'!$E$6:$E$2005,'Stock Moves'!$C$6:$C$2005,B146,'Stock Moves'!$D$6:$D$2005,"Return")+SUMIFS('Stock Moves'!$E$6:$E$2005,'Stock Moves'!$C$6:$C$2005,B146,'Stock Moves'!$D$6:$D$2005,"Adjustment"))</f>
        <v/>
      </c>
      <c r="J146" s="18">
        <f>IF(B146="","",SUMIFS('Stock Moves'!$E$6:$E$2005,'Stock Moves'!$C$6:$C$2005,B146,'Stock Moves'!$D$6:$D$2005,"Sale"))</f>
        <v/>
      </c>
      <c r="K146" s="27">
        <f>IF(B146="","",G146+I146-J146)</f>
        <v/>
      </c>
      <c r="L146" s="28">
        <f>IF(OR(B146="",N(F146)=0),"",(F146-E146)/F146)</f>
        <v/>
      </c>
      <c r="M146" s="29">
        <f>IF(B146="","",IF(K146&lt;=0,"Out of stock",IF(K146&lt;=H146,"Reorder now","OK")))</f>
        <v/>
      </c>
      <c r="N146" s="1" t="n"/>
    </row>
    <row r="147">
      <c r="A147" s="1" t="n"/>
      <c r="B147" s="23" t="n"/>
      <c r="C147" s="24" t="n"/>
      <c r="D147" s="24" t="n"/>
      <c r="E147" s="25" t="n"/>
      <c r="F147" s="25" t="n"/>
      <c r="G147" s="26" t="n"/>
      <c r="H147" s="26" t="n"/>
      <c r="I147" s="18">
        <f>IF(B147="","",SUMIFS('Stock Moves'!$E$6:$E$2005,'Stock Moves'!$C$6:$C$2005,B147,'Stock Moves'!$D$6:$D$2005,"Purchase")+SUMIFS('Stock Moves'!$E$6:$E$2005,'Stock Moves'!$C$6:$C$2005,B147,'Stock Moves'!$D$6:$D$2005,"Return")+SUMIFS('Stock Moves'!$E$6:$E$2005,'Stock Moves'!$C$6:$C$2005,B147,'Stock Moves'!$D$6:$D$2005,"Adjustment"))</f>
        <v/>
      </c>
      <c r="J147" s="18">
        <f>IF(B147="","",SUMIFS('Stock Moves'!$E$6:$E$2005,'Stock Moves'!$C$6:$C$2005,B147,'Stock Moves'!$D$6:$D$2005,"Sale"))</f>
        <v/>
      </c>
      <c r="K147" s="27">
        <f>IF(B147="","",G147+I147-J147)</f>
        <v/>
      </c>
      <c r="L147" s="28">
        <f>IF(OR(B147="",N(F147)=0),"",(F147-E147)/F147)</f>
        <v/>
      </c>
      <c r="M147" s="29">
        <f>IF(B147="","",IF(K147&lt;=0,"Out of stock",IF(K147&lt;=H147,"Reorder now","OK")))</f>
        <v/>
      </c>
      <c r="N147" s="1" t="n"/>
    </row>
    <row r="148">
      <c r="A148" s="1" t="n"/>
      <c r="B148" s="23" t="n"/>
      <c r="C148" s="24" t="n"/>
      <c r="D148" s="24" t="n"/>
      <c r="E148" s="25" t="n"/>
      <c r="F148" s="25" t="n"/>
      <c r="G148" s="26" t="n"/>
      <c r="H148" s="26" t="n"/>
      <c r="I148" s="18">
        <f>IF(B148="","",SUMIFS('Stock Moves'!$E$6:$E$2005,'Stock Moves'!$C$6:$C$2005,B148,'Stock Moves'!$D$6:$D$2005,"Purchase")+SUMIFS('Stock Moves'!$E$6:$E$2005,'Stock Moves'!$C$6:$C$2005,B148,'Stock Moves'!$D$6:$D$2005,"Return")+SUMIFS('Stock Moves'!$E$6:$E$2005,'Stock Moves'!$C$6:$C$2005,B148,'Stock Moves'!$D$6:$D$2005,"Adjustment"))</f>
        <v/>
      </c>
      <c r="J148" s="18">
        <f>IF(B148="","",SUMIFS('Stock Moves'!$E$6:$E$2005,'Stock Moves'!$C$6:$C$2005,B148,'Stock Moves'!$D$6:$D$2005,"Sale"))</f>
        <v/>
      </c>
      <c r="K148" s="27">
        <f>IF(B148="","",G148+I148-J148)</f>
        <v/>
      </c>
      <c r="L148" s="28">
        <f>IF(OR(B148="",N(F148)=0),"",(F148-E148)/F148)</f>
        <v/>
      </c>
      <c r="M148" s="29">
        <f>IF(B148="","",IF(K148&lt;=0,"Out of stock",IF(K148&lt;=H148,"Reorder now","OK")))</f>
        <v/>
      </c>
      <c r="N148" s="1" t="n"/>
    </row>
    <row r="149">
      <c r="A149" s="1" t="n"/>
      <c r="B149" s="23" t="n"/>
      <c r="C149" s="24" t="n"/>
      <c r="D149" s="24" t="n"/>
      <c r="E149" s="25" t="n"/>
      <c r="F149" s="25" t="n"/>
      <c r="G149" s="26" t="n"/>
      <c r="H149" s="26" t="n"/>
      <c r="I149" s="18">
        <f>IF(B149="","",SUMIFS('Stock Moves'!$E$6:$E$2005,'Stock Moves'!$C$6:$C$2005,B149,'Stock Moves'!$D$6:$D$2005,"Purchase")+SUMIFS('Stock Moves'!$E$6:$E$2005,'Stock Moves'!$C$6:$C$2005,B149,'Stock Moves'!$D$6:$D$2005,"Return")+SUMIFS('Stock Moves'!$E$6:$E$2005,'Stock Moves'!$C$6:$C$2005,B149,'Stock Moves'!$D$6:$D$2005,"Adjustment"))</f>
        <v/>
      </c>
      <c r="J149" s="18">
        <f>IF(B149="","",SUMIFS('Stock Moves'!$E$6:$E$2005,'Stock Moves'!$C$6:$C$2005,B149,'Stock Moves'!$D$6:$D$2005,"Sale"))</f>
        <v/>
      </c>
      <c r="K149" s="27">
        <f>IF(B149="","",G149+I149-J149)</f>
        <v/>
      </c>
      <c r="L149" s="28">
        <f>IF(OR(B149="",N(F149)=0),"",(F149-E149)/F149)</f>
        <v/>
      </c>
      <c r="M149" s="29">
        <f>IF(B149="","",IF(K149&lt;=0,"Out of stock",IF(K149&lt;=H149,"Reorder now","OK")))</f>
        <v/>
      </c>
      <c r="N149" s="1" t="n"/>
    </row>
    <row r="150">
      <c r="A150" s="1" t="n"/>
      <c r="B150" s="23" t="n"/>
      <c r="C150" s="24" t="n"/>
      <c r="D150" s="24" t="n"/>
      <c r="E150" s="25" t="n"/>
      <c r="F150" s="25" t="n"/>
      <c r="G150" s="26" t="n"/>
      <c r="H150" s="26" t="n"/>
      <c r="I150" s="18">
        <f>IF(B150="","",SUMIFS('Stock Moves'!$E$6:$E$2005,'Stock Moves'!$C$6:$C$2005,B150,'Stock Moves'!$D$6:$D$2005,"Purchase")+SUMIFS('Stock Moves'!$E$6:$E$2005,'Stock Moves'!$C$6:$C$2005,B150,'Stock Moves'!$D$6:$D$2005,"Return")+SUMIFS('Stock Moves'!$E$6:$E$2005,'Stock Moves'!$C$6:$C$2005,B150,'Stock Moves'!$D$6:$D$2005,"Adjustment"))</f>
        <v/>
      </c>
      <c r="J150" s="18">
        <f>IF(B150="","",SUMIFS('Stock Moves'!$E$6:$E$2005,'Stock Moves'!$C$6:$C$2005,B150,'Stock Moves'!$D$6:$D$2005,"Sale"))</f>
        <v/>
      </c>
      <c r="K150" s="27">
        <f>IF(B150="","",G150+I150-J150)</f>
        <v/>
      </c>
      <c r="L150" s="28">
        <f>IF(OR(B150="",N(F150)=0),"",(F150-E150)/F150)</f>
        <v/>
      </c>
      <c r="M150" s="29">
        <f>IF(B150="","",IF(K150&lt;=0,"Out of stock",IF(K150&lt;=H150,"Reorder now","OK")))</f>
        <v/>
      </c>
      <c r="N150" s="1" t="n"/>
    </row>
    <row r="151">
      <c r="A151" s="1" t="n"/>
      <c r="B151" s="23" t="n"/>
      <c r="C151" s="24" t="n"/>
      <c r="D151" s="24" t="n"/>
      <c r="E151" s="25" t="n"/>
      <c r="F151" s="25" t="n"/>
      <c r="G151" s="26" t="n"/>
      <c r="H151" s="26" t="n"/>
      <c r="I151" s="18">
        <f>IF(B151="","",SUMIFS('Stock Moves'!$E$6:$E$2005,'Stock Moves'!$C$6:$C$2005,B151,'Stock Moves'!$D$6:$D$2005,"Purchase")+SUMIFS('Stock Moves'!$E$6:$E$2005,'Stock Moves'!$C$6:$C$2005,B151,'Stock Moves'!$D$6:$D$2005,"Return")+SUMIFS('Stock Moves'!$E$6:$E$2005,'Stock Moves'!$C$6:$C$2005,B151,'Stock Moves'!$D$6:$D$2005,"Adjustment"))</f>
        <v/>
      </c>
      <c r="J151" s="18">
        <f>IF(B151="","",SUMIFS('Stock Moves'!$E$6:$E$2005,'Stock Moves'!$C$6:$C$2005,B151,'Stock Moves'!$D$6:$D$2005,"Sale"))</f>
        <v/>
      </c>
      <c r="K151" s="27">
        <f>IF(B151="","",G151+I151-J151)</f>
        <v/>
      </c>
      <c r="L151" s="28">
        <f>IF(OR(B151="",N(F151)=0),"",(F151-E151)/F151)</f>
        <v/>
      </c>
      <c r="M151" s="29">
        <f>IF(B151="","",IF(K151&lt;=0,"Out of stock",IF(K151&lt;=H151,"Reorder now","OK")))</f>
        <v/>
      </c>
      <c r="N151" s="1" t="n"/>
    </row>
    <row r="152">
      <c r="A152" s="1" t="n"/>
      <c r="B152" s="23" t="n"/>
      <c r="C152" s="24" t="n"/>
      <c r="D152" s="24" t="n"/>
      <c r="E152" s="25" t="n"/>
      <c r="F152" s="25" t="n"/>
      <c r="G152" s="26" t="n"/>
      <c r="H152" s="26" t="n"/>
      <c r="I152" s="18">
        <f>IF(B152="","",SUMIFS('Stock Moves'!$E$6:$E$2005,'Stock Moves'!$C$6:$C$2005,B152,'Stock Moves'!$D$6:$D$2005,"Purchase")+SUMIFS('Stock Moves'!$E$6:$E$2005,'Stock Moves'!$C$6:$C$2005,B152,'Stock Moves'!$D$6:$D$2005,"Return")+SUMIFS('Stock Moves'!$E$6:$E$2005,'Stock Moves'!$C$6:$C$2005,B152,'Stock Moves'!$D$6:$D$2005,"Adjustment"))</f>
        <v/>
      </c>
      <c r="J152" s="18">
        <f>IF(B152="","",SUMIFS('Stock Moves'!$E$6:$E$2005,'Stock Moves'!$C$6:$C$2005,B152,'Stock Moves'!$D$6:$D$2005,"Sale"))</f>
        <v/>
      </c>
      <c r="K152" s="27">
        <f>IF(B152="","",G152+I152-J152)</f>
        <v/>
      </c>
      <c r="L152" s="28">
        <f>IF(OR(B152="",N(F152)=0),"",(F152-E152)/F152)</f>
        <v/>
      </c>
      <c r="M152" s="29">
        <f>IF(B152="","",IF(K152&lt;=0,"Out of stock",IF(K152&lt;=H152,"Reorder now","OK")))</f>
        <v/>
      </c>
      <c r="N152" s="1" t="n"/>
    </row>
    <row r="153">
      <c r="A153" s="1" t="n"/>
      <c r="B153" s="23" t="n"/>
      <c r="C153" s="24" t="n"/>
      <c r="D153" s="24" t="n"/>
      <c r="E153" s="25" t="n"/>
      <c r="F153" s="25" t="n"/>
      <c r="G153" s="26" t="n"/>
      <c r="H153" s="26" t="n"/>
      <c r="I153" s="18">
        <f>IF(B153="","",SUMIFS('Stock Moves'!$E$6:$E$2005,'Stock Moves'!$C$6:$C$2005,B153,'Stock Moves'!$D$6:$D$2005,"Purchase")+SUMIFS('Stock Moves'!$E$6:$E$2005,'Stock Moves'!$C$6:$C$2005,B153,'Stock Moves'!$D$6:$D$2005,"Return")+SUMIFS('Stock Moves'!$E$6:$E$2005,'Stock Moves'!$C$6:$C$2005,B153,'Stock Moves'!$D$6:$D$2005,"Adjustment"))</f>
        <v/>
      </c>
      <c r="J153" s="18">
        <f>IF(B153="","",SUMIFS('Stock Moves'!$E$6:$E$2005,'Stock Moves'!$C$6:$C$2005,B153,'Stock Moves'!$D$6:$D$2005,"Sale"))</f>
        <v/>
      </c>
      <c r="K153" s="27">
        <f>IF(B153="","",G153+I153-J153)</f>
        <v/>
      </c>
      <c r="L153" s="28">
        <f>IF(OR(B153="",N(F153)=0),"",(F153-E153)/F153)</f>
        <v/>
      </c>
      <c r="M153" s="29">
        <f>IF(B153="","",IF(K153&lt;=0,"Out of stock",IF(K153&lt;=H153,"Reorder now","OK")))</f>
        <v/>
      </c>
      <c r="N153" s="1" t="n"/>
    </row>
    <row r="154">
      <c r="A154" s="1" t="n"/>
      <c r="B154" s="23" t="n"/>
      <c r="C154" s="24" t="n"/>
      <c r="D154" s="24" t="n"/>
      <c r="E154" s="25" t="n"/>
      <c r="F154" s="25" t="n"/>
      <c r="G154" s="26" t="n"/>
      <c r="H154" s="26" t="n"/>
      <c r="I154" s="18">
        <f>IF(B154="","",SUMIFS('Stock Moves'!$E$6:$E$2005,'Stock Moves'!$C$6:$C$2005,B154,'Stock Moves'!$D$6:$D$2005,"Purchase")+SUMIFS('Stock Moves'!$E$6:$E$2005,'Stock Moves'!$C$6:$C$2005,B154,'Stock Moves'!$D$6:$D$2005,"Return")+SUMIFS('Stock Moves'!$E$6:$E$2005,'Stock Moves'!$C$6:$C$2005,B154,'Stock Moves'!$D$6:$D$2005,"Adjustment"))</f>
        <v/>
      </c>
      <c r="J154" s="18">
        <f>IF(B154="","",SUMIFS('Stock Moves'!$E$6:$E$2005,'Stock Moves'!$C$6:$C$2005,B154,'Stock Moves'!$D$6:$D$2005,"Sale"))</f>
        <v/>
      </c>
      <c r="K154" s="27">
        <f>IF(B154="","",G154+I154-J154)</f>
        <v/>
      </c>
      <c r="L154" s="28">
        <f>IF(OR(B154="",N(F154)=0),"",(F154-E154)/F154)</f>
        <v/>
      </c>
      <c r="M154" s="29">
        <f>IF(B154="","",IF(K154&lt;=0,"Out of stock",IF(K154&lt;=H154,"Reorder now","OK")))</f>
        <v/>
      </c>
      <c r="N154" s="1" t="n"/>
    </row>
    <row r="155">
      <c r="A155" s="1" t="n"/>
      <c r="B155" s="23" t="n"/>
      <c r="C155" s="24" t="n"/>
      <c r="D155" s="24" t="n"/>
      <c r="E155" s="25" t="n"/>
      <c r="F155" s="25" t="n"/>
      <c r="G155" s="26" t="n"/>
      <c r="H155" s="26" t="n"/>
      <c r="I155" s="18">
        <f>IF(B155="","",SUMIFS('Stock Moves'!$E$6:$E$2005,'Stock Moves'!$C$6:$C$2005,B155,'Stock Moves'!$D$6:$D$2005,"Purchase")+SUMIFS('Stock Moves'!$E$6:$E$2005,'Stock Moves'!$C$6:$C$2005,B155,'Stock Moves'!$D$6:$D$2005,"Return")+SUMIFS('Stock Moves'!$E$6:$E$2005,'Stock Moves'!$C$6:$C$2005,B155,'Stock Moves'!$D$6:$D$2005,"Adjustment"))</f>
        <v/>
      </c>
      <c r="J155" s="18">
        <f>IF(B155="","",SUMIFS('Stock Moves'!$E$6:$E$2005,'Stock Moves'!$C$6:$C$2005,B155,'Stock Moves'!$D$6:$D$2005,"Sale"))</f>
        <v/>
      </c>
      <c r="K155" s="27">
        <f>IF(B155="","",G155+I155-J155)</f>
        <v/>
      </c>
      <c r="L155" s="28">
        <f>IF(OR(B155="",N(F155)=0),"",(F155-E155)/F155)</f>
        <v/>
      </c>
      <c r="M155" s="29">
        <f>IF(B155="","",IF(K155&lt;=0,"Out of stock",IF(K155&lt;=H155,"Reorder now","OK")))</f>
        <v/>
      </c>
      <c r="N155" s="1" t="n"/>
    </row>
    <row r="156">
      <c r="A156" s="1" t="n"/>
      <c r="B156" s="23" t="n"/>
      <c r="C156" s="24" t="n"/>
      <c r="D156" s="24" t="n"/>
      <c r="E156" s="25" t="n"/>
      <c r="F156" s="25" t="n"/>
      <c r="G156" s="26" t="n"/>
      <c r="H156" s="26" t="n"/>
      <c r="I156" s="18">
        <f>IF(B156="","",SUMIFS('Stock Moves'!$E$6:$E$2005,'Stock Moves'!$C$6:$C$2005,B156,'Stock Moves'!$D$6:$D$2005,"Purchase")+SUMIFS('Stock Moves'!$E$6:$E$2005,'Stock Moves'!$C$6:$C$2005,B156,'Stock Moves'!$D$6:$D$2005,"Return")+SUMIFS('Stock Moves'!$E$6:$E$2005,'Stock Moves'!$C$6:$C$2005,B156,'Stock Moves'!$D$6:$D$2005,"Adjustment"))</f>
        <v/>
      </c>
      <c r="J156" s="18">
        <f>IF(B156="","",SUMIFS('Stock Moves'!$E$6:$E$2005,'Stock Moves'!$C$6:$C$2005,B156,'Stock Moves'!$D$6:$D$2005,"Sale"))</f>
        <v/>
      </c>
      <c r="K156" s="27">
        <f>IF(B156="","",G156+I156-J156)</f>
        <v/>
      </c>
      <c r="L156" s="28">
        <f>IF(OR(B156="",N(F156)=0),"",(F156-E156)/F156)</f>
        <v/>
      </c>
      <c r="M156" s="29">
        <f>IF(B156="","",IF(K156&lt;=0,"Out of stock",IF(K156&lt;=H156,"Reorder now","OK")))</f>
        <v/>
      </c>
      <c r="N156" s="1" t="n"/>
    </row>
    <row r="157">
      <c r="A157" s="1" t="n"/>
      <c r="B157" s="23" t="n"/>
      <c r="C157" s="24" t="n"/>
      <c r="D157" s="24" t="n"/>
      <c r="E157" s="25" t="n"/>
      <c r="F157" s="25" t="n"/>
      <c r="G157" s="26" t="n"/>
      <c r="H157" s="26" t="n"/>
      <c r="I157" s="18">
        <f>IF(B157="","",SUMIFS('Stock Moves'!$E$6:$E$2005,'Stock Moves'!$C$6:$C$2005,B157,'Stock Moves'!$D$6:$D$2005,"Purchase")+SUMIFS('Stock Moves'!$E$6:$E$2005,'Stock Moves'!$C$6:$C$2005,B157,'Stock Moves'!$D$6:$D$2005,"Return")+SUMIFS('Stock Moves'!$E$6:$E$2005,'Stock Moves'!$C$6:$C$2005,B157,'Stock Moves'!$D$6:$D$2005,"Adjustment"))</f>
        <v/>
      </c>
      <c r="J157" s="18">
        <f>IF(B157="","",SUMIFS('Stock Moves'!$E$6:$E$2005,'Stock Moves'!$C$6:$C$2005,B157,'Stock Moves'!$D$6:$D$2005,"Sale"))</f>
        <v/>
      </c>
      <c r="K157" s="27">
        <f>IF(B157="","",G157+I157-J157)</f>
        <v/>
      </c>
      <c r="L157" s="28">
        <f>IF(OR(B157="",N(F157)=0),"",(F157-E157)/F157)</f>
        <v/>
      </c>
      <c r="M157" s="29">
        <f>IF(B157="","",IF(K157&lt;=0,"Out of stock",IF(K157&lt;=H157,"Reorder now","OK")))</f>
        <v/>
      </c>
      <c r="N157" s="1" t="n"/>
    </row>
    <row r="158">
      <c r="A158" s="1" t="n"/>
      <c r="B158" s="23" t="n"/>
      <c r="C158" s="24" t="n"/>
      <c r="D158" s="24" t="n"/>
      <c r="E158" s="25" t="n"/>
      <c r="F158" s="25" t="n"/>
      <c r="G158" s="26" t="n"/>
      <c r="H158" s="26" t="n"/>
      <c r="I158" s="18">
        <f>IF(B158="","",SUMIFS('Stock Moves'!$E$6:$E$2005,'Stock Moves'!$C$6:$C$2005,B158,'Stock Moves'!$D$6:$D$2005,"Purchase")+SUMIFS('Stock Moves'!$E$6:$E$2005,'Stock Moves'!$C$6:$C$2005,B158,'Stock Moves'!$D$6:$D$2005,"Return")+SUMIFS('Stock Moves'!$E$6:$E$2005,'Stock Moves'!$C$6:$C$2005,B158,'Stock Moves'!$D$6:$D$2005,"Adjustment"))</f>
        <v/>
      </c>
      <c r="J158" s="18">
        <f>IF(B158="","",SUMIFS('Stock Moves'!$E$6:$E$2005,'Stock Moves'!$C$6:$C$2005,B158,'Stock Moves'!$D$6:$D$2005,"Sale"))</f>
        <v/>
      </c>
      <c r="K158" s="27">
        <f>IF(B158="","",G158+I158-J158)</f>
        <v/>
      </c>
      <c r="L158" s="28">
        <f>IF(OR(B158="",N(F158)=0),"",(F158-E158)/F158)</f>
        <v/>
      </c>
      <c r="M158" s="29">
        <f>IF(B158="","",IF(K158&lt;=0,"Out of stock",IF(K158&lt;=H158,"Reorder now","OK")))</f>
        <v/>
      </c>
      <c r="N158" s="1" t="n"/>
    </row>
    <row r="159">
      <c r="A159" s="1" t="n"/>
      <c r="B159" s="23" t="n"/>
      <c r="C159" s="24" t="n"/>
      <c r="D159" s="24" t="n"/>
      <c r="E159" s="25" t="n"/>
      <c r="F159" s="25" t="n"/>
      <c r="G159" s="26" t="n"/>
      <c r="H159" s="26" t="n"/>
      <c r="I159" s="18">
        <f>IF(B159="","",SUMIFS('Stock Moves'!$E$6:$E$2005,'Stock Moves'!$C$6:$C$2005,B159,'Stock Moves'!$D$6:$D$2005,"Purchase")+SUMIFS('Stock Moves'!$E$6:$E$2005,'Stock Moves'!$C$6:$C$2005,B159,'Stock Moves'!$D$6:$D$2005,"Return")+SUMIFS('Stock Moves'!$E$6:$E$2005,'Stock Moves'!$C$6:$C$2005,B159,'Stock Moves'!$D$6:$D$2005,"Adjustment"))</f>
        <v/>
      </c>
      <c r="J159" s="18">
        <f>IF(B159="","",SUMIFS('Stock Moves'!$E$6:$E$2005,'Stock Moves'!$C$6:$C$2005,B159,'Stock Moves'!$D$6:$D$2005,"Sale"))</f>
        <v/>
      </c>
      <c r="K159" s="27">
        <f>IF(B159="","",G159+I159-J159)</f>
        <v/>
      </c>
      <c r="L159" s="28">
        <f>IF(OR(B159="",N(F159)=0),"",(F159-E159)/F159)</f>
        <v/>
      </c>
      <c r="M159" s="29">
        <f>IF(B159="","",IF(K159&lt;=0,"Out of stock",IF(K159&lt;=H159,"Reorder now","OK")))</f>
        <v/>
      </c>
      <c r="N159" s="1" t="n"/>
    </row>
    <row r="160">
      <c r="A160" s="1" t="n"/>
      <c r="B160" s="23" t="n"/>
      <c r="C160" s="24" t="n"/>
      <c r="D160" s="24" t="n"/>
      <c r="E160" s="25" t="n"/>
      <c r="F160" s="25" t="n"/>
      <c r="G160" s="26" t="n"/>
      <c r="H160" s="26" t="n"/>
      <c r="I160" s="18">
        <f>IF(B160="","",SUMIFS('Stock Moves'!$E$6:$E$2005,'Stock Moves'!$C$6:$C$2005,B160,'Stock Moves'!$D$6:$D$2005,"Purchase")+SUMIFS('Stock Moves'!$E$6:$E$2005,'Stock Moves'!$C$6:$C$2005,B160,'Stock Moves'!$D$6:$D$2005,"Return")+SUMIFS('Stock Moves'!$E$6:$E$2005,'Stock Moves'!$C$6:$C$2005,B160,'Stock Moves'!$D$6:$D$2005,"Adjustment"))</f>
        <v/>
      </c>
      <c r="J160" s="18">
        <f>IF(B160="","",SUMIFS('Stock Moves'!$E$6:$E$2005,'Stock Moves'!$C$6:$C$2005,B160,'Stock Moves'!$D$6:$D$2005,"Sale"))</f>
        <v/>
      </c>
      <c r="K160" s="27">
        <f>IF(B160="","",G160+I160-J160)</f>
        <v/>
      </c>
      <c r="L160" s="28">
        <f>IF(OR(B160="",N(F160)=0),"",(F160-E160)/F160)</f>
        <v/>
      </c>
      <c r="M160" s="29">
        <f>IF(B160="","",IF(K160&lt;=0,"Out of stock",IF(K160&lt;=H160,"Reorder now","OK")))</f>
        <v/>
      </c>
      <c r="N160" s="1" t="n"/>
    </row>
    <row r="161">
      <c r="A161" s="1" t="n"/>
      <c r="B161" s="23" t="n"/>
      <c r="C161" s="24" t="n"/>
      <c r="D161" s="24" t="n"/>
      <c r="E161" s="25" t="n"/>
      <c r="F161" s="25" t="n"/>
      <c r="G161" s="26" t="n"/>
      <c r="H161" s="26" t="n"/>
      <c r="I161" s="18">
        <f>IF(B161="","",SUMIFS('Stock Moves'!$E$6:$E$2005,'Stock Moves'!$C$6:$C$2005,B161,'Stock Moves'!$D$6:$D$2005,"Purchase")+SUMIFS('Stock Moves'!$E$6:$E$2005,'Stock Moves'!$C$6:$C$2005,B161,'Stock Moves'!$D$6:$D$2005,"Return")+SUMIFS('Stock Moves'!$E$6:$E$2005,'Stock Moves'!$C$6:$C$2005,B161,'Stock Moves'!$D$6:$D$2005,"Adjustment"))</f>
        <v/>
      </c>
      <c r="J161" s="18">
        <f>IF(B161="","",SUMIFS('Stock Moves'!$E$6:$E$2005,'Stock Moves'!$C$6:$C$2005,B161,'Stock Moves'!$D$6:$D$2005,"Sale"))</f>
        <v/>
      </c>
      <c r="K161" s="27">
        <f>IF(B161="","",G161+I161-J161)</f>
        <v/>
      </c>
      <c r="L161" s="28">
        <f>IF(OR(B161="",N(F161)=0),"",(F161-E161)/F161)</f>
        <v/>
      </c>
      <c r="M161" s="29">
        <f>IF(B161="","",IF(K161&lt;=0,"Out of stock",IF(K161&lt;=H161,"Reorder now","OK")))</f>
        <v/>
      </c>
      <c r="N161" s="1" t="n"/>
    </row>
    <row r="162">
      <c r="A162" s="1" t="n"/>
      <c r="B162" s="23" t="n"/>
      <c r="C162" s="24" t="n"/>
      <c r="D162" s="24" t="n"/>
      <c r="E162" s="25" t="n"/>
      <c r="F162" s="25" t="n"/>
      <c r="G162" s="26" t="n"/>
      <c r="H162" s="26" t="n"/>
      <c r="I162" s="18">
        <f>IF(B162="","",SUMIFS('Stock Moves'!$E$6:$E$2005,'Stock Moves'!$C$6:$C$2005,B162,'Stock Moves'!$D$6:$D$2005,"Purchase")+SUMIFS('Stock Moves'!$E$6:$E$2005,'Stock Moves'!$C$6:$C$2005,B162,'Stock Moves'!$D$6:$D$2005,"Return")+SUMIFS('Stock Moves'!$E$6:$E$2005,'Stock Moves'!$C$6:$C$2005,B162,'Stock Moves'!$D$6:$D$2005,"Adjustment"))</f>
        <v/>
      </c>
      <c r="J162" s="18">
        <f>IF(B162="","",SUMIFS('Stock Moves'!$E$6:$E$2005,'Stock Moves'!$C$6:$C$2005,B162,'Stock Moves'!$D$6:$D$2005,"Sale"))</f>
        <v/>
      </c>
      <c r="K162" s="27">
        <f>IF(B162="","",G162+I162-J162)</f>
        <v/>
      </c>
      <c r="L162" s="28">
        <f>IF(OR(B162="",N(F162)=0),"",(F162-E162)/F162)</f>
        <v/>
      </c>
      <c r="M162" s="29">
        <f>IF(B162="","",IF(K162&lt;=0,"Out of stock",IF(K162&lt;=H162,"Reorder now","OK")))</f>
        <v/>
      </c>
      <c r="N162" s="1" t="n"/>
    </row>
    <row r="163">
      <c r="A163" s="1" t="n"/>
      <c r="B163" s="23" t="n"/>
      <c r="C163" s="24" t="n"/>
      <c r="D163" s="24" t="n"/>
      <c r="E163" s="25" t="n"/>
      <c r="F163" s="25" t="n"/>
      <c r="G163" s="26" t="n"/>
      <c r="H163" s="26" t="n"/>
      <c r="I163" s="18">
        <f>IF(B163="","",SUMIFS('Stock Moves'!$E$6:$E$2005,'Stock Moves'!$C$6:$C$2005,B163,'Stock Moves'!$D$6:$D$2005,"Purchase")+SUMIFS('Stock Moves'!$E$6:$E$2005,'Stock Moves'!$C$6:$C$2005,B163,'Stock Moves'!$D$6:$D$2005,"Return")+SUMIFS('Stock Moves'!$E$6:$E$2005,'Stock Moves'!$C$6:$C$2005,B163,'Stock Moves'!$D$6:$D$2005,"Adjustment"))</f>
        <v/>
      </c>
      <c r="J163" s="18">
        <f>IF(B163="","",SUMIFS('Stock Moves'!$E$6:$E$2005,'Stock Moves'!$C$6:$C$2005,B163,'Stock Moves'!$D$6:$D$2005,"Sale"))</f>
        <v/>
      </c>
      <c r="K163" s="27">
        <f>IF(B163="","",G163+I163-J163)</f>
        <v/>
      </c>
      <c r="L163" s="28">
        <f>IF(OR(B163="",N(F163)=0),"",(F163-E163)/F163)</f>
        <v/>
      </c>
      <c r="M163" s="29">
        <f>IF(B163="","",IF(K163&lt;=0,"Out of stock",IF(K163&lt;=H163,"Reorder now","OK")))</f>
        <v/>
      </c>
      <c r="N163" s="1" t="n"/>
    </row>
    <row r="164">
      <c r="A164" s="1" t="n"/>
      <c r="B164" s="23" t="n"/>
      <c r="C164" s="24" t="n"/>
      <c r="D164" s="24" t="n"/>
      <c r="E164" s="25" t="n"/>
      <c r="F164" s="25" t="n"/>
      <c r="G164" s="26" t="n"/>
      <c r="H164" s="26" t="n"/>
      <c r="I164" s="18">
        <f>IF(B164="","",SUMIFS('Stock Moves'!$E$6:$E$2005,'Stock Moves'!$C$6:$C$2005,B164,'Stock Moves'!$D$6:$D$2005,"Purchase")+SUMIFS('Stock Moves'!$E$6:$E$2005,'Stock Moves'!$C$6:$C$2005,B164,'Stock Moves'!$D$6:$D$2005,"Return")+SUMIFS('Stock Moves'!$E$6:$E$2005,'Stock Moves'!$C$6:$C$2005,B164,'Stock Moves'!$D$6:$D$2005,"Adjustment"))</f>
        <v/>
      </c>
      <c r="J164" s="18">
        <f>IF(B164="","",SUMIFS('Stock Moves'!$E$6:$E$2005,'Stock Moves'!$C$6:$C$2005,B164,'Stock Moves'!$D$6:$D$2005,"Sale"))</f>
        <v/>
      </c>
      <c r="K164" s="27">
        <f>IF(B164="","",G164+I164-J164)</f>
        <v/>
      </c>
      <c r="L164" s="28">
        <f>IF(OR(B164="",N(F164)=0),"",(F164-E164)/F164)</f>
        <v/>
      </c>
      <c r="M164" s="29">
        <f>IF(B164="","",IF(K164&lt;=0,"Out of stock",IF(K164&lt;=H164,"Reorder now","OK")))</f>
        <v/>
      </c>
      <c r="N164" s="1" t="n"/>
    </row>
    <row r="165">
      <c r="A165" s="1" t="n"/>
      <c r="B165" s="23" t="n"/>
      <c r="C165" s="24" t="n"/>
      <c r="D165" s="24" t="n"/>
      <c r="E165" s="25" t="n"/>
      <c r="F165" s="25" t="n"/>
      <c r="G165" s="26" t="n"/>
      <c r="H165" s="26" t="n"/>
      <c r="I165" s="18">
        <f>IF(B165="","",SUMIFS('Stock Moves'!$E$6:$E$2005,'Stock Moves'!$C$6:$C$2005,B165,'Stock Moves'!$D$6:$D$2005,"Purchase")+SUMIFS('Stock Moves'!$E$6:$E$2005,'Stock Moves'!$C$6:$C$2005,B165,'Stock Moves'!$D$6:$D$2005,"Return")+SUMIFS('Stock Moves'!$E$6:$E$2005,'Stock Moves'!$C$6:$C$2005,B165,'Stock Moves'!$D$6:$D$2005,"Adjustment"))</f>
        <v/>
      </c>
      <c r="J165" s="18">
        <f>IF(B165="","",SUMIFS('Stock Moves'!$E$6:$E$2005,'Stock Moves'!$C$6:$C$2005,B165,'Stock Moves'!$D$6:$D$2005,"Sale"))</f>
        <v/>
      </c>
      <c r="K165" s="27">
        <f>IF(B165="","",G165+I165-J165)</f>
        <v/>
      </c>
      <c r="L165" s="28">
        <f>IF(OR(B165="",N(F165)=0),"",(F165-E165)/F165)</f>
        <v/>
      </c>
      <c r="M165" s="29">
        <f>IF(B165="","",IF(K165&lt;=0,"Out of stock",IF(K165&lt;=H165,"Reorder now","OK")))</f>
        <v/>
      </c>
      <c r="N165" s="1" t="n"/>
    </row>
    <row r="166">
      <c r="A166" s="1" t="n"/>
      <c r="B166" s="23" t="n"/>
      <c r="C166" s="24" t="n"/>
      <c r="D166" s="24" t="n"/>
      <c r="E166" s="25" t="n"/>
      <c r="F166" s="25" t="n"/>
      <c r="G166" s="26" t="n"/>
      <c r="H166" s="26" t="n"/>
      <c r="I166" s="18">
        <f>IF(B166="","",SUMIFS('Stock Moves'!$E$6:$E$2005,'Stock Moves'!$C$6:$C$2005,B166,'Stock Moves'!$D$6:$D$2005,"Purchase")+SUMIFS('Stock Moves'!$E$6:$E$2005,'Stock Moves'!$C$6:$C$2005,B166,'Stock Moves'!$D$6:$D$2005,"Return")+SUMIFS('Stock Moves'!$E$6:$E$2005,'Stock Moves'!$C$6:$C$2005,B166,'Stock Moves'!$D$6:$D$2005,"Adjustment"))</f>
        <v/>
      </c>
      <c r="J166" s="18">
        <f>IF(B166="","",SUMIFS('Stock Moves'!$E$6:$E$2005,'Stock Moves'!$C$6:$C$2005,B166,'Stock Moves'!$D$6:$D$2005,"Sale"))</f>
        <v/>
      </c>
      <c r="K166" s="27">
        <f>IF(B166="","",G166+I166-J166)</f>
        <v/>
      </c>
      <c r="L166" s="28">
        <f>IF(OR(B166="",N(F166)=0),"",(F166-E166)/F166)</f>
        <v/>
      </c>
      <c r="M166" s="29">
        <f>IF(B166="","",IF(K166&lt;=0,"Out of stock",IF(K166&lt;=H166,"Reorder now","OK")))</f>
        <v/>
      </c>
      <c r="N166" s="1" t="n"/>
    </row>
    <row r="167">
      <c r="A167" s="1" t="n"/>
      <c r="B167" s="23" t="n"/>
      <c r="C167" s="24" t="n"/>
      <c r="D167" s="24" t="n"/>
      <c r="E167" s="25" t="n"/>
      <c r="F167" s="25" t="n"/>
      <c r="G167" s="26" t="n"/>
      <c r="H167" s="26" t="n"/>
      <c r="I167" s="18">
        <f>IF(B167="","",SUMIFS('Stock Moves'!$E$6:$E$2005,'Stock Moves'!$C$6:$C$2005,B167,'Stock Moves'!$D$6:$D$2005,"Purchase")+SUMIFS('Stock Moves'!$E$6:$E$2005,'Stock Moves'!$C$6:$C$2005,B167,'Stock Moves'!$D$6:$D$2005,"Return")+SUMIFS('Stock Moves'!$E$6:$E$2005,'Stock Moves'!$C$6:$C$2005,B167,'Stock Moves'!$D$6:$D$2005,"Adjustment"))</f>
        <v/>
      </c>
      <c r="J167" s="18">
        <f>IF(B167="","",SUMIFS('Stock Moves'!$E$6:$E$2005,'Stock Moves'!$C$6:$C$2005,B167,'Stock Moves'!$D$6:$D$2005,"Sale"))</f>
        <v/>
      </c>
      <c r="K167" s="27">
        <f>IF(B167="","",G167+I167-J167)</f>
        <v/>
      </c>
      <c r="L167" s="28">
        <f>IF(OR(B167="",N(F167)=0),"",(F167-E167)/F167)</f>
        <v/>
      </c>
      <c r="M167" s="29">
        <f>IF(B167="","",IF(K167&lt;=0,"Out of stock",IF(K167&lt;=H167,"Reorder now","OK")))</f>
        <v/>
      </c>
      <c r="N167" s="1" t="n"/>
    </row>
    <row r="168">
      <c r="A168" s="1" t="n"/>
      <c r="B168" s="23" t="n"/>
      <c r="C168" s="24" t="n"/>
      <c r="D168" s="24" t="n"/>
      <c r="E168" s="25" t="n"/>
      <c r="F168" s="25" t="n"/>
      <c r="G168" s="26" t="n"/>
      <c r="H168" s="26" t="n"/>
      <c r="I168" s="18">
        <f>IF(B168="","",SUMIFS('Stock Moves'!$E$6:$E$2005,'Stock Moves'!$C$6:$C$2005,B168,'Stock Moves'!$D$6:$D$2005,"Purchase")+SUMIFS('Stock Moves'!$E$6:$E$2005,'Stock Moves'!$C$6:$C$2005,B168,'Stock Moves'!$D$6:$D$2005,"Return")+SUMIFS('Stock Moves'!$E$6:$E$2005,'Stock Moves'!$C$6:$C$2005,B168,'Stock Moves'!$D$6:$D$2005,"Adjustment"))</f>
        <v/>
      </c>
      <c r="J168" s="18">
        <f>IF(B168="","",SUMIFS('Stock Moves'!$E$6:$E$2005,'Stock Moves'!$C$6:$C$2005,B168,'Stock Moves'!$D$6:$D$2005,"Sale"))</f>
        <v/>
      </c>
      <c r="K168" s="27">
        <f>IF(B168="","",G168+I168-J168)</f>
        <v/>
      </c>
      <c r="L168" s="28">
        <f>IF(OR(B168="",N(F168)=0),"",(F168-E168)/F168)</f>
        <v/>
      </c>
      <c r="M168" s="29">
        <f>IF(B168="","",IF(K168&lt;=0,"Out of stock",IF(K168&lt;=H168,"Reorder now","OK")))</f>
        <v/>
      </c>
      <c r="N168" s="1" t="n"/>
    </row>
    <row r="169">
      <c r="A169" s="1" t="n"/>
      <c r="B169" s="23" t="n"/>
      <c r="C169" s="24" t="n"/>
      <c r="D169" s="24" t="n"/>
      <c r="E169" s="25" t="n"/>
      <c r="F169" s="25" t="n"/>
      <c r="G169" s="26" t="n"/>
      <c r="H169" s="26" t="n"/>
      <c r="I169" s="18">
        <f>IF(B169="","",SUMIFS('Stock Moves'!$E$6:$E$2005,'Stock Moves'!$C$6:$C$2005,B169,'Stock Moves'!$D$6:$D$2005,"Purchase")+SUMIFS('Stock Moves'!$E$6:$E$2005,'Stock Moves'!$C$6:$C$2005,B169,'Stock Moves'!$D$6:$D$2005,"Return")+SUMIFS('Stock Moves'!$E$6:$E$2005,'Stock Moves'!$C$6:$C$2005,B169,'Stock Moves'!$D$6:$D$2005,"Adjustment"))</f>
        <v/>
      </c>
      <c r="J169" s="18">
        <f>IF(B169="","",SUMIFS('Stock Moves'!$E$6:$E$2005,'Stock Moves'!$C$6:$C$2005,B169,'Stock Moves'!$D$6:$D$2005,"Sale"))</f>
        <v/>
      </c>
      <c r="K169" s="27">
        <f>IF(B169="","",G169+I169-J169)</f>
        <v/>
      </c>
      <c r="L169" s="28">
        <f>IF(OR(B169="",N(F169)=0),"",(F169-E169)/F169)</f>
        <v/>
      </c>
      <c r="M169" s="29">
        <f>IF(B169="","",IF(K169&lt;=0,"Out of stock",IF(K169&lt;=H169,"Reorder now","OK")))</f>
        <v/>
      </c>
      <c r="N169" s="1" t="n"/>
    </row>
    <row r="170">
      <c r="A170" s="1" t="n"/>
      <c r="B170" s="23" t="n"/>
      <c r="C170" s="24" t="n"/>
      <c r="D170" s="24" t="n"/>
      <c r="E170" s="25" t="n"/>
      <c r="F170" s="25" t="n"/>
      <c r="G170" s="26" t="n"/>
      <c r="H170" s="26" t="n"/>
      <c r="I170" s="18">
        <f>IF(B170="","",SUMIFS('Stock Moves'!$E$6:$E$2005,'Stock Moves'!$C$6:$C$2005,B170,'Stock Moves'!$D$6:$D$2005,"Purchase")+SUMIFS('Stock Moves'!$E$6:$E$2005,'Stock Moves'!$C$6:$C$2005,B170,'Stock Moves'!$D$6:$D$2005,"Return")+SUMIFS('Stock Moves'!$E$6:$E$2005,'Stock Moves'!$C$6:$C$2005,B170,'Stock Moves'!$D$6:$D$2005,"Adjustment"))</f>
        <v/>
      </c>
      <c r="J170" s="18">
        <f>IF(B170="","",SUMIFS('Stock Moves'!$E$6:$E$2005,'Stock Moves'!$C$6:$C$2005,B170,'Stock Moves'!$D$6:$D$2005,"Sale"))</f>
        <v/>
      </c>
      <c r="K170" s="27">
        <f>IF(B170="","",G170+I170-J170)</f>
        <v/>
      </c>
      <c r="L170" s="28">
        <f>IF(OR(B170="",N(F170)=0),"",(F170-E170)/F170)</f>
        <v/>
      </c>
      <c r="M170" s="29">
        <f>IF(B170="","",IF(K170&lt;=0,"Out of stock",IF(K170&lt;=H170,"Reorder now","OK")))</f>
        <v/>
      </c>
      <c r="N170" s="1" t="n"/>
    </row>
    <row r="171">
      <c r="A171" s="1" t="n"/>
      <c r="B171" s="23" t="n"/>
      <c r="C171" s="24" t="n"/>
      <c r="D171" s="24" t="n"/>
      <c r="E171" s="25" t="n"/>
      <c r="F171" s="25" t="n"/>
      <c r="G171" s="26" t="n"/>
      <c r="H171" s="26" t="n"/>
      <c r="I171" s="18">
        <f>IF(B171="","",SUMIFS('Stock Moves'!$E$6:$E$2005,'Stock Moves'!$C$6:$C$2005,B171,'Stock Moves'!$D$6:$D$2005,"Purchase")+SUMIFS('Stock Moves'!$E$6:$E$2005,'Stock Moves'!$C$6:$C$2005,B171,'Stock Moves'!$D$6:$D$2005,"Return")+SUMIFS('Stock Moves'!$E$6:$E$2005,'Stock Moves'!$C$6:$C$2005,B171,'Stock Moves'!$D$6:$D$2005,"Adjustment"))</f>
        <v/>
      </c>
      <c r="J171" s="18">
        <f>IF(B171="","",SUMIFS('Stock Moves'!$E$6:$E$2005,'Stock Moves'!$C$6:$C$2005,B171,'Stock Moves'!$D$6:$D$2005,"Sale"))</f>
        <v/>
      </c>
      <c r="K171" s="27">
        <f>IF(B171="","",G171+I171-J171)</f>
        <v/>
      </c>
      <c r="L171" s="28">
        <f>IF(OR(B171="",N(F171)=0),"",(F171-E171)/F171)</f>
        <v/>
      </c>
      <c r="M171" s="29">
        <f>IF(B171="","",IF(K171&lt;=0,"Out of stock",IF(K171&lt;=H171,"Reorder now","OK")))</f>
        <v/>
      </c>
      <c r="N171" s="1" t="n"/>
    </row>
    <row r="172">
      <c r="A172" s="1" t="n"/>
      <c r="B172" s="23" t="n"/>
      <c r="C172" s="24" t="n"/>
      <c r="D172" s="24" t="n"/>
      <c r="E172" s="25" t="n"/>
      <c r="F172" s="25" t="n"/>
      <c r="G172" s="26" t="n"/>
      <c r="H172" s="26" t="n"/>
      <c r="I172" s="18">
        <f>IF(B172="","",SUMIFS('Stock Moves'!$E$6:$E$2005,'Stock Moves'!$C$6:$C$2005,B172,'Stock Moves'!$D$6:$D$2005,"Purchase")+SUMIFS('Stock Moves'!$E$6:$E$2005,'Stock Moves'!$C$6:$C$2005,B172,'Stock Moves'!$D$6:$D$2005,"Return")+SUMIFS('Stock Moves'!$E$6:$E$2005,'Stock Moves'!$C$6:$C$2005,B172,'Stock Moves'!$D$6:$D$2005,"Adjustment"))</f>
        <v/>
      </c>
      <c r="J172" s="18">
        <f>IF(B172="","",SUMIFS('Stock Moves'!$E$6:$E$2005,'Stock Moves'!$C$6:$C$2005,B172,'Stock Moves'!$D$6:$D$2005,"Sale"))</f>
        <v/>
      </c>
      <c r="K172" s="27">
        <f>IF(B172="","",G172+I172-J172)</f>
        <v/>
      </c>
      <c r="L172" s="28">
        <f>IF(OR(B172="",N(F172)=0),"",(F172-E172)/F172)</f>
        <v/>
      </c>
      <c r="M172" s="29">
        <f>IF(B172="","",IF(K172&lt;=0,"Out of stock",IF(K172&lt;=H172,"Reorder now","OK")))</f>
        <v/>
      </c>
      <c r="N172" s="1" t="n"/>
    </row>
    <row r="173">
      <c r="A173" s="1" t="n"/>
      <c r="B173" s="23" t="n"/>
      <c r="C173" s="24" t="n"/>
      <c r="D173" s="24" t="n"/>
      <c r="E173" s="25" t="n"/>
      <c r="F173" s="25" t="n"/>
      <c r="G173" s="26" t="n"/>
      <c r="H173" s="26" t="n"/>
      <c r="I173" s="18">
        <f>IF(B173="","",SUMIFS('Stock Moves'!$E$6:$E$2005,'Stock Moves'!$C$6:$C$2005,B173,'Stock Moves'!$D$6:$D$2005,"Purchase")+SUMIFS('Stock Moves'!$E$6:$E$2005,'Stock Moves'!$C$6:$C$2005,B173,'Stock Moves'!$D$6:$D$2005,"Return")+SUMIFS('Stock Moves'!$E$6:$E$2005,'Stock Moves'!$C$6:$C$2005,B173,'Stock Moves'!$D$6:$D$2005,"Adjustment"))</f>
        <v/>
      </c>
      <c r="J173" s="18">
        <f>IF(B173="","",SUMIFS('Stock Moves'!$E$6:$E$2005,'Stock Moves'!$C$6:$C$2005,B173,'Stock Moves'!$D$6:$D$2005,"Sale"))</f>
        <v/>
      </c>
      <c r="K173" s="27">
        <f>IF(B173="","",G173+I173-J173)</f>
        <v/>
      </c>
      <c r="L173" s="28">
        <f>IF(OR(B173="",N(F173)=0),"",(F173-E173)/F173)</f>
        <v/>
      </c>
      <c r="M173" s="29">
        <f>IF(B173="","",IF(K173&lt;=0,"Out of stock",IF(K173&lt;=H173,"Reorder now","OK")))</f>
        <v/>
      </c>
      <c r="N173" s="1" t="n"/>
    </row>
    <row r="174">
      <c r="A174" s="1" t="n"/>
      <c r="B174" s="23" t="n"/>
      <c r="C174" s="24" t="n"/>
      <c r="D174" s="24" t="n"/>
      <c r="E174" s="25" t="n"/>
      <c r="F174" s="25" t="n"/>
      <c r="G174" s="26" t="n"/>
      <c r="H174" s="26" t="n"/>
      <c r="I174" s="18">
        <f>IF(B174="","",SUMIFS('Stock Moves'!$E$6:$E$2005,'Stock Moves'!$C$6:$C$2005,B174,'Stock Moves'!$D$6:$D$2005,"Purchase")+SUMIFS('Stock Moves'!$E$6:$E$2005,'Stock Moves'!$C$6:$C$2005,B174,'Stock Moves'!$D$6:$D$2005,"Return")+SUMIFS('Stock Moves'!$E$6:$E$2005,'Stock Moves'!$C$6:$C$2005,B174,'Stock Moves'!$D$6:$D$2005,"Adjustment"))</f>
        <v/>
      </c>
      <c r="J174" s="18">
        <f>IF(B174="","",SUMIFS('Stock Moves'!$E$6:$E$2005,'Stock Moves'!$C$6:$C$2005,B174,'Stock Moves'!$D$6:$D$2005,"Sale"))</f>
        <v/>
      </c>
      <c r="K174" s="27">
        <f>IF(B174="","",G174+I174-J174)</f>
        <v/>
      </c>
      <c r="L174" s="28">
        <f>IF(OR(B174="",N(F174)=0),"",(F174-E174)/F174)</f>
        <v/>
      </c>
      <c r="M174" s="29">
        <f>IF(B174="","",IF(K174&lt;=0,"Out of stock",IF(K174&lt;=H174,"Reorder now","OK")))</f>
        <v/>
      </c>
      <c r="N174" s="1" t="n"/>
    </row>
    <row r="175">
      <c r="A175" s="1" t="n"/>
      <c r="B175" s="23" t="n"/>
      <c r="C175" s="24" t="n"/>
      <c r="D175" s="24" t="n"/>
      <c r="E175" s="25" t="n"/>
      <c r="F175" s="25" t="n"/>
      <c r="G175" s="26" t="n"/>
      <c r="H175" s="26" t="n"/>
      <c r="I175" s="18">
        <f>IF(B175="","",SUMIFS('Stock Moves'!$E$6:$E$2005,'Stock Moves'!$C$6:$C$2005,B175,'Stock Moves'!$D$6:$D$2005,"Purchase")+SUMIFS('Stock Moves'!$E$6:$E$2005,'Stock Moves'!$C$6:$C$2005,B175,'Stock Moves'!$D$6:$D$2005,"Return")+SUMIFS('Stock Moves'!$E$6:$E$2005,'Stock Moves'!$C$6:$C$2005,B175,'Stock Moves'!$D$6:$D$2005,"Adjustment"))</f>
        <v/>
      </c>
      <c r="J175" s="18">
        <f>IF(B175="","",SUMIFS('Stock Moves'!$E$6:$E$2005,'Stock Moves'!$C$6:$C$2005,B175,'Stock Moves'!$D$6:$D$2005,"Sale"))</f>
        <v/>
      </c>
      <c r="K175" s="27">
        <f>IF(B175="","",G175+I175-J175)</f>
        <v/>
      </c>
      <c r="L175" s="28">
        <f>IF(OR(B175="",N(F175)=0),"",(F175-E175)/F175)</f>
        <v/>
      </c>
      <c r="M175" s="29">
        <f>IF(B175="","",IF(K175&lt;=0,"Out of stock",IF(K175&lt;=H175,"Reorder now","OK")))</f>
        <v/>
      </c>
      <c r="N175" s="1" t="n"/>
    </row>
    <row r="176">
      <c r="A176" s="1" t="n"/>
      <c r="B176" s="23" t="n"/>
      <c r="C176" s="24" t="n"/>
      <c r="D176" s="24" t="n"/>
      <c r="E176" s="25" t="n"/>
      <c r="F176" s="25" t="n"/>
      <c r="G176" s="26" t="n"/>
      <c r="H176" s="26" t="n"/>
      <c r="I176" s="18">
        <f>IF(B176="","",SUMIFS('Stock Moves'!$E$6:$E$2005,'Stock Moves'!$C$6:$C$2005,B176,'Stock Moves'!$D$6:$D$2005,"Purchase")+SUMIFS('Stock Moves'!$E$6:$E$2005,'Stock Moves'!$C$6:$C$2005,B176,'Stock Moves'!$D$6:$D$2005,"Return")+SUMIFS('Stock Moves'!$E$6:$E$2005,'Stock Moves'!$C$6:$C$2005,B176,'Stock Moves'!$D$6:$D$2005,"Adjustment"))</f>
        <v/>
      </c>
      <c r="J176" s="18">
        <f>IF(B176="","",SUMIFS('Stock Moves'!$E$6:$E$2005,'Stock Moves'!$C$6:$C$2005,B176,'Stock Moves'!$D$6:$D$2005,"Sale"))</f>
        <v/>
      </c>
      <c r="K176" s="27">
        <f>IF(B176="","",G176+I176-J176)</f>
        <v/>
      </c>
      <c r="L176" s="28">
        <f>IF(OR(B176="",N(F176)=0),"",(F176-E176)/F176)</f>
        <v/>
      </c>
      <c r="M176" s="29">
        <f>IF(B176="","",IF(K176&lt;=0,"Out of stock",IF(K176&lt;=H176,"Reorder now","OK")))</f>
        <v/>
      </c>
      <c r="N176" s="1" t="n"/>
    </row>
    <row r="177">
      <c r="A177" s="1" t="n"/>
      <c r="B177" s="23" t="n"/>
      <c r="C177" s="24" t="n"/>
      <c r="D177" s="24" t="n"/>
      <c r="E177" s="25" t="n"/>
      <c r="F177" s="25" t="n"/>
      <c r="G177" s="26" t="n"/>
      <c r="H177" s="26" t="n"/>
      <c r="I177" s="18">
        <f>IF(B177="","",SUMIFS('Stock Moves'!$E$6:$E$2005,'Stock Moves'!$C$6:$C$2005,B177,'Stock Moves'!$D$6:$D$2005,"Purchase")+SUMIFS('Stock Moves'!$E$6:$E$2005,'Stock Moves'!$C$6:$C$2005,B177,'Stock Moves'!$D$6:$D$2005,"Return")+SUMIFS('Stock Moves'!$E$6:$E$2005,'Stock Moves'!$C$6:$C$2005,B177,'Stock Moves'!$D$6:$D$2005,"Adjustment"))</f>
        <v/>
      </c>
      <c r="J177" s="18">
        <f>IF(B177="","",SUMIFS('Stock Moves'!$E$6:$E$2005,'Stock Moves'!$C$6:$C$2005,B177,'Stock Moves'!$D$6:$D$2005,"Sale"))</f>
        <v/>
      </c>
      <c r="K177" s="27">
        <f>IF(B177="","",G177+I177-J177)</f>
        <v/>
      </c>
      <c r="L177" s="28">
        <f>IF(OR(B177="",N(F177)=0),"",(F177-E177)/F177)</f>
        <v/>
      </c>
      <c r="M177" s="29">
        <f>IF(B177="","",IF(K177&lt;=0,"Out of stock",IF(K177&lt;=H177,"Reorder now","OK")))</f>
        <v/>
      </c>
      <c r="N177" s="1" t="n"/>
    </row>
    <row r="178">
      <c r="A178" s="1" t="n"/>
      <c r="B178" s="23" t="n"/>
      <c r="C178" s="24" t="n"/>
      <c r="D178" s="24" t="n"/>
      <c r="E178" s="25" t="n"/>
      <c r="F178" s="25" t="n"/>
      <c r="G178" s="26" t="n"/>
      <c r="H178" s="26" t="n"/>
      <c r="I178" s="18">
        <f>IF(B178="","",SUMIFS('Stock Moves'!$E$6:$E$2005,'Stock Moves'!$C$6:$C$2005,B178,'Stock Moves'!$D$6:$D$2005,"Purchase")+SUMIFS('Stock Moves'!$E$6:$E$2005,'Stock Moves'!$C$6:$C$2005,B178,'Stock Moves'!$D$6:$D$2005,"Return")+SUMIFS('Stock Moves'!$E$6:$E$2005,'Stock Moves'!$C$6:$C$2005,B178,'Stock Moves'!$D$6:$D$2005,"Adjustment"))</f>
        <v/>
      </c>
      <c r="J178" s="18">
        <f>IF(B178="","",SUMIFS('Stock Moves'!$E$6:$E$2005,'Stock Moves'!$C$6:$C$2005,B178,'Stock Moves'!$D$6:$D$2005,"Sale"))</f>
        <v/>
      </c>
      <c r="K178" s="27">
        <f>IF(B178="","",G178+I178-J178)</f>
        <v/>
      </c>
      <c r="L178" s="28">
        <f>IF(OR(B178="",N(F178)=0),"",(F178-E178)/F178)</f>
        <v/>
      </c>
      <c r="M178" s="29">
        <f>IF(B178="","",IF(K178&lt;=0,"Out of stock",IF(K178&lt;=H178,"Reorder now","OK")))</f>
        <v/>
      </c>
      <c r="N178" s="1" t="n"/>
    </row>
    <row r="179">
      <c r="A179" s="1" t="n"/>
      <c r="B179" s="23" t="n"/>
      <c r="C179" s="24" t="n"/>
      <c r="D179" s="24" t="n"/>
      <c r="E179" s="25" t="n"/>
      <c r="F179" s="25" t="n"/>
      <c r="G179" s="26" t="n"/>
      <c r="H179" s="26" t="n"/>
      <c r="I179" s="18">
        <f>IF(B179="","",SUMIFS('Stock Moves'!$E$6:$E$2005,'Stock Moves'!$C$6:$C$2005,B179,'Stock Moves'!$D$6:$D$2005,"Purchase")+SUMIFS('Stock Moves'!$E$6:$E$2005,'Stock Moves'!$C$6:$C$2005,B179,'Stock Moves'!$D$6:$D$2005,"Return")+SUMIFS('Stock Moves'!$E$6:$E$2005,'Stock Moves'!$C$6:$C$2005,B179,'Stock Moves'!$D$6:$D$2005,"Adjustment"))</f>
        <v/>
      </c>
      <c r="J179" s="18">
        <f>IF(B179="","",SUMIFS('Stock Moves'!$E$6:$E$2005,'Stock Moves'!$C$6:$C$2005,B179,'Stock Moves'!$D$6:$D$2005,"Sale"))</f>
        <v/>
      </c>
      <c r="K179" s="27">
        <f>IF(B179="","",G179+I179-J179)</f>
        <v/>
      </c>
      <c r="L179" s="28">
        <f>IF(OR(B179="",N(F179)=0),"",(F179-E179)/F179)</f>
        <v/>
      </c>
      <c r="M179" s="29">
        <f>IF(B179="","",IF(K179&lt;=0,"Out of stock",IF(K179&lt;=H179,"Reorder now","OK")))</f>
        <v/>
      </c>
      <c r="N179" s="1" t="n"/>
    </row>
    <row r="180">
      <c r="A180" s="1" t="n"/>
      <c r="B180" s="23" t="n"/>
      <c r="C180" s="24" t="n"/>
      <c r="D180" s="24" t="n"/>
      <c r="E180" s="25" t="n"/>
      <c r="F180" s="25" t="n"/>
      <c r="G180" s="26" t="n"/>
      <c r="H180" s="26" t="n"/>
      <c r="I180" s="18">
        <f>IF(B180="","",SUMIFS('Stock Moves'!$E$6:$E$2005,'Stock Moves'!$C$6:$C$2005,B180,'Stock Moves'!$D$6:$D$2005,"Purchase")+SUMIFS('Stock Moves'!$E$6:$E$2005,'Stock Moves'!$C$6:$C$2005,B180,'Stock Moves'!$D$6:$D$2005,"Return")+SUMIFS('Stock Moves'!$E$6:$E$2005,'Stock Moves'!$C$6:$C$2005,B180,'Stock Moves'!$D$6:$D$2005,"Adjustment"))</f>
        <v/>
      </c>
      <c r="J180" s="18">
        <f>IF(B180="","",SUMIFS('Stock Moves'!$E$6:$E$2005,'Stock Moves'!$C$6:$C$2005,B180,'Stock Moves'!$D$6:$D$2005,"Sale"))</f>
        <v/>
      </c>
      <c r="K180" s="27">
        <f>IF(B180="","",G180+I180-J180)</f>
        <v/>
      </c>
      <c r="L180" s="28">
        <f>IF(OR(B180="",N(F180)=0),"",(F180-E180)/F180)</f>
        <v/>
      </c>
      <c r="M180" s="29">
        <f>IF(B180="","",IF(K180&lt;=0,"Out of stock",IF(K180&lt;=H180,"Reorder now","OK")))</f>
        <v/>
      </c>
      <c r="N180" s="1" t="n"/>
    </row>
    <row r="181">
      <c r="A181" s="1" t="n"/>
      <c r="B181" s="23" t="n"/>
      <c r="C181" s="24" t="n"/>
      <c r="D181" s="24" t="n"/>
      <c r="E181" s="25" t="n"/>
      <c r="F181" s="25" t="n"/>
      <c r="G181" s="26" t="n"/>
      <c r="H181" s="26" t="n"/>
      <c r="I181" s="18">
        <f>IF(B181="","",SUMIFS('Stock Moves'!$E$6:$E$2005,'Stock Moves'!$C$6:$C$2005,B181,'Stock Moves'!$D$6:$D$2005,"Purchase")+SUMIFS('Stock Moves'!$E$6:$E$2005,'Stock Moves'!$C$6:$C$2005,B181,'Stock Moves'!$D$6:$D$2005,"Return")+SUMIFS('Stock Moves'!$E$6:$E$2005,'Stock Moves'!$C$6:$C$2005,B181,'Stock Moves'!$D$6:$D$2005,"Adjustment"))</f>
        <v/>
      </c>
      <c r="J181" s="18">
        <f>IF(B181="","",SUMIFS('Stock Moves'!$E$6:$E$2005,'Stock Moves'!$C$6:$C$2005,B181,'Stock Moves'!$D$6:$D$2005,"Sale"))</f>
        <v/>
      </c>
      <c r="K181" s="27">
        <f>IF(B181="","",G181+I181-J181)</f>
        <v/>
      </c>
      <c r="L181" s="28">
        <f>IF(OR(B181="",N(F181)=0),"",(F181-E181)/F181)</f>
        <v/>
      </c>
      <c r="M181" s="29">
        <f>IF(B181="","",IF(K181&lt;=0,"Out of stock",IF(K181&lt;=H181,"Reorder now","OK")))</f>
        <v/>
      </c>
      <c r="N181" s="1" t="n"/>
    </row>
    <row r="182">
      <c r="A182" s="1" t="n"/>
      <c r="B182" s="23" t="n"/>
      <c r="C182" s="24" t="n"/>
      <c r="D182" s="24" t="n"/>
      <c r="E182" s="25" t="n"/>
      <c r="F182" s="25" t="n"/>
      <c r="G182" s="26" t="n"/>
      <c r="H182" s="26" t="n"/>
      <c r="I182" s="18">
        <f>IF(B182="","",SUMIFS('Stock Moves'!$E$6:$E$2005,'Stock Moves'!$C$6:$C$2005,B182,'Stock Moves'!$D$6:$D$2005,"Purchase")+SUMIFS('Stock Moves'!$E$6:$E$2005,'Stock Moves'!$C$6:$C$2005,B182,'Stock Moves'!$D$6:$D$2005,"Return")+SUMIFS('Stock Moves'!$E$6:$E$2005,'Stock Moves'!$C$6:$C$2005,B182,'Stock Moves'!$D$6:$D$2005,"Adjustment"))</f>
        <v/>
      </c>
      <c r="J182" s="18">
        <f>IF(B182="","",SUMIFS('Stock Moves'!$E$6:$E$2005,'Stock Moves'!$C$6:$C$2005,B182,'Stock Moves'!$D$6:$D$2005,"Sale"))</f>
        <v/>
      </c>
      <c r="K182" s="27">
        <f>IF(B182="","",G182+I182-J182)</f>
        <v/>
      </c>
      <c r="L182" s="28">
        <f>IF(OR(B182="",N(F182)=0),"",(F182-E182)/F182)</f>
        <v/>
      </c>
      <c r="M182" s="29">
        <f>IF(B182="","",IF(K182&lt;=0,"Out of stock",IF(K182&lt;=H182,"Reorder now","OK")))</f>
        <v/>
      </c>
      <c r="N182" s="1" t="n"/>
    </row>
    <row r="183">
      <c r="A183" s="1" t="n"/>
      <c r="B183" s="23" t="n"/>
      <c r="C183" s="24" t="n"/>
      <c r="D183" s="24" t="n"/>
      <c r="E183" s="25" t="n"/>
      <c r="F183" s="25" t="n"/>
      <c r="G183" s="26" t="n"/>
      <c r="H183" s="26" t="n"/>
      <c r="I183" s="18">
        <f>IF(B183="","",SUMIFS('Stock Moves'!$E$6:$E$2005,'Stock Moves'!$C$6:$C$2005,B183,'Stock Moves'!$D$6:$D$2005,"Purchase")+SUMIFS('Stock Moves'!$E$6:$E$2005,'Stock Moves'!$C$6:$C$2005,B183,'Stock Moves'!$D$6:$D$2005,"Return")+SUMIFS('Stock Moves'!$E$6:$E$2005,'Stock Moves'!$C$6:$C$2005,B183,'Stock Moves'!$D$6:$D$2005,"Adjustment"))</f>
        <v/>
      </c>
      <c r="J183" s="18">
        <f>IF(B183="","",SUMIFS('Stock Moves'!$E$6:$E$2005,'Stock Moves'!$C$6:$C$2005,B183,'Stock Moves'!$D$6:$D$2005,"Sale"))</f>
        <v/>
      </c>
      <c r="K183" s="27">
        <f>IF(B183="","",G183+I183-J183)</f>
        <v/>
      </c>
      <c r="L183" s="28">
        <f>IF(OR(B183="",N(F183)=0),"",(F183-E183)/F183)</f>
        <v/>
      </c>
      <c r="M183" s="29">
        <f>IF(B183="","",IF(K183&lt;=0,"Out of stock",IF(K183&lt;=H183,"Reorder now","OK")))</f>
        <v/>
      </c>
      <c r="N183" s="1" t="n"/>
    </row>
    <row r="184">
      <c r="A184" s="1" t="n"/>
      <c r="B184" s="23" t="n"/>
      <c r="C184" s="24" t="n"/>
      <c r="D184" s="24" t="n"/>
      <c r="E184" s="25" t="n"/>
      <c r="F184" s="25" t="n"/>
      <c r="G184" s="26" t="n"/>
      <c r="H184" s="26" t="n"/>
      <c r="I184" s="18">
        <f>IF(B184="","",SUMIFS('Stock Moves'!$E$6:$E$2005,'Stock Moves'!$C$6:$C$2005,B184,'Stock Moves'!$D$6:$D$2005,"Purchase")+SUMIFS('Stock Moves'!$E$6:$E$2005,'Stock Moves'!$C$6:$C$2005,B184,'Stock Moves'!$D$6:$D$2005,"Return")+SUMIFS('Stock Moves'!$E$6:$E$2005,'Stock Moves'!$C$6:$C$2005,B184,'Stock Moves'!$D$6:$D$2005,"Adjustment"))</f>
        <v/>
      </c>
      <c r="J184" s="18">
        <f>IF(B184="","",SUMIFS('Stock Moves'!$E$6:$E$2005,'Stock Moves'!$C$6:$C$2005,B184,'Stock Moves'!$D$6:$D$2005,"Sale"))</f>
        <v/>
      </c>
      <c r="K184" s="27">
        <f>IF(B184="","",G184+I184-J184)</f>
        <v/>
      </c>
      <c r="L184" s="28">
        <f>IF(OR(B184="",N(F184)=0),"",(F184-E184)/F184)</f>
        <v/>
      </c>
      <c r="M184" s="29">
        <f>IF(B184="","",IF(K184&lt;=0,"Out of stock",IF(K184&lt;=H184,"Reorder now","OK")))</f>
        <v/>
      </c>
      <c r="N184" s="1" t="n"/>
    </row>
    <row r="185">
      <c r="A185" s="1" t="n"/>
      <c r="B185" s="23" t="n"/>
      <c r="C185" s="24" t="n"/>
      <c r="D185" s="24" t="n"/>
      <c r="E185" s="25" t="n"/>
      <c r="F185" s="25" t="n"/>
      <c r="G185" s="26" t="n"/>
      <c r="H185" s="26" t="n"/>
      <c r="I185" s="18">
        <f>IF(B185="","",SUMIFS('Stock Moves'!$E$6:$E$2005,'Stock Moves'!$C$6:$C$2005,B185,'Stock Moves'!$D$6:$D$2005,"Purchase")+SUMIFS('Stock Moves'!$E$6:$E$2005,'Stock Moves'!$C$6:$C$2005,B185,'Stock Moves'!$D$6:$D$2005,"Return")+SUMIFS('Stock Moves'!$E$6:$E$2005,'Stock Moves'!$C$6:$C$2005,B185,'Stock Moves'!$D$6:$D$2005,"Adjustment"))</f>
        <v/>
      </c>
      <c r="J185" s="18">
        <f>IF(B185="","",SUMIFS('Stock Moves'!$E$6:$E$2005,'Stock Moves'!$C$6:$C$2005,B185,'Stock Moves'!$D$6:$D$2005,"Sale"))</f>
        <v/>
      </c>
      <c r="K185" s="27">
        <f>IF(B185="","",G185+I185-J185)</f>
        <v/>
      </c>
      <c r="L185" s="28">
        <f>IF(OR(B185="",N(F185)=0),"",(F185-E185)/F185)</f>
        <v/>
      </c>
      <c r="M185" s="29">
        <f>IF(B185="","",IF(K185&lt;=0,"Out of stock",IF(K185&lt;=H185,"Reorder now","OK")))</f>
        <v/>
      </c>
      <c r="N185" s="1" t="n"/>
    </row>
    <row r="186">
      <c r="A186" s="1" t="n"/>
      <c r="B186" s="23" t="n"/>
      <c r="C186" s="24" t="n"/>
      <c r="D186" s="24" t="n"/>
      <c r="E186" s="25" t="n"/>
      <c r="F186" s="25" t="n"/>
      <c r="G186" s="26" t="n"/>
      <c r="H186" s="26" t="n"/>
      <c r="I186" s="18">
        <f>IF(B186="","",SUMIFS('Stock Moves'!$E$6:$E$2005,'Stock Moves'!$C$6:$C$2005,B186,'Stock Moves'!$D$6:$D$2005,"Purchase")+SUMIFS('Stock Moves'!$E$6:$E$2005,'Stock Moves'!$C$6:$C$2005,B186,'Stock Moves'!$D$6:$D$2005,"Return")+SUMIFS('Stock Moves'!$E$6:$E$2005,'Stock Moves'!$C$6:$C$2005,B186,'Stock Moves'!$D$6:$D$2005,"Adjustment"))</f>
        <v/>
      </c>
      <c r="J186" s="18">
        <f>IF(B186="","",SUMIFS('Stock Moves'!$E$6:$E$2005,'Stock Moves'!$C$6:$C$2005,B186,'Stock Moves'!$D$6:$D$2005,"Sale"))</f>
        <v/>
      </c>
      <c r="K186" s="27">
        <f>IF(B186="","",G186+I186-J186)</f>
        <v/>
      </c>
      <c r="L186" s="28">
        <f>IF(OR(B186="",N(F186)=0),"",(F186-E186)/F186)</f>
        <v/>
      </c>
      <c r="M186" s="29">
        <f>IF(B186="","",IF(K186&lt;=0,"Out of stock",IF(K186&lt;=H186,"Reorder now","OK")))</f>
        <v/>
      </c>
      <c r="N186" s="1" t="n"/>
    </row>
    <row r="187">
      <c r="A187" s="1" t="n"/>
      <c r="B187" s="23" t="n"/>
      <c r="C187" s="24" t="n"/>
      <c r="D187" s="24" t="n"/>
      <c r="E187" s="25" t="n"/>
      <c r="F187" s="25" t="n"/>
      <c r="G187" s="26" t="n"/>
      <c r="H187" s="26" t="n"/>
      <c r="I187" s="18">
        <f>IF(B187="","",SUMIFS('Stock Moves'!$E$6:$E$2005,'Stock Moves'!$C$6:$C$2005,B187,'Stock Moves'!$D$6:$D$2005,"Purchase")+SUMIFS('Stock Moves'!$E$6:$E$2005,'Stock Moves'!$C$6:$C$2005,B187,'Stock Moves'!$D$6:$D$2005,"Return")+SUMIFS('Stock Moves'!$E$6:$E$2005,'Stock Moves'!$C$6:$C$2005,B187,'Stock Moves'!$D$6:$D$2005,"Adjustment"))</f>
        <v/>
      </c>
      <c r="J187" s="18">
        <f>IF(B187="","",SUMIFS('Stock Moves'!$E$6:$E$2005,'Stock Moves'!$C$6:$C$2005,B187,'Stock Moves'!$D$6:$D$2005,"Sale"))</f>
        <v/>
      </c>
      <c r="K187" s="27">
        <f>IF(B187="","",G187+I187-J187)</f>
        <v/>
      </c>
      <c r="L187" s="28">
        <f>IF(OR(B187="",N(F187)=0),"",(F187-E187)/F187)</f>
        <v/>
      </c>
      <c r="M187" s="29">
        <f>IF(B187="","",IF(K187&lt;=0,"Out of stock",IF(K187&lt;=H187,"Reorder now","OK")))</f>
        <v/>
      </c>
      <c r="N187" s="1" t="n"/>
    </row>
    <row r="188">
      <c r="A188" s="1" t="n"/>
      <c r="B188" s="23" t="n"/>
      <c r="C188" s="24" t="n"/>
      <c r="D188" s="24" t="n"/>
      <c r="E188" s="25" t="n"/>
      <c r="F188" s="25" t="n"/>
      <c r="G188" s="26" t="n"/>
      <c r="H188" s="26" t="n"/>
      <c r="I188" s="18">
        <f>IF(B188="","",SUMIFS('Stock Moves'!$E$6:$E$2005,'Stock Moves'!$C$6:$C$2005,B188,'Stock Moves'!$D$6:$D$2005,"Purchase")+SUMIFS('Stock Moves'!$E$6:$E$2005,'Stock Moves'!$C$6:$C$2005,B188,'Stock Moves'!$D$6:$D$2005,"Return")+SUMIFS('Stock Moves'!$E$6:$E$2005,'Stock Moves'!$C$6:$C$2005,B188,'Stock Moves'!$D$6:$D$2005,"Adjustment"))</f>
        <v/>
      </c>
      <c r="J188" s="18">
        <f>IF(B188="","",SUMIFS('Stock Moves'!$E$6:$E$2005,'Stock Moves'!$C$6:$C$2005,B188,'Stock Moves'!$D$6:$D$2005,"Sale"))</f>
        <v/>
      </c>
      <c r="K188" s="27">
        <f>IF(B188="","",G188+I188-J188)</f>
        <v/>
      </c>
      <c r="L188" s="28">
        <f>IF(OR(B188="",N(F188)=0),"",(F188-E188)/F188)</f>
        <v/>
      </c>
      <c r="M188" s="29">
        <f>IF(B188="","",IF(K188&lt;=0,"Out of stock",IF(K188&lt;=H188,"Reorder now","OK")))</f>
        <v/>
      </c>
      <c r="N188" s="1" t="n"/>
    </row>
    <row r="189">
      <c r="A189" s="1" t="n"/>
      <c r="B189" s="23" t="n"/>
      <c r="C189" s="24" t="n"/>
      <c r="D189" s="24" t="n"/>
      <c r="E189" s="25" t="n"/>
      <c r="F189" s="25" t="n"/>
      <c r="G189" s="26" t="n"/>
      <c r="H189" s="26" t="n"/>
      <c r="I189" s="18">
        <f>IF(B189="","",SUMIFS('Stock Moves'!$E$6:$E$2005,'Stock Moves'!$C$6:$C$2005,B189,'Stock Moves'!$D$6:$D$2005,"Purchase")+SUMIFS('Stock Moves'!$E$6:$E$2005,'Stock Moves'!$C$6:$C$2005,B189,'Stock Moves'!$D$6:$D$2005,"Return")+SUMIFS('Stock Moves'!$E$6:$E$2005,'Stock Moves'!$C$6:$C$2005,B189,'Stock Moves'!$D$6:$D$2005,"Adjustment"))</f>
        <v/>
      </c>
      <c r="J189" s="18">
        <f>IF(B189="","",SUMIFS('Stock Moves'!$E$6:$E$2005,'Stock Moves'!$C$6:$C$2005,B189,'Stock Moves'!$D$6:$D$2005,"Sale"))</f>
        <v/>
      </c>
      <c r="K189" s="27">
        <f>IF(B189="","",G189+I189-J189)</f>
        <v/>
      </c>
      <c r="L189" s="28">
        <f>IF(OR(B189="",N(F189)=0),"",(F189-E189)/F189)</f>
        <v/>
      </c>
      <c r="M189" s="29">
        <f>IF(B189="","",IF(K189&lt;=0,"Out of stock",IF(K189&lt;=H189,"Reorder now","OK")))</f>
        <v/>
      </c>
      <c r="N189" s="1" t="n"/>
    </row>
    <row r="190">
      <c r="A190" s="1" t="n"/>
      <c r="B190" s="23" t="n"/>
      <c r="C190" s="24" t="n"/>
      <c r="D190" s="24" t="n"/>
      <c r="E190" s="25" t="n"/>
      <c r="F190" s="25" t="n"/>
      <c r="G190" s="26" t="n"/>
      <c r="H190" s="26" t="n"/>
      <c r="I190" s="18">
        <f>IF(B190="","",SUMIFS('Stock Moves'!$E$6:$E$2005,'Stock Moves'!$C$6:$C$2005,B190,'Stock Moves'!$D$6:$D$2005,"Purchase")+SUMIFS('Stock Moves'!$E$6:$E$2005,'Stock Moves'!$C$6:$C$2005,B190,'Stock Moves'!$D$6:$D$2005,"Return")+SUMIFS('Stock Moves'!$E$6:$E$2005,'Stock Moves'!$C$6:$C$2005,B190,'Stock Moves'!$D$6:$D$2005,"Adjustment"))</f>
        <v/>
      </c>
      <c r="J190" s="18">
        <f>IF(B190="","",SUMIFS('Stock Moves'!$E$6:$E$2005,'Stock Moves'!$C$6:$C$2005,B190,'Stock Moves'!$D$6:$D$2005,"Sale"))</f>
        <v/>
      </c>
      <c r="K190" s="27">
        <f>IF(B190="","",G190+I190-J190)</f>
        <v/>
      </c>
      <c r="L190" s="28">
        <f>IF(OR(B190="",N(F190)=0),"",(F190-E190)/F190)</f>
        <v/>
      </c>
      <c r="M190" s="29">
        <f>IF(B190="","",IF(K190&lt;=0,"Out of stock",IF(K190&lt;=H190,"Reorder now","OK")))</f>
        <v/>
      </c>
      <c r="N190" s="1" t="n"/>
    </row>
    <row r="191">
      <c r="A191" s="1" t="n"/>
      <c r="B191" s="23" t="n"/>
      <c r="C191" s="24" t="n"/>
      <c r="D191" s="24" t="n"/>
      <c r="E191" s="25" t="n"/>
      <c r="F191" s="25" t="n"/>
      <c r="G191" s="26" t="n"/>
      <c r="H191" s="26" t="n"/>
      <c r="I191" s="18">
        <f>IF(B191="","",SUMIFS('Stock Moves'!$E$6:$E$2005,'Stock Moves'!$C$6:$C$2005,B191,'Stock Moves'!$D$6:$D$2005,"Purchase")+SUMIFS('Stock Moves'!$E$6:$E$2005,'Stock Moves'!$C$6:$C$2005,B191,'Stock Moves'!$D$6:$D$2005,"Return")+SUMIFS('Stock Moves'!$E$6:$E$2005,'Stock Moves'!$C$6:$C$2005,B191,'Stock Moves'!$D$6:$D$2005,"Adjustment"))</f>
        <v/>
      </c>
      <c r="J191" s="18">
        <f>IF(B191="","",SUMIFS('Stock Moves'!$E$6:$E$2005,'Stock Moves'!$C$6:$C$2005,B191,'Stock Moves'!$D$6:$D$2005,"Sale"))</f>
        <v/>
      </c>
      <c r="K191" s="27">
        <f>IF(B191="","",G191+I191-J191)</f>
        <v/>
      </c>
      <c r="L191" s="28">
        <f>IF(OR(B191="",N(F191)=0),"",(F191-E191)/F191)</f>
        <v/>
      </c>
      <c r="M191" s="29">
        <f>IF(B191="","",IF(K191&lt;=0,"Out of stock",IF(K191&lt;=H191,"Reorder now","OK")))</f>
        <v/>
      </c>
      <c r="N191" s="1" t="n"/>
    </row>
    <row r="192">
      <c r="A192" s="1" t="n"/>
      <c r="B192" s="23" t="n"/>
      <c r="C192" s="24" t="n"/>
      <c r="D192" s="24" t="n"/>
      <c r="E192" s="25" t="n"/>
      <c r="F192" s="25" t="n"/>
      <c r="G192" s="26" t="n"/>
      <c r="H192" s="26" t="n"/>
      <c r="I192" s="18">
        <f>IF(B192="","",SUMIFS('Stock Moves'!$E$6:$E$2005,'Stock Moves'!$C$6:$C$2005,B192,'Stock Moves'!$D$6:$D$2005,"Purchase")+SUMIFS('Stock Moves'!$E$6:$E$2005,'Stock Moves'!$C$6:$C$2005,B192,'Stock Moves'!$D$6:$D$2005,"Return")+SUMIFS('Stock Moves'!$E$6:$E$2005,'Stock Moves'!$C$6:$C$2005,B192,'Stock Moves'!$D$6:$D$2005,"Adjustment"))</f>
        <v/>
      </c>
      <c r="J192" s="18">
        <f>IF(B192="","",SUMIFS('Stock Moves'!$E$6:$E$2005,'Stock Moves'!$C$6:$C$2005,B192,'Stock Moves'!$D$6:$D$2005,"Sale"))</f>
        <v/>
      </c>
      <c r="K192" s="27">
        <f>IF(B192="","",G192+I192-J192)</f>
        <v/>
      </c>
      <c r="L192" s="28">
        <f>IF(OR(B192="",N(F192)=0),"",(F192-E192)/F192)</f>
        <v/>
      </c>
      <c r="M192" s="29">
        <f>IF(B192="","",IF(K192&lt;=0,"Out of stock",IF(K192&lt;=H192,"Reorder now","OK")))</f>
        <v/>
      </c>
      <c r="N192" s="1" t="n"/>
    </row>
    <row r="193">
      <c r="A193" s="1" t="n"/>
      <c r="B193" s="23" t="n"/>
      <c r="C193" s="24" t="n"/>
      <c r="D193" s="24" t="n"/>
      <c r="E193" s="25" t="n"/>
      <c r="F193" s="25" t="n"/>
      <c r="G193" s="26" t="n"/>
      <c r="H193" s="26" t="n"/>
      <c r="I193" s="18">
        <f>IF(B193="","",SUMIFS('Stock Moves'!$E$6:$E$2005,'Stock Moves'!$C$6:$C$2005,B193,'Stock Moves'!$D$6:$D$2005,"Purchase")+SUMIFS('Stock Moves'!$E$6:$E$2005,'Stock Moves'!$C$6:$C$2005,B193,'Stock Moves'!$D$6:$D$2005,"Return")+SUMIFS('Stock Moves'!$E$6:$E$2005,'Stock Moves'!$C$6:$C$2005,B193,'Stock Moves'!$D$6:$D$2005,"Adjustment"))</f>
        <v/>
      </c>
      <c r="J193" s="18">
        <f>IF(B193="","",SUMIFS('Stock Moves'!$E$6:$E$2005,'Stock Moves'!$C$6:$C$2005,B193,'Stock Moves'!$D$6:$D$2005,"Sale"))</f>
        <v/>
      </c>
      <c r="K193" s="27">
        <f>IF(B193="","",G193+I193-J193)</f>
        <v/>
      </c>
      <c r="L193" s="28">
        <f>IF(OR(B193="",N(F193)=0),"",(F193-E193)/F193)</f>
        <v/>
      </c>
      <c r="M193" s="29">
        <f>IF(B193="","",IF(K193&lt;=0,"Out of stock",IF(K193&lt;=H193,"Reorder now","OK")))</f>
        <v/>
      </c>
      <c r="N193" s="1" t="n"/>
    </row>
    <row r="194">
      <c r="A194" s="1" t="n"/>
      <c r="B194" s="23" t="n"/>
      <c r="C194" s="24" t="n"/>
      <c r="D194" s="24" t="n"/>
      <c r="E194" s="25" t="n"/>
      <c r="F194" s="25" t="n"/>
      <c r="G194" s="26" t="n"/>
      <c r="H194" s="26" t="n"/>
      <c r="I194" s="18">
        <f>IF(B194="","",SUMIFS('Stock Moves'!$E$6:$E$2005,'Stock Moves'!$C$6:$C$2005,B194,'Stock Moves'!$D$6:$D$2005,"Purchase")+SUMIFS('Stock Moves'!$E$6:$E$2005,'Stock Moves'!$C$6:$C$2005,B194,'Stock Moves'!$D$6:$D$2005,"Return")+SUMIFS('Stock Moves'!$E$6:$E$2005,'Stock Moves'!$C$6:$C$2005,B194,'Stock Moves'!$D$6:$D$2005,"Adjustment"))</f>
        <v/>
      </c>
      <c r="J194" s="18">
        <f>IF(B194="","",SUMIFS('Stock Moves'!$E$6:$E$2005,'Stock Moves'!$C$6:$C$2005,B194,'Stock Moves'!$D$6:$D$2005,"Sale"))</f>
        <v/>
      </c>
      <c r="K194" s="27">
        <f>IF(B194="","",G194+I194-J194)</f>
        <v/>
      </c>
      <c r="L194" s="28">
        <f>IF(OR(B194="",N(F194)=0),"",(F194-E194)/F194)</f>
        <v/>
      </c>
      <c r="M194" s="29">
        <f>IF(B194="","",IF(K194&lt;=0,"Out of stock",IF(K194&lt;=H194,"Reorder now","OK")))</f>
        <v/>
      </c>
      <c r="N194" s="1" t="n"/>
    </row>
    <row r="195">
      <c r="A195" s="1" t="n"/>
      <c r="B195" s="23" t="n"/>
      <c r="C195" s="24" t="n"/>
      <c r="D195" s="24" t="n"/>
      <c r="E195" s="25" t="n"/>
      <c r="F195" s="25" t="n"/>
      <c r="G195" s="26" t="n"/>
      <c r="H195" s="26" t="n"/>
      <c r="I195" s="18">
        <f>IF(B195="","",SUMIFS('Stock Moves'!$E$6:$E$2005,'Stock Moves'!$C$6:$C$2005,B195,'Stock Moves'!$D$6:$D$2005,"Purchase")+SUMIFS('Stock Moves'!$E$6:$E$2005,'Stock Moves'!$C$6:$C$2005,B195,'Stock Moves'!$D$6:$D$2005,"Return")+SUMIFS('Stock Moves'!$E$6:$E$2005,'Stock Moves'!$C$6:$C$2005,B195,'Stock Moves'!$D$6:$D$2005,"Adjustment"))</f>
        <v/>
      </c>
      <c r="J195" s="18">
        <f>IF(B195="","",SUMIFS('Stock Moves'!$E$6:$E$2005,'Stock Moves'!$C$6:$C$2005,B195,'Stock Moves'!$D$6:$D$2005,"Sale"))</f>
        <v/>
      </c>
      <c r="K195" s="27">
        <f>IF(B195="","",G195+I195-J195)</f>
        <v/>
      </c>
      <c r="L195" s="28">
        <f>IF(OR(B195="",N(F195)=0),"",(F195-E195)/F195)</f>
        <v/>
      </c>
      <c r="M195" s="29">
        <f>IF(B195="","",IF(K195&lt;=0,"Out of stock",IF(K195&lt;=H195,"Reorder now","OK")))</f>
        <v/>
      </c>
      <c r="N195" s="1" t="n"/>
    </row>
    <row r="196">
      <c r="A196" s="1" t="n"/>
      <c r="B196" s="23" t="n"/>
      <c r="C196" s="24" t="n"/>
      <c r="D196" s="24" t="n"/>
      <c r="E196" s="25" t="n"/>
      <c r="F196" s="25" t="n"/>
      <c r="G196" s="26" t="n"/>
      <c r="H196" s="26" t="n"/>
      <c r="I196" s="18">
        <f>IF(B196="","",SUMIFS('Stock Moves'!$E$6:$E$2005,'Stock Moves'!$C$6:$C$2005,B196,'Stock Moves'!$D$6:$D$2005,"Purchase")+SUMIFS('Stock Moves'!$E$6:$E$2005,'Stock Moves'!$C$6:$C$2005,B196,'Stock Moves'!$D$6:$D$2005,"Return")+SUMIFS('Stock Moves'!$E$6:$E$2005,'Stock Moves'!$C$6:$C$2005,B196,'Stock Moves'!$D$6:$D$2005,"Adjustment"))</f>
        <v/>
      </c>
      <c r="J196" s="18">
        <f>IF(B196="","",SUMIFS('Stock Moves'!$E$6:$E$2005,'Stock Moves'!$C$6:$C$2005,B196,'Stock Moves'!$D$6:$D$2005,"Sale"))</f>
        <v/>
      </c>
      <c r="K196" s="27">
        <f>IF(B196="","",G196+I196-J196)</f>
        <v/>
      </c>
      <c r="L196" s="28">
        <f>IF(OR(B196="",N(F196)=0),"",(F196-E196)/F196)</f>
        <v/>
      </c>
      <c r="M196" s="29">
        <f>IF(B196="","",IF(K196&lt;=0,"Out of stock",IF(K196&lt;=H196,"Reorder now","OK")))</f>
        <v/>
      </c>
      <c r="N196" s="1" t="n"/>
    </row>
    <row r="197">
      <c r="A197" s="1" t="n"/>
      <c r="B197" s="23" t="n"/>
      <c r="C197" s="24" t="n"/>
      <c r="D197" s="24" t="n"/>
      <c r="E197" s="25" t="n"/>
      <c r="F197" s="25" t="n"/>
      <c r="G197" s="26" t="n"/>
      <c r="H197" s="26" t="n"/>
      <c r="I197" s="18">
        <f>IF(B197="","",SUMIFS('Stock Moves'!$E$6:$E$2005,'Stock Moves'!$C$6:$C$2005,B197,'Stock Moves'!$D$6:$D$2005,"Purchase")+SUMIFS('Stock Moves'!$E$6:$E$2005,'Stock Moves'!$C$6:$C$2005,B197,'Stock Moves'!$D$6:$D$2005,"Return")+SUMIFS('Stock Moves'!$E$6:$E$2005,'Stock Moves'!$C$6:$C$2005,B197,'Stock Moves'!$D$6:$D$2005,"Adjustment"))</f>
        <v/>
      </c>
      <c r="J197" s="18">
        <f>IF(B197="","",SUMIFS('Stock Moves'!$E$6:$E$2005,'Stock Moves'!$C$6:$C$2005,B197,'Stock Moves'!$D$6:$D$2005,"Sale"))</f>
        <v/>
      </c>
      <c r="K197" s="27">
        <f>IF(B197="","",G197+I197-J197)</f>
        <v/>
      </c>
      <c r="L197" s="28">
        <f>IF(OR(B197="",N(F197)=0),"",(F197-E197)/F197)</f>
        <v/>
      </c>
      <c r="M197" s="29">
        <f>IF(B197="","",IF(K197&lt;=0,"Out of stock",IF(K197&lt;=H197,"Reorder now","OK")))</f>
        <v/>
      </c>
      <c r="N197" s="1" t="n"/>
    </row>
    <row r="198">
      <c r="A198" s="1" t="n"/>
      <c r="B198" s="23" t="n"/>
      <c r="C198" s="24" t="n"/>
      <c r="D198" s="24" t="n"/>
      <c r="E198" s="25" t="n"/>
      <c r="F198" s="25" t="n"/>
      <c r="G198" s="26" t="n"/>
      <c r="H198" s="26" t="n"/>
      <c r="I198" s="18">
        <f>IF(B198="","",SUMIFS('Stock Moves'!$E$6:$E$2005,'Stock Moves'!$C$6:$C$2005,B198,'Stock Moves'!$D$6:$D$2005,"Purchase")+SUMIFS('Stock Moves'!$E$6:$E$2005,'Stock Moves'!$C$6:$C$2005,B198,'Stock Moves'!$D$6:$D$2005,"Return")+SUMIFS('Stock Moves'!$E$6:$E$2005,'Stock Moves'!$C$6:$C$2005,B198,'Stock Moves'!$D$6:$D$2005,"Adjustment"))</f>
        <v/>
      </c>
      <c r="J198" s="18">
        <f>IF(B198="","",SUMIFS('Stock Moves'!$E$6:$E$2005,'Stock Moves'!$C$6:$C$2005,B198,'Stock Moves'!$D$6:$D$2005,"Sale"))</f>
        <v/>
      </c>
      <c r="K198" s="27">
        <f>IF(B198="","",G198+I198-J198)</f>
        <v/>
      </c>
      <c r="L198" s="28">
        <f>IF(OR(B198="",N(F198)=0),"",(F198-E198)/F198)</f>
        <v/>
      </c>
      <c r="M198" s="29">
        <f>IF(B198="","",IF(K198&lt;=0,"Out of stock",IF(K198&lt;=H198,"Reorder now","OK")))</f>
        <v/>
      </c>
      <c r="N198" s="1" t="n"/>
    </row>
    <row r="199">
      <c r="A199" s="1" t="n"/>
      <c r="B199" s="23" t="n"/>
      <c r="C199" s="24" t="n"/>
      <c r="D199" s="24" t="n"/>
      <c r="E199" s="25" t="n"/>
      <c r="F199" s="25" t="n"/>
      <c r="G199" s="26" t="n"/>
      <c r="H199" s="26" t="n"/>
      <c r="I199" s="18">
        <f>IF(B199="","",SUMIFS('Stock Moves'!$E$6:$E$2005,'Stock Moves'!$C$6:$C$2005,B199,'Stock Moves'!$D$6:$D$2005,"Purchase")+SUMIFS('Stock Moves'!$E$6:$E$2005,'Stock Moves'!$C$6:$C$2005,B199,'Stock Moves'!$D$6:$D$2005,"Return")+SUMIFS('Stock Moves'!$E$6:$E$2005,'Stock Moves'!$C$6:$C$2005,B199,'Stock Moves'!$D$6:$D$2005,"Adjustment"))</f>
        <v/>
      </c>
      <c r="J199" s="18">
        <f>IF(B199="","",SUMIFS('Stock Moves'!$E$6:$E$2005,'Stock Moves'!$C$6:$C$2005,B199,'Stock Moves'!$D$6:$D$2005,"Sale"))</f>
        <v/>
      </c>
      <c r="K199" s="27">
        <f>IF(B199="","",G199+I199-J199)</f>
        <v/>
      </c>
      <c r="L199" s="28">
        <f>IF(OR(B199="",N(F199)=0),"",(F199-E199)/F199)</f>
        <v/>
      </c>
      <c r="M199" s="29">
        <f>IF(B199="","",IF(K199&lt;=0,"Out of stock",IF(K199&lt;=H199,"Reorder now","OK")))</f>
        <v/>
      </c>
      <c r="N199" s="1" t="n"/>
    </row>
    <row r="200">
      <c r="A200" s="1" t="n"/>
      <c r="B200" s="23" t="n"/>
      <c r="C200" s="24" t="n"/>
      <c r="D200" s="24" t="n"/>
      <c r="E200" s="25" t="n"/>
      <c r="F200" s="25" t="n"/>
      <c r="G200" s="26" t="n"/>
      <c r="H200" s="26" t="n"/>
      <c r="I200" s="18">
        <f>IF(B200="","",SUMIFS('Stock Moves'!$E$6:$E$2005,'Stock Moves'!$C$6:$C$2005,B200,'Stock Moves'!$D$6:$D$2005,"Purchase")+SUMIFS('Stock Moves'!$E$6:$E$2005,'Stock Moves'!$C$6:$C$2005,B200,'Stock Moves'!$D$6:$D$2005,"Return")+SUMIFS('Stock Moves'!$E$6:$E$2005,'Stock Moves'!$C$6:$C$2005,B200,'Stock Moves'!$D$6:$D$2005,"Adjustment"))</f>
        <v/>
      </c>
      <c r="J200" s="18">
        <f>IF(B200="","",SUMIFS('Stock Moves'!$E$6:$E$2005,'Stock Moves'!$C$6:$C$2005,B200,'Stock Moves'!$D$6:$D$2005,"Sale"))</f>
        <v/>
      </c>
      <c r="K200" s="27">
        <f>IF(B200="","",G200+I200-J200)</f>
        <v/>
      </c>
      <c r="L200" s="28">
        <f>IF(OR(B200="",N(F200)=0),"",(F200-E200)/F200)</f>
        <v/>
      </c>
      <c r="M200" s="29">
        <f>IF(B200="","",IF(K200&lt;=0,"Out of stock",IF(K200&lt;=H200,"Reorder now","OK")))</f>
        <v/>
      </c>
      <c r="N200" s="1" t="n"/>
    </row>
    <row r="201">
      <c r="A201" s="1" t="n"/>
      <c r="B201" s="23" t="n"/>
      <c r="C201" s="24" t="n"/>
      <c r="D201" s="24" t="n"/>
      <c r="E201" s="25" t="n"/>
      <c r="F201" s="25" t="n"/>
      <c r="G201" s="26" t="n"/>
      <c r="H201" s="26" t="n"/>
      <c r="I201" s="18">
        <f>IF(B201="","",SUMIFS('Stock Moves'!$E$6:$E$2005,'Stock Moves'!$C$6:$C$2005,B201,'Stock Moves'!$D$6:$D$2005,"Purchase")+SUMIFS('Stock Moves'!$E$6:$E$2005,'Stock Moves'!$C$6:$C$2005,B201,'Stock Moves'!$D$6:$D$2005,"Return")+SUMIFS('Stock Moves'!$E$6:$E$2005,'Stock Moves'!$C$6:$C$2005,B201,'Stock Moves'!$D$6:$D$2005,"Adjustment"))</f>
        <v/>
      </c>
      <c r="J201" s="18">
        <f>IF(B201="","",SUMIFS('Stock Moves'!$E$6:$E$2005,'Stock Moves'!$C$6:$C$2005,B201,'Stock Moves'!$D$6:$D$2005,"Sale"))</f>
        <v/>
      </c>
      <c r="K201" s="27">
        <f>IF(B201="","",G201+I201-J201)</f>
        <v/>
      </c>
      <c r="L201" s="28">
        <f>IF(OR(B201="",N(F201)=0),"",(F201-E201)/F201)</f>
        <v/>
      </c>
      <c r="M201" s="29">
        <f>IF(B201="","",IF(K201&lt;=0,"Out of stock",IF(K201&lt;=H201,"Reorder now","OK")))</f>
        <v/>
      </c>
      <c r="N201" s="1" t="n"/>
    </row>
    <row r="202">
      <c r="A202" s="1" t="n"/>
      <c r="B202" s="23" t="n"/>
      <c r="C202" s="24" t="n"/>
      <c r="D202" s="24" t="n"/>
      <c r="E202" s="25" t="n"/>
      <c r="F202" s="25" t="n"/>
      <c r="G202" s="26" t="n"/>
      <c r="H202" s="26" t="n"/>
      <c r="I202" s="18">
        <f>IF(B202="","",SUMIFS('Stock Moves'!$E$6:$E$2005,'Stock Moves'!$C$6:$C$2005,B202,'Stock Moves'!$D$6:$D$2005,"Purchase")+SUMIFS('Stock Moves'!$E$6:$E$2005,'Stock Moves'!$C$6:$C$2005,B202,'Stock Moves'!$D$6:$D$2005,"Return")+SUMIFS('Stock Moves'!$E$6:$E$2005,'Stock Moves'!$C$6:$C$2005,B202,'Stock Moves'!$D$6:$D$2005,"Adjustment"))</f>
        <v/>
      </c>
      <c r="J202" s="18">
        <f>IF(B202="","",SUMIFS('Stock Moves'!$E$6:$E$2005,'Stock Moves'!$C$6:$C$2005,B202,'Stock Moves'!$D$6:$D$2005,"Sale"))</f>
        <v/>
      </c>
      <c r="K202" s="27">
        <f>IF(B202="","",G202+I202-J202)</f>
        <v/>
      </c>
      <c r="L202" s="28">
        <f>IF(OR(B202="",N(F202)=0),"",(F202-E202)/F202)</f>
        <v/>
      </c>
      <c r="M202" s="29">
        <f>IF(B202="","",IF(K202&lt;=0,"Out of stock",IF(K202&lt;=H202,"Reorder now","OK")))</f>
        <v/>
      </c>
      <c r="N202" s="1" t="n"/>
    </row>
    <row r="203">
      <c r="A203" s="1" t="n"/>
      <c r="B203" s="23" t="n"/>
      <c r="C203" s="24" t="n"/>
      <c r="D203" s="24" t="n"/>
      <c r="E203" s="25" t="n"/>
      <c r="F203" s="25" t="n"/>
      <c r="G203" s="26" t="n"/>
      <c r="H203" s="26" t="n"/>
      <c r="I203" s="18">
        <f>IF(B203="","",SUMIFS('Stock Moves'!$E$6:$E$2005,'Stock Moves'!$C$6:$C$2005,B203,'Stock Moves'!$D$6:$D$2005,"Purchase")+SUMIFS('Stock Moves'!$E$6:$E$2005,'Stock Moves'!$C$6:$C$2005,B203,'Stock Moves'!$D$6:$D$2005,"Return")+SUMIFS('Stock Moves'!$E$6:$E$2005,'Stock Moves'!$C$6:$C$2005,B203,'Stock Moves'!$D$6:$D$2005,"Adjustment"))</f>
        <v/>
      </c>
      <c r="J203" s="18">
        <f>IF(B203="","",SUMIFS('Stock Moves'!$E$6:$E$2005,'Stock Moves'!$C$6:$C$2005,B203,'Stock Moves'!$D$6:$D$2005,"Sale"))</f>
        <v/>
      </c>
      <c r="K203" s="27">
        <f>IF(B203="","",G203+I203-J203)</f>
        <v/>
      </c>
      <c r="L203" s="28">
        <f>IF(OR(B203="",N(F203)=0),"",(F203-E203)/F203)</f>
        <v/>
      </c>
      <c r="M203" s="29">
        <f>IF(B203="","",IF(K203&lt;=0,"Out of stock",IF(K203&lt;=H203,"Reorder now","OK")))</f>
        <v/>
      </c>
      <c r="N203" s="1" t="n"/>
    </row>
    <row r="204">
      <c r="A204" s="1" t="n"/>
      <c r="B204" s="23" t="n"/>
      <c r="C204" s="24" t="n"/>
      <c r="D204" s="24" t="n"/>
      <c r="E204" s="25" t="n"/>
      <c r="F204" s="25" t="n"/>
      <c r="G204" s="26" t="n"/>
      <c r="H204" s="26" t="n"/>
      <c r="I204" s="18">
        <f>IF(B204="","",SUMIFS('Stock Moves'!$E$6:$E$2005,'Stock Moves'!$C$6:$C$2005,B204,'Stock Moves'!$D$6:$D$2005,"Purchase")+SUMIFS('Stock Moves'!$E$6:$E$2005,'Stock Moves'!$C$6:$C$2005,B204,'Stock Moves'!$D$6:$D$2005,"Return")+SUMIFS('Stock Moves'!$E$6:$E$2005,'Stock Moves'!$C$6:$C$2005,B204,'Stock Moves'!$D$6:$D$2005,"Adjustment"))</f>
        <v/>
      </c>
      <c r="J204" s="18">
        <f>IF(B204="","",SUMIFS('Stock Moves'!$E$6:$E$2005,'Stock Moves'!$C$6:$C$2005,B204,'Stock Moves'!$D$6:$D$2005,"Sale"))</f>
        <v/>
      </c>
      <c r="K204" s="27">
        <f>IF(B204="","",G204+I204-J204)</f>
        <v/>
      </c>
      <c r="L204" s="28">
        <f>IF(OR(B204="",N(F204)=0),"",(F204-E204)/F204)</f>
        <v/>
      </c>
      <c r="M204" s="29">
        <f>IF(B204="","",IF(K204&lt;=0,"Out of stock",IF(K204&lt;=H204,"Reorder now","OK")))</f>
        <v/>
      </c>
      <c r="N204" s="1" t="n"/>
    </row>
    <row r="205">
      <c r="A205" s="1" t="n"/>
      <c r="B205" s="23" t="n"/>
      <c r="C205" s="24" t="n"/>
      <c r="D205" s="24" t="n"/>
      <c r="E205" s="25" t="n"/>
      <c r="F205" s="25" t="n"/>
      <c r="G205" s="26" t="n"/>
      <c r="H205" s="26" t="n"/>
      <c r="I205" s="18">
        <f>IF(B205="","",SUMIFS('Stock Moves'!$E$6:$E$2005,'Stock Moves'!$C$6:$C$2005,B205,'Stock Moves'!$D$6:$D$2005,"Purchase")+SUMIFS('Stock Moves'!$E$6:$E$2005,'Stock Moves'!$C$6:$C$2005,B205,'Stock Moves'!$D$6:$D$2005,"Return")+SUMIFS('Stock Moves'!$E$6:$E$2005,'Stock Moves'!$C$6:$C$2005,B205,'Stock Moves'!$D$6:$D$2005,"Adjustment"))</f>
        <v/>
      </c>
      <c r="J205" s="18">
        <f>IF(B205="","",SUMIFS('Stock Moves'!$E$6:$E$2005,'Stock Moves'!$C$6:$C$2005,B205,'Stock Moves'!$D$6:$D$2005,"Sale"))</f>
        <v/>
      </c>
      <c r="K205" s="27">
        <f>IF(B205="","",G205+I205-J205)</f>
        <v/>
      </c>
      <c r="L205" s="28">
        <f>IF(OR(B205="",N(F205)=0),"",(F205-E205)/F205)</f>
        <v/>
      </c>
      <c r="M205" s="29">
        <f>IF(B205="","",IF(K205&lt;=0,"Out of stock",IF(K205&lt;=H205,"Reorder now","OK")))</f>
        <v/>
      </c>
      <c r="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</sheetData>
  <conditionalFormatting sqref="M6:M205">
    <cfRule type="expression" priority="1" dxfId="0">
      <formula>$M6="OK"</formula>
    </cfRule>
    <cfRule type="expression" priority="2" dxfId="1">
      <formula>$M6="Reorder now"</formula>
    </cfRule>
    <cfRule type="expression" priority="3" dxfId="2">
      <formula>$M6="Out of stock"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0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1" customWidth="1" min="3" max="3"/>
    <col width="13" customWidth="1" min="4" max="4"/>
    <col width="9" customWidth="1" min="5" max="5"/>
    <col width="11" customWidth="1" min="6" max="6"/>
    <col width="13" customWidth="1" min="7" max="7"/>
    <col width="13" customWidth="1" min="8" max="8"/>
    <col width="2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2" customHeight="1">
      <c r="A2" s="1" t="n"/>
      <c r="B2" s="2" t="inlineStr">
        <is>
          <t>Stock moves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One line per purchase, sale, return or adjustment (negative number = stock removed).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0" customHeight="1">
      <c r="A5" s="1" t="n"/>
      <c r="B5" s="14" t="inlineStr">
        <is>
          <t>Date</t>
        </is>
      </c>
      <c r="C5" s="14" t="inlineStr">
        <is>
          <t>SKU</t>
        </is>
      </c>
      <c r="D5" s="14" t="inlineStr">
        <is>
          <t>Type</t>
        </is>
      </c>
      <c r="E5" s="14" t="inlineStr">
        <is>
          <t>Qty</t>
        </is>
      </c>
      <c r="F5" s="14" t="inlineStr">
        <is>
          <t>Unit price</t>
        </is>
      </c>
      <c r="G5" s="14" t="inlineStr">
        <is>
          <t>Sale total</t>
        </is>
      </c>
      <c r="H5" s="14" t="inlineStr">
        <is>
          <t>Cost of sale</t>
        </is>
      </c>
      <c r="I5" s="14" t="inlineStr">
        <is>
          <t>Note</t>
        </is>
      </c>
      <c r="J5" s="1" t="n"/>
    </row>
    <row r="6">
      <c r="A6" s="1" t="n"/>
      <c r="B6" s="30" t="n">
        <v>46223</v>
      </c>
      <c r="C6" s="23" t="inlineStr">
        <is>
          <t>CAN-01</t>
        </is>
      </c>
      <c r="D6" s="23" t="inlineStr">
        <is>
          <t>Purchase</t>
        </is>
      </c>
      <c r="E6" s="26" t="n">
        <v>30</v>
      </c>
      <c r="F6" s="25" t="n">
        <v>4.2</v>
      </c>
      <c r="G6" s="17">
        <f>IF(D6="Sale",E6*F6,IF(D6="Return",-E6*F6,""))</f>
        <v/>
      </c>
      <c r="H6" s="17">
        <f>IFERROR(IF(D6="Sale",E6*INDEX(Products!$E$6:$E$205,MATCH(C6,Products!$B$6:$B$205,0)),IF(D6="Return",-E6*INDEX(Products!$E$6:$E$205,MATCH(C6,Products!$B$6:$B$205,0)),"")),"")</f>
        <v/>
      </c>
      <c r="I6" s="24" t="n"/>
      <c r="J6" s="1" t="n"/>
    </row>
    <row r="7">
      <c r="A7" s="1" t="n"/>
      <c r="B7" s="30" t="n">
        <v>46223</v>
      </c>
      <c r="C7" s="23" t="inlineStr">
        <is>
          <t>CAN-02</t>
        </is>
      </c>
      <c r="D7" s="23" t="inlineStr">
        <is>
          <t>Purchase</t>
        </is>
      </c>
      <c r="E7" s="26" t="n">
        <v>20</v>
      </c>
      <c r="F7" s="25" t="n">
        <v>4.2</v>
      </c>
      <c r="G7" s="17">
        <f>IF(D7="Sale",E7*F7,IF(D7="Return",-E7*F7,""))</f>
        <v/>
      </c>
      <c r="H7" s="17">
        <f>IFERROR(IF(D7="Sale",E7*INDEX(Products!$E$6:$E$205,MATCH(C7,Products!$B$6:$B$205,0)),IF(D7="Return",-E7*INDEX(Products!$E$6:$E$205,MATCH(C7,Products!$B$6:$B$205,0)),"")),"")</f>
        <v/>
      </c>
      <c r="I7" s="24" t="n"/>
      <c r="J7" s="1" t="n"/>
    </row>
    <row r="8">
      <c r="A8" s="1" t="n"/>
      <c r="B8" s="30" t="n">
        <v>46228</v>
      </c>
      <c r="C8" s="23" t="inlineStr">
        <is>
          <t>MUG-01</t>
        </is>
      </c>
      <c r="D8" s="23" t="inlineStr">
        <is>
          <t>Purchase</t>
        </is>
      </c>
      <c r="E8" s="26" t="n">
        <v>10</v>
      </c>
      <c r="F8" s="25" t="n">
        <v>7.5</v>
      </c>
      <c r="G8" s="17">
        <f>IF(D8="Sale",E8*F8,IF(D8="Return",-E8*F8,""))</f>
        <v/>
      </c>
      <c r="H8" s="17">
        <f>IFERROR(IF(D8="Sale",E8*INDEX(Products!$E$6:$E$205,MATCH(C8,Products!$B$6:$B$205,0)),IF(D8="Return",-E8*INDEX(Products!$E$6:$E$205,MATCH(C8,Products!$B$6:$B$205,0)),"")),"")</f>
        <v/>
      </c>
      <c r="I8" s="24" t="n"/>
      <c r="J8" s="1" t="n"/>
    </row>
    <row r="9">
      <c r="A9" s="1" t="n"/>
      <c r="B9" s="30" t="n">
        <v>46233</v>
      </c>
      <c r="C9" s="23" t="inlineStr">
        <is>
          <t>CAN-01</t>
        </is>
      </c>
      <c r="D9" s="23" t="inlineStr">
        <is>
          <t>Sale</t>
        </is>
      </c>
      <c r="E9" s="26" t="n">
        <v>12</v>
      </c>
      <c r="F9" s="25" t="n">
        <v>18</v>
      </c>
      <c r="G9" s="17">
        <f>IF(D9="Sale",E9*F9,IF(D9="Return",-E9*F9,""))</f>
        <v/>
      </c>
      <c r="H9" s="17">
        <f>IFERROR(IF(D9="Sale",E9*INDEX(Products!$E$6:$E$205,MATCH(C9,Products!$B$6:$B$205,0)),IF(D9="Return",-E9*INDEX(Products!$E$6:$E$205,MATCH(C9,Products!$B$6:$B$205,0)),"")),"")</f>
        <v/>
      </c>
      <c r="I9" s="24" t="n"/>
      <c r="J9" s="1" t="n"/>
    </row>
    <row r="10">
      <c r="A10" s="1" t="n"/>
      <c r="B10" s="30" t="n">
        <v>46238</v>
      </c>
      <c r="C10" s="23" t="inlineStr">
        <is>
          <t>EAR-01</t>
        </is>
      </c>
      <c r="D10" s="23" t="inlineStr">
        <is>
          <t>Sale</t>
        </is>
      </c>
      <c r="E10" s="26" t="n">
        <v>9</v>
      </c>
      <c r="F10" s="25" t="n">
        <v>22</v>
      </c>
      <c r="G10" s="17">
        <f>IF(D10="Sale",E10*F10,IF(D10="Return",-E10*F10,""))</f>
        <v/>
      </c>
      <c r="H10" s="17">
        <f>IFERROR(IF(D10="Sale",E10*INDEX(Products!$E$6:$E$205,MATCH(C10,Products!$B$6:$B$205,0)),IF(D10="Return",-E10*INDEX(Products!$E$6:$E$205,MATCH(C10,Products!$B$6:$B$205,0)),"")),"")</f>
        <v/>
      </c>
      <c r="I10" s="24" t="n"/>
      <c r="J10" s="1" t="n"/>
    </row>
    <row r="11">
      <c r="A11" s="1" t="n"/>
      <c r="B11" s="30" t="n">
        <v>46243</v>
      </c>
      <c r="C11" s="23" t="inlineStr">
        <is>
          <t>CRD-01</t>
        </is>
      </c>
      <c r="D11" s="23" t="inlineStr">
        <is>
          <t>Sale</t>
        </is>
      </c>
      <c r="E11" s="26" t="n">
        <v>14</v>
      </c>
      <c r="F11" s="25" t="n">
        <v>9</v>
      </c>
      <c r="G11" s="17">
        <f>IF(D11="Sale",E11*F11,IF(D11="Return",-E11*F11,""))</f>
        <v/>
      </c>
      <c r="H11" s="17">
        <f>IFERROR(IF(D11="Sale",E11*INDEX(Products!$E$6:$E$205,MATCH(C11,Products!$B$6:$B$205,0)),IF(D11="Return",-E11*INDEX(Products!$E$6:$E$205,MATCH(C11,Products!$B$6:$B$205,0)),"")),"")</f>
        <v/>
      </c>
      <c r="I11" s="24" t="n"/>
      <c r="J11" s="1" t="n"/>
    </row>
    <row r="12">
      <c r="A12" s="1" t="n"/>
      <c r="B12" s="30" t="n">
        <v>46253</v>
      </c>
      <c r="C12" s="23" t="inlineStr">
        <is>
          <t>MUG-01</t>
        </is>
      </c>
      <c r="D12" s="23" t="inlineStr">
        <is>
          <t>Sale</t>
        </is>
      </c>
      <c r="E12" s="26" t="n">
        <v>8</v>
      </c>
      <c r="F12" s="25" t="n">
        <v>28</v>
      </c>
      <c r="G12" s="17">
        <f>IF(D12="Sale",E12*F12,IF(D12="Return",-E12*F12,""))</f>
        <v/>
      </c>
      <c r="H12" s="17">
        <f>IFERROR(IF(D12="Sale",E12*INDEX(Products!$E$6:$E$205,MATCH(C12,Products!$B$6:$B$205,0)),IF(D12="Return",-E12*INDEX(Products!$E$6:$E$205,MATCH(C12,Products!$B$6:$B$205,0)),"")),"")</f>
        <v/>
      </c>
      <c r="I12" s="24" t="n"/>
      <c r="J12" s="1" t="n"/>
    </row>
    <row r="13">
      <c r="A13" s="1" t="n"/>
      <c r="B13" s="30" t="n">
        <v>46260</v>
      </c>
      <c r="C13" s="23" t="inlineStr">
        <is>
          <t>CAN-02</t>
        </is>
      </c>
      <c r="D13" s="23" t="inlineStr">
        <is>
          <t>Sale</t>
        </is>
      </c>
      <c r="E13" s="26" t="n">
        <v>19</v>
      </c>
      <c r="F13" s="25" t="n">
        <v>18</v>
      </c>
      <c r="G13" s="17">
        <f>IF(D13="Sale",E13*F13,IF(D13="Return",-E13*F13,""))</f>
        <v/>
      </c>
      <c r="H13" s="17">
        <f>IFERROR(IF(D13="Sale",E13*INDEX(Products!$E$6:$E$205,MATCH(C13,Products!$B$6:$B$205,0)),IF(D13="Return",-E13*INDEX(Products!$E$6:$E$205,MATCH(C13,Products!$B$6:$B$205,0)),"")),"")</f>
        <v/>
      </c>
      <c r="I13" s="24" t="n"/>
      <c r="J13" s="1" t="n"/>
    </row>
    <row r="14">
      <c r="A14" s="1" t="n"/>
      <c r="B14" s="30" t="n">
        <v>46263</v>
      </c>
      <c r="C14" s="23" t="inlineStr">
        <is>
          <t>BAG-01</t>
        </is>
      </c>
      <c r="D14" s="23" t="inlineStr">
        <is>
          <t>Sale</t>
        </is>
      </c>
      <c r="E14" s="26" t="n">
        <v>3</v>
      </c>
      <c r="F14" s="25" t="n">
        <v>24</v>
      </c>
      <c r="G14" s="17">
        <f>IF(D14="Sale",E14*F14,IF(D14="Return",-E14*F14,""))</f>
        <v/>
      </c>
      <c r="H14" s="17">
        <f>IFERROR(IF(D14="Sale",E14*INDEX(Products!$E$6:$E$205,MATCH(C14,Products!$B$6:$B$205,0)),IF(D14="Return",-E14*INDEX(Products!$E$6:$E$205,MATCH(C14,Products!$B$6:$B$205,0)),"")),"")</f>
        <v/>
      </c>
      <c r="I14" s="24" t="n"/>
      <c r="J14" s="1" t="n"/>
    </row>
    <row r="15">
      <c r="A15" s="1" t="n"/>
      <c r="B15" s="30" t="n">
        <v>46267</v>
      </c>
      <c r="C15" s="23" t="inlineStr">
        <is>
          <t>CAN-01</t>
        </is>
      </c>
      <c r="D15" s="23" t="inlineStr">
        <is>
          <t>Sale</t>
        </is>
      </c>
      <c r="E15" s="26" t="n">
        <v>16</v>
      </c>
      <c r="F15" s="25" t="n">
        <v>18</v>
      </c>
      <c r="G15" s="17">
        <f>IF(D15="Sale",E15*F15,IF(D15="Return",-E15*F15,""))</f>
        <v/>
      </c>
      <c r="H15" s="17">
        <f>IFERROR(IF(D15="Sale",E15*INDEX(Products!$E$6:$E$205,MATCH(C15,Products!$B$6:$B$205,0)),IF(D15="Return",-E15*INDEX(Products!$E$6:$E$205,MATCH(C15,Products!$B$6:$B$205,0)),"")),"")</f>
        <v/>
      </c>
      <c r="I15" s="24" t="n"/>
      <c r="J15" s="1" t="n"/>
    </row>
    <row r="16">
      <c r="A16" s="1" t="n"/>
      <c r="B16" s="30" t="n">
        <v>46273</v>
      </c>
      <c r="C16" s="23" t="inlineStr">
        <is>
          <t>EAR-01</t>
        </is>
      </c>
      <c r="D16" s="23" t="inlineStr">
        <is>
          <t>Sale</t>
        </is>
      </c>
      <c r="E16" s="26" t="n">
        <v>12</v>
      </c>
      <c r="F16" s="25" t="n">
        <v>22</v>
      </c>
      <c r="G16" s="17">
        <f>IF(D16="Sale",E16*F16,IF(D16="Return",-E16*F16,""))</f>
        <v/>
      </c>
      <c r="H16" s="17">
        <f>IFERROR(IF(D16="Sale",E16*INDEX(Products!$E$6:$E$205,MATCH(C16,Products!$B$6:$B$205,0)),IF(D16="Return",-E16*INDEX(Products!$E$6:$E$205,MATCH(C16,Products!$B$6:$B$205,0)),"")),"")</f>
        <v/>
      </c>
      <c r="I16" s="24" t="n"/>
      <c r="J16" s="1" t="n"/>
    </row>
    <row r="17">
      <c r="A17" s="1" t="n"/>
      <c r="B17" s="30" t="n">
        <v>46275</v>
      </c>
      <c r="C17" s="23" t="inlineStr">
        <is>
          <t>MUG-01</t>
        </is>
      </c>
      <c r="D17" s="23" t="inlineStr">
        <is>
          <t>Sale</t>
        </is>
      </c>
      <c r="E17" s="26" t="n">
        <v>7</v>
      </c>
      <c r="F17" s="25" t="n">
        <v>28</v>
      </c>
      <c r="G17" s="17">
        <f>IF(D17="Sale",E17*F17,IF(D17="Return",-E17*F17,""))</f>
        <v/>
      </c>
      <c r="H17" s="17">
        <f>IFERROR(IF(D17="Sale",E17*INDEX(Products!$E$6:$E$205,MATCH(C17,Products!$B$6:$B$205,0)),IF(D17="Return",-E17*INDEX(Products!$E$6:$E$205,MATCH(C17,Products!$B$6:$B$205,0)),"")),"")</f>
        <v/>
      </c>
      <c r="I17" s="24" t="n"/>
      <c r="J17" s="1" t="n"/>
    </row>
    <row r="18">
      <c r="A18" s="1" t="n"/>
      <c r="B18" s="30" t="n">
        <v>46279</v>
      </c>
      <c r="C18" s="23" t="inlineStr">
        <is>
          <t>CRD-01</t>
        </is>
      </c>
      <c r="D18" s="23" t="inlineStr">
        <is>
          <t>Sale</t>
        </is>
      </c>
      <c r="E18" s="26" t="n">
        <v>11</v>
      </c>
      <c r="F18" s="25" t="n">
        <v>9</v>
      </c>
      <c r="G18" s="17">
        <f>IF(D18="Sale",E18*F18,IF(D18="Return",-E18*F18,""))</f>
        <v/>
      </c>
      <c r="H18" s="17">
        <f>IFERROR(IF(D18="Sale",E18*INDEX(Products!$E$6:$E$205,MATCH(C18,Products!$B$6:$B$205,0)),IF(D18="Return",-E18*INDEX(Products!$E$6:$E$205,MATCH(C18,Products!$B$6:$B$205,0)),"")),"")</f>
        <v/>
      </c>
      <c r="I18" s="24" t="n"/>
      <c r="J18" s="1" t="n"/>
    </row>
    <row r="19">
      <c r="A19" s="1" t="n"/>
      <c r="B19" s="30" t="n">
        <v>46281</v>
      </c>
      <c r="C19" s="23" t="inlineStr">
        <is>
          <t>CAN-02</t>
        </is>
      </c>
      <c r="D19" s="23" t="inlineStr">
        <is>
          <t>Sale</t>
        </is>
      </c>
      <c r="E19" s="26" t="n">
        <v>11</v>
      </c>
      <c r="F19" s="25" t="n">
        <v>16</v>
      </c>
      <c r="G19" s="17">
        <f>IF(D19="Sale",E19*F19,IF(D19="Return",-E19*F19,""))</f>
        <v/>
      </c>
      <c r="H19" s="17">
        <f>IFERROR(IF(D19="Sale",E19*INDEX(Products!$E$6:$E$205,MATCH(C19,Products!$B$6:$B$205,0)),IF(D19="Return",-E19*INDEX(Products!$E$6:$E$205,MATCH(C19,Products!$B$6:$B$205,0)),"")),"")</f>
        <v/>
      </c>
      <c r="I19" s="24" t="n"/>
      <c r="J19" s="1" t="n"/>
    </row>
    <row r="20">
      <c r="A20" s="1" t="n"/>
      <c r="B20" s="30" t="n">
        <v>46284</v>
      </c>
      <c r="C20" s="23" t="inlineStr">
        <is>
          <t>EAR-01</t>
        </is>
      </c>
      <c r="D20" s="23" t="inlineStr">
        <is>
          <t>Return</t>
        </is>
      </c>
      <c r="E20" s="26" t="n">
        <v>1</v>
      </c>
      <c r="F20" s="25" t="n">
        <v>22</v>
      </c>
      <c r="G20" s="17">
        <f>IF(D20="Sale",E20*F20,IF(D20="Return",-E20*F20,""))</f>
        <v/>
      </c>
      <c r="H20" s="17">
        <f>IFERROR(IF(D20="Sale",E20*INDEX(Products!$E$6:$E$205,MATCH(C20,Products!$B$6:$B$205,0)),IF(D20="Return",-E20*INDEX(Products!$E$6:$E$205,MATCH(C20,Products!$B$6:$B$205,0)),"")),"")</f>
        <v/>
      </c>
      <c r="I20" s="24" t="n"/>
      <c r="J20" s="1" t="n"/>
    </row>
    <row r="21">
      <c r="A21" s="1" t="n"/>
      <c r="B21" s="30" t="n">
        <v>46287</v>
      </c>
      <c r="C21" s="23" t="inlineStr">
        <is>
          <t>BAG-01</t>
        </is>
      </c>
      <c r="D21" s="23" t="inlineStr">
        <is>
          <t>Sale</t>
        </is>
      </c>
      <c r="E21" s="26" t="n">
        <v>7</v>
      </c>
      <c r="F21" s="25" t="n">
        <v>24</v>
      </c>
      <c r="G21" s="17">
        <f>IF(D21="Sale",E21*F21,IF(D21="Return",-E21*F21,""))</f>
        <v/>
      </c>
      <c r="H21" s="17">
        <f>IFERROR(IF(D21="Sale",E21*INDEX(Products!$E$6:$E$205,MATCH(C21,Products!$B$6:$B$205,0)),IF(D21="Return",-E21*INDEX(Products!$E$6:$E$205,MATCH(C21,Products!$B$6:$B$205,0)),"")),"")</f>
        <v/>
      </c>
      <c r="I21" s="24" t="n"/>
      <c r="J21" s="1" t="n"/>
    </row>
    <row r="22">
      <c r="A22" s="1" t="n"/>
      <c r="B22" s="30" t="n">
        <v>46289</v>
      </c>
      <c r="C22" s="23" t="inlineStr">
        <is>
          <t>CAN-01</t>
        </is>
      </c>
      <c r="D22" s="23" t="inlineStr">
        <is>
          <t>Sale</t>
        </is>
      </c>
      <c r="E22" s="26" t="n">
        <v>9</v>
      </c>
      <c r="F22" s="25" t="n">
        <v>18</v>
      </c>
      <c r="G22" s="17">
        <f>IF(D22="Sale",E22*F22,IF(D22="Return",-E22*F22,""))</f>
        <v/>
      </c>
      <c r="H22" s="17">
        <f>IFERROR(IF(D22="Sale",E22*INDEX(Products!$E$6:$E$205,MATCH(C22,Products!$B$6:$B$205,0)),IF(D22="Return",-E22*INDEX(Products!$E$6:$E$205,MATCH(C22,Products!$B$6:$B$205,0)),"")),"")</f>
        <v/>
      </c>
      <c r="I22" s="24" t="n"/>
      <c r="J22" s="1" t="n"/>
    </row>
    <row r="23">
      <c r="A23" s="1" t="n"/>
      <c r="B23" s="30" t="n">
        <v>46291</v>
      </c>
      <c r="C23" s="23" t="inlineStr">
        <is>
          <t>CRD-01</t>
        </is>
      </c>
      <c r="D23" s="23" t="inlineStr">
        <is>
          <t>Adjustment</t>
        </is>
      </c>
      <c r="E23" s="26" t="n">
        <v>-2</v>
      </c>
      <c r="F23" s="25" t="n">
        <v>0</v>
      </c>
      <c r="G23" s="17">
        <f>IF(D23="Sale",E23*F23,IF(D23="Return",-E23*F23,""))</f>
        <v/>
      </c>
      <c r="H23" s="17">
        <f>IFERROR(IF(D23="Sale",E23*INDEX(Products!$E$6:$E$205,MATCH(C23,Products!$B$6:$B$205,0)),IF(D23="Return",-E23*INDEX(Products!$E$6:$E$205,MATCH(C23,Products!$B$6:$B$205,0)),"")),"")</f>
        <v/>
      </c>
      <c r="I23" s="24" t="n"/>
      <c r="J23" s="1" t="n"/>
    </row>
    <row r="24">
      <c r="A24" s="1" t="n"/>
      <c r="B24" s="30" t="n">
        <v>46292</v>
      </c>
      <c r="C24" s="23" t="inlineStr">
        <is>
          <t>MUG-01</t>
        </is>
      </c>
      <c r="D24" s="23" t="inlineStr">
        <is>
          <t>Sale</t>
        </is>
      </c>
      <c r="E24" s="26" t="n">
        <v>3</v>
      </c>
      <c r="F24" s="25" t="n">
        <v>28</v>
      </c>
      <c r="G24" s="17">
        <f>IF(D24="Sale",E24*F24,IF(D24="Return",-E24*F24,""))</f>
        <v/>
      </c>
      <c r="H24" s="17">
        <f>IFERROR(IF(D24="Sale",E24*INDEX(Products!$E$6:$E$205,MATCH(C24,Products!$B$6:$B$205,0)),IF(D24="Return",-E24*INDEX(Products!$E$6:$E$205,MATCH(C24,Products!$B$6:$B$205,0)),"")),"")</f>
        <v/>
      </c>
      <c r="I24" s="24" t="n"/>
      <c r="J24" s="1" t="n"/>
    </row>
    <row r="25">
      <c r="A25" s="1" t="n"/>
      <c r="B25" s="30" t="n"/>
      <c r="C25" s="23" t="n"/>
      <c r="D25" s="23" t="n"/>
      <c r="E25" s="26" t="n"/>
      <c r="F25" s="25" t="n"/>
      <c r="G25" s="17">
        <f>IF(D25="Sale",E25*F25,IF(D25="Return",-E25*F25,""))</f>
        <v/>
      </c>
      <c r="H25" s="17">
        <f>IFERROR(IF(D25="Sale",E25*INDEX(Products!$E$6:$E$205,MATCH(C25,Products!$B$6:$B$205,0)),IF(D25="Return",-E25*INDEX(Products!$E$6:$E$205,MATCH(C25,Products!$B$6:$B$205,0)),"")),"")</f>
        <v/>
      </c>
      <c r="I25" s="24" t="n"/>
      <c r="J25" s="1" t="n"/>
    </row>
    <row r="26">
      <c r="A26" s="1" t="n"/>
      <c r="B26" s="30" t="n"/>
      <c r="C26" s="23" t="n"/>
      <c r="D26" s="23" t="n"/>
      <c r="E26" s="26" t="n"/>
      <c r="F26" s="25" t="n"/>
      <c r="G26" s="17">
        <f>IF(D26="Sale",E26*F26,IF(D26="Return",-E26*F26,""))</f>
        <v/>
      </c>
      <c r="H26" s="17">
        <f>IFERROR(IF(D26="Sale",E26*INDEX(Products!$E$6:$E$205,MATCH(C26,Products!$B$6:$B$205,0)),IF(D26="Return",-E26*INDEX(Products!$E$6:$E$205,MATCH(C26,Products!$B$6:$B$205,0)),"")),"")</f>
        <v/>
      </c>
      <c r="I26" s="24" t="n"/>
      <c r="J26" s="1" t="n"/>
    </row>
    <row r="27">
      <c r="A27" s="1" t="n"/>
      <c r="B27" s="30" t="n"/>
      <c r="C27" s="23" t="n"/>
      <c r="D27" s="23" t="n"/>
      <c r="E27" s="26" t="n"/>
      <c r="F27" s="25" t="n"/>
      <c r="G27" s="17">
        <f>IF(D27="Sale",E27*F27,IF(D27="Return",-E27*F27,""))</f>
        <v/>
      </c>
      <c r="H27" s="17">
        <f>IFERROR(IF(D27="Sale",E27*INDEX(Products!$E$6:$E$205,MATCH(C27,Products!$B$6:$B$205,0)),IF(D27="Return",-E27*INDEX(Products!$E$6:$E$205,MATCH(C27,Products!$B$6:$B$205,0)),"")),"")</f>
        <v/>
      </c>
      <c r="I27" s="24" t="n"/>
      <c r="J27" s="1" t="n"/>
    </row>
    <row r="28">
      <c r="A28" s="1" t="n"/>
      <c r="B28" s="30" t="n"/>
      <c r="C28" s="23" t="n"/>
      <c r="D28" s="23" t="n"/>
      <c r="E28" s="26" t="n"/>
      <c r="F28" s="25" t="n"/>
      <c r="G28" s="17">
        <f>IF(D28="Sale",E28*F28,IF(D28="Return",-E28*F28,""))</f>
        <v/>
      </c>
      <c r="H28" s="17">
        <f>IFERROR(IF(D28="Sale",E28*INDEX(Products!$E$6:$E$205,MATCH(C28,Products!$B$6:$B$205,0)),IF(D28="Return",-E28*INDEX(Products!$E$6:$E$205,MATCH(C28,Products!$B$6:$B$205,0)),"")),"")</f>
        <v/>
      </c>
      <c r="I28" s="24" t="n"/>
      <c r="J28" s="1" t="n"/>
    </row>
    <row r="29">
      <c r="A29" s="1" t="n"/>
      <c r="B29" s="30" t="n"/>
      <c r="C29" s="23" t="n"/>
      <c r="D29" s="23" t="n"/>
      <c r="E29" s="26" t="n"/>
      <c r="F29" s="25" t="n"/>
      <c r="G29" s="17">
        <f>IF(D29="Sale",E29*F29,IF(D29="Return",-E29*F29,""))</f>
        <v/>
      </c>
      <c r="H29" s="17">
        <f>IFERROR(IF(D29="Sale",E29*INDEX(Products!$E$6:$E$205,MATCH(C29,Products!$B$6:$B$205,0)),IF(D29="Return",-E29*INDEX(Products!$E$6:$E$205,MATCH(C29,Products!$B$6:$B$205,0)),"")),"")</f>
        <v/>
      </c>
      <c r="I29" s="24" t="n"/>
      <c r="J29" s="1" t="n"/>
    </row>
    <row r="30">
      <c r="A30" s="1" t="n"/>
      <c r="B30" s="30" t="n"/>
      <c r="C30" s="23" t="n"/>
      <c r="D30" s="23" t="n"/>
      <c r="E30" s="26" t="n"/>
      <c r="F30" s="25" t="n"/>
      <c r="G30" s="17">
        <f>IF(D30="Sale",E30*F30,IF(D30="Return",-E30*F30,""))</f>
        <v/>
      </c>
      <c r="H30" s="17">
        <f>IFERROR(IF(D30="Sale",E30*INDEX(Products!$E$6:$E$205,MATCH(C30,Products!$B$6:$B$205,0)),IF(D30="Return",-E30*INDEX(Products!$E$6:$E$205,MATCH(C30,Products!$B$6:$B$205,0)),"")),"")</f>
        <v/>
      </c>
      <c r="I30" s="24" t="n"/>
      <c r="J30" s="1" t="n"/>
    </row>
    <row r="31">
      <c r="A31" s="1" t="n"/>
      <c r="B31" s="30" t="n"/>
      <c r="C31" s="23" t="n"/>
      <c r="D31" s="23" t="n"/>
      <c r="E31" s="26" t="n"/>
      <c r="F31" s="25" t="n"/>
      <c r="G31" s="17">
        <f>IF(D31="Sale",E31*F31,IF(D31="Return",-E31*F31,""))</f>
        <v/>
      </c>
      <c r="H31" s="17">
        <f>IFERROR(IF(D31="Sale",E31*INDEX(Products!$E$6:$E$205,MATCH(C31,Products!$B$6:$B$205,0)),IF(D31="Return",-E31*INDEX(Products!$E$6:$E$205,MATCH(C31,Products!$B$6:$B$205,0)),"")),"")</f>
        <v/>
      </c>
      <c r="I31" s="24" t="n"/>
      <c r="J31" s="1" t="n"/>
    </row>
    <row r="32">
      <c r="A32" s="1" t="n"/>
      <c r="B32" s="30" t="n"/>
      <c r="C32" s="23" t="n"/>
      <c r="D32" s="23" t="n"/>
      <c r="E32" s="26" t="n"/>
      <c r="F32" s="25" t="n"/>
      <c r="G32" s="17">
        <f>IF(D32="Sale",E32*F32,IF(D32="Return",-E32*F32,""))</f>
        <v/>
      </c>
      <c r="H32" s="17">
        <f>IFERROR(IF(D32="Sale",E32*INDEX(Products!$E$6:$E$205,MATCH(C32,Products!$B$6:$B$205,0)),IF(D32="Return",-E32*INDEX(Products!$E$6:$E$205,MATCH(C32,Products!$B$6:$B$205,0)),"")),"")</f>
        <v/>
      </c>
      <c r="I32" s="24" t="n"/>
      <c r="J32" s="1" t="n"/>
    </row>
    <row r="33">
      <c r="A33" s="1" t="n"/>
      <c r="B33" s="30" t="n"/>
      <c r="C33" s="23" t="n"/>
      <c r="D33" s="23" t="n"/>
      <c r="E33" s="26" t="n"/>
      <c r="F33" s="25" t="n"/>
      <c r="G33" s="17">
        <f>IF(D33="Sale",E33*F33,IF(D33="Return",-E33*F33,""))</f>
        <v/>
      </c>
      <c r="H33" s="17">
        <f>IFERROR(IF(D33="Sale",E33*INDEX(Products!$E$6:$E$205,MATCH(C33,Products!$B$6:$B$205,0)),IF(D33="Return",-E33*INDEX(Products!$E$6:$E$205,MATCH(C33,Products!$B$6:$B$205,0)),"")),"")</f>
        <v/>
      </c>
      <c r="I33" s="24" t="n"/>
      <c r="J33" s="1" t="n"/>
    </row>
    <row r="34">
      <c r="A34" s="1" t="n"/>
      <c r="B34" s="30" t="n"/>
      <c r="C34" s="23" t="n"/>
      <c r="D34" s="23" t="n"/>
      <c r="E34" s="26" t="n"/>
      <c r="F34" s="25" t="n"/>
      <c r="G34" s="17">
        <f>IF(D34="Sale",E34*F34,IF(D34="Return",-E34*F34,""))</f>
        <v/>
      </c>
      <c r="H34" s="17">
        <f>IFERROR(IF(D34="Sale",E34*INDEX(Products!$E$6:$E$205,MATCH(C34,Products!$B$6:$B$205,0)),IF(D34="Return",-E34*INDEX(Products!$E$6:$E$205,MATCH(C34,Products!$B$6:$B$205,0)),"")),"")</f>
        <v/>
      </c>
      <c r="I34" s="24" t="n"/>
      <c r="J34" s="1" t="n"/>
    </row>
    <row r="35">
      <c r="A35" s="1" t="n"/>
      <c r="B35" s="30" t="n"/>
      <c r="C35" s="23" t="n"/>
      <c r="D35" s="23" t="n"/>
      <c r="E35" s="26" t="n"/>
      <c r="F35" s="25" t="n"/>
      <c r="G35" s="17">
        <f>IF(D35="Sale",E35*F35,IF(D35="Return",-E35*F35,""))</f>
        <v/>
      </c>
      <c r="H35" s="17">
        <f>IFERROR(IF(D35="Sale",E35*INDEX(Products!$E$6:$E$205,MATCH(C35,Products!$B$6:$B$205,0)),IF(D35="Return",-E35*INDEX(Products!$E$6:$E$205,MATCH(C35,Products!$B$6:$B$205,0)),"")),"")</f>
        <v/>
      </c>
      <c r="I35" s="24" t="n"/>
      <c r="J35" s="1" t="n"/>
    </row>
    <row r="36">
      <c r="A36" s="1" t="n"/>
      <c r="B36" s="30" t="n"/>
      <c r="C36" s="23" t="n"/>
      <c r="D36" s="23" t="n"/>
      <c r="E36" s="26" t="n"/>
      <c r="F36" s="25" t="n"/>
      <c r="G36" s="17">
        <f>IF(D36="Sale",E36*F36,IF(D36="Return",-E36*F36,""))</f>
        <v/>
      </c>
      <c r="H36" s="17">
        <f>IFERROR(IF(D36="Sale",E36*INDEX(Products!$E$6:$E$205,MATCH(C36,Products!$B$6:$B$205,0)),IF(D36="Return",-E36*INDEX(Products!$E$6:$E$205,MATCH(C36,Products!$B$6:$B$205,0)),"")),"")</f>
        <v/>
      </c>
      <c r="I36" s="24" t="n"/>
      <c r="J36" s="1" t="n"/>
    </row>
    <row r="37">
      <c r="A37" s="1" t="n"/>
      <c r="B37" s="30" t="n"/>
      <c r="C37" s="23" t="n"/>
      <c r="D37" s="23" t="n"/>
      <c r="E37" s="26" t="n"/>
      <c r="F37" s="25" t="n"/>
      <c r="G37" s="17">
        <f>IF(D37="Sale",E37*F37,IF(D37="Return",-E37*F37,""))</f>
        <v/>
      </c>
      <c r="H37" s="17">
        <f>IFERROR(IF(D37="Sale",E37*INDEX(Products!$E$6:$E$205,MATCH(C37,Products!$B$6:$B$205,0)),IF(D37="Return",-E37*INDEX(Products!$E$6:$E$205,MATCH(C37,Products!$B$6:$B$205,0)),"")),"")</f>
        <v/>
      </c>
      <c r="I37" s="24" t="n"/>
      <c r="J37" s="1" t="n"/>
    </row>
    <row r="38">
      <c r="A38" s="1" t="n"/>
      <c r="B38" s="30" t="n"/>
      <c r="C38" s="23" t="n"/>
      <c r="D38" s="23" t="n"/>
      <c r="E38" s="26" t="n"/>
      <c r="F38" s="25" t="n"/>
      <c r="G38" s="17">
        <f>IF(D38="Sale",E38*F38,IF(D38="Return",-E38*F38,""))</f>
        <v/>
      </c>
      <c r="H38" s="17">
        <f>IFERROR(IF(D38="Sale",E38*INDEX(Products!$E$6:$E$205,MATCH(C38,Products!$B$6:$B$205,0)),IF(D38="Return",-E38*INDEX(Products!$E$6:$E$205,MATCH(C38,Products!$B$6:$B$205,0)),"")),"")</f>
        <v/>
      </c>
      <c r="I38" s="24" t="n"/>
      <c r="J38" s="1" t="n"/>
    </row>
    <row r="39">
      <c r="A39" s="1" t="n"/>
      <c r="B39" s="30" t="n"/>
      <c r="C39" s="23" t="n"/>
      <c r="D39" s="23" t="n"/>
      <c r="E39" s="26" t="n"/>
      <c r="F39" s="25" t="n"/>
      <c r="G39" s="17">
        <f>IF(D39="Sale",E39*F39,IF(D39="Return",-E39*F39,""))</f>
        <v/>
      </c>
      <c r="H39" s="17">
        <f>IFERROR(IF(D39="Sale",E39*INDEX(Products!$E$6:$E$205,MATCH(C39,Products!$B$6:$B$205,0)),IF(D39="Return",-E39*INDEX(Products!$E$6:$E$205,MATCH(C39,Products!$B$6:$B$205,0)),"")),"")</f>
        <v/>
      </c>
      <c r="I39" s="24" t="n"/>
      <c r="J39" s="1" t="n"/>
    </row>
    <row r="40">
      <c r="A40" s="1" t="n"/>
      <c r="B40" s="30" t="n"/>
      <c r="C40" s="23" t="n"/>
      <c r="D40" s="23" t="n"/>
      <c r="E40" s="26" t="n"/>
      <c r="F40" s="25" t="n"/>
      <c r="G40" s="17">
        <f>IF(D40="Sale",E40*F40,IF(D40="Return",-E40*F40,""))</f>
        <v/>
      </c>
      <c r="H40" s="17">
        <f>IFERROR(IF(D40="Sale",E40*INDEX(Products!$E$6:$E$205,MATCH(C40,Products!$B$6:$B$205,0)),IF(D40="Return",-E40*INDEX(Products!$E$6:$E$205,MATCH(C40,Products!$B$6:$B$205,0)),"")),"")</f>
        <v/>
      </c>
      <c r="I40" s="24" t="n"/>
      <c r="J40" s="1" t="n"/>
    </row>
    <row r="41">
      <c r="A41" s="1" t="n"/>
      <c r="B41" s="30" t="n"/>
      <c r="C41" s="23" t="n"/>
      <c r="D41" s="23" t="n"/>
      <c r="E41" s="26" t="n"/>
      <c r="F41" s="25" t="n"/>
      <c r="G41" s="17">
        <f>IF(D41="Sale",E41*F41,IF(D41="Return",-E41*F41,""))</f>
        <v/>
      </c>
      <c r="H41" s="17">
        <f>IFERROR(IF(D41="Sale",E41*INDEX(Products!$E$6:$E$205,MATCH(C41,Products!$B$6:$B$205,0)),IF(D41="Return",-E41*INDEX(Products!$E$6:$E$205,MATCH(C41,Products!$B$6:$B$205,0)),"")),"")</f>
        <v/>
      </c>
      <c r="I41" s="24" t="n"/>
      <c r="J41" s="1" t="n"/>
    </row>
    <row r="42">
      <c r="A42" s="1" t="n"/>
      <c r="B42" s="30" t="n"/>
      <c r="C42" s="23" t="n"/>
      <c r="D42" s="23" t="n"/>
      <c r="E42" s="26" t="n"/>
      <c r="F42" s="25" t="n"/>
      <c r="G42" s="17">
        <f>IF(D42="Sale",E42*F42,IF(D42="Return",-E42*F42,""))</f>
        <v/>
      </c>
      <c r="H42" s="17">
        <f>IFERROR(IF(D42="Sale",E42*INDEX(Products!$E$6:$E$205,MATCH(C42,Products!$B$6:$B$205,0)),IF(D42="Return",-E42*INDEX(Products!$E$6:$E$205,MATCH(C42,Products!$B$6:$B$205,0)),"")),"")</f>
        <v/>
      </c>
      <c r="I42" s="24" t="n"/>
      <c r="J42" s="1" t="n"/>
    </row>
    <row r="43">
      <c r="A43" s="1" t="n"/>
      <c r="B43" s="30" t="n"/>
      <c r="C43" s="23" t="n"/>
      <c r="D43" s="23" t="n"/>
      <c r="E43" s="26" t="n"/>
      <c r="F43" s="25" t="n"/>
      <c r="G43" s="17">
        <f>IF(D43="Sale",E43*F43,IF(D43="Return",-E43*F43,""))</f>
        <v/>
      </c>
      <c r="H43" s="17">
        <f>IFERROR(IF(D43="Sale",E43*INDEX(Products!$E$6:$E$205,MATCH(C43,Products!$B$6:$B$205,0)),IF(D43="Return",-E43*INDEX(Products!$E$6:$E$205,MATCH(C43,Products!$B$6:$B$205,0)),"")),"")</f>
        <v/>
      </c>
      <c r="I43" s="24" t="n"/>
      <c r="J43" s="1" t="n"/>
    </row>
    <row r="44">
      <c r="A44" s="1" t="n"/>
      <c r="B44" s="30" t="n"/>
      <c r="C44" s="23" t="n"/>
      <c r="D44" s="23" t="n"/>
      <c r="E44" s="26" t="n"/>
      <c r="F44" s="25" t="n"/>
      <c r="G44" s="17">
        <f>IF(D44="Sale",E44*F44,IF(D44="Return",-E44*F44,""))</f>
        <v/>
      </c>
      <c r="H44" s="17">
        <f>IFERROR(IF(D44="Sale",E44*INDEX(Products!$E$6:$E$205,MATCH(C44,Products!$B$6:$B$205,0)),IF(D44="Return",-E44*INDEX(Products!$E$6:$E$205,MATCH(C44,Products!$B$6:$B$205,0)),"")),"")</f>
        <v/>
      </c>
      <c r="I44" s="24" t="n"/>
      <c r="J44" s="1" t="n"/>
    </row>
    <row r="45">
      <c r="A45" s="1" t="n"/>
      <c r="B45" s="30" t="n"/>
      <c r="C45" s="23" t="n"/>
      <c r="D45" s="23" t="n"/>
      <c r="E45" s="26" t="n"/>
      <c r="F45" s="25" t="n"/>
      <c r="G45" s="17">
        <f>IF(D45="Sale",E45*F45,IF(D45="Return",-E45*F45,""))</f>
        <v/>
      </c>
      <c r="H45" s="17">
        <f>IFERROR(IF(D45="Sale",E45*INDEX(Products!$E$6:$E$205,MATCH(C45,Products!$B$6:$B$205,0)),IF(D45="Return",-E45*INDEX(Products!$E$6:$E$205,MATCH(C45,Products!$B$6:$B$205,0)),"")),"")</f>
        <v/>
      </c>
      <c r="I45" s="24" t="n"/>
      <c r="J45" s="1" t="n"/>
    </row>
    <row r="46">
      <c r="A46" s="1" t="n"/>
      <c r="B46" s="30" t="n"/>
      <c r="C46" s="23" t="n"/>
      <c r="D46" s="23" t="n"/>
      <c r="E46" s="26" t="n"/>
      <c r="F46" s="25" t="n"/>
      <c r="G46" s="17">
        <f>IF(D46="Sale",E46*F46,IF(D46="Return",-E46*F46,""))</f>
        <v/>
      </c>
      <c r="H46" s="17">
        <f>IFERROR(IF(D46="Sale",E46*INDEX(Products!$E$6:$E$205,MATCH(C46,Products!$B$6:$B$205,0)),IF(D46="Return",-E46*INDEX(Products!$E$6:$E$205,MATCH(C46,Products!$B$6:$B$205,0)),"")),"")</f>
        <v/>
      </c>
      <c r="I46" s="24" t="n"/>
      <c r="J46" s="1" t="n"/>
    </row>
    <row r="47">
      <c r="A47" s="1" t="n"/>
      <c r="B47" s="30" t="n"/>
      <c r="C47" s="23" t="n"/>
      <c r="D47" s="23" t="n"/>
      <c r="E47" s="26" t="n"/>
      <c r="F47" s="25" t="n"/>
      <c r="G47" s="17">
        <f>IF(D47="Sale",E47*F47,IF(D47="Return",-E47*F47,""))</f>
        <v/>
      </c>
      <c r="H47" s="17">
        <f>IFERROR(IF(D47="Sale",E47*INDEX(Products!$E$6:$E$205,MATCH(C47,Products!$B$6:$B$205,0)),IF(D47="Return",-E47*INDEX(Products!$E$6:$E$205,MATCH(C47,Products!$B$6:$B$205,0)),"")),"")</f>
        <v/>
      </c>
      <c r="I47" s="24" t="n"/>
      <c r="J47" s="1" t="n"/>
    </row>
    <row r="48">
      <c r="A48" s="1" t="n"/>
      <c r="B48" s="30" t="n"/>
      <c r="C48" s="23" t="n"/>
      <c r="D48" s="23" t="n"/>
      <c r="E48" s="26" t="n"/>
      <c r="F48" s="25" t="n"/>
      <c r="G48" s="17">
        <f>IF(D48="Sale",E48*F48,IF(D48="Return",-E48*F48,""))</f>
        <v/>
      </c>
      <c r="H48" s="17">
        <f>IFERROR(IF(D48="Sale",E48*INDEX(Products!$E$6:$E$205,MATCH(C48,Products!$B$6:$B$205,0)),IF(D48="Return",-E48*INDEX(Products!$E$6:$E$205,MATCH(C48,Products!$B$6:$B$205,0)),"")),"")</f>
        <v/>
      </c>
      <c r="I48" s="24" t="n"/>
      <c r="J48" s="1" t="n"/>
    </row>
    <row r="49">
      <c r="A49" s="1" t="n"/>
      <c r="B49" s="30" t="n"/>
      <c r="C49" s="23" t="n"/>
      <c r="D49" s="23" t="n"/>
      <c r="E49" s="26" t="n"/>
      <c r="F49" s="25" t="n"/>
      <c r="G49" s="17">
        <f>IF(D49="Sale",E49*F49,IF(D49="Return",-E49*F49,""))</f>
        <v/>
      </c>
      <c r="H49" s="17">
        <f>IFERROR(IF(D49="Sale",E49*INDEX(Products!$E$6:$E$205,MATCH(C49,Products!$B$6:$B$205,0)),IF(D49="Return",-E49*INDEX(Products!$E$6:$E$205,MATCH(C49,Products!$B$6:$B$205,0)),"")),"")</f>
        <v/>
      </c>
      <c r="I49" s="24" t="n"/>
      <c r="J49" s="1" t="n"/>
    </row>
    <row r="50">
      <c r="A50" s="1" t="n"/>
      <c r="B50" s="30" t="n"/>
      <c r="C50" s="23" t="n"/>
      <c r="D50" s="23" t="n"/>
      <c r="E50" s="26" t="n"/>
      <c r="F50" s="25" t="n"/>
      <c r="G50" s="17">
        <f>IF(D50="Sale",E50*F50,IF(D50="Return",-E50*F50,""))</f>
        <v/>
      </c>
      <c r="H50" s="17">
        <f>IFERROR(IF(D50="Sale",E50*INDEX(Products!$E$6:$E$205,MATCH(C50,Products!$B$6:$B$205,0)),IF(D50="Return",-E50*INDEX(Products!$E$6:$E$205,MATCH(C50,Products!$B$6:$B$205,0)),"")),"")</f>
        <v/>
      </c>
      <c r="I50" s="24" t="n"/>
      <c r="J50" s="1" t="n"/>
    </row>
    <row r="51">
      <c r="A51" s="1" t="n"/>
      <c r="B51" s="30" t="n"/>
      <c r="C51" s="23" t="n"/>
      <c r="D51" s="23" t="n"/>
      <c r="E51" s="26" t="n"/>
      <c r="F51" s="25" t="n"/>
      <c r="G51" s="17">
        <f>IF(D51="Sale",E51*F51,IF(D51="Return",-E51*F51,""))</f>
        <v/>
      </c>
      <c r="H51" s="17">
        <f>IFERROR(IF(D51="Sale",E51*INDEX(Products!$E$6:$E$205,MATCH(C51,Products!$B$6:$B$205,0)),IF(D51="Return",-E51*INDEX(Products!$E$6:$E$205,MATCH(C51,Products!$B$6:$B$205,0)),"")),"")</f>
        <v/>
      </c>
      <c r="I51" s="24" t="n"/>
      <c r="J51" s="1" t="n"/>
    </row>
    <row r="52">
      <c r="A52" s="1" t="n"/>
      <c r="B52" s="30" t="n"/>
      <c r="C52" s="23" t="n"/>
      <c r="D52" s="23" t="n"/>
      <c r="E52" s="26" t="n"/>
      <c r="F52" s="25" t="n"/>
      <c r="G52" s="17">
        <f>IF(D52="Sale",E52*F52,IF(D52="Return",-E52*F52,""))</f>
        <v/>
      </c>
      <c r="H52" s="17">
        <f>IFERROR(IF(D52="Sale",E52*INDEX(Products!$E$6:$E$205,MATCH(C52,Products!$B$6:$B$205,0)),IF(D52="Return",-E52*INDEX(Products!$E$6:$E$205,MATCH(C52,Products!$B$6:$B$205,0)),"")),"")</f>
        <v/>
      </c>
      <c r="I52" s="24" t="n"/>
      <c r="J52" s="1" t="n"/>
    </row>
    <row r="53">
      <c r="A53" s="1" t="n"/>
      <c r="B53" s="30" t="n"/>
      <c r="C53" s="23" t="n"/>
      <c r="D53" s="23" t="n"/>
      <c r="E53" s="26" t="n"/>
      <c r="F53" s="25" t="n"/>
      <c r="G53" s="17">
        <f>IF(D53="Sale",E53*F53,IF(D53="Return",-E53*F53,""))</f>
        <v/>
      </c>
      <c r="H53" s="17">
        <f>IFERROR(IF(D53="Sale",E53*INDEX(Products!$E$6:$E$205,MATCH(C53,Products!$B$6:$B$205,0)),IF(D53="Return",-E53*INDEX(Products!$E$6:$E$205,MATCH(C53,Products!$B$6:$B$205,0)),"")),"")</f>
        <v/>
      </c>
      <c r="I53" s="24" t="n"/>
      <c r="J53" s="1" t="n"/>
    </row>
    <row r="54">
      <c r="A54" s="1" t="n"/>
      <c r="B54" s="30" t="n"/>
      <c r="C54" s="23" t="n"/>
      <c r="D54" s="23" t="n"/>
      <c r="E54" s="26" t="n"/>
      <c r="F54" s="25" t="n"/>
      <c r="G54" s="17">
        <f>IF(D54="Sale",E54*F54,IF(D54="Return",-E54*F54,""))</f>
        <v/>
      </c>
      <c r="H54" s="17">
        <f>IFERROR(IF(D54="Sale",E54*INDEX(Products!$E$6:$E$205,MATCH(C54,Products!$B$6:$B$205,0)),IF(D54="Return",-E54*INDEX(Products!$E$6:$E$205,MATCH(C54,Products!$B$6:$B$205,0)),"")),"")</f>
        <v/>
      </c>
      <c r="I54" s="24" t="n"/>
      <c r="J54" s="1" t="n"/>
    </row>
    <row r="55">
      <c r="A55" s="1" t="n"/>
      <c r="B55" s="30" t="n"/>
      <c r="C55" s="23" t="n"/>
      <c r="D55" s="23" t="n"/>
      <c r="E55" s="26" t="n"/>
      <c r="F55" s="25" t="n"/>
      <c r="G55" s="17">
        <f>IF(D55="Sale",E55*F55,IF(D55="Return",-E55*F55,""))</f>
        <v/>
      </c>
      <c r="H55" s="17">
        <f>IFERROR(IF(D55="Sale",E55*INDEX(Products!$E$6:$E$205,MATCH(C55,Products!$B$6:$B$205,0)),IF(D55="Return",-E55*INDEX(Products!$E$6:$E$205,MATCH(C55,Products!$B$6:$B$205,0)),"")),"")</f>
        <v/>
      </c>
      <c r="I55" s="24" t="n"/>
      <c r="J55" s="1" t="n"/>
    </row>
    <row r="56">
      <c r="A56" s="1" t="n"/>
      <c r="B56" s="30" t="n"/>
      <c r="C56" s="23" t="n"/>
      <c r="D56" s="23" t="n"/>
      <c r="E56" s="26" t="n"/>
      <c r="F56" s="25" t="n"/>
      <c r="G56" s="17">
        <f>IF(D56="Sale",E56*F56,IF(D56="Return",-E56*F56,""))</f>
        <v/>
      </c>
      <c r="H56" s="17">
        <f>IFERROR(IF(D56="Sale",E56*INDEX(Products!$E$6:$E$205,MATCH(C56,Products!$B$6:$B$205,0)),IF(D56="Return",-E56*INDEX(Products!$E$6:$E$205,MATCH(C56,Products!$B$6:$B$205,0)),"")),"")</f>
        <v/>
      </c>
      <c r="I56" s="24" t="n"/>
      <c r="J56" s="1" t="n"/>
    </row>
    <row r="57">
      <c r="A57" s="1" t="n"/>
      <c r="B57" s="30" t="n"/>
      <c r="C57" s="23" t="n"/>
      <c r="D57" s="23" t="n"/>
      <c r="E57" s="26" t="n"/>
      <c r="F57" s="25" t="n"/>
      <c r="G57" s="17">
        <f>IF(D57="Sale",E57*F57,IF(D57="Return",-E57*F57,""))</f>
        <v/>
      </c>
      <c r="H57" s="17">
        <f>IFERROR(IF(D57="Sale",E57*INDEX(Products!$E$6:$E$205,MATCH(C57,Products!$B$6:$B$205,0)),IF(D57="Return",-E57*INDEX(Products!$E$6:$E$205,MATCH(C57,Products!$B$6:$B$205,0)),"")),"")</f>
        <v/>
      </c>
      <c r="I57" s="24" t="n"/>
      <c r="J57" s="1" t="n"/>
    </row>
    <row r="58">
      <c r="A58" s="1" t="n"/>
      <c r="B58" s="30" t="n"/>
      <c r="C58" s="23" t="n"/>
      <c r="D58" s="23" t="n"/>
      <c r="E58" s="26" t="n"/>
      <c r="F58" s="25" t="n"/>
      <c r="G58" s="17">
        <f>IF(D58="Sale",E58*F58,IF(D58="Return",-E58*F58,""))</f>
        <v/>
      </c>
      <c r="H58" s="17">
        <f>IFERROR(IF(D58="Sale",E58*INDEX(Products!$E$6:$E$205,MATCH(C58,Products!$B$6:$B$205,0)),IF(D58="Return",-E58*INDEX(Products!$E$6:$E$205,MATCH(C58,Products!$B$6:$B$205,0)),"")),"")</f>
        <v/>
      </c>
      <c r="I58" s="24" t="n"/>
      <c r="J58" s="1" t="n"/>
    </row>
    <row r="59">
      <c r="A59" s="1" t="n"/>
      <c r="B59" s="30" t="n"/>
      <c r="C59" s="23" t="n"/>
      <c r="D59" s="23" t="n"/>
      <c r="E59" s="26" t="n"/>
      <c r="F59" s="25" t="n"/>
      <c r="G59" s="17">
        <f>IF(D59="Sale",E59*F59,IF(D59="Return",-E59*F59,""))</f>
        <v/>
      </c>
      <c r="H59" s="17">
        <f>IFERROR(IF(D59="Sale",E59*INDEX(Products!$E$6:$E$205,MATCH(C59,Products!$B$6:$B$205,0)),IF(D59="Return",-E59*INDEX(Products!$E$6:$E$205,MATCH(C59,Products!$B$6:$B$205,0)),"")),"")</f>
        <v/>
      </c>
      <c r="I59" s="24" t="n"/>
      <c r="J59" s="1" t="n"/>
    </row>
    <row r="60">
      <c r="A60" s="1" t="n"/>
      <c r="B60" s="30" t="n"/>
      <c r="C60" s="23" t="n"/>
      <c r="D60" s="23" t="n"/>
      <c r="E60" s="26" t="n"/>
      <c r="F60" s="25" t="n"/>
      <c r="G60" s="17">
        <f>IF(D60="Sale",E60*F60,IF(D60="Return",-E60*F60,""))</f>
        <v/>
      </c>
      <c r="H60" s="17">
        <f>IFERROR(IF(D60="Sale",E60*INDEX(Products!$E$6:$E$205,MATCH(C60,Products!$B$6:$B$205,0)),IF(D60="Return",-E60*INDEX(Products!$E$6:$E$205,MATCH(C60,Products!$B$6:$B$205,0)),"")),"")</f>
        <v/>
      </c>
      <c r="I60" s="24" t="n"/>
      <c r="J60" s="1" t="n"/>
    </row>
    <row r="61">
      <c r="A61" s="1" t="n"/>
      <c r="B61" s="30" t="n"/>
      <c r="C61" s="23" t="n"/>
      <c r="D61" s="23" t="n"/>
      <c r="E61" s="26" t="n"/>
      <c r="F61" s="25" t="n"/>
      <c r="G61" s="17">
        <f>IF(D61="Sale",E61*F61,IF(D61="Return",-E61*F61,""))</f>
        <v/>
      </c>
      <c r="H61" s="17">
        <f>IFERROR(IF(D61="Sale",E61*INDEX(Products!$E$6:$E$205,MATCH(C61,Products!$B$6:$B$205,0)),IF(D61="Return",-E61*INDEX(Products!$E$6:$E$205,MATCH(C61,Products!$B$6:$B$205,0)),"")),"")</f>
        <v/>
      </c>
      <c r="I61" s="24" t="n"/>
      <c r="J61" s="1" t="n"/>
    </row>
    <row r="62">
      <c r="A62" s="1" t="n"/>
      <c r="B62" s="30" t="n"/>
      <c r="C62" s="23" t="n"/>
      <c r="D62" s="23" t="n"/>
      <c r="E62" s="26" t="n"/>
      <c r="F62" s="25" t="n"/>
      <c r="G62" s="17">
        <f>IF(D62="Sale",E62*F62,IF(D62="Return",-E62*F62,""))</f>
        <v/>
      </c>
      <c r="H62" s="17">
        <f>IFERROR(IF(D62="Sale",E62*INDEX(Products!$E$6:$E$205,MATCH(C62,Products!$B$6:$B$205,0)),IF(D62="Return",-E62*INDEX(Products!$E$6:$E$205,MATCH(C62,Products!$B$6:$B$205,0)),"")),"")</f>
        <v/>
      </c>
      <c r="I62" s="24" t="n"/>
      <c r="J62" s="1" t="n"/>
    </row>
    <row r="63">
      <c r="A63" s="1" t="n"/>
      <c r="B63" s="30" t="n"/>
      <c r="C63" s="23" t="n"/>
      <c r="D63" s="23" t="n"/>
      <c r="E63" s="26" t="n"/>
      <c r="F63" s="25" t="n"/>
      <c r="G63" s="17">
        <f>IF(D63="Sale",E63*F63,IF(D63="Return",-E63*F63,""))</f>
        <v/>
      </c>
      <c r="H63" s="17">
        <f>IFERROR(IF(D63="Sale",E63*INDEX(Products!$E$6:$E$205,MATCH(C63,Products!$B$6:$B$205,0)),IF(D63="Return",-E63*INDEX(Products!$E$6:$E$205,MATCH(C63,Products!$B$6:$B$205,0)),"")),"")</f>
        <v/>
      </c>
      <c r="I63" s="24" t="n"/>
      <c r="J63" s="1" t="n"/>
    </row>
    <row r="64">
      <c r="A64" s="1" t="n"/>
      <c r="B64" s="30" t="n"/>
      <c r="C64" s="23" t="n"/>
      <c r="D64" s="23" t="n"/>
      <c r="E64" s="26" t="n"/>
      <c r="F64" s="25" t="n"/>
      <c r="G64" s="17">
        <f>IF(D64="Sale",E64*F64,IF(D64="Return",-E64*F64,""))</f>
        <v/>
      </c>
      <c r="H64" s="17">
        <f>IFERROR(IF(D64="Sale",E64*INDEX(Products!$E$6:$E$205,MATCH(C64,Products!$B$6:$B$205,0)),IF(D64="Return",-E64*INDEX(Products!$E$6:$E$205,MATCH(C64,Products!$B$6:$B$205,0)),"")),"")</f>
        <v/>
      </c>
      <c r="I64" s="24" t="n"/>
      <c r="J64" s="1" t="n"/>
    </row>
    <row r="65">
      <c r="A65" s="1" t="n"/>
      <c r="B65" s="30" t="n"/>
      <c r="C65" s="23" t="n"/>
      <c r="D65" s="23" t="n"/>
      <c r="E65" s="26" t="n"/>
      <c r="F65" s="25" t="n"/>
      <c r="G65" s="17">
        <f>IF(D65="Sale",E65*F65,IF(D65="Return",-E65*F65,""))</f>
        <v/>
      </c>
      <c r="H65" s="17">
        <f>IFERROR(IF(D65="Sale",E65*INDEX(Products!$E$6:$E$205,MATCH(C65,Products!$B$6:$B$205,0)),IF(D65="Return",-E65*INDEX(Products!$E$6:$E$205,MATCH(C65,Products!$B$6:$B$205,0)),"")),"")</f>
        <v/>
      </c>
      <c r="I65" s="24" t="n"/>
      <c r="J65" s="1" t="n"/>
    </row>
    <row r="66">
      <c r="A66" s="1" t="n"/>
      <c r="B66" s="30" t="n"/>
      <c r="C66" s="23" t="n"/>
      <c r="D66" s="23" t="n"/>
      <c r="E66" s="26" t="n"/>
      <c r="F66" s="25" t="n"/>
      <c r="G66" s="17">
        <f>IF(D66="Sale",E66*F66,IF(D66="Return",-E66*F66,""))</f>
        <v/>
      </c>
      <c r="H66" s="17">
        <f>IFERROR(IF(D66="Sale",E66*INDEX(Products!$E$6:$E$205,MATCH(C66,Products!$B$6:$B$205,0)),IF(D66="Return",-E66*INDEX(Products!$E$6:$E$205,MATCH(C66,Products!$B$6:$B$205,0)),"")),"")</f>
        <v/>
      </c>
      <c r="I66" s="24" t="n"/>
      <c r="J66" s="1" t="n"/>
    </row>
    <row r="67">
      <c r="A67" s="1" t="n"/>
      <c r="B67" s="30" t="n"/>
      <c r="C67" s="23" t="n"/>
      <c r="D67" s="23" t="n"/>
      <c r="E67" s="26" t="n"/>
      <c r="F67" s="25" t="n"/>
      <c r="G67" s="17">
        <f>IF(D67="Sale",E67*F67,IF(D67="Return",-E67*F67,""))</f>
        <v/>
      </c>
      <c r="H67" s="17">
        <f>IFERROR(IF(D67="Sale",E67*INDEX(Products!$E$6:$E$205,MATCH(C67,Products!$B$6:$B$205,0)),IF(D67="Return",-E67*INDEX(Products!$E$6:$E$205,MATCH(C67,Products!$B$6:$B$205,0)),"")),"")</f>
        <v/>
      </c>
      <c r="I67" s="24" t="n"/>
      <c r="J67" s="1" t="n"/>
    </row>
    <row r="68">
      <c r="A68" s="1" t="n"/>
      <c r="B68" s="30" t="n"/>
      <c r="C68" s="23" t="n"/>
      <c r="D68" s="23" t="n"/>
      <c r="E68" s="26" t="n"/>
      <c r="F68" s="25" t="n"/>
      <c r="G68" s="17">
        <f>IF(D68="Sale",E68*F68,IF(D68="Return",-E68*F68,""))</f>
        <v/>
      </c>
      <c r="H68" s="17">
        <f>IFERROR(IF(D68="Sale",E68*INDEX(Products!$E$6:$E$205,MATCH(C68,Products!$B$6:$B$205,0)),IF(D68="Return",-E68*INDEX(Products!$E$6:$E$205,MATCH(C68,Products!$B$6:$B$205,0)),"")),"")</f>
        <v/>
      </c>
      <c r="I68" s="24" t="n"/>
      <c r="J68" s="1" t="n"/>
    </row>
    <row r="69">
      <c r="A69" s="1" t="n"/>
      <c r="B69" s="30" t="n"/>
      <c r="C69" s="23" t="n"/>
      <c r="D69" s="23" t="n"/>
      <c r="E69" s="26" t="n"/>
      <c r="F69" s="25" t="n"/>
      <c r="G69" s="17">
        <f>IF(D69="Sale",E69*F69,IF(D69="Return",-E69*F69,""))</f>
        <v/>
      </c>
      <c r="H69" s="17">
        <f>IFERROR(IF(D69="Sale",E69*INDEX(Products!$E$6:$E$205,MATCH(C69,Products!$B$6:$B$205,0)),IF(D69="Return",-E69*INDEX(Products!$E$6:$E$205,MATCH(C69,Products!$B$6:$B$205,0)),"")),"")</f>
        <v/>
      </c>
      <c r="I69" s="24" t="n"/>
      <c r="J69" s="1" t="n"/>
    </row>
    <row r="70">
      <c r="A70" s="1" t="n"/>
      <c r="B70" s="30" t="n"/>
      <c r="C70" s="23" t="n"/>
      <c r="D70" s="23" t="n"/>
      <c r="E70" s="26" t="n"/>
      <c r="F70" s="25" t="n"/>
      <c r="G70" s="17">
        <f>IF(D70="Sale",E70*F70,IF(D70="Return",-E70*F70,""))</f>
        <v/>
      </c>
      <c r="H70" s="17">
        <f>IFERROR(IF(D70="Sale",E70*INDEX(Products!$E$6:$E$205,MATCH(C70,Products!$B$6:$B$205,0)),IF(D70="Return",-E70*INDEX(Products!$E$6:$E$205,MATCH(C70,Products!$B$6:$B$205,0)),"")),"")</f>
        <v/>
      </c>
      <c r="I70" s="24" t="n"/>
      <c r="J70" s="1" t="n"/>
    </row>
    <row r="71">
      <c r="A71" s="1" t="n"/>
      <c r="B71" s="30" t="n"/>
      <c r="C71" s="23" t="n"/>
      <c r="D71" s="23" t="n"/>
      <c r="E71" s="26" t="n"/>
      <c r="F71" s="25" t="n"/>
      <c r="G71" s="17">
        <f>IF(D71="Sale",E71*F71,IF(D71="Return",-E71*F71,""))</f>
        <v/>
      </c>
      <c r="H71" s="17">
        <f>IFERROR(IF(D71="Sale",E71*INDEX(Products!$E$6:$E$205,MATCH(C71,Products!$B$6:$B$205,0)),IF(D71="Return",-E71*INDEX(Products!$E$6:$E$205,MATCH(C71,Products!$B$6:$B$205,0)),"")),"")</f>
        <v/>
      </c>
      <c r="I71" s="24" t="n"/>
      <c r="J71" s="1" t="n"/>
    </row>
    <row r="72">
      <c r="A72" s="1" t="n"/>
      <c r="B72" s="30" t="n"/>
      <c r="C72" s="23" t="n"/>
      <c r="D72" s="23" t="n"/>
      <c r="E72" s="26" t="n"/>
      <c r="F72" s="25" t="n"/>
      <c r="G72" s="17">
        <f>IF(D72="Sale",E72*F72,IF(D72="Return",-E72*F72,""))</f>
        <v/>
      </c>
      <c r="H72" s="17">
        <f>IFERROR(IF(D72="Sale",E72*INDEX(Products!$E$6:$E$205,MATCH(C72,Products!$B$6:$B$205,0)),IF(D72="Return",-E72*INDEX(Products!$E$6:$E$205,MATCH(C72,Products!$B$6:$B$205,0)),"")),"")</f>
        <v/>
      </c>
      <c r="I72" s="24" t="n"/>
      <c r="J72" s="1" t="n"/>
    </row>
    <row r="73">
      <c r="A73" s="1" t="n"/>
      <c r="B73" s="30" t="n"/>
      <c r="C73" s="23" t="n"/>
      <c r="D73" s="23" t="n"/>
      <c r="E73" s="26" t="n"/>
      <c r="F73" s="25" t="n"/>
      <c r="G73" s="17">
        <f>IF(D73="Sale",E73*F73,IF(D73="Return",-E73*F73,""))</f>
        <v/>
      </c>
      <c r="H73" s="17">
        <f>IFERROR(IF(D73="Sale",E73*INDEX(Products!$E$6:$E$205,MATCH(C73,Products!$B$6:$B$205,0)),IF(D73="Return",-E73*INDEX(Products!$E$6:$E$205,MATCH(C73,Products!$B$6:$B$205,0)),"")),"")</f>
        <v/>
      </c>
      <c r="I73" s="24" t="n"/>
      <c r="J73" s="1" t="n"/>
    </row>
    <row r="74">
      <c r="A74" s="1" t="n"/>
      <c r="B74" s="30" t="n"/>
      <c r="C74" s="23" t="n"/>
      <c r="D74" s="23" t="n"/>
      <c r="E74" s="26" t="n"/>
      <c r="F74" s="25" t="n"/>
      <c r="G74" s="17">
        <f>IF(D74="Sale",E74*F74,IF(D74="Return",-E74*F74,""))</f>
        <v/>
      </c>
      <c r="H74" s="17">
        <f>IFERROR(IF(D74="Sale",E74*INDEX(Products!$E$6:$E$205,MATCH(C74,Products!$B$6:$B$205,0)),IF(D74="Return",-E74*INDEX(Products!$E$6:$E$205,MATCH(C74,Products!$B$6:$B$205,0)),"")),"")</f>
        <v/>
      </c>
      <c r="I74" s="24" t="n"/>
      <c r="J74" s="1" t="n"/>
    </row>
    <row r="75">
      <c r="A75" s="1" t="n"/>
      <c r="B75" s="30" t="n"/>
      <c r="C75" s="23" t="n"/>
      <c r="D75" s="23" t="n"/>
      <c r="E75" s="26" t="n"/>
      <c r="F75" s="25" t="n"/>
      <c r="G75" s="17">
        <f>IF(D75="Sale",E75*F75,IF(D75="Return",-E75*F75,""))</f>
        <v/>
      </c>
      <c r="H75" s="17">
        <f>IFERROR(IF(D75="Sale",E75*INDEX(Products!$E$6:$E$205,MATCH(C75,Products!$B$6:$B$205,0)),IF(D75="Return",-E75*INDEX(Products!$E$6:$E$205,MATCH(C75,Products!$B$6:$B$205,0)),"")),"")</f>
        <v/>
      </c>
      <c r="I75" s="24" t="n"/>
      <c r="J75" s="1" t="n"/>
    </row>
    <row r="76">
      <c r="A76" s="1" t="n"/>
      <c r="B76" s="30" t="n"/>
      <c r="C76" s="23" t="n"/>
      <c r="D76" s="23" t="n"/>
      <c r="E76" s="26" t="n"/>
      <c r="F76" s="25" t="n"/>
      <c r="G76" s="17">
        <f>IF(D76="Sale",E76*F76,IF(D76="Return",-E76*F76,""))</f>
        <v/>
      </c>
      <c r="H76" s="17">
        <f>IFERROR(IF(D76="Sale",E76*INDEX(Products!$E$6:$E$205,MATCH(C76,Products!$B$6:$B$205,0)),IF(D76="Return",-E76*INDEX(Products!$E$6:$E$205,MATCH(C76,Products!$B$6:$B$205,0)),"")),"")</f>
        <v/>
      </c>
      <c r="I76" s="24" t="n"/>
      <c r="J76" s="1" t="n"/>
    </row>
    <row r="77">
      <c r="A77" s="1" t="n"/>
      <c r="B77" s="30" t="n"/>
      <c r="C77" s="23" t="n"/>
      <c r="D77" s="23" t="n"/>
      <c r="E77" s="26" t="n"/>
      <c r="F77" s="25" t="n"/>
      <c r="G77" s="17">
        <f>IF(D77="Sale",E77*F77,IF(D77="Return",-E77*F77,""))</f>
        <v/>
      </c>
      <c r="H77" s="17">
        <f>IFERROR(IF(D77="Sale",E77*INDEX(Products!$E$6:$E$205,MATCH(C77,Products!$B$6:$B$205,0)),IF(D77="Return",-E77*INDEX(Products!$E$6:$E$205,MATCH(C77,Products!$B$6:$B$205,0)),"")),"")</f>
        <v/>
      </c>
      <c r="I77" s="24" t="n"/>
      <c r="J77" s="1" t="n"/>
    </row>
    <row r="78">
      <c r="A78" s="1" t="n"/>
      <c r="B78" s="30" t="n"/>
      <c r="C78" s="23" t="n"/>
      <c r="D78" s="23" t="n"/>
      <c r="E78" s="26" t="n"/>
      <c r="F78" s="25" t="n"/>
      <c r="G78" s="17">
        <f>IF(D78="Sale",E78*F78,IF(D78="Return",-E78*F78,""))</f>
        <v/>
      </c>
      <c r="H78" s="17">
        <f>IFERROR(IF(D78="Sale",E78*INDEX(Products!$E$6:$E$205,MATCH(C78,Products!$B$6:$B$205,0)),IF(D78="Return",-E78*INDEX(Products!$E$6:$E$205,MATCH(C78,Products!$B$6:$B$205,0)),"")),"")</f>
        <v/>
      </c>
      <c r="I78" s="24" t="n"/>
      <c r="J78" s="1" t="n"/>
    </row>
    <row r="79">
      <c r="A79" s="1" t="n"/>
      <c r="B79" s="30" t="n"/>
      <c r="C79" s="23" t="n"/>
      <c r="D79" s="23" t="n"/>
      <c r="E79" s="26" t="n"/>
      <c r="F79" s="25" t="n"/>
      <c r="G79" s="17">
        <f>IF(D79="Sale",E79*F79,IF(D79="Return",-E79*F79,""))</f>
        <v/>
      </c>
      <c r="H79" s="17">
        <f>IFERROR(IF(D79="Sale",E79*INDEX(Products!$E$6:$E$205,MATCH(C79,Products!$B$6:$B$205,0)),IF(D79="Return",-E79*INDEX(Products!$E$6:$E$205,MATCH(C79,Products!$B$6:$B$205,0)),"")),"")</f>
        <v/>
      </c>
      <c r="I79" s="24" t="n"/>
      <c r="J79" s="1" t="n"/>
    </row>
    <row r="80">
      <c r="A80" s="1" t="n"/>
      <c r="B80" s="30" t="n"/>
      <c r="C80" s="23" t="n"/>
      <c r="D80" s="23" t="n"/>
      <c r="E80" s="26" t="n"/>
      <c r="F80" s="25" t="n"/>
      <c r="G80" s="17">
        <f>IF(D80="Sale",E80*F80,IF(D80="Return",-E80*F80,""))</f>
        <v/>
      </c>
      <c r="H80" s="17">
        <f>IFERROR(IF(D80="Sale",E80*INDEX(Products!$E$6:$E$205,MATCH(C80,Products!$B$6:$B$205,0)),IF(D80="Return",-E80*INDEX(Products!$E$6:$E$205,MATCH(C80,Products!$B$6:$B$205,0)),"")),"")</f>
        <v/>
      </c>
      <c r="I80" s="24" t="n"/>
      <c r="J80" s="1" t="n"/>
    </row>
    <row r="81">
      <c r="A81" s="1" t="n"/>
      <c r="B81" s="30" t="n"/>
      <c r="C81" s="23" t="n"/>
      <c r="D81" s="23" t="n"/>
      <c r="E81" s="26" t="n"/>
      <c r="F81" s="25" t="n"/>
      <c r="G81" s="17">
        <f>IF(D81="Sale",E81*F81,IF(D81="Return",-E81*F81,""))</f>
        <v/>
      </c>
      <c r="H81" s="17">
        <f>IFERROR(IF(D81="Sale",E81*INDEX(Products!$E$6:$E$205,MATCH(C81,Products!$B$6:$B$205,0)),IF(D81="Return",-E81*INDEX(Products!$E$6:$E$205,MATCH(C81,Products!$B$6:$B$205,0)),"")),"")</f>
        <v/>
      </c>
      <c r="I81" s="24" t="n"/>
      <c r="J81" s="1" t="n"/>
    </row>
    <row r="82">
      <c r="A82" s="1" t="n"/>
      <c r="B82" s="30" t="n"/>
      <c r="C82" s="23" t="n"/>
      <c r="D82" s="23" t="n"/>
      <c r="E82" s="26" t="n"/>
      <c r="F82" s="25" t="n"/>
      <c r="G82" s="17">
        <f>IF(D82="Sale",E82*F82,IF(D82="Return",-E82*F82,""))</f>
        <v/>
      </c>
      <c r="H82" s="17">
        <f>IFERROR(IF(D82="Sale",E82*INDEX(Products!$E$6:$E$205,MATCH(C82,Products!$B$6:$B$205,0)),IF(D82="Return",-E82*INDEX(Products!$E$6:$E$205,MATCH(C82,Products!$B$6:$B$205,0)),"")),"")</f>
        <v/>
      </c>
      <c r="I82" s="24" t="n"/>
      <c r="J82" s="1" t="n"/>
    </row>
    <row r="83">
      <c r="A83" s="1" t="n"/>
      <c r="B83" s="30" t="n"/>
      <c r="C83" s="23" t="n"/>
      <c r="D83" s="23" t="n"/>
      <c r="E83" s="26" t="n"/>
      <c r="F83" s="25" t="n"/>
      <c r="G83" s="17">
        <f>IF(D83="Sale",E83*F83,IF(D83="Return",-E83*F83,""))</f>
        <v/>
      </c>
      <c r="H83" s="17">
        <f>IFERROR(IF(D83="Sale",E83*INDEX(Products!$E$6:$E$205,MATCH(C83,Products!$B$6:$B$205,0)),IF(D83="Return",-E83*INDEX(Products!$E$6:$E$205,MATCH(C83,Products!$B$6:$B$205,0)),"")),"")</f>
        <v/>
      </c>
      <c r="I83" s="24" t="n"/>
      <c r="J83" s="1" t="n"/>
    </row>
    <row r="84">
      <c r="A84" s="1" t="n"/>
      <c r="B84" s="30" t="n"/>
      <c r="C84" s="23" t="n"/>
      <c r="D84" s="23" t="n"/>
      <c r="E84" s="26" t="n"/>
      <c r="F84" s="25" t="n"/>
      <c r="G84" s="17">
        <f>IF(D84="Sale",E84*F84,IF(D84="Return",-E84*F84,""))</f>
        <v/>
      </c>
      <c r="H84" s="17">
        <f>IFERROR(IF(D84="Sale",E84*INDEX(Products!$E$6:$E$205,MATCH(C84,Products!$B$6:$B$205,0)),IF(D84="Return",-E84*INDEX(Products!$E$6:$E$205,MATCH(C84,Products!$B$6:$B$205,0)),"")),"")</f>
        <v/>
      </c>
      <c r="I84" s="24" t="n"/>
      <c r="J84" s="1" t="n"/>
    </row>
    <row r="85">
      <c r="A85" s="1" t="n"/>
      <c r="B85" s="30" t="n"/>
      <c r="C85" s="23" t="n"/>
      <c r="D85" s="23" t="n"/>
      <c r="E85" s="26" t="n"/>
      <c r="F85" s="25" t="n"/>
      <c r="G85" s="17">
        <f>IF(D85="Sale",E85*F85,IF(D85="Return",-E85*F85,""))</f>
        <v/>
      </c>
      <c r="H85" s="17">
        <f>IFERROR(IF(D85="Sale",E85*INDEX(Products!$E$6:$E$205,MATCH(C85,Products!$B$6:$B$205,0)),IF(D85="Return",-E85*INDEX(Products!$E$6:$E$205,MATCH(C85,Products!$B$6:$B$205,0)),"")),"")</f>
        <v/>
      </c>
      <c r="I85" s="24" t="n"/>
      <c r="J85" s="1" t="n"/>
    </row>
    <row r="86">
      <c r="A86" s="1" t="n"/>
      <c r="B86" s="30" t="n"/>
      <c r="C86" s="23" t="n"/>
      <c r="D86" s="23" t="n"/>
      <c r="E86" s="26" t="n"/>
      <c r="F86" s="25" t="n"/>
      <c r="G86" s="17">
        <f>IF(D86="Sale",E86*F86,IF(D86="Return",-E86*F86,""))</f>
        <v/>
      </c>
      <c r="H86" s="17">
        <f>IFERROR(IF(D86="Sale",E86*INDEX(Products!$E$6:$E$205,MATCH(C86,Products!$B$6:$B$205,0)),IF(D86="Return",-E86*INDEX(Products!$E$6:$E$205,MATCH(C86,Products!$B$6:$B$205,0)),"")),"")</f>
        <v/>
      </c>
      <c r="I86" s="24" t="n"/>
      <c r="J86" s="1" t="n"/>
    </row>
    <row r="87">
      <c r="A87" s="1" t="n"/>
      <c r="B87" s="30" t="n"/>
      <c r="C87" s="23" t="n"/>
      <c r="D87" s="23" t="n"/>
      <c r="E87" s="26" t="n"/>
      <c r="F87" s="25" t="n"/>
      <c r="G87" s="17">
        <f>IF(D87="Sale",E87*F87,IF(D87="Return",-E87*F87,""))</f>
        <v/>
      </c>
      <c r="H87" s="17">
        <f>IFERROR(IF(D87="Sale",E87*INDEX(Products!$E$6:$E$205,MATCH(C87,Products!$B$6:$B$205,0)),IF(D87="Return",-E87*INDEX(Products!$E$6:$E$205,MATCH(C87,Products!$B$6:$B$205,0)),"")),"")</f>
        <v/>
      </c>
      <c r="I87" s="24" t="n"/>
      <c r="J87" s="1" t="n"/>
    </row>
    <row r="88">
      <c r="A88" s="1" t="n"/>
      <c r="B88" s="30" t="n"/>
      <c r="C88" s="23" t="n"/>
      <c r="D88" s="23" t="n"/>
      <c r="E88" s="26" t="n"/>
      <c r="F88" s="25" t="n"/>
      <c r="G88" s="17">
        <f>IF(D88="Sale",E88*F88,IF(D88="Return",-E88*F88,""))</f>
        <v/>
      </c>
      <c r="H88" s="17">
        <f>IFERROR(IF(D88="Sale",E88*INDEX(Products!$E$6:$E$205,MATCH(C88,Products!$B$6:$B$205,0)),IF(D88="Return",-E88*INDEX(Products!$E$6:$E$205,MATCH(C88,Products!$B$6:$B$205,0)),"")),"")</f>
        <v/>
      </c>
      <c r="I88" s="24" t="n"/>
      <c r="J88" s="1" t="n"/>
    </row>
    <row r="89">
      <c r="A89" s="1" t="n"/>
      <c r="B89" s="30" t="n"/>
      <c r="C89" s="23" t="n"/>
      <c r="D89" s="23" t="n"/>
      <c r="E89" s="26" t="n"/>
      <c r="F89" s="25" t="n"/>
      <c r="G89" s="17">
        <f>IF(D89="Sale",E89*F89,IF(D89="Return",-E89*F89,""))</f>
        <v/>
      </c>
      <c r="H89" s="17">
        <f>IFERROR(IF(D89="Sale",E89*INDEX(Products!$E$6:$E$205,MATCH(C89,Products!$B$6:$B$205,0)),IF(D89="Return",-E89*INDEX(Products!$E$6:$E$205,MATCH(C89,Products!$B$6:$B$205,0)),"")),"")</f>
        <v/>
      </c>
      <c r="I89" s="24" t="n"/>
      <c r="J89" s="1" t="n"/>
    </row>
    <row r="90">
      <c r="A90" s="1" t="n"/>
      <c r="B90" s="30" t="n"/>
      <c r="C90" s="23" t="n"/>
      <c r="D90" s="23" t="n"/>
      <c r="E90" s="26" t="n"/>
      <c r="F90" s="25" t="n"/>
      <c r="G90" s="17">
        <f>IF(D90="Sale",E90*F90,IF(D90="Return",-E90*F90,""))</f>
        <v/>
      </c>
      <c r="H90" s="17">
        <f>IFERROR(IF(D90="Sale",E90*INDEX(Products!$E$6:$E$205,MATCH(C90,Products!$B$6:$B$205,0)),IF(D90="Return",-E90*INDEX(Products!$E$6:$E$205,MATCH(C90,Products!$B$6:$B$205,0)),"")),"")</f>
        <v/>
      </c>
      <c r="I90" s="24" t="n"/>
      <c r="J90" s="1" t="n"/>
    </row>
    <row r="91">
      <c r="A91" s="1" t="n"/>
      <c r="B91" s="30" t="n"/>
      <c r="C91" s="23" t="n"/>
      <c r="D91" s="23" t="n"/>
      <c r="E91" s="26" t="n"/>
      <c r="F91" s="25" t="n"/>
      <c r="G91" s="17">
        <f>IF(D91="Sale",E91*F91,IF(D91="Return",-E91*F91,""))</f>
        <v/>
      </c>
      <c r="H91" s="17">
        <f>IFERROR(IF(D91="Sale",E91*INDEX(Products!$E$6:$E$205,MATCH(C91,Products!$B$6:$B$205,0)),IF(D91="Return",-E91*INDEX(Products!$E$6:$E$205,MATCH(C91,Products!$B$6:$B$205,0)),"")),"")</f>
        <v/>
      </c>
      <c r="I91" s="24" t="n"/>
      <c r="J91" s="1" t="n"/>
    </row>
    <row r="92">
      <c r="A92" s="1" t="n"/>
      <c r="B92" s="30" t="n"/>
      <c r="C92" s="23" t="n"/>
      <c r="D92" s="23" t="n"/>
      <c r="E92" s="26" t="n"/>
      <c r="F92" s="25" t="n"/>
      <c r="G92" s="17">
        <f>IF(D92="Sale",E92*F92,IF(D92="Return",-E92*F92,""))</f>
        <v/>
      </c>
      <c r="H92" s="17">
        <f>IFERROR(IF(D92="Sale",E92*INDEX(Products!$E$6:$E$205,MATCH(C92,Products!$B$6:$B$205,0)),IF(D92="Return",-E92*INDEX(Products!$E$6:$E$205,MATCH(C92,Products!$B$6:$B$205,0)),"")),"")</f>
        <v/>
      </c>
      <c r="I92" s="24" t="n"/>
      <c r="J92" s="1" t="n"/>
    </row>
    <row r="93">
      <c r="A93" s="1" t="n"/>
      <c r="B93" s="30" t="n"/>
      <c r="C93" s="23" t="n"/>
      <c r="D93" s="23" t="n"/>
      <c r="E93" s="26" t="n"/>
      <c r="F93" s="25" t="n"/>
      <c r="G93" s="17">
        <f>IF(D93="Sale",E93*F93,IF(D93="Return",-E93*F93,""))</f>
        <v/>
      </c>
      <c r="H93" s="17">
        <f>IFERROR(IF(D93="Sale",E93*INDEX(Products!$E$6:$E$205,MATCH(C93,Products!$B$6:$B$205,0)),IF(D93="Return",-E93*INDEX(Products!$E$6:$E$205,MATCH(C93,Products!$B$6:$B$205,0)),"")),"")</f>
        <v/>
      </c>
      <c r="I93" s="24" t="n"/>
      <c r="J93" s="1" t="n"/>
    </row>
    <row r="94">
      <c r="A94" s="1" t="n"/>
      <c r="B94" s="30" t="n"/>
      <c r="C94" s="23" t="n"/>
      <c r="D94" s="23" t="n"/>
      <c r="E94" s="26" t="n"/>
      <c r="F94" s="25" t="n"/>
      <c r="G94" s="17">
        <f>IF(D94="Sale",E94*F94,IF(D94="Return",-E94*F94,""))</f>
        <v/>
      </c>
      <c r="H94" s="17">
        <f>IFERROR(IF(D94="Sale",E94*INDEX(Products!$E$6:$E$205,MATCH(C94,Products!$B$6:$B$205,0)),IF(D94="Return",-E94*INDEX(Products!$E$6:$E$205,MATCH(C94,Products!$B$6:$B$205,0)),"")),"")</f>
        <v/>
      </c>
      <c r="I94" s="24" t="n"/>
      <c r="J94" s="1" t="n"/>
    </row>
    <row r="95">
      <c r="A95" s="1" t="n"/>
      <c r="B95" s="30" t="n"/>
      <c r="C95" s="23" t="n"/>
      <c r="D95" s="23" t="n"/>
      <c r="E95" s="26" t="n"/>
      <c r="F95" s="25" t="n"/>
      <c r="G95" s="17">
        <f>IF(D95="Sale",E95*F95,IF(D95="Return",-E95*F95,""))</f>
        <v/>
      </c>
      <c r="H95" s="17">
        <f>IFERROR(IF(D95="Sale",E95*INDEX(Products!$E$6:$E$205,MATCH(C95,Products!$B$6:$B$205,0)),IF(D95="Return",-E95*INDEX(Products!$E$6:$E$205,MATCH(C95,Products!$B$6:$B$205,0)),"")),"")</f>
        <v/>
      </c>
      <c r="I95" s="24" t="n"/>
      <c r="J95" s="1" t="n"/>
    </row>
    <row r="96">
      <c r="A96" s="1" t="n"/>
      <c r="B96" s="30" t="n"/>
      <c r="C96" s="23" t="n"/>
      <c r="D96" s="23" t="n"/>
      <c r="E96" s="26" t="n"/>
      <c r="F96" s="25" t="n"/>
      <c r="G96" s="17">
        <f>IF(D96="Sale",E96*F96,IF(D96="Return",-E96*F96,""))</f>
        <v/>
      </c>
      <c r="H96" s="17">
        <f>IFERROR(IF(D96="Sale",E96*INDEX(Products!$E$6:$E$205,MATCH(C96,Products!$B$6:$B$205,0)),IF(D96="Return",-E96*INDEX(Products!$E$6:$E$205,MATCH(C96,Products!$B$6:$B$205,0)),"")),"")</f>
        <v/>
      </c>
      <c r="I96" s="24" t="n"/>
      <c r="J96" s="1" t="n"/>
    </row>
    <row r="97">
      <c r="A97" s="1" t="n"/>
      <c r="B97" s="30" t="n"/>
      <c r="C97" s="23" t="n"/>
      <c r="D97" s="23" t="n"/>
      <c r="E97" s="26" t="n"/>
      <c r="F97" s="25" t="n"/>
      <c r="G97" s="17">
        <f>IF(D97="Sale",E97*F97,IF(D97="Return",-E97*F97,""))</f>
        <v/>
      </c>
      <c r="H97" s="17">
        <f>IFERROR(IF(D97="Sale",E97*INDEX(Products!$E$6:$E$205,MATCH(C97,Products!$B$6:$B$205,0)),IF(D97="Return",-E97*INDEX(Products!$E$6:$E$205,MATCH(C97,Products!$B$6:$B$205,0)),"")),"")</f>
        <v/>
      </c>
      <c r="I97" s="24" t="n"/>
      <c r="J97" s="1" t="n"/>
    </row>
    <row r="98">
      <c r="A98" s="1" t="n"/>
      <c r="B98" s="30" t="n"/>
      <c r="C98" s="23" t="n"/>
      <c r="D98" s="23" t="n"/>
      <c r="E98" s="26" t="n"/>
      <c r="F98" s="25" t="n"/>
      <c r="G98" s="17">
        <f>IF(D98="Sale",E98*F98,IF(D98="Return",-E98*F98,""))</f>
        <v/>
      </c>
      <c r="H98" s="17">
        <f>IFERROR(IF(D98="Sale",E98*INDEX(Products!$E$6:$E$205,MATCH(C98,Products!$B$6:$B$205,0)),IF(D98="Return",-E98*INDEX(Products!$E$6:$E$205,MATCH(C98,Products!$B$6:$B$205,0)),"")),"")</f>
        <v/>
      </c>
      <c r="I98" s="24" t="n"/>
      <c r="J98" s="1" t="n"/>
    </row>
    <row r="99">
      <c r="A99" s="1" t="n"/>
      <c r="B99" s="30" t="n"/>
      <c r="C99" s="23" t="n"/>
      <c r="D99" s="23" t="n"/>
      <c r="E99" s="26" t="n"/>
      <c r="F99" s="25" t="n"/>
      <c r="G99" s="17">
        <f>IF(D99="Sale",E99*F99,IF(D99="Return",-E99*F99,""))</f>
        <v/>
      </c>
      <c r="H99" s="17">
        <f>IFERROR(IF(D99="Sale",E99*INDEX(Products!$E$6:$E$205,MATCH(C99,Products!$B$6:$B$205,0)),IF(D99="Return",-E99*INDEX(Products!$E$6:$E$205,MATCH(C99,Products!$B$6:$B$205,0)),"")),"")</f>
        <v/>
      </c>
      <c r="I99" s="24" t="n"/>
      <c r="J99" s="1" t="n"/>
    </row>
    <row r="100">
      <c r="A100" s="1" t="n"/>
      <c r="B100" s="30" t="n"/>
      <c r="C100" s="23" t="n"/>
      <c r="D100" s="23" t="n"/>
      <c r="E100" s="26" t="n"/>
      <c r="F100" s="25" t="n"/>
      <c r="G100" s="17">
        <f>IF(D100="Sale",E100*F100,IF(D100="Return",-E100*F100,""))</f>
        <v/>
      </c>
      <c r="H100" s="17">
        <f>IFERROR(IF(D100="Sale",E100*INDEX(Products!$E$6:$E$205,MATCH(C100,Products!$B$6:$B$205,0)),IF(D100="Return",-E100*INDEX(Products!$E$6:$E$205,MATCH(C100,Products!$B$6:$B$205,0)),"")),"")</f>
        <v/>
      </c>
      <c r="I100" s="24" t="n"/>
      <c r="J100" s="1" t="n"/>
    </row>
    <row r="101">
      <c r="A101" s="1" t="n"/>
      <c r="B101" s="30" t="n"/>
      <c r="C101" s="23" t="n"/>
      <c r="D101" s="23" t="n"/>
      <c r="E101" s="26" t="n"/>
      <c r="F101" s="25" t="n"/>
      <c r="G101" s="17">
        <f>IF(D101="Sale",E101*F101,IF(D101="Return",-E101*F101,""))</f>
        <v/>
      </c>
      <c r="H101" s="17">
        <f>IFERROR(IF(D101="Sale",E101*INDEX(Products!$E$6:$E$205,MATCH(C101,Products!$B$6:$B$205,0)),IF(D101="Return",-E101*INDEX(Products!$E$6:$E$205,MATCH(C101,Products!$B$6:$B$205,0)),"")),"")</f>
        <v/>
      </c>
      <c r="I101" s="24" t="n"/>
      <c r="J101" s="1" t="n"/>
    </row>
    <row r="102">
      <c r="A102" s="1" t="n"/>
      <c r="B102" s="30" t="n"/>
      <c r="C102" s="23" t="n"/>
      <c r="D102" s="23" t="n"/>
      <c r="E102" s="26" t="n"/>
      <c r="F102" s="25" t="n"/>
      <c r="G102" s="17">
        <f>IF(D102="Sale",E102*F102,IF(D102="Return",-E102*F102,""))</f>
        <v/>
      </c>
      <c r="H102" s="17">
        <f>IFERROR(IF(D102="Sale",E102*INDEX(Products!$E$6:$E$205,MATCH(C102,Products!$B$6:$B$205,0)),IF(D102="Return",-E102*INDEX(Products!$E$6:$E$205,MATCH(C102,Products!$B$6:$B$205,0)),"")),"")</f>
        <v/>
      </c>
      <c r="I102" s="24" t="n"/>
      <c r="J102" s="1" t="n"/>
    </row>
    <row r="103">
      <c r="A103" s="1" t="n"/>
      <c r="B103" s="30" t="n"/>
      <c r="C103" s="23" t="n"/>
      <c r="D103" s="23" t="n"/>
      <c r="E103" s="26" t="n"/>
      <c r="F103" s="25" t="n"/>
      <c r="G103" s="17">
        <f>IF(D103="Sale",E103*F103,IF(D103="Return",-E103*F103,""))</f>
        <v/>
      </c>
      <c r="H103" s="17">
        <f>IFERROR(IF(D103="Sale",E103*INDEX(Products!$E$6:$E$205,MATCH(C103,Products!$B$6:$B$205,0)),IF(D103="Return",-E103*INDEX(Products!$E$6:$E$205,MATCH(C103,Products!$B$6:$B$205,0)),"")),"")</f>
        <v/>
      </c>
      <c r="I103" s="24" t="n"/>
      <c r="J103" s="1" t="n"/>
    </row>
    <row r="104">
      <c r="A104" s="1" t="n"/>
      <c r="B104" s="30" t="n"/>
      <c r="C104" s="23" t="n"/>
      <c r="D104" s="23" t="n"/>
      <c r="E104" s="26" t="n"/>
      <c r="F104" s="25" t="n"/>
      <c r="G104" s="17">
        <f>IF(D104="Sale",E104*F104,IF(D104="Return",-E104*F104,""))</f>
        <v/>
      </c>
      <c r="H104" s="17">
        <f>IFERROR(IF(D104="Sale",E104*INDEX(Products!$E$6:$E$205,MATCH(C104,Products!$B$6:$B$205,0)),IF(D104="Return",-E104*INDEX(Products!$E$6:$E$205,MATCH(C104,Products!$B$6:$B$205,0)),"")),"")</f>
        <v/>
      </c>
      <c r="I104" s="24" t="n"/>
      <c r="J104" s="1" t="n"/>
    </row>
    <row r="105">
      <c r="A105" s="1" t="n"/>
      <c r="B105" s="30" t="n"/>
      <c r="C105" s="23" t="n"/>
      <c r="D105" s="23" t="n"/>
      <c r="E105" s="26" t="n"/>
      <c r="F105" s="25" t="n"/>
      <c r="G105" s="17">
        <f>IF(D105="Sale",E105*F105,IF(D105="Return",-E105*F105,""))</f>
        <v/>
      </c>
      <c r="H105" s="17">
        <f>IFERROR(IF(D105="Sale",E105*INDEX(Products!$E$6:$E$205,MATCH(C105,Products!$B$6:$B$205,0)),IF(D105="Return",-E105*INDEX(Products!$E$6:$E$205,MATCH(C105,Products!$B$6:$B$205,0)),"")),"")</f>
        <v/>
      </c>
      <c r="I105" s="24" t="n"/>
      <c r="J105" s="1" t="n"/>
    </row>
    <row r="106">
      <c r="A106" s="1" t="n"/>
      <c r="B106" s="30" t="n"/>
      <c r="C106" s="23" t="n"/>
      <c r="D106" s="23" t="n"/>
      <c r="E106" s="26" t="n"/>
      <c r="F106" s="25" t="n"/>
      <c r="G106" s="17">
        <f>IF(D106="Sale",E106*F106,IF(D106="Return",-E106*F106,""))</f>
        <v/>
      </c>
      <c r="H106" s="17">
        <f>IFERROR(IF(D106="Sale",E106*INDEX(Products!$E$6:$E$205,MATCH(C106,Products!$B$6:$B$205,0)),IF(D106="Return",-E106*INDEX(Products!$E$6:$E$205,MATCH(C106,Products!$B$6:$B$205,0)),"")),"")</f>
        <v/>
      </c>
      <c r="I106" s="24" t="n"/>
      <c r="J106" s="1" t="n"/>
    </row>
    <row r="107">
      <c r="A107" s="1" t="n"/>
      <c r="B107" s="30" t="n"/>
      <c r="C107" s="23" t="n"/>
      <c r="D107" s="23" t="n"/>
      <c r="E107" s="26" t="n"/>
      <c r="F107" s="25" t="n"/>
      <c r="G107" s="17">
        <f>IF(D107="Sale",E107*F107,IF(D107="Return",-E107*F107,""))</f>
        <v/>
      </c>
      <c r="H107" s="17">
        <f>IFERROR(IF(D107="Sale",E107*INDEX(Products!$E$6:$E$205,MATCH(C107,Products!$B$6:$B$205,0)),IF(D107="Return",-E107*INDEX(Products!$E$6:$E$205,MATCH(C107,Products!$B$6:$B$205,0)),"")),"")</f>
        <v/>
      </c>
      <c r="I107" s="24" t="n"/>
      <c r="J107" s="1" t="n"/>
    </row>
    <row r="108">
      <c r="A108" s="1" t="n"/>
      <c r="B108" s="30" t="n"/>
      <c r="C108" s="23" t="n"/>
      <c r="D108" s="23" t="n"/>
      <c r="E108" s="26" t="n"/>
      <c r="F108" s="25" t="n"/>
      <c r="G108" s="17">
        <f>IF(D108="Sale",E108*F108,IF(D108="Return",-E108*F108,""))</f>
        <v/>
      </c>
      <c r="H108" s="17">
        <f>IFERROR(IF(D108="Sale",E108*INDEX(Products!$E$6:$E$205,MATCH(C108,Products!$B$6:$B$205,0)),IF(D108="Return",-E108*INDEX(Products!$E$6:$E$205,MATCH(C108,Products!$B$6:$B$205,0)),"")),"")</f>
        <v/>
      </c>
      <c r="I108" s="24" t="n"/>
      <c r="J108" s="1" t="n"/>
    </row>
    <row r="109">
      <c r="A109" s="1" t="n"/>
      <c r="B109" s="30" t="n"/>
      <c r="C109" s="23" t="n"/>
      <c r="D109" s="23" t="n"/>
      <c r="E109" s="26" t="n"/>
      <c r="F109" s="25" t="n"/>
      <c r="G109" s="17">
        <f>IF(D109="Sale",E109*F109,IF(D109="Return",-E109*F109,""))</f>
        <v/>
      </c>
      <c r="H109" s="17">
        <f>IFERROR(IF(D109="Sale",E109*INDEX(Products!$E$6:$E$205,MATCH(C109,Products!$B$6:$B$205,0)),IF(D109="Return",-E109*INDEX(Products!$E$6:$E$205,MATCH(C109,Products!$B$6:$B$205,0)),"")),"")</f>
        <v/>
      </c>
      <c r="I109" s="24" t="n"/>
      <c r="J109" s="1" t="n"/>
    </row>
    <row r="110">
      <c r="A110" s="1" t="n"/>
      <c r="B110" s="30" t="n"/>
      <c r="C110" s="23" t="n"/>
      <c r="D110" s="23" t="n"/>
      <c r="E110" s="26" t="n"/>
      <c r="F110" s="25" t="n"/>
      <c r="G110" s="17">
        <f>IF(D110="Sale",E110*F110,IF(D110="Return",-E110*F110,""))</f>
        <v/>
      </c>
      <c r="H110" s="17">
        <f>IFERROR(IF(D110="Sale",E110*INDEX(Products!$E$6:$E$205,MATCH(C110,Products!$B$6:$B$205,0)),IF(D110="Return",-E110*INDEX(Products!$E$6:$E$205,MATCH(C110,Products!$B$6:$B$205,0)),"")),"")</f>
        <v/>
      </c>
      <c r="I110" s="24" t="n"/>
      <c r="J110" s="1" t="n"/>
    </row>
    <row r="111">
      <c r="A111" s="1" t="n"/>
      <c r="B111" s="30" t="n"/>
      <c r="C111" s="23" t="n"/>
      <c r="D111" s="23" t="n"/>
      <c r="E111" s="26" t="n"/>
      <c r="F111" s="25" t="n"/>
      <c r="G111" s="17">
        <f>IF(D111="Sale",E111*F111,IF(D111="Return",-E111*F111,""))</f>
        <v/>
      </c>
      <c r="H111" s="17">
        <f>IFERROR(IF(D111="Sale",E111*INDEX(Products!$E$6:$E$205,MATCH(C111,Products!$B$6:$B$205,0)),IF(D111="Return",-E111*INDEX(Products!$E$6:$E$205,MATCH(C111,Products!$B$6:$B$205,0)),"")),"")</f>
        <v/>
      </c>
      <c r="I111" s="24" t="n"/>
      <c r="J111" s="1" t="n"/>
    </row>
    <row r="112">
      <c r="A112" s="1" t="n"/>
      <c r="B112" s="30" t="n"/>
      <c r="C112" s="23" t="n"/>
      <c r="D112" s="23" t="n"/>
      <c r="E112" s="26" t="n"/>
      <c r="F112" s="25" t="n"/>
      <c r="G112" s="17">
        <f>IF(D112="Sale",E112*F112,IF(D112="Return",-E112*F112,""))</f>
        <v/>
      </c>
      <c r="H112" s="17">
        <f>IFERROR(IF(D112="Sale",E112*INDEX(Products!$E$6:$E$205,MATCH(C112,Products!$B$6:$B$205,0)),IF(D112="Return",-E112*INDEX(Products!$E$6:$E$205,MATCH(C112,Products!$B$6:$B$205,0)),"")),"")</f>
        <v/>
      </c>
      <c r="I112" s="24" t="n"/>
      <c r="J112" s="1" t="n"/>
    </row>
    <row r="113">
      <c r="A113" s="1" t="n"/>
      <c r="B113" s="30" t="n"/>
      <c r="C113" s="23" t="n"/>
      <c r="D113" s="23" t="n"/>
      <c r="E113" s="26" t="n"/>
      <c r="F113" s="25" t="n"/>
      <c r="G113" s="17">
        <f>IF(D113="Sale",E113*F113,IF(D113="Return",-E113*F113,""))</f>
        <v/>
      </c>
      <c r="H113" s="17">
        <f>IFERROR(IF(D113="Sale",E113*INDEX(Products!$E$6:$E$205,MATCH(C113,Products!$B$6:$B$205,0)),IF(D113="Return",-E113*INDEX(Products!$E$6:$E$205,MATCH(C113,Products!$B$6:$B$205,0)),"")),"")</f>
        <v/>
      </c>
      <c r="I113" s="24" t="n"/>
      <c r="J113" s="1" t="n"/>
    </row>
    <row r="114">
      <c r="A114" s="1" t="n"/>
      <c r="B114" s="30" t="n"/>
      <c r="C114" s="23" t="n"/>
      <c r="D114" s="23" t="n"/>
      <c r="E114" s="26" t="n"/>
      <c r="F114" s="25" t="n"/>
      <c r="G114" s="17">
        <f>IF(D114="Sale",E114*F114,IF(D114="Return",-E114*F114,""))</f>
        <v/>
      </c>
      <c r="H114" s="17">
        <f>IFERROR(IF(D114="Sale",E114*INDEX(Products!$E$6:$E$205,MATCH(C114,Products!$B$6:$B$205,0)),IF(D114="Return",-E114*INDEX(Products!$E$6:$E$205,MATCH(C114,Products!$B$6:$B$205,0)),"")),"")</f>
        <v/>
      </c>
      <c r="I114" s="24" t="n"/>
      <c r="J114" s="1" t="n"/>
    </row>
    <row r="115">
      <c r="A115" s="1" t="n"/>
      <c r="B115" s="30" t="n"/>
      <c r="C115" s="23" t="n"/>
      <c r="D115" s="23" t="n"/>
      <c r="E115" s="26" t="n"/>
      <c r="F115" s="25" t="n"/>
      <c r="G115" s="17">
        <f>IF(D115="Sale",E115*F115,IF(D115="Return",-E115*F115,""))</f>
        <v/>
      </c>
      <c r="H115" s="17">
        <f>IFERROR(IF(D115="Sale",E115*INDEX(Products!$E$6:$E$205,MATCH(C115,Products!$B$6:$B$205,0)),IF(D115="Return",-E115*INDEX(Products!$E$6:$E$205,MATCH(C115,Products!$B$6:$B$205,0)),"")),"")</f>
        <v/>
      </c>
      <c r="I115" s="24" t="n"/>
      <c r="J115" s="1" t="n"/>
    </row>
    <row r="116">
      <c r="A116" s="1" t="n"/>
      <c r="B116" s="30" t="n"/>
      <c r="C116" s="23" t="n"/>
      <c r="D116" s="23" t="n"/>
      <c r="E116" s="26" t="n"/>
      <c r="F116" s="25" t="n"/>
      <c r="G116" s="17">
        <f>IF(D116="Sale",E116*F116,IF(D116="Return",-E116*F116,""))</f>
        <v/>
      </c>
      <c r="H116" s="17">
        <f>IFERROR(IF(D116="Sale",E116*INDEX(Products!$E$6:$E$205,MATCH(C116,Products!$B$6:$B$205,0)),IF(D116="Return",-E116*INDEX(Products!$E$6:$E$205,MATCH(C116,Products!$B$6:$B$205,0)),"")),"")</f>
        <v/>
      </c>
      <c r="I116" s="24" t="n"/>
      <c r="J116" s="1" t="n"/>
    </row>
    <row r="117">
      <c r="A117" s="1" t="n"/>
      <c r="B117" s="30" t="n"/>
      <c r="C117" s="23" t="n"/>
      <c r="D117" s="23" t="n"/>
      <c r="E117" s="26" t="n"/>
      <c r="F117" s="25" t="n"/>
      <c r="G117" s="17">
        <f>IF(D117="Sale",E117*F117,IF(D117="Return",-E117*F117,""))</f>
        <v/>
      </c>
      <c r="H117" s="17">
        <f>IFERROR(IF(D117="Sale",E117*INDEX(Products!$E$6:$E$205,MATCH(C117,Products!$B$6:$B$205,0)),IF(D117="Return",-E117*INDEX(Products!$E$6:$E$205,MATCH(C117,Products!$B$6:$B$205,0)),"")),"")</f>
        <v/>
      </c>
      <c r="I117" s="24" t="n"/>
      <c r="J117" s="1" t="n"/>
    </row>
    <row r="118">
      <c r="A118" s="1" t="n"/>
      <c r="B118" s="30" t="n"/>
      <c r="C118" s="23" t="n"/>
      <c r="D118" s="23" t="n"/>
      <c r="E118" s="26" t="n"/>
      <c r="F118" s="25" t="n"/>
      <c r="G118" s="17">
        <f>IF(D118="Sale",E118*F118,IF(D118="Return",-E118*F118,""))</f>
        <v/>
      </c>
      <c r="H118" s="17">
        <f>IFERROR(IF(D118="Sale",E118*INDEX(Products!$E$6:$E$205,MATCH(C118,Products!$B$6:$B$205,0)),IF(D118="Return",-E118*INDEX(Products!$E$6:$E$205,MATCH(C118,Products!$B$6:$B$205,0)),"")),"")</f>
        <v/>
      </c>
      <c r="I118" s="24" t="n"/>
      <c r="J118" s="1" t="n"/>
    </row>
    <row r="119">
      <c r="A119" s="1" t="n"/>
      <c r="B119" s="30" t="n"/>
      <c r="C119" s="23" t="n"/>
      <c r="D119" s="23" t="n"/>
      <c r="E119" s="26" t="n"/>
      <c r="F119" s="25" t="n"/>
      <c r="G119" s="17">
        <f>IF(D119="Sale",E119*F119,IF(D119="Return",-E119*F119,""))</f>
        <v/>
      </c>
      <c r="H119" s="17">
        <f>IFERROR(IF(D119="Sale",E119*INDEX(Products!$E$6:$E$205,MATCH(C119,Products!$B$6:$B$205,0)),IF(D119="Return",-E119*INDEX(Products!$E$6:$E$205,MATCH(C119,Products!$B$6:$B$205,0)),"")),"")</f>
        <v/>
      </c>
      <c r="I119" s="24" t="n"/>
      <c r="J119" s="1" t="n"/>
    </row>
    <row r="120">
      <c r="A120" s="1" t="n"/>
      <c r="B120" s="30" t="n"/>
      <c r="C120" s="23" t="n"/>
      <c r="D120" s="23" t="n"/>
      <c r="E120" s="26" t="n"/>
      <c r="F120" s="25" t="n"/>
      <c r="G120" s="17">
        <f>IF(D120="Sale",E120*F120,IF(D120="Return",-E120*F120,""))</f>
        <v/>
      </c>
      <c r="H120" s="17">
        <f>IFERROR(IF(D120="Sale",E120*INDEX(Products!$E$6:$E$205,MATCH(C120,Products!$B$6:$B$205,0)),IF(D120="Return",-E120*INDEX(Products!$E$6:$E$205,MATCH(C120,Products!$B$6:$B$205,0)),"")),"")</f>
        <v/>
      </c>
      <c r="I120" s="24" t="n"/>
      <c r="J120" s="1" t="n"/>
    </row>
    <row r="121">
      <c r="A121" s="1" t="n"/>
      <c r="B121" s="30" t="n"/>
      <c r="C121" s="23" t="n"/>
      <c r="D121" s="23" t="n"/>
      <c r="E121" s="26" t="n"/>
      <c r="F121" s="25" t="n"/>
      <c r="G121" s="17">
        <f>IF(D121="Sale",E121*F121,IF(D121="Return",-E121*F121,""))</f>
        <v/>
      </c>
      <c r="H121" s="17">
        <f>IFERROR(IF(D121="Sale",E121*INDEX(Products!$E$6:$E$205,MATCH(C121,Products!$B$6:$B$205,0)),IF(D121="Return",-E121*INDEX(Products!$E$6:$E$205,MATCH(C121,Products!$B$6:$B$205,0)),"")),"")</f>
        <v/>
      </c>
      <c r="I121" s="24" t="n"/>
      <c r="J121" s="1" t="n"/>
    </row>
    <row r="122">
      <c r="A122" s="1" t="n"/>
      <c r="B122" s="30" t="n"/>
      <c r="C122" s="23" t="n"/>
      <c r="D122" s="23" t="n"/>
      <c r="E122" s="26" t="n"/>
      <c r="F122" s="25" t="n"/>
      <c r="G122" s="17">
        <f>IF(D122="Sale",E122*F122,IF(D122="Return",-E122*F122,""))</f>
        <v/>
      </c>
      <c r="H122" s="17">
        <f>IFERROR(IF(D122="Sale",E122*INDEX(Products!$E$6:$E$205,MATCH(C122,Products!$B$6:$B$205,0)),IF(D122="Return",-E122*INDEX(Products!$E$6:$E$205,MATCH(C122,Products!$B$6:$B$205,0)),"")),"")</f>
        <v/>
      </c>
      <c r="I122" s="24" t="n"/>
      <c r="J122" s="1" t="n"/>
    </row>
    <row r="123">
      <c r="A123" s="1" t="n"/>
      <c r="B123" s="30" t="n"/>
      <c r="C123" s="23" t="n"/>
      <c r="D123" s="23" t="n"/>
      <c r="E123" s="26" t="n"/>
      <c r="F123" s="25" t="n"/>
      <c r="G123" s="17">
        <f>IF(D123="Sale",E123*F123,IF(D123="Return",-E123*F123,""))</f>
        <v/>
      </c>
      <c r="H123" s="17">
        <f>IFERROR(IF(D123="Sale",E123*INDEX(Products!$E$6:$E$205,MATCH(C123,Products!$B$6:$B$205,0)),IF(D123="Return",-E123*INDEX(Products!$E$6:$E$205,MATCH(C123,Products!$B$6:$B$205,0)),"")),"")</f>
        <v/>
      </c>
      <c r="I123" s="24" t="n"/>
      <c r="J123" s="1" t="n"/>
    </row>
    <row r="124">
      <c r="A124" s="1" t="n"/>
      <c r="B124" s="30" t="n"/>
      <c r="C124" s="23" t="n"/>
      <c r="D124" s="23" t="n"/>
      <c r="E124" s="26" t="n"/>
      <c r="F124" s="25" t="n"/>
      <c r="G124" s="17">
        <f>IF(D124="Sale",E124*F124,IF(D124="Return",-E124*F124,""))</f>
        <v/>
      </c>
      <c r="H124" s="17">
        <f>IFERROR(IF(D124="Sale",E124*INDEX(Products!$E$6:$E$205,MATCH(C124,Products!$B$6:$B$205,0)),IF(D124="Return",-E124*INDEX(Products!$E$6:$E$205,MATCH(C124,Products!$B$6:$B$205,0)),"")),"")</f>
        <v/>
      </c>
      <c r="I124" s="24" t="n"/>
      <c r="J124" s="1" t="n"/>
    </row>
    <row r="125">
      <c r="A125" s="1" t="n"/>
      <c r="B125" s="30" t="n"/>
      <c r="C125" s="23" t="n"/>
      <c r="D125" s="23" t="n"/>
      <c r="E125" s="26" t="n"/>
      <c r="F125" s="25" t="n"/>
      <c r="G125" s="17">
        <f>IF(D125="Sale",E125*F125,IF(D125="Return",-E125*F125,""))</f>
        <v/>
      </c>
      <c r="H125" s="17">
        <f>IFERROR(IF(D125="Sale",E125*INDEX(Products!$E$6:$E$205,MATCH(C125,Products!$B$6:$B$205,0)),IF(D125="Return",-E125*INDEX(Products!$E$6:$E$205,MATCH(C125,Products!$B$6:$B$205,0)),"")),"")</f>
        <v/>
      </c>
      <c r="I125" s="24" t="n"/>
      <c r="J125" s="1" t="n"/>
    </row>
    <row r="126">
      <c r="A126" s="1" t="n"/>
      <c r="B126" s="30" t="n"/>
      <c r="C126" s="23" t="n"/>
      <c r="D126" s="23" t="n"/>
      <c r="E126" s="26" t="n"/>
      <c r="F126" s="25" t="n"/>
      <c r="G126" s="17">
        <f>IF(D126="Sale",E126*F126,IF(D126="Return",-E126*F126,""))</f>
        <v/>
      </c>
      <c r="H126" s="17">
        <f>IFERROR(IF(D126="Sale",E126*INDEX(Products!$E$6:$E$205,MATCH(C126,Products!$B$6:$B$205,0)),IF(D126="Return",-E126*INDEX(Products!$E$6:$E$205,MATCH(C126,Products!$B$6:$B$205,0)),"")),"")</f>
        <v/>
      </c>
      <c r="I126" s="24" t="n"/>
      <c r="J126" s="1" t="n"/>
    </row>
    <row r="127">
      <c r="A127" s="1" t="n"/>
      <c r="B127" s="30" t="n"/>
      <c r="C127" s="23" t="n"/>
      <c r="D127" s="23" t="n"/>
      <c r="E127" s="26" t="n"/>
      <c r="F127" s="25" t="n"/>
      <c r="G127" s="17">
        <f>IF(D127="Sale",E127*F127,IF(D127="Return",-E127*F127,""))</f>
        <v/>
      </c>
      <c r="H127" s="17">
        <f>IFERROR(IF(D127="Sale",E127*INDEX(Products!$E$6:$E$205,MATCH(C127,Products!$B$6:$B$205,0)),IF(D127="Return",-E127*INDEX(Products!$E$6:$E$205,MATCH(C127,Products!$B$6:$B$205,0)),"")),"")</f>
        <v/>
      </c>
      <c r="I127" s="24" t="n"/>
      <c r="J127" s="1" t="n"/>
    </row>
    <row r="128">
      <c r="A128" s="1" t="n"/>
      <c r="B128" s="30" t="n"/>
      <c r="C128" s="23" t="n"/>
      <c r="D128" s="23" t="n"/>
      <c r="E128" s="26" t="n"/>
      <c r="F128" s="25" t="n"/>
      <c r="G128" s="17">
        <f>IF(D128="Sale",E128*F128,IF(D128="Return",-E128*F128,""))</f>
        <v/>
      </c>
      <c r="H128" s="17">
        <f>IFERROR(IF(D128="Sale",E128*INDEX(Products!$E$6:$E$205,MATCH(C128,Products!$B$6:$B$205,0)),IF(D128="Return",-E128*INDEX(Products!$E$6:$E$205,MATCH(C128,Products!$B$6:$B$205,0)),"")),"")</f>
        <v/>
      </c>
      <c r="I128" s="24" t="n"/>
      <c r="J128" s="1" t="n"/>
    </row>
    <row r="129">
      <c r="A129" s="1" t="n"/>
      <c r="B129" s="30" t="n"/>
      <c r="C129" s="23" t="n"/>
      <c r="D129" s="23" t="n"/>
      <c r="E129" s="26" t="n"/>
      <c r="F129" s="25" t="n"/>
      <c r="G129" s="17">
        <f>IF(D129="Sale",E129*F129,IF(D129="Return",-E129*F129,""))</f>
        <v/>
      </c>
      <c r="H129" s="17">
        <f>IFERROR(IF(D129="Sale",E129*INDEX(Products!$E$6:$E$205,MATCH(C129,Products!$B$6:$B$205,0)),IF(D129="Return",-E129*INDEX(Products!$E$6:$E$205,MATCH(C129,Products!$B$6:$B$205,0)),"")),"")</f>
        <v/>
      </c>
      <c r="I129" s="24" t="n"/>
      <c r="J129" s="1" t="n"/>
    </row>
    <row r="130">
      <c r="A130" s="1" t="n"/>
      <c r="B130" s="30" t="n"/>
      <c r="C130" s="23" t="n"/>
      <c r="D130" s="23" t="n"/>
      <c r="E130" s="26" t="n"/>
      <c r="F130" s="25" t="n"/>
      <c r="G130" s="17">
        <f>IF(D130="Sale",E130*F130,IF(D130="Return",-E130*F130,""))</f>
        <v/>
      </c>
      <c r="H130" s="17">
        <f>IFERROR(IF(D130="Sale",E130*INDEX(Products!$E$6:$E$205,MATCH(C130,Products!$B$6:$B$205,0)),IF(D130="Return",-E130*INDEX(Products!$E$6:$E$205,MATCH(C130,Products!$B$6:$B$205,0)),"")),"")</f>
        <v/>
      </c>
      <c r="I130" s="24" t="n"/>
      <c r="J130" s="1" t="n"/>
    </row>
    <row r="131">
      <c r="A131" s="1" t="n"/>
      <c r="B131" s="30" t="n"/>
      <c r="C131" s="23" t="n"/>
      <c r="D131" s="23" t="n"/>
      <c r="E131" s="26" t="n"/>
      <c r="F131" s="25" t="n"/>
      <c r="G131" s="17">
        <f>IF(D131="Sale",E131*F131,IF(D131="Return",-E131*F131,""))</f>
        <v/>
      </c>
      <c r="H131" s="17">
        <f>IFERROR(IF(D131="Sale",E131*INDEX(Products!$E$6:$E$205,MATCH(C131,Products!$B$6:$B$205,0)),IF(D131="Return",-E131*INDEX(Products!$E$6:$E$205,MATCH(C131,Products!$B$6:$B$205,0)),"")),"")</f>
        <v/>
      </c>
      <c r="I131" s="24" t="n"/>
      <c r="J131" s="1" t="n"/>
    </row>
    <row r="132">
      <c r="A132" s="1" t="n"/>
      <c r="B132" s="30" t="n"/>
      <c r="C132" s="23" t="n"/>
      <c r="D132" s="23" t="n"/>
      <c r="E132" s="26" t="n"/>
      <c r="F132" s="25" t="n"/>
      <c r="G132" s="17">
        <f>IF(D132="Sale",E132*F132,IF(D132="Return",-E132*F132,""))</f>
        <v/>
      </c>
      <c r="H132" s="17">
        <f>IFERROR(IF(D132="Sale",E132*INDEX(Products!$E$6:$E$205,MATCH(C132,Products!$B$6:$B$205,0)),IF(D132="Return",-E132*INDEX(Products!$E$6:$E$205,MATCH(C132,Products!$B$6:$B$205,0)),"")),"")</f>
        <v/>
      </c>
      <c r="I132" s="24" t="n"/>
      <c r="J132" s="1" t="n"/>
    </row>
    <row r="133">
      <c r="A133" s="1" t="n"/>
      <c r="B133" s="30" t="n"/>
      <c r="C133" s="23" t="n"/>
      <c r="D133" s="23" t="n"/>
      <c r="E133" s="26" t="n"/>
      <c r="F133" s="25" t="n"/>
      <c r="G133" s="17">
        <f>IF(D133="Sale",E133*F133,IF(D133="Return",-E133*F133,""))</f>
        <v/>
      </c>
      <c r="H133" s="17">
        <f>IFERROR(IF(D133="Sale",E133*INDEX(Products!$E$6:$E$205,MATCH(C133,Products!$B$6:$B$205,0)),IF(D133="Return",-E133*INDEX(Products!$E$6:$E$205,MATCH(C133,Products!$B$6:$B$205,0)),"")),"")</f>
        <v/>
      </c>
      <c r="I133" s="24" t="n"/>
      <c r="J133" s="1" t="n"/>
    </row>
    <row r="134">
      <c r="A134" s="1" t="n"/>
      <c r="B134" s="30" t="n"/>
      <c r="C134" s="23" t="n"/>
      <c r="D134" s="23" t="n"/>
      <c r="E134" s="26" t="n"/>
      <c r="F134" s="25" t="n"/>
      <c r="G134" s="17">
        <f>IF(D134="Sale",E134*F134,IF(D134="Return",-E134*F134,""))</f>
        <v/>
      </c>
      <c r="H134" s="17">
        <f>IFERROR(IF(D134="Sale",E134*INDEX(Products!$E$6:$E$205,MATCH(C134,Products!$B$6:$B$205,0)),IF(D134="Return",-E134*INDEX(Products!$E$6:$E$205,MATCH(C134,Products!$B$6:$B$205,0)),"")),"")</f>
        <v/>
      </c>
      <c r="I134" s="24" t="n"/>
      <c r="J134" s="1" t="n"/>
    </row>
    <row r="135">
      <c r="A135" s="1" t="n"/>
      <c r="B135" s="30" t="n"/>
      <c r="C135" s="23" t="n"/>
      <c r="D135" s="23" t="n"/>
      <c r="E135" s="26" t="n"/>
      <c r="F135" s="25" t="n"/>
      <c r="G135" s="17">
        <f>IF(D135="Sale",E135*F135,IF(D135="Return",-E135*F135,""))</f>
        <v/>
      </c>
      <c r="H135" s="17">
        <f>IFERROR(IF(D135="Sale",E135*INDEX(Products!$E$6:$E$205,MATCH(C135,Products!$B$6:$B$205,0)),IF(D135="Return",-E135*INDEX(Products!$E$6:$E$205,MATCH(C135,Products!$B$6:$B$205,0)),"")),"")</f>
        <v/>
      </c>
      <c r="I135" s="24" t="n"/>
      <c r="J135" s="1" t="n"/>
    </row>
    <row r="136">
      <c r="A136" s="1" t="n"/>
      <c r="B136" s="30" t="n"/>
      <c r="C136" s="23" t="n"/>
      <c r="D136" s="23" t="n"/>
      <c r="E136" s="26" t="n"/>
      <c r="F136" s="25" t="n"/>
      <c r="G136" s="17">
        <f>IF(D136="Sale",E136*F136,IF(D136="Return",-E136*F136,""))</f>
        <v/>
      </c>
      <c r="H136" s="17">
        <f>IFERROR(IF(D136="Sale",E136*INDEX(Products!$E$6:$E$205,MATCH(C136,Products!$B$6:$B$205,0)),IF(D136="Return",-E136*INDEX(Products!$E$6:$E$205,MATCH(C136,Products!$B$6:$B$205,0)),"")),"")</f>
        <v/>
      </c>
      <c r="I136" s="24" t="n"/>
      <c r="J136" s="1" t="n"/>
    </row>
    <row r="137">
      <c r="A137" s="1" t="n"/>
      <c r="B137" s="30" t="n"/>
      <c r="C137" s="23" t="n"/>
      <c r="D137" s="23" t="n"/>
      <c r="E137" s="26" t="n"/>
      <c r="F137" s="25" t="n"/>
      <c r="G137" s="17">
        <f>IF(D137="Sale",E137*F137,IF(D137="Return",-E137*F137,""))</f>
        <v/>
      </c>
      <c r="H137" s="17">
        <f>IFERROR(IF(D137="Sale",E137*INDEX(Products!$E$6:$E$205,MATCH(C137,Products!$B$6:$B$205,0)),IF(D137="Return",-E137*INDEX(Products!$E$6:$E$205,MATCH(C137,Products!$B$6:$B$205,0)),"")),"")</f>
        <v/>
      </c>
      <c r="I137" s="24" t="n"/>
      <c r="J137" s="1" t="n"/>
    </row>
    <row r="138">
      <c r="A138" s="1" t="n"/>
      <c r="B138" s="30" t="n"/>
      <c r="C138" s="23" t="n"/>
      <c r="D138" s="23" t="n"/>
      <c r="E138" s="26" t="n"/>
      <c r="F138" s="25" t="n"/>
      <c r="G138" s="17">
        <f>IF(D138="Sale",E138*F138,IF(D138="Return",-E138*F138,""))</f>
        <v/>
      </c>
      <c r="H138" s="17">
        <f>IFERROR(IF(D138="Sale",E138*INDEX(Products!$E$6:$E$205,MATCH(C138,Products!$B$6:$B$205,0)),IF(D138="Return",-E138*INDEX(Products!$E$6:$E$205,MATCH(C138,Products!$B$6:$B$205,0)),"")),"")</f>
        <v/>
      </c>
      <c r="I138" s="24" t="n"/>
      <c r="J138" s="1" t="n"/>
    </row>
    <row r="139">
      <c r="A139" s="1" t="n"/>
      <c r="B139" s="30" t="n"/>
      <c r="C139" s="23" t="n"/>
      <c r="D139" s="23" t="n"/>
      <c r="E139" s="26" t="n"/>
      <c r="F139" s="25" t="n"/>
      <c r="G139" s="17">
        <f>IF(D139="Sale",E139*F139,IF(D139="Return",-E139*F139,""))</f>
        <v/>
      </c>
      <c r="H139" s="17">
        <f>IFERROR(IF(D139="Sale",E139*INDEX(Products!$E$6:$E$205,MATCH(C139,Products!$B$6:$B$205,0)),IF(D139="Return",-E139*INDEX(Products!$E$6:$E$205,MATCH(C139,Products!$B$6:$B$205,0)),"")),"")</f>
        <v/>
      </c>
      <c r="I139" s="24" t="n"/>
      <c r="J139" s="1" t="n"/>
    </row>
    <row r="140">
      <c r="A140" s="1" t="n"/>
      <c r="B140" s="30" t="n"/>
      <c r="C140" s="23" t="n"/>
      <c r="D140" s="23" t="n"/>
      <c r="E140" s="26" t="n"/>
      <c r="F140" s="25" t="n"/>
      <c r="G140" s="17">
        <f>IF(D140="Sale",E140*F140,IF(D140="Return",-E140*F140,""))</f>
        <v/>
      </c>
      <c r="H140" s="17">
        <f>IFERROR(IF(D140="Sale",E140*INDEX(Products!$E$6:$E$205,MATCH(C140,Products!$B$6:$B$205,0)),IF(D140="Return",-E140*INDEX(Products!$E$6:$E$205,MATCH(C140,Products!$B$6:$B$205,0)),"")),"")</f>
        <v/>
      </c>
      <c r="I140" s="24" t="n"/>
      <c r="J140" s="1" t="n"/>
    </row>
    <row r="141">
      <c r="A141" s="1" t="n"/>
      <c r="B141" s="30" t="n"/>
      <c r="C141" s="23" t="n"/>
      <c r="D141" s="23" t="n"/>
      <c r="E141" s="26" t="n"/>
      <c r="F141" s="25" t="n"/>
      <c r="G141" s="17">
        <f>IF(D141="Sale",E141*F141,IF(D141="Return",-E141*F141,""))</f>
        <v/>
      </c>
      <c r="H141" s="17">
        <f>IFERROR(IF(D141="Sale",E141*INDEX(Products!$E$6:$E$205,MATCH(C141,Products!$B$6:$B$205,0)),IF(D141="Return",-E141*INDEX(Products!$E$6:$E$205,MATCH(C141,Products!$B$6:$B$205,0)),"")),"")</f>
        <v/>
      </c>
      <c r="I141" s="24" t="n"/>
      <c r="J141" s="1" t="n"/>
    </row>
    <row r="142">
      <c r="A142" s="1" t="n"/>
      <c r="B142" s="30" t="n"/>
      <c r="C142" s="23" t="n"/>
      <c r="D142" s="23" t="n"/>
      <c r="E142" s="26" t="n"/>
      <c r="F142" s="25" t="n"/>
      <c r="G142" s="17">
        <f>IF(D142="Sale",E142*F142,IF(D142="Return",-E142*F142,""))</f>
        <v/>
      </c>
      <c r="H142" s="17">
        <f>IFERROR(IF(D142="Sale",E142*INDEX(Products!$E$6:$E$205,MATCH(C142,Products!$B$6:$B$205,0)),IF(D142="Return",-E142*INDEX(Products!$E$6:$E$205,MATCH(C142,Products!$B$6:$B$205,0)),"")),"")</f>
        <v/>
      </c>
      <c r="I142" s="24" t="n"/>
      <c r="J142" s="1" t="n"/>
    </row>
    <row r="143">
      <c r="A143" s="1" t="n"/>
      <c r="B143" s="30" t="n"/>
      <c r="C143" s="23" t="n"/>
      <c r="D143" s="23" t="n"/>
      <c r="E143" s="26" t="n"/>
      <c r="F143" s="25" t="n"/>
      <c r="G143" s="17">
        <f>IF(D143="Sale",E143*F143,IF(D143="Return",-E143*F143,""))</f>
        <v/>
      </c>
      <c r="H143" s="17">
        <f>IFERROR(IF(D143="Sale",E143*INDEX(Products!$E$6:$E$205,MATCH(C143,Products!$B$6:$B$205,0)),IF(D143="Return",-E143*INDEX(Products!$E$6:$E$205,MATCH(C143,Products!$B$6:$B$205,0)),"")),"")</f>
        <v/>
      </c>
      <c r="I143" s="24" t="n"/>
      <c r="J143" s="1" t="n"/>
    </row>
    <row r="144">
      <c r="A144" s="1" t="n"/>
      <c r="B144" s="30" t="n"/>
      <c r="C144" s="23" t="n"/>
      <c r="D144" s="23" t="n"/>
      <c r="E144" s="26" t="n"/>
      <c r="F144" s="25" t="n"/>
      <c r="G144" s="17">
        <f>IF(D144="Sale",E144*F144,IF(D144="Return",-E144*F144,""))</f>
        <v/>
      </c>
      <c r="H144" s="17">
        <f>IFERROR(IF(D144="Sale",E144*INDEX(Products!$E$6:$E$205,MATCH(C144,Products!$B$6:$B$205,0)),IF(D144="Return",-E144*INDEX(Products!$E$6:$E$205,MATCH(C144,Products!$B$6:$B$205,0)),"")),"")</f>
        <v/>
      </c>
      <c r="I144" s="24" t="n"/>
      <c r="J144" s="1" t="n"/>
    </row>
    <row r="145">
      <c r="A145" s="1" t="n"/>
      <c r="B145" s="30" t="n"/>
      <c r="C145" s="23" t="n"/>
      <c r="D145" s="23" t="n"/>
      <c r="E145" s="26" t="n"/>
      <c r="F145" s="25" t="n"/>
      <c r="G145" s="17">
        <f>IF(D145="Sale",E145*F145,IF(D145="Return",-E145*F145,""))</f>
        <v/>
      </c>
      <c r="H145" s="17">
        <f>IFERROR(IF(D145="Sale",E145*INDEX(Products!$E$6:$E$205,MATCH(C145,Products!$B$6:$B$205,0)),IF(D145="Return",-E145*INDEX(Products!$E$6:$E$205,MATCH(C145,Products!$B$6:$B$205,0)),"")),"")</f>
        <v/>
      </c>
      <c r="I145" s="24" t="n"/>
      <c r="J145" s="1" t="n"/>
    </row>
    <row r="146">
      <c r="A146" s="1" t="n"/>
      <c r="B146" s="30" t="n"/>
      <c r="C146" s="23" t="n"/>
      <c r="D146" s="23" t="n"/>
      <c r="E146" s="26" t="n"/>
      <c r="F146" s="25" t="n"/>
      <c r="G146" s="17">
        <f>IF(D146="Sale",E146*F146,IF(D146="Return",-E146*F146,""))</f>
        <v/>
      </c>
      <c r="H146" s="17">
        <f>IFERROR(IF(D146="Sale",E146*INDEX(Products!$E$6:$E$205,MATCH(C146,Products!$B$6:$B$205,0)),IF(D146="Return",-E146*INDEX(Products!$E$6:$E$205,MATCH(C146,Products!$B$6:$B$205,0)),"")),"")</f>
        <v/>
      </c>
      <c r="I146" s="24" t="n"/>
      <c r="J146" s="1" t="n"/>
    </row>
    <row r="147">
      <c r="A147" s="1" t="n"/>
      <c r="B147" s="30" t="n"/>
      <c r="C147" s="23" t="n"/>
      <c r="D147" s="23" t="n"/>
      <c r="E147" s="26" t="n"/>
      <c r="F147" s="25" t="n"/>
      <c r="G147" s="17">
        <f>IF(D147="Sale",E147*F147,IF(D147="Return",-E147*F147,""))</f>
        <v/>
      </c>
      <c r="H147" s="17">
        <f>IFERROR(IF(D147="Sale",E147*INDEX(Products!$E$6:$E$205,MATCH(C147,Products!$B$6:$B$205,0)),IF(D147="Return",-E147*INDEX(Products!$E$6:$E$205,MATCH(C147,Products!$B$6:$B$205,0)),"")),"")</f>
        <v/>
      </c>
      <c r="I147" s="24" t="n"/>
      <c r="J147" s="1" t="n"/>
    </row>
    <row r="148">
      <c r="A148" s="1" t="n"/>
      <c r="B148" s="30" t="n"/>
      <c r="C148" s="23" t="n"/>
      <c r="D148" s="23" t="n"/>
      <c r="E148" s="26" t="n"/>
      <c r="F148" s="25" t="n"/>
      <c r="G148" s="17">
        <f>IF(D148="Sale",E148*F148,IF(D148="Return",-E148*F148,""))</f>
        <v/>
      </c>
      <c r="H148" s="17">
        <f>IFERROR(IF(D148="Sale",E148*INDEX(Products!$E$6:$E$205,MATCH(C148,Products!$B$6:$B$205,0)),IF(D148="Return",-E148*INDEX(Products!$E$6:$E$205,MATCH(C148,Products!$B$6:$B$205,0)),"")),"")</f>
        <v/>
      </c>
      <c r="I148" s="24" t="n"/>
      <c r="J148" s="1" t="n"/>
    </row>
    <row r="149">
      <c r="A149" s="1" t="n"/>
      <c r="B149" s="30" t="n"/>
      <c r="C149" s="23" t="n"/>
      <c r="D149" s="23" t="n"/>
      <c r="E149" s="26" t="n"/>
      <c r="F149" s="25" t="n"/>
      <c r="G149" s="17">
        <f>IF(D149="Sale",E149*F149,IF(D149="Return",-E149*F149,""))</f>
        <v/>
      </c>
      <c r="H149" s="17">
        <f>IFERROR(IF(D149="Sale",E149*INDEX(Products!$E$6:$E$205,MATCH(C149,Products!$B$6:$B$205,0)),IF(D149="Return",-E149*INDEX(Products!$E$6:$E$205,MATCH(C149,Products!$B$6:$B$205,0)),"")),"")</f>
        <v/>
      </c>
      <c r="I149" s="24" t="n"/>
      <c r="J149" s="1" t="n"/>
    </row>
    <row r="150">
      <c r="A150" s="1" t="n"/>
      <c r="B150" s="30" t="n"/>
      <c r="C150" s="23" t="n"/>
      <c r="D150" s="23" t="n"/>
      <c r="E150" s="26" t="n"/>
      <c r="F150" s="25" t="n"/>
      <c r="G150" s="17">
        <f>IF(D150="Sale",E150*F150,IF(D150="Return",-E150*F150,""))</f>
        <v/>
      </c>
      <c r="H150" s="17">
        <f>IFERROR(IF(D150="Sale",E150*INDEX(Products!$E$6:$E$205,MATCH(C150,Products!$B$6:$B$205,0)),IF(D150="Return",-E150*INDEX(Products!$E$6:$E$205,MATCH(C150,Products!$B$6:$B$205,0)),"")),"")</f>
        <v/>
      </c>
      <c r="I150" s="24" t="n"/>
      <c r="J150" s="1" t="n"/>
    </row>
    <row r="151">
      <c r="A151" s="1" t="n"/>
      <c r="B151" s="30" t="n"/>
      <c r="C151" s="23" t="n"/>
      <c r="D151" s="23" t="n"/>
      <c r="E151" s="26" t="n"/>
      <c r="F151" s="25" t="n"/>
      <c r="G151" s="17">
        <f>IF(D151="Sale",E151*F151,IF(D151="Return",-E151*F151,""))</f>
        <v/>
      </c>
      <c r="H151" s="17">
        <f>IFERROR(IF(D151="Sale",E151*INDEX(Products!$E$6:$E$205,MATCH(C151,Products!$B$6:$B$205,0)),IF(D151="Return",-E151*INDEX(Products!$E$6:$E$205,MATCH(C151,Products!$B$6:$B$205,0)),"")),"")</f>
        <v/>
      </c>
      <c r="I151" s="24" t="n"/>
      <c r="J151" s="1" t="n"/>
    </row>
    <row r="152">
      <c r="A152" s="1" t="n"/>
      <c r="B152" s="30" t="n"/>
      <c r="C152" s="23" t="n"/>
      <c r="D152" s="23" t="n"/>
      <c r="E152" s="26" t="n"/>
      <c r="F152" s="25" t="n"/>
      <c r="G152" s="17">
        <f>IF(D152="Sale",E152*F152,IF(D152="Return",-E152*F152,""))</f>
        <v/>
      </c>
      <c r="H152" s="17">
        <f>IFERROR(IF(D152="Sale",E152*INDEX(Products!$E$6:$E$205,MATCH(C152,Products!$B$6:$B$205,0)),IF(D152="Return",-E152*INDEX(Products!$E$6:$E$205,MATCH(C152,Products!$B$6:$B$205,0)),"")),"")</f>
        <v/>
      </c>
      <c r="I152" s="24" t="n"/>
      <c r="J152" s="1" t="n"/>
    </row>
    <row r="153">
      <c r="A153" s="1" t="n"/>
      <c r="B153" s="30" t="n"/>
      <c r="C153" s="23" t="n"/>
      <c r="D153" s="23" t="n"/>
      <c r="E153" s="26" t="n"/>
      <c r="F153" s="25" t="n"/>
      <c r="G153" s="17">
        <f>IF(D153="Sale",E153*F153,IF(D153="Return",-E153*F153,""))</f>
        <v/>
      </c>
      <c r="H153" s="17">
        <f>IFERROR(IF(D153="Sale",E153*INDEX(Products!$E$6:$E$205,MATCH(C153,Products!$B$6:$B$205,0)),IF(D153="Return",-E153*INDEX(Products!$E$6:$E$205,MATCH(C153,Products!$B$6:$B$205,0)),"")),"")</f>
        <v/>
      </c>
      <c r="I153" s="24" t="n"/>
      <c r="J153" s="1" t="n"/>
    </row>
    <row r="154">
      <c r="A154" s="1" t="n"/>
      <c r="B154" s="30" t="n"/>
      <c r="C154" s="23" t="n"/>
      <c r="D154" s="23" t="n"/>
      <c r="E154" s="26" t="n"/>
      <c r="F154" s="25" t="n"/>
      <c r="G154" s="17">
        <f>IF(D154="Sale",E154*F154,IF(D154="Return",-E154*F154,""))</f>
        <v/>
      </c>
      <c r="H154" s="17">
        <f>IFERROR(IF(D154="Sale",E154*INDEX(Products!$E$6:$E$205,MATCH(C154,Products!$B$6:$B$205,0)),IF(D154="Return",-E154*INDEX(Products!$E$6:$E$205,MATCH(C154,Products!$B$6:$B$205,0)),"")),"")</f>
        <v/>
      </c>
      <c r="I154" s="24" t="n"/>
      <c r="J154" s="1" t="n"/>
    </row>
    <row r="155">
      <c r="A155" s="1" t="n"/>
      <c r="B155" s="30" t="n"/>
      <c r="C155" s="23" t="n"/>
      <c r="D155" s="23" t="n"/>
      <c r="E155" s="26" t="n"/>
      <c r="F155" s="25" t="n"/>
      <c r="G155" s="17">
        <f>IF(D155="Sale",E155*F155,IF(D155="Return",-E155*F155,""))</f>
        <v/>
      </c>
      <c r="H155" s="17">
        <f>IFERROR(IF(D155="Sale",E155*INDEX(Products!$E$6:$E$205,MATCH(C155,Products!$B$6:$B$205,0)),IF(D155="Return",-E155*INDEX(Products!$E$6:$E$205,MATCH(C155,Products!$B$6:$B$205,0)),"")),"")</f>
        <v/>
      </c>
      <c r="I155" s="24" t="n"/>
      <c r="J155" s="1" t="n"/>
    </row>
    <row r="156">
      <c r="A156" s="1" t="n"/>
      <c r="B156" s="30" t="n"/>
      <c r="C156" s="23" t="n"/>
      <c r="D156" s="23" t="n"/>
      <c r="E156" s="26" t="n"/>
      <c r="F156" s="25" t="n"/>
      <c r="G156" s="17">
        <f>IF(D156="Sale",E156*F156,IF(D156="Return",-E156*F156,""))</f>
        <v/>
      </c>
      <c r="H156" s="17">
        <f>IFERROR(IF(D156="Sale",E156*INDEX(Products!$E$6:$E$205,MATCH(C156,Products!$B$6:$B$205,0)),IF(D156="Return",-E156*INDEX(Products!$E$6:$E$205,MATCH(C156,Products!$B$6:$B$205,0)),"")),"")</f>
        <v/>
      </c>
      <c r="I156" s="24" t="n"/>
      <c r="J156" s="1" t="n"/>
    </row>
    <row r="157">
      <c r="A157" s="1" t="n"/>
      <c r="B157" s="30" t="n"/>
      <c r="C157" s="23" t="n"/>
      <c r="D157" s="23" t="n"/>
      <c r="E157" s="26" t="n"/>
      <c r="F157" s="25" t="n"/>
      <c r="G157" s="17">
        <f>IF(D157="Sale",E157*F157,IF(D157="Return",-E157*F157,""))</f>
        <v/>
      </c>
      <c r="H157" s="17">
        <f>IFERROR(IF(D157="Sale",E157*INDEX(Products!$E$6:$E$205,MATCH(C157,Products!$B$6:$B$205,0)),IF(D157="Return",-E157*INDEX(Products!$E$6:$E$205,MATCH(C157,Products!$B$6:$B$205,0)),"")),"")</f>
        <v/>
      </c>
      <c r="I157" s="24" t="n"/>
      <c r="J157" s="1" t="n"/>
    </row>
    <row r="158">
      <c r="A158" s="1" t="n"/>
      <c r="B158" s="30" t="n"/>
      <c r="C158" s="23" t="n"/>
      <c r="D158" s="23" t="n"/>
      <c r="E158" s="26" t="n"/>
      <c r="F158" s="25" t="n"/>
      <c r="G158" s="17">
        <f>IF(D158="Sale",E158*F158,IF(D158="Return",-E158*F158,""))</f>
        <v/>
      </c>
      <c r="H158" s="17">
        <f>IFERROR(IF(D158="Sale",E158*INDEX(Products!$E$6:$E$205,MATCH(C158,Products!$B$6:$B$205,0)),IF(D158="Return",-E158*INDEX(Products!$E$6:$E$205,MATCH(C158,Products!$B$6:$B$205,0)),"")),"")</f>
        <v/>
      </c>
      <c r="I158" s="24" t="n"/>
      <c r="J158" s="1" t="n"/>
    </row>
    <row r="159">
      <c r="A159" s="1" t="n"/>
      <c r="B159" s="30" t="n"/>
      <c r="C159" s="23" t="n"/>
      <c r="D159" s="23" t="n"/>
      <c r="E159" s="26" t="n"/>
      <c r="F159" s="25" t="n"/>
      <c r="G159" s="17">
        <f>IF(D159="Sale",E159*F159,IF(D159="Return",-E159*F159,""))</f>
        <v/>
      </c>
      <c r="H159" s="17">
        <f>IFERROR(IF(D159="Sale",E159*INDEX(Products!$E$6:$E$205,MATCH(C159,Products!$B$6:$B$205,0)),IF(D159="Return",-E159*INDEX(Products!$E$6:$E$205,MATCH(C159,Products!$B$6:$B$205,0)),"")),"")</f>
        <v/>
      </c>
      <c r="I159" s="24" t="n"/>
      <c r="J159" s="1" t="n"/>
    </row>
    <row r="160">
      <c r="A160" s="1" t="n"/>
      <c r="B160" s="30" t="n"/>
      <c r="C160" s="23" t="n"/>
      <c r="D160" s="23" t="n"/>
      <c r="E160" s="26" t="n"/>
      <c r="F160" s="25" t="n"/>
      <c r="G160" s="17">
        <f>IF(D160="Sale",E160*F160,IF(D160="Return",-E160*F160,""))</f>
        <v/>
      </c>
      <c r="H160" s="17">
        <f>IFERROR(IF(D160="Sale",E160*INDEX(Products!$E$6:$E$205,MATCH(C160,Products!$B$6:$B$205,0)),IF(D160="Return",-E160*INDEX(Products!$E$6:$E$205,MATCH(C160,Products!$B$6:$B$205,0)),"")),"")</f>
        <v/>
      </c>
      <c r="I160" s="24" t="n"/>
      <c r="J160" s="1" t="n"/>
    </row>
    <row r="161">
      <c r="A161" s="1" t="n"/>
      <c r="B161" s="30" t="n"/>
      <c r="C161" s="23" t="n"/>
      <c r="D161" s="23" t="n"/>
      <c r="E161" s="26" t="n"/>
      <c r="F161" s="25" t="n"/>
      <c r="G161" s="17">
        <f>IF(D161="Sale",E161*F161,IF(D161="Return",-E161*F161,""))</f>
        <v/>
      </c>
      <c r="H161" s="17">
        <f>IFERROR(IF(D161="Sale",E161*INDEX(Products!$E$6:$E$205,MATCH(C161,Products!$B$6:$B$205,0)),IF(D161="Return",-E161*INDEX(Products!$E$6:$E$205,MATCH(C161,Products!$B$6:$B$205,0)),"")),"")</f>
        <v/>
      </c>
      <c r="I161" s="24" t="n"/>
      <c r="J161" s="1" t="n"/>
    </row>
    <row r="162">
      <c r="A162" s="1" t="n"/>
      <c r="B162" s="30" t="n"/>
      <c r="C162" s="23" t="n"/>
      <c r="D162" s="23" t="n"/>
      <c r="E162" s="26" t="n"/>
      <c r="F162" s="25" t="n"/>
      <c r="G162" s="17">
        <f>IF(D162="Sale",E162*F162,IF(D162="Return",-E162*F162,""))</f>
        <v/>
      </c>
      <c r="H162" s="17">
        <f>IFERROR(IF(D162="Sale",E162*INDEX(Products!$E$6:$E$205,MATCH(C162,Products!$B$6:$B$205,0)),IF(D162="Return",-E162*INDEX(Products!$E$6:$E$205,MATCH(C162,Products!$B$6:$B$205,0)),"")),"")</f>
        <v/>
      </c>
      <c r="I162" s="24" t="n"/>
      <c r="J162" s="1" t="n"/>
    </row>
    <row r="163">
      <c r="A163" s="1" t="n"/>
      <c r="B163" s="30" t="n"/>
      <c r="C163" s="23" t="n"/>
      <c r="D163" s="23" t="n"/>
      <c r="E163" s="26" t="n"/>
      <c r="F163" s="25" t="n"/>
      <c r="G163" s="17">
        <f>IF(D163="Sale",E163*F163,IF(D163="Return",-E163*F163,""))</f>
        <v/>
      </c>
      <c r="H163" s="17">
        <f>IFERROR(IF(D163="Sale",E163*INDEX(Products!$E$6:$E$205,MATCH(C163,Products!$B$6:$B$205,0)),IF(D163="Return",-E163*INDEX(Products!$E$6:$E$205,MATCH(C163,Products!$B$6:$B$205,0)),"")),"")</f>
        <v/>
      </c>
      <c r="I163" s="24" t="n"/>
      <c r="J163" s="1" t="n"/>
    </row>
    <row r="164">
      <c r="A164" s="1" t="n"/>
      <c r="B164" s="30" t="n"/>
      <c r="C164" s="23" t="n"/>
      <c r="D164" s="23" t="n"/>
      <c r="E164" s="26" t="n"/>
      <c r="F164" s="25" t="n"/>
      <c r="G164" s="17">
        <f>IF(D164="Sale",E164*F164,IF(D164="Return",-E164*F164,""))</f>
        <v/>
      </c>
      <c r="H164" s="17">
        <f>IFERROR(IF(D164="Sale",E164*INDEX(Products!$E$6:$E$205,MATCH(C164,Products!$B$6:$B$205,0)),IF(D164="Return",-E164*INDEX(Products!$E$6:$E$205,MATCH(C164,Products!$B$6:$B$205,0)),"")),"")</f>
        <v/>
      </c>
      <c r="I164" s="24" t="n"/>
      <c r="J164" s="1" t="n"/>
    </row>
    <row r="165">
      <c r="A165" s="1" t="n"/>
      <c r="B165" s="30" t="n"/>
      <c r="C165" s="23" t="n"/>
      <c r="D165" s="23" t="n"/>
      <c r="E165" s="26" t="n"/>
      <c r="F165" s="25" t="n"/>
      <c r="G165" s="17">
        <f>IF(D165="Sale",E165*F165,IF(D165="Return",-E165*F165,""))</f>
        <v/>
      </c>
      <c r="H165" s="17">
        <f>IFERROR(IF(D165="Sale",E165*INDEX(Products!$E$6:$E$205,MATCH(C165,Products!$B$6:$B$205,0)),IF(D165="Return",-E165*INDEX(Products!$E$6:$E$205,MATCH(C165,Products!$B$6:$B$205,0)),"")),"")</f>
        <v/>
      </c>
      <c r="I165" s="24" t="n"/>
      <c r="J165" s="1" t="n"/>
    </row>
    <row r="166">
      <c r="A166" s="1" t="n"/>
      <c r="B166" s="30" t="n"/>
      <c r="C166" s="23" t="n"/>
      <c r="D166" s="23" t="n"/>
      <c r="E166" s="26" t="n"/>
      <c r="F166" s="25" t="n"/>
      <c r="G166" s="17">
        <f>IF(D166="Sale",E166*F166,IF(D166="Return",-E166*F166,""))</f>
        <v/>
      </c>
      <c r="H166" s="17">
        <f>IFERROR(IF(D166="Sale",E166*INDEX(Products!$E$6:$E$205,MATCH(C166,Products!$B$6:$B$205,0)),IF(D166="Return",-E166*INDEX(Products!$E$6:$E$205,MATCH(C166,Products!$B$6:$B$205,0)),"")),"")</f>
        <v/>
      </c>
      <c r="I166" s="24" t="n"/>
      <c r="J166" s="1" t="n"/>
    </row>
    <row r="167">
      <c r="A167" s="1" t="n"/>
      <c r="B167" s="30" t="n"/>
      <c r="C167" s="23" t="n"/>
      <c r="D167" s="23" t="n"/>
      <c r="E167" s="26" t="n"/>
      <c r="F167" s="25" t="n"/>
      <c r="G167" s="17">
        <f>IF(D167="Sale",E167*F167,IF(D167="Return",-E167*F167,""))</f>
        <v/>
      </c>
      <c r="H167" s="17">
        <f>IFERROR(IF(D167="Sale",E167*INDEX(Products!$E$6:$E$205,MATCH(C167,Products!$B$6:$B$205,0)),IF(D167="Return",-E167*INDEX(Products!$E$6:$E$205,MATCH(C167,Products!$B$6:$B$205,0)),"")),"")</f>
        <v/>
      </c>
      <c r="I167" s="24" t="n"/>
      <c r="J167" s="1" t="n"/>
    </row>
    <row r="168">
      <c r="A168" s="1" t="n"/>
      <c r="B168" s="30" t="n"/>
      <c r="C168" s="23" t="n"/>
      <c r="D168" s="23" t="n"/>
      <c r="E168" s="26" t="n"/>
      <c r="F168" s="25" t="n"/>
      <c r="G168" s="17">
        <f>IF(D168="Sale",E168*F168,IF(D168="Return",-E168*F168,""))</f>
        <v/>
      </c>
      <c r="H168" s="17">
        <f>IFERROR(IF(D168="Sale",E168*INDEX(Products!$E$6:$E$205,MATCH(C168,Products!$B$6:$B$205,0)),IF(D168="Return",-E168*INDEX(Products!$E$6:$E$205,MATCH(C168,Products!$B$6:$B$205,0)),"")),"")</f>
        <v/>
      </c>
      <c r="I168" s="24" t="n"/>
      <c r="J168" s="1" t="n"/>
    </row>
    <row r="169">
      <c r="A169" s="1" t="n"/>
      <c r="B169" s="30" t="n"/>
      <c r="C169" s="23" t="n"/>
      <c r="D169" s="23" t="n"/>
      <c r="E169" s="26" t="n"/>
      <c r="F169" s="25" t="n"/>
      <c r="G169" s="17">
        <f>IF(D169="Sale",E169*F169,IF(D169="Return",-E169*F169,""))</f>
        <v/>
      </c>
      <c r="H169" s="17">
        <f>IFERROR(IF(D169="Sale",E169*INDEX(Products!$E$6:$E$205,MATCH(C169,Products!$B$6:$B$205,0)),IF(D169="Return",-E169*INDEX(Products!$E$6:$E$205,MATCH(C169,Products!$B$6:$B$205,0)),"")),"")</f>
        <v/>
      </c>
      <c r="I169" s="24" t="n"/>
      <c r="J169" s="1" t="n"/>
    </row>
    <row r="170">
      <c r="A170" s="1" t="n"/>
      <c r="B170" s="30" t="n"/>
      <c r="C170" s="23" t="n"/>
      <c r="D170" s="23" t="n"/>
      <c r="E170" s="26" t="n"/>
      <c r="F170" s="25" t="n"/>
      <c r="G170" s="17">
        <f>IF(D170="Sale",E170*F170,IF(D170="Return",-E170*F170,""))</f>
        <v/>
      </c>
      <c r="H170" s="17">
        <f>IFERROR(IF(D170="Sale",E170*INDEX(Products!$E$6:$E$205,MATCH(C170,Products!$B$6:$B$205,0)),IF(D170="Return",-E170*INDEX(Products!$E$6:$E$205,MATCH(C170,Products!$B$6:$B$205,0)),"")),"")</f>
        <v/>
      </c>
      <c r="I170" s="24" t="n"/>
      <c r="J170" s="1" t="n"/>
    </row>
    <row r="171">
      <c r="A171" s="1" t="n"/>
      <c r="B171" s="30" t="n"/>
      <c r="C171" s="23" t="n"/>
      <c r="D171" s="23" t="n"/>
      <c r="E171" s="26" t="n"/>
      <c r="F171" s="25" t="n"/>
      <c r="G171" s="17">
        <f>IF(D171="Sale",E171*F171,IF(D171="Return",-E171*F171,""))</f>
        <v/>
      </c>
      <c r="H171" s="17">
        <f>IFERROR(IF(D171="Sale",E171*INDEX(Products!$E$6:$E$205,MATCH(C171,Products!$B$6:$B$205,0)),IF(D171="Return",-E171*INDEX(Products!$E$6:$E$205,MATCH(C171,Products!$B$6:$B$205,0)),"")),"")</f>
        <v/>
      </c>
      <c r="I171" s="24" t="n"/>
      <c r="J171" s="1" t="n"/>
    </row>
    <row r="172">
      <c r="A172" s="1" t="n"/>
      <c r="B172" s="30" t="n"/>
      <c r="C172" s="23" t="n"/>
      <c r="D172" s="23" t="n"/>
      <c r="E172" s="26" t="n"/>
      <c r="F172" s="25" t="n"/>
      <c r="G172" s="17">
        <f>IF(D172="Sale",E172*F172,IF(D172="Return",-E172*F172,""))</f>
        <v/>
      </c>
      <c r="H172" s="17">
        <f>IFERROR(IF(D172="Sale",E172*INDEX(Products!$E$6:$E$205,MATCH(C172,Products!$B$6:$B$205,0)),IF(D172="Return",-E172*INDEX(Products!$E$6:$E$205,MATCH(C172,Products!$B$6:$B$205,0)),"")),"")</f>
        <v/>
      </c>
      <c r="I172" s="24" t="n"/>
      <c r="J172" s="1" t="n"/>
    </row>
    <row r="173">
      <c r="A173" s="1" t="n"/>
      <c r="B173" s="30" t="n"/>
      <c r="C173" s="23" t="n"/>
      <c r="D173" s="23" t="n"/>
      <c r="E173" s="26" t="n"/>
      <c r="F173" s="25" t="n"/>
      <c r="G173" s="17">
        <f>IF(D173="Sale",E173*F173,IF(D173="Return",-E173*F173,""))</f>
        <v/>
      </c>
      <c r="H173" s="17">
        <f>IFERROR(IF(D173="Sale",E173*INDEX(Products!$E$6:$E$205,MATCH(C173,Products!$B$6:$B$205,0)),IF(D173="Return",-E173*INDEX(Products!$E$6:$E$205,MATCH(C173,Products!$B$6:$B$205,0)),"")),"")</f>
        <v/>
      </c>
      <c r="I173" s="24" t="n"/>
      <c r="J173" s="1" t="n"/>
    </row>
    <row r="174">
      <c r="A174" s="1" t="n"/>
      <c r="B174" s="30" t="n"/>
      <c r="C174" s="23" t="n"/>
      <c r="D174" s="23" t="n"/>
      <c r="E174" s="26" t="n"/>
      <c r="F174" s="25" t="n"/>
      <c r="G174" s="17">
        <f>IF(D174="Sale",E174*F174,IF(D174="Return",-E174*F174,""))</f>
        <v/>
      </c>
      <c r="H174" s="17">
        <f>IFERROR(IF(D174="Sale",E174*INDEX(Products!$E$6:$E$205,MATCH(C174,Products!$B$6:$B$205,0)),IF(D174="Return",-E174*INDEX(Products!$E$6:$E$205,MATCH(C174,Products!$B$6:$B$205,0)),"")),"")</f>
        <v/>
      </c>
      <c r="I174" s="24" t="n"/>
      <c r="J174" s="1" t="n"/>
    </row>
    <row r="175">
      <c r="A175" s="1" t="n"/>
      <c r="B175" s="30" t="n"/>
      <c r="C175" s="23" t="n"/>
      <c r="D175" s="23" t="n"/>
      <c r="E175" s="26" t="n"/>
      <c r="F175" s="25" t="n"/>
      <c r="G175" s="17">
        <f>IF(D175="Sale",E175*F175,IF(D175="Return",-E175*F175,""))</f>
        <v/>
      </c>
      <c r="H175" s="17">
        <f>IFERROR(IF(D175="Sale",E175*INDEX(Products!$E$6:$E$205,MATCH(C175,Products!$B$6:$B$205,0)),IF(D175="Return",-E175*INDEX(Products!$E$6:$E$205,MATCH(C175,Products!$B$6:$B$205,0)),"")),"")</f>
        <v/>
      </c>
      <c r="I175" s="24" t="n"/>
      <c r="J175" s="1" t="n"/>
    </row>
    <row r="176">
      <c r="A176" s="1" t="n"/>
      <c r="B176" s="30" t="n"/>
      <c r="C176" s="23" t="n"/>
      <c r="D176" s="23" t="n"/>
      <c r="E176" s="26" t="n"/>
      <c r="F176" s="25" t="n"/>
      <c r="G176" s="17">
        <f>IF(D176="Sale",E176*F176,IF(D176="Return",-E176*F176,""))</f>
        <v/>
      </c>
      <c r="H176" s="17">
        <f>IFERROR(IF(D176="Sale",E176*INDEX(Products!$E$6:$E$205,MATCH(C176,Products!$B$6:$B$205,0)),IF(D176="Return",-E176*INDEX(Products!$E$6:$E$205,MATCH(C176,Products!$B$6:$B$205,0)),"")),"")</f>
        <v/>
      </c>
      <c r="I176" s="24" t="n"/>
      <c r="J176" s="1" t="n"/>
    </row>
    <row r="177">
      <c r="A177" s="1" t="n"/>
      <c r="B177" s="30" t="n"/>
      <c r="C177" s="23" t="n"/>
      <c r="D177" s="23" t="n"/>
      <c r="E177" s="26" t="n"/>
      <c r="F177" s="25" t="n"/>
      <c r="G177" s="17">
        <f>IF(D177="Sale",E177*F177,IF(D177="Return",-E177*F177,""))</f>
        <v/>
      </c>
      <c r="H177" s="17">
        <f>IFERROR(IF(D177="Sale",E177*INDEX(Products!$E$6:$E$205,MATCH(C177,Products!$B$6:$B$205,0)),IF(D177="Return",-E177*INDEX(Products!$E$6:$E$205,MATCH(C177,Products!$B$6:$B$205,0)),"")),"")</f>
        <v/>
      </c>
      <c r="I177" s="24" t="n"/>
      <c r="J177" s="1" t="n"/>
    </row>
    <row r="178">
      <c r="A178" s="1" t="n"/>
      <c r="B178" s="30" t="n"/>
      <c r="C178" s="23" t="n"/>
      <c r="D178" s="23" t="n"/>
      <c r="E178" s="26" t="n"/>
      <c r="F178" s="25" t="n"/>
      <c r="G178" s="17">
        <f>IF(D178="Sale",E178*F178,IF(D178="Return",-E178*F178,""))</f>
        <v/>
      </c>
      <c r="H178" s="17">
        <f>IFERROR(IF(D178="Sale",E178*INDEX(Products!$E$6:$E$205,MATCH(C178,Products!$B$6:$B$205,0)),IF(D178="Return",-E178*INDEX(Products!$E$6:$E$205,MATCH(C178,Products!$B$6:$B$205,0)),"")),"")</f>
        <v/>
      </c>
      <c r="I178" s="24" t="n"/>
      <c r="J178" s="1" t="n"/>
    </row>
    <row r="179">
      <c r="A179" s="1" t="n"/>
      <c r="B179" s="30" t="n"/>
      <c r="C179" s="23" t="n"/>
      <c r="D179" s="23" t="n"/>
      <c r="E179" s="26" t="n"/>
      <c r="F179" s="25" t="n"/>
      <c r="G179" s="17">
        <f>IF(D179="Sale",E179*F179,IF(D179="Return",-E179*F179,""))</f>
        <v/>
      </c>
      <c r="H179" s="17">
        <f>IFERROR(IF(D179="Sale",E179*INDEX(Products!$E$6:$E$205,MATCH(C179,Products!$B$6:$B$205,0)),IF(D179="Return",-E179*INDEX(Products!$E$6:$E$205,MATCH(C179,Products!$B$6:$B$205,0)),"")),"")</f>
        <v/>
      </c>
      <c r="I179" s="24" t="n"/>
      <c r="J179" s="1" t="n"/>
    </row>
    <row r="180">
      <c r="A180" s="1" t="n"/>
      <c r="B180" s="30" t="n"/>
      <c r="C180" s="23" t="n"/>
      <c r="D180" s="23" t="n"/>
      <c r="E180" s="26" t="n"/>
      <c r="F180" s="25" t="n"/>
      <c r="G180" s="17">
        <f>IF(D180="Sale",E180*F180,IF(D180="Return",-E180*F180,""))</f>
        <v/>
      </c>
      <c r="H180" s="17">
        <f>IFERROR(IF(D180="Sale",E180*INDEX(Products!$E$6:$E$205,MATCH(C180,Products!$B$6:$B$205,0)),IF(D180="Return",-E180*INDEX(Products!$E$6:$E$205,MATCH(C180,Products!$B$6:$B$205,0)),"")),"")</f>
        <v/>
      </c>
      <c r="I180" s="24" t="n"/>
      <c r="J180" s="1" t="n"/>
    </row>
    <row r="181">
      <c r="A181" s="1" t="n"/>
      <c r="B181" s="30" t="n"/>
      <c r="C181" s="23" t="n"/>
      <c r="D181" s="23" t="n"/>
      <c r="E181" s="26" t="n"/>
      <c r="F181" s="25" t="n"/>
      <c r="G181" s="17">
        <f>IF(D181="Sale",E181*F181,IF(D181="Return",-E181*F181,""))</f>
        <v/>
      </c>
      <c r="H181" s="17">
        <f>IFERROR(IF(D181="Sale",E181*INDEX(Products!$E$6:$E$205,MATCH(C181,Products!$B$6:$B$205,0)),IF(D181="Return",-E181*INDEX(Products!$E$6:$E$205,MATCH(C181,Products!$B$6:$B$205,0)),"")),"")</f>
        <v/>
      </c>
      <c r="I181" s="24" t="n"/>
      <c r="J181" s="1" t="n"/>
    </row>
    <row r="182">
      <c r="A182" s="1" t="n"/>
      <c r="B182" s="30" t="n"/>
      <c r="C182" s="23" t="n"/>
      <c r="D182" s="23" t="n"/>
      <c r="E182" s="26" t="n"/>
      <c r="F182" s="25" t="n"/>
      <c r="G182" s="17">
        <f>IF(D182="Sale",E182*F182,IF(D182="Return",-E182*F182,""))</f>
        <v/>
      </c>
      <c r="H182" s="17">
        <f>IFERROR(IF(D182="Sale",E182*INDEX(Products!$E$6:$E$205,MATCH(C182,Products!$B$6:$B$205,0)),IF(D182="Return",-E182*INDEX(Products!$E$6:$E$205,MATCH(C182,Products!$B$6:$B$205,0)),"")),"")</f>
        <v/>
      </c>
      <c r="I182" s="24" t="n"/>
      <c r="J182" s="1" t="n"/>
    </row>
    <row r="183">
      <c r="A183" s="1" t="n"/>
      <c r="B183" s="30" t="n"/>
      <c r="C183" s="23" t="n"/>
      <c r="D183" s="23" t="n"/>
      <c r="E183" s="26" t="n"/>
      <c r="F183" s="25" t="n"/>
      <c r="G183" s="17">
        <f>IF(D183="Sale",E183*F183,IF(D183="Return",-E183*F183,""))</f>
        <v/>
      </c>
      <c r="H183" s="17">
        <f>IFERROR(IF(D183="Sale",E183*INDEX(Products!$E$6:$E$205,MATCH(C183,Products!$B$6:$B$205,0)),IF(D183="Return",-E183*INDEX(Products!$E$6:$E$205,MATCH(C183,Products!$B$6:$B$205,0)),"")),"")</f>
        <v/>
      </c>
      <c r="I183" s="24" t="n"/>
      <c r="J183" s="1" t="n"/>
    </row>
    <row r="184">
      <c r="A184" s="1" t="n"/>
      <c r="B184" s="30" t="n"/>
      <c r="C184" s="23" t="n"/>
      <c r="D184" s="23" t="n"/>
      <c r="E184" s="26" t="n"/>
      <c r="F184" s="25" t="n"/>
      <c r="G184" s="17">
        <f>IF(D184="Sale",E184*F184,IF(D184="Return",-E184*F184,""))</f>
        <v/>
      </c>
      <c r="H184" s="17">
        <f>IFERROR(IF(D184="Sale",E184*INDEX(Products!$E$6:$E$205,MATCH(C184,Products!$B$6:$B$205,0)),IF(D184="Return",-E184*INDEX(Products!$E$6:$E$205,MATCH(C184,Products!$B$6:$B$205,0)),"")),"")</f>
        <v/>
      </c>
      <c r="I184" s="24" t="n"/>
      <c r="J184" s="1" t="n"/>
    </row>
    <row r="185">
      <c r="A185" s="1" t="n"/>
      <c r="B185" s="30" t="n"/>
      <c r="C185" s="23" t="n"/>
      <c r="D185" s="23" t="n"/>
      <c r="E185" s="26" t="n"/>
      <c r="F185" s="25" t="n"/>
      <c r="G185" s="17">
        <f>IF(D185="Sale",E185*F185,IF(D185="Return",-E185*F185,""))</f>
        <v/>
      </c>
      <c r="H185" s="17">
        <f>IFERROR(IF(D185="Sale",E185*INDEX(Products!$E$6:$E$205,MATCH(C185,Products!$B$6:$B$205,0)),IF(D185="Return",-E185*INDEX(Products!$E$6:$E$205,MATCH(C185,Products!$B$6:$B$205,0)),"")),"")</f>
        <v/>
      </c>
      <c r="I185" s="24" t="n"/>
      <c r="J185" s="1" t="n"/>
    </row>
    <row r="186">
      <c r="A186" s="1" t="n"/>
      <c r="B186" s="30" t="n"/>
      <c r="C186" s="23" t="n"/>
      <c r="D186" s="23" t="n"/>
      <c r="E186" s="26" t="n"/>
      <c r="F186" s="25" t="n"/>
      <c r="G186" s="17">
        <f>IF(D186="Sale",E186*F186,IF(D186="Return",-E186*F186,""))</f>
        <v/>
      </c>
      <c r="H186" s="17">
        <f>IFERROR(IF(D186="Sale",E186*INDEX(Products!$E$6:$E$205,MATCH(C186,Products!$B$6:$B$205,0)),IF(D186="Return",-E186*INDEX(Products!$E$6:$E$205,MATCH(C186,Products!$B$6:$B$205,0)),"")),"")</f>
        <v/>
      </c>
      <c r="I186" s="24" t="n"/>
      <c r="J186" s="1" t="n"/>
    </row>
    <row r="187">
      <c r="A187" s="1" t="n"/>
      <c r="B187" s="30" t="n"/>
      <c r="C187" s="23" t="n"/>
      <c r="D187" s="23" t="n"/>
      <c r="E187" s="26" t="n"/>
      <c r="F187" s="25" t="n"/>
      <c r="G187" s="17">
        <f>IF(D187="Sale",E187*F187,IF(D187="Return",-E187*F187,""))</f>
        <v/>
      </c>
      <c r="H187" s="17">
        <f>IFERROR(IF(D187="Sale",E187*INDEX(Products!$E$6:$E$205,MATCH(C187,Products!$B$6:$B$205,0)),IF(D187="Return",-E187*INDEX(Products!$E$6:$E$205,MATCH(C187,Products!$B$6:$B$205,0)),"")),"")</f>
        <v/>
      </c>
      <c r="I187" s="24" t="n"/>
      <c r="J187" s="1" t="n"/>
    </row>
    <row r="188">
      <c r="A188" s="1" t="n"/>
      <c r="B188" s="30" t="n"/>
      <c r="C188" s="23" t="n"/>
      <c r="D188" s="23" t="n"/>
      <c r="E188" s="26" t="n"/>
      <c r="F188" s="25" t="n"/>
      <c r="G188" s="17">
        <f>IF(D188="Sale",E188*F188,IF(D188="Return",-E188*F188,""))</f>
        <v/>
      </c>
      <c r="H188" s="17">
        <f>IFERROR(IF(D188="Sale",E188*INDEX(Products!$E$6:$E$205,MATCH(C188,Products!$B$6:$B$205,0)),IF(D188="Return",-E188*INDEX(Products!$E$6:$E$205,MATCH(C188,Products!$B$6:$B$205,0)),"")),"")</f>
        <v/>
      </c>
      <c r="I188" s="24" t="n"/>
      <c r="J188" s="1" t="n"/>
    </row>
    <row r="189">
      <c r="A189" s="1" t="n"/>
      <c r="B189" s="30" t="n"/>
      <c r="C189" s="23" t="n"/>
      <c r="D189" s="23" t="n"/>
      <c r="E189" s="26" t="n"/>
      <c r="F189" s="25" t="n"/>
      <c r="G189" s="17">
        <f>IF(D189="Sale",E189*F189,IF(D189="Return",-E189*F189,""))</f>
        <v/>
      </c>
      <c r="H189" s="17">
        <f>IFERROR(IF(D189="Sale",E189*INDEX(Products!$E$6:$E$205,MATCH(C189,Products!$B$6:$B$205,0)),IF(D189="Return",-E189*INDEX(Products!$E$6:$E$205,MATCH(C189,Products!$B$6:$B$205,0)),"")),"")</f>
        <v/>
      </c>
      <c r="I189" s="24" t="n"/>
      <c r="J189" s="1" t="n"/>
    </row>
    <row r="190">
      <c r="A190" s="1" t="n"/>
      <c r="B190" s="30" t="n"/>
      <c r="C190" s="23" t="n"/>
      <c r="D190" s="23" t="n"/>
      <c r="E190" s="26" t="n"/>
      <c r="F190" s="25" t="n"/>
      <c r="G190" s="17">
        <f>IF(D190="Sale",E190*F190,IF(D190="Return",-E190*F190,""))</f>
        <v/>
      </c>
      <c r="H190" s="17">
        <f>IFERROR(IF(D190="Sale",E190*INDEX(Products!$E$6:$E$205,MATCH(C190,Products!$B$6:$B$205,0)),IF(D190="Return",-E190*INDEX(Products!$E$6:$E$205,MATCH(C190,Products!$B$6:$B$205,0)),"")),"")</f>
        <v/>
      </c>
      <c r="I190" s="24" t="n"/>
      <c r="J190" s="1" t="n"/>
    </row>
    <row r="191">
      <c r="A191" s="1" t="n"/>
      <c r="B191" s="30" t="n"/>
      <c r="C191" s="23" t="n"/>
      <c r="D191" s="23" t="n"/>
      <c r="E191" s="26" t="n"/>
      <c r="F191" s="25" t="n"/>
      <c r="G191" s="17">
        <f>IF(D191="Sale",E191*F191,IF(D191="Return",-E191*F191,""))</f>
        <v/>
      </c>
      <c r="H191" s="17">
        <f>IFERROR(IF(D191="Sale",E191*INDEX(Products!$E$6:$E$205,MATCH(C191,Products!$B$6:$B$205,0)),IF(D191="Return",-E191*INDEX(Products!$E$6:$E$205,MATCH(C191,Products!$B$6:$B$205,0)),"")),"")</f>
        <v/>
      </c>
      <c r="I191" s="24" t="n"/>
      <c r="J191" s="1" t="n"/>
    </row>
    <row r="192">
      <c r="A192" s="1" t="n"/>
      <c r="B192" s="30" t="n"/>
      <c r="C192" s="23" t="n"/>
      <c r="D192" s="23" t="n"/>
      <c r="E192" s="26" t="n"/>
      <c r="F192" s="25" t="n"/>
      <c r="G192" s="17">
        <f>IF(D192="Sale",E192*F192,IF(D192="Return",-E192*F192,""))</f>
        <v/>
      </c>
      <c r="H192" s="17">
        <f>IFERROR(IF(D192="Sale",E192*INDEX(Products!$E$6:$E$205,MATCH(C192,Products!$B$6:$B$205,0)),IF(D192="Return",-E192*INDEX(Products!$E$6:$E$205,MATCH(C192,Products!$B$6:$B$205,0)),"")),"")</f>
        <v/>
      </c>
      <c r="I192" s="24" t="n"/>
      <c r="J192" s="1" t="n"/>
    </row>
    <row r="193">
      <c r="A193" s="1" t="n"/>
      <c r="B193" s="30" t="n"/>
      <c r="C193" s="23" t="n"/>
      <c r="D193" s="23" t="n"/>
      <c r="E193" s="26" t="n"/>
      <c r="F193" s="25" t="n"/>
      <c r="G193" s="17">
        <f>IF(D193="Sale",E193*F193,IF(D193="Return",-E193*F193,""))</f>
        <v/>
      </c>
      <c r="H193" s="17">
        <f>IFERROR(IF(D193="Sale",E193*INDEX(Products!$E$6:$E$205,MATCH(C193,Products!$B$6:$B$205,0)),IF(D193="Return",-E193*INDEX(Products!$E$6:$E$205,MATCH(C193,Products!$B$6:$B$205,0)),"")),"")</f>
        <v/>
      </c>
      <c r="I193" s="24" t="n"/>
      <c r="J193" s="1" t="n"/>
    </row>
    <row r="194">
      <c r="A194" s="1" t="n"/>
      <c r="B194" s="30" t="n"/>
      <c r="C194" s="23" t="n"/>
      <c r="D194" s="23" t="n"/>
      <c r="E194" s="26" t="n"/>
      <c r="F194" s="25" t="n"/>
      <c r="G194" s="17">
        <f>IF(D194="Sale",E194*F194,IF(D194="Return",-E194*F194,""))</f>
        <v/>
      </c>
      <c r="H194" s="17">
        <f>IFERROR(IF(D194="Sale",E194*INDEX(Products!$E$6:$E$205,MATCH(C194,Products!$B$6:$B$205,0)),IF(D194="Return",-E194*INDEX(Products!$E$6:$E$205,MATCH(C194,Products!$B$6:$B$205,0)),"")),"")</f>
        <v/>
      </c>
      <c r="I194" s="24" t="n"/>
      <c r="J194" s="1" t="n"/>
    </row>
    <row r="195">
      <c r="A195" s="1" t="n"/>
      <c r="B195" s="30" t="n"/>
      <c r="C195" s="23" t="n"/>
      <c r="D195" s="23" t="n"/>
      <c r="E195" s="26" t="n"/>
      <c r="F195" s="25" t="n"/>
      <c r="G195" s="17">
        <f>IF(D195="Sale",E195*F195,IF(D195="Return",-E195*F195,""))</f>
        <v/>
      </c>
      <c r="H195" s="17">
        <f>IFERROR(IF(D195="Sale",E195*INDEX(Products!$E$6:$E$205,MATCH(C195,Products!$B$6:$B$205,0)),IF(D195="Return",-E195*INDEX(Products!$E$6:$E$205,MATCH(C195,Products!$B$6:$B$205,0)),"")),"")</f>
        <v/>
      </c>
      <c r="I195" s="24" t="n"/>
      <c r="J195" s="1" t="n"/>
    </row>
    <row r="196">
      <c r="A196" s="1" t="n"/>
      <c r="B196" s="30" t="n"/>
      <c r="C196" s="23" t="n"/>
      <c r="D196" s="23" t="n"/>
      <c r="E196" s="26" t="n"/>
      <c r="F196" s="25" t="n"/>
      <c r="G196" s="17">
        <f>IF(D196="Sale",E196*F196,IF(D196="Return",-E196*F196,""))</f>
        <v/>
      </c>
      <c r="H196" s="17">
        <f>IFERROR(IF(D196="Sale",E196*INDEX(Products!$E$6:$E$205,MATCH(C196,Products!$B$6:$B$205,0)),IF(D196="Return",-E196*INDEX(Products!$E$6:$E$205,MATCH(C196,Products!$B$6:$B$205,0)),"")),"")</f>
        <v/>
      </c>
      <c r="I196" s="24" t="n"/>
      <c r="J196" s="1" t="n"/>
    </row>
    <row r="197">
      <c r="A197" s="1" t="n"/>
      <c r="B197" s="30" t="n"/>
      <c r="C197" s="23" t="n"/>
      <c r="D197" s="23" t="n"/>
      <c r="E197" s="26" t="n"/>
      <c r="F197" s="25" t="n"/>
      <c r="G197" s="17">
        <f>IF(D197="Sale",E197*F197,IF(D197="Return",-E197*F197,""))</f>
        <v/>
      </c>
      <c r="H197" s="17">
        <f>IFERROR(IF(D197="Sale",E197*INDEX(Products!$E$6:$E$205,MATCH(C197,Products!$B$6:$B$205,0)),IF(D197="Return",-E197*INDEX(Products!$E$6:$E$205,MATCH(C197,Products!$B$6:$B$205,0)),"")),"")</f>
        <v/>
      </c>
      <c r="I197" s="24" t="n"/>
      <c r="J197" s="1" t="n"/>
    </row>
    <row r="198">
      <c r="A198" s="1" t="n"/>
      <c r="B198" s="30" t="n"/>
      <c r="C198" s="23" t="n"/>
      <c r="D198" s="23" t="n"/>
      <c r="E198" s="26" t="n"/>
      <c r="F198" s="25" t="n"/>
      <c r="G198" s="17">
        <f>IF(D198="Sale",E198*F198,IF(D198="Return",-E198*F198,""))</f>
        <v/>
      </c>
      <c r="H198" s="17">
        <f>IFERROR(IF(D198="Sale",E198*INDEX(Products!$E$6:$E$205,MATCH(C198,Products!$B$6:$B$205,0)),IF(D198="Return",-E198*INDEX(Products!$E$6:$E$205,MATCH(C198,Products!$B$6:$B$205,0)),"")),"")</f>
        <v/>
      </c>
      <c r="I198" s="24" t="n"/>
      <c r="J198" s="1" t="n"/>
    </row>
    <row r="199">
      <c r="A199" s="1" t="n"/>
      <c r="B199" s="30" t="n"/>
      <c r="C199" s="23" t="n"/>
      <c r="D199" s="23" t="n"/>
      <c r="E199" s="26" t="n"/>
      <c r="F199" s="25" t="n"/>
      <c r="G199" s="17">
        <f>IF(D199="Sale",E199*F199,IF(D199="Return",-E199*F199,""))</f>
        <v/>
      </c>
      <c r="H199" s="17">
        <f>IFERROR(IF(D199="Sale",E199*INDEX(Products!$E$6:$E$205,MATCH(C199,Products!$B$6:$B$205,0)),IF(D199="Return",-E199*INDEX(Products!$E$6:$E$205,MATCH(C199,Products!$B$6:$B$205,0)),"")),"")</f>
        <v/>
      </c>
      <c r="I199" s="24" t="n"/>
      <c r="J199" s="1" t="n"/>
    </row>
    <row r="200">
      <c r="A200" s="1" t="n"/>
      <c r="B200" s="30" t="n"/>
      <c r="C200" s="23" t="n"/>
      <c r="D200" s="23" t="n"/>
      <c r="E200" s="26" t="n"/>
      <c r="F200" s="25" t="n"/>
      <c r="G200" s="17">
        <f>IF(D200="Sale",E200*F200,IF(D200="Return",-E200*F200,""))</f>
        <v/>
      </c>
      <c r="H200" s="17">
        <f>IFERROR(IF(D200="Sale",E200*INDEX(Products!$E$6:$E$205,MATCH(C200,Products!$B$6:$B$205,0)),IF(D200="Return",-E200*INDEX(Products!$E$6:$E$205,MATCH(C200,Products!$B$6:$B$205,0)),"")),"")</f>
        <v/>
      </c>
      <c r="I200" s="24" t="n"/>
      <c r="J200" s="1" t="n"/>
    </row>
    <row r="201">
      <c r="A201" s="1" t="n"/>
      <c r="B201" s="30" t="n"/>
      <c r="C201" s="23" t="n"/>
      <c r="D201" s="23" t="n"/>
      <c r="E201" s="26" t="n"/>
      <c r="F201" s="25" t="n"/>
      <c r="G201" s="17">
        <f>IF(D201="Sale",E201*F201,IF(D201="Return",-E201*F201,""))</f>
        <v/>
      </c>
      <c r="H201" s="17">
        <f>IFERROR(IF(D201="Sale",E201*INDEX(Products!$E$6:$E$205,MATCH(C201,Products!$B$6:$B$205,0)),IF(D201="Return",-E201*INDEX(Products!$E$6:$E$205,MATCH(C201,Products!$B$6:$B$205,0)),"")),"")</f>
        <v/>
      </c>
      <c r="I201" s="24" t="n"/>
      <c r="J201" s="1" t="n"/>
    </row>
    <row r="202">
      <c r="A202" s="1" t="n"/>
      <c r="B202" s="30" t="n"/>
      <c r="C202" s="23" t="n"/>
      <c r="D202" s="23" t="n"/>
      <c r="E202" s="26" t="n"/>
      <c r="F202" s="25" t="n"/>
      <c r="G202" s="17">
        <f>IF(D202="Sale",E202*F202,IF(D202="Return",-E202*F202,""))</f>
        <v/>
      </c>
      <c r="H202" s="17">
        <f>IFERROR(IF(D202="Sale",E202*INDEX(Products!$E$6:$E$205,MATCH(C202,Products!$B$6:$B$205,0)),IF(D202="Return",-E202*INDEX(Products!$E$6:$E$205,MATCH(C202,Products!$B$6:$B$205,0)),"")),"")</f>
        <v/>
      </c>
      <c r="I202" s="24" t="n"/>
      <c r="J202" s="1" t="n"/>
    </row>
    <row r="203">
      <c r="A203" s="1" t="n"/>
      <c r="B203" s="30" t="n"/>
      <c r="C203" s="23" t="n"/>
      <c r="D203" s="23" t="n"/>
      <c r="E203" s="26" t="n"/>
      <c r="F203" s="25" t="n"/>
      <c r="G203" s="17">
        <f>IF(D203="Sale",E203*F203,IF(D203="Return",-E203*F203,""))</f>
        <v/>
      </c>
      <c r="H203" s="17">
        <f>IFERROR(IF(D203="Sale",E203*INDEX(Products!$E$6:$E$205,MATCH(C203,Products!$B$6:$B$205,0)),IF(D203="Return",-E203*INDEX(Products!$E$6:$E$205,MATCH(C203,Products!$B$6:$B$205,0)),"")),"")</f>
        <v/>
      </c>
      <c r="I203" s="24" t="n"/>
      <c r="J203" s="1" t="n"/>
    </row>
    <row r="204">
      <c r="A204" s="1" t="n"/>
      <c r="B204" s="30" t="n"/>
      <c r="C204" s="23" t="n"/>
      <c r="D204" s="23" t="n"/>
      <c r="E204" s="26" t="n"/>
      <c r="F204" s="25" t="n"/>
      <c r="G204" s="17">
        <f>IF(D204="Sale",E204*F204,IF(D204="Return",-E204*F204,""))</f>
        <v/>
      </c>
      <c r="H204" s="17">
        <f>IFERROR(IF(D204="Sale",E204*INDEX(Products!$E$6:$E$205,MATCH(C204,Products!$B$6:$B$205,0)),IF(D204="Return",-E204*INDEX(Products!$E$6:$E$205,MATCH(C204,Products!$B$6:$B$205,0)),"")),"")</f>
        <v/>
      </c>
      <c r="I204" s="24" t="n"/>
      <c r="J204" s="1" t="n"/>
    </row>
    <row r="205">
      <c r="A205" s="1" t="n"/>
      <c r="B205" s="30" t="n"/>
      <c r="C205" s="23" t="n"/>
      <c r="D205" s="23" t="n"/>
      <c r="E205" s="26" t="n"/>
      <c r="F205" s="25" t="n"/>
      <c r="G205" s="17">
        <f>IF(D205="Sale",E205*F205,IF(D205="Return",-E205*F205,""))</f>
        <v/>
      </c>
      <c r="H205" s="17">
        <f>IFERROR(IF(D205="Sale",E205*INDEX(Products!$E$6:$E$205,MATCH(C205,Products!$B$6:$B$205,0)),IF(D205="Return",-E205*INDEX(Products!$E$6:$E$205,MATCH(C205,Products!$B$6:$B$205,0)),"")),"")</f>
        <v/>
      </c>
      <c r="I205" s="24" t="n"/>
      <c r="J205" s="1" t="n"/>
    </row>
    <row r="206">
      <c r="A206" s="1" t="n"/>
      <c r="B206" s="30" t="n"/>
      <c r="C206" s="23" t="n"/>
      <c r="D206" s="23" t="n"/>
      <c r="E206" s="26" t="n"/>
      <c r="F206" s="25" t="n"/>
      <c r="G206" s="17">
        <f>IF(D206="Sale",E206*F206,IF(D206="Return",-E206*F206,""))</f>
        <v/>
      </c>
      <c r="H206" s="17">
        <f>IFERROR(IF(D206="Sale",E206*INDEX(Products!$E$6:$E$205,MATCH(C206,Products!$B$6:$B$205,0)),IF(D206="Return",-E206*INDEX(Products!$E$6:$E$205,MATCH(C206,Products!$B$6:$B$205,0)),"")),"")</f>
        <v/>
      </c>
      <c r="I206" s="24" t="n"/>
      <c r="J206" s="1" t="n"/>
    </row>
    <row r="207">
      <c r="A207" s="1" t="n"/>
      <c r="B207" s="30" t="n"/>
      <c r="C207" s="23" t="n"/>
      <c r="D207" s="23" t="n"/>
      <c r="E207" s="26" t="n"/>
      <c r="F207" s="25" t="n"/>
      <c r="G207" s="17">
        <f>IF(D207="Sale",E207*F207,IF(D207="Return",-E207*F207,""))</f>
        <v/>
      </c>
      <c r="H207" s="17">
        <f>IFERROR(IF(D207="Sale",E207*INDEX(Products!$E$6:$E$205,MATCH(C207,Products!$B$6:$B$205,0)),IF(D207="Return",-E207*INDEX(Products!$E$6:$E$205,MATCH(C207,Products!$B$6:$B$205,0)),"")),"")</f>
        <v/>
      </c>
      <c r="I207" s="24" t="n"/>
      <c r="J207" s="1" t="n"/>
    </row>
    <row r="208">
      <c r="A208" s="1" t="n"/>
      <c r="B208" s="30" t="n"/>
      <c r="C208" s="23" t="n"/>
      <c r="D208" s="23" t="n"/>
      <c r="E208" s="26" t="n"/>
      <c r="F208" s="25" t="n"/>
      <c r="G208" s="17">
        <f>IF(D208="Sale",E208*F208,IF(D208="Return",-E208*F208,""))</f>
        <v/>
      </c>
      <c r="H208" s="17">
        <f>IFERROR(IF(D208="Sale",E208*INDEX(Products!$E$6:$E$205,MATCH(C208,Products!$B$6:$B$205,0)),IF(D208="Return",-E208*INDEX(Products!$E$6:$E$205,MATCH(C208,Products!$B$6:$B$205,0)),"")),"")</f>
        <v/>
      </c>
      <c r="I208" s="24" t="n"/>
      <c r="J208" s="1" t="n"/>
    </row>
    <row r="209">
      <c r="A209" s="1" t="n"/>
      <c r="B209" s="30" t="n"/>
      <c r="C209" s="23" t="n"/>
      <c r="D209" s="23" t="n"/>
      <c r="E209" s="26" t="n"/>
      <c r="F209" s="25" t="n"/>
      <c r="G209" s="17">
        <f>IF(D209="Sale",E209*F209,IF(D209="Return",-E209*F209,""))</f>
        <v/>
      </c>
      <c r="H209" s="17">
        <f>IFERROR(IF(D209="Sale",E209*INDEX(Products!$E$6:$E$205,MATCH(C209,Products!$B$6:$B$205,0)),IF(D209="Return",-E209*INDEX(Products!$E$6:$E$205,MATCH(C209,Products!$B$6:$B$205,0)),"")),"")</f>
        <v/>
      </c>
      <c r="I209" s="24" t="n"/>
      <c r="J209" s="1" t="n"/>
    </row>
    <row r="210">
      <c r="A210" s="1" t="n"/>
      <c r="B210" s="30" t="n"/>
      <c r="C210" s="23" t="n"/>
      <c r="D210" s="23" t="n"/>
      <c r="E210" s="26" t="n"/>
      <c r="F210" s="25" t="n"/>
      <c r="G210" s="17">
        <f>IF(D210="Sale",E210*F210,IF(D210="Return",-E210*F210,""))</f>
        <v/>
      </c>
      <c r="H210" s="17">
        <f>IFERROR(IF(D210="Sale",E210*INDEX(Products!$E$6:$E$205,MATCH(C210,Products!$B$6:$B$205,0)),IF(D210="Return",-E210*INDEX(Products!$E$6:$E$205,MATCH(C210,Products!$B$6:$B$205,0)),"")),"")</f>
        <v/>
      </c>
      <c r="I210" s="24" t="n"/>
      <c r="J210" s="1" t="n"/>
    </row>
    <row r="211">
      <c r="A211" s="1" t="n"/>
      <c r="B211" s="30" t="n"/>
      <c r="C211" s="23" t="n"/>
      <c r="D211" s="23" t="n"/>
      <c r="E211" s="26" t="n"/>
      <c r="F211" s="25" t="n"/>
      <c r="G211" s="17">
        <f>IF(D211="Sale",E211*F211,IF(D211="Return",-E211*F211,""))</f>
        <v/>
      </c>
      <c r="H211" s="17">
        <f>IFERROR(IF(D211="Sale",E211*INDEX(Products!$E$6:$E$205,MATCH(C211,Products!$B$6:$B$205,0)),IF(D211="Return",-E211*INDEX(Products!$E$6:$E$205,MATCH(C211,Products!$B$6:$B$205,0)),"")),"")</f>
        <v/>
      </c>
      <c r="I211" s="24" t="n"/>
      <c r="J211" s="1" t="n"/>
    </row>
    <row r="212">
      <c r="A212" s="1" t="n"/>
      <c r="B212" s="30" t="n"/>
      <c r="C212" s="23" t="n"/>
      <c r="D212" s="23" t="n"/>
      <c r="E212" s="26" t="n"/>
      <c r="F212" s="25" t="n"/>
      <c r="G212" s="17">
        <f>IF(D212="Sale",E212*F212,IF(D212="Return",-E212*F212,""))</f>
        <v/>
      </c>
      <c r="H212" s="17">
        <f>IFERROR(IF(D212="Sale",E212*INDEX(Products!$E$6:$E$205,MATCH(C212,Products!$B$6:$B$205,0)),IF(D212="Return",-E212*INDEX(Products!$E$6:$E$205,MATCH(C212,Products!$B$6:$B$205,0)),"")),"")</f>
        <v/>
      </c>
      <c r="I212" s="24" t="n"/>
      <c r="J212" s="1" t="n"/>
    </row>
    <row r="213">
      <c r="A213" s="1" t="n"/>
      <c r="B213" s="30" t="n"/>
      <c r="C213" s="23" t="n"/>
      <c r="D213" s="23" t="n"/>
      <c r="E213" s="26" t="n"/>
      <c r="F213" s="25" t="n"/>
      <c r="G213" s="17">
        <f>IF(D213="Sale",E213*F213,IF(D213="Return",-E213*F213,""))</f>
        <v/>
      </c>
      <c r="H213" s="17">
        <f>IFERROR(IF(D213="Sale",E213*INDEX(Products!$E$6:$E$205,MATCH(C213,Products!$B$6:$B$205,0)),IF(D213="Return",-E213*INDEX(Products!$E$6:$E$205,MATCH(C213,Products!$B$6:$B$205,0)),"")),"")</f>
        <v/>
      </c>
      <c r="I213" s="24" t="n"/>
      <c r="J213" s="1" t="n"/>
    </row>
    <row r="214">
      <c r="A214" s="1" t="n"/>
      <c r="B214" s="30" t="n"/>
      <c r="C214" s="23" t="n"/>
      <c r="D214" s="23" t="n"/>
      <c r="E214" s="26" t="n"/>
      <c r="F214" s="25" t="n"/>
      <c r="G214" s="17">
        <f>IF(D214="Sale",E214*F214,IF(D214="Return",-E214*F214,""))</f>
        <v/>
      </c>
      <c r="H214" s="17">
        <f>IFERROR(IF(D214="Sale",E214*INDEX(Products!$E$6:$E$205,MATCH(C214,Products!$B$6:$B$205,0)),IF(D214="Return",-E214*INDEX(Products!$E$6:$E$205,MATCH(C214,Products!$B$6:$B$205,0)),"")),"")</f>
        <v/>
      </c>
      <c r="I214" s="24" t="n"/>
      <c r="J214" s="1" t="n"/>
    </row>
    <row r="215">
      <c r="A215" s="1" t="n"/>
      <c r="B215" s="30" t="n"/>
      <c r="C215" s="23" t="n"/>
      <c r="D215" s="23" t="n"/>
      <c r="E215" s="26" t="n"/>
      <c r="F215" s="25" t="n"/>
      <c r="G215" s="17">
        <f>IF(D215="Sale",E215*F215,IF(D215="Return",-E215*F215,""))</f>
        <v/>
      </c>
      <c r="H215" s="17">
        <f>IFERROR(IF(D215="Sale",E215*INDEX(Products!$E$6:$E$205,MATCH(C215,Products!$B$6:$B$205,0)),IF(D215="Return",-E215*INDEX(Products!$E$6:$E$205,MATCH(C215,Products!$B$6:$B$205,0)),"")),"")</f>
        <v/>
      </c>
      <c r="I215" s="24" t="n"/>
      <c r="J215" s="1" t="n"/>
    </row>
    <row r="216">
      <c r="A216" s="1" t="n"/>
      <c r="B216" s="30" t="n"/>
      <c r="C216" s="23" t="n"/>
      <c r="D216" s="23" t="n"/>
      <c r="E216" s="26" t="n"/>
      <c r="F216" s="25" t="n"/>
      <c r="G216" s="17">
        <f>IF(D216="Sale",E216*F216,IF(D216="Return",-E216*F216,""))</f>
        <v/>
      </c>
      <c r="H216" s="17">
        <f>IFERROR(IF(D216="Sale",E216*INDEX(Products!$E$6:$E$205,MATCH(C216,Products!$B$6:$B$205,0)),IF(D216="Return",-E216*INDEX(Products!$E$6:$E$205,MATCH(C216,Products!$B$6:$B$205,0)),"")),"")</f>
        <v/>
      </c>
      <c r="I216" s="24" t="n"/>
      <c r="J216" s="1" t="n"/>
    </row>
    <row r="217">
      <c r="A217" s="1" t="n"/>
      <c r="B217" s="30" t="n"/>
      <c r="C217" s="23" t="n"/>
      <c r="D217" s="23" t="n"/>
      <c r="E217" s="26" t="n"/>
      <c r="F217" s="25" t="n"/>
      <c r="G217" s="17">
        <f>IF(D217="Sale",E217*F217,IF(D217="Return",-E217*F217,""))</f>
        <v/>
      </c>
      <c r="H217" s="17">
        <f>IFERROR(IF(D217="Sale",E217*INDEX(Products!$E$6:$E$205,MATCH(C217,Products!$B$6:$B$205,0)),IF(D217="Return",-E217*INDEX(Products!$E$6:$E$205,MATCH(C217,Products!$B$6:$B$205,0)),"")),"")</f>
        <v/>
      </c>
      <c r="I217" s="24" t="n"/>
      <c r="J217" s="1" t="n"/>
    </row>
    <row r="218">
      <c r="A218" s="1" t="n"/>
      <c r="B218" s="30" t="n"/>
      <c r="C218" s="23" t="n"/>
      <c r="D218" s="23" t="n"/>
      <c r="E218" s="26" t="n"/>
      <c r="F218" s="25" t="n"/>
      <c r="G218" s="17">
        <f>IF(D218="Sale",E218*F218,IF(D218="Return",-E218*F218,""))</f>
        <v/>
      </c>
      <c r="H218" s="17">
        <f>IFERROR(IF(D218="Sale",E218*INDEX(Products!$E$6:$E$205,MATCH(C218,Products!$B$6:$B$205,0)),IF(D218="Return",-E218*INDEX(Products!$E$6:$E$205,MATCH(C218,Products!$B$6:$B$205,0)),"")),"")</f>
        <v/>
      </c>
      <c r="I218" s="24" t="n"/>
      <c r="J218" s="1" t="n"/>
    </row>
    <row r="219">
      <c r="A219" s="1" t="n"/>
      <c r="B219" s="30" t="n"/>
      <c r="C219" s="23" t="n"/>
      <c r="D219" s="23" t="n"/>
      <c r="E219" s="26" t="n"/>
      <c r="F219" s="25" t="n"/>
      <c r="G219" s="17">
        <f>IF(D219="Sale",E219*F219,IF(D219="Return",-E219*F219,""))</f>
        <v/>
      </c>
      <c r="H219" s="17">
        <f>IFERROR(IF(D219="Sale",E219*INDEX(Products!$E$6:$E$205,MATCH(C219,Products!$B$6:$B$205,0)),IF(D219="Return",-E219*INDEX(Products!$E$6:$E$205,MATCH(C219,Products!$B$6:$B$205,0)),"")),"")</f>
        <v/>
      </c>
      <c r="I219" s="24" t="n"/>
      <c r="J219" s="1" t="n"/>
    </row>
    <row r="220">
      <c r="A220" s="1" t="n"/>
      <c r="B220" s="30" t="n"/>
      <c r="C220" s="23" t="n"/>
      <c r="D220" s="23" t="n"/>
      <c r="E220" s="26" t="n"/>
      <c r="F220" s="25" t="n"/>
      <c r="G220" s="17">
        <f>IF(D220="Sale",E220*F220,IF(D220="Return",-E220*F220,""))</f>
        <v/>
      </c>
      <c r="H220" s="17">
        <f>IFERROR(IF(D220="Sale",E220*INDEX(Products!$E$6:$E$205,MATCH(C220,Products!$B$6:$B$205,0)),IF(D220="Return",-E220*INDEX(Products!$E$6:$E$205,MATCH(C220,Products!$B$6:$B$205,0)),"")),"")</f>
        <v/>
      </c>
      <c r="I220" s="24" t="n"/>
      <c r="J220" s="1" t="n"/>
    </row>
    <row r="221">
      <c r="A221" s="1" t="n"/>
      <c r="B221" s="30" t="n"/>
      <c r="C221" s="23" t="n"/>
      <c r="D221" s="23" t="n"/>
      <c r="E221" s="26" t="n"/>
      <c r="F221" s="25" t="n"/>
      <c r="G221" s="17">
        <f>IF(D221="Sale",E221*F221,IF(D221="Return",-E221*F221,""))</f>
        <v/>
      </c>
      <c r="H221" s="17">
        <f>IFERROR(IF(D221="Sale",E221*INDEX(Products!$E$6:$E$205,MATCH(C221,Products!$B$6:$B$205,0)),IF(D221="Return",-E221*INDEX(Products!$E$6:$E$205,MATCH(C221,Products!$B$6:$B$205,0)),"")),"")</f>
        <v/>
      </c>
      <c r="I221" s="24" t="n"/>
      <c r="J221" s="1" t="n"/>
    </row>
    <row r="222">
      <c r="A222" s="1" t="n"/>
      <c r="B222" s="30" t="n"/>
      <c r="C222" s="23" t="n"/>
      <c r="D222" s="23" t="n"/>
      <c r="E222" s="26" t="n"/>
      <c r="F222" s="25" t="n"/>
      <c r="G222" s="17">
        <f>IF(D222="Sale",E222*F222,IF(D222="Return",-E222*F222,""))</f>
        <v/>
      </c>
      <c r="H222" s="17">
        <f>IFERROR(IF(D222="Sale",E222*INDEX(Products!$E$6:$E$205,MATCH(C222,Products!$B$6:$B$205,0)),IF(D222="Return",-E222*INDEX(Products!$E$6:$E$205,MATCH(C222,Products!$B$6:$B$205,0)),"")),"")</f>
        <v/>
      </c>
      <c r="I222" s="24" t="n"/>
      <c r="J222" s="1" t="n"/>
    </row>
    <row r="223">
      <c r="A223" s="1" t="n"/>
      <c r="B223" s="30" t="n"/>
      <c r="C223" s="23" t="n"/>
      <c r="D223" s="23" t="n"/>
      <c r="E223" s="26" t="n"/>
      <c r="F223" s="25" t="n"/>
      <c r="G223" s="17">
        <f>IF(D223="Sale",E223*F223,IF(D223="Return",-E223*F223,""))</f>
        <v/>
      </c>
      <c r="H223" s="17">
        <f>IFERROR(IF(D223="Sale",E223*INDEX(Products!$E$6:$E$205,MATCH(C223,Products!$B$6:$B$205,0)),IF(D223="Return",-E223*INDEX(Products!$E$6:$E$205,MATCH(C223,Products!$B$6:$B$205,0)),"")),"")</f>
        <v/>
      </c>
      <c r="I223" s="24" t="n"/>
      <c r="J223" s="1" t="n"/>
    </row>
    <row r="224">
      <c r="A224" s="1" t="n"/>
      <c r="B224" s="30" t="n"/>
      <c r="C224" s="23" t="n"/>
      <c r="D224" s="23" t="n"/>
      <c r="E224" s="26" t="n"/>
      <c r="F224" s="25" t="n"/>
      <c r="G224" s="17">
        <f>IF(D224="Sale",E224*F224,IF(D224="Return",-E224*F224,""))</f>
        <v/>
      </c>
      <c r="H224" s="17">
        <f>IFERROR(IF(D224="Sale",E224*INDEX(Products!$E$6:$E$205,MATCH(C224,Products!$B$6:$B$205,0)),IF(D224="Return",-E224*INDEX(Products!$E$6:$E$205,MATCH(C224,Products!$B$6:$B$205,0)),"")),"")</f>
        <v/>
      </c>
      <c r="I224" s="24" t="n"/>
      <c r="J224" s="1" t="n"/>
    </row>
    <row r="225">
      <c r="A225" s="1" t="n"/>
      <c r="B225" s="30" t="n"/>
      <c r="C225" s="23" t="n"/>
      <c r="D225" s="23" t="n"/>
      <c r="E225" s="26" t="n"/>
      <c r="F225" s="25" t="n"/>
      <c r="G225" s="17">
        <f>IF(D225="Sale",E225*F225,IF(D225="Return",-E225*F225,""))</f>
        <v/>
      </c>
      <c r="H225" s="17">
        <f>IFERROR(IF(D225="Sale",E225*INDEX(Products!$E$6:$E$205,MATCH(C225,Products!$B$6:$B$205,0)),IF(D225="Return",-E225*INDEX(Products!$E$6:$E$205,MATCH(C225,Products!$B$6:$B$205,0)),"")),"")</f>
        <v/>
      </c>
      <c r="I225" s="24" t="n"/>
      <c r="J225" s="1" t="n"/>
    </row>
    <row r="226">
      <c r="A226" s="1" t="n"/>
      <c r="B226" s="30" t="n"/>
      <c r="C226" s="23" t="n"/>
      <c r="D226" s="23" t="n"/>
      <c r="E226" s="26" t="n"/>
      <c r="F226" s="25" t="n"/>
      <c r="G226" s="17">
        <f>IF(D226="Sale",E226*F226,IF(D226="Return",-E226*F226,""))</f>
        <v/>
      </c>
      <c r="H226" s="17">
        <f>IFERROR(IF(D226="Sale",E226*INDEX(Products!$E$6:$E$205,MATCH(C226,Products!$B$6:$B$205,0)),IF(D226="Return",-E226*INDEX(Products!$E$6:$E$205,MATCH(C226,Products!$B$6:$B$205,0)),"")),"")</f>
        <v/>
      </c>
      <c r="I226" s="24" t="n"/>
      <c r="J226" s="1" t="n"/>
    </row>
    <row r="227">
      <c r="A227" s="1" t="n"/>
      <c r="B227" s="30" t="n"/>
      <c r="C227" s="23" t="n"/>
      <c r="D227" s="23" t="n"/>
      <c r="E227" s="26" t="n"/>
      <c r="F227" s="25" t="n"/>
      <c r="G227" s="17">
        <f>IF(D227="Sale",E227*F227,IF(D227="Return",-E227*F227,""))</f>
        <v/>
      </c>
      <c r="H227" s="17">
        <f>IFERROR(IF(D227="Sale",E227*INDEX(Products!$E$6:$E$205,MATCH(C227,Products!$B$6:$B$205,0)),IF(D227="Return",-E227*INDEX(Products!$E$6:$E$205,MATCH(C227,Products!$B$6:$B$205,0)),"")),"")</f>
        <v/>
      </c>
      <c r="I227" s="24" t="n"/>
      <c r="J227" s="1" t="n"/>
    </row>
    <row r="228">
      <c r="A228" s="1" t="n"/>
      <c r="B228" s="30" t="n"/>
      <c r="C228" s="23" t="n"/>
      <c r="D228" s="23" t="n"/>
      <c r="E228" s="26" t="n"/>
      <c r="F228" s="25" t="n"/>
      <c r="G228" s="17">
        <f>IF(D228="Sale",E228*F228,IF(D228="Return",-E228*F228,""))</f>
        <v/>
      </c>
      <c r="H228" s="17">
        <f>IFERROR(IF(D228="Sale",E228*INDEX(Products!$E$6:$E$205,MATCH(C228,Products!$B$6:$B$205,0)),IF(D228="Return",-E228*INDEX(Products!$E$6:$E$205,MATCH(C228,Products!$B$6:$B$205,0)),"")),"")</f>
        <v/>
      </c>
      <c r="I228" s="24" t="n"/>
      <c r="J228" s="1" t="n"/>
    </row>
    <row r="229">
      <c r="A229" s="1" t="n"/>
      <c r="B229" s="30" t="n"/>
      <c r="C229" s="23" t="n"/>
      <c r="D229" s="23" t="n"/>
      <c r="E229" s="26" t="n"/>
      <c r="F229" s="25" t="n"/>
      <c r="G229" s="17">
        <f>IF(D229="Sale",E229*F229,IF(D229="Return",-E229*F229,""))</f>
        <v/>
      </c>
      <c r="H229" s="17">
        <f>IFERROR(IF(D229="Sale",E229*INDEX(Products!$E$6:$E$205,MATCH(C229,Products!$B$6:$B$205,0)),IF(D229="Return",-E229*INDEX(Products!$E$6:$E$205,MATCH(C229,Products!$B$6:$B$205,0)),"")),"")</f>
        <v/>
      </c>
      <c r="I229" s="24" t="n"/>
      <c r="J229" s="1" t="n"/>
    </row>
    <row r="230">
      <c r="A230" s="1" t="n"/>
      <c r="B230" s="30" t="n"/>
      <c r="C230" s="23" t="n"/>
      <c r="D230" s="23" t="n"/>
      <c r="E230" s="26" t="n"/>
      <c r="F230" s="25" t="n"/>
      <c r="G230" s="17">
        <f>IF(D230="Sale",E230*F230,IF(D230="Return",-E230*F230,""))</f>
        <v/>
      </c>
      <c r="H230" s="17">
        <f>IFERROR(IF(D230="Sale",E230*INDEX(Products!$E$6:$E$205,MATCH(C230,Products!$B$6:$B$205,0)),IF(D230="Return",-E230*INDEX(Products!$E$6:$E$205,MATCH(C230,Products!$B$6:$B$205,0)),"")),"")</f>
        <v/>
      </c>
      <c r="I230" s="24" t="n"/>
      <c r="J230" s="1" t="n"/>
    </row>
    <row r="231">
      <c r="A231" s="1" t="n"/>
      <c r="B231" s="30" t="n"/>
      <c r="C231" s="23" t="n"/>
      <c r="D231" s="23" t="n"/>
      <c r="E231" s="26" t="n"/>
      <c r="F231" s="25" t="n"/>
      <c r="G231" s="17">
        <f>IF(D231="Sale",E231*F231,IF(D231="Return",-E231*F231,""))</f>
        <v/>
      </c>
      <c r="H231" s="17">
        <f>IFERROR(IF(D231="Sale",E231*INDEX(Products!$E$6:$E$205,MATCH(C231,Products!$B$6:$B$205,0)),IF(D231="Return",-E231*INDEX(Products!$E$6:$E$205,MATCH(C231,Products!$B$6:$B$205,0)),"")),"")</f>
        <v/>
      </c>
      <c r="I231" s="24" t="n"/>
      <c r="J231" s="1" t="n"/>
    </row>
    <row r="232">
      <c r="A232" s="1" t="n"/>
      <c r="B232" s="30" t="n"/>
      <c r="C232" s="23" t="n"/>
      <c r="D232" s="23" t="n"/>
      <c r="E232" s="26" t="n"/>
      <c r="F232" s="25" t="n"/>
      <c r="G232" s="17">
        <f>IF(D232="Sale",E232*F232,IF(D232="Return",-E232*F232,""))</f>
        <v/>
      </c>
      <c r="H232" s="17">
        <f>IFERROR(IF(D232="Sale",E232*INDEX(Products!$E$6:$E$205,MATCH(C232,Products!$B$6:$B$205,0)),IF(D232="Return",-E232*INDEX(Products!$E$6:$E$205,MATCH(C232,Products!$B$6:$B$205,0)),"")),"")</f>
        <v/>
      </c>
      <c r="I232" s="24" t="n"/>
      <c r="J232" s="1" t="n"/>
    </row>
    <row r="233">
      <c r="A233" s="1" t="n"/>
      <c r="B233" s="30" t="n"/>
      <c r="C233" s="23" t="n"/>
      <c r="D233" s="23" t="n"/>
      <c r="E233" s="26" t="n"/>
      <c r="F233" s="25" t="n"/>
      <c r="G233" s="17">
        <f>IF(D233="Sale",E233*F233,IF(D233="Return",-E233*F233,""))</f>
        <v/>
      </c>
      <c r="H233" s="17">
        <f>IFERROR(IF(D233="Sale",E233*INDEX(Products!$E$6:$E$205,MATCH(C233,Products!$B$6:$B$205,0)),IF(D233="Return",-E233*INDEX(Products!$E$6:$E$205,MATCH(C233,Products!$B$6:$B$205,0)),"")),"")</f>
        <v/>
      </c>
      <c r="I233" s="24" t="n"/>
      <c r="J233" s="1" t="n"/>
    </row>
    <row r="234">
      <c r="A234" s="1" t="n"/>
      <c r="B234" s="30" t="n"/>
      <c r="C234" s="23" t="n"/>
      <c r="D234" s="23" t="n"/>
      <c r="E234" s="26" t="n"/>
      <c r="F234" s="25" t="n"/>
      <c r="G234" s="17">
        <f>IF(D234="Sale",E234*F234,IF(D234="Return",-E234*F234,""))</f>
        <v/>
      </c>
      <c r="H234" s="17">
        <f>IFERROR(IF(D234="Sale",E234*INDEX(Products!$E$6:$E$205,MATCH(C234,Products!$B$6:$B$205,0)),IF(D234="Return",-E234*INDEX(Products!$E$6:$E$205,MATCH(C234,Products!$B$6:$B$205,0)),"")),"")</f>
        <v/>
      </c>
      <c r="I234" s="24" t="n"/>
      <c r="J234" s="1" t="n"/>
    </row>
    <row r="235">
      <c r="A235" s="1" t="n"/>
      <c r="B235" s="30" t="n"/>
      <c r="C235" s="23" t="n"/>
      <c r="D235" s="23" t="n"/>
      <c r="E235" s="26" t="n"/>
      <c r="F235" s="25" t="n"/>
      <c r="G235" s="17">
        <f>IF(D235="Sale",E235*F235,IF(D235="Return",-E235*F235,""))</f>
        <v/>
      </c>
      <c r="H235" s="17">
        <f>IFERROR(IF(D235="Sale",E235*INDEX(Products!$E$6:$E$205,MATCH(C235,Products!$B$6:$B$205,0)),IF(D235="Return",-E235*INDEX(Products!$E$6:$E$205,MATCH(C235,Products!$B$6:$B$205,0)),"")),"")</f>
        <v/>
      </c>
      <c r="I235" s="24" t="n"/>
      <c r="J235" s="1" t="n"/>
    </row>
    <row r="236">
      <c r="A236" s="1" t="n"/>
      <c r="B236" s="30" t="n"/>
      <c r="C236" s="23" t="n"/>
      <c r="D236" s="23" t="n"/>
      <c r="E236" s="26" t="n"/>
      <c r="F236" s="25" t="n"/>
      <c r="G236" s="17">
        <f>IF(D236="Sale",E236*F236,IF(D236="Return",-E236*F236,""))</f>
        <v/>
      </c>
      <c r="H236" s="17">
        <f>IFERROR(IF(D236="Sale",E236*INDEX(Products!$E$6:$E$205,MATCH(C236,Products!$B$6:$B$205,0)),IF(D236="Return",-E236*INDEX(Products!$E$6:$E$205,MATCH(C236,Products!$B$6:$B$205,0)),"")),"")</f>
        <v/>
      </c>
      <c r="I236" s="24" t="n"/>
      <c r="J236" s="1" t="n"/>
    </row>
    <row r="237">
      <c r="A237" s="1" t="n"/>
      <c r="B237" s="30" t="n"/>
      <c r="C237" s="23" t="n"/>
      <c r="D237" s="23" t="n"/>
      <c r="E237" s="26" t="n"/>
      <c r="F237" s="25" t="n"/>
      <c r="G237" s="17">
        <f>IF(D237="Sale",E237*F237,IF(D237="Return",-E237*F237,""))</f>
        <v/>
      </c>
      <c r="H237" s="17">
        <f>IFERROR(IF(D237="Sale",E237*INDEX(Products!$E$6:$E$205,MATCH(C237,Products!$B$6:$B$205,0)),IF(D237="Return",-E237*INDEX(Products!$E$6:$E$205,MATCH(C237,Products!$B$6:$B$205,0)),"")),"")</f>
        <v/>
      </c>
      <c r="I237" s="24" t="n"/>
      <c r="J237" s="1" t="n"/>
    </row>
    <row r="238">
      <c r="A238" s="1" t="n"/>
      <c r="B238" s="30" t="n"/>
      <c r="C238" s="23" t="n"/>
      <c r="D238" s="23" t="n"/>
      <c r="E238" s="26" t="n"/>
      <c r="F238" s="25" t="n"/>
      <c r="G238" s="17">
        <f>IF(D238="Sale",E238*F238,IF(D238="Return",-E238*F238,""))</f>
        <v/>
      </c>
      <c r="H238" s="17">
        <f>IFERROR(IF(D238="Sale",E238*INDEX(Products!$E$6:$E$205,MATCH(C238,Products!$B$6:$B$205,0)),IF(D238="Return",-E238*INDEX(Products!$E$6:$E$205,MATCH(C238,Products!$B$6:$B$205,0)),"")),"")</f>
        <v/>
      </c>
      <c r="I238" s="24" t="n"/>
      <c r="J238" s="1" t="n"/>
    </row>
    <row r="239">
      <c r="A239" s="1" t="n"/>
      <c r="B239" s="30" t="n"/>
      <c r="C239" s="23" t="n"/>
      <c r="D239" s="23" t="n"/>
      <c r="E239" s="26" t="n"/>
      <c r="F239" s="25" t="n"/>
      <c r="G239" s="17">
        <f>IF(D239="Sale",E239*F239,IF(D239="Return",-E239*F239,""))</f>
        <v/>
      </c>
      <c r="H239" s="17">
        <f>IFERROR(IF(D239="Sale",E239*INDEX(Products!$E$6:$E$205,MATCH(C239,Products!$B$6:$B$205,0)),IF(D239="Return",-E239*INDEX(Products!$E$6:$E$205,MATCH(C239,Products!$B$6:$B$205,0)),"")),"")</f>
        <v/>
      </c>
      <c r="I239" s="24" t="n"/>
      <c r="J239" s="1" t="n"/>
    </row>
    <row r="240">
      <c r="A240" s="1" t="n"/>
      <c r="B240" s="30" t="n"/>
      <c r="C240" s="23" t="n"/>
      <c r="D240" s="23" t="n"/>
      <c r="E240" s="26" t="n"/>
      <c r="F240" s="25" t="n"/>
      <c r="G240" s="17">
        <f>IF(D240="Sale",E240*F240,IF(D240="Return",-E240*F240,""))</f>
        <v/>
      </c>
      <c r="H240" s="17">
        <f>IFERROR(IF(D240="Sale",E240*INDEX(Products!$E$6:$E$205,MATCH(C240,Products!$B$6:$B$205,0)),IF(D240="Return",-E240*INDEX(Products!$E$6:$E$205,MATCH(C240,Products!$B$6:$B$205,0)),"")),"")</f>
        <v/>
      </c>
      <c r="I240" s="24" t="n"/>
      <c r="J240" s="1" t="n"/>
    </row>
    <row r="241">
      <c r="A241" s="1" t="n"/>
      <c r="B241" s="30" t="n"/>
      <c r="C241" s="23" t="n"/>
      <c r="D241" s="23" t="n"/>
      <c r="E241" s="26" t="n"/>
      <c r="F241" s="25" t="n"/>
      <c r="G241" s="17">
        <f>IF(D241="Sale",E241*F241,IF(D241="Return",-E241*F241,""))</f>
        <v/>
      </c>
      <c r="H241" s="17">
        <f>IFERROR(IF(D241="Sale",E241*INDEX(Products!$E$6:$E$205,MATCH(C241,Products!$B$6:$B$205,0)),IF(D241="Return",-E241*INDEX(Products!$E$6:$E$205,MATCH(C241,Products!$B$6:$B$205,0)),"")),"")</f>
        <v/>
      </c>
      <c r="I241" s="24" t="n"/>
      <c r="J241" s="1" t="n"/>
    </row>
    <row r="242">
      <c r="A242" s="1" t="n"/>
      <c r="B242" s="30" t="n"/>
      <c r="C242" s="23" t="n"/>
      <c r="D242" s="23" t="n"/>
      <c r="E242" s="26" t="n"/>
      <c r="F242" s="25" t="n"/>
      <c r="G242" s="17">
        <f>IF(D242="Sale",E242*F242,IF(D242="Return",-E242*F242,""))</f>
        <v/>
      </c>
      <c r="H242" s="17">
        <f>IFERROR(IF(D242="Sale",E242*INDEX(Products!$E$6:$E$205,MATCH(C242,Products!$B$6:$B$205,0)),IF(D242="Return",-E242*INDEX(Products!$E$6:$E$205,MATCH(C242,Products!$B$6:$B$205,0)),"")),"")</f>
        <v/>
      </c>
      <c r="I242" s="24" t="n"/>
      <c r="J242" s="1" t="n"/>
    </row>
    <row r="243">
      <c r="A243" s="1" t="n"/>
      <c r="B243" s="30" t="n"/>
      <c r="C243" s="23" t="n"/>
      <c r="D243" s="23" t="n"/>
      <c r="E243" s="26" t="n"/>
      <c r="F243" s="25" t="n"/>
      <c r="G243" s="17">
        <f>IF(D243="Sale",E243*F243,IF(D243="Return",-E243*F243,""))</f>
        <v/>
      </c>
      <c r="H243" s="17">
        <f>IFERROR(IF(D243="Sale",E243*INDEX(Products!$E$6:$E$205,MATCH(C243,Products!$B$6:$B$205,0)),IF(D243="Return",-E243*INDEX(Products!$E$6:$E$205,MATCH(C243,Products!$B$6:$B$205,0)),"")),"")</f>
        <v/>
      </c>
      <c r="I243" s="24" t="n"/>
      <c r="J243" s="1" t="n"/>
    </row>
    <row r="244">
      <c r="A244" s="1" t="n"/>
      <c r="B244" s="30" t="n"/>
      <c r="C244" s="23" t="n"/>
      <c r="D244" s="23" t="n"/>
      <c r="E244" s="26" t="n"/>
      <c r="F244" s="25" t="n"/>
      <c r="G244" s="17">
        <f>IF(D244="Sale",E244*F244,IF(D244="Return",-E244*F244,""))</f>
        <v/>
      </c>
      <c r="H244" s="17">
        <f>IFERROR(IF(D244="Sale",E244*INDEX(Products!$E$6:$E$205,MATCH(C244,Products!$B$6:$B$205,0)),IF(D244="Return",-E244*INDEX(Products!$E$6:$E$205,MATCH(C244,Products!$B$6:$B$205,0)),"")),"")</f>
        <v/>
      </c>
      <c r="I244" s="24" t="n"/>
      <c r="J244" s="1" t="n"/>
    </row>
    <row r="245">
      <c r="A245" s="1" t="n"/>
      <c r="B245" s="30" t="n"/>
      <c r="C245" s="23" t="n"/>
      <c r="D245" s="23" t="n"/>
      <c r="E245" s="26" t="n"/>
      <c r="F245" s="25" t="n"/>
      <c r="G245" s="17">
        <f>IF(D245="Sale",E245*F245,IF(D245="Return",-E245*F245,""))</f>
        <v/>
      </c>
      <c r="H245" s="17">
        <f>IFERROR(IF(D245="Sale",E245*INDEX(Products!$E$6:$E$205,MATCH(C245,Products!$B$6:$B$205,0)),IF(D245="Return",-E245*INDEX(Products!$E$6:$E$205,MATCH(C245,Products!$B$6:$B$205,0)),"")),"")</f>
        <v/>
      </c>
      <c r="I245" s="24" t="n"/>
      <c r="J245" s="1" t="n"/>
    </row>
    <row r="246">
      <c r="A246" s="1" t="n"/>
      <c r="B246" s="30" t="n"/>
      <c r="C246" s="23" t="n"/>
      <c r="D246" s="23" t="n"/>
      <c r="E246" s="26" t="n"/>
      <c r="F246" s="25" t="n"/>
      <c r="G246" s="17">
        <f>IF(D246="Sale",E246*F246,IF(D246="Return",-E246*F246,""))</f>
        <v/>
      </c>
      <c r="H246" s="17">
        <f>IFERROR(IF(D246="Sale",E246*INDEX(Products!$E$6:$E$205,MATCH(C246,Products!$B$6:$B$205,0)),IF(D246="Return",-E246*INDEX(Products!$E$6:$E$205,MATCH(C246,Products!$B$6:$B$205,0)),"")),"")</f>
        <v/>
      </c>
      <c r="I246" s="24" t="n"/>
      <c r="J246" s="1" t="n"/>
    </row>
    <row r="247">
      <c r="A247" s="1" t="n"/>
      <c r="B247" s="30" t="n"/>
      <c r="C247" s="23" t="n"/>
      <c r="D247" s="23" t="n"/>
      <c r="E247" s="26" t="n"/>
      <c r="F247" s="25" t="n"/>
      <c r="G247" s="17">
        <f>IF(D247="Sale",E247*F247,IF(D247="Return",-E247*F247,""))</f>
        <v/>
      </c>
      <c r="H247" s="17">
        <f>IFERROR(IF(D247="Sale",E247*INDEX(Products!$E$6:$E$205,MATCH(C247,Products!$B$6:$B$205,0)),IF(D247="Return",-E247*INDEX(Products!$E$6:$E$205,MATCH(C247,Products!$B$6:$B$205,0)),"")),"")</f>
        <v/>
      </c>
      <c r="I247" s="24" t="n"/>
      <c r="J247" s="1" t="n"/>
    </row>
    <row r="248">
      <c r="A248" s="1" t="n"/>
      <c r="B248" s="30" t="n"/>
      <c r="C248" s="23" t="n"/>
      <c r="D248" s="23" t="n"/>
      <c r="E248" s="26" t="n"/>
      <c r="F248" s="25" t="n"/>
      <c r="G248" s="17">
        <f>IF(D248="Sale",E248*F248,IF(D248="Return",-E248*F248,""))</f>
        <v/>
      </c>
      <c r="H248" s="17">
        <f>IFERROR(IF(D248="Sale",E248*INDEX(Products!$E$6:$E$205,MATCH(C248,Products!$B$6:$B$205,0)),IF(D248="Return",-E248*INDEX(Products!$E$6:$E$205,MATCH(C248,Products!$B$6:$B$205,0)),"")),"")</f>
        <v/>
      </c>
      <c r="I248" s="24" t="n"/>
      <c r="J248" s="1" t="n"/>
    </row>
    <row r="249">
      <c r="A249" s="1" t="n"/>
      <c r="B249" s="30" t="n"/>
      <c r="C249" s="23" t="n"/>
      <c r="D249" s="23" t="n"/>
      <c r="E249" s="26" t="n"/>
      <c r="F249" s="25" t="n"/>
      <c r="G249" s="17">
        <f>IF(D249="Sale",E249*F249,IF(D249="Return",-E249*F249,""))</f>
        <v/>
      </c>
      <c r="H249" s="17">
        <f>IFERROR(IF(D249="Sale",E249*INDEX(Products!$E$6:$E$205,MATCH(C249,Products!$B$6:$B$205,0)),IF(D249="Return",-E249*INDEX(Products!$E$6:$E$205,MATCH(C249,Products!$B$6:$B$205,0)),"")),"")</f>
        <v/>
      </c>
      <c r="I249" s="24" t="n"/>
      <c r="J249" s="1" t="n"/>
    </row>
    <row r="250">
      <c r="A250" s="1" t="n"/>
      <c r="B250" s="30" t="n"/>
      <c r="C250" s="23" t="n"/>
      <c r="D250" s="23" t="n"/>
      <c r="E250" s="26" t="n"/>
      <c r="F250" s="25" t="n"/>
      <c r="G250" s="17">
        <f>IF(D250="Sale",E250*F250,IF(D250="Return",-E250*F250,""))</f>
        <v/>
      </c>
      <c r="H250" s="17">
        <f>IFERROR(IF(D250="Sale",E250*INDEX(Products!$E$6:$E$205,MATCH(C250,Products!$B$6:$B$205,0)),IF(D250="Return",-E250*INDEX(Products!$E$6:$E$205,MATCH(C250,Products!$B$6:$B$205,0)),"")),"")</f>
        <v/>
      </c>
      <c r="I250" s="24" t="n"/>
      <c r="J250" s="1" t="n"/>
    </row>
    <row r="251">
      <c r="A251" s="1" t="n"/>
      <c r="B251" s="30" t="n"/>
      <c r="C251" s="23" t="n"/>
      <c r="D251" s="23" t="n"/>
      <c r="E251" s="26" t="n"/>
      <c r="F251" s="25" t="n"/>
      <c r="G251" s="17">
        <f>IF(D251="Sale",E251*F251,IF(D251="Return",-E251*F251,""))</f>
        <v/>
      </c>
      <c r="H251" s="17">
        <f>IFERROR(IF(D251="Sale",E251*INDEX(Products!$E$6:$E$205,MATCH(C251,Products!$B$6:$B$205,0)),IF(D251="Return",-E251*INDEX(Products!$E$6:$E$205,MATCH(C251,Products!$B$6:$B$205,0)),"")),"")</f>
        <v/>
      </c>
      <c r="I251" s="24" t="n"/>
      <c r="J251" s="1" t="n"/>
    </row>
    <row r="252">
      <c r="A252" s="1" t="n"/>
      <c r="B252" s="30" t="n"/>
      <c r="C252" s="23" t="n"/>
      <c r="D252" s="23" t="n"/>
      <c r="E252" s="26" t="n"/>
      <c r="F252" s="25" t="n"/>
      <c r="G252" s="17">
        <f>IF(D252="Sale",E252*F252,IF(D252="Return",-E252*F252,""))</f>
        <v/>
      </c>
      <c r="H252" s="17">
        <f>IFERROR(IF(D252="Sale",E252*INDEX(Products!$E$6:$E$205,MATCH(C252,Products!$B$6:$B$205,0)),IF(D252="Return",-E252*INDEX(Products!$E$6:$E$205,MATCH(C252,Products!$B$6:$B$205,0)),"")),"")</f>
        <v/>
      </c>
      <c r="I252" s="24" t="n"/>
      <c r="J252" s="1" t="n"/>
    </row>
    <row r="253">
      <c r="A253" s="1" t="n"/>
      <c r="B253" s="30" t="n"/>
      <c r="C253" s="23" t="n"/>
      <c r="D253" s="23" t="n"/>
      <c r="E253" s="26" t="n"/>
      <c r="F253" s="25" t="n"/>
      <c r="G253" s="17">
        <f>IF(D253="Sale",E253*F253,IF(D253="Return",-E253*F253,""))</f>
        <v/>
      </c>
      <c r="H253" s="17">
        <f>IFERROR(IF(D253="Sale",E253*INDEX(Products!$E$6:$E$205,MATCH(C253,Products!$B$6:$B$205,0)),IF(D253="Return",-E253*INDEX(Products!$E$6:$E$205,MATCH(C253,Products!$B$6:$B$205,0)),"")),"")</f>
        <v/>
      </c>
      <c r="I253" s="24" t="n"/>
      <c r="J253" s="1" t="n"/>
    </row>
    <row r="254">
      <c r="A254" s="1" t="n"/>
      <c r="B254" s="30" t="n"/>
      <c r="C254" s="23" t="n"/>
      <c r="D254" s="23" t="n"/>
      <c r="E254" s="26" t="n"/>
      <c r="F254" s="25" t="n"/>
      <c r="G254" s="17">
        <f>IF(D254="Sale",E254*F254,IF(D254="Return",-E254*F254,""))</f>
        <v/>
      </c>
      <c r="H254" s="17">
        <f>IFERROR(IF(D254="Sale",E254*INDEX(Products!$E$6:$E$205,MATCH(C254,Products!$B$6:$B$205,0)),IF(D254="Return",-E254*INDEX(Products!$E$6:$E$205,MATCH(C254,Products!$B$6:$B$205,0)),"")),"")</f>
        <v/>
      </c>
      <c r="I254" s="24" t="n"/>
      <c r="J254" s="1" t="n"/>
    </row>
    <row r="255">
      <c r="A255" s="1" t="n"/>
      <c r="B255" s="30" t="n"/>
      <c r="C255" s="23" t="n"/>
      <c r="D255" s="23" t="n"/>
      <c r="E255" s="26" t="n"/>
      <c r="F255" s="25" t="n"/>
      <c r="G255" s="17">
        <f>IF(D255="Sale",E255*F255,IF(D255="Return",-E255*F255,""))</f>
        <v/>
      </c>
      <c r="H255" s="17">
        <f>IFERROR(IF(D255="Sale",E255*INDEX(Products!$E$6:$E$205,MATCH(C255,Products!$B$6:$B$205,0)),IF(D255="Return",-E255*INDEX(Products!$E$6:$E$205,MATCH(C255,Products!$B$6:$B$205,0)),"")),"")</f>
        <v/>
      </c>
      <c r="I255" s="24" t="n"/>
      <c r="J255" s="1" t="n"/>
    </row>
    <row r="256">
      <c r="A256" s="1" t="n"/>
      <c r="B256" s="30" t="n"/>
      <c r="C256" s="23" t="n"/>
      <c r="D256" s="23" t="n"/>
      <c r="E256" s="26" t="n"/>
      <c r="F256" s="25" t="n"/>
      <c r="G256" s="17">
        <f>IF(D256="Sale",E256*F256,IF(D256="Return",-E256*F256,""))</f>
        <v/>
      </c>
      <c r="H256" s="17">
        <f>IFERROR(IF(D256="Sale",E256*INDEX(Products!$E$6:$E$205,MATCH(C256,Products!$B$6:$B$205,0)),IF(D256="Return",-E256*INDEX(Products!$E$6:$E$205,MATCH(C256,Products!$B$6:$B$205,0)),"")),"")</f>
        <v/>
      </c>
      <c r="I256" s="24" t="n"/>
      <c r="J256" s="1" t="n"/>
    </row>
    <row r="257">
      <c r="A257" s="1" t="n"/>
      <c r="B257" s="30" t="n"/>
      <c r="C257" s="23" t="n"/>
      <c r="D257" s="23" t="n"/>
      <c r="E257" s="26" t="n"/>
      <c r="F257" s="25" t="n"/>
      <c r="G257" s="17">
        <f>IF(D257="Sale",E257*F257,IF(D257="Return",-E257*F257,""))</f>
        <v/>
      </c>
      <c r="H257" s="17">
        <f>IFERROR(IF(D257="Sale",E257*INDEX(Products!$E$6:$E$205,MATCH(C257,Products!$B$6:$B$205,0)),IF(D257="Return",-E257*INDEX(Products!$E$6:$E$205,MATCH(C257,Products!$B$6:$B$205,0)),"")),"")</f>
        <v/>
      </c>
      <c r="I257" s="24" t="n"/>
      <c r="J257" s="1" t="n"/>
    </row>
    <row r="258">
      <c r="A258" s="1" t="n"/>
      <c r="B258" s="30" t="n"/>
      <c r="C258" s="23" t="n"/>
      <c r="D258" s="23" t="n"/>
      <c r="E258" s="26" t="n"/>
      <c r="F258" s="25" t="n"/>
      <c r="G258" s="17">
        <f>IF(D258="Sale",E258*F258,IF(D258="Return",-E258*F258,""))</f>
        <v/>
      </c>
      <c r="H258" s="17">
        <f>IFERROR(IF(D258="Sale",E258*INDEX(Products!$E$6:$E$205,MATCH(C258,Products!$B$6:$B$205,0)),IF(D258="Return",-E258*INDEX(Products!$E$6:$E$205,MATCH(C258,Products!$B$6:$B$205,0)),"")),"")</f>
        <v/>
      </c>
      <c r="I258" s="24" t="n"/>
      <c r="J258" s="1" t="n"/>
    </row>
    <row r="259">
      <c r="A259" s="1" t="n"/>
      <c r="B259" s="30" t="n"/>
      <c r="C259" s="23" t="n"/>
      <c r="D259" s="23" t="n"/>
      <c r="E259" s="26" t="n"/>
      <c r="F259" s="25" t="n"/>
      <c r="G259" s="17">
        <f>IF(D259="Sale",E259*F259,IF(D259="Return",-E259*F259,""))</f>
        <v/>
      </c>
      <c r="H259" s="17">
        <f>IFERROR(IF(D259="Sale",E259*INDEX(Products!$E$6:$E$205,MATCH(C259,Products!$B$6:$B$205,0)),IF(D259="Return",-E259*INDEX(Products!$E$6:$E$205,MATCH(C259,Products!$B$6:$B$205,0)),"")),"")</f>
        <v/>
      </c>
      <c r="I259" s="24" t="n"/>
      <c r="J259" s="1" t="n"/>
    </row>
    <row r="260">
      <c r="A260" s="1" t="n"/>
      <c r="B260" s="30" t="n"/>
      <c r="C260" s="23" t="n"/>
      <c r="D260" s="23" t="n"/>
      <c r="E260" s="26" t="n"/>
      <c r="F260" s="25" t="n"/>
      <c r="G260" s="17">
        <f>IF(D260="Sale",E260*F260,IF(D260="Return",-E260*F260,""))</f>
        <v/>
      </c>
      <c r="H260" s="17">
        <f>IFERROR(IF(D260="Sale",E260*INDEX(Products!$E$6:$E$205,MATCH(C260,Products!$B$6:$B$205,0)),IF(D260="Return",-E260*INDEX(Products!$E$6:$E$205,MATCH(C260,Products!$B$6:$B$205,0)),"")),"")</f>
        <v/>
      </c>
      <c r="I260" s="24" t="n"/>
      <c r="J260" s="1" t="n"/>
    </row>
    <row r="261">
      <c r="A261" s="1" t="n"/>
      <c r="B261" s="30" t="n"/>
      <c r="C261" s="23" t="n"/>
      <c r="D261" s="23" t="n"/>
      <c r="E261" s="26" t="n"/>
      <c r="F261" s="25" t="n"/>
      <c r="G261" s="17">
        <f>IF(D261="Sale",E261*F261,IF(D261="Return",-E261*F261,""))</f>
        <v/>
      </c>
      <c r="H261" s="17">
        <f>IFERROR(IF(D261="Sale",E261*INDEX(Products!$E$6:$E$205,MATCH(C261,Products!$B$6:$B$205,0)),IF(D261="Return",-E261*INDEX(Products!$E$6:$E$205,MATCH(C261,Products!$B$6:$B$205,0)),"")),"")</f>
        <v/>
      </c>
      <c r="I261" s="24" t="n"/>
      <c r="J261" s="1" t="n"/>
    </row>
    <row r="262">
      <c r="A262" s="1" t="n"/>
      <c r="B262" s="30" t="n"/>
      <c r="C262" s="23" t="n"/>
      <c r="D262" s="23" t="n"/>
      <c r="E262" s="26" t="n"/>
      <c r="F262" s="25" t="n"/>
      <c r="G262" s="17">
        <f>IF(D262="Sale",E262*F262,IF(D262="Return",-E262*F262,""))</f>
        <v/>
      </c>
      <c r="H262" s="17">
        <f>IFERROR(IF(D262="Sale",E262*INDEX(Products!$E$6:$E$205,MATCH(C262,Products!$B$6:$B$205,0)),IF(D262="Return",-E262*INDEX(Products!$E$6:$E$205,MATCH(C262,Products!$B$6:$B$205,0)),"")),"")</f>
        <v/>
      </c>
      <c r="I262" s="24" t="n"/>
      <c r="J262" s="1" t="n"/>
    </row>
    <row r="263">
      <c r="A263" s="1" t="n"/>
      <c r="B263" s="30" t="n"/>
      <c r="C263" s="23" t="n"/>
      <c r="D263" s="23" t="n"/>
      <c r="E263" s="26" t="n"/>
      <c r="F263" s="25" t="n"/>
      <c r="G263" s="17">
        <f>IF(D263="Sale",E263*F263,IF(D263="Return",-E263*F263,""))</f>
        <v/>
      </c>
      <c r="H263" s="17">
        <f>IFERROR(IF(D263="Sale",E263*INDEX(Products!$E$6:$E$205,MATCH(C263,Products!$B$6:$B$205,0)),IF(D263="Return",-E263*INDEX(Products!$E$6:$E$205,MATCH(C263,Products!$B$6:$B$205,0)),"")),"")</f>
        <v/>
      </c>
      <c r="I263" s="24" t="n"/>
      <c r="J263" s="1" t="n"/>
    </row>
    <row r="264">
      <c r="A264" s="1" t="n"/>
      <c r="B264" s="30" t="n"/>
      <c r="C264" s="23" t="n"/>
      <c r="D264" s="23" t="n"/>
      <c r="E264" s="26" t="n"/>
      <c r="F264" s="25" t="n"/>
      <c r="G264" s="17">
        <f>IF(D264="Sale",E264*F264,IF(D264="Return",-E264*F264,""))</f>
        <v/>
      </c>
      <c r="H264" s="17">
        <f>IFERROR(IF(D264="Sale",E264*INDEX(Products!$E$6:$E$205,MATCH(C264,Products!$B$6:$B$205,0)),IF(D264="Return",-E264*INDEX(Products!$E$6:$E$205,MATCH(C264,Products!$B$6:$B$205,0)),"")),"")</f>
        <v/>
      </c>
      <c r="I264" s="24" t="n"/>
      <c r="J264" s="1" t="n"/>
    </row>
    <row r="265">
      <c r="A265" s="1" t="n"/>
      <c r="B265" s="30" t="n"/>
      <c r="C265" s="23" t="n"/>
      <c r="D265" s="23" t="n"/>
      <c r="E265" s="26" t="n"/>
      <c r="F265" s="25" t="n"/>
      <c r="G265" s="17">
        <f>IF(D265="Sale",E265*F265,IF(D265="Return",-E265*F265,""))</f>
        <v/>
      </c>
      <c r="H265" s="17">
        <f>IFERROR(IF(D265="Sale",E265*INDEX(Products!$E$6:$E$205,MATCH(C265,Products!$B$6:$B$205,0)),IF(D265="Return",-E265*INDEX(Products!$E$6:$E$205,MATCH(C265,Products!$B$6:$B$205,0)),"")),"")</f>
        <v/>
      </c>
      <c r="I265" s="24" t="n"/>
      <c r="J265" s="1" t="n"/>
    </row>
    <row r="266">
      <c r="A266" s="1" t="n"/>
      <c r="B266" s="30" t="n"/>
      <c r="C266" s="23" t="n"/>
      <c r="D266" s="23" t="n"/>
      <c r="E266" s="26" t="n"/>
      <c r="F266" s="25" t="n"/>
      <c r="G266" s="17">
        <f>IF(D266="Sale",E266*F266,IF(D266="Return",-E266*F266,""))</f>
        <v/>
      </c>
      <c r="H266" s="17">
        <f>IFERROR(IF(D266="Sale",E266*INDEX(Products!$E$6:$E$205,MATCH(C266,Products!$B$6:$B$205,0)),IF(D266="Return",-E266*INDEX(Products!$E$6:$E$205,MATCH(C266,Products!$B$6:$B$205,0)),"")),"")</f>
        <v/>
      </c>
      <c r="I266" s="24" t="n"/>
      <c r="J266" s="1" t="n"/>
    </row>
    <row r="267">
      <c r="A267" s="1" t="n"/>
      <c r="B267" s="30" t="n"/>
      <c r="C267" s="23" t="n"/>
      <c r="D267" s="23" t="n"/>
      <c r="E267" s="26" t="n"/>
      <c r="F267" s="25" t="n"/>
      <c r="G267" s="17">
        <f>IF(D267="Sale",E267*F267,IF(D267="Return",-E267*F267,""))</f>
        <v/>
      </c>
      <c r="H267" s="17">
        <f>IFERROR(IF(D267="Sale",E267*INDEX(Products!$E$6:$E$205,MATCH(C267,Products!$B$6:$B$205,0)),IF(D267="Return",-E267*INDEX(Products!$E$6:$E$205,MATCH(C267,Products!$B$6:$B$205,0)),"")),"")</f>
        <v/>
      </c>
      <c r="I267" s="24" t="n"/>
      <c r="J267" s="1" t="n"/>
    </row>
    <row r="268">
      <c r="A268" s="1" t="n"/>
      <c r="B268" s="30" t="n"/>
      <c r="C268" s="23" t="n"/>
      <c r="D268" s="23" t="n"/>
      <c r="E268" s="26" t="n"/>
      <c r="F268" s="25" t="n"/>
      <c r="G268" s="17">
        <f>IF(D268="Sale",E268*F268,IF(D268="Return",-E268*F268,""))</f>
        <v/>
      </c>
      <c r="H268" s="17">
        <f>IFERROR(IF(D268="Sale",E268*INDEX(Products!$E$6:$E$205,MATCH(C268,Products!$B$6:$B$205,0)),IF(D268="Return",-E268*INDEX(Products!$E$6:$E$205,MATCH(C268,Products!$B$6:$B$205,0)),"")),"")</f>
        <v/>
      </c>
      <c r="I268" s="24" t="n"/>
      <c r="J268" s="1" t="n"/>
    </row>
    <row r="269">
      <c r="A269" s="1" t="n"/>
      <c r="B269" s="30" t="n"/>
      <c r="C269" s="23" t="n"/>
      <c r="D269" s="23" t="n"/>
      <c r="E269" s="26" t="n"/>
      <c r="F269" s="25" t="n"/>
      <c r="G269" s="17">
        <f>IF(D269="Sale",E269*F269,IF(D269="Return",-E269*F269,""))</f>
        <v/>
      </c>
      <c r="H269" s="17">
        <f>IFERROR(IF(D269="Sale",E269*INDEX(Products!$E$6:$E$205,MATCH(C269,Products!$B$6:$B$205,0)),IF(D269="Return",-E269*INDEX(Products!$E$6:$E$205,MATCH(C269,Products!$B$6:$B$205,0)),"")),"")</f>
        <v/>
      </c>
      <c r="I269" s="24" t="n"/>
      <c r="J269" s="1" t="n"/>
    </row>
    <row r="270">
      <c r="A270" s="1" t="n"/>
      <c r="B270" s="30" t="n"/>
      <c r="C270" s="23" t="n"/>
      <c r="D270" s="23" t="n"/>
      <c r="E270" s="26" t="n"/>
      <c r="F270" s="25" t="n"/>
      <c r="G270" s="17">
        <f>IF(D270="Sale",E270*F270,IF(D270="Return",-E270*F270,""))</f>
        <v/>
      </c>
      <c r="H270" s="17">
        <f>IFERROR(IF(D270="Sale",E270*INDEX(Products!$E$6:$E$205,MATCH(C270,Products!$B$6:$B$205,0)),IF(D270="Return",-E270*INDEX(Products!$E$6:$E$205,MATCH(C270,Products!$B$6:$B$205,0)),"")),"")</f>
        <v/>
      </c>
      <c r="I270" s="24" t="n"/>
      <c r="J270" s="1" t="n"/>
    </row>
    <row r="271">
      <c r="A271" s="1" t="n"/>
      <c r="B271" s="30" t="n"/>
      <c r="C271" s="23" t="n"/>
      <c r="D271" s="23" t="n"/>
      <c r="E271" s="26" t="n"/>
      <c r="F271" s="25" t="n"/>
      <c r="G271" s="17">
        <f>IF(D271="Sale",E271*F271,IF(D271="Return",-E271*F271,""))</f>
        <v/>
      </c>
      <c r="H271" s="17">
        <f>IFERROR(IF(D271="Sale",E271*INDEX(Products!$E$6:$E$205,MATCH(C271,Products!$B$6:$B$205,0)),IF(D271="Return",-E271*INDEX(Products!$E$6:$E$205,MATCH(C271,Products!$B$6:$B$205,0)),"")),"")</f>
        <v/>
      </c>
      <c r="I271" s="24" t="n"/>
      <c r="J271" s="1" t="n"/>
    </row>
    <row r="272">
      <c r="A272" s="1" t="n"/>
      <c r="B272" s="30" t="n"/>
      <c r="C272" s="23" t="n"/>
      <c r="D272" s="23" t="n"/>
      <c r="E272" s="26" t="n"/>
      <c r="F272" s="25" t="n"/>
      <c r="G272" s="17">
        <f>IF(D272="Sale",E272*F272,IF(D272="Return",-E272*F272,""))</f>
        <v/>
      </c>
      <c r="H272" s="17">
        <f>IFERROR(IF(D272="Sale",E272*INDEX(Products!$E$6:$E$205,MATCH(C272,Products!$B$6:$B$205,0)),IF(D272="Return",-E272*INDEX(Products!$E$6:$E$205,MATCH(C272,Products!$B$6:$B$205,0)),"")),"")</f>
        <v/>
      </c>
      <c r="I272" s="24" t="n"/>
      <c r="J272" s="1" t="n"/>
    </row>
    <row r="273">
      <c r="A273" s="1" t="n"/>
      <c r="B273" s="30" t="n"/>
      <c r="C273" s="23" t="n"/>
      <c r="D273" s="23" t="n"/>
      <c r="E273" s="26" t="n"/>
      <c r="F273" s="25" t="n"/>
      <c r="G273" s="17">
        <f>IF(D273="Sale",E273*F273,IF(D273="Return",-E273*F273,""))</f>
        <v/>
      </c>
      <c r="H273" s="17">
        <f>IFERROR(IF(D273="Sale",E273*INDEX(Products!$E$6:$E$205,MATCH(C273,Products!$B$6:$B$205,0)),IF(D273="Return",-E273*INDEX(Products!$E$6:$E$205,MATCH(C273,Products!$B$6:$B$205,0)),"")),"")</f>
        <v/>
      </c>
      <c r="I273" s="24" t="n"/>
      <c r="J273" s="1" t="n"/>
    </row>
    <row r="274">
      <c r="A274" s="1" t="n"/>
      <c r="B274" s="30" t="n"/>
      <c r="C274" s="23" t="n"/>
      <c r="D274" s="23" t="n"/>
      <c r="E274" s="26" t="n"/>
      <c r="F274" s="25" t="n"/>
      <c r="G274" s="17">
        <f>IF(D274="Sale",E274*F274,IF(D274="Return",-E274*F274,""))</f>
        <v/>
      </c>
      <c r="H274" s="17">
        <f>IFERROR(IF(D274="Sale",E274*INDEX(Products!$E$6:$E$205,MATCH(C274,Products!$B$6:$B$205,0)),IF(D274="Return",-E274*INDEX(Products!$E$6:$E$205,MATCH(C274,Products!$B$6:$B$205,0)),"")),"")</f>
        <v/>
      </c>
      <c r="I274" s="24" t="n"/>
      <c r="J274" s="1" t="n"/>
    </row>
    <row r="275">
      <c r="A275" s="1" t="n"/>
      <c r="B275" s="30" t="n"/>
      <c r="C275" s="23" t="n"/>
      <c r="D275" s="23" t="n"/>
      <c r="E275" s="26" t="n"/>
      <c r="F275" s="25" t="n"/>
      <c r="G275" s="17">
        <f>IF(D275="Sale",E275*F275,IF(D275="Return",-E275*F275,""))</f>
        <v/>
      </c>
      <c r="H275" s="17">
        <f>IFERROR(IF(D275="Sale",E275*INDEX(Products!$E$6:$E$205,MATCH(C275,Products!$B$6:$B$205,0)),IF(D275="Return",-E275*INDEX(Products!$E$6:$E$205,MATCH(C275,Products!$B$6:$B$205,0)),"")),"")</f>
        <v/>
      </c>
      <c r="I275" s="24" t="n"/>
      <c r="J275" s="1" t="n"/>
    </row>
    <row r="276">
      <c r="A276" s="1" t="n"/>
      <c r="B276" s="30" t="n"/>
      <c r="C276" s="23" t="n"/>
      <c r="D276" s="23" t="n"/>
      <c r="E276" s="26" t="n"/>
      <c r="F276" s="25" t="n"/>
      <c r="G276" s="17">
        <f>IF(D276="Sale",E276*F276,IF(D276="Return",-E276*F276,""))</f>
        <v/>
      </c>
      <c r="H276" s="17">
        <f>IFERROR(IF(D276="Sale",E276*INDEX(Products!$E$6:$E$205,MATCH(C276,Products!$B$6:$B$205,0)),IF(D276="Return",-E276*INDEX(Products!$E$6:$E$205,MATCH(C276,Products!$B$6:$B$205,0)),"")),"")</f>
        <v/>
      </c>
      <c r="I276" s="24" t="n"/>
      <c r="J276" s="1" t="n"/>
    </row>
    <row r="277">
      <c r="A277" s="1" t="n"/>
      <c r="B277" s="30" t="n"/>
      <c r="C277" s="23" t="n"/>
      <c r="D277" s="23" t="n"/>
      <c r="E277" s="26" t="n"/>
      <c r="F277" s="25" t="n"/>
      <c r="G277" s="17">
        <f>IF(D277="Sale",E277*F277,IF(D277="Return",-E277*F277,""))</f>
        <v/>
      </c>
      <c r="H277" s="17">
        <f>IFERROR(IF(D277="Sale",E277*INDEX(Products!$E$6:$E$205,MATCH(C277,Products!$B$6:$B$205,0)),IF(D277="Return",-E277*INDEX(Products!$E$6:$E$205,MATCH(C277,Products!$B$6:$B$205,0)),"")),"")</f>
        <v/>
      </c>
      <c r="I277" s="24" t="n"/>
      <c r="J277" s="1" t="n"/>
    </row>
    <row r="278">
      <c r="A278" s="1" t="n"/>
      <c r="B278" s="30" t="n"/>
      <c r="C278" s="23" t="n"/>
      <c r="D278" s="23" t="n"/>
      <c r="E278" s="26" t="n"/>
      <c r="F278" s="25" t="n"/>
      <c r="G278" s="17">
        <f>IF(D278="Sale",E278*F278,IF(D278="Return",-E278*F278,""))</f>
        <v/>
      </c>
      <c r="H278" s="17">
        <f>IFERROR(IF(D278="Sale",E278*INDEX(Products!$E$6:$E$205,MATCH(C278,Products!$B$6:$B$205,0)),IF(D278="Return",-E278*INDEX(Products!$E$6:$E$205,MATCH(C278,Products!$B$6:$B$205,0)),"")),"")</f>
        <v/>
      </c>
      <c r="I278" s="24" t="n"/>
      <c r="J278" s="1" t="n"/>
    </row>
    <row r="279">
      <c r="A279" s="1" t="n"/>
      <c r="B279" s="30" t="n"/>
      <c r="C279" s="23" t="n"/>
      <c r="D279" s="23" t="n"/>
      <c r="E279" s="26" t="n"/>
      <c r="F279" s="25" t="n"/>
      <c r="G279" s="17">
        <f>IF(D279="Sale",E279*F279,IF(D279="Return",-E279*F279,""))</f>
        <v/>
      </c>
      <c r="H279" s="17">
        <f>IFERROR(IF(D279="Sale",E279*INDEX(Products!$E$6:$E$205,MATCH(C279,Products!$B$6:$B$205,0)),IF(D279="Return",-E279*INDEX(Products!$E$6:$E$205,MATCH(C279,Products!$B$6:$B$205,0)),"")),"")</f>
        <v/>
      </c>
      <c r="I279" s="24" t="n"/>
      <c r="J279" s="1" t="n"/>
    </row>
    <row r="280">
      <c r="A280" s="1" t="n"/>
      <c r="B280" s="30" t="n"/>
      <c r="C280" s="23" t="n"/>
      <c r="D280" s="23" t="n"/>
      <c r="E280" s="26" t="n"/>
      <c r="F280" s="25" t="n"/>
      <c r="G280" s="17">
        <f>IF(D280="Sale",E280*F280,IF(D280="Return",-E280*F280,""))</f>
        <v/>
      </c>
      <c r="H280" s="17">
        <f>IFERROR(IF(D280="Sale",E280*INDEX(Products!$E$6:$E$205,MATCH(C280,Products!$B$6:$B$205,0)),IF(D280="Return",-E280*INDEX(Products!$E$6:$E$205,MATCH(C280,Products!$B$6:$B$205,0)),"")),"")</f>
        <v/>
      </c>
      <c r="I280" s="24" t="n"/>
      <c r="J280" s="1" t="n"/>
    </row>
    <row r="281">
      <c r="A281" s="1" t="n"/>
      <c r="B281" s="30" t="n"/>
      <c r="C281" s="23" t="n"/>
      <c r="D281" s="23" t="n"/>
      <c r="E281" s="26" t="n"/>
      <c r="F281" s="25" t="n"/>
      <c r="G281" s="17">
        <f>IF(D281="Sale",E281*F281,IF(D281="Return",-E281*F281,""))</f>
        <v/>
      </c>
      <c r="H281" s="17">
        <f>IFERROR(IF(D281="Sale",E281*INDEX(Products!$E$6:$E$205,MATCH(C281,Products!$B$6:$B$205,0)),IF(D281="Return",-E281*INDEX(Products!$E$6:$E$205,MATCH(C281,Products!$B$6:$B$205,0)),"")),"")</f>
        <v/>
      </c>
      <c r="I281" s="24" t="n"/>
      <c r="J281" s="1" t="n"/>
    </row>
    <row r="282">
      <c r="A282" s="1" t="n"/>
      <c r="B282" s="30" t="n"/>
      <c r="C282" s="23" t="n"/>
      <c r="D282" s="23" t="n"/>
      <c r="E282" s="26" t="n"/>
      <c r="F282" s="25" t="n"/>
      <c r="G282" s="17">
        <f>IF(D282="Sale",E282*F282,IF(D282="Return",-E282*F282,""))</f>
        <v/>
      </c>
      <c r="H282" s="17">
        <f>IFERROR(IF(D282="Sale",E282*INDEX(Products!$E$6:$E$205,MATCH(C282,Products!$B$6:$B$205,0)),IF(D282="Return",-E282*INDEX(Products!$E$6:$E$205,MATCH(C282,Products!$B$6:$B$205,0)),"")),"")</f>
        <v/>
      </c>
      <c r="I282" s="24" t="n"/>
      <c r="J282" s="1" t="n"/>
    </row>
    <row r="283">
      <c r="A283" s="1" t="n"/>
      <c r="B283" s="30" t="n"/>
      <c r="C283" s="23" t="n"/>
      <c r="D283" s="23" t="n"/>
      <c r="E283" s="26" t="n"/>
      <c r="F283" s="25" t="n"/>
      <c r="G283" s="17">
        <f>IF(D283="Sale",E283*F283,IF(D283="Return",-E283*F283,""))</f>
        <v/>
      </c>
      <c r="H283" s="17">
        <f>IFERROR(IF(D283="Sale",E283*INDEX(Products!$E$6:$E$205,MATCH(C283,Products!$B$6:$B$205,0)),IF(D283="Return",-E283*INDEX(Products!$E$6:$E$205,MATCH(C283,Products!$B$6:$B$205,0)),"")),"")</f>
        <v/>
      </c>
      <c r="I283" s="24" t="n"/>
      <c r="J283" s="1" t="n"/>
    </row>
    <row r="284">
      <c r="A284" s="1" t="n"/>
      <c r="B284" s="30" t="n"/>
      <c r="C284" s="23" t="n"/>
      <c r="D284" s="23" t="n"/>
      <c r="E284" s="26" t="n"/>
      <c r="F284" s="25" t="n"/>
      <c r="G284" s="17">
        <f>IF(D284="Sale",E284*F284,IF(D284="Return",-E284*F284,""))</f>
        <v/>
      </c>
      <c r="H284" s="17">
        <f>IFERROR(IF(D284="Sale",E284*INDEX(Products!$E$6:$E$205,MATCH(C284,Products!$B$6:$B$205,0)),IF(D284="Return",-E284*INDEX(Products!$E$6:$E$205,MATCH(C284,Products!$B$6:$B$205,0)),"")),"")</f>
        <v/>
      </c>
      <c r="I284" s="24" t="n"/>
      <c r="J284" s="1" t="n"/>
    </row>
    <row r="285">
      <c r="A285" s="1" t="n"/>
      <c r="B285" s="30" t="n"/>
      <c r="C285" s="23" t="n"/>
      <c r="D285" s="23" t="n"/>
      <c r="E285" s="26" t="n"/>
      <c r="F285" s="25" t="n"/>
      <c r="G285" s="17">
        <f>IF(D285="Sale",E285*F285,IF(D285="Return",-E285*F285,""))</f>
        <v/>
      </c>
      <c r="H285" s="17">
        <f>IFERROR(IF(D285="Sale",E285*INDEX(Products!$E$6:$E$205,MATCH(C285,Products!$B$6:$B$205,0)),IF(D285="Return",-E285*INDEX(Products!$E$6:$E$205,MATCH(C285,Products!$B$6:$B$205,0)),"")),"")</f>
        <v/>
      </c>
      <c r="I285" s="24" t="n"/>
      <c r="J285" s="1" t="n"/>
    </row>
    <row r="286">
      <c r="A286" s="1" t="n"/>
      <c r="B286" s="30" t="n"/>
      <c r="C286" s="23" t="n"/>
      <c r="D286" s="23" t="n"/>
      <c r="E286" s="26" t="n"/>
      <c r="F286" s="25" t="n"/>
      <c r="G286" s="17">
        <f>IF(D286="Sale",E286*F286,IF(D286="Return",-E286*F286,""))</f>
        <v/>
      </c>
      <c r="H286" s="17">
        <f>IFERROR(IF(D286="Sale",E286*INDEX(Products!$E$6:$E$205,MATCH(C286,Products!$B$6:$B$205,0)),IF(D286="Return",-E286*INDEX(Products!$E$6:$E$205,MATCH(C286,Products!$B$6:$B$205,0)),"")),"")</f>
        <v/>
      </c>
      <c r="I286" s="24" t="n"/>
      <c r="J286" s="1" t="n"/>
    </row>
    <row r="287">
      <c r="A287" s="1" t="n"/>
      <c r="B287" s="30" t="n"/>
      <c r="C287" s="23" t="n"/>
      <c r="D287" s="23" t="n"/>
      <c r="E287" s="26" t="n"/>
      <c r="F287" s="25" t="n"/>
      <c r="G287" s="17">
        <f>IF(D287="Sale",E287*F287,IF(D287="Return",-E287*F287,""))</f>
        <v/>
      </c>
      <c r="H287" s="17">
        <f>IFERROR(IF(D287="Sale",E287*INDEX(Products!$E$6:$E$205,MATCH(C287,Products!$B$6:$B$205,0)),IF(D287="Return",-E287*INDEX(Products!$E$6:$E$205,MATCH(C287,Products!$B$6:$B$205,0)),"")),"")</f>
        <v/>
      </c>
      <c r="I287" s="24" t="n"/>
      <c r="J287" s="1" t="n"/>
    </row>
    <row r="288">
      <c r="A288" s="1" t="n"/>
      <c r="B288" s="30" t="n"/>
      <c r="C288" s="23" t="n"/>
      <c r="D288" s="23" t="n"/>
      <c r="E288" s="26" t="n"/>
      <c r="F288" s="25" t="n"/>
      <c r="G288" s="17">
        <f>IF(D288="Sale",E288*F288,IF(D288="Return",-E288*F288,""))</f>
        <v/>
      </c>
      <c r="H288" s="17">
        <f>IFERROR(IF(D288="Sale",E288*INDEX(Products!$E$6:$E$205,MATCH(C288,Products!$B$6:$B$205,0)),IF(D288="Return",-E288*INDEX(Products!$E$6:$E$205,MATCH(C288,Products!$B$6:$B$205,0)),"")),"")</f>
        <v/>
      </c>
      <c r="I288" s="24" t="n"/>
      <c r="J288" s="1" t="n"/>
    </row>
    <row r="289">
      <c r="A289" s="1" t="n"/>
      <c r="B289" s="30" t="n"/>
      <c r="C289" s="23" t="n"/>
      <c r="D289" s="23" t="n"/>
      <c r="E289" s="26" t="n"/>
      <c r="F289" s="25" t="n"/>
      <c r="G289" s="17">
        <f>IF(D289="Sale",E289*F289,IF(D289="Return",-E289*F289,""))</f>
        <v/>
      </c>
      <c r="H289" s="17">
        <f>IFERROR(IF(D289="Sale",E289*INDEX(Products!$E$6:$E$205,MATCH(C289,Products!$B$6:$B$205,0)),IF(D289="Return",-E289*INDEX(Products!$E$6:$E$205,MATCH(C289,Products!$B$6:$B$205,0)),"")),"")</f>
        <v/>
      </c>
      <c r="I289" s="24" t="n"/>
      <c r="J289" s="1" t="n"/>
    </row>
    <row r="290">
      <c r="A290" s="1" t="n"/>
      <c r="B290" s="30" t="n"/>
      <c r="C290" s="23" t="n"/>
      <c r="D290" s="23" t="n"/>
      <c r="E290" s="26" t="n"/>
      <c r="F290" s="25" t="n"/>
      <c r="G290" s="17">
        <f>IF(D290="Sale",E290*F290,IF(D290="Return",-E290*F290,""))</f>
        <v/>
      </c>
      <c r="H290" s="17">
        <f>IFERROR(IF(D290="Sale",E290*INDEX(Products!$E$6:$E$205,MATCH(C290,Products!$B$6:$B$205,0)),IF(D290="Return",-E290*INDEX(Products!$E$6:$E$205,MATCH(C290,Products!$B$6:$B$205,0)),"")),"")</f>
        <v/>
      </c>
      <c r="I290" s="24" t="n"/>
      <c r="J290" s="1" t="n"/>
    </row>
    <row r="291">
      <c r="A291" s="1" t="n"/>
      <c r="B291" s="30" t="n"/>
      <c r="C291" s="23" t="n"/>
      <c r="D291" s="23" t="n"/>
      <c r="E291" s="26" t="n"/>
      <c r="F291" s="25" t="n"/>
      <c r="G291" s="17">
        <f>IF(D291="Sale",E291*F291,IF(D291="Return",-E291*F291,""))</f>
        <v/>
      </c>
      <c r="H291" s="17">
        <f>IFERROR(IF(D291="Sale",E291*INDEX(Products!$E$6:$E$205,MATCH(C291,Products!$B$6:$B$205,0)),IF(D291="Return",-E291*INDEX(Products!$E$6:$E$205,MATCH(C291,Products!$B$6:$B$205,0)),"")),"")</f>
        <v/>
      </c>
      <c r="I291" s="24" t="n"/>
      <c r="J291" s="1" t="n"/>
    </row>
    <row r="292">
      <c r="A292" s="1" t="n"/>
      <c r="B292" s="30" t="n"/>
      <c r="C292" s="23" t="n"/>
      <c r="D292" s="23" t="n"/>
      <c r="E292" s="26" t="n"/>
      <c r="F292" s="25" t="n"/>
      <c r="G292" s="17">
        <f>IF(D292="Sale",E292*F292,IF(D292="Return",-E292*F292,""))</f>
        <v/>
      </c>
      <c r="H292" s="17">
        <f>IFERROR(IF(D292="Sale",E292*INDEX(Products!$E$6:$E$205,MATCH(C292,Products!$B$6:$B$205,0)),IF(D292="Return",-E292*INDEX(Products!$E$6:$E$205,MATCH(C292,Products!$B$6:$B$205,0)),"")),"")</f>
        <v/>
      </c>
      <c r="I292" s="24" t="n"/>
      <c r="J292" s="1" t="n"/>
    </row>
    <row r="293">
      <c r="A293" s="1" t="n"/>
      <c r="B293" s="30" t="n"/>
      <c r="C293" s="23" t="n"/>
      <c r="D293" s="23" t="n"/>
      <c r="E293" s="26" t="n"/>
      <c r="F293" s="25" t="n"/>
      <c r="G293" s="17">
        <f>IF(D293="Sale",E293*F293,IF(D293="Return",-E293*F293,""))</f>
        <v/>
      </c>
      <c r="H293" s="17">
        <f>IFERROR(IF(D293="Sale",E293*INDEX(Products!$E$6:$E$205,MATCH(C293,Products!$B$6:$B$205,0)),IF(D293="Return",-E293*INDEX(Products!$E$6:$E$205,MATCH(C293,Products!$B$6:$B$205,0)),"")),"")</f>
        <v/>
      </c>
      <c r="I293" s="24" t="n"/>
      <c r="J293" s="1" t="n"/>
    </row>
    <row r="294">
      <c r="A294" s="1" t="n"/>
      <c r="B294" s="30" t="n"/>
      <c r="C294" s="23" t="n"/>
      <c r="D294" s="23" t="n"/>
      <c r="E294" s="26" t="n"/>
      <c r="F294" s="25" t="n"/>
      <c r="G294" s="17">
        <f>IF(D294="Sale",E294*F294,IF(D294="Return",-E294*F294,""))</f>
        <v/>
      </c>
      <c r="H294" s="17">
        <f>IFERROR(IF(D294="Sale",E294*INDEX(Products!$E$6:$E$205,MATCH(C294,Products!$B$6:$B$205,0)),IF(D294="Return",-E294*INDEX(Products!$E$6:$E$205,MATCH(C294,Products!$B$6:$B$205,0)),"")),"")</f>
        <v/>
      </c>
      <c r="I294" s="24" t="n"/>
      <c r="J294" s="1" t="n"/>
    </row>
    <row r="295">
      <c r="A295" s="1" t="n"/>
      <c r="B295" s="30" t="n"/>
      <c r="C295" s="23" t="n"/>
      <c r="D295" s="23" t="n"/>
      <c r="E295" s="26" t="n"/>
      <c r="F295" s="25" t="n"/>
      <c r="G295" s="17">
        <f>IF(D295="Sale",E295*F295,IF(D295="Return",-E295*F295,""))</f>
        <v/>
      </c>
      <c r="H295" s="17">
        <f>IFERROR(IF(D295="Sale",E295*INDEX(Products!$E$6:$E$205,MATCH(C295,Products!$B$6:$B$205,0)),IF(D295="Return",-E295*INDEX(Products!$E$6:$E$205,MATCH(C295,Products!$B$6:$B$205,0)),"")),"")</f>
        <v/>
      </c>
      <c r="I295" s="24" t="n"/>
      <c r="J295" s="1" t="n"/>
    </row>
    <row r="296">
      <c r="A296" s="1" t="n"/>
      <c r="B296" s="30" t="n"/>
      <c r="C296" s="23" t="n"/>
      <c r="D296" s="23" t="n"/>
      <c r="E296" s="26" t="n"/>
      <c r="F296" s="25" t="n"/>
      <c r="G296" s="17">
        <f>IF(D296="Sale",E296*F296,IF(D296="Return",-E296*F296,""))</f>
        <v/>
      </c>
      <c r="H296" s="17">
        <f>IFERROR(IF(D296="Sale",E296*INDEX(Products!$E$6:$E$205,MATCH(C296,Products!$B$6:$B$205,0)),IF(D296="Return",-E296*INDEX(Products!$E$6:$E$205,MATCH(C296,Products!$B$6:$B$205,0)),"")),"")</f>
        <v/>
      </c>
      <c r="I296" s="24" t="n"/>
      <c r="J296" s="1" t="n"/>
    </row>
    <row r="297">
      <c r="A297" s="1" t="n"/>
      <c r="B297" s="30" t="n"/>
      <c r="C297" s="23" t="n"/>
      <c r="D297" s="23" t="n"/>
      <c r="E297" s="26" t="n"/>
      <c r="F297" s="25" t="n"/>
      <c r="G297" s="17">
        <f>IF(D297="Sale",E297*F297,IF(D297="Return",-E297*F297,""))</f>
        <v/>
      </c>
      <c r="H297" s="17">
        <f>IFERROR(IF(D297="Sale",E297*INDEX(Products!$E$6:$E$205,MATCH(C297,Products!$B$6:$B$205,0)),IF(D297="Return",-E297*INDEX(Products!$E$6:$E$205,MATCH(C297,Products!$B$6:$B$205,0)),"")),"")</f>
        <v/>
      </c>
      <c r="I297" s="24" t="n"/>
      <c r="J297" s="1" t="n"/>
    </row>
    <row r="298">
      <c r="A298" s="1" t="n"/>
      <c r="B298" s="30" t="n"/>
      <c r="C298" s="23" t="n"/>
      <c r="D298" s="23" t="n"/>
      <c r="E298" s="26" t="n"/>
      <c r="F298" s="25" t="n"/>
      <c r="G298" s="17">
        <f>IF(D298="Sale",E298*F298,IF(D298="Return",-E298*F298,""))</f>
        <v/>
      </c>
      <c r="H298" s="17">
        <f>IFERROR(IF(D298="Sale",E298*INDEX(Products!$E$6:$E$205,MATCH(C298,Products!$B$6:$B$205,0)),IF(D298="Return",-E298*INDEX(Products!$E$6:$E$205,MATCH(C298,Products!$B$6:$B$205,0)),"")),"")</f>
        <v/>
      </c>
      <c r="I298" s="24" t="n"/>
      <c r="J298" s="1" t="n"/>
    </row>
    <row r="299">
      <c r="A299" s="1" t="n"/>
      <c r="B299" s="30" t="n"/>
      <c r="C299" s="23" t="n"/>
      <c r="D299" s="23" t="n"/>
      <c r="E299" s="26" t="n"/>
      <c r="F299" s="25" t="n"/>
      <c r="G299" s="17">
        <f>IF(D299="Sale",E299*F299,IF(D299="Return",-E299*F299,""))</f>
        <v/>
      </c>
      <c r="H299" s="17">
        <f>IFERROR(IF(D299="Sale",E299*INDEX(Products!$E$6:$E$205,MATCH(C299,Products!$B$6:$B$205,0)),IF(D299="Return",-E299*INDEX(Products!$E$6:$E$205,MATCH(C299,Products!$B$6:$B$205,0)),"")),"")</f>
        <v/>
      </c>
      <c r="I299" s="24" t="n"/>
      <c r="J299" s="1" t="n"/>
    </row>
    <row r="300">
      <c r="A300" s="1" t="n"/>
      <c r="B300" s="30" t="n"/>
      <c r="C300" s="23" t="n"/>
      <c r="D300" s="23" t="n"/>
      <c r="E300" s="26" t="n"/>
      <c r="F300" s="25" t="n"/>
      <c r="G300" s="17">
        <f>IF(D300="Sale",E300*F300,IF(D300="Return",-E300*F300,""))</f>
        <v/>
      </c>
      <c r="H300" s="17">
        <f>IFERROR(IF(D300="Sale",E300*INDEX(Products!$E$6:$E$205,MATCH(C300,Products!$B$6:$B$205,0)),IF(D300="Return",-E300*INDEX(Products!$E$6:$E$205,MATCH(C300,Products!$B$6:$B$205,0)),"")),"")</f>
        <v/>
      </c>
      <c r="I300" s="24" t="n"/>
      <c r="J300" s="1" t="n"/>
    </row>
    <row r="301">
      <c r="A301" s="1" t="n"/>
      <c r="B301" s="30" t="n"/>
      <c r="C301" s="23" t="n"/>
      <c r="D301" s="23" t="n"/>
      <c r="E301" s="26" t="n"/>
      <c r="F301" s="25" t="n"/>
      <c r="G301" s="17">
        <f>IF(D301="Sale",E301*F301,IF(D301="Return",-E301*F301,""))</f>
        <v/>
      </c>
      <c r="H301" s="17">
        <f>IFERROR(IF(D301="Sale",E301*INDEX(Products!$E$6:$E$205,MATCH(C301,Products!$B$6:$B$205,0)),IF(D301="Return",-E301*INDEX(Products!$E$6:$E$205,MATCH(C301,Products!$B$6:$B$205,0)),"")),"")</f>
        <v/>
      </c>
      <c r="I301" s="24" t="n"/>
      <c r="J301" s="1" t="n"/>
    </row>
    <row r="302">
      <c r="A302" s="1" t="n"/>
      <c r="B302" s="30" t="n"/>
      <c r="C302" s="23" t="n"/>
      <c r="D302" s="23" t="n"/>
      <c r="E302" s="26" t="n"/>
      <c r="F302" s="25" t="n"/>
      <c r="G302" s="17">
        <f>IF(D302="Sale",E302*F302,IF(D302="Return",-E302*F302,""))</f>
        <v/>
      </c>
      <c r="H302" s="17">
        <f>IFERROR(IF(D302="Sale",E302*INDEX(Products!$E$6:$E$205,MATCH(C302,Products!$B$6:$B$205,0)),IF(D302="Return",-E302*INDEX(Products!$E$6:$E$205,MATCH(C302,Products!$B$6:$B$205,0)),"")),"")</f>
        <v/>
      </c>
      <c r="I302" s="24" t="n"/>
      <c r="J302" s="1" t="n"/>
    </row>
    <row r="303">
      <c r="A303" s="1" t="n"/>
      <c r="B303" s="30" t="n"/>
      <c r="C303" s="23" t="n"/>
      <c r="D303" s="23" t="n"/>
      <c r="E303" s="26" t="n"/>
      <c r="F303" s="25" t="n"/>
      <c r="G303" s="17">
        <f>IF(D303="Sale",E303*F303,IF(D303="Return",-E303*F303,""))</f>
        <v/>
      </c>
      <c r="H303" s="17">
        <f>IFERROR(IF(D303="Sale",E303*INDEX(Products!$E$6:$E$205,MATCH(C303,Products!$B$6:$B$205,0)),IF(D303="Return",-E303*INDEX(Products!$E$6:$E$205,MATCH(C303,Products!$B$6:$B$205,0)),"")),"")</f>
        <v/>
      </c>
      <c r="I303" s="24" t="n"/>
      <c r="J303" s="1" t="n"/>
    </row>
    <row r="304">
      <c r="A304" s="1" t="n"/>
      <c r="B304" s="30" t="n"/>
      <c r="C304" s="23" t="n"/>
      <c r="D304" s="23" t="n"/>
      <c r="E304" s="26" t="n"/>
      <c r="F304" s="25" t="n"/>
      <c r="G304" s="17">
        <f>IF(D304="Sale",E304*F304,IF(D304="Return",-E304*F304,""))</f>
        <v/>
      </c>
      <c r="H304" s="17">
        <f>IFERROR(IF(D304="Sale",E304*INDEX(Products!$E$6:$E$205,MATCH(C304,Products!$B$6:$B$205,0)),IF(D304="Return",-E304*INDEX(Products!$E$6:$E$205,MATCH(C304,Products!$B$6:$B$205,0)),"")),"")</f>
        <v/>
      </c>
      <c r="I304" s="24" t="n"/>
      <c r="J304" s="1" t="n"/>
    </row>
    <row r="305">
      <c r="A305" s="1" t="n"/>
      <c r="B305" s="30" t="n"/>
      <c r="C305" s="23" t="n"/>
      <c r="D305" s="23" t="n"/>
      <c r="E305" s="26" t="n"/>
      <c r="F305" s="25" t="n"/>
      <c r="G305" s="17">
        <f>IF(D305="Sale",E305*F305,IF(D305="Return",-E305*F305,""))</f>
        <v/>
      </c>
      <c r="H305" s="17">
        <f>IFERROR(IF(D305="Sale",E305*INDEX(Products!$E$6:$E$205,MATCH(C305,Products!$B$6:$B$205,0)),IF(D305="Return",-E305*INDEX(Products!$E$6:$E$205,MATCH(C305,Products!$B$6:$B$205,0)),"")),"")</f>
        <v/>
      </c>
      <c r="I305" s="24" t="n"/>
      <c r="J305" s="1" t="n"/>
    </row>
    <row r="306">
      <c r="A306" s="1" t="n"/>
      <c r="B306" s="30" t="n"/>
      <c r="C306" s="23" t="n"/>
      <c r="D306" s="23" t="n"/>
      <c r="E306" s="26" t="n"/>
      <c r="F306" s="25" t="n"/>
      <c r="G306" s="17">
        <f>IF(D306="Sale",E306*F306,IF(D306="Return",-E306*F306,""))</f>
        <v/>
      </c>
      <c r="H306" s="17">
        <f>IFERROR(IF(D306="Sale",E306*INDEX(Products!$E$6:$E$205,MATCH(C306,Products!$B$6:$B$205,0)),IF(D306="Return",-E306*INDEX(Products!$E$6:$E$205,MATCH(C306,Products!$B$6:$B$205,0)),"")),"")</f>
        <v/>
      </c>
      <c r="I306" s="24" t="n"/>
      <c r="J306" s="1" t="n"/>
    </row>
    <row r="307">
      <c r="A307" s="1" t="n"/>
      <c r="B307" s="30" t="n"/>
      <c r="C307" s="23" t="n"/>
      <c r="D307" s="23" t="n"/>
      <c r="E307" s="26" t="n"/>
      <c r="F307" s="25" t="n"/>
      <c r="G307" s="17">
        <f>IF(D307="Sale",E307*F307,IF(D307="Return",-E307*F307,""))</f>
        <v/>
      </c>
      <c r="H307" s="17">
        <f>IFERROR(IF(D307="Sale",E307*INDEX(Products!$E$6:$E$205,MATCH(C307,Products!$B$6:$B$205,0)),IF(D307="Return",-E307*INDEX(Products!$E$6:$E$205,MATCH(C307,Products!$B$6:$B$205,0)),"")),"")</f>
        <v/>
      </c>
      <c r="I307" s="24" t="n"/>
      <c r="J307" s="1" t="n"/>
    </row>
    <row r="308">
      <c r="A308" s="1" t="n"/>
      <c r="B308" s="30" t="n"/>
      <c r="C308" s="23" t="n"/>
      <c r="D308" s="23" t="n"/>
      <c r="E308" s="26" t="n"/>
      <c r="F308" s="25" t="n"/>
      <c r="G308" s="17">
        <f>IF(D308="Sale",E308*F308,IF(D308="Return",-E308*F308,""))</f>
        <v/>
      </c>
      <c r="H308" s="17">
        <f>IFERROR(IF(D308="Sale",E308*INDEX(Products!$E$6:$E$205,MATCH(C308,Products!$B$6:$B$205,0)),IF(D308="Return",-E308*INDEX(Products!$E$6:$E$205,MATCH(C308,Products!$B$6:$B$205,0)),"")),"")</f>
        <v/>
      </c>
      <c r="I308" s="24" t="n"/>
      <c r="J308" s="1" t="n"/>
    </row>
    <row r="309">
      <c r="A309" s="1" t="n"/>
      <c r="B309" s="30" t="n"/>
      <c r="C309" s="23" t="n"/>
      <c r="D309" s="23" t="n"/>
      <c r="E309" s="26" t="n"/>
      <c r="F309" s="25" t="n"/>
      <c r="G309" s="17">
        <f>IF(D309="Sale",E309*F309,IF(D309="Return",-E309*F309,""))</f>
        <v/>
      </c>
      <c r="H309" s="17">
        <f>IFERROR(IF(D309="Sale",E309*INDEX(Products!$E$6:$E$205,MATCH(C309,Products!$B$6:$B$205,0)),IF(D309="Return",-E309*INDEX(Products!$E$6:$E$205,MATCH(C309,Products!$B$6:$B$205,0)),"")),"")</f>
        <v/>
      </c>
      <c r="I309" s="24" t="n"/>
      <c r="J309" s="1" t="n"/>
    </row>
    <row r="310">
      <c r="A310" s="1" t="n"/>
      <c r="B310" s="30" t="n"/>
      <c r="C310" s="23" t="n"/>
      <c r="D310" s="23" t="n"/>
      <c r="E310" s="26" t="n"/>
      <c r="F310" s="25" t="n"/>
      <c r="G310" s="17">
        <f>IF(D310="Sale",E310*F310,IF(D310="Return",-E310*F310,""))</f>
        <v/>
      </c>
      <c r="H310" s="17">
        <f>IFERROR(IF(D310="Sale",E310*INDEX(Products!$E$6:$E$205,MATCH(C310,Products!$B$6:$B$205,0)),IF(D310="Return",-E310*INDEX(Products!$E$6:$E$205,MATCH(C310,Products!$B$6:$B$205,0)),"")),"")</f>
        <v/>
      </c>
      <c r="I310" s="24" t="n"/>
      <c r="J310" s="1" t="n"/>
    </row>
    <row r="311">
      <c r="A311" s="1" t="n"/>
      <c r="B311" s="30" t="n"/>
      <c r="C311" s="23" t="n"/>
      <c r="D311" s="23" t="n"/>
      <c r="E311" s="26" t="n"/>
      <c r="F311" s="25" t="n"/>
      <c r="G311" s="17">
        <f>IF(D311="Sale",E311*F311,IF(D311="Return",-E311*F311,""))</f>
        <v/>
      </c>
      <c r="H311" s="17">
        <f>IFERROR(IF(D311="Sale",E311*INDEX(Products!$E$6:$E$205,MATCH(C311,Products!$B$6:$B$205,0)),IF(D311="Return",-E311*INDEX(Products!$E$6:$E$205,MATCH(C311,Products!$B$6:$B$205,0)),"")),"")</f>
        <v/>
      </c>
      <c r="I311" s="24" t="n"/>
      <c r="J311" s="1" t="n"/>
    </row>
    <row r="312">
      <c r="A312" s="1" t="n"/>
      <c r="B312" s="30" t="n"/>
      <c r="C312" s="23" t="n"/>
      <c r="D312" s="23" t="n"/>
      <c r="E312" s="26" t="n"/>
      <c r="F312" s="25" t="n"/>
      <c r="G312" s="17">
        <f>IF(D312="Sale",E312*F312,IF(D312="Return",-E312*F312,""))</f>
        <v/>
      </c>
      <c r="H312" s="17">
        <f>IFERROR(IF(D312="Sale",E312*INDEX(Products!$E$6:$E$205,MATCH(C312,Products!$B$6:$B$205,0)),IF(D312="Return",-E312*INDEX(Products!$E$6:$E$205,MATCH(C312,Products!$B$6:$B$205,0)),"")),"")</f>
        <v/>
      </c>
      <c r="I312" s="24" t="n"/>
      <c r="J312" s="1" t="n"/>
    </row>
    <row r="313">
      <c r="A313" s="1" t="n"/>
      <c r="B313" s="30" t="n"/>
      <c r="C313" s="23" t="n"/>
      <c r="D313" s="23" t="n"/>
      <c r="E313" s="26" t="n"/>
      <c r="F313" s="25" t="n"/>
      <c r="G313" s="17">
        <f>IF(D313="Sale",E313*F313,IF(D313="Return",-E313*F313,""))</f>
        <v/>
      </c>
      <c r="H313" s="17">
        <f>IFERROR(IF(D313="Sale",E313*INDEX(Products!$E$6:$E$205,MATCH(C313,Products!$B$6:$B$205,0)),IF(D313="Return",-E313*INDEX(Products!$E$6:$E$205,MATCH(C313,Products!$B$6:$B$205,0)),"")),"")</f>
        <v/>
      </c>
      <c r="I313" s="24" t="n"/>
      <c r="J313" s="1" t="n"/>
    </row>
    <row r="314">
      <c r="A314" s="1" t="n"/>
      <c r="B314" s="30" t="n"/>
      <c r="C314" s="23" t="n"/>
      <c r="D314" s="23" t="n"/>
      <c r="E314" s="26" t="n"/>
      <c r="F314" s="25" t="n"/>
      <c r="G314" s="17">
        <f>IF(D314="Sale",E314*F314,IF(D314="Return",-E314*F314,""))</f>
        <v/>
      </c>
      <c r="H314" s="17">
        <f>IFERROR(IF(D314="Sale",E314*INDEX(Products!$E$6:$E$205,MATCH(C314,Products!$B$6:$B$205,0)),IF(D314="Return",-E314*INDEX(Products!$E$6:$E$205,MATCH(C314,Products!$B$6:$B$205,0)),"")),"")</f>
        <v/>
      </c>
      <c r="I314" s="24" t="n"/>
      <c r="J314" s="1" t="n"/>
    </row>
    <row r="315">
      <c r="A315" s="1" t="n"/>
      <c r="B315" s="30" t="n"/>
      <c r="C315" s="23" t="n"/>
      <c r="D315" s="23" t="n"/>
      <c r="E315" s="26" t="n"/>
      <c r="F315" s="25" t="n"/>
      <c r="G315" s="17">
        <f>IF(D315="Sale",E315*F315,IF(D315="Return",-E315*F315,""))</f>
        <v/>
      </c>
      <c r="H315" s="17">
        <f>IFERROR(IF(D315="Sale",E315*INDEX(Products!$E$6:$E$205,MATCH(C315,Products!$B$6:$B$205,0)),IF(D315="Return",-E315*INDEX(Products!$E$6:$E$205,MATCH(C315,Products!$B$6:$B$205,0)),"")),"")</f>
        <v/>
      </c>
      <c r="I315" s="24" t="n"/>
      <c r="J315" s="1" t="n"/>
    </row>
    <row r="316">
      <c r="A316" s="1" t="n"/>
      <c r="B316" s="30" t="n"/>
      <c r="C316" s="23" t="n"/>
      <c r="D316" s="23" t="n"/>
      <c r="E316" s="26" t="n"/>
      <c r="F316" s="25" t="n"/>
      <c r="G316" s="17">
        <f>IF(D316="Sale",E316*F316,IF(D316="Return",-E316*F316,""))</f>
        <v/>
      </c>
      <c r="H316" s="17">
        <f>IFERROR(IF(D316="Sale",E316*INDEX(Products!$E$6:$E$205,MATCH(C316,Products!$B$6:$B$205,0)),IF(D316="Return",-E316*INDEX(Products!$E$6:$E$205,MATCH(C316,Products!$B$6:$B$205,0)),"")),"")</f>
        <v/>
      </c>
      <c r="I316" s="24" t="n"/>
      <c r="J316" s="1" t="n"/>
    </row>
    <row r="317">
      <c r="A317" s="1" t="n"/>
      <c r="B317" s="30" t="n"/>
      <c r="C317" s="23" t="n"/>
      <c r="D317" s="23" t="n"/>
      <c r="E317" s="26" t="n"/>
      <c r="F317" s="25" t="n"/>
      <c r="G317" s="17">
        <f>IF(D317="Sale",E317*F317,IF(D317="Return",-E317*F317,""))</f>
        <v/>
      </c>
      <c r="H317" s="17">
        <f>IFERROR(IF(D317="Sale",E317*INDEX(Products!$E$6:$E$205,MATCH(C317,Products!$B$6:$B$205,0)),IF(D317="Return",-E317*INDEX(Products!$E$6:$E$205,MATCH(C317,Products!$B$6:$B$205,0)),"")),"")</f>
        <v/>
      </c>
      <c r="I317" s="24" t="n"/>
      <c r="J317" s="1" t="n"/>
    </row>
    <row r="318">
      <c r="A318" s="1" t="n"/>
      <c r="B318" s="30" t="n"/>
      <c r="C318" s="23" t="n"/>
      <c r="D318" s="23" t="n"/>
      <c r="E318" s="26" t="n"/>
      <c r="F318" s="25" t="n"/>
      <c r="G318" s="17">
        <f>IF(D318="Sale",E318*F318,IF(D318="Return",-E318*F318,""))</f>
        <v/>
      </c>
      <c r="H318" s="17">
        <f>IFERROR(IF(D318="Sale",E318*INDEX(Products!$E$6:$E$205,MATCH(C318,Products!$B$6:$B$205,0)),IF(D318="Return",-E318*INDEX(Products!$E$6:$E$205,MATCH(C318,Products!$B$6:$B$205,0)),"")),"")</f>
        <v/>
      </c>
      <c r="I318" s="24" t="n"/>
      <c r="J318" s="1" t="n"/>
    </row>
    <row r="319">
      <c r="A319" s="1" t="n"/>
      <c r="B319" s="30" t="n"/>
      <c r="C319" s="23" t="n"/>
      <c r="D319" s="23" t="n"/>
      <c r="E319" s="26" t="n"/>
      <c r="F319" s="25" t="n"/>
      <c r="G319" s="17">
        <f>IF(D319="Sale",E319*F319,IF(D319="Return",-E319*F319,""))</f>
        <v/>
      </c>
      <c r="H319" s="17">
        <f>IFERROR(IF(D319="Sale",E319*INDEX(Products!$E$6:$E$205,MATCH(C319,Products!$B$6:$B$205,0)),IF(D319="Return",-E319*INDEX(Products!$E$6:$E$205,MATCH(C319,Products!$B$6:$B$205,0)),"")),"")</f>
        <v/>
      </c>
      <c r="I319" s="24" t="n"/>
      <c r="J319" s="1" t="n"/>
    </row>
    <row r="320">
      <c r="A320" s="1" t="n"/>
      <c r="B320" s="30" t="n"/>
      <c r="C320" s="23" t="n"/>
      <c r="D320" s="23" t="n"/>
      <c r="E320" s="26" t="n"/>
      <c r="F320" s="25" t="n"/>
      <c r="G320" s="17">
        <f>IF(D320="Sale",E320*F320,IF(D320="Return",-E320*F320,""))</f>
        <v/>
      </c>
      <c r="H320" s="17">
        <f>IFERROR(IF(D320="Sale",E320*INDEX(Products!$E$6:$E$205,MATCH(C320,Products!$B$6:$B$205,0)),IF(D320="Return",-E320*INDEX(Products!$E$6:$E$205,MATCH(C320,Products!$B$6:$B$205,0)),"")),"")</f>
        <v/>
      </c>
      <c r="I320" s="24" t="n"/>
      <c r="J320" s="1" t="n"/>
    </row>
    <row r="321">
      <c r="A321" s="1" t="n"/>
      <c r="B321" s="30" t="n"/>
      <c r="C321" s="23" t="n"/>
      <c r="D321" s="23" t="n"/>
      <c r="E321" s="26" t="n"/>
      <c r="F321" s="25" t="n"/>
      <c r="G321" s="17">
        <f>IF(D321="Sale",E321*F321,IF(D321="Return",-E321*F321,""))</f>
        <v/>
      </c>
      <c r="H321" s="17">
        <f>IFERROR(IF(D321="Sale",E321*INDEX(Products!$E$6:$E$205,MATCH(C321,Products!$B$6:$B$205,0)),IF(D321="Return",-E321*INDEX(Products!$E$6:$E$205,MATCH(C321,Products!$B$6:$B$205,0)),"")),"")</f>
        <v/>
      </c>
      <c r="I321" s="24" t="n"/>
      <c r="J321" s="1" t="n"/>
    </row>
    <row r="322">
      <c r="A322" s="1" t="n"/>
      <c r="B322" s="30" t="n"/>
      <c r="C322" s="23" t="n"/>
      <c r="D322" s="23" t="n"/>
      <c r="E322" s="26" t="n"/>
      <c r="F322" s="25" t="n"/>
      <c r="G322" s="17">
        <f>IF(D322="Sale",E322*F322,IF(D322="Return",-E322*F322,""))</f>
        <v/>
      </c>
      <c r="H322" s="17">
        <f>IFERROR(IF(D322="Sale",E322*INDEX(Products!$E$6:$E$205,MATCH(C322,Products!$B$6:$B$205,0)),IF(D322="Return",-E322*INDEX(Products!$E$6:$E$205,MATCH(C322,Products!$B$6:$B$205,0)),"")),"")</f>
        <v/>
      </c>
      <c r="I322" s="24" t="n"/>
      <c r="J322" s="1" t="n"/>
    </row>
    <row r="323">
      <c r="A323" s="1" t="n"/>
      <c r="B323" s="30" t="n"/>
      <c r="C323" s="23" t="n"/>
      <c r="D323" s="23" t="n"/>
      <c r="E323" s="26" t="n"/>
      <c r="F323" s="25" t="n"/>
      <c r="G323" s="17">
        <f>IF(D323="Sale",E323*F323,IF(D323="Return",-E323*F323,""))</f>
        <v/>
      </c>
      <c r="H323" s="17">
        <f>IFERROR(IF(D323="Sale",E323*INDEX(Products!$E$6:$E$205,MATCH(C323,Products!$B$6:$B$205,0)),IF(D323="Return",-E323*INDEX(Products!$E$6:$E$205,MATCH(C323,Products!$B$6:$B$205,0)),"")),"")</f>
        <v/>
      </c>
      <c r="I323" s="24" t="n"/>
      <c r="J323" s="1" t="n"/>
    </row>
    <row r="324">
      <c r="A324" s="1" t="n"/>
      <c r="B324" s="30" t="n"/>
      <c r="C324" s="23" t="n"/>
      <c r="D324" s="23" t="n"/>
      <c r="E324" s="26" t="n"/>
      <c r="F324" s="25" t="n"/>
      <c r="G324" s="17">
        <f>IF(D324="Sale",E324*F324,IF(D324="Return",-E324*F324,""))</f>
        <v/>
      </c>
      <c r="H324" s="17">
        <f>IFERROR(IF(D324="Sale",E324*INDEX(Products!$E$6:$E$205,MATCH(C324,Products!$B$6:$B$205,0)),IF(D324="Return",-E324*INDEX(Products!$E$6:$E$205,MATCH(C324,Products!$B$6:$B$205,0)),"")),"")</f>
        <v/>
      </c>
      <c r="I324" s="24" t="n"/>
      <c r="J324" s="1" t="n"/>
    </row>
    <row r="325">
      <c r="A325" s="1" t="n"/>
      <c r="B325" s="30" t="n"/>
      <c r="C325" s="23" t="n"/>
      <c r="D325" s="23" t="n"/>
      <c r="E325" s="26" t="n"/>
      <c r="F325" s="25" t="n"/>
      <c r="G325" s="17">
        <f>IF(D325="Sale",E325*F325,IF(D325="Return",-E325*F325,""))</f>
        <v/>
      </c>
      <c r="H325" s="17">
        <f>IFERROR(IF(D325="Sale",E325*INDEX(Products!$E$6:$E$205,MATCH(C325,Products!$B$6:$B$205,0)),IF(D325="Return",-E325*INDEX(Products!$E$6:$E$205,MATCH(C325,Products!$B$6:$B$205,0)),"")),"")</f>
        <v/>
      </c>
      <c r="I325" s="24" t="n"/>
      <c r="J325" s="1" t="n"/>
    </row>
    <row r="326">
      <c r="A326" s="1" t="n"/>
      <c r="B326" s="30" t="n"/>
      <c r="C326" s="23" t="n"/>
      <c r="D326" s="23" t="n"/>
      <c r="E326" s="26" t="n"/>
      <c r="F326" s="25" t="n"/>
      <c r="G326" s="17">
        <f>IF(D326="Sale",E326*F326,IF(D326="Return",-E326*F326,""))</f>
        <v/>
      </c>
      <c r="H326" s="17">
        <f>IFERROR(IF(D326="Sale",E326*INDEX(Products!$E$6:$E$205,MATCH(C326,Products!$B$6:$B$205,0)),IF(D326="Return",-E326*INDEX(Products!$E$6:$E$205,MATCH(C326,Products!$B$6:$B$205,0)),"")),"")</f>
        <v/>
      </c>
      <c r="I326" s="24" t="n"/>
      <c r="J326" s="1" t="n"/>
    </row>
    <row r="327">
      <c r="A327" s="1" t="n"/>
      <c r="B327" s="30" t="n"/>
      <c r="C327" s="23" t="n"/>
      <c r="D327" s="23" t="n"/>
      <c r="E327" s="26" t="n"/>
      <c r="F327" s="25" t="n"/>
      <c r="G327" s="17">
        <f>IF(D327="Sale",E327*F327,IF(D327="Return",-E327*F327,""))</f>
        <v/>
      </c>
      <c r="H327" s="17">
        <f>IFERROR(IF(D327="Sale",E327*INDEX(Products!$E$6:$E$205,MATCH(C327,Products!$B$6:$B$205,0)),IF(D327="Return",-E327*INDEX(Products!$E$6:$E$205,MATCH(C327,Products!$B$6:$B$205,0)),"")),"")</f>
        <v/>
      </c>
      <c r="I327" s="24" t="n"/>
      <c r="J327" s="1" t="n"/>
    </row>
    <row r="328">
      <c r="A328" s="1" t="n"/>
      <c r="B328" s="30" t="n"/>
      <c r="C328" s="23" t="n"/>
      <c r="D328" s="23" t="n"/>
      <c r="E328" s="26" t="n"/>
      <c r="F328" s="25" t="n"/>
      <c r="G328" s="17">
        <f>IF(D328="Sale",E328*F328,IF(D328="Return",-E328*F328,""))</f>
        <v/>
      </c>
      <c r="H328" s="17">
        <f>IFERROR(IF(D328="Sale",E328*INDEX(Products!$E$6:$E$205,MATCH(C328,Products!$B$6:$B$205,0)),IF(D328="Return",-E328*INDEX(Products!$E$6:$E$205,MATCH(C328,Products!$B$6:$B$205,0)),"")),"")</f>
        <v/>
      </c>
      <c r="I328" s="24" t="n"/>
      <c r="J328" s="1" t="n"/>
    </row>
    <row r="329">
      <c r="A329" s="1" t="n"/>
      <c r="B329" s="30" t="n"/>
      <c r="C329" s="23" t="n"/>
      <c r="D329" s="23" t="n"/>
      <c r="E329" s="26" t="n"/>
      <c r="F329" s="25" t="n"/>
      <c r="G329" s="17">
        <f>IF(D329="Sale",E329*F329,IF(D329="Return",-E329*F329,""))</f>
        <v/>
      </c>
      <c r="H329" s="17">
        <f>IFERROR(IF(D329="Sale",E329*INDEX(Products!$E$6:$E$205,MATCH(C329,Products!$B$6:$B$205,0)),IF(D329="Return",-E329*INDEX(Products!$E$6:$E$205,MATCH(C329,Products!$B$6:$B$205,0)),"")),"")</f>
        <v/>
      </c>
      <c r="I329" s="24" t="n"/>
      <c r="J329" s="1" t="n"/>
    </row>
    <row r="330">
      <c r="A330" s="1" t="n"/>
      <c r="B330" s="30" t="n"/>
      <c r="C330" s="23" t="n"/>
      <c r="D330" s="23" t="n"/>
      <c r="E330" s="26" t="n"/>
      <c r="F330" s="25" t="n"/>
      <c r="G330" s="17">
        <f>IF(D330="Sale",E330*F330,IF(D330="Return",-E330*F330,""))</f>
        <v/>
      </c>
      <c r="H330" s="17">
        <f>IFERROR(IF(D330="Sale",E330*INDEX(Products!$E$6:$E$205,MATCH(C330,Products!$B$6:$B$205,0)),IF(D330="Return",-E330*INDEX(Products!$E$6:$E$205,MATCH(C330,Products!$B$6:$B$205,0)),"")),"")</f>
        <v/>
      </c>
      <c r="I330" s="24" t="n"/>
      <c r="J330" s="1" t="n"/>
    </row>
    <row r="331">
      <c r="A331" s="1" t="n"/>
      <c r="B331" s="30" t="n"/>
      <c r="C331" s="23" t="n"/>
      <c r="D331" s="23" t="n"/>
      <c r="E331" s="26" t="n"/>
      <c r="F331" s="25" t="n"/>
      <c r="G331" s="17">
        <f>IF(D331="Sale",E331*F331,IF(D331="Return",-E331*F331,""))</f>
        <v/>
      </c>
      <c r="H331" s="17">
        <f>IFERROR(IF(D331="Sale",E331*INDEX(Products!$E$6:$E$205,MATCH(C331,Products!$B$6:$B$205,0)),IF(D331="Return",-E331*INDEX(Products!$E$6:$E$205,MATCH(C331,Products!$B$6:$B$205,0)),"")),"")</f>
        <v/>
      </c>
      <c r="I331" s="24" t="n"/>
      <c r="J331" s="1" t="n"/>
    </row>
    <row r="332">
      <c r="A332" s="1" t="n"/>
      <c r="B332" s="30" t="n"/>
      <c r="C332" s="23" t="n"/>
      <c r="D332" s="23" t="n"/>
      <c r="E332" s="26" t="n"/>
      <c r="F332" s="25" t="n"/>
      <c r="G332" s="17">
        <f>IF(D332="Sale",E332*F332,IF(D332="Return",-E332*F332,""))</f>
        <v/>
      </c>
      <c r="H332" s="17">
        <f>IFERROR(IF(D332="Sale",E332*INDEX(Products!$E$6:$E$205,MATCH(C332,Products!$B$6:$B$205,0)),IF(D332="Return",-E332*INDEX(Products!$E$6:$E$205,MATCH(C332,Products!$B$6:$B$205,0)),"")),"")</f>
        <v/>
      </c>
      <c r="I332" s="24" t="n"/>
      <c r="J332" s="1" t="n"/>
    </row>
    <row r="333">
      <c r="A333" s="1" t="n"/>
      <c r="B333" s="30" t="n"/>
      <c r="C333" s="23" t="n"/>
      <c r="D333" s="23" t="n"/>
      <c r="E333" s="26" t="n"/>
      <c r="F333" s="25" t="n"/>
      <c r="G333" s="17">
        <f>IF(D333="Sale",E333*F333,IF(D333="Return",-E333*F333,""))</f>
        <v/>
      </c>
      <c r="H333" s="17">
        <f>IFERROR(IF(D333="Sale",E333*INDEX(Products!$E$6:$E$205,MATCH(C333,Products!$B$6:$B$205,0)),IF(D333="Return",-E333*INDEX(Products!$E$6:$E$205,MATCH(C333,Products!$B$6:$B$205,0)),"")),"")</f>
        <v/>
      </c>
      <c r="I333" s="24" t="n"/>
      <c r="J333" s="1" t="n"/>
    </row>
    <row r="334">
      <c r="A334" s="1" t="n"/>
      <c r="B334" s="30" t="n"/>
      <c r="C334" s="23" t="n"/>
      <c r="D334" s="23" t="n"/>
      <c r="E334" s="26" t="n"/>
      <c r="F334" s="25" t="n"/>
      <c r="G334" s="17">
        <f>IF(D334="Sale",E334*F334,IF(D334="Return",-E334*F334,""))</f>
        <v/>
      </c>
      <c r="H334" s="17">
        <f>IFERROR(IF(D334="Sale",E334*INDEX(Products!$E$6:$E$205,MATCH(C334,Products!$B$6:$B$205,0)),IF(D334="Return",-E334*INDEX(Products!$E$6:$E$205,MATCH(C334,Products!$B$6:$B$205,0)),"")),"")</f>
        <v/>
      </c>
      <c r="I334" s="24" t="n"/>
      <c r="J334" s="1" t="n"/>
    </row>
    <row r="335">
      <c r="A335" s="1" t="n"/>
      <c r="B335" s="30" t="n"/>
      <c r="C335" s="23" t="n"/>
      <c r="D335" s="23" t="n"/>
      <c r="E335" s="26" t="n"/>
      <c r="F335" s="25" t="n"/>
      <c r="G335" s="17">
        <f>IF(D335="Sale",E335*F335,IF(D335="Return",-E335*F335,""))</f>
        <v/>
      </c>
      <c r="H335" s="17">
        <f>IFERROR(IF(D335="Sale",E335*INDEX(Products!$E$6:$E$205,MATCH(C335,Products!$B$6:$B$205,0)),IF(D335="Return",-E335*INDEX(Products!$E$6:$E$205,MATCH(C335,Products!$B$6:$B$205,0)),"")),"")</f>
        <v/>
      </c>
      <c r="I335" s="24" t="n"/>
      <c r="J335" s="1" t="n"/>
    </row>
    <row r="336">
      <c r="A336" s="1" t="n"/>
      <c r="B336" s="30" t="n"/>
      <c r="C336" s="23" t="n"/>
      <c r="D336" s="23" t="n"/>
      <c r="E336" s="26" t="n"/>
      <c r="F336" s="25" t="n"/>
      <c r="G336" s="17">
        <f>IF(D336="Sale",E336*F336,IF(D336="Return",-E336*F336,""))</f>
        <v/>
      </c>
      <c r="H336" s="17">
        <f>IFERROR(IF(D336="Sale",E336*INDEX(Products!$E$6:$E$205,MATCH(C336,Products!$B$6:$B$205,0)),IF(D336="Return",-E336*INDEX(Products!$E$6:$E$205,MATCH(C336,Products!$B$6:$B$205,0)),"")),"")</f>
        <v/>
      </c>
      <c r="I336" s="24" t="n"/>
      <c r="J336" s="1" t="n"/>
    </row>
    <row r="337">
      <c r="A337" s="1" t="n"/>
      <c r="B337" s="30" t="n"/>
      <c r="C337" s="23" t="n"/>
      <c r="D337" s="23" t="n"/>
      <c r="E337" s="26" t="n"/>
      <c r="F337" s="25" t="n"/>
      <c r="G337" s="17">
        <f>IF(D337="Sale",E337*F337,IF(D337="Return",-E337*F337,""))</f>
        <v/>
      </c>
      <c r="H337" s="17">
        <f>IFERROR(IF(D337="Sale",E337*INDEX(Products!$E$6:$E$205,MATCH(C337,Products!$B$6:$B$205,0)),IF(D337="Return",-E337*INDEX(Products!$E$6:$E$205,MATCH(C337,Products!$B$6:$B$205,0)),"")),"")</f>
        <v/>
      </c>
      <c r="I337" s="24" t="n"/>
      <c r="J337" s="1" t="n"/>
    </row>
    <row r="338">
      <c r="A338" s="1" t="n"/>
      <c r="B338" s="30" t="n"/>
      <c r="C338" s="23" t="n"/>
      <c r="D338" s="23" t="n"/>
      <c r="E338" s="26" t="n"/>
      <c r="F338" s="25" t="n"/>
      <c r="G338" s="17">
        <f>IF(D338="Sale",E338*F338,IF(D338="Return",-E338*F338,""))</f>
        <v/>
      </c>
      <c r="H338" s="17">
        <f>IFERROR(IF(D338="Sale",E338*INDEX(Products!$E$6:$E$205,MATCH(C338,Products!$B$6:$B$205,0)),IF(D338="Return",-E338*INDEX(Products!$E$6:$E$205,MATCH(C338,Products!$B$6:$B$205,0)),"")),"")</f>
        <v/>
      </c>
      <c r="I338" s="24" t="n"/>
      <c r="J338" s="1" t="n"/>
    </row>
    <row r="339">
      <c r="A339" s="1" t="n"/>
      <c r="B339" s="30" t="n"/>
      <c r="C339" s="23" t="n"/>
      <c r="D339" s="23" t="n"/>
      <c r="E339" s="26" t="n"/>
      <c r="F339" s="25" t="n"/>
      <c r="G339" s="17">
        <f>IF(D339="Sale",E339*F339,IF(D339="Return",-E339*F339,""))</f>
        <v/>
      </c>
      <c r="H339" s="17">
        <f>IFERROR(IF(D339="Sale",E339*INDEX(Products!$E$6:$E$205,MATCH(C339,Products!$B$6:$B$205,0)),IF(D339="Return",-E339*INDEX(Products!$E$6:$E$205,MATCH(C339,Products!$B$6:$B$205,0)),"")),"")</f>
        <v/>
      </c>
      <c r="I339" s="24" t="n"/>
      <c r="J339" s="1" t="n"/>
    </row>
    <row r="340">
      <c r="A340" s="1" t="n"/>
      <c r="B340" s="30" t="n"/>
      <c r="C340" s="23" t="n"/>
      <c r="D340" s="23" t="n"/>
      <c r="E340" s="26" t="n"/>
      <c r="F340" s="25" t="n"/>
      <c r="G340" s="17">
        <f>IF(D340="Sale",E340*F340,IF(D340="Return",-E340*F340,""))</f>
        <v/>
      </c>
      <c r="H340" s="17">
        <f>IFERROR(IF(D340="Sale",E340*INDEX(Products!$E$6:$E$205,MATCH(C340,Products!$B$6:$B$205,0)),IF(D340="Return",-E340*INDEX(Products!$E$6:$E$205,MATCH(C340,Products!$B$6:$B$205,0)),"")),"")</f>
        <v/>
      </c>
      <c r="I340" s="24" t="n"/>
      <c r="J340" s="1" t="n"/>
    </row>
    <row r="341">
      <c r="A341" s="1" t="n"/>
      <c r="B341" s="30" t="n"/>
      <c r="C341" s="23" t="n"/>
      <c r="D341" s="23" t="n"/>
      <c r="E341" s="26" t="n"/>
      <c r="F341" s="25" t="n"/>
      <c r="G341" s="17">
        <f>IF(D341="Sale",E341*F341,IF(D341="Return",-E341*F341,""))</f>
        <v/>
      </c>
      <c r="H341" s="17">
        <f>IFERROR(IF(D341="Sale",E341*INDEX(Products!$E$6:$E$205,MATCH(C341,Products!$B$6:$B$205,0)),IF(D341="Return",-E341*INDEX(Products!$E$6:$E$205,MATCH(C341,Products!$B$6:$B$205,0)),"")),"")</f>
        <v/>
      </c>
      <c r="I341" s="24" t="n"/>
      <c r="J341" s="1" t="n"/>
    </row>
    <row r="342">
      <c r="A342" s="1" t="n"/>
      <c r="B342" s="30" t="n"/>
      <c r="C342" s="23" t="n"/>
      <c r="D342" s="23" t="n"/>
      <c r="E342" s="26" t="n"/>
      <c r="F342" s="25" t="n"/>
      <c r="G342" s="17">
        <f>IF(D342="Sale",E342*F342,IF(D342="Return",-E342*F342,""))</f>
        <v/>
      </c>
      <c r="H342" s="17">
        <f>IFERROR(IF(D342="Sale",E342*INDEX(Products!$E$6:$E$205,MATCH(C342,Products!$B$6:$B$205,0)),IF(D342="Return",-E342*INDEX(Products!$E$6:$E$205,MATCH(C342,Products!$B$6:$B$205,0)),"")),"")</f>
        <v/>
      </c>
      <c r="I342" s="24" t="n"/>
      <c r="J342" s="1" t="n"/>
    </row>
    <row r="343">
      <c r="A343" s="1" t="n"/>
      <c r="B343" s="30" t="n"/>
      <c r="C343" s="23" t="n"/>
      <c r="D343" s="23" t="n"/>
      <c r="E343" s="26" t="n"/>
      <c r="F343" s="25" t="n"/>
      <c r="G343" s="17">
        <f>IF(D343="Sale",E343*F343,IF(D343="Return",-E343*F343,""))</f>
        <v/>
      </c>
      <c r="H343" s="17">
        <f>IFERROR(IF(D343="Sale",E343*INDEX(Products!$E$6:$E$205,MATCH(C343,Products!$B$6:$B$205,0)),IF(D343="Return",-E343*INDEX(Products!$E$6:$E$205,MATCH(C343,Products!$B$6:$B$205,0)),"")),"")</f>
        <v/>
      </c>
      <c r="I343" s="24" t="n"/>
      <c r="J343" s="1" t="n"/>
    </row>
    <row r="344">
      <c r="A344" s="1" t="n"/>
      <c r="B344" s="30" t="n"/>
      <c r="C344" s="23" t="n"/>
      <c r="D344" s="23" t="n"/>
      <c r="E344" s="26" t="n"/>
      <c r="F344" s="25" t="n"/>
      <c r="G344" s="17">
        <f>IF(D344="Sale",E344*F344,IF(D344="Return",-E344*F344,""))</f>
        <v/>
      </c>
      <c r="H344" s="17">
        <f>IFERROR(IF(D344="Sale",E344*INDEX(Products!$E$6:$E$205,MATCH(C344,Products!$B$6:$B$205,0)),IF(D344="Return",-E344*INDEX(Products!$E$6:$E$205,MATCH(C344,Products!$B$6:$B$205,0)),"")),"")</f>
        <v/>
      </c>
      <c r="I344" s="24" t="n"/>
      <c r="J344" s="1" t="n"/>
    </row>
    <row r="345">
      <c r="A345" s="1" t="n"/>
      <c r="B345" s="30" t="n"/>
      <c r="C345" s="23" t="n"/>
      <c r="D345" s="23" t="n"/>
      <c r="E345" s="26" t="n"/>
      <c r="F345" s="25" t="n"/>
      <c r="G345" s="17">
        <f>IF(D345="Sale",E345*F345,IF(D345="Return",-E345*F345,""))</f>
        <v/>
      </c>
      <c r="H345" s="17">
        <f>IFERROR(IF(D345="Sale",E345*INDEX(Products!$E$6:$E$205,MATCH(C345,Products!$B$6:$B$205,0)),IF(D345="Return",-E345*INDEX(Products!$E$6:$E$205,MATCH(C345,Products!$B$6:$B$205,0)),"")),"")</f>
        <v/>
      </c>
      <c r="I345" s="24" t="n"/>
      <c r="J345" s="1" t="n"/>
    </row>
    <row r="346">
      <c r="A346" s="1" t="n"/>
      <c r="B346" s="30" t="n"/>
      <c r="C346" s="23" t="n"/>
      <c r="D346" s="23" t="n"/>
      <c r="E346" s="26" t="n"/>
      <c r="F346" s="25" t="n"/>
      <c r="G346" s="17">
        <f>IF(D346="Sale",E346*F346,IF(D346="Return",-E346*F346,""))</f>
        <v/>
      </c>
      <c r="H346" s="17">
        <f>IFERROR(IF(D346="Sale",E346*INDEX(Products!$E$6:$E$205,MATCH(C346,Products!$B$6:$B$205,0)),IF(D346="Return",-E346*INDEX(Products!$E$6:$E$205,MATCH(C346,Products!$B$6:$B$205,0)),"")),"")</f>
        <v/>
      </c>
      <c r="I346" s="24" t="n"/>
      <c r="J346" s="1" t="n"/>
    </row>
    <row r="347">
      <c r="A347" s="1" t="n"/>
      <c r="B347" s="30" t="n"/>
      <c r="C347" s="23" t="n"/>
      <c r="D347" s="23" t="n"/>
      <c r="E347" s="26" t="n"/>
      <c r="F347" s="25" t="n"/>
      <c r="G347" s="17">
        <f>IF(D347="Sale",E347*F347,IF(D347="Return",-E347*F347,""))</f>
        <v/>
      </c>
      <c r="H347" s="17">
        <f>IFERROR(IF(D347="Sale",E347*INDEX(Products!$E$6:$E$205,MATCH(C347,Products!$B$6:$B$205,0)),IF(D347="Return",-E347*INDEX(Products!$E$6:$E$205,MATCH(C347,Products!$B$6:$B$205,0)),"")),"")</f>
        <v/>
      </c>
      <c r="I347" s="24" t="n"/>
      <c r="J347" s="1" t="n"/>
    </row>
    <row r="348">
      <c r="A348" s="1" t="n"/>
      <c r="B348" s="30" t="n"/>
      <c r="C348" s="23" t="n"/>
      <c r="D348" s="23" t="n"/>
      <c r="E348" s="26" t="n"/>
      <c r="F348" s="25" t="n"/>
      <c r="G348" s="17">
        <f>IF(D348="Sale",E348*F348,IF(D348="Return",-E348*F348,""))</f>
        <v/>
      </c>
      <c r="H348" s="17">
        <f>IFERROR(IF(D348="Sale",E348*INDEX(Products!$E$6:$E$205,MATCH(C348,Products!$B$6:$B$205,0)),IF(D348="Return",-E348*INDEX(Products!$E$6:$E$205,MATCH(C348,Products!$B$6:$B$205,0)),"")),"")</f>
        <v/>
      </c>
      <c r="I348" s="24" t="n"/>
      <c r="J348" s="1" t="n"/>
    </row>
    <row r="349">
      <c r="A349" s="1" t="n"/>
      <c r="B349" s="30" t="n"/>
      <c r="C349" s="23" t="n"/>
      <c r="D349" s="23" t="n"/>
      <c r="E349" s="26" t="n"/>
      <c r="F349" s="25" t="n"/>
      <c r="G349" s="17">
        <f>IF(D349="Sale",E349*F349,IF(D349="Return",-E349*F349,""))</f>
        <v/>
      </c>
      <c r="H349" s="17">
        <f>IFERROR(IF(D349="Sale",E349*INDEX(Products!$E$6:$E$205,MATCH(C349,Products!$B$6:$B$205,0)),IF(D349="Return",-E349*INDEX(Products!$E$6:$E$205,MATCH(C349,Products!$B$6:$B$205,0)),"")),"")</f>
        <v/>
      </c>
      <c r="I349" s="24" t="n"/>
      <c r="J349" s="1" t="n"/>
    </row>
    <row r="350">
      <c r="A350" s="1" t="n"/>
      <c r="B350" s="30" t="n"/>
      <c r="C350" s="23" t="n"/>
      <c r="D350" s="23" t="n"/>
      <c r="E350" s="26" t="n"/>
      <c r="F350" s="25" t="n"/>
      <c r="G350" s="17">
        <f>IF(D350="Sale",E350*F350,IF(D350="Return",-E350*F350,""))</f>
        <v/>
      </c>
      <c r="H350" s="17">
        <f>IFERROR(IF(D350="Sale",E350*INDEX(Products!$E$6:$E$205,MATCH(C350,Products!$B$6:$B$205,0)),IF(D350="Return",-E350*INDEX(Products!$E$6:$E$205,MATCH(C350,Products!$B$6:$B$205,0)),"")),"")</f>
        <v/>
      </c>
      <c r="I350" s="24" t="n"/>
      <c r="J350" s="1" t="n"/>
    </row>
    <row r="351">
      <c r="A351" s="1" t="n"/>
      <c r="B351" s="30" t="n"/>
      <c r="C351" s="23" t="n"/>
      <c r="D351" s="23" t="n"/>
      <c r="E351" s="26" t="n"/>
      <c r="F351" s="25" t="n"/>
      <c r="G351" s="17">
        <f>IF(D351="Sale",E351*F351,IF(D351="Return",-E351*F351,""))</f>
        <v/>
      </c>
      <c r="H351" s="17">
        <f>IFERROR(IF(D351="Sale",E351*INDEX(Products!$E$6:$E$205,MATCH(C351,Products!$B$6:$B$205,0)),IF(D351="Return",-E351*INDEX(Products!$E$6:$E$205,MATCH(C351,Products!$B$6:$B$205,0)),"")),"")</f>
        <v/>
      </c>
      <c r="I351" s="24" t="n"/>
      <c r="J351" s="1" t="n"/>
    </row>
    <row r="352">
      <c r="A352" s="1" t="n"/>
      <c r="B352" s="30" t="n"/>
      <c r="C352" s="23" t="n"/>
      <c r="D352" s="23" t="n"/>
      <c r="E352" s="26" t="n"/>
      <c r="F352" s="25" t="n"/>
      <c r="G352" s="17">
        <f>IF(D352="Sale",E352*F352,IF(D352="Return",-E352*F352,""))</f>
        <v/>
      </c>
      <c r="H352" s="17">
        <f>IFERROR(IF(D352="Sale",E352*INDEX(Products!$E$6:$E$205,MATCH(C352,Products!$B$6:$B$205,0)),IF(D352="Return",-E352*INDEX(Products!$E$6:$E$205,MATCH(C352,Products!$B$6:$B$205,0)),"")),"")</f>
        <v/>
      </c>
      <c r="I352" s="24" t="n"/>
      <c r="J352" s="1" t="n"/>
    </row>
    <row r="353">
      <c r="A353" s="1" t="n"/>
      <c r="B353" s="30" t="n"/>
      <c r="C353" s="23" t="n"/>
      <c r="D353" s="23" t="n"/>
      <c r="E353" s="26" t="n"/>
      <c r="F353" s="25" t="n"/>
      <c r="G353" s="17">
        <f>IF(D353="Sale",E353*F353,IF(D353="Return",-E353*F353,""))</f>
        <v/>
      </c>
      <c r="H353" s="17">
        <f>IFERROR(IF(D353="Sale",E353*INDEX(Products!$E$6:$E$205,MATCH(C353,Products!$B$6:$B$205,0)),IF(D353="Return",-E353*INDEX(Products!$E$6:$E$205,MATCH(C353,Products!$B$6:$B$205,0)),"")),"")</f>
        <v/>
      </c>
      <c r="I353" s="24" t="n"/>
      <c r="J353" s="1" t="n"/>
    </row>
    <row r="354">
      <c r="A354" s="1" t="n"/>
      <c r="B354" s="30" t="n"/>
      <c r="C354" s="23" t="n"/>
      <c r="D354" s="23" t="n"/>
      <c r="E354" s="26" t="n"/>
      <c r="F354" s="25" t="n"/>
      <c r="G354" s="17">
        <f>IF(D354="Sale",E354*F354,IF(D354="Return",-E354*F354,""))</f>
        <v/>
      </c>
      <c r="H354" s="17">
        <f>IFERROR(IF(D354="Sale",E354*INDEX(Products!$E$6:$E$205,MATCH(C354,Products!$B$6:$B$205,0)),IF(D354="Return",-E354*INDEX(Products!$E$6:$E$205,MATCH(C354,Products!$B$6:$B$205,0)),"")),"")</f>
        <v/>
      </c>
      <c r="I354" s="24" t="n"/>
      <c r="J354" s="1" t="n"/>
    </row>
    <row r="355">
      <c r="A355" s="1" t="n"/>
      <c r="B355" s="30" t="n"/>
      <c r="C355" s="23" t="n"/>
      <c r="D355" s="23" t="n"/>
      <c r="E355" s="26" t="n"/>
      <c r="F355" s="25" t="n"/>
      <c r="G355" s="17">
        <f>IF(D355="Sale",E355*F355,IF(D355="Return",-E355*F355,""))</f>
        <v/>
      </c>
      <c r="H355" s="17">
        <f>IFERROR(IF(D355="Sale",E355*INDEX(Products!$E$6:$E$205,MATCH(C355,Products!$B$6:$B$205,0)),IF(D355="Return",-E355*INDEX(Products!$E$6:$E$205,MATCH(C355,Products!$B$6:$B$205,0)),"")),"")</f>
        <v/>
      </c>
      <c r="I355" s="24" t="n"/>
      <c r="J355" s="1" t="n"/>
    </row>
    <row r="356">
      <c r="A356" s="1" t="n"/>
      <c r="B356" s="30" t="n"/>
      <c r="C356" s="23" t="n"/>
      <c r="D356" s="23" t="n"/>
      <c r="E356" s="26" t="n"/>
      <c r="F356" s="25" t="n"/>
      <c r="G356" s="17">
        <f>IF(D356="Sale",E356*F356,IF(D356="Return",-E356*F356,""))</f>
        <v/>
      </c>
      <c r="H356" s="17">
        <f>IFERROR(IF(D356="Sale",E356*INDEX(Products!$E$6:$E$205,MATCH(C356,Products!$B$6:$B$205,0)),IF(D356="Return",-E356*INDEX(Products!$E$6:$E$205,MATCH(C356,Products!$B$6:$B$205,0)),"")),"")</f>
        <v/>
      </c>
      <c r="I356" s="24" t="n"/>
      <c r="J356" s="1" t="n"/>
    </row>
    <row r="357">
      <c r="A357" s="1" t="n"/>
      <c r="B357" s="30" t="n"/>
      <c r="C357" s="23" t="n"/>
      <c r="D357" s="23" t="n"/>
      <c r="E357" s="26" t="n"/>
      <c r="F357" s="25" t="n"/>
      <c r="G357" s="17">
        <f>IF(D357="Sale",E357*F357,IF(D357="Return",-E357*F357,""))</f>
        <v/>
      </c>
      <c r="H357" s="17">
        <f>IFERROR(IF(D357="Sale",E357*INDEX(Products!$E$6:$E$205,MATCH(C357,Products!$B$6:$B$205,0)),IF(D357="Return",-E357*INDEX(Products!$E$6:$E$205,MATCH(C357,Products!$B$6:$B$205,0)),"")),"")</f>
        <v/>
      </c>
      <c r="I357" s="24" t="n"/>
      <c r="J357" s="1" t="n"/>
    </row>
    <row r="358">
      <c r="A358" s="1" t="n"/>
      <c r="B358" s="30" t="n"/>
      <c r="C358" s="23" t="n"/>
      <c r="D358" s="23" t="n"/>
      <c r="E358" s="26" t="n"/>
      <c r="F358" s="25" t="n"/>
      <c r="G358" s="17">
        <f>IF(D358="Sale",E358*F358,IF(D358="Return",-E358*F358,""))</f>
        <v/>
      </c>
      <c r="H358" s="17">
        <f>IFERROR(IF(D358="Sale",E358*INDEX(Products!$E$6:$E$205,MATCH(C358,Products!$B$6:$B$205,0)),IF(D358="Return",-E358*INDEX(Products!$E$6:$E$205,MATCH(C358,Products!$B$6:$B$205,0)),"")),"")</f>
        <v/>
      </c>
      <c r="I358" s="24" t="n"/>
      <c r="J358" s="1" t="n"/>
    </row>
    <row r="359">
      <c r="A359" s="1" t="n"/>
      <c r="B359" s="30" t="n"/>
      <c r="C359" s="23" t="n"/>
      <c r="D359" s="23" t="n"/>
      <c r="E359" s="26" t="n"/>
      <c r="F359" s="25" t="n"/>
      <c r="G359" s="17">
        <f>IF(D359="Sale",E359*F359,IF(D359="Return",-E359*F359,""))</f>
        <v/>
      </c>
      <c r="H359" s="17">
        <f>IFERROR(IF(D359="Sale",E359*INDEX(Products!$E$6:$E$205,MATCH(C359,Products!$B$6:$B$205,0)),IF(D359="Return",-E359*INDEX(Products!$E$6:$E$205,MATCH(C359,Products!$B$6:$B$205,0)),"")),"")</f>
        <v/>
      </c>
      <c r="I359" s="24" t="n"/>
      <c r="J359" s="1" t="n"/>
    </row>
    <row r="360">
      <c r="A360" s="1" t="n"/>
      <c r="B360" s="30" t="n"/>
      <c r="C360" s="23" t="n"/>
      <c r="D360" s="23" t="n"/>
      <c r="E360" s="26" t="n"/>
      <c r="F360" s="25" t="n"/>
      <c r="G360" s="17">
        <f>IF(D360="Sale",E360*F360,IF(D360="Return",-E360*F360,""))</f>
        <v/>
      </c>
      <c r="H360" s="17">
        <f>IFERROR(IF(D360="Sale",E360*INDEX(Products!$E$6:$E$205,MATCH(C360,Products!$B$6:$B$205,0)),IF(D360="Return",-E360*INDEX(Products!$E$6:$E$205,MATCH(C360,Products!$B$6:$B$205,0)),"")),"")</f>
        <v/>
      </c>
      <c r="I360" s="24" t="n"/>
      <c r="J360" s="1" t="n"/>
    </row>
    <row r="361">
      <c r="A361" s="1" t="n"/>
      <c r="B361" s="30" t="n"/>
      <c r="C361" s="23" t="n"/>
      <c r="D361" s="23" t="n"/>
      <c r="E361" s="26" t="n"/>
      <c r="F361" s="25" t="n"/>
      <c r="G361" s="17">
        <f>IF(D361="Sale",E361*F361,IF(D361="Return",-E361*F361,""))</f>
        <v/>
      </c>
      <c r="H361" s="17">
        <f>IFERROR(IF(D361="Sale",E361*INDEX(Products!$E$6:$E$205,MATCH(C361,Products!$B$6:$B$205,0)),IF(D361="Return",-E361*INDEX(Products!$E$6:$E$205,MATCH(C361,Products!$B$6:$B$205,0)),"")),"")</f>
        <v/>
      </c>
      <c r="I361" s="24" t="n"/>
      <c r="J361" s="1" t="n"/>
    </row>
    <row r="362">
      <c r="A362" s="1" t="n"/>
      <c r="B362" s="30" t="n"/>
      <c r="C362" s="23" t="n"/>
      <c r="D362" s="23" t="n"/>
      <c r="E362" s="26" t="n"/>
      <c r="F362" s="25" t="n"/>
      <c r="G362" s="17">
        <f>IF(D362="Sale",E362*F362,IF(D362="Return",-E362*F362,""))</f>
        <v/>
      </c>
      <c r="H362" s="17">
        <f>IFERROR(IF(D362="Sale",E362*INDEX(Products!$E$6:$E$205,MATCH(C362,Products!$B$6:$B$205,0)),IF(D362="Return",-E362*INDEX(Products!$E$6:$E$205,MATCH(C362,Products!$B$6:$B$205,0)),"")),"")</f>
        <v/>
      </c>
      <c r="I362" s="24" t="n"/>
      <c r="J362" s="1" t="n"/>
    </row>
    <row r="363">
      <c r="A363" s="1" t="n"/>
      <c r="B363" s="30" t="n"/>
      <c r="C363" s="23" t="n"/>
      <c r="D363" s="23" t="n"/>
      <c r="E363" s="26" t="n"/>
      <c r="F363" s="25" t="n"/>
      <c r="G363" s="17">
        <f>IF(D363="Sale",E363*F363,IF(D363="Return",-E363*F363,""))</f>
        <v/>
      </c>
      <c r="H363" s="17">
        <f>IFERROR(IF(D363="Sale",E363*INDEX(Products!$E$6:$E$205,MATCH(C363,Products!$B$6:$B$205,0)),IF(D363="Return",-E363*INDEX(Products!$E$6:$E$205,MATCH(C363,Products!$B$6:$B$205,0)),"")),"")</f>
        <v/>
      </c>
      <c r="I363" s="24" t="n"/>
      <c r="J363" s="1" t="n"/>
    </row>
    <row r="364">
      <c r="A364" s="1" t="n"/>
      <c r="B364" s="30" t="n"/>
      <c r="C364" s="23" t="n"/>
      <c r="D364" s="23" t="n"/>
      <c r="E364" s="26" t="n"/>
      <c r="F364" s="25" t="n"/>
      <c r="G364" s="17">
        <f>IF(D364="Sale",E364*F364,IF(D364="Return",-E364*F364,""))</f>
        <v/>
      </c>
      <c r="H364" s="17">
        <f>IFERROR(IF(D364="Sale",E364*INDEX(Products!$E$6:$E$205,MATCH(C364,Products!$B$6:$B$205,0)),IF(D364="Return",-E364*INDEX(Products!$E$6:$E$205,MATCH(C364,Products!$B$6:$B$205,0)),"")),"")</f>
        <v/>
      </c>
      <c r="I364" s="24" t="n"/>
      <c r="J364" s="1" t="n"/>
    </row>
    <row r="365">
      <c r="A365" s="1" t="n"/>
      <c r="B365" s="30" t="n"/>
      <c r="C365" s="23" t="n"/>
      <c r="D365" s="23" t="n"/>
      <c r="E365" s="26" t="n"/>
      <c r="F365" s="25" t="n"/>
      <c r="G365" s="17">
        <f>IF(D365="Sale",E365*F365,IF(D365="Return",-E365*F365,""))</f>
        <v/>
      </c>
      <c r="H365" s="17">
        <f>IFERROR(IF(D365="Sale",E365*INDEX(Products!$E$6:$E$205,MATCH(C365,Products!$B$6:$B$205,0)),IF(D365="Return",-E365*INDEX(Products!$E$6:$E$205,MATCH(C365,Products!$B$6:$B$205,0)),"")),"")</f>
        <v/>
      </c>
      <c r="I365" s="24" t="n"/>
      <c r="J365" s="1" t="n"/>
    </row>
    <row r="366">
      <c r="A366" s="1" t="n"/>
      <c r="B366" s="30" t="n"/>
      <c r="C366" s="23" t="n"/>
      <c r="D366" s="23" t="n"/>
      <c r="E366" s="26" t="n"/>
      <c r="F366" s="25" t="n"/>
      <c r="G366" s="17">
        <f>IF(D366="Sale",E366*F366,IF(D366="Return",-E366*F366,""))</f>
        <v/>
      </c>
      <c r="H366" s="17">
        <f>IFERROR(IF(D366="Sale",E366*INDEX(Products!$E$6:$E$205,MATCH(C366,Products!$B$6:$B$205,0)),IF(D366="Return",-E366*INDEX(Products!$E$6:$E$205,MATCH(C366,Products!$B$6:$B$205,0)),"")),"")</f>
        <v/>
      </c>
      <c r="I366" s="24" t="n"/>
      <c r="J366" s="1" t="n"/>
    </row>
    <row r="367">
      <c r="A367" s="1" t="n"/>
      <c r="B367" s="30" t="n"/>
      <c r="C367" s="23" t="n"/>
      <c r="D367" s="23" t="n"/>
      <c r="E367" s="26" t="n"/>
      <c r="F367" s="25" t="n"/>
      <c r="G367" s="17">
        <f>IF(D367="Sale",E367*F367,IF(D367="Return",-E367*F367,""))</f>
        <v/>
      </c>
      <c r="H367" s="17">
        <f>IFERROR(IF(D367="Sale",E367*INDEX(Products!$E$6:$E$205,MATCH(C367,Products!$B$6:$B$205,0)),IF(D367="Return",-E367*INDEX(Products!$E$6:$E$205,MATCH(C367,Products!$B$6:$B$205,0)),"")),"")</f>
        <v/>
      </c>
      <c r="I367" s="24" t="n"/>
      <c r="J367" s="1" t="n"/>
    </row>
    <row r="368">
      <c r="A368" s="1" t="n"/>
      <c r="B368" s="30" t="n"/>
      <c r="C368" s="23" t="n"/>
      <c r="D368" s="23" t="n"/>
      <c r="E368" s="26" t="n"/>
      <c r="F368" s="25" t="n"/>
      <c r="G368" s="17">
        <f>IF(D368="Sale",E368*F368,IF(D368="Return",-E368*F368,""))</f>
        <v/>
      </c>
      <c r="H368" s="17">
        <f>IFERROR(IF(D368="Sale",E368*INDEX(Products!$E$6:$E$205,MATCH(C368,Products!$B$6:$B$205,0)),IF(D368="Return",-E368*INDEX(Products!$E$6:$E$205,MATCH(C368,Products!$B$6:$B$205,0)),"")),"")</f>
        <v/>
      </c>
      <c r="I368" s="24" t="n"/>
      <c r="J368" s="1" t="n"/>
    </row>
    <row r="369">
      <c r="A369" s="1" t="n"/>
      <c r="B369" s="30" t="n"/>
      <c r="C369" s="23" t="n"/>
      <c r="D369" s="23" t="n"/>
      <c r="E369" s="26" t="n"/>
      <c r="F369" s="25" t="n"/>
      <c r="G369" s="17">
        <f>IF(D369="Sale",E369*F369,IF(D369="Return",-E369*F369,""))</f>
        <v/>
      </c>
      <c r="H369" s="17">
        <f>IFERROR(IF(D369="Sale",E369*INDEX(Products!$E$6:$E$205,MATCH(C369,Products!$B$6:$B$205,0)),IF(D369="Return",-E369*INDEX(Products!$E$6:$E$205,MATCH(C369,Products!$B$6:$B$205,0)),"")),"")</f>
        <v/>
      </c>
      <c r="I369" s="24" t="n"/>
      <c r="J369" s="1" t="n"/>
    </row>
    <row r="370">
      <c r="A370" s="1" t="n"/>
      <c r="B370" s="30" t="n"/>
      <c r="C370" s="23" t="n"/>
      <c r="D370" s="23" t="n"/>
      <c r="E370" s="26" t="n"/>
      <c r="F370" s="25" t="n"/>
      <c r="G370" s="17">
        <f>IF(D370="Sale",E370*F370,IF(D370="Return",-E370*F370,""))</f>
        <v/>
      </c>
      <c r="H370" s="17">
        <f>IFERROR(IF(D370="Sale",E370*INDEX(Products!$E$6:$E$205,MATCH(C370,Products!$B$6:$B$205,0)),IF(D370="Return",-E370*INDEX(Products!$E$6:$E$205,MATCH(C370,Products!$B$6:$B$205,0)),"")),"")</f>
        <v/>
      </c>
      <c r="I370" s="24" t="n"/>
      <c r="J370" s="1" t="n"/>
    </row>
    <row r="371">
      <c r="A371" s="1" t="n"/>
      <c r="B371" s="30" t="n"/>
      <c r="C371" s="23" t="n"/>
      <c r="D371" s="23" t="n"/>
      <c r="E371" s="26" t="n"/>
      <c r="F371" s="25" t="n"/>
      <c r="G371" s="17">
        <f>IF(D371="Sale",E371*F371,IF(D371="Return",-E371*F371,""))</f>
        <v/>
      </c>
      <c r="H371" s="17">
        <f>IFERROR(IF(D371="Sale",E371*INDEX(Products!$E$6:$E$205,MATCH(C371,Products!$B$6:$B$205,0)),IF(D371="Return",-E371*INDEX(Products!$E$6:$E$205,MATCH(C371,Products!$B$6:$B$205,0)),"")),"")</f>
        <v/>
      </c>
      <c r="I371" s="24" t="n"/>
      <c r="J371" s="1" t="n"/>
    </row>
    <row r="372">
      <c r="A372" s="1" t="n"/>
      <c r="B372" s="30" t="n"/>
      <c r="C372" s="23" t="n"/>
      <c r="D372" s="23" t="n"/>
      <c r="E372" s="26" t="n"/>
      <c r="F372" s="25" t="n"/>
      <c r="G372" s="17">
        <f>IF(D372="Sale",E372*F372,IF(D372="Return",-E372*F372,""))</f>
        <v/>
      </c>
      <c r="H372" s="17">
        <f>IFERROR(IF(D372="Sale",E372*INDEX(Products!$E$6:$E$205,MATCH(C372,Products!$B$6:$B$205,0)),IF(D372="Return",-E372*INDEX(Products!$E$6:$E$205,MATCH(C372,Products!$B$6:$B$205,0)),"")),"")</f>
        <v/>
      </c>
      <c r="I372" s="24" t="n"/>
      <c r="J372" s="1" t="n"/>
    </row>
    <row r="373">
      <c r="A373" s="1" t="n"/>
      <c r="B373" s="30" t="n"/>
      <c r="C373" s="23" t="n"/>
      <c r="D373" s="23" t="n"/>
      <c r="E373" s="26" t="n"/>
      <c r="F373" s="25" t="n"/>
      <c r="G373" s="17">
        <f>IF(D373="Sale",E373*F373,IF(D373="Return",-E373*F373,""))</f>
        <v/>
      </c>
      <c r="H373" s="17">
        <f>IFERROR(IF(D373="Sale",E373*INDEX(Products!$E$6:$E$205,MATCH(C373,Products!$B$6:$B$205,0)),IF(D373="Return",-E373*INDEX(Products!$E$6:$E$205,MATCH(C373,Products!$B$6:$B$205,0)),"")),"")</f>
        <v/>
      </c>
      <c r="I373" s="24" t="n"/>
      <c r="J373" s="1" t="n"/>
    </row>
    <row r="374">
      <c r="A374" s="1" t="n"/>
      <c r="B374" s="30" t="n"/>
      <c r="C374" s="23" t="n"/>
      <c r="D374" s="23" t="n"/>
      <c r="E374" s="26" t="n"/>
      <c r="F374" s="25" t="n"/>
      <c r="G374" s="17">
        <f>IF(D374="Sale",E374*F374,IF(D374="Return",-E374*F374,""))</f>
        <v/>
      </c>
      <c r="H374" s="17">
        <f>IFERROR(IF(D374="Sale",E374*INDEX(Products!$E$6:$E$205,MATCH(C374,Products!$B$6:$B$205,0)),IF(D374="Return",-E374*INDEX(Products!$E$6:$E$205,MATCH(C374,Products!$B$6:$B$205,0)),"")),"")</f>
        <v/>
      </c>
      <c r="I374" s="24" t="n"/>
      <c r="J374" s="1" t="n"/>
    </row>
    <row r="375">
      <c r="A375" s="1" t="n"/>
      <c r="B375" s="30" t="n"/>
      <c r="C375" s="23" t="n"/>
      <c r="D375" s="23" t="n"/>
      <c r="E375" s="26" t="n"/>
      <c r="F375" s="25" t="n"/>
      <c r="G375" s="17">
        <f>IF(D375="Sale",E375*F375,IF(D375="Return",-E375*F375,""))</f>
        <v/>
      </c>
      <c r="H375" s="17">
        <f>IFERROR(IF(D375="Sale",E375*INDEX(Products!$E$6:$E$205,MATCH(C375,Products!$B$6:$B$205,0)),IF(D375="Return",-E375*INDEX(Products!$E$6:$E$205,MATCH(C375,Products!$B$6:$B$205,0)),"")),"")</f>
        <v/>
      </c>
      <c r="I375" s="24" t="n"/>
      <c r="J375" s="1" t="n"/>
    </row>
    <row r="376">
      <c r="A376" s="1" t="n"/>
      <c r="B376" s="30" t="n"/>
      <c r="C376" s="23" t="n"/>
      <c r="D376" s="23" t="n"/>
      <c r="E376" s="26" t="n"/>
      <c r="F376" s="25" t="n"/>
      <c r="G376" s="17">
        <f>IF(D376="Sale",E376*F376,IF(D376="Return",-E376*F376,""))</f>
        <v/>
      </c>
      <c r="H376" s="17">
        <f>IFERROR(IF(D376="Sale",E376*INDEX(Products!$E$6:$E$205,MATCH(C376,Products!$B$6:$B$205,0)),IF(D376="Return",-E376*INDEX(Products!$E$6:$E$205,MATCH(C376,Products!$B$6:$B$205,0)),"")),"")</f>
        <v/>
      </c>
      <c r="I376" s="24" t="n"/>
      <c r="J376" s="1" t="n"/>
    </row>
    <row r="377">
      <c r="A377" s="1" t="n"/>
      <c r="B377" s="30" t="n"/>
      <c r="C377" s="23" t="n"/>
      <c r="D377" s="23" t="n"/>
      <c r="E377" s="26" t="n"/>
      <c r="F377" s="25" t="n"/>
      <c r="G377" s="17">
        <f>IF(D377="Sale",E377*F377,IF(D377="Return",-E377*F377,""))</f>
        <v/>
      </c>
      <c r="H377" s="17">
        <f>IFERROR(IF(D377="Sale",E377*INDEX(Products!$E$6:$E$205,MATCH(C377,Products!$B$6:$B$205,0)),IF(D377="Return",-E377*INDEX(Products!$E$6:$E$205,MATCH(C377,Products!$B$6:$B$205,0)),"")),"")</f>
        <v/>
      </c>
      <c r="I377" s="24" t="n"/>
      <c r="J377" s="1" t="n"/>
    </row>
    <row r="378">
      <c r="A378" s="1" t="n"/>
      <c r="B378" s="30" t="n"/>
      <c r="C378" s="23" t="n"/>
      <c r="D378" s="23" t="n"/>
      <c r="E378" s="26" t="n"/>
      <c r="F378" s="25" t="n"/>
      <c r="G378" s="17">
        <f>IF(D378="Sale",E378*F378,IF(D378="Return",-E378*F378,""))</f>
        <v/>
      </c>
      <c r="H378" s="17">
        <f>IFERROR(IF(D378="Sale",E378*INDEX(Products!$E$6:$E$205,MATCH(C378,Products!$B$6:$B$205,0)),IF(D378="Return",-E378*INDEX(Products!$E$6:$E$205,MATCH(C378,Products!$B$6:$B$205,0)),"")),"")</f>
        <v/>
      </c>
      <c r="I378" s="24" t="n"/>
      <c r="J378" s="1" t="n"/>
    </row>
    <row r="379">
      <c r="A379" s="1" t="n"/>
      <c r="B379" s="30" t="n"/>
      <c r="C379" s="23" t="n"/>
      <c r="D379" s="23" t="n"/>
      <c r="E379" s="26" t="n"/>
      <c r="F379" s="25" t="n"/>
      <c r="G379" s="17">
        <f>IF(D379="Sale",E379*F379,IF(D379="Return",-E379*F379,""))</f>
        <v/>
      </c>
      <c r="H379" s="17">
        <f>IFERROR(IF(D379="Sale",E379*INDEX(Products!$E$6:$E$205,MATCH(C379,Products!$B$6:$B$205,0)),IF(D379="Return",-E379*INDEX(Products!$E$6:$E$205,MATCH(C379,Products!$B$6:$B$205,0)),"")),"")</f>
        <v/>
      </c>
      <c r="I379" s="24" t="n"/>
      <c r="J379" s="1" t="n"/>
    </row>
    <row r="380">
      <c r="A380" s="1" t="n"/>
      <c r="B380" s="30" t="n"/>
      <c r="C380" s="23" t="n"/>
      <c r="D380" s="23" t="n"/>
      <c r="E380" s="26" t="n"/>
      <c r="F380" s="25" t="n"/>
      <c r="G380" s="17">
        <f>IF(D380="Sale",E380*F380,IF(D380="Return",-E380*F380,""))</f>
        <v/>
      </c>
      <c r="H380" s="17">
        <f>IFERROR(IF(D380="Sale",E380*INDEX(Products!$E$6:$E$205,MATCH(C380,Products!$B$6:$B$205,0)),IF(D380="Return",-E380*INDEX(Products!$E$6:$E$205,MATCH(C380,Products!$B$6:$B$205,0)),"")),"")</f>
        <v/>
      </c>
      <c r="I380" s="24" t="n"/>
      <c r="J380" s="1" t="n"/>
    </row>
    <row r="381">
      <c r="A381" s="1" t="n"/>
      <c r="B381" s="30" t="n"/>
      <c r="C381" s="23" t="n"/>
      <c r="D381" s="23" t="n"/>
      <c r="E381" s="26" t="n"/>
      <c r="F381" s="25" t="n"/>
      <c r="G381" s="17">
        <f>IF(D381="Sale",E381*F381,IF(D381="Return",-E381*F381,""))</f>
        <v/>
      </c>
      <c r="H381" s="17">
        <f>IFERROR(IF(D381="Sale",E381*INDEX(Products!$E$6:$E$205,MATCH(C381,Products!$B$6:$B$205,0)),IF(D381="Return",-E381*INDEX(Products!$E$6:$E$205,MATCH(C381,Products!$B$6:$B$205,0)),"")),"")</f>
        <v/>
      </c>
      <c r="I381" s="24" t="n"/>
      <c r="J381" s="1" t="n"/>
    </row>
    <row r="382">
      <c r="A382" s="1" t="n"/>
      <c r="B382" s="30" t="n"/>
      <c r="C382" s="23" t="n"/>
      <c r="D382" s="23" t="n"/>
      <c r="E382" s="26" t="n"/>
      <c r="F382" s="25" t="n"/>
      <c r="G382" s="17">
        <f>IF(D382="Sale",E382*F382,IF(D382="Return",-E382*F382,""))</f>
        <v/>
      </c>
      <c r="H382" s="17">
        <f>IFERROR(IF(D382="Sale",E382*INDEX(Products!$E$6:$E$205,MATCH(C382,Products!$B$6:$B$205,0)),IF(D382="Return",-E382*INDEX(Products!$E$6:$E$205,MATCH(C382,Products!$B$6:$B$205,0)),"")),"")</f>
        <v/>
      </c>
      <c r="I382" s="24" t="n"/>
      <c r="J382" s="1" t="n"/>
    </row>
    <row r="383">
      <c r="A383" s="1" t="n"/>
      <c r="B383" s="30" t="n"/>
      <c r="C383" s="23" t="n"/>
      <c r="D383" s="23" t="n"/>
      <c r="E383" s="26" t="n"/>
      <c r="F383" s="25" t="n"/>
      <c r="G383" s="17">
        <f>IF(D383="Sale",E383*F383,IF(D383="Return",-E383*F383,""))</f>
        <v/>
      </c>
      <c r="H383" s="17">
        <f>IFERROR(IF(D383="Sale",E383*INDEX(Products!$E$6:$E$205,MATCH(C383,Products!$B$6:$B$205,0)),IF(D383="Return",-E383*INDEX(Products!$E$6:$E$205,MATCH(C383,Products!$B$6:$B$205,0)),"")),"")</f>
        <v/>
      </c>
      <c r="I383" s="24" t="n"/>
      <c r="J383" s="1" t="n"/>
    </row>
    <row r="384">
      <c r="A384" s="1" t="n"/>
      <c r="B384" s="30" t="n"/>
      <c r="C384" s="23" t="n"/>
      <c r="D384" s="23" t="n"/>
      <c r="E384" s="26" t="n"/>
      <c r="F384" s="25" t="n"/>
      <c r="G384" s="17">
        <f>IF(D384="Sale",E384*F384,IF(D384="Return",-E384*F384,""))</f>
        <v/>
      </c>
      <c r="H384" s="17">
        <f>IFERROR(IF(D384="Sale",E384*INDEX(Products!$E$6:$E$205,MATCH(C384,Products!$B$6:$B$205,0)),IF(D384="Return",-E384*INDEX(Products!$E$6:$E$205,MATCH(C384,Products!$B$6:$B$205,0)),"")),"")</f>
        <v/>
      </c>
      <c r="I384" s="24" t="n"/>
      <c r="J384" s="1" t="n"/>
    </row>
    <row r="385">
      <c r="A385" s="1" t="n"/>
      <c r="B385" s="30" t="n"/>
      <c r="C385" s="23" t="n"/>
      <c r="D385" s="23" t="n"/>
      <c r="E385" s="26" t="n"/>
      <c r="F385" s="25" t="n"/>
      <c r="G385" s="17">
        <f>IF(D385="Sale",E385*F385,IF(D385="Return",-E385*F385,""))</f>
        <v/>
      </c>
      <c r="H385" s="17">
        <f>IFERROR(IF(D385="Sale",E385*INDEX(Products!$E$6:$E$205,MATCH(C385,Products!$B$6:$B$205,0)),IF(D385="Return",-E385*INDEX(Products!$E$6:$E$205,MATCH(C385,Products!$B$6:$B$205,0)),"")),"")</f>
        <v/>
      </c>
      <c r="I385" s="24" t="n"/>
      <c r="J385" s="1" t="n"/>
    </row>
    <row r="386">
      <c r="A386" s="1" t="n"/>
      <c r="B386" s="30" t="n"/>
      <c r="C386" s="23" t="n"/>
      <c r="D386" s="23" t="n"/>
      <c r="E386" s="26" t="n"/>
      <c r="F386" s="25" t="n"/>
      <c r="G386" s="17">
        <f>IF(D386="Sale",E386*F386,IF(D386="Return",-E386*F386,""))</f>
        <v/>
      </c>
      <c r="H386" s="17">
        <f>IFERROR(IF(D386="Sale",E386*INDEX(Products!$E$6:$E$205,MATCH(C386,Products!$B$6:$B$205,0)),IF(D386="Return",-E386*INDEX(Products!$E$6:$E$205,MATCH(C386,Products!$B$6:$B$205,0)),"")),"")</f>
        <v/>
      </c>
      <c r="I386" s="24" t="n"/>
      <c r="J386" s="1" t="n"/>
    </row>
    <row r="387">
      <c r="A387" s="1" t="n"/>
      <c r="B387" s="30" t="n"/>
      <c r="C387" s="23" t="n"/>
      <c r="D387" s="23" t="n"/>
      <c r="E387" s="26" t="n"/>
      <c r="F387" s="25" t="n"/>
      <c r="G387" s="17">
        <f>IF(D387="Sale",E387*F387,IF(D387="Return",-E387*F387,""))</f>
        <v/>
      </c>
      <c r="H387" s="17">
        <f>IFERROR(IF(D387="Sale",E387*INDEX(Products!$E$6:$E$205,MATCH(C387,Products!$B$6:$B$205,0)),IF(D387="Return",-E387*INDEX(Products!$E$6:$E$205,MATCH(C387,Products!$B$6:$B$205,0)),"")),"")</f>
        <v/>
      </c>
      <c r="I387" s="24" t="n"/>
      <c r="J387" s="1" t="n"/>
    </row>
    <row r="388">
      <c r="A388" s="1" t="n"/>
      <c r="B388" s="30" t="n"/>
      <c r="C388" s="23" t="n"/>
      <c r="D388" s="23" t="n"/>
      <c r="E388" s="26" t="n"/>
      <c r="F388" s="25" t="n"/>
      <c r="G388" s="17">
        <f>IF(D388="Sale",E388*F388,IF(D388="Return",-E388*F388,""))</f>
        <v/>
      </c>
      <c r="H388" s="17">
        <f>IFERROR(IF(D388="Sale",E388*INDEX(Products!$E$6:$E$205,MATCH(C388,Products!$B$6:$B$205,0)),IF(D388="Return",-E388*INDEX(Products!$E$6:$E$205,MATCH(C388,Products!$B$6:$B$205,0)),"")),"")</f>
        <v/>
      </c>
      <c r="I388" s="24" t="n"/>
      <c r="J388" s="1" t="n"/>
    </row>
    <row r="389">
      <c r="A389" s="1" t="n"/>
      <c r="B389" s="30" t="n"/>
      <c r="C389" s="23" t="n"/>
      <c r="D389" s="23" t="n"/>
      <c r="E389" s="26" t="n"/>
      <c r="F389" s="25" t="n"/>
      <c r="G389" s="17">
        <f>IF(D389="Sale",E389*F389,IF(D389="Return",-E389*F389,""))</f>
        <v/>
      </c>
      <c r="H389" s="17">
        <f>IFERROR(IF(D389="Sale",E389*INDEX(Products!$E$6:$E$205,MATCH(C389,Products!$B$6:$B$205,0)),IF(D389="Return",-E389*INDEX(Products!$E$6:$E$205,MATCH(C389,Products!$B$6:$B$205,0)),"")),"")</f>
        <v/>
      </c>
      <c r="I389" s="24" t="n"/>
      <c r="J389" s="1" t="n"/>
    </row>
    <row r="390">
      <c r="A390" s="1" t="n"/>
      <c r="B390" s="30" t="n"/>
      <c r="C390" s="23" t="n"/>
      <c r="D390" s="23" t="n"/>
      <c r="E390" s="26" t="n"/>
      <c r="F390" s="25" t="n"/>
      <c r="G390" s="17">
        <f>IF(D390="Sale",E390*F390,IF(D390="Return",-E390*F390,""))</f>
        <v/>
      </c>
      <c r="H390" s="17">
        <f>IFERROR(IF(D390="Sale",E390*INDEX(Products!$E$6:$E$205,MATCH(C390,Products!$B$6:$B$205,0)),IF(D390="Return",-E390*INDEX(Products!$E$6:$E$205,MATCH(C390,Products!$B$6:$B$205,0)),"")),"")</f>
        <v/>
      </c>
      <c r="I390" s="24" t="n"/>
      <c r="J390" s="1" t="n"/>
    </row>
    <row r="391">
      <c r="A391" s="1" t="n"/>
      <c r="B391" s="30" t="n"/>
      <c r="C391" s="23" t="n"/>
      <c r="D391" s="23" t="n"/>
      <c r="E391" s="26" t="n"/>
      <c r="F391" s="25" t="n"/>
      <c r="G391" s="17">
        <f>IF(D391="Sale",E391*F391,IF(D391="Return",-E391*F391,""))</f>
        <v/>
      </c>
      <c r="H391" s="17">
        <f>IFERROR(IF(D391="Sale",E391*INDEX(Products!$E$6:$E$205,MATCH(C391,Products!$B$6:$B$205,0)),IF(D391="Return",-E391*INDEX(Products!$E$6:$E$205,MATCH(C391,Products!$B$6:$B$205,0)),"")),"")</f>
        <v/>
      </c>
      <c r="I391" s="24" t="n"/>
      <c r="J391" s="1" t="n"/>
    </row>
    <row r="392">
      <c r="A392" s="1" t="n"/>
      <c r="B392" s="30" t="n"/>
      <c r="C392" s="23" t="n"/>
      <c r="D392" s="23" t="n"/>
      <c r="E392" s="26" t="n"/>
      <c r="F392" s="25" t="n"/>
      <c r="G392" s="17">
        <f>IF(D392="Sale",E392*F392,IF(D392="Return",-E392*F392,""))</f>
        <v/>
      </c>
      <c r="H392" s="17">
        <f>IFERROR(IF(D392="Sale",E392*INDEX(Products!$E$6:$E$205,MATCH(C392,Products!$B$6:$B$205,0)),IF(D392="Return",-E392*INDEX(Products!$E$6:$E$205,MATCH(C392,Products!$B$6:$B$205,0)),"")),"")</f>
        <v/>
      </c>
      <c r="I392" s="24" t="n"/>
      <c r="J392" s="1" t="n"/>
    </row>
    <row r="393">
      <c r="A393" s="1" t="n"/>
      <c r="B393" s="30" t="n"/>
      <c r="C393" s="23" t="n"/>
      <c r="D393" s="23" t="n"/>
      <c r="E393" s="26" t="n"/>
      <c r="F393" s="25" t="n"/>
      <c r="G393" s="17">
        <f>IF(D393="Sale",E393*F393,IF(D393="Return",-E393*F393,""))</f>
        <v/>
      </c>
      <c r="H393" s="17">
        <f>IFERROR(IF(D393="Sale",E393*INDEX(Products!$E$6:$E$205,MATCH(C393,Products!$B$6:$B$205,0)),IF(D393="Return",-E393*INDEX(Products!$E$6:$E$205,MATCH(C393,Products!$B$6:$B$205,0)),"")),"")</f>
        <v/>
      </c>
      <c r="I393" s="24" t="n"/>
      <c r="J393" s="1" t="n"/>
    </row>
    <row r="394">
      <c r="A394" s="1" t="n"/>
      <c r="B394" s="30" t="n"/>
      <c r="C394" s="23" t="n"/>
      <c r="D394" s="23" t="n"/>
      <c r="E394" s="26" t="n"/>
      <c r="F394" s="25" t="n"/>
      <c r="G394" s="17">
        <f>IF(D394="Sale",E394*F394,IF(D394="Return",-E394*F394,""))</f>
        <v/>
      </c>
      <c r="H394" s="17">
        <f>IFERROR(IF(D394="Sale",E394*INDEX(Products!$E$6:$E$205,MATCH(C394,Products!$B$6:$B$205,0)),IF(D394="Return",-E394*INDEX(Products!$E$6:$E$205,MATCH(C394,Products!$B$6:$B$205,0)),"")),"")</f>
        <v/>
      </c>
      <c r="I394" s="24" t="n"/>
      <c r="J394" s="1" t="n"/>
    </row>
    <row r="395">
      <c r="A395" s="1" t="n"/>
      <c r="B395" s="30" t="n"/>
      <c r="C395" s="23" t="n"/>
      <c r="D395" s="23" t="n"/>
      <c r="E395" s="26" t="n"/>
      <c r="F395" s="25" t="n"/>
      <c r="G395" s="17">
        <f>IF(D395="Sale",E395*F395,IF(D395="Return",-E395*F395,""))</f>
        <v/>
      </c>
      <c r="H395" s="17">
        <f>IFERROR(IF(D395="Sale",E395*INDEX(Products!$E$6:$E$205,MATCH(C395,Products!$B$6:$B$205,0)),IF(D395="Return",-E395*INDEX(Products!$E$6:$E$205,MATCH(C395,Products!$B$6:$B$205,0)),"")),"")</f>
        <v/>
      </c>
      <c r="I395" s="24" t="n"/>
      <c r="J395" s="1" t="n"/>
    </row>
    <row r="396">
      <c r="A396" s="1" t="n"/>
      <c r="B396" s="30" t="n"/>
      <c r="C396" s="23" t="n"/>
      <c r="D396" s="23" t="n"/>
      <c r="E396" s="26" t="n"/>
      <c r="F396" s="25" t="n"/>
      <c r="G396" s="17">
        <f>IF(D396="Sale",E396*F396,IF(D396="Return",-E396*F396,""))</f>
        <v/>
      </c>
      <c r="H396" s="17">
        <f>IFERROR(IF(D396="Sale",E396*INDEX(Products!$E$6:$E$205,MATCH(C396,Products!$B$6:$B$205,0)),IF(D396="Return",-E396*INDEX(Products!$E$6:$E$205,MATCH(C396,Products!$B$6:$B$205,0)),"")),"")</f>
        <v/>
      </c>
      <c r="I396" s="24" t="n"/>
      <c r="J396" s="1" t="n"/>
    </row>
    <row r="397">
      <c r="A397" s="1" t="n"/>
      <c r="B397" s="30" t="n"/>
      <c r="C397" s="23" t="n"/>
      <c r="D397" s="23" t="n"/>
      <c r="E397" s="26" t="n"/>
      <c r="F397" s="25" t="n"/>
      <c r="G397" s="17">
        <f>IF(D397="Sale",E397*F397,IF(D397="Return",-E397*F397,""))</f>
        <v/>
      </c>
      <c r="H397" s="17">
        <f>IFERROR(IF(D397="Sale",E397*INDEX(Products!$E$6:$E$205,MATCH(C397,Products!$B$6:$B$205,0)),IF(D397="Return",-E397*INDEX(Products!$E$6:$E$205,MATCH(C397,Products!$B$6:$B$205,0)),"")),"")</f>
        <v/>
      </c>
      <c r="I397" s="24" t="n"/>
      <c r="J397" s="1" t="n"/>
    </row>
    <row r="398">
      <c r="A398" s="1" t="n"/>
      <c r="B398" s="30" t="n"/>
      <c r="C398" s="23" t="n"/>
      <c r="D398" s="23" t="n"/>
      <c r="E398" s="26" t="n"/>
      <c r="F398" s="25" t="n"/>
      <c r="G398" s="17">
        <f>IF(D398="Sale",E398*F398,IF(D398="Return",-E398*F398,""))</f>
        <v/>
      </c>
      <c r="H398" s="17">
        <f>IFERROR(IF(D398="Sale",E398*INDEX(Products!$E$6:$E$205,MATCH(C398,Products!$B$6:$B$205,0)),IF(D398="Return",-E398*INDEX(Products!$E$6:$E$205,MATCH(C398,Products!$B$6:$B$205,0)),"")),"")</f>
        <v/>
      </c>
      <c r="I398" s="24" t="n"/>
      <c r="J398" s="1" t="n"/>
    </row>
    <row r="399">
      <c r="A399" s="1" t="n"/>
      <c r="B399" s="30" t="n"/>
      <c r="C399" s="23" t="n"/>
      <c r="D399" s="23" t="n"/>
      <c r="E399" s="26" t="n"/>
      <c r="F399" s="25" t="n"/>
      <c r="G399" s="17">
        <f>IF(D399="Sale",E399*F399,IF(D399="Return",-E399*F399,""))</f>
        <v/>
      </c>
      <c r="H399" s="17">
        <f>IFERROR(IF(D399="Sale",E399*INDEX(Products!$E$6:$E$205,MATCH(C399,Products!$B$6:$B$205,0)),IF(D399="Return",-E399*INDEX(Products!$E$6:$E$205,MATCH(C399,Products!$B$6:$B$205,0)),"")),"")</f>
        <v/>
      </c>
      <c r="I399" s="24" t="n"/>
      <c r="J399" s="1" t="n"/>
    </row>
    <row r="400">
      <c r="A400" s="1" t="n"/>
      <c r="B400" s="30" t="n"/>
      <c r="C400" s="23" t="n"/>
      <c r="D400" s="23" t="n"/>
      <c r="E400" s="26" t="n"/>
      <c r="F400" s="25" t="n"/>
      <c r="G400" s="17">
        <f>IF(D400="Sale",E400*F400,IF(D400="Return",-E400*F400,""))</f>
        <v/>
      </c>
      <c r="H400" s="17">
        <f>IFERROR(IF(D400="Sale",E400*INDEX(Products!$E$6:$E$205,MATCH(C400,Products!$B$6:$B$205,0)),IF(D400="Return",-E400*INDEX(Products!$E$6:$E$205,MATCH(C400,Products!$B$6:$B$205,0)),"")),"")</f>
        <v/>
      </c>
      <c r="I400" s="24" t="n"/>
      <c r="J400" s="1" t="n"/>
    </row>
    <row r="401">
      <c r="A401" s="1" t="n"/>
      <c r="B401" s="30" t="n"/>
      <c r="C401" s="23" t="n"/>
      <c r="D401" s="23" t="n"/>
      <c r="E401" s="26" t="n"/>
      <c r="F401" s="25" t="n"/>
      <c r="G401" s="17">
        <f>IF(D401="Sale",E401*F401,IF(D401="Return",-E401*F401,""))</f>
        <v/>
      </c>
      <c r="H401" s="17">
        <f>IFERROR(IF(D401="Sale",E401*INDEX(Products!$E$6:$E$205,MATCH(C401,Products!$B$6:$B$205,0)),IF(D401="Return",-E401*INDEX(Products!$E$6:$E$205,MATCH(C401,Products!$B$6:$B$205,0)),"")),"")</f>
        <v/>
      </c>
      <c r="I401" s="24" t="n"/>
      <c r="J401" s="1" t="n"/>
    </row>
    <row r="402">
      <c r="A402" s="1" t="n"/>
      <c r="B402" s="30" t="n"/>
      <c r="C402" s="23" t="n"/>
      <c r="D402" s="23" t="n"/>
      <c r="E402" s="26" t="n"/>
      <c r="F402" s="25" t="n"/>
      <c r="G402" s="17">
        <f>IF(D402="Sale",E402*F402,IF(D402="Return",-E402*F402,""))</f>
        <v/>
      </c>
      <c r="H402" s="17">
        <f>IFERROR(IF(D402="Sale",E402*INDEX(Products!$E$6:$E$205,MATCH(C402,Products!$B$6:$B$205,0)),IF(D402="Return",-E402*INDEX(Products!$E$6:$E$205,MATCH(C402,Products!$B$6:$B$205,0)),"")),"")</f>
        <v/>
      </c>
      <c r="I402" s="24" t="n"/>
      <c r="J402" s="1" t="n"/>
    </row>
    <row r="403">
      <c r="A403" s="1" t="n"/>
      <c r="B403" s="30" t="n"/>
      <c r="C403" s="23" t="n"/>
      <c r="D403" s="23" t="n"/>
      <c r="E403" s="26" t="n"/>
      <c r="F403" s="25" t="n"/>
      <c r="G403" s="17">
        <f>IF(D403="Sale",E403*F403,IF(D403="Return",-E403*F403,""))</f>
        <v/>
      </c>
      <c r="H403" s="17">
        <f>IFERROR(IF(D403="Sale",E403*INDEX(Products!$E$6:$E$205,MATCH(C403,Products!$B$6:$B$205,0)),IF(D403="Return",-E403*INDEX(Products!$E$6:$E$205,MATCH(C403,Products!$B$6:$B$205,0)),"")),"")</f>
        <v/>
      </c>
      <c r="I403" s="24" t="n"/>
      <c r="J403" s="1" t="n"/>
    </row>
    <row r="404">
      <c r="A404" s="1" t="n"/>
      <c r="B404" s="30" t="n"/>
      <c r="C404" s="23" t="n"/>
      <c r="D404" s="23" t="n"/>
      <c r="E404" s="26" t="n"/>
      <c r="F404" s="25" t="n"/>
      <c r="G404" s="17">
        <f>IF(D404="Sale",E404*F404,IF(D404="Return",-E404*F404,""))</f>
        <v/>
      </c>
      <c r="H404" s="17">
        <f>IFERROR(IF(D404="Sale",E404*INDEX(Products!$E$6:$E$205,MATCH(C404,Products!$B$6:$B$205,0)),IF(D404="Return",-E404*INDEX(Products!$E$6:$E$205,MATCH(C404,Products!$B$6:$B$205,0)),"")),"")</f>
        <v/>
      </c>
      <c r="I404" s="24" t="n"/>
      <c r="J404" s="1" t="n"/>
    </row>
    <row r="405">
      <c r="A405" s="1" t="n"/>
      <c r="B405" s="30" t="n"/>
      <c r="C405" s="23" t="n"/>
      <c r="D405" s="23" t="n"/>
      <c r="E405" s="26" t="n"/>
      <c r="F405" s="25" t="n"/>
      <c r="G405" s="17">
        <f>IF(D405="Sale",E405*F405,IF(D405="Return",-E405*F405,""))</f>
        <v/>
      </c>
      <c r="H405" s="17">
        <f>IFERROR(IF(D405="Sale",E405*INDEX(Products!$E$6:$E$205,MATCH(C405,Products!$B$6:$B$205,0)),IF(D405="Return",-E405*INDEX(Products!$E$6:$E$205,MATCH(C405,Products!$B$6:$B$205,0)),"")),"")</f>
        <v/>
      </c>
      <c r="I405" s="24" t="n"/>
      <c r="J405" s="1" t="n"/>
    </row>
    <row r="406">
      <c r="A406" s="1" t="n"/>
      <c r="B406" s="30" t="n"/>
      <c r="C406" s="23" t="n"/>
      <c r="D406" s="23" t="n"/>
      <c r="E406" s="26" t="n"/>
      <c r="F406" s="25" t="n"/>
      <c r="G406" s="17">
        <f>IF(D406="Sale",E406*F406,IF(D406="Return",-E406*F406,""))</f>
        <v/>
      </c>
      <c r="H406" s="17">
        <f>IFERROR(IF(D406="Sale",E406*INDEX(Products!$E$6:$E$205,MATCH(C406,Products!$B$6:$B$205,0)),IF(D406="Return",-E406*INDEX(Products!$E$6:$E$205,MATCH(C406,Products!$B$6:$B$205,0)),"")),"")</f>
        <v/>
      </c>
      <c r="I406" s="24" t="n"/>
      <c r="J406" s="1" t="n"/>
    </row>
    <row r="407">
      <c r="A407" s="1" t="n"/>
      <c r="B407" s="30" t="n"/>
      <c r="C407" s="23" t="n"/>
      <c r="D407" s="23" t="n"/>
      <c r="E407" s="26" t="n"/>
      <c r="F407" s="25" t="n"/>
      <c r="G407" s="17">
        <f>IF(D407="Sale",E407*F407,IF(D407="Return",-E407*F407,""))</f>
        <v/>
      </c>
      <c r="H407" s="17">
        <f>IFERROR(IF(D407="Sale",E407*INDEX(Products!$E$6:$E$205,MATCH(C407,Products!$B$6:$B$205,0)),IF(D407="Return",-E407*INDEX(Products!$E$6:$E$205,MATCH(C407,Products!$B$6:$B$205,0)),"")),"")</f>
        <v/>
      </c>
      <c r="I407" s="24" t="n"/>
      <c r="J407" s="1" t="n"/>
    </row>
    <row r="408">
      <c r="A408" s="1" t="n"/>
      <c r="B408" s="30" t="n"/>
      <c r="C408" s="23" t="n"/>
      <c r="D408" s="23" t="n"/>
      <c r="E408" s="26" t="n"/>
      <c r="F408" s="25" t="n"/>
      <c r="G408" s="17">
        <f>IF(D408="Sale",E408*F408,IF(D408="Return",-E408*F408,""))</f>
        <v/>
      </c>
      <c r="H408" s="17">
        <f>IFERROR(IF(D408="Sale",E408*INDEX(Products!$E$6:$E$205,MATCH(C408,Products!$B$6:$B$205,0)),IF(D408="Return",-E408*INDEX(Products!$E$6:$E$205,MATCH(C408,Products!$B$6:$B$205,0)),"")),"")</f>
        <v/>
      </c>
      <c r="I408" s="24" t="n"/>
      <c r="J408" s="1" t="n"/>
    </row>
    <row r="409">
      <c r="A409" s="1" t="n"/>
      <c r="B409" s="30" t="n"/>
      <c r="C409" s="23" t="n"/>
      <c r="D409" s="23" t="n"/>
      <c r="E409" s="26" t="n"/>
      <c r="F409" s="25" t="n"/>
      <c r="G409" s="17">
        <f>IF(D409="Sale",E409*F409,IF(D409="Return",-E409*F409,""))</f>
        <v/>
      </c>
      <c r="H409" s="17">
        <f>IFERROR(IF(D409="Sale",E409*INDEX(Products!$E$6:$E$205,MATCH(C409,Products!$B$6:$B$205,0)),IF(D409="Return",-E409*INDEX(Products!$E$6:$E$205,MATCH(C409,Products!$B$6:$B$205,0)),"")),"")</f>
        <v/>
      </c>
      <c r="I409" s="24" t="n"/>
      <c r="J409" s="1" t="n"/>
    </row>
    <row r="410">
      <c r="A410" s="1" t="n"/>
      <c r="B410" s="30" t="n"/>
      <c r="C410" s="23" t="n"/>
      <c r="D410" s="23" t="n"/>
      <c r="E410" s="26" t="n"/>
      <c r="F410" s="25" t="n"/>
      <c r="G410" s="17">
        <f>IF(D410="Sale",E410*F410,IF(D410="Return",-E410*F410,""))</f>
        <v/>
      </c>
      <c r="H410" s="17">
        <f>IFERROR(IF(D410="Sale",E410*INDEX(Products!$E$6:$E$205,MATCH(C410,Products!$B$6:$B$205,0)),IF(D410="Return",-E410*INDEX(Products!$E$6:$E$205,MATCH(C410,Products!$B$6:$B$205,0)),"")),"")</f>
        <v/>
      </c>
      <c r="I410" s="24" t="n"/>
      <c r="J410" s="1" t="n"/>
    </row>
    <row r="411">
      <c r="A411" s="1" t="n"/>
      <c r="B411" s="30" t="n"/>
      <c r="C411" s="23" t="n"/>
      <c r="D411" s="23" t="n"/>
      <c r="E411" s="26" t="n"/>
      <c r="F411" s="25" t="n"/>
      <c r="G411" s="17">
        <f>IF(D411="Sale",E411*F411,IF(D411="Return",-E411*F411,""))</f>
        <v/>
      </c>
      <c r="H411" s="17">
        <f>IFERROR(IF(D411="Sale",E411*INDEX(Products!$E$6:$E$205,MATCH(C411,Products!$B$6:$B$205,0)),IF(D411="Return",-E411*INDEX(Products!$E$6:$E$205,MATCH(C411,Products!$B$6:$B$205,0)),"")),"")</f>
        <v/>
      </c>
      <c r="I411" s="24" t="n"/>
      <c r="J411" s="1" t="n"/>
    </row>
    <row r="412">
      <c r="A412" s="1" t="n"/>
      <c r="B412" s="30" t="n"/>
      <c r="C412" s="23" t="n"/>
      <c r="D412" s="23" t="n"/>
      <c r="E412" s="26" t="n"/>
      <c r="F412" s="25" t="n"/>
      <c r="G412" s="17">
        <f>IF(D412="Sale",E412*F412,IF(D412="Return",-E412*F412,""))</f>
        <v/>
      </c>
      <c r="H412" s="17">
        <f>IFERROR(IF(D412="Sale",E412*INDEX(Products!$E$6:$E$205,MATCH(C412,Products!$B$6:$B$205,0)),IF(D412="Return",-E412*INDEX(Products!$E$6:$E$205,MATCH(C412,Products!$B$6:$B$205,0)),"")),"")</f>
        <v/>
      </c>
      <c r="I412" s="24" t="n"/>
      <c r="J412" s="1" t="n"/>
    </row>
    <row r="413">
      <c r="A413" s="1" t="n"/>
      <c r="B413" s="30" t="n"/>
      <c r="C413" s="23" t="n"/>
      <c r="D413" s="23" t="n"/>
      <c r="E413" s="26" t="n"/>
      <c r="F413" s="25" t="n"/>
      <c r="G413" s="17">
        <f>IF(D413="Sale",E413*F413,IF(D413="Return",-E413*F413,""))</f>
        <v/>
      </c>
      <c r="H413" s="17">
        <f>IFERROR(IF(D413="Sale",E413*INDEX(Products!$E$6:$E$205,MATCH(C413,Products!$B$6:$B$205,0)),IF(D413="Return",-E413*INDEX(Products!$E$6:$E$205,MATCH(C413,Products!$B$6:$B$205,0)),"")),"")</f>
        <v/>
      </c>
      <c r="I413" s="24" t="n"/>
      <c r="J413" s="1" t="n"/>
    </row>
    <row r="414">
      <c r="A414" s="1" t="n"/>
      <c r="B414" s="30" t="n"/>
      <c r="C414" s="23" t="n"/>
      <c r="D414" s="23" t="n"/>
      <c r="E414" s="26" t="n"/>
      <c r="F414" s="25" t="n"/>
      <c r="G414" s="17">
        <f>IF(D414="Sale",E414*F414,IF(D414="Return",-E414*F414,""))</f>
        <v/>
      </c>
      <c r="H414" s="17">
        <f>IFERROR(IF(D414="Sale",E414*INDEX(Products!$E$6:$E$205,MATCH(C414,Products!$B$6:$B$205,0)),IF(D414="Return",-E414*INDEX(Products!$E$6:$E$205,MATCH(C414,Products!$B$6:$B$205,0)),"")),"")</f>
        <v/>
      </c>
      <c r="I414" s="24" t="n"/>
      <c r="J414" s="1" t="n"/>
    </row>
    <row r="415">
      <c r="A415" s="1" t="n"/>
      <c r="B415" s="30" t="n"/>
      <c r="C415" s="23" t="n"/>
      <c r="D415" s="23" t="n"/>
      <c r="E415" s="26" t="n"/>
      <c r="F415" s="25" t="n"/>
      <c r="G415" s="17">
        <f>IF(D415="Sale",E415*F415,IF(D415="Return",-E415*F415,""))</f>
        <v/>
      </c>
      <c r="H415" s="17">
        <f>IFERROR(IF(D415="Sale",E415*INDEX(Products!$E$6:$E$205,MATCH(C415,Products!$B$6:$B$205,0)),IF(D415="Return",-E415*INDEX(Products!$E$6:$E$205,MATCH(C415,Products!$B$6:$B$205,0)),"")),"")</f>
        <v/>
      </c>
      <c r="I415" s="24" t="n"/>
      <c r="J415" s="1" t="n"/>
    </row>
    <row r="416">
      <c r="A416" s="1" t="n"/>
      <c r="B416" s="30" t="n"/>
      <c r="C416" s="23" t="n"/>
      <c r="D416" s="23" t="n"/>
      <c r="E416" s="26" t="n"/>
      <c r="F416" s="25" t="n"/>
      <c r="G416" s="17">
        <f>IF(D416="Sale",E416*F416,IF(D416="Return",-E416*F416,""))</f>
        <v/>
      </c>
      <c r="H416" s="17">
        <f>IFERROR(IF(D416="Sale",E416*INDEX(Products!$E$6:$E$205,MATCH(C416,Products!$B$6:$B$205,0)),IF(D416="Return",-E416*INDEX(Products!$E$6:$E$205,MATCH(C416,Products!$B$6:$B$205,0)),"")),"")</f>
        <v/>
      </c>
      <c r="I416" s="24" t="n"/>
      <c r="J416" s="1" t="n"/>
    </row>
    <row r="417">
      <c r="A417" s="1" t="n"/>
      <c r="B417" s="30" t="n"/>
      <c r="C417" s="23" t="n"/>
      <c r="D417" s="23" t="n"/>
      <c r="E417" s="26" t="n"/>
      <c r="F417" s="25" t="n"/>
      <c r="G417" s="17">
        <f>IF(D417="Sale",E417*F417,IF(D417="Return",-E417*F417,""))</f>
        <v/>
      </c>
      <c r="H417" s="17">
        <f>IFERROR(IF(D417="Sale",E417*INDEX(Products!$E$6:$E$205,MATCH(C417,Products!$B$6:$B$205,0)),IF(D417="Return",-E417*INDEX(Products!$E$6:$E$205,MATCH(C417,Products!$B$6:$B$205,0)),"")),"")</f>
        <v/>
      </c>
      <c r="I417" s="24" t="n"/>
      <c r="J417" s="1" t="n"/>
    </row>
    <row r="418">
      <c r="A418" s="1" t="n"/>
      <c r="B418" s="30" t="n"/>
      <c r="C418" s="23" t="n"/>
      <c r="D418" s="23" t="n"/>
      <c r="E418" s="26" t="n"/>
      <c r="F418" s="25" t="n"/>
      <c r="G418" s="17">
        <f>IF(D418="Sale",E418*F418,IF(D418="Return",-E418*F418,""))</f>
        <v/>
      </c>
      <c r="H418" s="17">
        <f>IFERROR(IF(D418="Sale",E418*INDEX(Products!$E$6:$E$205,MATCH(C418,Products!$B$6:$B$205,0)),IF(D418="Return",-E418*INDEX(Products!$E$6:$E$205,MATCH(C418,Products!$B$6:$B$205,0)),"")),"")</f>
        <v/>
      </c>
      <c r="I418" s="24" t="n"/>
      <c r="J418" s="1" t="n"/>
    </row>
    <row r="419">
      <c r="A419" s="1" t="n"/>
      <c r="B419" s="30" t="n"/>
      <c r="C419" s="23" t="n"/>
      <c r="D419" s="23" t="n"/>
      <c r="E419" s="26" t="n"/>
      <c r="F419" s="25" t="n"/>
      <c r="G419" s="17">
        <f>IF(D419="Sale",E419*F419,IF(D419="Return",-E419*F419,""))</f>
        <v/>
      </c>
      <c r="H419" s="17">
        <f>IFERROR(IF(D419="Sale",E419*INDEX(Products!$E$6:$E$205,MATCH(C419,Products!$B$6:$B$205,0)),IF(D419="Return",-E419*INDEX(Products!$E$6:$E$205,MATCH(C419,Products!$B$6:$B$205,0)),"")),"")</f>
        <v/>
      </c>
      <c r="I419" s="24" t="n"/>
      <c r="J419" s="1" t="n"/>
    </row>
    <row r="420">
      <c r="A420" s="1" t="n"/>
      <c r="B420" s="30" t="n"/>
      <c r="C420" s="23" t="n"/>
      <c r="D420" s="23" t="n"/>
      <c r="E420" s="26" t="n"/>
      <c r="F420" s="25" t="n"/>
      <c r="G420" s="17">
        <f>IF(D420="Sale",E420*F420,IF(D420="Return",-E420*F420,""))</f>
        <v/>
      </c>
      <c r="H420" s="17">
        <f>IFERROR(IF(D420="Sale",E420*INDEX(Products!$E$6:$E$205,MATCH(C420,Products!$B$6:$B$205,0)),IF(D420="Return",-E420*INDEX(Products!$E$6:$E$205,MATCH(C420,Products!$B$6:$B$205,0)),"")),"")</f>
        <v/>
      </c>
      <c r="I420" s="24" t="n"/>
      <c r="J420" s="1" t="n"/>
    </row>
    <row r="421">
      <c r="A421" s="1" t="n"/>
      <c r="B421" s="30" t="n"/>
      <c r="C421" s="23" t="n"/>
      <c r="D421" s="23" t="n"/>
      <c r="E421" s="26" t="n"/>
      <c r="F421" s="25" t="n"/>
      <c r="G421" s="17">
        <f>IF(D421="Sale",E421*F421,IF(D421="Return",-E421*F421,""))</f>
        <v/>
      </c>
      <c r="H421" s="17">
        <f>IFERROR(IF(D421="Sale",E421*INDEX(Products!$E$6:$E$205,MATCH(C421,Products!$B$6:$B$205,0)),IF(D421="Return",-E421*INDEX(Products!$E$6:$E$205,MATCH(C421,Products!$B$6:$B$205,0)),"")),"")</f>
        <v/>
      </c>
      <c r="I421" s="24" t="n"/>
      <c r="J421" s="1" t="n"/>
    </row>
    <row r="422">
      <c r="A422" s="1" t="n"/>
      <c r="B422" s="30" t="n"/>
      <c r="C422" s="23" t="n"/>
      <c r="D422" s="23" t="n"/>
      <c r="E422" s="26" t="n"/>
      <c r="F422" s="25" t="n"/>
      <c r="G422" s="17">
        <f>IF(D422="Sale",E422*F422,IF(D422="Return",-E422*F422,""))</f>
        <v/>
      </c>
      <c r="H422" s="17">
        <f>IFERROR(IF(D422="Sale",E422*INDEX(Products!$E$6:$E$205,MATCH(C422,Products!$B$6:$B$205,0)),IF(D422="Return",-E422*INDEX(Products!$E$6:$E$205,MATCH(C422,Products!$B$6:$B$205,0)),"")),"")</f>
        <v/>
      </c>
      <c r="I422" s="24" t="n"/>
      <c r="J422" s="1" t="n"/>
    </row>
    <row r="423">
      <c r="A423" s="1" t="n"/>
      <c r="B423" s="30" t="n"/>
      <c r="C423" s="23" t="n"/>
      <c r="D423" s="23" t="n"/>
      <c r="E423" s="26" t="n"/>
      <c r="F423" s="25" t="n"/>
      <c r="G423" s="17">
        <f>IF(D423="Sale",E423*F423,IF(D423="Return",-E423*F423,""))</f>
        <v/>
      </c>
      <c r="H423" s="17">
        <f>IFERROR(IF(D423="Sale",E423*INDEX(Products!$E$6:$E$205,MATCH(C423,Products!$B$6:$B$205,0)),IF(D423="Return",-E423*INDEX(Products!$E$6:$E$205,MATCH(C423,Products!$B$6:$B$205,0)),"")),"")</f>
        <v/>
      </c>
      <c r="I423" s="24" t="n"/>
      <c r="J423" s="1" t="n"/>
    </row>
    <row r="424">
      <c r="A424" s="1" t="n"/>
      <c r="B424" s="30" t="n"/>
      <c r="C424" s="23" t="n"/>
      <c r="D424" s="23" t="n"/>
      <c r="E424" s="26" t="n"/>
      <c r="F424" s="25" t="n"/>
      <c r="G424" s="17">
        <f>IF(D424="Sale",E424*F424,IF(D424="Return",-E424*F424,""))</f>
        <v/>
      </c>
      <c r="H424" s="17">
        <f>IFERROR(IF(D424="Sale",E424*INDEX(Products!$E$6:$E$205,MATCH(C424,Products!$B$6:$B$205,0)),IF(D424="Return",-E424*INDEX(Products!$E$6:$E$205,MATCH(C424,Products!$B$6:$B$205,0)),"")),"")</f>
        <v/>
      </c>
      <c r="I424" s="24" t="n"/>
      <c r="J424" s="1" t="n"/>
    </row>
    <row r="425">
      <c r="A425" s="1" t="n"/>
      <c r="B425" s="30" t="n"/>
      <c r="C425" s="23" t="n"/>
      <c r="D425" s="23" t="n"/>
      <c r="E425" s="26" t="n"/>
      <c r="F425" s="25" t="n"/>
      <c r="G425" s="17">
        <f>IF(D425="Sale",E425*F425,IF(D425="Return",-E425*F425,""))</f>
        <v/>
      </c>
      <c r="H425" s="17">
        <f>IFERROR(IF(D425="Sale",E425*INDEX(Products!$E$6:$E$205,MATCH(C425,Products!$B$6:$B$205,0)),IF(D425="Return",-E425*INDEX(Products!$E$6:$E$205,MATCH(C425,Products!$B$6:$B$205,0)),"")),"")</f>
        <v/>
      </c>
      <c r="I425" s="24" t="n"/>
      <c r="J425" s="1" t="n"/>
    </row>
    <row r="426">
      <c r="A426" s="1" t="n"/>
      <c r="B426" s="30" t="n"/>
      <c r="C426" s="23" t="n"/>
      <c r="D426" s="23" t="n"/>
      <c r="E426" s="26" t="n"/>
      <c r="F426" s="25" t="n"/>
      <c r="G426" s="17">
        <f>IF(D426="Sale",E426*F426,IF(D426="Return",-E426*F426,""))</f>
        <v/>
      </c>
      <c r="H426" s="17">
        <f>IFERROR(IF(D426="Sale",E426*INDEX(Products!$E$6:$E$205,MATCH(C426,Products!$B$6:$B$205,0)),IF(D426="Return",-E426*INDEX(Products!$E$6:$E$205,MATCH(C426,Products!$B$6:$B$205,0)),"")),"")</f>
        <v/>
      </c>
      <c r="I426" s="24" t="n"/>
      <c r="J426" s="1" t="n"/>
    </row>
    <row r="427">
      <c r="A427" s="1" t="n"/>
      <c r="B427" s="30" t="n"/>
      <c r="C427" s="23" t="n"/>
      <c r="D427" s="23" t="n"/>
      <c r="E427" s="26" t="n"/>
      <c r="F427" s="25" t="n"/>
      <c r="G427" s="17">
        <f>IF(D427="Sale",E427*F427,IF(D427="Return",-E427*F427,""))</f>
        <v/>
      </c>
      <c r="H427" s="17">
        <f>IFERROR(IF(D427="Sale",E427*INDEX(Products!$E$6:$E$205,MATCH(C427,Products!$B$6:$B$205,0)),IF(D427="Return",-E427*INDEX(Products!$E$6:$E$205,MATCH(C427,Products!$B$6:$B$205,0)),"")),"")</f>
        <v/>
      </c>
      <c r="I427" s="24" t="n"/>
      <c r="J427" s="1" t="n"/>
    </row>
    <row r="428">
      <c r="A428" s="1" t="n"/>
      <c r="B428" s="30" t="n"/>
      <c r="C428" s="23" t="n"/>
      <c r="D428" s="23" t="n"/>
      <c r="E428" s="26" t="n"/>
      <c r="F428" s="25" t="n"/>
      <c r="G428" s="17">
        <f>IF(D428="Sale",E428*F428,IF(D428="Return",-E428*F428,""))</f>
        <v/>
      </c>
      <c r="H428" s="17">
        <f>IFERROR(IF(D428="Sale",E428*INDEX(Products!$E$6:$E$205,MATCH(C428,Products!$B$6:$B$205,0)),IF(D428="Return",-E428*INDEX(Products!$E$6:$E$205,MATCH(C428,Products!$B$6:$B$205,0)),"")),"")</f>
        <v/>
      </c>
      <c r="I428" s="24" t="n"/>
      <c r="J428" s="1" t="n"/>
    </row>
    <row r="429">
      <c r="A429" s="1" t="n"/>
      <c r="B429" s="30" t="n"/>
      <c r="C429" s="23" t="n"/>
      <c r="D429" s="23" t="n"/>
      <c r="E429" s="26" t="n"/>
      <c r="F429" s="25" t="n"/>
      <c r="G429" s="17">
        <f>IF(D429="Sale",E429*F429,IF(D429="Return",-E429*F429,""))</f>
        <v/>
      </c>
      <c r="H429" s="17">
        <f>IFERROR(IF(D429="Sale",E429*INDEX(Products!$E$6:$E$205,MATCH(C429,Products!$B$6:$B$205,0)),IF(D429="Return",-E429*INDEX(Products!$E$6:$E$205,MATCH(C429,Products!$B$6:$B$205,0)),"")),"")</f>
        <v/>
      </c>
      <c r="I429" s="24" t="n"/>
      <c r="J429" s="1" t="n"/>
    </row>
    <row r="430">
      <c r="A430" s="1" t="n"/>
      <c r="B430" s="30" t="n"/>
      <c r="C430" s="23" t="n"/>
      <c r="D430" s="23" t="n"/>
      <c r="E430" s="26" t="n"/>
      <c r="F430" s="25" t="n"/>
      <c r="G430" s="17">
        <f>IF(D430="Sale",E430*F430,IF(D430="Return",-E430*F430,""))</f>
        <v/>
      </c>
      <c r="H430" s="17">
        <f>IFERROR(IF(D430="Sale",E430*INDEX(Products!$E$6:$E$205,MATCH(C430,Products!$B$6:$B$205,0)),IF(D430="Return",-E430*INDEX(Products!$E$6:$E$205,MATCH(C430,Products!$B$6:$B$205,0)),"")),"")</f>
        <v/>
      </c>
      <c r="I430" s="24" t="n"/>
      <c r="J430" s="1" t="n"/>
    </row>
    <row r="431">
      <c r="A431" s="1" t="n"/>
      <c r="B431" s="30" t="n"/>
      <c r="C431" s="23" t="n"/>
      <c r="D431" s="23" t="n"/>
      <c r="E431" s="26" t="n"/>
      <c r="F431" s="25" t="n"/>
      <c r="G431" s="17">
        <f>IF(D431="Sale",E431*F431,IF(D431="Return",-E431*F431,""))</f>
        <v/>
      </c>
      <c r="H431" s="17">
        <f>IFERROR(IF(D431="Sale",E431*INDEX(Products!$E$6:$E$205,MATCH(C431,Products!$B$6:$B$205,0)),IF(D431="Return",-E431*INDEX(Products!$E$6:$E$205,MATCH(C431,Products!$B$6:$B$205,0)),"")),"")</f>
        <v/>
      </c>
      <c r="I431" s="24" t="n"/>
      <c r="J431" s="1" t="n"/>
    </row>
    <row r="432">
      <c r="A432" s="1" t="n"/>
      <c r="B432" s="30" t="n"/>
      <c r="C432" s="23" t="n"/>
      <c r="D432" s="23" t="n"/>
      <c r="E432" s="26" t="n"/>
      <c r="F432" s="25" t="n"/>
      <c r="G432" s="17">
        <f>IF(D432="Sale",E432*F432,IF(D432="Return",-E432*F432,""))</f>
        <v/>
      </c>
      <c r="H432" s="17">
        <f>IFERROR(IF(D432="Sale",E432*INDEX(Products!$E$6:$E$205,MATCH(C432,Products!$B$6:$B$205,0)),IF(D432="Return",-E432*INDEX(Products!$E$6:$E$205,MATCH(C432,Products!$B$6:$B$205,0)),"")),"")</f>
        <v/>
      </c>
      <c r="I432" s="24" t="n"/>
      <c r="J432" s="1" t="n"/>
    </row>
    <row r="433">
      <c r="A433" s="1" t="n"/>
      <c r="B433" s="30" t="n"/>
      <c r="C433" s="23" t="n"/>
      <c r="D433" s="23" t="n"/>
      <c r="E433" s="26" t="n"/>
      <c r="F433" s="25" t="n"/>
      <c r="G433" s="17">
        <f>IF(D433="Sale",E433*F433,IF(D433="Return",-E433*F433,""))</f>
        <v/>
      </c>
      <c r="H433" s="17">
        <f>IFERROR(IF(D433="Sale",E433*INDEX(Products!$E$6:$E$205,MATCH(C433,Products!$B$6:$B$205,0)),IF(D433="Return",-E433*INDEX(Products!$E$6:$E$205,MATCH(C433,Products!$B$6:$B$205,0)),"")),"")</f>
        <v/>
      </c>
      <c r="I433" s="24" t="n"/>
      <c r="J433" s="1" t="n"/>
    </row>
    <row r="434">
      <c r="A434" s="1" t="n"/>
      <c r="B434" s="30" t="n"/>
      <c r="C434" s="23" t="n"/>
      <c r="D434" s="23" t="n"/>
      <c r="E434" s="26" t="n"/>
      <c r="F434" s="25" t="n"/>
      <c r="G434" s="17">
        <f>IF(D434="Sale",E434*F434,IF(D434="Return",-E434*F434,""))</f>
        <v/>
      </c>
      <c r="H434" s="17">
        <f>IFERROR(IF(D434="Sale",E434*INDEX(Products!$E$6:$E$205,MATCH(C434,Products!$B$6:$B$205,0)),IF(D434="Return",-E434*INDEX(Products!$E$6:$E$205,MATCH(C434,Products!$B$6:$B$205,0)),"")),"")</f>
        <v/>
      </c>
      <c r="I434" s="24" t="n"/>
      <c r="J434" s="1" t="n"/>
    </row>
    <row r="435">
      <c r="A435" s="1" t="n"/>
      <c r="B435" s="30" t="n"/>
      <c r="C435" s="23" t="n"/>
      <c r="D435" s="23" t="n"/>
      <c r="E435" s="26" t="n"/>
      <c r="F435" s="25" t="n"/>
      <c r="G435" s="17">
        <f>IF(D435="Sale",E435*F435,IF(D435="Return",-E435*F435,""))</f>
        <v/>
      </c>
      <c r="H435" s="17">
        <f>IFERROR(IF(D435="Sale",E435*INDEX(Products!$E$6:$E$205,MATCH(C435,Products!$B$6:$B$205,0)),IF(D435="Return",-E435*INDEX(Products!$E$6:$E$205,MATCH(C435,Products!$B$6:$B$205,0)),"")),"")</f>
        <v/>
      </c>
      <c r="I435" s="24" t="n"/>
      <c r="J435" s="1" t="n"/>
    </row>
    <row r="436">
      <c r="A436" s="1" t="n"/>
      <c r="B436" s="30" t="n"/>
      <c r="C436" s="23" t="n"/>
      <c r="D436" s="23" t="n"/>
      <c r="E436" s="26" t="n"/>
      <c r="F436" s="25" t="n"/>
      <c r="G436" s="17">
        <f>IF(D436="Sale",E436*F436,IF(D436="Return",-E436*F436,""))</f>
        <v/>
      </c>
      <c r="H436" s="17">
        <f>IFERROR(IF(D436="Sale",E436*INDEX(Products!$E$6:$E$205,MATCH(C436,Products!$B$6:$B$205,0)),IF(D436="Return",-E436*INDEX(Products!$E$6:$E$205,MATCH(C436,Products!$B$6:$B$205,0)),"")),"")</f>
        <v/>
      </c>
      <c r="I436" s="24" t="n"/>
      <c r="J436" s="1" t="n"/>
    </row>
    <row r="437">
      <c r="A437" s="1" t="n"/>
      <c r="B437" s="30" t="n"/>
      <c r="C437" s="23" t="n"/>
      <c r="D437" s="23" t="n"/>
      <c r="E437" s="26" t="n"/>
      <c r="F437" s="25" t="n"/>
      <c r="G437" s="17">
        <f>IF(D437="Sale",E437*F437,IF(D437="Return",-E437*F437,""))</f>
        <v/>
      </c>
      <c r="H437" s="17">
        <f>IFERROR(IF(D437="Sale",E437*INDEX(Products!$E$6:$E$205,MATCH(C437,Products!$B$6:$B$205,0)),IF(D437="Return",-E437*INDEX(Products!$E$6:$E$205,MATCH(C437,Products!$B$6:$B$205,0)),"")),"")</f>
        <v/>
      </c>
      <c r="I437" s="24" t="n"/>
      <c r="J437" s="1" t="n"/>
    </row>
    <row r="438">
      <c r="A438" s="1" t="n"/>
      <c r="B438" s="30" t="n"/>
      <c r="C438" s="23" t="n"/>
      <c r="D438" s="23" t="n"/>
      <c r="E438" s="26" t="n"/>
      <c r="F438" s="25" t="n"/>
      <c r="G438" s="17">
        <f>IF(D438="Sale",E438*F438,IF(D438="Return",-E438*F438,""))</f>
        <v/>
      </c>
      <c r="H438" s="17">
        <f>IFERROR(IF(D438="Sale",E438*INDEX(Products!$E$6:$E$205,MATCH(C438,Products!$B$6:$B$205,0)),IF(D438="Return",-E438*INDEX(Products!$E$6:$E$205,MATCH(C438,Products!$B$6:$B$205,0)),"")),"")</f>
        <v/>
      </c>
      <c r="I438" s="24" t="n"/>
      <c r="J438" s="1" t="n"/>
    </row>
    <row r="439">
      <c r="A439" s="1" t="n"/>
      <c r="B439" s="30" t="n"/>
      <c r="C439" s="23" t="n"/>
      <c r="D439" s="23" t="n"/>
      <c r="E439" s="26" t="n"/>
      <c r="F439" s="25" t="n"/>
      <c r="G439" s="17">
        <f>IF(D439="Sale",E439*F439,IF(D439="Return",-E439*F439,""))</f>
        <v/>
      </c>
      <c r="H439" s="17">
        <f>IFERROR(IF(D439="Sale",E439*INDEX(Products!$E$6:$E$205,MATCH(C439,Products!$B$6:$B$205,0)),IF(D439="Return",-E439*INDEX(Products!$E$6:$E$205,MATCH(C439,Products!$B$6:$B$205,0)),"")),"")</f>
        <v/>
      </c>
      <c r="I439" s="24" t="n"/>
      <c r="J439" s="1" t="n"/>
    </row>
    <row r="440">
      <c r="A440" s="1" t="n"/>
      <c r="B440" s="30" t="n"/>
      <c r="C440" s="23" t="n"/>
      <c r="D440" s="23" t="n"/>
      <c r="E440" s="26" t="n"/>
      <c r="F440" s="25" t="n"/>
      <c r="G440" s="17">
        <f>IF(D440="Sale",E440*F440,IF(D440="Return",-E440*F440,""))</f>
        <v/>
      </c>
      <c r="H440" s="17">
        <f>IFERROR(IF(D440="Sale",E440*INDEX(Products!$E$6:$E$205,MATCH(C440,Products!$B$6:$B$205,0)),IF(D440="Return",-E440*INDEX(Products!$E$6:$E$205,MATCH(C440,Products!$B$6:$B$205,0)),"")),"")</f>
        <v/>
      </c>
      <c r="I440" s="24" t="n"/>
      <c r="J440" s="1" t="n"/>
    </row>
    <row r="441">
      <c r="A441" s="1" t="n"/>
      <c r="B441" s="30" t="n"/>
      <c r="C441" s="23" t="n"/>
      <c r="D441" s="23" t="n"/>
      <c r="E441" s="26" t="n"/>
      <c r="F441" s="25" t="n"/>
      <c r="G441" s="17">
        <f>IF(D441="Sale",E441*F441,IF(D441="Return",-E441*F441,""))</f>
        <v/>
      </c>
      <c r="H441" s="17">
        <f>IFERROR(IF(D441="Sale",E441*INDEX(Products!$E$6:$E$205,MATCH(C441,Products!$B$6:$B$205,0)),IF(D441="Return",-E441*INDEX(Products!$E$6:$E$205,MATCH(C441,Products!$B$6:$B$205,0)),"")),"")</f>
        <v/>
      </c>
      <c r="I441" s="24" t="n"/>
      <c r="J441" s="1" t="n"/>
    </row>
    <row r="442">
      <c r="A442" s="1" t="n"/>
      <c r="B442" s="30" t="n"/>
      <c r="C442" s="23" t="n"/>
      <c r="D442" s="23" t="n"/>
      <c r="E442" s="26" t="n"/>
      <c r="F442" s="25" t="n"/>
      <c r="G442" s="17">
        <f>IF(D442="Sale",E442*F442,IF(D442="Return",-E442*F442,""))</f>
        <v/>
      </c>
      <c r="H442" s="17">
        <f>IFERROR(IF(D442="Sale",E442*INDEX(Products!$E$6:$E$205,MATCH(C442,Products!$B$6:$B$205,0)),IF(D442="Return",-E442*INDEX(Products!$E$6:$E$205,MATCH(C442,Products!$B$6:$B$205,0)),"")),"")</f>
        <v/>
      </c>
      <c r="I442" s="24" t="n"/>
      <c r="J442" s="1" t="n"/>
    </row>
    <row r="443">
      <c r="A443" s="1" t="n"/>
      <c r="B443" s="30" t="n"/>
      <c r="C443" s="23" t="n"/>
      <c r="D443" s="23" t="n"/>
      <c r="E443" s="26" t="n"/>
      <c r="F443" s="25" t="n"/>
      <c r="G443" s="17">
        <f>IF(D443="Sale",E443*F443,IF(D443="Return",-E443*F443,""))</f>
        <v/>
      </c>
      <c r="H443" s="17">
        <f>IFERROR(IF(D443="Sale",E443*INDEX(Products!$E$6:$E$205,MATCH(C443,Products!$B$6:$B$205,0)),IF(D443="Return",-E443*INDEX(Products!$E$6:$E$205,MATCH(C443,Products!$B$6:$B$205,0)),"")),"")</f>
        <v/>
      </c>
      <c r="I443" s="24" t="n"/>
      <c r="J443" s="1" t="n"/>
    </row>
    <row r="444">
      <c r="A444" s="1" t="n"/>
      <c r="B444" s="30" t="n"/>
      <c r="C444" s="23" t="n"/>
      <c r="D444" s="23" t="n"/>
      <c r="E444" s="26" t="n"/>
      <c r="F444" s="25" t="n"/>
      <c r="G444" s="17">
        <f>IF(D444="Sale",E444*F444,IF(D444="Return",-E444*F444,""))</f>
        <v/>
      </c>
      <c r="H444" s="17">
        <f>IFERROR(IF(D444="Sale",E444*INDEX(Products!$E$6:$E$205,MATCH(C444,Products!$B$6:$B$205,0)),IF(D444="Return",-E444*INDEX(Products!$E$6:$E$205,MATCH(C444,Products!$B$6:$B$205,0)),"")),"")</f>
        <v/>
      </c>
      <c r="I444" s="24" t="n"/>
      <c r="J444" s="1" t="n"/>
    </row>
    <row r="445">
      <c r="A445" s="1" t="n"/>
      <c r="B445" s="30" t="n"/>
      <c r="C445" s="23" t="n"/>
      <c r="D445" s="23" t="n"/>
      <c r="E445" s="26" t="n"/>
      <c r="F445" s="25" t="n"/>
      <c r="G445" s="17">
        <f>IF(D445="Sale",E445*F445,IF(D445="Return",-E445*F445,""))</f>
        <v/>
      </c>
      <c r="H445" s="17">
        <f>IFERROR(IF(D445="Sale",E445*INDEX(Products!$E$6:$E$205,MATCH(C445,Products!$B$6:$B$205,0)),IF(D445="Return",-E445*INDEX(Products!$E$6:$E$205,MATCH(C445,Products!$B$6:$B$205,0)),"")),"")</f>
        <v/>
      </c>
      <c r="I445" s="24" t="n"/>
      <c r="J445" s="1" t="n"/>
    </row>
    <row r="446">
      <c r="A446" s="1" t="n"/>
      <c r="B446" s="30" t="n"/>
      <c r="C446" s="23" t="n"/>
      <c r="D446" s="23" t="n"/>
      <c r="E446" s="26" t="n"/>
      <c r="F446" s="25" t="n"/>
      <c r="G446" s="17">
        <f>IF(D446="Sale",E446*F446,IF(D446="Return",-E446*F446,""))</f>
        <v/>
      </c>
      <c r="H446" s="17">
        <f>IFERROR(IF(D446="Sale",E446*INDEX(Products!$E$6:$E$205,MATCH(C446,Products!$B$6:$B$205,0)),IF(D446="Return",-E446*INDEX(Products!$E$6:$E$205,MATCH(C446,Products!$B$6:$B$205,0)),"")),"")</f>
        <v/>
      </c>
      <c r="I446" s="24" t="n"/>
      <c r="J446" s="1" t="n"/>
    </row>
    <row r="447">
      <c r="A447" s="1" t="n"/>
      <c r="B447" s="30" t="n"/>
      <c r="C447" s="23" t="n"/>
      <c r="D447" s="23" t="n"/>
      <c r="E447" s="26" t="n"/>
      <c r="F447" s="25" t="n"/>
      <c r="G447" s="17">
        <f>IF(D447="Sale",E447*F447,IF(D447="Return",-E447*F447,""))</f>
        <v/>
      </c>
      <c r="H447" s="17">
        <f>IFERROR(IF(D447="Sale",E447*INDEX(Products!$E$6:$E$205,MATCH(C447,Products!$B$6:$B$205,0)),IF(D447="Return",-E447*INDEX(Products!$E$6:$E$205,MATCH(C447,Products!$B$6:$B$205,0)),"")),"")</f>
        <v/>
      </c>
      <c r="I447" s="24" t="n"/>
      <c r="J447" s="1" t="n"/>
    </row>
    <row r="448">
      <c r="A448" s="1" t="n"/>
      <c r="B448" s="30" t="n"/>
      <c r="C448" s="23" t="n"/>
      <c r="D448" s="23" t="n"/>
      <c r="E448" s="26" t="n"/>
      <c r="F448" s="25" t="n"/>
      <c r="G448" s="17">
        <f>IF(D448="Sale",E448*F448,IF(D448="Return",-E448*F448,""))</f>
        <v/>
      </c>
      <c r="H448" s="17">
        <f>IFERROR(IF(D448="Sale",E448*INDEX(Products!$E$6:$E$205,MATCH(C448,Products!$B$6:$B$205,0)),IF(D448="Return",-E448*INDEX(Products!$E$6:$E$205,MATCH(C448,Products!$B$6:$B$205,0)),"")),"")</f>
        <v/>
      </c>
      <c r="I448" s="24" t="n"/>
      <c r="J448" s="1" t="n"/>
    </row>
    <row r="449">
      <c r="A449" s="1" t="n"/>
      <c r="B449" s="30" t="n"/>
      <c r="C449" s="23" t="n"/>
      <c r="D449" s="23" t="n"/>
      <c r="E449" s="26" t="n"/>
      <c r="F449" s="25" t="n"/>
      <c r="G449" s="17">
        <f>IF(D449="Sale",E449*F449,IF(D449="Return",-E449*F449,""))</f>
        <v/>
      </c>
      <c r="H449" s="17">
        <f>IFERROR(IF(D449="Sale",E449*INDEX(Products!$E$6:$E$205,MATCH(C449,Products!$B$6:$B$205,0)),IF(D449="Return",-E449*INDEX(Products!$E$6:$E$205,MATCH(C449,Products!$B$6:$B$205,0)),"")),"")</f>
        <v/>
      </c>
      <c r="I449" s="24" t="n"/>
      <c r="J449" s="1" t="n"/>
    </row>
    <row r="450">
      <c r="A450" s="1" t="n"/>
      <c r="B450" s="30" t="n"/>
      <c r="C450" s="23" t="n"/>
      <c r="D450" s="23" t="n"/>
      <c r="E450" s="26" t="n"/>
      <c r="F450" s="25" t="n"/>
      <c r="G450" s="17">
        <f>IF(D450="Sale",E450*F450,IF(D450="Return",-E450*F450,""))</f>
        <v/>
      </c>
      <c r="H450" s="17">
        <f>IFERROR(IF(D450="Sale",E450*INDEX(Products!$E$6:$E$205,MATCH(C450,Products!$B$6:$B$205,0)),IF(D450="Return",-E450*INDEX(Products!$E$6:$E$205,MATCH(C450,Products!$B$6:$B$205,0)),"")),"")</f>
        <v/>
      </c>
      <c r="I450" s="24" t="n"/>
      <c r="J450" s="1" t="n"/>
    </row>
    <row r="451">
      <c r="A451" s="1" t="n"/>
      <c r="B451" s="30" t="n"/>
      <c r="C451" s="23" t="n"/>
      <c r="D451" s="23" t="n"/>
      <c r="E451" s="26" t="n"/>
      <c r="F451" s="25" t="n"/>
      <c r="G451" s="17">
        <f>IF(D451="Sale",E451*F451,IF(D451="Return",-E451*F451,""))</f>
        <v/>
      </c>
      <c r="H451" s="17">
        <f>IFERROR(IF(D451="Sale",E451*INDEX(Products!$E$6:$E$205,MATCH(C451,Products!$B$6:$B$205,0)),IF(D451="Return",-E451*INDEX(Products!$E$6:$E$205,MATCH(C451,Products!$B$6:$B$205,0)),"")),"")</f>
        <v/>
      </c>
      <c r="I451" s="24" t="n"/>
      <c r="J451" s="1" t="n"/>
    </row>
    <row r="452">
      <c r="A452" s="1" t="n"/>
      <c r="B452" s="30" t="n"/>
      <c r="C452" s="23" t="n"/>
      <c r="D452" s="23" t="n"/>
      <c r="E452" s="26" t="n"/>
      <c r="F452" s="25" t="n"/>
      <c r="G452" s="17">
        <f>IF(D452="Sale",E452*F452,IF(D452="Return",-E452*F452,""))</f>
        <v/>
      </c>
      <c r="H452" s="17">
        <f>IFERROR(IF(D452="Sale",E452*INDEX(Products!$E$6:$E$205,MATCH(C452,Products!$B$6:$B$205,0)),IF(D452="Return",-E452*INDEX(Products!$E$6:$E$205,MATCH(C452,Products!$B$6:$B$205,0)),"")),"")</f>
        <v/>
      </c>
      <c r="I452" s="24" t="n"/>
      <c r="J452" s="1" t="n"/>
    </row>
    <row r="453">
      <c r="A453" s="1" t="n"/>
      <c r="B453" s="30" t="n"/>
      <c r="C453" s="23" t="n"/>
      <c r="D453" s="23" t="n"/>
      <c r="E453" s="26" t="n"/>
      <c r="F453" s="25" t="n"/>
      <c r="G453" s="17">
        <f>IF(D453="Sale",E453*F453,IF(D453="Return",-E453*F453,""))</f>
        <v/>
      </c>
      <c r="H453" s="17">
        <f>IFERROR(IF(D453="Sale",E453*INDEX(Products!$E$6:$E$205,MATCH(C453,Products!$B$6:$B$205,0)),IF(D453="Return",-E453*INDEX(Products!$E$6:$E$205,MATCH(C453,Products!$B$6:$B$205,0)),"")),"")</f>
        <v/>
      </c>
      <c r="I453" s="24" t="n"/>
      <c r="J453" s="1" t="n"/>
    </row>
    <row r="454">
      <c r="A454" s="1" t="n"/>
      <c r="B454" s="30" t="n"/>
      <c r="C454" s="23" t="n"/>
      <c r="D454" s="23" t="n"/>
      <c r="E454" s="26" t="n"/>
      <c r="F454" s="25" t="n"/>
      <c r="G454" s="17">
        <f>IF(D454="Sale",E454*F454,IF(D454="Return",-E454*F454,""))</f>
        <v/>
      </c>
      <c r="H454" s="17">
        <f>IFERROR(IF(D454="Sale",E454*INDEX(Products!$E$6:$E$205,MATCH(C454,Products!$B$6:$B$205,0)),IF(D454="Return",-E454*INDEX(Products!$E$6:$E$205,MATCH(C454,Products!$B$6:$B$205,0)),"")),"")</f>
        <v/>
      </c>
      <c r="I454" s="24" t="n"/>
      <c r="J454" s="1" t="n"/>
    </row>
    <row r="455">
      <c r="A455" s="1" t="n"/>
      <c r="B455" s="30" t="n"/>
      <c r="C455" s="23" t="n"/>
      <c r="D455" s="23" t="n"/>
      <c r="E455" s="26" t="n"/>
      <c r="F455" s="25" t="n"/>
      <c r="G455" s="17">
        <f>IF(D455="Sale",E455*F455,IF(D455="Return",-E455*F455,""))</f>
        <v/>
      </c>
      <c r="H455" s="17">
        <f>IFERROR(IF(D455="Sale",E455*INDEX(Products!$E$6:$E$205,MATCH(C455,Products!$B$6:$B$205,0)),IF(D455="Return",-E455*INDEX(Products!$E$6:$E$205,MATCH(C455,Products!$B$6:$B$205,0)),"")),"")</f>
        <v/>
      </c>
      <c r="I455" s="24" t="n"/>
      <c r="J455" s="1" t="n"/>
    </row>
    <row r="456">
      <c r="A456" s="1" t="n"/>
      <c r="B456" s="30" t="n"/>
      <c r="C456" s="23" t="n"/>
      <c r="D456" s="23" t="n"/>
      <c r="E456" s="26" t="n"/>
      <c r="F456" s="25" t="n"/>
      <c r="G456" s="17">
        <f>IF(D456="Sale",E456*F456,IF(D456="Return",-E456*F456,""))</f>
        <v/>
      </c>
      <c r="H456" s="17">
        <f>IFERROR(IF(D456="Sale",E456*INDEX(Products!$E$6:$E$205,MATCH(C456,Products!$B$6:$B$205,0)),IF(D456="Return",-E456*INDEX(Products!$E$6:$E$205,MATCH(C456,Products!$B$6:$B$205,0)),"")),"")</f>
        <v/>
      </c>
      <c r="I456" s="24" t="n"/>
      <c r="J456" s="1" t="n"/>
    </row>
    <row r="457">
      <c r="A457" s="1" t="n"/>
      <c r="B457" s="30" t="n"/>
      <c r="C457" s="23" t="n"/>
      <c r="D457" s="23" t="n"/>
      <c r="E457" s="26" t="n"/>
      <c r="F457" s="25" t="n"/>
      <c r="G457" s="17">
        <f>IF(D457="Sale",E457*F457,IF(D457="Return",-E457*F457,""))</f>
        <v/>
      </c>
      <c r="H457" s="17">
        <f>IFERROR(IF(D457="Sale",E457*INDEX(Products!$E$6:$E$205,MATCH(C457,Products!$B$6:$B$205,0)),IF(D457="Return",-E457*INDEX(Products!$E$6:$E$205,MATCH(C457,Products!$B$6:$B$205,0)),"")),"")</f>
        <v/>
      </c>
      <c r="I457" s="24" t="n"/>
      <c r="J457" s="1" t="n"/>
    </row>
    <row r="458">
      <c r="A458" s="1" t="n"/>
      <c r="B458" s="30" t="n"/>
      <c r="C458" s="23" t="n"/>
      <c r="D458" s="23" t="n"/>
      <c r="E458" s="26" t="n"/>
      <c r="F458" s="25" t="n"/>
      <c r="G458" s="17">
        <f>IF(D458="Sale",E458*F458,IF(D458="Return",-E458*F458,""))</f>
        <v/>
      </c>
      <c r="H458" s="17">
        <f>IFERROR(IF(D458="Sale",E458*INDEX(Products!$E$6:$E$205,MATCH(C458,Products!$B$6:$B$205,0)),IF(D458="Return",-E458*INDEX(Products!$E$6:$E$205,MATCH(C458,Products!$B$6:$B$205,0)),"")),"")</f>
        <v/>
      </c>
      <c r="I458" s="24" t="n"/>
      <c r="J458" s="1" t="n"/>
    </row>
    <row r="459">
      <c r="A459" s="1" t="n"/>
      <c r="B459" s="30" t="n"/>
      <c r="C459" s="23" t="n"/>
      <c r="D459" s="23" t="n"/>
      <c r="E459" s="26" t="n"/>
      <c r="F459" s="25" t="n"/>
      <c r="G459" s="17">
        <f>IF(D459="Sale",E459*F459,IF(D459="Return",-E459*F459,""))</f>
        <v/>
      </c>
      <c r="H459" s="17">
        <f>IFERROR(IF(D459="Sale",E459*INDEX(Products!$E$6:$E$205,MATCH(C459,Products!$B$6:$B$205,0)),IF(D459="Return",-E459*INDEX(Products!$E$6:$E$205,MATCH(C459,Products!$B$6:$B$205,0)),"")),"")</f>
        <v/>
      </c>
      <c r="I459" s="24" t="n"/>
      <c r="J459" s="1" t="n"/>
    </row>
    <row r="460">
      <c r="A460" s="1" t="n"/>
      <c r="B460" s="30" t="n"/>
      <c r="C460" s="23" t="n"/>
      <c r="D460" s="23" t="n"/>
      <c r="E460" s="26" t="n"/>
      <c r="F460" s="25" t="n"/>
      <c r="G460" s="17">
        <f>IF(D460="Sale",E460*F460,IF(D460="Return",-E460*F460,""))</f>
        <v/>
      </c>
      <c r="H460" s="17">
        <f>IFERROR(IF(D460="Sale",E460*INDEX(Products!$E$6:$E$205,MATCH(C460,Products!$B$6:$B$205,0)),IF(D460="Return",-E460*INDEX(Products!$E$6:$E$205,MATCH(C460,Products!$B$6:$B$205,0)),"")),"")</f>
        <v/>
      </c>
      <c r="I460" s="24" t="n"/>
      <c r="J460" s="1" t="n"/>
    </row>
    <row r="461">
      <c r="A461" s="1" t="n"/>
      <c r="B461" s="30" t="n"/>
      <c r="C461" s="23" t="n"/>
      <c r="D461" s="23" t="n"/>
      <c r="E461" s="26" t="n"/>
      <c r="F461" s="25" t="n"/>
      <c r="G461" s="17">
        <f>IF(D461="Sale",E461*F461,IF(D461="Return",-E461*F461,""))</f>
        <v/>
      </c>
      <c r="H461" s="17">
        <f>IFERROR(IF(D461="Sale",E461*INDEX(Products!$E$6:$E$205,MATCH(C461,Products!$B$6:$B$205,0)),IF(D461="Return",-E461*INDEX(Products!$E$6:$E$205,MATCH(C461,Products!$B$6:$B$205,0)),"")),"")</f>
        <v/>
      </c>
      <c r="I461" s="24" t="n"/>
      <c r="J461" s="1" t="n"/>
    </row>
    <row r="462">
      <c r="A462" s="1" t="n"/>
      <c r="B462" s="30" t="n"/>
      <c r="C462" s="23" t="n"/>
      <c r="D462" s="23" t="n"/>
      <c r="E462" s="26" t="n"/>
      <c r="F462" s="25" t="n"/>
      <c r="G462" s="17">
        <f>IF(D462="Sale",E462*F462,IF(D462="Return",-E462*F462,""))</f>
        <v/>
      </c>
      <c r="H462" s="17">
        <f>IFERROR(IF(D462="Sale",E462*INDEX(Products!$E$6:$E$205,MATCH(C462,Products!$B$6:$B$205,0)),IF(D462="Return",-E462*INDEX(Products!$E$6:$E$205,MATCH(C462,Products!$B$6:$B$205,0)),"")),"")</f>
        <v/>
      </c>
      <c r="I462" s="24" t="n"/>
      <c r="J462" s="1" t="n"/>
    </row>
    <row r="463">
      <c r="A463" s="1" t="n"/>
      <c r="B463" s="30" t="n"/>
      <c r="C463" s="23" t="n"/>
      <c r="D463" s="23" t="n"/>
      <c r="E463" s="26" t="n"/>
      <c r="F463" s="25" t="n"/>
      <c r="G463" s="17">
        <f>IF(D463="Sale",E463*F463,IF(D463="Return",-E463*F463,""))</f>
        <v/>
      </c>
      <c r="H463" s="17">
        <f>IFERROR(IF(D463="Sale",E463*INDEX(Products!$E$6:$E$205,MATCH(C463,Products!$B$6:$B$205,0)),IF(D463="Return",-E463*INDEX(Products!$E$6:$E$205,MATCH(C463,Products!$B$6:$B$205,0)),"")),"")</f>
        <v/>
      </c>
      <c r="I463" s="24" t="n"/>
      <c r="J463" s="1" t="n"/>
    </row>
    <row r="464">
      <c r="A464" s="1" t="n"/>
      <c r="B464" s="30" t="n"/>
      <c r="C464" s="23" t="n"/>
      <c r="D464" s="23" t="n"/>
      <c r="E464" s="26" t="n"/>
      <c r="F464" s="25" t="n"/>
      <c r="G464" s="17">
        <f>IF(D464="Sale",E464*F464,IF(D464="Return",-E464*F464,""))</f>
        <v/>
      </c>
      <c r="H464" s="17">
        <f>IFERROR(IF(D464="Sale",E464*INDEX(Products!$E$6:$E$205,MATCH(C464,Products!$B$6:$B$205,0)),IF(D464="Return",-E464*INDEX(Products!$E$6:$E$205,MATCH(C464,Products!$B$6:$B$205,0)),"")),"")</f>
        <v/>
      </c>
      <c r="I464" s="24" t="n"/>
      <c r="J464" s="1" t="n"/>
    </row>
    <row r="465">
      <c r="A465" s="1" t="n"/>
      <c r="B465" s="30" t="n"/>
      <c r="C465" s="23" t="n"/>
      <c r="D465" s="23" t="n"/>
      <c r="E465" s="26" t="n"/>
      <c r="F465" s="25" t="n"/>
      <c r="G465" s="17">
        <f>IF(D465="Sale",E465*F465,IF(D465="Return",-E465*F465,""))</f>
        <v/>
      </c>
      <c r="H465" s="17">
        <f>IFERROR(IF(D465="Sale",E465*INDEX(Products!$E$6:$E$205,MATCH(C465,Products!$B$6:$B$205,0)),IF(D465="Return",-E465*INDEX(Products!$E$6:$E$205,MATCH(C465,Products!$B$6:$B$205,0)),"")),"")</f>
        <v/>
      </c>
      <c r="I465" s="24" t="n"/>
      <c r="J465" s="1" t="n"/>
    </row>
    <row r="466">
      <c r="A466" s="1" t="n"/>
      <c r="B466" s="30" t="n"/>
      <c r="C466" s="23" t="n"/>
      <c r="D466" s="23" t="n"/>
      <c r="E466" s="26" t="n"/>
      <c r="F466" s="25" t="n"/>
      <c r="G466" s="17">
        <f>IF(D466="Sale",E466*F466,IF(D466="Return",-E466*F466,""))</f>
        <v/>
      </c>
      <c r="H466" s="17">
        <f>IFERROR(IF(D466="Sale",E466*INDEX(Products!$E$6:$E$205,MATCH(C466,Products!$B$6:$B$205,0)),IF(D466="Return",-E466*INDEX(Products!$E$6:$E$205,MATCH(C466,Products!$B$6:$B$205,0)),"")),"")</f>
        <v/>
      </c>
      <c r="I466" s="24" t="n"/>
      <c r="J466" s="1" t="n"/>
    </row>
    <row r="467">
      <c r="A467" s="1" t="n"/>
      <c r="B467" s="30" t="n"/>
      <c r="C467" s="23" t="n"/>
      <c r="D467" s="23" t="n"/>
      <c r="E467" s="26" t="n"/>
      <c r="F467" s="25" t="n"/>
      <c r="G467" s="17">
        <f>IF(D467="Sale",E467*F467,IF(D467="Return",-E467*F467,""))</f>
        <v/>
      </c>
      <c r="H467" s="17">
        <f>IFERROR(IF(D467="Sale",E467*INDEX(Products!$E$6:$E$205,MATCH(C467,Products!$B$6:$B$205,0)),IF(D467="Return",-E467*INDEX(Products!$E$6:$E$205,MATCH(C467,Products!$B$6:$B$205,0)),"")),"")</f>
        <v/>
      </c>
      <c r="I467" s="24" t="n"/>
      <c r="J467" s="1" t="n"/>
    </row>
    <row r="468">
      <c r="A468" s="1" t="n"/>
      <c r="B468" s="30" t="n"/>
      <c r="C468" s="23" t="n"/>
      <c r="D468" s="23" t="n"/>
      <c r="E468" s="26" t="n"/>
      <c r="F468" s="25" t="n"/>
      <c r="G468" s="17">
        <f>IF(D468="Sale",E468*F468,IF(D468="Return",-E468*F468,""))</f>
        <v/>
      </c>
      <c r="H468" s="17">
        <f>IFERROR(IF(D468="Sale",E468*INDEX(Products!$E$6:$E$205,MATCH(C468,Products!$B$6:$B$205,0)),IF(D468="Return",-E468*INDEX(Products!$E$6:$E$205,MATCH(C468,Products!$B$6:$B$205,0)),"")),"")</f>
        <v/>
      </c>
      <c r="I468" s="24" t="n"/>
      <c r="J468" s="1" t="n"/>
    </row>
    <row r="469">
      <c r="A469" s="1" t="n"/>
      <c r="B469" s="30" t="n"/>
      <c r="C469" s="23" t="n"/>
      <c r="D469" s="23" t="n"/>
      <c r="E469" s="26" t="n"/>
      <c r="F469" s="25" t="n"/>
      <c r="G469" s="17">
        <f>IF(D469="Sale",E469*F469,IF(D469="Return",-E469*F469,""))</f>
        <v/>
      </c>
      <c r="H469" s="17">
        <f>IFERROR(IF(D469="Sale",E469*INDEX(Products!$E$6:$E$205,MATCH(C469,Products!$B$6:$B$205,0)),IF(D469="Return",-E469*INDEX(Products!$E$6:$E$205,MATCH(C469,Products!$B$6:$B$205,0)),"")),"")</f>
        <v/>
      </c>
      <c r="I469" s="24" t="n"/>
      <c r="J469" s="1" t="n"/>
    </row>
    <row r="470">
      <c r="A470" s="1" t="n"/>
      <c r="B470" s="30" t="n"/>
      <c r="C470" s="23" t="n"/>
      <c r="D470" s="23" t="n"/>
      <c r="E470" s="26" t="n"/>
      <c r="F470" s="25" t="n"/>
      <c r="G470" s="17">
        <f>IF(D470="Sale",E470*F470,IF(D470="Return",-E470*F470,""))</f>
        <v/>
      </c>
      <c r="H470" s="17">
        <f>IFERROR(IF(D470="Sale",E470*INDEX(Products!$E$6:$E$205,MATCH(C470,Products!$B$6:$B$205,0)),IF(D470="Return",-E470*INDEX(Products!$E$6:$E$205,MATCH(C470,Products!$B$6:$B$205,0)),"")),"")</f>
        <v/>
      </c>
      <c r="I470" s="24" t="n"/>
      <c r="J470" s="1" t="n"/>
    </row>
    <row r="471">
      <c r="A471" s="1" t="n"/>
      <c r="B471" s="30" t="n"/>
      <c r="C471" s="23" t="n"/>
      <c r="D471" s="23" t="n"/>
      <c r="E471" s="26" t="n"/>
      <c r="F471" s="25" t="n"/>
      <c r="G471" s="17">
        <f>IF(D471="Sale",E471*F471,IF(D471="Return",-E471*F471,""))</f>
        <v/>
      </c>
      <c r="H471" s="17">
        <f>IFERROR(IF(D471="Sale",E471*INDEX(Products!$E$6:$E$205,MATCH(C471,Products!$B$6:$B$205,0)),IF(D471="Return",-E471*INDEX(Products!$E$6:$E$205,MATCH(C471,Products!$B$6:$B$205,0)),"")),"")</f>
        <v/>
      </c>
      <c r="I471" s="24" t="n"/>
      <c r="J471" s="1" t="n"/>
    </row>
    <row r="472">
      <c r="A472" s="1" t="n"/>
      <c r="B472" s="30" t="n"/>
      <c r="C472" s="23" t="n"/>
      <c r="D472" s="23" t="n"/>
      <c r="E472" s="26" t="n"/>
      <c r="F472" s="25" t="n"/>
      <c r="G472" s="17">
        <f>IF(D472="Sale",E472*F472,IF(D472="Return",-E472*F472,""))</f>
        <v/>
      </c>
      <c r="H472" s="17">
        <f>IFERROR(IF(D472="Sale",E472*INDEX(Products!$E$6:$E$205,MATCH(C472,Products!$B$6:$B$205,0)),IF(D472="Return",-E472*INDEX(Products!$E$6:$E$205,MATCH(C472,Products!$B$6:$B$205,0)),"")),"")</f>
        <v/>
      </c>
      <c r="I472" s="24" t="n"/>
      <c r="J472" s="1" t="n"/>
    </row>
    <row r="473">
      <c r="A473" s="1" t="n"/>
      <c r="B473" s="30" t="n"/>
      <c r="C473" s="23" t="n"/>
      <c r="D473" s="23" t="n"/>
      <c r="E473" s="26" t="n"/>
      <c r="F473" s="25" t="n"/>
      <c r="G473" s="17">
        <f>IF(D473="Sale",E473*F473,IF(D473="Return",-E473*F473,""))</f>
        <v/>
      </c>
      <c r="H473" s="17">
        <f>IFERROR(IF(D473="Sale",E473*INDEX(Products!$E$6:$E$205,MATCH(C473,Products!$B$6:$B$205,0)),IF(D473="Return",-E473*INDEX(Products!$E$6:$E$205,MATCH(C473,Products!$B$6:$B$205,0)),"")),"")</f>
        <v/>
      </c>
      <c r="I473" s="24" t="n"/>
      <c r="J473" s="1" t="n"/>
    </row>
    <row r="474">
      <c r="A474" s="1" t="n"/>
      <c r="B474" s="30" t="n"/>
      <c r="C474" s="23" t="n"/>
      <c r="D474" s="23" t="n"/>
      <c r="E474" s="26" t="n"/>
      <c r="F474" s="25" t="n"/>
      <c r="G474" s="17">
        <f>IF(D474="Sale",E474*F474,IF(D474="Return",-E474*F474,""))</f>
        <v/>
      </c>
      <c r="H474" s="17">
        <f>IFERROR(IF(D474="Sale",E474*INDEX(Products!$E$6:$E$205,MATCH(C474,Products!$B$6:$B$205,0)),IF(D474="Return",-E474*INDEX(Products!$E$6:$E$205,MATCH(C474,Products!$B$6:$B$205,0)),"")),"")</f>
        <v/>
      </c>
      <c r="I474" s="24" t="n"/>
      <c r="J474" s="1" t="n"/>
    </row>
    <row r="475">
      <c r="A475" s="1" t="n"/>
      <c r="B475" s="30" t="n"/>
      <c r="C475" s="23" t="n"/>
      <c r="D475" s="23" t="n"/>
      <c r="E475" s="26" t="n"/>
      <c r="F475" s="25" t="n"/>
      <c r="G475" s="17">
        <f>IF(D475="Sale",E475*F475,IF(D475="Return",-E475*F475,""))</f>
        <v/>
      </c>
      <c r="H475" s="17">
        <f>IFERROR(IF(D475="Sale",E475*INDEX(Products!$E$6:$E$205,MATCH(C475,Products!$B$6:$B$205,0)),IF(D475="Return",-E475*INDEX(Products!$E$6:$E$205,MATCH(C475,Products!$B$6:$B$205,0)),"")),"")</f>
        <v/>
      </c>
      <c r="I475" s="24" t="n"/>
      <c r="J475" s="1" t="n"/>
    </row>
    <row r="476">
      <c r="A476" s="1" t="n"/>
      <c r="B476" s="30" t="n"/>
      <c r="C476" s="23" t="n"/>
      <c r="D476" s="23" t="n"/>
      <c r="E476" s="26" t="n"/>
      <c r="F476" s="25" t="n"/>
      <c r="G476" s="17">
        <f>IF(D476="Sale",E476*F476,IF(D476="Return",-E476*F476,""))</f>
        <v/>
      </c>
      <c r="H476" s="17">
        <f>IFERROR(IF(D476="Sale",E476*INDEX(Products!$E$6:$E$205,MATCH(C476,Products!$B$6:$B$205,0)),IF(D476="Return",-E476*INDEX(Products!$E$6:$E$205,MATCH(C476,Products!$B$6:$B$205,0)),"")),"")</f>
        <v/>
      </c>
      <c r="I476" s="24" t="n"/>
      <c r="J476" s="1" t="n"/>
    </row>
    <row r="477">
      <c r="A477" s="1" t="n"/>
      <c r="B477" s="30" t="n"/>
      <c r="C477" s="23" t="n"/>
      <c r="D477" s="23" t="n"/>
      <c r="E477" s="26" t="n"/>
      <c r="F477" s="25" t="n"/>
      <c r="G477" s="17">
        <f>IF(D477="Sale",E477*F477,IF(D477="Return",-E477*F477,""))</f>
        <v/>
      </c>
      <c r="H477" s="17">
        <f>IFERROR(IF(D477="Sale",E477*INDEX(Products!$E$6:$E$205,MATCH(C477,Products!$B$6:$B$205,0)),IF(D477="Return",-E477*INDEX(Products!$E$6:$E$205,MATCH(C477,Products!$B$6:$B$205,0)),"")),"")</f>
        <v/>
      </c>
      <c r="I477" s="24" t="n"/>
      <c r="J477" s="1" t="n"/>
    </row>
    <row r="478">
      <c r="A478" s="1" t="n"/>
      <c r="B478" s="30" t="n"/>
      <c r="C478" s="23" t="n"/>
      <c r="D478" s="23" t="n"/>
      <c r="E478" s="26" t="n"/>
      <c r="F478" s="25" t="n"/>
      <c r="G478" s="17">
        <f>IF(D478="Sale",E478*F478,IF(D478="Return",-E478*F478,""))</f>
        <v/>
      </c>
      <c r="H478" s="17">
        <f>IFERROR(IF(D478="Sale",E478*INDEX(Products!$E$6:$E$205,MATCH(C478,Products!$B$6:$B$205,0)),IF(D478="Return",-E478*INDEX(Products!$E$6:$E$205,MATCH(C478,Products!$B$6:$B$205,0)),"")),"")</f>
        <v/>
      </c>
      <c r="I478" s="24" t="n"/>
      <c r="J478" s="1" t="n"/>
    </row>
    <row r="479">
      <c r="A479" s="1" t="n"/>
      <c r="B479" s="30" t="n"/>
      <c r="C479" s="23" t="n"/>
      <c r="D479" s="23" t="n"/>
      <c r="E479" s="26" t="n"/>
      <c r="F479" s="25" t="n"/>
      <c r="G479" s="17">
        <f>IF(D479="Sale",E479*F479,IF(D479="Return",-E479*F479,""))</f>
        <v/>
      </c>
      <c r="H479" s="17">
        <f>IFERROR(IF(D479="Sale",E479*INDEX(Products!$E$6:$E$205,MATCH(C479,Products!$B$6:$B$205,0)),IF(D479="Return",-E479*INDEX(Products!$E$6:$E$205,MATCH(C479,Products!$B$6:$B$205,0)),"")),"")</f>
        <v/>
      </c>
      <c r="I479" s="24" t="n"/>
      <c r="J479" s="1" t="n"/>
    </row>
    <row r="480">
      <c r="A480" s="1" t="n"/>
      <c r="B480" s="30" t="n"/>
      <c r="C480" s="23" t="n"/>
      <c r="D480" s="23" t="n"/>
      <c r="E480" s="26" t="n"/>
      <c r="F480" s="25" t="n"/>
      <c r="G480" s="17">
        <f>IF(D480="Sale",E480*F480,IF(D480="Return",-E480*F480,""))</f>
        <v/>
      </c>
      <c r="H480" s="17">
        <f>IFERROR(IF(D480="Sale",E480*INDEX(Products!$E$6:$E$205,MATCH(C480,Products!$B$6:$B$205,0)),IF(D480="Return",-E480*INDEX(Products!$E$6:$E$205,MATCH(C480,Products!$B$6:$B$205,0)),"")),"")</f>
        <v/>
      </c>
      <c r="I480" s="24" t="n"/>
      <c r="J480" s="1" t="n"/>
    </row>
    <row r="481">
      <c r="A481" s="1" t="n"/>
      <c r="B481" s="30" t="n"/>
      <c r="C481" s="23" t="n"/>
      <c r="D481" s="23" t="n"/>
      <c r="E481" s="26" t="n"/>
      <c r="F481" s="25" t="n"/>
      <c r="G481" s="17">
        <f>IF(D481="Sale",E481*F481,IF(D481="Return",-E481*F481,""))</f>
        <v/>
      </c>
      <c r="H481" s="17">
        <f>IFERROR(IF(D481="Sale",E481*INDEX(Products!$E$6:$E$205,MATCH(C481,Products!$B$6:$B$205,0)),IF(D481="Return",-E481*INDEX(Products!$E$6:$E$205,MATCH(C481,Products!$B$6:$B$205,0)),"")),"")</f>
        <v/>
      </c>
      <c r="I481" s="24" t="n"/>
      <c r="J481" s="1" t="n"/>
    </row>
    <row r="482">
      <c r="A482" s="1" t="n"/>
      <c r="B482" s="30" t="n"/>
      <c r="C482" s="23" t="n"/>
      <c r="D482" s="23" t="n"/>
      <c r="E482" s="26" t="n"/>
      <c r="F482" s="25" t="n"/>
      <c r="G482" s="17">
        <f>IF(D482="Sale",E482*F482,IF(D482="Return",-E482*F482,""))</f>
        <v/>
      </c>
      <c r="H482" s="17">
        <f>IFERROR(IF(D482="Sale",E482*INDEX(Products!$E$6:$E$205,MATCH(C482,Products!$B$6:$B$205,0)),IF(D482="Return",-E482*INDEX(Products!$E$6:$E$205,MATCH(C482,Products!$B$6:$B$205,0)),"")),"")</f>
        <v/>
      </c>
      <c r="I482" s="24" t="n"/>
      <c r="J482" s="1" t="n"/>
    </row>
    <row r="483">
      <c r="A483" s="1" t="n"/>
      <c r="B483" s="30" t="n"/>
      <c r="C483" s="23" t="n"/>
      <c r="D483" s="23" t="n"/>
      <c r="E483" s="26" t="n"/>
      <c r="F483" s="25" t="n"/>
      <c r="G483" s="17">
        <f>IF(D483="Sale",E483*F483,IF(D483="Return",-E483*F483,""))</f>
        <v/>
      </c>
      <c r="H483" s="17">
        <f>IFERROR(IF(D483="Sale",E483*INDEX(Products!$E$6:$E$205,MATCH(C483,Products!$B$6:$B$205,0)),IF(D483="Return",-E483*INDEX(Products!$E$6:$E$205,MATCH(C483,Products!$B$6:$B$205,0)),"")),"")</f>
        <v/>
      </c>
      <c r="I483" s="24" t="n"/>
      <c r="J483" s="1" t="n"/>
    </row>
    <row r="484">
      <c r="A484" s="1" t="n"/>
      <c r="B484" s="30" t="n"/>
      <c r="C484" s="23" t="n"/>
      <c r="D484" s="23" t="n"/>
      <c r="E484" s="26" t="n"/>
      <c r="F484" s="25" t="n"/>
      <c r="G484" s="17">
        <f>IF(D484="Sale",E484*F484,IF(D484="Return",-E484*F484,""))</f>
        <v/>
      </c>
      <c r="H484" s="17">
        <f>IFERROR(IF(D484="Sale",E484*INDEX(Products!$E$6:$E$205,MATCH(C484,Products!$B$6:$B$205,0)),IF(D484="Return",-E484*INDEX(Products!$E$6:$E$205,MATCH(C484,Products!$B$6:$B$205,0)),"")),"")</f>
        <v/>
      </c>
      <c r="I484" s="24" t="n"/>
      <c r="J484" s="1" t="n"/>
    </row>
    <row r="485">
      <c r="A485" s="1" t="n"/>
      <c r="B485" s="30" t="n"/>
      <c r="C485" s="23" t="n"/>
      <c r="D485" s="23" t="n"/>
      <c r="E485" s="26" t="n"/>
      <c r="F485" s="25" t="n"/>
      <c r="G485" s="17">
        <f>IF(D485="Sale",E485*F485,IF(D485="Return",-E485*F485,""))</f>
        <v/>
      </c>
      <c r="H485" s="17">
        <f>IFERROR(IF(D485="Sale",E485*INDEX(Products!$E$6:$E$205,MATCH(C485,Products!$B$6:$B$205,0)),IF(D485="Return",-E485*INDEX(Products!$E$6:$E$205,MATCH(C485,Products!$B$6:$B$205,0)),"")),"")</f>
        <v/>
      </c>
      <c r="I485" s="24" t="n"/>
      <c r="J485" s="1" t="n"/>
    </row>
    <row r="486">
      <c r="A486" s="1" t="n"/>
      <c r="B486" s="30" t="n"/>
      <c r="C486" s="23" t="n"/>
      <c r="D486" s="23" t="n"/>
      <c r="E486" s="26" t="n"/>
      <c r="F486" s="25" t="n"/>
      <c r="G486" s="17">
        <f>IF(D486="Sale",E486*F486,IF(D486="Return",-E486*F486,""))</f>
        <v/>
      </c>
      <c r="H486" s="17">
        <f>IFERROR(IF(D486="Sale",E486*INDEX(Products!$E$6:$E$205,MATCH(C486,Products!$B$6:$B$205,0)),IF(D486="Return",-E486*INDEX(Products!$E$6:$E$205,MATCH(C486,Products!$B$6:$B$205,0)),"")),"")</f>
        <v/>
      </c>
      <c r="I486" s="24" t="n"/>
      <c r="J486" s="1" t="n"/>
    </row>
    <row r="487">
      <c r="A487" s="1" t="n"/>
      <c r="B487" s="30" t="n"/>
      <c r="C487" s="23" t="n"/>
      <c r="D487" s="23" t="n"/>
      <c r="E487" s="26" t="n"/>
      <c r="F487" s="25" t="n"/>
      <c r="G487" s="17">
        <f>IF(D487="Sale",E487*F487,IF(D487="Return",-E487*F487,""))</f>
        <v/>
      </c>
      <c r="H487" s="17">
        <f>IFERROR(IF(D487="Sale",E487*INDEX(Products!$E$6:$E$205,MATCH(C487,Products!$B$6:$B$205,0)),IF(D487="Return",-E487*INDEX(Products!$E$6:$E$205,MATCH(C487,Products!$B$6:$B$205,0)),"")),"")</f>
        <v/>
      </c>
      <c r="I487" s="24" t="n"/>
      <c r="J487" s="1" t="n"/>
    </row>
    <row r="488">
      <c r="A488" s="1" t="n"/>
      <c r="B488" s="30" t="n"/>
      <c r="C488" s="23" t="n"/>
      <c r="D488" s="23" t="n"/>
      <c r="E488" s="26" t="n"/>
      <c r="F488" s="25" t="n"/>
      <c r="G488" s="17">
        <f>IF(D488="Sale",E488*F488,IF(D488="Return",-E488*F488,""))</f>
        <v/>
      </c>
      <c r="H488" s="17">
        <f>IFERROR(IF(D488="Sale",E488*INDEX(Products!$E$6:$E$205,MATCH(C488,Products!$B$6:$B$205,0)),IF(D488="Return",-E488*INDEX(Products!$E$6:$E$205,MATCH(C488,Products!$B$6:$B$205,0)),"")),"")</f>
        <v/>
      </c>
      <c r="I488" s="24" t="n"/>
      <c r="J488" s="1" t="n"/>
    </row>
    <row r="489">
      <c r="A489" s="1" t="n"/>
      <c r="B489" s="30" t="n"/>
      <c r="C489" s="23" t="n"/>
      <c r="D489" s="23" t="n"/>
      <c r="E489" s="26" t="n"/>
      <c r="F489" s="25" t="n"/>
      <c r="G489" s="17">
        <f>IF(D489="Sale",E489*F489,IF(D489="Return",-E489*F489,""))</f>
        <v/>
      </c>
      <c r="H489" s="17">
        <f>IFERROR(IF(D489="Sale",E489*INDEX(Products!$E$6:$E$205,MATCH(C489,Products!$B$6:$B$205,0)),IF(D489="Return",-E489*INDEX(Products!$E$6:$E$205,MATCH(C489,Products!$B$6:$B$205,0)),"")),"")</f>
        <v/>
      </c>
      <c r="I489" s="24" t="n"/>
      <c r="J489" s="1" t="n"/>
    </row>
    <row r="490">
      <c r="A490" s="1" t="n"/>
      <c r="B490" s="30" t="n"/>
      <c r="C490" s="23" t="n"/>
      <c r="D490" s="23" t="n"/>
      <c r="E490" s="26" t="n"/>
      <c r="F490" s="25" t="n"/>
      <c r="G490" s="17">
        <f>IF(D490="Sale",E490*F490,IF(D490="Return",-E490*F490,""))</f>
        <v/>
      </c>
      <c r="H490" s="17">
        <f>IFERROR(IF(D490="Sale",E490*INDEX(Products!$E$6:$E$205,MATCH(C490,Products!$B$6:$B$205,0)),IF(D490="Return",-E490*INDEX(Products!$E$6:$E$205,MATCH(C490,Products!$B$6:$B$205,0)),"")),"")</f>
        <v/>
      </c>
      <c r="I490" s="24" t="n"/>
      <c r="J490" s="1" t="n"/>
    </row>
    <row r="491">
      <c r="A491" s="1" t="n"/>
      <c r="B491" s="30" t="n"/>
      <c r="C491" s="23" t="n"/>
      <c r="D491" s="23" t="n"/>
      <c r="E491" s="26" t="n"/>
      <c r="F491" s="25" t="n"/>
      <c r="G491" s="17">
        <f>IF(D491="Sale",E491*F491,IF(D491="Return",-E491*F491,""))</f>
        <v/>
      </c>
      <c r="H491" s="17">
        <f>IFERROR(IF(D491="Sale",E491*INDEX(Products!$E$6:$E$205,MATCH(C491,Products!$B$6:$B$205,0)),IF(D491="Return",-E491*INDEX(Products!$E$6:$E$205,MATCH(C491,Products!$B$6:$B$205,0)),"")),"")</f>
        <v/>
      </c>
      <c r="I491" s="24" t="n"/>
      <c r="J491" s="1" t="n"/>
    </row>
    <row r="492">
      <c r="A492" s="1" t="n"/>
      <c r="B492" s="30" t="n"/>
      <c r="C492" s="23" t="n"/>
      <c r="D492" s="23" t="n"/>
      <c r="E492" s="26" t="n"/>
      <c r="F492" s="25" t="n"/>
      <c r="G492" s="17">
        <f>IF(D492="Sale",E492*F492,IF(D492="Return",-E492*F492,""))</f>
        <v/>
      </c>
      <c r="H492" s="17">
        <f>IFERROR(IF(D492="Sale",E492*INDEX(Products!$E$6:$E$205,MATCH(C492,Products!$B$6:$B$205,0)),IF(D492="Return",-E492*INDEX(Products!$E$6:$E$205,MATCH(C492,Products!$B$6:$B$205,0)),"")),"")</f>
        <v/>
      </c>
      <c r="I492" s="24" t="n"/>
      <c r="J492" s="1" t="n"/>
    </row>
    <row r="493">
      <c r="A493" s="1" t="n"/>
      <c r="B493" s="30" t="n"/>
      <c r="C493" s="23" t="n"/>
      <c r="D493" s="23" t="n"/>
      <c r="E493" s="26" t="n"/>
      <c r="F493" s="25" t="n"/>
      <c r="G493" s="17">
        <f>IF(D493="Sale",E493*F493,IF(D493="Return",-E493*F493,""))</f>
        <v/>
      </c>
      <c r="H493" s="17">
        <f>IFERROR(IF(D493="Sale",E493*INDEX(Products!$E$6:$E$205,MATCH(C493,Products!$B$6:$B$205,0)),IF(D493="Return",-E493*INDEX(Products!$E$6:$E$205,MATCH(C493,Products!$B$6:$B$205,0)),"")),"")</f>
        <v/>
      </c>
      <c r="I493" s="24" t="n"/>
      <c r="J493" s="1" t="n"/>
    </row>
    <row r="494">
      <c r="A494" s="1" t="n"/>
      <c r="B494" s="30" t="n"/>
      <c r="C494" s="23" t="n"/>
      <c r="D494" s="23" t="n"/>
      <c r="E494" s="26" t="n"/>
      <c r="F494" s="25" t="n"/>
      <c r="G494" s="17">
        <f>IF(D494="Sale",E494*F494,IF(D494="Return",-E494*F494,""))</f>
        <v/>
      </c>
      <c r="H494" s="17">
        <f>IFERROR(IF(D494="Sale",E494*INDEX(Products!$E$6:$E$205,MATCH(C494,Products!$B$6:$B$205,0)),IF(D494="Return",-E494*INDEX(Products!$E$6:$E$205,MATCH(C494,Products!$B$6:$B$205,0)),"")),"")</f>
        <v/>
      </c>
      <c r="I494" s="24" t="n"/>
      <c r="J494" s="1" t="n"/>
    </row>
    <row r="495">
      <c r="A495" s="1" t="n"/>
      <c r="B495" s="30" t="n"/>
      <c r="C495" s="23" t="n"/>
      <c r="D495" s="23" t="n"/>
      <c r="E495" s="26" t="n"/>
      <c r="F495" s="25" t="n"/>
      <c r="G495" s="17">
        <f>IF(D495="Sale",E495*F495,IF(D495="Return",-E495*F495,""))</f>
        <v/>
      </c>
      <c r="H495" s="17">
        <f>IFERROR(IF(D495="Sale",E495*INDEX(Products!$E$6:$E$205,MATCH(C495,Products!$B$6:$B$205,0)),IF(D495="Return",-E495*INDEX(Products!$E$6:$E$205,MATCH(C495,Products!$B$6:$B$205,0)),"")),"")</f>
        <v/>
      </c>
      <c r="I495" s="24" t="n"/>
      <c r="J495" s="1" t="n"/>
    </row>
    <row r="496">
      <c r="A496" s="1" t="n"/>
      <c r="B496" s="30" t="n"/>
      <c r="C496" s="23" t="n"/>
      <c r="D496" s="23" t="n"/>
      <c r="E496" s="26" t="n"/>
      <c r="F496" s="25" t="n"/>
      <c r="G496" s="17">
        <f>IF(D496="Sale",E496*F496,IF(D496="Return",-E496*F496,""))</f>
        <v/>
      </c>
      <c r="H496" s="17">
        <f>IFERROR(IF(D496="Sale",E496*INDEX(Products!$E$6:$E$205,MATCH(C496,Products!$B$6:$B$205,0)),IF(D496="Return",-E496*INDEX(Products!$E$6:$E$205,MATCH(C496,Products!$B$6:$B$205,0)),"")),"")</f>
        <v/>
      </c>
      <c r="I496" s="24" t="n"/>
      <c r="J496" s="1" t="n"/>
    </row>
    <row r="497">
      <c r="A497" s="1" t="n"/>
      <c r="B497" s="30" t="n"/>
      <c r="C497" s="23" t="n"/>
      <c r="D497" s="23" t="n"/>
      <c r="E497" s="26" t="n"/>
      <c r="F497" s="25" t="n"/>
      <c r="G497" s="17">
        <f>IF(D497="Sale",E497*F497,IF(D497="Return",-E497*F497,""))</f>
        <v/>
      </c>
      <c r="H497" s="17">
        <f>IFERROR(IF(D497="Sale",E497*INDEX(Products!$E$6:$E$205,MATCH(C497,Products!$B$6:$B$205,0)),IF(D497="Return",-E497*INDEX(Products!$E$6:$E$205,MATCH(C497,Products!$B$6:$B$205,0)),"")),"")</f>
        <v/>
      </c>
      <c r="I497" s="24" t="n"/>
      <c r="J497" s="1" t="n"/>
    </row>
    <row r="498">
      <c r="A498" s="1" t="n"/>
      <c r="B498" s="30" t="n"/>
      <c r="C498" s="23" t="n"/>
      <c r="D498" s="23" t="n"/>
      <c r="E498" s="26" t="n"/>
      <c r="F498" s="25" t="n"/>
      <c r="G498" s="17">
        <f>IF(D498="Sale",E498*F498,IF(D498="Return",-E498*F498,""))</f>
        <v/>
      </c>
      <c r="H498" s="17">
        <f>IFERROR(IF(D498="Sale",E498*INDEX(Products!$E$6:$E$205,MATCH(C498,Products!$B$6:$B$205,0)),IF(D498="Return",-E498*INDEX(Products!$E$6:$E$205,MATCH(C498,Products!$B$6:$B$205,0)),"")),"")</f>
        <v/>
      </c>
      <c r="I498" s="24" t="n"/>
      <c r="J498" s="1" t="n"/>
    </row>
    <row r="499">
      <c r="A499" s="1" t="n"/>
      <c r="B499" s="30" t="n"/>
      <c r="C499" s="23" t="n"/>
      <c r="D499" s="23" t="n"/>
      <c r="E499" s="26" t="n"/>
      <c r="F499" s="25" t="n"/>
      <c r="G499" s="17">
        <f>IF(D499="Sale",E499*F499,IF(D499="Return",-E499*F499,""))</f>
        <v/>
      </c>
      <c r="H499" s="17">
        <f>IFERROR(IF(D499="Sale",E499*INDEX(Products!$E$6:$E$205,MATCH(C499,Products!$B$6:$B$205,0)),IF(D499="Return",-E499*INDEX(Products!$E$6:$E$205,MATCH(C499,Products!$B$6:$B$205,0)),"")),"")</f>
        <v/>
      </c>
      <c r="I499" s="24" t="n"/>
      <c r="J499" s="1" t="n"/>
    </row>
    <row r="500">
      <c r="A500" s="1" t="n"/>
      <c r="B500" s="30" t="n"/>
      <c r="C500" s="23" t="n"/>
      <c r="D500" s="23" t="n"/>
      <c r="E500" s="26" t="n"/>
      <c r="F500" s="25" t="n"/>
      <c r="G500" s="17">
        <f>IF(D500="Sale",E500*F500,IF(D500="Return",-E500*F500,""))</f>
        <v/>
      </c>
      <c r="H500" s="17">
        <f>IFERROR(IF(D500="Sale",E500*INDEX(Products!$E$6:$E$205,MATCH(C500,Products!$B$6:$B$205,0)),IF(D500="Return",-E500*INDEX(Products!$E$6:$E$205,MATCH(C500,Products!$B$6:$B$205,0)),"")),"")</f>
        <v/>
      </c>
      <c r="I500" s="24" t="n"/>
      <c r="J500" s="1" t="n"/>
    </row>
    <row r="501">
      <c r="A501" s="1" t="n"/>
      <c r="B501" s="30" t="n"/>
      <c r="C501" s="23" t="n"/>
      <c r="D501" s="23" t="n"/>
      <c r="E501" s="26" t="n"/>
      <c r="F501" s="25" t="n"/>
      <c r="G501" s="17">
        <f>IF(D501="Sale",E501*F501,IF(D501="Return",-E501*F501,""))</f>
        <v/>
      </c>
      <c r="H501" s="17">
        <f>IFERROR(IF(D501="Sale",E501*INDEX(Products!$E$6:$E$205,MATCH(C501,Products!$B$6:$B$205,0)),IF(D501="Return",-E501*INDEX(Products!$E$6:$E$205,MATCH(C501,Products!$B$6:$B$205,0)),"")),"")</f>
        <v/>
      </c>
      <c r="I501" s="24" t="n"/>
      <c r="J501" s="1" t="n"/>
    </row>
    <row r="502">
      <c r="A502" s="1" t="n"/>
      <c r="B502" s="30" t="n"/>
      <c r="C502" s="23" t="n"/>
      <c r="D502" s="23" t="n"/>
      <c r="E502" s="26" t="n"/>
      <c r="F502" s="25" t="n"/>
      <c r="G502" s="17">
        <f>IF(D502="Sale",E502*F502,IF(D502="Return",-E502*F502,""))</f>
        <v/>
      </c>
      <c r="H502" s="17">
        <f>IFERROR(IF(D502="Sale",E502*INDEX(Products!$E$6:$E$205,MATCH(C502,Products!$B$6:$B$205,0)),IF(D502="Return",-E502*INDEX(Products!$E$6:$E$205,MATCH(C502,Products!$B$6:$B$205,0)),"")),"")</f>
        <v/>
      </c>
      <c r="I502" s="24" t="n"/>
      <c r="J502" s="1" t="n"/>
    </row>
    <row r="503">
      <c r="A503" s="1" t="n"/>
      <c r="B503" s="30" t="n"/>
      <c r="C503" s="23" t="n"/>
      <c r="D503" s="23" t="n"/>
      <c r="E503" s="26" t="n"/>
      <c r="F503" s="25" t="n"/>
      <c r="G503" s="17">
        <f>IF(D503="Sale",E503*F503,IF(D503="Return",-E503*F503,""))</f>
        <v/>
      </c>
      <c r="H503" s="17">
        <f>IFERROR(IF(D503="Sale",E503*INDEX(Products!$E$6:$E$205,MATCH(C503,Products!$B$6:$B$205,0)),IF(D503="Return",-E503*INDEX(Products!$E$6:$E$205,MATCH(C503,Products!$B$6:$B$205,0)),"")),"")</f>
        <v/>
      </c>
      <c r="I503" s="24" t="n"/>
      <c r="J503" s="1" t="n"/>
    </row>
    <row r="504">
      <c r="A504" s="1" t="n"/>
      <c r="B504" s="30" t="n"/>
      <c r="C504" s="23" t="n"/>
      <c r="D504" s="23" t="n"/>
      <c r="E504" s="26" t="n"/>
      <c r="F504" s="25" t="n"/>
      <c r="G504" s="17">
        <f>IF(D504="Sale",E504*F504,IF(D504="Return",-E504*F504,""))</f>
        <v/>
      </c>
      <c r="H504" s="17">
        <f>IFERROR(IF(D504="Sale",E504*INDEX(Products!$E$6:$E$205,MATCH(C504,Products!$B$6:$B$205,0)),IF(D504="Return",-E504*INDEX(Products!$E$6:$E$205,MATCH(C504,Products!$B$6:$B$205,0)),"")),"")</f>
        <v/>
      </c>
      <c r="I504" s="24" t="n"/>
      <c r="J504" s="1" t="n"/>
    </row>
    <row r="505">
      <c r="A505" s="1" t="n"/>
      <c r="B505" s="30" t="n"/>
      <c r="C505" s="23" t="n"/>
      <c r="D505" s="23" t="n"/>
      <c r="E505" s="26" t="n"/>
      <c r="F505" s="25" t="n"/>
      <c r="G505" s="17">
        <f>IF(D505="Sale",E505*F505,IF(D505="Return",-E505*F505,""))</f>
        <v/>
      </c>
      <c r="H505" s="17">
        <f>IFERROR(IF(D505="Sale",E505*INDEX(Products!$E$6:$E$205,MATCH(C505,Products!$B$6:$B$205,0)),IF(D505="Return",-E505*INDEX(Products!$E$6:$E$205,MATCH(C505,Products!$B$6:$B$205,0)),"")),"")</f>
        <v/>
      </c>
      <c r="I505" s="24" t="n"/>
      <c r="J505" s="1" t="n"/>
    </row>
    <row r="506">
      <c r="A506" s="1" t="n"/>
      <c r="B506" s="30" t="n"/>
      <c r="C506" s="23" t="n"/>
      <c r="D506" s="23" t="n"/>
      <c r="E506" s="26" t="n"/>
      <c r="F506" s="25" t="n"/>
      <c r="G506" s="17">
        <f>IF(D506="Sale",E506*F506,IF(D506="Return",-E506*F506,""))</f>
        <v/>
      </c>
      <c r="H506" s="17">
        <f>IFERROR(IF(D506="Sale",E506*INDEX(Products!$E$6:$E$205,MATCH(C506,Products!$B$6:$B$205,0)),IF(D506="Return",-E506*INDEX(Products!$E$6:$E$205,MATCH(C506,Products!$B$6:$B$205,0)),"")),"")</f>
        <v/>
      </c>
      <c r="I506" s="24" t="n"/>
      <c r="J506" s="1" t="n"/>
    </row>
    <row r="507">
      <c r="A507" s="1" t="n"/>
      <c r="B507" s="30" t="n"/>
      <c r="C507" s="23" t="n"/>
      <c r="D507" s="23" t="n"/>
      <c r="E507" s="26" t="n"/>
      <c r="F507" s="25" t="n"/>
      <c r="G507" s="17">
        <f>IF(D507="Sale",E507*F507,IF(D507="Return",-E507*F507,""))</f>
        <v/>
      </c>
      <c r="H507" s="17">
        <f>IFERROR(IF(D507="Sale",E507*INDEX(Products!$E$6:$E$205,MATCH(C507,Products!$B$6:$B$205,0)),IF(D507="Return",-E507*INDEX(Products!$E$6:$E$205,MATCH(C507,Products!$B$6:$B$205,0)),"")),"")</f>
        <v/>
      </c>
      <c r="I507" s="24" t="n"/>
      <c r="J507" s="1" t="n"/>
    </row>
    <row r="508">
      <c r="A508" s="1" t="n"/>
      <c r="B508" s="30" t="n"/>
      <c r="C508" s="23" t="n"/>
      <c r="D508" s="23" t="n"/>
      <c r="E508" s="26" t="n"/>
      <c r="F508" s="25" t="n"/>
      <c r="G508" s="17">
        <f>IF(D508="Sale",E508*F508,IF(D508="Return",-E508*F508,""))</f>
        <v/>
      </c>
      <c r="H508" s="17">
        <f>IFERROR(IF(D508="Sale",E508*INDEX(Products!$E$6:$E$205,MATCH(C508,Products!$B$6:$B$205,0)),IF(D508="Return",-E508*INDEX(Products!$E$6:$E$205,MATCH(C508,Products!$B$6:$B$205,0)),"")),"")</f>
        <v/>
      </c>
      <c r="I508" s="24" t="n"/>
      <c r="J508" s="1" t="n"/>
    </row>
    <row r="509">
      <c r="A509" s="1" t="n"/>
      <c r="B509" s="30" t="n"/>
      <c r="C509" s="23" t="n"/>
      <c r="D509" s="23" t="n"/>
      <c r="E509" s="26" t="n"/>
      <c r="F509" s="25" t="n"/>
      <c r="G509" s="17">
        <f>IF(D509="Sale",E509*F509,IF(D509="Return",-E509*F509,""))</f>
        <v/>
      </c>
      <c r="H509" s="17">
        <f>IFERROR(IF(D509="Sale",E509*INDEX(Products!$E$6:$E$205,MATCH(C509,Products!$B$6:$B$205,0)),IF(D509="Return",-E509*INDEX(Products!$E$6:$E$205,MATCH(C509,Products!$B$6:$B$205,0)),"")),"")</f>
        <v/>
      </c>
      <c r="I509" s="24" t="n"/>
      <c r="J509" s="1" t="n"/>
    </row>
    <row r="510">
      <c r="A510" s="1" t="n"/>
      <c r="B510" s="30" t="n"/>
      <c r="C510" s="23" t="n"/>
      <c r="D510" s="23" t="n"/>
      <c r="E510" s="26" t="n"/>
      <c r="F510" s="25" t="n"/>
      <c r="G510" s="17">
        <f>IF(D510="Sale",E510*F510,IF(D510="Return",-E510*F510,""))</f>
        <v/>
      </c>
      <c r="H510" s="17">
        <f>IFERROR(IF(D510="Sale",E510*INDEX(Products!$E$6:$E$205,MATCH(C510,Products!$B$6:$B$205,0)),IF(D510="Return",-E510*INDEX(Products!$E$6:$E$205,MATCH(C510,Products!$B$6:$B$205,0)),"")),"")</f>
        <v/>
      </c>
      <c r="I510" s="24" t="n"/>
      <c r="J510" s="1" t="n"/>
    </row>
    <row r="511">
      <c r="A511" s="1" t="n"/>
      <c r="B511" s="30" t="n"/>
      <c r="C511" s="23" t="n"/>
      <c r="D511" s="23" t="n"/>
      <c r="E511" s="26" t="n"/>
      <c r="F511" s="25" t="n"/>
      <c r="G511" s="17">
        <f>IF(D511="Sale",E511*F511,IF(D511="Return",-E511*F511,""))</f>
        <v/>
      </c>
      <c r="H511" s="17">
        <f>IFERROR(IF(D511="Sale",E511*INDEX(Products!$E$6:$E$205,MATCH(C511,Products!$B$6:$B$205,0)),IF(D511="Return",-E511*INDEX(Products!$E$6:$E$205,MATCH(C511,Products!$B$6:$B$205,0)),"")),"")</f>
        <v/>
      </c>
      <c r="I511" s="24" t="n"/>
      <c r="J511" s="1" t="n"/>
    </row>
    <row r="512">
      <c r="A512" s="1" t="n"/>
      <c r="B512" s="30" t="n"/>
      <c r="C512" s="23" t="n"/>
      <c r="D512" s="23" t="n"/>
      <c r="E512" s="26" t="n"/>
      <c r="F512" s="25" t="n"/>
      <c r="G512" s="17">
        <f>IF(D512="Sale",E512*F512,IF(D512="Return",-E512*F512,""))</f>
        <v/>
      </c>
      <c r="H512" s="17">
        <f>IFERROR(IF(D512="Sale",E512*INDEX(Products!$E$6:$E$205,MATCH(C512,Products!$B$6:$B$205,0)),IF(D512="Return",-E512*INDEX(Products!$E$6:$E$205,MATCH(C512,Products!$B$6:$B$205,0)),"")),"")</f>
        <v/>
      </c>
      <c r="I512" s="24" t="n"/>
      <c r="J512" s="1" t="n"/>
    </row>
    <row r="513">
      <c r="A513" s="1" t="n"/>
      <c r="B513" s="30" t="n"/>
      <c r="C513" s="23" t="n"/>
      <c r="D513" s="23" t="n"/>
      <c r="E513" s="26" t="n"/>
      <c r="F513" s="25" t="n"/>
      <c r="G513" s="17">
        <f>IF(D513="Sale",E513*F513,IF(D513="Return",-E513*F513,""))</f>
        <v/>
      </c>
      <c r="H513" s="17">
        <f>IFERROR(IF(D513="Sale",E513*INDEX(Products!$E$6:$E$205,MATCH(C513,Products!$B$6:$B$205,0)),IF(D513="Return",-E513*INDEX(Products!$E$6:$E$205,MATCH(C513,Products!$B$6:$B$205,0)),"")),"")</f>
        <v/>
      </c>
      <c r="I513" s="24" t="n"/>
      <c r="J513" s="1" t="n"/>
    </row>
    <row r="514">
      <c r="A514" s="1" t="n"/>
      <c r="B514" s="30" t="n"/>
      <c r="C514" s="23" t="n"/>
      <c r="D514" s="23" t="n"/>
      <c r="E514" s="26" t="n"/>
      <c r="F514" s="25" t="n"/>
      <c r="G514" s="17">
        <f>IF(D514="Sale",E514*F514,IF(D514="Return",-E514*F514,""))</f>
        <v/>
      </c>
      <c r="H514" s="17">
        <f>IFERROR(IF(D514="Sale",E514*INDEX(Products!$E$6:$E$205,MATCH(C514,Products!$B$6:$B$205,0)),IF(D514="Return",-E514*INDEX(Products!$E$6:$E$205,MATCH(C514,Products!$B$6:$B$205,0)),"")),"")</f>
        <v/>
      </c>
      <c r="I514" s="24" t="n"/>
      <c r="J514" s="1" t="n"/>
    </row>
    <row r="515">
      <c r="A515" s="1" t="n"/>
      <c r="B515" s="30" t="n"/>
      <c r="C515" s="23" t="n"/>
      <c r="D515" s="23" t="n"/>
      <c r="E515" s="26" t="n"/>
      <c r="F515" s="25" t="n"/>
      <c r="G515" s="17">
        <f>IF(D515="Sale",E515*F515,IF(D515="Return",-E515*F515,""))</f>
        <v/>
      </c>
      <c r="H515" s="17">
        <f>IFERROR(IF(D515="Sale",E515*INDEX(Products!$E$6:$E$205,MATCH(C515,Products!$B$6:$B$205,0)),IF(D515="Return",-E515*INDEX(Products!$E$6:$E$205,MATCH(C515,Products!$B$6:$B$205,0)),"")),"")</f>
        <v/>
      </c>
      <c r="I515" s="24" t="n"/>
      <c r="J515" s="1" t="n"/>
    </row>
    <row r="516">
      <c r="A516" s="1" t="n"/>
      <c r="B516" s="30" t="n"/>
      <c r="C516" s="23" t="n"/>
      <c r="D516" s="23" t="n"/>
      <c r="E516" s="26" t="n"/>
      <c r="F516" s="25" t="n"/>
      <c r="G516" s="17">
        <f>IF(D516="Sale",E516*F516,IF(D516="Return",-E516*F516,""))</f>
        <v/>
      </c>
      <c r="H516" s="17">
        <f>IFERROR(IF(D516="Sale",E516*INDEX(Products!$E$6:$E$205,MATCH(C516,Products!$B$6:$B$205,0)),IF(D516="Return",-E516*INDEX(Products!$E$6:$E$205,MATCH(C516,Products!$B$6:$B$205,0)),"")),"")</f>
        <v/>
      </c>
      <c r="I516" s="24" t="n"/>
      <c r="J516" s="1" t="n"/>
    </row>
    <row r="517">
      <c r="A517" s="1" t="n"/>
      <c r="B517" s="30" t="n"/>
      <c r="C517" s="23" t="n"/>
      <c r="D517" s="23" t="n"/>
      <c r="E517" s="26" t="n"/>
      <c r="F517" s="25" t="n"/>
      <c r="G517" s="17">
        <f>IF(D517="Sale",E517*F517,IF(D517="Return",-E517*F517,""))</f>
        <v/>
      </c>
      <c r="H517" s="17">
        <f>IFERROR(IF(D517="Sale",E517*INDEX(Products!$E$6:$E$205,MATCH(C517,Products!$B$6:$B$205,0)),IF(D517="Return",-E517*INDEX(Products!$E$6:$E$205,MATCH(C517,Products!$B$6:$B$205,0)),"")),"")</f>
        <v/>
      </c>
      <c r="I517" s="24" t="n"/>
      <c r="J517" s="1" t="n"/>
    </row>
    <row r="518">
      <c r="A518" s="1" t="n"/>
      <c r="B518" s="30" t="n"/>
      <c r="C518" s="23" t="n"/>
      <c r="D518" s="23" t="n"/>
      <c r="E518" s="26" t="n"/>
      <c r="F518" s="25" t="n"/>
      <c r="G518" s="17">
        <f>IF(D518="Sale",E518*F518,IF(D518="Return",-E518*F518,""))</f>
        <v/>
      </c>
      <c r="H518" s="17">
        <f>IFERROR(IF(D518="Sale",E518*INDEX(Products!$E$6:$E$205,MATCH(C518,Products!$B$6:$B$205,0)),IF(D518="Return",-E518*INDEX(Products!$E$6:$E$205,MATCH(C518,Products!$B$6:$B$205,0)),"")),"")</f>
        <v/>
      </c>
      <c r="I518" s="24" t="n"/>
      <c r="J518" s="1" t="n"/>
    </row>
    <row r="519">
      <c r="A519" s="1" t="n"/>
      <c r="B519" s="30" t="n"/>
      <c r="C519" s="23" t="n"/>
      <c r="D519" s="23" t="n"/>
      <c r="E519" s="26" t="n"/>
      <c r="F519" s="25" t="n"/>
      <c r="G519" s="17">
        <f>IF(D519="Sale",E519*F519,IF(D519="Return",-E519*F519,""))</f>
        <v/>
      </c>
      <c r="H519" s="17">
        <f>IFERROR(IF(D519="Sale",E519*INDEX(Products!$E$6:$E$205,MATCH(C519,Products!$B$6:$B$205,0)),IF(D519="Return",-E519*INDEX(Products!$E$6:$E$205,MATCH(C519,Products!$B$6:$B$205,0)),"")),"")</f>
        <v/>
      </c>
      <c r="I519" s="24" t="n"/>
      <c r="J519" s="1" t="n"/>
    </row>
    <row r="520">
      <c r="A520" s="1" t="n"/>
      <c r="B520" s="30" t="n"/>
      <c r="C520" s="23" t="n"/>
      <c r="D520" s="23" t="n"/>
      <c r="E520" s="26" t="n"/>
      <c r="F520" s="25" t="n"/>
      <c r="G520" s="17">
        <f>IF(D520="Sale",E520*F520,IF(D520="Return",-E520*F520,""))</f>
        <v/>
      </c>
      <c r="H520" s="17">
        <f>IFERROR(IF(D520="Sale",E520*INDEX(Products!$E$6:$E$205,MATCH(C520,Products!$B$6:$B$205,0)),IF(D520="Return",-E520*INDEX(Products!$E$6:$E$205,MATCH(C520,Products!$B$6:$B$205,0)),"")),"")</f>
        <v/>
      </c>
      <c r="I520" s="24" t="n"/>
      <c r="J520" s="1" t="n"/>
    </row>
    <row r="521">
      <c r="A521" s="1" t="n"/>
      <c r="B521" s="30" t="n"/>
      <c r="C521" s="23" t="n"/>
      <c r="D521" s="23" t="n"/>
      <c r="E521" s="26" t="n"/>
      <c r="F521" s="25" t="n"/>
      <c r="G521" s="17">
        <f>IF(D521="Sale",E521*F521,IF(D521="Return",-E521*F521,""))</f>
        <v/>
      </c>
      <c r="H521" s="17">
        <f>IFERROR(IF(D521="Sale",E521*INDEX(Products!$E$6:$E$205,MATCH(C521,Products!$B$6:$B$205,0)),IF(D521="Return",-E521*INDEX(Products!$E$6:$E$205,MATCH(C521,Products!$B$6:$B$205,0)),"")),"")</f>
        <v/>
      </c>
      <c r="I521" s="24" t="n"/>
      <c r="J521" s="1" t="n"/>
    </row>
    <row r="522">
      <c r="A522" s="1" t="n"/>
      <c r="B522" s="30" t="n"/>
      <c r="C522" s="23" t="n"/>
      <c r="D522" s="23" t="n"/>
      <c r="E522" s="26" t="n"/>
      <c r="F522" s="25" t="n"/>
      <c r="G522" s="17">
        <f>IF(D522="Sale",E522*F522,IF(D522="Return",-E522*F522,""))</f>
        <v/>
      </c>
      <c r="H522" s="17">
        <f>IFERROR(IF(D522="Sale",E522*INDEX(Products!$E$6:$E$205,MATCH(C522,Products!$B$6:$B$205,0)),IF(D522="Return",-E522*INDEX(Products!$E$6:$E$205,MATCH(C522,Products!$B$6:$B$205,0)),"")),"")</f>
        <v/>
      </c>
      <c r="I522" s="24" t="n"/>
      <c r="J522" s="1" t="n"/>
    </row>
    <row r="523">
      <c r="A523" s="1" t="n"/>
      <c r="B523" s="30" t="n"/>
      <c r="C523" s="23" t="n"/>
      <c r="D523" s="23" t="n"/>
      <c r="E523" s="26" t="n"/>
      <c r="F523" s="25" t="n"/>
      <c r="G523" s="17">
        <f>IF(D523="Sale",E523*F523,IF(D523="Return",-E523*F523,""))</f>
        <v/>
      </c>
      <c r="H523" s="17">
        <f>IFERROR(IF(D523="Sale",E523*INDEX(Products!$E$6:$E$205,MATCH(C523,Products!$B$6:$B$205,0)),IF(D523="Return",-E523*INDEX(Products!$E$6:$E$205,MATCH(C523,Products!$B$6:$B$205,0)),"")),"")</f>
        <v/>
      </c>
      <c r="I523" s="24" t="n"/>
      <c r="J523" s="1" t="n"/>
    </row>
    <row r="524">
      <c r="A524" s="1" t="n"/>
      <c r="B524" s="30" t="n"/>
      <c r="C524" s="23" t="n"/>
      <c r="D524" s="23" t="n"/>
      <c r="E524" s="26" t="n"/>
      <c r="F524" s="25" t="n"/>
      <c r="G524" s="17">
        <f>IF(D524="Sale",E524*F524,IF(D524="Return",-E524*F524,""))</f>
        <v/>
      </c>
      <c r="H524" s="17">
        <f>IFERROR(IF(D524="Sale",E524*INDEX(Products!$E$6:$E$205,MATCH(C524,Products!$B$6:$B$205,0)),IF(D524="Return",-E524*INDEX(Products!$E$6:$E$205,MATCH(C524,Products!$B$6:$B$205,0)),"")),"")</f>
        <v/>
      </c>
      <c r="I524" s="24" t="n"/>
      <c r="J524" s="1" t="n"/>
    </row>
    <row r="525">
      <c r="A525" s="1" t="n"/>
      <c r="B525" s="30" t="n"/>
      <c r="C525" s="23" t="n"/>
      <c r="D525" s="23" t="n"/>
      <c r="E525" s="26" t="n"/>
      <c r="F525" s="25" t="n"/>
      <c r="G525" s="17">
        <f>IF(D525="Sale",E525*F525,IF(D525="Return",-E525*F525,""))</f>
        <v/>
      </c>
      <c r="H525" s="17">
        <f>IFERROR(IF(D525="Sale",E525*INDEX(Products!$E$6:$E$205,MATCH(C525,Products!$B$6:$B$205,0)),IF(D525="Return",-E525*INDEX(Products!$E$6:$E$205,MATCH(C525,Products!$B$6:$B$205,0)),"")),"")</f>
        <v/>
      </c>
      <c r="I525" s="24" t="n"/>
      <c r="J525" s="1" t="n"/>
    </row>
    <row r="526">
      <c r="A526" s="1" t="n"/>
      <c r="B526" s="30" t="n"/>
      <c r="C526" s="23" t="n"/>
      <c r="D526" s="23" t="n"/>
      <c r="E526" s="26" t="n"/>
      <c r="F526" s="25" t="n"/>
      <c r="G526" s="17">
        <f>IF(D526="Sale",E526*F526,IF(D526="Return",-E526*F526,""))</f>
        <v/>
      </c>
      <c r="H526" s="17">
        <f>IFERROR(IF(D526="Sale",E526*INDEX(Products!$E$6:$E$205,MATCH(C526,Products!$B$6:$B$205,0)),IF(D526="Return",-E526*INDEX(Products!$E$6:$E$205,MATCH(C526,Products!$B$6:$B$205,0)),"")),"")</f>
        <v/>
      </c>
      <c r="I526" s="24" t="n"/>
      <c r="J526" s="1" t="n"/>
    </row>
    <row r="527">
      <c r="A527" s="1" t="n"/>
      <c r="B527" s="30" t="n"/>
      <c r="C527" s="23" t="n"/>
      <c r="D527" s="23" t="n"/>
      <c r="E527" s="26" t="n"/>
      <c r="F527" s="25" t="n"/>
      <c r="G527" s="17">
        <f>IF(D527="Sale",E527*F527,IF(D527="Return",-E527*F527,""))</f>
        <v/>
      </c>
      <c r="H527" s="17">
        <f>IFERROR(IF(D527="Sale",E527*INDEX(Products!$E$6:$E$205,MATCH(C527,Products!$B$6:$B$205,0)),IF(D527="Return",-E527*INDEX(Products!$E$6:$E$205,MATCH(C527,Products!$B$6:$B$205,0)),"")),"")</f>
        <v/>
      </c>
      <c r="I527" s="24" t="n"/>
      <c r="J527" s="1" t="n"/>
    </row>
    <row r="528">
      <c r="A528" s="1" t="n"/>
      <c r="B528" s="30" t="n"/>
      <c r="C528" s="23" t="n"/>
      <c r="D528" s="23" t="n"/>
      <c r="E528" s="26" t="n"/>
      <c r="F528" s="25" t="n"/>
      <c r="G528" s="17">
        <f>IF(D528="Sale",E528*F528,IF(D528="Return",-E528*F528,""))</f>
        <v/>
      </c>
      <c r="H528" s="17">
        <f>IFERROR(IF(D528="Sale",E528*INDEX(Products!$E$6:$E$205,MATCH(C528,Products!$B$6:$B$205,0)),IF(D528="Return",-E528*INDEX(Products!$E$6:$E$205,MATCH(C528,Products!$B$6:$B$205,0)),"")),"")</f>
        <v/>
      </c>
      <c r="I528" s="24" t="n"/>
      <c r="J528" s="1" t="n"/>
    </row>
    <row r="529">
      <c r="A529" s="1" t="n"/>
      <c r="B529" s="30" t="n"/>
      <c r="C529" s="23" t="n"/>
      <c r="D529" s="23" t="n"/>
      <c r="E529" s="26" t="n"/>
      <c r="F529" s="25" t="n"/>
      <c r="G529" s="17">
        <f>IF(D529="Sale",E529*F529,IF(D529="Return",-E529*F529,""))</f>
        <v/>
      </c>
      <c r="H529" s="17">
        <f>IFERROR(IF(D529="Sale",E529*INDEX(Products!$E$6:$E$205,MATCH(C529,Products!$B$6:$B$205,0)),IF(D529="Return",-E529*INDEX(Products!$E$6:$E$205,MATCH(C529,Products!$B$6:$B$205,0)),"")),"")</f>
        <v/>
      </c>
      <c r="I529" s="24" t="n"/>
      <c r="J529" s="1" t="n"/>
    </row>
    <row r="530">
      <c r="A530" s="1" t="n"/>
      <c r="B530" s="30" t="n"/>
      <c r="C530" s="23" t="n"/>
      <c r="D530" s="23" t="n"/>
      <c r="E530" s="26" t="n"/>
      <c r="F530" s="25" t="n"/>
      <c r="G530" s="17">
        <f>IF(D530="Sale",E530*F530,IF(D530="Return",-E530*F530,""))</f>
        <v/>
      </c>
      <c r="H530" s="17">
        <f>IFERROR(IF(D530="Sale",E530*INDEX(Products!$E$6:$E$205,MATCH(C530,Products!$B$6:$B$205,0)),IF(D530="Return",-E530*INDEX(Products!$E$6:$E$205,MATCH(C530,Products!$B$6:$B$205,0)),"")),"")</f>
        <v/>
      </c>
      <c r="I530" s="24" t="n"/>
      <c r="J530" s="1" t="n"/>
    </row>
    <row r="531">
      <c r="A531" s="1" t="n"/>
      <c r="B531" s="30" t="n"/>
      <c r="C531" s="23" t="n"/>
      <c r="D531" s="23" t="n"/>
      <c r="E531" s="26" t="n"/>
      <c r="F531" s="25" t="n"/>
      <c r="G531" s="17">
        <f>IF(D531="Sale",E531*F531,IF(D531="Return",-E531*F531,""))</f>
        <v/>
      </c>
      <c r="H531" s="17">
        <f>IFERROR(IF(D531="Sale",E531*INDEX(Products!$E$6:$E$205,MATCH(C531,Products!$B$6:$B$205,0)),IF(D531="Return",-E531*INDEX(Products!$E$6:$E$205,MATCH(C531,Products!$B$6:$B$205,0)),"")),"")</f>
        <v/>
      </c>
      <c r="I531" s="24" t="n"/>
      <c r="J531" s="1" t="n"/>
    </row>
    <row r="532">
      <c r="A532" s="1" t="n"/>
      <c r="B532" s="30" t="n"/>
      <c r="C532" s="23" t="n"/>
      <c r="D532" s="23" t="n"/>
      <c r="E532" s="26" t="n"/>
      <c r="F532" s="25" t="n"/>
      <c r="G532" s="17">
        <f>IF(D532="Sale",E532*F532,IF(D532="Return",-E532*F532,""))</f>
        <v/>
      </c>
      <c r="H532" s="17">
        <f>IFERROR(IF(D532="Sale",E532*INDEX(Products!$E$6:$E$205,MATCH(C532,Products!$B$6:$B$205,0)),IF(D532="Return",-E532*INDEX(Products!$E$6:$E$205,MATCH(C532,Products!$B$6:$B$205,0)),"")),"")</f>
        <v/>
      </c>
      <c r="I532" s="24" t="n"/>
      <c r="J532" s="1" t="n"/>
    </row>
    <row r="533">
      <c r="A533" s="1" t="n"/>
      <c r="B533" s="30" t="n"/>
      <c r="C533" s="23" t="n"/>
      <c r="D533" s="23" t="n"/>
      <c r="E533" s="26" t="n"/>
      <c r="F533" s="25" t="n"/>
      <c r="G533" s="17">
        <f>IF(D533="Sale",E533*F533,IF(D533="Return",-E533*F533,""))</f>
        <v/>
      </c>
      <c r="H533" s="17">
        <f>IFERROR(IF(D533="Sale",E533*INDEX(Products!$E$6:$E$205,MATCH(C533,Products!$B$6:$B$205,0)),IF(D533="Return",-E533*INDEX(Products!$E$6:$E$205,MATCH(C533,Products!$B$6:$B$205,0)),"")),"")</f>
        <v/>
      </c>
      <c r="I533" s="24" t="n"/>
      <c r="J533" s="1" t="n"/>
    </row>
    <row r="534">
      <c r="A534" s="1" t="n"/>
      <c r="B534" s="30" t="n"/>
      <c r="C534" s="23" t="n"/>
      <c r="D534" s="23" t="n"/>
      <c r="E534" s="26" t="n"/>
      <c r="F534" s="25" t="n"/>
      <c r="G534" s="17">
        <f>IF(D534="Sale",E534*F534,IF(D534="Return",-E534*F534,""))</f>
        <v/>
      </c>
      <c r="H534" s="17">
        <f>IFERROR(IF(D534="Sale",E534*INDEX(Products!$E$6:$E$205,MATCH(C534,Products!$B$6:$B$205,0)),IF(D534="Return",-E534*INDEX(Products!$E$6:$E$205,MATCH(C534,Products!$B$6:$B$205,0)),"")),"")</f>
        <v/>
      </c>
      <c r="I534" s="24" t="n"/>
      <c r="J534" s="1" t="n"/>
    </row>
    <row r="535">
      <c r="A535" s="1" t="n"/>
      <c r="B535" s="30" t="n"/>
      <c r="C535" s="23" t="n"/>
      <c r="D535" s="23" t="n"/>
      <c r="E535" s="26" t="n"/>
      <c r="F535" s="25" t="n"/>
      <c r="G535" s="17">
        <f>IF(D535="Sale",E535*F535,IF(D535="Return",-E535*F535,""))</f>
        <v/>
      </c>
      <c r="H535" s="17">
        <f>IFERROR(IF(D535="Sale",E535*INDEX(Products!$E$6:$E$205,MATCH(C535,Products!$B$6:$B$205,0)),IF(D535="Return",-E535*INDEX(Products!$E$6:$E$205,MATCH(C535,Products!$B$6:$B$205,0)),"")),"")</f>
        <v/>
      </c>
      <c r="I535" s="24" t="n"/>
      <c r="J535" s="1" t="n"/>
    </row>
    <row r="536">
      <c r="A536" s="1" t="n"/>
      <c r="B536" s="30" t="n"/>
      <c r="C536" s="23" t="n"/>
      <c r="D536" s="23" t="n"/>
      <c r="E536" s="26" t="n"/>
      <c r="F536" s="25" t="n"/>
      <c r="G536" s="17">
        <f>IF(D536="Sale",E536*F536,IF(D536="Return",-E536*F536,""))</f>
        <v/>
      </c>
      <c r="H536" s="17">
        <f>IFERROR(IF(D536="Sale",E536*INDEX(Products!$E$6:$E$205,MATCH(C536,Products!$B$6:$B$205,0)),IF(D536="Return",-E536*INDEX(Products!$E$6:$E$205,MATCH(C536,Products!$B$6:$B$205,0)),"")),"")</f>
        <v/>
      </c>
      <c r="I536" s="24" t="n"/>
      <c r="J536" s="1" t="n"/>
    </row>
    <row r="537">
      <c r="A537" s="1" t="n"/>
      <c r="B537" s="30" t="n"/>
      <c r="C537" s="23" t="n"/>
      <c r="D537" s="23" t="n"/>
      <c r="E537" s="26" t="n"/>
      <c r="F537" s="25" t="n"/>
      <c r="G537" s="17">
        <f>IF(D537="Sale",E537*F537,IF(D537="Return",-E537*F537,""))</f>
        <v/>
      </c>
      <c r="H537" s="17">
        <f>IFERROR(IF(D537="Sale",E537*INDEX(Products!$E$6:$E$205,MATCH(C537,Products!$B$6:$B$205,0)),IF(D537="Return",-E537*INDEX(Products!$E$6:$E$205,MATCH(C537,Products!$B$6:$B$205,0)),"")),"")</f>
        <v/>
      </c>
      <c r="I537" s="24" t="n"/>
      <c r="J537" s="1" t="n"/>
    </row>
    <row r="538">
      <c r="A538" s="1" t="n"/>
      <c r="B538" s="30" t="n"/>
      <c r="C538" s="23" t="n"/>
      <c r="D538" s="23" t="n"/>
      <c r="E538" s="26" t="n"/>
      <c r="F538" s="25" t="n"/>
      <c r="G538" s="17">
        <f>IF(D538="Sale",E538*F538,IF(D538="Return",-E538*F538,""))</f>
        <v/>
      </c>
      <c r="H538" s="17">
        <f>IFERROR(IF(D538="Sale",E538*INDEX(Products!$E$6:$E$205,MATCH(C538,Products!$B$6:$B$205,0)),IF(D538="Return",-E538*INDEX(Products!$E$6:$E$205,MATCH(C538,Products!$B$6:$B$205,0)),"")),"")</f>
        <v/>
      </c>
      <c r="I538" s="24" t="n"/>
      <c r="J538" s="1" t="n"/>
    </row>
    <row r="539">
      <c r="A539" s="1" t="n"/>
      <c r="B539" s="30" t="n"/>
      <c r="C539" s="23" t="n"/>
      <c r="D539" s="23" t="n"/>
      <c r="E539" s="26" t="n"/>
      <c r="F539" s="25" t="n"/>
      <c r="G539" s="17">
        <f>IF(D539="Sale",E539*F539,IF(D539="Return",-E539*F539,""))</f>
        <v/>
      </c>
      <c r="H539" s="17">
        <f>IFERROR(IF(D539="Sale",E539*INDEX(Products!$E$6:$E$205,MATCH(C539,Products!$B$6:$B$205,0)),IF(D539="Return",-E539*INDEX(Products!$E$6:$E$205,MATCH(C539,Products!$B$6:$B$205,0)),"")),"")</f>
        <v/>
      </c>
      <c r="I539" s="24" t="n"/>
      <c r="J539" s="1" t="n"/>
    </row>
    <row r="540">
      <c r="A540" s="1" t="n"/>
      <c r="B540" s="30" t="n"/>
      <c r="C540" s="23" t="n"/>
      <c r="D540" s="23" t="n"/>
      <c r="E540" s="26" t="n"/>
      <c r="F540" s="25" t="n"/>
      <c r="G540" s="17">
        <f>IF(D540="Sale",E540*F540,IF(D540="Return",-E540*F540,""))</f>
        <v/>
      </c>
      <c r="H540" s="17">
        <f>IFERROR(IF(D540="Sale",E540*INDEX(Products!$E$6:$E$205,MATCH(C540,Products!$B$6:$B$205,0)),IF(D540="Return",-E540*INDEX(Products!$E$6:$E$205,MATCH(C540,Products!$B$6:$B$205,0)),"")),"")</f>
        <v/>
      </c>
      <c r="I540" s="24" t="n"/>
      <c r="J540" s="1" t="n"/>
    </row>
    <row r="541">
      <c r="A541" s="1" t="n"/>
      <c r="B541" s="30" t="n"/>
      <c r="C541" s="23" t="n"/>
      <c r="D541" s="23" t="n"/>
      <c r="E541" s="26" t="n"/>
      <c r="F541" s="25" t="n"/>
      <c r="G541" s="17">
        <f>IF(D541="Sale",E541*F541,IF(D541="Return",-E541*F541,""))</f>
        <v/>
      </c>
      <c r="H541" s="17">
        <f>IFERROR(IF(D541="Sale",E541*INDEX(Products!$E$6:$E$205,MATCH(C541,Products!$B$6:$B$205,0)),IF(D541="Return",-E541*INDEX(Products!$E$6:$E$205,MATCH(C541,Products!$B$6:$B$205,0)),"")),"")</f>
        <v/>
      </c>
      <c r="I541" s="24" t="n"/>
      <c r="J541" s="1" t="n"/>
    </row>
    <row r="542">
      <c r="A542" s="1" t="n"/>
      <c r="B542" s="30" t="n"/>
      <c r="C542" s="23" t="n"/>
      <c r="D542" s="23" t="n"/>
      <c r="E542" s="26" t="n"/>
      <c r="F542" s="25" t="n"/>
      <c r="G542" s="17">
        <f>IF(D542="Sale",E542*F542,IF(D542="Return",-E542*F542,""))</f>
        <v/>
      </c>
      <c r="H542" s="17">
        <f>IFERROR(IF(D542="Sale",E542*INDEX(Products!$E$6:$E$205,MATCH(C542,Products!$B$6:$B$205,0)),IF(D542="Return",-E542*INDEX(Products!$E$6:$E$205,MATCH(C542,Products!$B$6:$B$205,0)),"")),"")</f>
        <v/>
      </c>
      <c r="I542" s="24" t="n"/>
      <c r="J542" s="1" t="n"/>
    </row>
    <row r="543">
      <c r="A543" s="1" t="n"/>
      <c r="B543" s="30" t="n"/>
      <c r="C543" s="23" t="n"/>
      <c r="D543" s="23" t="n"/>
      <c r="E543" s="26" t="n"/>
      <c r="F543" s="25" t="n"/>
      <c r="G543" s="17">
        <f>IF(D543="Sale",E543*F543,IF(D543="Return",-E543*F543,""))</f>
        <v/>
      </c>
      <c r="H543" s="17">
        <f>IFERROR(IF(D543="Sale",E543*INDEX(Products!$E$6:$E$205,MATCH(C543,Products!$B$6:$B$205,0)),IF(D543="Return",-E543*INDEX(Products!$E$6:$E$205,MATCH(C543,Products!$B$6:$B$205,0)),"")),"")</f>
        <v/>
      </c>
      <c r="I543" s="24" t="n"/>
      <c r="J543" s="1" t="n"/>
    </row>
    <row r="544">
      <c r="A544" s="1" t="n"/>
      <c r="B544" s="30" t="n"/>
      <c r="C544" s="23" t="n"/>
      <c r="D544" s="23" t="n"/>
      <c r="E544" s="26" t="n"/>
      <c r="F544" s="25" t="n"/>
      <c r="G544" s="17">
        <f>IF(D544="Sale",E544*F544,IF(D544="Return",-E544*F544,""))</f>
        <v/>
      </c>
      <c r="H544" s="17">
        <f>IFERROR(IF(D544="Sale",E544*INDEX(Products!$E$6:$E$205,MATCH(C544,Products!$B$6:$B$205,0)),IF(D544="Return",-E544*INDEX(Products!$E$6:$E$205,MATCH(C544,Products!$B$6:$B$205,0)),"")),"")</f>
        <v/>
      </c>
      <c r="I544" s="24" t="n"/>
      <c r="J544" s="1" t="n"/>
    </row>
    <row r="545">
      <c r="A545" s="1" t="n"/>
      <c r="B545" s="30" t="n"/>
      <c r="C545" s="23" t="n"/>
      <c r="D545" s="23" t="n"/>
      <c r="E545" s="26" t="n"/>
      <c r="F545" s="25" t="n"/>
      <c r="G545" s="17">
        <f>IF(D545="Sale",E545*F545,IF(D545="Return",-E545*F545,""))</f>
        <v/>
      </c>
      <c r="H545" s="17">
        <f>IFERROR(IF(D545="Sale",E545*INDEX(Products!$E$6:$E$205,MATCH(C545,Products!$B$6:$B$205,0)),IF(D545="Return",-E545*INDEX(Products!$E$6:$E$205,MATCH(C545,Products!$B$6:$B$205,0)),"")),"")</f>
        <v/>
      </c>
      <c r="I545" s="24" t="n"/>
      <c r="J545" s="1" t="n"/>
    </row>
    <row r="546">
      <c r="A546" s="1" t="n"/>
      <c r="B546" s="30" t="n"/>
      <c r="C546" s="23" t="n"/>
      <c r="D546" s="23" t="n"/>
      <c r="E546" s="26" t="n"/>
      <c r="F546" s="25" t="n"/>
      <c r="G546" s="17">
        <f>IF(D546="Sale",E546*F546,IF(D546="Return",-E546*F546,""))</f>
        <v/>
      </c>
      <c r="H546" s="17">
        <f>IFERROR(IF(D546="Sale",E546*INDEX(Products!$E$6:$E$205,MATCH(C546,Products!$B$6:$B$205,0)),IF(D546="Return",-E546*INDEX(Products!$E$6:$E$205,MATCH(C546,Products!$B$6:$B$205,0)),"")),"")</f>
        <v/>
      </c>
      <c r="I546" s="24" t="n"/>
      <c r="J546" s="1" t="n"/>
    </row>
    <row r="547">
      <c r="A547" s="1" t="n"/>
      <c r="B547" s="30" t="n"/>
      <c r="C547" s="23" t="n"/>
      <c r="D547" s="23" t="n"/>
      <c r="E547" s="26" t="n"/>
      <c r="F547" s="25" t="n"/>
      <c r="G547" s="17">
        <f>IF(D547="Sale",E547*F547,IF(D547="Return",-E547*F547,""))</f>
        <v/>
      </c>
      <c r="H547" s="17">
        <f>IFERROR(IF(D547="Sale",E547*INDEX(Products!$E$6:$E$205,MATCH(C547,Products!$B$6:$B$205,0)),IF(D547="Return",-E547*INDEX(Products!$E$6:$E$205,MATCH(C547,Products!$B$6:$B$205,0)),"")),"")</f>
        <v/>
      </c>
      <c r="I547" s="24" t="n"/>
      <c r="J547" s="1" t="n"/>
    </row>
    <row r="548">
      <c r="A548" s="1" t="n"/>
      <c r="B548" s="30" t="n"/>
      <c r="C548" s="23" t="n"/>
      <c r="D548" s="23" t="n"/>
      <c r="E548" s="26" t="n"/>
      <c r="F548" s="25" t="n"/>
      <c r="G548" s="17">
        <f>IF(D548="Sale",E548*F548,IF(D548="Return",-E548*F548,""))</f>
        <v/>
      </c>
      <c r="H548" s="17">
        <f>IFERROR(IF(D548="Sale",E548*INDEX(Products!$E$6:$E$205,MATCH(C548,Products!$B$6:$B$205,0)),IF(D548="Return",-E548*INDEX(Products!$E$6:$E$205,MATCH(C548,Products!$B$6:$B$205,0)),"")),"")</f>
        <v/>
      </c>
      <c r="I548" s="24" t="n"/>
      <c r="J548" s="1" t="n"/>
    </row>
    <row r="549">
      <c r="A549" s="1" t="n"/>
      <c r="B549" s="30" t="n"/>
      <c r="C549" s="23" t="n"/>
      <c r="D549" s="23" t="n"/>
      <c r="E549" s="26" t="n"/>
      <c r="F549" s="25" t="n"/>
      <c r="G549" s="17">
        <f>IF(D549="Sale",E549*F549,IF(D549="Return",-E549*F549,""))</f>
        <v/>
      </c>
      <c r="H549" s="17">
        <f>IFERROR(IF(D549="Sale",E549*INDEX(Products!$E$6:$E$205,MATCH(C549,Products!$B$6:$B$205,0)),IF(D549="Return",-E549*INDEX(Products!$E$6:$E$205,MATCH(C549,Products!$B$6:$B$205,0)),"")),"")</f>
        <v/>
      </c>
      <c r="I549" s="24" t="n"/>
      <c r="J549" s="1" t="n"/>
    </row>
    <row r="550">
      <c r="A550" s="1" t="n"/>
      <c r="B550" s="30" t="n"/>
      <c r="C550" s="23" t="n"/>
      <c r="D550" s="23" t="n"/>
      <c r="E550" s="26" t="n"/>
      <c r="F550" s="25" t="n"/>
      <c r="G550" s="17">
        <f>IF(D550="Sale",E550*F550,IF(D550="Return",-E550*F550,""))</f>
        <v/>
      </c>
      <c r="H550" s="17">
        <f>IFERROR(IF(D550="Sale",E550*INDEX(Products!$E$6:$E$205,MATCH(C550,Products!$B$6:$B$205,0)),IF(D550="Return",-E550*INDEX(Products!$E$6:$E$205,MATCH(C550,Products!$B$6:$B$205,0)),"")),"")</f>
        <v/>
      </c>
      <c r="I550" s="24" t="n"/>
      <c r="J550" s="1" t="n"/>
    </row>
    <row r="551">
      <c r="A551" s="1" t="n"/>
      <c r="B551" s="30" t="n"/>
      <c r="C551" s="23" t="n"/>
      <c r="D551" s="23" t="n"/>
      <c r="E551" s="26" t="n"/>
      <c r="F551" s="25" t="n"/>
      <c r="G551" s="17">
        <f>IF(D551="Sale",E551*F551,IF(D551="Return",-E551*F551,""))</f>
        <v/>
      </c>
      <c r="H551" s="17">
        <f>IFERROR(IF(D551="Sale",E551*INDEX(Products!$E$6:$E$205,MATCH(C551,Products!$B$6:$B$205,0)),IF(D551="Return",-E551*INDEX(Products!$E$6:$E$205,MATCH(C551,Products!$B$6:$B$205,0)),"")),"")</f>
        <v/>
      </c>
      <c r="I551" s="24" t="n"/>
      <c r="J551" s="1" t="n"/>
    </row>
    <row r="552">
      <c r="A552" s="1" t="n"/>
      <c r="B552" s="30" t="n"/>
      <c r="C552" s="23" t="n"/>
      <c r="D552" s="23" t="n"/>
      <c r="E552" s="26" t="n"/>
      <c r="F552" s="25" t="n"/>
      <c r="G552" s="17">
        <f>IF(D552="Sale",E552*F552,IF(D552="Return",-E552*F552,""))</f>
        <v/>
      </c>
      <c r="H552" s="17">
        <f>IFERROR(IF(D552="Sale",E552*INDEX(Products!$E$6:$E$205,MATCH(C552,Products!$B$6:$B$205,0)),IF(D552="Return",-E552*INDEX(Products!$E$6:$E$205,MATCH(C552,Products!$B$6:$B$205,0)),"")),"")</f>
        <v/>
      </c>
      <c r="I552" s="24" t="n"/>
      <c r="J552" s="1" t="n"/>
    </row>
    <row r="553">
      <c r="A553" s="1" t="n"/>
      <c r="B553" s="30" t="n"/>
      <c r="C553" s="23" t="n"/>
      <c r="D553" s="23" t="n"/>
      <c r="E553" s="26" t="n"/>
      <c r="F553" s="25" t="n"/>
      <c r="G553" s="17">
        <f>IF(D553="Sale",E553*F553,IF(D553="Return",-E553*F553,""))</f>
        <v/>
      </c>
      <c r="H553" s="17">
        <f>IFERROR(IF(D553="Sale",E553*INDEX(Products!$E$6:$E$205,MATCH(C553,Products!$B$6:$B$205,0)),IF(D553="Return",-E553*INDEX(Products!$E$6:$E$205,MATCH(C553,Products!$B$6:$B$205,0)),"")),"")</f>
        <v/>
      </c>
      <c r="I553" s="24" t="n"/>
      <c r="J553" s="1" t="n"/>
    </row>
    <row r="554">
      <c r="A554" s="1" t="n"/>
      <c r="B554" s="30" t="n"/>
      <c r="C554" s="23" t="n"/>
      <c r="D554" s="23" t="n"/>
      <c r="E554" s="26" t="n"/>
      <c r="F554" s="25" t="n"/>
      <c r="G554" s="17">
        <f>IF(D554="Sale",E554*F554,IF(D554="Return",-E554*F554,""))</f>
        <v/>
      </c>
      <c r="H554" s="17">
        <f>IFERROR(IF(D554="Sale",E554*INDEX(Products!$E$6:$E$205,MATCH(C554,Products!$B$6:$B$205,0)),IF(D554="Return",-E554*INDEX(Products!$E$6:$E$205,MATCH(C554,Products!$B$6:$B$205,0)),"")),"")</f>
        <v/>
      </c>
      <c r="I554" s="24" t="n"/>
      <c r="J554" s="1" t="n"/>
    </row>
    <row r="555">
      <c r="A555" s="1" t="n"/>
      <c r="B555" s="30" t="n"/>
      <c r="C555" s="23" t="n"/>
      <c r="D555" s="23" t="n"/>
      <c r="E555" s="26" t="n"/>
      <c r="F555" s="25" t="n"/>
      <c r="G555" s="17">
        <f>IF(D555="Sale",E555*F555,IF(D555="Return",-E555*F555,""))</f>
        <v/>
      </c>
      <c r="H555" s="17">
        <f>IFERROR(IF(D555="Sale",E555*INDEX(Products!$E$6:$E$205,MATCH(C555,Products!$B$6:$B$205,0)),IF(D555="Return",-E555*INDEX(Products!$E$6:$E$205,MATCH(C555,Products!$B$6:$B$205,0)),"")),"")</f>
        <v/>
      </c>
      <c r="I555" s="24" t="n"/>
      <c r="J555" s="1" t="n"/>
    </row>
    <row r="556">
      <c r="A556" s="1" t="n"/>
      <c r="B556" s="30" t="n"/>
      <c r="C556" s="23" t="n"/>
      <c r="D556" s="23" t="n"/>
      <c r="E556" s="26" t="n"/>
      <c r="F556" s="25" t="n"/>
      <c r="G556" s="17">
        <f>IF(D556="Sale",E556*F556,IF(D556="Return",-E556*F556,""))</f>
        <v/>
      </c>
      <c r="H556" s="17">
        <f>IFERROR(IF(D556="Sale",E556*INDEX(Products!$E$6:$E$205,MATCH(C556,Products!$B$6:$B$205,0)),IF(D556="Return",-E556*INDEX(Products!$E$6:$E$205,MATCH(C556,Products!$B$6:$B$205,0)),"")),"")</f>
        <v/>
      </c>
      <c r="I556" s="24" t="n"/>
      <c r="J556" s="1" t="n"/>
    </row>
    <row r="557">
      <c r="A557" s="1" t="n"/>
      <c r="B557" s="30" t="n"/>
      <c r="C557" s="23" t="n"/>
      <c r="D557" s="23" t="n"/>
      <c r="E557" s="26" t="n"/>
      <c r="F557" s="25" t="n"/>
      <c r="G557" s="17">
        <f>IF(D557="Sale",E557*F557,IF(D557="Return",-E557*F557,""))</f>
        <v/>
      </c>
      <c r="H557" s="17">
        <f>IFERROR(IF(D557="Sale",E557*INDEX(Products!$E$6:$E$205,MATCH(C557,Products!$B$6:$B$205,0)),IF(D557="Return",-E557*INDEX(Products!$E$6:$E$205,MATCH(C557,Products!$B$6:$B$205,0)),"")),"")</f>
        <v/>
      </c>
      <c r="I557" s="24" t="n"/>
      <c r="J557" s="1" t="n"/>
    </row>
    <row r="558">
      <c r="A558" s="1" t="n"/>
      <c r="B558" s="30" t="n"/>
      <c r="C558" s="23" t="n"/>
      <c r="D558" s="23" t="n"/>
      <c r="E558" s="26" t="n"/>
      <c r="F558" s="25" t="n"/>
      <c r="G558" s="17">
        <f>IF(D558="Sale",E558*F558,IF(D558="Return",-E558*F558,""))</f>
        <v/>
      </c>
      <c r="H558" s="17">
        <f>IFERROR(IF(D558="Sale",E558*INDEX(Products!$E$6:$E$205,MATCH(C558,Products!$B$6:$B$205,0)),IF(D558="Return",-E558*INDEX(Products!$E$6:$E$205,MATCH(C558,Products!$B$6:$B$205,0)),"")),"")</f>
        <v/>
      </c>
      <c r="I558" s="24" t="n"/>
      <c r="J558" s="1" t="n"/>
    </row>
    <row r="559">
      <c r="A559" s="1" t="n"/>
      <c r="B559" s="30" t="n"/>
      <c r="C559" s="23" t="n"/>
      <c r="D559" s="23" t="n"/>
      <c r="E559" s="26" t="n"/>
      <c r="F559" s="25" t="n"/>
      <c r="G559" s="17">
        <f>IF(D559="Sale",E559*F559,IF(D559="Return",-E559*F559,""))</f>
        <v/>
      </c>
      <c r="H559" s="17">
        <f>IFERROR(IF(D559="Sale",E559*INDEX(Products!$E$6:$E$205,MATCH(C559,Products!$B$6:$B$205,0)),IF(D559="Return",-E559*INDEX(Products!$E$6:$E$205,MATCH(C559,Products!$B$6:$B$205,0)),"")),"")</f>
        <v/>
      </c>
      <c r="I559" s="24" t="n"/>
      <c r="J559" s="1" t="n"/>
    </row>
    <row r="560">
      <c r="A560" s="1" t="n"/>
      <c r="B560" s="30" t="n"/>
      <c r="C560" s="23" t="n"/>
      <c r="D560" s="23" t="n"/>
      <c r="E560" s="26" t="n"/>
      <c r="F560" s="25" t="n"/>
      <c r="G560" s="17">
        <f>IF(D560="Sale",E560*F560,IF(D560="Return",-E560*F560,""))</f>
        <v/>
      </c>
      <c r="H560" s="17">
        <f>IFERROR(IF(D560="Sale",E560*INDEX(Products!$E$6:$E$205,MATCH(C560,Products!$B$6:$B$205,0)),IF(D560="Return",-E560*INDEX(Products!$E$6:$E$205,MATCH(C560,Products!$B$6:$B$205,0)),"")),"")</f>
        <v/>
      </c>
      <c r="I560" s="24" t="n"/>
      <c r="J560" s="1" t="n"/>
    </row>
    <row r="561">
      <c r="A561" s="1" t="n"/>
      <c r="B561" s="30" t="n"/>
      <c r="C561" s="23" t="n"/>
      <c r="D561" s="23" t="n"/>
      <c r="E561" s="26" t="n"/>
      <c r="F561" s="25" t="n"/>
      <c r="G561" s="17">
        <f>IF(D561="Sale",E561*F561,IF(D561="Return",-E561*F561,""))</f>
        <v/>
      </c>
      <c r="H561" s="17">
        <f>IFERROR(IF(D561="Sale",E561*INDEX(Products!$E$6:$E$205,MATCH(C561,Products!$B$6:$B$205,0)),IF(D561="Return",-E561*INDEX(Products!$E$6:$E$205,MATCH(C561,Products!$B$6:$B$205,0)),"")),"")</f>
        <v/>
      </c>
      <c r="I561" s="24" t="n"/>
      <c r="J561" s="1" t="n"/>
    </row>
    <row r="562">
      <c r="A562" s="1" t="n"/>
      <c r="B562" s="30" t="n"/>
      <c r="C562" s="23" t="n"/>
      <c r="D562" s="23" t="n"/>
      <c r="E562" s="26" t="n"/>
      <c r="F562" s="25" t="n"/>
      <c r="G562" s="17">
        <f>IF(D562="Sale",E562*F562,IF(D562="Return",-E562*F562,""))</f>
        <v/>
      </c>
      <c r="H562" s="17">
        <f>IFERROR(IF(D562="Sale",E562*INDEX(Products!$E$6:$E$205,MATCH(C562,Products!$B$6:$B$205,0)),IF(D562="Return",-E562*INDEX(Products!$E$6:$E$205,MATCH(C562,Products!$B$6:$B$205,0)),"")),"")</f>
        <v/>
      </c>
      <c r="I562" s="24" t="n"/>
      <c r="J562" s="1" t="n"/>
    </row>
    <row r="563">
      <c r="A563" s="1" t="n"/>
      <c r="B563" s="30" t="n"/>
      <c r="C563" s="23" t="n"/>
      <c r="D563" s="23" t="n"/>
      <c r="E563" s="26" t="n"/>
      <c r="F563" s="25" t="n"/>
      <c r="G563" s="17">
        <f>IF(D563="Sale",E563*F563,IF(D563="Return",-E563*F563,""))</f>
        <v/>
      </c>
      <c r="H563" s="17">
        <f>IFERROR(IF(D563="Sale",E563*INDEX(Products!$E$6:$E$205,MATCH(C563,Products!$B$6:$B$205,0)),IF(D563="Return",-E563*INDEX(Products!$E$6:$E$205,MATCH(C563,Products!$B$6:$B$205,0)),"")),"")</f>
        <v/>
      </c>
      <c r="I563" s="24" t="n"/>
      <c r="J563" s="1" t="n"/>
    </row>
    <row r="564">
      <c r="A564" s="1" t="n"/>
      <c r="B564" s="30" t="n"/>
      <c r="C564" s="23" t="n"/>
      <c r="D564" s="23" t="n"/>
      <c r="E564" s="26" t="n"/>
      <c r="F564" s="25" t="n"/>
      <c r="G564" s="17">
        <f>IF(D564="Sale",E564*F564,IF(D564="Return",-E564*F564,""))</f>
        <v/>
      </c>
      <c r="H564" s="17">
        <f>IFERROR(IF(D564="Sale",E564*INDEX(Products!$E$6:$E$205,MATCH(C564,Products!$B$6:$B$205,0)),IF(D564="Return",-E564*INDEX(Products!$E$6:$E$205,MATCH(C564,Products!$B$6:$B$205,0)),"")),"")</f>
        <v/>
      </c>
      <c r="I564" s="24" t="n"/>
      <c r="J564" s="1" t="n"/>
    </row>
    <row r="565">
      <c r="A565" s="1" t="n"/>
      <c r="B565" s="30" t="n"/>
      <c r="C565" s="23" t="n"/>
      <c r="D565" s="23" t="n"/>
      <c r="E565" s="26" t="n"/>
      <c r="F565" s="25" t="n"/>
      <c r="G565" s="17">
        <f>IF(D565="Sale",E565*F565,IF(D565="Return",-E565*F565,""))</f>
        <v/>
      </c>
      <c r="H565" s="17">
        <f>IFERROR(IF(D565="Sale",E565*INDEX(Products!$E$6:$E$205,MATCH(C565,Products!$B$6:$B$205,0)),IF(D565="Return",-E565*INDEX(Products!$E$6:$E$205,MATCH(C565,Products!$B$6:$B$205,0)),"")),"")</f>
        <v/>
      </c>
      <c r="I565" s="24" t="n"/>
      <c r="J565" s="1" t="n"/>
    </row>
    <row r="566">
      <c r="A566" s="1" t="n"/>
      <c r="B566" s="30" t="n"/>
      <c r="C566" s="23" t="n"/>
      <c r="D566" s="23" t="n"/>
      <c r="E566" s="26" t="n"/>
      <c r="F566" s="25" t="n"/>
      <c r="G566" s="17">
        <f>IF(D566="Sale",E566*F566,IF(D566="Return",-E566*F566,""))</f>
        <v/>
      </c>
      <c r="H566" s="17">
        <f>IFERROR(IF(D566="Sale",E566*INDEX(Products!$E$6:$E$205,MATCH(C566,Products!$B$6:$B$205,0)),IF(D566="Return",-E566*INDEX(Products!$E$6:$E$205,MATCH(C566,Products!$B$6:$B$205,0)),"")),"")</f>
        <v/>
      </c>
      <c r="I566" s="24" t="n"/>
      <c r="J566" s="1" t="n"/>
    </row>
    <row r="567">
      <c r="A567" s="1" t="n"/>
      <c r="B567" s="30" t="n"/>
      <c r="C567" s="23" t="n"/>
      <c r="D567" s="23" t="n"/>
      <c r="E567" s="26" t="n"/>
      <c r="F567" s="25" t="n"/>
      <c r="G567" s="17">
        <f>IF(D567="Sale",E567*F567,IF(D567="Return",-E567*F567,""))</f>
        <v/>
      </c>
      <c r="H567" s="17">
        <f>IFERROR(IF(D567="Sale",E567*INDEX(Products!$E$6:$E$205,MATCH(C567,Products!$B$6:$B$205,0)),IF(D567="Return",-E567*INDEX(Products!$E$6:$E$205,MATCH(C567,Products!$B$6:$B$205,0)),"")),"")</f>
        <v/>
      </c>
      <c r="I567" s="24" t="n"/>
      <c r="J567" s="1" t="n"/>
    </row>
    <row r="568">
      <c r="A568" s="1" t="n"/>
      <c r="B568" s="30" t="n"/>
      <c r="C568" s="23" t="n"/>
      <c r="D568" s="23" t="n"/>
      <c r="E568" s="26" t="n"/>
      <c r="F568" s="25" t="n"/>
      <c r="G568" s="17">
        <f>IF(D568="Sale",E568*F568,IF(D568="Return",-E568*F568,""))</f>
        <v/>
      </c>
      <c r="H568" s="17">
        <f>IFERROR(IF(D568="Sale",E568*INDEX(Products!$E$6:$E$205,MATCH(C568,Products!$B$6:$B$205,0)),IF(D568="Return",-E568*INDEX(Products!$E$6:$E$205,MATCH(C568,Products!$B$6:$B$205,0)),"")),"")</f>
        <v/>
      </c>
      <c r="I568" s="24" t="n"/>
      <c r="J568" s="1" t="n"/>
    </row>
    <row r="569">
      <c r="A569" s="1" t="n"/>
      <c r="B569" s="30" t="n"/>
      <c r="C569" s="23" t="n"/>
      <c r="D569" s="23" t="n"/>
      <c r="E569" s="26" t="n"/>
      <c r="F569" s="25" t="n"/>
      <c r="G569" s="17">
        <f>IF(D569="Sale",E569*F569,IF(D569="Return",-E569*F569,""))</f>
        <v/>
      </c>
      <c r="H569" s="17">
        <f>IFERROR(IF(D569="Sale",E569*INDEX(Products!$E$6:$E$205,MATCH(C569,Products!$B$6:$B$205,0)),IF(D569="Return",-E569*INDEX(Products!$E$6:$E$205,MATCH(C569,Products!$B$6:$B$205,0)),"")),"")</f>
        <v/>
      </c>
      <c r="I569" s="24" t="n"/>
      <c r="J569" s="1" t="n"/>
    </row>
    <row r="570">
      <c r="A570" s="1" t="n"/>
      <c r="B570" s="30" t="n"/>
      <c r="C570" s="23" t="n"/>
      <c r="D570" s="23" t="n"/>
      <c r="E570" s="26" t="n"/>
      <c r="F570" s="25" t="n"/>
      <c r="G570" s="17">
        <f>IF(D570="Sale",E570*F570,IF(D570="Return",-E570*F570,""))</f>
        <v/>
      </c>
      <c r="H570" s="17">
        <f>IFERROR(IF(D570="Sale",E570*INDEX(Products!$E$6:$E$205,MATCH(C570,Products!$B$6:$B$205,0)),IF(D570="Return",-E570*INDEX(Products!$E$6:$E$205,MATCH(C570,Products!$B$6:$B$205,0)),"")),"")</f>
        <v/>
      </c>
      <c r="I570" s="24" t="n"/>
      <c r="J570" s="1" t="n"/>
    </row>
    <row r="571">
      <c r="A571" s="1" t="n"/>
      <c r="B571" s="30" t="n"/>
      <c r="C571" s="23" t="n"/>
      <c r="D571" s="23" t="n"/>
      <c r="E571" s="26" t="n"/>
      <c r="F571" s="25" t="n"/>
      <c r="G571" s="17">
        <f>IF(D571="Sale",E571*F571,IF(D571="Return",-E571*F571,""))</f>
        <v/>
      </c>
      <c r="H571" s="17">
        <f>IFERROR(IF(D571="Sale",E571*INDEX(Products!$E$6:$E$205,MATCH(C571,Products!$B$6:$B$205,0)),IF(D571="Return",-E571*INDEX(Products!$E$6:$E$205,MATCH(C571,Products!$B$6:$B$205,0)),"")),"")</f>
        <v/>
      </c>
      <c r="I571" s="24" t="n"/>
      <c r="J571" s="1" t="n"/>
    </row>
    <row r="572">
      <c r="A572" s="1" t="n"/>
      <c r="B572" s="30" t="n"/>
      <c r="C572" s="23" t="n"/>
      <c r="D572" s="23" t="n"/>
      <c r="E572" s="26" t="n"/>
      <c r="F572" s="25" t="n"/>
      <c r="G572" s="17">
        <f>IF(D572="Sale",E572*F572,IF(D572="Return",-E572*F572,""))</f>
        <v/>
      </c>
      <c r="H572" s="17">
        <f>IFERROR(IF(D572="Sale",E572*INDEX(Products!$E$6:$E$205,MATCH(C572,Products!$B$6:$B$205,0)),IF(D572="Return",-E572*INDEX(Products!$E$6:$E$205,MATCH(C572,Products!$B$6:$B$205,0)),"")),"")</f>
        <v/>
      </c>
      <c r="I572" s="24" t="n"/>
      <c r="J572" s="1" t="n"/>
    </row>
    <row r="573">
      <c r="A573" s="1" t="n"/>
      <c r="B573" s="30" t="n"/>
      <c r="C573" s="23" t="n"/>
      <c r="D573" s="23" t="n"/>
      <c r="E573" s="26" t="n"/>
      <c r="F573" s="25" t="n"/>
      <c r="G573" s="17">
        <f>IF(D573="Sale",E573*F573,IF(D573="Return",-E573*F573,""))</f>
        <v/>
      </c>
      <c r="H573" s="17">
        <f>IFERROR(IF(D573="Sale",E573*INDEX(Products!$E$6:$E$205,MATCH(C573,Products!$B$6:$B$205,0)),IF(D573="Return",-E573*INDEX(Products!$E$6:$E$205,MATCH(C573,Products!$B$6:$B$205,0)),"")),"")</f>
        <v/>
      </c>
      <c r="I573" s="24" t="n"/>
      <c r="J573" s="1" t="n"/>
    </row>
    <row r="574">
      <c r="A574" s="1" t="n"/>
      <c r="B574" s="30" t="n"/>
      <c r="C574" s="23" t="n"/>
      <c r="D574" s="23" t="n"/>
      <c r="E574" s="26" t="n"/>
      <c r="F574" s="25" t="n"/>
      <c r="G574" s="17">
        <f>IF(D574="Sale",E574*F574,IF(D574="Return",-E574*F574,""))</f>
        <v/>
      </c>
      <c r="H574" s="17">
        <f>IFERROR(IF(D574="Sale",E574*INDEX(Products!$E$6:$E$205,MATCH(C574,Products!$B$6:$B$205,0)),IF(D574="Return",-E574*INDEX(Products!$E$6:$E$205,MATCH(C574,Products!$B$6:$B$205,0)),"")),"")</f>
        <v/>
      </c>
      <c r="I574" s="24" t="n"/>
      <c r="J574" s="1" t="n"/>
    </row>
    <row r="575">
      <c r="A575" s="1" t="n"/>
      <c r="B575" s="30" t="n"/>
      <c r="C575" s="23" t="n"/>
      <c r="D575" s="23" t="n"/>
      <c r="E575" s="26" t="n"/>
      <c r="F575" s="25" t="n"/>
      <c r="G575" s="17">
        <f>IF(D575="Sale",E575*F575,IF(D575="Return",-E575*F575,""))</f>
        <v/>
      </c>
      <c r="H575" s="17">
        <f>IFERROR(IF(D575="Sale",E575*INDEX(Products!$E$6:$E$205,MATCH(C575,Products!$B$6:$B$205,0)),IF(D575="Return",-E575*INDEX(Products!$E$6:$E$205,MATCH(C575,Products!$B$6:$B$205,0)),"")),"")</f>
        <v/>
      </c>
      <c r="I575" s="24" t="n"/>
      <c r="J575" s="1" t="n"/>
    </row>
    <row r="576">
      <c r="A576" s="1" t="n"/>
      <c r="B576" s="30" t="n"/>
      <c r="C576" s="23" t="n"/>
      <c r="D576" s="23" t="n"/>
      <c r="E576" s="26" t="n"/>
      <c r="F576" s="25" t="n"/>
      <c r="G576" s="17">
        <f>IF(D576="Sale",E576*F576,IF(D576="Return",-E576*F576,""))</f>
        <v/>
      </c>
      <c r="H576" s="17">
        <f>IFERROR(IF(D576="Sale",E576*INDEX(Products!$E$6:$E$205,MATCH(C576,Products!$B$6:$B$205,0)),IF(D576="Return",-E576*INDEX(Products!$E$6:$E$205,MATCH(C576,Products!$B$6:$B$205,0)),"")),"")</f>
        <v/>
      </c>
      <c r="I576" s="24" t="n"/>
      <c r="J576" s="1" t="n"/>
    </row>
    <row r="577">
      <c r="A577" s="1" t="n"/>
      <c r="B577" s="30" t="n"/>
      <c r="C577" s="23" t="n"/>
      <c r="D577" s="23" t="n"/>
      <c r="E577" s="26" t="n"/>
      <c r="F577" s="25" t="n"/>
      <c r="G577" s="17">
        <f>IF(D577="Sale",E577*F577,IF(D577="Return",-E577*F577,""))</f>
        <v/>
      </c>
      <c r="H577" s="17">
        <f>IFERROR(IF(D577="Sale",E577*INDEX(Products!$E$6:$E$205,MATCH(C577,Products!$B$6:$B$205,0)),IF(D577="Return",-E577*INDEX(Products!$E$6:$E$205,MATCH(C577,Products!$B$6:$B$205,0)),"")),"")</f>
        <v/>
      </c>
      <c r="I577" s="24" t="n"/>
      <c r="J577" s="1" t="n"/>
    </row>
    <row r="578">
      <c r="A578" s="1" t="n"/>
      <c r="B578" s="30" t="n"/>
      <c r="C578" s="23" t="n"/>
      <c r="D578" s="23" t="n"/>
      <c r="E578" s="26" t="n"/>
      <c r="F578" s="25" t="n"/>
      <c r="G578" s="17">
        <f>IF(D578="Sale",E578*F578,IF(D578="Return",-E578*F578,""))</f>
        <v/>
      </c>
      <c r="H578" s="17">
        <f>IFERROR(IF(D578="Sale",E578*INDEX(Products!$E$6:$E$205,MATCH(C578,Products!$B$6:$B$205,0)),IF(D578="Return",-E578*INDEX(Products!$E$6:$E$205,MATCH(C578,Products!$B$6:$B$205,0)),"")),"")</f>
        <v/>
      </c>
      <c r="I578" s="24" t="n"/>
      <c r="J578" s="1" t="n"/>
    </row>
    <row r="579">
      <c r="A579" s="1" t="n"/>
      <c r="B579" s="30" t="n"/>
      <c r="C579" s="23" t="n"/>
      <c r="D579" s="23" t="n"/>
      <c r="E579" s="26" t="n"/>
      <c r="F579" s="25" t="n"/>
      <c r="G579" s="17">
        <f>IF(D579="Sale",E579*F579,IF(D579="Return",-E579*F579,""))</f>
        <v/>
      </c>
      <c r="H579" s="17">
        <f>IFERROR(IF(D579="Sale",E579*INDEX(Products!$E$6:$E$205,MATCH(C579,Products!$B$6:$B$205,0)),IF(D579="Return",-E579*INDEX(Products!$E$6:$E$205,MATCH(C579,Products!$B$6:$B$205,0)),"")),"")</f>
        <v/>
      </c>
      <c r="I579" s="24" t="n"/>
      <c r="J579" s="1" t="n"/>
    </row>
    <row r="580">
      <c r="A580" s="1" t="n"/>
      <c r="B580" s="30" t="n"/>
      <c r="C580" s="23" t="n"/>
      <c r="D580" s="23" t="n"/>
      <c r="E580" s="26" t="n"/>
      <c r="F580" s="25" t="n"/>
      <c r="G580" s="17">
        <f>IF(D580="Sale",E580*F580,IF(D580="Return",-E580*F580,""))</f>
        <v/>
      </c>
      <c r="H580" s="17">
        <f>IFERROR(IF(D580="Sale",E580*INDEX(Products!$E$6:$E$205,MATCH(C580,Products!$B$6:$B$205,0)),IF(D580="Return",-E580*INDEX(Products!$E$6:$E$205,MATCH(C580,Products!$B$6:$B$205,0)),"")),"")</f>
        <v/>
      </c>
      <c r="I580" s="24" t="n"/>
      <c r="J580" s="1" t="n"/>
    </row>
    <row r="581">
      <c r="A581" s="1" t="n"/>
      <c r="B581" s="30" t="n"/>
      <c r="C581" s="23" t="n"/>
      <c r="D581" s="23" t="n"/>
      <c r="E581" s="26" t="n"/>
      <c r="F581" s="25" t="n"/>
      <c r="G581" s="17">
        <f>IF(D581="Sale",E581*F581,IF(D581="Return",-E581*F581,""))</f>
        <v/>
      </c>
      <c r="H581" s="17">
        <f>IFERROR(IF(D581="Sale",E581*INDEX(Products!$E$6:$E$205,MATCH(C581,Products!$B$6:$B$205,0)),IF(D581="Return",-E581*INDEX(Products!$E$6:$E$205,MATCH(C581,Products!$B$6:$B$205,0)),"")),"")</f>
        <v/>
      </c>
      <c r="I581" s="24" t="n"/>
      <c r="J581" s="1" t="n"/>
    </row>
    <row r="582">
      <c r="A582" s="1" t="n"/>
      <c r="B582" s="30" t="n"/>
      <c r="C582" s="23" t="n"/>
      <c r="D582" s="23" t="n"/>
      <c r="E582" s="26" t="n"/>
      <c r="F582" s="25" t="n"/>
      <c r="G582" s="17">
        <f>IF(D582="Sale",E582*F582,IF(D582="Return",-E582*F582,""))</f>
        <v/>
      </c>
      <c r="H582" s="17">
        <f>IFERROR(IF(D582="Sale",E582*INDEX(Products!$E$6:$E$205,MATCH(C582,Products!$B$6:$B$205,0)),IF(D582="Return",-E582*INDEX(Products!$E$6:$E$205,MATCH(C582,Products!$B$6:$B$205,0)),"")),"")</f>
        <v/>
      </c>
      <c r="I582" s="24" t="n"/>
      <c r="J582" s="1" t="n"/>
    </row>
    <row r="583">
      <c r="A583" s="1" t="n"/>
      <c r="B583" s="30" t="n"/>
      <c r="C583" s="23" t="n"/>
      <c r="D583" s="23" t="n"/>
      <c r="E583" s="26" t="n"/>
      <c r="F583" s="25" t="n"/>
      <c r="G583" s="17">
        <f>IF(D583="Sale",E583*F583,IF(D583="Return",-E583*F583,""))</f>
        <v/>
      </c>
      <c r="H583" s="17">
        <f>IFERROR(IF(D583="Sale",E583*INDEX(Products!$E$6:$E$205,MATCH(C583,Products!$B$6:$B$205,0)),IF(D583="Return",-E583*INDEX(Products!$E$6:$E$205,MATCH(C583,Products!$B$6:$B$205,0)),"")),"")</f>
        <v/>
      </c>
      <c r="I583" s="24" t="n"/>
      <c r="J583" s="1" t="n"/>
    </row>
    <row r="584">
      <c r="A584" s="1" t="n"/>
      <c r="B584" s="30" t="n"/>
      <c r="C584" s="23" t="n"/>
      <c r="D584" s="23" t="n"/>
      <c r="E584" s="26" t="n"/>
      <c r="F584" s="25" t="n"/>
      <c r="G584" s="17">
        <f>IF(D584="Sale",E584*F584,IF(D584="Return",-E584*F584,""))</f>
        <v/>
      </c>
      <c r="H584" s="17">
        <f>IFERROR(IF(D584="Sale",E584*INDEX(Products!$E$6:$E$205,MATCH(C584,Products!$B$6:$B$205,0)),IF(D584="Return",-E584*INDEX(Products!$E$6:$E$205,MATCH(C584,Products!$B$6:$B$205,0)),"")),"")</f>
        <v/>
      </c>
      <c r="I584" s="24" t="n"/>
      <c r="J584" s="1" t="n"/>
    </row>
    <row r="585">
      <c r="A585" s="1" t="n"/>
      <c r="B585" s="30" t="n"/>
      <c r="C585" s="23" t="n"/>
      <c r="D585" s="23" t="n"/>
      <c r="E585" s="26" t="n"/>
      <c r="F585" s="25" t="n"/>
      <c r="G585" s="17">
        <f>IF(D585="Sale",E585*F585,IF(D585="Return",-E585*F585,""))</f>
        <v/>
      </c>
      <c r="H585" s="17">
        <f>IFERROR(IF(D585="Sale",E585*INDEX(Products!$E$6:$E$205,MATCH(C585,Products!$B$6:$B$205,0)),IF(D585="Return",-E585*INDEX(Products!$E$6:$E$205,MATCH(C585,Products!$B$6:$B$205,0)),"")),"")</f>
        <v/>
      </c>
      <c r="I585" s="24" t="n"/>
      <c r="J585" s="1" t="n"/>
    </row>
    <row r="586">
      <c r="A586" s="1" t="n"/>
      <c r="B586" s="30" t="n"/>
      <c r="C586" s="23" t="n"/>
      <c r="D586" s="23" t="n"/>
      <c r="E586" s="26" t="n"/>
      <c r="F586" s="25" t="n"/>
      <c r="G586" s="17">
        <f>IF(D586="Sale",E586*F586,IF(D586="Return",-E586*F586,""))</f>
        <v/>
      </c>
      <c r="H586" s="17">
        <f>IFERROR(IF(D586="Sale",E586*INDEX(Products!$E$6:$E$205,MATCH(C586,Products!$B$6:$B$205,0)),IF(D586="Return",-E586*INDEX(Products!$E$6:$E$205,MATCH(C586,Products!$B$6:$B$205,0)),"")),"")</f>
        <v/>
      </c>
      <c r="I586" s="24" t="n"/>
      <c r="J586" s="1" t="n"/>
    </row>
    <row r="587">
      <c r="A587" s="1" t="n"/>
      <c r="B587" s="30" t="n"/>
      <c r="C587" s="23" t="n"/>
      <c r="D587" s="23" t="n"/>
      <c r="E587" s="26" t="n"/>
      <c r="F587" s="25" t="n"/>
      <c r="G587" s="17">
        <f>IF(D587="Sale",E587*F587,IF(D587="Return",-E587*F587,""))</f>
        <v/>
      </c>
      <c r="H587" s="17">
        <f>IFERROR(IF(D587="Sale",E587*INDEX(Products!$E$6:$E$205,MATCH(C587,Products!$B$6:$B$205,0)),IF(D587="Return",-E587*INDEX(Products!$E$6:$E$205,MATCH(C587,Products!$B$6:$B$205,0)),"")),"")</f>
        <v/>
      </c>
      <c r="I587" s="24" t="n"/>
      <c r="J587" s="1" t="n"/>
    </row>
    <row r="588">
      <c r="A588" s="1" t="n"/>
      <c r="B588" s="30" t="n"/>
      <c r="C588" s="23" t="n"/>
      <c r="D588" s="23" t="n"/>
      <c r="E588" s="26" t="n"/>
      <c r="F588" s="25" t="n"/>
      <c r="G588" s="17">
        <f>IF(D588="Sale",E588*F588,IF(D588="Return",-E588*F588,""))</f>
        <v/>
      </c>
      <c r="H588" s="17">
        <f>IFERROR(IF(D588="Sale",E588*INDEX(Products!$E$6:$E$205,MATCH(C588,Products!$B$6:$B$205,0)),IF(D588="Return",-E588*INDEX(Products!$E$6:$E$205,MATCH(C588,Products!$B$6:$B$205,0)),"")),"")</f>
        <v/>
      </c>
      <c r="I588" s="24" t="n"/>
      <c r="J588" s="1" t="n"/>
    </row>
    <row r="589">
      <c r="A589" s="1" t="n"/>
      <c r="B589" s="30" t="n"/>
      <c r="C589" s="23" t="n"/>
      <c r="D589" s="23" t="n"/>
      <c r="E589" s="26" t="n"/>
      <c r="F589" s="25" t="n"/>
      <c r="G589" s="17">
        <f>IF(D589="Sale",E589*F589,IF(D589="Return",-E589*F589,""))</f>
        <v/>
      </c>
      <c r="H589" s="17">
        <f>IFERROR(IF(D589="Sale",E589*INDEX(Products!$E$6:$E$205,MATCH(C589,Products!$B$6:$B$205,0)),IF(D589="Return",-E589*INDEX(Products!$E$6:$E$205,MATCH(C589,Products!$B$6:$B$205,0)),"")),"")</f>
        <v/>
      </c>
      <c r="I589" s="24" t="n"/>
      <c r="J589" s="1" t="n"/>
    </row>
    <row r="590">
      <c r="A590" s="1" t="n"/>
      <c r="B590" s="30" t="n"/>
      <c r="C590" s="23" t="n"/>
      <c r="D590" s="23" t="n"/>
      <c r="E590" s="26" t="n"/>
      <c r="F590" s="25" t="n"/>
      <c r="G590" s="17">
        <f>IF(D590="Sale",E590*F590,IF(D590="Return",-E590*F590,""))</f>
        <v/>
      </c>
      <c r="H590" s="17">
        <f>IFERROR(IF(D590="Sale",E590*INDEX(Products!$E$6:$E$205,MATCH(C590,Products!$B$6:$B$205,0)),IF(D590="Return",-E590*INDEX(Products!$E$6:$E$205,MATCH(C590,Products!$B$6:$B$205,0)),"")),"")</f>
        <v/>
      </c>
      <c r="I590" s="24" t="n"/>
      <c r="J590" s="1" t="n"/>
    </row>
    <row r="591">
      <c r="A591" s="1" t="n"/>
      <c r="B591" s="30" t="n"/>
      <c r="C591" s="23" t="n"/>
      <c r="D591" s="23" t="n"/>
      <c r="E591" s="26" t="n"/>
      <c r="F591" s="25" t="n"/>
      <c r="G591" s="17">
        <f>IF(D591="Sale",E591*F591,IF(D591="Return",-E591*F591,""))</f>
        <v/>
      </c>
      <c r="H591" s="17">
        <f>IFERROR(IF(D591="Sale",E591*INDEX(Products!$E$6:$E$205,MATCH(C591,Products!$B$6:$B$205,0)),IF(D591="Return",-E591*INDEX(Products!$E$6:$E$205,MATCH(C591,Products!$B$6:$B$205,0)),"")),"")</f>
        <v/>
      </c>
      <c r="I591" s="24" t="n"/>
      <c r="J591" s="1" t="n"/>
    </row>
    <row r="592">
      <c r="A592" s="1" t="n"/>
      <c r="B592" s="30" t="n"/>
      <c r="C592" s="23" t="n"/>
      <c r="D592" s="23" t="n"/>
      <c r="E592" s="26" t="n"/>
      <c r="F592" s="25" t="n"/>
      <c r="G592" s="17">
        <f>IF(D592="Sale",E592*F592,IF(D592="Return",-E592*F592,""))</f>
        <v/>
      </c>
      <c r="H592" s="17">
        <f>IFERROR(IF(D592="Sale",E592*INDEX(Products!$E$6:$E$205,MATCH(C592,Products!$B$6:$B$205,0)),IF(D592="Return",-E592*INDEX(Products!$E$6:$E$205,MATCH(C592,Products!$B$6:$B$205,0)),"")),"")</f>
        <v/>
      </c>
      <c r="I592" s="24" t="n"/>
      <c r="J592" s="1" t="n"/>
    </row>
    <row r="593">
      <c r="A593" s="1" t="n"/>
      <c r="B593" s="30" t="n"/>
      <c r="C593" s="23" t="n"/>
      <c r="D593" s="23" t="n"/>
      <c r="E593" s="26" t="n"/>
      <c r="F593" s="25" t="n"/>
      <c r="G593" s="17">
        <f>IF(D593="Sale",E593*F593,IF(D593="Return",-E593*F593,""))</f>
        <v/>
      </c>
      <c r="H593" s="17">
        <f>IFERROR(IF(D593="Sale",E593*INDEX(Products!$E$6:$E$205,MATCH(C593,Products!$B$6:$B$205,0)),IF(D593="Return",-E593*INDEX(Products!$E$6:$E$205,MATCH(C593,Products!$B$6:$B$205,0)),"")),"")</f>
        <v/>
      </c>
      <c r="I593" s="24" t="n"/>
      <c r="J593" s="1" t="n"/>
    </row>
    <row r="594">
      <c r="A594" s="1" t="n"/>
      <c r="B594" s="30" t="n"/>
      <c r="C594" s="23" t="n"/>
      <c r="D594" s="23" t="n"/>
      <c r="E594" s="26" t="n"/>
      <c r="F594" s="25" t="n"/>
      <c r="G594" s="17">
        <f>IF(D594="Sale",E594*F594,IF(D594="Return",-E594*F594,""))</f>
        <v/>
      </c>
      <c r="H594" s="17">
        <f>IFERROR(IF(D594="Sale",E594*INDEX(Products!$E$6:$E$205,MATCH(C594,Products!$B$6:$B$205,0)),IF(D594="Return",-E594*INDEX(Products!$E$6:$E$205,MATCH(C594,Products!$B$6:$B$205,0)),"")),"")</f>
        <v/>
      </c>
      <c r="I594" s="24" t="n"/>
      <c r="J594" s="1" t="n"/>
    </row>
    <row r="595">
      <c r="A595" s="1" t="n"/>
      <c r="B595" s="30" t="n"/>
      <c r="C595" s="23" t="n"/>
      <c r="D595" s="23" t="n"/>
      <c r="E595" s="26" t="n"/>
      <c r="F595" s="25" t="n"/>
      <c r="G595" s="17">
        <f>IF(D595="Sale",E595*F595,IF(D595="Return",-E595*F595,""))</f>
        <v/>
      </c>
      <c r="H595" s="17">
        <f>IFERROR(IF(D595="Sale",E595*INDEX(Products!$E$6:$E$205,MATCH(C595,Products!$B$6:$B$205,0)),IF(D595="Return",-E595*INDEX(Products!$E$6:$E$205,MATCH(C595,Products!$B$6:$B$205,0)),"")),"")</f>
        <v/>
      </c>
      <c r="I595" s="24" t="n"/>
      <c r="J595" s="1" t="n"/>
    </row>
    <row r="596">
      <c r="A596" s="1" t="n"/>
      <c r="B596" s="30" t="n"/>
      <c r="C596" s="23" t="n"/>
      <c r="D596" s="23" t="n"/>
      <c r="E596" s="26" t="n"/>
      <c r="F596" s="25" t="n"/>
      <c r="G596" s="17">
        <f>IF(D596="Sale",E596*F596,IF(D596="Return",-E596*F596,""))</f>
        <v/>
      </c>
      <c r="H596" s="17">
        <f>IFERROR(IF(D596="Sale",E596*INDEX(Products!$E$6:$E$205,MATCH(C596,Products!$B$6:$B$205,0)),IF(D596="Return",-E596*INDEX(Products!$E$6:$E$205,MATCH(C596,Products!$B$6:$B$205,0)),"")),"")</f>
        <v/>
      </c>
      <c r="I596" s="24" t="n"/>
      <c r="J596" s="1" t="n"/>
    </row>
    <row r="597">
      <c r="A597" s="1" t="n"/>
      <c r="B597" s="30" t="n"/>
      <c r="C597" s="23" t="n"/>
      <c r="D597" s="23" t="n"/>
      <c r="E597" s="26" t="n"/>
      <c r="F597" s="25" t="n"/>
      <c r="G597" s="17">
        <f>IF(D597="Sale",E597*F597,IF(D597="Return",-E597*F597,""))</f>
        <v/>
      </c>
      <c r="H597" s="17">
        <f>IFERROR(IF(D597="Sale",E597*INDEX(Products!$E$6:$E$205,MATCH(C597,Products!$B$6:$B$205,0)),IF(D597="Return",-E597*INDEX(Products!$E$6:$E$205,MATCH(C597,Products!$B$6:$B$205,0)),"")),"")</f>
        <v/>
      </c>
      <c r="I597" s="24" t="n"/>
      <c r="J597" s="1" t="n"/>
    </row>
    <row r="598">
      <c r="A598" s="1" t="n"/>
      <c r="B598" s="30" t="n"/>
      <c r="C598" s="23" t="n"/>
      <c r="D598" s="23" t="n"/>
      <c r="E598" s="26" t="n"/>
      <c r="F598" s="25" t="n"/>
      <c r="G598" s="17">
        <f>IF(D598="Sale",E598*F598,IF(D598="Return",-E598*F598,""))</f>
        <v/>
      </c>
      <c r="H598" s="17">
        <f>IFERROR(IF(D598="Sale",E598*INDEX(Products!$E$6:$E$205,MATCH(C598,Products!$B$6:$B$205,0)),IF(D598="Return",-E598*INDEX(Products!$E$6:$E$205,MATCH(C598,Products!$B$6:$B$205,0)),"")),"")</f>
        <v/>
      </c>
      <c r="I598" s="24" t="n"/>
      <c r="J598" s="1" t="n"/>
    </row>
    <row r="599">
      <c r="A599" s="1" t="n"/>
      <c r="B599" s="30" t="n"/>
      <c r="C599" s="23" t="n"/>
      <c r="D599" s="23" t="n"/>
      <c r="E599" s="26" t="n"/>
      <c r="F599" s="25" t="n"/>
      <c r="G599" s="17">
        <f>IF(D599="Sale",E599*F599,IF(D599="Return",-E599*F599,""))</f>
        <v/>
      </c>
      <c r="H599" s="17">
        <f>IFERROR(IF(D599="Sale",E599*INDEX(Products!$E$6:$E$205,MATCH(C599,Products!$B$6:$B$205,0)),IF(D599="Return",-E599*INDEX(Products!$E$6:$E$205,MATCH(C599,Products!$B$6:$B$205,0)),"")),"")</f>
        <v/>
      </c>
      <c r="I599" s="24" t="n"/>
      <c r="J599" s="1" t="n"/>
    </row>
    <row r="600">
      <c r="A600" s="1" t="n"/>
      <c r="B600" s="30" t="n"/>
      <c r="C600" s="23" t="n"/>
      <c r="D600" s="23" t="n"/>
      <c r="E600" s="26" t="n"/>
      <c r="F600" s="25" t="n"/>
      <c r="G600" s="17">
        <f>IF(D600="Sale",E600*F600,IF(D600="Return",-E600*F600,""))</f>
        <v/>
      </c>
      <c r="H600" s="17">
        <f>IFERROR(IF(D600="Sale",E600*INDEX(Products!$E$6:$E$205,MATCH(C600,Products!$B$6:$B$205,0)),IF(D600="Return",-E600*INDEX(Products!$E$6:$E$205,MATCH(C600,Products!$B$6:$B$205,0)),"")),"")</f>
        <v/>
      </c>
      <c r="I600" s="24" t="n"/>
      <c r="J600" s="1" t="n"/>
    </row>
    <row r="601">
      <c r="A601" s="1" t="n"/>
      <c r="B601" s="30" t="n"/>
      <c r="C601" s="23" t="n"/>
      <c r="D601" s="23" t="n"/>
      <c r="E601" s="26" t="n"/>
      <c r="F601" s="25" t="n"/>
      <c r="G601" s="17">
        <f>IF(D601="Sale",E601*F601,IF(D601="Return",-E601*F601,""))</f>
        <v/>
      </c>
      <c r="H601" s="17">
        <f>IFERROR(IF(D601="Sale",E601*INDEX(Products!$E$6:$E$205,MATCH(C601,Products!$B$6:$B$205,0)),IF(D601="Return",-E601*INDEX(Products!$E$6:$E$205,MATCH(C601,Products!$B$6:$B$205,0)),"")),"")</f>
        <v/>
      </c>
      <c r="I601" s="24" t="n"/>
      <c r="J601" s="1" t="n"/>
    </row>
    <row r="602">
      <c r="A602" s="1" t="n"/>
      <c r="B602" s="30" t="n"/>
      <c r="C602" s="23" t="n"/>
      <c r="D602" s="23" t="n"/>
      <c r="E602" s="26" t="n"/>
      <c r="F602" s="25" t="n"/>
      <c r="G602" s="17">
        <f>IF(D602="Sale",E602*F602,IF(D602="Return",-E602*F602,""))</f>
        <v/>
      </c>
      <c r="H602" s="17">
        <f>IFERROR(IF(D602="Sale",E602*INDEX(Products!$E$6:$E$205,MATCH(C602,Products!$B$6:$B$205,0)),IF(D602="Return",-E602*INDEX(Products!$E$6:$E$205,MATCH(C602,Products!$B$6:$B$205,0)),"")),"")</f>
        <v/>
      </c>
      <c r="I602" s="24" t="n"/>
      <c r="J602" s="1" t="n"/>
    </row>
    <row r="603">
      <c r="A603" s="1" t="n"/>
      <c r="B603" s="30" t="n"/>
      <c r="C603" s="23" t="n"/>
      <c r="D603" s="23" t="n"/>
      <c r="E603" s="26" t="n"/>
      <c r="F603" s="25" t="n"/>
      <c r="G603" s="17">
        <f>IF(D603="Sale",E603*F603,IF(D603="Return",-E603*F603,""))</f>
        <v/>
      </c>
      <c r="H603" s="17">
        <f>IFERROR(IF(D603="Sale",E603*INDEX(Products!$E$6:$E$205,MATCH(C603,Products!$B$6:$B$205,0)),IF(D603="Return",-E603*INDEX(Products!$E$6:$E$205,MATCH(C603,Products!$B$6:$B$205,0)),"")),"")</f>
        <v/>
      </c>
      <c r="I603" s="24" t="n"/>
      <c r="J603" s="1" t="n"/>
    </row>
    <row r="604">
      <c r="A604" s="1" t="n"/>
      <c r="B604" s="30" t="n"/>
      <c r="C604" s="23" t="n"/>
      <c r="D604" s="23" t="n"/>
      <c r="E604" s="26" t="n"/>
      <c r="F604" s="25" t="n"/>
      <c r="G604" s="17">
        <f>IF(D604="Sale",E604*F604,IF(D604="Return",-E604*F604,""))</f>
        <v/>
      </c>
      <c r="H604" s="17">
        <f>IFERROR(IF(D604="Sale",E604*INDEX(Products!$E$6:$E$205,MATCH(C604,Products!$B$6:$B$205,0)),IF(D604="Return",-E604*INDEX(Products!$E$6:$E$205,MATCH(C604,Products!$B$6:$B$205,0)),"")),"")</f>
        <v/>
      </c>
      <c r="I604" s="24" t="n"/>
      <c r="J604" s="1" t="n"/>
    </row>
    <row r="605">
      <c r="A605" s="1" t="n"/>
      <c r="B605" s="30" t="n"/>
      <c r="C605" s="23" t="n"/>
      <c r="D605" s="23" t="n"/>
      <c r="E605" s="26" t="n"/>
      <c r="F605" s="25" t="n"/>
      <c r="G605" s="17">
        <f>IF(D605="Sale",E605*F605,IF(D605="Return",-E605*F605,""))</f>
        <v/>
      </c>
      <c r="H605" s="17">
        <f>IFERROR(IF(D605="Sale",E605*INDEX(Products!$E$6:$E$205,MATCH(C605,Products!$B$6:$B$205,0)),IF(D605="Return",-E605*INDEX(Products!$E$6:$E$205,MATCH(C605,Products!$B$6:$B$205,0)),"")),"")</f>
        <v/>
      </c>
      <c r="I605" s="24" t="n"/>
      <c r="J605" s="1" t="n"/>
    </row>
    <row r="606">
      <c r="A606" s="1" t="n"/>
      <c r="B606" s="30" t="n"/>
      <c r="C606" s="23" t="n"/>
      <c r="D606" s="23" t="n"/>
      <c r="E606" s="26" t="n"/>
      <c r="F606" s="25" t="n"/>
      <c r="G606" s="17">
        <f>IF(D606="Sale",E606*F606,IF(D606="Return",-E606*F606,""))</f>
        <v/>
      </c>
      <c r="H606" s="17">
        <f>IFERROR(IF(D606="Sale",E606*INDEX(Products!$E$6:$E$205,MATCH(C606,Products!$B$6:$B$205,0)),IF(D606="Return",-E606*INDEX(Products!$E$6:$E$205,MATCH(C606,Products!$B$6:$B$205,0)),"")),"")</f>
        <v/>
      </c>
      <c r="I606" s="24" t="n"/>
      <c r="J606" s="1" t="n"/>
    </row>
    <row r="607">
      <c r="A607" s="1" t="n"/>
      <c r="B607" s="30" t="n"/>
      <c r="C607" s="23" t="n"/>
      <c r="D607" s="23" t="n"/>
      <c r="E607" s="26" t="n"/>
      <c r="F607" s="25" t="n"/>
      <c r="G607" s="17">
        <f>IF(D607="Sale",E607*F607,IF(D607="Return",-E607*F607,""))</f>
        <v/>
      </c>
      <c r="H607" s="17">
        <f>IFERROR(IF(D607="Sale",E607*INDEX(Products!$E$6:$E$205,MATCH(C607,Products!$B$6:$B$205,0)),IF(D607="Return",-E607*INDEX(Products!$E$6:$E$205,MATCH(C607,Products!$B$6:$B$205,0)),"")),"")</f>
        <v/>
      </c>
      <c r="I607" s="24" t="n"/>
      <c r="J607" s="1" t="n"/>
    </row>
    <row r="608">
      <c r="A608" s="1" t="n"/>
      <c r="B608" s="30" t="n"/>
      <c r="C608" s="23" t="n"/>
      <c r="D608" s="23" t="n"/>
      <c r="E608" s="26" t="n"/>
      <c r="F608" s="25" t="n"/>
      <c r="G608" s="17">
        <f>IF(D608="Sale",E608*F608,IF(D608="Return",-E608*F608,""))</f>
        <v/>
      </c>
      <c r="H608" s="17">
        <f>IFERROR(IF(D608="Sale",E608*INDEX(Products!$E$6:$E$205,MATCH(C608,Products!$B$6:$B$205,0)),IF(D608="Return",-E608*INDEX(Products!$E$6:$E$205,MATCH(C608,Products!$B$6:$B$205,0)),"")),"")</f>
        <v/>
      </c>
      <c r="I608" s="24" t="n"/>
      <c r="J608" s="1" t="n"/>
    </row>
    <row r="609">
      <c r="A609" s="1" t="n"/>
      <c r="B609" s="30" t="n"/>
      <c r="C609" s="23" t="n"/>
      <c r="D609" s="23" t="n"/>
      <c r="E609" s="26" t="n"/>
      <c r="F609" s="25" t="n"/>
      <c r="G609" s="17">
        <f>IF(D609="Sale",E609*F609,IF(D609="Return",-E609*F609,""))</f>
        <v/>
      </c>
      <c r="H609" s="17">
        <f>IFERROR(IF(D609="Sale",E609*INDEX(Products!$E$6:$E$205,MATCH(C609,Products!$B$6:$B$205,0)),IF(D609="Return",-E609*INDEX(Products!$E$6:$E$205,MATCH(C609,Products!$B$6:$B$205,0)),"")),"")</f>
        <v/>
      </c>
      <c r="I609" s="24" t="n"/>
      <c r="J609" s="1" t="n"/>
    </row>
    <row r="610">
      <c r="A610" s="1" t="n"/>
      <c r="B610" s="30" t="n"/>
      <c r="C610" s="23" t="n"/>
      <c r="D610" s="23" t="n"/>
      <c r="E610" s="26" t="n"/>
      <c r="F610" s="25" t="n"/>
      <c r="G610" s="17">
        <f>IF(D610="Sale",E610*F610,IF(D610="Return",-E610*F610,""))</f>
        <v/>
      </c>
      <c r="H610" s="17">
        <f>IFERROR(IF(D610="Sale",E610*INDEX(Products!$E$6:$E$205,MATCH(C610,Products!$B$6:$B$205,0)),IF(D610="Return",-E610*INDEX(Products!$E$6:$E$205,MATCH(C610,Products!$B$6:$B$205,0)),"")),"")</f>
        <v/>
      </c>
      <c r="I610" s="24" t="n"/>
      <c r="J610" s="1" t="n"/>
    </row>
    <row r="611">
      <c r="A611" s="1" t="n"/>
      <c r="B611" s="30" t="n"/>
      <c r="C611" s="23" t="n"/>
      <c r="D611" s="23" t="n"/>
      <c r="E611" s="26" t="n"/>
      <c r="F611" s="25" t="n"/>
      <c r="G611" s="17">
        <f>IF(D611="Sale",E611*F611,IF(D611="Return",-E611*F611,""))</f>
        <v/>
      </c>
      <c r="H611" s="17">
        <f>IFERROR(IF(D611="Sale",E611*INDEX(Products!$E$6:$E$205,MATCH(C611,Products!$B$6:$B$205,0)),IF(D611="Return",-E611*INDEX(Products!$E$6:$E$205,MATCH(C611,Products!$B$6:$B$205,0)),"")),"")</f>
        <v/>
      </c>
      <c r="I611" s="24" t="n"/>
      <c r="J611" s="1" t="n"/>
    </row>
    <row r="612">
      <c r="A612" s="1" t="n"/>
      <c r="B612" s="30" t="n"/>
      <c r="C612" s="23" t="n"/>
      <c r="D612" s="23" t="n"/>
      <c r="E612" s="26" t="n"/>
      <c r="F612" s="25" t="n"/>
      <c r="G612" s="17">
        <f>IF(D612="Sale",E612*F612,IF(D612="Return",-E612*F612,""))</f>
        <v/>
      </c>
      <c r="H612" s="17">
        <f>IFERROR(IF(D612="Sale",E612*INDEX(Products!$E$6:$E$205,MATCH(C612,Products!$B$6:$B$205,0)),IF(D612="Return",-E612*INDEX(Products!$E$6:$E$205,MATCH(C612,Products!$B$6:$B$205,0)),"")),"")</f>
        <v/>
      </c>
      <c r="I612" s="24" t="n"/>
      <c r="J612" s="1" t="n"/>
    </row>
    <row r="613">
      <c r="A613" s="1" t="n"/>
      <c r="B613" s="30" t="n"/>
      <c r="C613" s="23" t="n"/>
      <c r="D613" s="23" t="n"/>
      <c r="E613" s="26" t="n"/>
      <c r="F613" s="25" t="n"/>
      <c r="G613" s="17">
        <f>IF(D613="Sale",E613*F613,IF(D613="Return",-E613*F613,""))</f>
        <v/>
      </c>
      <c r="H613" s="17">
        <f>IFERROR(IF(D613="Sale",E613*INDEX(Products!$E$6:$E$205,MATCH(C613,Products!$B$6:$B$205,0)),IF(D613="Return",-E613*INDEX(Products!$E$6:$E$205,MATCH(C613,Products!$B$6:$B$205,0)),"")),"")</f>
        <v/>
      </c>
      <c r="I613" s="24" t="n"/>
      <c r="J613" s="1" t="n"/>
    </row>
    <row r="614">
      <c r="A614" s="1" t="n"/>
      <c r="B614" s="30" t="n"/>
      <c r="C614" s="23" t="n"/>
      <c r="D614" s="23" t="n"/>
      <c r="E614" s="26" t="n"/>
      <c r="F614" s="25" t="n"/>
      <c r="G614" s="17">
        <f>IF(D614="Sale",E614*F614,IF(D614="Return",-E614*F614,""))</f>
        <v/>
      </c>
      <c r="H614" s="17">
        <f>IFERROR(IF(D614="Sale",E614*INDEX(Products!$E$6:$E$205,MATCH(C614,Products!$B$6:$B$205,0)),IF(D614="Return",-E614*INDEX(Products!$E$6:$E$205,MATCH(C614,Products!$B$6:$B$205,0)),"")),"")</f>
        <v/>
      </c>
      <c r="I614" s="24" t="n"/>
      <c r="J614" s="1" t="n"/>
    </row>
    <row r="615">
      <c r="A615" s="1" t="n"/>
      <c r="B615" s="30" t="n"/>
      <c r="C615" s="23" t="n"/>
      <c r="D615" s="23" t="n"/>
      <c r="E615" s="26" t="n"/>
      <c r="F615" s="25" t="n"/>
      <c r="G615" s="17">
        <f>IF(D615="Sale",E615*F615,IF(D615="Return",-E615*F615,""))</f>
        <v/>
      </c>
      <c r="H615" s="17">
        <f>IFERROR(IF(D615="Sale",E615*INDEX(Products!$E$6:$E$205,MATCH(C615,Products!$B$6:$B$205,0)),IF(D615="Return",-E615*INDEX(Products!$E$6:$E$205,MATCH(C615,Products!$B$6:$B$205,0)),"")),"")</f>
        <v/>
      </c>
      <c r="I615" s="24" t="n"/>
      <c r="J615" s="1" t="n"/>
    </row>
    <row r="616">
      <c r="A616" s="1" t="n"/>
      <c r="B616" s="30" t="n"/>
      <c r="C616" s="23" t="n"/>
      <c r="D616" s="23" t="n"/>
      <c r="E616" s="26" t="n"/>
      <c r="F616" s="25" t="n"/>
      <c r="G616" s="17">
        <f>IF(D616="Sale",E616*F616,IF(D616="Return",-E616*F616,""))</f>
        <v/>
      </c>
      <c r="H616" s="17">
        <f>IFERROR(IF(D616="Sale",E616*INDEX(Products!$E$6:$E$205,MATCH(C616,Products!$B$6:$B$205,0)),IF(D616="Return",-E616*INDEX(Products!$E$6:$E$205,MATCH(C616,Products!$B$6:$B$205,0)),"")),"")</f>
        <v/>
      </c>
      <c r="I616" s="24" t="n"/>
      <c r="J616" s="1" t="n"/>
    </row>
    <row r="617">
      <c r="A617" s="1" t="n"/>
      <c r="B617" s="30" t="n"/>
      <c r="C617" s="23" t="n"/>
      <c r="D617" s="23" t="n"/>
      <c r="E617" s="26" t="n"/>
      <c r="F617" s="25" t="n"/>
      <c r="G617" s="17">
        <f>IF(D617="Sale",E617*F617,IF(D617="Return",-E617*F617,""))</f>
        <v/>
      </c>
      <c r="H617" s="17">
        <f>IFERROR(IF(D617="Sale",E617*INDEX(Products!$E$6:$E$205,MATCH(C617,Products!$B$6:$B$205,0)),IF(D617="Return",-E617*INDEX(Products!$E$6:$E$205,MATCH(C617,Products!$B$6:$B$205,0)),"")),"")</f>
        <v/>
      </c>
      <c r="I617" s="24" t="n"/>
      <c r="J617" s="1" t="n"/>
    </row>
    <row r="618">
      <c r="A618" s="1" t="n"/>
      <c r="B618" s="30" t="n"/>
      <c r="C618" s="23" t="n"/>
      <c r="D618" s="23" t="n"/>
      <c r="E618" s="26" t="n"/>
      <c r="F618" s="25" t="n"/>
      <c r="G618" s="17">
        <f>IF(D618="Sale",E618*F618,IF(D618="Return",-E618*F618,""))</f>
        <v/>
      </c>
      <c r="H618" s="17">
        <f>IFERROR(IF(D618="Sale",E618*INDEX(Products!$E$6:$E$205,MATCH(C618,Products!$B$6:$B$205,0)),IF(D618="Return",-E618*INDEX(Products!$E$6:$E$205,MATCH(C618,Products!$B$6:$B$205,0)),"")),"")</f>
        <v/>
      </c>
      <c r="I618" s="24" t="n"/>
      <c r="J618" s="1" t="n"/>
    </row>
    <row r="619">
      <c r="A619" s="1" t="n"/>
      <c r="B619" s="30" t="n"/>
      <c r="C619" s="23" t="n"/>
      <c r="D619" s="23" t="n"/>
      <c r="E619" s="26" t="n"/>
      <c r="F619" s="25" t="n"/>
      <c r="G619" s="17">
        <f>IF(D619="Sale",E619*F619,IF(D619="Return",-E619*F619,""))</f>
        <v/>
      </c>
      <c r="H619" s="17">
        <f>IFERROR(IF(D619="Sale",E619*INDEX(Products!$E$6:$E$205,MATCH(C619,Products!$B$6:$B$205,0)),IF(D619="Return",-E619*INDEX(Products!$E$6:$E$205,MATCH(C619,Products!$B$6:$B$205,0)),"")),"")</f>
        <v/>
      </c>
      <c r="I619" s="24" t="n"/>
      <c r="J619" s="1" t="n"/>
    </row>
    <row r="620">
      <c r="A620" s="1" t="n"/>
      <c r="B620" s="30" t="n"/>
      <c r="C620" s="23" t="n"/>
      <c r="D620" s="23" t="n"/>
      <c r="E620" s="26" t="n"/>
      <c r="F620" s="25" t="n"/>
      <c r="G620" s="17">
        <f>IF(D620="Sale",E620*F620,IF(D620="Return",-E620*F620,""))</f>
        <v/>
      </c>
      <c r="H620" s="17">
        <f>IFERROR(IF(D620="Sale",E620*INDEX(Products!$E$6:$E$205,MATCH(C620,Products!$B$6:$B$205,0)),IF(D620="Return",-E620*INDEX(Products!$E$6:$E$205,MATCH(C620,Products!$B$6:$B$205,0)),"")),"")</f>
        <v/>
      </c>
      <c r="I620" s="24" t="n"/>
      <c r="J620" s="1" t="n"/>
    </row>
    <row r="621">
      <c r="A621" s="1" t="n"/>
      <c r="B621" s="30" t="n"/>
      <c r="C621" s="23" t="n"/>
      <c r="D621" s="23" t="n"/>
      <c r="E621" s="26" t="n"/>
      <c r="F621" s="25" t="n"/>
      <c r="G621" s="17">
        <f>IF(D621="Sale",E621*F621,IF(D621="Return",-E621*F621,""))</f>
        <v/>
      </c>
      <c r="H621" s="17">
        <f>IFERROR(IF(D621="Sale",E621*INDEX(Products!$E$6:$E$205,MATCH(C621,Products!$B$6:$B$205,0)),IF(D621="Return",-E621*INDEX(Products!$E$6:$E$205,MATCH(C621,Products!$B$6:$B$205,0)),"")),"")</f>
        <v/>
      </c>
      <c r="I621" s="24" t="n"/>
      <c r="J621" s="1" t="n"/>
    </row>
    <row r="622">
      <c r="A622" s="1" t="n"/>
      <c r="B622" s="30" t="n"/>
      <c r="C622" s="23" t="n"/>
      <c r="D622" s="23" t="n"/>
      <c r="E622" s="26" t="n"/>
      <c r="F622" s="25" t="n"/>
      <c r="G622" s="17">
        <f>IF(D622="Sale",E622*F622,IF(D622="Return",-E622*F622,""))</f>
        <v/>
      </c>
      <c r="H622" s="17">
        <f>IFERROR(IF(D622="Sale",E622*INDEX(Products!$E$6:$E$205,MATCH(C622,Products!$B$6:$B$205,0)),IF(D622="Return",-E622*INDEX(Products!$E$6:$E$205,MATCH(C622,Products!$B$6:$B$205,0)),"")),"")</f>
        <v/>
      </c>
      <c r="I622" s="24" t="n"/>
      <c r="J622" s="1" t="n"/>
    </row>
    <row r="623">
      <c r="A623" s="1" t="n"/>
      <c r="B623" s="30" t="n"/>
      <c r="C623" s="23" t="n"/>
      <c r="D623" s="23" t="n"/>
      <c r="E623" s="26" t="n"/>
      <c r="F623" s="25" t="n"/>
      <c r="G623" s="17">
        <f>IF(D623="Sale",E623*F623,IF(D623="Return",-E623*F623,""))</f>
        <v/>
      </c>
      <c r="H623" s="17">
        <f>IFERROR(IF(D623="Sale",E623*INDEX(Products!$E$6:$E$205,MATCH(C623,Products!$B$6:$B$205,0)),IF(D623="Return",-E623*INDEX(Products!$E$6:$E$205,MATCH(C623,Products!$B$6:$B$205,0)),"")),"")</f>
        <v/>
      </c>
      <c r="I623" s="24" t="n"/>
      <c r="J623" s="1" t="n"/>
    </row>
    <row r="624">
      <c r="A624" s="1" t="n"/>
      <c r="B624" s="30" t="n"/>
      <c r="C624" s="23" t="n"/>
      <c r="D624" s="23" t="n"/>
      <c r="E624" s="26" t="n"/>
      <c r="F624" s="25" t="n"/>
      <c r="G624" s="17">
        <f>IF(D624="Sale",E624*F624,IF(D624="Return",-E624*F624,""))</f>
        <v/>
      </c>
      <c r="H624" s="17">
        <f>IFERROR(IF(D624="Sale",E624*INDEX(Products!$E$6:$E$205,MATCH(C624,Products!$B$6:$B$205,0)),IF(D624="Return",-E624*INDEX(Products!$E$6:$E$205,MATCH(C624,Products!$B$6:$B$205,0)),"")),"")</f>
        <v/>
      </c>
      <c r="I624" s="24" t="n"/>
      <c r="J624" s="1" t="n"/>
    </row>
    <row r="625">
      <c r="A625" s="1" t="n"/>
      <c r="B625" s="30" t="n"/>
      <c r="C625" s="23" t="n"/>
      <c r="D625" s="23" t="n"/>
      <c r="E625" s="26" t="n"/>
      <c r="F625" s="25" t="n"/>
      <c r="G625" s="17">
        <f>IF(D625="Sale",E625*F625,IF(D625="Return",-E625*F625,""))</f>
        <v/>
      </c>
      <c r="H625" s="17">
        <f>IFERROR(IF(D625="Sale",E625*INDEX(Products!$E$6:$E$205,MATCH(C625,Products!$B$6:$B$205,0)),IF(D625="Return",-E625*INDEX(Products!$E$6:$E$205,MATCH(C625,Products!$B$6:$B$205,0)),"")),"")</f>
        <v/>
      </c>
      <c r="I625" s="24" t="n"/>
      <c r="J625" s="1" t="n"/>
    </row>
    <row r="626">
      <c r="A626" s="1" t="n"/>
      <c r="B626" s="30" t="n"/>
      <c r="C626" s="23" t="n"/>
      <c r="D626" s="23" t="n"/>
      <c r="E626" s="26" t="n"/>
      <c r="F626" s="25" t="n"/>
      <c r="G626" s="17">
        <f>IF(D626="Sale",E626*F626,IF(D626="Return",-E626*F626,""))</f>
        <v/>
      </c>
      <c r="H626" s="17">
        <f>IFERROR(IF(D626="Sale",E626*INDEX(Products!$E$6:$E$205,MATCH(C626,Products!$B$6:$B$205,0)),IF(D626="Return",-E626*INDEX(Products!$E$6:$E$205,MATCH(C626,Products!$B$6:$B$205,0)),"")),"")</f>
        <v/>
      </c>
      <c r="I626" s="24" t="n"/>
      <c r="J626" s="1" t="n"/>
    </row>
    <row r="627">
      <c r="A627" s="1" t="n"/>
      <c r="B627" s="30" t="n"/>
      <c r="C627" s="23" t="n"/>
      <c r="D627" s="23" t="n"/>
      <c r="E627" s="26" t="n"/>
      <c r="F627" s="25" t="n"/>
      <c r="G627" s="17">
        <f>IF(D627="Sale",E627*F627,IF(D627="Return",-E627*F627,""))</f>
        <v/>
      </c>
      <c r="H627" s="17">
        <f>IFERROR(IF(D627="Sale",E627*INDEX(Products!$E$6:$E$205,MATCH(C627,Products!$B$6:$B$205,0)),IF(D627="Return",-E627*INDEX(Products!$E$6:$E$205,MATCH(C627,Products!$B$6:$B$205,0)),"")),"")</f>
        <v/>
      </c>
      <c r="I627" s="24" t="n"/>
      <c r="J627" s="1" t="n"/>
    </row>
    <row r="628">
      <c r="A628" s="1" t="n"/>
      <c r="B628" s="30" t="n"/>
      <c r="C628" s="23" t="n"/>
      <c r="D628" s="23" t="n"/>
      <c r="E628" s="26" t="n"/>
      <c r="F628" s="25" t="n"/>
      <c r="G628" s="17">
        <f>IF(D628="Sale",E628*F628,IF(D628="Return",-E628*F628,""))</f>
        <v/>
      </c>
      <c r="H628" s="17">
        <f>IFERROR(IF(D628="Sale",E628*INDEX(Products!$E$6:$E$205,MATCH(C628,Products!$B$6:$B$205,0)),IF(D628="Return",-E628*INDEX(Products!$E$6:$E$205,MATCH(C628,Products!$B$6:$B$205,0)),"")),"")</f>
        <v/>
      </c>
      <c r="I628" s="24" t="n"/>
      <c r="J628" s="1" t="n"/>
    </row>
    <row r="629">
      <c r="A629" s="1" t="n"/>
      <c r="B629" s="30" t="n"/>
      <c r="C629" s="23" t="n"/>
      <c r="D629" s="23" t="n"/>
      <c r="E629" s="26" t="n"/>
      <c r="F629" s="25" t="n"/>
      <c r="G629" s="17">
        <f>IF(D629="Sale",E629*F629,IF(D629="Return",-E629*F629,""))</f>
        <v/>
      </c>
      <c r="H629" s="17">
        <f>IFERROR(IF(D629="Sale",E629*INDEX(Products!$E$6:$E$205,MATCH(C629,Products!$B$6:$B$205,0)),IF(D629="Return",-E629*INDEX(Products!$E$6:$E$205,MATCH(C629,Products!$B$6:$B$205,0)),"")),"")</f>
        <v/>
      </c>
      <c r="I629" s="24" t="n"/>
      <c r="J629" s="1" t="n"/>
    </row>
    <row r="630">
      <c r="A630" s="1" t="n"/>
      <c r="B630" s="30" t="n"/>
      <c r="C630" s="23" t="n"/>
      <c r="D630" s="23" t="n"/>
      <c r="E630" s="26" t="n"/>
      <c r="F630" s="25" t="n"/>
      <c r="G630" s="17">
        <f>IF(D630="Sale",E630*F630,IF(D630="Return",-E630*F630,""))</f>
        <v/>
      </c>
      <c r="H630" s="17">
        <f>IFERROR(IF(D630="Sale",E630*INDEX(Products!$E$6:$E$205,MATCH(C630,Products!$B$6:$B$205,0)),IF(D630="Return",-E630*INDEX(Products!$E$6:$E$205,MATCH(C630,Products!$B$6:$B$205,0)),"")),"")</f>
        <v/>
      </c>
      <c r="I630" s="24" t="n"/>
      <c r="J630" s="1" t="n"/>
    </row>
    <row r="631">
      <c r="A631" s="1" t="n"/>
      <c r="B631" s="30" t="n"/>
      <c r="C631" s="23" t="n"/>
      <c r="D631" s="23" t="n"/>
      <c r="E631" s="26" t="n"/>
      <c r="F631" s="25" t="n"/>
      <c r="G631" s="17">
        <f>IF(D631="Sale",E631*F631,IF(D631="Return",-E631*F631,""))</f>
        <v/>
      </c>
      <c r="H631" s="17">
        <f>IFERROR(IF(D631="Sale",E631*INDEX(Products!$E$6:$E$205,MATCH(C631,Products!$B$6:$B$205,0)),IF(D631="Return",-E631*INDEX(Products!$E$6:$E$205,MATCH(C631,Products!$B$6:$B$205,0)),"")),"")</f>
        <v/>
      </c>
      <c r="I631" s="24" t="n"/>
      <c r="J631" s="1" t="n"/>
    </row>
    <row r="632">
      <c r="A632" s="1" t="n"/>
      <c r="B632" s="30" t="n"/>
      <c r="C632" s="23" t="n"/>
      <c r="D632" s="23" t="n"/>
      <c r="E632" s="26" t="n"/>
      <c r="F632" s="25" t="n"/>
      <c r="G632" s="17">
        <f>IF(D632="Sale",E632*F632,IF(D632="Return",-E632*F632,""))</f>
        <v/>
      </c>
      <c r="H632" s="17">
        <f>IFERROR(IF(D632="Sale",E632*INDEX(Products!$E$6:$E$205,MATCH(C632,Products!$B$6:$B$205,0)),IF(D632="Return",-E632*INDEX(Products!$E$6:$E$205,MATCH(C632,Products!$B$6:$B$205,0)),"")),"")</f>
        <v/>
      </c>
      <c r="I632" s="24" t="n"/>
      <c r="J632" s="1" t="n"/>
    </row>
    <row r="633">
      <c r="A633" s="1" t="n"/>
      <c r="B633" s="30" t="n"/>
      <c r="C633" s="23" t="n"/>
      <c r="D633" s="23" t="n"/>
      <c r="E633" s="26" t="n"/>
      <c r="F633" s="25" t="n"/>
      <c r="G633" s="17">
        <f>IF(D633="Sale",E633*F633,IF(D633="Return",-E633*F633,""))</f>
        <v/>
      </c>
      <c r="H633" s="17">
        <f>IFERROR(IF(D633="Sale",E633*INDEX(Products!$E$6:$E$205,MATCH(C633,Products!$B$6:$B$205,0)),IF(D633="Return",-E633*INDEX(Products!$E$6:$E$205,MATCH(C633,Products!$B$6:$B$205,0)),"")),"")</f>
        <v/>
      </c>
      <c r="I633" s="24" t="n"/>
      <c r="J633" s="1" t="n"/>
    </row>
    <row r="634">
      <c r="A634" s="1" t="n"/>
      <c r="B634" s="30" t="n"/>
      <c r="C634" s="23" t="n"/>
      <c r="D634" s="23" t="n"/>
      <c r="E634" s="26" t="n"/>
      <c r="F634" s="25" t="n"/>
      <c r="G634" s="17">
        <f>IF(D634="Sale",E634*F634,IF(D634="Return",-E634*F634,""))</f>
        <v/>
      </c>
      <c r="H634" s="17">
        <f>IFERROR(IF(D634="Sale",E634*INDEX(Products!$E$6:$E$205,MATCH(C634,Products!$B$6:$B$205,0)),IF(D634="Return",-E634*INDEX(Products!$E$6:$E$205,MATCH(C634,Products!$B$6:$B$205,0)),"")),"")</f>
        <v/>
      </c>
      <c r="I634" s="24" t="n"/>
      <c r="J634" s="1" t="n"/>
    </row>
    <row r="635">
      <c r="A635" s="1" t="n"/>
      <c r="B635" s="30" t="n"/>
      <c r="C635" s="23" t="n"/>
      <c r="D635" s="23" t="n"/>
      <c r="E635" s="26" t="n"/>
      <c r="F635" s="25" t="n"/>
      <c r="G635" s="17">
        <f>IF(D635="Sale",E635*F635,IF(D635="Return",-E635*F635,""))</f>
        <v/>
      </c>
      <c r="H635" s="17">
        <f>IFERROR(IF(D635="Sale",E635*INDEX(Products!$E$6:$E$205,MATCH(C635,Products!$B$6:$B$205,0)),IF(D635="Return",-E635*INDEX(Products!$E$6:$E$205,MATCH(C635,Products!$B$6:$B$205,0)),"")),"")</f>
        <v/>
      </c>
      <c r="I635" s="24" t="n"/>
      <c r="J635" s="1" t="n"/>
    </row>
    <row r="636">
      <c r="A636" s="1" t="n"/>
      <c r="B636" s="30" t="n"/>
      <c r="C636" s="23" t="n"/>
      <c r="D636" s="23" t="n"/>
      <c r="E636" s="26" t="n"/>
      <c r="F636" s="25" t="n"/>
      <c r="G636" s="17">
        <f>IF(D636="Sale",E636*F636,IF(D636="Return",-E636*F636,""))</f>
        <v/>
      </c>
      <c r="H636" s="17">
        <f>IFERROR(IF(D636="Sale",E636*INDEX(Products!$E$6:$E$205,MATCH(C636,Products!$B$6:$B$205,0)),IF(D636="Return",-E636*INDEX(Products!$E$6:$E$205,MATCH(C636,Products!$B$6:$B$205,0)),"")),"")</f>
        <v/>
      </c>
      <c r="I636" s="24" t="n"/>
      <c r="J636" s="1" t="n"/>
    </row>
    <row r="637">
      <c r="A637" s="1" t="n"/>
      <c r="B637" s="30" t="n"/>
      <c r="C637" s="23" t="n"/>
      <c r="D637" s="23" t="n"/>
      <c r="E637" s="26" t="n"/>
      <c r="F637" s="25" t="n"/>
      <c r="G637" s="17">
        <f>IF(D637="Sale",E637*F637,IF(D637="Return",-E637*F637,""))</f>
        <v/>
      </c>
      <c r="H637" s="17">
        <f>IFERROR(IF(D637="Sale",E637*INDEX(Products!$E$6:$E$205,MATCH(C637,Products!$B$6:$B$205,0)),IF(D637="Return",-E637*INDEX(Products!$E$6:$E$205,MATCH(C637,Products!$B$6:$B$205,0)),"")),"")</f>
        <v/>
      </c>
      <c r="I637" s="24" t="n"/>
      <c r="J637" s="1" t="n"/>
    </row>
    <row r="638">
      <c r="A638" s="1" t="n"/>
      <c r="B638" s="30" t="n"/>
      <c r="C638" s="23" t="n"/>
      <c r="D638" s="23" t="n"/>
      <c r="E638" s="26" t="n"/>
      <c r="F638" s="25" t="n"/>
      <c r="G638" s="17">
        <f>IF(D638="Sale",E638*F638,IF(D638="Return",-E638*F638,""))</f>
        <v/>
      </c>
      <c r="H638" s="17">
        <f>IFERROR(IF(D638="Sale",E638*INDEX(Products!$E$6:$E$205,MATCH(C638,Products!$B$6:$B$205,0)),IF(D638="Return",-E638*INDEX(Products!$E$6:$E$205,MATCH(C638,Products!$B$6:$B$205,0)),"")),"")</f>
        <v/>
      </c>
      <c r="I638" s="24" t="n"/>
      <c r="J638" s="1" t="n"/>
    </row>
    <row r="639">
      <c r="A639" s="1" t="n"/>
      <c r="B639" s="30" t="n"/>
      <c r="C639" s="23" t="n"/>
      <c r="D639" s="23" t="n"/>
      <c r="E639" s="26" t="n"/>
      <c r="F639" s="25" t="n"/>
      <c r="G639" s="17">
        <f>IF(D639="Sale",E639*F639,IF(D639="Return",-E639*F639,""))</f>
        <v/>
      </c>
      <c r="H639" s="17">
        <f>IFERROR(IF(D639="Sale",E639*INDEX(Products!$E$6:$E$205,MATCH(C639,Products!$B$6:$B$205,0)),IF(D639="Return",-E639*INDEX(Products!$E$6:$E$205,MATCH(C639,Products!$B$6:$B$205,0)),"")),"")</f>
        <v/>
      </c>
      <c r="I639" s="24" t="n"/>
      <c r="J639" s="1" t="n"/>
    </row>
    <row r="640">
      <c r="A640" s="1" t="n"/>
      <c r="B640" s="30" t="n"/>
      <c r="C640" s="23" t="n"/>
      <c r="D640" s="23" t="n"/>
      <c r="E640" s="26" t="n"/>
      <c r="F640" s="25" t="n"/>
      <c r="G640" s="17">
        <f>IF(D640="Sale",E640*F640,IF(D640="Return",-E640*F640,""))</f>
        <v/>
      </c>
      <c r="H640" s="17">
        <f>IFERROR(IF(D640="Sale",E640*INDEX(Products!$E$6:$E$205,MATCH(C640,Products!$B$6:$B$205,0)),IF(D640="Return",-E640*INDEX(Products!$E$6:$E$205,MATCH(C640,Products!$B$6:$B$205,0)),"")),"")</f>
        <v/>
      </c>
      <c r="I640" s="24" t="n"/>
      <c r="J640" s="1" t="n"/>
    </row>
    <row r="641">
      <c r="A641" s="1" t="n"/>
      <c r="B641" s="30" t="n"/>
      <c r="C641" s="23" t="n"/>
      <c r="D641" s="23" t="n"/>
      <c r="E641" s="26" t="n"/>
      <c r="F641" s="25" t="n"/>
      <c r="G641" s="17">
        <f>IF(D641="Sale",E641*F641,IF(D641="Return",-E641*F641,""))</f>
        <v/>
      </c>
      <c r="H641" s="17">
        <f>IFERROR(IF(D641="Sale",E641*INDEX(Products!$E$6:$E$205,MATCH(C641,Products!$B$6:$B$205,0)),IF(D641="Return",-E641*INDEX(Products!$E$6:$E$205,MATCH(C641,Products!$B$6:$B$205,0)),"")),"")</f>
        <v/>
      </c>
      <c r="I641" s="24" t="n"/>
      <c r="J641" s="1" t="n"/>
    </row>
    <row r="642">
      <c r="A642" s="1" t="n"/>
      <c r="B642" s="30" t="n"/>
      <c r="C642" s="23" t="n"/>
      <c r="D642" s="23" t="n"/>
      <c r="E642" s="26" t="n"/>
      <c r="F642" s="25" t="n"/>
      <c r="G642" s="17">
        <f>IF(D642="Sale",E642*F642,IF(D642="Return",-E642*F642,""))</f>
        <v/>
      </c>
      <c r="H642" s="17">
        <f>IFERROR(IF(D642="Sale",E642*INDEX(Products!$E$6:$E$205,MATCH(C642,Products!$B$6:$B$205,0)),IF(D642="Return",-E642*INDEX(Products!$E$6:$E$205,MATCH(C642,Products!$B$6:$B$205,0)),"")),"")</f>
        <v/>
      </c>
      <c r="I642" s="24" t="n"/>
      <c r="J642" s="1" t="n"/>
    </row>
    <row r="643">
      <c r="A643" s="1" t="n"/>
      <c r="B643" s="30" t="n"/>
      <c r="C643" s="23" t="n"/>
      <c r="D643" s="23" t="n"/>
      <c r="E643" s="26" t="n"/>
      <c r="F643" s="25" t="n"/>
      <c r="G643" s="17">
        <f>IF(D643="Sale",E643*F643,IF(D643="Return",-E643*F643,""))</f>
        <v/>
      </c>
      <c r="H643" s="17">
        <f>IFERROR(IF(D643="Sale",E643*INDEX(Products!$E$6:$E$205,MATCH(C643,Products!$B$6:$B$205,0)),IF(D643="Return",-E643*INDEX(Products!$E$6:$E$205,MATCH(C643,Products!$B$6:$B$205,0)),"")),"")</f>
        <v/>
      </c>
      <c r="I643" s="24" t="n"/>
      <c r="J643" s="1" t="n"/>
    </row>
    <row r="644">
      <c r="A644" s="1" t="n"/>
      <c r="B644" s="30" t="n"/>
      <c r="C644" s="23" t="n"/>
      <c r="D644" s="23" t="n"/>
      <c r="E644" s="26" t="n"/>
      <c r="F644" s="25" t="n"/>
      <c r="G644" s="17">
        <f>IF(D644="Sale",E644*F644,IF(D644="Return",-E644*F644,""))</f>
        <v/>
      </c>
      <c r="H644" s="17">
        <f>IFERROR(IF(D644="Sale",E644*INDEX(Products!$E$6:$E$205,MATCH(C644,Products!$B$6:$B$205,0)),IF(D644="Return",-E644*INDEX(Products!$E$6:$E$205,MATCH(C644,Products!$B$6:$B$205,0)),"")),"")</f>
        <v/>
      </c>
      <c r="I644" s="24" t="n"/>
      <c r="J644" s="1" t="n"/>
    </row>
    <row r="645">
      <c r="A645" s="1" t="n"/>
      <c r="B645" s="30" t="n"/>
      <c r="C645" s="23" t="n"/>
      <c r="D645" s="23" t="n"/>
      <c r="E645" s="26" t="n"/>
      <c r="F645" s="25" t="n"/>
      <c r="G645" s="17">
        <f>IF(D645="Sale",E645*F645,IF(D645="Return",-E645*F645,""))</f>
        <v/>
      </c>
      <c r="H645" s="17">
        <f>IFERROR(IF(D645="Sale",E645*INDEX(Products!$E$6:$E$205,MATCH(C645,Products!$B$6:$B$205,0)),IF(D645="Return",-E645*INDEX(Products!$E$6:$E$205,MATCH(C645,Products!$B$6:$B$205,0)),"")),"")</f>
        <v/>
      </c>
      <c r="I645" s="24" t="n"/>
      <c r="J645" s="1" t="n"/>
    </row>
    <row r="646">
      <c r="A646" s="1" t="n"/>
      <c r="B646" s="30" t="n"/>
      <c r="C646" s="23" t="n"/>
      <c r="D646" s="23" t="n"/>
      <c r="E646" s="26" t="n"/>
      <c r="F646" s="25" t="n"/>
      <c r="G646" s="17">
        <f>IF(D646="Sale",E646*F646,IF(D646="Return",-E646*F646,""))</f>
        <v/>
      </c>
      <c r="H646" s="17">
        <f>IFERROR(IF(D646="Sale",E646*INDEX(Products!$E$6:$E$205,MATCH(C646,Products!$B$6:$B$205,0)),IF(D646="Return",-E646*INDEX(Products!$E$6:$E$205,MATCH(C646,Products!$B$6:$B$205,0)),"")),"")</f>
        <v/>
      </c>
      <c r="I646" s="24" t="n"/>
      <c r="J646" s="1" t="n"/>
    </row>
    <row r="647">
      <c r="A647" s="1" t="n"/>
      <c r="B647" s="30" t="n"/>
      <c r="C647" s="23" t="n"/>
      <c r="D647" s="23" t="n"/>
      <c r="E647" s="26" t="n"/>
      <c r="F647" s="25" t="n"/>
      <c r="G647" s="17">
        <f>IF(D647="Sale",E647*F647,IF(D647="Return",-E647*F647,""))</f>
        <v/>
      </c>
      <c r="H647" s="17">
        <f>IFERROR(IF(D647="Sale",E647*INDEX(Products!$E$6:$E$205,MATCH(C647,Products!$B$6:$B$205,0)),IF(D647="Return",-E647*INDEX(Products!$E$6:$E$205,MATCH(C647,Products!$B$6:$B$205,0)),"")),"")</f>
        <v/>
      </c>
      <c r="I647" s="24" t="n"/>
      <c r="J647" s="1" t="n"/>
    </row>
    <row r="648">
      <c r="A648" s="1" t="n"/>
      <c r="B648" s="30" t="n"/>
      <c r="C648" s="23" t="n"/>
      <c r="D648" s="23" t="n"/>
      <c r="E648" s="26" t="n"/>
      <c r="F648" s="25" t="n"/>
      <c r="G648" s="17">
        <f>IF(D648="Sale",E648*F648,IF(D648="Return",-E648*F648,""))</f>
        <v/>
      </c>
      <c r="H648" s="17">
        <f>IFERROR(IF(D648="Sale",E648*INDEX(Products!$E$6:$E$205,MATCH(C648,Products!$B$6:$B$205,0)),IF(D648="Return",-E648*INDEX(Products!$E$6:$E$205,MATCH(C648,Products!$B$6:$B$205,0)),"")),"")</f>
        <v/>
      </c>
      <c r="I648" s="24" t="n"/>
      <c r="J648" s="1" t="n"/>
    </row>
    <row r="649">
      <c r="A649" s="1" t="n"/>
      <c r="B649" s="30" t="n"/>
      <c r="C649" s="23" t="n"/>
      <c r="D649" s="23" t="n"/>
      <c r="E649" s="26" t="n"/>
      <c r="F649" s="25" t="n"/>
      <c r="G649" s="17">
        <f>IF(D649="Sale",E649*F649,IF(D649="Return",-E649*F649,""))</f>
        <v/>
      </c>
      <c r="H649" s="17">
        <f>IFERROR(IF(D649="Sale",E649*INDEX(Products!$E$6:$E$205,MATCH(C649,Products!$B$6:$B$205,0)),IF(D649="Return",-E649*INDEX(Products!$E$6:$E$205,MATCH(C649,Products!$B$6:$B$205,0)),"")),"")</f>
        <v/>
      </c>
      <c r="I649" s="24" t="n"/>
      <c r="J649" s="1" t="n"/>
    </row>
    <row r="650">
      <c r="A650" s="1" t="n"/>
      <c r="B650" s="30" t="n"/>
      <c r="C650" s="23" t="n"/>
      <c r="D650" s="23" t="n"/>
      <c r="E650" s="26" t="n"/>
      <c r="F650" s="25" t="n"/>
      <c r="G650" s="17">
        <f>IF(D650="Sale",E650*F650,IF(D650="Return",-E650*F650,""))</f>
        <v/>
      </c>
      <c r="H650" s="17">
        <f>IFERROR(IF(D650="Sale",E650*INDEX(Products!$E$6:$E$205,MATCH(C650,Products!$B$6:$B$205,0)),IF(D650="Return",-E650*INDEX(Products!$E$6:$E$205,MATCH(C650,Products!$B$6:$B$205,0)),"")),"")</f>
        <v/>
      </c>
      <c r="I650" s="24" t="n"/>
      <c r="J650" s="1" t="n"/>
    </row>
    <row r="651">
      <c r="A651" s="1" t="n"/>
      <c r="B651" s="30" t="n"/>
      <c r="C651" s="23" t="n"/>
      <c r="D651" s="23" t="n"/>
      <c r="E651" s="26" t="n"/>
      <c r="F651" s="25" t="n"/>
      <c r="G651" s="17">
        <f>IF(D651="Sale",E651*F651,IF(D651="Return",-E651*F651,""))</f>
        <v/>
      </c>
      <c r="H651" s="17">
        <f>IFERROR(IF(D651="Sale",E651*INDEX(Products!$E$6:$E$205,MATCH(C651,Products!$B$6:$B$205,0)),IF(D651="Return",-E651*INDEX(Products!$E$6:$E$205,MATCH(C651,Products!$B$6:$B$205,0)),"")),"")</f>
        <v/>
      </c>
      <c r="I651" s="24" t="n"/>
      <c r="J651" s="1" t="n"/>
    </row>
    <row r="652">
      <c r="A652" s="1" t="n"/>
      <c r="B652" s="30" t="n"/>
      <c r="C652" s="23" t="n"/>
      <c r="D652" s="23" t="n"/>
      <c r="E652" s="26" t="n"/>
      <c r="F652" s="25" t="n"/>
      <c r="G652" s="17">
        <f>IF(D652="Sale",E652*F652,IF(D652="Return",-E652*F652,""))</f>
        <v/>
      </c>
      <c r="H652" s="17">
        <f>IFERROR(IF(D652="Sale",E652*INDEX(Products!$E$6:$E$205,MATCH(C652,Products!$B$6:$B$205,0)),IF(D652="Return",-E652*INDEX(Products!$E$6:$E$205,MATCH(C652,Products!$B$6:$B$205,0)),"")),"")</f>
        <v/>
      </c>
      <c r="I652" s="24" t="n"/>
      <c r="J652" s="1" t="n"/>
    </row>
    <row r="653">
      <c r="A653" s="1" t="n"/>
      <c r="B653" s="30" t="n"/>
      <c r="C653" s="23" t="n"/>
      <c r="D653" s="23" t="n"/>
      <c r="E653" s="26" t="n"/>
      <c r="F653" s="25" t="n"/>
      <c r="G653" s="17">
        <f>IF(D653="Sale",E653*F653,IF(D653="Return",-E653*F653,""))</f>
        <v/>
      </c>
      <c r="H653" s="17">
        <f>IFERROR(IF(D653="Sale",E653*INDEX(Products!$E$6:$E$205,MATCH(C653,Products!$B$6:$B$205,0)),IF(D653="Return",-E653*INDEX(Products!$E$6:$E$205,MATCH(C653,Products!$B$6:$B$205,0)),"")),"")</f>
        <v/>
      </c>
      <c r="I653" s="24" t="n"/>
      <c r="J653" s="1" t="n"/>
    </row>
    <row r="654">
      <c r="A654" s="1" t="n"/>
      <c r="B654" s="30" t="n"/>
      <c r="C654" s="23" t="n"/>
      <c r="D654" s="23" t="n"/>
      <c r="E654" s="26" t="n"/>
      <c r="F654" s="25" t="n"/>
      <c r="G654" s="17">
        <f>IF(D654="Sale",E654*F654,IF(D654="Return",-E654*F654,""))</f>
        <v/>
      </c>
      <c r="H654" s="17">
        <f>IFERROR(IF(D654="Sale",E654*INDEX(Products!$E$6:$E$205,MATCH(C654,Products!$B$6:$B$205,0)),IF(D654="Return",-E654*INDEX(Products!$E$6:$E$205,MATCH(C654,Products!$B$6:$B$205,0)),"")),"")</f>
        <v/>
      </c>
      <c r="I654" s="24" t="n"/>
      <c r="J654" s="1" t="n"/>
    </row>
    <row r="655">
      <c r="A655" s="1" t="n"/>
      <c r="B655" s="30" t="n"/>
      <c r="C655" s="23" t="n"/>
      <c r="D655" s="23" t="n"/>
      <c r="E655" s="26" t="n"/>
      <c r="F655" s="25" t="n"/>
      <c r="G655" s="17">
        <f>IF(D655="Sale",E655*F655,IF(D655="Return",-E655*F655,""))</f>
        <v/>
      </c>
      <c r="H655" s="17">
        <f>IFERROR(IF(D655="Sale",E655*INDEX(Products!$E$6:$E$205,MATCH(C655,Products!$B$6:$B$205,0)),IF(D655="Return",-E655*INDEX(Products!$E$6:$E$205,MATCH(C655,Products!$B$6:$B$205,0)),"")),"")</f>
        <v/>
      </c>
      <c r="I655" s="24" t="n"/>
      <c r="J655" s="1" t="n"/>
    </row>
    <row r="656">
      <c r="A656" s="1" t="n"/>
      <c r="B656" s="30" t="n"/>
      <c r="C656" s="23" t="n"/>
      <c r="D656" s="23" t="n"/>
      <c r="E656" s="26" t="n"/>
      <c r="F656" s="25" t="n"/>
      <c r="G656" s="17">
        <f>IF(D656="Sale",E656*F656,IF(D656="Return",-E656*F656,""))</f>
        <v/>
      </c>
      <c r="H656" s="17">
        <f>IFERROR(IF(D656="Sale",E656*INDEX(Products!$E$6:$E$205,MATCH(C656,Products!$B$6:$B$205,0)),IF(D656="Return",-E656*INDEX(Products!$E$6:$E$205,MATCH(C656,Products!$B$6:$B$205,0)),"")),"")</f>
        <v/>
      </c>
      <c r="I656" s="24" t="n"/>
      <c r="J656" s="1" t="n"/>
    </row>
    <row r="657">
      <c r="A657" s="1" t="n"/>
      <c r="B657" s="30" t="n"/>
      <c r="C657" s="23" t="n"/>
      <c r="D657" s="23" t="n"/>
      <c r="E657" s="26" t="n"/>
      <c r="F657" s="25" t="n"/>
      <c r="G657" s="17">
        <f>IF(D657="Sale",E657*F657,IF(D657="Return",-E657*F657,""))</f>
        <v/>
      </c>
      <c r="H657" s="17">
        <f>IFERROR(IF(D657="Sale",E657*INDEX(Products!$E$6:$E$205,MATCH(C657,Products!$B$6:$B$205,0)),IF(D657="Return",-E657*INDEX(Products!$E$6:$E$205,MATCH(C657,Products!$B$6:$B$205,0)),"")),"")</f>
        <v/>
      </c>
      <c r="I657" s="24" t="n"/>
      <c r="J657" s="1" t="n"/>
    </row>
    <row r="658">
      <c r="A658" s="1" t="n"/>
      <c r="B658" s="30" t="n"/>
      <c r="C658" s="23" t="n"/>
      <c r="D658" s="23" t="n"/>
      <c r="E658" s="26" t="n"/>
      <c r="F658" s="25" t="n"/>
      <c r="G658" s="17">
        <f>IF(D658="Sale",E658*F658,IF(D658="Return",-E658*F658,""))</f>
        <v/>
      </c>
      <c r="H658" s="17">
        <f>IFERROR(IF(D658="Sale",E658*INDEX(Products!$E$6:$E$205,MATCH(C658,Products!$B$6:$B$205,0)),IF(D658="Return",-E658*INDEX(Products!$E$6:$E$205,MATCH(C658,Products!$B$6:$B$205,0)),"")),"")</f>
        <v/>
      </c>
      <c r="I658" s="24" t="n"/>
      <c r="J658" s="1" t="n"/>
    </row>
    <row r="659">
      <c r="A659" s="1" t="n"/>
      <c r="B659" s="30" t="n"/>
      <c r="C659" s="23" t="n"/>
      <c r="D659" s="23" t="n"/>
      <c r="E659" s="26" t="n"/>
      <c r="F659" s="25" t="n"/>
      <c r="G659" s="17">
        <f>IF(D659="Sale",E659*F659,IF(D659="Return",-E659*F659,""))</f>
        <v/>
      </c>
      <c r="H659" s="17">
        <f>IFERROR(IF(D659="Sale",E659*INDEX(Products!$E$6:$E$205,MATCH(C659,Products!$B$6:$B$205,0)),IF(D659="Return",-E659*INDEX(Products!$E$6:$E$205,MATCH(C659,Products!$B$6:$B$205,0)),"")),"")</f>
        <v/>
      </c>
      <c r="I659" s="24" t="n"/>
      <c r="J659" s="1" t="n"/>
    </row>
    <row r="660">
      <c r="A660" s="1" t="n"/>
      <c r="B660" s="30" t="n"/>
      <c r="C660" s="23" t="n"/>
      <c r="D660" s="23" t="n"/>
      <c r="E660" s="26" t="n"/>
      <c r="F660" s="25" t="n"/>
      <c r="G660" s="17">
        <f>IF(D660="Sale",E660*F660,IF(D660="Return",-E660*F660,""))</f>
        <v/>
      </c>
      <c r="H660" s="17">
        <f>IFERROR(IF(D660="Sale",E660*INDEX(Products!$E$6:$E$205,MATCH(C660,Products!$B$6:$B$205,0)),IF(D660="Return",-E660*INDEX(Products!$E$6:$E$205,MATCH(C660,Products!$B$6:$B$205,0)),"")),"")</f>
        <v/>
      </c>
      <c r="I660" s="24" t="n"/>
      <c r="J660" s="1" t="n"/>
    </row>
    <row r="661">
      <c r="A661" s="1" t="n"/>
      <c r="B661" s="30" t="n"/>
      <c r="C661" s="23" t="n"/>
      <c r="D661" s="23" t="n"/>
      <c r="E661" s="26" t="n"/>
      <c r="F661" s="25" t="n"/>
      <c r="G661" s="17">
        <f>IF(D661="Sale",E661*F661,IF(D661="Return",-E661*F661,""))</f>
        <v/>
      </c>
      <c r="H661" s="17">
        <f>IFERROR(IF(D661="Sale",E661*INDEX(Products!$E$6:$E$205,MATCH(C661,Products!$B$6:$B$205,0)),IF(D661="Return",-E661*INDEX(Products!$E$6:$E$205,MATCH(C661,Products!$B$6:$B$205,0)),"")),"")</f>
        <v/>
      </c>
      <c r="I661" s="24" t="n"/>
      <c r="J661" s="1" t="n"/>
    </row>
    <row r="662">
      <c r="A662" s="1" t="n"/>
      <c r="B662" s="30" t="n"/>
      <c r="C662" s="23" t="n"/>
      <c r="D662" s="23" t="n"/>
      <c r="E662" s="26" t="n"/>
      <c r="F662" s="25" t="n"/>
      <c r="G662" s="17">
        <f>IF(D662="Sale",E662*F662,IF(D662="Return",-E662*F662,""))</f>
        <v/>
      </c>
      <c r="H662" s="17">
        <f>IFERROR(IF(D662="Sale",E662*INDEX(Products!$E$6:$E$205,MATCH(C662,Products!$B$6:$B$205,0)),IF(D662="Return",-E662*INDEX(Products!$E$6:$E$205,MATCH(C662,Products!$B$6:$B$205,0)),"")),"")</f>
        <v/>
      </c>
      <c r="I662" s="24" t="n"/>
      <c r="J662" s="1" t="n"/>
    </row>
    <row r="663">
      <c r="A663" s="1" t="n"/>
      <c r="B663" s="30" t="n"/>
      <c r="C663" s="23" t="n"/>
      <c r="D663" s="23" t="n"/>
      <c r="E663" s="26" t="n"/>
      <c r="F663" s="25" t="n"/>
      <c r="G663" s="17">
        <f>IF(D663="Sale",E663*F663,IF(D663="Return",-E663*F663,""))</f>
        <v/>
      </c>
      <c r="H663" s="17">
        <f>IFERROR(IF(D663="Sale",E663*INDEX(Products!$E$6:$E$205,MATCH(C663,Products!$B$6:$B$205,0)),IF(D663="Return",-E663*INDEX(Products!$E$6:$E$205,MATCH(C663,Products!$B$6:$B$205,0)),"")),"")</f>
        <v/>
      </c>
      <c r="I663" s="24" t="n"/>
      <c r="J663" s="1" t="n"/>
    </row>
    <row r="664">
      <c r="A664" s="1" t="n"/>
      <c r="B664" s="30" t="n"/>
      <c r="C664" s="23" t="n"/>
      <c r="D664" s="23" t="n"/>
      <c r="E664" s="26" t="n"/>
      <c r="F664" s="25" t="n"/>
      <c r="G664" s="17">
        <f>IF(D664="Sale",E664*F664,IF(D664="Return",-E664*F664,""))</f>
        <v/>
      </c>
      <c r="H664" s="17">
        <f>IFERROR(IF(D664="Sale",E664*INDEX(Products!$E$6:$E$205,MATCH(C664,Products!$B$6:$B$205,0)),IF(D664="Return",-E664*INDEX(Products!$E$6:$E$205,MATCH(C664,Products!$B$6:$B$205,0)),"")),"")</f>
        <v/>
      </c>
      <c r="I664" s="24" t="n"/>
      <c r="J664" s="1" t="n"/>
    </row>
    <row r="665">
      <c r="A665" s="1" t="n"/>
      <c r="B665" s="30" t="n"/>
      <c r="C665" s="23" t="n"/>
      <c r="D665" s="23" t="n"/>
      <c r="E665" s="26" t="n"/>
      <c r="F665" s="25" t="n"/>
      <c r="G665" s="17">
        <f>IF(D665="Sale",E665*F665,IF(D665="Return",-E665*F665,""))</f>
        <v/>
      </c>
      <c r="H665" s="17">
        <f>IFERROR(IF(D665="Sale",E665*INDEX(Products!$E$6:$E$205,MATCH(C665,Products!$B$6:$B$205,0)),IF(D665="Return",-E665*INDEX(Products!$E$6:$E$205,MATCH(C665,Products!$B$6:$B$205,0)),"")),"")</f>
        <v/>
      </c>
      <c r="I665" s="24" t="n"/>
      <c r="J665" s="1" t="n"/>
    </row>
    <row r="666">
      <c r="A666" s="1" t="n"/>
      <c r="B666" s="30" t="n"/>
      <c r="C666" s="23" t="n"/>
      <c r="D666" s="23" t="n"/>
      <c r="E666" s="26" t="n"/>
      <c r="F666" s="25" t="n"/>
      <c r="G666" s="17">
        <f>IF(D666="Sale",E666*F666,IF(D666="Return",-E666*F666,""))</f>
        <v/>
      </c>
      <c r="H666" s="17">
        <f>IFERROR(IF(D666="Sale",E666*INDEX(Products!$E$6:$E$205,MATCH(C666,Products!$B$6:$B$205,0)),IF(D666="Return",-E666*INDEX(Products!$E$6:$E$205,MATCH(C666,Products!$B$6:$B$205,0)),"")),"")</f>
        <v/>
      </c>
      <c r="I666" s="24" t="n"/>
      <c r="J666" s="1" t="n"/>
    </row>
    <row r="667">
      <c r="A667" s="1" t="n"/>
      <c r="B667" s="30" t="n"/>
      <c r="C667" s="23" t="n"/>
      <c r="D667" s="23" t="n"/>
      <c r="E667" s="26" t="n"/>
      <c r="F667" s="25" t="n"/>
      <c r="G667" s="17">
        <f>IF(D667="Sale",E667*F667,IF(D667="Return",-E667*F667,""))</f>
        <v/>
      </c>
      <c r="H667" s="17">
        <f>IFERROR(IF(D667="Sale",E667*INDEX(Products!$E$6:$E$205,MATCH(C667,Products!$B$6:$B$205,0)),IF(D667="Return",-E667*INDEX(Products!$E$6:$E$205,MATCH(C667,Products!$B$6:$B$205,0)),"")),"")</f>
        <v/>
      </c>
      <c r="I667" s="24" t="n"/>
      <c r="J667" s="1" t="n"/>
    </row>
    <row r="668">
      <c r="A668" s="1" t="n"/>
      <c r="B668" s="30" t="n"/>
      <c r="C668" s="23" t="n"/>
      <c r="D668" s="23" t="n"/>
      <c r="E668" s="26" t="n"/>
      <c r="F668" s="25" t="n"/>
      <c r="G668" s="17">
        <f>IF(D668="Sale",E668*F668,IF(D668="Return",-E668*F668,""))</f>
        <v/>
      </c>
      <c r="H668" s="17">
        <f>IFERROR(IF(D668="Sale",E668*INDEX(Products!$E$6:$E$205,MATCH(C668,Products!$B$6:$B$205,0)),IF(D668="Return",-E668*INDEX(Products!$E$6:$E$205,MATCH(C668,Products!$B$6:$B$205,0)),"")),"")</f>
        <v/>
      </c>
      <c r="I668" s="24" t="n"/>
      <c r="J668" s="1" t="n"/>
    </row>
    <row r="669">
      <c r="A669" s="1" t="n"/>
      <c r="B669" s="30" t="n"/>
      <c r="C669" s="23" t="n"/>
      <c r="D669" s="23" t="n"/>
      <c r="E669" s="26" t="n"/>
      <c r="F669" s="25" t="n"/>
      <c r="G669" s="17">
        <f>IF(D669="Sale",E669*F669,IF(D669="Return",-E669*F669,""))</f>
        <v/>
      </c>
      <c r="H669" s="17">
        <f>IFERROR(IF(D669="Sale",E669*INDEX(Products!$E$6:$E$205,MATCH(C669,Products!$B$6:$B$205,0)),IF(D669="Return",-E669*INDEX(Products!$E$6:$E$205,MATCH(C669,Products!$B$6:$B$205,0)),"")),"")</f>
        <v/>
      </c>
      <c r="I669" s="24" t="n"/>
      <c r="J669" s="1" t="n"/>
    </row>
    <row r="670">
      <c r="A670" s="1" t="n"/>
      <c r="B670" s="30" t="n"/>
      <c r="C670" s="23" t="n"/>
      <c r="D670" s="23" t="n"/>
      <c r="E670" s="26" t="n"/>
      <c r="F670" s="25" t="n"/>
      <c r="G670" s="17">
        <f>IF(D670="Sale",E670*F670,IF(D670="Return",-E670*F670,""))</f>
        <v/>
      </c>
      <c r="H670" s="17">
        <f>IFERROR(IF(D670="Sale",E670*INDEX(Products!$E$6:$E$205,MATCH(C670,Products!$B$6:$B$205,0)),IF(D670="Return",-E670*INDEX(Products!$E$6:$E$205,MATCH(C670,Products!$B$6:$B$205,0)),"")),"")</f>
        <v/>
      </c>
      <c r="I670" s="24" t="n"/>
      <c r="J670" s="1" t="n"/>
    </row>
    <row r="671">
      <c r="A671" s="1" t="n"/>
      <c r="B671" s="30" t="n"/>
      <c r="C671" s="23" t="n"/>
      <c r="D671" s="23" t="n"/>
      <c r="E671" s="26" t="n"/>
      <c r="F671" s="25" t="n"/>
      <c r="G671" s="17">
        <f>IF(D671="Sale",E671*F671,IF(D671="Return",-E671*F671,""))</f>
        <v/>
      </c>
      <c r="H671" s="17">
        <f>IFERROR(IF(D671="Sale",E671*INDEX(Products!$E$6:$E$205,MATCH(C671,Products!$B$6:$B$205,0)),IF(D671="Return",-E671*INDEX(Products!$E$6:$E$205,MATCH(C671,Products!$B$6:$B$205,0)),"")),"")</f>
        <v/>
      </c>
      <c r="I671" s="24" t="n"/>
      <c r="J671" s="1" t="n"/>
    </row>
    <row r="672">
      <c r="A672" s="1" t="n"/>
      <c r="B672" s="30" t="n"/>
      <c r="C672" s="23" t="n"/>
      <c r="D672" s="23" t="n"/>
      <c r="E672" s="26" t="n"/>
      <c r="F672" s="25" t="n"/>
      <c r="G672" s="17">
        <f>IF(D672="Sale",E672*F672,IF(D672="Return",-E672*F672,""))</f>
        <v/>
      </c>
      <c r="H672" s="17">
        <f>IFERROR(IF(D672="Sale",E672*INDEX(Products!$E$6:$E$205,MATCH(C672,Products!$B$6:$B$205,0)),IF(D672="Return",-E672*INDEX(Products!$E$6:$E$205,MATCH(C672,Products!$B$6:$B$205,0)),"")),"")</f>
        <v/>
      </c>
      <c r="I672" s="24" t="n"/>
      <c r="J672" s="1" t="n"/>
    </row>
    <row r="673">
      <c r="A673" s="1" t="n"/>
      <c r="B673" s="30" t="n"/>
      <c r="C673" s="23" t="n"/>
      <c r="D673" s="23" t="n"/>
      <c r="E673" s="26" t="n"/>
      <c r="F673" s="25" t="n"/>
      <c r="G673" s="17">
        <f>IF(D673="Sale",E673*F673,IF(D673="Return",-E673*F673,""))</f>
        <v/>
      </c>
      <c r="H673" s="17">
        <f>IFERROR(IF(D673="Sale",E673*INDEX(Products!$E$6:$E$205,MATCH(C673,Products!$B$6:$B$205,0)),IF(D673="Return",-E673*INDEX(Products!$E$6:$E$205,MATCH(C673,Products!$B$6:$B$205,0)),"")),"")</f>
        <v/>
      </c>
      <c r="I673" s="24" t="n"/>
      <c r="J673" s="1" t="n"/>
    </row>
    <row r="674">
      <c r="A674" s="1" t="n"/>
      <c r="B674" s="30" t="n"/>
      <c r="C674" s="23" t="n"/>
      <c r="D674" s="23" t="n"/>
      <c r="E674" s="26" t="n"/>
      <c r="F674" s="25" t="n"/>
      <c r="G674" s="17">
        <f>IF(D674="Sale",E674*F674,IF(D674="Return",-E674*F674,""))</f>
        <v/>
      </c>
      <c r="H674" s="17">
        <f>IFERROR(IF(D674="Sale",E674*INDEX(Products!$E$6:$E$205,MATCH(C674,Products!$B$6:$B$205,0)),IF(D674="Return",-E674*INDEX(Products!$E$6:$E$205,MATCH(C674,Products!$B$6:$B$205,0)),"")),"")</f>
        <v/>
      </c>
      <c r="I674" s="24" t="n"/>
      <c r="J674" s="1" t="n"/>
    </row>
    <row r="675">
      <c r="A675" s="1" t="n"/>
      <c r="B675" s="30" t="n"/>
      <c r="C675" s="23" t="n"/>
      <c r="D675" s="23" t="n"/>
      <c r="E675" s="26" t="n"/>
      <c r="F675" s="25" t="n"/>
      <c r="G675" s="17">
        <f>IF(D675="Sale",E675*F675,IF(D675="Return",-E675*F675,""))</f>
        <v/>
      </c>
      <c r="H675" s="17">
        <f>IFERROR(IF(D675="Sale",E675*INDEX(Products!$E$6:$E$205,MATCH(C675,Products!$B$6:$B$205,0)),IF(D675="Return",-E675*INDEX(Products!$E$6:$E$205,MATCH(C675,Products!$B$6:$B$205,0)),"")),"")</f>
        <v/>
      </c>
      <c r="I675" s="24" t="n"/>
      <c r="J675" s="1" t="n"/>
    </row>
    <row r="676">
      <c r="A676" s="1" t="n"/>
      <c r="B676" s="30" t="n"/>
      <c r="C676" s="23" t="n"/>
      <c r="D676" s="23" t="n"/>
      <c r="E676" s="26" t="n"/>
      <c r="F676" s="25" t="n"/>
      <c r="G676" s="17">
        <f>IF(D676="Sale",E676*F676,IF(D676="Return",-E676*F676,""))</f>
        <v/>
      </c>
      <c r="H676" s="17">
        <f>IFERROR(IF(D676="Sale",E676*INDEX(Products!$E$6:$E$205,MATCH(C676,Products!$B$6:$B$205,0)),IF(D676="Return",-E676*INDEX(Products!$E$6:$E$205,MATCH(C676,Products!$B$6:$B$205,0)),"")),"")</f>
        <v/>
      </c>
      <c r="I676" s="24" t="n"/>
      <c r="J676" s="1" t="n"/>
    </row>
    <row r="677">
      <c r="A677" s="1" t="n"/>
      <c r="B677" s="30" t="n"/>
      <c r="C677" s="23" t="n"/>
      <c r="D677" s="23" t="n"/>
      <c r="E677" s="26" t="n"/>
      <c r="F677" s="25" t="n"/>
      <c r="G677" s="17">
        <f>IF(D677="Sale",E677*F677,IF(D677="Return",-E677*F677,""))</f>
        <v/>
      </c>
      <c r="H677" s="17">
        <f>IFERROR(IF(D677="Sale",E677*INDEX(Products!$E$6:$E$205,MATCH(C677,Products!$B$6:$B$205,0)),IF(D677="Return",-E677*INDEX(Products!$E$6:$E$205,MATCH(C677,Products!$B$6:$B$205,0)),"")),"")</f>
        <v/>
      </c>
      <c r="I677" s="24" t="n"/>
      <c r="J677" s="1" t="n"/>
    </row>
    <row r="678">
      <c r="A678" s="1" t="n"/>
      <c r="B678" s="30" t="n"/>
      <c r="C678" s="23" t="n"/>
      <c r="D678" s="23" t="n"/>
      <c r="E678" s="26" t="n"/>
      <c r="F678" s="25" t="n"/>
      <c r="G678" s="17">
        <f>IF(D678="Sale",E678*F678,IF(D678="Return",-E678*F678,""))</f>
        <v/>
      </c>
      <c r="H678" s="17">
        <f>IFERROR(IF(D678="Sale",E678*INDEX(Products!$E$6:$E$205,MATCH(C678,Products!$B$6:$B$205,0)),IF(D678="Return",-E678*INDEX(Products!$E$6:$E$205,MATCH(C678,Products!$B$6:$B$205,0)),"")),"")</f>
        <v/>
      </c>
      <c r="I678" s="24" t="n"/>
      <c r="J678" s="1" t="n"/>
    </row>
    <row r="679">
      <c r="A679" s="1" t="n"/>
      <c r="B679" s="30" t="n"/>
      <c r="C679" s="23" t="n"/>
      <c r="D679" s="23" t="n"/>
      <c r="E679" s="26" t="n"/>
      <c r="F679" s="25" t="n"/>
      <c r="G679" s="17">
        <f>IF(D679="Sale",E679*F679,IF(D679="Return",-E679*F679,""))</f>
        <v/>
      </c>
      <c r="H679" s="17">
        <f>IFERROR(IF(D679="Sale",E679*INDEX(Products!$E$6:$E$205,MATCH(C679,Products!$B$6:$B$205,0)),IF(D679="Return",-E679*INDEX(Products!$E$6:$E$205,MATCH(C679,Products!$B$6:$B$205,0)),"")),"")</f>
        <v/>
      </c>
      <c r="I679" s="24" t="n"/>
      <c r="J679" s="1" t="n"/>
    </row>
    <row r="680">
      <c r="A680" s="1" t="n"/>
      <c r="B680" s="30" t="n"/>
      <c r="C680" s="23" t="n"/>
      <c r="D680" s="23" t="n"/>
      <c r="E680" s="26" t="n"/>
      <c r="F680" s="25" t="n"/>
      <c r="G680" s="17">
        <f>IF(D680="Sale",E680*F680,IF(D680="Return",-E680*F680,""))</f>
        <v/>
      </c>
      <c r="H680" s="17">
        <f>IFERROR(IF(D680="Sale",E680*INDEX(Products!$E$6:$E$205,MATCH(C680,Products!$B$6:$B$205,0)),IF(D680="Return",-E680*INDEX(Products!$E$6:$E$205,MATCH(C680,Products!$B$6:$B$205,0)),"")),"")</f>
        <v/>
      </c>
      <c r="I680" s="24" t="n"/>
      <c r="J680" s="1" t="n"/>
    </row>
    <row r="681">
      <c r="A681" s="1" t="n"/>
      <c r="B681" s="30" t="n"/>
      <c r="C681" s="23" t="n"/>
      <c r="D681" s="23" t="n"/>
      <c r="E681" s="26" t="n"/>
      <c r="F681" s="25" t="n"/>
      <c r="G681" s="17">
        <f>IF(D681="Sale",E681*F681,IF(D681="Return",-E681*F681,""))</f>
        <v/>
      </c>
      <c r="H681" s="17">
        <f>IFERROR(IF(D681="Sale",E681*INDEX(Products!$E$6:$E$205,MATCH(C681,Products!$B$6:$B$205,0)),IF(D681="Return",-E681*INDEX(Products!$E$6:$E$205,MATCH(C681,Products!$B$6:$B$205,0)),"")),"")</f>
        <v/>
      </c>
      <c r="I681" s="24" t="n"/>
      <c r="J681" s="1" t="n"/>
    </row>
    <row r="682">
      <c r="A682" s="1" t="n"/>
      <c r="B682" s="30" t="n"/>
      <c r="C682" s="23" t="n"/>
      <c r="D682" s="23" t="n"/>
      <c r="E682" s="26" t="n"/>
      <c r="F682" s="25" t="n"/>
      <c r="G682" s="17">
        <f>IF(D682="Sale",E682*F682,IF(D682="Return",-E682*F682,""))</f>
        <v/>
      </c>
      <c r="H682" s="17">
        <f>IFERROR(IF(D682="Sale",E682*INDEX(Products!$E$6:$E$205,MATCH(C682,Products!$B$6:$B$205,0)),IF(D682="Return",-E682*INDEX(Products!$E$6:$E$205,MATCH(C682,Products!$B$6:$B$205,0)),"")),"")</f>
        <v/>
      </c>
      <c r="I682" s="24" t="n"/>
      <c r="J682" s="1" t="n"/>
    </row>
    <row r="683">
      <c r="A683" s="1" t="n"/>
      <c r="B683" s="30" t="n"/>
      <c r="C683" s="23" t="n"/>
      <c r="D683" s="23" t="n"/>
      <c r="E683" s="26" t="n"/>
      <c r="F683" s="25" t="n"/>
      <c r="G683" s="17">
        <f>IF(D683="Sale",E683*F683,IF(D683="Return",-E683*F683,""))</f>
        <v/>
      </c>
      <c r="H683" s="17">
        <f>IFERROR(IF(D683="Sale",E683*INDEX(Products!$E$6:$E$205,MATCH(C683,Products!$B$6:$B$205,0)),IF(D683="Return",-E683*INDEX(Products!$E$6:$E$205,MATCH(C683,Products!$B$6:$B$205,0)),"")),"")</f>
        <v/>
      </c>
      <c r="I683" s="24" t="n"/>
      <c r="J683" s="1" t="n"/>
    </row>
    <row r="684">
      <c r="A684" s="1" t="n"/>
      <c r="B684" s="30" t="n"/>
      <c r="C684" s="23" t="n"/>
      <c r="D684" s="23" t="n"/>
      <c r="E684" s="26" t="n"/>
      <c r="F684" s="25" t="n"/>
      <c r="G684" s="17">
        <f>IF(D684="Sale",E684*F684,IF(D684="Return",-E684*F684,""))</f>
        <v/>
      </c>
      <c r="H684" s="17">
        <f>IFERROR(IF(D684="Sale",E684*INDEX(Products!$E$6:$E$205,MATCH(C684,Products!$B$6:$B$205,0)),IF(D684="Return",-E684*INDEX(Products!$E$6:$E$205,MATCH(C684,Products!$B$6:$B$205,0)),"")),"")</f>
        <v/>
      </c>
      <c r="I684" s="24" t="n"/>
      <c r="J684" s="1" t="n"/>
    </row>
    <row r="685">
      <c r="A685" s="1" t="n"/>
      <c r="B685" s="30" t="n"/>
      <c r="C685" s="23" t="n"/>
      <c r="D685" s="23" t="n"/>
      <c r="E685" s="26" t="n"/>
      <c r="F685" s="25" t="n"/>
      <c r="G685" s="17">
        <f>IF(D685="Sale",E685*F685,IF(D685="Return",-E685*F685,""))</f>
        <v/>
      </c>
      <c r="H685" s="17">
        <f>IFERROR(IF(D685="Sale",E685*INDEX(Products!$E$6:$E$205,MATCH(C685,Products!$B$6:$B$205,0)),IF(D685="Return",-E685*INDEX(Products!$E$6:$E$205,MATCH(C685,Products!$B$6:$B$205,0)),"")),"")</f>
        <v/>
      </c>
      <c r="I685" s="24" t="n"/>
      <c r="J685" s="1" t="n"/>
    </row>
    <row r="686">
      <c r="A686" s="1" t="n"/>
      <c r="B686" s="30" t="n"/>
      <c r="C686" s="23" t="n"/>
      <c r="D686" s="23" t="n"/>
      <c r="E686" s="26" t="n"/>
      <c r="F686" s="25" t="n"/>
      <c r="G686" s="17">
        <f>IF(D686="Sale",E686*F686,IF(D686="Return",-E686*F686,""))</f>
        <v/>
      </c>
      <c r="H686" s="17">
        <f>IFERROR(IF(D686="Sale",E686*INDEX(Products!$E$6:$E$205,MATCH(C686,Products!$B$6:$B$205,0)),IF(D686="Return",-E686*INDEX(Products!$E$6:$E$205,MATCH(C686,Products!$B$6:$B$205,0)),"")),"")</f>
        <v/>
      </c>
      <c r="I686" s="24" t="n"/>
      <c r="J686" s="1" t="n"/>
    </row>
    <row r="687">
      <c r="A687" s="1" t="n"/>
      <c r="B687" s="30" t="n"/>
      <c r="C687" s="23" t="n"/>
      <c r="D687" s="23" t="n"/>
      <c r="E687" s="26" t="n"/>
      <c r="F687" s="25" t="n"/>
      <c r="G687" s="17">
        <f>IF(D687="Sale",E687*F687,IF(D687="Return",-E687*F687,""))</f>
        <v/>
      </c>
      <c r="H687" s="17">
        <f>IFERROR(IF(D687="Sale",E687*INDEX(Products!$E$6:$E$205,MATCH(C687,Products!$B$6:$B$205,0)),IF(D687="Return",-E687*INDEX(Products!$E$6:$E$205,MATCH(C687,Products!$B$6:$B$205,0)),"")),"")</f>
        <v/>
      </c>
      <c r="I687" s="24" t="n"/>
      <c r="J687" s="1" t="n"/>
    </row>
    <row r="688">
      <c r="A688" s="1" t="n"/>
      <c r="B688" s="30" t="n"/>
      <c r="C688" s="23" t="n"/>
      <c r="D688" s="23" t="n"/>
      <c r="E688" s="26" t="n"/>
      <c r="F688" s="25" t="n"/>
      <c r="G688" s="17">
        <f>IF(D688="Sale",E688*F688,IF(D688="Return",-E688*F688,""))</f>
        <v/>
      </c>
      <c r="H688" s="17">
        <f>IFERROR(IF(D688="Sale",E688*INDEX(Products!$E$6:$E$205,MATCH(C688,Products!$B$6:$B$205,0)),IF(D688="Return",-E688*INDEX(Products!$E$6:$E$205,MATCH(C688,Products!$B$6:$B$205,0)),"")),"")</f>
        <v/>
      </c>
      <c r="I688" s="24" t="n"/>
      <c r="J688" s="1" t="n"/>
    </row>
    <row r="689">
      <c r="A689" s="1" t="n"/>
      <c r="B689" s="30" t="n"/>
      <c r="C689" s="23" t="n"/>
      <c r="D689" s="23" t="n"/>
      <c r="E689" s="26" t="n"/>
      <c r="F689" s="25" t="n"/>
      <c r="G689" s="17">
        <f>IF(D689="Sale",E689*F689,IF(D689="Return",-E689*F689,""))</f>
        <v/>
      </c>
      <c r="H689" s="17">
        <f>IFERROR(IF(D689="Sale",E689*INDEX(Products!$E$6:$E$205,MATCH(C689,Products!$B$6:$B$205,0)),IF(D689="Return",-E689*INDEX(Products!$E$6:$E$205,MATCH(C689,Products!$B$6:$B$205,0)),"")),"")</f>
        <v/>
      </c>
      <c r="I689" s="24" t="n"/>
      <c r="J689" s="1" t="n"/>
    </row>
    <row r="690">
      <c r="A690" s="1" t="n"/>
      <c r="B690" s="30" t="n"/>
      <c r="C690" s="23" t="n"/>
      <c r="D690" s="23" t="n"/>
      <c r="E690" s="26" t="n"/>
      <c r="F690" s="25" t="n"/>
      <c r="G690" s="17">
        <f>IF(D690="Sale",E690*F690,IF(D690="Return",-E690*F690,""))</f>
        <v/>
      </c>
      <c r="H690" s="17">
        <f>IFERROR(IF(D690="Sale",E690*INDEX(Products!$E$6:$E$205,MATCH(C690,Products!$B$6:$B$205,0)),IF(D690="Return",-E690*INDEX(Products!$E$6:$E$205,MATCH(C690,Products!$B$6:$B$205,0)),"")),"")</f>
        <v/>
      </c>
      <c r="I690" s="24" t="n"/>
      <c r="J690" s="1" t="n"/>
    </row>
    <row r="691">
      <c r="A691" s="1" t="n"/>
      <c r="B691" s="30" t="n"/>
      <c r="C691" s="23" t="n"/>
      <c r="D691" s="23" t="n"/>
      <c r="E691" s="26" t="n"/>
      <c r="F691" s="25" t="n"/>
      <c r="G691" s="17">
        <f>IF(D691="Sale",E691*F691,IF(D691="Return",-E691*F691,""))</f>
        <v/>
      </c>
      <c r="H691" s="17">
        <f>IFERROR(IF(D691="Sale",E691*INDEX(Products!$E$6:$E$205,MATCH(C691,Products!$B$6:$B$205,0)),IF(D691="Return",-E691*INDEX(Products!$E$6:$E$205,MATCH(C691,Products!$B$6:$B$205,0)),"")),"")</f>
        <v/>
      </c>
      <c r="I691" s="24" t="n"/>
      <c r="J691" s="1" t="n"/>
    </row>
    <row r="692">
      <c r="A692" s="1" t="n"/>
      <c r="B692" s="30" t="n"/>
      <c r="C692" s="23" t="n"/>
      <c r="D692" s="23" t="n"/>
      <c r="E692" s="26" t="n"/>
      <c r="F692" s="25" t="n"/>
      <c r="G692" s="17">
        <f>IF(D692="Sale",E692*F692,IF(D692="Return",-E692*F692,""))</f>
        <v/>
      </c>
      <c r="H692" s="17">
        <f>IFERROR(IF(D692="Sale",E692*INDEX(Products!$E$6:$E$205,MATCH(C692,Products!$B$6:$B$205,0)),IF(D692="Return",-E692*INDEX(Products!$E$6:$E$205,MATCH(C692,Products!$B$6:$B$205,0)),"")),"")</f>
        <v/>
      </c>
      <c r="I692" s="24" t="n"/>
      <c r="J692" s="1" t="n"/>
    </row>
    <row r="693">
      <c r="A693" s="1" t="n"/>
      <c r="B693" s="30" t="n"/>
      <c r="C693" s="23" t="n"/>
      <c r="D693" s="23" t="n"/>
      <c r="E693" s="26" t="n"/>
      <c r="F693" s="25" t="n"/>
      <c r="G693" s="17">
        <f>IF(D693="Sale",E693*F693,IF(D693="Return",-E693*F693,""))</f>
        <v/>
      </c>
      <c r="H693" s="17">
        <f>IFERROR(IF(D693="Sale",E693*INDEX(Products!$E$6:$E$205,MATCH(C693,Products!$B$6:$B$205,0)),IF(D693="Return",-E693*INDEX(Products!$E$6:$E$205,MATCH(C693,Products!$B$6:$B$205,0)),"")),"")</f>
        <v/>
      </c>
      <c r="I693" s="24" t="n"/>
      <c r="J693" s="1" t="n"/>
    </row>
    <row r="694">
      <c r="A694" s="1" t="n"/>
      <c r="B694" s="30" t="n"/>
      <c r="C694" s="23" t="n"/>
      <c r="D694" s="23" t="n"/>
      <c r="E694" s="26" t="n"/>
      <c r="F694" s="25" t="n"/>
      <c r="G694" s="17">
        <f>IF(D694="Sale",E694*F694,IF(D694="Return",-E694*F694,""))</f>
        <v/>
      </c>
      <c r="H694" s="17">
        <f>IFERROR(IF(D694="Sale",E694*INDEX(Products!$E$6:$E$205,MATCH(C694,Products!$B$6:$B$205,0)),IF(D694="Return",-E694*INDEX(Products!$E$6:$E$205,MATCH(C694,Products!$B$6:$B$205,0)),"")),"")</f>
        <v/>
      </c>
      <c r="I694" s="24" t="n"/>
      <c r="J694" s="1" t="n"/>
    </row>
    <row r="695">
      <c r="A695" s="1" t="n"/>
      <c r="B695" s="30" t="n"/>
      <c r="C695" s="23" t="n"/>
      <c r="D695" s="23" t="n"/>
      <c r="E695" s="26" t="n"/>
      <c r="F695" s="25" t="n"/>
      <c r="G695" s="17">
        <f>IF(D695="Sale",E695*F695,IF(D695="Return",-E695*F695,""))</f>
        <v/>
      </c>
      <c r="H695" s="17">
        <f>IFERROR(IF(D695="Sale",E695*INDEX(Products!$E$6:$E$205,MATCH(C695,Products!$B$6:$B$205,0)),IF(D695="Return",-E695*INDEX(Products!$E$6:$E$205,MATCH(C695,Products!$B$6:$B$205,0)),"")),"")</f>
        <v/>
      </c>
      <c r="I695" s="24" t="n"/>
      <c r="J695" s="1" t="n"/>
    </row>
    <row r="696">
      <c r="A696" s="1" t="n"/>
      <c r="B696" s="30" t="n"/>
      <c r="C696" s="23" t="n"/>
      <c r="D696" s="23" t="n"/>
      <c r="E696" s="26" t="n"/>
      <c r="F696" s="25" t="n"/>
      <c r="G696" s="17">
        <f>IF(D696="Sale",E696*F696,IF(D696="Return",-E696*F696,""))</f>
        <v/>
      </c>
      <c r="H696" s="17">
        <f>IFERROR(IF(D696="Sale",E696*INDEX(Products!$E$6:$E$205,MATCH(C696,Products!$B$6:$B$205,0)),IF(D696="Return",-E696*INDEX(Products!$E$6:$E$205,MATCH(C696,Products!$B$6:$B$205,0)),"")),"")</f>
        <v/>
      </c>
      <c r="I696" s="24" t="n"/>
      <c r="J696" s="1" t="n"/>
    </row>
    <row r="697">
      <c r="A697" s="1" t="n"/>
      <c r="B697" s="30" t="n"/>
      <c r="C697" s="23" t="n"/>
      <c r="D697" s="23" t="n"/>
      <c r="E697" s="26" t="n"/>
      <c r="F697" s="25" t="n"/>
      <c r="G697" s="17">
        <f>IF(D697="Sale",E697*F697,IF(D697="Return",-E697*F697,""))</f>
        <v/>
      </c>
      <c r="H697" s="17">
        <f>IFERROR(IF(D697="Sale",E697*INDEX(Products!$E$6:$E$205,MATCH(C697,Products!$B$6:$B$205,0)),IF(D697="Return",-E697*INDEX(Products!$E$6:$E$205,MATCH(C697,Products!$B$6:$B$205,0)),"")),"")</f>
        <v/>
      </c>
      <c r="I697" s="24" t="n"/>
      <c r="J697" s="1" t="n"/>
    </row>
    <row r="698">
      <c r="A698" s="1" t="n"/>
      <c r="B698" s="30" t="n"/>
      <c r="C698" s="23" t="n"/>
      <c r="D698" s="23" t="n"/>
      <c r="E698" s="26" t="n"/>
      <c r="F698" s="25" t="n"/>
      <c r="G698" s="17">
        <f>IF(D698="Sale",E698*F698,IF(D698="Return",-E698*F698,""))</f>
        <v/>
      </c>
      <c r="H698" s="17">
        <f>IFERROR(IF(D698="Sale",E698*INDEX(Products!$E$6:$E$205,MATCH(C698,Products!$B$6:$B$205,0)),IF(D698="Return",-E698*INDEX(Products!$E$6:$E$205,MATCH(C698,Products!$B$6:$B$205,0)),"")),"")</f>
        <v/>
      </c>
      <c r="I698" s="24" t="n"/>
      <c r="J698" s="1" t="n"/>
    </row>
    <row r="699">
      <c r="A699" s="1" t="n"/>
      <c r="B699" s="30" t="n"/>
      <c r="C699" s="23" t="n"/>
      <c r="D699" s="23" t="n"/>
      <c r="E699" s="26" t="n"/>
      <c r="F699" s="25" t="n"/>
      <c r="G699" s="17">
        <f>IF(D699="Sale",E699*F699,IF(D699="Return",-E699*F699,""))</f>
        <v/>
      </c>
      <c r="H699" s="17">
        <f>IFERROR(IF(D699="Sale",E699*INDEX(Products!$E$6:$E$205,MATCH(C699,Products!$B$6:$B$205,0)),IF(D699="Return",-E699*INDEX(Products!$E$6:$E$205,MATCH(C699,Products!$B$6:$B$205,0)),"")),"")</f>
        <v/>
      </c>
      <c r="I699" s="24" t="n"/>
      <c r="J699" s="1" t="n"/>
    </row>
    <row r="700">
      <c r="A700" s="1" t="n"/>
      <c r="B700" s="30" t="n"/>
      <c r="C700" s="23" t="n"/>
      <c r="D700" s="23" t="n"/>
      <c r="E700" s="26" t="n"/>
      <c r="F700" s="25" t="n"/>
      <c r="G700" s="17">
        <f>IF(D700="Sale",E700*F700,IF(D700="Return",-E700*F700,""))</f>
        <v/>
      </c>
      <c r="H700" s="17">
        <f>IFERROR(IF(D700="Sale",E700*INDEX(Products!$E$6:$E$205,MATCH(C700,Products!$B$6:$B$205,0)),IF(D700="Return",-E700*INDEX(Products!$E$6:$E$205,MATCH(C700,Products!$B$6:$B$205,0)),"")),"")</f>
        <v/>
      </c>
      <c r="I700" s="24" t="n"/>
      <c r="J700" s="1" t="n"/>
    </row>
    <row r="701">
      <c r="A701" s="1" t="n"/>
      <c r="B701" s="30" t="n"/>
      <c r="C701" s="23" t="n"/>
      <c r="D701" s="23" t="n"/>
      <c r="E701" s="26" t="n"/>
      <c r="F701" s="25" t="n"/>
      <c r="G701" s="17">
        <f>IF(D701="Sale",E701*F701,IF(D701="Return",-E701*F701,""))</f>
        <v/>
      </c>
      <c r="H701" s="17">
        <f>IFERROR(IF(D701="Sale",E701*INDEX(Products!$E$6:$E$205,MATCH(C701,Products!$B$6:$B$205,0)),IF(D701="Return",-E701*INDEX(Products!$E$6:$E$205,MATCH(C701,Products!$B$6:$B$205,0)),"")),"")</f>
        <v/>
      </c>
      <c r="I701" s="24" t="n"/>
      <c r="J701" s="1" t="n"/>
    </row>
    <row r="702">
      <c r="A702" s="1" t="n"/>
      <c r="B702" s="30" t="n"/>
      <c r="C702" s="23" t="n"/>
      <c r="D702" s="23" t="n"/>
      <c r="E702" s="26" t="n"/>
      <c r="F702" s="25" t="n"/>
      <c r="G702" s="17">
        <f>IF(D702="Sale",E702*F702,IF(D702="Return",-E702*F702,""))</f>
        <v/>
      </c>
      <c r="H702" s="17">
        <f>IFERROR(IF(D702="Sale",E702*INDEX(Products!$E$6:$E$205,MATCH(C702,Products!$B$6:$B$205,0)),IF(D702="Return",-E702*INDEX(Products!$E$6:$E$205,MATCH(C702,Products!$B$6:$B$205,0)),"")),"")</f>
        <v/>
      </c>
      <c r="I702" s="24" t="n"/>
      <c r="J702" s="1" t="n"/>
    </row>
    <row r="703">
      <c r="A703" s="1" t="n"/>
      <c r="B703" s="30" t="n"/>
      <c r="C703" s="23" t="n"/>
      <c r="D703" s="23" t="n"/>
      <c r="E703" s="26" t="n"/>
      <c r="F703" s="25" t="n"/>
      <c r="G703" s="17">
        <f>IF(D703="Sale",E703*F703,IF(D703="Return",-E703*F703,""))</f>
        <v/>
      </c>
      <c r="H703" s="17">
        <f>IFERROR(IF(D703="Sale",E703*INDEX(Products!$E$6:$E$205,MATCH(C703,Products!$B$6:$B$205,0)),IF(D703="Return",-E703*INDEX(Products!$E$6:$E$205,MATCH(C703,Products!$B$6:$B$205,0)),"")),"")</f>
        <v/>
      </c>
      <c r="I703" s="24" t="n"/>
      <c r="J703" s="1" t="n"/>
    </row>
    <row r="704">
      <c r="A704" s="1" t="n"/>
      <c r="B704" s="30" t="n"/>
      <c r="C704" s="23" t="n"/>
      <c r="D704" s="23" t="n"/>
      <c r="E704" s="26" t="n"/>
      <c r="F704" s="25" t="n"/>
      <c r="G704" s="17">
        <f>IF(D704="Sale",E704*F704,IF(D704="Return",-E704*F704,""))</f>
        <v/>
      </c>
      <c r="H704" s="17">
        <f>IFERROR(IF(D704="Sale",E704*INDEX(Products!$E$6:$E$205,MATCH(C704,Products!$B$6:$B$205,0)),IF(D704="Return",-E704*INDEX(Products!$E$6:$E$205,MATCH(C704,Products!$B$6:$B$205,0)),"")),"")</f>
        <v/>
      </c>
      <c r="I704" s="24" t="n"/>
      <c r="J704" s="1" t="n"/>
    </row>
    <row r="705">
      <c r="A705" s="1" t="n"/>
      <c r="B705" s="30" t="n"/>
      <c r="C705" s="23" t="n"/>
      <c r="D705" s="23" t="n"/>
      <c r="E705" s="26" t="n"/>
      <c r="F705" s="25" t="n"/>
      <c r="G705" s="17">
        <f>IF(D705="Sale",E705*F705,IF(D705="Return",-E705*F705,""))</f>
        <v/>
      </c>
      <c r="H705" s="17">
        <f>IFERROR(IF(D705="Sale",E705*INDEX(Products!$E$6:$E$205,MATCH(C705,Products!$B$6:$B$205,0)),IF(D705="Return",-E705*INDEX(Products!$E$6:$E$205,MATCH(C705,Products!$B$6:$B$205,0)),"")),"")</f>
        <v/>
      </c>
      <c r="I705" s="24" t="n"/>
      <c r="J705" s="1" t="n"/>
    </row>
    <row r="706">
      <c r="A706" s="1" t="n"/>
      <c r="B706" s="30" t="n"/>
      <c r="C706" s="23" t="n"/>
      <c r="D706" s="23" t="n"/>
      <c r="E706" s="26" t="n"/>
      <c r="F706" s="25" t="n"/>
      <c r="G706" s="17">
        <f>IF(D706="Sale",E706*F706,IF(D706="Return",-E706*F706,""))</f>
        <v/>
      </c>
      <c r="H706" s="17">
        <f>IFERROR(IF(D706="Sale",E706*INDEX(Products!$E$6:$E$205,MATCH(C706,Products!$B$6:$B$205,0)),IF(D706="Return",-E706*INDEX(Products!$E$6:$E$205,MATCH(C706,Products!$B$6:$B$205,0)),"")),"")</f>
        <v/>
      </c>
      <c r="I706" s="24" t="n"/>
      <c r="J706" s="1" t="n"/>
    </row>
    <row r="707">
      <c r="A707" s="1" t="n"/>
      <c r="B707" s="30" t="n"/>
      <c r="C707" s="23" t="n"/>
      <c r="D707" s="23" t="n"/>
      <c r="E707" s="26" t="n"/>
      <c r="F707" s="25" t="n"/>
      <c r="G707" s="17">
        <f>IF(D707="Sale",E707*F707,IF(D707="Return",-E707*F707,""))</f>
        <v/>
      </c>
      <c r="H707" s="17">
        <f>IFERROR(IF(D707="Sale",E707*INDEX(Products!$E$6:$E$205,MATCH(C707,Products!$B$6:$B$205,0)),IF(D707="Return",-E707*INDEX(Products!$E$6:$E$205,MATCH(C707,Products!$B$6:$B$205,0)),"")),"")</f>
        <v/>
      </c>
      <c r="I707" s="24" t="n"/>
      <c r="J707" s="1" t="n"/>
    </row>
    <row r="708">
      <c r="A708" s="1" t="n"/>
      <c r="B708" s="30" t="n"/>
      <c r="C708" s="23" t="n"/>
      <c r="D708" s="23" t="n"/>
      <c r="E708" s="26" t="n"/>
      <c r="F708" s="25" t="n"/>
      <c r="G708" s="17">
        <f>IF(D708="Sale",E708*F708,IF(D708="Return",-E708*F708,""))</f>
        <v/>
      </c>
      <c r="H708" s="17">
        <f>IFERROR(IF(D708="Sale",E708*INDEX(Products!$E$6:$E$205,MATCH(C708,Products!$B$6:$B$205,0)),IF(D708="Return",-E708*INDEX(Products!$E$6:$E$205,MATCH(C708,Products!$B$6:$B$205,0)),"")),"")</f>
        <v/>
      </c>
      <c r="I708" s="24" t="n"/>
      <c r="J708" s="1" t="n"/>
    </row>
    <row r="709">
      <c r="A709" s="1" t="n"/>
      <c r="B709" s="30" t="n"/>
      <c r="C709" s="23" t="n"/>
      <c r="D709" s="23" t="n"/>
      <c r="E709" s="26" t="n"/>
      <c r="F709" s="25" t="n"/>
      <c r="G709" s="17">
        <f>IF(D709="Sale",E709*F709,IF(D709="Return",-E709*F709,""))</f>
        <v/>
      </c>
      <c r="H709" s="17">
        <f>IFERROR(IF(D709="Sale",E709*INDEX(Products!$E$6:$E$205,MATCH(C709,Products!$B$6:$B$205,0)),IF(D709="Return",-E709*INDEX(Products!$E$6:$E$205,MATCH(C709,Products!$B$6:$B$205,0)),"")),"")</f>
        <v/>
      </c>
      <c r="I709" s="24" t="n"/>
      <c r="J709" s="1" t="n"/>
    </row>
    <row r="710">
      <c r="A710" s="1" t="n"/>
      <c r="B710" s="30" t="n"/>
      <c r="C710" s="23" t="n"/>
      <c r="D710" s="23" t="n"/>
      <c r="E710" s="26" t="n"/>
      <c r="F710" s="25" t="n"/>
      <c r="G710" s="17">
        <f>IF(D710="Sale",E710*F710,IF(D710="Return",-E710*F710,""))</f>
        <v/>
      </c>
      <c r="H710" s="17">
        <f>IFERROR(IF(D710="Sale",E710*INDEX(Products!$E$6:$E$205,MATCH(C710,Products!$B$6:$B$205,0)),IF(D710="Return",-E710*INDEX(Products!$E$6:$E$205,MATCH(C710,Products!$B$6:$B$205,0)),"")),"")</f>
        <v/>
      </c>
      <c r="I710" s="24" t="n"/>
      <c r="J710" s="1" t="n"/>
    </row>
    <row r="711">
      <c r="A711" s="1" t="n"/>
      <c r="B711" s="30" t="n"/>
      <c r="C711" s="23" t="n"/>
      <c r="D711" s="23" t="n"/>
      <c r="E711" s="26" t="n"/>
      <c r="F711" s="25" t="n"/>
      <c r="G711" s="17">
        <f>IF(D711="Sale",E711*F711,IF(D711="Return",-E711*F711,""))</f>
        <v/>
      </c>
      <c r="H711" s="17">
        <f>IFERROR(IF(D711="Sale",E711*INDEX(Products!$E$6:$E$205,MATCH(C711,Products!$B$6:$B$205,0)),IF(D711="Return",-E711*INDEX(Products!$E$6:$E$205,MATCH(C711,Products!$B$6:$B$205,0)),"")),"")</f>
        <v/>
      </c>
      <c r="I711" s="24" t="n"/>
      <c r="J711" s="1" t="n"/>
    </row>
    <row r="712">
      <c r="A712" s="1" t="n"/>
      <c r="B712" s="30" t="n"/>
      <c r="C712" s="23" t="n"/>
      <c r="D712" s="23" t="n"/>
      <c r="E712" s="26" t="n"/>
      <c r="F712" s="25" t="n"/>
      <c r="G712" s="17">
        <f>IF(D712="Sale",E712*F712,IF(D712="Return",-E712*F712,""))</f>
        <v/>
      </c>
      <c r="H712" s="17">
        <f>IFERROR(IF(D712="Sale",E712*INDEX(Products!$E$6:$E$205,MATCH(C712,Products!$B$6:$B$205,0)),IF(D712="Return",-E712*INDEX(Products!$E$6:$E$205,MATCH(C712,Products!$B$6:$B$205,0)),"")),"")</f>
        <v/>
      </c>
      <c r="I712" s="24" t="n"/>
      <c r="J712" s="1" t="n"/>
    </row>
    <row r="713">
      <c r="A713" s="1" t="n"/>
      <c r="B713" s="30" t="n"/>
      <c r="C713" s="23" t="n"/>
      <c r="D713" s="23" t="n"/>
      <c r="E713" s="26" t="n"/>
      <c r="F713" s="25" t="n"/>
      <c r="G713" s="17">
        <f>IF(D713="Sale",E713*F713,IF(D713="Return",-E713*F713,""))</f>
        <v/>
      </c>
      <c r="H713" s="17">
        <f>IFERROR(IF(D713="Sale",E713*INDEX(Products!$E$6:$E$205,MATCH(C713,Products!$B$6:$B$205,0)),IF(D713="Return",-E713*INDEX(Products!$E$6:$E$205,MATCH(C713,Products!$B$6:$B$205,0)),"")),"")</f>
        <v/>
      </c>
      <c r="I713" s="24" t="n"/>
      <c r="J713" s="1" t="n"/>
    </row>
    <row r="714">
      <c r="A714" s="1" t="n"/>
      <c r="B714" s="30" t="n"/>
      <c r="C714" s="23" t="n"/>
      <c r="D714" s="23" t="n"/>
      <c r="E714" s="26" t="n"/>
      <c r="F714" s="25" t="n"/>
      <c r="G714" s="17">
        <f>IF(D714="Sale",E714*F714,IF(D714="Return",-E714*F714,""))</f>
        <v/>
      </c>
      <c r="H714" s="17">
        <f>IFERROR(IF(D714="Sale",E714*INDEX(Products!$E$6:$E$205,MATCH(C714,Products!$B$6:$B$205,0)),IF(D714="Return",-E714*INDEX(Products!$E$6:$E$205,MATCH(C714,Products!$B$6:$B$205,0)),"")),"")</f>
        <v/>
      </c>
      <c r="I714" s="24" t="n"/>
      <c r="J714" s="1" t="n"/>
    </row>
    <row r="715">
      <c r="A715" s="1" t="n"/>
      <c r="B715" s="30" t="n"/>
      <c r="C715" s="23" t="n"/>
      <c r="D715" s="23" t="n"/>
      <c r="E715" s="26" t="n"/>
      <c r="F715" s="25" t="n"/>
      <c r="G715" s="17">
        <f>IF(D715="Sale",E715*F715,IF(D715="Return",-E715*F715,""))</f>
        <v/>
      </c>
      <c r="H715" s="17">
        <f>IFERROR(IF(D715="Sale",E715*INDEX(Products!$E$6:$E$205,MATCH(C715,Products!$B$6:$B$205,0)),IF(D715="Return",-E715*INDEX(Products!$E$6:$E$205,MATCH(C715,Products!$B$6:$B$205,0)),"")),"")</f>
        <v/>
      </c>
      <c r="I715" s="24" t="n"/>
      <c r="J715" s="1" t="n"/>
    </row>
    <row r="716">
      <c r="A716" s="1" t="n"/>
      <c r="B716" s="30" t="n"/>
      <c r="C716" s="23" t="n"/>
      <c r="D716" s="23" t="n"/>
      <c r="E716" s="26" t="n"/>
      <c r="F716" s="25" t="n"/>
      <c r="G716" s="17">
        <f>IF(D716="Sale",E716*F716,IF(D716="Return",-E716*F716,""))</f>
        <v/>
      </c>
      <c r="H716" s="17">
        <f>IFERROR(IF(D716="Sale",E716*INDEX(Products!$E$6:$E$205,MATCH(C716,Products!$B$6:$B$205,0)),IF(D716="Return",-E716*INDEX(Products!$E$6:$E$205,MATCH(C716,Products!$B$6:$B$205,0)),"")),"")</f>
        <v/>
      </c>
      <c r="I716" s="24" t="n"/>
      <c r="J716" s="1" t="n"/>
    </row>
    <row r="717">
      <c r="A717" s="1" t="n"/>
      <c r="B717" s="30" t="n"/>
      <c r="C717" s="23" t="n"/>
      <c r="D717" s="23" t="n"/>
      <c r="E717" s="26" t="n"/>
      <c r="F717" s="25" t="n"/>
      <c r="G717" s="17">
        <f>IF(D717="Sale",E717*F717,IF(D717="Return",-E717*F717,""))</f>
        <v/>
      </c>
      <c r="H717" s="17">
        <f>IFERROR(IF(D717="Sale",E717*INDEX(Products!$E$6:$E$205,MATCH(C717,Products!$B$6:$B$205,0)),IF(D717="Return",-E717*INDEX(Products!$E$6:$E$205,MATCH(C717,Products!$B$6:$B$205,0)),"")),"")</f>
        <v/>
      </c>
      <c r="I717" s="24" t="n"/>
      <c r="J717" s="1" t="n"/>
    </row>
    <row r="718">
      <c r="A718" s="1" t="n"/>
      <c r="B718" s="30" t="n"/>
      <c r="C718" s="23" t="n"/>
      <c r="D718" s="23" t="n"/>
      <c r="E718" s="26" t="n"/>
      <c r="F718" s="25" t="n"/>
      <c r="G718" s="17">
        <f>IF(D718="Sale",E718*F718,IF(D718="Return",-E718*F718,""))</f>
        <v/>
      </c>
      <c r="H718" s="17">
        <f>IFERROR(IF(D718="Sale",E718*INDEX(Products!$E$6:$E$205,MATCH(C718,Products!$B$6:$B$205,0)),IF(D718="Return",-E718*INDEX(Products!$E$6:$E$205,MATCH(C718,Products!$B$6:$B$205,0)),"")),"")</f>
        <v/>
      </c>
      <c r="I718" s="24" t="n"/>
      <c r="J718" s="1" t="n"/>
    </row>
    <row r="719">
      <c r="A719" s="1" t="n"/>
      <c r="B719" s="30" t="n"/>
      <c r="C719" s="23" t="n"/>
      <c r="D719" s="23" t="n"/>
      <c r="E719" s="26" t="n"/>
      <c r="F719" s="25" t="n"/>
      <c r="G719" s="17">
        <f>IF(D719="Sale",E719*F719,IF(D719="Return",-E719*F719,""))</f>
        <v/>
      </c>
      <c r="H719" s="17">
        <f>IFERROR(IF(D719="Sale",E719*INDEX(Products!$E$6:$E$205,MATCH(C719,Products!$B$6:$B$205,0)),IF(D719="Return",-E719*INDEX(Products!$E$6:$E$205,MATCH(C719,Products!$B$6:$B$205,0)),"")),"")</f>
        <v/>
      </c>
      <c r="I719" s="24" t="n"/>
      <c r="J719" s="1" t="n"/>
    </row>
    <row r="720">
      <c r="A720" s="1" t="n"/>
      <c r="B720" s="30" t="n"/>
      <c r="C720" s="23" t="n"/>
      <c r="D720" s="23" t="n"/>
      <c r="E720" s="26" t="n"/>
      <c r="F720" s="25" t="n"/>
      <c r="G720" s="17">
        <f>IF(D720="Sale",E720*F720,IF(D720="Return",-E720*F720,""))</f>
        <v/>
      </c>
      <c r="H720" s="17">
        <f>IFERROR(IF(D720="Sale",E720*INDEX(Products!$E$6:$E$205,MATCH(C720,Products!$B$6:$B$205,0)),IF(D720="Return",-E720*INDEX(Products!$E$6:$E$205,MATCH(C720,Products!$B$6:$B$205,0)),"")),"")</f>
        <v/>
      </c>
      <c r="I720" s="24" t="n"/>
      <c r="J720" s="1" t="n"/>
    </row>
    <row r="721">
      <c r="A721" s="1" t="n"/>
      <c r="B721" s="30" t="n"/>
      <c r="C721" s="23" t="n"/>
      <c r="D721" s="23" t="n"/>
      <c r="E721" s="26" t="n"/>
      <c r="F721" s="25" t="n"/>
      <c r="G721" s="17">
        <f>IF(D721="Sale",E721*F721,IF(D721="Return",-E721*F721,""))</f>
        <v/>
      </c>
      <c r="H721" s="17">
        <f>IFERROR(IF(D721="Sale",E721*INDEX(Products!$E$6:$E$205,MATCH(C721,Products!$B$6:$B$205,0)),IF(D721="Return",-E721*INDEX(Products!$E$6:$E$205,MATCH(C721,Products!$B$6:$B$205,0)),"")),"")</f>
        <v/>
      </c>
      <c r="I721" s="24" t="n"/>
      <c r="J721" s="1" t="n"/>
    </row>
    <row r="722">
      <c r="A722" s="1" t="n"/>
      <c r="B722" s="30" t="n"/>
      <c r="C722" s="23" t="n"/>
      <c r="D722" s="23" t="n"/>
      <c r="E722" s="26" t="n"/>
      <c r="F722" s="25" t="n"/>
      <c r="G722" s="17">
        <f>IF(D722="Sale",E722*F722,IF(D722="Return",-E722*F722,""))</f>
        <v/>
      </c>
      <c r="H722" s="17">
        <f>IFERROR(IF(D722="Sale",E722*INDEX(Products!$E$6:$E$205,MATCH(C722,Products!$B$6:$B$205,0)),IF(D722="Return",-E722*INDEX(Products!$E$6:$E$205,MATCH(C722,Products!$B$6:$B$205,0)),"")),"")</f>
        <v/>
      </c>
      <c r="I722" s="24" t="n"/>
      <c r="J722" s="1" t="n"/>
    </row>
    <row r="723">
      <c r="A723" s="1" t="n"/>
      <c r="B723" s="30" t="n"/>
      <c r="C723" s="23" t="n"/>
      <c r="D723" s="23" t="n"/>
      <c r="E723" s="26" t="n"/>
      <c r="F723" s="25" t="n"/>
      <c r="G723" s="17">
        <f>IF(D723="Sale",E723*F723,IF(D723="Return",-E723*F723,""))</f>
        <v/>
      </c>
      <c r="H723" s="17">
        <f>IFERROR(IF(D723="Sale",E723*INDEX(Products!$E$6:$E$205,MATCH(C723,Products!$B$6:$B$205,0)),IF(D723="Return",-E723*INDEX(Products!$E$6:$E$205,MATCH(C723,Products!$B$6:$B$205,0)),"")),"")</f>
        <v/>
      </c>
      <c r="I723" s="24" t="n"/>
      <c r="J723" s="1" t="n"/>
    </row>
    <row r="724">
      <c r="A724" s="1" t="n"/>
      <c r="B724" s="30" t="n"/>
      <c r="C724" s="23" t="n"/>
      <c r="D724" s="23" t="n"/>
      <c r="E724" s="26" t="n"/>
      <c r="F724" s="25" t="n"/>
      <c r="G724" s="17">
        <f>IF(D724="Sale",E724*F724,IF(D724="Return",-E724*F724,""))</f>
        <v/>
      </c>
      <c r="H724" s="17">
        <f>IFERROR(IF(D724="Sale",E724*INDEX(Products!$E$6:$E$205,MATCH(C724,Products!$B$6:$B$205,0)),IF(D724="Return",-E724*INDEX(Products!$E$6:$E$205,MATCH(C724,Products!$B$6:$B$205,0)),"")),"")</f>
        <v/>
      </c>
      <c r="I724" s="24" t="n"/>
      <c r="J724" s="1" t="n"/>
    </row>
    <row r="725">
      <c r="A725" s="1" t="n"/>
      <c r="B725" s="30" t="n"/>
      <c r="C725" s="23" t="n"/>
      <c r="D725" s="23" t="n"/>
      <c r="E725" s="26" t="n"/>
      <c r="F725" s="25" t="n"/>
      <c r="G725" s="17">
        <f>IF(D725="Sale",E725*F725,IF(D725="Return",-E725*F725,""))</f>
        <v/>
      </c>
      <c r="H725" s="17">
        <f>IFERROR(IF(D725="Sale",E725*INDEX(Products!$E$6:$E$205,MATCH(C725,Products!$B$6:$B$205,0)),IF(D725="Return",-E725*INDEX(Products!$E$6:$E$205,MATCH(C725,Products!$B$6:$B$205,0)),"")),"")</f>
        <v/>
      </c>
      <c r="I725" s="24" t="n"/>
      <c r="J725" s="1" t="n"/>
    </row>
    <row r="726">
      <c r="A726" s="1" t="n"/>
      <c r="B726" s="30" t="n"/>
      <c r="C726" s="23" t="n"/>
      <c r="D726" s="23" t="n"/>
      <c r="E726" s="26" t="n"/>
      <c r="F726" s="25" t="n"/>
      <c r="G726" s="17">
        <f>IF(D726="Sale",E726*F726,IF(D726="Return",-E726*F726,""))</f>
        <v/>
      </c>
      <c r="H726" s="17">
        <f>IFERROR(IF(D726="Sale",E726*INDEX(Products!$E$6:$E$205,MATCH(C726,Products!$B$6:$B$205,0)),IF(D726="Return",-E726*INDEX(Products!$E$6:$E$205,MATCH(C726,Products!$B$6:$B$205,0)),"")),"")</f>
        <v/>
      </c>
      <c r="I726" s="24" t="n"/>
      <c r="J726" s="1" t="n"/>
    </row>
    <row r="727">
      <c r="A727" s="1" t="n"/>
      <c r="B727" s="30" t="n"/>
      <c r="C727" s="23" t="n"/>
      <c r="D727" s="23" t="n"/>
      <c r="E727" s="26" t="n"/>
      <c r="F727" s="25" t="n"/>
      <c r="G727" s="17">
        <f>IF(D727="Sale",E727*F727,IF(D727="Return",-E727*F727,""))</f>
        <v/>
      </c>
      <c r="H727" s="17">
        <f>IFERROR(IF(D727="Sale",E727*INDEX(Products!$E$6:$E$205,MATCH(C727,Products!$B$6:$B$205,0)),IF(D727="Return",-E727*INDEX(Products!$E$6:$E$205,MATCH(C727,Products!$B$6:$B$205,0)),"")),"")</f>
        <v/>
      </c>
      <c r="I727" s="24" t="n"/>
      <c r="J727" s="1" t="n"/>
    </row>
    <row r="728">
      <c r="A728" s="1" t="n"/>
      <c r="B728" s="30" t="n"/>
      <c r="C728" s="23" t="n"/>
      <c r="D728" s="23" t="n"/>
      <c r="E728" s="26" t="n"/>
      <c r="F728" s="25" t="n"/>
      <c r="G728" s="17">
        <f>IF(D728="Sale",E728*F728,IF(D728="Return",-E728*F728,""))</f>
        <v/>
      </c>
      <c r="H728" s="17">
        <f>IFERROR(IF(D728="Sale",E728*INDEX(Products!$E$6:$E$205,MATCH(C728,Products!$B$6:$B$205,0)),IF(D728="Return",-E728*INDEX(Products!$E$6:$E$205,MATCH(C728,Products!$B$6:$B$205,0)),"")),"")</f>
        <v/>
      </c>
      <c r="I728" s="24" t="n"/>
      <c r="J728" s="1" t="n"/>
    </row>
    <row r="729">
      <c r="A729" s="1" t="n"/>
      <c r="B729" s="30" t="n"/>
      <c r="C729" s="23" t="n"/>
      <c r="D729" s="23" t="n"/>
      <c r="E729" s="26" t="n"/>
      <c r="F729" s="25" t="n"/>
      <c r="G729" s="17">
        <f>IF(D729="Sale",E729*F729,IF(D729="Return",-E729*F729,""))</f>
        <v/>
      </c>
      <c r="H729" s="17">
        <f>IFERROR(IF(D729="Sale",E729*INDEX(Products!$E$6:$E$205,MATCH(C729,Products!$B$6:$B$205,0)),IF(D729="Return",-E729*INDEX(Products!$E$6:$E$205,MATCH(C729,Products!$B$6:$B$205,0)),"")),"")</f>
        <v/>
      </c>
      <c r="I729" s="24" t="n"/>
      <c r="J729" s="1" t="n"/>
    </row>
    <row r="730">
      <c r="A730" s="1" t="n"/>
      <c r="B730" s="30" t="n"/>
      <c r="C730" s="23" t="n"/>
      <c r="D730" s="23" t="n"/>
      <c r="E730" s="26" t="n"/>
      <c r="F730" s="25" t="n"/>
      <c r="G730" s="17">
        <f>IF(D730="Sale",E730*F730,IF(D730="Return",-E730*F730,""))</f>
        <v/>
      </c>
      <c r="H730" s="17">
        <f>IFERROR(IF(D730="Sale",E730*INDEX(Products!$E$6:$E$205,MATCH(C730,Products!$B$6:$B$205,0)),IF(D730="Return",-E730*INDEX(Products!$E$6:$E$205,MATCH(C730,Products!$B$6:$B$205,0)),"")),"")</f>
        <v/>
      </c>
      <c r="I730" s="24" t="n"/>
      <c r="J730" s="1" t="n"/>
    </row>
    <row r="731">
      <c r="A731" s="1" t="n"/>
      <c r="B731" s="30" t="n"/>
      <c r="C731" s="23" t="n"/>
      <c r="D731" s="23" t="n"/>
      <c r="E731" s="26" t="n"/>
      <c r="F731" s="25" t="n"/>
      <c r="G731" s="17">
        <f>IF(D731="Sale",E731*F731,IF(D731="Return",-E731*F731,""))</f>
        <v/>
      </c>
      <c r="H731" s="17">
        <f>IFERROR(IF(D731="Sale",E731*INDEX(Products!$E$6:$E$205,MATCH(C731,Products!$B$6:$B$205,0)),IF(D731="Return",-E731*INDEX(Products!$E$6:$E$205,MATCH(C731,Products!$B$6:$B$205,0)),"")),"")</f>
        <v/>
      </c>
      <c r="I731" s="24" t="n"/>
      <c r="J731" s="1" t="n"/>
    </row>
    <row r="732">
      <c r="A732" s="1" t="n"/>
      <c r="B732" s="30" t="n"/>
      <c r="C732" s="23" t="n"/>
      <c r="D732" s="23" t="n"/>
      <c r="E732" s="26" t="n"/>
      <c r="F732" s="25" t="n"/>
      <c r="G732" s="17">
        <f>IF(D732="Sale",E732*F732,IF(D732="Return",-E732*F732,""))</f>
        <v/>
      </c>
      <c r="H732" s="17">
        <f>IFERROR(IF(D732="Sale",E732*INDEX(Products!$E$6:$E$205,MATCH(C732,Products!$B$6:$B$205,0)),IF(D732="Return",-E732*INDEX(Products!$E$6:$E$205,MATCH(C732,Products!$B$6:$B$205,0)),"")),"")</f>
        <v/>
      </c>
      <c r="I732" s="24" t="n"/>
      <c r="J732" s="1" t="n"/>
    </row>
    <row r="733">
      <c r="A733" s="1" t="n"/>
      <c r="B733" s="30" t="n"/>
      <c r="C733" s="23" t="n"/>
      <c r="D733" s="23" t="n"/>
      <c r="E733" s="26" t="n"/>
      <c r="F733" s="25" t="n"/>
      <c r="G733" s="17">
        <f>IF(D733="Sale",E733*F733,IF(D733="Return",-E733*F733,""))</f>
        <v/>
      </c>
      <c r="H733" s="17">
        <f>IFERROR(IF(D733="Sale",E733*INDEX(Products!$E$6:$E$205,MATCH(C733,Products!$B$6:$B$205,0)),IF(D733="Return",-E733*INDEX(Products!$E$6:$E$205,MATCH(C733,Products!$B$6:$B$205,0)),"")),"")</f>
        <v/>
      </c>
      <c r="I733" s="24" t="n"/>
      <c r="J733" s="1" t="n"/>
    </row>
    <row r="734">
      <c r="A734" s="1" t="n"/>
      <c r="B734" s="30" t="n"/>
      <c r="C734" s="23" t="n"/>
      <c r="D734" s="23" t="n"/>
      <c r="E734" s="26" t="n"/>
      <c r="F734" s="25" t="n"/>
      <c r="G734" s="17">
        <f>IF(D734="Sale",E734*F734,IF(D734="Return",-E734*F734,""))</f>
        <v/>
      </c>
      <c r="H734" s="17">
        <f>IFERROR(IF(D734="Sale",E734*INDEX(Products!$E$6:$E$205,MATCH(C734,Products!$B$6:$B$205,0)),IF(D734="Return",-E734*INDEX(Products!$E$6:$E$205,MATCH(C734,Products!$B$6:$B$205,0)),"")),"")</f>
        <v/>
      </c>
      <c r="I734" s="24" t="n"/>
      <c r="J734" s="1" t="n"/>
    </row>
    <row r="735">
      <c r="A735" s="1" t="n"/>
      <c r="B735" s="30" t="n"/>
      <c r="C735" s="23" t="n"/>
      <c r="D735" s="23" t="n"/>
      <c r="E735" s="26" t="n"/>
      <c r="F735" s="25" t="n"/>
      <c r="G735" s="17">
        <f>IF(D735="Sale",E735*F735,IF(D735="Return",-E735*F735,""))</f>
        <v/>
      </c>
      <c r="H735" s="17">
        <f>IFERROR(IF(D735="Sale",E735*INDEX(Products!$E$6:$E$205,MATCH(C735,Products!$B$6:$B$205,0)),IF(D735="Return",-E735*INDEX(Products!$E$6:$E$205,MATCH(C735,Products!$B$6:$B$205,0)),"")),"")</f>
        <v/>
      </c>
      <c r="I735" s="24" t="n"/>
      <c r="J735" s="1" t="n"/>
    </row>
    <row r="736">
      <c r="A736" s="1" t="n"/>
      <c r="B736" s="30" t="n"/>
      <c r="C736" s="23" t="n"/>
      <c r="D736" s="23" t="n"/>
      <c r="E736" s="26" t="n"/>
      <c r="F736" s="25" t="n"/>
      <c r="G736" s="17">
        <f>IF(D736="Sale",E736*F736,IF(D736="Return",-E736*F736,""))</f>
        <v/>
      </c>
      <c r="H736" s="17">
        <f>IFERROR(IF(D736="Sale",E736*INDEX(Products!$E$6:$E$205,MATCH(C736,Products!$B$6:$B$205,0)),IF(D736="Return",-E736*INDEX(Products!$E$6:$E$205,MATCH(C736,Products!$B$6:$B$205,0)),"")),"")</f>
        <v/>
      </c>
      <c r="I736" s="24" t="n"/>
      <c r="J736" s="1" t="n"/>
    </row>
    <row r="737">
      <c r="A737" s="1" t="n"/>
      <c r="B737" s="30" t="n"/>
      <c r="C737" s="23" t="n"/>
      <c r="D737" s="23" t="n"/>
      <c r="E737" s="26" t="n"/>
      <c r="F737" s="25" t="n"/>
      <c r="G737" s="17">
        <f>IF(D737="Sale",E737*F737,IF(D737="Return",-E737*F737,""))</f>
        <v/>
      </c>
      <c r="H737" s="17">
        <f>IFERROR(IF(D737="Sale",E737*INDEX(Products!$E$6:$E$205,MATCH(C737,Products!$B$6:$B$205,0)),IF(D737="Return",-E737*INDEX(Products!$E$6:$E$205,MATCH(C737,Products!$B$6:$B$205,0)),"")),"")</f>
        <v/>
      </c>
      <c r="I737" s="24" t="n"/>
      <c r="J737" s="1" t="n"/>
    </row>
    <row r="738">
      <c r="A738" s="1" t="n"/>
      <c r="B738" s="30" t="n"/>
      <c r="C738" s="23" t="n"/>
      <c r="D738" s="23" t="n"/>
      <c r="E738" s="26" t="n"/>
      <c r="F738" s="25" t="n"/>
      <c r="G738" s="17">
        <f>IF(D738="Sale",E738*F738,IF(D738="Return",-E738*F738,""))</f>
        <v/>
      </c>
      <c r="H738" s="17">
        <f>IFERROR(IF(D738="Sale",E738*INDEX(Products!$E$6:$E$205,MATCH(C738,Products!$B$6:$B$205,0)),IF(D738="Return",-E738*INDEX(Products!$E$6:$E$205,MATCH(C738,Products!$B$6:$B$205,0)),"")),"")</f>
        <v/>
      </c>
      <c r="I738" s="24" t="n"/>
      <c r="J738" s="1" t="n"/>
    </row>
    <row r="739">
      <c r="A739" s="1" t="n"/>
      <c r="B739" s="30" t="n"/>
      <c r="C739" s="23" t="n"/>
      <c r="D739" s="23" t="n"/>
      <c r="E739" s="26" t="n"/>
      <c r="F739" s="25" t="n"/>
      <c r="G739" s="17">
        <f>IF(D739="Sale",E739*F739,IF(D739="Return",-E739*F739,""))</f>
        <v/>
      </c>
      <c r="H739" s="17">
        <f>IFERROR(IF(D739="Sale",E739*INDEX(Products!$E$6:$E$205,MATCH(C739,Products!$B$6:$B$205,0)),IF(D739="Return",-E739*INDEX(Products!$E$6:$E$205,MATCH(C739,Products!$B$6:$B$205,0)),"")),"")</f>
        <v/>
      </c>
      <c r="I739" s="24" t="n"/>
      <c r="J739" s="1" t="n"/>
    </row>
    <row r="740">
      <c r="A740" s="1" t="n"/>
      <c r="B740" s="30" t="n"/>
      <c r="C740" s="23" t="n"/>
      <c r="D740" s="23" t="n"/>
      <c r="E740" s="26" t="n"/>
      <c r="F740" s="25" t="n"/>
      <c r="G740" s="17">
        <f>IF(D740="Sale",E740*F740,IF(D740="Return",-E740*F740,""))</f>
        <v/>
      </c>
      <c r="H740" s="17">
        <f>IFERROR(IF(D740="Sale",E740*INDEX(Products!$E$6:$E$205,MATCH(C740,Products!$B$6:$B$205,0)),IF(D740="Return",-E740*INDEX(Products!$E$6:$E$205,MATCH(C740,Products!$B$6:$B$205,0)),"")),"")</f>
        <v/>
      </c>
      <c r="I740" s="24" t="n"/>
      <c r="J740" s="1" t="n"/>
    </row>
    <row r="741">
      <c r="A741" s="1" t="n"/>
      <c r="B741" s="30" t="n"/>
      <c r="C741" s="23" t="n"/>
      <c r="D741" s="23" t="n"/>
      <c r="E741" s="26" t="n"/>
      <c r="F741" s="25" t="n"/>
      <c r="G741" s="17">
        <f>IF(D741="Sale",E741*F741,IF(D741="Return",-E741*F741,""))</f>
        <v/>
      </c>
      <c r="H741" s="17">
        <f>IFERROR(IF(D741="Sale",E741*INDEX(Products!$E$6:$E$205,MATCH(C741,Products!$B$6:$B$205,0)),IF(D741="Return",-E741*INDEX(Products!$E$6:$E$205,MATCH(C741,Products!$B$6:$B$205,0)),"")),"")</f>
        <v/>
      </c>
      <c r="I741" s="24" t="n"/>
      <c r="J741" s="1" t="n"/>
    </row>
    <row r="742">
      <c r="A742" s="1" t="n"/>
      <c r="B742" s="30" t="n"/>
      <c r="C742" s="23" t="n"/>
      <c r="D742" s="23" t="n"/>
      <c r="E742" s="26" t="n"/>
      <c r="F742" s="25" t="n"/>
      <c r="G742" s="17">
        <f>IF(D742="Sale",E742*F742,IF(D742="Return",-E742*F742,""))</f>
        <v/>
      </c>
      <c r="H742" s="17">
        <f>IFERROR(IF(D742="Sale",E742*INDEX(Products!$E$6:$E$205,MATCH(C742,Products!$B$6:$B$205,0)),IF(D742="Return",-E742*INDEX(Products!$E$6:$E$205,MATCH(C742,Products!$B$6:$B$205,0)),"")),"")</f>
        <v/>
      </c>
      <c r="I742" s="24" t="n"/>
      <c r="J742" s="1" t="n"/>
    </row>
    <row r="743">
      <c r="A743" s="1" t="n"/>
      <c r="B743" s="30" t="n"/>
      <c r="C743" s="23" t="n"/>
      <c r="D743" s="23" t="n"/>
      <c r="E743" s="26" t="n"/>
      <c r="F743" s="25" t="n"/>
      <c r="G743" s="17">
        <f>IF(D743="Sale",E743*F743,IF(D743="Return",-E743*F743,""))</f>
        <v/>
      </c>
      <c r="H743" s="17">
        <f>IFERROR(IF(D743="Sale",E743*INDEX(Products!$E$6:$E$205,MATCH(C743,Products!$B$6:$B$205,0)),IF(D743="Return",-E743*INDEX(Products!$E$6:$E$205,MATCH(C743,Products!$B$6:$B$205,0)),"")),"")</f>
        <v/>
      </c>
      <c r="I743" s="24" t="n"/>
      <c r="J743" s="1" t="n"/>
    </row>
    <row r="744">
      <c r="A744" s="1" t="n"/>
      <c r="B744" s="30" t="n"/>
      <c r="C744" s="23" t="n"/>
      <c r="D744" s="23" t="n"/>
      <c r="E744" s="26" t="n"/>
      <c r="F744" s="25" t="n"/>
      <c r="G744" s="17">
        <f>IF(D744="Sale",E744*F744,IF(D744="Return",-E744*F744,""))</f>
        <v/>
      </c>
      <c r="H744" s="17">
        <f>IFERROR(IF(D744="Sale",E744*INDEX(Products!$E$6:$E$205,MATCH(C744,Products!$B$6:$B$205,0)),IF(D744="Return",-E744*INDEX(Products!$E$6:$E$205,MATCH(C744,Products!$B$6:$B$205,0)),"")),"")</f>
        <v/>
      </c>
      <c r="I744" s="24" t="n"/>
      <c r="J744" s="1" t="n"/>
    </row>
    <row r="745">
      <c r="A745" s="1" t="n"/>
      <c r="B745" s="30" t="n"/>
      <c r="C745" s="23" t="n"/>
      <c r="D745" s="23" t="n"/>
      <c r="E745" s="26" t="n"/>
      <c r="F745" s="25" t="n"/>
      <c r="G745" s="17">
        <f>IF(D745="Sale",E745*F745,IF(D745="Return",-E745*F745,""))</f>
        <v/>
      </c>
      <c r="H745" s="17">
        <f>IFERROR(IF(D745="Sale",E745*INDEX(Products!$E$6:$E$205,MATCH(C745,Products!$B$6:$B$205,0)),IF(D745="Return",-E745*INDEX(Products!$E$6:$E$205,MATCH(C745,Products!$B$6:$B$205,0)),"")),"")</f>
        <v/>
      </c>
      <c r="I745" s="24" t="n"/>
      <c r="J745" s="1" t="n"/>
    </row>
    <row r="746">
      <c r="A746" s="1" t="n"/>
      <c r="B746" s="30" t="n"/>
      <c r="C746" s="23" t="n"/>
      <c r="D746" s="23" t="n"/>
      <c r="E746" s="26" t="n"/>
      <c r="F746" s="25" t="n"/>
      <c r="G746" s="17">
        <f>IF(D746="Sale",E746*F746,IF(D746="Return",-E746*F746,""))</f>
        <v/>
      </c>
      <c r="H746" s="17">
        <f>IFERROR(IF(D746="Sale",E746*INDEX(Products!$E$6:$E$205,MATCH(C746,Products!$B$6:$B$205,0)),IF(D746="Return",-E746*INDEX(Products!$E$6:$E$205,MATCH(C746,Products!$B$6:$B$205,0)),"")),"")</f>
        <v/>
      </c>
      <c r="I746" s="24" t="n"/>
      <c r="J746" s="1" t="n"/>
    </row>
    <row r="747">
      <c r="A747" s="1" t="n"/>
      <c r="B747" s="30" t="n"/>
      <c r="C747" s="23" t="n"/>
      <c r="D747" s="23" t="n"/>
      <c r="E747" s="26" t="n"/>
      <c r="F747" s="25" t="n"/>
      <c r="G747" s="17">
        <f>IF(D747="Sale",E747*F747,IF(D747="Return",-E747*F747,""))</f>
        <v/>
      </c>
      <c r="H747" s="17">
        <f>IFERROR(IF(D747="Sale",E747*INDEX(Products!$E$6:$E$205,MATCH(C747,Products!$B$6:$B$205,0)),IF(D747="Return",-E747*INDEX(Products!$E$6:$E$205,MATCH(C747,Products!$B$6:$B$205,0)),"")),"")</f>
        <v/>
      </c>
      <c r="I747" s="24" t="n"/>
      <c r="J747" s="1" t="n"/>
    </row>
    <row r="748">
      <c r="A748" s="1" t="n"/>
      <c r="B748" s="30" t="n"/>
      <c r="C748" s="23" t="n"/>
      <c r="D748" s="23" t="n"/>
      <c r="E748" s="26" t="n"/>
      <c r="F748" s="25" t="n"/>
      <c r="G748" s="17">
        <f>IF(D748="Sale",E748*F748,IF(D748="Return",-E748*F748,""))</f>
        <v/>
      </c>
      <c r="H748" s="17">
        <f>IFERROR(IF(D748="Sale",E748*INDEX(Products!$E$6:$E$205,MATCH(C748,Products!$B$6:$B$205,0)),IF(D748="Return",-E748*INDEX(Products!$E$6:$E$205,MATCH(C748,Products!$B$6:$B$205,0)),"")),"")</f>
        <v/>
      </c>
      <c r="I748" s="24" t="n"/>
      <c r="J748" s="1" t="n"/>
    </row>
    <row r="749">
      <c r="A749" s="1" t="n"/>
      <c r="B749" s="30" t="n"/>
      <c r="C749" s="23" t="n"/>
      <c r="D749" s="23" t="n"/>
      <c r="E749" s="26" t="n"/>
      <c r="F749" s="25" t="n"/>
      <c r="G749" s="17">
        <f>IF(D749="Sale",E749*F749,IF(D749="Return",-E749*F749,""))</f>
        <v/>
      </c>
      <c r="H749" s="17">
        <f>IFERROR(IF(D749="Sale",E749*INDEX(Products!$E$6:$E$205,MATCH(C749,Products!$B$6:$B$205,0)),IF(D749="Return",-E749*INDEX(Products!$E$6:$E$205,MATCH(C749,Products!$B$6:$B$205,0)),"")),"")</f>
        <v/>
      </c>
      <c r="I749" s="24" t="n"/>
      <c r="J749" s="1" t="n"/>
    </row>
    <row r="750">
      <c r="A750" s="1" t="n"/>
      <c r="B750" s="30" t="n"/>
      <c r="C750" s="23" t="n"/>
      <c r="D750" s="23" t="n"/>
      <c r="E750" s="26" t="n"/>
      <c r="F750" s="25" t="n"/>
      <c r="G750" s="17">
        <f>IF(D750="Sale",E750*F750,IF(D750="Return",-E750*F750,""))</f>
        <v/>
      </c>
      <c r="H750" s="17">
        <f>IFERROR(IF(D750="Sale",E750*INDEX(Products!$E$6:$E$205,MATCH(C750,Products!$B$6:$B$205,0)),IF(D750="Return",-E750*INDEX(Products!$E$6:$E$205,MATCH(C750,Products!$B$6:$B$205,0)),"")),"")</f>
        <v/>
      </c>
      <c r="I750" s="24" t="n"/>
      <c r="J750" s="1" t="n"/>
    </row>
    <row r="751">
      <c r="A751" s="1" t="n"/>
      <c r="B751" s="30" t="n"/>
      <c r="C751" s="23" t="n"/>
      <c r="D751" s="23" t="n"/>
      <c r="E751" s="26" t="n"/>
      <c r="F751" s="25" t="n"/>
      <c r="G751" s="17">
        <f>IF(D751="Sale",E751*F751,IF(D751="Return",-E751*F751,""))</f>
        <v/>
      </c>
      <c r="H751" s="17">
        <f>IFERROR(IF(D751="Sale",E751*INDEX(Products!$E$6:$E$205,MATCH(C751,Products!$B$6:$B$205,0)),IF(D751="Return",-E751*INDEX(Products!$E$6:$E$205,MATCH(C751,Products!$B$6:$B$205,0)),"")),"")</f>
        <v/>
      </c>
      <c r="I751" s="24" t="n"/>
      <c r="J751" s="1" t="n"/>
    </row>
    <row r="752">
      <c r="A752" s="1" t="n"/>
      <c r="B752" s="30" t="n"/>
      <c r="C752" s="23" t="n"/>
      <c r="D752" s="23" t="n"/>
      <c r="E752" s="26" t="n"/>
      <c r="F752" s="25" t="n"/>
      <c r="G752" s="17">
        <f>IF(D752="Sale",E752*F752,IF(D752="Return",-E752*F752,""))</f>
        <v/>
      </c>
      <c r="H752" s="17">
        <f>IFERROR(IF(D752="Sale",E752*INDEX(Products!$E$6:$E$205,MATCH(C752,Products!$B$6:$B$205,0)),IF(D752="Return",-E752*INDEX(Products!$E$6:$E$205,MATCH(C752,Products!$B$6:$B$205,0)),"")),"")</f>
        <v/>
      </c>
      <c r="I752" s="24" t="n"/>
      <c r="J752" s="1" t="n"/>
    </row>
    <row r="753">
      <c r="A753" s="1" t="n"/>
      <c r="B753" s="30" t="n"/>
      <c r="C753" s="23" t="n"/>
      <c r="D753" s="23" t="n"/>
      <c r="E753" s="26" t="n"/>
      <c r="F753" s="25" t="n"/>
      <c r="G753" s="17">
        <f>IF(D753="Sale",E753*F753,IF(D753="Return",-E753*F753,""))</f>
        <v/>
      </c>
      <c r="H753" s="17">
        <f>IFERROR(IF(D753="Sale",E753*INDEX(Products!$E$6:$E$205,MATCH(C753,Products!$B$6:$B$205,0)),IF(D753="Return",-E753*INDEX(Products!$E$6:$E$205,MATCH(C753,Products!$B$6:$B$205,0)),"")),"")</f>
        <v/>
      </c>
      <c r="I753" s="24" t="n"/>
      <c r="J753" s="1" t="n"/>
    </row>
    <row r="754">
      <c r="A754" s="1" t="n"/>
      <c r="B754" s="30" t="n"/>
      <c r="C754" s="23" t="n"/>
      <c r="D754" s="23" t="n"/>
      <c r="E754" s="26" t="n"/>
      <c r="F754" s="25" t="n"/>
      <c r="G754" s="17">
        <f>IF(D754="Sale",E754*F754,IF(D754="Return",-E754*F754,""))</f>
        <v/>
      </c>
      <c r="H754" s="17">
        <f>IFERROR(IF(D754="Sale",E754*INDEX(Products!$E$6:$E$205,MATCH(C754,Products!$B$6:$B$205,0)),IF(D754="Return",-E754*INDEX(Products!$E$6:$E$205,MATCH(C754,Products!$B$6:$B$205,0)),"")),"")</f>
        <v/>
      </c>
      <c r="I754" s="24" t="n"/>
      <c r="J754" s="1" t="n"/>
    </row>
    <row r="755">
      <c r="A755" s="1" t="n"/>
      <c r="B755" s="30" t="n"/>
      <c r="C755" s="23" t="n"/>
      <c r="D755" s="23" t="n"/>
      <c r="E755" s="26" t="n"/>
      <c r="F755" s="25" t="n"/>
      <c r="G755" s="17">
        <f>IF(D755="Sale",E755*F755,IF(D755="Return",-E755*F755,""))</f>
        <v/>
      </c>
      <c r="H755" s="17">
        <f>IFERROR(IF(D755="Sale",E755*INDEX(Products!$E$6:$E$205,MATCH(C755,Products!$B$6:$B$205,0)),IF(D755="Return",-E755*INDEX(Products!$E$6:$E$205,MATCH(C755,Products!$B$6:$B$205,0)),"")),"")</f>
        <v/>
      </c>
      <c r="I755" s="24" t="n"/>
      <c r="J755" s="1" t="n"/>
    </row>
    <row r="756">
      <c r="A756" s="1" t="n"/>
      <c r="B756" s="30" t="n"/>
      <c r="C756" s="23" t="n"/>
      <c r="D756" s="23" t="n"/>
      <c r="E756" s="26" t="n"/>
      <c r="F756" s="25" t="n"/>
      <c r="G756" s="17">
        <f>IF(D756="Sale",E756*F756,IF(D756="Return",-E756*F756,""))</f>
        <v/>
      </c>
      <c r="H756" s="17">
        <f>IFERROR(IF(D756="Sale",E756*INDEX(Products!$E$6:$E$205,MATCH(C756,Products!$B$6:$B$205,0)),IF(D756="Return",-E756*INDEX(Products!$E$6:$E$205,MATCH(C756,Products!$B$6:$B$205,0)),"")),"")</f>
        <v/>
      </c>
      <c r="I756" s="24" t="n"/>
      <c r="J756" s="1" t="n"/>
    </row>
    <row r="757">
      <c r="A757" s="1" t="n"/>
      <c r="B757" s="30" t="n"/>
      <c r="C757" s="23" t="n"/>
      <c r="D757" s="23" t="n"/>
      <c r="E757" s="26" t="n"/>
      <c r="F757" s="25" t="n"/>
      <c r="G757" s="17">
        <f>IF(D757="Sale",E757*F757,IF(D757="Return",-E757*F757,""))</f>
        <v/>
      </c>
      <c r="H757" s="17">
        <f>IFERROR(IF(D757="Sale",E757*INDEX(Products!$E$6:$E$205,MATCH(C757,Products!$B$6:$B$205,0)),IF(D757="Return",-E757*INDEX(Products!$E$6:$E$205,MATCH(C757,Products!$B$6:$B$205,0)),"")),"")</f>
        <v/>
      </c>
      <c r="I757" s="24" t="n"/>
      <c r="J757" s="1" t="n"/>
    </row>
    <row r="758">
      <c r="A758" s="1" t="n"/>
      <c r="B758" s="30" t="n"/>
      <c r="C758" s="23" t="n"/>
      <c r="D758" s="23" t="n"/>
      <c r="E758" s="26" t="n"/>
      <c r="F758" s="25" t="n"/>
      <c r="G758" s="17">
        <f>IF(D758="Sale",E758*F758,IF(D758="Return",-E758*F758,""))</f>
        <v/>
      </c>
      <c r="H758" s="17">
        <f>IFERROR(IF(D758="Sale",E758*INDEX(Products!$E$6:$E$205,MATCH(C758,Products!$B$6:$B$205,0)),IF(D758="Return",-E758*INDEX(Products!$E$6:$E$205,MATCH(C758,Products!$B$6:$B$205,0)),"")),"")</f>
        <v/>
      </c>
      <c r="I758" s="24" t="n"/>
      <c r="J758" s="1" t="n"/>
    </row>
    <row r="759">
      <c r="A759" s="1" t="n"/>
      <c r="B759" s="30" t="n"/>
      <c r="C759" s="23" t="n"/>
      <c r="D759" s="23" t="n"/>
      <c r="E759" s="26" t="n"/>
      <c r="F759" s="25" t="n"/>
      <c r="G759" s="17">
        <f>IF(D759="Sale",E759*F759,IF(D759="Return",-E759*F759,""))</f>
        <v/>
      </c>
      <c r="H759" s="17">
        <f>IFERROR(IF(D759="Sale",E759*INDEX(Products!$E$6:$E$205,MATCH(C759,Products!$B$6:$B$205,0)),IF(D759="Return",-E759*INDEX(Products!$E$6:$E$205,MATCH(C759,Products!$B$6:$B$205,0)),"")),"")</f>
        <v/>
      </c>
      <c r="I759" s="24" t="n"/>
      <c r="J759" s="1" t="n"/>
    </row>
    <row r="760">
      <c r="A760" s="1" t="n"/>
      <c r="B760" s="30" t="n"/>
      <c r="C760" s="23" t="n"/>
      <c r="D760" s="23" t="n"/>
      <c r="E760" s="26" t="n"/>
      <c r="F760" s="25" t="n"/>
      <c r="G760" s="17">
        <f>IF(D760="Sale",E760*F760,IF(D760="Return",-E760*F760,""))</f>
        <v/>
      </c>
      <c r="H760" s="17">
        <f>IFERROR(IF(D760="Sale",E760*INDEX(Products!$E$6:$E$205,MATCH(C760,Products!$B$6:$B$205,0)),IF(D760="Return",-E760*INDEX(Products!$E$6:$E$205,MATCH(C760,Products!$B$6:$B$205,0)),"")),"")</f>
        <v/>
      </c>
      <c r="I760" s="24" t="n"/>
      <c r="J760" s="1" t="n"/>
    </row>
    <row r="761">
      <c r="A761" s="1" t="n"/>
      <c r="B761" s="30" t="n"/>
      <c r="C761" s="23" t="n"/>
      <c r="D761" s="23" t="n"/>
      <c r="E761" s="26" t="n"/>
      <c r="F761" s="25" t="n"/>
      <c r="G761" s="17">
        <f>IF(D761="Sale",E761*F761,IF(D761="Return",-E761*F761,""))</f>
        <v/>
      </c>
      <c r="H761" s="17">
        <f>IFERROR(IF(D761="Sale",E761*INDEX(Products!$E$6:$E$205,MATCH(C761,Products!$B$6:$B$205,0)),IF(D761="Return",-E761*INDEX(Products!$E$6:$E$205,MATCH(C761,Products!$B$6:$B$205,0)),"")),"")</f>
        <v/>
      </c>
      <c r="I761" s="24" t="n"/>
      <c r="J761" s="1" t="n"/>
    </row>
    <row r="762">
      <c r="A762" s="1" t="n"/>
      <c r="B762" s="30" t="n"/>
      <c r="C762" s="23" t="n"/>
      <c r="D762" s="23" t="n"/>
      <c r="E762" s="26" t="n"/>
      <c r="F762" s="25" t="n"/>
      <c r="G762" s="17">
        <f>IF(D762="Sale",E762*F762,IF(D762="Return",-E762*F762,""))</f>
        <v/>
      </c>
      <c r="H762" s="17">
        <f>IFERROR(IF(D762="Sale",E762*INDEX(Products!$E$6:$E$205,MATCH(C762,Products!$B$6:$B$205,0)),IF(D762="Return",-E762*INDEX(Products!$E$6:$E$205,MATCH(C762,Products!$B$6:$B$205,0)),"")),"")</f>
        <v/>
      </c>
      <c r="I762" s="24" t="n"/>
      <c r="J762" s="1" t="n"/>
    </row>
    <row r="763">
      <c r="A763" s="1" t="n"/>
      <c r="B763" s="30" t="n"/>
      <c r="C763" s="23" t="n"/>
      <c r="D763" s="23" t="n"/>
      <c r="E763" s="26" t="n"/>
      <c r="F763" s="25" t="n"/>
      <c r="G763" s="17">
        <f>IF(D763="Sale",E763*F763,IF(D763="Return",-E763*F763,""))</f>
        <v/>
      </c>
      <c r="H763" s="17">
        <f>IFERROR(IF(D763="Sale",E763*INDEX(Products!$E$6:$E$205,MATCH(C763,Products!$B$6:$B$205,0)),IF(D763="Return",-E763*INDEX(Products!$E$6:$E$205,MATCH(C763,Products!$B$6:$B$205,0)),"")),"")</f>
        <v/>
      </c>
      <c r="I763" s="24" t="n"/>
      <c r="J763" s="1" t="n"/>
    </row>
    <row r="764">
      <c r="A764" s="1" t="n"/>
      <c r="B764" s="30" t="n"/>
      <c r="C764" s="23" t="n"/>
      <c r="D764" s="23" t="n"/>
      <c r="E764" s="26" t="n"/>
      <c r="F764" s="25" t="n"/>
      <c r="G764" s="17">
        <f>IF(D764="Sale",E764*F764,IF(D764="Return",-E764*F764,""))</f>
        <v/>
      </c>
      <c r="H764" s="17">
        <f>IFERROR(IF(D764="Sale",E764*INDEX(Products!$E$6:$E$205,MATCH(C764,Products!$B$6:$B$205,0)),IF(D764="Return",-E764*INDEX(Products!$E$6:$E$205,MATCH(C764,Products!$B$6:$B$205,0)),"")),"")</f>
        <v/>
      </c>
      <c r="I764" s="24" t="n"/>
      <c r="J764" s="1" t="n"/>
    </row>
    <row r="765">
      <c r="A765" s="1" t="n"/>
      <c r="B765" s="30" t="n"/>
      <c r="C765" s="23" t="n"/>
      <c r="D765" s="23" t="n"/>
      <c r="E765" s="26" t="n"/>
      <c r="F765" s="25" t="n"/>
      <c r="G765" s="17">
        <f>IF(D765="Sale",E765*F765,IF(D765="Return",-E765*F765,""))</f>
        <v/>
      </c>
      <c r="H765" s="17">
        <f>IFERROR(IF(D765="Sale",E765*INDEX(Products!$E$6:$E$205,MATCH(C765,Products!$B$6:$B$205,0)),IF(D765="Return",-E765*INDEX(Products!$E$6:$E$205,MATCH(C765,Products!$B$6:$B$205,0)),"")),"")</f>
        <v/>
      </c>
      <c r="I765" s="24" t="n"/>
      <c r="J765" s="1" t="n"/>
    </row>
    <row r="766">
      <c r="A766" s="1" t="n"/>
      <c r="B766" s="30" t="n"/>
      <c r="C766" s="23" t="n"/>
      <c r="D766" s="23" t="n"/>
      <c r="E766" s="26" t="n"/>
      <c r="F766" s="25" t="n"/>
      <c r="G766" s="17">
        <f>IF(D766="Sale",E766*F766,IF(D766="Return",-E766*F766,""))</f>
        <v/>
      </c>
      <c r="H766" s="17">
        <f>IFERROR(IF(D766="Sale",E766*INDEX(Products!$E$6:$E$205,MATCH(C766,Products!$B$6:$B$205,0)),IF(D766="Return",-E766*INDEX(Products!$E$6:$E$205,MATCH(C766,Products!$B$6:$B$205,0)),"")),"")</f>
        <v/>
      </c>
      <c r="I766" s="24" t="n"/>
      <c r="J766" s="1" t="n"/>
    </row>
    <row r="767">
      <c r="A767" s="1" t="n"/>
      <c r="B767" s="30" t="n"/>
      <c r="C767" s="23" t="n"/>
      <c r="D767" s="23" t="n"/>
      <c r="E767" s="26" t="n"/>
      <c r="F767" s="25" t="n"/>
      <c r="G767" s="17">
        <f>IF(D767="Sale",E767*F767,IF(D767="Return",-E767*F767,""))</f>
        <v/>
      </c>
      <c r="H767" s="17">
        <f>IFERROR(IF(D767="Sale",E767*INDEX(Products!$E$6:$E$205,MATCH(C767,Products!$B$6:$B$205,0)),IF(D767="Return",-E767*INDEX(Products!$E$6:$E$205,MATCH(C767,Products!$B$6:$B$205,0)),"")),"")</f>
        <v/>
      </c>
      <c r="I767" s="24" t="n"/>
      <c r="J767" s="1" t="n"/>
    </row>
    <row r="768">
      <c r="A768" s="1" t="n"/>
      <c r="B768" s="30" t="n"/>
      <c r="C768" s="23" t="n"/>
      <c r="D768" s="23" t="n"/>
      <c r="E768" s="26" t="n"/>
      <c r="F768" s="25" t="n"/>
      <c r="G768" s="17">
        <f>IF(D768="Sale",E768*F768,IF(D768="Return",-E768*F768,""))</f>
        <v/>
      </c>
      <c r="H768" s="17">
        <f>IFERROR(IF(D768="Sale",E768*INDEX(Products!$E$6:$E$205,MATCH(C768,Products!$B$6:$B$205,0)),IF(D768="Return",-E768*INDEX(Products!$E$6:$E$205,MATCH(C768,Products!$B$6:$B$205,0)),"")),"")</f>
        <v/>
      </c>
      <c r="I768" s="24" t="n"/>
      <c r="J768" s="1" t="n"/>
    </row>
    <row r="769">
      <c r="A769" s="1" t="n"/>
      <c r="B769" s="30" t="n"/>
      <c r="C769" s="23" t="n"/>
      <c r="D769" s="23" t="n"/>
      <c r="E769" s="26" t="n"/>
      <c r="F769" s="25" t="n"/>
      <c r="G769" s="17">
        <f>IF(D769="Sale",E769*F769,IF(D769="Return",-E769*F769,""))</f>
        <v/>
      </c>
      <c r="H769" s="17">
        <f>IFERROR(IF(D769="Sale",E769*INDEX(Products!$E$6:$E$205,MATCH(C769,Products!$B$6:$B$205,0)),IF(D769="Return",-E769*INDEX(Products!$E$6:$E$205,MATCH(C769,Products!$B$6:$B$205,0)),"")),"")</f>
        <v/>
      </c>
      <c r="I769" s="24" t="n"/>
      <c r="J769" s="1" t="n"/>
    </row>
    <row r="770">
      <c r="A770" s="1" t="n"/>
      <c r="B770" s="30" t="n"/>
      <c r="C770" s="23" t="n"/>
      <c r="D770" s="23" t="n"/>
      <c r="E770" s="26" t="n"/>
      <c r="F770" s="25" t="n"/>
      <c r="G770" s="17">
        <f>IF(D770="Sale",E770*F770,IF(D770="Return",-E770*F770,""))</f>
        <v/>
      </c>
      <c r="H770" s="17">
        <f>IFERROR(IF(D770="Sale",E770*INDEX(Products!$E$6:$E$205,MATCH(C770,Products!$B$6:$B$205,0)),IF(D770="Return",-E770*INDEX(Products!$E$6:$E$205,MATCH(C770,Products!$B$6:$B$205,0)),"")),"")</f>
        <v/>
      </c>
      <c r="I770" s="24" t="n"/>
      <c r="J770" s="1" t="n"/>
    </row>
    <row r="771">
      <c r="A771" s="1" t="n"/>
      <c r="B771" s="30" t="n"/>
      <c r="C771" s="23" t="n"/>
      <c r="D771" s="23" t="n"/>
      <c r="E771" s="26" t="n"/>
      <c r="F771" s="25" t="n"/>
      <c r="G771" s="17">
        <f>IF(D771="Sale",E771*F771,IF(D771="Return",-E771*F771,""))</f>
        <v/>
      </c>
      <c r="H771" s="17">
        <f>IFERROR(IF(D771="Sale",E771*INDEX(Products!$E$6:$E$205,MATCH(C771,Products!$B$6:$B$205,0)),IF(D771="Return",-E771*INDEX(Products!$E$6:$E$205,MATCH(C771,Products!$B$6:$B$205,0)),"")),"")</f>
        <v/>
      </c>
      <c r="I771" s="24" t="n"/>
      <c r="J771" s="1" t="n"/>
    </row>
    <row r="772">
      <c r="A772" s="1" t="n"/>
      <c r="B772" s="30" t="n"/>
      <c r="C772" s="23" t="n"/>
      <c r="D772" s="23" t="n"/>
      <c r="E772" s="26" t="n"/>
      <c r="F772" s="25" t="n"/>
      <c r="G772" s="17">
        <f>IF(D772="Sale",E772*F772,IF(D772="Return",-E772*F772,""))</f>
        <v/>
      </c>
      <c r="H772" s="17">
        <f>IFERROR(IF(D772="Sale",E772*INDEX(Products!$E$6:$E$205,MATCH(C772,Products!$B$6:$B$205,0)),IF(D772="Return",-E772*INDEX(Products!$E$6:$E$205,MATCH(C772,Products!$B$6:$B$205,0)),"")),"")</f>
        <v/>
      </c>
      <c r="I772" s="24" t="n"/>
      <c r="J772" s="1" t="n"/>
    </row>
    <row r="773">
      <c r="A773" s="1" t="n"/>
      <c r="B773" s="30" t="n"/>
      <c r="C773" s="23" t="n"/>
      <c r="D773" s="23" t="n"/>
      <c r="E773" s="26" t="n"/>
      <c r="F773" s="25" t="n"/>
      <c r="G773" s="17">
        <f>IF(D773="Sale",E773*F773,IF(D773="Return",-E773*F773,""))</f>
        <v/>
      </c>
      <c r="H773" s="17">
        <f>IFERROR(IF(D773="Sale",E773*INDEX(Products!$E$6:$E$205,MATCH(C773,Products!$B$6:$B$205,0)),IF(D773="Return",-E773*INDEX(Products!$E$6:$E$205,MATCH(C773,Products!$B$6:$B$205,0)),"")),"")</f>
        <v/>
      </c>
      <c r="I773" s="24" t="n"/>
      <c r="J773" s="1" t="n"/>
    </row>
    <row r="774">
      <c r="A774" s="1" t="n"/>
      <c r="B774" s="30" t="n"/>
      <c r="C774" s="23" t="n"/>
      <c r="D774" s="23" t="n"/>
      <c r="E774" s="26" t="n"/>
      <c r="F774" s="25" t="n"/>
      <c r="G774" s="17">
        <f>IF(D774="Sale",E774*F774,IF(D774="Return",-E774*F774,""))</f>
        <v/>
      </c>
      <c r="H774" s="17">
        <f>IFERROR(IF(D774="Sale",E774*INDEX(Products!$E$6:$E$205,MATCH(C774,Products!$B$6:$B$205,0)),IF(D774="Return",-E774*INDEX(Products!$E$6:$E$205,MATCH(C774,Products!$B$6:$B$205,0)),"")),"")</f>
        <v/>
      </c>
      <c r="I774" s="24" t="n"/>
      <c r="J774" s="1" t="n"/>
    </row>
    <row r="775">
      <c r="A775" s="1" t="n"/>
      <c r="B775" s="30" t="n"/>
      <c r="C775" s="23" t="n"/>
      <c r="D775" s="23" t="n"/>
      <c r="E775" s="26" t="n"/>
      <c r="F775" s="25" t="n"/>
      <c r="G775" s="17">
        <f>IF(D775="Sale",E775*F775,IF(D775="Return",-E775*F775,""))</f>
        <v/>
      </c>
      <c r="H775" s="17">
        <f>IFERROR(IF(D775="Sale",E775*INDEX(Products!$E$6:$E$205,MATCH(C775,Products!$B$6:$B$205,0)),IF(D775="Return",-E775*INDEX(Products!$E$6:$E$205,MATCH(C775,Products!$B$6:$B$205,0)),"")),"")</f>
        <v/>
      </c>
      <c r="I775" s="24" t="n"/>
      <c r="J775" s="1" t="n"/>
    </row>
    <row r="776">
      <c r="A776" s="1" t="n"/>
      <c r="B776" s="30" t="n"/>
      <c r="C776" s="23" t="n"/>
      <c r="D776" s="23" t="n"/>
      <c r="E776" s="26" t="n"/>
      <c r="F776" s="25" t="n"/>
      <c r="G776" s="17">
        <f>IF(D776="Sale",E776*F776,IF(D776="Return",-E776*F776,""))</f>
        <v/>
      </c>
      <c r="H776" s="17">
        <f>IFERROR(IF(D776="Sale",E776*INDEX(Products!$E$6:$E$205,MATCH(C776,Products!$B$6:$B$205,0)),IF(D776="Return",-E776*INDEX(Products!$E$6:$E$205,MATCH(C776,Products!$B$6:$B$205,0)),"")),"")</f>
        <v/>
      </c>
      <c r="I776" s="24" t="n"/>
      <c r="J776" s="1" t="n"/>
    </row>
    <row r="777">
      <c r="A777" s="1" t="n"/>
      <c r="B777" s="30" t="n"/>
      <c r="C777" s="23" t="n"/>
      <c r="D777" s="23" t="n"/>
      <c r="E777" s="26" t="n"/>
      <c r="F777" s="25" t="n"/>
      <c r="G777" s="17">
        <f>IF(D777="Sale",E777*F777,IF(D777="Return",-E777*F777,""))</f>
        <v/>
      </c>
      <c r="H777" s="17">
        <f>IFERROR(IF(D777="Sale",E777*INDEX(Products!$E$6:$E$205,MATCH(C777,Products!$B$6:$B$205,0)),IF(D777="Return",-E777*INDEX(Products!$E$6:$E$205,MATCH(C777,Products!$B$6:$B$205,0)),"")),"")</f>
        <v/>
      </c>
      <c r="I777" s="24" t="n"/>
      <c r="J777" s="1" t="n"/>
    </row>
    <row r="778">
      <c r="A778" s="1" t="n"/>
      <c r="B778" s="30" t="n"/>
      <c r="C778" s="23" t="n"/>
      <c r="D778" s="23" t="n"/>
      <c r="E778" s="26" t="n"/>
      <c r="F778" s="25" t="n"/>
      <c r="G778" s="17">
        <f>IF(D778="Sale",E778*F778,IF(D778="Return",-E778*F778,""))</f>
        <v/>
      </c>
      <c r="H778" s="17">
        <f>IFERROR(IF(D778="Sale",E778*INDEX(Products!$E$6:$E$205,MATCH(C778,Products!$B$6:$B$205,0)),IF(D778="Return",-E778*INDEX(Products!$E$6:$E$205,MATCH(C778,Products!$B$6:$B$205,0)),"")),"")</f>
        <v/>
      </c>
      <c r="I778" s="24" t="n"/>
      <c r="J778" s="1" t="n"/>
    </row>
    <row r="779">
      <c r="A779" s="1" t="n"/>
      <c r="B779" s="30" t="n"/>
      <c r="C779" s="23" t="n"/>
      <c r="D779" s="23" t="n"/>
      <c r="E779" s="26" t="n"/>
      <c r="F779" s="25" t="n"/>
      <c r="G779" s="17">
        <f>IF(D779="Sale",E779*F779,IF(D779="Return",-E779*F779,""))</f>
        <v/>
      </c>
      <c r="H779" s="17">
        <f>IFERROR(IF(D779="Sale",E779*INDEX(Products!$E$6:$E$205,MATCH(C779,Products!$B$6:$B$205,0)),IF(D779="Return",-E779*INDEX(Products!$E$6:$E$205,MATCH(C779,Products!$B$6:$B$205,0)),"")),"")</f>
        <v/>
      </c>
      <c r="I779" s="24" t="n"/>
      <c r="J779" s="1" t="n"/>
    </row>
    <row r="780">
      <c r="A780" s="1" t="n"/>
      <c r="B780" s="30" t="n"/>
      <c r="C780" s="23" t="n"/>
      <c r="D780" s="23" t="n"/>
      <c r="E780" s="26" t="n"/>
      <c r="F780" s="25" t="n"/>
      <c r="G780" s="17">
        <f>IF(D780="Sale",E780*F780,IF(D780="Return",-E780*F780,""))</f>
        <v/>
      </c>
      <c r="H780" s="17">
        <f>IFERROR(IF(D780="Sale",E780*INDEX(Products!$E$6:$E$205,MATCH(C780,Products!$B$6:$B$205,0)),IF(D780="Return",-E780*INDEX(Products!$E$6:$E$205,MATCH(C780,Products!$B$6:$B$205,0)),"")),"")</f>
        <v/>
      </c>
      <c r="I780" s="24" t="n"/>
      <c r="J780" s="1" t="n"/>
    </row>
    <row r="781">
      <c r="A781" s="1" t="n"/>
      <c r="B781" s="30" t="n"/>
      <c r="C781" s="23" t="n"/>
      <c r="D781" s="23" t="n"/>
      <c r="E781" s="26" t="n"/>
      <c r="F781" s="25" t="n"/>
      <c r="G781" s="17">
        <f>IF(D781="Sale",E781*F781,IF(D781="Return",-E781*F781,""))</f>
        <v/>
      </c>
      <c r="H781" s="17">
        <f>IFERROR(IF(D781="Sale",E781*INDEX(Products!$E$6:$E$205,MATCH(C781,Products!$B$6:$B$205,0)),IF(D781="Return",-E781*INDEX(Products!$E$6:$E$205,MATCH(C781,Products!$B$6:$B$205,0)),"")),"")</f>
        <v/>
      </c>
      <c r="I781" s="24" t="n"/>
      <c r="J781" s="1" t="n"/>
    </row>
    <row r="782">
      <c r="A782" s="1" t="n"/>
      <c r="B782" s="30" t="n"/>
      <c r="C782" s="23" t="n"/>
      <c r="D782" s="23" t="n"/>
      <c r="E782" s="26" t="n"/>
      <c r="F782" s="25" t="n"/>
      <c r="G782" s="17">
        <f>IF(D782="Sale",E782*F782,IF(D782="Return",-E782*F782,""))</f>
        <v/>
      </c>
      <c r="H782" s="17">
        <f>IFERROR(IF(D782="Sale",E782*INDEX(Products!$E$6:$E$205,MATCH(C782,Products!$B$6:$B$205,0)),IF(D782="Return",-E782*INDEX(Products!$E$6:$E$205,MATCH(C782,Products!$B$6:$B$205,0)),"")),"")</f>
        <v/>
      </c>
      <c r="I782" s="24" t="n"/>
      <c r="J782" s="1" t="n"/>
    </row>
    <row r="783">
      <c r="A783" s="1" t="n"/>
      <c r="B783" s="30" t="n"/>
      <c r="C783" s="23" t="n"/>
      <c r="D783" s="23" t="n"/>
      <c r="E783" s="26" t="n"/>
      <c r="F783" s="25" t="n"/>
      <c r="G783" s="17">
        <f>IF(D783="Sale",E783*F783,IF(D783="Return",-E783*F783,""))</f>
        <v/>
      </c>
      <c r="H783" s="17">
        <f>IFERROR(IF(D783="Sale",E783*INDEX(Products!$E$6:$E$205,MATCH(C783,Products!$B$6:$B$205,0)),IF(D783="Return",-E783*INDEX(Products!$E$6:$E$205,MATCH(C783,Products!$B$6:$B$205,0)),"")),"")</f>
        <v/>
      </c>
      <c r="I783" s="24" t="n"/>
      <c r="J783" s="1" t="n"/>
    </row>
    <row r="784">
      <c r="A784" s="1" t="n"/>
      <c r="B784" s="30" t="n"/>
      <c r="C784" s="23" t="n"/>
      <c r="D784" s="23" t="n"/>
      <c r="E784" s="26" t="n"/>
      <c r="F784" s="25" t="n"/>
      <c r="G784" s="17">
        <f>IF(D784="Sale",E784*F784,IF(D784="Return",-E784*F784,""))</f>
        <v/>
      </c>
      <c r="H784" s="17">
        <f>IFERROR(IF(D784="Sale",E784*INDEX(Products!$E$6:$E$205,MATCH(C784,Products!$B$6:$B$205,0)),IF(D784="Return",-E784*INDEX(Products!$E$6:$E$205,MATCH(C784,Products!$B$6:$B$205,0)),"")),"")</f>
        <v/>
      </c>
      <c r="I784" s="24" t="n"/>
      <c r="J784" s="1" t="n"/>
    </row>
    <row r="785">
      <c r="A785" s="1" t="n"/>
      <c r="B785" s="30" t="n"/>
      <c r="C785" s="23" t="n"/>
      <c r="D785" s="23" t="n"/>
      <c r="E785" s="26" t="n"/>
      <c r="F785" s="25" t="n"/>
      <c r="G785" s="17">
        <f>IF(D785="Sale",E785*F785,IF(D785="Return",-E785*F785,""))</f>
        <v/>
      </c>
      <c r="H785" s="17">
        <f>IFERROR(IF(D785="Sale",E785*INDEX(Products!$E$6:$E$205,MATCH(C785,Products!$B$6:$B$205,0)),IF(D785="Return",-E785*INDEX(Products!$E$6:$E$205,MATCH(C785,Products!$B$6:$B$205,0)),"")),"")</f>
        <v/>
      </c>
      <c r="I785" s="24" t="n"/>
      <c r="J785" s="1" t="n"/>
    </row>
    <row r="786">
      <c r="A786" s="1" t="n"/>
      <c r="B786" s="30" t="n"/>
      <c r="C786" s="23" t="n"/>
      <c r="D786" s="23" t="n"/>
      <c r="E786" s="26" t="n"/>
      <c r="F786" s="25" t="n"/>
      <c r="G786" s="17">
        <f>IF(D786="Sale",E786*F786,IF(D786="Return",-E786*F786,""))</f>
        <v/>
      </c>
      <c r="H786" s="17">
        <f>IFERROR(IF(D786="Sale",E786*INDEX(Products!$E$6:$E$205,MATCH(C786,Products!$B$6:$B$205,0)),IF(D786="Return",-E786*INDEX(Products!$E$6:$E$205,MATCH(C786,Products!$B$6:$B$205,0)),"")),"")</f>
        <v/>
      </c>
      <c r="I786" s="24" t="n"/>
      <c r="J786" s="1" t="n"/>
    </row>
    <row r="787">
      <c r="A787" s="1" t="n"/>
      <c r="B787" s="30" t="n"/>
      <c r="C787" s="23" t="n"/>
      <c r="D787" s="23" t="n"/>
      <c r="E787" s="26" t="n"/>
      <c r="F787" s="25" t="n"/>
      <c r="G787" s="17">
        <f>IF(D787="Sale",E787*F787,IF(D787="Return",-E787*F787,""))</f>
        <v/>
      </c>
      <c r="H787" s="17">
        <f>IFERROR(IF(D787="Sale",E787*INDEX(Products!$E$6:$E$205,MATCH(C787,Products!$B$6:$B$205,0)),IF(D787="Return",-E787*INDEX(Products!$E$6:$E$205,MATCH(C787,Products!$B$6:$B$205,0)),"")),"")</f>
        <v/>
      </c>
      <c r="I787" s="24" t="n"/>
      <c r="J787" s="1" t="n"/>
    </row>
    <row r="788">
      <c r="A788" s="1" t="n"/>
      <c r="B788" s="30" t="n"/>
      <c r="C788" s="23" t="n"/>
      <c r="D788" s="23" t="n"/>
      <c r="E788" s="26" t="n"/>
      <c r="F788" s="25" t="n"/>
      <c r="G788" s="17">
        <f>IF(D788="Sale",E788*F788,IF(D788="Return",-E788*F788,""))</f>
        <v/>
      </c>
      <c r="H788" s="17">
        <f>IFERROR(IF(D788="Sale",E788*INDEX(Products!$E$6:$E$205,MATCH(C788,Products!$B$6:$B$205,0)),IF(D788="Return",-E788*INDEX(Products!$E$6:$E$205,MATCH(C788,Products!$B$6:$B$205,0)),"")),"")</f>
        <v/>
      </c>
      <c r="I788" s="24" t="n"/>
      <c r="J788" s="1" t="n"/>
    </row>
    <row r="789">
      <c r="A789" s="1" t="n"/>
      <c r="B789" s="30" t="n"/>
      <c r="C789" s="23" t="n"/>
      <c r="D789" s="23" t="n"/>
      <c r="E789" s="26" t="n"/>
      <c r="F789" s="25" t="n"/>
      <c r="G789" s="17">
        <f>IF(D789="Sale",E789*F789,IF(D789="Return",-E789*F789,""))</f>
        <v/>
      </c>
      <c r="H789" s="17">
        <f>IFERROR(IF(D789="Sale",E789*INDEX(Products!$E$6:$E$205,MATCH(C789,Products!$B$6:$B$205,0)),IF(D789="Return",-E789*INDEX(Products!$E$6:$E$205,MATCH(C789,Products!$B$6:$B$205,0)),"")),"")</f>
        <v/>
      </c>
      <c r="I789" s="24" t="n"/>
      <c r="J789" s="1" t="n"/>
    </row>
    <row r="790">
      <c r="A790" s="1" t="n"/>
      <c r="B790" s="30" t="n"/>
      <c r="C790" s="23" t="n"/>
      <c r="D790" s="23" t="n"/>
      <c r="E790" s="26" t="n"/>
      <c r="F790" s="25" t="n"/>
      <c r="G790" s="17">
        <f>IF(D790="Sale",E790*F790,IF(D790="Return",-E790*F790,""))</f>
        <v/>
      </c>
      <c r="H790" s="17">
        <f>IFERROR(IF(D790="Sale",E790*INDEX(Products!$E$6:$E$205,MATCH(C790,Products!$B$6:$B$205,0)),IF(D790="Return",-E790*INDEX(Products!$E$6:$E$205,MATCH(C790,Products!$B$6:$B$205,0)),"")),"")</f>
        <v/>
      </c>
      <c r="I790" s="24" t="n"/>
      <c r="J790" s="1" t="n"/>
    </row>
    <row r="791">
      <c r="A791" s="1" t="n"/>
      <c r="B791" s="30" t="n"/>
      <c r="C791" s="23" t="n"/>
      <c r="D791" s="23" t="n"/>
      <c r="E791" s="26" t="n"/>
      <c r="F791" s="25" t="n"/>
      <c r="G791" s="17">
        <f>IF(D791="Sale",E791*F791,IF(D791="Return",-E791*F791,""))</f>
        <v/>
      </c>
      <c r="H791" s="17">
        <f>IFERROR(IF(D791="Sale",E791*INDEX(Products!$E$6:$E$205,MATCH(C791,Products!$B$6:$B$205,0)),IF(D791="Return",-E791*INDEX(Products!$E$6:$E$205,MATCH(C791,Products!$B$6:$B$205,0)),"")),"")</f>
        <v/>
      </c>
      <c r="I791" s="24" t="n"/>
      <c r="J791" s="1" t="n"/>
    </row>
    <row r="792">
      <c r="A792" s="1" t="n"/>
      <c r="B792" s="30" t="n"/>
      <c r="C792" s="23" t="n"/>
      <c r="D792" s="23" t="n"/>
      <c r="E792" s="26" t="n"/>
      <c r="F792" s="25" t="n"/>
      <c r="G792" s="17">
        <f>IF(D792="Sale",E792*F792,IF(D792="Return",-E792*F792,""))</f>
        <v/>
      </c>
      <c r="H792" s="17">
        <f>IFERROR(IF(D792="Sale",E792*INDEX(Products!$E$6:$E$205,MATCH(C792,Products!$B$6:$B$205,0)),IF(D792="Return",-E792*INDEX(Products!$E$6:$E$205,MATCH(C792,Products!$B$6:$B$205,0)),"")),"")</f>
        <v/>
      </c>
      <c r="I792" s="24" t="n"/>
      <c r="J792" s="1" t="n"/>
    </row>
    <row r="793">
      <c r="A793" s="1" t="n"/>
      <c r="B793" s="30" t="n"/>
      <c r="C793" s="23" t="n"/>
      <c r="D793" s="23" t="n"/>
      <c r="E793" s="26" t="n"/>
      <c r="F793" s="25" t="n"/>
      <c r="G793" s="17">
        <f>IF(D793="Sale",E793*F793,IF(D793="Return",-E793*F793,""))</f>
        <v/>
      </c>
      <c r="H793" s="17">
        <f>IFERROR(IF(D793="Sale",E793*INDEX(Products!$E$6:$E$205,MATCH(C793,Products!$B$6:$B$205,0)),IF(D793="Return",-E793*INDEX(Products!$E$6:$E$205,MATCH(C793,Products!$B$6:$B$205,0)),"")),"")</f>
        <v/>
      </c>
      <c r="I793" s="24" t="n"/>
      <c r="J793" s="1" t="n"/>
    </row>
    <row r="794">
      <c r="A794" s="1" t="n"/>
      <c r="B794" s="30" t="n"/>
      <c r="C794" s="23" t="n"/>
      <c r="D794" s="23" t="n"/>
      <c r="E794" s="26" t="n"/>
      <c r="F794" s="25" t="n"/>
      <c r="G794" s="17">
        <f>IF(D794="Sale",E794*F794,IF(D794="Return",-E794*F794,""))</f>
        <v/>
      </c>
      <c r="H794" s="17">
        <f>IFERROR(IF(D794="Sale",E794*INDEX(Products!$E$6:$E$205,MATCH(C794,Products!$B$6:$B$205,0)),IF(D794="Return",-E794*INDEX(Products!$E$6:$E$205,MATCH(C794,Products!$B$6:$B$205,0)),"")),"")</f>
        <v/>
      </c>
      <c r="I794" s="24" t="n"/>
      <c r="J794" s="1" t="n"/>
    </row>
    <row r="795">
      <c r="A795" s="1" t="n"/>
      <c r="B795" s="30" t="n"/>
      <c r="C795" s="23" t="n"/>
      <c r="D795" s="23" t="n"/>
      <c r="E795" s="26" t="n"/>
      <c r="F795" s="25" t="n"/>
      <c r="G795" s="17">
        <f>IF(D795="Sale",E795*F795,IF(D795="Return",-E795*F795,""))</f>
        <v/>
      </c>
      <c r="H795" s="17">
        <f>IFERROR(IF(D795="Sale",E795*INDEX(Products!$E$6:$E$205,MATCH(C795,Products!$B$6:$B$205,0)),IF(D795="Return",-E795*INDEX(Products!$E$6:$E$205,MATCH(C795,Products!$B$6:$B$205,0)),"")),"")</f>
        <v/>
      </c>
      <c r="I795" s="24" t="n"/>
      <c r="J795" s="1" t="n"/>
    </row>
    <row r="796">
      <c r="A796" s="1" t="n"/>
      <c r="B796" s="30" t="n"/>
      <c r="C796" s="23" t="n"/>
      <c r="D796" s="23" t="n"/>
      <c r="E796" s="26" t="n"/>
      <c r="F796" s="25" t="n"/>
      <c r="G796" s="17">
        <f>IF(D796="Sale",E796*F796,IF(D796="Return",-E796*F796,""))</f>
        <v/>
      </c>
      <c r="H796" s="17">
        <f>IFERROR(IF(D796="Sale",E796*INDEX(Products!$E$6:$E$205,MATCH(C796,Products!$B$6:$B$205,0)),IF(D796="Return",-E796*INDEX(Products!$E$6:$E$205,MATCH(C796,Products!$B$6:$B$205,0)),"")),"")</f>
        <v/>
      </c>
      <c r="I796" s="24" t="n"/>
      <c r="J796" s="1" t="n"/>
    </row>
    <row r="797">
      <c r="A797" s="1" t="n"/>
      <c r="B797" s="30" t="n"/>
      <c r="C797" s="23" t="n"/>
      <c r="D797" s="23" t="n"/>
      <c r="E797" s="26" t="n"/>
      <c r="F797" s="25" t="n"/>
      <c r="G797" s="17">
        <f>IF(D797="Sale",E797*F797,IF(D797="Return",-E797*F797,""))</f>
        <v/>
      </c>
      <c r="H797" s="17">
        <f>IFERROR(IF(D797="Sale",E797*INDEX(Products!$E$6:$E$205,MATCH(C797,Products!$B$6:$B$205,0)),IF(D797="Return",-E797*INDEX(Products!$E$6:$E$205,MATCH(C797,Products!$B$6:$B$205,0)),"")),"")</f>
        <v/>
      </c>
      <c r="I797" s="24" t="n"/>
      <c r="J797" s="1" t="n"/>
    </row>
    <row r="798">
      <c r="A798" s="1" t="n"/>
      <c r="B798" s="30" t="n"/>
      <c r="C798" s="23" t="n"/>
      <c r="D798" s="23" t="n"/>
      <c r="E798" s="26" t="n"/>
      <c r="F798" s="25" t="n"/>
      <c r="G798" s="17">
        <f>IF(D798="Sale",E798*F798,IF(D798="Return",-E798*F798,""))</f>
        <v/>
      </c>
      <c r="H798" s="17">
        <f>IFERROR(IF(D798="Sale",E798*INDEX(Products!$E$6:$E$205,MATCH(C798,Products!$B$6:$B$205,0)),IF(D798="Return",-E798*INDEX(Products!$E$6:$E$205,MATCH(C798,Products!$B$6:$B$205,0)),"")),"")</f>
        <v/>
      </c>
      <c r="I798" s="24" t="n"/>
      <c r="J798" s="1" t="n"/>
    </row>
    <row r="799">
      <c r="A799" s="1" t="n"/>
      <c r="B799" s="30" t="n"/>
      <c r="C799" s="23" t="n"/>
      <c r="D799" s="23" t="n"/>
      <c r="E799" s="26" t="n"/>
      <c r="F799" s="25" t="n"/>
      <c r="G799" s="17">
        <f>IF(D799="Sale",E799*F799,IF(D799="Return",-E799*F799,""))</f>
        <v/>
      </c>
      <c r="H799" s="17">
        <f>IFERROR(IF(D799="Sale",E799*INDEX(Products!$E$6:$E$205,MATCH(C799,Products!$B$6:$B$205,0)),IF(D799="Return",-E799*INDEX(Products!$E$6:$E$205,MATCH(C799,Products!$B$6:$B$205,0)),"")),"")</f>
        <v/>
      </c>
      <c r="I799" s="24" t="n"/>
      <c r="J799" s="1" t="n"/>
    </row>
    <row r="800">
      <c r="A800" s="1" t="n"/>
      <c r="B800" s="30" t="n"/>
      <c r="C800" s="23" t="n"/>
      <c r="D800" s="23" t="n"/>
      <c r="E800" s="26" t="n"/>
      <c r="F800" s="25" t="n"/>
      <c r="G800" s="17">
        <f>IF(D800="Sale",E800*F800,IF(D800="Return",-E800*F800,""))</f>
        <v/>
      </c>
      <c r="H800" s="17">
        <f>IFERROR(IF(D800="Sale",E800*INDEX(Products!$E$6:$E$205,MATCH(C800,Products!$B$6:$B$205,0)),IF(D800="Return",-E800*INDEX(Products!$E$6:$E$205,MATCH(C800,Products!$B$6:$B$205,0)),"")),"")</f>
        <v/>
      </c>
      <c r="I800" s="24" t="n"/>
      <c r="J800" s="1" t="n"/>
    </row>
    <row r="801">
      <c r="A801" s="1" t="n"/>
      <c r="B801" s="30" t="n"/>
      <c r="C801" s="23" t="n"/>
      <c r="D801" s="23" t="n"/>
      <c r="E801" s="26" t="n"/>
      <c r="F801" s="25" t="n"/>
      <c r="G801" s="17">
        <f>IF(D801="Sale",E801*F801,IF(D801="Return",-E801*F801,""))</f>
        <v/>
      </c>
      <c r="H801" s="17">
        <f>IFERROR(IF(D801="Sale",E801*INDEX(Products!$E$6:$E$205,MATCH(C801,Products!$B$6:$B$205,0)),IF(D801="Return",-E801*INDEX(Products!$E$6:$E$205,MATCH(C801,Products!$B$6:$B$205,0)),"")),"")</f>
        <v/>
      </c>
      <c r="I801" s="24" t="n"/>
      <c r="J801" s="1" t="n"/>
    </row>
    <row r="802">
      <c r="A802" s="1" t="n"/>
      <c r="B802" s="30" t="n"/>
      <c r="C802" s="23" t="n"/>
      <c r="D802" s="23" t="n"/>
      <c r="E802" s="26" t="n"/>
      <c r="F802" s="25" t="n"/>
      <c r="G802" s="17">
        <f>IF(D802="Sale",E802*F802,IF(D802="Return",-E802*F802,""))</f>
        <v/>
      </c>
      <c r="H802" s="17">
        <f>IFERROR(IF(D802="Sale",E802*INDEX(Products!$E$6:$E$205,MATCH(C802,Products!$B$6:$B$205,0)),IF(D802="Return",-E802*INDEX(Products!$E$6:$E$205,MATCH(C802,Products!$B$6:$B$205,0)),"")),"")</f>
        <v/>
      </c>
      <c r="I802" s="24" t="n"/>
      <c r="J802" s="1" t="n"/>
    </row>
    <row r="803">
      <c r="A803" s="1" t="n"/>
      <c r="B803" s="30" t="n"/>
      <c r="C803" s="23" t="n"/>
      <c r="D803" s="23" t="n"/>
      <c r="E803" s="26" t="n"/>
      <c r="F803" s="25" t="n"/>
      <c r="G803" s="17">
        <f>IF(D803="Sale",E803*F803,IF(D803="Return",-E803*F803,""))</f>
        <v/>
      </c>
      <c r="H803" s="17">
        <f>IFERROR(IF(D803="Sale",E803*INDEX(Products!$E$6:$E$205,MATCH(C803,Products!$B$6:$B$205,0)),IF(D803="Return",-E803*INDEX(Products!$E$6:$E$205,MATCH(C803,Products!$B$6:$B$205,0)),"")),"")</f>
        <v/>
      </c>
      <c r="I803" s="24" t="n"/>
      <c r="J803" s="1" t="n"/>
    </row>
    <row r="804">
      <c r="A804" s="1" t="n"/>
      <c r="B804" s="30" t="n"/>
      <c r="C804" s="23" t="n"/>
      <c r="D804" s="23" t="n"/>
      <c r="E804" s="26" t="n"/>
      <c r="F804" s="25" t="n"/>
      <c r="G804" s="17">
        <f>IF(D804="Sale",E804*F804,IF(D804="Return",-E804*F804,""))</f>
        <v/>
      </c>
      <c r="H804" s="17">
        <f>IFERROR(IF(D804="Sale",E804*INDEX(Products!$E$6:$E$205,MATCH(C804,Products!$B$6:$B$205,0)),IF(D804="Return",-E804*INDEX(Products!$E$6:$E$205,MATCH(C804,Products!$B$6:$B$205,0)),"")),"")</f>
        <v/>
      </c>
      <c r="I804" s="24" t="n"/>
      <c r="J804" s="1" t="n"/>
    </row>
    <row r="805">
      <c r="A805" s="1" t="n"/>
      <c r="B805" s="30" t="n"/>
      <c r="C805" s="23" t="n"/>
      <c r="D805" s="23" t="n"/>
      <c r="E805" s="26" t="n"/>
      <c r="F805" s="25" t="n"/>
      <c r="G805" s="17">
        <f>IF(D805="Sale",E805*F805,IF(D805="Return",-E805*F805,""))</f>
        <v/>
      </c>
      <c r="H805" s="17">
        <f>IFERROR(IF(D805="Sale",E805*INDEX(Products!$E$6:$E$205,MATCH(C805,Products!$B$6:$B$205,0)),IF(D805="Return",-E805*INDEX(Products!$E$6:$E$205,MATCH(C805,Products!$B$6:$B$205,0)),"")),"")</f>
        <v/>
      </c>
      <c r="I805" s="24" t="n"/>
      <c r="J805" s="1" t="n"/>
    </row>
    <row r="806">
      <c r="A806" s="1" t="n"/>
      <c r="B806" s="30" t="n"/>
      <c r="C806" s="23" t="n"/>
      <c r="D806" s="23" t="n"/>
      <c r="E806" s="26" t="n"/>
      <c r="F806" s="25" t="n"/>
      <c r="G806" s="17">
        <f>IF(D806="Sale",E806*F806,IF(D806="Return",-E806*F806,""))</f>
        <v/>
      </c>
      <c r="H806" s="17">
        <f>IFERROR(IF(D806="Sale",E806*INDEX(Products!$E$6:$E$205,MATCH(C806,Products!$B$6:$B$205,0)),IF(D806="Return",-E806*INDEX(Products!$E$6:$E$205,MATCH(C806,Products!$B$6:$B$205,0)),"")),"")</f>
        <v/>
      </c>
      <c r="I806" s="24" t="n"/>
      <c r="J806" s="1" t="n"/>
    </row>
    <row r="807">
      <c r="A807" s="1" t="n"/>
      <c r="B807" s="30" t="n"/>
      <c r="C807" s="23" t="n"/>
      <c r="D807" s="23" t="n"/>
      <c r="E807" s="26" t="n"/>
      <c r="F807" s="25" t="n"/>
      <c r="G807" s="17">
        <f>IF(D807="Sale",E807*F807,IF(D807="Return",-E807*F807,""))</f>
        <v/>
      </c>
      <c r="H807" s="17">
        <f>IFERROR(IF(D807="Sale",E807*INDEX(Products!$E$6:$E$205,MATCH(C807,Products!$B$6:$B$205,0)),IF(D807="Return",-E807*INDEX(Products!$E$6:$E$205,MATCH(C807,Products!$B$6:$B$205,0)),"")),"")</f>
        <v/>
      </c>
      <c r="I807" s="24" t="n"/>
      <c r="J807" s="1" t="n"/>
    </row>
    <row r="808">
      <c r="A808" s="1" t="n"/>
      <c r="B808" s="30" t="n"/>
      <c r="C808" s="23" t="n"/>
      <c r="D808" s="23" t="n"/>
      <c r="E808" s="26" t="n"/>
      <c r="F808" s="25" t="n"/>
      <c r="G808" s="17">
        <f>IF(D808="Sale",E808*F808,IF(D808="Return",-E808*F808,""))</f>
        <v/>
      </c>
      <c r="H808" s="17">
        <f>IFERROR(IF(D808="Sale",E808*INDEX(Products!$E$6:$E$205,MATCH(C808,Products!$B$6:$B$205,0)),IF(D808="Return",-E808*INDEX(Products!$E$6:$E$205,MATCH(C808,Products!$B$6:$B$205,0)),"")),"")</f>
        <v/>
      </c>
      <c r="I808" s="24" t="n"/>
      <c r="J808" s="1" t="n"/>
    </row>
    <row r="809">
      <c r="A809" s="1" t="n"/>
      <c r="B809" s="30" t="n"/>
      <c r="C809" s="23" t="n"/>
      <c r="D809" s="23" t="n"/>
      <c r="E809" s="26" t="n"/>
      <c r="F809" s="25" t="n"/>
      <c r="G809" s="17">
        <f>IF(D809="Sale",E809*F809,IF(D809="Return",-E809*F809,""))</f>
        <v/>
      </c>
      <c r="H809" s="17">
        <f>IFERROR(IF(D809="Sale",E809*INDEX(Products!$E$6:$E$205,MATCH(C809,Products!$B$6:$B$205,0)),IF(D809="Return",-E809*INDEX(Products!$E$6:$E$205,MATCH(C809,Products!$B$6:$B$205,0)),"")),"")</f>
        <v/>
      </c>
      <c r="I809" s="24" t="n"/>
      <c r="J809" s="1" t="n"/>
    </row>
    <row r="810">
      <c r="A810" s="1" t="n"/>
      <c r="B810" s="30" t="n"/>
      <c r="C810" s="23" t="n"/>
      <c r="D810" s="23" t="n"/>
      <c r="E810" s="26" t="n"/>
      <c r="F810" s="25" t="n"/>
      <c r="G810" s="17">
        <f>IF(D810="Sale",E810*F810,IF(D810="Return",-E810*F810,""))</f>
        <v/>
      </c>
      <c r="H810" s="17">
        <f>IFERROR(IF(D810="Sale",E810*INDEX(Products!$E$6:$E$205,MATCH(C810,Products!$B$6:$B$205,0)),IF(D810="Return",-E810*INDEX(Products!$E$6:$E$205,MATCH(C810,Products!$B$6:$B$205,0)),"")),"")</f>
        <v/>
      </c>
      <c r="I810" s="24" t="n"/>
      <c r="J810" s="1" t="n"/>
    </row>
    <row r="811">
      <c r="A811" s="1" t="n"/>
      <c r="B811" s="30" t="n"/>
      <c r="C811" s="23" t="n"/>
      <c r="D811" s="23" t="n"/>
      <c r="E811" s="26" t="n"/>
      <c r="F811" s="25" t="n"/>
      <c r="G811" s="17">
        <f>IF(D811="Sale",E811*F811,IF(D811="Return",-E811*F811,""))</f>
        <v/>
      </c>
      <c r="H811" s="17">
        <f>IFERROR(IF(D811="Sale",E811*INDEX(Products!$E$6:$E$205,MATCH(C811,Products!$B$6:$B$205,0)),IF(D811="Return",-E811*INDEX(Products!$E$6:$E$205,MATCH(C811,Products!$B$6:$B$205,0)),"")),"")</f>
        <v/>
      </c>
      <c r="I811" s="24" t="n"/>
      <c r="J811" s="1" t="n"/>
    </row>
    <row r="812">
      <c r="A812" s="1" t="n"/>
      <c r="B812" s="30" t="n"/>
      <c r="C812" s="23" t="n"/>
      <c r="D812" s="23" t="n"/>
      <c r="E812" s="26" t="n"/>
      <c r="F812" s="25" t="n"/>
      <c r="G812" s="17">
        <f>IF(D812="Sale",E812*F812,IF(D812="Return",-E812*F812,""))</f>
        <v/>
      </c>
      <c r="H812" s="17">
        <f>IFERROR(IF(D812="Sale",E812*INDEX(Products!$E$6:$E$205,MATCH(C812,Products!$B$6:$B$205,0)),IF(D812="Return",-E812*INDEX(Products!$E$6:$E$205,MATCH(C812,Products!$B$6:$B$205,0)),"")),"")</f>
        <v/>
      </c>
      <c r="I812" s="24" t="n"/>
      <c r="J812" s="1" t="n"/>
    </row>
    <row r="813">
      <c r="A813" s="1" t="n"/>
      <c r="B813" s="30" t="n"/>
      <c r="C813" s="23" t="n"/>
      <c r="D813" s="23" t="n"/>
      <c r="E813" s="26" t="n"/>
      <c r="F813" s="25" t="n"/>
      <c r="G813" s="17">
        <f>IF(D813="Sale",E813*F813,IF(D813="Return",-E813*F813,""))</f>
        <v/>
      </c>
      <c r="H813" s="17">
        <f>IFERROR(IF(D813="Sale",E813*INDEX(Products!$E$6:$E$205,MATCH(C813,Products!$B$6:$B$205,0)),IF(D813="Return",-E813*INDEX(Products!$E$6:$E$205,MATCH(C813,Products!$B$6:$B$205,0)),"")),"")</f>
        <v/>
      </c>
      <c r="I813" s="24" t="n"/>
      <c r="J813" s="1" t="n"/>
    </row>
    <row r="814">
      <c r="A814" s="1" t="n"/>
      <c r="B814" s="30" t="n"/>
      <c r="C814" s="23" t="n"/>
      <c r="D814" s="23" t="n"/>
      <c r="E814" s="26" t="n"/>
      <c r="F814" s="25" t="n"/>
      <c r="G814" s="17">
        <f>IF(D814="Sale",E814*F814,IF(D814="Return",-E814*F814,""))</f>
        <v/>
      </c>
      <c r="H814" s="17">
        <f>IFERROR(IF(D814="Sale",E814*INDEX(Products!$E$6:$E$205,MATCH(C814,Products!$B$6:$B$205,0)),IF(D814="Return",-E814*INDEX(Products!$E$6:$E$205,MATCH(C814,Products!$B$6:$B$205,0)),"")),"")</f>
        <v/>
      </c>
      <c r="I814" s="24" t="n"/>
      <c r="J814" s="1" t="n"/>
    </row>
    <row r="815">
      <c r="A815" s="1" t="n"/>
      <c r="B815" s="30" t="n"/>
      <c r="C815" s="23" t="n"/>
      <c r="D815" s="23" t="n"/>
      <c r="E815" s="26" t="n"/>
      <c r="F815" s="25" t="n"/>
      <c r="G815" s="17">
        <f>IF(D815="Sale",E815*F815,IF(D815="Return",-E815*F815,""))</f>
        <v/>
      </c>
      <c r="H815" s="17">
        <f>IFERROR(IF(D815="Sale",E815*INDEX(Products!$E$6:$E$205,MATCH(C815,Products!$B$6:$B$205,0)),IF(D815="Return",-E815*INDEX(Products!$E$6:$E$205,MATCH(C815,Products!$B$6:$B$205,0)),"")),"")</f>
        <v/>
      </c>
      <c r="I815" s="24" t="n"/>
      <c r="J815" s="1" t="n"/>
    </row>
    <row r="816">
      <c r="A816" s="1" t="n"/>
      <c r="B816" s="30" t="n"/>
      <c r="C816" s="23" t="n"/>
      <c r="D816" s="23" t="n"/>
      <c r="E816" s="26" t="n"/>
      <c r="F816" s="25" t="n"/>
      <c r="G816" s="17">
        <f>IF(D816="Sale",E816*F816,IF(D816="Return",-E816*F816,""))</f>
        <v/>
      </c>
      <c r="H816" s="17">
        <f>IFERROR(IF(D816="Sale",E816*INDEX(Products!$E$6:$E$205,MATCH(C816,Products!$B$6:$B$205,0)),IF(D816="Return",-E816*INDEX(Products!$E$6:$E$205,MATCH(C816,Products!$B$6:$B$205,0)),"")),"")</f>
        <v/>
      </c>
      <c r="I816" s="24" t="n"/>
      <c r="J816" s="1" t="n"/>
    </row>
    <row r="817">
      <c r="A817" s="1" t="n"/>
      <c r="B817" s="30" t="n"/>
      <c r="C817" s="23" t="n"/>
      <c r="D817" s="23" t="n"/>
      <c r="E817" s="26" t="n"/>
      <c r="F817" s="25" t="n"/>
      <c r="G817" s="17">
        <f>IF(D817="Sale",E817*F817,IF(D817="Return",-E817*F817,""))</f>
        <v/>
      </c>
      <c r="H817" s="17">
        <f>IFERROR(IF(D817="Sale",E817*INDEX(Products!$E$6:$E$205,MATCH(C817,Products!$B$6:$B$205,0)),IF(D817="Return",-E817*INDEX(Products!$E$6:$E$205,MATCH(C817,Products!$B$6:$B$205,0)),"")),"")</f>
        <v/>
      </c>
      <c r="I817" s="24" t="n"/>
      <c r="J817" s="1" t="n"/>
    </row>
    <row r="818">
      <c r="A818" s="1" t="n"/>
      <c r="B818" s="30" t="n"/>
      <c r="C818" s="23" t="n"/>
      <c r="D818" s="23" t="n"/>
      <c r="E818" s="26" t="n"/>
      <c r="F818" s="25" t="n"/>
      <c r="G818" s="17">
        <f>IF(D818="Sale",E818*F818,IF(D818="Return",-E818*F818,""))</f>
        <v/>
      </c>
      <c r="H818" s="17">
        <f>IFERROR(IF(D818="Sale",E818*INDEX(Products!$E$6:$E$205,MATCH(C818,Products!$B$6:$B$205,0)),IF(D818="Return",-E818*INDEX(Products!$E$6:$E$205,MATCH(C818,Products!$B$6:$B$205,0)),"")),"")</f>
        <v/>
      </c>
      <c r="I818" s="24" t="n"/>
      <c r="J818" s="1" t="n"/>
    </row>
    <row r="819">
      <c r="A819" s="1" t="n"/>
      <c r="B819" s="30" t="n"/>
      <c r="C819" s="23" t="n"/>
      <c r="D819" s="23" t="n"/>
      <c r="E819" s="26" t="n"/>
      <c r="F819" s="25" t="n"/>
      <c r="G819" s="17">
        <f>IF(D819="Sale",E819*F819,IF(D819="Return",-E819*F819,""))</f>
        <v/>
      </c>
      <c r="H819" s="17">
        <f>IFERROR(IF(D819="Sale",E819*INDEX(Products!$E$6:$E$205,MATCH(C819,Products!$B$6:$B$205,0)),IF(D819="Return",-E819*INDEX(Products!$E$6:$E$205,MATCH(C819,Products!$B$6:$B$205,0)),"")),"")</f>
        <v/>
      </c>
      <c r="I819" s="24" t="n"/>
      <c r="J819" s="1" t="n"/>
    </row>
    <row r="820">
      <c r="A820" s="1" t="n"/>
      <c r="B820" s="30" t="n"/>
      <c r="C820" s="23" t="n"/>
      <c r="D820" s="23" t="n"/>
      <c r="E820" s="26" t="n"/>
      <c r="F820" s="25" t="n"/>
      <c r="G820" s="17">
        <f>IF(D820="Sale",E820*F820,IF(D820="Return",-E820*F820,""))</f>
        <v/>
      </c>
      <c r="H820" s="17">
        <f>IFERROR(IF(D820="Sale",E820*INDEX(Products!$E$6:$E$205,MATCH(C820,Products!$B$6:$B$205,0)),IF(D820="Return",-E820*INDEX(Products!$E$6:$E$205,MATCH(C820,Products!$B$6:$B$205,0)),"")),"")</f>
        <v/>
      </c>
      <c r="I820" s="24" t="n"/>
      <c r="J820" s="1" t="n"/>
    </row>
    <row r="821">
      <c r="A821" s="1" t="n"/>
      <c r="B821" s="30" t="n"/>
      <c r="C821" s="23" t="n"/>
      <c r="D821" s="23" t="n"/>
      <c r="E821" s="26" t="n"/>
      <c r="F821" s="25" t="n"/>
      <c r="G821" s="17">
        <f>IF(D821="Sale",E821*F821,IF(D821="Return",-E821*F821,""))</f>
        <v/>
      </c>
      <c r="H821" s="17">
        <f>IFERROR(IF(D821="Sale",E821*INDEX(Products!$E$6:$E$205,MATCH(C821,Products!$B$6:$B$205,0)),IF(D821="Return",-E821*INDEX(Products!$E$6:$E$205,MATCH(C821,Products!$B$6:$B$205,0)),"")),"")</f>
        <v/>
      </c>
      <c r="I821" s="24" t="n"/>
      <c r="J821" s="1" t="n"/>
    </row>
    <row r="822">
      <c r="A822" s="1" t="n"/>
      <c r="B822" s="30" t="n"/>
      <c r="C822" s="23" t="n"/>
      <c r="D822" s="23" t="n"/>
      <c r="E822" s="26" t="n"/>
      <c r="F822" s="25" t="n"/>
      <c r="G822" s="17">
        <f>IF(D822="Sale",E822*F822,IF(D822="Return",-E822*F822,""))</f>
        <v/>
      </c>
      <c r="H822" s="17">
        <f>IFERROR(IF(D822="Sale",E822*INDEX(Products!$E$6:$E$205,MATCH(C822,Products!$B$6:$B$205,0)),IF(D822="Return",-E822*INDEX(Products!$E$6:$E$205,MATCH(C822,Products!$B$6:$B$205,0)),"")),"")</f>
        <v/>
      </c>
      <c r="I822" s="24" t="n"/>
      <c r="J822" s="1" t="n"/>
    </row>
    <row r="823">
      <c r="A823" s="1" t="n"/>
      <c r="B823" s="30" t="n"/>
      <c r="C823" s="23" t="n"/>
      <c r="D823" s="23" t="n"/>
      <c r="E823" s="26" t="n"/>
      <c r="F823" s="25" t="n"/>
      <c r="G823" s="17">
        <f>IF(D823="Sale",E823*F823,IF(D823="Return",-E823*F823,""))</f>
        <v/>
      </c>
      <c r="H823" s="17">
        <f>IFERROR(IF(D823="Sale",E823*INDEX(Products!$E$6:$E$205,MATCH(C823,Products!$B$6:$B$205,0)),IF(D823="Return",-E823*INDEX(Products!$E$6:$E$205,MATCH(C823,Products!$B$6:$B$205,0)),"")),"")</f>
        <v/>
      </c>
      <c r="I823" s="24" t="n"/>
      <c r="J823" s="1" t="n"/>
    </row>
    <row r="824">
      <c r="A824" s="1" t="n"/>
      <c r="B824" s="30" t="n"/>
      <c r="C824" s="23" t="n"/>
      <c r="D824" s="23" t="n"/>
      <c r="E824" s="26" t="n"/>
      <c r="F824" s="25" t="n"/>
      <c r="G824" s="17">
        <f>IF(D824="Sale",E824*F824,IF(D824="Return",-E824*F824,""))</f>
        <v/>
      </c>
      <c r="H824" s="17">
        <f>IFERROR(IF(D824="Sale",E824*INDEX(Products!$E$6:$E$205,MATCH(C824,Products!$B$6:$B$205,0)),IF(D824="Return",-E824*INDEX(Products!$E$6:$E$205,MATCH(C824,Products!$B$6:$B$205,0)),"")),"")</f>
        <v/>
      </c>
      <c r="I824" s="24" t="n"/>
      <c r="J824" s="1" t="n"/>
    </row>
    <row r="825">
      <c r="A825" s="1" t="n"/>
      <c r="B825" s="30" t="n"/>
      <c r="C825" s="23" t="n"/>
      <c r="D825" s="23" t="n"/>
      <c r="E825" s="26" t="n"/>
      <c r="F825" s="25" t="n"/>
      <c r="G825" s="17">
        <f>IF(D825="Sale",E825*F825,IF(D825="Return",-E825*F825,""))</f>
        <v/>
      </c>
      <c r="H825" s="17">
        <f>IFERROR(IF(D825="Sale",E825*INDEX(Products!$E$6:$E$205,MATCH(C825,Products!$B$6:$B$205,0)),IF(D825="Return",-E825*INDEX(Products!$E$6:$E$205,MATCH(C825,Products!$B$6:$B$205,0)),"")),"")</f>
        <v/>
      </c>
      <c r="I825" s="24" t="n"/>
      <c r="J825" s="1" t="n"/>
    </row>
    <row r="826">
      <c r="A826" s="1" t="n"/>
      <c r="B826" s="30" t="n"/>
      <c r="C826" s="23" t="n"/>
      <c r="D826" s="23" t="n"/>
      <c r="E826" s="26" t="n"/>
      <c r="F826" s="25" t="n"/>
      <c r="G826" s="17">
        <f>IF(D826="Sale",E826*F826,IF(D826="Return",-E826*F826,""))</f>
        <v/>
      </c>
      <c r="H826" s="17">
        <f>IFERROR(IF(D826="Sale",E826*INDEX(Products!$E$6:$E$205,MATCH(C826,Products!$B$6:$B$205,0)),IF(D826="Return",-E826*INDEX(Products!$E$6:$E$205,MATCH(C826,Products!$B$6:$B$205,0)),"")),"")</f>
        <v/>
      </c>
      <c r="I826" s="24" t="n"/>
      <c r="J826" s="1" t="n"/>
    </row>
    <row r="827">
      <c r="A827" s="1" t="n"/>
      <c r="B827" s="30" t="n"/>
      <c r="C827" s="23" t="n"/>
      <c r="D827" s="23" t="n"/>
      <c r="E827" s="26" t="n"/>
      <c r="F827" s="25" t="n"/>
      <c r="G827" s="17">
        <f>IF(D827="Sale",E827*F827,IF(D827="Return",-E827*F827,""))</f>
        <v/>
      </c>
      <c r="H827" s="17">
        <f>IFERROR(IF(D827="Sale",E827*INDEX(Products!$E$6:$E$205,MATCH(C827,Products!$B$6:$B$205,0)),IF(D827="Return",-E827*INDEX(Products!$E$6:$E$205,MATCH(C827,Products!$B$6:$B$205,0)),"")),"")</f>
        <v/>
      </c>
      <c r="I827" s="24" t="n"/>
      <c r="J827" s="1" t="n"/>
    </row>
    <row r="828">
      <c r="A828" s="1" t="n"/>
      <c r="B828" s="30" t="n"/>
      <c r="C828" s="23" t="n"/>
      <c r="D828" s="23" t="n"/>
      <c r="E828" s="26" t="n"/>
      <c r="F828" s="25" t="n"/>
      <c r="G828" s="17">
        <f>IF(D828="Sale",E828*F828,IF(D828="Return",-E828*F828,""))</f>
        <v/>
      </c>
      <c r="H828" s="17">
        <f>IFERROR(IF(D828="Sale",E828*INDEX(Products!$E$6:$E$205,MATCH(C828,Products!$B$6:$B$205,0)),IF(D828="Return",-E828*INDEX(Products!$E$6:$E$205,MATCH(C828,Products!$B$6:$B$205,0)),"")),"")</f>
        <v/>
      </c>
      <c r="I828" s="24" t="n"/>
      <c r="J828" s="1" t="n"/>
    </row>
    <row r="829">
      <c r="A829" s="1" t="n"/>
      <c r="B829" s="30" t="n"/>
      <c r="C829" s="23" t="n"/>
      <c r="D829" s="23" t="n"/>
      <c r="E829" s="26" t="n"/>
      <c r="F829" s="25" t="n"/>
      <c r="G829" s="17">
        <f>IF(D829="Sale",E829*F829,IF(D829="Return",-E829*F829,""))</f>
        <v/>
      </c>
      <c r="H829" s="17">
        <f>IFERROR(IF(D829="Sale",E829*INDEX(Products!$E$6:$E$205,MATCH(C829,Products!$B$6:$B$205,0)),IF(D829="Return",-E829*INDEX(Products!$E$6:$E$205,MATCH(C829,Products!$B$6:$B$205,0)),"")),"")</f>
        <v/>
      </c>
      <c r="I829" s="24" t="n"/>
      <c r="J829" s="1" t="n"/>
    </row>
    <row r="830">
      <c r="A830" s="1" t="n"/>
      <c r="B830" s="30" t="n"/>
      <c r="C830" s="23" t="n"/>
      <c r="D830" s="23" t="n"/>
      <c r="E830" s="26" t="n"/>
      <c r="F830" s="25" t="n"/>
      <c r="G830" s="17">
        <f>IF(D830="Sale",E830*F830,IF(D830="Return",-E830*F830,""))</f>
        <v/>
      </c>
      <c r="H830" s="17">
        <f>IFERROR(IF(D830="Sale",E830*INDEX(Products!$E$6:$E$205,MATCH(C830,Products!$B$6:$B$205,0)),IF(D830="Return",-E830*INDEX(Products!$E$6:$E$205,MATCH(C830,Products!$B$6:$B$205,0)),"")),"")</f>
        <v/>
      </c>
      <c r="I830" s="24" t="n"/>
      <c r="J830" s="1" t="n"/>
    </row>
    <row r="831">
      <c r="A831" s="1" t="n"/>
      <c r="B831" s="30" t="n"/>
      <c r="C831" s="23" t="n"/>
      <c r="D831" s="23" t="n"/>
      <c r="E831" s="26" t="n"/>
      <c r="F831" s="25" t="n"/>
      <c r="G831" s="17">
        <f>IF(D831="Sale",E831*F831,IF(D831="Return",-E831*F831,""))</f>
        <v/>
      </c>
      <c r="H831" s="17">
        <f>IFERROR(IF(D831="Sale",E831*INDEX(Products!$E$6:$E$205,MATCH(C831,Products!$B$6:$B$205,0)),IF(D831="Return",-E831*INDEX(Products!$E$6:$E$205,MATCH(C831,Products!$B$6:$B$205,0)),"")),"")</f>
        <v/>
      </c>
      <c r="I831" s="24" t="n"/>
      <c r="J831" s="1" t="n"/>
    </row>
    <row r="832">
      <c r="A832" s="1" t="n"/>
      <c r="B832" s="30" t="n"/>
      <c r="C832" s="23" t="n"/>
      <c r="D832" s="23" t="n"/>
      <c r="E832" s="26" t="n"/>
      <c r="F832" s="25" t="n"/>
      <c r="G832" s="17">
        <f>IF(D832="Sale",E832*F832,IF(D832="Return",-E832*F832,""))</f>
        <v/>
      </c>
      <c r="H832" s="17">
        <f>IFERROR(IF(D832="Sale",E832*INDEX(Products!$E$6:$E$205,MATCH(C832,Products!$B$6:$B$205,0)),IF(D832="Return",-E832*INDEX(Products!$E$6:$E$205,MATCH(C832,Products!$B$6:$B$205,0)),"")),"")</f>
        <v/>
      </c>
      <c r="I832" s="24" t="n"/>
      <c r="J832" s="1" t="n"/>
    </row>
    <row r="833">
      <c r="A833" s="1" t="n"/>
      <c r="B833" s="30" t="n"/>
      <c r="C833" s="23" t="n"/>
      <c r="D833" s="23" t="n"/>
      <c r="E833" s="26" t="n"/>
      <c r="F833" s="25" t="n"/>
      <c r="G833" s="17">
        <f>IF(D833="Sale",E833*F833,IF(D833="Return",-E833*F833,""))</f>
        <v/>
      </c>
      <c r="H833" s="17">
        <f>IFERROR(IF(D833="Sale",E833*INDEX(Products!$E$6:$E$205,MATCH(C833,Products!$B$6:$B$205,0)),IF(D833="Return",-E833*INDEX(Products!$E$6:$E$205,MATCH(C833,Products!$B$6:$B$205,0)),"")),"")</f>
        <v/>
      </c>
      <c r="I833" s="24" t="n"/>
      <c r="J833" s="1" t="n"/>
    </row>
    <row r="834">
      <c r="A834" s="1" t="n"/>
      <c r="B834" s="30" t="n"/>
      <c r="C834" s="23" t="n"/>
      <c r="D834" s="23" t="n"/>
      <c r="E834" s="26" t="n"/>
      <c r="F834" s="25" t="n"/>
      <c r="G834" s="17">
        <f>IF(D834="Sale",E834*F834,IF(D834="Return",-E834*F834,""))</f>
        <v/>
      </c>
      <c r="H834" s="17">
        <f>IFERROR(IF(D834="Sale",E834*INDEX(Products!$E$6:$E$205,MATCH(C834,Products!$B$6:$B$205,0)),IF(D834="Return",-E834*INDEX(Products!$E$6:$E$205,MATCH(C834,Products!$B$6:$B$205,0)),"")),"")</f>
        <v/>
      </c>
      <c r="I834" s="24" t="n"/>
      <c r="J834" s="1" t="n"/>
    </row>
    <row r="835">
      <c r="A835" s="1" t="n"/>
      <c r="B835" s="30" t="n"/>
      <c r="C835" s="23" t="n"/>
      <c r="D835" s="23" t="n"/>
      <c r="E835" s="26" t="n"/>
      <c r="F835" s="25" t="n"/>
      <c r="G835" s="17">
        <f>IF(D835="Sale",E835*F835,IF(D835="Return",-E835*F835,""))</f>
        <v/>
      </c>
      <c r="H835" s="17">
        <f>IFERROR(IF(D835="Sale",E835*INDEX(Products!$E$6:$E$205,MATCH(C835,Products!$B$6:$B$205,0)),IF(D835="Return",-E835*INDEX(Products!$E$6:$E$205,MATCH(C835,Products!$B$6:$B$205,0)),"")),"")</f>
        <v/>
      </c>
      <c r="I835" s="24" t="n"/>
      <c r="J835" s="1" t="n"/>
    </row>
    <row r="836">
      <c r="A836" s="1" t="n"/>
      <c r="B836" s="30" t="n"/>
      <c r="C836" s="23" t="n"/>
      <c r="D836" s="23" t="n"/>
      <c r="E836" s="26" t="n"/>
      <c r="F836" s="25" t="n"/>
      <c r="G836" s="17">
        <f>IF(D836="Sale",E836*F836,IF(D836="Return",-E836*F836,""))</f>
        <v/>
      </c>
      <c r="H836" s="17">
        <f>IFERROR(IF(D836="Sale",E836*INDEX(Products!$E$6:$E$205,MATCH(C836,Products!$B$6:$B$205,0)),IF(D836="Return",-E836*INDEX(Products!$E$6:$E$205,MATCH(C836,Products!$B$6:$B$205,0)),"")),"")</f>
        <v/>
      </c>
      <c r="I836" s="24" t="n"/>
      <c r="J836" s="1" t="n"/>
    </row>
    <row r="837">
      <c r="A837" s="1" t="n"/>
      <c r="B837" s="30" t="n"/>
      <c r="C837" s="23" t="n"/>
      <c r="D837" s="23" t="n"/>
      <c r="E837" s="26" t="n"/>
      <c r="F837" s="25" t="n"/>
      <c r="G837" s="17">
        <f>IF(D837="Sale",E837*F837,IF(D837="Return",-E837*F837,""))</f>
        <v/>
      </c>
      <c r="H837" s="17">
        <f>IFERROR(IF(D837="Sale",E837*INDEX(Products!$E$6:$E$205,MATCH(C837,Products!$B$6:$B$205,0)),IF(D837="Return",-E837*INDEX(Products!$E$6:$E$205,MATCH(C837,Products!$B$6:$B$205,0)),"")),"")</f>
        <v/>
      </c>
      <c r="I837" s="24" t="n"/>
      <c r="J837" s="1" t="n"/>
    </row>
    <row r="838">
      <c r="A838" s="1" t="n"/>
      <c r="B838" s="30" t="n"/>
      <c r="C838" s="23" t="n"/>
      <c r="D838" s="23" t="n"/>
      <c r="E838" s="26" t="n"/>
      <c r="F838" s="25" t="n"/>
      <c r="G838" s="17">
        <f>IF(D838="Sale",E838*F838,IF(D838="Return",-E838*F838,""))</f>
        <v/>
      </c>
      <c r="H838" s="17">
        <f>IFERROR(IF(D838="Sale",E838*INDEX(Products!$E$6:$E$205,MATCH(C838,Products!$B$6:$B$205,0)),IF(D838="Return",-E838*INDEX(Products!$E$6:$E$205,MATCH(C838,Products!$B$6:$B$205,0)),"")),"")</f>
        <v/>
      </c>
      <c r="I838" s="24" t="n"/>
      <c r="J838" s="1" t="n"/>
    </row>
    <row r="839">
      <c r="A839" s="1" t="n"/>
      <c r="B839" s="30" t="n"/>
      <c r="C839" s="23" t="n"/>
      <c r="D839" s="23" t="n"/>
      <c r="E839" s="26" t="n"/>
      <c r="F839" s="25" t="n"/>
      <c r="G839" s="17">
        <f>IF(D839="Sale",E839*F839,IF(D839="Return",-E839*F839,""))</f>
        <v/>
      </c>
      <c r="H839" s="17">
        <f>IFERROR(IF(D839="Sale",E839*INDEX(Products!$E$6:$E$205,MATCH(C839,Products!$B$6:$B$205,0)),IF(D839="Return",-E839*INDEX(Products!$E$6:$E$205,MATCH(C839,Products!$B$6:$B$205,0)),"")),"")</f>
        <v/>
      </c>
      <c r="I839" s="24" t="n"/>
      <c r="J839" s="1" t="n"/>
    </row>
    <row r="840">
      <c r="A840" s="1" t="n"/>
      <c r="B840" s="30" t="n"/>
      <c r="C840" s="23" t="n"/>
      <c r="D840" s="23" t="n"/>
      <c r="E840" s="26" t="n"/>
      <c r="F840" s="25" t="n"/>
      <c r="G840" s="17">
        <f>IF(D840="Sale",E840*F840,IF(D840="Return",-E840*F840,""))</f>
        <v/>
      </c>
      <c r="H840" s="17">
        <f>IFERROR(IF(D840="Sale",E840*INDEX(Products!$E$6:$E$205,MATCH(C840,Products!$B$6:$B$205,0)),IF(D840="Return",-E840*INDEX(Products!$E$6:$E$205,MATCH(C840,Products!$B$6:$B$205,0)),"")),"")</f>
        <v/>
      </c>
      <c r="I840" s="24" t="n"/>
      <c r="J840" s="1" t="n"/>
    </row>
    <row r="841">
      <c r="A841" s="1" t="n"/>
      <c r="B841" s="30" t="n"/>
      <c r="C841" s="23" t="n"/>
      <c r="D841" s="23" t="n"/>
      <c r="E841" s="26" t="n"/>
      <c r="F841" s="25" t="n"/>
      <c r="G841" s="17">
        <f>IF(D841="Sale",E841*F841,IF(D841="Return",-E841*F841,""))</f>
        <v/>
      </c>
      <c r="H841" s="17">
        <f>IFERROR(IF(D841="Sale",E841*INDEX(Products!$E$6:$E$205,MATCH(C841,Products!$B$6:$B$205,0)),IF(D841="Return",-E841*INDEX(Products!$E$6:$E$205,MATCH(C841,Products!$B$6:$B$205,0)),"")),"")</f>
        <v/>
      </c>
      <c r="I841" s="24" t="n"/>
      <c r="J841" s="1" t="n"/>
    </row>
    <row r="842">
      <c r="A842" s="1" t="n"/>
      <c r="B842" s="30" t="n"/>
      <c r="C842" s="23" t="n"/>
      <c r="D842" s="23" t="n"/>
      <c r="E842" s="26" t="n"/>
      <c r="F842" s="25" t="n"/>
      <c r="G842" s="17">
        <f>IF(D842="Sale",E842*F842,IF(D842="Return",-E842*F842,""))</f>
        <v/>
      </c>
      <c r="H842" s="17">
        <f>IFERROR(IF(D842="Sale",E842*INDEX(Products!$E$6:$E$205,MATCH(C842,Products!$B$6:$B$205,0)),IF(D842="Return",-E842*INDEX(Products!$E$6:$E$205,MATCH(C842,Products!$B$6:$B$205,0)),"")),"")</f>
        <v/>
      </c>
      <c r="I842" s="24" t="n"/>
      <c r="J842" s="1" t="n"/>
    </row>
    <row r="843">
      <c r="A843" s="1" t="n"/>
      <c r="B843" s="30" t="n"/>
      <c r="C843" s="23" t="n"/>
      <c r="D843" s="23" t="n"/>
      <c r="E843" s="26" t="n"/>
      <c r="F843" s="25" t="n"/>
      <c r="G843" s="17">
        <f>IF(D843="Sale",E843*F843,IF(D843="Return",-E843*F843,""))</f>
        <v/>
      </c>
      <c r="H843" s="17">
        <f>IFERROR(IF(D843="Sale",E843*INDEX(Products!$E$6:$E$205,MATCH(C843,Products!$B$6:$B$205,0)),IF(D843="Return",-E843*INDEX(Products!$E$6:$E$205,MATCH(C843,Products!$B$6:$B$205,0)),"")),"")</f>
        <v/>
      </c>
      <c r="I843" s="24" t="n"/>
      <c r="J843" s="1" t="n"/>
    </row>
    <row r="844">
      <c r="A844" s="1" t="n"/>
      <c r="B844" s="30" t="n"/>
      <c r="C844" s="23" t="n"/>
      <c r="D844" s="23" t="n"/>
      <c r="E844" s="26" t="n"/>
      <c r="F844" s="25" t="n"/>
      <c r="G844" s="17">
        <f>IF(D844="Sale",E844*F844,IF(D844="Return",-E844*F844,""))</f>
        <v/>
      </c>
      <c r="H844" s="17">
        <f>IFERROR(IF(D844="Sale",E844*INDEX(Products!$E$6:$E$205,MATCH(C844,Products!$B$6:$B$205,0)),IF(D844="Return",-E844*INDEX(Products!$E$6:$E$205,MATCH(C844,Products!$B$6:$B$205,0)),"")),"")</f>
        <v/>
      </c>
      <c r="I844" s="24" t="n"/>
      <c r="J844" s="1" t="n"/>
    </row>
    <row r="845">
      <c r="A845" s="1" t="n"/>
      <c r="B845" s="30" t="n"/>
      <c r="C845" s="23" t="n"/>
      <c r="D845" s="23" t="n"/>
      <c r="E845" s="26" t="n"/>
      <c r="F845" s="25" t="n"/>
      <c r="G845" s="17">
        <f>IF(D845="Sale",E845*F845,IF(D845="Return",-E845*F845,""))</f>
        <v/>
      </c>
      <c r="H845" s="17">
        <f>IFERROR(IF(D845="Sale",E845*INDEX(Products!$E$6:$E$205,MATCH(C845,Products!$B$6:$B$205,0)),IF(D845="Return",-E845*INDEX(Products!$E$6:$E$205,MATCH(C845,Products!$B$6:$B$205,0)),"")),"")</f>
        <v/>
      </c>
      <c r="I845" s="24" t="n"/>
      <c r="J845" s="1" t="n"/>
    </row>
    <row r="846">
      <c r="A846" s="1" t="n"/>
      <c r="B846" s="30" t="n"/>
      <c r="C846" s="23" t="n"/>
      <c r="D846" s="23" t="n"/>
      <c r="E846" s="26" t="n"/>
      <c r="F846" s="25" t="n"/>
      <c r="G846" s="17">
        <f>IF(D846="Sale",E846*F846,IF(D846="Return",-E846*F846,""))</f>
        <v/>
      </c>
      <c r="H846" s="17">
        <f>IFERROR(IF(D846="Sale",E846*INDEX(Products!$E$6:$E$205,MATCH(C846,Products!$B$6:$B$205,0)),IF(D846="Return",-E846*INDEX(Products!$E$6:$E$205,MATCH(C846,Products!$B$6:$B$205,0)),"")),"")</f>
        <v/>
      </c>
      <c r="I846" s="24" t="n"/>
      <c r="J846" s="1" t="n"/>
    </row>
    <row r="847">
      <c r="A847" s="1" t="n"/>
      <c r="B847" s="30" t="n"/>
      <c r="C847" s="23" t="n"/>
      <c r="D847" s="23" t="n"/>
      <c r="E847" s="26" t="n"/>
      <c r="F847" s="25" t="n"/>
      <c r="G847" s="17">
        <f>IF(D847="Sale",E847*F847,IF(D847="Return",-E847*F847,""))</f>
        <v/>
      </c>
      <c r="H847" s="17">
        <f>IFERROR(IF(D847="Sale",E847*INDEX(Products!$E$6:$E$205,MATCH(C847,Products!$B$6:$B$205,0)),IF(D847="Return",-E847*INDEX(Products!$E$6:$E$205,MATCH(C847,Products!$B$6:$B$205,0)),"")),"")</f>
        <v/>
      </c>
      <c r="I847" s="24" t="n"/>
      <c r="J847" s="1" t="n"/>
    </row>
    <row r="848">
      <c r="A848" s="1" t="n"/>
      <c r="B848" s="30" t="n"/>
      <c r="C848" s="23" t="n"/>
      <c r="D848" s="23" t="n"/>
      <c r="E848" s="26" t="n"/>
      <c r="F848" s="25" t="n"/>
      <c r="G848" s="17">
        <f>IF(D848="Sale",E848*F848,IF(D848="Return",-E848*F848,""))</f>
        <v/>
      </c>
      <c r="H848" s="17">
        <f>IFERROR(IF(D848="Sale",E848*INDEX(Products!$E$6:$E$205,MATCH(C848,Products!$B$6:$B$205,0)),IF(D848="Return",-E848*INDEX(Products!$E$6:$E$205,MATCH(C848,Products!$B$6:$B$205,0)),"")),"")</f>
        <v/>
      </c>
      <c r="I848" s="24" t="n"/>
      <c r="J848" s="1" t="n"/>
    </row>
    <row r="849">
      <c r="A849" s="1" t="n"/>
      <c r="B849" s="30" t="n"/>
      <c r="C849" s="23" t="n"/>
      <c r="D849" s="23" t="n"/>
      <c r="E849" s="26" t="n"/>
      <c r="F849" s="25" t="n"/>
      <c r="G849" s="17">
        <f>IF(D849="Sale",E849*F849,IF(D849="Return",-E849*F849,""))</f>
        <v/>
      </c>
      <c r="H849" s="17">
        <f>IFERROR(IF(D849="Sale",E849*INDEX(Products!$E$6:$E$205,MATCH(C849,Products!$B$6:$B$205,0)),IF(D849="Return",-E849*INDEX(Products!$E$6:$E$205,MATCH(C849,Products!$B$6:$B$205,0)),"")),"")</f>
        <v/>
      </c>
      <c r="I849" s="24" t="n"/>
      <c r="J849" s="1" t="n"/>
    </row>
    <row r="850">
      <c r="A850" s="1" t="n"/>
      <c r="B850" s="30" t="n"/>
      <c r="C850" s="23" t="n"/>
      <c r="D850" s="23" t="n"/>
      <c r="E850" s="26" t="n"/>
      <c r="F850" s="25" t="n"/>
      <c r="G850" s="17">
        <f>IF(D850="Sale",E850*F850,IF(D850="Return",-E850*F850,""))</f>
        <v/>
      </c>
      <c r="H850" s="17">
        <f>IFERROR(IF(D850="Sale",E850*INDEX(Products!$E$6:$E$205,MATCH(C850,Products!$B$6:$B$205,0)),IF(D850="Return",-E850*INDEX(Products!$E$6:$E$205,MATCH(C850,Products!$B$6:$B$205,0)),"")),"")</f>
        <v/>
      </c>
      <c r="I850" s="24" t="n"/>
      <c r="J850" s="1" t="n"/>
    </row>
    <row r="851">
      <c r="A851" s="1" t="n"/>
      <c r="B851" s="30" t="n"/>
      <c r="C851" s="23" t="n"/>
      <c r="D851" s="23" t="n"/>
      <c r="E851" s="26" t="n"/>
      <c r="F851" s="25" t="n"/>
      <c r="G851" s="17">
        <f>IF(D851="Sale",E851*F851,IF(D851="Return",-E851*F851,""))</f>
        <v/>
      </c>
      <c r="H851" s="17">
        <f>IFERROR(IF(D851="Sale",E851*INDEX(Products!$E$6:$E$205,MATCH(C851,Products!$B$6:$B$205,0)),IF(D851="Return",-E851*INDEX(Products!$E$6:$E$205,MATCH(C851,Products!$B$6:$B$205,0)),"")),"")</f>
        <v/>
      </c>
      <c r="I851" s="24" t="n"/>
      <c r="J851" s="1" t="n"/>
    </row>
    <row r="852">
      <c r="A852" s="1" t="n"/>
      <c r="B852" s="30" t="n"/>
      <c r="C852" s="23" t="n"/>
      <c r="D852" s="23" t="n"/>
      <c r="E852" s="26" t="n"/>
      <c r="F852" s="25" t="n"/>
      <c r="G852" s="17">
        <f>IF(D852="Sale",E852*F852,IF(D852="Return",-E852*F852,""))</f>
        <v/>
      </c>
      <c r="H852" s="17">
        <f>IFERROR(IF(D852="Sale",E852*INDEX(Products!$E$6:$E$205,MATCH(C852,Products!$B$6:$B$205,0)),IF(D852="Return",-E852*INDEX(Products!$E$6:$E$205,MATCH(C852,Products!$B$6:$B$205,0)),"")),"")</f>
        <v/>
      </c>
      <c r="I852" s="24" t="n"/>
      <c r="J852" s="1" t="n"/>
    </row>
    <row r="853">
      <c r="A853" s="1" t="n"/>
      <c r="B853" s="30" t="n"/>
      <c r="C853" s="23" t="n"/>
      <c r="D853" s="23" t="n"/>
      <c r="E853" s="26" t="n"/>
      <c r="F853" s="25" t="n"/>
      <c r="G853" s="17">
        <f>IF(D853="Sale",E853*F853,IF(D853="Return",-E853*F853,""))</f>
        <v/>
      </c>
      <c r="H853" s="17">
        <f>IFERROR(IF(D853="Sale",E853*INDEX(Products!$E$6:$E$205,MATCH(C853,Products!$B$6:$B$205,0)),IF(D853="Return",-E853*INDEX(Products!$E$6:$E$205,MATCH(C853,Products!$B$6:$B$205,0)),"")),"")</f>
        <v/>
      </c>
      <c r="I853" s="24" t="n"/>
      <c r="J853" s="1" t="n"/>
    </row>
    <row r="854">
      <c r="A854" s="1" t="n"/>
      <c r="B854" s="30" t="n"/>
      <c r="C854" s="23" t="n"/>
      <c r="D854" s="23" t="n"/>
      <c r="E854" s="26" t="n"/>
      <c r="F854" s="25" t="n"/>
      <c r="G854" s="17">
        <f>IF(D854="Sale",E854*F854,IF(D854="Return",-E854*F854,""))</f>
        <v/>
      </c>
      <c r="H854" s="17">
        <f>IFERROR(IF(D854="Sale",E854*INDEX(Products!$E$6:$E$205,MATCH(C854,Products!$B$6:$B$205,0)),IF(D854="Return",-E854*INDEX(Products!$E$6:$E$205,MATCH(C854,Products!$B$6:$B$205,0)),"")),"")</f>
        <v/>
      </c>
      <c r="I854" s="24" t="n"/>
      <c r="J854" s="1" t="n"/>
    </row>
    <row r="855">
      <c r="A855" s="1" t="n"/>
      <c r="B855" s="30" t="n"/>
      <c r="C855" s="23" t="n"/>
      <c r="D855" s="23" t="n"/>
      <c r="E855" s="26" t="n"/>
      <c r="F855" s="25" t="n"/>
      <c r="G855" s="17">
        <f>IF(D855="Sale",E855*F855,IF(D855="Return",-E855*F855,""))</f>
        <v/>
      </c>
      <c r="H855" s="17">
        <f>IFERROR(IF(D855="Sale",E855*INDEX(Products!$E$6:$E$205,MATCH(C855,Products!$B$6:$B$205,0)),IF(D855="Return",-E855*INDEX(Products!$E$6:$E$205,MATCH(C855,Products!$B$6:$B$205,0)),"")),"")</f>
        <v/>
      </c>
      <c r="I855" s="24" t="n"/>
      <c r="J855" s="1" t="n"/>
    </row>
    <row r="856">
      <c r="A856" s="1" t="n"/>
      <c r="B856" s="30" t="n"/>
      <c r="C856" s="23" t="n"/>
      <c r="D856" s="23" t="n"/>
      <c r="E856" s="26" t="n"/>
      <c r="F856" s="25" t="n"/>
      <c r="G856" s="17">
        <f>IF(D856="Sale",E856*F856,IF(D856="Return",-E856*F856,""))</f>
        <v/>
      </c>
      <c r="H856" s="17">
        <f>IFERROR(IF(D856="Sale",E856*INDEX(Products!$E$6:$E$205,MATCH(C856,Products!$B$6:$B$205,0)),IF(D856="Return",-E856*INDEX(Products!$E$6:$E$205,MATCH(C856,Products!$B$6:$B$205,0)),"")),"")</f>
        <v/>
      </c>
      <c r="I856" s="24" t="n"/>
      <c r="J856" s="1" t="n"/>
    </row>
    <row r="857">
      <c r="A857" s="1" t="n"/>
      <c r="B857" s="30" t="n"/>
      <c r="C857" s="23" t="n"/>
      <c r="D857" s="23" t="n"/>
      <c r="E857" s="26" t="n"/>
      <c r="F857" s="25" t="n"/>
      <c r="G857" s="17">
        <f>IF(D857="Sale",E857*F857,IF(D857="Return",-E857*F857,""))</f>
        <v/>
      </c>
      <c r="H857" s="17">
        <f>IFERROR(IF(D857="Sale",E857*INDEX(Products!$E$6:$E$205,MATCH(C857,Products!$B$6:$B$205,0)),IF(D857="Return",-E857*INDEX(Products!$E$6:$E$205,MATCH(C857,Products!$B$6:$B$205,0)),"")),"")</f>
        <v/>
      </c>
      <c r="I857" s="24" t="n"/>
      <c r="J857" s="1" t="n"/>
    </row>
    <row r="858">
      <c r="A858" s="1" t="n"/>
      <c r="B858" s="30" t="n"/>
      <c r="C858" s="23" t="n"/>
      <c r="D858" s="23" t="n"/>
      <c r="E858" s="26" t="n"/>
      <c r="F858" s="25" t="n"/>
      <c r="G858" s="17">
        <f>IF(D858="Sale",E858*F858,IF(D858="Return",-E858*F858,""))</f>
        <v/>
      </c>
      <c r="H858" s="17">
        <f>IFERROR(IF(D858="Sale",E858*INDEX(Products!$E$6:$E$205,MATCH(C858,Products!$B$6:$B$205,0)),IF(D858="Return",-E858*INDEX(Products!$E$6:$E$205,MATCH(C858,Products!$B$6:$B$205,0)),"")),"")</f>
        <v/>
      </c>
      <c r="I858" s="24" t="n"/>
      <c r="J858" s="1" t="n"/>
    </row>
    <row r="859">
      <c r="A859" s="1" t="n"/>
      <c r="B859" s="30" t="n"/>
      <c r="C859" s="23" t="n"/>
      <c r="D859" s="23" t="n"/>
      <c r="E859" s="26" t="n"/>
      <c r="F859" s="25" t="n"/>
      <c r="G859" s="17">
        <f>IF(D859="Sale",E859*F859,IF(D859="Return",-E859*F859,""))</f>
        <v/>
      </c>
      <c r="H859" s="17">
        <f>IFERROR(IF(D859="Sale",E859*INDEX(Products!$E$6:$E$205,MATCH(C859,Products!$B$6:$B$205,0)),IF(D859="Return",-E859*INDEX(Products!$E$6:$E$205,MATCH(C859,Products!$B$6:$B$205,0)),"")),"")</f>
        <v/>
      </c>
      <c r="I859" s="24" t="n"/>
      <c r="J859" s="1" t="n"/>
    </row>
    <row r="860">
      <c r="A860" s="1" t="n"/>
      <c r="B860" s="30" t="n"/>
      <c r="C860" s="23" t="n"/>
      <c r="D860" s="23" t="n"/>
      <c r="E860" s="26" t="n"/>
      <c r="F860" s="25" t="n"/>
      <c r="G860" s="17">
        <f>IF(D860="Sale",E860*F860,IF(D860="Return",-E860*F860,""))</f>
        <v/>
      </c>
      <c r="H860" s="17">
        <f>IFERROR(IF(D860="Sale",E860*INDEX(Products!$E$6:$E$205,MATCH(C860,Products!$B$6:$B$205,0)),IF(D860="Return",-E860*INDEX(Products!$E$6:$E$205,MATCH(C860,Products!$B$6:$B$205,0)),"")),"")</f>
        <v/>
      </c>
      <c r="I860" s="24" t="n"/>
      <c r="J860" s="1" t="n"/>
    </row>
    <row r="861">
      <c r="A861" s="1" t="n"/>
      <c r="B861" s="30" t="n"/>
      <c r="C861" s="23" t="n"/>
      <c r="D861" s="23" t="n"/>
      <c r="E861" s="26" t="n"/>
      <c r="F861" s="25" t="n"/>
      <c r="G861" s="17">
        <f>IF(D861="Sale",E861*F861,IF(D861="Return",-E861*F861,""))</f>
        <v/>
      </c>
      <c r="H861" s="17">
        <f>IFERROR(IF(D861="Sale",E861*INDEX(Products!$E$6:$E$205,MATCH(C861,Products!$B$6:$B$205,0)),IF(D861="Return",-E861*INDEX(Products!$E$6:$E$205,MATCH(C861,Products!$B$6:$B$205,0)),"")),"")</f>
        <v/>
      </c>
      <c r="I861" s="24" t="n"/>
      <c r="J861" s="1" t="n"/>
    </row>
    <row r="862">
      <c r="A862" s="1" t="n"/>
      <c r="B862" s="30" t="n"/>
      <c r="C862" s="23" t="n"/>
      <c r="D862" s="23" t="n"/>
      <c r="E862" s="26" t="n"/>
      <c r="F862" s="25" t="n"/>
      <c r="G862" s="17">
        <f>IF(D862="Sale",E862*F862,IF(D862="Return",-E862*F862,""))</f>
        <v/>
      </c>
      <c r="H862" s="17">
        <f>IFERROR(IF(D862="Sale",E862*INDEX(Products!$E$6:$E$205,MATCH(C862,Products!$B$6:$B$205,0)),IF(D862="Return",-E862*INDEX(Products!$E$6:$E$205,MATCH(C862,Products!$B$6:$B$205,0)),"")),"")</f>
        <v/>
      </c>
      <c r="I862" s="24" t="n"/>
      <c r="J862" s="1" t="n"/>
    </row>
    <row r="863">
      <c r="A863" s="1" t="n"/>
      <c r="B863" s="30" t="n"/>
      <c r="C863" s="23" t="n"/>
      <c r="D863" s="23" t="n"/>
      <c r="E863" s="26" t="n"/>
      <c r="F863" s="25" t="n"/>
      <c r="G863" s="17">
        <f>IF(D863="Sale",E863*F863,IF(D863="Return",-E863*F863,""))</f>
        <v/>
      </c>
      <c r="H863" s="17">
        <f>IFERROR(IF(D863="Sale",E863*INDEX(Products!$E$6:$E$205,MATCH(C863,Products!$B$6:$B$205,0)),IF(D863="Return",-E863*INDEX(Products!$E$6:$E$205,MATCH(C863,Products!$B$6:$B$205,0)),"")),"")</f>
        <v/>
      </c>
      <c r="I863" s="24" t="n"/>
      <c r="J863" s="1" t="n"/>
    </row>
    <row r="864">
      <c r="A864" s="1" t="n"/>
      <c r="B864" s="30" t="n"/>
      <c r="C864" s="23" t="n"/>
      <c r="D864" s="23" t="n"/>
      <c r="E864" s="26" t="n"/>
      <c r="F864" s="25" t="n"/>
      <c r="G864" s="17">
        <f>IF(D864="Sale",E864*F864,IF(D864="Return",-E864*F864,""))</f>
        <v/>
      </c>
      <c r="H864" s="17">
        <f>IFERROR(IF(D864="Sale",E864*INDEX(Products!$E$6:$E$205,MATCH(C864,Products!$B$6:$B$205,0)),IF(D864="Return",-E864*INDEX(Products!$E$6:$E$205,MATCH(C864,Products!$B$6:$B$205,0)),"")),"")</f>
        <v/>
      </c>
      <c r="I864" s="24" t="n"/>
      <c r="J864" s="1" t="n"/>
    </row>
    <row r="865">
      <c r="A865" s="1" t="n"/>
      <c r="B865" s="30" t="n"/>
      <c r="C865" s="23" t="n"/>
      <c r="D865" s="23" t="n"/>
      <c r="E865" s="26" t="n"/>
      <c r="F865" s="25" t="n"/>
      <c r="G865" s="17">
        <f>IF(D865="Sale",E865*F865,IF(D865="Return",-E865*F865,""))</f>
        <v/>
      </c>
      <c r="H865" s="17">
        <f>IFERROR(IF(D865="Sale",E865*INDEX(Products!$E$6:$E$205,MATCH(C865,Products!$B$6:$B$205,0)),IF(D865="Return",-E865*INDEX(Products!$E$6:$E$205,MATCH(C865,Products!$B$6:$B$205,0)),"")),"")</f>
        <v/>
      </c>
      <c r="I865" s="24" t="n"/>
      <c r="J865" s="1" t="n"/>
    </row>
    <row r="866">
      <c r="A866" s="1" t="n"/>
      <c r="B866" s="30" t="n"/>
      <c r="C866" s="23" t="n"/>
      <c r="D866" s="23" t="n"/>
      <c r="E866" s="26" t="n"/>
      <c r="F866" s="25" t="n"/>
      <c r="G866" s="17">
        <f>IF(D866="Sale",E866*F866,IF(D866="Return",-E866*F866,""))</f>
        <v/>
      </c>
      <c r="H866" s="17">
        <f>IFERROR(IF(D866="Sale",E866*INDEX(Products!$E$6:$E$205,MATCH(C866,Products!$B$6:$B$205,0)),IF(D866="Return",-E866*INDEX(Products!$E$6:$E$205,MATCH(C866,Products!$B$6:$B$205,0)),"")),"")</f>
        <v/>
      </c>
      <c r="I866" s="24" t="n"/>
      <c r="J866" s="1" t="n"/>
    </row>
    <row r="867">
      <c r="A867" s="1" t="n"/>
      <c r="B867" s="30" t="n"/>
      <c r="C867" s="23" t="n"/>
      <c r="D867" s="23" t="n"/>
      <c r="E867" s="26" t="n"/>
      <c r="F867" s="25" t="n"/>
      <c r="G867" s="17">
        <f>IF(D867="Sale",E867*F867,IF(D867="Return",-E867*F867,""))</f>
        <v/>
      </c>
      <c r="H867" s="17">
        <f>IFERROR(IF(D867="Sale",E867*INDEX(Products!$E$6:$E$205,MATCH(C867,Products!$B$6:$B$205,0)),IF(D867="Return",-E867*INDEX(Products!$E$6:$E$205,MATCH(C867,Products!$B$6:$B$205,0)),"")),"")</f>
        <v/>
      </c>
      <c r="I867" s="24" t="n"/>
      <c r="J867" s="1" t="n"/>
    </row>
    <row r="868">
      <c r="A868" s="1" t="n"/>
      <c r="B868" s="30" t="n"/>
      <c r="C868" s="23" t="n"/>
      <c r="D868" s="23" t="n"/>
      <c r="E868" s="26" t="n"/>
      <c r="F868" s="25" t="n"/>
      <c r="G868" s="17">
        <f>IF(D868="Sale",E868*F868,IF(D868="Return",-E868*F868,""))</f>
        <v/>
      </c>
      <c r="H868" s="17">
        <f>IFERROR(IF(D868="Sale",E868*INDEX(Products!$E$6:$E$205,MATCH(C868,Products!$B$6:$B$205,0)),IF(D868="Return",-E868*INDEX(Products!$E$6:$E$205,MATCH(C868,Products!$B$6:$B$205,0)),"")),"")</f>
        <v/>
      </c>
      <c r="I868" s="24" t="n"/>
      <c r="J868" s="1" t="n"/>
    </row>
    <row r="869">
      <c r="A869" s="1" t="n"/>
      <c r="B869" s="30" t="n"/>
      <c r="C869" s="23" t="n"/>
      <c r="D869" s="23" t="n"/>
      <c r="E869" s="26" t="n"/>
      <c r="F869" s="25" t="n"/>
      <c r="G869" s="17">
        <f>IF(D869="Sale",E869*F869,IF(D869="Return",-E869*F869,""))</f>
        <v/>
      </c>
      <c r="H869" s="17">
        <f>IFERROR(IF(D869="Sale",E869*INDEX(Products!$E$6:$E$205,MATCH(C869,Products!$B$6:$B$205,0)),IF(D869="Return",-E869*INDEX(Products!$E$6:$E$205,MATCH(C869,Products!$B$6:$B$205,0)),"")),"")</f>
        <v/>
      </c>
      <c r="I869" s="24" t="n"/>
      <c r="J869" s="1" t="n"/>
    </row>
    <row r="870">
      <c r="A870" s="1" t="n"/>
      <c r="B870" s="30" t="n"/>
      <c r="C870" s="23" t="n"/>
      <c r="D870" s="23" t="n"/>
      <c r="E870" s="26" t="n"/>
      <c r="F870" s="25" t="n"/>
      <c r="G870" s="17">
        <f>IF(D870="Sale",E870*F870,IF(D870="Return",-E870*F870,""))</f>
        <v/>
      </c>
      <c r="H870" s="17">
        <f>IFERROR(IF(D870="Sale",E870*INDEX(Products!$E$6:$E$205,MATCH(C870,Products!$B$6:$B$205,0)),IF(D870="Return",-E870*INDEX(Products!$E$6:$E$205,MATCH(C870,Products!$B$6:$B$205,0)),"")),"")</f>
        <v/>
      </c>
      <c r="I870" s="24" t="n"/>
      <c r="J870" s="1" t="n"/>
    </row>
    <row r="871">
      <c r="A871" s="1" t="n"/>
      <c r="B871" s="30" t="n"/>
      <c r="C871" s="23" t="n"/>
      <c r="D871" s="23" t="n"/>
      <c r="E871" s="26" t="n"/>
      <c r="F871" s="25" t="n"/>
      <c r="G871" s="17">
        <f>IF(D871="Sale",E871*F871,IF(D871="Return",-E871*F871,""))</f>
        <v/>
      </c>
      <c r="H871" s="17">
        <f>IFERROR(IF(D871="Sale",E871*INDEX(Products!$E$6:$E$205,MATCH(C871,Products!$B$6:$B$205,0)),IF(D871="Return",-E871*INDEX(Products!$E$6:$E$205,MATCH(C871,Products!$B$6:$B$205,0)),"")),"")</f>
        <v/>
      </c>
      <c r="I871" s="24" t="n"/>
      <c r="J871" s="1" t="n"/>
    </row>
    <row r="872">
      <c r="A872" s="1" t="n"/>
      <c r="B872" s="30" t="n"/>
      <c r="C872" s="23" t="n"/>
      <c r="D872" s="23" t="n"/>
      <c r="E872" s="26" t="n"/>
      <c r="F872" s="25" t="n"/>
      <c r="G872" s="17">
        <f>IF(D872="Sale",E872*F872,IF(D872="Return",-E872*F872,""))</f>
        <v/>
      </c>
      <c r="H872" s="17">
        <f>IFERROR(IF(D872="Sale",E872*INDEX(Products!$E$6:$E$205,MATCH(C872,Products!$B$6:$B$205,0)),IF(D872="Return",-E872*INDEX(Products!$E$6:$E$205,MATCH(C872,Products!$B$6:$B$205,0)),"")),"")</f>
        <v/>
      </c>
      <c r="I872" s="24" t="n"/>
      <c r="J872" s="1" t="n"/>
    </row>
    <row r="873">
      <c r="A873" s="1" t="n"/>
      <c r="B873" s="30" t="n"/>
      <c r="C873" s="23" t="n"/>
      <c r="D873" s="23" t="n"/>
      <c r="E873" s="26" t="n"/>
      <c r="F873" s="25" t="n"/>
      <c r="G873" s="17">
        <f>IF(D873="Sale",E873*F873,IF(D873="Return",-E873*F873,""))</f>
        <v/>
      </c>
      <c r="H873" s="17">
        <f>IFERROR(IF(D873="Sale",E873*INDEX(Products!$E$6:$E$205,MATCH(C873,Products!$B$6:$B$205,0)),IF(D873="Return",-E873*INDEX(Products!$E$6:$E$205,MATCH(C873,Products!$B$6:$B$205,0)),"")),"")</f>
        <v/>
      </c>
      <c r="I873" s="24" t="n"/>
      <c r="J873" s="1" t="n"/>
    </row>
    <row r="874">
      <c r="A874" s="1" t="n"/>
      <c r="B874" s="30" t="n"/>
      <c r="C874" s="23" t="n"/>
      <c r="D874" s="23" t="n"/>
      <c r="E874" s="26" t="n"/>
      <c r="F874" s="25" t="n"/>
      <c r="G874" s="17">
        <f>IF(D874="Sale",E874*F874,IF(D874="Return",-E874*F874,""))</f>
        <v/>
      </c>
      <c r="H874" s="17">
        <f>IFERROR(IF(D874="Sale",E874*INDEX(Products!$E$6:$E$205,MATCH(C874,Products!$B$6:$B$205,0)),IF(D874="Return",-E874*INDEX(Products!$E$6:$E$205,MATCH(C874,Products!$B$6:$B$205,0)),"")),"")</f>
        <v/>
      </c>
      <c r="I874" s="24" t="n"/>
      <c r="J874" s="1" t="n"/>
    </row>
    <row r="875">
      <c r="A875" s="1" t="n"/>
      <c r="B875" s="30" t="n"/>
      <c r="C875" s="23" t="n"/>
      <c r="D875" s="23" t="n"/>
      <c r="E875" s="26" t="n"/>
      <c r="F875" s="25" t="n"/>
      <c r="G875" s="17">
        <f>IF(D875="Sale",E875*F875,IF(D875="Return",-E875*F875,""))</f>
        <v/>
      </c>
      <c r="H875" s="17">
        <f>IFERROR(IF(D875="Sale",E875*INDEX(Products!$E$6:$E$205,MATCH(C875,Products!$B$6:$B$205,0)),IF(D875="Return",-E875*INDEX(Products!$E$6:$E$205,MATCH(C875,Products!$B$6:$B$205,0)),"")),"")</f>
        <v/>
      </c>
      <c r="I875" s="24" t="n"/>
      <c r="J875" s="1" t="n"/>
    </row>
    <row r="876">
      <c r="A876" s="1" t="n"/>
      <c r="B876" s="30" t="n"/>
      <c r="C876" s="23" t="n"/>
      <c r="D876" s="23" t="n"/>
      <c r="E876" s="26" t="n"/>
      <c r="F876" s="25" t="n"/>
      <c r="G876" s="17">
        <f>IF(D876="Sale",E876*F876,IF(D876="Return",-E876*F876,""))</f>
        <v/>
      </c>
      <c r="H876" s="17">
        <f>IFERROR(IF(D876="Sale",E876*INDEX(Products!$E$6:$E$205,MATCH(C876,Products!$B$6:$B$205,0)),IF(D876="Return",-E876*INDEX(Products!$E$6:$E$205,MATCH(C876,Products!$B$6:$B$205,0)),"")),"")</f>
        <v/>
      </c>
      <c r="I876" s="24" t="n"/>
      <c r="J876" s="1" t="n"/>
    </row>
    <row r="877">
      <c r="A877" s="1" t="n"/>
      <c r="B877" s="30" t="n"/>
      <c r="C877" s="23" t="n"/>
      <c r="D877" s="23" t="n"/>
      <c r="E877" s="26" t="n"/>
      <c r="F877" s="25" t="n"/>
      <c r="G877" s="17">
        <f>IF(D877="Sale",E877*F877,IF(D877="Return",-E877*F877,""))</f>
        <v/>
      </c>
      <c r="H877" s="17">
        <f>IFERROR(IF(D877="Sale",E877*INDEX(Products!$E$6:$E$205,MATCH(C877,Products!$B$6:$B$205,0)),IF(D877="Return",-E877*INDEX(Products!$E$6:$E$205,MATCH(C877,Products!$B$6:$B$205,0)),"")),"")</f>
        <v/>
      </c>
      <c r="I877" s="24" t="n"/>
      <c r="J877" s="1" t="n"/>
    </row>
    <row r="878">
      <c r="A878" s="1" t="n"/>
      <c r="B878" s="30" t="n"/>
      <c r="C878" s="23" t="n"/>
      <c r="D878" s="23" t="n"/>
      <c r="E878" s="26" t="n"/>
      <c r="F878" s="25" t="n"/>
      <c r="G878" s="17">
        <f>IF(D878="Sale",E878*F878,IF(D878="Return",-E878*F878,""))</f>
        <v/>
      </c>
      <c r="H878" s="17">
        <f>IFERROR(IF(D878="Sale",E878*INDEX(Products!$E$6:$E$205,MATCH(C878,Products!$B$6:$B$205,0)),IF(D878="Return",-E878*INDEX(Products!$E$6:$E$205,MATCH(C878,Products!$B$6:$B$205,0)),"")),"")</f>
        <v/>
      </c>
      <c r="I878" s="24" t="n"/>
      <c r="J878" s="1" t="n"/>
    </row>
    <row r="879">
      <c r="A879" s="1" t="n"/>
      <c r="B879" s="30" t="n"/>
      <c r="C879" s="23" t="n"/>
      <c r="D879" s="23" t="n"/>
      <c r="E879" s="26" t="n"/>
      <c r="F879" s="25" t="n"/>
      <c r="G879" s="17">
        <f>IF(D879="Sale",E879*F879,IF(D879="Return",-E879*F879,""))</f>
        <v/>
      </c>
      <c r="H879" s="17">
        <f>IFERROR(IF(D879="Sale",E879*INDEX(Products!$E$6:$E$205,MATCH(C879,Products!$B$6:$B$205,0)),IF(D879="Return",-E879*INDEX(Products!$E$6:$E$205,MATCH(C879,Products!$B$6:$B$205,0)),"")),"")</f>
        <v/>
      </c>
      <c r="I879" s="24" t="n"/>
      <c r="J879" s="1" t="n"/>
    </row>
    <row r="880">
      <c r="A880" s="1" t="n"/>
      <c r="B880" s="30" t="n"/>
      <c r="C880" s="23" t="n"/>
      <c r="D880" s="23" t="n"/>
      <c r="E880" s="26" t="n"/>
      <c r="F880" s="25" t="n"/>
      <c r="G880" s="17">
        <f>IF(D880="Sale",E880*F880,IF(D880="Return",-E880*F880,""))</f>
        <v/>
      </c>
      <c r="H880" s="17">
        <f>IFERROR(IF(D880="Sale",E880*INDEX(Products!$E$6:$E$205,MATCH(C880,Products!$B$6:$B$205,0)),IF(D880="Return",-E880*INDEX(Products!$E$6:$E$205,MATCH(C880,Products!$B$6:$B$205,0)),"")),"")</f>
        <v/>
      </c>
      <c r="I880" s="24" t="n"/>
      <c r="J880" s="1" t="n"/>
    </row>
    <row r="881">
      <c r="A881" s="1" t="n"/>
      <c r="B881" s="30" t="n"/>
      <c r="C881" s="23" t="n"/>
      <c r="D881" s="23" t="n"/>
      <c r="E881" s="26" t="n"/>
      <c r="F881" s="25" t="n"/>
      <c r="G881" s="17">
        <f>IF(D881="Sale",E881*F881,IF(D881="Return",-E881*F881,""))</f>
        <v/>
      </c>
      <c r="H881" s="17">
        <f>IFERROR(IF(D881="Sale",E881*INDEX(Products!$E$6:$E$205,MATCH(C881,Products!$B$6:$B$205,0)),IF(D881="Return",-E881*INDEX(Products!$E$6:$E$205,MATCH(C881,Products!$B$6:$B$205,0)),"")),"")</f>
        <v/>
      </c>
      <c r="I881" s="24" t="n"/>
      <c r="J881" s="1" t="n"/>
    </row>
    <row r="882">
      <c r="A882" s="1" t="n"/>
      <c r="B882" s="30" t="n"/>
      <c r="C882" s="23" t="n"/>
      <c r="D882" s="23" t="n"/>
      <c r="E882" s="26" t="n"/>
      <c r="F882" s="25" t="n"/>
      <c r="G882" s="17">
        <f>IF(D882="Sale",E882*F882,IF(D882="Return",-E882*F882,""))</f>
        <v/>
      </c>
      <c r="H882" s="17">
        <f>IFERROR(IF(D882="Sale",E882*INDEX(Products!$E$6:$E$205,MATCH(C882,Products!$B$6:$B$205,0)),IF(D882="Return",-E882*INDEX(Products!$E$6:$E$205,MATCH(C882,Products!$B$6:$B$205,0)),"")),"")</f>
        <v/>
      </c>
      <c r="I882" s="24" t="n"/>
      <c r="J882" s="1" t="n"/>
    </row>
    <row r="883">
      <c r="A883" s="1" t="n"/>
      <c r="B883" s="30" t="n"/>
      <c r="C883" s="23" t="n"/>
      <c r="D883" s="23" t="n"/>
      <c r="E883" s="26" t="n"/>
      <c r="F883" s="25" t="n"/>
      <c r="G883" s="17">
        <f>IF(D883="Sale",E883*F883,IF(D883="Return",-E883*F883,""))</f>
        <v/>
      </c>
      <c r="H883" s="17">
        <f>IFERROR(IF(D883="Sale",E883*INDEX(Products!$E$6:$E$205,MATCH(C883,Products!$B$6:$B$205,0)),IF(D883="Return",-E883*INDEX(Products!$E$6:$E$205,MATCH(C883,Products!$B$6:$B$205,0)),"")),"")</f>
        <v/>
      </c>
      <c r="I883" s="24" t="n"/>
      <c r="J883" s="1" t="n"/>
    </row>
    <row r="884">
      <c r="A884" s="1" t="n"/>
      <c r="B884" s="30" t="n"/>
      <c r="C884" s="23" t="n"/>
      <c r="D884" s="23" t="n"/>
      <c r="E884" s="26" t="n"/>
      <c r="F884" s="25" t="n"/>
      <c r="G884" s="17">
        <f>IF(D884="Sale",E884*F884,IF(D884="Return",-E884*F884,""))</f>
        <v/>
      </c>
      <c r="H884" s="17">
        <f>IFERROR(IF(D884="Sale",E884*INDEX(Products!$E$6:$E$205,MATCH(C884,Products!$B$6:$B$205,0)),IF(D884="Return",-E884*INDEX(Products!$E$6:$E$205,MATCH(C884,Products!$B$6:$B$205,0)),"")),"")</f>
        <v/>
      </c>
      <c r="I884" s="24" t="n"/>
      <c r="J884" s="1" t="n"/>
    </row>
    <row r="885">
      <c r="A885" s="1" t="n"/>
      <c r="B885" s="30" t="n"/>
      <c r="C885" s="23" t="n"/>
      <c r="D885" s="23" t="n"/>
      <c r="E885" s="26" t="n"/>
      <c r="F885" s="25" t="n"/>
      <c r="G885" s="17">
        <f>IF(D885="Sale",E885*F885,IF(D885="Return",-E885*F885,""))</f>
        <v/>
      </c>
      <c r="H885" s="17">
        <f>IFERROR(IF(D885="Sale",E885*INDEX(Products!$E$6:$E$205,MATCH(C885,Products!$B$6:$B$205,0)),IF(D885="Return",-E885*INDEX(Products!$E$6:$E$205,MATCH(C885,Products!$B$6:$B$205,0)),"")),"")</f>
        <v/>
      </c>
      <c r="I885" s="24" t="n"/>
      <c r="J885" s="1" t="n"/>
    </row>
    <row r="886">
      <c r="A886" s="1" t="n"/>
      <c r="B886" s="30" t="n"/>
      <c r="C886" s="23" t="n"/>
      <c r="D886" s="23" t="n"/>
      <c r="E886" s="26" t="n"/>
      <c r="F886" s="25" t="n"/>
      <c r="G886" s="17">
        <f>IF(D886="Sale",E886*F886,IF(D886="Return",-E886*F886,""))</f>
        <v/>
      </c>
      <c r="H886" s="17">
        <f>IFERROR(IF(D886="Sale",E886*INDEX(Products!$E$6:$E$205,MATCH(C886,Products!$B$6:$B$205,0)),IF(D886="Return",-E886*INDEX(Products!$E$6:$E$205,MATCH(C886,Products!$B$6:$B$205,0)),"")),"")</f>
        <v/>
      </c>
      <c r="I886" s="24" t="n"/>
      <c r="J886" s="1" t="n"/>
    </row>
    <row r="887">
      <c r="A887" s="1" t="n"/>
      <c r="B887" s="30" t="n"/>
      <c r="C887" s="23" t="n"/>
      <c r="D887" s="23" t="n"/>
      <c r="E887" s="26" t="n"/>
      <c r="F887" s="25" t="n"/>
      <c r="G887" s="17">
        <f>IF(D887="Sale",E887*F887,IF(D887="Return",-E887*F887,""))</f>
        <v/>
      </c>
      <c r="H887" s="17">
        <f>IFERROR(IF(D887="Sale",E887*INDEX(Products!$E$6:$E$205,MATCH(C887,Products!$B$6:$B$205,0)),IF(D887="Return",-E887*INDEX(Products!$E$6:$E$205,MATCH(C887,Products!$B$6:$B$205,0)),"")),"")</f>
        <v/>
      </c>
      <c r="I887" s="24" t="n"/>
      <c r="J887" s="1" t="n"/>
    </row>
    <row r="888">
      <c r="A888" s="1" t="n"/>
      <c r="B888" s="30" t="n"/>
      <c r="C888" s="23" t="n"/>
      <c r="D888" s="23" t="n"/>
      <c r="E888" s="26" t="n"/>
      <c r="F888" s="25" t="n"/>
      <c r="G888" s="17">
        <f>IF(D888="Sale",E888*F888,IF(D888="Return",-E888*F888,""))</f>
        <v/>
      </c>
      <c r="H888" s="17">
        <f>IFERROR(IF(D888="Sale",E888*INDEX(Products!$E$6:$E$205,MATCH(C888,Products!$B$6:$B$205,0)),IF(D888="Return",-E888*INDEX(Products!$E$6:$E$205,MATCH(C888,Products!$B$6:$B$205,0)),"")),"")</f>
        <v/>
      </c>
      <c r="I888" s="24" t="n"/>
      <c r="J888" s="1" t="n"/>
    </row>
    <row r="889">
      <c r="A889" s="1" t="n"/>
      <c r="B889" s="30" t="n"/>
      <c r="C889" s="23" t="n"/>
      <c r="D889" s="23" t="n"/>
      <c r="E889" s="26" t="n"/>
      <c r="F889" s="25" t="n"/>
      <c r="G889" s="17">
        <f>IF(D889="Sale",E889*F889,IF(D889="Return",-E889*F889,""))</f>
        <v/>
      </c>
      <c r="H889" s="17">
        <f>IFERROR(IF(D889="Sale",E889*INDEX(Products!$E$6:$E$205,MATCH(C889,Products!$B$6:$B$205,0)),IF(D889="Return",-E889*INDEX(Products!$E$6:$E$205,MATCH(C889,Products!$B$6:$B$205,0)),"")),"")</f>
        <v/>
      </c>
      <c r="I889" s="24" t="n"/>
      <c r="J889" s="1" t="n"/>
    </row>
    <row r="890">
      <c r="A890" s="1" t="n"/>
      <c r="B890" s="30" t="n"/>
      <c r="C890" s="23" t="n"/>
      <c r="D890" s="23" t="n"/>
      <c r="E890" s="26" t="n"/>
      <c r="F890" s="25" t="n"/>
      <c r="G890" s="17">
        <f>IF(D890="Sale",E890*F890,IF(D890="Return",-E890*F890,""))</f>
        <v/>
      </c>
      <c r="H890" s="17">
        <f>IFERROR(IF(D890="Sale",E890*INDEX(Products!$E$6:$E$205,MATCH(C890,Products!$B$6:$B$205,0)),IF(D890="Return",-E890*INDEX(Products!$E$6:$E$205,MATCH(C890,Products!$B$6:$B$205,0)),"")),"")</f>
        <v/>
      </c>
      <c r="I890" s="24" t="n"/>
      <c r="J890" s="1" t="n"/>
    </row>
    <row r="891">
      <c r="A891" s="1" t="n"/>
      <c r="B891" s="30" t="n"/>
      <c r="C891" s="23" t="n"/>
      <c r="D891" s="23" t="n"/>
      <c r="E891" s="26" t="n"/>
      <c r="F891" s="25" t="n"/>
      <c r="G891" s="17">
        <f>IF(D891="Sale",E891*F891,IF(D891="Return",-E891*F891,""))</f>
        <v/>
      </c>
      <c r="H891" s="17">
        <f>IFERROR(IF(D891="Sale",E891*INDEX(Products!$E$6:$E$205,MATCH(C891,Products!$B$6:$B$205,0)),IF(D891="Return",-E891*INDEX(Products!$E$6:$E$205,MATCH(C891,Products!$B$6:$B$205,0)),"")),"")</f>
        <v/>
      </c>
      <c r="I891" s="24" t="n"/>
      <c r="J891" s="1" t="n"/>
    </row>
    <row r="892">
      <c r="A892" s="1" t="n"/>
      <c r="B892" s="30" t="n"/>
      <c r="C892" s="23" t="n"/>
      <c r="D892" s="23" t="n"/>
      <c r="E892" s="26" t="n"/>
      <c r="F892" s="25" t="n"/>
      <c r="G892" s="17">
        <f>IF(D892="Sale",E892*F892,IF(D892="Return",-E892*F892,""))</f>
        <v/>
      </c>
      <c r="H892" s="17">
        <f>IFERROR(IF(D892="Sale",E892*INDEX(Products!$E$6:$E$205,MATCH(C892,Products!$B$6:$B$205,0)),IF(D892="Return",-E892*INDEX(Products!$E$6:$E$205,MATCH(C892,Products!$B$6:$B$205,0)),"")),"")</f>
        <v/>
      </c>
      <c r="I892" s="24" t="n"/>
      <c r="J892" s="1" t="n"/>
    </row>
    <row r="893">
      <c r="A893" s="1" t="n"/>
      <c r="B893" s="30" t="n"/>
      <c r="C893" s="23" t="n"/>
      <c r="D893" s="23" t="n"/>
      <c r="E893" s="26" t="n"/>
      <c r="F893" s="25" t="n"/>
      <c r="G893" s="17">
        <f>IF(D893="Sale",E893*F893,IF(D893="Return",-E893*F893,""))</f>
        <v/>
      </c>
      <c r="H893" s="17">
        <f>IFERROR(IF(D893="Sale",E893*INDEX(Products!$E$6:$E$205,MATCH(C893,Products!$B$6:$B$205,0)),IF(D893="Return",-E893*INDEX(Products!$E$6:$E$205,MATCH(C893,Products!$B$6:$B$205,0)),"")),"")</f>
        <v/>
      </c>
      <c r="I893" s="24" t="n"/>
      <c r="J893" s="1" t="n"/>
    </row>
    <row r="894">
      <c r="A894" s="1" t="n"/>
      <c r="B894" s="30" t="n"/>
      <c r="C894" s="23" t="n"/>
      <c r="D894" s="23" t="n"/>
      <c r="E894" s="26" t="n"/>
      <c r="F894" s="25" t="n"/>
      <c r="G894" s="17">
        <f>IF(D894="Sale",E894*F894,IF(D894="Return",-E894*F894,""))</f>
        <v/>
      </c>
      <c r="H894" s="17">
        <f>IFERROR(IF(D894="Sale",E894*INDEX(Products!$E$6:$E$205,MATCH(C894,Products!$B$6:$B$205,0)),IF(D894="Return",-E894*INDEX(Products!$E$6:$E$205,MATCH(C894,Products!$B$6:$B$205,0)),"")),"")</f>
        <v/>
      </c>
      <c r="I894" s="24" t="n"/>
      <c r="J894" s="1" t="n"/>
    </row>
    <row r="895">
      <c r="A895" s="1" t="n"/>
      <c r="B895" s="30" t="n"/>
      <c r="C895" s="23" t="n"/>
      <c r="D895" s="23" t="n"/>
      <c r="E895" s="26" t="n"/>
      <c r="F895" s="25" t="n"/>
      <c r="G895" s="17">
        <f>IF(D895="Sale",E895*F895,IF(D895="Return",-E895*F895,""))</f>
        <v/>
      </c>
      <c r="H895" s="17">
        <f>IFERROR(IF(D895="Sale",E895*INDEX(Products!$E$6:$E$205,MATCH(C895,Products!$B$6:$B$205,0)),IF(D895="Return",-E895*INDEX(Products!$E$6:$E$205,MATCH(C895,Products!$B$6:$B$205,0)),"")),"")</f>
        <v/>
      </c>
      <c r="I895" s="24" t="n"/>
      <c r="J895" s="1" t="n"/>
    </row>
    <row r="896">
      <c r="A896" s="1" t="n"/>
      <c r="B896" s="30" t="n"/>
      <c r="C896" s="23" t="n"/>
      <c r="D896" s="23" t="n"/>
      <c r="E896" s="26" t="n"/>
      <c r="F896" s="25" t="n"/>
      <c r="G896" s="17">
        <f>IF(D896="Sale",E896*F896,IF(D896="Return",-E896*F896,""))</f>
        <v/>
      </c>
      <c r="H896" s="17">
        <f>IFERROR(IF(D896="Sale",E896*INDEX(Products!$E$6:$E$205,MATCH(C896,Products!$B$6:$B$205,0)),IF(D896="Return",-E896*INDEX(Products!$E$6:$E$205,MATCH(C896,Products!$B$6:$B$205,0)),"")),"")</f>
        <v/>
      </c>
      <c r="I896" s="24" t="n"/>
      <c r="J896" s="1" t="n"/>
    </row>
    <row r="897">
      <c r="A897" s="1" t="n"/>
      <c r="B897" s="30" t="n"/>
      <c r="C897" s="23" t="n"/>
      <c r="D897" s="23" t="n"/>
      <c r="E897" s="26" t="n"/>
      <c r="F897" s="25" t="n"/>
      <c r="G897" s="17">
        <f>IF(D897="Sale",E897*F897,IF(D897="Return",-E897*F897,""))</f>
        <v/>
      </c>
      <c r="H897" s="17">
        <f>IFERROR(IF(D897="Sale",E897*INDEX(Products!$E$6:$E$205,MATCH(C897,Products!$B$6:$B$205,0)),IF(D897="Return",-E897*INDEX(Products!$E$6:$E$205,MATCH(C897,Products!$B$6:$B$205,0)),"")),"")</f>
        <v/>
      </c>
      <c r="I897" s="24" t="n"/>
      <c r="J897" s="1" t="n"/>
    </row>
    <row r="898">
      <c r="A898" s="1" t="n"/>
      <c r="B898" s="30" t="n"/>
      <c r="C898" s="23" t="n"/>
      <c r="D898" s="23" t="n"/>
      <c r="E898" s="26" t="n"/>
      <c r="F898" s="25" t="n"/>
      <c r="G898" s="17">
        <f>IF(D898="Sale",E898*F898,IF(D898="Return",-E898*F898,""))</f>
        <v/>
      </c>
      <c r="H898" s="17">
        <f>IFERROR(IF(D898="Sale",E898*INDEX(Products!$E$6:$E$205,MATCH(C898,Products!$B$6:$B$205,0)),IF(D898="Return",-E898*INDEX(Products!$E$6:$E$205,MATCH(C898,Products!$B$6:$B$205,0)),"")),"")</f>
        <v/>
      </c>
      <c r="I898" s="24" t="n"/>
      <c r="J898" s="1" t="n"/>
    </row>
    <row r="899">
      <c r="A899" s="1" t="n"/>
      <c r="B899" s="30" t="n"/>
      <c r="C899" s="23" t="n"/>
      <c r="D899" s="23" t="n"/>
      <c r="E899" s="26" t="n"/>
      <c r="F899" s="25" t="n"/>
      <c r="G899" s="17">
        <f>IF(D899="Sale",E899*F899,IF(D899="Return",-E899*F899,""))</f>
        <v/>
      </c>
      <c r="H899" s="17">
        <f>IFERROR(IF(D899="Sale",E899*INDEX(Products!$E$6:$E$205,MATCH(C899,Products!$B$6:$B$205,0)),IF(D899="Return",-E899*INDEX(Products!$E$6:$E$205,MATCH(C899,Products!$B$6:$B$205,0)),"")),"")</f>
        <v/>
      </c>
      <c r="I899" s="24" t="n"/>
      <c r="J899" s="1" t="n"/>
    </row>
    <row r="900">
      <c r="A900" s="1" t="n"/>
      <c r="B900" s="30" t="n"/>
      <c r="C900" s="23" t="n"/>
      <c r="D900" s="23" t="n"/>
      <c r="E900" s="26" t="n"/>
      <c r="F900" s="25" t="n"/>
      <c r="G900" s="17">
        <f>IF(D900="Sale",E900*F900,IF(D900="Return",-E900*F900,""))</f>
        <v/>
      </c>
      <c r="H900" s="17">
        <f>IFERROR(IF(D900="Sale",E900*INDEX(Products!$E$6:$E$205,MATCH(C900,Products!$B$6:$B$205,0)),IF(D900="Return",-E900*INDEX(Products!$E$6:$E$205,MATCH(C900,Products!$B$6:$B$205,0)),"")),"")</f>
        <v/>
      </c>
      <c r="I900" s="24" t="n"/>
      <c r="J900" s="1" t="n"/>
    </row>
    <row r="901">
      <c r="A901" s="1" t="n"/>
      <c r="B901" s="30" t="n"/>
      <c r="C901" s="23" t="n"/>
      <c r="D901" s="23" t="n"/>
      <c r="E901" s="26" t="n"/>
      <c r="F901" s="25" t="n"/>
      <c r="G901" s="17">
        <f>IF(D901="Sale",E901*F901,IF(D901="Return",-E901*F901,""))</f>
        <v/>
      </c>
      <c r="H901" s="17">
        <f>IFERROR(IF(D901="Sale",E901*INDEX(Products!$E$6:$E$205,MATCH(C901,Products!$B$6:$B$205,0)),IF(D901="Return",-E901*INDEX(Products!$E$6:$E$205,MATCH(C901,Products!$B$6:$B$205,0)),"")),"")</f>
        <v/>
      </c>
      <c r="I901" s="24" t="n"/>
      <c r="J901" s="1" t="n"/>
    </row>
    <row r="902">
      <c r="A902" s="1" t="n"/>
      <c r="B902" s="30" t="n"/>
      <c r="C902" s="23" t="n"/>
      <c r="D902" s="23" t="n"/>
      <c r="E902" s="26" t="n"/>
      <c r="F902" s="25" t="n"/>
      <c r="G902" s="17">
        <f>IF(D902="Sale",E902*F902,IF(D902="Return",-E902*F902,""))</f>
        <v/>
      </c>
      <c r="H902" s="17">
        <f>IFERROR(IF(D902="Sale",E902*INDEX(Products!$E$6:$E$205,MATCH(C902,Products!$B$6:$B$205,0)),IF(D902="Return",-E902*INDEX(Products!$E$6:$E$205,MATCH(C902,Products!$B$6:$B$205,0)),"")),"")</f>
        <v/>
      </c>
      <c r="I902" s="24" t="n"/>
      <c r="J902" s="1" t="n"/>
    </row>
    <row r="903">
      <c r="A903" s="1" t="n"/>
      <c r="B903" s="30" t="n"/>
      <c r="C903" s="23" t="n"/>
      <c r="D903" s="23" t="n"/>
      <c r="E903" s="26" t="n"/>
      <c r="F903" s="25" t="n"/>
      <c r="G903" s="17">
        <f>IF(D903="Sale",E903*F903,IF(D903="Return",-E903*F903,""))</f>
        <v/>
      </c>
      <c r="H903" s="17">
        <f>IFERROR(IF(D903="Sale",E903*INDEX(Products!$E$6:$E$205,MATCH(C903,Products!$B$6:$B$205,0)),IF(D903="Return",-E903*INDEX(Products!$E$6:$E$205,MATCH(C903,Products!$B$6:$B$205,0)),"")),"")</f>
        <v/>
      </c>
      <c r="I903" s="24" t="n"/>
      <c r="J903" s="1" t="n"/>
    </row>
    <row r="904">
      <c r="A904" s="1" t="n"/>
      <c r="B904" s="30" t="n"/>
      <c r="C904" s="23" t="n"/>
      <c r="D904" s="23" t="n"/>
      <c r="E904" s="26" t="n"/>
      <c r="F904" s="25" t="n"/>
      <c r="G904" s="17">
        <f>IF(D904="Sale",E904*F904,IF(D904="Return",-E904*F904,""))</f>
        <v/>
      </c>
      <c r="H904" s="17">
        <f>IFERROR(IF(D904="Sale",E904*INDEX(Products!$E$6:$E$205,MATCH(C904,Products!$B$6:$B$205,0)),IF(D904="Return",-E904*INDEX(Products!$E$6:$E$205,MATCH(C904,Products!$B$6:$B$205,0)),"")),"")</f>
        <v/>
      </c>
      <c r="I904" s="24" t="n"/>
      <c r="J904" s="1" t="n"/>
    </row>
    <row r="905">
      <c r="A905" s="1" t="n"/>
      <c r="B905" s="30" t="n"/>
      <c r="C905" s="23" t="n"/>
      <c r="D905" s="23" t="n"/>
      <c r="E905" s="26" t="n"/>
      <c r="F905" s="25" t="n"/>
      <c r="G905" s="17">
        <f>IF(D905="Sale",E905*F905,IF(D905="Return",-E905*F905,""))</f>
        <v/>
      </c>
      <c r="H905" s="17">
        <f>IFERROR(IF(D905="Sale",E905*INDEX(Products!$E$6:$E$205,MATCH(C905,Products!$B$6:$B$205,0)),IF(D905="Return",-E905*INDEX(Products!$E$6:$E$205,MATCH(C905,Products!$B$6:$B$205,0)),"")),"")</f>
        <v/>
      </c>
      <c r="I905" s="24" t="n"/>
      <c r="J905" s="1" t="n"/>
    </row>
    <row r="906">
      <c r="A906" s="1" t="n"/>
      <c r="B906" s="30" t="n"/>
      <c r="C906" s="23" t="n"/>
      <c r="D906" s="23" t="n"/>
      <c r="E906" s="26" t="n"/>
      <c r="F906" s="25" t="n"/>
      <c r="G906" s="17">
        <f>IF(D906="Sale",E906*F906,IF(D906="Return",-E906*F906,""))</f>
        <v/>
      </c>
      <c r="H906" s="17">
        <f>IFERROR(IF(D906="Sale",E906*INDEX(Products!$E$6:$E$205,MATCH(C906,Products!$B$6:$B$205,0)),IF(D906="Return",-E906*INDEX(Products!$E$6:$E$205,MATCH(C906,Products!$B$6:$B$205,0)),"")),"")</f>
        <v/>
      </c>
      <c r="I906" s="24" t="n"/>
      <c r="J906" s="1" t="n"/>
    </row>
    <row r="907">
      <c r="A907" s="1" t="n"/>
      <c r="B907" s="30" t="n"/>
      <c r="C907" s="23" t="n"/>
      <c r="D907" s="23" t="n"/>
      <c r="E907" s="26" t="n"/>
      <c r="F907" s="25" t="n"/>
      <c r="G907" s="17">
        <f>IF(D907="Sale",E907*F907,IF(D907="Return",-E907*F907,""))</f>
        <v/>
      </c>
      <c r="H907" s="17">
        <f>IFERROR(IF(D907="Sale",E907*INDEX(Products!$E$6:$E$205,MATCH(C907,Products!$B$6:$B$205,0)),IF(D907="Return",-E907*INDEX(Products!$E$6:$E$205,MATCH(C907,Products!$B$6:$B$205,0)),"")),"")</f>
        <v/>
      </c>
      <c r="I907" s="24" t="n"/>
      <c r="J907" s="1" t="n"/>
    </row>
    <row r="908">
      <c r="A908" s="1" t="n"/>
      <c r="B908" s="30" t="n"/>
      <c r="C908" s="23" t="n"/>
      <c r="D908" s="23" t="n"/>
      <c r="E908" s="26" t="n"/>
      <c r="F908" s="25" t="n"/>
      <c r="G908" s="17">
        <f>IF(D908="Sale",E908*F908,IF(D908="Return",-E908*F908,""))</f>
        <v/>
      </c>
      <c r="H908" s="17">
        <f>IFERROR(IF(D908="Sale",E908*INDEX(Products!$E$6:$E$205,MATCH(C908,Products!$B$6:$B$205,0)),IF(D908="Return",-E908*INDEX(Products!$E$6:$E$205,MATCH(C908,Products!$B$6:$B$205,0)),"")),"")</f>
        <v/>
      </c>
      <c r="I908" s="24" t="n"/>
      <c r="J908" s="1" t="n"/>
    </row>
    <row r="909">
      <c r="A909" s="1" t="n"/>
      <c r="B909" s="30" t="n"/>
      <c r="C909" s="23" t="n"/>
      <c r="D909" s="23" t="n"/>
      <c r="E909" s="26" t="n"/>
      <c r="F909" s="25" t="n"/>
      <c r="G909" s="17">
        <f>IF(D909="Sale",E909*F909,IF(D909="Return",-E909*F909,""))</f>
        <v/>
      </c>
      <c r="H909" s="17">
        <f>IFERROR(IF(D909="Sale",E909*INDEX(Products!$E$6:$E$205,MATCH(C909,Products!$B$6:$B$205,0)),IF(D909="Return",-E909*INDEX(Products!$E$6:$E$205,MATCH(C909,Products!$B$6:$B$205,0)),"")),"")</f>
        <v/>
      </c>
      <c r="I909" s="24" t="n"/>
      <c r="J909" s="1" t="n"/>
    </row>
    <row r="910">
      <c r="A910" s="1" t="n"/>
      <c r="B910" s="30" t="n"/>
      <c r="C910" s="23" t="n"/>
      <c r="D910" s="23" t="n"/>
      <c r="E910" s="26" t="n"/>
      <c r="F910" s="25" t="n"/>
      <c r="G910" s="17">
        <f>IF(D910="Sale",E910*F910,IF(D910="Return",-E910*F910,""))</f>
        <v/>
      </c>
      <c r="H910" s="17">
        <f>IFERROR(IF(D910="Sale",E910*INDEX(Products!$E$6:$E$205,MATCH(C910,Products!$B$6:$B$205,0)),IF(D910="Return",-E910*INDEX(Products!$E$6:$E$205,MATCH(C910,Products!$B$6:$B$205,0)),"")),"")</f>
        <v/>
      </c>
      <c r="I910" s="24" t="n"/>
      <c r="J910" s="1" t="n"/>
    </row>
    <row r="911">
      <c r="A911" s="1" t="n"/>
      <c r="B911" s="30" t="n"/>
      <c r="C911" s="23" t="n"/>
      <c r="D911" s="23" t="n"/>
      <c r="E911" s="26" t="n"/>
      <c r="F911" s="25" t="n"/>
      <c r="G911" s="17">
        <f>IF(D911="Sale",E911*F911,IF(D911="Return",-E911*F911,""))</f>
        <v/>
      </c>
      <c r="H911" s="17">
        <f>IFERROR(IF(D911="Sale",E911*INDEX(Products!$E$6:$E$205,MATCH(C911,Products!$B$6:$B$205,0)),IF(D911="Return",-E911*INDEX(Products!$E$6:$E$205,MATCH(C911,Products!$B$6:$B$205,0)),"")),"")</f>
        <v/>
      </c>
      <c r="I911" s="24" t="n"/>
      <c r="J911" s="1" t="n"/>
    </row>
    <row r="912">
      <c r="A912" s="1" t="n"/>
      <c r="B912" s="30" t="n"/>
      <c r="C912" s="23" t="n"/>
      <c r="D912" s="23" t="n"/>
      <c r="E912" s="26" t="n"/>
      <c r="F912" s="25" t="n"/>
      <c r="G912" s="17">
        <f>IF(D912="Sale",E912*F912,IF(D912="Return",-E912*F912,""))</f>
        <v/>
      </c>
      <c r="H912" s="17">
        <f>IFERROR(IF(D912="Sale",E912*INDEX(Products!$E$6:$E$205,MATCH(C912,Products!$B$6:$B$205,0)),IF(D912="Return",-E912*INDEX(Products!$E$6:$E$205,MATCH(C912,Products!$B$6:$B$205,0)),"")),"")</f>
        <v/>
      </c>
      <c r="I912" s="24" t="n"/>
      <c r="J912" s="1" t="n"/>
    </row>
    <row r="913">
      <c r="A913" s="1" t="n"/>
      <c r="B913" s="30" t="n"/>
      <c r="C913" s="23" t="n"/>
      <c r="D913" s="23" t="n"/>
      <c r="E913" s="26" t="n"/>
      <c r="F913" s="25" t="n"/>
      <c r="G913" s="17">
        <f>IF(D913="Sale",E913*F913,IF(D913="Return",-E913*F913,""))</f>
        <v/>
      </c>
      <c r="H913" s="17">
        <f>IFERROR(IF(D913="Sale",E913*INDEX(Products!$E$6:$E$205,MATCH(C913,Products!$B$6:$B$205,0)),IF(D913="Return",-E913*INDEX(Products!$E$6:$E$205,MATCH(C913,Products!$B$6:$B$205,0)),"")),"")</f>
        <v/>
      </c>
      <c r="I913" s="24" t="n"/>
      <c r="J913" s="1" t="n"/>
    </row>
    <row r="914">
      <c r="A914" s="1" t="n"/>
      <c r="B914" s="30" t="n"/>
      <c r="C914" s="23" t="n"/>
      <c r="D914" s="23" t="n"/>
      <c r="E914" s="26" t="n"/>
      <c r="F914" s="25" t="n"/>
      <c r="G914" s="17">
        <f>IF(D914="Sale",E914*F914,IF(D914="Return",-E914*F914,""))</f>
        <v/>
      </c>
      <c r="H914" s="17">
        <f>IFERROR(IF(D914="Sale",E914*INDEX(Products!$E$6:$E$205,MATCH(C914,Products!$B$6:$B$205,0)),IF(D914="Return",-E914*INDEX(Products!$E$6:$E$205,MATCH(C914,Products!$B$6:$B$205,0)),"")),"")</f>
        <v/>
      </c>
      <c r="I914" s="24" t="n"/>
      <c r="J914" s="1" t="n"/>
    </row>
    <row r="915">
      <c r="A915" s="1" t="n"/>
      <c r="B915" s="30" t="n"/>
      <c r="C915" s="23" t="n"/>
      <c r="D915" s="23" t="n"/>
      <c r="E915" s="26" t="n"/>
      <c r="F915" s="25" t="n"/>
      <c r="G915" s="17">
        <f>IF(D915="Sale",E915*F915,IF(D915="Return",-E915*F915,""))</f>
        <v/>
      </c>
      <c r="H915" s="17">
        <f>IFERROR(IF(D915="Sale",E915*INDEX(Products!$E$6:$E$205,MATCH(C915,Products!$B$6:$B$205,0)),IF(D915="Return",-E915*INDEX(Products!$E$6:$E$205,MATCH(C915,Products!$B$6:$B$205,0)),"")),"")</f>
        <v/>
      </c>
      <c r="I915" s="24" t="n"/>
      <c r="J915" s="1" t="n"/>
    </row>
    <row r="916">
      <c r="A916" s="1" t="n"/>
      <c r="B916" s="30" t="n"/>
      <c r="C916" s="23" t="n"/>
      <c r="D916" s="23" t="n"/>
      <c r="E916" s="26" t="n"/>
      <c r="F916" s="25" t="n"/>
      <c r="G916" s="17">
        <f>IF(D916="Sale",E916*F916,IF(D916="Return",-E916*F916,""))</f>
        <v/>
      </c>
      <c r="H916" s="17">
        <f>IFERROR(IF(D916="Sale",E916*INDEX(Products!$E$6:$E$205,MATCH(C916,Products!$B$6:$B$205,0)),IF(D916="Return",-E916*INDEX(Products!$E$6:$E$205,MATCH(C916,Products!$B$6:$B$205,0)),"")),"")</f>
        <v/>
      </c>
      <c r="I916" s="24" t="n"/>
      <c r="J916" s="1" t="n"/>
    </row>
    <row r="917">
      <c r="A917" s="1" t="n"/>
      <c r="B917" s="30" t="n"/>
      <c r="C917" s="23" t="n"/>
      <c r="D917" s="23" t="n"/>
      <c r="E917" s="26" t="n"/>
      <c r="F917" s="25" t="n"/>
      <c r="G917" s="17">
        <f>IF(D917="Sale",E917*F917,IF(D917="Return",-E917*F917,""))</f>
        <v/>
      </c>
      <c r="H917" s="17">
        <f>IFERROR(IF(D917="Sale",E917*INDEX(Products!$E$6:$E$205,MATCH(C917,Products!$B$6:$B$205,0)),IF(D917="Return",-E917*INDEX(Products!$E$6:$E$205,MATCH(C917,Products!$B$6:$B$205,0)),"")),"")</f>
        <v/>
      </c>
      <c r="I917" s="24" t="n"/>
      <c r="J917" s="1" t="n"/>
    </row>
    <row r="918">
      <c r="A918" s="1" t="n"/>
      <c r="B918" s="30" t="n"/>
      <c r="C918" s="23" t="n"/>
      <c r="D918" s="23" t="n"/>
      <c r="E918" s="26" t="n"/>
      <c r="F918" s="25" t="n"/>
      <c r="G918" s="17">
        <f>IF(D918="Sale",E918*F918,IF(D918="Return",-E918*F918,""))</f>
        <v/>
      </c>
      <c r="H918" s="17">
        <f>IFERROR(IF(D918="Sale",E918*INDEX(Products!$E$6:$E$205,MATCH(C918,Products!$B$6:$B$205,0)),IF(D918="Return",-E918*INDEX(Products!$E$6:$E$205,MATCH(C918,Products!$B$6:$B$205,0)),"")),"")</f>
        <v/>
      </c>
      <c r="I918" s="24" t="n"/>
      <c r="J918" s="1" t="n"/>
    </row>
    <row r="919">
      <c r="A919" s="1" t="n"/>
      <c r="B919" s="30" t="n"/>
      <c r="C919" s="23" t="n"/>
      <c r="D919" s="23" t="n"/>
      <c r="E919" s="26" t="n"/>
      <c r="F919" s="25" t="n"/>
      <c r="G919" s="17">
        <f>IF(D919="Sale",E919*F919,IF(D919="Return",-E919*F919,""))</f>
        <v/>
      </c>
      <c r="H919" s="17">
        <f>IFERROR(IF(D919="Sale",E919*INDEX(Products!$E$6:$E$205,MATCH(C919,Products!$B$6:$B$205,0)),IF(D919="Return",-E919*INDEX(Products!$E$6:$E$205,MATCH(C919,Products!$B$6:$B$205,0)),"")),"")</f>
        <v/>
      </c>
      <c r="I919" s="24" t="n"/>
      <c r="J919" s="1" t="n"/>
    </row>
    <row r="920">
      <c r="A920" s="1" t="n"/>
      <c r="B920" s="30" t="n"/>
      <c r="C920" s="23" t="n"/>
      <c r="D920" s="23" t="n"/>
      <c r="E920" s="26" t="n"/>
      <c r="F920" s="25" t="n"/>
      <c r="G920" s="17">
        <f>IF(D920="Sale",E920*F920,IF(D920="Return",-E920*F920,""))</f>
        <v/>
      </c>
      <c r="H920" s="17">
        <f>IFERROR(IF(D920="Sale",E920*INDEX(Products!$E$6:$E$205,MATCH(C920,Products!$B$6:$B$205,0)),IF(D920="Return",-E920*INDEX(Products!$E$6:$E$205,MATCH(C920,Products!$B$6:$B$205,0)),"")),"")</f>
        <v/>
      </c>
      <c r="I920" s="24" t="n"/>
      <c r="J920" s="1" t="n"/>
    </row>
    <row r="921">
      <c r="A921" s="1" t="n"/>
      <c r="B921" s="30" t="n"/>
      <c r="C921" s="23" t="n"/>
      <c r="D921" s="23" t="n"/>
      <c r="E921" s="26" t="n"/>
      <c r="F921" s="25" t="n"/>
      <c r="G921" s="17">
        <f>IF(D921="Sale",E921*F921,IF(D921="Return",-E921*F921,""))</f>
        <v/>
      </c>
      <c r="H921" s="17">
        <f>IFERROR(IF(D921="Sale",E921*INDEX(Products!$E$6:$E$205,MATCH(C921,Products!$B$6:$B$205,0)),IF(D921="Return",-E921*INDEX(Products!$E$6:$E$205,MATCH(C921,Products!$B$6:$B$205,0)),"")),"")</f>
        <v/>
      </c>
      <c r="I921" s="24" t="n"/>
      <c r="J921" s="1" t="n"/>
    </row>
    <row r="922">
      <c r="A922" s="1" t="n"/>
      <c r="B922" s="30" t="n"/>
      <c r="C922" s="23" t="n"/>
      <c r="D922" s="23" t="n"/>
      <c r="E922" s="26" t="n"/>
      <c r="F922" s="25" t="n"/>
      <c r="G922" s="17">
        <f>IF(D922="Sale",E922*F922,IF(D922="Return",-E922*F922,""))</f>
        <v/>
      </c>
      <c r="H922" s="17">
        <f>IFERROR(IF(D922="Sale",E922*INDEX(Products!$E$6:$E$205,MATCH(C922,Products!$B$6:$B$205,0)),IF(D922="Return",-E922*INDEX(Products!$E$6:$E$205,MATCH(C922,Products!$B$6:$B$205,0)),"")),"")</f>
        <v/>
      </c>
      <c r="I922" s="24" t="n"/>
      <c r="J922" s="1" t="n"/>
    </row>
    <row r="923">
      <c r="A923" s="1" t="n"/>
      <c r="B923" s="30" t="n"/>
      <c r="C923" s="23" t="n"/>
      <c r="D923" s="23" t="n"/>
      <c r="E923" s="26" t="n"/>
      <c r="F923" s="25" t="n"/>
      <c r="G923" s="17">
        <f>IF(D923="Sale",E923*F923,IF(D923="Return",-E923*F923,""))</f>
        <v/>
      </c>
      <c r="H923" s="17">
        <f>IFERROR(IF(D923="Sale",E923*INDEX(Products!$E$6:$E$205,MATCH(C923,Products!$B$6:$B$205,0)),IF(D923="Return",-E923*INDEX(Products!$E$6:$E$205,MATCH(C923,Products!$B$6:$B$205,0)),"")),"")</f>
        <v/>
      </c>
      <c r="I923" s="24" t="n"/>
      <c r="J923" s="1" t="n"/>
    </row>
    <row r="924">
      <c r="A924" s="1" t="n"/>
      <c r="B924" s="30" t="n"/>
      <c r="C924" s="23" t="n"/>
      <c r="D924" s="23" t="n"/>
      <c r="E924" s="26" t="n"/>
      <c r="F924" s="25" t="n"/>
      <c r="G924" s="17">
        <f>IF(D924="Sale",E924*F924,IF(D924="Return",-E924*F924,""))</f>
        <v/>
      </c>
      <c r="H924" s="17">
        <f>IFERROR(IF(D924="Sale",E924*INDEX(Products!$E$6:$E$205,MATCH(C924,Products!$B$6:$B$205,0)),IF(D924="Return",-E924*INDEX(Products!$E$6:$E$205,MATCH(C924,Products!$B$6:$B$205,0)),"")),"")</f>
        <v/>
      </c>
      <c r="I924" s="24" t="n"/>
      <c r="J924" s="1" t="n"/>
    </row>
    <row r="925">
      <c r="A925" s="1" t="n"/>
      <c r="B925" s="30" t="n"/>
      <c r="C925" s="23" t="n"/>
      <c r="D925" s="23" t="n"/>
      <c r="E925" s="26" t="n"/>
      <c r="F925" s="25" t="n"/>
      <c r="G925" s="17">
        <f>IF(D925="Sale",E925*F925,IF(D925="Return",-E925*F925,""))</f>
        <v/>
      </c>
      <c r="H925" s="17">
        <f>IFERROR(IF(D925="Sale",E925*INDEX(Products!$E$6:$E$205,MATCH(C925,Products!$B$6:$B$205,0)),IF(D925="Return",-E925*INDEX(Products!$E$6:$E$205,MATCH(C925,Products!$B$6:$B$205,0)),"")),"")</f>
        <v/>
      </c>
      <c r="I925" s="24" t="n"/>
      <c r="J925" s="1" t="n"/>
    </row>
    <row r="926">
      <c r="A926" s="1" t="n"/>
      <c r="B926" s="30" t="n"/>
      <c r="C926" s="23" t="n"/>
      <c r="D926" s="23" t="n"/>
      <c r="E926" s="26" t="n"/>
      <c r="F926" s="25" t="n"/>
      <c r="G926" s="17">
        <f>IF(D926="Sale",E926*F926,IF(D926="Return",-E926*F926,""))</f>
        <v/>
      </c>
      <c r="H926" s="17">
        <f>IFERROR(IF(D926="Sale",E926*INDEX(Products!$E$6:$E$205,MATCH(C926,Products!$B$6:$B$205,0)),IF(D926="Return",-E926*INDEX(Products!$E$6:$E$205,MATCH(C926,Products!$B$6:$B$205,0)),"")),"")</f>
        <v/>
      </c>
      <c r="I926" s="24" t="n"/>
      <c r="J926" s="1" t="n"/>
    </row>
    <row r="927">
      <c r="A927" s="1" t="n"/>
      <c r="B927" s="30" t="n"/>
      <c r="C927" s="23" t="n"/>
      <c r="D927" s="23" t="n"/>
      <c r="E927" s="26" t="n"/>
      <c r="F927" s="25" t="n"/>
      <c r="G927" s="17">
        <f>IF(D927="Sale",E927*F927,IF(D927="Return",-E927*F927,""))</f>
        <v/>
      </c>
      <c r="H927" s="17">
        <f>IFERROR(IF(D927="Sale",E927*INDEX(Products!$E$6:$E$205,MATCH(C927,Products!$B$6:$B$205,0)),IF(D927="Return",-E927*INDEX(Products!$E$6:$E$205,MATCH(C927,Products!$B$6:$B$205,0)),"")),"")</f>
        <v/>
      </c>
      <c r="I927" s="24" t="n"/>
      <c r="J927" s="1" t="n"/>
    </row>
    <row r="928">
      <c r="A928" s="1" t="n"/>
      <c r="B928" s="30" t="n"/>
      <c r="C928" s="23" t="n"/>
      <c r="D928" s="23" t="n"/>
      <c r="E928" s="26" t="n"/>
      <c r="F928" s="25" t="n"/>
      <c r="G928" s="17">
        <f>IF(D928="Sale",E928*F928,IF(D928="Return",-E928*F928,""))</f>
        <v/>
      </c>
      <c r="H928" s="17">
        <f>IFERROR(IF(D928="Sale",E928*INDEX(Products!$E$6:$E$205,MATCH(C928,Products!$B$6:$B$205,0)),IF(D928="Return",-E928*INDEX(Products!$E$6:$E$205,MATCH(C928,Products!$B$6:$B$205,0)),"")),"")</f>
        <v/>
      </c>
      <c r="I928" s="24" t="n"/>
      <c r="J928" s="1" t="n"/>
    </row>
    <row r="929">
      <c r="A929" s="1" t="n"/>
      <c r="B929" s="30" t="n"/>
      <c r="C929" s="23" t="n"/>
      <c r="D929" s="23" t="n"/>
      <c r="E929" s="26" t="n"/>
      <c r="F929" s="25" t="n"/>
      <c r="G929" s="17">
        <f>IF(D929="Sale",E929*F929,IF(D929="Return",-E929*F929,""))</f>
        <v/>
      </c>
      <c r="H929" s="17">
        <f>IFERROR(IF(D929="Sale",E929*INDEX(Products!$E$6:$E$205,MATCH(C929,Products!$B$6:$B$205,0)),IF(D929="Return",-E929*INDEX(Products!$E$6:$E$205,MATCH(C929,Products!$B$6:$B$205,0)),"")),"")</f>
        <v/>
      </c>
      <c r="I929" s="24" t="n"/>
      <c r="J929" s="1" t="n"/>
    </row>
    <row r="930">
      <c r="A930" s="1" t="n"/>
      <c r="B930" s="30" t="n"/>
      <c r="C930" s="23" t="n"/>
      <c r="D930" s="23" t="n"/>
      <c r="E930" s="26" t="n"/>
      <c r="F930" s="25" t="n"/>
      <c r="G930" s="17">
        <f>IF(D930="Sale",E930*F930,IF(D930="Return",-E930*F930,""))</f>
        <v/>
      </c>
      <c r="H930" s="17">
        <f>IFERROR(IF(D930="Sale",E930*INDEX(Products!$E$6:$E$205,MATCH(C930,Products!$B$6:$B$205,0)),IF(D930="Return",-E930*INDEX(Products!$E$6:$E$205,MATCH(C930,Products!$B$6:$B$205,0)),"")),"")</f>
        <v/>
      </c>
      <c r="I930" s="24" t="n"/>
      <c r="J930" s="1" t="n"/>
    </row>
    <row r="931">
      <c r="A931" s="1" t="n"/>
      <c r="B931" s="30" t="n"/>
      <c r="C931" s="23" t="n"/>
      <c r="D931" s="23" t="n"/>
      <c r="E931" s="26" t="n"/>
      <c r="F931" s="25" t="n"/>
      <c r="G931" s="17">
        <f>IF(D931="Sale",E931*F931,IF(D931="Return",-E931*F931,""))</f>
        <v/>
      </c>
      <c r="H931" s="17">
        <f>IFERROR(IF(D931="Sale",E931*INDEX(Products!$E$6:$E$205,MATCH(C931,Products!$B$6:$B$205,0)),IF(D931="Return",-E931*INDEX(Products!$E$6:$E$205,MATCH(C931,Products!$B$6:$B$205,0)),"")),"")</f>
        <v/>
      </c>
      <c r="I931" s="24" t="n"/>
      <c r="J931" s="1" t="n"/>
    </row>
    <row r="932">
      <c r="A932" s="1" t="n"/>
      <c r="B932" s="30" t="n"/>
      <c r="C932" s="23" t="n"/>
      <c r="D932" s="23" t="n"/>
      <c r="E932" s="26" t="n"/>
      <c r="F932" s="25" t="n"/>
      <c r="G932" s="17">
        <f>IF(D932="Sale",E932*F932,IF(D932="Return",-E932*F932,""))</f>
        <v/>
      </c>
      <c r="H932" s="17">
        <f>IFERROR(IF(D932="Sale",E932*INDEX(Products!$E$6:$E$205,MATCH(C932,Products!$B$6:$B$205,0)),IF(D932="Return",-E932*INDEX(Products!$E$6:$E$205,MATCH(C932,Products!$B$6:$B$205,0)),"")),"")</f>
        <v/>
      </c>
      <c r="I932" s="24" t="n"/>
      <c r="J932" s="1" t="n"/>
    </row>
    <row r="933">
      <c r="A933" s="1" t="n"/>
      <c r="B933" s="30" t="n"/>
      <c r="C933" s="23" t="n"/>
      <c r="D933" s="23" t="n"/>
      <c r="E933" s="26" t="n"/>
      <c r="F933" s="25" t="n"/>
      <c r="G933" s="17">
        <f>IF(D933="Sale",E933*F933,IF(D933="Return",-E933*F933,""))</f>
        <v/>
      </c>
      <c r="H933" s="17">
        <f>IFERROR(IF(D933="Sale",E933*INDEX(Products!$E$6:$E$205,MATCH(C933,Products!$B$6:$B$205,0)),IF(D933="Return",-E933*INDEX(Products!$E$6:$E$205,MATCH(C933,Products!$B$6:$B$205,0)),"")),"")</f>
        <v/>
      </c>
      <c r="I933" s="24" t="n"/>
      <c r="J933" s="1" t="n"/>
    </row>
    <row r="934">
      <c r="A934" s="1" t="n"/>
      <c r="B934" s="30" t="n"/>
      <c r="C934" s="23" t="n"/>
      <c r="D934" s="23" t="n"/>
      <c r="E934" s="26" t="n"/>
      <c r="F934" s="25" t="n"/>
      <c r="G934" s="17">
        <f>IF(D934="Sale",E934*F934,IF(D934="Return",-E934*F934,""))</f>
        <v/>
      </c>
      <c r="H934" s="17">
        <f>IFERROR(IF(D934="Sale",E934*INDEX(Products!$E$6:$E$205,MATCH(C934,Products!$B$6:$B$205,0)),IF(D934="Return",-E934*INDEX(Products!$E$6:$E$205,MATCH(C934,Products!$B$6:$B$205,0)),"")),"")</f>
        <v/>
      </c>
      <c r="I934" s="24" t="n"/>
      <c r="J934" s="1" t="n"/>
    </row>
    <row r="935">
      <c r="A935" s="1" t="n"/>
      <c r="B935" s="30" t="n"/>
      <c r="C935" s="23" t="n"/>
      <c r="D935" s="23" t="n"/>
      <c r="E935" s="26" t="n"/>
      <c r="F935" s="25" t="n"/>
      <c r="G935" s="17">
        <f>IF(D935="Sale",E935*F935,IF(D935="Return",-E935*F935,""))</f>
        <v/>
      </c>
      <c r="H935" s="17">
        <f>IFERROR(IF(D935="Sale",E935*INDEX(Products!$E$6:$E$205,MATCH(C935,Products!$B$6:$B$205,0)),IF(D935="Return",-E935*INDEX(Products!$E$6:$E$205,MATCH(C935,Products!$B$6:$B$205,0)),"")),"")</f>
        <v/>
      </c>
      <c r="I935" s="24" t="n"/>
      <c r="J935" s="1" t="n"/>
    </row>
    <row r="936">
      <c r="A936" s="1" t="n"/>
      <c r="B936" s="30" t="n"/>
      <c r="C936" s="23" t="n"/>
      <c r="D936" s="23" t="n"/>
      <c r="E936" s="26" t="n"/>
      <c r="F936" s="25" t="n"/>
      <c r="G936" s="17">
        <f>IF(D936="Sale",E936*F936,IF(D936="Return",-E936*F936,""))</f>
        <v/>
      </c>
      <c r="H936" s="17">
        <f>IFERROR(IF(D936="Sale",E936*INDEX(Products!$E$6:$E$205,MATCH(C936,Products!$B$6:$B$205,0)),IF(D936="Return",-E936*INDEX(Products!$E$6:$E$205,MATCH(C936,Products!$B$6:$B$205,0)),"")),"")</f>
        <v/>
      </c>
      <c r="I936" s="24" t="n"/>
      <c r="J936" s="1" t="n"/>
    </row>
    <row r="937">
      <c r="A937" s="1" t="n"/>
      <c r="B937" s="30" t="n"/>
      <c r="C937" s="23" t="n"/>
      <c r="D937" s="23" t="n"/>
      <c r="E937" s="26" t="n"/>
      <c r="F937" s="25" t="n"/>
      <c r="G937" s="17">
        <f>IF(D937="Sale",E937*F937,IF(D937="Return",-E937*F937,""))</f>
        <v/>
      </c>
      <c r="H937" s="17">
        <f>IFERROR(IF(D937="Sale",E937*INDEX(Products!$E$6:$E$205,MATCH(C937,Products!$B$6:$B$205,0)),IF(D937="Return",-E937*INDEX(Products!$E$6:$E$205,MATCH(C937,Products!$B$6:$B$205,0)),"")),"")</f>
        <v/>
      </c>
      <c r="I937" s="24" t="n"/>
      <c r="J937" s="1" t="n"/>
    </row>
    <row r="938">
      <c r="A938" s="1" t="n"/>
      <c r="B938" s="30" t="n"/>
      <c r="C938" s="23" t="n"/>
      <c r="D938" s="23" t="n"/>
      <c r="E938" s="26" t="n"/>
      <c r="F938" s="25" t="n"/>
      <c r="G938" s="17">
        <f>IF(D938="Sale",E938*F938,IF(D938="Return",-E938*F938,""))</f>
        <v/>
      </c>
      <c r="H938" s="17">
        <f>IFERROR(IF(D938="Sale",E938*INDEX(Products!$E$6:$E$205,MATCH(C938,Products!$B$6:$B$205,0)),IF(D938="Return",-E938*INDEX(Products!$E$6:$E$205,MATCH(C938,Products!$B$6:$B$205,0)),"")),"")</f>
        <v/>
      </c>
      <c r="I938" s="24" t="n"/>
      <c r="J938" s="1" t="n"/>
    </row>
    <row r="939">
      <c r="A939" s="1" t="n"/>
      <c r="B939" s="30" t="n"/>
      <c r="C939" s="23" t="n"/>
      <c r="D939" s="23" t="n"/>
      <c r="E939" s="26" t="n"/>
      <c r="F939" s="25" t="n"/>
      <c r="G939" s="17">
        <f>IF(D939="Sale",E939*F939,IF(D939="Return",-E939*F939,""))</f>
        <v/>
      </c>
      <c r="H939" s="17">
        <f>IFERROR(IF(D939="Sale",E939*INDEX(Products!$E$6:$E$205,MATCH(C939,Products!$B$6:$B$205,0)),IF(D939="Return",-E939*INDEX(Products!$E$6:$E$205,MATCH(C939,Products!$B$6:$B$205,0)),"")),"")</f>
        <v/>
      </c>
      <c r="I939" s="24" t="n"/>
      <c r="J939" s="1" t="n"/>
    </row>
    <row r="940">
      <c r="A940" s="1" t="n"/>
      <c r="B940" s="30" t="n"/>
      <c r="C940" s="23" t="n"/>
      <c r="D940" s="23" t="n"/>
      <c r="E940" s="26" t="n"/>
      <c r="F940" s="25" t="n"/>
      <c r="G940" s="17">
        <f>IF(D940="Sale",E940*F940,IF(D940="Return",-E940*F940,""))</f>
        <v/>
      </c>
      <c r="H940" s="17">
        <f>IFERROR(IF(D940="Sale",E940*INDEX(Products!$E$6:$E$205,MATCH(C940,Products!$B$6:$B$205,0)),IF(D940="Return",-E940*INDEX(Products!$E$6:$E$205,MATCH(C940,Products!$B$6:$B$205,0)),"")),"")</f>
        <v/>
      </c>
      <c r="I940" s="24" t="n"/>
      <c r="J940" s="1" t="n"/>
    </row>
    <row r="941">
      <c r="A941" s="1" t="n"/>
      <c r="B941" s="30" t="n"/>
      <c r="C941" s="23" t="n"/>
      <c r="D941" s="23" t="n"/>
      <c r="E941" s="26" t="n"/>
      <c r="F941" s="25" t="n"/>
      <c r="G941" s="17">
        <f>IF(D941="Sale",E941*F941,IF(D941="Return",-E941*F941,""))</f>
        <v/>
      </c>
      <c r="H941" s="17">
        <f>IFERROR(IF(D941="Sale",E941*INDEX(Products!$E$6:$E$205,MATCH(C941,Products!$B$6:$B$205,0)),IF(D941="Return",-E941*INDEX(Products!$E$6:$E$205,MATCH(C941,Products!$B$6:$B$205,0)),"")),"")</f>
        <v/>
      </c>
      <c r="I941" s="24" t="n"/>
      <c r="J941" s="1" t="n"/>
    </row>
    <row r="942">
      <c r="A942" s="1" t="n"/>
      <c r="B942" s="30" t="n"/>
      <c r="C942" s="23" t="n"/>
      <c r="D942" s="23" t="n"/>
      <c r="E942" s="26" t="n"/>
      <c r="F942" s="25" t="n"/>
      <c r="G942" s="17">
        <f>IF(D942="Sale",E942*F942,IF(D942="Return",-E942*F942,""))</f>
        <v/>
      </c>
      <c r="H942" s="17">
        <f>IFERROR(IF(D942="Sale",E942*INDEX(Products!$E$6:$E$205,MATCH(C942,Products!$B$6:$B$205,0)),IF(D942="Return",-E942*INDEX(Products!$E$6:$E$205,MATCH(C942,Products!$B$6:$B$205,0)),"")),"")</f>
        <v/>
      </c>
      <c r="I942" s="24" t="n"/>
      <c r="J942" s="1" t="n"/>
    </row>
    <row r="943">
      <c r="A943" s="1" t="n"/>
      <c r="B943" s="30" t="n"/>
      <c r="C943" s="23" t="n"/>
      <c r="D943" s="23" t="n"/>
      <c r="E943" s="26" t="n"/>
      <c r="F943" s="25" t="n"/>
      <c r="G943" s="17">
        <f>IF(D943="Sale",E943*F943,IF(D943="Return",-E943*F943,""))</f>
        <v/>
      </c>
      <c r="H943" s="17">
        <f>IFERROR(IF(D943="Sale",E943*INDEX(Products!$E$6:$E$205,MATCH(C943,Products!$B$6:$B$205,0)),IF(D943="Return",-E943*INDEX(Products!$E$6:$E$205,MATCH(C943,Products!$B$6:$B$205,0)),"")),"")</f>
        <v/>
      </c>
      <c r="I943" s="24" t="n"/>
      <c r="J943" s="1" t="n"/>
    </row>
    <row r="944">
      <c r="A944" s="1" t="n"/>
      <c r="B944" s="30" t="n"/>
      <c r="C944" s="23" t="n"/>
      <c r="D944" s="23" t="n"/>
      <c r="E944" s="26" t="n"/>
      <c r="F944" s="25" t="n"/>
      <c r="G944" s="17">
        <f>IF(D944="Sale",E944*F944,IF(D944="Return",-E944*F944,""))</f>
        <v/>
      </c>
      <c r="H944" s="17">
        <f>IFERROR(IF(D944="Sale",E944*INDEX(Products!$E$6:$E$205,MATCH(C944,Products!$B$6:$B$205,0)),IF(D944="Return",-E944*INDEX(Products!$E$6:$E$205,MATCH(C944,Products!$B$6:$B$205,0)),"")),"")</f>
        <v/>
      </c>
      <c r="I944" s="24" t="n"/>
      <c r="J944" s="1" t="n"/>
    </row>
    <row r="945">
      <c r="A945" s="1" t="n"/>
      <c r="B945" s="30" t="n"/>
      <c r="C945" s="23" t="n"/>
      <c r="D945" s="23" t="n"/>
      <c r="E945" s="26" t="n"/>
      <c r="F945" s="25" t="n"/>
      <c r="G945" s="17">
        <f>IF(D945="Sale",E945*F945,IF(D945="Return",-E945*F945,""))</f>
        <v/>
      </c>
      <c r="H945" s="17">
        <f>IFERROR(IF(D945="Sale",E945*INDEX(Products!$E$6:$E$205,MATCH(C945,Products!$B$6:$B$205,0)),IF(D945="Return",-E945*INDEX(Products!$E$6:$E$205,MATCH(C945,Products!$B$6:$B$205,0)),"")),"")</f>
        <v/>
      </c>
      <c r="I945" s="24" t="n"/>
      <c r="J945" s="1" t="n"/>
    </row>
    <row r="946">
      <c r="A946" s="1" t="n"/>
      <c r="B946" s="30" t="n"/>
      <c r="C946" s="23" t="n"/>
      <c r="D946" s="23" t="n"/>
      <c r="E946" s="26" t="n"/>
      <c r="F946" s="25" t="n"/>
      <c r="G946" s="17">
        <f>IF(D946="Sale",E946*F946,IF(D946="Return",-E946*F946,""))</f>
        <v/>
      </c>
      <c r="H946" s="17">
        <f>IFERROR(IF(D946="Sale",E946*INDEX(Products!$E$6:$E$205,MATCH(C946,Products!$B$6:$B$205,0)),IF(D946="Return",-E946*INDEX(Products!$E$6:$E$205,MATCH(C946,Products!$B$6:$B$205,0)),"")),"")</f>
        <v/>
      </c>
      <c r="I946" s="24" t="n"/>
      <c r="J946" s="1" t="n"/>
    </row>
    <row r="947">
      <c r="A947" s="1" t="n"/>
      <c r="B947" s="30" t="n"/>
      <c r="C947" s="23" t="n"/>
      <c r="D947" s="23" t="n"/>
      <c r="E947" s="26" t="n"/>
      <c r="F947" s="25" t="n"/>
      <c r="G947" s="17">
        <f>IF(D947="Sale",E947*F947,IF(D947="Return",-E947*F947,""))</f>
        <v/>
      </c>
      <c r="H947" s="17">
        <f>IFERROR(IF(D947="Sale",E947*INDEX(Products!$E$6:$E$205,MATCH(C947,Products!$B$6:$B$205,0)),IF(D947="Return",-E947*INDEX(Products!$E$6:$E$205,MATCH(C947,Products!$B$6:$B$205,0)),"")),"")</f>
        <v/>
      </c>
      <c r="I947" s="24" t="n"/>
      <c r="J947" s="1" t="n"/>
    </row>
    <row r="948">
      <c r="A948" s="1" t="n"/>
      <c r="B948" s="30" t="n"/>
      <c r="C948" s="23" t="n"/>
      <c r="D948" s="23" t="n"/>
      <c r="E948" s="26" t="n"/>
      <c r="F948" s="25" t="n"/>
      <c r="G948" s="17">
        <f>IF(D948="Sale",E948*F948,IF(D948="Return",-E948*F948,""))</f>
        <v/>
      </c>
      <c r="H948" s="17">
        <f>IFERROR(IF(D948="Sale",E948*INDEX(Products!$E$6:$E$205,MATCH(C948,Products!$B$6:$B$205,0)),IF(D948="Return",-E948*INDEX(Products!$E$6:$E$205,MATCH(C948,Products!$B$6:$B$205,0)),"")),"")</f>
        <v/>
      </c>
      <c r="I948" s="24" t="n"/>
      <c r="J948" s="1" t="n"/>
    </row>
    <row r="949">
      <c r="A949" s="1" t="n"/>
      <c r="B949" s="30" t="n"/>
      <c r="C949" s="23" t="n"/>
      <c r="D949" s="23" t="n"/>
      <c r="E949" s="26" t="n"/>
      <c r="F949" s="25" t="n"/>
      <c r="G949" s="17">
        <f>IF(D949="Sale",E949*F949,IF(D949="Return",-E949*F949,""))</f>
        <v/>
      </c>
      <c r="H949" s="17">
        <f>IFERROR(IF(D949="Sale",E949*INDEX(Products!$E$6:$E$205,MATCH(C949,Products!$B$6:$B$205,0)),IF(D949="Return",-E949*INDEX(Products!$E$6:$E$205,MATCH(C949,Products!$B$6:$B$205,0)),"")),"")</f>
        <v/>
      </c>
      <c r="I949" s="24" t="n"/>
      <c r="J949" s="1" t="n"/>
    </row>
    <row r="950">
      <c r="A950" s="1" t="n"/>
      <c r="B950" s="30" t="n"/>
      <c r="C950" s="23" t="n"/>
      <c r="D950" s="23" t="n"/>
      <c r="E950" s="26" t="n"/>
      <c r="F950" s="25" t="n"/>
      <c r="G950" s="17">
        <f>IF(D950="Sale",E950*F950,IF(D950="Return",-E950*F950,""))</f>
        <v/>
      </c>
      <c r="H950" s="17">
        <f>IFERROR(IF(D950="Sale",E950*INDEX(Products!$E$6:$E$205,MATCH(C950,Products!$B$6:$B$205,0)),IF(D950="Return",-E950*INDEX(Products!$E$6:$E$205,MATCH(C950,Products!$B$6:$B$205,0)),"")),"")</f>
        <v/>
      </c>
      <c r="I950" s="24" t="n"/>
      <c r="J950" s="1" t="n"/>
    </row>
    <row r="951">
      <c r="A951" s="1" t="n"/>
      <c r="B951" s="30" t="n"/>
      <c r="C951" s="23" t="n"/>
      <c r="D951" s="23" t="n"/>
      <c r="E951" s="26" t="n"/>
      <c r="F951" s="25" t="n"/>
      <c r="G951" s="17">
        <f>IF(D951="Sale",E951*F951,IF(D951="Return",-E951*F951,""))</f>
        <v/>
      </c>
      <c r="H951" s="17">
        <f>IFERROR(IF(D951="Sale",E951*INDEX(Products!$E$6:$E$205,MATCH(C951,Products!$B$6:$B$205,0)),IF(D951="Return",-E951*INDEX(Products!$E$6:$E$205,MATCH(C951,Products!$B$6:$B$205,0)),"")),"")</f>
        <v/>
      </c>
      <c r="I951" s="24" t="n"/>
      <c r="J951" s="1" t="n"/>
    </row>
    <row r="952">
      <c r="A952" s="1" t="n"/>
      <c r="B952" s="30" t="n"/>
      <c r="C952" s="23" t="n"/>
      <c r="D952" s="23" t="n"/>
      <c r="E952" s="26" t="n"/>
      <c r="F952" s="25" t="n"/>
      <c r="G952" s="17">
        <f>IF(D952="Sale",E952*F952,IF(D952="Return",-E952*F952,""))</f>
        <v/>
      </c>
      <c r="H952" s="17">
        <f>IFERROR(IF(D952="Sale",E952*INDEX(Products!$E$6:$E$205,MATCH(C952,Products!$B$6:$B$205,0)),IF(D952="Return",-E952*INDEX(Products!$E$6:$E$205,MATCH(C952,Products!$B$6:$B$205,0)),"")),"")</f>
        <v/>
      </c>
      <c r="I952" s="24" t="n"/>
      <c r="J952" s="1" t="n"/>
    </row>
    <row r="953">
      <c r="A953" s="1" t="n"/>
      <c r="B953" s="30" t="n"/>
      <c r="C953" s="23" t="n"/>
      <c r="D953" s="23" t="n"/>
      <c r="E953" s="26" t="n"/>
      <c r="F953" s="25" t="n"/>
      <c r="G953" s="17">
        <f>IF(D953="Sale",E953*F953,IF(D953="Return",-E953*F953,""))</f>
        <v/>
      </c>
      <c r="H953" s="17">
        <f>IFERROR(IF(D953="Sale",E953*INDEX(Products!$E$6:$E$205,MATCH(C953,Products!$B$6:$B$205,0)),IF(D953="Return",-E953*INDEX(Products!$E$6:$E$205,MATCH(C953,Products!$B$6:$B$205,0)),"")),"")</f>
        <v/>
      </c>
      <c r="I953" s="24" t="n"/>
      <c r="J953" s="1" t="n"/>
    </row>
    <row r="954">
      <c r="A954" s="1" t="n"/>
      <c r="B954" s="30" t="n"/>
      <c r="C954" s="23" t="n"/>
      <c r="D954" s="23" t="n"/>
      <c r="E954" s="26" t="n"/>
      <c r="F954" s="25" t="n"/>
      <c r="G954" s="17">
        <f>IF(D954="Sale",E954*F954,IF(D954="Return",-E954*F954,""))</f>
        <v/>
      </c>
      <c r="H954" s="17">
        <f>IFERROR(IF(D954="Sale",E954*INDEX(Products!$E$6:$E$205,MATCH(C954,Products!$B$6:$B$205,0)),IF(D954="Return",-E954*INDEX(Products!$E$6:$E$205,MATCH(C954,Products!$B$6:$B$205,0)),"")),"")</f>
        <v/>
      </c>
      <c r="I954" s="24" t="n"/>
      <c r="J954" s="1" t="n"/>
    </row>
    <row r="955">
      <c r="A955" s="1" t="n"/>
      <c r="B955" s="30" t="n"/>
      <c r="C955" s="23" t="n"/>
      <c r="D955" s="23" t="n"/>
      <c r="E955" s="26" t="n"/>
      <c r="F955" s="25" t="n"/>
      <c r="G955" s="17">
        <f>IF(D955="Sale",E955*F955,IF(D955="Return",-E955*F955,""))</f>
        <v/>
      </c>
      <c r="H955" s="17">
        <f>IFERROR(IF(D955="Sale",E955*INDEX(Products!$E$6:$E$205,MATCH(C955,Products!$B$6:$B$205,0)),IF(D955="Return",-E955*INDEX(Products!$E$6:$E$205,MATCH(C955,Products!$B$6:$B$205,0)),"")),"")</f>
        <v/>
      </c>
      <c r="I955" s="24" t="n"/>
      <c r="J955" s="1" t="n"/>
    </row>
    <row r="956">
      <c r="A956" s="1" t="n"/>
      <c r="B956" s="30" t="n"/>
      <c r="C956" s="23" t="n"/>
      <c r="D956" s="23" t="n"/>
      <c r="E956" s="26" t="n"/>
      <c r="F956" s="25" t="n"/>
      <c r="G956" s="17">
        <f>IF(D956="Sale",E956*F956,IF(D956="Return",-E956*F956,""))</f>
        <v/>
      </c>
      <c r="H956" s="17">
        <f>IFERROR(IF(D956="Sale",E956*INDEX(Products!$E$6:$E$205,MATCH(C956,Products!$B$6:$B$205,0)),IF(D956="Return",-E956*INDEX(Products!$E$6:$E$205,MATCH(C956,Products!$B$6:$B$205,0)),"")),"")</f>
        <v/>
      </c>
      <c r="I956" s="24" t="n"/>
      <c r="J956" s="1" t="n"/>
    </row>
    <row r="957">
      <c r="A957" s="1" t="n"/>
      <c r="B957" s="30" t="n"/>
      <c r="C957" s="23" t="n"/>
      <c r="D957" s="23" t="n"/>
      <c r="E957" s="26" t="n"/>
      <c r="F957" s="25" t="n"/>
      <c r="G957" s="17">
        <f>IF(D957="Sale",E957*F957,IF(D957="Return",-E957*F957,""))</f>
        <v/>
      </c>
      <c r="H957" s="17">
        <f>IFERROR(IF(D957="Sale",E957*INDEX(Products!$E$6:$E$205,MATCH(C957,Products!$B$6:$B$205,0)),IF(D957="Return",-E957*INDEX(Products!$E$6:$E$205,MATCH(C957,Products!$B$6:$B$205,0)),"")),"")</f>
        <v/>
      </c>
      <c r="I957" s="24" t="n"/>
      <c r="J957" s="1" t="n"/>
    </row>
    <row r="958">
      <c r="A958" s="1" t="n"/>
      <c r="B958" s="30" t="n"/>
      <c r="C958" s="23" t="n"/>
      <c r="D958" s="23" t="n"/>
      <c r="E958" s="26" t="n"/>
      <c r="F958" s="25" t="n"/>
      <c r="G958" s="17">
        <f>IF(D958="Sale",E958*F958,IF(D958="Return",-E958*F958,""))</f>
        <v/>
      </c>
      <c r="H958" s="17">
        <f>IFERROR(IF(D958="Sale",E958*INDEX(Products!$E$6:$E$205,MATCH(C958,Products!$B$6:$B$205,0)),IF(D958="Return",-E958*INDEX(Products!$E$6:$E$205,MATCH(C958,Products!$B$6:$B$205,0)),"")),"")</f>
        <v/>
      </c>
      <c r="I958" s="24" t="n"/>
      <c r="J958" s="1" t="n"/>
    </row>
    <row r="959">
      <c r="A959" s="1" t="n"/>
      <c r="B959" s="30" t="n"/>
      <c r="C959" s="23" t="n"/>
      <c r="D959" s="23" t="n"/>
      <c r="E959" s="26" t="n"/>
      <c r="F959" s="25" t="n"/>
      <c r="G959" s="17">
        <f>IF(D959="Sale",E959*F959,IF(D959="Return",-E959*F959,""))</f>
        <v/>
      </c>
      <c r="H959" s="17">
        <f>IFERROR(IF(D959="Sale",E959*INDEX(Products!$E$6:$E$205,MATCH(C959,Products!$B$6:$B$205,0)),IF(D959="Return",-E959*INDEX(Products!$E$6:$E$205,MATCH(C959,Products!$B$6:$B$205,0)),"")),"")</f>
        <v/>
      </c>
      <c r="I959" s="24" t="n"/>
      <c r="J959" s="1" t="n"/>
    </row>
    <row r="960">
      <c r="A960" s="1" t="n"/>
      <c r="B960" s="30" t="n"/>
      <c r="C960" s="23" t="n"/>
      <c r="D960" s="23" t="n"/>
      <c r="E960" s="26" t="n"/>
      <c r="F960" s="25" t="n"/>
      <c r="G960" s="17">
        <f>IF(D960="Sale",E960*F960,IF(D960="Return",-E960*F960,""))</f>
        <v/>
      </c>
      <c r="H960" s="17">
        <f>IFERROR(IF(D960="Sale",E960*INDEX(Products!$E$6:$E$205,MATCH(C960,Products!$B$6:$B$205,0)),IF(D960="Return",-E960*INDEX(Products!$E$6:$E$205,MATCH(C960,Products!$B$6:$B$205,0)),"")),"")</f>
        <v/>
      </c>
      <c r="I960" s="24" t="n"/>
      <c r="J960" s="1" t="n"/>
    </row>
    <row r="961">
      <c r="A961" s="1" t="n"/>
      <c r="B961" s="30" t="n"/>
      <c r="C961" s="23" t="n"/>
      <c r="D961" s="23" t="n"/>
      <c r="E961" s="26" t="n"/>
      <c r="F961" s="25" t="n"/>
      <c r="G961" s="17">
        <f>IF(D961="Sale",E961*F961,IF(D961="Return",-E961*F961,""))</f>
        <v/>
      </c>
      <c r="H961" s="17">
        <f>IFERROR(IF(D961="Sale",E961*INDEX(Products!$E$6:$E$205,MATCH(C961,Products!$B$6:$B$205,0)),IF(D961="Return",-E961*INDEX(Products!$E$6:$E$205,MATCH(C961,Products!$B$6:$B$205,0)),"")),"")</f>
        <v/>
      </c>
      <c r="I961" s="24" t="n"/>
      <c r="J961" s="1" t="n"/>
    </row>
    <row r="962">
      <c r="A962" s="1" t="n"/>
      <c r="B962" s="30" t="n"/>
      <c r="C962" s="23" t="n"/>
      <c r="D962" s="23" t="n"/>
      <c r="E962" s="26" t="n"/>
      <c r="F962" s="25" t="n"/>
      <c r="G962" s="17">
        <f>IF(D962="Sale",E962*F962,IF(D962="Return",-E962*F962,""))</f>
        <v/>
      </c>
      <c r="H962" s="17">
        <f>IFERROR(IF(D962="Sale",E962*INDEX(Products!$E$6:$E$205,MATCH(C962,Products!$B$6:$B$205,0)),IF(D962="Return",-E962*INDEX(Products!$E$6:$E$205,MATCH(C962,Products!$B$6:$B$205,0)),"")),"")</f>
        <v/>
      </c>
      <c r="I962" s="24" t="n"/>
      <c r="J962" s="1" t="n"/>
    </row>
    <row r="963">
      <c r="A963" s="1" t="n"/>
      <c r="B963" s="30" t="n"/>
      <c r="C963" s="23" t="n"/>
      <c r="D963" s="23" t="n"/>
      <c r="E963" s="26" t="n"/>
      <c r="F963" s="25" t="n"/>
      <c r="G963" s="17">
        <f>IF(D963="Sale",E963*F963,IF(D963="Return",-E963*F963,""))</f>
        <v/>
      </c>
      <c r="H963" s="17">
        <f>IFERROR(IF(D963="Sale",E963*INDEX(Products!$E$6:$E$205,MATCH(C963,Products!$B$6:$B$205,0)),IF(D963="Return",-E963*INDEX(Products!$E$6:$E$205,MATCH(C963,Products!$B$6:$B$205,0)),"")),"")</f>
        <v/>
      </c>
      <c r="I963" s="24" t="n"/>
      <c r="J963" s="1" t="n"/>
    </row>
    <row r="964">
      <c r="A964" s="1" t="n"/>
      <c r="B964" s="30" t="n"/>
      <c r="C964" s="23" t="n"/>
      <c r="D964" s="23" t="n"/>
      <c r="E964" s="26" t="n"/>
      <c r="F964" s="25" t="n"/>
      <c r="G964" s="17">
        <f>IF(D964="Sale",E964*F964,IF(D964="Return",-E964*F964,""))</f>
        <v/>
      </c>
      <c r="H964" s="17">
        <f>IFERROR(IF(D964="Sale",E964*INDEX(Products!$E$6:$E$205,MATCH(C964,Products!$B$6:$B$205,0)),IF(D964="Return",-E964*INDEX(Products!$E$6:$E$205,MATCH(C964,Products!$B$6:$B$205,0)),"")),"")</f>
        <v/>
      </c>
      <c r="I964" s="24" t="n"/>
      <c r="J964" s="1" t="n"/>
    </row>
    <row r="965">
      <c r="A965" s="1" t="n"/>
      <c r="B965" s="30" t="n"/>
      <c r="C965" s="23" t="n"/>
      <c r="D965" s="23" t="n"/>
      <c r="E965" s="26" t="n"/>
      <c r="F965" s="25" t="n"/>
      <c r="G965" s="17">
        <f>IF(D965="Sale",E965*F965,IF(D965="Return",-E965*F965,""))</f>
        <v/>
      </c>
      <c r="H965" s="17">
        <f>IFERROR(IF(D965="Sale",E965*INDEX(Products!$E$6:$E$205,MATCH(C965,Products!$B$6:$B$205,0)),IF(D965="Return",-E965*INDEX(Products!$E$6:$E$205,MATCH(C965,Products!$B$6:$B$205,0)),"")),"")</f>
        <v/>
      </c>
      <c r="I965" s="24" t="n"/>
      <c r="J965" s="1" t="n"/>
    </row>
    <row r="966">
      <c r="A966" s="1" t="n"/>
      <c r="B966" s="30" t="n"/>
      <c r="C966" s="23" t="n"/>
      <c r="D966" s="23" t="n"/>
      <c r="E966" s="26" t="n"/>
      <c r="F966" s="25" t="n"/>
      <c r="G966" s="17">
        <f>IF(D966="Sale",E966*F966,IF(D966="Return",-E966*F966,""))</f>
        <v/>
      </c>
      <c r="H966" s="17">
        <f>IFERROR(IF(D966="Sale",E966*INDEX(Products!$E$6:$E$205,MATCH(C966,Products!$B$6:$B$205,0)),IF(D966="Return",-E966*INDEX(Products!$E$6:$E$205,MATCH(C966,Products!$B$6:$B$205,0)),"")),"")</f>
        <v/>
      </c>
      <c r="I966" s="24" t="n"/>
      <c r="J966" s="1" t="n"/>
    </row>
    <row r="967">
      <c r="A967" s="1" t="n"/>
      <c r="B967" s="30" t="n"/>
      <c r="C967" s="23" t="n"/>
      <c r="D967" s="23" t="n"/>
      <c r="E967" s="26" t="n"/>
      <c r="F967" s="25" t="n"/>
      <c r="G967" s="17">
        <f>IF(D967="Sale",E967*F967,IF(D967="Return",-E967*F967,""))</f>
        <v/>
      </c>
      <c r="H967" s="17">
        <f>IFERROR(IF(D967="Sale",E967*INDEX(Products!$E$6:$E$205,MATCH(C967,Products!$B$6:$B$205,0)),IF(D967="Return",-E967*INDEX(Products!$E$6:$E$205,MATCH(C967,Products!$B$6:$B$205,0)),"")),"")</f>
        <v/>
      </c>
      <c r="I967" s="24" t="n"/>
      <c r="J967" s="1" t="n"/>
    </row>
    <row r="968">
      <c r="A968" s="1" t="n"/>
      <c r="B968" s="30" t="n"/>
      <c r="C968" s="23" t="n"/>
      <c r="D968" s="23" t="n"/>
      <c r="E968" s="26" t="n"/>
      <c r="F968" s="25" t="n"/>
      <c r="G968" s="17">
        <f>IF(D968="Sale",E968*F968,IF(D968="Return",-E968*F968,""))</f>
        <v/>
      </c>
      <c r="H968" s="17">
        <f>IFERROR(IF(D968="Sale",E968*INDEX(Products!$E$6:$E$205,MATCH(C968,Products!$B$6:$B$205,0)),IF(D968="Return",-E968*INDEX(Products!$E$6:$E$205,MATCH(C968,Products!$B$6:$B$205,0)),"")),"")</f>
        <v/>
      </c>
      <c r="I968" s="24" t="n"/>
      <c r="J968" s="1" t="n"/>
    </row>
    <row r="969">
      <c r="A969" s="1" t="n"/>
      <c r="B969" s="30" t="n"/>
      <c r="C969" s="23" t="n"/>
      <c r="D969" s="23" t="n"/>
      <c r="E969" s="26" t="n"/>
      <c r="F969" s="25" t="n"/>
      <c r="G969" s="17">
        <f>IF(D969="Sale",E969*F969,IF(D969="Return",-E969*F969,""))</f>
        <v/>
      </c>
      <c r="H969" s="17">
        <f>IFERROR(IF(D969="Sale",E969*INDEX(Products!$E$6:$E$205,MATCH(C969,Products!$B$6:$B$205,0)),IF(D969="Return",-E969*INDEX(Products!$E$6:$E$205,MATCH(C969,Products!$B$6:$B$205,0)),"")),"")</f>
        <v/>
      </c>
      <c r="I969" s="24" t="n"/>
      <c r="J969" s="1" t="n"/>
    </row>
    <row r="970">
      <c r="A970" s="1" t="n"/>
      <c r="B970" s="30" t="n"/>
      <c r="C970" s="23" t="n"/>
      <c r="D970" s="23" t="n"/>
      <c r="E970" s="26" t="n"/>
      <c r="F970" s="25" t="n"/>
      <c r="G970" s="17">
        <f>IF(D970="Sale",E970*F970,IF(D970="Return",-E970*F970,""))</f>
        <v/>
      </c>
      <c r="H970" s="17">
        <f>IFERROR(IF(D970="Sale",E970*INDEX(Products!$E$6:$E$205,MATCH(C970,Products!$B$6:$B$205,0)),IF(D970="Return",-E970*INDEX(Products!$E$6:$E$205,MATCH(C970,Products!$B$6:$B$205,0)),"")),"")</f>
        <v/>
      </c>
      <c r="I970" s="24" t="n"/>
      <c r="J970" s="1" t="n"/>
    </row>
    <row r="971">
      <c r="A971" s="1" t="n"/>
      <c r="B971" s="30" t="n"/>
      <c r="C971" s="23" t="n"/>
      <c r="D971" s="23" t="n"/>
      <c r="E971" s="26" t="n"/>
      <c r="F971" s="25" t="n"/>
      <c r="G971" s="17">
        <f>IF(D971="Sale",E971*F971,IF(D971="Return",-E971*F971,""))</f>
        <v/>
      </c>
      <c r="H971" s="17">
        <f>IFERROR(IF(D971="Sale",E971*INDEX(Products!$E$6:$E$205,MATCH(C971,Products!$B$6:$B$205,0)),IF(D971="Return",-E971*INDEX(Products!$E$6:$E$205,MATCH(C971,Products!$B$6:$B$205,0)),"")),"")</f>
        <v/>
      </c>
      <c r="I971" s="24" t="n"/>
      <c r="J971" s="1" t="n"/>
    </row>
    <row r="972">
      <c r="A972" s="1" t="n"/>
      <c r="B972" s="30" t="n"/>
      <c r="C972" s="23" t="n"/>
      <c r="D972" s="23" t="n"/>
      <c r="E972" s="26" t="n"/>
      <c r="F972" s="25" t="n"/>
      <c r="G972" s="17">
        <f>IF(D972="Sale",E972*F972,IF(D972="Return",-E972*F972,""))</f>
        <v/>
      </c>
      <c r="H972" s="17">
        <f>IFERROR(IF(D972="Sale",E972*INDEX(Products!$E$6:$E$205,MATCH(C972,Products!$B$6:$B$205,0)),IF(D972="Return",-E972*INDEX(Products!$E$6:$E$205,MATCH(C972,Products!$B$6:$B$205,0)),"")),"")</f>
        <v/>
      </c>
      <c r="I972" s="24" t="n"/>
      <c r="J972" s="1" t="n"/>
    </row>
    <row r="973">
      <c r="A973" s="1" t="n"/>
      <c r="B973" s="30" t="n"/>
      <c r="C973" s="23" t="n"/>
      <c r="D973" s="23" t="n"/>
      <c r="E973" s="26" t="n"/>
      <c r="F973" s="25" t="n"/>
      <c r="G973" s="17">
        <f>IF(D973="Sale",E973*F973,IF(D973="Return",-E973*F973,""))</f>
        <v/>
      </c>
      <c r="H973" s="17">
        <f>IFERROR(IF(D973="Sale",E973*INDEX(Products!$E$6:$E$205,MATCH(C973,Products!$B$6:$B$205,0)),IF(D973="Return",-E973*INDEX(Products!$E$6:$E$205,MATCH(C973,Products!$B$6:$B$205,0)),"")),"")</f>
        <v/>
      </c>
      <c r="I973" s="24" t="n"/>
      <c r="J973" s="1" t="n"/>
    </row>
    <row r="974">
      <c r="A974" s="1" t="n"/>
      <c r="B974" s="30" t="n"/>
      <c r="C974" s="23" t="n"/>
      <c r="D974" s="23" t="n"/>
      <c r="E974" s="26" t="n"/>
      <c r="F974" s="25" t="n"/>
      <c r="G974" s="17">
        <f>IF(D974="Sale",E974*F974,IF(D974="Return",-E974*F974,""))</f>
        <v/>
      </c>
      <c r="H974" s="17">
        <f>IFERROR(IF(D974="Sale",E974*INDEX(Products!$E$6:$E$205,MATCH(C974,Products!$B$6:$B$205,0)),IF(D974="Return",-E974*INDEX(Products!$E$6:$E$205,MATCH(C974,Products!$B$6:$B$205,0)),"")),"")</f>
        <v/>
      </c>
      <c r="I974" s="24" t="n"/>
      <c r="J974" s="1" t="n"/>
    </row>
    <row r="975">
      <c r="A975" s="1" t="n"/>
      <c r="B975" s="30" t="n"/>
      <c r="C975" s="23" t="n"/>
      <c r="D975" s="23" t="n"/>
      <c r="E975" s="26" t="n"/>
      <c r="F975" s="25" t="n"/>
      <c r="G975" s="17">
        <f>IF(D975="Sale",E975*F975,IF(D975="Return",-E975*F975,""))</f>
        <v/>
      </c>
      <c r="H975" s="17">
        <f>IFERROR(IF(D975="Sale",E975*INDEX(Products!$E$6:$E$205,MATCH(C975,Products!$B$6:$B$205,0)),IF(D975="Return",-E975*INDEX(Products!$E$6:$E$205,MATCH(C975,Products!$B$6:$B$205,0)),"")),"")</f>
        <v/>
      </c>
      <c r="I975" s="24" t="n"/>
      <c r="J975" s="1" t="n"/>
    </row>
    <row r="976">
      <c r="A976" s="1" t="n"/>
      <c r="B976" s="30" t="n"/>
      <c r="C976" s="23" t="n"/>
      <c r="D976" s="23" t="n"/>
      <c r="E976" s="26" t="n"/>
      <c r="F976" s="25" t="n"/>
      <c r="G976" s="17">
        <f>IF(D976="Sale",E976*F976,IF(D976="Return",-E976*F976,""))</f>
        <v/>
      </c>
      <c r="H976" s="17">
        <f>IFERROR(IF(D976="Sale",E976*INDEX(Products!$E$6:$E$205,MATCH(C976,Products!$B$6:$B$205,0)),IF(D976="Return",-E976*INDEX(Products!$E$6:$E$205,MATCH(C976,Products!$B$6:$B$205,0)),"")),"")</f>
        <v/>
      </c>
      <c r="I976" s="24" t="n"/>
      <c r="J976" s="1" t="n"/>
    </row>
    <row r="977">
      <c r="A977" s="1" t="n"/>
      <c r="B977" s="30" t="n"/>
      <c r="C977" s="23" t="n"/>
      <c r="D977" s="23" t="n"/>
      <c r="E977" s="26" t="n"/>
      <c r="F977" s="25" t="n"/>
      <c r="G977" s="17">
        <f>IF(D977="Sale",E977*F977,IF(D977="Return",-E977*F977,""))</f>
        <v/>
      </c>
      <c r="H977" s="17">
        <f>IFERROR(IF(D977="Sale",E977*INDEX(Products!$E$6:$E$205,MATCH(C977,Products!$B$6:$B$205,0)),IF(D977="Return",-E977*INDEX(Products!$E$6:$E$205,MATCH(C977,Products!$B$6:$B$205,0)),"")),"")</f>
        <v/>
      </c>
      <c r="I977" s="24" t="n"/>
      <c r="J977" s="1" t="n"/>
    </row>
    <row r="978">
      <c r="A978" s="1" t="n"/>
      <c r="B978" s="30" t="n"/>
      <c r="C978" s="23" t="n"/>
      <c r="D978" s="23" t="n"/>
      <c r="E978" s="26" t="n"/>
      <c r="F978" s="25" t="n"/>
      <c r="G978" s="17">
        <f>IF(D978="Sale",E978*F978,IF(D978="Return",-E978*F978,""))</f>
        <v/>
      </c>
      <c r="H978" s="17">
        <f>IFERROR(IF(D978="Sale",E978*INDEX(Products!$E$6:$E$205,MATCH(C978,Products!$B$6:$B$205,0)),IF(D978="Return",-E978*INDEX(Products!$E$6:$E$205,MATCH(C978,Products!$B$6:$B$205,0)),"")),"")</f>
        <v/>
      </c>
      <c r="I978" s="24" t="n"/>
      <c r="J978" s="1" t="n"/>
    </row>
    <row r="979">
      <c r="A979" s="1" t="n"/>
      <c r="B979" s="30" t="n"/>
      <c r="C979" s="23" t="n"/>
      <c r="D979" s="23" t="n"/>
      <c r="E979" s="26" t="n"/>
      <c r="F979" s="25" t="n"/>
      <c r="G979" s="17">
        <f>IF(D979="Sale",E979*F979,IF(D979="Return",-E979*F979,""))</f>
        <v/>
      </c>
      <c r="H979" s="17">
        <f>IFERROR(IF(D979="Sale",E979*INDEX(Products!$E$6:$E$205,MATCH(C979,Products!$B$6:$B$205,0)),IF(D979="Return",-E979*INDEX(Products!$E$6:$E$205,MATCH(C979,Products!$B$6:$B$205,0)),"")),"")</f>
        <v/>
      </c>
      <c r="I979" s="24" t="n"/>
      <c r="J979" s="1" t="n"/>
    </row>
    <row r="980">
      <c r="A980" s="1" t="n"/>
      <c r="B980" s="30" t="n"/>
      <c r="C980" s="23" t="n"/>
      <c r="D980" s="23" t="n"/>
      <c r="E980" s="26" t="n"/>
      <c r="F980" s="25" t="n"/>
      <c r="G980" s="17">
        <f>IF(D980="Sale",E980*F980,IF(D980="Return",-E980*F980,""))</f>
        <v/>
      </c>
      <c r="H980" s="17">
        <f>IFERROR(IF(D980="Sale",E980*INDEX(Products!$E$6:$E$205,MATCH(C980,Products!$B$6:$B$205,0)),IF(D980="Return",-E980*INDEX(Products!$E$6:$E$205,MATCH(C980,Products!$B$6:$B$205,0)),"")),"")</f>
        <v/>
      </c>
      <c r="I980" s="24" t="n"/>
      <c r="J980" s="1" t="n"/>
    </row>
    <row r="981">
      <c r="A981" s="1" t="n"/>
      <c r="B981" s="30" t="n"/>
      <c r="C981" s="23" t="n"/>
      <c r="D981" s="23" t="n"/>
      <c r="E981" s="26" t="n"/>
      <c r="F981" s="25" t="n"/>
      <c r="G981" s="17">
        <f>IF(D981="Sale",E981*F981,IF(D981="Return",-E981*F981,""))</f>
        <v/>
      </c>
      <c r="H981" s="17">
        <f>IFERROR(IF(D981="Sale",E981*INDEX(Products!$E$6:$E$205,MATCH(C981,Products!$B$6:$B$205,0)),IF(D981="Return",-E981*INDEX(Products!$E$6:$E$205,MATCH(C981,Products!$B$6:$B$205,0)),"")),"")</f>
        <v/>
      </c>
      <c r="I981" s="24" t="n"/>
      <c r="J981" s="1" t="n"/>
    </row>
    <row r="982">
      <c r="A982" s="1" t="n"/>
      <c r="B982" s="30" t="n"/>
      <c r="C982" s="23" t="n"/>
      <c r="D982" s="23" t="n"/>
      <c r="E982" s="26" t="n"/>
      <c r="F982" s="25" t="n"/>
      <c r="G982" s="17">
        <f>IF(D982="Sale",E982*F982,IF(D982="Return",-E982*F982,""))</f>
        <v/>
      </c>
      <c r="H982" s="17">
        <f>IFERROR(IF(D982="Sale",E982*INDEX(Products!$E$6:$E$205,MATCH(C982,Products!$B$6:$B$205,0)),IF(D982="Return",-E982*INDEX(Products!$E$6:$E$205,MATCH(C982,Products!$B$6:$B$205,0)),"")),"")</f>
        <v/>
      </c>
      <c r="I982" s="24" t="n"/>
      <c r="J982" s="1" t="n"/>
    </row>
    <row r="983">
      <c r="A983" s="1" t="n"/>
      <c r="B983" s="30" t="n"/>
      <c r="C983" s="23" t="n"/>
      <c r="D983" s="23" t="n"/>
      <c r="E983" s="26" t="n"/>
      <c r="F983" s="25" t="n"/>
      <c r="G983" s="17">
        <f>IF(D983="Sale",E983*F983,IF(D983="Return",-E983*F983,""))</f>
        <v/>
      </c>
      <c r="H983" s="17">
        <f>IFERROR(IF(D983="Sale",E983*INDEX(Products!$E$6:$E$205,MATCH(C983,Products!$B$6:$B$205,0)),IF(D983="Return",-E983*INDEX(Products!$E$6:$E$205,MATCH(C983,Products!$B$6:$B$205,0)),"")),"")</f>
        <v/>
      </c>
      <c r="I983" s="24" t="n"/>
      <c r="J983" s="1" t="n"/>
    </row>
    <row r="984">
      <c r="A984" s="1" t="n"/>
      <c r="B984" s="30" t="n"/>
      <c r="C984" s="23" t="n"/>
      <c r="D984" s="23" t="n"/>
      <c r="E984" s="26" t="n"/>
      <c r="F984" s="25" t="n"/>
      <c r="G984" s="17">
        <f>IF(D984="Sale",E984*F984,IF(D984="Return",-E984*F984,""))</f>
        <v/>
      </c>
      <c r="H984" s="17">
        <f>IFERROR(IF(D984="Sale",E984*INDEX(Products!$E$6:$E$205,MATCH(C984,Products!$B$6:$B$205,0)),IF(D984="Return",-E984*INDEX(Products!$E$6:$E$205,MATCH(C984,Products!$B$6:$B$205,0)),"")),"")</f>
        <v/>
      </c>
      <c r="I984" s="24" t="n"/>
      <c r="J984" s="1" t="n"/>
    </row>
    <row r="985">
      <c r="A985" s="1" t="n"/>
      <c r="B985" s="30" t="n"/>
      <c r="C985" s="23" t="n"/>
      <c r="D985" s="23" t="n"/>
      <c r="E985" s="26" t="n"/>
      <c r="F985" s="25" t="n"/>
      <c r="G985" s="17">
        <f>IF(D985="Sale",E985*F985,IF(D985="Return",-E985*F985,""))</f>
        <v/>
      </c>
      <c r="H985" s="17">
        <f>IFERROR(IF(D985="Sale",E985*INDEX(Products!$E$6:$E$205,MATCH(C985,Products!$B$6:$B$205,0)),IF(D985="Return",-E985*INDEX(Products!$E$6:$E$205,MATCH(C985,Products!$B$6:$B$205,0)),"")),"")</f>
        <v/>
      </c>
      <c r="I985" s="24" t="n"/>
      <c r="J985" s="1" t="n"/>
    </row>
    <row r="986">
      <c r="A986" s="1" t="n"/>
      <c r="B986" s="30" t="n"/>
      <c r="C986" s="23" t="n"/>
      <c r="D986" s="23" t="n"/>
      <c r="E986" s="26" t="n"/>
      <c r="F986" s="25" t="n"/>
      <c r="G986" s="17">
        <f>IF(D986="Sale",E986*F986,IF(D986="Return",-E986*F986,""))</f>
        <v/>
      </c>
      <c r="H986" s="17">
        <f>IFERROR(IF(D986="Sale",E986*INDEX(Products!$E$6:$E$205,MATCH(C986,Products!$B$6:$B$205,0)),IF(D986="Return",-E986*INDEX(Products!$E$6:$E$205,MATCH(C986,Products!$B$6:$B$205,0)),"")),"")</f>
        <v/>
      </c>
      <c r="I986" s="24" t="n"/>
      <c r="J986" s="1" t="n"/>
    </row>
    <row r="987">
      <c r="A987" s="1" t="n"/>
      <c r="B987" s="30" t="n"/>
      <c r="C987" s="23" t="n"/>
      <c r="D987" s="23" t="n"/>
      <c r="E987" s="26" t="n"/>
      <c r="F987" s="25" t="n"/>
      <c r="G987" s="17">
        <f>IF(D987="Sale",E987*F987,IF(D987="Return",-E987*F987,""))</f>
        <v/>
      </c>
      <c r="H987" s="17">
        <f>IFERROR(IF(D987="Sale",E987*INDEX(Products!$E$6:$E$205,MATCH(C987,Products!$B$6:$B$205,0)),IF(D987="Return",-E987*INDEX(Products!$E$6:$E$205,MATCH(C987,Products!$B$6:$B$205,0)),"")),"")</f>
        <v/>
      </c>
      <c r="I987" s="24" t="n"/>
      <c r="J987" s="1" t="n"/>
    </row>
    <row r="988">
      <c r="A988" s="1" t="n"/>
      <c r="B988" s="30" t="n"/>
      <c r="C988" s="23" t="n"/>
      <c r="D988" s="23" t="n"/>
      <c r="E988" s="26" t="n"/>
      <c r="F988" s="25" t="n"/>
      <c r="G988" s="17">
        <f>IF(D988="Sale",E988*F988,IF(D988="Return",-E988*F988,""))</f>
        <v/>
      </c>
      <c r="H988" s="17">
        <f>IFERROR(IF(D988="Sale",E988*INDEX(Products!$E$6:$E$205,MATCH(C988,Products!$B$6:$B$205,0)),IF(D988="Return",-E988*INDEX(Products!$E$6:$E$205,MATCH(C988,Products!$B$6:$B$205,0)),"")),"")</f>
        <v/>
      </c>
      <c r="I988" s="24" t="n"/>
      <c r="J988" s="1" t="n"/>
    </row>
    <row r="989">
      <c r="A989" s="1" t="n"/>
      <c r="B989" s="30" t="n"/>
      <c r="C989" s="23" t="n"/>
      <c r="D989" s="23" t="n"/>
      <c r="E989" s="26" t="n"/>
      <c r="F989" s="25" t="n"/>
      <c r="G989" s="17">
        <f>IF(D989="Sale",E989*F989,IF(D989="Return",-E989*F989,""))</f>
        <v/>
      </c>
      <c r="H989" s="17">
        <f>IFERROR(IF(D989="Sale",E989*INDEX(Products!$E$6:$E$205,MATCH(C989,Products!$B$6:$B$205,0)),IF(D989="Return",-E989*INDEX(Products!$E$6:$E$205,MATCH(C989,Products!$B$6:$B$205,0)),"")),"")</f>
        <v/>
      </c>
      <c r="I989" s="24" t="n"/>
      <c r="J989" s="1" t="n"/>
    </row>
    <row r="990">
      <c r="A990" s="1" t="n"/>
      <c r="B990" s="30" t="n"/>
      <c r="C990" s="23" t="n"/>
      <c r="D990" s="23" t="n"/>
      <c r="E990" s="26" t="n"/>
      <c r="F990" s="25" t="n"/>
      <c r="G990" s="17">
        <f>IF(D990="Sale",E990*F990,IF(D990="Return",-E990*F990,""))</f>
        <v/>
      </c>
      <c r="H990" s="17">
        <f>IFERROR(IF(D990="Sale",E990*INDEX(Products!$E$6:$E$205,MATCH(C990,Products!$B$6:$B$205,0)),IF(D990="Return",-E990*INDEX(Products!$E$6:$E$205,MATCH(C990,Products!$B$6:$B$205,0)),"")),"")</f>
        <v/>
      </c>
      <c r="I990" s="24" t="n"/>
      <c r="J990" s="1" t="n"/>
    </row>
    <row r="991">
      <c r="A991" s="1" t="n"/>
      <c r="B991" s="30" t="n"/>
      <c r="C991" s="23" t="n"/>
      <c r="D991" s="23" t="n"/>
      <c r="E991" s="26" t="n"/>
      <c r="F991" s="25" t="n"/>
      <c r="G991" s="17">
        <f>IF(D991="Sale",E991*F991,IF(D991="Return",-E991*F991,""))</f>
        <v/>
      </c>
      <c r="H991" s="17">
        <f>IFERROR(IF(D991="Sale",E991*INDEX(Products!$E$6:$E$205,MATCH(C991,Products!$B$6:$B$205,0)),IF(D991="Return",-E991*INDEX(Products!$E$6:$E$205,MATCH(C991,Products!$B$6:$B$205,0)),"")),"")</f>
        <v/>
      </c>
      <c r="I991" s="24" t="n"/>
      <c r="J991" s="1" t="n"/>
    </row>
    <row r="992">
      <c r="A992" s="1" t="n"/>
      <c r="B992" s="30" t="n"/>
      <c r="C992" s="23" t="n"/>
      <c r="D992" s="23" t="n"/>
      <c r="E992" s="26" t="n"/>
      <c r="F992" s="25" t="n"/>
      <c r="G992" s="17">
        <f>IF(D992="Sale",E992*F992,IF(D992="Return",-E992*F992,""))</f>
        <v/>
      </c>
      <c r="H992" s="17">
        <f>IFERROR(IF(D992="Sale",E992*INDEX(Products!$E$6:$E$205,MATCH(C992,Products!$B$6:$B$205,0)),IF(D992="Return",-E992*INDEX(Products!$E$6:$E$205,MATCH(C992,Products!$B$6:$B$205,0)),"")),"")</f>
        <v/>
      </c>
      <c r="I992" s="24" t="n"/>
      <c r="J992" s="1" t="n"/>
    </row>
    <row r="993">
      <c r="A993" s="1" t="n"/>
      <c r="B993" s="30" t="n"/>
      <c r="C993" s="23" t="n"/>
      <c r="D993" s="23" t="n"/>
      <c r="E993" s="26" t="n"/>
      <c r="F993" s="25" t="n"/>
      <c r="G993" s="17">
        <f>IF(D993="Sale",E993*F993,IF(D993="Return",-E993*F993,""))</f>
        <v/>
      </c>
      <c r="H993" s="17">
        <f>IFERROR(IF(D993="Sale",E993*INDEX(Products!$E$6:$E$205,MATCH(C993,Products!$B$6:$B$205,0)),IF(D993="Return",-E993*INDEX(Products!$E$6:$E$205,MATCH(C993,Products!$B$6:$B$205,0)),"")),"")</f>
        <v/>
      </c>
      <c r="I993" s="24" t="n"/>
      <c r="J993" s="1" t="n"/>
    </row>
    <row r="994">
      <c r="A994" s="1" t="n"/>
      <c r="B994" s="30" t="n"/>
      <c r="C994" s="23" t="n"/>
      <c r="D994" s="23" t="n"/>
      <c r="E994" s="26" t="n"/>
      <c r="F994" s="25" t="n"/>
      <c r="G994" s="17">
        <f>IF(D994="Sale",E994*F994,IF(D994="Return",-E994*F994,""))</f>
        <v/>
      </c>
      <c r="H994" s="17">
        <f>IFERROR(IF(D994="Sale",E994*INDEX(Products!$E$6:$E$205,MATCH(C994,Products!$B$6:$B$205,0)),IF(D994="Return",-E994*INDEX(Products!$E$6:$E$205,MATCH(C994,Products!$B$6:$B$205,0)),"")),"")</f>
        <v/>
      </c>
      <c r="I994" s="24" t="n"/>
      <c r="J994" s="1" t="n"/>
    </row>
    <row r="995">
      <c r="A995" s="1" t="n"/>
      <c r="B995" s="30" t="n"/>
      <c r="C995" s="23" t="n"/>
      <c r="D995" s="23" t="n"/>
      <c r="E995" s="26" t="n"/>
      <c r="F995" s="25" t="n"/>
      <c r="G995" s="17">
        <f>IF(D995="Sale",E995*F995,IF(D995="Return",-E995*F995,""))</f>
        <v/>
      </c>
      <c r="H995" s="17">
        <f>IFERROR(IF(D995="Sale",E995*INDEX(Products!$E$6:$E$205,MATCH(C995,Products!$B$6:$B$205,0)),IF(D995="Return",-E995*INDEX(Products!$E$6:$E$205,MATCH(C995,Products!$B$6:$B$205,0)),"")),"")</f>
        <v/>
      </c>
      <c r="I995" s="24" t="n"/>
      <c r="J995" s="1" t="n"/>
    </row>
    <row r="996">
      <c r="A996" s="1" t="n"/>
      <c r="B996" s="30" t="n"/>
      <c r="C996" s="23" t="n"/>
      <c r="D996" s="23" t="n"/>
      <c r="E996" s="26" t="n"/>
      <c r="F996" s="25" t="n"/>
      <c r="G996" s="17">
        <f>IF(D996="Sale",E996*F996,IF(D996="Return",-E996*F996,""))</f>
        <v/>
      </c>
      <c r="H996" s="17">
        <f>IFERROR(IF(D996="Sale",E996*INDEX(Products!$E$6:$E$205,MATCH(C996,Products!$B$6:$B$205,0)),IF(D996="Return",-E996*INDEX(Products!$E$6:$E$205,MATCH(C996,Products!$B$6:$B$205,0)),"")),"")</f>
        <v/>
      </c>
      <c r="I996" s="24" t="n"/>
      <c r="J996" s="1" t="n"/>
    </row>
    <row r="997">
      <c r="A997" s="1" t="n"/>
      <c r="B997" s="30" t="n"/>
      <c r="C997" s="23" t="n"/>
      <c r="D997" s="23" t="n"/>
      <c r="E997" s="26" t="n"/>
      <c r="F997" s="25" t="n"/>
      <c r="G997" s="17">
        <f>IF(D997="Sale",E997*F997,IF(D997="Return",-E997*F997,""))</f>
        <v/>
      </c>
      <c r="H997" s="17">
        <f>IFERROR(IF(D997="Sale",E997*INDEX(Products!$E$6:$E$205,MATCH(C997,Products!$B$6:$B$205,0)),IF(D997="Return",-E997*INDEX(Products!$E$6:$E$205,MATCH(C997,Products!$B$6:$B$205,0)),"")),"")</f>
        <v/>
      </c>
      <c r="I997" s="24" t="n"/>
      <c r="J997" s="1" t="n"/>
    </row>
    <row r="998">
      <c r="A998" s="1" t="n"/>
      <c r="B998" s="30" t="n"/>
      <c r="C998" s="23" t="n"/>
      <c r="D998" s="23" t="n"/>
      <c r="E998" s="26" t="n"/>
      <c r="F998" s="25" t="n"/>
      <c r="G998" s="17">
        <f>IF(D998="Sale",E998*F998,IF(D998="Return",-E998*F998,""))</f>
        <v/>
      </c>
      <c r="H998" s="17">
        <f>IFERROR(IF(D998="Sale",E998*INDEX(Products!$E$6:$E$205,MATCH(C998,Products!$B$6:$B$205,0)),IF(D998="Return",-E998*INDEX(Products!$E$6:$E$205,MATCH(C998,Products!$B$6:$B$205,0)),"")),"")</f>
        <v/>
      </c>
      <c r="I998" s="24" t="n"/>
      <c r="J998" s="1" t="n"/>
    </row>
    <row r="999">
      <c r="A999" s="1" t="n"/>
      <c r="B999" s="30" t="n"/>
      <c r="C999" s="23" t="n"/>
      <c r="D999" s="23" t="n"/>
      <c r="E999" s="26" t="n"/>
      <c r="F999" s="25" t="n"/>
      <c r="G999" s="17">
        <f>IF(D999="Sale",E999*F999,IF(D999="Return",-E999*F999,""))</f>
        <v/>
      </c>
      <c r="H999" s="17">
        <f>IFERROR(IF(D999="Sale",E999*INDEX(Products!$E$6:$E$205,MATCH(C999,Products!$B$6:$B$205,0)),IF(D999="Return",-E999*INDEX(Products!$E$6:$E$205,MATCH(C999,Products!$B$6:$B$205,0)),"")),"")</f>
        <v/>
      </c>
      <c r="I999" s="24" t="n"/>
      <c r="J999" s="1" t="n"/>
    </row>
    <row r="1000">
      <c r="A1000" s="1" t="n"/>
      <c r="B1000" s="30" t="n"/>
      <c r="C1000" s="23" t="n"/>
      <c r="D1000" s="23" t="n"/>
      <c r="E1000" s="26" t="n"/>
      <c r="F1000" s="25" t="n"/>
      <c r="G1000" s="17">
        <f>IF(D1000="Sale",E1000*F1000,IF(D1000="Return",-E1000*F1000,""))</f>
        <v/>
      </c>
      <c r="H1000" s="17">
        <f>IFERROR(IF(D1000="Sale",E1000*INDEX(Products!$E$6:$E$205,MATCH(C1000,Products!$B$6:$B$205,0)),IF(D1000="Return",-E1000*INDEX(Products!$E$6:$E$205,MATCH(C1000,Products!$B$6:$B$205,0)),"")),"")</f>
        <v/>
      </c>
      <c r="I1000" s="24" t="n"/>
      <c r="J1000" s="1" t="n"/>
    </row>
    <row r="1001">
      <c r="A1001" s="1" t="n"/>
      <c r="B1001" s="30" t="n"/>
      <c r="C1001" s="23" t="n"/>
      <c r="D1001" s="23" t="n"/>
      <c r="E1001" s="26" t="n"/>
      <c r="F1001" s="25" t="n"/>
      <c r="G1001" s="17">
        <f>IF(D1001="Sale",E1001*F1001,IF(D1001="Return",-E1001*F1001,""))</f>
        <v/>
      </c>
      <c r="H1001" s="17">
        <f>IFERROR(IF(D1001="Sale",E1001*INDEX(Products!$E$6:$E$205,MATCH(C1001,Products!$B$6:$B$205,0)),IF(D1001="Return",-E1001*INDEX(Products!$E$6:$E$205,MATCH(C1001,Products!$B$6:$B$205,0)),"")),"")</f>
        <v/>
      </c>
      <c r="I1001" s="24" t="n"/>
      <c r="J1001" s="1" t="n"/>
    </row>
    <row r="1002">
      <c r="A1002" s="1" t="n"/>
      <c r="B1002" s="30" t="n"/>
      <c r="C1002" s="23" t="n"/>
      <c r="D1002" s="23" t="n"/>
      <c r="E1002" s="26" t="n"/>
      <c r="F1002" s="25" t="n"/>
      <c r="G1002" s="17">
        <f>IF(D1002="Sale",E1002*F1002,IF(D1002="Return",-E1002*F1002,""))</f>
        <v/>
      </c>
      <c r="H1002" s="17">
        <f>IFERROR(IF(D1002="Sale",E1002*INDEX(Products!$E$6:$E$205,MATCH(C1002,Products!$B$6:$B$205,0)),IF(D1002="Return",-E1002*INDEX(Products!$E$6:$E$205,MATCH(C1002,Products!$B$6:$B$205,0)),"")),"")</f>
        <v/>
      </c>
      <c r="I1002" s="24" t="n"/>
      <c r="J1002" s="1" t="n"/>
    </row>
    <row r="1003">
      <c r="A1003" s="1" t="n"/>
      <c r="B1003" s="30" t="n"/>
      <c r="C1003" s="23" t="n"/>
      <c r="D1003" s="23" t="n"/>
      <c r="E1003" s="26" t="n"/>
      <c r="F1003" s="25" t="n"/>
      <c r="G1003" s="17">
        <f>IF(D1003="Sale",E1003*F1003,IF(D1003="Return",-E1003*F1003,""))</f>
        <v/>
      </c>
      <c r="H1003" s="17">
        <f>IFERROR(IF(D1003="Sale",E1003*INDEX(Products!$E$6:$E$205,MATCH(C1003,Products!$B$6:$B$205,0)),IF(D1003="Return",-E1003*INDEX(Products!$E$6:$E$205,MATCH(C1003,Products!$B$6:$B$205,0)),"")),"")</f>
        <v/>
      </c>
      <c r="I1003" s="24" t="n"/>
      <c r="J1003" s="1" t="n"/>
    </row>
    <row r="1004">
      <c r="A1004" s="1" t="n"/>
      <c r="B1004" s="30" t="n"/>
      <c r="C1004" s="23" t="n"/>
      <c r="D1004" s="23" t="n"/>
      <c r="E1004" s="26" t="n"/>
      <c r="F1004" s="25" t="n"/>
      <c r="G1004" s="17">
        <f>IF(D1004="Sale",E1004*F1004,IF(D1004="Return",-E1004*F1004,""))</f>
        <v/>
      </c>
      <c r="H1004" s="17">
        <f>IFERROR(IF(D1004="Sale",E1004*INDEX(Products!$E$6:$E$205,MATCH(C1004,Products!$B$6:$B$205,0)),IF(D1004="Return",-E1004*INDEX(Products!$E$6:$E$205,MATCH(C1004,Products!$B$6:$B$205,0)),"")),"")</f>
        <v/>
      </c>
      <c r="I1004" s="24" t="n"/>
      <c r="J1004" s="1" t="n"/>
    </row>
    <row r="1005">
      <c r="A1005" s="1" t="n"/>
      <c r="B1005" s="30" t="n"/>
      <c r="C1005" s="23" t="n"/>
      <c r="D1005" s="23" t="n"/>
      <c r="E1005" s="26" t="n"/>
      <c r="F1005" s="25" t="n"/>
      <c r="G1005" s="17">
        <f>IF(D1005="Sale",E1005*F1005,IF(D1005="Return",-E1005*F1005,""))</f>
        <v/>
      </c>
      <c r="H1005" s="17">
        <f>IFERROR(IF(D1005="Sale",E1005*INDEX(Products!$E$6:$E$205,MATCH(C1005,Products!$B$6:$B$205,0)),IF(D1005="Return",-E1005*INDEX(Products!$E$6:$E$205,MATCH(C1005,Products!$B$6:$B$205,0)),"")),"")</f>
        <v/>
      </c>
      <c r="I1005" s="24" t="n"/>
      <c r="J1005" s="1" t="n"/>
    </row>
    <row r="1006">
      <c r="A1006" s="1" t="n"/>
      <c r="B1006" s="30" t="n"/>
      <c r="C1006" s="23" t="n"/>
      <c r="D1006" s="23" t="n"/>
      <c r="E1006" s="26" t="n"/>
      <c r="F1006" s="25" t="n"/>
      <c r="G1006" s="17">
        <f>IF(D1006="Sale",E1006*F1006,IF(D1006="Return",-E1006*F1006,""))</f>
        <v/>
      </c>
      <c r="H1006" s="17">
        <f>IFERROR(IF(D1006="Sale",E1006*INDEX(Products!$E$6:$E$205,MATCH(C1006,Products!$B$6:$B$205,0)),IF(D1006="Return",-E1006*INDEX(Products!$E$6:$E$205,MATCH(C1006,Products!$B$6:$B$205,0)),"")),"")</f>
        <v/>
      </c>
      <c r="I1006" s="24" t="n"/>
      <c r="J1006" s="1" t="n"/>
    </row>
    <row r="1007">
      <c r="A1007" s="1" t="n"/>
      <c r="B1007" s="30" t="n"/>
      <c r="C1007" s="23" t="n"/>
      <c r="D1007" s="23" t="n"/>
      <c r="E1007" s="26" t="n"/>
      <c r="F1007" s="25" t="n"/>
      <c r="G1007" s="17">
        <f>IF(D1007="Sale",E1007*F1007,IF(D1007="Return",-E1007*F1007,""))</f>
        <v/>
      </c>
      <c r="H1007" s="17">
        <f>IFERROR(IF(D1007="Sale",E1007*INDEX(Products!$E$6:$E$205,MATCH(C1007,Products!$B$6:$B$205,0)),IF(D1007="Return",-E1007*INDEX(Products!$E$6:$E$205,MATCH(C1007,Products!$B$6:$B$205,0)),"")),"")</f>
        <v/>
      </c>
      <c r="I1007" s="24" t="n"/>
      <c r="J1007" s="1" t="n"/>
    </row>
    <row r="1008">
      <c r="A1008" s="1" t="n"/>
      <c r="B1008" s="30" t="n"/>
      <c r="C1008" s="23" t="n"/>
      <c r="D1008" s="23" t="n"/>
      <c r="E1008" s="26" t="n"/>
      <c r="F1008" s="25" t="n"/>
      <c r="G1008" s="17">
        <f>IF(D1008="Sale",E1008*F1008,IF(D1008="Return",-E1008*F1008,""))</f>
        <v/>
      </c>
      <c r="H1008" s="17">
        <f>IFERROR(IF(D1008="Sale",E1008*INDEX(Products!$E$6:$E$205,MATCH(C1008,Products!$B$6:$B$205,0)),IF(D1008="Return",-E1008*INDEX(Products!$E$6:$E$205,MATCH(C1008,Products!$B$6:$B$205,0)),"")),"")</f>
        <v/>
      </c>
      <c r="I1008" s="24" t="n"/>
      <c r="J1008" s="1" t="n"/>
    </row>
    <row r="1009">
      <c r="A1009" s="1" t="n"/>
      <c r="B1009" s="30" t="n"/>
      <c r="C1009" s="23" t="n"/>
      <c r="D1009" s="23" t="n"/>
      <c r="E1009" s="26" t="n"/>
      <c r="F1009" s="25" t="n"/>
      <c r="G1009" s="17">
        <f>IF(D1009="Sale",E1009*F1009,IF(D1009="Return",-E1009*F1009,""))</f>
        <v/>
      </c>
      <c r="H1009" s="17">
        <f>IFERROR(IF(D1009="Sale",E1009*INDEX(Products!$E$6:$E$205,MATCH(C1009,Products!$B$6:$B$205,0)),IF(D1009="Return",-E1009*INDEX(Products!$E$6:$E$205,MATCH(C1009,Products!$B$6:$B$205,0)),"")),"")</f>
        <v/>
      </c>
      <c r="I1009" s="24" t="n"/>
      <c r="J1009" s="1" t="n"/>
    </row>
    <row r="1010">
      <c r="A1010" s="1" t="n"/>
      <c r="B1010" s="30" t="n"/>
      <c r="C1010" s="23" t="n"/>
      <c r="D1010" s="23" t="n"/>
      <c r="E1010" s="26" t="n"/>
      <c r="F1010" s="25" t="n"/>
      <c r="G1010" s="17">
        <f>IF(D1010="Sale",E1010*F1010,IF(D1010="Return",-E1010*F1010,""))</f>
        <v/>
      </c>
      <c r="H1010" s="17">
        <f>IFERROR(IF(D1010="Sale",E1010*INDEX(Products!$E$6:$E$205,MATCH(C1010,Products!$B$6:$B$205,0)),IF(D1010="Return",-E1010*INDEX(Products!$E$6:$E$205,MATCH(C1010,Products!$B$6:$B$205,0)),"")),"")</f>
        <v/>
      </c>
      <c r="I1010" s="24" t="n"/>
      <c r="J1010" s="1" t="n"/>
    </row>
    <row r="1011">
      <c r="A1011" s="1" t="n"/>
      <c r="B1011" s="30" t="n"/>
      <c r="C1011" s="23" t="n"/>
      <c r="D1011" s="23" t="n"/>
      <c r="E1011" s="26" t="n"/>
      <c r="F1011" s="25" t="n"/>
      <c r="G1011" s="17">
        <f>IF(D1011="Sale",E1011*F1011,IF(D1011="Return",-E1011*F1011,""))</f>
        <v/>
      </c>
      <c r="H1011" s="17">
        <f>IFERROR(IF(D1011="Sale",E1011*INDEX(Products!$E$6:$E$205,MATCH(C1011,Products!$B$6:$B$205,0)),IF(D1011="Return",-E1011*INDEX(Products!$E$6:$E$205,MATCH(C1011,Products!$B$6:$B$205,0)),"")),"")</f>
        <v/>
      </c>
      <c r="I1011" s="24" t="n"/>
      <c r="J1011" s="1" t="n"/>
    </row>
    <row r="1012">
      <c r="A1012" s="1" t="n"/>
      <c r="B1012" s="30" t="n"/>
      <c r="C1012" s="23" t="n"/>
      <c r="D1012" s="23" t="n"/>
      <c r="E1012" s="26" t="n"/>
      <c r="F1012" s="25" t="n"/>
      <c r="G1012" s="17">
        <f>IF(D1012="Sale",E1012*F1012,IF(D1012="Return",-E1012*F1012,""))</f>
        <v/>
      </c>
      <c r="H1012" s="17">
        <f>IFERROR(IF(D1012="Sale",E1012*INDEX(Products!$E$6:$E$205,MATCH(C1012,Products!$B$6:$B$205,0)),IF(D1012="Return",-E1012*INDEX(Products!$E$6:$E$205,MATCH(C1012,Products!$B$6:$B$205,0)),"")),"")</f>
        <v/>
      </c>
      <c r="I1012" s="24" t="n"/>
      <c r="J1012" s="1" t="n"/>
    </row>
    <row r="1013">
      <c r="A1013" s="1" t="n"/>
      <c r="B1013" s="30" t="n"/>
      <c r="C1013" s="23" t="n"/>
      <c r="D1013" s="23" t="n"/>
      <c r="E1013" s="26" t="n"/>
      <c r="F1013" s="25" t="n"/>
      <c r="G1013" s="17">
        <f>IF(D1013="Sale",E1013*F1013,IF(D1013="Return",-E1013*F1013,""))</f>
        <v/>
      </c>
      <c r="H1013" s="17">
        <f>IFERROR(IF(D1013="Sale",E1013*INDEX(Products!$E$6:$E$205,MATCH(C1013,Products!$B$6:$B$205,0)),IF(D1013="Return",-E1013*INDEX(Products!$E$6:$E$205,MATCH(C1013,Products!$B$6:$B$205,0)),"")),"")</f>
        <v/>
      </c>
      <c r="I1013" s="24" t="n"/>
      <c r="J1013" s="1" t="n"/>
    </row>
    <row r="1014">
      <c r="A1014" s="1" t="n"/>
      <c r="B1014" s="30" t="n"/>
      <c r="C1014" s="23" t="n"/>
      <c r="D1014" s="23" t="n"/>
      <c r="E1014" s="26" t="n"/>
      <c r="F1014" s="25" t="n"/>
      <c r="G1014" s="17">
        <f>IF(D1014="Sale",E1014*F1014,IF(D1014="Return",-E1014*F1014,""))</f>
        <v/>
      </c>
      <c r="H1014" s="17">
        <f>IFERROR(IF(D1014="Sale",E1014*INDEX(Products!$E$6:$E$205,MATCH(C1014,Products!$B$6:$B$205,0)),IF(D1014="Return",-E1014*INDEX(Products!$E$6:$E$205,MATCH(C1014,Products!$B$6:$B$205,0)),"")),"")</f>
        <v/>
      </c>
      <c r="I1014" s="24" t="n"/>
      <c r="J1014" s="1" t="n"/>
    </row>
    <row r="1015">
      <c r="A1015" s="1" t="n"/>
      <c r="B1015" s="30" t="n"/>
      <c r="C1015" s="23" t="n"/>
      <c r="D1015" s="23" t="n"/>
      <c r="E1015" s="26" t="n"/>
      <c r="F1015" s="25" t="n"/>
      <c r="G1015" s="17">
        <f>IF(D1015="Sale",E1015*F1015,IF(D1015="Return",-E1015*F1015,""))</f>
        <v/>
      </c>
      <c r="H1015" s="17">
        <f>IFERROR(IF(D1015="Sale",E1015*INDEX(Products!$E$6:$E$205,MATCH(C1015,Products!$B$6:$B$205,0)),IF(D1015="Return",-E1015*INDEX(Products!$E$6:$E$205,MATCH(C1015,Products!$B$6:$B$205,0)),"")),"")</f>
        <v/>
      </c>
      <c r="I1015" s="24" t="n"/>
      <c r="J1015" s="1" t="n"/>
    </row>
    <row r="1016">
      <c r="A1016" s="1" t="n"/>
      <c r="B1016" s="30" t="n"/>
      <c r="C1016" s="23" t="n"/>
      <c r="D1016" s="23" t="n"/>
      <c r="E1016" s="26" t="n"/>
      <c r="F1016" s="25" t="n"/>
      <c r="G1016" s="17">
        <f>IF(D1016="Sale",E1016*F1016,IF(D1016="Return",-E1016*F1016,""))</f>
        <v/>
      </c>
      <c r="H1016" s="17">
        <f>IFERROR(IF(D1016="Sale",E1016*INDEX(Products!$E$6:$E$205,MATCH(C1016,Products!$B$6:$B$205,0)),IF(D1016="Return",-E1016*INDEX(Products!$E$6:$E$205,MATCH(C1016,Products!$B$6:$B$205,0)),"")),"")</f>
        <v/>
      </c>
      <c r="I1016" s="24" t="n"/>
      <c r="J1016" s="1" t="n"/>
    </row>
    <row r="1017">
      <c r="A1017" s="1" t="n"/>
      <c r="B1017" s="30" t="n"/>
      <c r="C1017" s="23" t="n"/>
      <c r="D1017" s="23" t="n"/>
      <c r="E1017" s="26" t="n"/>
      <c r="F1017" s="25" t="n"/>
      <c r="G1017" s="17">
        <f>IF(D1017="Sale",E1017*F1017,IF(D1017="Return",-E1017*F1017,""))</f>
        <v/>
      </c>
      <c r="H1017" s="17">
        <f>IFERROR(IF(D1017="Sale",E1017*INDEX(Products!$E$6:$E$205,MATCH(C1017,Products!$B$6:$B$205,0)),IF(D1017="Return",-E1017*INDEX(Products!$E$6:$E$205,MATCH(C1017,Products!$B$6:$B$205,0)),"")),"")</f>
        <v/>
      </c>
      <c r="I1017" s="24" t="n"/>
      <c r="J1017" s="1" t="n"/>
    </row>
    <row r="1018">
      <c r="A1018" s="1" t="n"/>
      <c r="B1018" s="30" t="n"/>
      <c r="C1018" s="23" t="n"/>
      <c r="D1018" s="23" t="n"/>
      <c r="E1018" s="26" t="n"/>
      <c r="F1018" s="25" t="n"/>
      <c r="G1018" s="17">
        <f>IF(D1018="Sale",E1018*F1018,IF(D1018="Return",-E1018*F1018,""))</f>
        <v/>
      </c>
      <c r="H1018" s="17">
        <f>IFERROR(IF(D1018="Sale",E1018*INDEX(Products!$E$6:$E$205,MATCH(C1018,Products!$B$6:$B$205,0)),IF(D1018="Return",-E1018*INDEX(Products!$E$6:$E$205,MATCH(C1018,Products!$B$6:$B$205,0)),"")),"")</f>
        <v/>
      </c>
      <c r="I1018" s="24" t="n"/>
      <c r="J1018" s="1" t="n"/>
    </row>
    <row r="1019">
      <c r="A1019" s="1" t="n"/>
      <c r="B1019" s="30" t="n"/>
      <c r="C1019" s="23" t="n"/>
      <c r="D1019" s="23" t="n"/>
      <c r="E1019" s="26" t="n"/>
      <c r="F1019" s="25" t="n"/>
      <c r="G1019" s="17">
        <f>IF(D1019="Sale",E1019*F1019,IF(D1019="Return",-E1019*F1019,""))</f>
        <v/>
      </c>
      <c r="H1019" s="17">
        <f>IFERROR(IF(D1019="Sale",E1019*INDEX(Products!$E$6:$E$205,MATCH(C1019,Products!$B$6:$B$205,0)),IF(D1019="Return",-E1019*INDEX(Products!$E$6:$E$205,MATCH(C1019,Products!$B$6:$B$205,0)),"")),"")</f>
        <v/>
      </c>
      <c r="I1019" s="24" t="n"/>
      <c r="J1019" s="1" t="n"/>
    </row>
    <row r="1020">
      <c r="A1020" s="1" t="n"/>
      <c r="B1020" s="30" t="n"/>
      <c r="C1020" s="23" t="n"/>
      <c r="D1020" s="23" t="n"/>
      <c r="E1020" s="26" t="n"/>
      <c r="F1020" s="25" t="n"/>
      <c r="G1020" s="17">
        <f>IF(D1020="Sale",E1020*F1020,IF(D1020="Return",-E1020*F1020,""))</f>
        <v/>
      </c>
      <c r="H1020" s="17">
        <f>IFERROR(IF(D1020="Sale",E1020*INDEX(Products!$E$6:$E$205,MATCH(C1020,Products!$B$6:$B$205,0)),IF(D1020="Return",-E1020*INDEX(Products!$E$6:$E$205,MATCH(C1020,Products!$B$6:$B$205,0)),"")),"")</f>
        <v/>
      </c>
      <c r="I1020" s="24" t="n"/>
      <c r="J1020" s="1" t="n"/>
    </row>
    <row r="1021">
      <c r="A1021" s="1" t="n"/>
      <c r="B1021" s="30" t="n"/>
      <c r="C1021" s="23" t="n"/>
      <c r="D1021" s="23" t="n"/>
      <c r="E1021" s="26" t="n"/>
      <c r="F1021" s="25" t="n"/>
      <c r="G1021" s="17">
        <f>IF(D1021="Sale",E1021*F1021,IF(D1021="Return",-E1021*F1021,""))</f>
        <v/>
      </c>
      <c r="H1021" s="17">
        <f>IFERROR(IF(D1021="Sale",E1021*INDEX(Products!$E$6:$E$205,MATCH(C1021,Products!$B$6:$B$205,0)),IF(D1021="Return",-E1021*INDEX(Products!$E$6:$E$205,MATCH(C1021,Products!$B$6:$B$205,0)),"")),"")</f>
        <v/>
      </c>
      <c r="I1021" s="24" t="n"/>
      <c r="J1021" s="1" t="n"/>
    </row>
    <row r="1022">
      <c r="A1022" s="1" t="n"/>
      <c r="B1022" s="30" t="n"/>
      <c r="C1022" s="23" t="n"/>
      <c r="D1022" s="23" t="n"/>
      <c r="E1022" s="26" t="n"/>
      <c r="F1022" s="25" t="n"/>
      <c r="G1022" s="17">
        <f>IF(D1022="Sale",E1022*F1022,IF(D1022="Return",-E1022*F1022,""))</f>
        <v/>
      </c>
      <c r="H1022" s="17">
        <f>IFERROR(IF(D1022="Sale",E1022*INDEX(Products!$E$6:$E$205,MATCH(C1022,Products!$B$6:$B$205,0)),IF(D1022="Return",-E1022*INDEX(Products!$E$6:$E$205,MATCH(C1022,Products!$B$6:$B$205,0)),"")),"")</f>
        <v/>
      </c>
      <c r="I1022" s="24" t="n"/>
      <c r="J1022" s="1" t="n"/>
    </row>
    <row r="1023">
      <c r="A1023" s="1" t="n"/>
      <c r="B1023" s="30" t="n"/>
      <c r="C1023" s="23" t="n"/>
      <c r="D1023" s="23" t="n"/>
      <c r="E1023" s="26" t="n"/>
      <c r="F1023" s="25" t="n"/>
      <c r="G1023" s="17">
        <f>IF(D1023="Sale",E1023*F1023,IF(D1023="Return",-E1023*F1023,""))</f>
        <v/>
      </c>
      <c r="H1023" s="17">
        <f>IFERROR(IF(D1023="Sale",E1023*INDEX(Products!$E$6:$E$205,MATCH(C1023,Products!$B$6:$B$205,0)),IF(D1023="Return",-E1023*INDEX(Products!$E$6:$E$205,MATCH(C1023,Products!$B$6:$B$205,0)),"")),"")</f>
        <v/>
      </c>
      <c r="I1023" s="24" t="n"/>
      <c r="J1023" s="1" t="n"/>
    </row>
    <row r="1024">
      <c r="A1024" s="1" t="n"/>
      <c r="B1024" s="30" t="n"/>
      <c r="C1024" s="23" t="n"/>
      <c r="D1024" s="23" t="n"/>
      <c r="E1024" s="26" t="n"/>
      <c r="F1024" s="25" t="n"/>
      <c r="G1024" s="17">
        <f>IF(D1024="Sale",E1024*F1024,IF(D1024="Return",-E1024*F1024,""))</f>
        <v/>
      </c>
      <c r="H1024" s="17">
        <f>IFERROR(IF(D1024="Sale",E1024*INDEX(Products!$E$6:$E$205,MATCH(C1024,Products!$B$6:$B$205,0)),IF(D1024="Return",-E1024*INDEX(Products!$E$6:$E$205,MATCH(C1024,Products!$B$6:$B$205,0)),"")),"")</f>
        <v/>
      </c>
      <c r="I1024" s="24" t="n"/>
      <c r="J1024" s="1" t="n"/>
    </row>
    <row r="1025">
      <c r="A1025" s="1" t="n"/>
      <c r="B1025" s="30" t="n"/>
      <c r="C1025" s="23" t="n"/>
      <c r="D1025" s="23" t="n"/>
      <c r="E1025" s="26" t="n"/>
      <c r="F1025" s="25" t="n"/>
      <c r="G1025" s="17">
        <f>IF(D1025="Sale",E1025*F1025,IF(D1025="Return",-E1025*F1025,""))</f>
        <v/>
      </c>
      <c r="H1025" s="17">
        <f>IFERROR(IF(D1025="Sale",E1025*INDEX(Products!$E$6:$E$205,MATCH(C1025,Products!$B$6:$B$205,0)),IF(D1025="Return",-E1025*INDEX(Products!$E$6:$E$205,MATCH(C1025,Products!$B$6:$B$205,0)),"")),"")</f>
        <v/>
      </c>
      <c r="I1025" s="24" t="n"/>
      <c r="J1025" s="1" t="n"/>
    </row>
    <row r="1026">
      <c r="A1026" s="1" t="n"/>
      <c r="B1026" s="30" t="n"/>
      <c r="C1026" s="23" t="n"/>
      <c r="D1026" s="23" t="n"/>
      <c r="E1026" s="26" t="n"/>
      <c r="F1026" s="25" t="n"/>
      <c r="G1026" s="17">
        <f>IF(D1026="Sale",E1026*F1026,IF(D1026="Return",-E1026*F1026,""))</f>
        <v/>
      </c>
      <c r="H1026" s="17">
        <f>IFERROR(IF(D1026="Sale",E1026*INDEX(Products!$E$6:$E$205,MATCH(C1026,Products!$B$6:$B$205,0)),IF(D1026="Return",-E1026*INDEX(Products!$E$6:$E$205,MATCH(C1026,Products!$B$6:$B$205,0)),"")),"")</f>
        <v/>
      </c>
      <c r="I1026" s="24" t="n"/>
      <c r="J1026" s="1" t="n"/>
    </row>
    <row r="1027">
      <c r="A1027" s="1" t="n"/>
      <c r="B1027" s="30" t="n"/>
      <c r="C1027" s="23" t="n"/>
      <c r="D1027" s="23" t="n"/>
      <c r="E1027" s="26" t="n"/>
      <c r="F1027" s="25" t="n"/>
      <c r="G1027" s="17">
        <f>IF(D1027="Sale",E1027*F1027,IF(D1027="Return",-E1027*F1027,""))</f>
        <v/>
      </c>
      <c r="H1027" s="17">
        <f>IFERROR(IF(D1027="Sale",E1027*INDEX(Products!$E$6:$E$205,MATCH(C1027,Products!$B$6:$B$205,0)),IF(D1027="Return",-E1027*INDEX(Products!$E$6:$E$205,MATCH(C1027,Products!$B$6:$B$205,0)),"")),"")</f>
        <v/>
      </c>
      <c r="I1027" s="24" t="n"/>
      <c r="J1027" s="1" t="n"/>
    </row>
    <row r="1028">
      <c r="A1028" s="1" t="n"/>
      <c r="B1028" s="30" t="n"/>
      <c r="C1028" s="23" t="n"/>
      <c r="D1028" s="23" t="n"/>
      <c r="E1028" s="26" t="n"/>
      <c r="F1028" s="25" t="n"/>
      <c r="G1028" s="17">
        <f>IF(D1028="Sale",E1028*F1028,IF(D1028="Return",-E1028*F1028,""))</f>
        <v/>
      </c>
      <c r="H1028" s="17">
        <f>IFERROR(IF(D1028="Sale",E1028*INDEX(Products!$E$6:$E$205,MATCH(C1028,Products!$B$6:$B$205,0)),IF(D1028="Return",-E1028*INDEX(Products!$E$6:$E$205,MATCH(C1028,Products!$B$6:$B$205,0)),"")),"")</f>
        <v/>
      </c>
      <c r="I1028" s="24" t="n"/>
      <c r="J1028" s="1" t="n"/>
    </row>
    <row r="1029">
      <c r="A1029" s="1" t="n"/>
      <c r="B1029" s="30" t="n"/>
      <c r="C1029" s="23" t="n"/>
      <c r="D1029" s="23" t="n"/>
      <c r="E1029" s="26" t="n"/>
      <c r="F1029" s="25" t="n"/>
      <c r="G1029" s="17">
        <f>IF(D1029="Sale",E1029*F1029,IF(D1029="Return",-E1029*F1029,""))</f>
        <v/>
      </c>
      <c r="H1029" s="17">
        <f>IFERROR(IF(D1029="Sale",E1029*INDEX(Products!$E$6:$E$205,MATCH(C1029,Products!$B$6:$B$205,0)),IF(D1029="Return",-E1029*INDEX(Products!$E$6:$E$205,MATCH(C1029,Products!$B$6:$B$205,0)),"")),"")</f>
        <v/>
      </c>
      <c r="I1029" s="24" t="n"/>
      <c r="J1029" s="1" t="n"/>
    </row>
    <row r="1030">
      <c r="A1030" s="1" t="n"/>
      <c r="B1030" s="30" t="n"/>
      <c r="C1030" s="23" t="n"/>
      <c r="D1030" s="23" t="n"/>
      <c r="E1030" s="26" t="n"/>
      <c r="F1030" s="25" t="n"/>
      <c r="G1030" s="17">
        <f>IF(D1030="Sale",E1030*F1030,IF(D1030="Return",-E1030*F1030,""))</f>
        <v/>
      </c>
      <c r="H1030" s="17">
        <f>IFERROR(IF(D1030="Sale",E1030*INDEX(Products!$E$6:$E$205,MATCH(C1030,Products!$B$6:$B$205,0)),IF(D1030="Return",-E1030*INDEX(Products!$E$6:$E$205,MATCH(C1030,Products!$B$6:$B$205,0)),"")),"")</f>
        <v/>
      </c>
      <c r="I1030" s="24" t="n"/>
      <c r="J1030" s="1" t="n"/>
    </row>
    <row r="1031">
      <c r="A1031" s="1" t="n"/>
      <c r="B1031" s="30" t="n"/>
      <c r="C1031" s="23" t="n"/>
      <c r="D1031" s="23" t="n"/>
      <c r="E1031" s="26" t="n"/>
      <c r="F1031" s="25" t="n"/>
      <c r="G1031" s="17">
        <f>IF(D1031="Sale",E1031*F1031,IF(D1031="Return",-E1031*F1031,""))</f>
        <v/>
      </c>
      <c r="H1031" s="17">
        <f>IFERROR(IF(D1031="Sale",E1031*INDEX(Products!$E$6:$E$205,MATCH(C1031,Products!$B$6:$B$205,0)),IF(D1031="Return",-E1031*INDEX(Products!$E$6:$E$205,MATCH(C1031,Products!$B$6:$B$205,0)),"")),"")</f>
        <v/>
      </c>
      <c r="I1031" s="24" t="n"/>
      <c r="J1031" s="1" t="n"/>
    </row>
    <row r="1032">
      <c r="A1032" s="1" t="n"/>
      <c r="B1032" s="30" t="n"/>
      <c r="C1032" s="23" t="n"/>
      <c r="D1032" s="23" t="n"/>
      <c r="E1032" s="26" t="n"/>
      <c r="F1032" s="25" t="n"/>
      <c r="G1032" s="17">
        <f>IF(D1032="Sale",E1032*F1032,IF(D1032="Return",-E1032*F1032,""))</f>
        <v/>
      </c>
      <c r="H1032" s="17">
        <f>IFERROR(IF(D1032="Sale",E1032*INDEX(Products!$E$6:$E$205,MATCH(C1032,Products!$B$6:$B$205,0)),IF(D1032="Return",-E1032*INDEX(Products!$E$6:$E$205,MATCH(C1032,Products!$B$6:$B$205,0)),"")),"")</f>
        <v/>
      </c>
      <c r="I1032" s="24" t="n"/>
      <c r="J1032" s="1" t="n"/>
    </row>
    <row r="1033">
      <c r="A1033" s="1" t="n"/>
      <c r="B1033" s="30" t="n"/>
      <c r="C1033" s="23" t="n"/>
      <c r="D1033" s="23" t="n"/>
      <c r="E1033" s="26" t="n"/>
      <c r="F1033" s="25" t="n"/>
      <c r="G1033" s="17">
        <f>IF(D1033="Sale",E1033*F1033,IF(D1033="Return",-E1033*F1033,""))</f>
        <v/>
      </c>
      <c r="H1033" s="17">
        <f>IFERROR(IF(D1033="Sale",E1033*INDEX(Products!$E$6:$E$205,MATCH(C1033,Products!$B$6:$B$205,0)),IF(D1033="Return",-E1033*INDEX(Products!$E$6:$E$205,MATCH(C1033,Products!$B$6:$B$205,0)),"")),"")</f>
        <v/>
      </c>
      <c r="I1033" s="24" t="n"/>
      <c r="J1033" s="1" t="n"/>
    </row>
    <row r="1034">
      <c r="A1034" s="1" t="n"/>
      <c r="B1034" s="30" t="n"/>
      <c r="C1034" s="23" t="n"/>
      <c r="D1034" s="23" t="n"/>
      <c r="E1034" s="26" t="n"/>
      <c r="F1034" s="25" t="n"/>
      <c r="G1034" s="17">
        <f>IF(D1034="Sale",E1034*F1034,IF(D1034="Return",-E1034*F1034,""))</f>
        <v/>
      </c>
      <c r="H1034" s="17">
        <f>IFERROR(IF(D1034="Sale",E1034*INDEX(Products!$E$6:$E$205,MATCH(C1034,Products!$B$6:$B$205,0)),IF(D1034="Return",-E1034*INDEX(Products!$E$6:$E$205,MATCH(C1034,Products!$B$6:$B$205,0)),"")),"")</f>
        <v/>
      </c>
      <c r="I1034" s="24" t="n"/>
      <c r="J1034" s="1" t="n"/>
    </row>
    <row r="1035">
      <c r="A1035" s="1" t="n"/>
      <c r="B1035" s="30" t="n"/>
      <c r="C1035" s="23" t="n"/>
      <c r="D1035" s="23" t="n"/>
      <c r="E1035" s="26" t="n"/>
      <c r="F1035" s="25" t="n"/>
      <c r="G1035" s="17">
        <f>IF(D1035="Sale",E1035*F1035,IF(D1035="Return",-E1035*F1035,""))</f>
        <v/>
      </c>
      <c r="H1035" s="17">
        <f>IFERROR(IF(D1035="Sale",E1035*INDEX(Products!$E$6:$E$205,MATCH(C1035,Products!$B$6:$B$205,0)),IF(D1035="Return",-E1035*INDEX(Products!$E$6:$E$205,MATCH(C1035,Products!$B$6:$B$205,0)),"")),"")</f>
        <v/>
      </c>
      <c r="I1035" s="24" t="n"/>
      <c r="J1035" s="1" t="n"/>
    </row>
    <row r="1036">
      <c r="A1036" s="1" t="n"/>
      <c r="B1036" s="30" t="n"/>
      <c r="C1036" s="23" t="n"/>
      <c r="D1036" s="23" t="n"/>
      <c r="E1036" s="26" t="n"/>
      <c r="F1036" s="25" t="n"/>
      <c r="G1036" s="17">
        <f>IF(D1036="Sale",E1036*F1036,IF(D1036="Return",-E1036*F1036,""))</f>
        <v/>
      </c>
      <c r="H1036" s="17">
        <f>IFERROR(IF(D1036="Sale",E1036*INDEX(Products!$E$6:$E$205,MATCH(C1036,Products!$B$6:$B$205,0)),IF(D1036="Return",-E1036*INDEX(Products!$E$6:$E$205,MATCH(C1036,Products!$B$6:$B$205,0)),"")),"")</f>
        <v/>
      </c>
      <c r="I1036" s="24" t="n"/>
      <c r="J1036" s="1" t="n"/>
    </row>
    <row r="1037">
      <c r="A1037" s="1" t="n"/>
      <c r="B1037" s="30" t="n"/>
      <c r="C1037" s="23" t="n"/>
      <c r="D1037" s="23" t="n"/>
      <c r="E1037" s="26" t="n"/>
      <c r="F1037" s="25" t="n"/>
      <c r="G1037" s="17">
        <f>IF(D1037="Sale",E1037*F1037,IF(D1037="Return",-E1037*F1037,""))</f>
        <v/>
      </c>
      <c r="H1037" s="17">
        <f>IFERROR(IF(D1037="Sale",E1037*INDEX(Products!$E$6:$E$205,MATCH(C1037,Products!$B$6:$B$205,0)),IF(D1037="Return",-E1037*INDEX(Products!$E$6:$E$205,MATCH(C1037,Products!$B$6:$B$205,0)),"")),"")</f>
        <v/>
      </c>
      <c r="I1037" s="24" t="n"/>
      <c r="J1037" s="1" t="n"/>
    </row>
    <row r="1038">
      <c r="A1038" s="1" t="n"/>
      <c r="B1038" s="30" t="n"/>
      <c r="C1038" s="23" t="n"/>
      <c r="D1038" s="23" t="n"/>
      <c r="E1038" s="26" t="n"/>
      <c r="F1038" s="25" t="n"/>
      <c r="G1038" s="17">
        <f>IF(D1038="Sale",E1038*F1038,IF(D1038="Return",-E1038*F1038,""))</f>
        <v/>
      </c>
      <c r="H1038" s="17">
        <f>IFERROR(IF(D1038="Sale",E1038*INDEX(Products!$E$6:$E$205,MATCH(C1038,Products!$B$6:$B$205,0)),IF(D1038="Return",-E1038*INDEX(Products!$E$6:$E$205,MATCH(C1038,Products!$B$6:$B$205,0)),"")),"")</f>
        <v/>
      </c>
      <c r="I1038" s="24" t="n"/>
      <c r="J1038" s="1" t="n"/>
    </row>
    <row r="1039">
      <c r="A1039" s="1" t="n"/>
      <c r="B1039" s="30" t="n"/>
      <c r="C1039" s="23" t="n"/>
      <c r="D1039" s="23" t="n"/>
      <c r="E1039" s="26" t="n"/>
      <c r="F1039" s="25" t="n"/>
      <c r="G1039" s="17">
        <f>IF(D1039="Sale",E1039*F1039,IF(D1039="Return",-E1039*F1039,""))</f>
        <v/>
      </c>
      <c r="H1039" s="17">
        <f>IFERROR(IF(D1039="Sale",E1039*INDEX(Products!$E$6:$E$205,MATCH(C1039,Products!$B$6:$B$205,0)),IF(D1039="Return",-E1039*INDEX(Products!$E$6:$E$205,MATCH(C1039,Products!$B$6:$B$205,0)),"")),"")</f>
        <v/>
      </c>
      <c r="I1039" s="24" t="n"/>
      <c r="J1039" s="1" t="n"/>
    </row>
    <row r="1040">
      <c r="A1040" s="1" t="n"/>
      <c r="B1040" s="30" t="n"/>
      <c r="C1040" s="23" t="n"/>
      <c r="D1040" s="23" t="n"/>
      <c r="E1040" s="26" t="n"/>
      <c r="F1040" s="25" t="n"/>
      <c r="G1040" s="17">
        <f>IF(D1040="Sale",E1040*F1040,IF(D1040="Return",-E1040*F1040,""))</f>
        <v/>
      </c>
      <c r="H1040" s="17">
        <f>IFERROR(IF(D1040="Sale",E1040*INDEX(Products!$E$6:$E$205,MATCH(C1040,Products!$B$6:$B$205,0)),IF(D1040="Return",-E1040*INDEX(Products!$E$6:$E$205,MATCH(C1040,Products!$B$6:$B$205,0)),"")),"")</f>
        <v/>
      </c>
      <c r="I1040" s="24" t="n"/>
      <c r="J1040" s="1" t="n"/>
    </row>
    <row r="1041">
      <c r="A1041" s="1" t="n"/>
      <c r="B1041" s="30" t="n"/>
      <c r="C1041" s="23" t="n"/>
      <c r="D1041" s="23" t="n"/>
      <c r="E1041" s="26" t="n"/>
      <c r="F1041" s="25" t="n"/>
      <c r="G1041" s="17">
        <f>IF(D1041="Sale",E1041*F1041,IF(D1041="Return",-E1041*F1041,""))</f>
        <v/>
      </c>
      <c r="H1041" s="17">
        <f>IFERROR(IF(D1041="Sale",E1041*INDEX(Products!$E$6:$E$205,MATCH(C1041,Products!$B$6:$B$205,0)),IF(D1041="Return",-E1041*INDEX(Products!$E$6:$E$205,MATCH(C1041,Products!$B$6:$B$205,0)),"")),"")</f>
        <v/>
      </c>
      <c r="I1041" s="24" t="n"/>
      <c r="J1041" s="1" t="n"/>
    </row>
    <row r="1042">
      <c r="A1042" s="1" t="n"/>
      <c r="B1042" s="30" t="n"/>
      <c r="C1042" s="23" t="n"/>
      <c r="D1042" s="23" t="n"/>
      <c r="E1042" s="26" t="n"/>
      <c r="F1042" s="25" t="n"/>
      <c r="G1042" s="17">
        <f>IF(D1042="Sale",E1042*F1042,IF(D1042="Return",-E1042*F1042,""))</f>
        <v/>
      </c>
      <c r="H1042" s="17">
        <f>IFERROR(IF(D1042="Sale",E1042*INDEX(Products!$E$6:$E$205,MATCH(C1042,Products!$B$6:$B$205,0)),IF(D1042="Return",-E1042*INDEX(Products!$E$6:$E$205,MATCH(C1042,Products!$B$6:$B$205,0)),"")),"")</f>
        <v/>
      </c>
      <c r="I1042" s="24" t="n"/>
      <c r="J1042" s="1" t="n"/>
    </row>
    <row r="1043">
      <c r="A1043" s="1" t="n"/>
      <c r="B1043" s="30" t="n"/>
      <c r="C1043" s="23" t="n"/>
      <c r="D1043" s="23" t="n"/>
      <c r="E1043" s="26" t="n"/>
      <c r="F1043" s="25" t="n"/>
      <c r="G1043" s="17">
        <f>IF(D1043="Sale",E1043*F1043,IF(D1043="Return",-E1043*F1043,""))</f>
        <v/>
      </c>
      <c r="H1043" s="17">
        <f>IFERROR(IF(D1043="Sale",E1043*INDEX(Products!$E$6:$E$205,MATCH(C1043,Products!$B$6:$B$205,0)),IF(D1043="Return",-E1043*INDEX(Products!$E$6:$E$205,MATCH(C1043,Products!$B$6:$B$205,0)),"")),"")</f>
        <v/>
      </c>
      <c r="I1043" s="24" t="n"/>
      <c r="J1043" s="1" t="n"/>
    </row>
    <row r="1044">
      <c r="A1044" s="1" t="n"/>
      <c r="B1044" s="30" t="n"/>
      <c r="C1044" s="23" t="n"/>
      <c r="D1044" s="23" t="n"/>
      <c r="E1044" s="26" t="n"/>
      <c r="F1044" s="25" t="n"/>
      <c r="G1044" s="17">
        <f>IF(D1044="Sale",E1044*F1044,IF(D1044="Return",-E1044*F1044,""))</f>
        <v/>
      </c>
      <c r="H1044" s="17">
        <f>IFERROR(IF(D1044="Sale",E1044*INDEX(Products!$E$6:$E$205,MATCH(C1044,Products!$B$6:$B$205,0)),IF(D1044="Return",-E1044*INDEX(Products!$E$6:$E$205,MATCH(C1044,Products!$B$6:$B$205,0)),"")),"")</f>
        <v/>
      </c>
      <c r="I1044" s="24" t="n"/>
      <c r="J1044" s="1" t="n"/>
    </row>
    <row r="1045">
      <c r="A1045" s="1" t="n"/>
      <c r="B1045" s="30" t="n"/>
      <c r="C1045" s="23" t="n"/>
      <c r="D1045" s="23" t="n"/>
      <c r="E1045" s="26" t="n"/>
      <c r="F1045" s="25" t="n"/>
      <c r="G1045" s="17">
        <f>IF(D1045="Sale",E1045*F1045,IF(D1045="Return",-E1045*F1045,""))</f>
        <v/>
      </c>
      <c r="H1045" s="17">
        <f>IFERROR(IF(D1045="Sale",E1045*INDEX(Products!$E$6:$E$205,MATCH(C1045,Products!$B$6:$B$205,0)),IF(D1045="Return",-E1045*INDEX(Products!$E$6:$E$205,MATCH(C1045,Products!$B$6:$B$205,0)),"")),"")</f>
        <v/>
      </c>
      <c r="I1045" s="24" t="n"/>
      <c r="J1045" s="1" t="n"/>
    </row>
    <row r="1046">
      <c r="A1046" s="1" t="n"/>
      <c r="B1046" s="30" t="n"/>
      <c r="C1046" s="23" t="n"/>
      <c r="D1046" s="23" t="n"/>
      <c r="E1046" s="26" t="n"/>
      <c r="F1046" s="25" t="n"/>
      <c r="G1046" s="17">
        <f>IF(D1046="Sale",E1046*F1046,IF(D1046="Return",-E1046*F1046,""))</f>
        <v/>
      </c>
      <c r="H1046" s="17">
        <f>IFERROR(IF(D1046="Sale",E1046*INDEX(Products!$E$6:$E$205,MATCH(C1046,Products!$B$6:$B$205,0)),IF(D1046="Return",-E1046*INDEX(Products!$E$6:$E$205,MATCH(C1046,Products!$B$6:$B$205,0)),"")),"")</f>
        <v/>
      </c>
      <c r="I1046" s="24" t="n"/>
      <c r="J1046" s="1" t="n"/>
    </row>
    <row r="1047">
      <c r="A1047" s="1" t="n"/>
      <c r="B1047" s="30" t="n"/>
      <c r="C1047" s="23" t="n"/>
      <c r="D1047" s="23" t="n"/>
      <c r="E1047" s="26" t="n"/>
      <c r="F1047" s="25" t="n"/>
      <c r="G1047" s="17">
        <f>IF(D1047="Sale",E1047*F1047,IF(D1047="Return",-E1047*F1047,""))</f>
        <v/>
      </c>
      <c r="H1047" s="17">
        <f>IFERROR(IF(D1047="Sale",E1047*INDEX(Products!$E$6:$E$205,MATCH(C1047,Products!$B$6:$B$205,0)),IF(D1047="Return",-E1047*INDEX(Products!$E$6:$E$205,MATCH(C1047,Products!$B$6:$B$205,0)),"")),"")</f>
        <v/>
      </c>
      <c r="I1047" s="24" t="n"/>
      <c r="J1047" s="1" t="n"/>
    </row>
    <row r="1048">
      <c r="A1048" s="1" t="n"/>
      <c r="B1048" s="30" t="n"/>
      <c r="C1048" s="23" t="n"/>
      <c r="D1048" s="23" t="n"/>
      <c r="E1048" s="26" t="n"/>
      <c r="F1048" s="25" t="n"/>
      <c r="G1048" s="17">
        <f>IF(D1048="Sale",E1048*F1048,IF(D1048="Return",-E1048*F1048,""))</f>
        <v/>
      </c>
      <c r="H1048" s="17">
        <f>IFERROR(IF(D1048="Sale",E1048*INDEX(Products!$E$6:$E$205,MATCH(C1048,Products!$B$6:$B$205,0)),IF(D1048="Return",-E1048*INDEX(Products!$E$6:$E$205,MATCH(C1048,Products!$B$6:$B$205,0)),"")),"")</f>
        <v/>
      </c>
      <c r="I1048" s="24" t="n"/>
      <c r="J1048" s="1" t="n"/>
    </row>
    <row r="1049">
      <c r="A1049" s="1" t="n"/>
      <c r="B1049" s="30" t="n"/>
      <c r="C1049" s="23" t="n"/>
      <c r="D1049" s="23" t="n"/>
      <c r="E1049" s="26" t="n"/>
      <c r="F1049" s="25" t="n"/>
      <c r="G1049" s="17">
        <f>IF(D1049="Sale",E1049*F1049,IF(D1049="Return",-E1049*F1049,""))</f>
        <v/>
      </c>
      <c r="H1049" s="17">
        <f>IFERROR(IF(D1049="Sale",E1049*INDEX(Products!$E$6:$E$205,MATCH(C1049,Products!$B$6:$B$205,0)),IF(D1049="Return",-E1049*INDEX(Products!$E$6:$E$205,MATCH(C1049,Products!$B$6:$B$205,0)),"")),"")</f>
        <v/>
      </c>
      <c r="I1049" s="24" t="n"/>
      <c r="J1049" s="1" t="n"/>
    </row>
    <row r="1050">
      <c r="A1050" s="1" t="n"/>
      <c r="B1050" s="30" t="n"/>
      <c r="C1050" s="23" t="n"/>
      <c r="D1050" s="23" t="n"/>
      <c r="E1050" s="26" t="n"/>
      <c r="F1050" s="25" t="n"/>
      <c r="G1050" s="17">
        <f>IF(D1050="Sale",E1050*F1050,IF(D1050="Return",-E1050*F1050,""))</f>
        <v/>
      </c>
      <c r="H1050" s="17">
        <f>IFERROR(IF(D1050="Sale",E1050*INDEX(Products!$E$6:$E$205,MATCH(C1050,Products!$B$6:$B$205,0)),IF(D1050="Return",-E1050*INDEX(Products!$E$6:$E$205,MATCH(C1050,Products!$B$6:$B$205,0)),"")),"")</f>
        <v/>
      </c>
      <c r="I1050" s="24" t="n"/>
      <c r="J1050" s="1" t="n"/>
    </row>
    <row r="1051">
      <c r="A1051" s="1" t="n"/>
      <c r="B1051" s="30" t="n"/>
      <c r="C1051" s="23" t="n"/>
      <c r="D1051" s="23" t="n"/>
      <c r="E1051" s="26" t="n"/>
      <c r="F1051" s="25" t="n"/>
      <c r="G1051" s="17">
        <f>IF(D1051="Sale",E1051*F1051,IF(D1051="Return",-E1051*F1051,""))</f>
        <v/>
      </c>
      <c r="H1051" s="17">
        <f>IFERROR(IF(D1051="Sale",E1051*INDEX(Products!$E$6:$E$205,MATCH(C1051,Products!$B$6:$B$205,0)),IF(D1051="Return",-E1051*INDEX(Products!$E$6:$E$205,MATCH(C1051,Products!$B$6:$B$205,0)),"")),"")</f>
        <v/>
      </c>
      <c r="I1051" s="24" t="n"/>
      <c r="J1051" s="1" t="n"/>
    </row>
    <row r="1052">
      <c r="A1052" s="1" t="n"/>
      <c r="B1052" s="30" t="n"/>
      <c r="C1052" s="23" t="n"/>
      <c r="D1052" s="23" t="n"/>
      <c r="E1052" s="26" t="n"/>
      <c r="F1052" s="25" t="n"/>
      <c r="G1052" s="17">
        <f>IF(D1052="Sale",E1052*F1052,IF(D1052="Return",-E1052*F1052,""))</f>
        <v/>
      </c>
      <c r="H1052" s="17">
        <f>IFERROR(IF(D1052="Sale",E1052*INDEX(Products!$E$6:$E$205,MATCH(C1052,Products!$B$6:$B$205,0)),IF(D1052="Return",-E1052*INDEX(Products!$E$6:$E$205,MATCH(C1052,Products!$B$6:$B$205,0)),"")),"")</f>
        <v/>
      </c>
      <c r="I1052" s="24" t="n"/>
      <c r="J1052" s="1" t="n"/>
    </row>
    <row r="1053">
      <c r="A1053" s="1" t="n"/>
      <c r="B1053" s="30" t="n"/>
      <c r="C1053" s="23" t="n"/>
      <c r="D1053" s="23" t="n"/>
      <c r="E1053" s="26" t="n"/>
      <c r="F1053" s="25" t="n"/>
      <c r="G1053" s="17">
        <f>IF(D1053="Sale",E1053*F1053,IF(D1053="Return",-E1053*F1053,""))</f>
        <v/>
      </c>
      <c r="H1053" s="17">
        <f>IFERROR(IF(D1053="Sale",E1053*INDEX(Products!$E$6:$E$205,MATCH(C1053,Products!$B$6:$B$205,0)),IF(D1053="Return",-E1053*INDEX(Products!$E$6:$E$205,MATCH(C1053,Products!$B$6:$B$205,0)),"")),"")</f>
        <v/>
      </c>
      <c r="I1053" s="24" t="n"/>
      <c r="J1053" s="1" t="n"/>
    </row>
    <row r="1054">
      <c r="A1054" s="1" t="n"/>
      <c r="B1054" s="30" t="n"/>
      <c r="C1054" s="23" t="n"/>
      <c r="D1054" s="23" t="n"/>
      <c r="E1054" s="26" t="n"/>
      <c r="F1054" s="25" t="n"/>
      <c r="G1054" s="17">
        <f>IF(D1054="Sale",E1054*F1054,IF(D1054="Return",-E1054*F1054,""))</f>
        <v/>
      </c>
      <c r="H1054" s="17">
        <f>IFERROR(IF(D1054="Sale",E1054*INDEX(Products!$E$6:$E$205,MATCH(C1054,Products!$B$6:$B$205,0)),IF(D1054="Return",-E1054*INDEX(Products!$E$6:$E$205,MATCH(C1054,Products!$B$6:$B$205,0)),"")),"")</f>
        <v/>
      </c>
      <c r="I1054" s="24" t="n"/>
      <c r="J1054" s="1" t="n"/>
    </row>
    <row r="1055">
      <c r="A1055" s="1" t="n"/>
      <c r="B1055" s="30" t="n"/>
      <c r="C1055" s="23" t="n"/>
      <c r="D1055" s="23" t="n"/>
      <c r="E1055" s="26" t="n"/>
      <c r="F1055" s="25" t="n"/>
      <c r="G1055" s="17">
        <f>IF(D1055="Sale",E1055*F1055,IF(D1055="Return",-E1055*F1055,""))</f>
        <v/>
      </c>
      <c r="H1055" s="17">
        <f>IFERROR(IF(D1055="Sale",E1055*INDEX(Products!$E$6:$E$205,MATCH(C1055,Products!$B$6:$B$205,0)),IF(D1055="Return",-E1055*INDEX(Products!$E$6:$E$205,MATCH(C1055,Products!$B$6:$B$205,0)),"")),"")</f>
        <v/>
      </c>
      <c r="I1055" s="24" t="n"/>
      <c r="J1055" s="1" t="n"/>
    </row>
    <row r="1056">
      <c r="A1056" s="1" t="n"/>
      <c r="B1056" s="30" t="n"/>
      <c r="C1056" s="23" t="n"/>
      <c r="D1056" s="23" t="n"/>
      <c r="E1056" s="26" t="n"/>
      <c r="F1056" s="25" t="n"/>
      <c r="G1056" s="17">
        <f>IF(D1056="Sale",E1056*F1056,IF(D1056="Return",-E1056*F1056,""))</f>
        <v/>
      </c>
      <c r="H1056" s="17">
        <f>IFERROR(IF(D1056="Sale",E1056*INDEX(Products!$E$6:$E$205,MATCH(C1056,Products!$B$6:$B$205,0)),IF(D1056="Return",-E1056*INDEX(Products!$E$6:$E$205,MATCH(C1056,Products!$B$6:$B$205,0)),"")),"")</f>
        <v/>
      </c>
      <c r="I1056" s="24" t="n"/>
      <c r="J1056" s="1" t="n"/>
    </row>
    <row r="1057">
      <c r="A1057" s="1" t="n"/>
      <c r="B1057" s="30" t="n"/>
      <c r="C1057" s="23" t="n"/>
      <c r="D1057" s="23" t="n"/>
      <c r="E1057" s="26" t="n"/>
      <c r="F1057" s="25" t="n"/>
      <c r="G1057" s="17">
        <f>IF(D1057="Sale",E1057*F1057,IF(D1057="Return",-E1057*F1057,""))</f>
        <v/>
      </c>
      <c r="H1057" s="17">
        <f>IFERROR(IF(D1057="Sale",E1057*INDEX(Products!$E$6:$E$205,MATCH(C1057,Products!$B$6:$B$205,0)),IF(D1057="Return",-E1057*INDEX(Products!$E$6:$E$205,MATCH(C1057,Products!$B$6:$B$205,0)),"")),"")</f>
        <v/>
      </c>
      <c r="I1057" s="24" t="n"/>
      <c r="J1057" s="1" t="n"/>
    </row>
    <row r="1058">
      <c r="A1058" s="1" t="n"/>
      <c r="B1058" s="30" t="n"/>
      <c r="C1058" s="23" t="n"/>
      <c r="D1058" s="23" t="n"/>
      <c r="E1058" s="26" t="n"/>
      <c r="F1058" s="25" t="n"/>
      <c r="G1058" s="17">
        <f>IF(D1058="Sale",E1058*F1058,IF(D1058="Return",-E1058*F1058,""))</f>
        <v/>
      </c>
      <c r="H1058" s="17">
        <f>IFERROR(IF(D1058="Sale",E1058*INDEX(Products!$E$6:$E$205,MATCH(C1058,Products!$B$6:$B$205,0)),IF(D1058="Return",-E1058*INDEX(Products!$E$6:$E$205,MATCH(C1058,Products!$B$6:$B$205,0)),"")),"")</f>
        <v/>
      </c>
      <c r="I1058" s="24" t="n"/>
      <c r="J1058" s="1" t="n"/>
    </row>
    <row r="1059">
      <c r="A1059" s="1" t="n"/>
      <c r="B1059" s="30" t="n"/>
      <c r="C1059" s="23" t="n"/>
      <c r="D1059" s="23" t="n"/>
      <c r="E1059" s="26" t="n"/>
      <c r="F1059" s="25" t="n"/>
      <c r="G1059" s="17">
        <f>IF(D1059="Sale",E1059*F1059,IF(D1059="Return",-E1059*F1059,""))</f>
        <v/>
      </c>
      <c r="H1059" s="17">
        <f>IFERROR(IF(D1059="Sale",E1059*INDEX(Products!$E$6:$E$205,MATCH(C1059,Products!$B$6:$B$205,0)),IF(D1059="Return",-E1059*INDEX(Products!$E$6:$E$205,MATCH(C1059,Products!$B$6:$B$205,0)),"")),"")</f>
        <v/>
      </c>
      <c r="I1059" s="24" t="n"/>
      <c r="J1059" s="1" t="n"/>
    </row>
    <row r="1060">
      <c r="A1060" s="1" t="n"/>
      <c r="B1060" s="30" t="n"/>
      <c r="C1060" s="23" t="n"/>
      <c r="D1060" s="23" t="n"/>
      <c r="E1060" s="26" t="n"/>
      <c r="F1060" s="25" t="n"/>
      <c r="G1060" s="17">
        <f>IF(D1060="Sale",E1060*F1060,IF(D1060="Return",-E1060*F1060,""))</f>
        <v/>
      </c>
      <c r="H1060" s="17">
        <f>IFERROR(IF(D1060="Sale",E1060*INDEX(Products!$E$6:$E$205,MATCH(C1060,Products!$B$6:$B$205,0)),IF(D1060="Return",-E1060*INDEX(Products!$E$6:$E$205,MATCH(C1060,Products!$B$6:$B$205,0)),"")),"")</f>
        <v/>
      </c>
      <c r="I1060" s="24" t="n"/>
      <c r="J1060" s="1" t="n"/>
    </row>
    <row r="1061">
      <c r="A1061" s="1" t="n"/>
      <c r="B1061" s="30" t="n"/>
      <c r="C1061" s="23" t="n"/>
      <c r="D1061" s="23" t="n"/>
      <c r="E1061" s="26" t="n"/>
      <c r="F1061" s="25" t="n"/>
      <c r="G1061" s="17">
        <f>IF(D1061="Sale",E1061*F1061,IF(D1061="Return",-E1061*F1061,""))</f>
        <v/>
      </c>
      <c r="H1061" s="17">
        <f>IFERROR(IF(D1061="Sale",E1061*INDEX(Products!$E$6:$E$205,MATCH(C1061,Products!$B$6:$B$205,0)),IF(D1061="Return",-E1061*INDEX(Products!$E$6:$E$205,MATCH(C1061,Products!$B$6:$B$205,0)),"")),"")</f>
        <v/>
      </c>
      <c r="I1061" s="24" t="n"/>
      <c r="J1061" s="1" t="n"/>
    </row>
    <row r="1062">
      <c r="A1062" s="1" t="n"/>
      <c r="B1062" s="30" t="n"/>
      <c r="C1062" s="23" t="n"/>
      <c r="D1062" s="23" t="n"/>
      <c r="E1062" s="26" t="n"/>
      <c r="F1062" s="25" t="n"/>
      <c r="G1062" s="17">
        <f>IF(D1062="Sale",E1062*F1062,IF(D1062="Return",-E1062*F1062,""))</f>
        <v/>
      </c>
      <c r="H1062" s="17">
        <f>IFERROR(IF(D1062="Sale",E1062*INDEX(Products!$E$6:$E$205,MATCH(C1062,Products!$B$6:$B$205,0)),IF(D1062="Return",-E1062*INDEX(Products!$E$6:$E$205,MATCH(C1062,Products!$B$6:$B$205,0)),"")),"")</f>
        <v/>
      </c>
      <c r="I1062" s="24" t="n"/>
      <c r="J1062" s="1" t="n"/>
    </row>
    <row r="1063">
      <c r="A1063" s="1" t="n"/>
      <c r="B1063" s="30" t="n"/>
      <c r="C1063" s="23" t="n"/>
      <c r="D1063" s="23" t="n"/>
      <c r="E1063" s="26" t="n"/>
      <c r="F1063" s="25" t="n"/>
      <c r="G1063" s="17">
        <f>IF(D1063="Sale",E1063*F1063,IF(D1063="Return",-E1063*F1063,""))</f>
        <v/>
      </c>
      <c r="H1063" s="17">
        <f>IFERROR(IF(D1063="Sale",E1063*INDEX(Products!$E$6:$E$205,MATCH(C1063,Products!$B$6:$B$205,0)),IF(D1063="Return",-E1063*INDEX(Products!$E$6:$E$205,MATCH(C1063,Products!$B$6:$B$205,0)),"")),"")</f>
        <v/>
      </c>
      <c r="I1063" s="24" t="n"/>
      <c r="J1063" s="1" t="n"/>
    </row>
    <row r="1064">
      <c r="A1064" s="1" t="n"/>
      <c r="B1064" s="30" t="n"/>
      <c r="C1064" s="23" t="n"/>
      <c r="D1064" s="23" t="n"/>
      <c r="E1064" s="26" t="n"/>
      <c r="F1064" s="25" t="n"/>
      <c r="G1064" s="17">
        <f>IF(D1064="Sale",E1064*F1064,IF(D1064="Return",-E1064*F1064,""))</f>
        <v/>
      </c>
      <c r="H1064" s="17">
        <f>IFERROR(IF(D1064="Sale",E1064*INDEX(Products!$E$6:$E$205,MATCH(C1064,Products!$B$6:$B$205,0)),IF(D1064="Return",-E1064*INDEX(Products!$E$6:$E$205,MATCH(C1064,Products!$B$6:$B$205,0)),"")),"")</f>
        <v/>
      </c>
      <c r="I1064" s="24" t="n"/>
      <c r="J1064" s="1" t="n"/>
    </row>
    <row r="1065">
      <c r="A1065" s="1" t="n"/>
      <c r="B1065" s="30" t="n"/>
      <c r="C1065" s="23" t="n"/>
      <c r="D1065" s="23" t="n"/>
      <c r="E1065" s="26" t="n"/>
      <c r="F1065" s="25" t="n"/>
      <c r="G1065" s="17">
        <f>IF(D1065="Sale",E1065*F1065,IF(D1065="Return",-E1065*F1065,""))</f>
        <v/>
      </c>
      <c r="H1065" s="17">
        <f>IFERROR(IF(D1065="Sale",E1065*INDEX(Products!$E$6:$E$205,MATCH(C1065,Products!$B$6:$B$205,0)),IF(D1065="Return",-E1065*INDEX(Products!$E$6:$E$205,MATCH(C1065,Products!$B$6:$B$205,0)),"")),"")</f>
        <v/>
      </c>
      <c r="I1065" s="24" t="n"/>
      <c r="J1065" s="1" t="n"/>
    </row>
    <row r="1066">
      <c r="A1066" s="1" t="n"/>
      <c r="B1066" s="30" t="n"/>
      <c r="C1066" s="23" t="n"/>
      <c r="D1066" s="23" t="n"/>
      <c r="E1066" s="26" t="n"/>
      <c r="F1066" s="25" t="n"/>
      <c r="G1066" s="17">
        <f>IF(D1066="Sale",E1066*F1066,IF(D1066="Return",-E1066*F1066,""))</f>
        <v/>
      </c>
      <c r="H1066" s="17">
        <f>IFERROR(IF(D1066="Sale",E1066*INDEX(Products!$E$6:$E$205,MATCH(C1066,Products!$B$6:$B$205,0)),IF(D1066="Return",-E1066*INDEX(Products!$E$6:$E$205,MATCH(C1066,Products!$B$6:$B$205,0)),"")),"")</f>
        <v/>
      </c>
      <c r="I1066" s="24" t="n"/>
      <c r="J1066" s="1" t="n"/>
    </row>
    <row r="1067">
      <c r="A1067" s="1" t="n"/>
      <c r="B1067" s="30" t="n"/>
      <c r="C1067" s="23" t="n"/>
      <c r="D1067" s="23" t="n"/>
      <c r="E1067" s="26" t="n"/>
      <c r="F1067" s="25" t="n"/>
      <c r="G1067" s="17">
        <f>IF(D1067="Sale",E1067*F1067,IF(D1067="Return",-E1067*F1067,""))</f>
        <v/>
      </c>
      <c r="H1067" s="17">
        <f>IFERROR(IF(D1067="Sale",E1067*INDEX(Products!$E$6:$E$205,MATCH(C1067,Products!$B$6:$B$205,0)),IF(D1067="Return",-E1067*INDEX(Products!$E$6:$E$205,MATCH(C1067,Products!$B$6:$B$205,0)),"")),"")</f>
        <v/>
      </c>
      <c r="I1067" s="24" t="n"/>
      <c r="J1067" s="1" t="n"/>
    </row>
    <row r="1068">
      <c r="A1068" s="1" t="n"/>
      <c r="B1068" s="30" t="n"/>
      <c r="C1068" s="23" t="n"/>
      <c r="D1068" s="23" t="n"/>
      <c r="E1068" s="26" t="n"/>
      <c r="F1068" s="25" t="n"/>
      <c r="G1068" s="17">
        <f>IF(D1068="Sale",E1068*F1068,IF(D1068="Return",-E1068*F1068,""))</f>
        <v/>
      </c>
      <c r="H1068" s="17">
        <f>IFERROR(IF(D1068="Sale",E1068*INDEX(Products!$E$6:$E$205,MATCH(C1068,Products!$B$6:$B$205,0)),IF(D1068="Return",-E1068*INDEX(Products!$E$6:$E$205,MATCH(C1068,Products!$B$6:$B$205,0)),"")),"")</f>
        <v/>
      </c>
      <c r="I1068" s="24" t="n"/>
      <c r="J1068" s="1" t="n"/>
    </row>
    <row r="1069">
      <c r="A1069" s="1" t="n"/>
      <c r="B1069" s="30" t="n"/>
      <c r="C1069" s="23" t="n"/>
      <c r="D1069" s="23" t="n"/>
      <c r="E1069" s="26" t="n"/>
      <c r="F1069" s="25" t="n"/>
      <c r="G1069" s="17">
        <f>IF(D1069="Sale",E1069*F1069,IF(D1069="Return",-E1069*F1069,""))</f>
        <v/>
      </c>
      <c r="H1069" s="17">
        <f>IFERROR(IF(D1069="Sale",E1069*INDEX(Products!$E$6:$E$205,MATCH(C1069,Products!$B$6:$B$205,0)),IF(D1069="Return",-E1069*INDEX(Products!$E$6:$E$205,MATCH(C1069,Products!$B$6:$B$205,0)),"")),"")</f>
        <v/>
      </c>
      <c r="I1069" s="24" t="n"/>
      <c r="J1069" s="1" t="n"/>
    </row>
    <row r="1070">
      <c r="A1070" s="1" t="n"/>
      <c r="B1070" s="30" t="n"/>
      <c r="C1070" s="23" t="n"/>
      <c r="D1070" s="23" t="n"/>
      <c r="E1070" s="26" t="n"/>
      <c r="F1070" s="25" t="n"/>
      <c r="G1070" s="17">
        <f>IF(D1070="Sale",E1070*F1070,IF(D1070="Return",-E1070*F1070,""))</f>
        <v/>
      </c>
      <c r="H1070" s="17">
        <f>IFERROR(IF(D1070="Sale",E1070*INDEX(Products!$E$6:$E$205,MATCH(C1070,Products!$B$6:$B$205,0)),IF(D1070="Return",-E1070*INDEX(Products!$E$6:$E$205,MATCH(C1070,Products!$B$6:$B$205,0)),"")),"")</f>
        <v/>
      </c>
      <c r="I1070" s="24" t="n"/>
      <c r="J1070" s="1" t="n"/>
    </row>
    <row r="1071">
      <c r="A1071" s="1" t="n"/>
      <c r="B1071" s="30" t="n"/>
      <c r="C1071" s="23" t="n"/>
      <c r="D1071" s="23" t="n"/>
      <c r="E1071" s="26" t="n"/>
      <c r="F1071" s="25" t="n"/>
      <c r="G1071" s="17">
        <f>IF(D1071="Sale",E1071*F1071,IF(D1071="Return",-E1071*F1071,""))</f>
        <v/>
      </c>
      <c r="H1071" s="17">
        <f>IFERROR(IF(D1071="Sale",E1071*INDEX(Products!$E$6:$E$205,MATCH(C1071,Products!$B$6:$B$205,0)),IF(D1071="Return",-E1071*INDEX(Products!$E$6:$E$205,MATCH(C1071,Products!$B$6:$B$205,0)),"")),"")</f>
        <v/>
      </c>
      <c r="I1071" s="24" t="n"/>
      <c r="J1071" s="1" t="n"/>
    </row>
    <row r="1072">
      <c r="A1072" s="1" t="n"/>
      <c r="B1072" s="30" t="n"/>
      <c r="C1072" s="23" t="n"/>
      <c r="D1072" s="23" t="n"/>
      <c r="E1072" s="26" t="n"/>
      <c r="F1072" s="25" t="n"/>
      <c r="G1072" s="17">
        <f>IF(D1072="Sale",E1072*F1072,IF(D1072="Return",-E1072*F1072,""))</f>
        <v/>
      </c>
      <c r="H1072" s="17">
        <f>IFERROR(IF(D1072="Sale",E1072*INDEX(Products!$E$6:$E$205,MATCH(C1072,Products!$B$6:$B$205,0)),IF(D1072="Return",-E1072*INDEX(Products!$E$6:$E$205,MATCH(C1072,Products!$B$6:$B$205,0)),"")),"")</f>
        <v/>
      </c>
      <c r="I1072" s="24" t="n"/>
      <c r="J1072" s="1" t="n"/>
    </row>
    <row r="1073">
      <c r="A1073" s="1" t="n"/>
      <c r="B1073" s="30" t="n"/>
      <c r="C1073" s="23" t="n"/>
      <c r="D1073" s="23" t="n"/>
      <c r="E1073" s="26" t="n"/>
      <c r="F1073" s="25" t="n"/>
      <c r="G1073" s="17">
        <f>IF(D1073="Sale",E1073*F1073,IF(D1073="Return",-E1073*F1073,""))</f>
        <v/>
      </c>
      <c r="H1073" s="17">
        <f>IFERROR(IF(D1073="Sale",E1073*INDEX(Products!$E$6:$E$205,MATCH(C1073,Products!$B$6:$B$205,0)),IF(D1073="Return",-E1073*INDEX(Products!$E$6:$E$205,MATCH(C1073,Products!$B$6:$B$205,0)),"")),"")</f>
        <v/>
      </c>
      <c r="I1073" s="24" t="n"/>
      <c r="J1073" s="1" t="n"/>
    </row>
    <row r="1074">
      <c r="A1074" s="1" t="n"/>
      <c r="B1074" s="30" t="n"/>
      <c r="C1074" s="23" t="n"/>
      <c r="D1074" s="23" t="n"/>
      <c r="E1074" s="26" t="n"/>
      <c r="F1074" s="25" t="n"/>
      <c r="G1074" s="17">
        <f>IF(D1074="Sale",E1074*F1074,IF(D1074="Return",-E1074*F1074,""))</f>
        <v/>
      </c>
      <c r="H1074" s="17">
        <f>IFERROR(IF(D1074="Sale",E1074*INDEX(Products!$E$6:$E$205,MATCH(C1074,Products!$B$6:$B$205,0)),IF(D1074="Return",-E1074*INDEX(Products!$E$6:$E$205,MATCH(C1074,Products!$B$6:$B$205,0)),"")),"")</f>
        <v/>
      </c>
      <c r="I1074" s="24" t="n"/>
      <c r="J1074" s="1" t="n"/>
    </row>
    <row r="1075">
      <c r="A1075" s="1" t="n"/>
      <c r="B1075" s="30" t="n"/>
      <c r="C1075" s="23" t="n"/>
      <c r="D1075" s="23" t="n"/>
      <c r="E1075" s="26" t="n"/>
      <c r="F1075" s="25" t="n"/>
      <c r="G1075" s="17">
        <f>IF(D1075="Sale",E1075*F1075,IF(D1075="Return",-E1075*F1075,""))</f>
        <v/>
      </c>
      <c r="H1075" s="17">
        <f>IFERROR(IF(D1075="Sale",E1075*INDEX(Products!$E$6:$E$205,MATCH(C1075,Products!$B$6:$B$205,0)),IF(D1075="Return",-E1075*INDEX(Products!$E$6:$E$205,MATCH(C1075,Products!$B$6:$B$205,0)),"")),"")</f>
        <v/>
      </c>
      <c r="I1075" s="24" t="n"/>
      <c r="J1075" s="1" t="n"/>
    </row>
    <row r="1076">
      <c r="A1076" s="1" t="n"/>
      <c r="B1076" s="30" t="n"/>
      <c r="C1076" s="23" t="n"/>
      <c r="D1076" s="23" t="n"/>
      <c r="E1076" s="26" t="n"/>
      <c r="F1076" s="25" t="n"/>
      <c r="G1076" s="17">
        <f>IF(D1076="Sale",E1076*F1076,IF(D1076="Return",-E1076*F1076,""))</f>
        <v/>
      </c>
      <c r="H1076" s="17">
        <f>IFERROR(IF(D1076="Sale",E1076*INDEX(Products!$E$6:$E$205,MATCH(C1076,Products!$B$6:$B$205,0)),IF(D1076="Return",-E1076*INDEX(Products!$E$6:$E$205,MATCH(C1076,Products!$B$6:$B$205,0)),"")),"")</f>
        <v/>
      </c>
      <c r="I1076" s="24" t="n"/>
      <c r="J1076" s="1" t="n"/>
    </row>
    <row r="1077">
      <c r="A1077" s="1" t="n"/>
      <c r="B1077" s="30" t="n"/>
      <c r="C1077" s="23" t="n"/>
      <c r="D1077" s="23" t="n"/>
      <c r="E1077" s="26" t="n"/>
      <c r="F1077" s="25" t="n"/>
      <c r="G1077" s="17">
        <f>IF(D1077="Sale",E1077*F1077,IF(D1077="Return",-E1077*F1077,""))</f>
        <v/>
      </c>
      <c r="H1077" s="17">
        <f>IFERROR(IF(D1077="Sale",E1077*INDEX(Products!$E$6:$E$205,MATCH(C1077,Products!$B$6:$B$205,0)),IF(D1077="Return",-E1077*INDEX(Products!$E$6:$E$205,MATCH(C1077,Products!$B$6:$B$205,0)),"")),"")</f>
        <v/>
      </c>
      <c r="I1077" s="24" t="n"/>
      <c r="J1077" s="1" t="n"/>
    </row>
    <row r="1078">
      <c r="A1078" s="1" t="n"/>
      <c r="B1078" s="30" t="n"/>
      <c r="C1078" s="23" t="n"/>
      <c r="D1078" s="23" t="n"/>
      <c r="E1078" s="26" t="n"/>
      <c r="F1078" s="25" t="n"/>
      <c r="G1078" s="17">
        <f>IF(D1078="Sale",E1078*F1078,IF(D1078="Return",-E1078*F1078,""))</f>
        <v/>
      </c>
      <c r="H1078" s="17">
        <f>IFERROR(IF(D1078="Sale",E1078*INDEX(Products!$E$6:$E$205,MATCH(C1078,Products!$B$6:$B$205,0)),IF(D1078="Return",-E1078*INDEX(Products!$E$6:$E$205,MATCH(C1078,Products!$B$6:$B$205,0)),"")),"")</f>
        <v/>
      </c>
      <c r="I1078" s="24" t="n"/>
      <c r="J1078" s="1" t="n"/>
    </row>
    <row r="1079">
      <c r="A1079" s="1" t="n"/>
      <c r="B1079" s="30" t="n"/>
      <c r="C1079" s="23" t="n"/>
      <c r="D1079" s="23" t="n"/>
      <c r="E1079" s="26" t="n"/>
      <c r="F1079" s="25" t="n"/>
      <c r="G1079" s="17">
        <f>IF(D1079="Sale",E1079*F1079,IF(D1079="Return",-E1079*F1079,""))</f>
        <v/>
      </c>
      <c r="H1079" s="17">
        <f>IFERROR(IF(D1079="Sale",E1079*INDEX(Products!$E$6:$E$205,MATCH(C1079,Products!$B$6:$B$205,0)),IF(D1079="Return",-E1079*INDEX(Products!$E$6:$E$205,MATCH(C1079,Products!$B$6:$B$205,0)),"")),"")</f>
        <v/>
      </c>
      <c r="I1079" s="24" t="n"/>
      <c r="J1079" s="1" t="n"/>
    </row>
    <row r="1080">
      <c r="A1080" s="1" t="n"/>
      <c r="B1080" s="30" t="n"/>
      <c r="C1080" s="23" t="n"/>
      <c r="D1080" s="23" t="n"/>
      <c r="E1080" s="26" t="n"/>
      <c r="F1080" s="25" t="n"/>
      <c r="G1080" s="17">
        <f>IF(D1080="Sale",E1080*F1080,IF(D1080="Return",-E1080*F1080,""))</f>
        <v/>
      </c>
      <c r="H1080" s="17">
        <f>IFERROR(IF(D1080="Sale",E1080*INDEX(Products!$E$6:$E$205,MATCH(C1080,Products!$B$6:$B$205,0)),IF(D1080="Return",-E1080*INDEX(Products!$E$6:$E$205,MATCH(C1080,Products!$B$6:$B$205,0)),"")),"")</f>
        <v/>
      </c>
      <c r="I1080" s="24" t="n"/>
      <c r="J1080" s="1" t="n"/>
    </row>
    <row r="1081">
      <c r="A1081" s="1" t="n"/>
      <c r="B1081" s="30" t="n"/>
      <c r="C1081" s="23" t="n"/>
      <c r="D1081" s="23" t="n"/>
      <c r="E1081" s="26" t="n"/>
      <c r="F1081" s="25" t="n"/>
      <c r="G1081" s="17">
        <f>IF(D1081="Sale",E1081*F1081,IF(D1081="Return",-E1081*F1081,""))</f>
        <v/>
      </c>
      <c r="H1081" s="17">
        <f>IFERROR(IF(D1081="Sale",E1081*INDEX(Products!$E$6:$E$205,MATCH(C1081,Products!$B$6:$B$205,0)),IF(D1081="Return",-E1081*INDEX(Products!$E$6:$E$205,MATCH(C1081,Products!$B$6:$B$205,0)),"")),"")</f>
        <v/>
      </c>
      <c r="I1081" s="24" t="n"/>
      <c r="J1081" s="1" t="n"/>
    </row>
    <row r="1082">
      <c r="A1082" s="1" t="n"/>
      <c r="B1082" s="30" t="n"/>
      <c r="C1082" s="23" t="n"/>
      <c r="D1082" s="23" t="n"/>
      <c r="E1082" s="26" t="n"/>
      <c r="F1082" s="25" t="n"/>
      <c r="G1082" s="17">
        <f>IF(D1082="Sale",E1082*F1082,IF(D1082="Return",-E1082*F1082,""))</f>
        <v/>
      </c>
      <c r="H1082" s="17">
        <f>IFERROR(IF(D1082="Sale",E1082*INDEX(Products!$E$6:$E$205,MATCH(C1082,Products!$B$6:$B$205,0)),IF(D1082="Return",-E1082*INDEX(Products!$E$6:$E$205,MATCH(C1082,Products!$B$6:$B$205,0)),"")),"")</f>
        <v/>
      </c>
      <c r="I1082" s="24" t="n"/>
      <c r="J1082" s="1" t="n"/>
    </row>
    <row r="1083">
      <c r="A1083" s="1" t="n"/>
      <c r="B1083" s="30" t="n"/>
      <c r="C1083" s="23" t="n"/>
      <c r="D1083" s="23" t="n"/>
      <c r="E1083" s="26" t="n"/>
      <c r="F1083" s="25" t="n"/>
      <c r="G1083" s="17">
        <f>IF(D1083="Sale",E1083*F1083,IF(D1083="Return",-E1083*F1083,""))</f>
        <v/>
      </c>
      <c r="H1083" s="17">
        <f>IFERROR(IF(D1083="Sale",E1083*INDEX(Products!$E$6:$E$205,MATCH(C1083,Products!$B$6:$B$205,0)),IF(D1083="Return",-E1083*INDEX(Products!$E$6:$E$205,MATCH(C1083,Products!$B$6:$B$205,0)),"")),"")</f>
        <v/>
      </c>
      <c r="I1083" s="24" t="n"/>
      <c r="J1083" s="1" t="n"/>
    </row>
    <row r="1084">
      <c r="A1084" s="1" t="n"/>
      <c r="B1084" s="30" t="n"/>
      <c r="C1084" s="23" t="n"/>
      <c r="D1084" s="23" t="n"/>
      <c r="E1084" s="26" t="n"/>
      <c r="F1084" s="25" t="n"/>
      <c r="G1084" s="17">
        <f>IF(D1084="Sale",E1084*F1084,IF(D1084="Return",-E1084*F1084,""))</f>
        <v/>
      </c>
      <c r="H1084" s="17">
        <f>IFERROR(IF(D1084="Sale",E1084*INDEX(Products!$E$6:$E$205,MATCH(C1084,Products!$B$6:$B$205,0)),IF(D1084="Return",-E1084*INDEX(Products!$E$6:$E$205,MATCH(C1084,Products!$B$6:$B$205,0)),"")),"")</f>
        <v/>
      </c>
      <c r="I1084" s="24" t="n"/>
      <c r="J1084" s="1" t="n"/>
    </row>
    <row r="1085">
      <c r="A1085" s="1" t="n"/>
      <c r="B1085" s="30" t="n"/>
      <c r="C1085" s="23" t="n"/>
      <c r="D1085" s="23" t="n"/>
      <c r="E1085" s="26" t="n"/>
      <c r="F1085" s="25" t="n"/>
      <c r="G1085" s="17">
        <f>IF(D1085="Sale",E1085*F1085,IF(D1085="Return",-E1085*F1085,""))</f>
        <v/>
      </c>
      <c r="H1085" s="17">
        <f>IFERROR(IF(D1085="Sale",E1085*INDEX(Products!$E$6:$E$205,MATCH(C1085,Products!$B$6:$B$205,0)),IF(D1085="Return",-E1085*INDEX(Products!$E$6:$E$205,MATCH(C1085,Products!$B$6:$B$205,0)),"")),"")</f>
        <v/>
      </c>
      <c r="I1085" s="24" t="n"/>
      <c r="J1085" s="1" t="n"/>
    </row>
    <row r="1086">
      <c r="A1086" s="1" t="n"/>
      <c r="B1086" s="30" t="n"/>
      <c r="C1086" s="23" t="n"/>
      <c r="D1086" s="23" t="n"/>
      <c r="E1086" s="26" t="n"/>
      <c r="F1086" s="25" t="n"/>
      <c r="G1086" s="17">
        <f>IF(D1086="Sale",E1086*F1086,IF(D1086="Return",-E1086*F1086,""))</f>
        <v/>
      </c>
      <c r="H1086" s="17">
        <f>IFERROR(IF(D1086="Sale",E1086*INDEX(Products!$E$6:$E$205,MATCH(C1086,Products!$B$6:$B$205,0)),IF(D1086="Return",-E1086*INDEX(Products!$E$6:$E$205,MATCH(C1086,Products!$B$6:$B$205,0)),"")),"")</f>
        <v/>
      </c>
      <c r="I1086" s="24" t="n"/>
      <c r="J1086" s="1" t="n"/>
    </row>
    <row r="1087">
      <c r="A1087" s="1" t="n"/>
      <c r="B1087" s="30" t="n"/>
      <c r="C1087" s="23" t="n"/>
      <c r="D1087" s="23" t="n"/>
      <c r="E1087" s="26" t="n"/>
      <c r="F1087" s="25" t="n"/>
      <c r="G1087" s="17">
        <f>IF(D1087="Sale",E1087*F1087,IF(D1087="Return",-E1087*F1087,""))</f>
        <v/>
      </c>
      <c r="H1087" s="17">
        <f>IFERROR(IF(D1087="Sale",E1087*INDEX(Products!$E$6:$E$205,MATCH(C1087,Products!$B$6:$B$205,0)),IF(D1087="Return",-E1087*INDEX(Products!$E$6:$E$205,MATCH(C1087,Products!$B$6:$B$205,0)),"")),"")</f>
        <v/>
      </c>
      <c r="I1087" s="24" t="n"/>
      <c r="J1087" s="1" t="n"/>
    </row>
    <row r="1088">
      <c r="A1088" s="1" t="n"/>
      <c r="B1088" s="30" t="n"/>
      <c r="C1088" s="23" t="n"/>
      <c r="D1088" s="23" t="n"/>
      <c r="E1088" s="26" t="n"/>
      <c r="F1088" s="25" t="n"/>
      <c r="G1088" s="17">
        <f>IF(D1088="Sale",E1088*F1088,IF(D1088="Return",-E1088*F1088,""))</f>
        <v/>
      </c>
      <c r="H1088" s="17">
        <f>IFERROR(IF(D1088="Sale",E1088*INDEX(Products!$E$6:$E$205,MATCH(C1088,Products!$B$6:$B$205,0)),IF(D1088="Return",-E1088*INDEX(Products!$E$6:$E$205,MATCH(C1088,Products!$B$6:$B$205,0)),"")),"")</f>
        <v/>
      </c>
      <c r="I1088" s="24" t="n"/>
      <c r="J1088" s="1" t="n"/>
    </row>
    <row r="1089">
      <c r="A1089" s="1" t="n"/>
      <c r="B1089" s="30" t="n"/>
      <c r="C1089" s="23" t="n"/>
      <c r="D1089" s="23" t="n"/>
      <c r="E1089" s="26" t="n"/>
      <c r="F1089" s="25" t="n"/>
      <c r="G1089" s="17">
        <f>IF(D1089="Sale",E1089*F1089,IF(D1089="Return",-E1089*F1089,""))</f>
        <v/>
      </c>
      <c r="H1089" s="17">
        <f>IFERROR(IF(D1089="Sale",E1089*INDEX(Products!$E$6:$E$205,MATCH(C1089,Products!$B$6:$B$205,0)),IF(D1089="Return",-E1089*INDEX(Products!$E$6:$E$205,MATCH(C1089,Products!$B$6:$B$205,0)),"")),"")</f>
        <v/>
      </c>
      <c r="I1089" s="24" t="n"/>
      <c r="J1089" s="1" t="n"/>
    </row>
    <row r="1090">
      <c r="A1090" s="1" t="n"/>
      <c r="B1090" s="30" t="n"/>
      <c r="C1090" s="23" t="n"/>
      <c r="D1090" s="23" t="n"/>
      <c r="E1090" s="26" t="n"/>
      <c r="F1090" s="25" t="n"/>
      <c r="G1090" s="17">
        <f>IF(D1090="Sale",E1090*F1090,IF(D1090="Return",-E1090*F1090,""))</f>
        <v/>
      </c>
      <c r="H1090" s="17">
        <f>IFERROR(IF(D1090="Sale",E1090*INDEX(Products!$E$6:$E$205,MATCH(C1090,Products!$B$6:$B$205,0)),IF(D1090="Return",-E1090*INDEX(Products!$E$6:$E$205,MATCH(C1090,Products!$B$6:$B$205,0)),"")),"")</f>
        <v/>
      </c>
      <c r="I1090" s="24" t="n"/>
      <c r="J1090" s="1" t="n"/>
    </row>
    <row r="1091">
      <c r="A1091" s="1" t="n"/>
      <c r="B1091" s="30" t="n"/>
      <c r="C1091" s="23" t="n"/>
      <c r="D1091" s="23" t="n"/>
      <c r="E1091" s="26" t="n"/>
      <c r="F1091" s="25" t="n"/>
      <c r="G1091" s="17">
        <f>IF(D1091="Sale",E1091*F1091,IF(D1091="Return",-E1091*F1091,""))</f>
        <v/>
      </c>
      <c r="H1091" s="17">
        <f>IFERROR(IF(D1091="Sale",E1091*INDEX(Products!$E$6:$E$205,MATCH(C1091,Products!$B$6:$B$205,0)),IF(D1091="Return",-E1091*INDEX(Products!$E$6:$E$205,MATCH(C1091,Products!$B$6:$B$205,0)),"")),"")</f>
        <v/>
      </c>
      <c r="I1091" s="24" t="n"/>
      <c r="J1091" s="1" t="n"/>
    </row>
    <row r="1092">
      <c r="A1092" s="1" t="n"/>
      <c r="B1092" s="30" t="n"/>
      <c r="C1092" s="23" t="n"/>
      <c r="D1092" s="23" t="n"/>
      <c r="E1092" s="26" t="n"/>
      <c r="F1092" s="25" t="n"/>
      <c r="G1092" s="17">
        <f>IF(D1092="Sale",E1092*F1092,IF(D1092="Return",-E1092*F1092,""))</f>
        <v/>
      </c>
      <c r="H1092" s="17">
        <f>IFERROR(IF(D1092="Sale",E1092*INDEX(Products!$E$6:$E$205,MATCH(C1092,Products!$B$6:$B$205,0)),IF(D1092="Return",-E1092*INDEX(Products!$E$6:$E$205,MATCH(C1092,Products!$B$6:$B$205,0)),"")),"")</f>
        <v/>
      </c>
      <c r="I1092" s="24" t="n"/>
      <c r="J1092" s="1" t="n"/>
    </row>
    <row r="1093">
      <c r="A1093" s="1" t="n"/>
      <c r="B1093" s="30" t="n"/>
      <c r="C1093" s="23" t="n"/>
      <c r="D1093" s="23" t="n"/>
      <c r="E1093" s="26" t="n"/>
      <c r="F1093" s="25" t="n"/>
      <c r="G1093" s="17">
        <f>IF(D1093="Sale",E1093*F1093,IF(D1093="Return",-E1093*F1093,""))</f>
        <v/>
      </c>
      <c r="H1093" s="17">
        <f>IFERROR(IF(D1093="Sale",E1093*INDEX(Products!$E$6:$E$205,MATCH(C1093,Products!$B$6:$B$205,0)),IF(D1093="Return",-E1093*INDEX(Products!$E$6:$E$205,MATCH(C1093,Products!$B$6:$B$205,0)),"")),"")</f>
        <v/>
      </c>
      <c r="I1093" s="24" t="n"/>
      <c r="J1093" s="1" t="n"/>
    </row>
    <row r="1094">
      <c r="A1094" s="1" t="n"/>
      <c r="B1094" s="30" t="n"/>
      <c r="C1094" s="23" t="n"/>
      <c r="D1094" s="23" t="n"/>
      <c r="E1094" s="26" t="n"/>
      <c r="F1094" s="25" t="n"/>
      <c r="G1094" s="17">
        <f>IF(D1094="Sale",E1094*F1094,IF(D1094="Return",-E1094*F1094,""))</f>
        <v/>
      </c>
      <c r="H1094" s="17">
        <f>IFERROR(IF(D1094="Sale",E1094*INDEX(Products!$E$6:$E$205,MATCH(C1094,Products!$B$6:$B$205,0)),IF(D1094="Return",-E1094*INDEX(Products!$E$6:$E$205,MATCH(C1094,Products!$B$6:$B$205,0)),"")),"")</f>
        <v/>
      </c>
      <c r="I1094" s="24" t="n"/>
      <c r="J1094" s="1" t="n"/>
    </row>
    <row r="1095">
      <c r="A1095" s="1" t="n"/>
      <c r="B1095" s="30" t="n"/>
      <c r="C1095" s="23" t="n"/>
      <c r="D1095" s="23" t="n"/>
      <c r="E1095" s="26" t="n"/>
      <c r="F1095" s="25" t="n"/>
      <c r="G1095" s="17">
        <f>IF(D1095="Sale",E1095*F1095,IF(D1095="Return",-E1095*F1095,""))</f>
        <v/>
      </c>
      <c r="H1095" s="17">
        <f>IFERROR(IF(D1095="Sale",E1095*INDEX(Products!$E$6:$E$205,MATCH(C1095,Products!$B$6:$B$205,0)),IF(D1095="Return",-E1095*INDEX(Products!$E$6:$E$205,MATCH(C1095,Products!$B$6:$B$205,0)),"")),"")</f>
        <v/>
      </c>
      <c r="I1095" s="24" t="n"/>
      <c r="J1095" s="1" t="n"/>
    </row>
    <row r="1096">
      <c r="A1096" s="1" t="n"/>
      <c r="B1096" s="30" t="n"/>
      <c r="C1096" s="23" t="n"/>
      <c r="D1096" s="23" t="n"/>
      <c r="E1096" s="26" t="n"/>
      <c r="F1096" s="25" t="n"/>
      <c r="G1096" s="17">
        <f>IF(D1096="Sale",E1096*F1096,IF(D1096="Return",-E1096*F1096,""))</f>
        <v/>
      </c>
      <c r="H1096" s="17">
        <f>IFERROR(IF(D1096="Sale",E1096*INDEX(Products!$E$6:$E$205,MATCH(C1096,Products!$B$6:$B$205,0)),IF(D1096="Return",-E1096*INDEX(Products!$E$6:$E$205,MATCH(C1096,Products!$B$6:$B$205,0)),"")),"")</f>
        <v/>
      </c>
      <c r="I1096" s="24" t="n"/>
      <c r="J1096" s="1" t="n"/>
    </row>
    <row r="1097">
      <c r="A1097" s="1" t="n"/>
      <c r="B1097" s="30" t="n"/>
      <c r="C1097" s="23" t="n"/>
      <c r="D1097" s="23" t="n"/>
      <c r="E1097" s="26" t="n"/>
      <c r="F1097" s="25" t="n"/>
      <c r="G1097" s="17">
        <f>IF(D1097="Sale",E1097*F1097,IF(D1097="Return",-E1097*F1097,""))</f>
        <v/>
      </c>
      <c r="H1097" s="17">
        <f>IFERROR(IF(D1097="Sale",E1097*INDEX(Products!$E$6:$E$205,MATCH(C1097,Products!$B$6:$B$205,0)),IF(D1097="Return",-E1097*INDEX(Products!$E$6:$E$205,MATCH(C1097,Products!$B$6:$B$205,0)),"")),"")</f>
        <v/>
      </c>
      <c r="I1097" s="24" t="n"/>
      <c r="J1097" s="1" t="n"/>
    </row>
    <row r="1098">
      <c r="A1098" s="1" t="n"/>
      <c r="B1098" s="30" t="n"/>
      <c r="C1098" s="23" t="n"/>
      <c r="D1098" s="23" t="n"/>
      <c r="E1098" s="26" t="n"/>
      <c r="F1098" s="25" t="n"/>
      <c r="G1098" s="17">
        <f>IF(D1098="Sale",E1098*F1098,IF(D1098="Return",-E1098*F1098,""))</f>
        <v/>
      </c>
      <c r="H1098" s="17">
        <f>IFERROR(IF(D1098="Sale",E1098*INDEX(Products!$E$6:$E$205,MATCH(C1098,Products!$B$6:$B$205,0)),IF(D1098="Return",-E1098*INDEX(Products!$E$6:$E$205,MATCH(C1098,Products!$B$6:$B$205,0)),"")),"")</f>
        <v/>
      </c>
      <c r="I1098" s="24" t="n"/>
      <c r="J1098" s="1" t="n"/>
    </row>
    <row r="1099">
      <c r="A1099" s="1" t="n"/>
      <c r="B1099" s="30" t="n"/>
      <c r="C1099" s="23" t="n"/>
      <c r="D1099" s="23" t="n"/>
      <c r="E1099" s="26" t="n"/>
      <c r="F1099" s="25" t="n"/>
      <c r="G1099" s="17">
        <f>IF(D1099="Sale",E1099*F1099,IF(D1099="Return",-E1099*F1099,""))</f>
        <v/>
      </c>
      <c r="H1099" s="17">
        <f>IFERROR(IF(D1099="Sale",E1099*INDEX(Products!$E$6:$E$205,MATCH(C1099,Products!$B$6:$B$205,0)),IF(D1099="Return",-E1099*INDEX(Products!$E$6:$E$205,MATCH(C1099,Products!$B$6:$B$205,0)),"")),"")</f>
        <v/>
      </c>
      <c r="I1099" s="24" t="n"/>
      <c r="J1099" s="1" t="n"/>
    </row>
    <row r="1100">
      <c r="A1100" s="1" t="n"/>
      <c r="B1100" s="30" t="n"/>
      <c r="C1100" s="23" t="n"/>
      <c r="D1100" s="23" t="n"/>
      <c r="E1100" s="26" t="n"/>
      <c r="F1100" s="25" t="n"/>
      <c r="G1100" s="17">
        <f>IF(D1100="Sale",E1100*F1100,IF(D1100="Return",-E1100*F1100,""))</f>
        <v/>
      </c>
      <c r="H1100" s="17">
        <f>IFERROR(IF(D1100="Sale",E1100*INDEX(Products!$E$6:$E$205,MATCH(C1100,Products!$B$6:$B$205,0)),IF(D1100="Return",-E1100*INDEX(Products!$E$6:$E$205,MATCH(C1100,Products!$B$6:$B$205,0)),"")),"")</f>
        <v/>
      </c>
      <c r="I1100" s="24" t="n"/>
      <c r="J1100" s="1" t="n"/>
    </row>
    <row r="1101">
      <c r="A1101" s="1" t="n"/>
      <c r="B1101" s="30" t="n"/>
      <c r="C1101" s="23" t="n"/>
      <c r="D1101" s="23" t="n"/>
      <c r="E1101" s="26" t="n"/>
      <c r="F1101" s="25" t="n"/>
      <c r="G1101" s="17">
        <f>IF(D1101="Sale",E1101*F1101,IF(D1101="Return",-E1101*F1101,""))</f>
        <v/>
      </c>
      <c r="H1101" s="17">
        <f>IFERROR(IF(D1101="Sale",E1101*INDEX(Products!$E$6:$E$205,MATCH(C1101,Products!$B$6:$B$205,0)),IF(D1101="Return",-E1101*INDEX(Products!$E$6:$E$205,MATCH(C1101,Products!$B$6:$B$205,0)),"")),"")</f>
        <v/>
      </c>
      <c r="I1101" s="24" t="n"/>
      <c r="J1101" s="1" t="n"/>
    </row>
    <row r="1102">
      <c r="A1102" s="1" t="n"/>
      <c r="B1102" s="30" t="n"/>
      <c r="C1102" s="23" t="n"/>
      <c r="D1102" s="23" t="n"/>
      <c r="E1102" s="26" t="n"/>
      <c r="F1102" s="25" t="n"/>
      <c r="G1102" s="17">
        <f>IF(D1102="Sale",E1102*F1102,IF(D1102="Return",-E1102*F1102,""))</f>
        <v/>
      </c>
      <c r="H1102" s="17">
        <f>IFERROR(IF(D1102="Sale",E1102*INDEX(Products!$E$6:$E$205,MATCH(C1102,Products!$B$6:$B$205,0)),IF(D1102="Return",-E1102*INDEX(Products!$E$6:$E$205,MATCH(C1102,Products!$B$6:$B$205,0)),"")),"")</f>
        <v/>
      </c>
      <c r="I1102" s="24" t="n"/>
      <c r="J1102" s="1" t="n"/>
    </row>
    <row r="1103">
      <c r="A1103" s="1" t="n"/>
      <c r="B1103" s="30" t="n"/>
      <c r="C1103" s="23" t="n"/>
      <c r="D1103" s="23" t="n"/>
      <c r="E1103" s="26" t="n"/>
      <c r="F1103" s="25" t="n"/>
      <c r="G1103" s="17">
        <f>IF(D1103="Sale",E1103*F1103,IF(D1103="Return",-E1103*F1103,""))</f>
        <v/>
      </c>
      <c r="H1103" s="17">
        <f>IFERROR(IF(D1103="Sale",E1103*INDEX(Products!$E$6:$E$205,MATCH(C1103,Products!$B$6:$B$205,0)),IF(D1103="Return",-E1103*INDEX(Products!$E$6:$E$205,MATCH(C1103,Products!$B$6:$B$205,0)),"")),"")</f>
        <v/>
      </c>
      <c r="I1103" s="24" t="n"/>
      <c r="J1103" s="1" t="n"/>
    </row>
    <row r="1104">
      <c r="A1104" s="1" t="n"/>
      <c r="B1104" s="30" t="n"/>
      <c r="C1104" s="23" t="n"/>
      <c r="D1104" s="23" t="n"/>
      <c r="E1104" s="26" t="n"/>
      <c r="F1104" s="25" t="n"/>
      <c r="G1104" s="17">
        <f>IF(D1104="Sale",E1104*F1104,IF(D1104="Return",-E1104*F1104,""))</f>
        <v/>
      </c>
      <c r="H1104" s="17">
        <f>IFERROR(IF(D1104="Sale",E1104*INDEX(Products!$E$6:$E$205,MATCH(C1104,Products!$B$6:$B$205,0)),IF(D1104="Return",-E1104*INDEX(Products!$E$6:$E$205,MATCH(C1104,Products!$B$6:$B$205,0)),"")),"")</f>
        <v/>
      </c>
      <c r="I1104" s="24" t="n"/>
      <c r="J1104" s="1" t="n"/>
    </row>
    <row r="1105">
      <c r="A1105" s="1" t="n"/>
      <c r="B1105" s="30" t="n"/>
      <c r="C1105" s="23" t="n"/>
      <c r="D1105" s="23" t="n"/>
      <c r="E1105" s="26" t="n"/>
      <c r="F1105" s="25" t="n"/>
      <c r="G1105" s="17">
        <f>IF(D1105="Sale",E1105*F1105,IF(D1105="Return",-E1105*F1105,""))</f>
        <v/>
      </c>
      <c r="H1105" s="17">
        <f>IFERROR(IF(D1105="Sale",E1105*INDEX(Products!$E$6:$E$205,MATCH(C1105,Products!$B$6:$B$205,0)),IF(D1105="Return",-E1105*INDEX(Products!$E$6:$E$205,MATCH(C1105,Products!$B$6:$B$205,0)),"")),"")</f>
        <v/>
      </c>
      <c r="I1105" s="24" t="n"/>
      <c r="J1105" s="1" t="n"/>
    </row>
    <row r="1106">
      <c r="A1106" s="1" t="n"/>
      <c r="B1106" s="30" t="n"/>
      <c r="C1106" s="23" t="n"/>
      <c r="D1106" s="23" t="n"/>
      <c r="E1106" s="26" t="n"/>
      <c r="F1106" s="25" t="n"/>
      <c r="G1106" s="17">
        <f>IF(D1106="Sale",E1106*F1106,IF(D1106="Return",-E1106*F1106,""))</f>
        <v/>
      </c>
      <c r="H1106" s="17">
        <f>IFERROR(IF(D1106="Sale",E1106*INDEX(Products!$E$6:$E$205,MATCH(C1106,Products!$B$6:$B$205,0)),IF(D1106="Return",-E1106*INDEX(Products!$E$6:$E$205,MATCH(C1106,Products!$B$6:$B$205,0)),"")),"")</f>
        <v/>
      </c>
      <c r="I1106" s="24" t="n"/>
      <c r="J1106" s="1" t="n"/>
    </row>
    <row r="1107">
      <c r="A1107" s="1" t="n"/>
      <c r="B1107" s="30" t="n"/>
      <c r="C1107" s="23" t="n"/>
      <c r="D1107" s="23" t="n"/>
      <c r="E1107" s="26" t="n"/>
      <c r="F1107" s="25" t="n"/>
      <c r="G1107" s="17">
        <f>IF(D1107="Sale",E1107*F1107,IF(D1107="Return",-E1107*F1107,""))</f>
        <v/>
      </c>
      <c r="H1107" s="17">
        <f>IFERROR(IF(D1107="Sale",E1107*INDEX(Products!$E$6:$E$205,MATCH(C1107,Products!$B$6:$B$205,0)),IF(D1107="Return",-E1107*INDEX(Products!$E$6:$E$205,MATCH(C1107,Products!$B$6:$B$205,0)),"")),"")</f>
        <v/>
      </c>
      <c r="I1107" s="24" t="n"/>
      <c r="J1107" s="1" t="n"/>
    </row>
    <row r="1108">
      <c r="A1108" s="1" t="n"/>
      <c r="B1108" s="30" t="n"/>
      <c r="C1108" s="23" t="n"/>
      <c r="D1108" s="23" t="n"/>
      <c r="E1108" s="26" t="n"/>
      <c r="F1108" s="25" t="n"/>
      <c r="G1108" s="17">
        <f>IF(D1108="Sale",E1108*F1108,IF(D1108="Return",-E1108*F1108,""))</f>
        <v/>
      </c>
      <c r="H1108" s="17">
        <f>IFERROR(IF(D1108="Sale",E1108*INDEX(Products!$E$6:$E$205,MATCH(C1108,Products!$B$6:$B$205,0)),IF(D1108="Return",-E1108*INDEX(Products!$E$6:$E$205,MATCH(C1108,Products!$B$6:$B$205,0)),"")),"")</f>
        <v/>
      </c>
      <c r="I1108" s="24" t="n"/>
      <c r="J1108" s="1" t="n"/>
    </row>
    <row r="1109">
      <c r="A1109" s="1" t="n"/>
      <c r="B1109" s="30" t="n"/>
      <c r="C1109" s="23" t="n"/>
      <c r="D1109" s="23" t="n"/>
      <c r="E1109" s="26" t="n"/>
      <c r="F1109" s="25" t="n"/>
      <c r="G1109" s="17">
        <f>IF(D1109="Sale",E1109*F1109,IF(D1109="Return",-E1109*F1109,""))</f>
        <v/>
      </c>
      <c r="H1109" s="17">
        <f>IFERROR(IF(D1109="Sale",E1109*INDEX(Products!$E$6:$E$205,MATCH(C1109,Products!$B$6:$B$205,0)),IF(D1109="Return",-E1109*INDEX(Products!$E$6:$E$205,MATCH(C1109,Products!$B$6:$B$205,0)),"")),"")</f>
        <v/>
      </c>
      <c r="I1109" s="24" t="n"/>
      <c r="J1109" s="1" t="n"/>
    </row>
    <row r="1110">
      <c r="A1110" s="1" t="n"/>
      <c r="B1110" s="30" t="n"/>
      <c r="C1110" s="23" t="n"/>
      <c r="D1110" s="23" t="n"/>
      <c r="E1110" s="26" t="n"/>
      <c r="F1110" s="25" t="n"/>
      <c r="G1110" s="17">
        <f>IF(D1110="Sale",E1110*F1110,IF(D1110="Return",-E1110*F1110,""))</f>
        <v/>
      </c>
      <c r="H1110" s="17">
        <f>IFERROR(IF(D1110="Sale",E1110*INDEX(Products!$E$6:$E$205,MATCH(C1110,Products!$B$6:$B$205,0)),IF(D1110="Return",-E1110*INDEX(Products!$E$6:$E$205,MATCH(C1110,Products!$B$6:$B$205,0)),"")),"")</f>
        <v/>
      </c>
      <c r="I1110" s="24" t="n"/>
      <c r="J1110" s="1" t="n"/>
    </row>
    <row r="1111">
      <c r="A1111" s="1" t="n"/>
      <c r="B1111" s="30" t="n"/>
      <c r="C1111" s="23" t="n"/>
      <c r="D1111" s="23" t="n"/>
      <c r="E1111" s="26" t="n"/>
      <c r="F1111" s="25" t="n"/>
      <c r="G1111" s="17">
        <f>IF(D1111="Sale",E1111*F1111,IF(D1111="Return",-E1111*F1111,""))</f>
        <v/>
      </c>
      <c r="H1111" s="17">
        <f>IFERROR(IF(D1111="Sale",E1111*INDEX(Products!$E$6:$E$205,MATCH(C1111,Products!$B$6:$B$205,0)),IF(D1111="Return",-E1111*INDEX(Products!$E$6:$E$205,MATCH(C1111,Products!$B$6:$B$205,0)),"")),"")</f>
        <v/>
      </c>
      <c r="I1111" s="24" t="n"/>
      <c r="J1111" s="1" t="n"/>
    </row>
    <row r="1112">
      <c r="A1112" s="1" t="n"/>
      <c r="B1112" s="30" t="n"/>
      <c r="C1112" s="23" t="n"/>
      <c r="D1112" s="23" t="n"/>
      <c r="E1112" s="26" t="n"/>
      <c r="F1112" s="25" t="n"/>
      <c r="G1112" s="17">
        <f>IF(D1112="Sale",E1112*F1112,IF(D1112="Return",-E1112*F1112,""))</f>
        <v/>
      </c>
      <c r="H1112" s="17">
        <f>IFERROR(IF(D1112="Sale",E1112*INDEX(Products!$E$6:$E$205,MATCH(C1112,Products!$B$6:$B$205,0)),IF(D1112="Return",-E1112*INDEX(Products!$E$6:$E$205,MATCH(C1112,Products!$B$6:$B$205,0)),"")),"")</f>
        <v/>
      </c>
      <c r="I1112" s="24" t="n"/>
      <c r="J1112" s="1" t="n"/>
    </row>
    <row r="1113">
      <c r="A1113" s="1" t="n"/>
      <c r="B1113" s="30" t="n"/>
      <c r="C1113" s="23" t="n"/>
      <c r="D1113" s="23" t="n"/>
      <c r="E1113" s="26" t="n"/>
      <c r="F1113" s="25" t="n"/>
      <c r="G1113" s="17">
        <f>IF(D1113="Sale",E1113*F1113,IF(D1113="Return",-E1113*F1113,""))</f>
        <v/>
      </c>
      <c r="H1113" s="17">
        <f>IFERROR(IF(D1113="Sale",E1113*INDEX(Products!$E$6:$E$205,MATCH(C1113,Products!$B$6:$B$205,0)),IF(D1113="Return",-E1113*INDEX(Products!$E$6:$E$205,MATCH(C1113,Products!$B$6:$B$205,0)),"")),"")</f>
        <v/>
      </c>
      <c r="I1113" s="24" t="n"/>
      <c r="J1113" s="1" t="n"/>
    </row>
    <row r="1114">
      <c r="A1114" s="1" t="n"/>
      <c r="B1114" s="30" t="n"/>
      <c r="C1114" s="23" t="n"/>
      <c r="D1114" s="23" t="n"/>
      <c r="E1114" s="26" t="n"/>
      <c r="F1114" s="25" t="n"/>
      <c r="G1114" s="17">
        <f>IF(D1114="Sale",E1114*F1114,IF(D1114="Return",-E1114*F1114,""))</f>
        <v/>
      </c>
      <c r="H1114" s="17">
        <f>IFERROR(IF(D1114="Sale",E1114*INDEX(Products!$E$6:$E$205,MATCH(C1114,Products!$B$6:$B$205,0)),IF(D1114="Return",-E1114*INDEX(Products!$E$6:$E$205,MATCH(C1114,Products!$B$6:$B$205,0)),"")),"")</f>
        <v/>
      </c>
      <c r="I1114" s="24" t="n"/>
      <c r="J1114" s="1" t="n"/>
    </row>
    <row r="1115">
      <c r="A1115" s="1" t="n"/>
      <c r="B1115" s="30" t="n"/>
      <c r="C1115" s="23" t="n"/>
      <c r="D1115" s="23" t="n"/>
      <c r="E1115" s="26" t="n"/>
      <c r="F1115" s="25" t="n"/>
      <c r="G1115" s="17">
        <f>IF(D1115="Sale",E1115*F1115,IF(D1115="Return",-E1115*F1115,""))</f>
        <v/>
      </c>
      <c r="H1115" s="17">
        <f>IFERROR(IF(D1115="Sale",E1115*INDEX(Products!$E$6:$E$205,MATCH(C1115,Products!$B$6:$B$205,0)),IF(D1115="Return",-E1115*INDEX(Products!$E$6:$E$205,MATCH(C1115,Products!$B$6:$B$205,0)),"")),"")</f>
        <v/>
      </c>
      <c r="I1115" s="24" t="n"/>
      <c r="J1115" s="1" t="n"/>
    </row>
    <row r="1116">
      <c r="A1116" s="1" t="n"/>
      <c r="B1116" s="30" t="n"/>
      <c r="C1116" s="23" t="n"/>
      <c r="D1116" s="23" t="n"/>
      <c r="E1116" s="26" t="n"/>
      <c r="F1116" s="25" t="n"/>
      <c r="G1116" s="17">
        <f>IF(D1116="Sale",E1116*F1116,IF(D1116="Return",-E1116*F1116,""))</f>
        <v/>
      </c>
      <c r="H1116" s="17">
        <f>IFERROR(IF(D1116="Sale",E1116*INDEX(Products!$E$6:$E$205,MATCH(C1116,Products!$B$6:$B$205,0)),IF(D1116="Return",-E1116*INDEX(Products!$E$6:$E$205,MATCH(C1116,Products!$B$6:$B$205,0)),"")),"")</f>
        <v/>
      </c>
      <c r="I1116" s="24" t="n"/>
      <c r="J1116" s="1" t="n"/>
    </row>
    <row r="1117">
      <c r="A1117" s="1" t="n"/>
      <c r="B1117" s="30" t="n"/>
      <c r="C1117" s="23" t="n"/>
      <c r="D1117" s="23" t="n"/>
      <c r="E1117" s="26" t="n"/>
      <c r="F1117" s="25" t="n"/>
      <c r="G1117" s="17">
        <f>IF(D1117="Sale",E1117*F1117,IF(D1117="Return",-E1117*F1117,""))</f>
        <v/>
      </c>
      <c r="H1117" s="17">
        <f>IFERROR(IF(D1117="Sale",E1117*INDEX(Products!$E$6:$E$205,MATCH(C1117,Products!$B$6:$B$205,0)),IF(D1117="Return",-E1117*INDEX(Products!$E$6:$E$205,MATCH(C1117,Products!$B$6:$B$205,0)),"")),"")</f>
        <v/>
      </c>
      <c r="I1117" s="24" t="n"/>
      <c r="J1117" s="1" t="n"/>
    </row>
    <row r="1118">
      <c r="A1118" s="1" t="n"/>
      <c r="B1118" s="30" t="n"/>
      <c r="C1118" s="23" t="n"/>
      <c r="D1118" s="23" t="n"/>
      <c r="E1118" s="26" t="n"/>
      <c r="F1118" s="25" t="n"/>
      <c r="G1118" s="17">
        <f>IF(D1118="Sale",E1118*F1118,IF(D1118="Return",-E1118*F1118,""))</f>
        <v/>
      </c>
      <c r="H1118" s="17">
        <f>IFERROR(IF(D1118="Sale",E1118*INDEX(Products!$E$6:$E$205,MATCH(C1118,Products!$B$6:$B$205,0)),IF(D1118="Return",-E1118*INDEX(Products!$E$6:$E$205,MATCH(C1118,Products!$B$6:$B$205,0)),"")),"")</f>
        <v/>
      </c>
      <c r="I1118" s="24" t="n"/>
      <c r="J1118" s="1" t="n"/>
    </row>
    <row r="1119">
      <c r="A1119" s="1" t="n"/>
      <c r="B1119" s="30" t="n"/>
      <c r="C1119" s="23" t="n"/>
      <c r="D1119" s="23" t="n"/>
      <c r="E1119" s="26" t="n"/>
      <c r="F1119" s="25" t="n"/>
      <c r="G1119" s="17">
        <f>IF(D1119="Sale",E1119*F1119,IF(D1119="Return",-E1119*F1119,""))</f>
        <v/>
      </c>
      <c r="H1119" s="17">
        <f>IFERROR(IF(D1119="Sale",E1119*INDEX(Products!$E$6:$E$205,MATCH(C1119,Products!$B$6:$B$205,0)),IF(D1119="Return",-E1119*INDEX(Products!$E$6:$E$205,MATCH(C1119,Products!$B$6:$B$205,0)),"")),"")</f>
        <v/>
      </c>
      <c r="I1119" s="24" t="n"/>
      <c r="J1119" s="1" t="n"/>
    </row>
    <row r="1120">
      <c r="A1120" s="1" t="n"/>
      <c r="B1120" s="30" t="n"/>
      <c r="C1120" s="23" t="n"/>
      <c r="D1120" s="23" t="n"/>
      <c r="E1120" s="26" t="n"/>
      <c r="F1120" s="25" t="n"/>
      <c r="G1120" s="17">
        <f>IF(D1120="Sale",E1120*F1120,IF(D1120="Return",-E1120*F1120,""))</f>
        <v/>
      </c>
      <c r="H1120" s="17">
        <f>IFERROR(IF(D1120="Sale",E1120*INDEX(Products!$E$6:$E$205,MATCH(C1120,Products!$B$6:$B$205,0)),IF(D1120="Return",-E1120*INDEX(Products!$E$6:$E$205,MATCH(C1120,Products!$B$6:$B$205,0)),"")),"")</f>
        <v/>
      </c>
      <c r="I1120" s="24" t="n"/>
      <c r="J1120" s="1" t="n"/>
    </row>
    <row r="1121">
      <c r="A1121" s="1" t="n"/>
      <c r="B1121" s="30" t="n"/>
      <c r="C1121" s="23" t="n"/>
      <c r="D1121" s="23" t="n"/>
      <c r="E1121" s="26" t="n"/>
      <c r="F1121" s="25" t="n"/>
      <c r="G1121" s="17">
        <f>IF(D1121="Sale",E1121*F1121,IF(D1121="Return",-E1121*F1121,""))</f>
        <v/>
      </c>
      <c r="H1121" s="17">
        <f>IFERROR(IF(D1121="Sale",E1121*INDEX(Products!$E$6:$E$205,MATCH(C1121,Products!$B$6:$B$205,0)),IF(D1121="Return",-E1121*INDEX(Products!$E$6:$E$205,MATCH(C1121,Products!$B$6:$B$205,0)),"")),"")</f>
        <v/>
      </c>
      <c r="I1121" s="24" t="n"/>
      <c r="J1121" s="1" t="n"/>
    </row>
    <row r="1122">
      <c r="A1122" s="1" t="n"/>
      <c r="B1122" s="30" t="n"/>
      <c r="C1122" s="23" t="n"/>
      <c r="D1122" s="23" t="n"/>
      <c r="E1122" s="26" t="n"/>
      <c r="F1122" s="25" t="n"/>
      <c r="G1122" s="17">
        <f>IF(D1122="Sale",E1122*F1122,IF(D1122="Return",-E1122*F1122,""))</f>
        <v/>
      </c>
      <c r="H1122" s="17">
        <f>IFERROR(IF(D1122="Sale",E1122*INDEX(Products!$E$6:$E$205,MATCH(C1122,Products!$B$6:$B$205,0)),IF(D1122="Return",-E1122*INDEX(Products!$E$6:$E$205,MATCH(C1122,Products!$B$6:$B$205,0)),"")),"")</f>
        <v/>
      </c>
      <c r="I1122" s="24" t="n"/>
      <c r="J1122" s="1" t="n"/>
    </row>
    <row r="1123">
      <c r="A1123" s="1" t="n"/>
      <c r="B1123" s="30" t="n"/>
      <c r="C1123" s="23" t="n"/>
      <c r="D1123" s="23" t="n"/>
      <c r="E1123" s="26" t="n"/>
      <c r="F1123" s="25" t="n"/>
      <c r="G1123" s="17">
        <f>IF(D1123="Sale",E1123*F1123,IF(D1123="Return",-E1123*F1123,""))</f>
        <v/>
      </c>
      <c r="H1123" s="17">
        <f>IFERROR(IF(D1123="Sale",E1123*INDEX(Products!$E$6:$E$205,MATCH(C1123,Products!$B$6:$B$205,0)),IF(D1123="Return",-E1123*INDEX(Products!$E$6:$E$205,MATCH(C1123,Products!$B$6:$B$205,0)),"")),"")</f>
        <v/>
      </c>
      <c r="I1123" s="24" t="n"/>
      <c r="J1123" s="1" t="n"/>
    </row>
    <row r="1124">
      <c r="A1124" s="1" t="n"/>
      <c r="B1124" s="30" t="n"/>
      <c r="C1124" s="23" t="n"/>
      <c r="D1124" s="23" t="n"/>
      <c r="E1124" s="26" t="n"/>
      <c r="F1124" s="25" t="n"/>
      <c r="G1124" s="17">
        <f>IF(D1124="Sale",E1124*F1124,IF(D1124="Return",-E1124*F1124,""))</f>
        <v/>
      </c>
      <c r="H1124" s="17">
        <f>IFERROR(IF(D1124="Sale",E1124*INDEX(Products!$E$6:$E$205,MATCH(C1124,Products!$B$6:$B$205,0)),IF(D1124="Return",-E1124*INDEX(Products!$E$6:$E$205,MATCH(C1124,Products!$B$6:$B$205,0)),"")),"")</f>
        <v/>
      </c>
      <c r="I1124" s="24" t="n"/>
      <c r="J1124" s="1" t="n"/>
    </row>
    <row r="1125">
      <c r="A1125" s="1" t="n"/>
      <c r="B1125" s="30" t="n"/>
      <c r="C1125" s="23" t="n"/>
      <c r="D1125" s="23" t="n"/>
      <c r="E1125" s="26" t="n"/>
      <c r="F1125" s="25" t="n"/>
      <c r="G1125" s="17">
        <f>IF(D1125="Sale",E1125*F1125,IF(D1125="Return",-E1125*F1125,""))</f>
        <v/>
      </c>
      <c r="H1125" s="17">
        <f>IFERROR(IF(D1125="Sale",E1125*INDEX(Products!$E$6:$E$205,MATCH(C1125,Products!$B$6:$B$205,0)),IF(D1125="Return",-E1125*INDEX(Products!$E$6:$E$205,MATCH(C1125,Products!$B$6:$B$205,0)),"")),"")</f>
        <v/>
      </c>
      <c r="I1125" s="24" t="n"/>
      <c r="J1125" s="1" t="n"/>
    </row>
    <row r="1126">
      <c r="A1126" s="1" t="n"/>
      <c r="B1126" s="30" t="n"/>
      <c r="C1126" s="23" t="n"/>
      <c r="D1126" s="23" t="n"/>
      <c r="E1126" s="26" t="n"/>
      <c r="F1126" s="25" t="n"/>
      <c r="G1126" s="17">
        <f>IF(D1126="Sale",E1126*F1126,IF(D1126="Return",-E1126*F1126,""))</f>
        <v/>
      </c>
      <c r="H1126" s="17">
        <f>IFERROR(IF(D1126="Sale",E1126*INDEX(Products!$E$6:$E$205,MATCH(C1126,Products!$B$6:$B$205,0)),IF(D1126="Return",-E1126*INDEX(Products!$E$6:$E$205,MATCH(C1126,Products!$B$6:$B$205,0)),"")),"")</f>
        <v/>
      </c>
      <c r="I1126" s="24" t="n"/>
      <c r="J1126" s="1" t="n"/>
    </row>
    <row r="1127">
      <c r="A1127" s="1" t="n"/>
      <c r="B1127" s="30" t="n"/>
      <c r="C1127" s="23" t="n"/>
      <c r="D1127" s="23" t="n"/>
      <c r="E1127" s="26" t="n"/>
      <c r="F1127" s="25" t="n"/>
      <c r="G1127" s="17">
        <f>IF(D1127="Sale",E1127*F1127,IF(D1127="Return",-E1127*F1127,""))</f>
        <v/>
      </c>
      <c r="H1127" s="17">
        <f>IFERROR(IF(D1127="Sale",E1127*INDEX(Products!$E$6:$E$205,MATCH(C1127,Products!$B$6:$B$205,0)),IF(D1127="Return",-E1127*INDEX(Products!$E$6:$E$205,MATCH(C1127,Products!$B$6:$B$205,0)),"")),"")</f>
        <v/>
      </c>
      <c r="I1127" s="24" t="n"/>
      <c r="J1127" s="1" t="n"/>
    </row>
    <row r="1128">
      <c r="A1128" s="1" t="n"/>
      <c r="B1128" s="30" t="n"/>
      <c r="C1128" s="23" t="n"/>
      <c r="D1128" s="23" t="n"/>
      <c r="E1128" s="26" t="n"/>
      <c r="F1128" s="25" t="n"/>
      <c r="G1128" s="17">
        <f>IF(D1128="Sale",E1128*F1128,IF(D1128="Return",-E1128*F1128,""))</f>
        <v/>
      </c>
      <c r="H1128" s="17">
        <f>IFERROR(IF(D1128="Sale",E1128*INDEX(Products!$E$6:$E$205,MATCH(C1128,Products!$B$6:$B$205,0)),IF(D1128="Return",-E1128*INDEX(Products!$E$6:$E$205,MATCH(C1128,Products!$B$6:$B$205,0)),"")),"")</f>
        <v/>
      </c>
      <c r="I1128" s="24" t="n"/>
      <c r="J1128" s="1" t="n"/>
    </row>
    <row r="1129">
      <c r="A1129" s="1" t="n"/>
      <c r="B1129" s="30" t="n"/>
      <c r="C1129" s="23" t="n"/>
      <c r="D1129" s="23" t="n"/>
      <c r="E1129" s="26" t="n"/>
      <c r="F1129" s="25" t="n"/>
      <c r="G1129" s="17">
        <f>IF(D1129="Sale",E1129*F1129,IF(D1129="Return",-E1129*F1129,""))</f>
        <v/>
      </c>
      <c r="H1129" s="17">
        <f>IFERROR(IF(D1129="Sale",E1129*INDEX(Products!$E$6:$E$205,MATCH(C1129,Products!$B$6:$B$205,0)),IF(D1129="Return",-E1129*INDEX(Products!$E$6:$E$205,MATCH(C1129,Products!$B$6:$B$205,0)),"")),"")</f>
        <v/>
      </c>
      <c r="I1129" s="24" t="n"/>
      <c r="J1129" s="1" t="n"/>
    </row>
    <row r="1130">
      <c r="A1130" s="1" t="n"/>
      <c r="B1130" s="30" t="n"/>
      <c r="C1130" s="23" t="n"/>
      <c r="D1130" s="23" t="n"/>
      <c r="E1130" s="26" t="n"/>
      <c r="F1130" s="25" t="n"/>
      <c r="G1130" s="17">
        <f>IF(D1130="Sale",E1130*F1130,IF(D1130="Return",-E1130*F1130,""))</f>
        <v/>
      </c>
      <c r="H1130" s="17">
        <f>IFERROR(IF(D1130="Sale",E1130*INDEX(Products!$E$6:$E$205,MATCH(C1130,Products!$B$6:$B$205,0)),IF(D1130="Return",-E1130*INDEX(Products!$E$6:$E$205,MATCH(C1130,Products!$B$6:$B$205,0)),"")),"")</f>
        <v/>
      </c>
      <c r="I1130" s="24" t="n"/>
      <c r="J1130" s="1" t="n"/>
    </row>
    <row r="1131">
      <c r="A1131" s="1" t="n"/>
      <c r="B1131" s="30" t="n"/>
      <c r="C1131" s="23" t="n"/>
      <c r="D1131" s="23" t="n"/>
      <c r="E1131" s="26" t="n"/>
      <c r="F1131" s="25" t="n"/>
      <c r="G1131" s="17">
        <f>IF(D1131="Sale",E1131*F1131,IF(D1131="Return",-E1131*F1131,""))</f>
        <v/>
      </c>
      <c r="H1131" s="17">
        <f>IFERROR(IF(D1131="Sale",E1131*INDEX(Products!$E$6:$E$205,MATCH(C1131,Products!$B$6:$B$205,0)),IF(D1131="Return",-E1131*INDEX(Products!$E$6:$E$205,MATCH(C1131,Products!$B$6:$B$205,0)),"")),"")</f>
        <v/>
      </c>
      <c r="I1131" s="24" t="n"/>
      <c r="J1131" s="1" t="n"/>
    </row>
    <row r="1132">
      <c r="A1132" s="1" t="n"/>
      <c r="B1132" s="30" t="n"/>
      <c r="C1132" s="23" t="n"/>
      <c r="D1132" s="23" t="n"/>
      <c r="E1132" s="26" t="n"/>
      <c r="F1132" s="25" t="n"/>
      <c r="G1132" s="17">
        <f>IF(D1132="Sale",E1132*F1132,IF(D1132="Return",-E1132*F1132,""))</f>
        <v/>
      </c>
      <c r="H1132" s="17">
        <f>IFERROR(IF(D1132="Sale",E1132*INDEX(Products!$E$6:$E$205,MATCH(C1132,Products!$B$6:$B$205,0)),IF(D1132="Return",-E1132*INDEX(Products!$E$6:$E$205,MATCH(C1132,Products!$B$6:$B$205,0)),"")),"")</f>
        <v/>
      </c>
      <c r="I1132" s="24" t="n"/>
      <c r="J1132" s="1" t="n"/>
    </row>
    <row r="1133">
      <c r="A1133" s="1" t="n"/>
      <c r="B1133" s="30" t="n"/>
      <c r="C1133" s="23" t="n"/>
      <c r="D1133" s="23" t="n"/>
      <c r="E1133" s="26" t="n"/>
      <c r="F1133" s="25" t="n"/>
      <c r="G1133" s="17">
        <f>IF(D1133="Sale",E1133*F1133,IF(D1133="Return",-E1133*F1133,""))</f>
        <v/>
      </c>
      <c r="H1133" s="17">
        <f>IFERROR(IF(D1133="Sale",E1133*INDEX(Products!$E$6:$E$205,MATCH(C1133,Products!$B$6:$B$205,0)),IF(D1133="Return",-E1133*INDEX(Products!$E$6:$E$205,MATCH(C1133,Products!$B$6:$B$205,0)),"")),"")</f>
        <v/>
      </c>
      <c r="I1133" s="24" t="n"/>
      <c r="J1133" s="1" t="n"/>
    </row>
    <row r="1134">
      <c r="A1134" s="1" t="n"/>
      <c r="B1134" s="30" t="n"/>
      <c r="C1134" s="23" t="n"/>
      <c r="D1134" s="23" t="n"/>
      <c r="E1134" s="26" t="n"/>
      <c r="F1134" s="25" t="n"/>
      <c r="G1134" s="17">
        <f>IF(D1134="Sale",E1134*F1134,IF(D1134="Return",-E1134*F1134,""))</f>
        <v/>
      </c>
      <c r="H1134" s="17">
        <f>IFERROR(IF(D1134="Sale",E1134*INDEX(Products!$E$6:$E$205,MATCH(C1134,Products!$B$6:$B$205,0)),IF(D1134="Return",-E1134*INDEX(Products!$E$6:$E$205,MATCH(C1134,Products!$B$6:$B$205,0)),"")),"")</f>
        <v/>
      </c>
      <c r="I1134" s="24" t="n"/>
      <c r="J1134" s="1" t="n"/>
    </row>
    <row r="1135">
      <c r="A1135" s="1" t="n"/>
      <c r="B1135" s="30" t="n"/>
      <c r="C1135" s="23" t="n"/>
      <c r="D1135" s="23" t="n"/>
      <c r="E1135" s="26" t="n"/>
      <c r="F1135" s="25" t="n"/>
      <c r="G1135" s="17">
        <f>IF(D1135="Sale",E1135*F1135,IF(D1135="Return",-E1135*F1135,""))</f>
        <v/>
      </c>
      <c r="H1135" s="17">
        <f>IFERROR(IF(D1135="Sale",E1135*INDEX(Products!$E$6:$E$205,MATCH(C1135,Products!$B$6:$B$205,0)),IF(D1135="Return",-E1135*INDEX(Products!$E$6:$E$205,MATCH(C1135,Products!$B$6:$B$205,0)),"")),"")</f>
        <v/>
      </c>
      <c r="I1135" s="24" t="n"/>
      <c r="J1135" s="1" t="n"/>
    </row>
    <row r="1136">
      <c r="A1136" s="1" t="n"/>
      <c r="B1136" s="30" t="n"/>
      <c r="C1136" s="23" t="n"/>
      <c r="D1136" s="23" t="n"/>
      <c r="E1136" s="26" t="n"/>
      <c r="F1136" s="25" t="n"/>
      <c r="G1136" s="17">
        <f>IF(D1136="Sale",E1136*F1136,IF(D1136="Return",-E1136*F1136,""))</f>
        <v/>
      </c>
      <c r="H1136" s="17">
        <f>IFERROR(IF(D1136="Sale",E1136*INDEX(Products!$E$6:$E$205,MATCH(C1136,Products!$B$6:$B$205,0)),IF(D1136="Return",-E1136*INDEX(Products!$E$6:$E$205,MATCH(C1136,Products!$B$6:$B$205,0)),"")),"")</f>
        <v/>
      </c>
      <c r="I1136" s="24" t="n"/>
      <c r="J1136" s="1" t="n"/>
    </row>
    <row r="1137">
      <c r="A1137" s="1" t="n"/>
      <c r="B1137" s="30" t="n"/>
      <c r="C1137" s="23" t="n"/>
      <c r="D1137" s="23" t="n"/>
      <c r="E1137" s="26" t="n"/>
      <c r="F1137" s="25" t="n"/>
      <c r="G1137" s="17">
        <f>IF(D1137="Sale",E1137*F1137,IF(D1137="Return",-E1137*F1137,""))</f>
        <v/>
      </c>
      <c r="H1137" s="17">
        <f>IFERROR(IF(D1137="Sale",E1137*INDEX(Products!$E$6:$E$205,MATCH(C1137,Products!$B$6:$B$205,0)),IF(D1137="Return",-E1137*INDEX(Products!$E$6:$E$205,MATCH(C1137,Products!$B$6:$B$205,0)),"")),"")</f>
        <v/>
      </c>
      <c r="I1137" s="24" t="n"/>
      <c r="J1137" s="1" t="n"/>
    </row>
    <row r="1138">
      <c r="A1138" s="1" t="n"/>
      <c r="B1138" s="30" t="n"/>
      <c r="C1138" s="23" t="n"/>
      <c r="D1138" s="23" t="n"/>
      <c r="E1138" s="26" t="n"/>
      <c r="F1138" s="25" t="n"/>
      <c r="G1138" s="17">
        <f>IF(D1138="Sale",E1138*F1138,IF(D1138="Return",-E1138*F1138,""))</f>
        <v/>
      </c>
      <c r="H1138" s="17">
        <f>IFERROR(IF(D1138="Sale",E1138*INDEX(Products!$E$6:$E$205,MATCH(C1138,Products!$B$6:$B$205,0)),IF(D1138="Return",-E1138*INDEX(Products!$E$6:$E$205,MATCH(C1138,Products!$B$6:$B$205,0)),"")),"")</f>
        <v/>
      </c>
      <c r="I1138" s="24" t="n"/>
      <c r="J1138" s="1" t="n"/>
    </row>
    <row r="1139">
      <c r="A1139" s="1" t="n"/>
      <c r="B1139" s="30" t="n"/>
      <c r="C1139" s="23" t="n"/>
      <c r="D1139" s="23" t="n"/>
      <c r="E1139" s="26" t="n"/>
      <c r="F1139" s="25" t="n"/>
      <c r="G1139" s="17">
        <f>IF(D1139="Sale",E1139*F1139,IF(D1139="Return",-E1139*F1139,""))</f>
        <v/>
      </c>
      <c r="H1139" s="17">
        <f>IFERROR(IF(D1139="Sale",E1139*INDEX(Products!$E$6:$E$205,MATCH(C1139,Products!$B$6:$B$205,0)),IF(D1139="Return",-E1139*INDEX(Products!$E$6:$E$205,MATCH(C1139,Products!$B$6:$B$205,0)),"")),"")</f>
        <v/>
      </c>
      <c r="I1139" s="24" t="n"/>
      <c r="J1139" s="1" t="n"/>
    </row>
    <row r="1140">
      <c r="A1140" s="1" t="n"/>
      <c r="B1140" s="30" t="n"/>
      <c r="C1140" s="23" t="n"/>
      <c r="D1140" s="23" t="n"/>
      <c r="E1140" s="26" t="n"/>
      <c r="F1140" s="25" t="n"/>
      <c r="G1140" s="17">
        <f>IF(D1140="Sale",E1140*F1140,IF(D1140="Return",-E1140*F1140,""))</f>
        <v/>
      </c>
      <c r="H1140" s="17">
        <f>IFERROR(IF(D1140="Sale",E1140*INDEX(Products!$E$6:$E$205,MATCH(C1140,Products!$B$6:$B$205,0)),IF(D1140="Return",-E1140*INDEX(Products!$E$6:$E$205,MATCH(C1140,Products!$B$6:$B$205,0)),"")),"")</f>
        <v/>
      </c>
      <c r="I1140" s="24" t="n"/>
      <c r="J1140" s="1" t="n"/>
    </row>
    <row r="1141">
      <c r="A1141" s="1" t="n"/>
      <c r="B1141" s="30" t="n"/>
      <c r="C1141" s="23" t="n"/>
      <c r="D1141" s="23" t="n"/>
      <c r="E1141" s="26" t="n"/>
      <c r="F1141" s="25" t="n"/>
      <c r="G1141" s="17">
        <f>IF(D1141="Sale",E1141*F1141,IF(D1141="Return",-E1141*F1141,""))</f>
        <v/>
      </c>
      <c r="H1141" s="17">
        <f>IFERROR(IF(D1141="Sale",E1141*INDEX(Products!$E$6:$E$205,MATCH(C1141,Products!$B$6:$B$205,0)),IF(D1141="Return",-E1141*INDEX(Products!$E$6:$E$205,MATCH(C1141,Products!$B$6:$B$205,0)),"")),"")</f>
        <v/>
      </c>
      <c r="I1141" s="24" t="n"/>
      <c r="J1141" s="1" t="n"/>
    </row>
    <row r="1142">
      <c r="A1142" s="1" t="n"/>
      <c r="B1142" s="30" t="n"/>
      <c r="C1142" s="23" t="n"/>
      <c r="D1142" s="23" t="n"/>
      <c r="E1142" s="26" t="n"/>
      <c r="F1142" s="25" t="n"/>
      <c r="G1142" s="17">
        <f>IF(D1142="Sale",E1142*F1142,IF(D1142="Return",-E1142*F1142,""))</f>
        <v/>
      </c>
      <c r="H1142" s="17">
        <f>IFERROR(IF(D1142="Sale",E1142*INDEX(Products!$E$6:$E$205,MATCH(C1142,Products!$B$6:$B$205,0)),IF(D1142="Return",-E1142*INDEX(Products!$E$6:$E$205,MATCH(C1142,Products!$B$6:$B$205,0)),"")),"")</f>
        <v/>
      </c>
      <c r="I1142" s="24" t="n"/>
      <c r="J1142" s="1" t="n"/>
    </row>
    <row r="1143">
      <c r="A1143" s="1" t="n"/>
      <c r="B1143" s="30" t="n"/>
      <c r="C1143" s="23" t="n"/>
      <c r="D1143" s="23" t="n"/>
      <c r="E1143" s="26" t="n"/>
      <c r="F1143" s="25" t="n"/>
      <c r="G1143" s="17">
        <f>IF(D1143="Sale",E1143*F1143,IF(D1143="Return",-E1143*F1143,""))</f>
        <v/>
      </c>
      <c r="H1143" s="17">
        <f>IFERROR(IF(D1143="Sale",E1143*INDEX(Products!$E$6:$E$205,MATCH(C1143,Products!$B$6:$B$205,0)),IF(D1143="Return",-E1143*INDEX(Products!$E$6:$E$205,MATCH(C1143,Products!$B$6:$B$205,0)),"")),"")</f>
        <v/>
      </c>
      <c r="I1143" s="24" t="n"/>
      <c r="J1143" s="1" t="n"/>
    </row>
    <row r="1144">
      <c r="A1144" s="1" t="n"/>
      <c r="B1144" s="30" t="n"/>
      <c r="C1144" s="23" t="n"/>
      <c r="D1144" s="23" t="n"/>
      <c r="E1144" s="26" t="n"/>
      <c r="F1144" s="25" t="n"/>
      <c r="G1144" s="17">
        <f>IF(D1144="Sale",E1144*F1144,IF(D1144="Return",-E1144*F1144,""))</f>
        <v/>
      </c>
      <c r="H1144" s="17">
        <f>IFERROR(IF(D1144="Sale",E1144*INDEX(Products!$E$6:$E$205,MATCH(C1144,Products!$B$6:$B$205,0)),IF(D1144="Return",-E1144*INDEX(Products!$E$6:$E$205,MATCH(C1144,Products!$B$6:$B$205,0)),"")),"")</f>
        <v/>
      </c>
      <c r="I1144" s="24" t="n"/>
      <c r="J1144" s="1" t="n"/>
    </row>
    <row r="1145">
      <c r="A1145" s="1" t="n"/>
      <c r="B1145" s="30" t="n"/>
      <c r="C1145" s="23" t="n"/>
      <c r="D1145" s="23" t="n"/>
      <c r="E1145" s="26" t="n"/>
      <c r="F1145" s="25" t="n"/>
      <c r="G1145" s="17">
        <f>IF(D1145="Sale",E1145*F1145,IF(D1145="Return",-E1145*F1145,""))</f>
        <v/>
      </c>
      <c r="H1145" s="17">
        <f>IFERROR(IF(D1145="Sale",E1145*INDEX(Products!$E$6:$E$205,MATCH(C1145,Products!$B$6:$B$205,0)),IF(D1145="Return",-E1145*INDEX(Products!$E$6:$E$205,MATCH(C1145,Products!$B$6:$B$205,0)),"")),"")</f>
        <v/>
      </c>
      <c r="I1145" s="24" t="n"/>
      <c r="J1145" s="1" t="n"/>
    </row>
    <row r="1146">
      <c r="A1146" s="1" t="n"/>
      <c r="B1146" s="30" t="n"/>
      <c r="C1146" s="23" t="n"/>
      <c r="D1146" s="23" t="n"/>
      <c r="E1146" s="26" t="n"/>
      <c r="F1146" s="25" t="n"/>
      <c r="G1146" s="17">
        <f>IF(D1146="Sale",E1146*F1146,IF(D1146="Return",-E1146*F1146,""))</f>
        <v/>
      </c>
      <c r="H1146" s="17">
        <f>IFERROR(IF(D1146="Sale",E1146*INDEX(Products!$E$6:$E$205,MATCH(C1146,Products!$B$6:$B$205,0)),IF(D1146="Return",-E1146*INDEX(Products!$E$6:$E$205,MATCH(C1146,Products!$B$6:$B$205,0)),"")),"")</f>
        <v/>
      </c>
      <c r="I1146" s="24" t="n"/>
      <c r="J1146" s="1" t="n"/>
    </row>
    <row r="1147">
      <c r="A1147" s="1" t="n"/>
      <c r="B1147" s="30" t="n"/>
      <c r="C1147" s="23" t="n"/>
      <c r="D1147" s="23" t="n"/>
      <c r="E1147" s="26" t="n"/>
      <c r="F1147" s="25" t="n"/>
      <c r="G1147" s="17">
        <f>IF(D1147="Sale",E1147*F1147,IF(D1147="Return",-E1147*F1147,""))</f>
        <v/>
      </c>
      <c r="H1147" s="17">
        <f>IFERROR(IF(D1147="Sale",E1147*INDEX(Products!$E$6:$E$205,MATCH(C1147,Products!$B$6:$B$205,0)),IF(D1147="Return",-E1147*INDEX(Products!$E$6:$E$205,MATCH(C1147,Products!$B$6:$B$205,0)),"")),"")</f>
        <v/>
      </c>
      <c r="I1147" s="24" t="n"/>
      <c r="J1147" s="1" t="n"/>
    </row>
    <row r="1148">
      <c r="A1148" s="1" t="n"/>
      <c r="B1148" s="30" t="n"/>
      <c r="C1148" s="23" t="n"/>
      <c r="D1148" s="23" t="n"/>
      <c r="E1148" s="26" t="n"/>
      <c r="F1148" s="25" t="n"/>
      <c r="G1148" s="17">
        <f>IF(D1148="Sale",E1148*F1148,IF(D1148="Return",-E1148*F1148,""))</f>
        <v/>
      </c>
      <c r="H1148" s="17">
        <f>IFERROR(IF(D1148="Sale",E1148*INDEX(Products!$E$6:$E$205,MATCH(C1148,Products!$B$6:$B$205,0)),IF(D1148="Return",-E1148*INDEX(Products!$E$6:$E$205,MATCH(C1148,Products!$B$6:$B$205,0)),"")),"")</f>
        <v/>
      </c>
      <c r="I1148" s="24" t="n"/>
      <c r="J1148" s="1" t="n"/>
    </row>
    <row r="1149">
      <c r="A1149" s="1" t="n"/>
      <c r="B1149" s="30" t="n"/>
      <c r="C1149" s="23" t="n"/>
      <c r="D1149" s="23" t="n"/>
      <c r="E1149" s="26" t="n"/>
      <c r="F1149" s="25" t="n"/>
      <c r="G1149" s="17">
        <f>IF(D1149="Sale",E1149*F1149,IF(D1149="Return",-E1149*F1149,""))</f>
        <v/>
      </c>
      <c r="H1149" s="17">
        <f>IFERROR(IF(D1149="Sale",E1149*INDEX(Products!$E$6:$E$205,MATCH(C1149,Products!$B$6:$B$205,0)),IF(D1149="Return",-E1149*INDEX(Products!$E$6:$E$205,MATCH(C1149,Products!$B$6:$B$205,0)),"")),"")</f>
        <v/>
      </c>
      <c r="I1149" s="24" t="n"/>
      <c r="J1149" s="1" t="n"/>
    </row>
    <row r="1150">
      <c r="A1150" s="1" t="n"/>
      <c r="B1150" s="30" t="n"/>
      <c r="C1150" s="23" t="n"/>
      <c r="D1150" s="23" t="n"/>
      <c r="E1150" s="26" t="n"/>
      <c r="F1150" s="25" t="n"/>
      <c r="G1150" s="17">
        <f>IF(D1150="Sale",E1150*F1150,IF(D1150="Return",-E1150*F1150,""))</f>
        <v/>
      </c>
      <c r="H1150" s="17">
        <f>IFERROR(IF(D1150="Sale",E1150*INDEX(Products!$E$6:$E$205,MATCH(C1150,Products!$B$6:$B$205,0)),IF(D1150="Return",-E1150*INDEX(Products!$E$6:$E$205,MATCH(C1150,Products!$B$6:$B$205,0)),"")),"")</f>
        <v/>
      </c>
      <c r="I1150" s="24" t="n"/>
      <c r="J1150" s="1" t="n"/>
    </row>
    <row r="1151">
      <c r="A1151" s="1" t="n"/>
      <c r="B1151" s="30" t="n"/>
      <c r="C1151" s="23" t="n"/>
      <c r="D1151" s="23" t="n"/>
      <c r="E1151" s="26" t="n"/>
      <c r="F1151" s="25" t="n"/>
      <c r="G1151" s="17">
        <f>IF(D1151="Sale",E1151*F1151,IF(D1151="Return",-E1151*F1151,""))</f>
        <v/>
      </c>
      <c r="H1151" s="17">
        <f>IFERROR(IF(D1151="Sale",E1151*INDEX(Products!$E$6:$E$205,MATCH(C1151,Products!$B$6:$B$205,0)),IF(D1151="Return",-E1151*INDEX(Products!$E$6:$E$205,MATCH(C1151,Products!$B$6:$B$205,0)),"")),"")</f>
        <v/>
      </c>
      <c r="I1151" s="24" t="n"/>
      <c r="J1151" s="1" t="n"/>
    </row>
    <row r="1152">
      <c r="A1152" s="1" t="n"/>
      <c r="B1152" s="30" t="n"/>
      <c r="C1152" s="23" t="n"/>
      <c r="D1152" s="23" t="n"/>
      <c r="E1152" s="26" t="n"/>
      <c r="F1152" s="25" t="n"/>
      <c r="G1152" s="17">
        <f>IF(D1152="Sale",E1152*F1152,IF(D1152="Return",-E1152*F1152,""))</f>
        <v/>
      </c>
      <c r="H1152" s="17">
        <f>IFERROR(IF(D1152="Sale",E1152*INDEX(Products!$E$6:$E$205,MATCH(C1152,Products!$B$6:$B$205,0)),IF(D1152="Return",-E1152*INDEX(Products!$E$6:$E$205,MATCH(C1152,Products!$B$6:$B$205,0)),"")),"")</f>
        <v/>
      </c>
      <c r="I1152" s="24" t="n"/>
      <c r="J1152" s="1" t="n"/>
    </row>
    <row r="1153">
      <c r="A1153" s="1" t="n"/>
      <c r="B1153" s="30" t="n"/>
      <c r="C1153" s="23" t="n"/>
      <c r="D1153" s="23" t="n"/>
      <c r="E1153" s="26" t="n"/>
      <c r="F1153" s="25" t="n"/>
      <c r="G1153" s="17">
        <f>IF(D1153="Sale",E1153*F1153,IF(D1153="Return",-E1153*F1153,""))</f>
        <v/>
      </c>
      <c r="H1153" s="17">
        <f>IFERROR(IF(D1153="Sale",E1153*INDEX(Products!$E$6:$E$205,MATCH(C1153,Products!$B$6:$B$205,0)),IF(D1153="Return",-E1153*INDEX(Products!$E$6:$E$205,MATCH(C1153,Products!$B$6:$B$205,0)),"")),"")</f>
        <v/>
      </c>
      <c r="I1153" s="24" t="n"/>
      <c r="J1153" s="1" t="n"/>
    </row>
    <row r="1154">
      <c r="A1154" s="1" t="n"/>
      <c r="B1154" s="30" t="n"/>
      <c r="C1154" s="23" t="n"/>
      <c r="D1154" s="23" t="n"/>
      <c r="E1154" s="26" t="n"/>
      <c r="F1154" s="25" t="n"/>
      <c r="G1154" s="17">
        <f>IF(D1154="Sale",E1154*F1154,IF(D1154="Return",-E1154*F1154,""))</f>
        <v/>
      </c>
      <c r="H1154" s="17">
        <f>IFERROR(IF(D1154="Sale",E1154*INDEX(Products!$E$6:$E$205,MATCH(C1154,Products!$B$6:$B$205,0)),IF(D1154="Return",-E1154*INDEX(Products!$E$6:$E$205,MATCH(C1154,Products!$B$6:$B$205,0)),"")),"")</f>
        <v/>
      </c>
      <c r="I1154" s="24" t="n"/>
      <c r="J1154" s="1" t="n"/>
    </row>
    <row r="1155">
      <c r="A1155" s="1" t="n"/>
      <c r="B1155" s="30" t="n"/>
      <c r="C1155" s="23" t="n"/>
      <c r="D1155" s="23" t="n"/>
      <c r="E1155" s="26" t="n"/>
      <c r="F1155" s="25" t="n"/>
      <c r="G1155" s="17">
        <f>IF(D1155="Sale",E1155*F1155,IF(D1155="Return",-E1155*F1155,""))</f>
        <v/>
      </c>
      <c r="H1155" s="17">
        <f>IFERROR(IF(D1155="Sale",E1155*INDEX(Products!$E$6:$E$205,MATCH(C1155,Products!$B$6:$B$205,0)),IF(D1155="Return",-E1155*INDEX(Products!$E$6:$E$205,MATCH(C1155,Products!$B$6:$B$205,0)),"")),"")</f>
        <v/>
      </c>
      <c r="I1155" s="24" t="n"/>
      <c r="J1155" s="1" t="n"/>
    </row>
    <row r="1156">
      <c r="A1156" s="1" t="n"/>
      <c r="B1156" s="30" t="n"/>
      <c r="C1156" s="23" t="n"/>
      <c r="D1156" s="23" t="n"/>
      <c r="E1156" s="26" t="n"/>
      <c r="F1156" s="25" t="n"/>
      <c r="G1156" s="17">
        <f>IF(D1156="Sale",E1156*F1156,IF(D1156="Return",-E1156*F1156,""))</f>
        <v/>
      </c>
      <c r="H1156" s="17">
        <f>IFERROR(IF(D1156="Sale",E1156*INDEX(Products!$E$6:$E$205,MATCH(C1156,Products!$B$6:$B$205,0)),IF(D1156="Return",-E1156*INDEX(Products!$E$6:$E$205,MATCH(C1156,Products!$B$6:$B$205,0)),"")),"")</f>
        <v/>
      </c>
      <c r="I1156" s="24" t="n"/>
      <c r="J1156" s="1" t="n"/>
    </row>
    <row r="1157">
      <c r="A1157" s="1" t="n"/>
      <c r="B1157" s="30" t="n"/>
      <c r="C1157" s="23" t="n"/>
      <c r="D1157" s="23" t="n"/>
      <c r="E1157" s="26" t="n"/>
      <c r="F1157" s="25" t="n"/>
      <c r="G1157" s="17">
        <f>IF(D1157="Sale",E1157*F1157,IF(D1157="Return",-E1157*F1157,""))</f>
        <v/>
      </c>
      <c r="H1157" s="17">
        <f>IFERROR(IF(D1157="Sale",E1157*INDEX(Products!$E$6:$E$205,MATCH(C1157,Products!$B$6:$B$205,0)),IF(D1157="Return",-E1157*INDEX(Products!$E$6:$E$205,MATCH(C1157,Products!$B$6:$B$205,0)),"")),"")</f>
        <v/>
      </c>
      <c r="I1157" s="24" t="n"/>
      <c r="J1157" s="1" t="n"/>
    </row>
    <row r="1158">
      <c r="A1158" s="1" t="n"/>
      <c r="B1158" s="30" t="n"/>
      <c r="C1158" s="23" t="n"/>
      <c r="D1158" s="23" t="n"/>
      <c r="E1158" s="26" t="n"/>
      <c r="F1158" s="25" t="n"/>
      <c r="G1158" s="17">
        <f>IF(D1158="Sale",E1158*F1158,IF(D1158="Return",-E1158*F1158,""))</f>
        <v/>
      </c>
      <c r="H1158" s="17">
        <f>IFERROR(IF(D1158="Sale",E1158*INDEX(Products!$E$6:$E$205,MATCH(C1158,Products!$B$6:$B$205,0)),IF(D1158="Return",-E1158*INDEX(Products!$E$6:$E$205,MATCH(C1158,Products!$B$6:$B$205,0)),"")),"")</f>
        <v/>
      </c>
      <c r="I1158" s="24" t="n"/>
      <c r="J1158" s="1" t="n"/>
    </row>
    <row r="1159">
      <c r="A1159" s="1" t="n"/>
      <c r="B1159" s="30" t="n"/>
      <c r="C1159" s="23" t="n"/>
      <c r="D1159" s="23" t="n"/>
      <c r="E1159" s="26" t="n"/>
      <c r="F1159" s="25" t="n"/>
      <c r="G1159" s="17">
        <f>IF(D1159="Sale",E1159*F1159,IF(D1159="Return",-E1159*F1159,""))</f>
        <v/>
      </c>
      <c r="H1159" s="17">
        <f>IFERROR(IF(D1159="Sale",E1159*INDEX(Products!$E$6:$E$205,MATCH(C1159,Products!$B$6:$B$205,0)),IF(D1159="Return",-E1159*INDEX(Products!$E$6:$E$205,MATCH(C1159,Products!$B$6:$B$205,0)),"")),"")</f>
        <v/>
      </c>
      <c r="I1159" s="24" t="n"/>
      <c r="J1159" s="1" t="n"/>
    </row>
    <row r="1160">
      <c r="A1160" s="1" t="n"/>
      <c r="B1160" s="30" t="n"/>
      <c r="C1160" s="23" t="n"/>
      <c r="D1160" s="23" t="n"/>
      <c r="E1160" s="26" t="n"/>
      <c r="F1160" s="25" t="n"/>
      <c r="G1160" s="17">
        <f>IF(D1160="Sale",E1160*F1160,IF(D1160="Return",-E1160*F1160,""))</f>
        <v/>
      </c>
      <c r="H1160" s="17">
        <f>IFERROR(IF(D1160="Sale",E1160*INDEX(Products!$E$6:$E$205,MATCH(C1160,Products!$B$6:$B$205,0)),IF(D1160="Return",-E1160*INDEX(Products!$E$6:$E$205,MATCH(C1160,Products!$B$6:$B$205,0)),"")),"")</f>
        <v/>
      </c>
      <c r="I1160" s="24" t="n"/>
      <c r="J1160" s="1" t="n"/>
    </row>
    <row r="1161">
      <c r="A1161" s="1" t="n"/>
      <c r="B1161" s="30" t="n"/>
      <c r="C1161" s="23" t="n"/>
      <c r="D1161" s="23" t="n"/>
      <c r="E1161" s="26" t="n"/>
      <c r="F1161" s="25" t="n"/>
      <c r="G1161" s="17">
        <f>IF(D1161="Sale",E1161*F1161,IF(D1161="Return",-E1161*F1161,""))</f>
        <v/>
      </c>
      <c r="H1161" s="17">
        <f>IFERROR(IF(D1161="Sale",E1161*INDEX(Products!$E$6:$E$205,MATCH(C1161,Products!$B$6:$B$205,0)),IF(D1161="Return",-E1161*INDEX(Products!$E$6:$E$205,MATCH(C1161,Products!$B$6:$B$205,0)),"")),"")</f>
        <v/>
      </c>
      <c r="I1161" s="24" t="n"/>
      <c r="J1161" s="1" t="n"/>
    </row>
    <row r="1162">
      <c r="A1162" s="1" t="n"/>
      <c r="B1162" s="30" t="n"/>
      <c r="C1162" s="23" t="n"/>
      <c r="D1162" s="23" t="n"/>
      <c r="E1162" s="26" t="n"/>
      <c r="F1162" s="25" t="n"/>
      <c r="G1162" s="17">
        <f>IF(D1162="Sale",E1162*F1162,IF(D1162="Return",-E1162*F1162,""))</f>
        <v/>
      </c>
      <c r="H1162" s="17">
        <f>IFERROR(IF(D1162="Sale",E1162*INDEX(Products!$E$6:$E$205,MATCH(C1162,Products!$B$6:$B$205,0)),IF(D1162="Return",-E1162*INDEX(Products!$E$6:$E$205,MATCH(C1162,Products!$B$6:$B$205,0)),"")),"")</f>
        <v/>
      </c>
      <c r="I1162" s="24" t="n"/>
      <c r="J1162" s="1" t="n"/>
    </row>
    <row r="1163">
      <c r="A1163" s="1" t="n"/>
      <c r="B1163" s="30" t="n"/>
      <c r="C1163" s="23" t="n"/>
      <c r="D1163" s="23" t="n"/>
      <c r="E1163" s="26" t="n"/>
      <c r="F1163" s="25" t="n"/>
      <c r="G1163" s="17">
        <f>IF(D1163="Sale",E1163*F1163,IF(D1163="Return",-E1163*F1163,""))</f>
        <v/>
      </c>
      <c r="H1163" s="17">
        <f>IFERROR(IF(D1163="Sale",E1163*INDEX(Products!$E$6:$E$205,MATCH(C1163,Products!$B$6:$B$205,0)),IF(D1163="Return",-E1163*INDEX(Products!$E$6:$E$205,MATCH(C1163,Products!$B$6:$B$205,0)),"")),"")</f>
        <v/>
      </c>
      <c r="I1163" s="24" t="n"/>
      <c r="J1163" s="1" t="n"/>
    </row>
    <row r="1164">
      <c r="A1164" s="1" t="n"/>
      <c r="B1164" s="30" t="n"/>
      <c r="C1164" s="23" t="n"/>
      <c r="D1164" s="23" t="n"/>
      <c r="E1164" s="26" t="n"/>
      <c r="F1164" s="25" t="n"/>
      <c r="G1164" s="17">
        <f>IF(D1164="Sale",E1164*F1164,IF(D1164="Return",-E1164*F1164,""))</f>
        <v/>
      </c>
      <c r="H1164" s="17">
        <f>IFERROR(IF(D1164="Sale",E1164*INDEX(Products!$E$6:$E$205,MATCH(C1164,Products!$B$6:$B$205,0)),IF(D1164="Return",-E1164*INDEX(Products!$E$6:$E$205,MATCH(C1164,Products!$B$6:$B$205,0)),"")),"")</f>
        <v/>
      </c>
      <c r="I1164" s="24" t="n"/>
      <c r="J1164" s="1" t="n"/>
    </row>
    <row r="1165">
      <c r="A1165" s="1" t="n"/>
      <c r="B1165" s="30" t="n"/>
      <c r="C1165" s="23" t="n"/>
      <c r="D1165" s="23" t="n"/>
      <c r="E1165" s="26" t="n"/>
      <c r="F1165" s="25" t="n"/>
      <c r="G1165" s="17">
        <f>IF(D1165="Sale",E1165*F1165,IF(D1165="Return",-E1165*F1165,""))</f>
        <v/>
      </c>
      <c r="H1165" s="17">
        <f>IFERROR(IF(D1165="Sale",E1165*INDEX(Products!$E$6:$E$205,MATCH(C1165,Products!$B$6:$B$205,0)),IF(D1165="Return",-E1165*INDEX(Products!$E$6:$E$205,MATCH(C1165,Products!$B$6:$B$205,0)),"")),"")</f>
        <v/>
      </c>
      <c r="I1165" s="24" t="n"/>
      <c r="J1165" s="1" t="n"/>
    </row>
    <row r="1166">
      <c r="A1166" s="1" t="n"/>
      <c r="B1166" s="30" t="n"/>
      <c r="C1166" s="23" t="n"/>
      <c r="D1166" s="23" t="n"/>
      <c r="E1166" s="26" t="n"/>
      <c r="F1166" s="25" t="n"/>
      <c r="G1166" s="17">
        <f>IF(D1166="Sale",E1166*F1166,IF(D1166="Return",-E1166*F1166,""))</f>
        <v/>
      </c>
      <c r="H1166" s="17">
        <f>IFERROR(IF(D1166="Sale",E1166*INDEX(Products!$E$6:$E$205,MATCH(C1166,Products!$B$6:$B$205,0)),IF(D1166="Return",-E1166*INDEX(Products!$E$6:$E$205,MATCH(C1166,Products!$B$6:$B$205,0)),"")),"")</f>
        <v/>
      </c>
      <c r="I1166" s="24" t="n"/>
      <c r="J1166" s="1" t="n"/>
    </row>
    <row r="1167">
      <c r="A1167" s="1" t="n"/>
      <c r="B1167" s="30" t="n"/>
      <c r="C1167" s="23" t="n"/>
      <c r="D1167" s="23" t="n"/>
      <c r="E1167" s="26" t="n"/>
      <c r="F1167" s="25" t="n"/>
      <c r="G1167" s="17">
        <f>IF(D1167="Sale",E1167*F1167,IF(D1167="Return",-E1167*F1167,""))</f>
        <v/>
      </c>
      <c r="H1167" s="17">
        <f>IFERROR(IF(D1167="Sale",E1167*INDEX(Products!$E$6:$E$205,MATCH(C1167,Products!$B$6:$B$205,0)),IF(D1167="Return",-E1167*INDEX(Products!$E$6:$E$205,MATCH(C1167,Products!$B$6:$B$205,0)),"")),"")</f>
        <v/>
      </c>
      <c r="I1167" s="24" t="n"/>
      <c r="J1167" s="1" t="n"/>
    </row>
    <row r="1168">
      <c r="A1168" s="1" t="n"/>
      <c r="B1168" s="30" t="n"/>
      <c r="C1168" s="23" t="n"/>
      <c r="D1168" s="23" t="n"/>
      <c r="E1168" s="26" t="n"/>
      <c r="F1168" s="25" t="n"/>
      <c r="G1168" s="17">
        <f>IF(D1168="Sale",E1168*F1168,IF(D1168="Return",-E1168*F1168,""))</f>
        <v/>
      </c>
      <c r="H1168" s="17">
        <f>IFERROR(IF(D1168="Sale",E1168*INDEX(Products!$E$6:$E$205,MATCH(C1168,Products!$B$6:$B$205,0)),IF(D1168="Return",-E1168*INDEX(Products!$E$6:$E$205,MATCH(C1168,Products!$B$6:$B$205,0)),"")),"")</f>
        <v/>
      </c>
      <c r="I1168" s="24" t="n"/>
      <c r="J1168" s="1" t="n"/>
    </row>
    <row r="1169">
      <c r="A1169" s="1" t="n"/>
      <c r="B1169" s="30" t="n"/>
      <c r="C1169" s="23" t="n"/>
      <c r="D1169" s="23" t="n"/>
      <c r="E1169" s="26" t="n"/>
      <c r="F1169" s="25" t="n"/>
      <c r="G1169" s="17">
        <f>IF(D1169="Sale",E1169*F1169,IF(D1169="Return",-E1169*F1169,""))</f>
        <v/>
      </c>
      <c r="H1169" s="17">
        <f>IFERROR(IF(D1169="Sale",E1169*INDEX(Products!$E$6:$E$205,MATCH(C1169,Products!$B$6:$B$205,0)),IF(D1169="Return",-E1169*INDEX(Products!$E$6:$E$205,MATCH(C1169,Products!$B$6:$B$205,0)),"")),"")</f>
        <v/>
      </c>
      <c r="I1169" s="24" t="n"/>
      <c r="J1169" s="1" t="n"/>
    </row>
    <row r="1170">
      <c r="A1170" s="1" t="n"/>
      <c r="B1170" s="30" t="n"/>
      <c r="C1170" s="23" t="n"/>
      <c r="D1170" s="23" t="n"/>
      <c r="E1170" s="26" t="n"/>
      <c r="F1170" s="25" t="n"/>
      <c r="G1170" s="17">
        <f>IF(D1170="Sale",E1170*F1170,IF(D1170="Return",-E1170*F1170,""))</f>
        <v/>
      </c>
      <c r="H1170" s="17">
        <f>IFERROR(IF(D1170="Sale",E1170*INDEX(Products!$E$6:$E$205,MATCH(C1170,Products!$B$6:$B$205,0)),IF(D1170="Return",-E1170*INDEX(Products!$E$6:$E$205,MATCH(C1170,Products!$B$6:$B$205,0)),"")),"")</f>
        <v/>
      </c>
      <c r="I1170" s="24" t="n"/>
      <c r="J1170" s="1" t="n"/>
    </row>
    <row r="1171">
      <c r="A1171" s="1" t="n"/>
      <c r="B1171" s="30" t="n"/>
      <c r="C1171" s="23" t="n"/>
      <c r="D1171" s="23" t="n"/>
      <c r="E1171" s="26" t="n"/>
      <c r="F1171" s="25" t="n"/>
      <c r="G1171" s="17">
        <f>IF(D1171="Sale",E1171*F1171,IF(D1171="Return",-E1171*F1171,""))</f>
        <v/>
      </c>
      <c r="H1171" s="17">
        <f>IFERROR(IF(D1171="Sale",E1171*INDEX(Products!$E$6:$E$205,MATCH(C1171,Products!$B$6:$B$205,0)),IF(D1171="Return",-E1171*INDEX(Products!$E$6:$E$205,MATCH(C1171,Products!$B$6:$B$205,0)),"")),"")</f>
        <v/>
      </c>
      <c r="I1171" s="24" t="n"/>
      <c r="J1171" s="1" t="n"/>
    </row>
    <row r="1172">
      <c r="A1172" s="1" t="n"/>
      <c r="B1172" s="30" t="n"/>
      <c r="C1172" s="23" t="n"/>
      <c r="D1172" s="23" t="n"/>
      <c r="E1172" s="26" t="n"/>
      <c r="F1172" s="25" t="n"/>
      <c r="G1172" s="17">
        <f>IF(D1172="Sale",E1172*F1172,IF(D1172="Return",-E1172*F1172,""))</f>
        <v/>
      </c>
      <c r="H1172" s="17">
        <f>IFERROR(IF(D1172="Sale",E1172*INDEX(Products!$E$6:$E$205,MATCH(C1172,Products!$B$6:$B$205,0)),IF(D1172="Return",-E1172*INDEX(Products!$E$6:$E$205,MATCH(C1172,Products!$B$6:$B$205,0)),"")),"")</f>
        <v/>
      </c>
      <c r="I1172" s="24" t="n"/>
      <c r="J1172" s="1" t="n"/>
    </row>
    <row r="1173">
      <c r="A1173" s="1" t="n"/>
      <c r="B1173" s="30" t="n"/>
      <c r="C1173" s="23" t="n"/>
      <c r="D1173" s="23" t="n"/>
      <c r="E1173" s="26" t="n"/>
      <c r="F1173" s="25" t="n"/>
      <c r="G1173" s="17">
        <f>IF(D1173="Sale",E1173*F1173,IF(D1173="Return",-E1173*F1173,""))</f>
        <v/>
      </c>
      <c r="H1173" s="17">
        <f>IFERROR(IF(D1173="Sale",E1173*INDEX(Products!$E$6:$E$205,MATCH(C1173,Products!$B$6:$B$205,0)),IF(D1173="Return",-E1173*INDEX(Products!$E$6:$E$205,MATCH(C1173,Products!$B$6:$B$205,0)),"")),"")</f>
        <v/>
      </c>
      <c r="I1173" s="24" t="n"/>
      <c r="J1173" s="1" t="n"/>
    </row>
    <row r="1174">
      <c r="A1174" s="1" t="n"/>
      <c r="B1174" s="30" t="n"/>
      <c r="C1174" s="23" t="n"/>
      <c r="D1174" s="23" t="n"/>
      <c r="E1174" s="26" t="n"/>
      <c r="F1174" s="25" t="n"/>
      <c r="G1174" s="17">
        <f>IF(D1174="Sale",E1174*F1174,IF(D1174="Return",-E1174*F1174,""))</f>
        <v/>
      </c>
      <c r="H1174" s="17">
        <f>IFERROR(IF(D1174="Sale",E1174*INDEX(Products!$E$6:$E$205,MATCH(C1174,Products!$B$6:$B$205,0)),IF(D1174="Return",-E1174*INDEX(Products!$E$6:$E$205,MATCH(C1174,Products!$B$6:$B$205,0)),"")),"")</f>
        <v/>
      </c>
      <c r="I1174" s="24" t="n"/>
      <c r="J1174" s="1" t="n"/>
    </row>
    <row r="1175">
      <c r="A1175" s="1" t="n"/>
      <c r="B1175" s="30" t="n"/>
      <c r="C1175" s="23" t="n"/>
      <c r="D1175" s="23" t="n"/>
      <c r="E1175" s="26" t="n"/>
      <c r="F1175" s="25" t="n"/>
      <c r="G1175" s="17">
        <f>IF(D1175="Sale",E1175*F1175,IF(D1175="Return",-E1175*F1175,""))</f>
        <v/>
      </c>
      <c r="H1175" s="17">
        <f>IFERROR(IF(D1175="Sale",E1175*INDEX(Products!$E$6:$E$205,MATCH(C1175,Products!$B$6:$B$205,0)),IF(D1175="Return",-E1175*INDEX(Products!$E$6:$E$205,MATCH(C1175,Products!$B$6:$B$205,0)),"")),"")</f>
        <v/>
      </c>
      <c r="I1175" s="24" t="n"/>
      <c r="J1175" s="1" t="n"/>
    </row>
    <row r="1176">
      <c r="A1176" s="1" t="n"/>
      <c r="B1176" s="30" t="n"/>
      <c r="C1176" s="23" t="n"/>
      <c r="D1176" s="23" t="n"/>
      <c r="E1176" s="26" t="n"/>
      <c r="F1176" s="25" t="n"/>
      <c r="G1176" s="17">
        <f>IF(D1176="Sale",E1176*F1176,IF(D1176="Return",-E1176*F1176,""))</f>
        <v/>
      </c>
      <c r="H1176" s="17">
        <f>IFERROR(IF(D1176="Sale",E1176*INDEX(Products!$E$6:$E$205,MATCH(C1176,Products!$B$6:$B$205,0)),IF(D1176="Return",-E1176*INDEX(Products!$E$6:$E$205,MATCH(C1176,Products!$B$6:$B$205,0)),"")),"")</f>
        <v/>
      </c>
      <c r="I1176" s="24" t="n"/>
      <c r="J1176" s="1" t="n"/>
    </row>
    <row r="1177">
      <c r="A1177" s="1" t="n"/>
      <c r="B1177" s="30" t="n"/>
      <c r="C1177" s="23" t="n"/>
      <c r="D1177" s="23" t="n"/>
      <c r="E1177" s="26" t="n"/>
      <c r="F1177" s="25" t="n"/>
      <c r="G1177" s="17">
        <f>IF(D1177="Sale",E1177*F1177,IF(D1177="Return",-E1177*F1177,""))</f>
        <v/>
      </c>
      <c r="H1177" s="17">
        <f>IFERROR(IF(D1177="Sale",E1177*INDEX(Products!$E$6:$E$205,MATCH(C1177,Products!$B$6:$B$205,0)),IF(D1177="Return",-E1177*INDEX(Products!$E$6:$E$205,MATCH(C1177,Products!$B$6:$B$205,0)),"")),"")</f>
        <v/>
      </c>
      <c r="I1177" s="24" t="n"/>
      <c r="J1177" s="1" t="n"/>
    </row>
    <row r="1178">
      <c r="A1178" s="1" t="n"/>
      <c r="B1178" s="30" t="n"/>
      <c r="C1178" s="23" t="n"/>
      <c r="D1178" s="23" t="n"/>
      <c r="E1178" s="26" t="n"/>
      <c r="F1178" s="25" t="n"/>
      <c r="G1178" s="17">
        <f>IF(D1178="Sale",E1178*F1178,IF(D1178="Return",-E1178*F1178,""))</f>
        <v/>
      </c>
      <c r="H1178" s="17">
        <f>IFERROR(IF(D1178="Sale",E1178*INDEX(Products!$E$6:$E$205,MATCH(C1178,Products!$B$6:$B$205,0)),IF(D1178="Return",-E1178*INDEX(Products!$E$6:$E$205,MATCH(C1178,Products!$B$6:$B$205,0)),"")),"")</f>
        <v/>
      </c>
      <c r="I1178" s="24" t="n"/>
      <c r="J1178" s="1" t="n"/>
    </row>
    <row r="1179">
      <c r="A1179" s="1" t="n"/>
      <c r="B1179" s="30" t="n"/>
      <c r="C1179" s="23" t="n"/>
      <c r="D1179" s="23" t="n"/>
      <c r="E1179" s="26" t="n"/>
      <c r="F1179" s="25" t="n"/>
      <c r="G1179" s="17">
        <f>IF(D1179="Sale",E1179*F1179,IF(D1179="Return",-E1179*F1179,""))</f>
        <v/>
      </c>
      <c r="H1179" s="17">
        <f>IFERROR(IF(D1179="Sale",E1179*INDEX(Products!$E$6:$E$205,MATCH(C1179,Products!$B$6:$B$205,0)),IF(D1179="Return",-E1179*INDEX(Products!$E$6:$E$205,MATCH(C1179,Products!$B$6:$B$205,0)),"")),"")</f>
        <v/>
      </c>
      <c r="I1179" s="24" t="n"/>
      <c r="J1179" s="1" t="n"/>
    </row>
    <row r="1180">
      <c r="A1180" s="1" t="n"/>
      <c r="B1180" s="30" t="n"/>
      <c r="C1180" s="23" t="n"/>
      <c r="D1180" s="23" t="n"/>
      <c r="E1180" s="26" t="n"/>
      <c r="F1180" s="25" t="n"/>
      <c r="G1180" s="17">
        <f>IF(D1180="Sale",E1180*F1180,IF(D1180="Return",-E1180*F1180,""))</f>
        <v/>
      </c>
      <c r="H1180" s="17">
        <f>IFERROR(IF(D1180="Sale",E1180*INDEX(Products!$E$6:$E$205,MATCH(C1180,Products!$B$6:$B$205,0)),IF(D1180="Return",-E1180*INDEX(Products!$E$6:$E$205,MATCH(C1180,Products!$B$6:$B$205,0)),"")),"")</f>
        <v/>
      </c>
      <c r="I1180" s="24" t="n"/>
      <c r="J1180" s="1" t="n"/>
    </row>
    <row r="1181">
      <c r="A1181" s="1" t="n"/>
      <c r="B1181" s="30" t="n"/>
      <c r="C1181" s="23" t="n"/>
      <c r="D1181" s="23" t="n"/>
      <c r="E1181" s="26" t="n"/>
      <c r="F1181" s="25" t="n"/>
      <c r="G1181" s="17">
        <f>IF(D1181="Sale",E1181*F1181,IF(D1181="Return",-E1181*F1181,""))</f>
        <v/>
      </c>
      <c r="H1181" s="17">
        <f>IFERROR(IF(D1181="Sale",E1181*INDEX(Products!$E$6:$E$205,MATCH(C1181,Products!$B$6:$B$205,0)),IF(D1181="Return",-E1181*INDEX(Products!$E$6:$E$205,MATCH(C1181,Products!$B$6:$B$205,0)),"")),"")</f>
        <v/>
      </c>
      <c r="I1181" s="24" t="n"/>
      <c r="J1181" s="1" t="n"/>
    </row>
    <row r="1182">
      <c r="A1182" s="1" t="n"/>
      <c r="B1182" s="30" t="n"/>
      <c r="C1182" s="23" t="n"/>
      <c r="D1182" s="23" t="n"/>
      <c r="E1182" s="26" t="n"/>
      <c r="F1182" s="25" t="n"/>
      <c r="G1182" s="17">
        <f>IF(D1182="Sale",E1182*F1182,IF(D1182="Return",-E1182*F1182,""))</f>
        <v/>
      </c>
      <c r="H1182" s="17">
        <f>IFERROR(IF(D1182="Sale",E1182*INDEX(Products!$E$6:$E$205,MATCH(C1182,Products!$B$6:$B$205,0)),IF(D1182="Return",-E1182*INDEX(Products!$E$6:$E$205,MATCH(C1182,Products!$B$6:$B$205,0)),"")),"")</f>
        <v/>
      </c>
      <c r="I1182" s="24" t="n"/>
      <c r="J1182" s="1" t="n"/>
    </row>
    <row r="1183">
      <c r="A1183" s="1" t="n"/>
      <c r="B1183" s="30" t="n"/>
      <c r="C1183" s="23" t="n"/>
      <c r="D1183" s="23" t="n"/>
      <c r="E1183" s="26" t="n"/>
      <c r="F1183" s="25" t="n"/>
      <c r="G1183" s="17">
        <f>IF(D1183="Sale",E1183*F1183,IF(D1183="Return",-E1183*F1183,""))</f>
        <v/>
      </c>
      <c r="H1183" s="17">
        <f>IFERROR(IF(D1183="Sale",E1183*INDEX(Products!$E$6:$E$205,MATCH(C1183,Products!$B$6:$B$205,0)),IF(D1183="Return",-E1183*INDEX(Products!$E$6:$E$205,MATCH(C1183,Products!$B$6:$B$205,0)),"")),"")</f>
        <v/>
      </c>
      <c r="I1183" s="24" t="n"/>
      <c r="J1183" s="1" t="n"/>
    </row>
    <row r="1184">
      <c r="A1184" s="1" t="n"/>
      <c r="B1184" s="30" t="n"/>
      <c r="C1184" s="23" t="n"/>
      <c r="D1184" s="23" t="n"/>
      <c r="E1184" s="26" t="n"/>
      <c r="F1184" s="25" t="n"/>
      <c r="G1184" s="17">
        <f>IF(D1184="Sale",E1184*F1184,IF(D1184="Return",-E1184*F1184,""))</f>
        <v/>
      </c>
      <c r="H1184" s="17">
        <f>IFERROR(IF(D1184="Sale",E1184*INDEX(Products!$E$6:$E$205,MATCH(C1184,Products!$B$6:$B$205,0)),IF(D1184="Return",-E1184*INDEX(Products!$E$6:$E$205,MATCH(C1184,Products!$B$6:$B$205,0)),"")),"")</f>
        <v/>
      </c>
      <c r="I1184" s="24" t="n"/>
      <c r="J1184" s="1" t="n"/>
    </row>
    <row r="1185">
      <c r="A1185" s="1" t="n"/>
      <c r="B1185" s="30" t="n"/>
      <c r="C1185" s="23" t="n"/>
      <c r="D1185" s="23" t="n"/>
      <c r="E1185" s="26" t="n"/>
      <c r="F1185" s="25" t="n"/>
      <c r="G1185" s="17">
        <f>IF(D1185="Sale",E1185*F1185,IF(D1185="Return",-E1185*F1185,""))</f>
        <v/>
      </c>
      <c r="H1185" s="17">
        <f>IFERROR(IF(D1185="Sale",E1185*INDEX(Products!$E$6:$E$205,MATCH(C1185,Products!$B$6:$B$205,0)),IF(D1185="Return",-E1185*INDEX(Products!$E$6:$E$205,MATCH(C1185,Products!$B$6:$B$205,0)),"")),"")</f>
        <v/>
      </c>
      <c r="I1185" s="24" t="n"/>
      <c r="J1185" s="1" t="n"/>
    </row>
    <row r="1186">
      <c r="A1186" s="1" t="n"/>
      <c r="B1186" s="30" t="n"/>
      <c r="C1186" s="23" t="n"/>
      <c r="D1186" s="23" t="n"/>
      <c r="E1186" s="26" t="n"/>
      <c r="F1186" s="25" t="n"/>
      <c r="G1186" s="17">
        <f>IF(D1186="Sale",E1186*F1186,IF(D1186="Return",-E1186*F1186,""))</f>
        <v/>
      </c>
      <c r="H1186" s="17">
        <f>IFERROR(IF(D1186="Sale",E1186*INDEX(Products!$E$6:$E$205,MATCH(C1186,Products!$B$6:$B$205,0)),IF(D1186="Return",-E1186*INDEX(Products!$E$6:$E$205,MATCH(C1186,Products!$B$6:$B$205,0)),"")),"")</f>
        <v/>
      </c>
      <c r="I1186" s="24" t="n"/>
      <c r="J1186" s="1" t="n"/>
    </row>
    <row r="1187">
      <c r="A1187" s="1" t="n"/>
      <c r="B1187" s="30" t="n"/>
      <c r="C1187" s="23" t="n"/>
      <c r="D1187" s="23" t="n"/>
      <c r="E1187" s="26" t="n"/>
      <c r="F1187" s="25" t="n"/>
      <c r="G1187" s="17">
        <f>IF(D1187="Sale",E1187*F1187,IF(D1187="Return",-E1187*F1187,""))</f>
        <v/>
      </c>
      <c r="H1187" s="17">
        <f>IFERROR(IF(D1187="Sale",E1187*INDEX(Products!$E$6:$E$205,MATCH(C1187,Products!$B$6:$B$205,0)),IF(D1187="Return",-E1187*INDEX(Products!$E$6:$E$205,MATCH(C1187,Products!$B$6:$B$205,0)),"")),"")</f>
        <v/>
      </c>
      <c r="I1187" s="24" t="n"/>
      <c r="J1187" s="1" t="n"/>
    </row>
    <row r="1188">
      <c r="A1188" s="1" t="n"/>
      <c r="B1188" s="30" t="n"/>
      <c r="C1188" s="23" t="n"/>
      <c r="D1188" s="23" t="n"/>
      <c r="E1188" s="26" t="n"/>
      <c r="F1188" s="25" t="n"/>
      <c r="G1188" s="17">
        <f>IF(D1188="Sale",E1188*F1188,IF(D1188="Return",-E1188*F1188,""))</f>
        <v/>
      </c>
      <c r="H1188" s="17">
        <f>IFERROR(IF(D1188="Sale",E1188*INDEX(Products!$E$6:$E$205,MATCH(C1188,Products!$B$6:$B$205,0)),IF(D1188="Return",-E1188*INDEX(Products!$E$6:$E$205,MATCH(C1188,Products!$B$6:$B$205,0)),"")),"")</f>
        <v/>
      </c>
      <c r="I1188" s="24" t="n"/>
      <c r="J1188" s="1" t="n"/>
    </row>
    <row r="1189">
      <c r="A1189" s="1" t="n"/>
      <c r="B1189" s="30" t="n"/>
      <c r="C1189" s="23" t="n"/>
      <c r="D1189" s="23" t="n"/>
      <c r="E1189" s="26" t="n"/>
      <c r="F1189" s="25" t="n"/>
      <c r="G1189" s="17">
        <f>IF(D1189="Sale",E1189*F1189,IF(D1189="Return",-E1189*F1189,""))</f>
        <v/>
      </c>
      <c r="H1189" s="17">
        <f>IFERROR(IF(D1189="Sale",E1189*INDEX(Products!$E$6:$E$205,MATCH(C1189,Products!$B$6:$B$205,0)),IF(D1189="Return",-E1189*INDEX(Products!$E$6:$E$205,MATCH(C1189,Products!$B$6:$B$205,0)),"")),"")</f>
        <v/>
      </c>
      <c r="I1189" s="24" t="n"/>
      <c r="J1189" s="1" t="n"/>
    </row>
    <row r="1190">
      <c r="A1190" s="1" t="n"/>
      <c r="B1190" s="30" t="n"/>
      <c r="C1190" s="23" t="n"/>
      <c r="D1190" s="23" t="n"/>
      <c r="E1190" s="26" t="n"/>
      <c r="F1190" s="25" t="n"/>
      <c r="G1190" s="17">
        <f>IF(D1190="Sale",E1190*F1190,IF(D1190="Return",-E1190*F1190,""))</f>
        <v/>
      </c>
      <c r="H1190" s="17">
        <f>IFERROR(IF(D1190="Sale",E1190*INDEX(Products!$E$6:$E$205,MATCH(C1190,Products!$B$6:$B$205,0)),IF(D1190="Return",-E1190*INDEX(Products!$E$6:$E$205,MATCH(C1190,Products!$B$6:$B$205,0)),"")),"")</f>
        <v/>
      </c>
      <c r="I1190" s="24" t="n"/>
      <c r="J1190" s="1" t="n"/>
    </row>
    <row r="1191">
      <c r="A1191" s="1" t="n"/>
      <c r="B1191" s="30" t="n"/>
      <c r="C1191" s="23" t="n"/>
      <c r="D1191" s="23" t="n"/>
      <c r="E1191" s="26" t="n"/>
      <c r="F1191" s="25" t="n"/>
      <c r="G1191" s="17">
        <f>IF(D1191="Sale",E1191*F1191,IF(D1191="Return",-E1191*F1191,""))</f>
        <v/>
      </c>
      <c r="H1191" s="17">
        <f>IFERROR(IF(D1191="Sale",E1191*INDEX(Products!$E$6:$E$205,MATCH(C1191,Products!$B$6:$B$205,0)),IF(D1191="Return",-E1191*INDEX(Products!$E$6:$E$205,MATCH(C1191,Products!$B$6:$B$205,0)),"")),"")</f>
        <v/>
      </c>
      <c r="I1191" s="24" t="n"/>
      <c r="J1191" s="1" t="n"/>
    </row>
    <row r="1192">
      <c r="A1192" s="1" t="n"/>
      <c r="B1192" s="30" t="n"/>
      <c r="C1192" s="23" t="n"/>
      <c r="D1192" s="23" t="n"/>
      <c r="E1192" s="26" t="n"/>
      <c r="F1192" s="25" t="n"/>
      <c r="G1192" s="17">
        <f>IF(D1192="Sale",E1192*F1192,IF(D1192="Return",-E1192*F1192,""))</f>
        <v/>
      </c>
      <c r="H1192" s="17">
        <f>IFERROR(IF(D1192="Sale",E1192*INDEX(Products!$E$6:$E$205,MATCH(C1192,Products!$B$6:$B$205,0)),IF(D1192="Return",-E1192*INDEX(Products!$E$6:$E$205,MATCH(C1192,Products!$B$6:$B$205,0)),"")),"")</f>
        <v/>
      </c>
      <c r="I1192" s="24" t="n"/>
      <c r="J1192" s="1" t="n"/>
    </row>
    <row r="1193">
      <c r="A1193" s="1" t="n"/>
      <c r="B1193" s="30" t="n"/>
      <c r="C1193" s="23" t="n"/>
      <c r="D1193" s="23" t="n"/>
      <c r="E1193" s="26" t="n"/>
      <c r="F1193" s="25" t="n"/>
      <c r="G1193" s="17">
        <f>IF(D1193="Sale",E1193*F1193,IF(D1193="Return",-E1193*F1193,""))</f>
        <v/>
      </c>
      <c r="H1193" s="17">
        <f>IFERROR(IF(D1193="Sale",E1193*INDEX(Products!$E$6:$E$205,MATCH(C1193,Products!$B$6:$B$205,0)),IF(D1193="Return",-E1193*INDEX(Products!$E$6:$E$205,MATCH(C1193,Products!$B$6:$B$205,0)),"")),"")</f>
        <v/>
      </c>
      <c r="I1193" s="24" t="n"/>
      <c r="J1193" s="1" t="n"/>
    </row>
    <row r="1194">
      <c r="A1194" s="1" t="n"/>
      <c r="B1194" s="30" t="n"/>
      <c r="C1194" s="23" t="n"/>
      <c r="D1194" s="23" t="n"/>
      <c r="E1194" s="26" t="n"/>
      <c r="F1194" s="25" t="n"/>
      <c r="G1194" s="17">
        <f>IF(D1194="Sale",E1194*F1194,IF(D1194="Return",-E1194*F1194,""))</f>
        <v/>
      </c>
      <c r="H1194" s="17">
        <f>IFERROR(IF(D1194="Sale",E1194*INDEX(Products!$E$6:$E$205,MATCH(C1194,Products!$B$6:$B$205,0)),IF(D1194="Return",-E1194*INDEX(Products!$E$6:$E$205,MATCH(C1194,Products!$B$6:$B$205,0)),"")),"")</f>
        <v/>
      </c>
      <c r="I1194" s="24" t="n"/>
      <c r="J1194" s="1" t="n"/>
    </row>
    <row r="1195">
      <c r="A1195" s="1" t="n"/>
      <c r="B1195" s="30" t="n"/>
      <c r="C1195" s="23" t="n"/>
      <c r="D1195" s="23" t="n"/>
      <c r="E1195" s="26" t="n"/>
      <c r="F1195" s="25" t="n"/>
      <c r="G1195" s="17">
        <f>IF(D1195="Sale",E1195*F1195,IF(D1195="Return",-E1195*F1195,""))</f>
        <v/>
      </c>
      <c r="H1195" s="17">
        <f>IFERROR(IF(D1195="Sale",E1195*INDEX(Products!$E$6:$E$205,MATCH(C1195,Products!$B$6:$B$205,0)),IF(D1195="Return",-E1195*INDEX(Products!$E$6:$E$205,MATCH(C1195,Products!$B$6:$B$205,0)),"")),"")</f>
        <v/>
      </c>
      <c r="I1195" s="24" t="n"/>
      <c r="J1195" s="1" t="n"/>
    </row>
    <row r="1196">
      <c r="A1196" s="1" t="n"/>
      <c r="B1196" s="30" t="n"/>
      <c r="C1196" s="23" t="n"/>
      <c r="D1196" s="23" t="n"/>
      <c r="E1196" s="26" t="n"/>
      <c r="F1196" s="25" t="n"/>
      <c r="G1196" s="17">
        <f>IF(D1196="Sale",E1196*F1196,IF(D1196="Return",-E1196*F1196,""))</f>
        <v/>
      </c>
      <c r="H1196" s="17">
        <f>IFERROR(IF(D1196="Sale",E1196*INDEX(Products!$E$6:$E$205,MATCH(C1196,Products!$B$6:$B$205,0)),IF(D1196="Return",-E1196*INDEX(Products!$E$6:$E$205,MATCH(C1196,Products!$B$6:$B$205,0)),"")),"")</f>
        <v/>
      </c>
      <c r="I1196" s="24" t="n"/>
      <c r="J1196" s="1" t="n"/>
    </row>
    <row r="1197">
      <c r="A1197" s="1" t="n"/>
      <c r="B1197" s="30" t="n"/>
      <c r="C1197" s="23" t="n"/>
      <c r="D1197" s="23" t="n"/>
      <c r="E1197" s="26" t="n"/>
      <c r="F1197" s="25" t="n"/>
      <c r="G1197" s="17">
        <f>IF(D1197="Sale",E1197*F1197,IF(D1197="Return",-E1197*F1197,""))</f>
        <v/>
      </c>
      <c r="H1197" s="17">
        <f>IFERROR(IF(D1197="Sale",E1197*INDEX(Products!$E$6:$E$205,MATCH(C1197,Products!$B$6:$B$205,0)),IF(D1197="Return",-E1197*INDEX(Products!$E$6:$E$205,MATCH(C1197,Products!$B$6:$B$205,0)),"")),"")</f>
        <v/>
      </c>
      <c r="I1197" s="24" t="n"/>
      <c r="J1197" s="1" t="n"/>
    </row>
    <row r="1198">
      <c r="A1198" s="1" t="n"/>
      <c r="B1198" s="30" t="n"/>
      <c r="C1198" s="23" t="n"/>
      <c r="D1198" s="23" t="n"/>
      <c r="E1198" s="26" t="n"/>
      <c r="F1198" s="25" t="n"/>
      <c r="G1198" s="17">
        <f>IF(D1198="Sale",E1198*F1198,IF(D1198="Return",-E1198*F1198,""))</f>
        <v/>
      </c>
      <c r="H1198" s="17">
        <f>IFERROR(IF(D1198="Sale",E1198*INDEX(Products!$E$6:$E$205,MATCH(C1198,Products!$B$6:$B$205,0)),IF(D1198="Return",-E1198*INDEX(Products!$E$6:$E$205,MATCH(C1198,Products!$B$6:$B$205,0)),"")),"")</f>
        <v/>
      </c>
      <c r="I1198" s="24" t="n"/>
      <c r="J1198" s="1" t="n"/>
    </row>
    <row r="1199">
      <c r="A1199" s="1" t="n"/>
      <c r="B1199" s="30" t="n"/>
      <c r="C1199" s="23" t="n"/>
      <c r="D1199" s="23" t="n"/>
      <c r="E1199" s="26" t="n"/>
      <c r="F1199" s="25" t="n"/>
      <c r="G1199" s="17">
        <f>IF(D1199="Sale",E1199*F1199,IF(D1199="Return",-E1199*F1199,""))</f>
        <v/>
      </c>
      <c r="H1199" s="17">
        <f>IFERROR(IF(D1199="Sale",E1199*INDEX(Products!$E$6:$E$205,MATCH(C1199,Products!$B$6:$B$205,0)),IF(D1199="Return",-E1199*INDEX(Products!$E$6:$E$205,MATCH(C1199,Products!$B$6:$B$205,0)),"")),"")</f>
        <v/>
      </c>
      <c r="I1199" s="24" t="n"/>
      <c r="J1199" s="1" t="n"/>
    </row>
    <row r="1200">
      <c r="A1200" s="1" t="n"/>
      <c r="B1200" s="30" t="n"/>
      <c r="C1200" s="23" t="n"/>
      <c r="D1200" s="23" t="n"/>
      <c r="E1200" s="26" t="n"/>
      <c r="F1200" s="25" t="n"/>
      <c r="G1200" s="17">
        <f>IF(D1200="Sale",E1200*F1200,IF(D1200="Return",-E1200*F1200,""))</f>
        <v/>
      </c>
      <c r="H1200" s="17">
        <f>IFERROR(IF(D1200="Sale",E1200*INDEX(Products!$E$6:$E$205,MATCH(C1200,Products!$B$6:$B$205,0)),IF(D1200="Return",-E1200*INDEX(Products!$E$6:$E$205,MATCH(C1200,Products!$B$6:$B$205,0)),"")),"")</f>
        <v/>
      </c>
      <c r="I1200" s="24" t="n"/>
      <c r="J1200" s="1" t="n"/>
    </row>
    <row r="1201">
      <c r="A1201" s="1" t="n"/>
      <c r="B1201" s="30" t="n"/>
      <c r="C1201" s="23" t="n"/>
      <c r="D1201" s="23" t="n"/>
      <c r="E1201" s="26" t="n"/>
      <c r="F1201" s="25" t="n"/>
      <c r="G1201" s="17">
        <f>IF(D1201="Sale",E1201*F1201,IF(D1201="Return",-E1201*F1201,""))</f>
        <v/>
      </c>
      <c r="H1201" s="17">
        <f>IFERROR(IF(D1201="Sale",E1201*INDEX(Products!$E$6:$E$205,MATCH(C1201,Products!$B$6:$B$205,0)),IF(D1201="Return",-E1201*INDEX(Products!$E$6:$E$205,MATCH(C1201,Products!$B$6:$B$205,0)),"")),"")</f>
        <v/>
      </c>
      <c r="I1201" s="24" t="n"/>
      <c r="J1201" s="1" t="n"/>
    </row>
    <row r="1202">
      <c r="A1202" s="1" t="n"/>
      <c r="B1202" s="30" t="n"/>
      <c r="C1202" s="23" t="n"/>
      <c r="D1202" s="23" t="n"/>
      <c r="E1202" s="26" t="n"/>
      <c r="F1202" s="25" t="n"/>
      <c r="G1202" s="17">
        <f>IF(D1202="Sale",E1202*F1202,IF(D1202="Return",-E1202*F1202,""))</f>
        <v/>
      </c>
      <c r="H1202" s="17">
        <f>IFERROR(IF(D1202="Sale",E1202*INDEX(Products!$E$6:$E$205,MATCH(C1202,Products!$B$6:$B$205,0)),IF(D1202="Return",-E1202*INDEX(Products!$E$6:$E$205,MATCH(C1202,Products!$B$6:$B$205,0)),"")),"")</f>
        <v/>
      </c>
      <c r="I1202" s="24" t="n"/>
      <c r="J1202" s="1" t="n"/>
    </row>
    <row r="1203">
      <c r="A1203" s="1" t="n"/>
      <c r="B1203" s="30" t="n"/>
      <c r="C1203" s="23" t="n"/>
      <c r="D1203" s="23" t="n"/>
      <c r="E1203" s="26" t="n"/>
      <c r="F1203" s="25" t="n"/>
      <c r="G1203" s="17">
        <f>IF(D1203="Sale",E1203*F1203,IF(D1203="Return",-E1203*F1203,""))</f>
        <v/>
      </c>
      <c r="H1203" s="17">
        <f>IFERROR(IF(D1203="Sale",E1203*INDEX(Products!$E$6:$E$205,MATCH(C1203,Products!$B$6:$B$205,0)),IF(D1203="Return",-E1203*INDEX(Products!$E$6:$E$205,MATCH(C1203,Products!$B$6:$B$205,0)),"")),"")</f>
        <v/>
      </c>
      <c r="I1203" s="24" t="n"/>
      <c r="J1203" s="1" t="n"/>
    </row>
    <row r="1204">
      <c r="A1204" s="1" t="n"/>
      <c r="B1204" s="30" t="n"/>
      <c r="C1204" s="23" t="n"/>
      <c r="D1204" s="23" t="n"/>
      <c r="E1204" s="26" t="n"/>
      <c r="F1204" s="25" t="n"/>
      <c r="G1204" s="17">
        <f>IF(D1204="Sale",E1204*F1204,IF(D1204="Return",-E1204*F1204,""))</f>
        <v/>
      </c>
      <c r="H1204" s="17">
        <f>IFERROR(IF(D1204="Sale",E1204*INDEX(Products!$E$6:$E$205,MATCH(C1204,Products!$B$6:$B$205,0)),IF(D1204="Return",-E1204*INDEX(Products!$E$6:$E$205,MATCH(C1204,Products!$B$6:$B$205,0)),"")),"")</f>
        <v/>
      </c>
      <c r="I1204" s="24" t="n"/>
      <c r="J1204" s="1" t="n"/>
    </row>
    <row r="1205">
      <c r="A1205" s="1" t="n"/>
      <c r="B1205" s="30" t="n"/>
      <c r="C1205" s="23" t="n"/>
      <c r="D1205" s="23" t="n"/>
      <c r="E1205" s="26" t="n"/>
      <c r="F1205" s="25" t="n"/>
      <c r="G1205" s="17">
        <f>IF(D1205="Sale",E1205*F1205,IF(D1205="Return",-E1205*F1205,""))</f>
        <v/>
      </c>
      <c r="H1205" s="17">
        <f>IFERROR(IF(D1205="Sale",E1205*INDEX(Products!$E$6:$E$205,MATCH(C1205,Products!$B$6:$B$205,0)),IF(D1205="Return",-E1205*INDEX(Products!$E$6:$E$205,MATCH(C1205,Products!$B$6:$B$205,0)),"")),"")</f>
        <v/>
      </c>
      <c r="I1205" s="24" t="n"/>
      <c r="J1205" s="1" t="n"/>
    </row>
    <row r="1206">
      <c r="A1206" s="1" t="n"/>
      <c r="B1206" s="30" t="n"/>
      <c r="C1206" s="23" t="n"/>
      <c r="D1206" s="23" t="n"/>
      <c r="E1206" s="26" t="n"/>
      <c r="F1206" s="25" t="n"/>
      <c r="G1206" s="17">
        <f>IF(D1206="Sale",E1206*F1206,IF(D1206="Return",-E1206*F1206,""))</f>
        <v/>
      </c>
      <c r="H1206" s="17">
        <f>IFERROR(IF(D1206="Sale",E1206*INDEX(Products!$E$6:$E$205,MATCH(C1206,Products!$B$6:$B$205,0)),IF(D1206="Return",-E1206*INDEX(Products!$E$6:$E$205,MATCH(C1206,Products!$B$6:$B$205,0)),"")),"")</f>
        <v/>
      </c>
      <c r="I1206" s="24" t="n"/>
      <c r="J1206" s="1" t="n"/>
    </row>
    <row r="1207">
      <c r="A1207" s="1" t="n"/>
      <c r="B1207" s="30" t="n"/>
      <c r="C1207" s="23" t="n"/>
      <c r="D1207" s="23" t="n"/>
      <c r="E1207" s="26" t="n"/>
      <c r="F1207" s="25" t="n"/>
      <c r="G1207" s="17">
        <f>IF(D1207="Sale",E1207*F1207,IF(D1207="Return",-E1207*F1207,""))</f>
        <v/>
      </c>
      <c r="H1207" s="17">
        <f>IFERROR(IF(D1207="Sale",E1207*INDEX(Products!$E$6:$E$205,MATCH(C1207,Products!$B$6:$B$205,0)),IF(D1207="Return",-E1207*INDEX(Products!$E$6:$E$205,MATCH(C1207,Products!$B$6:$B$205,0)),"")),"")</f>
        <v/>
      </c>
      <c r="I1207" s="24" t="n"/>
      <c r="J1207" s="1" t="n"/>
    </row>
    <row r="1208">
      <c r="A1208" s="1" t="n"/>
      <c r="B1208" s="30" t="n"/>
      <c r="C1208" s="23" t="n"/>
      <c r="D1208" s="23" t="n"/>
      <c r="E1208" s="26" t="n"/>
      <c r="F1208" s="25" t="n"/>
      <c r="G1208" s="17">
        <f>IF(D1208="Sale",E1208*F1208,IF(D1208="Return",-E1208*F1208,""))</f>
        <v/>
      </c>
      <c r="H1208" s="17">
        <f>IFERROR(IF(D1208="Sale",E1208*INDEX(Products!$E$6:$E$205,MATCH(C1208,Products!$B$6:$B$205,0)),IF(D1208="Return",-E1208*INDEX(Products!$E$6:$E$205,MATCH(C1208,Products!$B$6:$B$205,0)),"")),"")</f>
        <v/>
      </c>
      <c r="I1208" s="24" t="n"/>
      <c r="J1208" s="1" t="n"/>
    </row>
    <row r="1209">
      <c r="A1209" s="1" t="n"/>
      <c r="B1209" s="30" t="n"/>
      <c r="C1209" s="23" t="n"/>
      <c r="D1209" s="23" t="n"/>
      <c r="E1209" s="26" t="n"/>
      <c r="F1209" s="25" t="n"/>
      <c r="G1209" s="17">
        <f>IF(D1209="Sale",E1209*F1209,IF(D1209="Return",-E1209*F1209,""))</f>
        <v/>
      </c>
      <c r="H1209" s="17">
        <f>IFERROR(IF(D1209="Sale",E1209*INDEX(Products!$E$6:$E$205,MATCH(C1209,Products!$B$6:$B$205,0)),IF(D1209="Return",-E1209*INDEX(Products!$E$6:$E$205,MATCH(C1209,Products!$B$6:$B$205,0)),"")),"")</f>
        <v/>
      </c>
      <c r="I1209" s="24" t="n"/>
      <c r="J1209" s="1" t="n"/>
    </row>
    <row r="1210">
      <c r="A1210" s="1" t="n"/>
      <c r="B1210" s="30" t="n"/>
      <c r="C1210" s="23" t="n"/>
      <c r="D1210" s="23" t="n"/>
      <c r="E1210" s="26" t="n"/>
      <c r="F1210" s="25" t="n"/>
      <c r="G1210" s="17">
        <f>IF(D1210="Sale",E1210*F1210,IF(D1210="Return",-E1210*F1210,""))</f>
        <v/>
      </c>
      <c r="H1210" s="17">
        <f>IFERROR(IF(D1210="Sale",E1210*INDEX(Products!$E$6:$E$205,MATCH(C1210,Products!$B$6:$B$205,0)),IF(D1210="Return",-E1210*INDEX(Products!$E$6:$E$205,MATCH(C1210,Products!$B$6:$B$205,0)),"")),"")</f>
        <v/>
      </c>
      <c r="I1210" s="24" t="n"/>
      <c r="J1210" s="1" t="n"/>
    </row>
    <row r="1211">
      <c r="A1211" s="1" t="n"/>
      <c r="B1211" s="30" t="n"/>
      <c r="C1211" s="23" t="n"/>
      <c r="D1211" s="23" t="n"/>
      <c r="E1211" s="26" t="n"/>
      <c r="F1211" s="25" t="n"/>
      <c r="G1211" s="17">
        <f>IF(D1211="Sale",E1211*F1211,IF(D1211="Return",-E1211*F1211,""))</f>
        <v/>
      </c>
      <c r="H1211" s="17">
        <f>IFERROR(IF(D1211="Sale",E1211*INDEX(Products!$E$6:$E$205,MATCH(C1211,Products!$B$6:$B$205,0)),IF(D1211="Return",-E1211*INDEX(Products!$E$6:$E$205,MATCH(C1211,Products!$B$6:$B$205,0)),"")),"")</f>
        <v/>
      </c>
      <c r="I1211" s="24" t="n"/>
      <c r="J1211" s="1" t="n"/>
    </row>
    <row r="1212">
      <c r="A1212" s="1" t="n"/>
      <c r="B1212" s="30" t="n"/>
      <c r="C1212" s="23" t="n"/>
      <c r="D1212" s="23" t="n"/>
      <c r="E1212" s="26" t="n"/>
      <c r="F1212" s="25" t="n"/>
      <c r="G1212" s="17">
        <f>IF(D1212="Sale",E1212*F1212,IF(D1212="Return",-E1212*F1212,""))</f>
        <v/>
      </c>
      <c r="H1212" s="17">
        <f>IFERROR(IF(D1212="Sale",E1212*INDEX(Products!$E$6:$E$205,MATCH(C1212,Products!$B$6:$B$205,0)),IF(D1212="Return",-E1212*INDEX(Products!$E$6:$E$205,MATCH(C1212,Products!$B$6:$B$205,0)),"")),"")</f>
        <v/>
      </c>
      <c r="I1212" s="24" t="n"/>
      <c r="J1212" s="1" t="n"/>
    </row>
    <row r="1213">
      <c r="A1213" s="1" t="n"/>
      <c r="B1213" s="30" t="n"/>
      <c r="C1213" s="23" t="n"/>
      <c r="D1213" s="23" t="n"/>
      <c r="E1213" s="26" t="n"/>
      <c r="F1213" s="25" t="n"/>
      <c r="G1213" s="17">
        <f>IF(D1213="Sale",E1213*F1213,IF(D1213="Return",-E1213*F1213,""))</f>
        <v/>
      </c>
      <c r="H1213" s="17">
        <f>IFERROR(IF(D1213="Sale",E1213*INDEX(Products!$E$6:$E$205,MATCH(C1213,Products!$B$6:$B$205,0)),IF(D1213="Return",-E1213*INDEX(Products!$E$6:$E$205,MATCH(C1213,Products!$B$6:$B$205,0)),"")),"")</f>
        <v/>
      </c>
      <c r="I1213" s="24" t="n"/>
      <c r="J1213" s="1" t="n"/>
    </row>
    <row r="1214">
      <c r="A1214" s="1" t="n"/>
      <c r="B1214" s="30" t="n"/>
      <c r="C1214" s="23" t="n"/>
      <c r="D1214" s="23" t="n"/>
      <c r="E1214" s="26" t="n"/>
      <c r="F1214" s="25" t="n"/>
      <c r="G1214" s="17">
        <f>IF(D1214="Sale",E1214*F1214,IF(D1214="Return",-E1214*F1214,""))</f>
        <v/>
      </c>
      <c r="H1214" s="17">
        <f>IFERROR(IF(D1214="Sale",E1214*INDEX(Products!$E$6:$E$205,MATCH(C1214,Products!$B$6:$B$205,0)),IF(D1214="Return",-E1214*INDEX(Products!$E$6:$E$205,MATCH(C1214,Products!$B$6:$B$205,0)),"")),"")</f>
        <v/>
      </c>
      <c r="I1214" s="24" t="n"/>
      <c r="J1214" s="1" t="n"/>
    </row>
    <row r="1215">
      <c r="A1215" s="1" t="n"/>
      <c r="B1215" s="30" t="n"/>
      <c r="C1215" s="23" t="n"/>
      <c r="D1215" s="23" t="n"/>
      <c r="E1215" s="26" t="n"/>
      <c r="F1215" s="25" t="n"/>
      <c r="G1215" s="17">
        <f>IF(D1215="Sale",E1215*F1215,IF(D1215="Return",-E1215*F1215,""))</f>
        <v/>
      </c>
      <c r="H1215" s="17">
        <f>IFERROR(IF(D1215="Sale",E1215*INDEX(Products!$E$6:$E$205,MATCH(C1215,Products!$B$6:$B$205,0)),IF(D1215="Return",-E1215*INDEX(Products!$E$6:$E$205,MATCH(C1215,Products!$B$6:$B$205,0)),"")),"")</f>
        <v/>
      </c>
      <c r="I1215" s="24" t="n"/>
      <c r="J1215" s="1" t="n"/>
    </row>
    <row r="1216">
      <c r="A1216" s="1" t="n"/>
      <c r="B1216" s="30" t="n"/>
      <c r="C1216" s="23" t="n"/>
      <c r="D1216" s="23" t="n"/>
      <c r="E1216" s="26" t="n"/>
      <c r="F1216" s="25" t="n"/>
      <c r="G1216" s="17">
        <f>IF(D1216="Sale",E1216*F1216,IF(D1216="Return",-E1216*F1216,""))</f>
        <v/>
      </c>
      <c r="H1216" s="17">
        <f>IFERROR(IF(D1216="Sale",E1216*INDEX(Products!$E$6:$E$205,MATCH(C1216,Products!$B$6:$B$205,0)),IF(D1216="Return",-E1216*INDEX(Products!$E$6:$E$205,MATCH(C1216,Products!$B$6:$B$205,0)),"")),"")</f>
        <v/>
      </c>
      <c r="I1216" s="24" t="n"/>
      <c r="J1216" s="1" t="n"/>
    </row>
    <row r="1217">
      <c r="A1217" s="1" t="n"/>
      <c r="B1217" s="30" t="n"/>
      <c r="C1217" s="23" t="n"/>
      <c r="D1217" s="23" t="n"/>
      <c r="E1217" s="26" t="n"/>
      <c r="F1217" s="25" t="n"/>
      <c r="G1217" s="17">
        <f>IF(D1217="Sale",E1217*F1217,IF(D1217="Return",-E1217*F1217,""))</f>
        <v/>
      </c>
      <c r="H1217" s="17">
        <f>IFERROR(IF(D1217="Sale",E1217*INDEX(Products!$E$6:$E$205,MATCH(C1217,Products!$B$6:$B$205,0)),IF(D1217="Return",-E1217*INDEX(Products!$E$6:$E$205,MATCH(C1217,Products!$B$6:$B$205,0)),"")),"")</f>
        <v/>
      </c>
      <c r="I1217" s="24" t="n"/>
      <c r="J1217" s="1" t="n"/>
    </row>
    <row r="1218">
      <c r="A1218" s="1" t="n"/>
      <c r="B1218" s="30" t="n"/>
      <c r="C1218" s="23" t="n"/>
      <c r="D1218" s="23" t="n"/>
      <c r="E1218" s="26" t="n"/>
      <c r="F1218" s="25" t="n"/>
      <c r="G1218" s="17">
        <f>IF(D1218="Sale",E1218*F1218,IF(D1218="Return",-E1218*F1218,""))</f>
        <v/>
      </c>
      <c r="H1218" s="17">
        <f>IFERROR(IF(D1218="Sale",E1218*INDEX(Products!$E$6:$E$205,MATCH(C1218,Products!$B$6:$B$205,0)),IF(D1218="Return",-E1218*INDEX(Products!$E$6:$E$205,MATCH(C1218,Products!$B$6:$B$205,0)),"")),"")</f>
        <v/>
      </c>
      <c r="I1218" s="24" t="n"/>
      <c r="J1218" s="1" t="n"/>
    </row>
    <row r="1219">
      <c r="A1219" s="1" t="n"/>
      <c r="B1219" s="30" t="n"/>
      <c r="C1219" s="23" t="n"/>
      <c r="D1219" s="23" t="n"/>
      <c r="E1219" s="26" t="n"/>
      <c r="F1219" s="25" t="n"/>
      <c r="G1219" s="17">
        <f>IF(D1219="Sale",E1219*F1219,IF(D1219="Return",-E1219*F1219,""))</f>
        <v/>
      </c>
      <c r="H1219" s="17">
        <f>IFERROR(IF(D1219="Sale",E1219*INDEX(Products!$E$6:$E$205,MATCH(C1219,Products!$B$6:$B$205,0)),IF(D1219="Return",-E1219*INDEX(Products!$E$6:$E$205,MATCH(C1219,Products!$B$6:$B$205,0)),"")),"")</f>
        <v/>
      </c>
      <c r="I1219" s="24" t="n"/>
      <c r="J1219" s="1" t="n"/>
    </row>
    <row r="1220">
      <c r="A1220" s="1" t="n"/>
      <c r="B1220" s="30" t="n"/>
      <c r="C1220" s="23" t="n"/>
      <c r="D1220" s="23" t="n"/>
      <c r="E1220" s="26" t="n"/>
      <c r="F1220" s="25" t="n"/>
      <c r="G1220" s="17">
        <f>IF(D1220="Sale",E1220*F1220,IF(D1220="Return",-E1220*F1220,""))</f>
        <v/>
      </c>
      <c r="H1220" s="17">
        <f>IFERROR(IF(D1220="Sale",E1220*INDEX(Products!$E$6:$E$205,MATCH(C1220,Products!$B$6:$B$205,0)),IF(D1220="Return",-E1220*INDEX(Products!$E$6:$E$205,MATCH(C1220,Products!$B$6:$B$205,0)),"")),"")</f>
        <v/>
      </c>
      <c r="I1220" s="24" t="n"/>
      <c r="J1220" s="1" t="n"/>
    </row>
    <row r="1221">
      <c r="A1221" s="1" t="n"/>
      <c r="B1221" s="30" t="n"/>
      <c r="C1221" s="23" t="n"/>
      <c r="D1221" s="23" t="n"/>
      <c r="E1221" s="26" t="n"/>
      <c r="F1221" s="25" t="n"/>
      <c r="G1221" s="17">
        <f>IF(D1221="Sale",E1221*F1221,IF(D1221="Return",-E1221*F1221,""))</f>
        <v/>
      </c>
      <c r="H1221" s="17">
        <f>IFERROR(IF(D1221="Sale",E1221*INDEX(Products!$E$6:$E$205,MATCH(C1221,Products!$B$6:$B$205,0)),IF(D1221="Return",-E1221*INDEX(Products!$E$6:$E$205,MATCH(C1221,Products!$B$6:$B$205,0)),"")),"")</f>
        <v/>
      </c>
      <c r="I1221" s="24" t="n"/>
      <c r="J1221" s="1" t="n"/>
    </row>
    <row r="1222">
      <c r="A1222" s="1" t="n"/>
      <c r="B1222" s="30" t="n"/>
      <c r="C1222" s="23" t="n"/>
      <c r="D1222" s="23" t="n"/>
      <c r="E1222" s="26" t="n"/>
      <c r="F1222" s="25" t="n"/>
      <c r="G1222" s="17">
        <f>IF(D1222="Sale",E1222*F1222,IF(D1222="Return",-E1222*F1222,""))</f>
        <v/>
      </c>
      <c r="H1222" s="17">
        <f>IFERROR(IF(D1222="Sale",E1222*INDEX(Products!$E$6:$E$205,MATCH(C1222,Products!$B$6:$B$205,0)),IF(D1222="Return",-E1222*INDEX(Products!$E$6:$E$205,MATCH(C1222,Products!$B$6:$B$205,0)),"")),"")</f>
        <v/>
      </c>
      <c r="I1222" s="24" t="n"/>
      <c r="J1222" s="1" t="n"/>
    </row>
    <row r="1223">
      <c r="A1223" s="1" t="n"/>
      <c r="B1223" s="30" t="n"/>
      <c r="C1223" s="23" t="n"/>
      <c r="D1223" s="23" t="n"/>
      <c r="E1223" s="26" t="n"/>
      <c r="F1223" s="25" t="n"/>
      <c r="G1223" s="17">
        <f>IF(D1223="Sale",E1223*F1223,IF(D1223="Return",-E1223*F1223,""))</f>
        <v/>
      </c>
      <c r="H1223" s="17">
        <f>IFERROR(IF(D1223="Sale",E1223*INDEX(Products!$E$6:$E$205,MATCH(C1223,Products!$B$6:$B$205,0)),IF(D1223="Return",-E1223*INDEX(Products!$E$6:$E$205,MATCH(C1223,Products!$B$6:$B$205,0)),"")),"")</f>
        <v/>
      </c>
      <c r="I1223" s="24" t="n"/>
      <c r="J1223" s="1" t="n"/>
    </row>
    <row r="1224">
      <c r="A1224" s="1" t="n"/>
      <c r="B1224" s="30" t="n"/>
      <c r="C1224" s="23" t="n"/>
      <c r="D1224" s="23" t="n"/>
      <c r="E1224" s="26" t="n"/>
      <c r="F1224" s="25" t="n"/>
      <c r="G1224" s="17">
        <f>IF(D1224="Sale",E1224*F1224,IF(D1224="Return",-E1224*F1224,""))</f>
        <v/>
      </c>
      <c r="H1224" s="17">
        <f>IFERROR(IF(D1224="Sale",E1224*INDEX(Products!$E$6:$E$205,MATCH(C1224,Products!$B$6:$B$205,0)),IF(D1224="Return",-E1224*INDEX(Products!$E$6:$E$205,MATCH(C1224,Products!$B$6:$B$205,0)),"")),"")</f>
        <v/>
      </c>
      <c r="I1224" s="24" t="n"/>
      <c r="J1224" s="1" t="n"/>
    </row>
    <row r="1225">
      <c r="A1225" s="1" t="n"/>
      <c r="B1225" s="30" t="n"/>
      <c r="C1225" s="23" t="n"/>
      <c r="D1225" s="23" t="n"/>
      <c r="E1225" s="26" t="n"/>
      <c r="F1225" s="25" t="n"/>
      <c r="G1225" s="17">
        <f>IF(D1225="Sale",E1225*F1225,IF(D1225="Return",-E1225*F1225,""))</f>
        <v/>
      </c>
      <c r="H1225" s="17">
        <f>IFERROR(IF(D1225="Sale",E1225*INDEX(Products!$E$6:$E$205,MATCH(C1225,Products!$B$6:$B$205,0)),IF(D1225="Return",-E1225*INDEX(Products!$E$6:$E$205,MATCH(C1225,Products!$B$6:$B$205,0)),"")),"")</f>
        <v/>
      </c>
      <c r="I1225" s="24" t="n"/>
      <c r="J1225" s="1" t="n"/>
    </row>
    <row r="1226">
      <c r="A1226" s="1" t="n"/>
      <c r="B1226" s="30" t="n"/>
      <c r="C1226" s="23" t="n"/>
      <c r="D1226" s="23" t="n"/>
      <c r="E1226" s="26" t="n"/>
      <c r="F1226" s="25" t="n"/>
      <c r="G1226" s="17">
        <f>IF(D1226="Sale",E1226*F1226,IF(D1226="Return",-E1226*F1226,""))</f>
        <v/>
      </c>
      <c r="H1226" s="17">
        <f>IFERROR(IF(D1226="Sale",E1226*INDEX(Products!$E$6:$E$205,MATCH(C1226,Products!$B$6:$B$205,0)),IF(D1226="Return",-E1226*INDEX(Products!$E$6:$E$205,MATCH(C1226,Products!$B$6:$B$205,0)),"")),"")</f>
        <v/>
      </c>
      <c r="I1226" s="24" t="n"/>
      <c r="J1226" s="1" t="n"/>
    </row>
    <row r="1227">
      <c r="A1227" s="1" t="n"/>
      <c r="B1227" s="30" t="n"/>
      <c r="C1227" s="23" t="n"/>
      <c r="D1227" s="23" t="n"/>
      <c r="E1227" s="26" t="n"/>
      <c r="F1227" s="25" t="n"/>
      <c r="G1227" s="17">
        <f>IF(D1227="Sale",E1227*F1227,IF(D1227="Return",-E1227*F1227,""))</f>
        <v/>
      </c>
      <c r="H1227" s="17">
        <f>IFERROR(IF(D1227="Sale",E1227*INDEX(Products!$E$6:$E$205,MATCH(C1227,Products!$B$6:$B$205,0)),IF(D1227="Return",-E1227*INDEX(Products!$E$6:$E$205,MATCH(C1227,Products!$B$6:$B$205,0)),"")),"")</f>
        <v/>
      </c>
      <c r="I1227" s="24" t="n"/>
      <c r="J1227" s="1" t="n"/>
    </row>
    <row r="1228">
      <c r="A1228" s="1" t="n"/>
      <c r="B1228" s="30" t="n"/>
      <c r="C1228" s="23" t="n"/>
      <c r="D1228" s="23" t="n"/>
      <c r="E1228" s="26" t="n"/>
      <c r="F1228" s="25" t="n"/>
      <c r="G1228" s="17">
        <f>IF(D1228="Sale",E1228*F1228,IF(D1228="Return",-E1228*F1228,""))</f>
        <v/>
      </c>
      <c r="H1228" s="17">
        <f>IFERROR(IF(D1228="Sale",E1228*INDEX(Products!$E$6:$E$205,MATCH(C1228,Products!$B$6:$B$205,0)),IF(D1228="Return",-E1228*INDEX(Products!$E$6:$E$205,MATCH(C1228,Products!$B$6:$B$205,0)),"")),"")</f>
        <v/>
      </c>
      <c r="I1228" s="24" t="n"/>
      <c r="J1228" s="1" t="n"/>
    </row>
    <row r="1229">
      <c r="A1229" s="1" t="n"/>
      <c r="B1229" s="30" t="n"/>
      <c r="C1229" s="23" t="n"/>
      <c r="D1229" s="23" t="n"/>
      <c r="E1229" s="26" t="n"/>
      <c r="F1229" s="25" t="n"/>
      <c r="G1229" s="17">
        <f>IF(D1229="Sale",E1229*F1229,IF(D1229="Return",-E1229*F1229,""))</f>
        <v/>
      </c>
      <c r="H1229" s="17">
        <f>IFERROR(IF(D1229="Sale",E1229*INDEX(Products!$E$6:$E$205,MATCH(C1229,Products!$B$6:$B$205,0)),IF(D1229="Return",-E1229*INDEX(Products!$E$6:$E$205,MATCH(C1229,Products!$B$6:$B$205,0)),"")),"")</f>
        <v/>
      </c>
      <c r="I1229" s="24" t="n"/>
      <c r="J1229" s="1" t="n"/>
    </row>
    <row r="1230">
      <c r="A1230" s="1" t="n"/>
      <c r="B1230" s="30" t="n"/>
      <c r="C1230" s="23" t="n"/>
      <c r="D1230" s="23" t="n"/>
      <c r="E1230" s="26" t="n"/>
      <c r="F1230" s="25" t="n"/>
      <c r="G1230" s="17">
        <f>IF(D1230="Sale",E1230*F1230,IF(D1230="Return",-E1230*F1230,""))</f>
        <v/>
      </c>
      <c r="H1230" s="17">
        <f>IFERROR(IF(D1230="Sale",E1230*INDEX(Products!$E$6:$E$205,MATCH(C1230,Products!$B$6:$B$205,0)),IF(D1230="Return",-E1230*INDEX(Products!$E$6:$E$205,MATCH(C1230,Products!$B$6:$B$205,0)),"")),"")</f>
        <v/>
      </c>
      <c r="I1230" s="24" t="n"/>
      <c r="J1230" s="1" t="n"/>
    </row>
    <row r="1231">
      <c r="A1231" s="1" t="n"/>
      <c r="B1231" s="30" t="n"/>
      <c r="C1231" s="23" t="n"/>
      <c r="D1231" s="23" t="n"/>
      <c r="E1231" s="26" t="n"/>
      <c r="F1231" s="25" t="n"/>
      <c r="G1231" s="17">
        <f>IF(D1231="Sale",E1231*F1231,IF(D1231="Return",-E1231*F1231,""))</f>
        <v/>
      </c>
      <c r="H1231" s="17">
        <f>IFERROR(IF(D1231="Sale",E1231*INDEX(Products!$E$6:$E$205,MATCH(C1231,Products!$B$6:$B$205,0)),IF(D1231="Return",-E1231*INDEX(Products!$E$6:$E$205,MATCH(C1231,Products!$B$6:$B$205,0)),"")),"")</f>
        <v/>
      </c>
      <c r="I1231" s="24" t="n"/>
      <c r="J1231" s="1" t="n"/>
    </row>
    <row r="1232">
      <c r="A1232" s="1" t="n"/>
      <c r="B1232" s="30" t="n"/>
      <c r="C1232" s="23" t="n"/>
      <c r="D1232" s="23" t="n"/>
      <c r="E1232" s="26" t="n"/>
      <c r="F1232" s="25" t="n"/>
      <c r="G1232" s="17">
        <f>IF(D1232="Sale",E1232*F1232,IF(D1232="Return",-E1232*F1232,""))</f>
        <v/>
      </c>
      <c r="H1232" s="17">
        <f>IFERROR(IF(D1232="Sale",E1232*INDEX(Products!$E$6:$E$205,MATCH(C1232,Products!$B$6:$B$205,0)),IF(D1232="Return",-E1232*INDEX(Products!$E$6:$E$205,MATCH(C1232,Products!$B$6:$B$205,0)),"")),"")</f>
        <v/>
      </c>
      <c r="I1232" s="24" t="n"/>
      <c r="J1232" s="1" t="n"/>
    </row>
    <row r="1233">
      <c r="A1233" s="1" t="n"/>
      <c r="B1233" s="30" t="n"/>
      <c r="C1233" s="23" t="n"/>
      <c r="D1233" s="23" t="n"/>
      <c r="E1233" s="26" t="n"/>
      <c r="F1233" s="25" t="n"/>
      <c r="G1233" s="17">
        <f>IF(D1233="Sale",E1233*F1233,IF(D1233="Return",-E1233*F1233,""))</f>
        <v/>
      </c>
      <c r="H1233" s="17">
        <f>IFERROR(IF(D1233="Sale",E1233*INDEX(Products!$E$6:$E$205,MATCH(C1233,Products!$B$6:$B$205,0)),IF(D1233="Return",-E1233*INDEX(Products!$E$6:$E$205,MATCH(C1233,Products!$B$6:$B$205,0)),"")),"")</f>
        <v/>
      </c>
      <c r="I1233" s="24" t="n"/>
      <c r="J1233" s="1" t="n"/>
    </row>
    <row r="1234">
      <c r="A1234" s="1" t="n"/>
      <c r="B1234" s="30" t="n"/>
      <c r="C1234" s="23" t="n"/>
      <c r="D1234" s="23" t="n"/>
      <c r="E1234" s="26" t="n"/>
      <c r="F1234" s="25" t="n"/>
      <c r="G1234" s="17">
        <f>IF(D1234="Sale",E1234*F1234,IF(D1234="Return",-E1234*F1234,""))</f>
        <v/>
      </c>
      <c r="H1234" s="17">
        <f>IFERROR(IF(D1234="Sale",E1234*INDEX(Products!$E$6:$E$205,MATCH(C1234,Products!$B$6:$B$205,0)),IF(D1234="Return",-E1234*INDEX(Products!$E$6:$E$205,MATCH(C1234,Products!$B$6:$B$205,0)),"")),"")</f>
        <v/>
      </c>
      <c r="I1234" s="24" t="n"/>
      <c r="J1234" s="1" t="n"/>
    </row>
    <row r="1235">
      <c r="A1235" s="1" t="n"/>
      <c r="B1235" s="30" t="n"/>
      <c r="C1235" s="23" t="n"/>
      <c r="D1235" s="23" t="n"/>
      <c r="E1235" s="26" t="n"/>
      <c r="F1235" s="25" t="n"/>
      <c r="G1235" s="17">
        <f>IF(D1235="Sale",E1235*F1235,IF(D1235="Return",-E1235*F1235,""))</f>
        <v/>
      </c>
      <c r="H1235" s="17">
        <f>IFERROR(IF(D1235="Sale",E1235*INDEX(Products!$E$6:$E$205,MATCH(C1235,Products!$B$6:$B$205,0)),IF(D1235="Return",-E1235*INDEX(Products!$E$6:$E$205,MATCH(C1235,Products!$B$6:$B$205,0)),"")),"")</f>
        <v/>
      </c>
      <c r="I1235" s="24" t="n"/>
      <c r="J1235" s="1" t="n"/>
    </row>
    <row r="1236">
      <c r="A1236" s="1" t="n"/>
      <c r="B1236" s="30" t="n"/>
      <c r="C1236" s="23" t="n"/>
      <c r="D1236" s="23" t="n"/>
      <c r="E1236" s="26" t="n"/>
      <c r="F1236" s="25" t="n"/>
      <c r="G1236" s="17">
        <f>IF(D1236="Sale",E1236*F1236,IF(D1236="Return",-E1236*F1236,""))</f>
        <v/>
      </c>
      <c r="H1236" s="17">
        <f>IFERROR(IF(D1236="Sale",E1236*INDEX(Products!$E$6:$E$205,MATCH(C1236,Products!$B$6:$B$205,0)),IF(D1236="Return",-E1236*INDEX(Products!$E$6:$E$205,MATCH(C1236,Products!$B$6:$B$205,0)),"")),"")</f>
        <v/>
      </c>
      <c r="I1236" s="24" t="n"/>
      <c r="J1236" s="1" t="n"/>
    </row>
    <row r="1237">
      <c r="A1237" s="1" t="n"/>
      <c r="B1237" s="30" t="n"/>
      <c r="C1237" s="23" t="n"/>
      <c r="D1237" s="23" t="n"/>
      <c r="E1237" s="26" t="n"/>
      <c r="F1237" s="25" t="n"/>
      <c r="G1237" s="17">
        <f>IF(D1237="Sale",E1237*F1237,IF(D1237="Return",-E1237*F1237,""))</f>
        <v/>
      </c>
      <c r="H1237" s="17">
        <f>IFERROR(IF(D1237="Sale",E1237*INDEX(Products!$E$6:$E$205,MATCH(C1237,Products!$B$6:$B$205,0)),IF(D1237="Return",-E1237*INDEX(Products!$E$6:$E$205,MATCH(C1237,Products!$B$6:$B$205,0)),"")),"")</f>
        <v/>
      </c>
      <c r="I1237" s="24" t="n"/>
      <c r="J1237" s="1" t="n"/>
    </row>
    <row r="1238">
      <c r="A1238" s="1" t="n"/>
      <c r="B1238" s="30" t="n"/>
      <c r="C1238" s="23" t="n"/>
      <c r="D1238" s="23" t="n"/>
      <c r="E1238" s="26" t="n"/>
      <c r="F1238" s="25" t="n"/>
      <c r="G1238" s="17">
        <f>IF(D1238="Sale",E1238*F1238,IF(D1238="Return",-E1238*F1238,""))</f>
        <v/>
      </c>
      <c r="H1238" s="17">
        <f>IFERROR(IF(D1238="Sale",E1238*INDEX(Products!$E$6:$E$205,MATCH(C1238,Products!$B$6:$B$205,0)),IF(D1238="Return",-E1238*INDEX(Products!$E$6:$E$205,MATCH(C1238,Products!$B$6:$B$205,0)),"")),"")</f>
        <v/>
      </c>
      <c r="I1238" s="24" t="n"/>
      <c r="J1238" s="1" t="n"/>
    </row>
    <row r="1239">
      <c r="A1239" s="1" t="n"/>
      <c r="B1239" s="30" t="n"/>
      <c r="C1239" s="23" t="n"/>
      <c r="D1239" s="23" t="n"/>
      <c r="E1239" s="26" t="n"/>
      <c r="F1239" s="25" t="n"/>
      <c r="G1239" s="17">
        <f>IF(D1239="Sale",E1239*F1239,IF(D1239="Return",-E1239*F1239,""))</f>
        <v/>
      </c>
      <c r="H1239" s="17">
        <f>IFERROR(IF(D1239="Sale",E1239*INDEX(Products!$E$6:$E$205,MATCH(C1239,Products!$B$6:$B$205,0)),IF(D1239="Return",-E1239*INDEX(Products!$E$6:$E$205,MATCH(C1239,Products!$B$6:$B$205,0)),"")),"")</f>
        <v/>
      </c>
      <c r="I1239" s="24" t="n"/>
      <c r="J1239" s="1" t="n"/>
    </row>
    <row r="1240">
      <c r="A1240" s="1" t="n"/>
      <c r="B1240" s="30" t="n"/>
      <c r="C1240" s="23" t="n"/>
      <c r="D1240" s="23" t="n"/>
      <c r="E1240" s="26" t="n"/>
      <c r="F1240" s="25" t="n"/>
      <c r="G1240" s="17">
        <f>IF(D1240="Sale",E1240*F1240,IF(D1240="Return",-E1240*F1240,""))</f>
        <v/>
      </c>
      <c r="H1240" s="17">
        <f>IFERROR(IF(D1240="Sale",E1240*INDEX(Products!$E$6:$E$205,MATCH(C1240,Products!$B$6:$B$205,0)),IF(D1240="Return",-E1240*INDEX(Products!$E$6:$E$205,MATCH(C1240,Products!$B$6:$B$205,0)),"")),"")</f>
        <v/>
      </c>
      <c r="I1240" s="24" t="n"/>
      <c r="J1240" s="1" t="n"/>
    </row>
    <row r="1241">
      <c r="A1241" s="1" t="n"/>
      <c r="B1241" s="30" t="n"/>
      <c r="C1241" s="23" t="n"/>
      <c r="D1241" s="23" t="n"/>
      <c r="E1241" s="26" t="n"/>
      <c r="F1241" s="25" t="n"/>
      <c r="G1241" s="17">
        <f>IF(D1241="Sale",E1241*F1241,IF(D1241="Return",-E1241*F1241,""))</f>
        <v/>
      </c>
      <c r="H1241" s="17">
        <f>IFERROR(IF(D1241="Sale",E1241*INDEX(Products!$E$6:$E$205,MATCH(C1241,Products!$B$6:$B$205,0)),IF(D1241="Return",-E1241*INDEX(Products!$E$6:$E$205,MATCH(C1241,Products!$B$6:$B$205,0)),"")),"")</f>
        <v/>
      </c>
      <c r="I1241" s="24" t="n"/>
      <c r="J1241" s="1" t="n"/>
    </row>
    <row r="1242">
      <c r="A1242" s="1" t="n"/>
      <c r="B1242" s="30" t="n"/>
      <c r="C1242" s="23" t="n"/>
      <c r="D1242" s="23" t="n"/>
      <c r="E1242" s="26" t="n"/>
      <c r="F1242" s="25" t="n"/>
      <c r="G1242" s="17">
        <f>IF(D1242="Sale",E1242*F1242,IF(D1242="Return",-E1242*F1242,""))</f>
        <v/>
      </c>
      <c r="H1242" s="17">
        <f>IFERROR(IF(D1242="Sale",E1242*INDEX(Products!$E$6:$E$205,MATCH(C1242,Products!$B$6:$B$205,0)),IF(D1242="Return",-E1242*INDEX(Products!$E$6:$E$205,MATCH(C1242,Products!$B$6:$B$205,0)),"")),"")</f>
        <v/>
      </c>
      <c r="I1242" s="24" t="n"/>
      <c r="J1242" s="1" t="n"/>
    </row>
    <row r="1243">
      <c r="A1243" s="1" t="n"/>
      <c r="B1243" s="30" t="n"/>
      <c r="C1243" s="23" t="n"/>
      <c r="D1243" s="23" t="n"/>
      <c r="E1243" s="26" t="n"/>
      <c r="F1243" s="25" t="n"/>
      <c r="G1243" s="17">
        <f>IF(D1243="Sale",E1243*F1243,IF(D1243="Return",-E1243*F1243,""))</f>
        <v/>
      </c>
      <c r="H1243" s="17">
        <f>IFERROR(IF(D1243="Sale",E1243*INDEX(Products!$E$6:$E$205,MATCH(C1243,Products!$B$6:$B$205,0)),IF(D1243="Return",-E1243*INDEX(Products!$E$6:$E$205,MATCH(C1243,Products!$B$6:$B$205,0)),"")),"")</f>
        <v/>
      </c>
      <c r="I1243" s="24" t="n"/>
      <c r="J1243" s="1" t="n"/>
    </row>
    <row r="1244">
      <c r="A1244" s="1" t="n"/>
      <c r="B1244" s="30" t="n"/>
      <c r="C1244" s="23" t="n"/>
      <c r="D1244" s="23" t="n"/>
      <c r="E1244" s="26" t="n"/>
      <c r="F1244" s="25" t="n"/>
      <c r="G1244" s="17">
        <f>IF(D1244="Sale",E1244*F1244,IF(D1244="Return",-E1244*F1244,""))</f>
        <v/>
      </c>
      <c r="H1244" s="17">
        <f>IFERROR(IF(D1244="Sale",E1244*INDEX(Products!$E$6:$E$205,MATCH(C1244,Products!$B$6:$B$205,0)),IF(D1244="Return",-E1244*INDEX(Products!$E$6:$E$205,MATCH(C1244,Products!$B$6:$B$205,0)),"")),"")</f>
        <v/>
      </c>
      <c r="I1244" s="24" t="n"/>
      <c r="J1244" s="1" t="n"/>
    </row>
    <row r="1245">
      <c r="A1245" s="1" t="n"/>
      <c r="B1245" s="30" t="n"/>
      <c r="C1245" s="23" t="n"/>
      <c r="D1245" s="23" t="n"/>
      <c r="E1245" s="26" t="n"/>
      <c r="F1245" s="25" t="n"/>
      <c r="G1245" s="17">
        <f>IF(D1245="Sale",E1245*F1245,IF(D1245="Return",-E1245*F1245,""))</f>
        <v/>
      </c>
      <c r="H1245" s="17">
        <f>IFERROR(IF(D1245="Sale",E1245*INDEX(Products!$E$6:$E$205,MATCH(C1245,Products!$B$6:$B$205,0)),IF(D1245="Return",-E1245*INDEX(Products!$E$6:$E$205,MATCH(C1245,Products!$B$6:$B$205,0)),"")),"")</f>
        <v/>
      </c>
      <c r="I1245" s="24" t="n"/>
      <c r="J1245" s="1" t="n"/>
    </row>
    <row r="1246">
      <c r="A1246" s="1" t="n"/>
      <c r="B1246" s="30" t="n"/>
      <c r="C1246" s="23" t="n"/>
      <c r="D1246" s="23" t="n"/>
      <c r="E1246" s="26" t="n"/>
      <c r="F1246" s="25" t="n"/>
      <c r="G1246" s="17">
        <f>IF(D1246="Sale",E1246*F1246,IF(D1246="Return",-E1246*F1246,""))</f>
        <v/>
      </c>
      <c r="H1246" s="17">
        <f>IFERROR(IF(D1246="Sale",E1246*INDEX(Products!$E$6:$E$205,MATCH(C1246,Products!$B$6:$B$205,0)),IF(D1246="Return",-E1246*INDEX(Products!$E$6:$E$205,MATCH(C1246,Products!$B$6:$B$205,0)),"")),"")</f>
        <v/>
      </c>
      <c r="I1246" s="24" t="n"/>
      <c r="J1246" s="1" t="n"/>
    </row>
    <row r="1247">
      <c r="A1247" s="1" t="n"/>
      <c r="B1247" s="30" t="n"/>
      <c r="C1247" s="23" t="n"/>
      <c r="D1247" s="23" t="n"/>
      <c r="E1247" s="26" t="n"/>
      <c r="F1247" s="25" t="n"/>
      <c r="G1247" s="17">
        <f>IF(D1247="Sale",E1247*F1247,IF(D1247="Return",-E1247*F1247,""))</f>
        <v/>
      </c>
      <c r="H1247" s="17">
        <f>IFERROR(IF(D1247="Sale",E1247*INDEX(Products!$E$6:$E$205,MATCH(C1247,Products!$B$6:$B$205,0)),IF(D1247="Return",-E1247*INDEX(Products!$E$6:$E$205,MATCH(C1247,Products!$B$6:$B$205,0)),"")),"")</f>
        <v/>
      </c>
      <c r="I1247" s="24" t="n"/>
      <c r="J1247" s="1" t="n"/>
    </row>
    <row r="1248">
      <c r="A1248" s="1" t="n"/>
      <c r="B1248" s="30" t="n"/>
      <c r="C1248" s="23" t="n"/>
      <c r="D1248" s="23" t="n"/>
      <c r="E1248" s="26" t="n"/>
      <c r="F1248" s="25" t="n"/>
      <c r="G1248" s="17">
        <f>IF(D1248="Sale",E1248*F1248,IF(D1248="Return",-E1248*F1248,""))</f>
        <v/>
      </c>
      <c r="H1248" s="17">
        <f>IFERROR(IF(D1248="Sale",E1248*INDEX(Products!$E$6:$E$205,MATCH(C1248,Products!$B$6:$B$205,0)),IF(D1248="Return",-E1248*INDEX(Products!$E$6:$E$205,MATCH(C1248,Products!$B$6:$B$205,0)),"")),"")</f>
        <v/>
      </c>
      <c r="I1248" s="24" t="n"/>
      <c r="J1248" s="1" t="n"/>
    </row>
    <row r="1249">
      <c r="A1249" s="1" t="n"/>
      <c r="B1249" s="30" t="n"/>
      <c r="C1249" s="23" t="n"/>
      <c r="D1249" s="23" t="n"/>
      <c r="E1249" s="26" t="n"/>
      <c r="F1249" s="25" t="n"/>
      <c r="G1249" s="17">
        <f>IF(D1249="Sale",E1249*F1249,IF(D1249="Return",-E1249*F1249,""))</f>
        <v/>
      </c>
      <c r="H1249" s="17">
        <f>IFERROR(IF(D1249="Sale",E1249*INDEX(Products!$E$6:$E$205,MATCH(C1249,Products!$B$6:$B$205,0)),IF(D1249="Return",-E1249*INDEX(Products!$E$6:$E$205,MATCH(C1249,Products!$B$6:$B$205,0)),"")),"")</f>
        <v/>
      </c>
      <c r="I1249" s="24" t="n"/>
      <c r="J1249" s="1" t="n"/>
    </row>
    <row r="1250">
      <c r="A1250" s="1" t="n"/>
      <c r="B1250" s="30" t="n"/>
      <c r="C1250" s="23" t="n"/>
      <c r="D1250" s="23" t="n"/>
      <c r="E1250" s="26" t="n"/>
      <c r="F1250" s="25" t="n"/>
      <c r="G1250" s="17">
        <f>IF(D1250="Sale",E1250*F1250,IF(D1250="Return",-E1250*F1250,""))</f>
        <v/>
      </c>
      <c r="H1250" s="17">
        <f>IFERROR(IF(D1250="Sale",E1250*INDEX(Products!$E$6:$E$205,MATCH(C1250,Products!$B$6:$B$205,0)),IF(D1250="Return",-E1250*INDEX(Products!$E$6:$E$205,MATCH(C1250,Products!$B$6:$B$205,0)),"")),"")</f>
        <v/>
      </c>
      <c r="I1250" s="24" t="n"/>
      <c r="J1250" s="1" t="n"/>
    </row>
    <row r="1251">
      <c r="A1251" s="1" t="n"/>
      <c r="B1251" s="30" t="n"/>
      <c r="C1251" s="23" t="n"/>
      <c r="D1251" s="23" t="n"/>
      <c r="E1251" s="26" t="n"/>
      <c r="F1251" s="25" t="n"/>
      <c r="G1251" s="17">
        <f>IF(D1251="Sale",E1251*F1251,IF(D1251="Return",-E1251*F1251,""))</f>
        <v/>
      </c>
      <c r="H1251" s="17">
        <f>IFERROR(IF(D1251="Sale",E1251*INDEX(Products!$E$6:$E$205,MATCH(C1251,Products!$B$6:$B$205,0)),IF(D1251="Return",-E1251*INDEX(Products!$E$6:$E$205,MATCH(C1251,Products!$B$6:$B$205,0)),"")),"")</f>
        <v/>
      </c>
      <c r="I1251" s="24" t="n"/>
      <c r="J1251" s="1" t="n"/>
    </row>
    <row r="1252">
      <c r="A1252" s="1" t="n"/>
      <c r="B1252" s="30" t="n"/>
      <c r="C1252" s="23" t="n"/>
      <c r="D1252" s="23" t="n"/>
      <c r="E1252" s="26" t="n"/>
      <c r="F1252" s="25" t="n"/>
      <c r="G1252" s="17">
        <f>IF(D1252="Sale",E1252*F1252,IF(D1252="Return",-E1252*F1252,""))</f>
        <v/>
      </c>
      <c r="H1252" s="17">
        <f>IFERROR(IF(D1252="Sale",E1252*INDEX(Products!$E$6:$E$205,MATCH(C1252,Products!$B$6:$B$205,0)),IF(D1252="Return",-E1252*INDEX(Products!$E$6:$E$205,MATCH(C1252,Products!$B$6:$B$205,0)),"")),"")</f>
        <v/>
      </c>
      <c r="I1252" s="24" t="n"/>
      <c r="J1252" s="1" t="n"/>
    </row>
    <row r="1253">
      <c r="A1253" s="1" t="n"/>
      <c r="B1253" s="30" t="n"/>
      <c r="C1253" s="23" t="n"/>
      <c r="D1253" s="23" t="n"/>
      <c r="E1253" s="26" t="n"/>
      <c r="F1253" s="25" t="n"/>
      <c r="G1253" s="17">
        <f>IF(D1253="Sale",E1253*F1253,IF(D1253="Return",-E1253*F1253,""))</f>
        <v/>
      </c>
      <c r="H1253" s="17">
        <f>IFERROR(IF(D1253="Sale",E1253*INDEX(Products!$E$6:$E$205,MATCH(C1253,Products!$B$6:$B$205,0)),IF(D1253="Return",-E1253*INDEX(Products!$E$6:$E$205,MATCH(C1253,Products!$B$6:$B$205,0)),"")),"")</f>
        <v/>
      </c>
      <c r="I1253" s="24" t="n"/>
      <c r="J1253" s="1" t="n"/>
    </row>
    <row r="1254">
      <c r="A1254" s="1" t="n"/>
      <c r="B1254" s="30" t="n"/>
      <c r="C1254" s="23" t="n"/>
      <c r="D1254" s="23" t="n"/>
      <c r="E1254" s="26" t="n"/>
      <c r="F1254" s="25" t="n"/>
      <c r="G1254" s="17">
        <f>IF(D1254="Sale",E1254*F1254,IF(D1254="Return",-E1254*F1254,""))</f>
        <v/>
      </c>
      <c r="H1254" s="17">
        <f>IFERROR(IF(D1254="Sale",E1254*INDEX(Products!$E$6:$E$205,MATCH(C1254,Products!$B$6:$B$205,0)),IF(D1254="Return",-E1254*INDEX(Products!$E$6:$E$205,MATCH(C1254,Products!$B$6:$B$205,0)),"")),"")</f>
        <v/>
      </c>
      <c r="I1254" s="24" t="n"/>
      <c r="J1254" s="1" t="n"/>
    </row>
    <row r="1255">
      <c r="A1255" s="1" t="n"/>
      <c r="B1255" s="30" t="n"/>
      <c r="C1255" s="23" t="n"/>
      <c r="D1255" s="23" t="n"/>
      <c r="E1255" s="26" t="n"/>
      <c r="F1255" s="25" t="n"/>
      <c r="G1255" s="17">
        <f>IF(D1255="Sale",E1255*F1255,IF(D1255="Return",-E1255*F1255,""))</f>
        <v/>
      </c>
      <c r="H1255" s="17">
        <f>IFERROR(IF(D1255="Sale",E1255*INDEX(Products!$E$6:$E$205,MATCH(C1255,Products!$B$6:$B$205,0)),IF(D1255="Return",-E1255*INDEX(Products!$E$6:$E$205,MATCH(C1255,Products!$B$6:$B$205,0)),"")),"")</f>
        <v/>
      </c>
      <c r="I1255" s="24" t="n"/>
      <c r="J1255" s="1" t="n"/>
    </row>
    <row r="1256">
      <c r="A1256" s="1" t="n"/>
      <c r="B1256" s="30" t="n"/>
      <c r="C1256" s="23" t="n"/>
      <c r="D1256" s="23" t="n"/>
      <c r="E1256" s="26" t="n"/>
      <c r="F1256" s="25" t="n"/>
      <c r="G1256" s="17">
        <f>IF(D1256="Sale",E1256*F1256,IF(D1256="Return",-E1256*F1256,""))</f>
        <v/>
      </c>
      <c r="H1256" s="17">
        <f>IFERROR(IF(D1256="Sale",E1256*INDEX(Products!$E$6:$E$205,MATCH(C1256,Products!$B$6:$B$205,0)),IF(D1256="Return",-E1256*INDEX(Products!$E$6:$E$205,MATCH(C1256,Products!$B$6:$B$205,0)),"")),"")</f>
        <v/>
      </c>
      <c r="I1256" s="24" t="n"/>
      <c r="J1256" s="1" t="n"/>
    </row>
    <row r="1257">
      <c r="A1257" s="1" t="n"/>
      <c r="B1257" s="30" t="n"/>
      <c r="C1257" s="23" t="n"/>
      <c r="D1257" s="23" t="n"/>
      <c r="E1257" s="26" t="n"/>
      <c r="F1257" s="25" t="n"/>
      <c r="G1257" s="17">
        <f>IF(D1257="Sale",E1257*F1257,IF(D1257="Return",-E1257*F1257,""))</f>
        <v/>
      </c>
      <c r="H1257" s="17">
        <f>IFERROR(IF(D1257="Sale",E1257*INDEX(Products!$E$6:$E$205,MATCH(C1257,Products!$B$6:$B$205,0)),IF(D1257="Return",-E1257*INDEX(Products!$E$6:$E$205,MATCH(C1257,Products!$B$6:$B$205,0)),"")),"")</f>
        <v/>
      </c>
      <c r="I1257" s="24" t="n"/>
      <c r="J1257" s="1" t="n"/>
    </row>
    <row r="1258">
      <c r="A1258" s="1" t="n"/>
      <c r="B1258" s="30" t="n"/>
      <c r="C1258" s="23" t="n"/>
      <c r="D1258" s="23" t="n"/>
      <c r="E1258" s="26" t="n"/>
      <c r="F1258" s="25" t="n"/>
      <c r="G1258" s="17">
        <f>IF(D1258="Sale",E1258*F1258,IF(D1258="Return",-E1258*F1258,""))</f>
        <v/>
      </c>
      <c r="H1258" s="17">
        <f>IFERROR(IF(D1258="Sale",E1258*INDEX(Products!$E$6:$E$205,MATCH(C1258,Products!$B$6:$B$205,0)),IF(D1258="Return",-E1258*INDEX(Products!$E$6:$E$205,MATCH(C1258,Products!$B$6:$B$205,0)),"")),"")</f>
        <v/>
      </c>
      <c r="I1258" s="24" t="n"/>
      <c r="J1258" s="1" t="n"/>
    </row>
    <row r="1259">
      <c r="A1259" s="1" t="n"/>
      <c r="B1259" s="30" t="n"/>
      <c r="C1259" s="23" t="n"/>
      <c r="D1259" s="23" t="n"/>
      <c r="E1259" s="26" t="n"/>
      <c r="F1259" s="25" t="n"/>
      <c r="G1259" s="17">
        <f>IF(D1259="Sale",E1259*F1259,IF(D1259="Return",-E1259*F1259,""))</f>
        <v/>
      </c>
      <c r="H1259" s="17">
        <f>IFERROR(IF(D1259="Sale",E1259*INDEX(Products!$E$6:$E$205,MATCH(C1259,Products!$B$6:$B$205,0)),IF(D1259="Return",-E1259*INDEX(Products!$E$6:$E$205,MATCH(C1259,Products!$B$6:$B$205,0)),"")),"")</f>
        <v/>
      </c>
      <c r="I1259" s="24" t="n"/>
      <c r="J1259" s="1" t="n"/>
    </row>
    <row r="1260">
      <c r="A1260" s="1" t="n"/>
      <c r="B1260" s="30" t="n"/>
      <c r="C1260" s="23" t="n"/>
      <c r="D1260" s="23" t="n"/>
      <c r="E1260" s="26" t="n"/>
      <c r="F1260" s="25" t="n"/>
      <c r="G1260" s="17">
        <f>IF(D1260="Sale",E1260*F1260,IF(D1260="Return",-E1260*F1260,""))</f>
        <v/>
      </c>
      <c r="H1260" s="17">
        <f>IFERROR(IF(D1260="Sale",E1260*INDEX(Products!$E$6:$E$205,MATCH(C1260,Products!$B$6:$B$205,0)),IF(D1260="Return",-E1260*INDEX(Products!$E$6:$E$205,MATCH(C1260,Products!$B$6:$B$205,0)),"")),"")</f>
        <v/>
      </c>
      <c r="I1260" s="24" t="n"/>
      <c r="J1260" s="1" t="n"/>
    </row>
    <row r="1261">
      <c r="A1261" s="1" t="n"/>
      <c r="B1261" s="30" t="n"/>
      <c r="C1261" s="23" t="n"/>
      <c r="D1261" s="23" t="n"/>
      <c r="E1261" s="26" t="n"/>
      <c r="F1261" s="25" t="n"/>
      <c r="G1261" s="17">
        <f>IF(D1261="Sale",E1261*F1261,IF(D1261="Return",-E1261*F1261,""))</f>
        <v/>
      </c>
      <c r="H1261" s="17">
        <f>IFERROR(IF(D1261="Sale",E1261*INDEX(Products!$E$6:$E$205,MATCH(C1261,Products!$B$6:$B$205,0)),IF(D1261="Return",-E1261*INDEX(Products!$E$6:$E$205,MATCH(C1261,Products!$B$6:$B$205,0)),"")),"")</f>
        <v/>
      </c>
      <c r="I1261" s="24" t="n"/>
      <c r="J1261" s="1" t="n"/>
    </row>
    <row r="1262">
      <c r="A1262" s="1" t="n"/>
      <c r="B1262" s="30" t="n"/>
      <c r="C1262" s="23" t="n"/>
      <c r="D1262" s="23" t="n"/>
      <c r="E1262" s="26" t="n"/>
      <c r="F1262" s="25" t="n"/>
      <c r="G1262" s="17">
        <f>IF(D1262="Sale",E1262*F1262,IF(D1262="Return",-E1262*F1262,""))</f>
        <v/>
      </c>
      <c r="H1262" s="17">
        <f>IFERROR(IF(D1262="Sale",E1262*INDEX(Products!$E$6:$E$205,MATCH(C1262,Products!$B$6:$B$205,0)),IF(D1262="Return",-E1262*INDEX(Products!$E$6:$E$205,MATCH(C1262,Products!$B$6:$B$205,0)),"")),"")</f>
        <v/>
      </c>
      <c r="I1262" s="24" t="n"/>
      <c r="J1262" s="1" t="n"/>
    </row>
    <row r="1263">
      <c r="A1263" s="1" t="n"/>
      <c r="B1263" s="30" t="n"/>
      <c r="C1263" s="23" t="n"/>
      <c r="D1263" s="23" t="n"/>
      <c r="E1263" s="26" t="n"/>
      <c r="F1263" s="25" t="n"/>
      <c r="G1263" s="17">
        <f>IF(D1263="Sale",E1263*F1263,IF(D1263="Return",-E1263*F1263,""))</f>
        <v/>
      </c>
      <c r="H1263" s="17">
        <f>IFERROR(IF(D1263="Sale",E1263*INDEX(Products!$E$6:$E$205,MATCH(C1263,Products!$B$6:$B$205,0)),IF(D1263="Return",-E1263*INDEX(Products!$E$6:$E$205,MATCH(C1263,Products!$B$6:$B$205,0)),"")),"")</f>
        <v/>
      </c>
      <c r="I1263" s="24" t="n"/>
      <c r="J1263" s="1" t="n"/>
    </row>
    <row r="1264">
      <c r="A1264" s="1" t="n"/>
      <c r="B1264" s="30" t="n"/>
      <c r="C1264" s="23" t="n"/>
      <c r="D1264" s="23" t="n"/>
      <c r="E1264" s="26" t="n"/>
      <c r="F1264" s="25" t="n"/>
      <c r="G1264" s="17">
        <f>IF(D1264="Sale",E1264*F1264,IF(D1264="Return",-E1264*F1264,""))</f>
        <v/>
      </c>
      <c r="H1264" s="17">
        <f>IFERROR(IF(D1264="Sale",E1264*INDEX(Products!$E$6:$E$205,MATCH(C1264,Products!$B$6:$B$205,0)),IF(D1264="Return",-E1264*INDEX(Products!$E$6:$E$205,MATCH(C1264,Products!$B$6:$B$205,0)),"")),"")</f>
        <v/>
      </c>
      <c r="I1264" s="24" t="n"/>
      <c r="J1264" s="1" t="n"/>
    </row>
    <row r="1265">
      <c r="A1265" s="1" t="n"/>
      <c r="B1265" s="30" t="n"/>
      <c r="C1265" s="23" t="n"/>
      <c r="D1265" s="23" t="n"/>
      <c r="E1265" s="26" t="n"/>
      <c r="F1265" s="25" t="n"/>
      <c r="G1265" s="17">
        <f>IF(D1265="Sale",E1265*F1265,IF(D1265="Return",-E1265*F1265,""))</f>
        <v/>
      </c>
      <c r="H1265" s="17">
        <f>IFERROR(IF(D1265="Sale",E1265*INDEX(Products!$E$6:$E$205,MATCH(C1265,Products!$B$6:$B$205,0)),IF(D1265="Return",-E1265*INDEX(Products!$E$6:$E$205,MATCH(C1265,Products!$B$6:$B$205,0)),"")),"")</f>
        <v/>
      </c>
      <c r="I1265" s="24" t="n"/>
      <c r="J1265" s="1" t="n"/>
    </row>
    <row r="1266">
      <c r="A1266" s="1" t="n"/>
      <c r="B1266" s="30" t="n"/>
      <c r="C1266" s="23" t="n"/>
      <c r="D1266" s="23" t="n"/>
      <c r="E1266" s="26" t="n"/>
      <c r="F1266" s="25" t="n"/>
      <c r="G1266" s="17">
        <f>IF(D1266="Sale",E1266*F1266,IF(D1266="Return",-E1266*F1266,""))</f>
        <v/>
      </c>
      <c r="H1266" s="17">
        <f>IFERROR(IF(D1266="Sale",E1266*INDEX(Products!$E$6:$E$205,MATCH(C1266,Products!$B$6:$B$205,0)),IF(D1266="Return",-E1266*INDEX(Products!$E$6:$E$205,MATCH(C1266,Products!$B$6:$B$205,0)),"")),"")</f>
        <v/>
      </c>
      <c r="I1266" s="24" t="n"/>
      <c r="J1266" s="1" t="n"/>
    </row>
    <row r="1267">
      <c r="A1267" s="1" t="n"/>
      <c r="B1267" s="30" t="n"/>
      <c r="C1267" s="23" t="n"/>
      <c r="D1267" s="23" t="n"/>
      <c r="E1267" s="26" t="n"/>
      <c r="F1267" s="25" t="n"/>
      <c r="G1267" s="17">
        <f>IF(D1267="Sale",E1267*F1267,IF(D1267="Return",-E1267*F1267,""))</f>
        <v/>
      </c>
      <c r="H1267" s="17">
        <f>IFERROR(IF(D1267="Sale",E1267*INDEX(Products!$E$6:$E$205,MATCH(C1267,Products!$B$6:$B$205,0)),IF(D1267="Return",-E1267*INDEX(Products!$E$6:$E$205,MATCH(C1267,Products!$B$6:$B$205,0)),"")),"")</f>
        <v/>
      </c>
      <c r="I1267" s="24" t="n"/>
      <c r="J1267" s="1" t="n"/>
    </row>
    <row r="1268">
      <c r="A1268" s="1" t="n"/>
      <c r="B1268" s="30" t="n"/>
      <c r="C1268" s="23" t="n"/>
      <c r="D1268" s="23" t="n"/>
      <c r="E1268" s="26" t="n"/>
      <c r="F1268" s="25" t="n"/>
      <c r="G1268" s="17">
        <f>IF(D1268="Sale",E1268*F1268,IF(D1268="Return",-E1268*F1268,""))</f>
        <v/>
      </c>
      <c r="H1268" s="17">
        <f>IFERROR(IF(D1268="Sale",E1268*INDEX(Products!$E$6:$E$205,MATCH(C1268,Products!$B$6:$B$205,0)),IF(D1268="Return",-E1268*INDEX(Products!$E$6:$E$205,MATCH(C1268,Products!$B$6:$B$205,0)),"")),"")</f>
        <v/>
      </c>
      <c r="I1268" s="24" t="n"/>
      <c r="J1268" s="1" t="n"/>
    </row>
    <row r="1269">
      <c r="A1269" s="1" t="n"/>
      <c r="B1269" s="30" t="n"/>
      <c r="C1269" s="23" t="n"/>
      <c r="D1269" s="23" t="n"/>
      <c r="E1269" s="26" t="n"/>
      <c r="F1269" s="25" t="n"/>
      <c r="G1269" s="17">
        <f>IF(D1269="Sale",E1269*F1269,IF(D1269="Return",-E1269*F1269,""))</f>
        <v/>
      </c>
      <c r="H1269" s="17">
        <f>IFERROR(IF(D1269="Sale",E1269*INDEX(Products!$E$6:$E$205,MATCH(C1269,Products!$B$6:$B$205,0)),IF(D1269="Return",-E1269*INDEX(Products!$E$6:$E$205,MATCH(C1269,Products!$B$6:$B$205,0)),"")),"")</f>
        <v/>
      </c>
      <c r="I1269" s="24" t="n"/>
      <c r="J1269" s="1" t="n"/>
    </row>
    <row r="1270">
      <c r="A1270" s="1" t="n"/>
      <c r="B1270" s="30" t="n"/>
      <c r="C1270" s="23" t="n"/>
      <c r="D1270" s="23" t="n"/>
      <c r="E1270" s="26" t="n"/>
      <c r="F1270" s="25" t="n"/>
      <c r="G1270" s="17">
        <f>IF(D1270="Sale",E1270*F1270,IF(D1270="Return",-E1270*F1270,""))</f>
        <v/>
      </c>
      <c r="H1270" s="17">
        <f>IFERROR(IF(D1270="Sale",E1270*INDEX(Products!$E$6:$E$205,MATCH(C1270,Products!$B$6:$B$205,0)),IF(D1270="Return",-E1270*INDEX(Products!$E$6:$E$205,MATCH(C1270,Products!$B$6:$B$205,0)),"")),"")</f>
        <v/>
      </c>
      <c r="I1270" s="24" t="n"/>
      <c r="J1270" s="1" t="n"/>
    </row>
    <row r="1271">
      <c r="A1271" s="1" t="n"/>
      <c r="B1271" s="30" t="n"/>
      <c r="C1271" s="23" t="n"/>
      <c r="D1271" s="23" t="n"/>
      <c r="E1271" s="26" t="n"/>
      <c r="F1271" s="25" t="n"/>
      <c r="G1271" s="17">
        <f>IF(D1271="Sale",E1271*F1271,IF(D1271="Return",-E1271*F1271,""))</f>
        <v/>
      </c>
      <c r="H1271" s="17">
        <f>IFERROR(IF(D1271="Sale",E1271*INDEX(Products!$E$6:$E$205,MATCH(C1271,Products!$B$6:$B$205,0)),IF(D1271="Return",-E1271*INDEX(Products!$E$6:$E$205,MATCH(C1271,Products!$B$6:$B$205,0)),"")),"")</f>
        <v/>
      </c>
      <c r="I1271" s="24" t="n"/>
      <c r="J1271" s="1" t="n"/>
    </row>
    <row r="1272">
      <c r="A1272" s="1" t="n"/>
      <c r="B1272" s="30" t="n"/>
      <c r="C1272" s="23" t="n"/>
      <c r="D1272" s="23" t="n"/>
      <c r="E1272" s="26" t="n"/>
      <c r="F1272" s="25" t="n"/>
      <c r="G1272" s="17">
        <f>IF(D1272="Sale",E1272*F1272,IF(D1272="Return",-E1272*F1272,""))</f>
        <v/>
      </c>
      <c r="H1272" s="17">
        <f>IFERROR(IF(D1272="Sale",E1272*INDEX(Products!$E$6:$E$205,MATCH(C1272,Products!$B$6:$B$205,0)),IF(D1272="Return",-E1272*INDEX(Products!$E$6:$E$205,MATCH(C1272,Products!$B$6:$B$205,0)),"")),"")</f>
        <v/>
      </c>
      <c r="I1272" s="24" t="n"/>
      <c r="J1272" s="1" t="n"/>
    </row>
    <row r="1273">
      <c r="A1273" s="1" t="n"/>
      <c r="B1273" s="30" t="n"/>
      <c r="C1273" s="23" t="n"/>
      <c r="D1273" s="23" t="n"/>
      <c r="E1273" s="26" t="n"/>
      <c r="F1273" s="25" t="n"/>
      <c r="G1273" s="17">
        <f>IF(D1273="Sale",E1273*F1273,IF(D1273="Return",-E1273*F1273,""))</f>
        <v/>
      </c>
      <c r="H1273" s="17">
        <f>IFERROR(IF(D1273="Sale",E1273*INDEX(Products!$E$6:$E$205,MATCH(C1273,Products!$B$6:$B$205,0)),IF(D1273="Return",-E1273*INDEX(Products!$E$6:$E$205,MATCH(C1273,Products!$B$6:$B$205,0)),"")),"")</f>
        <v/>
      </c>
      <c r="I1273" s="24" t="n"/>
      <c r="J1273" s="1" t="n"/>
    </row>
    <row r="1274">
      <c r="A1274" s="1" t="n"/>
      <c r="B1274" s="30" t="n"/>
      <c r="C1274" s="23" t="n"/>
      <c r="D1274" s="23" t="n"/>
      <c r="E1274" s="26" t="n"/>
      <c r="F1274" s="25" t="n"/>
      <c r="G1274" s="17">
        <f>IF(D1274="Sale",E1274*F1274,IF(D1274="Return",-E1274*F1274,""))</f>
        <v/>
      </c>
      <c r="H1274" s="17">
        <f>IFERROR(IF(D1274="Sale",E1274*INDEX(Products!$E$6:$E$205,MATCH(C1274,Products!$B$6:$B$205,0)),IF(D1274="Return",-E1274*INDEX(Products!$E$6:$E$205,MATCH(C1274,Products!$B$6:$B$205,0)),"")),"")</f>
        <v/>
      </c>
      <c r="I1274" s="24" t="n"/>
      <c r="J1274" s="1" t="n"/>
    </row>
    <row r="1275">
      <c r="A1275" s="1" t="n"/>
      <c r="B1275" s="30" t="n"/>
      <c r="C1275" s="23" t="n"/>
      <c r="D1275" s="23" t="n"/>
      <c r="E1275" s="26" t="n"/>
      <c r="F1275" s="25" t="n"/>
      <c r="G1275" s="17">
        <f>IF(D1275="Sale",E1275*F1275,IF(D1275="Return",-E1275*F1275,""))</f>
        <v/>
      </c>
      <c r="H1275" s="17">
        <f>IFERROR(IF(D1275="Sale",E1275*INDEX(Products!$E$6:$E$205,MATCH(C1275,Products!$B$6:$B$205,0)),IF(D1275="Return",-E1275*INDEX(Products!$E$6:$E$205,MATCH(C1275,Products!$B$6:$B$205,0)),"")),"")</f>
        <v/>
      </c>
      <c r="I1275" s="24" t="n"/>
      <c r="J1275" s="1" t="n"/>
    </row>
    <row r="1276">
      <c r="A1276" s="1" t="n"/>
      <c r="B1276" s="30" t="n"/>
      <c r="C1276" s="23" t="n"/>
      <c r="D1276" s="23" t="n"/>
      <c r="E1276" s="26" t="n"/>
      <c r="F1276" s="25" t="n"/>
      <c r="G1276" s="17">
        <f>IF(D1276="Sale",E1276*F1276,IF(D1276="Return",-E1276*F1276,""))</f>
        <v/>
      </c>
      <c r="H1276" s="17">
        <f>IFERROR(IF(D1276="Sale",E1276*INDEX(Products!$E$6:$E$205,MATCH(C1276,Products!$B$6:$B$205,0)),IF(D1276="Return",-E1276*INDEX(Products!$E$6:$E$205,MATCH(C1276,Products!$B$6:$B$205,0)),"")),"")</f>
        <v/>
      </c>
      <c r="I1276" s="24" t="n"/>
      <c r="J1276" s="1" t="n"/>
    </row>
    <row r="1277">
      <c r="A1277" s="1" t="n"/>
      <c r="B1277" s="30" t="n"/>
      <c r="C1277" s="23" t="n"/>
      <c r="D1277" s="23" t="n"/>
      <c r="E1277" s="26" t="n"/>
      <c r="F1277" s="25" t="n"/>
      <c r="G1277" s="17">
        <f>IF(D1277="Sale",E1277*F1277,IF(D1277="Return",-E1277*F1277,""))</f>
        <v/>
      </c>
      <c r="H1277" s="17">
        <f>IFERROR(IF(D1277="Sale",E1277*INDEX(Products!$E$6:$E$205,MATCH(C1277,Products!$B$6:$B$205,0)),IF(D1277="Return",-E1277*INDEX(Products!$E$6:$E$205,MATCH(C1277,Products!$B$6:$B$205,0)),"")),"")</f>
        <v/>
      </c>
      <c r="I1277" s="24" t="n"/>
      <c r="J1277" s="1" t="n"/>
    </row>
    <row r="1278">
      <c r="A1278" s="1" t="n"/>
      <c r="B1278" s="30" t="n"/>
      <c r="C1278" s="23" t="n"/>
      <c r="D1278" s="23" t="n"/>
      <c r="E1278" s="26" t="n"/>
      <c r="F1278" s="25" t="n"/>
      <c r="G1278" s="17">
        <f>IF(D1278="Sale",E1278*F1278,IF(D1278="Return",-E1278*F1278,""))</f>
        <v/>
      </c>
      <c r="H1278" s="17">
        <f>IFERROR(IF(D1278="Sale",E1278*INDEX(Products!$E$6:$E$205,MATCH(C1278,Products!$B$6:$B$205,0)),IF(D1278="Return",-E1278*INDEX(Products!$E$6:$E$205,MATCH(C1278,Products!$B$6:$B$205,0)),"")),"")</f>
        <v/>
      </c>
      <c r="I1278" s="24" t="n"/>
      <c r="J1278" s="1" t="n"/>
    </row>
    <row r="1279">
      <c r="A1279" s="1" t="n"/>
      <c r="B1279" s="30" t="n"/>
      <c r="C1279" s="23" t="n"/>
      <c r="D1279" s="23" t="n"/>
      <c r="E1279" s="26" t="n"/>
      <c r="F1279" s="25" t="n"/>
      <c r="G1279" s="17">
        <f>IF(D1279="Sale",E1279*F1279,IF(D1279="Return",-E1279*F1279,""))</f>
        <v/>
      </c>
      <c r="H1279" s="17">
        <f>IFERROR(IF(D1279="Sale",E1279*INDEX(Products!$E$6:$E$205,MATCH(C1279,Products!$B$6:$B$205,0)),IF(D1279="Return",-E1279*INDEX(Products!$E$6:$E$205,MATCH(C1279,Products!$B$6:$B$205,0)),"")),"")</f>
        <v/>
      </c>
      <c r="I1279" s="24" t="n"/>
      <c r="J1279" s="1" t="n"/>
    </row>
    <row r="1280">
      <c r="A1280" s="1" t="n"/>
      <c r="B1280" s="30" t="n"/>
      <c r="C1280" s="23" t="n"/>
      <c r="D1280" s="23" t="n"/>
      <c r="E1280" s="26" t="n"/>
      <c r="F1280" s="25" t="n"/>
      <c r="G1280" s="17">
        <f>IF(D1280="Sale",E1280*F1280,IF(D1280="Return",-E1280*F1280,""))</f>
        <v/>
      </c>
      <c r="H1280" s="17">
        <f>IFERROR(IF(D1280="Sale",E1280*INDEX(Products!$E$6:$E$205,MATCH(C1280,Products!$B$6:$B$205,0)),IF(D1280="Return",-E1280*INDEX(Products!$E$6:$E$205,MATCH(C1280,Products!$B$6:$B$205,0)),"")),"")</f>
        <v/>
      </c>
      <c r="I1280" s="24" t="n"/>
      <c r="J1280" s="1" t="n"/>
    </row>
    <row r="1281">
      <c r="A1281" s="1" t="n"/>
      <c r="B1281" s="30" t="n"/>
      <c r="C1281" s="23" t="n"/>
      <c r="D1281" s="23" t="n"/>
      <c r="E1281" s="26" t="n"/>
      <c r="F1281" s="25" t="n"/>
      <c r="G1281" s="17">
        <f>IF(D1281="Sale",E1281*F1281,IF(D1281="Return",-E1281*F1281,""))</f>
        <v/>
      </c>
      <c r="H1281" s="17">
        <f>IFERROR(IF(D1281="Sale",E1281*INDEX(Products!$E$6:$E$205,MATCH(C1281,Products!$B$6:$B$205,0)),IF(D1281="Return",-E1281*INDEX(Products!$E$6:$E$205,MATCH(C1281,Products!$B$6:$B$205,0)),"")),"")</f>
        <v/>
      </c>
      <c r="I1281" s="24" t="n"/>
      <c r="J1281" s="1" t="n"/>
    </row>
    <row r="1282">
      <c r="A1282" s="1" t="n"/>
      <c r="B1282" s="30" t="n"/>
      <c r="C1282" s="23" t="n"/>
      <c r="D1282" s="23" t="n"/>
      <c r="E1282" s="26" t="n"/>
      <c r="F1282" s="25" t="n"/>
      <c r="G1282" s="17">
        <f>IF(D1282="Sale",E1282*F1282,IF(D1282="Return",-E1282*F1282,""))</f>
        <v/>
      </c>
      <c r="H1282" s="17">
        <f>IFERROR(IF(D1282="Sale",E1282*INDEX(Products!$E$6:$E$205,MATCH(C1282,Products!$B$6:$B$205,0)),IF(D1282="Return",-E1282*INDEX(Products!$E$6:$E$205,MATCH(C1282,Products!$B$6:$B$205,0)),"")),"")</f>
        <v/>
      </c>
      <c r="I1282" s="24" t="n"/>
      <c r="J1282" s="1" t="n"/>
    </row>
    <row r="1283">
      <c r="A1283" s="1" t="n"/>
      <c r="B1283" s="30" t="n"/>
      <c r="C1283" s="23" t="n"/>
      <c r="D1283" s="23" t="n"/>
      <c r="E1283" s="26" t="n"/>
      <c r="F1283" s="25" t="n"/>
      <c r="G1283" s="17">
        <f>IF(D1283="Sale",E1283*F1283,IF(D1283="Return",-E1283*F1283,""))</f>
        <v/>
      </c>
      <c r="H1283" s="17">
        <f>IFERROR(IF(D1283="Sale",E1283*INDEX(Products!$E$6:$E$205,MATCH(C1283,Products!$B$6:$B$205,0)),IF(D1283="Return",-E1283*INDEX(Products!$E$6:$E$205,MATCH(C1283,Products!$B$6:$B$205,0)),"")),"")</f>
        <v/>
      </c>
      <c r="I1283" s="24" t="n"/>
      <c r="J1283" s="1" t="n"/>
    </row>
    <row r="1284">
      <c r="A1284" s="1" t="n"/>
      <c r="B1284" s="30" t="n"/>
      <c r="C1284" s="23" t="n"/>
      <c r="D1284" s="23" t="n"/>
      <c r="E1284" s="26" t="n"/>
      <c r="F1284" s="25" t="n"/>
      <c r="G1284" s="17">
        <f>IF(D1284="Sale",E1284*F1284,IF(D1284="Return",-E1284*F1284,""))</f>
        <v/>
      </c>
      <c r="H1284" s="17">
        <f>IFERROR(IF(D1284="Sale",E1284*INDEX(Products!$E$6:$E$205,MATCH(C1284,Products!$B$6:$B$205,0)),IF(D1284="Return",-E1284*INDEX(Products!$E$6:$E$205,MATCH(C1284,Products!$B$6:$B$205,0)),"")),"")</f>
        <v/>
      </c>
      <c r="I1284" s="24" t="n"/>
      <c r="J1284" s="1" t="n"/>
    </row>
    <row r="1285">
      <c r="A1285" s="1" t="n"/>
      <c r="B1285" s="30" t="n"/>
      <c r="C1285" s="23" t="n"/>
      <c r="D1285" s="23" t="n"/>
      <c r="E1285" s="26" t="n"/>
      <c r="F1285" s="25" t="n"/>
      <c r="G1285" s="17">
        <f>IF(D1285="Sale",E1285*F1285,IF(D1285="Return",-E1285*F1285,""))</f>
        <v/>
      </c>
      <c r="H1285" s="17">
        <f>IFERROR(IF(D1285="Sale",E1285*INDEX(Products!$E$6:$E$205,MATCH(C1285,Products!$B$6:$B$205,0)),IF(D1285="Return",-E1285*INDEX(Products!$E$6:$E$205,MATCH(C1285,Products!$B$6:$B$205,0)),"")),"")</f>
        <v/>
      </c>
      <c r="I1285" s="24" t="n"/>
      <c r="J1285" s="1" t="n"/>
    </row>
    <row r="1286">
      <c r="A1286" s="1" t="n"/>
      <c r="B1286" s="30" t="n"/>
      <c r="C1286" s="23" t="n"/>
      <c r="D1286" s="23" t="n"/>
      <c r="E1286" s="26" t="n"/>
      <c r="F1286" s="25" t="n"/>
      <c r="G1286" s="17">
        <f>IF(D1286="Sale",E1286*F1286,IF(D1286="Return",-E1286*F1286,""))</f>
        <v/>
      </c>
      <c r="H1286" s="17">
        <f>IFERROR(IF(D1286="Sale",E1286*INDEX(Products!$E$6:$E$205,MATCH(C1286,Products!$B$6:$B$205,0)),IF(D1286="Return",-E1286*INDEX(Products!$E$6:$E$205,MATCH(C1286,Products!$B$6:$B$205,0)),"")),"")</f>
        <v/>
      </c>
      <c r="I1286" s="24" t="n"/>
      <c r="J1286" s="1" t="n"/>
    </row>
    <row r="1287">
      <c r="A1287" s="1" t="n"/>
      <c r="B1287" s="30" t="n"/>
      <c r="C1287" s="23" t="n"/>
      <c r="D1287" s="23" t="n"/>
      <c r="E1287" s="26" t="n"/>
      <c r="F1287" s="25" t="n"/>
      <c r="G1287" s="17">
        <f>IF(D1287="Sale",E1287*F1287,IF(D1287="Return",-E1287*F1287,""))</f>
        <v/>
      </c>
      <c r="H1287" s="17">
        <f>IFERROR(IF(D1287="Sale",E1287*INDEX(Products!$E$6:$E$205,MATCH(C1287,Products!$B$6:$B$205,0)),IF(D1287="Return",-E1287*INDEX(Products!$E$6:$E$205,MATCH(C1287,Products!$B$6:$B$205,0)),"")),"")</f>
        <v/>
      </c>
      <c r="I1287" s="24" t="n"/>
      <c r="J1287" s="1" t="n"/>
    </row>
    <row r="1288">
      <c r="A1288" s="1" t="n"/>
      <c r="B1288" s="30" t="n"/>
      <c r="C1288" s="23" t="n"/>
      <c r="D1288" s="23" t="n"/>
      <c r="E1288" s="26" t="n"/>
      <c r="F1288" s="25" t="n"/>
      <c r="G1288" s="17">
        <f>IF(D1288="Sale",E1288*F1288,IF(D1288="Return",-E1288*F1288,""))</f>
        <v/>
      </c>
      <c r="H1288" s="17">
        <f>IFERROR(IF(D1288="Sale",E1288*INDEX(Products!$E$6:$E$205,MATCH(C1288,Products!$B$6:$B$205,0)),IF(D1288="Return",-E1288*INDEX(Products!$E$6:$E$205,MATCH(C1288,Products!$B$6:$B$205,0)),"")),"")</f>
        <v/>
      </c>
      <c r="I1288" s="24" t="n"/>
      <c r="J1288" s="1" t="n"/>
    </row>
    <row r="1289">
      <c r="A1289" s="1" t="n"/>
      <c r="B1289" s="30" t="n"/>
      <c r="C1289" s="23" t="n"/>
      <c r="D1289" s="23" t="n"/>
      <c r="E1289" s="26" t="n"/>
      <c r="F1289" s="25" t="n"/>
      <c r="G1289" s="17">
        <f>IF(D1289="Sale",E1289*F1289,IF(D1289="Return",-E1289*F1289,""))</f>
        <v/>
      </c>
      <c r="H1289" s="17">
        <f>IFERROR(IF(D1289="Sale",E1289*INDEX(Products!$E$6:$E$205,MATCH(C1289,Products!$B$6:$B$205,0)),IF(D1289="Return",-E1289*INDEX(Products!$E$6:$E$205,MATCH(C1289,Products!$B$6:$B$205,0)),"")),"")</f>
        <v/>
      </c>
      <c r="I1289" s="24" t="n"/>
      <c r="J1289" s="1" t="n"/>
    </row>
    <row r="1290">
      <c r="A1290" s="1" t="n"/>
      <c r="B1290" s="30" t="n"/>
      <c r="C1290" s="23" t="n"/>
      <c r="D1290" s="23" t="n"/>
      <c r="E1290" s="26" t="n"/>
      <c r="F1290" s="25" t="n"/>
      <c r="G1290" s="17">
        <f>IF(D1290="Sale",E1290*F1290,IF(D1290="Return",-E1290*F1290,""))</f>
        <v/>
      </c>
      <c r="H1290" s="17">
        <f>IFERROR(IF(D1290="Sale",E1290*INDEX(Products!$E$6:$E$205,MATCH(C1290,Products!$B$6:$B$205,0)),IF(D1290="Return",-E1290*INDEX(Products!$E$6:$E$205,MATCH(C1290,Products!$B$6:$B$205,0)),"")),"")</f>
        <v/>
      </c>
      <c r="I1290" s="24" t="n"/>
      <c r="J1290" s="1" t="n"/>
    </row>
    <row r="1291">
      <c r="A1291" s="1" t="n"/>
      <c r="B1291" s="30" t="n"/>
      <c r="C1291" s="23" t="n"/>
      <c r="D1291" s="23" t="n"/>
      <c r="E1291" s="26" t="n"/>
      <c r="F1291" s="25" t="n"/>
      <c r="G1291" s="17">
        <f>IF(D1291="Sale",E1291*F1291,IF(D1291="Return",-E1291*F1291,""))</f>
        <v/>
      </c>
      <c r="H1291" s="17">
        <f>IFERROR(IF(D1291="Sale",E1291*INDEX(Products!$E$6:$E$205,MATCH(C1291,Products!$B$6:$B$205,0)),IF(D1291="Return",-E1291*INDEX(Products!$E$6:$E$205,MATCH(C1291,Products!$B$6:$B$205,0)),"")),"")</f>
        <v/>
      </c>
      <c r="I1291" s="24" t="n"/>
      <c r="J1291" s="1" t="n"/>
    </row>
    <row r="1292">
      <c r="A1292" s="1" t="n"/>
      <c r="B1292" s="30" t="n"/>
      <c r="C1292" s="23" t="n"/>
      <c r="D1292" s="23" t="n"/>
      <c r="E1292" s="26" t="n"/>
      <c r="F1292" s="25" t="n"/>
      <c r="G1292" s="17">
        <f>IF(D1292="Sale",E1292*F1292,IF(D1292="Return",-E1292*F1292,""))</f>
        <v/>
      </c>
      <c r="H1292" s="17">
        <f>IFERROR(IF(D1292="Sale",E1292*INDEX(Products!$E$6:$E$205,MATCH(C1292,Products!$B$6:$B$205,0)),IF(D1292="Return",-E1292*INDEX(Products!$E$6:$E$205,MATCH(C1292,Products!$B$6:$B$205,0)),"")),"")</f>
        <v/>
      </c>
      <c r="I1292" s="24" t="n"/>
      <c r="J1292" s="1" t="n"/>
    </row>
    <row r="1293">
      <c r="A1293" s="1" t="n"/>
      <c r="B1293" s="30" t="n"/>
      <c r="C1293" s="23" t="n"/>
      <c r="D1293" s="23" t="n"/>
      <c r="E1293" s="26" t="n"/>
      <c r="F1293" s="25" t="n"/>
      <c r="G1293" s="17">
        <f>IF(D1293="Sale",E1293*F1293,IF(D1293="Return",-E1293*F1293,""))</f>
        <v/>
      </c>
      <c r="H1293" s="17">
        <f>IFERROR(IF(D1293="Sale",E1293*INDEX(Products!$E$6:$E$205,MATCH(C1293,Products!$B$6:$B$205,0)),IF(D1293="Return",-E1293*INDEX(Products!$E$6:$E$205,MATCH(C1293,Products!$B$6:$B$205,0)),"")),"")</f>
        <v/>
      </c>
      <c r="I1293" s="24" t="n"/>
      <c r="J1293" s="1" t="n"/>
    </row>
    <row r="1294">
      <c r="A1294" s="1" t="n"/>
      <c r="B1294" s="30" t="n"/>
      <c r="C1294" s="23" t="n"/>
      <c r="D1294" s="23" t="n"/>
      <c r="E1294" s="26" t="n"/>
      <c r="F1294" s="25" t="n"/>
      <c r="G1294" s="17">
        <f>IF(D1294="Sale",E1294*F1294,IF(D1294="Return",-E1294*F1294,""))</f>
        <v/>
      </c>
      <c r="H1294" s="17">
        <f>IFERROR(IF(D1294="Sale",E1294*INDEX(Products!$E$6:$E$205,MATCH(C1294,Products!$B$6:$B$205,0)),IF(D1294="Return",-E1294*INDEX(Products!$E$6:$E$205,MATCH(C1294,Products!$B$6:$B$205,0)),"")),"")</f>
        <v/>
      </c>
      <c r="I1294" s="24" t="n"/>
      <c r="J1294" s="1" t="n"/>
    </row>
    <row r="1295">
      <c r="A1295" s="1" t="n"/>
      <c r="B1295" s="30" t="n"/>
      <c r="C1295" s="23" t="n"/>
      <c r="D1295" s="23" t="n"/>
      <c r="E1295" s="26" t="n"/>
      <c r="F1295" s="25" t="n"/>
      <c r="G1295" s="17">
        <f>IF(D1295="Sale",E1295*F1295,IF(D1295="Return",-E1295*F1295,""))</f>
        <v/>
      </c>
      <c r="H1295" s="17">
        <f>IFERROR(IF(D1295="Sale",E1295*INDEX(Products!$E$6:$E$205,MATCH(C1295,Products!$B$6:$B$205,0)),IF(D1295="Return",-E1295*INDEX(Products!$E$6:$E$205,MATCH(C1295,Products!$B$6:$B$205,0)),"")),"")</f>
        <v/>
      </c>
      <c r="I1295" s="24" t="n"/>
      <c r="J1295" s="1" t="n"/>
    </row>
    <row r="1296">
      <c r="A1296" s="1" t="n"/>
      <c r="B1296" s="30" t="n"/>
      <c r="C1296" s="23" t="n"/>
      <c r="D1296" s="23" t="n"/>
      <c r="E1296" s="26" t="n"/>
      <c r="F1296" s="25" t="n"/>
      <c r="G1296" s="17">
        <f>IF(D1296="Sale",E1296*F1296,IF(D1296="Return",-E1296*F1296,""))</f>
        <v/>
      </c>
      <c r="H1296" s="17">
        <f>IFERROR(IF(D1296="Sale",E1296*INDEX(Products!$E$6:$E$205,MATCH(C1296,Products!$B$6:$B$205,0)),IF(D1296="Return",-E1296*INDEX(Products!$E$6:$E$205,MATCH(C1296,Products!$B$6:$B$205,0)),"")),"")</f>
        <v/>
      </c>
      <c r="I1296" s="24" t="n"/>
      <c r="J1296" s="1" t="n"/>
    </row>
    <row r="1297">
      <c r="A1297" s="1" t="n"/>
      <c r="B1297" s="30" t="n"/>
      <c r="C1297" s="23" t="n"/>
      <c r="D1297" s="23" t="n"/>
      <c r="E1297" s="26" t="n"/>
      <c r="F1297" s="25" t="n"/>
      <c r="G1297" s="17">
        <f>IF(D1297="Sale",E1297*F1297,IF(D1297="Return",-E1297*F1297,""))</f>
        <v/>
      </c>
      <c r="H1297" s="17">
        <f>IFERROR(IF(D1297="Sale",E1297*INDEX(Products!$E$6:$E$205,MATCH(C1297,Products!$B$6:$B$205,0)),IF(D1297="Return",-E1297*INDEX(Products!$E$6:$E$205,MATCH(C1297,Products!$B$6:$B$205,0)),"")),"")</f>
        <v/>
      </c>
      <c r="I1297" s="24" t="n"/>
      <c r="J1297" s="1" t="n"/>
    </row>
    <row r="1298">
      <c r="A1298" s="1" t="n"/>
      <c r="B1298" s="30" t="n"/>
      <c r="C1298" s="23" t="n"/>
      <c r="D1298" s="23" t="n"/>
      <c r="E1298" s="26" t="n"/>
      <c r="F1298" s="25" t="n"/>
      <c r="G1298" s="17">
        <f>IF(D1298="Sale",E1298*F1298,IF(D1298="Return",-E1298*F1298,""))</f>
        <v/>
      </c>
      <c r="H1298" s="17">
        <f>IFERROR(IF(D1298="Sale",E1298*INDEX(Products!$E$6:$E$205,MATCH(C1298,Products!$B$6:$B$205,0)),IF(D1298="Return",-E1298*INDEX(Products!$E$6:$E$205,MATCH(C1298,Products!$B$6:$B$205,0)),"")),"")</f>
        <v/>
      </c>
      <c r="I1298" s="24" t="n"/>
      <c r="J1298" s="1" t="n"/>
    </row>
    <row r="1299">
      <c r="A1299" s="1" t="n"/>
      <c r="B1299" s="30" t="n"/>
      <c r="C1299" s="23" t="n"/>
      <c r="D1299" s="23" t="n"/>
      <c r="E1299" s="26" t="n"/>
      <c r="F1299" s="25" t="n"/>
      <c r="G1299" s="17">
        <f>IF(D1299="Sale",E1299*F1299,IF(D1299="Return",-E1299*F1299,""))</f>
        <v/>
      </c>
      <c r="H1299" s="17">
        <f>IFERROR(IF(D1299="Sale",E1299*INDEX(Products!$E$6:$E$205,MATCH(C1299,Products!$B$6:$B$205,0)),IF(D1299="Return",-E1299*INDEX(Products!$E$6:$E$205,MATCH(C1299,Products!$B$6:$B$205,0)),"")),"")</f>
        <v/>
      </c>
      <c r="I1299" s="24" t="n"/>
      <c r="J1299" s="1" t="n"/>
    </row>
    <row r="1300">
      <c r="A1300" s="1" t="n"/>
      <c r="B1300" s="30" t="n"/>
      <c r="C1300" s="23" t="n"/>
      <c r="D1300" s="23" t="n"/>
      <c r="E1300" s="26" t="n"/>
      <c r="F1300" s="25" t="n"/>
      <c r="G1300" s="17">
        <f>IF(D1300="Sale",E1300*F1300,IF(D1300="Return",-E1300*F1300,""))</f>
        <v/>
      </c>
      <c r="H1300" s="17">
        <f>IFERROR(IF(D1300="Sale",E1300*INDEX(Products!$E$6:$E$205,MATCH(C1300,Products!$B$6:$B$205,0)),IF(D1300="Return",-E1300*INDEX(Products!$E$6:$E$205,MATCH(C1300,Products!$B$6:$B$205,0)),"")),"")</f>
        <v/>
      </c>
      <c r="I1300" s="24" t="n"/>
      <c r="J1300" s="1" t="n"/>
    </row>
    <row r="1301">
      <c r="A1301" s="1" t="n"/>
      <c r="B1301" s="30" t="n"/>
      <c r="C1301" s="23" t="n"/>
      <c r="D1301" s="23" t="n"/>
      <c r="E1301" s="26" t="n"/>
      <c r="F1301" s="25" t="n"/>
      <c r="G1301" s="17">
        <f>IF(D1301="Sale",E1301*F1301,IF(D1301="Return",-E1301*F1301,""))</f>
        <v/>
      </c>
      <c r="H1301" s="17">
        <f>IFERROR(IF(D1301="Sale",E1301*INDEX(Products!$E$6:$E$205,MATCH(C1301,Products!$B$6:$B$205,0)),IF(D1301="Return",-E1301*INDEX(Products!$E$6:$E$205,MATCH(C1301,Products!$B$6:$B$205,0)),"")),"")</f>
        <v/>
      </c>
      <c r="I1301" s="24" t="n"/>
      <c r="J1301" s="1" t="n"/>
    </row>
    <row r="1302">
      <c r="A1302" s="1" t="n"/>
      <c r="B1302" s="30" t="n"/>
      <c r="C1302" s="23" t="n"/>
      <c r="D1302" s="23" t="n"/>
      <c r="E1302" s="26" t="n"/>
      <c r="F1302" s="25" t="n"/>
      <c r="G1302" s="17">
        <f>IF(D1302="Sale",E1302*F1302,IF(D1302="Return",-E1302*F1302,""))</f>
        <v/>
      </c>
      <c r="H1302" s="17">
        <f>IFERROR(IF(D1302="Sale",E1302*INDEX(Products!$E$6:$E$205,MATCH(C1302,Products!$B$6:$B$205,0)),IF(D1302="Return",-E1302*INDEX(Products!$E$6:$E$205,MATCH(C1302,Products!$B$6:$B$205,0)),"")),"")</f>
        <v/>
      </c>
      <c r="I1302" s="24" t="n"/>
      <c r="J1302" s="1" t="n"/>
    </row>
    <row r="1303">
      <c r="A1303" s="1" t="n"/>
      <c r="B1303" s="30" t="n"/>
      <c r="C1303" s="23" t="n"/>
      <c r="D1303" s="23" t="n"/>
      <c r="E1303" s="26" t="n"/>
      <c r="F1303" s="25" t="n"/>
      <c r="G1303" s="17">
        <f>IF(D1303="Sale",E1303*F1303,IF(D1303="Return",-E1303*F1303,""))</f>
        <v/>
      </c>
      <c r="H1303" s="17">
        <f>IFERROR(IF(D1303="Sale",E1303*INDEX(Products!$E$6:$E$205,MATCH(C1303,Products!$B$6:$B$205,0)),IF(D1303="Return",-E1303*INDEX(Products!$E$6:$E$205,MATCH(C1303,Products!$B$6:$B$205,0)),"")),"")</f>
        <v/>
      </c>
      <c r="I1303" s="24" t="n"/>
      <c r="J1303" s="1" t="n"/>
    </row>
    <row r="1304">
      <c r="A1304" s="1" t="n"/>
      <c r="B1304" s="30" t="n"/>
      <c r="C1304" s="23" t="n"/>
      <c r="D1304" s="23" t="n"/>
      <c r="E1304" s="26" t="n"/>
      <c r="F1304" s="25" t="n"/>
      <c r="G1304" s="17">
        <f>IF(D1304="Sale",E1304*F1304,IF(D1304="Return",-E1304*F1304,""))</f>
        <v/>
      </c>
      <c r="H1304" s="17">
        <f>IFERROR(IF(D1304="Sale",E1304*INDEX(Products!$E$6:$E$205,MATCH(C1304,Products!$B$6:$B$205,0)),IF(D1304="Return",-E1304*INDEX(Products!$E$6:$E$205,MATCH(C1304,Products!$B$6:$B$205,0)),"")),"")</f>
        <v/>
      </c>
      <c r="I1304" s="24" t="n"/>
      <c r="J1304" s="1" t="n"/>
    </row>
    <row r="1305">
      <c r="A1305" s="1" t="n"/>
      <c r="B1305" s="30" t="n"/>
      <c r="C1305" s="23" t="n"/>
      <c r="D1305" s="23" t="n"/>
      <c r="E1305" s="26" t="n"/>
      <c r="F1305" s="25" t="n"/>
      <c r="G1305" s="17">
        <f>IF(D1305="Sale",E1305*F1305,IF(D1305="Return",-E1305*F1305,""))</f>
        <v/>
      </c>
      <c r="H1305" s="17">
        <f>IFERROR(IF(D1305="Sale",E1305*INDEX(Products!$E$6:$E$205,MATCH(C1305,Products!$B$6:$B$205,0)),IF(D1305="Return",-E1305*INDEX(Products!$E$6:$E$205,MATCH(C1305,Products!$B$6:$B$205,0)),"")),"")</f>
        <v/>
      </c>
      <c r="I1305" s="24" t="n"/>
      <c r="J1305" s="1" t="n"/>
    </row>
    <row r="1306">
      <c r="A1306" s="1" t="n"/>
      <c r="B1306" s="30" t="n"/>
      <c r="C1306" s="23" t="n"/>
      <c r="D1306" s="23" t="n"/>
      <c r="E1306" s="26" t="n"/>
      <c r="F1306" s="25" t="n"/>
      <c r="G1306" s="17">
        <f>IF(D1306="Sale",E1306*F1306,IF(D1306="Return",-E1306*F1306,""))</f>
        <v/>
      </c>
      <c r="H1306" s="17">
        <f>IFERROR(IF(D1306="Sale",E1306*INDEX(Products!$E$6:$E$205,MATCH(C1306,Products!$B$6:$B$205,0)),IF(D1306="Return",-E1306*INDEX(Products!$E$6:$E$205,MATCH(C1306,Products!$B$6:$B$205,0)),"")),"")</f>
        <v/>
      </c>
      <c r="I1306" s="24" t="n"/>
      <c r="J1306" s="1" t="n"/>
    </row>
    <row r="1307">
      <c r="A1307" s="1" t="n"/>
      <c r="B1307" s="30" t="n"/>
      <c r="C1307" s="23" t="n"/>
      <c r="D1307" s="23" t="n"/>
      <c r="E1307" s="26" t="n"/>
      <c r="F1307" s="25" t="n"/>
      <c r="G1307" s="17">
        <f>IF(D1307="Sale",E1307*F1307,IF(D1307="Return",-E1307*F1307,""))</f>
        <v/>
      </c>
      <c r="H1307" s="17">
        <f>IFERROR(IF(D1307="Sale",E1307*INDEX(Products!$E$6:$E$205,MATCH(C1307,Products!$B$6:$B$205,0)),IF(D1307="Return",-E1307*INDEX(Products!$E$6:$E$205,MATCH(C1307,Products!$B$6:$B$205,0)),"")),"")</f>
        <v/>
      </c>
      <c r="I1307" s="24" t="n"/>
      <c r="J1307" s="1" t="n"/>
    </row>
    <row r="1308">
      <c r="A1308" s="1" t="n"/>
      <c r="B1308" s="30" t="n"/>
      <c r="C1308" s="23" t="n"/>
      <c r="D1308" s="23" t="n"/>
      <c r="E1308" s="26" t="n"/>
      <c r="F1308" s="25" t="n"/>
      <c r="G1308" s="17">
        <f>IF(D1308="Sale",E1308*F1308,IF(D1308="Return",-E1308*F1308,""))</f>
        <v/>
      </c>
      <c r="H1308" s="17">
        <f>IFERROR(IF(D1308="Sale",E1308*INDEX(Products!$E$6:$E$205,MATCH(C1308,Products!$B$6:$B$205,0)),IF(D1308="Return",-E1308*INDEX(Products!$E$6:$E$205,MATCH(C1308,Products!$B$6:$B$205,0)),"")),"")</f>
        <v/>
      </c>
      <c r="I1308" s="24" t="n"/>
      <c r="J1308" s="1" t="n"/>
    </row>
    <row r="1309">
      <c r="A1309" s="1" t="n"/>
      <c r="B1309" s="30" t="n"/>
      <c r="C1309" s="23" t="n"/>
      <c r="D1309" s="23" t="n"/>
      <c r="E1309" s="26" t="n"/>
      <c r="F1309" s="25" t="n"/>
      <c r="G1309" s="17">
        <f>IF(D1309="Sale",E1309*F1309,IF(D1309="Return",-E1309*F1309,""))</f>
        <v/>
      </c>
      <c r="H1309" s="17">
        <f>IFERROR(IF(D1309="Sale",E1309*INDEX(Products!$E$6:$E$205,MATCH(C1309,Products!$B$6:$B$205,0)),IF(D1309="Return",-E1309*INDEX(Products!$E$6:$E$205,MATCH(C1309,Products!$B$6:$B$205,0)),"")),"")</f>
        <v/>
      </c>
      <c r="I1309" s="24" t="n"/>
      <c r="J1309" s="1" t="n"/>
    </row>
    <row r="1310">
      <c r="A1310" s="1" t="n"/>
      <c r="B1310" s="30" t="n"/>
      <c r="C1310" s="23" t="n"/>
      <c r="D1310" s="23" t="n"/>
      <c r="E1310" s="26" t="n"/>
      <c r="F1310" s="25" t="n"/>
      <c r="G1310" s="17">
        <f>IF(D1310="Sale",E1310*F1310,IF(D1310="Return",-E1310*F1310,""))</f>
        <v/>
      </c>
      <c r="H1310" s="17">
        <f>IFERROR(IF(D1310="Sale",E1310*INDEX(Products!$E$6:$E$205,MATCH(C1310,Products!$B$6:$B$205,0)),IF(D1310="Return",-E1310*INDEX(Products!$E$6:$E$205,MATCH(C1310,Products!$B$6:$B$205,0)),"")),"")</f>
        <v/>
      </c>
      <c r="I1310" s="24" t="n"/>
      <c r="J1310" s="1" t="n"/>
    </row>
    <row r="1311">
      <c r="A1311" s="1" t="n"/>
      <c r="B1311" s="30" t="n"/>
      <c r="C1311" s="23" t="n"/>
      <c r="D1311" s="23" t="n"/>
      <c r="E1311" s="26" t="n"/>
      <c r="F1311" s="25" t="n"/>
      <c r="G1311" s="17">
        <f>IF(D1311="Sale",E1311*F1311,IF(D1311="Return",-E1311*F1311,""))</f>
        <v/>
      </c>
      <c r="H1311" s="17">
        <f>IFERROR(IF(D1311="Sale",E1311*INDEX(Products!$E$6:$E$205,MATCH(C1311,Products!$B$6:$B$205,0)),IF(D1311="Return",-E1311*INDEX(Products!$E$6:$E$205,MATCH(C1311,Products!$B$6:$B$205,0)),"")),"")</f>
        <v/>
      </c>
      <c r="I1311" s="24" t="n"/>
      <c r="J1311" s="1" t="n"/>
    </row>
    <row r="1312">
      <c r="A1312" s="1" t="n"/>
      <c r="B1312" s="30" t="n"/>
      <c r="C1312" s="23" t="n"/>
      <c r="D1312" s="23" t="n"/>
      <c r="E1312" s="26" t="n"/>
      <c r="F1312" s="25" t="n"/>
      <c r="G1312" s="17">
        <f>IF(D1312="Sale",E1312*F1312,IF(D1312="Return",-E1312*F1312,""))</f>
        <v/>
      </c>
      <c r="H1312" s="17">
        <f>IFERROR(IF(D1312="Sale",E1312*INDEX(Products!$E$6:$E$205,MATCH(C1312,Products!$B$6:$B$205,0)),IF(D1312="Return",-E1312*INDEX(Products!$E$6:$E$205,MATCH(C1312,Products!$B$6:$B$205,0)),"")),"")</f>
        <v/>
      </c>
      <c r="I1312" s="24" t="n"/>
      <c r="J1312" s="1" t="n"/>
    </row>
    <row r="1313">
      <c r="A1313" s="1" t="n"/>
      <c r="B1313" s="30" t="n"/>
      <c r="C1313" s="23" t="n"/>
      <c r="D1313" s="23" t="n"/>
      <c r="E1313" s="26" t="n"/>
      <c r="F1313" s="25" t="n"/>
      <c r="G1313" s="17">
        <f>IF(D1313="Sale",E1313*F1313,IF(D1313="Return",-E1313*F1313,""))</f>
        <v/>
      </c>
      <c r="H1313" s="17">
        <f>IFERROR(IF(D1313="Sale",E1313*INDEX(Products!$E$6:$E$205,MATCH(C1313,Products!$B$6:$B$205,0)),IF(D1313="Return",-E1313*INDEX(Products!$E$6:$E$205,MATCH(C1313,Products!$B$6:$B$205,0)),"")),"")</f>
        <v/>
      </c>
      <c r="I1313" s="24" t="n"/>
      <c r="J1313" s="1" t="n"/>
    </row>
    <row r="1314">
      <c r="A1314" s="1" t="n"/>
      <c r="B1314" s="30" t="n"/>
      <c r="C1314" s="23" t="n"/>
      <c r="D1314" s="23" t="n"/>
      <c r="E1314" s="26" t="n"/>
      <c r="F1314" s="25" t="n"/>
      <c r="G1314" s="17">
        <f>IF(D1314="Sale",E1314*F1314,IF(D1314="Return",-E1314*F1314,""))</f>
        <v/>
      </c>
      <c r="H1314" s="17">
        <f>IFERROR(IF(D1314="Sale",E1314*INDEX(Products!$E$6:$E$205,MATCH(C1314,Products!$B$6:$B$205,0)),IF(D1314="Return",-E1314*INDEX(Products!$E$6:$E$205,MATCH(C1314,Products!$B$6:$B$205,0)),"")),"")</f>
        <v/>
      </c>
      <c r="I1314" s="24" t="n"/>
      <c r="J1314" s="1" t="n"/>
    </row>
    <row r="1315">
      <c r="A1315" s="1" t="n"/>
      <c r="B1315" s="30" t="n"/>
      <c r="C1315" s="23" t="n"/>
      <c r="D1315" s="23" t="n"/>
      <c r="E1315" s="26" t="n"/>
      <c r="F1315" s="25" t="n"/>
      <c r="G1315" s="17">
        <f>IF(D1315="Sale",E1315*F1315,IF(D1315="Return",-E1315*F1315,""))</f>
        <v/>
      </c>
      <c r="H1315" s="17">
        <f>IFERROR(IF(D1315="Sale",E1315*INDEX(Products!$E$6:$E$205,MATCH(C1315,Products!$B$6:$B$205,0)),IF(D1315="Return",-E1315*INDEX(Products!$E$6:$E$205,MATCH(C1315,Products!$B$6:$B$205,0)),"")),"")</f>
        <v/>
      </c>
      <c r="I1315" s="24" t="n"/>
      <c r="J1315" s="1" t="n"/>
    </row>
    <row r="1316">
      <c r="A1316" s="1" t="n"/>
      <c r="B1316" s="30" t="n"/>
      <c r="C1316" s="23" t="n"/>
      <c r="D1316" s="23" t="n"/>
      <c r="E1316" s="26" t="n"/>
      <c r="F1316" s="25" t="n"/>
      <c r="G1316" s="17">
        <f>IF(D1316="Sale",E1316*F1316,IF(D1316="Return",-E1316*F1316,""))</f>
        <v/>
      </c>
      <c r="H1316" s="17">
        <f>IFERROR(IF(D1316="Sale",E1316*INDEX(Products!$E$6:$E$205,MATCH(C1316,Products!$B$6:$B$205,0)),IF(D1316="Return",-E1316*INDEX(Products!$E$6:$E$205,MATCH(C1316,Products!$B$6:$B$205,0)),"")),"")</f>
        <v/>
      </c>
      <c r="I1316" s="24" t="n"/>
      <c r="J1316" s="1" t="n"/>
    </row>
    <row r="1317">
      <c r="A1317" s="1" t="n"/>
      <c r="B1317" s="30" t="n"/>
      <c r="C1317" s="23" t="n"/>
      <c r="D1317" s="23" t="n"/>
      <c r="E1317" s="26" t="n"/>
      <c r="F1317" s="25" t="n"/>
      <c r="G1317" s="17">
        <f>IF(D1317="Sale",E1317*F1317,IF(D1317="Return",-E1317*F1317,""))</f>
        <v/>
      </c>
      <c r="H1317" s="17">
        <f>IFERROR(IF(D1317="Sale",E1317*INDEX(Products!$E$6:$E$205,MATCH(C1317,Products!$B$6:$B$205,0)),IF(D1317="Return",-E1317*INDEX(Products!$E$6:$E$205,MATCH(C1317,Products!$B$6:$B$205,0)),"")),"")</f>
        <v/>
      </c>
      <c r="I1317" s="24" t="n"/>
      <c r="J1317" s="1" t="n"/>
    </row>
    <row r="1318">
      <c r="A1318" s="1" t="n"/>
      <c r="B1318" s="30" t="n"/>
      <c r="C1318" s="23" t="n"/>
      <c r="D1318" s="23" t="n"/>
      <c r="E1318" s="26" t="n"/>
      <c r="F1318" s="25" t="n"/>
      <c r="G1318" s="17">
        <f>IF(D1318="Sale",E1318*F1318,IF(D1318="Return",-E1318*F1318,""))</f>
        <v/>
      </c>
      <c r="H1318" s="17">
        <f>IFERROR(IF(D1318="Sale",E1318*INDEX(Products!$E$6:$E$205,MATCH(C1318,Products!$B$6:$B$205,0)),IF(D1318="Return",-E1318*INDEX(Products!$E$6:$E$205,MATCH(C1318,Products!$B$6:$B$205,0)),"")),"")</f>
        <v/>
      </c>
      <c r="I1318" s="24" t="n"/>
      <c r="J1318" s="1" t="n"/>
    </row>
    <row r="1319">
      <c r="A1319" s="1" t="n"/>
      <c r="B1319" s="30" t="n"/>
      <c r="C1319" s="23" t="n"/>
      <c r="D1319" s="23" t="n"/>
      <c r="E1319" s="26" t="n"/>
      <c r="F1319" s="25" t="n"/>
      <c r="G1319" s="17">
        <f>IF(D1319="Sale",E1319*F1319,IF(D1319="Return",-E1319*F1319,""))</f>
        <v/>
      </c>
      <c r="H1319" s="17">
        <f>IFERROR(IF(D1319="Sale",E1319*INDEX(Products!$E$6:$E$205,MATCH(C1319,Products!$B$6:$B$205,0)),IF(D1319="Return",-E1319*INDEX(Products!$E$6:$E$205,MATCH(C1319,Products!$B$6:$B$205,0)),"")),"")</f>
        <v/>
      </c>
      <c r="I1319" s="24" t="n"/>
      <c r="J1319" s="1" t="n"/>
    </row>
    <row r="1320">
      <c r="A1320" s="1" t="n"/>
      <c r="B1320" s="30" t="n"/>
      <c r="C1320" s="23" t="n"/>
      <c r="D1320" s="23" t="n"/>
      <c r="E1320" s="26" t="n"/>
      <c r="F1320" s="25" t="n"/>
      <c r="G1320" s="17">
        <f>IF(D1320="Sale",E1320*F1320,IF(D1320="Return",-E1320*F1320,""))</f>
        <v/>
      </c>
      <c r="H1320" s="17">
        <f>IFERROR(IF(D1320="Sale",E1320*INDEX(Products!$E$6:$E$205,MATCH(C1320,Products!$B$6:$B$205,0)),IF(D1320="Return",-E1320*INDEX(Products!$E$6:$E$205,MATCH(C1320,Products!$B$6:$B$205,0)),"")),"")</f>
        <v/>
      </c>
      <c r="I1320" s="24" t="n"/>
      <c r="J1320" s="1" t="n"/>
    </row>
    <row r="1321">
      <c r="A1321" s="1" t="n"/>
      <c r="B1321" s="30" t="n"/>
      <c r="C1321" s="23" t="n"/>
      <c r="D1321" s="23" t="n"/>
      <c r="E1321" s="26" t="n"/>
      <c r="F1321" s="25" t="n"/>
      <c r="G1321" s="17">
        <f>IF(D1321="Sale",E1321*F1321,IF(D1321="Return",-E1321*F1321,""))</f>
        <v/>
      </c>
      <c r="H1321" s="17">
        <f>IFERROR(IF(D1321="Sale",E1321*INDEX(Products!$E$6:$E$205,MATCH(C1321,Products!$B$6:$B$205,0)),IF(D1321="Return",-E1321*INDEX(Products!$E$6:$E$205,MATCH(C1321,Products!$B$6:$B$205,0)),"")),"")</f>
        <v/>
      </c>
      <c r="I1321" s="24" t="n"/>
      <c r="J1321" s="1" t="n"/>
    </row>
    <row r="1322">
      <c r="A1322" s="1" t="n"/>
      <c r="B1322" s="30" t="n"/>
      <c r="C1322" s="23" t="n"/>
      <c r="D1322" s="23" t="n"/>
      <c r="E1322" s="26" t="n"/>
      <c r="F1322" s="25" t="n"/>
      <c r="G1322" s="17">
        <f>IF(D1322="Sale",E1322*F1322,IF(D1322="Return",-E1322*F1322,""))</f>
        <v/>
      </c>
      <c r="H1322" s="17">
        <f>IFERROR(IF(D1322="Sale",E1322*INDEX(Products!$E$6:$E$205,MATCH(C1322,Products!$B$6:$B$205,0)),IF(D1322="Return",-E1322*INDEX(Products!$E$6:$E$205,MATCH(C1322,Products!$B$6:$B$205,0)),"")),"")</f>
        <v/>
      </c>
      <c r="I1322" s="24" t="n"/>
      <c r="J1322" s="1" t="n"/>
    </row>
    <row r="1323">
      <c r="A1323" s="1" t="n"/>
      <c r="B1323" s="30" t="n"/>
      <c r="C1323" s="23" t="n"/>
      <c r="D1323" s="23" t="n"/>
      <c r="E1323" s="26" t="n"/>
      <c r="F1323" s="25" t="n"/>
      <c r="G1323" s="17">
        <f>IF(D1323="Sale",E1323*F1323,IF(D1323="Return",-E1323*F1323,""))</f>
        <v/>
      </c>
      <c r="H1323" s="17">
        <f>IFERROR(IF(D1323="Sale",E1323*INDEX(Products!$E$6:$E$205,MATCH(C1323,Products!$B$6:$B$205,0)),IF(D1323="Return",-E1323*INDEX(Products!$E$6:$E$205,MATCH(C1323,Products!$B$6:$B$205,0)),"")),"")</f>
        <v/>
      </c>
      <c r="I1323" s="24" t="n"/>
      <c r="J1323" s="1" t="n"/>
    </row>
    <row r="1324">
      <c r="A1324" s="1" t="n"/>
      <c r="B1324" s="30" t="n"/>
      <c r="C1324" s="23" t="n"/>
      <c r="D1324" s="23" t="n"/>
      <c r="E1324" s="26" t="n"/>
      <c r="F1324" s="25" t="n"/>
      <c r="G1324" s="17">
        <f>IF(D1324="Sale",E1324*F1324,IF(D1324="Return",-E1324*F1324,""))</f>
        <v/>
      </c>
      <c r="H1324" s="17">
        <f>IFERROR(IF(D1324="Sale",E1324*INDEX(Products!$E$6:$E$205,MATCH(C1324,Products!$B$6:$B$205,0)),IF(D1324="Return",-E1324*INDEX(Products!$E$6:$E$205,MATCH(C1324,Products!$B$6:$B$205,0)),"")),"")</f>
        <v/>
      </c>
      <c r="I1324" s="24" t="n"/>
      <c r="J1324" s="1" t="n"/>
    </row>
    <row r="1325">
      <c r="A1325" s="1" t="n"/>
      <c r="B1325" s="30" t="n"/>
      <c r="C1325" s="23" t="n"/>
      <c r="D1325" s="23" t="n"/>
      <c r="E1325" s="26" t="n"/>
      <c r="F1325" s="25" t="n"/>
      <c r="G1325" s="17">
        <f>IF(D1325="Sale",E1325*F1325,IF(D1325="Return",-E1325*F1325,""))</f>
        <v/>
      </c>
      <c r="H1325" s="17">
        <f>IFERROR(IF(D1325="Sale",E1325*INDEX(Products!$E$6:$E$205,MATCH(C1325,Products!$B$6:$B$205,0)),IF(D1325="Return",-E1325*INDEX(Products!$E$6:$E$205,MATCH(C1325,Products!$B$6:$B$205,0)),"")),"")</f>
        <v/>
      </c>
      <c r="I1325" s="24" t="n"/>
      <c r="J1325" s="1" t="n"/>
    </row>
    <row r="1326">
      <c r="A1326" s="1" t="n"/>
      <c r="B1326" s="30" t="n"/>
      <c r="C1326" s="23" t="n"/>
      <c r="D1326" s="23" t="n"/>
      <c r="E1326" s="26" t="n"/>
      <c r="F1326" s="25" t="n"/>
      <c r="G1326" s="17">
        <f>IF(D1326="Sale",E1326*F1326,IF(D1326="Return",-E1326*F1326,""))</f>
        <v/>
      </c>
      <c r="H1326" s="17">
        <f>IFERROR(IF(D1326="Sale",E1326*INDEX(Products!$E$6:$E$205,MATCH(C1326,Products!$B$6:$B$205,0)),IF(D1326="Return",-E1326*INDEX(Products!$E$6:$E$205,MATCH(C1326,Products!$B$6:$B$205,0)),"")),"")</f>
        <v/>
      </c>
      <c r="I1326" s="24" t="n"/>
      <c r="J1326" s="1" t="n"/>
    </row>
    <row r="1327">
      <c r="A1327" s="1" t="n"/>
      <c r="B1327" s="30" t="n"/>
      <c r="C1327" s="23" t="n"/>
      <c r="D1327" s="23" t="n"/>
      <c r="E1327" s="26" t="n"/>
      <c r="F1327" s="25" t="n"/>
      <c r="G1327" s="17">
        <f>IF(D1327="Sale",E1327*F1327,IF(D1327="Return",-E1327*F1327,""))</f>
        <v/>
      </c>
      <c r="H1327" s="17">
        <f>IFERROR(IF(D1327="Sale",E1327*INDEX(Products!$E$6:$E$205,MATCH(C1327,Products!$B$6:$B$205,0)),IF(D1327="Return",-E1327*INDEX(Products!$E$6:$E$205,MATCH(C1327,Products!$B$6:$B$205,0)),"")),"")</f>
        <v/>
      </c>
      <c r="I1327" s="24" t="n"/>
      <c r="J1327" s="1" t="n"/>
    </row>
    <row r="1328">
      <c r="A1328" s="1" t="n"/>
      <c r="B1328" s="30" t="n"/>
      <c r="C1328" s="23" t="n"/>
      <c r="D1328" s="23" t="n"/>
      <c r="E1328" s="26" t="n"/>
      <c r="F1328" s="25" t="n"/>
      <c r="G1328" s="17">
        <f>IF(D1328="Sale",E1328*F1328,IF(D1328="Return",-E1328*F1328,""))</f>
        <v/>
      </c>
      <c r="H1328" s="17">
        <f>IFERROR(IF(D1328="Sale",E1328*INDEX(Products!$E$6:$E$205,MATCH(C1328,Products!$B$6:$B$205,0)),IF(D1328="Return",-E1328*INDEX(Products!$E$6:$E$205,MATCH(C1328,Products!$B$6:$B$205,0)),"")),"")</f>
        <v/>
      </c>
      <c r="I1328" s="24" t="n"/>
      <c r="J1328" s="1" t="n"/>
    </row>
    <row r="1329">
      <c r="A1329" s="1" t="n"/>
      <c r="B1329" s="30" t="n"/>
      <c r="C1329" s="23" t="n"/>
      <c r="D1329" s="23" t="n"/>
      <c r="E1329" s="26" t="n"/>
      <c r="F1329" s="25" t="n"/>
      <c r="G1329" s="17">
        <f>IF(D1329="Sale",E1329*F1329,IF(D1329="Return",-E1329*F1329,""))</f>
        <v/>
      </c>
      <c r="H1329" s="17">
        <f>IFERROR(IF(D1329="Sale",E1329*INDEX(Products!$E$6:$E$205,MATCH(C1329,Products!$B$6:$B$205,0)),IF(D1329="Return",-E1329*INDEX(Products!$E$6:$E$205,MATCH(C1329,Products!$B$6:$B$205,0)),"")),"")</f>
        <v/>
      </c>
      <c r="I1329" s="24" t="n"/>
      <c r="J1329" s="1" t="n"/>
    </row>
    <row r="1330">
      <c r="A1330" s="1" t="n"/>
      <c r="B1330" s="30" t="n"/>
      <c r="C1330" s="23" t="n"/>
      <c r="D1330" s="23" t="n"/>
      <c r="E1330" s="26" t="n"/>
      <c r="F1330" s="25" t="n"/>
      <c r="G1330" s="17">
        <f>IF(D1330="Sale",E1330*F1330,IF(D1330="Return",-E1330*F1330,""))</f>
        <v/>
      </c>
      <c r="H1330" s="17">
        <f>IFERROR(IF(D1330="Sale",E1330*INDEX(Products!$E$6:$E$205,MATCH(C1330,Products!$B$6:$B$205,0)),IF(D1330="Return",-E1330*INDEX(Products!$E$6:$E$205,MATCH(C1330,Products!$B$6:$B$205,0)),"")),"")</f>
        <v/>
      </c>
      <c r="I1330" s="24" t="n"/>
      <c r="J1330" s="1" t="n"/>
    </row>
    <row r="1331">
      <c r="A1331" s="1" t="n"/>
      <c r="B1331" s="30" t="n"/>
      <c r="C1331" s="23" t="n"/>
      <c r="D1331" s="23" t="n"/>
      <c r="E1331" s="26" t="n"/>
      <c r="F1331" s="25" t="n"/>
      <c r="G1331" s="17">
        <f>IF(D1331="Sale",E1331*F1331,IF(D1331="Return",-E1331*F1331,""))</f>
        <v/>
      </c>
      <c r="H1331" s="17">
        <f>IFERROR(IF(D1331="Sale",E1331*INDEX(Products!$E$6:$E$205,MATCH(C1331,Products!$B$6:$B$205,0)),IF(D1331="Return",-E1331*INDEX(Products!$E$6:$E$205,MATCH(C1331,Products!$B$6:$B$205,0)),"")),"")</f>
        <v/>
      </c>
      <c r="I1331" s="24" t="n"/>
      <c r="J1331" s="1" t="n"/>
    </row>
    <row r="1332">
      <c r="A1332" s="1" t="n"/>
      <c r="B1332" s="30" t="n"/>
      <c r="C1332" s="23" t="n"/>
      <c r="D1332" s="23" t="n"/>
      <c r="E1332" s="26" t="n"/>
      <c r="F1332" s="25" t="n"/>
      <c r="G1332" s="17">
        <f>IF(D1332="Sale",E1332*F1332,IF(D1332="Return",-E1332*F1332,""))</f>
        <v/>
      </c>
      <c r="H1332" s="17">
        <f>IFERROR(IF(D1332="Sale",E1332*INDEX(Products!$E$6:$E$205,MATCH(C1332,Products!$B$6:$B$205,0)),IF(D1332="Return",-E1332*INDEX(Products!$E$6:$E$205,MATCH(C1332,Products!$B$6:$B$205,0)),"")),"")</f>
        <v/>
      </c>
      <c r="I1332" s="24" t="n"/>
      <c r="J1332" s="1" t="n"/>
    </row>
    <row r="1333">
      <c r="A1333" s="1" t="n"/>
      <c r="B1333" s="30" t="n"/>
      <c r="C1333" s="23" t="n"/>
      <c r="D1333" s="23" t="n"/>
      <c r="E1333" s="26" t="n"/>
      <c r="F1333" s="25" t="n"/>
      <c r="G1333" s="17">
        <f>IF(D1333="Sale",E1333*F1333,IF(D1333="Return",-E1333*F1333,""))</f>
        <v/>
      </c>
      <c r="H1333" s="17">
        <f>IFERROR(IF(D1333="Sale",E1333*INDEX(Products!$E$6:$E$205,MATCH(C1333,Products!$B$6:$B$205,0)),IF(D1333="Return",-E1333*INDEX(Products!$E$6:$E$205,MATCH(C1333,Products!$B$6:$B$205,0)),"")),"")</f>
        <v/>
      </c>
      <c r="I1333" s="24" t="n"/>
      <c r="J1333" s="1" t="n"/>
    </row>
    <row r="1334">
      <c r="A1334" s="1" t="n"/>
      <c r="B1334" s="30" t="n"/>
      <c r="C1334" s="23" t="n"/>
      <c r="D1334" s="23" t="n"/>
      <c r="E1334" s="26" t="n"/>
      <c r="F1334" s="25" t="n"/>
      <c r="G1334" s="17">
        <f>IF(D1334="Sale",E1334*F1334,IF(D1334="Return",-E1334*F1334,""))</f>
        <v/>
      </c>
      <c r="H1334" s="17">
        <f>IFERROR(IF(D1334="Sale",E1334*INDEX(Products!$E$6:$E$205,MATCH(C1334,Products!$B$6:$B$205,0)),IF(D1334="Return",-E1334*INDEX(Products!$E$6:$E$205,MATCH(C1334,Products!$B$6:$B$205,0)),"")),"")</f>
        <v/>
      </c>
      <c r="I1334" s="24" t="n"/>
      <c r="J1334" s="1" t="n"/>
    </row>
    <row r="1335">
      <c r="A1335" s="1" t="n"/>
      <c r="B1335" s="30" t="n"/>
      <c r="C1335" s="23" t="n"/>
      <c r="D1335" s="23" t="n"/>
      <c r="E1335" s="26" t="n"/>
      <c r="F1335" s="25" t="n"/>
      <c r="G1335" s="17">
        <f>IF(D1335="Sale",E1335*F1335,IF(D1335="Return",-E1335*F1335,""))</f>
        <v/>
      </c>
      <c r="H1335" s="17">
        <f>IFERROR(IF(D1335="Sale",E1335*INDEX(Products!$E$6:$E$205,MATCH(C1335,Products!$B$6:$B$205,0)),IF(D1335="Return",-E1335*INDEX(Products!$E$6:$E$205,MATCH(C1335,Products!$B$6:$B$205,0)),"")),"")</f>
        <v/>
      </c>
      <c r="I1335" s="24" t="n"/>
      <c r="J1335" s="1" t="n"/>
    </row>
    <row r="1336">
      <c r="A1336" s="1" t="n"/>
      <c r="B1336" s="30" t="n"/>
      <c r="C1336" s="23" t="n"/>
      <c r="D1336" s="23" t="n"/>
      <c r="E1336" s="26" t="n"/>
      <c r="F1336" s="25" t="n"/>
      <c r="G1336" s="17">
        <f>IF(D1336="Sale",E1336*F1336,IF(D1336="Return",-E1336*F1336,""))</f>
        <v/>
      </c>
      <c r="H1336" s="17">
        <f>IFERROR(IF(D1336="Sale",E1336*INDEX(Products!$E$6:$E$205,MATCH(C1336,Products!$B$6:$B$205,0)),IF(D1336="Return",-E1336*INDEX(Products!$E$6:$E$205,MATCH(C1336,Products!$B$6:$B$205,0)),"")),"")</f>
        <v/>
      </c>
      <c r="I1336" s="24" t="n"/>
      <c r="J1336" s="1" t="n"/>
    </row>
    <row r="1337">
      <c r="A1337" s="1" t="n"/>
      <c r="B1337" s="30" t="n"/>
      <c r="C1337" s="23" t="n"/>
      <c r="D1337" s="23" t="n"/>
      <c r="E1337" s="26" t="n"/>
      <c r="F1337" s="25" t="n"/>
      <c r="G1337" s="17">
        <f>IF(D1337="Sale",E1337*F1337,IF(D1337="Return",-E1337*F1337,""))</f>
        <v/>
      </c>
      <c r="H1337" s="17">
        <f>IFERROR(IF(D1337="Sale",E1337*INDEX(Products!$E$6:$E$205,MATCH(C1337,Products!$B$6:$B$205,0)),IF(D1337="Return",-E1337*INDEX(Products!$E$6:$E$205,MATCH(C1337,Products!$B$6:$B$205,0)),"")),"")</f>
        <v/>
      </c>
      <c r="I1337" s="24" t="n"/>
      <c r="J1337" s="1" t="n"/>
    </row>
    <row r="1338">
      <c r="A1338" s="1" t="n"/>
      <c r="B1338" s="30" t="n"/>
      <c r="C1338" s="23" t="n"/>
      <c r="D1338" s="23" t="n"/>
      <c r="E1338" s="26" t="n"/>
      <c r="F1338" s="25" t="n"/>
      <c r="G1338" s="17">
        <f>IF(D1338="Sale",E1338*F1338,IF(D1338="Return",-E1338*F1338,""))</f>
        <v/>
      </c>
      <c r="H1338" s="17">
        <f>IFERROR(IF(D1338="Sale",E1338*INDEX(Products!$E$6:$E$205,MATCH(C1338,Products!$B$6:$B$205,0)),IF(D1338="Return",-E1338*INDEX(Products!$E$6:$E$205,MATCH(C1338,Products!$B$6:$B$205,0)),"")),"")</f>
        <v/>
      </c>
      <c r="I1338" s="24" t="n"/>
      <c r="J1338" s="1" t="n"/>
    </row>
    <row r="1339">
      <c r="A1339" s="1" t="n"/>
      <c r="B1339" s="30" t="n"/>
      <c r="C1339" s="23" t="n"/>
      <c r="D1339" s="23" t="n"/>
      <c r="E1339" s="26" t="n"/>
      <c r="F1339" s="25" t="n"/>
      <c r="G1339" s="17">
        <f>IF(D1339="Sale",E1339*F1339,IF(D1339="Return",-E1339*F1339,""))</f>
        <v/>
      </c>
      <c r="H1339" s="17">
        <f>IFERROR(IF(D1339="Sale",E1339*INDEX(Products!$E$6:$E$205,MATCH(C1339,Products!$B$6:$B$205,0)),IF(D1339="Return",-E1339*INDEX(Products!$E$6:$E$205,MATCH(C1339,Products!$B$6:$B$205,0)),"")),"")</f>
        <v/>
      </c>
      <c r="I1339" s="24" t="n"/>
      <c r="J1339" s="1" t="n"/>
    </row>
    <row r="1340">
      <c r="A1340" s="1" t="n"/>
      <c r="B1340" s="30" t="n"/>
      <c r="C1340" s="23" t="n"/>
      <c r="D1340" s="23" t="n"/>
      <c r="E1340" s="26" t="n"/>
      <c r="F1340" s="25" t="n"/>
      <c r="G1340" s="17">
        <f>IF(D1340="Sale",E1340*F1340,IF(D1340="Return",-E1340*F1340,""))</f>
        <v/>
      </c>
      <c r="H1340" s="17">
        <f>IFERROR(IF(D1340="Sale",E1340*INDEX(Products!$E$6:$E$205,MATCH(C1340,Products!$B$6:$B$205,0)),IF(D1340="Return",-E1340*INDEX(Products!$E$6:$E$205,MATCH(C1340,Products!$B$6:$B$205,0)),"")),"")</f>
        <v/>
      </c>
      <c r="I1340" s="24" t="n"/>
      <c r="J1340" s="1" t="n"/>
    </row>
    <row r="1341">
      <c r="A1341" s="1" t="n"/>
      <c r="B1341" s="30" t="n"/>
      <c r="C1341" s="23" t="n"/>
      <c r="D1341" s="23" t="n"/>
      <c r="E1341" s="26" t="n"/>
      <c r="F1341" s="25" t="n"/>
      <c r="G1341" s="17">
        <f>IF(D1341="Sale",E1341*F1341,IF(D1341="Return",-E1341*F1341,""))</f>
        <v/>
      </c>
      <c r="H1341" s="17">
        <f>IFERROR(IF(D1341="Sale",E1341*INDEX(Products!$E$6:$E$205,MATCH(C1341,Products!$B$6:$B$205,0)),IF(D1341="Return",-E1341*INDEX(Products!$E$6:$E$205,MATCH(C1341,Products!$B$6:$B$205,0)),"")),"")</f>
        <v/>
      </c>
      <c r="I1341" s="24" t="n"/>
      <c r="J1341" s="1" t="n"/>
    </row>
    <row r="1342">
      <c r="A1342" s="1" t="n"/>
      <c r="B1342" s="30" t="n"/>
      <c r="C1342" s="23" t="n"/>
      <c r="D1342" s="23" t="n"/>
      <c r="E1342" s="26" t="n"/>
      <c r="F1342" s="25" t="n"/>
      <c r="G1342" s="17">
        <f>IF(D1342="Sale",E1342*F1342,IF(D1342="Return",-E1342*F1342,""))</f>
        <v/>
      </c>
      <c r="H1342" s="17">
        <f>IFERROR(IF(D1342="Sale",E1342*INDEX(Products!$E$6:$E$205,MATCH(C1342,Products!$B$6:$B$205,0)),IF(D1342="Return",-E1342*INDEX(Products!$E$6:$E$205,MATCH(C1342,Products!$B$6:$B$205,0)),"")),"")</f>
        <v/>
      </c>
      <c r="I1342" s="24" t="n"/>
      <c r="J1342" s="1" t="n"/>
    </row>
    <row r="1343">
      <c r="A1343" s="1" t="n"/>
      <c r="B1343" s="30" t="n"/>
      <c r="C1343" s="23" t="n"/>
      <c r="D1343" s="23" t="n"/>
      <c r="E1343" s="26" t="n"/>
      <c r="F1343" s="25" t="n"/>
      <c r="G1343" s="17">
        <f>IF(D1343="Sale",E1343*F1343,IF(D1343="Return",-E1343*F1343,""))</f>
        <v/>
      </c>
      <c r="H1343" s="17">
        <f>IFERROR(IF(D1343="Sale",E1343*INDEX(Products!$E$6:$E$205,MATCH(C1343,Products!$B$6:$B$205,0)),IF(D1343="Return",-E1343*INDEX(Products!$E$6:$E$205,MATCH(C1343,Products!$B$6:$B$205,0)),"")),"")</f>
        <v/>
      </c>
      <c r="I1343" s="24" t="n"/>
      <c r="J1343" s="1" t="n"/>
    </row>
    <row r="1344">
      <c r="A1344" s="1" t="n"/>
      <c r="B1344" s="30" t="n"/>
      <c r="C1344" s="23" t="n"/>
      <c r="D1344" s="23" t="n"/>
      <c r="E1344" s="26" t="n"/>
      <c r="F1344" s="25" t="n"/>
      <c r="G1344" s="17">
        <f>IF(D1344="Sale",E1344*F1344,IF(D1344="Return",-E1344*F1344,""))</f>
        <v/>
      </c>
      <c r="H1344" s="17">
        <f>IFERROR(IF(D1344="Sale",E1344*INDEX(Products!$E$6:$E$205,MATCH(C1344,Products!$B$6:$B$205,0)),IF(D1344="Return",-E1344*INDEX(Products!$E$6:$E$205,MATCH(C1344,Products!$B$6:$B$205,0)),"")),"")</f>
        <v/>
      </c>
      <c r="I1344" s="24" t="n"/>
      <c r="J1344" s="1" t="n"/>
    </row>
    <row r="1345">
      <c r="A1345" s="1" t="n"/>
      <c r="B1345" s="30" t="n"/>
      <c r="C1345" s="23" t="n"/>
      <c r="D1345" s="23" t="n"/>
      <c r="E1345" s="26" t="n"/>
      <c r="F1345" s="25" t="n"/>
      <c r="G1345" s="17">
        <f>IF(D1345="Sale",E1345*F1345,IF(D1345="Return",-E1345*F1345,""))</f>
        <v/>
      </c>
      <c r="H1345" s="17">
        <f>IFERROR(IF(D1345="Sale",E1345*INDEX(Products!$E$6:$E$205,MATCH(C1345,Products!$B$6:$B$205,0)),IF(D1345="Return",-E1345*INDEX(Products!$E$6:$E$205,MATCH(C1345,Products!$B$6:$B$205,0)),"")),"")</f>
        <v/>
      </c>
      <c r="I1345" s="24" t="n"/>
      <c r="J1345" s="1" t="n"/>
    </row>
    <row r="1346">
      <c r="A1346" s="1" t="n"/>
      <c r="B1346" s="30" t="n"/>
      <c r="C1346" s="23" t="n"/>
      <c r="D1346" s="23" t="n"/>
      <c r="E1346" s="26" t="n"/>
      <c r="F1346" s="25" t="n"/>
      <c r="G1346" s="17">
        <f>IF(D1346="Sale",E1346*F1346,IF(D1346="Return",-E1346*F1346,""))</f>
        <v/>
      </c>
      <c r="H1346" s="17">
        <f>IFERROR(IF(D1346="Sale",E1346*INDEX(Products!$E$6:$E$205,MATCH(C1346,Products!$B$6:$B$205,0)),IF(D1346="Return",-E1346*INDEX(Products!$E$6:$E$205,MATCH(C1346,Products!$B$6:$B$205,0)),"")),"")</f>
        <v/>
      </c>
      <c r="I1346" s="24" t="n"/>
      <c r="J1346" s="1" t="n"/>
    </row>
    <row r="1347">
      <c r="A1347" s="1" t="n"/>
      <c r="B1347" s="30" t="n"/>
      <c r="C1347" s="23" t="n"/>
      <c r="D1347" s="23" t="n"/>
      <c r="E1347" s="26" t="n"/>
      <c r="F1347" s="25" t="n"/>
      <c r="G1347" s="17">
        <f>IF(D1347="Sale",E1347*F1347,IF(D1347="Return",-E1347*F1347,""))</f>
        <v/>
      </c>
      <c r="H1347" s="17">
        <f>IFERROR(IF(D1347="Sale",E1347*INDEX(Products!$E$6:$E$205,MATCH(C1347,Products!$B$6:$B$205,0)),IF(D1347="Return",-E1347*INDEX(Products!$E$6:$E$205,MATCH(C1347,Products!$B$6:$B$205,0)),"")),"")</f>
        <v/>
      </c>
      <c r="I1347" s="24" t="n"/>
      <c r="J1347" s="1" t="n"/>
    </row>
    <row r="1348">
      <c r="A1348" s="1" t="n"/>
      <c r="B1348" s="30" t="n"/>
      <c r="C1348" s="23" t="n"/>
      <c r="D1348" s="23" t="n"/>
      <c r="E1348" s="26" t="n"/>
      <c r="F1348" s="25" t="n"/>
      <c r="G1348" s="17">
        <f>IF(D1348="Sale",E1348*F1348,IF(D1348="Return",-E1348*F1348,""))</f>
        <v/>
      </c>
      <c r="H1348" s="17">
        <f>IFERROR(IF(D1348="Sale",E1348*INDEX(Products!$E$6:$E$205,MATCH(C1348,Products!$B$6:$B$205,0)),IF(D1348="Return",-E1348*INDEX(Products!$E$6:$E$205,MATCH(C1348,Products!$B$6:$B$205,0)),"")),"")</f>
        <v/>
      </c>
      <c r="I1348" s="24" t="n"/>
      <c r="J1348" s="1" t="n"/>
    </row>
    <row r="1349">
      <c r="A1349" s="1" t="n"/>
      <c r="B1349" s="30" t="n"/>
      <c r="C1349" s="23" t="n"/>
      <c r="D1349" s="23" t="n"/>
      <c r="E1349" s="26" t="n"/>
      <c r="F1349" s="25" t="n"/>
      <c r="G1349" s="17">
        <f>IF(D1349="Sale",E1349*F1349,IF(D1349="Return",-E1349*F1349,""))</f>
        <v/>
      </c>
      <c r="H1349" s="17">
        <f>IFERROR(IF(D1349="Sale",E1349*INDEX(Products!$E$6:$E$205,MATCH(C1349,Products!$B$6:$B$205,0)),IF(D1349="Return",-E1349*INDEX(Products!$E$6:$E$205,MATCH(C1349,Products!$B$6:$B$205,0)),"")),"")</f>
        <v/>
      </c>
      <c r="I1349" s="24" t="n"/>
      <c r="J1349" s="1" t="n"/>
    </row>
    <row r="1350">
      <c r="A1350" s="1" t="n"/>
      <c r="B1350" s="30" t="n"/>
      <c r="C1350" s="23" t="n"/>
      <c r="D1350" s="23" t="n"/>
      <c r="E1350" s="26" t="n"/>
      <c r="F1350" s="25" t="n"/>
      <c r="G1350" s="17">
        <f>IF(D1350="Sale",E1350*F1350,IF(D1350="Return",-E1350*F1350,""))</f>
        <v/>
      </c>
      <c r="H1350" s="17">
        <f>IFERROR(IF(D1350="Sale",E1350*INDEX(Products!$E$6:$E$205,MATCH(C1350,Products!$B$6:$B$205,0)),IF(D1350="Return",-E1350*INDEX(Products!$E$6:$E$205,MATCH(C1350,Products!$B$6:$B$205,0)),"")),"")</f>
        <v/>
      </c>
      <c r="I1350" s="24" t="n"/>
      <c r="J1350" s="1" t="n"/>
    </row>
    <row r="1351">
      <c r="A1351" s="1" t="n"/>
      <c r="B1351" s="30" t="n"/>
      <c r="C1351" s="23" t="n"/>
      <c r="D1351" s="23" t="n"/>
      <c r="E1351" s="26" t="n"/>
      <c r="F1351" s="25" t="n"/>
      <c r="G1351" s="17">
        <f>IF(D1351="Sale",E1351*F1351,IF(D1351="Return",-E1351*F1351,""))</f>
        <v/>
      </c>
      <c r="H1351" s="17">
        <f>IFERROR(IF(D1351="Sale",E1351*INDEX(Products!$E$6:$E$205,MATCH(C1351,Products!$B$6:$B$205,0)),IF(D1351="Return",-E1351*INDEX(Products!$E$6:$E$205,MATCH(C1351,Products!$B$6:$B$205,0)),"")),"")</f>
        <v/>
      </c>
      <c r="I1351" s="24" t="n"/>
      <c r="J1351" s="1" t="n"/>
    </row>
    <row r="1352">
      <c r="A1352" s="1" t="n"/>
      <c r="B1352" s="30" t="n"/>
      <c r="C1352" s="23" t="n"/>
      <c r="D1352" s="23" t="n"/>
      <c r="E1352" s="26" t="n"/>
      <c r="F1352" s="25" t="n"/>
      <c r="G1352" s="17">
        <f>IF(D1352="Sale",E1352*F1352,IF(D1352="Return",-E1352*F1352,""))</f>
        <v/>
      </c>
      <c r="H1352" s="17">
        <f>IFERROR(IF(D1352="Sale",E1352*INDEX(Products!$E$6:$E$205,MATCH(C1352,Products!$B$6:$B$205,0)),IF(D1352="Return",-E1352*INDEX(Products!$E$6:$E$205,MATCH(C1352,Products!$B$6:$B$205,0)),"")),"")</f>
        <v/>
      </c>
      <c r="I1352" s="24" t="n"/>
      <c r="J1352" s="1" t="n"/>
    </row>
    <row r="1353">
      <c r="A1353" s="1" t="n"/>
      <c r="B1353" s="30" t="n"/>
      <c r="C1353" s="23" t="n"/>
      <c r="D1353" s="23" t="n"/>
      <c r="E1353" s="26" t="n"/>
      <c r="F1353" s="25" t="n"/>
      <c r="G1353" s="17">
        <f>IF(D1353="Sale",E1353*F1353,IF(D1353="Return",-E1353*F1353,""))</f>
        <v/>
      </c>
      <c r="H1353" s="17">
        <f>IFERROR(IF(D1353="Sale",E1353*INDEX(Products!$E$6:$E$205,MATCH(C1353,Products!$B$6:$B$205,0)),IF(D1353="Return",-E1353*INDEX(Products!$E$6:$E$205,MATCH(C1353,Products!$B$6:$B$205,0)),"")),"")</f>
        <v/>
      </c>
      <c r="I1353" s="24" t="n"/>
      <c r="J1353" s="1" t="n"/>
    </row>
    <row r="1354">
      <c r="A1354" s="1" t="n"/>
      <c r="B1354" s="30" t="n"/>
      <c r="C1354" s="23" t="n"/>
      <c r="D1354" s="23" t="n"/>
      <c r="E1354" s="26" t="n"/>
      <c r="F1354" s="25" t="n"/>
      <c r="G1354" s="17">
        <f>IF(D1354="Sale",E1354*F1354,IF(D1354="Return",-E1354*F1354,""))</f>
        <v/>
      </c>
      <c r="H1354" s="17">
        <f>IFERROR(IF(D1354="Sale",E1354*INDEX(Products!$E$6:$E$205,MATCH(C1354,Products!$B$6:$B$205,0)),IF(D1354="Return",-E1354*INDEX(Products!$E$6:$E$205,MATCH(C1354,Products!$B$6:$B$205,0)),"")),"")</f>
        <v/>
      </c>
      <c r="I1354" s="24" t="n"/>
      <c r="J1354" s="1" t="n"/>
    </row>
    <row r="1355">
      <c r="A1355" s="1" t="n"/>
      <c r="B1355" s="30" t="n"/>
      <c r="C1355" s="23" t="n"/>
      <c r="D1355" s="23" t="n"/>
      <c r="E1355" s="26" t="n"/>
      <c r="F1355" s="25" t="n"/>
      <c r="G1355" s="17">
        <f>IF(D1355="Sale",E1355*F1355,IF(D1355="Return",-E1355*F1355,""))</f>
        <v/>
      </c>
      <c r="H1355" s="17">
        <f>IFERROR(IF(D1355="Sale",E1355*INDEX(Products!$E$6:$E$205,MATCH(C1355,Products!$B$6:$B$205,0)),IF(D1355="Return",-E1355*INDEX(Products!$E$6:$E$205,MATCH(C1355,Products!$B$6:$B$205,0)),"")),"")</f>
        <v/>
      </c>
      <c r="I1355" s="24" t="n"/>
      <c r="J1355" s="1" t="n"/>
    </row>
    <row r="1356">
      <c r="A1356" s="1" t="n"/>
      <c r="B1356" s="30" t="n"/>
      <c r="C1356" s="23" t="n"/>
      <c r="D1356" s="23" t="n"/>
      <c r="E1356" s="26" t="n"/>
      <c r="F1356" s="25" t="n"/>
      <c r="G1356" s="17">
        <f>IF(D1356="Sale",E1356*F1356,IF(D1356="Return",-E1356*F1356,""))</f>
        <v/>
      </c>
      <c r="H1356" s="17">
        <f>IFERROR(IF(D1356="Sale",E1356*INDEX(Products!$E$6:$E$205,MATCH(C1356,Products!$B$6:$B$205,0)),IF(D1356="Return",-E1356*INDEX(Products!$E$6:$E$205,MATCH(C1356,Products!$B$6:$B$205,0)),"")),"")</f>
        <v/>
      </c>
      <c r="I1356" s="24" t="n"/>
      <c r="J1356" s="1" t="n"/>
    </row>
    <row r="1357">
      <c r="A1357" s="1" t="n"/>
      <c r="B1357" s="30" t="n"/>
      <c r="C1357" s="23" t="n"/>
      <c r="D1357" s="23" t="n"/>
      <c r="E1357" s="26" t="n"/>
      <c r="F1357" s="25" t="n"/>
      <c r="G1357" s="17">
        <f>IF(D1357="Sale",E1357*F1357,IF(D1357="Return",-E1357*F1357,""))</f>
        <v/>
      </c>
      <c r="H1357" s="17">
        <f>IFERROR(IF(D1357="Sale",E1357*INDEX(Products!$E$6:$E$205,MATCH(C1357,Products!$B$6:$B$205,0)),IF(D1357="Return",-E1357*INDEX(Products!$E$6:$E$205,MATCH(C1357,Products!$B$6:$B$205,0)),"")),"")</f>
        <v/>
      </c>
      <c r="I1357" s="24" t="n"/>
      <c r="J1357" s="1" t="n"/>
    </row>
    <row r="1358">
      <c r="A1358" s="1" t="n"/>
      <c r="B1358" s="30" t="n"/>
      <c r="C1358" s="23" t="n"/>
      <c r="D1358" s="23" t="n"/>
      <c r="E1358" s="26" t="n"/>
      <c r="F1358" s="25" t="n"/>
      <c r="G1358" s="17">
        <f>IF(D1358="Sale",E1358*F1358,IF(D1358="Return",-E1358*F1358,""))</f>
        <v/>
      </c>
      <c r="H1358" s="17">
        <f>IFERROR(IF(D1358="Sale",E1358*INDEX(Products!$E$6:$E$205,MATCH(C1358,Products!$B$6:$B$205,0)),IF(D1358="Return",-E1358*INDEX(Products!$E$6:$E$205,MATCH(C1358,Products!$B$6:$B$205,0)),"")),"")</f>
        <v/>
      </c>
      <c r="I1358" s="24" t="n"/>
      <c r="J1358" s="1" t="n"/>
    </row>
    <row r="1359">
      <c r="A1359" s="1" t="n"/>
      <c r="B1359" s="30" t="n"/>
      <c r="C1359" s="23" t="n"/>
      <c r="D1359" s="23" t="n"/>
      <c r="E1359" s="26" t="n"/>
      <c r="F1359" s="25" t="n"/>
      <c r="G1359" s="17">
        <f>IF(D1359="Sale",E1359*F1359,IF(D1359="Return",-E1359*F1359,""))</f>
        <v/>
      </c>
      <c r="H1359" s="17">
        <f>IFERROR(IF(D1359="Sale",E1359*INDEX(Products!$E$6:$E$205,MATCH(C1359,Products!$B$6:$B$205,0)),IF(D1359="Return",-E1359*INDEX(Products!$E$6:$E$205,MATCH(C1359,Products!$B$6:$B$205,0)),"")),"")</f>
        <v/>
      </c>
      <c r="I1359" s="24" t="n"/>
      <c r="J1359" s="1" t="n"/>
    </row>
    <row r="1360">
      <c r="A1360" s="1" t="n"/>
      <c r="B1360" s="30" t="n"/>
      <c r="C1360" s="23" t="n"/>
      <c r="D1360" s="23" t="n"/>
      <c r="E1360" s="26" t="n"/>
      <c r="F1360" s="25" t="n"/>
      <c r="G1360" s="17">
        <f>IF(D1360="Sale",E1360*F1360,IF(D1360="Return",-E1360*F1360,""))</f>
        <v/>
      </c>
      <c r="H1360" s="17">
        <f>IFERROR(IF(D1360="Sale",E1360*INDEX(Products!$E$6:$E$205,MATCH(C1360,Products!$B$6:$B$205,0)),IF(D1360="Return",-E1360*INDEX(Products!$E$6:$E$205,MATCH(C1360,Products!$B$6:$B$205,0)),"")),"")</f>
        <v/>
      </c>
      <c r="I1360" s="24" t="n"/>
      <c r="J1360" s="1" t="n"/>
    </row>
    <row r="1361">
      <c r="A1361" s="1" t="n"/>
      <c r="B1361" s="30" t="n"/>
      <c r="C1361" s="23" t="n"/>
      <c r="D1361" s="23" t="n"/>
      <c r="E1361" s="26" t="n"/>
      <c r="F1361" s="25" t="n"/>
      <c r="G1361" s="17">
        <f>IF(D1361="Sale",E1361*F1361,IF(D1361="Return",-E1361*F1361,""))</f>
        <v/>
      </c>
      <c r="H1361" s="17">
        <f>IFERROR(IF(D1361="Sale",E1361*INDEX(Products!$E$6:$E$205,MATCH(C1361,Products!$B$6:$B$205,0)),IF(D1361="Return",-E1361*INDEX(Products!$E$6:$E$205,MATCH(C1361,Products!$B$6:$B$205,0)),"")),"")</f>
        <v/>
      </c>
      <c r="I1361" s="24" t="n"/>
      <c r="J1361" s="1" t="n"/>
    </row>
    <row r="1362">
      <c r="A1362" s="1" t="n"/>
      <c r="B1362" s="30" t="n"/>
      <c r="C1362" s="23" t="n"/>
      <c r="D1362" s="23" t="n"/>
      <c r="E1362" s="26" t="n"/>
      <c r="F1362" s="25" t="n"/>
      <c r="G1362" s="17">
        <f>IF(D1362="Sale",E1362*F1362,IF(D1362="Return",-E1362*F1362,""))</f>
        <v/>
      </c>
      <c r="H1362" s="17">
        <f>IFERROR(IF(D1362="Sale",E1362*INDEX(Products!$E$6:$E$205,MATCH(C1362,Products!$B$6:$B$205,0)),IF(D1362="Return",-E1362*INDEX(Products!$E$6:$E$205,MATCH(C1362,Products!$B$6:$B$205,0)),"")),"")</f>
        <v/>
      </c>
      <c r="I1362" s="24" t="n"/>
      <c r="J1362" s="1" t="n"/>
    </row>
    <row r="1363">
      <c r="A1363" s="1" t="n"/>
      <c r="B1363" s="30" t="n"/>
      <c r="C1363" s="23" t="n"/>
      <c r="D1363" s="23" t="n"/>
      <c r="E1363" s="26" t="n"/>
      <c r="F1363" s="25" t="n"/>
      <c r="G1363" s="17">
        <f>IF(D1363="Sale",E1363*F1363,IF(D1363="Return",-E1363*F1363,""))</f>
        <v/>
      </c>
      <c r="H1363" s="17">
        <f>IFERROR(IF(D1363="Sale",E1363*INDEX(Products!$E$6:$E$205,MATCH(C1363,Products!$B$6:$B$205,0)),IF(D1363="Return",-E1363*INDEX(Products!$E$6:$E$205,MATCH(C1363,Products!$B$6:$B$205,0)),"")),"")</f>
        <v/>
      </c>
      <c r="I1363" s="24" t="n"/>
      <c r="J1363" s="1" t="n"/>
    </row>
    <row r="1364">
      <c r="A1364" s="1" t="n"/>
      <c r="B1364" s="30" t="n"/>
      <c r="C1364" s="23" t="n"/>
      <c r="D1364" s="23" t="n"/>
      <c r="E1364" s="26" t="n"/>
      <c r="F1364" s="25" t="n"/>
      <c r="G1364" s="17">
        <f>IF(D1364="Sale",E1364*F1364,IF(D1364="Return",-E1364*F1364,""))</f>
        <v/>
      </c>
      <c r="H1364" s="17">
        <f>IFERROR(IF(D1364="Sale",E1364*INDEX(Products!$E$6:$E$205,MATCH(C1364,Products!$B$6:$B$205,0)),IF(D1364="Return",-E1364*INDEX(Products!$E$6:$E$205,MATCH(C1364,Products!$B$6:$B$205,0)),"")),"")</f>
        <v/>
      </c>
      <c r="I1364" s="24" t="n"/>
      <c r="J1364" s="1" t="n"/>
    </row>
    <row r="1365">
      <c r="A1365" s="1" t="n"/>
      <c r="B1365" s="30" t="n"/>
      <c r="C1365" s="23" t="n"/>
      <c r="D1365" s="23" t="n"/>
      <c r="E1365" s="26" t="n"/>
      <c r="F1365" s="25" t="n"/>
      <c r="G1365" s="17">
        <f>IF(D1365="Sale",E1365*F1365,IF(D1365="Return",-E1365*F1365,""))</f>
        <v/>
      </c>
      <c r="H1365" s="17">
        <f>IFERROR(IF(D1365="Sale",E1365*INDEX(Products!$E$6:$E$205,MATCH(C1365,Products!$B$6:$B$205,0)),IF(D1365="Return",-E1365*INDEX(Products!$E$6:$E$205,MATCH(C1365,Products!$B$6:$B$205,0)),"")),"")</f>
        <v/>
      </c>
      <c r="I1365" s="24" t="n"/>
      <c r="J1365" s="1" t="n"/>
    </row>
    <row r="1366">
      <c r="A1366" s="1" t="n"/>
      <c r="B1366" s="30" t="n"/>
      <c r="C1366" s="23" t="n"/>
      <c r="D1366" s="23" t="n"/>
      <c r="E1366" s="26" t="n"/>
      <c r="F1366" s="25" t="n"/>
      <c r="G1366" s="17">
        <f>IF(D1366="Sale",E1366*F1366,IF(D1366="Return",-E1366*F1366,""))</f>
        <v/>
      </c>
      <c r="H1366" s="17">
        <f>IFERROR(IF(D1366="Sale",E1366*INDEX(Products!$E$6:$E$205,MATCH(C1366,Products!$B$6:$B$205,0)),IF(D1366="Return",-E1366*INDEX(Products!$E$6:$E$205,MATCH(C1366,Products!$B$6:$B$205,0)),"")),"")</f>
        <v/>
      </c>
      <c r="I1366" s="24" t="n"/>
      <c r="J1366" s="1" t="n"/>
    </row>
    <row r="1367">
      <c r="A1367" s="1" t="n"/>
      <c r="B1367" s="30" t="n"/>
      <c r="C1367" s="23" t="n"/>
      <c r="D1367" s="23" t="n"/>
      <c r="E1367" s="26" t="n"/>
      <c r="F1367" s="25" t="n"/>
      <c r="G1367" s="17">
        <f>IF(D1367="Sale",E1367*F1367,IF(D1367="Return",-E1367*F1367,""))</f>
        <v/>
      </c>
      <c r="H1367" s="17">
        <f>IFERROR(IF(D1367="Sale",E1367*INDEX(Products!$E$6:$E$205,MATCH(C1367,Products!$B$6:$B$205,0)),IF(D1367="Return",-E1367*INDEX(Products!$E$6:$E$205,MATCH(C1367,Products!$B$6:$B$205,0)),"")),"")</f>
        <v/>
      </c>
      <c r="I1367" s="24" t="n"/>
      <c r="J1367" s="1" t="n"/>
    </row>
    <row r="1368">
      <c r="A1368" s="1" t="n"/>
      <c r="B1368" s="30" t="n"/>
      <c r="C1368" s="23" t="n"/>
      <c r="D1368" s="23" t="n"/>
      <c r="E1368" s="26" t="n"/>
      <c r="F1368" s="25" t="n"/>
      <c r="G1368" s="17">
        <f>IF(D1368="Sale",E1368*F1368,IF(D1368="Return",-E1368*F1368,""))</f>
        <v/>
      </c>
      <c r="H1368" s="17">
        <f>IFERROR(IF(D1368="Sale",E1368*INDEX(Products!$E$6:$E$205,MATCH(C1368,Products!$B$6:$B$205,0)),IF(D1368="Return",-E1368*INDEX(Products!$E$6:$E$205,MATCH(C1368,Products!$B$6:$B$205,0)),"")),"")</f>
        <v/>
      </c>
      <c r="I1368" s="24" t="n"/>
      <c r="J1368" s="1" t="n"/>
    </row>
    <row r="1369">
      <c r="A1369" s="1" t="n"/>
      <c r="B1369" s="30" t="n"/>
      <c r="C1369" s="23" t="n"/>
      <c r="D1369" s="23" t="n"/>
      <c r="E1369" s="26" t="n"/>
      <c r="F1369" s="25" t="n"/>
      <c r="G1369" s="17">
        <f>IF(D1369="Sale",E1369*F1369,IF(D1369="Return",-E1369*F1369,""))</f>
        <v/>
      </c>
      <c r="H1369" s="17">
        <f>IFERROR(IF(D1369="Sale",E1369*INDEX(Products!$E$6:$E$205,MATCH(C1369,Products!$B$6:$B$205,0)),IF(D1369="Return",-E1369*INDEX(Products!$E$6:$E$205,MATCH(C1369,Products!$B$6:$B$205,0)),"")),"")</f>
        <v/>
      </c>
      <c r="I1369" s="24" t="n"/>
      <c r="J1369" s="1" t="n"/>
    </row>
    <row r="1370">
      <c r="A1370" s="1" t="n"/>
      <c r="B1370" s="30" t="n"/>
      <c r="C1370" s="23" t="n"/>
      <c r="D1370" s="23" t="n"/>
      <c r="E1370" s="26" t="n"/>
      <c r="F1370" s="25" t="n"/>
      <c r="G1370" s="17">
        <f>IF(D1370="Sale",E1370*F1370,IF(D1370="Return",-E1370*F1370,""))</f>
        <v/>
      </c>
      <c r="H1370" s="17">
        <f>IFERROR(IF(D1370="Sale",E1370*INDEX(Products!$E$6:$E$205,MATCH(C1370,Products!$B$6:$B$205,0)),IF(D1370="Return",-E1370*INDEX(Products!$E$6:$E$205,MATCH(C1370,Products!$B$6:$B$205,0)),"")),"")</f>
        <v/>
      </c>
      <c r="I1370" s="24" t="n"/>
      <c r="J1370" s="1" t="n"/>
    </row>
    <row r="1371">
      <c r="A1371" s="1" t="n"/>
      <c r="B1371" s="30" t="n"/>
      <c r="C1371" s="23" t="n"/>
      <c r="D1371" s="23" t="n"/>
      <c r="E1371" s="26" t="n"/>
      <c r="F1371" s="25" t="n"/>
      <c r="G1371" s="17">
        <f>IF(D1371="Sale",E1371*F1371,IF(D1371="Return",-E1371*F1371,""))</f>
        <v/>
      </c>
      <c r="H1371" s="17">
        <f>IFERROR(IF(D1371="Sale",E1371*INDEX(Products!$E$6:$E$205,MATCH(C1371,Products!$B$6:$B$205,0)),IF(D1371="Return",-E1371*INDEX(Products!$E$6:$E$205,MATCH(C1371,Products!$B$6:$B$205,0)),"")),"")</f>
        <v/>
      </c>
      <c r="I1371" s="24" t="n"/>
      <c r="J1371" s="1" t="n"/>
    </row>
    <row r="1372">
      <c r="A1372" s="1" t="n"/>
      <c r="B1372" s="30" t="n"/>
      <c r="C1372" s="23" t="n"/>
      <c r="D1372" s="23" t="n"/>
      <c r="E1372" s="26" t="n"/>
      <c r="F1372" s="25" t="n"/>
      <c r="G1372" s="17">
        <f>IF(D1372="Sale",E1372*F1372,IF(D1372="Return",-E1372*F1372,""))</f>
        <v/>
      </c>
      <c r="H1372" s="17">
        <f>IFERROR(IF(D1372="Sale",E1372*INDEX(Products!$E$6:$E$205,MATCH(C1372,Products!$B$6:$B$205,0)),IF(D1372="Return",-E1372*INDEX(Products!$E$6:$E$205,MATCH(C1372,Products!$B$6:$B$205,0)),"")),"")</f>
        <v/>
      </c>
      <c r="I1372" s="24" t="n"/>
      <c r="J1372" s="1" t="n"/>
    </row>
    <row r="1373">
      <c r="A1373" s="1" t="n"/>
      <c r="B1373" s="30" t="n"/>
      <c r="C1373" s="23" t="n"/>
      <c r="D1373" s="23" t="n"/>
      <c r="E1373" s="26" t="n"/>
      <c r="F1373" s="25" t="n"/>
      <c r="G1373" s="17">
        <f>IF(D1373="Sale",E1373*F1373,IF(D1373="Return",-E1373*F1373,""))</f>
        <v/>
      </c>
      <c r="H1373" s="17">
        <f>IFERROR(IF(D1373="Sale",E1373*INDEX(Products!$E$6:$E$205,MATCH(C1373,Products!$B$6:$B$205,0)),IF(D1373="Return",-E1373*INDEX(Products!$E$6:$E$205,MATCH(C1373,Products!$B$6:$B$205,0)),"")),"")</f>
        <v/>
      </c>
      <c r="I1373" s="24" t="n"/>
      <c r="J1373" s="1" t="n"/>
    </row>
    <row r="1374">
      <c r="A1374" s="1" t="n"/>
      <c r="B1374" s="30" t="n"/>
      <c r="C1374" s="23" t="n"/>
      <c r="D1374" s="23" t="n"/>
      <c r="E1374" s="26" t="n"/>
      <c r="F1374" s="25" t="n"/>
      <c r="G1374" s="17">
        <f>IF(D1374="Sale",E1374*F1374,IF(D1374="Return",-E1374*F1374,""))</f>
        <v/>
      </c>
      <c r="H1374" s="17">
        <f>IFERROR(IF(D1374="Sale",E1374*INDEX(Products!$E$6:$E$205,MATCH(C1374,Products!$B$6:$B$205,0)),IF(D1374="Return",-E1374*INDEX(Products!$E$6:$E$205,MATCH(C1374,Products!$B$6:$B$205,0)),"")),"")</f>
        <v/>
      </c>
      <c r="I1374" s="24" t="n"/>
      <c r="J1374" s="1" t="n"/>
    </row>
    <row r="1375">
      <c r="A1375" s="1" t="n"/>
      <c r="B1375" s="30" t="n"/>
      <c r="C1375" s="23" t="n"/>
      <c r="D1375" s="23" t="n"/>
      <c r="E1375" s="26" t="n"/>
      <c r="F1375" s="25" t="n"/>
      <c r="G1375" s="17">
        <f>IF(D1375="Sale",E1375*F1375,IF(D1375="Return",-E1375*F1375,""))</f>
        <v/>
      </c>
      <c r="H1375" s="17">
        <f>IFERROR(IF(D1375="Sale",E1375*INDEX(Products!$E$6:$E$205,MATCH(C1375,Products!$B$6:$B$205,0)),IF(D1375="Return",-E1375*INDEX(Products!$E$6:$E$205,MATCH(C1375,Products!$B$6:$B$205,0)),"")),"")</f>
        <v/>
      </c>
      <c r="I1375" s="24" t="n"/>
      <c r="J1375" s="1" t="n"/>
    </row>
    <row r="1376">
      <c r="A1376" s="1" t="n"/>
      <c r="B1376" s="30" t="n"/>
      <c r="C1376" s="23" t="n"/>
      <c r="D1376" s="23" t="n"/>
      <c r="E1376" s="26" t="n"/>
      <c r="F1376" s="25" t="n"/>
      <c r="G1376" s="17">
        <f>IF(D1376="Sale",E1376*F1376,IF(D1376="Return",-E1376*F1376,""))</f>
        <v/>
      </c>
      <c r="H1376" s="17">
        <f>IFERROR(IF(D1376="Sale",E1376*INDEX(Products!$E$6:$E$205,MATCH(C1376,Products!$B$6:$B$205,0)),IF(D1376="Return",-E1376*INDEX(Products!$E$6:$E$205,MATCH(C1376,Products!$B$6:$B$205,0)),"")),"")</f>
        <v/>
      </c>
      <c r="I1376" s="24" t="n"/>
      <c r="J1376" s="1" t="n"/>
    </row>
    <row r="1377">
      <c r="A1377" s="1" t="n"/>
      <c r="B1377" s="30" t="n"/>
      <c r="C1377" s="23" t="n"/>
      <c r="D1377" s="23" t="n"/>
      <c r="E1377" s="26" t="n"/>
      <c r="F1377" s="25" t="n"/>
      <c r="G1377" s="17">
        <f>IF(D1377="Sale",E1377*F1377,IF(D1377="Return",-E1377*F1377,""))</f>
        <v/>
      </c>
      <c r="H1377" s="17">
        <f>IFERROR(IF(D1377="Sale",E1377*INDEX(Products!$E$6:$E$205,MATCH(C1377,Products!$B$6:$B$205,0)),IF(D1377="Return",-E1377*INDEX(Products!$E$6:$E$205,MATCH(C1377,Products!$B$6:$B$205,0)),"")),"")</f>
        <v/>
      </c>
      <c r="I1377" s="24" t="n"/>
      <c r="J1377" s="1" t="n"/>
    </row>
    <row r="1378">
      <c r="A1378" s="1" t="n"/>
      <c r="B1378" s="30" t="n"/>
      <c r="C1378" s="23" t="n"/>
      <c r="D1378" s="23" t="n"/>
      <c r="E1378" s="26" t="n"/>
      <c r="F1378" s="25" t="n"/>
      <c r="G1378" s="17">
        <f>IF(D1378="Sale",E1378*F1378,IF(D1378="Return",-E1378*F1378,""))</f>
        <v/>
      </c>
      <c r="H1378" s="17">
        <f>IFERROR(IF(D1378="Sale",E1378*INDEX(Products!$E$6:$E$205,MATCH(C1378,Products!$B$6:$B$205,0)),IF(D1378="Return",-E1378*INDEX(Products!$E$6:$E$205,MATCH(C1378,Products!$B$6:$B$205,0)),"")),"")</f>
        <v/>
      </c>
      <c r="I1378" s="24" t="n"/>
      <c r="J1378" s="1" t="n"/>
    </row>
    <row r="1379">
      <c r="A1379" s="1" t="n"/>
      <c r="B1379" s="30" t="n"/>
      <c r="C1379" s="23" t="n"/>
      <c r="D1379" s="23" t="n"/>
      <c r="E1379" s="26" t="n"/>
      <c r="F1379" s="25" t="n"/>
      <c r="G1379" s="17">
        <f>IF(D1379="Sale",E1379*F1379,IF(D1379="Return",-E1379*F1379,""))</f>
        <v/>
      </c>
      <c r="H1379" s="17">
        <f>IFERROR(IF(D1379="Sale",E1379*INDEX(Products!$E$6:$E$205,MATCH(C1379,Products!$B$6:$B$205,0)),IF(D1379="Return",-E1379*INDEX(Products!$E$6:$E$205,MATCH(C1379,Products!$B$6:$B$205,0)),"")),"")</f>
        <v/>
      </c>
      <c r="I1379" s="24" t="n"/>
      <c r="J1379" s="1" t="n"/>
    </row>
    <row r="1380">
      <c r="A1380" s="1" t="n"/>
      <c r="B1380" s="30" t="n"/>
      <c r="C1380" s="23" t="n"/>
      <c r="D1380" s="23" t="n"/>
      <c r="E1380" s="26" t="n"/>
      <c r="F1380" s="25" t="n"/>
      <c r="G1380" s="17">
        <f>IF(D1380="Sale",E1380*F1380,IF(D1380="Return",-E1380*F1380,""))</f>
        <v/>
      </c>
      <c r="H1380" s="17">
        <f>IFERROR(IF(D1380="Sale",E1380*INDEX(Products!$E$6:$E$205,MATCH(C1380,Products!$B$6:$B$205,0)),IF(D1380="Return",-E1380*INDEX(Products!$E$6:$E$205,MATCH(C1380,Products!$B$6:$B$205,0)),"")),"")</f>
        <v/>
      </c>
      <c r="I1380" s="24" t="n"/>
      <c r="J1380" s="1" t="n"/>
    </row>
    <row r="1381">
      <c r="A1381" s="1" t="n"/>
      <c r="B1381" s="30" t="n"/>
      <c r="C1381" s="23" t="n"/>
      <c r="D1381" s="23" t="n"/>
      <c r="E1381" s="26" t="n"/>
      <c r="F1381" s="25" t="n"/>
      <c r="G1381" s="17">
        <f>IF(D1381="Sale",E1381*F1381,IF(D1381="Return",-E1381*F1381,""))</f>
        <v/>
      </c>
      <c r="H1381" s="17">
        <f>IFERROR(IF(D1381="Sale",E1381*INDEX(Products!$E$6:$E$205,MATCH(C1381,Products!$B$6:$B$205,0)),IF(D1381="Return",-E1381*INDEX(Products!$E$6:$E$205,MATCH(C1381,Products!$B$6:$B$205,0)),"")),"")</f>
        <v/>
      </c>
      <c r="I1381" s="24" t="n"/>
      <c r="J1381" s="1" t="n"/>
    </row>
    <row r="1382">
      <c r="A1382" s="1" t="n"/>
      <c r="B1382" s="30" t="n"/>
      <c r="C1382" s="23" t="n"/>
      <c r="D1382" s="23" t="n"/>
      <c r="E1382" s="26" t="n"/>
      <c r="F1382" s="25" t="n"/>
      <c r="G1382" s="17">
        <f>IF(D1382="Sale",E1382*F1382,IF(D1382="Return",-E1382*F1382,""))</f>
        <v/>
      </c>
      <c r="H1382" s="17">
        <f>IFERROR(IF(D1382="Sale",E1382*INDEX(Products!$E$6:$E$205,MATCH(C1382,Products!$B$6:$B$205,0)),IF(D1382="Return",-E1382*INDEX(Products!$E$6:$E$205,MATCH(C1382,Products!$B$6:$B$205,0)),"")),"")</f>
        <v/>
      </c>
      <c r="I1382" s="24" t="n"/>
      <c r="J1382" s="1" t="n"/>
    </row>
    <row r="1383">
      <c r="A1383" s="1" t="n"/>
      <c r="B1383" s="30" t="n"/>
      <c r="C1383" s="23" t="n"/>
      <c r="D1383" s="23" t="n"/>
      <c r="E1383" s="26" t="n"/>
      <c r="F1383" s="25" t="n"/>
      <c r="G1383" s="17">
        <f>IF(D1383="Sale",E1383*F1383,IF(D1383="Return",-E1383*F1383,""))</f>
        <v/>
      </c>
      <c r="H1383" s="17">
        <f>IFERROR(IF(D1383="Sale",E1383*INDEX(Products!$E$6:$E$205,MATCH(C1383,Products!$B$6:$B$205,0)),IF(D1383="Return",-E1383*INDEX(Products!$E$6:$E$205,MATCH(C1383,Products!$B$6:$B$205,0)),"")),"")</f>
        <v/>
      </c>
      <c r="I1383" s="24" t="n"/>
      <c r="J1383" s="1" t="n"/>
    </row>
    <row r="1384">
      <c r="A1384" s="1" t="n"/>
      <c r="B1384" s="30" t="n"/>
      <c r="C1384" s="23" t="n"/>
      <c r="D1384" s="23" t="n"/>
      <c r="E1384" s="26" t="n"/>
      <c r="F1384" s="25" t="n"/>
      <c r="G1384" s="17">
        <f>IF(D1384="Sale",E1384*F1384,IF(D1384="Return",-E1384*F1384,""))</f>
        <v/>
      </c>
      <c r="H1384" s="17">
        <f>IFERROR(IF(D1384="Sale",E1384*INDEX(Products!$E$6:$E$205,MATCH(C1384,Products!$B$6:$B$205,0)),IF(D1384="Return",-E1384*INDEX(Products!$E$6:$E$205,MATCH(C1384,Products!$B$6:$B$205,0)),"")),"")</f>
        <v/>
      </c>
      <c r="I1384" s="24" t="n"/>
      <c r="J1384" s="1" t="n"/>
    </row>
    <row r="1385">
      <c r="A1385" s="1" t="n"/>
      <c r="B1385" s="30" t="n"/>
      <c r="C1385" s="23" t="n"/>
      <c r="D1385" s="23" t="n"/>
      <c r="E1385" s="26" t="n"/>
      <c r="F1385" s="25" t="n"/>
      <c r="G1385" s="17">
        <f>IF(D1385="Sale",E1385*F1385,IF(D1385="Return",-E1385*F1385,""))</f>
        <v/>
      </c>
      <c r="H1385" s="17">
        <f>IFERROR(IF(D1385="Sale",E1385*INDEX(Products!$E$6:$E$205,MATCH(C1385,Products!$B$6:$B$205,0)),IF(D1385="Return",-E1385*INDEX(Products!$E$6:$E$205,MATCH(C1385,Products!$B$6:$B$205,0)),"")),"")</f>
        <v/>
      </c>
      <c r="I1385" s="24" t="n"/>
      <c r="J1385" s="1" t="n"/>
    </row>
    <row r="1386">
      <c r="A1386" s="1" t="n"/>
      <c r="B1386" s="30" t="n"/>
      <c r="C1386" s="23" t="n"/>
      <c r="D1386" s="23" t="n"/>
      <c r="E1386" s="26" t="n"/>
      <c r="F1386" s="25" t="n"/>
      <c r="G1386" s="17">
        <f>IF(D1386="Sale",E1386*F1386,IF(D1386="Return",-E1386*F1386,""))</f>
        <v/>
      </c>
      <c r="H1386" s="17">
        <f>IFERROR(IF(D1386="Sale",E1386*INDEX(Products!$E$6:$E$205,MATCH(C1386,Products!$B$6:$B$205,0)),IF(D1386="Return",-E1386*INDEX(Products!$E$6:$E$205,MATCH(C1386,Products!$B$6:$B$205,0)),"")),"")</f>
        <v/>
      </c>
      <c r="I1386" s="24" t="n"/>
      <c r="J1386" s="1" t="n"/>
    </row>
    <row r="1387">
      <c r="A1387" s="1" t="n"/>
      <c r="B1387" s="30" t="n"/>
      <c r="C1387" s="23" t="n"/>
      <c r="D1387" s="23" t="n"/>
      <c r="E1387" s="26" t="n"/>
      <c r="F1387" s="25" t="n"/>
      <c r="G1387" s="17">
        <f>IF(D1387="Sale",E1387*F1387,IF(D1387="Return",-E1387*F1387,""))</f>
        <v/>
      </c>
      <c r="H1387" s="17">
        <f>IFERROR(IF(D1387="Sale",E1387*INDEX(Products!$E$6:$E$205,MATCH(C1387,Products!$B$6:$B$205,0)),IF(D1387="Return",-E1387*INDEX(Products!$E$6:$E$205,MATCH(C1387,Products!$B$6:$B$205,0)),"")),"")</f>
        <v/>
      </c>
      <c r="I1387" s="24" t="n"/>
      <c r="J1387" s="1" t="n"/>
    </row>
    <row r="1388">
      <c r="A1388" s="1" t="n"/>
      <c r="B1388" s="30" t="n"/>
      <c r="C1388" s="23" t="n"/>
      <c r="D1388" s="23" t="n"/>
      <c r="E1388" s="26" t="n"/>
      <c r="F1388" s="25" t="n"/>
      <c r="G1388" s="17">
        <f>IF(D1388="Sale",E1388*F1388,IF(D1388="Return",-E1388*F1388,""))</f>
        <v/>
      </c>
      <c r="H1388" s="17">
        <f>IFERROR(IF(D1388="Sale",E1388*INDEX(Products!$E$6:$E$205,MATCH(C1388,Products!$B$6:$B$205,0)),IF(D1388="Return",-E1388*INDEX(Products!$E$6:$E$205,MATCH(C1388,Products!$B$6:$B$205,0)),"")),"")</f>
        <v/>
      </c>
      <c r="I1388" s="24" t="n"/>
      <c r="J1388" s="1" t="n"/>
    </row>
    <row r="1389">
      <c r="A1389" s="1" t="n"/>
      <c r="B1389" s="30" t="n"/>
      <c r="C1389" s="23" t="n"/>
      <c r="D1389" s="23" t="n"/>
      <c r="E1389" s="26" t="n"/>
      <c r="F1389" s="25" t="n"/>
      <c r="G1389" s="17">
        <f>IF(D1389="Sale",E1389*F1389,IF(D1389="Return",-E1389*F1389,""))</f>
        <v/>
      </c>
      <c r="H1389" s="17">
        <f>IFERROR(IF(D1389="Sale",E1389*INDEX(Products!$E$6:$E$205,MATCH(C1389,Products!$B$6:$B$205,0)),IF(D1389="Return",-E1389*INDEX(Products!$E$6:$E$205,MATCH(C1389,Products!$B$6:$B$205,0)),"")),"")</f>
        <v/>
      </c>
      <c r="I1389" s="24" t="n"/>
      <c r="J1389" s="1" t="n"/>
    </row>
    <row r="1390">
      <c r="A1390" s="1" t="n"/>
      <c r="B1390" s="30" t="n"/>
      <c r="C1390" s="23" t="n"/>
      <c r="D1390" s="23" t="n"/>
      <c r="E1390" s="26" t="n"/>
      <c r="F1390" s="25" t="n"/>
      <c r="G1390" s="17">
        <f>IF(D1390="Sale",E1390*F1390,IF(D1390="Return",-E1390*F1390,""))</f>
        <v/>
      </c>
      <c r="H1390" s="17">
        <f>IFERROR(IF(D1390="Sale",E1390*INDEX(Products!$E$6:$E$205,MATCH(C1390,Products!$B$6:$B$205,0)),IF(D1390="Return",-E1390*INDEX(Products!$E$6:$E$205,MATCH(C1390,Products!$B$6:$B$205,0)),"")),"")</f>
        <v/>
      </c>
      <c r="I1390" s="24" t="n"/>
      <c r="J1390" s="1" t="n"/>
    </row>
    <row r="1391">
      <c r="A1391" s="1" t="n"/>
      <c r="B1391" s="30" t="n"/>
      <c r="C1391" s="23" t="n"/>
      <c r="D1391" s="23" t="n"/>
      <c r="E1391" s="26" t="n"/>
      <c r="F1391" s="25" t="n"/>
      <c r="G1391" s="17">
        <f>IF(D1391="Sale",E1391*F1391,IF(D1391="Return",-E1391*F1391,""))</f>
        <v/>
      </c>
      <c r="H1391" s="17">
        <f>IFERROR(IF(D1391="Sale",E1391*INDEX(Products!$E$6:$E$205,MATCH(C1391,Products!$B$6:$B$205,0)),IF(D1391="Return",-E1391*INDEX(Products!$E$6:$E$205,MATCH(C1391,Products!$B$6:$B$205,0)),"")),"")</f>
        <v/>
      </c>
      <c r="I1391" s="24" t="n"/>
      <c r="J1391" s="1" t="n"/>
    </row>
    <row r="1392">
      <c r="A1392" s="1" t="n"/>
      <c r="B1392" s="30" t="n"/>
      <c r="C1392" s="23" t="n"/>
      <c r="D1392" s="23" t="n"/>
      <c r="E1392" s="26" t="n"/>
      <c r="F1392" s="25" t="n"/>
      <c r="G1392" s="17">
        <f>IF(D1392="Sale",E1392*F1392,IF(D1392="Return",-E1392*F1392,""))</f>
        <v/>
      </c>
      <c r="H1392" s="17">
        <f>IFERROR(IF(D1392="Sale",E1392*INDEX(Products!$E$6:$E$205,MATCH(C1392,Products!$B$6:$B$205,0)),IF(D1392="Return",-E1392*INDEX(Products!$E$6:$E$205,MATCH(C1392,Products!$B$6:$B$205,0)),"")),"")</f>
        <v/>
      </c>
      <c r="I1392" s="24" t="n"/>
      <c r="J1392" s="1" t="n"/>
    </row>
    <row r="1393">
      <c r="A1393" s="1" t="n"/>
      <c r="B1393" s="30" t="n"/>
      <c r="C1393" s="23" t="n"/>
      <c r="D1393" s="23" t="n"/>
      <c r="E1393" s="26" t="n"/>
      <c r="F1393" s="25" t="n"/>
      <c r="G1393" s="17">
        <f>IF(D1393="Sale",E1393*F1393,IF(D1393="Return",-E1393*F1393,""))</f>
        <v/>
      </c>
      <c r="H1393" s="17">
        <f>IFERROR(IF(D1393="Sale",E1393*INDEX(Products!$E$6:$E$205,MATCH(C1393,Products!$B$6:$B$205,0)),IF(D1393="Return",-E1393*INDEX(Products!$E$6:$E$205,MATCH(C1393,Products!$B$6:$B$205,0)),"")),"")</f>
        <v/>
      </c>
      <c r="I1393" s="24" t="n"/>
      <c r="J1393" s="1" t="n"/>
    </row>
    <row r="1394">
      <c r="A1394" s="1" t="n"/>
      <c r="B1394" s="30" t="n"/>
      <c r="C1394" s="23" t="n"/>
      <c r="D1394" s="23" t="n"/>
      <c r="E1394" s="26" t="n"/>
      <c r="F1394" s="25" t="n"/>
      <c r="G1394" s="17">
        <f>IF(D1394="Sale",E1394*F1394,IF(D1394="Return",-E1394*F1394,""))</f>
        <v/>
      </c>
      <c r="H1394" s="17">
        <f>IFERROR(IF(D1394="Sale",E1394*INDEX(Products!$E$6:$E$205,MATCH(C1394,Products!$B$6:$B$205,0)),IF(D1394="Return",-E1394*INDEX(Products!$E$6:$E$205,MATCH(C1394,Products!$B$6:$B$205,0)),"")),"")</f>
        <v/>
      </c>
      <c r="I1394" s="24" t="n"/>
      <c r="J1394" s="1" t="n"/>
    </row>
    <row r="1395">
      <c r="A1395" s="1" t="n"/>
      <c r="B1395" s="30" t="n"/>
      <c r="C1395" s="23" t="n"/>
      <c r="D1395" s="23" t="n"/>
      <c r="E1395" s="26" t="n"/>
      <c r="F1395" s="25" t="n"/>
      <c r="G1395" s="17">
        <f>IF(D1395="Sale",E1395*F1395,IF(D1395="Return",-E1395*F1395,""))</f>
        <v/>
      </c>
      <c r="H1395" s="17">
        <f>IFERROR(IF(D1395="Sale",E1395*INDEX(Products!$E$6:$E$205,MATCH(C1395,Products!$B$6:$B$205,0)),IF(D1395="Return",-E1395*INDEX(Products!$E$6:$E$205,MATCH(C1395,Products!$B$6:$B$205,0)),"")),"")</f>
        <v/>
      </c>
      <c r="I1395" s="24" t="n"/>
      <c r="J1395" s="1" t="n"/>
    </row>
    <row r="1396">
      <c r="A1396" s="1" t="n"/>
      <c r="B1396" s="30" t="n"/>
      <c r="C1396" s="23" t="n"/>
      <c r="D1396" s="23" t="n"/>
      <c r="E1396" s="26" t="n"/>
      <c r="F1396" s="25" t="n"/>
      <c r="G1396" s="17">
        <f>IF(D1396="Sale",E1396*F1396,IF(D1396="Return",-E1396*F1396,""))</f>
        <v/>
      </c>
      <c r="H1396" s="17">
        <f>IFERROR(IF(D1396="Sale",E1396*INDEX(Products!$E$6:$E$205,MATCH(C1396,Products!$B$6:$B$205,0)),IF(D1396="Return",-E1396*INDEX(Products!$E$6:$E$205,MATCH(C1396,Products!$B$6:$B$205,0)),"")),"")</f>
        <v/>
      </c>
      <c r="I1396" s="24" t="n"/>
      <c r="J1396" s="1" t="n"/>
    </row>
    <row r="1397">
      <c r="A1397" s="1" t="n"/>
      <c r="B1397" s="30" t="n"/>
      <c r="C1397" s="23" t="n"/>
      <c r="D1397" s="23" t="n"/>
      <c r="E1397" s="26" t="n"/>
      <c r="F1397" s="25" t="n"/>
      <c r="G1397" s="17">
        <f>IF(D1397="Sale",E1397*F1397,IF(D1397="Return",-E1397*F1397,""))</f>
        <v/>
      </c>
      <c r="H1397" s="17">
        <f>IFERROR(IF(D1397="Sale",E1397*INDEX(Products!$E$6:$E$205,MATCH(C1397,Products!$B$6:$B$205,0)),IF(D1397="Return",-E1397*INDEX(Products!$E$6:$E$205,MATCH(C1397,Products!$B$6:$B$205,0)),"")),"")</f>
        <v/>
      </c>
      <c r="I1397" s="24" t="n"/>
      <c r="J1397" s="1" t="n"/>
    </row>
    <row r="1398">
      <c r="A1398" s="1" t="n"/>
      <c r="B1398" s="30" t="n"/>
      <c r="C1398" s="23" t="n"/>
      <c r="D1398" s="23" t="n"/>
      <c r="E1398" s="26" t="n"/>
      <c r="F1398" s="25" t="n"/>
      <c r="G1398" s="17">
        <f>IF(D1398="Sale",E1398*F1398,IF(D1398="Return",-E1398*F1398,""))</f>
        <v/>
      </c>
      <c r="H1398" s="17">
        <f>IFERROR(IF(D1398="Sale",E1398*INDEX(Products!$E$6:$E$205,MATCH(C1398,Products!$B$6:$B$205,0)),IF(D1398="Return",-E1398*INDEX(Products!$E$6:$E$205,MATCH(C1398,Products!$B$6:$B$205,0)),"")),"")</f>
        <v/>
      </c>
      <c r="I1398" s="24" t="n"/>
      <c r="J1398" s="1" t="n"/>
    </row>
    <row r="1399">
      <c r="A1399" s="1" t="n"/>
      <c r="B1399" s="30" t="n"/>
      <c r="C1399" s="23" t="n"/>
      <c r="D1399" s="23" t="n"/>
      <c r="E1399" s="26" t="n"/>
      <c r="F1399" s="25" t="n"/>
      <c r="G1399" s="17">
        <f>IF(D1399="Sale",E1399*F1399,IF(D1399="Return",-E1399*F1399,""))</f>
        <v/>
      </c>
      <c r="H1399" s="17">
        <f>IFERROR(IF(D1399="Sale",E1399*INDEX(Products!$E$6:$E$205,MATCH(C1399,Products!$B$6:$B$205,0)),IF(D1399="Return",-E1399*INDEX(Products!$E$6:$E$205,MATCH(C1399,Products!$B$6:$B$205,0)),"")),"")</f>
        <v/>
      </c>
      <c r="I1399" s="24" t="n"/>
      <c r="J1399" s="1" t="n"/>
    </row>
    <row r="1400">
      <c r="A1400" s="1" t="n"/>
      <c r="B1400" s="30" t="n"/>
      <c r="C1400" s="23" t="n"/>
      <c r="D1400" s="23" t="n"/>
      <c r="E1400" s="26" t="n"/>
      <c r="F1400" s="25" t="n"/>
      <c r="G1400" s="17">
        <f>IF(D1400="Sale",E1400*F1400,IF(D1400="Return",-E1400*F1400,""))</f>
        <v/>
      </c>
      <c r="H1400" s="17">
        <f>IFERROR(IF(D1400="Sale",E1400*INDEX(Products!$E$6:$E$205,MATCH(C1400,Products!$B$6:$B$205,0)),IF(D1400="Return",-E1400*INDEX(Products!$E$6:$E$205,MATCH(C1400,Products!$B$6:$B$205,0)),"")),"")</f>
        <v/>
      </c>
      <c r="I1400" s="24" t="n"/>
      <c r="J1400" s="1" t="n"/>
    </row>
    <row r="1401">
      <c r="A1401" s="1" t="n"/>
      <c r="B1401" s="30" t="n"/>
      <c r="C1401" s="23" t="n"/>
      <c r="D1401" s="23" t="n"/>
      <c r="E1401" s="26" t="n"/>
      <c r="F1401" s="25" t="n"/>
      <c r="G1401" s="17">
        <f>IF(D1401="Sale",E1401*F1401,IF(D1401="Return",-E1401*F1401,""))</f>
        <v/>
      </c>
      <c r="H1401" s="17">
        <f>IFERROR(IF(D1401="Sale",E1401*INDEX(Products!$E$6:$E$205,MATCH(C1401,Products!$B$6:$B$205,0)),IF(D1401="Return",-E1401*INDEX(Products!$E$6:$E$205,MATCH(C1401,Products!$B$6:$B$205,0)),"")),"")</f>
        <v/>
      </c>
      <c r="I1401" s="24" t="n"/>
      <c r="J1401" s="1" t="n"/>
    </row>
    <row r="1402">
      <c r="A1402" s="1" t="n"/>
      <c r="B1402" s="30" t="n"/>
      <c r="C1402" s="23" t="n"/>
      <c r="D1402" s="23" t="n"/>
      <c r="E1402" s="26" t="n"/>
      <c r="F1402" s="25" t="n"/>
      <c r="G1402" s="17">
        <f>IF(D1402="Sale",E1402*F1402,IF(D1402="Return",-E1402*F1402,""))</f>
        <v/>
      </c>
      <c r="H1402" s="17">
        <f>IFERROR(IF(D1402="Sale",E1402*INDEX(Products!$E$6:$E$205,MATCH(C1402,Products!$B$6:$B$205,0)),IF(D1402="Return",-E1402*INDEX(Products!$E$6:$E$205,MATCH(C1402,Products!$B$6:$B$205,0)),"")),"")</f>
        <v/>
      </c>
      <c r="I1402" s="24" t="n"/>
      <c r="J1402" s="1" t="n"/>
    </row>
    <row r="1403">
      <c r="A1403" s="1" t="n"/>
      <c r="B1403" s="30" t="n"/>
      <c r="C1403" s="23" t="n"/>
      <c r="D1403" s="23" t="n"/>
      <c r="E1403" s="26" t="n"/>
      <c r="F1403" s="25" t="n"/>
      <c r="G1403" s="17">
        <f>IF(D1403="Sale",E1403*F1403,IF(D1403="Return",-E1403*F1403,""))</f>
        <v/>
      </c>
      <c r="H1403" s="17">
        <f>IFERROR(IF(D1403="Sale",E1403*INDEX(Products!$E$6:$E$205,MATCH(C1403,Products!$B$6:$B$205,0)),IF(D1403="Return",-E1403*INDEX(Products!$E$6:$E$205,MATCH(C1403,Products!$B$6:$B$205,0)),"")),"")</f>
        <v/>
      </c>
      <c r="I1403" s="24" t="n"/>
      <c r="J1403" s="1" t="n"/>
    </row>
    <row r="1404">
      <c r="A1404" s="1" t="n"/>
      <c r="B1404" s="30" t="n"/>
      <c r="C1404" s="23" t="n"/>
      <c r="D1404" s="23" t="n"/>
      <c r="E1404" s="26" t="n"/>
      <c r="F1404" s="25" t="n"/>
      <c r="G1404" s="17">
        <f>IF(D1404="Sale",E1404*F1404,IF(D1404="Return",-E1404*F1404,""))</f>
        <v/>
      </c>
      <c r="H1404" s="17">
        <f>IFERROR(IF(D1404="Sale",E1404*INDEX(Products!$E$6:$E$205,MATCH(C1404,Products!$B$6:$B$205,0)),IF(D1404="Return",-E1404*INDEX(Products!$E$6:$E$205,MATCH(C1404,Products!$B$6:$B$205,0)),"")),"")</f>
        <v/>
      </c>
      <c r="I1404" s="24" t="n"/>
      <c r="J1404" s="1" t="n"/>
    </row>
    <row r="1405">
      <c r="A1405" s="1" t="n"/>
      <c r="B1405" s="30" t="n"/>
      <c r="C1405" s="23" t="n"/>
      <c r="D1405" s="23" t="n"/>
      <c r="E1405" s="26" t="n"/>
      <c r="F1405" s="25" t="n"/>
      <c r="G1405" s="17">
        <f>IF(D1405="Sale",E1405*F1405,IF(D1405="Return",-E1405*F1405,""))</f>
        <v/>
      </c>
      <c r="H1405" s="17">
        <f>IFERROR(IF(D1405="Sale",E1405*INDEX(Products!$E$6:$E$205,MATCH(C1405,Products!$B$6:$B$205,0)),IF(D1405="Return",-E1405*INDEX(Products!$E$6:$E$205,MATCH(C1405,Products!$B$6:$B$205,0)),"")),"")</f>
        <v/>
      </c>
      <c r="I1405" s="24" t="n"/>
      <c r="J1405" s="1" t="n"/>
    </row>
    <row r="1406">
      <c r="A1406" s="1" t="n"/>
      <c r="B1406" s="30" t="n"/>
      <c r="C1406" s="23" t="n"/>
      <c r="D1406" s="23" t="n"/>
      <c r="E1406" s="26" t="n"/>
      <c r="F1406" s="25" t="n"/>
      <c r="G1406" s="17">
        <f>IF(D1406="Sale",E1406*F1406,IF(D1406="Return",-E1406*F1406,""))</f>
        <v/>
      </c>
      <c r="H1406" s="17">
        <f>IFERROR(IF(D1406="Sale",E1406*INDEX(Products!$E$6:$E$205,MATCH(C1406,Products!$B$6:$B$205,0)),IF(D1406="Return",-E1406*INDEX(Products!$E$6:$E$205,MATCH(C1406,Products!$B$6:$B$205,0)),"")),"")</f>
        <v/>
      </c>
      <c r="I1406" s="24" t="n"/>
      <c r="J1406" s="1" t="n"/>
    </row>
    <row r="1407">
      <c r="A1407" s="1" t="n"/>
      <c r="B1407" s="30" t="n"/>
      <c r="C1407" s="23" t="n"/>
      <c r="D1407" s="23" t="n"/>
      <c r="E1407" s="26" t="n"/>
      <c r="F1407" s="25" t="n"/>
      <c r="G1407" s="17">
        <f>IF(D1407="Sale",E1407*F1407,IF(D1407="Return",-E1407*F1407,""))</f>
        <v/>
      </c>
      <c r="H1407" s="17">
        <f>IFERROR(IF(D1407="Sale",E1407*INDEX(Products!$E$6:$E$205,MATCH(C1407,Products!$B$6:$B$205,0)),IF(D1407="Return",-E1407*INDEX(Products!$E$6:$E$205,MATCH(C1407,Products!$B$6:$B$205,0)),"")),"")</f>
        <v/>
      </c>
      <c r="I1407" s="24" t="n"/>
      <c r="J1407" s="1" t="n"/>
    </row>
    <row r="1408">
      <c r="A1408" s="1" t="n"/>
      <c r="B1408" s="30" t="n"/>
      <c r="C1408" s="23" t="n"/>
      <c r="D1408" s="23" t="n"/>
      <c r="E1408" s="26" t="n"/>
      <c r="F1408" s="25" t="n"/>
      <c r="G1408" s="17">
        <f>IF(D1408="Sale",E1408*F1408,IF(D1408="Return",-E1408*F1408,""))</f>
        <v/>
      </c>
      <c r="H1408" s="17">
        <f>IFERROR(IF(D1408="Sale",E1408*INDEX(Products!$E$6:$E$205,MATCH(C1408,Products!$B$6:$B$205,0)),IF(D1408="Return",-E1408*INDEX(Products!$E$6:$E$205,MATCH(C1408,Products!$B$6:$B$205,0)),"")),"")</f>
        <v/>
      </c>
      <c r="I1408" s="24" t="n"/>
      <c r="J1408" s="1" t="n"/>
    </row>
    <row r="1409">
      <c r="A1409" s="1" t="n"/>
      <c r="B1409" s="30" t="n"/>
      <c r="C1409" s="23" t="n"/>
      <c r="D1409" s="23" t="n"/>
      <c r="E1409" s="26" t="n"/>
      <c r="F1409" s="25" t="n"/>
      <c r="G1409" s="17">
        <f>IF(D1409="Sale",E1409*F1409,IF(D1409="Return",-E1409*F1409,""))</f>
        <v/>
      </c>
      <c r="H1409" s="17">
        <f>IFERROR(IF(D1409="Sale",E1409*INDEX(Products!$E$6:$E$205,MATCH(C1409,Products!$B$6:$B$205,0)),IF(D1409="Return",-E1409*INDEX(Products!$E$6:$E$205,MATCH(C1409,Products!$B$6:$B$205,0)),"")),"")</f>
        <v/>
      </c>
      <c r="I1409" s="24" t="n"/>
      <c r="J1409" s="1" t="n"/>
    </row>
    <row r="1410">
      <c r="A1410" s="1" t="n"/>
      <c r="B1410" s="30" t="n"/>
      <c r="C1410" s="23" t="n"/>
      <c r="D1410" s="23" t="n"/>
      <c r="E1410" s="26" t="n"/>
      <c r="F1410" s="25" t="n"/>
      <c r="G1410" s="17">
        <f>IF(D1410="Sale",E1410*F1410,IF(D1410="Return",-E1410*F1410,""))</f>
        <v/>
      </c>
      <c r="H1410" s="17">
        <f>IFERROR(IF(D1410="Sale",E1410*INDEX(Products!$E$6:$E$205,MATCH(C1410,Products!$B$6:$B$205,0)),IF(D1410="Return",-E1410*INDEX(Products!$E$6:$E$205,MATCH(C1410,Products!$B$6:$B$205,0)),"")),"")</f>
        <v/>
      </c>
      <c r="I1410" s="24" t="n"/>
      <c r="J1410" s="1" t="n"/>
    </row>
    <row r="1411">
      <c r="A1411" s="1" t="n"/>
      <c r="B1411" s="30" t="n"/>
      <c r="C1411" s="23" t="n"/>
      <c r="D1411" s="23" t="n"/>
      <c r="E1411" s="26" t="n"/>
      <c r="F1411" s="25" t="n"/>
      <c r="G1411" s="17">
        <f>IF(D1411="Sale",E1411*F1411,IF(D1411="Return",-E1411*F1411,""))</f>
        <v/>
      </c>
      <c r="H1411" s="17">
        <f>IFERROR(IF(D1411="Sale",E1411*INDEX(Products!$E$6:$E$205,MATCH(C1411,Products!$B$6:$B$205,0)),IF(D1411="Return",-E1411*INDEX(Products!$E$6:$E$205,MATCH(C1411,Products!$B$6:$B$205,0)),"")),"")</f>
        <v/>
      </c>
      <c r="I1411" s="24" t="n"/>
      <c r="J1411" s="1" t="n"/>
    </row>
    <row r="1412">
      <c r="A1412" s="1" t="n"/>
      <c r="B1412" s="30" t="n"/>
      <c r="C1412" s="23" t="n"/>
      <c r="D1412" s="23" t="n"/>
      <c r="E1412" s="26" t="n"/>
      <c r="F1412" s="25" t="n"/>
      <c r="G1412" s="17">
        <f>IF(D1412="Sale",E1412*F1412,IF(D1412="Return",-E1412*F1412,""))</f>
        <v/>
      </c>
      <c r="H1412" s="17">
        <f>IFERROR(IF(D1412="Sale",E1412*INDEX(Products!$E$6:$E$205,MATCH(C1412,Products!$B$6:$B$205,0)),IF(D1412="Return",-E1412*INDEX(Products!$E$6:$E$205,MATCH(C1412,Products!$B$6:$B$205,0)),"")),"")</f>
        <v/>
      </c>
      <c r="I1412" s="24" t="n"/>
      <c r="J1412" s="1" t="n"/>
    </row>
    <row r="1413">
      <c r="A1413" s="1" t="n"/>
      <c r="B1413" s="30" t="n"/>
      <c r="C1413" s="23" t="n"/>
      <c r="D1413" s="23" t="n"/>
      <c r="E1413" s="26" t="n"/>
      <c r="F1413" s="25" t="n"/>
      <c r="G1413" s="17">
        <f>IF(D1413="Sale",E1413*F1413,IF(D1413="Return",-E1413*F1413,""))</f>
        <v/>
      </c>
      <c r="H1413" s="17">
        <f>IFERROR(IF(D1413="Sale",E1413*INDEX(Products!$E$6:$E$205,MATCH(C1413,Products!$B$6:$B$205,0)),IF(D1413="Return",-E1413*INDEX(Products!$E$6:$E$205,MATCH(C1413,Products!$B$6:$B$205,0)),"")),"")</f>
        <v/>
      </c>
      <c r="I1413" s="24" t="n"/>
      <c r="J1413" s="1" t="n"/>
    </row>
    <row r="1414">
      <c r="A1414" s="1" t="n"/>
      <c r="B1414" s="30" t="n"/>
      <c r="C1414" s="23" t="n"/>
      <c r="D1414" s="23" t="n"/>
      <c r="E1414" s="26" t="n"/>
      <c r="F1414" s="25" t="n"/>
      <c r="G1414" s="17">
        <f>IF(D1414="Sale",E1414*F1414,IF(D1414="Return",-E1414*F1414,""))</f>
        <v/>
      </c>
      <c r="H1414" s="17">
        <f>IFERROR(IF(D1414="Sale",E1414*INDEX(Products!$E$6:$E$205,MATCH(C1414,Products!$B$6:$B$205,0)),IF(D1414="Return",-E1414*INDEX(Products!$E$6:$E$205,MATCH(C1414,Products!$B$6:$B$205,0)),"")),"")</f>
        <v/>
      </c>
      <c r="I1414" s="24" t="n"/>
      <c r="J1414" s="1" t="n"/>
    </row>
    <row r="1415">
      <c r="A1415" s="1" t="n"/>
      <c r="B1415" s="30" t="n"/>
      <c r="C1415" s="23" t="n"/>
      <c r="D1415" s="23" t="n"/>
      <c r="E1415" s="26" t="n"/>
      <c r="F1415" s="25" t="n"/>
      <c r="G1415" s="17">
        <f>IF(D1415="Sale",E1415*F1415,IF(D1415="Return",-E1415*F1415,""))</f>
        <v/>
      </c>
      <c r="H1415" s="17">
        <f>IFERROR(IF(D1415="Sale",E1415*INDEX(Products!$E$6:$E$205,MATCH(C1415,Products!$B$6:$B$205,0)),IF(D1415="Return",-E1415*INDEX(Products!$E$6:$E$205,MATCH(C1415,Products!$B$6:$B$205,0)),"")),"")</f>
        <v/>
      </c>
      <c r="I1415" s="24" t="n"/>
      <c r="J1415" s="1" t="n"/>
    </row>
    <row r="1416">
      <c r="A1416" s="1" t="n"/>
      <c r="B1416" s="30" t="n"/>
      <c r="C1416" s="23" t="n"/>
      <c r="D1416" s="23" t="n"/>
      <c r="E1416" s="26" t="n"/>
      <c r="F1416" s="25" t="n"/>
      <c r="G1416" s="17">
        <f>IF(D1416="Sale",E1416*F1416,IF(D1416="Return",-E1416*F1416,""))</f>
        <v/>
      </c>
      <c r="H1416" s="17">
        <f>IFERROR(IF(D1416="Sale",E1416*INDEX(Products!$E$6:$E$205,MATCH(C1416,Products!$B$6:$B$205,0)),IF(D1416="Return",-E1416*INDEX(Products!$E$6:$E$205,MATCH(C1416,Products!$B$6:$B$205,0)),"")),"")</f>
        <v/>
      </c>
      <c r="I1416" s="24" t="n"/>
      <c r="J1416" s="1" t="n"/>
    </row>
    <row r="1417">
      <c r="A1417" s="1" t="n"/>
      <c r="B1417" s="30" t="n"/>
      <c r="C1417" s="23" t="n"/>
      <c r="D1417" s="23" t="n"/>
      <c r="E1417" s="26" t="n"/>
      <c r="F1417" s="25" t="n"/>
      <c r="G1417" s="17">
        <f>IF(D1417="Sale",E1417*F1417,IF(D1417="Return",-E1417*F1417,""))</f>
        <v/>
      </c>
      <c r="H1417" s="17">
        <f>IFERROR(IF(D1417="Sale",E1417*INDEX(Products!$E$6:$E$205,MATCH(C1417,Products!$B$6:$B$205,0)),IF(D1417="Return",-E1417*INDEX(Products!$E$6:$E$205,MATCH(C1417,Products!$B$6:$B$205,0)),"")),"")</f>
        <v/>
      </c>
      <c r="I1417" s="24" t="n"/>
      <c r="J1417" s="1" t="n"/>
    </row>
    <row r="1418">
      <c r="A1418" s="1" t="n"/>
      <c r="B1418" s="30" t="n"/>
      <c r="C1418" s="23" t="n"/>
      <c r="D1418" s="23" t="n"/>
      <c r="E1418" s="26" t="n"/>
      <c r="F1418" s="25" t="n"/>
      <c r="G1418" s="17">
        <f>IF(D1418="Sale",E1418*F1418,IF(D1418="Return",-E1418*F1418,""))</f>
        <v/>
      </c>
      <c r="H1418" s="17">
        <f>IFERROR(IF(D1418="Sale",E1418*INDEX(Products!$E$6:$E$205,MATCH(C1418,Products!$B$6:$B$205,0)),IF(D1418="Return",-E1418*INDEX(Products!$E$6:$E$205,MATCH(C1418,Products!$B$6:$B$205,0)),"")),"")</f>
        <v/>
      </c>
      <c r="I1418" s="24" t="n"/>
      <c r="J1418" s="1" t="n"/>
    </row>
    <row r="1419">
      <c r="A1419" s="1" t="n"/>
      <c r="B1419" s="30" t="n"/>
      <c r="C1419" s="23" t="n"/>
      <c r="D1419" s="23" t="n"/>
      <c r="E1419" s="26" t="n"/>
      <c r="F1419" s="25" t="n"/>
      <c r="G1419" s="17">
        <f>IF(D1419="Sale",E1419*F1419,IF(D1419="Return",-E1419*F1419,""))</f>
        <v/>
      </c>
      <c r="H1419" s="17">
        <f>IFERROR(IF(D1419="Sale",E1419*INDEX(Products!$E$6:$E$205,MATCH(C1419,Products!$B$6:$B$205,0)),IF(D1419="Return",-E1419*INDEX(Products!$E$6:$E$205,MATCH(C1419,Products!$B$6:$B$205,0)),"")),"")</f>
        <v/>
      </c>
      <c r="I1419" s="24" t="n"/>
      <c r="J1419" s="1" t="n"/>
    </row>
    <row r="1420">
      <c r="A1420" s="1" t="n"/>
      <c r="B1420" s="30" t="n"/>
      <c r="C1420" s="23" t="n"/>
      <c r="D1420" s="23" t="n"/>
      <c r="E1420" s="26" t="n"/>
      <c r="F1420" s="25" t="n"/>
      <c r="G1420" s="17">
        <f>IF(D1420="Sale",E1420*F1420,IF(D1420="Return",-E1420*F1420,""))</f>
        <v/>
      </c>
      <c r="H1420" s="17">
        <f>IFERROR(IF(D1420="Sale",E1420*INDEX(Products!$E$6:$E$205,MATCH(C1420,Products!$B$6:$B$205,0)),IF(D1420="Return",-E1420*INDEX(Products!$E$6:$E$205,MATCH(C1420,Products!$B$6:$B$205,0)),"")),"")</f>
        <v/>
      </c>
      <c r="I1420" s="24" t="n"/>
      <c r="J1420" s="1" t="n"/>
    </row>
    <row r="1421">
      <c r="A1421" s="1" t="n"/>
      <c r="B1421" s="30" t="n"/>
      <c r="C1421" s="23" t="n"/>
      <c r="D1421" s="23" t="n"/>
      <c r="E1421" s="26" t="n"/>
      <c r="F1421" s="25" t="n"/>
      <c r="G1421" s="17">
        <f>IF(D1421="Sale",E1421*F1421,IF(D1421="Return",-E1421*F1421,""))</f>
        <v/>
      </c>
      <c r="H1421" s="17">
        <f>IFERROR(IF(D1421="Sale",E1421*INDEX(Products!$E$6:$E$205,MATCH(C1421,Products!$B$6:$B$205,0)),IF(D1421="Return",-E1421*INDEX(Products!$E$6:$E$205,MATCH(C1421,Products!$B$6:$B$205,0)),"")),"")</f>
        <v/>
      </c>
      <c r="I1421" s="24" t="n"/>
      <c r="J1421" s="1" t="n"/>
    </row>
    <row r="1422">
      <c r="A1422" s="1" t="n"/>
      <c r="B1422" s="30" t="n"/>
      <c r="C1422" s="23" t="n"/>
      <c r="D1422" s="23" t="n"/>
      <c r="E1422" s="26" t="n"/>
      <c r="F1422" s="25" t="n"/>
      <c r="G1422" s="17">
        <f>IF(D1422="Sale",E1422*F1422,IF(D1422="Return",-E1422*F1422,""))</f>
        <v/>
      </c>
      <c r="H1422" s="17">
        <f>IFERROR(IF(D1422="Sale",E1422*INDEX(Products!$E$6:$E$205,MATCH(C1422,Products!$B$6:$B$205,0)),IF(D1422="Return",-E1422*INDEX(Products!$E$6:$E$205,MATCH(C1422,Products!$B$6:$B$205,0)),"")),"")</f>
        <v/>
      </c>
      <c r="I1422" s="24" t="n"/>
      <c r="J1422" s="1" t="n"/>
    </row>
    <row r="1423">
      <c r="A1423" s="1" t="n"/>
      <c r="B1423" s="30" t="n"/>
      <c r="C1423" s="23" t="n"/>
      <c r="D1423" s="23" t="n"/>
      <c r="E1423" s="26" t="n"/>
      <c r="F1423" s="25" t="n"/>
      <c r="G1423" s="17">
        <f>IF(D1423="Sale",E1423*F1423,IF(D1423="Return",-E1423*F1423,""))</f>
        <v/>
      </c>
      <c r="H1423" s="17">
        <f>IFERROR(IF(D1423="Sale",E1423*INDEX(Products!$E$6:$E$205,MATCH(C1423,Products!$B$6:$B$205,0)),IF(D1423="Return",-E1423*INDEX(Products!$E$6:$E$205,MATCH(C1423,Products!$B$6:$B$205,0)),"")),"")</f>
        <v/>
      </c>
      <c r="I1423" s="24" t="n"/>
      <c r="J1423" s="1" t="n"/>
    </row>
    <row r="1424">
      <c r="A1424" s="1" t="n"/>
      <c r="B1424" s="30" t="n"/>
      <c r="C1424" s="23" t="n"/>
      <c r="D1424" s="23" t="n"/>
      <c r="E1424" s="26" t="n"/>
      <c r="F1424" s="25" t="n"/>
      <c r="G1424" s="17">
        <f>IF(D1424="Sale",E1424*F1424,IF(D1424="Return",-E1424*F1424,""))</f>
        <v/>
      </c>
      <c r="H1424" s="17">
        <f>IFERROR(IF(D1424="Sale",E1424*INDEX(Products!$E$6:$E$205,MATCH(C1424,Products!$B$6:$B$205,0)),IF(D1424="Return",-E1424*INDEX(Products!$E$6:$E$205,MATCH(C1424,Products!$B$6:$B$205,0)),"")),"")</f>
        <v/>
      </c>
      <c r="I1424" s="24" t="n"/>
      <c r="J1424" s="1" t="n"/>
    </row>
    <row r="1425">
      <c r="A1425" s="1" t="n"/>
      <c r="B1425" s="30" t="n"/>
      <c r="C1425" s="23" t="n"/>
      <c r="D1425" s="23" t="n"/>
      <c r="E1425" s="26" t="n"/>
      <c r="F1425" s="25" t="n"/>
      <c r="G1425" s="17">
        <f>IF(D1425="Sale",E1425*F1425,IF(D1425="Return",-E1425*F1425,""))</f>
        <v/>
      </c>
      <c r="H1425" s="17">
        <f>IFERROR(IF(D1425="Sale",E1425*INDEX(Products!$E$6:$E$205,MATCH(C1425,Products!$B$6:$B$205,0)),IF(D1425="Return",-E1425*INDEX(Products!$E$6:$E$205,MATCH(C1425,Products!$B$6:$B$205,0)),"")),"")</f>
        <v/>
      </c>
      <c r="I1425" s="24" t="n"/>
      <c r="J1425" s="1" t="n"/>
    </row>
    <row r="1426">
      <c r="A1426" s="1" t="n"/>
      <c r="B1426" s="30" t="n"/>
      <c r="C1426" s="23" t="n"/>
      <c r="D1426" s="23" t="n"/>
      <c r="E1426" s="26" t="n"/>
      <c r="F1426" s="25" t="n"/>
      <c r="G1426" s="17">
        <f>IF(D1426="Sale",E1426*F1426,IF(D1426="Return",-E1426*F1426,""))</f>
        <v/>
      </c>
      <c r="H1426" s="17">
        <f>IFERROR(IF(D1426="Sale",E1426*INDEX(Products!$E$6:$E$205,MATCH(C1426,Products!$B$6:$B$205,0)),IF(D1426="Return",-E1426*INDEX(Products!$E$6:$E$205,MATCH(C1426,Products!$B$6:$B$205,0)),"")),"")</f>
        <v/>
      </c>
      <c r="I1426" s="24" t="n"/>
      <c r="J1426" s="1" t="n"/>
    </row>
    <row r="1427">
      <c r="A1427" s="1" t="n"/>
      <c r="B1427" s="30" t="n"/>
      <c r="C1427" s="23" t="n"/>
      <c r="D1427" s="23" t="n"/>
      <c r="E1427" s="26" t="n"/>
      <c r="F1427" s="25" t="n"/>
      <c r="G1427" s="17">
        <f>IF(D1427="Sale",E1427*F1427,IF(D1427="Return",-E1427*F1427,""))</f>
        <v/>
      </c>
      <c r="H1427" s="17">
        <f>IFERROR(IF(D1427="Sale",E1427*INDEX(Products!$E$6:$E$205,MATCH(C1427,Products!$B$6:$B$205,0)),IF(D1427="Return",-E1427*INDEX(Products!$E$6:$E$205,MATCH(C1427,Products!$B$6:$B$205,0)),"")),"")</f>
        <v/>
      </c>
      <c r="I1427" s="24" t="n"/>
      <c r="J1427" s="1" t="n"/>
    </row>
    <row r="1428">
      <c r="A1428" s="1" t="n"/>
      <c r="B1428" s="30" t="n"/>
      <c r="C1428" s="23" t="n"/>
      <c r="D1428" s="23" t="n"/>
      <c r="E1428" s="26" t="n"/>
      <c r="F1428" s="25" t="n"/>
      <c r="G1428" s="17">
        <f>IF(D1428="Sale",E1428*F1428,IF(D1428="Return",-E1428*F1428,""))</f>
        <v/>
      </c>
      <c r="H1428" s="17">
        <f>IFERROR(IF(D1428="Sale",E1428*INDEX(Products!$E$6:$E$205,MATCH(C1428,Products!$B$6:$B$205,0)),IF(D1428="Return",-E1428*INDEX(Products!$E$6:$E$205,MATCH(C1428,Products!$B$6:$B$205,0)),"")),"")</f>
        <v/>
      </c>
      <c r="I1428" s="24" t="n"/>
      <c r="J1428" s="1" t="n"/>
    </row>
    <row r="1429">
      <c r="A1429" s="1" t="n"/>
      <c r="B1429" s="30" t="n"/>
      <c r="C1429" s="23" t="n"/>
      <c r="D1429" s="23" t="n"/>
      <c r="E1429" s="26" t="n"/>
      <c r="F1429" s="25" t="n"/>
      <c r="G1429" s="17">
        <f>IF(D1429="Sale",E1429*F1429,IF(D1429="Return",-E1429*F1429,""))</f>
        <v/>
      </c>
      <c r="H1429" s="17">
        <f>IFERROR(IF(D1429="Sale",E1429*INDEX(Products!$E$6:$E$205,MATCH(C1429,Products!$B$6:$B$205,0)),IF(D1429="Return",-E1429*INDEX(Products!$E$6:$E$205,MATCH(C1429,Products!$B$6:$B$205,0)),"")),"")</f>
        <v/>
      </c>
      <c r="I1429" s="24" t="n"/>
      <c r="J1429" s="1" t="n"/>
    </row>
    <row r="1430">
      <c r="A1430" s="1" t="n"/>
      <c r="B1430" s="30" t="n"/>
      <c r="C1430" s="23" t="n"/>
      <c r="D1430" s="23" t="n"/>
      <c r="E1430" s="26" t="n"/>
      <c r="F1430" s="25" t="n"/>
      <c r="G1430" s="17">
        <f>IF(D1430="Sale",E1430*F1430,IF(D1430="Return",-E1430*F1430,""))</f>
        <v/>
      </c>
      <c r="H1430" s="17">
        <f>IFERROR(IF(D1430="Sale",E1430*INDEX(Products!$E$6:$E$205,MATCH(C1430,Products!$B$6:$B$205,0)),IF(D1430="Return",-E1430*INDEX(Products!$E$6:$E$205,MATCH(C1430,Products!$B$6:$B$205,0)),"")),"")</f>
        <v/>
      </c>
      <c r="I1430" s="24" t="n"/>
      <c r="J1430" s="1" t="n"/>
    </row>
    <row r="1431">
      <c r="A1431" s="1" t="n"/>
      <c r="B1431" s="30" t="n"/>
      <c r="C1431" s="23" t="n"/>
      <c r="D1431" s="23" t="n"/>
      <c r="E1431" s="26" t="n"/>
      <c r="F1431" s="25" t="n"/>
      <c r="G1431" s="17">
        <f>IF(D1431="Sale",E1431*F1431,IF(D1431="Return",-E1431*F1431,""))</f>
        <v/>
      </c>
      <c r="H1431" s="17">
        <f>IFERROR(IF(D1431="Sale",E1431*INDEX(Products!$E$6:$E$205,MATCH(C1431,Products!$B$6:$B$205,0)),IF(D1431="Return",-E1431*INDEX(Products!$E$6:$E$205,MATCH(C1431,Products!$B$6:$B$205,0)),"")),"")</f>
        <v/>
      </c>
      <c r="I1431" s="24" t="n"/>
      <c r="J1431" s="1" t="n"/>
    </row>
    <row r="1432">
      <c r="A1432" s="1" t="n"/>
      <c r="B1432" s="30" t="n"/>
      <c r="C1432" s="23" t="n"/>
      <c r="D1432" s="23" t="n"/>
      <c r="E1432" s="26" t="n"/>
      <c r="F1432" s="25" t="n"/>
      <c r="G1432" s="17">
        <f>IF(D1432="Sale",E1432*F1432,IF(D1432="Return",-E1432*F1432,""))</f>
        <v/>
      </c>
      <c r="H1432" s="17">
        <f>IFERROR(IF(D1432="Sale",E1432*INDEX(Products!$E$6:$E$205,MATCH(C1432,Products!$B$6:$B$205,0)),IF(D1432="Return",-E1432*INDEX(Products!$E$6:$E$205,MATCH(C1432,Products!$B$6:$B$205,0)),"")),"")</f>
        <v/>
      </c>
      <c r="I1432" s="24" t="n"/>
      <c r="J1432" s="1" t="n"/>
    </row>
    <row r="1433">
      <c r="A1433" s="1" t="n"/>
      <c r="B1433" s="30" t="n"/>
      <c r="C1433" s="23" t="n"/>
      <c r="D1433" s="23" t="n"/>
      <c r="E1433" s="26" t="n"/>
      <c r="F1433" s="25" t="n"/>
      <c r="G1433" s="17">
        <f>IF(D1433="Sale",E1433*F1433,IF(D1433="Return",-E1433*F1433,""))</f>
        <v/>
      </c>
      <c r="H1433" s="17">
        <f>IFERROR(IF(D1433="Sale",E1433*INDEX(Products!$E$6:$E$205,MATCH(C1433,Products!$B$6:$B$205,0)),IF(D1433="Return",-E1433*INDEX(Products!$E$6:$E$205,MATCH(C1433,Products!$B$6:$B$205,0)),"")),"")</f>
        <v/>
      </c>
      <c r="I1433" s="24" t="n"/>
      <c r="J1433" s="1" t="n"/>
    </row>
    <row r="1434">
      <c r="A1434" s="1" t="n"/>
      <c r="B1434" s="30" t="n"/>
      <c r="C1434" s="23" t="n"/>
      <c r="D1434" s="23" t="n"/>
      <c r="E1434" s="26" t="n"/>
      <c r="F1434" s="25" t="n"/>
      <c r="G1434" s="17">
        <f>IF(D1434="Sale",E1434*F1434,IF(D1434="Return",-E1434*F1434,""))</f>
        <v/>
      </c>
      <c r="H1434" s="17">
        <f>IFERROR(IF(D1434="Sale",E1434*INDEX(Products!$E$6:$E$205,MATCH(C1434,Products!$B$6:$B$205,0)),IF(D1434="Return",-E1434*INDEX(Products!$E$6:$E$205,MATCH(C1434,Products!$B$6:$B$205,0)),"")),"")</f>
        <v/>
      </c>
      <c r="I1434" s="24" t="n"/>
      <c r="J1434" s="1" t="n"/>
    </row>
    <row r="1435">
      <c r="A1435" s="1" t="n"/>
      <c r="B1435" s="30" t="n"/>
      <c r="C1435" s="23" t="n"/>
      <c r="D1435" s="23" t="n"/>
      <c r="E1435" s="26" t="n"/>
      <c r="F1435" s="25" t="n"/>
      <c r="G1435" s="17">
        <f>IF(D1435="Sale",E1435*F1435,IF(D1435="Return",-E1435*F1435,""))</f>
        <v/>
      </c>
      <c r="H1435" s="17">
        <f>IFERROR(IF(D1435="Sale",E1435*INDEX(Products!$E$6:$E$205,MATCH(C1435,Products!$B$6:$B$205,0)),IF(D1435="Return",-E1435*INDEX(Products!$E$6:$E$205,MATCH(C1435,Products!$B$6:$B$205,0)),"")),"")</f>
        <v/>
      </c>
      <c r="I1435" s="24" t="n"/>
      <c r="J1435" s="1" t="n"/>
    </row>
    <row r="1436">
      <c r="A1436" s="1" t="n"/>
      <c r="B1436" s="30" t="n"/>
      <c r="C1436" s="23" t="n"/>
      <c r="D1436" s="23" t="n"/>
      <c r="E1436" s="26" t="n"/>
      <c r="F1436" s="25" t="n"/>
      <c r="G1436" s="17">
        <f>IF(D1436="Sale",E1436*F1436,IF(D1436="Return",-E1436*F1436,""))</f>
        <v/>
      </c>
      <c r="H1436" s="17">
        <f>IFERROR(IF(D1436="Sale",E1436*INDEX(Products!$E$6:$E$205,MATCH(C1436,Products!$B$6:$B$205,0)),IF(D1436="Return",-E1436*INDEX(Products!$E$6:$E$205,MATCH(C1436,Products!$B$6:$B$205,0)),"")),"")</f>
        <v/>
      </c>
      <c r="I1436" s="24" t="n"/>
      <c r="J1436" s="1" t="n"/>
    </row>
    <row r="1437">
      <c r="A1437" s="1" t="n"/>
      <c r="B1437" s="30" t="n"/>
      <c r="C1437" s="23" t="n"/>
      <c r="D1437" s="23" t="n"/>
      <c r="E1437" s="26" t="n"/>
      <c r="F1437" s="25" t="n"/>
      <c r="G1437" s="17">
        <f>IF(D1437="Sale",E1437*F1437,IF(D1437="Return",-E1437*F1437,""))</f>
        <v/>
      </c>
      <c r="H1437" s="17">
        <f>IFERROR(IF(D1437="Sale",E1437*INDEX(Products!$E$6:$E$205,MATCH(C1437,Products!$B$6:$B$205,0)),IF(D1437="Return",-E1437*INDEX(Products!$E$6:$E$205,MATCH(C1437,Products!$B$6:$B$205,0)),"")),"")</f>
        <v/>
      </c>
      <c r="I1437" s="24" t="n"/>
      <c r="J1437" s="1" t="n"/>
    </row>
    <row r="1438">
      <c r="A1438" s="1" t="n"/>
      <c r="B1438" s="30" t="n"/>
      <c r="C1438" s="23" t="n"/>
      <c r="D1438" s="23" t="n"/>
      <c r="E1438" s="26" t="n"/>
      <c r="F1438" s="25" t="n"/>
      <c r="G1438" s="17">
        <f>IF(D1438="Sale",E1438*F1438,IF(D1438="Return",-E1438*F1438,""))</f>
        <v/>
      </c>
      <c r="H1438" s="17">
        <f>IFERROR(IF(D1438="Sale",E1438*INDEX(Products!$E$6:$E$205,MATCH(C1438,Products!$B$6:$B$205,0)),IF(D1438="Return",-E1438*INDEX(Products!$E$6:$E$205,MATCH(C1438,Products!$B$6:$B$205,0)),"")),"")</f>
        <v/>
      </c>
      <c r="I1438" s="24" t="n"/>
      <c r="J1438" s="1" t="n"/>
    </row>
    <row r="1439">
      <c r="A1439" s="1" t="n"/>
      <c r="B1439" s="30" t="n"/>
      <c r="C1439" s="23" t="n"/>
      <c r="D1439" s="23" t="n"/>
      <c r="E1439" s="26" t="n"/>
      <c r="F1439" s="25" t="n"/>
      <c r="G1439" s="17">
        <f>IF(D1439="Sale",E1439*F1439,IF(D1439="Return",-E1439*F1439,""))</f>
        <v/>
      </c>
      <c r="H1439" s="17">
        <f>IFERROR(IF(D1439="Sale",E1439*INDEX(Products!$E$6:$E$205,MATCH(C1439,Products!$B$6:$B$205,0)),IF(D1439="Return",-E1439*INDEX(Products!$E$6:$E$205,MATCH(C1439,Products!$B$6:$B$205,0)),"")),"")</f>
        <v/>
      </c>
      <c r="I1439" s="24" t="n"/>
      <c r="J1439" s="1" t="n"/>
    </row>
    <row r="1440">
      <c r="A1440" s="1" t="n"/>
      <c r="B1440" s="30" t="n"/>
      <c r="C1440" s="23" t="n"/>
      <c r="D1440" s="23" t="n"/>
      <c r="E1440" s="26" t="n"/>
      <c r="F1440" s="25" t="n"/>
      <c r="G1440" s="17">
        <f>IF(D1440="Sale",E1440*F1440,IF(D1440="Return",-E1440*F1440,""))</f>
        <v/>
      </c>
      <c r="H1440" s="17">
        <f>IFERROR(IF(D1440="Sale",E1440*INDEX(Products!$E$6:$E$205,MATCH(C1440,Products!$B$6:$B$205,0)),IF(D1440="Return",-E1440*INDEX(Products!$E$6:$E$205,MATCH(C1440,Products!$B$6:$B$205,0)),"")),"")</f>
        <v/>
      </c>
      <c r="I1440" s="24" t="n"/>
      <c r="J1440" s="1" t="n"/>
    </row>
    <row r="1441">
      <c r="A1441" s="1" t="n"/>
      <c r="B1441" s="30" t="n"/>
      <c r="C1441" s="23" t="n"/>
      <c r="D1441" s="23" t="n"/>
      <c r="E1441" s="26" t="n"/>
      <c r="F1441" s="25" t="n"/>
      <c r="G1441" s="17">
        <f>IF(D1441="Sale",E1441*F1441,IF(D1441="Return",-E1441*F1441,""))</f>
        <v/>
      </c>
      <c r="H1441" s="17">
        <f>IFERROR(IF(D1441="Sale",E1441*INDEX(Products!$E$6:$E$205,MATCH(C1441,Products!$B$6:$B$205,0)),IF(D1441="Return",-E1441*INDEX(Products!$E$6:$E$205,MATCH(C1441,Products!$B$6:$B$205,0)),"")),"")</f>
        <v/>
      </c>
      <c r="I1441" s="24" t="n"/>
      <c r="J1441" s="1" t="n"/>
    </row>
    <row r="1442">
      <c r="A1442" s="1" t="n"/>
      <c r="B1442" s="30" t="n"/>
      <c r="C1442" s="23" t="n"/>
      <c r="D1442" s="23" t="n"/>
      <c r="E1442" s="26" t="n"/>
      <c r="F1442" s="25" t="n"/>
      <c r="G1442" s="17">
        <f>IF(D1442="Sale",E1442*F1442,IF(D1442="Return",-E1442*F1442,""))</f>
        <v/>
      </c>
      <c r="H1442" s="17">
        <f>IFERROR(IF(D1442="Sale",E1442*INDEX(Products!$E$6:$E$205,MATCH(C1442,Products!$B$6:$B$205,0)),IF(D1442="Return",-E1442*INDEX(Products!$E$6:$E$205,MATCH(C1442,Products!$B$6:$B$205,0)),"")),"")</f>
        <v/>
      </c>
      <c r="I1442" s="24" t="n"/>
      <c r="J1442" s="1" t="n"/>
    </row>
    <row r="1443">
      <c r="A1443" s="1" t="n"/>
      <c r="B1443" s="30" t="n"/>
      <c r="C1443" s="23" t="n"/>
      <c r="D1443" s="23" t="n"/>
      <c r="E1443" s="26" t="n"/>
      <c r="F1443" s="25" t="n"/>
      <c r="G1443" s="17">
        <f>IF(D1443="Sale",E1443*F1443,IF(D1443="Return",-E1443*F1443,""))</f>
        <v/>
      </c>
      <c r="H1443" s="17">
        <f>IFERROR(IF(D1443="Sale",E1443*INDEX(Products!$E$6:$E$205,MATCH(C1443,Products!$B$6:$B$205,0)),IF(D1443="Return",-E1443*INDEX(Products!$E$6:$E$205,MATCH(C1443,Products!$B$6:$B$205,0)),"")),"")</f>
        <v/>
      </c>
      <c r="I1443" s="24" t="n"/>
      <c r="J1443" s="1" t="n"/>
    </row>
    <row r="1444">
      <c r="A1444" s="1" t="n"/>
      <c r="B1444" s="30" t="n"/>
      <c r="C1444" s="23" t="n"/>
      <c r="D1444" s="23" t="n"/>
      <c r="E1444" s="26" t="n"/>
      <c r="F1444" s="25" t="n"/>
      <c r="G1444" s="17">
        <f>IF(D1444="Sale",E1444*F1444,IF(D1444="Return",-E1444*F1444,""))</f>
        <v/>
      </c>
      <c r="H1444" s="17">
        <f>IFERROR(IF(D1444="Sale",E1444*INDEX(Products!$E$6:$E$205,MATCH(C1444,Products!$B$6:$B$205,0)),IF(D1444="Return",-E1444*INDEX(Products!$E$6:$E$205,MATCH(C1444,Products!$B$6:$B$205,0)),"")),"")</f>
        <v/>
      </c>
      <c r="I1444" s="24" t="n"/>
      <c r="J1444" s="1" t="n"/>
    </row>
    <row r="1445">
      <c r="A1445" s="1" t="n"/>
      <c r="B1445" s="30" t="n"/>
      <c r="C1445" s="23" t="n"/>
      <c r="D1445" s="23" t="n"/>
      <c r="E1445" s="26" t="n"/>
      <c r="F1445" s="25" t="n"/>
      <c r="G1445" s="17">
        <f>IF(D1445="Sale",E1445*F1445,IF(D1445="Return",-E1445*F1445,""))</f>
        <v/>
      </c>
      <c r="H1445" s="17">
        <f>IFERROR(IF(D1445="Sale",E1445*INDEX(Products!$E$6:$E$205,MATCH(C1445,Products!$B$6:$B$205,0)),IF(D1445="Return",-E1445*INDEX(Products!$E$6:$E$205,MATCH(C1445,Products!$B$6:$B$205,0)),"")),"")</f>
        <v/>
      </c>
      <c r="I1445" s="24" t="n"/>
      <c r="J1445" s="1" t="n"/>
    </row>
    <row r="1446">
      <c r="A1446" s="1" t="n"/>
      <c r="B1446" s="30" t="n"/>
      <c r="C1446" s="23" t="n"/>
      <c r="D1446" s="23" t="n"/>
      <c r="E1446" s="26" t="n"/>
      <c r="F1446" s="25" t="n"/>
      <c r="G1446" s="17">
        <f>IF(D1446="Sale",E1446*F1446,IF(D1446="Return",-E1446*F1446,""))</f>
        <v/>
      </c>
      <c r="H1446" s="17">
        <f>IFERROR(IF(D1446="Sale",E1446*INDEX(Products!$E$6:$E$205,MATCH(C1446,Products!$B$6:$B$205,0)),IF(D1446="Return",-E1446*INDEX(Products!$E$6:$E$205,MATCH(C1446,Products!$B$6:$B$205,0)),"")),"")</f>
        <v/>
      </c>
      <c r="I1446" s="24" t="n"/>
      <c r="J1446" s="1" t="n"/>
    </row>
    <row r="1447">
      <c r="A1447" s="1" t="n"/>
      <c r="B1447" s="30" t="n"/>
      <c r="C1447" s="23" t="n"/>
      <c r="D1447" s="23" t="n"/>
      <c r="E1447" s="26" t="n"/>
      <c r="F1447" s="25" t="n"/>
      <c r="G1447" s="17">
        <f>IF(D1447="Sale",E1447*F1447,IF(D1447="Return",-E1447*F1447,""))</f>
        <v/>
      </c>
      <c r="H1447" s="17">
        <f>IFERROR(IF(D1447="Sale",E1447*INDEX(Products!$E$6:$E$205,MATCH(C1447,Products!$B$6:$B$205,0)),IF(D1447="Return",-E1447*INDEX(Products!$E$6:$E$205,MATCH(C1447,Products!$B$6:$B$205,0)),"")),"")</f>
        <v/>
      </c>
      <c r="I1447" s="24" t="n"/>
      <c r="J1447" s="1" t="n"/>
    </row>
    <row r="1448">
      <c r="A1448" s="1" t="n"/>
      <c r="B1448" s="30" t="n"/>
      <c r="C1448" s="23" t="n"/>
      <c r="D1448" s="23" t="n"/>
      <c r="E1448" s="26" t="n"/>
      <c r="F1448" s="25" t="n"/>
      <c r="G1448" s="17">
        <f>IF(D1448="Sale",E1448*F1448,IF(D1448="Return",-E1448*F1448,""))</f>
        <v/>
      </c>
      <c r="H1448" s="17">
        <f>IFERROR(IF(D1448="Sale",E1448*INDEX(Products!$E$6:$E$205,MATCH(C1448,Products!$B$6:$B$205,0)),IF(D1448="Return",-E1448*INDEX(Products!$E$6:$E$205,MATCH(C1448,Products!$B$6:$B$205,0)),"")),"")</f>
        <v/>
      </c>
      <c r="I1448" s="24" t="n"/>
      <c r="J1448" s="1" t="n"/>
    </row>
    <row r="1449">
      <c r="A1449" s="1" t="n"/>
      <c r="B1449" s="30" t="n"/>
      <c r="C1449" s="23" t="n"/>
      <c r="D1449" s="23" t="n"/>
      <c r="E1449" s="26" t="n"/>
      <c r="F1449" s="25" t="n"/>
      <c r="G1449" s="17">
        <f>IF(D1449="Sale",E1449*F1449,IF(D1449="Return",-E1449*F1449,""))</f>
        <v/>
      </c>
      <c r="H1449" s="17">
        <f>IFERROR(IF(D1449="Sale",E1449*INDEX(Products!$E$6:$E$205,MATCH(C1449,Products!$B$6:$B$205,0)),IF(D1449="Return",-E1449*INDEX(Products!$E$6:$E$205,MATCH(C1449,Products!$B$6:$B$205,0)),"")),"")</f>
        <v/>
      </c>
      <c r="I1449" s="24" t="n"/>
      <c r="J1449" s="1" t="n"/>
    </row>
    <row r="1450">
      <c r="A1450" s="1" t="n"/>
      <c r="B1450" s="30" t="n"/>
      <c r="C1450" s="23" t="n"/>
      <c r="D1450" s="23" t="n"/>
      <c r="E1450" s="26" t="n"/>
      <c r="F1450" s="25" t="n"/>
      <c r="G1450" s="17">
        <f>IF(D1450="Sale",E1450*F1450,IF(D1450="Return",-E1450*F1450,""))</f>
        <v/>
      </c>
      <c r="H1450" s="17">
        <f>IFERROR(IF(D1450="Sale",E1450*INDEX(Products!$E$6:$E$205,MATCH(C1450,Products!$B$6:$B$205,0)),IF(D1450="Return",-E1450*INDEX(Products!$E$6:$E$205,MATCH(C1450,Products!$B$6:$B$205,0)),"")),"")</f>
        <v/>
      </c>
      <c r="I1450" s="24" t="n"/>
      <c r="J1450" s="1" t="n"/>
    </row>
    <row r="1451">
      <c r="A1451" s="1" t="n"/>
      <c r="B1451" s="30" t="n"/>
      <c r="C1451" s="23" t="n"/>
      <c r="D1451" s="23" t="n"/>
      <c r="E1451" s="26" t="n"/>
      <c r="F1451" s="25" t="n"/>
      <c r="G1451" s="17">
        <f>IF(D1451="Sale",E1451*F1451,IF(D1451="Return",-E1451*F1451,""))</f>
        <v/>
      </c>
      <c r="H1451" s="17">
        <f>IFERROR(IF(D1451="Sale",E1451*INDEX(Products!$E$6:$E$205,MATCH(C1451,Products!$B$6:$B$205,0)),IF(D1451="Return",-E1451*INDEX(Products!$E$6:$E$205,MATCH(C1451,Products!$B$6:$B$205,0)),"")),"")</f>
        <v/>
      </c>
      <c r="I1451" s="24" t="n"/>
      <c r="J1451" s="1" t="n"/>
    </row>
    <row r="1452">
      <c r="A1452" s="1" t="n"/>
      <c r="B1452" s="30" t="n"/>
      <c r="C1452" s="23" t="n"/>
      <c r="D1452" s="23" t="n"/>
      <c r="E1452" s="26" t="n"/>
      <c r="F1452" s="25" t="n"/>
      <c r="G1452" s="17">
        <f>IF(D1452="Sale",E1452*F1452,IF(D1452="Return",-E1452*F1452,""))</f>
        <v/>
      </c>
      <c r="H1452" s="17">
        <f>IFERROR(IF(D1452="Sale",E1452*INDEX(Products!$E$6:$E$205,MATCH(C1452,Products!$B$6:$B$205,0)),IF(D1452="Return",-E1452*INDEX(Products!$E$6:$E$205,MATCH(C1452,Products!$B$6:$B$205,0)),"")),"")</f>
        <v/>
      </c>
      <c r="I1452" s="24" t="n"/>
      <c r="J1452" s="1" t="n"/>
    </row>
    <row r="1453">
      <c r="A1453" s="1" t="n"/>
      <c r="B1453" s="30" t="n"/>
      <c r="C1453" s="23" t="n"/>
      <c r="D1453" s="23" t="n"/>
      <c r="E1453" s="26" t="n"/>
      <c r="F1453" s="25" t="n"/>
      <c r="G1453" s="17">
        <f>IF(D1453="Sale",E1453*F1453,IF(D1453="Return",-E1453*F1453,""))</f>
        <v/>
      </c>
      <c r="H1453" s="17">
        <f>IFERROR(IF(D1453="Sale",E1453*INDEX(Products!$E$6:$E$205,MATCH(C1453,Products!$B$6:$B$205,0)),IF(D1453="Return",-E1453*INDEX(Products!$E$6:$E$205,MATCH(C1453,Products!$B$6:$B$205,0)),"")),"")</f>
        <v/>
      </c>
      <c r="I1453" s="24" t="n"/>
      <c r="J1453" s="1" t="n"/>
    </row>
    <row r="1454">
      <c r="A1454" s="1" t="n"/>
      <c r="B1454" s="30" t="n"/>
      <c r="C1454" s="23" t="n"/>
      <c r="D1454" s="23" t="n"/>
      <c r="E1454" s="26" t="n"/>
      <c r="F1454" s="25" t="n"/>
      <c r="G1454" s="17">
        <f>IF(D1454="Sale",E1454*F1454,IF(D1454="Return",-E1454*F1454,""))</f>
        <v/>
      </c>
      <c r="H1454" s="17">
        <f>IFERROR(IF(D1454="Sale",E1454*INDEX(Products!$E$6:$E$205,MATCH(C1454,Products!$B$6:$B$205,0)),IF(D1454="Return",-E1454*INDEX(Products!$E$6:$E$205,MATCH(C1454,Products!$B$6:$B$205,0)),"")),"")</f>
        <v/>
      </c>
      <c r="I1454" s="24" t="n"/>
      <c r="J1454" s="1" t="n"/>
    </row>
    <row r="1455">
      <c r="A1455" s="1" t="n"/>
      <c r="B1455" s="30" t="n"/>
      <c r="C1455" s="23" t="n"/>
      <c r="D1455" s="23" t="n"/>
      <c r="E1455" s="26" t="n"/>
      <c r="F1455" s="25" t="n"/>
      <c r="G1455" s="17">
        <f>IF(D1455="Sale",E1455*F1455,IF(D1455="Return",-E1455*F1455,""))</f>
        <v/>
      </c>
      <c r="H1455" s="17">
        <f>IFERROR(IF(D1455="Sale",E1455*INDEX(Products!$E$6:$E$205,MATCH(C1455,Products!$B$6:$B$205,0)),IF(D1455="Return",-E1455*INDEX(Products!$E$6:$E$205,MATCH(C1455,Products!$B$6:$B$205,0)),"")),"")</f>
        <v/>
      </c>
      <c r="I1455" s="24" t="n"/>
      <c r="J1455" s="1" t="n"/>
    </row>
    <row r="1456">
      <c r="A1456" s="1" t="n"/>
      <c r="B1456" s="30" t="n"/>
      <c r="C1456" s="23" t="n"/>
      <c r="D1456" s="23" t="n"/>
      <c r="E1456" s="26" t="n"/>
      <c r="F1456" s="25" t="n"/>
      <c r="G1456" s="17">
        <f>IF(D1456="Sale",E1456*F1456,IF(D1456="Return",-E1456*F1456,""))</f>
        <v/>
      </c>
      <c r="H1456" s="17">
        <f>IFERROR(IF(D1456="Sale",E1456*INDEX(Products!$E$6:$E$205,MATCH(C1456,Products!$B$6:$B$205,0)),IF(D1456="Return",-E1456*INDEX(Products!$E$6:$E$205,MATCH(C1456,Products!$B$6:$B$205,0)),"")),"")</f>
        <v/>
      </c>
      <c r="I1456" s="24" t="n"/>
      <c r="J1456" s="1" t="n"/>
    </row>
    <row r="1457">
      <c r="A1457" s="1" t="n"/>
      <c r="B1457" s="30" t="n"/>
      <c r="C1457" s="23" t="n"/>
      <c r="D1457" s="23" t="n"/>
      <c r="E1457" s="26" t="n"/>
      <c r="F1457" s="25" t="n"/>
      <c r="G1457" s="17">
        <f>IF(D1457="Sale",E1457*F1457,IF(D1457="Return",-E1457*F1457,""))</f>
        <v/>
      </c>
      <c r="H1457" s="17">
        <f>IFERROR(IF(D1457="Sale",E1457*INDEX(Products!$E$6:$E$205,MATCH(C1457,Products!$B$6:$B$205,0)),IF(D1457="Return",-E1457*INDEX(Products!$E$6:$E$205,MATCH(C1457,Products!$B$6:$B$205,0)),"")),"")</f>
        <v/>
      </c>
      <c r="I1457" s="24" t="n"/>
      <c r="J1457" s="1" t="n"/>
    </row>
    <row r="1458">
      <c r="A1458" s="1" t="n"/>
      <c r="B1458" s="30" t="n"/>
      <c r="C1458" s="23" t="n"/>
      <c r="D1458" s="23" t="n"/>
      <c r="E1458" s="26" t="n"/>
      <c r="F1458" s="25" t="n"/>
      <c r="G1458" s="17">
        <f>IF(D1458="Sale",E1458*F1458,IF(D1458="Return",-E1458*F1458,""))</f>
        <v/>
      </c>
      <c r="H1458" s="17">
        <f>IFERROR(IF(D1458="Sale",E1458*INDEX(Products!$E$6:$E$205,MATCH(C1458,Products!$B$6:$B$205,0)),IF(D1458="Return",-E1458*INDEX(Products!$E$6:$E$205,MATCH(C1458,Products!$B$6:$B$205,0)),"")),"")</f>
        <v/>
      </c>
      <c r="I1458" s="24" t="n"/>
      <c r="J1458" s="1" t="n"/>
    </row>
    <row r="1459">
      <c r="A1459" s="1" t="n"/>
      <c r="B1459" s="30" t="n"/>
      <c r="C1459" s="23" t="n"/>
      <c r="D1459" s="23" t="n"/>
      <c r="E1459" s="26" t="n"/>
      <c r="F1459" s="25" t="n"/>
      <c r="G1459" s="17">
        <f>IF(D1459="Sale",E1459*F1459,IF(D1459="Return",-E1459*F1459,""))</f>
        <v/>
      </c>
      <c r="H1459" s="17">
        <f>IFERROR(IF(D1459="Sale",E1459*INDEX(Products!$E$6:$E$205,MATCH(C1459,Products!$B$6:$B$205,0)),IF(D1459="Return",-E1459*INDEX(Products!$E$6:$E$205,MATCH(C1459,Products!$B$6:$B$205,0)),"")),"")</f>
        <v/>
      </c>
      <c r="I1459" s="24" t="n"/>
      <c r="J1459" s="1" t="n"/>
    </row>
    <row r="1460">
      <c r="A1460" s="1" t="n"/>
      <c r="B1460" s="30" t="n"/>
      <c r="C1460" s="23" t="n"/>
      <c r="D1460" s="23" t="n"/>
      <c r="E1460" s="26" t="n"/>
      <c r="F1460" s="25" t="n"/>
      <c r="G1460" s="17">
        <f>IF(D1460="Sale",E1460*F1460,IF(D1460="Return",-E1460*F1460,""))</f>
        <v/>
      </c>
      <c r="H1460" s="17">
        <f>IFERROR(IF(D1460="Sale",E1460*INDEX(Products!$E$6:$E$205,MATCH(C1460,Products!$B$6:$B$205,0)),IF(D1460="Return",-E1460*INDEX(Products!$E$6:$E$205,MATCH(C1460,Products!$B$6:$B$205,0)),"")),"")</f>
        <v/>
      </c>
      <c r="I1460" s="24" t="n"/>
      <c r="J1460" s="1" t="n"/>
    </row>
    <row r="1461">
      <c r="A1461" s="1" t="n"/>
      <c r="B1461" s="30" t="n"/>
      <c r="C1461" s="23" t="n"/>
      <c r="D1461" s="23" t="n"/>
      <c r="E1461" s="26" t="n"/>
      <c r="F1461" s="25" t="n"/>
      <c r="G1461" s="17">
        <f>IF(D1461="Sale",E1461*F1461,IF(D1461="Return",-E1461*F1461,""))</f>
        <v/>
      </c>
      <c r="H1461" s="17">
        <f>IFERROR(IF(D1461="Sale",E1461*INDEX(Products!$E$6:$E$205,MATCH(C1461,Products!$B$6:$B$205,0)),IF(D1461="Return",-E1461*INDEX(Products!$E$6:$E$205,MATCH(C1461,Products!$B$6:$B$205,0)),"")),"")</f>
        <v/>
      </c>
      <c r="I1461" s="24" t="n"/>
      <c r="J1461" s="1" t="n"/>
    </row>
    <row r="1462">
      <c r="A1462" s="1" t="n"/>
      <c r="B1462" s="30" t="n"/>
      <c r="C1462" s="23" t="n"/>
      <c r="D1462" s="23" t="n"/>
      <c r="E1462" s="26" t="n"/>
      <c r="F1462" s="25" t="n"/>
      <c r="G1462" s="17">
        <f>IF(D1462="Sale",E1462*F1462,IF(D1462="Return",-E1462*F1462,""))</f>
        <v/>
      </c>
      <c r="H1462" s="17">
        <f>IFERROR(IF(D1462="Sale",E1462*INDEX(Products!$E$6:$E$205,MATCH(C1462,Products!$B$6:$B$205,0)),IF(D1462="Return",-E1462*INDEX(Products!$E$6:$E$205,MATCH(C1462,Products!$B$6:$B$205,0)),"")),"")</f>
        <v/>
      </c>
      <c r="I1462" s="24" t="n"/>
      <c r="J1462" s="1" t="n"/>
    </row>
    <row r="1463">
      <c r="A1463" s="1" t="n"/>
      <c r="B1463" s="30" t="n"/>
      <c r="C1463" s="23" t="n"/>
      <c r="D1463" s="23" t="n"/>
      <c r="E1463" s="26" t="n"/>
      <c r="F1463" s="25" t="n"/>
      <c r="G1463" s="17">
        <f>IF(D1463="Sale",E1463*F1463,IF(D1463="Return",-E1463*F1463,""))</f>
        <v/>
      </c>
      <c r="H1463" s="17">
        <f>IFERROR(IF(D1463="Sale",E1463*INDEX(Products!$E$6:$E$205,MATCH(C1463,Products!$B$6:$B$205,0)),IF(D1463="Return",-E1463*INDEX(Products!$E$6:$E$205,MATCH(C1463,Products!$B$6:$B$205,0)),"")),"")</f>
        <v/>
      </c>
      <c r="I1463" s="24" t="n"/>
      <c r="J1463" s="1" t="n"/>
    </row>
    <row r="1464">
      <c r="A1464" s="1" t="n"/>
      <c r="B1464" s="30" t="n"/>
      <c r="C1464" s="23" t="n"/>
      <c r="D1464" s="23" t="n"/>
      <c r="E1464" s="26" t="n"/>
      <c r="F1464" s="25" t="n"/>
      <c r="G1464" s="17">
        <f>IF(D1464="Sale",E1464*F1464,IF(D1464="Return",-E1464*F1464,""))</f>
        <v/>
      </c>
      <c r="H1464" s="17">
        <f>IFERROR(IF(D1464="Sale",E1464*INDEX(Products!$E$6:$E$205,MATCH(C1464,Products!$B$6:$B$205,0)),IF(D1464="Return",-E1464*INDEX(Products!$E$6:$E$205,MATCH(C1464,Products!$B$6:$B$205,0)),"")),"")</f>
        <v/>
      </c>
      <c r="I1464" s="24" t="n"/>
      <c r="J1464" s="1" t="n"/>
    </row>
    <row r="1465">
      <c r="A1465" s="1" t="n"/>
      <c r="B1465" s="30" t="n"/>
      <c r="C1465" s="23" t="n"/>
      <c r="D1465" s="23" t="n"/>
      <c r="E1465" s="26" t="n"/>
      <c r="F1465" s="25" t="n"/>
      <c r="G1465" s="17">
        <f>IF(D1465="Sale",E1465*F1465,IF(D1465="Return",-E1465*F1465,""))</f>
        <v/>
      </c>
      <c r="H1465" s="17">
        <f>IFERROR(IF(D1465="Sale",E1465*INDEX(Products!$E$6:$E$205,MATCH(C1465,Products!$B$6:$B$205,0)),IF(D1465="Return",-E1465*INDEX(Products!$E$6:$E$205,MATCH(C1465,Products!$B$6:$B$205,0)),"")),"")</f>
        <v/>
      </c>
      <c r="I1465" s="24" t="n"/>
      <c r="J1465" s="1" t="n"/>
    </row>
    <row r="1466">
      <c r="A1466" s="1" t="n"/>
      <c r="B1466" s="30" t="n"/>
      <c r="C1466" s="23" t="n"/>
      <c r="D1466" s="23" t="n"/>
      <c r="E1466" s="26" t="n"/>
      <c r="F1466" s="25" t="n"/>
      <c r="G1466" s="17">
        <f>IF(D1466="Sale",E1466*F1466,IF(D1466="Return",-E1466*F1466,""))</f>
        <v/>
      </c>
      <c r="H1466" s="17">
        <f>IFERROR(IF(D1466="Sale",E1466*INDEX(Products!$E$6:$E$205,MATCH(C1466,Products!$B$6:$B$205,0)),IF(D1466="Return",-E1466*INDEX(Products!$E$6:$E$205,MATCH(C1466,Products!$B$6:$B$205,0)),"")),"")</f>
        <v/>
      </c>
      <c r="I1466" s="24" t="n"/>
      <c r="J1466" s="1" t="n"/>
    </row>
    <row r="1467">
      <c r="A1467" s="1" t="n"/>
      <c r="B1467" s="30" t="n"/>
      <c r="C1467" s="23" t="n"/>
      <c r="D1467" s="23" t="n"/>
      <c r="E1467" s="26" t="n"/>
      <c r="F1467" s="25" t="n"/>
      <c r="G1467" s="17">
        <f>IF(D1467="Sale",E1467*F1467,IF(D1467="Return",-E1467*F1467,""))</f>
        <v/>
      </c>
      <c r="H1467" s="17">
        <f>IFERROR(IF(D1467="Sale",E1467*INDEX(Products!$E$6:$E$205,MATCH(C1467,Products!$B$6:$B$205,0)),IF(D1467="Return",-E1467*INDEX(Products!$E$6:$E$205,MATCH(C1467,Products!$B$6:$B$205,0)),"")),"")</f>
        <v/>
      </c>
      <c r="I1467" s="24" t="n"/>
      <c r="J1467" s="1" t="n"/>
    </row>
    <row r="1468">
      <c r="A1468" s="1" t="n"/>
      <c r="B1468" s="30" t="n"/>
      <c r="C1468" s="23" t="n"/>
      <c r="D1468" s="23" t="n"/>
      <c r="E1468" s="26" t="n"/>
      <c r="F1468" s="25" t="n"/>
      <c r="G1468" s="17">
        <f>IF(D1468="Sale",E1468*F1468,IF(D1468="Return",-E1468*F1468,""))</f>
        <v/>
      </c>
      <c r="H1468" s="17">
        <f>IFERROR(IF(D1468="Sale",E1468*INDEX(Products!$E$6:$E$205,MATCH(C1468,Products!$B$6:$B$205,0)),IF(D1468="Return",-E1468*INDEX(Products!$E$6:$E$205,MATCH(C1468,Products!$B$6:$B$205,0)),"")),"")</f>
        <v/>
      </c>
      <c r="I1468" s="24" t="n"/>
      <c r="J1468" s="1" t="n"/>
    </row>
    <row r="1469">
      <c r="A1469" s="1" t="n"/>
      <c r="B1469" s="30" t="n"/>
      <c r="C1469" s="23" t="n"/>
      <c r="D1469" s="23" t="n"/>
      <c r="E1469" s="26" t="n"/>
      <c r="F1469" s="25" t="n"/>
      <c r="G1469" s="17">
        <f>IF(D1469="Sale",E1469*F1469,IF(D1469="Return",-E1469*F1469,""))</f>
        <v/>
      </c>
      <c r="H1469" s="17">
        <f>IFERROR(IF(D1469="Sale",E1469*INDEX(Products!$E$6:$E$205,MATCH(C1469,Products!$B$6:$B$205,0)),IF(D1469="Return",-E1469*INDEX(Products!$E$6:$E$205,MATCH(C1469,Products!$B$6:$B$205,0)),"")),"")</f>
        <v/>
      </c>
      <c r="I1469" s="24" t="n"/>
      <c r="J1469" s="1" t="n"/>
    </row>
    <row r="1470">
      <c r="A1470" s="1" t="n"/>
      <c r="B1470" s="30" t="n"/>
      <c r="C1470" s="23" t="n"/>
      <c r="D1470" s="23" t="n"/>
      <c r="E1470" s="26" t="n"/>
      <c r="F1470" s="25" t="n"/>
      <c r="G1470" s="17">
        <f>IF(D1470="Sale",E1470*F1470,IF(D1470="Return",-E1470*F1470,""))</f>
        <v/>
      </c>
      <c r="H1470" s="17">
        <f>IFERROR(IF(D1470="Sale",E1470*INDEX(Products!$E$6:$E$205,MATCH(C1470,Products!$B$6:$B$205,0)),IF(D1470="Return",-E1470*INDEX(Products!$E$6:$E$205,MATCH(C1470,Products!$B$6:$B$205,0)),"")),"")</f>
        <v/>
      </c>
      <c r="I1470" s="24" t="n"/>
      <c r="J1470" s="1" t="n"/>
    </row>
    <row r="1471">
      <c r="A1471" s="1" t="n"/>
      <c r="B1471" s="30" t="n"/>
      <c r="C1471" s="23" t="n"/>
      <c r="D1471" s="23" t="n"/>
      <c r="E1471" s="26" t="n"/>
      <c r="F1471" s="25" t="n"/>
      <c r="G1471" s="17">
        <f>IF(D1471="Sale",E1471*F1471,IF(D1471="Return",-E1471*F1471,""))</f>
        <v/>
      </c>
      <c r="H1471" s="17">
        <f>IFERROR(IF(D1471="Sale",E1471*INDEX(Products!$E$6:$E$205,MATCH(C1471,Products!$B$6:$B$205,0)),IF(D1471="Return",-E1471*INDEX(Products!$E$6:$E$205,MATCH(C1471,Products!$B$6:$B$205,0)),"")),"")</f>
        <v/>
      </c>
      <c r="I1471" s="24" t="n"/>
      <c r="J1471" s="1" t="n"/>
    </row>
    <row r="1472">
      <c r="A1472" s="1" t="n"/>
      <c r="B1472" s="30" t="n"/>
      <c r="C1472" s="23" t="n"/>
      <c r="D1472" s="23" t="n"/>
      <c r="E1472" s="26" t="n"/>
      <c r="F1472" s="25" t="n"/>
      <c r="G1472" s="17">
        <f>IF(D1472="Sale",E1472*F1472,IF(D1472="Return",-E1472*F1472,""))</f>
        <v/>
      </c>
      <c r="H1472" s="17">
        <f>IFERROR(IF(D1472="Sale",E1472*INDEX(Products!$E$6:$E$205,MATCH(C1472,Products!$B$6:$B$205,0)),IF(D1472="Return",-E1472*INDEX(Products!$E$6:$E$205,MATCH(C1472,Products!$B$6:$B$205,0)),"")),"")</f>
        <v/>
      </c>
      <c r="I1472" s="24" t="n"/>
      <c r="J1472" s="1" t="n"/>
    </row>
    <row r="1473">
      <c r="A1473" s="1" t="n"/>
      <c r="B1473" s="30" t="n"/>
      <c r="C1473" s="23" t="n"/>
      <c r="D1473" s="23" t="n"/>
      <c r="E1473" s="26" t="n"/>
      <c r="F1473" s="25" t="n"/>
      <c r="G1473" s="17">
        <f>IF(D1473="Sale",E1473*F1473,IF(D1473="Return",-E1473*F1473,""))</f>
        <v/>
      </c>
      <c r="H1473" s="17">
        <f>IFERROR(IF(D1473="Sale",E1473*INDEX(Products!$E$6:$E$205,MATCH(C1473,Products!$B$6:$B$205,0)),IF(D1473="Return",-E1473*INDEX(Products!$E$6:$E$205,MATCH(C1473,Products!$B$6:$B$205,0)),"")),"")</f>
        <v/>
      </c>
      <c r="I1473" s="24" t="n"/>
      <c r="J1473" s="1" t="n"/>
    </row>
    <row r="1474">
      <c r="A1474" s="1" t="n"/>
      <c r="B1474" s="30" t="n"/>
      <c r="C1474" s="23" t="n"/>
      <c r="D1474" s="23" t="n"/>
      <c r="E1474" s="26" t="n"/>
      <c r="F1474" s="25" t="n"/>
      <c r="G1474" s="17">
        <f>IF(D1474="Sale",E1474*F1474,IF(D1474="Return",-E1474*F1474,""))</f>
        <v/>
      </c>
      <c r="H1474" s="17">
        <f>IFERROR(IF(D1474="Sale",E1474*INDEX(Products!$E$6:$E$205,MATCH(C1474,Products!$B$6:$B$205,0)),IF(D1474="Return",-E1474*INDEX(Products!$E$6:$E$205,MATCH(C1474,Products!$B$6:$B$205,0)),"")),"")</f>
        <v/>
      </c>
      <c r="I1474" s="24" t="n"/>
      <c r="J1474" s="1" t="n"/>
    </row>
    <row r="1475">
      <c r="A1475" s="1" t="n"/>
      <c r="B1475" s="30" t="n"/>
      <c r="C1475" s="23" t="n"/>
      <c r="D1475" s="23" t="n"/>
      <c r="E1475" s="26" t="n"/>
      <c r="F1475" s="25" t="n"/>
      <c r="G1475" s="17">
        <f>IF(D1475="Sale",E1475*F1475,IF(D1475="Return",-E1475*F1475,""))</f>
        <v/>
      </c>
      <c r="H1475" s="17">
        <f>IFERROR(IF(D1475="Sale",E1475*INDEX(Products!$E$6:$E$205,MATCH(C1475,Products!$B$6:$B$205,0)),IF(D1475="Return",-E1475*INDEX(Products!$E$6:$E$205,MATCH(C1475,Products!$B$6:$B$205,0)),"")),"")</f>
        <v/>
      </c>
      <c r="I1475" s="24" t="n"/>
      <c r="J1475" s="1" t="n"/>
    </row>
    <row r="1476">
      <c r="A1476" s="1" t="n"/>
      <c r="B1476" s="30" t="n"/>
      <c r="C1476" s="23" t="n"/>
      <c r="D1476" s="23" t="n"/>
      <c r="E1476" s="26" t="n"/>
      <c r="F1476" s="25" t="n"/>
      <c r="G1476" s="17">
        <f>IF(D1476="Sale",E1476*F1476,IF(D1476="Return",-E1476*F1476,""))</f>
        <v/>
      </c>
      <c r="H1476" s="17">
        <f>IFERROR(IF(D1476="Sale",E1476*INDEX(Products!$E$6:$E$205,MATCH(C1476,Products!$B$6:$B$205,0)),IF(D1476="Return",-E1476*INDEX(Products!$E$6:$E$205,MATCH(C1476,Products!$B$6:$B$205,0)),"")),"")</f>
        <v/>
      </c>
      <c r="I1476" s="24" t="n"/>
      <c r="J1476" s="1" t="n"/>
    </row>
    <row r="1477">
      <c r="A1477" s="1" t="n"/>
      <c r="B1477" s="30" t="n"/>
      <c r="C1477" s="23" t="n"/>
      <c r="D1477" s="23" t="n"/>
      <c r="E1477" s="26" t="n"/>
      <c r="F1477" s="25" t="n"/>
      <c r="G1477" s="17">
        <f>IF(D1477="Sale",E1477*F1477,IF(D1477="Return",-E1477*F1477,""))</f>
        <v/>
      </c>
      <c r="H1477" s="17">
        <f>IFERROR(IF(D1477="Sale",E1477*INDEX(Products!$E$6:$E$205,MATCH(C1477,Products!$B$6:$B$205,0)),IF(D1477="Return",-E1477*INDEX(Products!$E$6:$E$205,MATCH(C1477,Products!$B$6:$B$205,0)),"")),"")</f>
        <v/>
      </c>
      <c r="I1477" s="24" t="n"/>
      <c r="J1477" s="1" t="n"/>
    </row>
    <row r="1478">
      <c r="A1478" s="1" t="n"/>
      <c r="B1478" s="30" t="n"/>
      <c r="C1478" s="23" t="n"/>
      <c r="D1478" s="23" t="n"/>
      <c r="E1478" s="26" t="n"/>
      <c r="F1478" s="25" t="n"/>
      <c r="G1478" s="17">
        <f>IF(D1478="Sale",E1478*F1478,IF(D1478="Return",-E1478*F1478,""))</f>
        <v/>
      </c>
      <c r="H1478" s="17">
        <f>IFERROR(IF(D1478="Sale",E1478*INDEX(Products!$E$6:$E$205,MATCH(C1478,Products!$B$6:$B$205,0)),IF(D1478="Return",-E1478*INDEX(Products!$E$6:$E$205,MATCH(C1478,Products!$B$6:$B$205,0)),"")),"")</f>
        <v/>
      </c>
      <c r="I1478" s="24" t="n"/>
      <c r="J1478" s="1" t="n"/>
    </row>
    <row r="1479">
      <c r="A1479" s="1" t="n"/>
      <c r="B1479" s="30" t="n"/>
      <c r="C1479" s="23" t="n"/>
      <c r="D1479" s="23" t="n"/>
      <c r="E1479" s="26" t="n"/>
      <c r="F1479" s="25" t="n"/>
      <c r="G1479" s="17">
        <f>IF(D1479="Sale",E1479*F1479,IF(D1479="Return",-E1479*F1479,""))</f>
        <v/>
      </c>
      <c r="H1479" s="17">
        <f>IFERROR(IF(D1479="Sale",E1479*INDEX(Products!$E$6:$E$205,MATCH(C1479,Products!$B$6:$B$205,0)),IF(D1479="Return",-E1479*INDEX(Products!$E$6:$E$205,MATCH(C1479,Products!$B$6:$B$205,0)),"")),"")</f>
        <v/>
      </c>
      <c r="I1479" s="24" t="n"/>
      <c r="J1479" s="1" t="n"/>
    </row>
    <row r="1480">
      <c r="A1480" s="1" t="n"/>
      <c r="B1480" s="30" t="n"/>
      <c r="C1480" s="23" t="n"/>
      <c r="D1480" s="23" t="n"/>
      <c r="E1480" s="26" t="n"/>
      <c r="F1480" s="25" t="n"/>
      <c r="G1480" s="17">
        <f>IF(D1480="Sale",E1480*F1480,IF(D1480="Return",-E1480*F1480,""))</f>
        <v/>
      </c>
      <c r="H1480" s="17">
        <f>IFERROR(IF(D1480="Sale",E1480*INDEX(Products!$E$6:$E$205,MATCH(C1480,Products!$B$6:$B$205,0)),IF(D1480="Return",-E1480*INDEX(Products!$E$6:$E$205,MATCH(C1480,Products!$B$6:$B$205,0)),"")),"")</f>
        <v/>
      </c>
      <c r="I1480" s="24" t="n"/>
      <c r="J1480" s="1" t="n"/>
    </row>
    <row r="1481">
      <c r="A1481" s="1" t="n"/>
      <c r="B1481" s="30" t="n"/>
      <c r="C1481" s="23" t="n"/>
      <c r="D1481" s="23" t="n"/>
      <c r="E1481" s="26" t="n"/>
      <c r="F1481" s="25" t="n"/>
      <c r="G1481" s="17">
        <f>IF(D1481="Sale",E1481*F1481,IF(D1481="Return",-E1481*F1481,""))</f>
        <v/>
      </c>
      <c r="H1481" s="17">
        <f>IFERROR(IF(D1481="Sale",E1481*INDEX(Products!$E$6:$E$205,MATCH(C1481,Products!$B$6:$B$205,0)),IF(D1481="Return",-E1481*INDEX(Products!$E$6:$E$205,MATCH(C1481,Products!$B$6:$B$205,0)),"")),"")</f>
        <v/>
      </c>
      <c r="I1481" s="24" t="n"/>
      <c r="J1481" s="1" t="n"/>
    </row>
    <row r="1482">
      <c r="A1482" s="1" t="n"/>
      <c r="B1482" s="30" t="n"/>
      <c r="C1482" s="23" t="n"/>
      <c r="D1482" s="23" t="n"/>
      <c r="E1482" s="26" t="n"/>
      <c r="F1482" s="25" t="n"/>
      <c r="G1482" s="17">
        <f>IF(D1482="Sale",E1482*F1482,IF(D1482="Return",-E1482*F1482,""))</f>
        <v/>
      </c>
      <c r="H1482" s="17">
        <f>IFERROR(IF(D1482="Sale",E1482*INDEX(Products!$E$6:$E$205,MATCH(C1482,Products!$B$6:$B$205,0)),IF(D1482="Return",-E1482*INDEX(Products!$E$6:$E$205,MATCH(C1482,Products!$B$6:$B$205,0)),"")),"")</f>
        <v/>
      </c>
      <c r="I1482" s="24" t="n"/>
      <c r="J1482" s="1" t="n"/>
    </row>
    <row r="1483">
      <c r="A1483" s="1" t="n"/>
      <c r="B1483" s="30" t="n"/>
      <c r="C1483" s="23" t="n"/>
      <c r="D1483" s="23" t="n"/>
      <c r="E1483" s="26" t="n"/>
      <c r="F1483" s="25" t="n"/>
      <c r="G1483" s="17">
        <f>IF(D1483="Sale",E1483*F1483,IF(D1483="Return",-E1483*F1483,""))</f>
        <v/>
      </c>
      <c r="H1483" s="17">
        <f>IFERROR(IF(D1483="Sale",E1483*INDEX(Products!$E$6:$E$205,MATCH(C1483,Products!$B$6:$B$205,0)),IF(D1483="Return",-E1483*INDEX(Products!$E$6:$E$205,MATCH(C1483,Products!$B$6:$B$205,0)),"")),"")</f>
        <v/>
      </c>
      <c r="I1483" s="24" t="n"/>
      <c r="J1483" s="1" t="n"/>
    </row>
    <row r="1484">
      <c r="A1484" s="1" t="n"/>
      <c r="B1484" s="30" t="n"/>
      <c r="C1484" s="23" t="n"/>
      <c r="D1484" s="23" t="n"/>
      <c r="E1484" s="26" t="n"/>
      <c r="F1484" s="25" t="n"/>
      <c r="G1484" s="17">
        <f>IF(D1484="Sale",E1484*F1484,IF(D1484="Return",-E1484*F1484,""))</f>
        <v/>
      </c>
      <c r="H1484" s="17">
        <f>IFERROR(IF(D1484="Sale",E1484*INDEX(Products!$E$6:$E$205,MATCH(C1484,Products!$B$6:$B$205,0)),IF(D1484="Return",-E1484*INDEX(Products!$E$6:$E$205,MATCH(C1484,Products!$B$6:$B$205,0)),"")),"")</f>
        <v/>
      </c>
      <c r="I1484" s="24" t="n"/>
      <c r="J1484" s="1" t="n"/>
    </row>
    <row r="1485">
      <c r="A1485" s="1" t="n"/>
      <c r="B1485" s="30" t="n"/>
      <c r="C1485" s="23" t="n"/>
      <c r="D1485" s="23" t="n"/>
      <c r="E1485" s="26" t="n"/>
      <c r="F1485" s="25" t="n"/>
      <c r="G1485" s="17">
        <f>IF(D1485="Sale",E1485*F1485,IF(D1485="Return",-E1485*F1485,""))</f>
        <v/>
      </c>
      <c r="H1485" s="17">
        <f>IFERROR(IF(D1485="Sale",E1485*INDEX(Products!$E$6:$E$205,MATCH(C1485,Products!$B$6:$B$205,0)),IF(D1485="Return",-E1485*INDEX(Products!$E$6:$E$205,MATCH(C1485,Products!$B$6:$B$205,0)),"")),"")</f>
        <v/>
      </c>
      <c r="I1485" s="24" t="n"/>
      <c r="J1485" s="1" t="n"/>
    </row>
    <row r="1486">
      <c r="A1486" s="1" t="n"/>
      <c r="B1486" s="30" t="n"/>
      <c r="C1486" s="23" t="n"/>
      <c r="D1486" s="23" t="n"/>
      <c r="E1486" s="26" t="n"/>
      <c r="F1486" s="25" t="n"/>
      <c r="G1486" s="17">
        <f>IF(D1486="Sale",E1486*F1486,IF(D1486="Return",-E1486*F1486,""))</f>
        <v/>
      </c>
      <c r="H1486" s="17">
        <f>IFERROR(IF(D1486="Sale",E1486*INDEX(Products!$E$6:$E$205,MATCH(C1486,Products!$B$6:$B$205,0)),IF(D1486="Return",-E1486*INDEX(Products!$E$6:$E$205,MATCH(C1486,Products!$B$6:$B$205,0)),"")),"")</f>
        <v/>
      </c>
      <c r="I1486" s="24" t="n"/>
      <c r="J1486" s="1" t="n"/>
    </row>
    <row r="1487">
      <c r="A1487" s="1" t="n"/>
      <c r="B1487" s="30" t="n"/>
      <c r="C1487" s="23" t="n"/>
      <c r="D1487" s="23" t="n"/>
      <c r="E1487" s="26" t="n"/>
      <c r="F1487" s="25" t="n"/>
      <c r="G1487" s="17">
        <f>IF(D1487="Sale",E1487*F1487,IF(D1487="Return",-E1487*F1487,""))</f>
        <v/>
      </c>
      <c r="H1487" s="17">
        <f>IFERROR(IF(D1487="Sale",E1487*INDEX(Products!$E$6:$E$205,MATCH(C1487,Products!$B$6:$B$205,0)),IF(D1487="Return",-E1487*INDEX(Products!$E$6:$E$205,MATCH(C1487,Products!$B$6:$B$205,0)),"")),"")</f>
        <v/>
      </c>
      <c r="I1487" s="24" t="n"/>
      <c r="J1487" s="1" t="n"/>
    </row>
    <row r="1488">
      <c r="A1488" s="1" t="n"/>
      <c r="B1488" s="30" t="n"/>
      <c r="C1488" s="23" t="n"/>
      <c r="D1488" s="23" t="n"/>
      <c r="E1488" s="26" t="n"/>
      <c r="F1488" s="25" t="n"/>
      <c r="G1488" s="17">
        <f>IF(D1488="Sale",E1488*F1488,IF(D1488="Return",-E1488*F1488,""))</f>
        <v/>
      </c>
      <c r="H1488" s="17">
        <f>IFERROR(IF(D1488="Sale",E1488*INDEX(Products!$E$6:$E$205,MATCH(C1488,Products!$B$6:$B$205,0)),IF(D1488="Return",-E1488*INDEX(Products!$E$6:$E$205,MATCH(C1488,Products!$B$6:$B$205,0)),"")),"")</f>
        <v/>
      </c>
      <c r="I1488" s="24" t="n"/>
      <c r="J1488" s="1" t="n"/>
    </row>
    <row r="1489">
      <c r="A1489" s="1" t="n"/>
      <c r="B1489" s="30" t="n"/>
      <c r="C1489" s="23" t="n"/>
      <c r="D1489" s="23" t="n"/>
      <c r="E1489" s="26" t="n"/>
      <c r="F1489" s="25" t="n"/>
      <c r="G1489" s="17">
        <f>IF(D1489="Sale",E1489*F1489,IF(D1489="Return",-E1489*F1489,""))</f>
        <v/>
      </c>
      <c r="H1489" s="17">
        <f>IFERROR(IF(D1489="Sale",E1489*INDEX(Products!$E$6:$E$205,MATCH(C1489,Products!$B$6:$B$205,0)),IF(D1489="Return",-E1489*INDEX(Products!$E$6:$E$205,MATCH(C1489,Products!$B$6:$B$205,0)),"")),"")</f>
        <v/>
      </c>
      <c r="I1489" s="24" t="n"/>
      <c r="J1489" s="1" t="n"/>
    </row>
    <row r="1490">
      <c r="A1490" s="1" t="n"/>
      <c r="B1490" s="30" t="n"/>
      <c r="C1490" s="23" t="n"/>
      <c r="D1490" s="23" t="n"/>
      <c r="E1490" s="26" t="n"/>
      <c r="F1490" s="25" t="n"/>
      <c r="G1490" s="17">
        <f>IF(D1490="Sale",E1490*F1490,IF(D1490="Return",-E1490*F1490,""))</f>
        <v/>
      </c>
      <c r="H1490" s="17">
        <f>IFERROR(IF(D1490="Sale",E1490*INDEX(Products!$E$6:$E$205,MATCH(C1490,Products!$B$6:$B$205,0)),IF(D1490="Return",-E1490*INDEX(Products!$E$6:$E$205,MATCH(C1490,Products!$B$6:$B$205,0)),"")),"")</f>
        <v/>
      </c>
      <c r="I1490" s="24" t="n"/>
      <c r="J1490" s="1" t="n"/>
    </row>
    <row r="1491">
      <c r="A1491" s="1" t="n"/>
      <c r="B1491" s="30" t="n"/>
      <c r="C1491" s="23" t="n"/>
      <c r="D1491" s="23" t="n"/>
      <c r="E1491" s="26" t="n"/>
      <c r="F1491" s="25" t="n"/>
      <c r="G1491" s="17">
        <f>IF(D1491="Sale",E1491*F1491,IF(D1491="Return",-E1491*F1491,""))</f>
        <v/>
      </c>
      <c r="H1491" s="17">
        <f>IFERROR(IF(D1491="Sale",E1491*INDEX(Products!$E$6:$E$205,MATCH(C1491,Products!$B$6:$B$205,0)),IF(D1491="Return",-E1491*INDEX(Products!$E$6:$E$205,MATCH(C1491,Products!$B$6:$B$205,0)),"")),"")</f>
        <v/>
      </c>
      <c r="I1491" s="24" t="n"/>
      <c r="J1491" s="1" t="n"/>
    </row>
    <row r="1492">
      <c r="A1492" s="1" t="n"/>
      <c r="B1492" s="30" t="n"/>
      <c r="C1492" s="23" t="n"/>
      <c r="D1492" s="23" t="n"/>
      <c r="E1492" s="26" t="n"/>
      <c r="F1492" s="25" t="n"/>
      <c r="G1492" s="17">
        <f>IF(D1492="Sale",E1492*F1492,IF(D1492="Return",-E1492*F1492,""))</f>
        <v/>
      </c>
      <c r="H1492" s="17">
        <f>IFERROR(IF(D1492="Sale",E1492*INDEX(Products!$E$6:$E$205,MATCH(C1492,Products!$B$6:$B$205,0)),IF(D1492="Return",-E1492*INDEX(Products!$E$6:$E$205,MATCH(C1492,Products!$B$6:$B$205,0)),"")),"")</f>
        <v/>
      </c>
      <c r="I1492" s="24" t="n"/>
      <c r="J1492" s="1" t="n"/>
    </row>
    <row r="1493">
      <c r="A1493" s="1" t="n"/>
      <c r="B1493" s="30" t="n"/>
      <c r="C1493" s="23" t="n"/>
      <c r="D1493" s="23" t="n"/>
      <c r="E1493" s="26" t="n"/>
      <c r="F1493" s="25" t="n"/>
      <c r="G1493" s="17">
        <f>IF(D1493="Sale",E1493*F1493,IF(D1493="Return",-E1493*F1493,""))</f>
        <v/>
      </c>
      <c r="H1493" s="17">
        <f>IFERROR(IF(D1493="Sale",E1493*INDEX(Products!$E$6:$E$205,MATCH(C1493,Products!$B$6:$B$205,0)),IF(D1493="Return",-E1493*INDEX(Products!$E$6:$E$205,MATCH(C1493,Products!$B$6:$B$205,0)),"")),"")</f>
        <v/>
      </c>
      <c r="I1493" s="24" t="n"/>
      <c r="J1493" s="1" t="n"/>
    </row>
    <row r="1494">
      <c r="A1494" s="1" t="n"/>
      <c r="B1494" s="30" t="n"/>
      <c r="C1494" s="23" t="n"/>
      <c r="D1494" s="23" t="n"/>
      <c r="E1494" s="26" t="n"/>
      <c r="F1494" s="25" t="n"/>
      <c r="G1494" s="17">
        <f>IF(D1494="Sale",E1494*F1494,IF(D1494="Return",-E1494*F1494,""))</f>
        <v/>
      </c>
      <c r="H1494" s="17">
        <f>IFERROR(IF(D1494="Sale",E1494*INDEX(Products!$E$6:$E$205,MATCH(C1494,Products!$B$6:$B$205,0)),IF(D1494="Return",-E1494*INDEX(Products!$E$6:$E$205,MATCH(C1494,Products!$B$6:$B$205,0)),"")),"")</f>
        <v/>
      </c>
      <c r="I1494" s="24" t="n"/>
      <c r="J1494" s="1" t="n"/>
    </row>
    <row r="1495">
      <c r="A1495" s="1" t="n"/>
      <c r="B1495" s="30" t="n"/>
      <c r="C1495" s="23" t="n"/>
      <c r="D1495" s="23" t="n"/>
      <c r="E1495" s="26" t="n"/>
      <c r="F1495" s="25" t="n"/>
      <c r="G1495" s="17">
        <f>IF(D1495="Sale",E1495*F1495,IF(D1495="Return",-E1495*F1495,""))</f>
        <v/>
      </c>
      <c r="H1495" s="17">
        <f>IFERROR(IF(D1495="Sale",E1495*INDEX(Products!$E$6:$E$205,MATCH(C1495,Products!$B$6:$B$205,0)),IF(D1495="Return",-E1495*INDEX(Products!$E$6:$E$205,MATCH(C1495,Products!$B$6:$B$205,0)),"")),"")</f>
        <v/>
      </c>
      <c r="I1495" s="24" t="n"/>
      <c r="J1495" s="1" t="n"/>
    </row>
    <row r="1496">
      <c r="A1496" s="1" t="n"/>
      <c r="B1496" s="30" t="n"/>
      <c r="C1496" s="23" t="n"/>
      <c r="D1496" s="23" t="n"/>
      <c r="E1496" s="26" t="n"/>
      <c r="F1496" s="25" t="n"/>
      <c r="G1496" s="17">
        <f>IF(D1496="Sale",E1496*F1496,IF(D1496="Return",-E1496*F1496,""))</f>
        <v/>
      </c>
      <c r="H1496" s="17">
        <f>IFERROR(IF(D1496="Sale",E1496*INDEX(Products!$E$6:$E$205,MATCH(C1496,Products!$B$6:$B$205,0)),IF(D1496="Return",-E1496*INDEX(Products!$E$6:$E$205,MATCH(C1496,Products!$B$6:$B$205,0)),"")),"")</f>
        <v/>
      </c>
      <c r="I1496" s="24" t="n"/>
      <c r="J1496" s="1" t="n"/>
    </row>
    <row r="1497">
      <c r="A1497" s="1" t="n"/>
      <c r="B1497" s="30" t="n"/>
      <c r="C1497" s="23" t="n"/>
      <c r="D1497" s="23" t="n"/>
      <c r="E1497" s="26" t="n"/>
      <c r="F1497" s="25" t="n"/>
      <c r="G1497" s="17">
        <f>IF(D1497="Sale",E1497*F1497,IF(D1497="Return",-E1497*F1497,""))</f>
        <v/>
      </c>
      <c r="H1497" s="17">
        <f>IFERROR(IF(D1497="Sale",E1497*INDEX(Products!$E$6:$E$205,MATCH(C1497,Products!$B$6:$B$205,0)),IF(D1497="Return",-E1497*INDEX(Products!$E$6:$E$205,MATCH(C1497,Products!$B$6:$B$205,0)),"")),"")</f>
        <v/>
      </c>
      <c r="I1497" s="24" t="n"/>
      <c r="J1497" s="1" t="n"/>
    </row>
    <row r="1498">
      <c r="A1498" s="1" t="n"/>
      <c r="B1498" s="30" t="n"/>
      <c r="C1498" s="23" t="n"/>
      <c r="D1498" s="23" t="n"/>
      <c r="E1498" s="26" t="n"/>
      <c r="F1498" s="25" t="n"/>
      <c r="G1498" s="17">
        <f>IF(D1498="Sale",E1498*F1498,IF(D1498="Return",-E1498*F1498,""))</f>
        <v/>
      </c>
      <c r="H1498" s="17">
        <f>IFERROR(IF(D1498="Sale",E1498*INDEX(Products!$E$6:$E$205,MATCH(C1498,Products!$B$6:$B$205,0)),IF(D1498="Return",-E1498*INDEX(Products!$E$6:$E$205,MATCH(C1498,Products!$B$6:$B$205,0)),"")),"")</f>
        <v/>
      </c>
      <c r="I1498" s="24" t="n"/>
      <c r="J1498" s="1" t="n"/>
    </row>
    <row r="1499">
      <c r="A1499" s="1" t="n"/>
      <c r="B1499" s="30" t="n"/>
      <c r="C1499" s="23" t="n"/>
      <c r="D1499" s="23" t="n"/>
      <c r="E1499" s="26" t="n"/>
      <c r="F1499" s="25" t="n"/>
      <c r="G1499" s="17">
        <f>IF(D1499="Sale",E1499*F1499,IF(D1499="Return",-E1499*F1499,""))</f>
        <v/>
      </c>
      <c r="H1499" s="17">
        <f>IFERROR(IF(D1499="Sale",E1499*INDEX(Products!$E$6:$E$205,MATCH(C1499,Products!$B$6:$B$205,0)),IF(D1499="Return",-E1499*INDEX(Products!$E$6:$E$205,MATCH(C1499,Products!$B$6:$B$205,0)),"")),"")</f>
        <v/>
      </c>
      <c r="I1499" s="24" t="n"/>
      <c r="J1499" s="1" t="n"/>
    </row>
    <row r="1500">
      <c r="A1500" s="1" t="n"/>
      <c r="B1500" s="30" t="n"/>
      <c r="C1500" s="23" t="n"/>
      <c r="D1500" s="23" t="n"/>
      <c r="E1500" s="26" t="n"/>
      <c r="F1500" s="25" t="n"/>
      <c r="G1500" s="17">
        <f>IF(D1500="Sale",E1500*F1500,IF(D1500="Return",-E1500*F1500,""))</f>
        <v/>
      </c>
      <c r="H1500" s="17">
        <f>IFERROR(IF(D1500="Sale",E1500*INDEX(Products!$E$6:$E$205,MATCH(C1500,Products!$B$6:$B$205,0)),IF(D1500="Return",-E1500*INDEX(Products!$E$6:$E$205,MATCH(C1500,Products!$B$6:$B$205,0)),"")),"")</f>
        <v/>
      </c>
      <c r="I1500" s="24" t="n"/>
      <c r="J1500" s="1" t="n"/>
    </row>
    <row r="1501">
      <c r="A1501" s="1" t="n"/>
      <c r="B1501" s="30" t="n"/>
      <c r="C1501" s="23" t="n"/>
      <c r="D1501" s="23" t="n"/>
      <c r="E1501" s="26" t="n"/>
      <c r="F1501" s="25" t="n"/>
      <c r="G1501" s="17">
        <f>IF(D1501="Sale",E1501*F1501,IF(D1501="Return",-E1501*F1501,""))</f>
        <v/>
      </c>
      <c r="H1501" s="17">
        <f>IFERROR(IF(D1501="Sale",E1501*INDEX(Products!$E$6:$E$205,MATCH(C1501,Products!$B$6:$B$205,0)),IF(D1501="Return",-E1501*INDEX(Products!$E$6:$E$205,MATCH(C1501,Products!$B$6:$B$205,0)),"")),"")</f>
        <v/>
      </c>
      <c r="I1501" s="24" t="n"/>
      <c r="J1501" s="1" t="n"/>
    </row>
    <row r="1502">
      <c r="A1502" s="1" t="n"/>
      <c r="B1502" s="30" t="n"/>
      <c r="C1502" s="23" t="n"/>
      <c r="D1502" s="23" t="n"/>
      <c r="E1502" s="26" t="n"/>
      <c r="F1502" s="25" t="n"/>
      <c r="G1502" s="17">
        <f>IF(D1502="Sale",E1502*F1502,IF(D1502="Return",-E1502*F1502,""))</f>
        <v/>
      </c>
      <c r="H1502" s="17">
        <f>IFERROR(IF(D1502="Sale",E1502*INDEX(Products!$E$6:$E$205,MATCH(C1502,Products!$B$6:$B$205,0)),IF(D1502="Return",-E1502*INDEX(Products!$E$6:$E$205,MATCH(C1502,Products!$B$6:$B$205,0)),"")),"")</f>
        <v/>
      </c>
      <c r="I1502" s="24" t="n"/>
      <c r="J1502" s="1" t="n"/>
    </row>
    <row r="1503">
      <c r="A1503" s="1" t="n"/>
      <c r="B1503" s="30" t="n"/>
      <c r="C1503" s="23" t="n"/>
      <c r="D1503" s="23" t="n"/>
      <c r="E1503" s="26" t="n"/>
      <c r="F1503" s="25" t="n"/>
      <c r="G1503" s="17">
        <f>IF(D1503="Sale",E1503*F1503,IF(D1503="Return",-E1503*F1503,""))</f>
        <v/>
      </c>
      <c r="H1503" s="17">
        <f>IFERROR(IF(D1503="Sale",E1503*INDEX(Products!$E$6:$E$205,MATCH(C1503,Products!$B$6:$B$205,0)),IF(D1503="Return",-E1503*INDEX(Products!$E$6:$E$205,MATCH(C1503,Products!$B$6:$B$205,0)),"")),"")</f>
        <v/>
      </c>
      <c r="I1503" s="24" t="n"/>
      <c r="J1503" s="1" t="n"/>
    </row>
    <row r="1504">
      <c r="A1504" s="1" t="n"/>
      <c r="B1504" s="30" t="n"/>
      <c r="C1504" s="23" t="n"/>
      <c r="D1504" s="23" t="n"/>
      <c r="E1504" s="26" t="n"/>
      <c r="F1504" s="25" t="n"/>
      <c r="G1504" s="17">
        <f>IF(D1504="Sale",E1504*F1504,IF(D1504="Return",-E1504*F1504,""))</f>
        <v/>
      </c>
      <c r="H1504" s="17">
        <f>IFERROR(IF(D1504="Sale",E1504*INDEX(Products!$E$6:$E$205,MATCH(C1504,Products!$B$6:$B$205,0)),IF(D1504="Return",-E1504*INDEX(Products!$E$6:$E$205,MATCH(C1504,Products!$B$6:$B$205,0)),"")),"")</f>
        <v/>
      </c>
      <c r="I1504" s="24" t="n"/>
      <c r="J1504" s="1" t="n"/>
    </row>
    <row r="1505">
      <c r="A1505" s="1" t="n"/>
      <c r="B1505" s="30" t="n"/>
      <c r="C1505" s="23" t="n"/>
      <c r="D1505" s="23" t="n"/>
      <c r="E1505" s="26" t="n"/>
      <c r="F1505" s="25" t="n"/>
      <c r="G1505" s="17">
        <f>IF(D1505="Sale",E1505*F1505,IF(D1505="Return",-E1505*F1505,""))</f>
        <v/>
      </c>
      <c r="H1505" s="17">
        <f>IFERROR(IF(D1505="Sale",E1505*INDEX(Products!$E$6:$E$205,MATCH(C1505,Products!$B$6:$B$205,0)),IF(D1505="Return",-E1505*INDEX(Products!$E$6:$E$205,MATCH(C1505,Products!$B$6:$B$205,0)),"")),"")</f>
        <v/>
      </c>
      <c r="I1505" s="24" t="n"/>
      <c r="J1505" s="1" t="n"/>
    </row>
    <row r="1506">
      <c r="A1506" s="1" t="n"/>
      <c r="B1506" s="30" t="n"/>
      <c r="C1506" s="23" t="n"/>
      <c r="D1506" s="23" t="n"/>
      <c r="E1506" s="26" t="n"/>
      <c r="F1506" s="25" t="n"/>
      <c r="G1506" s="17">
        <f>IF(D1506="Sale",E1506*F1506,IF(D1506="Return",-E1506*F1506,""))</f>
        <v/>
      </c>
      <c r="H1506" s="17">
        <f>IFERROR(IF(D1506="Sale",E1506*INDEX(Products!$E$6:$E$205,MATCH(C1506,Products!$B$6:$B$205,0)),IF(D1506="Return",-E1506*INDEX(Products!$E$6:$E$205,MATCH(C1506,Products!$B$6:$B$205,0)),"")),"")</f>
        <v/>
      </c>
      <c r="I1506" s="24" t="n"/>
      <c r="J1506" s="1" t="n"/>
    </row>
    <row r="1507">
      <c r="A1507" s="1" t="n"/>
      <c r="B1507" s="30" t="n"/>
      <c r="C1507" s="23" t="n"/>
      <c r="D1507" s="23" t="n"/>
      <c r="E1507" s="26" t="n"/>
      <c r="F1507" s="25" t="n"/>
      <c r="G1507" s="17">
        <f>IF(D1507="Sale",E1507*F1507,IF(D1507="Return",-E1507*F1507,""))</f>
        <v/>
      </c>
      <c r="H1507" s="17">
        <f>IFERROR(IF(D1507="Sale",E1507*INDEX(Products!$E$6:$E$205,MATCH(C1507,Products!$B$6:$B$205,0)),IF(D1507="Return",-E1507*INDEX(Products!$E$6:$E$205,MATCH(C1507,Products!$B$6:$B$205,0)),"")),"")</f>
        <v/>
      </c>
      <c r="I1507" s="24" t="n"/>
      <c r="J1507" s="1" t="n"/>
    </row>
    <row r="1508">
      <c r="A1508" s="1" t="n"/>
      <c r="B1508" s="30" t="n"/>
      <c r="C1508" s="23" t="n"/>
      <c r="D1508" s="23" t="n"/>
      <c r="E1508" s="26" t="n"/>
      <c r="F1508" s="25" t="n"/>
      <c r="G1508" s="17">
        <f>IF(D1508="Sale",E1508*F1508,IF(D1508="Return",-E1508*F1508,""))</f>
        <v/>
      </c>
      <c r="H1508" s="17">
        <f>IFERROR(IF(D1508="Sale",E1508*INDEX(Products!$E$6:$E$205,MATCH(C1508,Products!$B$6:$B$205,0)),IF(D1508="Return",-E1508*INDEX(Products!$E$6:$E$205,MATCH(C1508,Products!$B$6:$B$205,0)),"")),"")</f>
        <v/>
      </c>
      <c r="I1508" s="24" t="n"/>
      <c r="J1508" s="1" t="n"/>
    </row>
    <row r="1509">
      <c r="A1509" s="1" t="n"/>
      <c r="B1509" s="30" t="n"/>
      <c r="C1509" s="23" t="n"/>
      <c r="D1509" s="23" t="n"/>
      <c r="E1509" s="26" t="n"/>
      <c r="F1509" s="25" t="n"/>
      <c r="G1509" s="17">
        <f>IF(D1509="Sale",E1509*F1509,IF(D1509="Return",-E1509*F1509,""))</f>
        <v/>
      </c>
      <c r="H1509" s="17">
        <f>IFERROR(IF(D1509="Sale",E1509*INDEX(Products!$E$6:$E$205,MATCH(C1509,Products!$B$6:$B$205,0)),IF(D1509="Return",-E1509*INDEX(Products!$E$6:$E$205,MATCH(C1509,Products!$B$6:$B$205,0)),"")),"")</f>
        <v/>
      </c>
      <c r="I1509" s="24" t="n"/>
      <c r="J1509" s="1" t="n"/>
    </row>
    <row r="1510">
      <c r="A1510" s="1" t="n"/>
      <c r="B1510" s="30" t="n"/>
      <c r="C1510" s="23" t="n"/>
      <c r="D1510" s="23" t="n"/>
      <c r="E1510" s="26" t="n"/>
      <c r="F1510" s="25" t="n"/>
      <c r="G1510" s="17">
        <f>IF(D1510="Sale",E1510*F1510,IF(D1510="Return",-E1510*F1510,""))</f>
        <v/>
      </c>
      <c r="H1510" s="17">
        <f>IFERROR(IF(D1510="Sale",E1510*INDEX(Products!$E$6:$E$205,MATCH(C1510,Products!$B$6:$B$205,0)),IF(D1510="Return",-E1510*INDEX(Products!$E$6:$E$205,MATCH(C1510,Products!$B$6:$B$205,0)),"")),"")</f>
        <v/>
      </c>
      <c r="I1510" s="24" t="n"/>
      <c r="J1510" s="1" t="n"/>
    </row>
    <row r="1511">
      <c r="A1511" s="1" t="n"/>
      <c r="B1511" s="30" t="n"/>
      <c r="C1511" s="23" t="n"/>
      <c r="D1511" s="23" t="n"/>
      <c r="E1511" s="26" t="n"/>
      <c r="F1511" s="25" t="n"/>
      <c r="G1511" s="17">
        <f>IF(D1511="Sale",E1511*F1511,IF(D1511="Return",-E1511*F1511,""))</f>
        <v/>
      </c>
      <c r="H1511" s="17">
        <f>IFERROR(IF(D1511="Sale",E1511*INDEX(Products!$E$6:$E$205,MATCH(C1511,Products!$B$6:$B$205,0)),IF(D1511="Return",-E1511*INDEX(Products!$E$6:$E$205,MATCH(C1511,Products!$B$6:$B$205,0)),"")),"")</f>
        <v/>
      </c>
      <c r="I1511" s="24" t="n"/>
      <c r="J1511" s="1" t="n"/>
    </row>
    <row r="1512">
      <c r="A1512" s="1" t="n"/>
      <c r="B1512" s="30" t="n"/>
      <c r="C1512" s="23" t="n"/>
      <c r="D1512" s="23" t="n"/>
      <c r="E1512" s="26" t="n"/>
      <c r="F1512" s="25" t="n"/>
      <c r="G1512" s="17">
        <f>IF(D1512="Sale",E1512*F1512,IF(D1512="Return",-E1512*F1512,""))</f>
        <v/>
      </c>
      <c r="H1512" s="17">
        <f>IFERROR(IF(D1512="Sale",E1512*INDEX(Products!$E$6:$E$205,MATCH(C1512,Products!$B$6:$B$205,0)),IF(D1512="Return",-E1512*INDEX(Products!$E$6:$E$205,MATCH(C1512,Products!$B$6:$B$205,0)),"")),"")</f>
        <v/>
      </c>
      <c r="I1512" s="24" t="n"/>
      <c r="J1512" s="1" t="n"/>
    </row>
    <row r="1513">
      <c r="A1513" s="1" t="n"/>
      <c r="B1513" s="30" t="n"/>
      <c r="C1513" s="23" t="n"/>
      <c r="D1513" s="23" t="n"/>
      <c r="E1513" s="26" t="n"/>
      <c r="F1513" s="25" t="n"/>
      <c r="G1513" s="17">
        <f>IF(D1513="Sale",E1513*F1513,IF(D1513="Return",-E1513*F1513,""))</f>
        <v/>
      </c>
      <c r="H1513" s="17">
        <f>IFERROR(IF(D1513="Sale",E1513*INDEX(Products!$E$6:$E$205,MATCH(C1513,Products!$B$6:$B$205,0)),IF(D1513="Return",-E1513*INDEX(Products!$E$6:$E$205,MATCH(C1513,Products!$B$6:$B$205,0)),"")),"")</f>
        <v/>
      </c>
      <c r="I1513" s="24" t="n"/>
      <c r="J1513" s="1" t="n"/>
    </row>
    <row r="1514">
      <c r="A1514" s="1" t="n"/>
      <c r="B1514" s="30" t="n"/>
      <c r="C1514" s="23" t="n"/>
      <c r="D1514" s="23" t="n"/>
      <c r="E1514" s="26" t="n"/>
      <c r="F1514" s="25" t="n"/>
      <c r="G1514" s="17">
        <f>IF(D1514="Sale",E1514*F1514,IF(D1514="Return",-E1514*F1514,""))</f>
        <v/>
      </c>
      <c r="H1514" s="17">
        <f>IFERROR(IF(D1514="Sale",E1514*INDEX(Products!$E$6:$E$205,MATCH(C1514,Products!$B$6:$B$205,0)),IF(D1514="Return",-E1514*INDEX(Products!$E$6:$E$205,MATCH(C1514,Products!$B$6:$B$205,0)),"")),"")</f>
        <v/>
      </c>
      <c r="I1514" s="24" t="n"/>
      <c r="J1514" s="1" t="n"/>
    </row>
    <row r="1515">
      <c r="A1515" s="1" t="n"/>
      <c r="B1515" s="30" t="n"/>
      <c r="C1515" s="23" t="n"/>
      <c r="D1515" s="23" t="n"/>
      <c r="E1515" s="26" t="n"/>
      <c r="F1515" s="25" t="n"/>
      <c r="G1515" s="17">
        <f>IF(D1515="Sale",E1515*F1515,IF(D1515="Return",-E1515*F1515,""))</f>
        <v/>
      </c>
      <c r="H1515" s="17">
        <f>IFERROR(IF(D1515="Sale",E1515*INDEX(Products!$E$6:$E$205,MATCH(C1515,Products!$B$6:$B$205,0)),IF(D1515="Return",-E1515*INDEX(Products!$E$6:$E$205,MATCH(C1515,Products!$B$6:$B$205,0)),"")),"")</f>
        <v/>
      </c>
      <c r="I1515" s="24" t="n"/>
      <c r="J1515" s="1" t="n"/>
    </row>
    <row r="1516">
      <c r="A1516" s="1" t="n"/>
      <c r="B1516" s="30" t="n"/>
      <c r="C1516" s="23" t="n"/>
      <c r="D1516" s="23" t="n"/>
      <c r="E1516" s="26" t="n"/>
      <c r="F1516" s="25" t="n"/>
      <c r="G1516" s="17">
        <f>IF(D1516="Sale",E1516*F1516,IF(D1516="Return",-E1516*F1516,""))</f>
        <v/>
      </c>
      <c r="H1516" s="17">
        <f>IFERROR(IF(D1516="Sale",E1516*INDEX(Products!$E$6:$E$205,MATCH(C1516,Products!$B$6:$B$205,0)),IF(D1516="Return",-E1516*INDEX(Products!$E$6:$E$205,MATCH(C1516,Products!$B$6:$B$205,0)),"")),"")</f>
        <v/>
      </c>
      <c r="I1516" s="24" t="n"/>
      <c r="J1516" s="1" t="n"/>
    </row>
    <row r="1517">
      <c r="A1517" s="1" t="n"/>
      <c r="B1517" s="30" t="n"/>
      <c r="C1517" s="23" t="n"/>
      <c r="D1517" s="23" t="n"/>
      <c r="E1517" s="26" t="n"/>
      <c r="F1517" s="25" t="n"/>
      <c r="G1517" s="17">
        <f>IF(D1517="Sale",E1517*F1517,IF(D1517="Return",-E1517*F1517,""))</f>
        <v/>
      </c>
      <c r="H1517" s="17">
        <f>IFERROR(IF(D1517="Sale",E1517*INDEX(Products!$E$6:$E$205,MATCH(C1517,Products!$B$6:$B$205,0)),IF(D1517="Return",-E1517*INDEX(Products!$E$6:$E$205,MATCH(C1517,Products!$B$6:$B$205,0)),"")),"")</f>
        <v/>
      </c>
      <c r="I1517" s="24" t="n"/>
      <c r="J1517" s="1" t="n"/>
    </row>
    <row r="1518">
      <c r="A1518" s="1" t="n"/>
      <c r="B1518" s="30" t="n"/>
      <c r="C1518" s="23" t="n"/>
      <c r="D1518" s="23" t="n"/>
      <c r="E1518" s="26" t="n"/>
      <c r="F1518" s="25" t="n"/>
      <c r="G1518" s="17">
        <f>IF(D1518="Sale",E1518*F1518,IF(D1518="Return",-E1518*F1518,""))</f>
        <v/>
      </c>
      <c r="H1518" s="17">
        <f>IFERROR(IF(D1518="Sale",E1518*INDEX(Products!$E$6:$E$205,MATCH(C1518,Products!$B$6:$B$205,0)),IF(D1518="Return",-E1518*INDEX(Products!$E$6:$E$205,MATCH(C1518,Products!$B$6:$B$205,0)),"")),"")</f>
        <v/>
      </c>
      <c r="I1518" s="24" t="n"/>
      <c r="J1518" s="1" t="n"/>
    </row>
    <row r="1519">
      <c r="A1519" s="1" t="n"/>
      <c r="B1519" s="30" t="n"/>
      <c r="C1519" s="23" t="n"/>
      <c r="D1519" s="23" t="n"/>
      <c r="E1519" s="26" t="n"/>
      <c r="F1519" s="25" t="n"/>
      <c r="G1519" s="17">
        <f>IF(D1519="Sale",E1519*F1519,IF(D1519="Return",-E1519*F1519,""))</f>
        <v/>
      </c>
      <c r="H1519" s="17">
        <f>IFERROR(IF(D1519="Sale",E1519*INDEX(Products!$E$6:$E$205,MATCH(C1519,Products!$B$6:$B$205,0)),IF(D1519="Return",-E1519*INDEX(Products!$E$6:$E$205,MATCH(C1519,Products!$B$6:$B$205,0)),"")),"")</f>
        <v/>
      </c>
      <c r="I1519" s="24" t="n"/>
      <c r="J1519" s="1" t="n"/>
    </row>
    <row r="1520">
      <c r="A1520" s="1" t="n"/>
      <c r="B1520" s="30" t="n"/>
      <c r="C1520" s="23" t="n"/>
      <c r="D1520" s="23" t="n"/>
      <c r="E1520" s="26" t="n"/>
      <c r="F1520" s="25" t="n"/>
      <c r="G1520" s="17">
        <f>IF(D1520="Sale",E1520*F1520,IF(D1520="Return",-E1520*F1520,""))</f>
        <v/>
      </c>
      <c r="H1520" s="17">
        <f>IFERROR(IF(D1520="Sale",E1520*INDEX(Products!$E$6:$E$205,MATCH(C1520,Products!$B$6:$B$205,0)),IF(D1520="Return",-E1520*INDEX(Products!$E$6:$E$205,MATCH(C1520,Products!$B$6:$B$205,0)),"")),"")</f>
        <v/>
      </c>
      <c r="I1520" s="24" t="n"/>
      <c r="J1520" s="1" t="n"/>
    </row>
    <row r="1521">
      <c r="A1521" s="1" t="n"/>
      <c r="B1521" s="30" t="n"/>
      <c r="C1521" s="23" t="n"/>
      <c r="D1521" s="23" t="n"/>
      <c r="E1521" s="26" t="n"/>
      <c r="F1521" s="25" t="n"/>
      <c r="G1521" s="17">
        <f>IF(D1521="Sale",E1521*F1521,IF(D1521="Return",-E1521*F1521,""))</f>
        <v/>
      </c>
      <c r="H1521" s="17">
        <f>IFERROR(IF(D1521="Sale",E1521*INDEX(Products!$E$6:$E$205,MATCH(C1521,Products!$B$6:$B$205,0)),IF(D1521="Return",-E1521*INDEX(Products!$E$6:$E$205,MATCH(C1521,Products!$B$6:$B$205,0)),"")),"")</f>
        <v/>
      </c>
      <c r="I1521" s="24" t="n"/>
      <c r="J1521" s="1" t="n"/>
    </row>
    <row r="1522">
      <c r="A1522" s="1" t="n"/>
      <c r="B1522" s="30" t="n"/>
      <c r="C1522" s="23" t="n"/>
      <c r="D1522" s="23" t="n"/>
      <c r="E1522" s="26" t="n"/>
      <c r="F1522" s="25" t="n"/>
      <c r="G1522" s="17">
        <f>IF(D1522="Sale",E1522*F1522,IF(D1522="Return",-E1522*F1522,""))</f>
        <v/>
      </c>
      <c r="H1522" s="17">
        <f>IFERROR(IF(D1522="Sale",E1522*INDEX(Products!$E$6:$E$205,MATCH(C1522,Products!$B$6:$B$205,0)),IF(D1522="Return",-E1522*INDEX(Products!$E$6:$E$205,MATCH(C1522,Products!$B$6:$B$205,0)),"")),"")</f>
        <v/>
      </c>
      <c r="I1522" s="24" t="n"/>
      <c r="J1522" s="1" t="n"/>
    </row>
    <row r="1523">
      <c r="A1523" s="1" t="n"/>
      <c r="B1523" s="30" t="n"/>
      <c r="C1523" s="23" t="n"/>
      <c r="D1523" s="23" t="n"/>
      <c r="E1523" s="26" t="n"/>
      <c r="F1523" s="25" t="n"/>
      <c r="G1523" s="17">
        <f>IF(D1523="Sale",E1523*F1523,IF(D1523="Return",-E1523*F1523,""))</f>
        <v/>
      </c>
      <c r="H1523" s="17">
        <f>IFERROR(IF(D1523="Sale",E1523*INDEX(Products!$E$6:$E$205,MATCH(C1523,Products!$B$6:$B$205,0)),IF(D1523="Return",-E1523*INDEX(Products!$E$6:$E$205,MATCH(C1523,Products!$B$6:$B$205,0)),"")),"")</f>
        <v/>
      </c>
      <c r="I1523" s="24" t="n"/>
      <c r="J1523" s="1" t="n"/>
    </row>
    <row r="1524">
      <c r="A1524" s="1" t="n"/>
      <c r="B1524" s="30" t="n"/>
      <c r="C1524" s="23" t="n"/>
      <c r="D1524" s="23" t="n"/>
      <c r="E1524" s="26" t="n"/>
      <c r="F1524" s="25" t="n"/>
      <c r="G1524" s="17">
        <f>IF(D1524="Sale",E1524*F1524,IF(D1524="Return",-E1524*F1524,""))</f>
        <v/>
      </c>
      <c r="H1524" s="17">
        <f>IFERROR(IF(D1524="Sale",E1524*INDEX(Products!$E$6:$E$205,MATCH(C1524,Products!$B$6:$B$205,0)),IF(D1524="Return",-E1524*INDEX(Products!$E$6:$E$205,MATCH(C1524,Products!$B$6:$B$205,0)),"")),"")</f>
        <v/>
      </c>
      <c r="I1524" s="24" t="n"/>
      <c r="J1524" s="1" t="n"/>
    </row>
    <row r="1525">
      <c r="A1525" s="1" t="n"/>
      <c r="B1525" s="30" t="n"/>
      <c r="C1525" s="23" t="n"/>
      <c r="D1525" s="23" t="n"/>
      <c r="E1525" s="26" t="n"/>
      <c r="F1525" s="25" t="n"/>
      <c r="G1525" s="17">
        <f>IF(D1525="Sale",E1525*F1525,IF(D1525="Return",-E1525*F1525,""))</f>
        <v/>
      </c>
      <c r="H1525" s="17">
        <f>IFERROR(IF(D1525="Sale",E1525*INDEX(Products!$E$6:$E$205,MATCH(C1525,Products!$B$6:$B$205,0)),IF(D1525="Return",-E1525*INDEX(Products!$E$6:$E$205,MATCH(C1525,Products!$B$6:$B$205,0)),"")),"")</f>
        <v/>
      </c>
      <c r="I1525" s="24" t="n"/>
      <c r="J1525" s="1" t="n"/>
    </row>
    <row r="1526">
      <c r="A1526" s="1" t="n"/>
      <c r="B1526" s="30" t="n"/>
      <c r="C1526" s="23" t="n"/>
      <c r="D1526" s="23" t="n"/>
      <c r="E1526" s="26" t="n"/>
      <c r="F1526" s="25" t="n"/>
      <c r="G1526" s="17">
        <f>IF(D1526="Sale",E1526*F1526,IF(D1526="Return",-E1526*F1526,""))</f>
        <v/>
      </c>
      <c r="H1526" s="17">
        <f>IFERROR(IF(D1526="Sale",E1526*INDEX(Products!$E$6:$E$205,MATCH(C1526,Products!$B$6:$B$205,0)),IF(D1526="Return",-E1526*INDEX(Products!$E$6:$E$205,MATCH(C1526,Products!$B$6:$B$205,0)),"")),"")</f>
        <v/>
      </c>
      <c r="I1526" s="24" t="n"/>
      <c r="J1526" s="1" t="n"/>
    </row>
    <row r="1527">
      <c r="A1527" s="1" t="n"/>
      <c r="B1527" s="30" t="n"/>
      <c r="C1527" s="23" t="n"/>
      <c r="D1527" s="23" t="n"/>
      <c r="E1527" s="26" t="n"/>
      <c r="F1527" s="25" t="n"/>
      <c r="G1527" s="17">
        <f>IF(D1527="Sale",E1527*F1527,IF(D1527="Return",-E1527*F1527,""))</f>
        <v/>
      </c>
      <c r="H1527" s="17">
        <f>IFERROR(IF(D1527="Sale",E1527*INDEX(Products!$E$6:$E$205,MATCH(C1527,Products!$B$6:$B$205,0)),IF(D1527="Return",-E1527*INDEX(Products!$E$6:$E$205,MATCH(C1527,Products!$B$6:$B$205,0)),"")),"")</f>
        <v/>
      </c>
      <c r="I1527" s="24" t="n"/>
      <c r="J1527" s="1" t="n"/>
    </row>
    <row r="1528">
      <c r="A1528" s="1" t="n"/>
      <c r="B1528" s="30" t="n"/>
      <c r="C1528" s="23" t="n"/>
      <c r="D1528" s="23" t="n"/>
      <c r="E1528" s="26" t="n"/>
      <c r="F1528" s="25" t="n"/>
      <c r="G1528" s="17">
        <f>IF(D1528="Sale",E1528*F1528,IF(D1528="Return",-E1528*F1528,""))</f>
        <v/>
      </c>
      <c r="H1528" s="17">
        <f>IFERROR(IF(D1528="Sale",E1528*INDEX(Products!$E$6:$E$205,MATCH(C1528,Products!$B$6:$B$205,0)),IF(D1528="Return",-E1528*INDEX(Products!$E$6:$E$205,MATCH(C1528,Products!$B$6:$B$205,0)),"")),"")</f>
        <v/>
      </c>
      <c r="I1528" s="24" t="n"/>
      <c r="J1528" s="1" t="n"/>
    </row>
    <row r="1529">
      <c r="A1529" s="1" t="n"/>
      <c r="B1529" s="30" t="n"/>
      <c r="C1529" s="23" t="n"/>
      <c r="D1529" s="23" t="n"/>
      <c r="E1529" s="26" t="n"/>
      <c r="F1529" s="25" t="n"/>
      <c r="G1529" s="17">
        <f>IF(D1529="Sale",E1529*F1529,IF(D1529="Return",-E1529*F1529,""))</f>
        <v/>
      </c>
      <c r="H1529" s="17">
        <f>IFERROR(IF(D1529="Sale",E1529*INDEX(Products!$E$6:$E$205,MATCH(C1529,Products!$B$6:$B$205,0)),IF(D1529="Return",-E1529*INDEX(Products!$E$6:$E$205,MATCH(C1529,Products!$B$6:$B$205,0)),"")),"")</f>
        <v/>
      </c>
      <c r="I1529" s="24" t="n"/>
      <c r="J1529" s="1" t="n"/>
    </row>
    <row r="1530">
      <c r="A1530" s="1" t="n"/>
      <c r="B1530" s="30" t="n"/>
      <c r="C1530" s="23" t="n"/>
      <c r="D1530" s="23" t="n"/>
      <c r="E1530" s="26" t="n"/>
      <c r="F1530" s="25" t="n"/>
      <c r="G1530" s="17">
        <f>IF(D1530="Sale",E1530*F1530,IF(D1530="Return",-E1530*F1530,""))</f>
        <v/>
      </c>
      <c r="H1530" s="17">
        <f>IFERROR(IF(D1530="Sale",E1530*INDEX(Products!$E$6:$E$205,MATCH(C1530,Products!$B$6:$B$205,0)),IF(D1530="Return",-E1530*INDEX(Products!$E$6:$E$205,MATCH(C1530,Products!$B$6:$B$205,0)),"")),"")</f>
        <v/>
      </c>
      <c r="I1530" s="24" t="n"/>
      <c r="J1530" s="1" t="n"/>
    </row>
    <row r="1531">
      <c r="A1531" s="1" t="n"/>
      <c r="B1531" s="30" t="n"/>
      <c r="C1531" s="23" t="n"/>
      <c r="D1531" s="23" t="n"/>
      <c r="E1531" s="26" t="n"/>
      <c r="F1531" s="25" t="n"/>
      <c r="G1531" s="17">
        <f>IF(D1531="Sale",E1531*F1531,IF(D1531="Return",-E1531*F1531,""))</f>
        <v/>
      </c>
      <c r="H1531" s="17">
        <f>IFERROR(IF(D1531="Sale",E1531*INDEX(Products!$E$6:$E$205,MATCH(C1531,Products!$B$6:$B$205,0)),IF(D1531="Return",-E1531*INDEX(Products!$E$6:$E$205,MATCH(C1531,Products!$B$6:$B$205,0)),"")),"")</f>
        <v/>
      </c>
      <c r="I1531" s="24" t="n"/>
      <c r="J1531" s="1" t="n"/>
    </row>
    <row r="1532">
      <c r="A1532" s="1" t="n"/>
      <c r="B1532" s="30" t="n"/>
      <c r="C1532" s="23" t="n"/>
      <c r="D1532" s="23" t="n"/>
      <c r="E1532" s="26" t="n"/>
      <c r="F1532" s="25" t="n"/>
      <c r="G1532" s="17">
        <f>IF(D1532="Sale",E1532*F1532,IF(D1532="Return",-E1532*F1532,""))</f>
        <v/>
      </c>
      <c r="H1532" s="17">
        <f>IFERROR(IF(D1532="Sale",E1532*INDEX(Products!$E$6:$E$205,MATCH(C1532,Products!$B$6:$B$205,0)),IF(D1532="Return",-E1532*INDEX(Products!$E$6:$E$205,MATCH(C1532,Products!$B$6:$B$205,0)),"")),"")</f>
        <v/>
      </c>
      <c r="I1532" s="24" t="n"/>
      <c r="J1532" s="1" t="n"/>
    </row>
    <row r="1533">
      <c r="A1533" s="1" t="n"/>
      <c r="B1533" s="30" t="n"/>
      <c r="C1533" s="23" t="n"/>
      <c r="D1533" s="23" t="n"/>
      <c r="E1533" s="26" t="n"/>
      <c r="F1533" s="25" t="n"/>
      <c r="G1533" s="17">
        <f>IF(D1533="Sale",E1533*F1533,IF(D1533="Return",-E1533*F1533,""))</f>
        <v/>
      </c>
      <c r="H1533" s="17">
        <f>IFERROR(IF(D1533="Sale",E1533*INDEX(Products!$E$6:$E$205,MATCH(C1533,Products!$B$6:$B$205,0)),IF(D1533="Return",-E1533*INDEX(Products!$E$6:$E$205,MATCH(C1533,Products!$B$6:$B$205,0)),"")),"")</f>
        <v/>
      </c>
      <c r="I1533" s="24" t="n"/>
      <c r="J1533" s="1" t="n"/>
    </row>
    <row r="1534">
      <c r="A1534" s="1" t="n"/>
      <c r="B1534" s="30" t="n"/>
      <c r="C1534" s="23" t="n"/>
      <c r="D1534" s="23" t="n"/>
      <c r="E1534" s="26" t="n"/>
      <c r="F1534" s="25" t="n"/>
      <c r="G1534" s="17">
        <f>IF(D1534="Sale",E1534*F1534,IF(D1534="Return",-E1534*F1534,""))</f>
        <v/>
      </c>
      <c r="H1534" s="17">
        <f>IFERROR(IF(D1534="Sale",E1534*INDEX(Products!$E$6:$E$205,MATCH(C1534,Products!$B$6:$B$205,0)),IF(D1534="Return",-E1534*INDEX(Products!$E$6:$E$205,MATCH(C1534,Products!$B$6:$B$205,0)),"")),"")</f>
        <v/>
      </c>
      <c r="I1534" s="24" t="n"/>
      <c r="J1534" s="1" t="n"/>
    </row>
    <row r="1535">
      <c r="A1535" s="1" t="n"/>
      <c r="B1535" s="30" t="n"/>
      <c r="C1535" s="23" t="n"/>
      <c r="D1535" s="23" t="n"/>
      <c r="E1535" s="26" t="n"/>
      <c r="F1535" s="25" t="n"/>
      <c r="G1535" s="17">
        <f>IF(D1535="Sale",E1535*F1535,IF(D1535="Return",-E1535*F1535,""))</f>
        <v/>
      </c>
      <c r="H1535" s="17">
        <f>IFERROR(IF(D1535="Sale",E1535*INDEX(Products!$E$6:$E$205,MATCH(C1535,Products!$B$6:$B$205,0)),IF(D1535="Return",-E1535*INDEX(Products!$E$6:$E$205,MATCH(C1535,Products!$B$6:$B$205,0)),"")),"")</f>
        <v/>
      </c>
      <c r="I1535" s="24" t="n"/>
      <c r="J1535" s="1" t="n"/>
    </row>
    <row r="1536">
      <c r="A1536" s="1" t="n"/>
      <c r="B1536" s="30" t="n"/>
      <c r="C1536" s="23" t="n"/>
      <c r="D1536" s="23" t="n"/>
      <c r="E1536" s="26" t="n"/>
      <c r="F1536" s="25" t="n"/>
      <c r="G1536" s="17">
        <f>IF(D1536="Sale",E1536*F1536,IF(D1536="Return",-E1536*F1536,""))</f>
        <v/>
      </c>
      <c r="H1536" s="17">
        <f>IFERROR(IF(D1536="Sale",E1536*INDEX(Products!$E$6:$E$205,MATCH(C1536,Products!$B$6:$B$205,0)),IF(D1536="Return",-E1536*INDEX(Products!$E$6:$E$205,MATCH(C1536,Products!$B$6:$B$205,0)),"")),"")</f>
        <v/>
      </c>
      <c r="I1536" s="24" t="n"/>
      <c r="J1536" s="1" t="n"/>
    </row>
    <row r="1537">
      <c r="A1537" s="1" t="n"/>
      <c r="B1537" s="30" t="n"/>
      <c r="C1537" s="23" t="n"/>
      <c r="D1537" s="23" t="n"/>
      <c r="E1537" s="26" t="n"/>
      <c r="F1537" s="25" t="n"/>
      <c r="G1537" s="17">
        <f>IF(D1537="Sale",E1537*F1537,IF(D1537="Return",-E1537*F1537,""))</f>
        <v/>
      </c>
      <c r="H1537" s="17">
        <f>IFERROR(IF(D1537="Sale",E1537*INDEX(Products!$E$6:$E$205,MATCH(C1537,Products!$B$6:$B$205,0)),IF(D1537="Return",-E1537*INDEX(Products!$E$6:$E$205,MATCH(C1537,Products!$B$6:$B$205,0)),"")),"")</f>
        <v/>
      </c>
      <c r="I1537" s="24" t="n"/>
      <c r="J1537" s="1" t="n"/>
    </row>
    <row r="1538">
      <c r="A1538" s="1" t="n"/>
      <c r="B1538" s="30" t="n"/>
      <c r="C1538" s="23" t="n"/>
      <c r="D1538" s="23" t="n"/>
      <c r="E1538" s="26" t="n"/>
      <c r="F1538" s="25" t="n"/>
      <c r="G1538" s="17">
        <f>IF(D1538="Sale",E1538*F1538,IF(D1538="Return",-E1538*F1538,""))</f>
        <v/>
      </c>
      <c r="H1538" s="17">
        <f>IFERROR(IF(D1538="Sale",E1538*INDEX(Products!$E$6:$E$205,MATCH(C1538,Products!$B$6:$B$205,0)),IF(D1538="Return",-E1538*INDEX(Products!$E$6:$E$205,MATCH(C1538,Products!$B$6:$B$205,0)),"")),"")</f>
        <v/>
      </c>
      <c r="I1538" s="24" t="n"/>
      <c r="J1538" s="1" t="n"/>
    </row>
    <row r="1539">
      <c r="A1539" s="1" t="n"/>
      <c r="B1539" s="30" t="n"/>
      <c r="C1539" s="23" t="n"/>
      <c r="D1539" s="23" t="n"/>
      <c r="E1539" s="26" t="n"/>
      <c r="F1539" s="25" t="n"/>
      <c r="G1539" s="17">
        <f>IF(D1539="Sale",E1539*F1539,IF(D1539="Return",-E1539*F1539,""))</f>
        <v/>
      </c>
      <c r="H1539" s="17">
        <f>IFERROR(IF(D1539="Sale",E1539*INDEX(Products!$E$6:$E$205,MATCH(C1539,Products!$B$6:$B$205,0)),IF(D1539="Return",-E1539*INDEX(Products!$E$6:$E$205,MATCH(C1539,Products!$B$6:$B$205,0)),"")),"")</f>
        <v/>
      </c>
      <c r="I1539" s="24" t="n"/>
      <c r="J1539" s="1" t="n"/>
    </row>
    <row r="1540">
      <c r="A1540" s="1" t="n"/>
      <c r="B1540" s="30" t="n"/>
      <c r="C1540" s="23" t="n"/>
      <c r="D1540" s="23" t="n"/>
      <c r="E1540" s="26" t="n"/>
      <c r="F1540" s="25" t="n"/>
      <c r="G1540" s="17">
        <f>IF(D1540="Sale",E1540*F1540,IF(D1540="Return",-E1540*F1540,""))</f>
        <v/>
      </c>
      <c r="H1540" s="17">
        <f>IFERROR(IF(D1540="Sale",E1540*INDEX(Products!$E$6:$E$205,MATCH(C1540,Products!$B$6:$B$205,0)),IF(D1540="Return",-E1540*INDEX(Products!$E$6:$E$205,MATCH(C1540,Products!$B$6:$B$205,0)),"")),"")</f>
        <v/>
      </c>
      <c r="I1540" s="24" t="n"/>
      <c r="J1540" s="1" t="n"/>
    </row>
    <row r="1541">
      <c r="A1541" s="1" t="n"/>
      <c r="B1541" s="30" t="n"/>
      <c r="C1541" s="23" t="n"/>
      <c r="D1541" s="23" t="n"/>
      <c r="E1541" s="26" t="n"/>
      <c r="F1541" s="25" t="n"/>
      <c r="G1541" s="17">
        <f>IF(D1541="Sale",E1541*F1541,IF(D1541="Return",-E1541*F1541,""))</f>
        <v/>
      </c>
      <c r="H1541" s="17">
        <f>IFERROR(IF(D1541="Sale",E1541*INDEX(Products!$E$6:$E$205,MATCH(C1541,Products!$B$6:$B$205,0)),IF(D1541="Return",-E1541*INDEX(Products!$E$6:$E$205,MATCH(C1541,Products!$B$6:$B$205,0)),"")),"")</f>
        <v/>
      </c>
      <c r="I1541" s="24" t="n"/>
      <c r="J1541" s="1" t="n"/>
    </row>
    <row r="1542">
      <c r="A1542" s="1" t="n"/>
      <c r="B1542" s="30" t="n"/>
      <c r="C1542" s="23" t="n"/>
      <c r="D1542" s="23" t="n"/>
      <c r="E1542" s="26" t="n"/>
      <c r="F1542" s="25" t="n"/>
      <c r="G1542" s="17">
        <f>IF(D1542="Sale",E1542*F1542,IF(D1542="Return",-E1542*F1542,""))</f>
        <v/>
      </c>
      <c r="H1542" s="17">
        <f>IFERROR(IF(D1542="Sale",E1542*INDEX(Products!$E$6:$E$205,MATCH(C1542,Products!$B$6:$B$205,0)),IF(D1542="Return",-E1542*INDEX(Products!$E$6:$E$205,MATCH(C1542,Products!$B$6:$B$205,0)),"")),"")</f>
        <v/>
      </c>
      <c r="I1542" s="24" t="n"/>
      <c r="J1542" s="1" t="n"/>
    </row>
    <row r="1543">
      <c r="A1543" s="1" t="n"/>
      <c r="B1543" s="30" t="n"/>
      <c r="C1543" s="23" t="n"/>
      <c r="D1543" s="23" t="n"/>
      <c r="E1543" s="26" t="n"/>
      <c r="F1543" s="25" t="n"/>
      <c r="G1543" s="17">
        <f>IF(D1543="Sale",E1543*F1543,IF(D1543="Return",-E1543*F1543,""))</f>
        <v/>
      </c>
      <c r="H1543" s="17">
        <f>IFERROR(IF(D1543="Sale",E1543*INDEX(Products!$E$6:$E$205,MATCH(C1543,Products!$B$6:$B$205,0)),IF(D1543="Return",-E1543*INDEX(Products!$E$6:$E$205,MATCH(C1543,Products!$B$6:$B$205,0)),"")),"")</f>
        <v/>
      </c>
      <c r="I1543" s="24" t="n"/>
      <c r="J1543" s="1" t="n"/>
    </row>
    <row r="1544">
      <c r="A1544" s="1" t="n"/>
      <c r="B1544" s="30" t="n"/>
      <c r="C1544" s="23" t="n"/>
      <c r="D1544" s="23" t="n"/>
      <c r="E1544" s="26" t="n"/>
      <c r="F1544" s="25" t="n"/>
      <c r="G1544" s="17">
        <f>IF(D1544="Sale",E1544*F1544,IF(D1544="Return",-E1544*F1544,""))</f>
        <v/>
      </c>
      <c r="H1544" s="17">
        <f>IFERROR(IF(D1544="Sale",E1544*INDEX(Products!$E$6:$E$205,MATCH(C1544,Products!$B$6:$B$205,0)),IF(D1544="Return",-E1544*INDEX(Products!$E$6:$E$205,MATCH(C1544,Products!$B$6:$B$205,0)),"")),"")</f>
        <v/>
      </c>
      <c r="I1544" s="24" t="n"/>
      <c r="J1544" s="1" t="n"/>
    </row>
    <row r="1545">
      <c r="A1545" s="1" t="n"/>
      <c r="B1545" s="30" t="n"/>
      <c r="C1545" s="23" t="n"/>
      <c r="D1545" s="23" t="n"/>
      <c r="E1545" s="26" t="n"/>
      <c r="F1545" s="25" t="n"/>
      <c r="G1545" s="17">
        <f>IF(D1545="Sale",E1545*F1545,IF(D1545="Return",-E1545*F1545,""))</f>
        <v/>
      </c>
      <c r="H1545" s="17">
        <f>IFERROR(IF(D1545="Sale",E1545*INDEX(Products!$E$6:$E$205,MATCH(C1545,Products!$B$6:$B$205,0)),IF(D1545="Return",-E1545*INDEX(Products!$E$6:$E$205,MATCH(C1545,Products!$B$6:$B$205,0)),"")),"")</f>
        <v/>
      </c>
      <c r="I1545" s="24" t="n"/>
      <c r="J1545" s="1" t="n"/>
    </row>
    <row r="1546">
      <c r="A1546" s="1" t="n"/>
      <c r="B1546" s="30" t="n"/>
      <c r="C1546" s="23" t="n"/>
      <c r="D1546" s="23" t="n"/>
      <c r="E1546" s="26" t="n"/>
      <c r="F1546" s="25" t="n"/>
      <c r="G1546" s="17">
        <f>IF(D1546="Sale",E1546*F1546,IF(D1546="Return",-E1546*F1546,""))</f>
        <v/>
      </c>
      <c r="H1546" s="17">
        <f>IFERROR(IF(D1546="Sale",E1546*INDEX(Products!$E$6:$E$205,MATCH(C1546,Products!$B$6:$B$205,0)),IF(D1546="Return",-E1546*INDEX(Products!$E$6:$E$205,MATCH(C1546,Products!$B$6:$B$205,0)),"")),"")</f>
        <v/>
      </c>
      <c r="I1546" s="24" t="n"/>
      <c r="J1546" s="1" t="n"/>
    </row>
    <row r="1547">
      <c r="A1547" s="1" t="n"/>
      <c r="B1547" s="30" t="n"/>
      <c r="C1547" s="23" t="n"/>
      <c r="D1547" s="23" t="n"/>
      <c r="E1547" s="26" t="n"/>
      <c r="F1547" s="25" t="n"/>
      <c r="G1547" s="17">
        <f>IF(D1547="Sale",E1547*F1547,IF(D1547="Return",-E1547*F1547,""))</f>
        <v/>
      </c>
      <c r="H1547" s="17">
        <f>IFERROR(IF(D1547="Sale",E1547*INDEX(Products!$E$6:$E$205,MATCH(C1547,Products!$B$6:$B$205,0)),IF(D1547="Return",-E1547*INDEX(Products!$E$6:$E$205,MATCH(C1547,Products!$B$6:$B$205,0)),"")),"")</f>
        <v/>
      </c>
      <c r="I1547" s="24" t="n"/>
      <c r="J1547" s="1" t="n"/>
    </row>
    <row r="1548">
      <c r="A1548" s="1" t="n"/>
      <c r="B1548" s="30" t="n"/>
      <c r="C1548" s="23" t="n"/>
      <c r="D1548" s="23" t="n"/>
      <c r="E1548" s="26" t="n"/>
      <c r="F1548" s="25" t="n"/>
      <c r="G1548" s="17">
        <f>IF(D1548="Sale",E1548*F1548,IF(D1548="Return",-E1548*F1548,""))</f>
        <v/>
      </c>
      <c r="H1548" s="17">
        <f>IFERROR(IF(D1548="Sale",E1548*INDEX(Products!$E$6:$E$205,MATCH(C1548,Products!$B$6:$B$205,0)),IF(D1548="Return",-E1548*INDEX(Products!$E$6:$E$205,MATCH(C1548,Products!$B$6:$B$205,0)),"")),"")</f>
        <v/>
      </c>
      <c r="I1548" s="24" t="n"/>
      <c r="J1548" s="1" t="n"/>
    </row>
    <row r="1549">
      <c r="A1549" s="1" t="n"/>
      <c r="B1549" s="30" t="n"/>
      <c r="C1549" s="23" t="n"/>
      <c r="D1549" s="23" t="n"/>
      <c r="E1549" s="26" t="n"/>
      <c r="F1549" s="25" t="n"/>
      <c r="G1549" s="17">
        <f>IF(D1549="Sale",E1549*F1549,IF(D1549="Return",-E1549*F1549,""))</f>
        <v/>
      </c>
      <c r="H1549" s="17">
        <f>IFERROR(IF(D1549="Sale",E1549*INDEX(Products!$E$6:$E$205,MATCH(C1549,Products!$B$6:$B$205,0)),IF(D1549="Return",-E1549*INDEX(Products!$E$6:$E$205,MATCH(C1549,Products!$B$6:$B$205,0)),"")),"")</f>
        <v/>
      </c>
      <c r="I1549" s="24" t="n"/>
      <c r="J1549" s="1" t="n"/>
    </row>
    <row r="1550">
      <c r="A1550" s="1" t="n"/>
      <c r="B1550" s="30" t="n"/>
      <c r="C1550" s="23" t="n"/>
      <c r="D1550" s="23" t="n"/>
      <c r="E1550" s="26" t="n"/>
      <c r="F1550" s="25" t="n"/>
      <c r="G1550" s="17">
        <f>IF(D1550="Sale",E1550*F1550,IF(D1550="Return",-E1550*F1550,""))</f>
        <v/>
      </c>
      <c r="H1550" s="17">
        <f>IFERROR(IF(D1550="Sale",E1550*INDEX(Products!$E$6:$E$205,MATCH(C1550,Products!$B$6:$B$205,0)),IF(D1550="Return",-E1550*INDEX(Products!$E$6:$E$205,MATCH(C1550,Products!$B$6:$B$205,0)),"")),"")</f>
        <v/>
      </c>
      <c r="I1550" s="24" t="n"/>
      <c r="J1550" s="1" t="n"/>
    </row>
    <row r="1551">
      <c r="A1551" s="1" t="n"/>
      <c r="B1551" s="30" t="n"/>
      <c r="C1551" s="23" t="n"/>
      <c r="D1551" s="23" t="n"/>
      <c r="E1551" s="26" t="n"/>
      <c r="F1551" s="25" t="n"/>
      <c r="G1551" s="17">
        <f>IF(D1551="Sale",E1551*F1551,IF(D1551="Return",-E1551*F1551,""))</f>
        <v/>
      </c>
      <c r="H1551" s="17">
        <f>IFERROR(IF(D1551="Sale",E1551*INDEX(Products!$E$6:$E$205,MATCH(C1551,Products!$B$6:$B$205,0)),IF(D1551="Return",-E1551*INDEX(Products!$E$6:$E$205,MATCH(C1551,Products!$B$6:$B$205,0)),"")),"")</f>
        <v/>
      </c>
      <c r="I1551" s="24" t="n"/>
      <c r="J1551" s="1" t="n"/>
    </row>
    <row r="1552">
      <c r="A1552" s="1" t="n"/>
      <c r="B1552" s="30" t="n"/>
      <c r="C1552" s="23" t="n"/>
      <c r="D1552" s="23" t="n"/>
      <c r="E1552" s="26" t="n"/>
      <c r="F1552" s="25" t="n"/>
      <c r="G1552" s="17">
        <f>IF(D1552="Sale",E1552*F1552,IF(D1552="Return",-E1552*F1552,""))</f>
        <v/>
      </c>
      <c r="H1552" s="17">
        <f>IFERROR(IF(D1552="Sale",E1552*INDEX(Products!$E$6:$E$205,MATCH(C1552,Products!$B$6:$B$205,0)),IF(D1552="Return",-E1552*INDEX(Products!$E$6:$E$205,MATCH(C1552,Products!$B$6:$B$205,0)),"")),"")</f>
        <v/>
      </c>
      <c r="I1552" s="24" t="n"/>
      <c r="J1552" s="1" t="n"/>
    </row>
    <row r="1553">
      <c r="A1553" s="1" t="n"/>
      <c r="B1553" s="30" t="n"/>
      <c r="C1553" s="23" t="n"/>
      <c r="D1553" s="23" t="n"/>
      <c r="E1553" s="26" t="n"/>
      <c r="F1553" s="25" t="n"/>
      <c r="G1553" s="17">
        <f>IF(D1553="Sale",E1553*F1553,IF(D1553="Return",-E1553*F1553,""))</f>
        <v/>
      </c>
      <c r="H1553" s="17">
        <f>IFERROR(IF(D1553="Sale",E1553*INDEX(Products!$E$6:$E$205,MATCH(C1553,Products!$B$6:$B$205,0)),IF(D1553="Return",-E1553*INDEX(Products!$E$6:$E$205,MATCH(C1553,Products!$B$6:$B$205,0)),"")),"")</f>
        <v/>
      </c>
      <c r="I1553" s="24" t="n"/>
      <c r="J1553" s="1" t="n"/>
    </row>
    <row r="1554">
      <c r="A1554" s="1" t="n"/>
      <c r="B1554" s="30" t="n"/>
      <c r="C1554" s="23" t="n"/>
      <c r="D1554" s="23" t="n"/>
      <c r="E1554" s="26" t="n"/>
      <c r="F1554" s="25" t="n"/>
      <c r="G1554" s="17">
        <f>IF(D1554="Sale",E1554*F1554,IF(D1554="Return",-E1554*F1554,""))</f>
        <v/>
      </c>
      <c r="H1554" s="17">
        <f>IFERROR(IF(D1554="Sale",E1554*INDEX(Products!$E$6:$E$205,MATCH(C1554,Products!$B$6:$B$205,0)),IF(D1554="Return",-E1554*INDEX(Products!$E$6:$E$205,MATCH(C1554,Products!$B$6:$B$205,0)),"")),"")</f>
        <v/>
      </c>
      <c r="I1554" s="24" t="n"/>
      <c r="J1554" s="1" t="n"/>
    </row>
    <row r="1555">
      <c r="A1555" s="1" t="n"/>
      <c r="B1555" s="30" t="n"/>
      <c r="C1555" s="23" t="n"/>
      <c r="D1555" s="23" t="n"/>
      <c r="E1555" s="26" t="n"/>
      <c r="F1555" s="25" t="n"/>
      <c r="G1555" s="17">
        <f>IF(D1555="Sale",E1555*F1555,IF(D1555="Return",-E1555*F1555,""))</f>
        <v/>
      </c>
      <c r="H1555" s="17">
        <f>IFERROR(IF(D1555="Sale",E1555*INDEX(Products!$E$6:$E$205,MATCH(C1555,Products!$B$6:$B$205,0)),IF(D1555="Return",-E1555*INDEX(Products!$E$6:$E$205,MATCH(C1555,Products!$B$6:$B$205,0)),"")),"")</f>
        <v/>
      </c>
      <c r="I1555" s="24" t="n"/>
      <c r="J1555" s="1" t="n"/>
    </row>
    <row r="1556">
      <c r="A1556" s="1" t="n"/>
      <c r="B1556" s="30" t="n"/>
      <c r="C1556" s="23" t="n"/>
      <c r="D1556" s="23" t="n"/>
      <c r="E1556" s="26" t="n"/>
      <c r="F1556" s="25" t="n"/>
      <c r="G1556" s="17">
        <f>IF(D1556="Sale",E1556*F1556,IF(D1556="Return",-E1556*F1556,""))</f>
        <v/>
      </c>
      <c r="H1556" s="17">
        <f>IFERROR(IF(D1556="Sale",E1556*INDEX(Products!$E$6:$E$205,MATCH(C1556,Products!$B$6:$B$205,0)),IF(D1556="Return",-E1556*INDEX(Products!$E$6:$E$205,MATCH(C1556,Products!$B$6:$B$205,0)),"")),"")</f>
        <v/>
      </c>
      <c r="I1556" s="24" t="n"/>
      <c r="J1556" s="1" t="n"/>
    </row>
    <row r="1557">
      <c r="A1557" s="1" t="n"/>
      <c r="B1557" s="30" t="n"/>
      <c r="C1557" s="23" t="n"/>
      <c r="D1557" s="23" t="n"/>
      <c r="E1557" s="26" t="n"/>
      <c r="F1557" s="25" t="n"/>
      <c r="G1557" s="17">
        <f>IF(D1557="Sale",E1557*F1557,IF(D1557="Return",-E1557*F1557,""))</f>
        <v/>
      </c>
      <c r="H1557" s="17">
        <f>IFERROR(IF(D1557="Sale",E1557*INDEX(Products!$E$6:$E$205,MATCH(C1557,Products!$B$6:$B$205,0)),IF(D1557="Return",-E1557*INDEX(Products!$E$6:$E$205,MATCH(C1557,Products!$B$6:$B$205,0)),"")),"")</f>
        <v/>
      </c>
      <c r="I1557" s="24" t="n"/>
      <c r="J1557" s="1" t="n"/>
    </row>
    <row r="1558">
      <c r="A1558" s="1" t="n"/>
      <c r="B1558" s="30" t="n"/>
      <c r="C1558" s="23" t="n"/>
      <c r="D1558" s="23" t="n"/>
      <c r="E1558" s="26" t="n"/>
      <c r="F1558" s="25" t="n"/>
      <c r="G1558" s="17">
        <f>IF(D1558="Sale",E1558*F1558,IF(D1558="Return",-E1558*F1558,""))</f>
        <v/>
      </c>
      <c r="H1558" s="17">
        <f>IFERROR(IF(D1558="Sale",E1558*INDEX(Products!$E$6:$E$205,MATCH(C1558,Products!$B$6:$B$205,0)),IF(D1558="Return",-E1558*INDEX(Products!$E$6:$E$205,MATCH(C1558,Products!$B$6:$B$205,0)),"")),"")</f>
        <v/>
      </c>
      <c r="I1558" s="24" t="n"/>
      <c r="J1558" s="1" t="n"/>
    </row>
    <row r="1559">
      <c r="A1559" s="1" t="n"/>
      <c r="B1559" s="30" t="n"/>
      <c r="C1559" s="23" t="n"/>
      <c r="D1559" s="23" t="n"/>
      <c r="E1559" s="26" t="n"/>
      <c r="F1559" s="25" t="n"/>
      <c r="G1559" s="17">
        <f>IF(D1559="Sale",E1559*F1559,IF(D1559="Return",-E1559*F1559,""))</f>
        <v/>
      </c>
      <c r="H1559" s="17">
        <f>IFERROR(IF(D1559="Sale",E1559*INDEX(Products!$E$6:$E$205,MATCH(C1559,Products!$B$6:$B$205,0)),IF(D1559="Return",-E1559*INDEX(Products!$E$6:$E$205,MATCH(C1559,Products!$B$6:$B$205,0)),"")),"")</f>
        <v/>
      </c>
      <c r="I1559" s="24" t="n"/>
      <c r="J1559" s="1" t="n"/>
    </row>
    <row r="1560">
      <c r="A1560" s="1" t="n"/>
      <c r="B1560" s="30" t="n"/>
      <c r="C1560" s="23" t="n"/>
      <c r="D1560" s="23" t="n"/>
      <c r="E1560" s="26" t="n"/>
      <c r="F1560" s="25" t="n"/>
      <c r="G1560" s="17">
        <f>IF(D1560="Sale",E1560*F1560,IF(D1560="Return",-E1560*F1560,""))</f>
        <v/>
      </c>
      <c r="H1560" s="17">
        <f>IFERROR(IF(D1560="Sale",E1560*INDEX(Products!$E$6:$E$205,MATCH(C1560,Products!$B$6:$B$205,0)),IF(D1560="Return",-E1560*INDEX(Products!$E$6:$E$205,MATCH(C1560,Products!$B$6:$B$205,0)),"")),"")</f>
        <v/>
      </c>
      <c r="I1560" s="24" t="n"/>
      <c r="J1560" s="1" t="n"/>
    </row>
    <row r="1561">
      <c r="A1561" s="1" t="n"/>
      <c r="B1561" s="30" t="n"/>
      <c r="C1561" s="23" t="n"/>
      <c r="D1561" s="23" t="n"/>
      <c r="E1561" s="26" t="n"/>
      <c r="F1561" s="25" t="n"/>
      <c r="G1561" s="17">
        <f>IF(D1561="Sale",E1561*F1561,IF(D1561="Return",-E1561*F1561,""))</f>
        <v/>
      </c>
      <c r="H1561" s="17">
        <f>IFERROR(IF(D1561="Sale",E1561*INDEX(Products!$E$6:$E$205,MATCH(C1561,Products!$B$6:$B$205,0)),IF(D1561="Return",-E1561*INDEX(Products!$E$6:$E$205,MATCH(C1561,Products!$B$6:$B$205,0)),"")),"")</f>
        <v/>
      </c>
      <c r="I1561" s="24" t="n"/>
      <c r="J1561" s="1" t="n"/>
    </row>
    <row r="1562">
      <c r="A1562" s="1" t="n"/>
      <c r="B1562" s="30" t="n"/>
      <c r="C1562" s="23" t="n"/>
      <c r="D1562" s="23" t="n"/>
      <c r="E1562" s="26" t="n"/>
      <c r="F1562" s="25" t="n"/>
      <c r="G1562" s="17">
        <f>IF(D1562="Sale",E1562*F1562,IF(D1562="Return",-E1562*F1562,""))</f>
        <v/>
      </c>
      <c r="H1562" s="17">
        <f>IFERROR(IF(D1562="Sale",E1562*INDEX(Products!$E$6:$E$205,MATCH(C1562,Products!$B$6:$B$205,0)),IF(D1562="Return",-E1562*INDEX(Products!$E$6:$E$205,MATCH(C1562,Products!$B$6:$B$205,0)),"")),"")</f>
        <v/>
      </c>
      <c r="I1562" s="24" t="n"/>
      <c r="J1562" s="1" t="n"/>
    </row>
    <row r="1563">
      <c r="A1563" s="1" t="n"/>
      <c r="B1563" s="30" t="n"/>
      <c r="C1563" s="23" t="n"/>
      <c r="D1563" s="23" t="n"/>
      <c r="E1563" s="26" t="n"/>
      <c r="F1563" s="25" t="n"/>
      <c r="G1563" s="17">
        <f>IF(D1563="Sale",E1563*F1563,IF(D1563="Return",-E1563*F1563,""))</f>
        <v/>
      </c>
      <c r="H1563" s="17">
        <f>IFERROR(IF(D1563="Sale",E1563*INDEX(Products!$E$6:$E$205,MATCH(C1563,Products!$B$6:$B$205,0)),IF(D1563="Return",-E1563*INDEX(Products!$E$6:$E$205,MATCH(C1563,Products!$B$6:$B$205,0)),"")),"")</f>
        <v/>
      </c>
      <c r="I1563" s="24" t="n"/>
      <c r="J1563" s="1" t="n"/>
    </row>
    <row r="1564">
      <c r="A1564" s="1" t="n"/>
      <c r="B1564" s="30" t="n"/>
      <c r="C1564" s="23" t="n"/>
      <c r="D1564" s="23" t="n"/>
      <c r="E1564" s="26" t="n"/>
      <c r="F1564" s="25" t="n"/>
      <c r="G1564" s="17">
        <f>IF(D1564="Sale",E1564*F1564,IF(D1564="Return",-E1564*F1564,""))</f>
        <v/>
      </c>
      <c r="H1564" s="17">
        <f>IFERROR(IF(D1564="Sale",E1564*INDEX(Products!$E$6:$E$205,MATCH(C1564,Products!$B$6:$B$205,0)),IF(D1564="Return",-E1564*INDEX(Products!$E$6:$E$205,MATCH(C1564,Products!$B$6:$B$205,0)),"")),"")</f>
        <v/>
      </c>
      <c r="I1564" s="24" t="n"/>
      <c r="J1564" s="1" t="n"/>
    </row>
    <row r="1565">
      <c r="A1565" s="1" t="n"/>
      <c r="B1565" s="30" t="n"/>
      <c r="C1565" s="23" t="n"/>
      <c r="D1565" s="23" t="n"/>
      <c r="E1565" s="26" t="n"/>
      <c r="F1565" s="25" t="n"/>
      <c r="G1565" s="17">
        <f>IF(D1565="Sale",E1565*F1565,IF(D1565="Return",-E1565*F1565,""))</f>
        <v/>
      </c>
      <c r="H1565" s="17">
        <f>IFERROR(IF(D1565="Sale",E1565*INDEX(Products!$E$6:$E$205,MATCH(C1565,Products!$B$6:$B$205,0)),IF(D1565="Return",-E1565*INDEX(Products!$E$6:$E$205,MATCH(C1565,Products!$B$6:$B$205,0)),"")),"")</f>
        <v/>
      </c>
      <c r="I1565" s="24" t="n"/>
      <c r="J1565" s="1" t="n"/>
    </row>
    <row r="1566">
      <c r="A1566" s="1" t="n"/>
      <c r="B1566" s="30" t="n"/>
      <c r="C1566" s="23" t="n"/>
      <c r="D1566" s="23" t="n"/>
      <c r="E1566" s="26" t="n"/>
      <c r="F1566" s="25" t="n"/>
      <c r="G1566" s="17">
        <f>IF(D1566="Sale",E1566*F1566,IF(D1566="Return",-E1566*F1566,""))</f>
        <v/>
      </c>
      <c r="H1566" s="17">
        <f>IFERROR(IF(D1566="Sale",E1566*INDEX(Products!$E$6:$E$205,MATCH(C1566,Products!$B$6:$B$205,0)),IF(D1566="Return",-E1566*INDEX(Products!$E$6:$E$205,MATCH(C1566,Products!$B$6:$B$205,0)),"")),"")</f>
        <v/>
      </c>
      <c r="I1566" s="24" t="n"/>
      <c r="J1566" s="1" t="n"/>
    </row>
    <row r="1567">
      <c r="A1567" s="1" t="n"/>
      <c r="B1567" s="30" t="n"/>
      <c r="C1567" s="23" t="n"/>
      <c r="D1567" s="23" t="n"/>
      <c r="E1567" s="26" t="n"/>
      <c r="F1567" s="25" t="n"/>
      <c r="G1567" s="17">
        <f>IF(D1567="Sale",E1567*F1567,IF(D1567="Return",-E1567*F1567,""))</f>
        <v/>
      </c>
      <c r="H1567" s="17">
        <f>IFERROR(IF(D1567="Sale",E1567*INDEX(Products!$E$6:$E$205,MATCH(C1567,Products!$B$6:$B$205,0)),IF(D1567="Return",-E1567*INDEX(Products!$E$6:$E$205,MATCH(C1567,Products!$B$6:$B$205,0)),"")),"")</f>
        <v/>
      </c>
      <c r="I1567" s="24" t="n"/>
      <c r="J1567" s="1" t="n"/>
    </row>
    <row r="1568">
      <c r="A1568" s="1" t="n"/>
      <c r="B1568" s="30" t="n"/>
      <c r="C1568" s="23" t="n"/>
      <c r="D1568" s="23" t="n"/>
      <c r="E1568" s="26" t="n"/>
      <c r="F1568" s="25" t="n"/>
      <c r="G1568" s="17">
        <f>IF(D1568="Sale",E1568*F1568,IF(D1568="Return",-E1568*F1568,""))</f>
        <v/>
      </c>
      <c r="H1568" s="17">
        <f>IFERROR(IF(D1568="Sale",E1568*INDEX(Products!$E$6:$E$205,MATCH(C1568,Products!$B$6:$B$205,0)),IF(D1568="Return",-E1568*INDEX(Products!$E$6:$E$205,MATCH(C1568,Products!$B$6:$B$205,0)),"")),"")</f>
        <v/>
      </c>
      <c r="I1568" s="24" t="n"/>
      <c r="J1568" s="1" t="n"/>
    </row>
    <row r="1569">
      <c r="A1569" s="1" t="n"/>
      <c r="B1569" s="30" t="n"/>
      <c r="C1569" s="23" t="n"/>
      <c r="D1569" s="23" t="n"/>
      <c r="E1569" s="26" t="n"/>
      <c r="F1569" s="25" t="n"/>
      <c r="G1569" s="17">
        <f>IF(D1569="Sale",E1569*F1569,IF(D1569="Return",-E1569*F1569,""))</f>
        <v/>
      </c>
      <c r="H1569" s="17">
        <f>IFERROR(IF(D1569="Sale",E1569*INDEX(Products!$E$6:$E$205,MATCH(C1569,Products!$B$6:$B$205,0)),IF(D1569="Return",-E1569*INDEX(Products!$E$6:$E$205,MATCH(C1569,Products!$B$6:$B$205,0)),"")),"")</f>
        <v/>
      </c>
      <c r="I1569" s="24" t="n"/>
      <c r="J1569" s="1" t="n"/>
    </row>
    <row r="1570">
      <c r="A1570" s="1" t="n"/>
      <c r="B1570" s="30" t="n"/>
      <c r="C1570" s="23" t="n"/>
      <c r="D1570" s="23" t="n"/>
      <c r="E1570" s="26" t="n"/>
      <c r="F1570" s="25" t="n"/>
      <c r="G1570" s="17">
        <f>IF(D1570="Sale",E1570*F1570,IF(D1570="Return",-E1570*F1570,""))</f>
        <v/>
      </c>
      <c r="H1570" s="17">
        <f>IFERROR(IF(D1570="Sale",E1570*INDEX(Products!$E$6:$E$205,MATCH(C1570,Products!$B$6:$B$205,0)),IF(D1570="Return",-E1570*INDEX(Products!$E$6:$E$205,MATCH(C1570,Products!$B$6:$B$205,0)),"")),"")</f>
        <v/>
      </c>
      <c r="I1570" s="24" t="n"/>
      <c r="J1570" s="1" t="n"/>
    </row>
    <row r="1571">
      <c r="A1571" s="1" t="n"/>
      <c r="B1571" s="30" t="n"/>
      <c r="C1571" s="23" t="n"/>
      <c r="D1571" s="23" t="n"/>
      <c r="E1571" s="26" t="n"/>
      <c r="F1571" s="25" t="n"/>
      <c r="G1571" s="17">
        <f>IF(D1571="Sale",E1571*F1571,IF(D1571="Return",-E1571*F1571,""))</f>
        <v/>
      </c>
      <c r="H1571" s="17">
        <f>IFERROR(IF(D1571="Sale",E1571*INDEX(Products!$E$6:$E$205,MATCH(C1571,Products!$B$6:$B$205,0)),IF(D1571="Return",-E1571*INDEX(Products!$E$6:$E$205,MATCH(C1571,Products!$B$6:$B$205,0)),"")),"")</f>
        <v/>
      </c>
      <c r="I1571" s="24" t="n"/>
      <c r="J1571" s="1" t="n"/>
    </row>
    <row r="1572">
      <c r="A1572" s="1" t="n"/>
      <c r="B1572" s="30" t="n"/>
      <c r="C1572" s="23" t="n"/>
      <c r="D1572" s="23" t="n"/>
      <c r="E1572" s="26" t="n"/>
      <c r="F1572" s="25" t="n"/>
      <c r="G1572" s="17">
        <f>IF(D1572="Sale",E1572*F1572,IF(D1572="Return",-E1572*F1572,""))</f>
        <v/>
      </c>
      <c r="H1572" s="17">
        <f>IFERROR(IF(D1572="Sale",E1572*INDEX(Products!$E$6:$E$205,MATCH(C1572,Products!$B$6:$B$205,0)),IF(D1572="Return",-E1572*INDEX(Products!$E$6:$E$205,MATCH(C1572,Products!$B$6:$B$205,0)),"")),"")</f>
        <v/>
      </c>
      <c r="I1572" s="24" t="n"/>
      <c r="J1572" s="1" t="n"/>
    </row>
    <row r="1573">
      <c r="A1573" s="1" t="n"/>
      <c r="B1573" s="30" t="n"/>
      <c r="C1573" s="23" t="n"/>
      <c r="D1573" s="23" t="n"/>
      <c r="E1573" s="26" t="n"/>
      <c r="F1573" s="25" t="n"/>
      <c r="G1573" s="17">
        <f>IF(D1573="Sale",E1573*F1573,IF(D1573="Return",-E1573*F1573,""))</f>
        <v/>
      </c>
      <c r="H1573" s="17">
        <f>IFERROR(IF(D1573="Sale",E1573*INDEX(Products!$E$6:$E$205,MATCH(C1573,Products!$B$6:$B$205,0)),IF(D1573="Return",-E1573*INDEX(Products!$E$6:$E$205,MATCH(C1573,Products!$B$6:$B$205,0)),"")),"")</f>
        <v/>
      </c>
      <c r="I1573" s="24" t="n"/>
      <c r="J1573" s="1" t="n"/>
    </row>
    <row r="1574">
      <c r="A1574" s="1" t="n"/>
      <c r="B1574" s="30" t="n"/>
      <c r="C1574" s="23" t="n"/>
      <c r="D1574" s="23" t="n"/>
      <c r="E1574" s="26" t="n"/>
      <c r="F1574" s="25" t="n"/>
      <c r="G1574" s="17">
        <f>IF(D1574="Sale",E1574*F1574,IF(D1574="Return",-E1574*F1574,""))</f>
        <v/>
      </c>
      <c r="H1574" s="17">
        <f>IFERROR(IF(D1574="Sale",E1574*INDEX(Products!$E$6:$E$205,MATCH(C1574,Products!$B$6:$B$205,0)),IF(D1574="Return",-E1574*INDEX(Products!$E$6:$E$205,MATCH(C1574,Products!$B$6:$B$205,0)),"")),"")</f>
        <v/>
      </c>
      <c r="I1574" s="24" t="n"/>
      <c r="J1574" s="1" t="n"/>
    </row>
    <row r="1575">
      <c r="A1575" s="1" t="n"/>
      <c r="B1575" s="30" t="n"/>
      <c r="C1575" s="23" t="n"/>
      <c r="D1575" s="23" t="n"/>
      <c r="E1575" s="26" t="n"/>
      <c r="F1575" s="25" t="n"/>
      <c r="G1575" s="17">
        <f>IF(D1575="Sale",E1575*F1575,IF(D1575="Return",-E1575*F1575,""))</f>
        <v/>
      </c>
      <c r="H1575" s="17">
        <f>IFERROR(IF(D1575="Sale",E1575*INDEX(Products!$E$6:$E$205,MATCH(C1575,Products!$B$6:$B$205,0)),IF(D1575="Return",-E1575*INDEX(Products!$E$6:$E$205,MATCH(C1575,Products!$B$6:$B$205,0)),"")),"")</f>
        <v/>
      </c>
      <c r="I1575" s="24" t="n"/>
      <c r="J1575" s="1" t="n"/>
    </row>
    <row r="1576">
      <c r="A1576" s="1" t="n"/>
      <c r="B1576" s="30" t="n"/>
      <c r="C1576" s="23" t="n"/>
      <c r="D1576" s="23" t="n"/>
      <c r="E1576" s="26" t="n"/>
      <c r="F1576" s="25" t="n"/>
      <c r="G1576" s="17">
        <f>IF(D1576="Sale",E1576*F1576,IF(D1576="Return",-E1576*F1576,""))</f>
        <v/>
      </c>
      <c r="H1576" s="17">
        <f>IFERROR(IF(D1576="Sale",E1576*INDEX(Products!$E$6:$E$205,MATCH(C1576,Products!$B$6:$B$205,0)),IF(D1576="Return",-E1576*INDEX(Products!$E$6:$E$205,MATCH(C1576,Products!$B$6:$B$205,0)),"")),"")</f>
        <v/>
      </c>
      <c r="I1576" s="24" t="n"/>
      <c r="J1576" s="1" t="n"/>
    </row>
    <row r="1577">
      <c r="A1577" s="1" t="n"/>
      <c r="B1577" s="30" t="n"/>
      <c r="C1577" s="23" t="n"/>
      <c r="D1577" s="23" t="n"/>
      <c r="E1577" s="26" t="n"/>
      <c r="F1577" s="25" t="n"/>
      <c r="G1577" s="17">
        <f>IF(D1577="Sale",E1577*F1577,IF(D1577="Return",-E1577*F1577,""))</f>
        <v/>
      </c>
      <c r="H1577" s="17">
        <f>IFERROR(IF(D1577="Sale",E1577*INDEX(Products!$E$6:$E$205,MATCH(C1577,Products!$B$6:$B$205,0)),IF(D1577="Return",-E1577*INDEX(Products!$E$6:$E$205,MATCH(C1577,Products!$B$6:$B$205,0)),"")),"")</f>
        <v/>
      </c>
      <c r="I1577" s="24" t="n"/>
      <c r="J1577" s="1" t="n"/>
    </row>
    <row r="1578">
      <c r="A1578" s="1" t="n"/>
      <c r="B1578" s="30" t="n"/>
      <c r="C1578" s="23" t="n"/>
      <c r="D1578" s="23" t="n"/>
      <c r="E1578" s="26" t="n"/>
      <c r="F1578" s="25" t="n"/>
      <c r="G1578" s="17">
        <f>IF(D1578="Sale",E1578*F1578,IF(D1578="Return",-E1578*F1578,""))</f>
        <v/>
      </c>
      <c r="H1578" s="17">
        <f>IFERROR(IF(D1578="Sale",E1578*INDEX(Products!$E$6:$E$205,MATCH(C1578,Products!$B$6:$B$205,0)),IF(D1578="Return",-E1578*INDEX(Products!$E$6:$E$205,MATCH(C1578,Products!$B$6:$B$205,0)),"")),"")</f>
        <v/>
      </c>
      <c r="I1578" s="24" t="n"/>
      <c r="J1578" s="1" t="n"/>
    </row>
    <row r="1579">
      <c r="A1579" s="1" t="n"/>
      <c r="B1579" s="30" t="n"/>
      <c r="C1579" s="23" t="n"/>
      <c r="D1579" s="23" t="n"/>
      <c r="E1579" s="26" t="n"/>
      <c r="F1579" s="25" t="n"/>
      <c r="G1579" s="17">
        <f>IF(D1579="Sale",E1579*F1579,IF(D1579="Return",-E1579*F1579,""))</f>
        <v/>
      </c>
      <c r="H1579" s="17">
        <f>IFERROR(IF(D1579="Sale",E1579*INDEX(Products!$E$6:$E$205,MATCH(C1579,Products!$B$6:$B$205,0)),IF(D1579="Return",-E1579*INDEX(Products!$E$6:$E$205,MATCH(C1579,Products!$B$6:$B$205,0)),"")),"")</f>
        <v/>
      </c>
      <c r="I1579" s="24" t="n"/>
      <c r="J1579" s="1" t="n"/>
    </row>
    <row r="1580">
      <c r="A1580" s="1" t="n"/>
      <c r="B1580" s="30" t="n"/>
      <c r="C1580" s="23" t="n"/>
      <c r="D1580" s="23" t="n"/>
      <c r="E1580" s="26" t="n"/>
      <c r="F1580" s="25" t="n"/>
      <c r="G1580" s="17">
        <f>IF(D1580="Sale",E1580*F1580,IF(D1580="Return",-E1580*F1580,""))</f>
        <v/>
      </c>
      <c r="H1580" s="17">
        <f>IFERROR(IF(D1580="Sale",E1580*INDEX(Products!$E$6:$E$205,MATCH(C1580,Products!$B$6:$B$205,0)),IF(D1580="Return",-E1580*INDEX(Products!$E$6:$E$205,MATCH(C1580,Products!$B$6:$B$205,0)),"")),"")</f>
        <v/>
      </c>
      <c r="I1580" s="24" t="n"/>
      <c r="J1580" s="1" t="n"/>
    </row>
    <row r="1581">
      <c r="A1581" s="1" t="n"/>
      <c r="B1581" s="30" t="n"/>
      <c r="C1581" s="23" t="n"/>
      <c r="D1581" s="23" t="n"/>
      <c r="E1581" s="26" t="n"/>
      <c r="F1581" s="25" t="n"/>
      <c r="G1581" s="17">
        <f>IF(D1581="Sale",E1581*F1581,IF(D1581="Return",-E1581*F1581,""))</f>
        <v/>
      </c>
      <c r="H1581" s="17">
        <f>IFERROR(IF(D1581="Sale",E1581*INDEX(Products!$E$6:$E$205,MATCH(C1581,Products!$B$6:$B$205,0)),IF(D1581="Return",-E1581*INDEX(Products!$E$6:$E$205,MATCH(C1581,Products!$B$6:$B$205,0)),"")),"")</f>
        <v/>
      </c>
      <c r="I1581" s="24" t="n"/>
      <c r="J1581" s="1" t="n"/>
    </row>
    <row r="1582">
      <c r="A1582" s="1" t="n"/>
      <c r="B1582" s="30" t="n"/>
      <c r="C1582" s="23" t="n"/>
      <c r="D1582" s="23" t="n"/>
      <c r="E1582" s="26" t="n"/>
      <c r="F1582" s="25" t="n"/>
      <c r="G1582" s="17">
        <f>IF(D1582="Sale",E1582*F1582,IF(D1582="Return",-E1582*F1582,""))</f>
        <v/>
      </c>
      <c r="H1582" s="17">
        <f>IFERROR(IF(D1582="Sale",E1582*INDEX(Products!$E$6:$E$205,MATCH(C1582,Products!$B$6:$B$205,0)),IF(D1582="Return",-E1582*INDEX(Products!$E$6:$E$205,MATCH(C1582,Products!$B$6:$B$205,0)),"")),"")</f>
        <v/>
      </c>
      <c r="I1582" s="24" t="n"/>
      <c r="J1582" s="1" t="n"/>
    </row>
    <row r="1583">
      <c r="A1583" s="1" t="n"/>
      <c r="B1583" s="30" t="n"/>
      <c r="C1583" s="23" t="n"/>
      <c r="D1583" s="23" t="n"/>
      <c r="E1583" s="26" t="n"/>
      <c r="F1583" s="25" t="n"/>
      <c r="G1583" s="17">
        <f>IF(D1583="Sale",E1583*F1583,IF(D1583="Return",-E1583*F1583,""))</f>
        <v/>
      </c>
      <c r="H1583" s="17">
        <f>IFERROR(IF(D1583="Sale",E1583*INDEX(Products!$E$6:$E$205,MATCH(C1583,Products!$B$6:$B$205,0)),IF(D1583="Return",-E1583*INDEX(Products!$E$6:$E$205,MATCH(C1583,Products!$B$6:$B$205,0)),"")),"")</f>
        <v/>
      </c>
      <c r="I1583" s="24" t="n"/>
      <c r="J1583" s="1" t="n"/>
    </row>
    <row r="1584">
      <c r="A1584" s="1" t="n"/>
      <c r="B1584" s="30" t="n"/>
      <c r="C1584" s="23" t="n"/>
      <c r="D1584" s="23" t="n"/>
      <c r="E1584" s="26" t="n"/>
      <c r="F1584" s="25" t="n"/>
      <c r="G1584" s="17">
        <f>IF(D1584="Sale",E1584*F1584,IF(D1584="Return",-E1584*F1584,""))</f>
        <v/>
      </c>
      <c r="H1584" s="17">
        <f>IFERROR(IF(D1584="Sale",E1584*INDEX(Products!$E$6:$E$205,MATCH(C1584,Products!$B$6:$B$205,0)),IF(D1584="Return",-E1584*INDEX(Products!$E$6:$E$205,MATCH(C1584,Products!$B$6:$B$205,0)),"")),"")</f>
        <v/>
      </c>
      <c r="I1584" s="24" t="n"/>
      <c r="J1584" s="1" t="n"/>
    </row>
    <row r="1585">
      <c r="A1585" s="1" t="n"/>
      <c r="B1585" s="30" t="n"/>
      <c r="C1585" s="23" t="n"/>
      <c r="D1585" s="23" t="n"/>
      <c r="E1585" s="26" t="n"/>
      <c r="F1585" s="25" t="n"/>
      <c r="G1585" s="17">
        <f>IF(D1585="Sale",E1585*F1585,IF(D1585="Return",-E1585*F1585,""))</f>
        <v/>
      </c>
      <c r="H1585" s="17">
        <f>IFERROR(IF(D1585="Sale",E1585*INDEX(Products!$E$6:$E$205,MATCH(C1585,Products!$B$6:$B$205,0)),IF(D1585="Return",-E1585*INDEX(Products!$E$6:$E$205,MATCH(C1585,Products!$B$6:$B$205,0)),"")),"")</f>
        <v/>
      </c>
      <c r="I1585" s="24" t="n"/>
      <c r="J1585" s="1" t="n"/>
    </row>
    <row r="1586">
      <c r="A1586" s="1" t="n"/>
      <c r="B1586" s="30" t="n"/>
      <c r="C1586" s="23" t="n"/>
      <c r="D1586" s="23" t="n"/>
      <c r="E1586" s="26" t="n"/>
      <c r="F1586" s="25" t="n"/>
      <c r="G1586" s="17">
        <f>IF(D1586="Sale",E1586*F1586,IF(D1586="Return",-E1586*F1586,""))</f>
        <v/>
      </c>
      <c r="H1586" s="17">
        <f>IFERROR(IF(D1586="Sale",E1586*INDEX(Products!$E$6:$E$205,MATCH(C1586,Products!$B$6:$B$205,0)),IF(D1586="Return",-E1586*INDEX(Products!$E$6:$E$205,MATCH(C1586,Products!$B$6:$B$205,0)),"")),"")</f>
        <v/>
      </c>
      <c r="I1586" s="24" t="n"/>
      <c r="J1586" s="1" t="n"/>
    </row>
    <row r="1587">
      <c r="A1587" s="1" t="n"/>
      <c r="B1587" s="30" t="n"/>
      <c r="C1587" s="23" t="n"/>
      <c r="D1587" s="23" t="n"/>
      <c r="E1587" s="26" t="n"/>
      <c r="F1587" s="25" t="n"/>
      <c r="G1587" s="17">
        <f>IF(D1587="Sale",E1587*F1587,IF(D1587="Return",-E1587*F1587,""))</f>
        <v/>
      </c>
      <c r="H1587" s="17">
        <f>IFERROR(IF(D1587="Sale",E1587*INDEX(Products!$E$6:$E$205,MATCH(C1587,Products!$B$6:$B$205,0)),IF(D1587="Return",-E1587*INDEX(Products!$E$6:$E$205,MATCH(C1587,Products!$B$6:$B$205,0)),"")),"")</f>
        <v/>
      </c>
      <c r="I1587" s="24" t="n"/>
      <c r="J1587" s="1" t="n"/>
    </row>
    <row r="1588">
      <c r="A1588" s="1" t="n"/>
      <c r="B1588" s="30" t="n"/>
      <c r="C1588" s="23" t="n"/>
      <c r="D1588" s="23" t="n"/>
      <c r="E1588" s="26" t="n"/>
      <c r="F1588" s="25" t="n"/>
      <c r="G1588" s="17">
        <f>IF(D1588="Sale",E1588*F1588,IF(D1588="Return",-E1588*F1588,""))</f>
        <v/>
      </c>
      <c r="H1588" s="17">
        <f>IFERROR(IF(D1588="Sale",E1588*INDEX(Products!$E$6:$E$205,MATCH(C1588,Products!$B$6:$B$205,0)),IF(D1588="Return",-E1588*INDEX(Products!$E$6:$E$205,MATCH(C1588,Products!$B$6:$B$205,0)),"")),"")</f>
        <v/>
      </c>
      <c r="I1588" s="24" t="n"/>
      <c r="J1588" s="1" t="n"/>
    </row>
    <row r="1589">
      <c r="A1589" s="1" t="n"/>
      <c r="B1589" s="30" t="n"/>
      <c r="C1589" s="23" t="n"/>
      <c r="D1589" s="23" t="n"/>
      <c r="E1589" s="26" t="n"/>
      <c r="F1589" s="25" t="n"/>
      <c r="G1589" s="17">
        <f>IF(D1589="Sale",E1589*F1589,IF(D1589="Return",-E1589*F1589,""))</f>
        <v/>
      </c>
      <c r="H1589" s="17">
        <f>IFERROR(IF(D1589="Sale",E1589*INDEX(Products!$E$6:$E$205,MATCH(C1589,Products!$B$6:$B$205,0)),IF(D1589="Return",-E1589*INDEX(Products!$E$6:$E$205,MATCH(C1589,Products!$B$6:$B$205,0)),"")),"")</f>
        <v/>
      </c>
      <c r="I1589" s="24" t="n"/>
      <c r="J1589" s="1" t="n"/>
    </row>
    <row r="1590">
      <c r="A1590" s="1" t="n"/>
      <c r="B1590" s="30" t="n"/>
      <c r="C1590" s="23" t="n"/>
      <c r="D1590" s="23" t="n"/>
      <c r="E1590" s="26" t="n"/>
      <c r="F1590" s="25" t="n"/>
      <c r="G1590" s="17">
        <f>IF(D1590="Sale",E1590*F1590,IF(D1590="Return",-E1590*F1590,""))</f>
        <v/>
      </c>
      <c r="H1590" s="17">
        <f>IFERROR(IF(D1590="Sale",E1590*INDEX(Products!$E$6:$E$205,MATCH(C1590,Products!$B$6:$B$205,0)),IF(D1590="Return",-E1590*INDEX(Products!$E$6:$E$205,MATCH(C1590,Products!$B$6:$B$205,0)),"")),"")</f>
        <v/>
      </c>
      <c r="I1590" s="24" t="n"/>
      <c r="J1590" s="1" t="n"/>
    </row>
    <row r="1591">
      <c r="A1591" s="1" t="n"/>
      <c r="B1591" s="30" t="n"/>
      <c r="C1591" s="23" t="n"/>
      <c r="D1591" s="23" t="n"/>
      <c r="E1591" s="26" t="n"/>
      <c r="F1591" s="25" t="n"/>
      <c r="G1591" s="17">
        <f>IF(D1591="Sale",E1591*F1591,IF(D1591="Return",-E1591*F1591,""))</f>
        <v/>
      </c>
      <c r="H1591" s="17">
        <f>IFERROR(IF(D1591="Sale",E1591*INDEX(Products!$E$6:$E$205,MATCH(C1591,Products!$B$6:$B$205,0)),IF(D1591="Return",-E1591*INDEX(Products!$E$6:$E$205,MATCH(C1591,Products!$B$6:$B$205,0)),"")),"")</f>
        <v/>
      </c>
      <c r="I1591" s="24" t="n"/>
      <c r="J1591" s="1" t="n"/>
    </row>
    <row r="1592">
      <c r="A1592" s="1" t="n"/>
      <c r="B1592" s="30" t="n"/>
      <c r="C1592" s="23" t="n"/>
      <c r="D1592" s="23" t="n"/>
      <c r="E1592" s="26" t="n"/>
      <c r="F1592" s="25" t="n"/>
      <c r="G1592" s="17">
        <f>IF(D1592="Sale",E1592*F1592,IF(D1592="Return",-E1592*F1592,""))</f>
        <v/>
      </c>
      <c r="H1592" s="17">
        <f>IFERROR(IF(D1592="Sale",E1592*INDEX(Products!$E$6:$E$205,MATCH(C1592,Products!$B$6:$B$205,0)),IF(D1592="Return",-E1592*INDEX(Products!$E$6:$E$205,MATCH(C1592,Products!$B$6:$B$205,0)),"")),"")</f>
        <v/>
      </c>
      <c r="I1592" s="24" t="n"/>
      <c r="J1592" s="1" t="n"/>
    </row>
    <row r="1593">
      <c r="A1593" s="1" t="n"/>
      <c r="B1593" s="30" t="n"/>
      <c r="C1593" s="23" t="n"/>
      <c r="D1593" s="23" t="n"/>
      <c r="E1593" s="26" t="n"/>
      <c r="F1593" s="25" t="n"/>
      <c r="G1593" s="17">
        <f>IF(D1593="Sale",E1593*F1593,IF(D1593="Return",-E1593*F1593,""))</f>
        <v/>
      </c>
      <c r="H1593" s="17">
        <f>IFERROR(IF(D1593="Sale",E1593*INDEX(Products!$E$6:$E$205,MATCH(C1593,Products!$B$6:$B$205,0)),IF(D1593="Return",-E1593*INDEX(Products!$E$6:$E$205,MATCH(C1593,Products!$B$6:$B$205,0)),"")),"")</f>
        <v/>
      </c>
      <c r="I1593" s="24" t="n"/>
      <c r="J1593" s="1" t="n"/>
    </row>
    <row r="1594">
      <c r="A1594" s="1" t="n"/>
      <c r="B1594" s="30" t="n"/>
      <c r="C1594" s="23" t="n"/>
      <c r="D1594" s="23" t="n"/>
      <c r="E1594" s="26" t="n"/>
      <c r="F1594" s="25" t="n"/>
      <c r="G1594" s="17">
        <f>IF(D1594="Sale",E1594*F1594,IF(D1594="Return",-E1594*F1594,""))</f>
        <v/>
      </c>
      <c r="H1594" s="17">
        <f>IFERROR(IF(D1594="Sale",E1594*INDEX(Products!$E$6:$E$205,MATCH(C1594,Products!$B$6:$B$205,0)),IF(D1594="Return",-E1594*INDEX(Products!$E$6:$E$205,MATCH(C1594,Products!$B$6:$B$205,0)),"")),"")</f>
        <v/>
      </c>
      <c r="I1594" s="24" t="n"/>
      <c r="J1594" s="1" t="n"/>
    </row>
    <row r="1595">
      <c r="A1595" s="1" t="n"/>
      <c r="B1595" s="30" t="n"/>
      <c r="C1595" s="23" t="n"/>
      <c r="D1595" s="23" t="n"/>
      <c r="E1595" s="26" t="n"/>
      <c r="F1595" s="25" t="n"/>
      <c r="G1595" s="17">
        <f>IF(D1595="Sale",E1595*F1595,IF(D1595="Return",-E1595*F1595,""))</f>
        <v/>
      </c>
      <c r="H1595" s="17">
        <f>IFERROR(IF(D1595="Sale",E1595*INDEX(Products!$E$6:$E$205,MATCH(C1595,Products!$B$6:$B$205,0)),IF(D1595="Return",-E1595*INDEX(Products!$E$6:$E$205,MATCH(C1595,Products!$B$6:$B$205,0)),"")),"")</f>
        <v/>
      </c>
      <c r="I1595" s="24" t="n"/>
      <c r="J1595" s="1" t="n"/>
    </row>
    <row r="1596">
      <c r="A1596" s="1" t="n"/>
      <c r="B1596" s="30" t="n"/>
      <c r="C1596" s="23" t="n"/>
      <c r="D1596" s="23" t="n"/>
      <c r="E1596" s="26" t="n"/>
      <c r="F1596" s="25" t="n"/>
      <c r="G1596" s="17">
        <f>IF(D1596="Sale",E1596*F1596,IF(D1596="Return",-E1596*F1596,""))</f>
        <v/>
      </c>
      <c r="H1596" s="17">
        <f>IFERROR(IF(D1596="Sale",E1596*INDEX(Products!$E$6:$E$205,MATCH(C1596,Products!$B$6:$B$205,0)),IF(D1596="Return",-E1596*INDEX(Products!$E$6:$E$205,MATCH(C1596,Products!$B$6:$B$205,0)),"")),"")</f>
        <v/>
      </c>
      <c r="I1596" s="24" t="n"/>
      <c r="J1596" s="1" t="n"/>
    </row>
    <row r="1597">
      <c r="A1597" s="1" t="n"/>
      <c r="B1597" s="30" t="n"/>
      <c r="C1597" s="23" t="n"/>
      <c r="D1597" s="23" t="n"/>
      <c r="E1597" s="26" t="n"/>
      <c r="F1597" s="25" t="n"/>
      <c r="G1597" s="17">
        <f>IF(D1597="Sale",E1597*F1597,IF(D1597="Return",-E1597*F1597,""))</f>
        <v/>
      </c>
      <c r="H1597" s="17">
        <f>IFERROR(IF(D1597="Sale",E1597*INDEX(Products!$E$6:$E$205,MATCH(C1597,Products!$B$6:$B$205,0)),IF(D1597="Return",-E1597*INDEX(Products!$E$6:$E$205,MATCH(C1597,Products!$B$6:$B$205,0)),"")),"")</f>
        <v/>
      </c>
      <c r="I1597" s="24" t="n"/>
      <c r="J1597" s="1" t="n"/>
    </row>
    <row r="1598">
      <c r="A1598" s="1" t="n"/>
      <c r="B1598" s="30" t="n"/>
      <c r="C1598" s="23" t="n"/>
      <c r="D1598" s="23" t="n"/>
      <c r="E1598" s="26" t="n"/>
      <c r="F1598" s="25" t="n"/>
      <c r="G1598" s="17">
        <f>IF(D1598="Sale",E1598*F1598,IF(D1598="Return",-E1598*F1598,""))</f>
        <v/>
      </c>
      <c r="H1598" s="17">
        <f>IFERROR(IF(D1598="Sale",E1598*INDEX(Products!$E$6:$E$205,MATCH(C1598,Products!$B$6:$B$205,0)),IF(D1598="Return",-E1598*INDEX(Products!$E$6:$E$205,MATCH(C1598,Products!$B$6:$B$205,0)),"")),"")</f>
        <v/>
      </c>
      <c r="I1598" s="24" t="n"/>
      <c r="J1598" s="1" t="n"/>
    </row>
    <row r="1599">
      <c r="A1599" s="1" t="n"/>
      <c r="B1599" s="30" t="n"/>
      <c r="C1599" s="23" t="n"/>
      <c r="D1599" s="23" t="n"/>
      <c r="E1599" s="26" t="n"/>
      <c r="F1599" s="25" t="n"/>
      <c r="G1599" s="17">
        <f>IF(D1599="Sale",E1599*F1599,IF(D1599="Return",-E1599*F1599,""))</f>
        <v/>
      </c>
      <c r="H1599" s="17">
        <f>IFERROR(IF(D1599="Sale",E1599*INDEX(Products!$E$6:$E$205,MATCH(C1599,Products!$B$6:$B$205,0)),IF(D1599="Return",-E1599*INDEX(Products!$E$6:$E$205,MATCH(C1599,Products!$B$6:$B$205,0)),"")),"")</f>
        <v/>
      </c>
      <c r="I1599" s="24" t="n"/>
      <c r="J1599" s="1" t="n"/>
    </row>
    <row r="1600">
      <c r="A1600" s="1" t="n"/>
      <c r="B1600" s="30" t="n"/>
      <c r="C1600" s="23" t="n"/>
      <c r="D1600" s="23" t="n"/>
      <c r="E1600" s="26" t="n"/>
      <c r="F1600" s="25" t="n"/>
      <c r="G1600" s="17">
        <f>IF(D1600="Sale",E1600*F1600,IF(D1600="Return",-E1600*F1600,""))</f>
        <v/>
      </c>
      <c r="H1600" s="17">
        <f>IFERROR(IF(D1600="Sale",E1600*INDEX(Products!$E$6:$E$205,MATCH(C1600,Products!$B$6:$B$205,0)),IF(D1600="Return",-E1600*INDEX(Products!$E$6:$E$205,MATCH(C1600,Products!$B$6:$B$205,0)),"")),"")</f>
        <v/>
      </c>
      <c r="I1600" s="24" t="n"/>
      <c r="J1600" s="1" t="n"/>
    </row>
    <row r="1601">
      <c r="A1601" s="1" t="n"/>
      <c r="B1601" s="30" t="n"/>
      <c r="C1601" s="23" t="n"/>
      <c r="D1601" s="23" t="n"/>
      <c r="E1601" s="26" t="n"/>
      <c r="F1601" s="25" t="n"/>
      <c r="G1601" s="17">
        <f>IF(D1601="Sale",E1601*F1601,IF(D1601="Return",-E1601*F1601,""))</f>
        <v/>
      </c>
      <c r="H1601" s="17">
        <f>IFERROR(IF(D1601="Sale",E1601*INDEX(Products!$E$6:$E$205,MATCH(C1601,Products!$B$6:$B$205,0)),IF(D1601="Return",-E1601*INDEX(Products!$E$6:$E$205,MATCH(C1601,Products!$B$6:$B$205,0)),"")),"")</f>
        <v/>
      </c>
      <c r="I1601" s="24" t="n"/>
      <c r="J1601" s="1" t="n"/>
    </row>
    <row r="1602">
      <c r="A1602" s="1" t="n"/>
      <c r="B1602" s="30" t="n"/>
      <c r="C1602" s="23" t="n"/>
      <c r="D1602" s="23" t="n"/>
      <c r="E1602" s="26" t="n"/>
      <c r="F1602" s="25" t="n"/>
      <c r="G1602" s="17">
        <f>IF(D1602="Sale",E1602*F1602,IF(D1602="Return",-E1602*F1602,""))</f>
        <v/>
      </c>
      <c r="H1602" s="17">
        <f>IFERROR(IF(D1602="Sale",E1602*INDEX(Products!$E$6:$E$205,MATCH(C1602,Products!$B$6:$B$205,0)),IF(D1602="Return",-E1602*INDEX(Products!$E$6:$E$205,MATCH(C1602,Products!$B$6:$B$205,0)),"")),"")</f>
        <v/>
      </c>
      <c r="I1602" s="24" t="n"/>
      <c r="J1602" s="1" t="n"/>
    </row>
    <row r="1603">
      <c r="A1603" s="1" t="n"/>
      <c r="B1603" s="30" t="n"/>
      <c r="C1603" s="23" t="n"/>
      <c r="D1603" s="23" t="n"/>
      <c r="E1603" s="26" t="n"/>
      <c r="F1603" s="25" t="n"/>
      <c r="G1603" s="17">
        <f>IF(D1603="Sale",E1603*F1603,IF(D1603="Return",-E1603*F1603,""))</f>
        <v/>
      </c>
      <c r="H1603" s="17">
        <f>IFERROR(IF(D1603="Sale",E1603*INDEX(Products!$E$6:$E$205,MATCH(C1603,Products!$B$6:$B$205,0)),IF(D1603="Return",-E1603*INDEX(Products!$E$6:$E$205,MATCH(C1603,Products!$B$6:$B$205,0)),"")),"")</f>
        <v/>
      </c>
      <c r="I1603" s="24" t="n"/>
      <c r="J1603" s="1" t="n"/>
    </row>
    <row r="1604">
      <c r="A1604" s="1" t="n"/>
      <c r="B1604" s="30" t="n"/>
      <c r="C1604" s="23" t="n"/>
      <c r="D1604" s="23" t="n"/>
      <c r="E1604" s="26" t="n"/>
      <c r="F1604" s="25" t="n"/>
      <c r="G1604" s="17">
        <f>IF(D1604="Sale",E1604*F1604,IF(D1604="Return",-E1604*F1604,""))</f>
        <v/>
      </c>
      <c r="H1604" s="17">
        <f>IFERROR(IF(D1604="Sale",E1604*INDEX(Products!$E$6:$E$205,MATCH(C1604,Products!$B$6:$B$205,0)),IF(D1604="Return",-E1604*INDEX(Products!$E$6:$E$205,MATCH(C1604,Products!$B$6:$B$205,0)),"")),"")</f>
        <v/>
      </c>
      <c r="I1604" s="24" t="n"/>
      <c r="J1604" s="1" t="n"/>
    </row>
    <row r="1605">
      <c r="A1605" s="1" t="n"/>
      <c r="B1605" s="30" t="n"/>
      <c r="C1605" s="23" t="n"/>
      <c r="D1605" s="23" t="n"/>
      <c r="E1605" s="26" t="n"/>
      <c r="F1605" s="25" t="n"/>
      <c r="G1605" s="17">
        <f>IF(D1605="Sale",E1605*F1605,IF(D1605="Return",-E1605*F1605,""))</f>
        <v/>
      </c>
      <c r="H1605" s="17">
        <f>IFERROR(IF(D1605="Sale",E1605*INDEX(Products!$E$6:$E$205,MATCH(C1605,Products!$B$6:$B$205,0)),IF(D1605="Return",-E1605*INDEX(Products!$E$6:$E$205,MATCH(C1605,Products!$B$6:$B$205,0)),"")),"")</f>
        <v/>
      </c>
      <c r="I1605" s="24" t="n"/>
      <c r="J1605" s="1" t="n"/>
    </row>
    <row r="1606">
      <c r="A1606" s="1" t="n"/>
      <c r="B1606" s="30" t="n"/>
      <c r="C1606" s="23" t="n"/>
      <c r="D1606" s="23" t="n"/>
      <c r="E1606" s="26" t="n"/>
      <c r="F1606" s="25" t="n"/>
      <c r="G1606" s="17">
        <f>IF(D1606="Sale",E1606*F1606,IF(D1606="Return",-E1606*F1606,""))</f>
        <v/>
      </c>
      <c r="H1606" s="17">
        <f>IFERROR(IF(D1606="Sale",E1606*INDEX(Products!$E$6:$E$205,MATCH(C1606,Products!$B$6:$B$205,0)),IF(D1606="Return",-E1606*INDEX(Products!$E$6:$E$205,MATCH(C1606,Products!$B$6:$B$205,0)),"")),"")</f>
        <v/>
      </c>
      <c r="I1606" s="24" t="n"/>
      <c r="J1606" s="1" t="n"/>
    </row>
    <row r="1607">
      <c r="A1607" s="1" t="n"/>
      <c r="B1607" s="30" t="n"/>
      <c r="C1607" s="23" t="n"/>
      <c r="D1607" s="23" t="n"/>
      <c r="E1607" s="26" t="n"/>
      <c r="F1607" s="25" t="n"/>
      <c r="G1607" s="17">
        <f>IF(D1607="Sale",E1607*F1607,IF(D1607="Return",-E1607*F1607,""))</f>
        <v/>
      </c>
      <c r="H1607" s="17">
        <f>IFERROR(IF(D1607="Sale",E1607*INDEX(Products!$E$6:$E$205,MATCH(C1607,Products!$B$6:$B$205,0)),IF(D1607="Return",-E1607*INDEX(Products!$E$6:$E$205,MATCH(C1607,Products!$B$6:$B$205,0)),"")),"")</f>
        <v/>
      </c>
      <c r="I1607" s="24" t="n"/>
      <c r="J1607" s="1" t="n"/>
    </row>
    <row r="1608">
      <c r="A1608" s="1" t="n"/>
      <c r="B1608" s="30" t="n"/>
      <c r="C1608" s="23" t="n"/>
      <c r="D1608" s="23" t="n"/>
      <c r="E1608" s="26" t="n"/>
      <c r="F1608" s="25" t="n"/>
      <c r="G1608" s="17">
        <f>IF(D1608="Sale",E1608*F1608,IF(D1608="Return",-E1608*F1608,""))</f>
        <v/>
      </c>
      <c r="H1608" s="17">
        <f>IFERROR(IF(D1608="Sale",E1608*INDEX(Products!$E$6:$E$205,MATCH(C1608,Products!$B$6:$B$205,0)),IF(D1608="Return",-E1608*INDEX(Products!$E$6:$E$205,MATCH(C1608,Products!$B$6:$B$205,0)),"")),"")</f>
        <v/>
      </c>
      <c r="I1608" s="24" t="n"/>
      <c r="J1608" s="1" t="n"/>
    </row>
    <row r="1609">
      <c r="A1609" s="1" t="n"/>
      <c r="B1609" s="30" t="n"/>
      <c r="C1609" s="23" t="n"/>
      <c r="D1609" s="23" t="n"/>
      <c r="E1609" s="26" t="n"/>
      <c r="F1609" s="25" t="n"/>
      <c r="G1609" s="17">
        <f>IF(D1609="Sale",E1609*F1609,IF(D1609="Return",-E1609*F1609,""))</f>
        <v/>
      </c>
      <c r="H1609" s="17">
        <f>IFERROR(IF(D1609="Sale",E1609*INDEX(Products!$E$6:$E$205,MATCH(C1609,Products!$B$6:$B$205,0)),IF(D1609="Return",-E1609*INDEX(Products!$E$6:$E$205,MATCH(C1609,Products!$B$6:$B$205,0)),"")),"")</f>
        <v/>
      </c>
      <c r="I1609" s="24" t="n"/>
      <c r="J1609" s="1" t="n"/>
    </row>
    <row r="1610">
      <c r="A1610" s="1" t="n"/>
      <c r="B1610" s="30" t="n"/>
      <c r="C1610" s="23" t="n"/>
      <c r="D1610" s="23" t="n"/>
      <c r="E1610" s="26" t="n"/>
      <c r="F1610" s="25" t="n"/>
      <c r="G1610" s="17">
        <f>IF(D1610="Sale",E1610*F1610,IF(D1610="Return",-E1610*F1610,""))</f>
        <v/>
      </c>
      <c r="H1610" s="17">
        <f>IFERROR(IF(D1610="Sale",E1610*INDEX(Products!$E$6:$E$205,MATCH(C1610,Products!$B$6:$B$205,0)),IF(D1610="Return",-E1610*INDEX(Products!$E$6:$E$205,MATCH(C1610,Products!$B$6:$B$205,0)),"")),"")</f>
        <v/>
      </c>
      <c r="I1610" s="24" t="n"/>
      <c r="J1610" s="1" t="n"/>
    </row>
    <row r="1611">
      <c r="A1611" s="1" t="n"/>
      <c r="B1611" s="30" t="n"/>
      <c r="C1611" s="23" t="n"/>
      <c r="D1611" s="23" t="n"/>
      <c r="E1611" s="26" t="n"/>
      <c r="F1611" s="25" t="n"/>
      <c r="G1611" s="17">
        <f>IF(D1611="Sale",E1611*F1611,IF(D1611="Return",-E1611*F1611,""))</f>
        <v/>
      </c>
      <c r="H1611" s="17">
        <f>IFERROR(IF(D1611="Sale",E1611*INDEX(Products!$E$6:$E$205,MATCH(C1611,Products!$B$6:$B$205,0)),IF(D1611="Return",-E1611*INDEX(Products!$E$6:$E$205,MATCH(C1611,Products!$B$6:$B$205,0)),"")),"")</f>
        <v/>
      </c>
      <c r="I1611" s="24" t="n"/>
      <c r="J1611" s="1" t="n"/>
    </row>
    <row r="1612">
      <c r="A1612" s="1" t="n"/>
      <c r="B1612" s="30" t="n"/>
      <c r="C1612" s="23" t="n"/>
      <c r="D1612" s="23" t="n"/>
      <c r="E1612" s="26" t="n"/>
      <c r="F1612" s="25" t="n"/>
      <c r="G1612" s="17">
        <f>IF(D1612="Sale",E1612*F1612,IF(D1612="Return",-E1612*F1612,""))</f>
        <v/>
      </c>
      <c r="H1612" s="17">
        <f>IFERROR(IF(D1612="Sale",E1612*INDEX(Products!$E$6:$E$205,MATCH(C1612,Products!$B$6:$B$205,0)),IF(D1612="Return",-E1612*INDEX(Products!$E$6:$E$205,MATCH(C1612,Products!$B$6:$B$205,0)),"")),"")</f>
        <v/>
      </c>
      <c r="I1612" s="24" t="n"/>
      <c r="J1612" s="1" t="n"/>
    </row>
    <row r="1613">
      <c r="A1613" s="1" t="n"/>
      <c r="B1613" s="30" t="n"/>
      <c r="C1613" s="23" t="n"/>
      <c r="D1613" s="23" t="n"/>
      <c r="E1613" s="26" t="n"/>
      <c r="F1613" s="25" t="n"/>
      <c r="G1613" s="17">
        <f>IF(D1613="Sale",E1613*F1613,IF(D1613="Return",-E1613*F1613,""))</f>
        <v/>
      </c>
      <c r="H1613" s="17">
        <f>IFERROR(IF(D1613="Sale",E1613*INDEX(Products!$E$6:$E$205,MATCH(C1613,Products!$B$6:$B$205,0)),IF(D1613="Return",-E1613*INDEX(Products!$E$6:$E$205,MATCH(C1613,Products!$B$6:$B$205,0)),"")),"")</f>
        <v/>
      </c>
      <c r="I1613" s="24" t="n"/>
      <c r="J1613" s="1" t="n"/>
    </row>
    <row r="1614">
      <c r="A1614" s="1" t="n"/>
      <c r="B1614" s="30" t="n"/>
      <c r="C1614" s="23" t="n"/>
      <c r="D1614" s="23" t="n"/>
      <c r="E1614" s="26" t="n"/>
      <c r="F1614" s="25" t="n"/>
      <c r="G1614" s="17">
        <f>IF(D1614="Sale",E1614*F1614,IF(D1614="Return",-E1614*F1614,""))</f>
        <v/>
      </c>
      <c r="H1614" s="17">
        <f>IFERROR(IF(D1614="Sale",E1614*INDEX(Products!$E$6:$E$205,MATCH(C1614,Products!$B$6:$B$205,0)),IF(D1614="Return",-E1614*INDEX(Products!$E$6:$E$205,MATCH(C1614,Products!$B$6:$B$205,0)),"")),"")</f>
        <v/>
      </c>
      <c r="I1614" s="24" t="n"/>
      <c r="J1614" s="1" t="n"/>
    </row>
    <row r="1615">
      <c r="A1615" s="1" t="n"/>
      <c r="B1615" s="30" t="n"/>
      <c r="C1615" s="23" t="n"/>
      <c r="D1615" s="23" t="n"/>
      <c r="E1615" s="26" t="n"/>
      <c r="F1615" s="25" t="n"/>
      <c r="G1615" s="17">
        <f>IF(D1615="Sale",E1615*F1615,IF(D1615="Return",-E1615*F1615,""))</f>
        <v/>
      </c>
      <c r="H1615" s="17">
        <f>IFERROR(IF(D1615="Sale",E1615*INDEX(Products!$E$6:$E$205,MATCH(C1615,Products!$B$6:$B$205,0)),IF(D1615="Return",-E1615*INDEX(Products!$E$6:$E$205,MATCH(C1615,Products!$B$6:$B$205,0)),"")),"")</f>
        <v/>
      </c>
      <c r="I1615" s="24" t="n"/>
      <c r="J1615" s="1" t="n"/>
    </row>
    <row r="1616">
      <c r="A1616" s="1" t="n"/>
      <c r="B1616" s="30" t="n"/>
      <c r="C1616" s="23" t="n"/>
      <c r="D1616" s="23" t="n"/>
      <c r="E1616" s="26" t="n"/>
      <c r="F1616" s="25" t="n"/>
      <c r="G1616" s="17">
        <f>IF(D1616="Sale",E1616*F1616,IF(D1616="Return",-E1616*F1616,""))</f>
        <v/>
      </c>
      <c r="H1616" s="17">
        <f>IFERROR(IF(D1616="Sale",E1616*INDEX(Products!$E$6:$E$205,MATCH(C1616,Products!$B$6:$B$205,0)),IF(D1616="Return",-E1616*INDEX(Products!$E$6:$E$205,MATCH(C1616,Products!$B$6:$B$205,0)),"")),"")</f>
        <v/>
      </c>
      <c r="I1616" s="24" t="n"/>
      <c r="J1616" s="1" t="n"/>
    </row>
    <row r="1617">
      <c r="A1617" s="1" t="n"/>
      <c r="B1617" s="30" t="n"/>
      <c r="C1617" s="23" t="n"/>
      <c r="D1617" s="23" t="n"/>
      <c r="E1617" s="26" t="n"/>
      <c r="F1617" s="25" t="n"/>
      <c r="G1617" s="17">
        <f>IF(D1617="Sale",E1617*F1617,IF(D1617="Return",-E1617*F1617,""))</f>
        <v/>
      </c>
      <c r="H1617" s="17">
        <f>IFERROR(IF(D1617="Sale",E1617*INDEX(Products!$E$6:$E$205,MATCH(C1617,Products!$B$6:$B$205,0)),IF(D1617="Return",-E1617*INDEX(Products!$E$6:$E$205,MATCH(C1617,Products!$B$6:$B$205,0)),"")),"")</f>
        <v/>
      </c>
      <c r="I1617" s="24" t="n"/>
      <c r="J1617" s="1" t="n"/>
    </row>
    <row r="1618">
      <c r="A1618" s="1" t="n"/>
      <c r="B1618" s="30" t="n"/>
      <c r="C1618" s="23" t="n"/>
      <c r="D1618" s="23" t="n"/>
      <c r="E1618" s="26" t="n"/>
      <c r="F1618" s="25" t="n"/>
      <c r="G1618" s="17">
        <f>IF(D1618="Sale",E1618*F1618,IF(D1618="Return",-E1618*F1618,""))</f>
        <v/>
      </c>
      <c r="H1618" s="17">
        <f>IFERROR(IF(D1618="Sale",E1618*INDEX(Products!$E$6:$E$205,MATCH(C1618,Products!$B$6:$B$205,0)),IF(D1618="Return",-E1618*INDEX(Products!$E$6:$E$205,MATCH(C1618,Products!$B$6:$B$205,0)),"")),"")</f>
        <v/>
      </c>
      <c r="I1618" s="24" t="n"/>
      <c r="J1618" s="1" t="n"/>
    </row>
    <row r="1619">
      <c r="A1619" s="1" t="n"/>
      <c r="B1619" s="30" t="n"/>
      <c r="C1619" s="23" t="n"/>
      <c r="D1619" s="23" t="n"/>
      <c r="E1619" s="26" t="n"/>
      <c r="F1619" s="25" t="n"/>
      <c r="G1619" s="17">
        <f>IF(D1619="Sale",E1619*F1619,IF(D1619="Return",-E1619*F1619,""))</f>
        <v/>
      </c>
      <c r="H1619" s="17">
        <f>IFERROR(IF(D1619="Sale",E1619*INDEX(Products!$E$6:$E$205,MATCH(C1619,Products!$B$6:$B$205,0)),IF(D1619="Return",-E1619*INDEX(Products!$E$6:$E$205,MATCH(C1619,Products!$B$6:$B$205,0)),"")),"")</f>
        <v/>
      </c>
      <c r="I1619" s="24" t="n"/>
      <c r="J1619" s="1" t="n"/>
    </row>
    <row r="1620">
      <c r="A1620" s="1" t="n"/>
      <c r="B1620" s="30" t="n"/>
      <c r="C1620" s="23" t="n"/>
      <c r="D1620" s="23" t="n"/>
      <c r="E1620" s="26" t="n"/>
      <c r="F1620" s="25" t="n"/>
      <c r="G1620" s="17">
        <f>IF(D1620="Sale",E1620*F1620,IF(D1620="Return",-E1620*F1620,""))</f>
        <v/>
      </c>
      <c r="H1620" s="17">
        <f>IFERROR(IF(D1620="Sale",E1620*INDEX(Products!$E$6:$E$205,MATCH(C1620,Products!$B$6:$B$205,0)),IF(D1620="Return",-E1620*INDEX(Products!$E$6:$E$205,MATCH(C1620,Products!$B$6:$B$205,0)),"")),"")</f>
        <v/>
      </c>
      <c r="I1620" s="24" t="n"/>
      <c r="J1620" s="1" t="n"/>
    </row>
    <row r="1621">
      <c r="A1621" s="1" t="n"/>
      <c r="B1621" s="30" t="n"/>
      <c r="C1621" s="23" t="n"/>
      <c r="D1621" s="23" t="n"/>
      <c r="E1621" s="26" t="n"/>
      <c r="F1621" s="25" t="n"/>
      <c r="G1621" s="17">
        <f>IF(D1621="Sale",E1621*F1621,IF(D1621="Return",-E1621*F1621,""))</f>
        <v/>
      </c>
      <c r="H1621" s="17">
        <f>IFERROR(IF(D1621="Sale",E1621*INDEX(Products!$E$6:$E$205,MATCH(C1621,Products!$B$6:$B$205,0)),IF(D1621="Return",-E1621*INDEX(Products!$E$6:$E$205,MATCH(C1621,Products!$B$6:$B$205,0)),"")),"")</f>
        <v/>
      </c>
      <c r="I1621" s="24" t="n"/>
      <c r="J1621" s="1" t="n"/>
    </row>
    <row r="1622">
      <c r="A1622" s="1" t="n"/>
      <c r="B1622" s="30" t="n"/>
      <c r="C1622" s="23" t="n"/>
      <c r="D1622" s="23" t="n"/>
      <c r="E1622" s="26" t="n"/>
      <c r="F1622" s="25" t="n"/>
      <c r="G1622" s="17">
        <f>IF(D1622="Sale",E1622*F1622,IF(D1622="Return",-E1622*F1622,""))</f>
        <v/>
      </c>
      <c r="H1622" s="17">
        <f>IFERROR(IF(D1622="Sale",E1622*INDEX(Products!$E$6:$E$205,MATCH(C1622,Products!$B$6:$B$205,0)),IF(D1622="Return",-E1622*INDEX(Products!$E$6:$E$205,MATCH(C1622,Products!$B$6:$B$205,0)),"")),"")</f>
        <v/>
      </c>
      <c r="I1622" s="24" t="n"/>
      <c r="J1622" s="1" t="n"/>
    </row>
    <row r="1623">
      <c r="A1623" s="1" t="n"/>
      <c r="B1623" s="30" t="n"/>
      <c r="C1623" s="23" t="n"/>
      <c r="D1623" s="23" t="n"/>
      <c r="E1623" s="26" t="n"/>
      <c r="F1623" s="25" t="n"/>
      <c r="G1623" s="17">
        <f>IF(D1623="Sale",E1623*F1623,IF(D1623="Return",-E1623*F1623,""))</f>
        <v/>
      </c>
      <c r="H1623" s="17">
        <f>IFERROR(IF(D1623="Sale",E1623*INDEX(Products!$E$6:$E$205,MATCH(C1623,Products!$B$6:$B$205,0)),IF(D1623="Return",-E1623*INDEX(Products!$E$6:$E$205,MATCH(C1623,Products!$B$6:$B$205,0)),"")),"")</f>
        <v/>
      </c>
      <c r="I1623" s="24" t="n"/>
      <c r="J1623" s="1" t="n"/>
    </row>
    <row r="1624">
      <c r="A1624" s="1" t="n"/>
      <c r="B1624" s="30" t="n"/>
      <c r="C1624" s="23" t="n"/>
      <c r="D1624" s="23" t="n"/>
      <c r="E1624" s="26" t="n"/>
      <c r="F1624" s="25" t="n"/>
      <c r="G1624" s="17">
        <f>IF(D1624="Sale",E1624*F1624,IF(D1624="Return",-E1624*F1624,""))</f>
        <v/>
      </c>
      <c r="H1624" s="17">
        <f>IFERROR(IF(D1624="Sale",E1624*INDEX(Products!$E$6:$E$205,MATCH(C1624,Products!$B$6:$B$205,0)),IF(D1624="Return",-E1624*INDEX(Products!$E$6:$E$205,MATCH(C1624,Products!$B$6:$B$205,0)),"")),"")</f>
        <v/>
      </c>
      <c r="I1624" s="24" t="n"/>
      <c r="J1624" s="1" t="n"/>
    </row>
    <row r="1625">
      <c r="A1625" s="1" t="n"/>
      <c r="B1625" s="30" t="n"/>
      <c r="C1625" s="23" t="n"/>
      <c r="D1625" s="23" t="n"/>
      <c r="E1625" s="26" t="n"/>
      <c r="F1625" s="25" t="n"/>
      <c r="G1625" s="17">
        <f>IF(D1625="Sale",E1625*F1625,IF(D1625="Return",-E1625*F1625,""))</f>
        <v/>
      </c>
      <c r="H1625" s="17">
        <f>IFERROR(IF(D1625="Sale",E1625*INDEX(Products!$E$6:$E$205,MATCH(C1625,Products!$B$6:$B$205,0)),IF(D1625="Return",-E1625*INDEX(Products!$E$6:$E$205,MATCH(C1625,Products!$B$6:$B$205,0)),"")),"")</f>
        <v/>
      </c>
      <c r="I1625" s="24" t="n"/>
      <c r="J1625" s="1" t="n"/>
    </row>
    <row r="1626">
      <c r="A1626" s="1" t="n"/>
      <c r="B1626" s="30" t="n"/>
      <c r="C1626" s="23" t="n"/>
      <c r="D1626" s="23" t="n"/>
      <c r="E1626" s="26" t="n"/>
      <c r="F1626" s="25" t="n"/>
      <c r="G1626" s="17">
        <f>IF(D1626="Sale",E1626*F1626,IF(D1626="Return",-E1626*F1626,""))</f>
        <v/>
      </c>
      <c r="H1626" s="17">
        <f>IFERROR(IF(D1626="Sale",E1626*INDEX(Products!$E$6:$E$205,MATCH(C1626,Products!$B$6:$B$205,0)),IF(D1626="Return",-E1626*INDEX(Products!$E$6:$E$205,MATCH(C1626,Products!$B$6:$B$205,0)),"")),"")</f>
        <v/>
      </c>
      <c r="I1626" s="24" t="n"/>
      <c r="J1626" s="1" t="n"/>
    </row>
    <row r="1627">
      <c r="A1627" s="1" t="n"/>
      <c r="B1627" s="30" t="n"/>
      <c r="C1627" s="23" t="n"/>
      <c r="D1627" s="23" t="n"/>
      <c r="E1627" s="26" t="n"/>
      <c r="F1627" s="25" t="n"/>
      <c r="G1627" s="17">
        <f>IF(D1627="Sale",E1627*F1627,IF(D1627="Return",-E1627*F1627,""))</f>
        <v/>
      </c>
      <c r="H1627" s="17">
        <f>IFERROR(IF(D1627="Sale",E1627*INDEX(Products!$E$6:$E$205,MATCH(C1627,Products!$B$6:$B$205,0)),IF(D1627="Return",-E1627*INDEX(Products!$E$6:$E$205,MATCH(C1627,Products!$B$6:$B$205,0)),"")),"")</f>
        <v/>
      </c>
      <c r="I1627" s="24" t="n"/>
      <c r="J1627" s="1" t="n"/>
    </row>
    <row r="1628">
      <c r="A1628" s="1" t="n"/>
      <c r="B1628" s="30" t="n"/>
      <c r="C1628" s="23" t="n"/>
      <c r="D1628" s="23" t="n"/>
      <c r="E1628" s="26" t="n"/>
      <c r="F1628" s="25" t="n"/>
      <c r="G1628" s="17">
        <f>IF(D1628="Sale",E1628*F1628,IF(D1628="Return",-E1628*F1628,""))</f>
        <v/>
      </c>
      <c r="H1628" s="17">
        <f>IFERROR(IF(D1628="Sale",E1628*INDEX(Products!$E$6:$E$205,MATCH(C1628,Products!$B$6:$B$205,0)),IF(D1628="Return",-E1628*INDEX(Products!$E$6:$E$205,MATCH(C1628,Products!$B$6:$B$205,0)),"")),"")</f>
        <v/>
      </c>
      <c r="I1628" s="24" t="n"/>
      <c r="J1628" s="1" t="n"/>
    </row>
    <row r="1629">
      <c r="A1629" s="1" t="n"/>
      <c r="B1629" s="30" t="n"/>
      <c r="C1629" s="23" t="n"/>
      <c r="D1629" s="23" t="n"/>
      <c r="E1629" s="26" t="n"/>
      <c r="F1629" s="25" t="n"/>
      <c r="G1629" s="17">
        <f>IF(D1629="Sale",E1629*F1629,IF(D1629="Return",-E1629*F1629,""))</f>
        <v/>
      </c>
      <c r="H1629" s="17">
        <f>IFERROR(IF(D1629="Sale",E1629*INDEX(Products!$E$6:$E$205,MATCH(C1629,Products!$B$6:$B$205,0)),IF(D1629="Return",-E1629*INDEX(Products!$E$6:$E$205,MATCH(C1629,Products!$B$6:$B$205,0)),"")),"")</f>
        <v/>
      </c>
      <c r="I1629" s="24" t="n"/>
      <c r="J1629" s="1" t="n"/>
    </row>
    <row r="1630">
      <c r="A1630" s="1" t="n"/>
      <c r="B1630" s="30" t="n"/>
      <c r="C1630" s="23" t="n"/>
      <c r="D1630" s="23" t="n"/>
      <c r="E1630" s="26" t="n"/>
      <c r="F1630" s="25" t="n"/>
      <c r="G1630" s="17">
        <f>IF(D1630="Sale",E1630*F1630,IF(D1630="Return",-E1630*F1630,""))</f>
        <v/>
      </c>
      <c r="H1630" s="17">
        <f>IFERROR(IF(D1630="Sale",E1630*INDEX(Products!$E$6:$E$205,MATCH(C1630,Products!$B$6:$B$205,0)),IF(D1630="Return",-E1630*INDEX(Products!$E$6:$E$205,MATCH(C1630,Products!$B$6:$B$205,0)),"")),"")</f>
        <v/>
      </c>
      <c r="I1630" s="24" t="n"/>
      <c r="J1630" s="1" t="n"/>
    </row>
    <row r="1631">
      <c r="A1631" s="1" t="n"/>
      <c r="B1631" s="30" t="n"/>
      <c r="C1631" s="23" t="n"/>
      <c r="D1631" s="23" t="n"/>
      <c r="E1631" s="26" t="n"/>
      <c r="F1631" s="25" t="n"/>
      <c r="G1631" s="17">
        <f>IF(D1631="Sale",E1631*F1631,IF(D1631="Return",-E1631*F1631,""))</f>
        <v/>
      </c>
      <c r="H1631" s="17">
        <f>IFERROR(IF(D1631="Sale",E1631*INDEX(Products!$E$6:$E$205,MATCH(C1631,Products!$B$6:$B$205,0)),IF(D1631="Return",-E1631*INDEX(Products!$E$6:$E$205,MATCH(C1631,Products!$B$6:$B$205,0)),"")),"")</f>
        <v/>
      </c>
      <c r="I1631" s="24" t="n"/>
      <c r="J1631" s="1" t="n"/>
    </row>
    <row r="1632">
      <c r="A1632" s="1" t="n"/>
      <c r="B1632" s="30" t="n"/>
      <c r="C1632" s="23" t="n"/>
      <c r="D1632" s="23" t="n"/>
      <c r="E1632" s="26" t="n"/>
      <c r="F1632" s="25" t="n"/>
      <c r="G1632" s="17">
        <f>IF(D1632="Sale",E1632*F1632,IF(D1632="Return",-E1632*F1632,""))</f>
        <v/>
      </c>
      <c r="H1632" s="17">
        <f>IFERROR(IF(D1632="Sale",E1632*INDEX(Products!$E$6:$E$205,MATCH(C1632,Products!$B$6:$B$205,0)),IF(D1632="Return",-E1632*INDEX(Products!$E$6:$E$205,MATCH(C1632,Products!$B$6:$B$205,0)),"")),"")</f>
        <v/>
      </c>
      <c r="I1632" s="24" t="n"/>
      <c r="J1632" s="1" t="n"/>
    </row>
    <row r="1633">
      <c r="A1633" s="1" t="n"/>
      <c r="B1633" s="30" t="n"/>
      <c r="C1633" s="23" t="n"/>
      <c r="D1633" s="23" t="n"/>
      <c r="E1633" s="26" t="n"/>
      <c r="F1633" s="25" t="n"/>
      <c r="G1633" s="17">
        <f>IF(D1633="Sale",E1633*F1633,IF(D1633="Return",-E1633*F1633,""))</f>
        <v/>
      </c>
      <c r="H1633" s="17">
        <f>IFERROR(IF(D1633="Sale",E1633*INDEX(Products!$E$6:$E$205,MATCH(C1633,Products!$B$6:$B$205,0)),IF(D1633="Return",-E1633*INDEX(Products!$E$6:$E$205,MATCH(C1633,Products!$B$6:$B$205,0)),"")),"")</f>
        <v/>
      </c>
      <c r="I1633" s="24" t="n"/>
      <c r="J1633" s="1" t="n"/>
    </row>
    <row r="1634">
      <c r="A1634" s="1" t="n"/>
      <c r="B1634" s="30" t="n"/>
      <c r="C1634" s="23" t="n"/>
      <c r="D1634" s="23" t="n"/>
      <c r="E1634" s="26" t="n"/>
      <c r="F1634" s="25" t="n"/>
      <c r="G1634" s="17">
        <f>IF(D1634="Sale",E1634*F1634,IF(D1634="Return",-E1634*F1634,""))</f>
        <v/>
      </c>
      <c r="H1634" s="17">
        <f>IFERROR(IF(D1634="Sale",E1634*INDEX(Products!$E$6:$E$205,MATCH(C1634,Products!$B$6:$B$205,0)),IF(D1634="Return",-E1634*INDEX(Products!$E$6:$E$205,MATCH(C1634,Products!$B$6:$B$205,0)),"")),"")</f>
        <v/>
      </c>
      <c r="I1634" s="24" t="n"/>
      <c r="J1634" s="1" t="n"/>
    </row>
    <row r="1635">
      <c r="A1635" s="1" t="n"/>
      <c r="B1635" s="30" t="n"/>
      <c r="C1635" s="23" t="n"/>
      <c r="D1635" s="23" t="n"/>
      <c r="E1635" s="26" t="n"/>
      <c r="F1635" s="25" t="n"/>
      <c r="G1635" s="17">
        <f>IF(D1635="Sale",E1635*F1635,IF(D1635="Return",-E1635*F1635,""))</f>
        <v/>
      </c>
      <c r="H1635" s="17">
        <f>IFERROR(IF(D1635="Sale",E1635*INDEX(Products!$E$6:$E$205,MATCH(C1635,Products!$B$6:$B$205,0)),IF(D1635="Return",-E1635*INDEX(Products!$E$6:$E$205,MATCH(C1635,Products!$B$6:$B$205,0)),"")),"")</f>
        <v/>
      </c>
      <c r="I1635" s="24" t="n"/>
      <c r="J1635" s="1" t="n"/>
    </row>
    <row r="1636">
      <c r="A1636" s="1" t="n"/>
      <c r="B1636" s="30" t="n"/>
      <c r="C1636" s="23" t="n"/>
      <c r="D1636" s="23" t="n"/>
      <c r="E1636" s="26" t="n"/>
      <c r="F1636" s="25" t="n"/>
      <c r="G1636" s="17">
        <f>IF(D1636="Sale",E1636*F1636,IF(D1636="Return",-E1636*F1636,""))</f>
        <v/>
      </c>
      <c r="H1636" s="17">
        <f>IFERROR(IF(D1636="Sale",E1636*INDEX(Products!$E$6:$E$205,MATCH(C1636,Products!$B$6:$B$205,0)),IF(D1636="Return",-E1636*INDEX(Products!$E$6:$E$205,MATCH(C1636,Products!$B$6:$B$205,0)),"")),"")</f>
        <v/>
      </c>
      <c r="I1636" s="24" t="n"/>
      <c r="J1636" s="1" t="n"/>
    </row>
    <row r="1637">
      <c r="A1637" s="1" t="n"/>
      <c r="B1637" s="30" t="n"/>
      <c r="C1637" s="23" t="n"/>
      <c r="D1637" s="23" t="n"/>
      <c r="E1637" s="26" t="n"/>
      <c r="F1637" s="25" t="n"/>
      <c r="G1637" s="17">
        <f>IF(D1637="Sale",E1637*F1637,IF(D1637="Return",-E1637*F1637,""))</f>
        <v/>
      </c>
      <c r="H1637" s="17">
        <f>IFERROR(IF(D1637="Sale",E1637*INDEX(Products!$E$6:$E$205,MATCH(C1637,Products!$B$6:$B$205,0)),IF(D1637="Return",-E1637*INDEX(Products!$E$6:$E$205,MATCH(C1637,Products!$B$6:$B$205,0)),"")),"")</f>
        <v/>
      </c>
      <c r="I1637" s="24" t="n"/>
      <c r="J1637" s="1" t="n"/>
    </row>
    <row r="1638">
      <c r="A1638" s="1" t="n"/>
      <c r="B1638" s="30" t="n"/>
      <c r="C1638" s="23" t="n"/>
      <c r="D1638" s="23" t="n"/>
      <c r="E1638" s="26" t="n"/>
      <c r="F1638" s="25" t="n"/>
      <c r="G1638" s="17">
        <f>IF(D1638="Sale",E1638*F1638,IF(D1638="Return",-E1638*F1638,""))</f>
        <v/>
      </c>
      <c r="H1638" s="17">
        <f>IFERROR(IF(D1638="Sale",E1638*INDEX(Products!$E$6:$E$205,MATCH(C1638,Products!$B$6:$B$205,0)),IF(D1638="Return",-E1638*INDEX(Products!$E$6:$E$205,MATCH(C1638,Products!$B$6:$B$205,0)),"")),"")</f>
        <v/>
      </c>
      <c r="I1638" s="24" t="n"/>
      <c r="J1638" s="1" t="n"/>
    </row>
    <row r="1639">
      <c r="A1639" s="1" t="n"/>
      <c r="B1639" s="30" t="n"/>
      <c r="C1639" s="23" t="n"/>
      <c r="D1639" s="23" t="n"/>
      <c r="E1639" s="26" t="n"/>
      <c r="F1639" s="25" t="n"/>
      <c r="G1639" s="17">
        <f>IF(D1639="Sale",E1639*F1639,IF(D1639="Return",-E1639*F1639,""))</f>
        <v/>
      </c>
      <c r="H1639" s="17">
        <f>IFERROR(IF(D1639="Sale",E1639*INDEX(Products!$E$6:$E$205,MATCH(C1639,Products!$B$6:$B$205,0)),IF(D1639="Return",-E1639*INDEX(Products!$E$6:$E$205,MATCH(C1639,Products!$B$6:$B$205,0)),"")),"")</f>
        <v/>
      </c>
      <c r="I1639" s="24" t="n"/>
      <c r="J1639" s="1" t="n"/>
    </row>
    <row r="1640">
      <c r="A1640" s="1" t="n"/>
      <c r="B1640" s="30" t="n"/>
      <c r="C1640" s="23" t="n"/>
      <c r="D1640" s="23" t="n"/>
      <c r="E1640" s="26" t="n"/>
      <c r="F1640" s="25" t="n"/>
      <c r="G1640" s="17">
        <f>IF(D1640="Sale",E1640*F1640,IF(D1640="Return",-E1640*F1640,""))</f>
        <v/>
      </c>
      <c r="H1640" s="17">
        <f>IFERROR(IF(D1640="Sale",E1640*INDEX(Products!$E$6:$E$205,MATCH(C1640,Products!$B$6:$B$205,0)),IF(D1640="Return",-E1640*INDEX(Products!$E$6:$E$205,MATCH(C1640,Products!$B$6:$B$205,0)),"")),"")</f>
        <v/>
      </c>
      <c r="I1640" s="24" t="n"/>
      <c r="J1640" s="1" t="n"/>
    </row>
    <row r="1641">
      <c r="A1641" s="1" t="n"/>
      <c r="B1641" s="30" t="n"/>
      <c r="C1641" s="23" t="n"/>
      <c r="D1641" s="23" t="n"/>
      <c r="E1641" s="26" t="n"/>
      <c r="F1641" s="25" t="n"/>
      <c r="G1641" s="17">
        <f>IF(D1641="Sale",E1641*F1641,IF(D1641="Return",-E1641*F1641,""))</f>
        <v/>
      </c>
      <c r="H1641" s="17">
        <f>IFERROR(IF(D1641="Sale",E1641*INDEX(Products!$E$6:$E$205,MATCH(C1641,Products!$B$6:$B$205,0)),IF(D1641="Return",-E1641*INDEX(Products!$E$6:$E$205,MATCH(C1641,Products!$B$6:$B$205,0)),"")),"")</f>
        <v/>
      </c>
      <c r="I1641" s="24" t="n"/>
      <c r="J1641" s="1" t="n"/>
    </row>
    <row r="1642">
      <c r="A1642" s="1" t="n"/>
      <c r="B1642" s="30" t="n"/>
      <c r="C1642" s="23" t="n"/>
      <c r="D1642" s="23" t="n"/>
      <c r="E1642" s="26" t="n"/>
      <c r="F1642" s="25" t="n"/>
      <c r="G1642" s="17">
        <f>IF(D1642="Sale",E1642*F1642,IF(D1642="Return",-E1642*F1642,""))</f>
        <v/>
      </c>
      <c r="H1642" s="17">
        <f>IFERROR(IF(D1642="Sale",E1642*INDEX(Products!$E$6:$E$205,MATCH(C1642,Products!$B$6:$B$205,0)),IF(D1642="Return",-E1642*INDEX(Products!$E$6:$E$205,MATCH(C1642,Products!$B$6:$B$205,0)),"")),"")</f>
        <v/>
      </c>
      <c r="I1642" s="24" t="n"/>
      <c r="J1642" s="1" t="n"/>
    </row>
    <row r="1643">
      <c r="A1643" s="1" t="n"/>
      <c r="B1643" s="30" t="n"/>
      <c r="C1643" s="23" t="n"/>
      <c r="D1643" s="23" t="n"/>
      <c r="E1643" s="26" t="n"/>
      <c r="F1643" s="25" t="n"/>
      <c r="G1643" s="17">
        <f>IF(D1643="Sale",E1643*F1643,IF(D1643="Return",-E1643*F1643,""))</f>
        <v/>
      </c>
      <c r="H1643" s="17">
        <f>IFERROR(IF(D1643="Sale",E1643*INDEX(Products!$E$6:$E$205,MATCH(C1643,Products!$B$6:$B$205,0)),IF(D1643="Return",-E1643*INDEX(Products!$E$6:$E$205,MATCH(C1643,Products!$B$6:$B$205,0)),"")),"")</f>
        <v/>
      </c>
      <c r="I1643" s="24" t="n"/>
      <c r="J1643" s="1" t="n"/>
    </row>
    <row r="1644">
      <c r="A1644" s="1" t="n"/>
      <c r="B1644" s="30" t="n"/>
      <c r="C1644" s="23" t="n"/>
      <c r="D1644" s="23" t="n"/>
      <c r="E1644" s="26" t="n"/>
      <c r="F1644" s="25" t="n"/>
      <c r="G1644" s="17">
        <f>IF(D1644="Sale",E1644*F1644,IF(D1644="Return",-E1644*F1644,""))</f>
        <v/>
      </c>
      <c r="H1644" s="17">
        <f>IFERROR(IF(D1644="Sale",E1644*INDEX(Products!$E$6:$E$205,MATCH(C1644,Products!$B$6:$B$205,0)),IF(D1644="Return",-E1644*INDEX(Products!$E$6:$E$205,MATCH(C1644,Products!$B$6:$B$205,0)),"")),"")</f>
        <v/>
      </c>
      <c r="I1644" s="24" t="n"/>
      <c r="J1644" s="1" t="n"/>
    </row>
    <row r="1645">
      <c r="A1645" s="1" t="n"/>
      <c r="B1645" s="30" t="n"/>
      <c r="C1645" s="23" t="n"/>
      <c r="D1645" s="23" t="n"/>
      <c r="E1645" s="26" t="n"/>
      <c r="F1645" s="25" t="n"/>
      <c r="G1645" s="17">
        <f>IF(D1645="Sale",E1645*F1645,IF(D1645="Return",-E1645*F1645,""))</f>
        <v/>
      </c>
      <c r="H1645" s="17">
        <f>IFERROR(IF(D1645="Sale",E1645*INDEX(Products!$E$6:$E$205,MATCH(C1645,Products!$B$6:$B$205,0)),IF(D1645="Return",-E1645*INDEX(Products!$E$6:$E$205,MATCH(C1645,Products!$B$6:$B$205,0)),"")),"")</f>
        <v/>
      </c>
      <c r="I1645" s="24" t="n"/>
      <c r="J1645" s="1" t="n"/>
    </row>
    <row r="1646">
      <c r="A1646" s="1" t="n"/>
      <c r="B1646" s="30" t="n"/>
      <c r="C1646" s="23" t="n"/>
      <c r="D1646" s="23" t="n"/>
      <c r="E1646" s="26" t="n"/>
      <c r="F1646" s="25" t="n"/>
      <c r="G1646" s="17">
        <f>IF(D1646="Sale",E1646*F1646,IF(D1646="Return",-E1646*F1646,""))</f>
        <v/>
      </c>
      <c r="H1646" s="17">
        <f>IFERROR(IF(D1646="Sale",E1646*INDEX(Products!$E$6:$E$205,MATCH(C1646,Products!$B$6:$B$205,0)),IF(D1646="Return",-E1646*INDEX(Products!$E$6:$E$205,MATCH(C1646,Products!$B$6:$B$205,0)),"")),"")</f>
        <v/>
      </c>
      <c r="I1646" s="24" t="n"/>
      <c r="J1646" s="1" t="n"/>
    </row>
    <row r="1647">
      <c r="A1647" s="1" t="n"/>
      <c r="B1647" s="30" t="n"/>
      <c r="C1647" s="23" t="n"/>
      <c r="D1647" s="23" t="n"/>
      <c r="E1647" s="26" t="n"/>
      <c r="F1647" s="25" t="n"/>
      <c r="G1647" s="17">
        <f>IF(D1647="Sale",E1647*F1647,IF(D1647="Return",-E1647*F1647,""))</f>
        <v/>
      </c>
      <c r="H1647" s="17">
        <f>IFERROR(IF(D1647="Sale",E1647*INDEX(Products!$E$6:$E$205,MATCH(C1647,Products!$B$6:$B$205,0)),IF(D1647="Return",-E1647*INDEX(Products!$E$6:$E$205,MATCH(C1647,Products!$B$6:$B$205,0)),"")),"")</f>
        <v/>
      </c>
      <c r="I1647" s="24" t="n"/>
      <c r="J1647" s="1" t="n"/>
    </row>
    <row r="1648">
      <c r="A1648" s="1" t="n"/>
      <c r="B1648" s="30" t="n"/>
      <c r="C1648" s="23" t="n"/>
      <c r="D1648" s="23" t="n"/>
      <c r="E1648" s="26" t="n"/>
      <c r="F1648" s="25" t="n"/>
      <c r="G1648" s="17">
        <f>IF(D1648="Sale",E1648*F1648,IF(D1648="Return",-E1648*F1648,""))</f>
        <v/>
      </c>
      <c r="H1648" s="17">
        <f>IFERROR(IF(D1648="Sale",E1648*INDEX(Products!$E$6:$E$205,MATCH(C1648,Products!$B$6:$B$205,0)),IF(D1648="Return",-E1648*INDEX(Products!$E$6:$E$205,MATCH(C1648,Products!$B$6:$B$205,0)),"")),"")</f>
        <v/>
      </c>
      <c r="I1648" s="24" t="n"/>
      <c r="J1648" s="1" t="n"/>
    </row>
    <row r="1649">
      <c r="A1649" s="1" t="n"/>
      <c r="B1649" s="30" t="n"/>
      <c r="C1649" s="23" t="n"/>
      <c r="D1649" s="23" t="n"/>
      <c r="E1649" s="26" t="n"/>
      <c r="F1649" s="25" t="n"/>
      <c r="G1649" s="17">
        <f>IF(D1649="Sale",E1649*F1649,IF(D1649="Return",-E1649*F1649,""))</f>
        <v/>
      </c>
      <c r="H1649" s="17">
        <f>IFERROR(IF(D1649="Sale",E1649*INDEX(Products!$E$6:$E$205,MATCH(C1649,Products!$B$6:$B$205,0)),IF(D1649="Return",-E1649*INDEX(Products!$E$6:$E$205,MATCH(C1649,Products!$B$6:$B$205,0)),"")),"")</f>
        <v/>
      </c>
      <c r="I1649" s="24" t="n"/>
      <c r="J1649" s="1" t="n"/>
    </row>
    <row r="1650">
      <c r="A1650" s="1" t="n"/>
      <c r="B1650" s="30" t="n"/>
      <c r="C1650" s="23" t="n"/>
      <c r="D1650" s="23" t="n"/>
      <c r="E1650" s="26" t="n"/>
      <c r="F1650" s="25" t="n"/>
      <c r="G1650" s="17">
        <f>IF(D1650="Sale",E1650*F1650,IF(D1650="Return",-E1650*F1650,""))</f>
        <v/>
      </c>
      <c r="H1650" s="17">
        <f>IFERROR(IF(D1650="Sale",E1650*INDEX(Products!$E$6:$E$205,MATCH(C1650,Products!$B$6:$B$205,0)),IF(D1650="Return",-E1650*INDEX(Products!$E$6:$E$205,MATCH(C1650,Products!$B$6:$B$205,0)),"")),"")</f>
        <v/>
      </c>
      <c r="I1650" s="24" t="n"/>
      <c r="J1650" s="1" t="n"/>
    </row>
    <row r="1651">
      <c r="A1651" s="1" t="n"/>
      <c r="B1651" s="30" t="n"/>
      <c r="C1651" s="23" t="n"/>
      <c r="D1651" s="23" t="n"/>
      <c r="E1651" s="26" t="n"/>
      <c r="F1651" s="25" t="n"/>
      <c r="G1651" s="17">
        <f>IF(D1651="Sale",E1651*F1651,IF(D1651="Return",-E1651*F1651,""))</f>
        <v/>
      </c>
      <c r="H1651" s="17">
        <f>IFERROR(IF(D1651="Sale",E1651*INDEX(Products!$E$6:$E$205,MATCH(C1651,Products!$B$6:$B$205,0)),IF(D1651="Return",-E1651*INDEX(Products!$E$6:$E$205,MATCH(C1651,Products!$B$6:$B$205,0)),"")),"")</f>
        <v/>
      </c>
      <c r="I1651" s="24" t="n"/>
      <c r="J1651" s="1" t="n"/>
    </row>
    <row r="1652">
      <c r="A1652" s="1" t="n"/>
      <c r="B1652" s="30" t="n"/>
      <c r="C1652" s="23" t="n"/>
      <c r="D1652" s="23" t="n"/>
      <c r="E1652" s="26" t="n"/>
      <c r="F1652" s="25" t="n"/>
      <c r="G1652" s="17">
        <f>IF(D1652="Sale",E1652*F1652,IF(D1652="Return",-E1652*F1652,""))</f>
        <v/>
      </c>
      <c r="H1652" s="17">
        <f>IFERROR(IF(D1652="Sale",E1652*INDEX(Products!$E$6:$E$205,MATCH(C1652,Products!$B$6:$B$205,0)),IF(D1652="Return",-E1652*INDEX(Products!$E$6:$E$205,MATCH(C1652,Products!$B$6:$B$205,0)),"")),"")</f>
        <v/>
      </c>
      <c r="I1652" s="24" t="n"/>
      <c r="J1652" s="1" t="n"/>
    </row>
    <row r="1653">
      <c r="A1653" s="1" t="n"/>
      <c r="B1653" s="30" t="n"/>
      <c r="C1653" s="23" t="n"/>
      <c r="D1653" s="23" t="n"/>
      <c r="E1653" s="26" t="n"/>
      <c r="F1653" s="25" t="n"/>
      <c r="G1653" s="17">
        <f>IF(D1653="Sale",E1653*F1653,IF(D1653="Return",-E1653*F1653,""))</f>
        <v/>
      </c>
      <c r="H1653" s="17">
        <f>IFERROR(IF(D1653="Sale",E1653*INDEX(Products!$E$6:$E$205,MATCH(C1653,Products!$B$6:$B$205,0)),IF(D1653="Return",-E1653*INDEX(Products!$E$6:$E$205,MATCH(C1653,Products!$B$6:$B$205,0)),"")),"")</f>
        <v/>
      </c>
      <c r="I1653" s="24" t="n"/>
      <c r="J1653" s="1" t="n"/>
    </row>
    <row r="1654">
      <c r="A1654" s="1" t="n"/>
      <c r="B1654" s="30" t="n"/>
      <c r="C1654" s="23" t="n"/>
      <c r="D1654" s="23" t="n"/>
      <c r="E1654" s="26" t="n"/>
      <c r="F1654" s="25" t="n"/>
      <c r="G1654" s="17">
        <f>IF(D1654="Sale",E1654*F1654,IF(D1654="Return",-E1654*F1654,""))</f>
        <v/>
      </c>
      <c r="H1654" s="17">
        <f>IFERROR(IF(D1654="Sale",E1654*INDEX(Products!$E$6:$E$205,MATCH(C1654,Products!$B$6:$B$205,0)),IF(D1654="Return",-E1654*INDEX(Products!$E$6:$E$205,MATCH(C1654,Products!$B$6:$B$205,0)),"")),"")</f>
        <v/>
      </c>
      <c r="I1654" s="24" t="n"/>
      <c r="J1654" s="1" t="n"/>
    </row>
    <row r="1655">
      <c r="A1655" s="1" t="n"/>
      <c r="B1655" s="30" t="n"/>
      <c r="C1655" s="23" t="n"/>
      <c r="D1655" s="23" t="n"/>
      <c r="E1655" s="26" t="n"/>
      <c r="F1655" s="25" t="n"/>
      <c r="G1655" s="17">
        <f>IF(D1655="Sale",E1655*F1655,IF(D1655="Return",-E1655*F1655,""))</f>
        <v/>
      </c>
      <c r="H1655" s="17">
        <f>IFERROR(IF(D1655="Sale",E1655*INDEX(Products!$E$6:$E$205,MATCH(C1655,Products!$B$6:$B$205,0)),IF(D1655="Return",-E1655*INDEX(Products!$E$6:$E$205,MATCH(C1655,Products!$B$6:$B$205,0)),"")),"")</f>
        <v/>
      </c>
      <c r="I1655" s="24" t="n"/>
      <c r="J1655" s="1" t="n"/>
    </row>
    <row r="1656">
      <c r="A1656" s="1" t="n"/>
      <c r="B1656" s="30" t="n"/>
      <c r="C1656" s="23" t="n"/>
      <c r="D1656" s="23" t="n"/>
      <c r="E1656" s="26" t="n"/>
      <c r="F1656" s="25" t="n"/>
      <c r="G1656" s="17">
        <f>IF(D1656="Sale",E1656*F1656,IF(D1656="Return",-E1656*F1656,""))</f>
        <v/>
      </c>
      <c r="H1656" s="17">
        <f>IFERROR(IF(D1656="Sale",E1656*INDEX(Products!$E$6:$E$205,MATCH(C1656,Products!$B$6:$B$205,0)),IF(D1656="Return",-E1656*INDEX(Products!$E$6:$E$205,MATCH(C1656,Products!$B$6:$B$205,0)),"")),"")</f>
        <v/>
      </c>
      <c r="I1656" s="24" t="n"/>
      <c r="J1656" s="1" t="n"/>
    </row>
    <row r="1657">
      <c r="A1657" s="1" t="n"/>
      <c r="B1657" s="30" t="n"/>
      <c r="C1657" s="23" t="n"/>
      <c r="D1657" s="23" t="n"/>
      <c r="E1657" s="26" t="n"/>
      <c r="F1657" s="25" t="n"/>
      <c r="G1657" s="17">
        <f>IF(D1657="Sale",E1657*F1657,IF(D1657="Return",-E1657*F1657,""))</f>
        <v/>
      </c>
      <c r="H1657" s="17">
        <f>IFERROR(IF(D1657="Sale",E1657*INDEX(Products!$E$6:$E$205,MATCH(C1657,Products!$B$6:$B$205,0)),IF(D1657="Return",-E1657*INDEX(Products!$E$6:$E$205,MATCH(C1657,Products!$B$6:$B$205,0)),"")),"")</f>
        <v/>
      </c>
      <c r="I1657" s="24" t="n"/>
      <c r="J1657" s="1" t="n"/>
    </row>
    <row r="1658">
      <c r="A1658" s="1" t="n"/>
      <c r="B1658" s="30" t="n"/>
      <c r="C1658" s="23" t="n"/>
      <c r="D1658" s="23" t="n"/>
      <c r="E1658" s="26" t="n"/>
      <c r="F1658" s="25" t="n"/>
      <c r="G1658" s="17">
        <f>IF(D1658="Sale",E1658*F1658,IF(D1658="Return",-E1658*F1658,""))</f>
        <v/>
      </c>
      <c r="H1658" s="17">
        <f>IFERROR(IF(D1658="Sale",E1658*INDEX(Products!$E$6:$E$205,MATCH(C1658,Products!$B$6:$B$205,0)),IF(D1658="Return",-E1658*INDEX(Products!$E$6:$E$205,MATCH(C1658,Products!$B$6:$B$205,0)),"")),"")</f>
        <v/>
      </c>
      <c r="I1658" s="24" t="n"/>
      <c r="J1658" s="1" t="n"/>
    </row>
    <row r="1659">
      <c r="A1659" s="1" t="n"/>
      <c r="B1659" s="30" t="n"/>
      <c r="C1659" s="23" t="n"/>
      <c r="D1659" s="23" t="n"/>
      <c r="E1659" s="26" t="n"/>
      <c r="F1659" s="25" t="n"/>
      <c r="G1659" s="17">
        <f>IF(D1659="Sale",E1659*F1659,IF(D1659="Return",-E1659*F1659,""))</f>
        <v/>
      </c>
      <c r="H1659" s="17">
        <f>IFERROR(IF(D1659="Sale",E1659*INDEX(Products!$E$6:$E$205,MATCH(C1659,Products!$B$6:$B$205,0)),IF(D1659="Return",-E1659*INDEX(Products!$E$6:$E$205,MATCH(C1659,Products!$B$6:$B$205,0)),"")),"")</f>
        <v/>
      </c>
      <c r="I1659" s="24" t="n"/>
      <c r="J1659" s="1" t="n"/>
    </row>
    <row r="1660">
      <c r="A1660" s="1" t="n"/>
      <c r="B1660" s="30" t="n"/>
      <c r="C1660" s="23" t="n"/>
      <c r="D1660" s="23" t="n"/>
      <c r="E1660" s="26" t="n"/>
      <c r="F1660" s="25" t="n"/>
      <c r="G1660" s="17">
        <f>IF(D1660="Sale",E1660*F1660,IF(D1660="Return",-E1660*F1660,""))</f>
        <v/>
      </c>
      <c r="H1660" s="17">
        <f>IFERROR(IF(D1660="Sale",E1660*INDEX(Products!$E$6:$E$205,MATCH(C1660,Products!$B$6:$B$205,0)),IF(D1660="Return",-E1660*INDEX(Products!$E$6:$E$205,MATCH(C1660,Products!$B$6:$B$205,0)),"")),"")</f>
        <v/>
      </c>
      <c r="I1660" s="24" t="n"/>
      <c r="J1660" s="1" t="n"/>
    </row>
    <row r="1661">
      <c r="A1661" s="1" t="n"/>
      <c r="B1661" s="30" t="n"/>
      <c r="C1661" s="23" t="n"/>
      <c r="D1661" s="23" t="n"/>
      <c r="E1661" s="26" t="n"/>
      <c r="F1661" s="25" t="n"/>
      <c r="G1661" s="17">
        <f>IF(D1661="Sale",E1661*F1661,IF(D1661="Return",-E1661*F1661,""))</f>
        <v/>
      </c>
      <c r="H1661" s="17">
        <f>IFERROR(IF(D1661="Sale",E1661*INDEX(Products!$E$6:$E$205,MATCH(C1661,Products!$B$6:$B$205,0)),IF(D1661="Return",-E1661*INDEX(Products!$E$6:$E$205,MATCH(C1661,Products!$B$6:$B$205,0)),"")),"")</f>
        <v/>
      </c>
      <c r="I1661" s="24" t="n"/>
      <c r="J1661" s="1" t="n"/>
    </row>
    <row r="1662">
      <c r="A1662" s="1" t="n"/>
      <c r="B1662" s="30" t="n"/>
      <c r="C1662" s="23" t="n"/>
      <c r="D1662" s="23" t="n"/>
      <c r="E1662" s="26" t="n"/>
      <c r="F1662" s="25" t="n"/>
      <c r="G1662" s="17">
        <f>IF(D1662="Sale",E1662*F1662,IF(D1662="Return",-E1662*F1662,""))</f>
        <v/>
      </c>
      <c r="H1662" s="17">
        <f>IFERROR(IF(D1662="Sale",E1662*INDEX(Products!$E$6:$E$205,MATCH(C1662,Products!$B$6:$B$205,0)),IF(D1662="Return",-E1662*INDEX(Products!$E$6:$E$205,MATCH(C1662,Products!$B$6:$B$205,0)),"")),"")</f>
        <v/>
      </c>
      <c r="I1662" s="24" t="n"/>
      <c r="J1662" s="1" t="n"/>
    </row>
    <row r="1663">
      <c r="A1663" s="1" t="n"/>
      <c r="B1663" s="30" t="n"/>
      <c r="C1663" s="23" t="n"/>
      <c r="D1663" s="23" t="n"/>
      <c r="E1663" s="26" t="n"/>
      <c r="F1663" s="25" t="n"/>
      <c r="G1663" s="17">
        <f>IF(D1663="Sale",E1663*F1663,IF(D1663="Return",-E1663*F1663,""))</f>
        <v/>
      </c>
      <c r="H1663" s="17">
        <f>IFERROR(IF(D1663="Sale",E1663*INDEX(Products!$E$6:$E$205,MATCH(C1663,Products!$B$6:$B$205,0)),IF(D1663="Return",-E1663*INDEX(Products!$E$6:$E$205,MATCH(C1663,Products!$B$6:$B$205,0)),"")),"")</f>
        <v/>
      </c>
      <c r="I1663" s="24" t="n"/>
      <c r="J1663" s="1" t="n"/>
    </row>
    <row r="1664">
      <c r="A1664" s="1" t="n"/>
      <c r="B1664" s="30" t="n"/>
      <c r="C1664" s="23" t="n"/>
      <c r="D1664" s="23" t="n"/>
      <c r="E1664" s="26" t="n"/>
      <c r="F1664" s="25" t="n"/>
      <c r="G1664" s="17">
        <f>IF(D1664="Sale",E1664*F1664,IF(D1664="Return",-E1664*F1664,""))</f>
        <v/>
      </c>
      <c r="H1664" s="17">
        <f>IFERROR(IF(D1664="Sale",E1664*INDEX(Products!$E$6:$E$205,MATCH(C1664,Products!$B$6:$B$205,0)),IF(D1664="Return",-E1664*INDEX(Products!$E$6:$E$205,MATCH(C1664,Products!$B$6:$B$205,0)),"")),"")</f>
        <v/>
      </c>
      <c r="I1664" s="24" t="n"/>
      <c r="J1664" s="1" t="n"/>
    </row>
    <row r="1665">
      <c r="A1665" s="1" t="n"/>
      <c r="B1665" s="30" t="n"/>
      <c r="C1665" s="23" t="n"/>
      <c r="D1665" s="23" t="n"/>
      <c r="E1665" s="26" t="n"/>
      <c r="F1665" s="25" t="n"/>
      <c r="G1665" s="17">
        <f>IF(D1665="Sale",E1665*F1665,IF(D1665="Return",-E1665*F1665,""))</f>
        <v/>
      </c>
      <c r="H1665" s="17">
        <f>IFERROR(IF(D1665="Sale",E1665*INDEX(Products!$E$6:$E$205,MATCH(C1665,Products!$B$6:$B$205,0)),IF(D1665="Return",-E1665*INDEX(Products!$E$6:$E$205,MATCH(C1665,Products!$B$6:$B$205,0)),"")),"")</f>
        <v/>
      </c>
      <c r="I1665" s="24" t="n"/>
      <c r="J1665" s="1" t="n"/>
    </row>
    <row r="1666">
      <c r="A1666" s="1" t="n"/>
      <c r="B1666" s="30" t="n"/>
      <c r="C1666" s="23" t="n"/>
      <c r="D1666" s="23" t="n"/>
      <c r="E1666" s="26" t="n"/>
      <c r="F1666" s="25" t="n"/>
      <c r="G1666" s="17">
        <f>IF(D1666="Sale",E1666*F1666,IF(D1666="Return",-E1666*F1666,""))</f>
        <v/>
      </c>
      <c r="H1666" s="17">
        <f>IFERROR(IF(D1666="Sale",E1666*INDEX(Products!$E$6:$E$205,MATCH(C1666,Products!$B$6:$B$205,0)),IF(D1666="Return",-E1666*INDEX(Products!$E$6:$E$205,MATCH(C1666,Products!$B$6:$B$205,0)),"")),"")</f>
        <v/>
      </c>
      <c r="I1666" s="24" t="n"/>
      <c r="J1666" s="1" t="n"/>
    </row>
    <row r="1667">
      <c r="A1667" s="1" t="n"/>
      <c r="B1667" s="30" t="n"/>
      <c r="C1667" s="23" t="n"/>
      <c r="D1667" s="23" t="n"/>
      <c r="E1667" s="26" t="n"/>
      <c r="F1667" s="25" t="n"/>
      <c r="G1667" s="17">
        <f>IF(D1667="Sale",E1667*F1667,IF(D1667="Return",-E1667*F1667,""))</f>
        <v/>
      </c>
      <c r="H1667" s="17">
        <f>IFERROR(IF(D1667="Sale",E1667*INDEX(Products!$E$6:$E$205,MATCH(C1667,Products!$B$6:$B$205,0)),IF(D1667="Return",-E1667*INDEX(Products!$E$6:$E$205,MATCH(C1667,Products!$B$6:$B$205,0)),"")),"")</f>
        <v/>
      </c>
      <c r="I1667" s="24" t="n"/>
      <c r="J1667" s="1" t="n"/>
    </row>
    <row r="1668">
      <c r="A1668" s="1" t="n"/>
      <c r="B1668" s="30" t="n"/>
      <c r="C1668" s="23" t="n"/>
      <c r="D1668" s="23" t="n"/>
      <c r="E1668" s="26" t="n"/>
      <c r="F1668" s="25" t="n"/>
      <c r="G1668" s="17">
        <f>IF(D1668="Sale",E1668*F1668,IF(D1668="Return",-E1668*F1668,""))</f>
        <v/>
      </c>
      <c r="H1668" s="17">
        <f>IFERROR(IF(D1668="Sale",E1668*INDEX(Products!$E$6:$E$205,MATCH(C1668,Products!$B$6:$B$205,0)),IF(D1668="Return",-E1668*INDEX(Products!$E$6:$E$205,MATCH(C1668,Products!$B$6:$B$205,0)),"")),"")</f>
        <v/>
      </c>
      <c r="I1668" s="24" t="n"/>
      <c r="J1668" s="1" t="n"/>
    </row>
    <row r="1669">
      <c r="A1669" s="1" t="n"/>
      <c r="B1669" s="30" t="n"/>
      <c r="C1669" s="23" t="n"/>
      <c r="D1669" s="23" t="n"/>
      <c r="E1669" s="26" t="n"/>
      <c r="F1669" s="25" t="n"/>
      <c r="G1669" s="17">
        <f>IF(D1669="Sale",E1669*F1669,IF(D1669="Return",-E1669*F1669,""))</f>
        <v/>
      </c>
      <c r="H1669" s="17">
        <f>IFERROR(IF(D1669="Sale",E1669*INDEX(Products!$E$6:$E$205,MATCH(C1669,Products!$B$6:$B$205,0)),IF(D1669="Return",-E1669*INDEX(Products!$E$6:$E$205,MATCH(C1669,Products!$B$6:$B$205,0)),"")),"")</f>
        <v/>
      </c>
      <c r="I1669" s="24" t="n"/>
      <c r="J1669" s="1" t="n"/>
    </row>
    <row r="1670">
      <c r="A1670" s="1" t="n"/>
      <c r="B1670" s="30" t="n"/>
      <c r="C1670" s="23" t="n"/>
      <c r="D1670" s="23" t="n"/>
      <c r="E1670" s="26" t="n"/>
      <c r="F1670" s="25" t="n"/>
      <c r="G1670" s="17">
        <f>IF(D1670="Sale",E1670*F1670,IF(D1670="Return",-E1670*F1670,""))</f>
        <v/>
      </c>
      <c r="H1670" s="17">
        <f>IFERROR(IF(D1670="Sale",E1670*INDEX(Products!$E$6:$E$205,MATCH(C1670,Products!$B$6:$B$205,0)),IF(D1670="Return",-E1670*INDEX(Products!$E$6:$E$205,MATCH(C1670,Products!$B$6:$B$205,0)),"")),"")</f>
        <v/>
      </c>
      <c r="I1670" s="24" t="n"/>
      <c r="J1670" s="1" t="n"/>
    </row>
    <row r="1671">
      <c r="A1671" s="1" t="n"/>
      <c r="B1671" s="30" t="n"/>
      <c r="C1671" s="23" t="n"/>
      <c r="D1671" s="23" t="n"/>
      <c r="E1671" s="26" t="n"/>
      <c r="F1671" s="25" t="n"/>
      <c r="G1671" s="17">
        <f>IF(D1671="Sale",E1671*F1671,IF(D1671="Return",-E1671*F1671,""))</f>
        <v/>
      </c>
      <c r="H1671" s="17">
        <f>IFERROR(IF(D1671="Sale",E1671*INDEX(Products!$E$6:$E$205,MATCH(C1671,Products!$B$6:$B$205,0)),IF(D1671="Return",-E1671*INDEX(Products!$E$6:$E$205,MATCH(C1671,Products!$B$6:$B$205,0)),"")),"")</f>
        <v/>
      </c>
      <c r="I1671" s="24" t="n"/>
      <c r="J1671" s="1" t="n"/>
    </row>
    <row r="1672">
      <c r="A1672" s="1" t="n"/>
      <c r="B1672" s="30" t="n"/>
      <c r="C1672" s="23" t="n"/>
      <c r="D1672" s="23" t="n"/>
      <c r="E1672" s="26" t="n"/>
      <c r="F1672" s="25" t="n"/>
      <c r="G1672" s="17">
        <f>IF(D1672="Sale",E1672*F1672,IF(D1672="Return",-E1672*F1672,""))</f>
        <v/>
      </c>
      <c r="H1672" s="17">
        <f>IFERROR(IF(D1672="Sale",E1672*INDEX(Products!$E$6:$E$205,MATCH(C1672,Products!$B$6:$B$205,0)),IF(D1672="Return",-E1672*INDEX(Products!$E$6:$E$205,MATCH(C1672,Products!$B$6:$B$205,0)),"")),"")</f>
        <v/>
      </c>
      <c r="I1672" s="24" t="n"/>
      <c r="J1672" s="1" t="n"/>
    </row>
    <row r="1673">
      <c r="A1673" s="1" t="n"/>
      <c r="B1673" s="30" t="n"/>
      <c r="C1673" s="23" t="n"/>
      <c r="D1673" s="23" t="n"/>
      <c r="E1673" s="26" t="n"/>
      <c r="F1673" s="25" t="n"/>
      <c r="G1673" s="17">
        <f>IF(D1673="Sale",E1673*F1673,IF(D1673="Return",-E1673*F1673,""))</f>
        <v/>
      </c>
      <c r="H1673" s="17">
        <f>IFERROR(IF(D1673="Sale",E1673*INDEX(Products!$E$6:$E$205,MATCH(C1673,Products!$B$6:$B$205,0)),IF(D1673="Return",-E1673*INDEX(Products!$E$6:$E$205,MATCH(C1673,Products!$B$6:$B$205,0)),"")),"")</f>
        <v/>
      </c>
      <c r="I1673" s="24" t="n"/>
      <c r="J1673" s="1" t="n"/>
    </row>
    <row r="1674">
      <c r="A1674" s="1" t="n"/>
      <c r="B1674" s="30" t="n"/>
      <c r="C1674" s="23" t="n"/>
      <c r="D1674" s="23" t="n"/>
      <c r="E1674" s="26" t="n"/>
      <c r="F1674" s="25" t="n"/>
      <c r="G1674" s="17">
        <f>IF(D1674="Sale",E1674*F1674,IF(D1674="Return",-E1674*F1674,""))</f>
        <v/>
      </c>
      <c r="H1674" s="17">
        <f>IFERROR(IF(D1674="Sale",E1674*INDEX(Products!$E$6:$E$205,MATCH(C1674,Products!$B$6:$B$205,0)),IF(D1674="Return",-E1674*INDEX(Products!$E$6:$E$205,MATCH(C1674,Products!$B$6:$B$205,0)),"")),"")</f>
        <v/>
      </c>
      <c r="I1674" s="24" t="n"/>
      <c r="J1674" s="1" t="n"/>
    </row>
    <row r="1675">
      <c r="A1675" s="1" t="n"/>
      <c r="B1675" s="30" t="n"/>
      <c r="C1675" s="23" t="n"/>
      <c r="D1675" s="23" t="n"/>
      <c r="E1675" s="26" t="n"/>
      <c r="F1675" s="25" t="n"/>
      <c r="G1675" s="17">
        <f>IF(D1675="Sale",E1675*F1675,IF(D1675="Return",-E1675*F1675,""))</f>
        <v/>
      </c>
      <c r="H1675" s="17">
        <f>IFERROR(IF(D1675="Sale",E1675*INDEX(Products!$E$6:$E$205,MATCH(C1675,Products!$B$6:$B$205,0)),IF(D1675="Return",-E1675*INDEX(Products!$E$6:$E$205,MATCH(C1675,Products!$B$6:$B$205,0)),"")),"")</f>
        <v/>
      </c>
      <c r="I1675" s="24" t="n"/>
      <c r="J1675" s="1" t="n"/>
    </row>
    <row r="1676">
      <c r="A1676" s="1" t="n"/>
      <c r="B1676" s="30" t="n"/>
      <c r="C1676" s="23" t="n"/>
      <c r="D1676" s="23" t="n"/>
      <c r="E1676" s="26" t="n"/>
      <c r="F1676" s="25" t="n"/>
      <c r="G1676" s="17">
        <f>IF(D1676="Sale",E1676*F1676,IF(D1676="Return",-E1676*F1676,""))</f>
        <v/>
      </c>
      <c r="H1676" s="17">
        <f>IFERROR(IF(D1676="Sale",E1676*INDEX(Products!$E$6:$E$205,MATCH(C1676,Products!$B$6:$B$205,0)),IF(D1676="Return",-E1676*INDEX(Products!$E$6:$E$205,MATCH(C1676,Products!$B$6:$B$205,0)),"")),"")</f>
        <v/>
      </c>
      <c r="I1676" s="24" t="n"/>
      <c r="J1676" s="1" t="n"/>
    </row>
    <row r="1677">
      <c r="A1677" s="1" t="n"/>
      <c r="B1677" s="30" t="n"/>
      <c r="C1677" s="23" t="n"/>
      <c r="D1677" s="23" t="n"/>
      <c r="E1677" s="26" t="n"/>
      <c r="F1677" s="25" t="n"/>
      <c r="G1677" s="17">
        <f>IF(D1677="Sale",E1677*F1677,IF(D1677="Return",-E1677*F1677,""))</f>
        <v/>
      </c>
      <c r="H1677" s="17">
        <f>IFERROR(IF(D1677="Sale",E1677*INDEX(Products!$E$6:$E$205,MATCH(C1677,Products!$B$6:$B$205,0)),IF(D1677="Return",-E1677*INDEX(Products!$E$6:$E$205,MATCH(C1677,Products!$B$6:$B$205,0)),"")),"")</f>
        <v/>
      </c>
      <c r="I1677" s="24" t="n"/>
      <c r="J1677" s="1" t="n"/>
    </row>
    <row r="1678">
      <c r="A1678" s="1" t="n"/>
      <c r="B1678" s="30" t="n"/>
      <c r="C1678" s="23" t="n"/>
      <c r="D1678" s="23" t="n"/>
      <c r="E1678" s="26" t="n"/>
      <c r="F1678" s="25" t="n"/>
      <c r="G1678" s="17">
        <f>IF(D1678="Sale",E1678*F1678,IF(D1678="Return",-E1678*F1678,""))</f>
        <v/>
      </c>
      <c r="H1678" s="17">
        <f>IFERROR(IF(D1678="Sale",E1678*INDEX(Products!$E$6:$E$205,MATCH(C1678,Products!$B$6:$B$205,0)),IF(D1678="Return",-E1678*INDEX(Products!$E$6:$E$205,MATCH(C1678,Products!$B$6:$B$205,0)),"")),"")</f>
        <v/>
      </c>
      <c r="I1678" s="24" t="n"/>
      <c r="J1678" s="1" t="n"/>
    </row>
    <row r="1679">
      <c r="A1679" s="1" t="n"/>
      <c r="B1679" s="30" t="n"/>
      <c r="C1679" s="23" t="n"/>
      <c r="D1679" s="23" t="n"/>
      <c r="E1679" s="26" t="n"/>
      <c r="F1679" s="25" t="n"/>
      <c r="G1679" s="17">
        <f>IF(D1679="Sale",E1679*F1679,IF(D1679="Return",-E1679*F1679,""))</f>
        <v/>
      </c>
      <c r="H1679" s="17">
        <f>IFERROR(IF(D1679="Sale",E1679*INDEX(Products!$E$6:$E$205,MATCH(C1679,Products!$B$6:$B$205,0)),IF(D1679="Return",-E1679*INDEX(Products!$E$6:$E$205,MATCH(C1679,Products!$B$6:$B$205,0)),"")),"")</f>
        <v/>
      </c>
      <c r="I1679" s="24" t="n"/>
      <c r="J1679" s="1" t="n"/>
    </row>
    <row r="1680">
      <c r="A1680" s="1" t="n"/>
      <c r="B1680" s="30" t="n"/>
      <c r="C1680" s="23" t="n"/>
      <c r="D1680" s="23" t="n"/>
      <c r="E1680" s="26" t="n"/>
      <c r="F1680" s="25" t="n"/>
      <c r="G1680" s="17">
        <f>IF(D1680="Sale",E1680*F1680,IF(D1680="Return",-E1680*F1680,""))</f>
        <v/>
      </c>
      <c r="H1680" s="17">
        <f>IFERROR(IF(D1680="Sale",E1680*INDEX(Products!$E$6:$E$205,MATCH(C1680,Products!$B$6:$B$205,0)),IF(D1680="Return",-E1680*INDEX(Products!$E$6:$E$205,MATCH(C1680,Products!$B$6:$B$205,0)),"")),"")</f>
        <v/>
      </c>
      <c r="I1680" s="24" t="n"/>
      <c r="J1680" s="1" t="n"/>
    </row>
    <row r="1681">
      <c r="A1681" s="1" t="n"/>
      <c r="B1681" s="30" t="n"/>
      <c r="C1681" s="23" t="n"/>
      <c r="D1681" s="23" t="n"/>
      <c r="E1681" s="26" t="n"/>
      <c r="F1681" s="25" t="n"/>
      <c r="G1681" s="17">
        <f>IF(D1681="Sale",E1681*F1681,IF(D1681="Return",-E1681*F1681,""))</f>
        <v/>
      </c>
      <c r="H1681" s="17">
        <f>IFERROR(IF(D1681="Sale",E1681*INDEX(Products!$E$6:$E$205,MATCH(C1681,Products!$B$6:$B$205,0)),IF(D1681="Return",-E1681*INDEX(Products!$E$6:$E$205,MATCH(C1681,Products!$B$6:$B$205,0)),"")),"")</f>
        <v/>
      </c>
      <c r="I1681" s="24" t="n"/>
      <c r="J1681" s="1" t="n"/>
    </row>
    <row r="1682">
      <c r="A1682" s="1" t="n"/>
      <c r="B1682" s="30" t="n"/>
      <c r="C1682" s="23" t="n"/>
      <c r="D1682" s="23" t="n"/>
      <c r="E1682" s="26" t="n"/>
      <c r="F1682" s="25" t="n"/>
      <c r="G1682" s="17">
        <f>IF(D1682="Sale",E1682*F1682,IF(D1682="Return",-E1682*F1682,""))</f>
        <v/>
      </c>
      <c r="H1682" s="17">
        <f>IFERROR(IF(D1682="Sale",E1682*INDEX(Products!$E$6:$E$205,MATCH(C1682,Products!$B$6:$B$205,0)),IF(D1682="Return",-E1682*INDEX(Products!$E$6:$E$205,MATCH(C1682,Products!$B$6:$B$205,0)),"")),"")</f>
        <v/>
      </c>
      <c r="I1682" s="24" t="n"/>
      <c r="J1682" s="1" t="n"/>
    </row>
    <row r="1683">
      <c r="A1683" s="1" t="n"/>
      <c r="B1683" s="30" t="n"/>
      <c r="C1683" s="23" t="n"/>
      <c r="D1683" s="23" t="n"/>
      <c r="E1683" s="26" t="n"/>
      <c r="F1683" s="25" t="n"/>
      <c r="G1683" s="17">
        <f>IF(D1683="Sale",E1683*F1683,IF(D1683="Return",-E1683*F1683,""))</f>
        <v/>
      </c>
      <c r="H1683" s="17">
        <f>IFERROR(IF(D1683="Sale",E1683*INDEX(Products!$E$6:$E$205,MATCH(C1683,Products!$B$6:$B$205,0)),IF(D1683="Return",-E1683*INDEX(Products!$E$6:$E$205,MATCH(C1683,Products!$B$6:$B$205,0)),"")),"")</f>
        <v/>
      </c>
      <c r="I1683" s="24" t="n"/>
      <c r="J1683" s="1" t="n"/>
    </row>
    <row r="1684">
      <c r="A1684" s="1" t="n"/>
      <c r="B1684" s="30" t="n"/>
      <c r="C1684" s="23" t="n"/>
      <c r="D1684" s="23" t="n"/>
      <c r="E1684" s="26" t="n"/>
      <c r="F1684" s="25" t="n"/>
      <c r="G1684" s="17">
        <f>IF(D1684="Sale",E1684*F1684,IF(D1684="Return",-E1684*F1684,""))</f>
        <v/>
      </c>
      <c r="H1684" s="17">
        <f>IFERROR(IF(D1684="Sale",E1684*INDEX(Products!$E$6:$E$205,MATCH(C1684,Products!$B$6:$B$205,0)),IF(D1684="Return",-E1684*INDEX(Products!$E$6:$E$205,MATCH(C1684,Products!$B$6:$B$205,0)),"")),"")</f>
        <v/>
      </c>
      <c r="I1684" s="24" t="n"/>
      <c r="J1684" s="1" t="n"/>
    </row>
    <row r="1685">
      <c r="A1685" s="1" t="n"/>
      <c r="B1685" s="30" t="n"/>
      <c r="C1685" s="23" t="n"/>
      <c r="D1685" s="23" t="n"/>
      <c r="E1685" s="26" t="n"/>
      <c r="F1685" s="25" t="n"/>
      <c r="G1685" s="17">
        <f>IF(D1685="Sale",E1685*F1685,IF(D1685="Return",-E1685*F1685,""))</f>
        <v/>
      </c>
      <c r="H1685" s="17">
        <f>IFERROR(IF(D1685="Sale",E1685*INDEX(Products!$E$6:$E$205,MATCH(C1685,Products!$B$6:$B$205,0)),IF(D1685="Return",-E1685*INDEX(Products!$E$6:$E$205,MATCH(C1685,Products!$B$6:$B$205,0)),"")),"")</f>
        <v/>
      </c>
      <c r="I1685" s="24" t="n"/>
      <c r="J1685" s="1" t="n"/>
    </row>
    <row r="1686">
      <c r="A1686" s="1" t="n"/>
      <c r="B1686" s="30" t="n"/>
      <c r="C1686" s="23" t="n"/>
      <c r="D1686" s="23" t="n"/>
      <c r="E1686" s="26" t="n"/>
      <c r="F1686" s="25" t="n"/>
      <c r="G1686" s="17">
        <f>IF(D1686="Sale",E1686*F1686,IF(D1686="Return",-E1686*F1686,""))</f>
        <v/>
      </c>
      <c r="H1686" s="17">
        <f>IFERROR(IF(D1686="Sale",E1686*INDEX(Products!$E$6:$E$205,MATCH(C1686,Products!$B$6:$B$205,0)),IF(D1686="Return",-E1686*INDEX(Products!$E$6:$E$205,MATCH(C1686,Products!$B$6:$B$205,0)),"")),"")</f>
        <v/>
      </c>
      <c r="I1686" s="24" t="n"/>
      <c r="J1686" s="1" t="n"/>
    </row>
    <row r="1687">
      <c r="A1687" s="1" t="n"/>
      <c r="B1687" s="30" t="n"/>
      <c r="C1687" s="23" t="n"/>
      <c r="D1687" s="23" t="n"/>
      <c r="E1687" s="26" t="n"/>
      <c r="F1687" s="25" t="n"/>
      <c r="G1687" s="17">
        <f>IF(D1687="Sale",E1687*F1687,IF(D1687="Return",-E1687*F1687,""))</f>
        <v/>
      </c>
      <c r="H1687" s="17">
        <f>IFERROR(IF(D1687="Sale",E1687*INDEX(Products!$E$6:$E$205,MATCH(C1687,Products!$B$6:$B$205,0)),IF(D1687="Return",-E1687*INDEX(Products!$E$6:$E$205,MATCH(C1687,Products!$B$6:$B$205,0)),"")),"")</f>
        <v/>
      </c>
      <c r="I1687" s="24" t="n"/>
      <c r="J1687" s="1" t="n"/>
    </row>
    <row r="1688">
      <c r="A1688" s="1" t="n"/>
      <c r="B1688" s="30" t="n"/>
      <c r="C1688" s="23" t="n"/>
      <c r="D1688" s="23" t="n"/>
      <c r="E1688" s="26" t="n"/>
      <c r="F1688" s="25" t="n"/>
      <c r="G1688" s="17">
        <f>IF(D1688="Sale",E1688*F1688,IF(D1688="Return",-E1688*F1688,""))</f>
        <v/>
      </c>
      <c r="H1688" s="17">
        <f>IFERROR(IF(D1688="Sale",E1688*INDEX(Products!$E$6:$E$205,MATCH(C1688,Products!$B$6:$B$205,0)),IF(D1688="Return",-E1688*INDEX(Products!$E$6:$E$205,MATCH(C1688,Products!$B$6:$B$205,0)),"")),"")</f>
        <v/>
      </c>
      <c r="I1688" s="24" t="n"/>
      <c r="J1688" s="1" t="n"/>
    </row>
    <row r="1689">
      <c r="A1689" s="1" t="n"/>
      <c r="B1689" s="30" t="n"/>
      <c r="C1689" s="23" t="n"/>
      <c r="D1689" s="23" t="n"/>
      <c r="E1689" s="26" t="n"/>
      <c r="F1689" s="25" t="n"/>
      <c r="G1689" s="17">
        <f>IF(D1689="Sale",E1689*F1689,IF(D1689="Return",-E1689*F1689,""))</f>
        <v/>
      </c>
      <c r="H1689" s="17">
        <f>IFERROR(IF(D1689="Sale",E1689*INDEX(Products!$E$6:$E$205,MATCH(C1689,Products!$B$6:$B$205,0)),IF(D1689="Return",-E1689*INDEX(Products!$E$6:$E$205,MATCH(C1689,Products!$B$6:$B$205,0)),"")),"")</f>
        <v/>
      </c>
      <c r="I1689" s="24" t="n"/>
      <c r="J1689" s="1" t="n"/>
    </row>
    <row r="1690">
      <c r="A1690" s="1" t="n"/>
      <c r="B1690" s="30" t="n"/>
      <c r="C1690" s="23" t="n"/>
      <c r="D1690" s="23" t="n"/>
      <c r="E1690" s="26" t="n"/>
      <c r="F1690" s="25" t="n"/>
      <c r="G1690" s="17">
        <f>IF(D1690="Sale",E1690*F1690,IF(D1690="Return",-E1690*F1690,""))</f>
        <v/>
      </c>
      <c r="H1690" s="17">
        <f>IFERROR(IF(D1690="Sale",E1690*INDEX(Products!$E$6:$E$205,MATCH(C1690,Products!$B$6:$B$205,0)),IF(D1690="Return",-E1690*INDEX(Products!$E$6:$E$205,MATCH(C1690,Products!$B$6:$B$205,0)),"")),"")</f>
        <v/>
      </c>
      <c r="I1690" s="24" t="n"/>
      <c r="J1690" s="1" t="n"/>
    </row>
    <row r="1691">
      <c r="A1691" s="1" t="n"/>
      <c r="B1691" s="30" t="n"/>
      <c r="C1691" s="23" t="n"/>
      <c r="D1691" s="23" t="n"/>
      <c r="E1691" s="26" t="n"/>
      <c r="F1691" s="25" t="n"/>
      <c r="G1691" s="17">
        <f>IF(D1691="Sale",E1691*F1691,IF(D1691="Return",-E1691*F1691,""))</f>
        <v/>
      </c>
      <c r="H1691" s="17">
        <f>IFERROR(IF(D1691="Sale",E1691*INDEX(Products!$E$6:$E$205,MATCH(C1691,Products!$B$6:$B$205,0)),IF(D1691="Return",-E1691*INDEX(Products!$E$6:$E$205,MATCH(C1691,Products!$B$6:$B$205,0)),"")),"")</f>
        <v/>
      </c>
      <c r="I1691" s="24" t="n"/>
      <c r="J1691" s="1" t="n"/>
    </row>
    <row r="1692">
      <c r="A1692" s="1" t="n"/>
      <c r="B1692" s="30" t="n"/>
      <c r="C1692" s="23" t="n"/>
      <c r="D1692" s="23" t="n"/>
      <c r="E1692" s="26" t="n"/>
      <c r="F1692" s="25" t="n"/>
      <c r="G1692" s="17">
        <f>IF(D1692="Sale",E1692*F1692,IF(D1692="Return",-E1692*F1692,""))</f>
        <v/>
      </c>
      <c r="H1692" s="17">
        <f>IFERROR(IF(D1692="Sale",E1692*INDEX(Products!$E$6:$E$205,MATCH(C1692,Products!$B$6:$B$205,0)),IF(D1692="Return",-E1692*INDEX(Products!$E$6:$E$205,MATCH(C1692,Products!$B$6:$B$205,0)),"")),"")</f>
        <v/>
      </c>
      <c r="I1692" s="24" t="n"/>
      <c r="J1692" s="1" t="n"/>
    </row>
    <row r="1693">
      <c r="A1693" s="1" t="n"/>
      <c r="B1693" s="30" t="n"/>
      <c r="C1693" s="23" t="n"/>
      <c r="D1693" s="23" t="n"/>
      <c r="E1693" s="26" t="n"/>
      <c r="F1693" s="25" t="n"/>
      <c r="G1693" s="17">
        <f>IF(D1693="Sale",E1693*F1693,IF(D1693="Return",-E1693*F1693,""))</f>
        <v/>
      </c>
      <c r="H1693" s="17">
        <f>IFERROR(IF(D1693="Sale",E1693*INDEX(Products!$E$6:$E$205,MATCH(C1693,Products!$B$6:$B$205,0)),IF(D1693="Return",-E1693*INDEX(Products!$E$6:$E$205,MATCH(C1693,Products!$B$6:$B$205,0)),"")),"")</f>
        <v/>
      </c>
      <c r="I1693" s="24" t="n"/>
      <c r="J1693" s="1" t="n"/>
    </row>
    <row r="1694">
      <c r="A1694" s="1" t="n"/>
      <c r="B1694" s="30" t="n"/>
      <c r="C1694" s="23" t="n"/>
      <c r="D1694" s="23" t="n"/>
      <c r="E1694" s="26" t="n"/>
      <c r="F1694" s="25" t="n"/>
      <c r="G1694" s="17">
        <f>IF(D1694="Sale",E1694*F1694,IF(D1694="Return",-E1694*F1694,""))</f>
        <v/>
      </c>
      <c r="H1694" s="17">
        <f>IFERROR(IF(D1694="Sale",E1694*INDEX(Products!$E$6:$E$205,MATCH(C1694,Products!$B$6:$B$205,0)),IF(D1694="Return",-E1694*INDEX(Products!$E$6:$E$205,MATCH(C1694,Products!$B$6:$B$205,0)),"")),"")</f>
        <v/>
      </c>
      <c r="I1694" s="24" t="n"/>
      <c r="J1694" s="1" t="n"/>
    </row>
    <row r="1695">
      <c r="A1695" s="1" t="n"/>
      <c r="B1695" s="30" t="n"/>
      <c r="C1695" s="23" t="n"/>
      <c r="D1695" s="23" t="n"/>
      <c r="E1695" s="26" t="n"/>
      <c r="F1695" s="25" t="n"/>
      <c r="G1695" s="17">
        <f>IF(D1695="Sale",E1695*F1695,IF(D1695="Return",-E1695*F1695,""))</f>
        <v/>
      </c>
      <c r="H1695" s="17">
        <f>IFERROR(IF(D1695="Sale",E1695*INDEX(Products!$E$6:$E$205,MATCH(C1695,Products!$B$6:$B$205,0)),IF(D1695="Return",-E1695*INDEX(Products!$E$6:$E$205,MATCH(C1695,Products!$B$6:$B$205,0)),"")),"")</f>
        <v/>
      </c>
      <c r="I1695" s="24" t="n"/>
      <c r="J1695" s="1" t="n"/>
    </row>
    <row r="1696">
      <c r="A1696" s="1" t="n"/>
      <c r="B1696" s="30" t="n"/>
      <c r="C1696" s="23" t="n"/>
      <c r="D1696" s="23" t="n"/>
      <c r="E1696" s="26" t="n"/>
      <c r="F1696" s="25" t="n"/>
      <c r="G1696" s="17">
        <f>IF(D1696="Sale",E1696*F1696,IF(D1696="Return",-E1696*F1696,""))</f>
        <v/>
      </c>
      <c r="H1696" s="17">
        <f>IFERROR(IF(D1696="Sale",E1696*INDEX(Products!$E$6:$E$205,MATCH(C1696,Products!$B$6:$B$205,0)),IF(D1696="Return",-E1696*INDEX(Products!$E$6:$E$205,MATCH(C1696,Products!$B$6:$B$205,0)),"")),"")</f>
        <v/>
      </c>
      <c r="I1696" s="24" t="n"/>
      <c r="J1696" s="1" t="n"/>
    </row>
    <row r="1697">
      <c r="A1697" s="1" t="n"/>
      <c r="B1697" s="30" t="n"/>
      <c r="C1697" s="23" t="n"/>
      <c r="D1697" s="23" t="n"/>
      <c r="E1697" s="26" t="n"/>
      <c r="F1697" s="25" t="n"/>
      <c r="G1697" s="17">
        <f>IF(D1697="Sale",E1697*F1697,IF(D1697="Return",-E1697*F1697,""))</f>
        <v/>
      </c>
      <c r="H1697" s="17">
        <f>IFERROR(IF(D1697="Sale",E1697*INDEX(Products!$E$6:$E$205,MATCH(C1697,Products!$B$6:$B$205,0)),IF(D1697="Return",-E1697*INDEX(Products!$E$6:$E$205,MATCH(C1697,Products!$B$6:$B$205,0)),"")),"")</f>
        <v/>
      </c>
      <c r="I1697" s="24" t="n"/>
      <c r="J1697" s="1" t="n"/>
    </row>
    <row r="1698">
      <c r="A1698" s="1" t="n"/>
      <c r="B1698" s="30" t="n"/>
      <c r="C1698" s="23" t="n"/>
      <c r="D1698" s="23" t="n"/>
      <c r="E1698" s="26" t="n"/>
      <c r="F1698" s="25" t="n"/>
      <c r="G1698" s="17">
        <f>IF(D1698="Sale",E1698*F1698,IF(D1698="Return",-E1698*F1698,""))</f>
        <v/>
      </c>
      <c r="H1698" s="17">
        <f>IFERROR(IF(D1698="Sale",E1698*INDEX(Products!$E$6:$E$205,MATCH(C1698,Products!$B$6:$B$205,0)),IF(D1698="Return",-E1698*INDEX(Products!$E$6:$E$205,MATCH(C1698,Products!$B$6:$B$205,0)),"")),"")</f>
        <v/>
      </c>
      <c r="I1698" s="24" t="n"/>
      <c r="J1698" s="1" t="n"/>
    </row>
    <row r="1699">
      <c r="A1699" s="1" t="n"/>
      <c r="B1699" s="30" t="n"/>
      <c r="C1699" s="23" t="n"/>
      <c r="D1699" s="23" t="n"/>
      <c r="E1699" s="26" t="n"/>
      <c r="F1699" s="25" t="n"/>
      <c r="G1699" s="17">
        <f>IF(D1699="Sale",E1699*F1699,IF(D1699="Return",-E1699*F1699,""))</f>
        <v/>
      </c>
      <c r="H1699" s="17">
        <f>IFERROR(IF(D1699="Sale",E1699*INDEX(Products!$E$6:$E$205,MATCH(C1699,Products!$B$6:$B$205,0)),IF(D1699="Return",-E1699*INDEX(Products!$E$6:$E$205,MATCH(C1699,Products!$B$6:$B$205,0)),"")),"")</f>
        <v/>
      </c>
      <c r="I1699" s="24" t="n"/>
      <c r="J1699" s="1" t="n"/>
    </row>
    <row r="1700">
      <c r="A1700" s="1" t="n"/>
      <c r="B1700" s="30" t="n"/>
      <c r="C1700" s="23" t="n"/>
      <c r="D1700" s="23" t="n"/>
      <c r="E1700" s="26" t="n"/>
      <c r="F1700" s="25" t="n"/>
      <c r="G1700" s="17">
        <f>IF(D1700="Sale",E1700*F1700,IF(D1700="Return",-E1700*F1700,""))</f>
        <v/>
      </c>
      <c r="H1700" s="17">
        <f>IFERROR(IF(D1700="Sale",E1700*INDEX(Products!$E$6:$E$205,MATCH(C1700,Products!$B$6:$B$205,0)),IF(D1700="Return",-E1700*INDEX(Products!$E$6:$E$205,MATCH(C1700,Products!$B$6:$B$205,0)),"")),"")</f>
        <v/>
      </c>
      <c r="I1700" s="24" t="n"/>
      <c r="J1700" s="1" t="n"/>
    </row>
    <row r="1701">
      <c r="A1701" s="1" t="n"/>
      <c r="B1701" s="30" t="n"/>
      <c r="C1701" s="23" t="n"/>
      <c r="D1701" s="23" t="n"/>
      <c r="E1701" s="26" t="n"/>
      <c r="F1701" s="25" t="n"/>
      <c r="G1701" s="17">
        <f>IF(D1701="Sale",E1701*F1701,IF(D1701="Return",-E1701*F1701,""))</f>
        <v/>
      </c>
      <c r="H1701" s="17">
        <f>IFERROR(IF(D1701="Sale",E1701*INDEX(Products!$E$6:$E$205,MATCH(C1701,Products!$B$6:$B$205,0)),IF(D1701="Return",-E1701*INDEX(Products!$E$6:$E$205,MATCH(C1701,Products!$B$6:$B$205,0)),"")),"")</f>
        <v/>
      </c>
      <c r="I1701" s="24" t="n"/>
      <c r="J1701" s="1" t="n"/>
    </row>
    <row r="1702">
      <c r="A1702" s="1" t="n"/>
      <c r="B1702" s="30" t="n"/>
      <c r="C1702" s="23" t="n"/>
      <c r="D1702" s="23" t="n"/>
      <c r="E1702" s="26" t="n"/>
      <c r="F1702" s="25" t="n"/>
      <c r="G1702" s="17">
        <f>IF(D1702="Sale",E1702*F1702,IF(D1702="Return",-E1702*F1702,""))</f>
        <v/>
      </c>
      <c r="H1702" s="17">
        <f>IFERROR(IF(D1702="Sale",E1702*INDEX(Products!$E$6:$E$205,MATCH(C1702,Products!$B$6:$B$205,0)),IF(D1702="Return",-E1702*INDEX(Products!$E$6:$E$205,MATCH(C1702,Products!$B$6:$B$205,0)),"")),"")</f>
        <v/>
      </c>
      <c r="I1702" s="24" t="n"/>
      <c r="J1702" s="1" t="n"/>
    </row>
    <row r="1703">
      <c r="A1703" s="1" t="n"/>
      <c r="B1703" s="30" t="n"/>
      <c r="C1703" s="23" t="n"/>
      <c r="D1703" s="23" t="n"/>
      <c r="E1703" s="26" t="n"/>
      <c r="F1703" s="25" t="n"/>
      <c r="G1703" s="17">
        <f>IF(D1703="Sale",E1703*F1703,IF(D1703="Return",-E1703*F1703,""))</f>
        <v/>
      </c>
      <c r="H1703" s="17">
        <f>IFERROR(IF(D1703="Sale",E1703*INDEX(Products!$E$6:$E$205,MATCH(C1703,Products!$B$6:$B$205,0)),IF(D1703="Return",-E1703*INDEX(Products!$E$6:$E$205,MATCH(C1703,Products!$B$6:$B$205,0)),"")),"")</f>
        <v/>
      </c>
      <c r="I1703" s="24" t="n"/>
      <c r="J1703" s="1" t="n"/>
    </row>
    <row r="1704">
      <c r="A1704" s="1" t="n"/>
      <c r="B1704" s="30" t="n"/>
      <c r="C1704" s="23" t="n"/>
      <c r="D1704" s="23" t="n"/>
      <c r="E1704" s="26" t="n"/>
      <c r="F1704" s="25" t="n"/>
      <c r="G1704" s="17">
        <f>IF(D1704="Sale",E1704*F1704,IF(D1704="Return",-E1704*F1704,""))</f>
        <v/>
      </c>
      <c r="H1704" s="17">
        <f>IFERROR(IF(D1704="Sale",E1704*INDEX(Products!$E$6:$E$205,MATCH(C1704,Products!$B$6:$B$205,0)),IF(D1704="Return",-E1704*INDEX(Products!$E$6:$E$205,MATCH(C1704,Products!$B$6:$B$205,0)),"")),"")</f>
        <v/>
      </c>
      <c r="I1704" s="24" t="n"/>
      <c r="J1704" s="1" t="n"/>
    </row>
    <row r="1705">
      <c r="A1705" s="1" t="n"/>
      <c r="B1705" s="30" t="n"/>
      <c r="C1705" s="23" t="n"/>
      <c r="D1705" s="23" t="n"/>
      <c r="E1705" s="26" t="n"/>
      <c r="F1705" s="25" t="n"/>
      <c r="G1705" s="17">
        <f>IF(D1705="Sale",E1705*F1705,IF(D1705="Return",-E1705*F1705,""))</f>
        <v/>
      </c>
      <c r="H1705" s="17">
        <f>IFERROR(IF(D1705="Sale",E1705*INDEX(Products!$E$6:$E$205,MATCH(C1705,Products!$B$6:$B$205,0)),IF(D1705="Return",-E1705*INDEX(Products!$E$6:$E$205,MATCH(C1705,Products!$B$6:$B$205,0)),"")),"")</f>
        <v/>
      </c>
      <c r="I1705" s="24" t="n"/>
      <c r="J1705" s="1" t="n"/>
    </row>
    <row r="1706">
      <c r="A1706" s="1" t="n"/>
      <c r="B1706" s="30" t="n"/>
      <c r="C1706" s="23" t="n"/>
      <c r="D1706" s="23" t="n"/>
      <c r="E1706" s="26" t="n"/>
      <c r="F1706" s="25" t="n"/>
      <c r="G1706" s="17">
        <f>IF(D1706="Sale",E1706*F1706,IF(D1706="Return",-E1706*F1706,""))</f>
        <v/>
      </c>
      <c r="H1706" s="17">
        <f>IFERROR(IF(D1706="Sale",E1706*INDEX(Products!$E$6:$E$205,MATCH(C1706,Products!$B$6:$B$205,0)),IF(D1706="Return",-E1706*INDEX(Products!$E$6:$E$205,MATCH(C1706,Products!$B$6:$B$205,0)),"")),"")</f>
        <v/>
      </c>
      <c r="I1706" s="24" t="n"/>
      <c r="J1706" s="1" t="n"/>
    </row>
    <row r="1707">
      <c r="A1707" s="1" t="n"/>
      <c r="B1707" s="30" t="n"/>
      <c r="C1707" s="23" t="n"/>
      <c r="D1707" s="23" t="n"/>
      <c r="E1707" s="26" t="n"/>
      <c r="F1707" s="25" t="n"/>
      <c r="G1707" s="17">
        <f>IF(D1707="Sale",E1707*F1707,IF(D1707="Return",-E1707*F1707,""))</f>
        <v/>
      </c>
      <c r="H1707" s="17">
        <f>IFERROR(IF(D1707="Sale",E1707*INDEX(Products!$E$6:$E$205,MATCH(C1707,Products!$B$6:$B$205,0)),IF(D1707="Return",-E1707*INDEX(Products!$E$6:$E$205,MATCH(C1707,Products!$B$6:$B$205,0)),"")),"")</f>
        <v/>
      </c>
      <c r="I1707" s="24" t="n"/>
      <c r="J1707" s="1" t="n"/>
    </row>
    <row r="1708">
      <c r="A1708" s="1" t="n"/>
      <c r="B1708" s="30" t="n"/>
      <c r="C1708" s="23" t="n"/>
      <c r="D1708" s="23" t="n"/>
      <c r="E1708" s="26" t="n"/>
      <c r="F1708" s="25" t="n"/>
      <c r="G1708" s="17">
        <f>IF(D1708="Sale",E1708*F1708,IF(D1708="Return",-E1708*F1708,""))</f>
        <v/>
      </c>
      <c r="H1708" s="17">
        <f>IFERROR(IF(D1708="Sale",E1708*INDEX(Products!$E$6:$E$205,MATCH(C1708,Products!$B$6:$B$205,0)),IF(D1708="Return",-E1708*INDEX(Products!$E$6:$E$205,MATCH(C1708,Products!$B$6:$B$205,0)),"")),"")</f>
        <v/>
      </c>
      <c r="I1708" s="24" t="n"/>
      <c r="J1708" s="1" t="n"/>
    </row>
    <row r="1709">
      <c r="A1709" s="1" t="n"/>
      <c r="B1709" s="30" t="n"/>
      <c r="C1709" s="23" t="n"/>
      <c r="D1709" s="23" t="n"/>
      <c r="E1709" s="26" t="n"/>
      <c r="F1709" s="25" t="n"/>
      <c r="G1709" s="17">
        <f>IF(D1709="Sale",E1709*F1709,IF(D1709="Return",-E1709*F1709,""))</f>
        <v/>
      </c>
      <c r="H1709" s="17">
        <f>IFERROR(IF(D1709="Sale",E1709*INDEX(Products!$E$6:$E$205,MATCH(C1709,Products!$B$6:$B$205,0)),IF(D1709="Return",-E1709*INDEX(Products!$E$6:$E$205,MATCH(C1709,Products!$B$6:$B$205,0)),"")),"")</f>
        <v/>
      </c>
      <c r="I1709" s="24" t="n"/>
      <c r="J1709" s="1" t="n"/>
    </row>
    <row r="1710">
      <c r="A1710" s="1" t="n"/>
      <c r="B1710" s="30" t="n"/>
      <c r="C1710" s="23" t="n"/>
      <c r="D1710" s="23" t="n"/>
      <c r="E1710" s="26" t="n"/>
      <c r="F1710" s="25" t="n"/>
      <c r="G1710" s="17">
        <f>IF(D1710="Sale",E1710*F1710,IF(D1710="Return",-E1710*F1710,""))</f>
        <v/>
      </c>
      <c r="H1710" s="17">
        <f>IFERROR(IF(D1710="Sale",E1710*INDEX(Products!$E$6:$E$205,MATCH(C1710,Products!$B$6:$B$205,0)),IF(D1710="Return",-E1710*INDEX(Products!$E$6:$E$205,MATCH(C1710,Products!$B$6:$B$205,0)),"")),"")</f>
        <v/>
      </c>
      <c r="I1710" s="24" t="n"/>
      <c r="J1710" s="1" t="n"/>
    </row>
    <row r="1711">
      <c r="A1711" s="1" t="n"/>
      <c r="B1711" s="30" t="n"/>
      <c r="C1711" s="23" t="n"/>
      <c r="D1711" s="23" t="n"/>
      <c r="E1711" s="26" t="n"/>
      <c r="F1711" s="25" t="n"/>
      <c r="G1711" s="17">
        <f>IF(D1711="Sale",E1711*F1711,IF(D1711="Return",-E1711*F1711,""))</f>
        <v/>
      </c>
      <c r="H1711" s="17">
        <f>IFERROR(IF(D1711="Sale",E1711*INDEX(Products!$E$6:$E$205,MATCH(C1711,Products!$B$6:$B$205,0)),IF(D1711="Return",-E1711*INDEX(Products!$E$6:$E$205,MATCH(C1711,Products!$B$6:$B$205,0)),"")),"")</f>
        <v/>
      </c>
      <c r="I1711" s="24" t="n"/>
      <c r="J1711" s="1" t="n"/>
    </row>
    <row r="1712">
      <c r="A1712" s="1" t="n"/>
      <c r="B1712" s="30" t="n"/>
      <c r="C1712" s="23" t="n"/>
      <c r="D1712" s="23" t="n"/>
      <c r="E1712" s="26" t="n"/>
      <c r="F1712" s="25" t="n"/>
      <c r="G1712" s="17">
        <f>IF(D1712="Sale",E1712*F1712,IF(D1712="Return",-E1712*F1712,""))</f>
        <v/>
      </c>
      <c r="H1712" s="17">
        <f>IFERROR(IF(D1712="Sale",E1712*INDEX(Products!$E$6:$E$205,MATCH(C1712,Products!$B$6:$B$205,0)),IF(D1712="Return",-E1712*INDEX(Products!$E$6:$E$205,MATCH(C1712,Products!$B$6:$B$205,0)),"")),"")</f>
        <v/>
      </c>
      <c r="I1712" s="24" t="n"/>
      <c r="J1712" s="1" t="n"/>
    </row>
    <row r="1713">
      <c r="A1713" s="1" t="n"/>
      <c r="B1713" s="30" t="n"/>
      <c r="C1713" s="23" t="n"/>
      <c r="D1713" s="23" t="n"/>
      <c r="E1713" s="26" t="n"/>
      <c r="F1713" s="25" t="n"/>
      <c r="G1713" s="17">
        <f>IF(D1713="Sale",E1713*F1713,IF(D1713="Return",-E1713*F1713,""))</f>
        <v/>
      </c>
      <c r="H1713" s="17">
        <f>IFERROR(IF(D1713="Sale",E1713*INDEX(Products!$E$6:$E$205,MATCH(C1713,Products!$B$6:$B$205,0)),IF(D1713="Return",-E1713*INDEX(Products!$E$6:$E$205,MATCH(C1713,Products!$B$6:$B$205,0)),"")),"")</f>
        <v/>
      </c>
      <c r="I1713" s="24" t="n"/>
      <c r="J1713" s="1" t="n"/>
    </row>
    <row r="1714">
      <c r="A1714" s="1" t="n"/>
      <c r="B1714" s="30" t="n"/>
      <c r="C1714" s="23" t="n"/>
      <c r="D1714" s="23" t="n"/>
      <c r="E1714" s="26" t="n"/>
      <c r="F1714" s="25" t="n"/>
      <c r="G1714" s="17">
        <f>IF(D1714="Sale",E1714*F1714,IF(D1714="Return",-E1714*F1714,""))</f>
        <v/>
      </c>
      <c r="H1714" s="17">
        <f>IFERROR(IF(D1714="Sale",E1714*INDEX(Products!$E$6:$E$205,MATCH(C1714,Products!$B$6:$B$205,0)),IF(D1714="Return",-E1714*INDEX(Products!$E$6:$E$205,MATCH(C1714,Products!$B$6:$B$205,0)),"")),"")</f>
        <v/>
      </c>
      <c r="I1714" s="24" t="n"/>
      <c r="J1714" s="1" t="n"/>
    </row>
    <row r="1715">
      <c r="A1715" s="1" t="n"/>
      <c r="B1715" s="30" t="n"/>
      <c r="C1715" s="23" t="n"/>
      <c r="D1715" s="23" t="n"/>
      <c r="E1715" s="26" t="n"/>
      <c r="F1715" s="25" t="n"/>
      <c r="G1715" s="17">
        <f>IF(D1715="Sale",E1715*F1715,IF(D1715="Return",-E1715*F1715,""))</f>
        <v/>
      </c>
      <c r="H1715" s="17">
        <f>IFERROR(IF(D1715="Sale",E1715*INDEX(Products!$E$6:$E$205,MATCH(C1715,Products!$B$6:$B$205,0)),IF(D1715="Return",-E1715*INDEX(Products!$E$6:$E$205,MATCH(C1715,Products!$B$6:$B$205,0)),"")),"")</f>
        <v/>
      </c>
      <c r="I1715" s="24" t="n"/>
      <c r="J1715" s="1" t="n"/>
    </row>
    <row r="1716">
      <c r="A1716" s="1" t="n"/>
      <c r="B1716" s="30" t="n"/>
      <c r="C1716" s="23" t="n"/>
      <c r="D1716" s="23" t="n"/>
      <c r="E1716" s="26" t="n"/>
      <c r="F1716" s="25" t="n"/>
      <c r="G1716" s="17">
        <f>IF(D1716="Sale",E1716*F1716,IF(D1716="Return",-E1716*F1716,""))</f>
        <v/>
      </c>
      <c r="H1716" s="17">
        <f>IFERROR(IF(D1716="Sale",E1716*INDEX(Products!$E$6:$E$205,MATCH(C1716,Products!$B$6:$B$205,0)),IF(D1716="Return",-E1716*INDEX(Products!$E$6:$E$205,MATCH(C1716,Products!$B$6:$B$205,0)),"")),"")</f>
        <v/>
      </c>
      <c r="I1716" s="24" t="n"/>
      <c r="J1716" s="1" t="n"/>
    </row>
    <row r="1717">
      <c r="A1717" s="1" t="n"/>
      <c r="B1717" s="30" t="n"/>
      <c r="C1717" s="23" t="n"/>
      <c r="D1717" s="23" t="n"/>
      <c r="E1717" s="26" t="n"/>
      <c r="F1717" s="25" t="n"/>
      <c r="G1717" s="17">
        <f>IF(D1717="Sale",E1717*F1717,IF(D1717="Return",-E1717*F1717,""))</f>
        <v/>
      </c>
      <c r="H1717" s="17">
        <f>IFERROR(IF(D1717="Sale",E1717*INDEX(Products!$E$6:$E$205,MATCH(C1717,Products!$B$6:$B$205,0)),IF(D1717="Return",-E1717*INDEX(Products!$E$6:$E$205,MATCH(C1717,Products!$B$6:$B$205,0)),"")),"")</f>
        <v/>
      </c>
      <c r="I1717" s="24" t="n"/>
      <c r="J1717" s="1" t="n"/>
    </row>
    <row r="1718">
      <c r="A1718" s="1" t="n"/>
      <c r="B1718" s="30" t="n"/>
      <c r="C1718" s="23" t="n"/>
      <c r="D1718" s="23" t="n"/>
      <c r="E1718" s="26" t="n"/>
      <c r="F1718" s="25" t="n"/>
      <c r="G1718" s="17">
        <f>IF(D1718="Sale",E1718*F1718,IF(D1718="Return",-E1718*F1718,""))</f>
        <v/>
      </c>
      <c r="H1718" s="17">
        <f>IFERROR(IF(D1718="Sale",E1718*INDEX(Products!$E$6:$E$205,MATCH(C1718,Products!$B$6:$B$205,0)),IF(D1718="Return",-E1718*INDEX(Products!$E$6:$E$205,MATCH(C1718,Products!$B$6:$B$205,0)),"")),"")</f>
        <v/>
      </c>
      <c r="I1718" s="24" t="n"/>
      <c r="J1718" s="1" t="n"/>
    </row>
    <row r="1719">
      <c r="A1719" s="1" t="n"/>
      <c r="B1719" s="30" t="n"/>
      <c r="C1719" s="23" t="n"/>
      <c r="D1719" s="23" t="n"/>
      <c r="E1719" s="26" t="n"/>
      <c r="F1719" s="25" t="n"/>
      <c r="G1719" s="17">
        <f>IF(D1719="Sale",E1719*F1719,IF(D1719="Return",-E1719*F1719,""))</f>
        <v/>
      </c>
      <c r="H1719" s="17">
        <f>IFERROR(IF(D1719="Sale",E1719*INDEX(Products!$E$6:$E$205,MATCH(C1719,Products!$B$6:$B$205,0)),IF(D1719="Return",-E1719*INDEX(Products!$E$6:$E$205,MATCH(C1719,Products!$B$6:$B$205,0)),"")),"")</f>
        <v/>
      </c>
      <c r="I1719" s="24" t="n"/>
      <c r="J1719" s="1" t="n"/>
    </row>
    <row r="1720">
      <c r="A1720" s="1" t="n"/>
      <c r="B1720" s="30" t="n"/>
      <c r="C1720" s="23" t="n"/>
      <c r="D1720" s="23" t="n"/>
      <c r="E1720" s="26" t="n"/>
      <c r="F1720" s="25" t="n"/>
      <c r="G1720" s="17">
        <f>IF(D1720="Sale",E1720*F1720,IF(D1720="Return",-E1720*F1720,""))</f>
        <v/>
      </c>
      <c r="H1720" s="17">
        <f>IFERROR(IF(D1720="Sale",E1720*INDEX(Products!$E$6:$E$205,MATCH(C1720,Products!$B$6:$B$205,0)),IF(D1720="Return",-E1720*INDEX(Products!$E$6:$E$205,MATCH(C1720,Products!$B$6:$B$205,0)),"")),"")</f>
        <v/>
      </c>
      <c r="I1720" s="24" t="n"/>
      <c r="J1720" s="1" t="n"/>
    </row>
    <row r="1721">
      <c r="A1721" s="1" t="n"/>
      <c r="B1721" s="30" t="n"/>
      <c r="C1721" s="23" t="n"/>
      <c r="D1721" s="23" t="n"/>
      <c r="E1721" s="26" t="n"/>
      <c r="F1721" s="25" t="n"/>
      <c r="G1721" s="17">
        <f>IF(D1721="Sale",E1721*F1721,IF(D1721="Return",-E1721*F1721,""))</f>
        <v/>
      </c>
      <c r="H1721" s="17">
        <f>IFERROR(IF(D1721="Sale",E1721*INDEX(Products!$E$6:$E$205,MATCH(C1721,Products!$B$6:$B$205,0)),IF(D1721="Return",-E1721*INDEX(Products!$E$6:$E$205,MATCH(C1721,Products!$B$6:$B$205,0)),"")),"")</f>
        <v/>
      </c>
      <c r="I1721" s="24" t="n"/>
      <c r="J1721" s="1" t="n"/>
    </row>
    <row r="1722">
      <c r="A1722" s="1" t="n"/>
      <c r="B1722" s="30" t="n"/>
      <c r="C1722" s="23" t="n"/>
      <c r="D1722" s="23" t="n"/>
      <c r="E1722" s="26" t="n"/>
      <c r="F1722" s="25" t="n"/>
      <c r="G1722" s="17">
        <f>IF(D1722="Sale",E1722*F1722,IF(D1722="Return",-E1722*F1722,""))</f>
        <v/>
      </c>
      <c r="H1722" s="17">
        <f>IFERROR(IF(D1722="Sale",E1722*INDEX(Products!$E$6:$E$205,MATCH(C1722,Products!$B$6:$B$205,0)),IF(D1722="Return",-E1722*INDEX(Products!$E$6:$E$205,MATCH(C1722,Products!$B$6:$B$205,0)),"")),"")</f>
        <v/>
      </c>
      <c r="I1722" s="24" t="n"/>
      <c r="J1722" s="1" t="n"/>
    </row>
    <row r="1723">
      <c r="A1723" s="1" t="n"/>
      <c r="B1723" s="30" t="n"/>
      <c r="C1723" s="23" t="n"/>
      <c r="D1723" s="23" t="n"/>
      <c r="E1723" s="26" t="n"/>
      <c r="F1723" s="25" t="n"/>
      <c r="G1723" s="17">
        <f>IF(D1723="Sale",E1723*F1723,IF(D1723="Return",-E1723*F1723,""))</f>
        <v/>
      </c>
      <c r="H1723" s="17">
        <f>IFERROR(IF(D1723="Sale",E1723*INDEX(Products!$E$6:$E$205,MATCH(C1723,Products!$B$6:$B$205,0)),IF(D1723="Return",-E1723*INDEX(Products!$E$6:$E$205,MATCH(C1723,Products!$B$6:$B$205,0)),"")),"")</f>
        <v/>
      </c>
      <c r="I1723" s="24" t="n"/>
      <c r="J1723" s="1" t="n"/>
    </row>
    <row r="1724">
      <c r="A1724" s="1" t="n"/>
      <c r="B1724" s="30" t="n"/>
      <c r="C1724" s="23" t="n"/>
      <c r="D1724" s="23" t="n"/>
      <c r="E1724" s="26" t="n"/>
      <c r="F1724" s="25" t="n"/>
      <c r="G1724" s="17">
        <f>IF(D1724="Sale",E1724*F1724,IF(D1724="Return",-E1724*F1724,""))</f>
        <v/>
      </c>
      <c r="H1724" s="17">
        <f>IFERROR(IF(D1724="Sale",E1724*INDEX(Products!$E$6:$E$205,MATCH(C1724,Products!$B$6:$B$205,0)),IF(D1724="Return",-E1724*INDEX(Products!$E$6:$E$205,MATCH(C1724,Products!$B$6:$B$205,0)),"")),"")</f>
        <v/>
      </c>
      <c r="I1724" s="24" t="n"/>
      <c r="J1724" s="1" t="n"/>
    </row>
    <row r="1725">
      <c r="A1725" s="1" t="n"/>
      <c r="B1725" s="30" t="n"/>
      <c r="C1725" s="23" t="n"/>
      <c r="D1725" s="23" t="n"/>
      <c r="E1725" s="26" t="n"/>
      <c r="F1725" s="25" t="n"/>
      <c r="G1725" s="17">
        <f>IF(D1725="Sale",E1725*F1725,IF(D1725="Return",-E1725*F1725,""))</f>
        <v/>
      </c>
      <c r="H1725" s="17">
        <f>IFERROR(IF(D1725="Sale",E1725*INDEX(Products!$E$6:$E$205,MATCH(C1725,Products!$B$6:$B$205,0)),IF(D1725="Return",-E1725*INDEX(Products!$E$6:$E$205,MATCH(C1725,Products!$B$6:$B$205,0)),"")),"")</f>
        <v/>
      </c>
      <c r="I1725" s="24" t="n"/>
      <c r="J1725" s="1" t="n"/>
    </row>
    <row r="1726">
      <c r="A1726" s="1" t="n"/>
      <c r="B1726" s="30" t="n"/>
      <c r="C1726" s="23" t="n"/>
      <c r="D1726" s="23" t="n"/>
      <c r="E1726" s="26" t="n"/>
      <c r="F1726" s="25" t="n"/>
      <c r="G1726" s="17">
        <f>IF(D1726="Sale",E1726*F1726,IF(D1726="Return",-E1726*F1726,""))</f>
        <v/>
      </c>
      <c r="H1726" s="17">
        <f>IFERROR(IF(D1726="Sale",E1726*INDEX(Products!$E$6:$E$205,MATCH(C1726,Products!$B$6:$B$205,0)),IF(D1726="Return",-E1726*INDEX(Products!$E$6:$E$205,MATCH(C1726,Products!$B$6:$B$205,0)),"")),"")</f>
        <v/>
      </c>
      <c r="I1726" s="24" t="n"/>
      <c r="J1726" s="1" t="n"/>
    </row>
    <row r="1727">
      <c r="A1727" s="1" t="n"/>
      <c r="B1727" s="30" t="n"/>
      <c r="C1727" s="23" t="n"/>
      <c r="D1727" s="23" t="n"/>
      <c r="E1727" s="26" t="n"/>
      <c r="F1727" s="25" t="n"/>
      <c r="G1727" s="17">
        <f>IF(D1727="Sale",E1727*F1727,IF(D1727="Return",-E1727*F1727,""))</f>
        <v/>
      </c>
      <c r="H1727" s="17">
        <f>IFERROR(IF(D1727="Sale",E1727*INDEX(Products!$E$6:$E$205,MATCH(C1727,Products!$B$6:$B$205,0)),IF(D1727="Return",-E1727*INDEX(Products!$E$6:$E$205,MATCH(C1727,Products!$B$6:$B$205,0)),"")),"")</f>
        <v/>
      </c>
      <c r="I1727" s="24" t="n"/>
      <c r="J1727" s="1" t="n"/>
    </row>
    <row r="1728">
      <c r="A1728" s="1" t="n"/>
      <c r="B1728" s="30" t="n"/>
      <c r="C1728" s="23" t="n"/>
      <c r="D1728" s="23" t="n"/>
      <c r="E1728" s="26" t="n"/>
      <c r="F1728" s="25" t="n"/>
      <c r="G1728" s="17">
        <f>IF(D1728="Sale",E1728*F1728,IF(D1728="Return",-E1728*F1728,""))</f>
        <v/>
      </c>
      <c r="H1728" s="17">
        <f>IFERROR(IF(D1728="Sale",E1728*INDEX(Products!$E$6:$E$205,MATCH(C1728,Products!$B$6:$B$205,0)),IF(D1728="Return",-E1728*INDEX(Products!$E$6:$E$205,MATCH(C1728,Products!$B$6:$B$205,0)),"")),"")</f>
        <v/>
      </c>
      <c r="I1728" s="24" t="n"/>
      <c r="J1728" s="1" t="n"/>
    </row>
    <row r="1729">
      <c r="A1729" s="1" t="n"/>
      <c r="B1729" s="30" t="n"/>
      <c r="C1729" s="23" t="n"/>
      <c r="D1729" s="23" t="n"/>
      <c r="E1729" s="26" t="n"/>
      <c r="F1729" s="25" t="n"/>
      <c r="G1729" s="17">
        <f>IF(D1729="Sale",E1729*F1729,IF(D1729="Return",-E1729*F1729,""))</f>
        <v/>
      </c>
      <c r="H1729" s="17">
        <f>IFERROR(IF(D1729="Sale",E1729*INDEX(Products!$E$6:$E$205,MATCH(C1729,Products!$B$6:$B$205,0)),IF(D1729="Return",-E1729*INDEX(Products!$E$6:$E$205,MATCH(C1729,Products!$B$6:$B$205,0)),"")),"")</f>
        <v/>
      </c>
      <c r="I1729" s="24" t="n"/>
      <c r="J1729" s="1" t="n"/>
    </row>
    <row r="1730">
      <c r="A1730" s="1" t="n"/>
      <c r="B1730" s="30" t="n"/>
      <c r="C1730" s="23" t="n"/>
      <c r="D1730" s="23" t="n"/>
      <c r="E1730" s="26" t="n"/>
      <c r="F1730" s="25" t="n"/>
      <c r="G1730" s="17">
        <f>IF(D1730="Sale",E1730*F1730,IF(D1730="Return",-E1730*F1730,""))</f>
        <v/>
      </c>
      <c r="H1730" s="17">
        <f>IFERROR(IF(D1730="Sale",E1730*INDEX(Products!$E$6:$E$205,MATCH(C1730,Products!$B$6:$B$205,0)),IF(D1730="Return",-E1730*INDEX(Products!$E$6:$E$205,MATCH(C1730,Products!$B$6:$B$205,0)),"")),"")</f>
        <v/>
      </c>
      <c r="I1730" s="24" t="n"/>
      <c r="J1730" s="1" t="n"/>
    </row>
    <row r="1731">
      <c r="A1731" s="1" t="n"/>
      <c r="B1731" s="30" t="n"/>
      <c r="C1731" s="23" t="n"/>
      <c r="D1731" s="23" t="n"/>
      <c r="E1731" s="26" t="n"/>
      <c r="F1731" s="25" t="n"/>
      <c r="G1731" s="17">
        <f>IF(D1731="Sale",E1731*F1731,IF(D1731="Return",-E1731*F1731,""))</f>
        <v/>
      </c>
      <c r="H1731" s="17">
        <f>IFERROR(IF(D1731="Sale",E1731*INDEX(Products!$E$6:$E$205,MATCH(C1731,Products!$B$6:$B$205,0)),IF(D1731="Return",-E1731*INDEX(Products!$E$6:$E$205,MATCH(C1731,Products!$B$6:$B$205,0)),"")),"")</f>
        <v/>
      </c>
      <c r="I1731" s="24" t="n"/>
      <c r="J1731" s="1" t="n"/>
    </row>
    <row r="1732">
      <c r="A1732" s="1" t="n"/>
      <c r="B1732" s="30" t="n"/>
      <c r="C1732" s="23" t="n"/>
      <c r="D1732" s="23" t="n"/>
      <c r="E1732" s="26" t="n"/>
      <c r="F1732" s="25" t="n"/>
      <c r="G1732" s="17">
        <f>IF(D1732="Sale",E1732*F1732,IF(D1732="Return",-E1732*F1732,""))</f>
        <v/>
      </c>
      <c r="H1732" s="17">
        <f>IFERROR(IF(D1732="Sale",E1732*INDEX(Products!$E$6:$E$205,MATCH(C1732,Products!$B$6:$B$205,0)),IF(D1732="Return",-E1732*INDEX(Products!$E$6:$E$205,MATCH(C1732,Products!$B$6:$B$205,0)),"")),"")</f>
        <v/>
      </c>
      <c r="I1732" s="24" t="n"/>
      <c r="J1732" s="1" t="n"/>
    </row>
    <row r="1733">
      <c r="A1733" s="1" t="n"/>
      <c r="B1733" s="30" t="n"/>
      <c r="C1733" s="23" t="n"/>
      <c r="D1733" s="23" t="n"/>
      <c r="E1733" s="26" t="n"/>
      <c r="F1733" s="25" t="n"/>
      <c r="G1733" s="17">
        <f>IF(D1733="Sale",E1733*F1733,IF(D1733="Return",-E1733*F1733,""))</f>
        <v/>
      </c>
      <c r="H1733" s="17">
        <f>IFERROR(IF(D1733="Sale",E1733*INDEX(Products!$E$6:$E$205,MATCH(C1733,Products!$B$6:$B$205,0)),IF(D1733="Return",-E1733*INDEX(Products!$E$6:$E$205,MATCH(C1733,Products!$B$6:$B$205,0)),"")),"")</f>
        <v/>
      </c>
      <c r="I1733" s="24" t="n"/>
      <c r="J1733" s="1" t="n"/>
    </row>
    <row r="1734">
      <c r="A1734" s="1" t="n"/>
      <c r="B1734" s="30" t="n"/>
      <c r="C1734" s="23" t="n"/>
      <c r="D1734" s="23" t="n"/>
      <c r="E1734" s="26" t="n"/>
      <c r="F1734" s="25" t="n"/>
      <c r="G1734" s="17">
        <f>IF(D1734="Sale",E1734*F1734,IF(D1734="Return",-E1734*F1734,""))</f>
        <v/>
      </c>
      <c r="H1734" s="17">
        <f>IFERROR(IF(D1734="Sale",E1734*INDEX(Products!$E$6:$E$205,MATCH(C1734,Products!$B$6:$B$205,0)),IF(D1734="Return",-E1734*INDEX(Products!$E$6:$E$205,MATCH(C1734,Products!$B$6:$B$205,0)),"")),"")</f>
        <v/>
      </c>
      <c r="I1734" s="24" t="n"/>
      <c r="J1734" s="1" t="n"/>
    </row>
    <row r="1735">
      <c r="A1735" s="1" t="n"/>
      <c r="B1735" s="30" t="n"/>
      <c r="C1735" s="23" t="n"/>
      <c r="D1735" s="23" t="n"/>
      <c r="E1735" s="26" t="n"/>
      <c r="F1735" s="25" t="n"/>
      <c r="G1735" s="17">
        <f>IF(D1735="Sale",E1735*F1735,IF(D1735="Return",-E1735*F1735,""))</f>
        <v/>
      </c>
      <c r="H1735" s="17">
        <f>IFERROR(IF(D1735="Sale",E1735*INDEX(Products!$E$6:$E$205,MATCH(C1735,Products!$B$6:$B$205,0)),IF(D1735="Return",-E1735*INDEX(Products!$E$6:$E$205,MATCH(C1735,Products!$B$6:$B$205,0)),"")),"")</f>
        <v/>
      </c>
      <c r="I1735" s="24" t="n"/>
      <c r="J1735" s="1" t="n"/>
    </row>
    <row r="1736">
      <c r="A1736" s="1" t="n"/>
      <c r="B1736" s="30" t="n"/>
      <c r="C1736" s="23" t="n"/>
      <c r="D1736" s="23" t="n"/>
      <c r="E1736" s="26" t="n"/>
      <c r="F1736" s="25" t="n"/>
      <c r="G1736" s="17">
        <f>IF(D1736="Sale",E1736*F1736,IF(D1736="Return",-E1736*F1736,""))</f>
        <v/>
      </c>
      <c r="H1736" s="17">
        <f>IFERROR(IF(D1736="Sale",E1736*INDEX(Products!$E$6:$E$205,MATCH(C1736,Products!$B$6:$B$205,0)),IF(D1736="Return",-E1736*INDEX(Products!$E$6:$E$205,MATCH(C1736,Products!$B$6:$B$205,0)),"")),"")</f>
        <v/>
      </c>
      <c r="I1736" s="24" t="n"/>
      <c r="J1736" s="1" t="n"/>
    </row>
    <row r="1737">
      <c r="A1737" s="1" t="n"/>
      <c r="B1737" s="30" t="n"/>
      <c r="C1737" s="23" t="n"/>
      <c r="D1737" s="23" t="n"/>
      <c r="E1737" s="26" t="n"/>
      <c r="F1737" s="25" t="n"/>
      <c r="G1737" s="17">
        <f>IF(D1737="Sale",E1737*F1737,IF(D1737="Return",-E1737*F1737,""))</f>
        <v/>
      </c>
      <c r="H1737" s="17">
        <f>IFERROR(IF(D1737="Sale",E1737*INDEX(Products!$E$6:$E$205,MATCH(C1737,Products!$B$6:$B$205,0)),IF(D1737="Return",-E1737*INDEX(Products!$E$6:$E$205,MATCH(C1737,Products!$B$6:$B$205,0)),"")),"")</f>
        <v/>
      </c>
      <c r="I1737" s="24" t="n"/>
      <c r="J1737" s="1" t="n"/>
    </row>
    <row r="1738">
      <c r="A1738" s="1" t="n"/>
      <c r="B1738" s="30" t="n"/>
      <c r="C1738" s="23" t="n"/>
      <c r="D1738" s="23" t="n"/>
      <c r="E1738" s="26" t="n"/>
      <c r="F1738" s="25" t="n"/>
      <c r="G1738" s="17">
        <f>IF(D1738="Sale",E1738*F1738,IF(D1738="Return",-E1738*F1738,""))</f>
        <v/>
      </c>
      <c r="H1738" s="17">
        <f>IFERROR(IF(D1738="Sale",E1738*INDEX(Products!$E$6:$E$205,MATCH(C1738,Products!$B$6:$B$205,0)),IF(D1738="Return",-E1738*INDEX(Products!$E$6:$E$205,MATCH(C1738,Products!$B$6:$B$205,0)),"")),"")</f>
        <v/>
      </c>
      <c r="I1738" s="24" t="n"/>
      <c r="J1738" s="1" t="n"/>
    </row>
    <row r="1739">
      <c r="A1739" s="1" t="n"/>
      <c r="B1739" s="30" t="n"/>
      <c r="C1739" s="23" t="n"/>
      <c r="D1739" s="23" t="n"/>
      <c r="E1739" s="26" t="n"/>
      <c r="F1739" s="25" t="n"/>
      <c r="G1739" s="17">
        <f>IF(D1739="Sale",E1739*F1739,IF(D1739="Return",-E1739*F1739,""))</f>
        <v/>
      </c>
      <c r="H1739" s="17">
        <f>IFERROR(IF(D1739="Sale",E1739*INDEX(Products!$E$6:$E$205,MATCH(C1739,Products!$B$6:$B$205,0)),IF(D1739="Return",-E1739*INDEX(Products!$E$6:$E$205,MATCH(C1739,Products!$B$6:$B$205,0)),"")),"")</f>
        <v/>
      </c>
      <c r="I1739" s="24" t="n"/>
      <c r="J1739" s="1" t="n"/>
    </row>
    <row r="1740">
      <c r="A1740" s="1" t="n"/>
      <c r="B1740" s="30" t="n"/>
      <c r="C1740" s="23" t="n"/>
      <c r="D1740" s="23" t="n"/>
      <c r="E1740" s="26" t="n"/>
      <c r="F1740" s="25" t="n"/>
      <c r="G1740" s="17">
        <f>IF(D1740="Sale",E1740*F1740,IF(D1740="Return",-E1740*F1740,""))</f>
        <v/>
      </c>
      <c r="H1740" s="17">
        <f>IFERROR(IF(D1740="Sale",E1740*INDEX(Products!$E$6:$E$205,MATCH(C1740,Products!$B$6:$B$205,0)),IF(D1740="Return",-E1740*INDEX(Products!$E$6:$E$205,MATCH(C1740,Products!$B$6:$B$205,0)),"")),"")</f>
        <v/>
      </c>
      <c r="I1740" s="24" t="n"/>
      <c r="J1740" s="1" t="n"/>
    </row>
    <row r="1741">
      <c r="A1741" s="1" t="n"/>
      <c r="B1741" s="30" t="n"/>
      <c r="C1741" s="23" t="n"/>
      <c r="D1741" s="23" t="n"/>
      <c r="E1741" s="26" t="n"/>
      <c r="F1741" s="25" t="n"/>
      <c r="G1741" s="17">
        <f>IF(D1741="Sale",E1741*F1741,IF(D1741="Return",-E1741*F1741,""))</f>
        <v/>
      </c>
      <c r="H1741" s="17">
        <f>IFERROR(IF(D1741="Sale",E1741*INDEX(Products!$E$6:$E$205,MATCH(C1741,Products!$B$6:$B$205,0)),IF(D1741="Return",-E1741*INDEX(Products!$E$6:$E$205,MATCH(C1741,Products!$B$6:$B$205,0)),"")),"")</f>
        <v/>
      </c>
      <c r="I1741" s="24" t="n"/>
      <c r="J1741" s="1" t="n"/>
    </row>
    <row r="1742">
      <c r="A1742" s="1" t="n"/>
      <c r="B1742" s="30" t="n"/>
      <c r="C1742" s="23" t="n"/>
      <c r="D1742" s="23" t="n"/>
      <c r="E1742" s="26" t="n"/>
      <c r="F1742" s="25" t="n"/>
      <c r="G1742" s="17">
        <f>IF(D1742="Sale",E1742*F1742,IF(D1742="Return",-E1742*F1742,""))</f>
        <v/>
      </c>
      <c r="H1742" s="17">
        <f>IFERROR(IF(D1742="Sale",E1742*INDEX(Products!$E$6:$E$205,MATCH(C1742,Products!$B$6:$B$205,0)),IF(D1742="Return",-E1742*INDEX(Products!$E$6:$E$205,MATCH(C1742,Products!$B$6:$B$205,0)),"")),"")</f>
        <v/>
      </c>
      <c r="I1742" s="24" t="n"/>
      <c r="J1742" s="1" t="n"/>
    </row>
    <row r="1743">
      <c r="A1743" s="1" t="n"/>
      <c r="B1743" s="30" t="n"/>
      <c r="C1743" s="23" t="n"/>
      <c r="D1743" s="23" t="n"/>
      <c r="E1743" s="26" t="n"/>
      <c r="F1743" s="25" t="n"/>
      <c r="G1743" s="17">
        <f>IF(D1743="Sale",E1743*F1743,IF(D1743="Return",-E1743*F1743,""))</f>
        <v/>
      </c>
      <c r="H1743" s="17">
        <f>IFERROR(IF(D1743="Sale",E1743*INDEX(Products!$E$6:$E$205,MATCH(C1743,Products!$B$6:$B$205,0)),IF(D1743="Return",-E1743*INDEX(Products!$E$6:$E$205,MATCH(C1743,Products!$B$6:$B$205,0)),"")),"")</f>
        <v/>
      </c>
      <c r="I1743" s="24" t="n"/>
      <c r="J1743" s="1" t="n"/>
    </row>
    <row r="1744">
      <c r="A1744" s="1" t="n"/>
      <c r="B1744" s="30" t="n"/>
      <c r="C1744" s="23" t="n"/>
      <c r="D1744" s="23" t="n"/>
      <c r="E1744" s="26" t="n"/>
      <c r="F1744" s="25" t="n"/>
      <c r="G1744" s="17">
        <f>IF(D1744="Sale",E1744*F1744,IF(D1744="Return",-E1744*F1744,""))</f>
        <v/>
      </c>
      <c r="H1744" s="17">
        <f>IFERROR(IF(D1744="Sale",E1744*INDEX(Products!$E$6:$E$205,MATCH(C1744,Products!$B$6:$B$205,0)),IF(D1744="Return",-E1744*INDEX(Products!$E$6:$E$205,MATCH(C1744,Products!$B$6:$B$205,0)),"")),"")</f>
        <v/>
      </c>
      <c r="I1744" s="24" t="n"/>
      <c r="J1744" s="1" t="n"/>
    </row>
    <row r="1745">
      <c r="A1745" s="1" t="n"/>
      <c r="B1745" s="30" t="n"/>
      <c r="C1745" s="23" t="n"/>
      <c r="D1745" s="23" t="n"/>
      <c r="E1745" s="26" t="n"/>
      <c r="F1745" s="25" t="n"/>
      <c r="G1745" s="17">
        <f>IF(D1745="Sale",E1745*F1745,IF(D1745="Return",-E1745*F1745,""))</f>
        <v/>
      </c>
      <c r="H1745" s="17">
        <f>IFERROR(IF(D1745="Sale",E1745*INDEX(Products!$E$6:$E$205,MATCH(C1745,Products!$B$6:$B$205,0)),IF(D1745="Return",-E1745*INDEX(Products!$E$6:$E$205,MATCH(C1745,Products!$B$6:$B$205,0)),"")),"")</f>
        <v/>
      </c>
      <c r="I1745" s="24" t="n"/>
      <c r="J1745" s="1" t="n"/>
    </row>
    <row r="1746">
      <c r="A1746" s="1" t="n"/>
      <c r="B1746" s="30" t="n"/>
      <c r="C1746" s="23" t="n"/>
      <c r="D1746" s="23" t="n"/>
      <c r="E1746" s="26" t="n"/>
      <c r="F1746" s="25" t="n"/>
      <c r="G1746" s="17">
        <f>IF(D1746="Sale",E1746*F1746,IF(D1746="Return",-E1746*F1746,""))</f>
        <v/>
      </c>
      <c r="H1746" s="17">
        <f>IFERROR(IF(D1746="Sale",E1746*INDEX(Products!$E$6:$E$205,MATCH(C1746,Products!$B$6:$B$205,0)),IF(D1746="Return",-E1746*INDEX(Products!$E$6:$E$205,MATCH(C1746,Products!$B$6:$B$205,0)),"")),"")</f>
        <v/>
      </c>
      <c r="I1746" s="24" t="n"/>
      <c r="J1746" s="1" t="n"/>
    </row>
    <row r="1747">
      <c r="A1747" s="1" t="n"/>
      <c r="B1747" s="30" t="n"/>
      <c r="C1747" s="23" t="n"/>
      <c r="D1747" s="23" t="n"/>
      <c r="E1747" s="26" t="n"/>
      <c r="F1747" s="25" t="n"/>
      <c r="G1747" s="17">
        <f>IF(D1747="Sale",E1747*F1747,IF(D1747="Return",-E1747*F1747,""))</f>
        <v/>
      </c>
      <c r="H1747" s="17">
        <f>IFERROR(IF(D1747="Sale",E1747*INDEX(Products!$E$6:$E$205,MATCH(C1747,Products!$B$6:$B$205,0)),IF(D1747="Return",-E1747*INDEX(Products!$E$6:$E$205,MATCH(C1747,Products!$B$6:$B$205,0)),"")),"")</f>
        <v/>
      </c>
      <c r="I1747" s="24" t="n"/>
      <c r="J1747" s="1" t="n"/>
    </row>
    <row r="1748">
      <c r="A1748" s="1" t="n"/>
      <c r="B1748" s="30" t="n"/>
      <c r="C1748" s="23" t="n"/>
      <c r="D1748" s="23" t="n"/>
      <c r="E1748" s="26" t="n"/>
      <c r="F1748" s="25" t="n"/>
      <c r="G1748" s="17">
        <f>IF(D1748="Sale",E1748*F1748,IF(D1748="Return",-E1748*F1748,""))</f>
        <v/>
      </c>
      <c r="H1748" s="17">
        <f>IFERROR(IF(D1748="Sale",E1748*INDEX(Products!$E$6:$E$205,MATCH(C1748,Products!$B$6:$B$205,0)),IF(D1748="Return",-E1748*INDEX(Products!$E$6:$E$205,MATCH(C1748,Products!$B$6:$B$205,0)),"")),"")</f>
        <v/>
      </c>
      <c r="I1748" s="24" t="n"/>
      <c r="J1748" s="1" t="n"/>
    </row>
    <row r="1749">
      <c r="A1749" s="1" t="n"/>
      <c r="B1749" s="30" t="n"/>
      <c r="C1749" s="23" t="n"/>
      <c r="D1749" s="23" t="n"/>
      <c r="E1749" s="26" t="n"/>
      <c r="F1749" s="25" t="n"/>
      <c r="G1749" s="17">
        <f>IF(D1749="Sale",E1749*F1749,IF(D1749="Return",-E1749*F1749,""))</f>
        <v/>
      </c>
      <c r="H1749" s="17">
        <f>IFERROR(IF(D1749="Sale",E1749*INDEX(Products!$E$6:$E$205,MATCH(C1749,Products!$B$6:$B$205,0)),IF(D1749="Return",-E1749*INDEX(Products!$E$6:$E$205,MATCH(C1749,Products!$B$6:$B$205,0)),"")),"")</f>
        <v/>
      </c>
      <c r="I1749" s="24" t="n"/>
      <c r="J1749" s="1" t="n"/>
    </row>
    <row r="1750">
      <c r="A1750" s="1" t="n"/>
      <c r="B1750" s="30" t="n"/>
      <c r="C1750" s="23" t="n"/>
      <c r="D1750" s="23" t="n"/>
      <c r="E1750" s="26" t="n"/>
      <c r="F1750" s="25" t="n"/>
      <c r="G1750" s="17">
        <f>IF(D1750="Sale",E1750*F1750,IF(D1750="Return",-E1750*F1750,""))</f>
        <v/>
      </c>
      <c r="H1750" s="17">
        <f>IFERROR(IF(D1750="Sale",E1750*INDEX(Products!$E$6:$E$205,MATCH(C1750,Products!$B$6:$B$205,0)),IF(D1750="Return",-E1750*INDEX(Products!$E$6:$E$205,MATCH(C1750,Products!$B$6:$B$205,0)),"")),"")</f>
        <v/>
      </c>
      <c r="I1750" s="24" t="n"/>
      <c r="J1750" s="1" t="n"/>
    </row>
    <row r="1751">
      <c r="A1751" s="1" t="n"/>
      <c r="B1751" s="30" t="n"/>
      <c r="C1751" s="23" t="n"/>
      <c r="D1751" s="23" t="n"/>
      <c r="E1751" s="26" t="n"/>
      <c r="F1751" s="25" t="n"/>
      <c r="G1751" s="17">
        <f>IF(D1751="Sale",E1751*F1751,IF(D1751="Return",-E1751*F1751,""))</f>
        <v/>
      </c>
      <c r="H1751" s="17">
        <f>IFERROR(IF(D1751="Sale",E1751*INDEX(Products!$E$6:$E$205,MATCH(C1751,Products!$B$6:$B$205,0)),IF(D1751="Return",-E1751*INDEX(Products!$E$6:$E$205,MATCH(C1751,Products!$B$6:$B$205,0)),"")),"")</f>
        <v/>
      </c>
      <c r="I1751" s="24" t="n"/>
      <c r="J1751" s="1" t="n"/>
    </row>
    <row r="1752">
      <c r="A1752" s="1" t="n"/>
      <c r="B1752" s="30" t="n"/>
      <c r="C1752" s="23" t="n"/>
      <c r="D1752" s="23" t="n"/>
      <c r="E1752" s="26" t="n"/>
      <c r="F1752" s="25" t="n"/>
      <c r="G1752" s="17">
        <f>IF(D1752="Sale",E1752*F1752,IF(D1752="Return",-E1752*F1752,""))</f>
        <v/>
      </c>
      <c r="H1752" s="17">
        <f>IFERROR(IF(D1752="Sale",E1752*INDEX(Products!$E$6:$E$205,MATCH(C1752,Products!$B$6:$B$205,0)),IF(D1752="Return",-E1752*INDEX(Products!$E$6:$E$205,MATCH(C1752,Products!$B$6:$B$205,0)),"")),"")</f>
        <v/>
      </c>
      <c r="I1752" s="24" t="n"/>
      <c r="J1752" s="1" t="n"/>
    </row>
    <row r="1753">
      <c r="A1753" s="1" t="n"/>
      <c r="B1753" s="30" t="n"/>
      <c r="C1753" s="23" t="n"/>
      <c r="D1753" s="23" t="n"/>
      <c r="E1753" s="26" t="n"/>
      <c r="F1753" s="25" t="n"/>
      <c r="G1753" s="17">
        <f>IF(D1753="Sale",E1753*F1753,IF(D1753="Return",-E1753*F1753,""))</f>
        <v/>
      </c>
      <c r="H1753" s="17">
        <f>IFERROR(IF(D1753="Sale",E1753*INDEX(Products!$E$6:$E$205,MATCH(C1753,Products!$B$6:$B$205,0)),IF(D1753="Return",-E1753*INDEX(Products!$E$6:$E$205,MATCH(C1753,Products!$B$6:$B$205,0)),"")),"")</f>
        <v/>
      </c>
      <c r="I1753" s="24" t="n"/>
      <c r="J1753" s="1" t="n"/>
    </row>
    <row r="1754">
      <c r="A1754" s="1" t="n"/>
      <c r="B1754" s="30" t="n"/>
      <c r="C1754" s="23" t="n"/>
      <c r="D1754" s="23" t="n"/>
      <c r="E1754" s="26" t="n"/>
      <c r="F1754" s="25" t="n"/>
      <c r="G1754" s="17">
        <f>IF(D1754="Sale",E1754*F1754,IF(D1754="Return",-E1754*F1754,""))</f>
        <v/>
      </c>
      <c r="H1754" s="17">
        <f>IFERROR(IF(D1754="Sale",E1754*INDEX(Products!$E$6:$E$205,MATCH(C1754,Products!$B$6:$B$205,0)),IF(D1754="Return",-E1754*INDEX(Products!$E$6:$E$205,MATCH(C1754,Products!$B$6:$B$205,0)),"")),"")</f>
        <v/>
      </c>
      <c r="I1754" s="24" t="n"/>
      <c r="J1754" s="1" t="n"/>
    </row>
    <row r="1755">
      <c r="A1755" s="1" t="n"/>
      <c r="B1755" s="30" t="n"/>
      <c r="C1755" s="23" t="n"/>
      <c r="D1755" s="23" t="n"/>
      <c r="E1755" s="26" t="n"/>
      <c r="F1755" s="25" t="n"/>
      <c r="G1755" s="17">
        <f>IF(D1755="Sale",E1755*F1755,IF(D1755="Return",-E1755*F1755,""))</f>
        <v/>
      </c>
      <c r="H1755" s="17">
        <f>IFERROR(IF(D1755="Sale",E1755*INDEX(Products!$E$6:$E$205,MATCH(C1755,Products!$B$6:$B$205,0)),IF(D1755="Return",-E1755*INDEX(Products!$E$6:$E$205,MATCH(C1755,Products!$B$6:$B$205,0)),"")),"")</f>
        <v/>
      </c>
      <c r="I1755" s="24" t="n"/>
      <c r="J1755" s="1" t="n"/>
    </row>
    <row r="1756">
      <c r="A1756" s="1" t="n"/>
      <c r="B1756" s="30" t="n"/>
      <c r="C1756" s="23" t="n"/>
      <c r="D1756" s="23" t="n"/>
      <c r="E1756" s="26" t="n"/>
      <c r="F1756" s="25" t="n"/>
      <c r="G1756" s="17">
        <f>IF(D1756="Sale",E1756*F1756,IF(D1756="Return",-E1756*F1756,""))</f>
        <v/>
      </c>
      <c r="H1756" s="17">
        <f>IFERROR(IF(D1756="Sale",E1756*INDEX(Products!$E$6:$E$205,MATCH(C1756,Products!$B$6:$B$205,0)),IF(D1756="Return",-E1756*INDEX(Products!$E$6:$E$205,MATCH(C1756,Products!$B$6:$B$205,0)),"")),"")</f>
        <v/>
      </c>
      <c r="I1756" s="24" t="n"/>
      <c r="J1756" s="1" t="n"/>
    </row>
    <row r="1757">
      <c r="A1757" s="1" t="n"/>
      <c r="B1757" s="30" t="n"/>
      <c r="C1757" s="23" t="n"/>
      <c r="D1757" s="23" t="n"/>
      <c r="E1757" s="26" t="n"/>
      <c r="F1757" s="25" t="n"/>
      <c r="G1757" s="17">
        <f>IF(D1757="Sale",E1757*F1757,IF(D1757="Return",-E1757*F1757,""))</f>
        <v/>
      </c>
      <c r="H1757" s="17">
        <f>IFERROR(IF(D1757="Sale",E1757*INDEX(Products!$E$6:$E$205,MATCH(C1757,Products!$B$6:$B$205,0)),IF(D1757="Return",-E1757*INDEX(Products!$E$6:$E$205,MATCH(C1757,Products!$B$6:$B$205,0)),"")),"")</f>
        <v/>
      </c>
      <c r="I1757" s="24" t="n"/>
      <c r="J1757" s="1" t="n"/>
    </row>
    <row r="1758">
      <c r="A1758" s="1" t="n"/>
      <c r="B1758" s="30" t="n"/>
      <c r="C1758" s="23" t="n"/>
      <c r="D1758" s="23" t="n"/>
      <c r="E1758" s="26" t="n"/>
      <c r="F1758" s="25" t="n"/>
      <c r="G1758" s="17">
        <f>IF(D1758="Sale",E1758*F1758,IF(D1758="Return",-E1758*F1758,""))</f>
        <v/>
      </c>
      <c r="H1758" s="17">
        <f>IFERROR(IF(D1758="Sale",E1758*INDEX(Products!$E$6:$E$205,MATCH(C1758,Products!$B$6:$B$205,0)),IF(D1758="Return",-E1758*INDEX(Products!$E$6:$E$205,MATCH(C1758,Products!$B$6:$B$205,0)),"")),"")</f>
        <v/>
      </c>
      <c r="I1758" s="24" t="n"/>
      <c r="J1758" s="1" t="n"/>
    </row>
    <row r="1759">
      <c r="A1759" s="1" t="n"/>
      <c r="B1759" s="30" t="n"/>
      <c r="C1759" s="23" t="n"/>
      <c r="D1759" s="23" t="n"/>
      <c r="E1759" s="26" t="n"/>
      <c r="F1759" s="25" t="n"/>
      <c r="G1759" s="17">
        <f>IF(D1759="Sale",E1759*F1759,IF(D1759="Return",-E1759*F1759,""))</f>
        <v/>
      </c>
      <c r="H1759" s="17">
        <f>IFERROR(IF(D1759="Sale",E1759*INDEX(Products!$E$6:$E$205,MATCH(C1759,Products!$B$6:$B$205,0)),IF(D1759="Return",-E1759*INDEX(Products!$E$6:$E$205,MATCH(C1759,Products!$B$6:$B$205,0)),"")),"")</f>
        <v/>
      </c>
      <c r="I1759" s="24" t="n"/>
      <c r="J1759" s="1" t="n"/>
    </row>
    <row r="1760">
      <c r="A1760" s="1" t="n"/>
      <c r="B1760" s="30" t="n"/>
      <c r="C1760" s="23" t="n"/>
      <c r="D1760" s="23" t="n"/>
      <c r="E1760" s="26" t="n"/>
      <c r="F1760" s="25" t="n"/>
      <c r="G1760" s="17">
        <f>IF(D1760="Sale",E1760*F1760,IF(D1760="Return",-E1760*F1760,""))</f>
        <v/>
      </c>
      <c r="H1760" s="17">
        <f>IFERROR(IF(D1760="Sale",E1760*INDEX(Products!$E$6:$E$205,MATCH(C1760,Products!$B$6:$B$205,0)),IF(D1760="Return",-E1760*INDEX(Products!$E$6:$E$205,MATCH(C1760,Products!$B$6:$B$205,0)),"")),"")</f>
        <v/>
      </c>
      <c r="I1760" s="24" t="n"/>
      <c r="J1760" s="1" t="n"/>
    </row>
    <row r="1761">
      <c r="A1761" s="1" t="n"/>
      <c r="B1761" s="30" t="n"/>
      <c r="C1761" s="23" t="n"/>
      <c r="D1761" s="23" t="n"/>
      <c r="E1761" s="26" t="n"/>
      <c r="F1761" s="25" t="n"/>
      <c r="G1761" s="17">
        <f>IF(D1761="Sale",E1761*F1761,IF(D1761="Return",-E1761*F1761,""))</f>
        <v/>
      </c>
      <c r="H1761" s="17">
        <f>IFERROR(IF(D1761="Sale",E1761*INDEX(Products!$E$6:$E$205,MATCH(C1761,Products!$B$6:$B$205,0)),IF(D1761="Return",-E1761*INDEX(Products!$E$6:$E$205,MATCH(C1761,Products!$B$6:$B$205,0)),"")),"")</f>
        <v/>
      </c>
      <c r="I1761" s="24" t="n"/>
      <c r="J1761" s="1" t="n"/>
    </row>
    <row r="1762">
      <c r="A1762" s="1" t="n"/>
      <c r="B1762" s="30" t="n"/>
      <c r="C1762" s="23" t="n"/>
      <c r="D1762" s="23" t="n"/>
      <c r="E1762" s="26" t="n"/>
      <c r="F1762" s="25" t="n"/>
      <c r="G1762" s="17">
        <f>IF(D1762="Sale",E1762*F1762,IF(D1762="Return",-E1762*F1762,""))</f>
        <v/>
      </c>
      <c r="H1762" s="17">
        <f>IFERROR(IF(D1762="Sale",E1762*INDEX(Products!$E$6:$E$205,MATCH(C1762,Products!$B$6:$B$205,0)),IF(D1762="Return",-E1762*INDEX(Products!$E$6:$E$205,MATCH(C1762,Products!$B$6:$B$205,0)),"")),"")</f>
        <v/>
      </c>
      <c r="I1762" s="24" t="n"/>
      <c r="J1762" s="1" t="n"/>
    </row>
    <row r="1763">
      <c r="A1763" s="1" t="n"/>
      <c r="B1763" s="30" t="n"/>
      <c r="C1763" s="23" t="n"/>
      <c r="D1763" s="23" t="n"/>
      <c r="E1763" s="26" t="n"/>
      <c r="F1763" s="25" t="n"/>
      <c r="G1763" s="17">
        <f>IF(D1763="Sale",E1763*F1763,IF(D1763="Return",-E1763*F1763,""))</f>
        <v/>
      </c>
      <c r="H1763" s="17">
        <f>IFERROR(IF(D1763="Sale",E1763*INDEX(Products!$E$6:$E$205,MATCH(C1763,Products!$B$6:$B$205,0)),IF(D1763="Return",-E1763*INDEX(Products!$E$6:$E$205,MATCH(C1763,Products!$B$6:$B$205,0)),"")),"")</f>
        <v/>
      </c>
      <c r="I1763" s="24" t="n"/>
      <c r="J1763" s="1" t="n"/>
    </row>
    <row r="1764">
      <c r="A1764" s="1" t="n"/>
      <c r="B1764" s="30" t="n"/>
      <c r="C1764" s="23" t="n"/>
      <c r="D1764" s="23" t="n"/>
      <c r="E1764" s="26" t="n"/>
      <c r="F1764" s="25" t="n"/>
      <c r="G1764" s="17">
        <f>IF(D1764="Sale",E1764*F1764,IF(D1764="Return",-E1764*F1764,""))</f>
        <v/>
      </c>
      <c r="H1764" s="17">
        <f>IFERROR(IF(D1764="Sale",E1764*INDEX(Products!$E$6:$E$205,MATCH(C1764,Products!$B$6:$B$205,0)),IF(D1764="Return",-E1764*INDEX(Products!$E$6:$E$205,MATCH(C1764,Products!$B$6:$B$205,0)),"")),"")</f>
        <v/>
      </c>
      <c r="I1764" s="24" t="n"/>
      <c r="J1764" s="1" t="n"/>
    </row>
    <row r="1765">
      <c r="A1765" s="1" t="n"/>
      <c r="B1765" s="30" t="n"/>
      <c r="C1765" s="23" t="n"/>
      <c r="D1765" s="23" t="n"/>
      <c r="E1765" s="26" t="n"/>
      <c r="F1765" s="25" t="n"/>
      <c r="G1765" s="17">
        <f>IF(D1765="Sale",E1765*F1765,IF(D1765="Return",-E1765*F1765,""))</f>
        <v/>
      </c>
      <c r="H1765" s="17">
        <f>IFERROR(IF(D1765="Sale",E1765*INDEX(Products!$E$6:$E$205,MATCH(C1765,Products!$B$6:$B$205,0)),IF(D1765="Return",-E1765*INDEX(Products!$E$6:$E$205,MATCH(C1765,Products!$B$6:$B$205,0)),"")),"")</f>
        <v/>
      </c>
      <c r="I1765" s="24" t="n"/>
      <c r="J1765" s="1" t="n"/>
    </row>
    <row r="1766">
      <c r="A1766" s="1" t="n"/>
      <c r="B1766" s="30" t="n"/>
      <c r="C1766" s="23" t="n"/>
      <c r="D1766" s="23" t="n"/>
      <c r="E1766" s="26" t="n"/>
      <c r="F1766" s="25" t="n"/>
      <c r="G1766" s="17">
        <f>IF(D1766="Sale",E1766*F1766,IF(D1766="Return",-E1766*F1766,""))</f>
        <v/>
      </c>
      <c r="H1766" s="17">
        <f>IFERROR(IF(D1766="Sale",E1766*INDEX(Products!$E$6:$E$205,MATCH(C1766,Products!$B$6:$B$205,0)),IF(D1766="Return",-E1766*INDEX(Products!$E$6:$E$205,MATCH(C1766,Products!$B$6:$B$205,0)),"")),"")</f>
        <v/>
      </c>
      <c r="I1766" s="24" t="n"/>
      <c r="J1766" s="1" t="n"/>
    </row>
    <row r="1767">
      <c r="A1767" s="1" t="n"/>
      <c r="B1767" s="30" t="n"/>
      <c r="C1767" s="23" t="n"/>
      <c r="D1767" s="23" t="n"/>
      <c r="E1767" s="26" t="n"/>
      <c r="F1767" s="25" t="n"/>
      <c r="G1767" s="17">
        <f>IF(D1767="Sale",E1767*F1767,IF(D1767="Return",-E1767*F1767,""))</f>
        <v/>
      </c>
      <c r="H1767" s="17">
        <f>IFERROR(IF(D1767="Sale",E1767*INDEX(Products!$E$6:$E$205,MATCH(C1767,Products!$B$6:$B$205,0)),IF(D1767="Return",-E1767*INDEX(Products!$E$6:$E$205,MATCH(C1767,Products!$B$6:$B$205,0)),"")),"")</f>
        <v/>
      </c>
      <c r="I1767" s="24" t="n"/>
      <c r="J1767" s="1" t="n"/>
    </row>
    <row r="1768">
      <c r="A1768" s="1" t="n"/>
      <c r="B1768" s="30" t="n"/>
      <c r="C1768" s="23" t="n"/>
      <c r="D1768" s="23" t="n"/>
      <c r="E1768" s="26" t="n"/>
      <c r="F1768" s="25" t="n"/>
      <c r="G1768" s="17">
        <f>IF(D1768="Sale",E1768*F1768,IF(D1768="Return",-E1768*F1768,""))</f>
        <v/>
      </c>
      <c r="H1768" s="17">
        <f>IFERROR(IF(D1768="Sale",E1768*INDEX(Products!$E$6:$E$205,MATCH(C1768,Products!$B$6:$B$205,0)),IF(D1768="Return",-E1768*INDEX(Products!$E$6:$E$205,MATCH(C1768,Products!$B$6:$B$205,0)),"")),"")</f>
        <v/>
      </c>
      <c r="I1768" s="24" t="n"/>
      <c r="J1768" s="1" t="n"/>
    </row>
    <row r="1769">
      <c r="A1769" s="1" t="n"/>
      <c r="B1769" s="30" t="n"/>
      <c r="C1769" s="23" t="n"/>
      <c r="D1769" s="23" t="n"/>
      <c r="E1769" s="26" t="n"/>
      <c r="F1769" s="25" t="n"/>
      <c r="G1769" s="17">
        <f>IF(D1769="Sale",E1769*F1769,IF(D1769="Return",-E1769*F1769,""))</f>
        <v/>
      </c>
      <c r="H1769" s="17">
        <f>IFERROR(IF(D1769="Sale",E1769*INDEX(Products!$E$6:$E$205,MATCH(C1769,Products!$B$6:$B$205,0)),IF(D1769="Return",-E1769*INDEX(Products!$E$6:$E$205,MATCH(C1769,Products!$B$6:$B$205,0)),"")),"")</f>
        <v/>
      </c>
      <c r="I1769" s="24" t="n"/>
      <c r="J1769" s="1" t="n"/>
    </row>
    <row r="1770">
      <c r="A1770" s="1" t="n"/>
      <c r="B1770" s="30" t="n"/>
      <c r="C1770" s="23" t="n"/>
      <c r="D1770" s="23" t="n"/>
      <c r="E1770" s="26" t="n"/>
      <c r="F1770" s="25" t="n"/>
      <c r="G1770" s="17">
        <f>IF(D1770="Sale",E1770*F1770,IF(D1770="Return",-E1770*F1770,""))</f>
        <v/>
      </c>
      <c r="H1770" s="17">
        <f>IFERROR(IF(D1770="Sale",E1770*INDEX(Products!$E$6:$E$205,MATCH(C1770,Products!$B$6:$B$205,0)),IF(D1770="Return",-E1770*INDEX(Products!$E$6:$E$205,MATCH(C1770,Products!$B$6:$B$205,0)),"")),"")</f>
        <v/>
      </c>
      <c r="I1770" s="24" t="n"/>
      <c r="J1770" s="1" t="n"/>
    </row>
    <row r="1771">
      <c r="A1771" s="1" t="n"/>
      <c r="B1771" s="30" t="n"/>
      <c r="C1771" s="23" t="n"/>
      <c r="D1771" s="23" t="n"/>
      <c r="E1771" s="26" t="n"/>
      <c r="F1771" s="25" t="n"/>
      <c r="G1771" s="17">
        <f>IF(D1771="Sale",E1771*F1771,IF(D1771="Return",-E1771*F1771,""))</f>
        <v/>
      </c>
      <c r="H1771" s="17">
        <f>IFERROR(IF(D1771="Sale",E1771*INDEX(Products!$E$6:$E$205,MATCH(C1771,Products!$B$6:$B$205,0)),IF(D1771="Return",-E1771*INDEX(Products!$E$6:$E$205,MATCH(C1771,Products!$B$6:$B$205,0)),"")),"")</f>
        <v/>
      </c>
      <c r="I1771" s="24" t="n"/>
      <c r="J1771" s="1" t="n"/>
    </row>
    <row r="1772">
      <c r="A1772" s="1" t="n"/>
      <c r="B1772" s="30" t="n"/>
      <c r="C1772" s="23" t="n"/>
      <c r="D1772" s="23" t="n"/>
      <c r="E1772" s="26" t="n"/>
      <c r="F1772" s="25" t="n"/>
      <c r="G1772" s="17">
        <f>IF(D1772="Sale",E1772*F1772,IF(D1772="Return",-E1772*F1772,""))</f>
        <v/>
      </c>
      <c r="H1772" s="17">
        <f>IFERROR(IF(D1772="Sale",E1772*INDEX(Products!$E$6:$E$205,MATCH(C1772,Products!$B$6:$B$205,0)),IF(D1772="Return",-E1772*INDEX(Products!$E$6:$E$205,MATCH(C1772,Products!$B$6:$B$205,0)),"")),"")</f>
        <v/>
      </c>
      <c r="I1772" s="24" t="n"/>
      <c r="J1772" s="1" t="n"/>
    </row>
    <row r="1773">
      <c r="A1773" s="1" t="n"/>
      <c r="B1773" s="30" t="n"/>
      <c r="C1773" s="23" t="n"/>
      <c r="D1773" s="23" t="n"/>
      <c r="E1773" s="26" t="n"/>
      <c r="F1773" s="25" t="n"/>
      <c r="G1773" s="17">
        <f>IF(D1773="Sale",E1773*F1773,IF(D1773="Return",-E1773*F1773,""))</f>
        <v/>
      </c>
      <c r="H1773" s="17">
        <f>IFERROR(IF(D1773="Sale",E1773*INDEX(Products!$E$6:$E$205,MATCH(C1773,Products!$B$6:$B$205,0)),IF(D1773="Return",-E1773*INDEX(Products!$E$6:$E$205,MATCH(C1773,Products!$B$6:$B$205,0)),"")),"")</f>
        <v/>
      </c>
      <c r="I1773" s="24" t="n"/>
      <c r="J1773" s="1" t="n"/>
    </row>
    <row r="1774">
      <c r="A1774" s="1" t="n"/>
      <c r="B1774" s="30" t="n"/>
      <c r="C1774" s="23" t="n"/>
      <c r="D1774" s="23" t="n"/>
      <c r="E1774" s="26" t="n"/>
      <c r="F1774" s="25" t="n"/>
      <c r="G1774" s="17">
        <f>IF(D1774="Sale",E1774*F1774,IF(D1774="Return",-E1774*F1774,""))</f>
        <v/>
      </c>
      <c r="H1774" s="17">
        <f>IFERROR(IF(D1774="Sale",E1774*INDEX(Products!$E$6:$E$205,MATCH(C1774,Products!$B$6:$B$205,0)),IF(D1774="Return",-E1774*INDEX(Products!$E$6:$E$205,MATCH(C1774,Products!$B$6:$B$205,0)),"")),"")</f>
        <v/>
      </c>
      <c r="I1774" s="24" t="n"/>
      <c r="J1774" s="1" t="n"/>
    </row>
    <row r="1775">
      <c r="A1775" s="1" t="n"/>
      <c r="B1775" s="30" t="n"/>
      <c r="C1775" s="23" t="n"/>
      <c r="D1775" s="23" t="n"/>
      <c r="E1775" s="26" t="n"/>
      <c r="F1775" s="25" t="n"/>
      <c r="G1775" s="17">
        <f>IF(D1775="Sale",E1775*F1775,IF(D1775="Return",-E1775*F1775,""))</f>
        <v/>
      </c>
      <c r="H1775" s="17">
        <f>IFERROR(IF(D1775="Sale",E1775*INDEX(Products!$E$6:$E$205,MATCH(C1775,Products!$B$6:$B$205,0)),IF(D1775="Return",-E1775*INDEX(Products!$E$6:$E$205,MATCH(C1775,Products!$B$6:$B$205,0)),"")),"")</f>
        <v/>
      </c>
      <c r="I1775" s="24" t="n"/>
      <c r="J1775" s="1" t="n"/>
    </row>
    <row r="1776">
      <c r="A1776" s="1" t="n"/>
      <c r="B1776" s="30" t="n"/>
      <c r="C1776" s="23" t="n"/>
      <c r="D1776" s="23" t="n"/>
      <c r="E1776" s="26" t="n"/>
      <c r="F1776" s="25" t="n"/>
      <c r="G1776" s="17">
        <f>IF(D1776="Sale",E1776*F1776,IF(D1776="Return",-E1776*F1776,""))</f>
        <v/>
      </c>
      <c r="H1776" s="17">
        <f>IFERROR(IF(D1776="Sale",E1776*INDEX(Products!$E$6:$E$205,MATCH(C1776,Products!$B$6:$B$205,0)),IF(D1776="Return",-E1776*INDEX(Products!$E$6:$E$205,MATCH(C1776,Products!$B$6:$B$205,0)),"")),"")</f>
        <v/>
      </c>
      <c r="I1776" s="24" t="n"/>
      <c r="J1776" s="1" t="n"/>
    </row>
    <row r="1777">
      <c r="A1777" s="1" t="n"/>
      <c r="B1777" s="30" t="n"/>
      <c r="C1777" s="23" t="n"/>
      <c r="D1777" s="23" t="n"/>
      <c r="E1777" s="26" t="n"/>
      <c r="F1777" s="25" t="n"/>
      <c r="G1777" s="17">
        <f>IF(D1777="Sale",E1777*F1777,IF(D1777="Return",-E1777*F1777,""))</f>
        <v/>
      </c>
      <c r="H1777" s="17">
        <f>IFERROR(IF(D1777="Sale",E1777*INDEX(Products!$E$6:$E$205,MATCH(C1777,Products!$B$6:$B$205,0)),IF(D1777="Return",-E1777*INDEX(Products!$E$6:$E$205,MATCH(C1777,Products!$B$6:$B$205,0)),"")),"")</f>
        <v/>
      </c>
      <c r="I1777" s="24" t="n"/>
      <c r="J1777" s="1" t="n"/>
    </row>
    <row r="1778">
      <c r="A1778" s="1" t="n"/>
      <c r="B1778" s="30" t="n"/>
      <c r="C1778" s="23" t="n"/>
      <c r="D1778" s="23" t="n"/>
      <c r="E1778" s="26" t="n"/>
      <c r="F1778" s="25" t="n"/>
      <c r="G1778" s="17">
        <f>IF(D1778="Sale",E1778*F1778,IF(D1778="Return",-E1778*F1778,""))</f>
        <v/>
      </c>
      <c r="H1778" s="17">
        <f>IFERROR(IF(D1778="Sale",E1778*INDEX(Products!$E$6:$E$205,MATCH(C1778,Products!$B$6:$B$205,0)),IF(D1778="Return",-E1778*INDEX(Products!$E$6:$E$205,MATCH(C1778,Products!$B$6:$B$205,0)),"")),"")</f>
        <v/>
      </c>
      <c r="I1778" s="24" t="n"/>
      <c r="J1778" s="1" t="n"/>
    </row>
    <row r="1779">
      <c r="A1779" s="1" t="n"/>
      <c r="B1779" s="30" t="n"/>
      <c r="C1779" s="23" t="n"/>
      <c r="D1779" s="23" t="n"/>
      <c r="E1779" s="26" t="n"/>
      <c r="F1779" s="25" t="n"/>
      <c r="G1779" s="17">
        <f>IF(D1779="Sale",E1779*F1779,IF(D1779="Return",-E1779*F1779,""))</f>
        <v/>
      </c>
      <c r="H1779" s="17">
        <f>IFERROR(IF(D1779="Sale",E1779*INDEX(Products!$E$6:$E$205,MATCH(C1779,Products!$B$6:$B$205,0)),IF(D1779="Return",-E1779*INDEX(Products!$E$6:$E$205,MATCH(C1779,Products!$B$6:$B$205,0)),"")),"")</f>
        <v/>
      </c>
      <c r="I1779" s="24" t="n"/>
      <c r="J1779" s="1" t="n"/>
    </row>
    <row r="1780">
      <c r="A1780" s="1" t="n"/>
      <c r="B1780" s="30" t="n"/>
      <c r="C1780" s="23" t="n"/>
      <c r="D1780" s="23" t="n"/>
      <c r="E1780" s="26" t="n"/>
      <c r="F1780" s="25" t="n"/>
      <c r="G1780" s="17">
        <f>IF(D1780="Sale",E1780*F1780,IF(D1780="Return",-E1780*F1780,""))</f>
        <v/>
      </c>
      <c r="H1780" s="17">
        <f>IFERROR(IF(D1780="Sale",E1780*INDEX(Products!$E$6:$E$205,MATCH(C1780,Products!$B$6:$B$205,0)),IF(D1780="Return",-E1780*INDEX(Products!$E$6:$E$205,MATCH(C1780,Products!$B$6:$B$205,0)),"")),"")</f>
        <v/>
      </c>
      <c r="I1780" s="24" t="n"/>
      <c r="J1780" s="1" t="n"/>
    </row>
    <row r="1781">
      <c r="A1781" s="1" t="n"/>
      <c r="B1781" s="30" t="n"/>
      <c r="C1781" s="23" t="n"/>
      <c r="D1781" s="23" t="n"/>
      <c r="E1781" s="26" t="n"/>
      <c r="F1781" s="25" t="n"/>
      <c r="G1781" s="17">
        <f>IF(D1781="Sale",E1781*F1781,IF(D1781="Return",-E1781*F1781,""))</f>
        <v/>
      </c>
      <c r="H1781" s="17">
        <f>IFERROR(IF(D1781="Sale",E1781*INDEX(Products!$E$6:$E$205,MATCH(C1781,Products!$B$6:$B$205,0)),IF(D1781="Return",-E1781*INDEX(Products!$E$6:$E$205,MATCH(C1781,Products!$B$6:$B$205,0)),"")),"")</f>
        <v/>
      </c>
      <c r="I1781" s="24" t="n"/>
      <c r="J1781" s="1" t="n"/>
    </row>
    <row r="1782">
      <c r="A1782" s="1" t="n"/>
      <c r="B1782" s="30" t="n"/>
      <c r="C1782" s="23" t="n"/>
      <c r="D1782" s="23" t="n"/>
      <c r="E1782" s="26" t="n"/>
      <c r="F1782" s="25" t="n"/>
      <c r="G1782" s="17">
        <f>IF(D1782="Sale",E1782*F1782,IF(D1782="Return",-E1782*F1782,""))</f>
        <v/>
      </c>
      <c r="H1782" s="17">
        <f>IFERROR(IF(D1782="Sale",E1782*INDEX(Products!$E$6:$E$205,MATCH(C1782,Products!$B$6:$B$205,0)),IF(D1782="Return",-E1782*INDEX(Products!$E$6:$E$205,MATCH(C1782,Products!$B$6:$B$205,0)),"")),"")</f>
        <v/>
      </c>
      <c r="I1782" s="24" t="n"/>
      <c r="J1782" s="1" t="n"/>
    </row>
    <row r="1783">
      <c r="A1783" s="1" t="n"/>
      <c r="B1783" s="30" t="n"/>
      <c r="C1783" s="23" t="n"/>
      <c r="D1783" s="23" t="n"/>
      <c r="E1783" s="26" t="n"/>
      <c r="F1783" s="25" t="n"/>
      <c r="G1783" s="17">
        <f>IF(D1783="Sale",E1783*F1783,IF(D1783="Return",-E1783*F1783,""))</f>
        <v/>
      </c>
      <c r="H1783" s="17">
        <f>IFERROR(IF(D1783="Sale",E1783*INDEX(Products!$E$6:$E$205,MATCH(C1783,Products!$B$6:$B$205,0)),IF(D1783="Return",-E1783*INDEX(Products!$E$6:$E$205,MATCH(C1783,Products!$B$6:$B$205,0)),"")),"")</f>
        <v/>
      </c>
      <c r="I1783" s="24" t="n"/>
      <c r="J1783" s="1" t="n"/>
    </row>
    <row r="1784">
      <c r="A1784" s="1" t="n"/>
      <c r="B1784" s="30" t="n"/>
      <c r="C1784" s="23" t="n"/>
      <c r="D1784" s="23" t="n"/>
      <c r="E1784" s="26" t="n"/>
      <c r="F1784" s="25" t="n"/>
      <c r="G1784" s="17">
        <f>IF(D1784="Sale",E1784*F1784,IF(D1784="Return",-E1784*F1784,""))</f>
        <v/>
      </c>
      <c r="H1784" s="17">
        <f>IFERROR(IF(D1784="Sale",E1784*INDEX(Products!$E$6:$E$205,MATCH(C1784,Products!$B$6:$B$205,0)),IF(D1784="Return",-E1784*INDEX(Products!$E$6:$E$205,MATCH(C1784,Products!$B$6:$B$205,0)),"")),"")</f>
        <v/>
      </c>
      <c r="I1784" s="24" t="n"/>
      <c r="J1784" s="1" t="n"/>
    </row>
    <row r="1785">
      <c r="A1785" s="1" t="n"/>
      <c r="B1785" s="30" t="n"/>
      <c r="C1785" s="23" t="n"/>
      <c r="D1785" s="23" t="n"/>
      <c r="E1785" s="26" t="n"/>
      <c r="F1785" s="25" t="n"/>
      <c r="G1785" s="17">
        <f>IF(D1785="Sale",E1785*F1785,IF(D1785="Return",-E1785*F1785,""))</f>
        <v/>
      </c>
      <c r="H1785" s="17">
        <f>IFERROR(IF(D1785="Sale",E1785*INDEX(Products!$E$6:$E$205,MATCH(C1785,Products!$B$6:$B$205,0)),IF(D1785="Return",-E1785*INDEX(Products!$E$6:$E$205,MATCH(C1785,Products!$B$6:$B$205,0)),"")),"")</f>
        <v/>
      </c>
      <c r="I1785" s="24" t="n"/>
      <c r="J1785" s="1" t="n"/>
    </row>
    <row r="1786">
      <c r="A1786" s="1" t="n"/>
      <c r="B1786" s="30" t="n"/>
      <c r="C1786" s="23" t="n"/>
      <c r="D1786" s="23" t="n"/>
      <c r="E1786" s="26" t="n"/>
      <c r="F1786" s="25" t="n"/>
      <c r="G1786" s="17">
        <f>IF(D1786="Sale",E1786*F1786,IF(D1786="Return",-E1786*F1786,""))</f>
        <v/>
      </c>
      <c r="H1786" s="17">
        <f>IFERROR(IF(D1786="Sale",E1786*INDEX(Products!$E$6:$E$205,MATCH(C1786,Products!$B$6:$B$205,0)),IF(D1786="Return",-E1786*INDEX(Products!$E$6:$E$205,MATCH(C1786,Products!$B$6:$B$205,0)),"")),"")</f>
        <v/>
      </c>
      <c r="I1786" s="24" t="n"/>
      <c r="J1786" s="1" t="n"/>
    </row>
    <row r="1787">
      <c r="A1787" s="1" t="n"/>
      <c r="B1787" s="30" t="n"/>
      <c r="C1787" s="23" t="n"/>
      <c r="D1787" s="23" t="n"/>
      <c r="E1787" s="26" t="n"/>
      <c r="F1787" s="25" t="n"/>
      <c r="G1787" s="17">
        <f>IF(D1787="Sale",E1787*F1787,IF(D1787="Return",-E1787*F1787,""))</f>
        <v/>
      </c>
      <c r="H1787" s="17">
        <f>IFERROR(IF(D1787="Sale",E1787*INDEX(Products!$E$6:$E$205,MATCH(C1787,Products!$B$6:$B$205,0)),IF(D1787="Return",-E1787*INDEX(Products!$E$6:$E$205,MATCH(C1787,Products!$B$6:$B$205,0)),"")),"")</f>
        <v/>
      </c>
      <c r="I1787" s="24" t="n"/>
      <c r="J1787" s="1" t="n"/>
    </row>
    <row r="1788">
      <c r="A1788" s="1" t="n"/>
      <c r="B1788" s="30" t="n"/>
      <c r="C1788" s="23" t="n"/>
      <c r="D1788" s="23" t="n"/>
      <c r="E1788" s="26" t="n"/>
      <c r="F1788" s="25" t="n"/>
      <c r="G1788" s="17">
        <f>IF(D1788="Sale",E1788*F1788,IF(D1788="Return",-E1788*F1788,""))</f>
        <v/>
      </c>
      <c r="H1788" s="17">
        <f>IFERROR(IF(D1788="Sale",E1788*INDEX(Products!$E$6:$E$205,MATCH(C1788,Products!$B$6:$B$205,0)),IF(D1788="Return",-E1788*INDEX(Products!$E$6:$E$205,MATCH(C1788,Products!$B$6:$B$205,0)),"")),"")</f>
        <v/>
      </c>
      <c r="I1788" s="24" t="n"/>
      <c r="J1788" s="1" t="n"/>
    </row>
    <row r="1789">
      <c r="A1789" s="1" t="n"/>
      <c r="B1789" s="30" t="n"/>
      <c r="C1789" s="23" t="n"/>
      <c r="D1789" s="23" t="n"/>
      <c r="E1789" s="26" t="n"/>
      <c r="F1789" s="25" t="n"/>
      <c r="G1789" s="17">
        <f>IF(D1789="Sale",E1789*F1789,IF(D1789="Return",-E1789*F1789,""))</f>
        <v/>
      </c>
      <c r="H1789" s="17">
        <f>IFERROR(IF(D1789="Sale",E1789*INDEX(Products!$E$6:$E$205,MATCH(C1789,Products!$B$6:$B$205,0)),IF(D1789="Return",-E1789*INDEX(Products!$E$6:$E$205,MATCH(C1789,Products!$B$6:$B$205,0)),"")),"")</f>
        <v/>
      </c>
      <c r="I1789" s="24" t="n"/>
      <c r="J1789" s="1" t="n"/>
    </row>
    <row r="1790">
      <c r="A1790" s="1" t="n"/>
      <c r="B1790" s="30" t="n"/>
      <c r="C1790" s="23" t="n"/>
      <c r="D1790" s="23" t="n"/>
      <c r="E1790" s="26" t="n"/>
      <c r="F1790" s="25" t="n"/>
      <c r="G1790" s="17">
        <f>IF(D1790="Sale",E1790*F1790,IF(D1790="Return",-E1790*F1790,""))</f>
        <v/>
      </c>
      <c r="H1790" s="17">
        <f>IFERROR(IF(D1790="Sale",E1790*INDEX(Products!$E$6:$E$205,MATCH(C1790,Products!$B$6:$B$205,0)),IF(D1790="Return",-E1790*INDEX(Products!$E$6:$E$205,MATCH(C1790,Products!$B$6:$B$205,0)),"")),"")</f>
        <v/>
      </c>
      <c r="I1790" s="24" t="n"/>
      <c r="J1790" s="1" t="n"/>
    </row>
    <row r="1791">
      <c r="A1791" s="1" t="n"/>
      <c r="B1791" s="30" t="n"/>
      <c r="C1791" s="23" t="n"/>
      <c r="D1791" s="23" t="n"/>
      <c r="E1791" s="26" t="n"/>
      <c r="F1791" s="25" t="n"/>
      <c r="G1791" s="17">
        <f>IF(D1791="Sale",E1791*F1791,IF(D1791="Return",-E1791*F1791,""))</f>
        <v/>
      </c>
      <c r="H1791" s="17">
        <f>IFERROR(IF(D1791="Sale",E1791*INDEX(Products!$E$6:$E$205,MATCH(C1791,Products!$B$6:$B$205,0)),IF(D1791="Return",-E1791*INDEX(Products!$E$6:$E$205,MATCH(C1791,Products!$B$6:$B$205,0)),"")),"")</f>
        <v/>
      </c>
      <c r="I1791" s="24" t="n"/>
      <c r="J1791" s="1" t="n"/>
    </row>
    <row r="1792">
      <c r="A1792" s="1" t="n"/>
      <c r="B1792" s="30" t="n"/>
      <c r="C1792" s="23" t="n"/>
      <c r="D1792" s="23" t="n"/>
      <c r="E1792" s="26" t="n"/>
      <c r="F1792" s="25" t="n"/>
      <c r="G1792" s="17">
        <f>IF(D1792="Sale",E1792*F1792,IF(D1792="Return",-E1792*F1792,""))</f>
        <v/>
      </c>
      <c r="H1792" s="17">
        <f>IFERROR(IF(D1792="Sale",E1792*INDEX(Products!$E$6:$E$205,MATCH(C1792,Products!$B$6:$B$205,0)),IF(D1792="Return",-E1792*INDEX(Products!$E$6:$E$205,MATCH(C1792,Products!$B$6:$B$205,0)),"")),"")</f>
        <v/>
      </c>
      <c r="I1792" s="24" t="n"/>
      <c r="J1792" s="1" t="n"/>
    </row>
    <row r="1793">
      <c r="A1793" s="1" t="n"/>
      <c r="B1793" s="30" t="n"/>
      <c r="C1793" s="23" t="n"/>
      <c r="D1793" s="23" t="n"/>
      <c r="E1793" s="26" t="n"/>
      <c r="F1793" s="25" t="n"/>
      <c r="G1793" s="17">
        <f>IF(D1793="Sale",E1793*F1793,IF(D1793="Return",-E1793*F1793,""))</f>
        <v/>
      </c>
      <c r="H1793" s="17">
        <f>IFERROR(IF(D1793="Sale",E1793*INDEX(Products!$E$6:$E$205,MATCH(C1793,Products!$B$6:$B$205,0)),IF(D1793="Return",-E1793*INDEX(Products!$E$6:$E$205,MATCH(C1793,Products!$B$6:$B$205,0)),"")),"")</f>
        <v/>
      </c>
      <c r="I1793" s="24" t="n"/>
      <c r="J1793" s="1" t="n"/>
    </row>
    <row r="1794">
      <c r="A1794" s="1" t="n"/>
      <c r="B1794" s="30" t="n"/>
      <c r="C1794" s="23" t="n"/>
      <c r="D1794" s="23" t="n"/>
      <c r="E1794" s="26" t="n"/>
      <c r="F1794" s="25" t="n"/>
      <c r="G1794" s="17">
        <f>IF(D1794="Sale",E1794*F1794,IF(D1794="Return",-E1794*F1794,""))</f>
        <v/>
      </c>
      <c r="H1794" s="17">
        <f>IFERROR(IF(D1794="Sale",E1794*INDEX(Products!$E$6:$E$205,MATCH(C1794,Products!$B$6:$B$205,0)),IF(D1794="Return",-E1794*INDEX(Products!$E$6:$E$205,MATCH(C1794,Products!$B$6:$B$205,0)),"")),"")</f>
        <v/>
      </c>
      <c r="I1794" s="24" t="n"/>
      <c r="J1794" s="1" t="n"/>
    </row>
    <row r="1795">
      <c r="A1795" s="1" t="n"/>
      <c r="B1795" s="30" t="n"/>
      <c r="C1795" s="23" t="n"/>
      <c r="D1795" s="23" t="n"/>
      <c r="E1795" s="26" t="n"/>
      <c r="F1795" s="25" t="n"/>
      <c r="G1795" s="17">
        <f>IF(D1795="Sale",E1795*F1795,IF(D1795="Return",-E1795*F1795,""))</f>
        <v/>
      </c>
      <c r="H1795" s="17">
        <f>IFERROR(IF(D1795="Sale",E1795*INDEX(Products!$E$6:$E$205,MATCH(C1795,Products!$B$6:$B$205,0)),IF(D1795="Return",-E1795*INDEX(Products!$E$6:$E$205,MATCH(C1795,Products!$B$6:$B$205,0)),"")),"")</f>
        <v/>
      </c>
      <c r="I1795" s="24" t="n"/>
      <c r="J1795" s="1" t="n"/>
    </row>
    <row r="1796">
      <c r="A1796" s="1" t="n"/>
      <c r="B1796" s="30" t="n"/>
      <c r="C1796" s="23" t="n"/>
      <c r="D1796" s="23" t="n"/>
      <c r="E1796" s="26" t="n"/>
      <c r="F1796" s="25" t="n"/>
      <c r="G1796" s="17">
        <f>IF(D1796="Sale",E1796*F1796,IF(D1796="Return",-E1796*F1796,""))</f>
        <v/>
      </c>
      <c r="H1796" s="17">
        <f>IFERROR(IF(D1796="Sale",E1796*INDEX(Products!$E$6:$E$205,MATCH(C1796,Products!$B$6:$B$205,0)),IF(D1796="Return",-E1796*INDEX(Products!$E$6:$E$205,MATCH(C1796,Products!$B$6:$B$205,0)),"")),"")</f>
        <v/>
      </c>
      <c r="I1796" s="24" t="n"/>
      <c r="J1796" s="1" t="n"/>
    </row>
    <row r="1797">
      <c r="A1797" s="1" t="n"/>
      <c r="B1797" s="30" t="n"/>
      <c r="C1797" s="23" t="n"/>
      <c r="D1797" s="23" t="n"/>
      <c r="E1797" s="26" t="n"/>
      <c r="F1797" s="25" t="n"/>
      <c r="G1797" s="17">
        <f>IF(D1797="Sale",E1797*F1797,IF(D1797="Return",-E1797*F1797,""))</f>
        <v/>
      </c>
      <c r="H1797" s="17">
        <f>IFERROR(IF(D1797="Sale",E1797*INDEX(Products!$E$6:$E$205,MATCH(C1797,Products!$B$6:$B$205,0)),IF(D1797="Return",-E1797*INDEX(Products!$E$6:$E$205,MATCH(C1797,Products!$B$6:$B$205,0)),"")),"")</f>
        <v/>
      </c>
      <c r="I1797" s="24" t="n"/>
      <c r="J1797" s="1" t="n"/>
    </row>
    <row r="1798">
      <c r="A1798" s="1" t="n"/>
      <c r="B1798" s="30" t="n"/>
      <c r="C1798" s="23" t="n"/>
      <c r="D1798" s="23" t="n"/>
      <c r="E1798" s="26" t="n"/>
      <c r="F1798" s="25" t="n"/>
      <c r="G1798" s="17">
        <f>IF(D1798="Sale",E1798*F1798,IF(D1798="Return",-E1798*F1798,""))</f>
        <v/>
      </c>
      <c r="H1798" s="17">
        <f>IFERROR(IF(D1798="Sale",E1798*INDEX(Products!$E$6:$E$205,MATCH(C1798,Products!$B$6:$B$205,0)),IF(D1798="Return",-E1798*INDEX(Products!$E$6:$E$205,MATCH(C1798,Products!$B$6:$B$205,0)),"")),"")</f>
        <v/>
      </c>
      <c r="I1798" s="24" t="n"/>
      <c r="J1798" s="1" t="n"/>
    </row>
    <row r="1799">
      <c r="A1799" s="1" t="n"/>
      <c r="B1799" s="30" t="n"/>
      <c r="C1799" s="23" t="n"/>
      <c r="D1799" s="23" t="n"/>
      <c r="E1799" s="26" t="n"/>
      <c r="F1799" s="25" t="n"/>
      <c r="G1799" s="17">
        <f>IF(D1799="Sale",E1799*F1799,IF(D1799="Return",-E1799*F1799,""))</f>
        <v/>
      </c>
      <c r="H1799" s="17">
        <f>IFERROR(IF(D1799="Sale",E1799*INDEX(Products!$E$6:$E$205,MATCH(C1799,Products!$B$6:$B$205,0)),IF(D1799="Return",-E1799*INDEX(Products!$E$6:$E$205,MATCH(C1799,Products!$B$6:$B$205,0)),"")),"")</f>
        <v/>
      </c>
      <c r="I1799" s="24" t="n"/>
      <c r="J1799" s="1" t="n"/>
    </row>
    <row r="1800">
      <c r="A1800" s="1" t="n"/>
      <c r="B1800" s="30" t="n"/>
      <c r="C1800" s="23" t="n"/>
      <c r="D1800" s="23" t="n"/>
      <c r="E1800" s="26" t="n"/>
      <c r="F1800" s="25" t="n"/>
      <c r="G1800" s="17">
        <f>IF(D1800="Sale",E1800*F1800,IF(D1800="Return",-E1800*F1800,""))</f>
        <v/>
      </c>
      <c r="H1800" s="17">
        <f>IFERROR(IF(D1800="Sale",E1800*INDEX(Products!$E$6:$E$205,MATCH(C1800,Products!$B$6:$B$205,0)),IF(D1800="Return",-E1800*INDEX(Products!$E$6:$E$205,MATCH(C1800,Products!$B$6:$B$205,0)),"")),"")</f>
        <v/>
      </c>
      <c r="I1800" s="24" t="n"/>
      <c r="J1800" s="1" t="n"/>
    </row>
    <row r="1801">
      <c r="A1801" s="1" t="n"/>
      <c r="B1801" s="30" t="n"/>
      <c r="C1801" s="23" t="n"/>
      <c r="D1801" s="23" t="n"/>
      <c r="E1801" s="26" t="n"/>
      <c r="F1801" s="25" t="n"/>
      <c r="G1801" s="17">
        <f>IF(D1801="Sale",E1801*F1801,IF(D1801="Return",-E1801*F1801,""))</f>
        <v/>
      </c>
      <c r="H1801" s="17">
        <f>IFERROR(IF(D1801="Sale",E1801*INDEX(Products!$E$6:$E$205,MATCH(C1801,Products!$B$6:$B$205,0)),IF(D1801="Return",-E1801*INDEX(Products!$E$6:$E$205,MATCH(C1801,Products!$B$6:$B$205,0)),"")),"")</f>
        <v/>
      </c>
      <c r="I1801" s="24" t="n"/>
      <c r="J1801" s="1" t="n"/>
    </row>
    <row r="1802">
      <c r="A1802" s="1" t="n"/>
      <c r="B1802" s="30" t="n"/>
      <c r="C1802" s="23" t="n"/>
      <c r="D1802" s="23" t="n"/>
      <c r="E1802" s="26" t="n"/>
      <c r="F1802" s="25" t="n"/>
      <c r="G1802" s="17">
        <f>IF(D1802="Sale",E1802*F1802,IF(D1802="Return",-E1802*F1802,""))</f>
        <v/>
      </c>
      <c r="H1802" s="17">
        <f>IFERROR(IF(D1802="Sale",E1802*INDEX(Products!$E$6:$E$205,MATCH(C1802,Products!$B$6:$B$205,0)),IF(D1802="Return",-E1802*INDEX(Products!$E$6:$E$205,MATCH(C1802,Products!$B$6:$B$205,0)),"")),"")</f>
        <v/>
      </c>
      <c r="I1802" s="24" t="n"/>
      <c r="J1802" s="1" t="n"/>
    </row>
    <row r="1803">
      <c r="A1803" s="1" t="n"/>
      <c r="B1803" s="30" t="n"/>
      <c r="C1803" s="23" t="n"/>
      <c r="D1803" s="23" t="n"/>
      <c r="E1803" s="26" t="n"/>
      <c r="F1803" s="25" t="n"/>
      <c r="G1803" s="17">
        <f>IF(D1803="Sale",E1803*F1803,IF(D1803="Return",-E1803*F1803,""))</f>
        <v/>
      </c>
      <c r="H1803" s="17">
        <f>IFERROR(IF(D1803="Sale",E1803*INDEX(Products!$E$6:$E$205,MATCH(C1803,Products!$B$6:$B$205,0)),IF(D1803="Return",-E1803*INDEX(Products!$E$6:$E$205,MATCH(C1803,Products!$B$6:$B$205,0)),"")),"")</f>
        <v/>
      </c>
      <c r="I1803" s="24" t="n"/>
      <c r="J1803" s="1" t="n"/>
    </row>
    <row r="1804">
      <c r="A1804" s="1" t="n"/>
      <c r="B1804" s="30" t="n"/>
      <c r="C1804" s="23" t="n"/>
      <c r="D1804" s="23" t="n"/>
      <c r="E1804" s="26" t="n"/>
      <c r="F1804" s="25" t="n"/>
      <c r="G1804" s="17">
        <f>IF(D1804="Sale",E1804*F1804,IF(D1804="Return",-E1804*F1804,""))</f>
        <v/>
      </c>
      <c r="H1804" s="17">
        <f>IFERROR(IF(D1804="Sale",E1804*INDEX(Products!$E$6:$E$205,MATCH(C1804,Products!$B$6:$B$205,0)),IF(D1804="Return",-E1804*INDEX(Products!$E$6:$E$205,MATCH(C1804,Products!$B$6:$B$205,0)),"")),"")</f>
        <v/>
      </c>
      <c r="I1804" s="24" t="n"/>
      <c r="J1804" s="1" t="n"/>
    </row>
    <row r="1805">
      <c r="A1805" s="1" t="n"/>
      <c r="B1805" s="30" t="n"/>
      <c r="C1805" s="23" t="n"/>
      <c r="D1805" s="23" t="n"/>
      <c r="E1805" s="26" t="n"/>
      <c r="F1805" s="25" t="n"/>
      <c r="G1805" s="17">
        <f>IF(D1805="Sale",E1805*F1805,IF(D1805="Return",-E1805*F1805,""))</f>
        <v/>
      </c>
      <c r="H1805" s="17">
        <f>IFERROR(IF(D1805="Sale",E1805*INDEX(Products!$E$6:$E$205,MATCH(C1805,Products!$B$6:$B$205,0)),IF(D1805="Return",-E1805*INDEX(Products!$E$6:$E$205,MATCH(C1805,Products!$B$6:$B$205,0)),"")),"")</f>
        <v/>
      </c>
      <c r="I1805" s="24" t="n"/>
      <c r="J1805" s="1" t="n"/>
    </row>
    <row r="1806">
      <c r="A1806" s="1" t="n"/>
      <c r="B1806" s="30" t="n"/>
      <c r="C1806" s="23" t="n"/>
      <c r="D1806" s="23" t="n"/>
      <c r="E1806" s="26" t="n"/>
      <c r="F1806" s="25" t="n"/>
      <c r="G1806" s="17">
        <f>IF(D1806="Sale",E1806*F1806,IF(D1806="Return",-E1806*F1806,""))</f>
        <v/>
      </c>
      <c r="H1806" s="17">
        <f>IFERROR(IF(D1806="Sale",E1806*INDEX(Products!$E$6:$E$205,MATCH(C1806,Products!$B$6:$B$205,0)),IF(D1806="Return",-E1806*INDEX(Products!$E$6:$E$205,MATCH(C1806,Products!$B$6:$B$205,0)),"")),"")</f>
        <v/>
      </c>
      <c r="I1806" s="24" t="n"/>
      <c r="J1806" s="1" t="n"/>
    </row>
    <row r="1807">
      <c r="A1807" s="1" t="n"/>
      <c r="B1807" s="30" t="n"/>
      <c r="C1807" s="23" t="n"/>
      <c r="D1807" s="23" t="n"/>
      <c r="E1807" s="26" t="n"/>
      <c r="F1807" s="25" t="n"/>
      <c r="G1807" s="17">
        <f>IF(D1807="Sale",E1807*F1807,IF(D1807="Return",-E1807*F1807,""))</f>
        <v/>
      </c>
      <c r="H1807" s="17">
        <f>IFERROR(IF(D1807="Sale",E1807*INDEX(Products!$E$6:$E$205,MATCH(C1807,Products!$B$6:$B$205,0)),IF(D1807="Return",-E1807*INDEX(Products!$E$6:$E$205,MATCH(C1807,Products!$B$6:$B$205,0)),"")),"")</f>
        <v/>
      </c>
      <c r="I1807" s="24" t="n"/>
      <c r="J1807" s="1" t="n"/>
    </row>
    <row r="1808">
      <c r="A1808" s="1" t="n"/>
      <c r="B1808" s="30" t="n"/>
      <c r="C1808" s="23" t="n"/>
      <c r="D1808" s="23" t="n"/>
      <c r="E1808" s="26" t="n"/>
      <c r="F1808" s="25" t="n"/>
      <c r="G1808" s="17">
        <f>IF(D1808="Sale",E1808*F1808,IF(D1808="Return",-E1808*F1808,""))</f>
        <v/>
      </c>
      <c r="H1808" s="17">
        <f>IFERROR(IF(D1808="Sale",E1808*INDEX(Products!$E$6:$E$205,MATCH(C1808,Products!$B$6:$B$205,0)),IF(D1808="Return",-E1808*INDEX(Products!$E$6:$E$205,MATCH(C1808,Products!$B$6:$B$205,0)),"")),"")</f>
        <v/>
      </c>
      <c r="I1808" s="24" t="n"/>
      <c r="J1808" s="1" t="n"/>
    </row>
    <row r="1809">
      <c r="A1809" s="1" t="n"/>
      <c r="B1809" s="30" t="n"/>
      <c r="C1809" s="23" t="n"/>
      <c r="D1809" s="23" t="n"/>
      <c r="E1809" s="26" t="n"/>
      <c r="F1809" s="25" t="n"/>
      <c r="G1809" s="17">
        <f>IF(D1809="Sale",E1809*F1809,IF(D1809="Return",-E1809*F1809,""))</f>
        <v/>
      </c>
      <c r="H1809" s="17">
        <f>IFERROR(IF(D1809="Sale",E1809*INDEX(Products!$E$6:$E$205,MATCH(C1809,Products!$B$6:$B$205,0)),IF(D1809="Return",-E1809*INDEX(Products!$E$6:$E$205,MATCH(C1809,Products!$B$6:$B$205,0)),"")),"")</f>
        <v/>
      </c>
      <c r="I1809" s="24" t="n"/>
      <c r="J1809" s="1" t="n"/>
    </row>
    <row r="1810">
      <c r="A1810" s="1" t="n"/>
      <c r="B1810" s="30" t="n"/>
      <c r="C1810" s="23" t="n"/>
      <c r="D1810" s="23" t="n"/>
      <c r="E1810" s="26" t="n"/>
      <c r="F1810" s="25" t="n"/>
      <c r="G1810" s="17">
        <f>IF(D1810="Sale",E1810*F1810,IF(D1810="Return",-E1810*F1810,""))</f>
        <v/>
      </c>
      <c r="H1810" s="17">
        <f>IFERROR(IF(D1810="Sale",E1810*INDEX(Products!$E$6:$E$205,MATCH(C1810,Products!$B$6:$B$205,0)),IF(D1810="Return",-E1810*INDEX(Products!$E$6:$E$205,MATCH(C1810,Products!$B$6:$B$205,0)),"")),"")</f>
        <v/>
      </c>
      <c r="I1810" s="24" t="n"/>
      <c r="J1810" s="1" t="n"/>
    </row>
    <row r="1811">
      <c r="A1811" s="1" t="n"/>
      <c r="B1811" s="30" t="n"/>
      <c r="C1811" s="23" t="n"/>
      <c r="D1811" s="23" t="n"/>
      <c r="E1811" s="26" t="n"/>
      <c r="F1811" s="25" t="n"/>
      <c r="G1811" s="17">
        <f>IF(D1811="Sale",E1811*F1811,IF(D1811="Return",-E1811*F1811,""))</f>
        <v/>
      </c>
      <c r="H1811" s="17">
        <f>IFERROR(IF(D1811="Sale",E1811*INDEX(Products!$E$6:$E$205,MATCH(C1811,Products!$B$6:$B$205,0)),IF(D1811="Return",-E1811*INDEX(Products!$E$6:$E$205,MATCH(C1811,Products!$B$6:$B$205,0)),"")),"")</f>
        <v/>
      </c>
      <c r="I1811" s="24" t="n"/>
      <c r="J1811" s="1" t="n"/>
    </row>
    <row r="1812">
      <c r="A1812" s="1" t="n"/>
      <c r="B1812" s="30" t="n"/>
      <c r="C1812" s="23" t="n"/>
      <c r="D1812" s="23" t="n"/>
      <c r="E1812" s="26" t="n"/>
      <c r="F1812" s="25" t="n"/>
      <c r="G1812" s="17">
        <f>IF(D1812="Sale",E1812*F1812,IF(D1812="Return",-E1812*F1812,""))</f>
        <v/>
      </c>
      <c r="H1812" s="17">
        <f>IFERROR(IF(D1812="Sale",E1812*INDEX(Products!$E$6:$E$205,MATCH(C1812,Products!$B$6:$B$205,0)),IF(D1812="Return",-E1812*INDEX(Products!$E$6:$E$205,MATCH(C1812,Products!$B$6:$B$205,0)),"")),"")</f>
        <v/>
      </c>
      <c r="I1812" s="24" t="n"/>
      <c r="J1812" s="1" t="n"/>
    </row>
    <row r="1813">
      <c r="A1813" s="1" t="n"/>
      <c r="B1813" s="30" t="n"/>
      <c r="C1813" s="23" t="n"/>
      <c r="D1813" s="23" t="n"/>
      <c r="E1813" s="26" t="n"/>
      <c r="F1813" s="25" t="n"/>
      <c r="G1813" s="17">
        <f>IF(D1813="Sale",E1813*F1813,IF(D1813="Return",-E1813*F1813,""))</f>
        <v/>
      </c>
      <c r="H1813" s="17">
        <f>IFERROR(IF(D1813="Sale",E1813*INDEX(Products!$E$6:$E$205,MATCH(C1813,Products!$B$6:$B$205,0)),IF(D1813="Return",-E1813*INDEX(Products!$E$6:$E$205,MATCH(C1813,Products!$B$6:$B$205,0)),"")),"")</f>
        <v/>
      </c>
      <c r="I1813" s="24" t="n"/>
      <c r="J1813" s="1" t="n"/>
    </row>
    <row r="1814">
      <c r="A1814" s="1" t="n"/>
      <c r="B1814" s="30" t="n"/>
      <c r="C1814" s="23" t="n"/>
      <c r="D1814" s="23" t="n"/>
      <c r="E1814" s="26" t="n"/>
      <c r="F1814" s="25" t="n"/>
      <c r="G1814" s="17">
        <f>IF(D1814="Sale",E1814*F1814,IF(D1814="Return",-E1814*F1814,""))</f>
        <v/>
      </c>
      <c r="H1814" s="17">
        <f>IFERROR(IF(D1814="Sale",E1814*INDEX(Products!$E$6:$E$205,MATCH(C1814,Products!$B$6:$B$205,0)),IF(D1814="Return",-E1814*INDEX(Products!$E$6:$E$205,MATCH(C1814,Products!$B$6:$B$205,0)),"")),"")</f>
        <v/>
      </c>
      <c r="I1814" s="24" t="n"/>
      <c r="J1814" s="1" t="n"/>
    </row>
    <row r="1815">
      <c r="A1815" s="1" t="n"/>
      <c r="B1815" s="30" t="n"/>
      <c r="C1815" s="23" t="n"/>
      <c r="D1815" s="23" t="n"/>
      <c r="E1815" s="26" t="n"/>
      <c r="F1815" s="25" t="n"/>
      <c r="G1815" s="17">
        <f>IF(D1815="Sale",E1815*F1815,IF(D1815="Return",-E1815*F1815,""))</f>
        <v/>
      </c>
      <c r="H1815" s="17">
        <f>IFERROR(IF(D1815="Sale",E1815*INDEX(Products!$E$6:$E$205,MATCH(C1815,Products!$B$6:$B$205,0)),IF(D1815="Return",-E1815*INDEX(Products!$E$6:$E$205,MATCH(C1815,Products!$B$6:$B$205,0)),"")),"")</f>
        <v/>
      </c>
      <c r="I1815" s="24" t="n"/>
      <c r="J1815" s="1" t="n"/>
    </row>
    <row r="1816">
      <c r="A1816" s="1" t="n"/>
      <c r="B1816" s="30" t="n"/>
      <c r="C1816" s="23" t="n"/>
      <c r="D1816" s="23" t="n"/>
      <c r="E1816" s="26" t="n"/>
      <c r="F1816" s="25" t="n"/>
      <c r="G1816" s="17">
        <f>IF(D1816="Sale",E1816*F1816,IF(D1816="Return",-E1816*F1816,""))</f>
        <v/>
      </c>
      <c r="H1816" s="17">
        <f>IFERROR(IF(D1816="Sale",E1816*INDEX(Products!$E$6:$E$205,MATCH(C1816,Products!$B$6:$B$205,0)),IF(D1816="Return",-E1816*INDEX(Products!$E$6:$E$205,MATCH(C1816,Products!$B$6:$B$205,0)),"")),"")</f>
        <v/>
      </c>
      <c r="I1816" s="24" t="n"/>
      <c r="J1816" s="1" t="n"/>
    </row>
    <row r="1817">
      <c r="A1817" s="1" t="n"/>
      <c r="B1817" s="30" t="n"/>
      <c r="C1817" s="23" t="n"/>
      <c r="D1817" s="23" t="n"/>
      <c r="E1817" s="26" t="n"/>
      <c r="F1817" s="25" t="n"/>
      <c r="G1817" s="17">
        <f>IF(D1817="Sale",E1817*F1817,IF(D1817="Return",-E1817*F1817,""))</f>
        <v/>
      </c>
      <c r="H1817" s="17">
        <f>IFERROR(IF(D1817="Sale",E1817*INDEX(Products!$E$6:$E$205,MATCH(C1817,Products!$B$6:$B$205,0)),IF(D1817="Return",-E1817*INDEX(Products!$E$6:$E$205,MATCH(C1817,Products!$B$6:$B$205,0)),"")),"")</f>
        <v/>
      </c>
      <c r="I1817" s="24" t="n"/>
      <c r="J1817" s="1" t="n"/>
    </row>
    <row r="1818">
      <c r="A1818" s="1" t="n"/>
      <c r="B1818" s="30" t="n"/>
      <c r="C1818" s="23" t="n"/>
      <c r="D1818" s="23" t="n"/>
      <c r="E1818" s="26" t="n"/>
      <c r="F1818" s="25" t="n"/>
      <c r="G1818" s="17">
        <f>IF(D1818="Sale",E1818*F1818,IF(D1818="Return",-E1818*F1818,""))</f>
        <v/>
      </c>
      <c r="H1818" s="17">
        <f>IFERROR(IF(D1818="Sale",E1818*INDEX(Products!$E$6:$E$205,MATCH(C1818,Products!$B$6:$B$205,0)),IF(D1818="Return",-E1818*INDEX(Products!$E$6:$E$205,MATCH(C1818,Products!$B$6:$B$205,0)),"")),"")</f>
        <v/>
      </c>
      <c r="I1818" s="24" t="n"/>
      <c r="J1818" s="1" t="n"/>
    </row>
    <row r="1819">
      <c r="A1819" s="1" t="n"/>
      <c r="B1819" s="30" t="n"/>
      <c r="C1819" s="23" t="n"/>
      <c r="D1819" s="23" t="n"/>
      <c r="E1819" s="26" t="n"/>
      <c r="F1819" s="25" t="n"/>
      <c r="G1819" s="17">
        <f>IF(D1819="Sale",E1819*F1819,IF(D1819="Return",-E1819*F1819,""))</f>
        <v/>
      </c>
      <c r="H1819" s="17">
        <f>IFERROR(IF(D1819="Sale",E1819*INDEX(Products!$E$6:$E$205,MATCH(C1819,Products!$B$6:$B$205,0)),IF(D1819="Return",-E1819*INDEX(Products!$E$6:$E$205,MATCH(C1819,Products!$B$6:$B$205,0)),"")),"")</f>
        <v/>
      </c>
      <c r="I1819" s="24" t="n"/>
      <c r="J1819" s="1" t="n"/>
    </row>
    <row r="1820">
      <c r="A1820" s="1" t="n"/>
      <c r="B1820" s="30" t="n"/>
      <c r="C1820" s="23" t="n"/>
      <c r="D1820" s="23" t="n"/>
      <c r="E1820" s="26" t="n"/>
      <c r="F1820" s="25" t="n"/>
      <c r="G1820" s="17">
        <f>IF(D1820="Sale",E1820*F1820,IF(D1820="Return",-E1820*F1820,""))</f>
        <v/>
      </c>
      <c r="H1820" s="17">
        <f>IFERROR(IF(D1820="Sale",E1820*INDEX(Products!$E$6:$E$205,MATCH(C1820,Products!$B$6:$B$205,0)),IF(D1820="Return",-E1820*INDEX(Products!$E$6:$E$205,MATCH(C1820,Products!$B$6:$B$205,0)),"")),"")</f>
        <v/>
      </c>
      <c r="I1820" s="24" t="n"/>
      <c r="J1820" s="1" t="n"/>
    </row>
    <row r="1821">
      <c r="A1821" s="1" t="n"/>
      <c r="B1821" s="30" t="n"/>
      <c r="C1821" s="23" t="n"/>
      <c r="D1821" s="23" t="n"/>
      <c r="E1821" s="26" t="n"/>
      <c r="F1821" s="25" t="n"/>
      <c r="G1821" s="17">
        <f>IF(D1821="Sale",E1821*F1821,IF(D1821="Return",-E1821*F1821,""))</f>
        <v/>
      </c>
      <c r="H1821" s="17">
        <f>IFERROR(IF(D1821="Sale",E1821*INDEX(Products!$E$6:$E$205,MATCH(C1821,Products!$B$6:$B$205,0)),IF(D1821="Return",-E1821*INDEX(Products!$E$6:$E$205,MATCH(C1821,Products!$B$6:$B$205,0)),"")),"")</f>
        <v/>
      </c>
      <c r="I1821" s="24" t="n"/>
      <c r="J1821" s="1" t="n"/>
    </row>
    <row r="1822">
      <c r="A1822" s="1" t="n"/>
      <c r="B1822" s="30" t="n"/>
      <c r="C1822" s="23" t="n"/>
      <c r="D1822" s="23" t="n"/>
      <c r="E1822" s="26" t="n"/>
      <c r="F1822" s="25" t="n"/>
      <c r="G1822" s="17">
        <f>IF(D1822="Sale",E1822*F1822,IF(D1822="Return",-E1822*F1822,""))</f>
        <v/>
      </c>
      <c r="H1822" s="17">
        <f>IFERROR(IF(D1822="Sale",E1822*INDEX(Products!$E$6:$E$205,MATCH(C1822,Products!$B$6:$B$205,0)),IF(D1822="Return",-E1822*INDEX(Products!$E$6:$E$205,MATCH(C1822,Products!$B$6:$B$205,0)),"")),"")</f>
        <v/>
      </c>
      <c r="I1822" s="24" t="n"/>
      <c r="J1822" s="1" t="n"/>
    </row>
    <row r="1823">
      <c r="A1823" s="1" t="n"/>
      <c r="B1823" s="30" t="n"/>
      <c r="C1823" s="23" t="n"/>
      <c r="D1823" s="23" t="n"/>
      <c r="E1823" s="26" t="n"/>
      <c r="F1823" s="25" t="n"/>
      <c r="G1823" s="17">
        <f>IF(D1823="Sale",E1823*F1823,IF(D1823="Return",-E1823*F1823,""))</f>
        <v/>
      </c>
      <c r="H1823" s="17">
        <f>IFERROR(IF(D1823="Sale",E1823*INDEX(Products!$E$6:$E$205,MATCH(C1823,Products!$B$6:$B$205,0)),IF(D1823="Return",-E1823*INDEX(Products!$E$6:$E$205,MATCH(C1823,Products!$B$6:$B$205,0)),"")),"")</f>
        <v/>
      </c>
      <c r="I1823" s="24" t="n"/>
      <c r="J1823" s="1" t="n"/>
    </row>
    <row r="1824">
      <c r="A1824" s="1" t="n"/>
      <c r="B1824" s="30" t="n"/>
      <c r="C1824" s="23" t="n"/>
      <c r="D1824" s="23" t="n"/>
      <c r="E1824" s="26" t="n"/>
      <c r="F1824" s="25" t="n"/>
      <c r="G1824" s="17">
        <f>IF(D1824="Sale",E1824*F1824,IF(D1824="Return",-E1824*F1824,""))</f>
        <v/>
      </c>
      <c r="H1824" s="17">
        <f>IFERROR(IF(D1824="Sale",E1824*INDEX(Products!$E$6:$E$205,MATCH(C1824,Products!$B$6:$B$205,0)),IF(D1824="Return",-E1824*INDEX(Products!$E$6:$E$205,MATCH(C1824,Products!$B$6:$B$205,0)),"")),"")</f>
        <v/>
      </c>
      <c r="I1824" s="24" t="n"/>
      <c r="J1824" s="1" t="n"/>
    </row>
    <row r="1825">
      <c r="A1825" s="1" t="n"/>
      <c r="B1825" s="30" t="n"/>
      <c r="C1825" s="23" t="n"/>
      <c r="D1825" s="23" t="n"/>
      <c r="E1825" s="26" t="n"/>
      <c r="F1825" s="25" t="n"/>
      <c r="G1825" s="17">
        <f>IF(D1825="Sale",E1825*F1825,IF(D1825="Return",-E1825*F1825,""))</f>
        <v/>
      </c>
      <c r="H1825" s="17">
        <f>IFERROR(IF(D1825="Sale",E1825*INDEX(Products!$E$6:$E$205,MATCH(C1825,Products!$B$6:$B$205,0)),IF(D1825="Return",-E1825*INDEX(Products!$E$6:$E$205,MATCH(C1825,Products!$B$6:$B$205,0)),"")),"")</f>
        <v/>
      </c>
      <c r="I1825" s="24" t="n"/>
      <c r="J1825" s="1" t="n"/>
    </row>
    <row r="1826">
      <c r="A1826" s="1" t="n"/>
      <c r="B1826" s="30" t="n"/>
      <c r="C1826" s="23" t="n"/>
      <c r="D1826" s="23" t="n"/>
      <c r="E1826" s="26" t="n"/>
      <c r="F1826" s="25" t="n"/>
      <c r="G1826" s="17">
        <f>IF(D1826="Sale",E1826*F1826,IF(D1826="Return",-E1826*F1826,""))</f>
        <v/>
      </c>
      <c r="H1826" s="17">
        <f>IFERROR(IF(D1826="Sale",E1826*INDEX(Products!$E$6:$E$205,MATCH(C1826,Products!$B$6:$B$205,0)),IF(D1826="Return",-E1826*INDEX(Products!$E$6:$E$205,MATCH(C1826,Products!$B$6:$B$205,0)),"")),"")</f>
        <v/>
      </c>
      <c r="I1826" s="24" t="n"/>
      <c r="J1826" s="1" t="n"/>
    </row>
    <row r="1827">
      <c r="A1827" s="1" t="n"/>
      <c r="B1827" s="30" t="n"/>
      <c r="C1827" s="23" t="n"/>
      <c r="D1827" s="23" t="n"/>
      <c r="E1827" s="26" t="n"/>
      <c r="F1827" s="25" t="n"/>
      <c r="G1827" s="17">
        <f>IF(D1827="Sale",E1827*F1827,IF(D1827="Return",-E1827*F1827,""))</f>
        <v/>
      </c>
      <c r="H1827" s="17">
        <f>IFERROR(IF(D1827="Sale",E1827*INDEX(Products!$E$6:$E$205,MATCH(C1827,Products!$B$6:$B$205,0)),IF(D1827="Return",-E1827*INDEX(Products!$E$6:$E$205,MATCH(C1827,Products!$B$6:$B$205,0)),"")),"")</f>
        <v/>
      </c>
      <c r="I1827" s="24" t="n"/>
      <c r="J1827" s="1" t="n"/>
    </row>
    <row r="1828">
      <c r="A1828" s="1" t="n"/>
      <c r="B1828" s="30" t="n"/>
      <c r="C1828" s="23" t="n"/>
      <c r="D1828" s="23" t="n"/>
      <c r="E1828" s="26" t="n"/>
      <c r="F1828" s="25" t="n"/>
      <c r="G1828" s="17">
        <f>IF(D1828="Sale",E1828*F1828,IF(D1828="Return",-E1828*F1828,""))</f>
        <v/>
      </c>
      <c r="H1828" s="17">
        <f>IFERROR(IF(D1828="Sale",E1828*INDEX(Products!$E$6:$E$205,MATCH(C1828,Products!$B$6:$B$205,0)),IF(D1828="Return",-E1828*INDEX(Products!$E$6:$E$205,MATCH(C1828,Products!$B$6:$B$205,0)),"")),"")</f>
        <v/>
      </c>
      <c r="I1828" s="24" t="n"/>
      <c r="J1828" s="1" t="n"/>
    </row>
    <row r="1829">
      <c r="A1829" s="1" t="n"/>
      <c r="B1829" s="30" t="n"/>
      <c r="C1829" s="23" t="n"/>
      <c r="D1829" s="23" t="n"/>
      <c r="E1829" s="26" t="n"/>
      <c r="F1829" s="25" t="n"/>
      <c r="G1829" s="17">
        <f>IF(D1829="Sale",E1829*F1829,IF(D1829="Return",-E1829*F1829,""))</f>
        <v/>
      </c>
      <c r="H1829" s="17">
        <f>IFERROR(IF(D1829="Sale",E1829*INDEX(Products!$E$6:$E$205,MATCH(C1829,Products!$B$6:$B$205,0)),IF(D1829="Return",-E1829*INDEX(Products!$E$6:$E$205,MATCH(C1829,Products!$B$6:$B$205,0)),"")),"")</f>
        <v/>
      </c>
      <c r="I1829" s="24" t="n"/>
      <c r="J1829" s="1" t="n"/>
    </row>
    <row r="1830">
      <c r="A1830" s="1" t="n"/>
      <c r="B1830" s="30" t="n"/>
      <c r="C1830" s="23" t="n"/>
      <c r="D1830" s="23" t="n"/>
      <c r="E1830" s="26" t="n"/>
      <c r="F1830" s="25" t="n"/>
      <c r="G1830" s="17">
        <f>IF(D1830="Sale",E1830*F1830,IF(D1830="Return",-E1830*F1830,""))</f>
        <v/>
      </c>
      <c r="H1830" s="17">
        <f>IFERROR(IF(D1830="Sale",E1830*INDEX(Products!$E$6:$E$205,MATCH(C1830,Products!$B$6:$B$205,0)),IF(D1830="Return",-E1830*INDEX(Products!$E$6:$E$205,MATCH(C1830,Products!$B$6:$B$205,0)),"")),"")</f>
        <v/>
      </c>
      <c r="I1830" s="24" t="n"/>
      <c r="J1830" s="1" t="n"/>
    </row>
    <row r="1831">
      <c r="A1831" s="1" t="n"/>
      <c r="B1831" s="30" t="n"/>
      <c r="C1831" s="23" t="n"/>
      <c r="D1831" s="23" t="n"/>
      <c r="E1831" s="26" t="n"/>
      <c r="F1831" s="25" t="n"/>
      <c r="G1831" s="17">
        <f>IF(D1831="Sale",E1831*F1831,IF(D1831="Return",-E1831*F1831,""))</f>
        <v/>
      </c>
      <c r="H1831" s="17">
        <f>IFERROR(IF(D1831="Sale",E1831*INDEX(Products!$E$6:$E$205,MATCH(C1831,Products!$B$6:$B$205,0)),IF(D1831="Return",-E1831*INDEX(Products!$E$6:$E$205,MATCH(C1831,Products!$B$6:$B$205,0)),"")),"")</f>
        <v/>
      </c>
      <c r="I1831" s="24" t="n"/>
      <c r="J1831" s="1" t="n"/>
    </row>
    <row r="1832">
      <c r="A1832" s="1" t="n"/>
      <c r="B1832" s="30" t="n"/>
      <c r="C1832" s="23" t="n"/>
      <c r="D1832" s="23" t="n"/>
      <c r="E1832" s="26" t="n"/>
      <c r="F1832" s="25" t="n"/>
      <c r="G1832" s="17">
        <f>IF(D1832="Sale",E1832*F1832,IF(D1832="Return",-E1832*F1832,""))</f>
        <v/>
      </c>
      <c r="H1832" s="17">
        <f>IFERROR(IF(D1832="Sale",E1832*INDEX(Products!$E$6:$E$205,MATCH(C1832,Products!$B$6:$B$205,0)),IF(D1832="Return",-E1832*INDEX(Products!$E$6:$E$205,MATCH(C1832,Products!$B$6:$B$205,0)),"")),"")</f>
        <v/>
      </c>
      <c r="I1832" s="24" t="n"/>
      <c r="J1832" s="1" t="n"/>
    </row>
    <row r="1833">
      <c r="A1833" s="1" t="n"/>
      <c r="B1833" s="30" t="n"/>
      <c r="C1833" s="23" t="n"/>
      <c r="D1833" s="23" t="n"/>
      <c r="E1833" s="26" t="n"/>
      <c r="F1833" s="25" t="n"/>
      <c r="G1833" s="17">
        <f>IF(D1833="Sale",E1833*F1833,IF(D1833="Return",-E1833*F1833,""))</f>
        <v/>
      </c>
      <c r="H1833" s="17">
        <f>IFERROR(IF(D1833="Sale",E1833*INDEX(Products!$E$6:$E$205,MATCH(C1833,Products!$B$6:$B$205,0)),IF(D1833="Return",-E1833*INDEX(Products!$E$6:$E$205,MATCH(C1833,Products!$B$6:$B$205,0)),"")),"")</f>
        <v/>
      </c>
      <c r="I1833" s="24" t="n"/>
      <c r="J1833" s="1" t="n"/>
    </row>
    <row r="1834">
      <c r="A1834" s="1" t="n"/>
      <c r="B1834" s="30" t="n"/>
      <c r="C1834" s="23" t="n"/>
      <c r="D1834" s="23" t="n"/>
      <c r="E1834" s="26" t="n"/>
      <c r="F1834" s="25" t="n"/>
      <c r="G1834" s="17">
        <f>IF(D1834="Sale",E1834*F1834,IF(D1834="Return",-E1834*F1834,""))</f>
        <v/>
      </c>
      <c r="H1834" s="17">
        <f>IFERROR(IF(D1834="Sale",E1834*INDEX(Products!$E$6:$E$205,MATCH(C1834,Products!$B$6:$B$205,0)),IF(D1834="Return",-E1834*INDEX(Products!$E$6:$E$205,MATCH(C1834,Products!$B$6:$B$205,0)),"")),"")</f>
        <v/>
      </c>
      <c r="I1834" s="24" t="n"/>
      <c r="J1834" s="1" t="n"/>
    </row>
    <row r="1835">
      <c r="A1835" s="1" t="n"/>
      <c r="B1835" s="30" t="n"/>
      <c r="C1835" s="23" t="n"/>
      <c r="D1835" s="23" t="n"/>
      <c r="E1835" s="26" t="n"/>
      <c r="F1835" s="25" t="n"/>
      <c r="G1835" s="17">
        <f>IF(D1835="Sale",E1835*F1835,IF(D1835="Return",-E1835*F1835,""))</f>
        <v/>
      </c>
      <c r="H1835" s="17">
        <f>IFERROR(IF(D1835="Sale",E1835*INDEX(Products!$E$6:$E$205,MATCH(C1835,Products!$B$6:$B$205,0)),IF(D1835="Return",-E1835*INDEX(Products!$E$6:$E$205,MATCH(C1835,Products!$B$6:$B$205,0)),"")),"")</f>
        <v/>
      </c>
      <c r="I1835" s="24" t="n"/>
      <c r="J1835" s="1" t="n"/>
    </row>
    <row r="1836">
      <c r="A1836" s="1" t="n"/>
      <c r="B1836" s="30" t="n"/>
      <c r="C1836" s="23" t="n"/>
      <c r="D1836" s="23" t="n"/>
      <c r="E1836" s="26" t="n"/>
      <c r="F1836" s="25" t="n"/>
      <c r="G1836" s="17">
        <f>IF(D1836="Sale",E1836*F1836,IF(D1836="Return",-E1836*F1836,""))</f>
        <v/>
      </c>
      <c r="H1836" s="17">
        <f>IFERROR(IF(D1836="Sale",E1836*INDEX(Products!$E$6:$E$205,MATCH(C1836,Products!$B$6:$B$205,0)),IF(D1836="Return",-E1836*INDEX(Products!$E$6:$E$205,MATCH(C1836,Products!$B$6:$B$205,0)),"")),"")</f>
        <v/>
      </c>
      <c r="I1836" s="24" t="n"/>
      <c r="J1836" s="1" t="n"/>
    </row>
    <row r="1837">
      <c r="A1837" s="1" t="n"/>
      <c r="B1837" s="30" t="n"/>
      <c r="C1837" s="23" t="n"/>
      <c r="D1837" s="23" t="n"/>
      <c r="E1837" s="26" t="n"/>
      <c r="F1837" s="25" t="n"/>
      <c r="G1837" s="17">
        <f>IF(D1837="Sale",E1837*F1837,IF(D1837="Return",-E1837*F1837,""))</f>
        <v/>
      </c>
      <c r="H1837" s="17">
        <f>IFERROR(IF(D1837="Sale",E1837*INDEX(Products!$E$6:$E$205,MATCH(C1837,Products!$B$6:$B$205,0)),IF(D1837="Return",-E1837*INDEX(Products!$E$6:$E$205,MATCH(C1837,Products!$B$6:$B$205,0)),"")),"")</f>
        <v/>
      </c>
      <c r="I1837" s="24" t="n"/>
      <c r="J1837" s="1" t="n"/>
    </row>
    <row r="1838">
      <c r="A1838" s="1" t="n"/>
      <c r="B1838" s="30" t="n"/>
      <c r="C1838" s="23" t="n"/>
      <c r="D1838" s="23" t="n"/>
      <c r="E1838" s="26" t="n"/>
      <c r="F1838" s="25" t="n"/>
      <c r="G1838" s="17">
        <f>IF(D1838="Sale",E1838*F1838,IF(D1838="Return",-E1838*F1838,""))</f>
        <v/>
      </c>
      <c r="H1838" s="17">
        <f>IFERROR(IF(D1838="Sale",E1838*INDEX(Products!$E$6:$E$205,MATCH(C1838,Products!$B$6:$B$205,0)),IF(D1838="Return",-E1838*INDEX(Products!$E$6:$E$205,MATCH(C1838,Products!$B$6:$B$205,0)),"")),"")</f>
        <v/>
      </c>
      <c r="I1838" s="24" t="n"/>
      <c r="J1838" s="1" t="n"/>
    </row>
    <row r="1839">
      <c r="A1839" s="1" t="n"/>
      <c r="B1839" s="30" t="n"/>
      <c r="C1839" s="23" t="n"/>
      <c r="D1839" s="23" t="n"/>
      <c r="E1839" s="26" t="n"/>
      <c r="F1839" s="25" t="n"/>
      <c r="G1839" s="17">
        <f>IF(D1839="Sale",E1839*F1839,IF(D1839="Return",-E1839*F1839,""))</f>
        <v/>
      </c>
      <c r="H1839" s="17">
        <f>IFERROR(IF(D1839="Sale",E1839*INDEX(Products!$E$6:$E$205,MATCH(C1839,Products!$B$6:$B$205,0)),IF(D1839="Return",-E1839*INDEX(Products!$E$6:$E$205,MATCH(C1839,Products!$B$6:$B$205,0)),"")),"")</f>
        <v/>
      </c>
      <c r="I1839" s="24" t="n"/>
      <c r="J1839" s="1" t="n"/>
    </row>
    <row r="1840">
      <c r="A1840" s="1" t="n"/>
      <c r="B1840" s="30" t="n"/>
      <c r="C1840" s="23" t="n"/>
      <c r="D1840" s="23" t="n"/>
      <c r="E1840" s="26" t="n"/>
      <c r="F1840" s="25" t="n"/>
      <c r="G1840" s="17">
        <f>IF(D1840="Sale",E1840*F1840,IF(D1840="Return",-E1840*F1840,""))</f>
        <v/>
      </c>
      <c r="H1840" s="17">
        <f>IFERROR(IF(D1840="Sale",E1840*INDEX(Products!$E$6:$E$205,MATCH(C1840,Products!$B$6:$B$205,0)),IF(D1840="Return",-E1840*INDEX(Products!$E$6:$E$205,MATCH(C1840,Products!$B$6:$B$205,0)),"")),"")</f>
        <v/>
      </c>
      <c r="I1840" s="24" t="n"/>
      <c r="J1840" s="1" t="n"/>
    </row>
    <row r="1841">
      <c r="A1841" s="1" t="n"/>
      <c r="B1841" s="30" t="n"/>
      <c r="C1841" s="23" t="n"/>
      <c r="D1841" s="23" t="n"/>
      <c r="E1841" s="26" t="n"/>
      <c r="F1841" s="25" t="n"/>
      <c r="G1841" s="17">
        <f>IF(D1841="Sale",E1841*F1841,IF(D1841="Return",-E1841*F1841,""))</f>
        <v/>
      </c>
      <c r="H1841" s="17">
        <f>IFERROR(IF(D1841="Sale",E1841*INDEX(Products!$E$6:$E$205,MATCH(C1841,Products!$B$6:$B$205,0)),IF(D1841="Return",-E1841*INDEX(Products!$E$6:$E$205,MATCH(C1841,Products!$B$6:$B$205,0)),"")),"")</f>
        <v/>
      </c>
      <c r="I1841" s="24" t="n"/>
      <c r="J1841" s="1" t="n"/>
    </row>
    <row r="1842">
      <c r="A1842" s="1" t="n"/>
      <c r="B1842" s="30" t="n"/>
      <c r="C1842" s="23" t="n"/>
      <c r="D1842" s="23" t="n"/>
      <c r="E1842" s="26" t="n"/>
      <c r="F1842" s="25" t="n"/>
      <c r="G1842" s="17">
        <f>IF(D1842="Sale",E1842*F1842,IF(D1842="Return",-E1842*F1842,""))</f>
        <v/>
      </c>
      <c r="H1842" s="17">
        <f>IFERROR(IF(D1842="Sale",E1842*INDEX(Products!$E$6:$E$205,MATCH(C1842,Products!$B$6:$B$205,0)),IF(D1842="Return",-E1842*INDEX(Products!$E$6:$E$205,MATCH(C1842,Products!$B$6:$B$205,0)),"")),"")</f>
        <v/>
      </c>
      <c r="I1842" s="24" t="n"/>
      <c r="J1842" s="1" t="n"/>
    </row>
    <row r="1843">
      <c r="A1843" s="1" t="n"/>
      <c r="B1843" s="30" t="n"/>
      <c r="C1843" s="23" t="n"/>
      <c r="D1843" s="23" t="n"/>
      <c r="E1843" s="26" t="n"/>
      <c r="F1843" s="25" t="n"/>
      <c r="G1843" s="17">
        <f>IF(D1843="Sale",E1843*F1843,IF(D1843="Return",-E1843*F1843,""))</f>
        <v/>
      </c>
      <c r="H1843" s="17">
        <f>IFERROR(IF(D1843="Sale",E1843*INDEX(Products!$E$6:$E$205,MATCH(C1843,Products!$B$6:$B$205,0)),IF(D1843="Return",-E1843*INDEX(Products!$E$6:$E$205,MATCH(C1843,Products!$B$6:$B$205,0)),"")),"")</f>
        <v/>
      </c>
      <c r="I1843" s="24" t="n"/>
      <c r="J1843" s="1" t="n"/>
    </row>
    <row r="1844">
      <c r="A1844" s="1" t="n"/>
      <c r="B1844" s="30" t="n"/>
      <c r="C1844" s="23" t="n"/>
      <c r="D1844" s="23" t="n"/>
      <c r="E1844" s="26" t="n"/>
      <c r="F1844" s="25" t="n"/>
      <c r="G1844" s="17">
        <f>IF(D1844="Sale",E1844*F1844,IF(D1844="Return",-E1844*F1844,""))</f>
        <v/>
      </c>
      <c r="H1844" s="17">
        <f>IFERROR(IF(D1844="Sale",E1844*INDEX(Products!$E$6:$E$205,MATCH(C1844,Products!$B$6:$B$205,0)),IF(D1844="Return",-E1844*INDEX(Products!$E$6:$E$205,MATCH(C1844,Products!$B$6:$B$205,0)),"")),"")</f>
        <v/>
      </c>
      <c r="I1844" s="24" t="n"/>
      <c r="J1844" s="1" t="n"/>
    </row>
    <row r="1845">
      <c r="A1845" s="1" t="n"/>
      <c r="B1845" s="30" t="n"/>
      <c r="C1845" s="23" t="n"/>
      <c r="D1845" s="23" t="n"/>
      <c r="E1845" s="26" t="n"/>
      <c r="F1845" s="25" t="n"/>
      <c r="G1845" s="17">
        <f>IF(D1845="Sale",E1845*F1845,IF(D1845="Return",-E1845*F1845,""))</f>
        <v/>
      </c>
      <c r="H1845" s="17">
        <f>IFERROR(IF(D1845="Sale",E1845*INDEX(Products!$E$6:$E$205,MATCH(C1845,Products!$B$6:$B$205,0)),IF(D1845="Return",-E1845*INDEX(Products!$E$6:$E$205,MATCH(C1845,Products!$B$6:$B$205,0)),"")),"")</f>
        <v/>
      </c>
      <c r="I1845" s="24" t="n"/>
      <c r="J1845" s="1" t="n"/>
    </row>
    <row r="1846">
      <c r="A1846" s="1" t="n"/>
      <c r="B1846" s="30" t="n"/>
      <c r="C1846" s="23" t="n"/>
      <c r="D1846" s="23" t="n"/>
      <c r="E1846" s="26" t="n"/>
      <c r="F1846" s="25" t="n"/>
      <c r="G1846" s="17">
        <f>IF(D1846="Sale",E1846*F1846,IF(D1846="Return",-E1846*F1846,""))</f>
        <v/>
      </c>
      <c r="H1846" s="17">
        <f>IFERROR(IF(D1846="Sale",E1846*INDEX(Products!$E$6:$E$205,MATCH(C1846,Products!$B$6:$B$205,0)),IF(D1846="Return",-E1846*INDEX(Products!$E$6:$E$205,MATCH(C1846,Products!$B$6:$B$205,0)),"")),"")</f>
        <v/>
      </c>
      <c r="I1846" s="24" t="n"/>
      <c r="J1846" s="1" t="n"/>
    </row>
    <row r="1847">
      <c r="A1847" s="1" t="n"/>
      <c r="B1847" s="30" t="n"/>
      <c r="C1847" s="23" t="n"/>
      <c r="D1847" s="23" t="n"/>
      <c r="E1847" s="26" t="n"/>
      <c r="F1847" s="25" t="n"/>
      <c r="G1847" s="17">
        <f>IF(D1847="Sale",E1847*F1847,IF(D1847="Return",-E1847*F1847,""))</f>
        <v/>
      </c>
      <c r="H1847" s="17">
        <f>IFERROR(IF(D1847="Sale",E1847*INDEX(Products!$E$6:$E$205,MATCH(C1847,Products!$B$6:$B$205,0)),IF(D1847="Return",-E1847*INDEX(Products!$E$6:$E$205,MATCH(C1847,Products!$B$6:$B$205,0)),"")),"")</f>
        <v/>
      </c>
      <c r="I1847" s="24" t="n"/>
      <c r="J1847" s="1" t="n"/>
    </row>
    <row r="1848">
      <c r="A1848" s="1" t="n"/>
      <c r="B1848" s="30" t="n"/>
      <c r="C1848" s="23" t="n"/>
      <c r="D1848" s="23" t="n"/>
      <c r="E1848" s="26" t="n"/>
      <c r="F1848" s="25" t="n"/>
      <c r="G1848" s="17">
        <f>IF(D1848="Sale",E1848*F1848,IF(D1848="Return",-E1848*F1848,""))</f>
        <v/>
      </c>
      <c r="H1848" s="17">
        <f>IFERROR(IF(D1848="Sale",E1848*INDEX(Products!$E$6:$E$205,MATCH(C1848,Products!$B$6:$B$205,0)),IF(D1848="Return",-E1848*INDEX(Products!$E$6:$E$205,MATCH(C1848,Products!$B$6:$B$205,0)),"")),"")</f>
        <v/>
      </c>
      <c r="I1848" s="24" t="n"/>
      <c r="J1848" s="1" t="n"/>
    </row>
    <row r="1849">
      <c r="A1849" s="1" t="n"/>
      <c r="B1849" s="30" t="n"/>
      <c r="C1849" s="23" t="n"/>
      <c r="D1849" s="23" t="n"/>
      <c r="E1849" s="26" t="n"/>
      <c r="F1849" s="25" t="n"/>
      <c r="G1849" s="17">
        <f>IF(D1849="Sale",E1849*F1849,IF(D1849="Return",-E1849*F1849,""))</f>
        <v/>
      </c>
      <c r="H1849" s="17">
        <f>IFERROR(IF(D1849="Sale",E1849*INDEX(Products!$E$6:$E$205,MATCH(C1849,Products!$B$6:$B$205,0)),IF(D1849="Return",-E1849*INDEX(Products!$E$6:$E$205,MATCH(C1849,Products!$B$6:$B$205,0)),"")),"")</f>
        <v/>
      </c>
      <c r="I1849" s="24" t="n"/>
      <c r="J1849" s="1" t="n"/>
    </row>
    <row r="1850">
      <c r="A1850" s="1" t="n"/>
      <c r="B1850" s="30" t="n"/>
      <c r="C1850" s="23" t="n"/>
      <c r="D1850" s="23" t="n"/>
      <c r="E1850" s="26" t="n"/>
      <c r="F1850" s="25" t="n"/>
      <c r="G1850" s="17">
        <f>IF(D1850="Sale",E1850*F1850,IF(D1850="Return",-E1850*F1850,""))</f>
        <v/>
      </c>
      <c r="H1850" s="17">
        <f>IFERROR(IF(D1850="Sale",E1850*INDEX(Products!$E$6:$E$205,MATCH(C1850,Products!$B$6:$B$205,0)),IF(D1850="Return",-E1850*INDEX(Products!$E$6:$E$205,MATCH(C1850,Products!$B$6:$B$205,0)),"")),"")</f>
        <v/>
      </c>
      <c r="I1850" s="24" t="n"/>
      <c r="J1850" s="1" t="n"/>
    </row>
    <row r="1851">
      <c r="A1851" s="1" t="n"/>
      <c r="B1851" s="30" t="n"/>
      <c r="C1851" s="23" t="n"/>
      <c r="D1851" s="23" t="n"/>
      <c r="E1851" s="26" t="n"/>
      <c r="F1851" s="25" t="n"/>
      <c r="G1851" s="17">
        <f>IF(D1851="Sale",E1851*F1851,IF(D1851="Return",-E1851*F1851,""))</f>
        <v/>
      </c>
      <c r="H1851" s="17">
        <f>IFERROR(IF(D1851="Sale",E1851*INDEX(Products!$E$6:$E$205,MATCH(C1851,Products!$B$6:$B$205,0)),IF(D1851="Return",-E1851*INDEX(Products!$E$6:$E$205,MATCH(C1851,Products!$B$6:$B$205,0)),"")),"")</f>
        <v/>
      </c>
      <c r="I1851" s="24" t="n"/>
      <c r="J1851" s="1" t="n"/>
    </row>
    <row r="1852">
      <c r="A1852" s="1" t="n"/>
      <c r="B1852" s="30" t="n"/>
      <c r="C1852" s="23" t="n"/>
      <c r="D1852" s="23" t="n"/>
      <c r="E1852" s="26" t="n"/>
      <c r="F1852" s="25" t="n"/>
      <c r="G1852" s="17">
        <f>IF(D1852="Sale",E1852*F1852,IF(D1852="Return",-E1852*F1852,""))</f>
        <v/>
      </c>
      <c r="H1852" s="17">
        <f>IFERROR(IF(D1852="Sale",E1852*INDEX(Products!$E$6:$E$205,MATCH(C1852,Products!$B$6:$B$205,0)),IF(D1852="Return",-E1852*INDEX(Products!$E$6:$E$205,MATCH(C1852,Products!$B$6:$B$205,0)),"")),"")</f>
        <v/>
      </c>
      <c r="I1852" s="24" t="n"/>
      <c r="J1852" s="1" t="n"/>
    </row>
    <row r="1853">
      <c r="A1853" s="1" t="n"/>
      <c r="B1853" s="30" t="n"/>
      <c r="C1853" s="23" t="n"/>
      <c r="D1853" s="23" t="n"/>
      <c r="E1853" s="26" t="n"/>
      <c r="F1853" s="25" t="n"/>
      <c r="G1853" s="17">
        <f>IF(D1853="Sale",E1853*F1853,IF(D1853="Return",-E1853*F1853,""))</f>
        <v/>
      </c>
      <c r="H1853" s="17">
        <f>IFERROR(IF(D1853="Sale",E1853*INDEX(Products!$E$6:$E$205,MATCH(C1853,Products!$B$6:$B$205,0)),IF(D1853="Return",-E1853*INDEX(Products!$E$6:$E$205,MATCH(C1853,Products!$B$6:$B$205,0)),"")),"")</f>
        <v/>
      </c>
      <c r="I1853" s="24" t="n"/>
      <c r="J1853" s="1" t="n"/>
    </row>
    <row r="1854">
      <c r="A1854" s="1" t="n"/>
      <c r="B1854" s="30" t="n"/>
      <c r="C1854" s="23" t="n"/>
      <c r="D1854" s="23" t="n"/>
      <c r="E1854" s="26" t="n"/>
      <c r="F1854" s="25" t="n"/>
      <c r="G1854" s="17">
        <f>IF(D1854="Sale",E1854*F1854,IF(D1854="Return",-E1854*F1854,""))</f>
        <v/>
      </c>
      <c r="H1854" s="17">
        <f>IFERROR(IF(D1854="Sale",E1854*INDEX(Products!$E$6:$E$205,MATCH(C1854,Products!$B$6:$B$205,0)),IF(D1854="Return",-E1854*INDEX(Products!$E$6:$E$205,MATCH(C1854,Products!$B$6:$B$205,0)),"")),"")</f>
        <v/>
      </c>
      <c r="I1854" s="24" t="n"/>
      <c r="J1854" s="1" t="n"/>
    </row>
    <row r="1855">
      <c r="A1855" s="1" t="n"/>
      <c r="B1855" s="30" t="n"/>
      <c r="C1855" s="23" t="n"/>
      <c r="D1855" s="23" t="n"/>
      <c r="E1855" s="26" t="n"/>
      <c r="F1855" s="25" t="n"/>
      <c r="G1855" s="17">
        <f>IF(D1855="Sale",E1855*F1855,IF(D1855="Return",-E1855*F1855,""))</f>
        <v/>
      </c>
      <c r="H1855" s="17">
        <f>IFERROR(IF(D1855="Sale",E1855*INDEX(Products!$E$6:$E$205,MATCH(C1855,Products!$B$6:$B$205,0)),IF(D1855="Return",-E1855*INDEX(Products!$E$6:$E$205,MATCH(C1855,Products!$B$6:$B$205,0)),"")),"")</f>
        <v/>
      </c>
      <c r="I1855" s="24" t="n"/>
      <c r="J1855" s="1" t="n"/>
    </row>
    <row r="1856">
      <c r="A1856" s="1" t="n"/>
      <c r="B1856" s="30" t="n"/>
      <c r="C1856" s="23" t="n"/>
      <c r="D1856" s="23" t="n"/>
      <c r="E1856" s="26" t="n"/>
      <c r="F1856" s="25" t="n"/>
      <c r="G1856" s="17">
        <f>IF(D1856="Sale",E1856*F1856,IF(D1856="Return",-E1856*F1856,""))</f>
        <v/>
      </c>
      <c r="H1856" s="17">
        <f>IFERROR(IF(D1856="Sale",E1856*INDEX(Products!$E$6:$E$205,MATCH(C1856,Products!$B$6:$B$205,0)),IF(D1856="Return",-E1856*INDEX(Products!$E$6:$E$205,MATCH(C1856,Products!$B$6:$B$205,0)),"")),"")</f>
        <v/>
      </c>
      <c r="I1856" s="24" t="n"/>
      <c r="J1856" s="1" t="n"/>
    </row>
    <row r="1857">
      <c r="A1857" s="1" t="n"/>
      <c r="B1857" s="30" t="n"/>
      <c r="C1857" s="23" t="n"/>
      <c r="D1857" s="23" t="n"/>
      <c r="E1857" s="26" t="n"/>
      <c r="F1857" s="25" t="n"/>
      <c r="G1857" s="17">
        <f>IF(D1857="Sale",E1857*F1857,IF(D1857="Return",-E1857*F1857,""))</f>
        <v/>
      </c>
      <c r="H1857" s="17">
        <f>IFERROR(IF(D1857="Sale",E1857*INDEX(Products!$E$6:$E$205,MATCH(C1857,Products!$B$6:$B$205,0)),IF(D1857="Return",-E1857*INDEX(Products!$E$6:$E$205,MATCH(C1857,Products!$B$6:$B$205,0)),"")),"")</f>
        <v/>
      </c>
      <c r="I1857" s="24" t="n"/>
      <c r="J1857" s="1" t="n"/>
    </row>
    <row r="1858">
      <c r="A1858" s="1" t="n"/>
      <c r="B1858" s="30" t="n"/>
      <c r="C1858" s="23" t="n"/>
      <c r="D1858" s="23" t="n"/>
      <c r="E1858" s="26" t="n"/>
      <c r="F1858" s="25" t="n"/>
      <c r="G1858" s="17">
        <f>IF(D1858="Sale",E1858*F1858,IF(D1858="Return",-E1858*F1858,""))</f>
        <v/>
      </c>
      <c r="H1858" s="17">
        <f>IFERROR(IF(D1858="Sale",E1858*INDEX(Products!$E$6:$E$205,MATCH(C1858,Products!$B$6:$B$205,0)),IF(D1858="Return",-E1858*INDEX(Products!$E$6:$E$205,MATCH(C1858,Products!$B$6:$B$205,0)),"")),"")</f>
        <v/>
      </c>
      <c r="I1858" s="24" t="n"/>
      <c r="J1858" s="1" t="n"/>
    </row>
    <row r="1859">
      <c r="A1859" s="1" t="n"/>
      <c r="B1859" s="30" t="n"/>
      <c r="C1859" s="23" t="n"/>
      <c r="D1859" s="23" t="n"/>
      <c r="E1859" s="26" t="n"/>
      <c r="F1859" s="25" t="n"/>
      <c r="G1859" s="17">
        <f>IF(D1859="Sale",E1859*F1859,IF(D1859="Return",-E1859*F1859,""))</f>
        <v/>
      </c>
      <c r="H1859" s="17">
        <f>IFERROR(IF(D1859="Sale",E1859*INDEX(Products!$E$6:$E$205,MATCH(C1859,Products!$B$6:$B$205,0)),IF(D1859="Return",-E1859*INDEX(Products!$E$6:$E$205,MATCH(C1859,Products!$B$6:$B$205,0)),"")),"")</f>
        <v/>
      </c>
      <c r="I1859" s="24" t="n"/>
      <c r="J1859" s="1" t="n"/>
    </row>
    <row r="1860">
      <c r="A1860" s="1" t="n"/>
      <c r="B1860" s="30" t="n"/>
      <c r="C1860" s="23" t="n"/>
      <c r="D1860" s="23" t="n"/>
      <c r="E1860" s="26" t="n"/>
      <c r="F1860" s="25" t="n"/>
      <c r="G1860" s="17">
        <f>IF(D1860="Sale",E1860*F1860,IF(D1860="Return",-E1860*F1860,""))</f>
        <v/>
      </c>
      <c r="H1860" s="17">
        <f>IFERROR(IF(D1860="Sale",E1860*INDEX(Products!$E$6:$E$205,MATCH(C1860,Products!$B$6:$B$205,0)),IF(D1860="Return",-E1860*INDEX(Products!$E$6:$E$205,MATCH(C1860,Products!$B$6:$B$205,0)),"")),"")</f>
        <v/>
      </c>
      <c r="I1860" s="24" t="n"/>
      <c r="J1860" s="1" t="n"/>
    </row>
    <row r="1861">
      <c r="A1861" s="1" t="n"/>
      <c r="B1861" s="30" t="n"/>
      <c r="C1861" s="23" t="n"/>
      <c r="D1861" s="23" t="n"/>
      <c r="E1861" s="26" t="n"/>
      <c r="F1861" s="25" t="n"/>
      <c r="G1861" s="17">
        <f>IF(D1861="Sale",E1861*F1861,IF(D1861="Return",-E1861*F1861,""))</f>
        <v/>
      </c>
      <c r="H1861" s="17">
        <f>IFERROR(IF(D1861="Sale",E1861*INDEX(Products!$E$6:$E$205,MATCH(C1861,Products!$B$6:$B$205,0)),IF(D1861="Return",-E1861*INDEX(Products!$E$6:$E$205,MATCH(C1861,Products!$B$6:$B$205,0)),"")),"")</f>
        <v/>
      </c>
      <c r="I1861" s="24" t="n"/>
      <c r="J1861" s="1" t="n"/>
    </row>
    <row r="1862">
      <c r="A1862" s="1" t="n"/>
      <c r="B1862" s="30" t="n"/>
      <c r="C1862" s="23" t="n"/>
      <c r="D1862" s="23" t="n"/>
      <c r="E1862" s="26" t="n"/>
      <c r="F1862" s="25" t="n"/>
      <c r="G1862" s="17">
        <f>IF(D1862="Sale",E1862*F1862,IF(D1862="Return",-E1862*F1862,""))</f>
        <v/>
      </c>
      <c r="H1862" s="17">
        <f>IFERROR(IF(D1862="Sale",E1862*INDEX(Products!$E$6:$E$205,MATCH(C1862,Products!$B$6:$B$205,0)),IF(D1862="Return",-E1862*INDEX(Products!$E$6:$E$205,MATCH(C1862,Products!$B$6:$B$205,0)),"")),"")</f>
        <v/>
      </c>
      <c r="I1862" s="24" t="n"/>
      <c r="J1862" s="1" t="n"/>
    </row>
    <row r="1863">
      <c r="A1863" s="1" t="n"/>
      <c r="B1863" s="30" t="n"/>
      <c r="C1863" s="23" t="n"/>
      <c r="D1863" s="23" t="n"/>
      <c r="E1863" s="26" t="n"/>
      <c r="F1863" s="25" t="n"/>
      <c r="G1863" s="17">
        <f>IF(D1863="Sale",E1863*F1863,IF(D1863="Return",-E1863*F1863,""))</f>
        <v/>
      </c>
      <c r="H1863" s="17">
        <f>IFERROR(IF(D1863="Sale",E1863*INDEX(Products!$E$6:$E$205,MATCH(C1863,Products!$B$6:$B$205,0)),IF(D1863="Return",-E1863*INDEX(Products!$E$6:$E$205,MATCH(C1863,Products!$B$6:$B$205,0)),"")),"")</f>
        <v/>
      </c>
      <c r="I1863" s="24" t="n"/>
      <c r="J1863" s="1" t="n"/>
    </row>
    <row r="1864">
      <c r="A1864" s="1" t="n"/>
      <c r="B1864" s="30" t="n"/>
      <c r="C1864" s="23" t="n"/>
      <c r="D1864" s="23" t="n"/>
      <c r="E1864" s="26" t="n"/>
      <c r="F1864" s="25" t="n"/>
      <c r="G1864" s="17">
        <f>IF(D1864="Sale",E1864*F1864,IF(D1864="Return",-E1864*F1864,""))</f>
        <v/>
      </c>
      <c r="H1864" s="17">
        <f>IFERROR(IF(D1864="Sale",E1864*INDEX(Products!$E$6:$E$205,MATCH(C1864,Products!$B$6:$B$205,0)),IF(D1864="Return",-E1864*INDEX(Products!$E$6:$E$205,MATCH(C1864,Products!$B$6:$B$205,0)),"")),"")</f>
        <v/>
      </c>
      <c r="I1864" s="24" t="n"/>
      <c r="J1864" s="1" t="n"/>
    </row>
    <row r="1865">
      <c r="A1865" s="1" t="n"/>
      <c r="B1865" s="30" t="n"/>
      <c r="C1865" s="23" t="n"/>
      <c r="D1865" s="23" t="n"/>
      <c r="E1865" s="26" t="n"/>
      <c r="F1865" s="25" t="n"/>
      <c r="G1865" s="17">
        <f>IF(D1865="Sale",E1865*F1865,IF(D1865="Return",-E1865*F1865,""))</f>
        <v/>
      </c>
      <c r="H1865" s="17">
        <f>IFERROR(IF(D1865="Sale",E1865*INDEX(Products!$E$6:$E$205,MATCH(C1865,Products!$B$6:$B$205,0)),IF(D1865="Return",-E1865*INDEX(Products!$E$6:$E$205,MATCH(C1865,Products!$B$6:$B$205,0)),"")),"")</f>
        <v/>
      </c>
      <c r="I1865" s="24" t="n"/>
      <c r="J1865" s="1" t="n"/>
    </row>
    <row r="1866">
      <c r="A1866" s="1" t="n"/>
      <c r="B1866" s="30" t="n"/>
      <c r="C1866" s="23" t="n"/>
      <c r="D1866" s="23" t="n"/>
      <c r="E1866" s="26" t="n"/>
      <c r="F1866" s="25" t="n"/>
      <c r="G1866" s="17">
        <f>IF(D1866="Sale",E1866*F1866,IF(D1866="Return",-E1866*F1866,""))</f>
        <v/>
      </c>
      <c r="H1866" s="17">
        <f>IFERROR(IF(D1866="Sale",E1866*INDEX(Products!$E$6:$E$205,MATCH(C1866,Products!$B$6:$B$205,0)),IF(D1866="Return",-E1866*INDEX(Products!$E$6:$E$205,MATCH(C1866,Products!$B$6:$B$205,0)),"")),"")</f>
        <v/>
      </c>
      <c r="I1866" s="24" t="n"/>
      <c r="J1866" s="1" t="n"/>
    </row>
    <row r="1867">
      <c r="A1867" s="1" t="n"/>
      <c r="B1867" s="30" t="n"/>
      <c r="C1867" s="23" t="n"/>
      <c r="D1867" s="23" t="n"/>
      <c r="E1867" s="26" t="n"/>
      <c r="F1867" s="25" t="n"/>
      <c r="G1867" s="17">
        <f>IF(D1867="Sale",E1867*F1867,IF(D1867="Return",-E1867*F1867,""))</f>
        <v/>
      </c>
      <c r="H1867" s="17">
        <f>IFERROR(IF(D1867="Sale",E1867*INDEX(Products!$E$6:$E$205,MATCH(C1867,Products!$B$6:$B$205,0)),IF(D1867="Return",-E1867*INDEX(Products!$E$6:$E$205,MATCH(C1867,Products!$B$6:$B$205,0)),"")),"")</f>
        <v/>
      </c>
      <c r="I1867" s="24" t="n"/>
      <c r="J1867" s="1" t="n"/>
    </row>
    <row r="1868">
      <c r="A1868" s="1" t="n"/>
      <c r="B1868" s="30" t="n"/>
      <c r="C1868" s="23" t="n"/>
      <c r="D1868" s="23" t="n"/>
      <c r="E1868" s="26" t="n"/>
      <c r="F1868" s="25" t="n"/>
      <c r="G1868" s="17">
        <f>IF(D1868="Sale",E1868*F1868,IF(D1868="Return",-E1868*F1868,""))</f>
        <v/>
      </c>
      <c r="H1868" s="17">
        <f>IFERROR(IF(D1868="Sale",E1868*INDEX(Products!$E$6:$E$205,MATCH(C1868,Products!$B$6:$B$205,0)),IF(D1868="Return",-E1868*INDEX(Products!$E$6:$E$205,MATCH(C1868,Products!$B$6:$B$205,0)),"")),"")</f>
        <v/>
      </c>
      <c r="I1868" s="24" t="n"/>
      <c r="J1868" s="1" t="n"/>
    </row>
    <row r="1869">
      <c r="A1869" s="1" t="n"/>
      <c r="B1869" s="30" t="n"/>
      <c r="C1869" s="23" t="n"/>
      <c r="D1869" s="23" t="n"/>
      <c r="E1869" s="26" t="n"/>
      <c r="F1869" s="25" t="n"/>
      <c r="G1869" s="17">
        <f>IF(D1869="Sale",E1869*F1869,IF(D1869="Return",-E1869*F1869,""))</f>
        <v/>
      </c>
      <c r="H1869" s="17">
        <f>IFERROR(IF(D1869="Sale",E1869*INDEX(Products!$E$6:$E$205,MATCH(C1869,Products!$B$6:$B$205,0)),IF(D1869="Return",-E1869*INDEX(Products!$E$6:$E$205,MATCH(C1869,Products!$B$6:$B$205,0)),"")),"")</f>
        <v/>
      </c>
      <c r="I1869" s="24" t="n"/>
      <c r="J1869" s="1" t="n"/>
    </row>
    <row r="1870">
      <c r="A1870" s="1" t="n"/>
      <c r="B1870" s="30" t="n"/>
      <c r="C1870" s="23" t="n"/>
      <c r="D1870" s="23" t="n"/>
      <c r="E1870" s="26" t="n"/>
      <c r="F1870" s="25" t="n"/>
      <c r="G1870" s="17">
        <f>IF(D1870="Sale",E1870*F1870,IF(D1870="Return",-E1870*F1870,""))</f>
        <v/>
      </c>
      <c r="H1870" s="17">
        <f>IFERROR(IF(D1870="Sale",E1870*INDEX(Products!$E$6:$E$205,MATCH(C1870,Products!$B$6:$B$205,0)),IF(D1870="Return",-E1870*INDEX(Products!$E$6:$E$205,MATCH(C1870,Products!$B$6:$B$205,0)),"")),"")</f>
        <v/>
      </c>
      <c r="I1870" s="24" t="n"/>
      <c r="J1870" s="1" t="n"/>
    </row>
    <row r="1871">
      <c r="A1871" s="1" t="n"/>
      <c r="B1871" s="30" t="n"/>
      <c r="C1871" s="23" t="n"/>
      <c r="D1871" s="23" t="n"/>
      <c r="E1871" s="26" t="n"/>
      <c r="F1871" s="25" t="n"/>
      <c r="G1871" s="17">
        <f>IF(D1871="Sale",E1871*F1871,IF(D1871="Return",-E1871*F1871,""))</f>
        <v/>
      </c>
      <c r="H1871" s="17">
        <f>IFERROR(IF(D1871="Sale",E1871*INDEX(Products!$E$6:$E$205,MATCH(C1871,Products!$B$6:$B$205,0)),IF(D1871="Return",-E1871*INDEX(Products!$E$6:$E$205,MATCH(C1871,Products!$B$6:$B$205,0)),"")),"")</f>
        <v/>
      </c>
      <c r="I1871" s="24" t="n"/>
      <c r="J1871" s="1" t="n"/>
    </row>
    <row r="1872">
      <c r="A1872" s="1" t="n"/>
      <c r="B1872" s="30" t="n"/>
      <c r="C1872" s="23" t="n"/>
      <c r="D1872" s="23" t="n"/>
      <c r="E1872" s="26" t="n"/>
      <c r="F1872" s="25" t="n"/>
      <c r="G1872" s="17">
        <f>IF(D1872="Sale",E1872*F1872,IF(D1872="Return",-E1872*F1872,""))</f>
        <v/>
      </c>
      <c r="H1872" s="17">
        <f>IFERROR(IF(D1872="Sale",E1872*INDEX(Products!$E$6:$E$205,MATCH(C1872,Products!$B$6:$B$205,0)),IF(D1872="Return",-E1872*INDEX(Products!$E$6:$E$205,MATCH(C1872,Products!$B$6:$B$205,0)),"")),"")</f>
        <v/>
      </c>
      <c r="I1872" s="24" t="n"/>
      <c r="J1872" s="1" t="n"/>
    </row>
    <row r="1873">
      <c r="A1873" s="1" t="n"/>
      <c r="B1873" s="30" t="n"/>
      <c r="C1873" s="23" t="n"/>
      <c r="D1873" s="23" t="n"/>
      <c r="E1873" s="26" t="n"/>
      <c r="F1873" s="25" t="n"/>
      <c r="G1873" s="17">
        <f>IF(D1873="Sale",E1873*F1873,IF(D1873="Return",-E1873*F1873,""))</f>
        <v/>
      </c>
      <c r="H1873" s="17">
        <f>IFERROR(IF(D1873="Sale",E1873*INDEX(Products!$E$6:$E$205,MATCH(C1873,Products!$B$6:$B$205,0)),IF(D1873="Return",-E1873*INDEX(Products!$E$6:$E$205,MATCH(C1873,Products!$B$6:$B$205,0)),"")),"")</f>
        <v/>
      </c>
      <c r="I1873" s="24" t="n"/>
      <c r="J1873" s="1" t="n"/>
    </row>
    <row r="1874">
      <c r="A1874" s="1" t="n"/>
      <c r="B1874" s="30" t="n"/>
      <c r="C1874" s="23" t="n"/>
      <c r="D1874" s="23" t="n"/>
      <c r="E1874" s="26" t="n"/>
      <c r="F1874" s="25" t="n"/>
      <c r="G1874" s="17">
        <f>IF(D1874="Sale",E1874*F1874,IF(D1874="Return",-E1874*F1874,""))</f>
        <v/>
      </c>
      <c r="H1874" s="17">
        <f>IFERROR(IF(D1874="Sale",E1874*INDEX(Products!$E$6:$E$205,MATCH(C1874,Products!$B$6:$B$205,0)),IF(D1874="Return",-E1874*INDEX(Products!$E$6:$E$205,MATCH(C1874,Products!$B$6:$B$205,0)),"")),"")</f>
        <v/>
      </c>
      <c r="I1874" s="24" t="n"/>
      <c r="J1874" s="1" t="n"/>
    </row>
    <row r="1875">
      <c r="A1875" s="1" t="n"/>
      <c r="B1875" s="30" t="n"/>
      <c r="C1875" s="23" t="n"/>
      <c r="D1875" s="23" t="n"/>
      <c r="E1875" s="26" t="n"/>
      <c r="F1875" s="25" t="n"/>
      <c r="G1875" s="17">
        <f>IF(D1875="Sale",E1875*F1875,IF(D1875="Return",-E1875*F1875,""))</f>
        <v/>
      </c>
      <c r="H1875" s="17">
        <f>IFERROR(IF(D1875="Sale",E1875*INDEX(Products!$E$6:$E$205,MATCH(C1875,Products!$B$6:$B$205,0)),IF(D1875="Return",-E1875*INDEX(Products!$E$6:$E$205,MATCH(C1875,Products!$B$6:$B$205,0)),"")),"")</f>
        <v/>
      </c>
      <c r="I1875" s="24" t="n"/>
      <c r="J1875" s="1" t="n"/>
    </row>
    <row r="1876">
      <c r="A1876" s="1" t="n"/>
      <c r="B1876" s="30" t="n"/>
      <c r="C1876" s="23" t="n"/>
      <c r="D1876" s="23" t="n"/>
      <c r="E1876" s="26" t="n"/>
      <c r="F1876" s="25" t="n"/>
      <c r="G1876" s="17">
        <f>IF(D1876="Sale",E1876*F1876,IF(D1876="Return",-E1876*F1876,""))</f>
        <v/>
      </c>
      <c r="H1876" s="17">
        <f>IFERROR(IF(D1876="Sale",E1876*INDEX(Products!$E$6:$E$205,MATCH(C1876,Products!$B$6:$B$205,0)),IF(D1876="Return",-E1876*INDEX(Products!$E$6:$E$205,MATCH(C1876,Products!$B$6:$B$205,0)),"")),"")</f>
        <v/>
      </c>
      <c r="I1876" s="24" t="n"/>
      <c r="J1876" s="1" t="n"/>
    </row>
    <row r="1877">
      <c r="A1877" s="1" t="n"/>
      <c r="B1877" s="30" t="n"/>
      <c r="C1877" s="23" t="n"/>
      <c r="D1877" s="23" t="n"/>
      <c r="E1877" s="26" t="n"/>
      <c r="F1877" s="25" t="n"/>
      <c r="G1877" s="17">
        <f>IF(D1877="Sale",E1877*F1877,IF(D1877="Return",-E1877*F1877,""))</f>
        <v/>
      </c>
      <c r="H1877" s="17">
        <f>IFERROR(IF(D1877="Sale",E1877*INDEX(Products!$E$6:$E$205,MATCH(C1877,Products!$B$6:$B$205,0)),IF(D1877="Return",-E1877*INDEX(Products!$E$6:$E$205,MATCH(C1877,Products!$B$6:$B$205,0)),"")),"")</f>
        <v/>
      </c>
      <c r="I1877" s="24" t="n"/>
      <c r="J1877" s="1" t="n"/>
    </row>
    <row r="1878">
      <c r="A1878" s="1" t="n"/>
      <c r="B1878" s="30" t="n"/>
      <c r="C1878" s="23" t="n"/>
      <c r="D1878" s="23" t="n"/>
      <c r="E1878" s="26" t="n"/>
      <c r="F1878" s="25" t="n"/>
      <c r="G1878" s="17">
        <f>IF(D1878="Sale",E1878*F1878,IF(D1878="Return",-E1878*F1878,""))</f>
        <v/>
      </c>
      <c r="H1878" s="17">
        <f>IFERROR(IF(D1878="Sale",E1878*INDEX(Products!$E$6:$E$205,MATCH(C1878,Products!$B$6:$B$205,0)),IF(D1878="Return",-E1878*INDEX(Products!$E$6:$E$205,MATCH(C1878,Products!$B$6:$B$205,0)),"")),"")</f>
        <v/>
      </c>
      <c r="I1878" s="24" t="n"/>
      <c r="J1878" s="1" t="n"/>
    </row>
    <row r="1879">
      <c r="A1879" s="1" t="n"/>
      <c r="B1879" s="30" t="n"/>
      <c r="C1879" s="23" t="n"/>
      <c r="D1879" s="23" t="n"/>
      <c r="E1879" s="26" t="n"/>
      <c r="F1879" s="25" t="n"/>
      <c r="G1879" s="17">
        <f>IF(D1879="Sale",E1879*F1879,IF(D1879="Return",-E1879*F1879,""))</f>
        <v/>
      </c>
      <c r="H1879" s="17">
        <f>IFERROR(IF(D1879="Sale",E1879*INDEX(Products!$E$6:$E$205,MATCH(C1879,Products!$B$6:$B$205,0)),IF(D1879="Return",-E1879*INDEX(Products!$E$6:$E$205,MATCH(C1879,Products!$B$6:$B$205,0)),"")),"")</f>
        <v/>
      </c>
      <c r="I1879" s="24" t="n"/>
      <c r="J1879" s="1" t="n"/>
    </row>
    <row r="1880">
      <c r="A1880" s="1" t="n"/>
      <c r="B1880" s="30" t="n"/>
      <c r="C1880" s="23" t="n"/>
      <c r="D1880" s="23" t="n"/>
      <c r="E1880" s="26" t="n"/>
      <c r="F1880" s="25" t="n"/>
      <c r="G1880" s="17">
        <f>IF(D1880="Sale",E1880*F1880,IF(D1880="Return",-E1880*F1880,""))</f>
        <v/>
      </c>
      <c r="H1880" s="17">
        <f>IFERROR(IF(D1880="Sale",E1880*INDEX(Products!$E$6:$E$205,MATCH(C1880,Products!$B$6:$B$205,0)),IF(D1880="Return",-E1880*INDEX(Products!$E$6:$E$205,MATCH(C1880,Products!$B$6:$B$205,0)),"")),"")</f>
        <v/>
      </c>
      <c r="I1880" s="24" t="n"/>
      <c r="J1880" s="1" t="n"/>
    </row>
    <row r="1881">
      <c r="A1881" s="1" t="n"/>
      <c r="B1881" s="30" t="n"/>
      <c r="C1881" s="23" t="n"/>
      <c r="D1881" s="23" t="n"/>
      <c r="E1881" s="26" t="n"/>
      <c r="F1881" s="25" t="n"/>
      <c r="G1881" s="17">
        <f>IF(D1881="Sale",E1881*F1881,IF(D1881="Return",-E1881*F1881,""))</f>
        <v/>
      </c>
      <c r="H1881" s="17">
        <f>IFERROR(IF(D1881="Sale",E1881*INDEX(Products!$E$6:$E$205,MATCH(C1881,Products!$B$6:$B$205,0)),IF(D1881="Return",-E1881*INDEX(Products!$E$6:$E$205,MATCH(C1881,Products!$B$6:$B$205,0)),"")),"")</f>
        <v/>
      </c>
      <c r="I1881" s="24" t="n"/>
      <c r="J1881" s="1" t="n"/>
    </row>
    <row r="1882">
      <c r="A1882" s="1" t="n"/>
      <c r="B1882" s="30" t="n"/>
      <c r="C1882" s="23" t="n"/>
      <c r="D1882" s="23" t="n"/>
      <c r="E1882" s="26" t="n"/>
      <c r="F1882" s="25" t="n"/>
      <c r="G1882" s="17">
        <f>IF(D1882="Sale",E1882*F1882,IF(D1882="Return",-E1882*F1882,""))</f>
        <v/>
      </c>
      <c r="H1882" s="17">
        <f>IFERROR(IF(D1882="Sale",E1882*INDEX(Products!$E$6:$E$205,MATCH(C1882,Products!$B$6:$B$205,0)),IF(D1882="Return",-E1882*INDEX(Products!$E$6:$E$205,MATCH(C1882,Products!$B$6:$B$205,0)),"")),"")</f>
        <v/>
      </c>
      <c r="I1882" s="24" t="n"/>
      <c r="J1882" s="1" t="n"/>
    </row>
    <row r="1883">
      <c r="A1883" s="1" t="n"/>
      <c r="B1883" s="30" t="n"/>
      <c r="C1883" s="23" t="n"/>
      <c r="D1883" s="23" t="n"/>
      <c r="E1883" s="26" t="n"/>
      <c r="F1883" s="25" t="n"/>
      <c r="G1883" s="17">
        <f>IF(D1883="Sale",E1883*F1883,IF(D1883="Return",-E1883*F1883,""))</f>
        <v/>
      </c>
      <c r="H1883" s="17">
        <f>IFERROR(IF(D1883="Sale",E1883*INDEX(Products!$E$6:$E$205,MATCH(C1883,Products!$B$6:$B$205,0)),IF(D1883="Return",-E1883*INDEX(Products!$E$6:$E$205,MATCH(C1883,Products!$B$6:$B$205,0)),"")),"")</f>
        <v/>
      </c>
      <c r="I1883" s="24" t="n"/>
      <c r="J1883" s="1" t="n"/>
    </row>
    <row r="1884">
      <c r="A1884" s="1" t="n"/>
      <c r="B1884" s="30" t="n"/>
      <c r="C1884" s="23" t="n"/>
      <c r="D1884" s="23" t="n"/>
      <c r="E1884" s="26" t="n"/>
      <c r="F1884" s="25" t="n"/>
      <c r="G1884" s="17">
        <f>IF(D1884="Sale",E1884*F1884,IF(D1884="Return",-E1884*F1884,""))</f>
        <v/>
      </c>
      <c r="H1884" s="17">
        <f>IFERROR(IF(D1884="Sale",E1884*INDEX(Products!$E$6:$E$205,MATCH(C1884,Products!$B$6:$B$205,0)),IF(D1884="Return",-E1884*INDEX(Products!$E$6:$E$205,MATCH(C1884,Products!$B$6:$B$205,0)),"")),"")</f>
        <v/>
      </c>
      <c r="I1884" s="24" t="n"/>
      <c r="J1884" s="1" t="n"/>
    </row>
    <row r="1885">
      <c r="A1885" s="1" t="n"/>
      <c r="B1885" s="30" t="n"/>
      <c r="C1885" s="23" t="n"/>
      <c r="D1885" s="23" t="n"/>
      <c r="E1885" s="26" t="n"/>
      <c r="F1885" s="25" t="n"/>
      <c r="G1885" s="17">
        <f>IF(D1885="Sale",E1885*F1885,IF(D1885="Return",-E1885*F1885,""))</f>
        <v/>
      </c>
      <c r="H1885" s="17">
        <f>IFERROR(IF(D1885="Sale",E1885*INDEX(Products!$E$6:$E$205,MATCH(C1885,Products!$B$6:$B$205,0)),IF(D1885="Return",-E1885*INDEX(Products!$E$6:$E$205,MATCH(C1885,Products!$B$6:$B$205,0)),"")),"")</f>
        <v/>
      </c>
      <c r="I1885" s="24" t="n"/>
      <c r="J1885" s="1" t="n"/>
    </row>
    <row r="1886">
      <c r="A1886" s="1" t="n"/>
      <c r="B1886" s="30" t="n"/>
      <c r="C1886" s="23" t="n"/>
      <c r="D1886" s="23" t="n"/>
      <c r="E1886" s="26" t="n"/>
      <c r="F1886" s="25" t="n"/>
      <c r="G1886" s="17">
        <f>IF(D1886="Sale",E1886*F1886,IF(D1886="Return",-E1886*F1886,""))</f>
        <v/>
      </c>
      <c r="H1886" s="17">
        <f>IFERROR(IF(D1886="Sale",E1886*INDEX(Products!$E$6:$E$205,MATCH(C1886,Products!$B$6:$B$205,0)),IF(D1886="Return",-E1886*INDEX(Products!$E$6:$E$205,MATCH(C1886,Products!$B$6:$B$205,0)),"")),"")</f>
        <v/>
      </c>
      <c r="I1886" s="24" t="n"/>
      <c r="J1886" s="1" t="n"/>
    </row>
    <row r="1887">
      <c r="A1887" s="1" t="n"/>
      <c r="B1887" s="30" t="n"/>
      <c r="C1887" s="23" t="n"/>
      <c r="D1887" s="23" t="n"/>
      <c r="E1887" s="26" t="n"/>
      <c r="F1887" s="25" t="n"/>
      <c r="G1887" s="17">
        <f>IF(D1887="Sale",E1887*F1887,IF(D1887="Return",-E1887*F1887,""))</f>
        <v/>
      </c>
      <c r="H1887" s="17">
        <f>IFERROR(IF(D1887="Sale",E1887*INDEX(Products!$E$6:$E$205,MATCH(C1887,Products!$B$6:$B$205,0)),IF(D1887="Return",-E1887*INDEX(Products!$E$6:$E$205,MATCH(C1887,Products!$B$6:$B$205,0)),"")),"")</f>
        <v/>
      </c>
      <c r="I1887" s="24" t="n"/>
      <c r="J1887" s="1" t="n"/>
    </row>
    <row r="1888">
      <c r="A1888" s="1" t="n"/>
      <c r="B1888" s="30" t="n"/>
      <c r="C1888" s="23" t="n"/>
      <c r="D1888" s="23" t="n"/>
      <c r="E1888" s="26" t="n"/>
      <c r="F1888" s="25" t="n"/>
      <c r="G1888" s="17">
        <f>IF(D1888="Sale",E1888*F1888,IF(D1888="Return",-E1888*F1888,""))</f>
        <v/>
      </c>
      <c r="H1888" s="17">
        <f>IFERROR(IF(D1888="Sale",E1888*INDEX(Products!$E$6:$E$205,MATCH(C1888,Products!$B$6:$B$205,0)),IF(D1888="Return",-E1888*INDEX(Products!$E$6:$E$205,MATCH(C1888,Products!$B$6:$B$205,0)),"")),"")</f>
        <v/>
      </c>
      <c r="I1888" s="24" t="n"/>
      <c r="J1888" s="1" t="n"/>
    </row>
    <row r="1889">
      <c r="A1889" s="1" t="n"/>
      <c r="B1889" s="30" t="n"/>
      <c r="C1889" s="23" t="n"/>
      <c r="D1889" s="23" t="n"/>
      <c r="E1889" s="26" t="n"/>
      <c r="F1889" s="25" t="n"/>
      <c r="G1889" s="17">
        <f>IF(D1889="Sale",E1889*F1889,IF(D1889="Return",-E1889*F1889,""))</f>
        <v/>
      </c>
      <c r="H1889" s="17">
        <f>IFERROR(IF(D1889="Sale",E1889*INDEX(Products!$E$6:$E$205,MATCH(C1889,Products!$B$6:$B$205,0)),IF(D1889="Return",-E1889*INDEX(Products!$E$6:$E$205,MATCH(C1889,Products!$B$6:$B$205,0)),"")),"")</f>
        <v/>
      </c>
      <c r="I1889" s="24" t="n"/>
      <c r="J1889" s="1" t="n"/>
    </row>
    <row r="1890">
      <c r="A1890" s="1" t="n"/>
      <c r="B1890" s="30" t="n"/>
      <c r="C1890" s="23" t="n"/>
      <c r="D1890" s="23" t="n"/>
      <c r="E1890" s="26" t="n"/>
      <c r="F1890" s="25" t="n"/>
      <c r="G1890" s="17">
        <f>IF(D1890="Sale",E1890*F1890,IF(D1890="Return",-E1890*F1890,""))</f>
        <v/>
      </c>
      <c r="H1890" s="17">
        <f>IFERROR(IF(D1890="Sale",E1890*INDEX(Products!$E$6:$E$205,MATCH(C1890,Products!$B$6:$B$205,0)),IF(D1890="Return",-E1890*INDEX(Products!$E$6:$E$205,MATCH(C1890,Products!$B$6:$B$205,0)),"")),"")</f>
        <v/>
      </c>
      <c r="I1890" s="24" t="n"/>
      <c r="J1890" s="1" t="n"/>
    </row>
    <row r="1891">
      <c r="A1891" s="1" t="n"/>
      <c r="B1891" s="30" t="n"/>
      <c r="C1891" s="23" t="n"/>
      <c r="D1891" s="23" t="n"/>
      <c r="E1891" s="26" t="n"/>
      <c r="F1891" s="25" t="n"/>
      <c r="G1891" s="17">
        <f>IF(D1891="Sale",E1891*F1891,IF(D1891="Return",-E1891*F1891,""))</f>
        <v/>
      </c>
      <c r="H1891" s="17">
        <f>IFERROR(IF(D1891="Sale",E1891*INDEX(Products!$E$6:$E$205,MATCH(C1891,Products!$B$6:$B$205,0)),IF(D1891="Return",-E1891*INDEX(Products!$E$6:$E$205,MATCH(C1891,Products!$B$6:$B$205,0)),"")),"")</f>
        <v/>
      </c>
      <c r="I1891" s="24" t="n"/>
      <c r="J1891" s="1" t="n"/>
    </row>
    <row r="1892">
      <c r="A1892" s="1" t="n"/>
      <c r="B1892" s="30" t="n"/>
      <c r="C1892" s="23" t="n"/>
      <c r="D1892" s="23" t="n"/>
      <c r="E1892" s="26" t="n"/>
      <c r="F1892" s="25" t="n"/>
      <c r="G1892" s="17">
        <f>IF(D1892="Sale",E1892*F1892,IF(D1892="Return",-E1892*F1892,""))</f>
        <v/>
      </c>
      <c r="H1892" s="17">
        <f>IFERROR(IF(D1892="Sale",E1892*INDEX(Products!$E$6:$E$205,MATCH(C1892,Products!$B$6:$B$205,0)),IF(D1892="Return",-E1892*INDEX(Products!$E$6:$E$205,MATCH(C1892,Products!$B$6:$B$205,0)),"")),"")</f>
        <v/>
      </c>
      <c r="I1892" s="24" t="n"/>
      <c r="J1892" s="1" t="n"/>
    </row>
    <row r="1893">
      <c r="A1893" s="1" t="n"/>
      <c r="B1893" s="30" t="n"/>
      <c r="C1893" s="23" t="n"/>
      <c r="D1893" s="23" t="n"/>
      <c r="E1893" s="26" t="n"/>
      <c r="F1893" s="25" t="n"/>
      <c r="G1893" s="17">
        <f>IF(D1893="Sale",E1893*F1893,IF(D1893="Return",-E1893*F1893,""))</f>
        <v/>
      </c>
      <c r="H1893" s="17">
        <f>IFERROR(IF(D1893="Sale",E1893*INDEX(Products!$E$6:$E$205,MATCH(C1893,Products!$B$6:$B$205,0)),IF(D1893="Return",-E1893*INDEX(Products!$E$6:$E$205,MATCH(C1893,Products!$B$6:$B$205,0)),"")),"")</f>
        <v/>
      </c>
      <c r="I1893" s="24" t="n"/>
      <c r="J1893" s="1" t="n"/>
    </row>
    <row r="1894">
      <c r="A1894" s="1" t="n"/>
      <c r="B1894" s="30" t="n"/>
      <c r="C1894" s="23" t="n"/>
      <c r="D1894" s="23" t="n"/>
      <c r="E1894" s="26" t="n"/>
      <c r="F1894" s="25" t="n"/>
      <c r="G1894" s="17">
        <f>IF(D1894="Sale",E1894*F1894,IF(D1894="Return",-E1894*F1894,""))</f>
        <v/>
      </c>
      <c r="H1894" s="17">
        <f>IFERROR(IF(D1894="Sale",E1894*INDEX(Products!$E$6:$E$205,MATCH(C1894,Products!$B$6:$B$205,0)),IF(D1894="Return",-E1894*INDEX(Products!$E$6:$E$205,MATCH(C1894,Products!$B$6:$B$205,0)),"")),"")</f>
        <v/>
      </c>
      <c r="I1894" s="24" t="n"/>
      <c r="J1894" s="1" t="n"/>
    </row>
    <row r="1895">
      <c r="A1895" s="1" t="n"/>
      <c r="B1895" s="30" t="n"/>
      <c r="C1895" s="23" t="n"/>
      <c r="D1895" s="23" t="n"/>
      <c r="E1895" s="26" t="n"/>
      <c r="F1895" s="25" t="n"/>
      <c r="G1895" s="17">
        <f>IF(D1895="Sale",E1895*F1895,IF(D1895="Return",-E1895*F1895,""))</f>
        <v/>
      </c>
      <c r="H1895" s="17">
        <f>IFERROR(IF(D1895="Sale",E1895*INDEX(Products!$E$6:$E$205,MATCH(C1895,Products!$B$6:$B$205,0)),IF(D1895="Return",-E1895*INDEX(Products!$E$6:$E$205,MATCH(C1895,Products!$B$6:$B$205,0)),"")),"")</f>
        <v/>
      </c>
      <c r="I1895" s="24" t="n"/>
      <c r="J1895" s="1" t="n"/>
    </row>
    <row r="1896">
      <c r="A1896" s="1" t="n"/>
      <c r="B1896" s="30" t="n"/>
      <c r="C1896" s="23" t="n"/>
      <c r="D1896" s="23" t="n"/>
      <c r="E1896" s="26" t="n"/>
      <c r="F1896" s="25" t="n"/>
      <c r="G1896" s="17">
        <f>IF(D1896="Sale",E1896*F1896,IF(D1896="Return",-E1896*F1896,""))</f>
        <v/>
      </c>
      <c r="H1896" s="17">
        <f>IFERROR(IF(D1896="Sale",E1896*INDEX(Products!$E$6:$E$205,MATCH(C1896,Products!$B$6:$B$205,0)),IF(D1896="Return",-E1896*INDEX(Products!$E$6:$E$205,MATCH(C1896,Products!$B$6:$B$205,0)),"")),"")</f>
        <v/>
      </c>
      <c r="I1896" s="24" t="n"/>
      <c r="J1896" s="1" t="n"/>
    </row>
    <row r="1897">
      <c r="A1897" s="1" t="n"/>
      <c r="B1897" s="30" t="n"/>
      <c r="C1897" s="23" t="n"/>
      <c r="D1897" s="23" t="n"/>
      <c r="E1897" s="26" t="n"/>
      <c r="F1897" s="25" t="n"/>
      <c r="G1897" s="17">
        <f>IF(D1897="Sale",E1897*F1897,IF(D1897="Return",-E1897*F1897,""))</f>
        <v/>
      </c>
      <c r="H1897" s="17">
        <f>IFERROR(IF(D1897="Sale",E1897*INDEX(Products!$E$6:$E$205,MATCH(C1897,Products!$B$6:$B$205,0)),IF(D1897="Return",-E1897*INDEX(Products!$E$6:$E$205,MATCH(C1897,Products!$B$6:$B$205,0)),"")),"")</f>
        <v/>
      </c>
      <c r="I1897" s="24" t="n"/>
      <c r="J1897" s="1" t="n"/>
    </row>
    <row r="1898">
      <c r="A1898" s="1" t="n"/>
      <c r="B1898" s="30" t="n"/>
      <c r="C1898" s="23" t="n"/>
      <c r="D1898" s="23" t="n"/>
      <c r="E1898" s="26" t="n"/>
      <c r="F1898" s="25" t="n"/>
      <c r="G1898" s="17">
        <f>IF(D1898="Sale",E1898*F1898,IF(D1898="Return",-E1898*F1898,""))</f>
        <v/>
      </c>
      <c r="H1898" s="17">
        <f>IFERROR(IF(D1898="Sale",E1898*INDEX(Products!$E$6:$E$205,MATCH(C1898,Products!$B$6:$B$205,0)),IF(D1898="Return",-E1898*INDEX(Products!$E$6:$E$205,MATCH(C1898,Products!$B$6:$B$205,0)),"")),"")</f>
        <v/>
      </c>
      <c r="I1898" s="24" t="n"/>
      <c r="J1898" s="1" t="n"/>
    </row>
    <row r="1899">
      <c r="A1899" s="1" t="n"/>
      <c r="B1899" s="30" t="n"/>
      <c r="C1899" s="23" t="n"/>
      <c r="D1899" s="23" t="n"/>
      <c r="E1899" s="26" t="n"/>
      <c r="F1899" s="25" t="n"/>
      <c r="G1899" s="17">
        <f>IF(D1899="Sale",E1899*F1899,IF(D1899="Return",-E1899*F1899,""))</f>
        <v/>
      </c>
      <c r="H1899" s="17">
        <f>IFERROR(IF(D1899="Sale",E1899*INDEX(Products!$E$6:$E$205,MATCH(C1899,Products!$B$6:$B$205,0)),IF(D1899="Return",-E1899*INDEX(Products!$E$6:$E$205,MATCH(C1899,Products!$B$6:$B$205,0)),"")),"")</f>
        <v/>
      </c>
      <c r="I1899" s="24" t="n"/>
      <c r="J1899" s="1" t="n"/>
    </row>
    <row r="1900">
      <c r="A1900" s="1" t="n"/>
      <c r="B1900" s="30" t="n"/>
      <c r="C1900" s="23" t="n"/>
      <c r="D1900" s="23" t="n"/>
      <c r="E1900" s="26" t="n"/>
      <c r="F1900" s="25" t="n"/>
      <c r="G1900" s="17">
        <f>IF(D1900="Sale",E1900*F1900,IF(D1900="Return",-E1900*F1900,""))</f>
        <v/>
      </c>
      <c r="H1900" s="17">
        <f>IFERROR(IF(D1900="Sale",E1900*INDEX(Products!$E$6:$E$205,MATCH(C1900,Products!$B$6:$B$205,0)),IF(D1900="Return",-E1900*INDEX(Products!$E$6:$E$205,MATCH(C1900,Products!$B$6:$B$205,0)),"")),"")</f>
        <v/>
      </c>
      <c r="I1900" s="24" t="n"/>
      <c r="J1900" s="1" t="n"/>
    </row>
    <row r="1901">
      <c r="A1901" s="1" t="n"/>
      <c r="B1901" s="30" t="n"/>
      <c r="C1901" s="23" t="n"/>
      <c r="D1901" s="23" t="n"/>
      <c r="E1901" s="26" t="n"/>
      <c r="F1901" s="25" t="n"/>
      <c r="G1901" s="17">
        <f>IF(D1901="Sale",E1901*F1901,IF(D1901="Return",-E1901*F1901,""))</f>
        <v/>
      </c>
      <c r="H1901" s="17">
        <f>IFERROR(IF(D1901="Sale",E1901*INDEX(Products!$E$6:$E$205,MATCH(C1901,Products!$B$6:$B$205,0)),IF(D1901="Return",-E1901*INDEX(Products!$E$6:$E$205,MATCH(C1901,Products!$B$6:$B$205,0)),"")),"")</f>
        <v/>
      </c>
      <c r="I1901" s="24" t="n"/>
      <c r="J1901" s="1" t="n"/>
    </row>
    <row r="1902">
      <c r="A1902" s="1" t="n"/>
      <c r="B1902" s="30" t="n"/>
      <c r="C1902" s="23" t="n"/>
      <c r="D1902" s="23" t="n"/>
      <c r="E1902" s="26" t="n"/>
      <c r="F1902" s="25" t="n"/>
      <c r="G1902" s="17">
        <f>IF(D1902="Sale",E1902*F1902,IF(D1902="Return",-E1902*F1902,""))</f>
        <v/>
      </c>
      <c r="H1902" s="17">
        <f>IFERROR(IF(D1902="Sale",E1902*INDEX(Products!$E$6:$E$205,MATCH(C1902,Products!$B$6:$B$205,0)),IF(D1902="Return",-E1902*INDEX(Products!$E$6:$E$205,MATCH(C1902,Products!$B$6:$B$205,0)),"")),"")</f>
        <v/>
      </c>
      <c r="I1902" s="24" t="n"/>
      <c r="J1902" s="1" t="n"/>
    </row>
    <row r="1903">
      <c r="A1903" s="1" t="n"/>
      <c r="B1903" s="30" t="n"/>
      <c r="C1903" s="23" t="n"/>
      <c r="D1903" s="23" t="n"/>
      <c r="E1903" s="26" t="n"/>
      <c r="F1903" s="25" t="n"/>
      <c r="G1903" s="17">
        <f>IF(D1903="Sale",E1903*F1903,IF(D1903="Return",-E1903*F1903,""))</f>
        <v/>
      </c>
      <c r="H1903" s="17">
        <f>IFERROR(IF(D1903="Sale",E1903*INDEX(Products!$E$6:$E$205,MATCH(C1903,Products!$B$6:$B$205,0)),IF(D1903="Return",-E1903*INDEX(Products!$E$6:$E$205,MATCH(C1903,Products!$B$6:$B$205,0)),"")),"")</f>
        <v/>
      </c>
      <c r="I1903" s="24" t="n"/>
      <c r="J1903" s="1" t="n"/>
    </row>
    <row r="1904">
      <c r="A1904" s="1" t="n"/>
      <c r="B1904" s="30" t="n"/>
      <c r="C1904" s="23" t="n"/>
      <c r="D1904" s="23" t="n"/>
      <c r="E1904" s="26" t="n"/>
      <c r="F1904" s="25" t="n"/>
      <c r="G1904" s="17">
        <f>IF(D1904="Sale",E1904*F1904,IF(D1904="Return",-E1904*F1904,""))</f>
        <v/>
      </c>
      <c r="H1904" s="17">
        <f>IFERROR(IF(D1904="Sale",E1904*INDEX(Products!$E$6:$E$205,MATCH(C1904,Products!$B$6:$B$205,0)),IF(D1904="Return",-E1904*INDEX(Products!$E$6:$E$205,MATCH(C1904,Products!$B$6:$B$205,0)),"")),"")</f>
        <v/>
      </c>
      <c r="I1904" s="24" t="n"/>
      <c r="J1904" s="1" t="n"/>
    </row>
    <row r="1905">
      <c r="A1905" s="1" t="n"/>
      <c r="B1905" s="30" t="n"/>
      <c r="C1905" s="23" t="n"/>
      <c r="D1905" s="23" t="n"/>
      <c r="E1905" s="26" t="n"/>
      <c r="F1905" s="25" t="n"/>
      <c r="G1905" s="17">
        <f>IF(D1905="Sale",E1905*F1905,IF(D1905="Return",-E1905*F1905,""))</f>
        <v/>
      </c>
      <c r="H1905" s="17">
        <f>IFERROR(IF(D1905="Sale",E1905*INDEX(Products!$E$6:$E$205,MATCH(C1905,Products!$B$6:$B$205,0)),IF(D1905="Return",-E1905*INDEX(Products!$E$6:$E$205,MATCH(C1905,Products!$B$6:$B$205,0)),"")),"")</f>
        <v/>
      </c>
      <c r="I1905" s="24" t="n"/>
      <c r="J1905" s="1" t="n"/>
    </row>
    <row r="1906">
      <c r="A1906" s="1" t="n"/>
      <c r="B1906" s="30" t="n"/>
      <c r="C1906" s="23" t="n"/>
      <c r="D1906" s="23" t="n"/>
      <c r="E1906" s="26" t="n"/>
      <c r="F1906" s="25" t="n"/>
      <c r="G1906" s="17">
        <f>IF(D1906="Sale",E1906*F1906,IF(D1906="Return",-E1906*F1906,""))</f>
        <v/>
      </c>
      <c r="H1906" s="17">
        <f>IFERROR(IF(D1906="Sale",E1906*INDEX(Products!$E$6:$E$205,MATCH(C1906,Products!$B$6:$B$205,0)),IF(D1906="Return",-E1906*INDEX(Products!$E$6:$E$205,MATCH(C1906,Products!$B$6:$B$205,0)),"")),"")</f>
        <v/>
      </c>
      <c r="I1906" s="24" t="n"/>
      <c r="J1906" s="1" t="n"/>
    </row>
    <row r="1907">
      <c r="A1907" s="1" t="n"/>
      <c r="B1907" s="30" t="n"/>
      <c r="C1907" s="23" t="n"/>
      <c r="D1907" s="23" t="n"/>
      <c r="E1907" s="26" t="n"/>
      <c r="F1907" s="25" t="n"/>
      <c r="G1907" s="17">
        <f>IF(D1907="Sale",E1907*F1907,IF(D1907="Return",-E1907*F1907,""))</f>
        <v/>
      </c>
      <c r="H1907" s="17">
        <f>IFERROR(IF(D1907="Sale",E1907*INDEX(Products!$E$6:$E$205,MATCH(C1907,Products!$B$6:$B$205,0)),IF(D1907="Return",-E1907*INDEX(Products!$E$6:$E$205,MATCH(C1907,Products!$B$6:$B$205,0)),"")),"")</f>
        <v/>
      </c>
      <c r="I1907" s="24" t="n"/>
      <c r="J1907" s="1" t="n"/>
    </row>
    <row r="1908">
      <c r="A1908" s="1" t="n"/>
      <c r="B1908" s="30" t="n"/>
      <c r="C1908" s="23" t="n"/>
      <c r="D1908" s="23" t="n"/>
      <c r="E1908" s="26" t="n"/>
      <c r="F1908" s="25" t="n"/>
      <c r="G1908" s="17">
        <f>IF(D1908="Sale",E1908*F1908,IF(D1908="Return",-E1908*F1908,""))</f>
        <v/>
      </c>
      <c r="H1908" s="17">
        <f>IFERROR(IF(D1908="Sale",E1908*INDEX(Products!$E$6:$E$205,MATCH(C1908,Products!$B$6:$B$205,0)),IF(D1908="Return",-E1908*INDEX(Products!$E$6:$E$205,MATCH(C1908,Products!$B$6:$B$205,0)),"")),"")</f>
        <v/>
      </c>
      <c r="I1908" s="24" t="n"/>
      <c r="J1908" s="1" t="n"/>
    </row>
    <row r="1909">
      <c r="A1909" s="1" t="n"/>
      <c r="B1909" s="30" t="n"/>
      <c r="C1909" s="23" t="n"/>
      <c r="D1909" s="23" t="n"/>
      <c r="E1909" s="26" t="n"/>
      <c r="F1909" s="25" t="n"/>
      <c r="G1909" s="17">
        <f>IF(D1909="Sale",E1909*F1909,IF(D1909="Return",-E1909*F1909,""))</f>
        <v/>
      </c>
      <c r="H1909" s="17">
        <f>IFERROR(IF(D1909="Sale",E1909*INDEX(Products!$E$6:$E$205,MATCH(C1909,Products!$B$6:$B$205,0)),IF(D1909="Return",-E1909*INDEX(Products!$E$6:$E$205,MATCH(C1909,Products!$B$6:$B$205,0)),"")),"")</f>
        <v/>
      </c>
      <c r="I1909" s="24" t="n"/>
      <c r="J1909" s="1" t="n"/>
    </row>
    <row r="1910">
      <c r="A1910" s="1" t="n"/>
      <c r="B1910" s="30" t="n"/>
      <c r="C1910" s="23" t="n"/>
      <c r="D1910" s="23" t="n"/>
      <c r="E1910" s="26" t="n"/>
      <c r="F1910" s="25" t="n"/>
      <c r="G1910" s="17">
        <f>IF(D1910="Sale",E1910*F1910,IF(D1910="Return",-E1910*F1910,""))</f>
        <v/>
      </c>
      <c r="H1910" s="17">
        <f>IFERROR(IF(D1910="Sale",E1910*INDEX(Products!$E$6:$E$205,MATCH(C1910,Products!$B$6:$B$205,0)),IF(D1910="Return",-E1910*INDEX(Products!$E$6:$E$205,MATCH(C1910,Products!$B$6:$B$205,0)),"")),"")</f>
        <v/>
      </c>
      <c r="I1910" s="24" t="n"/>
      <c r="J1910" s="1" t="n"/>
    </row>
    <row r="1911">
      <c r="A1911" s="1" t="n"/>
      <c r="B1911" s="30" t="n"/>
      <c r="C1911" s="23" t="n"/>
      <c r="D1911" s="23" t="n"/>
      <c r="E1911" s="26" t="n"/>
      <c r="F1911" s="25" t="n"/>
      <c r="G1911" s="17">
        <f>IF(D1911="Sale",E1911*F1911,IF(D1911="Return",-E1911*F1911,""))</f>
        <v/>
      </c>
      <c r="H1911" s="17">
        <f>IFERROR(IF(D1911="Sale",E1911*INDEX(Products!$E$6:$E$205,MATCH(C1911,Products!$B$6:$B$205,0)),IF(D1911="Return",-E1911*INDEX(Products!$E$6:$E$205,MATCH(C1911,Products!$B$6:$B$205,0)),"")),"")</f>
        <v/>
      </c>
      <c r="I1911" s="24" t="n"/>
      <c r="J1911" s="1" t="n"/>
    </row>
    <row r="1912">
      <c r="A1912" s="1" t="n"/>
      <c r="B1912" s="30" t="n"/>
      <c r="C1912" s="23" t="n"/>
      <c r="D1912" s="23" t="n"/>
      <c r="E1912" s="26" t="n"/>
      <c r="F1912" s="25" t="n"/>
      <c r="G1912" s="17">
        <f>IF(D1912="Sale",E1912*F1912,IF(D1912="Return",-E1912*F1912,""))</f>
        <v/>
      </c>
      <c r="H1912" s="17">
        <f>IFERROR(IF(D1912="Sale",E1912*INDEX(Products!$E$6:$E$205,MATCH(C1912,Products!$B$6:$B$205,0)),IF(D1912="Return",-E1912*INDEX(Products!$E$6:$E$205,MATCH(C1912,Products!$B$6:$B$205,0)),"")),"")</f>
        <v/>
      </c>
      <c r="I1912" s="24" t="n"/>
      <c r="J1912" s="1" t="n"/>
    </row>
    <row r="1913">
      <c r="A1913" s="1" t="n"/>
      <c r="B1913" s="30" t="n"/>
      <c r="C1913" s="23" t="n"/>
      <c r="D1913" s="23" t="n"/>
      <c r="E1913" s="26" t="n"/>
      <c r="F1913" s="25" t="n"/>
      <c r="G1913" s="17">
        <f>IF(D1913="Sale",E1913*F1913,IF(D1913="Return",-E1913*F1913,""))</f>
        <v/>
      </c>
      <c r="H1913" s="17">
        <f>IFERROR(IF(D1913="Sale",E1913*INDEX(Products!$E$6:$E$205,MATCH(C1913,Products!$B$6:$B$205,0)),IF(D1913="Return",-E1913*INDEX(Products!$E$6:$E$205,MATCH(C1913,Products!$B$6:$B$205,0)),"")),"")</f>
        <v/>
      </c>
      <c r="I1913" s="24" t="n"/>
      <c r="J1913" s="1" t="n"/>
    </row>
    <row r="1914">
      <c r="A1914" s="1" t="n"/>
      <c r="B1914" s="30" t="n"/>
      <c r="C1914" s="23" t="n"/>
      <c r="D1914" s="23" t="n"/>
      <c r="E1914" s="26" t="n"/>
      <c r="F1914" s="25" t="n"/>
      <c r="G1914" s="17">
        <f>IF(D1914="Sale",E1914*F1914,IF(D1914="Return",-E1914*F1914,""))</f>
        <v/>
      </c>
      <c r="H1914" s="17">
        <f>IFERROR(IF(D1914="Sale",E1914*INDEX(Products!$E$6:$E$205,MATCH(C1914,Products!$B$6:$B$205,0)),IF(D1914="Return",-E1914*INDEX(Products!$E$6:$E$205,MATCH(C1914,Products!$B$6:$B$205,0)),"")),"")</f>
        <v/>
      </c>
      <c r="I1914" s="24" t="n"/>
      <c r="J1914" s="1" t="n"/>
    </row>
    <row r="1915">
      <c r="A1915" s="1" t="n"/>
      <c r="B1915" s="30" t="n"/>
      <c r="C1915" s="23" t="n"/>
      <c r="D1915" s="23" t="n"/>
      <c r="E1915" s="26" t="n"/>
      <c r="F1915" s="25" t="n"/>
      <c r="G1915" s="17">
        <f>IF(D1915="Sale",E1915*F1915,IF(D1915="Return",-E1915*F1915,""))</f>
        <v/>
      </c>
      <c r="H1915" s="17">
        <f>IFERROR(IF(D1915="Sale",E1915*INDEX(Products!$E$6:$E$205,MATCH(C1915,Products!$B$6:$B$205,0)),IF(D1915="Return",-E1915*INDEX(Products!$E$6:$E$205,MATCH(C1915,Products!$B$6:$B$205,0)),"")),"")</f>
        <v/>
      </c>
      <c r="I1915" s="24" t="n"/>
      <c r="J1915" s="1" t="n"/>
    </row>
    <row r="1916">
      <c r="A1916" s="1" t="n"/>
      <c r="B1916" s="30" t="n"/>
      <c r="C1916" s="23" t="n"/>
      <c r="D1916" s="23" t="n"/>
      <c r="E1916" s="26" t="n"/>
      <c r="F1916" s="25" t="n"/>
      <c r="G1916" s="17">
        <f>IF(D1916="Sale",E1916*F1916,IF(D1916="Return",-E1916*F1916,""))</f>
        <v/>
      </c>
      <c r="H1916" s="17">
        <f>IFERROR(IF(D1916="Sale",E1916*INDEX(Products!$E$6:$E$205,MATCH(C1916,Products!$B$6:$B$205,0)),IF(D1916="Return",-E1916*INDEX(Products!$E$6:$E$205,MATCH(C1916,Products!$B$6:$B$205,0)),"")),"")</f>
        <v/>
      </c>
      <c r="I1916" s="24" t="n"/>
      <c r="J1916" s="1" t="n"/>
    </row>
    <row r="1917">
      <c r="A1917" s="1" t="n"/>
      <c r="B1917" s="30" t="n"/>
      <c r="C1917" s="23" t="n"/>
      <c r="D1917" s="23" t="n"/>
      <c r="E1917" s="26" t="n"/>
      <c r="F1917" s="25" t="n"/>
      <c r="G1917" s="17">
        <f>IF(D1917="Sale",E1917*F1917,IF(D1917="Return",-E1917*F1917,""))</f>
        <v/>
      </c>
      <c r="H1917" s="17">
        <f>IFERROR(IF(D1917="Sale",E1917*INDEX(Products!$E$6:$E$205,MATCH(C1917,Products!$B$6:$B$205,0)),IF(D1917="Return",-E1917*INDEX(Products!$E$6:$E$205,MATCH(C1917,Products!$B$6:$B$205,0)),"")),"")</f>
        <v/>
      </c>
      <c r="I1917" s="24" t="n"/>
      <c r="J1917" s="1" t="n"/>
    </row>
    <row r="1918">
      <c r="A1918" s="1" t="n"/>
      <c r="B1918" s="30" t="n"/>
      <c r="C1918" s="23" t="n"/>
      <c r="D1918" s="23" t="n"/>
      <c r="E1918" s="26" t="n"/>
      <c r="F1918" s="25" t="n"/>
      <c r="G1918" s="17">
        <f>IF(D1918="Sale",E1918*F1918,IF(D1918="Return",-E1918*F1918,""))</f>
        <v/>
      </c>
      <c r="H1918" s="17">
        <f>IFERROR(IF(D1918="Sale",E1918*INDEX(Products!$E$6:$E$205,MATCH(C1918,Products!$B$6:$B$205,0)),IF(D1918="Return",-E1918*INDEX(Products!$E$6:$E$205,MATCH(C1918,Products!$B$6:$B$205,0)),"")),"")</f>
        <v/>
      </c>
      <c r="I1918" s="24" t="n"/>
      <c r="J1918" s="1" t="n"/>
    </row>
    <row r="1919">
      <c r="A1919" s="1" t="n"/>
      <c r="B1919" s="30" t="n"/>
      <c r="C1919" s="23" t="n"/>
      <c r="D1919" s="23" t="n"/>
      <c r="E1919" s="26" t="n"/>
      <c r="F1919" s="25" t="n"/>
      <c r="G1919" s="17">
        <f>IF(D1919="Sale",E1919*F1919,IF(D1919="Return",-E1919*F1919,""))</f>
        <v/>
      </c>
      <c r="H1919" s="17">
        <f>IFERROR(IF(D1919="Sale",E1919*INDEX(Products!$E$6:$E$205,MATCH(C1919,Products!$B$6:$B$205,0)),IF(D1919="Return",-E1919*INDEX(Products!$E$6:$E$205,MATCH(C1919,Products!$B$6:$B$205,0)),"")),"")</f>
        <v/>
      </c>
      <c r="I1919" s="24" t="n"/>
      <c r="J1919" s="1" t="n"/>
    </row>
    <row r="1920">
      <c r="A1920" s="1" t="n"/>
      <c r="B1920" s="30" t="n"/>
      <c r="C1920" s="23" t="n"/>
      <c r="D1920" s="23" t="n"/>
      <c r="E1920" s="26" t="n"/>
      <c r="F1920" s="25" t="n"/>
      <c r="G1920" s="17">
        <f>IF(D1920="Sale",E1920*F1920,IF(D1920="Return",-E1920*F1920,""))</f>
        <v/>
      </c>
      <c r="H1920" s="17">
        <f>IFERROR(IF(D1920="Sale",E1920*INDEX(Products!$E$6:$E$205,MATCH(C1920,Products!$B$6:$B$205,0)),IF(D1920="Return",-E1920*INDEX(Products!$E$6:$E$205,MATCH(C1920,Products!$B$6:$B$205,0)),"")),"")</f>
        <v/>
      </c>
      <c r="I1920" s="24" t="n"/>
      <c r="J1920" s="1" t="n"/>
    </row>
    <row r="1921">
      <c r="A1921" s="1" t="n"/>
      <c r="B1921" s="30" t="n"/>
      <c r="C1921" s="23" t="n"/>
      <c r="D1921" s="23" t="n"/>
      <c r="E1921" s="26" t="n"/>
      <c r="F1921" s="25" t="n"/>
      <c r="G1921" s="17">
        <f>IF(D1921="Sale",E1921*F1921,IF(D1921="Return",-E1921*F1921,""))</f>
        <v/>
      </c>
      <c r="H1921" s="17">
        <f>IFERROR(IF(D1921="Sale",E1921*INDEX(Products!$E$6:$E$205,MATCH(C1921,Products!$B$6:$B$205,0)),IF(D1921="Return",-E1921*INDEX(Products!$E$6:$E$205,MATCH(C1921,Products!$B$6:$B$205,0)),"")),"")</f>
        <v/>
      </c>
      <c r="I1921" s="24" t="n"/>
      <c r="J1921" s="1" t="n"/>
    </row>
    <row r="1922">
      <c r="A1922" s="1" t="n"/>
      <c r="B1922" s="30" t="n"/>
      <c r="C1922" s="23" t="n"/>
      <c r="D1922" s="23" t="n"/>
      <c r="E1922" s="26" t="n"/>
      <c r="F1922" s="25" t="n"/>
      <c r="G1922" s="17">
        <f>IF(D1922="Sale",E1922*F1922,IF(D1922="Return",-E1922*F1922,""))</f>
        <v/>
      </c>
      <c r="H1922" s="17">
        <f>IFERROR(IF(D1922="Sale",E1922*INDEX(Products!$E$6:$E$205,MATCH(C1922,Products!$B$6:$B$205,0)),IF(D1922="Return",-E1922*INDEX(Products!$E$6:$E$205,MATCH(C1922,Products!$B$6:$B$205,0)),"")),"")</f>
        <v/>
      </c>
      <c r="I1922" s="24" t="n"/>
      <c r="J1922" s="1" t="n"/>
    </row>
    <row r="1923">
      <c r="A1923" s="1" t="n"/>
      <c r="B1923" s="30" t="n"/>
      <c r="C1923" s="23" t="n"/>
      <c r="D1923" s="23" t="n"/>
      <c r="E1923" s="26" t="n"/>
      <c r="F1923" s="25" t="n"/>
      <c r="G1923" s="17">
        <f>IF(D1923="Sale",E1923*F1923,IF(D1923="Return",-E1923*F1923,""))</f>
        <v/>
      </c>
      <c r="H1923" s="17">
        <f>IFERROR(IF(D1923="Sale",E1923*INDEX(Products!$E$6:$E$205,MATCH(C1923,Products!$B$6:$B$205,0)),IF(D1923="Return",-E1923*INDEX(Products!$E$6:$E$205,MATCH(C1923,Products!$B$6:$B$205,0)),"")),"")</f>
        <v/>
      </c>
      <c r="I1923" s="24" t="n"/>
      <c r="J1923" s="1" t="n"/>
    </row>
    <row r="1924">
      <c r="A1924" s="1" t="n"/>
      <c r="B1924" s="30" t="n"/>
      <c r="C1924" s="23" t="n"/>
      <c r="D1924" s="23" t="n"/>
      <c r="E1924" s="26" t="n"/>
      <c r="F1924" s="25" t="n"/>
      <c r="G1924" s="17">
        <f>IF(D1924="Sale",E1924*F1924,IF(D1924="Return",-E1924*F1924,""))</f>
        <v/>
      </c>
      <c r="H1924" s="17">
        <f>IFERROR(IF(D1924="Sale",E1924*INDEX(Products!$E$6:$E$205,MATCH(C1924,Products!$B$6:$B$205,0)),IF(D1924="Return",-E1924*INDEX(Products!$E$6:$E$205,MATCH(C1924,Products!$B$6:$B$205,0)),"")),"")</f>
        <v/>
      </c>
      <c r="I1924" s="24" t="n"/>
      <c r="J1924" s="1" t="n"/>
    </row>
    <row r="1925">
      <c r="A1925" s="1" t="n"/>
      <c r="B1925" s="30" t="n"/>
      <c r="C1925" s="23" t="n"/>
      <c r="D1925" s="23" t="n"/>
      <c r="E1925" s="26" t="n"/>
      <c r="F1925" s="25" t="n"/>
      <c r="G1925" s="17">
        <f>IF(D1925="Sale",E1925*F1925,IF(D1925="Return",-E1925*F1925,""))</f>
        <v/>
      </c>
      <c r="H1925" s="17">
        <f>IFERROR(IF(D1925="Sale",E1925*INDEX(Products!$E$6:$E$205,MATCH(C1925,Products!$B$6:$B$205,0)),IF(D1925="Return",-E1925*INDEX(Products!$E$6:$E$205,MATCH(C1925,Products!$B$6:$B$205,0)),"")),"")</f>
        <v/>
      </c>
      <c r="I1925" s="24" t="n"/>
      <c r="J1925" s="1" t="n"/>
    </row>
    <row r="1926">
      <c r="A1926" s="1" t="n"/>
      <c r="B1926" s="30" t="n"/>
      <c r="C1926" s="23" t="n"/>
      <c r="D1926" s="23" t="n"/>
      <c r="E1926" s="26" t="n"/>
      <c r="F1926" s="25" t="n"/>
      <c r="G1926" s="17">
        <f>IF(D1926="Sale",E1926*F1926,IF(D1926="Return",-E1926*F1926,""))</f>
        <v/>
      </c>
      <c r="H1926" s="17">
        <f>IFERROR(IF(D1926="Sale",E1926*INDEX(Products!$E$6:$E$205,MATCH(C1926,Products!$B$6:$B$205,0)),IF(D1926="Return",-E1926*INDEX(Products!$E$6:$E$205,MATCH(C1926,Products!$B$6:$B$205,0)),"")),"")</f>
        <v/>
      </c>
      <c r="I1926" s="24" t="n"/>
      <c r="J1926" s="1" t="n"/>
    </row>
    <row r="1927">
      <c r="A1927" s="1" t="n"/>
      <c r="B1927" s="30" t="n"/>
      <c r="C1927" s="23" t="n"/>
      <c r="D1927" s="23" t="n"/>
      <c r="E1927" s="26" t="n"/>
      <c r="F1927" s="25" t="n"/>
      <c r="G1927" s="17">
        <f>IF(D1927="Sale",E1927*F1927,IF(D1927="Return",-E1927*F1927,""))</f>
        <v/>
      </c>
      <c r="H1927" s="17">
        <f>IFERROR(IF(D1927="Sale",E1927*INDEX(Products!$E$6:$E$205,MATCH(C1927,Products!$B$6:$B$205,0)),IF(D1927="Return",-E1927*INDEX(Products!$E$6:$E$205,MATCH(C1927,Products!$B$6:$B$205,0)),"")),"")</f>
        <v/>
      </c>
      <c r="I1927" s="24" t="n"/>
      <c r="J1927" s="1" t="n"/>
    </row>
    <row r="1928">
      <c r="A1928" s="1" t="n"/>
      <c r="B1928" s="30" t="n"/>
      <c r="C1928" s="23" t="n"/>
      <c r="D1928" s="23" t="n"/>
      <c r="E1928" s="26" t="n"/>
      <c r="F1928" s="25" t="n"/>
      <c r="G1928" s="17">
        <f>IF(D1928="Sale",E1928*F1928,IF(D1928="Return",-E1928*F1928,""))</f>
        <v/>
      </c>
      <c r="H1928" s="17">
        <f>IFERROR(IF(D1928="Sale",E1928*INDEX(Products!$E$6:$E$205,MATCH(C1928,Products!$B$6:$B$205,0)),IF(D1928="Return",-E1928*INDEX(Products!$E$6:$E$205,MATCH(C1928,Products!$B$6:$B$205,0)),"")),"")</f>
        <v/>
      </c>
      <c r="I1928" s="24" t="n"/>
      <c r="J1928" s="1" t="n"/>
    </row>
    <row r="1929">
      <c r="A1929" s="1" t="n"/>
      <c r="B1929" s="30" t="n"/>
      <c r="C1929" s="23" t="n"/>
      <c r="D1929" s="23" t="n"/>
      <c r="E1929" s="26" t="n"/>
      <c r="F1929" s="25" t="n"/>
      <c r="G1929" s="17">
        <f>IF(D1929="Sale",E1929*F1929,IF(D1929="Return",-E1929*F1929,""))</f>
        <v/>
      </c>
      <c r="H1929" s="17">
        <f>IFERROR(IF(D1929="Sale",E1929*INDEX(Products!$E$6:$E$205,MATCH(C1929,Products!$B$6:$B$205,0)),IF(D1929="Return",-E1929*INDEX(Products!$E$6:$E$205,MATCH(C1929,Products!$B$6:$B$205,0)),"")),"")</f>
        <v/>
      </c>
      <c r="I1929" s="24" t="n"/>
      <c r="J1929" s="1" t="n"/>
    </row>
    <row r="1930">
      <c r="A1930" s="1" t="n"/>
      <c r="B1930" s="30" t="n"/>
      <c r="C1930" s="23" t="n"/>
      <c r="D1930" s="23" t="n"/>
      <c r="E1930" s="26" t="n"/>
      <c r="F1930" s="25" t="n"/>
      <c r="G1930" s="17">
        <f>IF(D1930="Sale",E1930*F1930,IF(D1930="Return",-E1930*F1930,""))</f>
        <v/>
      </c>
      <c r="H1930" s="17">
        <f>IFERROR(IF(D1930="Sale",E1930*INDEX(Products!$E$6:$E$205,MATCH(C1930,Products!$B$6:$B$205,0)),IF(D1930="Return",-E1930*INDEX(Products!$E$6:$E$205,MATCH(C1930,Products!$B$6:$B$205,0)),"")),"")</f>
        <v/>
      </c>
      <c r="I1930" s="24" t="n"/>
      <c r="J1930" s="1" t="n"/>
    </row>
    <row r="1931">
      <c r="A1931" s="1" t="n"/>
      <c r="B1931" s="30" t="n"/>
      <c r="C1931" s="23" t="n"/>
      <c r="D1931" s="23" t="n"/>
      <c r="E1931" s="26" t="n"/>
      <c r="F1931" s="25" t="n"/>
      <c r="G1931" s="17">
        <f>IF(D1931="Sale",E1931*F1931,IF(D1931="Return",-E1931*F1931,""))</f>
        <v/>
      </c>
      <c r="H1931" s="17">
        <f>IFERROR(IF(D1931="Sale",E1931*INDEX(Products!$E$6:$E$205,MATCH(C1931,Products!$B$6:$B$205,0)),IF(D1931="Return",-E1931*INDEX(Products!$E$6:$E$205,MATCH(C1931,Products!$B$6:$B$205,0)),"")),"")</f>
        <v/>
      </c>
      <c r="I1931" s="24" t="n"/>
      <c r="J1931" s="1" t="n"/>
    </row>
    <row r="1932">
      <c r="A1932" s="1" t="n"/>
      <c r="B1932" s="30" t="n"/>
      <c r="C1932" s="23" t="n"/>
      <c r="D1932" s="23" t="n"/>
      <c r="E1932" s="26" t="n"/>
      <c r="F1932" s="25" t="n"/>
      <c r="G1932" s="17">
        <f>IF(D1932="Sale",E1932*F1932,IF(D1932="Return",-E1932*F1932,""))</f>
        <v/>
      </c>
      <c r="H1932" s="17">
        <f>IFERROR(IF(D1932="Sale",E1932*INDEX(Products!$E$6:$E$205,MATCH(C1932,Products!$B$6:$B$205,0)),IF(D1932="Return",-E1932*INDEX(Products!$E$6:$E$205,MATCH(C1932,Products!$B$6:$B$205,0)),"")),"")</f>
        <v/>
      </c>
      <c r="I1932" s="24" t="n"/>
      <c r="J1932" s="1" t="n"/>
    </row>
    <row r="1933">
      <c r="A1933" s="1" t="n"/>
      <c r="B1933" s="30" t="n"/>
      <c r="C1933" s="23" t="n"/>
      <c r="D1933" s="23" t="n"/>
      <c r="E1933" s="26" t="n"/>
      <c r="F1933" s="25" t="n"/>
      <c r="G1933" s="17">
        <f>IF(D1933="Sale",E1933*F1933,IF(D1933="Return",-E1933*F1933,""))</f>
        <v/>
      </c>
      <c r="H1933" s="17">
        <f>IFERROR(IF(D1933="Sale",E1933*INDEX(Products!$E$6:$E$205,MATCH(C1933,Products!$B$6:$B$205,0)),IF(D1933="Return",-E1933*INDEX(Products!$E$6:$E$205,MATCH(C1933,Products!$B$6:$B$205,0)),"")),"")</f>
        <v/>
      </c>
      <c r="I1933" s="24" t="n"/>
      <c r="J1933" s="1" t="n"/>
    </row>
    <row r="1934">
      <c r="A1934" s="1" t="n"/>
      <c r="B1934" s="30" t="n"/>
      <c r="C1934" s="23" t="n"/>
      <c r="D1934" s="23" t="n"/>
      <c r="E1934" s="26" t="n"/>
      <c r="F1934" s="25" t="n"/>
      <c r="G1934" s="17">
        <f>IF(D1934="Sale",E1934*F1934,IF(D1934="Return",-E1934*F1934,""))</f>
        <v/>
      </c>
      <c r="H1934" s="17">
        <f>IFERROR(IF(D1934="Sale",E1934*INDEX(Products!$E$6:$E$205,MATCH(C1934,Products!$B$6:$B$205,0)),IF(D1934="Return",-E1934*INDEX(Products!$E$6:$E$205,MATCH(C1934,Products!$B$6:$B$205,0)),"")),"")</f>
        <v/>
      </c>
      <c r="I1934" s="24" t="n"/>
      <c r="J1934" s="1" t="n"/>
    </row>
    <row r="1935">
      <c r="A1935" s="1" t="n"/>
      <c r="B1935" s="30" t="n"/>
      <c r="C1935" s="23" t="n"/>
      <c r="D1935" s="23" t="n"/>
      <c r="E1935" s="26" t="n"/>
      <c r="F1935" s="25" t="n"/>
      <c r="G1935" s="17">
        <f>IF(D1935="Sale",E1935*F1935,IF(D1935="Return",-E1935*F1935,""))</f>
        <v/>
      </c>
      <c r="H1935" s="17">
        <f>IFERROR(IF(D1935="Sale",E1935*INDEX(Products!$E$6:$E$205,MATCH(C1935,Products!$B$6:$B$205,0)),IF(D1935="Return",-E1935*INDEX(Products!$E$6:$E$205,MATCH(C1935,Products!$B$6:$B$205,0)),"")),"")</f>
        <v/>
      </c>
      <c r="I1935" s="24" t="n"/>
      <c r="J1935" s="1" t="n"/>
    </row>
    <row r="1936">
      <c r="A1936" s="1" t="n"/>
      <c r="B1936" s="30" t="n"/>
      <c r="C1936" s="23" t="n"/>
      <c r="D1936" s="23" t="n"/>
      <c r="E1936" s="26" t="n"/>
      <c r="F1936" s="25" t="n"/>
      <c r="G1936" s="17">
        <f>IF(D1936="Sale",E1936*F1936,IF(D1936="Return",-E1936*F1936,""))</f>
        <v/>
      </c>
      <c r="H1936" s="17">
        <f>IFERROR(IF(D1936="Sale",E1936*INDEX(Products!$E$6:$E$205,MATCH(C1936,Products!$B$6:$B$205,0)),IF(D1936="Return",-E1936*INDEX(Products!$E$6:$E$205,MATCH(C1936,Products!$B$6:$B$205,0)),"")),"")</f>
        <v/>
      </c>
      <c r="I1936" s="24" t="n"/>
      <c r="J1936" s="1" t="n"/>
    </row>
    <row r="1937">
      <c r="A1937" s="1" t="n"/>
      <c r="B1937" s="30" t="n"/>
      <c r="C1937" s="23" t="n"/>
      <c r="D1937" s="23" t="n"/>
      <c r="E1937" s="26" t="n"/>
      <c r="F1937" s="25" t="n"/>
      <c r="G1937" s="17">
        <f>IF(D1937="Sale",E1937*F1937,IF(D1937="Return",-E1937*F1937,""))</f>
        <v/>
      </c>
      <c r="H1937" s="17">
        <f>IFERROR(IF(D1937="Sale",E1937*INDEX(Products!$E$6:$E$205,MATCH(C1937,Products!$B$6:$B$205,0)),IF(D1937="Return",-E1937*INDEX(Products!$E$6:$E$205,MATCH(C1937,Products!$B$6:$B$205,0)),"")),"")</f>
        <v/>
      </c>
      <c r="I1937" s="24" t="n"/>
      <c r="J1937" s="1" t="n"/>
    </row>
    <row r="1938">
      <c r="A1938" s="1" t="n"/>
      <c r="B1938" s="30" t="n"/>
      <c r="C1938" s="23" t="n"/>
      <c r="D1938" s="23" t="n"/>
      <c r="E1938" s="26" t="n"/>
      <c r="F1938" s="25" t="n"/>
      <c r="G1938" s="17">
        <f>IF(D1938="Sale",E1938*F1938,IF(D1938="Return",-E1938*F1938,""))</f>
        <v/>
      </c>
      <c r="H1938" s="17">
        <f>IFERROR(IF(D1938="Sale",E1938*INDEX(Products!$E$6:$E$205,MATCH(C1938,Products!$B$6:$B$205,0)),IF(D1938="Return",-E1938*INDEX(Products!$E$6:$E$205,MATCH(C1938,Products!$B$6:$B$205,0)),"")),"")</f>
        <v/>
      </c>
      <c r="I1938" s="24" t="n"/>
      <c r="J1938" s="1" t="n"/>
    </row>
    <row r="1939">
      <c r="A1939" s="1" t="n"/>
      <c r="B1939" s="30" t="n"/>
      <c r="C1939" s="23" t="n"/>
      <c r="D1939" s="23" t="n"/>
      <c r="E1939" s="26" t="n"/>
      <c r="F1939" s="25" t="n"/>
      <c r="G1939" s="17">
        <f>IF(D1939="Sale",E1939*F1939,IF(D1939="Return",-E1939*F1939,""))</f>
        <v/>
      </c>
      <c r="H1939" s="17">
        <f>IFERROR(IF(D1939="Sale",E1939*INDEX(Products!$E$6:$E$205,MATCH(C1939,Products!$B$6:$B$205,0)),IF(D1939="Return",-E1939*INDEX(Products!$E$6:$E$205,MATCH(C1939,Products!$B$6:$B$205,0)),"")),"")</f>
        <v/>
      </c>
      <c r="I1939" s="24" t="n"/>
      <c r="J1939" s="1" t="n"/>
    </row>
    <row r="1940">
      <c r="A1940" s="1" t="n"/>
      <c r="B1940" s="30" t="n"/>
      <c r="C1940" s="23" t="n"/>
      <c r="D1940" s="23" t="n"/>
      <c r="E1940" s="26" t="n"/>
      <c r="F1940" s="25" t="n"/>
      <c r="G1940" s="17">
        <f>IF(D1940="Sale",E1940*F1940,IF(D1940="Return",-E1940*F1940,""))</f>
        <v/>
      </c>
      <c r="H1940" s="17">
        <f>IFERROR(IF(D1940="Sale",E1940*INDEX(Products!$E$6:$E$205,MATCH(C1940,Products!$B$6:$B$205,0)),IF(D1940="Return",-E1940*INDEX(Products!$E$6:$E$205,MATCH(C1940,Products!$B$6:$B$205,0)),"")),"")</f>
        <v/>
      </c>
      <c r="I1940" s="24" t="n"/>
      <c r="J1940" s="1" t="n"/>
    </row>
    <row r="1941">
      <c r="A1941" s="1" t="n"/>
      <c r="B1941" s="30" t="n"/>
      <c r="C1941" s="23" t="n"/>
      <c r="D1941" s="23" t="n"/>
      <c r="E1941" s="26" t="n"/>
      <c r="F1941" s="25" t="n"/>
      <c r="G1941" s="17">
        <f>IF(D1941="Sale",E1941*F1941,IF(D1941="Return",-E1941*F1941,""))</f>
        <v/>
      </c>
      <c r="H1941" s="17">
        <f>IFERROR(IF(D1941="Sale",E1941*INDEX(Products!$E$6:$E$205,MATCH(C1941,Products!$B$6:$B$205,0)),IF(D1941="Return",-E1941*INDEX(Products!$E$6:$E$205,MATCH(C1941,Products!$B$6:$B$205,0)),"")),"")</f>
        <v/>
      </c>
      <c r="I1941" s="24" t="n"/>
      <c r="J1941" s="1" t="n"/>
    </row>
    <row r="1942">
      <c r="A1942" s="1" t="n"/>
      <c r="B1942" s="30" t="n"/>
      <c r="C1942" s="23" t="n"/>
      <c r="D1942" s="23" t="n"/>
      <c r="E1942" s="26" t="n"/>
      <c r="F1942" s="25" t="n"/>
      <c r="G1942" s="17">
        <f>IF(D1942="Sale",E1942*F1942,IF(D1942="Return",-E1942*F1942,""))</f>
        <v/>
      </c>
      <c r="H1942" s="17">
        <f>IFERROR(IF(D1942="Sale",E1942*INDEX(Products!$E$6:$E$205,MATCH(C1942,Products!$B$6:$B$205,0)),IF(D1942="Return",-E1942*INDEX(Products!$E$6:$E$205,MATCH(C1942,Products!$B$6:$B$205,0)),"")),"")</f>
        <v/>
      </c>
      <c r="I1942" s="24" t="n"/>
      <c r="J1942" s="1" t="n"/>
    </row>
    <row r="1943">
      <c r="A1943" s="1" t="n"/>
      <c r="B1943" s="30" t="n"/>
      <c r="C1943" s="23" t="n"/>
      <c r="D1943" s="23" t="n"/>
      <c r="E1943" s="26" t="n"/>
      <c r="F1943" s="25" t="n"/>
      <c r="G1943" s="17">
        <f>IF(D1943="Sale",E1943*F1943,IF(D1943="Return",-E1943*F1943,""))</f>
        <v/>
      </c>
      <c r="H1943" s="17">
        <f>IFERROR(IF(D1943="Sale",E1943*INDEX(Products!$E$6:$E$205,MATCH(C1943,Products!$B$6:$B$205,0)),IF(D1943="Return",-E1943*INDEX(Products!$E$6:$E$205,MATCH(C1943,Products!$B$6:$B$205,0)),"")),"")</f>
        <v/>
      </c>
      <c r="I1943" s="24" t="n"/>
      <c r="J1943" s="1" t="n"/>
    </row>
    <row r="1944">
      <c r="A1944" s="1" t="n"/>
      <c r="B1944" s="30" t="n"/>
      <c r="C1944" s="23" t="n"/>
      <c r="D1944" s="23" t="n"/>
      <c r="E1944" s="26" t="n"/>
      <c r="F1944" s="25" t="n"/>
      <c r="G1944" s="17">
        <f>IF(D1944="Sale",E1944*F1944,IF(D1944="Return",-E1944*F1944,""))</f>
        <v/>
      </c>
      <c r="H1944" s="17">
        <f>IFERROR(IF(D1944="Sale",E1944*INDEX(Products!$E$6:$E$205,MATCH(C1944,Products!$B$6:$B$205,0)),IF(D1944="Return",-E1944*INDEX(Products!$E$6:$E$205,MATCH(C1944,Products!$B$6:$B$205,0)),"")),"")</f>
        <v/>
      </c>
      <c r="I1944" s="24" t="n"/>
      <c r="J1944" s="1" t="n"/>
    </row>
    <row r="1945">
      <c r="A1945" s="1" t="n"/>
      <c r="B1945" s="30" t="n"/>
      <c r="C1945" s="23" t="n"/>
      <c r="D1945" s="23" t="n"/>
      <c r="E1945" s="26" t="n"/>
      <c r="F1945" s="25" t="n"/>
      <c r="G1945" s="17">
        <f>IF(D1945="Sale",E1945*F1945,IF(D1945="Return",-E1945*F1945,""))</f>
        <v/>
      </c>
      <c r="H1945" s="17">
        <f>IFERROR(IF(D1945="Sale",E1945*INDEX(Products!$E$6:$E$205,MATCH(C1945,Products!$B$6:$B$205,0)),IF(D1945="Return",-E1945*INDEX(Products!$E$6:$E$205,MATCH(C1945,Products!$B$6:$B$205,0)),"")),"")</f>
        <v/>
      </c>
      <c r="I1945" s="24" t="n"/>
      <c r="J1945" s="1" t="n"/>
    </row>
    <row r="1946">
      <c r="A1946" s="1" t="n"/>
      <c r="B1946" s="30" t="n"/>
      <c r="C1946" s="23" t="n"/>
      <c r="D1946" s="23" t="n"/>
      <c r="E1946" s="26" t="n"/>
      <c r="F1946" s="25" t="n"/>
      <c r="G1946" s="17">
        <f>IF(D1946="Sale",E1946*F1946,IF(D1946="Return",-E1946*F1946,""))</f>
        <v/>
      </c>
      <c r="H1946" s="17">
        <f>IFERROR(IF(D1946="Sale",E1946*INDEX(Products!$E$6:$E$205,MATCH(C1946,Products!$B$6:$B$205,0)),IF(D1946="Return",-E1946*INDEX(Products!$E$6:$E$205,MATCH(C1946,Products!$B$6:$B$205,0)),"")),"")</f>
        <v/>
      </c>
      <c r="I1946" s="24" t="n"/>
      <c r="J1946" s="1" t="n"/>
    </row>
    <row r="1947">
      <c r="A1947" s="1" t="n"/>
      <c r="B1947" s="30" t="n"/>
      <c r="C1947" s="23" t="n"/>
      <c r="D1947" s="23" t="n"/>
      <c r="E1947" s="26" t="n"/>
      <c r="F1947" s="25" t="n"/>
      <c r="G1947" s="17">
        <f>IF(D1947="Sale",E1947*F1947,IF(D1947="Return",-E1947*F1947,""))</f>
        <v/>
      </c>
      <c r="H1947" s="17">
        <f>IFERROR(IF(D1947="Sale",E1947*INDEX(Products!$E$6:$E$205,MATCH(C1947,Products!$B$6:$B$205,0)),IF(D1947="Return",-E1947*INDEX(Products!$E$6:$E$205,MATCH(C1947,Products!$B$6:$B$205,0)),"")),"")</f>
        <v/>
      </c>
      <c r="I1947" s="24" t="n"/>
      <c r="J1947" s="1" t="n"/>
    </row>
    <row r="1948">
      <c r="A1948" s="1" t="n"/>
      <c r="B1948" s="30" t="n"/>
      <c r="C1948" s="23" t="n"/>
      <c r="D1948" s="23" t="n"/>
      <c r="E1948" s="26" t="n"/>
      <c r="F1948" s="25" t="n"/>
      <c r="G1948" s="17">
        <f>IF(D1948="Sale",E1948*F1948,IF(D1948="Return",-E1948*F1948,""))</f>
        <v/>
      </c>
      <c r="H1948" s="17">
        <f>IFERROR(IF(D1948="Sale",E1948*INDEX(Products!$E$6:$E$205,MATCH(C1948,Products!$B$6:$B$205,0)),IF(D1948="Return",-E1948*INDEX(Products!$E$6:$E$205,MATCH(C1948,Products!$B$6:$B$205,0)),"")),"")</f>
        <v/>
      </c>
      <c r="I1948" s="24" t="n"/>
      <c r="J1948" s="1" t="n"/>
    </row>
    <row r="1949">
      <c r="A1949" s="1" t="n"/>
      <c r="B1949" s="30" t="n"/>
      <c r="C1949" s="23" t="n"/>
      <c r="D1949" s="23" t="n"/>
      <c r="E1949" s="26" t="n"/>
      <c r="F1949" s="25" t="n"/>
      <c r="G1949" s="17">
        <f>IF(D1949="Sale",E1949*F1949,IF(D1949="Return",-E1949*F1949,""))</f>
        <v/>
      </c>
      <c r="H1949" s="17">
        <f>IFERROR(IF(D1949="Sale",E1949*INDEX(Products!$E$6:$E$205,MATCH(C1949,Products!$B$6:$B$205,0)),IF(D1949="Return",-E1949*INDEX(Products!$E$6:$E$205,MATCH(C1949,Products!$B$6:$B$205,0)),"")),"")</f>
        <v/>
      </c>
      <c r="I1949" s="24" t="n"/>
      <c r="J1949" s="1" t="n"/>
    </row>
    <row r="1950">
      <c r="A1950" s="1" t="n"/>
      <c r="B1950" s="30" t="n"/>
      <c r="C1950" s="23" t="n"/>
      <c r="D1950" s="23" t="n"/>
      <c r="E1950" s="26" t="n"/>
      <c r="F1950" s="25" t="n"/>
      <c r="G1950" s="17">
        <f>IF(D1950="Sale",E1950*F1950,IF(D1950="Return",-E1950*F1950,""))</f>
        <v/>
      </c>
      <c r="H1950" s="17">
        <f>IFERROR(IF(D1950="Sale",E1950*INDEX(Products!$E$6:$E$205,MATCH(C1950,Products!$B$6:$B$205,0)),IF(D1950="Return",-E1950*INDEX(Products!$E$6:$E$205,MATCH(C1950,Products!$B$6:$B$205,0)),"")),"")</f>
        <v/>
      </c>
      <c r="I1950" s="24" t="n"/>
      <c r="J1950" s="1" t="n"/>
    </row>
    <row r="1951">
      <c r="A1951" s="1" t="n"/>
      <c r="B1951" s="30" t="n"/>
      <c r="C1951" s="23" t="n"/>
      <c r="D1951" s="23" t="n"/>
      <c r="E1951" s="26" t="n"/>
      <c r="F1951" s="25" t="n"/>
      <c r="G1951" s="17">
        <f>IF(D1951="Sale",E1951*F1951,IF(D1951="Return",-E1951*F1951,""))</f>
        <v/>
      </c>
      <c r="H1951" s="17">
        <f>IFERROR(IF(D1951="Sale",E1951*INDEX(Products!$E$6:$E$205,MATCH(C1951,Products!$B$6:$B$205,0)),IF(D1951="Return",-E1951*INDEX(Products!$E$6:$E$205,MATCH(C1951,Products!$B$6:$B$205,0)),"")),"")</f>
        <v/>
      </c>
      <c r="I1951" s="24" t="n"/>
      <c r="J1951" s="1" t="n"/>
    </row>
    <row r="1952">
      <c r="A1952" s="1" t="n"/>
      <c r="B1952" s="30" t="n"/>
      <c r="C1952" s="23" t="n"/>
      <c r="D1952" s="23" t="n"/>
      <c r="E1952" s="26" t="n"/>
      <c r="F1952" s="25" t="n"/>
      <c r="G1952" s="17">
        <f>IF(D1952="Sale",E1952*F1952,IF(D1952="Return",-E1952*F1952,""))</f>
        <v/>
      </c>
      <c r="H1952" s="17">
        <f>IFERROR(IF(D1952="Sale",E1952*INDEX(Products!$E$6:$E$205,MATCH(C1952,Products!$B$6:$B$205,0)),IF(D1952="Return",-E1952*INDEX(Products!$E$6:$E$205,MATCH(C1952,Products!$B$6:$B$205,0)),"")),"")</f>
        <v/>
      </c>
      <c r="I1952" s="24" t="n"/>
      <c r="J1952" s="1" t="n"/>
    </row>
    <row r="1953">
      <c r="A1953" s="1" t="n"/>
      <c r="B1953" s="30" t="n"/>
      <c r="C1953" s="23" t="n"/>
      <c r="D1953" s="23" t="n"/>
      <c r="E1953" s="26" t="n"/>
      <c r="F1953" s="25" t="n"/>
      <c r="G1953" s="17">
        <f>IF(D1953="Sale",E1953*F1953,IF(D1953="Return",-E1953*F1953,""))</f>
        <v/>
      </c>
      <c r="H1953" s="17">
        <f>IFERROR(IF(D1953="Sale",E1953*INDEX(Products!$E$6:$E$205,MATCH(C1953,Products!$B$6:$B$205,0)),IF(D1953="Return",-E1953*INDEX(Products!$E$6:$E$205,MATCH(C1953,Products!$B$6:$B$205,0)),"")),"")</f>
        <v/>
      </c>
      <c r="I1953" s="24" t="n"/>
      <c r="J1953" s="1" t="n"/>
    </row>
    <row r="1954">
      <c r="A1954" s="1" t="n"/>
      <c r="B1954" s="30" t="n"/>
      <c r="C1954" s="23" t="n"/>
      <c r="D1954" s="23" t="n"/>
      <c r="E1954" s="26" t="n"/>
      <c r="F1954" s="25" t="n"/>
      <c r="G1954" s="17">
        <f>IF(D1954="Sale",E1954*F1954,IF(D1954="Return",-E1954*F1954,""))</f>
        <v/>
      </c>
      <c r="H1954" s="17">
        <f>IFERROR(IF(D1954="Sale",E1954*INDEX(Products!$E$6:$E$205,MATCH(C1954,Products!$B$6:$B$205,0)),IF(D1954="Return",-E1954*INDEX(Products!$E$6:$E$205,MATCH(C1954,Products!$B$6:$B$205,0)),"")),"")</f>
        <v/>
      </c>
      <c r="I1954" s="24" t="n"/>
      <c r="J1954" s="1" t="n"/>
    </row>
    <row r="1955">
      <c r="A1955" s="1" t="n"/>
      <c r="B1955" s="30" t="n"/>
      <c r="C1955" s="23" t="n"/>
      <c r="D1955" s="23" t="n"/>
      <c r="E1955" s="26" t="n"/>
      <c r="F1955" s="25" t="n"/>
      <c r="G1955" s="17">
        <f>IF(D1955="Sale",E1955*F1955,IF(D1955="Return",-E1955*F1955,""))</f>
        <v/>
      </c>
      <c r="H1955" s="17">
        <f>IFERROR(IF(D1955="Sale",E1955*INDEX(Products!$E$6:$E$205,MATCH(C1955,Products!$B$6:$B$205,0)),IF(D1955="Return",-E1955*INDEX(Products!$E$6:$E$205,MATCH(C1955,Products!$B$6:$B$205,0)),"")),"")</f>
        <v/>
      </c>
      <c r="I1955" s="24" t="n"/>
      <c r="J1955" s="1" t="n"/>
    </row>
    <row r="1956">
      <c r="A1956" s="1" t="n"/>
      <c r="B1956" s="30" t="n"/>
      <c r="C1956" s="23" t="n"/>
      <c r="D1956" s="23" t="n"/>
      <c r="E1956" s="26" t="n"/>
      <c r="F1956" s="25" t="n"/>
      <c r="G1956" s="17">
        <f>IF(D1956="Sale",E1956*F1956,IF(D1956="Return",-E1956*F1956,""))</f>
        <v/>
      </c>
      <c r="H1956" s="17">
        <f>IFERROR(IF(D1956="Sale",E1956*INDEX(Products!$E$6:$E$205,MATCH(C1956,Products!$B$6:$B$205,0)),IF(D1956="Return",-E1956*INDEX(Products!$E$6:$E$205,MATCH(C1956,Products!$B$6:$B$205,0)),"")),"")</f>
        <v/>
      </c>
      <c r="I1956" s="24" t="n"/>
      <c r="J1956" s="1" t="n"/>
    </row>
    <row r="1957">
      <c r="A1957" s="1" t="n"/>
      <c r="B1957" s="30" t="n"/>
      <c r="C1957" s="23" t="n"/>
      <c r="D1957" s="23" t="n"/>
      <c r="E1957" s="26" t="n"/>
      <c r="F1957" s="25" t="n"/>
      <c r="G1957" s="17">
        <f>IF(D1957="Sale",E1957*F1957,IF(D1957="Return",-E1957*F1957,""))</f>
        <v/>
      </c>
      <c r="H1957" s="17">
        <f>IFERROR(IF(D1957="Sale",E1957*INDEX(Products!$E$6:$E$205,MATCH(C1957,Products!$B$6:$B$205,0)),IF(D1957="Return",-E1957*INDEX(Products!$E$6:$E$205,MATCH(C1957,Products!$B$6:$B$205,0)),"")),"")</f>
        <v/>
      </c>
      <c r="I1957" s="24" t="n"/>
      <c r="J1957" s="1" t="n"/>
    </row>
    <row r="1958">
      <c r="A1958" s="1" t="n"/>
      <c r="B1958" s="30" t="n"/>
      <c r="C1958" s="23" t="n"/>
      <c r="D1958" s="23" t="n"/>
      <c r="E1958" s="26" t="n"/>
      <c r="F1958" s="25" t="n"/>
      <c r="G1958" s="17">
        <f>IF(D1958="Sale",E1958*F1958,IF(D1958="Return",-E1958*F1958,""))</f>
        <v/>
      </c>
      <c r="H1958" s="17">
        <f>IFERROR(IF(D1958="Sale",E1958*INDEX(Products!$E$6:$E$205,MATCH(C1958,Products!$B$6:$B$205,0)),IF(D1958="Return",-E1958*INDEX(Products!$E$6:$E$205,MATCH(C1958,Products!$B$6:$B$205,0)),"")),"")</f>
        <v/>
      </c>
      <c r="I1958" s="24" t="n"/>
      <c r="J1958" s="1" t="n"/>
    </row>
    <row r="1959">
      <c r="A1959" s="1" t="n"/>
      <c r="B1959" s="30" t="n"/>
      <c r="C1959" s="23" t="n"/>
      <c r="D1959" s="23" t="n"/>
      <c r="E1959" s="26" t="n"/>
      <c r="F1959" s="25" t="n"/>
      <c r="G1959" s="17">
        <f>IF(D1959="Sale",E1959*F1959,IF(D1959="Return",-E1959*F1959,""))</f>
        <v/>
      </c>
      <c r="H1959" s="17">
        <f>IFERROR(IF(D1959="Sale",E1959*INDEX(Products!$E$6:$E$205,MATCH(C1959,Products!$B$6:$B$205,0)),IF(D1959="Return",-E1959*INDEX(Products!$E$6:$E$205,MATCH(C1959,Products!$B$6:$B$205,0)),"")),"")</f>
        <v/>
      </c>
      <c r="I1959" s="24" t="n"/>
      <c r="J1959" s="1" t="n"/>
    </row>
    <row r="1960">
      <c r="A1960" s="1" t="n"/>
      <c r="B1960" s="30" t="n"/>
      <c r="C1960" s="23" t="n"/>
      <c r="D1960" s="23" t="n"/>
      <c r="E1960" s="26" t="n"/>
      <c r="F1960" s="25" t="n"/>
      <c r="G1960" s="17">
        <f>IF(D1960="Sale",E1960*F1960,IF(D1960="Return",-E1960*F1960,""))</f>
        <v/>
      </c>
      <c r="H1960" s="17">
        <f>IFERROR(IF(D1960="Sale",E1960*INDEX(Products!$E$6:$E$205,MATCH(C1960,Products!$B$6:$B$205,0)),IF(D1960="Return",-E1960*INDEX(Products!$E$6:$E$205,MATCH(C1960,Products!$B$6:$B$205,0)),"")),"")</f>
        <v/>
      </c>
      <c r="I1960" s="24" t="n"/>
      <c r="J1960" s="1" t="n"/>
    </row>
    <row r="1961">
      <c r="A1961" s="1" t="n"/>
      <c r="B1961" s="30" t="n"/>
      <c r="C1961" s="23" t="n"/>
      <c r="D1961" s="23" t="n"/>
      <c r="E1961" s="26" t="n"/>
      <c r="F1961" s="25" t="n"/>
      <c r="G1961" s="17">
        <f>IF(D1961="Sale",E1961*F1961,IF(D1961="Return",-E1961*F1961,""))</f>
        <v/>
      </c>
      <c r="H1961" s="17">
        <f>IFERROR(IF(D1961="Sale",E1961*INDEX(Products!$E$6:$E$205,MATCH(C1961,Products!$B$6:$B$205,0)),IF(D1961="Return",-E1961*INDEX(Products!$E$6:$E$205,MATCH(C1961,Products!$B$6:$B$205,0)),"")),"")</f>
        <v/>
      </c>
      <c r="I1961" s="24" t="n"/>
      <c r="J1961" s="1" t="n"/>
    </row>
    <row r="1962">
      <c r="A1962" s="1" t="n"/>
      <c r="B1962" s="30" t="n"/>
      <c r="C1962" s="23" t="n"/>
      <c r="D1962" s="23" t="n"/>
      <c r="E1962" s="26" t="n"/>
      <c r="F1962" s="25" t="n"/>
      <c r="G1962" s="17">
        <f>IF(D1962="Sale",E1962*F1962,IF(D1962="Return",-E1962*F1962,""))</f>
        <v/>
      </c>
      <c r="H1962" s="17">
        <f>IFERROR(IF(D1962="Sale",E1962*INDEX(Products!$E$6:$E$205,MATCH(C1962,Products!$B$6:$B$205,0)),IF(D1962="Return",-E1962*INDEX(Products!$E$6:$E$205,MATCH(C1962,Products!$B$6:$B$205,0)),"")),"")</f>
        <v/>
      </c>
      <c r="I1962" s="24" t="n"/>
      <c r="J1962" s="1" t="n"/>
    </row>
    <row r="1963">
      <c r="A1963" s="1" t="n"/>
      <c r="B1963" s="30" t="n"/>
      <c r="C1963" s="23" t="n"/>
      <c r="D1963" s="23" t="n"/>
      <c r="E1963" s="26" t="n"/>
      <c r="F1963" s="25" t="n"/>
      <c r="G1963" s="17">
        <f>IF(D1963="Sale",E1963*F1963,IF(D1963="Return",-E1963*F1963,""))</f>
        <v/>
      </c>
      <c r="H1963" s="17">
        <f>IFERROR(IF(D1963="Sale",E1963*INDEX(Products!$E$6:$E$205,MATCH(C1963,Products!$B$6:$B$205,0)),IF(D1963="Return",-E1963*INDEX(Products!$E$6:$E$205,MATCH(C1963,Products!$B$6:$B$205,0)),"")),"")</f>
        <v/>
      </c>
      <c r="I1963" s="24" t="n"/>
      <c r="J1963" s="1" t="n"/>
    </row>
    <row r="1964">
      <c r="A1964" s="1" t="n"/>
      <c r="B1964" s="30" t="n"/>
      <c r="C1964" s="23" t="n"/>
      <c r="D1964" s="23" t="n"/>
      <c r="E1964" s="26" t="n"/>
      <c r="F1964" s="25" t="n"/>
      <c r="G1964" s="17">
        <f>IF(D1964="Sale",E1964*F1964,IF(D1964="Return",-E1964*F1964,""))</f>
        <v/>
      </c>
      <c r="H1964" s="17">
        <f>IFERROR(IF(D1964="Sale",E1964*INDEX(Products!$E$6:$E$205,MATCH(C1964,Products!$B$6:$B$205,0)),IF(D1964="Return",-E1964*INDEX(Products!$E$6:$E$205,MATCH(C1964,Products!$B$6:$B$205,0)),"")),"")</f>
        <v/>
      </c>
      <c r="I1964" s="24" t="n"/>
      <c r="J1964" s="1" t="n"/>
    </row>
    <row r="1965">
      <c r="A1965" s="1" t="n"/>
      <c r="B1965" s="30" t="n"/>
      <c r="C1965" s="23" t="n"/>
      <c r="D1965" s="23" t="n"/>
      <c r="E1965" s="26" t="n"/>
      <c r="F1965" s="25" t="n"/>
      <c r="G1965" s="17">
        <f>IF(D1965="Sale",E1965*F1965,IF(D1965="Return",-E1965*F1965,""))</f>
        <v/>
      </c>
      <c r="H1965" s="17">
        <f>IFERROR(IF(D1965="Sale",E1965*INDEX(Products!$E$6:$E$205,MATCH(C1965,Products!$B$6:$B$205,0)),IF(D1965="Return",-E1965*INDEX(Products!$E$6:$E$205,MATCH(C1965,Products!$B$6:$B$205,0)),"")),"")</f>
        <v/>
      </c>
      <c r="I1965" s="24" t="n"/>
      <c r="J1965" s="1" t="n"/>
    </row>
    <row r="1966">
      <c r="A1966" s="1" t="n"/>
      <c r="B1966" s="30" t="n"/>
      <c r="C1966" s="23" t="n"/>
      <c r="D1966" s="23" t="n"/>
      <c r="E1966" s="26" t="n"/>
      <c r="F1966" s="25" t="n"/>
      <c r="G1966" s="17">
        <f>IF(D1966="Sale",E1966*F1966,IF(D1966="Return",-E1966*F1966,""))</f>
        <v/>
      </c>
      <c r="H1966" s="17">
        <f>IFERROR(IF(D1966="Sale",E1966*INDEX(Products!$E$6:$E$205,MATCH(C1966,Products!$B$6:$B$205,0)),IF(D1966="Return",-E1966*INDEX(Products!$E$6:$E$205,MATCH(C1966,Products!$B$6:$B$205,0)),"")),"")</f>
        <v/>
      </c>
      <c r="I1966" s="24" t="n"/>
      <c r="J1966" s="1" t="n"/>
    </row>
    <row r="1967">
      <c r="A1967" s="1" t="n"/>
      <c r="B1967" s="30" t="n"/>
      <c r="C1967" s="23" t="n"/>
      <c r="D1967" s="23" t="n"/>
      <c r="E1967" s="26" t="n"/>
      <c r="F1967" s="25" t="n"/>
      <c r="G1967" s="17">
        <f>IF(D1967="Sale",E1967*F1967,IF(D1967="Return",-E1967*F1967,""))</f>
        <v/>
      </c>
      <c r="H1967" s="17">
        <f>IFERROR(IF(D1967="Sale",E1967*INDEX(Products!$E$6:$E$205,MATCH(C1967,Products!$B$6:$B$205,0)),IF(D1967="Return",-E1967*INDEX(Products!$E$6:$E$205,MATCH(C1967,Products!$B$6:$B$205,0)),"")),"")</f>
        <v/>
      </c>
      <c r="I1967" s="24" t="n"/>
      <c r="J1967" s="1" t="n"/>
    </row>
    <row r="1968">
      <c r="A1968" s="1" t="n"/>
      <c r="B1968" s="30" t="n"/>
      <c r="C1968" s="23" t="n"/>
      <c r="D1968" s="23" t="n"/>
      <c r="E1968" s="26" t="n"/>
      <c r="F1968" s="25" t="n"/>
      <c r="G1968" s="17">
        <f>IF(D1968="Sale",E1968*F1968,IF(D1968="Return",-E1968*F1968,""))</f>
        <v/>
      </c>
      <c r="H1968" s="17">
        <f>IFERROR(IF(D1968="Sale",E1968*INDEX(Products!$E$6:$E$205,MATCH(C1968,Products!$B$6:$B$205,0)),IF(D1968="Return",-E1968*INDEX(Products!$E$6:$E$205,MATCH(C1968,Products!$B$6:$B$205,0)),"")),"")</f>
        <v/>
      </c>
      <c r="I1968" s="24" t="n"/>
      <c r="J1968" s="1" t="n"/>
    </row>
    <row r="1969">
      <c r="A1969" s="1" t="n"/>
      <c r="B1969" s="30" t="n"/>
      <c r="C1969" s="23" t="n"/>
      <c r="D1969" s="23" t="n"/>
      <c r="E1969" s="26" t="n"/>
      <c r="F1969" s="25" t="n"/>
      <c r="G1969" s="17">
        <f>IF(D1969="Sale",E1969*F1969,IF(D1969="Return",-E1969*F1969,""))</f>
        <v/>
      </c>
      <c r="H1969" s="17">
        <f>IFERROR(IF(D1969="Sale",E1969*INDEX(Products!$E$6:$E$205,MATCH(C1969,Products!$B$6:$B$205,0)),IF(D1969="Return",-E1969*INDEX(Products!$E$6:$E$205,MATCH(C1969,Products!$B$6:$B$205,0)),"")),"")</f>
        <v/>
      </c>
      <c r="I1969" s="24" t="n"/>
      <c r="J1969" s="1" t="n"/>
    </row>
    <row r="1970">
      <c r="A1970" s="1" t="n"/>
      <c r="B1970" s="30" t="n"/>
      <c r="C1970" s="23" t="n"/>
      <c r="D1970" s="23" t="n"/>
      <c r="E1970" s="26" t="n"/>
      <c r="F1970" s="25" t="n"/>
      <c r="G1970" s="17">
        <f>IF(D1970="Sale",E1970*F1970,IF(D1970="Return",-E1970*F1970,""))</f>
        <v/>
      </c>
      <c r="H1970" s="17">
        <f>IFERROR(IF(D1970="Sale",E1970*INDEX(Products!$E$6:$E$205,MATCH(C1970,Products!$B$6:$B$205,0)),IF(D1970="Return",-E1970*INDEX(Products!$E$6:$E$205,MATCH(C1970,Products!$B$6:$B$205,0)),"")),"")</f>
        <v/>
      </c>
      <c r="I1970" s="24" t="n"/>
      <c r="J1970" s="1" t="n"/>
    </row>
    <row r="1971">
      <c r="A1971" s="1" t="n"/>
      <c r="B1971" s="30" t="n"/>
      <c r="C1971" s="23" t="n"/>
      <c r="D1971" s="23" t="n"/>
      <c r="E1971" s="26" t="n"/>
      <c r="F1971" s="25" t="n"/>
      <c r="G1971" s="17">
        <f>IF(D1971="Sale",E1971*F1971,IF(D1971="Return",-E1971*F1971,""))</f>
        <v/>
      </c>
      <c r="H1971" s="17">
        <f>IFERROR(IF(D1971="Sale",E1971*INDEX(Products!$E$6:$E$205,MATCH(C1971,Products!$B$6:$B$205,0)),IF(D1971="Return",-E1971*INDEX(Products!$E$6:$E$205,MATCH(C1971,Products!$B$6:$B$205,0)),"")),"")</f>
        <v/>
      </c>
      <c r="I1971" s="24" t="n"/>
      <c r="J1971" s="1" t="n"/>
    </row>
    <row r="1972">
      <c r="A1972" s="1" t="n"/>
      <c r="B1972" s="30" t="n"/>
      <c r="C1972" s="23" t="n"/>
      <c r="D1972" s="23" t="n"/>
      <c r="E1972" s="26" t="n"/>
      <c r="F1972" s="25" t="n"/>
      <c r="G1972" s="17">
        <f>IF(D1972="Sale",E1972*F1972,IF(D1972="Return",-E1972*F1972,""))</f>
        <v/>
      </c>
      <c r="H1972" s="17">
        <f>IFERROR(IF(D1972="Sale",E1972*INDEX(Products!$E$6:$E$205,MATCH(C1972,Products!$B$6:$B$205,0)),IF(D1972="Return",-E1972*INDEX(Products!$E$6:$E$205,MATCH(C1972,Products!$B$6:$B$205,0)),"")),"")</f>
        <v/>
      </c>
      <c r="I1972" s="24" t="n"/>
      <c r="J1972" s="1" t="n"/>
    </row>
    <row r="1973">
      <c r="A1973" s="1" t="n"/>
      <c r="B1973" s="30" t="n"/>
      <c r="C1973" s="23" t="n"/>
      <c r="D1973" s="23" t="n"/>
      <c r="E1973" s="26" t="n"/>
      <c r="F1973" s="25" t="n"/>
      <c r="G1973" s="17">
        <f>IF(D1973="Sale",E1973*F1973,IF(D1973="Return",-E1973*F1973,""))</f>
        <v/>
      </c>
      <c r="H1973" s="17">
        <f>IFERROR(IF(D1973="Sale",E1973*INDEX(Products!$E$6:$E$205,MATCH(C1973,Products!$B$6:$B$205,0)),IF(D1973="Return",-E1973*INDEX(Products!$E$6:$E$205,MATCH(C1973,Products!$B$6:$B$205,0)),"")),"")</f>
        <v/>
      </c>
      <c r="I1973" s="24" t="n"/>
      <c r="J1973" s="1" t="n"/>
    </row>
    <row r="1974">
      <c r="A1974" s="1" t="n"/>
      <c r="B1974" s="30" t="n"/>
      <c r="C1974" s="23" t="n"/>
      <c r="D1974" s="23" t="n"/>
      <c r="E1974" s="26" t="n"/>
      <c r="F1974" s="25" t="n"/>
      <c r="G1974" s="17">
        <f>IF(D1974="Sale",E1974*F1974,IF(D1974="Return",-E1974*F1974,""))</f>
        <v/>
      </c>
      <c r="H1974" s="17">
        <f>IFERROR(IF(D1974="Sale",E1974*INDEX(Products!$E$6:$E$205,MATCH(C1974,Products!$B$6:$B$205,0)),IF(D1974="Return",-E1974*INDEX(Products!$E$6:$E$205,MATCH(C1974,Products!$B$6:$B$205,0)),"")),"")</f>
        <v/>
      </c>
      <c r="I1974" s="24" t="n"/>
      <c r="J1974" s="1" t="n"/>
    </row>
    <row r="1975">
      <c r="A1975" s="1" t="n"/>
      <c r="B1975" s="30" t="n"/>
      <c r="C1975" s="23" t="n"/>
      <c r="D1975" s="23" t="n"/>
      <c r="E1975" s="26" t="n"/>
      <c r="F1975" s="25" t="n"/>
      <c r="G1975" s="17">
        <f>IF(D1975="Sale",E1975*F1975,IF(D1975="Return",-E1975*F1975,""))</f>
        <v/>
      </c>
      <c r="H1975" s="17">
        <f>IFERROR(IF(D1975="Sale",E1975*INDEX(Products!$E$6:$E$205,MATCH(C1975,Products!$B$6:$B$205,0)),IF(D1975="Return",-E1975*INDEX(Products!$E$6:$E$205,MATCH(C1975,Products!$B$6:$B$205,0)),"")),"")</f>
        <v/>
      </c>
      <c r="I1975" s="24" t="n"/>
      <c r="J1975" s="1" t="n"/>
    </row>
    <row r="1976">
      <c r="A1976" s="1" t="n"/>
      <c r="B1976" s="30" t="n"/>
      <c r="C1976" s="23" t="n"/>
      <c r="D1976" s="23" t="n"/>
      <c r="E1976" s="26" t="n"/>
      <c r="F1976" s="25" t="n"/>
      <c r="G1976" s="17">
        <f>IF(D1976="Sale",E1976*F1976,IF(D1976="Return",-E1976*F1976,""))</f>
        <v/>
      </c>
      <c r="H1976" s="17">
        <f>IFERROR(IF(D1976="Sale",E1976*INDEX(Products!$E$6:$E$205,MATCH(C1976,Products!$B$6:$B$205,0)),IF(D1976="Return",-E1976*INDEX(Products!$E$6:$E$205,MATCH(C1976,Products!$B$6:$B$205,0)),"")),"")</f>
        <v/>
      </c>
      <c r="I1976" s="24" t="n"/>
      <c r="J1976" s="1" t="n"/>
    </row>
    <row r="1977">
      <c r="A1977" s="1" t="n"/>
      <c r="B1977" s="30" t="n"/>
      <c r="C1977" s="23" t="n"/>
      <c r="D1977" s="23" t="n"/>
      <c r="E1977" s="26" t="n"/>
      <c r="F1977" s="25" t="n"/>
      <c r="G1977" s="17">
        <f>IF(D1977="Sale",E1977*F1977,IF(D1977="Return",-E1977*F1977,""))</f>
        <v/>
      </c>
      <c r="H1977" s="17">
        <f>IFERROR(IF(D1977="Sale",E1977*INDEX(Products!$E$6:$E$205,MATCH(C1977,Products!$B$6:$B$205,0)),IF(D1977="Return",-E1977*INDEX(Products!$E$6:$E$205,MATCH(C1977,Products!$B$6:$B$205,0)),"")),"")</f>
        <v/>
      </c>
      <c r="I1977" s="24" t="n"/>
      <c r="J1977" s="1" t="n"/>
    </row>
    <row r="1978">
      <c r="A1978" s="1" t="n"/>
      <c r="B1978" s="30" t="n"/>
      <c r="C1978" s="23" t="n"/>
      <c r="D1978" s="23" t="n"/>
      <c r="E1978" s="26" t="n"/>
      <c r="F1978" s="25" t="n"/>
      <c r="G1978" s="17">
        <f>IF(D1978="Sale",E1978*F1978,IF(D1978="Return",-E1978*F1978,""))</f>
        <v/>
      </c>
      <c r="H1978" s="17">
        <f>IFERROR(IF(D1978="Sale",E1978*INDEX(Products!$E$6:$E$205,MATCH(C1978,Products!$B$6:$B$205,0)),IF(D1978="Return",-E1978*INDEX(Products!$E$6:$E$205,MATCH(C1978,Products!$B$6:$B$205,0)),"")),"")</f>
        <v/>
      </c>
      <c r="I1978" s="24" t="n"/>
      <c r="J1978" s="1" t="n"/>
    </row>
    <row r="1979">
      <c r="A1979" s="1" t="n"/>
      <c r="B1979" s="30" t="n"/>
      <c r="C1979" s="23" t="n"/>
      <c r="D1979" s="23" t="n"/>
      <c r="E1979" s="26" t="n"/>
      <c r="F1979" s="25" t="n"/>
      <c r="G1979" s="17">
        <f>IF(D1979="Sale",E1979*F1979,IF(D1979="Return",-E1979*F1979,""))</f>
        <v/>
      </c>
      <c r="H1979" s="17">
        <f>IFERROR(IF(D1979="Sale",E1979*INDEX(Products!$E$6:$E$205,MATCH(C1979,Products!$B$6:$B$205,0)),IF(D1979="Return",-E1979*INDEX(Products!$E$6:$E$205,MATCH(C1979,Products!$B$6:$B$205,0)),"")),"")</f>
        <v/>
      </c>
      <c r="I1979" s="24" t="n"/>
      <c r="J1979" s="1" t="n"/>
    </row>
    <row r="1980">
      <c r="A1980" s="1" t="n"/>
      <c r="B1980" s="30" t="n"/>
      <c r="C1980" s="23" t="n"/>
      <c r="D1980" s="23" t="n"/>
      <c r="E1980" s="26" t="n"/>
      <c r="F1980" s="25" t="n"/>
      <c r="G1980" s="17">
        <f>IF(D1980="Sale",E1980*F1980,IF(D1980="Return",-E1980*F1980,""))</f>
        <v/>
      </c>
      <c r="H1980" s="17">
        <f>IFERROR(IF(D1980="Sale",E1980*INDEX(Products!$E$6:$E$205,MATCH(C1980,Products!$B$6:$B$205,0)),IF(D1980="Return",-E1980*INDEX(Products!$E$6:$E$205,MATCH(C1980,Products!$B$6:$B$205,0)),"")),"")</f>
        <v/>
      </c>
      <c r="I1980" s="24" t="n"/>
      <c r="J1980" s="1" t="n"/>
    </row>
    <row r="1981">
      <c r="A1981" s="1" t="n"/>
      <c r="B1981" s="30" t="n"/>
      <c r="C1981" s="23" t="n"/>
      <c r="D1981" s="23" t="n"/>
      <c r="E1981" s="26" t="n"/>
      <c r="F1981" s="25" t="n"/>
      <c r="G1981" s="17">
        <f>IF(D1981="Sale",E1981*F1981,IF(D1981="Return",-E1981*F1981,""))</f>
        <v/>
      </c>
      <c r="H1981" s="17">
        <f>IFERROR(IF(D1981="Sale",E1981*INDEX(Products!$E$6:$E$205,MATCH(C1981,Products!$B$6:$B$205,0)),IF(D1981="Return",-E1981*INDEX(Products!$E$6:$E$205,MATCH(C1981,Products!$B$6:$B$205,0)),"")),"")</f>
        <v/>
      </c>
      <c r="I1981" s="24" t="n"/>
      <c r="J1981" s="1" t="n"/>
    </row>
    <row r="1982">
      <c r="A1982" s="1" t="n"/>
      <c r="B1982" s="30" t="n"/>
      <c r="C1982" s="23" t="n"/>
      <c r="D1982" s="23" t="n"/>
      <c r="E1982" s="26" t="n"/>
      <c r="F1982" s="25" t="n"/>
      <c r="G1982" s="17">
        <f>IF(D1982="Sale",E1982*F1982,IF(D1982="Return",-E1982*F1982,""))</f>
        <v/>
      </c>
      <c r="H1982" s="17">
        <f>IFERROR(IF(D1982="Sale",E1982*INDEX(Products!$E$6:$E$205,MATCH(C1982,Products!$B$6:$B$205,0)),IF(D1982="Return",-E1982*INDEX(Products!$E$6:$E$205,MATCH(C1982,Products!$B$6:$B$205,0)),"")),"")</f>
        <v/>
      </c>
      <c r="I1982" s="24" t="n"/>
      <c r="J1982" s="1" t="n"/>
    </row>
    <row r="1983">
      <c r="A1983" s="1" t="n"/>
      <c r="B1983" s="30" t="n"/>
      <c r="C1983" s="23" t="n"/>
      <c r="D1983" s="23" t="n"/>
      <c r="E1983" s="26" t="n"/>
      <c r="F1983" s="25" t="n"/>
      <c r="G1983" s="17">
        <f>IF(D1983="Sale",E1983*F1983,IF(D1983="Return",-E1983*F1983,""))</f>
        <v/>
      </c>
      <c r="H1983" s="17">
        <f>IFERROR(IF(D1983="Sale",E1983*INDEX(Products!$E$6:$E$205,MATCH(C1983,Products!$B$6:$B$205,0)),IF(D1983="Return",-E1983*INDEX(Products!$E$6:$E$205,MATCH(C1983,Products!$B$6:$B$205,0)),"")),"")</f>
        <v/>
      </c>
      <c r="I1983" s="24" t="n"/>
      <c r="J1983" s="1" t="n"/>
    </row>
    <row r="1984">
      <c r="A1984" s="1" t="n"/>
      <c r="B1984" s="30" t="n"/>
      <c r="C1984" s="23" t="n"/>
      <c r="D1984" s="23" t="n"/>
      <c r="E1984" s="26" t="n"/>
      <c r="F1984" s="25" t="n"/>
      <c r="G1984" s="17">
        <f>IF(D1984="Sale",E1984*F1984,IF(D1984="Return",-E1984*F1984,""))</f>
        <v/>
      </c>
      <c r="H1984" s="17">
        <f>IFERROR(IF(D1984="Sale",E1984*INDEX(Products!$E$6:$E$205,MATCH(C1984,Products!$B$6:$B$205,0)),IF(D1984="Return",-E1984*INDEX(Products!$E$6:$E$205,MATCH(C1984,Products!$B$6:$B$205,0)),"")),"")</f>
        <v/>
      </c>
      <c r="I1984" s="24" t="n"/>
      <c r="J1984" s="1" t="n"/>
    </row>
    <row r="1985">
      <c r="A1985" s="1" t="n"/>
      <c r="B1985" s="30" t="n"/>
      <c r="C1985" s="23" t="n"/>
      <c r="D1985" s="23" t="n"/>
      <c r="E1985" s="26" t="n"/>
      <c r="F1985" s="25" t="n"/>
      <c r="G1985" s="17">
        <f>IF(D1985="Sale",E1985*F1985,IF(D1985="Return",-E1985*F1985,""))</f>
        <v/>
      </c>
      <c r="H1985" s="17">
        <f>IFERROR(IF(D1985="Sale",E1985*INDEX(Products!$E$6:$E$205,MATCH(C1985,Products!$B$6:$B$205,0)),IF(D1985="Return",-E1985*INDEX(Products!$E$6:$E$205,MATCH(C1985,Products!$B$6:$B$205,0)),"")),"")</f>
        <v/>
      </c>
      <c r="I1985" s="24" t="n"/>
      <c r="J1985" s="1" t="n"/>
    </row>
    <row r="1986">
      <c r="A1986" s="1" t="n"/>
      <c r="B1986" s="30" t="n"/>
      <c r="C1986" s="23" t="n"/>
      <c r="D1986" s="23" t="n"/>
      <c r="E1986" s="26" t="n"/>
      <c r="F1986" s="25" t="n"/>
      <c r="G1986" s="17">
        <f>IF(D1986="Sale",E1986*F1986,IF(D1986="Return",-E1986*F1986,""))</f>
        <v/>
      </c>
      <c r="H1986" s="17">
        <f>IFERROR(IF(D1986="Sale",E1986*INDEX(Products!$E$6:$E$205,MATCH(C1986,Products!$B$6:$B$205,0)),IF(D1986="Return",-E1986*INDEX(Products!$E$6:$E$205,MATCH(C1986,Products!$B$6:$B$205,0)),"")),"")</f>
        <v/>
      </c>
      <c r="I1986" s="24" t="n"/>
      <c r="J1986" s="1" t="n"/>
    </row>
    <row r="1987">
      <c r="A1987" s="1" t="n"/>
      <c r="B1987" s="30" t="n"/>
      <c r="C1987" s="23" t="n"/>
      <c r="D1987" s="23" t="n"/>
      <c r="E1987" s="26" t="n"/>
      <c r="F1987" s="25" t="n"/>
      <c r="G1987" s="17">
        <f>IF(D1987="Sale",E1987*F1987,IF(D1987="Return",-E1987*F1987,""))</f>
        <v/>
      </c>
      <c r="H1987" s="17">
        <f>IFERROR(IF(D1987="Sale",E1987*INDEX(Products!$E$6:$E$205,MATCH(C1987,Products!$B$6:$B$205,0)),IF(D1987="Return",-E1987*INDEX(Products!$E$6:$E$205,MATCH(C1987,Products!$B$6:$B$205,0)),"")),"")</f>
        <v/>
      </c>
      <c r="I1987" s="24" t="n"/>
      <c r="J1987" s="1" t="n"/>
    </row>
    <row r="1988">
      <c r="A1988" s="1" t="n"/>
      <c r="B1988" s="30" t="n"/>
      <c r="C1988" s="23" t="n"/>
      <c r="D1988" s="23" t="n"/>
      <c r="E1988" s="26" t="n"/>
      <c r="F1988" s="25" t="n"/>
      <c r="G1988" s="17">
        <f>IF(D1988="Sale",E1988*F1988,IF(D1988="Return",-E1988*F1988,""))</f>
        <v/>
      </c>
      <c r="H1988" s="17">
        <f>IFERROR(IF(D1988="Sale",E1988*INDEX(Products!$E$6:$E$205,MATCH(C1988,Products!$B$6:$B$205,0)),IF(D1988="Return",-E1988*INDEX(Products!$E$6:$E$205,MATCH(C1988,Products!$B$6:$B$205,0)),"")),"")</f>
        <v/>
      </c>
      <c r="I1988" s="24" t="n"/>
      <c r="J1988" s="1" t="n"/>
    </row>
    <row r="1989">
      <c r="A1989" s="1" t="n"/>
      <c r="B1989" s="30" t="n"/>
      <c r="C1989" s="23" t="n"/>
      <c r="D1989" s="23" t="n"/>
      <c r="E1989" s="26" t="n"/>
      <c r="F1989" s="25" t="n"/>
      <c r="G1989" s="17">
        <f>IF(D1989="Sale",E1989*F1989,IF(D1989="Return",-E1989*F1989,""))</f>
        <v/>
      </c>
      <c r="H1989" s="17">
        <f>IFERROR(IF(D1989="Sale",E1989*INDEX(Products!$E$6:$E$205,MATCH(C1989,Products!$B$6:$B$205,0)),IF(D1989="Return",-E1989*INDEX(Products!$E$6:$E$205,MATCH(C1989,Products!$B$6:$B$205,0)),"")),"")</f>
        <v/>
      </c>
      <c r="I1989" s="24" t="n"/>
      <c r="J1989" s="1" t="n"/>
    </row>
    <row r="1990">
      <c r="A1990" s="1" t="n"/>
      <c r="B1990" s="30" t="n"/>
      <c r="C1990" s="23" t="n"/>
      <c r="D1990" s="23" t="n"/>
      <c r="E1990" s="26" t="n"/>
      <c r="F1990" s="25" t="n"/>
      <c r="G1990" s="17">
        <f>IF(D1990="Sale",E1990*F1990,IF(D1990="Return",-E1990*F1990,""))</f>
        <v/>
      </c>
      <c r="H1990" s="17">
        <f>IFERROR(IF(D1990="Sale",E1990*INDEX(Products!$E$6:$E$205,MATCH(C1990,Products!$B$6:$B$205,0)),IF(D1990="Return",-E1990*INDEX(Products!$E$6:$E$205,MATCH(C1990,Products!$B$6:$B$205,0)),"")),"")</f>
        <v/>
      </c>
      <c r="I1990" s="24" t="n"/>
      <c r="J1990" s="1" t="n"/>
    </row>
    <row r="1991">
      <c r="A1991" s="1" t="n"/>
      <c r="B1991" s="30" t="n"/>
      <c r="C1991" s="23" t="n"/>
      <c r="D1991" s="23" t="n"/>
      <c r="E1991" s="26" t="n"/>
      <c r="F1991" s="25" t="n"/>
      <c r="G1991" s="17">
        <f>IF(D1991="Sale",E1991*F1991,IF(D1991="Return",-E1991*F1991,""))</f>
        <v/>
      </c>
      <c r="H1991" s="17">
        <f>IFERROR(IF(D1991="Sale",E1991*INDEX(Products!$E$6:$E$205,MATCH(C1991,Products!$B$6:$B$205,0)),IF(D1991="Return",-E1991*INDEX(Products!$E$6:$E$205,MATCH(C1991,Products!$B$6:$B$205,0)),"")),"")</f>
        <v/>
      </c>
      <c r="I1991" s="24" t="n"/>
      <c r="J1991" s="1" t="n"/>
    </row>
    <row r="1992">
      <c r="A1992" s="1" t="n"/>
      <c r="B1992" s="30" t="n"/>
      <c r="C1992" s="23" t="n"/>
      <c r="D1992" s="23" t="n"/>
      <c r="E1992" s="26" t="n"/>
      <c r="F1992" s="25" t="n"/>
      <c r="G1992" s="17">
        <f>IF(D1992="Sale",E1992*F1992,IF(D1992="Return",-E1992*F1992,""))</f>
        <v/>
      </c>
      <c r="H1992" s="17">
        <f>IFERROR(IF(D1992="Sale",E1992*INDEX(Products!$E$6:$E$205,MATCH(C1992,Products!$B$6:$B$205,0)),IF(D1992="Return",-E1992*INDEX(Products!$E$6:$E$205,MATCH(C1992,Products!$B$6:$B$205,0)),"")),"")</f>
        <v/>
      </c>
      <c r="I1992" s="24" t="n"/>
      <c r="J1992" s="1" t="n"/>
    </row>
    <row r="1993">
      <c r="A1993" s="1" t="n"/>
      <c r="B1993" s="30" t="n"/>
      <c r="C1993" s="23" t="n"/>
      <c r="D1993" s="23" t="n"/>
      <c r="E1993" s="26" t="n"/>
      <c r="F1993" s="25" t="n"/>
      <c r="G1993" s="17">
        <f>IF(D1993="Sale",E1993*F1993,IF(D1993="Return",-E1993*F1993,""))</f>
        <v/>
      </c>
      <c r="H1993" s="17">
        <f>IFERROR(IF(D1993="Sale",E1993*INDEX(Products!$E$6:$E$205,MATCH(C1993,Products!$B$6:$B$205,0)),IF(D1993="Return",-E1993*INDEX(Products!$E$6:$E$205,MATCH(C1993,Products!$B$6:$B$205,0)),"")),"")</f>
        <v/>
      </c>
      <c r="I1993" s="24" t="n"/>
      <c r="J1993" s="1" t="n"/>
    </row>
    <row r="1994">
      <c r="A1994" s="1" t="n"/>
      <c r="B1994" s="30" t="n"/>
      <c r="C1994" s="23" t="n"/>
      <c r="D1994" s="23" t="n"/>
      <c r="E1994" s="26" t="n"/>
      <c r="F1994" s="25" t="n"/>
      <c r="G1994" s="17">
        <f>IF(D1994="Sale",E1994*F1994,IF(D1994="Return",-E1994*F1994,""))</f>
        <v/>
      </c>
      <c r="H1994" s="17">
        <f>IFERROR(IF(D1994="Sale",E1994*INDEX(Products!$E$6:$E$205,MATCH(C1994,Products!$B$6:$B$205,0)),IF(D1994="Return",-E1994*INDEX(Products!$E$6:$E$205,MATCH(C1994,Products!$B$6:$B$205,0)),"")),"")</f>
        <v/>
      </c>
      <c r="I1994" s="24" t="n"/>
      <c r="J1994" s="1" t="n"/>
    </row>
    <row r="1995">
      <c r="A1995" s="1" t="n"/>
      <c r="B1995" s="30" t="n"/>
      <c r="C1995" s="23" t="n"/>
      <c r="D1995" s="23" t="n"/>
      <c r="E1995" s="26" t="n"/>
      <c r="F1995" s="25" t="n"/>
      <c r="G1995" s="17">
        <f>IF(D1995="Sale",E1995*F1995,IF(D1995="Return",-E1995*F1995,""))</f>
        <v/>
      </c>
      <c r="H1995" s="17">
        <f>IFERROR(IF(D1995="Sale",E1995*INDEX(Products!$E$6:$E$205,MATCH(C1995,Products!$B$6:$B$205,0)),IF(D1995="Return",-E1995*INDEX(Products!$E$6:$E$205,MATCH(C1995,Products!$B$6:$B$205,0)),"")),"")</f>
        <v/>
      </c>
      <c r="I1995" s="24" t="n"/>
      <c r="J1995" s="1" t="n"/>
    </row>
    <row r="1996">
      <c r="A1996" s="1" t="n"/>
      <c r="B1996" s="30" t="n"/>
      <c r="C1996" s="23" t="n"/>
      <c r="D1996" s="23" t="n"/>
      <c r="E1996" s="26" t="n"/>
      <c r="F1996" s="25" t="n"/>
      <c r="G1996" s="17">
        <f>IF(D1996="Sale",E1996*F1996,IF(D1996="Return",-E1996*F1996,""))</f>
        <v/>
      </c>
      <c r="H1996" s="17">
        <f>IFERROR(IF(D1996="Sale",E1996*INDEX(Products!$E$6:$E$205,MATCH(C1996,Products!$B$6:$B$205,0)),IF(D1996="Return",-E1996*INDEX(Products!$E$6:$E$205,MATCH(C1996,Products!$B$6:$B$205,0)),"")),"")</f>
        <v/>
      </c>
      <c r="I1996" s="24" t="n"/>
      <c r="J1996" s="1" t="n"/>
    </row>
    <row r="1997">
      <c r="A1997" s="1" t="n"/>
      <c r="B1997" s="30" t="n"/>
      <c r="C1997" s="23" t="n"/>
      <c r="D1997" s="23" t="n"/>
      <c r="E1997" s="26" t="n"/>
      <c r="F1997" s="25" t="n"/>
      <c r="G1997" s="17">
        <f>IF(D1997="Sale",E1997*F1997,IF(D1997="Return",-E1997*F1997,""))</f>
        <v/>
      </c>
      <c r="H1997" s="17">
        <f>IFERROR(IF(D1997="Sale",E1997*INDEX(Products!$E$6:$E$205,MATCH(C1997,Products!$B$6:$B$205,0)),IF(D1997="Return",-E1997*INDEX(Products!$E$6:$E$205,MATCH(C1997,Products!$B$6:$B$205,0)),"")),"")</f>
        <v/>
      </c>
      <c r="I1997" s="24" t="n"/>
      <c r="J1997" s="1" t="n"/>
    </row>
    <row r="1998">
      <c r="A1998" s="1" t="n"/>
      <c r="B1998" s="30" t="n"/>
      <c r="C1998" s="23" t="n"/>
      <c r="D1998" s="23" t="n"/>
      <c r="E1998" s="26" t="n"/>
      <c r="F1998" s="25" t="n"/>
      <c r="G1998" s="17">
        <f>IF(D1998="Sale",E1998*F1998,IF(D1998="Return",-E1998*F1998,""))</f>
        <v/>
      </c>
      <c r="H1998" s="17">
        <f>IFERROR(IF(D1998="Sale",E1998*INDEX(Products!$E$6:$E$205,MATCH(C1998,Products!$B$6:$B$205,0)),IF(D1998="Return",-E1998*INDEX(Products!$E$6:$E$205,MATCH(C1998,Products!$B$6:$B$205,0)),"")),"")</f>
        <v/>
      </c>
      <c r="I1998" s="24" t="n"/>
      <c r="J1998" s="1" t="n"/>
    </row>
    <row r="1999">
      <c r="A1999" s="1" t="n"/>
      <c r="B1999" s="30" t="n"/>
      <c r="C1999" s="23" t="n"/>
      <c r="D1999" s="23" t="n"/>
      <c r="E1999" s="26" t="n"/>
      <c r="F1999" s="25" t="n"/>
      <c r="G1999" s="17">
        <f>IF(D1999="Sale",E1999*F1999,IF(D1999="Return",-E1999*F1999,""))</f>
        <v/>
      </c>
      <c r="H1999" s="17">
        <f>IFERROR(IF(D1999="Sale",E1999*INDEX(Products!$E$6:$E$205,MATCH(C1999,Products!$B$6:$B$205,0)),IF(D1999="Return",-E1999*INDEX(Products!$E$6:$E$205,MATCH(C1999,Products!$B$6:$B$205,0)),"")),"")</f>
        <v/>
      </c>
      <c r="I1999" s="24" t="n"/>
      <c r="J1999" s="1" t="n"/>
    </row>
    <row r="2000">
      <c r="A2000" s="1" t="n"/>
      <c r="B2000" s="30" t="n"/>
      <c r="C2000" s="23" t="n"/>
      <c r="D2000" s="23" t="n"/>
      <c r="E2000" s="26" t="n"/>
      <c r="F2000" s="25" t="n"/>
      <c r="G2000" s="17">
        <f>IF(D2000="Sale",E2000*F2000,IF(D2000="Return",-E2000*F2000,""))</f>
        <v/>
      </c>
      <c r="H2000" s="17">
        <f>IFERROR(IF(D2000="Sale",E2000*INDEX(Products!$E$6:$E$205,MATCH(C2000,Products!$B$6:$B$205,0)),IF(D2000="Return",-E2000*INDEX(Products!$E$6:$E$205,MATCH(C2000,Products!$B$6:$B$205,0)),"")),"")</f>
        <v/>
      </c>
      <c r="I2000" s="24" t="n"/>
      <c r="J2000" s="1" t="n"/>
    </row>
    <row r="2001">
      <c r="A2001" s="1" t="n"/>
      <c r="B2001" s="30" t="n"/>
      <c r="C2001" s="23" t="n"/>
      <c r="D2001" s="23" t="n"/>
      <c r="E2001" s="26" t="n"/>
      <c r="F2001" s="25" t="n"/>
      <c r="G2001" s="17">
        <f>IF(D2001="Sale",E2001*F2001,IF(D2001="Return",-E2001*F2001,""))</f>
        <v/>
      </c>
      <c r="H2001" s="17">
        <f>IFERROR(IF(D2001="Sale",E2001*INDEX(Products!$E$6:$E$205,MATCH(C2001,Products!$B$6:$B$205,0)),IF(D2001="Return",-E2001*INDEX(Products!$E$6:$E$205,MATCH(C2001,Products!$B$6:$B$205,0)),"")),"")</f>
        <v/>
      </c>
      <c r="I2001" s="24" t="n"/>
      <c r="J2001" s="1" t="n"/>
    </row>
    <row r="2002">
      <c r="A2002" s="1" t="n"/>
      <c r="B2002" s="30" t="n"/>
      <c r="C2002" s="23" t="n"/>
      <c r="D2002" s="23" t="n"/>
      <c r="E2002" s="26" t="n"/>
      <c r="F2002" s="25" t="n"/>
      <c r="G2002" s="17">
        <f>IF(D2002="Sale",E2002*F2002,IF(D2002="Return",-E2002*F2002,""))</f>
        <v/>
      </c>
      <c r="H2002" s="17">
        <f>IFERROR(IF(D2002="Sale",E2002*INDEX(Products!$E$6:$E$205,MATCH(C2002,Products!$B$6:$B$205,0)),IF(D2002="Return",-E2002*INDEX(Products!$E$6:$E$205,MATCH(C2002,Products!$B$6:$B$205,0)),"")),"")</f>
        <v/>
      </c>
      <c r="I2002" s="24" t="n"/>
      <c r="J2002" s="1" t="n"/>
    </row>
    <row r="2003">
      <c r="A2003" s="1" t="n"/>
      <c r="B2003" s="30" t="n"/>
      <c r="C2003" s="23" t="n"/>
      <c r="D2003" s="23" t="n"/>
      <c r="E2003" s="26" t="n"/>
      <c r="F2003" s="25" t="n"/>
      <c r="G2003" s="17">
        <f>IF(D2003="Sale",E2003*F2003,IF(D2003="Return",-E2003*F2003,""))</f>
        <v/>
      </c>
      <c r="H2003" s="17">
        <f>IFERROR(IF(D2003="Sale",E2003*INDEX(Products!$E$6:$E$205,MATCH(C2003,Products!$B$6:$B$205,0)),IF(D2003="Return",-E2003*INDEX(Products!$E$6:$E$205,MATCH(C2003,Products!$B$6:$B$205,0)),"")),"")</f>
        <v/>
      </c>
      <c r="I2003" s="24" t="n"/>
      <c r="J2003" s="1" t="n"/>
    </row>
    <row r="2004">
      <c r="A2004" s="1" t="n"/>
      <c r="B2004" s="30" t="n"/>
      <c r="C2004" s="23" t="n"/>
      <c r="D2004" s="23" t="n"/>
      <c r="E2004" s="26" t="n"/>
      <c r="F2004" s="25" t="n"/>
      <c r="G2004" s="17">
        <f>IF(D2004="Sale",E2004*F2004,IF(D2004="Return",-E2004*F2004,""))</f>
        <v/>
      </c>
      <c r="H2004" s="17">
        <f>IFERROR(IF(D2004="Sale",E2004*INDEX(Products!$E$6:$E$205,MATCH(C2004,Products!$B$6:$B$205,0)),IF(D2004="Return",-E2004*INDEX(Products!$E$6:$E$205,MATCH(C2004,Products!$B$6:$B$205,0)),"")),"")</f>
        <v/>
      </c>
      <c r="I2004" s="24" t="n"/>
      <c r="J2004" s="1" t="n"/>
    </row>
    <row r="2005">
      <c r="A2005" s="1" t="n"/>
      <c r="B2005" s="30" t="n"/>
      <c r="C2005" s="23" t="n"/>
      <c r="D2005" s="23" t="n"/>
      <c r="E2005" s="26" t="n"/>
      <c r="F2005" s="25" t="n"/>
      <c r="G2005" s="17">
        <f>IF(D2005="Sale",E2005*F2005,IF(D2005="Return",-E2005*F2005,""))</f>
        <v/>
      </c>
      <c r="H2005" s="17">
        <f>IFERROR(IF(D2005="Sale",E2005*INDEX(Products!$E$6:$E$205,MATCH(C2005,Products!$B$6:$B$205,0)),IF(D2005="Return",-E2005*INDEX(Products!$E$6:$E$205,MATCH(C2005,Products!$B$6:$B$205,0)),"")),"")</f>
        <v/>
      </c>
      <c r="I2005" s="24" t="n"/>
      <c r="J2005" s="1" t="n"/>
    </row>
    <row r="2006">
      <c r="A2006" s="1" t="n"/>
      <c r="B2006" s="1" t="n"/>
      <c r="C2006" s="1" t="n"/>
      <c r="D2006" s="1" t="n"/>
      <c r="E2006" s="1" t="n"/>
      <c r="F2006" s="1" t="n"/>
      <c r="G2006" s="1" t="n"/>
      <c r="H2006" s="1" t="n"/>
      <c r="I2006" s="1" t="n"/>
      <c r="J2006" s="1" t="n"/>
    </row>
  </sheetData>
  <dataValidations count="2">
    <dataValidation sqref="C6:C2005" showDropDown="0" showInputMessage="0" showErrorMessage="0" allowBlank="1" type="list">
      <formula1>=Products!$B$6:$B$205</formula1>
    </dataValidation>
    <dataValidation sqref="D6:D2005" showDropDown="0" showInputMessage="0" showErrorMessage="0" allowBlank="1" type="list">
      <formula1>"Purchase,Sale,Return,Adjustment"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 Everything else is calculated.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31" t="inlineStr">
        <is>
          <t>1</t>
        </is>
      </c>
      <c r="C5" s="32" t="inlineStr">
        <is>
          <t>Products: add each product once, with its code, cost, price, stock today and reorder level.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31" t="inlineStr">
        <is>
          <t>2</t>
        </is>
      </c>
      <c r="C7" s="32" t="inlineStr">
        <is>
          <t>Stock Moves: add a line each time stock changes (Purchase, Sale, Return or Adjustment).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31" t="inlineStr">
        <is>
          <t>3</t>
        </is>
      </c>
      <c r="C9" s="32" t="inlineStr">
        <is>
          <t>Broken, lost or gifted items: add an Adjustment with a negative quantity.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31" t="inlineStr">
        <is>
          <t>4</t>
        </is>
      </c>
      <c r="C11" s="32" t="inlineStr">
        <is>
          <t>Products then shows the stock you have. Orange means reorder, red means sold out.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31" t="inlineStr">
        <is>
          <t>5</t>
        </is>
      </c>
      <c r="C13" s="32" t="inlineStr">
        <is>
          <t>Dashboard: sales, profit and units for the month you pick, and the value of your stock.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The example products and moves show how it works. Delete them and add your own.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Works in Google Sheets and Microsoft Excel, in any currency.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2026-09-28T10:29:50Z</dcterms:created>
  <dcterms:modified xsi:type="dcterms:W3CDTF">2026-09-28T10:29:53Z</dcterms:modified>
</cp:coreProperties>
</file>