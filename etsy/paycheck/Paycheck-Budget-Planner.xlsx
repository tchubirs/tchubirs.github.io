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ttings" sheetId="2" state="visible" r:id="rId2"/>
    <sheet name="Bills" sheetId="3" state="visible" r:id="rId3"/>
    <sheet name="Paychecks" sheetId="4" state="visible" r:id="rId4"/>
    <sheet name="Start He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#,##0.00;[Red]-#,##0.00"/>
  </numFmts>
  <fonts count="14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b val="1"/>
      <color rgb="00FFFFFF"/>
      <sz val="11"/>
    </font>
    <font>
      <name val="Arial"/>
      <color rgb="001E2A2F"/>
      <sz val="11"/>
    </font>
    <font>
      <name val="Arial"/>
      <i val="1"/>
      <color rgb="006B7B80"/>
      <sz val="9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4541F"/>
      <sz val="16"/>
    </font>
    <font>
      <name val="Arial"/>
      <b val="1"/>
      <color rgb="00FFFFFF"/>
      <sz val="18"/>
    </font>
    <font>
      <name val="Arial"/>
      <b val="1"/>
      <color rgb="001F6F78"/>
      <sz val="18"/>
    </font>
    <font>
      <name val="Arial"/>
      <color rgb="001E2A2F"/>
      <sz val="13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  <fill>
      <patternFill patternType="solid">
        <fgColor rgb="0015525A"/>
        <bgColor rgb="0015525A"/>
      </patternFill>
    </fill>
    <fill>
      <patternFill patternType="solid">
        <fgColor rgb="00E3E8FF"/>
        <bgColor rgb="00E3E8FF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165" fontId="3" fillId="3" borderId="1" applyAlignment="1" pivotButton="0" quotePrefix="0" xfId="0">
      <alignment horizontal="center" vertical="center"/>
    </xf>
    <xf numFmtId="0" fontId="7" fillId="2" borderId="0" pivotButton="0" quotePrefix="0" xfId="0"/>
    <xf numFmtId="0" fontId="8" fillId="2" borderId="1" pivotButton="0" quotePrefix="0" xfId="0"/>
    <xf numFmtId="0" fontId="5" fillId="5" borderId="0" applyAlignment="1" pivotButton="0" quotePrefix="0" xfId="0">
      <alignment horizontal="center" vertical="center"/>
    </xf>
    <xf numFmtId="4" fontId="9" fillId="2" borderId="1" pivotButton="0" quotePrefix="0" xfId="0"/>
    <xf numFmtId="4" fontId="10" fillId="2" borderId="1" pivotButton="0" quotePrefix="0" xfId="0"/>
    <xf numFmtId="1" fontId="9" fillId="2" borderId="1" pivotButton="0" quotePrefix="0" xfId="0"/>
    <xf numFmtId="166" fontId="9" fillId="2" borderId="1" pivotButton="0" quotePrefix="0" xfId="0"/>
    <xf numFmtId="0" fontId="11" fillId="5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65" fontId="6" fillId="2" borderId="1" applyAlignment="1" pivotButton="0" quotePrefix="0" xfId="0">
      <alignment horizontal="center" vertical="center"/>
    </xf>
    <xf numFmtId="0" fontId="6" fillId="2" borderId="1" pivotButton="0" quotePrefix="0" xfId="0"/>
    <xf numFmtId="4" fontId="6" fillId="2" borderId="1" pivotButton="0" quotePrefix="0" xfId="0"/>
    <xf numFmtId="0" fontId="6" fillId="2" borderId="1" applyAlignment="1" pivotButton="0" quotePrefix="0" xfId="0">
      <alignment horizontal="center" vertical="center"/>
    </xf>
    <xf numFmtId="0" fontId="3" fillId="2" borderId="1" pivotButton="0" quotePrefix="0" xfId="0"/>
    <xf numFmtId="1" fontId="6" fillId="2" borderId="1" pivotButton="0" quotePrefix="0" xfId="0"/>
    <xf numFmtId="166" fontId="6" fillId="2" borderId="1" pivotButton="0" quotePrefix="0" xfId="0"/>
    <xf numFmtId="0" fontId="6" fillId="6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2" borderId="0" pivotButton="0" quotePrefix="0" xfId="0"/>
    <xf numFmtId="1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4" fontId="6" fillId="3" borderId="1" pivotButton="0" quotePrefix="0" xfId="0"/>
    <xf numFmtId="1" fontId="6" fillId="3" borderId="1" applyAlignment="1" pivotButton="0" quotePrefix="0" xfId="0">
      <alignment horizontal="center" vertical="center"/>
    </xf>
    <xf numFmtId="0" fontId="6" fillId="3" borderId="1" pivotButton="0" quotePrefix="0" xfId="0"/>
    <xf numFmtId="0" fontId="6" fillId="3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6" fontId="3" fillId="2" borderId="1" pivotButton="0" quotePrefix="0" xfId="0"/>
    <xf numFmtId="1" fontId="6" fillId="2" borderId="1" applyAlignment="1" pivotButton="0" quotePrefix="0" xfId="0">
      <alignment horizontal="center" vertical="center"/>
    </xf>
    <xf numFmtId="0" fontId="12" fillId="2" borderId="0" pivotButton="0" quotePrefix="0" xfId="0"/>
    <xf numFmtId="0" fontId="13" fillId="2" borderId="0" pivotButton="0" quotePrefix="0" xfId="0"/>
  </cellXfs>
  <cellStyles count="1">
    <cellStyle name="Normal" xfId="0" builtinId="0" hidden="0"/>
  </cellStyles>
  <dxfs count="6">
    <dxf>
      <font>
        <name val="Arial"/>
        <b val="1"/>
        <color rgb="009B1C1C"/>
      </font>
      <fill>
        <patternFill patternType="solid">
          <fgColor rgb="00F9C9C4"/>
          <bgColor rgb="00F9C9C4"/>
        </patternFill>
      </fill>
    </dxf>
    <dxf>
      <font>
        <name val="Arial"/>
        <b val="1"/>
        <color rgb="001E2A2F"/>
      </font>
      <fill>
        <patternFill patternType="solid">
          <fgColor rgb="00FFE2B8"/>
          <bgColor rgb="00FFE2B8"/>
        </patternFill>
      </fill>
    </dxf>
    <dxf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D8F0DC"/>
          <bgColor rgb="00D8F0DC"/>
        </patternFill>
      </fill>
    </dxf>
    <dxf>
      <font>
        <name val="Arial"/>
        <b val="1"/>
      </font>
      <fill>
        <patternFill patternType="solid">
          <fgColor rgb="00E6F2F2"/>
          <bgColor rgb="00E6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Left to spend from each paycheck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'Paychecks'!H5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'Paychecks'!$B$6:$B$58</f>
            </numRef>
          </cat>
          <val>
            <numRef>
              <f>'Paychecks'!$H$6:$H$58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DD 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23</row>
      <rowOff>0</rowOff>
    </from>
    <ext cx="79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4" customWidth="1" min="3" max="3"/>
    <col width="13" customWidth="1" min="4" max="4"/>
    <col width="11" customWidth="1" min="5" max="5"/>
    <col width="14" customWidth="1" min="6" max="6"/>
    <col width="14" customWidth="1" min="7" max="7"/>
    <col width="3" customWidth="1" min="8" max="8"/>
    <col width="30" customWidth="1" min="9" max="9"/>
    <col width="15" customWidth="1" min="10" max="10"/>
    <col width="3" customWidth="1" min="11" max="11"/>
    <col hidden="1" width="13" customWidth="1" min="13" max="13"/>
    <col hidden="1" width="13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N1">
        <f>IFERROR(INDEX(Paychecks!$E$6:$E$58,MATCH($C$4,Paychecks!$B$6:$B$58,0)),"")</f>
        <v/>
      </c>
    </row>
    <row r="2" ht="32" customHeight="1">
      <c r="A2" s="1" t="n"/>
      <c r="B2" s="2" t="inlineStr">
        <is>
          <t>Paycheck budget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N2">
        <f>MATCH($C$4,Paychecks!$B$6:$B$58,0)</f>
        <v/>
      </c>
    </row>
    <row r="3">
      <c r="A3" s="1" t="n"/>
      <c r="B3" s="3" t="inlineStr">
        <is>
          <t>Pick a paycheck to see the bills it covers and what is left to spend.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4" t="inlineStr">
        <is>
          <t>Paycheck of</t>
        </is>
      </c>
      <c r="C4" s="5">
        <f>IF(COUNTIF(Paychecks!$B$6:$B$58,"&lt;="&amp;TODAY())=0,INDEX(Paychecks!$B$6:$B$58,1),INDEX(Paychecks!$B$6:$B$58,COUNTIF(Paychecks!$B$6:$B$58,"&lt;="&amp;TODAY())))</f>
        <v/>
      </c>
      <c r="D4" s="6" t="inlineStr">
        <is>
          <t>The paycheck you are on today is picked for you. Choose another date to plan ahead.</t>
        </is>
      </c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>
      <c r="A6" s="1" t="n"/>
      <c r="B6" s="7" t="inlineStr">
        <is>
          <t>Paycheck</t>
        </is>
      </c>
      <c r="C6" s="7" t="inlineStr">
        <is>
          <t>Bills to pay from it</t>
        </is>
      </c>
      <c r="D6" s="7" t="inlineStr">
        <is>
          <t>Savings</t>
        </is>
      </c>
      <c r="E6" s="7" t="inlineStr">
        <is>
          <t>Days</t>
        </is>
      </c>
      <c r="F6" s="7" t="inlineStr">
        <is>
          <t>Left to spend</t>
        </is>
      </c>
      <c r="G6" s="7" t="inlineStr">
        <is>
          <t>Per day</t>
        </is>
      </c>
      <c r="H6" s="1" t="n"/>
      <c r="I6" s="8" t="inlineStr">
        <is>
          <t>This paycheck</t>
        </is>
      </c>
      <c r="K6" s="1" t="n"/>
      <c r="L6" s="1" t="n"/>
    </row>
    <row r="7" ht="34" customHeight="1">
      <c r="A7" s="1" t="n"/>
      <c r="B7" s="9">
        <f>IFERROR(INDEX(Paychecks!$C$6:$C$58,$N$2),"")</f>
        <v/>
      </c>
      <c r="C7" s="10">
        <f>IFERROR(INDEX(Paychecks!$F$6:$F$58,$N$2),"")</f>
        <v/>
      </c>
      <c r="D7" s="9">
        <f>IFERROR(INDEX(Paychecks!$G$6:$G$58,$N$2),"")</f>
        <v/>
      </c>
      <c r="E7" s="11">
        <f>IFERROR(INDEX(Paychecks!$I$6:$I$58,$N$2),"")</f>
        <v/>
      </c>
      <c r="F7" s="12">
        <f>IFERROR(INDEX(Paychecks!$H$6:$H$58,$N$2),"")</f>
        <v/>
      </c>
      <c r="G7" s="12">
        <f>IFERROR(INDEX(Paychecks!$J$6:$J$58,$N$2),"")</f>
        <v/>
      </c>
      <c r="H7" s="1" t="n"/>
      <c r="I7" s="13">
        <f>IFERROR(INDEX(Paychecks!$K$6:$K$58,$N$2),"")</f>
        <v/>
      </c>
      <c r="K7" s="1" t="n"/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30" customHeight="1">
      <c r="A9" s="1" t="n"/>
      <c r="B9" s="14" t="inlineStr">
        <is>
          <t>Due</t>
        </is>
      </c>
      <c r="C9" s="14" t="inlineStr">
        <is>
          <t>Bill</t>
        </is>
      </c>
      <c r="D9" s="14" t="inlineStr">
        <is>
          <t>Amount</t>
        </is>
      </c>
      <c r="E9" s="14" t="inlineStr">
        <is>
          <t>Autopay</t>
        </is>
      </c>
      <c r="F9" s="14" t="inlineStr">
        <is>
          <t>Category</t>
        </is>
      </c>
      <c r="G9" s="1" t="n"/>
      <c r="H9" s="1" t="n"/>
      <c r="I9" s="14" t="inlineStr">
        <is>
          <t>The 12 months</t>
        </is>
      </c>
      <c r="J9" s="14" t="inlineStr">
        <is>
          <t>Total</t>
        </is>
      </c>
      <c r="K9" s="1" t="n"/>
      <c r="L9" s="1" t="n"/>
    </row>
    <row r="10">
      <c r="A10" s="1" t="n"/>
      <c r="B10" s="15">
        <f>IF($M10="","",INT($M10))</f>
        <v/>
      </c>
      <c r="C10" s="16">
        <f>IF($M10="","",INDEX(Bills!$B$6:$B$55,MATCH($M10,Bills!$AK$6:$AK$55,0)))</f>
        <v/>
      </c>
      <c r="D10" s="17">
        <f>IF($M10="","",INDEX(Bills!$C$6:$C$55,MATCH($M10,Bills!$AK$6:$AK$55,0)))</f>
        <v/>
      </c>
      <c r="E10" s="18">
        <f>IF($M10="","",INDEX(Bills!$G$6:$G$55,MATCH($M10,Bills!$AK$6:$AK$55,0)))</f>
        <v/>
      </c>
      <c r="F10" s="16">
        <f>IF($M10="","",INDEX(Bills!$F$6:$F$55,MATCH($M10,Bills!$AK$6:$AK$55,0)))</f>
        <v/>
      </c>
      <c r="G10" s="1" t="n"/>
      <c r="H10" s="1" t="n"/>
      <c r="I10" s="19" t="inlineStr">
        <is>
          <t>Paychecks</t>
        </is>
      </c>
      <c r="J10" s="20">
        <f>COUNTIFS(Paychecks!$B$6:$B$58,"&gt;0")</f>
        <v/>
      </c>
      <c r="K10" s="1" t="n"/>
      <c r="L10" s="1" t="n"/>
      <c r="M10">
        <f>IFERROR(SMALL(Bills!$AK$6:$AK$55,1),"")</f>
        <v/>
      </c>
    </row>
    <row r="11">
      <c r="A11" s="1" t="n"/>
      <c r="B11" s="15">
        <f>IF($M11="","",INT($M11))</f>
        <v/>
      </c>
      <c r="C11" s="16">
        <f>IF($M11="","",INDEX(Bills!$B$6:$B$55,MATCH($M11,Bills!$AK$6:$AK$55,0)))</f>
        <v/>
      </c>
      <c r="D11" s="17">
        <f>IF($M11="","",INDEX(Bills!$C$6:$C$55,MATCH($M11,Bills!$AK$6:$AK$55,0)))</f>
        <v/>
      </c>
      <c r="E11" s="18">
        <f>IF($M11="","",INDEX(Bills!$G$6:$G$55,MATCH($M11,Bills!$AK$6:$AK$55,0)))</f>
        <v/>
      </c>
      <c r="F11" s="16">
        <f>IF($M11="","",INDEX(Bills!$F$6:$F$55,MATCH($M11,Bills!$AK$6:$AK$55,0)))</f>
        <v/>
      </c>
      <c r="G11" s="1" t="n"/>
      <c r="H11" s="1" t="n"/>
      <c r="I11" s="19" t="inlineStr">
        <is>
          <t>Income</t>
        </is>
      </c>
      <c r="J11" s="17">
        <f>SUM(Paychecks!$C$6:$C$58)</f>
        <v/>
      </c>
      <c r="K11" s="1" t="n"/>
      <c r="L11" s="1" t="n"/>
      <c r="M11">
        <f>IFERROR(SMALL(Bills!$AK$6:$AK$55,2),"")</f>
        <v/>
      </c>
    </row>
    <row r="12">
      <c r="A12" s="1" t="n"/>
      <c r="B12" s="15">
        <f>IF($M12="","",INT($M12))</f>
        <v/>
      </c>
      <c r="C12" s="16">
        <f>IF($M12="","",INDEX(Bills!$B$6:$B$55,MATCH($M12,Bills!$AK$6:$AK$55,0)))</f>
        <v/>
      </c>
      <c r="D12" s="17">
        <f>IF($M12="","",INDEX(Bills!$C$6:$C$55,MATCH($M12,Bills!$AK$6:$AK$55,0)))</f>
        <v/>
      </c>
      <c r="E12" s="18">
        <f>IF($M12="","",INDEX(Bills!$G$6:$G$55,MATCH($M12,Bills!$AK$6:$AK$55,0)))</f>
        <v/>
      </c>
      <c r="F12" s="16">
        <f>IF($M12="","",INDEX(Bills!$F$6:$F$55,MATCH($M12,Bills!$AK$6:$AK$55,0)))</f>
        <v/>
      </c>
      <c r="G12" s="1" t="n"/>
      <c r="H12" s="1" t="n"/>
      <c r="I12" s="19" t="inlineStr">
        <is>
          <t>Bills</t>
        </is>
      </c>
      <c r="J12" s="17">
        <f>SUM(Paychecks!$F$6:$F$58)</f>
        <v/>
      </c>
      <c r="K12" s="1" t="n"/>
      <c r="L12" s="1" t="n"/>
      <c r="M12">
        <f>IFERROR(SMALL(Bills!$AK$6:$AK$55,3),"")</f>
        <v/>
      </c>
    </row>
    <row r="13">
      <c r="A13" s="1" t="n"/>
      <c r="B13" s="15">
        <f>IF($M13="","",INT($M13))</f>
        <v/>
      </c>
      <c r="C13" s="16">
        <f>IF($M13="","",INDEX(Bills!$B$6:$B$55,MATCH($M13,Bills!$AK$6:$AK$55,0)))</f>
        <v/>
      </c>
      <c r="D13" s="17">
        <f>IF($M13="","",INDEX(Bills!$C$6:$C$55,MATCH($M13,Bills!$AK$6:$AK$55,0)))</f>
        <v/>
      </c>
      <c r="E13" s="18">
        <f>IF($M13="","",INDEX(Bills!$G$6:$G$55,MATCH($M13,Bills!$AK$6:$AK$55,0)))</f>
        <v/>
      </c>
      <c r="F13" s="16">
        <f>IF($M13="","",INDEX(Bills!$F$6:$F$55,MATCH($M13,Bills!$AK$6:$AK$55,0)))</f>
        <v/>
      </c>
      <c r="G13" s="1" t="n"/>
      <c r="H13" s="1" t="n"/>
      <c r="I13" s="19" t="inlineStr">
        <is>
          <t>Savings</t>
        </is>
      </c>
      <c r="J13" s="17">
        <f>SUM(Paychecks!$G$6:$G$58)</f>
        <v/>
      </c>
      <c r="K13" s="1" t="n"/>
      <c r="L13" s="1" t="n"/>
      <c r="M13">
        <f>IFERROR(SMALL(Bills!$AK$6:$AK$55,4),"")</f>
        <v/>
      </c>
    </row>
    <row r="14">
      <c r="A14" s="1" t="n"/>
      <c r="B14" s="15">
        <f>IF($M14="","",INT($M14))</f>
        <v/>
      </c>
      <c r="C14" s="16">
        <f>IF($M14="","",INDEX(Bills!$B$6:$B$55,MATCH($M14,Bills!$AK$6:$AK$55,0)))</f>
        <v/>
      </c>
      <c r="D14" s="17">
        <f>IF($M14="","",INDEX(Bills!$C$6:$C$55,MATCH($M14,Bills!$AK$6:$AK$55,0)))</f>
        <v/>
      </c>
      <c r="E14" s="18">
        <f>IF($M14="","",INDEX(Bills!$G$6:$G$55,MATCH($M14,Bills!$AK$6:$AK$55,0)))</f>
        <v/>
      </c>
      <c r="F14" s="16">
        <f>IF($M14="","",INDEX(Bills!$F$6:$F$55,MATCH($M14,Bills!$AK$6:$AK$55,0)))</f>
        <v/>
      </c>
      <c r="G14" s="1" t="n"/>
      <c r="H14" s="1" t="n"/>
      <c r="I14" s="19" t="inlineStr">
        <is>
          <t>Left to spend</t>
        </is>
      </c>
      <c r="J14" s="21">
        <f>SUM(Paychecks!$H$6:$H$58)</f>
        <v/>
      </c>
      <c r="K14" s="1" t="n"/>
      <c r="L14" s="1" t="n"/>
      <c r="M14">
        <f>IFERROR(SMALL(Bills!$AK$6:$AK$55,5),"")</f>
        <v/>
      </c>
    </row>
    <row r="15">
      <c r="A15" s="1" t="n"/>
      <c r="B15" s="15">
        <f>IF($M15="","",INT($M15))</f>
        <v/>
      </c>
      <c r="C15" s="16">
        <f>IF($M15="","",INDEX(Bills!$B$6:$B$55,MATCH($M15,Bills!$AK$6:$AK$55,0)))</f>
        <v/>
      </c>
      <c r="D15" s="17">
        <f>IF($M15="","",INDEX(Bills!$C$6:$C$55,MATCH($M15,Bills!$AK$6:$AK$55,0)))</f>
        <v/>
      </c>
      <c r="E15" s="18">
        <f>IF($M15="","",INDEX(Bills!$G$6:$G$55,MATCH($M15,Bills!$AK$6:$AK$55,0)))</f>
        <v/>
      </c>
      <c r="F15" s="16">
        <f>IF($M15="","",INDEX(Bills!$F$6:$F$55,MATCH($M15,Bills!$AK$6:$AK$55,0)))</f>
        <v/>
      </c>
      <c r="G15" s="1" t="n"/>
      <c r="H15" s="1" t="n"/>
      <c r="I15" s="19" t="inlineStr">
        <is>
          <t>Tight paychecks</t>
        </is>
      </c>
      <c r="J15" s="20">
        <f>COUNTIFS(Paychecks!$K$6:$K$58,"Tight")</f>
        <v/>
      </c>
      <c r="K15" s="1" t="n"/>
      <c r="L15" s="1" t="n"/>
      <c r="M15">
        <f>IFERROR(SMALL(Bills!$AK$6:$AK$55,6),"")</f>
        <v/>
      </c>
    </row>
    <row r="16">
      <c r="A16" s="1" t="n"/>
      <c r="B16" s="15">
        <f>IF($M16="","",INT($M16))</f>
        <v/>
      </c>
      <c r="C16" s="16">
        <f>IF($M16="","",INDEX(Bills!$B$6:$B$55,MATCH($M16,Bills!$AK$6:$AK$55,0)))</f>
        <v/>
      </c>
      <c r="D16" s="17">
        <f>IF($M16="","",INDEX(Bills!$C$6:$C$55,MATCH($M16,Bills!$AK$6:$AK$55,0)))</f>
        <v/>
      </c>
      <c r="E16" s="18">
        <f>IF($M16="","",INDEX(Bills!$G$6:$G$55,MATCH($M16,Bills!$AK$6:$AK$55,0)))</f>
        <v/>
      </c>
      <c r="F16" s="16">
        <f>IF($M16="","",INDEX(Bills!$F$6:$F$55,MATCH($M16,Bills!$AK$6:$AK$55,0)))</f>
        <v/>
      </c>
      <c r="G16" s="1" t="n"/>
      <c r="H16" s="1" t="n"/>
      <c r="I16" s="19" t="inlineStr">
        <is>
          <t>Short paychecks</t>
        </is>
      </c>
      <c r="J16" s="20">
        <f>COUNTIFS(Paychecks!$K$6:$K$58,"Short*")</f>
        <v/>
      </c>
      <c r="K16" s="1" t="n"/>
      <c r="L16" s="1" t="n"/>
      <c r="M16">
        <f>IFERROR(SMALL(Bills!$AK$6:$AK$55,7),"")</f>
        <v/>
      </c>
    </row>
    <row r="17">
      <c r="A17" s="1" t="n"/>
      <c r="B17" s="15">
        <f>IF($M17="","",INT($M17))</f>
        <v/>
      </c>
      <c r="C17" s="16">
        <f>IF($M17="","",INDEX(Bills!$B$6:$B$55,MATCH($M17,Bills!$AK$6:$AK$55,0)))</f>
        <v/>
      </c>
      <c r="D17" s="17">
        <f>IF($M17="","",INDEX(Bills!$C$6:$C$55,MATCH($M17,Bills!$AK$6:$AK$55,0)))</f>
        <v/>
      </c>
      <c r="E17" s="18">
        <f>IF($M17="","",INDEX(Bills!$G$6:$G$55,MATCH($M17,Bills!$AK$6:$AK$55,0)))</f>
        <v/>
      </c>
      <c r="F17" s="16">
        <f>IF($M17="","",INDEX(Bills!$F$6:$F$55,MATCH($M17,Bills!$AK$6:$AK$55,0)))</f>
        <v/>
      </c>
      <c r="G17" s="1" t="n"/>
      <c r="H17" s="1" t="n"/>
      <c r="I17" s="1" t="n"/>
      <c r="J17" s="1" t="n"/>
      <c r="K17" s="1" t="n"/>
      <c r="L17" s="1" t="n"/>
      <c r="M17">
        <f>IFERROR(SMALL(Bills!$AK$6:$AK$55,8),"")</f>
        <v/>
      </c>
    </row>
    <row r="18">
      <c r="A18" s="1" t="n"/>
      <c r="B18" s="15">
        <f>IF($M18="","",INT($M18))</f>
        <v/>
      </c>
      <c r="C18" s="16">
        <f>IF($M18="","",INDEX(Bills!$B$6:$B$55,MATCH($M18,Bills!$AK$6:$AK$55,0)))</f>
        <v/>
      </c>
      <c r="D18" s="17">
        <f>IF($M18="","",INDEX(Bills!$C$6:$C$55,MATCH($M18,Bills!$AK$6:$AK$55,0)))</f>
        <v/>
      </c>
      <c r="E18" s="18">
        <f>IF($M18="","",INDEX(Bills!$G$6:$G$55,MATCH($M18,Bills!$AK$6:$AK$55,0)))</f>
        <v/>
      </c>
      <c r="F18" s="16">
        <f>IF($M18="","",INDEX(Bills!$F$6:$F$55,MATCH($M18,Bills!$AK$6:$AK$55,0)))</f>
        <v/>
      </c>
      <c r="G18" s="1" t="n"/>
      <c r="H18" s="1" t="n"/>
      <c r="I18" s="22">
        <f>IF(COUNTIFS(Paychecks!$B$6:$B$58,"&gt;"&amp;TODAY(),Paychecks!$K$6:$K$58,"Tight")+COUNTIFS(Paychecks!$B$6:$B$58,"&gt;"&amp;TODAY(),Paychecks!$K$6:$K$58,"Short*")=0,"No tight or short paychecks ahead",COUNTIFS(Paychecks!$B$6:$B$58,"&gt;"&amp;TODAY(),Paychecks!$K$6:$K$58,"Tight")+COUNTIFS(Paychecks!$B$6:$B$58,"&gt;"&amp;TODAY(),Paychecks!$K$6:$K$58,"Short*")&amp;IF(COUNTIFS(Paychecks!$B$6:$B$58,"&gt;"&amp;TODAY(),Paychecks!$K$6:$K$58,"Tight")+COUNTIFS(Paychecks!$B$6:$B$58,"&gt;"&amp;TODAY(),Paychecks!$K$6:$K$58,"Short*")=1," paycheck ahead is"," paychecks ahead are")&amp;" tight or short. The Paychecks tab shows which.")</f>
        <v/>
      </c>
      <c r="K18" s="1" t="n"/>
      <c r="L18" s="1" t="n"/>
      <c r="M18">
        <f>IFERROR(SMALL(Bills!$AK$6:$AK$55,9),"")</f>
        <v/>
      </c>
    </row>
    <row r="19">
      <c r="A19" s="1" t="n"/>
      <c r="B19" s="15">
        <f>IF($M19="","",INT($M19))</f>
        <v/>
      </c>
      <c r="C19" s="16">
        <f>IF($M19="","",INDEX(Bills!$B$6:$B$55,MATCH($M19,Bills!$AK$6:$AK$55,0)))</f>
        <v/>
      </c>
      <c r="D19" s="17">
        <f>IF($M19="","",INDEX(Bills!$C$6:$C$55,MATCH($M19,Bills!$AK$6:$AK$55,0)))</f>
        <v/>
      </c>
      <c r="E19" s="18">
        <f>IF($M19="","",INDEX(Bills!$G$6:$G$55,MATCH($M19,Bills!$AK$6:$AK$55,0)))</f>
        <v/>
      </c>
      <c r="F19" s="16">
        <f>IF($M19="","",INDEX(Bills!$F$6:$F$55,MATCH($M19,Bills!$AK$6:$AK$55,0)))</f>
        <v/>
      </c>
      <c r="G19" s="1" t="n"/>
      <c r="H19" s="1" t="n"/>
      <c r="K19" s="1" t="n"/>
      <c r="L19" s="1" t="n"/>
      <c r="M19">
        <f>IFERROR(SMALL(Bills!$AK$6:$AK$55,10),"")</f>
        <v/>
      </c>
    </row>
    <row r="20">
      <c r="A20" s="1" t="n"/>
      <c r="B20" s="15">
        <f>IF($M20="","",INT($M20))</f>
        <v/>
      </c>
      <c r="C20" s="16">
        <f>IF($M20="","",INDEX(Bills!$B$6:$B$55,MATCH($M20,Bills!$AK$6:$AK$55,0)))</f>
        <v/>
      </c>
      <c r="D20" s="17">
        <f>IF($M20="","",INDEX(Bills!$C$6:$C$55,MATCH($M20,Bills!$AK$6:$AK$55,0)))</f>
        <v/>
      </c>
      <c r="E20" s="18">
        <f>IF($M20="","",INDEX(Bills!$G$6:$G$55,MATCH($M20,Bills!$AK$6:$AK$55,0)))</f>
        <v/>
      </c>
      <c r="F20" s="16">
        <f>IF($M20="","",INDEX(Bills!$F$6:$F$55,MATCH($M20,Bills!$AK$6:$AK$55,0)))</f>
        <v/>
      </c>
      <c r="G20" s="1" t="n"/>
      <c r="H20" s="1" t="n"/>
      <c r="I20" s="1" t="n"/>
      <c r="J20" s="1" t="n"/>
      <c r="K20" s="1" t="n"/>
      <c r="L20" s="1" t="n"/>
      <c r="M20">
        <f>IFERROR(SMALL(Bills!$AK$6:$AK$55,11),"")</f>
        <v/>
      </c>
    </row>
    <row r="21">
      <c r="A21" s="1" t="n"/>
      <c r="B21" s="15">
        <f>IF($M21="","",INT($M21))</f>
        <v/>
      </c>
      <c r="C21" s="16">
        <f>IF($M21="","",INDEX(Bills!$B$6:$B$55,MATCH($M21,Bills!$AK$6:$AK$55,0)))</f>
        <v/>
      </c>
      <c r="D21" s="17">
        <f>IF($M21="","",INDEX(Bills!$C$6:$C$55,MATCH($M21,Bills!$AK$6:$AK$55,0)))</f>
        <v/>
      </c>
      <c r="E21" s="18">
        <f>IF($M21="","",INDEX(Bills!$G$6:$G$55,MATCH($M21,Bills!$AK$6:$AK$55,0)))</f>
        <v/>
      </c>
      <c r="F21" s="16">
        <f>IF($M21="","",INDEX(Bills!$F$6:$F$55,MATCH($M21,Bills!$AK$6:$AK$55,0)))</f>
        <v/>
      </c>
      <c r="G21" s="1" t="n"/>
      <c r="H21" s="1" t="n"/>
      <c r="I21" s="1" t="n"/>
      <c r="J21" s="1" t="n"/>
      <c r="K21" s="1" t="n"/>
      <c r="L21" s="1" t="n"/>
      <c r="M21">
        <f>IFERROR(SMALL(Bills!$AK$6:$AK$55,12),"")</f>
        <v/>
      </c>
    </row>
    <row r="22">
      <c r="A22" s="1" t="n"/>
      <c r="B22" s="6">
        <f>IF($N$1="","","The next payday comes "&amp;E7&amp;" days after this one.")</f>
        <v/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</sheetData>
  <mergeCells count="3">
    <mergeCell ref="I7:J7"/>
    <mergeCell ref="I6:J6"/>
    <mergeCell ref="I18:J19"/>
  </mergeCells>
  <conditionalFormatting sqref="I7">
    <cfRule type="expression" priority="1" dxfId="0">
      <formula>LEFT($I$7,5)="Short"</formula>
    </cfRule>
    <cfRule type="expression" priority="2" dxfId="1">
      <formula>$I$7="Tight"</formula>
    </cfRule>
  </conditionalFormatting>
  <conditionalFormatting sqref="J16">
    <cfRule type="expression" priority="3" dxfId="2">
      <formula>$J$16&gt;0</formula>
    </cfRule>
  </conditionalFormatting>
  <conditionalFormatting sqref="J15">
    <cfRule type="expression" priority="4" dxfId="3">
      <formula>$J$15&gt;0</formula>
    </cfRule>
  </conditionalFormatting>
  <conditionalFormatting sqref="I18">
    <cfRule type="expression" priority="5" dxfId="4">
      <formula>LEFT($I$18,2)="No"</formula>
    </cfRule>
  </conditionalFormatting>
  <dataValidations count="1">
    <dataValidation sqref="C4" showDropDown="0" showInputMessage="0" showErrorMessage="0" allowBlank="0" type="list">
      <formula1>=Paychecks!$B$6:$B$58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4" customWidth="1" min="4" max="4"/>
    <col width="6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How you are paid. The Paychecks tab lists your paydays from these.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>
      <c r="A5" s="1" t="n"/>
      <c r="B5" s="19" t="inlineStr">
        <is>
          <t>How often you are paid</t>
        </is>
      </c>
      <c r="C5" s="23" t="inlineStr">
        <is>
          <t>Every 2 weeks</t>
        </is>
      </c>
      <c r="D5" s="1" t="n"/>
      <c r="E5" s="24" t="inlineStr">
        <is>
          <t>Weekly, every 2 weeks, twice a month or monthly</t>
        </is>
      </c>
      <c r="F5" s="1" t="n"/>
    </row>
    <row r="6">
      <c r="A6" s="1" t="n"/>
      <c r="B6" s="19" t="inlineStr">
        <is>
          <t>First payday</t>
        </is>
      </c>
      <c r="C6" s="5" t="n">
        <v>46024</v>
      </c>
      <c r="D6" s="1" t="n"/>
      <c r="E6" s="24" t="inlineStr">
        <is>
          <t>The first payday of the 12 months you want to plan</t>
        </is>
      </c>
      <c r="F6" s="1" t="n"/>
    </row>
    <row r="7">
      <c r="A7" s="1" t="n"/>
      <c r="B7" s="19" t="inlineStr">
        <is>
          <t>Second payday of the month</t>
        </is>
      </c>
      <c r="C7" s="25" t="n">
        <v>15</v>
      </c>
      <c r="D7" s="1" t="n"/>
      <c r="E7" s="24" t="inlineStr">
        <is>
          <t>Only for twice a month: the day of the second payday</t>
        </is>
      </c>
      <c r="F7" s="1" t="n"/>
    </row>
    <row r="8">
      <c r="A8" s="1" t="n"/>
      <c r="B8" s="19" t="inlineStr">
        <is>
          <t>Usual paycheck</t>
        </is>
      </c>
      <c r="C8" s="26" t="n">
        <v>1850</v>
      </c>
      <c r="D8" s="1" t="n"/>
      <c r="E8" s="24" t="inlineStr">
        <is>
          <t>What you usually receive, after tax</t>
        </is>
      </c>
      <c r="F8" s="1" t="n"/>
    </row>
    <row r="9">
      <c r="A9" s="1" t="n"/>
      <c r="B9" s="19" t="inlineStr">
        <is>
          <t>Savings from each paycheck</t>
        </is>
      </c>
      <c r="C9" s="26" t="n">
        <v>150</v>
      </c>
      <c r="D9" s="1" t="n"/>
      <c r="E9" s="24" t="inlineStr">
        <is>
          <t>Moved to savings before you spend</t>
        </is>
      </c>
      <c r="F9" s="1" t="n"/>
    </row>
    <row r="10">
      <c r="A10" s="1" t="n"/>
      <c r="B10" s="19" t="inlineStr">
        <is>
          <t>Tight when less than this per day</t>
        </is>
      </c>
      <c r="C10" s="26" t="n">
        <v>20</v>
      </c>
      <c r="D10" s="1" t="n"/>
      <c r="E10" s="24" t="inlineStr">
        <is>
          <t>A paycheck turns orange below this amount per day</t>
        </is>
      </c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</sheetData>
  <dataValidations count="1">
    <dataValidation sqref="C5" showDropDown="0" showInputMessage="0" showErrorMessage="0" allowBlank="0" type="list">
      <formula1>"Weekly,Every 2 weeks,Twice a month,Monthly"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K5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9" customWidth="1" min="4" max="4"/>
    <col width="10" customWidth="1" min="5" max="5"/>
    <col width="18" customWidth="1" min="6" max="6"/>
    <col width="10" customWidth="1" min="7" max="7"/>
    <col width="26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Bills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Each bill once, with the day of the month it is due. Each one goes on the paycheck before it.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14" t="inlineStr">
        <is>
          <t>Bill</t>
        </is>
      </c>
      <c r="C5" s="14" t="inlineStr">
        <is>
          <t>Amount</t>
        </is>
      </c>
      <c r="D5" s="14" t="inlineStr">
        <is>
          <t>Due day</t>
        </is>
      </c>
      <c r="E5" s="14" t="inlineStr">
        <is>
          <t>Only in month</t>
        </is>
      </c>
      <c r="F5" s="14" t="inlineStr">
        <is>
          <t>Category</t>
        </is>
      </c>
      <c r="G5" s="14" t="inlineStr">
        <is>
          <t>Autopay?</t>
        </is>
      </c>
      <c r="H5" s="14" t="inlineStr">
        <is>
          <t>Note</t>
        </is>
      </c>
      <c r="I5" s="1" t="n"/>
    </row>
    <row r="6">
      <c r="A6" s="1" t="n"/>
      <c r="B6" s="27" t="inlineStr">
        <is>
          <t>Rent</t>
        </is>
      </c>
      <c r="C6" s="28" t="n">
        <v>1200</v>
      </c>
      <c r="D6" s="29" t="n">
        <v>1</v>
      </c>
      <c r="E6" s="29" t="n"/>
      <c r="F6" s="30" t="inlineStr">
        <is>
          <t>Housing</t>
        </is>
      </c>
      <c r="G6" s="31" t="inlineStr">
        <is>
          <t>No</t>
        </is>
      </c>
      <c r="H6" s="30" t="inlineStr"/>
      <c r="I6" s="1" t="n"/>
      <c r="J6">
        <f>IF(OR(B6="",D6=""),"",DATE(YEAR(Settings!$C$6),MONTH(Settings!$C$6)+0,MIN(D6,DAY(EOMONTH(DATE(YEAR(Settings!$C$6),MONTH(Settings!$C$6)+0,1),0)))))</f>
        <v/>
      </c>
      <c r="K6">
        <f>IF(OR(B6="",D6=""),"",DATE(YEAR(Settings!$C$6),MONTH(Settings!$C$6)+1,MIN(D6,DAY(EOMONTH(DATE(YEAR(Settings!$C$6),MONTH(Settings!$C$6)+1,1),0)))))</f>
        <v/>
      </c>
      <c r="L6">
        <f>IF(OR(B6="",D6=""),"",DATE(YEAR(Settings!$C$6),MONTH(Settings!$C$6)+2,MIN(D6,DAY(EOMONTH(DATE(YEAR(Settings!$C$6),MONTH(Settings!$C$6)+2,1),0)))))</f>
        <v/>
      </c>
      <c r="M6">
        <f>IF(OR(B6="",D6=""),"",DATE(YEAR(Settings!$C$6),MONTH(Settings!$C$6)+3,MIN(D6,DAY(EOMONTH(DATE(YEAR(Settings!$C$6),MONTH(Settings!$C$6)+3,1),0)))))</f>
        <v/>
      </c>
      <c r="N6">
        <f>IF(OR(B6="",D6=""),"",DATE(YEAR(Settings!$C$6),MONTH(Settings!$C$6)+4,MIN(D6,DAY(EOMONTH(DATE(YEAR(Settings!$C$6),MONTH(Settings!$C$6)+4,1),0)))))</f>
        <v/>
      </c>
      <c r="O6">
        <f>IF(OR(B6="",D6=""),"",DATE(YEAR(Settings!$C$6),MONTH(Settings!$C$6)+5,MIN(D6,DAY(EOMONTH(DATE(YEAR(Settings!$C$6),MONTH(Settings!$C$6)+5,1),0)))))</f>
        <v/>
      </c>
      <c r="P6">
        <f>IF(OR(B6="",D6=""),"",DATE(YEAR(Settings!$C$6),MONTH(Settings!$C$6)+6,MIN(D6,DAY(EOMONTH(DATE(YEAR(Settings!$C$6),MONTH(Settings!$C$6)+6,1),0)))))</f>
        <v/>
      </c>
      <c r="Q6">
        <f>IF(OR(B6="",D6=""),"",DATE(YEAR(Settings!$C$6),MONTH(Settings!$C$6)+7,MIN(D6,DAY(EOMONTH(DATE(YEAR(Settings!$C$6),MONTH(Settings!$C$6)+7,1),0)))))</f>
        <v/>
      </c>
      <c r="R6">
        <f>IF(OR(B6="",D6=""),"",DATE(YEAR(Settings!$C$6),MONTH(Settings!$C$6)+8,MIN(D6,DAY(EOMONTH(DATE(YEAR(Settings!$C$6),MONTH(Settings!$C$6)+8,1),0)))))</f>
        <v/>
      </c>
      <c r="S6">
        <f>IF(OR(B6="",D6=""),"",DATE(YEAR(Settings!$C$6),MONTH(Settings!$C$6)+9,MIN(D6,DAY(EOMONTH(DATE(YEAR(Settings!$C$6),MONTH(Settings!$C$6)+9,1),0)))))</f>
        <v/>
      </c>
      <c r="T6">
        <f>IF(OR(B6="",D6=""),"",DATE(YEAR(Settings!$C$6),MONTH(Settings!$C$6)+10,MIN(D6,DAY(EOMONTH(DATE(YEAR(Settings!$C$6),MONTH(Settings!$C$6)+10,1),0)))))</f>
        <v/>
      </c>
      <c r="U6">
        <f>IF(OR(B6="",D6=""),"",DATE(YEAR(Settings!$C$6),MONTH(Settings!$C$6)+11,MIN(D6,DAY(EOMONTH(DATE(YEAR(Settings!$C$6),MONTH(Settings!$C$6)+11,1),0)))))</f>
        <v/>
      </c>
      <c r="V6">
        <f>IF(OR(B6="",D6=""),"",DATE(YEAR(Settings!$C$6),MONTH(Settings!$C$6)+12,MIN(D6,DAY(EOMONTH(DATE(YEAR(Settings!$C$6),MONTH(Settings!$C$6)+12,1),0)))))</f>
        <v/>
      </c>
      <c r="W6">
        <f>IF(OR(B6="",D6=""),0,IF(OR(E6="",E6=MONTH(DATE(YEAR(Settings!$C$6),MONTH(Settings!$C$6)+0,1))),N(C6),0))</f>
        <v/>
      </c>
      <c r="X6">
        <f>IF(OR(B6="",D6=""),0,IF(OR(E6="",E6=MONTH(DATE(YEAR(Settings!$C$6),MONTH(Settings!$C$6)+1,1))),N(C6),0))</f>
        <v/>
      </c>
      <c r="Y6">
        <f>IF(OR(B6="",D6=""),0,IF(OR(E6="",E6=MONTH(DATE(YEAR(Settings!$C$6),MONTH(Settings!$C$6)+2,1))),N(C6),0))</f>
        <v/>
      </c>
      <c r="Z6">
        <f>IF(OR(B6="",D6=""),0,IF(OR(E6="",E6=MONTH(DATE(YEAR(Settings!$C$6),MONTH(Settings!$C$6)+3,1))),N(C6),0))</f>
        <v/>
      </c>
      <c r="AA6">
        <f>IF(OR(B6="",D6=""),0,IF(OR(E6="",E6=MONTH(DATE(YEAR(Settings!$C$6),MONTH(Settings!$C$6)+4,1))),N(C6),0))</f>
        <v/>
      </c>
      <c r="AB6">
        <f>IF(OR(B6="",D6=""),0,IF(OR(E6="",E6=MONTH(DATE(YEAR(Settings!$C$6),MONTH(Settings!$C$6)+5,1))),N(C6),0))</f>
        <v/>
      </c>
      <c r="AC6">
        <f>IF(OR(B6="",D6=""),0,IF(OR(E6="",E6=MONTH(DATE(YEAR(Settings!$C$6),MONTH(Settings!$C$6)+6,1))),N(C6),0))</f>
        <v/>
      </c>
      <c r="AD6">
        <f>IF(OR(B6="",D6=""),0,IF(OR(E6="",E6=MONTH(DATE(YEAR(Settings!$C$6),MONTH(Settings!$C$6)+7,1))),N(C6),0))</f>
        <v/>
      </c>
      <c r="AE6">
        <f>IF(OR(B6="",D6=""),0,IF(OR(E6="",E6=MONTH(DATE(YEAR(Settings!$C$6),MONTH(Settings!$C$6)+8,1))),N(C6),0))</f>
        <v/>
      </c>
      <c r="AF6">
        <f>IF(OR(B6="",D6=""),0,IF(OR(E6="",E6=MONTH(DATE(YEAR(Settings!$C$6),MONTH(Settings!$C$6)+9,1))),N(C6),0))</f>
        <v/>
      </c>
      <c r="AG6">
        <f>IF(OR(B6="",D6=""),0,IF(OR(E6="",E6=MONTH(DATE(YEAR(Settings!$C$6),MONTH(Settings!$C$6)+10,1))),N(C6),0))</f>
        <v/>
      </c>
      <c r="AH6">
        <f>IF(OR(B6="",D6=""),0,IF(OR(E6="",E6=MONTH(DATE(YEAR(Settings!$C$6),MONTH(Settings!$C$6)+11,1))),N(C6),0))</f>
        <v/>
      </c>
      <c r="AI6">
        <f>IF(OR(B6="",D6=""),0,IF(OR(E6="",E6=MONTH(DATE(YEAR(Settings!$C$6),MONTH(Settings!$C$6)+12,1))),N(C6),0))</f>
        <v/>
      </c>
      <c r="AJ6">
        <f>IF(B6="","",SUMIFS(J6:V6,J6:V6,"&gt;="&amp;Dashboard!$C$4,J6:V6,"&lt;"&amp;Dashboard!$N$1,W6:AI6,"&gt;0"))</f>
        <v/>
      </c>
      <c r="AK6">
        <f>IF(N(AJ6)=0,"",AJ6+ROW()/100000)</f>
        <v/>
      </c>
    </row>
    <row r="7">
      <c r="A7" s="1" t="n"/>
      <c r="B7" s="27" t="inlineStr">
        <is>
          <t>Car payment</t>
        </is>
      </c>
      <c r="C7" s="28" t="n">
        <v>285</v>
      </c>
      <c r="D7" s="29" t="n">
        <v>5</v>
      </c>
      <c r="E7" s="29" t="n"/>
      <c r="F7" s="30" t="inlineStr">
        <is>
          <t>Transport</t>
        </is>
      </c>
      <c r="G7" s="31" t="inlineStr">
        <is>
          <t>Yes</t>
        </is>
      </c>
      <c r="H7" s="30" t="inlineStr"/>
      <c r="I7" s="1" t="n"/>
      <c r="J7">
        <f>IF(OR(B7="",D7=""),"",DATE(YEAR(Settings!$C$6),MONTH(Settings!$C$6)+0,MIN(D7,DAY(EOMONTH(DATE(YEAR(Settings!$C$6),MONTH(Settings!$C$6)+0,1),0)))))</f>
        <v/>
      </c>
      <c r="K7">
        <f>IF(OR(B7="",D7=""),"",DATE(YEAR(Settings!$C$6),MONTH(Settings!$C$6)+1,MIN(D7,DAY(EOMONTH(DATE(YEAR(Settings!$C$6),MONTH(Settings!$C$6)+1,1),0)))))</f>
        <v/>
      </c>
      <c r="L7">
        <f>IF(OR(B7="",D7=""),"",DATE(YEAR(Settings!$C$6),MONTH(Settings!$C$6)+2,MIN(D7,DAY(EOMONTH(DATE(YEAR(Settings!$C$6),MONTH(Settings!$C$6)+2,1),0)))))</f>
        <v/>
      </c>
      <c r="M7">
        <f>IF(OR(B7="",D7=""),"",DATE(YEAR(Settings!$C$6),MONTH(Settings!$C$6)+3,MIN(D7,DAY(EOMONTH(DATE(YEAR(Settings!$C$6),MONTH(Settings!$C$6)+3,1),0)))))</f>
        <v/>
      </c>
      <c r="N7">
        <f>IF(OR(B7="",D7=""),"",DATE(YEAR(Settings!$C$6),MONTH(Settings!$C$6)+4,MIN(D7,DAY(EOMONTH(DATE(YEAR(Settings!$C$6),MONTH(Settings!$C$6)+4,1),0)))))</f>
        <v/>
      </c>
      <c r="O7">
        <f>IF(OR(B7="",D7=""),"",DATE(YEAR(Settings!$C$6),MONTH(Settings!$C$6)+5,MIN(D7,DAY(EOMONTH(DATE(YEAR(Settings!$C$6),MONTH(Settings!$C$6)+5,1),0)))))</f>
        <v/>
      </c>
      <c r="P7">
        <f>IF(OR(B7="",D7=""),"",DATE(YEAR(Settings!$C$6),MONTH(Settings!$C$6)+6,MIN(D7,DAY(EOMONTH(DATE(YEAR(Settings!$C$6),MONTH(Settings!$C$6)+6,1),0)))))</f>
        <v/>
      </c>
      <c r="Q7">
        <f>IF(OR(B7="",D7=""),"",DATE(YEAR(Settings!$C$6),MONTH(Settings!$C$6)+7,MIN(D7,DAY(EOMONTH(DATE(YEAR(Settings!$C$6),MONTH(Settings!$C$6)+7,1),0)))))</f>
        <v/>
      </c>
      <c r="R7">
        <f>IF(OR(B7="",D7=""),"",DATE(YEAR(Settings!$C$6),MONTH(Settings!$C$6)+8,MIN(D7,DAY(EOMONTH(DATE(YEAR(Settings!$C$6),MONTH(Settings!$C$6)+8,1),0)))))</f>
        <v/>
      </c>
      <c r="S7">
        <f>IF(OR(B7="",D7=""),"",DATE(YEAR(Settings!$C$6),MONTH(Settings!$C$6)+9,MIN(D7,DAY(EOMONTH(DATE(YEAR(Settings!$C$6),MONTH(Settings!$C$6)+9,1),0)))))</f>
        <v/>
      </c>
      <c r="T7">
        <f>IF(OR(B7="",D7=""),"",DATE(YEAR(Settings!$C$6),MONTH(Settings!$C$6)+10,MIN(D7,DAY(EOMONTH(DATE(YEAR(Settings!$C$6),MONTH(Settings!$C$6)+10,1),0)))))</f>
        <v/>
      </c>
      <c r="U7">
        <f>IF(OR(B7="",D7=""),"",DATE(YEAR(Settings!$C$6),MONTH(Settings!$C$6)+11,MIN(D7,DAY(EOMONTH(DATE(YEAR(Settings!$C$6),MONTH(Settings!$C$6)+11,1),0)))))</f>
        <v/>
      </c>
      <c r="V7">
        <f>IF(OR(B7="",D7=""),"",DATE(YEAR(Settings!$C$6),MONTH(Settings!$C$6)+12,MIN(D7,DAY(EOMONTH(DATE(YEAR(Settings!$C$6),MONTH(Settings!$C$6)+12,1),0)))))</f>
        <v/>
      </c>
      <c r="W7">
        <f>IF(OR(B7="",D7=""),0,IF(OR(E7="",E7=MONTH(DATE(YEAR(Settings!$C$6),MONTH(Settings!$C$6)+0,1))),N(C7),0))</f>
        <v/>
      </c>
      <c r="X7">
        <f>IF(OR(B7="",D7=""),0,IF(OR(E7="",E7=MONTH(DATE(YEAR(Settings!$C$6),MONTH(Settings!$C$6)+1,1))),N(C7),0))</f>
        <v/>
      </c>
      <c r="Y7">
        <f>IF(OR(B7="",D7=""),0,IF(OR(E7="",E7=MONTH(DATE(YEAR(Settings!$C$6),MONTH(Settings!$C$6)+2,1))),N(C7),0))</f>
        <v/>
      </c>
      <c r="Z7">
        <f>IF(OR(B7="",D7=""),0,IF(OR(E7="",E7=MONTH(DATE(YEAR(Settings!$C$6),MONTH(Settings!$C$6)+3,1))),N(C7),0))</f>
        <v/>
      </c>
      <c r="AA7">
        <f>IF(OR(B7="",D7=""),0,IF(OR(E7="",E7=MONTH(DATE(YEAR(Settings!$C$6),MONTH(Settings!$C$6)+4,1))),N(C7),0))</f>
        <v/>
      </c>
      <c r="AB7">
        <f>IF(OR(B7="",D7=""),0,IF(OR(E7="",E7=MONTH(DATE(YEAR(Settings!$C$6),MONTH(Settings!$C$6)+5,1))),N(C7),0))</f>
        <v/>
      </c>
      <c r="AC7">
        <f>IF(OR(B7="",D7=""),0,IF(OR(E7="",E7=MONTH(DATE(YEAR(Settings!$C$6),MONTH(Settings!$C$6)+6,1))),N(C7),0))</f>
        <v/>
      </c>
      <c r="AD7">
        <f>IF(OR(B7="",D7=""),0,IF(OR(E7="",E7=MONTH(DATE(YEAR(Settings!$C$6),MONTH(Settings!$C$6)+7,1))),N(C7),0))</f>
        <v/>
      </c>
      <c r="AE7">
        <f>IF(OR(B7="",D7=""),0,IF(OR(E7="",E7=MONTH(DATE(YEAR(Settings!$C$6),MONTH(Settings!$C$6)+8,1))),N(C7),0))</f>
        <v/>
      </c>
      <c r="AF7">
        <f>IF(OR(B7="",D7=""),0,IF(OR(E7="",E7=MONTH(DATE(YEAR(Settings!$C$6),MONTH(Settings!$C$6)+9,1))),N(C7),0))</f>
        <v/>
      </c>
      <c r="AG7">
        <f>IF(OR(B7="",D7=""),0,IF(OR(E7="",E7=MONTH(DATE(YEAR(Settings!$C$6),MONTH(Settings!$C$6)+10,1))),N(C7),0))</f>
        <v/>
      </c>
      <c r="AH7">
        <f>IF(OR(B7="",D7=""),0,IF(OR(E7="",E7=MONTH(DATE(YEAR(Settings!$C$6),MONTH(Settings!$C$6)+11,1))),N(C7),0))</f>
        <v/>
      </c>
      <c r="AI7">
        <f>IF(OR(B7="",D7=""),0,IF(OR(E7="",E7=MONTH(DATE(YEAR(Settings!$C$6),MONTH(Settings!$C$6)+12,1))),N(C7),0))</f>
        <v/>
      </c>
      <c r="AJ7">
        <f>IF(B7="","",SUMIFS(J7:V7,J7:V7,"&gt;="&amp;Dashboard!$C$4,J7:V7,"&lt;"&amp;Dashboard!$N$1,W7:AI7,"&gt;0"))</f>
        <v/>
      </c>
      <c r="AK7">
        <f>IF(N(AJ7)=0,"",AJ7+ROW()/100000)</f>
        <v/>
      </c>
    </row>
    <row r="8">
      <c r="A8" s="1" t="n"/>
      <c r="B8" s="27" t="inlineStr">
        <is>
          <t>Phone</t>
        </is>
      </c>
      <c r="C8" s="28" t="n">
        <v>45</v>
      </c>
      <c r="D8" s="29" t="n">
        <v>12</v>
      </c>
      <c r="E8" s="29" t="n"/>
      <c r="F8" s="30" t="inlineStr">
        <is>
          <t>Utilities</t>
        </is>
      </c>
      <c r="G8" s="31" t="inlineStr">
        <is>
          <t>Yes</t>
        </is>
      </c>
      <c r="H8" s="30" t="inlineStr"/>
      <c r="I8" s="1" t="n"/>
      <c r="J8">
        <f>IF(OR(B8="",D8=""),"",DATE(YEAR(Settings!$C$6),MONTH(Settings!$C$6)+0,MIN(D8,DAY(EOMONTH(DATE(YEAR(Settings!$C$6),MONTH(Settings!$C$6)+0,1),0)))))</f>
        <v/>
      </c>
      <c r="K8">
        <f>IF(OR(B8="",D8=""),"",DATE(YEAR(Settings!$C$6),MONTH(Settings!$C$6)+1,MIN(D8,DAY(EOMONTH(DATE(YEAR(Settings!$C$6),MONTH(Settings!$C$6)+1,1),0)))))</f>
        <v/>
      </c>
      <c r="L8">
        <f>IF(OR(B8="",D8=""),"",DATE(YEAR(Settings!$C$6),MONTH(Settings!$C$6)+2,MIN(D8,DAY(EOMONTH(DATE(YEAR(Settings!$C$6),MONTH(Settings!$C$6)+2,1),0)))))</f>
        <v/>
      </c>
      <c r="M8">
        <f>IF(OR(B8="",D8=""),"",DATE(YEAR(Settings!$C$6),MONTH(Settings!$C$6)+3,MIN(D8,DAY(EOMONTH(DATE(YEAR(Settings!$C$6),MONTH(Settings!$C$6)+3,1),0)))))</f>
        <v/>
      </c>
      <c r="N8">
        <f>IF(OR(B8="",D8=""),"",DATE(YEAR(Settings!$C$6),MONTH(Settings!$C$6)+4,MIN(D8,DAY(EOMONTH(DATE(YEAR(Settings!$C$6),MONTH(Settings!$C$6)+4,1),0)))))</f>
        <v/>
      </c>
      <c r="O8">
        <f>IF(OR(B8="",D8=""),"",DATE(YEAR(Settings!$C$6),MONTH(Settings!$C$6)+5,MIN(D8,DAY(EOMONTH(DATE(YEAR(Settings!$C$6),MONTH(Settings!$C$6)+5,1),0)))))</f>
        <v/>
      </c>
      <c r="P8">
        <f>IF(OR(B8="",D8=""),"",DATE(YEAR(Settings!$C$6),MONTH(Settings!$C$6)+6,MIN(D8,DAY(EOMONTH(DATE(YEAR(Settings!$C$6),MONTH(Settings!$C$6)+6,1),0)))))</f>
        <v/>
      </c>
      <c r="Q8">
        <f>IF(OR(B8="",D8=""),"",DATE(YEAR(Settings!$C$6),MONTH(Settings!$C$6)+7,MIN(D8,DAY(EOMONTH(DATE(YEAR(Settings!$C$6),MONTH(Settings!$C$6)+7,1),0)))))</f>
        <v/>
      </c>
      <c r="R8">
        <f>IF(OR(B8="",D8=""),"",DATE(YEAR(Settings!$C$6),MONTH(Settings!$C$6)+8,MIN(D8,DAY(EOMONTH(DATE(YEAR(Settings!$C$6),MONTH(Settings!$C$6)+8,1),0)))))</f>
        <v/>
      </c>
      <c r="S8">
        <f>IF(OR(B8="",D8=""),"",DATE(YEAR(Settings!$C$6),MONTH(Settings!$C$6)+9,MIN(D8,DAY(EOMONTH(DATE(YEAR(Settings!$C$6),MONTH(Settings!$C$6)+9,1),0)))))</f>
        <v/>
      </c>
      <c r="T8">
        <f>IF(OR(B8="",D8=""),"",DATE(YEAR(Settings!$C$6),MONTH(Settings!$C$6)+10,MIN(D8,DAY(EOMONTH(DATE(YEAR(Settings!$C$6),MONTH(Settings!$C$6)+10,1),0)))))</f>
        <v/>
      </c>
      <c r="U8">
        <f>IF(OR(B8="",D8=""),"",DATE(YEAR(Settings!$C$6),MONTH(Settings!$C$6)+11,MIN(D8,DAY(EOMONTH(DATE(YEAR(Settings!$C$6),MONTH(Settings!$C$6)+11,1),0)))))</f>
        <v/>
      </c>
      <c r="V8">
        <f>IF(OR(B8="",D8=""),"",DATE(YEAR(Settings!$C$6),MONTH(Settings!$C$6)+12,MIN(D8,DAY(EOMONTH(DATE(YEAR(Settings!$C$6),MONTH(Settings!$C$6)+12,1),0)))))</f>
        <v/>
      </c>
      <c r="W8">
        <f>IF(OR(B8="",D8=""),0,IF(OR(E8="",E8=MONTH(DATE(YEAR(Settings!$C$6),MONTH(Settings!$C$6)+0,1))),N(C8),0))</f>
        <v/>
      </c>
      <c r="X8">
        <f>IF(OR(B8="",D8=""),0,IF(OR(E8="",E8=MONTH(DATE(YEAR(Settings!$C$6),MONTH(Settings!$C$6)+1,1))),N(C8),0))</f>
        <v/>
      </c>
      <c r="Y8">
        <f>IF(OR(B8="",D8=""),0,IF(OR(E8="",E8=MONTH(DATE(YEAR(Settings!$C$6),MONTH(Settings!$C$6)+2,1))),N(C8),0))</f>
        <v/>
      </c>
      <c r="Z8">
        <f>IF(OR(B8="",D8=""),0,IF(OR(E8="",E8=MONTH(DATE(YEAR(Settings!$C$6),MONTH(Settings!$C$6)+3,1))),N(C8),0))</f>
        <v/>
      </c>
      <c r="AA8">
        <f>IF(OR(B8="",D8=""),0,IF(OR(E8="",E8=MONTH(DATE(YEAR(Settings!$C$6),MONTH(Settings!$C$6)+4,1))),N(C8),0))</f>
        <v/>
      </c>
      <c r="AB8">
        <f>IF(OR(B8="",D8=""),0,IF(OR(E8="",E8=MONTH(DATE(YEAR(Settings!$C$6),MONTH(Settings!$C$6)+5,1))),N(C8),0))</f>
        <v/>
      </c>
      <c r="AC8">
        <f>IF(OR(B8="",D8=""),0,IF(OR(E8="",E8=MONTH(DATE(YEAR(Settings!$C$6),MONTH(Settings!$C$6)+6,1))),N(C8),0))</f>
        <v/>
      </c>
      <c r="AD8">
        <f>IF(OR(B8="",D8=""),0,IF(OR(E8="",E8=MONTH(DATE(YEAR(Settings!$C$6),MONTH(Settings!$C$6)+7,1))),N(C8),0))</f>
        <v/>
      </c>
      <c r="AE8">
        <f>IF(OR(B8="",D8=""),0,IF(OR(E8="",E8=MONTH(DATE(YEAR(Settings!$C$6),MONTH(Settings!$C$6)+8,1))),N(C8),0))</f>
        <v/>
      </c>
      <c r="AF8">
        <f>IF(OR(B8="",D8=""),0,IF(OR(E8="",E8=MONTH(DATE(YEAR(Settings!$C$6),MONTH(Settings!$C$6)+9,1))),N(C8),0))</f>
        <v/>
      </c>
      <c r="AG8">
        <f>IF(OR(B8="",D8=""),0,IF(OR(E8="",E8=MONTH(DATE(YEAR(Settings!$C$6),MONTH(Settings!$C$6)+10,1))),N(C8),0))</f>
        <v/>
      </c>
      <c r="AH8">
        <f>IF(OR(B8="",D8=""),0,IF(OR(E8="",E8=MONTH(DATE(YEAR(Settings!$C$6),MONTH(Settings!$C$6)+11,1))),N(C8),0))</f>
        <v/>
      </c>
      <c r="AI8">
        <f>IF(OR(B8="",D8=""),0,IF(OR(E8="",E8=MONTH(DATE(YEAR(Settings!$C$6),MONTH(Settings!$C$6)+12,1))),N(C8),0))</f>
        <v/>
      </c>
      <c r="AJ8">
        <f>IF(B8="","",SUMIFS(J8:V8,J8:V8,"&gt;="&amp;Dashboard!$C$4,J8:V8,"&lt;"&amp;Dashboard!$N$1,W8:AI8,"&gt;0"))</f>
        <v/>
      </c>
      <c r="AK8">
        <f>IF(N(AJ8)=0,"",AJ8+ROW()/100000)</f>
        <v/>
      </c>
    </row>
    <row r="9">
      <c r="A9" s="1" t="n"/>
      <c r="B9" s="27" t="inlineStr">
        <is>
          <t>Water</t>
        </is>
      </c>
      <c r="C9" s="28" t="n">
        <v>40</v>
      </c>
      <c r="D9" s="29" t="n">
        <v>15</v>
      </c>
      <c r="E9" s="29" t="n"/>
      <c r="F9" s="30" t="inlineStr">
        <is>
          <t>Utilities</t>
        </is>
      </c>
      <c r="G9" s="31" t="inlineStr">
        <is>
          <t>No</t>
        </is>
      </c>
      <c r="H9" s="30" t="inlineStr"/>
      <c r="I9" s="1" t="n"/>
      <c r="J9">
        <f>IF(OR(B9="",D9=""),"",DATE(YEAR(Settings!$C$6),MONTH(Settings!$C$6)+0,MIN(D9,DAY(EOMONTH(DATE(YEAR(Settings!$C$6),MONTH(Settings!$C$6)+0,1),0)))))</f>
        <v/>
      </c>
      <c r="K9">
        <f>IF(OR(B9="",D9=""),"",DATE(YEAR(Settings!$C$6),MONTH(Settings!$C$6)+1,MIN(D9,DAY(EOMONTH(DATE(YEAR(Settings!$C$6),MONTH(Settings!$C$6)+1,1),0)))))</f>
        <v/>
      </c>
      <c r="L9">
        <f>IF(OR(B9="",D9=""),"",DATE(YEAR(Settings!$C$6),MONTH(Settings!$C$6)+2,MIN(D9,DAY(EOMONTH(DATE(YEAR(Settings!$C$6),MONTH(Settings!$C$6)+2,1),0)))))</f>
        <v/>
      </c>
      <c r="M9">
        <f>IF(OR(B9="",D9=""),"",DATE(YEAR(Settings!$C$6),MONTH(Settings!$C$6)+3,MIN(D9,DAY(EOMONTH(DATE(YEAR(Settings!$C$6),MONTH(Settings!$C$6)+3,1),0)))))</f>
        <v/>
      </c>
      <c r="N9">
        <f>IF(OR(B9="",D9=""),"",DATE(YEAR(Settings!$C$6),MONTH(Settings!$C$6)+4,MIN(D9,DAY(EOMONTH(DATE(YEAR(Settings!$C$6),MONTH(Settings!$C$6)+4,1),0)))))</f>
        <v/>
      </c>
      <c r="O9">
        <f>IF(OR(B9="",D9=""),"",DATE(YEAR(Settings!$C$6),MONTH(Settings!$C$6)+5,MIN(D9,DAY(EOMONTH(DATE(YEAR(Settings!$C$6),MONTH(Settings!$C$6)+5,1),0)))))</f>
        <v/>
      </c>
      <c r="P9">
        <f>IF(OR(B9="",D9=""),"",DATE(YEAR(Settings!$C$6),MONTH(Settings!$C$6)+6,MIN(D9,DAY(EOMONTH(DATE(YEAR(Settings!$C$6),MONTH(Settings!$C$6)+6,1),0)))))</f>
        <v/>
      </c>
      <c r="Q9">
        <f>IF(OR(B9="",D9=""),"",DATE(YEAR(Settings!$C$6),MONTH(Settings!$C$6)+7,MIN(D9,DAY(EOMONTH(DATE(YEAR(Settings!$C$6),MONTH(Settings!$C$6)+7,1),0)))))</f>
        <v/>
      </c>
      <c r="R9">
        <f>IF(OR(B9="",D9=""),"",DATE(YEAR(Settings!$C$6),MONTH(Settings!$C$6)+8,MIN(D9,DAY(EOMONTH(DATE(YEAR(Settings!$C$6),MONTH(Settings!$C$6)+8,1),0)))))</f>
        <v/>
      </c>
      <c r="S9">
        <f>IF(OR(B9="",D9=""),"",DATE(YEAR(Settings!$C$6),MONTH(Settings!$C$6)+9,MIN(D9,DAY(EOMONTH(DATE(YEAR(Settings!$C$6),MONTH(Settings!$C$6)+9,1),0)))))</f>
        <v/>
      </c>
      <c r="T9">
        <f>IF(OR(B9="",D9=""),"",DATE(YEAR(Settings!$C$6),MONTH(Settings!$C$6)+10,MIN(D9,DAY(EOMONTH(DATE(YEAR(Settings!$C$6),MONTH(Settings!$C$6)+10,1),0)))))</f>
        <v/>
      </c>
      <c r="U9">
        <f>IF(OR(B9="",D9=""),"",DATE(YEAR(Settings!$C$6),MONTH(Settings!$C$6)+11,MIN(D9,DAY(EOMONTH(DATE(YEAR(Settings!$C$6),MONTH(Settings!$C$6)+11,1),0)))))</f>
        <v/>
      </c>
      <c r="V9">
        <f>IF(OR(B9="",D9=""),"",DATE(YEAR(Settings!$C$6),MONTH(Settings!$C$6)+12,MIN(D9,DAY(EOMONTH(DATE(YEAR(Settings!$C$6),MONTH(Settings!$C$6)+12,1),0)))))</f>
        <v/>
      </c>
      <c r="W9">
        <f>IF(OR(B9="",D9=""),0,IF(OR(E9="",E9=MONTH(DATE(YEAR(Settings!$C$6),MONTH(Settings!$C$6)+0,1))),N(C9),0))</f>
        <v/>
      </c>
      <c r="X9">
        <f>IF(OR(B9="",D9=""),0,IF(OR(E9="",E9=MONTH(DATE(YEAR(Settings!$C$6),MONTH(Settings!$C$6)+1,1))),N(C9),0))</f>
        <v/>
      </c>
      <c r="Y9">
        <f>IF(OR(B9="",D9=""),0,IF(OR(E9="",E9=MONTH(DATE(YEAR(Settings!$C$6),MONTH(Settings!$C$6)+2,1))),N(C9),0))</f>
        <v/>
      </c>
      <c r="Z9">
        <f>IF(OR(B9="",D9=""),0,IF(OR(E9="",E9=MONTH(DATE(YEAR(Settings!$C$6),MONTH(Settings!$C$6)+3,1))),N(C9),0))</f>
        <v/>
      </c>
      <c r="AA9">
        <f>IF(OR(B9="",D9=""),0,IF(OR(E9="",E9=MONTH(DATE(YEAR(Settings!$C$6),MONTH(Settings!$C$6)+4,1))),N(C9),0))</f>
        <v/>
      </c>
      <c r="AB9">
        <f>IF(OR(B9="",D9=""),0,IF(OR(E9="",E9=MONTH(DATE(YEAR(Settings!$C$6),MONTH(Settings!$C$6)+5,1))),N(C9),0))</f>
        <v/>
      </c>
      <c r="AC9">
        <f>IF(OR(B9="",D9=""),0,IF(OR(E9="",E9=MONTH(DATE(YEAR(Settings!$C$6),MONTH(Settings!$C$6)+6,1))),N(C9),0))</f>
        <v/>
      </c>
      <c r="AD9">
        <f>IF(OR(B9="",D9=""),0,IF(OR(E9="",E9=MONTH(DATE(YEAR(Settings!$C$6),MONTH(Settings!$C$6)+7,1))),N(C9),0))</f>
        <v/>
      </c>
      <c r="AE9">
        <f>IF(OR(B9="",D9=""),0,IF(OR(E9="",E9=MONTH(DATE(YEAR(Settings!$C$6),MONTH(Settings!$C$6)+8,1))),N(C9),0))</f>
        <v/>
      </c>
      <c r="AF9">
        <f>IF(OR(B9="",D9=""),0,IF(OR(E9="",E9=MONTH(DATE(YEAR(Settings!$C$6),MONTH(Settings!$C$6)+9,1))),N(C9),0))</f>
        <v/>
      </c>
      <c r="AG9">
        <f>IF(OR(B9="",D9=""),0,IF(OR(E9="",E9=MONTH(DATE(YEAR(Settings!$C$6),MONTH(Settings!$C$6)+10,1))),N(C9),0))</f>
        <v/>
      </c>
      <c r="AH9">
        <f>IF(OR(B9="",D9=""),0,IF(OR(E9="",E9=MONTH(DATE(YEAR(Settings!$C$6),MONTH(Settings!$C$6)+11,1))),N(C9),0))</f>
        <v/>
      </c>
      <c r="AI9">
        <f>IF(OR(B9="",D9=""),0,IF(OR(E9="",E9=MONTH(DATE(YEAR(Settings!$C$6),MONTH(Settings!$C$6)+12,1))),N(C9),0))</f>
        <v/>
      </c>
      <c r="AJ9">
        <f>IF(B9="","",SUMIFS(J9:V9,J9:V9,"&gt;="&amp;Dashboard!$C$4,J9:V9,"&lt;"&amp;Dashboard!$N$1,W9:AI9,"&gt;0"))</f>
        <v/>
      </c>
      <c r="AK9">
        <f>IF(N(AJ9)=0,"",AJ9+ROW()/100000)</f>
        <v/>
      </c>
    </row>
    <row r="10">
      <c r="A10" s="1" t="n"/>
      <c r="B10" s="27" t="inlineStr">
        <is>
          <t>Internet</t>
        </is>
      </c>
      <c r="C10" s="28" t="n">
        <v>60</v>
      </c>
      <c r="D10" s="29" t="n">
        <v>18</v>
      </c>
      <c r="E10" s="29" t="n"/>
      <c r="F10" s="30" t="inlineStr">
        <is>
          <t>Utilities</t>
        </is>
      </c>
      <c r="G10" s="31" t="inlineStr">
        <is>
          <t>Yes</t>
        </is>
      </c>
      <c r="H10" s="30" t="inlineStr"/>
      <c r="I10" s="1" t="n"/>
      <c r="J10">
        <f>IF(OR(B10="",D10=""),"",DATE(YEAR(Settings!$C$6),MONTH(Settings!$C$6)+0,MIN(D10,DAY(EOMONTH(DATE(YEAR(Settings!$C$6),MONTH(Settings!$C$6)+0,1),0)))))</f>
        <v/>
      </c>
      <c r="K10">
        <f>IF(OR(B10="",D10=""),"",DATE(YEAR(Settings!$C$6),MONTH(Settings!$C$6)+1,MIN(D10,DAY(EOMONTH(DATE(YEAR(Settings!$C$6),MONTH(Settings!$C$6)+1,1),0)))))</f>
        <v/>
      </c>
      <c r="L10">
        <f>IF(OR(B10="",D10=""),"",DATE(YEAR(Settings!$C$6),MONTH(Settings!$C$6)+2,MIN(D10,DAY(EOMONTH(DATE(YEAR(Settings!$C$6),MONTH(Settings!$C$6)+2,1),0)))))</f>
        <v/>
      </c>
      <c r="M10">
        <f>IF(OR(B10="",D10=""),"",DATE(YEAR(Settings!$C$6),MONTH(Settings!$C$6)+3,MIN(D10,DAY(EOMONTH(DATE(YEAR(Settings!$C$6),MONTH(Settings!$C$6)+3,1),0)))))</f>
        <v/>
      </c>
      <c r="N10">
        <f>IF(OR(B10="",D10=""),"",DATE(YEAR(Settings!$C$6),MONTH(Settings!$C$6)+4,MIN(D10,DAY(EOMONTH(DATE(YEAR(Settings!$C$6),MONTH(Settings!$C$6)+4,1),0)))))</f>
        <v/>
      </c>
      <c r="O10">
        <f>IF(OR(B10="",D10=""),"",DATE(YEAR(Settings!$C$6),MONTH(Settings!$C$6)+5,MIN(D10,DAY(EOMONTH(DATE(YEAR(Settings!$C$6),MONTH(Settings!$C$6)+5,1),0)))))</f>
        <v/>
      </c>
      <c r="P10">
        <f>IF(OR(B10="",D10=""),"",DATE(YEAR(Settings!$C$6),MONTH(Settings!$C$6)+6,MIN(D10,DAY(EOMONTH(DATE(YEAR(Settings!$C$6),MONTH(Settings!$C$6)+6,1),0)))))</f>
        <v/>
      </c>
      <c r="Q10">
        <f>IF(OR(B10="",D10=""),"",DATE(YEAR(Settings!$C$6),MONTH(Settings!$C$6)+7,MIN(D10,DAY(EOMONTH(DATE(YEAR(Settings!$C$6),MONTH(Settings!$C$6)+7,1),0)))))</f>
        <v/>
      </c>
      <c r="R10">
        <f>IF(OR(B10="",D10=""),"",DATE(YEAR(Settings!$C$6),MONTH(Settings!$C$6)+8,MIN(D10,DAY(EOMONTH(DATE(YEAR(Settings!$C$6),MONTH(Settings!$C$6)+8,1),0)))))</f>
        <v/>
      </c>
      <c r="S10">
        <f>IF(OR(B10="",D10=""),"",DATE(YEAR(Settings!$C$6),MONTH(Settings!$C$6)+9,MIN(D10,DAY(EOMONTH(DATE(YEAR(Settings!$C$6),MONTH(Settings!$C$6)+9,1),0)))))</f>
        <v/>
      </c>
      <c r="T10">
        <f>IF(OR(B10="",D10=""),"",DATE(YEAR(Settings!$C$6),MONTH(Settings!$C$6)+10,MIN(D10,DAY(EOMONTH(DATE(YEAR(Settings!$C$6),MONTH(Settings!$C$6)+10,1),0)))))</f>
        <v/>
      </c>
      <c r="U10">
        <f>IF(OR(B10="",D10=""),"",DATE(YEAR(Settings!$C$6),MONTH(Settings!$C$6)+11,MIN(D10,DAY(EOMONTH(DATE(YEAR(Settings!$C$6),MONTH(Settings!$C$6)+11,1),0)))))</f>
        <v/>
      </c>
      <c r="V10">
        <f>IF(OR(B10="",D10=""),"",DATE(YEAR(Settings!$C$6),MONTH(Settings!$C$6)+12,MIN(D10,DAY(EOMONTH(DATE(YEAR(Settings!$C$6),MONTH(Settings!$C$6)+12,1),0)))))</f>
        <v/>
      </c>
      <c r="W10">
        <f>IF(OR(B10="",D10=""),0,IF(OR(E10="",E10=MONTH(DATE(YEAR(Settings!$C$6),MONTH(Settings!$C$6)+0,1))),N(C10),0))</f>
        <v/>
      </c>
      <c r="X10">
        <f>IF(OR(B10="",D10=""),0,IF(OR(E10="",E10=MONTH(DATE(YEAR(Settings!$C$6),MONTH(Settings!$C$6)+1,1))),N(C10),0))</f>
        <v/>
      </c>
      <c r="Y10">
        <f>IF(OR(B10="",D10=""),0,IF(OR(E10="",E10=MONTH(DATE(YEAR(Settings!$C$6),MONTH(Settings!$C$6)+2,1))),N(C10),0))</f>
        <v/>
      </c>
      <c r="Z10">
        <f>IF(OR(B10="",D10=""),0,IF(OR(E10="",E10=MONTH(DATE(YEAR(Settings!$C$6),MONTH(Settings!$C$6)+3,1))),N(C10),0))</f>
        <v/>
      </c>
      <c r="AA10">
        <f>IF(OR(B10="",D10=""),0,IF(OR(E10="",E10=MONTH(DATE(YEAR(Settings!$C$6),MONTH(Settings!$C$6)+4,1))),N(C10),0))</f>
        <v/>
      </c>
      <c r="AB10">
        <f>IF(OR(B10="",D10=""),0,IF(OR(E10="",E10=MONTH(DATE(YEAR(Settings!$C$6),MONTH(Settings!$C$6)+5,1))),N(C10),0))</f>
        <v/>
      </c>
      <c r="AC10">
        <f>IF(OR(B10="",D10=""),0,IF(OR(E10="",E10=MONTH(DATE(YEAR(Settings!$C$6),MONTH(Settings!$C$6)+6,1))),N(C10),0))</f>
        <v/>
      </c>
      <c r="AD10">
        <f>IF(OR(B10="",D10=""),0,IF(OR(E10="",E10=MONTH(DATE(YEAR(Settings!$C$6),MONTH(Settings!$C$6)+7,1))),N(C10),0))</f>
        <v/>
      </c>
      <c r="AE10">
        <f>IF(OR(B10="",D10=""),0,IF(OR(E10="",E10=MONTH(DATE(YEAR(Settings!$C$6),MONTH(Settings!$C$6)+8,1))),N(C10),0))</f>
        <v/>
      </c>
      <c r="AF10">
        <f>IF(OR(B10="",D10=""),0,IF(OR(E10="",E10=MONTH(DATE(YEAR(Settings!$C$6),MONTH(Settings!$C$6)+9,1))),N(C10),0))</f>
        <v/>
      </c>
      <c r="AG10">
        <f>IF(OR(B10="",D10=""),0,IF(OR(E10="",E10=MONTH(DATE(YEAR(Settings!$C$6),MONTH(Settings!$C$6)+10,1))),N(C10),0))</f>
        <v/>
      </c>
      <c r="AH10">
        <f>IF(OR(B10="",D10=""),0,IF(OR(E10="",E10=MONTH(DATE(YEAR(Settings!$C$6),MONTH(Settings!$C$6)+11,1))),N(C10),0))</f>
        <v/>
      </c>
      <c r="AI10">
        <f>IF(OR(B10="",D10=""),0,IF(OR(E10="",E10=MONTH(DATE(YEAR(Settings!$C$6),MONTH(Settings!$C$6)+12,1))),N(C10),0))</f>
        <v/>
      </c>
      <c r="AJ10">
        <f>IF(B10="","",SUMIFS(J10:V10,J10:V10,"&gt;="&amp;Dashboard!$C$4,J10:V10,"&lt;"&amp;Dashboard!$N$1,W10:AI10,"&gt;0"))</f>
        <v/>
      </c>
      <c r="AK10">
        <f>IF(N(AJ10)=0,"",AJ10+ROW()/100000)</f>
        <v/>
      </c>
    </row>
    <row r="11">
      <c r="A11" s="1" t="n"/>
      <c r="B11" s="27" t="inlineStr">
        <is>
          <t>Electricity</t>
        </is>
      </c>
      <c r="C11" s="28" t="n">
        <v>95</v>
      </c>
      <c r="D11" s="29" t="n">
        <v>20</v>
      </c>
      <c r="E11" s="29" t="n"/>
      <c r="F11" s="30" t="inlineStr">
        <is>
          <t>Utilities</t>
        </is>
      </c>
      <c r="G11" s="31" t="inlineStr">
        <is>
          <t>No</t>
        </is>
      </c>
      <c r="H11" s="30" t="inlineStr"/>
      <c r="I11" s="1" t="n"/>
      <c r="J11">
        <f>IF(OR(B11="",D11=""),"",DATE(YEAR(Settings!$C$6),MONTH(Settings!$C$6)+0,MIN(D11,DAY(EOMONTH(DATE(YEAR(Settings!$C$6),MONTH(Settings!$C$6)+0,1),0)))))</f>
        <v/>
      </c>
      <c r="K11">
        <f>IF(OR(B11="",D11=""),"",DATE(YEAR(Settings!$C$6),MONTH(Settings!$C$6)+1,MIN(D11,DAY(EOMONTH(DATE(YEAR(Settings!$C$6),MONTH(Settings!$C$6)+1,1),0)))))</f>
        <v/>
      </c>
      <c r="L11">
        <f>IF(OR(B11="",D11=""),"",DATE(YEAR(Settings!$C$6),MONTH(Settings!$C$6)+2,MIN(D11,DAY(EOMONTH(DATE(YEAR(Settings!$C$6),MONTH(Settings!$C$6)+2,1),0)))))</f>
        <v/>
      </c>
      <c r="M11">
        <f>IF(OR(B11="",D11=""),"",DATE(YEAR(Settings!$C$6),MONTH(Settings!$C$6)+3,MIN(D11,DAY(EOMONTH(DATE(YEAR(Settings!$C$6),MONTH(Settings!$C$6)+3,1),0)))))</f>
        <v/>
      </c>
      <c r="N11">
        <f>IF(OR(B11="",D11=""),"",DATE(YEAR(Settings!$C$6),MONTH(Settings!$C$6)+4,MIN(D11,DAY(EOMONTH(DATE(YEAR(Settings!$C$6),MONTH(Settings!$C$6)+4,1),0)))))</f>
        <v/>
      </c>
      <c r="O11">
        <f>IF(OR(B11="",D11=""),"",DATE(YEAR(Settings!$C$6),MONTH(Settings!$C$6)+5,MIN(D11,DAY(EOMONTH(DATE(YEAR(Settings!$C$6),MONTH(Settings!$C$6)+5,1),0)))))</f>
        <v/>
      </c>
      <c r="P11">
        <f>IF(OR(B11="",D11=""),"",DATE(YEAR(Settings!$C$6),MONTH(Settings!$C$6)+6,MIN(D11,DAY(EOMONTH(DATE(YEAR(Settings!$C$6),MONTH(Settings!$C$6)+6,1),0)))))</f>
        <v/>
      </c>
      <c r="Q11">
        <f>IF(OR(B11="",D11=""),"",DATE(YEAR(Settings!$C$6),MONTH(Settings!$C$6)+7,MIN(D11,DAY(EOMONTH(DATE(YEAR(Settings!$C$6),MONTH(Settings!$C$6)+7,1),0)))))</f>
        <v/>
      </c>
      <c r="R11">
        <f>IF(OR(B11="",D11=""),"",DATE(YEAR(Settings!$C$6),MONTH(Settings!$C$6)+8,MIN(D11,DAY(EOMONTH(DATE(YEAR(Settings!$C$6),MONTH(Settings!$C$6)+8,1),0)))))</f>
        <v/>
      </c>
      <c r="S11">
        <f>IF(OR(B11="",D11=""),"",DATE(YEAR(Settings!$C$6),MONTH(Settings!$C$6)+9,MIN(D11,DAY(EOMONTH(DATE(YEAR(Settings!$C$6),MONTH(Settings!$C$6)+9,1),0)))))</f>
        <v/>
      </c>
      <c r="T11">
        <f>IF(OR(B11="",D11=""),"",DATE(YEAR(Settings!$C$6),MONTH(Settings!$C$6)+10,MIN(D11,DAY(EOMONTH(DATE(YEAR(Settings!$C$6),MONTH(Settings!$C$6)+10,1),0)))))</f>
        <v/>
      </c>
      <c r="U11">
        <f>IF(OR(B11="",D11=""),"",DATE(YEAR(Settings!$C$6),MONTH(Settings!$C$6)+11,MIN(D11,DAY(EOMONTH(DATE(YEAR(Settings!$C$6),MONTH(Settings!$C$6)+11,1),0)))))</f>
        <v/>
      </c>
      <c r="V11">
        <f>IF(OR(B11="",D11=""),"",DATE(YEAR(Settings!$C$6),MONTH(Settings!$C$6)+12,MIN(D11,DAY(EOMONTH(DATE(YEAR(Settings!$C$6),MONTH(Settings!$C$6)+12,1),0)))))</f>
        <v/>
      </c>
      <c r="W11">
        <f>IF(OR(B11="",D11=""),0,IF(OR(E11="",E11=MONTH(DATE(YEAR(Settings!$C$6),MONTH(Settings!$C$6)+0,1))),N(C11),0))</f>
        <v/>
      </c>
      <c r="X11">
        <f>IF(OR(B11="",D11=""),0,IF(OR(E11="",E11=MONTH(DATE(YEAR(Settings!$C$6),MONTH(Settings!$C$6)+1,1))),N(C11),0))</f>
        <v/>
      </c>
      <c r="Y11">
        <f>IF(OR(B11="",D11=""),0,IF(OR(E11="",E11=MONTH(DATE(YEAR(Settings!$C$6),MONTH(Settings!$C$6)+2,1))),N(C11),0))</f>
        <v/>
      </c>
      <c r="Z11">
        <f>IF(OR(B11="",D11=""),0,IF(OR(E11="",E11=MONTH(DATE(YEAR(Settings!$C$6),MONTH(Settings!$C$6)+3,1))),N(C11),0))</f>
        <v/>
      </c>
      <c r="AA11">
        <f>IF(OR(B11="",D11=""),0,IF(OR(E11="",E11=MONTH(DATE(YEAR(Settings!$C$6),MONTH(Settings!$C$6)+4,1))),N(C11),0))</f>
        <v/>
      </c>
      <c r="AB11">
        <f>IF(OR(B11="",D11=""),0,IF(OR(E11="",E11=MONTH(DATE(YEAR(Settings!$C$6),MONTH(Settings!$C$6)+5,1))),N(C11),0))</f>
        <v/>
      </c>
      <c r="AC11">
        <f>IF(OR(B11="",D11=""),0,IF(OR(E11="",E11=MONTH(DATE(YEAR(Settings!$C$6),MONTH(Settings!$C$6)+6,1))),N(C11),0))</f>
        <v/>
      </c>
      <c r="AD11">
        <f>IF(OR(B11="",D11=""),0,IF(OR(E11="",E11=MONTH(DATE(YEAR(Settings!$C$6),MONTH(Settings!$C$6)+7,1))),N(C11),0))</f>
        <v/>
      </c>
      <c r="AE11">
        <f>IF(OR(B11="",D11=""),0,IF(OR(E11="",E11=MONTH(DATE(YEAR(Settings!$C$6),MONTH(Settings!$C$6)+8,1))),N(C11),0))</f>
        <v/>
      </c>
      <c r="AF11">
        <f>IF(OR(B11="",D11=""),0,IF(OR(E11="",E11=MONTH(DATE(YEAR(Settings!$C$6),MONTH(Settings!$C$6)+9,1))),N(C11),0))</f>
        <v/>
      </c>
      <c r="AG11">
        <f>IF(OR(B11="",D11=""),0,IF(OR(E11="",E11=MONTH(DATE(YEAR(Settings!$C$6),MONTH(Settings!$C$6)+10,1))),N(C11),0))</f>
        <v/>
      </c>
      <c r="AH11">
        <f>IF(OR(B11="",D11=""),0,IF(OR(E11="",E11=MONTH(DATE(YEAR(Settings!$C$6),MONTH(Settings!$C$6)+11,1))),N(C11),0))</f>
        <v/>
      </c>
      <c r="AI11">
        <f>IF(OR(B11="",D11=""),0,IF(OR(E11="",E11=MONTH(DATE(YEAR(Settings!$C$6),MONTH(Settings!$C$6)+12,1))),N(C11),0))</f>
        <v/>
      </c>
      <c r="AJ11">
        <f>IF(B11="","",SUMIFS(J11:V11,J11:V11,"&gt;="&amp;Dashboard!$C$4,J11:V11,"&lt;"&amp;Dashboard!$N$1,W11:AI11,"&gt;0"))</f>
        <v/>
      </c>
      <c r="AK11">
        <f>IF(N(AJ11)=0,"",AJ11+ROW()/100000)</f>
        <v/>
      </c>
    </row>
    <row r="12">
      <c r="A12" s="1" t="n"/>
      <c r="B12" s="27" t="inlineStr">
        <is>
          <t>Car insurance</t>
        </is>
      </c>
      <c r="C12" s="28" t="n">
        <v>110</v>
      </c>
      <c r="D12" s="29" t="n">
        <v>22</v>
      </c>
      <c r="E12" s="29" t="n"/>
      <c r="F12" s="30" t="inlineStr">
        <is>
          <t>Insurance</t>
        </is>
      </c>
      <c r="G12" s="31" t="inlineStr">
        <is>
          <t>Yes</t>
        </is>
      </c>
      <c r="H12" s="30" t="inlineStr"/>
      <c r="I12" s="1" t="n"/>
      <c r="J12">
        <f>IF(OR(B12="",D12=""),"",DATE(YEAR(Settings!$C$6),MONTH(Settings!$C$6)+0,MIN(D12,DAY(EOMONTH(DATE(YEAR(Settings!$C$6),MONTH(Settings!$C$6)+0,1),0)))))</f>
        <v/>
      </c>
      <c r="K12">
        <f>IF(OR(B12="",D12=""),"",DATE(YEAR(Settings!$C$6),MONTH(Settings!$C$6)+1,MIN(D12,DAY(EOMONTH(DATE(YEAR(Settings!$C$6),MONTH(Settings!$C$6)+1,1),0)))))</f>
        <v/>
      </c>
      <c r="L12">
        <f>IF(OR(B12="",D12=""),"",DATE(YEAR(Settings!$C$6),MONTH(Settings!$C$6)+2,MIN(D12,DAY(EOMONTH(DATE(YEAR(Settings!$C$6),MONTH(Settings!$C$6)+2,1),0)))))</f>
        <v/>
      </c>
      <c r="M12">
        <f>IF(OR(B12="",D12=""),"",DATE(YEAR(Settings!$C$6),MONTH(Settings!$C$6)+3,MIN(D12,DAY(EOMONTH(DATE(YEAR(Settings!$C$6),MONTH(Settings!$C$6)+3,1),0)))))</f>
        <v/>
      </c>
      <c r="N12">
        <f>IF(OR(B12="",D12=""),"",DATE(YEAR(Settings!$C$6),MONTH(Settings!$C$6)+4,MIN(D12,DAY(EOMONTH(DATE(YEAR(Settings!$C$6),MONTH(Settings!$C$6)+4,1),0)))))</f>
        <v/>
      </c>
      <c r="O12">
        <f>IF(OR(B12="",D12=""),"",DATE(YEAR(Settings!$C$6),MONTH(Settings!$C$6)+5,MIN(D12,DAY(EOMONTH(DATE(YEAR(Settings!$C$6),MONTH(Settings!$C$6)+5,1),0)))))</f>
        <v/>
      </c>
      <c r="P12">
        <f>IF(OR(B12="",D12=""),"",DATE(YEAR(Settings!$C$6),MONTH(Settings!$C$6)+6,MIN(D12,DAY(EOMONTH(DATE(YEAR(Settings!$C$6),MONTH(Settings!$C$6)+6,1),0)))))</f>
        <v/>
      </c>
      <c r="Q12">
        <f>IF(OR(B12="",D12=""),"",DATE(YEAR(Settings!$C$6),MONTH(Settings!$C$6)+7,MIN(D12,DAY(EOMONTH(DATE(YEAR(Settings!$C$6),MONTH(Settings!$C$6)+7,1),0)))))</f>
        <v/>
      </c>
      <c r="R12">
        <f>IF(OR(B12="",D12=""),"",DATE(YEAR(Settings!$C$6),MONTH(Settings!$C$6)+8,MIN(D12,DAY(EOMONTH(DATE(YEAR(Settings!$C$6),MONTH(Settings!$C$6)+8,1),0)))))</f>
        <v/>
      </c>
      <c r="S12">
        <f>IF(OR(B12="",D12=""),"",DATE(YEAR(Settings!$C$6),MONTH(Settings!$C$6)+9,MIN(D12,DAY(EOMONTH(DATE(YEAR(Settings!$C$6),MONTH(Settings!$C$6)+9,1),0)))))</f>
        <v/>
      </c>
      <c r="T12">
        <f>IF(OR(B12="",D12=""),"",DATE(YEAR(Settings!$C$6),MONTH(Settings!$C$6)+10,MIN(D12,DAY(EOMONTH(DATE(YEAR(Settings!$C$6),MONTH(Settings!$C$6)+10,1),0)))))</f>
        <v/>
      </c>
      <c r="U12">
        <f>IF(OR(B12="",D12=""),"",DATE(YEAR(Settings!$C$6),MONTH(Settings!$C$6)+11,MIN(D12,DAY(EOMONTH(DATE(YEAR(Settings!$C$6),MONTH(Settings!$C$6)+11,1),0)))))</f>
        <v/>
      </c>
      <c r="V12">
        <f>IF(OR(B12="",D12=""),"",DATE(YEAR(Settings!$C$6),MONTH(Settings!$C$6)+12,MIN(D12,DAY(EOMONTH(DATE(YEAR(Settings!$C$6),MONTH(Settings!$C$6)+12,1),0)))))</f>
        <v/>
      </c>
      <c r="W12">
        <f>IF(OR(B12="",D12=""),0,IF(OR(E12="",E12=MONTH(DATE(YEAR(Settings!$C$6),MONTH(Settings!$C$6)+0,1))),N(C12),0))</f>
        <v/>
      </c>
      <c r="X12">
        <f>IF(OR(B12="",D12=""),0,IF(OR(E12="",E12=MONTH(DATE(YEAR(Settings!$C$6),MONTH(Settings!$C$6)+1,1))),N(C12),0))</f>
        <v/>
      </c>
      <c r="Y12">
        <f>IF(OR(B12="",D12=""),0,IF(OR(E12="",E12=MONTH(DATE(YEAR(Settings!$C$6),MONTH(Settings!$C$6)+2,1))),N(C12),0))</f>
        <v/>
      </c>
      <c r="Z12">
        <f>IF(OR(B12="",D12=""),0,IF(OR(E12="",E12=MONTH(DATE(YEAR(Settings!$C$6),MONTH(Settings!$C$6)+3,1))),N(C12),0))</f>
        <v/>
      </c>
      <c r="AA12">
        <f>IF(OR(B12="",D12=""),0,IF(OR(E12="",E12=MONTH(DATE(YEAR(Settings!$C$6),MONTH(Settings!$C$6)+4,1))),N(C12),0))</f>
        <v/>
      </c>
      <c r="AB12">
        <f>IF(OR(B12="",D12=""),0,IF(OR(E12="",E12=MONTH(DATE(YEAR(Settings!$C$6),MONTH(Settings!$C$6)+5,1))),N(C12),0))</f>
        <v/>
      </c>
      <c r="AC12">
        <f>IF(OR(B12="",D12=""),0,IF(OR(E12="",E12=MONTH(DATE(YEAR(Settings!$C$6),MONTH(Settings!$C$6)+6,1))),N(C12),0))</f>
        <v/>
      </c>
      <c r="AD12">
        <f>IF(OR(B12="",D12=""),0,IF(OR(E12="",E12=MONTH(DATE(YEAR(Settings!$C$6),MONTH(Settings!$C$6)+7,1))),N(C12),0))</f>
        <v/>
      </c>
      <c r="AE12">
        <f>IF(OR(B12="",D12=""),0,IF(OR(E12="",E12=MONTH(DATE(YEAR(Settings!$C$6),MONTH(Settings!$C$6)+8,1))),N(C12),0))</f>
        <v/>
      </c>
      <c r="AF12">
        <f>IF(OR(B12="",D12=""),0,IF(OR(E12="",E12=MONTH(DATE(YEAR(Settings!$C$6),MONTH(Settings!$C$6)+9,1))),N(C12),0))</f>
        <v/>
      </c>
      <c r="AG12">
        <f>IF(OR(B12="",D12=""),0,IF(OR(E12="",E12=MONTH(DATE(YEAR(Settings!$C$6),MONTH(Settings!$C$6)+10,1))),N(C12),0))</f>
        <v/>
      </c>
      <c r="AH12">
        <f>IF(OR(B12="",D12=""),0,IF(OR(E12="",E12=MONTH(DATE(YEAR(Settings!$C$6),MONTH(Settings!$C$6)+11,1))),N(C12),0))</f>
        <v/>
      </c>
      <c r="AI12">
        <f>IF(OR(B12="",D12=""),0,IF(OR(E12="",E12=MONTH(DATE(YEAR(Settings!$C$6),MONTH(Settings!$C$6)+12,1))),N(C12),0))</f>
        <v/>
      </c>
      <c r="AJ12">
        <f>IF(B12="","",SUMIFS(J12:V12,J12:V12,"&gt;="&amp;Dashboard!$C$4,J12:V12,"&lt;"&amp;Dashboard!$N$1,W12:AI12,"&gt;0"))</f>
        <v/>
      </c>
      <c r="AK12">
        <f>IF(N(AJ12)=0,"",AJ12+ROW()/100000)</f>
        <v/>
      </c>
    </row>
    <row r="13">
      <c r="A13" s="1" t="n"/>
      <c r="B13" s="27" t="inlineStr">
        <is>
          <t>Streaming</t>
        </is>
      </c>
      <c r="C13" s="28" t="n">
        <v>16</v>
      </c>
      <c r="D13" s="29" t="n">
        <v>25</v>
      </c>
      <c r="E13" s="29" t="n"/>
      <c r="F13" s="30" t="inlineStr">
        <is>
          <t>Fun</t>
        </is>
      </c>
      <c r="G13" s="31" t="inlineStr">
        <is>
          <t>Yes</t>
        </is>
      </c>
      <c r="H13" s="30" t="inlineStr"/>
      <c r="I13" s="1" t="n"/>
      <c r="J13">
        <f>IF(OR(B13="",D13=""),"",DATE(YEAR(Settings!$C$6),MONTH(Settings!$C$6)+0,MIN(D13,DAY(EOMONTH(DATE(YEAR(Settings!$C$6),MONTH(Settings!$C$6)+0,1),0)))))</f>
        <v/>
      </c>
      <c r="K13">
        <f>IF(OR(B13="",D13=""),"",DATE(YEAR(Settings!$C$6),MONTH(Settings!$C$6)+1,MIN(D13,DAY(EOMONTH(DATE(YEAR(Settings!$C$6),MONTH(Settings!$C$6)+1,1),0)))))</f>
        <v/>
      </c>
      <c r="L13">
        <f>IF(OR(B13="",D13=""),"",DATE(YEAR(Settings!$C$6),MONTH(Settings!$C$6)+2,MIN(D13,DAY(EOMONTH(DATE(YEAR(Settings!$C$6),MONTH(Settings!$C$6)+2,1),0)))))</f>
        <v/>
      </c>
      <c r="M13">
        <f>IF(OR(B13="",D13=""),"",DATE(YEAR(Settings!$C$6),MONTH(Settings!$C$6)+3,MIN(D13,DAY(EOMONTH(DATE(YEAR(Settings!$C$6),MONTH(Settings!$C$6)+3,1),0)))))</f>
        <v/>
      </c>
      <c r="N13">
        <f>IF(OR(B13="",D13=""),"",DATE(YEAR(Settings!$C$6),MONTH(Settings!$C$6)+4,MIN(D13,DAY(EOMONTH(DATE(YEAR(Settings!$C$6),MONTH(Settings!$C$6)+4,1),0)))))</f>
        <v/>
      </c>
      <c r="O13">
        <f>IF(OR(B13="",D13=""),"",DATE(YEAR(Settings!$C$6),MONTH(Settings!$C$6)+5,MIN(D13,DAY(EOMONTH(DATE(YEAR(Settings!$C$6),MONTH(Settings!$C$6)+5,1),0)))))</f>
        <v/>
      </c>
      <c r="P13">
        <f>IF(OR(B13="",D13=""),"",DATE(YEAR(Settings!$C$6),MONTH(Settings!$C$6)+6,MIN(D13,DAY(EOMONTH(DATE(YEAR(Settings!$C$6),MONTH(Settings!$C$6)+6,1),0)))))</f>
        <v/>
      </c>
      <c r="Q13">
        <f>IF(OR(B13="",D13=""),"",DATE(YEAR(Settings!$C$6),MONTH(Settings!$C$6)+7,MIN(D13,DAY(EOMONTH(DATE(YEAR(Settings!$C$6),MONTH(Settings!$C$6)+7,1),0)))))</f>
        <v/>
      </c>
      <c r="R13">
        <f>IF(OR(B13="",D13=""),"",DATE(YEAR(Settings!$C$6),MONTH(Settings!$C$6)+8,MIN(D13,DAY(EOMONTH(DATE(YEAR(Settings!$C$6),MONTH(Settings!$C$6)+8,1),0)))))</f>
        <v/>
      </c>
      <c r="S13">
        <f>IF(OR(B13="",D13=""),"",DATE(YEAR(Settings!$C$6),MONTH(Settings!$C$6)+9,MIN(D13,DAY(EOMONTH(DATE(YEAR(Settings!$C$6),MONTH(Settings!$C$6)+9,1),0)))))</f>
        <v/>
      </c>
      <c r="T13">
        <f>IF(OR(B13="",D13=""),"",DATE(YEAR(Settings!$C$6),MONTH(Settings!$C$6)+10,MIN(D13,DAY(EOMONTH(DATE(YEAR(Settings!$C$6),MONTH(Settings!$C$6)+10,1),0)))))</f>
        <v/>
      </c>
      <c r="U13">
        <f>IF(OR(B13="",D13=""),"",DATE(YEAR(Settings!$C$6),MONTH(Settings!$C$6)+11,MIN(D13,DAY(EOMONTH(DATE(YEAR(Settings!$C$6),MONTH(Settings!$C$6)+11,1),0)))))</f>
        <v/>
      </c>
      <c r="V13">
        <f>IF(OR(B13="",D13=""),"",DATE(YEAR(Settings!$C$6),MONTH(Settings!$C$6)+12,MIN(D13,DAY(EOMONTH(DATE(YEAR(Settings!$C$6),MONTH(Settings!$C$6)+12,1),0)))))</f>
        <v/>
      </c>
      <c r="W13">
        <f>IF(OR(B13="",D13=""),0,IF(OR(E13="",E13=MONTH(DATE(YEAR(Settings!$C$6),MONTH(Settings!$C$6)+0,1))),N(C13),0))</f>
        <v/>
      </c>
      <c r="X13">
        <f>IF(OR(B13="",D13=""),0,IF(OR(E13="",E13=MONTH(DATE(YEAR(Settings!$C$6),MONTH(Settings!$C$6)+1,1))),N(C13),0))</f>
        <v/>
      </c>
      <c r="Y13">
        <f>IF(OR(B13="",D13=""),0,IF(OR(E13="",E13=MONTH(DATE(YEAR(Settings!$C$6),MONTH(Settings!$C$6)+2,1))),N(C13),0))</f>
        <v/>
      </c>
      <c r="Z13">
        <f>IF(OR(B13="",D13=""),0,IF(OR(E13="",E13=MONTH(DATE(YEAR(Settings!$C$6),MONTH(Settings!$C$6)+3,1))),N(C13),0))</f>
        <v/>
      </c>
      <c r="AA13">
        <f>IF(OR(B13="",D13=""),0,IF(OR(E13="",E13=MONTH(DATE(YEAR(Settings!$C$6),MONTH(Settings!$C$6)+4,1))),N(C13),0))</f>
        <v/>
      </c>
      <c r="AB13">
        <f>IF(OR(B13="",D13=""),0,IF(OR(E13="",E13=MONTH(DATE(YEAR(Settings!$C$6),MONTH(Settings!$C$6)+5,1))),N(C13),0))</f>
        <v/>
      </c>
      <c r="AC13">
        <f>IF(OR(B13="",D13=""),0,IF(OR(E13="",E13=MONTH(DATE(YEAR(Settings!$C$6),MONTH(Settings!$C$6)+6,1))),N(C13),0))</f>
        <v/>
      </c>
      <c r="AD13">
        <f>IF(OR(B13="",D13=""),0,IF(OR(E13="",E13=MONTH(DATE(YEAR(Settings!$C$6),MONTH(Settings!$C$6)+7,1))),N(C13),0))</f>
        <v/>
      </c>
      <c r="AE13">
        <f>IF(OR(B13="",D13=""),0,IF(OR(E13="",E13=MONTH(DATE(YEAR(Settings!$C$6),MONTH(Settings!$C$6)+8,1))),N(C13),0))</f>
        <v/>
      </c>
      <c r="AF13">
        <f>IF(OR(B13="",D13=""),0,IF(OR(E13="",E13=MONTH(DATE(YEAR(Settings!$C$6),MONTH(Settings!$C$6)+9,1))),N(C13),0))</f>
        <v/>
      </c>
      <c r="AG13">
        <f>IF(OR(B13="",D13=""),0,IF(OR(E13="",E13=MONTH(DATE(YEAR(Settings!$C$6),MONTH(Settings!$C$6)+10,1))),N(C13),0))</f>
        <v/>
      </c>
      <c r="AH13">
        <f>IF(OR(B13="",D13=""),0,IF(OR(E13="",E13=MONTH(DATE(YEAR(Settings!$C$6),MONTH(Settings!$C$6)+11,1))),N(C13),0))</f>
        <v/>
      </c>
      <c r="AI13">
        <f>IF(OR(B13="",D13=""),0,IF(OR(E13="",E13=MONTH(DATE(YEAR(Settings!$C$6),MONTH(Settings!$C$6)+12,1))),N(C13),0))</f>
        <v/>
      </c>
      <c r="AJ13">
        <f>IF(B13="","",SUMIFS(J13:V13,J13:V13,"&gt;="&amp;Dashboard!$C$4,J13:V13,"&lt;"&amp;Dashboard!$N$1,W13:AI13,"&gt;0"))</f>
        <v/>
      </c>
      <c r="AK13">
        <f>IF(N(AJ13)=0,"",AJ13+ROW()/100000)</f>
        <v/>
      </c>
    </row>
    <row r="14">
      <c r="A14" s="1" t="n"/>
      <c r="B14" s="27" t="inlineStr">
        <is>
          <t>Gym</t>
        </is>
      </c>
      <c r="C14" s="28" t="n">
        <v>35</v>
      </c>
      <c r="D14" s="29" t="n">
        <v>27</v>
      </c>
      <c r="E14" s="29" t="n"/>
      <c r="F14" s="30" t="inlineStr">
        <is>
          <t>Health</t>
        </is>
      </c>
      <c r="G14" s="31" t="inlineStr">
        <is>
          <t>Yes</t>
        </is>
      </c>
      <c r="H14" s="30" t="inlineStr"/>
      <c r="I14" s="1" t="n"/>
      <c r="J14">
        <f>IF(OR(B14="",D14=""),"",DATE(YEAR(Settings!$C$6),MONTH(Settings!$C$6)+0,MIN(D14,DAY(EOMONTH(DATE(YEAR(Settings!$C$6),MONTH(Settings!$C$6)+0,1),0)))))</f>
        <v/>
      </c>
      <c r="K14">
        <f>IF(OR(B14="",D14=""),"",DATE(YEAR(Settings!$C$6),MONTH(Settings!$C$6)+1,MIN(D14,DAY(EOMONTH(DATE(YEAR(Settings!$C$6),MONTH(Settings!$C$6)+1,1),0)))))</f>
        <v/>
      </c>
      <c r="L14">
        <f>IF(OR(B14="",D14=""),"",DATE(YEAR(Settings!$C$6),MONTH(Settings!$C$6)+2,MIN(D14,DAY(EOMONTH(DATE(YEAR(Settings!$C$6),MONTH(Settings!$C$6)+2,1),0)))))</f>
        <v/>
      </c>
      <c r="M14">
        <f>IF(OR(B14="",D14=""),"",DATE(YEAR(Settings!$C$6),MONTH(Settings!$C$6)+3,MIN(D14,DAY(EOMONTH(DATE(YEAR(Settings!$C$6),MONTH(Settings!$C$6)+3,1),0)))))</f>
        <v/>
      </c>
      <c r="N14">
        <f>IF(OR(B14="",D14=""),"",DATE(YEAR(Settings!$C$6),MONTH(Settings!$C$6)+4,MIN(D14,DAY(EOMONTH(DATE(YEAR(Settings!$C$6),MONTH(Settings!$C$6)+4,1),0)))))</f>
        <v/>
      </c>
      <c r="O14">
        <f>IF(OR(B14="",D14=""),"",DATE(YEAR(Settings!$C$6),MONTH(Settings!$C$6)+5,MIN(D14,DAY(EOMONTH(DATE(YEAR(Settings!$C$6),MONTH(Settings!$C$6)+5,1),0)))))</f>
        <v/>
      </c>
      <c r="P14">
        <f>IF(OR(B14="",D14=""),"",DATE(YEAR(Settings!$C$6),MONTH(Settings!$C$6)+6,MIN(D14,DAY(EOMONTH(DATE(YEAR(Settings!$C$6),MONTH(Settings!$C$6)+6,1),0)))))</f>
        <v/>
      </c>
      <c r="Q14">
        <f>IF(OR(B14="",D14=""),"",DATE(YEAR(Settings!$C$6),MONTH(Settings!$C$6)+7,MIN(D14,DAY(EOMONTH(DATE(YEAR(Settings!$C$6),MONTH(Settings!$C$6)+7,1),0)))))</f>
        <v/>
      </c>
      <c r="R14">
        <f>IF(OR(B14="",D14=""),"",DATE(YEAR(Settings!$C$6),MONTH(Settings!$C$6)+8,MIN(D14,DAY(EOMONTH(DATE(YEAR(Settings!$C$6),MONTH(Settings!$C$6)+8,1),0)))))</f>
        <v/>
      </c>
      <c r="S14">
        <f>IF(OR(B14="",D14=""),"",DATE(YEAR(Settings!$C$6),MONTH(Settings!$C$6)+9,MIN(D14,DAY(EOMONTH(DATE(YEAR(Settings!$C$6),MONTH(Settings!$C$6)+9,1),0)))))</f>
        <v/>
      </c>
      <c r="T14">
        <f>IF(OR(B14="",D14=""),"",DATE(YEAR(Settings!$C$6),MONTH(Settings!$C$6)+10,MIN(D14,DAY(EOMONTH(DATE(YEAR(Settings!$C$6),MONTH(Settings!$C$6)+10,1),0)))))</f>
        <v/>
      </c>
      <c r="U14">
        <f>IF(OR(B14="",D14=""),"",DATE(YEAR(Settings!$C$6),MONTH(Settings!$C$6)+11,MIN(D14,DAY(EOMONTH(DATE(YEAR(Settings!$C$6),MONTH(Settings!$C$6)+11,1),0)))))</f>
        <v/>
      </c>
      <c r="V14">
        <f>IF(OR(B14="",D14=""),"",DATE(YEAR(Settings!$C$6),MONTH(Settings!$C$6)+12,MIN(D14,DAY(EOMONTH(DATE(YEAR(Settings!$C$6),MONTH(Settings!$C$6)+12,1),0)))))</f>
        <v/>
      </c>
      <c r="W14">
        <f>IF(OR(B14="",D14=""),0,IF(OR(E14="",E14=MONTH(DATE(YEAR(Settings!$C$6),MONTH(Settings!$C$6)+0,1))),N(C14),0))</f>
        <v/>
      </c>
      <c r="X14">
        <f>IF(OR(B14="",D14=""),0,IF(OR(E14="",E14=MONTH(DATE(YEAR(Settings!$C$6),MONTH(Settings!$C$6)+1,1))),N(C14),0))</f>
        <v/>
      </c>
      <c r="Y14">
        <f>IF(OR(B14="",D14=""),0,IF(OR(E14="",E14=MONTH(DATE(YEAR(Settings!$C$6),MONTH(Settings!$C$6)+2,1))),N(C14),0))</f>
        <v/>
      </c>
      <c r="Z14">
        <f>IF(OR(B14="",D14=""),0,IF(OR(E14="",E14=MONTH(DATE(YEAR(Settings!$C$6),MONTH(Settings!$C$6)+3,1))),N(C14),0))</f>
        <v/>
      </c>
      <c r="AA14">
        <f>IF(OR(B14="",D14=""),0,IF(OR(E14="",E14=MONTH(DATE(YEAR(Settings!$C$6),MONTH(Settings!$C$6)+4,1))),N(C14),0))</f>
        <v/>
      </c>
      <c r="AB14">
        <f>IF(OR(B14="",D14=""),0,IF(OR(E14="",E14=MONTH(DATE(YEAR(Settings!$C$6),MONTH(Settings!$C$6)+5,1))),N(C14),0))</f>
        <v/>
      </c>
      <c r="AC14">
        <f>IF(OR(B14="",D14=""),0,IF(OR(E14="",E14=MONTH(DATE(YEAR(Settings!$C$6),MONTH(Settings!$C$6)+6,1))),N(C14),0))</f>
        <v/>
      </c>
      <c r="AD14">
        <f>IF(OR(B14="",D14=""),0,IF(OR(E14="",E14=MONTH(DATE(YEAR(Settings!$C$6),MONTH(Settings!$C$6)+7,1))),N(C14),0))</f>
        <v/>
      </c>
      <c r="AE14">
        <f>IF(OR(B14="",D14=""),0,IF(OR(E14="",E14=MONTH(DATE(YEAR(Settings!$C$6),MONTH(Settings!$C$6)+8,1))),N(C14),0))</f>
        <v/>
      </c>
      <c r="AF14">
        <f>IF(OR(B14="",D14=""),0,IF(OR(E14="",E14=MONTH(DATE(YEAR(Settings!$C$6),MONTH(Settings!$C$6)+9,1))),N(C14),0))</f>
        <v/>
      </c>
      <c r="AG14">
        <f>IF(OR(B14="",D14=""),0,IF(OR(E14="",E14=MONTH(DATE(YEAR(Settings!$C$6),MONTH(Settings!$C$6)+10,1))),N(C14),0))</f>
        <v/>
      </c>
      <c r="AH14">
        <f>IF(OR(B14="",D14=""),0,IF(OR(E14="",E14=MONTH(DATE(YEAR(Settings!$C$6),MONTH(Settings!$C$6)+11,1))),N(C14),0))</f>
        <v/>
      </c>
      <c r="AI14">
        <f>IF(OR(B14="",D14=""),0,IF(OR(E14="",E14=MONTH(DATE(YEAR(Settings!$C$6),MONTH(Settings!$C$6)+12,1))),N(C14),0))</f>
        <v/>
      </c>
      <c r="AJ14">
        <f>IF(B14="","",SUMIFS(J14:V14,J14:V14,"&gt;="&amp;Dashboard!$C$4,J14:V14,"&lt;"&amp;Dashboard!$N$1,W14:AI14,"&gt;0"))</f>
        <v/>
      </c>
      <c r="AK14">
        <f>IF(N(AJ14)=0,"",AJ14+ROW()/100000)</f>
        <v/>
      </c>
    </row>
    <row r="15">
      <c r="A15" s="1" t="n"/>
      <c r="B15" s="27" t="inlineStr">
        <is>
          <t>Credit card minimum</t>
        </is>
      </c>
      <c r="C15" s="28" t="n">
        <v>75</v>
      </c>
      <c r="D15" s="29" t="n">
        <v>28</v>
      </c>
      <c r="E15" s="29" t="n"/>
      <c r="F15" s="30" t="inlineStr">
        <is>
          <t>Debt</t>
        </is>
      </c>
      <c r="G15" s="31" t="inlineStr">
        <is>
          <t>No</t>
        </is>
      </c>
      <c r="H15" s="30" t="inlineStr"/>
      <c r="I15" s="1" t="n"/>
      <c r="J15">
        <f>IF(OR(B15="",D15=""),"",DATE(YEAR(Settings!$C$6),MONTH(Settings!$C$6)+0,MIN(D15,DAY(EOMONTH(DATE(YEAR(Settings!$C$6),MONTH(Settings!$C$6)+0,1),0)))))</f>
        <v/>
      </c>
      <c r="K15">
        <f>IF(OR(B15="",D15=""),"",DATE(YEAR(Settings!$C$6),MONTH(Settings!$C$6)+1,MIN(D15,DAY(EOMONTH(DATE(YEAR(Settings!$C$6),MONTH(Settings!$C$6)+1,1),0)))))</f>
        <v/>
      </c>
      <c r="L15">
        <f>IF(OR(B15="",D15=""),"",DATE(YEAR(Settings!$C$6),MONTH(Settings!$C$6)+2,MIN(D15,DAY(EOMONTH(DATE(YEAR(Settings!$C$6),MONTH(Settings!$C$6)+2,1),0)))))</f>
        <v/>
      </c>
      <c r="M15">
        <f>IF(OR(B15="",D15=""),"",DATE(YEAR(Settings!$C$6),MONTH(Settings!$C$6)+3,MIN(D15,DAY(EOMONTH(DATE(YEAR(Settings!$C$6),MONTH(Settings!$C$6)+3,1),0)))))</f>
        <v/>
      </c>
      <c r="N15">
        <f>IF(OR(B15="",D15=""),"",DATE(YEAR(Settings!$C$6),MONTH(Settings!$C$6)+4,MIN(D15,DAY(EOMONTH(DATE(YEAR(Settings!$C$6),MONTH(Settings!$C$6)+4,1),0)))))</f>
        <v/>
      </c>
      <c r="O15">
        <f>IF(OR(B15="",D15=""),"",DATE(YEAR(Settings!$C$6),MONTH(Settings!$C$6)+5,MIN(D15,DAY(EOMONTH(DATE(YEAR(Settings!$C$6),MONTH(Settings!$C$6)+5,1),0)))))</f>
        <v/>
      </c>
      <c r="P15">
        <f>IF(OR(B15="",D15=""),"",DATE(YEAR(Settings!$C$6),MONTH(Settings!$C$6)+6,MIN(D15,DAY(EOMONTH(DATE(YEAR(Settings!$C$6),MONTH(Settings!$C$6)+6,1),0)))))</f>
        <v/>
      </c>
      <c r="Q15">
        <f>IF(OR(B15="",D15=""),"",DATE(YEAR(Settings!$C$6),MONTH(Settings!$C$6)+7,MIN(D15,DAY(EOMONTH(DATE(YEAR(Settings!$C$6),MONTH(Settings!$C$6)+7,1),0)))))</f>
        <v/>
      </c>
      <c r="R15">
        <f>IF(OR(B15="",D15=""),"",DATE(YEAR(Settings!$C$6),MONTH(Settings!$C$6)+8,MIN(D15,DAY(EOMONTH(DATE(YEAR(Settings!$C$6),MONTH(Settings!$C$6)+8,1),0)))))</f>
        <v/>
      </c>
      <c r="S15">
        <f>IF(OR(B15="",D15=""),"",DATE(YEAR(Settings!$C$6),MONTH(Settings!$C$6)+9,MIN(D15,DAY(EOMONTH(DATE(YEAR(Settings!$C$6),MONTH(Settings!$C$6)+9,1),0)))))</f>
        <v/>
      </c>
      <c r="T15">
        <f>IF(OR(B15="",D15=""),"",DATE(YEAR(Settings!$C$6),MONTH(Settings!$C$6)+10,MIN(D15,DAY(EOMONTH(DATE(YEAR(Settings!$C$6),MONTH(Settings!$C$6)+10,1),0)))))</f>
        <v/>
      </c>
      <c r="U15">
        <f>IF(OR(B15="",D15=""),"",DATE(YEAR(Settings!$C$6),MONTH(Settings!$C$6)+11,MIN(D15,DAY(EOMONTH(DATE(YEAR(Settings!$C$6),MONTH(Settings!$C$6)+11,1),0)))))</f>
        <v/>
      </c>
      <c r="V15">
        <f>IF(OR(B15="",D15=""),"",DATE(YEAR(Settings!$C$6),MONTH(Settings!$C$6)+12,MIN(D15,DAY(EOMONTH(DATE(YEAR(Settings!$C$6),MONTH(Settings!$C$6)+12,1),0)))))</f>
        <v/>
      </c>
      <c r="W15">
        <f>IF(OR(B15="",D15=""),0,IF(OR(E15="",E15=MONTH(DATE(YEAR(Settings!$C$6),MONTH(Settings!$C$6)+0,1))),N(C15),0))</f>
        <v/>
      </c>
      <c r="X15">
        <f>IF(OR(B15="",D15=""),0,IF(OR(E15="",E15=MONTH(DATE(YEAR(Settings!$C$6),MONTH(Settings!$C$6)+1,1))),N(C15),0))</f>
        <v/>
      </c>
      <c r="Y15">
        <f>IF(OR(B15="",D15=""),0,IF(OR(E15="",E15=MONTH(DATE(YEAR(Settings!$C$6),MONTH(Settings!$C$6)+2,1))),N(C15),0))</f>
        <v/>
      </c>
      <c r="Z15">
        <f>IF(OR(B15="",D15=""),0,IF(OR(E15="",E15=MONTH(DATE(YEAR(Settings!$C$6),MONTH(Settings!$C$6)+3,1))),N(C15),0))</f>
        <v/>
      </c>
      <c r="AA15">
        <f>IF(OR(B15="",D15=""),0,IF(OR(E15="",E15=MONTH(DATE(YEAR(Settings!$C$6),MONTH(Settings!$C$6)+4,1))),N(C15),0))</f>
        <v/>
      </c>
      <c r="AB15">
        <f>IF(OR(B15="",D15=""),0,IF(OR(E15="",E15=MONTH(DATE(YEAR(Settings!$C$6),MONTH(Settings!$C$6)+5,1))),N(C15),0))</f>
        <v/>
      </c>
      <c r="AC15">
        <f>IF(OR(B15="",D15=""),0,IF(OR(E15="",E15=MONTH(DATE(YEAR(Settings!$C$6),MONTH(Settings!$C$6)+6,1))),N(C15),0))</f>
        <v/>
      </c>
      <c r="AD15">
        <f>IF(OR(B15="",D15=""),0,IF(OR(E15="",E15=MONTH(DATE(YEAR(Settings!$C$6),MONTH(Settings!$C$6)+7,1))),N(C15),0))</f>
        <v/>
      </c>
      <c r="AE15">
        <f>IF(OR(B15="",D15=""),0,IF(OR(E15="",E15=MONTH(DATE(YEAR(Settings!$C$6),MONTH(Settings!$C$6)+8,1))),N(C15),0))</f>
        <v/>
      </c>
      <c r="AF15">
        <f>IF(OR(B15="",D15=""),0,IF(OR(E15="",E15=MONTH(DATE(YEAR(Settings!$C$6),MONTH(Settings!$C$6)+9,1))),N(C15),0))</f>
        <v/>
      </c>
      <c r="AG15">
        <f>IF(OR(B15="",D15=""),0,IF(OR(E15="",E15=MONTH(DATE(YEAR(Settings!$C$6),MONTH(Settings!$C$6)+10,1))),N(C15),0))</f>
        <v/>
      </c>
      <c r="AH15">
        <f>IF(OR(B15="",D15=""),0,IF(OR(E15="",E15=MONTH(DATE(YEAR(Settings!$C$6),MONTH(Settings!$C$6)+11,1))),N(C15),0))</f>
        <v/>
      </c>
      <c r="AI15">
        <f>IF(OR(B15="",D15=""),0,IF(OR(E15="",E15=MONTH(DATE(YEAR(Settings!$C$6),MONTH(Settings!$C$6)+12,1))),N(C15),0))</f>
        <v/>
      </c>
      <c r="AJ15">
        <f>IF(B15="","",SUMIFS(J15:V15,J15:V15,"&gt;="&amp;Dashboard!$C$4,J15:V15,"&lt;"&amp;Dashboard!$N$1,W15:AI15,"&gt;0"))</f>
        <v/>
      </c>
      <c r="AK15">
        <f>IF(N(AJ15)=0,"",AJ15+ROW()/100000)</f>
        <v/>
      </c>
    </row>
    <row r="16">
      <c r="A16" s="1" t="n"/>
      <c r="B16" s="27" t="inlineStr">
        <is>
          <t>Renters insurance</t>
        </is>
      </c>
      <c r="C16" s="28" t="n">
        <v>180</v>
      </c>
      <c r="D16" s="29" t="n">
        <v>10</v>
      </c>
      <c r="E16" s="29" t="n">
        <v>3</v>
      </c>
      <c r="F16" s="30" t="inlineStr">
        <is>
          <t>Insurance</t>
        </is>
      </c>
      <c r="G16" s="31" t="inlineStr">
        <is>
          <t>No</t>
        </is>
      </c>
      <c r="H16" s="30" t="inlineStr">
        <is>
          <t>Once a year, in March</t>
        </is>
      </c>
      <c r="I16" s="1" t="n"/>
      <c r="J16">
        <f>IF(OR(B16="",D16=""),"",DATE(YEAR(Settings!$C$6),MONTH(Settings!$C$6)+0,MIN(D16,DAY(EOMONTH(DATE(YEAR(Settings!$C$6),MONTH(Settings!$C$6)+0,1),0)))))</f>
        <v/>
      </c>
      <c r="K16">
        <f>IF(OR(B16="",D16=""),"",DATE(YEAR(Settings!$C$6),MONTH(Settings!$C$6)+1,MIN(D16,DAY(EOMONTH(DATE(YEAR(Settings!$C$6),MONTH(Settings!$C$6)+1,1),0)))))</f>
        <v/>
      </c>
      <c r="L16">
        <f>IF(OR(B16="",D16=""),"",DATE(YEAR(Settings!$C$6),MONTH(Settings!$C$6)+2,MIN(D16,DAY(EOMONTH(DATE(YEAR(Settings!$C$6),MONTH(Settings!$C$6)+2,1),0)))))</f>
        <v/>
      </c>
      <c r="M16">
        <f>IF(OR(B16="",D16=""),"",DATE(YEAR(Settings!$C$6),MONTH(Settings!$C$6)+3,MIN(D16,DAY(EOMONTH(DATE(YEAR(Settings!$C$6),MONTH(Settings!$C$6)+3,1),0)))))</f>
        <v/>
      </c>
      <c r="N16">
        <f>IF(OR(B16="",D16=""),"",DATE(YEAR(Settings!$C$6),MONTH(Settings!$C$6)+4,MIN(D16,DAY(EOMONTH(DATE(YEAR(Settings!$C$6),MONTH(Settings!$C$6)+4,1),0)))))</f>
        <v/>
      </c>
      <c r="O16">
        <f>IF(OR(B16="",D16=""),"",DATE(YEAR(Settings!$C$6),MONTH(Settings!$C$6)+5,MIN(D16,DAY(EOMONTH(DATE(YEAR(Settings!$C$6),MONTH(Settings!$C$6)+5,1),0)))))</f>
        <v/>
      </c>
      <c r="P16">
        <f>IF(OR(B16="",D16=""),"",DATE(YEAR(Settings!$C$6),MONTH(Settings!$C$6)+6,MIN(D16,DAY(EOMONTH(DATE(YEAR(Settings!$C$6),MONTH(Settings!$C$6)+6,1),0)))))</f>
        <v/>
      </c>
      <c r="Q16">
        <f>IF(OR(B16="",D16=""),"",DATE(YEAR(Settings!$C$6),MONTH(Settings!$C$6)+7,MIN(D16,DAY(EOMONTH(DATE(YEAR(Settings!$C$6),MONTH(Settings!$C$6)+7,1),0)))))</f>
        <v/>
      </c>
      <c r="R16">
        <f>IF(OR(B16="",D16=""),"",DATE(YEAR(Settings!$C$6),MONTH(Settings!$C$6)+8,MIN(D16,DAY(EOMONTH(DATE(YEAR(Settings!$C$6),MONTH(Settings!$C$6)+8,1),0)))))</f>
        <v/>
      </c>
      <c r="S16">
        <f>IF(OR(B16="",D16=""),"",DATE(YEAR(Settings!$C$6),MONTH(Settings!$C$6)+9,MIN(D16,DAY(EOMONTH(DATE(YEAR(Settings!$C$6),MONTH(Settings!$C$6)+9,1),0)))))</f>
        <v/>
      </c>
      <c r="T16">
        <f>IF(OR(B16="",D16=""),"",DATE(YEAR(Settings!$C$6),MONTH(Settings!$C$6)+10,MIN(D16,DAY(EOMONTH(DATE(YEAR(Settings!$C$6),MONTH(Settings!$C$6)+10,1),0)))))</f>
        <v/>
      </c>
      <c r="U16">
        <f>IF(OR(B16="",D16=""),"",DATE(YEAR(Settings!$C$6),MONTH(Settings!$C$6)+11,MIN(D16,DAY(EOMONTH(DATE(YEAR(Settings!$C$6),MONTH(Settings!$C$6)+11,1),0)))))</f>
        <v/>
      </c>
      <c r="V16">
        <f>IF(OR(B16="",D16=""),"",DATE(YEAR(Settings!$C$6),MONTH(Settings!$C$6)+12,MIN(D16,DAY(EOMONTH(DATE(YEAR(Settings!$C$6),MONTH(Settings!$C$6)+12,1),0)))))</f>
        <v/>
      </c>
      <c r="W16">
        <f>IF(OR(B16="",D16=""),0,IF(OR(E16="",E16=MONTH(DATE(YEAR(Settings!$C$6),MONTH(Settings!$C$6)+0,1))),N(C16),0))</f>
        <v/>
      </c>
      <c r="X16">
        <f>IF(OR(B16="",D16=""),0,IF(OR(E16="",E16=MONTH(DATE(YEAR(Settings!$C$6),MONTH(Settings!$C$6)+1,1))),N(C16),0))</f>
        <v/>
      </c>
      <c r="Y16">
        <f>IF(OR(B16="",D16=""),0,IF(OR(E16="",E16=MONTH(DATE(YEAR(Settings!$C$6),MONTH(Settings!$C$6)+2,1))),N(C16),0))</f>
        <v/>
      </c>
      <c r="Z16">
        <f>IF(OR(B16="",D16=""),0,IF(OR(E16="",E16=MONTH(DATE(YEAR(Settings!$C$6),MONTH(Settings!$C$6)+3,1))),N(C16),0))</f>
        <v/>
      </c>
      <c r="AA16">
        <f>IF(OR(B16="",D16=""),0,IF(OR(E16="",E16=MONTH(DATE(YEAR(Settings!$C$6),MONTH(Settings!$C$6)+4,1))),N(C16),0))</f>
        <v/>
      </c>
      <c r="AB16">
        <f>IF(OR(B16="",D16=""),0,IF(OR(E16="",E16=MONTH(DATE(YEAR(Settings!$C$6),MONTH(Settings!$C$6)+5,1))),N(C16),0))</f>
        <v/>
      </c>
      <c r="AC16">
        <f>IF(OR(B16="",D16=""),0,IF(OR(E16="",E16=MONTH(DATE(YEAR(Settings!$C$6),MONTH(Settings!$C$6)+6,1))),N(C16),0))</f>
        <v/>
      </c>
      <c r="AD16">
        <f>IF(OR(B16="",D16=""),0,IF(OR(E16="",E16=MONTH(DATE(YEAR(Settings!$C$6),MONTH(Settings!$C$6)+7,1))),N(C16),0))</f>
        <v/>
      </c>
      <c r="AE16">
        <f>IF(OR(B16="",D16=""),0,IF(OR(E16="",E16=MONTH(DATE(YEAR(Settings!$C$6),MONTH(Settings!$C$6)+8,1))),N(C16),0))</f>
        <v/>
      </c>
      <c r="AF16">
        <f>IF(OR(B16="",D16=""),0,IF(OR(E16="",E16=MONTH(DATE(YEAR(Settings!$C$6),MONTH(Settings!$C$6)+9,1))),N(C16),0))</f>
        <v/>
      </c>
      <c r="AG16">
        <f>IF(OR(B16="",D16=""),0,IF(OR(E16="",E16=MONTH(DATE(YEAR(Settings!$C$6),MONTH(Settings!$C$6)+10,1))),N(C16),0))</f>
        <v/>
      </c>
      <c r="AH16">
        <f>IF(OR(B16="",D16=""),0,IF(OR(E16="",E16=MONTH(DATE(YEAR(Settings!$C$6),MONTH(Settings!$C$6)+11,1))),N(C16),0))</f>
        <v/>
      </c>
      <c r="AI16">
        <f>IF(OR(B16="",D16=""),0,IF(OR(E16="",E16=MONTH(DATE(YEAR(Settings!$C$6),MONTH(Settings!$C$6)+12,1))),N(C16),0))</f>
        <v/>
      </c>
      <c r="AJ16">
        <f>IF(B16="","",SUMIFS(J16:V16,J16:V16,"&gt;="&amp;Dashboard!$C$4,J16:V16,"&lt;"&amp;Dashboard!$N$1,W16:AI16,"&gt;0"))</f>
        <v/>
      </c>
      <c r="AK16">
        <f>IF(N(AJ16)=0,"",AJ16+ROW()/100000)</f>
        <v/>
      </c>
    </row>
    <row r="17">
      <c r="A17" s="1" t="n"/>
      <c r="B17" s="27" t="n"/>
      <c r="C17" s="28" t="n"/>
      <c r="D17" s="29" t="n"/>
      <c r="E17" s="29" t="n"/>
      <c r="F17" s="30" t="n"/>
      <c r="G17" s="31" t="n"/>
      <c r="H17" s="30" t="n"/>
      <c r="I17" s="1" t="n"/>
      <c r="J17">
        <f>IF(OR(B17="",D17=""),"",DATE(YEAR(Settings!$C$6),MONTH(Settings!$C$6)+0,MIN(D17,DAY(EOMONTH(DATE(YEAR(Settings!$C$6),MONTH(Settings!$C$6)+0,1),0)))))</f>
        <v/>
      </c>
      <c r="K17">
        <f>IF(OR(B17="",D17=""),"",DATE(YEAR(Settings!$C$6),MONTH(Settings!$C$6)+1,MIN(D17,DAY(EOMONTH(DATE(YEAR(Settings!$C$6),MONTH(Settings!$C$6)+1,1),0)))))</f>
        <v/>
      </c>
      <c r="L17">
        <f>IF(OR(B17="",D17=""),"",DATE(YEAR(Settings!$C$6),MONTH(Settings!$C$6)+2,MIN(D17,DAY(EOMONTH(DATE(YEAR(Settings!$C$6),MONTH(Settings!$C$6)+2,1),0)))))</f>
        <v/>
      </c>
      <c r="M17">
        <f>IF(OR(B17="",D17=""),"",DATE(YEAR(Settings!$C$6),MONTH(Settings!$C$6)+3,MIN(D17,DAY(EOMONTH(DATE(YEAR(Settings!$C$6),MONTH(Settings!$C$6)+3,1),0)))))</f>
        <v/>
      </c>
      <c r="N17">
        <f>IF(OR(B17="",D17=""),"",DATE(YEAR(Settings!$C$6),MONTH(Settings!$C$6)+4,MIN(D17,DAY(EOMONTH(DATE(YEAR(Settings!$C$6),MONTH(Settings!$C$6)+4,1),0)))))</f>
        <v/>
      </c>
      <c r="O17">
        <f>IF(OR(B17="",D17=""),"",DATE(YEAR(Settings!$C$6),MONTH(Settings!$C$6)+5,MIN(D17,DAY(EOMONTH(DATE(YEAR(Settings!$C$6),MONTH(Settings!$C$6)+5,1),0)))))</f>
        <v/>
      </c>
      <c r="P17">
        <f>IF(OR(B17="",D17=""),"",DATE(YEAR(Settings!$C$6),MONTH(Settings!$C$6)+6,MIN(D17,DAY(EOMONTH(DATE(YEAR(Settings!$C$6),MONTH(Settings!$C$6)+6,1),0)))))</f>
        <v/>
      </c>
      <c r="Q17">
        <f>IF(OR(B17="",D17=""),"",DATE(YEAR(Settings!$C$6),MONTH(Settings!$C$6)+7,MIN(D17,DAY(EOMONTH(DATE(YEAR(Settings!$C$6),MONTH(Settings!$C$6)+7,1),0)))))</f>
        <v/>
      </c>
      <c r="R17">
        <f>IF(OR(B17="",D17=""),"",DATE(YEAR(Settings!$C$6),MONTH(Settings!$C$6)+8,MIN(D17,DAY(EOMONTH(DATE(YEAR(Settings!$C$6),MONTH(Settings!$C$6)+8,1),0)))))</f>
        <v/>
      </c>
      <c r="S17">
        <f>IF(OR(B17="",D17=""),"",DATE(YEAR(Settings!$C$6),MONTH(Settings!$C$6)+9,MIN(D17,DAY(EOMONTH(DATE(YEAR(Settings!$C$6),MONTH(Settings!$C$6)+9,1),0)))))</f>
        <v/>
      </c>
      <c r="T17">
        <f>IF(OR(B17="",D17=""),"",DATE(YEAR(Settings!$C$6),MONTH(Settings!$C$6)+10,MIN(D17,DAY(EOMONTH(DATE(YEAR(Settings!$C$6),MONTH(Settings!$C$6)+10,1),0)))))</f>
        <v/>
      </c>
      <c r="U17">
        <f>IF(OR(B17="",D17=""),"",DATE(YEAR(Settings!$C$6),MONTH(Settings!$C$6)+11,MIN(D17,DAY(EOMONTH(DATE(YEAR(Settings!$C$6),MONTH(Settings!$C$6)+11,1),0)))))</f>
        <v/>
      </c>
      <c r="V17">
        <f>IF(OR(B17="",D17=""),"",DATE(YEAR(Settings!$C$6),MONTH(Settings!$C$6)+12,MIN(D17,DAY(EOMONTH(DATE(YEAR(Settings!$C$6),MONTH(Settings!$C$6)+12,1),0)))))</f>
        <v/>
      </c>
      <c r="W17">
        <f>IF(OR(B17="",D17=""),0,IF(OR(E17="",E17=MONTH(DATE(YEAR(Settings!$C$6),MONTH(Settings!$C$6)+0,1))),N(C17),0))</f>
        <v/>
      </c>
      <c r="X17">
        <f>IF(OR(B17="",D17=""),0,IF(OR(E17="",E17=MONTH(DATE(YEAR(Settings!$C$6),MONTH(Settings!$C$6)+1,1))),N(C17),0))</f>
        <v/>
      </c>
      <c r="Y17">
        <f>IF(OR(B17="",D17=""),0,IF(OR(E17="",E17=MONTH(DATE(YEAR(Settings!$C$6),MONTH(Settings!$C$6)+2,1))),N(C17),0))</f>
        <v/>
      </c>
      <c r="Z17">
        <f>IF(OR(B17="",D17=""),0,IF(OR(E17="",E17=MONTH(DATE(YEAR(Settings!$C$6),MONTH(Settings!$C$6)+3,1))),N(C17),0))</f>
        <v/>
      </c>
      <c r="AA17">
        <f>IF(OR(B17="",D17=""),0,IF(OR(E17="",E17=MONTH(DATE(YEAR(Settings!$C$6),MONTH(Settings!$C$6)+4,1))),N(C17),0))</f>
        <v/>
      </c>
      <c r="AB17">
        <f>IF(OR(B17="",D17=""),0,IF(OR(E17="",E17=MONTH(DATE(YEAR(Settings!$C$6),MONTH(Settings!$C$6)+5,1))),N(C17),0))</f>
        <v/>
      </c>
      <c r="AC17">
        <f>IF(OR(B17="",D17=""),0,IF(OR(E17="",E17=MONTH(DATE(YEAR(Settings!$C$6),MONTH(Settings!$C$6)+6,1))),N(C17),0))</f>
        <v/>
      </c>
      <c r="AD17">
        <f>IF(OR(B17="",D17=""),0,IF(OR(E17="",E17=MONTH(DATE(YEAR(Settings!$C$6),MONTH(Settings!$C$6)+7,1))),N(C17),0))</f>
        <v/>
      </c>
      <c r="AE17">
        <f>IF(OR(B17="",D17=""),0,IF(OR(E17="",E17=MONTH(DATE(YEAR(Settings!$C$6),MONTH(Settings!$C$6)+8,1))),N(C17),0))</f>
        <v/>
      </c>
      <c r="AF17">
        <f>IF(OR(B17="",D17=""),0,IF(OR(E17="",E17=MONTH(DATE(YEAR(Settings!$C$6),MONTH(Settings!$C$6)+9,1))),N(C17),0))</f>
        <v/>
      </c>
      <c r="AG17">
        <f>IF(OR(B17="",D17=""),0,IF(OR(E17="",E17=MONTH(DATE(YEAR(Settings!$C$6),MONTH(Settings!$C$6)+10,1))),N(C17),0))</f>
        <v/>
      </c>
      <c r="AH17">
        <f>IF(OR(B17="",D17=""),0,IF(OR(E17="",E17=MONTH(DATE(YEAR(Settings!$C$6),MONTH(Settings!$C$6)+11,1))),N(C17),0))</f>
        <v/>
      </c>
      <c r="AI17">
        <f>IF(OR(B17="",D17=""),0,IF(OR(E17="",E17=MONTH(DATE(YEAR(Settings!$C$6),MONTH(Settings!$C$6)+12,1))),N(C17),0))</f>
        <v/>
      </c>
      <c r="AJ17">
        <f>IF(B17="","",SUMIFS(J17:V17,J17:V17,"&gt;="&amp;Dashboard!$C$4,J17:V17,"&lt;"&amp;Dashboard!$N$1,W17:AI17,"&gt;0"))</f>
        <v/>
      </c>
      <c r="AK17">
        <f>IF(N(AJ17)=0,"",AJ17+ROW()/100000)</f>
        <v/>
      </c>
    </row>
    <row r="18">
      <c r="A18" s="1" t="n"/>
      <c r="B18" s="27" t="n"/>
      <c r="C18" s="28" t="n"/>
      <c r="D18" s="29" t="n"/>
      <c r="E18" s="29" t="n"/>
      <c r="F18" s="30" t="n"/>
      <c r="G18" s="31" t="n"/>
      <c r="H18" s="30" t="n"/>
      <c r="I18" s="1" t="n"/>
      <c r="J18">
        <f>IF(OR(B18="",D18=""),"",DATE(YEAR(Settings!$C$6),MONTH(Settings!$C$6)+0,MIN(D18,DAY(EOMONTH(DATE(YEAR(Settings!$C$6),MONTH(Settings!$C$6)+0,1),0)))))</f>
        <v/>
      </c>
      <c r="K18">
        <f>IF(OR(B18="",D18=""),"",DATE(YEAR(Settings!$C$6),MONTH(Settings!$C$6)+1,MIN(D18,DAY(EOMONTH(DATE(YEAR(Settings!$C$6),MONTH(Settings!$C$6)+1,1),0)))))</f>
        <v/>
      </c>
      <c r="L18">
        <f>IF(OR(B18="",D18=""),"",DATE(YEAR(Settings!$C$6),MONTH(Settings!$C$6)+2,MIN(D18,DAY(EOMONTH(DATE(YEAR(Settings!$C$6),MONTH(Settings!$C$6)+2,1),0)))))</f>
        <v/>
      </c>
      <c r="M18">
        <f>IF(OR(B18="",D18=""),"",DATE(YEAR(Settings!$C$6),MONTH(Settings!$C$6)+3,MIN(D18,DAY(EOMONTH(DATE(YEAR(Settings!$C$6),MONTH(Settings!$C$6)+3,1),0)))))</f>
        <v/>
      </c>
      <c r="N18">
        <f>IF(OR(B18="",D18=""),"",DATE(YEAR(Settings!$C$6),MONTH(Settings!$C$6)+4,MIN(D18,DAY(EOMONTH(DATE(YEAR(Settings!$C$6),MONTH(Settings!$C$6)+4,1),0)))))</f>
        <v/>
      </c>
      <c r="O18">
        <f>IF(OR(B18="",D18=""),"",DATE(YEAR(Settings!$C$6),MONTH(Settings!$C$6)+5,MIN(D18,DAY(EOMONTH(DATE(YEAR(Settings!$C$6),MONTH(Settings!$C$6)+5,1),0)))))</f>
        <v/>
      </c>
      <c r="P18">
        <f>IF(OR(B18="",D18=""),"",DATE(YEAR(Settings!$C$6),MONTH(Settings!$C$6)+6,MIN(D18,DAY(EOMONTH(DATE(YEAR(Settings!$C$6),MONTH(Settings!$C$6)+6,1),0)))))</f>
        <v/>
      </c>
      <c r="Q18">
        <f>IF(OR(B18="",D18=""),"",DATE(YEAR(Settings!$C$6),MONTH(Settings!$C$6)+7,MIN(D18,DAY(EOMONTH(DATE(YEAR(Settings!$C$6),MONTH(Settings!$C$6)+7,1),0)))))</f>
        <v/>
      </c>
      <c r="R18">
        <f>IF(OR(B18="",D18=""),"",DATE(YEAR(Settings!$C$6),MONTH(Settings!$C$6)+8,MIN(D18,DAY(EOMONTH(DATE(YEAR(Settings!$C$6),MONTH(Settings!$C$6)+8,1),0)))))</f>
        <v/>
      </c>
      <c r="S18">
        <f>IF(OR(B18="",D18=""),"",DATE(YEAR(Settings!$C$6),MONTH(Settings!$C$6)+9,MIN(D18,DAY(EOMONTH(DATE(YEAR(Settings!$C$6),MONTH(Settings!$C$6)+9,1),0)))))</f>
        <v/>
      </c>
      <c r="T18">
        <f>IF(OR(B18="",D18=""),"",DATE(YEAR(Settings!$C$6),MONTH(Settings!$C$6)+10,MIN(D18,DAY(EOMONTH(DATE(YEAR(Settings!$C$6),MONTH(Settings!$C$6)+10,1),0)))))</f>
        <v/>
      </c>
      <c r="U18">
        <f>IF(OR(B18="",D18=""),"",DATE(YEAR(Settings!$C$6),MONTH(Settings!$C$6)+11,MIN(D18,DAY(EOMONTH(DATE(YEAR(Settings!$C$6),MONTH(Settings!$C$6)+11,1),0)))))</f>
        <v/>
      </c>
      <c r="V18">
        <f>IF(OR(B18="",D18=""),"",DATE(YEAR(Settings!$C$6),MONTH(Settings!$C$6)+12,MIN(D18,DAY(EOMONTH(DATE(YEAR(Settings!$C$6),MONTH(Settings!$C$6)+12,1),0)))))</f>
        <v/>
      </c>
      <c r="W18">
        <f>IF(OR(B18="",D18=""),0,IF(OR(E18="",E18=MONTH(DATE(YEAR(Settings!$C$6),MONTH(Settings!$C$6)+0,1))),N(C18),0))</f>
        <v/>
      </c>
      <c r="X18">
        <f>IF(OR(B18="",D18=""),0,IF(OR(E18="",E18=MONTH(DATE(YEAR(Settings!$C$6),MONTH(Settings!$C$6)+1,1))),N(C18),0))</f>
        <v/>
      </c>
      <c r="Y18">
        <f>IF(OR(B18="",D18=""),0,IF(OR(E18="",E18=MONTH(DATE(YEAR(Settings!$C$6),MONTH(Settings!$C$6)+2,1))),N(C18),0))</f>
        <v/>
      </c>
      <c r="Z18">
        <f>IF(OR(B18="",D18=""),0,IF(OR(E18="",E18=MONTH(DATE(YEAR(Settings!$C$6),MONTH(Settings!$C$6)+3,1))),N(C18),0))</f>
        <v/>
      </c>
      <c r="AA18">
        <f>IF(OR(B18="",D18=""),0,IF(OR(E18="",E18=MONTH(DATE(YEAR(Settings!$C$6),MONTH(Settings!$C$6)+4,1))),N(C18),0))</f>
        <v/>
      </c>
      <c r="AB18">
        <f>IF(OR(B18="",D18=""),0,IF(OR(E18="",E18=MONTH(DATE(YEAR(Settings!$C$6),MONTH(Settings!$C$6)+5,1))),N(C18),0))</f>
        <v/>
      </c>
      <c r="AC18">
        <f>IF(OR(B18="",D18=""),0,IF(OR(E18="",E18=MONTH(DATE(YEAR(Settings!$C$6),MONTH(Settings!$C$6)+6,1))),N(C18),0))</f>
        <v/>
      </c>
      <c r="AD18">
        <f>IF(OR(B18="",D18=""),0,IF(OR(E18="",E18=MONTH(DATE(YEAR(Settings!$C$6),MONTH(Settings!$C$6)+7,1))),N(C18),0))</f>
        <v/>
      </c>
      <c r="AE18">
        <f>IF(OR(B18="",D18=""),0,IF(OR(E18="",E18=MONTH(DATE(YEAR(Settings!$C$6),MONTH(Settings!$C$6)+8,1))),N(C18),0))</f>
        <v/>
      </c>
      <c r="AF18">
        <f>IF(OR(B18="",D18=""),0,IF(OR(E18="",E18=MONTH(DATE(YEAR(Settings!$C$6),MONTH(Settings!$C$6)+9,1))),N(C18),0))</f>
        <v/>
      </c>
      <c r="AG18">
        <f>IF(OR(B18="",D18=""),0,IF(OR(E18="",E18=MONTH(DATE(YEAR(Settings!$C$6),MONTH(Settings!$C$6)+10,1))),N(C18),0))</f>
        <v/>
      </c>
      <c r="AH18">
        <f>IF(OR(B18="",D18=""),0,IF(OR(E18="",E18=MONTH(DATE(YEAR(Settings!$C$6),MONTH(Settings!$C$6)+11,1))),N(C18),0))</f>
        <v/>
      </c>
      <c r="AI18">
        <f>IF(OR(B18="",D18=""),0,IF(OR(E18="",E18=MONTH(DATE(YEAR(Settings!$C$6),MONTH(Settings!$C$6)+12,1))),N(C18),0))</f>
        <v/>
      </c>
      <c r="AJ18">
        <f>IF(B18="","",SUMIFS(J18:V18,J18:V18,"&gt;="&amp;Dashboard!$C$4,J18:V18,"&lt;"&amp;Dashboard!$N$1,W18:AI18,"&gt;0"))</f>
        <v/>
      </c>
      <c r="AK18">
        <f>IF(N(AJ18)=0,"",AJ18+ROW()/100000)</f>
        <v/>
      </c>
    </row>
    <row r="19">
      <c r="A19" s="1" t="n"/>
      <c r="B19" s="27" t="n"/>
      <c r="C19" s="28" t="n"/>
      <c r="D19" s="29" t="n"/>
      <c r="E19" s="29" t="n"/>
      <c r="F19" s="30" t="n"/>
      <c r="G19" s="31" t="n"/>
      <c r="H19" s="30" t="n"/>
      <c r="I19" s="1" t="n"/>
      <c r="J19">
        <f>IF(OR(B19="",D19=""),"",DATE(YEAR(Settings!$C$6),MONTH(Settings!$C$6)+0,MIN(D19,DAY(EOMONTH(DATE(YEAR(Settings!$C$6),MONTH(Settings!$C$6)+0,1),0)))))</f>
        <v/>
      </c>
      <c r="K19">
        <f>IF(OR(B19="",D19=""),"",DATE(YEAR(Settings!$C$6),MONTH(Settings!$C$6)+1,MIN(D19,DAY(EOMONTH(DATE(YEAR(Settings!$C$6),MONTH(Settings!$C$6)+1,1),0)))))</f>
        <v/>
      </c>
      <c r="L19">
        <f>IF(OR(B19="",D19=""),"",DATE(YEAR(Settings!$C$6),MONTH(Settings!$C$6)+2,MIN(D19,DAY(EOMONTH(DATE(YEAR(Settings!$C$6),MONTH(Settings!$C$6)+2,1),0)))))</f>
        <v/>
      </c>
      <c r="M19">
        <f>IF(OR(B19="",D19=""),"",DATE(YEAR(Settings!$C$6),MONTH(Settings!$C$6)+3,MIN(D19,DAY(EOMONTH(DATE(YEAR(Settings!$C$6),MONTH(Settings!$C$6)+3,1),0)))))</f>
        <v/>
      </c>
      <c r="N19">
        <f>IF(OR(B19="",D19=""),"",DATE(YEAR(Settings!$C$6),MONTH(Settings!$C$6)+4,MIN(D19,DAY(EOMONTH(DATE(YEAR(Settings!$C$6),MONTH(Settings!$C$6)+4,1),0)))))</f>
        <v/>
      </c>
      <c r="O19">
        <f>IF(OR(B19="",D19=""),"",DATE(YEAR(Settings!$C$6),MONTH(Settings!$C$6)+5,MIN(D19,DAY(EOMONTH(DATE(YEAR(Settings!$C$6),MONTH(Settings!$C$6)+5,1),0)))))</f>
        <v/>
      </c>
      <c r="P19">
        <f>IF(OR(B19="",D19=""),"",DATE(YEAR(Settings!$C$6),MONTH(Settings!$C$6)+6,MIN(D19,DAY(EOMONTH(DATE(YEAR(Settings!$C$6),MONTH(Settings!$C$6)+6,1),0)))))</f>
        <v/>
      </c>
      <c r="Q19">
        <f>IF(OR(B19="",D19=""),"",DATE(YEAR(Settings!$C$6),MONTH(Settings!$C$6)+7,MIN(D19,DAY(EOMONTH(DATE(YEAR(Settings!$C$6),MONTH(Settings!$C$6)+7,1),0)))))</f>
        <v/>
      </c>
      <c r="R19">
        <f>IF(OR(B19="",D19=""),"",DATE(YEAR(Settings!$C$6),MONTH(Settings!$C$6)+8,MIN(D19,DAY(EOMONTH(DATE(YEAR(Settings!$C$6),MONTH(Settings!$C$6)+8,1),0)))))</f>
        <v/>
      </c>
      <c r="S19">
        <f>IF(OR(B19="",D19=""),"",DATE(YEAR(Settings!$C$6),MONTH(Settings!$C$6)+9,MIN(D19,DAY(EOMONTH(DATE(YEAR(Settings!$C$6),MONTH(Settings!$C$6)+9,1),0)))))</f>
        <v/>
      </c>
      <c r="T19">
        <f>IF(OR(B19="",D19=""),"",DATE(YEAR(Settings!$C$6),MONTH(Settings!$C$6)+10,MIN(D19,DAY(EOMONTH(DATE(YEAR(Settings!$C$6),MONTH(Settings!$C$6)+10,1),0)))))</f>
        <v/>
      </c>
      <c r="U19">
        <f>IF(OR(B19="",D19=""),"",DATE(YEAR(Settings!$C$6),MONTH(Settings!$C$6)+11,MIN(D19,DAY(EOMONTH(DATE(YEAR(Settings!$C$6),MONTH(Settings!$C$6)+11,1),0)))))</f>
        <v/>
      </c>
      <c r="V19">
        <f>IF(OR(B19="",D19=""),"",DATE(YEAR(Settings!$C$6),MONTH(Settings!$C$6)+12,MIN(D19,DAY(EOMONTH(DATE(YEAR(Settings!$C$6),MONTH(Settings!$C$6)+12,1),0)))))</f>
        <v/>
      </c>
      <c r="W19">
        <f>IF(OR(B19="",D19=""),0,IF(OR(E19="",E19=MONTH(DATE(YEAR(Settings!$C$6),MONTH(Settings!$C$6)+0,1))),N(C19),0))</f>
        <v/>
      </c>
      <c r="X19">
        <f>IF(OR(B19="",D19=""),0,IF(OR(E19="",E19=MONTH(DATE(YEAR(Settings!$C$6),MONTH(Settings!$C$6)+1,1))),N(C19),0))</f>
        <v/>
      </c>
      <c r="Y19">
        <f>IF(OR(B19="",D19=""),0,IF(OR(E19="",E19=MONTH(DATE(YEAR(Settings!$C$6),MONTH(Settings!$C$6)+2,1))),N(C19),0))</f>
        <v/>
      </c>
      <c r="Z19">
        <f>IF(OR(B19="",D19=""),0,IF(OR(E19="",E19=MONTH(DATE(YEAR(Settings!$C$6),MONTH(Settings!$C$6)+3,1))),N(C19),0))</f>
        <v/>
      </c>
      <c r="AA19">
        <f>IF(OR(B19="",D19=""),0,IF(OR(E19="",E19=MONTH(DATE(YEAR(Settings!$C$6),MONTH(Settings!$C$6)+4,1))),N(C19),0))</f>
        <v/>
      </c>
      <c r="AB19">
        <f>IF(OR(B19="",D19=""),0,IF(OR(E19="",E19=MONTH(DATE(YEAR(Settings!$C$6),MONTH(Settings!$C$6)+5,1))),N(C19),0))</f>
        <v/>
      </c>
      <c r="AC19">
        <f>IF(OR(B19="",D19=""),0,IF(OR(E19="",E19=MONTH(DATE(YEAR(Settings!$C$6),MONTH(Settings!$C$6)+6,1))),N(C19),0))</f>
        <v/>
      </c>
      <c r="AD19">
        <f>IF(OR(B19="",D19=""),0,IF(OR(E19="",E19=MONTH(DATE(YEAR(Settings!$C$6),MONTH(Settings!$C$6)+7,1))),N(C19),0))</f>
        <v/>
      </c>
      <c r="AE19">
        <f>IF(OR(B19="",D19=""),0,IF(OR(E19="",E19=MONTH(DATE(YEAR(Settings!$C$6),MONTH(Settings!$C$6)+8,1))),N(C19),0))</f>
        <v/>
      </c>
      <c r="AF19">
        <f>IF(OR(B19="",D19=""),0,IF(OR(E19="",E19=MONTH(DATE(YEAR(Settings!$C$6),MONTH(Settings!$C$6)+9,1))),N(C19),0))</f>
        <v/>
      </c>
      <c r="AG19">
        <f>IF(OR(B19="",D19=""),0,IF(OR(E19="",E19=MONTH(DATE(YEAR(Settings!$C$6),MONTH(Settings!$C$6)+10,1))),N(C19),0))</f>
        <v/>
      </c>
      <c r="AH19">
        <f>IF(OR(B19="",D19=""),0,IF(OR(E19="",E19=MONTH(DATE(YEAR(Settings!$C$6),MONTH(Settings!$C$6)+11,1))),N(C19),0))</f>
        <v/>
      </c>
      <c r="AI19">
        <f>IF(OR(B19="",D19=""),0,IF(OR(E19="",E19=MONTH(DATE(YEAR(Settings!$C$6),MONTH(Settings!$C$6)+12,1))),N(C19),0))</f>
        <v/>
      </c>
      <c r="AJ19">
        <f>IF(B19="","",SUMIFS(J19:V19,J19:V19,"&gt;="&amp;Dashboard!$C$4,J19:V19,"&lt;"&amp;Dashboard!$N$1,W19:AI19,"&gt;0"))</f>
        <v/>
      </c>
      <c r="AK19">
        <f>IF(N(AJ19)=0,"",AJ19+ROW()/100000)</f>
        <v/>
      </c>
    </row>
    <row r="20">
      <c r="A20" s="1" t="n"/>
      <c r="B20" s="27" t="n"/>
      <c r="C20" s="28" t="n"/>
      <c r="D20" s="29" t="n"/>
      <c r="E20" s="29" t="n"/>
      <c r="F20" s="30" t="n"/>
      <c r="G20" s="31" t="n"/>
      <c r="H20" s="30" t="n"/>
      <c r="I20" s="1" t="n"/>
      <c r="J20">
        <f>IF(OR(B20="",D20=""),"",DATE(YEAR(Settings!$C$6),MONTH(Settings!$C$6)+0,MIN(D20,DAY(EOMONTH(DATE(YEAR(Settings!$C$6),MONTH(Settings!$C$6)+0,1),0)))))</f>
        <v/>
      </c>
      <c r="K20">
        <f>IF(OR(B20="",D20=""),"",DATE(YEAR(Settings!$C$6),MONTH(Settings!$C$6)+1,MIN(D20,DAY(EOMONTH(DATE(YEAR(Settings!$C$6),MONTH(Settings!$C$6)+1,1),0)))))</f>
        <v/>
      </c>
      <c r="L20">
        <f>IF(OR(B20="",D20=""),"",DATE(YEAR(Settings!$C$6),MONTH(Settings!$C$6)+2,MIN(D20,DAY(EOMONTH(DATE(YEAR(Settings!$C$6),MONTH(Settings!$C$6)+2,1),0)))))</f>
        <v/>
      </c>
      <c r="M20">
        <f>IF(OR(B20="",D20=""),"",DATE(YEAR(Settings!$C$6),MONTH(Settings!$C$6)+3,MIN(D20,DAY(EOMONTH(DATE(YEAR(Settings!$C$6),MONTH(Settings!$C$6)+3,1),0)))))</f>
        <v/>
      </c>
      <c r="N20">
        <f>IF(OR(B20="",D20=""),"",DATE(YEAR(Settings!$C$6),MONTH(Settings!$C$6)+4,MIN(D20,DAY(EOMONTH(DATE(YEAR(Settings!$C$6),MONTH(Settings!$C$6)+4,1),0)))))</f>
        <v/>
      </c>
      <c r="O20">
        <f>IF(OR(B20="",D20=""),"",DATE(YEAR(Settings!$C$6),MONTH(Settings!$C$6)+5,MIN(D20,DAY(EOMONTH(DATE(YEAR(Settings!$C$6),MONTH(Settings!$C$6)+5,1),0)))))</f>
        <v/>
      </c>
      <c r="P20">
        <f>IF(OR(B20="",D20=""),"",DATE(YEAR(Settings!$C$6),MONTH(Settings!$C$6)+6,MIN(D20,DAY(EOMONTH(DATE(YEAR(Settings!$C$6),MONTH(Settings!$C$6)+6,1),0)))))</f>
        <v/>
      </c>
      <c r="Q20">
        <f>IF(OR(B20="",D20=""),"",DATE(YEAR(Settings!$C$6),MONTH(Settings!$C$6)+7,MIN(D20,DAY(EOMONTH(DATE(YEAR(Settings!$C$6),MONTH(Settings!$C$6)+7,1),0)))))</f>
        <v/>
      </c>
      <c r="R20">
        <f>IF(OR(B20="",D20=""),"",DATE(YEAR(Settings!$C$6),MONTH(Settings!$C$6)+8,MIN(D20,DAY(EOMONTH(DATE(YEAR(Settings!$C$6),MONTH(Settings!$C$6)+8,1),0)))))</f>
        <v/>
      </c>
      <c r="S20">
        <f>IF(OR(B20="",D20=""),"",DATE(YEAR(Settings!$C$6),MONTH(Settings!$C$6)+9,MIN(D20,DAY(EOMONTH(DATE(YEAR(Settings!$C$6),MONTH(Settings!$C$6)+9,1),0)))))</f>
        <v/>
      </c>
      <c r="T20">
        <f>IF(OR(B20="",D20=""),"",DATE(YEAR(Settings!$C$6),MONTH(Settings!$C$6)+10,MIN(D20,DAY(EOMONTH(DATE(YEAR(Settings!$C$6),MONTH(Settings!$C$6)+10,1),0)))))</f>
        <v/>
      </c>
      <c r="U20">
        <f>IF(OR(B20="",D20=""),"",DATE(YEAR(Settings!$C$6),MONTH(Settings!$C$6)+11,MIN(D20,DAY(EOMONTH(DATE(YEAR(Settings!$C$6),MONTH(Settings!$C$6)+11,1),0)))))</f>
        <v/>
      </c>
      <c r="V20">
        <f>IF(OR(B20="",D20=""),"",DATE(YEAR(Settings!$C$6),MONTH(Settings!$C$6)+12,MIN(D20,DAY(EOMONTH(DATE(YEAR(Settings!$C$6),MONTH(Settings!$C$6)+12,1),0)))))</f>
        <v/>
      </c>
      <c r="W20">
        <f>IF(OR(B20="",D20=""),0,IF(OR(E20="",E20=MONTH(DATE(YEAR(Settings!$C$6),MONTH(Settings!$C$6)+0,1))),N(C20),0))</f>
        <v/>
      </c>
      <c r="X20">
        <f>IF(OR(B20="",D20=""),0,IF(OR(E20="",E20=MONTH(DATE(YEAR(Settings!$C$6),MONTH(Settings!$C$6)+1,1))),N(C20),0))</f>
        <v/>
      </c>
      <c r="Y20">
        <f>IF(OR(B20="",D20=""),0,IF(OR(E20="",E20=MONTH(DATE(YEAR(Settings!$C$6),MONTH(Settings!$C$6)+2,1))),N(C20),0))</f>
        <v/>
      </c>
      <c r="Z20">
        <f>IF(OR(B20="",D20=""),0,IF(OR(E20="",E20=MONTH(DATE(YEAR(Settings!$C$6),MONTH(Settings!$C$6)+3,1))),N(C20),0))</f>
        <v/>
      </c>
      <c r="AA20">
        <f>IF(OR(B20="",D20=""),0,IF(OR(E20="",E20=MONTH(DATE(YEAR(Settings!$C$6),MONTH(Settings!$C$6)+4,1))),N(C20),0))</f>
        <v/>
      </c>
      <c r="AB20">
        <f>IF(OR(B20="",D20=""),0,IF(OR(E20="",E20=MONTH(DATE(YEAR(Settings!$C$6),MONTH(Settings!$C$6)+5,1))),N(C20),0))</f>
        <v/>
      </c>
      <c r="AC20">
        <f>IF(OR(B20="",D20=""),0,IF(OR(E20="",E20=MONTH(DATE(YEAR(Settings!$C$6),MONTH(Settings!$C$6)+6,1))),N(C20),0))</f>
        <v/>
      </c>
      <c r="AD20">
        <f>IF(OR(B20="",D20=""),0,IF(OR(E20="",E20=MONTH(DATE(YEAR(Settings!$C$6),MONTH(Settings!$C$6)+7,1))),N(C20),0))</f>
        <v/>
      </c>
      <c r="AE20">
        <f>IF(OR(B20="",D20=""),0,IF(OR(E20="",E20=MONTH(DATE(YEAR(Settings!$C$6),MONTH(Settings!$C$6)+8,1))),N(C20),0))</f>
        <v/>
      </c>
      <c r="AF20">
        <f>IF(OR(B20="",D20=""),0,IF(OR(E20="",E20=MONTH(DATE(YEAR(Settings!$C$6),MONTH(Settings!$C$6)+9,1))),N(C20),0))</f>
        <v/>
      </c>
      <c r="AG20">
        <f>IF(OR(B20="",D20=""),0,IF(OR(E20="",E20=MONTH(DATE(YEAR(Settings!$C$6),MONTH(Settings!$C$6)+10,1))),N(C20),0))</f>
        <v/>
      </c>
      <c r="AH20">
        <f>IF(OR(B20="",D20=""),0,IF(OR(E20="",E20=MONTH(DATE(YEAR(Settings!$C$6),MONTH(Settings!$C$6)+11,1))),N(C20),0))</f>
        <v/>
      </c>
      <c r="AI20">
        <f>IF(OR(B20="",D20=""),0,IF(OR(E20="",E20=MONTH(DATE(YEAR(Settings!$C$6),MONTH(Settings!$C$6)+12,1))),N(C20),0))</f>
        <v/>
      </c>
      <c r="AJ20">
        <f>IF(B20="","",SUMIFS(J20:V20,J20:V20,"&gt;="&amp;Dashboard!$C$4,J20:V20,"&lt;"&amp;Dashboard!$N$1,W20:AI20,"&gt;0"))</f>
        <v/>
      </c>
      <c r="AK20">
        <f>IF(N(AJ20)=0,"",AJ20+ROW()/100000)</f>
        <v/>
      </c>
    </row>
    <row r="21">
      <c r="A21" s="1" t="n"/>
      <c r="B21" s="27" t="n"/>
      <c r="C21" s="28" t="n"/>
      <c r="D21" s="29" t="n"/>
      <c r="E21" s="29" t="n"/>
      <c r="F21" s="30" t="n"/>
      <c r="G21" s="31" t="n"/>
      <c r="H21" s="30" t="n"/>
      <c r="I21" s="1" t="n"/>
      <c r="J21">
        <f>IF(OR(B21="",D21=""),"",DATE(YEAR(Settings!$C$6),MONTH(Settings!$C$6)+0,MIN(D21,DAY(EOMONTH(DATE(YEAR(Settings!$C$6),MONTH(Settings!$C$6)+0,1),0)))))</f>
        <v/>
      </c>
      <c r="K21">
        <f>IF(OR(B21="",D21=""),"",DATE(YEAR(Settings!$C$6),MONTH(Settings!$C$6)+1,MIN(D21,DAY(EOMONTH(DATE(YEAR(Settings!$C$6),MONTH(Settings!$C$6)+1,1),0)))))</f>
        <v/>
      </c>
      <c r="L21">
        <f>IF(OR(B21="",D21=""),"",DATE(YEAR(Settings!$C$6),MONTH(Settings!$C$6)+2,MIN(D21,DAY(EOMONTH(DATE(YEAR(Settings!$C$6),MONTH(Settings!$C$6)+2,1),0)))))</f>
        <v/>
      </c>
      <c r="M21">
        <f>IF(OR(B21="",D21=""),"",DATE(YEAR(Settings!$C$6),MONTH(Settings!$C$6)+3,MIN(D21,DAY(EOMONTH(DATE(YEAR(Settings!$C$6),MONTH(Settings!$C$6)+3,1),0)))))</f>
        <v/>
      </c>
      <c r="N21">
        <f>IF(OR(B21="",D21=""),"",DATE(YEAR(Settings!$C$6),MONTH(Settings!$C$6)+4,MIN(D21,DAY(EOMONTH(DATE(YEAR(Settings!$C$6),MONTH(Settings!$C$6)+4,1),0)))))</f>
        <v/>
      </c>
      <c r="O21">
        <f>IF(OR(B21="",D21=""),"",DATE(YEAR(Settings!$C$6),MONTH(Settings!$C$6)+5,MIN(D21,DAY(EOMONTH(DATE(YEAR(Settings!$C$6),MONTH(Settings!$C$6)+5,1),0)))))</f>
        <v/>
      </c>
      <c r="P21">
        <f>IF(OR(B21="",D21=""),"",DATE(YEAR(Settings!$C$6),MONTH(Settings!$C$6)+6,MIN(D21,DAY(EOMONTH(DATE(YEAR(Settings!$C$6),MONTH(Settings!$C$6)+6,1),0)))))</f>
        <v/>
      </c>
      <c r="Q21">
        <f>IF(OR(B21="",D21=""),"",DATE(YEAR(Settings!$C$6),MONTH(Settings!$C$6)+7,MIN(D21,DAY(EOMONTH(DATE(YEAR(Settings!$C$6),MONTH(Settings!$C$6)+7,1),0)))))</f>
        <v/>
      </c>
      <c r="R21">
        <f>IF(OR(B21="",D21=""),"",DATE(YEAR(Settings!$C$6),MONTH(Settings!$C$6)+8,MIN(D21,DAY(EOMONTH(DATE(YEAR(Settings!$C$6),MONTH(Settings!$C$6)+8,1),0)))))</f>
        <v/>
      </c>
      <c r="S21">
        <f>IF(OR(B21="",D21=""),"",DATE(YEAR(Settings!$C$6),MONTH(Settings!$C$6)+9,MIN(D21,DAY(EOMONTH(DATE(YEAR(Settings!$C$6),MONTH(Settings!$C$6)+9,1),0)))))</f>
        <v/>
      </c>
      <c r="T21">
        <f>IF(OR(B21="",D21=""),"",DATE(YEAR(Settings!$C$6),MONTH(Settings!$C$6)+10,MIN(D21,DAY(EOMONTH(DATE(YEAR(Settings!$C$6),MONTH(Settings!$C$6)+10,1),0)))))</f>
        <v/>
      </c>
      <c r="U21">
        <f>IF(OR(B21="",D21=""),"",DATE(YEAR(Settings!$C$6),MONTH(Settings!$C$6)+11,MIN(D21,DAY(EOMONTH(DATE(YEAR(Settings!$C$6),MONTH(Settings!$C$6)+11,1),0)))))</f>
        <v/>
      </c>
      <c r="V21">
        <f>IF(OR(B21="",D21=""),"",DATE(YEAR(Settings!$C$6),MONTH(Settings!$C$6)+12,MIN(D21,DAY(EOMONTH(DATE(YEAR(Settings!$C$6),MONTH(Settings!$C$6)+12,1),0)))))</f>
        <v/>
      </c>
      <c r="W21">
        <f>IF(OR(B21="",D21=""),0,IF(OR(E21="",E21=MONTH(DATE(YEAR(Settings!$C$6),MONTH(Settings!$C$6)+0,1))),N(C21),0))</f>
        <v/>
      </c>
      <c r="X21">
        <f>IF(OR(B21="",D21=""),0,IF(OR(E21="",E21=MONTH(DATE(YEAR(Settings!$C$6),MONTH(Settings!$C$6)+1,1))),N(C21),0))</f>
        <v/>
      </c>
      <c r="Y21">
        <f>IF(OR(B21="",D21=""),0,IF(OR(E21="",E21=MONTH(DATE(YEAR(Settings!$C$6),MONTH(Settings!$C$6)+2,1))),N(C21),0))</f>
        <v/>
      </c>
      <c r="Z21">
        <f>IF(OR(B21="",D21=""),0,IF(OR(E21="",E21=MONTH(DATE(YEAR(Settings!$C$6),MONTH(Settings!$C$6)+3,1))),N(C21),0))</f>
        <v/>
      </c>
      <c r="AA21">
        <f>IF(OR(B21="",D21=""),0,IF(OR(E21="",E21=MONTH(DATE(YEAR(Settings!$C$6),MONTH(Settings!$C$6)+4,1))),N(C21),0))</f>
        <v/>
      </c>
      <c r="AB21">
        <f>IF(OR(B21="",D21=""),0,IF(OR(E21="",E21=MONTH(DATE(YEAR(Settings!$C$6),MONTH(Settings!$C$6)+5,1))),N(C21),0))</f>
        <v/>
      </c>
      <c r="AC21">
        <f>IF(OR(B21="",D21=""),0,IF(OR(E21="",E21=MONTH(DATE(YEAR(Settings!$C$6),MONTH(Settings!$C$6)+6,1))),N(C21),0))</f>
        <v/>
      </c>
      <c r="AD21">
        <f>IF(OR(B21="",D21=""),0,IF(OR(E21="",E21=MONTH(DATE(YEAR(Settings!$C$6),MONTH(Settings!$C$6)+7,1))),N(C21),0))</f>
        <v/>
      </c>
      <c r="AE21">
        <f>IF(OR(B21="",D21=""),0,IF(OR(E21="",E21=MONTH(DATE(YEAR(Settings!$C$6),MONTH(Settings!$C$6)+8,1))),N(C21),0))</f>
        <v/>
      </c>
      <c r="AF21">
        <f>IF(OR(B21="",D21=""),0,IF(OR(E21="",E21=MONTH(DATE(YEAR(Settings!$C$6),MONTH(Settings!$C$6)+9,1))),N(C21),0))</f>
        <v/>
      </c>
      <c r="AG21">
        <f>IF(OR(B21="",D21=""),0,IF(OR(E21="",E21=MONTH(DATE(YEAR(Settings!$C$6),MONTH(Settings!$C$6)+10,1))),N(C21),0))</f>
        <v/>
      </c>
      <c r="AH21">
        <f>IF(OR(B21="",D21=""),0,IF(OR(E21="",E21=MONTH(DATE(YEAR(Settings!$C$6),MONTH(Settings!$C$6)+11,1))),N(C21),0))</f>
        <v/>
      </c>
      <c r="AI21">
        <f>IF(OR(B21="",D21=""),0,IF(OR(E21="",E21=MONTH(DATE(YEAR(Settings!$C$6),MONTH(Settings!$C$6)+12,1))),N(C21),0))</f>
        <v/>
      </c>
      <c r="AJ21">
        <f>IF(B21="","",SUMIFS(J21:V21,J21:V21,"&gt;="&amp;Dashboard!$C$4,J21:V21,"&lt;"&amp;Dashboard!$N$1,W21:AI21,"&gt;0"))</f>
        <v/>
      </c>
      <c r="AK21">
        <f>IF(N(AJ21)=0,"",AJ21+ROW()/100000)</f>
        <v/>
      </c>
    </row>
    <row r="22">
      <c r="A22" s="1" t="n"/>
      <c r="B22" s="27" t="n"/>
      <c r="C22" s="28" t="n"/>
      <c r="D22" s="29" t="n"/>
      <c r="E22" s="29" t="n"/>
      <c r="F22" s="30" t="n"/>
      <c r="G22" s="31" t="n"/>
      <c r="H22" s="30" t="n"/>
      <c r="I22" s="1" t="n"/>
      <c r="J22">
        <f>IF(OR(B22="",D22=""),"",DATE(YEAR(Settings!$C$6),MONTH(Settings!$C$6)+0,MIN(D22,DAY(EOMONTH(DATE(YEAR(Settings!$C$6),MONTH(Settings!$C$6)+0,1),0)))))</f>
        <v/>
      </c>
      <c r="K22">
        <f>IF(OR(B22="",D22=""),"",DATE(YEAR(Settings!$C$6),MONTH(Settings!$C$6)+1,MIN(D22,DAY(EOMONTH(DATE(YEAR(Settings!$C$6),MONTH(Settings!$C$6)+1,1),0)))))</f>
        <v/>
      </c>
      <c r="L22">
        <f>IF(OR(B22="",D22=""),"",DATE(YEAR(Settings!$C$6),MONTH(Settings!$C$6)+2,MIN(D22,DAY(EOMONTH(DATE(YEAR(Settings!$C$6),MONTH(Settings!$C$6)+2,1),0)))))</f>
        <v/>
      </c>
      <c r="M22">
        <f>IF(OR(B22="",D22=""),"",DATE(YEAR(Settings!$C$6),MONTH(Settings!$C$6)+3,MIN(D22,DAY(EOMONTH(DATE(YEAR(Settings!$C$6),MONTH(Settings!$C$6)+3,1),0)))))</f>
        <v/>
      </c>
      <c r="N22">
        <f>IF(OR(B22="",D22=""),"",DATE(YEAR(Settings!$C$6),MONTH(Settings!$C$6)+4,MIN(D22,DAY(EOMONTH(DATE(YEAR(Settings!$C$6),MONTH(Settings!$C$6)+4,1),0)))))</f>
        <v/>
      </c>
      <c r="O22">
        <f>IF(OR(B22="",D22=""),"",DATE(YEAR(Settings!$C$6),MONTH(Settings!$C$6)+5,MIN(D22,DAY(EOMONTH(DATE(YEAR(Settings!$C$6),MONTH(Settings!$C$6)+5,1),0)))))</f>
        <v/>
      </c>
      <c r="P22">
        <f>IF(OR(B22="",D22=""),"",DATE(YEAR(Settings!$C$6),MONTH(Settings!$C$6)+6,MIN(D22,DAY(EOMONTH(DATE(YEAR(Settings!$C$6),MONTH(Settings!$C$6)+6,1),0)))))</f>
        <v/>
      </c>
      <c r="Q22">
        <f>IF(OR(B22="",D22=""),"",DATE(YEAR(Settings!$C$6),MONTH(Settings!$C$6)+7,MIN(D22,DAY(EOMONTH(DATE(YEAR(Settings!$C$6),MONTH(Settings!$C$6)+7,1),0)))))</f>
        <v/>
      </c>
      <c r="R22">
        <f>IF(OR(B22="",D22=""),"",DATE(YEAR(Settings!$C$6),MONTH(Settings!$C$6)+8,MIN(D22,DAY(EOMONTH(DATE(YEAR(Settings!$C$6),MONTH(Settings!$C$6)+8,1),0)))))</f>
        <v/>
      </c>
      <c r="S22">
        <f>IF(OR(B22="",D22=""),"",DATE(YEAR(Settings!$C$6),MONTH(Settings!$C$6)+9,MIN(D22,DAY(EOMONTH(DATE(YEAR(Settings!$C$6),MONTH(Settings!$C$6)+9,1),0)))))</f>
        <v/>
      </c>
      <c r="T22">
        <f>IF(OR(B22="",D22=""),"",DATE(YEAR(Settings!$C$6),MONTH(Settings!$C$6)+10,MIN(D22,DAY(EOMONTH(DATE(YEAR(Settings!$C$6),MONTH(Settings!$C$6)+10,1),0)))))</f>
        <v/>
      </c>
      <c r="U22">
        <f>IF(OR(B22="",D22=""),"",DATE(YEAR(Settings!$C$6),MONTH(Settings!$C$6)+11,MIN(D22,DAY(EOMONTH(DATE(YEAR(Settings!$C$6),MONTH(Settings!$C$6)+11,1),0)))))</f>
        <v/>
      </c>
      <c r="V22">
        <f>IF(OR(B22="",D22=""),"",DATE(YEAR(Settings!$C$6),MONTH(Settings!$C$6)+12,MIN(D22,DAY(EOMONTH(DATE(YEAR(Settings!$C$6),MONTH(Settings!$C$6)+12,1),0)))))</f>
        <v/>
      </c>
      <c r="W22">
        <f>IF(OR(B22="",D22=""),0,IF(OR(E22="",E22=MONTH(DATE(YEAR(Settings!$C$6),MONTH(Settings!$C$6)+0,1))),N(C22),0))</f>
        <v/>
      </c>
      <c r="X22">
        <f>IF(OR(B22="",D22=""),0,IF(OR(E22="",E22=MONTH(DATE(YEAR(Settings!$C$6),MONTH(Settings!$C$6)+1,1))),N(C22),0))</f>
        <v/>
      </c>
      <c r="Y22">
        <f>IF(OR(B22="",D22=""),0,IF(OR(E22="",E22=MONTH(DATE(YEAR(Settings!$C$6),MONTH(Settings!$C$6)+2,1))),N(C22),0))</f>
        <v/>
      </c>
      <c r="Z22">
        <f>IF(OR(B22="",D22=""),0,IF(OR(E22="",E22=MONTH(DATE(YEAR(Settings!$C$6),MONTH(Settings!$C$6)+3,1))),N(C22),0))</f>
        <v/>
      </c>
      <c r="AA22">
        <f>IF(OR(B22="",D22=""),0,IF(OR(E22="",E22=MONTH(DATE(YEAR(Settings!$C$6),MONTH(Settings!$C$6)+4,1))),N(C22),0))</f>
        <v/>
      </c>
      <c r="AB22">
        <f>IF(OR(B22="",D22=""),0,IF(OR(E22="",E22=MONTH(DATE(YEAR(Settings!$C$6),MONTH(Settings!$C$6)+5,1))),N(C22),0))</f>
        <v/>
      </c>
      <c r="AC22">
        <f>IF(OR(B22="",D22=""),0,IF(OR(E22="",E22=MONTH(DATE(YEAR(Settings!$C$6),MONTH(Settings!$C$6)+6,1))),N(C22),0))</f>
        <v/>
      </c>
      <c r="AD22">
        <f>IF(OR(B22="",D22=""),0,IF(OR(E22="",E22=MONTH(DATE(YEAR(Settings!$C$6),MONTH(Settings!$C$6)+7,1))),N(C22),0))</f>
        <v/>
      </c>
      <c r="AE22">
        <f>IF(OR(B22="",D22=""),0,IF(OR(E22="",E22=MONTH(DATE(YEAR(Settings!$C$6),MONTH(Settings!$C$6)+8,1))),N(C22),0))</f>
        <v/>
      </c>
      <c r="AF22">
        <f>IF(OR(B22="",D22=""),0,IF(OR(E22="",E22=MONTH(DATE(YEAR(Settings!$C$6),MONTH(Settings!$C$6)+9,1))),N(C22),0))</f>
        <v/>
      </c>
      <c r="AG22">
        <f>IF(OR(B22="",D22=""),0,IF(OR(E22="",E22=MONTH(DATE(YEAR(Settings!$C$6),MONTH(Settings!$C$6)+10,1))),N(C22),0))</f>
        <v/>
      </c>
      <c r="AH22">
        <f>IF(OR(B22="",D22=""),0,IF(OR(E22="",E22=MONTH(DATE(YEAR(Settings!$C$6),MONTH(Settings!$C$6)+11,1))),N(C22),0))</f>
        <v/>
      </c>
      <c r="AI22">
        <f>IF(OR(B22="",D22=""),0,IF(OR(E22="",E22=MONTH(DATE(YEAR(Settings!$C$6),MONTH(Settings!$C$6)+12,1))),N(C22),0))</f>
        <v/>
      </c>
      <c r="AJ22">
        <f>IF(B22="","",SUMIFS(J22:V22,J22:V22,"&gt;="&amp;Dashboard!$C$4,J22:V22,"&lt;"&amp;Dashboard!$N$1,W22:AI22,"&gt;0"))</f>
        <v/>
      </c>
      <c r="AK22">
        <f>IF(N(AJ22)=0,"",AJ22+ROW()/100000)</f>
        <v/>
      </c>
    </row>
    <row r="23">
      <c r="A23" s="1" t="n"/>
      <c r="B23" s="27" t="n"/>
      <c r="C23" s="28" t="n"/>
      <c r="D23" s="29" t="n"/>
      <c r="E23" s="29" t="n"/>
      <c r="F23" s="30" t="n"/>
      <c r="G23" s="31" t="n"/>
      <c r="H23" s="30" t="n"/>
      <c r="I23" s="1" t="n"/>
      <c r="J23">
        <f>IF(OR(B23="",D23=""),"",DATE(YEAR(Settings!$C$6),MONTH(Settings!$C$6)+0,MIN(D23,DAY(EOMONTH(DATE(YEAR(Settings!$C$6),MONTH(Settings!$C$6)+0,1),0)))))</f>
        <v/>
      </c>
      <c r="K23">
        <f>IF(OR(B23="",D23=""),"",DATE(YEAR(Settings!$C$6),MONTH(Settings!$C$6)+1,MIN(D23,DAY(EOMONTH(DATE(YEAR(Settings!$C$6),MONTH(Settings!$C$6)+1,1),0)))))</f>
        <v/>
      </c>
      <c r="L23">
        <f>IF(OR(B23="",D23=""),"",DATE(YEAR(Settings!$C$6),MONTH(Settings!$C$6)+2,MIN(D23,DAY(EOMONTH(DATE(YEAR(Settings!$C$6),MONTH(Settings!$C$6)+2,1),0)))))</f>
        <v/>
      </c>
      <c r="M23">
        <f>IF(OR(B23="",D23=""),"",DATE(YEAR(Settings!$C$6),MONTH(Settings!$C$6)+3,MIN(D23,DAY(EOMONTH(DATE(YEAR(Settings!$C$6),MONTH(Settings!$C$6)+3,1),0)))))</f>
        <v/>
      </c>
      <c r="N23">
        <f>IF(OR(B23="",D23=""),"",DATE(YEAR(Settings!$C$6),MONTH(Settings!$C$6)+4,MIN(D23,DAY(EOMONTH(DATE(YEAR(Settings!$C$6),MONTH(Settings!$C$6)+4,1),0)))))</f>
        <v/>
      </c>
      <c r="O23">
        <f>IF(OR(B23="",D23=""),"",DATE(YEAR(Settings!$C$6),MONTH(Settings!$C$6)+5,MIN(D23,DAY(EOMONTH(DATE(YEAR(Settings!$C$6),MONTH(Settings!$C$6)+5,1),0)))))</f>
        <v/>
      </c>
      <c r="P23">
        <f>IF(OR(B23="",D23=""),"",DATE(YEAR(Settings!$C$6),MONTH(Settings!$C$6)+6,MIN(D23,DAY(EOMONTH(DATE(YEAR(Settings!$C$6),MONTH(Settings!$C$6)+6,1),0)))))</f>
        <v/>
      </c>
      <c r="Q23">
        <f>IF(OR(B23="",D23=""),"",DATE(YEAR(Settings!$C$6),MONTH(Settings!$C$6)+7,MIN(D23,DAY(EOMONTH(DATE(YEAR(Settings!$C$6),MONTH(Settings!$C$6)+7,1),0)))))</f>
        <v/>
      </c>
      <c r="R23">
        <f>IF(OR(B23="",D23=""),"",DATE(YEAR(Settings!$C$6),MONTH(Settings!$C$6)+8,MIN(D23,DAY(EOMONTH(DATE(YEAR(Settings!$C$6),MONTH(Settings!$C$6)+8,1),0)))))</f>
        <v/>
      </c>
      <c r="S23">
        <f>IF(OR(B23="",D23=""),"",DATE(YEAR(Settings!$C$6),MONTH(Settings!$C$6)+9,MIN(D23,DAY(EOMONTH(DATE(YEAR(Settings!$C$6),MONTH(Settings!$C$6)+9,1),0)))))</f>
        <v/>
      </c>
      <c r="T23">
        <f>IF(OR(B23="",D23=""),"",DATE(YEAR(Settings!$C$6),MONTH(Settings!$C$6)+10,MIN(D23,DAY(EOMONTH(DATE(YEAR(Settings!$C$6),MONTH(Settings!$C$6)+10,1),0)))))</f>
        <v/>
      </c>
      <c r="U23">
        <f>IF(OR(B23="",D23=""),"",DATE(YEAR(Settings!$C$6),MONTH(Settings!$C$6)+11,MIN(D23,DAY(EOMONTH(DATE(YEAR(Settings!$C$6),MONTH(Settings!$C$6)+11,1),0)))))</f>
        <v/>
      </c>
      <c r="V23">
        <f>IF(OR(B23="",D23=""),"",DATE(YEAR(Settings!$C$6),MONTH(Settings!$C$6)+12,MIN(D23,DAY(EOMONTH(DATE(YEAR(Settings!$C$6),MONTH(Settings!$C$6)+12,1),0)))))</f>
        <v/>
      </c>
      <c r="W23">
        <f>IF(OR(B23="",D23=""),0,IF(OR(E23="",E23=MONTH(DATE(YEAR(Settings!$C$6),MONTH(Settings!$C$6)+0,1))),N(C23),0))</f>
        <v/>
      </c>
      <c r="X23">
        <f>IF(OR(B23="",D23=""),0,IF(OR(E23="",E23=MONTH(DATE(YEAR(Settings!$C$6),MONTH(Settings!$C$6)+1,1))),N(C23),0))</f>
        <v/>
      </c>
      <c r="Y23">
        <f>IF(OR(B23="",D23=""),0,IF(OR(E23="",E23=MONTH(DATE(YEAR(Settings!$C$6),MONTH(Settings!$C$6)+2,1))),N(C23),0))</f>
        <v/>
      </c>
      <c r="Z23">
        <f>IF(OR(B23="",D23=""),0,IF(OR(E23="",E23=MONTH(DATE(YEAR(Settings!$C$6),MONTH(Settings!$C$6)+3,1))),N(C23),0))</f>
        <v/>
      </c>
      <c r="AA23">
        <f>IF(OR(B23="",D23=""),0,IF(OR(E23="",E23=MONTH(DATE(YEAR(Settings!$C$6),MONTH(Settings!$C$6)+4,1))),N(C23),0))</f>
        <v/>
      </c>
      <c r="AB23">
        <f>IF(OR(B23="",D23=""),0,IF(OR(E23="",E23=MONTH(DATE(YEAR(Settings!$C$6),MONTH(Settings!$C$6)+5,1))),N(C23),0))</f>
        <v/>
      </c>
      <c r="AC23">
        <f>IF(OR(B23="",D23=""),0,IF(OR(E23="",E23=MONTH(DATE(YEAR(Settings!$C$6),MONTH(Settings!$C$6)+6,1))),N(C23),0))</f>
        <v/>
      </c>
      <c r="AD23">
        <f>IF(OR(B23="",D23=""),0,IF(OR(E23="",E23=MONTH(DATE(YEAR(Settings!$C$6),MONTH(Settings!$C$6)+7,1))),N(C23),0))</f>
        <v/>
      </c>
      <c r="AE23">
        <f>IF(OR(B23="",D23=""),0,IF(OR(E23="",E23=MONTH(DATE(YEAR(Settings!$C$6),MONTH(Settings!$C$6)+8,1))),N(C23),0))</f>
        <v/>
      </c>
      <c r="AF23">
        <f>IF(OR(B23="",D23=""),0,IF(OR(E23="",E23=MONTH(DATE(YEAR(Settings!$C$6),MONTH(Settings!$C$6)+9,1))),N(C23),0))</f>
        <v/>
      </c>
      <c r="AG23">
        <f>IF(OR(B23="",D23=""),0,IF(OR(E23="",E23=MONTH(DATE(YEAR(Settings!$C$6),MONTH(Settings!$C$6)+10,1))),N(C23),0))</f>
        <v/>
      </c>
      <c r="AH23">
        <f>IF(OR(B23="",D23=""),0,IF(OR(E23="",E23=MONTH(DATE(YEAR(Settings!$C$6),MONTH(Settings!$C$6)+11,1))),N(C23),0))</f>
        <v/>
      </c>
      <c r="AI23">
        <f>IF(OR(B23="",D23=""),0,IF(OR(E23="",E23=MONTH(DATE(YEAR(Settings!$C$6),MONTH(Settings!$C$6)+12,1))),N(C23),0))</f>
        <v/>
      </c>
      <c r="AJ23">
        <f>IF(B23="","",SUMIFS(J23:V23,J23:V23,"&gt;="&amp;Dashboard!$C$4,J23:V23,"&lt;"&amp;Dashboard!$N$1,W23:AI23,"&gt;0"))</f>
        <v/>
      </c>
      <c r="AK23">
        <f>IF(N(AJ23)=0,"",AJ23+ROW()/100000)</f>
        <v/>
      </c>
    </row>
    <row r="24">
      <c r="A24" s="1" t="n"/>
      <c r="B24" s="27" t="n"/>
      <c r="C24" s="28" t="n"/>
      <c r="D24" s="29" t="n"/>
      <c r="E24" s="29" t="n"/>
      <c r="F24" s="30" t="n"/>
      <c r="G24" s="31" t="n"/>
      <c r="H24" s="30" t="n"/>
      <c r="I24" s="1" t="n"/>
      <c r="J24">
        <f>IF(OR(B24="",D24=""),"",DATE(YEAR(Settings!$C$6),MONTH(Settings!$C$6)+0,MIN(D24,DAY(EOMONTH(DATE(YEAR(Settings!$C$6),MONTH(Settings!$C$6)+0,1),0)))))</f>
        <v/>
      </c>
      <c r="K24">
        <f>IF(OR(B24="",D24=""),"",DATE(YEAR(Settings!$C$6),MONTH(Settings!$C$6)+1,MIN(D24,DAY(EOMONTH(DATE(YEAR(Settings!$C$6),MONTH(Settings!$C$6)+1,1),0)))))</f>
        <v/>
      </c>
      <c r="L24">
        <f>IF(OR(B24="",D24=""),"",DATE(YEAR(Settings!$C$6),MONTH(Settings!$C$6)+2,MIN(D24,DAY(EOMONTH(DATE(YEAR(Settings!$C$6),MONTH(Settings!$C$6)+2,1),0)))))</f>
        <v/>
      </c>
      <c r="M24">
        <f>IF(OR(B24="",D24=""),"",DATE(YEAR(Settings!$C$6),MONTH(Settings!$C$6)+3,MIN(D24,DAY(EOMONTH(DATE(YEAR(Settings!$C$6),MONTH(Settings!$C$6)+3,1),0)))))</f>
        <v/>
      </c>
      <c r="N24">
        <f>IF(OR(B24="",D24=""),"",DATE(YEAR(Settings!$C$6),MONTH(Settings!$C$6)+4,MIN(D24,DAY(EOMONTH(DATE(YEAR(Settings!$C$6),MONTH(Settings!$C$6)+4,1),0)))))</f>
        <v/>
      </c>
      <c r="O24">
        <f>IF(OR(B24="",D24=""),"",DATE(YEAR(Settings!$C$6),MONTH(Settings!$C$6)+5,MIN(D24,DAY(EOMONTH(DATE(YEAR(Settings!$C$6),MONTH(Settings!$C$6)+5,1),0)))))</f>
        <v/>
      </c>
      <c r="P24">
        <f>IF(OR(B24="",D24=""),"",DATE(YEAR(Settings!$C$6),MONTH(Settings!$C$6)+6,MIN(D24,DAY(EOMONTH(DATE(YEAR(Settings!$C$6),MONTH(Settings!$C$6)+6,1),0)))))</f>
        <v/>
      </c>
      <c r="Q24">
        <f>IF(OR(B24="",D24=""),"",DATE(YEAR(Settings!$C$6),MONTH(Settings!$C$6)+7,MIN(D24,DAY(EOMONTH(DATE(YEAR(Settings!$C$6),MONTH(Settings!$C$6)+7,1),0)))))</f>
        <v/>
      </c>
      <c r="R24">
        <f>IF(OR(B24="",D24=""),"",DATE(YEAR(Settings!$C$6),MONTH(Settings!$C$6)+8,MIN(D24,DAY(EOMONTH(DATE(YEAR(Settings!$C$6),MONTH(Settings!$C$6)+8,1),0)))))</f>
        <v/>
      </c>
      <c r="S24">
        <f>IF(OR(B24="",D24=""),"",DATE(YEAR(Settings!$C$6),MONTH(Settings!$C$6)+9,MIN(D24,DAY(EOMONTH(DATE(YEAR(Settings!$C$6),MONTH(Settings!$C$6)+9,1),0)))))</f>
        <v/>
      </c>
      <c r="T24">
        <f>IF(OR(B24="",D24=""),"",DATE(YEAR(Settings!$C$6),MONTH(Settings!$C$6)+10,MIN(D24,DAY(EOMONTH(DATE(YEAR(Settings!$C$6),MONTH(Settings!$C$6)+10,1),0)))))</f>
        <v/>
      </c>
      <c r="U24">
        <f>IF(OR(B24="",D24=""),"",DATE(YEAR(Settings!$C$6),MONTH(Settings!$C$6)+11,MIN(D24,DAY(EOMONTH(DATE(YEAR(Settings!$C$6),MONTH(Settings!$C$6)+11,1),0)))))</f>
        <v/>
      </c>
      <c r="V24">
        <f>IF(OR(B24="",D24=""),"",DATE(YEAR(Settings!$C$6),MONTH(Settings!$C$6)+12,MIN(D24,DAY(EOMONTH(DATE(YEAR(Settings!$C$6),MONTH(Settings!$C$6)+12,1),0)))))</f>
        <v/>
      </c>
      <c r="W24">
        <f>IF(OR(B24="",D24=""),0,IF(OR(E24="",E24=MONTH(DATE(YEAR(Settings!$C$6),MONTH(Settings!$C$6)+0,1))),N(C24),0))</f>
        <v/>
      </c>
      <c r="X24">
        <f>IF(OR(B24="",D24=""),0,IF(OR(E24="",E24=MONTH(DATE(YEAR(Settings!$C$6),MONTH(Settings!$C$6)+1,1))),N(C24),0))</f>
        <v/>
      </c>
      <c r="Y24">
        <f>IF(OR(B24="",D24=""),0,IF(OR(E24="",E24=MONTH(DATE(YEAR(Settings!$C$6),MONTH(Settings!$C$6)+2,1))),N(C24),0))</f>
        <v/>
      </c>
      <c r="Z24">
        <f>IF(OR(B24="",D24=""),0,IF(OR(E24="",E24=MONTH(DATE(YEAR(Settings!$C$6),MONTH(Settings!$C$6)+3,1))),N(C24),0))</f>
        <v/>
      </c>
      <c r="AA24">
        <f>IF(OR(B24="",D24=""),0,IF(OR(E24="",E24=MONTH(DATE(YEAR(Settings!$C$6),MONTH(Settings!$C$6)+4,1))),N(C24),0))</f>
        <v/>
      </c>
      <c r="AB24">
        <f>IF(OR(B24="",D24=""),0,IF(OR(E24="",E24=MONTH(DATE(YEAR(Settings!$C$6),MONTH(Settings!$C$6)+5,1))),N(C24),0))</f>
        <v/>
      </c>
      <c r="AC24">
        <f>IF(OR(B24="",D24=""),0,IF(OR(E24="",E24=MONTH(DATE(YEAR(Settings!$C$6),MONTH(Settings!$C$6)+6,1))),N(C24),0))</f>
        <v/>
      </c>
      <c r="AD24">
        <f>IF(OR(B24="",D24=""),0,IF(OR(E24="",E24=MONTH(DATE(YEAR(Settings!$C$6),MONTH(Settings!$C$6)+7,1))),N(C24),0))</f>
        <v/>
      </c>
      <c r="AE24">
        <f>IF(OR(B24="",D24=""),0,IF(OR(E24="",E24=MONTH(DATE(YEAR(Settings!$C$6),MONTH(Settings!$C$6)+8,1))),N(C24),0))</f>
        <v/>
      </c>
      <c r="AF24">
        <f>IF(OR(B24="",D24=""),0,IF(OR(E24="",E24=MONTH(DATE(YEAR(Settings!$C$6),MONTH(Settings!$C$6)+9,1))),N(C24),0))</f>
        <v/>
      </c>
      <c r="AG24">
        <f>IF(OR(B24="",D24=""),0,IF(OR(E24="",E24=MONTH(DATE(YEAR(Settings!$C$6),MONTH(Settings!$C$6)+10,1))),N(C24),0))</f>
        <v/>
      </c>
      <c r="AH24">
        <f>IF(OR(B24="",D24=""),0,IF(OR(E24="",E24=MONTH(DATE(YEAR(Settings!$C$6),MONTH(Settings!$C$6)+11,1))),N(C24),0))</f>
        <v/>
      </c>
      <c r="AI24">
        <f>IF(OR(B24="",D24=""),0,IF(OR(E24="",E24=MONTH(DATE(YEAR(Settings!$C$6),MONTH(Settings!$C$6)+12,1))),N(C24),0))</f>
        <v/>
      </c>
      <c r="AJ24">
        <f>IF(B24="","",SUMIFS(J24:V24,J24:V24,"&gt;="&amp;Dashboard!$C$4,J24:V24,"&lt;"&amp;Dashboard!$N$1,W24:AI24,"&gt;0"))</f>
        <v/>
      </c>
      <c r="AK24">
        <f>IF(N(AJ24)=0,"",AJ24+ROW()/100000)</f>
        <v/>
      </c>
    </row>
    <row r="25">
      <c r="A25" s="1" t="n"/>
      <c r="B25" s="27" t="n"/>
      <c r="C25" s="28" t="n"/>
      <c r="D25" s="29" t="n"/>
      <c r="E25" s="29" t="n"/>
      <c r="F25" s="30" t="n"/>
      <c r="G25" s="31" t="n"/>
      <c r="H25" s="30" t="n"/>
      <c r="I25" s="1" t="n"/>
      <c r="J25">
        <f>IF(OR(B25="",D25=""),"",DATE(YEAR(Settings!$C$6),MONTH(Settings!$C$6)+0,MIN(D25,DAY(EOMONTH(DATE(YEAR(Settings!$C$6),MONTH(Settings!$C$6)+0,1),0)))))</f>
        <v/>
      </c>
      <c r="K25">
        <f>IF(OR(B25="",D25=""),"",DATE(YEAR(Settings!$C$6),MONTH(Settings!$C$6)+1,MIN(D25,DAY(EOMONTH(DATE(YEAR(Settings!$C$6),MONTH(Settings!$C$6)+1,1),0)))))</f>
        <v/>
      </c>
      <c r="L25">
        <f>IF(OR(B25="",D25=""),"",DATE(YEAR(Settings!$C$6),MONTH(Settings!$C$6)+2,MIN(D25,DAY(EOMONTH(DATE(YEAR(Settings!$C$6),MONTH(Settings!$C$6)+2,1),0)))))</f>
        <v/>
      </c>
      <c r="M25">
        <f>IF(OR(B25="",D25=""),"",DATE(YEAR(Settings!$C$6),MONTH(Settings!$C$6)+3,MIN(D25,DAY(EOMONTH(DATE(YEAR(Settings!$C$6),MONTH(Settings!$C$6)+3,1),0)))))</f>
        <v/>
      </c>
      <c r="N25">
        <f>IF(OR(B25="",D25=""),"",DATE(YEAR(Settings!$C$6),MONTH(Settings!$C$6)+4,MIN(D25,DAY(EOMONTH(DATE(YEAR(Settings!$C$6),MONTH(Settings!$C$6)+4,1),0)))))</f>
        <v/>
      </c>
      <c r="O25">
        <f>IF(OR(B25="",D25=""),"",DATE(YEAR(Settings!$C$6),MONTH(Settings!$C$6)+5,MIN(D25,DAY(EOMONTH(DATE(YEAR(Settings!$C$6),MONTH(Settings!$C$6)+5,1),0)))))</f>
        <v/>
      </c>
      <c r="P25">
        <f>IF(OR(B25="",D25=""),"",DATE(YEAR(Settings!$C$6),MONTH(Settings!$C$6)+6,MIN(D25,DAY(EOMONTH(DATE(YEAR(Settings!$C$6),MONTH(Settings!$C$6)+6,1),0)))))</f>
        <v/>
      </c>
      <c r="Q25">
        <f>IF(OR(B25="",D25=""),"",DATE(YEAR(Settings!$C$6),MONTH(Settings!$C$6)+7,MIN(D25,DAY(EOMONTH(DATE(YEAR(Settings!$C$6),MONTH(Settings!$C$6)+7,1),0)))))</f>
        <v/>
      </c>
      <c r="R25">
        <f>IF(OR(B25="",D25=""),"",DATE(YEAR(Settings!$C$6),MONTH(Settings!$C$6)+8,MIN(D25,DAY(EOMONTH(DATE(YEAR(Settings!$C$6),MONTH(Settings!$C$6)+8,1),0)))))</f>
        <v/>
      </c>
      <c r="S25">
        <f>IF(OR(B25="",D25=""),"",DATE(YEAR(Settings!$C$6),MONTH(Settings!$C$6)+9,MIN(D25,DAY(EOMONTH(DATE(YEAR(Settings!$C$6),MONTH(Settings!$C$6)+9,1),0)))))</f>
        <v/>
      </c>
      <c r="T25">
        <f>IF(OR(B25="",D25=""),"",DATE(YEAR(Settings!$C$6),MONTH(Settings!$C$6)+10,MIN(D25,DAY(EOMONTH(DATE(YEAR(Settings!$C$6),MONTH(Settings!$C$6)+10,1),0)))))</f>
        <v/>
      </c>
      <c r="U25">
        <f>IF(OR(B25="",D25=""),"",DATE(YEAR(Settings!$C$6),MONTH(Settings!$C$6)+11,MIN(D25,DAY(EOMONTH(DATE(YEAR(Settings!$C$6),MONTH(Settings!$C$6)+11,1),0)))))</f>
        <v/>
      </c>
      <c r="V25">
        <f>IF(OR(B25="",D25=""),"",DATE(YEAR(Settings!$C$6),MONTH(Settings!$C$6)+12,MIN(D25,DAY(EOMONTH(DATE(YEAR(Settings!$C$6),MONTH(Settings!$C$6)+12,1),0)))))</f>
        <v/>
      </c>
      <c r="W25">
        <f>IF(OR(B25="",D25=""),0,IF(OR(E25="",E25=MONTH(DATE(YEAR(Settings!$C$6),MONTH(Settings!$C$6)+0,1))),N(C25),0))</f>
        <v/>
      </c>
      <c r="X25">
        <f>IF(OR(B25="",D25=""),0,IF(OR(E25="",E25=MONTH(DATE(YEAR(Settings!$C$6),MONTH(Settings!$C$6)+1,1))),N(C25),0))</f>
        <v/>
      </c>
      <c r="Y25">
        <f>IF(OR(B25="",D25=""),0,IF(OR(E25="",E25=MONTH(DATE(YEAR(Settings!$C$6),MONTH(Settings!$C$6)+2,1))),N(C25),0))</f>
        <v/>
      </c>
      <c r="Z25">
        <f>IF(OR(B25="",D25=""),0,IF(OR(E25="",E25=MONTH(DATE(YEAR(Settings!$C$6),MONTH(Settings!$C$6)+3,1))),N(C25),0))</f>
        <v/>
      </c>
      <c r="AA25">
        <f>IF(OR(B25="",D25=""),0,IF(OR(E25="",E25=MONTH(DATE(YEAR(Settings!$C$6),MONTH(Settings!$C$6)+4,1))),N(C25),0))</f>
        <v/>
      </c>
      <c r="AB25">
        <f>IF(OR(B25="",D25=""),0,IF(OR(E25="",E25=MONTH(DATE(YEAR(Settings!$C$6),MONTH(Settings!$C$6)+5,1))),N(C25),0))</f>
        <v/>
      </c>
      <c r="AC25">
        <f>IF(OR(B25="",D25=""),0,IF(OR(E25="",E25=MONTH(DATE(YEAR(Settings!$C$6),MONTH(Settings!$C$6)+6,1))),N(C25),0))</f>
        <v/>
      </c>
      <c r="AD25">
        <f>IF(OR(B25="",D25=""),0,IF(OR(E25="",E25=MONTH(DATE(YEAR(Settings!$C$6),MONTH(Settings!$C$6)+7,1))),N(C25),0))</f>
        <v/>
      </c>
      <c r="AE25">
        <f>IF(OR(B25="",D25=""),0,IF(OR(E25="",E25=MONTH(DATE(YEAR(Settings!$C$6),MONTH(Settings!$C$6)+8,1))),N(C25),0))</f>
        <v/>
      </c>
      <c r="AF25">
        <f>IF(OR(B25="",D25=""),0,IF(OR(E25="",E25=MONTH(DATE(YEAR(Settings!$C$6),MONTH(Settings!$C$6)+9,1))),N(C25),0))</f>
        <v/>
      </c>
      <c r="AG25">
        <f>IF(OR(B25="",D25=""),0,IF(OR(E25="",E25=MONTH(DATE(YEAR(Settings!$C$6),MONTH(Settings!$C$6)+10,1))),N(C25),0))</f>
        <v/>
      </c>
      <c r="AH25">
        <f>IF(OR(B25="",D25=""),0,IF(OR(E25="",E25=MONTH(DATE(YEAR(Settings!$C$6),MONTH(Settings!$C$6)+11,1))),N(C25),0))</f>
        <v/>
      </c>
      <c r="AI25">
        <f>IF(OR(B25="",D25=""),0,IF(OR(E25="",E25=MONTH(DATE(YEAR(Settings!$C$6),MONTH(Settings!$C$6)+12,1))),N(C25),0))</f>
        <v/>
      </c>
      <c r="AJ25">
        <f>IF(B25="","",SUMIFS(J25:V25,J25:V25,"&gt;="&amp;Dashboard!$C$4,J25:V25,"&lt;"&amp;Dashboard!$N$1,W25:AI25,"&gt;0"))</f>
        <v/>
      </c>
      <c r="AK25">
        <f>IF(N(AJ25)=0,"",AJ25+ROW()/100000)</f>
        <v/>
      </c>
    </row>
    <row r="26">
      <c r="A26" s="1" t="n"/>
      <c r="B26" s="27" t="n"/>
      <c r="C26" s="28" t="n"/>
      <c r="D26" s="29" t="n"/>
      <c r="E26" s="29" t="n"/>
      <c r="F26" s="30" t="n"/>
      <c r="G26" s="31" t="n"/>
      <c r="H26" s="30" t="n"/>
      <c r="I26" s="1" t="n"/>
      <c r="J26">
        <f>IF(OR(B26="",D26=""),"",DATE(YEAR(Settings!$C$6),MONTH(Settings!$C$6)+0,MIN(D26,DAY(EOMONTH(DATE(YEAR(Settings!$C$6),MONTH(Settings!$C$6)+0,1),0)))))</f>
        <v/>
      </c>
      <c r="K26">
        <f>IF(OR(B26="",D26=""),"",DATE(YEAR(Settings!$C$6),MONTH(Settings!$C$6)+1,MIN(D26,DAY(EOMONTH(DATE(YEAR(Settings!$C$6),MONTH(Settings!$C$6)+1,1),0)))))</f>
        <v/>
      </c>
      <c r="L26">
        <f>IF(OR(B26="",D26=""),"",DATE(YEAR(Settings!$C$6),MONTH(Settings!$C$6)+2,MIN(D26,DAY(EOMONTH(DATE(YEAR(Settings!$C$6),MONTH(Settings!$C$6)+2,1),0)))))</f>
        <v/>
      </c>
      <c r="M26">
        <f>IF(OR(B26="",D26=""),"",DATE(YEAR(Settings!$C$6),MONTH(Settings!$C$6)+3,MIN(D26,DAY(EOMONTH(DATE(YEAR(Settings!$C$6),MONTH(Settings!$C$6)+3,1),0)))))</f>
        <v/>
      </c>
      <c r="N26">
        <f>IF(OR(B26="",D26=""),"",DATE(YEAR(Settings!$C$6),MONTH(Settings!$C$6)+4,MIN(D26,DAY(EOMONTH(DATE(YEAR(Settings!$C$6),MONTH(Settings!$C$6)+4,1),0)))))</f>
        <v/>
      </c>
      <c r="O26">
        <f>IF(OR(B26="",D26=""),"",DATE(YEAR(Settings!$C$6),MONTH(Settings!$C$6)+5,MIN(D26,DAY(EOMONTH(DATE(YEAR(Settings!$C$6),MONTH(Settings!$C$6)+5,1),0)))))</f>
        <v/>
      </c>
      <c r="P26">
        <f>IF(OR(B26="",D26=""),"",DATE(YEAR(Settings!$C$6),MONTH(Settings!$C$6)+6,MIN(D26,DAY(EOMONTH(DATE(YEAR(Settings!$C$6),MONTH(Settings!$C$6)+6,1),0)))))</f>
        <v/>
      </c>
      <c r="Q26">
        <f>IF(OR(B26="",D26=""),"",DATE(YEAR(Settings!$C$6),MONTH(Settings!$C$6)+7,MIN(D26,DAY(EOMONTH(DATE(YEAR(Settings!$C$6),MONTH(Settings!$C$6)+7,1),0)))))</f>
        <v/>
      </c>
      <c r="R26">
        <f>IF(OR(B26="",D26=""),"",DATE(YEAR(Settings!$C$6),MONTH(Settings!$C$6)+8,MIN(D26,DAY(EOMONTH(DATE(YEAR(Settings!$C$6),MONTH(Settings!$C$6)+8,1),0)))))</f>
        <v/>
      </c>
      <c r="S26">
        <f>IF(OR(B26="",D26=""),"",DATE(YEAR(Settings!$C$6),MONTH(Settings!$C$6)+9,MIN(D26,DAY(EOMONTH(DATE(YEAR(Settings!$C$6),MONTH(Settings!$C$6)+9,1),0)))))</f>
        <v/>
      </c>
      <c r="T26">
        <f>IF(OR(B26="",D26=""),"",DATE(YEAR(Settings!$C$6),MONTH(Settings!$C$6)+10,MIN(D26,DAY(EOMONTH(DATE(YEAR(Settings!$C$6),MONTH(Settings!$C$6)+10,1),0)))))</f>
        <v/>
      </c>
      <c r="U26">
        <f>IF(OR(B26="",D26=""),"",DATE(YEAR(Settings!$C$6),MONTH(Settings!$C$6)+11,MIN(D26,DAY(EOMONTH(DATE(YEAR(Settings!$C$6),MONTH(Settings!$C$6)+11,1),0)))))</f>
        <v/>
      </c>
      <c r="V26">
        <f>IF(OR(B26="",D26=""),"",DATE(YEAR(Settings!$C$6),MONTH(Settings!$C$6)+12,MIN(D26,DAY(EOMONTH(DATE(YEAR(Settings!$C$6),MONTH(Settings!$C$6)+12,1),0)))))</f>
        <v/>
      </c>
      <c r="W26">
        <f>IF(OR(B26="",D26=""),0,IF(OR(E26="",E26=MONTH(DATE(YEAR(Settings!$C$6),MONTH(Settings!$C$6)+0,1))),N(C26),0))</f>
        <v/>
      </c>
      <c r="X26">
        <f>IF(OR(B26="",D26=""),0,IF(OR(E26="",E26=MONTH(DATE(YEAR(Settings!$C$6),MONTH(Settings!$C$6)+1,1))),N(C26),0))</f>
        <v/>
      </c>
      <c r="Y26">
        <f>IF(OR(B26="",D26=""),0,IF(OR(E26="",E26=MONTH(DATE(YEAR(Settings!$C$6),MONTH(Settings!$C$6)+2,1))),N(C26),0))</f>
        <v/>
      </c>
      <c r="Z26">
        <f>IF(OR(B26="",D26=""),0,IF(OR(E26="",E26=MONTH(DATE(YEAR(Settings!$C$6),MONTH(Settings!$C$6)+3,1))),N(C26),0))</f>
        <v/>
      </c>
      <c r="AA26">
        <f>IF(OR(B26="",D26=""),0,IF(OR(E26="",E26=MONTH(DATE(YEAR(Settings!$C$6),MONTH(Settings!$C$6)+4,1))),N(C26),0))</f>
        <v/>
      </c>
      <c r="AB26">
        <f>IF(OR(B26="",D26=""),0,IF(OR(E26="",E26=MONTH(DATE(YEAR(Settings!$C$6),MONTH(Settings!$C$6)+5,1))),N(C26),0))</f>
        <v/>
      </c>
      <c r="AC26">
        <f>IF(OR(B26="",D26=""),0,IF(OR(E26="",E26=MONTH(DATE(YEAR(Settings!$C$6),MONTH(Settings!$C$6)+6,1))),N(C26),0))</f>
        <v/>
      </c>
      <c r="AD26">
        <f>IF(OR(B26="",D26=""),0,IF(OR(E26="",E26=MONTH(DATE(YEAR(Settings!$C$6),MONTH(Settings!$C$6)+7,1))),N(C26),0))</f>
        <v/>
      </c>
      <c r="AE26">
        <f>IF(OR(B26="",D26=""),0,IF(OR(E26="",E26=MONTH(DATE(YEAR(Settings!$C$6),MONTH(Settings!$C$6)+8,1))),N(C26),0))</f>
        <v/>
      </c>
      <c r="AF26">
        <f>IF(OR(B26="",D26=""),0,IF(OR(E26="",E26=MONTH(DATE(YEAR(Settings!$C$6),MONTH(Settings!$C$6)+9,1))),N(C26),0))</f>
        <v/>
      </c>
      <c r="AG26">
        <f>IF(OR(B26="",D26=""),0,IF(OR(E26="",E26=MONTH(DATE(YEAR(Settings!$C$6),MONTH(Settings!$C$6)+10,1))),N(C26),0))</f>
        <v/>
      </c>
      <c r="AH26">
        <f>IF(OR(B26="",D26=""),0,IF(OR(E26="",E26=MONTH(DATE(YEAR(Settings!$C$6),MONTH(Settings!$C$6)+11,1))),N(C26),0))</f>
        <v/>
      </c>
      <c r="AI26">
        <f>IF(OR(B26="",D26=""),0,IF(OR(E26="",E26=MONTH(DATE(YEAR(Settings!$C$6),MONTH(Settings!$C$6)+12,1))),N(C26),0))</f>
        <v/>
      </c>
      <c r="AJ26">
        <f>IF(B26="","",SUMIFS(J26:V26,J26:V26,"&gt;="&amp;Dashboard!$C$4,J26:V26,"&lt;"&amp;Dashboard!$N$1,W26:AI26,"&gt;0"))</f>
        <v/>
      </c>
      <c r="AK26">
        <f>IF(N(AJ26)=0,"",AJ26+ROW()/100000)</f>
        <v/>
      </c>
    </row>
    <row r="27">
      <c r="A27" s="1" t="n"/>
      <c r="B27" s="27" t="n"/>
      <c r="C27" s="28" t="n"/>
      <c r="D27" s="29" t="n"/>
      <c r="E27" s="29" t="n"/>
      <c r="F27" s="30" t="n"/>
      <c r="G27" s="31" t="n"/>
      <c r="H27" s="30" t="n"/>
      <c r="I27" s="1" t="n"/>
      <c r="J27">
        <f>IF(OR(B27="",D27=""),"",DATE(YEAR(Settings!$C$6),MONTH(Settings!$C$6)+0,MIN(D27,DAY(EOMONTH(DATE(YEAR(Settings!$C$6),MONTH(Settings!$C$6)+0,1),0)))))</f>
        <v/>
      </c>
      <c r="K27">
        <f>IF(OR(B27="",D27=""),"",DATE(YEAR(Settings!$C$6),MONTH(Settings!$C$6)+1,MIN(D27,DAY(EOMONTH(DATE(YEAR(Settings!$C$6),MONTH(Settings!$C$6)+1,1),0)))))</f>
        <v/>
      </c>
      <c r="L27">
        <f>IF(OR(B27="",D27=""),"",DATE(YEAR(Settings!$C$6),MONTH(Settings!$C$6)+2,MIN(D27,DAY(EOMONTH(DATE(YEAR(Settings!$C$6),MONTH(Settings!$C$6)+2,1),0)))))</f>
        <v/>
      </c>
      <c r="M27">
        <f>IF(OR(B27="",D27=""),"",DATE(YEAR(Settings!$C$6),MONTH(Settings!$C$6)+3,MIN(D27,DAY(EOMONTH(DATE(YEAR(Settings!$C$6),MONTH(Settings!$C$6)+3,1),0)))))</f>
        <v/>
      </c>
      <c r="N27">
        <f>IF(OR(B27="",D27=""),"",DATE(YEAR(Settings!$C$6),MONTH(Settings!$C$6)+4,MIN(D27,DAY(EOMONTH(DATE(YEAR(Settings!$C$6),MONTH(Settings!$C$6)+4,1),0)))))</f>
        <v/>
      </c>
      <c r="O27">
        <f>IF(OR(B27="",D27=""),"",DATE(YEAR(Settings!$C$6),MONTH(Settings!$C$6)+5,MIN(D27,DAY(EOMONTH(DATE(YEAR(Settings!$C$6),MONTH(Settings!$C$6)+5,1),0)))))</f>
        <v/>
      </c>
      <c r="P27">
        <f>IF(OR(B27="",D27=""),"",DATE(YEAR(Settings!$C$6),MONTH(Settings!$C$6)+6,MIN(D27,DAY(EOMONTH(DATE(YEAR(Settings!$C$6),MONTH(Settings!$C$6)+6,1),0)))))</f>
        <v/>
      </c>
      <c r="Q27">
        <f>IF(OR(B27="",D27=""),"",DATE(YEAR(Settings!$C$6),MONTH(Settings!$C$6)+7,MIN(D27,DAY(EOMONTH(DATE(YEAR(Settings!$C$6),MONTH(Settings!$C$6)+7,1),0)))))</f>
        <v/>
      </c>
      <c r="R27">
        <f>IF(OR(B27="",D27=""),"",DATE(YEAR(Settings!$C$6),MONTH(Settings!$C$6)+8,MIN(D27,DAY(EOMONTH(DATE(YEAR(Settings!$C$6),MONTH(Settings!$C$6)+8,1),0)))))</f>
        <v/>
      </c>
      <c r="S27">
        <f>IF(OR(B27="",D27=""),"",DATE(YEAR(Settings!$C$6),MONTH(Settings!$C$6)+9,MIN(D27,DAY(EOMONTH(DATE(YEAR(Settings!$C$6),MONTH(Settings!$C$6)+9,1),0)))))</f>
        <v/>
      </c>
      <c r="T27">
        <f>IF(OR(B27="",D27=""),"",DATE(YEAR(Settings!$C$6),MONTH(Settings!$C$6)+10,MIN(D27,DAY(EOMONTH(DATE(YEAR(Settings!$C$6),MONTH(Settings!$C$6)+10,1),0)))))</f>
        <v/>
      </c>
      <c r="U27">
        <f>IF(OR(B27="",D27=""),"",DATE(YEAR(Settings!$C$6),MONTH(Settings!$C$6)+11,MIN(D27,DAY(EOMONTH(DATE(YEAR(Settings!$C$6),MONTH(Settings!$C$6)+11,1),0)))))</f>
        <v/>
      </c>
      <c r="V27">
        <f>IF(OR(B27="",D27=""),"",DATE(YEAR(Settings!$C$6),MONTH(Settings!$C$6)+12,MIN(D27,DAY(EOMONTH(DATE(YEAR(Settings!$C$6),MONTH(Settings!$C$6)+12,1),0)))))</f>
        <v/>
      </c>
      <c r="W27">
        <f>IF(OR(B27="",D27=""),0,IF(OR(E27="",E27=MONTH(DATE(YEAR(Settings!$C$6),MONTH(Settings!$C$6)+0,1))),N(C27),0))</f>
        <v/>
      </c>
      <c r="X27">
        <f>IF(OR(B27="",D27=""),0,IF(OR(E27="",E27=MONTH(DATE(YEAR(Settings!$C$6),MONTH(Settings!$C$6)+1,1))),N(C27),0))</f>
        <v/>
      </c>
      <c r="Y27">
        <f>IF(OR(B27="",D27=""),0,IF(OR(E27="",E27=MONTH(DATE(YEAR(Settings!$C$6),MONTH(Settings!$C$6)+2,1))),N(C27),0))</f>
        <v/>
      </c>
      <c r="Z27">
        <f>IF(OR(B27="",D27=""),0,IF(OR(E27="",E27=MONTH(DATE(YEAR(Settings!$C$6),MONTH(Settings!$C$6)+3,1))),N(C27),0))</f>
        <v/>
      </c>
      <c r="AA27">
        <f>IF(OR(B27="",D27=""),0,IF(OR(E27="",E27=MONTH(DATE(YEAR(Settings!$C$6),MONTH(Settings!$C$6)+4,1))),N(C27),0))</f>
        <v/>
      </c>
      <c r="AB27">
        <f>IF(OR(B27="",D27=""),0,IF(OR(E27="",E27=MONTH(DATE(YEAR(Settings!$C$6),MONTH(Settings!$C$6)+5,1))),N(C27),0))</f>
        <v/>
      </c>
      <c r="AC27">
        <f>IF(OR(B27="",D27=""),0,IF(OR(E27="",E27=MONTH(DATE(YEAR(Settings!$C$6),MONTH(Settings!$C$6)+6,1))),N(C27),0))</f>
        <v/>
      </c>
      <c r="AD27">
        <f>IF(OR(B27="",D27=""),0,IF(OR(E27="",E27=MONTH(DATE(YEAR(Settings!$C$6),MONTH(Settings!$C$6)+7,1))),N(C27),0))</f>
        <v/>
      </c>
      <c r="AE27">
        <f>IF(OR(B27="",D27=""),0,IF(OR(E27="",E27=MONTH(DATE(YEAR(Settings!$C$6),MONTH(Settings!$C$6)+8,1))),N(C27),0))</f>
        <v/>
      </c>
      <c r="AF27">
        <f>IF(OR(B27="",D27=""),0,IF(OR(E27="",E27=MONTH(DATE(YEAR(Settings!$C$6),MONTH(Settings!$C$6)+9,1))),N(C27),0))</f>
        <v/>
      </c>
      <c r="AG27">
        <f>IF(OR(B27="",D27=""),0,IF(OR(E27="",E27=MONTH(DATE(YEAR(Settings!$C$6),MONTH(Settings!$C$6)+10,1))),N(C27),0))</f>
        <v/>
      </c>
      <c r="AH27">
        <f>IF(OR(B27="",D27=""),0,IF(OR(E27="",E27=MONTH(DATE(YEAR(Settings!$C$6),MONTH(Settings!$C$6)+11,1))),N(C27),0))</f>
        <v/>
      </c>
      <c r="AI27">
        <f>IF(OR(B27="",D27=""),0,IF(OR(E27="",E27=MONTH(DATE(YEAR(Settings!$C$6),MONTH(Settings!$C$6)+12,1))),N(C27),0))</f>
        <v/>
      </c>
      <c r="AJ27">
        <f>IF(B27="","",SUMIFS(J27:V27,J27:V27,"&gt;="&amp;Dashboard!$C$4,J27:V27,"&lt;"&amp;Dashboard!$N$1,W27:AI27,"&gt;0"))</f>
        <v/>
      </c>
      <c r="AK27">
        <f>IF(N(AJ27)=0,"",AJ27+ROW()/100000)</f>
        <v/>
      </c>
    </row>
    <row r="28">
      <c r="A28" s="1" t="n"/>
      <c r="B28" s="27" t="n"/>
      <c r="C28" s="28" t="n"/>
      <c r="D28" s="29" t="n"/>
      <c r="E28" s="29" t="n"/>
      <c r="F28" s="30" t="n"/>
      <c r="G28" s="31" t="n"/>
      <c r="H28" s="30" t="n"/>
      <c r="I28" s="1" t="n"/>
      <c r="J28">
        <f>IF(OR(B28="",D28=""),"",DATE(YEAR(Settings!$C$6),MONTH(Settings!$C$6)+0,MIN(D28,DAY(EOMONTH(DATE(YEAR(Settings!$C$6),MONTH(Settings!$C$6)+0,1),0)))))</f>
        <v/>
      </c>
      <c r="K28">
        <f>IF(OR(B28="",D28=""),"",DATE(YEAR(Settings!$C$6),MONTH(Settings!$C$6)+1,MIN(D28,DAY(EOMONTH(DATE(YEAR(Settings!$C$6),MONTH(Settings!$C$6)+1,1),0)))))</f>
        <v/>
      </c>
      <c r="L28">
        <f>IF(OR(B28="",D28=""),"",DATE(YEAR(Settings!$C$6),MONTH(Settings!$C$6)+2,MIN(D28,DAY(EOMONTH(DATE(YEAR(Settings!$C$6),MONTH(Settings!$C$6)+2,1),0)))))</f>
        <v/>
      </c>
      <c r="M28">
        <f>IF(OR(B28="",D28=""),"",DATE(YEAR(Settings!$C$6),MONTH(Settings!$C$6)+3,MIN(D28,DAY(EOMONTH(DATE(YEAR(Settings!$C$6),MONTH(Settings!$C$6)+3,1),0)))))</f>
        <v/>
      </c>
      <c r="N28">
        <f>IF(OR(B28="",D28=""),"",DATE(YEAR(Settings!$C$6),MONTH(Settings!$C$6)+4,MIN(D28,DAY(EOMONTH(DATE(YEAR(Settings!$C$6),MONTH(Settings!$C$6)+4,1),0)))))</f>
        <v/>
      </c>
      <c r="O28">
        <f>IF(OR(B28="",D28=""),"",DATE(YEAR(Settings!$C$6),MONTH(Settings!$C$6)+5,MIN(D28,DAY(EOMONTH(DATE(YEAR(Settings!$C$6),MONTH(Settings!$C$6)+5,1),0)))))</f>
        <v/>
      </c>
      <c r="P28">
        <f>IF(OR(B28="",D28=""),"",DATE(YEAR(Settings!$C$6),MONTH(Settings!$C$6)+6,MIN(D28,DAY(EOMONTH(DATE(YEAR(Settings!$C$6),MONTH(Settings!$C$6)+6,1),0)))))</f>
        <v/>
      </c>
      <c r="Q28">
        <f>IF(OR(B28="",D28=""),"",DATE(YEAR(Settings!$C$6),MONTH(Settings!$C$6)+7,MIN(D28,DAY(EOMONTH(DATE(YEAR(Settings!$C$6),MONTH(Settings!$C$6)+7,1),0)))))</f>
        <v/>
      </c>
      <c r="R28">
        <f>IF(OR(B28="",D28=""),"",DATE(YEAR(Settings!$C$6),MONTH(Settings!$C$6)+8,MIN(D28,DAY(EOMONTH(DATE(YEAR(Settings!$C$6),MONTH(Settings!$C$6)+8,1),0)))))</f>
        <v/>
      </c>
      <c r="S28">
        <f>IF(OR(B28="",D28=""),"",DATE(YEAR(Settings!$C$6),MONTH(Settings!$C$6)+9,MIN(D28,DAY(EOMONTH(DATE(YEAR(Settings!$C$6),MONTH(Settings!$C$6)+9,1),0)))))</f>
        <v/>
      </c>
      <c r="T28">
        <f>IF(OR(B28="",D28=""),"",DATE(YEAR(Settings!$C$6),MONTH(Settings!$C$6)+10,MIN(D28,DAY(EOMONTH(DATE(YEAR(Settings!$C$6),MONTH(Settings!$C$6)+10,1),0)))))</f>
        <v/>
      </c>
      <c r="U28">
        <f>IF(OR(B28="",D28=""),"",DATE(YEAR(Settings!$C$6),MONTH(Settings!$C$6)+11,MIN(D28,DAY(EOMONTH(DATE(YEAR(Settings!$C$6),MONTH(Settings!$C$6)+11,1),0)))))</f>
        <v/>
      </c>
      <c r="V28">
        <f>IF(OR(B28="",D28=""),"",DATE(YEAR(Settings!$C$6),MONTH(Settings!$C$6)+12,MIN(D28,DAY(EOMONTH(DATE(YEAR(Settings!$C$6),MONTH(Settings!$C$6)+12,1),0)))))</f>
        <v/>
      </c>
      <c r="W28">
        <f>IF(OR(B28="",D28=""),0,IF(OR(E28="",E28=MONTH(DATE(YEAR(Settings!$C$6),MONTH(Settings!$C$6)+0,1))),N(C28),0))</f>
        <v/>
      </c>
      <c r="X28">
        <f>IF(OR(B28="",D28=""),0,IF(OR(E28="",E28=MONTH(DATE(YEAR(Settings!$C$6),MONTH(Settings!$C$6)+1,1))),N(C28),0))</f>
        <v/>
      </c>
      <c r="Y28">
        <f>IF(OR(B28="",D28=""),0,IF(OR(E28="",E28=MONTH(DATE(YEAR(Settings!$C$6),MONTH(Settings!$C$6)+2,1))),N(C28),0))</f>
        <v/>
      </c>
      <c r="Z28">
        <f>IF(OR(B28="",D28=""),0,IF(OR(E28="",E28=MONTH(DATE(YEAR(Settings!$C$6),MONTH(Settings!$C$6)+3,1))),N(C28),0))</f>
        <v/>
      </c>
      <c r="AA28">
        <f>IF(OR(B28="",D28=""),0,IF(OR(E28="",E28=MONTH(DATE(YEAR(Settings!$C$6),MONTH(Settings!$C$6)+4,1))),N(C28),0))</f>
        <v/>
      </c>
      <c r="AB28">
        <f>IF(OR(B28="",D28=""),0,IF(OR(E28="",E28=MONTH(DATE(YEAR(Settings!$C$6),MONTH(Settings!$C$6)+5,1))),N(C28),0))</f>
        <v/>
      </c>
      <c r="AC28">
        <f>IF(OR(B28="",D28=""),0,IF(OR(E28="",E28=MONTH(DATE(YEAR(Settings!$C$6),MONTH(Settings!$C$6)+6,1))),N(C28),0))</f>
        <v/>
      </c>
      <c r="AD28">
        <f>IF(OR(B28="",D28=""),0,IF(OR(E28="",E28=MONTH(DATE(YEAR(Settings!$C$6),MONTH(Settings!$C$6)+7,1))),N(C28),0))</f>
        <v/>
      </c>
      <c r="AE28">
        <f>IF(OR(B28="",D28=""),0,IF(OR(E28="",E28=MONTH(DATE(YEAR(Settings!$C$6),MONTH(Settings!$C$6)+8,1))),N(C28),0))</f>
        <v/>
      </c>
      <c r="AF28">
        <f>IF(OR(B28="",D28=""),0,IF(OR(E28="",E28=MONTH(DATE(YEAR(Settings!$C$6),MONTH(Settings!$C$6)+9,1))),N(C28),0))</f>
        <v/>
      </c>
      <c r="AG28">
        <f>IF(OR(B28="",D28=""),0,IF(OR(E28="",E28=MONTH(DATE(YEAR(Settings!$C$6),MONTH(Settings!$C$6)+10,1))),N(C28),0))</f>
        <v/>
      </c>
      <c r="AH28">
        <f>IF(OR(B28="",D28=""),0,IF(OR(E28="",E28=MONTH(DATE(YEAR(Settings!$C$6),MONTH(Settings!$C$6)+11,1))),N(C28),0))</f>
        <v/>
      </c>
      <c r="AI28">
        <f>IF(OR(B28="",D28=""),0,IF(OR(E28="",E28=MONTH(DATE(YEAR(Settings!$C$6),MONTH(Settings!$C$6)+12,1))),N(C28),0))</f>
        <v/>
      </c>
      <c r="AJ28">
        <f>IF(B28="","",SUMIFS(J28:V28,J28:V28,"&gt;="&amp;Dashboard!$C$4,J28:V28,"&lt;"&amp;Dashboard!$N$1,W28:AI28,"&gt;0"))</f>
        <v/>
      </c>
      <c r="AK28">
        <f>IF(N(AJ28)=0,"",AJ28+ROW()/100000)</f>
        <v/>
      </c>
    </row>
    <row r="29">
      <c r="A29" s="1" t="n"/>
      <c r="B29" s="27" t="n"/>
      <c r="C29" s="28" t="n"/>
      <c r="D29" s="29" t="n"/>
      <c r="E29" s="29" t="n"/>
      <c r="F29" s="30" t="n"/>
      <c r="G29" s="31" t="n"/>
      <c r="H29" s="30" t="n"/>
      <c r="I29" s="1" t="n"/>
      <c r="J29">
        <f>IF(OR(B29="",D29=""),"",DATE(YEAR(Settings!$C$6),MONTH(Settings!$C$6)+0,MIN(D29,DAY(EOMONTH(DATE(YEAR(Settings!$C$6),MONTH(Settings!$C$6)+0,1),0)))))</f>
        <v/>
      </c>
      <c r="K29">
        <f>IF(OR(B29="",D29=""),"",DATE(YEAR(Settings!$C$6),MONTH(Settings!$C$6)+1,MIN(D29,DAY(EOMONTH(DATE(YEAR(Settings!$C$6),MONTH(Settings!$C$6)+1,1),0)))))</f>
        <v/>
      </c>
      <c r="L29">
        <f>IF(OR(B29="",D29=""),"",DATE(YEAR(Settings!$C$6),MONTH(Settings!$C$6)+2,MIN(D29,DAY(EOMONTH(DATE(YEAR(Settings!$C$6),MONTH(Settings!$C$6)+2,1),0)))))</f>
        <v/>
      </c>
      <c r="M29">
        <f>IF(OR(B29="",D29=""),"",DATE(YEAR(Settings!$C$6),MONTH(Settings!$C$6)+3,MIN(D29,DAY(EOMONTH(DATE(YEAR(Settings!$C$6),MONTH(Settings!$C$6)+3,1),0)))))</f>
        <v/>
      </c>
      <c r="N29">
        <f>IF(OR(B29="",D29=""),"",DATE(YEAR(Settings!$C$6),MONTH(Settings!$C$6)+4,MIN(D29,DAY(EOMONTH(DATE(YEAR(Settings!$C$6),MONTH(Settings!$C$6)+4,1),0)))))</f>
        <v/>
      </c>
      <c r="O29">
        <f>IF(OR(B29="",D29=""),"",DATE(YEAR(Settings!$C$6),MONTH(Settings!$C$6)+5,MIN(D29,DAY(EOMONTH(DATE(YEAR(Settings!$C$6),MONTH(Settings!$C$6)+5,1),0)))))</f>
        <v/>
      </c>
      <c r="P29">
        <f>IF(OR(B29="",D29=""),"",DATE(YEAR(Settings!$C$6),MONTH(Settings!$C$6)+6,MIN(D29,DAY(EOMONTH(DATE(YEAR(Settings!$C$6),MONTH(Settings!$C$6)+6,1),0)))))</f>
        <v/>
      </c>
      <c r="Q29">
        <f>IF(OR(B29="",D29=""),"",DATE(YEAR(Settings!$C$6),MONTH(Settings!$C$6)+7,MIN(D29,DAY(EOMONTH(DATE(YEAR(Settings!$C$6),MONTH(Settings!$C$6)+7,1),0)))))</f>
        <v/>
      </c>
      <c r="R29">
        <f>IF(OR(B29="",D29=""),"",DATE(YEAR(Settings!$C$6),MONTH(Settings!$C$6)+8,MIN(D29,DAY(EOMONTH(DATE(YEAR(Settings!$C$6),MONTH(Settings!$C$6)+8,1),0)))))</f>
        <v/>
      </c>
      <c r="S29">
        <f>IF(OR(B29="",D29=""),"",DATE(YEAR(Settings!$C$6),MONTH(Settings!$C$6)+9,MIN(D29,DAY(EOMONTH(DATE(YEAR(Settings!$C$6),MONTH(Settings!$C$6)+9,1),0)))))</f>
        <v/>
      </c>
      <c r="T29">
        <f>IF(OR(B29="",D29=""),"",DATE(YEAR(Settings!$C$6),MONTH(Settings!$C$6)+10,MIN(D29,DAY(EOMONTH(DATE(YEAR(Settings!$C$6),MONTH(Settings!$C$6)+10,1),0)))))</f>
        <v/>
      </c>
      <c r="U29">
        <f>IF(OR(B29="",D29=""),"",DATE(YEAR(Settings!$C$6),MONTH(Settings!$C$6)+11,MIN(D29,DAY(EOMONTH(DATE(YEAR(Settings!$C$6),MONTH(Settings!$C$6)+11,1),0)))))</f>
        <v/>
      </c>
      <c r="V29">
        <f>IF(OR(B29="",D29=""),"",DATE(YEAR(Settings!$C$6),MONTH(Settings!$C$6)+12,MIN(D29,DAY(EOMONTH(DATE(YEAR(Settings!$C$6),MONTH(Settings!$C$6)+12,1),0)))))</f>
        <v/>
      </c>
      <c r="W29">
        <f>IF(OR(B29="",D29=""),0,IF(OR(E29="",E29=MONTH(DATE(YEAR(Settings!$C$6),MONTH(Settings!$C$6)+0,1))),N(C29),0))</f>
        <v/>
      </c>
      <c r="X29">
        <f>IF(OR(B29="",D29=""),0,IF(OR(E29="",E29=MONTH(DATE(YEAR(Settings!$C$6),MONTH(Settings!$C$6)+1,1))),N(C29),0))</f>
        <v/>
      </c>
      <c r="Y29">
        <f>IF(OR(B29="",D29=""),0,IF(OR(E29="",E29=MONTH(DATE(YEAR(Settings!$C$6),MONTH(Settings!$C$6)+2,1))),N(C29),0))</f>
        <v/>
      </c>
      <c r="Z29">
        <f>IF(OR(B29="",D29=""),0,IF(OR(E29="",E29=MONTH(DATE(YEAR(Settings!$C$6),MONTH(Settings!$C$6)+3,1))),N(C29),0))</f>
        <v/>
      </c>
      <c r="AA29">
        <f>IF(OR(B29="",D29=""),0,IF(OR(E29="",E29=MONTH(DATE(YEAR(Settings!$C$6),MONTH(Settings!$C$6)+4,1))),N(C29),0))</f>
        <v/>
      </c>
      <c r="AB29">
        <f>IF(OR(B29="",D29=""),0,IF(OR(E29="",E29=MONTH(DATE(YEAR(Settings!$C$6),MONTH(Settings!$C$6)+5,1))),N(C29),0))</f>
        <v/>
      </c>
      <c r="AC29">
        <f>IF(OR(B29="",D29=""),0,IF(OR(E29="",E29=MONTH(DATE(YEAR(Settings!$C$6),MONTH(Settings!$C$6)+6,1))),N(C29),0))</f>
        <v/>
      </c>
      <c r="AD29">
        <f>IF(OR(B29="",D29=""),0,IF(OR(E29="",E29=MONTH(DATE(YEAR(Settings!$C$6),MONTH(Settings!$C$6)+7,1))),N(C29),0))</f>
        <v/>
      </c>
      <c r="AE29">
        <f>IF(OR(B29="",D29=""),0,IF(OR(E29="",E29=MONTH(DATE(YEAR(Settings!$C$6),MONTH(Settings!$C$6)+8,1))),N(C29),0))</f>
        <v/>
      </c>
      <c r="AF29">
        <f>IF(OR(B29="",D29=""),0,IF(OR(E29="",E29=MONTH(DATE(YEAR(Settings!$C$6),MONTH(Settings!$C$6)+9,1))),N(C29),0))</f>
        <v/>
      </c>
      <c r="AG29">
        <f>IF(OR(B29="",D29=""),0,IF(OR(E29="",E29=MONTH(DATE(YEAR(Settings!$C$6),MONTH(Settings!$C$6)+10,1))),N(C29),0))</f>
        <v/>
      </c>
      <c r="AH29">
        <f>IF(OR(B29="",D29=""),0,IF(OR(E29="",E29=MONTH(DATE(YEAR(Settings!$C$6),MONTH(Settings!$C$6)+11,1))),N(C29),0))</f>
        <v/>
      </c>
      <c r="AI29">
        <f>IF(OR(B29="",D29=""),0,IF(OR(E29="",E29=MONTH(DATE(YEAR(Settings!$C$6),MONTH(Settings!$C$6)+12,1))),N(C29),0))</f>
        <v/>
      </c>
      <c r="AJ29">
        <f>IF(B29="","",SUMIFS(J29:V29,J29:V29,"&gt;="&amp;Dashboard!$C$4,J29:V29,"&lt;"&amp;Dashboard!$N$1,W29:AI29,"&gt;0"))</f>
        <v/>
      </c>
      <c r="AK29">
        <f>IF(N(AJ29)=0,"",AJ29+ROW()/100000)</f>
        <v/>
      </c>
    </row>
    <row r="30">
      <c r="A30" s="1" t="n"/>
      <c r="B30" s="27" t="n"/>
      <c r="C30" s="28" t="n"/>
      <c r="D30" s="29" t="n"/>
      <c r="E30" s="29" t="n"/>
      <c r="F30" s="30" t="n"/>
      <c r="G30" s="31" t="n"/>
      <c r="H30" s="30" t="n"/>
      <c r="I30" s="1" t="n"/>
      <c r="J30">
        <f>IF(OR(B30="",D30=""),"",DATE(YEAR(Settings!$C$6),MONTH(Settings!$C$6)+0,MIN(D30,DAY(EOMONTH(DATE(YEAR(Settings!$C$6),MONTH(Settings!$C$6)+0,1),0)))))</f>
        <v/>
      </c>
      <c r="K30">
        <f>IF(OR(B30="",D30=""),"",DATE(YEAR(Settings!$C$6),MONTH(Settings!$C$6)+1,MIN(D30,DAY(EOMONTH(DATE(YEAR(Settings!$C$6),MONTH(Settings!$C$6)+1,1),0)))))</f>
        <v/>
      </c>
      <c r="L30">
        <f>IF(OR(B30="",D30=""),"",DATE(YEAR(Settings!$C$6),MONTH(Settings!$C$6)+2,MIN(D30,DAY(EOMONTH(DATE(YEAR(Settings!$C$6),MONTH(Settings!$C$6)+2,1),0)))))</f>
        <v/>
      </c>
      <c r="M30">
        <f>IF(OR(B30="",D30=""),"",DATE(YEAR(Settings!$C$6),MONTH(Settings!$C$6)+3,MIN(D30,DAY(EOMONTH(DATE(YEAR(Settings!$C$6),MONTH(Settings!$C$6)+3,1),0)))))</f>
        <v/>
      </c>
      <c r="N30">
        <f>IF(OR(B30="",D30=""),"",DATE(YEAR(Settings!$C$6),MONTH(Settings!$C$6)+4,MIN(D30,DAY(EOMONTH(DATE(YEAR(Settings!$C$6),MONTH(Settings!$C$6)+4,1),0)))))</f>
        <v/>
      </c>
      <c r="O30">
        <f>IF(OR(B30="",D30=""),"",DATE(YEAR(Settings!$C$6),MONTH(Settings!$C$6)+5,MIN(D30,DAY(EOMONTH(DATE(YEAR(Settings!$C$6),MONTH(Settings!$C$6)+5,1),0)))))</f>
        <v/>
      </c>
      <c r="P30">
        <f>IF(OR(B30="",D30=""),"",DATE(YEAR(Settings!$C$6),MONTH(Settings!$C$6)+6,MIN(D30,DAY(EOMONTH(DATE(YEAR(Settings!$C$6),MONTH(Settings!$C$6)+6,1),0)))))</f>
        <v/>
      </c>
      <c r="Q30">
        <f>IF(OR(B30="",D30=""),"",DATE(YEAR(Settings!$C$6),MONTH(Settings!$C$6)+7,MIN(D30,DAY(EOMONTH(DATE(YEAR(Settings!$C$6),MONTH(Settings!$C$6)+7,1),0)))))</f>
        <v/>
      </c>
      <c r="R30">
        <f>IF(OR(B30="",D30=""),"",DATE(YEAR(Settings!$C$6),MONTH(Settings!$C$6)+8,MIN(D30,DAY(EOMONTH(DATE(YEAR(Settings!$C$6),MONTH(Settings!$C$6)+8,1),0)))))</f>
        <v/>
      </c>
      <c r="S30">
        <f>IF(OR(B30="",D30=""),"",DATE(YEAR(Settings!$C$6),MONTH(Settings!$C$6)+9,MIN(D30,DAY(EOMONTH(DATE(YEAR(Settings!$C$6),MONTH(Settings!$C$6)+9,1),0)))))</f>
        <v/>
      </c>
      <c r="T30">
        <f>IF(OR(B30="",D30=""),"",DATE(YEAR(Settings!$C$6),MONTH(Settings!$C$6)+10,MIN(D30,DAY(EOMONTH(DATE(YEAR(Settings!$C$6),MONTH(Settings!$C$6)+10,1),0)))))</f>
        <v/>
      </c>
      <c r="U30">
        <f>IF(OR(B30="",D30=""),"",DATE(YEAR(Settings!$C$6),MONTH(Settings!$C$6)+11,MIN(D30,DAY(EOMONTH(DATE(YEAR(Settings!$C$6),MONTH(Settings!$C$6)+11,1),0)))))</f>
        <v/>
      </c>
      <c r="V30">
        <f>IF(OR(B30="",D30=""),"",DATE(YEAR(Settings!$C$6),MONTH(Settings!$C$6)+12,MIN(D30,DAY(EOMONTH(DATE(YEAR(Settings!$C$6),MONTH(Settings!$C$6)+12,1),0)))))</f>
        <v/>
      </c>
      <c r="W30">
        <f>IF(OR(B30="",D30=""),0,IF(OR(E30="",E30=MONTH(DATE(YEAR(Settings!$C$6),MONTH(Settings!$C$6)+0,1))),N(C30),0))</f>
        <v/>
      </c>
      <c r="X30">
        <f>IF(OR(B30="",D30=""),0,IF(OR(E30="",E30=MONTH(DATE(YEAR(Settings!$C$6),MONTH(Settings!$C$6)+1,1))),N(C30),0))</f>
        <v/>
      </c>
      <c r="Y30">
        <f>IF(OR(B30="",D30=""),0,IF(OR(E30="",E30=MONTH(DATE(YEAR(Settings!$C$6),MONTH(Settings!$C$6)+2,1))),N(C30),0))</f>
        <v/>
      </c>
      <c r="Z30">
        <f>IF(OR(B30="",D30=""),0,IF(OR(E30="",E30=MONTH(DATE(YEAR(Settings!$C$6),MONTH(Settings!$C$6)+3,1))),N(C30),0))</f>
        <v/>
      </c>
      <c r="AA30">
        <f>IF(OR(B30="",D30=""),0,IF(OR(E30="",E30=MONTH(DATE(YEAR(Settings!$C$6),MONTH(Settings!$C$6)+4,1))),N(C30),0))</f>
        <v/>
      </c>
      <c r="AB30">
        <f>IF(OR(B30="",D30=""),0,IF(OR(E30="",E30=MONTH(DATE(YEAR(Settings!$C$6),MONTH(Settings!$C$6)+5,1))),N(C30),0))</f>
        <v/>
      </c>
      <c r="AC30">
        <f>IF(OR(B30="",D30=""),0,IF(OR(E30="",E30=MONTH(DATE(YEAR(Settings!$C$6),MONTH(Settings!$C$6)+6,1))),N(C30),0))</f>
        <v/>
      </c>
      <c r="AD30">
        <f>IF(OR(B30="",D30=""),0,IF(OR(E30="",E30=MONTH(DATE(YEAR(Settings!$C$6),MONTH(Settings!$C$6)+7,1))),N(C30),0))</f>
        <v/>
      </c>
      <c r="AE30">
        <f>IF(OR(B30="",D30=""),0,IF(OR(E30="",E30=MONTH(DATE(YEAR(Settings!$C$6),MONTH(Settings!$C$6)+8,1))),N(C30),0))</f>
        <v/>
      </c>
      <c r="AF30">
        <f>IF(OR(B30="",D30=""),0,IF(OR(E30="",E30=MONTH(DATE(YEAR(Settings!$C$6),MONTH(Settings!$C$6)+9,1))),N(C30),0))</f>
        <v/>
      </c>
      <c r="AG30">
        <f>IF(OR(B30="",D30=""),0,IF(OR(E30="",E30=MONTH(DATE(YEAR(Settings!$C$6),MONTH(Settings!$C$6)+10,1))),N(C30),0))</f>
        <v/>
      </c>
      <c r="AH30">
        <f>IF(OR(B30="",D30=""),0,IF(OR(E30="",E30=MONTH(DATE(YEAR(Settings!$C$6),MONTH(Settings!$C$6)+11,1))),N(C30),0))</f>
        <v/>
      </c>
      <c r="AI30">
        <f>IF(OR(B30="",D30=""),0,IF(OR(E30="",E30=MONTH(DATE(YEAR(Settings!$C$6),MONTH(Settings!$C$6)+12,1))),N(C30),0))</f>
        <v/>
      </c>
      <c r="AJ30">
        <f>IF(B30="","",SUMIFS(J30:V30,J30:V30,"&gt;="&amp;Dashboard!$C$4,J30:V30,"&lt;"&amp;Dashboard!$N$1,W30:AI30,"&gt;0"))</f>
        <v/>
      </c>
      <c r="AK30">
        <f>IF(N(AJ30)=0,"",AJ30+ROW()/100000)</f>
        <v/>
      </c>
    </row>
    <row r="31">
      <c r="A31" s="1" t="n"/>
      <c r="B31" s="27" t="n"/>
      <c r="C31" s="28" t="n"/>
      <c r="D31" s="29" t="n"/>
      <c r="E31" s="29" t="n"/>
      <c r="F31" s="30" t="n"/>
      <c r="G31" s="31" t="n"/>
      <c r="H31" s="30" t="n"/>
      <c r="I31" s="1" t="n"/>
      <c r="J31">
        <f>IF(OR(B31="",D31=""),"",DATE(YEAR(Settings!$C$6),MONTH(Settings!$C$6)+0,MIN(D31,DAY(EOMONTH(DATE(YEAR(Settings!$C$6),MONTH(Settings!$C$6)+0,1),0)))))</f>
        <v/>
      </c>
      <c r="K31">
        <f>IF(OR(B31="",D31=""),"",DATE(YEAR(Settings!$C$6),MONTH(Settings!$C$6)+1,MIN(D31,DAY(EOMONTH(DATE(YEAR(Settings!$C$6),MONTH(Settings!$C$6)+1,1),0)))))</f>
        <v/>
      </c>
      <c r="L31">
        <f>IF(OR(B31="",D31=""),"",DATE(YEAR(Settings!$C$6),MONTH(Settings!$C$6)+2,MIN(D31,DAY(EOMONTH(DATE(YEAR(Settings!$C$6),MONTH(Settings!$C$6)+2,1),0)))))</f>
        <v/>
      </c>
      <c r="M31">
        <f>IF(OR(B31="",D31=""),"",DATE(YEAR(Settings!$C$6),MONTH(Settings!$C$6)+3,MIN(D31,DAY(EOMONTH(DATE(YEAR(Settings!$C$6),MONTH(Settings!$C$6)+3,1),0)))))</f>
        <v/>
      </c>
      <c r="N31">
        <f>IF(OR(B31="",D31=""),"",DATE(YEAR(Settings!$C$6),MONTH(Settings!$C$6)+4,MIN(D31,DAY(EOMONTH(DATE(YEAR(Settings!$C$6),MONTH(Settings!$C$6)+4,1),0)))))</f>
        <v/>
      </c>
      <c r="O31">
        <f>IF(OR(B31="",D31=""),"",DATE(YEAR(Settings!$C$6),MONTH(Settings!$C$6)+5,MIN(D31,DAY(EOMONTH(DATE(YEAR(Settings!$C$6),MONTH(Settings!$C$6)+5,1),0)))))</f>
        <v/>
      </c>
      <c r="P31">
        <f>IF(OR(B31="",D31=""),"",DATE(YEAR(Settings!$C$6),MONTH(Settings!$C$6)+6,MIN(D31,DAY(EOMONTH(DATE(YEAR(Settings!$C$6),MONTH(Settings!$C$6)+6,1),0)))))</f>
        <v/>
      </c>
      <c r="Q31">
        <f>IF(OR(B31="",D31=""),"",DATE(YEAR(Settings!$C$6),MONTH(Settings!$C$6)+7,MIN(D31,DAY(EOMONTH(DATE(YEAR(Settings!$C$6),MONTH(Settings!$C$6)+7,1),0)))))</f>
        <v/>
      </c>
      <c r="R31">
        <f>IF(OR(B31="",D31=""),"",DATE(YEAR(Settings!$C$6),MONTH(Settings!$C$6)+8,MIN(D31,DAY(EOMONTH(DATE(YEAR(Settings!$C$6),MONTH(Settings!$C$6)+8,1),0)))))</f>
        <v/>
      </c>
      <c r="S31">
        <f>IF(OR(B31="",D31=""),"",DATE(YEAR(Settings!$C$6),MONTH(Settings!$C$6)+9,MIN(D31,DAY(EOMONTH(DATE(YEAR(Settings!$C$6),MONTH(Settings!$C$6)+9,1),0)))))</f>
        <v/>
      </c>
      <c r="T31">
        <f>IF(OR(B31="",D31=""),"",DATE(YEAR(Settings!$C$6),MONTH(Settings!$C$6)+10,MIN(D31,DAY(EOMONTH(DATE(YEAR(Settings!$C$6),MONTH(Settings!$C$6)+10,1),0)))))</f>
        <v/>
      </c>
      <c r="U31">
        <f>IF(OR(B31="",D31=""),"",DATE(YEAR(Settings!$C$6),MONTH(Settings!$C$6)+11,MIN(D31,DAY(EOMONTH(DATE(YEAR(Settings!$C$6),MONTH(Settings!$C$6)+11,1),0)))))</f>
        <v/>
      </c>
      <c r="V31">
        <f>IF(OR(B31="",D31=""),"",DATE(YEAR(Settings!$C$6),MONTH(Settings!$C$6)+12,MIN(D31,DAY(EOMONTH(DATE(YEAR(Settings!$C$6),MONTH(Settings!$C$6)+12,1),0)))))</f>
        <v/>
      </c>
      <c r="W31">
        <f>IF(OR(B31="",D31=""),0,IF(OR(E31="",E31=MONTH(DATE(YEAR(Settings!$C$6),MONTH(Settings!$C$6)+0,1))),N(C31),0))</f>
        <v/>
      </c>
      <c r="X31">
        <f>IF(OR(B31="",D31=""),0,IF(OR(E31="",E31=MONTH(DATE(YEAR(Settings!$C$6),MONTH(Settings!$C$6)+1,1))),N(C31),0))</f>
        <v/>
      </c>
      <c r="Y31">
        <f>IF(OR(B31="",D31=""),0,IF(OR(E31="",E31=MONTH(DATE(YEAR(Settings!$C$6),MONTH(Settings!$C$6)+2,1))),N(C31),0))</f>
        <v/>
      </c>
      <c r="Z31">
        <f>IF(OR(B31="",D31=""),0,IF(OR(E31="",E31=MONTH(DATE(YEAR(Settings!$C$6),MONTH(Settings!$C$6)+3,1))),N(C31),0))</f>
        <v/>
      </c>
      <c r="AA31">
        <f>IF(OR(B31="",D31=""),0,IF(OR(E31="",E31=MONTH(DATE(YEAR(Settings!$C$6),MONTH(Settings!$C$6)+4,1))),N(C31),0))</f>
        <v/>
      </c>
      <c r="AB31">
        <f>IF(OR(B31="",D31=""),0,IF(OR(E31="",E31=MONTH(DATE(YEAR(Settings!$C$6),MONTH(Settings!$C$6)+5,1))),N(C31),0))</f>
        <v/>
      </c>
      <c r="AC31">
        <f>IF(OR(B31="",D31=""),0,IF(OR(E31="",E31=MONTH(DATE(YEAR(Settings!$C$6),MONTH(Settings!$C$6)+6,1))),N(C31),0))</f>
        <v/>
      </c>
      <c r="AD31">
        <f>IF(OR(B31="",D31=""),0,IF(OR(E31="",E31=MONTH(DATE(YEAR(Settings!$C$6),MONTH(Settings!$C$6)+7,1))),N(C31),0))</f>
        <v/>
      </c>
      <c r="AE31">
        <f>IF(OR(B31="",D31=""),0,IF(OR(E31="",E31=MONTH(DATE(YEAR(Settings!$C$6),MONTH(Settings!$C$6)+8,1))),N(C31),0))</f>
        <v/>
      </c>
      <c r="AF31">
        <f>IF(OR(B31="",D31=""),0,IF(OR(E31="",E31=MONTH(DATE(YEAR(Settings!$C$6),MONTH(Settings!$C$6)+9,1))),N(C31),0))</f>
        <v/>
      </c>
      <c r="AG31">
        <f>IF(OR(B31="",D31=""),0,IF(OR(E31="",E31=MONTH(DATE(YEAR(Settings!$C$6),MONTH(Settings!$C$6)+10,1))),N(C31),0))</f>
        <v/>
      </c>
      <c r="AH31">
        <f>IF(OR(B31="",D31=""),0,IF(OR(E31="",E31=MONTH(DATE(YEAR(Settings!$C$6),MONTH(Settings!$C$6)+11,1))),N(C31),0))</f>
        <v/>
      </c>
      <c r="AI31">
        <f>IF(OR(B31="",D31=""),0,IF(OR(E31="",E31=MONTH(DATE(YEAR(Settings!$C$6),MONTH(Settings!$C$6)+12,1))),N(C31),0))</f>
        <v/>
      </c>
      <c r="AJ31">
        <f>IF(B31="","",SUMIFS(J31:V31,J31:V31,"&gt;="&amp;Dashboard!$C$4,J31:V31,"&lt;"&amp;Dashboard!$N$1,W31:AI31,"&gt;0"))</f>
        <v/>
      </c>
      <c r="AK31">
        <f>IF(N(AJ31)=0,"",AJ31+ROW()/100000)</f>
        <v/>
      </c>
    </row>
    <row r="32">
      <c r="A32" s="1" t="n"/>
      <c r="B32" s="27" t="n"/>
      <c r="C32" s="28" t="n"/>
      <c r="D32" s="29" t="n"/>
      <c r="E32" s="29" t="n"/>
      <c r="F32" s="30" t="n"/>
      <c r="G32" s="31" t="n"/>
      <c r="H32" s="30" t="n"/>
      <c r="I32" s="1" t="n"/>
      <c r="J32">
        <f>IF(OR(B32="",D32=""),"",DATE(YEAR(Settings!$C$6),MONTH(Settings!$C$6)+0,MIN(D32,DAY(EOMONTH(DATE(YEAR(Settings!$C$6),MONTH(Settings!$C$6)+0,1),0)))))</f>
        <v/>
      </c>
      <c r="K32">
        <f>IF(OR(B32="",D32=""),"",DATE(YEAR(Settings!$C$6),MONTH(Settings!$C$6)+1,MIN(D32,DAY(EOMONTH(DATE(YEAR(Settings!$C$6),MONTH(Settings!$C$6)+1,1),0)))))</f>
        <v/>
      </c>
      <c r="L32">
        <f>IF(OR(B32="",D32=""),"",DATE(YEAR(Settings!$C$6),MONTH(Settings!$C$6)+2,MIN(D32,DAY(EOMONTH(DATE(YEAR(Settings!$C$6),MONTH(Settings!$C$6)+2,1),0)))))</f>
        <v/>
      </c>
      <c r="M32">
        <f>IF(OR(B32="",D32=""),"",DATE(YEAR(Settings!$C$6),MONTH(Settings!$C$6)+3,MIN(D32,DAY(EOMONTH(DATE(YEAR(Settings!$C$6),MONTH(Settings!$C$6)+3,1),0)))))</f>
        <v/>
      </c>
      <c r="N32">
        <f>IF(OR(B32="",D32=""),"",DATE(YEAR(Settings!$C$6),MONTH(Settings!$C$6)+4,MIN(D32,DAY(EOMONTH(DATE(YEAR(Settings!$C$6),MONTH(Settings!$C$6)+4,1),0)))))</f>
        <v/>
      </c>
      <c r="O32">
        <f>IF(OR(B32="",D32=""),"",DATE(YEAR(Settings!$C$6),MONTH(Settings!$C$6)+5,MIN(D32,DAY(EOMONTH(DATE(YEAR(Settings!$C$6),MONTH(Settings!$C$6)+5,1),0)))))</f>
        <v/>
      </c>
      <c r="P32">
        <f>IF(OR(B32="",D32=""),"",DATE(YEAR(Settings!$C$6),MONTH(Settings!$C$6)+6,MIN(D32,DAY(EOMONTH(DATE(YEAR(Settings!$C$6),MONTH(Settings!$C$6)+6,1),0)))))</f>
        <v/>
      </c>
      <c r="Q32">
        <f>IF(OR(B32="",D32=""),"",DATE(YEAR(Settings!$C$6),MONTH(Settings!$C$6)+7,MIN(D32,DAY(EOMONTH(DATE(YEAR(Settings!$C$6),MONTH(Settings!$C$6)+7,1),0)))))</f>
        <v/>
      </c>
      <c r="R32">
        <f>IF(OR(B32="",D32=""),"",DATE(YEAR(Settings!$C$6),MONTH(Settings!$C$6)+8,MIN(D32,DAY(EOMONTH(DATE(YEAR(Settings!$C$6),MONTH(Settings!$C$6)+8,1),0)))))</f>
        <v/>
      </c>
      <c r="S32">
        <f>IF(OR(B32="",D32=""),"",DATE(YEAR(Settings!$C$6),MONTH(Settings!$C$6)+9,MIN(D32,DAY(EOMONTH(DATE(YEAR(Settings!$C$6),MONTH(Settings!$C$6)+9,1),0)))))</f>
        <v/>
      </c>
      <c r="T32">
        <f>IF(OR(B32="",D32=""),"",DATE(YEAR(Settings!$C$6),MONTH(Settings!$C$6)+10,MIN(D32,DAY(EOMONTH(DATE(YEAR(Settings!$C$6),MONTH(Settings!$C$6)+10,1),0)))))</f>
        <v/>
      </c>
      <c r="U32">
        <f>IF(OR(B32="",D32=""),"",DATE(YEAR(Settings!$C$6),MONTH(Settings!$C$6)+11,MIN(D32,DAY(EOMONTH(DATE(YEAR(Settings!$C$6),MONTH(Settings!$C$6)+11,1),0)))))</f>
        <v/>
      </c>
      <c r="V32">
        <f>IF(OR(B32="",D32=""),"",DATE(YEAR(Settings!$C$6),MONTH(Settings!$C$6)+12,MIN(D32,DAY(EOMONTH(DATE(YEAR(Settings!$C$6),MONTH(Settings!$C$6)+12,1),0)))))</f>
        <v/>
      </c>
      <c r="W32">
        <f>IF(OR(B32="",D32=""),0,IF(OR(E32="",E32=MONTH(DATE(YEAR(Settings!$C$6),MONTH(Settings!$C$6)+0,1))),N(C32),0))</f>
        <v/>
      </c>
      <c r="X32">
        <f>IF(OR(B32="",D32=""),0,IF(OR(E32="",E32=MONTH(DATE(YEAR(Settings!$C$6),MONTH(Settings!$C$6)+1,1))),N(C32),0))</f>
        <v/>
      </c>
      <c r="Y32">
        <f>IF(OR(B32="",D32=""),0,IF(OR(E32="",E32=MONTH(DATE(YEAR(Settings!$C$6),MONTH(Settings!$C$6)+2,1))),N(C32),0))</f>
        <v/>
      </c>
      <c r="Z32">
        <f>IF(OR(B32="",D32=""),0,IF(OR(E32="",E32=MONTH(DATE(YEAR(Settings!$C$6),MONTH(Settings!$C$6)+3,1))),N(C32),0))</f>
        <v/>
      </c>
      <c r="AA32">
        <f>IF(OR(B32="",D32=""),0,IF(OR(E32="",E32=MONTH(DATE(YEAR(Settings!$C$6),MONTH(Settings!$C$6)+4,1))),N(C32),0))</f>
        <v/>
      </c>
      <c r="AB32">
        <f>IF(OR(B32="",D32=""),0,IF(OR(E32="",E32=MONTH(DATE(YEAR(Settings!$C$6),MONTH(Settings!$C$6)+5,1))),N(C32),0))</f>
        <v/>
      </c>
      <c r="AC32">
        <f>IF(OR(B32="",D32=""),0,IF(OR(E32="",E32=MONTH(DATE(YEAR(Settings!$C$6),MONTH(Settings!$C$6)+6,1))),N(C32),0))</f>
        <v/>
      </c>
      <c r="AD32">
        <f>IF(OR(B32="",D32=""),0,IF(OR(E32="",E32=MONTH(DATE(YEAR(Settings!$C$6),MONTH(Settings!$C$6)+7,1))),N(C32),0))</f>
        <v/>
      </c>
      <c r="AE32">
        <f>IF(OR(B32="",D32=""),0,IF(OR(E32="",E32=MONTH(DATE(YEAR(Settings!$C$6),MONTH(Settings!$C$6)+8,1))),N(C32),0))</f>
        <v/>
      </c>
      <c r="AF32">
        <f>IF(OR(B32="",D32=""),0,IF(OR(E32="",E32=MONTH(DATE(YEAR(Settings!$C$6),MONTH(Settings!$C$6)+9,1))),N(C32),0))</f>
        <v/>
      </c>
      <c r="AG32">
        <f>IF(OR(B32="",D32=""),0,IF(OR(E32="",E32=MONTH(DATE(YEAR(Settings!$C$6),MONTH(Settings!$C$6)+10,1))),N(C32),0))</f>
        <v/>
      </c>
      <c r="AH32">
        <f>IF(OR(B32="",D32=""),0,IF(OR(E32="",E32=MONTH(DATE(YEAR(Settings!$C$6),MONTH(Settings!$C$6)+11,1))),N(C32),0))</f>
        <v/>
      </c>
      <c r="AI32">
        <f>IF(OR(B32="",D32=""),0,IF(OR(E32="",E32=MONTH(DATE(YEAR(Settings!$C$6),MONTH(Settings!$C$6)+12,1))),N(C32),0))</f>
        <v/>
      </c>
      <c r="AJ32">
        <f>IF(B32="","",SUMIFS(J32:V32,J32:V32,"&gt;="&amp;Dashboard!$C$4,J32:V32,"&lt;"&amp;Dashboard!$N$1,W32:AI32,"&gt;0"))</f>
        <v/>
      </c>
      <c r="AK32">
        <f>IF(N(AJ32)=0,"",AJ32+ROW()/100000)</f>
        <v/>
      </c>
    </row>
    <row r="33">
      <c r="A33" s="1" t="n"/>
      <c r="B33" s="27" t="n"/>
      <c r="C33" s="28" t="n"/>
      <c r="D33" s="29" t="n"/>
      <c r="E33" s="29" t="n"/>
      <c r="F33" s="30" t="n"/>
      <c r="G33" s="31" t="n"/>
      <c r="H33" s="30" t="n"/>
      <c r="I33" s="1" t="n"/>
      <c r="J33">
        <f>IF(OR(B33="",D33=""),"",DATE(YEAR(Settings!$C$6),MONTH(Settings!$C$6)+0,MIN(D33,DAY(EOMONTH(DATE(YEAR(Settings!$C$6),MONTH(Settings!$C$6)+0,1),0)))))</f>
        <v/>
      </c>
      <c r="K33">
        <f>IF(OR(B33="",D33=""),"",DATE(YEAR(Settings!$C$6),MONTH(Settings!$C$6)+1,MIN(D33,DAY(EOMONTH(DATE(YEAR(Settings!$C$6),MONTH(Settings!$C$6)+1,1),0)))))</f>
        <v/>
      </c>
      <c r="L33">
        <f>IF(OR(B33="",D33=""),"",DATE(YEAR(Settings!$C$6),MONTH(Settings!$C$6)+2,MIN(D33,DAY(EOMONTH(DATE(YEAR(Settings!$C$6),MONTH(Settings!$C$6)+2,1),0)))))</f>
        <v/>
      </c>
      <c r="M33">
        <f>IF(OR(B33="",D33=""),"",DATE(YEAR(Settings!$C$6),MONTH(Settings!$C$6)+3,MIN(D33,DAY(EOMONTH(DATE(YEAR(Settings!$C$6),MONTH(Settings!$C$6)+3,1),0)))))</f>
        <v/>
      </c>
      <c r="N33">
        <f>IF(OR(B33="",D33=""),"",DATE(YEAR(Settings!$C$6),MONTH(Settings!$C$6)+4,MIN(D33,DAY(EOMONTH(DATE(YEAR(Settings!$C$6),MONTH(Settings!$C$6)+4,1),0)))))</f>
        <v/>
      </c>
      <c r="O33">
        <f>IF(OR(B33="",D33=""),"",DATE(YEAR(Settings!$C$6),MONTH(Settings!$C$6)+5,MIN(D33,DAY(EOMONTH(DATE(YEAR(Settings!$C$6),MONTH(Settings!$C$6)+5,1),0)))))</f>
        <v/>
      </c>
      <c r="P33">
        <f>IF(OR(B33="",D33=""),"",DATE(YEAR(Settings!$C$6),MONTH(Settings!$C$6)+6,MIN(D33,DAY(EOMONTH(DATE(YEAR(Settings!$C$6),MONTH(Settings!$C$6)+6,1),0)))))</f>
        <v/>
      </c>
      <c r="Q33">
        <f>IF(OR(B33="",D33=""),"",DATE(YEAR(Settings!$C$6),MONTH(Settings!$C$6)+7,MIN(D33,DAY(EOMONTH(DATE(YEAR(Settings!$C$6),MONTH(Settings!$C$6)+7,1),0)))))</f>
        <v/>
      </c>
      <c r="R33">
        <f>IF(OR(B33="",D33=""),"",DATE(YEAR(Settings!$C$6),MONTH(Settings!$C$6)+8,MIN(D33,DAY(EOMONTH(DATE(YEAR(Settings!$C$6),MONTH(Settings!$C$6)+8,1),0)))))</f>
        <v/>
      </c>
      <c r="S33">
        <f>IF(OR(B33="",D33=""),"",DATE(YEAR(Settings!$C$6),MONTH(Settings!$C$6)+9,MIN(D33,DAY(EOMONTH(DATE(YEAR(Settings!$C$6),MONTH(Settings!$C$6)+9,1),0)))))</f>
        <v/>
      </c>
      <c r="T33">
        <f>IF(OR(B33="",D33=""),"",DATE(YEAR(Settings!$C$6),MONTH(Settings!$C$6)+10,MIN(D33,DAY(EOMONTH(DATE(YEAR(Settings!$C$6),MONTH(Settings!$C$6)+10,1),0)))))</f>
        <v/>
      </c>
      <c r="U33">
        <f>IF(OR(B33="",D33=""),"",DATE(YEAR(Settings!$C$6),MONTH(Settings!$C$6)+11,MIN(D33,DAY(EOMONTH(DATE(YEAR(Settings!$C$6),MONTH(Settings!$C$6)+11,1),0)))))</f>
        <v/>
      </c>
      <c r="V33">
        <f>IF(OR(B33="",D33=""),"",DATE(YEAR(Settings!$C$6),MONTH(Settings!$C$6)+12,MIN(D33,DAY(EOMONTH(DATE(YEAR(Settings!$C$6),MONTH(Settings!$C$6)+12,1),0)))))</f>
        <v/>
      </c>
      <c r="W33">
        <f>IF(OR(B33="",D33=""),0,IF(OR(E33="",E33=MONTH(DATE(YEAR(Settings!$C$6),MONTH(Settings!$C$6)+0,1))),N(C33),0))</f>
        <v/>
      </c>
      <c r="X33">
        <f>IF(OR(B33="",D33=""),0,IF(OR(E33="",E33=MONTH(DATE(YEAR(Settings!$C$6),MONTH(Settings!$C$6)+1,1))),N(C33),0))</f>
        <v/>
      </c>
      <c r="Y33">
        <f>IF(OR(B33="",D33=""),0,IF(OR(E33="",E33=MONTH(DATE(YEAR(Settings!$C$6),MONTH(Settings!$C$6)+2,1))),N(C33),0))</f>
        <v/>
      </c>
      <c r="Z33">
        <f>IF(OR(B33="",D33=""),0,IF(OR(E33="",E33=MONTH(DATE(YEAR(Settings!$C$6),MONTH(Settings!$C$6)+3,1))),N(C33),0))</f>
        <v/>
      </c>
      <c r="AA33">
        <f>IF(OR(B33="",D33=""),0,IF(OR(E33="",E33=MONTH(DATE(YEAR(Settings!$C$6),MONTH(Settings!$C$6)+4,1))),N(C33),0))</f>
        <v/>
      </c>
      <c r="AB33">
        <f>IF(OR(B33="",D33=""),0,IF(OR(E33="",E33=MONTH(DATE(YEAR(Settings!$C$6),MONTH(Settings!$C$6)+5,1))),N(C33),0))</f>
        <v/>
      </c>
      <c r="AC33">
        <f>IF(OR(B33="",D33=""),0,IF(OR(E33="",E33=MONTH(DATE(YEAR(Settings!$C$6),MONTH(Settings!$C$6)+6,1))),N(C33),0))</f>
        <v/>
      </c>
      <c r="AD33">
        <f>IF(OR(B33="",D33=""),0,IF(OR(E33="",E33=MONTH(DATE(YEAR(Settings!$C$6),MONTH(Settings!$C$6)+7,1))),N(C33),0))</f>
        <v/>
      </c>
      <c r="AE33">
        <f>IF(OR(B33="",D33=""),0,IF(OR(E33="",E33=MONTH(DATE(YEAR(Settings!$C$6),MONTH(Settings!$C$6)+8,1))),N(C33),0))</f>
        <v/>
      </c>
      <c r="AF33">
        <f>IF(OR(B33="",D33=""),0,IF(OR(E33="",E33=MONTH(DATE(YEAR(Settings!$C$6),MONTH(Settings!$C$6)+9,1))),N(C33),0))</f>
        <v/>
      </c>
      <c r="AG33">
        <f>IF(OR(B33="",D33=""),0,IF(OR(E33="",E33=MONTH(DATE(YEAR(Settings!$C$6),MONTH(Settings!$C$6)+10,1))),N(C33),0))</f>
        <v/>
      </c>
      <c r="AH33">
        <f>IF(OR(B33="",D33=""),0,IF(OR(E33="",E33=MONTH(DATE(YEAR(Settings!$C$6),MONTH(Settings!$C$6)+11,1))),N(C33),0))</f>
        <v/>
      </c>
      <c r="AI33">
        <f>IF(OR(B33="",D33=""),0,IF(OR(E33="",E33=MONTH(DATE(YEAR(Settings!$C$6),MONTH(Settings!$C$6)+12,1))),N(C33),0))</f>
        <v/>
      </c>
      <c r="AJ33">
        <f>IF(B33="","",SUMIFS(J33:V33,J33:V33,"&gt;="&amp;Dashboard!$C$4,J33:V33,"&lt;"&amp;Dashboard!$N$1,W33:AI33,"&gt;0"))</f>
        <v/>
      </c>
      <c r="AK33">
        <f>IF(N(AJ33)=0,"",AJ33+ROW()/100000)</f>
        <v/>
      </c>
    </row>
    <row r="34">
      <c r="A34" s="1" t="n"/>
      <c r="B34" s="27" t="n"/>
      <c r="C34" s="28" t="n"/>
      <c r="D34" s="29" t="n"/>
      <c r="E34" s="29" t="n"/>
      <c r="F34" s="30" t="n"/>
      <c r="G34" s="31" t="n"/>
      <c r="H34" s="30" t="n"/>
      <c r="I34" s="1" t="n"/>
      <c r="J34">
        <f>IF(OR(B34="",D34=""),"",DATE(YEAR(Settings!$C$6),MONTH(Settings!$C$6)+0,MIN(D34,DAY(EOMONTH(DATE(YEAR(Settings!$C$6),MONTH(Settings!$C$6)+0,1),0)))))</f>
        <v/>
      </c>
      <c r="K34">
        <f>IF(OR(B34="",D34=""),"",DATE(YEAR(Settings!$C$6),MONTH(Settings!$C$6)+1,MIN(D34,DAY(EOMONTH(DATE(YEAR(Settings!$C$6),MONTH(Settings!$C$6)+1,1),0)))))</f>
        <v/>
      </c>
      <c r="L34">
        <f>IF(OR(B34="",D34=""),"",DATE(YEAR(Settings!$C$6),MONTH(Settings!$C$6)+2,MIN(D34,DAY(EOMONTH(DATE(YEAR(Settings!$C$6),MONTH(Settings!$C$6)+2,1),0)))))</f>
        <v/>
      </c>
      <c r="M34">
        <f>IF(OR(B34="",D34=""),"",DATE(YEAR(Settings!$C$6),MONTH(Settings!$C$6)+3,MIN(D34,DAY(EOMONTH(DATE(YEAR(Settings!$C$6),MONTH(Settings!$C$6)+3,1),0)))))</f>
        <v/>
      </c>
      <c r="N34">
        <f>IF(OR(B34="",D34=""),"",DATE(YEAR(Settings!$C$6),MONTH(Settings!$C$6)+4,MIN(D34,DAY(EOMONTH(DATE(YEAR(Settings!$C$6),MONTH(Settings!$C$6)+4,1),0)))))</f>
        <v/>
      </c>
      <c r="O34">
        <f>IF(OR(B34="",D34=""),"",DATE(YEAR(Settings!$C$6),MONTH(Settings!$C$6)+5,MIN(D34,DAY(EOMONTH(DATE(YEAR(Settings!$C$6),MONTH(Settings!$C$6)+5,1),0)))))</f>
        <v/>
      </c>
      <c r="P34">
        <f>IF(OR(B34="",D34=""),"",DATE(YEAR(Settings!$C$6),MONTH(Settings!$C$6)+6,MIN(D34,DAY(EOMONTH(DATE(YEAR(Settings!$C$6),MONTH(Settings!$C$6)+6,1),0)))))</f>
        <v/>
      </c>
      <c r="Q34">
        <f>IF(OR(B34="",D34=""),"",DATE(YEAR(Settings!$C$6),MONTH(Settings!$C$6)+7,MIN(D34,DAY(EOMONTH(DATE(YEAR(Settings!$C$6),MONTH(Settings!$C$6)+7,1),0)))))</f>
        <v/>
      </c>
      <c r="R34">
        <f>IF(OR(B34="",D34=""),"",DATE(YEAR(Settings!$C$6),MONTH(Settings!$C$6)+8,MIN(D34,DAY(EOMONTH(DATE(YEAR(Settings!$C$6),MONTH(Settings!$C$6)+8,1),0)))))</f>
        <v/>
      </c>
      <c r="S34">
        <f>IF(OR(B34="",D34=""),"",DATE(YEAR(Settings!$C$6),MONTH(Settings!$C$6)+9,MIN(D34,DAY(EOMONTH(DATE(YEAR(Settings!$C$6),MONTH(Settings!$C$6)+9,1),0)))))</f>
        <v/>
      </c>
      <c r="T34">
        <f>IF(OR(B34="",D34=""),"",DATE(YEAR(Settings!$C$6),MONTH(Settings!$C$6)+10,MIN(D34,DAY(EOMONTH(DATE(YEAR(Settings!$C$6),MONTH(Settings!$C$6)+10,1),0)))))</f>
        <v/>
      </c>
      <c r="U34">
        <f>IF(OR(B34="",D34=""),"",DATE(YEAR(Settings!$C$6),MONTH(Settings!$C$6)+11,MIN(D34,DAY(EOMONTH(DATE(YEAR(Settings!$C$6),MONTH(Settings!$C$6)+11,1),0)))))</f>
        <v/>
      </c>
      <c r="V34">
        <f>IF(OR(B34="",D34=""),"",DATE(YEAR(Settings!$C$6),MONTH(Settings!$C$6)+12,MIN(D34,DAY(EOMONTH(DATE(YEAR(Settings!$C$6),MONTH(Settings!$C$6)+12,1),0)))))</f>
        <v/>
      </c>
      <c r="W34">
        <f>IF(OR(B34="",D34=""),0,IF(OR(E34="",E34=MONTH(DATE(YEAR(Settings!$C$6),MONTH(Settings!$C$6)+0,1))),N(C34),0))</f>
        <v/>
      </c>
      <c r="X34">
        <f>IF(OR(B34="",D34=""),0,IF(OR(E34="",E34=MONTH(DATE(YEAR(Settings!$C$6),MONTH(Settings!$C$6)+1,1))),N(C34),0))</f>
        <v/>
      </c>
      <c r="Y34">
        <f>IF(OR(B34="",D34=""),0,IF(OR(E34="",E34=MONTH(DATE(YEAR(Settings!$C$6),MONTH(Settings!$C$6)+2,1))),N(C34),0))</f>
        <v/>
      </c>
      <c r="Z34">
        <f>IF(OR(B34="",D34=""),0,IF(OR(E34="",E34=MONTH(DATE(YEAR(Settings!$C$6),MONTH(Settings!$C$6)+3,1))),N(C34),0))</f>
        <v/>
      </c>
      <c r="AA34">
        <f>IF(OR(B34="",D34=""),0,IF(OR(E34="",E34=MONTH(DATE(YEAR(Settings!$C$6),MONTH(Settings!$C$6)+4,1))),N(C34),0))</f>
        <v/>
      </c>
      <c r="AB34">
        <f>IF(OR(B34="",D34=""),0,IF(OR(E34="",E34=MONTH(DATE(YEAR(Settings!$C$6),MONTH(Settings!$C$6)+5,1))),N(C34),0))</f>
        <v/>
      </c>
      <c r="AC34">
        <f>IF(OR(B34="",D34=""),0,IF(OR(E34="",E34=MONTH(DATE(YEAR(Settings!$C$6),MONTH(Settings!$C$6)+6,1))),N(C34),0))</f>
        <v/>
      </c>
      <c r="AD34">
        <f>IF(OR(B34="",D34=""),0,IF(OR(E34="",E34=MONTH(DATE(YEAR(Settings!$C$6),MONTH(Settings!$C$6)+7,1))),N(C34),0))</f>
        <v/>
      </c>
      <c r="AE34">
        <f>IF(OR(B34="",D34=""),0,IF(OR(E34="",E34=MONTH(DATE(YEAR(Settings!$C$6),MONTH(Settings!$C$6)+8,1))),N(C34),0))</f>
        <v/>
      </c>
      <c r="AF34">
        <f>IF(OR(B34="",D34=""),0,IF(OR(E34="",E34=MONTH(DATE(YEAR(Settings!$C$6),MONTH(Settings!$C$6)+9,1))),N(C34),0))</f>
        <v/>
      </c>
      <c r="AG34">
        <f>IF(OR(B34="",D34=""),0,IF(OR(E34="",E34=MONTH(DATE(YEAR(Settings!$C$6),MONTH(Settings!$C$6)+10,1))),N(C34),0))</f>
        <v/>
      </c>
      <c r="AH34">
        <f>IF(OR(B34="",D34=""),0,IF(OR(E34="",E34=MONTH(DATE(YEAR(Settings!$C$6),MONTH(Settings!$C$6)+11,1))),N(C34),0))</f>
        <v/>
      </c>
      <c r="AI34">
        <f>IF(OR(B34="",D34=""),0,IF(OR(E34="",E34=MONTH(DATE(YEAR(Settings!$C$6),MONTH(Settings!$C$6)+12,1))),N(C34),0))</f>
        <v/>
      </c>
      <c r="AJ34">
        <f>IF(B34="","",SUMIFS(J34:V34,J34:V34,"&gt;="&amp;Dashboard!$C$4,J34:V34,"&lt;"&amp;Dashboard!$N$1,W34:AI34,"&gt;0"))</f>
        <v/>
      </c>
      <c r="AK34">
        <f>IF(N(AJ34)=0,"",AJ34+ROW()/100000)</f>
        <v/>
      </c>
    </row>
    <row r="35">
      <c r="A35" s="1" t="n"/>
      <c r="B35" s="27" t="n"/>
      <c r="C35" s="28" t="n"/>
      <c r="D35" s="29" t="n"/>
      <c r="E35" s="29" t="n"/>
      <c r="F35" s="30" t="n"/>
      <c r="G35" s="31" t="n"/>
      <c r="H35" s="30" t="n"/>
      <c r="I35" s="1" t="n"/>
      <c r="J35">
        <f>IF(OR(B35="",D35=""),"",DATE(YEAR(Settings!$C$6),MONTH(Settings!$C$6)+0,MIN(D35,DAY(EOMONTH(DATE(YEAR(Settings!$C$6),MONTH(Settings!$C$6)+0,1),0)))))</f>
        <v/>
      </c>
      <c r="K35">
        <f>IF(OR(B35="",D35=""),"",DATE(YEAR(Settings!$C$6),MONTH(Settings!$C$6)+1,MIN(D35,DAY(EOMONTH(DATE(YEAR(Settings!$C$6),MONTH(Settings!$C$6)+1,1),0)))))</f>
        <v/>
      </c>
      <c r="L35">
        <f>IF(OR(B35="",D35=""),"",DATE(YEAR(Settings!$C$6),MONTH(Settings!$C$6)+2,MIN(D35,DAY(EOMONTH(DATE(YEAR(Settings!$C$6),MONTH(Settings!$C$6)+2,1),0)))))</f>
        <v/>
      </c>
      <c r="M35">
        <f>IF(OR(B35="",D35=""),"",DATE(YEAR(Settings!$C$6),MONTH(Settings!$C$6)+3,MIN(D35,DAY(EOMONTH(DATE(YEAR(Settings!$C$6),MONTH(Settings!$C$6)+3,1),0)))))</f>
        <v/>
      </c>
      <c r="N35">
        <f>IF(OR(B35="",D35=""),"",DATE(YEAR(Settings!$C$6),MONTH(Settings!$C$6)+4,MIN(D35,DAY(EOMONTH(DATE(YEAR(Settings!$C$6),MONTH(Settings!$C$6)+4,1),0)))))</f>
        <v/>
      </c>
      <c r="O35">
        <f>IF(OR(B35="",D35=""),"",DATE(YEAR(Settings!$C$6),MONTH(Settings!$C$6)+5,MIN(D35,DAY(EOMONTH(DATE(YEAR(Settings!$C$6),MONTH(Settings!$C$6)+5,1),0)))))</f>
        <v/>
      </c>
      <c r="P35">
        <f>IF(OR(B35="",D35=""),"",DATE(YEAR(Settings!$C$6),MONTH(Settings!$C$6)+6,MIN(D35,DAY(EOMONTH(DATE(YEAR(Settings!$C$6),MONTH(Settings!$C$6)+6,1),0)))))</f>
        <v/>
      </c>
      <c r="Q35">
        <f>IF(OR(B35="",D35=""),"",DATE(YEAR(Settings!$C$6),MONTH(Settings!$C$6)+7,MIN(D35,DAY(EOMONTH(DATE(YEAR(Settings!$C$6),MONTH(Settings!$C$6)+7,1),0)))))</f>
        <v/>
      </c>
      <c r="R35">
        <f>IF(OR(B35="",D35=""),"",DATE(YEAR(Settings!$C$6),MONTH(Settings!$C$6)+8,MIN(D35,DAY(EOMONTH(DATE(YEAR(Settings!$C$6),MONTH(Settings!$C$6)+8,1),0)))))</f>
        <v/>
      </c>
      <c r="S35">
        <f>IF(OR(B35="",D35=""),"",DATE(YEAR(Settings!$C$6),MONTH(Settings!$C$6)+9,MIN(D35,DAY(EOMONTH(DATE(YEAR(Settings!$C$6),MONTH(Settings!$C$6)+9,1),0)))))</f>
        <v/>
      </c>
      <c r="T35">
        <f>IF(OR(B35="",D35=""),"",DATE(YEAR(Settings!$C$6),MONTH(Settings!$C$6)+10,MIN(D35,DAY(EOMONTH(DATE(YEAR(Settings!$C$6),MONTH(Settings!$C$6)+10,1),0)))))</f>
        <v/>
      </c>
      <c r="U35">
        <f>IF(OR(B35="",D35=""),"",DATE(YEAR(Settings!$C$6),MONTH(Settings!$C$6)+11,MIN(D35,DAY(EOMONTH(DATE(YEAR(Settings!$C$6),MONTH(Settings!$C$6)+11,1),0)))))</f>
        <v/>
      </c>
      <c r="V35">
        <f>IF(OR(B35="",D35=""),"",DATE(YEAR(Settings!$C$6),MONTH(Settings!$C$6)+12,MIN(D35,DAY(EOMONTH(DATE(YEAR(Settings!$C$6),MONTH(Settings!$C$6)+12,1),0)))))</f>
        <v/>
      </c>
      <c r="W35">
        <f>IF(OR(B35="",D35=""),0,IF(OR(E35="",E35=MONTH(DATE(YEAR(Settings!$C$6),MONTH(Settings!$C$6)+0,1))),N(C35),0))</f>
        <v/>
      </c>
      <c r="X35">
        <f>IF(OR(B35="",D35=""),0,IF(OR(E35="",E35=MONTH(DATE(YEAR(Settings!$C$6),MONTH(Settings!$C$6)+1,1))),N(C35),0))</f>
        <v/>
      </c>
      <c r="Y35">
        <f>IF(OR(B35="",D35=""),0,IF(OR(E35="",E35=MONTH(DATE(YEAR(Settings!$C$6),MONTH(Settings!$C$6)+2,1))),N(C35),0))</f>
        <v/>
      </c>
      <c r="Z35">
        <f>IF(OR(B35="",D35=""),0,IF(OR(E35="",E35=MONTH(DATE(YEAR(Settings!$C$6),MONTH(Settings!$C$6)+3,1))),N(C35),0))</f>
        <v/>
      </c>
      <c r="AA35">
        <f>IF(OR(B35="",D35=""),0,IF(OR(E35="",E35=MONTH(DATE(YEAR(Settings!$C$6),MONTH(Settings!$C$6)+4,1))),N(C35),0))</f>
        <v/>
      </c>
      <c r="AB35">
        <f>IF(OR(B35="",D35=""),0,IF(OR(E35="",E35=MONTH(DATE(YEAR(Settings!$C$6),MONTH(Settings!$C$6)+5,1))),N(C35),0))</f>
        <v/>
      </c>
      <c r="AC35">
        <f>IF(OR(B35="",D35=""),0,IF(OR(E35="",E35=MONTH(DATE(YEAR(Settings!$C$6),MONTH(Settings!$C$6)+6,1))),N(C35),0))</f>
        <v/>
      </c>
      <c r="AD35">
        <f>IF(OR(B35="",D35=""),0,IF(OR(E35="",E35=MONTH(DATE(YEAR(Settings!$C$6),MONTH(Settings!$C$6)+7,1))),N(C35),0))</f>
        <v/>
      </c>
      <c r="AE35">
        <f>IF(OR(B35="",D35=""),0,IF(OR(E35="",E35=MONTH(DATE(YEAR(Settings!$C$6),MONTH(Settings!$C$6)+8,1))),N(C35),0))</f>
        <v/>
      </c>
      <c r="AF35">
        <f>IF(OR(B35="",D35=""),0,IF(OR(E35="",E35=MONTH(DATE(YEAR(Settings!$C$6),MONTH(Settings!$C$6)+9,1))),N(C35),0))</f>
        <v/>
      </c>
      <c r="AG35">
        <f>IF(OR(B35="",D35=""),0,IF(OR(E35="",E35=MONTH(DATE(YEAR(Settings!$C$6),MONTH(Settings!$C$6)+10,1))),N(C35),0))</f>
        <v/>
      </c>
      <c r="AH35">
        <f>IF(OR(B35="",D35=""),0,IF(OR(E35="",E35=MONTH(DATE(YEAR(Settings!$C$6),MONTH(Settings!$C$6)+11,1))),N(C35),0))</f>
        <v/>
      </c>
      <c r="AI35">
        <f>IF(OR(B35="",D35=""),0,IF(OR(E35="",E35=MONTH(DATE(YEAR(Settings!$C$6),MONTH(Settings!$C$6)+12,1))),N(C35),0))</f>
        <v/>
      </c>
      <c r="AJ35">
        <f>IF(B35="","",SUMIFS(J35:V35,J35:V35,"&gt;="&amp;Dashboard!$C$4,J35:V35,"&lt;"&amp;Dashboard!$N$1,W35:AI35,"&gt;0"))</f>
        <v/>
      </c>
      <c r="AK35">
        <f>IF(N(AJ35)=0,"",AJ35+ROW()/100000)</f>
        <v/>
      </c>
    </row>
    <row r="36">
      <c r="A36" s="1" t="n"/>
      <c r="B36" s="27" t="n"/>
      <c r="C36" s="28" t="n"/>
      <c r="D36" s="29" t="n"/>
      <c r="E36" s="29" t="n"/>
      <c r="F36" s="30" t="n"/>
      <c r="G36" s="31" t="n"/>
      <c r="H36" s="30" t="n"/>
      <c r="I36" s="1" t="n"/>
      <c r="J36">
        <f>IF(OR(B36="",D36=""),"",DATE(YEAR(Settings!$C$6),MONTH(Settings!$C$6)+0,MIN(D36,DAY(EOMONTH(DATE(YEAR(Settings!$C$6),MONTH(Settings!$C$6)+0,1),0)))))</f>
        <v/>
      </c>
      <c r="K36">
        <f>IF(OR(B36="",D36=""),"",DATE(YEAR(Settings!$C$6),MONTH(Settings!$C$6)+1,MIN(D36,DAY(EOMONTH(DATE(YEAR(Settings!$C$6),MONTH(Settings!$C$6)+1,1),0)))))</f>
        <v/>
      </c>
      <c r="L36">
        <f>IF(OR(B36="",D36=""),"",DATE(YEAR(Settings!$C$6),MONTH(Settings!$C$6)+2,MIN(D36,DAY(EOMONTH(DATE(YEAR(Settings!$C$6),MONTH(Settings!$C$6)+2,1),0)))))</f>
        <v/>
      </c>
      <c r="M36">
        <f>IF(OR(B36="",D36=""),"",DATE(YEAR(Settings!$C$6),MONTH(Settings!$C$6)+3,MIN(D36,DAY(EOMONTH(DATE(YEAR(Settings!$C$6),MONTH(Settings!$C$6)+3,1),0)))))</f>
        <v/>
      </c>
      <c r="N36">
        <f>IF(OR(B36="",D36=""),"",DATE(YEAR(Settings!$C$6),MONTH(Settings!$C$6)+4,MIN(D36,DAY(EOMONTH(DATE(YEAR(Settings!$C$6),MONTH(Settings!$C$6)+4,1),0)))))</f>
        <v/>
      </c>
      <c r="O36">
        <f>IF(OR(B36="",D36=""),"",DATE(YEAR(Settings!$C$6),MONTH(Settings!$C$6)+5,MIN(D36,DAY(EOMONTH(DATE(YEAR(Settings!$C$6),MONTH(Settings!$C$6)+5,1),0)))))</f>
        <v/>
      </c>
      <c r="P36">
        <f>IF(OR(B36="",D36=""),"",DATE(YEAR(Settings!$C$6),MONTH(Settings!$C$6)+6,MIN(D36,DAY(EOMONTH(DATE(YEAR(Settings!$C$6),MONTH(Settings!$C$6)+6,1),0)))))</f>
        <v/>
      </c>
      <c r="Q36">
        <f>IF(OR(B36="",D36=""),"",DATE(YEAR(Settings!$C$6),MONTH(Settings!$C$6)+7,MIN(D36,DAY(EOMONTH(DATE(YEAR(Settings!$C$6),MONTH(Settings!$C$6)+7,1),0)))))</f>
        <v/>
      </c>
      <c r="R36">
        <f>IF(OR(B36="",D36=""),"",DATE(YEAR(Settings!$C$6),MONTH(Settings!$C$6)+8,MIN(D36,DAY(EOMONTH(DATE(YEAR(Settings!$C$6),MONTH(Settings!$C$6)+8,1),0)))))</f>
        <v/>
      </c>
      <c r="S36">
        <f>IF(OR(B36="",D36=""),"",DATE(YEAR(Settings!$C$6),MONTH(Settings!$C$6)+9,MIN(D36,DAY(EOMONTH(DATE(YEAR(Settings!$C$6),MONTH(Settings!$C$6)+9,1),0)))))</f>
        <v/>
      </c>
      <c r="T36">
        <f>IF(OR(B36="",D36=""),"",DATE(YEAR(Settings!$C$6),MONTH(Settings!$C$6)+10,MIN(D36,DAY(EOMONTH(DATE(YEAR(Settings!$C$6),MONTH(Settings!$C$6)+10,1),0)))))</f>
        <v/>
      </c>
      <c r="U36">
        <f>IF(OR(B36="",D36=""),"",DATE(YEAR(Settings!$C$6),MONTH(Settings!$C$6)+11,MIN(D36,DAY(EOMONTH(DATE(YEAR(Settings!$C$6),MONTH(Settings!$C$6)+11,1),0)))))</f>
        <v/>
      </c>
      <c r="V36">
        <f>IF(OR(B36="",D36=""),"",DATE(YEAR(Settings!$C$6),MONTH(Settings!$C$6)+12,MIN(D36,DAY(EOMONTH(DATE(YEAR(Settings!$C$6),MONTH(Settings!$C$6)+12,1),0)))))</f>
        <v/>
      </c>
      <c r="W36">
        <f>IF(OR(B36="",D36=""),0,IF(OR(E36="",E36=MONTH(DATE(YEAR(Settings!$C$6),MONTH(Settings!$C$6)+0,1))),N(C36),0))</f>
        <v/>
      </c>
      <c r="X36">
        <f>IF(OR(B36="",D36=""),0,IF(OR(E36="",E36=MONTH(DATE(YEAR(Settings!$C$6),MONTH(Settings!$C$6)+1,1))),N(C36),0))</f>
        <v/>
      </c>
      <c r="Y36">
        <f>IF(OR(B36="",D36=""),0,IF(OR(E36="",E36=MONTH(DATE(YEAR(Settings!$C$6),MONTH(Settings!$C$6)+2,1))),N(C36),0))</f>
        <v/>
      </c>
      <c r="Z36">
        <f>IF(OR(B36="",D36=""),0,IF(OR(E36="",E36=MONTH(DATE(YEAR(Settings!$C$6),MONTH(Settings!$C$6)+3,1))),N(C36),0))</f>
        <v/>
      </c>
      <c r="AA36">
        <f>IF(OR(B36="",D36=""),0,IF(OR(E36="",E36=MONTH(DATE(YEAR(Settings!$C$6),MONTH(Settings!$C$6)+4,1))),N(C36),0))</f>
        <v/>
      </c>
      <c r="AB36">
        <f>IF(OR(B36="",D36=""),0,IF(OR(E36="",E36=MONTH(DATE(YEAR(Settings!$C$6),MONTH(Settings!$C$6)+5,1))),N(C36),0))</f>
        <v/>
      </c>
      <c r="AC36">
        <f>IF(OR(B36="",D36=""),0,IF(OR(E36="",E36=MONTH(DATE(YEAR(Settings!$C$6),MONTH(Settings!$C$6)+6,1))),N(C36),0))</f>
        <v/>
      </c>
      <c r="AD36">
        <f>IF(OR(B36="",D36=""),0,IF(OR(E36="",E36=MONTH(DATE(YEAR(Settings!$C$6),MONTH(Settings!$C$6)+7,1))),N(C36),0))</f>
        <v/>
      </c>
      <c r="AE36">
        <f>IF(OR(B36="",D36=""),0,IF(OR(E36="",E36=MONTH(DATE(YEAR(Settings!$C$6),MONTH(Settings!$C$6)+8,1))),N(C36),0))</f>
        <v/>
      </c>
      <c r="AF36">
        <f>IF(OR(B36="",D36=""),0,IF(OR(E36="",E36=MONTH(DATE(YEAR(Settings!$C$6),MONTH(Settings!$C$6)+9,1))),N(C36),0))</f>
        <v/>
      </c>
      <c r="AG36">
        <f>IF(OR(B36="",D36=""),0,IF(OR(E36="",E36=MONTH(DATE(YEAR(Settings!$C$6),MONTH(Settings!$C$6)+10,1))),N(C36),0))</f>
        <v/>
      </c>
      <c r="AH36">
        <f>IF(OR(B36="",D36=""),0,IF(OR(E36="",E36=MONTH(DATE(YEAR(Settings!$C$6),MONTH(Settings!$C$6)+11,1))),N(C36),0))</f>
        <v/>
      </c>
      <c r="AI36">
        <f>IF(OR(B36="",D36=""),0,IF(OR(E36="",E36=MONTH(DATE(YEAR(Settings!$C$6),MONTH(Settings!$C$6)+12,1))),N(C36),0))</f>
        <v/>
      </c>
      <c r="AJ36">
        <f>IF(B36="","",SUMIFS(J36:V36,J36:V36,"&gt;="&amp;Dashboard!$C$4,J36:V36,"&lt;"&amp;Dashboard!$N$1,W36:AI36,"&gt;0"))</f>
        <v/>
      </c>
      <c r="AK36">
        <f>IF(N(AJ36)=0,"",AJ36+ROW()/100000)</f>
        <v/>
      </c>
    </row>
    <row r="37">
      <c r="A37" s="1" t="n"/>
      <c r="B37" s="27" t="n"/>
      <c r="C37" s="28" t="n"/>
      <c r="D37" s="29" t="n"/>
      <c r="E37" s="29" t="n"/>
      <c r="F37" s="30" t="n"/>
      <c r="G37" s="31" t="n"/>
      <c r="H37" s="30" t="n"/>
      <c r="I37" s="1" t="n"/>
      <c r="J37">
        <f>IF(OR(B37="",D37=""),"",DATE(YEAR(Settings!$C$6),MONTH(Settings!$C$6)+0,MIN(D37,DAY(EOMONTH(DATE(YEAR(Settings!$C$6),MONTH(Settings!$C$6)+0,1),0)))))</f>
        <v/>
      </c>
      <c r="K37">
        <f>IF(OR(B37="",D37=""),"",DATE(YEAR(Settings!$C$6),MONTH(Settings!$C$6)+1,MIN(D37,DAY(EOMONTH(DATE(YEAR(Settings!$C$6),MONTH(Settings!$C$6)+1,1),0)))))</f>
        <v/>
      </c>
      <c r="L37">
        <f>IF(OR(B37="",D37=""),"",DATE(YEAR(Settings!$C$6),MONTH(Settings!$C$6)+2,MIN(D37,DAY(EOMONTH(DATE(YEAR(Settings!$C$6),MONTH(Settings!$C$6)+2,1),0)))))</f>
        <v/>
      </c>
      <c r="M37">
        <f>IF(OR(B37="",D37=""),"",DATE(YEAR(Settings!$C$6),MONTH(Settings!$C$6)+3,MIN(D37,DAY(EOMONTH(DATE(YEAR(Settings!$C$6),MONTH(Settings!$C$6)+3,1),0)))))</f>
        <v/>
      </c>
      <c r="N37">
        <f>IF(OR(B37="",D37=""),"",DATE(YEAR(Settings!$C$6),MONTH(Settings!$C$6)+4,MIN(D37,DAY(EOMONTH(DATE(YEAR(Settings!$C$6),MONTH(Settings!$C$6)+4,1),0)))))</f>
        <v/>
      </c>
      <c r="O37">
        <f>IF(OR(B37="",D37=""),"",DATE(YEAR(Settings!$C$6),MONTH(Settings!$C$6)+5,MIN(D37,DAY(EOMONTH(DATE(YEAR(Settings!$C$6),MONTH(Settings!$C$6)+5,1),0)))))</f>
        <v/>
      </c>
      <c r="P37">
        <f>IF(OR(B37="",D37=""),"",DATE(YEAR(Settings!$C$6),MONTH(Settings!$C$6)+6,MIN(D37,DAY(EOMONTH(DATE(YEAR(Settings!$C$6),MONTH(Settings!$C$6)+6,1),0)))))</f>
        <v/>
      </c>
      <c r="Q37">
        <f>IF(OR(B37="",D37=""),"",DATE(YEAR(Settings!$C$6),MONTH(Settings!$C$6)+7,MIN(D37,DAY(EOMONTH(DATE(YEAR(Settings!$C$6),MONTH(Settings!$C$6)+7,1),0)))))</f>
        <v/>
      </c>
      <c r="R37">
        <f>IF(OR(B37="",D37=""),"",DATE(YEAR(Settings!$C$6),MONTH(Settings!$C$6)+8,MIN(D37,DAY(EOMONTH(DATE(YEAR(Settings!$C$6),MONTH(Settings!$C$6)+8,1),0)))))</f>
        <v/>
      </c>
      <c r="S37">
        <f>IF(OR(B37="",D37=""),"",DATE(YEAR(Settings!$C$6),MONTH(Settings!$C$6)+9,MIN(D37,DAY(EOMONTH(DATE(YEAR(Settings!$C$6),MONTH(Settings!$C$6)+9,1),0)))))</f>
        <v/>
      </c>
      <c r="T37">
        <f>IF(OR(B37="",D37=""),"",DATE(YEAR(Settings!$C$6),MONTH(Settings!$C$6)+10,MIN(D37,DAY(EOMONTH(DATE(YEAR(Settings!$C$6),MONTH(Settings!$C$6)+10,1),0)))))</f>
        <v/>
      </c>
      <c r="U37">
        <f>IF(OR(B37="",D37=""),"",DATE(YEAR(Settings!$C$6),MONTH(Settings!$C$6)+11,MIN(D37,DAY(EOMONTH(DATE(YEAR(Settings!$C$6),MONTH(Settings!$C$6)+11,1),0)))))</f>
        <v/>
      </c>
      <c r="V37">
        <f>IF(OR(B37="",D37=""),"",DATE(YEAR(Settings!$C$6),MONTH(Settings!$C$6)+12,MIN(D37,DAY(EOMONTH(DATE(YEAR(Settings!$C$6),MONTH(Settings!$C$6)+12,1),0)))))</f>
        <v/>
      </c>
      <c r="W37">
        <f>IF(OR(B37="",D37=""),0,IF(OR(E37="",E37=MONTH(DATE(YEAR(Settings!$C$6),MONTH(Settings!$C$6)+0,1))),N(C37),0))</f>
        <v/>
      </c>
      <c r="X37">
        <f>IF(OR(B37="",D37=""),0,IF(OR(E37="",E37=MONTH(DATE(YEAR(Settings!$C$6),MONTH(Settings!$C$6)+1,1))),N(C37),0))</f>
        <v/>
      </c>
      <c r="Y37">
        <f>IF(OR(B37="",D37=""),0,IF(OR(E37="",E37=MONTH(DATE(YEAR(Settings!$C$6),MONTH(Settings!$C$6)+2,1))),N(C37),0))</f>
        <v/>
      </c>
      <c r="Z37">
        <f>IF(OR(B37="",D37=""),0,IF(OR(E37="",E37=MONTH(DATE(YEAR(Settings!$C$6),MONTH(Settings!$C$6)+3,1))),N(C37),0))</f>
        <v/>
      </c>
      <c r="AA37">
        <f>IF(OR(B37="",D37=""),0,IF(OR(E37="",E37=MONTH(DATE(YEAR(Settings!$C$6),MONTH(Settings!$C$6)+4,1))),N(C37),0))</f>
        <v/>
      </c>
      <c r="AB37">
        <f>IF(OR(B37="",D37=""),0,IF(OR(E37="",E37=MONTH(DATE(YEAR(Settings!$C$6),MONTH(Settings!$C$6)+5,1))),N(C37),0))</f>
        <v/>
      </c>
      <c r="AC37">
        <f>IF(OR(B37="",D37=""),0,IF(OR(E37="",E37=MONTH(DATE(YEAR(Settings!$C$6),MONTH(Settings!$C$6)+6,1))),N(C37),0))</f>
        <v/>
      </c>
      <c r="AD37">
        <f>IF(OR(B37="",D37=""),0,IF(OR(E37="",E37=MONTH(DATE(YEAR(Settings!$C$6),MONTH(Settings!$C$6)+7,1))),N(C37),0))</f>
        <v/>
      </c>
      <c r="AE37">
        <f>IF(OR(B37="",D37=""),0,IF(OR(E37="",E37=MONTH(DATE(YEAR(Settings!$C$6),MONTH(Settings!$C$6)+8,1))),N(C37),0))</f>
        <v/>
      </c>
      <c r="AF37">
        <f>IF(OR(B37="",D37=""),0,IF(OR(E37="",E37=MONTH(DATE(YEAR(Settings!$C$6),MONTH(Settings!$C$6)+9,1))),N(C37),0))</f>
        <v/>
      </c>
      <c r="AG37">
        <f>IF(OR(B37="",D37=""),0,IF(OR(E37="",E37=MONTH(DATE(YEAR(Settings!$C$6),MONTH(Settings!$C$6)+10,1))),N(C37),0))</f>
        <v/>
      </c>
      <c r="AH37">
        <f>IF(OR(B37="",D37=""),0,IF(OR(E37="",E37=MONTH(DATE(YEAR(Settings!$C$6),MONTH(Settings!$C$6)+11,1))),N(C37),0))</f>
        <v/>
      </c>
      <c r="AI37">
        <f>IF(OR(B37="",D37=""),0,IF(OR(E37="",E37=MONTH(DATE(YEAR(Settings!$C$6),MONTH(Settings!$C$6)+12,1))),N(C37),0))</f>
        <v/>
      </c>
      <c r="AJ37">
        <f>IF(B37="","",SUMIFS(J37:V37,J37:V37,"&gt;="&amp;Dashboard!$C$4,J37:V37,"&lt;"&amp;Dashboard!$N$1,W37:AI37,"&gt;0"))</f>
        <v/>
      </c>
      <c r="AK37">
        <f>IF(N(AJ37)=0,"",AJ37+ROW()/100000)</f>
        <v/>
      </c>
    </row>
    <row r="38">
      <c r="A38" s="1" t="n"/>
      <c r="B38" s="27" t="n"/>
      <c r="C38" s="28" t="n"/>
      <c r="D38" s="29" t="n"/>
      <c r="E38" s="29" t="n"/>
      <c r="F38" s="30" t="n"/>
      <c r="G38" s="31" t="n"/>
      <c r="H38" s="30" t="n"/>
      <c r="I38" s="1" t="n"/>
      <c r="J38">
        <f>IF(OR(B38="",D38=""),"",DATE(YEAR(Settings!$C$6),MONTH(Settings!$C$6)+0,MIN(D38,DAY(EOMONTH(DATE(YEAR(Settings!$C$6),MONTH(Settings!$C$6)+0,1),0)))))</f>
        <v/>
      </c>
      <c r="K38">
        <f>IF(OR(B38="",D38=""),"",DATE(YEAR(Settings!$C$6),MONTH(Settings!$C$6)+1,MIN(D38,DAY(EOMONTH(DATE(YEAR(Settings!$C$6),MONTH(Settings!$C$6)+1,1),0)))))</f>
        <v/>
      </c>
      <c r="L38">
        <f>IF(OR(B38="",D38=""),"",DATE(YEAR(Settings!$C$6),MONTH(Settings!$C$6)+2,MIN(D38,DAY(EOMONTH(DATE(YEAR(Settings!$C$6),MONTH(Settings!$C$6)+2,1),0)))))</f>
        <v/>
      </c>
      <c r="M38">
        <f>IF(OR(B38="",D38=""),"",DATE(YEAR(Settings!$C$6),MONTH(Settings!$C$6)+3,MIN(D38,DAY(EOMONTH(DATE(YEAR(Settings!$C$6),MONTH(Settings!$C$6)+3,1),0)))))</f>
        <v/>
      </c>
      <c r="N38">
        <f>IF(OR(B38="",D38=""),"",DATE(YEAR(Settings!$C$6),MONTH(Settings!$C$6)+4,MIN(D38,DAY(EOMONTH(DATE(YEAR(Settings!$C$6),MONTH(Settings!$C$6)+4,1),0)))))</f>
        <v/>
      </c>
      <c r="O38">
        <f>IF(OR(B38="",D38=""),"",DATE(YEAR(Settings!$C$6),MONTH(Settings!$C$6)+5,MIN(D38,DAY(EOMONTH(DATE(YEAR(Settings!$C$6),MONTH(Settings!$C$6)+5,1),0)))))</f>
        <v/>
      </c>
      <c r="P38">
        <f>IF(OR(B38="",D38=""),"",DATE(YEAR(Settings!$C$6),MONTH(Settings!$C$6)+6,MIN(D38,DAY(EOMONTH(DATE(YEAR(Settings!$C$6),MONTH(Settings!$C$6)+6,1),0)))))</f>
        <v/>
      </c>
      <c r="Q38">
        <f>IF(OR(B38="",D38=""),"",DATE(YEAR(Settings!$C$6),MONTH(Settings!$C$6)+7,MIN(D38,DAY(EOMONTH(DATE(YEAR(Settings!$C$6),MONTH(Settings!$C$6)+7,1),0)))))</f>
        <v/>
      </c>
      <c r="R38">
        <f>IF(OR(B38="",D38=""),"",DATE(YEAR(Settings!$C$6),MONTH(Settings!$C$6)+8,MIN(D38,DAY(EOMONTH(DATE(YEAR(Settings!$C$6),MONTH(Settings!$C$6)+8,1),0)))))</f>
        <v/>
      </c>
      <c r="S38">
        <f>IF(OR(B38="",D38=""),"",DATE(YEAR(Settings!$C$6),MONTH(Settings!$C$6)+9,MIN(D38,DAY(EOMONTH(DATE(YEAR(Settings!$C$6),MONTH(Settings!$C$6)+9,1),0)))))</f>
        <v/>
      </c>
      <c r="T38">
        <f>IF(OR(B38="",D38=""),"",DATE(YEAR(Settings!$C$6),MONTH(Settings!$C$6)+10,MIN(D38,DAY(EOMONTH(DATE(YEAR(Settings!$C$6),MONTH(Settings!$C$6)+10,1),0)))))</f>
        <v/>
      </c>
      <c r="U38">
        <f>IF(OR(B38="",D38=""),"",DATE(YEAR(Settings!$C$6),MONTH(Settings!$C$6)+11,MIN(D38,DAY(EOMONTH(DATE(YEAR(Settings!$C$6),MONTH(Settings!$C$6)+11,1),0)))))</f>
        <v/>
      </c>
      <c r="V38">
        <f>IF(OR(B38="",D38=""),"",DATE(YEAR(Settings!$C$6),MONTH(Settings!$C$6)+12,MIN(D38,DAY(EOMONTH(DATE(YEAR(Settings!$C$6),MONTH(Settings!$C$6)+12,1),0)))))</f>
        <v/>
      </c>
      <c r="W38">
        <f>IF(OR(B38="",D38=""),0,IF(OR(E38="",E38=MONTH(DATE(YEAR(Settings!$C$6),MONTH(Settings!$C$6)+0,1))),N(C38),0))</f>
        <v/>
      </c>
      <c r="X38">
        <f>IF(OR(B38="",D38=""),0,IF(OR(E38="",E38=MONTH(DATE(YEAR(Settings!$C$6),MONTH(Settings!$C$6)+1,1))),N(C38),0))</f>
        <v/>
      </c>
      <c r="Y38">
        <f>IF(OR(B38="",D38=""),0,IF(OR(E38="",E38=MONTH(DATE(YEAR(Settings!$C$6),MONTH(Settings!$C$6)+2,1))),N(C38),0))</f>
        <v/>
      </c>
      <c r="Z38">
        <f>IF(OR(B38="",D38=""),0,IF(OR(E38="",E38=MONTH(DATE(YEAR(Settings!$C$6),MONTH(Settings!$C$6)+3,1))),N(C38),0))</f>
        <v/>
      </c>
      <c r="AA38">
        <f>IF(OR(B38="",D38=""),0,IF(OR(E38="",E38=MONTH(DATE(YEAR(Settings!$C$6),MONTH(Settings!$C$6)+4,1))),N(C38),0))</f>
        <v/>
      </c>
      <c r="AB38">
        <f>IF(OR(B38="",D38=""),0,IF(OR(E38="",E38=MONTH(DATE(YEAR(Settings!$C$6),MONTH(Settings!$C$6)+5,1))),N(C38),0))</f>
        <v/>
      </c>
      <c r="AC38">
        <f>IF(OR(B38="",D38=""),0,IF(OR(E38="",E38=MONTH(DATE(YEAR(Settings!$C$6),MONTH(Settings!$C$6)+6,1))),N(C38),0))</f>
        <v/>
      </c>
      <c r="AD38">
        <f>IF(OR(B38="",D38=""),0,IF(OR(E38="",E38=MONTH(DATE(YEAR(Settings!$C$6),MONTH(Settings!$C$6)+7,1))),N(C38),0))</f>
        <v/>
      </c>
      <c r="AE38">
        <f>IF(OR(B38="",D38=""),0,IF(OR(E38="",E38=MONTH(DATE(YEAR(Settings!$C$6),MONTH(Settings!$C$6)+8,1))),N(C38),0))</f>
        <v/>
      </c>
      <c r="AF38">
        <f>IF(OR(B38="",D38=""),0,IF(OR(E38="",E38=MONTH(DATE(YEAR(Settings!$C$6),MONTH(Settings!$C$6)+9,1))),N(C38),0))</f>
        <v/>
      </c>
      <c r="AG38">
        <f>IF(OR(B38="",D38=""),0,IF(OR(E38="",E38=MONTH(DATE(YEAR(Settings!$C$6),MONTH(Settings!$C$6)+10,1))),N(C38),0))</f>
        <v/>
      </c>
      <c r="AH38">
        <f>IF(OR(B38="",D38=""),0,IF(OR(E38="",E38=MONTH(DATE(YEAR(Settings!$C$6),MONTH(Settings!$C$6)+11,1))),N(C38),0))</f>
        <v/>
      </c>
      <c r="AI38">
        <f>IF(OR(B38="",D38=""),0,IF(OR(E38="",E38=MONTH(DATE(YEAR(Settings!$C$6),MONTH(Settings!$C$6)+12,1))),N(C38),0))</f>
        <v/>
      </c>
      <c r="AJ38">
        <f>IF(B38="","",SUMIFS(J38:V38,J38:V38,"&gt;="&amp;Dashboard!$C$4,J38:V38,"&lt;"&amp;Dashboard!$N$1,W38:AI38,"&gt;0"))</f>
        <v/>
      </c>
      <c r="AK38">
        <f>IF(N(AJ38)=0,"",AJ38+ROW()/100000)</f>
        <v/>
      </c>
    </row>
    <row r="39">
      <c r="A39" s="1" t="n"/>
      <c r="B39" s="27" t="n"/>
      <c r="C39" s="28" t="n"/>
      <c r="D39" s="29" t="n"/>
      <c r="E39" s="29" t="n"/>
      <c r="F39" s="30" t="n"/>
      <c r="G39" s="31" t="n"/>
      <c r="H39" s="30" t="n"/>
      <c r="I39" s="1" t="n"/>
      <c r="J39">
        <f>IF(OR(B39="",D39=""),"",DATE(YEAR(Settings!$C$6),MONTH(Settings!$C$6)+0,MIN(D39,DAY(EOMONTH(DATE(YEAR(Settings!$C$6),MONTH(Settings!$C$6)+0,1),0)))))</f>
        <v/>
      </c>
      <c r="K39">
        <f>IF(OR(B39="",D39=""),"",DATE(YEAR(Settings!$C$6),MONTH(Settings!$C$6)+1,MIN(D39,DAY(EOMONTH(DATE(YEAR(Settings!$C$6),MONTH(Settings!$C$6)+1,1),0)))))</f>
        <v/>
      </c>
      <c r="L39">
        <f>IF(OR(B39="",D39=""),"",DATE(YEAR(Settings!$C$6),MONTH(Settings!$C$6)+2,MIN(D39,DAY(EOMONTH(DATE(YEAR(Settings!$C$6),MONTH(Settings!$C$6)+2,1),0)))))</f>
        <v/>
      </c>
      <c r="M39">
        <f>IF(OR(B39="",D39=""),"",DATE(YEAR(Settings!$C$6),MONTH(Settings!$C$6)+3,MIN(D39,DAY(EOMONTH(DATE(YEAR(Settings!$C$6),MONTH(Settings!$C$6)+3,1),0)))))</f>
        <v/>
      </c>
      <c r="N39">
        <f>IF(OR(B39="",D39=""),"",DATE(YEAR(Settings!$C$6),MONTH(Settings!$C$6)+4,MIN(D39,DAY(EOMONTH(DATE(YEAR(Settings!$C$6),MONTH(Settings!$C$6)+4,1),0)))))</f>
        <v/>
      </c>
      <c r="O39">
        <f>IF(OR(B39="",D39=""),"",DATE(YEAR(Settings!$C$6),MONTH(Settings!$C$6)+5,MIN(D39,DAY(EOMONTH(DATE(YEAR(Settings!$C$6),MONTH(Settings!$C$6)+5,1),0)))))</f>
        <v/>
      </c>
      <c r="P39">
        <f>IF(OR(B39="",D39=""),"",DATE(YEAR(Settings!$C$6),MONTH(Settings!$C$6)+6,MIN(D39,DAY(EOMONTH(DATE(YEAR(Settings!$C$6),MONTH(Settings!$C$6)+6,1),0)))))</f>
        <v/>
      </c>
      <c r="Q39">
        <f>IF(OR(B39="",D39=""),"",DATE(YEAR(Settings!$C$6),MONTH(Settings!$C$6)+7,MIN(D39,DAY(EOMONTH(DATE(YEAR(Settings!$C$6),MONTH(Settings!$C$6)+7,1),0)))))</f>
        <v/>
      </c>
      <c r="R39">
        <f>IF(OR(B39="",D39=""),"",DATE(YEAR(Settings!$C$6),MONTH(Settings!$C$6)+8,MIN(D39,DAY(EOMONTH(DATE(YEAR(Settings!$C$6),MONTH(Settings!$C$6)+8,1),0)))))</f>
        <v/>
      </c>
      <c r="S39">
        <f>IF(OR(B39="",D39=""),"",DATE(YEAR(Settings!$C$6),MONTH(Settings!$C$6)+9,MIN(D39,DAY(EOMONTH(DATE(YEAR(Settings!$C$6),MONTH(Settings!$C$6)+9,1),0)))))</f>
        <v/>
      </c>
      <c r="T39">
        <f>IF(OR(B39="",D39=""),"",DATE(YEAR(Settings!$C$6),MONTH(Settings!$C$6)+10,MIN(D39,DAY(EOMONTH(DATE(YEAR(Settings!$C$6),MONTH(Settings!$C$6)+10,1),0)))))</f>
        <v/>
      </c>
      <c r="U39">
        <f>IF(OR(B39="",D39=""),"",DATE(YEAR(Settings!$C$6),MONTH(Settings!$C$6)+11,MIN(D39,DAY(EOMONTH(DATE(YEAR(Settings!$C$6),MONTH(Settings!$C$6)+11,1),0)))))</f>
        <v/>
      </c>
      <c r="V39">
        <f>IF(OR(B39="",D39=""),"",DATE(YEAR(Settings!$C$6),MONTH(Settings!$C$6)+12,MIN(D39,DAY(EOMONTH(DATE(YEAR(Settings!$C$6),MONTH(Settings!$C$6)+12,1),0)))))</f>
        <v/>
      </c>
      <c r="W39">
        <f>IF(OR(B39="",D39=""),0,IF(OR(E39="",E39=MONTH(DATE(YEAR(Settings!$C$6),MONTH(Settings!$C$6)+0,1))),N(C39),0))</f>
        <v/>
      </c>
      <c r="X39">
        <f>IF(OR(B39="",D39=""),0,IF(OR(E39="",E39=MONTH(DATE(YEAR(Settings!$C$6),MONTH(Settings!$C$6)+1,1))),N(C39),0))</f>
        <v/>
      </c>
      <c r="Y39">
        <f>IF(OR(B39="",D39=""),0,IF(OR(E39="",E39=MONTH(DATE(YEAR(Settings!$C$6),MONTH(Settings!$C$6)+2,1))),N(C39),0))</f>
        <v/>
      </c>
      <c r="Z39">
        <f>IF(OR(B39="",D39=""),0,IF(OR(E39="",E39=MONTH(DATE(YEAR(Settings!$C$6),MONTH(Settings!$C$6)+3,1))),N(C39),0))</f>
        <v/>
      </c>
      <c r="AA39">
        <f>IF(OR(B39="",D39=""),0,IF(OR(E39="",E39=MONTH(DATE(YEAR(Settings!$C$6),MONTH(Settings!$C$6)+4,1))),N(C39),0))</f>
        <v/>
      </c>
      <c r="AB39">
        <f>IF(OR(B39="",D39=""),0,IF(OR(E39="",E39=MONTH(DATE(YEAR(Settings!$C$6),MONTH(Settings!$C$6)+5,1))),N(C39),0))</f>
        <v/>
      </c>
      <c r="AC39">
        <f>IF(OR(B39="",D39=""),0,IF(OR(E39="",E39=MONTH(DATE(YEAR(Settings!$C$6),MONTH(Settings!$C$6)+6,1))),N(C39),0))</f>
        <v/>
      </c>
      <c r="AD39">
        <f>IF(OR(B39="",D39=""),0,IF(OR(E39="",E39=MONTH(DATE(YEAR(Settings!$C$6),MONTH(Settings!$C$6)+7,1))),N(C39),0))</f>
        <v/>
      </c>
      <c r="AE39">
        <f>IF(OR(B39="",D39=""),0,IF(OR(E39="",E39=MONTH(DATE(YEAR(Settings!$C$6),MONTH(Settings!$C$6)+8,1))),N(C39),0))</f>
        <v/>
      </c>
      <c r="AF39">
        <f>IF(OR(B39="",D39=""),0,IF(OR(E39="",E39=MONTH(DATE(YEAR(Settings!$C$6),MONTH(Settings!$C$6)+9,1))),N(C39),0))</f>
        <v/>
      </c>
      <c r="AG39">
        <f>IF(OR(B39="",D39=""),0,IF(OR(E39="",E39=MONTH(DATE(YEAR(Settings!$C$6),MONTH(Settings!$C$6)+10,1))),N(C39),0))</f>
        <v/>
      </c>
      <c r="AH39">
        <f>IF(OR(B39="",D39=""),0,IF(OR(E39="",E39=MONTH(DATE(YEAR(Settings!$C$6),MONTH(Settings!$C$6)+11,1))),N(C39),0))</f>
        <v/>
      </c>
      <c r="AI39">
        <f>IF(OR(B39="",D39=""),0,IF(OR(E39="",E39=MONTH(DATE(YEAR(Settings!$C$6),MONTH(Settings!$C$6)+12,1))),N(C39),0))</f>
        <v/>
      </c>
      <c r="AJ39">
        <f>IF(B39="","",SUMIFS(J39:V39,J39:V39,"&gt;="&amp;Dashboard!$C$4,J39:V39,"&lt;"&amp;Dashboard!$N$1,W39:AI39,"&gt;0"))</f>
        <v/>
      </c>
      <c r="AK39">
        <f>IF(N(AJ39)=0,"",AJ39+ROW()/100000)</f>
        <v/>
      </c>
    </row>
    <row r="40">
      <c r="A40" s="1" t="n"/>
      <c r="B40" s="27" t="n"/>
      <c r="C40" s="28" t="n"/>
      <c r="D40" s="29" t="n"/>
      <c r="E40" s="29" t="n"/>
      <c r="F40" s="30" t="n"/>
      <c r="G40" s="31" t="n"/>
      <c r="H40" s="30" t="n"/>
      <c r="I40" s="1" t="n"/>
      <c r="J40">
        <f>IF(OR(B40="",D40=""),"",DATE(YEAR(Settings!$C$6),MONTH(Settings!$C$6)+0,MIN(D40,DAY(EOMONTH(DATE(YEAR(Settings!$C$6),MONTH(Settings!$C$6)+0,1),0)))))</f>
        <v/>
      </c>
      <c r="K40">
        <f>IF(OR(B40="",D40=""),"",DATE(YEAR(Settings!$C$6),MONTH(Settings!$C$6)+1,MIN(D40,DAY(EOMONTH(DATE(YEAR(Settings!$C$6),MONTH(Settings!$C$6)+1,1),0)))))</f>
        <v/>
      </c>
      <c r="L40">
        <f>IF(OR(B40="",D40=""),"",DATE(YEAR(Settings!$C$6),MONTH(Settings!$C$6)+2,MIN(D40,DAY(EOMONTH(DATE(YEAR(Settings!$C$6),MONTH(Settings!$C$6)+2,1),0)))))</f>
        <v/>
      </c>
      <c r="M40">
        <f>IF(OR(B40="",D40=""),"",DATE(YEAR(Settings!$C$6),MONTH(Settings!$C$6)+3,MIN(D40,DAY(EOMONTH(DATE(YEAR(Settings!$C$6),MONTH(Settings!$C$6)+3,1),0)))))</f>
        <v/>
      </c>
      <c r="N40">
        <f>IF(OR(B40="",D40=""),"",DATE(YEAR(Settings!$C$6),MONTH(Settings!$C$6)+4,MIN(D40,DAY(EOMONTH(DATE(YEAR(Settings!$C$6),MONTH(Settings!$C$6)+4,1),0)))))</f>
        <v/>
      </c>
      <c r="O40">
        <f>IF(OR(B40="",D40=""),"",DATE(YEAR(Settings!$C$6),MONTH(Settings!$C$6)+5,MIN(D40,DAY(EOMONTH(DATE(YEAR(Settings!$C$6),MONTH(Settings!$C$6)+5,1),0)))))</f>
        <v/>
      </c>
      <c r="P40">
        <f>IF(OR(B40="",D40=""),"",DATE(YEAR(Settings!$C$6),MONTH(Settings!$C$6)+6,MIN(D40,DAY(EOMONTH(DATE(YEAR(Settings!$C$6),MONTH(Settings!$C$6)+6,1),0)))))</f>
        <v/>
      </c>
      <c r="Q40">
        <f>IF(OR(B40="",D40=""),"",DATE(YEAR(Settings!$C$6),MONTH(Settings!$C$6)+7,MIN(D40,DAY(EOMONTH(DATE(YEAR(Settings!$C$6),MONTH(Settings!$C$6)+7,1),0)))))</f>
        <v/>
      </c>
      <c r="R40">
        <f>IF(OR(B40="",D40=""),"",DATE(YEAR(Settings!$C$6),MONTH(Settings!$C$6)+8,MIN(D40,DAY(EOMONTH(DATE(YEAR(Settings!$C$6),MONTH(Settings!$C$6)+8,1),0)))))</f>
        <v/>
      </c>
      <c r="S40">
        <f>IF(OR(B40="",D40=""),"",DATE(YEAR(Settings!$C$6),MONTH(Settings!$C$6)+9,MIN(D40,DAY(EOMONTH(DATE(YEAR(Settings!$C$6),MONTH(Settings!$C$6)+9,1),0)))))</f>
        <v/>
      </c>
      <c r="T40">
        <f>IF(OR(B40="",D40=""),"",DATE(YEAR(Settings!$C$6),MONTH(Settings!$C$6)+10,MIN(D40,DAY(EOMONTH(DATE(YEAR(Settings!$C$6),MONTH(Settings!$C$6)+10,1),0)))))</f>
        <v/>
      </c>
      <c r="U40">
        <f>IF(OR(B40="",D40=""),"",DATE(YEAR(Settings!$C$6),MONTH(Settings!$C$6)+11,MIN(D40,DAY(EOMONTH(DATE(YEAR(Settings!$C$6),MONTH(Settings!$C$6)+11,1),0)))))</f>
        <v/>
      </c>
      <c r="V40">
        <f>IF(OR(B40="",D40=""),"",DATE(YEAR(Settings!$C$6),MONTH(Settings!$C$6)+12,MIN(D40,DAY(EOMONTH(DATE(YEAR(Settings!$C$6),MONTH(Settings!$C$6)+12,1),0)))))</f>
        <v/>
      </c>
      <c r="W40">
        <f>IF(OR(B40="",D40=""),0,IF(OR(E40="",E40=MONTH(DATE(YEAR(Settings!$C$6),MONTH(Settings!$C$6)+0,1))),N(C40),0))</f>
        <v/>
      </c>
      <c r="X40">
        <f>IF(OR(B40="",D40=""),0,IF(OR(E40="",E40=MONTH(DATE(YEAR(Settings!$C$6),MONTH(Settings!$C$6)+1,1))),N(C40),0))</f>
        <v/>
      </c>
      <c r="Y40">
        <f>IF(OR(B40="",D40=""),0,IF(OR(E40="",E40=MONTH(DATE(YEAR(Settings!$C$6),MONTH(Settings!$C$6)+2,1))),N(C40),0))</f>
        <v/>
      </c>
      <c r="Z40">
        <f>IF(OR(B40="",D40=""),0,IF(OR(E40="",E40=MONTH(DATE(YEAR(Settings!$C$6),MONTH(Settings!$C$6)+3,1))),N(C40),0))</f>
        <v/>
      </c>
      <c r="AA40">
        <f>IF(OR(B40="",D40=""),0,IF(OR(E40="",E40=MONTH(DATE(YEAR(Settings!$C$6),MONTH(Settings!$C$6)+4,1))),N(C40),0))</f>
        <v/>
      </c>
      <c r="AB40">
        <f>IF(OR(B40="",D40=""),0,IF(OR(E40="",E40=MONTH(DATE(YEAR(Settings!$C$6),MONTH(Settings!$C$6)+5,1))),N(C40),0))</f>
        <v/>
      </c>
      <c r="AC40">
        <f>IF(OR(B40="",D40=""),0,IF(OR(E40="",E40=MONTH(DATE(YEAR(Settings!$C$6),MONTH(Settings!$C$6)+6,1))),N(C40),0))</f>
        <v/>
      </c>
      <c r="AD40">
        <f>IF(OR(B40="",D40=""),0,IF(OR(E40="",E40=MONTH(DATE(YEAR(Settings!$C$6),MONTH(Settings!$C$6)+7,1))),N(C40),0))</f>
        <v/>
      </c>
      <c r="AE40">
        <f>IF(OR(B40="",D40=""),0,IF(OR(E40="",E40=MONTH(DATE(YEAR(Settings!$C$6),MONTH(Settings!$C$6)+8,1))),N(C40),0))</f>
        <v/>
      </c>
      <c r="AF40">
        <f>IF(OR(B40="",D40=""),0,IF(OR(E40="",E40=MONTH(DATE(YEAR(Settings!$C$6),MONTH(Settings!$C$6)+9,1))),N(C40),0))</f>
        <v/>
      </c>
      <c r="AG40">
        <f>IF(OR(B40="",D40=""),0,IF(OR(E40="",E40=MONTH(DATE(YEAR(Settings!$C$6),MONTH(Settings!$C$6)+10,1))),N(C40),0))</f>
        <v/>
      </c>
      <c r="AH40">
        <f>IF(OR(B40="",D40=""),0,IF(OR(E40="",E40=MONTH(DATE(YEAR(Settings!$C$6),MONTH(Settings!$C$6)+11,1))),N(C40),0))</f>
        <v/>
      </c>
      <c r="AI40">
        <f>IF(OR(B40="",D40=""),0,IF(OR(E40="",E40=MONTH(DATE(YEAR(Settings!$C$6),MONTH(Settings!$C$6)+12,1))),N(C40),0))</f>
        <v/>
      </c>
      <c r="AJ40">
        <f>IF(B40="","",SUMIFS(J40:V40,J40:V40,"&gt;="&amp;Dashboard!$C$4,J40:V40,"&lt;"&amp;Dashboard!$N$1,W40:AI40,"&gt;0"))</f>
        <v/>
      </c>
      <c r="AK40">
        <f>IF(N(AJ40)=0,"",AJ40+ROW()/100000)</f>
        <v/>
      </c>
    </row>
    <row r="41">
      <c r="A41" s="1" t="n"/>
      <c r="B41" s="27" t="n"/>
      <c r="C41" s="28" t="n"/>
      <c r="D41" s="29" t="n"/>
      <c r="E41" s="29" t="n"/>
      <c r="F41" s="30" t="n"/>
      <c r="G41" s="31" t="n"/>
      <c r="H41" s="30" t="n"/>
      <c r="I41" s="1" t="n"/>
      <c r="J41">
        <f>IF(OR(B41="",D41=""),"",DATE(YEAR(Settings!$C$6),MONTH(Settings!$C$6)+0,MIN(D41,DAY(EOMONTH(DATE(YEAR(Settings!$C$6),MONTH(Settings!$C$6)+0,1),0)))))</f>
        <v/>
      </c>
      <c r="K41">
        <f>IF(OR(B41="",D41=""),"",DATE(YEAR(Settings!$C$6),MONTH(Settings!$C$6)+1,MIN(D41,DAY(EOMONTH(DATE(YEAR(Settings!$C$6),MONTH(Settings!$C$6)+1,1),0)))))</f>
        <v/>
      </c>
      <c r="L41">
        <f>IF(OR(B41="",D41=""),"",DATE(YEAR(Settings!$C$6),MONTH(Settings!$C$6)+2,MIN(D41,DAY(EOMONTH(DATE(YEAR(Settings!$C$6),MONTH(Settings!$C$6)+2,1),0)))))</f>
        <v/>
      </c>
      <c r="M41">
        <f>IF(OR(B41="",D41=""),"",DATE(YEAR(Settings!$C$6),MONTH(Settings!$C$6)+3,MIN(D41,DAY(EOMONTH(DATE(YEAR(Settings!$C$6),MONTH(Settings!$C$6)+3,1),0)))))</f>
        <v/>
      </c>
      <c r="N41">
        <f>IF(OR(B41="",D41=""),"",DATE(YEAR(Settings!$C$6),MONTH(Settings!$C$6)+4,MIN(D41,DAY(EOMONTH(DATE(YEAR(Settings!$C$6),MONTH(Settings!$C$6)+4,1),0)))))</f>
        <v/>
      </c>
      <c r="O41">
        <f>IF(OR(B41="",D41=""),"",DATE(YEAR(Settings!$C$6),MONTH(Settings!$C$6)+5,MIN(D41,DAY(EOMONTH(DATE(YEAR(Settings!$C$6),MONTH(Settings!$C$6)+5,1),0)))))</f>
        <v/>
      </c>
      <c r="P41">
        <f>IF(OR(B41="",D41=""),"",DATE(YEAR(Settings!$C$6),MONTH(Settings!$C$6)+6,MIN(D41,DAY(EOMONTH(DATE(YEAR(Settings!$C$6),MONTH(Settings!$C$6)+6,1),0)))))</f>
        <v/>
      </c>
      <c r="Q41">
        <f>IF(OR(B41="",D41=""),"",DATE(YEAR(Settings!$C$6),MONTH(Settings!$C$6)+7,MIN(D41,DAY(EOMONTH(DATE(YEAR(Settings!$C$6),MONTH(Settings!$C$6)+7,1),0)))))</f>
        <v/>
      </c>
      <c r="R41">
        <f>IF(OR(B41="",D41=""),"",DATE(YEAR(Settings!$C$6),MONTH(Settings!$C$6)+8,MIN(D41,DAY(EOMONTH(DATE(YEAR(Settings!$C$6),MONTH(Settings!$C$6)+8,1),0)))))</f>
        <v/>
      </c>
      <c r="S41">
        <f>IF(OR(B41="",D41=""),"",DATE(YEAR(Settings!$C$6),MONTH(Settings!$C$6)+9,MIN(D41,DAY(EOMONTH(DATE(YEAR(Settings!$C$6),MONTH(Settings!$C$6)+9,1),0)))))</f>
        <v/>
      </c>
      <c r="T41">
        <f>IF(OR(B41="",D41=""),"",DATE(YEAR(Settings!$C$6),MONTH(Settings!$C$6)+10,MIN(D41,DAY(EOMONTH(DATE(YEAR(Settings!$C$6),MONTH(Settings!$C$6)+10,1),0)))))</f>
        <v/>
      </c>
      <c r="U41">
        <f>IF(OR(B41="",D41=""),"",DATE(YEAR(Settings!$C$6),MONTH(Settings!$C$6)+11,MIN(D41,DAY(EOMONTH(DATE(YEAR(Settings!$C$6),MONTH(Settings!$C$6)+11,1),0)))))</f>
        <v/>
      </c>
      <c r="V41">
        <f>IF(OR(B41="",D41=""),"",DATE(YEAR(Settings!$C$6),MONTH(Settings!$C$6)+12,MIN(D41,DAY(EOMONTH(DATE(YEAR(Settings!$C$6),MONTH(Settings!$C$6)+12,1),0)))))</f>
        <v/>
      </c>
      <c r="W41">
        <f>IF(OR(B41="",D41=""),0,IF(OR(E41="",E41=MONTH(DATE(YEAR(Settings!$C$6),MONTH(Settings!$C$6)+0,1))),N(C41),0))</f>
        <v/>
      </c>
      <c r="X41">
        <f>IF(OR(B41="",D41=""),0,IF(OR(E41="",E41=MONTH(DATE(YEAR(Settings!$C$6),MONTH(Settings!$C$6)+1,1))),N(C41),0))</f>
        <v/>
      </c>
      <c r="Y41">
        <f>IF(OR(B41="",D41=""),0,IF(OR(E41="",E41=MONTH(DATE(YEAR(Settings!$C$6),MONTH(Settings!$C$6)+2,1))),N(C41),0))</f>
        <v/>
      </c>
      <c r="Z41">
        <f>IF(OR(B41="",D41=""),0,IF(OR(E41="",E41=MONTH(DATE(YEAR(Settings!$C$6),MONTH(Settings!$C$6)+3,1))),N(C41),0))</f>
        <v/>
      </c>
      <c r="AA41">
        <f>IF(OR(B41="",D41=""),0,IF(OR(E41="",E41=MONTH(DATE(YEAR(Settings!$C$6),MONTH(Settings!$C$6)+4,1))),N(C41),0))</f>
        <v/>
      </c>
      <c r="AB41">
        <f>IF(OR(B41="",D41=""),0,IF(OR(E41="",E41=MONTH(DATE(YEAR(Settings!$C$6),MONTH(Settings!$C$6)+5,1))),N(C41),0))</f>
        <v/>
      </c>
      <c r="AC41">
        <f>IF(OR(B41="",D41=""),0,IF(OR(E41="",E41=MONTH(DATE(YEAR(Settings!$C$6),MONTH(Settings!$C$6)+6,1))),N(C41),0))</f>
        <v/>
      </c>
      <c r="AD41">
        <f>IF(OR(B41="",D41=""),0,IF(OR(E41="",E41=MONTH(DATE(YEAR(Settings!$C$6),MONTH(Settings!$C$6)+7,1))),N(C41),0))</f>
        <v/>
      </c>
      <c r="AE41">
        <f>IF(OR(B41="",D41=""),0,IF(OR(E41="",E41=MONTH(DATE(YEAR(Settings!$C$6),MONTH(Settings!$C$6)+8,1))),N(C41),0))</f>
        <v/>
      </c>
      <c r="AF41">
        <f>IF(OR(B41="",D41=""),0,IF(OR(E41="",E41=MONTH(DATE(YEAR(Settings!$C$6),MONTH(Settings!$C$6)+9,1))),N(C41),0))</f>
        <v/>
      </c>
      <c r="AG41">
        <f>IF(OR(B41="",D41=""),0,IF(OR(E41="",E41=MONTH(DATE(YEAR(Settings!$C$6),MONTH(Settings!$C$6)+10,1))),N(C41),0))</f>
        <v/>
      </c>
      <c r="AH41">
        <f>IF(OR(B41="",D41=""),0,IF(OR(E41="",E41=MONTH(DATE(YEAR(Settings!$C$6),MONTH(Settings!$C$6)+11,1))),N(C41),0))</f>
        <v/>
      </c>
      <c r="AI41">
        <f>IF(OR(B41="",D41=""),0,IF(OR(E41="",E41=MONTH(DATE(YEAR(Settings!$C$6),MONTH(Settings!$C$6)+12,1))),N(C41),0))</f>
        <v/>
      </c>
      <c r="AJ41">
        <f>IF(B41="","",SUMIFS(J41:V41,J41:V41,"&gt;="&amp;Dashboard!$C$4,J41:V41,"&lt;"&amp;Dashboard!$N$1,W41:AI41,"&gt;0"))</f>
        <v/>
      </c>
      <c r="AK41">
        <f>IF(N(AJ41)=0,"",AJ41+ROW()/100000)</f>
        <v/>
      </c>
    </row>
    <row r="42">
      <c r="A42" s="1" t="n"/>
      <c r="B42" s="27" t="n"/>
      <c r="C42" s="28" t="n"/>
      <c r="D42" s="29" t="n"/>
      <c r="E42" s="29" t="n"/>
      <c r="F42" s="30" t="n"/>
      <c r="G42" s="31" t="n"/>
      <c r="H42" s="30" t="n"/>
      <c r="I42" s="1" t="n"/>
      <c r="J42">
        <f>IF(OR(B42="",D42=""),"",DATE(YEAR(Settings!$C$6),MONTH(Settings!$C$6)+0,MIN(D42,DAY(EOMONTH(DATE(YEAR(Settings!$C$6),MONTH(Settings!$C$6)+0,1),0)))))</f>
        <v/>
      </c>
      <c r="K42">
        <f>IF(OR(B42="",D42=""),"",DATE(YEAR(Settings!$C$6),MONTH(Settings!$C$6)+1,MIN(D42,DAY(EOMONTH(DATE(YEAR(Settings!$C$6),MONTH(Settings!$C$6)+1,1),0)))))</f>
        <v/>
      </c>
      <c r="L42">
        <f>IF(OR(B42="",D42=""),"",DATE(YEAR(Settings!$C$6),MONTH(Settings!$C$6)+2,MIN(D42,DAY(EOMONTH(DATE(YEAR(Settings!$C$6),MONTH(Settings!$C$6)+2,1),0)))))</f>
        <v/>
      </c>
      <c r="M42">
        <f>IF(OR(B42="",D42=""),"",DATE(YEAR(Settings!$C$6),MONTH(Settings!$C$6)+3,MIN(D42,DAY(EOMONTH(DATE(YEAR(Settings!$C$6),MONTH(Settings!$C$6)+3,1),0)))))</f>
        <v/>
      </c>
      <c r="N42">
        <f>IF(OR(B42="",D42=""),"",DATE(YEAR(Settings!$C$6),MONTH(Settings!$C$6)+4,MIN(D42,DAY(EOMONTH(DATE(YEAR(Settings!$C$6),MONTH(Settings!$C$6)+4,1),0)))))</f>
        <v/>
      </c>
      <c r="O42">
        <f>IF(OR(B42="",D42=""),"",DATE(YEAR(Settings!$C$6),MONTH(Settings!$C$6)+5,MIN(D42,DAY(EOMONTH(DATE(YEAR(Settings!$C$6),MONTH(Settings!$C$6)+5,1),0)))))</f>
        <v/>
      </c>
      <c r="P42">
        <f>IF(OR(B42="",D42=""),"",DATE(YEAR(Settings!$C$6),MONTH(Settings!$C$6)+6,MIN(D42,DAY(EOMONTH(DATE(YEAR(Settings!$C$6),MONTH(Settings!$C$6)+6,1),0)))))</f>
        <v/>
      </c>
      <c r="Q42">
        <f>IF(OR(B42="",D42=""),"",DATE(YEAR(Settings!$C$6),MONTH(Settings!$C$6)+7,MIN(D42,DAY(EOMONTH(DATE(YEAR(Settings!$C$6),MONTH(Settings!$C$6)+7,1),0)))))</f>
        <v/>
      </c>
      <c r="R42">
        <f>IF(OR(B42="",D42=""),"",DATE(YEAR(Settings!$C$6),MONTH(Settings!$C$6)+8,MIN(D42,DAY(EOMONTH(DATE(YEAR(Settings!$C$6),MONTH(Settings!$C$6)+8,1),0)))))</f>
        <v/>
      </c>
      <c r="S42">
        <f>IF(OR(B42="",D42=""),"",DATE(YEAR(Settings!$C$6),MONTH(Settings!$C$6)+9,MIN(D42,DAY(EOMONTH(DATE(YEAR(Settings!$C$6),MONTH(Settings!$C$6)+9,1),0)))))</f>
        <v/>
      </c>
      <c r="T42">
        <f>IF(OR(B42="",D42=""),"",DATE(YEAR(Settings!$C$6),MONTH(Settings!$C$6)+10,MIN(D42,DAY(EOMONTH(DATE(YEAR(Settings!$C$6),MONTH(Settings!$C$6)+10,1),0)))))</f>
        <v/>
      </c>
      <c r="U42">
        <f>IF(OR(B42="",D42=""),"",DATE(YEAR(Settings!$C$6),MONTH(Settings!$C$6)+11,MIN(D42,DAY(EOMONTH(DATE(YEAR(Settings!$C$6),MONTH(Settings!$C$6)+11,1),0)))))</f>
        <v/>
      </c>
      <c r="V42">
        <f>IF(OR(B42="",D42=""),"",DATE(YEAR(Settings!$C$6),MONTH(Settings!$C$6)+12,MIN(D42,DAY(EOMONTH(DATE(YEAR(Settings!$C$6),MONTH(Settings!$C$6)+12,1),0)))))</f>
        <v/>
      </c>
      <c r="W42">
        <f>IF(OR(B42="",D42=""),0,IF(OR(E42="",E42=MONTH(DATE(YEAR(Settings!$C$6),MONTH(Settings!$C$6)+0,1))),N(C42),0))</f>
        <v/>
      </c>
      <c r="X42">
        <f>IF(OR(B42="",D42=""),0,IF(OR(E42="",E42=MONTH(DATE(YEAR(Settings!$C$6),MONTH(Settings!$C$6)+1,1))),N(C42),0))</f>
        <v/>
      </c>
      <c r="Y42">
        <f>IF(OR(B42="",D42=""),0,IF(OR(E42="",E42=MONTH(DATE(YEAR(Settings!$C$6),MONTH(Settings!$C$6)+2,1))),N(C42),0))</f>
        <v/>
      </c>
      <c r="Z42">
        <f>IF(OR(B42="",D42=""),0,IF(OR(E42="",E42=MONTH(DATE(YEAR(Settings!$C$6),MONTH(Settings!$C$6)+3,1))),N(C42),0))</f>
        <v/>
      </c>
      <c r="AA42">
        <f>IF(OR(B42="",D42=""),0,IF(OR(E42="",E42=MONTH(DATE(YEAR(Settings!$C$6),MONTH(Settings!$C$6)+4,1))),N(C42),0))</f>
        <v/>
      </c>
      <c r="AB42">
        <f>IF(OR(B42="",D42=""),0,IF(OR(E42="",E42=MONTH(DATE(YEAR(Settings!$C$6),MONTH(Settings!$C$6)+5,1))),N(C42),0))</f>
        <v/>
      </c>
      <c r="AC42">
        <f>IF(OR(B42="",D42=""),0,IF(OR(E42="",E42=MONTH(DATE(YEAR(Settings!$C$6),MONTH(Settings!$C$6)+6,1))),N(C42),0))</f>
        <v/>
      </c>
      <c r="AD42">
        <f>IF(OR(B42="",D42=""),0,IF(OR(E42="",E42=MONTH(DATE(YEAR(Settings!$C$6),MONTH(Settings!$C$6)+7,1))),N(C42),0))</f>
        <v/>
      </c>
      <c r="AE42">
        <f>IF(OR(B42="",D42=""),0,IF(OR(E42="",E42=MONTH(DATE(YEAR(Settings!$C$6),MONTH(Settings!$C$6)+8,1))),N(C42),0))</f>
        <v/>
      </c>
      <c r="AF42">
        <f>IF(OR(B42="",D42=""),0,IF(OR(E42="",E42=MONTH(DATE(YEAR(Settings!$C$6),MONTH(Settings!$C$6)+9,1))),N(C42),0))</f>
        <v/>
      </c>
      <c r="AG42">
        <f>IF(OR(B42="",D42=""),0,IF(OR(E42="",E42=MONTH(DATE(YEAR(Settings!$C$6),MONTH(Settings!$C$6)+10,1))),N(C42),0))</f>
        <v/>
      </c>
      <c r="AH42">
        <f>IF(OR(B42="",D42=""),0,IF(OR(E42="",E42=MONTH(DATE(YEAR(Settings!$C$6),MONTH(Settings!$C$6)+11,1))),N(C42),0))</f>
        <v/>
      </c>
      <c r="AI42">
        <f>IF(OR(B42="",D42=""),0,IF(OR(E42="",E42=MONTH(DATE(YEAR(Settings!$C$6),MONTH(Settings!$C$6)+12,1))),N(C42),0))</f>
        <v/>
      </c>
      <c r="AJ42">
        <f>IF(B42="","",SUMIFS(J42:V42,J42:V42,"&gt;="&amp;Dashboard!$C$4,J42:V42,"&lt;"&amp;Dashboard!$N$1,W42:AI42,"&gt;0"))</f>
        <v/>
      </c>
      <c r="AK42">
        <f>IF(N(AJ42)=0,"",AJ42+ROW()/100000)</f>
        <v/>
      </c>
    </row>
    <row r="43">
      <c r="A43" s="1" t="n"/>
      <c r="B43" s="27" t="n"/>
      <c r="C43" s="28" t="n"/>
      <c r="D43" s="29" t="n"/>
      <c r="E43" s="29" t="n"/>
      <c r="F43" s="30" t="n"/>
      <c r="G43" s="31" t="n"/>
      <c r="H43" s="30" t="n"/>
      <c r="I43" s="1" t="n"/>
      <c r="J43">
        <f>IF(OR(B43="",D43=""),"",DATE(YEAR(Settings!$C$6),MONTH(Settings!$C$6)+0,MIN(D43,DAY(EOMONTH(DATE(YEAR(Settings!$C$6),MONTH(Settings!$C$6)+0,1),0)))))</f>
        <v/>
      </c>
      <c r="K43">
        <f>IF(OR(B43="",D43=""),"",DATE(YEAR(Settings!$C$6),MONTH(Settings!$C$6)+1,MIN(D43,DAY(EOMONTH(DATE(YEAR(Settings!$C$6),MONTH(Settings!$C$6)+1,1),0)))))</f>
        <v/>
      </c>
      <c r="L43">
        <f>IF(OR(B43="",D43=""),"",DATE(YEAR(Settings!$C$6),MONTH(Settings!$C$6)+2,MIN(D43,DAY(EOMONTH(DATE(YEAR(Settings!$C$6),MONTH(Settings!$C$6)+2,1),0)))))</f>
        <v/>
      </c>
      <c r="M43">
        <f>IF(OR(B43="",D43=""),"",DATE(YEAR(Settings!$C$6),MONTH(Settings!$C$6)+3,MIN(D43,DAY(EOMONTH(DATE(YEAR(Settings!$C$6),MONTH(Settings!$C$6)+3,1),0)))))</f>
        <v/>
      </c>
      <c r="N43">
        <f>IF(OR(B43="",D43=""),"",DATE(YEAR(Settings!$C$6),MONTH(Settings!$C$6)+4,MIN(D43,DAY(EOMONTH(DATE(YEAR(Settings!$C$6),MONTH(Settings!$C$6)+4,1),0)))))</f>
        <v/>
      </c>
      <c r="O43">
        <f>IF(OR(B43="",D43=""),"",DATE(YEAR(Settings!$C$6),MONTH(Settings!$C$6)+5,MIN(D43,DAY(EOMONTH(DATE(YEAR(Settings!$C$6),MONTH(Settings!$C$6)+5,1),0)))))</f>
        <v/>
      </c>
      <c r="P43">
        <f>IF(OR(B43="",D43=""),"",DATE(YEAR(Settings!$C$6),MONTH(Settings!$C$6)+6,MIN(D43,DAY(EOMONTH(DATE(YEAR(Settings!$C$6),MONTH(Settings!$C$6)+6,1),0)))))</f>
        <v/>
      </c>
      <c r="Q43">
        <f>IF(OR(B43="",D43=""),"",DATE(YEAR(Settings!$C$6),MONTH(Settings!$C$6)+7,MIN(D43,DAY(EOMONTH(DATE(YEAR(Settings!$C$6),MONTH(Settings!$C$6)+7,1),0)))))</f>
        <v/>
      </c>
      <c r="R43">
        <f>IF(OR(B43="",D43=""),"",DATE(YEAR(Settings!$C$6),MONTH(Settings!$C$6)+8,MIN(D43,DAY(EOMONTH(DATE(YEAR(Settings!$C$6),MONTH(Settings!$C$6)+8,1),0)))))</f>
        <v/>
      </c>
      <c r="S43">
        <f>IF(OR(B43="",D43=""),"",DATE(YEAR(Settings!$C$6),MONTH(Settings!$C$6)+9,MIN(D43,DAY(EOMONTH(DATE(YEAR(Settings!$C$6),MONTH(Settings!$C$6)+9,1),0)))))</f>
        <v/>
      </c>
      <c r="T43">
        <f>IF(OR(B43="",D43=""),"",DATE(YEAR(Settings!$C$6),MONTH(Settings!$C$6)+10,MIN(D43,DAY(EOMONTH(DATE(YEAR(Settings!$C$6),MONTH(Settings!$C$6)+10,1),0)))))</f>
        <v/>
      </c>
      <c r="U43">
        <f>IF(OR(B43="",D43=""),"",DATE(YEAR(Settings!$C$6),MONTH(Settings!$C$6)+11,MIN(D43,DAY(EOMONTH(DATE(YEAR(Settings!$C$6),MONTH(Settings!$C$6)+11,1),0)))))</f>
        <v/>
      </c>
      <c r="V43">
        <f>IF(OR(B43="",D43=""),"",DATE(YEAR(Settings!$C$6),MONTH(Settings!$C$6)+12,MIN(D43,DAY(EOMONTH(DATE(YEAR(Settings!$C$6),MONTH(Settings!$C$6)+12,1),0)))))</f>
        <v/>
      </c>
      <c r="W43">
        <f>IF(OR(B43="",D43=""),0,IF(OR(E43="",E43=MONTH(DATE(YEAR(Settings!$C$6),MONTH(Settings!$C$6)+0,1))),N(C43),0))</f>
        <v/>
      </c>
      <c r="X43">
        <f>IF(OR(B43="",D43=""),0,IF(OR(E43="",E43=MONTH(DATE(YEAR(Settings!$C$6),MONTH(Settings!$C$6)+1,1))),N(C43),0))</f>
        <v/>
      </c>
      <c r="Y43">
        <f>IF(OR(B43="",D43=""),0,IF(OR(E43="",E43=MONTH(DATE(YEAR(Settings!$C$6),MONTH(Settings!$C$6)+2,1))),N(C43),0))</f>
        <v/>
      </c>
      <c r="Z43">
        <f>IF(OR(B43="",D43=""),0,IF(OR(E43="",E43=MONTH(DATE(YEAR(Settings!$C$6),MONTH(Settings!$C$6)+3,1))),N(C43),0))</f>
        <v/>
      </c>
      <c r="AA43">
        <f>IF(OR(B43="",D43=""),0,IF(OR(E43="",E43=MONTH(DATE(YEAR(Settings!$C$6),MONTH(Settings!$C$6)+4,1))),N(C43),0))</f>
        <v/>
      </c>
      <c r="AB43">
        <f>IF(OR(B43="",D43=""),0,IF(OR(E43="",E43=MONTH(DATE(YEAR(Settings!$C$6),MONTH(Settings!$C$6)+5,1))),N(C43),0))</f>
        <v/>
      </c>
      <c r="AC43">
        <f>IF(OR(B43="",D43=""),0,IF(OR(E43="",E43=MONTH(DATE(YEAR(Settings!$C$6),MONTH(Settings!$C$6)+6,1))),N(C43),0))</f>
        <v/>
      </c>
      <c r="AD43">
        <f>IF(OR(B43="",D43=""),0,IF(OR(E43="",E43=MONTH(DATE(YEAR(Settings!$C$6),MONTH(Settings!$C$6)+7,1))),N(C43),0))</f>
        <v/>
      </c>
      <c r="AE43">
        <f>IF(OR(B43="",D43=""),0,IF(OR(E43="",E43=MONTH(DATE(YEAR(Settings!$C$6),MONTH(Settings!$C$6)+8,1))),N(C43),0))</f>
        <v/>
      </c>
      <c r="AF43">
        <f>IF(OR(B43="",D43=""),0,IF(OR(E43="",E43=MONTH(DATE(YEAR(Settings!$C$6),MONTH(Settings!$C$6)+9,1))),N(C43),0))</f>
        <v/>
      </c>
      <c r="AG43">
        <f>IF(OR(B43="",D43=""),0,IF(OR(E43="",E43=MONTH(DATE(YEAR(Settings!$C$6),MONTH(Settings!$C$6)+10,1))),N(C43),0))</f>
        <v/>
      </c>
      <c r="AH43">
        <f>IF(OR(B43="",D43=""),0,IF(OR(E43="",E43=MONTH(DATE(YEAR(Settings!$C$6),MONTH(Settings!$C$6)+11,1))),N(C43),0))</f>
        <v/>
      </c>
      <c r="AI43">
        <f>IF(OR(B43="",D43=""),0,IF(OR(E43="",E43=MONTH(DATE(YEAR(Settings!$C$6),MONTH(Settings!$C$6)+12,1))),N(C43),0))</f>
        <v/>
      </c>
      <c r="AJ43">
        <f>IF(B43="","",SUMIFS(J43:V43,J43:V43,"&gt;="&amp;Dashboard!$C$4,J43:V43,"&lt;"&amp;Dashboard!$N$1,W43:AI43,"&gt;0"))</f>
        <v/>
      </c>
      <c r="AK43">
        <f>IF(N(AJ43)=0,"",AJ43+ROW()/100000)</f>
        <v/>
      </c>
    </row>
    <row r="44">
      <c r="A44" s="1" t="n"/>
      <c r="B44" s="27" t="n"/>
      <c r="C44" s="28" t="n"/>
      <c r="D44" s="29" t="n"/>
      <c r="E44" s="29" t="n"/>
      <c r="F44" s="30" t="n"/>
      <c r="G44" s="31" t="n"/>
      <c r="H44" s="30" t="n"/>
      <c r="I44" s="1" t="n"/>
      <c r="J44">
        <f>IF(OR(B44="",D44=""),"",DATE(YEAR(Settings!$C$6),MONTH(Settings!$C$6)+0,MIN(D44,DAY(EOMONTH(DATE(YEAR(Settings!$C$6),MONTH(Settings!$C$6)+0,1),0)))))</f>
        <v/>
      </c>
      <c r="K44">
        <f>IF(OR(B44="",D44=""),"",DATE(YEAR(Settings!$C$6),MONTH(Settings!$C$6)+1,MIN(D44,DAY(EOMONTH(DATE(YEAR(Settings!$C$6),MONTH(Settings!$C$6)+1,1),0)))))</f>
        <v/>
      </c>
      <c r="L44">
        <f>IF(OR(B44="",D44=""),"",DATE(YEAR(Settings!$C$6),MONTH(Settings!$C$6)+2,MIN(D44,DAY(EOMONTH(DATE(YEAR(Settings!$C$6),MONTH(Settings!$C$6)+2,1),0)))))</f>
        <v/>
      </c>
      <c r="M44">
        <f>IF(OR(B44="",D44=""),"",DATE(YEAR(Settings!$C$6),MONTH(Settings!$C$6)+3,MIN(D44,DAY(EOMONTH(DATE(YEAR(Settings!$C$6),MONTH(Settings!$C$6)+3,1),0)))))</f>
        <v/>
      </c>
      <c r="N44">
        <f>IF(OR(B44="",D44=""),"",DATE(YEAR(Settings!$C$6),MONTH(Settings!$C$6)+4,MIN(D44,DAY(EOMONTH(DATE(YEAR(Settings!$C$6),MONTH(Settings!$C$6)+4,1),0)))))</f>
        <v/>
      </c>
      <c r="O44">
        <f>IF(OR(B44="",D44=""),"",DATE(YEAR(Settings!$C$6),MONTH(Settings!$C$6)+5,MIN(D44,DAY(EOMONTH(DATE(YEAR(Settings!$C$6),MONTH(Settings!$C$6)+5,1),0)))))</f>
        <v/>
      </c>
      <c r="P44">
        <f>IF(OR(B44="",D44=""),"",DATE(YEAR(Settings!$C$6),MONTH(Settings!$C$6)+6,MIN(D44,DAY(EOMONTH(DATE(YEAR(Settings!$C$6),MONTH(Settings!$C$6)+6,1),0)))))</f>
        <v/>
      </c>
      <c r="Q44">
        <f>IF(OR(B44="",D44=""),"",DATE(YEAR(Settings!$C$6),MONTH(Settings!$C$6)+7,MIN(D44,DAY(EOMONTH(DATE(YEAR(Settings!$C$6),MONTH(Settings!$C$6)+7,1),0)))))</f>
        <v/>
      </c>
      <c r="R44">
        <f>IF(OR(B44="",D44=""),"",DATE(YEAR(Settings!$C$6),MONTH(Settings!$C$6)+8,MIN(D44,DAY(EOMONTH(DATE(YEAR(Settings!$C$6),MONTH(Settings!$C$6)+8,1),0)))))</f>
        <v/>
      </c>
      <c r="S44">
        <f>IF(OR(B44="",D44=""),"",DATE(YEAR(Settings!$C$6),MONTH(Settings!$C$6)+9,MIN(D44,DAY(EOMONTH(DATE(YEAR(Settings!$C$6),MONTH(Settings!$C$6)+9,1),0)))))</f>
        <v/>
      </c>
      <c r="T44">
        <f>IF(OR(B44="",D44=""),"",DATE(YEAR(Settings!$C$6),MONTH(Settings!$C$6)+10,MIN(D44,DAY(EOMONTH(DATE(YEAR(Settings!$C$6),MONTH(Settings!$C$6)+10,1),0)))))</f>
        <v/>
      </c>
      <c r="U44">
        <f>IF(OR(B44="",D44=""),"",DATE(YEAR(Settings!$C$6),MONTH(Settings!$C$6)+11,MIN(D44,DAY(EOMONTH(DATE(YEAR(Settings!$C$6),MONTH(Settings!$C$6)+11,1),0)))))</f>
        <v/>
      </c>
      <c r="V44">
        <f>IF(OR(B44="",D44=""),"",DATE(YEAR(Settings!$C$6),MONTH(Settings!$C$6)+12,MIN(D44,DAY(EOMONTH(DATE(YEAR(Settings!$C$6),MONTH(Settings!$C$6)+12,1),0)))))</f>
        <v/>
      </c>
      <c r="W44">
        <f>IF(OR(B44="",D44=""),0,IF(OR(E44="",E44=MONTH(DATE(YEAR(Settings!$C$6),MONTH(Settings!$C$6)+0,1))),N(C44),0))</f>
        <v/>
      </c>
      <c r="X44">
        <f>IF(OR(B44="",D44=""),0,IF(OR(E44="",E44=MONTH(DATE(YEAR(Settings!$C$6),MONTH(Settings!$C$6)+1,1))),N(C44),0))</f>
        <v/>
      </c>
      <c r="Y44">
        <f>IF(OR(B44="",D44=""),0,IF(OR(E44="",E44=MONTH(DATE(YEAR(Settings!$C$6),MONTH(Settings!$C$6)+2,1))),N(C44),0))</f>
        <v/>
      </c>
      <c r="Z44">
        <f>IF(OR(B44="",D44=""),0,IF(OR(E44="",E44=MONTH(DATE(YEAR(Settings!$C$6),MONTH(Settings!$C$6)+3,1))),N(C44),0))</f>
        <v/>
      </c>
      <c r="AA44">
        <f>IF(OR(B44="",D44=""),0,IF(OR(E44="",E44=MONTH(DATE(YEAR(Settings!$C$6),MONTH(Settings!$C$6)+4,1))),N(C44),0))</f>
        <v/>
      </c>
      <c r="AB44">
        <f>IF(OR(B44="",D44=""),0,IF(OR(E44="",E44=MONTH(DATE(YEAR(Settings!$C$6),MONTH(Settings!$C$6)+5,1))),N(C44),0))</f>
        <v/>
      </c>
      <c r="AC44">
        <f>IF(OR(B44="",D44=""),0,IF(OR(E44="",E44=MONTH(DATE(YEAR(Settings!$C$6),MONTH(Settings!$C$6)+6,1))),N(C44),0))</f>
        <v/>
      </c>
      <c r="AD44">
        <f>IF(OR(B44="",D44=""),0,IF(OR(E44="",E44=MONTH(DATE(YEAR(Settings!$C$6),MONTH(Settings!$C$6)+7,1))),N(C44),0))</f>
        <v/>
      </c>
      <c r="AE44">
        <f>IF(OR(B44="",D44=""),0,IF(OR(E44="",E44=MONTH(DATE(YEAR(Settings!$C$6),MONTH(Settings!$C$6)+8,1))),N(C44),0))</f>
        <v/>
      </c>
      <c r="AF44">
        <f>IF(OR(B44="",D44=""),0,IF(OR(E44="",E44=MONTH(DATE(YEAR(Settings!$C$6),MONTH(Settings!$C$6)+9,1))),N(C44),0))</f>
        <v/>
      </c>
      <c r="AG44">
        <f>IF(OR(B44="",D44=""),0,IF(OR(E44="",E44=MONTH(DATE(YEAR(Settings!$C$6),MONTH(Settings!$C$6)+10,1))),N(C44),0))</f>
        <v/>
      </c>
      <c r="AH44">
        <f>IF(OR(B44="",D44=""),0,IF(OR(E44="",E44=MONTH(DATE(YEAR(Settings!$C$6),MONTH(Settings!$C$6)+11,1))),N(C44),0))</f>
        <v/>
      </c>
      <c r="AI44">
        <f>IF(OR(B44="",D44=""),0,IF(OR(E44="",E44=MONTH(DATE(YEAR(Settings!$C$6),MONTH(Settings!$C$6)+12,1))),N(C44),0))</f>
        <v/>
      </c>
      <c r="AJ44">
        <f>IF(B44="","",SUMIFS(J44:V44,J44:V44,"&gt;="&amp;Dashboard!$C$4,J44:V44,"&lt;"&amp;Dashboard!$N$1,W44:AI44,"&gt;0"))</f>
        <v/>
      </c>
      <c r="AK44">
        <f>IF(N(AJ44)=0,"",AJ44+ROW()/100000)</f>
        <v/>
      </c>
    </row>
    <row r="45">
      <c r="A45" s="1" t="n"/>
      <c r="B45" s="27" t="n"/>
      <c r="C45" s="28" t="n"/>
      <c r="D45" s="29" t="n"/>
      <c r="E45" s="29" t="n"/>
      <c r="F45" s="30" t="n"/>
      <c r="G45" s="31" t="n"/>
      <c r="H45" s="30" t="n"/>
      <c r="I45" s="1" t="n"/>
      <c r="J45">
        <f>IF(OR(B45="",D45=""),"",DATE(YEAR(Settings!$C$6),MONTH(Settings!$C$6)+0,MIN(D45,DAY(EOMONTH(DATE(YEAR(Settings!$C$6),MONTH(Settings!$C$6)+0,1),0)))))</f>
        <v/>
      </c>
      <c r="K45">
        <f>IF(OR(B45="",D45=""),"",DATE(YEAR(Settings!$C$6),MONTH(Settings!$C$6)+1,MIN(D45,DAY(EOMONTH(DATE(YEAR(Settings!$C$6),MONTH(Settings!$C$6)+1,1),0)))))</f>
        <v/>
      </c>
      <c r="L45">
        <f>IF(OR(B45="",D45=""),"",DATE(YEAR(Settings!$C$6),MONTH(Settings!$C$6)+2,MIN(D45,DAY(EOMONTH(DATE(YEAR(Settings!$C$6),MONTH(Settings!$C$6)+2,1),0)))))</f>
        <v/>
      </c>
      <c r="M45">
        <f>IF(OR(B45="",D45=""),"",DATE(YEAR(Settings!$C$6),MONTH(Settings!$C$6)+3,MIN(D45,DAY(EOMONTH(DATE(YEAR(Settings!$C$6),MONTH(Settings!$C$6)+3,1),0)))))</f>
        <v/>
      </c>
      <c r="N45">
        <f>IF(OR(B45="",D45=""),"",DATE(YEAR(Settings!$C$6),MONTH(Settings!$C$6)+4,MIN(D45,DAY(EOMONTH(DATE(YEAR(Settings!$C$6),MONTH(Settings!$C$6)+4,1),0)))))</f>
        <v/>
      </c>
      <c r="O45">
        <f>IF(OR(B45="",D45=""),"",DATE(YEAR(Settings!$C$6),MONTH(Settings!$C$6)+5,MIN(D45,DAY(EOMONTH(DATE(YEAR(Settings!$C$6),MONTH(Settings!$C$6)+5,1),0)))))</f>
        <v/>
      </c>
      <c r="P45">
        <f>IF(OR(B45="",D45=""),"",DATE(YEAR(Settings!$C$6),MONTH(Settings!$C$6)+6,MIN(D45,DAY(EOMONTH(DATE(YEAR(Settings!$C$6),MONTH(Settings!$C$6)+6,1),0)))))</f>
        <v/>
      </c>
      <c r="Q45">
        <f>IF(OR(B45="",D45=""),"",DATE(YEAR(Settings!$C$6),MONTH(Settings!$C$6)+7,MIN(D45,DAY(EOMONTH(DATE(YEAR(Settings!$C$6),MONTH(Settings!$C$6)+7,1),0)))))</f>
        <v/>
      </c>
      <c r="R45">
        <f>IF(OR(B45="",D45=""),"",DATE(YEAR(Settings!$C$6),MONTH(Settings!$C$6)+8,MIN(D45,DAY(EOMONTH(DATE(YEAR(Settings!$C$6),MONTH(Settings!$C$6)+8,1),0)))))</f>
        <v/>
      </c>
      <c r="S45">
        <f>IF(OR(B45="",D45=""),"",DATE(YEAR(Settings!$C$6),MONTH(Settings!$C$6)+9,MIN(D45,DAY(EOMONTH(DATE(YEAR(Settings!$C$6),MONTH(Settings!$C$6)+9,1),0)))))</f>
        <v/>
      </c>
      <c r="T45">
        <f>IF(OR(B45="",D45=""),"",DATE(YEAR(Settings!$C$6),MONTH(Settings!$C$6)+10,MIN(D45,DAY(EOMONTH(DATE(YEAR(Settings!$C$6),MONTH(Settings!$C$6)+10,1),0)))))</f>
        <v/>
      </c>
      <c r="U45">
        <f>IF(OR(B45="",D45=""),"",DATE(YEAR(Settings!$C$6),MONTH(Settings!$C$6)+11,MIN(D45,DAY(EOMONTH(DATE(YEAR(Settings!$C$6),MONTH(Settings!$C$6)+11,1),0)))))</f>
        <v/>
      </c>
      <c r="V45">
        <f>IF(OR(B45="",D45=""),"",DATE(YEAR(Settings!$C$6),MONTH(Settings!$C$6)+12,MIN(D45,DAY(EOMONTH(DATE(YEAR(Settings!$C$6),MONTH(Settings!$C$6)+12,1),0)))))</f>
        <v/>
      </c>
      <c r="W45">
        <f>IF(OR(B45="",D45=""),0,IF(OR(E45="",E45=MONTH(DATE(YEAR(Settings!$C$6),MONTH(Settings!$C$6)+0,1))),N(C45),0))</f>
        <v/>
      </c>
      <c r="X45">
        <f>IF(OR(B45="",D45=""),0,IF(OR(E45="",E45=MONTH(DATE(YEAR(Settings!$C$6),MONTH(Settings!$C$6)+1,1))),N(C45),0))</f>
        <v/>
      </c>
      <c r="Y45">
        <f>IF(OR(B45="",D45=""),0,IF(OR(E45="",E45=MONTH(DATE(YEAR(Settings!$C$6),MONTH(Settings!$C$6)+2,1))),N(C45),0))</f>
        <v/>
      </c>
      <c r="Z45">
        <f>IF(OR(B45="",D45=""),0,IF(OR(E45="",E45=MONTH(DATE(YEAR(Settings!$C$6),MONTH(Settings!$C$6)+3,1))),N(C45),0))</f>
        <v/>
      </c>
      <c r="AA45">
        <f>IF(OR(B45="",D45=""),0,IF(OR(E45="",E45=MONTH(DATE(YEAR(Settings!$C$6),MONTH(Settings!$C$6)+4,1))),N(C45),0))</f>
        <v/>
      </c>
      <c r="AB45">
        <f>IF(OR(B45="",D45=""),0,IF(OR(E45="",E45=MONTH(DATE(YEAR(Settings!$C$6),MONTH(Settings!$C$6)+5,1))),N(C45),0))</f>
        <v/>
      </c>
      <c r="AC45">
        <f>IF(OR(B45="",D45=""),0,IF(OR(E45="",E45=MONTH(DATE(YEAR(Settings!$C$6),MONTH(Settings!$C$6)+6,1))),N(C45),0))</f>
        <v/>
      </c>
      <c r="AD45">
        <f>IF(OR(B45="",D45=""),0,IF(OR(E45="",E45=MONTH(DATE(YEAR(Settings!$C$6),MONTH(Settings!$C$6)+7,1))),N(C45),0))</f>
        <v/>
      </c>
      <c r="AE45">
        <f>IF(OR(B45="",D45=""),0,IF(OR(E45="",E45=MONTH(DATE(YEAR(Settings!$C$6),MONTH(Settings!$C$6)+8,1))),N(C45),0))</f>
        <v/>
      </c>
      <c r="AF45">
        <f>IF(OR(B45="",D45=""),0,IF(OR(E45="",E45=MONTH(DATE(YEAR(Settings!$C$6),MONTH(Settings!$C$6)+9,1))),N(C45),0))</f>
        <v/>
      </c>
      <c r="AG45">
        <f>IF(OR(B45="",D45=""),0,IF(OR(E45="",E45=MONTH(DATE(YEAR(Settings!$C$6),MONTH(Settings!$C$6)+10,1))),N(C45),0))</f>
        <v/>
      </c>
      <c r="AH45">
        <f>IF(OR(B45="",D45=""),0,IF(OR(E45="",E45=MONTH(DATE(YEAR(Settings!$C$6),MONTH(Settings!$C$6)+11,1))),N(C45),0))</f>
        <v/>
      </c>
      <c r="AI45">
        <f>IF(OR(B45="",D45=""),0,IF(OR(E45="",E45=MONTH(DATE(YEAR(Settings!$C$6),MONTH(Settings!$C$6)+12,1))),N(C45),0))</f>
        <v/>
      </c>
      <c r="AJ45">
        <f>IF(B45="","",SUMIFS(J45:V45,J45:V45,"&gt;="&amp;Dashboard!$C$4,J45:V45,"&lt;"&amp;Dashboard!$N$1,W45:AI45,"&gt;0"))</f>
        <v/>
      </c>
      <c r="AK45">
        <f>IF(N(AJ45)=0,"",AJ45+ROW()/100000)</f>
        <v/>
      </c>
    </row>
    <row r="46">
      <c r="A46" s="1" t="n"/>
      <c r="B46" s="27" t="n"/>
      <c r="C46" s="28" t="n"/>
      <c r="D46" s="29" t="n"/>
      <c r="E46" s="29" t="n"/>
      <c r="F46" s="30" t="n"/>
      <c r="G46" s="31" t="n"/>
      <c r="H46" s="30" t="n"/>
      <c r="I46" s="1" t="n"/>
      <c r="J46">
        <f>IF(OR(B46="",D46=""),"",DATE(YEAR(Settings!$C$6),MONTH(Settings!$C$6)+0,MIN(D46,DAY(EOMONTH(DATE(YEAR(Settings!$C$6),MONTH(Settings!$C$6)+0,1),0)))))</f>
        <v/>
      </c>
      <c r="K46">
        <f>IF(OR(B46="",D46=""),"",DATE(YEAR(Settings!$C$6),MONTH(Settings!$C$6)+1,MIN(D46,DAY(EOMONTH(DATE(YEAR(Settings!$C$6),MONTH(Settings!$C$6)+1,1),0)))))</f>
        <v/>
      </c>
      <c r="L46">
        <f>IF(OR(B46="",D46=""),"",DATE(YEAR(Settings!$C$6),MONTH(Settings!$C$6)+2,MIN(D46,DAY(EOMONTH(DATE(YEAR(Settings!$C$6),MONTH(Settings!$C$6)+2,1),0)))))</f>
        <v/>
      </c>
      <c r="M46">
        <f>IF(OR(B46="",D46=""),"",DATE(YEAR(Settings!$C$6),MONTH(Settings!$C$6)+3,MIN(D46,DAY(EOMONTH(DATE(YEAR(Settings!$C$6),MONTH(Settings!$C$6)+3,1),0)))))</f>
        <v/>
      </c>
      <c r="N46">
        <f>IF(OR(B46="",D46=""),"",DATE(YEAR(Settings!$C$6),MONTH(Settings!$C$6)+4,MIN(D46,DAY(EOMONTH(DATE(YEAR(Settings!$C$6),MONTH(Settings!$C$6)+4,1),0)))))</f>
        <v/>
      </c>
      <c r="O46">
        <f>IF(OR(B46="",D46=""),"",DATE(YEAR(Settings!$C$6),MONTH(Settings!$C$6)+5,MIN(D46,DAY(EOMONTH(DATE(YEAR(Settings!$C$6),MONTH(Settings!$C$6)+5,1),0)))))</f>
        <v/>
      </c>
      <c r="P46">
        <f>IF(OR(B46="",D46=""),"",DATE(YEAR(Settings!$C$6),MONTH(Settings!$C$6)+6,MIN(D46,DAY(EOMONTH(DATE(YEAR(Settings!$C$6),MONTH(Settings!$C$6)+6,1),0)))))</f>
        <v/>
      </c>
      <c r="Q46">
        <f>IF(OR(B46="",D46=""),"",DATE(YEAR(Settings!$C$6),MONTH(Settings!$C$6)+7,MIN(D46,DAY(EOMONTH(DATE(YEAR(Settings!$C$6),MONTH(Settings!$C$6)+7,1),0)))))</f>
        <v/>
      </c>
      <c r="R46">
        <f>IF(OR(B46="",D46=""),"",DATE(YEAR(Settings!$C$6),MONTH(Settings!$C$6)+8,MIN(D46,DAY(EOMONTH(DATE(YEAR(Settings!$C$6),MONTH(Settings!$C$6)+8,1),0)))))</f>
        <v/>
      </c>
      <c r="S46">
        <f>IF(OR(B46="",D46=""),"",DATE(YEAR(Settings!$C$6),MONTH(Settings!$C$6)+9,MIN(D46,DAY(EOMONTH(DATE(YEAR(Settings!$C$6),MONTH(Settings!$C$6)+9,1),0)))))</f>
        <v/>
      </c>
      <c r="T46">
        <f>IF(OR(B46="",D46=""),"",DATE(YEAR(Settings!$C$6),MONTH(Settings!$C$6)+10,MIN(D46,DAY(EOMONTH(DATE(YEAR(Settings!$C$6),MONTH(Settings!$C$6)+10,1),0)))))</f>
        <v/>
      </c>
      <c r="U46">
        <f>IF(OR(B46="",D46=""),"",DATE(YEAR(Settings!$C$6),MONTH(Settings!$C$6)+11,MIN(D46,DAY(EOMONTH(DATE(YEAR(Settings!$C$6),MONTH(Settings!$C$6)+11,1),0)))))</f>
        <v/>
      </c>
      <c r="V46">
        <f>IF(OR(B46="",D46=""),"",DATE(YEAR(Settings!$C$6),MONTH(Settings!$C$6)+12,MIN(D46,DAY(EOMONTH(DATE(YEAR(Settings!$C$6),MONTH(Settings!$C$6)+12,1),0)))))</f>
        <v/>
      </c>
      <c r="W46">
        <f>IF(OR(B46="",D46=""),0,IF(OR(E46="",E46=MONTH(DATE(YEAR(Settings!$C$6),MONTH(Settings!$C$6)+0,1))),N(C46),0))</f>
        <v/>
      </c>
      <c r="X46">
        <f>IF(OR(B46="",D46=""),0,IF(OR(E46="",E46=MONTH(DATE(YEAR(Settings!$C$6),MONTH(Settings!$C$6)+1,1))),N(C46),0))</f>
        <v/>
      </c>
      <c r="Y46">
        <f>IF(OR(B46="",D46=""),0,IF(OR(E46="",E46=MONTH(DATE(YEAR(Settings!$C$6),MONTH(Settings!$C$6)+2,1))),N(C46),0))</f>
        <v/>
      </c>
      <c r="Z46">
        <f>IF(OR(B46="",D46=""),0,IF(OR(E46="",E46=MONTH(DATE(YEAR(Settings!$C$6),MONTH(Settings!$C$6)+3,1))),N(C46),0))</f>
        <v/>
      </c>
      <c r="AA46">
        <f>IF(OR(B46="",D46=""),0,IF(OR(E46="",E46=MONTH(DATE(YEAR(Settings!$C$6),MONTH(Settings!$C$6)+4,1))),N(C46),0))</f>
        <v/>
      </c>
      <c r="AB46">
        <f>IF(OR(B46="",D46=""),0,IF(OR(E46="",E46=MONTH(DATE(YEAR(Settings!$C$6),MONTH(Settings!$C$6)+5,1))),N(C46),0))</f>
        <v/>
      </c>
      <c r="AC46">
        <f>IF(OR(B46="",D46=""),0,IF(OR(E46="",E46=MONTH(DATE(YEAR(Settings!$C$6),MONTH(Settings!$C$6)+6,1))),N(C46),0))</f>
        <v/>
      </c>
      <c r="AD46">
        <f>IF(OR(B46="",D46=""),0,IF(OR(E46="",E46=MONTH(DATE(YEAR(Settings!$C$6),MONTH(Settings!$C$6)+7,1))),N(C46),0))</f>
        <v/>
      </c>
      <c r="AE46">
        <f>IF(OR(B46="",D46=""),0,IF(OR(E46="",E46=MONTH(DATE(YEAR(Settings!$C$6),MONTH(Settings!$C$6)+8,1))),N(C46),0))</f>
        <v/>
      </c>
      <c r="AF46">
        <f>IF(OR(B46="",D46=""),0,IF(OR(E46="",E46=MONTH(DATE(YEAR(Settings!$C$6),MONTH(Settings!$C$6)+9,1))),N(C46),0))</f>
        <v/>
      </c>
      <c r="AG46">
        <f>IF(OR(B46="",D46=""),0,IF(OR(E46="",E46=MONTH(DATE(YEAR(Settings!$C$6),MONTH(Settings!$C$6)+10,1))),N(C46),0))</f>
        <v/>
      </c>
      <c r="AH46">
        <f>IF(OR(B46="",D46=""),0,IF(OR(E46="",E46=MONTH(DATE(YEAR(Settings!$C$6),MONTH(Settings!$C$6)+11,1))),N(C46),0))</f>
        <v/>
      </c>
      <c r="AI46">
        <f>IF(OR(B46="",D46=""),0,IF(OR(E46="",E46=MONTH(DATE(YEAR(Settings!$C$6),MONTH(Settings!$C$6)+12,1))),N(C46),0))</f>
        <v/>
      </c>
      <c r="AJ46">
        <f>IF(B46="","",SUMIFS(J46:V46,J46:V46,"&gt;="&amp;Dashboard!$C$4,J46:V46,"&lt;"&amp;Dashboard!$N$1,W46:AI46,"&gt;0"))</f>
        <v/>
      </c>
      <c r="AK46">
        <f>IF(N(AJ46)=0,"",AJ46+ROW()/100000)</f>
        <v/>
      </c>
    </row>
    <row r="47">
      <c r="A47" s="1" t="n"/>
      <c r="B47" s="27" t="n"/>
      <c r="C47" s="28" t="n"/>
      <c r="D47" s="29" t="n"/>
      <c r="E47" s="29" t="n"/>
      <c r="F47" s="30" t="n"/>
      <c r="G47" s="31" t="n"/>
      <c r="H47" s="30" t="n"/>
      <c r="I47" s="1" t="n"/>
      <c r="J47">
        <f>IF(OR(B47="",D47=""),"",DATE(YEAR(Settings!$C$6),MONTH(Settings!$C$6)+0,MIN(D47,DAY(EOMONTH(DATE(YEAR(Settings!$C$6),MONTH(Settings!$C$6)+0,1),0)))))</f>
        <v/>
      </c>
      <c r="K47">
        <f>IF(OR(B47="",D47=""),"",DATE(YEAR(Settings!$C$6),MONTH(Settings!$C$6)+1,MIN(D47,DAY(EOMONTH(DATE(YEAR(Settings!$C$6),MONTH(Settings!$C$6)+1,1),0)))))</f>
        <v/>
      </c>
      <c r="L47">
        <f>IF(OR(B47="",D47=""),"",DATE(YEAR(Settings!$C$6),MONTH(Settings!$C$6)+2,MIN(D47,DAY(EOMONTH(DATE(YEAR(Settings!$C$6),MONTH(Settings!$C$6)+2,1),0)))))</f>
        <v/>
      </c>
      <c r="M47">
        <f>IF(OR(B47="",D47=""),"",DATE(YEAR(Settings!$C$6),MONTH(Settings!$C$6)+3,MIN(D47,DAY(EOMONTH(DATE(YEAR(Settings!$C$6),MONTH(Settings!$C$6)+3,1),0)))))</f>
        <v/>
      </c>
      <c r="N47">
        <f>IF(OR(B47="",D47=""),"",DATE(YEAR(Settings!$C$6),MONTH(Settings!$C$6)+4,MIN(D47,DAY(EOMONTH(DATE(YEAR(Settings!$C$6),MONTH(Settings!$C$6)+4,1),0)))))</f>
        <v/>
      </c>
      <c r="O47">
        <f>IF(OR(B47="",D47=""),"",DATE(YEAR(Settings!$C$6),MONTH(Settings!$C$6)+5,MIN(D47,DAY(EOMONTH(DATE(YEAR(Settings!$C$6),MONTH(Settings!$C$6)+5,1),0)))))</f>
        <v/>
      </c>
      <c r="P47">
        <f>IF(OR(B47="",D47=""),"",DATE(YEAR(Settings!$C$6),MONTH(Settings!$C$6)+6,MIN(D47,DAY(EOMONTH(DATE(YEAR(Settings!$C$6),MONTH(Settings!$C$6)+6,1),0)))))</f>
        <v/>
      </c>
      <c r="Q47">
        <f>IF(OR(B47="",D47=""),"",DATE(YEAR(Settings!$C$6),MONTH(Settings!$C$6)+7,MIN(D47,DAY(EOMONTH(DATE(YEAR(Settings!$C$6),MONTH(Settings!$C$6)+7,1),0)))))</f>
        <v/>
      </c>
      <c r="R47">
        <f>IF(OR(B47="",D47=""),"",DATE(YEAR(Settings!$C$6),MONTH(Settings!$C$6)+8,MIN(D47,DAY(EOMONTH(DATE(YEAR(Settings!$C$6),MONTH(Settings!$C$6)+8,1),0)))))</f>
        <v/>
      </c>
      <c r="S47">
        <f>IF(OR(B47="",D47=""),"",DATE(YEAR(Settings!$C$6),MONTH(Settings!$C$6)+9,MIN(D47,DAY(EOMONTH(DATE(YEAR(Settings!$C$6),MONTH(Settings!$C$6)+9,1),0)))))</f>
        <v/>
      </c>
      <c r="T47">
        <f>IF(OR(B47="",D47=""),"",DATE(YEAR(Settings!$C$6),MONTH(Settings!$C$6)+10,MIN(D47,DAY(EOMONTH(DATE(YEAR(Settings!$C$6),MONTH(Settings!$C$6)+10,1),0)))))</f>
        <v/>
      </c>
      <c r="U47">
        <f>IF(OR(B47="",D47=""),"",DATE(YEAR(Settings!$C$6),MONTH(Settings!$C$6)+11,MIN(D47,DAY(EOMONTH(DATE(YEAR(Settings!$C$6),MONTH(Settings!$C$6)+11,1),0)))))</f>
        <v/>
      </c>
      <c r="V47">
        <f>IF(OR(B47="",D47=""),"",DATE(YEAR(Settings!$C$6),MONTH(Settings!$C$6)+12,MIN(D47,DAY(EOMONTH(DATE(YEAR(Settings!$C$6),MONTH(Settings!$C$6)+12,1),0)))))</f>
        <v/>
      </c>
      <c r="W47">
        <f>IF(OR(B47="",D47=""),0,IF(OR(E47="",E47=MONTH(DATE(YEAR(Settings!$C$6),MONTH(Settings!$C$6)+0,1))),N(C47),0))</f>
        <v/>
      </c>
      <c r="X47">
        <f>IF(OR(B47="",D47=""),0,IF(OR(E47="",E47=MONTH(DATE(YEAR(Settings!$C$6),MONTH(Settings!$C$6)+1,1))),N(C47),0))</f>
        <v/>
      </c>
      <c r="Y47">
        <f>IF(OR(B47="",D47=""),0,IF(OR(E47="",E47=MONTH(DATE(YEAR(Settings!$C$6),MONTH(Settings!$C$6)+2,1))),N(C47),0))</f>
        <v/>
      </c>
      <c r="Z47">
        <f>IF(OR(B47="",D47=""),0,IF(OR(E47="",E47=MONTH(DATE(YEAR(Settings!$C$6),MONTH(Settings!$C$6)+3,1))),N(C47),0))</f>
        <v/>
      </c>
      <c r="AA47">
        <f>IF(OR(B47="",D47=""),0,IF(OR(E47="",E47=MONTH(DATE(YEAR(Settings!$C$6),MONTH(Settings!$C$6)+4,1))),N(C47),0))</f>
        <v/>
      </c>
      <c r="AB47">
        <f>IF(OR(B47="",D47=""),0,IF(OR(E47="",E47=MONTH(DATE(YEAR(Settings!$C$6),MONTH(Settings!$C$6)+5,1))),N(C47),0))</f>
        <v/>
      </c>
      <c r="AC47">
        <f>IF(OR(B47="",D47=""),0,IF(OR(E47="",E47=MONTH(DATE(YEAR(Settings!$C$6),MONTH(Settings!$C$6)+6,1))),N(C47),0))</f>
        <v/>
      </c>
      <c r="AD47">
        <f>IF(OR(B47="",D47=""),0,IF(OR(E47="",E47=MONTH(DATE(YEAR(Settings!$C$6),MONTH(Settings!$C$6)+7,1))),N(C47),0))</f>
        <v/>
      </c>
      <c r="AE47">
        <f>IF(OR(B47="",D47=""),0,IF(OR(E47="",E47=MONTH(DATE(YEAR(Settings!$C$6),MONTH(Settings!$C$6)+8,1))),N(C47),0))</f>
        <v/>
      </c>
      <c r="AF47">
        <f>IF(OR(B47="",D47=""),0,IF(OR(E47="",E47=MONTH(DATE(YEAR(Settings!$C$6),MONTH(Settings!$C$6)+9,1))),N(C47),0))</f>
        <v/>
      </c>
      <c r="AG47">
        <f>IF(OR(B47="",D47=""),0,IF(OR(E47="",E47=MONTH(DATE(YEAR(Settings!$C$6),MONTH(Settings!$C$6)+10,1))),N(C47),0))</f>
        <v/>
      </c>
      <c r="AH47">
        <f>IF(OR(B47="",D47=""),0,IF(OR(E47="",E47=MONTH(DATE(YEAR(Settings!$C$6),MONTH(Settings!$C$6)+11,1))),N(C47),0))</f>
        <v/>
      </c>
      <c r="AI47">
        <f>IF(OR(B47="",D47=""),0,IF(OR(E47="",E47=MONTH(DATE(YEAR(Settings!$C$6),MONTH(Settings!$C$6)+12,1))),N(C47),0))</f>
        <v/>
      </c>
      <c r="AJ47">
        <f>IF(B47="","",SUMIFS(J47:V47,J47:V47,"&gt;="&amp;Dashboard!$C$4,J47:V47,"&lt;"&amp;Dashboard!$N$1,W47:AI47,"&gt;0"))</f>
        <v/>
      </c>
      <c r="AK47">
        <f>IF(N(AJ47)=0,"",AJ47+ROW()/100000)</f>
        <v/>
      </c>
    </row>
    <row r="48">
      <c r="A48" s="1" t="n"/>
      <c r="B48" s="27" t="n"/>
      <c r="C48" s="28" t="n"/>
      <c r="D48" s="29" t="n"/>
      <c r="E48" s="29" t="n"/>
      <c r="F48" s="30" t="n"/>
      <c r="G48" s="31" t="n"/>
      <c r="H48" s="30" t="n"/>
      <c r="I48" s="1" t="n"/>
      <c r="J48">
        <f>IF(OR(B48="",D48=""),"",DATE(YEAR(Settings!$C$6),MONTH(Settings!$C$6)+0,MIN(D48,DAY(EOMONTH(DATE(YEAR(Settings!$C$6),MONTH(Settings!$C$6)+0,1),0)))))</f>
        <v/>
      </c>
      <c r="K48">
        <f>IF(OR(B48="",D48=""),"",DATE(YEAR(Settings!$C$6),MONTH(Settings!$C$6)+1,MIN(D48,DAY(EOMONTH(DATE(YEAR(Settings!$C$6),MONTH(Settings!$C$6)+1,1),0)))))</f>
        <v/>
      </c>
      <c r="L48">
        <f>IF(OR(B48="",D48=""),"",DATE(YEAR(Settings!$C$6),MONTH(Settings!$C$6)+2,MIN(D48,DAY(EOMONTH(DATE(YEAR(Settings!$C$6),MONTH(Settings!$C$6)+2,1),0)))))</f>
        <v/>
      </c>
      <c r="M48">
        <f>IF(OR(B48="",D48=""),"",DATE(YEAR(Settings!$C$6),MONTH(Settings!$C$6)+3,MIN(D48,DAY(EOMONTH(DATE(YEAR(Settings!$C$6),MONTH(Settings!$C$6)+3,1),0)))))</f>
        <v/>
      </c>
      <c r="N48">
        <f>IF(OR(B48="",D48=""),"",DATE(YEAR(Settings!$C$6),MONTH(Settings!$C$6)+4,MIN(D48,DAY(EOMONTH(DATE(YEAR(Settings!$C$6),MONTH(Settings!$C$6)+4,1),0)))))</f>
        <v/>
      </c>
      <c r="O48">
        <f>IF(OR(B48="",D48=""),"",DATE(YEAR(Settings!$C$6),MONTH(Settings!$C$6)+5,MIN(D48,DAY(EOMONTH(DATE(YEAR(Settings!$C$6),MONTH(Settings!$C$6)+5,1),0)))))</f>
        <v/>
      </c>
      <c r="P48">
        <f>IF(OR(B48="",D48=""),"",DATE(YEAR(Settings!$C$6),MONTH(Settings!$C$6)+6,MIN(D48,DAY(EOMONTH(DATE(YEAR(Settings!$C$6),MONTH(Settings!$C$6)+6,1),0)))))</f>
        <v/>
      </c>
      <c r="Q48">
        <f>IF(OR(B48="",D48=""),"",DATE(YEAR(Settings!$C$6),MONTH(Settings!$C$6)+7,MIN(D48,DAY(EOMONTH(DATE(YEAR(Settings!$C$6),MONTH(Settings!$C$6)+7,1),0)))))</f>
        <v/>
      </c>
      <c r="R48">
        <f>IF(OR(B48="",D48=""),"",DATE(YEAR(Settings!$C$6),MONTH(Settings!$C$6)+8,MIN(D48,DAY(EOMONTH(DATE(YEAR(Settings!$C$6),MONTH(Settings!$C$6)+8,1),0)))))</f>
        <v/>
      </c>
      <c r="S48">
        <f>IF(OR(B48="",D48=""),"",DATE(YEAR(Settings!$C$6),MONTH(Settings!$C$6)+9,MIN(D48,DAY(EOMONTH(DATE(YEAR(Settings!$C$6),MONTH(Settings!$C$6)+9,1),0)))))</f>
        <v/>
      </c>
      <c r="T48">
        <f>IF(OR(B48="",D48=""),"",DATE(YEAR(Settings!$C$6),MONTH(Settings!$C$6)+10,MIN(D48,DAY(EOMONTH(DATE(YEAR(Settings!$C$6),MONTH(Settings!$C$6)+10,1),0)))))</f>
        <v/>
      </c>
      <c r="U48">
        <f>IF(OR(B48="",D48=""),"",DATE(YEAR(Settings!$C$6),MONTH(Settings!$C$6)+11,MIN(D48,DAY(EOMONTH(DATE(YEAR(Settings!$C$6),MONTH(Settings!$C$6)+11,1),0)))))</f>
        <v/>
      </c>
      <c r="V48">
        <f>IF(OR(B48="",D48=""),"",DATE(YEAR(Settings!$C$6),MONTH(Settings!$C$6)+12,MIN(D48,DAY(EOMONTH(DATE(YEAR(Settings!$C$6),MONTH(Settings!$C$6)+12,1),0)))))</f>
        <v/>
      </c>
      <c r="W48">
        <f>IF(OR(B48="",D48=""),0,IF(OR(E48="",E48=MONTH(DATE(YEAR(Settings!$C$6),MONTH(Settings!$C$6)+0,1))),N(C48),0))</f>
        <v/>
      </c>
      <c r="X48">
        <f>IF(OR(B48="",D48=""),0,IF(OR(E48="",E48=MONTH(DATE(YEAR(Settings!$C$6),MONTH(Settings!$C$6)+1,1))),N(C48),0))</f>
        <v/>
      </c>
      <c r="Y48">
        <f>IF(OR(B48="",D48=""),0,IF(OR(E48="",E48=MONTH(DATE(YEAR(Settings!$C$6),MONTH(Settings!$C$6)+2,1))),N(C48),0))</f>
        <v/>
      </c>
      <c r="Z48">
        <f>IF(OR(B48="",D48=""),0,IF(OR(E48="",E48=MONTH(DATE(YEAR(Settings!$C$6),MONTH(Settings!$C$6)+3,1))),N(C48),0))</f>
        <v/>
      </c>
      <c r="AA48">
        <f>IF(OR(B48="",D48=""),0,IF(OR(E48="",E48=MONTH(DATE(YEAR(Settings!$C$6),MONTH(Settings!$C$6)+4,1))),N(C48),0))</f>
        <v/>
      </c>
      <c r="AB48">
        <f>IF(OR(B48="",D48=""),0,IF(OR(E48="",E48=MONTH(DATE(YEAR(Settings!$C$6),MONTH(Settings!$C$6)+5,1))),N(C48),0))</f>
        <v/>
      </c>
      <c r="AC48">
        <f>IF(OR(B48="",D48=""),0,IF(OR(E48="",E48=MONTH(DATE(YEAR(Settings!$C$6),MONTH(Settings!$C$6)+6,1))),N(C48),0))</f>
        <v/>
      </c>
      <c r="AD48">
        <f>IF(OR(B48="",D48=""),0,IF(OR(E48="",E48=MONTH(DATE(YEAR(Settings!$C$6),MONTH(Settings!$C$6)+7,1))),N(C48),0))</f>
        <v/>
      </c>
      <c r="AE48">
        <f>IF(OR(B48="",D48=""),0,IF(OR(E48="",E48=MONTH(DATE(YEAR(Settings!$C$6),MONTH(Settings!$C$6)+8,1))),N(C48),0))</f>
        <v/>
      </c>
      <c r="AF48">
        <f>IF(OR(B48="",D48=""),0,IF(OR(E48="",E48=MONTH(DATE(YEAR(Settings!$C$6),MONTH(Settings!$C$6)+9,1))),N(C48),0))</f>
        <v/>
      </c>
      <c r="AG48">
        <f>IF(OR(B48="",D48=""),0,IF(OR(E48="",E48=MONTH(DATE(YEAR(Settings!$C$6),MONTH(Settings!$C$6)+10,1))),N(C48),0))</f>
        <v/>
      </c>
      <c r="AH48">
        <f>IF(OR(B48="",D48=""),0,IF(OR(E48="",E48=MONTH(DATE(YEAR(Settings!$C$6),MONTH(Settings!$C$6)+11,1))),N(C48),0))</f>
        <v/>
      </c>
      <c r="AI48">
        <f>IF(OR(B48="",D48=""),0,IF(OR(E48="",E48=MONTH(DATE(YEAR(Settings!$C$6),MONTH(Settings!$C$6)+12,1))),N(C48),0))</f>
        <v/>
      </c>
      <c r="AJ48">
        <f>IF(B48="","",SUMIFS(J48:V48,J48:V48,"&gt;="&amp;Dashboard!$C$4,J48:V48,"&lt;"&amp;Dashboard!$N$1,W48:AI48,"&gt;0"))</f>
        <v/>
      </c>
      <c r="AK48">
        <f>IF(N(AJ48)=0,"",AJ48+ROW()/100000)</f>
        <v/>
      </c>
    </row>
    <row r="49">
      <c r="A49" s="1" t="n"/>
      <c r="B49" s="27" t="n"/>
      <c r="C49" s="28" t="n"/>
      <c r="D49" s="29" t="n"/>
      <c r="E49" s="29" t="n"/>
      <c r="F49" s="30" t="n"/>
      <c r="G49" s="31" t="n"/>
      <c r="H49" s="30" t="n"/>
      <c r="I49" s="1" t="n"/>
      <c r="J49">
        <f>IF(OR(B49="",D49=""),"",DATE(YEAR(Settings!$C$6),MONTH(Settings!$C$6)+0,MIN(D49,DAY(EOMONTH(DATE(YEAR(Settings!$C$6),MONTH(Settings!$C$6)+0,1),0)))))</f>
        <v/>
      </c>
      <c r="K49">
        <f>IF(OR(B49="",D49=""),"",DATE(YEAR(Settings!$C$6),MONTH(Settings!$C$6)+1,MIN(D49,DAY(EOMONTH(DATE(YEAR(Settings!$C$6),MONTH(Settings!$C$6)+1,1),0)))))</f>
        <v/>
      </c>
      <c r="L49">
        <f>IF(OR(B49="",D49=""),"",DATE(YEAR(Settings!$C$6),MONTH(Settings!$C$6)+2,MIN(D49,DAY(EOMONTH(DATE(YEAR(Settings!$C$6),MONTH(Settings!$C$6)+2,1),0)))))</f>
        <v/>
      </c>
      <c r="M49">
        <f>IF(OR(B49="",D49=""),"",DATE(YEAR(Settings!$C$6),MONTH(Settings!$C$6)+3,MIN(D49,DAY(EOMONTH(DATE(YEAR(Settings!$C$6),MONTH(Settings!$C$6)+3,1),0)))))</f>
        <v/>
      </c>
      <c r="N49">
        <f>IF(OR(B49="",D49=""),"",DATE(YEAR(Settings!$C$6),MONTH(Settings!$C$6)+4,MIN(D49,DAY(EOMONTH(DATE(YEAR(Settings!$C$6),MONTH(Settings!$C$6)+4,1),0)))))</f>
        <v/>
      </c>
      <c r="O49">
        <f>IF(OR(B49="",D49=""),"",DATE(YEAR(Settings!$C$6),MONTH(Settings!$C$6)+5,MIN(D49,DAY(EOMONTH(DATE(YEAR(Settings!$C$6),MONTH(Settings!$C$6)+5,1),0)))))</f>
        <v/>
      </c>
      <c r="P49">
        <f>IF(OR(B49="",D49=""),"",DATE(YEAR(Settings!$C$6),MONTH(Settings!$C$6)+6,MIN(D49,DAY(EOMONTH(DATE(YEAR(Settings!$C$6),MONTH(Settings!$C$6)+6,1),0)))))</f>
        <v/>
      </c>
      <c r="Q49">
        <f>IF(OR(B49="",D49=""),"",DATE(YEAR(Settings!$C$6),MONTH(Settings!$C$6)+7,MIN(D49,DAY(EOMONTH(DATE(YEAR(Settings!$C$6),MONTH(Settings!$C$6)+7,1),0)))))</f>
        <v/>
      </c>
      <c r="R49">
        <f>IF(OR(B49="",D49=""),"",DATE(YEAR(Settings!$C$6),MONTH(Settings!$C$6)+8,MIN(D49,DAY(EOMONTH(DATE(YEAR(Settings!$C$6),MONTH(Settings!$C$6)+8,1),0)))))</f>
        <v/>
      </c>
      <c r="S49">
        <f>IF(OR(B49="",D49=""),"",DATE(YEAR(Settings!$C$6),MONTH(Settings!$C$6)+9,MIN(D49,DAY(EOMONTH(DATE(YEAR(Settings!$C$6),MONTH(Settings!$C$6)+9,1),0)))))</f>
        <v/>
      </c>
      <c r="T49">
        <f>IF(OR(B49="",D49=""),"",DATE(YEAR(Settings!$C$6),MONTH(Settings!$C$6)+10,MIN(D49,DAY(EOMONTH(DATE(YEAR(Settings!$C$6),MONTH(Settings!$C$6)+10,1),0)))))</f>
        <v/>
      </c>
      <c r="U49">
        <f>IF(OR(B49="",D49=""),"",DATE(YEAR(Settings!$C$6),MONTH(Settings!$C$6)+11,MIN(D49,DAY(EOMONTH(DATE(YEAR(Settings!$C$6),MONTH(Settings!$C$6)+11,1),0)))))</f>
        <v/>
      </c>
      <c r="V49">
        <f>IF(OR(B49="",D49=""),"",DATE(YEAR(Settings!$C$6),MONTH(Settings!$C$6)+12,MIN(D49,DAY(EOMONTH(DATE(YEAR(Settings!$C$6),MONTH(Settings!$C$6)+12,1),0)))))</f>
        <v/>
      </c>
      <c r="W49">
        <f>IF(OR(B49="",D49=""),0,IF(OR(E49="",E49=MONTH(DATE(YEAR(Settings!$C$6),MONTH(Settings!$C$6)+0,1))),N(C49),0))</f>
        <v/>
      </c>
      <c r="X49">
        <f>IF(OR(B49="",D49=""),0,IF(OR(E49="",E49=MONTH(DATE(YEAR(Settings!$C$6),MONTH(Settings!$C$6)+1,1))),N(C49),0))</f>
        <v/>
      </c>
      <c r="Y49">
        <f>IF(OR(B49="",D49=""),0,IF(OR(E49="",E49=MONTH(DATE(YEAR(Settings!$C$6),MONTH(Settings!$C$6)+2,1))),N(C49),0))</f>
        <v/>
      </c>
      <c r="Z49">
        <f>IF(OR(B49="",D49=""),0,IF(OR(E49="",E49=MONTH(DATE(YEAR(Settings!$C$6),MONTH(Settings!$C$6)+3,1))),N(C49),0))</f>
        <v/>
      </c>
      <c r="AA49">
        <f>IF(OR(B49="",D49=""),0,IF(OR(E49="",E49=MONTH(DATE(YEAR(Settings!$C$6),MONTH(Settings!$C$6)+4,1))),N(C49),0))</f>
        <v/>
      </c>
      <c r="AB49">
        <f>IF(OR(B49="",D49=""),0,IF(OR(E49="",E49=MONTH(DATE(YEAR(Settings!$C$6),MONTH(Settings!$C$6)+5,1))),N(C49),0))</f>
        <v/>
      </c>
      <c r="AC49">
        <f>IF(OR(B49="",D49=""),0,IF(OR(E49="",E49=MONTH(DATE(YEAR(Settings!$C$6),MONTH(Settings!$C$6)+6,1))),N(C49),0))</f>
        <v/>
      </c>
      <c r="AD49">
        <f>IF(OR(B49="",D49=""),0,IF(OR(E49="",E49=MONTH(DATE(YEAR(Settings!$C$6),MONTH(Settings!$C$6)+7,1))),N(C49),0))</f>
        <v/>
      </c>
      <c r="AE49">
        <f>IF(OR(B49="",D49=""),0,IF(OR(E49="",E49=MONTH(DATE(YEAR(Settings!$C$6),MONTH(Settings!$C$6)+8,1))),N(C49),0))</f>
        <v/>
      </c>
      <c r="AF49">
        <f>IF(OR(B49="",D49=""),0,IF(OR(E49="",E49=MONTH(DATE(YEAR(Settings!$C$6),MONTH(Settings!$C$6)+9,1))),N(C49),0))</f>
        <v/>
      </c>
      <c r="AG49">
        <f>IF(OR(B49="",D49=""),0,IF(OR(E49="",E49=MONTH(DATE(YEAR(Settings!$C$6),MONTH(Settings!$C$6)+10,1))),N(C49),0))</f>
        <v/>
      </c>
      <c r="AH49">
        <f>IF(OR(B49="",D49=""),0,IF(OR(E49="",E49=MONTH(DATE(YEAR(Settings!$C$6),MONTH(Settings!$C$6)+11,1))),N(C49),0))</f>
        <v/>
      </c>
      <c r="AI49">
        <f>IF(OR(B49="",D49=""),0,IF(OR(E49="",E49=MONTH(DATE(YEAR(Settings!$C$6),MONTH(Settings!$C$6)+12,1))),N(C49),0))</f>
        <v/>
      </c>
      <c r="AJ49">
        <f>IF(B49="","",SUMIFS(J49:V49,J49:V49,"&gt;="&amp;Dashboard!$C$4,J49:V49,"&lt;"&amp;Dashboard!$N$1,W49:AI49,"&gt;0"))</f>
        <v/>
      </c>
      <c r="AK49">
        <f>IF(N(AJ49)=0,"",AJ49+ROW()/100000)</f>
        <v/>
      </c>
    </row>
    <row r="50">
      <c r="A50" s="1" t="n"/>
      <c r="B50" s="27" t="n"/>
      <c r="C50" s="28" t="n"/>
      <c r="D50" s="29" t="n"/>
      <c r="E50" s="29" t="n"/>
      <c r="F50" s="30" t="n"/>
      <c r="G50" s="31" t="n"/>
      <c r="H50" s="30" t="n"/>
      <c r="I50" s="1" t="n"/>
      <c r="J50">
        <f>IF(OR(B50="",D50=""),"",DATE(YEAR(Settings!$C$6),MONTH(Settings!$C$6)+0,MIN(D50,DAY(EOMONTH(DATE(YEAR(Settings!$C$6),MONTH(Settings!$C$6)+0,1),0)))))</f>
        <v/>
      </c>
      <c r="K50">
        <f>IF(OR(B50="",D50=""),"",DATE(YEAR(Settings!$C$6),MONTH(Settings!$C$6)+1,MIN(D50,DAY(EOMONTH(DATE(YEAR(Settings!$C$6),MONTH(Settings!$C$6)+1,1),0)))))</f>
        <v/>
      </c>
      <c r="L50">
        <f>IF(OR(B50="",D50=""),"",DATE(YEAR(Settings!$C$6),MONTH(Settings!$C$6)+2,MIN(D50,DAY(EOMONTH(DATE(YEAR(Settings!$C$6),MONTH(Settings!$C$6)+2,1),0)))))</f>
        <v/>
      </c>
      <c r="M50">
        <f>IF(OR(B50="",D50=""),"",DATE(YEAR(Settings!$C$6),MONTH(Settings!$C$6)+3,MIN(D50,DAY(EOMONTH(DATE(YEAR(Settings!$C$6),MONTH(Settings!$C$6)+3,1),0)))))</f>
        <v/>
      </c>
      <c r="N50">
        <f>IF(OR(B50="",D50=""),"",DATE(YEAR(Settings!$C$6),MONTH(Settings!$C$6)+4,MIN(D50,DAY(EOMONTH(DATE(YEAR(Settings!$C$6),MONTH(Settings!$C$6)+4,1),0)))))</f>
        <v/>
      </c>
      <c r="O50">
        <f>IF(OR(B50="",D50=""),"",DATE(YEAR(Settings!$C$6),MONTH(Settings!$C$6)+5,MIN(D50,DAY(EOMONTH(DATE(YEAR(Settings!$C$6),MONTH(Settings!$C$6)+5,1),0)))))</f>
        <v/>
      </c>
      <c r="P50">
        <f>IF(OR(B50="",D50=""),"",DATE(YEAR(Settings!$C$6),MONTH(Settings!$C$6)+6,MIN(D50,DAY(EOMONTH(DATE(YEAR(Settings!$C$6),MONTH(Settings!$C$6)+6,1),0)))))</f>
        <v/>
      </c>
      <c r="Q50">
        <f>IF(OR(B50="",D50=""),"",DATE(YEAR(Settings!$C$6),MONTH(Settings!$C$6)+7,MIN(D50,DAY(EOMONTH(DATE(YEAR(Settings!$C$6),MONTH(Settings!$C$6)+7,1),0)))))</f>
        <v/>
      </c>
      <c r="R50">
        <f>IF(OR(B50="",D50=""),"",DATE(YEAR(Settings!$C$6),MONTH(Settings!$C$6)+8,MIN(D50,DAY(EOMONTH(DATE(YEAR(Settings!$C$6),MONTH(Settings!$C$6)+8,1),0)))))</f>
        <v/>
      </c>
      <c r="S50">
        <f>IF(OR(B50="",D50=""),"",DATE(YEAR(Settings!$C$6),MONTH(Settings!$C$6)+9,MIN(D50,DAY(EOMONTH(DATE(YEAR(Settings!$C$6),MONTH(Settings!$C$6)+9,1),0)))))</f>
        <v/>
      </c>
      <c r="T50">
        <f>IF(OR(B50="",D50=""),"",DATE(YEAR(Settings!$C$6),MONTH(Settings!$C$6)+10,MIN(D50,DAY(EOMONTH(DATE(YEAR(Settings!$C$6),MONTH(Settings!$C$6)+10,1),0)))))</f>
        <v/>
      </c>
      <c r="U50">
        <f>IF(OR(B50="",D50=""),"",DATE(YEAR(Settings!$C$6),MONTH(Settings!$C$6)+11,MIN(D50,DAY(EOMONTH(DATE(YEAR(Settings!$C$6),MONTH(Settings!$C$6)+11,1),0)))))</f>
        <v/>
      </c>
      <c r="V50">
        <f>IF(OR(B50="",D50=""),"",DATE(YEAR(Settings!$C$6),MONTH(Settings!$C$6)+12,MIN(D50,DAY(EOMONTH(DATE(YEAR(Settings!$C$6),MONTH(Settings!$C$6)+12,1),0)))))</f>
        <v/>
      </c>
      <c r="W50">
        <f>IF(OR(B50="",D50=""),0,IF(OR(E50="",E50=MONTH(DATE(YEAR(Settings!$C$6),MONTH(Settings!$C$6)+0,1))),N(C50),0))</f>
        <v/>
      </c>
      <c r="X50">
        <f>IF(OR(B50="",D50=""),0,IF(OR(E50="",E50=MONTH(DATE(YEAR(Settings!$C$6),MONTH(Settings!$C$6)+1,1))),N(C50),0))</f>
        <v/>
      </c>
      <c r="Y50">
        <f>IF(OR(B50="",D50=""),0,IF(OR(E50="",E50=MONTH(DATE(YEAR(Settings!$C$6),MONTH(Settings!$C$6)+2,1))),N(C50),0))</f>
        <v/>
      </c>
      <c r="Z50">
        <f>IF(OR(B50="",D50=""),0,IF(OR(E50="",E50=MONTH(DATE(YEAR(Settings!$C$6),MONTH(Settings!$C$6)+3,1))),N(C50),0))</f>
        <v/>
      </c>
      <c r="AA50">
        <f>IF(OR(B50="",D50=""),0,IF(OR(E50="",E50=MONTH(DATE(YEAR(Settings!$C$6),MONTH(Settings!$C$6)+4,1))),N(C50),0))</f>
        <v/>
      </c>
      <c r="AB50">
        <f>IF(OR(B50="",D50=""),0,IF(OR(E50="",E50=MONTH(DATE(YEAR(Settings!$C$6),MONTH(Settings!$C$6)+5,1))),N(C50),0))</f>
        <v/>
      </c>
      <c r="AC50">
        <f>IF(OR(B50="",D50=""),0,IF(OR(E50="",E50=MONTH(DATE(YEAR(Settings!$C$6),MONTH(Settings!$C$6)+6,1))),N(C50),0))</f>
        <v/>
      </c>
      <c r="AD50">
        <f>IF(OR(B50="",D50=""),0,IF(OR(E50="",E50=MONTH(DATE(YEAR(Settings!$C$6),MONTH(Settings!$C$6)+7,1))),N(C50),0))</f>
        <v/>
      </c>
      <c r="AE50">
        <f>IF(OR(B50="",D50=""),0,IF(OR(E50="",E50=MONTH(DATE(YEAR(Settings!$C$6),MONTH(Settings!$C$6)+8,1))),N(C50),0))</f>
        <v/>
      </c>
      <c r="AF50">
        <f>IF(OR(B50="",D50=""),0,IF(OR(E50="",E50=MONTH(DATE(YEAR(Settings!$C$6),MONTH(Settings!$C$6)+9,1))),N(C50),0))</f>
        <v/>
      </c>
      <c r="AG50">
        <f>IF(OR(B50="",D50=""),0,IF(OR(E50="",E50=MONTH(DATE(YEAR(Settings!$C$6),MONTH(Settings!$C$6)+10,1))),N(C50),0))</f>
        <v/>
      </c>
      <c r="AH50">
        <f>IF(OR(B50="",D50=""),0,IF(OR(E50="",E50=MONTH(DATE(YEAR(Settings!$C$6),MONTH(Settings!$C$6)+11,1))),N(C50),0))</f>
        <v/>
      </c>
      <c r="AI50">
        <f>IF(OR(B50="",D50=""),0,IF(OR(E50="",E50=MONTH(DATE(YEAR(Settings!$C$6),MONTH(Settings!$C$6)+12,1))),N(C50),0))</f>
        <v/>
      </c>
      <c r="AJ50">
        <f>IF(B50="","",SUMIFS(J50:V50,J50:V50,"&gt;="&amp;Dashboard!$C$4,J50:V50,"&lt;"&amp;Dashboard!$N$1,W50:AI50,"&gt;0"))</f>
        <v/>
      </c>
      <c r="AK50">
        <f>IF(N(AJ50)=0,"",AJ50+ROW()/100000)</f>
        <v/>
      </c>
    </row>
    <row r="51">
      <c r="A51" s="1" t="n"/>
      <c r="B51" s="27" t="n"/>
      <c r="C51" s="28" t="n"/>
      <c r="D51" s="29" t="n"/>
      <c r="E51" s="29" t="n"/>
      <c r="F51" s="30" t="n"/>
      <c r="G51" s="31" t="n"/>
      <c r="H51" s="30" t="n"/>
      <c r="I51" s="1" t="n"/>
      <c r="J51">
        <f>IF(OR(B51="",D51=""),"",DATE(YEAR(Settings!$C$6),MONTH(Settings!$C$6)+0,MIN(D51,DAY(EOMONTH(DATE(YEAR(Settings!$C$6),MONTH(Settings!$C$6)+0,1),0)))))</f>
        <v/>
      </c>
      <c r="K51">
        <f>IF(OR(B51="",D51=""),"",DATE(YEAR(Settings!$C$6),MONTH(Settings!$C$6)+1,MIN(D51,DAY(EOMONTH(DATE(YEAR(Settings!$C$6),MONTH(Settings!$C$6)+1,1),0)))))</f>
        <v/>
      </c>
      <c r="L51">
        <f>IF(OR(B51="",D51=""),"",DATE(YEAR(Settings!$C$6),MONTH(Settings!$C$6)+2,MIN(D51,DAY(EOMONTH(DATE(YEAR(Settings!$C$6),MONTH(Settings!$C$6)+2,1),0)))))</f>
        <v/>
      </c>
      <c r="M51">
        <f>IF(OR(B51="",D51=""),"",DATE(YEAR(Settings!$C$6),MONTH(Settings!$C$6)+3,MIN(D51,DAY(EOMONTH(DATE(YEAR(Settings!$C$6),MONTH(Settings!$C$6)+3,1),0)))))</f>
        <v/>
      </c>
      <c r="N51">
        <f>IF(OR(B51="",D51=""),"",DATE(YEAR(Settings!$C$6),MONTH(Settings!$C$6)+4,MIN(D51,DAY(EOMONTH(DATE(YEAR(Settings!$C$6),MONTH(Settings!$C$6)+4,1),0)))))</f>
        <v/>
      </c>
      <c r="O51">
        <f>IF(OR(B51="",D51=""),"",DATE(YEAR(Settings!$C$6),MONTH(Settings!$C$6)+5,MIN(D51,DAY(EOMONTH(DATE(YEAR(Settings!$C$6),MONTH(Settings!$C$6)+5,1),0)))))</f>
        <v/>
      </c>
      <c r="P51">
        <f>IF(OR(B51="",D51=""),"",DATE(YEAR(Settings!$C$6),MONTH(Settings!$C$6)+6,MIN(D51,DAY(EOMONTH(DATE(YEAR(Settings!$C$6),MONTH(Settings!$C$6)+6,1),0)))))</f>
        <v/>
      </c>
      <c r="Q51">
        <f>IF(OR(B51="",D51=""),"",DATE(YEAR(Settings!$C$6),MONTH(Settings!$C$6)+7,MIN(D51,DAY(EOMONTH(DATE(YEAR(Settings!$C$6),MONTH(Settings!$C$6)+7,1),0)))))</f>
        <v/>
      </c>
      <c r="R51">
        <f>IF(OR(B51="",D51=""),"",DATE(YEAR(Settings!$C$6),MONTH(Settings!$C$6)+8,MIN(D51,DAY(EOMONTH(DATE(YEAR(Settings!$C$6),MONTH(Settings!$C$6)+8,1),0)))))</f>
        <v/>
      </c>
      <c r="S51">
        <f>IF(OR(B51="",D51=""),"",DATE(YEAR(Settings!$C$6),MONTH(Settings!$C$6)+9,MIN(D51,DAY(EOMONTH(DATE(YEAR(Settings!$C$6),MONTH(Settings!$C$6)+9,1),0)))))</f>
        <v/>
      </c>
      <c r="T51">
        <f>IF(OR(B51="",D51=""),"",DATE(YEAR(Settings!$C$6),MONTH(Settings!$C$6)+10,MIN(D51,DAY(EOMONTH(DATE(YEAR(Settings!$C$6),MONTH(Settings!$C$6)+10,1),0)))))</f>
        <v/>
      </c>
      <c r="U51">
        <f>IF(OR(B51="",D51=""),"",DATE(YEAR(Settings!$C$6),MONTH(Settings!$C$6)+11,MIN(D51,DAY(EOMONTH(DATE(YEAR(Settings!$C$6),MONTH(Settings!$C$6)+11,1),0)))))</f>
        <v/>
      </c>
      <c r="V51">
        <f>IF(OR(B51="",D51=""),"",DATE(YEAR(Settings!$C$6),MONTH(Settings!$C$6)+12,MIN(D51,DAY(EOMONTH(DATE(YEAR(Settings!$C$6),MONTH(Settings!$C$6)+12,1),0)))))</f>
        <v/>
      </c>
      <c r="W51">
        <f>IF(OR(B51="",D51=""),0,IF(OR(E51="",E51=MONTH(DATE(YEAR(Settings!$C$6),MONTH(Settings!$C$6)+0,1))),N(C51),0))</f>
        <v/>
      </c>
      <c r="X51">
        <f>IF(OR(B51="",D51=""),0,IF(OR(E51="",E51=MONTH(DATE(YEAR(Settings!$C$6),MONTH(Settings!$C$6)+1,1))),N(C51),0))</f>
        <v/>
      </c>
      <c r="Y51">
        <f>IF(OR(B51="",D51=""),0,IF(OR(E51="",E51=MONTH(DATE(YEAR(Settings!$C$6),MONTH(Settings!$C$6)+2,1))),N(C51),0))</f>
        <v/>
      </c>
      <c r="Z51">
        <f>IF(OR(B51="",D51=""),0,IF(OR(E51="",E51=MONTH(DATE(YEAR(Settings!$C$6),MONTH(Settings!$C$6)+3,1))),N(C51),0))</f>
        <v/>
      </c>
      <c r="AA51">
        <f>IF(OR(B51="",D51=""),0,IF(OR(E51="",E51=MONTH(DATE(YEAR(Settings!$C$6),MONTH(Settings!$C$6)+4,1))),N(C51),0))</f>
        <v/>
      </c>
      <c r="AB51">
        <f>IF(OR(B51="",D51=""),0,IF(OR(E51="",E51=MONTH(DATE(YEAR(Settings!$C$6),MONTH(Settings!$C$6)+5,1))),N(C51),0))</f>
        <v/>
      </c>
      <c r="AC51">
        <f>IF(OR(B51="",D51=""),0,IF(OR(E51="",E51=MONTH(DATE(YEAR(Settings!$C$6),MONTH(Settings!$C$6)+6,1))),N(C51),0))</f>
        <v/>
      </c>
      <c r="AD51">
        <f>IF(OR(B51="",D51=""),0,IF(OR(E51="",E51=MONTH(DATE(YEAR(Settings!$C$6),MONTH(Settings!$C$6)+7,1))),N(C51),0))</f>
        <v/>
      </c>
      <c r="AE51">
        <f>IF(OR(B51="",D51=""),0,IF(OR(E51="",E51=MONTH(DATE(YEAR(Settings!$C$6),MONTH(Settings!$C$6)+8,1))),N(C51),0))</f>
        <v/>
      </c>
      <c r="AF51">
        <f>IF(OR(B51="",D51=""),0,IF(OR(E51="",E51=MONTH(DATE(YEAR(Settings!$C$6),MONTH(Settings!$C$6)+9,1))),N(C51),0))</f>
        <v/>
      </c>
      <c r="AG51">
        <f>IF(OR(B51="",D51=""),0,IF(OR(E51="",E51=MONTH(DATE(YEAR(Settings!$C$6),MONTH(Settings!$C$6)+10,1))),N(C51),0))</f>
        <v/>
      </c>
      <c r="AH51">
        <f>IF(OR(B51="",D51=""),0,IF(OR(E51="",E51=MONTH(DATE(YEAR(Settings!$C$6),MONTH(Settings!$C$6)+11,1))),N(C51),0))</f>
        <v/>
      </c>
      <c r="AI51">
        <f>IF(OR(B51="",D51=""),0,IF(OR(E51="",E51=MONTH(DATE(YEAR(Settings!$C$6),MONTH(Settings!$C$6)+12,1))),N(C51),0))</f>
        <v/>
      </c>
      <c r="AJ51">
        <f>IF(B51="","",SUMIFS(J51:V51,J51:V51,"&gt;="&amp;Dashboard!$C$4,J51:V51,"&lt;"&amp;Dashboard!$N$1,W51:AI51,"&gt;0"))</f>
        <v/>
      </c>
      <c r="AK51">
        <f>IF(N(AJ51)=0,"",AJ51+ROW()/100000)</f>
        <v/>
      </c>
    </row>
    <row r="52">
      <c r="A52" s="1" t="n"/>
      <c r="B52" s="27" t="n"/>
      <c r="C52" s="28" t="n"/>
      <c r="D52" s="29" t="n"/>
      <c r="E52" s="29" t="n"/>
      <c r="F52" s="30" t="n"/>
      <c r="G52" s="31" t="n"/>
      <c r="H52" s="30" t="n"/>
      <c r="I52" s="1" t="n"/>
      <c r="J52">
        <f>IF(OR(B52="",D52=""),"",DATE(YEAR(Settings!$C$6),MONTH(Settings!$C$6)+0,MIN(D52,DAY(EOMONTH(DATE(YEAR(Settings!$C$6),MONTH(Settings!$C$6)+0,1),0)))))</f>
        <v/>
      </c>
      <c r="K52">
        <f>IF(OR(B52="",D52=""),"",DATE(YEAR(Settings!$C$6),MONTH(Settings!$C$6)+1,MIN(D52,DAY(EOMONTH(DATE(YEAR(Settings!$C$6),MONTH(Settings!$C$6)+1,1),0)))))</f>
        <v/>
      </c>
      <c r="L52">
        <f>IF(OR(B52="",D52=""),"",DATE(YEAR(Settings!$C$6),MONTH(Settings!$C$6)+2,MIN(D52,DAY(EOMONTH(DATE(YEAR(Settings!$C$6),MONTH(Settings!$C$6)+2,1),0)))))</f>
        <v/>
      </c>
      <c r="M52">
        <f>IF(OR(B52="",D52=""),"",DATE(YEAR(Settings!$C$6),MONTH(Settings!$C$6)+3,MIN(D52,DAY(EOMONTH(DATE(YEAR(Settings!$C$6),MONTH(Settings!$C$6)+3,1),0)))))</f>
        <v/>
      </c>
      <c r="N52">
        <f>IF(OR(B52="",D52=""),"",DATE(YEAR(Settings!$C$6),MONTH(Settings!$C$6)+4,MIN(D52,DAY(EOMONTH(DATE(YEAR(Settings!$C$6),MONTH(Settings!$C$6)+4,1),0)))))</f>
        <v/>
      </c>
      <c r="O52">
        <f>IF(OR(B52="",D52=""),"",DATE(YEAR(Settings!$C$6),MONTH(Settings!$C$6)+5,MIN(D52,DAY(EOMONTH(DATE(YEAR(Settings!$C$6),MONTH(Settings!$C$6)+5,1),0)))))</f>
        <v/>
      </c>
      <c r="P52">
        <f>IF(OR(B52="",D52=""),"",DATE(YEAR(Settings!$C$6),MONTH(Settings!$C$6)+6,MIN(D52,DAY(EOMONTH(DATE(YEAR(Settings!$C$6),MONTH(Settings!$C$6)+6,1),0)))))</f>
        <v/>
      </c>
      <c r="Q52">
        <f>IF(OR(B52="",D52=""),"",DATE(YEAR(Settings!$C$6),MONTH(Settings!$C$6)+7,MIN(D52,DAY(EOMONTH(DATE(YEAR(Settings!$C$6),MONTH(Settings!$C$6)+7,1),0)))))</f>
        <v/>
      </c>
      <c r="R52">
        <f>IF(OR(B52="",D52=""),"",DATE(YEAR(Settings!$C$6),MONTH(Settings!$C$6)+8,MIN(D52,DAY(EOMONTH(DATE(YEAR(Settings!$C$6),MONTH(Settings!$C$6)+8,1),0)))))</f>
        <v/>
      </c>
      <c r="S52">
        <f>IF(OR(B52="",D52=""),"",DATE(YEAR(Settings!$C$6),MONTH(Settings!$C$6)+9,MIN(D52,DAY(EOMONTH(DATE(YEAR(Settings!$C$6),MONTH(Settings!$C$6)+9,1),0)))))</f>
        <v/>
      </c>
      <c r="T52">
        <f>IF(OR(B52="",D52=""),"",DATE(YEAR(Settings!$C$6),MONTH(Settings!$C$6)+10,MIN(D52,DAY(EOMONTH(DATE(YEAR(Settings!$C$6),MONTH(Settings!$C$6)+10,1),0)))))</f>
        <v/>
      </c>
      <c r="U52">
        <f>IF(OR(B52="",D52=""),"",DATE(YEAR(Settings!$C$6),MONTH(Settings!$C$6)+11,MIN(D52,DAY(EOMONTH(DATE(YEAR(Settings!$C$6),MONTH(Settings!$C$6)+11,1),0)))))</f>
        <v/>
      </c>
      <c r="V52">
        <f>IF(OR(B52="",D52=""),"",DATE(YEAR(Settings!$C$6),MONTH(Settings!$C$6)+12,MIN(D52,DAY(EOMONTH(DATE(YEAR(Settings!$C$6),MONTH(Settings!$C$6)+12,1),0)))))</f>
        <v/>
      </c>
      <c r="W52">
        <f>IF(OR(B52="",D52=""),0,IF(OR(E52="",E52=MONTH(DATE(YEAR(Settings!$C$6),MONTH(Settings!$C$6)+0,1))),N(C52),0))</f>
        <v/>
      </c>
      <c r="X52">
        <f>IF(OR(B52="",D52=""),0,IF(OR(E52="",E52=MONTH(DATE(YEAR(Settings!$C$6),MONTH(Settings!$C$6)+1,1))),N(C52),0))</f>
        <v/>
      </c>
      <c r="Y52">
        <f>IF(OR(B52="",D52=""),0,IF(OR(E52="",E52=MONTH(DATE(YEAR(Settings!$C$6),MONTH(Settings!$C$6)+2,1))),N(C52),0))</f>
        <v/>
      </c>
      <c r="Z52">
        <f>IF(OR(B52="",D52=""),0,IF(OR(E52="",E52=MONTH(DATE(YEAR(Settings!$C$6),MONTH(Settings!$C$6)+3,1))),N(C52),0))</f>
        <v/>
      </c>
      <c r="AA52">
        <f>IF(OR(B52="",D52=""),0,IF(OR(E52="",E52=MONTH(DATE(YEAR(Settings!$C$6),MONTH(Settings!$C$6)+4,1))),N(C52),0))</f>
        <v/>
      </c>
      <c r="AB52">
        <f>IF(OR(B52="",D52=""),0,IF(OR(E52="",E52=MONTH(DATE(YEAR(Settings!$C$6),MONTH(Settings!$C$6)+5,1))),N(C52),0))</f>
        <v/>
      </c>
      <c r="AC52">
        <f>IF(OR(B52="",D52=""),0,IF(OR(E52="",E52=MONTH(DATE(YEAR(Settings!$C$6),MONTH(Settings!$C$6)+6,1))),N(C52),0))</f>
        <v/>
      </c>
      <c r="AD52">
        <f>IF(OR(B52="",D52=""),0,IF(OR(E52="",E52=MONTH(DATE(YEAR(Settings!$C$6),MONTH(Settings!$C$6)+7,1))),N(C52),0))</f>
        <v/>
      </c>
      <c r="AE52">
        <f>IF(OR(B52="",D52=""),0,IF(OR(E52="",E52=MONTH(DATE(YEAR(Settings!$C$6),MONTH(Settings!$C$6)+8,1))),N(C52),0))</f>
        <v/>
      </c>
      <c r="AF52">
        <f>IF(OR(B52="",D52=""),0,IF(OR(E52="",E52=MONTH(DATE(YEAR(Settings!$C$6),MONTH(Settings!$C$6)+9,1))),N(C52),0))</f>
        <v/>
      </c>
      <c r="AG52">
        <f>IF(OR(B52="",D52=""),0,IF(OR(E52="",E52=MONTH(DATE(YEAR(Settings!$C$6),MONTH(Settings!$C$6)+10,1))),N(C52),0))</f>
        <v/>
      </c>
      <c r="AH52">
        <f>IF(OR(B52="",D52=""),0,IF(OR(E52="",E52=MONTH(DATE(YEAR(Settings!$C$6),MONTH(Settings!$C$6)+11,1))),N(C52),0))</f>
        <v/>
      </c>
      <c r="AI52">
        <f>IF(OR(B52="",D52=""),0,IF(OR(E52="",E52=MONTH(DATE(YEAR(Settings!$C$6),MONTH(Settings!$C$6)+12,1))),N(C52),0))</f>
        <v/>
      </c>
      <c r="AJ52">
        <f>IF(B52="","",SUMIFS(J52:V52,J52:V52,"&gt;="&amp;Dashboard!$C$4,J52:V52,"&lt;"&amp;Dashboard!$N$1,W52:AI52,"&gt;0"))</f>
        <v/>
      </c>
      <c r="AK52">
        <f>IF(N(AJ52)=0,"",AJ52+ROW()/100000)</f>
        <v/>
      </c>
    </row>
    <row r="53">
      <c r="A53" s="1" t="n"/>
      <c r="B53" s="27" t="n"/>
      <c r="C53" s="28" t="n"/>
      <c r="D53" s="29" t="n"/>
      <c r="E53" s="29" t="n"/>
      <c r="F53" s="30" t="n"/>
      <c r="G53" s="31" t="n"/>
      <c r="H53" s="30" t="n"/>
      <c r="I53" s="1" t="n"/>
      <c r="J53">
        <f>IF(OR(B53="",D53=""),"",DATE(YEAR(Settings!$C$6),MONTH(Settings!$C$6)+0,MIN(D53,DAY(EOMONTH(DATE(YEAR(Settings!$C$6),MONTH(Settings!$C$6)+0,1),0)))))</f>
        <v/>
      </c>
      <c r="K53">
        <f>IF(OR(B53="",D53=""),"",DATE(YEAR(Settings!$C$6),MONTH(Settings!$C$6)+1,MIN(D53,DAY(EOMONTH(DATE(YEAR(Settings!$C$6),MONTH(Settings!$C$6)+1,1),0)))))</f>
        <v/>
      </c>
      <c r="L53">
        <f>IF(OR(B53="",D53=""),"",DATE(YEAR(Settings!$C$6),MONTH(Settings!$C$6)+2,MIN(D53,DAY(EOMONTH(DATE(YEAR(Settings!$C$6),MONTH(Settings!$C$6)+2,1),0)))))</f>
        <v/>
      </c>
      <c r="M53">
        <f>IF(OR(B53="",D53=""),"",DATE(YEAR(Settings!$C$6),MONTH(Settings!$C$6)+3,MIN(D53,DAY(EOMONTH(DATE(YEAR(Settings!$C$6),MONTH(Settings!$C$6)+3,1),0)))))</f>
        <v/>
      </c>
      <c r="N53">
        <f>IF(OR(B53="",D53=""),"",DATE(YEAR(Settings!$C$6),MONTH(Settings!$C$6)+4,MIN(D53,DAY(EOMONTH(DATE(YEAR(Settings!$C$6),MONTH(Settings!$C$6)+4,1),0)))))</f>
        <v/>
      </c>
      <c r="O53">
        <f>IF(OR(B53="",D53=""),"",DATE(YEAR(Settings!$C$6),MONTH(Settings!$C$6)+5,MIN(D53,DAY(EOMONTH(DATE(YEAR(Settings!$C$6),MONTH(Settings!$C$6)+5,1),0)))))</f>
        <v/>
      </c>
      <c r="P53">
        <f>IF(OR(B53="",D53=""),"",DATE(YEAR(Settings!$C$6),MONTH(Settings!$C$6)+6,MIN(D53,DAY(EOMONTH(DATE(YEAR(Settings!$C$6),MONTH(Settings!$C$6)+6,1),0)))))</f>
        <v/>
      </c>
      <c r="Q53">
        <f>IF(OR(B53="",D53=""),"",DATE(YEAR(Settings!$C$6),MONTH(Settings!$C$6)+7,MIN(D53,DAY(EOMONTH(DATE(YEAR(Settings!$C$6),MONTH(Settings!$C$6)+7,1),0)))))</f>
        <v/>
      </c>
      <c r="R53">
        <f>IF(OR(B53="",D53=""),"",DATE(YEAR(Settings!$C$6),MONTH(Settings!$C$6)+8,MIN(D53,DAY(EOMONTH(DATE(YEAR(Settings!$C$6),MONTH(Settings!$C$6)+8,1),0)))))</f>
        <v/>
      </c>
      <c r="S53">
        <f>IF(OR(B53="",D53=""),"",DATE(YEAR(Settings!$C$6),MONTH(Settings!$C$6)+9,MIN(D53,DAY(EOMONTH(DATE(YEAR(Settings!$C$6),MONTH(Settings!$C$6)+9,1),0)))))</f>
        <v/>
      </c>
      <c r="T53">
        <f>IF(OR(B53="",D53=""),"",DATE(YEAR(Settings!$C$6),MONTH(Settings!$C$6)+10,MIN(D53,DAY(EOMONTH(DATE(YEAR(Settings!$C$6),MONTH(Settings!$C$6)+10,1),0)))))</f>
        <v/>
      </c>
      <c r="U53">
        <f>IF(OR(B53="",D53=""),"",DATE(YEAR(Settings!$C$6),MONTH(Settings!$C$6)+11,MIN(D53,DAY(EOMONTH(DATE(YEAR(Settings!$C$6),MONTH(Settings!$C$6)+11,1),0)))))</f>
        <v/>
      </c>
      <c r="V53">
        <f>IF(OR(B53="",D53=""),"",DATE(YEAR(Settings!$C$6),MONTH(Settings!$C$6)+12,MIN(D53,DAY(EOMONTH(DATE(YEAR(Settings!$C$6),MONTH(Settings!$C$6)+12,1),0)))))</f>
        <v/>
      </c>
      <c r="W53">
        <f>IF(OR(B53="",D53=""),0,IF(OR(E53="",E53=MONTH(DATE(YEAR(Settings!$C$6),MONTH(Settings!$C$6)+0,1))),N(C53),0))</f>
        <v/>
      </c>
      <c r="X53">
        <f>IF(OR(B53="",D53=""),0,IF(OR(E53="",E53=MONTH(DATE(YEAR(Settings!$C$6),MONTH(Settings!$C$6)+1,1))),N(C53),0))</f>
        <v/>
      </c>
      <c r="Y53">
        <f>IF(OR(B53="",D53=""),0,IF(OR(E53="",E53=MONTH(DATE(YEAR(Settings!$C$6),MONTH(Settings!$C$6)+2,1))),N(C53),0))</f>
        <v/>
      </c>
      <c r="Z53">
        <f>IF(OR(B53="",D53=""),0,IF(OR(E53="",E53=MONTH(DATE(YEAR(Settings!$C$6),MONTH(Settings!$C$6)+3,1))),N(C53),0))</f>
        <v/>
      </c>
      <c r="AA53">
        <f>IF(OR(B53="",D53=""),0,IF(OR(E53="",E53=MONTH(DATE(YEAR(Settings!$C$6),MONTH(Settings!$C$6)+4,1))),N(C53),0))</f>
        <v/>
      </c>
      <c r="AB53">
        <f>IF(OR(B53="",D53=""),0,IF(OR(E53="",E53=MONTH(DATE(YEAR(Settings!$C$6),MONTH(Settings!$C$6)+5,1))),N(C53),0))</f>
        <v/>
      </c>
      <c r="AC53">
        <f>IF(OR(B53="",D53=""),0,IF(OR(E53="",E53=MONTH(DATE(YEAR(Settings!$C$6),MONTH(Settings!$C$6)+6,1))),N(C53),0))</f>
        <v/>
      </c>
      <c r="AD53">
        <f>IF(OR(B53="",D53=""),0,IF(OR(E53="",E53=MONTH(DATE(YEAR(Settings!$C$6),MONTH(Settings!$C$6)+7,1))),N(C53),0))</f>
        <v/>
      </c>
      <c r="AE53">
        <f>IF(OR(B53="",D53=""),0,IF(OR(E53="",E53=MONTH(DATE(YEAR(Settings!$C$6),MONTH(Settings!$C$6)+8,1))),N(C53),0))</f>
        <v/>
      </c>
      <c r="AF53">
        <f>IF(OR(B53="",D53=""),0,IF(OR(E53="",E53=MONTH(DATE(YEAR(Settings!$C$6),MONTH(Settings!$C$6)+9,1))),N(C53),0))</f>
        <v/>
      </c>
      <c r="AG53">
        <f>IF(OR(B53="",D53=""),0,IF(OR(E53="",E53=MONTH(DATE(YEAR(Settings!$C$6),MONTH(Settings!$C$6)+10,1))),N(C53),0))</f>
        <v/>
      </c>
      <c r="AH53">
        <f>IF(OR(B53="",D53=""),0,IF(OR(E53="",E53=MONTH(DATE(YEAR(Settings!$C$6),MONTH(Settings!$C$6)+11,1))),N(C53),0))</f>
        <v/>
      </c>
      <c r="AI53">
        <f>IF(OR(B53="",D53=""),0,IF(OR(E53="",E53=MONTH(DATE(YEAR(Settings!$C$6),MONTH(Settings!$C$6)+12,1))),N(C53),0))</f>
        <v/>
      </c>
      <c r="AJ53">
        <f>IF(B53="","",SUMIFS(J53:V53,J53:V53,"&gt;="&amp;Dashboard!$C$4,J53:V53,"&lt;"&amp;Dashboard!$N$1,W53:AI53,"&gt;0"))</f>
        <v/>
      </c>
      <c r="AK53">
        <f>IF(N(AJ53)=0,"",AJ53+ROW()/100000)</f>
        <v/>
      </c>
    </row>
    <row r="54">
      <c r="A54" s="1" t="n"/>
      <c r="B54" s="27" t="n"/>
      <c r="C54" s="28" t="n"/>
      <c r="D54" s="29" t="n"/>
      <c r="E54" s="29" t="n"/>
      <c r="F54" s="30" t="n"/>
      <c r="G54" s="31" t="n"/>
      <c r="H54" s="30" t="n"/>
      <c r="I54" s="1" t="n"/>
      <c r="J54">
        <f>IF(OR(B54="",D54=""),"",DATE(YEAR(Settings!$C$6),MONTH(Settings!$C$6)+0,MIN(D54,DAY(EOMONTH(DATE(YEAR(Settings!$C$6),MONTH(Settings!$C$6)+0,1),0)))))</f>
        <v/>
      </c>
      <c r="K54">
        <f>IF(OR(B54="",D54=""),"",DATE(YEAR(Settings!$C$6),MONTH(Settings!$C$6)+1,MIN(D54,DAY(EOMONTH(DATE(YEAR(Settings!$C$6),MONTH(Settings!$C$6)+1,1),0)))))</f>
        <v/>
      </c>
      <c r="L54">
        <f>IF(OR(B54="",D54=""),"",DATE(YEAR(Settings!$C$6),MONTH(Settings!$C$6)+2,MIN(D54,DAY(EOMONTH(DATE(YEAR(Settings!$C$6),MONTH(Settings!$C$6)+2,1),0)))))</f>
        <v/>
      </c>
      <c r="M54">
        <f>IF(OR(B54="",D54=""),"",DATE(YEAR(Settings!$C$6),MONTH(Settings!$C$6)+3,MIN(D54,DAY(EOMONTH(DATE(YEAR(Settings!$C$6),MONTH(Settings!$C$6)+3,1),0)))))</f>
        <v/>
      </c>
      <c r="N54">
        <f>IF(OR(B54="",D54=""),"",DATE(YEAR(Settings!$C$6),MONTH(Settings!$C$6)+4,MIN(D54,DAY(EOMONTH(DATE(YEAR(Settings!$C$6),MONTH(Settings!$C$6)+4,1),0)))))</f>
        <v/>
      </c>
      <c r="O54">
        <f>IF(OR(B54="",D54=""),"",DATE(YEAR(Settings!$C$6),MONTH(Settings!$C$6)+5,MIN(D54,DAY(EOMONTH(DATE(YEAR(Settings!$C$6),MONTH(Settings!$C$6)+5,1),0)))))</f>
        <v/>
      </c>
      <c r="P54">
        <f>IF(OR(B54="",D54=""),"",DATE(YEAR(Settings!$C$6),MONTH(Settings!$C$6)+6,MIN(D54,DAY(EOMONTH(DATE(YEAR(Settings!$C$6),MONTH(Settings!$C$6)+6,1),0)))))</f>
        <v/>
      </c>
      <c r="Q54">
        <f>IF(OR(B54="",D54=""),"",DATE(YEAR(Settings!$C$6),MONTH(Settings!$C$6)+7,MIN(D54,DAY(EOMONTH(DATE(YEAR(Settings!$C$6),MONTH(Settings!$C$6)+7,1),0)))))</f>
        <v/>
      </c>
      <c r="R54">
        <f>IF(OR(B54="",D54=""),"",DATE(YEAR(Settings!$C$6),MONTH(Settings!$C$6)+8,MIN(D54,DAY(EOMONTH(DATE(YEAR(Settings!$C$6),MONTH(Settings!$C$6)+8,1),0)))))</f>
        <v/>
      </c>
      <c r="S54">
        <f>IF(OR(B54="",D54=""),"",DATE(YEAR(Settings!$C$6),MONTH(Settings!$C$6)+9,MIN(D54,DAY(EOMONTH(DATE(YEAR(Settings!$C$6),MONTH(Settings!$C$6)+9,1),0)))))</f>
        <v/>
      </c>
      <c r="T54">
        <f>IF(OR(B54="",D54=""),"",DATE(YEAR(Settings!$C$6),MONTH(Settings!$C$6)+10,MIN(D54,DAY(EOMONTH(DATE(YEAR(Settings!$C$6),MONTH(Settings!$C$6)+10,1),0)))))</f>
        <v/>
      </c>
      <c r="U54">
        <f>IF(OR(B54="",D54=""),"",DATE(YEAR(Settings!$C$6),MONTH(Settings!$C$6)+11,MIN(D54,DAY(EOMONTH(DATE(YEAR(Settings!$C$6),MONTH(Settings!$C$6)+11,1),0)))))</f>
        <v/>
      </c>
      <c r="V54">
        <f>IF(OR(B54="",D54=""),"",DATE(YEAR(Settings!$C$6),MONTH(Settings!$C$6)+12,MIN(D54,DAY(EOMONTH(DATE(YEAR(Settings!$C$6),MONTH(Settings!$C$6)+12,1),0)))))</f>
        <v/>
      </c>
      <c r="W54">
        <f>IF(OR(B54="",D54=""),0,IF(OR(E54="",E54=MONTH(DATE(YEAR(Settings!$C$6),MONTH(Settings!$C$6)+0,1))),N(C54),0))</f>
        <v/>
      </c>
      <c r="X54">
        <f>IF(OR(B54="",D54=""),0,IF(OR(E54="",E54=MONTH(DATE(YEAR(Settings!$C$6),MONTH(Settings!$C$6)+1,1))),N(C54),0))</f>
        <v/>
      </c>
      <c r="Y54">
        <f>IF(OR(B54="",D54=""),0,IF(OR(E54="",E54=MONTH(DATE(YEAR(Settings!$C$6),MONTH(Settings!$C$6)+2,1))),N(C54),0))</f>
        <v/>
      </c>
      <c r="Z54">
        <f>IF(OR(B54="",D54=""),0,IF(OR(E54="",E54=MONTH(DATE(YEAR(Settings!$C$6),MONTH(Settings!$C$6)+3,1))),N(C54),0))</f>
        <v/>
      </c>
      <c r="AA54">
        <f>IF(OR(B54="",D54=""),0,IF(OR(E54="",E54=MONTH(DATE(YEAR(Settings!$C$6),MONTH(Settings!$C$6)+4,1))),N(C54),0))</f>
        <v/>
      </c>
      <c r="AB54">
        <f>IF(OR(B54="",D54=""),0,IF(OR(E54="",E54=MONTH(DATE(YEAR(Settings!$C$6),MONTH(Settings!$C$6)+5,1))),N(C54),0))</f>
        <v/>
      </c>
      <c r="AC54">
        <f>IF(OR(B54="",D54=""),0,IF(OR(E54="",E54=MONTH(DATE(YEAR(Settings!$C$6),MONTH(Settings!$C$6)+6,1))),N(C54),0))</f>
        <v/>
      </c>
      <c r="AD54">
        <f>IF(OR(B54="",D54=""),0,IF(OR(E54="",E54=MONTH(DATE(YEAR(Settings!$C$6),MONTH(Settings!$C$6)+7,1))),N(C54),0))</f>
        <v/>
      </c>
      <c r="AE54">
        <f>IF(OR(B54="",D54=""),0,IF(OR(E54="",E54=MONTH(DATE(YEAR(Settings!$C$6),MONTH(Settings!$C$6)+8,1))),N(C54),0))</f>
        <v/>
      </c>
      <c r="AF54">
        <f>IF(OR(B54="",D54=""),0,IF(OR(E54="",E54=MONTH(DATE(YEAR(Settings!$C$6),MONTH(Settings!$C$6)+9,1))),N(C54),0))</f>
        <v/>
      </c>
      <c r="AG54">
        <f>IF(OR(B54="",D54=""),0,IF(OR(E54="",E54=MONTH(DATE(YEAR(Settings!$C$6),MONTH(Settings!$C$6)+10,1))),N(C54),0))</f>
        <v/>
      </c>
      <c r="AH54">
        <f>IF(OR(B54="",D54=""),0,IF(OR(E54="",E54=MONTH(DATE(YEAR(Settings!$C$6),MONTH(Settings!$C$6)+11,1))),N(C54),0))</f>
        <v/>
      </c>
      <c r="AI54">
        <f>IF(OR(B54="",D54=""),0,IF(OR(E54="",E54=MONTH(DATE(YEAR(Settings!$C$6),MONTH(Settings!$C$6)+12,1))),N(C54),0))</f>
        <v/>
      </c>
      <c r="AJ54">
        <f>IF(B54="","",SUMIFS(J54:V54,J54:V54,"&gt;="&amp;Dashboard!$C$4,J54:V54,"&lt;"&amp;Dashboard!$N$1,W54:AI54,"&gt;0"))</f>
        <v/>
      </c>
      <c r="AK54">
        <f>IF(N(AJ54)=0,"",AJ54+ROW()/100000)</f>
        <v/>
      </c>
    </row>
    <row r="55">
      <c r="A55" s="1" t="n"/>
      <c r="B55" s="27" t="n"/>
      <c r="C55" s="28" t="n"/>
      <c r="D55" s="29" t="n"/>
      <c r="E55" s="29" t="n"/>
      <c r="F55" s="30" t="n"/>
      <c r="G55" s="31" t="n"/>
      <c r="H55" s="30" t="n"/>
      <c r="I55" s="1" t="n"/>
      <c r="J55">
        <f>IF(OR(B55="",D55=""),"",DATE(YEAR(Settings!$C$6),MONTH(Settings!$C$6)+0,MIN(D55,DAY(EOMONTH(DATE(YEAR(Settings!$C$6),MONTH(Settings!$C$6)+0,1),0)))))</f>
        <v/>
      </c>
      <c r="K55">
        <f>IF(OR(B55="",D55=""),"",DATE(YEAR(Settings!$C$6),MONTH(Settings!$C$6)+1,MIN(D55,DAY(EOMONTH(DATE(YEAR(Settings!$C$6),MONTH(Settings!$C$6)+1,1),0)))))</f>
        <v/>
      </c>
      <c r="L55">
        <f>IF(OR(B55="",D55=""),"",DATE(YEAR(Settings!$C$6),MONTH(Settings!$C$6)+2,MIN(D55,DAY(EOMONTH(DATE(YEAR(Settings!$C$6),MONTH(Settings!$C$6)+2,1),0)))))</f>
        <v/>
      </c>
      <c r="M55">
        <f>IF(OR(B55="",D55=""),"",DATE(YEAR(Settings!$C$6),MONTH(Settings!$C$6)+3,MIN(D55,DAY(EOMONTH(DATE(YEAR(Settings!$C$6),MONTH(Settings!$C$6)+3,1),0)))))</f>
        <v/>
      </c>
      <c r="N55">
        <f>IF(OR(B55="",D55=""),"",DATE(YEAR(Settings!$C$6),MONTH(Settings!$C$6)+4,MIN(D55,DAY(EOMONTH(DATE(YEAR(Settings!$C$6),MONTH(Settings!$C$6)+4,1),0)))))</f>
        <v/>
      </c>
      <c r="O55">
        <f>IF(OR(B55="",D55=""),"",DATE(YEAR(Settings!$C$6),MONTH(Settings!$C$6)+5,MIN(D55,DAY(EOMONTH(DATE(YEAR(Settings!$C$6),MONTH(Settings!$C$6)+5,1),0)))))</f>
        <v/>
      </c>
      <c r="P55">
        <f>IF(OR(B55="",D55=""),"",DATE(YEAR(Settings!$C$6),MONTH(Settings!$C$6)+6,MIN(D55,DAY(EOMONTH(DATE(YEAR(Settings!$C$6),MONTH(Settings!$C$6)+6,1),0)))))</f>
        <v/>
      </c>
      <c r="Q55">
        <f>IF(OR(B55="",D55=""),"",DATE(YEAR(Settings!$C$6),MONTH(Settings!$C$6)+7,MIN(D55,DAY(EOMONTH(DATE(YEAR(Settings!$C$6),MONTH(Settings!$C$6)+7,1),0)))))</f>
        <v/>
      </c>
      <c r="R55">
        <f>IF(OR(B55="",D55=""),"",DATE(YEAR(Settings!$C$6),MONTH(Settings!$C$6)+8,MIN(D55,DAY(EOMONTH(DATE(YEAR(Settings!$C$6),MONTH(Settings!$C$6)+8,1),0)))))</f>
        <v/>
      </c>
      <c r="S55">
        <f>IF(OR(B55="",D55=""),"",DATE(YEAR(Settings!$C$6),MONTH(Settings!$C$6)+9,MIN(D55,DAY(EOMONTH(DATE(YEAR(Settings!$C$6),MONTH(Settings!$C$6)+9,1),0)))))</f>
        <v/>
      </c>
      <c r="T55">
        <f>IF(OR(B55="",D55=""),"",DATE(YEAR(Settings!$C$6),MONTH(Settings!$C$6)+10,MIN(D55,DAY(EOMONTH(DATE(YEAR(Settings!$C$6),MONTH(Settings!$C$6)+10,1),0)))))</f>
        <v/>
      </c>
      <c r="U55">
        <f>IF(OR(B55="",D55=""),"",DATE(YEAR(Settings!$C$6),MONTH(Settings!$C$6)+11,MIN(D55,DAY(EOMONTH(DATE(YEAR(Settings!$C$6),MONTH(Settings!$C$6)+11,1),0)))))</f>
        <v/>
      </c>
      <c r="V55">
        <f>IF(OR(B55="",D55=""),"",DATE(YEAR(Settings!$C$6),MONTH(Settings!$C$6)+12,MIN(D55,DAY(EOMONTH(DATE(YEAR(Settings!$C$6),MONTH(Settings!$C$6)+12,1),0)))))</f>
        <v/>
      </c>
      <c r="W55">
        <f>IF(OR(B55="",D55=""),0,IF(OR(E55="",E55=MONTH(DATE(YEAR(Settings!$C$6),MONTH(Settings!$C$6)+0,1))),N(C55),0))</f>
        <v/>
      </c>
      <c r="X55">
        <f>IF(OR(B55="",D55=""),0,IF(OR(E55="",E55=MONTH(DATE(YEAR(Settings!$C$6),MONTH(Settings!$C$6)+1,1))),N(C55),0))</f>
        <v/>
      </c>
      <c r="Y55">
        <f>IF(OR(B55="",D55=""),0,IF(OR(E55="",E55=MONTH(DATE(YEAR(Settings!$C$6),MONTH(Settings!$C$6)+2,1))),N(C55),0))</f>
        <v/>
      </c>
      <c r="Z55">
        <f>IF(OR(B55="",D55=""),0,IF(OR(E55="",E55=MONTH(DATE(YEAR(Settings!$C$6),MONTH(Settings!$C$6)+3,1))),N(C55),0))</f>
        <v/>
      </c>
      <c r="AA55">
        <f>IF(OR(B55="",D55=""),0,IF(OR(E55="",E55=MONTH(DATE(YEAR(Settings!$C$6),MONTH(Settings!$C$6)+4,1))),N(C55),0))</f>
        <v/>
      </c>
      <c r="AB55">
        <f>IF(OR(B55="",D55=""),0,IF(OR(E55="",E55=MONTH(DATE(YEAR(Settings!$C$6),MONTH(Settings!$C$6)+5,1))),N(C55),0))</f>
        <v/>
      </c>
      <c r="AC55">
        <f>IF(OR(B55="",D55=""),0,IF(OR(E55="",E55=MONTH(DATE(YEAR(Settings!$C$6),MONTH(Settings!$C$6)+6,1))),N(C55),0))</f>
        <v/>
      </c>
      <c r="AD55">
        <f>IF(OR(B55="",D55=""),0,IF(OR(E55="",E55=MONTH(DATE(YEAR(Settings!$C$6),MONTH(Settings!$C$6)+7,1))),N(C55),0))</f>
        <v/>
      </c>
      <c r="AE55">
        <f>IF(OR(B55="",D55=""),0,IF(OR(E55="",E55=MONTH(DATE(YEAR(Settings!$C$6),MONTH(Settings!$C$6)+8,1))),N(C55),0))</f>
        <v/>
      </c>
      <c r="AF55">
        <f>IF(OR(B55="",D55=""),0,IF(OR(E55="",E55=MONTH(DATE(YEAR(Settings!$C$6),MONTH(Settings!$C$6)+9,1))),N(C55),0))</f>
        <v/>
      </c>
      <c r="AG55">
        <f>IF(OR(B55="",D55=""),0,IF(OR(E55="",E55=MONTH(DATE(YEAR(Settings!$C$6),MONTH(Settings!$C$6)+10,1))),N(C55),0))</f>
        <v/>
      </c>
      <c r="AH55">
        <f>IF(OR(B55="",D55=""),0,IF(OR(E55="",E55=MONTH(DATE(YEAR(Settings!$C$6),MONTH(Settings!$C$6)+11,1))),N(C55),0))</f>
        <v/>
      </c>
      <c r="AI55">
        <f>IF(OR(B55="",D55=""),0,IF(OR(E55="",E55=MONTH(DATE(YEAR(Settings!$C$6),MONTH(Settings!$C$6)+12,1))),N(C55),0))</f>
        <v/>
      </c>
      <c r="AJ55">
        <f>IF(B55="","",SUMIFS(J55:V55,J55:V55,"&gt;="&amp;Dashboard!$C$4,J55:V55,"&lt;"&amp;Dashboard!$N$1,W55:AI55,"&gt;0"))</f>
        <v/>
      </c>
      <c r="AK55">
        <f>IF(N(AJ55)=0,"",AJ55+ROW()/100000)</f>
        <v/>
      </c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</sheetData>
  <dataValidations count="1">
    <dataValidation sqref="G6:G5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3" customWidth="1" min="3" max="3"/>
    <col width="13" customWidth="1" min="4" max="4"/>
    <col width="14" customWidth="1" min="5" max="5"/>
    <col width="13" customWidth="1" min="6" max="6"/>
    <col width="12" customWidth="1" min="7" max="7"/>
    <col width="13" customWidth="1" min="8" max="8"/>
    <col width="8" customWidth="1" min="9" max="9"/>
    <col width="11" customWidth="1" min="10" max="10"/>
    <col width="20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Paychecks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Your paydays for 12 months. Type an amount only when a paycheck is different.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30" customHeight="1">
      <c r="A5" s="1" t="n"/>
      <c r="B5" s="14" t="inlineStr">
        <is>
          <t>Payday</t>
        </is>
      </c>
      <c r="C5" s="14" t="inlineStr">
        <is>
          <t>Amount</t>
        </is>
      </c>
      <c r="D5" s="14" t="inlineStr">
        <is>
          <t>Different amount</t>
        </is>
      </c>
      <c r="E5" s="14" t="inlineStr">
        <is>
          <t>Next payday</t>
        </is>
      </c>
      <c r="F5" s="14" t="inlineStr">
        <is>
          <t>Bills due</t>
        </is>
      </c>
      <c r="G5" s="14" t="inlineStr">
        <is>
          <t>Savings</t>
        </is>
      </c>
      <c r="H5" s="14" t="inlineStr">
        <is>
          <t>Left to spend</t>
        </is>
      </c>
      <c r="I5" s="14" t="inlineStr">
        <is>
          <t>Days</t>
        </is>
      </c>
      <c r="J5" s="14" t="inlineStr">
        <is>
          <t>Per day</t>
        </is>
      </c>
      <c r="K5" s="14" t="inlineStr">
        <is>
          <t>Status</t>
        </is>
      </c>
      <c r="L5" s="1" t="n"/>
    </row>
    <row r="6">
      <c r="A6" s="1" t="n"/>
      <c r="B6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6" s="17">
        <f>IF(B6="","",IF(ISNUMBER(D6),D6,Settings!$C$8))</f>
        <v/>
      </c>
      <c r="D6" s="28" t="n"/>
      <c r="E6" s="15">
        <f>IF(B6="","",IF(Settings!$C$5="Weekly",Settings!$C$6+7*(ROW()-5),IF(Settings!$C$5="Every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6" s="17">
        <f>IF(B6="","",SUMIFS(Bills!$W$6:$AI$55,Bills!$J$6:$V$55,"&gt;="&amp;B6,Bills!$J$6:$V$55,"&lt;"&amp;E6))</f>
        <v/>
      </c>
      <c r="G6" s="17">
        <f>IF(B6="","",Settings!$C$9)</f>
        <v/>
      </c>
      <c r="H6" s="33">
        <f>IF(B6="","",C6-F6-G6)</f>
        <v/>
      </c>
      <c r="I6" s="34">
        <f>IF(B6="","",E6-B6)</f>
        <v/>
      </c>
      <c r="J6" s="21">
        <f>IF(B6="","",H6/I6)</f>
        <v/>
      </c>
      <c r="K6" s="16">
        <f>IF(B6="","",IF(H6&lt;0,"Short by "&amp;FIXED(-H6,2),IF(J6&lt;Settings!$C$10,"Tight","OK")))</f>
        <v/>
      </c>
      <c r="L6" s="1" t="n"/>
    </row>
    <row r="7">
      <c r="A7" s="1" t="n"/>
      <c r="B7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7" s="17">
        <f>IF(B7="","",IF(ISNUMBER(D7),D7,Settings!$C$8))</f>
        <v/>
      </c>
      <c r="D7" s="28" t="n"/>
      <c r="E7" s="15">
        <f>IF(B7="","",IF(Settings!$C$5="Weekly",Settings!$C$6+7*(ROW()-5),IF(Settings!$C$5="Every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7" s="17">
        <f>IF(B7="","",SUMIFS(Bills!$W$6:$AI$55,Bills!$J$6:$V$55,"&gt;="&amp;B7,Bills!$J$6:$V$55,"&lt;"&amp;E7))</f>
        <v/>
      </c>
      <c r="G7" s="17">
        <f>IF(B7="","",Settings!$C$9)</f>
        <v/>
      </c>
      <c r="H7" s="33">
        <f>IF(B7="","",C7-F7-G7)</f>
        <v/>
      </c>
      <c r="I7" s="34">
        <f>IF(B7="","",E7-B7)</f>
        <v/>
      </c>
      <c r="J7" s="21">
        <f>IF(B7="","",H7/I7)</f>
        <v/>
      </c>
      <c r="K7" s="16">
        <f>IF(B7="","",IF(H7&lt;0,"Short by "&amp;FIXED(-H7,2),IF(J7&lt;Settings!$C$10,"Tight","OK")))</f>
        <v/>
      </c>
      <c r="L7" s="1" t="n"/>
    </row>
    <row r="8">
      <c r="A8" s="1" t="n"/>
      <c r="B8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8" s="17">
        <f>IF(B8="","",IF(ISNUMBER(D8),D8,Settings!$C$8))</f>
        <v/>
      </c>
      <c r="D8" s="28" t="n"/>
      <c r="E8" s="15">
        <f>IF(B8="","",IF(Settings!$C$5="Weekly",Settings!$C$6+7*(ROW()-5),IF(Settings!$C$5="Every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8" s="17">
        <f>IF(B8="","",SUMIFS(Bills!$W$6:$AI$55,Bills!$J$6:$V$55,"&gt;="&amp;B8,Bills!$J$6:$V$55,"&lt;"&amp;E8))</f>
        <v/>
      </c>
      <c r="G8" s="17">
        <f>IF(B8="","",Settings!$C$9)</f>
        <v/>
      </c>
      <c r="H8" s="33">
        <f>IF(B8="","",C8-F8-G8)</f>
        <v/>
      </c>
      <c r="I8" s="34">
        <f>IF(B8="","",E8-B8)</f>
        <v/>
      </c>
      <c r="J8" s="21">
        <f>IF(B8="","",H8/I8)</f>
        <v/>
      </c>
      <c r="K8" s="16">
        <f>IF(B8="","",IF(H8&lt;0,"Short by "&amp;FIXED(-H8,2),IF(J8&lt;Settings!$C$10,"Tight","OK")))</f>
        <v/>
      </c>
      <c r="L8" s="1" t="n"/>
    </row>
    <row r="9">
      <c r="A9" s="1" t="n"/>
      <c r="B9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9" s="17">
        <f>IF(B9="","",IF(ISNUMBER(D9),D9,Settings!$C$8))</f>
        <v/>
      </c>
      <c r="D9" s="28" t="n"/>
      <c r="E9" s="15">
        <f>IF(B9="","",IF(Settings!$C$5="Weekly",Settings!$C$6+7*(ROW()-5),IF(Settings!$C$5="Every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9" s="17">
        <f>IF(B9="","",SUMIFS(Bills!$W$6:$AI$55,Bills!$J$6:$V$55,"&gt;="&amp;B9,Bills!$J$6:$V$55,"&lt;"&amp;E9))</f>
        <v/>
      </c>
      <c r="G9" s="17">
        <f>IF(B9="","",Settings!$C$9)</f>
        <v/>
      </c>
      <c r="H9" s="33">
        <f>IF(B9="","",C9-F9-G9)</f>
        <v/>
      </c>
      <c r="I9" s="34">
        <f>IF(B9="","",E9-B9)</f>
        <v/>
      </c>
      <c r="J9" s="21">
        <f>IF(B9="","",H9/I9)</f>
        <v/>
      </c>
      <c r="K9" s="16">
        <f>IF(B9="","",IF(H9&lt;0,"Short by "&amp;FIXED(-H9,2),IF(J9&lt;Settings!$C$10,"Tight","OK")))</f>
        <v/>
      </c>
      <c r="L9" s="1" t="n"/>
    </row>
    <row r="10">
      <c r="A10" s="1" t="n"/>
      <c r="B10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10" s="17">
        <f>IF(B10="","",IF(ISNUMBER(D10),D10,Settings!$C$8))</f>
        <v/>
      </c>
      <c r="D10" s="28" t="n"/>
      <c r="E10" s="15">
        <f>IF(B10="","",IF(Settings!$C$5="Weekly",Settings!$C$6+7*(ROW()-5),IF(Settings!$C$5="Every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10" s="17">
        <f>IF(B10="","",SUMIFS(Bills!$W$6:$AI$55,Bills!$J$6:$V$55,"&gt;="&amp;B10,Bills!$J$6:$V$55,"&lt;"&amp;E10))</f>
        <v/>
      </c>
      <c r="G10" s="17">
        <f>IF(B10="","",Settings!$C$9)</f>
        <v/>
      </c>
      <c r="H10" s="33">
        <f>IF(B10="","",C10-F10-G10)</f>
        <v/>
      </c>
      <c r="I10" s="34">
        <f>IF(B10="","",E10-B10)</f>
        <v/>
      </c>
      <c r="J10" s="21">
        <f>IF(B10="","",H10/I10)</f>
        <v/>
      </c>
      <c r="K10" s="16">
        <f>IF(B10="","",IF(H10&lt;0,"Short by "&amp;FIXED(-H10,2),IF(J10&lt;Settings!$C$10,"Tight","OK")))</f>
        <v/>
      </c>
      <c r="L10" s="1" t="n"/>
    </row>
    <row r="11">
      <c r="A11" s="1" t="n"/>
      <c r="B11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11" s="17">
        <f>IF(B11="","",IF(ISNUMBER(D11),D11,Settings!$C$8))</f>
        <v/>
      </c>
      <c r="D11" s="28" t="n"/>
      <c r="E11" s="15">
        <f>IF(B11="","",IF(Settings!$C$5="Weekly",Settings!$C$6+7*(ROW()-5),IF(Settings!$C$5="Every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11" s="17">
        <f>IF(B11="","",SUMIFS(Bills!$W$6:$AI$55,Bills!$J$6:$V$55,"&gt;="&amp;B11,Bills!$J$6:$V$55,"&lt;"&amp;E11))</f>
        <v/>
      </c>
      <c r="G11" s="17">
        <f>IF(B11="","",Settings!$C$9)</f>
        <v/>
      </c>
      <c r="H11" s="33">
        <f>IF(B11="","",C11-F11-G11)</f>
        <v/>
      </c>
      <c r="I11" s="34">
        <f>IF(B11="","",E11-B11)</f>
        <v/>
      </c>
      <c r="J11" s="21">
        <f>IF(B11="","",H11/I11)</f>
        <v/>
      </c>
      <c r="K11" s="16">
        <f>IF(B11="","",IF(H11&lt;0,"Short by "&amp;FIXED(-H11,2),IF(J11&lt;Settings!$C$10,"Tight","OK")))</f>
        <v/>
      </c>
      <c r="L11" s="1" t="n"/>
    </row>
    <row r="12">
      <c r="A12" s="1" t="n"/>
      <c r="B12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12" s="17">
        <f>IF(B12="","",IF(ISNUMBER(D12),D12,Settings!$C$8))</f>
        <v/>
      </c>
      <c r="D12" s="28" t="n"/>
      <c r="E12" s="15">
        <f>IF(B12="","",IF(Settings!$C$5="Weekly",Settings!$C$6+7*(ROW()-5),IF(Settings!$C$5="Every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12" s="17">
        <f>IF(B12="","",SUMIFS(Bills!$W$6:$AI$55,Bills!$J$6:$V$55,"&gt;="&amp;B12,Bills!$J$6:$V$55,"&lt;"&amp;E12))</f>
        <v/>
      </c>
      <c r="G12" s="17">
        <f>IF(B12="","",Settings!$C$9)</f>
        <v/>
      </c>
      <c r="H12" s="33">
        <f>IF(B12="","",C12-F12-G12)</f>
        <v/>
      </c>
      <c r="I12" s="34">
        <f>IF(B12="","",E12-B12)</f>
        <v/>
      </c>
      <c r="J12" s="21">
        <f>IF(B12="","",H12/I12)</f>
        <v/>
      </c>
      <c r="K12" s="16">
        <f>IF(B12="","",IF(H12&lt;0,"Short by "&amp;FIXED(-H12,2),IF(J12&lt;Settings!$C$10,"Tight","OK")))</f>
        <v/>
      </c>
      <c r="L12" s="1" t="n"/>
    </row>
    <row r="13">
      <c r="A13" s="1" t="n"/>
      <c r="B13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13" s="17">
        <f>IF(B13="","",IF(ISNUMBER(D13),D13,Settings!$C$8))</f>
        <v/>
      </c>
      <c r="D13" s="28" t="n"/>
      <c r="E13" s="15">
        <f>IF(B13="","",IF(Settings!$C$5="Weekly",Settings!$C$6+7*(ROW()-5),IF(Settings!$C$5="Every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13" s="17">
        <f>IF(B13="","",SUMIFS(Bills!$W$6:$AI$55,Bills!$J$6:$V$55,"&gt;="&amp;B13,Bills!$J$6:$V$55,"&lt;"&amp;E13))</f>
        <v/>
      </c>
      <c r="G13" s="17">
        <f>IF(B13="","",Settings!$C$9)</f>
        <v/>
      </c>
      <c r="H13" s="33">
        <f>IF(B13="","",C13-F13-G13)</f>
        <v/>
      </c>
      <c r="I13" s="34">
        <f>IF(B13="","",E13-B13)</f>
        <v/>
      </c>
      <c r="J13" s="21">
        <f>IF(B13="","",H13/I13)</f>
        <v/>
      </c>
      <c r="K13" s="16">
        <f>IF(B13="","",IF(H13&lt;0,"Short by "&amp;FIXED(-H13,2),IF(J13&lt;Settings!$C$10,"Tight","OK")))</f>
        <v/>
      </c>
      <c r="L13" s="1" t="n"/>
    </row>
    <row r="14">
      <c r="A14" s="1" t="n"/>
      <c r="B14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14" s="17">
        <f>IF(B14="","",IF(ISNUMBER(D14),D14,Settings!$C$8))</f>
        <v/>
      </c>
      <c r="D14" s="28" t="n"/>
      <c r="E14" s="15">
        <f>IF(B14="","",IF(Settings!$C$5="Weekly",Settings!$C$6+7*(ROW()-5),IF(Settings!$C$5="Every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14" s="17">
        <f>IF(B14="","",SUMIFS(Bills!$W$6:$AI$55,Bills!$J$6:$V$55,"&gt;="&amp;B14,Bills!$J$6:$V$55,"&lt;"&amp;E14))</f>
        <v/>
      </c>
      <c r="G14" s="17">
        <f>IF(B14="","",Settings!$C$9)</f>
        <v/>
      </c>
      <c r="H14" s="33">
        <f>IF(B14="","",C14-F14-G14)</f>
        <v/>
      </c>
      <c r="I14" s="34">
        <f>IF(B14="","",E14-B14)</f>
        <v/>
      </c>
      <c r="J14" s="21">
        <f>IF(B14="","",H14/I14)</f>
        <v/>
      </c>
      <c r="K14" s="16">
        <f>IF(B14="","",IF(H14&lt;0,"Short by "&amp;FIXED(-H14,2),IF(J14&lt;Settings!$C$10,"Tight","OK")))</f>
        <v/>
      </c>
      <c r="L14" s="1" t="n"/>
    </row>
    <row r="15">
      <c r="A15" s="1" t="n"/>
      <c r="B15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15" s="17">
        <f>IF(B15="","",IF(ISNUMBER(D15),D15,Settings!$C$8))</f>
        <v/>
      </c>
      <c r="D15" s="28" t="n"/>
      <c r="E15" s="15">
        <f>IF(B15="","",IF(Settings!$C$5="Weekly",Settings!$C$6+7*(ROW()-5),IF(Settings!$C$5="Every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15" s="17">
        <f>IF(B15="","",SUMIFS(Bills!$W$6:$AI$55,Bills!$J$6:$V$55,"&gt;="&amp;B15,Bills!$J$6:$V$55,"&lt;"&amp;E15))</f>
        <v/>
      </c>
      <c r="G15" s="17">
        <f>IF(B15="","",Settings!$C$9)</f>
        <v/>
      </c>
      <c r="H15" s="33">
        <f>IF(B15="","",C15-F15-G15)</f>
        <v/>
      </c>
      <c r="I15" s="34">
        <f>IF(B15="","",E15-B15)</f>
        <v/>
      </c>
      <c r="J15" s="21">
        <f>IF(B15="","",H15/I15)</f>
        <v/>
      </c>
      <c r="K15" s="16">
        <f>IF(B15="","",IF(H15&lt;0,"Short by "&amp;FIXED(-H15,2),IF(J15&lt;Settings!$C$10,"Tight","OK")))</f>
        <v/>
      </c>
      <c r="L15" s="1" t="n"/>
    </row>
    <row r="16">
      <c r="A16" s="1" t="n"/>
      <c r="B16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16" s="17">
        <f>IF(B16="","",IF(ISNUMBER(D16),D16,Settings!$C$8))</f>
        <v/>
      </c>
      <c r="D16" s="28" t="n"/>
      <c r="E16" s="15">
        <f>IF(B16="","",IF(Settings!$C$5="Weekly",Settings!$C$6+7*(ROW()-5),IF(Settings!$C$5="Every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16" s="17">
        <f>IF(B16="","",SUMIFS(Bills!$W$6:$AI$55,Bills!$J$6:$V$55,"&gt;="&amp;B16,Bills!$J$6:$V$55,"&lt;"&amp;E16))</f>
        <v/>
      </c>
      <c r="G16" s="17">
        <f>IF(B16="","",Settings!$C$9)</f>
        <v/>
      </c>
      <c r="H16" s="33">
        <f>IF(B16="","",C16-F16-G16)</f>
        <v/>
      </c>
      <c r="I16" s="34">
        <f>IF(B16="","",E16-B16)</f>
        <v/>
      </c>
      <c r="J16" s="21">
        <f>IF(B16="","",H16/I16)</f>
        <v/>
      </c>
      <c r="K16" s="16">
        <f>IF(B16="","",IF(H16&lt;0,"Short by "&amp;FIXED(-H16,2),IF(J16&lt;Settings!$C$10,"Tight","OK")))</f>
        <v/>
      </c>
      <c r="L16" s="1" t="n"/>
    </row>
    <row r="17">
      <c r="A17" s="1" t="n"/>
      <c r="B17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17" s="17">
        <f>IF(B17="","",IF(ISNUMBER(D17),D17,Settings!$C$8))</f>
        <v/>
      </c>
      <c r="D17" s="28" t="n"/>
      <c r="E17" s="15">
        <f>IF(B17="","",IF(Settings!$C$5="Weekly",Settings!$C$6+7*(ROW()-5),IF(Settings!$C$5="Every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17" s="17">
        <f>IF(B17="","",SUMIFS(Bills!$W$6:$AI$55,Bills!$J$6:$V$55,"&gt;="&amp;B17,Bills!$J$6:$V$55,"&lt;"&amp;E17))</f>
        <v/>
      </c>
      <c r="G17" s="17">
        <f>IF(B17="","",Settings!$C$9)</f>
        <v/>
      </c>
      <c r="H17" s="33">
        <f>IF(B17="","",C17-F17-G17)</f>
        <v/>
      </c>
      <c r="I17" s="34">
        <f>IF(B17="","",E17-B17)</f>
        <v/>
      </c>
      <c r="J17" s="21">
        <f>IF(B17="","",H17/I17)</f>
        <v/>
      </c>
      <c r="K17" s="16">
        <f>IF(B17="","",IF(H17&lt;0,"Short by "&amp;FIXED(-H17,2),IF(J17&lt;Settings!$C$10,"Tight","OK")))</f>
        <v/>
      </c>
      <c r="L17" s="1" t="n"/>
    </row>
    <row r="18">
      <c r="A18" s="1" t="n"/>
      <c r="B18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18" s="17">
        <f>IF(B18="","",IF(ISNUMBER(D18),D18,Settings!$C$8))</f>
        <v/>
      </c>
      <c r="D18" s="28" t="n"/>
      <c r="E18" s="15">
        <f>IF(B18="","",IF(Settings!$C$5="Weekly",Settings!$C$6+7*(ROW()-5),IF(Settings!$C$5="Every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18" s="17">
        <f>IF(B18="","",SUMIFS(Bills!$W$6:$AI$55,Bills!$J$6:$V$55,"&gt;="&amp;B18,Bills!$J$6:$V$55,"&lt;"&amp;E18))</f>
        <v/>
      </c>
      <c r="G18" s="17">
        <f>IF(B18="","",Settings!$C$9)</f>
        <v/>
      </c>
      <c r="H18" s="33">
        <f>IF(B18="","",C18-F18-G18)</f>
        <v/>
      </c>
      <c r="I18" s="34">
        <f>IF(B18="","",E18-B18)</f>
        <v/>
      </c>
      <c r="J18" s="21">
        <f>IF(B18="","",H18/I18)</f>
        <v/>
      </c>
      <c r="K18" s="16">
        <f>IF(B18="","",IF(H18&lt;0,"Short by "&amp;FIXED(-H18,2),IF(J18&lt;Settings!$C$10,"Tight","OK")))</f>
        <v/>
      </c>
      <c r="L18" s="1" t="n"/>
    </row>
    <row r="19">
      <c r="A19" s="1" t="n"/>
      <c r="B19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19" s="17">
        <f>IF(B19="","",IF(ISNUMBER(D19),D19,Settings!$C$8))</f>
        <v/>
      </c>
      <c r="D19" s="28" t="n"/>
      <c r="E19" s="15">
        <f>IF(B19="","",IF(Settings!$C$5="Weekly",Settings!$C$6+7*(ROW()-5),IF(Settings!$C$5="Every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19" s="17">
        <f>IF(B19="","",SUMIFS(Bills!$W$6:$AI$55,Bills!$J$6:$V$55,"&gt;="&amp;B19,Bills!$J$6:$V$55,"&lt;"&amp;E19))</f>
        <v/>
      </c>
      <c r="G19" s="17">
        <f>IF(B19="","",Settings!$C$9)</f>
        <v/>
      </c>
      <c r="H19" s="33">
        <f>IF(B19="","",C19-F19-G19)</f>
        <v/>
      </c>
      <c r="I19" s="34">
        <f>IF(B19="","",E19-B19)</f>
        <v/>
      </c>
      <c r="J19" s="21">
        <f>IF(B19="","",H19/I19)</f>
        <v/>
      </c>
      <c r="K19" s="16">
        <f>IF(B19="","",IF(H19&lt;0,"Short by "&amp;FIXED(-H19,2),IF(J19&lt;Settings!$C$10,"Tight","OK")))</f>
        <v/>
      </c>
      <c r="L19" s="1" t="n"/>
    </row>
    <row r="20">
      <c r="A20" s="1" t="n"/>
      <c r="B20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20" s="17">
        <f>IF(B20="","",IF(ISNUMBER(D20),D20,Settings!$C$8))</f>
        <v/>
      </c>
      <c r="D20" s="28" t="n"/>
      <c r="E20" s="15">
        <f>IF(B20="","",IF(Settings!$C$5="Weekly",Settings!$C$6+7*(ROW()-5),IF(Settings!$C$5="Every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20" s="17">
        <f>IF(B20="","",SUMIFS(Bills!$W$6:$AI$55,Bills!$J$6:$V$55,"&gt;="&amp;B20,Bills!$J$6:$V$55,"&lt;"&amp;E20))</f>
        <v/>
      </c>
      <c r="G20" s="17">
        <f>IF(B20="","",Settings!$C$9)</f>
        <v/>
      </c>
      <c r="H20" s="33">
        <f>IF(B20="","",C20-F20-G20)</f>
        <v/>
      </c>
      <c r="I20" s="34">
        <f>IF(B20="","",E20-B20)</f>
        <v/>
      </c>
      <c r="J20" s="21">
        <f>IF(B20="","",H20/I20)</f>
        <v/>
      </c>
      <c r="K20" s="16">
        <f>IF(B20="","",IF(H20&lt;0,"Short by "&amp;FIXED(-H20,2),IF(J20&lt;Settings!$C$10,"Tight","OK")))</f>
        <v/>
      </c>
      <c r="L20" s="1" t="n"/>
    </row>
    <row r="21">
      <c r="A21" s="1" t="n"/>
      <c r="B21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21" s="17">
        <f>IF(B21="","",IF(ISNUMBER(D21),D21,Settings!$C$8))</f>
        <v/>
      </c>
      <c r="D21" s="28" t="n"/>
      <c r="E21" s="15">
        <f>IF(B21="","",IF(Settings!$C$5="Weekly",Settings!$C$6+7*(ROW()-5),IF(Settings!$C$5="Every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21" s="17">
        <f>IF(B21="","",SUMIFS(Bills!$W$6:$AI$55,Bills!$J$6:$V$55,"&gt;="&amp;B21,Bills!$J$6:$V$55,"&lt;"&amp;E21))</f>
        <v/>
      </c>
      <c r="G21" s="17">
        <f>IF(B21="","",Settings!$C$9)</f>
        <v/>
      </c>
      <c r="H21" s="33">
        <f>IF(B21="","",C21-F21-G21)</f>
        <v/>
      </c>
      <c r="I21" s="34">
        <f>IF(B21="","",E21-B21)</f>
        <v/>
      </c>
      <c r="J21" s="21">
        <f>IF(B21="","",H21/I21)</f>
        <v/>
      </c>
      <c r="K21" s="16">
        <f>IF(B21="","",IF(H21&lt;0,"Short by "&amp;FIXED(-H21,2),IF(J21&lt;Settings!$C$10,"Tight","OK")))</f>
        <v/>
      </c>
      <c r="L21" s="1" t="n"/>
    </row>
    <row r="22">
      <c r="A22" s="1" t="n"/>
      <c r="B22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22" s="17">
        <f>IF(B22="","",IF(ISNUMBER(D22),D22,Settings!$C$8))</f>
        <v/>
      </c>
      <c r="D22" s="28" t="n"/>
      <c r="E22" s="15">
        <f>IF(B22="","",IF(Settings!$C$5="Weekly",Settings!$C$6+7*(ROW()-5),IF(Settings!$C$5="Every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22" s="17">
        <f>IF(B22="","",SUMIFS(Bills!$W$6:$AI$55,Bills!$J$6:$V$55,"&gt;="&amp;B22,Bills!$J$6:$V$55,"&lt;"&amp;E22))</f>
        <v/>
      </c>
      <c r="G22" s="17">
        <f>IF(B22="","",Settings!$C$9)</f>
        <v/>
      </c>
      <c r="H22" s="33">
        <f>IF(B22="","",C22-F22-G22)</f>
        <v/>
      </c>
      <c r="I22" s="34">
        <f>IF(B22="","",E22-B22)</f>
        <v/>
      </c>
      <c r="J22" s="21">
        <f>IF(B22="","",H22/I22)</f>
        <v/>
      </c>
      <c r="K22" s="16">
        <f>IF(B22="","",IF(H22&lt;0,"Short by "&amp;FIXED(-H22,2),IF(J22&lt;Settings!$C$10,"Tight","OK")))</f>
        <v/>
      </c>
      <c r="L22" s="1" t="n"/>
    </row>
    <row r="23">
      <c r="A23" s="1" t="n"/>
      <c r="B23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23" s="17">
        <f>IF(B23="","",IF(ISNUMBER(D23),D23,Settings!$C$8))</f>
        <v/>
      </c>
      <c r="D23" s="28" t="n"/>
      <c r="E23" s="15">
        <f>IF(B23="","",IF(Settings!$C$5="Weekly",Settings!$C$6+7*(ROW()-5),IF(Settings!$C$5="Every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23" s="17">
        <f>IF(B23="","",SUMIFS(Bills!$W$6:$AI$55,Bills!$J$6:$V$55,"&gt;="&amp;B23,Bills!$J$6:$V$55,"&lt;"&amp;E23))</f>
        <v/>
      </c>
      <c r="G23" s="17">
        <f>IF(B23="","",Settings!$C$9)</f>
        <v/>
      </c>
      <c r="H23" s="33">
        <f>IF(B23="","",C23-F23-G23)</f>
        <v/>
      </c>
      <c r="I23" s="34">
        <f>IF(B23="","",E23-B23)</f>
        <v/>
      </c>
      <c r="J23" s="21">
        <f>IF(B23="","",H23/I23)</f>
        <v/>
      </c>
      <c r="K23" s="16">
        <f>IF(B23="","",IF(H23&lt;0,"Short by "&amp;FIXED(-H23,2),IF(J23&lt;Settings!$C$10,"Tight","OK")))</f>
        <v/>
      </c>
      <c r="L23" s="1" t="n"/>
    </row>
    <row r="24">
      <c r="A24" s="1" t="n"/>
      <c r="B24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24" s="17">
        <f>IF(B24="","",IF(ISNUMBER(D24),D24,Settings!$C$8))</f>
        <v/>
      </c>
      <c r="D24" s="28" t="n"/>
      <c r="E24" s="15">
        <f>IF(B24="","",IF(Settings!$C$5="Weekly",Settings!$C$6+7*(ROW()-5),IF(Settings!$C$5="Every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24" s="17">
        <f>IF(B24="","",SUMIFS(Bills!$W$6:$AI$55,Bills!$J$6:$V$55,"&gt;="&amp;B24,Bills!$J$6:$V$55,"&lt;"&amp;E24))</f>
        <v/>
      </c>
      <c r="G24" s="17">
        <f>IF(B24="","",Settings!$C$9)</f>
        <v/>
      </c>
      <c r="H24" s="33">
        <f>IF(B24="","",C24-F24-G24)</f>
        <v/>
      </c>
      <c r="I24" s="34">
        <f>IF(B24="","",E24-B24)</f>
        <v/>
      </c>
      <c r="J24" s="21">
        <f>IF(B24="","",H24/I24)</f>
        <v/>
      </c>
      <c r="K24" s="16">
        <f>IF(B24="","",IF(H24&lt;0,"Short by "&amp;FIXED(-H24,2),IF(J24&lt;Settings!$C$10,"Tight","OK")))</f>
        <v/>
      </c>
      <c r="L24" s="1" t="n"/>
    </row>
    <row r="25">
      <c r="A25" s="1" t="n"/>
      <c r="B25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25" s="17">
        <f>IF(B25="","",IF(ISNUMBER(D25),D25,Settings!$C$8))</f>
        <v/>
      </c>
      <c r="D25" s="28" t="n"/>
      <c r="E25" s="15">
        <f>IF(B25="","",IF(Settings!$C$5="Weekly",Settings!$C$6+7*(ROW()-5),IF(Settings!$C$5="Every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25" s="17">
        <f>IF(B25="","",SUMIFS(Bills!$W$6:$AI$55,Bills!$J$6:$V$55,"&gt;="&amp;B25,Bills!$J$6:$V$55,"&lt;"&amp;E25))</f>
        <v/>
      </c>
      <c r="G25" s="17">
        <f>IF(B25="","",Settings!$C$9)</f>
        <v/>
      </c>
      <c r="H25" s="33">
        <f>IF(B25="","",C25-F25-G25)</f>
        <v/>
      </c>
      <c r="I25" s="34">
        <f>IF(B25="","",E25-B25)</f>
        <v/>
      </c>
      <c r="J25" s="21">
        <f>IF(B25="","",H25/I25)</f>
        <v/>
      </c>
      <c r="K25" s="16">
        <f>IF(B25="","",IF(H25&lt;0,"Short by "&amp;FIXED(-H25,2),IF(J25&lt;Settings!$C$10,"Tight","OK")))</f>
        <v/>
      </c>
      <c r="L25" s="1" t="n"/>
    </row>
    <row r="26">
      <c r="A26" s="1" t="n"/>
      <c r="B26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26" s="17">
        <f>IF(B26="","",IF(ISNUMBER(D26),D26,Settings!$C$8))</f>
        <v/>
      </c>
      <c r="D26" s="28" t="n"/>
      <c r="E26" s="15">
        <f>IF(B26="","",IF(Settings!$C$5="Weekly",Settings!$C$6+7*(ROW()-5),IF(Settings!$C$5="Every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26" s="17">
        <f>IF(B26="","",SUMIFS(Bills!$W$6:$AI$55,Bills!$J$6:$V$55,"&gt;="&amp;B26,Bills!$J$6:$V$55,"&lt;"&amp;E26))</f>
        <v/>
      </c>
      <c r="G26" s="17">
        <f>IF(B26="","",Settings!$C$9)</f>
        <v/>
      </c>
      <c r="H26" s="33">
        <f>IF(B26="","",C26-F26-G26)</f>
        <v/>
      </c>
      <c r="I26" s="34">
        <f>IF(B26="","",E26-B26)</f>
        <v/>
      </c>
      <c r="J26" s="21">
        <f>IF(B26="","",H26/I26)</f>
        <v/>
      </c>
      <c r="K26" s="16">
        <f>IF(B26="","",IF(H26&lt;0,"Short by "&amp;FIXED(-H26,2),IF(J26&lt;Settings!$C$10,"Tight","OK")))</f>
        <v/>
      </c>
      <c r="L26" s="1" t="n"/>
    </row>
    <row r="27">
      <c r="A27" s="1" t="n"/>
      <c r="B27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27" s="17">
        <f>IF(B27="","",IF(ISNUMBER(D27),D27,Settings!$C$8))</f>
        <v/>
      </c>
      <c r="D27" s="28" t="n"/>
      <c r="E27" s="15">
        <f>IF(B27="","",IF(Settings!$C$5="Weekly",Settings!$C$6+7*(ROW()-5),IF(Settings!$C$5="Every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27" s="17">
        <f>IF(B27="","",SUMIFS(Bills!$W$6:$AI$55,Bills!$J$6:$V$55,"&gt;="&amp;B27,Bills!$J$6:$V$55,"&lt;"&amp;E27))</f>
        <v/>
      </c>
      <c r="G27" s="17">
        <f>IF(B27="","",Settings!$C$9)</f>
        <v/>
      </c>
      <c r="H27" s="33">
        <f>IF(B27="","",C27-F27-G27)</f>
        <v/>
      </c>
      <c r="I27" s="34">
        <f>IF(B27="","",E27-B27)</f>
        <v/>
      </c>
      <c r="J27" s="21">
        <f>IF(B27="","",H27/I27)</f>
        <v/>
      </c>
      <c r="K27" s="16">
        <f>IF(B27="","",IF(H27&lt;0,"Short by "&amp;FIXED(-H27,2),IF(J27&lt;Settings!$C$10,"Tight","OK")))</f>
        <v/>
      </c>
      <c r="L27" s="1" t="n"/>
    </row>
    <row r="28">
      <c r="A28" s="1" t="n"/>
      <c r="B28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28" s="17">
        <f>IF(B28="","",IF(ISNUMBER(D28),D28,Settings!$C$8))</f>
        <v/>
      </c>
      <c r="D28" s="28" t="n"/>
      <c r="E28" s="15">
        <f>IF(B28="","",IF(Settings!$C$5="Weekly",Settings!$C$6+7*(ROW()-5),IF(Settings!$C$5="Every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28" s="17">
        <f>IF(B28="","",SUMIFS(Bills!$W$6:$AI$55,Bills!$J$6:$V$55,"&gt;="&amp;B28,Bills!$J$6:$V$55,"&lt;"&amp;E28))</f>
        <v/>
      </c>
      <c r="G28" s="17">
        <f>IF(B28="","",Settings!$C$9)</f>
        <v/>
      </c>
      <c r="H28" s="33">
        <f>IF(B28="","",C28-F28-G28)</f>
        <v/>
      </c>
      <c r="I28" s="34">
        <f>IF(B28="","",E28-B28)</f>
        <v/>
      </c>
      <c r="J28" s="21">
        <f>IF(B28="","",H28/I28)</f>
        <v/>
      </c>
      <c r="K28" s="16">
        <f>IF(B28="","",IF(H28&lt;0,"Short by "&amp;FIXED(-H28,2),IF(J28&lt;Settings!$C$10,"Tight","OK")))</f>
        <v/>
      </c>
      <c r="L28" s="1" t="n"/>
    </row>
    <row r="29">
      <c r="A29" s="1" t="n"/>
      <c r="B29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29" s="17">
        <f>IF(B29="","",IF(ISNUMBER(D29),D29,Settings!$C$8))</f>
        <v/>
      </c>
      <c r="D29" s="28" t="n"/>
      <c r="E29" s="15">
        <f>IF(B29="","",IF(Settings!$C$5="Weekly",Settings!$C$6+7*(ROW()-5),IF(Settings!$C$5="Every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29" s="17">
        <f>IF(B29="","",SUMIFS(Bills!$W$6:$AI$55,Bills!$J$6:$V$55,"&gt;="&amp;B29,Bills!$J$6:$V$55,"&lt;"&amp;E29))</f>
        <v/>
      </c>
      <c r="G29" s="17">
        <f>IF(B29="","",Settings!$C$9)</f>
        <v/>
      </c>
      <c r="H29" s="33">
        <f>IF(B29="","",C29-F29-G29)</f>
        <v/>
      </c>
      <c r="I29" s="34">
        <f>IF(B29="","",E29-B29)</f>
        <v/>
      </c>
      <c r="J29" s="21">
        <f>IF(B29="","",H29/I29)</f>
        <v/>
      </c>
      <c r="K29" s="16">
        <f>IF(B29="","",IF(H29&lt;0,"Short by "&amp;FIXED(-H29,2),IF(J29&lt;Settings!$C$10,"Tight","OK")))</f>
        <v/>
      </c>
      <c r="L29" s="1" t="n"/>
    </row>
    <row r="30">
      <c r="A30" s="1" t="n"/>
      <c r="B30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30" s="17">
        <f>IF(B30="","",IF(ISNUMBER(D30),D30,Settings!$C$8))</f>
        <v/>
      </c>
      <c r="D30" s="28" t="n"/>
      <c r="E30" s="15">
        <f>IF(B30="","",IF(Settings!$C$5="Weekly",Settings!$C$6+7*(ROW()-5),IF(Settings!$C$5="Every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30" s="17">
        <f>IF(B30="","",SUMIFS(Bills!$W$6:$AI$55,Bills!$J$6:$V$55,"&gt;="&amp;B30,Bills!$J$6:$V$55,"&lt;"&amp;E30))</f>
        <v/>
      </c>
      <c r="G30" s="17">
        <f>IF(B30="","",Settings!$C$9)</f>
        <v/>
      </c>
      <c r="H30" s="33">
        <f>IF(B30="","",C30-F30-G30)</f>
        <v/>
      </c>
      <c r="I30" s="34">
        <f>IF(B30="","",E30-B30)</f>
        <v/>
      </c>
      <c r="J30" s="21">
        <f>IF(B30="","",H30/I30)</f>
        <v/>
      </c>
      <c r="K30" s="16">
        <f>IF(B30="","",IF(H30&lt;0,"Short by "&amp;FIXED(-H30,2),IF(J30&lt;Settings!$C$10,"Tight","OK")))</f>
        <v/>
      </c>
      <c r="L30" s="1" t="n"/>
    </row>
    <row r="31">
      <c r="A31" s="1" t="n"/>
      <c r="B31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31" s="17">
        <f>IF(B31="","",IF(ISNUMBER(D31),D31,Settings!$C$8))</f>
        <v/>
      </c>
      <c r="D31" s="28" t="n"/>
      <c r="E31" s="15">
        <f>IF(B31="","",IF(Settings!$C$5="Weekly",Settings!$C$6+7*(ROW()-5),IF(Settings!$C$5="Every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31" s="17">
        <f>IF(B31="","",SUMIFS(Bills!$W$6:$AI$55,Bills!$J$6:$V$55,"&gt;="&amp;B31,Bills!$J$6:$V$55,"&lt;"&amp;E31))</f>
        <v/>
      </c>
      <c r="G31" s="17">
        <f>IF(B31="","",Settings!$C$9)</f>
        <v/>
      </c>
      <c r="H31" s="33">
        <f>IF(B31="","",C31-F31-G31)</f>
        <v/>
      </c>
      <c r="I31" s="34">
        <f>IF(B31="","",E31-B31)</f>
        <v/>
      </c>
      <c r="J31" s="21">
        <f>IF(B31="","",H31/I31)</f>
        <v/>
      </c>
      <c r="K31" s="16">
        <f>IF(B31="","",IF(H31&lt;0,"Short by "&amp;FIXED(-H31,2),IF(J31&lt;Settings!$C$10,"Tight","OK")))</f>
        <v/>
      </c>
      <c r="L31" s="1" t="n"/>
    </row>
    <row r="32">
      <c r="A32" s="1" t="n"/>
      <c r="B32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32" s="17">
        <f>IF(B32="","",IF(ISNUMBER(D32),D32,Settings!$C$8))</f>
        <v/>
      </c>
      <c r="D32" s="28" t="n"/>
      <c r="E32" s="15">
        <f>IF(B32="","",IF(Settings!$C$5="Weekly",Settings!$C$6+7*(ROW()-5),IF(Settings!$C$5="Every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32" s="17">
        <f>IF(B32="","",SUMIFS(Bills!$W$6:$AI$55,Bills!$J$6:$V$55,"&gt;="&amp;B32,Bills!$J$6:$V$55,"&lt;"&amp;E32))</f>
        <v/>
      </c>
      <c r="G32" s="17">
        <f>IF(B32="","",Settings!$C$9)</f>
        <v/>
      </c>
      <c r="H32" s="33">
        <f>IF(B32="","",C32-F32-G32)</f>
        <v/>
      </c>
      <c r="I32" s="34">
        <f>IF(B32="","",E32-B32)</f>
        <v/>
      </c>
      <c r="J32" s="21">
        <f>IF(B32="","",H32/I32)</f>
        <v/>
      </c>
      <c r="K32" s="16">
        <f>IF(B32="","",IF(H32&lt;0,"Short by "&amp;FIXED(-H32,2),IF(J32&lt;Settings!$C$10,"Tight","OK")))</f>
        <v/>
      </c>
      <c r="L32" s="1" t="n"/>
    </row>
    <row r="33">
      <c r="A33" s="1" t="n"/>
      <c r="B33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33" s="17">
        <f>IF(B33="","",IF(ISNUMBER(D33),D33,Settings!$C$8))</f>
        <v/>
      </c>
      <c r="D33" s="28" t="n"/>
      <c r="E33" s="15">
        <f>IF(B33="","",IF(Settings!$C$5="Weekly",Settings!$C$6+7*(ROW()-5),IF(Settings!$C$5="Every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33" s="17">
        <f>IF(B33="","",SUMIFS(Bills!$W$6:$AI$55,Bills!$J$6:$V$55,"&gt;="&amp;B33,Bills!$J$6:$V$55,"&lt;"&amp;E33))</f>
        <v/>
      </c>
      <c r="G33" s="17">
        <f>IF(B33="","",Settings!$C$9)</f>
        <v/>
      </c>
      <c r="H33" s="33">
        <f>IF(B33="","",C33-F33-G33)</f>
        <v/>
      </c>
      <c r="I33" s="34">
        <f>IF(B33="","",E33-B33)</f>
        <v/>
      </c>
      <c r="J33" s="21">
        <f>IF(B33="","",H33/I33)</f>
        <v/>
      </c>
      <c r="K33" s="16">
        <f>IF(B33="","",IF(H33&lt;0,"Short by "&amp;FIXED(-H33,2),IF(J33&lt;Settings!$C$10,"Tight","OK")))</f>
        <v/>
      </c>
      <c r="L33" s="1" t="n"/>
    </row>
    <row r="34">
      <c r="A34" s="1" t="n"/>
      <c r="B34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34" s="17">
        <f>IF(B34="","",IF(ISNUMBER(D34),D34,Settings!$C$8))</f>
        <v/>
      </c>
      <c r="D34" s="28" t="n"/>
      <c r="E34" s="15">
        <f>IF(B34="","",IF(Settings!$C$5="Weekly",Settings!$C$6+7*(ROW()-5),IF(Settings!$C$5="Every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34" s="17">
        <f>IF(B34="","",SUMIFS(Bills!$W$6:$AI$55,Bills!$J$6:$V$55,"&gt;="&amp;B34,Bills!$J$6:$V$55,"&lt;"&amp;E34))</f>
        <v/>
      </c>
      <c r="G34" s="17">
        <f>IF(B34="","",Settings!$C$9)</f>
        <v/>
      </c>
      <c r="H34" s="33">
        <f>IF(B34="","",C34-F34-G34)</f>
        <v/>
      </c>
      <c r="I34" s="34">
        <f>IF(B34="","",E34-B34)</f>
        <v/>
      </c>
      <c r="J34" s="21">
        <f>IF(B34="","",H34/I34)</f>
        <v/>
      </c>
      <c r="K34" s="16">
        <f>IF(B34="","",IF(H34&lt;0,"Short by "&amp;FIXED(-H34,2),IF(J34&lt;Settings!$C$10,"Tight","OK")))</f>
        <v/>
      </c>
      <c r="L34" s="1" t="n"/>
    </row>
    <row r="35">
      <c r="A35" s="1" t="n"/>
      <c r="B35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35" s="17">
        <f>IF(B35="","",IF(ISNUMBER(D35),D35,Settings!$C$8))</f>
        <v/>
      </c>
      <c r="D35" s="28" t="n"/>
      <c r="E35" s="15">
        <f>IF(B35="","",IF(Settings!$C$5="Weekly",Settings!$C$6+7*(ROW()-5),IF(Settings!$C$5="Every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35" s="17">
        <f>IF(B35="","",SUMIFS(Bills!$W$6:$AI$55,Bills!$J$6:$V$55,"&gt;="&amp;B35,Bills!$J$6:$V$55,"&lt;"&amp;E35))</f>
        <v/>
      </c>
      <c r="G35" s="17">
        <f>IF(B35="","",Settings!$C$9)</f>
        <v/>
      </c>
      <c r="H35" s="33">
        <f>IF(B35="","",C35-F35-G35)</f>
        <v/>
      </c>
      <c r="I35" s="34">
        <f>IF(B35="","",E35-B35)</f>
        <v/>
      </c>
      <c r="J35" s="21">
        <f>IF(B35="","",H35/I35)</f>
        <v/>
      </c>
      <c r="K35" s="16">
        <f>IF(B35="","",IF(H35&lt;0,"Short by "&amp;FIXED(-H35,2),IF(J35&lt;Settings!$C$10,"Tight","OK")))</f>
        <v/>
      </c>
      <c r="L35" s="1" t="n"/>
    </row>
    <row r="36">
      <c r="A36" s="1" t="n"/>
      <c r="B36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36" s="17">
        <f>IF(B36="","",IF(ISNUMBER(D36),D36,Settings!$C$8))</f>
        <v/>
      </c>
      <c r="D36" s="28" t="n"/>
      <c r="E36" s="15">
        <f>IF(B36="","",IF(Settings!$C$5="Weekly",Settings!$C$6+7*(ROW()-5),IF(Settings!$C$5="Every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36" s="17">
        <f>IF(B36="","",SUMIFS(Bills!$W$6:$AI$55,Bills!$J$6:$V$55,"&gt;="&amp;B36,Bills!$J$6:$V$55,"&lt;"&amp;E36))</f>
        <v/>
      </c>
      <c r="G36" s="17">
        <f>IF(B36="","",Settings!$C$9)</f>
        <v/>
      </c>
      <c r="H36" s="33">
        <f>IF(B36="","",C36-F36-G36)</f>
        <v/>
      </c>
      <c r="I36" s="34">
        <f>IF(B36="","",E36-B36)</f>
        <v/>
      </c>
      <c r="J36" s="21">
        <f>IF(B36="","",H36/I36)</f>
        <v/>
      </c>
      <c r="K36" s="16">
        <f>IF(B36="","",IF(H36&lt;0,"Short by "&amp;FIXED(-H36,2),IF(J36&lt;Settings!$C$10,"Tight","OK")))</f>
        <v/>
      </c>
      <c r="L36" s="1" t="n"/>
    </row>
    <row r="37">
      <c r="A37" s="1" t="n"/>
      <c r="B37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37" s="17">
        <f>IF(B37="","",IF(ISNUMBER(D37),D37,Settings!$C$8))</f>
        <v/>
      </c>
      <c r="D37" s="28" t="n"/>
      <c r="E37" s="15">
        <f>IF(B37="","",IF(Settings!$C$5="Weekly",Settings!$C$6+7*(ROW()-5),IF(Settings!$C$5="Every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37" s="17">
        <f>IF(B37="","",SUMIFS(Bills!$W$6:$AI$55,Bills!$J$6:$V$55,"&gt;="&amp;B37,Bills!$J$6:$V$55,"&lt;"&amp;E37))</f>
        <v/>
      </c>
      <c r="G37" s="17">
        <f>IF(B37="","",Settings!$C$9)</f>
        <v/>
      </c>
      <c r="H37" s="33">
        <f>IF(B37="","",C37-F37-G37)</f>
        <v/>
      </c>
      <c r="I37" s="34">
        <f>IF(B37="","",E37-B37)</f>
        <v/>
      </c>
      <c r="J37" s="21">
        <f>IF(B37="","",H37/I37)</f>
        <v/>
      </c>
      <c r="K37" s="16">
        <f>IF(B37="","",IF(H37&lt;0,"Short by "&amp;FIXED(-H37,2),IF(J37&lt;Settings!$C$10,"Tight","OK")))</f>
        <v/>
      </c>
      <c r="L37" s="1" t="n"/>
    </row>
    <row r="38">
      <c r="A38" s="1" t="n"/>
      <c r="B38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38" s="17">
        <f>IF(B38="","",IF(ISNUMBER(D38),D38,Settings!$C$8))</f>
        <v/>
      </c>
      <c r="D38" s="28" t="n"/>
      <c r="E38" s="15">
        <f>IF(B38="","",IF(Settings!$C$5="Weekly",Settings!$C$6+7*(ROW()-5),IF(Settings!$C$5="Every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38" s="17">
        <f>IF(B38="","",SUMIFS(Bills!$W$6:$AI$55,Bills!$J$6:$V$55,"&gt;="&amp;B38,Bills!$J$6:$V$55,"&lt;"&amp;E38))</f>
        <v/>
      </c>
      <c r="G38" s="17">
        <f>IF(B38="","",Settings!$C$9)</f>
        <v/>
      </c>
      <c r="H38" s="33">
        <f>IF(B38="","",C38-F38-G38)</f>
        <v/>
      </c>
      <c r="I38" s="34">
        <f>IF(B38="","",E38-B38)</f>
        <v/>
      </c>
      <c r="J38" s="21">
        <f>IF(B38="","",H38/I38)</f>
        <v/>
      </c>
      <c r="K38" s="16">
        <f>IF(B38="","",IF(H38&lt;0,"Short by "&amp;FIXED(-H38,2),IF(J38&lt;Settings!$C$10,"Tight","OK")))</f>
        <v/>
      </c>
      <c r="L38" s="1" t="n"/>
    </row>
    <row r="39">
      <c r="A39" s="1" t="n"/>
      <c r="B39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39" s="17">
        <f>IF(B39="","",IF(ISNUMBER(D39),D39,Settings!$C$8))</f>
        <v/>
      </c>
      <c r="D39" s="28" t="n"/>
      <c r="E39" s="15">
        <f>IF(B39="","",IF(Settings!$C$5="Weekly",Settings!$C$6+7*(ROW()-5),IF(Settings!$C$5="Every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39" s="17">
        <f>IF(B39="","",SUMIFS(Bills!$W$6:$AI$55,Bills!$J$6:$V$55,"&gt;="&amp;B39,Bills!$J$6:$V$55,"&lt;"&amp;E39))</f>
        <v/>
      </c>
      <c r="G39" s="17">
        <f>IF(B39="","",Settings!$C$9)</f>
        <v/>
      </c>
      <c r="H39" s="33">
        <f>IF(B39="","",C39-F39-G39)</f>
        <v/>
      </c>
      <c r="I39" s="34">
        <f>IF(B39="","",E39-B39)</f>
        <v/>
      </c>
      <c r="J39" s="21">
        <f>IF(B39="","",H39/I39)</f>
        <v/>
      </c>
      <c r="K39" s="16">
        <f>IF(B39="","",IF(H39&lt;0,"Short by "&amp;FIXED(-H39,2),IF(J39&lt;Settings!$C$10,"Tight","OK")))</f>
        <v/>
      </c>
      <c r="L39" s="1" t="n"/>
    </row>
    <row r="40">
      <c r="A40" s="1" t="n"/>
      <c r="B40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40" s="17">
        <f>IF(B40="","",IF(ISNUMBER(D40),D40,Settings!$C$8))</f>
        <v/>
      </c>
      <c r="D40" s="28" t="n"/>
      <c r="E40" s="15">
        <f>IF(B40="","",IF(Settings!$C$5="Weekly",Settings!$C$6+7*(ROW()-5),IF(Settings!$C$5="Every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40" s="17">
        <f>IF(B40="","",SUMIFS(Bills!$W$6:$AI$55,Bills!$J$6:$V$55,"&gt;="&amp;B40,Bills!$J$6:$V$55,"&lt;"&amp;E40))</f>
        <v/>
      </c>
      <c r="G40" s="17">
        <f>IF(B40="","",Settings!$C$9)</f>
        <v/>
      </c>
      <c r="H40" s="33">
        <f>IF(B40="","",C40-F40-G40)</f>
        <v/>
      </c>
      <c r="I40" s="34">
        <f>IF(B40="","",E40-B40)</f>
        <v/>
      </c>
      <c r="J40" s="21">
        <f>IF(B40="","",H40/I40)</f>
        <v/>
      </c>
      <c r="K40" s="16">
        <f>IF(B40="","",IF(H40&lt;0,"Short by "&amp;FIXED(-H40,2),IF(J40&lt;Settings!$C$10,"Tight","OK")))</f>
        <v/>
      </c>
      <c r="L40" s="1" t="n"/>
    </row>
    <row r="41">
      <c r="A41" s="1" t="n"/>
      <c r="B41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41" s="17">
        <f>IF(B41="","",IF(ISNUMBER(D41),D41,Settings!$C$8))</f>
        <v/>
      </c>
      <c r="D41" s="28" t="n"/>
      <c r="E41" s="15">
        <f>IF(B41="","",IF(Settings!$C$5="Weekly",Settings!$C$6+7*(ROW()-5),IF(Settings!$C$5="Every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41" s="17">
        <f>IF(B41="","",SUMIFS(Bills!$W$6:$AI$55,Bills!$J$6:$V$55,"&gt;="&amp;B41,Bills!$J$6:$V$55,"&lt;"&amp;E41))</f>
        <v/>
      </c>
      <c r="G41" s="17">
        <f>IF(B41="","",Settings!$C$9)</f>
        <v/>
      </c>
      <c r="H41" s="33">
        <f>IF(B41="","",C41-F41-G41)</f>
        <v/>
      </c>
      <c r="I41" s="34">
        <f>IF(B41="","",E41-B41)</f>
        <v/>
      </c>
      <c r="J41" s="21">
        <f>IF(B41="","",H41/I41)</f>
        <v/>
      </c>
      <c r="K41" s="16">
        <f>IF(B41="","",IF(H41&lt;0,"Short by "&amp;FIXED(-H41,2),IF(J41&lt;Settings!$C$10,"Tight","OK")))</f>
        <v/>
      </c>
      <c r="L41" s="1" t="n"/>
    </row>
    <row r="42">
      <c r="A42" s="1" t="n"/>
      <c r="B42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42" s="17">
        <f>IF(B42="","",IF(ISNUMBER(D42),D42,Settings!$C$8))</f>
        <v/>
      </c>
      <c r="D42" s="28" t="n"/>
      <c r="E42" s="15">
        <f>IF(B42="","",IF(Settings!$C$5="Weekly",Settings!$C$6+7*(ROW()-5),IF(Settings!$C$5="Every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42" s="17">
        <f>IF(B42="","",SUMIFS(Bills!$W$6:$AI$55,Bills!$J$6:$V$55,"&gt;="&amp;B42,Bills!$J$6:$V$55,"&lt;"&amp;E42))</f>
        <v/>
      </c>
      <c r="G42" s="17">
        <f>IF(B42="","",Settings!$C$9)</f>
        <v/>
      </c>
      <c r="H42" s="33">
        <f>IF(B42="","",C42-F42-G42)</f>
        <v/>
      </c>
      <c r="I42" s="34">
        <f>IF(B42="","",E42-B42)</f>
        <v/>
      </c>
      <c r="J42" s="21">
        <f>IF(B42="","",H42/I42)</f>
        <v/>
      </c>
      <c r="K42" s="16">
        <f>IF(B42="","",IF(H42&lt;0,"Short by "&amp;FIXED(-H42,2),IF(J42&lt;Settings!$C$10,"Tight","OK")))</f>
        <v/>
      </c>
      <c r="L42" s="1" t="n"/>
    </row>
    <row r="43">
      <c r="A43" s="1" t="n"/>
      <c r="B43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43" s="17">
        <f>IF(B43="","",IF(ISNUMBER(D43),D43,Settings!$C$8))</f>
        <v/>
      </c>
      <c r="D43" s="28" t="n"/>
      <c r="E43" s="15">
        <f>IF(B43="","",IF(Settings!$C$5="Weekly",Settings!$C$6+7*(ROW()-5),IF(Settings!$C$5="Every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43" s="17">
        <f>IF(B43="","",SUMIFS(Bills!$W$6:$AI$55,Bills!$J$6:$V$55,"&gt;="&amp;B43,Bills!$J$6:$V$55,"&lt;"&amp;E43))</f>
        <v/>
      </c>
      <c r="G43" s="17">
        <f>IF(B43="","",Settings!$C$9)</f>
        <v/>
      </c>
      <c r="H43" s="33">
        <f>IF(B43="","",C43-F43-G43)</f>
        <v/>
      </c>
      <c r="I43" s="34">
        <f>IF(B43="","",E43-B43)</f>
        <v/>
      </c>
      <c r="J43" s="21">
        <f>IF(B43="","",H43/I43)</f>
        <v/>
      </c>
      <c r="K43" s="16">
        <f>IF(B43="","",IF(H43&lt;0,"Short by "&amp;FIXED(-H43,2),IF(J43&lt;Settings!$C$10,"Tight","OK")))</f>
        <v/>
      </c>
      <c r="L43" s="1" t="n"/>
    </row>
    <row r="44">
      <c r="A44" s="1" t="n"/>
      <c r="B44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44" s="17">
        <f>IF(B44="","",IF(ISNUMBER(D44),D44,Settings!$C$8))</f>
        <v/>
      </c>
      <c r="D44" s="28" t="n"/>
      <c r="E44" s="15">
        <f>IF(B44="","",IF(Settings!$C$5="Weekly",Settings!$C$6+7*(ROW()-5),IF(Settings!$C$5="Every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44" s="17">
        <f>IF(B44="","",SUMIFS(Bills!$W$6:$AI$55,Bills!$J$6:$V$55,"&gt;="&amp;B44,Bills!$J$6:$V$55,"&lt;"&amp;E44))</f>
        <v/>
      </c>
      <c r="G44" s="17">
        <f>IF(B44="","",Settings!$C$9)</f>
        <v/>
      </c>
      <c r="H44" s="33">
        <f>IF(B44="","",C44-F44-G44)</f>
        <v/>
      </c>
      <c r="I44" s="34">
        <f>IF(B44="","",E44-B44)</f>
        <v/>
      </c>
      <c r="J44" s="21">
        <f>IF(B44="","",H44/I44)</f>
        <v/>
      </c>
      <c r="K44" s="16">
        <f>IF(B44="","",IF(H44&lt;0,"Short by "&amp;FIXED(-H44,2),IF(J44&lt;Settings!$C$10,"Tight","OK")))</f>
        <v/>
      </c>
      <c r="L44" s="1" t="n"/>
    </row>
    <row r="45">
      <c r="A45" s="1" t="n"/>
      <c r="B45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45" s="17">
        <f>IF(B45="","",IF(ISNUMBER(D45),D45,Settings!$C$8))</f>
        <v/>
      </c>
      <c r="D45" s="28" t="n"/>
      <c r="E45" s="15">
        <f>IF(B45="","",IF(Settings!$C$5="Weekly",Settings!$C$6+7*(ROW()-5),IF(Settings!$C$5="Every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45" s="17">
        <f>IF(B45="","",SUMIFS(Bills!$W$6:$AI$55,Bills!$J$6:$V$55,"&gt;="&amp;B45,Bills!$J$6:$V$55,"&lt;"&amp;E45))</f>
        <v/>
      </c>
      <c r="G45" s="17">
        <f>IF(B45="","",Settings!$C$9)</f>
        <v/>
      </c>
      <c r="H45" s="33">
        <f>IF(B45="","",C45-F45-G45)</f>
        <v/>
      </c>
      <c r="I45" s="34">
        <f>IF(B45="","",E45-B45)</f>
        <v/>
      </c>
      <c r="J45" s="21">
        <f>IF(B45="","",H45/I45)</f>
        <v/>
      </c>
      <c r="K45" s="16">
        <f>IF(B45="","",IF(H45&lt;0,"Short by "&amp;FIXED(-H45,2),IF(J45&lt;Settings!$C$10,"Tight","OK")))</f>
        <v/>
      </c>
      <c r="L45" s="1" t="n"/>
    </row>
    <row r="46">
      <c r="A46" s="1" t="n"/>
      <c r="B46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46" s="17">
        <f>IF(B46="","",IF(ISNUMBER(D46),D46,Settings!$C$8))</f>
        <v/>
      </c>
      <c r="D46" s="28" t="n"/>
      <c r="E46" s="15">
        <f>IF(B46="","",IF(Settings!$C$5="Weekly",Settings!$C$6+7*(ROW()-5),IF(Settings!$C$5="Every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46" s="17">
        <f>IF(B46="","",SUMIFS(Bills!$W$6:$AI$55,Bills!$J$6:$V$55,"&gt;="&amp;B46,Bills!$J$6:$V$55,"&lt;"&amp;E46))</f>
        <v/>
      </c>
      <c r="G46" s="17">
        <f>IF(B46="","",Settings!$C$9)</f>
        <v/>
      </c>
      <c r="H46" s="33">
        <f>IF(B46="","",C46-F46-G46)</f>
        <v/>
      </c>
      <c r="I46" s="34">
        <f>IF(B46="","",E46-B46)</f>
        <v/>
      </c>
      <c r="J46" s="21">
        <f>IF(B46="","",H46/I46)</f>
        <v/>
      </c>
      <c r="K46" s="16">
        <f>IF(B46="","",IF(H46&lt;0,"Short by "&amp;FIXED(-H46,2),IF(J46&lt;Settings!$C$10,"Tight","OK")))</f>
        <v/>
      </c>
      <c r="L46" s="1" t="n"/>
    </row>
    <row r="47">
      <c r="A47" s="1" t="n"/>
      <c r="B47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47" s="17">
        <f>IF(B47="","",IF(ISNUMBER(D47),D47,Settings!$C$8))</f>
        <v/>
      </c>
      <c r="D47" s="28" t="n"/>
      <c r="E47" s="15">
        <f>IF(B47="","",IF(Settings!$C$5="Weekly",Settings!$C$6+7*(ROW()-5),IF(Settings!$C$5="Every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47" s="17">
        <f>IF(B47="","",SUMIFS(Bills!$W$6:$AI$55,Bills!$J$6:$V$55,"&gt;="&amp;B47,Bills!$J$6:$V$55,"&lt;"&amp;E47))</f>
        <v/>
      </c>
      <c r="G47" s="17">
        <f>IF(B47="","",Settings!$C$9)</f>
        <v/>
      </c>
      <c r="H47" s="33">
        <f>IF(B47="","",C47-F47-G47)</f>
        <v/>
      </c>
      <c r="I47" s="34">
        <f>IF(B47="","",E47-B47)</f>
        <v/>
      </c>
      <c r="J47" s="21">
        <f>IF(B47="","",H47/I47)</f>
        <v/>
      </c>
      <c r="K47" s="16">
        <f>IF(B47="","",IF(H47&lt;0,"Short by "&amp;FIXED(-H47,2),IF(J47&lt;Settings!$C$10,"Tight","OK")))</f>
        <v/>
      </c>
      <c r="L47" s="1" t="n"/>
    </row>
    <row r="48">
      <c r="A48" s="1" t="n"/>
      <c r="B48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48" s="17">
        <f>IF(B48="","",IF(ISNUMBER(D48),D48,Settings!$C$8))</f>
        <v/>
      </c>
      <c r="D48" s="28" t="n"/>
      <c r="E48" s="15">
        <f>IF(B48="","",IF(Settings!$C$5="Weekly",Settings!$C$6+7*(ROW()-5),IF(Settings!$C$5="Every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48" s="17">
        <f>IF(B48="","",SUMIFS(Bills!$W$6:$AI$55,Bills!$J$6:$V$55,"&gt;="&amp;B48,Bills!$J$6:$V$55,"&lt;"&amp;E48))</f>
        <v/>
      </c>
      <c r="G48" s="17">
        <f>IF(B48="","",Settings!$C$9)</f>
        <v/>
      </c>
      <c r="H48" s="33">
        <f>IF(B48="","",C48-F48-G48)</f>
        <v/>
      </c>
      <c r="I48" s="34">
        <f>IF(B48="","",E48-B48)</f>
        <v/>
      </c>
      <c r="J48" s="21">
        <f>IF(B48="","",H48/I48)</f>
        <v/>
      </c>
      <c r="K48" s="16">
        <f>IF(B48="","",IF(H48&lt;0,"Short by "&amp;FIXED(-H48,2),IF(J48&lt;Settings!$C$10,"Tight","OK")))</f>
        <v/>
      </c>
      <c r="L48" s="1" t="n"/>
    </row>
    <row r="49">
      <c r="A49" s="1" t="n"/>
      <c r="B49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49" s="17">
        <f>IF(B49="","",IF(ISNUMBER(D49),D49,Settings!$C$8))</f>
        <v/>
      </c>
      <c r="D49" s="28" t="n"/>
      <c r="E49" s="15">
        <f>IF(B49="","",IF(Settings!$C$5="Weekly",Settings!$C$6+7*(ROW()-5),IF(Settings!$C$5="Every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49" s="17">
        <f>IF(B49="","",SUMIFS(Bills!$W$6:$AI$55,Bills!$J$6:$V$55,"&gt;="&amp;B49,Bills!$J$6:$V$55,"&lt;"&amp;E49))</f>
        <v/>
      </c>
      <c r="G49" s="17">
        <f>IF(B49="","",Settings!$C$9)</f>
        <v/>
      </c>
      <c r="H49" s="33">
        <f>IF(B49="","",C49-F49-G49)</f>
        <v/>
      </c>
      <c r="I49" s="34">
        <f>IF(B49="","",E49-B49)</f>
        <v/>
      </c>
      <c r="J49" s="21">
        <f>IF(B49="","",H49/I49)</f>
        <v/>
      </c>
      <c r="K49" s="16">
        <f>IF(B49="","",IF(H49&lt;0,"Short by "&amp;FIXED(-H49,2),IF(J49&lt;Settings!$C$10,"Tight","OK")))</f>
        <v/>
      </c>
      <c r="L49" s="1" t="n"/>
    </row>
    <row r="50">
      <c r="A50" s="1" t="n"/>
      <c r="B50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50" s="17">
        <f>IF(B50="","",IF(ISNUMBER(D50),D50,Settings!$C$8))</f>
        <v/>
      </c>
      <c r="D50" s="28" t="n"/>
      <c r="E50" s="15">
        <f>IF(B50="","",IF(Settings!$C$5="Weekly",Settings!$C$6+7*(ROW()-5),IF(Settings!$C$5="Every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50" s="17">
        <f>IF(B50="","",SUMIFS(Bills!$W$6:$AI$55,Bills!$J$6:$V$55,"&gt;="&amp;B50,Bills!$J$6:$V$55,"&lt;"&amp;E50))</f>
        <v/>
      </c>
      <c r="G50" s="17">
        <f>IF(B50="","",Settings!$C$9)</f>
        <v/>
      </c>
      <c r="H50" s="33">
        <f>IF(B50="","",C50-F50-G50)</f>
        <v/>
      </c>
      <c r="I50" s="34">
        <f>IF(B50="","",E50-B50)</f>
        <v/>
      </c>
      <c r="J50" s="21">
        <f>IF(B50="","",H50/I50)</f>
        <v/>
      </c>
      <c r="K50" s="16">
        <f>IF(B50="","",IF(H50&lt;0,"Short by "&amp;FIXED(-H50,2),IF(J50&lt;Settings!$C$10,"Tight","OK")))</f>
        <v/>
      </c>
      <c r="L50" s="1" t="n"/>
    </row>
    <row r="51">
      <c r="A51" s="1" t="n"/>
      <c r="B51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51" s="17">
        <f>IF(B51="","",IF(ISNUMBER(D51),D51,Settings!$C$8))</f>
        <v/>
      </c>
      <c r="D51" s="28" t="n"/>
      <c r="E51" s="15">
        <f>IF(B51="","",IF(Settings!$C$5="Weekly",Settings!$C$6+7*(ROW()-5),IF(Settings!$C$5="Every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51" s="17">
        <f>IF(B51="","",SUMIFS(Bills!$W$6:$AI$55,Bills!$J$6:$V$55,"&gt;="&amp;B51,Bills!$J$6:$V$55,"&lt;"&amp;E51))</f>
        <v/>
      </c>
      <c r="G51" s="17">
        <f>IF(B51="","",Settings!$C$9)</f>
        <v/>
      </c>
      <c r="H51" s="33">
        <f>IF(B51="","",C51-F51-G51)</f>
        <v/>
      </c>
      <c r="I51" s="34">
        <f>IF(B51="","",E51-B51)</f>
        <v/>
      </c>
      <c r="J51" s="21">
        <f>IF(B51="","",H51/I51)</f>
        <v/>
      </c>
      <c r="K51" s="16">
        <f>IF(B51="","",IF(H51&lt;0,"Short by "&amp;FIXED(-H51,2),IF(J51&lt;Settings!$C$10,"Tight","OK")))</f>
        <v/>
      </c>
      <c r="L51" s="1" t="n"/>
    </row>
    <row r="52">
      <c r="A52" s="1" t="n"/>
      <c r="B52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52" s="17">
        <f>IF(B52="","",IF(ISNUMBER(D52),D52,Settings!$C$8))</f>
        <v/>
      </c>
      <c r="D52" s="28" t="n"/>
      <c r="E52" s="15">
        <f>IF(B52="","",IF(Settings!$C$5="Weekly",Settings!$C$6+7*(ROW()-5),IF(Settings!$C$5="Every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52" s="17">
        <f>IF(B52="","",SUMIFS(Bills!$W$6:$AI$55,Bills!$J$6:$V$55,"&gt;="&amp;B52,Bills!$J$6:$V$55,"&lt;"&amp;E52))</f>
        <v/>
      </c>
      <c r="G52" s="17">
        <f>IF(B52="","",Settings!$C$9)</f>
        <v/>
      </c>
      <c r="H52" s="33">
        <f>IF(B52="","",C52-F52-G52)</f>
        <v/>
      </c>
      <c r="I52" s="34">
        <f>IF(B52="","",E52-B52)</f>
        <v/>
      </c>
      <c r="J52" s="21">
        <f>IF(B52="","",H52/I52)</f>
        <v/>
      </c>
      <c r="K52" s="16">
        <f>IF(B52="","",IF(H52&lt;0,"Short by "&amp;FIXED(-H52,2),IF(J52&lt;Settings!$C$10,"Tight","OK")))</f>
        <v/>
      </c>
      <c r="L52" s="1" t="n"/>
    </row>
    <row r="53">
      <c r="A53" s="1" t="n"/>
      <c r="B53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53" s="17">
        <f>IF(B53="","",IF(ISNUMBER(D53),D53,Settings!$C$8))</f>
        <v/>
      </c>
      <c r="D53" s="28" t="n"/>
      <c r="E53" s="15">
        <f>IF(B53="","",IF(Settings!$C$5="Weekly",Settings!$C$6+7*(ROW()-5),IF(Settings!$C$5="Every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53" s="17">
        <f>IF(B53="","",SUMIFS(Bills!$W$6:$AI$55,Bills!$J$6:$V$55,"&gt;="&amp;B53,Bills!$J$6:$V$55,"&lt;"&amp;E53))</f>
        <v/>
      </c>
      <c r="G53" s="17">
        <f>IF(B53="","",Settings!$C$9)</f>
        <v/>
      </c>
      <c r="H53" s="33">
        <f>IF(B53="","",C53-F53-G53)</f>
        <v/>
      </c>
      <c r="I53" s="34">
        <f>IF(B53="","",E53-B53)</f>
        <v/>
      </c>
      <c r="J53" s="21">
        <f>IF(B53="","",H53/I53)</f>
        <v/>
      </c>
      <c r="K53" s="16">
        <f>IF(B53="","",IF(H53&lt;0,"Short by "&amp;FIXED(-H53,2),IF(J53&lt;Settings!$C$10,"Tight","OK")))</f>
        <v/>
      </c>
      <c r="L53" s="1" t="n"/>
    </row>
    <row r="54">
      <c r="A54" s="1" t="n"/>
      <c r="B54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54" s="17">
        <f>IF(B54="","",IF(ISNUMBER(D54),D54,Settings!$C$8))</f>
        <v/>
      </c>
      <c r="D54" s="28" t="n"/>
      <c r="E54" s="15">
        <f>IF(B54="","",IF(Settings!$C$5="Weekly",Settings!$C$6+7*(ROW()-5),IF(Settings!$C$5="Every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54" s="17">
        <f>IF(B54="","",SUMIFS(Bills!$W$6:$AI$55,Bills!$J$6:$V$55,"&gt;="&amp;B54,Bills!$J$6:$V$55,"&lt;"&amp;E54))</f>
        <v/>
      </c>
      <c r="G54" s="17">
        <f>IF(B54="","",Settings!$C$9)</f>
        <v/>
      </c>
      <c r="H54" s="33">
        <f>IF(B54="","",C54-F54-G54)</f>
        <v/>
      </c>
      <c r="I54" s="34">
        <f>IF(B54="","",E54-B54)</f>
        <v/>
      </c>
      <c r="J54" s="21">
        <f>IF(B54="","",H54/I54)</f>
        <v/>
      </c>
      <c r="K54" s="16">
        <f>IF(B54="","",IF(H54&lt;0,"Short by "&amp;FIXED(-H54,2),IF(J54&lt;Settings!$C$10,"Tight","OK")))</f>
        <v/>
      </c>
      <c r="L54" s="1" t="n"/>
    </row>
    <row r="55">
      <c r="A55" s="1" t="n"/>
      <c r="B55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55" s="17">
        <f>IF(B55="","",IF(ISNUMBER(D55),D55,Settings!$C$8))</f>
        <v/>
      </c>
      <c r="D55" s="28" t="n"/>
      <c r="E55" s="15">
        <f>IF(B55="","",IF(Settings!$C$5="Weekly",Settings!$C$6+7*(ROW()-5),IF(Settings!$C$5="Every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55" s="17">
        <f>IF(B55="","",SUMIFS(Bills!$W$6:$AI$55,Bills!$J$6:$V$55,"&gt;="&amp;B55,Bills!$J$6:$V$55,"&lt;"&amp;E55))</f>
        <v/>
      </c>
      <c r="G55" s="17">
        <f>IF(B55="","",Settings!$C$9)</f>
        <v/>
      </c>
      <c r="H55" s="33">
        <f>IF(B55="","",C55-F55-G55)</f>
        <v/>
      </c>
      <c r="I55" s="34">
        <f>IF(B55="","",E55-B55)</f>
        <v/>
      </c>
      <c r="J55" s="21">
        <f>IF(B55="","",H55/I55)</f>
        <v/>
      </c>
      <c r="K55" s="16">
        <f>IF(B55="","",IF(H55&lt;0,"Short by "&amp;FIXED(-H55,2),IF(J55&lt;Settings!$C$10,"Tight","OK")))</f>
        <v/>
      </c>
      <c r="L55" s="1" t="n"/>
    </row>
    <row r="56">
      <c r="A56" s="1" t="n"/>
      <c r="B56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56" s="17">
        <f>IF(B56="","",IF(ISNUMBER(D56),D56,Settings!$C$8))</f>
        <v/>
      </c>
      <c r="D56" s="28" t="n"/>
      <c r="E56" s="15">
        <f>IF(B56="","",IF(Settings!$C$5="Weekly",Settings!$C$6+7*(ROW()-5),IF(Settings!$C$5="Every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56" s="17">
        <f>IF(B56="","",SUMIFS(Bills!$W$6:$AI$55,Bills!$J$6:$V$55,"&gt;="&amp;B56,Bills!$J$6:$V$55,"&lt;"&amp;E56))</f>
        <v/>
      </c>
      <c r="G56" s="17">
        <f>IF(B56="","",Settings!$C$9)</f>
        <v/>
      </c>
      <c r="H56" s="33">
        <f>IF(B56="","",C56-F56-G56)</f>
        <v/>
      </c>
      <c r="I56" s="34">
        <f>IF(B56="","",E56-B56)</f>
        <v/>
      </c>
      <c r="J56" s="21">
        <f>IF(B56="","",H56/I56)</f>
        <v/>
      </c>
      <c r="K56" s="16">
        <f>IF(B56="","",IF(H56&lt;0,"Short by "&amp;FIXED(-H56,2),IF(J56&lt;Settings!$C$10,"Tight","OK")))</f>
        <v/>
      </c>
      <c r="L56" s="1" t="n"/>
    </row>
    <row r="57">
      <c r="A57" s="1" t="n"/>
      <c r="B57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57" s="17">
        <f>IF(B57="","",IF(ISNUMBER(D57),D57,Settings!$C$8))</f>
        <v/>
      </c>
      <c r="D57" s="28" t="n"/>
      <c r="E57" s="15">
        <f>IF(B57="","",IF(Settings!$C$5="Weekly",Settings!$C$6+7*(ROW()-5),IF(Settings!$C$5="Every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57" s="17">
        <f>IF(B57="","",SUMIFS(Bills!$W$6:$AI$55,Bills!$J$6:$V$55,"&gt;="&amp;B57,Bills!$J$6:$V$55,"&lt;"&amp;E57))</f>
        <v/>
      </c>
      <c r="G57" s="17">
        <f>IF(B57="","",Settings!$C$9)</f>
        <v/>
      </c>
      <c r="H57" s="33">
        <f>IF(B57="","",C57-F57-G57)</f>
        <v/>
      </c>
      <c r="I57" s="34">
        <f>IF(B57="","",E57-B57)</f>
        <v/>
      </c>
      <c r="J57" s="21">
        <f>IF(B57="","",H57/I57)</f>
        <v/>
      </c>
      <c r="K57" s="16">
        <f>IF(B57="","",IF(H57&lt;0,"Short by "&amp;FIXED(-H57,2),IF(J57&lt;Settings!$C$10,"Tight","OK")))</f>
        <v/>
      </c>
      <c r="L57" s="1" t="n"/>
    </row>
    <row r="58">
      <c r="A58" s="1" t="n"/>
      <c r="B58" s="32">
        <f>IF(IF(Settings!$C$5="Weekly",Settings!$C$6+7*(ROW()-6),IF(Settings!$C$5="Every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&lt;EDATE(Settings!$C$6,12),IF(Settings!$C$5="Weekly",Settings!$C$6+7*(ROW()-6),IF(Settings!$C$5="Every 2 weeks",Settings!$C$6+14*(ROW()-6),IF(Settings!$C$5="Twice a month",DATE(YEAR(Settings!$C$6),MONTH(Settings!$C$6)+INT((ROW()-6)/2),MIN(IF(MOD(ROW()-6,2)=0,DAY(Settings!$C$6),Settings!$C$7),DAY(EOMONTH(DATE(YEAR(Settings!$C$6),MONTH(Settings!$C$6)+INT((ROW()-6)/2),1),0)))),DATE(YEAR(Settings!$C$6),MONTH(Settings!$C$6)+(ROW()-6),MIN(DAY(Settings!$C$6),DAY(EOMONTH(DATE(YEAR(Settings!$C$6),MONTH(Settings!$C$6)+(ROW()-6),1),0))))))),"")</f>
        <v/>
      </c>
      <c r="C58" s="17">
        <f>IF(B58="","",IF(ISNUMBER(D58),D58,Settings!$C$8))</f>
        <v/>
      </c>
      <c r="D58" s="28" t="n"/>
      <c r="E58" s="15">
        <f>IF(B58="","",IF(Settings!$C$5="Weekly",Settings!$C$6+7*(ROW()-5),IF(Settings!$C$5="Every 2 weeks",Settings!$C$6+14*(ROW()-5),IF(Settings!$C$5="Twice a month",DATE(YEAR(Settings!$C$6),MONTH(Settings!$C$6)+INT((ROW()-5)/2),MIN(IF(MOD(ROW()-5,2)=0,DAY(Settings!$C$6),Settings!$C$7),DAY(EOMONTH(DATE(YEAR(Settings!$C$6),MONTH(Settings!$C$6)+INT((ROW()-5)/2),1),0)))),DATE(YEAR(Settings!$C$6),MONTH(Settings!$C$6)+(ROW()-5),MIN(DAY(Settings!$C$6),DAY(EOMONTH(DATE(YEAR(Settings!$C$6),MONTH(Settings!$C$6)+(ROW()-5),1),0))))))))</f>
        <v/>
      </c>
      <c r="F58" s="17">
        <f>IF(B58="","",SUMIFS(Bills!$W$6:$AI$55,Bills!$J$6:$V$55,"&gt;="&amp;B58,Bills!$J$6:$V$55,"&lt;"&amp;E58))</f>
        <v/>
      </c>
      <c r="G58" s="17">
        <f>IF(B58="","",Settings!$C$9)</f>
        <v/>
      </c>
      <c r="H58" s="33">
        <f>IF(B58="","",C58-F58-G58)</f>
        <v/>
      </c>
      <c r="I58" s="34">
        <f>IF(B58="","",E58-B58)</f>
        <v/>
      </c>
      <c r="J58" s="21">
        <f>IF(B58="","",H58/I58)</f>
        <v/>
      </c>
      <c r="K58" s="16">
        <f>IF(B58="","",IF(H58&lt;0,"Short by "&amp;FIXED(-H58,2),IF(J58&lt;Settings!$C$10,"Tight","OK")))</f>
        <v/>
      </c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</sheetData>
  <conditionalFormatting sqref="K6:K58">
    <cfRule type="expression" priority="1" dxfId="0">
      <formula>LEFT($K6,5)="Short"</formula>
    </cfRule>
    <cfRule type="expression" priority="2" dxfId="3">
      <formula>$K6="Tight"</formula>
    </cfRule>
    <cfRule type="expression" priority="3" dxfId="4">
      <formula>$K6="OK"</formula>
    </cfRule>
  </conditionalFormatting>
  <conditionalFormatting sqref="B6:J58">
    <cfRule type="expression" priority="4" dxfId="5">
      <formula>AND($B6&lt;&gt;"",$B6&lt;=TODAY(),$E6&gt;TODAY())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5" t="inlineStr">
        <is>
          <t>1</t>
        </is>
      </c>
      <c r="C5" s="36" t="inlineStr">
        <is>
          <t>Settings: how often you are paid, your first payday, your usual paycheck and what you save from each one.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5" t="inlineStr">
        <is>
          <t>2</t>
        </is>
      </c>
      <c r="C7" s="36" t="inlineStr">
        <is>
          <t>Bills: each bill once, with the amount and the day of the month it is due. For a yearly bill, add its month.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5" t="inlineStr">
        <is>
          <t>3</t>
        </is>
      </c>
      <c r="C9" s="36" t="inlineStr">
        <is>
          <t>Paychecks: your paydays for 12 months are listed. Type an amount only when a paycheck is different.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5" t="inlineStr">
        <is>
          <t>4</t>
        </is>
      </c>
      <c r="C11" s="36" t="inlineStr">
        <is>
          <t>Dashboard: pick a paycheck to see the bills it covers, what is left and how much per day.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1" t="n"/>
      <c r="C13" s="1" t="n"/>
      <c r="D13" s="1" t="n"/>
    </row>
    <row r="14">
      <c r="A14" s="1" t="n"/>
      <c r="B14" s="1" t="n"/>
      <c r="C14" s="3" t="inlineStr">
        <is>
          <t>Each bill goes on the last paycheck before its due date, so that paycheck keeps the money for it.</t>
        </is>
      </c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Orange means less than your daily minimum is left. Red means the bills are more than the paycheck.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The example bills show how it works. Delete them and add your own.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2026-09-28T11:22:21Z</dcterms:created>
  <dcterms:modified xsi:type="dcterms:W3CDTF">2026-09-28T11:22:21Z</dcterms:modified>
</cp:coreProperties>
</file>