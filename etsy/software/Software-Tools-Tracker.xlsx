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ols" sheetId="2" state="visible" r:id="rId2"/>
    <sheet name="Access" sheetId="3" state="visible" r:id="rId3"/>
    <sheet name="Team" sheetId="4" state="visible" r:id="rId4"/>
    <sheet name="Cards" sheetId="5" state="visible" r:id="rId5"/>
    <sheet name="Year ahead" sheetId="6" state="visible" r:id="rId6"/>
    <sheet name="Settings" sheetId="7" state="visible" r:id="rId7"/>
    <sheet name="Start He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 MMM YYYY"/>
    <numFmt numFmtId="166" formatCode="0;;"/>
    <numFmt numFmtId="167" formatCode="#,##0;;"/>
    <numFmt numFmtId="168" formatCode="ddd d mmm"/>
    <numFmt numFmtId="169" formatCode="#,##0.00;;"/>
    <numFmt numFmtId="170" formatCode="#,##0.00;-#,##0.00;;"/>
    <numFmt numFmtId="171" formatCode="d mmm yyyy"/>
  </numFmts>
  <fonts count="13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FFFFFF"/>
      <sz val="11"/>
    </font>
    <font>
      <name val="Arial"/>
      <color rgb="001E2A2F"/>
      <sz val="11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07A00"/>
      <sz val="16"/>
    </font>
    <font>
      <name val="Arial"/>
      <b val="1"/>
      <color rgb="00B4541F"/>
      <sz val="16"/>
    </font>
    <font>
      <name val="Arial"/>
      <b val="1"/>
      <color rgb="001F6F78"/>
      <sz val="18"/>
    </font>
    <font>
      <name val="Arial"/>
      <color rgb="001E2A2F"/>
      <sz val="13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  <fill>
      <patternFill patternType="solid">
        <fgColor rgb="00E8F0EF"/>
        <bgColor rgb="00E8F0EF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7" fillId="2" borderId="1" pivotButton="0" quotePrefix="0" xfId="0"/>
    <xf numFmtId="4" fontId="8" fillId="2" borderId="1" applyAlignment="1" pivotButton="0" quotePrefix="0" xfId="0">
      <alignment horizontal="right"/>
    </xf>
    <xf numFmtId="1" fontId="8" fillId="2" borderId="1" applyAlignment="1" pivotButton="0" quotePrefix="0" xfId="0">
      <alignment horizontal="right"/>
    </xf>
    <xf numFmtId="4" fontId="9" fillId="2" borderId="1" applyAlignment="1" pivotButton="0" quotePrefix="0" xfId="0">
      <alignment horizontal="right"/>
    </xf>
    <xf numFmtId="1" fontId="9" fillId="2" borderId="1" applyAlignment="1" pivotButton="0" quotePrefix="0" xfId="0">
      <alignment horizontal="right"/>
    </xf>
    <xf numFmtId="1" fontId="10" fillId="2" borderId="1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168" fontId="6" fillId="2" borderId="1" applyAlignment="1" pivotButton="0" quotePrefix="0" xfId="0">
      <alignment horizontal="center" vertical="center"/>
    </xf>
    <xf numFmtId="4" fontId="6" fillId="2" borderId="1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pivotButton="0" quotePrefix="0" xfId="0"/>
    <xf numFmtId="169" fontId="6" fillId="2" borderId="1" pivotButton="0" quotePrefix="0" xfId="0"/>
    <xf numFmtId="166" fontId="6" fillId="2" borderId="1" applyAlignment="1" pivotButton="0" quotePrefix="0" xfId="0">
      <alignment horizontal="center" vertical="center"/>
    </xf>
    <xf numFmtId="171" fontId="6" fillId="2" borderId="1" applyAlignment="1" pivotButton="0" quotePrefix="0" xfId="0">
      <alignment horizontal="center" vertical="center"/>
    </xf>
    <xf numFmtId="170" fontId="6" fillId="2" borderId="1" pivotButton="0" quotePrefix="0" xfId="0"/>
    <xf numFmtId="0" fontId="3" fillId="3" borderId="1" pivotButton="0" quotePrefix="0" xfId="0"/>
    <xf numFmtId="0" fontId="6" fillId="3" borderId="1" pivotButton="0" quotePrefix="0" xfId="0"/>
    <xf numFmtId="0" fontId="6" fillId="3" borderId="1" applyAlignment="1" pivotButton="0" quotePrefix="0" xfId="0">
      <alignment horizontal="center" vertical="center"/>
    </xf>
    <xf numFmtId="4" fontId="6" fillId="3" borderId="1" pivotButton="0" quotePrefix="0" xfId="0"/>
    <xf numFmtId="1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" fontId="6" fillId="2" borderId="1" applyAlignment="1" pivotButton="0" quotePrefix="0" xfId="0">
      <alignment horizontal="center" vertical="center"/>
    </xf>
    <xf numFmtId="165" fontId="6" fillId="2" borderId="1" applyAlignment="1" pivotButton="0" quotePrefix="0" xfId="0">
      <alignment horizontal="center" vertical="center"/>
    </xf>
    <xf numFmtId="0" fontId="3" fillId="5" borderId="1" pivotButton="0" quotePrefix="0" xfId="0"/>
    <xf numFmtId="167" fontId="3" fillId="5" borderId="1" pivotButton="0" quotePrefix="0" xfId="0"/>
    <xf numFmtId="167" fontId="6" fillId="2" borderId="1" pivotButton="0" quotePrefix="0" xfId="0"/>
    <xf numFmtId="167" fontId="3" fillId="2" borderId="1" pivotButton="0" quotePrefix="0" xfId="0"/>
    <xf numFmtId="0" fontId="3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0" pivotButton="0" quotePrefix="0" xfId="0"/>
    <xf numFmtId="1" fontId="3" fillId="3" borderId="1" applyAlignment="1" pivotButton="0" quotePrefix="0" xfId="0">
      <alignment horizontal="center" vertical="center"/>
    </xf>
    <xf numFmtId="0" fontId="11" fillId="2" borderId="0" pivotButton="0" quotePrefix="0" xfId="0"/>
    <xf numFmtId="0" fontId="12" fillId="2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E3E8FF"/>
          <bgColor rgb="00E3E8FF"/>
        </patternFill>
      </fill>
    </dxf>
    <dxf>
      <fill>
        <patternFill patternType="solid">
          <fgColor rgb="00FBE3E0"/>
          <bgColor rgb="00FBE3E0"/>
        </patternFill>
      </fill>
    </dxf>
    <dxf>
      <fill>
        <patternFill patternType="solid">
          <fgColor rgb="00D8F0DC"/>
          <bgColor rgb="00D8F0DC"/>
        </patternFill>
      </fill>
    </dxf>
    <dxf>
      <font>
        <name val="Arial"/>
        <i val="1"/>
        <color rgb="006B7B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Charges over the next 12 months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6F78"/>
            </a:solidFill>
            <a:ln>
              <a:prstDash val="solid"/>
            </a:ln>
          </spPr>
          <cat>
            <numRef>
              <f>'Year ahead'!$C$5:$N$5</f>
            </numRef>
          </cat>
          <val>
            <numRef>
              <f>'Year ahead'!$C$6:$N$6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36</row>
      <rowOff>0</rowOff>
    </from>
    <ext cx="864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4" customWidth="1" min="5" max="5"/>
    <col width="3" customWidth="1" min="6" max="6"/>
    <col width="20" customWidth="1" min="7" max="7"/>
    <col width="20" customWidth="1" min="8" max="8"/>
    <col width="14" customWidth="1" min="9" max="9"/>
    <col width="12" customWidth="1" min="10" max="10"/>
    <col width="3" customWidth="1" min="11" max="11"/>
    <col hidden="1" width="13" customWidth="1" min="15" max="15"/>
    <col hidden="1" width="13" customWidth="1" min="16" max="16"/>
    <col hidden="1"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Software and tools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What the tools cost on the left, what needs a look on the right.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 t="inlineStr">
        <is>
          <t>Per month</t>
        </is>
      </c>
      <c r="C4" s="4" t="inlineStr">
        <is>
          <t>Per year</t>
        </is>
      </c>
      <c r="D4" s="4" t="inlineStr">
        <is>
          <t>Tools in use</t>
        </is>
      </c>
      <c r="E4" s="4" t="inlineStr">
        <is>
          <t>Per person a month</t>
        </is>
      </c>
      <c r="F4" s="1" t="n"/>
      <c r="G4" s="4">
        <f>"Due in the next "&amp;N(Settings!$C$5)&amp;" days"</f>
        <v/>
      </c>
      <c r="H4" s="4" t="inlineStr">
        <is>
          <t>Unused seats</t>
        </is>
      </c>
      <c r="I4" s="4" t="inlineStr">
        <is>
          <t>Unused a year</t>
        </is>
      </c>
      <c r="J4" s="4" t="inlineStr">
        <is>
          <t>To remove</t>
        </is>
      </c>
      <c r="K4" s="1" t="n"/>
      <c r="L4" s="1" t="n"/>
    </row>
    <row r="5" ht="34" customHeight="1">
      <c r="A5" s="1" t="n"/>
      <c r="B5" s="5">
        <f>SUM(Tools!$O$6:$O$105)</f>
        <v/>
      </c>
      <c r="C5" s="5">
        <f>SUM(Tools!$P$6:$P$105)</f>
        <v/>
      </c>
      <c r="D5" s="6">
        <f>COUNTIFS(Tools!$B$6:$B$105,"&lt;&gt;",Tools!$T$6:$T$105,"&lt;&gt;Cancelled")</f>
        <v/>
      </c>
      <c r="E5" s="5">
        <f>IF(COUNTIF(Team!$H$6:$H$105,"Active")=0,"",SUM(Tools!$O$6:$O$105)/COUNTIF(Team!$H$6:$H$105,"Active"))</f>
        <v/>
      </c>
      <c r="F5" s="1" t="n"/>
      <c r="G5" s="7">
        <f>SUMIFS(Tools!$N$6:$N$105,Tools!$Q$6:$Q$105,"&gt;="&amp;TODAY(),Tools!$Q$6:$Q$105,"&lt;="&amp;(TODAY()+N(Settings!$C$5)))</f>
        <v/>
      </c>
      <c r="H5" s="8">
        <f>SUM(Tools!$S$6:$S$105)</f>
        <v/>
      </c>
      <c r="I5" s="7">
        <f>SUM(Tools!$Y$6:$Y$105)</f>
        <v/>
      </c>
      <c r="J5" s="9">
        <f>COUNTIF(Access!$H$6:$H$405,"Remove now")</f>
        <v/>
      </c>
      <c r="K5" s="1" t="n"/>
      <c r="L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30" customHeight="1">
      <c r="A8" s="1" t="n"/>
      <c r="B8" s="10" t="inlineStr">
        <is>
          <t>Coming up</t>
        </is>
      </c>
      <c r="C8" s="10" t="inlineStr">
        <is>
          <t>Charge on</t>
        </is>
      </c>
      <c r="D8" s="10" t="inlineStr">
        <is>
          <t>Amount</t>
        </is>
      </c>
      <c r="E8" s="10" t="inlineStr">
        <is>
          <t>Cancel by</t>
        </is>
      </c>
      <c r="F8" s="1" t="n"/>
      <c r="G8" s="10" t="inlineStr">
        <is>
          <t>Needs a look</t>
        </is>
      </c>
      <c r="H8" s="10" t="inlineStr">
        <is>
          <t>Status</t>
        </is>
      </c>
      <c r="I8" s="10" t="inlineStr">
        <is>
          <t>Owner</t>
        </is>
      </c>
      <c r="J8" s="10" t="inlineStr">
        <is>
          <t>Per month</t>
        </is>
      </c>
      <c r="K8" s="1" t="n"/>
      <c r="L8" s="1" t="n"/>
    </row>
    <row r="9">
      <c r="A9" s="1" t="n"/>
      <c r="B9" s="11">
        <f>IF(O9="","Nothing to pay",INDEX(Tools!$B$6:$B$105,MATCH(O9,Tools!$V$6:$V$105,0)))</f>
        <v/>
      </c>
      <c r="C9" s="12">
        <f>IF(O9="","",INT(O9))</f>
        <v/>
      </c>
      <c r="D9" s="13">
        <f>IF(O9="","",INDEX(Tools!$N$6:$N$105,MATCH(O9,Tools!$V$6:$V$105,0)))</f>
        <v/>
      </c>
      <c r="E9" s="12">
        <f>IF(O9="","",IF(N(INDEX(Tools!$K$6:$K$105,MATCH(O9,Tools!$V$6:$V$105,0)))=0,"",INDEX(Tools!$R$6:$R$105,MATCH(O9,Tools!$V$6:$V$105,0))))</f>
        <v/>
      </c>
      <c r="F9" s="1" t="n"/>
      <c r="G9" s="11">
        <f>IF(P9="","Nothing needs a look",INDEX(Tools!$B$6:$B$105,P9-5))</f>
        <v/>
      </c>
      <c r="H9" s="14">
        <f>IF(P9="","",INDEX(Tools!$T$6:$T$105,P9-5))</f>
        <v/>
      </c>
      <c r="I9" s="15">
        <f>IF(P9="","",IF(INDEX(Tools!$D$6:$D$105,P9-5)="","",INDEX(Tools!$D$6:$D$105,P9-5)))</f>
        <v/>
      </c>
      <c r="J9" s="16">
        <f>IF(P9="","",INDEX(Tools!$O$6:$O$105,P9-5))</f>
        <v/>
      </c>
      <c r="K9" s="1" t="n"/>
      <c r="L9" s="1" t="n"/>
      <c r="O9">
        <f>IFERROR(SMALL(Tools!$V$6:$V$105,1),"")</f>
        <v/>
      </c>
      <c r="P9">
        <f>IFERROR(SMALL(Tools!$X$6:$X$105,1),"")</f>
        <v/>
      </c>
    </row>
    <row r="10">
      <c r="A10" s="1" t="n"/>
      <c r="B10" s="11">
        <f>IF(O10="","",INDEX(Tools!$B$6:$B$105,MATCH(O10,Tools!$V$6:$V$105,0)))</f>
        <v/>
      </c>
      <c r="C10" s="12">
        <f>IF(O10="","",INT(O10))</f>
        <v/>
      </c>
      <c r="D10" s="13">
        <f>IF(O10="","",INDEX(Tools!$N$6:$N$105,MATCH(O10,Tools!$V$6:$V$105,0)))</f>
        <v/>
      </c>
      <c r="E10" s="12">
        <f>IF(O10="","",IF(N(INDEX(Tools!$K$6:$K$105,MATCH(O10,Tools!$V$6:$V$105,0)))=0,"",INDEX(Tools!$R$6:$R$105,MATCH(O10,Tools!$V$6:$V$105,0))))</f>
        <v/>
      </c>
      <c r="F10" s="1" t="n"/>
      <c r="G10" s="11">
        <f>IF(P10="","",INDEX(Tools!$B$6:$B$105,P10-5))</f>
        <v/>
      </c>
      <c r="H10" s="14">
        <f>IF(P10="","",INDEX(Tools!$T$6:$T$105,P10-5))</f>
        <v/>
      </c>
      <c r="I10" s="15">
        <f>IF(P10="","",IF(INDEX(Tools!$D$6:$D$105,P10-5)="","",INDEX(Tools!$D$6:$D$105,P10-5)))</f>
        <v/>
      </c>
      <c r="J10" s="16">
        <f>IF(P10="","",INDEX(Tools!$O$6:$O$105,P10-5))</f>
        <v/>
      </c>
      <c r="K10" s="1" t="n"/>
      <c r="L10" s="1" t="n"/>
      <c r="O10">
        <f>IFERROR(SMALL(Tools!$V$6:$V$105,2),"")</f>
        <v/>
      </c>
      <c r="P10">
        <f>IFERROR(SMALL(Tools!$X$6:$X$105,2),"")</f>
        <v/>
      </c>
    </row>
    <row r="11">
      <c r="A11" s="1" t="n"/>
      <c r="B11" s="11">
        <f>IF(O11="","",INDEX(Tools!$B$6:$B$105,MATCH(O11,Tools!$V$6:$V$105,0)))</f>
        <v/>
      </c>
      <c r="C11" s="12">
        <f>IF(O11="","",INT(O11))</f>
        <v/>
      </c>
      <c r="D11" s="13">
        <f>IF(O11="","",INDEX(Tools!$N$6:$N$105,MATCH(O11,Tools!$V$6:$V$105,0)))</f>
        <v/>
      </c>
      <c r="E11" s="12">
        <f>IF(O11="","",IF(N(INDEX(Tools!$K$6:$K$105,MATCH(O11,Tools!$V$6:$V$105,0)))=0,"",INDEX(Tools!$R$6:$R$105,MATCH(O11,Tools!$V$6:$V$105,0))))</f>
        <v/>
      </c>
      <c r="F11" s="1" t="n"/>
      <c r="G11" s="11">
        <f>IF(P11="","",INDEX(Tools!$B$6:$B$105,P11-5))</f>
        <v/>
      </c>
      <c r="H11" s="14">
        <f>IF(P11="","",INDEX(Tools!$T$6:$T$105,P11-5))</f>
        <v/>
      </c>
      <c r="I11" s="15">
        <f>IF(P11="","",IF(INDEX(Tools!$D$6:$D$105,P11-5)="","",INDEX(Tools!$D$6:$D$105,P11-5)))</f>
        <v/>
      </c>
      <c r="J11" s="16">
        <f>IF(P11="","",INDEX(Tools!$O$6:$O$105,P11-5))</f>
        <v/>
      </c>
      <c r="K11" s="1" t="n"/>
      <c r="L11" s="1" t="n"/>
      <c r="O11">
        <f>IFERROR(SMALL(Tools!$V$6:$V$105,3),"")</f>
        <v/>
      </c>
      <c r="P11">
        <f>IFERROR(SMALL(Tools!$X$6:$X$105,3),"")</f>
        <v/>
      </c>
    </row>
    <row r="12">
      <c r="A12" s="1" t="n"/>
      <c r="B12" s="11">
        <f>IF(O12="","",INDEX(Tools!$B$6:$B$105,MATCH(O12,Tools!$V$6:$V$105,0)))</f>
        <v/>
      </c>
      <c r="C12" s="12">
        <f>IF(O12="","",INT(O12))</f>
        <v/>
      </c>
      <c r="D12" s="13">
        <f>IF(O12="","",INDEX(Tools!$N$6:$N$105,MATCH(O12,Tools!$V$6:$V$105,0)))</f>
        <v/>
      </c>
      <c r="E12" s="12">
        <f>IF(O12="","",IF(N(INDEX(Tools!$K$6:$K$105,MATCH(O12,Tools!$V$6:$V$105,0)))=0,"",INDEX(Tools!$R$6:$R$105,MATCH(O12,Tools!$V$6:$V$105,0))))</f>
        <v/>
      </c>
      <c r="F12" s="1" t="n"/>
      <c r="G12" s="11">
        <f>IF(P12="","",INDEX(Tools!$B$6:$B$105,P12-5))</f>
        <v/>
      </c>
      <c r="H12" s="14">
        <f>IF(P12="","",INDEX(Tools!$T$6:$T$105,P12-5))</f>
        <v/>
      </c>
      <c r="I12" s="15">
        <f>IF(P12="","",IF(INDEX(Tools!$D$6:$D$105,P12-5)="","",INDEX(Tools!$D$6:$D$105,P12-5)))</f>
        <v/>
      </c>
      <c r="J12" s="16">
        <f>IF(P12="","",INDEX(Tools!$O$6:$O$105,P12-5))</f>
        <v/>
      </c>
      <c r="K12" s="1" t="n"/>
      <c r="L12" s="1" t="n"/>
      <c r="O12">
        <f>IFERROR(SMALL(Tools!$V$6:$V$105,4),"")</f>
        <v/>
      </c>
      <c r="P12">
        <f>IFERROR(SMALL(Tools!$X$6:$X$105,4),"")</f>
        <v/>
      </c>
    </row>
    <row r="13">
      <c r="A13" s="1" t="n"/>
      <c r="B13" s="11">
        <f>IF(O13="","",INDEX(Tools!$B$6:$B$105,MATCH(O13,Tools!$V$6:$V$105,0)))</f>
        <v/>
      </c>
      <c r="C13" s="12">
        <f>IF(O13="","",INT(O13))</f>
        <v/>
      </c>
      <c r="D13" s="13">
        <f>IF(O13="","",INDEX(Tools!$N$6:$N$105,MATCH(O13,Tools!$V$6:$V$105,0)))</f>
        <v/>
      </c>
      <c r="E13" s="12">
        <f>IF(O13="","",IF(N(INDEX(Tools!$K$6:$K$105,MATCH(O13,Tools!$V$6:$V$105,0)))=0,"",INDEX(Tools!$R$6:$R$105,MATCH(O13,Tools!$V$6:$V$105,0))))</f>
        <v/>
      </c>
      <c r="F13" s="1" t="n"/>
      <c r="G13" s="11">
        <f>IF(P13="","",INDEX(Tools!$B$6:$B$105,P13-5))</f>
        <v/>
      </c>
      <c r="H13" s="14">
        <f>IF(P13="","",INDEX(Tools!$T$6:$T$105,P13-5))</f>
        <v/>
      </c>
      <c r="I13" s="15">
        <f>IF(P13="","",IF(INDEX(Tools!$D$6:$D$105,P13-5)="","",INDEX(Tools!$D$6:$D$105,P13-5)))</f>
        <v/>
      </c>
      <c r="J13" s="16">
        <f>IF(P13="","",INDEX(Tools!$O$6:$O$105,P13-5))</f>
        <v/>
      </c>
      <c r="K13" s="1" t="n"/>
      <c r="L13" s="1" t="n"/>
      <c r="O13">
        <f>IFERROR(SMALL(Tools!$V$6:$V$105,5),"")</f>
        <v/>
      </c>
      <c r="P13">
        <f>IFERROR(SMALL(Tools!$X$6:$X$105,5),"")</f>
        <v/>
      </c>
    </row>
    <row r="14">
      <c r="A14" s="1" t="n"/>
      <c r="B14" s="11">
        <f>IF(O14="","",INDEX(Tools!$B$6:$B$105,MATCH(O14,Tools!$V$6:$V$105,0)))</f>
        <v/>
      </c>
      <c r="C14" s="12">
        <f>IF(O14="","",INT(O14))</f>
        <v/>
      </c>
      <c r="D14" s="13">
        <f>IF(O14="","",INDEX(Tools!$N$6:$N$105,MATCH(O14,Tools!$V$6:$V$105,0)))</f>
        <v/>
      </c>
      <c r="E14" s="12">
        <f>IF(O14="","",IF(N(INDEX(Tools!$K$6:$K$105,MATCH(O14,Tools!$V$6:$V$105,0)))=0,"",INDEX(Tools!$R$6:$R$105,MATCH(O14,Tools!$V$6:$V$105,0))))</f>
        <v/>
      </c>
      <c r="F14" s="1" t="n"/>
      <c r="G14" s="11">
        <f>IF(P14="","",INDEX(Tools!$B$6:$B$105,P14-5))</f>
        <v/>
      </c>
      <c r="H14" s="14">
        <f>IF(P14="","",INDEX(Tools!$T$6:$T$105,P14-5))</f>
        <v/>
      </c>
      <c r="I14" s="15">
        <f>IF(P14="","",IF(INDEX(Tools!$D$6:$D$105,P14-5)="","",INDEX(Tools!$D$6:$D$105,P14-5)))</f>
        <v/>
      </c>
      <c r="J14" s="16">
        <f>IF(P14="","",INDEX(Tools!$O$6:$O$105,P14-5))</f>
        <v/>
      </c>
      <c r="K14" s="1" t="n"/>
      <c r="L14" s="1" t="n"/>
      <c r="O14">
        <f>IFERROR(SMALL(Tools!$V$6:$V$105,6),"")</f>
        <v/>
      </c>
      <c r="P14">
        <f>IFERROR(SMALL(Tools!$X$6:$X$105,6),"")</f>
        <v/>
      </c>
    </row>
    <row r="15">
      <c r="A15" s="1" t="n"/>
      <c r="B15" s="11">
        <f>IF(O15="","",INDEX(Tools!$B$6:$B$105,MATCH(O15,Tools!$V$6:$V$105,0)))</f>
        <v/>
      </c>
      <c r="C15" s="12">
        <f>IF(O15="","",INT(O15))</f>
        <v/>
      </c>
      <c r="D15" s="13">
        <f>IF(O15="","",INDEX(Tools!$N$6:$N$105,MATCH(O15,Tools!$V$6:$V$105,0)))</f>
        <v/>
      </c>
      <c r="E15" s="12">
        <f>IF(O15="","",IF(N(INDEX(Tools!$K$6:$K$105,MATCH(O15,Tools!$V$6:$V$105,0)))=0,"",INDEX(Tools!$R$6:$R$105,MATCH(O15,Tools!$V$6:$V$105,0))))</f>
        <v/>
      </c>
      <c r="F15" s="1" t="n"/>
      <c r="G15" s="11">
        <f>IF(P15="","",INDEX(Tools!$B$6:$B$105,P15-5))</f>
        <v/>
      </c>
      <c r="H15" s="14">
        <f>IF(P15="","",INDEX(Tools!$T$6:$T$105,P15-5))</f>
        <v/>
      </c>
      <c r="I15" s="15">
        <f>IF(P15="","",IF(INDEX(Tools!$D$6:$D$105,P15-5)="","",INDEX(Tools!$D$6:$D$105,P15-5)))</f>
        <v/>
      </c>
      <c r="J15" s="16">
        <f>IF(P15="","",INDEX(Tools!$O$6:$O$105,P15-5))</f>
        <v/>
      </c>
      <c r="K15" s="1" t="n"/>
      <c r="L15" s="1" t="n"/>
      <c r="O15">
        <f>IFERROR(SMALL(Tools!$V$6:$V$105,7),"")</f>
        <v/>
      </c>
      <c r="P15">
        <f>IFERROR(SMALL(Tools!$X$6:$X$105,7),"")</f>
        <v/>
      </c>
    </row>
    <row r="16">
      <c r="A16" s="1" t="n"/>
      <c r="B16" s="11">
        <f>IF(O16="","",INDEX(Tools!$B$6:$B$105,MATCH(O16,Tools!$V$6:$V$105,0)))</f>
        <v/>
      </c>
      <c r="C16" s="12">
        <f>IF(O16="","",INT(O16))</f>
        <v/>
      </c>
      <c r="D16" s="13">
        <f>IF(O16="","",INDEX(Tools!$N$6:$N$105,MATCH(O16,Tools!$V$6:$V$105,0)))</f>
        <v/>
      </c>
      <c r="E16" s="12">
        <f>IF(O16="","",IF(N(INDEX(Tools!$K$6:$K$105,MATCH(O16,Tools!$V$6:$V$105,0)))=0,"",INDEX(Tools!$R$6:$R$105,MATCH(O16,Tools!$V$6:$V$105,0))))</f>
        <v/>
      </c>
      <c r="F16" s="1" t="n"/>
      <c r="G16" s="11">
        <f>IF(P16="","",INDEX(Tools!$B$6:$B$105,P16-5))</f>
        <v/>
      </c>
      <c r="H16" s="14">
        <f>IF(P16="","",INDEX(Tools!$T$6:$T$105,P16-5))</f>
        <v/>
      </c>
      <c r="I16" s="15">
        <f>IF(P16="","",IF(INDEX(Tools!$D$6:$D$105,P16-5)="","",INDEX(Tools!$D$6:$D$105,P16-5)))</f>
        <v/>
      </c>
      <c r="J16" s="16">
        <f>IF(P16="","",INDEX(Tools!$O$6:$O$105,P16-5))</f>
        <v/>
      </c>
      <c r="K16" s="1" t="n"/>
      <c r="L16" s="1" t="n"/>
      <c r="O16">
        <f>IFERROR(SMALL(Tools!$V$6:$V$105,8),"")</f>
        <v/>
      </c>
      <c r="P16">
        <f>IFERROR(SMALL(Tools!$X$6:$X$105,8),"")</f>
        <v/>
      </c>
    </row>
    <row r="17">
      <c r="A17" s="1" t="n"/>
      <c r="B17" s="11">
        <f>IF(O17="","",INDEX(Tools!$B$6:$B$105,MATCH(O17,Tools!$V$6:$V$105,0)))</f>
        <v/>
      </c>
      <c r="C17" s="12">
        <f>IF(O17="","",INT(O17))</f>
        <v/>
      </c>
      <c r="D17" s="13">
        <f>IF(O17="","",INDEX(Tools!$N$6:$N$105,MATCH(O17,Tools!$V$6:$V$105,0)))</f>
        <v/>
      </c>
      <c r="E17" s="12">
        <f>IF(O17="","",IF(N(INDEX(Tools!$K$6:$K$105,MATCH(O17,Tools!$V$6:$V$105,0)))=0,"",INDEX(Tools!$R$6:$R$105,MATCH(O17,Tools!$V$6:$V$105,0))))</f>
        <v/>
      </c>
      <c r="F17" s="1" t="n"/>
      <c r="G17" s="11">
        <f>IF(P17="","",INDEX(Tools!$B$6:$B$105,P17-5))</f>
        <v/>
      </c>
      <c r="H17" s="14">
        <f>IF(P17="","",INDEX(Tools!$T$6:$T$105,P17-5))</f>
        <v/>
      </c>
      <c r="I17" s="15">
        <f>IF(P17="","",IF(INDEX(Tools!$D$6:$D$105,P17-5)="","",INDEX(Tools!$D$6:$D$105,P17-5)))</f>
        <v/>
      </c>
      <c r="J17" s="16">
        <f>IF(P17="","",INDEX(Tools!$O$6:$O$105,P17-5))</f>
        <v/>
      </c>
      <c r="K17" s="1" t="n"/>
      <c r="L17" s="1" t="n"/>
      <c r="O17">
        <f>IFERROR(SMALL(Tools!$V$6:$V$105,9),"")</f>
        <v/>
      </c>
      <c r="P17">
        <f>IFERROR(SMALL(Tools!$X$6:$X$105,9),"")</f>
        <v/>
      </c>
    </row>
    <row r="18">
      <c r="A18" s="1" t="n"/>
      <c r="B18" s="11">
        <f>IF(O18="","",INDEX(Tools!$B$6:$B$105,MATCH(O18,Tools!$V$6:$V$105,0)))</f>
        <v/>
      </c>
      <c r="C18" s="12">
        <f>IF(O18="","",INT(O18))</f>
        <v/>
      </c>
      <c r="D18" s="13">
        <f>IF(O18="","",INDEX(Tools!$N$6:$N$105,MATCH(O18,Tools!$V$6:$V$105,0)))</f>
        <v/>
      </c>
      <c r="E18" s="12">
        <f>IF(O18="","",IF(N(INDEX(Tools!$K$6:$K$105,MATCH(O18,Tools!$V$6:$V$105,0)))=0,"",INDEX(Tools!$R$6:$R$105,MATCH(O18,Tools!$V$6:$V$105,0))))</f>
        <v/>
      </c>
      <c r="F18" s="1" t="n"/>
      <c r="G18" s="11">
        <f>IF(P18="","",INDEX(Tools!$B$6:$B$105,P18-5))</f>
        <v/>
      </c>
      <c r="H18" s="14">
        <f>IF(P18="","",INDEX(Tools!$T$6:$T$105,P18-5))</f>
        <v/>
      </c>
      <c r="I18" s="15">
        <f>IF(P18="","",IF(INDEX(Tools!$D$6:$D$105,P18-5)="","",INDEX(Tools!$D$6:$D$105,P18-5)))</f>
        <v/>
      </c>
      <c r="J18" s="16">
        <f>IF(P18="","",INDEX(Tools!$O$6:$O$105,P18-5))</f>
        <v/>
      </c>
      <c r="K18" s="1" t="n"/>
      <c r="L18" s="1" t="n"/>
      <c r="O18">
        <f>IFERROR(SMALL(Tools!$V$6:$V$105,10),"")</f>
        <v/>
      </c>
      <c r="P18">
        <f>IFERROR(SMALL(Tools!$X$6:$X$105,10),"")</f>
        <v/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 ht="30" customHeight="1">
      <c r="A21" s="1" t="n"/>
      <c r="B21" s="10" t="inlineStr">
        <is>
          <t>By category</t>
        </is>
      </c>
      <c r="C21" s="10" t="inlineStr">
        <is>
          <t>Tools</t>
        </is>
      </c>
      <c r="D21" s="10" t="inlineStr">
        <is>
          <t>Per month</t>
        </is>
      </c>
      <c r="E21" s="10" t="inlineStr">
        <is>
          <t>Per year</t>
        </is>
      </c>
      <c r="F21" s="1" t="n"/>
      <c r="G21" s="10" t="inlineStr">
        <is>
          <t>Access to remove</t>
        </is>
      </c>
      <c r="H21" s="10" t="inlineStr">
        <is>
          <t>Tool</t>
        </is>
      </c>
      <c r="I21" s="10" t="inlineStr">
        <is>
          <t>Left on</t>
        </is>
      </c>
      <c r="J21" s="10" t="inlineStr">
        <is>
          <t>Role</t>
        </is>
      </c>
      <c r="K21" s="1" t="n"/>
      <c r="L21" s="1" t="n"/>
    </row>
    <row r="22">
      <c r="A22" s="1" t="n"/>
      <c r="B22" s="11">
        <f>IF(Settings!$B$10="","",Settings!$B$10)</f>
        <v/>
      </c>
      <c r="C22" s="17">
        <f>IF(B22="","",COUNTIFS(Tools!$C$6:$C$105,B22,Tools!$T$6:$T$105,"&lt;&gt;Cancelled"))</f>
        <v/>
      </c>
      <c r="D22" s="16">
        <f>IF(B22="","",SUMIFS(Tools!$O$6:$O$105,Tools!$C$6:$C$105,B22))</f>
        <v/>
      </c>
      <c r="E22" s="16">
        <f>IF(B22="","",D22*12)</f>
        <v/>
      </c>
      <c r="F22" s="1" t="n"/>
      <c r="G22" s="11">
        <f>IF(Q22="","Nobody to remove",INDEX(Access!$B$6:$B$405,Q22-5))</f>
        <v/>
      </c>
      <c r="H22" s="15">
        <f>IF(Q22="","",INDEX(Access!$C$6:$C$405,Q22-5))</f>
        <v/>
      </c>
      <c r="I22" s="18">
        <f>IF(Q22="","",INDEX(Access!$I$6:$I$405,Q22-5))</f>
        <v/>
      </c>
      <c r="J22" s="14">
        <f>IF(Q22="","",IF(INDEX(Access!$D$6:$D$405,Q22-5)="","",INDEX(Access!$D$6:$D$405,Q22-5)))</f>
        <v/>
      </c>
      <c r="K22" s="1" t="n"/>
      <c r="L22" s="1" t="n"/>
      <c r="Q22">
        <f>IFERROR(SMALL(Access!$K$6:$K$405,1),"")</f>
        <v/>
      </c>
    </row>
    <row r="23">
      <c r="A23" s="1" t="n"/>
      <c r="B23" s="11">
        <f>IF(Settings!$B$11="","",Settings!$B$11)</f>
        <v/>
      </c>
      <c r="C23" s="17">
        <f>IF(B23="","",COUNTIFS(Tools!$C$6:$C$105,B23,Tools!$T$6:$T$105,"&lt;&gt;Cancelled"))</f>
        <v/>
      </c>
      <c r="D23" s="16">
        <f>IF(B23="","",SUMIFS(Tools!$O$6:$O$105,Tools!$C$6:$C$105,B23))</f>
        <v/>
      </c>
      <c r="E23" s="16">
        <f>IF(B23="","",D23*12)</f>
        <v/>
      </c>
      <c r="F23" s="1" t="n"/>
      <c r="G23" s="11">
        <f>IF(Q23="","",INDEX(Access!$B$6:$B$405,Q23-5))</f>
        <v/>
      </c>
      <c r="H23" s="15">
        <f>IF(Q23="","",INDEX(Access!$C$6:$C$405,Q23-5))</f>
        <v/>
      </c>
      <c r="I23" s="18">
        <f>IF(Q23="","",INDEX(Access!$I$6:$I$405,Q23-5))</f>
        <v/>
      </c>
      <c r="J23" s="14">
        <f>IF(Q23="","",IF(INDEX(Access!$D$6:$D$405,Q23-5)="","",INDEX(Access!$D$6:$D$405,Q23-5)))</f>
        <v/>
      </c>
      <c r="K23" s="1" t="n"/>
      <c r="L23" s="1" t="n"/>
      <c r="Q23">
        <f>IFERROR(SMALL(Access!$K$6:$K$405,2),"")</f>
        <v/>
      </c>
    </row>
    <row r="24">
      <c r="A24" s="1" t="n"/>
      <c r="B24" s="11">
        <f>IF(Settings!$B$12="","",Settings!$B$12)</f>
        <v/>
      </c>
      <c r="C24" s="17">
        <f>IF(B24="","",COUNTIFS(Tools!$C$6:$C$105,B24,Tools!$T$6:$T$105,"&lt;&gt;Cancelled"))</f>
        <v/>
      </c>
      <c r="D24" s="16">
        <f>IF(B24="","",SUMIFS(Tools!$O$6:$O$105,Tools!$C$6:$C$105,B24))</f>
        <v/>
      </c>
      <c r="E24" s="16">
        <f>IF(B24="","",D24*12)</f>
        <v/>
      </c>
      <c r="F24" s="1" t="n"/>
      <c r="G24" s="11">
        <f>IF(Q24="","",INDEX(Access!$B$6:$B$405,Q24-5))</f>
        <v/>
      </c>
      <c r="H24" s="15">
        <f>IF(Q24="","",INDEX(Access!$C$6:$C$405,Q24-5))</f>
        <v/>
      </c>
      <c r="I24" s="18">
        <f>IF(Q24="","",INDEX(Access!$I$6:$I$405,Q24-5))</f>
        <v/>
      </c>
      <c r="J24" s="14">
        <f>IF(Q24="","",IF(INDEX(Access!$D$6:$D$405,Q24-5)="","",INDEX(Access!$D$6:$D$405,Q24-5)))</f>
        <v/>
      </c>
      <c r="K24" s="1" t="n"/>
      <c r="L24" s="1" t="n"/>
      <c r="Q24">
        <f>IFERROR(SMALL(Access!$K$6:$K$405,3),"")</f>
        <v/>
      </c>
    </row>
    <row r="25">
      <c r="A25" s="1" t="n"/>
      <c r="B25" s="11">
        <f>IF(Settings!$B$13="","",Settings!$B$13)</f>
        <v/>
      </c>
      <c r="C25" s="17">
        <f>IF(B25="","",COUNTIFS(Tools!$C$6:$C$105,B25,Tools!$T$6:$T$105,"&lt;&gt;Cancelled"))</f>
        <v/>
      </c>
      <c r="D25" s="16">
        <f>IF(B25="","",SUMIFS(Tools!$O$6:$O$105,Tools!$C$6:$C$105,B25))</f>
        <v/>
      </c>
      <c r="E25" s="16">
        <f>IF(B25="","",D25*12)</f>
        <v/>
      </c>
      <c r="F25" s="1" t="n"/>
      <c r="G25" s="11">
        <f>IF(Q25="","",INDEX(Access!$B$6:$B$405,Q25-5))</f>
        <v/>
      </c>
      <c r="H25" s="15">
        <f>IF(Q25="","",INDEX(Access!$C$6:$C$405,Q25-5))</f>
        <v/>
      </c>
      <c r="I25" s="18">
        <f>IF(Q25="","",INDEX(Access!$I$6:$I$405,Q25-5))</f>
        <v/>
      </c>
      <c r="J25" s="14">
        <f>IF(Q25="","",IF(INDEX(Access!$D$6:$D$405,Q25-5)="","",INDEX(Access!$D$6:$D$405,Q25-5)))</f>
        <v/>
      </c>
      <c r="K25" s="1" t="n"/>
      <c r="L25" s="1" t="n"/>
      <c r="Q25">
        <f>IFERROR(SMALL(Access!$K$6:$K$405,4),"")</f>
        <v/>
      </c>
    </row>
    <row r="26">
      <c r="A26" s="1" t="n"/>
      <c r="B26" s="11">
        <f>IF(Settings!$B$14="","",Settings!$B$14)</f>
        <v/>
      </c>
      <c r="C26" s="17">
        <f>IF(B26="","",COUNTIFS(Tools!$C$6:$C$105,B26,Tools!$T$6:$T$105,"&lt;&gt;Cancelled"))</f>
        <v/>
      </c>
      <c r="D26" s="16">
        <f>IF(B26="","",SUMIFS(Tools!$O$6:$O$105,Tools!$C$6:$C$105,B26))</f>
        <v/>
      </c>
      <c r="E26" s="16">
        <f>IF(B26="","",D26*12)</f>
        <v/>
      </c>
      <c r="F26" s="1" t="n"/>
      <c r="G26" s="11">
        <f>IF(Q26="","",INDEX(Access!$B$6:$B$405,Q26-5))</f>
        <v/>
      </c>
      <c r="H26" s="15">
        <f>IF(Q26="","",INDEX(Access!$C$6:$C$405,Q26-5))</f>
        <v/>
      </c>
      <c r="I26" s="18">
        <f>IF(Q26="","",INDEX(Access!$I$6:$I$405,Q26-5))</f>
        <v/>
      </c>
      <c r="J26" s="14">
        <f>IF(Q26="","",IF(INDEX(Access!$D$6:$D$405,Q26-5)="","",INDEX(Access!$D$6:$D$405,Q26-5)))</f>
        <v/>
      </c>
      <c r="K26" s="1" t="n"/>
      <c r="L26" s="1" t="n"/>
      <c r="Q26">
        <f>IFERROR(SMALL(Access!$K$6:$K$405,5),"")</f>
        <v/>
      </c>
    </row>
    <row r="27">
      <c r="A27" s="1" t="n"/>
      <c r="B27" s="11">
        <f>IF(Settings!$B$15="","",Settings!$B$15)</f>
        <v/>
      </c>
      <c r="C27" s="17">
        <f>IF(B27="","",COUNTIFS(Tools!$C$6:$C$105,B27,Tools!$T$6:$T$105,"&lt;&gt;Cancelled"))</f>
        <v/>
      </c>
      <c r="D27" s="16">
        <f>IF(B27="","",SUMIFS(Tools!$O$6:$O$105,Tools!$C$6:$C$105,B27))</f>
        <v/>
      </c>
      <c r="E27" s="16">
        <f>IF(B27="","",D27*12)</f>
        <v/>
      </c>
      <c r="F27" s="1" t="n"/>
      <c r="G27" s="11">
        <f>IF(Q27="","",INDEX(Access!$B$6:$B$405,Q27-5))</f>
        <v/>
      </c>
      <c r="H27" s="15">
        <f>IF(Q27="","",INDEX(Access!$C$6:$C$405,Q27-5))</f>
        <v/>
      </c>
      <c r="I27" s="18">
        <f>IF(Q27="","",INDEX(Access!$I$6:$I$405,Q27-5))</f>
        <v/>
      </c>
      <c r="J27" s="14">
        <f>IF(Q27="","",IF(INDEX(Access!$D$6:$D$405,Q27-5)="","",INDEX(Access!$D$6:$D$405,Q27-5)))</f>
        <v/>
      </c>
      <c r="K27" s="1" t="n"/>
      <c r="L27" s="1" t="n"/>
      <c r="Q27">
        <f>IFERROR(SMALL(Access!$K$6:$K$405,6),"")</f>
        <v/>
      </c>
    </row>
    <row r="28">
      <c r="A28" s="1" t="n"/>
      <c r="B28" s="11">
        <f>IF(Settings!$B$16="","",Settings!$B$16)</f>
        <v/>
      </c>
      <c r="C28" s="17">
        <f>IF(B28="","",COUNTIFS(Tools!$C$6:$C$105,B28,Tools!$T$6:$T$105,"&lt;&gt;Cancelled"))</f>
        <v/>
      </c>
      <c r="D28" s="16">
        <f>IF(B28="","",SUMIFS(Tools!$O$6:$O$105,Tools!$C$6:$C$105,B28))</f>
        <v/>
      </c>
      <c r="E28" s="16">
        <f>IF(B28="","",D28*12)</f>
        <v/>
      </c>
      <c r="F28" s="1" t="n"/>
      <c r="G28" s="11">
        <f>IF(Q28="","",INDEX(Access!$B$6:$B$405,Q28-5))</f>
        <v/>
      </c>
      <c r="H28" s="15">
        <f>IF(Q28="","",INDEX(Access!$C$6:$C$405,Q28-5))</f>
        <v/>
      </c>
      <c r="I28" s="18">
        <f>IF(Q28="","",INDEX(Access!$I$6:$I$405,Q28-5))</f>
        <v/>
      </c>
      <c r="J28" s="14">
        <f>IF(Q28="","",IF(INDEX(Access!$D$6:$D$405,Q28-5)="","",INDEX(Access!$D$6:$D$405,Q28-5)))</f>
        <v/>
      </c>
      <c r="K28" s="1" t="n"/>
      <c r="L28" s="1" t="n"/>
      <c r="Q28">
        <f>IFERROR(SMALL(Access!$K$6:$K$405,7),"")</f>
        <v/>
      </c>
    </row>
    <row r="29">
      <c r="A29" s="1" t="n"/>
      <c r="B29" s="11">
        <f>IF(Settings!$B$17="","",Settings!$B$17)</f>
        <v/>
      </c>
      <c r="C29" s="17">
        <f>IF(B29="","",COUNTIFS(Tools!$C$6:$C$105,B29,Tools!$T$6:$T$105,"&lt;&gt;Cancelled"))</f>
        <v/>
      </c>
      <c r="D29" s="16">
        <f>IF(B29="","",SUMIFS(Tools!$O$6:$O$105,Tools!$C$6:$C$105,B29))</f>
        <v/>
      </c>
      <c r="E29" s="16">
        <f>IF(B29="","",D29*12)</f>
        <v/>
      </c>
      <c r="F29" s="1" t="n"/>
      <c r="G29" s="11">
        <f>IF(Q29="","",INDEX(Access!$B$6:$B$405,Q29-5))</f>
        <v/>
      </c>
      <c r="H29" s="15">
        <f>IF(Q29="","",INDEX(Access!$C$6:$C$405,Q29-5))</f>
        <v/>
      </c>
      <c r="I29" s="18">
        <f>IF(Q29="","",INDEX(Access!$I$6:$I$405,Q29-5))</f>
        <v/>
      </c>
      <c r="J29" s="14">
        <f>IF(Q29="","",IF(INDEX(Access!$D$6:$D$405,Q29-5)="","",INDEX(Access!$D$6:$D$405,Q29-5)))</f>
        <v/>
      </c>
      <c r="K29" s="1" t="n"/>
      <c r="L29" s="1" t="n"/>
      <c r="Q29">
        <f>IFERROR(SMALL(Access!$K$6:$K$405,8),"")</f>
        <v/>
      </c>
    </row>
    <row r="30">
      <c r="A30" s="1" t="n"/>
      <c r="B30" s="11">
        <f>IF(Settings!$B$18="","",Settings!$B$18)</f>
        <v/>
      </c>
      <c r="C30" s="17">
        <f>IF(B30="","",COUNTIFS(Tools!$C$6:$C$105,B30,Tools!$T$6:$T$105,"&lt;&gt;Cancelled"))</f>
        <v/>
      </c>
      <c r="D30" s="16">
        <f>IF(B30="","",SUMIFS(Tools!$O$6:$O$105,Tools!$C$6:$C$105,B30))</f>
        <v/>
      </c>
      <c r="E30" s="16">
        <f>IF(B30="","",D30*12)</f>
        <v/>
      </c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1">
        <f>IF(Settings!$B$19="","",Settings!$B$19)</f>
        <v/>
      </c>
      <c r="C31" s="17">
        <f>IF(B31="","",COUNTIFS(Tools!$C$6:$C$105,B31,Tools!$T$6:$T$105,"&lt;&gt;Cancelled"))</f>
        <v/>
      </c>
      <c r="D31" s="16">
        <f>IF(B31="","",SUMIFS(Tools!$O$6:$O$105,Tools!$C$6:$C$105,B31))</f>
        <v/>
      </c>
      <c r="E31" s="16">
        <f>IF(B31="","",D31*12)</f>
        <v/>
      </c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1">
        <f>IF(Settings!$B$20="","",Settings!$B$20)</f>
        <v/>
      </c>
      <c r="C32" s="17">
        <f>IF(B32="","",COUNTIFS(Tools!$C$6:$C$105,B32,Tools!$T$6:$T$105,"&lt;&gt;Cancelled"))</f>
        <v/>
      </c>
      <c r="D32" s="16">
        <f>IF(B32="","",SUMIFS(Tools!$O$6:$O$105,Tools!$C$6:$C$105,B32))</f>
        <v/>
      </c>
      <c r="E32" s="16">
        <f>IF(B32="","",D32*12)</f>
        <v/>
      </c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1">
        <f>IF(Settings!$B$21="","",Settings!$B$21)</f>
        <v/>
      </c>
      <c r="C33" s="17">
        <f>IF(B33="","",COUNTIFS(Tools!$C$6:$C$105,B33,Tools!$T$6:$T$105,"&lt;&gt;Cancelled"))</f>
        <v/>
      </c>
      <c r="D33" s="16">
        <f>IF(B33="","",SUMIFS(Tools!$O$6:$O$105,Tools!$C$6:$C$105,B33))</f>
        <v/>
      </c>
      <c r="E33" s="16">
        <f>IF(B33="","",D33*12)</f>
        <v/>
      </c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1">
        <f>IF(ROUND(D34,6)=0,"","Not on the list")</f>
        <v/>
      </c>
      <c r="C34" s="15" t="n"/>
      <c r="D34" s="19">
        <f>SUM(Tools!$O$6:$O$105)-SUM(D22:D33)</f>
        <v/>
      </c>
      <c r="E34" s="19">
        <f>D34*12</f>
        <v/>
      </c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</sheetData>
  <conditionalFormatting sqref="H9:H18">
    <cfRule type="expression" priority="1" dxfId="0">
      <formula>LEFT(H9,12)="Card expires"</formula>
    </cfRule>
    <cfRule type="expression" priority="2" dxfId="0">
      <formula>LEFT(H9,9)="Cancel by"</formula>
    </cfRule>
    <cfRule type="expression" priority="3" dxfId="1">
      <formula>LEFT(H9,6)="Renews"</formula>
    </cfRule>
    <cfRule type="expression" priority="4" dxfId="2">
      <formula>LEFT(H9,4)="Ends"</formula>
    </cfRule>
    <cfRule type="expression" priority="5" dxfId="1">
      <formula>ISNUMBER(SEARCH("unused",H9))</formula>
    </cfRule>
  </conditionalFormatting>
  <conditionalFormatting sqref="G22:J29">
    <cfRule type="expression" priority="6" dxfId="3">
      <formula>$Q22&lt;&gt;""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1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0" customWidth="1" min="4" max="4"/>
    <col width="11" customWidth="1" min="5" max="5"/>
    <col width="10" customWidth="1" min="6" max="6"/>
    <col width="7" customWidth="1" min="7" max="7"/>
    <col width="8" customWidth="1" min="8" max="8"/>
    <col width="17" customWidth="1" min="9" max="9"/>
    <col width="12" customWidth="1" min="10" max="10"/>
    <col width="8" customWidth="1" min="11" max="11"/>
    <col width="12" customWidth="1" min="12" max="12"/>
    <col width="7" customWidth="1" min="13" max="13"/>
    <col width="10" customWidth="1" min="14" max="14"/>
    <col width="10" customWidth="1" min="15" max="15"/>
    <col width="11" customWidth="1" min="16" max="16"/>
    <col width="12" customWidth="1" min="17" max="17"/>
    <col width="12" customWidth="1" min="18" max="18"/>
    <col width="7" customWidth="1" min="19" max="19"/>
    <col width="22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2" customHeight="1">
      <c r="A2" s="1" t="n"/>
      <c r="B2" s="2" t="inlineStr">
        <is>
          <t>Tools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1" t="n"/>
      <c r="B3" s="3" t="inlineStr">
        <is>
          <t>Every tool the business pays for. The next charge moves on by itself after each renewal.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 ht="30" customHeight="1">
      <c r="A5" s="1" t="n"/>
      <c r="B5" s="10" t="inlineStr">
        <is>
          <t>Tool</t>
        </is>
      </c>
      <c r="C5" s="10" t="inlineStr">
        <is>
          <t>Category</t>
        </is>
      </c>
      <c r="D5" s="10" t="inlineStr">
        <is>
          <t>Owner</t>
        </is>
      </c>
      <c r="E5" s="10" t="inlineStr">
        <is>
          <t>Billing</t>
        </is>
      </c>
      <c r="F5" s="10" t="inlineStr">
        <is>
          <t>Price</t>
        </is>
      </c>
      <c r="G5" s="10" t="inlineStr">
        <is>
          <t>Per seat</t>
        </is>
      </c>
      <c r="H5" s="10" t="inlineStr">
        <is>
          <t>Seats</t>
        </is>
      </c>
      <c r="I5" s="10" t="inlineStr">
        <is>
          <t>Paid with</t>
        </is>
      </c>
      <c r="J5" s="10" t="inlineStr">
        <is>
          <t>Renews on</t>
        </is>
      </c>
      <c r="K5" s="10" t="inlineStr">
        <is>
          <t>Notice (days)</t>
        </is>
      </c>
      <c r="L5" s="10" t="inlineStr">
        <is>
          <t>Cancelled on</t>
        </is>
      </c>
      <c r="M5" s="10" t="inlineStr">
        <is>
          <t>Seats used</t>
        </is>
      </c>
      <c r="N5" s="10" t="inlineStr">
        <is>
          <t>Each charge</t>
        </is>
      </c>
      <c r="O5" s="10" t="inlineStr">
        <is>
          <t>Per month</t>
        </is>
      </c>
      <c r="P5" s="10" t="inlineStr">
        <is>
          <t>Per year</t>
        </is>
      </c>
      <c r="Q5" s="10" t="inlineStr">
        <is>
          <t>Next charge</t>
        </is>
      </c>
      <c r="R5" s="10" t="inlineStr">
        <is>
          <t>Cancel by</t>
        </is>
      </c>
      <c r="S5" s="10" t="inlineStr">
        <is>
          <t>Unused</t>
        </is>
      </c>
      <c r="T5" s="10" t="inlineStr">
        <is>
          <t>Status</t>
        </is>
      </c>
      <c r="U5" s="1" t="n"/>
    </row>
    <row r="6">
      <c r="A6" s="1" t="n"/>
      <c r="B6" s="20" t="inlineStr">
        <is>
          <t>Email and docs</t>
        </is>
      </c>
      <c r="C6" s="21" t="inlineStr">
        <is>
          <t>Office</t>
        </is>
      </c>
      <c r="D6" s="21" t="inlineStr">
        <is>
          <t>Ana</t>
        </is>
      </c>
      <c r="E6" s="22" t="inlineStr">
        <is>
          <t>Monthly</t>
        </is>
      </c>
      <c r="F6" s="23" t="n">
        <v>12</v>
      </c>
      <c r="G6" s="22" t="inlineStr">
        <is>
          <t>x</t>
        </is>
      </c>
      <c r="H6" s="24" t="n">
        <v>8</v>
      </c>
      <c r="I6" s="21" t="inlineStr">
        <is>
          <t>Business card A</t>
        </is>
      </c>
      <c r="J6" s="25" t="n">
        <v>46298</v>
      </c>
      <c r="K6" s="24" t="n"/>
      <c r="L6" s="25" t="n"/>
      <c r="M6" s="26">
        <f>IF(B6="","",SUMIFS(Access!$G$6:$G$405,Access!$C$6:$C$405,B6))</f>
        <v/>
      </c>
      <c r="N6" s="13">
        <f>IF(B6="","",IF(G6&lt;&gt;"",N(F6)*IF(H6="",M6,N(H6)),N(F6)))</f>
        <v/>
      </c>
      <c r="O6" s="13">
        <f>IF(B6="","",IF(AND(L6&lt;&gt;"",L6&lt;=TODAY()),0,N6/U6))</f>
        <v/>
      </c>
      <c r="P6" s="13">
        <f>IF(B6="","",O6*12)</f>
        <v/>
      </c>
      <c r="Q6" s="27">
        <f>IF(OR(B6="",J6=""),"",IF(AND(L6&lt;&gt;"",IF(J6&gt;=TODAY(),J6,IF(EDATE(J6,INT(DATEDIF(J6,TODAY(),"m")/U6)*U6)&gt;=TODAY(),EDATE(J6,INT(DATEDIF(J6,TODAY(),"m")/U6)*U6),EDATE(J6,INT(DATEDIF(J6,TODAY(),"m")/U6)*U6+U6)))&gt;=L6),"",IF(J6&gt;=TODAY(),J6,IF(EDATE(J6,INT(DATEDIF(J6,TODAY(),"m")/U6)*U6)&gt;=TODAY(),EDATE(J6,INT(DATEDIF(J6,TODAY(),"m")/U6)*U6),EDATE(J6,INT(DATEDIF(J6,TODAY(),"m")/U6)*U6+U6)))))</f>
        <v/>
      </c>
      <c r="R6" s="27">
        <f>IF(Q6="","",Q6-N(K6))</f>
        <v/>
      </c>
      <c r="S6" s="17">
        <f>IF(OR(B6="",G6="",H6="",AND(L6&lt;&gt;"",L6&lt;=TODAY())),"",MAX(0,N(H6)-N(M6)))</f>
        <v/>
      </c>
      <c r="T6" s="14">
        <f>IF(B6="","",IF(AND(L6&lt;&gt;"",L6&lt;=TODAY()),"Cancelled",IF(L6&lt;&gt;"","Ends "&amp;DAY(L6)&amp;" "&amp;CHOOSE(MONTH(L6),"Jan","Feb","Mar","Apr","May","Jun","Jul","Aug","Sep","Oct","Nov","Dec"),IF(AND(Q6&lt;&gt;"",W6&lt;&gt;"",W6&lt;Q6),"Card expires",IF(AND(Q6&lt;&gt;"",E6&lt;&gt;"Monthly",N(K6)&gt;0,R6&gt;=TODAY(),R6-TODAY()&lt;=N(Settings!$C$5)),"Cancel by "&amp;DAY(R6)&amp;" "&amp;CHOOSE(MONTH(R6),"Jan","Feb","Mar","Apr","May","Jun","Jul","Aug","Sep","Oct","Nov","Dec"),IF(AND(Q6&lt;&gt;"",E6&lt;&gt;"Monthly",Q6-TODAY()&lt;=N(Settings!$C$5)),"Renews "&amp;DAY(Q6)&amp;" "&amp;CHOOSE(MONTH(Q6),"Jan","Feb","Mar","Apr","May","Jun","Jul","Aug","Sep","Oct","Nov","Dec"),IF(N(S6)&gt;0,S6&amp;IF(S6=1," unused seat"," unused seats"),"Active")))))))</f>
        <v/>
      </c>
      <c r="U6" s="1">
        <f>IF(E6="Quarterly",3,IF(E6="Yearly",12,1))</f>
        <v/>
      </c>
      <c r="V6">
        <f>IF(Q6="","",Q6+ROW()/10000000)</f>
        <v/>
      </c>
      <c r="W6">
        <f>IFERROR(IF(INDEX(Cards!$D$6:$D$25,MATCH(I6,Cards!$B$6:$B$25,0))="","",INDEX(Cards!$D$6:$D$25,MATCH(I6,Cards!$B$6:$B$25,0))),"")</f>
        <v/>
      </c>
      <c r="X6">
        <f>IF(OR(T6="",T6="Active",T6="Cancelled"),"",ROW())</f>
        <v/>
      </c>
      <c r="Y6">
        <f>IF(N(S6)=0,0,S6*N(F6)*12/U6)</f>
        <v/>
      </c>
    </row>
    <row r="7">
      <c r="A7" s="1" t="n"/>
      <c r="B7" s="20" t="inlineStr">
        <is>
          <t>Team chat</t>
        </is>
      </c>
      <c r="C7" s="21" t="inlineStr">
        <is>
          <t>Communication</t>
        </is>
      </c>
      <c r="D7" s="21" t="inlineStr">
        <is>
          <t>Grace</t>
        </is>
      </c>
      <c r="E7" s="22" t="inlineStr">
        <is>
          <t>Monthly</t>
        </is>
      </c>
      <c r="F7" s="23" t="n">
        <v>8.75</v>
      </c>
      <c r="G7" s="22" t="inlineStr">
        <is>
          <t>x</t>
        </is>
      </c>
      <c r="H7" s="24" t="n">
        <v>10</v>
      </c>
      <c r="I7" s="21" t="inlineStr">
        <is>
          <t>Business card A</t>
        </is>
      </c>
      <c r="J7" s="25" t="n">
        <v>46277</v>
      </c>
      <c r="K7" s="24" t="n"/>
      <c r="L7" s="25" t="n"/>
      <c r="M7" s="26">
        <f>IF(B7="","",SUMIFS(Access!$G$6:$G$405,Access!$C$6:$C$405,B7))</f>
        <v/>
      </c>
      <c r="N7" s="13">
        <f>IF(B7="","",IF(G7&lt;&gt;"",N(F7)*IF(H7="",M7,N(H7)),N(F7)))</f>
        <v/>
      </c>
      <c r="O7" s="13">
        <f>IF(B7="","",IF(AND(L7&lt;&gt;"",L7&lt;=TODAY()),0,N7/U7))</f>
        <v/>
      </c>
      <c r="P7" s="13">
        <f>IF(B7="","",O7*12)</f>
        <v/>
      </c>
      <c r="Q7" s="27">
        <f>IF(OR(B7="",J7=""),"",IF(AND(L7&lt;&gt;"",IF(J7&gt;=TODAY(),J7,IF(EDATE(J7,INT(DATEDIF(J7,TODAY(),"m")/U7)*U7)&gt;=TODAY(),EDATE(J7,INT(DATEDIF(J7,TODAY(),"m")/U7)*U7),EDATE(J7,INT(DATEDIF(J7,TODAY(),"m")/U7)*U7+U7)))&gt;=L7),"",IF(J7&gt;=TODAY(),J7,IF(EDATE(J7,INT(DATEDIF(J7,TODAY(),"m")/U7)*U7)&gt;=TODAY(),EDATE(J7,INT(DATEDIF(J7,TODAY(),"m")/U7)*U7),EDATE(J7,INT(DATEDIF(J7,TODAY(),"m")/U7)*U7+U7)))))</f>
        <v/>
      </c>
      <c r="R7" s="27">
        <f>IF(Q7="","",Q7-N(K7))</f>
        <v/>
      </c>
      <c r="S7" s="17">
        <f>IF(OR(B7="",G7="",H7="",AND(L7&lt;&gt;"",L7&lt;=TODAY())),"",MAX(0,N(H7)-N(M7)))</f>
        <v/>
      </c>
      <c r="T7" s="14">
        <f>IF(B7="","",IF(AND(L7&lt;&gt;"",L7&lt;=TODAY()),"Cancelled",IF(L7&lt;&gt;"","Ends "&amp;DAY(L7)&amp;" "&amp;CHOOSE(MONTH(L7),"Jan","Feb","Mar","Apr","May","Jun","Jul","Aug","Sep","Oct","Nov","Dec"),IF(AND(Q7&lt;&gt;"",W7&lt;&gt;"",W7&lt;Q7),"Card expires",IF(AND(Q7&lt;&gt;"",E7&lt;&gt;"Monthly",N(K7)&gt;0,R7&gt;=TODAY(),R7-TODAY()&lt;=N(Settings!$C$5)),"Cancel by "&amp;DAY(R7)&amp;" "&amp;CHOOSE(MONTH(R7),"Jan","Feb","Mar","Apr","May","Jun","Jul","Aug","Sep","Oct","Nov","Dec"),IF(AND(Q7&lt;&gt;"",E7&lt;&gt;"Monthly",Q7-TODAY()&lt;=N(Settings!$C$5)),"Renews "&amp;DAY(Q7)&amp;" "&amp;CHOOSE(MONTH(Q7),"Jan","Feb","Mar","Apr","May","Jun","Jul","Aug","Sep","Oct","Nov","Dec"),IF(N(S7)&gt;0,S7&amp;IF(S7=1," unused seat"," unused seats"),"Active")))))))</f>
        <v/>
      </c>
      <c r="U7" s="1">
        <f>IF(E7="Quarterly",3,IF(E7="Yearly",12,1))</f>
        <v/>
      </c>
      <c r="V7">
        <f>IF(Q7="","",Q7+ROW()/10000000)</f>
        <v/>
      </c>
      <c r="W7">
        <f>IFERROR(IF(INDEX(Cards!$D$6:$D$25,MATCH(I7,Cards!$B$6:$B$25,0))="","",INDEX(Cards!$D$6:$D$25,MATCH(I7,Cards!$B$6:$B$25,0))),"")</f>
        <v/>
      </c>
      <c r="X7">
        <f>IF(OR(T7="",T7="Active",T7="Cancelled"),"",ROW())</f>
        <v/>
      </c>
      <c r="Y7">
        <f>IF(N(S7)=0,0,S7*N(F7)*12/U7)</f>
        <v/>
      </c>
    </row>
    <row r="8">
      <c r="A8" s="1" t="n"/>
      <c r="B8" s="20" t="inlineStr">
        <is>
          <t>Video calls</t>
        </is>
      </c>
      <c r="C8" s="21" t="inlineStr">
        <is>
          <t>Communication</t>
        </is>
      </c>
      <c r="D8" s="21" t="inlineStr">
        <is>
          <t>Grace</t>
        </is>
      </c>
      <c r="E8" s="22" t="inlineStr">
        <is>
          <t>Yearly</t>
        </is>
      </c>
      <c r="F8" s="23" t="n">
        <v>149.9</v>
      </c>
      <c r="G8" s="22" t="n"/>
      <c r="H8" s="24" t="n"/>
      <c r="I8" s="21" t="inlineStr">
        <is>
          <t>Business card B</t>
        </is>
      </c>
      <c r="J8" s="25" t="n">
        <v>46419</v>
      </c>
      <c r="K8" s="24" t="n"/>
      <c r="L8" s="25" t="n"/>
      <c r="M8" s="26">
        <f>IF(B8="","",SUMIFS(Access!$G$6:$G$405,Access!$C$6:$C$405,B8))</f>
        <v/>
      </c>
      <c r="N8" s="13">
        <f>IF(B8="","",IF(G8&lt;&gt;"",N(F8)*IF(H8="",M8,N(H8)),N(F8)))</f>
        <v/>
      </c>
      <c r="O8" s="13">
        <f>IF(B8="","",IF(AND(L8&lt;&gt;"",L8&lt;=TODAY()),0,N8/U8))</f>
        <v/>
      </c>
      <c r="P8" s="13">
        <f>IF(B8="","",O8*12)</f>
        <v/>
      </c>
      <c r="Q8" s="27">
        <f>IF(OR(B8="",J8=""),"",IF(AND(L8&lt;&gt;"",IF(J8&gt;=TODAY(),J8,IF(EDATE(J8,INT(DATEDIF(J8,TODAY(),"m")/U8)*U8)&gt;=TODAY(),EDATE(J8,INT(DATEDIF(J8,TODAY(),"m")/U8)*U8),EDATE(J8,INT(DATEDIF(J8,TODAY(),"m")/U8)*U8+U8)))&gt;=L8),"",IF(J8&gt;=TODAY(),J8,IF(EDATE(J8,INT(DATEDIF(J8,TODAY(),"m")/U8)*U8)&gt;=TODAY(),EDATE(J8,INT(DATEDIF(J8,TODAY(),"m")/U8)*U8),EDATE(J8,INT(DATEDIF(J8,TODAY(),"m")/U8)*U8+U8)))))</f>
        <v/>
      </c>
      <c r="R8" s="27">
        <f>IF(Q8="","",Q8-N(K8))</f>
        <v/>
      </c>
      <c r="S8" s="17">
        <f>IF(OR(B8="",G8="",H8="",AND(L8&lt;&gt;"",L8&lt;=TODAY())),"",MAX(0,N(H8)-N(M8)))</f>
        <v/>
      </c>
      <c r="T8" s="14">
        <f>IF(B8="","",IF(AND(L8&lt;&gt;"",L8&lt;=TODAY()),"Cancelled",IF(L8&lt;&gt;"","Ends "&amp;DAY(L8)&amp;" "&amp;CHOOSE(MONTH(L8),"Jan","Feb","Mar","Apr","May","Jun","Jul","Aug","Sep","Oct","Nov","Dec"),IF(AND(Q8&lt;&gt;"",W8&lt;&gt;"",W8&lt;Q8),"Card expires",IF(AND(Q8&lt;&gt;"",E8&lt;&gt;"Monthly",N(K8)&gt;0,R8&gt;=TODAY(),R8-TODAY()&lt;=N(Settings!$C$5)),"Cancel by "&amp;DAY(R8)&amp;" "&amp;CHOOSE(MONTH(R8),"Jan","Feb","Mar","Apr","May","Jun","Jul","Aug","Sep","Oct","Nov","Dec"),IF(AND(Q8&lt;&gt;"",E8&lt;&gt;"Monthly",Q8-TODAY()&lt;=N(Settings!$C$5)),"Renews "&amp;DAY(Q8)&amp;" "&amp;CHOOSE(MONTH(Q8),"Jan","Feb","Mar","Apr","May","Jun","Jul","Aug","Sep","Oct","Nov","Dec"),IF(N(S8)&gt;0,S8&amp;IF(S8=1," unused seat"," unused seats"),"Active")))))))</f>
        <v/>
      </c>
      <c r="U8" s="1">
        <f>IF(E8="Quarterly",3,IF(E8="Yearly",12,1))</f>
        <v/>
      </c>
      <c r="V8">
        <f>IF(Q8="","",Q8+ROW()/10000000)</f>
        <v/>
      </c>
      <c r="W8">
        <f>IFERROR(IF(INDEX(Cards!$D$6:$D$25,MATCH(I8,Cards!$B$6:$B$25,0))="","",INDEX(Cards!$D$6:$D$25,MATCH(I8,Cards!$B$6:$B$25,0))),"")</f>
        <v/>
      </c>
      <c r="X8">
        <f>IF(OR(T8="",T8="Active",T8="Cancelled"),"",ROW())</f>
        <v/>
      </c>
      <c r="Y8">
        <f>IF(N(S8)=0,0,S8*N(F8)*12/U8)</f>
        <v/>
      </c>
    </row>
    <row r="9">
      <c r="A9" s="1" t="n"/>
      <c r="B9" s="20" t="inlineStr">
        <is>
          <t>Design suite</t>
        </is>
      </c>
      <c r="C9" s="21" t="inlineStr">
        <is>
          <t>Design</t>
        </is>
      </c>
      <c r="D9" s="21" t="inlineStr">
        <is>
          <t>Ben</t>
        </is>
      </c>
      <c r="E9" s="22" t="inlineStr">
        <is>
          <t>Yearly</t>
        </is>
      </c>
      <c r="F9" s="23" t="n">
        <v>659.88</v>
      </c>
      <c r="G9" s="22" t="inlineStr">
        <is>
          <t>x</t>
        </is>
      </c>
      <c r="H9" s="24" t="n">
        <v>3</v>
      </c>
      <c r="I9" s="21" t="inlineStr">
        <is>
          <t>Business card B</t>
        </is>
      </c>
      <c r="J9" s="25" t="n">
        <v>46315</v>
      </c>
      <c r="K9" s="24" t="n">
        <v>14</v>
      </c>
      <c r="L9" s="25" t="n"/>
      <c r="M9" s="26">
        <f>IF(B9="","",SUMIFS(Access!$G$6:$G$405,Access!$C$6:$C$405,B9))</f>
        <v/>
      </c>
      <c r="N9" s="13">
        <f>IF(B9="","",IF(G9&lt;&gt;"",N(F9)*IF(H9="",M9,N(H9)),N(F9)))</f>
        <v/>
      </c>
      <c r="O9" s="13">
        <f>IF(B9="","",IF(AND(L9&lt;&gt;"",L9&lt;=TODAY()),0,N9/U9))</f>
        <v/>
      </c>
      <c r="P9" s="13">
        <f>IF(B9="","",O9*12)</f>
        <v/>
      </c>
      <c r="Q9" s="27">
        <f>IF(OR(B9="",J9=""),"",IF(AND(L9&lt;&gt;"",IF(J9&gt;=TODAY(),J9,IF(EDATE(J9,INT(DATEDIF(J9,TODAY(),"m")/U9)*U9)&gt;=TODAY(),EDATE(J9,INT(DATEDIF(J9,TODAY(),"m")/U9)*U9),EDATE(J9,INT(DATEDIF(J9,TODAY(),"m")/U9)*U9+U9)))&gt;=L9),"",IF(J9&gt;=TODAY(),J9,IF(EDATE(J9,INT(DATEDIF(J9,TODAY(),"m")/U9)*U9)&gt;=TODAY(),EDATE(J9,INT(DATEDIF(J9,TODAY(),"m")/U9)*U9),EDATE(J9,INT(DATEDIF(J9,TODAY(),"m")/U9)*U9+U9)))))</f>
        <v/>
      </c>
      <c r="R9" s="27">
        <f>IF(Q9="","",Q9-N(K9))</f>
        <v/>
      </c>
      <c r="S9" s="17">
        <f>IF(OR(B9="",G9="",H9="",AND(L9&lt;&gt;"",L9&lt;=TODAY())),"",MAX(0,N(H9)-N(M9)))</f>
        <v/>
      </c>
      <c r="T9" s="14">
        <f>IF(B9="","",IF(AND(L9&lt;&gt;"",L9&lt;=TODAY()),"Cancelled",IF(L9&lt;&gt;"","Ends "&amp;DAY(L9)&amp;" "&amp;CHOOSE(MONTH(L9),"Jan","Feb","Mar","Apr","May","Jun","Jul","Aug","Sep","Oct","Nov","Dec"),IF(AND(Q9&lt;&gt;"",W9&lt;&gt;"",W9&lt;Q9),"Card expires",IF(AND(Q9&lt;&gt;"",E9&lt;&gt;"Monthly",N(K9)&gt;0,R9&gt;=TODAY(),R9-TODAY()&lt;=N(Settings!$C$5)),"Cancel by "&amp;DAY(R9)&amp;" "&amp;CHOOSE(MONTH(R9),"Jan","Feb","Mar","Apr","May","Jun","Jul","Aug","Sep","Oct","Nov","Dec"),IF(AND(Q9&lt;&gt;"",E9&lt;&gt;"Monthly",Q9-TODAY()&lt;=N(Settings!$C$5)),"Renews "&amp;DAY(Q9)&amp;" "&amp;CHOOSE(MONTH(Q9),"Jan","Feb","Mar","Apr","May","Jun","Jul","Aug","Sep","Oct","Nov","Dec"),IF(N(S9)&gt;0,S9&amp;IF(S9=1," unused seat"," unused seats"),"Active")))))))</f>
        <v/>
      </c>
      <c r="U9" s="1">
        <f>IF(E9="Quarterly",3,IF(E9="Yearly",12,1))</f>
        <v/>
      </c>
      <c r="V9">
        <f>IF(Q9="","",Q9+ROW()/10000000)</f>
        <v/>
      </c>
      <c r="W9">
        <f>IFERROR(IF(INDEX(Cards!$D$6:$D$25,MATCH(I9,Cards!$B$6:$B$25,0))="","",INDEX(Cards!$D$6:$D$25,MATCH(I9,Cards!$B$6:$B$25,0))),"")</f>
        <v/>
      </c>
      <c r="X9">
        <f>IF(OR(T9="",T9="Active",T9="Cancelled"),"",ROW())</f>
        <v/>
      </c>
      <c r="Y9">
        <f>IF(N(S9)=0,0,S9*N(F9)*12/U9)</f>
        <v/>
      </c>
    </row>
    <row r="10">
      <c r="A10" s="1" t="n"/>
      <c r="B10" s="20" t="inlineStr">
        <is>
          <t>Stock photos</t>
        </is>
      </c>
      <c r="C10" s="21" t="inlineStr">
        <is>
          <t>Design</t>
        </is>
      </c>
      <c r="D10" s="21" t="inlineStr">
        <is>
          <t>Chloe</t>
        </is>
      </c>
      <c r="E10" s="22" t="inlineStr">
        <is>
          <t>Monthly</t>
        </is>
      </c>
      <c r="F10" s="23" t="n">
        <v>29</v>
      </c>
      <c r="G10" s="22" t="n"/>
      <c r="H10" s="24" t="n"/>
      <c r="I10" s="21" t="inlineStr">
        <is>
          <t>Business card A</t>
        </is>
      </c>
      <c r="J10" s="25" t="n">
        <v>46303</v>
      </c>
      <c r="K10" s="24" t="n"/>
      <c r="L10" s="25" t="n"/>
      <c r="M10" s="26">
        <f>IF(B10="","",SUMIFS(Access!$G$6:$G$405,Access!$C$6:$C$405,B10))</f>
        <v/>
      </c>
      <c r="N10" s="13">
        <f>IF(B10="","",IF(G10&lt;&gt;"",N(F10)*IF(H10="",M10,N(H10)),N(F10)))</f>
        <v/>
      </c>
      <c r="O10" s="13">
        <f>IF(B10="","",IF(AND(L10&lt;&gt;"",L10&lt;=TODAY()),0,N10/U10))</f>
        <v/>
      </c>
      <c r="P10" s="13">
        <f>IF(B10="","",O10*12)</f>
        <v/>
      </c>
      <c r="Q10" s="27">
        <f>IF(OR(B10="",J10=""),"",IF(AND(L10&lt;&gt;"",IF(J10&gt;=TODAY(),J10,IF(EDATE(J10,INT(DATEDIF(J10,TODAY(),"m")/U10)*U10)&gt;=TODAY(),EDATE(J10,INT(DATEDIF(J10,TODAY(),"m")/U10)*U10),EDATE(J10,INT(DATEDIF(J10,TODAY(),"m")/U10)*U10+U10)))&gt;=L10),"",IF(J10&gt;=TODAY(),J10,IF(EDATE(J10,INT(DATEDIF(J10,TODAY(),"m")/U10)*U10)&gt;=TODAY(),EDATE(J10,INT(DATEDIF(J10,TODAY(),"m")/U10)*U10),EDATE(J10,INT(DATEDIF(J10,TODAY(),"m")/U10)*U10+U10)))))</f>
        <v/>
      </c>
      <c r="R10" s="27">
        <f>IF(Q10="","",Q10-N(K10))</f>
        <v/>
      </c>
      <c r="S10" s="17">
        <f>IF(OR(B10="",G10="",H10="",AND(L10&lt;&gt;"",L10&lt;=TODAY())),"",MAX(0,N(H10)-N(M10)))</f>
        <v/>
      </c>
      <c r="T10" s="14">
        <f>IF(B10="","",IF(AND(L10&lt;&gt;"",L10&lt;=TODAY()),"Cancelled",IF(L10&lt;&gt;"","Ends "&amp;DAY(L10)&amp;" "&amp;CHOOSE(MONTH(L10),"Jan","Feb","Mar","Apr","May","Jun","Jul","Aug","Sep","Oct","Nov","Dec"),IF(AND(Q10&lt;&gt;"",W10&lt;&gt;"",W10&lt;Q10),"Card expires",IF(AND(Q10&lt;&gt;"",E10&lt;&gt;"Monthly",N(K10)&gt;0,R10&gt;=TODAY(),R10-TODAY()&lt;=N(Settings!$C$5)),"Cancel by "&amp;DAY(R10)&amp;" "&amp;CHOOSE(MONTH(R10),"Jan","Feb","Mar","Apr","May","Jun","Jul","Aug","Sep","Oct","Nov","Dec"),IF(AND(Q10&lt;&gt;"",E10&lt;&gt;"Monthly",Q10-TODAY()&lt;=N(Settings!$C$5)),"Renews "&amp;DAY(Q10)&amp;" "&amp;CHOOSE(MONTH(Q10),"Jan","Feb","Mar","Apr","May","Jun","Jul","Aug","Sep","Oct","Nov","Dec"),IF(N(S10)&gt;0,S10&amp;IF(S10=1," unused seat"," unused seats"),"Active")))))))</f>
        <v/>
      </c>
      <c r="U10" s="1">
        <f>IF(E10="Quarterly",3,IF(E10="Yearly",12,1))</f>
        <v/>
      </c>
      <c r="V10">
        <f>IF(Q10="","",Q10+ROW()/10000000)</f>
        <v/>
      </c>
      <c r="W10">
        <f>IFERROR(IF(INDEX(Cards!$D$6:$D$25,MATCH(I10,Cards!$B$6:$B$25,0))="","",INDEX(Cards!$D$6:$D$25,MATCH(I10,Cards!$B$6:$B$25,0))),"")</f>
        <v/>
      </c>
      <c r="X10">
        <f>IF(OR(T10="",T10="Active",T10="Cancelled"),"",ROW())</f>
        <v/>
      </c>
      <c r="Y10">
        <f>IF(N(S10)=0,0,S10*N(F10)*12/U10)</f>
        <v/>
      </c>
    </row>
    <row r="11">
      <c r="A11" s="1" t="n"/>
      <c r="B11" s="20" t="inlineStr">
        <is>
          <t>Accounting</t>
        </is>
      </c>
      <c r="C11" s="21" t="inlineStr">
        <is>
          <t>Finance</t>
        </is>
      </c>
      <c r="D11" s="21" t="inlineStr">
        <is>
          <t>Ana</t>
        </is>
      </c>
      <c r="E11" s="22" t="inlineStr">
        <is>
          <t>Monthly</t>
        </is>
      </c>
      <c r="F11" s="23" t="n">
        <v>55</v>
      </c>
      <c r="G11" s="22" t="n"/>
      <c r="H11" s="24" t="n"/>
      <c r="I11" s="21" t="inlineStr">
        <is>
          <t>Business card A</t>
        </is>
      </c>
      <c r="J11" s="25" t="n">
        <v>46296</v>
      </c>
      <c r="K11" s="24" t="n"/>
      <c r="L11" s="25" t="n"/>
      <c r="M11" s="26">
        <f>IF(B11="","",SUMIFS(Access!$G$6:$G$405,Access!$C$6:$C$405,B11))</f>
        <v/>
      </c>
      <c r="N11" s="13">
        <f>IF(B11="","",IF(G11&lt;&gt;"",N(F11)*IF(H11="",M11,N(H11)),N(F11)))</f>
        <v/>
      </c>
      <c r="O11" s="13">
        <f>IF(B11="","",IF(AND(L11&lt;&gt;"",L11&lt;=TODAY()),0,N11/U11))</f>
        <v/>
      </c>
      <c r="P11" s="13">
        <f>IF(B11="","",O11*12)</f>
        <v/>
      </c>
      <c r="Q11" s="27">
        <f>IF(OR(B11="",J11=""),"",IF(AND(L11&lt;&gt;"",IF(J11&gt;=TODAY(),J11,IF(EDATE(J11,INT(DATEDIF(J11,TODAY(),"m")/U11)*U11)&gt;=TODAY(),EDATE(J11,INT(DATEDIF(J11,TODAY(),"m")/U11)*U11),EDATE(J11,INT(DATEDIF(J11,TODAY(),"m")/U11)*U11+U11)))&gt;=L11),"",IF(J11&gt;=TODAY(),J11,IF(EDATE(J11,INT(DATEDIF(J11,TODAY(),"m")/U11)*U11)&gt;=TODAY(),EDATE(J11,INT(DATEDIF(J11,TODAY(),"m")/U11)*U11),EDATE(J11,INT(DATEDIF(J11,TODAY(),"m")/U11)*U11+U11)))))</f>
        <v/>
      </c>
      <c r="R11" s="27">
        <f>IF(Q11="","",Q11-N(K11))</f>
        <v/>
      </c>
      <c r="S11" s="17">
        <f>IF(OR(B11="",G11="",H11="",AND(L11&lt;&gt;"",L11&lt;=TODAY())),"",MAX(0,N(H11)-N(M11)))</f>
        <v/>
      </c>
      <c r="T11" s="14">
        <f>IF(B11="","",IF(AND(L11&lt;&gt;"",L11&lt;=TODAY()),"Cancelled",IF(L11&lt;&gt;"","Ends "&amp;DAY(L11)&amp;" "&amp;CHOOSE(MONTH(L11),"Jan","Feb","Mar","Apr","May","Jun","Jul","Aug","Sep","Oct","Nov","Dec"),IF(AND(Q11&lt;&gt;"",W11&lt;&gt;"",W11&lt;Q11),"Card expires",IF(AND(Q11&lt;&gt;"",E11&lt;&gt;"Monthly",N(K11)&gt;0,R11&gt;=TODAY(),R11-TODAY()&lt;=N(Settings!$C$5)),"Cancel by "&amp;DAY(R11)&amp;" "&amp;CHOOSE(MONTH(R11),"Jan","Feb","Mar","Apr","May","Jun","Jul","Aug","Sep","Oct","Nov","Dec"),IF(AND(Q11&lt;&gt;"",E11&lt;&gt;"Monthly",Q11-TODAY()&lt;=N(Settings!$C$5)),"Renews "&amp;DAY(Q11)&amp;" "&amp;CHOOSE(MONTH(Q11),"Jan","Feb","Mar","Apr","May","Jun","Jul","Aug","Sep","Oct","Nov","Dec"),IF(N(S11)&gt;0,S11&amp;IF(S11=1," unused seat"," unused seats"),"Active")))))))</f>
        <v/>
      </c>
      <c r="U11" s="1">
        <f>IF(E11="Quarterly",3,IF(E11="Yearly",12,1))</f>
        <v/>
      </c>
      <c r="V11">
        <f>IF(Q11="","",Q11+ROW()/10000000)</f>
        <v/>
      </c>
      <c r="W11">
        <f>IFERROR(IF(INDEX(Cards!$D$6:$D$25,MATCH(I11,Cards!$B$6:$B$25,0))="","",INDEX(Cards!$D$6:$D$25,MATCH(I11,Cards!$B$6:$B$25,0))),"")</f>
        <v/>
      </c>
      <c r="X11">
        <f>IF(OR(T11="",T11="Active",T11="Cancelled"),"",ROW())</f>
        <v/>
      </c>
      <c r="Y11">
        <f>IF(N(S11)=0,0,S11*N(F11)*12/U11)</f>
        <v/>
      </c>
    </row>
    <row r="12">
      <c r="A12" s="1" t="n"/>
      <c r="B12" s="20" t="inlineStr">
        <is>
          <t>Website builder</t>
        </is>
      </c>
      <c r="C12" s="21" t="inlineStr">
        <is>
          <t>Website</t>
        </is>
      </c>
      <c r="D12" s="21" t="inlineStr">
        <is>
          <t>Ella</t>
        </is>
      </c>
      <c r="E12" s="22" t="inlineStr">
        <is>
          <t>Yearly</t>
        </is>
      </c>
      <c r="F12" s="23" t="n">
        <v>276</v>
      </c>
      <c r="G12" s="22" t="n"/>
      <c r="H12" s="24" t="n"/>
      <c r="I12" s="21" t="inlineStr">
        <is>
          <t>Debit card C</t>
        </is>
      </c>
      <c r="J12" s="25" t="n">
        <v>46461</v>
      </c>
      <c r="K12" s="24" t="n">
        <v>30</v>
      </c>
      <c r="L12" s="25" t="n"/>
      <c r="M12" s="26">
        <f>IF(B12="","",SUMIFS(Access!$G$6:$G$405,Access!$C$6:$C$405,B12))</f>
        <v/>
      </c>
      <c r="N12" s="13">
        <f>IF(B12="","",IF(G12&lt;&gt;"",N(F12)*IF(H12="",M12,N(H12)),N(F12)))</f>
        <v/>
      </c>
      <c r="O12" s="13">
        <f>IF(B12="","",IF(AND(L12&lt;&gt;"",L12&lt;=TODAY()),0,N12/U12))</f>
        <v/>
      </c>
      <c r="P12" s="13">
        <f>IF(B12="","",O12*12)</f>
        <v/>
      </c>
      <c r="Q12" s="27">
        <f>IF(OR(B12="",J12=""),"",IF(AND(L12&lt;&gt;"",IF(J12&gt;=TODAY(),J12,IF(EDATE(J12,INT(DATEDIF(J12,TODAY(),"m")/U12)*U12)&gt;=TODAY(),EDATE(J12,INT(DATEDIF(J12,TODAY(),"m")/U12)*U12),EDATE(J12,INT(DATEDIF(J12,TODAY(),"m")/U12)*U12+U12)))&gt;=L12),"",IF(J12&gt;=TODAY(),J12,IF(EDATE(J12,INT(DATEDIF(J12,TODAY(),"m")/U12)*U12)&gt;=TODAY(),EDATE(J12,INT(DATEDIF(J12,TODAY(),"m")/U12)*U12),EDATE(J12,INT(DATEDIF(J12,TODAY(),"m")/U12)*U12+U12)))))</f>
        <v/>
      </c>
      <c r="R12" s="27">
        <f>IF(Q12="","",Q12-N(K12))</f>
        <v/>
      </c>
      <c r="S12" s="17">
        <f>IF(OR(B12="",G12="",H12="",AND(L12&lt;&gt;"",L12&lt;=TODAY())),"",MAX(0,N(H12)-N(M12)))</f>
        <v/>
      </c>
      <c r="T12" s="14">
        <f>IF(B12="","",IF(AND(L12&lt;&gt;"",L12&lt;=TODAY()),"Cancelled",IF(L12&lt;&gt;"","Ends "&amp;DAY(L12)&amp;" "&amp;CHOOSE(MONTH(L12),"Jan","Feb","Mar","Apr","May","Jun","Jul","Aug","Sep","Oct","Nov","Dec"),IF(AND(Q12&lt;&gt;"",W12&lt;&gt;"",W12&lt;Q12),"Card expires",IF(AND(Q12&lt;&gt;"",E12&lt;&gt;"Monthly",N(K12)&gt;0,R12&gt;=TODAY(),R12-TODAY()&lt;=N(Settings!$C$5)),"Cancel by "&amp;DAY(R12)&amp;" "&amp;CHOOSE(MONTH(R12),"Jan","Feb","Mar","Apr","May","Jun","Jul","Aug","Sep","Oct","Nov","Dec"),IF(AND(Q12&lt;&gt;"",E12&lt;&gt;"Monthly",Q12-TODAY()&lt;=N(Settings!$C$5)),"Renews "&amp;DAY(Q12)&amp;" "&amp;CHOOSE(MONTH(Q12),"Jan","Feb","Mar","Apr","May","Jun","Jul","Aug","Sep","Oct","Nov","Dec"),IF(N(S12)&gt;0,S12&amp;IF(S12=1," unused seat"," unused seats"),"Active")))))))</f>
        <v/>
      </c>
      <c r="U12" s="1">
        <f>IF(E12="Quarterly",3,IF(E12="Yearly",12,1))</f>
        <v/>
      </c>
      <c r="V12">
        <f>IF(Q12="","",Q12+ROW()/10000000)</f>
        <v/>
      </c>
      <c r="W12">
        <f>IFERROR(IF(INDEX(Cards!$D$6:$D$25,MATCH(I12,Cards!$B$6:$B$25,0))="","",INDEX(Cards!$D$6:$D$25,MATCH(I12,Cards!$B$6:$B$25,0))),"")</f>
        <v/>
      </c>
      <c r="X12">
        <f>IF(OR(T12="",T12="Active",T12="Cancelled"),"",ROW())</f>
        <v/>
      </c>
      <c r="Y12">
        <f>IF(N(S12)=0,0,S12*N(F12)*12/U12)</f>
        <v/>
      </c>
    </row>
    <row r="13">
      <c r="A13" s="1" t="n"/>
      <c r="B13" s="20" t="inlineStr">
        <is>
          <t>Domain names</t>
        </is>
      </c>
      <c r="C13" s="21" t="inlineStr">
        <is>
          <t>Website</t>
        </is>
      </c>
      <c r="D13" s="21" t="inlineStr">
        <is>
          <t>Dev</t>
        </is>
      </c>
      <c r="E13" s="22" t="inlineStr">
        <is>
          <t>Yearly</t>
        </is>
      </c>
      <c r="F13" s="23" t="n">
        <v>38</v>
      </c>
      <c r="G13" s="22" t="n"/>
      <c r="H13" s="24" t="n"/>
      <c r="I13" s="21" t="inlineStr">
        <is>
          <t>Debit card C</t>
        </is>
      </c>
      <c r="J13" s="25" t="n">
        <v>46358</v>
      </c>
      <c r="K13" s="24" t="n"/>
      <c r="L13" s="25" t="n"/>
      <c r="M13" s="26">
        <f>IF(B13="","",SUMIFS(Access!$G$6:$G$405,Access!$C$6:$C$405,B13))</f>
        <v/>
      </c>
      <c r="N13" s="13">
        <f>IF(B13="","",IF(G13&lt;&gt;"",N(F13)*IF(H13="",M13,N(H13)),N(F13)))</f>
        <v/>
      </c>
      <c r="O13" s="13">
        <f>IF(B13="","",IF(AND(L13&lt;&gt;"",L13&lt;=TODAY()),0,N13/U13))</f>
        <v/>
      </c>
      <c r="P13" s="13">
        <f>IF(B13="","",O13*12)</f>
        <v/>
      </c>
      <c r="Q13" s="27">
        <f>IF(OR(B13="",J13=""),"",IF(AND(L13&lt;&gt;"",IF(J13&gt;=TODAY(),J13,IF(EDATE(J13,INT(DATEDIF(J13,TODAY(),"m")/U13)*U13)&gt;=TODAY(),EDATE(J13,INT(DATEDIF(J13,TODAY(),"m")/U13)*U13),EDATE(J13,INT(DATEDIF(J13,TODAY(),"m")/U13)*U13+U13)))&gt;=L13),"",IF(J13&gt;=TODAY(),J13,IF(EDATE(J13,INT(DATEDIF(J13,TODAY(),"m")/U13)*U13)&gt;=TODAY(),EDATE(J13,INT(DATEDIF(J13,TODAY(),"m")/U13)*U13),EDATE(J13,INT(DATEDIF(J13,TODAY(),"m")/U13)*U13+U13)))))</f>
        <v/>
      </c>
      <c r="R13" s="27">
        <f>IF(Q13="","",Q13-N(K13))</f>
        <v/>
      </c>
      <c r="S13" s="17">
        <f>IF(OR(B13="",G13="",H13="",AND(L13&lt;&gt;"",L13&lt;=TODAY())),"",MAX(0,N(H13)-N(M13)))</f>
        <v/>
      </c>
      <c r="T13" s="14">
        <f>IF(B13="","",IF(AND(L13&lt;&gt;"",L13&lt;=TODAY()),"Cancelled",IF(L13&lt;&gt;"","Ends "&amp;DAY(L13)&amp;" "&amp;CHOOSE(MONTH(L13),"Jan","Feb","Mar","Apr","May","Jun","Jul","Aug","Sep","Oct","Nov","Dec"),IF(AND(Q13&lt;&gt;"",W13&lt;&gt;"",W13&lt;Q13),"Card expires",IF(AND(Q13&lt;&gt;"",E13&lt;&gt;"Monthly",N(K13)&gt;0,R13&gt;=TODAY(),R13-TODAY()&lt;=N(Settings!$C$5)),"Cancel by "&amp;DAY(R13)&amp;" "&amp;CHOOSE(MONTH(R13),"Jan","Feb","Mar","Apr","May","Jun","Jul","Aug","Sep","Oct","Nov","Dec"),IF(AND(Q13&lt;&gt;"",E13&lt;&gt;"Monthly",Q13-TODAY()&lt;=N(Settings!$C$5)),"Renews "&amp;DAY(Q13)&amp;" "&amp;CHOOSE(MONTH(Q13),"Jan","Feb","Mar","Apr","May","Jun","Jul","Aug","Sep","Oct","Nov","Dec"),IF(N(S13)&gt;0,S13&amp;IF(S13=1," unused seat"," unused seats"),"Active")))))))</f>
        <v/>
      </c>
      <c r="U13" s="1">
        <f>IF(E13="Quarterly",3,IF(E13="Yearly",12,1))</f>
        <v/>
      </c>
      <c r="V13">
        <f>IF(Q13="","",Q13+ROW()/10000000)</f>
        <v/>
      </c>
      <c r="W13">
        <f>IFERROR(IF(INDEX(Cards!$D$6:$D$25,MATCH(I13,Cards!$B$6:$B$25,0))="","",INDEX(Cards!$D$6:$D$25,MATCH(I13,Cards!$B$6:$B$25,0))),"")</f>
        <v/>
      </c>
      <c r="X13">
        <f>IF(OR(T13="",T13="Active",T13="Cancelled"),"",ROW())</f>
        <v/>
      </c>
      <c r="Y13">
        <f>IF(N(S13)=0,0,S13*N(F13)*12/U13)</f>
        <v/>
      </c>
    </row>
    <row r="14">
      <c r="A14" s="1" t="n"/>
      <c r="B14" s="20" t="inlineStr">
        <is>
          <t>CRM</t>
        </is>
      </c>
      <c r="C14" s="21" t="inlineStr">
        <is>
          <t>Sales</t>
        </is>
      </c>
      <c r="D14" s="21" t="inlineStr">
        <is>
          <t>Finn</t>
        </is>
      </c>
      <c r="E14" s="22" t="inlineStr">
        <is>
          <t>Monthly</t>
        </is>
      </c>
      <c r="F14" s="23" t="n">
        <v>49</v>
      </c>
      <c r="G14" s="22" t="inlineStr">
        <is>
          <t>x</t>
        </is>
      </c>
      <c r="H14" s="24" t="n">
        <v>3</v>
      </c>
      <c r="I14" s="21" t="inlineStr">
        <is>
          <t>Business card A</t>
        </is>
      </c>
      <c r="J14" s="25" t="n">
        <v>46310</v>
      </c>
      <c r="K14" s="24" t="n"/>
      <c r="L14" s="25" t="n"/>
      <c r="M14" s="26">
        <f>IF(B14="","",SUMIFS(Access!$G$6:$G$405,Access!$C$6:$C$405,B14))</f>
        <v/>
      </c>
      <c r="N14" s="13">
        <f>IF(B14="","",IF(G14&lt;&gt;"",N(F14)*IF(H14="",M14,N(H14)),N(F14)))</f>
        <v/>
      </c>
      <c r="O14" s="13">
        <f>IF(B14="","",IF(AND(L14&lt;&gt;"",L14&lt;=TODAY()),0,N14/U14))</f>
        <v/>
      </c>
      <c r="P14" s="13">
        <f>IF(B14="","",O14*12)</f>
        <v/>
      </c>
      <c r="Q14" s="27">
        <f>IF(OR(B14="",J14=""),"",IF(AND(L14&lt;&gt;"",IF(J14&gt;=TODAY(),J14,IF(EDATE(J14,INT(DATEDIF(J14,TODAY(),"m")/U14)*U14)&gt;=TODAY(),EDATE(J14,INT(DATEDIF(J14,TODAY(),"m")/U14)*U14),EDATE(J14,INT(DATEDIF(J14,TODAY(),"m")/U14)*U14+U14)))&gt;=L14),"",IF(J14&gt;=TODAY(),J14,IF(EDATE(J14,INT(DATEDIF(J14,TODAY(),"m")/U14)*U14)&gt;=TODAY(),EDATE(J14,INT(DATEDIF(J14,TODAY(),"m")/U14)*U14),EDATE(J14,INT(DATEDIF(J14,TODAY(),"m")/U14)*U14+U14)))))</f>
        <v/>
      </c>
      <c r="R14" s="27">
        <f>IF(Q14="","",Q14-N(K14))</f>
        <v/>
      </c>
      <c r="S14" s="17">
        <f>IF(OR(B14="",G14="",H14="",AND(L14&lt;&gt;"",L14&lt;=TODAY())),"",MAX(0,N(H14)-N(M14)))</f>
        <v/>
      </c>
      <c r="T14" s="14">
        <f>IF(B14="","",IF(AND(L14&lt;&gt;"",L14&lt;=TODAY()),"Cancelled",IF(L14&lt;&gt;"","Ends "&amp;DAY(L14)&amp;" "&amp;CHOOSE(MONTH(L14),"Jan","Feb","Mar","Apr","May","Jun","Jul","Aug","Sep","Oct","Nov","Dec"),IF(AND(Q14&lt;&gt;"",W14&lt;&gt;"",W14&lt;Q14),"Card expires",IF(AND(Q14&lt;&gt;"",E14&lt;&gt;"Monthly",N(K14)&gt;0,R14&gt;=TODAY(),R14-TODAY()&lt;=N(Settings!$C$5)),"Cancel by "&amp;DAY(R14)&amp;" "&amp;CHOOSE(MONTH(R14),"Jan","Feb","Mar","Apr","May","Jun","Jul","Aug","Sep","Oct","Nov","Dec"),IF(AND(Q14&lt;&gt;"",E14&lt;&gt;"Monthly",Q14-TODAY()&lt;=N(Settings!$C$5)),"Renews "&amp;DAY(Q14)&amp;" "&amp;CHOOSE(MONTH(Q14),"Jan","Feb","Mar","Apr","May","Jun","Jul","Aug","Sep","Oct","Nov","Dec"),IF(N(S14)&gt;0,S14&amp;IF(S14=1," unused seat"," unused seats"),"Active")))))))</f>
        <v/>
      </c>
      <c r="U14" s="1">
        <f>IF(E14="Quarterly",3,IF(E14="Yearly",12,1))</f>
        <v/>
      </c>
      <c r="V14">
        <f>IF(Q14="","",Q14+ROW()/10000000)</f>
        <v/>
      </c>
      <c r="W14">
        <f>IFERROR(IF(INDEX(Cards!$D$6:$D$25,MATCH(I14,Cards!$B$6:$B$25,0))="","",INDEX(Cards!$D$6:$D$25,MATCH(I14,Cards!$B$6:$B$25,0))),"")</f>
        <v/>
      </c>
      <c r="X14">
        <f>IF(OR(T14="",T14="Active",T14="Cancelled"),"",ROW())</f>
        <v/>
      </c>
      <c r="Y14">
        <f>IF(N(S14)=0,0,S14*N(F14)*12/U14)</f>
        <v/>
      </c>
    </row>
    <row r="15">
      <c r="A15" s="1" t="n"/>
      <c r="B15" s="20" t="inlineStr">
        <is>
          <t>Newsletter</t>
        </is>
      </c>
      <c r="C15" s="21" t="inlineStr">
        <is>
          <t>Marketing</t>
        </is>
      </c>
      <c r="D15" s="21" t="inlineStr">
        <is>
          <t>Ella</t>
        </is>
      </c>
      <c r="E15" s="22" t="inlineStr">
        <is>
          <t>Monthly</t>
        </is>
      </c>
      <c r="F15" s="23" t="n">
        <v>45</v>
      </c>
      <c r="G15" s="22" t="n"/>
      <c r="H15" s="24" t="n"/>
      <c r="I15" s="21" t="inlineStr">
        <is>
          <t>Business card A</t>
        </is>
      </c>
      <c r="J15" s="25" t="n">
        <v>46304</v>
      </c>
      <c r="K15" s="24" t="n"/>
      <c r="L15" s="25" t="n"/>
      <c r="M15" s="26">
        <f>IF(B15="","",SUMIFS(Access!$G$6:$G$405,Access!$C$6:$C$405,B15))</f>
        <v/>
      </c>
      <c r="N15" s="13">
        <f>IF(B15="","",IF(G15&lt;&gt;"",N(F15)*IF(H15="",M15,N(H15)),N(F15)))</f>
        <v/>
      </c>
      <c r="O15" s="13">
        <f>IF(B15="","",IF(AND(L15&lt;&gt;"",L15&lt;=TODAY()),0,N15/U15))</f>
        <v/>
      </c>
      <c r="P15" s="13">
        <f>IF(B15="","",O15*12)</f>
        <v/>
      </c>
      <c r="Q15" s="27">
        <f>IF(OR(B15="",J15=""),"",IF(AND(L15&lt;&gt;"",IF(J15&gt;=TODAY(),J15,IF(EDATE(J15,INT(DATEDIF(J15,TODAY(),"m")/U15)*U15)&gt;=TODAY(),EDATE(J15,INT(DATEDIF(J15,TODAY(),"m")/U15)*U15),EDATE(J15,INT(DATEDIF(J15,TODAY(),"m")/U15)*U15+U15)))&gt;=L15),"",IF(J15&gt;=TODAY(),J15,IF(EDATE(J15,INT(DATEDIF(J15,TODAY(),"m")/U15)*U15)&gt;=TODAY(),EDATE(J15,INT(DATEDIF(J15,TODAY(),"m")/U15)*U15),EDATE(J15,INT(DATEDIF(J15,TODAY(),"m")/U15)*U15+U15)))))</f>
        <v/>
      </c>
      <c r="R15" s="27">
        <f>IF(Q15="","",Q15-N(K15))</f>
        <v/>
      </c>
      <c r="S15" s="17">
        <f>IF(OR(B15="",G15="",H15="",AND(L15&lt;&gt;"",L15&lt;=TODAY())),"",MAX(0,N(H15)-N(M15)))</f>
        <v/>
      </c>
      <c r="T15" s="14">
        <f>IF(B15="","",IF(AND(L15&lt;&gt;"",L15&lt;=TODAY()),"Cancelled",IF(L15&lt;&gt;"","Ends "&amp;DAY(L15)&amp;" "&amp;CHOOSE(MONTH(L15),"Jan","Feb","Mar","Apr","May","Jun","Jul","Aug","Sep","Oct","Nov","Dec"),IF(AND(Q15&lt;&gt;"",W15&lt;&gt;"",W15&lt;Q15),"Card expires",IF(AND(Q15&lt;&gt;"",E15&lt;&gt;"Monthly",N(K15)&gt;0,R15&gt;=TODAY(),R15-TODAY()&lt;=N(Settings!$C$5)),"Cancel by "&amp;DAY(R15)&amp;" "&amp;CHOOSE(MONTH(R15),"Jan","Feb","Mar","Apr","May","Jun","Jul","Aug","Sep","Oct","Nov","Dec"),IF(AND(Q15&lt;&gt;"",E15&lt;&gt;"Monthly",Q15-TODAY()&lt;=N(Settings!$C$5)),"Renews "&amp;DAY(Q15)&amp;" "&amp;CHOOSE(MONTH(Q15),"Jan","Feb","Mar","Apr","May","Jun","Jul","Aug","Sep","Oct","Nov","Dec"),IF(N(S15)&gt;0,S15&amp;IF(S15=1," unused seat"," unused seats"),"Active")))))))</f>
        <v/>
      </c>
      <c r="U15" s="1">
        <f>IF(E15="Quarterly",3,IF(E15="Yearly",12,1))</f>
        <v/>
      </c>
      <c r="V15">
        <f>IF(Q15="","",Q15+ROW()/10000000)</f>
        <v/>
      </c>
      <c r="W15">
        <f>IFERROR(IF(INDEX(Cards!$D$6:$D$25,MATCH(I15,Cards!$B$6:$B$25,0))="","",INDEX(Cards!$D$6:$D$25,MATCH(I15,Cards!$B$6:$B$25,0))),"")</f>
        <v/>
      </c>
      <c r="X15">
        <f>IF(OR(T15="",T15="Active",T15="Cancelled"),"",ROW())</f>
        <v/>
      </c>
      <c r="Y15">
        <f>IF(N(S15)=0,0,S15*N(F15)*12/U15)</f>
        <v/>
      </c>
    </row>
    <row r="16">
      <c r="A16" s="1" t="n"/>
      <c r="B16" s="20" t="inlineStr">
        <is>
          <t>Project board</t>
        </is>
      </c>
      <c r="C16" s="21" t="inlineStr">
        <is>
          <t>Operations</t>
        </is>
      </c>
      <c r="D16" s="21" t="inlineStr">
        <is>
          <t>Grace</t>
        </is>
      </c>
      <c r="E16" s="22" t="inlineStr">
        <is>
          <t>Monthly</t>
        </is>
      </c>
      <c r="F16" s="23" t="n">
        <v>10</v>
      </c>
      <c r="G16" s="22" t="inlineStr">
        <is>
          <t>x</t>
        </is>
      </c>
      <c r="H16" s="24" t="n">
        <v>8</v>
      </c>
      <c r="I16" s="21" t="inlineStr">
        <is>
          <t>Business card A</t>
        </is>
      </c>
      <c r="J16" s="25" t="n">
        <v>46313</v>
      </c>
      <c r="K16" s="24" t="n"/>
      <c r="L16" s="25" t="n"/>
      <c r="M16" s="26">
        <f>IF(B16="","",SUMIFS(Access!$G$6:$G$405,Access!$C$6:$C$405,B16))</f>
        <v/>
      </c>
      <c r="N16" s="13">
        <f>IF(B16="","",IF(G16&lt;&gt;"",N(F16)*IF(H16="",M16,N(H16)),N(F16)))</f>
        <v/>
      </c>
      <c r="O16" s="13">
        <f>IF(B16="","",IF(AND(L16&lt;&gt;"",L16&lt;=TODAY()),0,N16/U16))</f>
        <v/>
      </c>
      <c r="P16" s="13">
        <f>IF(B16="","",O16*12)</f>
        <v/>
      </c>
      <c r="Q16" s="27">
        <f>IF(OR(B16="",J16=""),"",IF(AND(L16&lt;&gt;"",IF(J16&gt;=TODAY(),J16,IF(EDATE(J16,INT(DATEDIF(J16,TODAY(),"m")/U16)*U16)&gt;=TODAY(),EDATE(J16,INT(DATEDIF(J16,TODAY(),"m")/U16)*U16),EDATE(J16,INT(DATEDIF(J16,TODAY(),"m")/U16)*U16+U16)))&gt;=L16),"",IF(J16&gt;=TODAY(),J16,IF(EDATE(J16,INT(DATEDIF(J16,TODAY(),"m")/U16)*U16)&gt;=TODAY(),EDATE(J16,INT(DATEDIF(J16,TODAY(),"m")/U16)*U16),EDATE(J16,INT(DATEDIF(J16,TODAY(),"m")/U16)*U16+U16)))))</f>
        <v/>
      </c>
      <c r="R16" s="27">
        <f>IF(Q16="","",Q16-N(K16))</f>
        <v/>
      </c>
      <c r="S16" s="17">
        <f>IF(OR(B16="",G16="",H16="",AND(L16&lt;&gt;"",L16&lt;=TODAY())),"",MAX(0,N(H16)-N(M16)))</f>
        <v/>
      </c>
      <c r="T16" s="14">
        <f>IF(B16="","",IF(AND(L16&lt;&gt;"",L16&lt;=TODAY()),"Cancelled",IF(L16&lt;&gt;"","Ends "&amp;DAY(L16)&amp;" "&amp;CHOOSE(MONTH(L16),"Jan","Feb","Mar","Apr","May","Jun","Jul","Aug","Sep","Oct","Nov","Dec"),IF(AND(Q16&lt;&gt;"",W16&lt;&gt;"",W16&lt;Q16),"Card expires",IF(AND(Q16&lt;&gt;"",E16&lt;&gt;"Monthly",N(K16)&gt;0,R16&gt;=TODAY(),R16-TODAY()&lt;=N(Settings!$C$5)),"Cancel by "&amp;DAY(R16)&amp;" "&amp;CHOOSE(MONTH(R16),"Jan","Feb","Mar","Apr","May","Jun","Jul","Aug","Sep","Oct","Nov","Dec"),IF(AND(Q16&lt;&gt;"",E16&lt;&gt;"Monthly",Q16-TODAY()&lt;=N(Settings!$C$5)),"Renews "&amp;DAY(Q16)&amp;" "&amp;CHOOSE(MONTH(Q16),"Jan","Feb","Mar","Apr","May","Jun","Jul","Aug","Sep","Oct","Nov","Dec"),IF(N(S16)&gt;0,S16&amp;IF(S16=1," unused seat"," unused seats"),"Active")))))))</f>
        <v/>
      </c>
      <c r="U16" s="1">
        <f>IF(E16="Quarterly",3,IF(E16="Yearly",12,1))</f>
        <v/>
      </c>
      <c r="V16">
        <f>IF(Q16="","",Q16+ROW()/10000000)</f>
        <v/>
      </c>
      <c r="W16">
        <f>IFERROR(IF(INDEX(Cards!$D$6:$D$25,MATCH(I16,Cards!$B$6:$B$25,0))="","",INDEX(Cards!$D$6:$D$25,MATCH(I16,Cards!$B$6:$B$25,0))),"")</f>
        <v/>
      </c>
      <c r="X16">
        <f>IF(OR(T16="",T16="Active",T16="Cancelled"),"",ROW())</f>
        <v/>
      </c>
      <c r="Y16">
        <f>IF(N(S16)=0,0,S16*N(F16)*12/U16)</f>
        <v/>
      </c>
    </row>
    <row r="17">
      <c r="A17" s="1" t="n"/>
      <c r="B17" s="20" t="inlineStr">
        <is>
          <t>Password manager</t>
        </is>
      </c>
      <c r="C17" s="21" t="inlineStr">
        <is>
          <t>Security</t>
        </is>
      </c>
      <c r="D17" s="21" t="inlineStr">
        <is>
          <t>Dev</t>
        </is>
      </c>
      <c r="E17" s="22" t="inlineStr">
        <is>
          <t>Yearly</t>
        </is>
      </c>
      <c r="F17" s="23" t="n">
        <v>48</v>
      </c>
      <c r="G17" s="22" t="inlineStr">
        <is>
          <t>x</t>
        </is>
      </c>
      <c r="H17" s="24" t="n">
        <v>8</v>
      </c>
      <c r="I17" s="21" t="inlineStr">
        <is>
          <t>Business card B</t>
        </is>
      </c>
      <c r="J17" s="25" t="n">
        <v>46508</v>
      </c>
      <c r="K17" s="24" t="n"/>
      <c r="L17" s="25" t="n"/>
      <c r="M17" s="26">
        <f>IF(B17="","",SUMIFS(Access!$G$6:$G$405,Access!$C$6:$C$405,B17))</f>
        <v/>
      </c>
      <c r="N17" s="13">
        <f>IF(B17="","",IF(G17&lt;&gt;"",N(F17)*IF(H17="",M17,N(H17)),N(F17)))</f>
        <v/>
      </c>
      <c r="O17" s="13">
        <f>IF(B17="","",IF(AND(L17&lt;&gt;"",L17&lt;=TODAY()),0,N17/U17))</f>
        <v/>
      </c>
      <c r="P17" s="13">
        <f>IF(B17="","",O17*12)</f>
        <v/>
      </c>
      <c r="Q17" s="27">
        <f>IF(OR(B17="",J17=""),"",IF(AND(L17&lt;&gt;"",IF(J17&gt;=TODAY(),J17,IF(EDATE(J17,INT(DATEDIF(J17,TODAY(),"m")/U17)*U17)&gt;=TODAY(),EDATE(J17,INT(DATEDIF(J17,TODAY(),"m")/U17)*U17),EDATE(J17,INT(DATEDIF(J17,TODAY(),"m")/U17)*U17+U17)))&gt;=L17),"",IF(J17&gt;=TODAY(),J17,IF(EDATE(J17,INT(DATEDIF(J17,TODAY(),"m")/U17)*U17)&gt;=TODAY(),EDATE(J17,INT(DATEDIF(J17,TODAY(),"m")/U17)*U17),EDATE(J17,INT(DATEDIF(J17,TODAY(),"m")/U17)*U17+U17)))))</f>
        <v/>
      </c>
      <c r="R17" s="27">
        <f>IF(Q17="","",Q17-N(K17))</f>
        <v/>
      </c>
      <c r="S17" s="17">
        <f>IF(OR(B17="",G17="",H17="",AND(L17&lt;&gt;"",L17&lt;=TODAY())),"",MAX(0,N(H17)-N(M17)))</f>
        <v/>
      </c>
      <c r="T17" s="14">
        <f>IF(B17="","",IF(AND(L17&lt;&gt;"",L17&lt;=TODAY()),"Cancelled",IF(L17&lt;&gt;"","Ends "&amp;DAY(L17)&amp;" "&amp;CHOOSE(MONTH(L17),"Jan","Feb","Mar","Apr","May","Jun","Jul","Aug","Sep","Oct","Nov","Dec"),IF(AND(Q17&lt;&gt;"",W17&lt;&gt;"",W17&lt;Q17),"Card expires",IF(AND(Q17&lt;&gt;"",E17&lt;&gt;"Monthly",N(K17)&gt;0,R17&gt;=TODAY(),R17-TODAY()&lt;=N(Settings!$C$5)),"Cancel by "&amp;DAY(R17)&amp;" "&amp;CHOOSE(MONTH(R17),"Jan","Feb","Mar","Apr","May","Jun","Jul","Aug","Sep","Oct","Nov","Dec"),IF(AND(Q17&lt;&gt;"",E17&lt;&gt;"Monthly",Q17-TODAY()&lt;=N(Settings!$C$5)),"Renews "&amp;DAY(Q17)&amp;" "&amp;CHOOSE(MONTH(Q17),"Jan","Feb","Mar","Apr","May","Jun","Jul","Aug","Sep","Oct","Nov","Dec"),IF(N(S17)&gt;0,S17&amp;IF(S17=1," unused seat"," unused seats"),"Active")))))))</f>
        <v/>
      </c>
      <c r="U17" s="1">
        <f>IF(E17="Quarterly",3,IF(E17="Yearly",12,1))</f>
        <v/>
      </c>
      <c r="V17">
        <f>IF(Q17="","",Q17+ROW()/10000000)</f>
        <v/>
      </c>
      <c r="W17">
        <f>IFERROR(IF(INDEX(Cards!$D$6:$D$25,MATCH(I17,Cards!$B$6:$B$25,0))="","",INDEX(Cards!$D$6:$D$25,MATCH(I17,Cards!$B$6:$B$25,0))),"")</f>
        <v/>
      </c>
      <c r="X17">
        <f>IF(OR(T17="",T17="Active",T17="Cancelled"),"",ROW())</f>
        <v/>
      </c>
      <c r="Y17">
        <f>IF(N(S17)=0,0,S17*N(F17)*12/U17)</f>
        <v/>
      </c>
    </row>
    <row r="18">
      <c r="A18" s="1" t="n"/>
      <c r="B18" s="20" t="inlineStr">
        <is>
          <t>Cloud storage</t>
        </is>
      </c>
      <c r="C18" s="21" t="inlineStr">
        <is>
          <t>Office</t>
        </is>
      </c>
      <c r="D18" s="21" t="inlineStr">
        <is>
          <t>Dev</t>
        </is>
      </c>
      <c r="E18" s="22" t="inlineStr">
        <is>
          <t>Yearly</t>
        </is>
      </c>
      <c r="F18" s="23" t="n">
        <v>120</v>
      </c>
      <c r="G18" s="22" t="n"/>
      <c r="H18" s="24" t="n"/>
      <c r="I18" s="21" t="inlineStr">
        <is>
          <t>Business card A</t>
        </is>
      </c>
      <c r="J18" s="25" t="n">
        <v>46336</v>
      </c>
      <c r="K18" s="24" t="n"/>
      <c r="L18" s="25" t="n"/>
      <c r="M18" s="26">
        <f>IF(B18="","",SUMIFS(Access!$G$6:$G$405,Access!$C$6:$C$405,B18))</f>
        <v/>
      </c>
      <c r="N18" s="13">
        <f>IF(B18="","",IF(G18&lt;&gt;"",N(F18)*IF(H18="",M18,N(H18)),N(F18)))</f>
        <v/>
      </c>
      <c r="O18" s="13">
        <f>IF(B18="","",IF(AND(L18&lt;&gt;"",L18&lt;=TODAY()),0,N18/U18))</f>
        <v/>
      </c>
      <c r="P18" s="13">
        <f>IF(B18="","",O18*12)</f>
        <v/>
      </c>
      <c r="Q18" s="27">
        <f>IF(OR(B18="",J18=""),"",IF(AND(L18&lt;&gt;"",IF(J18&gt;=TODAY(),J18,IF(EDATE(J18,INT(DATEDIF(J18,TODAY(),"m")/U18)*U18)&gt;=TODAY(),EDATE(J18,INT(DATEDIF(J18,TODAY(),"m")/U18)*U18),EDATE(J18,INT(DATEDIF(J18,TODAY(),"m")/U18)*U18+U18)))&gt;=L18),"",IF(J18&gt;=TODAY(),J18,IF(EDATE(J18,INT(DATEDIF(J18,TODAY(),"m")/U18)*U18)&gt;=TODAY(),EDATE(J18,INT(DATEDIF(J18,TODAY(),"m")/U18)*U18),EDATE(J18,INT(DATEDIF(J18,TODAY(),"m")/U18)*U18+U18)))))</f>
        <v/>
      </c>
      <c r="R18" s="27">
        <f>IF(Q18="","",Q18-N(K18))</f>
        <v/>
      </c>
      <c r="S18" s="17">
        <f>IF(OR(B18="",G18="",H18="",AND(L18&lt;&gt;"",L18&lt;=TODAY())),"",MAX(0,N(H18)-N(M18)))</f>
        <v/>
      </c>
      <c r="T18" s="14">
        <f>IF(B18="","",IF(AND(L18&lt;&gt;"",L18&lt;=TODAY()),"Cancelled",IF(L18&lt;&gt;"","Ends "&amp;DAY(L18)&amp;" "&amp;CHOOSE(MONTH(L18),"Jan","Feb","Mar","Apr","May","Jun","Jul","Aug","Sep","Oct","Nov","Dec"),IF(AND(Q18&lt;&gt;"",W18&lt;&gt;"",W18&lt;Q18),"Card expires",IF(AND(Q18&lt;&gt;"",E18&lt;&gt;"Monthly",N(K18)&gt;0,R18&gt;=TODAY(),R18-TODAY()&lt;=N(Settings!$C$5)),"Cancel by "&amp;DAY(R18)&amp;" "&amp;CHOOSE(MONTH(R18),"Jan","Feb","Mar","Apr","May","Jun","Jul","Aug","Sep","Oct","Nov","Dec"),IF(AND(Q18&lt;&gt;"",E18&lt;&gt;"Monthly",Q18-TODAY()&lt;=N(Settings!$C$5)),"Renews "&amp;DAY(Q18)&amp;" "&amp;CHOOSE(MONTH(Q18),"Jan","Feb","Mar","Apr","May","Jun","Jul","Aug","Sep","Oct","Nov","Dec"),IF(N(S18)&gt;0,S18&amp;IF(S18=1," unused seat"," unused seats"),"Active")))))))</f>
        <v/>
      </c>
      <c r="U18" s="1">
        <f>IF(E18="Quarterly",3,IF(E18="Yearly",12,1))</f>
        <v/>
      </c>
      <c r="V18">
        <f>IF(Q18="","",Q18+ROW()/10000000)</f>
        <v/>
      </c>
      <c r="W18">
        <f>IFERROR(IF(INDEX(Cards!$D$6:$D$25,MATCH(I18,Cards!$B$6:$B$25,0))="","",INDEX(Cards!$D$6:$D$25,MATCH(I18,Cards!$B$6:$B$25,0))),"")</f>
        <v/>
      </c>
      <c r="X18">
        <f>IF(OR(T18="",T18="Active",T18="Cancelled"),"",ROW())</f>
        <v/>
      </c>
      <c r="Y18">
        <f>IF(N(S18)=0,0,S18*N(F18)*12/U18)</f>
        <v/>
      </c>
    </row>
    <row r="19">
      <c r="A19" s="1" t="n"/>
      <c r="B19" s="20" t="inlineStr">
        <is>
          <t>Scheduling</t>
        </is>
      </c>
      <c r="C19" s="21" t="inlineStr">
        <is>
          <t>Operations</t>
        </is>
      </c>
      <c r="D19" s="21" t="inlineStr">
        <is>
          <t>Grace</t>
        </is>
      </c>
      <c r="E19" s="22" t="inlineStr">
        <is>
          <t>Quarterly</t>
        </is>
      </c>
      <c r="F19" s="23" t="n">
        <v>36</v>
      </c>
      <c r="G19" s="22" t="n"/>
      <c r="H19" s="24" t="n"/>
      <c r="I19" s="21" t="inlineStr">
        <is>
          <t>Business card A</t>
        </is>
      </c>
      <c r="J19" s="25" t="n">
        <v>46213</v>
      </c>
      <c r="K19" s="24" t="n"/>
      <c r="L19" s="25" t="n"/>
      <c r="M19" s="26">
        <f>IF(B19="","",SUMIFS(Access!$G$6:$G$405,Access!$C$6:$C$405,B19))</f>
        <v/>
      </c>
      <c r="N19" s="13">
        <f>IF(B19="","",IF(G19&lt;&gt;"",N(F19)*IF(H19="",M19,N(H19)),N(F19)))</f>
        <v/>
      </c>
      <c r="O19" s="13">
        <f>IF(B19="","",IF(AND(L19&lt;&gt;"",L19&lt;=TODAY()),0,N19/U19))</f>
        <v/>
      </c>
      <c r="P19" s="13">
        <f>IF(B19="","",O19*12)</f>
        <v/>
      </c>
      <c r="Q19" s="27">
        <f>IF(OR(B19="",J19=""),"",IF(AND(L19&lt;&gt;"",IF(J19&gt;=TODAY(),J19,IF(EDATE(J19,INT(DATEDIF(J19,TODAY(),"m")/U19)*U19)&gt;=TODAY(),EDATE(J19,INT(DATEDIF(J19,TODAY(),"m")/U19)*U19),EDATE(J19,INT(DATEDIF(J19,TODAY(),"m")/U19)*U19+U19)))&gt;=L19),"",IF(J19&gt;=TODAY(),J19,IF(EDATE(J19,INT(DATEDIF(J19,TODAY(),"m")/U19)*U19)&gt;=TODAY(),EDATE(J19,INT(DATEDIF(J19,TODAY(),"m")/U19)*U19),EDATE(J19,INT(DATEDIF(J19,TODAY(),"m")/U19)*U19+U19)))))</f>
        <v/>
      </c>
      <c r="R19" s="27">
        <f>IF(Q19="","",Q19-N(K19))</f>
        <v/>
      </c>
      <c r="S19" s="17">
        <f>IF(OR(B19="",G19="",H19="",AND(L19&lt;&gt;"",L19&lt;=TODAY())),"",MAX(0,N(H19)-N(M19)))</f>
        <v/>
      </c>
      <c r="T19" s="14">
        <f>IF(B19="","",IF(AND(L19&lt;&gt;"",L19&lt;=TODAY()),"Cancelled",IF(L19&lt;&gt;"","Ends "&amp;DAY(L19)&amp;" "&amp;CHOOSE(MONTH(L19),"Jan","Feb","Mar","Apr","May","Jun","Jul","Aug","Sep","Oct","Nov","Dec"),IF(AND(Q19&lt;&gt;"",W19&lt;&gt;"",W19&lt;Q19),"Card expires",IF(AND(Q19&lt;&gt;"",E19&lt;&gt;"Monthly",N(K19)&gt;0,R19&gt;=TODAY(),R19-TODAY()&lt;=N(Settings!$C$5)),"Cancel by "&amp;DAY(R19)&amp;" "&amp;CHOOSE(MONTH(R19),"Jan","Feb","Mar","Apr","May","Jun","Jul","Aug","Sep","Oct","Nov","Dec"),IF(AND(Q19&lt;&gt;"",E19&lt;&gt;"Monthly",Q19-TODAY()&lt;=N(Settings!$C$5)),"Renews "&amp;DAY(Q19)&amp;" "&amp;CHOOSE(MONTH(Q19),"Jan","Feb","Mar","Apr","May","Jun","Jul","Aug","Sep","Oct","Nov","Dec"),IF(N(S19)&gt;0,S19&amp;IF(S19=1," unused seat"," unused seats"),"Active")))))))</f>
        <v/>
      </c>
      <c r="U19" s="1">
        <f>IF(E19="Quarterly",3,IF(E19="Yearly",12,1))</f>
        <v/>
      </c>
      <c r="V19">
        <f>IF(Q19="","",Q19+ROW()/10000000)</f>
        <v/>
      </c>
      <c r="W19">
        <f>IFERROR(IF(INDEX(Cards!$D$6:$D$25,MATCH(I19,Cards!$B$6:$B$25,0))="","",INDEX(Cards!$D$6:$D$25,MATCH(I19,Cards!$B$6:$B$25,0))),"")</f>
        <v/>
      </c>
      <c r="X19">
        <f>IF(OR(T19="",T19="Active",T19="Cancelled"),"",ROW())</f>
        <v/>
      </c>
      <c r="Y19">
        <f>IF(N(S19)=0,0,S19*N(F19)*12/U19)</f>
        <v/>
      </c>
    </row>
    <row r="20">
      <c r="A20" s="1" t="n"/>
      <c r="B20" s="20" t="inlineStr">
        <is>
          <t>E-signature</t>
        </is>
      </c>
      <c r="C20" s="21" t="inlineStr">
        <is>
          <t>Operations</t>
        </is>
      </c>
      <c r="D20" s="21" t="inlineStr">
        <is>
          <t>Ana</t>
        </is>
      </c>
      <c r="E20" s="22" t="inlineStr">
        <is>
          <t>Monthly</t>
        </is>
      </c>
      <c r="F20" s="23" t="n">
        <v>25</v>
      </c>
      <c r="G20" s="22" t="n"/>
      <c r="H20" s="24" t="n"/>
      <c r="I20" s="21" t="inlineStr">
        <is>
          <t>Business card A</t>
        </is>
      </c>
      <c r="J20" s="25" t="n">
        <v>46280</v>
      </c>
      <c r="K20" s="24" t="n"/>
      <c r="L20" s="25" t="n">
        <v>46280</v>
      </c>
      <c r="M20" s="26">
        <f>IF(B20="","",SUMIFS(Access!$G$6:$G$405,Access!$C$6:$C$405,B20))</f>
        <v/>
      </c>
      <c r="N20" s="13">
        <f>IF(B20="","",IF(G20&lt;&gt;"",N(F20)*IF(H20="",M20,N(H20)),N(F20)))</f>
        <v/>
      </c>
      <c r="O20" s="13">
        <f>IF(B20="","",IF(AND(L20&lt;&gt;"",L20&lt;=TODAY()),0,N20/U20))</f>
        <v/>
      </c>
      <c r="P20" s="13">
        <f>IF(B20="","",O20*12)</f>
        <v/>
      </c>
      <c r="Q20" s="27">
        <f>IF(OR(B20="",J20=""),"",IF(AND(L20&lt;&gt;"",IF(J20&gt;=TODAY(),J20,IF(EDATE(J20,INT(DATEDIF(J20,TODAY(),"m")/U20)*U20)&gt;=TODAY(),EDATE(J20,INT(DATEDIF(J20,TODAY(),"m")/U20)*U20),EDATE(J20,INT(DATEDIF(J20,TODAY(),"m")/U20)*U20+U20)))&gt;=L20),"",IF(J20&gt;=TODAY(),J20,IF(EDATE(J20,INT(DATEDIF(J20,TODAY(),"m")/U20)*U20)&gt;=TODAY(),EDATE(J20,INT(DATEDIF(J20,TODAY(),"m")/U20)*U20),EDATE(J20,INT(DATEDIF(J20,TODAY(),"m")/U20)*U20+U20)))))</f>
        <v/>
      </c>
      <c r="R20" s="27">
        <f>IF(Q20="","",Q20-N(K20))</f>
        <v/>
      </c>
      <c r="S20" s="17">
        <f>IF(OR(B20="",G20="",H20="",AND(L20&lt;&gt;"",L20&lt;=TODAY())),"",MAX(0,N(H20)-N(M20)))</f>
        <v/>
      </c>
      <c r="T20" s="14">
        <f>IF(B20="","",IF(AND(L20&lt;&gt;"",L20&lt;=TODAY()),"Cancelled",IF(L20&lt;&gt;"","Ends "&amp;DAY(L20)&amp;" "&amp;CHOOSE(MONTH(L20),"Jan","Feb","Mar","Apr","May","Jun","Jul","Aug","Sep","Oct","Nov","Dec"),IF(AND(Q20&lt;&gt;"",W20&lt;&gt;"",W20&lt;Q20),"Card expires",IF(AND(Q20&lt;&gt;"",E20&lt;&gt;"Monthly",N(K20)&gt;0,R20&gt;=TODAY(),R20-TODAY()&lt;=N(Settings!$C$5)),"Cancel by "&amp;DAY(R20)&amp;" "&amp;CHOOSE(MONTH(R20),"Jan","Feb","Mar","Apr","May","Jun","Jul","Aug","Sep","Oct","Nov","Dec"),IF(AND(Q20&lt;&gt;"",E20&lt;&gt;"Monthly",Q20-TODAY()&lt;=N(Settings!$C$5)),"Renews "&amp;DAY(Q20)&amp;" "&amp;CHOOSE(MONTH(Q20),"Jan","Feb","Mar","Apr","May","Jun","Jul","Aug","Sep","Oct","Nov","Dec"),IF(N(S20)&gt;0,S20&amp;IF(S20=1," unused seat"," unused seats"),"Active")))))))</f>
        <v/>
      </c>
      <c r="U20" s="1">
        <f>IF(E20="Quarterly",3,IF(E20="Yearly",12,1))</f>
        <v/>
      </c>
      <c r="V20">
        <f>IF(Q20="","",Q20+ROW()/10000000)</f>
        <v/>
      </c>
      <c r="W20">
        <f>IFERROR(IF(INDEX(Cards!$D$6:$D$25,MATCH(I20,Cards!$B$6:$B$25,0))="","",INDEX(Cards!$D$6:$D$25,MATCH(I20,Cards!$B$6:$B$25,0))),"")</f>
        <v/>
      </c>
      <c r="X20">
        <f>IF(OR(T20="",T20="Active",T20="Cancelled"),"",ROW())</f>
        <v/>
      </c>
      <c r="Y20">
        <f>IF(N(S20)=0,0,S20*N(F20)*12/U20)</f>
        <v/>
      </c>
    </row>
    <row r="21">
      <c r="A21" s="1" t="n"/>
      <c r="B21" s="20" t="inlineStr">
        <is>
          <t>AI writing assistant</t>
        </is>
      </c>
      <c r="C21" s="21" t="inlineStr">
        <is>
          <t>Marketing</t>
        </is>
      </c>
      <c r="D21" s="21" t="inlineStr">
        <is>
          <t>Ella</t>
        </is>
      </c>
      <c r="E21" s="22" t="inlineStr">
        <is>
          <t>Monthly</t>
        </is>
      </c>
      <c r="F21" s="23" t="n">
        <v>20</v>
      </c>
      <c r="G21" s="22" t="inlineStr">
        <is>
          <t>x</t>
        </is>
      </c>
      <c r="H21" s="24" t="n">
        <v>2</v>
      </c>
      <c r="I21" s="21" t="inlineStr">
        <is>
          <t>Business card A</t>
        </is>
      </c>
      <c r="J21" s="25" t="n">
        <v>46300</v>
      </c>
      <c r="K21" s="24" t="n"/>
      <c r="L21" s="25" t="n">
        <v>46326</v>
      </c>
      <c r="M21" s="26">
        <f>IF(B21="","",SUMIFS(Access!$G$6:$G$405,Access!$C$6:$C$405,B21))</f>
        <v/>
      </c>
      <c r="N21" s="13">
        <f>IF(B21="","",IF(G21&lt;&gt;"",N(F21)*IF(H21="",M21,N(H21)),N(F21)))</f>
        <v/>
      </c>
      <c r="O21" s="13">
        <f>IF(B21="","",IF(AND(L21&lt;&gt;"",L21&lt;=TODAY()),0,N21/U21))</f>
        <v/>
      </c>
      <c r="P21" s="13">
        <f>IF(B21="","",O21*12)</f>
        <v/>
      </c>
      <c r="Q21" s="27">
        <f>IF(OR(B21="",J21=""),"",IF(AND(L21&lt;&gt;"",IF(J21&gt;=TODAY(),J21,IF(EDATE(J21,INT(DATEDIF(J21,TODAY(),"m")/U21)*U21)&gt;=TODAY(),EDATE(J21,INT(DATEDIF(J21,TODAY(),"m")/U21)*U21),EDATE(J21,INT(DATEDIF(J21,TODAY(),"m")/U21)*U21+U21)))&gt;=L21),"",IF(J21&gt;=TODAY(),J21,IF(EDATE(J21,INT(DATEDIF(J21,TODAY(),"m")/U21)*U21)&gt;=TODAY(),EDATE(J21,INT(DATEDIF(J21,TODAY(),"m")/U21)*U21),EDATE(J21,INT(DATEDIF(J21,TODAY(),"m")/U21)*U21+U21)))))</f>
        <v/>
      </c>
      <c r="R21" s="27">
        <f>IF(Q21="","",Q21-N(K21))</f>
        <v/>
      </c>
      <c r="S21" s="17">
        <f>IF(OR(B21="",G21="",H21="",AND(L21&lt;&gt;"",L21&lt;=TODAY())),"",MAX(0,N(H21)-N(M21)))</f>
        <v/>
      </c>
      <c r="T21" s="14">
        <f>IF(B21="","",IF(AND(L21&lt;&gt;"",L21&lt;=TODAY()),"Cancelled",IF(L21&lt;&gt;"","Ends "&amp;DAY(L21)&amp;" "&amp;CHOOSE(MONTH(L21),"Jan","Feb","Mar","Apr","May","Jun","Jul","Aug","Sep","Oct","Nov","Dec"),IF(AND(Q21&lt;&gt;"",W21&lt;&gt;"",W21&lt;Q21),"Card expires",IF(AND(Q21&lt;&gt;"",E21&lt;&gt;"Monthly",N(K21)&gt;0,R21&gt;=TODAY(),R21-TODAY()&lt;=N(Settings!$C$5)),"Cancel by "&amp;DAY(R21)&amp;" "&amp;CHOOSE(MONTH(R21),"Jan","Feb","Mar","Apr","May","Jun","Jul","Aug","Sep","Oct","Nov","Dec"),IF(AND(Q21&lt;&gt;"",E21&lt;&gt;"Monthly",Q21-TODAY()&lt;=N(Settings!$C$5)),"Renews "&amp;DAY(Q21)&amp;" "&amp;CHOOSE(MONTH(Q21),"Jan","Feb","Mar","Apr","May","Jun","Jul","Aug","Sep","Oct","Nov","Dec"),IF(N(S21)&gt;0,S21&amp;IF(S21=1," unused seat"," unused seats"),"Active")))))))</f>
        <v/>
      </c>
      <c r="U21" s="1">
        <f>IF(E21="Quarterly",3,IF(E21="Yearly",12,1))</f>
        <v/>
      </c>
      <c r="V21">
        <f>IF(Q21="","",Q21+ROW()/10000000)</f>
        <v/>
      </c>
      <c r="W21">
        <f>IFERROR(IF(INDEX(Cards!$D$6:$D$25,MATCH(I21,Cards!$B$6:$B$25,0))="","",INDEX(Cards!$D$6:$D$25,MATCH(I21,Cards!$B$6:$B$25,0))),"")</f>
        <v/>
      </c>
      <c r="X21">
        <f>IF(OR(T21="",T21="Active",T21="Cancelled"),"",ROW())</f>
        <v/>
      </c>
      <c r="Y21">
        <f>IF(N(S21)=0,0,S21*N(F21)*12/U21)</f>
        <v/>
      </c>
    </row>
    <row r="22">
      <c r="A22" s="1" t="n"/>
      <c r="B22" s="20" t="n"/>
      <c r="C22" s="21" t="n"/>
      <c r="D22" s="21" t="n"/>
      <c r="E22" s="22" t="n"/>
      <c r="F22" s="23" t="n"/>
      <c r="G22" s="22" t="n"/>
      <c r="H22" s="24" t="n"/>
      <c r="I22" s="21" t="n"/>
      <c r="J22" s="25" t="n"/>
      <c r="K22" s="24" t="n"/>
      <c r="L22" s="25" t="n"/>
      <c r="M22" s="26">
        <f>IF(B22="","",SUMIFS(Access!$G$6:$G$405,Access!$C$6:$C$405,B22))</f>
        <v/>
      </c>
      <c r="N22" s="13">
        <f>IF(B22="","",IF(G22&lt;&gt;"",N(F22)*IF(H22="",M22,N(H22)),N(F22)))</f>
        <v/>
      </c>
      <c r="O22" s="13">
        <f>IF(B22="","",IF(AND(L22&lt;&gt;"",L22&lt;=TODAY()),0,N22/U22))</f>
        <v/>
      </c>
      <c r="P22" s="13">
        <f>IF(B22="","",O22*12)</f>
        <v/>
      </c>
      <c r="Q22" s="27">
        <f>IF(OR(B22="",J22=""),"",IF(AND(L22&lt;&gt;"",IF(J22&gt;=TODAY(),J22,IF(EDATE(J22,INT(DATEDIF(J22,TODAY(),"m")/U22)*U22)&gt;=TODAY(),EDATE(J22,INT(DATEDIF(J22,TODAY(),"m")/U22)*U22),EDATE(J22,INT(DATEDIF(J22,TODAY(),"m")/U22)*U22+U22)))&gt;=L22),"",IF(J22&gt;=TODAY(),J22,IF(EDATE(J22,INT(DATEDIF(J22,TODAY(),"m")/U22)*U22)&gt;=TODAY(),EDATE(J22,INT(DATEDIF(J22,TODAY(),"m")/U22)*U22),EDATE(J22,INT(DATEDIF(J22,TODAY(),"m")/U22)*U22+U22)))))</f>
        <v/>
      </c>
      <c r="R22" s="27">
        <f>IF(Q22="","",Q22-N(K22))</f>
        <v/>
      </c>
      <c r="S22" s="17">
        <f>IF(OR(B22="",G22="",H22="",AND(L22&lt;&gt;"",L22&lt;=TODAY())),"",MAX(0,N(H22)-N(M22)))</f>
        <v/>
      </c>
      <c r="T22" s="14">
        <f>IF(B22="","",IF(AND(L22&lt;&gt;"",L22&lt;=TODAY()),"Cancelled",IF(L22&lt;&gt;"","Ends "&amp;DAY(L22)&amp;" "&amp;CHOOSE(MONTH(L22),"Jan","Feb","Mar","Apr","May","Jun","Jul","Aug","Sep","Oct","Nov","Dec"),IF(AND(Q22&lt;&gt;"",W22&lt;&gt;"",W22&lt;Q22),"Card expires",IF(AND(Q22&lt;&gt;"",E22&lt;&gt;"Monthly",N(K22)&gt;0,R22&gt;=TODAY(),R22-TODAY()&lt;=N(Settings!$C$5)),"Cancel by "&amp;DAY(R22)&amp;" "&amp;CHOOSE(MONTH(R22),"Jan","Feb","Mar","Apr","May","Jun","Jul","Aug","Sep","Oct","Nov","Dec"),IF(AND(Q22&lt;&gt;"",E22&lt;&gt;"Monthly",Q22-TODAY()&lt;=N(Settings!$C$5)),"Renews "&amp;DAY(Q22)&amp;" "&amp;CHOOSE(MONTH(Q22),"Jan","Feb","Mar","Apr","May","Jun","Jul","Aug","Sep","Oct","Nov","Dec"),IF(N(S22)&gt;0,S22&amp;IF(S22=1," unused seat"," unused seats"),"Active")))))))</f>
        <v/>
      </c>
      <c r="U22" s="1">
        <f>IF(E22="Quarterly",3,IF(E22="Yearly",12,1))</f>
        <v/>
      </c>
      <c r="V22">
        <f>IF(Q22="","",Q22+ROW()/10000000)</f>
        <v/>
      </c>
      <c r="W22">
        <f>IFERROR(IF(INDEX(Cards!$D$6:$D$25,MATCH(I22,Cards!$B$6:$B$25,0))="","",INDEX(Cards!$D$6:$D$25,MATCH(I22,Cards!$B$6:$B$25,0))),"")</f>
        <v/>
      </c>
      <c r="X22">
        <f>IF(OR(T22="",T22="Active",T22="Cancelled"),"",ROW())</f>
        <v/>
      </c>
      <c r="Y22">
        <f>IF(N(S22)=0,0,S22*N(F22)*12/U22)</f>
        <v/>
      </c>
    </row>
    <row r="23">
      <c r="A23" s="1" t="n"/>
      <c r="B23" s="20" t="n"/>
      <c r="C23" s="21" t="n"/>
      <c r="D23" s="21" t="n"/>
      <c r="E23" s="22" t="n"/>
      <c r="F23" s="23" t="n"/>
      <c r="G23" s="22" t="n"/>
      <c r="H23" s="24" t="n"/>
      <c r="I23" s="21" t="n"/>
      <c r="J23" s="25" t="n"/>
      <c r="K23" s="24" t="n"/>
      <c r="L23" s="25" t="n"/>
      <c r="M23" s="26">
        <f>IF(B23="","",SUMIFS(Access!$G$6:$G$405,Access!$C$6:$C$405,B23))</f>
        <v/>
      </c>
      <c r="N23" s="13">
        <f>IF(B23="","",IF(G23&lt;&gt;"",N(F23)*IF(H23="",M23,N(H23)),N(F23)))</f>
        <v/>
      </c>
      <c r="O23" s="13">
        <f>IF(B23="","",IF(AND(L23&lt;&gt;"",L23&lt;=TODAY()),0,N23/U23))</f>
        <v/>
      </c>
      <c r="P23" s="13">
        <f>IF(B23="","",O23*12)</f>
        <v/>
      </c>
      <c r="Q23" s="27">
        <f>IF(OR(B23="",J23=""),"",IF(AND(L23&lt;&gt;"",IF(J23&gt;=TODAY(),J23,IF(EDATE(J23,INT(DATEDIF(J23,TODAY(),"m")/U23)*U23)&gt;=TODAY(),EDATE(J23,INT(DATEDIF(J23,TODAY(),"m")/U23)*U23),EDATE(J23,INT(DATEDIF(J23,TODAY(),"m")/U23)*U23+U23)))&gt;=L23),"",IF(J23&gt;=TODAY(),J23,IF(EDATE(J23,INT(DATEDIF(J23,TODAY(),"m")/U23)*U23)&gt;=TODAY(),EDATE(J23,INT(DATEDIF(J23,TODAY(),"m")/U23)*U23),EDATE(J23,INT(DATEDIF(J23,TODAY(),"m")/U23)*U23+U23)))))</f>
        <v/>
      </c>
      <c r="R23" s="27">
        <f>IF(Q23="","",Q23-N(K23))</f>
        <v/>
      </c>
      <c r="S23" s="17">
        <f>IF(OR(B23="",G23="",H23="",AND(L23&lt;&gt;"",L23&lt;=TODAY())),"",MAX(0,N(H23)-N(M23)))</f>
        <v/>
      </c>
      <c r="T23" s="14">
        <f>IF(B23="","",IF(AND(L23&lt;&gt;"",L23&lt;=TODAY()),"Cancelled",IF(L23&lt;&gt;"","Ends "&amp;DAY(L23)&amp;" "&amp;CHOOSE(MONTH(L23),"Jan","Feb","Mar","Apr","May","Jun","Jul","Aug","Sep","Oct","Nov","Dec"),IF(AND(Q23&lt;&gt;"",W23&lt;&gt;"",W23&lt;Q23),"Card expires",IF(AND(Q23&lt;&gt;"",E23&lt;&gt;"Monthly",N(K23)&gt;0,R23&gt;=TODAY(),R23-TODAY()&lt;=N(Settings!$C$5)),"Cancel by "&amp;DAY(R23)&amp;" "&amp;CHOOSE(MONTH(R23),"Jan","Feb","Mar","Apr","May","Jun","Jul","Aug","Sep","Oct","Nov","Dec"),IF(AND(Q23&lt;&gt;"",E23&lt;&gt;"Monthly",Q23-TODAY()&lt;=N(Settings!$C$5)),"Renews "&amp;DAY(Q23)&amp;" "&amp;CHOOSE(MONTH(Q23),"Jan","Feb","Mar","Apr","May","Jun","Jul","Aug","Sep","Oct","Nov","Dec"),IF(N(S23)&gt;0,S23&amp;IF(S23=1," unused seat"," unused seats"),"Active")))))))</f>
        <v/>
      </c>
      <c r="U23" s="1">
        <f>IF(E23="Quarterly",3,IF(E23="Yearly",12,1))</f>
        <v/>
      </c>
      <c r="V23">
        <f>IF(Q23="","",Q23+ROW()/10000000)</f>
        <v/>
      </c>
      <c r="W23">
        <f>IFERROR(IF(INDEX(Cards!$D$6:$D$25,MATCH(I23,Cards!$B$6:$B$25,0))="","",INDEX(Cards!$D$6:$D$25,MATCH(I23,Cards!$B$6:$B$25,0))),"")</f>
        <v/>
      </c>
      <c r="X23">
        <f>IF(OR(T23="",T23="Active",T23="Cancelled"),"",ROW())</f>
        <v/>
      </c>
      <c r="Y23">
        <f>IF(N(S23)=0,0,S23*N(F23)*12/U23)</f>
        <v/>
      </c>
    </row>
    <row r="24">
      <c r="A24" s="1" t="n"/>
      <c r="B24" s="20" t="n"/>
      <c r="C24" s="21" t="n"/>
      <c r="D24" s="21" t="n"/>
      <c r="E24" s="22" t="n"/>
      <c r="F24" s="23" t="n"/>
      <c r="G24" s="22" t="n"/>
      <c r="H24" s="24" t="n"/>
      <c r="I24" s="21" t="n"/>
      <c r="J24" s="25" t="n"/>
      <c r="K24" s="24" t="n"/>
      <c r="L24" s="25" t="n"/>
      <c r="M24" s="26">
        <f>IF(B24="","",SUMIFS(Access!$G$6:$G$405,Access!$C$6:$C$405,B24))</f>
        <v/>
      </c>
      <c r="N24" s="13">
        <f>IF(B24="","",IF(G24&lt;&gt;"",N(F24)*IF(H24="",M24,N(H24)),N(F24)))</f>
        <v/>
      </c>
      <c r="O24" s="13">
        <f>IF(B24="","",IF(AND(L24&lt;&gt;"",L24&lt;=TODAY()),0,N24/U24))</f>
        <v/>
      </c>
      <c r="P24" s="13">
        <f>IF(B24="","",O24*12)</f>
        <v/>
      </c>
      <c r="Q24" s="27">
        <f>IF(OR(B24="",J24=""),"",IF(AND(L24&lt;&gt;"",IF(J24&gt;=TODAY(),J24,IF(EDATE(J24,INT(DATEDIF(J24,TODAY(),"m")/U24)*U24)&gt;=TODAY(),EDATE(J24,INT(DATEDIF(J24,TODAY(),"m")/U24)*U24),EDATE(J24,INT(DATEDIF(J24,TODAY(),"m")/U24)*U24+U24)))&gt;=L24),"",IF(J24&gt;=TODAY(),J24,IF(EDATE(J24,INT(DATEDIF(J24,TODAY(),"m")/U24)*U24)&gt;=TODAY(),EDATE(J24,INT(DATEDIF(J24,TODAY(),"m")/U24)*U24),EDATE(J24,INT(DATEDIF(J24,TODAY(),"m")/U24)*U24+U24)))))</f>
        <v/>
      </c>
      <c r="R24" s="27">
        <f>IF(Q24="","",Q24-N(K24))</f>
        <v/>
      </c>
      <c r="S24" s="17">
        <f>IF(OR(B24="",G24="",H24="",AND(L24&lt;&gt;"",L24&lt;=TODAY())),"",MAX(0,N(H24)-N(M24)))</f>
        <v/>
      </c>
      <c r="T24" s="14">
        <f>IF(B24="","",IF(AND(L24&lt;&gt;"",L24&lt;=TODAY()),"Cancelled",IF(L24&lt;&gt;"","Ends "&amp;DAY(L24)&amp;" "&amp;CHOOSE(MONTH(L24),"Jan","Feb","Mar","Apr","May","Jun","Jul","Aug","Sep","Oct","Nov","Dec"),IF(AND(Q24&lt;&gt;"",W24&lt;&gt;"",W24&lt;Q24),"Card expires",IF(AND(Q24&lt;&gt;"",E24&lt;&gt;"Monthly",N(K24)&gt;0,R24&gt;=TODAY(),R24-TODAY()&lt;=N(Settings!$C$5)),"Cancel by "&amp;DAY(R24)&amp;" "&amp;CHOOSE(MONTH(R24),"Jan","Feb","Mar","Apr","May","Jun","Jul","Aug","Sep","Oct","Nov","Dec"),IF(AND(Q24&lt;&gt;"",E24&lt;&gt;"Monthly",Q24-TODAY()&lt;=N(Settings!$C$5)),"Renews "&amp;DAY(Q24)&amp;" "&amp;CHOOSE(MONTH(Q24),"Jan","Feb","Mar","Apr","May","Jun","Jul","Aug","Sep","Oct","Nov","Dec"),IF(N(S24)&gt;0,S24&amp;IF(S24=1," unused seat"," unused seats"),"Active")))))))</f>
        <v/>
      </c>
      <c r="U24" s="1">
        <f>IF(E24="Quarterly",3,IF(E24="Yearly",12,1))</f>
        <v/>
      </c>
      <c r="V24">
        <f>IF(Q24="","",Q24+ROW()/10000000)</f>
        <v/>
      </c>
      <c r="W24">
        <f>IFERROR(IF(INDEX(Cards!$D$6:$D$25,MATCH(I24,Cards!$B$6:$B$25,0))="","",INDEX(Cards!$D$6:$D$25,MATCH(I24,Cards!$B$6:$B$25,0))),"")</f>
        <v/>
      </c>
      <c r="X24">
        <f>IF(OR(T24="",T24="Active",T24="Cancelled"),"",ROW())</f>
        <v/>
      </c>
      <c r="Y24">
        <f>IF(N(S24)=0,0,S24*N(F24)*12/U24)</f>
        <v/>
      </c>
    </row>
    <row r="25">
      <c r="A25" s="1" t="n"/>
      <c r="B25" s="20" t="n"/>
      <c r="C25" s="21" t="n"/>
      <c r="D25" s="21" t="n"/>
      <c r="E25" s="22" t="n"/>
      <c r="F25" s="23" t="n"/>
      <c r="G25" s="22" t="n"/>
      <c r="H25" s="24" t="n"/>
      <c r="I25" s="21" t="n"/>
      <c r="J25" s="25" t="n"/>
      <c r="K25" s="24" t="n"/>
      <c r="L25" s="25" t="n"/>
      <c r="M25" s="26">
        <f>IF(B25="","",SUMIFS(Access!$G$6:$G$405,Access!$C$6:$C$405,B25))</f>
        <v/>
      </c>
      <c r="N25" s="13">
        <f>IF(B25="","",IF(G25&lt;&gt;"",N(F25)*IF(H25="",M25,N(H25)),N(F25)))</f>
        <v/>
      </c>
      <c r="O25" s="13">
        <f>IF(B25="","",IF(AND(L25&lt;&gt;"",L25&lt;=TODAY()),0,N25/U25))</f>
        <v/>
      </c>
      <c r="P25" s="13">
        <f>IF(B25="","",O25*12)</f>
        <v/>
      </c>
      <c r="Q25" s="27">
        <f>IF(OR(B25="",J25=""),"",IF(AND(L25&lt;&gt;"",IF(J25&gt;=TODAY(),J25,IF(EDATE(J25,INT(DATEDIF(J25,TODAY(),"m")/U25)*U25)&gt;=TODAY(),EDATE(J25,INT(DATEDIF(J25,TODAY(),"m")/U25)*U25),EDATE(J25,INT(DATEDIF(J25,TODAY(),"m")/U25)*U25+U25)))&gt;=L25),"",IF(J25&gt;=TODAY(),J25,IF(EDATE(J25,INT(DATEDIF(J25,TODAY(),"m")/U25)*U25)&gt;=TODAY(),EDATE(J25,INT(DATEDIF(J25,TODAY(),"m")/U25)*U25),EDATE(J25,INT(DATEDIF(J25,TODAY(),"m")/U25)*U25+U25)))))</f>
        <v/>
      </c>
      <c r="R25" s="27">
        <f>IF(Q25="","",Q25-N(K25))</f>
        <v/>
      </c>
      <c r="S25" s="17">
        <f>IF(OR(B25="",G25="",H25="",AND(L25&lt;&gt;"",L25&lt;=TODAY())),"",MAX(0,N(H25)-N(M25)))</f>
        <v/>
      </c>
      <c r="T25" s="14">
        <f>IF(B25="","",IF(AND(L25&lt;&gt;"",L25&lt;=TODAY()),"Cancelled",IF(L25&lt;&gt;"","Ends "&amp;DAY(L25)&amp;" "&amp;CHOOSE(MONTH(L25),"Jan","Feb","Mar","Apr","May","Jun","Jul","Aug","Sep","Oct","Nov","Dec"),IF(AND(Q25&lt;&gt;"",W25&lt;&gt;"",W25&lt;Q25),"Card expires",IF(AND(Q25&lt;&gt;"",E25&lt;&gt;"Monthly",N(K25)&gt;0,R25&gt;=TODAY(),R25-TODAY()&lt;=N(Settings!$C$5)),"Cancel by "&amp;DAY(R25)&amp;" "&amp;CHOOSE(MONTH(R25),"Jan","Feb","Mar","Apr","May","Jun","Jul","Aug","Sep","Oct","Nov","Dec"),IF(AND(Q25&lt;&gt;"",E25&lt;&gt;"Monthly",Q25-TODAY()&lt;=N(Settings!$C$5)),"Renews "&amp;DAY(Q25)&amp;" "&amp;CHOOSE(MONTH(Q25),"Jan","Feb","Mar","Apr","May","Jun","Jul","Aug","Sep","Oct","Nov","Dec"),IF(N(S25)&gt;0,S25&amp;IF(S25=1," unused seat"," unused seats"),"Active")))))))</f>
        <v/>
      </c>
      <c r="U25" s="1">
        <f>IF(E25="Quarterly",3,IF(E25="Yearly",12,1))</f>
        <v/>
      </c>
      <c r="V25">
        <f>IF(Q25="","",Q25+ROW()/10000000)</f>
        <v/>
      </c>
      <c r="W25">
        <f>IFERROR(IF(INDEX(Cards!$D$6:$D$25,MATCH(I25,Cards!$B$6:$B$25,0))="","",INDEX(Cards!$D$6:$D$25,MATCH(I25,Cards!$B$6:$B$25,0))),"")</f>
        <v/>
      </c>
      <c r="X25">
        <f>IF(OR(T25="",T25="Active",T25="Cancelled"),"",ROW())</f>
        <v/>
      </c>
      <c r="Y25">
        <f>IF(N(S25)=0,0,S25*N(F25)*12/U25)</f>
        <v/>
      </c>
    </row>
    <row r="26">
      <c r="A26" s="1" t="n"/>
      <c r="B26" s="20" t="n"/>
      <c r="C26" s="21" t="n"/>
      <c r="D26" s="21" t="n"/>
      <c r="E26" s="22" t="n"/>
      <c r="F26" s="23" t="n"/>
      <c r="G26" s="22" t="n"/>
      <c r="H26" s="24" t="n"/>
      <c r="I26" s="21" t="n"/>
      <c r="J26" s="25" t="n"/>
      <c r="K26" s="24" t="n"/>
      <c r="L26" s="25" t="n"/>
      <c r="M26" s="26">
        <f>IF(B26="","",SUMIFS(Access!$G$6:$G$405,Access!$C$6:$C$405,B26))</f>
        <v/>
      </c>
      <c r="N26" s="13">
        <f>IF(B26="","",IF(G26&lt;&gt;"",N(F26)*IF(H26="",M26,N(H26)),N(F26)))</f>
        <v/>
      </c>
      <c r="O26" s="13">
        <f>IF(B26="","",IF(AND(L26&lt;&gt;"",L26&lt;=TODAY()),0,N26/U26))</f>
        <v/>
      </c>
      <c r="P26" s="13">
        <f>IF(B26="","",O26*12)</f>
        <v/>
      </c>
      <c r="Q26" s="27">
        <f>IF(OR(B26="",J26=""),"",IF(AND(L26&lt;&gt;"",IF(J26&gt;=TODAY(),J26,IF(EDATE(J26,INT(DATEDIF(J26,TODAY(),"m")/U26)*U26)&gt;=TODAY(),EDATE(J26,INT(DATEDIF(J26,TODAY(),"m")/U26)*U26),EDATE(J26,INT(DATEDIF(J26,TODAY(),"m")/U26)*U26+U26)))&gt;=L26),"",IF(J26&gt;=TODAY(),J26,IF(EDATE(J26,INT(DATEDIF(J26,TODAY(),"m")/U26)*U26)&gt;=TODAY(),EDATE(J26,INT(DATEDIF(J26,TODAY(),"m")/U26)*U26),EDATE(J26,INT(DATEDIF(J26,TODAY(),"m")/U26)*U26+U26)))))</f>
        <v/>
      </c>
      <c r="R26" s="27">
        <f>IF(Q26="","",Q26-N(K26))</f>
        <v/>
      </c>
      <c r="S26" s="17">
        <f>IF(OR(B26="",G26="",H26="",AND(L26&lt;&gt;"",L26&lt;=TODAY())),"",MAX(0,N(H26)-N(M26)))</f>
        <v/>
      </c>
      <c r="T26" s="14">
        <f>IF(B26="","",IF(AND(L26&lt;&gt;"",L26&lt;=TODAY()),"Cancelled",IF(L26&lt;&gt;"","Ends "&amp;DAY(L26)&amp;" "&amp;CHOOSE(MONTH(L26),"Jan","Feb","Mar","Apr","May","Jun","Jul","Aug","Sep","Oct","Nov","Dec"),IF(AND(Q26&lt;&gt;"",W26&lt;&gt;"",W26&lt;Q26),"Card expires",IF(AND(Q26&lt;&gt;"",E26&lt;&gt;"Monthly",N(K26)&gt;0,R26&gt;=TODAY(),R26-TODAY()&lt;=N(Settings!$C$5)),"Cancel by "&amp;DAY(R26)&amp;" "&amp;CHOOSE(MONTH(R26),"Jan","Feb","Mar","Apr","May","Jun","Jul","Aug","Sep","Oct","Nov","Dec"),IF(AND(Q26&lt;&gt;"",E26&lt;&gt;"Monthly",Q26-TODAY()&lt;=N(Settings!$C$5)),"Renews "&amp;DAY(Q26)&amp;" "&amp;CHOOSE(MONTH(Q26),"Jan","Feb","Mar","Apr","May","Jun","Jul","Aug","Sep","Oct","Nov","Dec"),IF(N(S26)&gt;0,S26&amp;IF(S26=1," unused seat"," unused seats"),"Active")))))))</f>
        <v/>
      </c>
      <c r="U26" s="1">
        <f>IF(E26="Quarterly",3,IF(E26="Yearly",12,1))</f>
        <v/>
      </c>
      <c r="V26">
        <f>IF(Q26="","",Q26+ROW()/10000000)</f>
        <v/>
      </c>
      <c r="W26">
        <f>IFERROR(IF(INDEX(Cards!$D$6:$D$25,MATCH(I26,Cards!$B$6:$B$25,0))="","",INDEX(Cards!$D$6:$D$25,MATCH(I26,Cards!$B$6:$B$25,0))),"")</f>
        <v/>
      </c>
      <c r="X26">
        <f>IF(OR(T26="",T26="Active",T26="Cancelled"),"",ROW())</f>
        <v/>
      </c>
      <c r="Y26">
        <f>IF(N(S26)=0,0,S26*N(F26)*12/U26)</f>
        <v/>
      </c>
    </row>
    <row r="27">
      <c r="A27" s="1" t="n"/>
      <c r="B27" s="20" t="n"/>
      <c r="C27" s="21" t="n"/>
      <c r="D27" s="21" t="n"/>
      <c r="E27" s="22" t="n"/>
      <c r="F27" s="23" t="n"/>
      <c r="G27" s="22" t="n"/>
      <c r="H27" s="24" t="n"/>
      <c r="I27" s="21" t="n"/>
      <c r="J27" s="25" t="n"/>
      <c r="K27" s="24" t="n"/>
      <c r="L27" s="25" t="n"/>
      <c r="M27" s="26">
        <f>IF(B27="","",SUMIFS(Access!$G$6:$G$405,Access!$C$6:$C$405,B27))</f>
        <v/>
      </c>
      <c r="N27" s="13">
        <f>IF(B27="","",IF(G27&lt;&gt;"",N(F27)*IF(H27="",M27,N(H27)),N(F27)))</f>
        <v/>
      </c>
      <c r="O27" s="13">
        <f>IF(B27="","",IF(AND(L27&lt;&gt;"",L27&lt;=TODAY()),0,N27/U27))</f>
        <v/>
      </c>
      <c r="P27" s="13">
        <f>IF(B27="","",O27*12)</f>
        <v/>
      </c>
      <c r="Q27" s="27">
        <f>IF(OR(B27="",J27=""),"",IF(AND(L27&lt;&gt;"",IF(J27&gt;=TODAY(),J27,IF(EDATE(J27,INT(DATEDIF(J27,TODAY(),"m")/U27)*U27)&gt;=TODAY(),EDATE(J27,INT(DATEDIF(J27,TODAY(),"m")/U27)*U27),EDATE(J27,INT(DATEDIF(J27,TODAY(),"m")/U27)*U27+U27)))&gt;=L27),"",IF(J27&gt;=TODAY(),J27,IF(EDATE(J27,INT(DATEDIF(J27,TODAY(),"m")/U27)*U27)&gt;=TODAY(),EDATE(J27,INT(DATEDIF(J27,TODAY(),"m")/U27)*U27),EDATE(J27,INT(DATEDIF(J27,TODAY(),"m")/U27)*U27+U27)))))</f>
        <v/>
      </c>
      <c r="R27" s="27">
        <f>IF(Q27="","",Q27-N(K27))</f>
        <v/>
      </c>
      <c r="S27" s="17">
        <f>IF(OR(B27="",G27="",H27="",AND(L27&lt;&gt;"",L27&lt;=TODAY())),"",MAX(0,N(H27)-N(M27)))</f>
        <v/>
      </c>
      <c r="T27" s="14">
        <f>IF(B27="","",IF(AND(L27&lt;&gt;"",L27&lt;=TODAY()),"Cancelled",IF(L27&lt;&gt;"","Ends "&amp;DAY(L27)&amp;" "&amp;CHOOSE(MONTH(L27),"Jan","Feb","Mar","Apr","May","Jun","Jul","Aug","Sep","Oct","Nov","Dec"),IF(AND(Q27&lt;&gt;"",W27&lt;&gt;"",W27&lt;Q27),"Card expires",IF(AND(Q27&lt;&gt;"",E27&lt;&gt;"Monthly",N(K27)&gt;0,R27&gt;=TODAY(),R27-TODAY()&lt;=N(Settings!$C$5)),"Cancel by "&amp;DAY(R27)&amp;" "&amp;CHOOSE(MONTH(R27),"Jan","Feb","Mar","Apr","May","Jun","Jul","Aug","Sep","Oct","Nov","Dec"),IF(AND(Q27&lt;&gt;"",E27&lt;&gt;"Monthly",Q27-TODAY()&lt;=N(Settings!$C$5)),"Renews "&amp;DAY(Q27)&amp;" "&amp;CHOOSE(MONTH(Q27),"Jan","Feb","Mar","Apr","May","Jun","Jul","Aug","Sep","Oct","Nov","Dec"),IF(N(S27)&gt;0,S27&amp;IF(S27=1," unused seat"," unused seats"),"Active")))))))</f>
        <v/>
      </c>
      <c r="U27" s="1">
        <f>IF(E27="Quarterly",3,IF(E27="Yearly",12,1))</f>
        <v/>
      </c>
      <c r="V27">
        <f>IF(Q27="","",Q27+ROW()/10000000)</f>
        <v/>
      </c>
      <c r="W27">
        <f>IFERROR(IF(INDEX(Cards!$D$6:$D$25,MATCH(I27,Cards!$B$6:$B$25,0))="","",INDEX(Cards!$D$6:$D$25,MATCH(I27,Cards!$B$6:$B$25,0))),"")</f>
        <v/>
      </c>
      <c r="X27">
        <f>IF(OR(T27="",T27="Active",T27="Cancelled"),"",ROW())</f>
        <v/>
      </c>
      <c r="Y27">
        <f>IF(N(S27)=0,0,S27*N(F27)*12/U27)</f>
        <v/>
      </c>
    </row>
    <row r="28">
      <c r="A28" s="1" t="n"/>
      <c r="B28" s="20" t="n"/>
      <c r="C28" s="21" t="n"/>
      <c r="D28" s="21" t="n"/>
      <c r="E28" s="22" t="n"/>
      <c r="F28" s="23" t="n"/>
      <c r="G28" s="22" t="n"/>
      <c r="H28" s="24" t="n"/>
      <c r="I28" s="21" t="n"/>
      <c r="J28" s="25" t="n"/>
      <c r="K28" s="24" t="n"/>
      <c r="L28" s="25" t="n"/>
      <c r="M28" s="26">
        <f>IF(B28="","",SUMIFS(Access!$G$6:$G$405,Access!$C$6:$C$405,B28))</f>
        <v/>
      </c>
      <c r="N28" s="13">
        <f>IF(B28="","",IF(G28&lt;&gt;"",N(F28)*IF(H28="",M28,N(H28)),N(F28)))</f>
        <v/>
      </c>
      <c r="O28" s="13">
        <f>IF(B28="","",IF(AND(L28&lt;&gt;"",L28&lt;=TODAY()),0,N28/U28))</f>
        <v/>
      </c>
      <c r="P28" s="13">
        <f>IF(B28="","",O28*12)</f>
        <v/>
      </c>
      <c r="Q28" s="27">
        <f>IF(OR(B28="",J28=""),"",IF(AND(L28&lt;&gt;"",IF(J28&gt;=TODAY(),J28,IF(EDATE(J28,INT(DATEDIF(J28,TODAY(),"m")/U28)*U28)&gt;=TODAY(),EDATE(J28,INT(DATEDIF(J28,TODAY(),"m")/U28)*U28),EDATE(J28,INT(DATEDIF(J28,TODAY(),"m")/U28)*U28+U28)))&gt;=L28),"",IF(J28&gt;=TODAY(),J28,IF(EDATE(J28,INT(DATEDIF(J28,TODAY(),"m")/U28)*U28)&gt;=TODAY(),EDATE(J28,INT(DATEDIF(J28,TODAY(),"m")/U28)*U28),EDATE(J28,INT(DATEDIF(J28,TODAY(),"m")/U28)*U28+U28)))))</f>
        <v/>
      </c>
      <c r="R28" s="27">
        <f>IF(Q28="","",Q28-N(K28))</f>
        <v/>
      </c>
      <c r="S28" s="17">
        <f>IF(OR(B28="",G28="",H28="",AND(L28&lt;&gt;"",L28&lt;=TODAY())),"",MAX(0,N(H28)-N(M28)))</f>
        <v/>
      </c>
      <c r="T28" s="14">
        <f>IF(B28="","",IF(AND(L28&lt;&gt;"",L28&lt;=TODAY()),"Cancelled",IF(L28&lt;&gt;"","Ends "&amp;DAY(L28)&amp;" "&amp;CHOOSE(MONTH(L28),"Jan","Feb","Mar","Apr","May","Jun","Jul","Aug","Sep","Oct","Nov","Dec"),IF(AND(Q28&lt;&gt;"",W28&lt;&gt;"",W28&lt;Q28),"Card expires",IF(AND(Q28&lt;&gt;"",E28&lt;&gt;"Monthly",N(K28)&gt;0,R28&gt;=TODAY(),R28-TODAY()&lt;=N(Settings!$C$5)),"Cancel by "&amp;DAY(R28)&amp;" "&amp;CHOOSE(MONTH(R28),"Jan","Feb","Mar","Apr","May","Jun","Jul","Aug","Sep","Oct","Nov","Dec"),IF(AND(Q28&lt;&gt;"",E28&lt;&gt;"Monthly",Q28-TODAY()&lt;=N(Settings!$C$5)),"Renews "&amp;DAY(Q28)&amp;" "&amp;CHOOSE(MONTH(Q28),"Jan","Feb","Mar","Apr","May","Jun","Jul","Aug","Sep","Oct","Nov","Dec"),IF(N(S28)&gt;0,S28&amp;IF(S28=1," unused seat"," unused seats"),"Active")))))))</f>
        <v/>
      </c>
      <c r="U28" s="1">
        <f>IF(E28="Quarterly",3,IF(E28="Yearly",12,1))</f>
        <v/>
      </c>
      <c r="V28">
        <f>IF(Q28="","",Q28+ROW()/10000000)</f>
        <v/>
      </c>
      <c r="W28">
        <f>IFERROR(IF(INDEX(Cards!$D$6:$D$25,MATCH(I28,Cards!$B$6:$B$25,0))="","",INDEX(Cards!$D$6:$D$25,MATCH(I28,Cards!$B$6:$B$25,0))),"")</f>
        <v/>
      </c>
      <c r="X28">
        <f>IF(OR(T28="",T28="Active",T28="Cancelled"),"",ROW())</f>
        <v/>
      </c>
      <c r="Y28">
        <f>IF(N(S28)=0,0,S28*N(F28)*12/U28)</f>
        <v/>
      </c>
    </row>
    <row r="29">
      <c r="A29" s="1" t="n"/>
      <c r="B29" s="20" t="n"/>
      <c r="C29" s="21" t="n"/>
      <c r="D29" s="21" t="n"/>
      <c r="E29" s="22" t="n"/>
      <c r="F29" s="23" t="n"/>
      <c r="G29" s="22" t="n"/>
      <c r="H29" s="24" t="n"/>
      <c r="I29" s="21" t="n"/>
      <c r="J29" s="25" t="n"/>
      <c r="K29" s="24" t="n"/>
      <c r="L29" s="25" t="n"/>
      <c r="M29" s="26">
        <f>IF(B29="","",SUMIFS(Access!$G$6:$G$405,Access!$C$6:$C$405,B29))</f>
        <v/>
      </c>
      <c r="N29" s="13">
        <f>IF(B29="","",IF(G29&lt;&gt;"",N(F29)*IF(H29="",M29,N(H29)),N(F29)))</f>
        <v/>
      </c>
      <c r="O29" s="13">
        <f>IF(B29="","",IF(AND(L29&lt;&gt;"",L29&lt;=TODAY()),0,N29/U29))</f>
        <v/>
      </c>
      <c r="P29" s="13">
        <f>IF(B29="","",O29*12)</f>
        <v/>
      </c>
      <c r="Q29" s="27">
        <f>IF(OR(B29="",J29=""),"",IF(AND(L29&lt;&gt;"",IF(J29&gt;=TODAY(),J29,IF(EDATE(J29,INT(DATEDIF(J29,TODAY(),"m")/U29)*U29)&gt;=TODAY(),EDATE(J29,INT(DATEDIF(J29,TODAY(),"m")/U29)*U29),EDATE(J29,INT(DATEDIF(J29,TODAY(),"m")/U29)*U29+U29)))&gt;=L29),"",IF(J29&gt;=TODAY(),J29,IF(EDATE(J29,INT(DATEDIF(J29,TODAY(),"m")/U29)*U29)&gt;=TODAY(),EDATE(J29,INT(DATEDIF(J29,TODAY(),"m")/U29)*U29),EDATE(J29,INT(DATEDIF(J29,TODAY(),"m")/U29)*U29+U29)))))</f>
        <v/>
      </c>
      <c r="R29" s="27">
        <f>IF(Q29="","",Q29-N(K29))</f>
        <v/>
      </c>
      <c r="S29" s="17">
        <f>IF(OR(B29="",G29="",H29="",AND(L29&lt;&gt;"",L29&lt;=TODAY())),"",MAX(0,N(H29)-N(M29)))</f>
        <v/>
      </c>
      <c r="T29" s="14">
        <f>IF(B29="","",IF(AND(L29&lt;&gt;"",L29&lt;=TODAY()),"Cancelled",IF(L29&lt;&gt;"","Ends "&amp;DAY(L29)&amp;" "&amp;CHOOSE(MONTH(L29),"Jan","Feb","Mar","Apr","May","Jun","Jul","Aug","Sep","Oct","Nov","Dec"),IF(AND(Q29&lt;&gt;"",W29&lt;&gt;"",W29&lt;Q29),"Card expires",IF(AND(Q29&lt;&gt;"",E29&lt;&gt;"Monthly",N(K29)&gt;0,R29&gt;=TODAY(),R29-TODAY()&lt;=N(Settings!$C$5)),"Cancel by "&amp;DAY(R29)&amp;" "&amp;CHOOSE(MONTH(R29),"Jan","Feb","Mar","Apr","May","Jun","Jul","Aug","Sep","Oct","Nov","Dec"),IF(AND(Q29&lt;&gt;"",E29&lt;&gt;"Monthly",Q29-TODAY()&lt;=N(Settings!$C$5)),"Renews "&amp;DAY(Q29)&amp;" "&amp;CHOOSE(MONTH(Q29),"Jan","Feb","Mar","Apr","May","Jun","Jul","Aug","Sep","Oct","Nov","Dec"),IF(N(S29)&gt;0,S29&amp;IF(S29=1," unused seat"," unused seats"),"Active")))))))</f>
        <v/>
      </c>
      <c r="U29" s="1">
        <f>IF(E29="Quarterly",3,IF(E29="Yearly",12,1))</f>
        <v/>
      </c>
      <c r="V29">
        <f>IF(Q29="","",Q29+ROW()/10000000)</f>
        <v/>
      </c>
      <c r="W29">
        <f>IFERROR(IF(INDEX(Cards!$D$6:$D$25,MATCH(I29,Cards!$B$6:$B$25,0))="","",INDEX(Cards!$D$6:$D$25,MATCH(I29,Cards!$B$6:$B$25,0))),"")</f>
        <v/>
      </c>
      <c r="X29">
        <f>IF(OR(T29="",T29="Active",T29="Cancelled"),"",ROW())</f>
        <v/>
      </c>
      <c r="Y29">
        <f>IF(N(S29)=0,0,S29*N(F29)*12/U29)</f>
        <v/>
      </c>
    </row>
    <row r="30">
      <c r="A30" s="1" t="n"/>
      <c r="B30" s="20" t="n"/>
      <c r="C30" s="21" t="n"/>
      <c r="D30" s="21" t="n"/>
      <c r="E30" s="22" t="n"/>
      <c r="F30" s="23" t="n"/>
      <c r="G30" s="22" t="n"/>
      <c r="H30" s="24" t="n"/>
      <c r="I30" s="21" t="n"/>
      <c r="J30" s="25" t="n"/>
      <c r="K30" s="24" t="n"/>
      <c r="L30" s="25" t="n"/>
      <c r="M30" s="26">
        <f>IF(B30="","",SUMIFS(Access!$G$6:$G$405,Access!$C$6:$C$405,B30))</f>
        <v/>
      </c>
      <c r="N30" s="13">
        <f>IF(B30="","",IF(G30&lt;&gt;"",N(F30)*IF(H30="",M30,N(H30)),N(F30)))</f>
        <v/>
      </c>
      <c r="O30" s="13">
        <f>IF(B30="","",IF(AND(L30&lt;&gt;"",L30&lt;=TODAY()),0,N30/U30))</f>
        <v/>
      </c>
      <c r="P30" s="13">
        <f>IF(B30="","",O30*12)</f>
        <v/>
      </c>
      <c r="Q30" s="27">
        <f>IF(OR(B30="",J30=""),"",IF(AND(L30&lt;&gt;"",IF(J30&gt;=TODAY(),J30,IF(EDATE(J30,INT(DATEDIF(J30,TODAY(),"m")/U30)*U30)&gt;=TODAY(),EDATE(J30,INT(DATEDIF(J30,TODAY(),"m")/U30)*U30),EDATE(J30,INT(DATEDIF(J30,TODAY(),"m")/U30)*U30+U30)))&gt;=L30),"",IF(J30&gt;=TODAY(),J30,IF(EDATE(J30,INT(DATEDIF(J30,TODAY(),"m")/U30)*U30)&gt;=TODAY(),EDATE(J30,INT(DATEDIF(J30,TODAY(),"m")/U30)*U30),EDATE(J30,INT(DATEDIF(J30,TODAY(),"m")/U30)*U30+U30)))))</f>
        <v/>
      </c>
      <c r="R30" s="27">
        <f>IF(Q30="","",Q30-N(K30))</f>
        <v/>
      </c>
      <c r="S30" s="17">
        <f>IF(OR(B30="",G30="",H30="",AND(L30&lt;&gt;"",L30&lt;=TODAY())),"",MAX(0,N(H30)-N(M30)))</f>
        <v/>
      </c>
      <c r="T30" s="14">
        <f>IF(B30="","",IF(AND(L30&lt;&gt;"",L30&lt;=TODAY()),"Cancelled",IF(L30&lt;&gt;"","Ends "&amp;DAY(L30)&amp;" "&amp;CHOOSE(MONTH(L30),"Jan","Feb","Mar","Apr","May","Jun","Jul","Aug","Sep","Oct","Nov","Dec"),IF(AND(Q30&lt;&gt;"",W30&lt;&gt;"",W30&lt;Q30),"Card expires",IF(AND(Q30&lt;&gt;"",E30&lt;&gt;"Monthly",N(K30)&gt;0,R30&gt;=TODAY(),R30-TODAY()&lt;=N(Settings!$C$5)),"Cancel by "&amp;DAY(R30)&amp;" "&amp;CHOOSE(MONTH(R30),"Jan","Feb","Mar","Apr","May","Jun","Jul","Aug","Sep","Oct","Nov","Dec"),IF(AND(Q30&lt;&gt;"",E30&lt;&gt;"Monthly",Q30-TODAY()&lt;=N(Settings!$C$5)),"Renews "&amp;DAY(Q30)&amp;" "&amp;CHOOSE(MONTH(Q30),"Jan","Feb","Mar","Apr","May","Jun","Jul","Aug","Sep","Oct","Nov","Dec"),IF(N(S30)&gt;0,S30&amp;IF(S30=1," unused seat"," unused seats"),"Active")))))))</f>
        <v/>
      </c>
      <c r="U30" s="1">
        <f>IF(E30="Quarterly",3,IF(E30="Yearly",12,1))</f>
        <v/>
      </c>
      <c r="V30">
        <f>IF(Q30="","",Q30+ROW()/10000000)</f>
        <v/>
      </c>
      <c r="W30">
        <f>IFERROR(IF(INDEX(Cards!$D$6:$D$25,MATCH(I30,Cards!$B$6:$B$25,0))="","",INDEX(Cards!$D$6:$D$25,MATCH(I30,Cards!$B$6:$B$25,0))),"")</f>
        <v/>
      </c>
      <c r="X30">
        <f>IF(OR(T30="",T30="Active",T30="Cancelled"),"",ROW())</f>
        <v/>
      </c>
      <c r="Y30">
        <f>IF(N(S30)=0,0,S30*N(F30)*12/U30)</f>
        <v/>
      </c>
    </row>
    <row r="31">
      <c r="A31" s="1" t="n"/>
      <c r="B31" s="20" t="n"/>
      <c r="C31" s="21" t="n"/>
      <c r="D31" s="21" t="n"/>
      <c r="E31" s="22" t="n"/>
      <c r="F31" s="23" t="n"/>
      <c r="G31" s="22" t="n"/>
      <c r="H31" s="24" t="n"/>
      <c r="I31" s="21" t="n"/>
      <c r="J31" s="25" t="n"/>
      <c r="K31" s="24" t="n"/>
      <c r="L31" s="25" t="n"/>
      <c r="M31" s="26">
        <f>IF(B31="","",SUMIFS(Access!$G$6:$G$405,Access!$C$6:$C$405,B31))</f>
        <v/>
      </c>
      <c r="N31" s="13">
        <f>IF(B31="","",IF(G31&lt;&gt;"",N(F31)*IF(H31="",M31,N(H31)),N(F31)))</f>
        <v/>
      </c>
      <c r="O31" s="13">
        <f>IF(B31="","",IF(AND(L31&lt;&gt;"",L31&lt;=TODAY()),0,N31/U31))</f>
        <v/>
      </c>
      <c r="P31" s="13">
        <f>IF(B31="","",O31*12)</f>
        <v/>
      </c>
      <c r="Q31" s="27">
        <f>IF(OR(B31="",J31=""),"",IF(AND(L31&lt;&gt;"",IF(J31&gt;=TODAY(),J31,IF(EDATE(J31,INT(DATEDIF(J31,TODAY(),"m")/U31)*U31)&gt;=TODAY(),EDATE(J31,INT(DATEDIF(J31,TODAY(),"m")/U31)*U31),EDATE(J31,INT(DATEDIF(J31,TODAY(),"m")/U31)*U31+U31)))&gt;=L31),"",IF(J31&gt;=TODAY(),J31,IF(EDATE(J31,INT(DATEDIF(J31,TODAY(),"m")/U31)*U31)&gt;=TODAY(),EDATE(J31,INT(DATEDIF(J31,TODAY(),"m")/U31)*U31),EDATE(J31,INT(DATEDIF(J31,TODAY(),"m")/U31)*U31+U31)))))</f>
        <v/>
      </c>
      <c r="R31" s="27">
        <f>IF(Q31="","",Q31-N(K31))</f>
        <v/>
      </c>
      <c r="S31" s="17">
        <f>IF(OR(B31="",G31="",H31="",AND(L31&lt;&gt;"",L31&lt;=TODAY())),"",MAX(0,N(H31)-N(M31)))</f>
        <v/>
      </c>
      <c r="T31" s="14">
        <f>IF(B31="","",IF(AND(L31&lt;&gt;"",L31&lt;=TODAY()),"Cancelled",IF(L31&lt;&gt;"","Ends "&amp;DAY(L31)&amp;" "&amp;CHOOSE(MONTH(L31),"Jan","Feb","Mar","Apr","May","Jun","Jul","Aug","Sep","Oct","Nov","Dec"),IF(AND(Q31&lt;&gt;"",W31&lt;&gt;"",W31&lt;Q31),"Card expires",IF(AND(Q31&lt;&gt;"",E31&lt;&gt;"Monthly",N(K31)&gt;0,R31&gt;=TODAY(),R31-TODAY()&lt;=N(Settings!$C$5)),"Cancel by "&amp;DAY(R31)&amp;" "&amp;CHOOSE(MONTH(R31),"Jan","Feb","Mar","Apr","May","Jun","Jul","Aug","Sep","Oct","Nov","Dec"),IF(AND(Q31&lt;&gt;"",E31&lt;&gt;"Monthly",Q31-TODAY()&lt;=N(Settings!$C$5)),"Renews "&amp;DAY(Q31)&amp;" "&amp;CHOOSE(MONTH(Q31),"Jan","Feb","Mar","Apr","May","Jun","Jul","Aug","Sep","Oct","Nov","Dec"),IF(N(S31)&gt;0,S31&amp;IF(S31=1," unused seat"," unused seats"),"Active")))))))</f>
        <v/>
      </c>
      <c r="U31" s="1">
        <f>IF(E31="Quarterly",3,IF(E31="Yearly",12,1))</f>
        <v/>
      </c>
      <c r="V31">
        <f>IF(Q31="","",Q31+ROW()/10000000)</f>
        <v/>
      </c>
      <c r="W31">
        <f>IFERROR(IF(INDEX(Cards!$D$6:$D$25,MATCH(I31,Cards!$B$6:$B$25,0))="","",INDEX(Cards!$D$6:$D$25,MATCH(I31,Cards!$B$6:$B$25,0))),"")</f>
        <v/>
      </c>
      <c r="X31">
        <f>IF(OR(T31="",T31="Active",T31="Cancelled"),"",ROW())</f>
        <v/>
      </c>
      <c r="Y31">
        <f>IF(N(S31)=0,0,S31*N(F31)*12/U31)</f>
        <v/>
      </c>
    </row>
    <row r="32">
      <c r="A32" s="1" t="n"/>
      <c r="B32" s="20" t="n"/>
      <c r="C32" s="21" t="n"/>
      <c r="D32" s="21" t="n"/>
      <c r="E32" s="22" t="n"/>
      <c r="F32" s="23" t="n"/>
      <c r="G32" s="22" t="n"/>
      <c r="H32" s="24" t="n"/>
      <c r="I32" s="21" t="n"/>
      <c r="J32" s="25" t="n"/>
      <c r="K32" s="24" t="n"/>
      <c r="L32" s="25" t="n"/>
      <c r="M32" s="26">
        <f>IF(B32="","",SUMIFS(Access!$G$6:$G$405,Access!$C$6:$C$405,B32))</f>
        <v/>
      </c>
      <c r="N32" s="13">
        <f>IF(B32="","",IF(G32&lt;&gt;"",N(F32)*IF(H32="",M32,N(H32)),N(F32)))</f>
        <v/>
      </c>
      <c r="O32" s="13">
        <f>IF(B32="","",IF(AND(L32&lt;&gt;"",L32&lt;=TODAY()),0,N32/U32))</f>
        <v/>
      </c>
      <c r="P32" s="13">
        <f>IF(B32="","",O32*12)</f>
        <v/>
      </c>
      <c r="Q32" s="27">
        <f>IF(OR(B32="",J32=""),"",IF(AND(L32&lt;&gt;"",IF(J32&gt;=TODAY(),J32,IF(EDATE(J32,INT(DATEDIF(J32,TODAY(),"m")/U32)*U32)&gt;=TODAY(),EDATE(J32,INT(DATEDIF(J32,TODAY(),"m")/U32)*U32),EDATE(J32,INT(DATEDIF(J32,TODAY(),"m")/U32)*U32+U32)))&gt;=L32),"",IF(J32&gt;=TODAY(),J32,IF(EDATE(J32,INT(DATEDIF(J32,TODAY(),"m")/U32)*U32)&gt;=TODAY(),EDATE(J32,INT(DATEDIF(J32,TODAY(),"m")/U32)*U32),EDATE(J32,INT(DATEDIF(J32,TODAY(),"m")/U32)*U32+U32)))))</f>
        <v/>
      </c>
      <c r="R32" s="27">
        <f>IF(Q32="","",Q32-N(K32))</f>
        <v/>
      </c>
      <c r="S32" s="17">
        <f>IF(OR(B32="",G32="",H32="",AND(L32&lt;&gt;"",L32&lt;=TODAY())),"",MAX(0,N(H32)-N(M32)))</f>
        <v/>
      </c>
      <c r="T32" s="14">
        <f>IF(B32="","",IF(AND(L32&lt;&gt;"",L32&lt;=TODAY()),"Cancelled",IF(L32&lt;&gt;"","Ends "&amp;DAY(L32)&amp;" "&amp;CHOOSE(MONTH(L32),"Jan","Feb","Mar","Apr","May","Jun","Jul","Aug","Sep","Oct","Nov","Dec"),IF(AND(Q32&lt;&gt;"",W32&lt;&gt;"",W32&lt;Q32),"Card expires",IF(AND(Q32&lt;&gt;"",E32&lt;&gt;"Monthly",N(K32)&gt;0,R32&gt;=TODAY(),R32-TODAY()&lt;=N(Settings!$C$5)),"Cancel by "&amp;DAY(R32)&amp;" "&amp;CHOOSE(MONTH(R32),"Jan","Feb","Mar","Apr","May","Jun","Jul","Aug","Sep","Oct","Nov","Dec"),IF(AND(Q32&lt;&gt;"",E32&lt;&gt;"Monthly",Q32-TODAY()&lt;=N(Settings!$C$5)),"Renews "&amp;DAY(Q32)&amp;" "&amp;CHOOSE(MONTH(Q32),"Jan","Feb","Mar","Apr","May","Jun","Jul","Aug","Sep","Oct","Nov","Dec"),IF(N(S32)&gt;0,S32&amp;IF(S32=1," unused seat"," unused seats"),"Active")))))))</f>
        <v/>
      </c>
      <c r="U32" s="1">
        <f>IF(E32="Quarterly",3,IF(E32="Yearly",12,1))</f>
        <v/>
      </c>
      <c r="V32">
        <f>IF(Q32="","",Q32+ROW()/10000000)</f>
        <v/>
      </c>
      <c r="W32">
        <f>IFERROR(IF(INDEX(Cards!$D$6:$D$25,MATCH(I32,Cards!$B$6:$B$25,0))="","",INDEX(Cards!$D$6:$D$25,MATCH(I32,Cards!$B$6:$B$25,0))),"")</f>
        <v/>
      </c>
      <c r="X32">
        <f>IF(OR(T32="",T32="Active",T32="Cancelled"),"",ROW())</f>
        <v/>
      </c>
      <c r="Y32">
        <f>IF(N(S32)=0,0,S32*N(F32)*12/U32)</f>
        <v/>
      </c>
    </row>
    <row r="33">
      <c r="A33" s="1" t="n"/>
      <c r="B33" s="20" t="n"/>
      <c r="C33" s="21" t="n"/>
      <c r="D33" s="21" t="n"/>
      <c r="E33" s="22" t="n"/>
      <c r="F33" s="23" t="n"/>
      <c r="G33" s="22" t="n"/>
      <c r="H33" s="24" t="n"/>
      <c r="I33" s="21" t="n"/>
      <c r="J33" s="25" t="n"/>
      <c r="K33" s="24" t="n"/>
      <c r="L33" s="25" t="n"/>
      <c r="M33" s="26">
        <f>IF(B33="","",SUMIFS(Access!$G$6:$G$405,Access!$C$6:$C$405,B33))</f>
        <v/>
      </c>
      <c r="N33" s="13">
        <f>IF(B33="","",IF(G33&lt;&gt;"",N(F33)*IF(H33="",M33,N(H33)),N(F33)))</f>
        <v/>
      </c>
      <c r="O33" s="13">
        <f>IF(B33="","",IF(AND(L33&lt;&gt;"",L33&lt;=TODAY()),0,N33/U33))</f>
        <v/>
      </c>
      <c r="P33" s="13">
        <f>IF(B33="","",O33*12)</f>
        <v/>
      </c>
      <c r="Q33" s="27">
        <f>IF(OR(B33="",J33=""),"",IF(AND(L33&lt;&gt;"",IF(J33&gt;=TODAY(),J33,IF(EDATE(J33,INT(DATEDIF(J33,TODAY(),"m")/U33)*U33)&gt;=TODAY(),EDATE(J33,INT(DATEDIF(J33,TODAY(),"m")/U33)*U33),EDATE(J33,INT(DATEDIF(J33,TODAY(),"m")/U33)*U33+U33)))&gt;=L33),"",IF(J33&gt;=TODAY(),J33,IF(EDATE(J33,INT(DATEDIF(J33,TODAY(),"m")/U33)*U33)&gt;=TODAY(),EDATE(J33,INT(DATEDIF(J33,TODAY(),"m")/U33)*U33),EDATE(J33,INT(DATEDIF(J33,TODAY(),"m")/U33)*U33+U33)))))</f>
        <v/>
      </c>
      <c r="R33" s="27">
        <f>IF(Q33="","",Q33-N(K33))</f>
        <v/>
      </c>
      <c r="S33" s="17">
        <f>IF(OR(B33="",G33="",H33="",AND(L33&lt;&gt;"",L33&lt;=TODAY())),"",MAX(0,N(H33)-N(M33)))</f>
        <v/>
      </c>
      <c r="T33" s="14">
        <f>IF(B33="","",IF(AND(L33&lt;&gt;"",L33&lt;=TODAY()),"Cancelled",IF(L33&lt;&gt;"","Ends "&amp;DAY(L33)&amp;" "&amp;CHOOSE(MONTH(L33),"Jan","Feb","Mar","Apr","May","Jun","Jul","Aug","Sep","Oct","Nov","Dec"),IF(AND(Q33&lt;&gt;"",W33&lt;&gt;"",W33&lt;Q33),"Card expires",IF(AND(Q33&lt;&gt;"",E33&lt;&gt;"Monthly",N(K33)&gt;0,R33&gt;=TODAY(),R33-TODAY()&lt;=N(Settings!$C$5)),"Cancel by "&amp;DAY(R33)&amp;" "&amp;CHOOSE(MONTH(R33),"Jan","Feb","Mar","Apr","May","Jun","Jul","Aug","Sep","Oct","Nov","Dec"),IF(AND(Q33&lt;&gt;"",E33&lt;&gt;"Monthly",Q33-TODAY()&lt;=N(Settings!$C$5)),"Renews "&amp;DAY(Q33)&amp;" "&amp;CHOOSE(MONTH(Q33),"Jan","Feb","Mar","Apr","May","Jun","Jul","Aug","Sep","Oct","Nov","Dec"),IF(N(S33)&gt;0,S33&amp;IF(S33=1," unused seat"," unused seats"),"Active")))))))</f>
        <v/>
      </c>
      <c r="U33" s="1">
        <f>IF(E33="Quarterly",3,IF(E33="Yearly",12,1))</f>
        <v/>
      </c>
      <c r="V33">
        <f>IF(Q33="","",Q33+ROW()/10000000)</f>
        <v/>
      </c>
      <c r="W33">
        <f>IFERROR(IF(INDEX(Cards!$D$6:$D$25,MATCH(I33,Cards!$B$6:$B$25,0))="","",INDEX(Cards!$D$6:$D$25,MATCH(I33,Cards!$B$6:$B$25,0))),"")</f>
        <v/>
      </c>
      <c r="X33">
        <f>IF(OR(T33="",T33="Active",T33="Cancelled"),"",ROW())</f>
        <v/>
      </c>
      <c r="Y33">
        <f>IF(N(S33)=0,0,S33*N(F33)*12/U33)</f>
        <v/>
      </c>
    </row>
    <row r="34">
      <c r="A34" s="1" t="n"/>
      <c r="B34" s="20" t="n"/>
      <c r="C34" s="21" t="n"/>
      <c r="D34" s="21" t="n"/>
      <c r="E34" s="22" t="n"/>
      <c r="F34" s="23" t="n"/>
      <c r="G34" s="22" t="n"/>
      <c r="H34" s="24" t="n"/>
      <c r="I34" s="21" t="n"/>
      <c r="J34" s="25" t="n"/>
      <c r="K34" s="24" t="n"/>
      <c r="L34" s="25" t="n"/>
      <c r="M34" s="26">
        <f>IF(B34="","",SUMIFS(Access!$G$6:$G$405,Access!$C$6:$C$405,B34))</f>
        <v/>
      </c>
      <c r="N34" s="13">
        <f>IF(B34="","",IF(G34&lt;&gt;"",N(F34)*IF(H34="",M34,N(H34)),N(F34)))</f>
        <v/>
      </c>
      <c r="O34" s="13">
        <f>IF(B34="","",IF(AND(L34&lt;&gt;"",L34&lt;=TODAY()),0,N34/U34))</f>
        <v/>
      </c>
      <c r="P34" s="13">
        <f>IF(B34="","",O34*12)</f>
        <v/>
      </c>
      <c r="Q34" s="27">
        <f>IF(OR(B34="",J34=""),"",IF(AND(L34&lt;&gt;"",IF(J34&gt;=TODAY(),J34,IF(EDATE(J34,INT(DATEDIF(J34,TODAY(),"m")/U34)*U34)&gt;=TODAY(),EDATE(J34,INT(DATEDIF(J34,TODAY(),"m")/U34)*U34),EDATE(J34,INT(DATEDIF(J34,TODAY(),"m")/U34)*U34+U34)))&gt;=L34),"",IF(J34&gt;=TODAY(),J34,IF(EDATE(J34,INT(DATEDIF(J34,TODAY(),"m")/U34)*U34)&gt;=TODAY(),EDATE(J34,INT(DATEDIF(J34,TODAY(),"m")/U34)*U34),EDATE(J34,INT(DATEDIF(J34,TODAY(),"m")/U34)*U34+U34)))))</f>
        <v/>
      </c>
      <c r="R34" s="27">
        <f>IF(Q34="","",Q34-N(K34))</f>
        <v/>
      </c>
      <c r="S34" s="17">
        <f>IF(OR(B34="",G34="",H34="",AND(L34&lt;&gt;"",L34&lt;=TODAY())),"",MAX(0,N(H34)-N(M34)))</f>
        <v/>
      </c>
      <c r="T34" s="14">
        <f>IF(B34="","",IF(AND(L34&lt;&gt;"",L34&lt;=TODAY()),"Cancelled",IF(L34&lt;&gt;"","Ends "&amp;DAY(L34)&amp;" "&amp;CHOOSE(MONTH(L34),"Jan","Feb","Mar","Apr","May","Jun","Jul","Aug","Sep","Oct","Nov","Dec"),IF(AND(Q34&lt;&gt;"",W34&lt;&gt;"",W34&lt;Q34),"Card expires",IF(AND(Q34&lt;&gt;"",E34&lt;&gt;"Monthly",N(K34)&gt;0,R34&gt;=TODAY(),R34-TODAY()&lt;=N(Settings!$C$5)),"Cancel by "&amp;DAY(R34)&amp;" "&amp;CHOOSE(MONTH(R34),"Jan","Feb","Mar","Apr","May","Jun","Jul","Aug","Sep","Oct","Nov","Dec"),IF(AND(Q34&lt;&gt;"",E34&lt;&gt;"Monthly",Q34-TODAY()&lt;=N(Settings!$C$5)),"Renews "&amp;DAY(Q34)&amp;" "&amp;CHOOSE(MONTH(Q34),"Jan","Feb","Mar","Apr","May","Jun","Jul","Aug","Sep","Oct","Nov","Dec"),IF(N(S34)&gt;0,S34&amp;IF(S34=1," unused seat"," unused seats"),"Active")))))))</f>
        <v/>
      </c>
      <c r="U34" s="1">
        <f>IF(E34="Quarterly",3,IF(E34="Yearly",12,1))</f>
        <v/>
      </c>
      <c r="V34">
        <f>IF(Q34="","",Q34+ROW()/10000000)</f>
        <v/>
      </c>
      <c r="W34">
        <f>IFERROR(IF(INDEX(Cards!$D$6:$D$25,MATCH(I34,Cards!$B$6:$B$25,0))="","",INDEX(Cards!$D$6:$D$25,MATCH(I34,Cards!$B$6:$B$25,0))),"")</f>
        <v/>
      </c>
      <c r="X34">
        <f>IF(OR(T34="",T34="Active",T34="Cancelled"),"",ROW())</f>
        <v/>
      </c>
      <c r="Y34">
        <f>IF(N(S34)=0,0,S34*N(F34)*12/U34)</f>
        <v/>
      </c>
    </row>
    <row r="35">
      <c r="A35" s="1" t="n"/>
      <c r="B35" s="20" t="n"/>
      <c r="C35" s="21" t="n"/>
      <c r="D35" s="21" t="n"/>
      <c r="E35" s="22" t="n"/>
      <c r="F35" s="23" t="n"/>
      <c r="G35" s="22" t="n"/>
      <c r="H35" s="24" t="n"/>
      <c r="I35" s="21" t="n"/>
      <c r="J35" s="25" t="n"/>
      <c r="K35" s="24" t="n"/>
      <c r="L35" s="25" t="n"/>
      <c r="M35" s="26">
        <f>IF(B35="","",SUMIFS(Access!$G$6:$G$405,Access!$C$6:$C$405,B35))</f>
        <v/>
      </c>
      <c r="N35" s="13">
        <f>IF(B35="","",IF(G35&lt;&gt;"",N(F35)*IF(H35="",M35,N(H35)),N(F35)))</f>
        <v/>
      </c>
      <c r="O35" s="13">
        <f>IF(B35="","",IF(AND(L35&lt;&gt;"",L35&lt;=TODAY()),0,N35/U35))</f>
        <v/>
      </c>
      <c r="P35" s="13">
        <f>IF(B35="","",O35*12)</f>
        <v/>
      </c>
      <c r="Q35" s="27">
        <f>IF(OR(B35="",J35=""),"",IF(AND(L35&lt;&gt;"",IF(J35&gt;=TODAY(),J35,IF(EDATE(J35,INT(DATEDIF(J35,TODAY(),"m")/U35)*U35)&gt;=TODAY(),EDATE(J35,INT(DATEDIF(J35,TODAY(),"m")/U35)*U35),EDATE(J35,INT(DATEDIF(J35,TODAY(),"m")/U35)*U35+U35)))&gt;=L35),"",IF(J35&gt;=TODAY(),J35,IF(EDATE(J35,INT(DATEDIF(J35,TODAY(),"m")/U35)*U35)&gt;=TODAY(),EDATE(J35,INT(DATEDIF(J35,TODAY(),"m")/U35)*U35),EDATE(J35,INT(DATEDIF(J35,TODAY(),"m")/U35)*U35+U35)))))</f>
        <v/>
      </c>
      <c r="R35" s="27">
        <f>IF(Q35="","",Q35-N(K35))</f>
        <v/>
      </c>
      <c r="S35" s="17">
        <f>IF(OR(B35="",G35="",H35="",AND(L35&lt;&gt;"",L35&lt;=TODAY())),"",MAX(0,N(H35)-N(M35)))</f>
        <v/>
      </c>
      <c r="T35" s="14">
        <f>IF(B35="","",IF(AND(L35&lt;&gt;"",L35&lt;=TODAY()),"Cancelled",IF(L35&lt;&gt;"","Ends "&amp;DAY(L35)&amp;" "&amp;CHOOSE(MONTH(L35),"Jan","Feb","Mar","Apr","May","Jun","Jul","Aug","Sep","Oct","Nov","Dec"),IF(AND(Q35&lt;&gt;"",W35&lt;&gt;"",W35&lt;Q35),"Card expires",IF(AND(Q35&lt;&gt;"",E35&lt;&gt;"Monthly",N(K35)&gt;0,R35&gt;=TODAY(),R35-TODAY()&lt;=N(Settings!$C$5)),"Cancel by "&amp;DAY(R35)&amp;" "&amp;CHOOSE(MONTH(R35),"Jan","Feb","Mar","Apr","May","Jun","Jul","Aug","Sep","Oct","Nov","Dec"),IF(AND(Q35&lt;&gt;"",E35&lt;&gt;"Monthly",Q35-TODAY()&lt;=N(Settings!$C$5)),"Renews "&amp;DAY(Q35)&amp;" "&amp;CHOOSE(MONTH(Q35),"Jan","Feb","Mar","Apr","May","Jun","Jul","Aug","Sep","Oct","Nov","Dec"),IF(N(S35)&gt;0,S35&amp;IF(S35=1," unused seat"," unused seats"),"Active")))))))</f>
        <v/>
      </c>
      <c r="U35" s="1">
        <f>IF(E35="Quarterly",3,IF(E35="Yearly",12,1))</f>
        <v/>
      </c>
      <c r="V35">
        <f>IF(Q35="","",Q35+ROW()/10000000)</f>
        <v/>
      </c>
      <c r="W35">
        <f>IFERROR(IF(INDEX(Cards!$D$6:$D$25,MATCH(I35,Cards!$B$6:$B$25,0))="","",INDEX(Cards!$D$6:$D$25,MATCH(I35,Cards!$B$6:$B$25,0))),"")</f>
        <v/>
      </c>
      <c r="X35">
        <f>IF(OR(T35="",T35="Active",T35="Cancelled"),"",ROW())</f>
        <v/>
      </c>
      <c r="Y35">
        <f>IF(N(S35)=0,0,S35*N(F35)*12/U35)</f>
        <v/>
      </c>
    </row>
    <row r="36">
      <c r="A36" s="1" t="n"/>
      <c r="B36" s="20" t="n"/>
      <c r="C36" s="21" t="n"/>
      <c r="D36" s="21" t="n"/>
      <c r="E36" s="22" t="n"/>
      <c r="F36" s="23" t="n"/>
      <c r="G36" s="22" t="n"/>
      <c r="H36" s="24" t="n"/>
      <c r="I36" s="21" t="n"/>
      <c r="J36" s="25" t="n"/>
      <c r="K36" s="24" t="n"/>
      <c r="L36" s="25" t="n"/>
      <c r="M36" s="26">
        <f>IF(B36="","",SUMIFS(Access!$G$6:$G$405,Access!$C$6:$C$405,B36))</f>
        <v/>
      </c>
      <c r="N36" s="13">
        <f>IF(B36="","",IF(G36&lt;&gt;"",N(F36)*IF(H36="",M36,N(H36)),N(F36)))</f>
        <v/>
      </c>
      <c r="O36" s="13">
        <f>IF(B36="","",IF(AND(L36&lt;&gt;"",L36&lt;=TODAY()),0,N36/U36))</f>
        <v/>
      </c>
      <c r="P36" s="13">
        <f>IF(B36="","",O36*12)</f>
        <v/>
      </c>
      <c r="Q36" s="27">
        <f>IF(OR(B36="",J36=""),"",IF(AND(L36&lt;&gt;"",IF(J36&gt;=TODAY(),J36,IF(EDATE(J36,INT(DATEDIF(J36,TODAY(),"m")/U36)*U36)&gt;=TODAY(),EDATE(J36,INT(DATEDIF(J36,TODAY(),"m")/U36)*U36),EDATE(J36,INT(DATEDIF(J36,TODAY(),"m")/U36)*U36+U36)))&gt;=L36),"",IF(J36&gt;=TODAY(),J36,IF(EDATE(J36,INT(DATEDIF(J36,TODAY(),"m")/U36)*U36)&gt;=TODAY(),EDATE(J36,INT(DATEDIF(J36,TODAY(),"m")/U36)*U36),EDATE(J36,INT(DATEDIF(J36,TODAY(),"m")/U36)*U36+U36)))))</f>
        <v/>
      </c>
      <c r="R36" s="27">
        <f>IF(Q36="","",Q36-N(K36))</f>
        <v/>
      </c>
      <c r="S36" s="17">
        <f>IF(OR(B36="",G36="",H36="",AND(L36&lt;&gt;"",L36&lt;=TODAY())),"",MAX(0,N(H36)-N(M36)))</f>
        <v/>
      </c>
      <c r="T36" s="14">
        <f>IF(B36="","",IF(AND(L36&lt;&gt;"",L36&lt;=TODAY()),"Cancelled",IF(L36&lt;&gt;"","Ends "&amp;DAY(L36)&amp;" "&amp;CHOOSE(MONTH(L36),"Jan","Feb","Mar","Apr","May","Jun","Jul","Aug","Sep","Oct","Nov","Dec"),IF(AND(Q36&lt;&gt;"",W36&lt;&gt;"",W36&lt;Q36),"Card expires",IF(AND(Q36&lt;&gt;"",E36&lt;&gt;"Monthly",N(K36)&gt;0,R36&gt;=TODAY(),R36-TODAY()&lt;=N(Settings!$C$5)),"Cancel by "&amp;DAY(R36)&amp;" "&amp;CHOOSE(MONTH(R36),"Jan","Feb","Mar","Apr","May","Jun","Jul","Aug","Sep","Oct","Nov","Dec"),IF(AND(Q36&lt;&gt;"",E36&lt;&gt;"Monthly",Q36-TODAY()&lt;=N(Settings!$C$5)),"Renews "&amp;DAY(Q36)&amp;" "&amp;CHOOSE(MONTH(Q36),"Jan","Feb","Mar","Apr","May","Jun","Jul","Aug","Sep","Oct","Nov","Dec"),IF(N(S36)&gt;0,S36&amp;IF(S36=1," unused seat"," unused seats"),"Active")))))))</f>
        <v/>
      </c>
      <c r="U36" s="1">
        <f>IF(E36="Quarterly",3,IF(E36="Yearly",12,1))</f>
        <v/>
      </c>
      <c r="V36">
        <f>IF(Q36="","",Q36+ROW()/10000000)</f>
        <v/>
      </c>
      <c r="W36">
        <f>IFERROR(IF(INDEX(Cards!$D$6:$D$25,MATCH(I36,Cards!$B$6:$B$25,0))="","",INDEX(Cards!$D$6:$D$25,MATCH(I36,Cards!$B$6:$B$25,0))),"")</f>
        <v/>
      </c>
      <c r="X36">
        <f>IF(OR(T36="",T36="Active",T36="Cancelled"),"",ROW())</f>
        <v/>
      </c>
      <c r="Y36">
        <f>IF(N(S36)=0,0,S36*N(F36)*12/U36)</f>
        <v/>
      </c>
    </row>
    <row r="37">
      <c r="A37" s="1" t="n"/>
      <c r="B37" s="20" t="n"/>
      <c r="C37" s="21" t="n"/>
      <c r="D37" s="21" t="n"/>
      <c r="E37" s="22" t="n"/>
      <c r="F37" s="23" t="n"/>
      <c r="G37" s="22" t="n"/>
      <c r="H37" s="24" t="n"/>
      <c r="I37" s="21" t="n"/>
      <c r="J37" s="25" t="n"/>
      <c r="K37" s="24" t="n"/>
      <c r="L37" s="25" t="n"/>
      <c r="M37" s="26">
        <f>IF(B37="","",SUMIFS(Access!$G$6:$G$405,Access!$C$6:$C$405,B37))</f>
        <v/>
      </c>
      <c r="N37" s="13">
        <f>IF(B37="","",IF(G37&lt;&gt;"",N(F37)*IF(H37="",M37,N(H37)),N(F37)))</f>
        <v/>
      </c>
      <c r="O37" s="13">
        <f>IF(B37="","",IF(AND(L37&lt;&gt;"",L37&lt;=TODAY()),0,N37/U37))</f>
        <v/>
      </c>
      <c r="P37" s="13">
        <f>IF(B37="","",O37*12)</f>
        <v/>
      </c>
      <c r="Q37" s="27">
        <f>IF(OR(B37="",J37=""),"",IF(AND(L37&lt;&gt;"",IF(J37&gt;=TODAY(),J37,IF(EDATE(J37,INT(DATEDIF(J37,TODAY(),"m")/U37)*U37)&gt;=TODAY(),EDATE(J37,INT(DATEDIF(J37,TODAY(),"m")/U37)*U37),EDATE(J37,INT(DATEDIF(J37,TODAY(),"m")/U37)*U37+U37)))&gt;=L37),"",IF(J37&gt;=TODAY(),J37,IF(EDATE(J37,INT(DATEDIF(J37,TODAY(),"m")/U37)*U37)&gt;=TODAY(),EDATE(J37,INT(DATEDIF(J37,TODAY(),"m")/U37)*U37),EDATE(J37,INT(DATEDIF(J37,TODAY(),"m")/U37)*U37+U37)))))</f>
        <v/>
      </c>
      <c r="R37" s="27">
        <f>IF(Q37="","",Q37-N(K37))</f>
        <v/>
      </c>
      <c r="S37" s="17">
        <f>IF(OR(B37="",G37="",H37="",AND(L37&lt;&gt;"",L37&lt;=TODAY())),"",MAX(0,N(H37)-N(M37)))</f>
        <v/>
      </c>
      <c r="T37" s="14">
        <f>IF(B37="","",IF(AND(L37&lt;&gt;"",L37&lt;=TODAY()),"Cancelled",IF(L37&lt;&gt;"","Ends "&amp;DAY(L37)&amp;" "&amp;CHOOSE(MONTH(L37),"Jan","Feb","Mar","Apr","May","Jun","Jul","Aug","Sep","Oct","Nov","Dec"),IF(AND(Q37&lt;&gt;"",W37&lt;&gt;"",W37&lt;Q37),"Card expires",IF(AND(Q37&lt;&gt;"",E37&lt;&gt;"Monthly",N(K37)&gt;0,R37&gt;=TODAY(),R37-TODAY()&lt;=N(Settings!$C$5)),"Cancel by "&amp;DAY(R37)&amp;" "&amp;CHOOSE(MONTH(R37),"Jan","Feb","Mar","Apr","May","Jun","Jul","Aug","Sep","Oct","Nov","Dec"),IF(AND(Q37&lt;&gt;"",E37&lt;&gt;"Monthly",Q37-TODAY()&lt;=N(Settings!$C$5)),"Renews "&amp;DAY(Q37)&amp;" "&amp;CHOOSE(MONTH(Q37),"Jan","Feb","Mar","Apr","May","Jun","Jul","Aug","Sep","Oct","Nov","Dec"),IF(N(S37)&gt;0,S37&amp;IF(S37=1," unused seat"," unused seats"),"Active")))))))</f>
        <v/>
      </c>
      <c r="U37" s="1">
        <f>IF(E37="Quarterly",3,IF(E37="Yearly",12,1))</f>
        <v/>
      </c>
      <c r="V37">
        <f>IF(Q37="","",Q37+ROW()/10000000)</f>
        <v/>
      </c>
      <c r="W37">
        <f>IFERROR(IF(INDEX(Cards!$D$6:$D$25,MATCH(I37,Cards!$B$6:$B$25,0))="","",INDEX(Cards!$D$6:$D$25,MATCH(I37,Cards!$B$6:$B$25,0))),"")</f>
        <v/>
      </c>
      <c r="X37">
        <f>IF(OR(T37="",T37="Active",T37="Cancelled"),"",ROW())</f>
        <v/>
      </c>
      <c r="Y37">
        <f>IF(N(S37)=0,0,S37*N(F37)*12/U37)</f>
        <v/>
      </c>
    </row>
    <row r="38">
      <c r="A38" s="1" t="n"/>
      <c r="B38" s="20" t="n"/>
      <c r="C38" s="21" t="n"/>
      <c r="D38" s="21" t="n"/>
      <c r="E38" s="22" t="n"/>
      <c r="F38" s="23" t="n"/>
      <c r="G38" s="22" t="n"/>
      <c r="H38" s="24" t="n"/>
      <c r="I38" s="21" t="n"/>
      <c r="J38" s="25" t="n"/>
      <c r="K38" s="24" t="n"/>
      <c r="L38" s="25" t="n"/>
      <c r="M38" s="26">
        <f>IF(B38="","",SUMIFS(Access!$G$6:$G$405,Access!$C$6:$C$405,B38))</f>
        <v/>
      </c>
      <c r="N38" s="13">
        <f>IF(B38="","",IF(G38&lt;&gt;"",N(F38)*IF(H38="",M38,N(H38)),N(F38)))</f>
        <v/>
      </c>
      <c r="O38" s="13">
        <f>IF(B38="","",IF(AND(L38&lt;&gt;"",L38&lt;=TODAY()),0,N38/U38))</f>
        <v/>
      </c>
      <c r="P38" s="13">
        <f>IF(B38="","",O38*12)</f>
        <v/>
      </c>
      <c r="Q38" s="27">
        <f>IF(OR(B38="",J38=""),"",IF(AND(L38&lt;&gt;"",IF(J38&gt;=TODAY(),J38,IF(EDATE(J38,INT(DATEDIF(J38,TODAY(),"m")/U38)*U38)&gt;=TODAY(),EDATE(J38,INT(DATEDIF(J38,TODAY(),"m")/U38)*U38),EDATE(J38,INT(DATEDIF(J38,TODAY(),"m")/U38)*U38+U38)))&gt;=L38),"",IF(J38&gt;=TODAY(),J38,IF(EDATE(J38,INT(DATEDIF(J38,TODAY(),"m")/U38)*U38)&gt;=TODAY(),EDATE(J38,INT(DATEDIF(J38,TODAY(),"m")/U38)*U38),EDATE(J38,INT(DATEDIF(J38,TODAY(),"m")/U38)*U38+U38)))))</f>
        <v/>
      </c>
      <c r="R38" s="27">
        <f>IF(Q38="","",Q38-N(K38))</f>
        <v/>
      </c>
      <c r="S38" s="17">
        <f>IF(OR(B38="",G38="",H38="",AND(L38&lt;&gt;"",L38&lt;=TODAY())),"",MAX(0,N(H38)-N(M38)))</f>
        <v/>
      </c>
      <c r="T38" s="14">
        <f>IF(B38="","",IF(AND(L38&lt;&gt;"",L38&lt;=TODAY()),"Cancelled",IF(L38&lt;&gt;"","Ends "&amp;DAY(L38)&amp;" "&amp;CHOOSE(MONTH(L38),"Jan","Feb","Mar","Apr","May","Jun","Jul","Aug","Sep","Oct","Nov","Dec"),IF(AND(Q38&lt;&gt;"",W38&lt;&gt;"",W38&lt;Q38),"Card expires",IF(AND(Q38&lt;&gt;"",E38&lt;&gt;"Monthly",N(K38)&gt;0,R38&gt;=TODAY(),R38-TODAY()&lt;=N(Settings!$C$5)),"Cancel by "&amp;DAY(R38)&amp;" "&amp;CHOOSE(MONTH(R38),"Jan","Feb","Mar","Apr","May","Jun","Jul","Aug","Sep","Oct","Nov","Dec"),IF(AND(Q38&lt;&gt;"",E38&lt;&gt;"Monthly",Q38-TODAY()&lt;=N(Settings!$C$5)),"Renews "&amp;DAY(Q38)&amp;" "&amp;CHOOSE(MONTH(Q38),"Jan","Feb","Mar","Apr","May","Jun","Jul","Aug","Sep","Oct","Nov","Dec"),IF(N(S38)&gt;0,S38&amp;IF(S38=1," unused seat"," unused seats"),"Active")))))))</f>
        <v/>
      </c>
      <c r="U38" s="1">
        <f>IF(E38="Quarterly",3,IF(E38="Yearly",12,1))</f>
        <v/>
      </c>
      <c r="V38">
        <f>IF(Q38="","",Q38+ROW()/10000000)</f>
        <v/>
      </c>
      <c r="W38">
        <f>IFERROR(IF(INDEX(Cards!$D$6:$D$25,MATCH(I38,Cards!$B$6:$B$25,0))="","",INDEX(Cards!$D$6:$D$25,MATCH(I38,Cards!$B$6:$B$25,0))),"")</f>
        <v/>
      </c>
      <c r="X38">
        <f>IF(OR(T38="",T38="Active",T38="Cancelled"),"",ROW())</f>
        <v/>
      </c>
      <c r="Y38">
        <f>IF(N(S38)=0,0,S38*N(F38)*12/U38)</f>
        <v/>
      </c>
    </row>
    <row r="39">
      <c r="A39" s="1" t="n"/>
      <c r="B39" s="20" t="n"/>
      <c r="C39" s="21" t="n"/>
      <c r="D39" s="21" t="n"/>
      <c r="E39" s="22" t="n"/>
      <c r="F39" s="23" t="n"/>
      <c r="G39" s="22" t="n"/>
      <c r="H39" s="24" t="n"/>
      <c r="I39" s="21" t="n"/>
      <c r="J39" s="25" t="n"/>
      <c r="K39" s="24" t="n"/>
      <c r="L39" s="25" t="n"/>
      <c r="M39" s="26">
        <f>IF(B39="","",SUMIFS(Access!$G$6:$G$405,Access!$C$6:$C$405,B39))</f>
        <v/>
      </c>
      <c r="N39" s="13">
        <f>IF(B39="","",IF(G39&lt;&gt;"",N(F39)*IF(H39="",M39,N(H39)),N(F39)))</f>
        <v/>
      </c>
      <c r="O39" s="13">
        <f>IF(B39="","",IF(AND(L39&lt;&gt;"",L39&lt;=TODAY()),0,N39/U39))</f>
        <v/>
      </c>
      <c r="P39" s="13">
        <f>IF(B39="","",O39*12)</f>
        <v/>
      </c>
      <c r="Q39" s="27">
        <f>IF(OR(B39="",J39=""),"",IF(AND(L39&lt;&gt;"",IF(J39&gt;=TODAY(),J39,IF(EDATE(J39,INT(DATEDIF(J39,TODAY(),"m")/U39)*U39)&gt;=TODAY(),EDATE(J39,INT(DATEDIF(J39,TODAY(),"m")/U39)*U39),EDATE(J39,INT(DATEDIF(J39,TODAY(),"m")/U39)*U39+U39)))&gt;=L39),"",IF(J39&gt;=TODAY(),J39,IF(EDATE(J39,INT(DATEDIF(J39,TODAY(),"m")/U39)*U39)&gt;=TODAY(),EDATE(J39,INT(DATEDIF(J39,TODAY(),"m")/U39)*U39),EDATE(J39,INT(DATEDIF(J39,TODAY(),"m")/U39)*U39+U39)))))</f>
        <v/>
      </c>
      <c r="R39" s="27">
        <f>IF(Q39="","",Q39-N(K39))</f>
        <v/>
      </c>
      <c r="S39" s="17">
        <f>IF(OR(B39="",G39="",H39="",AND(L39&lt;&gt;"",L39&lt;=TODAY())),"",MAX(0,N(H39)-N(M39)))</f>
        <v/>
      </c>
      <c r="T39" s="14">
        <f>IF(B39="","",IF(AND(L39&lt;&gt;"",L39&lt;=TODAY()),"Cancelled",IF(L39&lt;&gt;"","Ends "&amp;DAY(L39)&amp;" "&amp;CHOOSE(MONTH(L39),"Jan","Feb","Mar","Apr","May","Jun","Jul","Aug","Sep","Oct","Nov","Dec"),IF(AND(Q39&lt;&gt;"",W39&lt;&gt;"",W39&lt;Q39),"Card expires",IF(AND(Q39&lt;&gt;"",E39&lt;&gt;"Monthly",N(K39)&gt;0,R39&gt;=TODAY(),R39-TODAY()&lt;=N(Settings!$C$5)),"Cancel by "&amp;DAY(R39)&amp;" "&amp;CHOOSE(MONTH(R39),"Jan","Feb","Mar","Apr","May","Jun","Jul","Aug","Sep","Oct","Nov","Dec"),IF(AND(Q39&lt;&gt;"",E39&lt;&gt;"Monthly",Q39-TODAY()&lt;=N(Settings!$C$5)),"Renews "&amp;DAY(Q39)&amp;" "&amp;CHOOSE(MONTH(Q39),"Jan","Feb","Mar","Apr","May","Jun","Jul","Aug","Sep","Oct","Nov","Dec"),IF(N(S39)&gt;0,S39&amp;IF(S39=1," unused seat"," unused seats"),"Active")))))))</f>
        <v/>
      </c>
      <c r="U39" s="1">
        <f>IF(E39="Quarterly",3,IF(E39="Yearly",12,1))</f>
        <v/>
      </c>
      <c r="V39">
        <f>IF(Q39="","",Q39+ROW()/10000000)</f>
        <v/>
      </c>
      <c r="W39">
        <f>IFERROR(IF(INDEX(Cards!$D$6:$D$25,MATCH(I39,Cards!$B$6:$B$25,0))="","",INDEX(Cards!$D$6:$D$25,MATCH(I39,Cards!$B$6:$B$25,0))),"")</f>
        <v/>
      </c>
      <c r="X39">
        <f>IF(OR(T39="",T39="Active",T39="Cancelled"),"",ROW())</f>
        <v/>
      </c>
      <c r="Y39">
        <f>IF(N(S39)=0,0,S39*N(F39)*12/U39)</f>
        <v/>
      </c>
    </row>
    <row r="40">
      <c r="A40" s="1" t="n"/>
      <c r="B40" s="20" t="n"/>
      <c r="C40" s="21" t="n"/>
      <c r="D40" s="21" t="n"/>
      <c r="E40" s="22" t="n"/>
      <c r="F40" s="23" t="n"/>
      <c r="G40" s="22" t="n"/>
      <c r="H40" s="24" t="n"/>
      <c r="I40" s="21" t="n"/>
      <c r="J40" s="25" t="n"/>
      <c r="K40" s="24" t="n"/>
      <c r="L40" s="25" t="n"/>
      <c r="M40" s="26">
        <f>IF(B40="","",SUMIFS(Access!$G$6:$G$405,Access!$C$6:$C$405,B40))</f>
        <v/>
      </c>
      <c r="N40" s="13">
        <f>IF(B40="","",IF(G40&lt;&gt;"",N(F40)*IF(H40="",M40,N(H40)),N(F40)))</f>
        <v/>
      </c>
      <c r="O40" s="13">
        <f>IF(B40="","",IF(AND(L40&lt;&gt;"",L40&lt;=TODAY()),0,N40/U40))</f>
        <v/>
      </c>
      <c r="P40" s="13">
        <f>IF(B40="","",O40*12)</f>
        <v/>
      </c>
      <c r="Q40" s="27">
        <f>IF(OR(B40="",J40=""),"",IF(AND(L40&lt;&gt;"",IF(J40&gt;=TODAY(),J40,IF(EDATE(J40,INT(DATEDIF(J40,TODAY(),"m")/U40)*U40)&gt;=TODAY(),EDATE(J40,INT(DATEDIF(J40,TODAY(),"m")/U40)*U40),EDATE(J40,INT(DATEDIF(J40,TODAY(),"m")/U40)*U40+U40)))&gt;=L40),"",IF(J40&gt;=TODAY(),J40,IF(EDATE(J40,INT(DATEDIF(J40,TODAY(),"m")/U40)*U40)&gt;=TODAY(),EDATE(J40,INT(DATEDIF(J40,TODAY(),"m")/U40)*U40),EDATE(J40,INT(DATEDIF(J40,TODAY(),"m")/U40)*U40+U40)))))</f>
        <v/>
      </c>
      <c r="R40" s="27">
        <f>IF(Q40="","",Q40-N(K40))</f>
        <v/>
      </c>
      <c r="S40" s="17">
        <f>IF(OR(B40="",G40="",H40="",AND(L40&lt;&gt;"",L40&lt;=TODAY())),"",MAX(0,N(H40)-N(M40)))</f>
        <v/>
      </c>
      <c r="T40" s="14">
        <f>IF(B40="","",IF(AND(L40&lt;&gt;"",L40&lt;=TODAY()),"Cancelled",IF(L40&lt;&gt;"","Ends "&amp;DAY(L40)&amp;" "&amp;CHOOSE(MONTH(L40),"Jan","Feb","Mar","Apr","May","Jun","Jul","Aug","Sep","Oct","Nov","Dec"),IF(AND(Q40&lt;&gt;"",W40&lt;&gt;"",W40&lt;Q40),"Card expires",IF(AND(Q40&lt;&gt;"",E40&lt;&gt;"Monthly",N(K40)&gt;0,R40&gt;=TODAY(),R40-TODAY()&lt;=N(Settings!$C$5)),"Cancel by "&amp;DAY(R40)&amp;" "&amp;CHOOSE(MONTH(R40),"Jan","Feb","Mar","Apr","May","Jun","Jul","Aug","Sep","Oct","Nov","Dec"),IF(AND(Q40&lt;&gt;"",E40&lt;&gt;"Monthly",Q40-TODAY()&lt;=N(Settings!$C$5)),"Renews "&amp;DAY(Q40)&amp;" "&amp;CHOOSE(MONTH(Q40),"Jan","Feb","Mar","Apr","May","Jun","Jul","Aug","Sep","Oct","Nov","Dec"),IF(N(S40)&gt;0,S40&amp;IF(S40=1," unused seat"," unused seats"),"Active")))))))</f>
        <v/>
      </c>
      <c r="U40" s="1">
        <f>IF(E40="Quarterly",3,IF(E40="Yearly",12,1))</f>
        <v/>
      </c>
      <c r="V40">
        <f>IF(Q40="","",Q40+ROW()/10000000)</f>
        <v/>
      </c>
      <c r="W40">
        <f>IFERROR(IF(INDEX(Cards!$D$6:$D$25,MATCH(I40,Cards!$B$6:$B$25,0))="","",INDEX(Cards!$D$6:$D$25,MATCH(I40,Cards!$B$6:$B$25,0))),"")</f>
        <v/>
      </c>
      <c r="X40">
        <f>IF(OR(T40="",T40="Active",T40="Cancelled"),"",ROW())</f>
        <v/>
      </c>
      <c r="Y40">
        <f>IF(N(S40)=0,0,S40*N(F40)*12/U40)</f>
        <v/>
      </c>
    </row>
    <row r="41">
      <c r="A41" s="1" t="n"/>
      <c r="B41" s="20" t="n"/>
      <c r="C41" s="21" t="n"/>
      <c r="D41" s="21" t="n"/>
      <c r="E41" s="22" t="n"/>
      <c r="F41" s="23" t="n"/>
      <c r="G41" s="22" t="n"/>
      <c r="H41" s="24" t="n"/>
      <c r="I41" s="21" t="n"/>
      <c r="J41" s="25" t="n"/>
      <c r="K41" s="24" t="n"/>
      <c r="L41" s="25" t="n"/>
      <c r="M41" s="26">
        <f>IF(B41="","",SUMIFS(Access!$G$6:$G$405,Access!$C$6:$C$405,B41))</f>
        <v/>
      </c>
      <c r="N41" s="13">
        <f>IF(B41="","",IF(G41&lt;&gt;"",N(F41)*IF(H41="",M41,N(H41)),N(F41)))</f>
        <v/>
      </c>
      <c r="O41" s="13">
        <f>IF(B41="","",IF(AND(L41&lt;&gt;"",L41&lt;=TODAY()),0,N41/U41))</f>
        <v/>
      </c>
      <c r="P41" s="13">
        <f>IF(B41="","",O41*12)</f>
        <v/>
      </c>
      <c r="Q41" s="27">
        <f>IF(OR(B41="",J41=""),"",IF(AND(L41&lt;&gt;"",IF(J41&gt;=TODAY(),J41,IF(EDATE(J41,INT(DATEDIF(J41,TODAY(),"m")/U41)*U41)&gt;=TODAY(),EDATE(J41,INT(DATEDIF(J41,TODAY(),"m")/U41)*U41),EDATE(J41,INT(DATEDIF(J41,TODAY(),"m")/U41)*U41+U41)))&gt;=L41),"",IF(J41&gt;=TODAY(),J41,IF(EDATE(J41,INT(DATEDIF(J41,TODAY(),"m")/U41)*U41)&gt;=TODAY(),EDATE(J41,INT(DATEDIF(J41,TODAY(),"m")/U41)*U41),EDATE(J41,INT(DATEDIF(J41,TODAY(),"m")/U41)*U41+U41)))))</f>
        <v/>
      </c>
      <c r="R41" s="27">
        <f>IF(Q41="","",Q41-N(K41))</f>
        <v/>
      </c>
      <c r="S41" s="17">
        <f>IF(OR(B41="",G41="",H41="",AND(L41&lt;&gt;"",L41&lt;=TODAY())),"",MAX(0,N(H41)-N(M41)))</f>
        <v/>
      </c>
      <c r="T41" s="14">
        <f>IF(B41="","",IF(AND(L41&lt;&gt;"",L41&lt;=TODAY()),"Cancelled",IF(L41&lt;&gt;"","Ends "&amp;DAY(L41)&amp;" "&amp;CHOOSE(MONTH(L41),"Jan","Feb","Mar","Apr","May","Jun","Jul","Aug","Sep","Oct","Nov","Dec"),IF(AND(Q41&lt;&gt;"",W41&lt;&gt;"",W41&lt;Q41),"Card expires",IF(AND(Q41&lt;&gt;"",E41&lt;&gt;"Monthly",N(K41)&gt;0,R41&gt;=TODAY(),R41-TODAY()&lt;=N(Settings!$C$5)),"Cancel by "&amp;DAY(R41)&amp;" "&amp;CHOOSE(MONTH(R41),"Jan","Feb","Mar","Apr","May","Jun","Jul","Aug","Sep","Oct","Nov","Dec"),IF(AND(Q41&lt;&gt;"",E41&lt;&gt;"Monthly",Q41-TODAY()&lt;=N(Settings!$C$5)),"Renews "&amp;DAY(Q41)&amp;" "&amp;CHOOSE(MONTH(Q41),"Jan","Feb","Mar","Apr","May","Jun","Jul","Aug","Sep","Oct","Nov","Dec"),IF(N(S41)&gt;0,S41&amp;IF(S41=1," unused seat"," unused seats"),"Active")))))))</f>
        <v/>
      </c>
      <c r="U41" s="1">
        <f>IF(E41="Quarterly",3,IF(E41="Yearly",12,1))</f>
        <v/>
      </c>
      <c r="V41">
        <f>IF(Q41="","",Q41+ROW()/10000000)</f>
        <v/>
      </c>
      <c r="W41">
        <f>IFERROR(IF(INDEX(Cards!$D$6:$D$25,MATCH(I41,Cards!$B$6:$B$25,0))="","",INDEX(Cards!$D$6:$D$25,MATCH(I41,Cards!$B$6:$B$25,0))),"")</f>
        <v/>
      </c>
      <c r="X41">
        <f>IF(OR(T41="",T41="Active",T41="Cancelled"),"",ROW())</f>
        <v/>
      </c>
      <c r="Y41">
        <f>IF(N(S41)=0,0,S41*N(F41)*12/U41)</f>
        <v/>
      </c>
    </row>
    <row r="42">
      <c r="A42" s="1" t="n"/>
      <c r="B42" s="20" t="n"/>
      <c r="C42" s="21" t="n"/>
      <c r="D42" s="21" t="n"/>
      <c r="E42" s="22" t="n"/>
      <c r="F42" s="23" t="n"/>
      <c r="G42" s="22" t="n"/>
      <c r="H42" s="24" t="n"/>
      <c r="I42" s="21" t="n"/>
      <c r="J42" s="25" t="n"/>
      <c r="K42" s="24" t="n"/>
      <c r="L42" s="25" t="n"/>
      <c r="M42" s="26">
        <f>IF(B42="","",SUMIFS(Access!$G$6:$G$405,Access!$C$6:$C$405,B42))</f>
        <v/>
      </c>
      <c r="N42" s="13">
        <f>IF(B42="","",IF(G42&lt;&gt;"",N(F42)*IF(H42="",M42,N(H42)),N(F42)))</f>
        <v/>
      </c>
      <c r="O42" s="13">
        <f>IF(B42="","",IF(AND(L42&lt;&gt;"",L42&lt;=TODAY()),0,N42/U42))</f>
        <v/>
      </c>
      <c r="P42" s="13">
        <f>IF(B42="","",O42*12)</f>
        <v/>
      </c>
      <c r="Q42" s="27">
        <f>IF(OR(B42="",J42=""),"",IF(AND(L42&lt;&gt;"",IF(J42&gt;=TODAY(),J42,IF(EDATE(J42,INT(DATEDIF(J42,TODAY(),"m")/U42)*U42)&gt;=TODAY(),EDATE(J42,INT(DATEDIF(J42,TODAY(),"m")/U42)*U42),EDATE(J42,INT(DATEDIF(J42,TODAY(),"m")/U42)*U42+U42)))&gt;=L42),"",IF(J42&gt;=TODAY(),J42,IF(EDATE(J42,INT(DATEDIF(J42,TODAY(),"m")/U42)*U42)&gt;=TODAY(),EDATE(J42,INT(DATEDIF(J42,TODAY(),"m")/U42)*U42),EDATE(J42,INT(DATEDIF(J42,TODAY(),"m")/U42)*U42+U42)))))</f>
        <v/>
      </c>
      <c r="R42" s="27">
        <f>IF(Q42="","",Q42-N(K42))</f>
        <v/>
      </c>
      <c r="S42" s="17">
        <f>IF(OR(B42="",G42="",H42="",AND(L42&lt;&gt;"",L42&lt;=TODAY())),"",MAX(0,N(H42)-N(M42)))</f>
        <v/>
      </c>
      <c r="T42" s="14">
        <f>IF(B42="","",IF(AND(L42&lt;&gt;"",L42&lt;=TODAY()),"Cancelled",IF(L42&lt;&gt;"","Ends "&amp;DAY(L42)&amp;" "&amp;CHOOSE(MONTH(L42),"Jan","Feb","Mar","Apr","May","Jun","Jul","Aug","Sep","Oct","Nov","Dec"),IF(AND(Q42&lt;&gt;"",W42&lt;&gt;"",W42&lt;Q42),"Card expires",IF(AND(Q42&lt;&gt;"",E42&lt;&gt;"Monthly",N(K42)&gt;0,R42&gt;=TODAY(),R42-TODAY()&lt;=N(Settings!$C$5)),"Cancel by "&amp;DAY(R42)&amp;" "&amp;CHOOSE(MONTH(R42),"Jan","Feb","Mar","Apr","May","Jun","Jul","Aug","Sep","Oct","Nov","Dec"),IF(AND(Q42&lt;&gt;"",E42&lt;&gt;"Monthly",Q42-TODAY()&lt;=N(Settings!$C$5)),"Renews "&amp;DAY(Q42)&amp;" "&amp;CHOOSE(MONTH(Q42),"Jan","Feb","Mar","Apr","May","Jun","Jul","Aug","Sep","Oct","Nov","Dec"),IF(N(S42)&gt;0,S42&amp;IF(S42=1," unused seat"," unused seats"),"Active")))))))</f>
        <v/>
      </c>
      <c r="U42" s="1">
        <f>IF(E42="Quarterly",3,IF(E42="Yearly",12,1))</f>
        <v/>
      </c>
      <c r="V42">
        <f>IF(Q42="","",Q42+ROW()/10000000)</f>
        <v/>
      </c>
      <c r="W42">
        <f>IFERROR(IF(INDEX(Cards!$D$6:$D$25,MATCH(I42,Cards!$B$6:$B$25,0))="","",INDEX(Cards!$D$6:$D$25,MATCH(I42,Cards!$B$6:$B$25,0))),"")</f>
        <v/>
      </c>
      <c r="X42">
        <f>IF(OR(T42="",T42="Active",T42="Cancelled"),"",ROW())</f>
        <v/>
      </c>
      <c r="Y42">
        <f>IF(N(S42)=0,0,S42*N(F42)*12/U42)</f>
        <v/>
      </c>
    </row>
    <row r="43">
      <c r="A43" s="1" t="n"/>
      <c r="B43" s="20" t="n"/>
      <c r="C43" s="21" t="n"/>
      <c r="D43" s="21" t="n"/>
      <c r="E43" s="22" t="n"/>
      <c r="F43" s="23" t="n"/>
      <c r="G43" s="22" t="n"/>
      <c r="H43" s="24" t="n"/>
      <c r="I43" s="21" t="n"/>
      <c r="J43" s="25" t="n"/>
      <c r="K43" s="24" t="n"/>
      <c r="L43" s="25" t="n"/>
      <c r="M43" s="26">
        <f>IF(B43="","",SUMIFS(Access!$G$6:$G$405,Access!$C$6:$C$405,B43))</f>
        <v/>
      </c>
      <c r="N43" s="13">
        <f>IF(B43="","",IF(G43&lt;&gt;"",N(F43)*IF(H43="",M43,N(H43)),N(F43)))</f>
        <v/>
      </c>
      <c r="O43" s="13">
        <f>IF(B43="","",IF(AND(L43&lt;&gt;"",L43&lt;=TODAY()),0,N43/U43))</f>
        <v/>
      </c>
      <c r="P43" s="13">
        <f>IF(B43="","",O43*12)</f>
        <v/>
      </c>
      <c r="Q43" s="27">
        <f>IF(OR(B43="",J43=""),"",IF(AND(L43&lt;&gt;"",IF(J43&gt;=TODAY(),J43,IF(EDATE(J43,INT(DATEDIF(J43,TODAY(),"m")/U43)*U43)&gt;=TODAY(),EDATE(J43,INT(DATEDIF(J43,TODAY(),"m")/U43)*U43),EDATE(J43,INT(DATEDIF(J43,TODAY(),"m")/U43)*U43+U43)))&gt;=L43),"",IF(J43&gt;=TODAY(),J43,IF(EDATE(J43,INT(DATEDIF(J43,TODAY(),"m")/U43)*U43)&gt;=TODAY(),EDATE(J43,INT(DATEDIF(J43,TODAY(),"m")/U43)*U43),EDATE(J43,INT(DATEDIF(J43,TODAY(),"m")/U43)*U43+U43)))))</f>
        <v/>
      </c>
      <c r="R43" s="27">
        <f>IF(Q43="","",Q43-N(K43))</f>
        <v/>
      </c>
      <c r="S43" s="17">
        <f>IF(OR(B43="",G43="",H43="",AND(L43&lt;&gt;"",L43&lt;=TODAY())),"",MAX(0,N(H43)-N(M43)))</f>
        <v/>
      </c>
      <c r="T43" s="14">
        <f>IF(B43="","",IF(AND(L43&lt;&gt;"",L43&lt;=TODAY()),"Cancelled",IF(L43&lt;&gt;"","Ends "&amp;DAY(L43)&amp;" "&amp;CHOOSE(MONTH(L43),"Jan","Feb","Mar","Apr","May","Jun","Jul","Aug","Sep","Oct","Nov","Dec"),IF(AND(Q43&lt;&gt;"",W43&lt;&gt;"",W43&lt;Q43),"Card expires",IF(AND(Q43&lt;&gt;"",E43&lt;&gt;"Monthly",N(K43)&gt;0,R43&gt;=TODAY(),R43-TODAY()&lt;=N(Settings!$C$5)),"Cancel by "&amp;DAY(R43)&amp;" "&amp;CHOOSE(MONTH(R43),"Jan","Feb","Mar","Apr","May","Jun","Jul","Aug","Sep","Oct","Nov","Dec"),IF(AND(Q43&lt;&gt;"",E43&lt;&gt;"Monthly",Q43-TODAY()&lt;=N(Settings!$C$5)),"Renews "&amp;DAY(Q43)&amp;" "&amp;CHOOSE(MONTH(Q43),"Jan","Feb","Mar","Apr","May","Jun","Jul","Aug","Sep","Oct","Nov","Dec"),IF(N(S43)&gt;0,S43&amp;IF(S43=1," unused seat"," unused seats"),"Active")))))))</f>
        <v/>
      </c>
      <c r="U43" s="1">
        <f>IF(E43="Quarterly",3,IF(E43="Yearly",12,1))</f>
        <v/>
      </c>
      <c r="V43">
        <f>IF(Q43="","",Q43+ROW()/10000000)</f>
        <v/>
      </c>
      <c r="W43">
        <f>IFERROR(IF(INDEX(Cards!$D$6:$D$25,MATCH(I43,Cards!$B$6:$B$25,0))="","",INDEX(Cards!$D$6:$D$25,MATCH(I43,Cards!$B$6:$B$25,0))),"")</f>
        <v/>
      </c>
      <c r="X43">
        <f>IF(OR(T43="",T43="Active",T43="Cancelled"),"",ROW())</f>
        <v/>
      </c>
      <c r="Y43">
        <f>IF(N(S43)=0,0,S43*N(F43)*12/U43)</f>
        <v/>
      </c>
    </row>
    <row r="44">
      <c r="A44" s="1" t="n"/>
      <c r="B44" s="20" t="n"/>
      <c r="C44" s="21" t="n"/>
      <c r="D44" s="21" t="n"/>
      <c r="E44" s="22" t="n"/>
      <c r="F44" s="23" t="n"/>
      <c r="G44" s="22" t="n"/>
      <c r="H44" s="24" t="n"/>
      <c r="I44" s="21" t="n"/>
      <c r="J44" s="25" t="n"/>
      <c r="K44" s="24" t="n"/>
      <c r="L44" s="25" t="n"/>
      <c r="M44" s="26">
        <f>IF(B44="","",SUMIFS(Access!$G$6:$G$405,Access!$C$6:$C$405,B44))</f>
        <v/>
      </c>
      <c r="N44" s="13">
        <f>IF(B44="","",IF(G44&lt;&gt;"",N(F44)*IF(H44="",M44,N(H44)),N(F44)))</f>
        <v/>
      </c>
      <c r="O44" s="13">
        <f>IF(B44="","",IF(AND(L44&lt;&gt;"",L44&lt;=TODAY()),0,N44/U44))</f>
        <v/>
      </c>
      <c r="P44" s="13">
        <f>IF(B44="","",O44*12)</f>
        <v/>
      </c>
      <c r="Q44" s="27">
        <f>IF(OR(B44="",J44=""),"",IF(AND(L44&lt;&gt;"",IF(J44&gt;=TODAY(),J44,IF(EDATE(J44,INT(DATEDIF(J44,TODAY(),"m")/U44)*U44)&gt;=TODAY(),EDATE(J44,INT(DATEDIF(J44,TODAY(),"m")/U44)*U44),EDATE(J44,INT(DATEDIF(J44,TODAY(),"m")/U44)*U44+U44)))&gt;=L44),"",IF(J44&gt;=TODAY(),J44,IF(EDATE(J44,INT(DATEDIF(J44,TODAY(),"m")/U44)*U44)&gt;=TODAY(),EDATE(J44,INT(DATEDIF(J44,TODAY(),"m")/U44)*U44),EDATE(J44,INT(DATEDIF(J44,TODAY(),"m")/U44)*U44+U44)))))</f>
        <v/>
      </c>
      <c r="R44" s="27">
        <f>IF(Q44="","",Q44-N(K44))</f>
        <v/>
      </c>
      <c r="S44" s="17">
        <f>IF(OR(B44="",G44="",H44="",AND(L44&lt;&gt;"",L44&lt;=TODAY())),"",MAX(0,N(H44)-N(M44)))</f>
        <v/>
      </c>
      <c r="T44" s="14">
        <f>IF(B44="","",IF(AND(L44&lt;&gt;"",L44&lt;=TODAY()),"Cancelled",IF(L44&lt;&gt;"","Ends "&amp;DAY(L44)&amp;" "&amp;CHOOSE(MONTH(L44),"Jan","Feb","Mar","Apr","May","Jun","Jul","Aug","Sep","Oct","Nov","Dec"),IF(AND(Q44&lt;&gt;"",W44&lt;&gt;"",W44&lt;Q44),"Card expires",IF(AND(Q44&lt;&gt;"",E44&lt;&gt;"Monthly",N(K44)&gt;0,R44&gt;=TODAY(),R44-TODAY()&lt;=N(Settings!$C$5)),"Cancel by "&amp;DAY(R44)&amp;" "&amp;CHOOSE(MONTH(R44),"Jan","Feb","Mar","Apr","May","Jun","Jul","Aug","Sep","Oct","Nov","Dec"),IF(AND(Q44&lt;&gt;"",E44&lt;&gt;"Monthly",Q44-TODAY()&lt;=N(Settings!$C$5)),"Renews "&amp;DAY(Q44)&amp;" "&amp;CHOOSE(MONTH(Q44),"Jan","Feb","Mar","Apr","May","Jun","Jul","Aug","Sep","Oct","Nov","Dec"),IF(N(S44)&gt;0,S44&amp;IF(S44=1," unused seat"," unused seats"),"Active")))))))</f>
        <v/>
      </c>
      <c r="U44" s="1">
        <f>IF(E44="Quarterly",3,IF(E44="Yearly",12,1))</f>
        <v/>
      </c>
      <c r="V44">
        <f>IF(Q44="","",Q44+ROW()/10000000)</f>
        <v/>
      </c>
      <c r="W44">
        <f>IFERROR(IF(INDEX(Cards!$D$6:$D$25,MATCH(I44,Cards!$B$6:$B$25,0))="","",INDEX(Cards!$D$6:$D$25,MATCH(I44,Cards!$B$6:$B$25,0))),"")</f>
        <v/>
      </c>
      <c r="X44">
        <f>IF(OR(T44="",T44="Active",T44="Cancelled"),"",ROW())</f>
        <v/>
      </c>
      <c r="Y44">
        <f>IF(N(S44)=0,0,S44*N(F44)*12/U44)</f>
        <v/>
      </c>
    </row>
    <row r="45">
      <c r="A45" s="1" t="n"/>
      <c r="B45" s="20" t="n"/>
      <c r="C45" s="21" t="n"/>
      <c r="D45" s="21" t="n"/>
      <c r="E45" s="22" t="n"/>
      <c r="F45" s="23" t="n"/>
      <c r="G45" s="22" t="n"/>
      <c r="H45" s="24" t="n"/>
      <c r="I45" s="21" t="n"/>
      <c r="J45" s="25" t="n"/>
      <c r="K45" s="24" t="n"/>
      <c r="L45" s="25" t="n"/>
      <c r="M45" s="26">
        <f>IF(B45="","",SUMIFS(Access!$G$6:$G$405,Access!$C$6:$C$405,B45))</f>
        <v/>
      </c>
      <c r="N45" s="13">
        <f>IF(B45="","",IF(G45&lt;&gt;"",N(F45)*IF(H45="",M45,N(H45)),N(F45)))</f>
        <v/>
      </c>
      <c r="O45" s="13">
        <f>IF(B45="","",IF(AND(L45&lt;&gt;"",L45&lt;=TODAY()),0,N45/U45))</f>
        <v/>
      </c>
      <c r="P45" s="13">
        <f>IF(B45="","",O45*12)</f>
        <v/>
      </c>
      <c r="Q45" s="27">
        <f>IF(OR(B45="",J45=""),"",IF(AND(L45&lt;&gt;"",IF(J45&gt;=TODAY(),J45,IF(EDATE(J45,INT(DATEDIF(J45,TODAY(),"m")/U45)*U45)&gt;=TODAY(),EDATE(J45,INT(DATEDIF(J45,TODAY(),"m")/U45)*U45),EDATE(J45,INT(DATEDIF(J45,TODAY(),"m")/U45)*U45+U45)))&gt;=L45),"",IF(J45&gt;=TODAY(),J45,IF(EDATE(J45,INT(DATEDIF(J45,TODAY(),"m")/U45)*U45)&gt;=TODAY(),EDATE(J45,INT(DATEDIF(J45,TODAY(),"m")/U45)*U45),EDATE(J45,INT(DATEDIF(J45,TODAY(),"m")/U45)*U45+U45)))))</f>
        <v/>
      </c>
      <c r="R45" s="27">
        <f>IF(Q45="","",Q45-N(K45))</f>
        <v/>
      </c>
      <c r="S45" s="17">
        <f>IF(OR(B45="",G45="",H45="",AND(L45&lt;&gt;"",L45&lt;=TODAY())),"",MAX(0,N(H45)-N(M45)))</f>
        <v/>
      </c>
      <c r="T45" s="14">
        <f>IF(B45="","",IF(AND(L45&lt;&gt;"",L45&lt;=TODAY()),"Cancelled",IF(L45&lt;&gt;"","Ends "&amp;DAY(L45)&amp;" "&amp;CHOOSE(MONTH(L45),"Jan","Feb","Mar","Apr","May","Jun","Jul","Aug","Sep","Oct","Nov","Dec"),IF(AND(Q45&lt;&gt;"",W45&lt;&gt;"",W45&lt;Q45),"Card expires",IF(AND(Q45&lt;&gt;"",E45&lt;&gt;"Monthly",N(K45)&gt;0,R45&gt;=TODAY(),R45-TODAY()&lt;=N(Settings!$C$5)),"Cancel by "&amp;DAY(R45)&amp;" "&amp;CHOOSE(MONTH(R45),"Jan","Feb","Mar","Apr","May","Jun","Jul","Aug","Sep","Oct","Nov","Dec"),IF(AND(Q45&lt;&gt;"",E45&lt;&gt;"Monthly",Q45-TODAY()&lt;=N(Settings!$C$5)),"Renews "&amp;DAY(Q45)&amp;" "&amp;CHOOSE(MONTH(Q45),"Jan","Feb","Mar","Apr","May","Jun","Jul","Aug","Sep","Oct","Nov","Dec"),IF(N(S45)&gt;0,S45&amp;IF(S45=1," unused seat"," unused seats"),"Active")))))))</f>
        <v/>
      </c>
      <c r="U45" s="1">
        <f>IF(E45="Quarterly",3,IF(E45="Yearly",12,1))</f>
        <v/>
      </c>
      <c r="V45">
        <f>IF(Q45="","",Q45+ROW()/10000000)</f>
        <v/>
      </c>
      <c r="W45">
        <f>IFERROR(IF(INDEX(Cards!$D$6:$D$25,MATCH(I45,Cards!$B$6:$B$25,0))="","",INDEX(Cards!$D$6:$D$25,MATCH(I45,Cards!$B$6:$B$25,0))),"")</f>
        <v/>
      </c>
      <c r="X45">
        <f>IF(OR(T45="",T45="Active",T45="Cancelled"),"",ROW())</f>
        <v/>
      </c>
      <c r="Y45">
        <f>IF(N(S45)=0,0,S45*N(F45)*12/U45)</f>
        <v/>
      </c>
    </row>
    <row r="46">
      <c r="A46" s="1" t="n"/>
      <c r="B46" s="20" t="n"/>
      <c r="C46" s="21" t="n"/>
      <c r="D46" s="21" t="n"/>
      <c r="E46" s="22" t="n"/>
      <c r="F46" s="23" t="n"/>
      <c r="G46" s="22" t="n"/>
      <c r="H46" s="24" t="n"/>
      <c r="I46" s="21" t="n"/>
      <c r="J46" s="25" t="n"/>
      <c r="K46" s="24" t="n"/>
      <c r="L46" s="25" t="n"/>
      <c r="M46" s="26">
        <f>IF(B46="","",SUMIFS(Access!$G$6:$G$405,Access!$C$6:$C$405,B46))</f>
        <v/>
      </c>
      <c r="N46" s="13">
        <f>IF(B46="","",IF(G46&lt;&gt;"",N(F46)*IF(H46="",M46,N(H46)),N(F46)))</f>
        <v/>
      </c>
      <c r="O46" s="13">
        <f>IF(B46="","",IF(AND(L46&lt;&gt;"",L46&lt;=TODAY()),0,N46/U46))</f>
        <v/>
      </c>
      <c r="P46" s="13">
        <f>IF(B46="","",O46*12)</f>
        <v/>
      </c>
      <c r="Q46" s="27">
        <f>IF(OR(B46="",J46=""),"",IF(AND(L46&lt;&gt;"",IF(J46&gt;=TODAY(),J46,IF(EDATE(J46,INT(DATEDIF(J46,TODAY(),"m")/U46)*U46)&gt;=TODAY(),EDATE(J46,INT(DATEDIF(J46,TODAY(),"m")/U46)*U46),EDATE(J46,INT(DATEDIF(J46,TODAY(),"m")/U46)*U46+U46)))&gt;=L46),"",IF(J46&gt;=TODAY(),J46,IF(EDATE(J46,INT(DATEDIF(J46,TODAY(),"m")/U46)*U46)&gt;=TODAY(),EDATE(J46,INT(DATEDIF(J46,TODAY(),"m")/U46)*U46),EDATE(J46,INT(DATEDIF(J46,TODAY(),"m")/U46)*U46+U46)))))</f>
        <v/>
      </c>
      <c r="R46" s="27">
        <f>IF(Q46="","",Q46-N(K46))</f>
        <v/>
      </c>
      <c r="S46" s="17">
        <f>IF(OR(B46="",G46="",H46="",AND(L46&lt;&gt;"",L46&lt;=TODAY())),"",MAX(0,N(H46)-N(M46)))</f>
        <v/>
      </c>
      <c r="T46" s="14">
        <f>IF(B46="","",IF(AND(L46&lt;&gt;"",L46&lt;=TODAY()),"Cancelled",IF(L46&lt;&gt;"","Ends "&amp;DAY(L46)&amp;" "&amp;CHOOSE(MONTH(L46),"Jan","Feb","Mar","Apr","May","Jun","Jul","Aug","Sep","Oct","Nov","Dec"),IF(AND(Q46&lt;&gt;"",W46&lt;&gt;"",W46&lt;Q46),"Card expires",IF(AND(Q46&lt;&gt;"",E46&lt;&gt;"Monthly",N(K46)&gt;0,R46&gt;=TODAY(),R46-TODAY()&lt;=N(Settings!$C$5)),"Cancel by "&amp;DAY(R46)&amp;" "&amp;CHOOSE(MONTH(R46),"Jan","Feb","Mar","Apr","May","Jun","Jul","Aug","Sep","Oct","Nov","Dec"),IF(AND(Q46&lt;&gt;"",E46&lt;&gt;"Monthly",Q46-TODAY()&lt;=N(Settings!$C$5)),"Renews "&amp;DAY(Q46)&amp;" "&amp;CHOOSE(MONTH(Q46),"Jan","Feb","Mar","Apr","May","Jun","Jul","Aug","Sep","Oct","Nov","Dec"),IF(N(S46)&gt;0,S46&amp;IF(S46=1," unused seat"," unused seats"),"Active")))))))</f>
        <v/>
      </c>
      <c r="U46" s="1">
        <f>IF(E46="Quarterly",3,IF(E46="Yearly",12,1))</f>
        <v/>
      </c>
      <c r="V46">
        <f>IF(Q46="","",Q46+ROW()/10000000)</f>
        <v/>
      </c>
      <c r="W46">
        <f>IFERROR(IF(INDEX(Cards!$D$6:$D$25,MATCH(I46,Cards!$B$6:$B$25,0))="","",INDEX(Cards!$D$6:$D$25,MATCH(I46,Cards!$B$6:$B$25,0))),"")</f>
        <v/>
      </c>
      <c r="X46">
        <f>IF(OR(T46="",T46="Active",T46="Cancelled"),"",ROW())</f>
        <v/>
      </c>
      <c r="Y46">
        <f>IF(N(S46)=0,0,S46*N(F46)*12/U46)</f>
        <v/>
      </c>
    </row>
    <row r="47">
      <c r="A47" s="1" t="n"/>
      <c r="B47" s="20" t="n"/>
      <c r="C47" s="21" t="n"/>
      <c r="D47" s="21" t="n"/>
      <c r="E47" s="22" t="n"/>
      <c r="F47" s="23" t="n"/>
      <c r="G47" s="22" t="n"/>
      <c r="H47" s="24" t="n"/>
      <c r="I47" s="21" t="n"/>
      <c r="J47" s="25" t="n"/>
      <c r="K47" s="24" t="n"/>
      <c r="L47" s="25" t="n"/>
      <c r="M47" s="26">
        <f>IF(B47="","",SUMIFS(Access!$G$6:$G$405,Access!$C$6:$C$405,B47))</f>
        <v/>
      </c>
      <c r="N47" s="13">
        <f>IF(B47="","",IF(G47&lt;&gt;"",N(F47)*IF(H47="",M47,N(H47)),N(F47)))</f>
        <v/>
      </c>
      <c r="O47" s="13">
        <f>IF(B47="","",IF(AND(L47&lt;&gt;"",L47&lt;=TODAY()),0,N47/U47))</f>
        <v/>
      </c>
      <c r="P47" s="13">
        <f>IF(B47="","",O47*12)</f>
        <v/>
      </c>
      <c r="Q47" s="27">
        <f>IF(OR(B47="",J47=""),"",IF(AND(L47&lt;&gt;"",IF(J47&gt;=TODAY(),J47,IF(EDATE(J47,INT(DATEDIF(J47,TODAY(),"m")/U47)*U47)&gt;=TODAY(),EDATE(J47,INT(DATEDIF(J47,TODAY(),"m")/U47)*U47),EDATE(J47,INT(DATEDIF(J47,TODAY(),"m")/U47)*U47+U47)))&gt;=L47),"",IF(J47&gt;=TODAY(),J47,IF(EDATE(J47,INT(DATEDIF(J47,TODAY(),"m")/U47)*U47)&gt;=TODAY(),EDATE(J47,INT(DATEDIF(J47,TODAY(),"m")/U47)*U47),EDATE(J47,INT(DATEDIF(J47,TODAY(),"m")/U47)*U47+U47)))))</f>
        <v/>
      </c>
      <c r="R47" s="27">
        <f>IF(Q47="","",Q47-N(K47))</f>
        <v/>
      </c>
      <c r="S47" s="17">
        <f>IF(OR(B47="",G47="",H47="",AND(L47&lt;&gt;"",L47&lt;=TODAY())),"",MAX(0,N(H47)-N(M47)))</f>
        <v/>
      </c>
      <c r="T47" s="14">
        <f>IF(B47="","",IF(AND(L47&lt;&gt;"",L47&lt;=TODAY()),"Cancelled",IF(L47&lt;&gt;"","Ends "&amp;DAY(L47)&amp;" "&amp;CHOOSE(MONTH(L47),"Jan","Feb","Mar","Apr","May","Jun","Jul","Aug","Sep","Oct","Nov","Dec"),IF(AND(Q47&lt;&gt;"",W47&lt;&gt;"",W47&lt;Q47),"Card expires",IF(AND(Q47&lt;&gt;"",E47&lt;&gt;"Monthly",N(K47)&gt;0,R47&gt;=TODAY(),R47-TODAY()&lt;=N(Settings!$C$5)),"Cancel by "&amp;DAY(R47)&amp;" "&amp;CHOOSE(MONTH(R47),"Jan","Feb","Mar","Apr","May","Jun","Jul","Aug","Sep","Oct","Nov","Dec"),IF(AND(Q47&lt;&gt;"",E47&lt;&gt;"Monthly",Q47-TODAY()&lt;=N(Settings!$C$5)),"Renews "&amp;DAY(Q47)&amp;" "&amp;CHOOSE(MONTH(Q47),"Jan","Feb","Mar","Apr","May","Jun","Jul","Aug","Sep","Oct","Nov","Dec"),IF(N(S47)&gt;0,S47&amp;IF(S47=1," unused seat"," unused seats"),"Active")))))))</f>
        <v/>
      </c>
      <c r="U47" s="1">
        <f>IF(E47="Quarterly",3,IF(E47="Yearly",12,1))</f>
        <v/>
      </c>
      <c r="V47">
        <f>IF(Q47="","",Q47+ROW()/10000000)</f>
        <v/>
      </c>
      <c r="W47">
        <f>IFERROR(IF(INDEX(Cards!$D$6:$D$25,MATCH(I47,Cards!$B$6:$B$25,0))="","",INDEX(Cards!$D$6:$D$25,MATCH(I47,Cards!$B$6:$B$25,0))),"")</f>
        <v/>
      </c>
      <c r="X47">
        <f>IF(OR(T47="",T47="Active",T47="Cancelled"),"",ROW())</f>
        <v/>
      </c>
      <c r="Y47">
        <f>IF(N(S47)=0,0,S47*N(F47)*12/U47)</f>
        <v/>
      </c>
    </row>
    <row r="48">
      <c r="A48" s="1" t="n"/>
      <c r="B48" s="20" t="n"/>
      <c r="C48" s="21" t="n"/>
      <c r="D48" s="21" t="n"/>
      <c r="E48" s="22" t="n"/>
      <c r="F48" s="23" t="n"/>
      <c r="G48" s="22" t="n"/>
      <c r="H48" s="24" t="n"/>
      <c r="I48" s="21" t="n"/>
      <c r="J48" s="25" t="n"/>
      <c r="K48" s="24" t="n"/>
      <c r="L48" s="25" t="n"/>
      <c r="M48" s="26">
        <f>IF(B48="","",SUMIFS(Access!$G$6:$G$405,Access!$C$6:$C$405,B48))</f>
        <v/>
      </c>
      <c r="N48" s="13">
        <f>IF(B48="","",IF(G48&lt;&gt;"",N(F48)*IF(H48="",M48,N(H48)),N(F48)))</f>
        <v/>
      </c>
      <c r="O48" s="13">
        <f>IF(B48="","",IF(AND(L48&lt;&gt;"",L48&lt;=TODAY()),0,N48/U48))</f>
        <v/>
      </c>
      <c r="P48" s="13">
        <f>IF(B48="","",O48*12)</f>
        <v/>
      </c>
      <c r="Q48" s="27">
        <f>IF(OR(B48="",J48=""),"",IF(AND(L48&lt;&gt;"",IF(J48&gt;=TODAY(),J48,IF(EDATE(J48,INT(DATEDIF(J48,TODAY(),"m")/U48)*U48)&gt;=TODAY(),EDATE(J48,INT(DATEDIF(J48,TODAY(),"m")/U48)*U48),EDATE(J48,INT(DATEDIF(J48,TODAY(),"m")/U48)*U48+U48)))&gt;=L48),"",IF(J48&gt;=TODAY(),J48,IF(EDATE(J48,INT(DATEDIF(J48,TODAY(),"m")/U48)*U48)&gt;=TODAY(),EDATE(J48,INT(DATEDIF(J48,TODAY(),"m")/U48)*U48),EDATE(J48,INT(DATEDIF(J48,TODAY(),"m")/U48)*U48+U48)))))</f>
        <v/>
      </c>
      <c r="R48" s="27">
        <f>IF(Q48="","",Q48-N(K48))</f>
        <v/>
      </c>
      <c r="S48" s="17">
        <f>IF(OR(B48="",G48="",H48="",AND(L48&lt;&gt;"",L48&lt;=TODAY())),"",MAX(0,N(H48)-N(M48)))</f>
        <v/>
      </c>
      <c r="T48" s="14">
        <f>IF(B48="","",IF(AND(L48&lt;&gt;"",L48&lt;=TODAY()),"Cancelled",IF(L48&lt;&gt;"","Ends "&amp;DAY(L48)&amp;" "&amp;CHOOSE(MONTH(L48),"Jan","Feb","Mar","Apr","May","Jun","Jul","Aug","Sep","Oct","Nov","Dec"),IF(AND(Q48&lt;&gt;"",W48&lt;&gt;"",W48&lt;Q48),"Card expires",IF(AND(Q48&lt;&gt;"",E48&lt;&gt;"Monthly",N(K48)&gt;0,R48&gt;=TODAY(),R48-TODAY()&lt;=N(Settings!$C$5)),"Cancel by "&amp;DAY(R48)&amp;" "&amp;CHOOSE(MONTH(R48),"Jan","Feb","Mar","Apr","May","Jun","Jul","Aug","Sep","Oct","Nov","Dec"),IF(AND(Q48&lt;&gt;"",E48&lt;&gt;"Monthly",Q48-TODAY()&lt;=N(Settings!$C$5)),"Renews "&amp;DAY(Q48)&amp;" "&amp;CHOOSE(MONTH(Q48),"Jan","Feb","Mar","Apr","May","Jun","Jul","Aug","Sep","Oct","Nov","Dec"),IF(N(S48)&gt;0,S48&amp;IF(S48=1," unused seat"," unused seats"),"Active")))))))</f>
        <v/>
      </c>
      <c r="U48" s="1">
        <f>IF(E48="Quarterly",3,IF(E48="Yearly",12,1))</f>
        <v/>
      </c>
      <c r="V48">
        <f>IF(Q48="","",Q48+ROW()/10000000)</f>
        <v/>
      </c>
      <c r="W48">
        <f>IFERROR(IF(INDEX(Cards!$D$6:$D$25,MATCH(I48,Cards!$B$6:$B$25,0))="","",INDEX(Cards!$D$6:$D$25,MATCH(I48,Cards!$B$6:$B$25,0))),"")</f>
        <v/>
      </c>
      <c r="X48">
        <f>IF(OR(T48="",T48="Active",T48="Cancelled"),"",ROW())</f>
        <v/>
      </c>
      <c r="Y48">
        <f>IF(N(S48)=0,0,S48*N(F48)*12/U48)</f>
        <v/>
      </c>
    </row>
    <row r="49">
      <c r="A49" s="1" t="n"/>
      <c r="B49" s="20" t="n"/>
      <c r="C49" s="21" t="n"/>
      <c r="D49" s="21" t="n"/>
      <c r="E49" s="22" t="n"/>
      <c r="F49" s="23" t="n"/>
      <c r="G49" s="22" t="n"/>
      <c r="H49" s="24" t="n"/>
      <c r="I49" s="21" t="n"/>
      <c r="J49" s="25" t="n"/>
      <c r="K49" s="24" t="n"/>
      <c r="L49" s="25" t="n"/>
      <c r="M49" s="26">
        <f>IF(B49="","",SUMIFS(Access!$G$6:$G$405,Access!$C$6:$C$405,B49))</f>
        <v/>
      </c>
      <c r="N49" s="13">
        <f>IF(B49="","",IF(G49&lt;&gt;"",N(F49)*IF(H49="",M49,N(H49)),N(F49)))</f>
        <v/>
      </c>
      <c r="O49" s="13">
        <f>IF(B49="","",IF(AND(L49&lt;&gt;"",L49&lt;=TODAY()),0,N49/U49))</f>
        <v/>
      </c>
      <c r="P49" s="13">
        <f>IF(B49="","",O49*12)</f>
        <v/>
      </c>
      <c r="Q49" s="27">
        <f>IF(OR(B49="",J49=""),"",IF(AND(L49&lt;&gt;"",IF(J49&gt;=TODAY(),J49,IF(EDATE(J49,INT(DATEDIF(J49,TODAY(),"m")/U49)*U49)&gt;=TODAY(),EDATE(J49,INT(DATEDIF(J49,TODAY(),"m")/U49)*U49),EDATE(J49,INT(DATEDIF(J49,TODAY(),"m")/U49)*U49+U49)))&gt;=L49),"",IF(J49&gt;=TODAY(),J49,IF(EDATE(J49,INT(DATEDIF(J49,TODAY(),"m")/U49)*U49)&gt;=TODAY(),EDATE(J49,INT(DATEDIF(J49,TODAY(),"m")/U49)*U49),EDATE(J49,INT(DATEDIF(J49,TODAY(),"m")/U49)*U49+U49)))))</f>
        <v/>
      </c>
      <c r="R49" s="27">
        <f>IF(Q49="","",Q49-N(K49))</f>
        <v/>
      </c>
      <c r="S49" s="17">
        <f>IF(OR(B49="",G49="",H49="",AND(L49&lt;&gt;"",L49&lt;=TODAY())),"",MAX(0,N(H49)-N(M49)))</f>
        <v/>
      </c>
      <c r="T49" s="14">
        <f>IF(B49="","",IF(AND(L49&lt;&gt;"",L49&lt;=TODAY()),"Cancelled",IF(L49&lt;&gt;"","Ends "&amp;DAY(L49)&amp;" "&amp;CHOOSE(MONTH(L49),"Jan","Feb","Mar","Apr","May","Jun","Jul","Aug","Sep","Oct","Nov","Dec"),IF(AND(Q49&lt;&gt;"",W49&lt;&gt;"",W49&lt;Q49),"Card expires",IF(AND(Q49&lt;&gt;"",E49&lt;&gt;"Monthly",N(K49)&gt;0,R49&gt;=TODAY(),R49-TODAY()&lt;=N(Settings!$C$5)),"Cancel by "&amp;DAY(R49)&amp;" "&amp;CHOOSE(MONTH(R49),"Jan","Feb","Mar","Apr","May","Jun","Jul","Aug","Sep","Oct","Nov","Dec"),IF(AND(Q49&lt;&gt;"",E49&lt;&gt;"Monthly",Q49-TODAY()&lt;=N(Settings!$C$5)),"Renews "&amp;DAY(Q49)&amp;" "&amp;CHOOSE(MONTH(Q49),"Jan","Feb","Mar","Apr","May","Jun","Jul","Aug","Sep","Oct","Nov","Dec"),IF(N(S49)&gt;0,S49&amp;IF(S49=1," unused seat"," unused seats"),"Active")))))))</f>
        <v/>
      </c>
      <c r="U49" s="1">
        <f>IF(E49="Quarterly",3,IF(E49="Yearly",12,1))</f>
        <v/>
      </c>
      <c r="V49">
        <f>IF(Q49="","",Q49+ROW()/10000000)</f>
        <v/>
      </c>
      <c r="W49">
        <f>IFERROR(IF(INDEX(Cards!$D$6:$D$25,MATCH(I49,Cards!$B$6:$B$25,0))="","",INDEX(Cards!$D$6:$D$25,MATCH(I49,Cards!$B$6:$B$25,0))),"")</f>
        <v/>
      </c>
      <c r="X49">
        <f>IF(OR(T49="",T49="Active",T49="Cancelled"),"",ROW())</f>
        <v/>
      </c>
      <c r="Y49">
        <f>IF(N(S49)=0,0,S49*N(F49)*12/U49)</f>
        <v/>
      </c>
    </row>
    <row r="50">
      <c r="A50" s="1" t="n"/>
      <c r="B50" s="20" t="n"/>
      <c r="C50" s="21" t="n"/>
      <c r="D50" s="21" t="n"/>
      <c r="E50" s="22" t="n"/>
      <c r="F50" s="23" t="n"/>
      <c r="G50" s="22" t="n"/>
      <c r="H50" s="24" t="n"/>
      <c r="I50" s="21" t="n"/>
      <c r="J50" s="25" t="n"/>
      <c r="K50" s="24" t="n"/>
      <c r="L50" s="25" t="n"/>
      <c r="M50" s="26">
        <f>IF(B50="","",SUMIFS(Access!$G$6:$G$405,Access!$C$6:$C$405,B50))</f>
        <v/>
      </c>
      <c r="N50" s="13">
        <f>IF(B50="","",IF(G50&lt;&gt;"",N(F50)*IF(H50="",M50,N(H50)),N(F50)))</f>
        <v/>
      </c>
      <c r="O50" s="13">
        <f>IF(B50="","",IF(AND(L50&lt;&gt;"",L50&lt;=TODAY()),0,N50/U50))</f>
        <v/>
      </c>
      <c r="P50" s="13">
        <f>IF(B50="","",O50*12)</f>
        <v/>
      </c>
      <c r="Q50" s="27">
        <f>IF(OR(B50="",J50=""),"",IF(AND(L50&lt;&gt;"",IF(J50&gt;=TODAY(),J50,IF(EDATE(J50,INT(DATEDIF(J50,TODAY(),"m")/U50)*U50)&gt;=TODAY(),EDATE(J50,INT(DATEDIF(J50,TODAY(),"m")/U50)*U50),EDATE(J50,INT(DATEDIF(J50,TODAY(),"m")/U50)*U50+U50)))&gt;=L50),"",IF(J50&gt;=TODAY(),J50,IF(EDATE(J50,INT(DATEDIF(J50,TODAY(),"m")/U50)*U50)&gt;=TODAY(),EDATE(J50,INT(DATEDIF(J50,TODAY(),"m")/U50)*U50),EDATE(J50,INT(DATEDIF(J50,TODAY(),"m")/U50)*U50+U50)))))</f>
        <v/>
      </c>
      <c r="R50" s="27">
        <f>IF(Q50="","",Q50-N(K50))</f>
        <v/>
      </c>
      <c r="S50" s="17">
        <f>IF(OR(B50="",G50="",H50="",AND(L50&lt;&gt;"",L50&lt;=TODAY())),"",MAX(0,N(H50)-N(M50)))</f>
        <v/>
      </c>
      <c r="T50" s="14">
        <f>IF(B50="","",IF(AND(L50&lt;&gt;"",L50&lt;=TODAY()),"Cancelled",IF(L50&lt;&gt;"","Ends "&amp;DAY(L50)&amp;" "&amp;CHOOSE(MONTH(L50),"Jan","Feb","Mar","Apr","May","Jun","Jul","Aug","Sep","Oct","Nov","Dec"),IF(AND(Q50&lt;&gt;"",W50&lt;&gt;"",W50&lt;Q50),"Card expires",IF(AND(Q50&lt;&gt;"",E50&lt;&gt;"Monthly",N(K50)&gt;0,R50&gt;=TODAY(),R50-TODAY()&lt;=N(Settings!$C$5)),"Cancel by "&amp;DAY(R50)&amp;" "&amp;CHOOSE(MONTH(R50),"Jan","Feb","Mar","Apr","May","Jun","Jul","Aug","Sep","Oct","Nov","Dec"),IF(AND(Q50&lt;&gt;"",E50&lt;&gt;"Monthly",Q50-TODAY()&lt;=N(Settings!$C$5)),"Renews "&amp;DAY(Q50)&amp;" "&amp;CHOOSE(MONTH(Q50),"Jan","Feb","Mar","Apr","May","Jun","Jul","Aug","Sep","Oct","Nov","Dec"),IF(N(S50)&gt;0,S50&amp;IF(S50=1," unused seat"," unused seats"),"Active")))))))</f>
        <v/>
      </c>
      <c r="U50" s="1">
        <f>IF(E50="Quarterly",3,IF(E50="Yearly",12,1))</f>
        <v/>
      </c>
      <c r="V50">
        <f>IF(Q50="","",Q50+ROW()/10000000)</f>
        <v/>
      </c>
      <c r="W50">
        <f>IFERROR(IF(INDEX(Cards!$D$6:$D$25,MATCH(I50,Cards!$B$6:$B$25,0))="","",INDEX(Cards!$D$6:$D$25,MATCH(I50,Cards!$B$6:$B$25,0))),"")</f>
        <v/>
      </c>
      <c r="X50">
        <f>IF(OR(T50="",T50="Active",T50="Cancelled"),"",ROW())</f>
        <v/>
      </c>
      <c r="Y50">
        <f>IF(N(S50)=0,0,S50*N(F50)*12/U50)</f>
        <v/>
      </c>
    </row>
    <row r="51">
      <c r="A51" s="1" t="n"/>
      <c r="B51" s="20" t="n"/>
      <c r="C51" s="21" t="n"/>
      <c r="D51" s="21" t="n"/>
      <c r="E51" s="22" t="n"/>
      <c r="F51" s="23" t="n"/>
      <c r="G51" s="22" t="n"/>
      <c r="H51" s="24" t="n"/>
      <c r="I51" s="21" t="n"/>
      <c r="J51" s="25" t="n"/>
      <c r="K51" s="24" t="n"/>
      <c r="L51" s="25" t="n"/>
      <c r="M51" s="26">
        <f>IF(B51="","",SUMIFS(Access!$G$6:$G$405,Access!$C$6:$C$405,B51))</f>
        <v/>
      </c>
      <c r="N51" s="13">
        <f>IF(B51="","",IF(G51&lt;&gt;"",N(F51)*IF(H51="",M51,N(H51)),N(F51)))</f>
        <v/>
      </c>
      <c r="O51" s="13">
        <f>IF(B51="","",IF(AND(L51&lt;&gt;"",L51&lt;=TODAY()),0,N51/U51))</f>
        <v/>
      </c>
      <c r="P51" s="13">
        <f>IF(B51="","",O51*12)</f>
        <v/>
      </c>
      <c r="Q51" s="27">
        <f>IF(OR(B51="",J51=""),"",IF(AND(L51&lt;&gt;"",IF(J51&gt;=TODAY(),J51,IF(EDATE(J51,INT(DATEDIF(J51,TODAY(),"m")/U51)*U51)&gt;=TODAY(),EDATE(J51,INT(DATEDIF(J51,TODAY(),"m")/U51)*U51),EDATE(J51,INT(DATEDIF(J51,TODAY(),"m")/U51)*U51+U51)))&gt;=L51),"",IF(J51&gt;=TODAY(),J51,IF(EDATE(J51,INT(DATEDIF(J51,TODAY(),"m")/U51)*U51)&gt;=TODAY(),EDATE(J51,INT(DATEDIF(J51,TODAY(),"m")/U51)*U51),EDATE(J51,INT(DATEDIF(J51,TODAY(),"m")/U51)*U51+U51)))))</f>
        <v/>
      </c>
      <c r="R51" s="27">
        <f>IF(Q51="","",Q51-N(K51))</f>
        <v/>
      </c>
      <c r="S51" s="17">
        <f>IF(OR(B51="",G51="",H51="",AND(L51&lt;&gt;"",L51&lt;=TODAY())),"",MAX(0,N(H51)-N(M51)))</f>
        <v/>
      </c>
      <c r="T51" s="14">
        <f>IF(B51="","",IF(AND(L51&lt;&gt;"",L51&lt;=TODAY()),"Cancelled",IF(L51&lt;&gt;"","Ends "&amp;DAY(L51)&amp;" "&amp;CHOOSE(MONTH(L51),"Jan","Feb","Mar","Apr","May","Jun","Jul","Aug","Sep","Oct","Nov","Dec"),IF(AND(Q51&lt;&gt;"",W51&lt;&gt;"",W51&lt;Q51),"Card expires",IF(AND(Q51&lt;&gt;"",E51&lt;&gt;"Monthly",N(K51)&gt;0,R51&gt;=TODAY(),R51-TODAY()&lt;=N(Settings!$C$5)),"Cancel by "&amp;DAY(R51)&amp;" "&amp;CHOOSE(MONTH(R51),"Jan","Feb","Mar","Apr","May","Jun","Jul","Aug","Sep","Oct","Nov","Dec"),IF(AND(Q51&lt;&gt;"",E51&lt;&gt;"Monthly",Q51-TODAY()&lt;=N(Settings!$C$5)),"Renews "&amp;DAY(Q51)&amp;" "&amp;CHOOSE(MONTH(Q51),"Jan","Feb","Mar","Apr","May","Jun","Jul","Aug","Sep","Oct","Nov","Dec"),IF(N(S51)&gt;0,S51&amp;IF(S51=1," unused seat"," unused seats"),"Active")))))))</f>
        <v/>
      </c>
      <c r="U51" s="1">
        <f>IF(E51="Quarterly",3,IF(E51="Yearly",12,1))</f>
        <v/>
      </c>
      <c r="V51">
        <f>IF(Q51="","",Q51+ROW()/10000000)</f>
        <v/>
      </c>
      <c r="W51">
        <f>IFERROR(IF(INDEX(Cards!$D$6:$D$25,MATCH(I51,Cards!$B$6:$B$25,0))="","",INDEX(Cards!$D$6:$D$25,MATCH(I51,Cards!$B$6:$B$25,0))),"")</f>
        <v/>
      </c>
      <c r="X51">
        <f>IF(OR(T51="",T51="Active",T51="Cancelled"),"",ROW())</f>
        <v/>
      </c>
      <c r="Y51">
        <f>IF(N(S51)=0,0,S51*N(F51)*12/U51)</f>
        <v/>
      </c>
    </row>
    <row r="52">
      <c r="A52" s="1" t="n"/>
      <c r="B52" s="20" t="n"/>
      <c r="C52" s="21" t="n"/>
      <c r="D52" s="21" t="n"/>
      <c r="E52" s="22" t="n"/>
      <c r="F52" s="23" t="n"/>
      <c r="G52" s="22" t="n"/>
      <c r="H52" s="24" t="n"/>
      <c r="I52" s="21" t="n"/>
      <c r="J52" s="25" t="n"/>
      <c r="K52" s="24" t="n"/>
      <c r="L52" s="25" t="n"/>
      <c r="M52" s="26">
        <f>IF(B52="","",SUMIFS(Access!$G$6:$G$405,Access!$C$6:$C$405,B52))</f>
        <v/>
      </c>
      <c r="N52" s="13">
        <f>IF(B52="","",IF(G52&lt;&gt;"",N(F52)*IF(H52="",M52,N(H52)),N(F52)))</f>
        <v/>
      </c>
      <c r="O52" s="13">
        <f>IF(B52="","",IF(AND(L52&lt;&gt;"",L52&lt;=TODAY()),0,N52/U52))</f>
        <v/>
      </c>
      <c r="P52" s="13">
        <f>IF(B52="","",O52*12)</f>
        <v/>
      </c>
      <c r="Q52" s="27">
        <f>IF(OR(B52="",J52=""),"",IF(AND(L52&lt;&gt;"",IF(J52&gt;=TODAY(),J52,IF(EDATE(J52,INT(DATEDIF(J52,TODAY(),"m")/U52)*U52)&gt;=TODAY(),EDATE(J52,INT(DATEDIF(J52,TODAY(),"m")/U52)*U52),EDATE(J52,INT(DATEDIF(J52,TODAY(),"m")/U52)*U52+U52)))&gt;=L52),"",IF(J52&gt;=TODAY(),J52,IF(EDATE(J52,INT(DATEDIF(J52,TODAY(),"m")/U52)*U52)&gt;=TODAY(),EDATE(J52,INT(DATEDIF(J52,TODAY(),"m")/U52)*U52),EDATE(J52,INT(DATEDIF(J52,TODAY(),"m")/U52)*U52+U52)))))</f>
        <v/>
      </c>
      <c r="R52" s="27">
        <f>IF(Q52="","",Q52-N(K52))</f>
        <v/>
      </c>
      <c r="S52" s="17">
        <f>IF(OR(B52="",G52="",H52="",AND(L52&lt;&gt;"",L52&lt;=TODAY())),"",MAX(0,N(H52)-N(M52)))</f>
        <v/>
      </c>
      <c r="T52" s="14">
        <f>IF(B52="","",IF(AND(L52&lt;&gt;"",L52&lt;=TODAY()),"Cancelled",IF(L52&lt;&gt;"","Ends "&amp;DAY(L52)&amp;" "&amp;CHOOSE(MONTH(L52),"Jan","Feb","Mar","Apr","May","Jun","Jul","Aug","Sep","Oct","Nov","Dec"),IF(AND(Q52&lt;&gt;"",W52&lt;&gt;"",W52&lt;Q52),"Card expires",IF(AND(Q52&lt;&gt;"",E52&lt;&gt;"Monthly",N(K52)&gt;0,R52&gt;=TODAY(),R52-TODAY()&lt;=N(Settings!$C$5)),"Cancel by "&amp;DAY(R52)&amp;" "&amp;CHOOSE(MONTH(R52),"Jan","Feb","Mar","Apr","May","Jun","Jul","Aug","Sep","Oct","Nov","Dec"),IF(AND(Q52&lt;&gt;"",E52&lt;&gt;"Monthly",Q52-TODAY()&lt;=N(Settings!$C$5)),"Renews "&amp;DAY(Q52)&amp;" "&amp;CHOOSE(MONTH(Q52),"Jan","Feb","Mar","Apr","May","Jun","Jul","Aug","Sep","Oct","Nov","Dec"),IF(N(S52)&gt;0,S52&amp;IF(S52=1," unused seat"," unused seats"),"Active")))))))</f>
        <v/>
      </c>
      <c r="U52" s="1">
        <f>IF(E52="Quarterly",3,IF(E52="Yearly",12,1))</f>
        <v/>
      </c>
      <c r="V52">
        <f>IF(Q52="","",Q52+ROW()/10000000)</f>
        <v/>
      </c>
      <c r="W52">
        <f>IFERROR(IF(INDEX(Cards!$D$6:$D$25,MATCH(I52,Cards!$B$6:$B$25,0))="","",INDEX(Cards!$D$6:$D$25,MATCH(I52,Cards!$B$6:$B$25,0))),"")</f>
        <v/>
      </c>
      <c r="X52">
        <f>IF(OR(T52="",T52="Active",T52="Cancelled"),"",ROW())</f>
        <v/>
      </c>
      <c r="Y52">
        <f>IF(N(S52)=0,0,S52*N(F52)*12/U52)</f>
        <v/>
      </c>
    </row>
    <row r="53">
      <c r="A53" s="1" t="n"/>
      <c r="B53" s="20" t="n"/>
      <c r="C53" s="21" t="n"/>
      <c r="D53" s="21" t="n"/>
      <c r="E53" s="22" t="n"/>
      <c r="F53" s="23" t="n"/>
      <c r="G53" s="22" t="n"/>
      <c r="H53" s="24" t="n"/>
      <c r="I53" s="21" t="n"/>
      <c r="J53" s="25" t="n"/>
      <c r="K53" s="24" t="n"/>
      <c r="L53" s="25" t="n"/>
      <c r="M53" s="26">
        <f>IF(B53="","",SUMIFS(Access!$G$6:$G$405,Access!$C$6:$C$405,B53))</f>
        <v/>
      </c>
      <c r="N53" s="13">
        <f>IF(B53="","",IF(G53&lt;&gt;"",N(F53)*IF(H53="",M53,N(H53)),N(F53)))</f>
        <v/>
      </c>
      <c r="O53" s="13">
        <f>IF(B53="","",IF(AND(L53&lt;&gt;"",L53&lt;=TODAY()),0,N53/U53))</f>
        <v/>
      </c>
      <c r="P53" s="13">
        <f>IF(B53="","",O53*12)</f>
        <v/>
      </c>
      <c r="Q53" s="27">
        <f>IF(OR(B53="",J53=""),"",IF(AND(L53&lt;&gt;"",IF(J53&gt;=TODAY(),J53,IF(EDATE(J53,INT(DATEDIF(J53,TODAY(),"m")/U53)*U53)&gt;=TODAY(),EDATE(J53,INT(DATEDIF(J53,TODAY(),"m")/U53)*U53),EDATE(J53,INT(DATEDIF(J53,TODAY(),"m")/U53)*U53+U53)))&gt;=L53),"",IF(J53&gt;=TODAY(),J53,IF(EDATE(J53,INT(DATEDIF(J53,TODAY(),"m")/U53)*U53)&gt;=TODAY(),EDATE(J53,INT(DATEDIF(J53,TODAY(),"m")/U53)*U53),EDATE(J53,INT(DATEDIF(J53,TODAY(),"m")/U53)*U53+U53)))))</f>
        <v/>
      </c>
      <c r="R53" s="27">
        <f>IF(Q53="","",Q53-N(K53))</f>
        <v/>
      </c>
      <c r="S53" s="17">
        <f>IF(OR(B53="",G53="",H53="",AND(L53&lt;&gt;"",L53&lt;=TODAY())),"",MAX(0,N(H53)-N(M53)))</f>
        <v/>
      </c>
      <c r="T53" s="14">
        <f>IF(B53="","",IF(AND(L53&lt;&gt;"",L53&lt;=TODAY()),"Cancelled",IF(L53&lt;&gt;"","Ends "&amp;DAY(L53)&amp;" "&amp;CHOOSE(MONTH(L53),"Jan","Feb","Mar","Apr","May","Jun","Jul","Aug","Sep","Oct","Nov","Dec"),IF(AND(Q53&lt;&gt;"",W53&lt;&gt;"",W53&lt;Q53),"Card expires",IF(AND(Q53&lt;&gt;"",E53&lt;&gt;"Monthly",N(K53)&gt;0,R53&gt;=TODAY(),R53-TODAY()&lt;=N(Settings!$C$5)),"Cancel by "&amp;DAY(R53)&amp;" "&amp;CHOOSE(MONTH(R53),"Jan","Feb","Mar","Apr","May","Jun","Jul","Aug","Sep","Oct","Nov","Dec"),IF(AND(Q53&lt;&gt;"",E53&lt;&gt;"Monthly",Q53-TODAY()&lt;=N(Settings!$C$5)),"Renews "&amp;DAY(Q53)&amp;" "&amp;CHOOSE(MONTH(Q53),"Jan","Feb","Mar","Apr","May","Jun","Jul","Aug","Sep","Oct","Nov","Dec"),IF(N(S53)&gt;0,S53&amp;IF(S53=1," unused seat"," unused seats"),"Active")))))))</f>
        <v/>
      </c>
      <c r="U53" s="1">
        <f>IF(E53="Quarterly",3,IF(E53="Yearly",12,1))</f>
        <v/>
      </c>
      <c r="V53">
        <f>IF(Q53="","",Q53+ROW()/10000000)</f>
        <v/>
      </c>
      <c r="W53">
        <f>IFERROR(IF(INDEX(Cards!$D$6:$D$25,MATCH(I53,Cards!$B$6:$B$25,0))="","",INDEX(Cards!$D$6:$D$25,MATCH(I53,Cards!$B$6:$B$25,0))),"")</f>
        <v/>
      </c>
      <c r="X53">
        <f>IF(OR(T53="",T53="Active",T53="Cancelled"),"",ROW())</f>
        <v/>
      </c>
      <c r="Y53">
        <f>IF(N(S53)=0,0,S53*N(F53)*12/U53)</f>
        <v/>
      </c>
    </row>
    <row r="54">
      <c r="A54" s="1" t="n"/>
      <c r="B54" s="20" t="n"/>
      <c r="C54" s="21" t="n"/>
      <c r="D54" s="21" t="n"/>
      <c r="E54" s="22" t="n"/>
      <c r="F54" s="23" t="n"/>
      <c r="G54" s="22" t="n"/>
      <c r="H54" s="24" t="n"/>
      <c r="I54" s="21" t="n"/>
      <c r="J54" s="25" t="n"/>
      <c r="K54" s="24" t="n"/>
      <c r="L54" s="25" t="n"/>
      <c r="M54" s="26">
        <f>IF(B54="","",SUMIFS(Access!$G$6:$G$405,Access!$C$6:$C$405,B54))</f>
        <v/>
      </c>
      <c r="N54" s="13">
        <f>IF(B54="","",IF(G54&lt;&gt;"",N(F54)*IF(H54="",M54,N(H54)),N(F54)))</f>
        <v/>
      </c>
      <c r="O54" s="13">
        <f>IF(B54="","",IF(AND(L54&lt;&gt;"",L54&lt;=TODAY()),0,N54/U54))</f>
        <v/>
      </c>
      <c r="P54" s="13">
        <f>IF(B54="","",O54*12)</f>
        <v/>
      </c>
      <c r="Q54" s="27">
        <f>IF(OR(B54="",J54=""),"",IF(AND(L54&lt;&gt;"",IF(J54&gt;=TODAY(),J54,IF(EDATE(J54,INT(DATEDIF(J54,TODAY(),"m")/U54)*U54)&gt;=TODAY(),EDATE(J54,INT(DATEDIF(J54,TODAY(),"m")/U54)*U54),EDATE(J54,INT(DATEDIF(J54,TODAY(),"m")/U54)*U54+U54)))&gt;=L54),"",IF(J54&gt;=TODAY(),J54,IF(EDATE(J54,INT(DATEDIF(J54,TODAY(),"m")/U54)*U54)&gt;=TODAY(),EDATE(J54,INT(DATEDIF(J54,TODAY(),"m")/U54)*U54),EDATE(J54,INT(DATEDIF(J54,TODAY(),"m")/U54)*U54+U54)))))</f>
        <v/>
      </c>
      <c r="R54" s="27">
        <f>IF(Q54="","",Q54-N(K54))</f>
        <v/>
      </c>
      <c r="S54" s="17">
        <f>IF(OR(B54="",G54="",H54="",AND(L54&lt;&gt;"",L54&lt;=TODAY())),"",MAX(0,N(H54)-N(M54)))</f>
        <v/>
      </c>
      <c r="T54" s="14">
        <f>IF(B54="","",IF(AND(L54&lt;&gt;"",L54&lt;=TODAY()),"Cancelled",IF(L54&lt;&gt;"","Ends "&amp;DAY(L54)&amp;" "&amp;CHOOSE(MONTH(L54),"Jan","Feb","Mar","Apr","May","Jun","Jul","Aug","Sep","Oct","Nov","Dec"),IF(AND(Q54&lt;&gt;"",W54&lt;&gt;"",W54&lt;Q54),"Card expires",IF(AND(Q54&lt;&gt;"",E54&lt;&gt;"Monthly",N(K54)&gt;0,R54&gt;=TODAY(),R54-TODAY()&lt;=N(Settings!$C$5)),"Cancel by "&amp;DAY(R54)&amp;" "&amp;CHOOSE(MONTH(R54),"Jan","Feb","Mar","Apr","May","Jun","Jul","Aug","Sep","Oct","Nov","Dec"),IF(AND(Q54&lt;&gt;"",E54&lt;&gt;"Monthly",Q54-TODAY()&lt;=N(Settings!$C$5)),"Renews "&amp;DAY(Q54)&amp;" "&amp;CHOOSE(MONTH(Q54),"Jan","Feb","Mar","Apr","May","Jun","Jul","Aug","Sep","Oct","Nov","Dec"),IF(N(S54)&gt;0,S54&amp;IF(S54=1," unused seat"," unused seats"),"Active")))))))</f>
        <v/>
      </c>
      <c r="U54" s="1">
        <f>IF(E54="Quarterly",3,IF(E54="Yearly",12,1))</f>
        <v/>
      </c>
      <c r="V54">
        <f>IF(Q54="","",Q54+ROW()/10000000)</f>
        <v/>
      </c>
      <c r="W54">
        <f>IFERROR(IF(INDEX(Cards!$D$6:$D$25,MATCH(I54,Cards!$B$6:$B$25,0))="","",INDEX(Cards!$D$6:$D$25,MATCH(I54,Cards!$B$6:$B$25,0))),"")</f>
        <v/>
      </c>
      <c r="X54">
        <f>IF(OR(T54="",T54="Active",T54="Cancelled"),"",ROW())</f>
        <v/>
      </c>
      <c r="Y54">
        <f>IF(N(S54)=0,0,S54*N(F54)*12/U54)</f>
        <v/>
      </c>
    </row>
    <row r="55">
      <c r="A55" s="1" t="n"/>
      <c r="B55" s="20" t="n"/>
      <c r="C55" s="21" t="n"/>
      <c r="D55" s="21" t="n"/>
      <c r="E55" s="22" t="n"/>
      <c r="F55" s="23" t="n"/>
      <c r="G55" s="22" t="n"/>
      <c r="H55" s="24" t="n"/>
      <c r="I55" s="21" t="n"/>
      <c r="J55" s="25" t="n"/>
      <c r="K55" s="24" t="n"/>
      <c r="L55" s="25" t="n"/>
      <c r="M55" s="26">
        <f>IF(B55="","",SUMIFS(Access!$G$6:$G$405,Access!$C$6:$C$405,B55))</f>
        <v/>
      </c>
      <c r="N55" s="13">
        <f>IF(B55="","",IF(G55&lt;&gt;"",N(F55)*IF(H55="",M55,N(H55)),N(F55)))</f>
        <v/>
      </c>
      <c r="O55" s="13">
        <f>IF(B55="","",IF(AND(L55&lt;&gt;"",L55&lt;=TODAY()),0,N55/U55))</f>
        <v/>
      </c>
      <c r="P55" s="13">
        <f>IF(B55="","",O55*12)</f>
        <v/>
      </c>
      <c r="Q55" s="27">
        <f>IF(OR(B55="",J55=""),"",IF(AND(L55&lt;&gt;"",IF(J55&gt;=TODAY(),J55,IF(EDATE(J55,INT(DATEDIF(J55,TODAY(),"m")/U55)*U55)&gt;=TODAY(),EDATE(J55,INT(DATEDIF(J55,TODAY(),"m")/U55)*U55),EDATE(J55,INT(DATEDIF(J55,TODAY(),"m")/U55)*U55+U55)))&gt;=L55),"",IF(J55&gt;=TODAY(),J55,IF(EDATE(J55,INT(DATEDIF(J55,TODAY(),"m")/U55)*U55)&gt;=TODAY(),EDATE(J55,INT(DATEDIF(J55,TODAY(),"m")/U55)*U55),EDATE(J55,INT(DATEDIF(J55,TODAY(),"m")/U55)*U55+U55)))))</f>
        <v/>
      </c>
      <c r="R55" s="27">
        <f>IF(Q55="","",Q55-N(K55))</f>
        <v/>
      </c>
      <c r="S55" s="17">
        <f>IF(OR(B55="",G55="",H55="",AND(L55&lt;&gt;"",L55&lt;=TODAY())),"",MAX(0,N(H55)-N(M55)))</f>
        <v/>
      </c>
      <c r="T55" s="14">
        <f>IF(B55="","",IF(AND(L55&lt;&gt;"",L55&lt;=TODAY()),"Cancelled",IF(L55&lt;&gt;"","Ends "&amp;DAY(L55)&amp;" "&amp;CHOOSE(MONTH(L55),"Jan","Feb","Mar","Apr","May","Jun","Jul","Aug","Sep","Oct","Nov","Dec"),IF(AND(Q55&lt;&gt;"",W55&lt;&gt;"",W55&lt;Q55),"Card expires",IF(AND(Q55&lt;&gt;"",E55&lt;&gt;"Monthly",N(K55)&gt;0,R55&gt;=TODAY(),R55-TODAY()&lt;=N(Settings!$C$5)),"Cancel by "&amp;DAY(R55)&amp;" "&amp;CHOOSE(MONTH(R55),"Jan","Feb","Mar","Apr","May","Jun","Jul","Aug","Sep","Oct","Nov","Dec"),IF(AND(Q55&lt;&gt;"",E55&lt;&gt;"Monthly",Q55-TODAY()&lt;=N(Settings!$C$5)),"Renews "&amp;DAY(Q55)&amp;" "&amp;CHOOSE(MONTH(Q55),"Jan","Feb","Mar","Apr","May","Jun","Jul","Aug","Sep","Oct","Nov","Dec"),IF(N(S55)&gt;0,S55&amp;IF(S55=1," unused seat"," unused seats"),"Active")))))))</f>
        <v/>
      </c>
      <c r="U55" s="1">
        <f>IF(E55="Quarterly",3,IF(E55="Yearly",12,1))</f>
        <v/>
      </c>
      <c r="V55">
        <f>IF(Q55="","",Q55+ROW()/10000000)</f>
        <v/>
      </c>
      <c r="W55">
        <f>IFERROR(IF(INDEX(Cards!$D$6:$D$25,MATCH(I55,Cards!$B$6:$B$25,0))="","",INDEX(Cards!$D$6:$D$25,MATCH(I55,Cards!$B$6:$B$25,0))),"")</f>
        <v/>
      </c>
      <c r="X55">
        <f>IF(OR(T55="",T55="Active",T55="Cancelled"),"",ROW())</f>
        <v/>
      </c>
      <c r="Y55">
        <f>IF(N(S55)=0,0,S55*N(F55)*12/U55)</f>
        <v/>
      </c>
    </row>
    <row r="56">
      <c r="A56" s="1" t="n"/>
      <c r="B56" s="20" t="n"/>
      <c r="C56" s="21" t="n"/>
      <c r="D56" s="21" t="n"/>
      <c r="E56" s="22" t="n"/>
      <c r="F56" s="23" t="n"/>
      <c r="G56" s="22" t="n"/>
      <c r="H56" s="24" t="n"/>
      <c r="I56" s="21" t="n"/>
      <c r="J56" s="25" t="n"/>
      <c r="K56" s="24" t="n"/>
      <c r="L56" s="25" t="n"/>
      <c r="M56" s="26">
        <f>IF(B56="","",SUMIFS(Access!$G$6:$G$405,Access!$C$6:$C$405,B56))</f>
        <v/>
      </c>
      <c r="N56" s="13">
        <f>IF(B56="","",IF(G56&lt;&gt;"",N(F56)*IF(H56="",M56,N(H56)),N(F56)))</f>
        <v/>
      </c>
      <c r="O56" s="13">
        <f>IF(B56="","",IF(AND(L56&lt;&gt;"",L56&lt;=TODAY()),0,N56/U56))</f>
        <v/>
      </c>
      <c r="P56" s="13">
        <f>IF(B56="","",O56*12)</f>
        <v/>
      </c>
      <c r="Q56" s="27">
        <f>IF(OR(B56="",J56=""),"",IF(AND(L56&lt;&gt;"",IF(J56&gt;=TODAY(),J56,IF(EDATE(J56,INT(DATEDIF(J56,TODAY(),"m")/U56)*U56)&gt;=TODAY(),EDATE(J56,INT(DATEDIF(J56,TODAY(),"m")/U56)*U56),EDATE(J56,INT(DATEDIF(J56,TODAY(),"m")/U56)*U56+U56)))&gt;=L56),"",IF(J56&gt;=TODAY(),J56,IF(EDATE(J56,INT(DATEDIF(J56,TODAY(),"m")/U56)*U56)&gt;=TODAY(),EDATE(J56,INT(DATEDIF(J56,TODAY(),"m")/U56)*U56),EDATE(J56,INT(DATEDIF(J56,TODAY(),"m")/U56)*U56+U56)))))</f>
        <v/>
      </c>
      <c r="R56" s="27">
        <f>IF(Q56="","",Q56-N(K56))</f>
        <v/>
      </c>
      <c r="S56" s="17">
        <f>IF(OR(B56="",G56="",H56="",AND(L56&lt;&gt;"",L56&lt;=TODAY())),"",MAX(0,N(H56)-N(M56)))</f>
        <v/>
      </c>
      <c r="T56" s="14">
        <f>IF(B56="","",IF(AND(L56&lt;&gt;"",L56&lt;=TODAY()),"Cancelled",IF(L56&lt;&gt;"","Ends "&amp;DAY(L56)&amp;" "&amp;CHOOSE(MONTH(L56),"Jan","Feb","Mar","Apr","May","Jun","Jul","Aug","Sep","Oct","Nov","Dec"),IF(AND(Q56&lt;&gt;"",W56&lt;&gt;"",W56&lt;Q56),"Card expires",IF(AND(Q56&lt;&gt;"",E56&lt;&gt;"Monthly",N(K56)&gt;0,R56&gt;=TODAY(),R56-TODAY()&lt;=N(Settings!$C$5)),"Cancel by "&amp;DAY(R56)&amp;" "&amp;CHOOSE(MONTH(R56),"Jan","Feb","Mar","Apr","May","Jun","Jul","Aug","Sep","Oct","Nov","Dec"),IF(AND(Q56&lt;&gt;"",E56&lt;&gt;"Monthly",Q56-TODAY()&lt;=N(Settings!$C$5)),"Renews "&amp;DAY(Q56)&amp;" "&amp;CHOOSE(MONTH(Q56),"Jan","Feb","Mar","Apr","May","Jun","Jul","Aug","Sep","Oct","Nov","Dec"),IF(N(S56)&gt;0,S56&amp;IF(S56=1," unused seat"," unused seats"),"Active")))))))</f>
        <v/>
      </c>
      <c r="U56" s="1">
        <f>IF(E56="Quarterly",3,IF(E56="Yearly",12,1))</f>
        <v/>
      </c>
      <c r="V56">
        <f>IF(Q56="","",Q56+ROW()/10000000)</f>
        <v/>
      </c>
      <c r="W56">
        <f>IFERROR(IF(INDEX(Cards!$D$6:$D$25,MATCH(I56,Cards!$B$6:$B$25,0))="","",INDEX(Cards!$D$6:$D$25,MATCH(I56,Cards!$B$6:$B$25,0))),"")</f>
        <v/>
      </c>
      <c r="X56">
        <f>IF(OR(T56="",T56="Active",T56="Cancelled"),"",ROW())</f>
        <v/>
      </c>
      <c r="Y56">
        <f>IF(N(S56)=0,0,S56*N(F56)*12/U56)</f>
        <v/>
      </c>
    </row>
    <row r="57">
      <c r="A57" s="1" t="n"/>
      <c r="B57" s="20" t="n"/>
      <c r="C57" s="21" t="n"/>
      <c r="D57" s="21" t="n"/>
      <c r="E57" s="22" t="n"/>
      <c r="F57" s="23" t="n"/>
      <c r="G57" s="22" t="n"/>
      <c r="H57" s="24" t="n"/>
      <c r="I57" s="21" t="n"/>
      <c r="J57" s="25" t="n"/>
      <c r="K57" s="24" t="n"/>
      <c r="L57" s="25" t="n"/>
      <c r="M57" s="26">
        <f>IF(B57="","",SUMIFS(Access!$G$6:$G$405,Access!$C$6:$C$405,B57))</f>
        <v/>
      </c>
      <c r="N57" s="13">
        <f>IF(B57="","",IF(G57&lt;&gt;"",N(F57)*IF(H57="",M57,N(H57)),N(F57)))</f>
        <v/>
      </c>
      <c r="O57" s="13">
        <f>IF(B57="","",IF(AND(L57&lt;&gt;"",L57&lt;=TODAY()),0,N57/U57))</f>
        <v/>
      </c>
      <c r="P57" s="13">
        <f>IF(B57="","",O57*12)</f>
        <v/>
      </c>
      <c r="Q57" s="27">
        <f>IF(OR(B57="",J57=""),"",IF(AND(L57&lt;&gt;"",IF(J57&gt;=TODAY(),J57,IF(EDATE(J57,INT(DATEDIF(J57,TODAY(),"m")/U57)*U57)&gt;=TODAY(),EDATE(J57,INT(DATEDIF(J57,TODAY(),"m")/U57)*U57),EDATE(J57,INT(DATEDIF(J57,TODAY(),"m")/U57)*U57+U57)))&gt;=L57),"",IF(J57&gt;=TODAY(),J57,IF(EDATE(J57,INT(DATEDIF(J57,TODAY(),"m")/U57)*U57)&gt;=TODAY(),EDATE(J57,INT(DATEDIF(J57,TODAY(),"m")/U57)*U57),EDATE(J57,INT(DATEDIF(J57,TODAY(),"m")/U57)*U57+U57)))))</f>
        <v/>
      </c>
      <c r="R57" s="27">
        <f>IF(Q57="","",Q57-N(K57))</f>
        <v/>
      </c>
      <c r="S57" s="17">
        <f>IF(OR(B57="",G57="",H57="",AND(L57&lt;&gt;"",L57&lt;=TODAY())),"",MAX(0,N(H57)-N(M57)))</f>
        <v/>
      </c>
      <c r="T57" s="14">
        <f>IF(B57="","",IF(AND(L57&lt;&gt;"",L57&lt;=TODAY()),"Cancelled",IF(L57&lt;&gt;"","Ends "&amp;DAY(L57)&amp;" "&amp;CHOOSE(MONTH(L57),"Jan","Feb","Mar","Apr","May","Jun","Jul","Aug","Sep","Oct","Nov","Dec"),IF(AND(Q57&lt;&gt;"",W57&lt;&gt;"",W57&lt;Q57),"Card expires",IF(AND(Q57&lt;&gt;"",E57&lt;&gt;"Monthly",N(K57)&gt;0,R57&gt;=TODAY(),R57-TODAY()&lt;=N(Settings!$C$5)),"Cancel by "&amp;DAY(R57)&amp;" "&amp;CHOOSE(MONTH(R57),"Jan","Feb","Mar","Apr","May","Jun","Jul","Aug","Sep","Oct","Nov","Dec"),IF(AND(Q57&lt;&gt;"",E57&lt;&gt;"Monthly",Q57-TODAY()&lt;=N(Settings!$C$5)),"Renews "&amp;DAY(Q57)&amp;" "&amp;CHOOSE(MONTH(Q57),"Jan","Feb","Mar","Apr","May","Jun","Jul","Aug","Sep","Oct","Nov","Dec"),IF(N(S57)&gt;0,S57&amp;IF(S57=1," unused seat"," unused seats"),"Active")))))))</f>
        <v/>
      </c>
      <c r="U57" s="1">
        <f>IF(E57="Quarterly",3,IF(E57="Yearly",12,1))</f>
        <v/>
      </c>
      <c r="V57">
        <f>IF(Q57="","",Q57+ROW()/10000000)</f>
        <v/>
      </c>
      <c r="W57">
        <f>IFERROR(IF(INDEX(Cards!$D$6:$D$25,MATCH(I57,Cards!$B$6:$B$25,0))="","",INDEX(Cards!$D$6:$D$25,MATCH(I57,Cards!$B$6:$B$25,0))),"")</f>
        <v/>
      </c>
      <c r="X57">
        <f>IF(OR(T57="",T57="Active",T57="Cancelled"),"",ROW())</f>
        <v/>
      </c>
      <c r="Y57">
        <f>IF(N(S57)=0,0,S57*N(F57)*12/U57)</f>
        <v/>
      </c>
    </row>
    <row r="58">
      <c r="A58" s="1" t="n"/>
      <c r="B58" s="20" t="n"/>
      <c r="C58" s="21" t="n"/>
      <c r="D58" s="21" t="n"/>
      <c r="E58" s="22" t="n"/>
      <c r="F58" s="23" t="n"/>
      <c r="G58" s="22" t="n"/>
      <c r="H58" s="24" t="n"/>
      <c r="I58" s="21" t="n"/>
      <c r="J58" s="25" t="n"/>
      <c r="K58" s="24" t="n"/>
      <c r="L58" s="25" t="n"/>
      <c r="M58" s="26">
        <f>IF(B58="","",SUMIFS(Access!$G$6:$G$405,Access!$C$6:$C$405,B58))</f>
        <v/>
      </c>
      <c r="N58" s="13">
        <f>IF(B58="","",IF(G58&lt;&gt;"",N(F58)*IF(H58="",M58,N(H58)),N(F58)))</f>
        <v/>
      </c>
      <c r="O58" s="13">
        <f>IF(B58="","",IF(AND(L58&lt;&gt;"",L58&lt;=TODAY()),0,N58/U58))</f>
        <v/>
      </c>
      <c r="P58" s="13">
        <f>IF(B58="","",O58*12)</f>
        <v/>
      </c>
      <c r="Q58" s="27">
        <f>IF(OR(B58="",J58=""),"",IF(AND(L58&lt;&gt;"",IF(J58&gt;=TODAY(),J58,IF(EDATE(J58,INT(DATEDIF(J58,TODAY(),"m")/U58)*U58)&gt;=TODAY(),EDATE(J58,INT(DATEDIF(J58,TODAY(),"m")/U58)*U58),EDATE(J58,INT(DATEDIF(J58,TODAY(),"m")/U58)*U58+U58)))&gt;=L58),"",IF(J58&gt;=TODAY(),J58,IF(EDATE(J58,INT(DATEDIF(J58,TODAY(),"m")/U58)*U58)&gt;=TODAY(),EDATE(J58,INT(DATEDIF(J58,TODAY(),"m")/U58)*U58),EDATE(J58,INT(DATEDIF(J58,TODAY(),"m")/U58)*U58+U58)))))</f>
        <v/>
      </c>
      <c r="R58" s="27">
        <f>IF(Q58="","",Q58-N(K58))</f>
        <v/>
      </c>
      <c r="S58" s="17">
        <f>IF(OR(B58="",G58="",H58="",AND(L58&lt;&gt;"",L58&lt;=TODAY())),"",MAX(0,N(H58)-N(M58)))</f>
        <v/>
      </c>
      <c r="T58" s="14">
        <f>IF(B58="","",IF(AND(L58&lt;&gt;"",L58&lt;=TODAY()),"Cancelled",IF(L58&lt;&gt;"","Ends "&amp;DAY(L58)&amp;" "&amp;CHOOSE(MONTH(L58),"Jan","Feb","Mar","Apr","May","Jun","Jul","Aug","Sep","Oct","Nov","Dec"),IF(AND(Q58&lt;&gt;"",W58&lt;&gt;"",W58&lt;Q58),"Card expires",IF(AND(Q58&lt;&gt;"",E58&lt;&gt;"Monthly",N(K58)&gt;0,R58&gt;=TODAY(),R58-TODAY()&lt;=N(Settings!$C$5)),"Cancel by "&amp;DAY(R58)&amp;" "&amp;CHOOSE(MONTH(R58),"Jan","Feb","Mar","Apr","May","Jun","Jul","Aug","Sep","Oct","Nov","Dec"),IF(AND(Q58&lt;&gt;"",E58&lt;&gt;"Monthly",Q58-TODAY()&lt;=N(Settings!$C$5)),"Renews "&amp;DAY(Q58)&amp;" "&amp;CHOOSE(MONTH(Q58),"Jan","Feb","Mar","Apr","May","Jun","Jul","Aug","Sep","Oct","Nov","Dec"),IF(N(S58)&gt;0,S58&amp;IF(S58=1," unused seat"," unused seats"),"Active")))))))</f>
        <v/>
      </c>
      <c r="U58" s="1">
        <f>IF(E58="Quarterly",3,IF(E58="Yearly",12,1))</f>
        <v/>
      </c>
      <c r="V58">
        <f>IF(Q58="","",Q58+ROW()/10000000)</f>
        <v/>
      </c>
      <c r="W58">
        <f>IFERROR(IF(INDEX(Cards!$D$6:$D$25,MATCH(I58,Cards!$B$6:$B$25,0))="","",INDEX(Cards!$D$6:$D$25,MATCH(I58,Cards!$B$6:$B$25,0))),"")</f>
        <v/>
      </c>
      <c r="X58">
        <f>IF(OR(T58="",T58="Active",T58="Cancelled"),"",ROW())</f>
        <v/>
      </c>
      <c r="Y58">
        <f>IF(N(S58)=0,0,S58*N(F58)*12/U58)</f>
        <v/>
      </c>
    </row>
    <row r="59">
      <c r="A59" s="1" t="n"/>
      <c r="B59" s="20" t="n"/>
      <c r="C59" s="21" t="n"/>
      <c r="D59" s="21" t="n"/>
      <c r="E59" s="22" t="n"/>
      <c r="F59" s="23" t="n"/>
      <c r="G59" s="22" t="n"/>
      <c r="H59" s="24" t="n"/>
      <c r="I59" s="21" t="n"/>
      <c r="J59" s="25" t="n"/>
      <c r="K59" s="24" t="n"/>
      <c r="L59" s="25" t="n"/>
      <c r="M59" s="26">
        <f>IF(B59="","",SUMIFS(Access!$G$6:$G$405,Access!$C$6:$C$405,B59))</f>
        <v/>
      </c>
      <c r="N59" s="13">
        <f>IF(B59="","",IF(G59&lt;&gt;"",N(F59)*IF(H59="",M59,N(H59)),N(F59)))</f>
        <v/>
      </c>
      <c r="O59" s="13">
        <f>IF(B59="","",IF(AND(L59&lt;&gt;"",L59&lt;=TODAY()),0,N59/U59))</f>
        <v/>
      </c>
      <c r="P59" s="13">
        <f>IF(B59="","",O59*12)</f>
        <v/>
      </c>
      <c r="Q59" s="27">
        <f>IF(OR(B59="",J59=""),"",IF(AND(L59&lt;&gt;"",IF(J59&gt;=TODAY(),J59,IF(EDATE(J59,INT(DATEDIF(J59,TODAY(),"m")/U59)*U59)&gt;=TODAY(),EDATE(J59,INT(DATEDIF(J59,TODAY(),"m")/U59)*U59),EDATE(J59,INT(DATEDIF(J59,TODAY(),"m")/U59)*U59+U59)))&gt;=L59),"",IF(J59&gt;=TODAY(),J59,IF(EDATE(J59,INT(DATEDIF(J59,TODAY(),"m")/U59)*U59)&gt;=TODAY(),EDATE(J59,INT(DATEDIF(J59,TODAY(),"m")/U59)*U59),EDATE(J59,INT(DATEDIF(J59,TODAY(),"m")/U59)*U59+U59)))))</f>
        <v/>
      </c>
      <c r="R59" s="27">
        <f>IF(Q59="","",Q59-N(K59))</f>
        <v/>
      </c>
      <c r="S59" s="17">
        <f>IF(OR(B59="",G59="",H59="",AND(L59&lt;&gt;"",L59&lt;=TODAY())),"",MAX(0,N(H59)-N(M59)))</f>
        <v/>
      </c>
      <c r="T59" s="14">
        <f>IF(B59="","",IF(AND(L59&lt;&gt;"",L59&lt;=TODAY()),"Cancelled",IF(L59&lt;&gt;"","Ends "&amp;DAY(L59)&amp;" "&amp;CHOOSE(MONTH(L59),"Jan","Feb","Mar","Apr","May","Jun","Jul","Aug","Sep","Oct","Nov","Dec"),IF(AND(Q59&lt;&gt;"",W59&lt;&gt;"",W59&lt;Q59),"Card expires",IF(AND(Q59&lt;&gt;"",E59&lt;&gt;"Monthly",N(K59)&gt;0,R59&gt;=TODAY(),R59-TODAY()&lt;=N(Settings!$C$5)),"Cancel by "&amp;DAY(R59)&amp;" "&amp;CHOOSE(MONTH(R59),"Jan","Feb","Mar","Apr","May","Jun","Jul","Aug","Sep","Oct","Nov","Dec"),IF(AND(Q59&lt;&gt;"",E59&lt;&gt;"Monthly",Q59-TODAY()&lt;=N(Settings!$C$5)),"Renews "&amp;DAY(Q59)&amp;" "&amp;CHOOSE(MONTH(Q59),"Jan","Feb","Mar","Apr","May","Jun","Jul","Aug","Sep","Oct","Nov","Dec"),IF(N(S59)&gt;0,S59&amp;IF(S59=1," unused seat"," unused seats"),"Active")))))))</f>
        <v/>
      </c>
      <c r="U59" s="1">
        <f>IF(E59="Quarterly",3,IF(E59="Yearly",12,1))</f>
        <v/>
      </c>
      <c r="V59">
        <f>IF(Q59="","",Q59+ROW()/10000000)</f>
        <v/>
      </c>
      <c r="W59">
        <f>IFERROR(IF(INDEX(Cards!$D$6:$D$25,MATCH(I59,Cards!$B$6:$B$25,0))="","",INDEX(Cards!$D$6:$D$25,MATCH(I59,Cards!$B$6:$B$25,0))),"")</f>
        <v/>
      </c>
      <c r="X59">
        <f>IF(OR(T59="",T59="Active",T59="Cancelled"),"",ROW())</f>
        <v/>
      </c>
      <c r="Y59">
        <f>IF(N(S59)=0,0,S59*N(F59)*12/U59)</f>
        <v/>
      </c>
    </row>
    <row r="60">
      <c r="A60" s="1" t="n"/>
      <c r="B60" s="20" t="n"/>
      <c r="C60" s="21" t="n"/>
      <c r="D60" s="21" t="n"/>
      <c r="E60" s="22" t="n"/>
      <c r="F60" s="23" t="n"/>
      <c r="G60" s="22" t="n"/>
      <c r="H60" s="24" t="n"/>
      <c r="I60" s="21" t="n"/>
      <c r="J60" s="25" t="n"/>
      <c r="K60" s="24" t="n"/>
      <c r="L60" s="25" t="n"/>
      <c r="M60" s="26">
        <f>IF(B60="","",SUMIFS(Access!$G$6:$G$405,Access!$C$6:$C$405,B60))</f>
        <v/>
      </c>
      <c r="N60" s="13">
        <f>IF(B60="","",IF(G60&lt;&gt;"",N(F60)*IF(H60="",M60,N(H60)),N(F60)))</f>
        <v/>
      </c>
      <c r="O60" s="13">
        <f>IF(B60="","",IF(AND(L60&lt;&gt;"",L60&lt;=TODAY()),0,N60/U60))</f>
        <v/>
      </c>
      <c r="P60" s="13">
        <f>IF(B60="","",O60*12)</f>
        <v/>
      </c>
      <c r="Q60" s="27">
        <f>IF(OR(B60="",J60=""),"",IF(AND(L60&lt;&gt;"",IF(J60&gt;=TODAY(),J60,IF(EDATE(J60,INT(DATEDIF(J60,TODAY(),"m")/U60)*U60)&gt;=TODAY(),EDATE(J60,INT(DATEDIF(J60,TODAY(),"m")/U60)*U60),EDATE(J60,INT(DATEDIF(J60,TODAY(),"m")/U60)*U60+U60)))&gt;=L60),"",IF(J60&gt;=TODAY(),J60,IF(EDATE(J60,INT(DATEDIF(J60,TODAY(),"m")/U60)*U60)&gt;=TODAY(),EDATE(J60,INT(DATEDIF(J60,TODAY(),"m")/U60)*U60),EDATE(J60,INT(DATEDIF(J60,TODAY(),"m")/U60)*U60+U60)))))</f>
        <v/>
      </c>
      <c r="R60" s="27">
        <f>IF(Q60="","",Q60-N(K60))</f>
        <v/>
      </c>
      <c r="S60" s="17">
        <f>IF(OR(B60="",G60="",H60="",AND(L60&lt;&gt;"",L60&lt;=TODAY())),"",MAX(0,N(H60)-N(M60)))</f>
        <v/>
      </c>
      <c r="T60" s="14">
        <f>IF(B60="","",IF(AND(L60&lt;&gt;"",L60&lt;=TODAY()),"Cancelled",IF(L60&lt;&gt;"","Ends "&amp;DAY(L60)&amp;" "&amp;CHOOSE(MONTH(L60),"Jan","Feb","Mar","Apr","May","Jun","Jul","Aug","Sep","Oct","Nov","Dec"),IF(AND(Q60&lt;&gt;"",W60&lt;&gt;"",W60&lt;Q60),"Card expires",IF(AND(Q60&lt;&gt;"",E60&lt;&gt;"Monthly",N(K60)&gt;0,R60&gt;=TODAY(),R60-TODAY()&lt;=N(Settings!$C$5)),"Cancel by "&amp;DAY(R60)&amp;" "&amp;CHOOSE(MONTH(R60),"Jan","Feb","Mar","Apr","May","Jun","Jul","Aug","Sep","Oct","Nov","Dec"),IF(AND(Q60&lt;&gt;"",E60&lt;&gt;"Monthly",Q60-TODAY()&lt;=N(Settings!$C$5)),"Renews "&amp;DAY(Q60)&amp;" "&amp;CHOOSE(MONTH(Q60),"Jan","Feb","Mar","Apr","May","Jun","Jul","Aug","Sep","Oct","Nov","Dec"),IF(N(S60)&gt;0,S60&amp;IF(S60=1," unused seat"," unused seats"),"Active")))))))</f>
        <v/>
      </c>
      <c r="U60" s="1">
        <f>IF(E60="Quarterly",3,IF(E60="Yearly",12,1))</f>
        <v/>
      </c>
      <c r="V60">
        <f>IF(Q60="","",Q60+ROW()/10000000)</f>
        <v/>
      </c>
      <c r="W60">
        <f>IFERROR(IF(INDEX(Cards!$D$6:$D$25,MATCH(I60,Cards!$B$6:$B$25,0))="","",INDEX(Cards!$D$6:$D$25,MATCH(I60,Cards!$B$6:$B$25,0))),"")</f>
        <v/>
      </c>
      <c r="X60">
        <f>IF(OR(T60="",T60="Active",T60="Cancelled"),"",ROW())</f>
        <v/>
      </c>
      <c r="Y60">
        <f>IF(N(S60)=0,0,S60*N(F60)*12/U60)</f>
        <v/>
      </c>
    </row>
    <row r="61">
      <c r="A61" s="1" t="n"/>
      <c r="B61" s="20" t="n"/>
      <c r="C61" s="21" t="n"/>
      <c r="D61" s="21" t="n"/>
      <c r="E61" s="22" t="n"/>
      <c r="F61" s="23" t="n"/>
      <c r="G61" s="22" t="n"/>
      <c r="H61" s="24" t="n"/>
      <c r="I61" s="21" t="n"/>
      <c r="J61" s="25" t="n"/>
      <c r="K61" s="24" t="n"/>
      <c r="L61" s="25" t="n"/>
      <c r="M61" s="26">
        <f>IF(B61="","",SUMIFS(Access!$G$6:$G$405,Access!$C$6:$C$405,B61))</f>
        <v/>
      </c>
      <c r="N61" s="13">
        <f>IF(B61="","",IF(G61&lt;&gt;"",N(F61)*IF(H61="",M61,N(H61)),N(F61)))</f>
        <v/>
      </c>
      <c r="O61" s="13">
        <f>IF(B61="","",IF(AND(L61&lt;&gt;"",L61&lt;=TODAY()),0,N61/U61))</f>
        <v/>
      </c>
      <c r="P61" s="13">
        <f>IF(B61="","",O61*12)</f>
        <v/>
      </c>
      <c r="Q61" s="27">
        <f>IF(OR(B61="",J61=""),"",IF(AND(L61&lt;&gt;"",IF(J61&gt;=TODAY(),J61,IF(EDATE(J61,INT(DATEDIF(J61,TODAY(),"m")/U61)*U61)&gt;=TODAY(),EDATE(J61,INT(DATEDIF(J61,TODAY(),"m")/U61)*U61),EDATE(J61,INT(DATEDIF(J61,TODAY(),"m")/U61)*U61+U61)))&gt;=L61),"",IF(J61&gt;=TODAY(),J61,IF(EDATE(J61,INT(DATEDIF(J61,TODAY(),"m")/U61)*U61)&gt;=TODAY(),EDATE(J61,INT(DATEDIF(J61,TODAY(),"m")/U61)*U61),EDATE(J61,INT(DATEDIF(J61,TODAY(),"m")/U61)*U61+U61)))))</f>
        <v/>
      </c>
      <c r="R61" s="27">
        <f>IF(Q61="","",Q61-N(K61))</f>
        <v/>
      </c>
      <c r="S61" s="17">
        <f>IF(OR(B61="",G61="",H61="",AND(L61&lt;&gt;"",L61&lt;=TODAY())),"",MAX(0,N(H61)-N(M61)))</f>
        <v/>
      </c>
      <c r="T61" s="14">
        <f>IF(B61="","",IF(AND(L61&lt;&gt;"",L61&lt;=TODAY()),"Cancelled",IF(L61&lt;&gt;"","Ends "&amp;DAY(L61)&amp;" "&amp;CHOOSE(MONTH(L61),"Jan","Feb","Mar","Apr","May","Jun","Jul","Aug","Sep","Oct","Nov","Dec"),IF(AND(Q61&lt;&gt;"",W61&lt;&gt;"",W61&lt;Q61),"Card expires",IF(AND(Q61&lt;&gt;"",E61&lt;&gt;"Monthly",N(K61)&gt;0,R61&gt;=TODAY(),R61-TODAY()&lt;=N(Settings!$C$5)),"Cancel by "&amp;DAY(R61)&amp;" "&amp;CHOOSE(MONTH(R61),"Jan","Feb","Mar","Apr","May","Jun","Jul","Aug","Sep","Oct","Nov","Dec"),IF(AND(Q61&lt;&gt;"",E61&lt;&gt;"Monthly",Q61-TODAY()&lt;=N(Settings!$C$5)),"Renews "&amp;DAY(Q61)&amp;" "&amp;CHOOSE(MONTH(Q61),"Jan","Feb","Mar","Apr","May","Jun","Jul","Aug","Sep","Oct","Nov","Dec"),IF(N(S61)&gt;0,S61&amp;IF(S61=1," unused seat"," unused seats"),"Active")))))))</f>
        <v/>
      </c>
      <c r="U61" s="1">
        <f>IF(E61="Quarterly",3,IF(E61="Yearly",12,1))</f>
        <v/>
      </c>
      <c r="V61">
        <f>IF(Q61="","",Q61+ROW()/10000000)</f>
        <v/>
      </c>
      <c r="W61">
        <f>IFERROR(IF(INDEX(Cards!$D$6:$D$25,MATCH(I61,Cards!$B$6:$B$25,0))="","",INDEX(Cards!$D$6:$D$25,MATCH(I61,Cards!$B$6:$B$25,0))),"")</f>
        <v/>
      </c>
      <c r="X61">
        <f>IF(OR(T61="",T61="Active",T61="Cancelled"),"",ROW())</f>
        <v/>
      </c>
      <c r="Y61">
        <f>IF(N(S61)=0,0,S61*N(F61)*12/U61)</f>
        <v/>
      </c>
    </row>
    <row r="62">
      <c r="A62" s="1" t="n"/>
      <c r="B62" s="20" t="n"/>
      <c r="C62" s="21" t="n"/>
      <c r="D62" s="21" t="n"/>
      <c r="E62" s="22" t="n"/>
      <c r="F62" s="23" t="n"/>
      <c r="G62" s="22" t="n"/>
      <c r="H62" s="24" t="n"/>
      <c r="I62" s="21" t="n"/>
      <c r="J62" s="25" t="n"/>
      <c r="K62" s="24" t="n"/>
      <c r="L62" s="25" t="n"/>
      <c r="M62" s="26">
        <f>IF(B62="","",SUMIFS(Access!$G$6:$G$405,Access!$C$6:$C$405,B62))</f>
        <v/>
      </c>
      <c r="N62" s="13">
        <f>IF(B62="","",IF(G62&lt;&gt;"",N(F62)*IF(H62="",M62,N(H62)),N(F62)))</f>
        <v/>
      </c>
      <c r="O62" s="13">
        <f>IF(B62="","",IF(AND(L62&lt;&gt;"",L62&lt;=TODAY()),0,N62/U62))</f>
        <v/>
      </c>
      <c r="P62" s="13">
        <f>IF(B62="","",O62*12)</f>
        <v/>
      </c>
      <c r="Q62" s="27">
        <f>IF(OR(B62="",J62=""),"",IF(AND(L62&lt;&gt;"",IF(J62&gt;=TODAY(),J62,IF(EDATE(J62,INT(DATEDIF(J62,TODAY(),"m")/U62)*U62)&gt;=TODAY(),EDATE(J62,INT(DATEDIF(J62,TODAY(),"m")/U62)*U62),EDATE(J62,INT(DATEDIF(J62,TODAY(),"m")/U62)*U62+U62)))&gt;=L62),"",IF(J62&gt;=TODAY(),J62,IF(EDATE(J62,INT(DATEDIF(J62,TODAY(),"m")/U62)*U62)&gt;=TODAY(),EDATE(J62,INT(DATEDIF(J62,TODAY(),"m")/U62)*U62),EDATE(J62,INT(DATEDIF(J62,TODAY(),"m")/U62)*U62+U62)))))</f>
        <v/>
      </c>
      <c r="R62" s="27">
        <f>IF(Q62="","",Q62-N(K62))</f>
        <v/>
      </c>
      <c r="S62" s="17">
        <f>IF(OR(B62="",G62="",H62="",AND(L62&lt;&gt;"",L62&lt;=TODAY())),"",MAX(0,N(H62)-N(M62)))</f>
        <v/>
      </c>
      <c r="T62" s="14">
        <f>IF(B62="","",IF(AND(L62&lt;&gt;"",L62&lt;=TODAY()),"Cancelled",IF(L62&lt;&gt;"","Ends "&amp;DAY(L62)&amp;" "&amp;CHOOSE(MONTH(L62),"Jan","Feb","Mar","Apr","May","Jun","Jul","Aug","Sep","Oct","Nov","Dec"),IF(AND(Q62&lt;&gt;"",W62&lt;&gt;"",W62&lt;Q62),"Card expires",IF(AND(Q62&lt;&gt;"",E62&lt;&gt;"Monthly",N(K62)&gt;0,R62&gt;=TODAY(),R62-TODAY()&lt;=N(Settings!$C$5)),"Cancel by "&amp;DAY(R62)&amp;" "&amp;CHOOSE(MONTH(R62),"Jan","Feb","Mar","Apr","May","Jun","Jul","Aug","Sep","Oct","Nov","Dec"),IF(AND(Q62&lt;&gt;"",E62&lt;&gt;"Monthly",Q62-TODAY()&lt;=N(Settings!$C$5)),"Renews "&amp;DAY(Q62)&amp;" "&amp;CHOOSE(MONTH(Q62),"Jan","Feb","Mar","Apr","May","Jun","Jul","Aug","Sep","Oct","Nov","Dec"),IF(N(S62)&gt;0,S62&amp;IF(S62=1," unused seat"," unused seats"),"Active")))))))</f>
        <v/>
      </c>
      <c r="U62" s="1">
        <f>IF(E62="Quarterly",3,IF(E62="Yearly",12,1))</f>
        <v/>
      </c>
      <c r="V62">
        <f>IF(Q62="","",Q62+ROW()/10000000)</f>
        <v/>
      </c>
      <c r="W62">
        <f>IFERROR(IF(INDEX(Cards!$D$6:$D$25,MATCH(I62,Cards!$B$6:$B$25,0))="","",INDEX(Cards!$D$6:$D$25,MATCH(I62,Cards!$B$6:$B$25,0))),"")</f>
        <v/>
      </c>
      <c r="X62">
        <f>IF(OR(T62="",T62="Active",T62="Cancelled"),"",ROW())</f>
        <v/>
      </c>
      <c r="Y62">
        <f>IF(N(S62)=0,0,S62*N(F62)*12/U62)</f>
        <v/>
      </c>
    </row>
    <row r="63">
      <c r="A63" s="1" t="n"/>
      <c r="B63" s="20" t="n"/>
      <c r="C63" s="21" t="n"/>
      <c r="D63" s="21" t="n"/>
      <c r="E63" s="22" t="n"/>
      <c r="F63" s="23" t="n"/>
      <c r="G63" s="22" t="n"/>
      <c r="H63" s="24" t="n"/>
      <c r="I63" s="21" t="n"/>
      <c r="J63" s="25" t="n"/>
      <c r="K63" s="24" t="n"/>
      <c r="L63" s="25" t="n"/>
      <c r="M63" s="26">
        <f>IF(B63="","",SUMIFS(Access!$G$6:$G$405,Access!$C$6:$C$405,B63))</f>
        <v/>
      </c>
      <c r="N63" s="13">
        <f>IF(B63="","",IF(G63&lt;&gt;"",N(F63)*IF(H63="",M63,N(H63)),N(F63)))</f>
        <v/>
      </c>
      <c r="O63" s="13">
        <f>IF(B63="","",IF(AND(L63&lt;&gt;"",L63&lt;=TODAY()),0,N63/U63))</f>
        <v/>
      </c>
      <c r="P63" s="13">
        <f>IF(B63="","",O63*12)</f>
        <v/>
      </c>
      <c r="Q63" s="27">
        <f>IF(OR(B63="",J63=""),"",IF(AND(L63&lt;&gt;"",IF(J63&gt;=TODAY(),J63,IF(EDATE(J63,INT(DATEDIF(J63,TODAY(),"m")/U63)*U63)&gt;=TODAY(),EDATE(J63,INT(DATEDIF(J63,TODAY(),"m")/U63)*U63),EDATE(J63,INT(DATEDIF(J63,TODAY(),"m")/U63)*U63+U63)))&gt;=L63),"",IF(J63&gt;=TODAY(),J63,IF(EDATE(J63,INT(DATEDIF(J63,TODAY(),"m")/U63)*U63)&gt;=TODAY(),EDATE(J63,INT(DATEDIF(J63,TODAY(),"m")/U63)*U63),EDATE(J63,INT(DATEDIF(J63,TODAY(),"m")/U63)*U63+U63)))))</f>
        <v/>
      </c>
      <c r="R63" s="27">
        <f>IF(Q63="","",Q63-N(K63))</f>
        <v/>
      </c>
      <c r="S63" s="17">
        <f>IF(OR(B63="",G63="",H63="",AND(L63&lt;&gt;"",L63&lt;=TODAY())),"",MAX(0,N(H63)-N(M63)))</f>
        <v/>
      </c>
      <c r="T63" s="14">
        <f>IF(B63="","",IF(AND(L63&lt;&gt;"",L63&lt;=TODAY()),"Cancelled",IF(L63&lt;&gt;"","Ends "&amp;DAY(L63)&amp;" "&amp;CHOOSE(MONTH(L63),"Jan","Feb","Mar","Apr","May","Jun","Jul","Aug","Sep","Oct","Nov","Dec"),IF(AND(Q63&lt;&gt;"",W63&lt;&gt;"",W63&lt;Q63),"Card expires",IF(AND(Q63&lt;&gt;"",E63&lt;&gt;"Monthly",N(K63)&gt;0,R63&gt;=TODAY(),R63-TODAY()&lt;=N(Settings!$C$5)),"Cancel by "&amp;DAY(R63)&amp;" "&amp;CHOOSE(MONTH(R63),"Jan","Feb","Mar","Apr","May","Jun","Jul","Aug","Sep","Oct","Nov","Dec"),IF(AND(Q63&lt;&gt;"",E63&lt;&gt;"Monthly",Q63-TODAY()&lt;=N(Settings!$C$5)),"Renews "&amp;DAY(Q63)&amp;" "&amp;CHOOSE(MONTH(Q63),"Jan","Feb","Mar","Apr","May","Jun","Jul","Aug","Sep","Oct","Nov","Dec"),IF(N(S63)&gt;0,S63&amp;IF(S63=1," unused seat"," unused seats"),"Active")))))))</f>
        <v/>
      </c>
      <c r="U63" s="1">
        <f>IF(E63="Quarterly",3,IF(E63="Yearly",12,1))</f>
        <v/>
      </c>
      <c r="V63">
        <f>IF(Q63="","",Q63+ROW()/10000000)</f>
        <v/>
      </c>
      <c r="W63">
        <f>IFERROR(IF(INDEX(Cards!$D$6:$D$25,MATCH(I63,Cards!$B$6:$B$25,0))="","",INDEX(Cards!$D$6:$D$25,MATCH(I63,Cards!$B$6:$B$25,0))),"")</f>
        <v/>
      </c>
      <c r="X63">
        <f>IF(OR(T63="",T63="Active",T63="Cancelled"),"",ROW())</f>
        <v/>
      </c>
      <c r="Y63">
        <f>IF(N(S63)=0,0,S63*N(F63)*12/U63)</f>
        <v/>
      </c>
    </row>
    <row r="64">
      <c r="A64" s="1" t="n"/>
      <c r="B64" s="20" t="n"/>
      <c r="C64" s="21" t="n"/>
      <c r="D64" s="21" t="n"/>
      <c r="E64" s="22" t="n"/>
      <c r="F64" s="23" t="n"/>
      <c r="G64" s="22" t="n"/>
      <c r="H64" s="24" t="n"/>
      <c r="I64" s="21" t="n"/>
      <c r="J64" s="25" t="n"/>
      <c r="K64" s="24" t="n"/>
      <c r="L64" s="25" t="n"/>
      <c r="M64" s="26">
        <f>IF(B64="","",SUMIFS(Access!$G$6:$G$405,Access!$C$6:$C$405,B64))</f>
        <v/>
      </c>
      <c r="N64" s="13">
        <f>IF(B64="","",IF(G64&lt;&gt;"",N(F64)*IF(H64="",M64,N(H64)),N(F64)))</f>
        <v/>
      </c>
      <c r="O64" s="13">
        <f>IF(B64="","",IF(AND(L64&lt;&gt;"",L64&lt;=TODAY()),0,N64/U64))</f>
        <v/>
      </c>
      <c r="P64" s="13">
        <f>IF(B64="","",O64*12)</f>
        <v/>
      </c>
      <c r="Q64" s="27">
        <f>IF(OR(B64="",J64=""),"",IF(AND(L64&lt;&gt;"",IF(J64&gt;=TODAY(),J64,IF(EDATE(J64,INT(DATEDIF(J64,TODAY(),"m")/U64)*U64)&gt;=TODAY(),EDATE(J64,INT(DATEDIF(J64,TODAY(),"m")/U64)*U64),EDATE(J64,INT(DATEDIF(J64,TODAY(),"m")/U64)*U64+U64)))&gt;=L64),"",IF(J64&gt;=TODAY(),J64,IF(EDATE(J64,INT(DATEDIF(J64,TODAY(),"m")/U64)*U64)&gt;=TODAY(),EDATE(J64,INT(DATEDIF(J64,TODAY(),"m")/U64)*U64),EDATE(J64,INT(DATEDIF(J64,TODAY(),"m")/U64)*U64+U64)))))</f>
        <v/>
      </c>
      <c r="R64" s="27">
        <f>IF(Q64="","",Q64-N(K64))</f>
        <v/>
      </c>
      <c r="S64" s="17">
        <f>IF(OR(B64="",G64="",H64="",AND(L64&lt;&gt;"",L64&lt;=TODAY())),"",MAX(0,N(H64)-N(M64)))</f>
        <v/>
      </c>
      <c r="T64" s="14">
        <f>IF(B64="","",IF(AND(L64&lt;&gt;"",L64&lt;=TODAY()),"Cancelled",IF(L64&lt;&gt;"","Ends "&amp;DAY(L64)&amp;" "&amp;CHOOSE(MONTH(L64),"Jan","Feb","Mar","Apr","May","Jun","Jul","Aug","Sep","Oct","Nov","Dec"),IF(AND(Q64&lt;&gt;"",W64&lt;&gt;"",W64&lt;Q64),"Card expires",IF(AND(Q64&lt;&gt;"",E64&lt;&gt;"Monthly",N(K64)&gt;0,R64&gt;=TODAY(),R64-TODAY()&lt;=N(Settings!$C$5)),"Cancel by "&amp;DAY(R64)&amp;" "&amp;CHOOSE(MONTH(R64),"Jan","Feb","Mar","Apr","May","Jun","Jul","Aug","Sep","Oct","Nov","Dec"),IF(AND(Q64&lt;&gt;"",E64&lt;&gt;"Monthly",Q64-TODAY()&lt;=N(Settings!$C$5)),"Renews "&amp;DAY(Q64)&amp;" "&amp;CHOOSE(MONTH(Q64),"Jan","Feb","Mar","Apr","May","Jun","Jul","Aug","Sep","Oct","Nov","Dec"),IF(N(S64)&gt;0,S64&amp;IF(S64=1," unused seat"," unused seats"),"Active")))))))</f>
        <v/>
      </c>
      <c r="U64" s="1">
        <f>IF(E64="Quarterly",3,IF(E64="Yearly",12,1))</f>
        <v/>
      </c>
      <c r="V64">
        <f>IF(Q64="","",Q64+ROW()/10000000)</f>
        <v/>
      </c>
      <c r="W64">
        <f>IFERROR(IF(INDEX(Cards!$D$6:$D$25,MATCH(I64,Cards!$B$6:$B$25,0))="","",INDEX(Cards!$D$6:$D$25,MATCH(I64,Cards!$B$6:$B$25,0))),"")</f>
        <v/>
      </c>
      <c r="X64">
        <f>IF(OR(T64="",T64="Active",T64="Cancelled"),"",ROW())</f>
        <v/>
      </c>
      <c r="Y64">
        <f>IF(N(S64)=0,0,S64*N(F64)*12/U64)</f>
        <v/>
      </c>
    </row>
    <row r="65">
      <c r="A65" s="1" t="n"/>
      <c r="B65" s="20" t="n"/>
      <c r="C65" s="21" t="n"/>
      <c r="D65" s="21" t="n"/>
      <c r="E65" s="22" t="n"/>
      <c r="F65" s="23" t="n"/>
      <c r="G65" s="22" t="n"/>
      <c r="H65" s="24" t="n"/>
      <c r="I65" s="21" t="n"/>
      <c r="J65" s="25" t="n"/>
      <c r="K65" s="24" t="n"/>
      <c r="L65" s="25" t="n"/>
      <c r="M65" s="26">
        <f>IF(B65="","",SUMIFS(Access!$G$6:$G$405,Access!$C$6:$C$405,B65))</f>
        <v/>
      </c>
      <c r="N65" s="13">
        <f>IF(B65="","",IF(G65&lt;&gt;"",N(F65)*IF(H65="",M65,N(H65)),N(F65)))</f>
        <v/>
      </c>
      <c r="O65" s="13">
        <f>IF(B65="","",IF(AND(L65&lt;&gt;"",L65&lt;=TODAY()),0,N65/U65))</f>
        <v/>
      </c>
      <c r="P65" s="13">
        <f>IF(B65="","",O65*12)</f>
        <v/>
      </c>
      <c r="Q65" s="27">
        <f>IF(OR(B65="",J65=""),"",IF(AND(L65&lt;&gt;"",IF(J65&gt;=TODAY(),J65,IF(EDATE(J65,INT(DATEDIF(J65,TODAY(),"m")/U65)*U65)&gt;=TODAY(),EDATE(J65,INT(DATEDIF(J65,TODAY(),"m")/U65)*U65),EDATE(J65,INT(DATEDIF(J65,TODAY(),"m")/U65)*U65+U65)))&gt;=L65),"",IF(J65&gt;=TODAY(),J65,IF(EDATE(J65,INT(DATEDIF(J65,TODAY(),"m")/U65)*U65)&gt;=TODAY(),EDATE(J65,INT(DATEDIF(J65,TODAY(),"m")/U65)*U65),EDATE(J65,INT(DATEDIF(J65,TODAY(),"m")/U65)*U65+U65)))))</f>
        <v/>
      </c>
      <c r="R65" s="27">
        <f>IF(Q65="","",Q65-N(K65))</f>
        <v/>
      </c>
      <c r="S65" s="17">
        <f>IF(OR(B65="",G65="",H65="",AND(L65&lt;&gt;"",L65&lt;=TODAY())),"",MAX(0,N(H65)-N(M65)))</f>
        <v/>
      </c>
      <c r="T65" s="14">
        <f>IF(B65="","",IF(AND(L65&lt;&gt;"",L65&lt;=TODAY()),"Cancelled",IF(L65&lt;&gt;"","Ends "&amp;DAY(L65)&amp;" "&amp;CHOOSE(MONTH(L65),"Jan","Feb","Mar","Apr","May","Jun","Jul","Aug","Sep","Oct","Nov","Dec"),IF(AND(Q65&lt;&gt;"",W65&lt;&gt;"",W65&lt;Q65),"Card expires",IF(AND(Q65&lt;&gt;"",E65&lt;&gt;"Monthly",N(K65)&gt;0,R65&gt;=TODAY(),R65-TODAY()&lt;=N(Settings!$C$5)),"Cancel by "&amp;DAY(R65)&amp;" "&amp;CHOOSE(MONTH(R65),"Jan","Feb","Mar","Apr","May","Jun","Jul","Aug","Sep","Oct","Nov","Dec"),IF(AND(Q65&lt;&gt;"",E65&lt;&gt;"Monthly",Q65-TODAY()&lt;=N(Settings!$C$5)),"Renews "&amp;DAY(Q65)&amp;" "&amp;CHOOSE(MONTH(Q65),"Jan","Feb","Mar","Apr","May","Jun","Jul","Aug","Sep","Oct","Nov","Dec"),IF(N(S65)&gt;0,S65&amp;IF(S65=1," unused seat"," unused seats"),"Active")))))))</f>
        <v/>
      </c>
      <c r="U65" s="1">
        <f>IF(E65="Quarterly",3,IF(E65="Yearly",12,1))</f>
        <v/>
      </c>
      <c r="V65">
        <f>IF(Q65="","",Q65+ROW()/10000000)</f>
        <v/>
      </c>
      <c r="W65">
        <f>IFERROR(IF(INDEX(Cards!$D$6:$D$25,MATCH(I65,Cards!$B$6:$B$25,0))="","",INDEX(Cards!$D$6:$D$25,MATCH(I65,Cards!$B$6:$B$25,0))),"")</f>
        <v/>
      </c>
      <c r="X65">
        <f>IF(OR(T65="",T65="Active",T65="Cancelled"),"",ROW())</f>
        <v/>
      </c>
      <c r="Y65">
        <f>IF(N(S65)=0,0,S65*N(F65)*12/U65)</f>
        <v/>
      </c>
    </row>
    <row r="66">
      <c r="A66" s="1" t="n"/>
      <c r="B66" s="20" t="n"/>
      <c r="C66" s="21" t="n"/>
      <c r="D66" s="21" t="n"/>
      <c r="E66" s="22" t="n"/>
      <c r="F66" s="23" t="n"/>
      <c r="G66" s="22" t="n"/>
      <c r="H66" s="24" t="n"/>
      <c r="I66" s="21" t="n"/>
      <c r="J66" s="25" t="n"/>
      <c r="K66" s="24" t="n"/>
      <c r="L66" s="25" t="n"/>
      <c r="M66" s="26">
        <f>IF(B66="","",SUMIFS(Access!$G$6:$G$405,Access!$C$6:$C$405,B66))</f>
        <v/>
      </c>
      <c r="N66" s="13">
        <f>IF(B66="","",IF(G66&lt;&gt;"",N(F66)*IF(H66="",M66,N(H66)),N(F66)))</f>
        <v/>
      </c>
      <c r="O66" s="13">
        <f>IF(B66="","",IF(AND(L66&lt;&gt;"",L66&lt;=TODAY()),0,N66/U66))</f>
        <v/>
      </c>
      <c r="P66" s="13">
        <f>IF(B66="","",O66*12)</f>
        <v/>
      </c>
      <c r="Q66" s="27">
        <f>IF(OR(B66="",J66=""),"",IF(AND(L66&lt;&gt;"",IF(J66&gt;=TODAY(),J66,IF(EDATE(J66,INT(DATEDIF(J66,TODAY(),"m")/U66)*U66)&gt;=TODAY(),EDATE(J66,INT(DATEDIF(J66,TODAY(),"m")/U66)*U66),EDATE(J66,INT(DATEDIF(J66,TODAY(),"m")/U66)*U66+U66)))&gt;=L66),"",IF(J66&gt;=TODAY(),J66,IF(EDATE(J66,INT(DATEDIF(J66,TODAY(),"m")/U66)*U66)&gt;=TODAY(),EDATE(J66,INT(DATEDIF(J66,TODAY(),"m")/U66)*U66),EDATE(J66,INT(DATEDIF(J66,TODAY(),"m")/U66)*U66+U66)))))</f>
        <v/>
      </c>
      <c r="R66" s="27">
        <f>IF(Q66="","",Q66-N(K66))</f>
        <v/>
      </c>
      <c r="S66" s="17">
        <f>IF(OR(B66="",G66="",H66="",AND(L66&lt;&gt;"",L66&lt;=TODAY())),"",MAX(0,N(H66)-N(M66)))</f>
        <v/>
      </c>
      <c r="T66" s="14">
        <f>IF(B66="","",IF(AND(L66&lt;&gt;"",L66&lt;=TODAY()),"Cancelled",IF(L66&lt;&gt;"","Ends "&amp;DAY(L66)&amp;" "&amp;CHOOSE(MONTH(L66),"Jan","Feb","Mar","Apr","May","Jun","Jul","Aug","Sep","Oct","Nov","Dec"),IF(AND(Q66&lt;&gt;"",W66&lt;&gt;"",W66&lt;Q66),"Card expires",IF(AND(Q66&lt;&gt;"",E66&lt;&gt;"Monthly",N(K66)&gt;0,R66&gt;=TODAY(),R66-TODAY()&lt;=N(Settings!$C$5)),"Cancel by "&amp;DAY(R66)&amp;" "&amp;CHOOSE(MONTH(R66),"Jan","Feb","Mar","Apr","May","Jun","Jul","Aug","Sep","Oct","Nov","Dec"),IF(AND(Q66&lt;&gt;"",E66&lt;&gt;"Monthly",Q66-TODAY()&lt;=N(Settings!$C$5)),"Renews "&amp;DAY(Q66)&amp;" "&amp;CHOOSE(MONTH(Q66),"Jan","Feb","Mar","Apr","May","Jun","Jul","Aug","Sep","Oct","Nov","Dec"),IF(N(S66)&gt;0,S66&amp;IF(S66=1," unused seat"," unused seats"),"Active")))))))</f>
        <v/>
      </c>
      <c r="U66" s="1">
        <f>IF(E66="Quarterly",3,IF(E66="Yearly",12,1))</f>
        <v/>
      </c>
      <c r="V66">
        <f>IF(Q66="","",Q66+ROW()/10000000)</f>
        <v/>
      </c>
      <c r="W66">
        <f>IFERROR(IF(INDEX(Cards!$D$6:$D$25,MATCH(I66,Cards!$B$6:$B$25,0))="","",INDEX(Cards!$D$6:$D$25,MATCH(I66,Cards!$B$6:$B$25,0))),"")</f>
        <v/>
      </c>
      <c r="X66">
        <f>IF(OR(T66="",T66="Active",T66="Cancelled"),"",ROW())</f>
        <v/>
      </c>
      <c r="Y66">
        <f>IF(N(S66)=0,0,S66*N(F66)*12/U66)</f>
        <v/>
      </c>
    </row>
    <row r="67">
      <c r="A67" s="1" t="n"/>
      <c r="B67" s="20" t="n"/>
      <c r="C67" s="21" t="n"/>
      <c r="D67" s="21" t="n"/>
      <c r="E67" s="22" t="n"/>
      <c r="F67" s="23" t="n"/>
      <c r="G67" s="22" t="n"/>
      <c r="H67" s="24" t="n"/>
      <c r="I67" s="21" t="n"/>
      <c r="J67" s="25" t="n"/>
      <c r="K67" s="24" t="n"/>
      <c r="L67" s="25" t="n"/>
      <c r="M67" s="26">
        <f>IF(B67="","",SUMIFS(Access!$G$6:$G$405,Access!$C$6:$C$405,B67))</f>
        <v/>
      </c>
      <c r="N67" s="13">
        <f>IF(B67="","",IF(G67&lt;&gt;"",N(F67)*IF(H67="",M67,N(H67)),N(F67)))</f>
        <v/>
      </c>
      <c r="O67" s="13">
        <f>IF(B67="","",IF(AND(L67&lt;&gt;"",L67&lt;=TODAY()),0,N67/U67))</f>
        <v/>
      </c>
      <c r="P67" s="13">
        <f>IF(B67="","",O67*12)</f>
        <v/>
      </c>
      <c r="Q67" s="27">
        <f>IF(OR(B67="",J67=""),"",IF(AND(L67&lt;&gt;"",IF(J67&gt;=TODAY(),J67,IF(EDATE(J67,INT(DATEDIF(J67,TODAY(),"m")/U67)*U67)&gt;=TODAY(),EDATE(J67,INT(DATEDIF(J67,TODAY(),"m")/U67)*U67),EDATE(J67,INT(DATEDIF(J67,TODAY(),"m")/U67)*U67+U67)))&gt;=L67),"",IF(J67&gt;=TODAY(),J67,IF(EDATE(J67,INT(DATEDIF(J67,TODAY(),"m")/U67)*U67)&gt;=TODAY(),EDATE(J67,INT(DATEDIF(J67,TODAY(),"m")/U67)*U67),EDATE(J67,INT(DATEDIF(J67,TODAY(),"m")/U67)*U67+U67)))))</f>
        <v/>
      </c>
      <c r="R67" s="27">
        <f>IF(Q67="","",Q67-N(K67))</f>
        <v/>
      </c>
      <c r="S67" s="17">
        <f>IF(OR(B67="",G67="",H67="",AND(L67&lt;&gt;"",L67&lt;=TODAY())),"",MAX(0,N(H67)-N(M67)))</f>
        <v/>
      </c>
      <c r="T67" s="14">
        <f>IF(B67="","",IF(AND(L67&lt;&gt;"",L67&lt;=TODAY()),"Cancelled",IF(L67&lt;&gt;"","Ends "&amp;DAY(L67)&amp;" "&amp;CHOOSE(MONTH(L67),"Jan","Feb","Mar","Apr","May","Jun","Jul","Aug","Sep","Oct","Nov","Dec"),IF(AND(Q67&lt;&gt;"",W67&lt;&gt;"",W67&lt;Q67),"Card expires",IF(AND(Q67&lt;&gt;"",E67&lt;&gt;"Monthly",N(K67)&gt;0,R67&gt;=TODAY(),R67-TODAY()&lt;=N(Settings!$C$5)),"Cancel by "&amp;DAY(R67)&amp;" "&amp;CHOOSE(MONTH(R67),"Jan","Feb","Mar","Apr","May","Jun","Jul","Aug","Sep","Oct","Nov","Dec"),IF(AND(Q67&lt;&gt;"",E67&lt;&gt;"Monthly",Q67-TODAY()&lt;=N(Settings!$C$5)),"Renews "&amp;DAY(Q67)&amp;" "&amp;CHOOSE(MONTH(Q67),"Jan","Feb","Mar","Apr","May","Jun","Jul","Aug","Sep","Oct","Nov","Dec"),IF(N(S67)&gt;0,S67&amp;IF(S67=1," unused seat"," unused seats"),"Active")))))))</f>
        <v/>
      </c>
      <c r="U67" s="1">
        <f>IF(E67="Quarterly",3,IF(E67="Yearly",12,1))</f>
        <v/>
      </c>
      <c r="V67">
        <f>IF(Q67="","",Q67+ROW()/10000000)</f>
        <v/>
      </c>
      <c r="W67">
        <f>IFERROR(IF(INDEX(Cards!$D$6:$D$25,MATCH(I67,Cards!$B$6:$B$25,0))="","",INDEX(Cards!$D$6:$D$25,MATCH(I67,Cards!$B$6:$B$25,0))),"")</f>
        <v/>
      </c>
      <c r="X67">
        <f>IF(OR(T67="",T67="Active",T67="Cancelled"),"",ROW())</f>
        <v/>
      </c>
      <c r="Y67">
        <f>IF(N(S67)=0,0,S67*N(F67)*12/U67)</f>
        <v/>
      </c>
    </row>
    <row r="68">
      <c r="A68" s="1" t="n"/>
      <c r="B68" s="20" t="n"/>
      <c r="C68" s="21" t="n"/>
      <c r="D68" s="21" t="n"/>
      <c r="E68" s="22" t="n"/>
      <c r="F68" s="23" t="n"/>
      <c r="G68" s="22" t="n"/>
      <c r="H68" s="24" t="n"/>
      <c r="I68" s="21" t="n"/>
      <c r="J68" s="25" t="n"/>
      <c r="K68" s="24" t="n"/>
      <c r="L68" s="25" t="n"/>
      <c r="M68" s="26">
        <f>IF(B68="","",SUMIFS(Access!$G$6:$G$405,Access!$C$6:$C$405,B68))</f>
        <v/>
      </c>
      <c r="N68" s="13">
        <f>IF(B68="","",IF(G68&lt;&gt;"",N(F68)*IF(H68="",M68,N(H68)),N(F68)))</f>
        <v/>
      </c>
      <c r="O68" s="13">
        <f>IF(B68="","",IF(AND(L68&lt;&gt;"",L68&lt;=TODAY()),0,N68/U68))</f>
        <v/>
      </c>
      <c r="P68" s="13">
        <f>IF(B68="","",O68*12)</f>
        <v/>
      </c>
      <c r="Q68" s="27">
        <f>IF(OR(B68="",J68=""),"",IF(AND(L68&lt;&gt;"",IF(J68&gt;=TODAY(),J68,IF(EDATE(J68,INT(DATEDIF(J68,TODAY(),"m")/U68)*U68)&gt;=TODAY(),EDATE(J68,INT(DATEDIF(J68,TODAY(),"m")/U68)*U68),EDATE(J68,INT(DATEDIF(J68,TODAY(),"m")/U68)*U68+U68)))&gt;=L68),"",IF(J68&gt;=TODAY(),J68,IF(EDATE(J68,INT(DATEDIF(J68,TODAY(),"m")/U68)*U68)&gt;=TODAY(),EDATE(J68,INT(DATEDIF(J68,TODAY(),"m")/U68)*U68),EDATE(J68,INT(DATEDIF(J68,TODAY(),"m")/U68)*U68+U68)))))</f>
        <v/>
      </c>
      <c r="R68" s="27">
        <f>IF(Q68="","",Q68-N(K68))</f>
        <v/>
      </c>
      <c r="S68" s="17">
        <f>IF(OR(B68="",G68="",H68="",AND(L68&lt;&gt;"",L68&lt;=TODAY())),"",MAX(0,N(H68)-N(M68)))</f>
        <v/>
      </c>
      <c r="T68" s="14">
        <f>IF(B68="","",IF(AND(L68&lt;&gt;"",L68&lt;=TODAY()),"Cancelled",IF(L68&lt;&gt;"","Ends "&amp;DAY(L68)&amp;" "&amp;CHOOSE(MONTH(L68),"Jan","Feb","Mar","Apr","May","Jun","Jul","Aug","Sep","Oct","Nov","Dec"),IF(AND(Q68&lt;&gt;"",W68&lt;&gt;"",W68&lt;Q68),"Card expires",IF(AND(Q68&lt;&gt;"",E68&lt;&gt;"Monthly",N(K68)&gt;0,R68&gt;=TODAY(),R68-TODAY()&lt;=N(Settings!$C$5)),"Cancel by "&amp;DAY(R68)&amp;" "&amp;CHOOSE(MONTH(R68),"Jan","Feb","Mar","Apr","May","Jun","Jul","Aug","Sep","Oct","Nov","Dec"),IF(AND(Q68&lt;&gt;"",E68&lt;&gt;"Monthly",Q68-TODAY()&lt;=N(Settings!$C$5)),"Renews "&amp;DAY(Q68)&amp;" "&amp;CHOOSE(MONTH(Q68),"Jan","Feb","Mar","Apr","May","Jun","Jul","Aug","Sep","Oct","Nov","Dec"),IF(N(S68)&gt;0,S68&amp;IF(S68=1," unused seat"," unused seats"),"Active")))))))</f>
        <v/>
      </c>
      <c r="U68" s="1">
        <f>IF(E68="Quarterly",3,IF(E68="Yearly",12,1))</f>
        <v/>
      </c>
      <c r="V68">
        <f>IF(Q68="","",Q68+ROW()/10000000)</f>
        <v/>
      </c>
      <c r="W68">
        <f>IFERROR(IF(INDEX(Cards!$D$6:$D$25,MATCH(I68,Cards!$B$6:$B$25,0))="","",INDEX(Cards!$D$6:$D$25,MATCH(I68,Cards!$B$6:$B$25,0))),"")</f>
        <v/>
      </c>
      <c r="X68">
        <f>IF(OR(T68="",T68="Active",T68="Cancelled"),"",ROW())</f>
        <v/>
      </c>
      <c r="Y68">
        <f>IF(N(S68)=0,0,S68*N(F68)*12/U68)</f>
        <v/>
      </c>
    </row>
    <row r="69">
      <c r="A69" s="1" t="n"/>
      <c r="B69" s="20" t="n"/>
      <c r="C69" s="21" t="n"/>
      <c r="D69" s="21" t="n"/>
      <c r="E69" s="22" t="n"/>
      <c r="F69" s="23" t="n"/>
      <c r="G69" s="22" t="n"/>
      <c r="H69" s="24" t="n"/>
      <c r="I69" s="21" t="n"/>
      <c r="J69" s="25" t="n"/>
      <c r="K69" s="24" t="n"/>
      <c r="L69" s="25" t="n"/>
      <c r="M69" s="26">
        <f>IF(B69="","",SUMIFS(Access!$G$6:$G$405,Access!$C$6:$C$405,B69))</f>
        <v/>
      </c>
      <c r="N69" s="13">
        <f>IF(B69="","",IF(G69&lt;&gt;"",N(F69)*IF(H69="",M69,N(H69)),N(F69)))</f>
        <v/>
      </c>
      <c r="O69" s="13">
        <f>IF(B69="","",IF(AND(L69&lt;&gt;"",L69&lt;=TODAY()),0,N69/U69))</f>
        <v/>
      </c>
      <c r="P69" s="13">
        <f>IF(B69="","",O69*12)</f>
        <v/>
      </c>
      <c r="Q69" s="27">
        <f>IF(OR(B69="",J69=""),"",IF(AND(L69&lt;&gt;"",IF(J69&gt;=TODAY(),J69,IF(EDATE(J69,INT(DATEDIF(J69,TODAY(),"m")/U69)*U69)&gt;=TODAY(),EDATE(J69,INT(DATEDIF(J69,TODAY(),"m")/U69)*U69),EDATE(J69,INT(DATEDIF(J69,TODAY(),"m")/U69)*U69+U69)))&gt;=L69),"",IF(J69&gt;=TODAY(),J69,IF(EDATE(J69,INT(DATEDIF(J69,TODAY(),"m")/U69)*U69)&gt;=TODAY(),EDATE(J69,INT(DATEDIF(J69,TODAY(),"m")/U69)*U69),EDATE(J69,INT(DATEDIF(J69,TODAY(),"m")/U69)*U69+U69)))))</f>
        <v/>
      </c>
      <c r="R69" s="27">
        <f>IF(Q69="","",Q69-N(K69))</f>
        <v/>
      </c>
      <c r="S69" s="17">
        <f>IF(OR(B69="",G69="",H69="",AND(L69&lt;&gt;"",L69&lt;=TODAY())),"",MAX(0,N(H69)-N(M69)))</f>
        <v/>
      </c>
      <c r="T69" s="14">
        <f>IF(B69="","",IF(AND(L69&lt;&gt;"",L69&lt;=TODAY()),"Cancelled",IF(L69&lt;&gt;"","Ends "&amp;DAY(L69)&amp;" "&amp;CHOOSE(MONTH(L69),"Jan","Feb","Mar","Apr","May","Jun","Jul","Aug","Sep","Oct","Nov","Dec"),IF(AND(Q69&lt;&gt;"",W69&lt;&gt;"",W69&lt;Q69),"Card expires",IF(AND(Q69&lt;&gt;"",E69&lt;&gt;"Monthly",N(K69)&gt;0,R69&gt;=TODAY(),R69-TODAY()&lt;=N(Settings!$C$5)),"Cancel by "&amp;DAY(R69)&amp;" "&amp;CHOOSE(MONTH(R69),"Jan","Feb","Mar","Apr","May","Jun","Jul","Aug","Sep","Oct","Nov","Dec"),IF(AND(Q69&lt;&gt;"",E69&lt;&gt;"Monthly",Q69-TODAY()&lt;=N(Settings!$C$5)),"Renews "&amp;DAY(Q69)&amp;" "&amp;CHOOSE(MONTH(Q69),"Jan","Feb","Mar","Apr","May","Jun","Jul","Aug","Sep","Oct","Nov","Dec"),IF(N(S69)&gt;0,S69&amp;IF(S69=1," unused seat"," unused seats"),"Active")))))))</f>
        <v/>
      </c>
      <c r="U69" s="1">
        <f>IF(E69="Quarterly",3,IF(E69="Yearly",12,1))</f>
        <v/>
      </c>
      <c r="V69">
        <f>IF(Q69="","",Q69+ROW()/10000000)</f>
        <v/>
      </c>
      <c r="W69">
        <f>IFERROR(IF(INDEX(Cards!$D$6:$D$25,MATCH(I69,Cards!$B$6:$B$25,0))="","",INDEX(Cards!$D$6:$D$25,MATCH(I69,Cards!$B$6:$B$25,0))),"")</f>
        <v/>
      </c>
      <c r="X69">
        <f>IF(OR(T69="",T69="Active",T69="Cancelled"),"",ROW())</f>
        <v/>
      </c>
      <c r="Y69">
        <f>IF(N(S69)=0,0,S69*N(F69)*12/U69)</f>
        <v/>
      </c>
    </row>
    <row r="70">
      <c r="A70" s="1" t="n"/>
      <c r="B70" s="20" t="n"/>
      <c r="C70" s="21" t="n"/>
      <c r="D70" s="21" t="n"/>
      <c r="E70" s="22" t="n"/>
      <c r="F70" s="23" t="n"/>
      <c r="G70" s="22" t="n"/>
      <c r="H70" s="24" t="n"/>
      <c r="I70" s="21" t="n"/>
      <c r="J70" s="25" t="n"/>
      <c r="K70" s="24" t="n"/>
      <c r="L70" s="25" t="n"/>
      <c r="M70" s="26">
        <f>IF(B70="","",SUMIFS(Access!$G$6:$G$405,Access!$C$6:$C$405,B70))</f>
        <v/>
      </c>
      <c r="N70" s="13">
        <f>IF(B70="","",IF(G70&lt;&gt;"",N(F70)*IF(H70="",M70,N(H70)),N(F70)))</f>
        <v/>
      </c>
      <c r="O70" s="13">
        <f>IF(B70="","",IF(AND(L70&lt;&gt;"",L70&lt;=TODAY()),0,N70/U70))</f>
        <v/>
      </c>
      <c r="P70" s="13">
        <f>IF(B70="","",O70*12)</f>
        <v/>
      </c>
      <c r="Q70" s="27">
        <f>IF(OR(B70="",J70=""),"",IF(AND(L70&lt;&gt;"",IF(J70&gt;=TODAY(),J70,IF(EDATE(J70,INT(DATEDIF(J70,TODAY(),"m")/U70)*U70)&gt;=TODAY(),EDATE(J70,INT(DATEDIF(J70,TODAY(),"m")/U70)*U70),EDATE(J70,INT(DATEDIF(J70,TODAY(),"m")/U70)*U70+U70)))&gt;=L70),"",IF(J70&gt;=TODAY(),J70,IF(EDATE(J70,INT(DATEDIF(J70,TODAY(),"m")/U70)*U70)&gt;=TODAY(),EDATE(J70,INT(DATEDIF(J70,TODAY(),"m")/U70)*U70),EDATE(J70,INT(DATEDIF(J70,TODAY(),"m")/U70)*U70+U70)))))</f>
        <v/>
      </c>
      <c r="R70" s="27">
        <f>IF(Q70="","",Q70-N(K70))</f>
        <v/>
      </c>
      <c r="S70" s="17">
        <f>IF(OR(B70="",G70="",H70="",AND(L70&lt;&gt;"",L70&lt;=TODAY())),"",MAX(0,N(H70)-N(M70)))</f>
        <v/>
      </c>
      <c r="T70" s="14">
        <f>IF(B70="","",IF(AND(L70&lt;&gt;"",L70&lt;=TODAY()),"Cancelled",IF(L70&lt;&gt;"","Ends "&amp;DAY(L70)&amp;" "&amp;CHOOSE(MONTH(L70),"Jan","Feb","Mar","Apr","May","Jun","Jul","Aug","Sep","Oct","Nov","Dec"),IF(AND(Q70&lt;&gt;"",W70&lt;&gt;"",W70&lt;Q70),"Card expires",IF(AND(Q70&lt;&gt;"",E70&lt;&gt;"Monthly",N(K70)&gt;0,R70&gt;=TODAY(),R70-TODAY()&lt;=N(Settings!$C$5)),"Cancel by "&amp;DAY(R70)&amp;" "&amp;CHOOSE(MONTH(R70),"Jan","Feb","Mar","Apr","May","Jun","Jul","Aug","Sep","Oct","Nov","Dec"),IF(AND(Q70&lt;&gt;"",E70&lt;&gt;"Monthly",Q70-TODAY()&lt;=N(Settings!$C$5)),"Renews "&amp;DAY(Q70)&amp;" "&amp;CHOOSE(MONTH(Q70),"Jan","Feb","Mar","Apr","May","Jun","Jul","Aug","Sep","Oct","Nov","Dec"),IF(N(S70)&gt;0,S70&amp;IF(S70=1," unused seat"," unused seats"),"Active")))))))</f>
        <v/>
      </c>
      <c r="U70" s="1">
        <f>IF(E70="Quarterly",3,IF(E70="Yearly",12,1))</f>
        <v/>
      </c>
      <c r="V70">
        <f>IF(Q70="","",Q70+ROW()/10000000)</f>
        <v/>
      </c>
      <c r="W70">
        <f>IFERROR(IF(INDEX(Cards!$D$6:$D$25,MATCH(I70,Cards!$B$6:$B$25,0))="","",INDEX(Cards!$D$6:$D$25,MATCH(I70,Cards!$B$6:$B$25,0))),"")</f>
        <v/>
      </c>
      <c r="X70">
        <f>IF(OR(T70="",T70="Active",T70="Cancelled"),"",ROW())</f>
        <v/>
      </c>
      <c r="Y70">
        <f>IF(N(S70)=0,0,S70*N(F70)*12/U70)</f>
        <v/>
      </c>
    </row>
    <row r="71">
      <c r="A71" s="1" t="n"/>
      <c r="B71" s="20" t="n"/>
      <c r="C71" s="21" t="n"/>
      <c r="D71" s="21" t="n"/>
      <c r="E71" s="22" t="n"/>
      <c r="F71" s="23" t="n"/>
      <c r="G71" s="22" t="n"/>
      <c r="H71" s="24" t="n"/>
      <c r="I71" s="21" t="n"/>
      <c r="J71" s="25" t="n"/>
      <c r="K71" s="24" t="n"/>
      <c r="L71" s="25" t="n"/>
      <c r="M71" s="26">
        <f>IF(B71="","",SUMIFS(Access!$G$6:$G$405,Access!$C$6:$C$405,B71))</f>
        <v/>
      </c>
      <c r="N71" s="13">
        <f>IF(B71="","",IF(G71&lt;&gt;"",N(F71)*IF(H71="",M71,N(H71)),N(F71)))</f>
        <v/>
      </c>
      <c r="O71" s="13">
        <f>IF(B71="","",IF(AND(L71&lt;&gt;"",L71&lt;=TODAY()),0,N71/U71))</f>
        <v/>
      </c>
      <c r="P71" s="13">
        <f>IF(B71="","",O71*12)</f>
        <v/>
      </c>
      <c r="Q71" s="27">
        <f>IF(OR(B71="",J71=""),"",IF(AND(L71&lt;&gt;"",IF(J71&gt;=TODAY(),J71,IF(EDATE(J71,INT(DATEDIF(J71,TODAY(),"m")/U71)*U71)&gt;=TODAY(),EDATE(J71,INT(DATEDIF(J71,TODAY(),"m")/U71)*U71),EDATE(J71,INT(DATEDIF(J71,TODAY(),"m")/U71)*U71+U71)))&gt;=L71),"",IF(J71&gt;=TODAY(),J71,IF(EDATE(J71,INT(DATEDIF(J71,TODAY(),"m")/U71)*U71)&gt;=TODAY(),EDATE(J71,INT(DATEDIF(J71,TODAY(),"m")/U71)*U71),EDATE(J71,INT(DATEDIF(J71,TODAY(),"m")/U71)*U71+U71)))))</f>
        <v/>
      </c>
      <c r="R71" s="27">
        <f>IF(Q71="","",Q71-N(K71))</f>
        <v/>
      </c>
      <c r="S71" s="17">
        <f>IF(OR(B71="",G71="",H71="",AND(L71&lt;&gt;"",L71&lt;=TODAY())),"",MAX(0,N(H71)-N(M71)))</f>
        <v/>
      </c>
      <c r="T71" s="14">
        <f>IF(B71="","",IF(AND(L71&lt;&gt;"",L71&lt;=TODAY()),"Cancelled",IF(L71&lt;&gt;"","Ends "&amp;DAY(L71)&amp;" "&amp;CHOOSE(MONTH(L71),"Jan","Feb","Mar","Apr","May","Jun","Jul","Aug","Sep","Oct","Nov","Dec"),IF(AND(Q71&lt;&gt;"",W71&lt;&gt;"",W71&lt;Q71),"Card expires",IF(AND(Q71&lt;&gt;"",E71&lt;&gt;"Monthly",N(K71)&gt;0,R71&gt;=TODAY(),R71-TODAY()&lt;=N(Settings!$C$5)),"Cancel by "&amp;DAY(R71)&amp;" "&amp;CHOOSE(MONTH(R71),"Jan","Feb","Mar","Apr","May","Jun","Jul","Aug","Sep","Oct","Nov","Dec"),IF(AND(Q71&lt;&gt;"",E71&lt;&gt;"Monthly",Q71-TODAY()&lt;=N(Settings!$C$5)),"Renews "&amp;DAY(Q71)&amp;" "&amp;CHOOSE(MONTH(Q71),"Jan","Feb","Mar","Apr","May","Jun","Jul","Aug","Sep","Oct","Nov","Dec"),IF(N(S71)&gt;0,S71&amp;IF(S71=1," unused seat"," unused seats"),"Active")))))))</f>
        <v/>
      </c>
      <c r="U71" s="1">
        <f>IF(E71="Quarterly",3,IF(E71="Yearly",12,1))</f>
        <v/>
      </c>
      <c r="V71">
        <f>IF(Q71="","",Q71+ROW()/10000000)</f>
        <v/>
      </c>
      <c r="W71">
        <f>IFERROR(IF(INDEX(Cards!$D$6:$D$25,MATCH(I71,Cards!$B$6:$B$25,0))="","",INDEX(Cards!$D$6:$D$25,MATCH(I71,Cards!$B$6:$B$25,0))),"")</f>
        <v/>
      </c>
      <c r="X71">
        <f>IF(OR(T71="",T71="Active",T71="Cancelled"),"",ROW())</f>
        <v/>
      </c>
      <c r="Y71">
        <f>IF(N(S71)=0,0,S71*N(F71)*12/U71)</f>
        <v/>
      </c>
    </row>
    <row r="72">
      <c r="A72" s="1" t="n"/>
      <c r="B72" s="20" t="n"/>
      <c r="C72" s="21" t="n"/>
      <c r="D72" s="21" t="n"/>
      <c r="E72" s="22" t="n"/>
      <c r="F72" s="23" t="n"/>
      <c r="G72" s="22" t="n"/>
      <c r="H72" s="24" t="n"/>
      <c r="I72" s="21" t="n"/>
      <c r="J72" s="25" t="n"/>
      <c r="K72" s="24" t="n"/>
      <c r="L72" s="25" t="n"/>
      <c r="M72" s="26">
        <f>IF(B72="","",SUMIFS(Access!$G$6:$G$405,Access!$C$6:$C$405,B72))</f>
        <v/>
      </c>
      <c r="N72" s="13">
        <f>IF(B72="","",IF(G72&lt;&gt;"",N(F72)*IF(H72="",M72,N(H72)),N(F72)))</f>
        <v/>
      </c>
      <c r="O72" s="13">
        <f>IF(B72="","",IF(AND(L72&lt;&gt;"",L72&lt;=TODAY()),0,N72/U72))</f>
        <v/>
      </c>
      <c r="P72" s="13">
        <f>IF(B72="","",O72*12)</f>
        <v/>
      </c>
      <c r="Q72" s="27">
        <f>IF(OR(B72="",J72=""),"",IF(AND(L72&lt;&gt;"",IF(J72&gt;=TODAY(),J72,IF(EDATE(J72,INT(DATEDIF(J72,TODAY(),"m")/U72)*U72)&gt;=TODAY(),EDATE(J72,INT(DATEDIF(J72,TODAY(),"m")/U72)*U72),EDATE(J72,INT(DATEDIF(J72,TODAY(),"m")/U72)*U72+U72)))&gt;=L72),"",IF(J72&gt;=TODAY(),J72,IF(EDATE(J72,INT(DATEDIF(J72,TODAY(),"m")/U72)*U72)&gt;=TODAY(),EDATE(J72,INT(DATEDIF(J72,TODAY(),"m")/U72)*U72),EDATE(J72,INT(DATEDIF(J72,TODAY(),"m")/U72)*U72+U72)))))</f>
        <v/>
      </c>
      <c r="R72" s="27">
        <f>IF(Q72="","",Q72-N(K72))</f>
        <v/>
      </c>
      <c r="S72" s="17">
        <f>IF(OR(B72="",G72="",H72="",AND(L72&lt;&gt;"",L72&lt;=TODAY())),"",MAX(0,N(H72)-N(M72)))</f>
        <v/>
      </c>
      <c r="T72" s="14">
        <f>IF(B72="","",IF(AND(L72&lt;&gt;"",L72&lt;=TODAY()),"Cancelled",IF(L72&lt;&gt;"","Ends "&amp;DAY(L72)&amp;" "&amp;CHOOSE(MONTH(L72),"Jan","Feb","Mar","Apr","May","Jun","Jul","Aug","Sep","Oct","Nov","Dec"),IF(AND(Q72&lt;&gt;"",W72&lt;&gt;"",W72&lt;Q72),"Card expires",IF(AND(Q72&lt;&gt;"",E72&lt;&gt;"Monthly",N(K72)&gt;0,R72&gt;=TODAY(),R72-TODAY()&lt;=N(Settings!$C$5)),"Cancel by "&amp;DAY(R72)&amp;" "&amp;CHOOSE(MONTH(R72),"Jan","Feb","Mar","Apr","May","Jun","Jul","Aug","Sep","Oct","Nov","Dec"),IF(AND(Q72&lt;&gt;"",E72&lt;&gt;"Monthly",Q72-TODAY()&lt;=N(Settings!$C$5)),"Renews "&amp;DAY(Q72)&amp;" "&amp;CHOOSE(MONTH(Q72),"Jan","Feb","Mar","Apr","May","Jun","Jul","Aug","Sep","Oct","Nov","Dec"),IF(N(S72)&gt;0,S72&amp;IF(S72=1," unused seat"," unused seats"),"Active")))))))</f>
        <v/>
      </c>
      <c r="U72" s="1">
        <f>IF(E72="Quarterly",3,IF(E72="Yearly",12,1))</f>
        <v/>
      </c>
      <c r="V72">
        <f>IF(Q72="","",Q72+ROW()/10000000)</f>
        <v/>
      </c>
      <c r="W72">
        <f>IFERROR(IF(INDEX(Cards!$D$6:$D$25,MATCH(I72,Cards!$B$6:$B$25,0))="","",INDEX(Cards!$D$6:$D$25,MATCH(I72,Cards!$B$6:$B$25,0))),"")</f>
        <v/>
      </c>
      <c r="X72">
        <f>IF(OR(T72="",T72="Active",T72="Cancelled"),"",ROW())</f>
        <v/>
      </c>
      <c r="Y72">
        <f>IF(N(S72)=0,0,S72*N(F72)*12/U72)</f>
        <v/>
      </c>
    </row>
    <row r="73">
      <c r="A73" s="1" t="n"/>
      <c r="B73" s="20" t="n"/>
      <c r="C73" s="21" t="n"/>
      <c r="D73" s="21" t="n"/>
      <c r="E73" s="22" t="n"/>
      <c r="F73" s="23" t="n"/>
      <c r="G73" s="22" t="n"/>
      <c r="H73" s="24" t="n"/>
      <c r="I73" s="21" t="n"/>
      <c r="J73" s="25" t="n"/>
      <c r="K73" s="24" t="n"/>
      <c r="L73" s="25" t="n"/>
      <c r="M73" s="26">
        <f>IF(B73="","",SUMIFS(Access!$G$6:$G$405,Access!$C$6:$C$405,B73))</f>
        <v/>
      </c>
      <c r="N73" s="13">
        <f>IF(B73="","",IF(G73&lt;&gt;"",N(F73)*IF(H73="",M73,N(H73)),N(F73)))</f>
        <v/>
      </c>
      <c r="O73" s="13">
        <f>IF(B73="","",IF(AND(L73&lt;&gt;"",L73&lt;=TODAY()),0,N73/U73))</f>
        <v/>
      </c>
      <c r="P73" s="13">
        <f>IF(B73="","",O73*12)</f>
        <v/>
      </c>
      <c r="Q73" s="27">
        <f>IF(OR(B73="",J73=""),"",IF(AND(L73&lt;&gt;"",IF(J73&gt;=TODAY(),J73,IF(EDATE(J73,INT(DATEDIF(J73,TODAY(),"m")/U73)*U73)&gt;=TODAY(),EDATE(J73,INT(DATEDIF(J73,TODAY(),"m")/U73)*U73),EDATE(J73,INT(DATEDIF(J73,TODAY(),"m")/U73)*U73+U73)))&gt;=L73),"",IF(J73&gt;=TODAY(),J73,IF(EDATE(J73,INT(DATEDIF(J73,TODAY(),"m")/U73)*U73)&gt;=TODAY(),EDATE(J73,INT(DATEDIF(J73,TODAY(),"m")/U73)*U73),EDATE(J73,INT(DATEDIF(J73,TODAY(),"m")/U73)*U73+U73)))))</f>
        <v/>
      </c>
      <c r="R73" s="27">
        <f>IF(Q73="","",Q73-N(K73))</f>
        <v/>
      </c>
      <c r="S73" s="17">
        <f>IF(OR(B73="",G73="",H73="",AND(L73&lt;&gt;"",L73&lt;=TODAY())),"",MAX(0,N(H73)-N(M73)))</f>
        <v/>
      </c>
      <c r="T73" s="14">
        <f>IF(B73="","",IF(AND(L73&lt;&gt;"",L73&lt;=TODAY()),"Cancelled",IF(L73&lt;&gt;"","Ends "&amp;DAY(L73)&amp;" "&amp;CHOOSE(MONTH(L73),"Jan","Feb","Mar","Apr","May","Jun","Jul","Aug","Sep","Oct","Nov","Dec"),IF(AND(Q73&lt;&gt;"",W73&lt;&gt;"",W73&lt;Q73),"Card expires",IF(AND(Q73&lt;&gt;"",E73&lt;&gt;"Monthly",N(K73)&gt;0,R73&gt;=TODAY(),R73-TODAY()&lt;=N(Settings!$C$5)),"Cancel by "&amp;DAY(R73)&amp;" "&amp;CHOOSE(MONTH(R73),"Jan","Feb","Mar","Apr","May","Jun","Jul","Aug","Sep","Oct","Nov","Dec"),IF(AND(Q73&lt;&gt;"",E73&lt;&gt;"Monthly",Q73-TODAY()&lt;=N(Settings!$C$5)),"Renews "&amp;DAY(Q73)&amp;" "&amp;CHOOSE(MONTH(Q73),"Jan","Feb","Mar","Apr","May","Jun","Jul","Aug","Sep","Oct","Nov","Dec"),IF(N(S73)&gt;0,S73&amp;IF(S73=1," unused seat"," unused seats"),"Active")))))))</f>
        <v/>
      </c>
      <c r="U73" s="1">
        <f>IF(E73="Quarterly",3,IF(E73="Yearly",12,1))</f>
        <v/>
      </c>
      <c r="V73">
        <f>IF(Q73="","",Q73+ROW()/10000000)</f>
        <v/>
      </c>
      <c r="W73">
        <f>IFERROR(IF(INDEX(Cards!$D$6:$D$25,MATCH(I73,Cards!$B$6:$B$25,0))="","",INDEX(Cards!$D$6:$D$25,MATCH(I73,Cards!$B$6:$B$25,0))),"")</f>
        <v/>
      </c>
      <c r="X73">
        <f>IF(OR(T73="",T73="Active",T73="Cancelled"),"",ROW())</f>
        <v/>
      </c>
      <c r="Y73">
        <f>IF(N(S73)=0,0,S73*N(F73)*12/U73)</f>
        <v/>
      </c>
    </row>
    <row r="74">
      <c r="A74" s="1" t="n"/>
      <c r="B74" s="20" t="n"/>
      <c r="C74" s="21" t="n"/>
      <c r="D74" s="21" t="n"/>
      <c r="E74" s="22" t="n"/>
      <c r="F74" s="23" t="n"/>
      <c r="G74" s="22" t="n"/>
      <c r="H74" s="24" t="n"/>
      <c r="I74" s="21" t="n"/>
      <c r="J74" s="25" t="n"/>
      <c r="K74" s="24" t="n"/>
      <c r="L74" s="25" t="n"/>
      <c r="M74" s="26">
        <f>IF(B74="","",SUMIFS(Access!$G$6:$G$405,Access!$C$6:$C$405,B74))</f>
        <v/>
      </c>
      <c r="N74" s="13">
        <f>IF(B74="","",IF(G74&lt;&gt;"",N(F74)*IF(H74="",M74,N(H74)),N(F74)))</f>
        <v/>
      </c>
      <c r="O74" s="13">
        <f>IF(B74="","",IF(AND(L74&lt;&gt;"",L74&lt;=TODAY()),0,N74/U74))</f>
        <v/>
      </c>
      <c r="P74" s="13">
        <f>IF(B74="","",O74*12)</f>
        <v/>
      </c>
      <c r="Q74" s="27">
        <f>IF(OR(B74="",J74=""),"",IF(AND(L74&lt;&gt;"",IF(J74&gt;=TODAY(),J74,IF(EDATE(J74,INT(DATEDIF(J74,TODAY(),"m")/U74)*U74)&gt;=TODAY(),EDATE(J74,INT(DATEDIF(J74,TODAY(),"m")/U74)*U74),EDATE(J74,INT(DATEDIF(J74,TODAY(),"m")/U74)*U74+U74)))&gt;=L74),"",IF(J74&gt;=TODAY(),J74,IF(EDATE(J74,INT(DATEDIF(J74,TODAY(),"m")/U74)*U74)&gt;=TODAY(),EDATE(J74,INT(DATEDIF(J74,TODAY(),"m")/U74)*U74),EDATE(J74,INT(DATEDIF(J74,TODAY(),"m")/U74)*U74+U74)))))</f>
        <v/>
      </c>
      <c r="R74" s="27">
        <f>IF(Q74="","",Q74-N(K74))</f>
        <v/>
      </c>
      <c r="S74" s="17">
        <f>IF(OR(B74="",G74="",H74="",AND(L74&lt;&gt;"",L74&lt;=TODAY())),"",MAX(0,N(H74)-N(M74)))</f>
        <v/>
      </c>
      <c r="T74" s="14">
        <f>IF(B74="","",IF(AND(L74&lt;&gt;"",L74&lt;=TODAY()),"Cancelled",IF(L74&lt;&gt;"","Ends "&amp;DAY(L74)&amp;" "&amp;CHOOSE(MONTH(L74),"Jan","Feb","Mar","Apr","May","Jun","Jul","Aug","Sep","Oct","Nov","Dec"),IF(AND(Q74&lt;&gt;"",W74&lt;&gt;"",W74&lt;Q74),"Card expires",IF(AND(Q74&lt;&gt;"",E74&lt;&gt;"Monthly",N(K74)&gt;0,R74&gt;=TODAY(),R74-TODAY()&lt;=N(Settings!$C$5)),"Cancel by "&amp;DAY(R74)&amp;" "&amp;CHOOSE(MONTH(R74),"Jan","Feb","Mar","Apr","May","Jun","Jul","Aug","Sep","Oct","Nov","Dec"),IF(AND(Q74&lt;&gt;"",E74&lt;&gt;"Monthly",Q74-TODAY()&lt;=N(Settings!$C$5)),"Renews "&amp;DAY(Q74)&amp;" "&amp;CHOOSE(MONTH(Q74),"Jan","Feb","Mar","Apr","May","Jun","Jul","Aug","Sep","Oct","Nov","Dec"),IF(N(S74)&gt;0,S74&amp;IF(S74=1," unused seat"," unused seats"),"Active")))))))</f>
        <v/>
      </c>
      <c r="U74" s="1">
        <f>IF(E74="Quarterly",3,IF(E74="Yearly",12,1))</f>
        <v/>
      </c>
      <c r="V74">
        <f>IF(Q74="","",Q74+ROW()/10000000)</f>
        <v/>
      </c>
      <c r="W74">
        <f>IFERROR(IF(INDEX(Cards!$D$6:$D$25,MATCH(I74,Cards!$B$6:$B$25,0))="","",INDEX(Cards!$D$6:$D$25,MATCH(I74,Cards!$B$6:$B$25,0))),"")</f>
        <v/>
      </c>
      <c r="X74">
        <f>IF(OR(T74="",T74="Active",T74="Cancelled"),"",ROW())</f>
        <v/>
      </c>
      <c r="Y74">
        <f>IF(N(S74)=0,0,S74*N(F74)*12/U74)</f>
        <v/>
      </c>
    </row>
    <row r="75">
      <c r="A75" s="1" t="n"/>
      <c r="B75" s="20" t="n"/>
      <c r="C75" s="21" t="n"/>
      <c r="D75" s="21" t="n"/>
      <c r="E75" s="22" t="n"/>
      <c r="F75" s="23" t="n"/>
      <c r="G75" s="22" t="n"/>
      <c r="H75" s="24" t="n"/>
      <c r="I75" s="21" t="n"/>
      <c r="J75" s="25" t="n"/>
      <c r="K75" s="24" t="n"/>
      <c r="L75" s="25" t="n"/>
      <c r="M75" s="26">
        <f>IF(B75="","",SUMIFS(Access!$G$6:$G$405,Access!$C$6:$C$405,B75))</f>
        <v/>
      </c>
      <c r="N75" s="13">
        <f>IF(B75="","",IF(G75&lt;&gt;"",N(F75)*IF(H75="",M75,N(H75)),N(F75)))</f>
        <v/>
      </c>
      <c r="O75" s="13">
        <f>IF(B75="","",IF(AND(L75&lt;&gt;"",L75&lt;=TODAY()),0,N75/U75))</f>
        <v/>
      </c>
      <c r="P75" s="13">
        <f>IF(B75="","",O75*12)</f>
        <v/>
      </c>
      <c r="Q75" s="27">
        <f>IF(OR(B75="",J75=""),"",IF(AND(L75&lt;&gt;"",IF(J75&gt;=TODAY(),J75,IF(EDATE(J75,INT(DATEDIF(J75,TODAY(),"m")/U75)*U75)&gt;=TODAY(),EDATE(J75,INT(DATEDIF(J75,TODAY(),"m")/U75)*U75),EDATE(J75,INT(DATEDIF(J75,TODAY(),"m")/U75)*U75+U75)))&gt;=L75),"",IF(J75&gt;=TODAY(),J75,IF(EDATE(J75,INT(DATEDIF(J75,TODAY(),"m")/U75)*U75)&gt;=TODAY(),EDATE(J75,INT(DATEDIF(J75,TODAY(),"m")/U75)*U75),EDATE(J75,INT(DATEDIF(J75,TODAY(),"m")/U75)*U75+U75)))))</f>
        <v/>
      </c>
      <c r="R75" s="27">
        <f>IF(Q75="","",Q75-N(K75))</f>
        <v/>
      </c>
      <c r="S75" s="17">
        <f>IF(OR(B75="",G75="",H75="",AND(L75&lt;&gt;"",L75&lt;=TODAY())),"",MAX(0,N(H75)-N(M75)))</f>
        <v/>
      </c>
      <c r="T75" s="14">
        <f>IF(B75="","",IF(AND(L75&lt;&gt;"",L75&lt;=TODAY()),"Cancelled",IF(L75&lt;&gt;"","Ends "&amp;DAY(L75)&amp;" "&amp;CHOOSE(MONTH(L75),"Jan","Feb","Mar","Apr","May","Jun","Jul","Aug","Sep","Oct","Nov","Dec"),IF(AND(Q75&lt;&gt;"",W75&lt;&gt;"",W75&lt;Q75),"Card expires",IF(AND(Q75&lt;&gt;"",E75&lt;&gt;"Monthly",N(K75)&gt;0,R75&gt;=TODAY(),R75-TODAY()&lt;=N(Settings!$C$5)),"Cancel by "&amp;DAY(R75)&amp;" "&amp;CHOOSE(MONTH(R75),"Jan","Feb","Mar","Apr","May","Jun","Jul","Aug","Sep","Oct","Nov","Dec"),IF(AND(Q75&lt;&gt;"",E75&lt;&gt;"Monthly",Q75-TODAY()&lt;=N(Settings!$C$5)),"Renews "&amp;DAY(Q75)&amp;" "&amp;CHOOSE(MONTH(Q75),"Jan","Feb","Mar","Apr","May","Jun","Jul","Aug","Sep","Oct","Nov","Dec"),IF(N(S75)&gt;0,S75&amp;IF(S75=1," unused seat"," unused seats"),"Active")))))))</f>
        <v/>
      </c>
      <c r="U75" s="1">
        <f>IF(E75="Quarterly",3,IF(E75="Yearly",12,1))</f>
        <v/>
      </c>
      <c r="V75">
        <f>IF(Q75="","",Q75+ROW()/10000000)</f>
        <v/>
      </c>
      <c r="W75">
        <f>IFERROR(IF(INDEX(Cards!$D$6:$D$25,MATCH(I75,Cards!$B$6:$B$25,0))="","",INDEX(Cards!$D$6:$D$25,MATCH(I75,Cards!$B$6:$B$25,0))),"")</f>
        <v/>
      </c>
      <c r="X75">
        <f>IF(OR(T75="",T75="Active",T75="Cancelled"),"",ROW())</f>
        <v/>
      </c>
      <c r="Y75">
        <f>IF(N(S75)=0,0,S75*N(F75)*12/U75)</f>
        <v/>
      </c>
    </row>
    <row r="76">
      <c r="A76" s="1" t="n"/>
      <c r="B76" s="20" t="n"/>
      <c r="C76" s="21" t="n"/>
      <c r="D76" s="21" t="n"/>
      <c r="E76" s="22" t="n"/>
      <c r="F76" s="23" t="n"/>
      <c r="G76" s="22" t="n"/>
      <c r="H76" s="24" t="n"/>
      <c r="I76" s="21" t="n"/>
      <c r="J76" s="25" t="n"/>
      <c r="K76" s="24" t="n"/>
      <c r="L76" s="25" t="n"/>
      <c r="M76" s="26">
        <f>IF(B76="","",SUMIFS(Access!$G$6:$G$405,Access!$C$6:$C$405,B76))</f>
        <v/>
      </c>
      <c r="N76" s="13">
        <f>IF(B76="","",IF(G76&lt;&gt;"",N(F76)*IF(H76="",M76,N(H76)),N(F76)))</f>
        <v/>
      </c>
      <c r="O76" s="13">
        <f>IF(B76="","",IF(AND(L76&lt;&gt;"",L76&lt;=TODAY()),0,N76/U76))</f>
        <v/>
      </c>
      <c r="P76" s="13">
        <f>IF(B76="","",O76*12)</f>
        <v/>
      </c>
      <c r="Q76" s="27">
        <f>IF(OR(B76="",J76=""),"",IF(AND(L76&lt;&gt;"",IF(J76&gt;=TODAY(),J76,IF(EDATE(J76,INT(DATEDIF(J76,TODAY(),"m")/U76)*U76)&gt;=TODAY(),EDATE(J76,INT(DATEDIF(J76,TODAY(),"m")/U76)*U76),EDATE(J76,INT(DATEDIF(J76,TODAY(),"m")/U76)*U76+U76)))&gt;=L76),"",IF(J76&gt;=TODAY(),J76,IF(EDATE(J76,INT(DATEDIF(J76,TODAY(),"m")/U76)*U76)&gt;=TODAY(),EDATE(J76,INT(DATEDIF(J76,TODAY(),"m")/U76)*U76),EDATE(J76,INT(DATEDIF(J76,TODAY(),"m")/U76)*U76+U76)))))</f>
        <v/>
      </c>
      <c r="R76" s="27">
        <f>IF(Q76="","",Q76-N(K76))</f>
        <v/>
      </c>
      <c r="S76" s="17">
        <f>IF(OR(B76="",G76="",H76="",AND(L76&lt;&gt;"",L76&lt;=TODAY())),"",MAX(0,N(H76)-N(M76)))</f>
        <v/>
      </c>
      <c r="T76" s="14">
        <f>IF(B76="","",IF(AND(L76&lt;&gt;"",L76&lt;=TODAY()),"Cancelled",IF(L76&lt;&gt;"","Ends "&amp;DAY(L76)&amp;" "&amp;CHOOSE(MONTH(L76),"Jan","Feb","Mar","Apr","May","Jun","Jul","Aug","Sep","Oct","Nov","Dec"),IF(AND(Q76&lt;&gt;"",W76&lt;&gt;"",W76&lt;Q76),"Card expires",IF(AND(Q76&lt;&gt;"",E76&lt;&gt;"Monthly",N(K76)&gt;0,R76&gt;=TODAY(),R76-TODAY()&lt;=N(Settings!$C$5)),"Cancel by "&amp;DAY(R76)&amp;" "&amp;CHOOSE(MONTH(R76),"Jan","Feb","Mar","Apr","May","Jun","Jul","Aug","Sep","Oct","Nov","Dec"),IF(AND(Q76&lt;&gt;"",E76&lt;&gt;"Monthly",Q76-TODAY()&lt;=N(Settings!$C$5)),"Renews "&amp;DAY(Q76)&amp;" "&amp;CHOOSE(MONTH(Q76),"Jan","Feb","Mar","Apr","May","Jun","Jul","Aug","Sep","Oct","Nov","Dec"),IF(N(S76)&gt;0,S76&amp;IF(S76=1," unused seat"," unused seats"),"Active")))))))</f>
        <v/>
      </c>
      <c r="U76" s="1">
        <f>IF(E76="Quarterly",3,IF(E76="Yearly",12,1))</f>
        <v/>
      </c>
      <c r="V76">
        <f>IF(Q76="","",Q76+ROW()/10000000)</f>
        <v/>
      </c>
      <c r="W76">
        <f>IFERROR(IF(INDEX(Cards!$D$6:$D$25,MATCH(I76,Cards!$B$6:$B$25,0))="","",INDEX(Cards!$D$6:$D$25,MATCH(I76,Cards!$B$6:$B$25,0))),"")</f>
        <v/>
      </c>
      <c r="X76">
        <f>IF(OR(T76="",T76="Active",T76="Cancelled"),"",ROW())</f>
        <v/>
      </c>
      <c r="Y76">
        <f>IF(N(S76)=0,0,S76*N(F76)*12/U76)</f>
        <v/>
      </c>
    </row>
    <row r="77">
      <c r="A77" s="1" t="n"/>
      <c r="B77" s="20" t="n"/>
      <c r="C77" s="21" t="n"/>
      <c r="D77" s="21" t="n"/>
      <c r="E77" s="22" t="n"/>
      <c r="F77" s="23" t="n"/>
      <c r="G77" s="22" t="n"/>
      <c r="H77" s="24" t="n"/>
      <c r="I77" s="21" t="n"/>
      <c r="J77" s="25" t="n"/>
      <c r="K77" s="24" t="n"/>
      <c r="L77" s="25" t="n"/>
      <c r="M77" s="26">
        <f>IF(B77="","",SUMIFS(Access!$G$6:$G$405,Access!$C$6:$C$405,B77))</f>
        <v/>
      </c>
      <c r="N77" s="13">
        <f>IF(B77="","",IF(G77&lt;&gt;"",N(F77)*IF(H77="",M77,N(H77)),N(F77)))</f>
        <v/>
      </c>
      <c r="O77" s="13">
        <f>IF(B77="","",IF(AND(L77&lt;&gt;"",L77&lt;=TODAY()),0,N77/U77))</f>
        <v/>
      </c>
      <c r="P77" s="13">
        <f>IF(B77="","",O77*12)</f>
        <v/>
      </c>
      <c r="Q77" s="27">
        <f>IF(OR(B77="",J77=""),"",IF(AND(L77&lt;&gt;"",IF(J77&gt;=TODAY(),J77,IF(EDATE(J77,INT(DATEDIF(J77,TODAY(),"m")/U77)*U77)&gt;=TODAY(),EDATE(J77,INT(DATEDIF(J77,TODAY(),"m")/U77)*U77),EDATE(J77,INT(DATEDIF(J77,TODAY(),"m")/U77)*U77+U77)))&gt;=L77),"",IF(J77&gt;=TODAY(),J77,IF(EDATE(J77,INT(DATEDIF(J77,TODAY(),"m")/U77)*U77)&gt;=TODAY(),EDATE(J77,INT(DATEDIF(J77,TODAY(),"m")/U77)*U77),EDATE(J77,INT(DATEDIF(J77,TODAY(),"m")/U77)*U77+U77)))))</f>
        <v/>
      </c>
      <c r="R77" s="27">
        <f>IF(Q77="","",Q77-N(K77))</f>
        <v/>
      </c>
      <c r="S77" s="17">
        <f>IF(OR(B77="",G77="",H77="",AND(L77&lt;&gt;"",L77&lt;=TODAY())),"",MAX(0,N(H77)-N(M77)))</f>
        <v/>
      </c>
      <c r="T77" s="14">
        <f>IF(B77="","",IF(AND(L77&lt;&gt;"",L77&lt;=TODAY()),"Cancelled",IF(L77&lt;&gt;"","Ends "&amp;DAY(L77)&amp;" "&amp;CHOOSE(MONTH(L77),"Jan","Feb","Mar","Apr","May","Jun","Jul","Aug","Sep","Oct","Nov","Dec"),IF(AND(Q77&lt;&gt;"",W77&lt;&gt;"",W77&lt;Q77),"Card expires",IF(AND(Q77&lt;&gt;"",E77&lt;&gt;"Monthly",N(K77)&gt;0,R77&gt;=TODAY(),R77-TODAY()&lt;=N(Settings!$C$5)),"Cancel by "&amp;DAY(R77)&amp;" "&amp;CHOOSE(MONTH(R77),"Jan","Feb","Mar","Apr","May","Jun","Jul","Aug","Sep","Oct","Nov","Dec"),IF(AND(Q77&lt;&gt;"",E77&lt;&gt;"Monthly",Q77-TODAY()&lt;=N(Settings!$C$5)),"Renews "&amp;DAY(Q77)&amp;" "&amp;CHOOSE(MONTH(Q77),"Jan","Feb","Mar","Apr","May","Jun","Jul","Aug","Sep","Oct","Nov","Dec"),IF(N(S77)&gt;0,S77&amp;IF(S77=1," unused seat"," unused seats"),"Active")))))))</f>
        <v/>
      </c>
      <c r="U77" s="1">
        <f>IF(E77="Quarterly",3,IF(E77="Yearly",12,1))</f>
        <v/>
      </c>
      <c r="V77">
        <f>IF(Q77="","",Q77+ROW()/10000000)</f>
        <v/>
      </c>
      <c r="W77">
        <f>IFERROR(IF(INDEX(Cards!$D$6:$D$25,MATCH(I77,Cards!$B$6:$B$25,0))="","",INDEX(Cards!$D$6:$D$25,MATCH(I77,Cards!$B$6:$B$25,0))),"")</f>
        <v/>
      </c>
      <c r="X77">
        <f>IF(OR(T77="",T77="Active",T77="Cancelled"),"",ROW())</f>
        <v/>
      </c>
      <c r="Y77">
        <f>IF(N(S77)=0,0,S77*N(F77)*12/U77)</f>
        <v/>
      </c>
    </row>
    <row r="78">
      <c r="A78" s="1" t="n"/>
      <c r="B78" s="20" t="n"/>
      <c r="C78" s="21" t="n"/>
      <c r="D78" s="21" t="n"/>
      <c r="E78" s="22" t="n"/>
      <c r="F78" s="23" t="n"/>
      <c r="G78" s="22" t="n"/>
      <c r="H78" s="24" t="n"/>
      <c r="I78" s="21" t="n"/>
      <c r="J78" s="25" t="n"/>
      <c r="K78" s="24" t="n"/>
      <c r="L78" s="25" t="n"/>
      <c r="M78" s="26">
        <f>IF(B78="","",SUMIFS(Access!$G$6:$G$405,Access!$C$6:$C$405,B78))</f>
        <v/>
      </c>
      <c r="N78" s="13">
        <f>IF(B78="","",IF(G78&lt;&gt;"",N(F78)*IF(H78="",M78,N(H78)),N(F78)))</f>
        <v/>
      </c>
      <c r="O78" s="13">
        <f>IF(B78="","",IF(AND(L78&lt;&gt;"",L78&lt;=TODAY()),0,N78/U78))</f>
        <v/>
      </c>
      <c r="P78" s="13">
        <f>IF(B78="","",O78*12)</f>
        <v/>
      </c>
      <c r="Q78" s="27">
        <f>IF(OR(B78="",J78=""),"",IF(AND(L78&lt;&gt;"",IF(J78&gt;=TODAY(),J78,IF(EDATE(J78,INT(DATEDIF(J78,TODAY(),"m")/U78)*U78)&gt;=TODAY(),EDATE(J78,INT(DATEDIF(J78,TODAY(),"m")/U78)*U78),EDATE(J78,INT(DATEDIF(J78,TODAY(),"m")/U78)*U78+U78)))&gt;=L78),"",IF(J78&gt;=TODAY(),J78,IF(EDATE(J78,INT(DATEDIF(J78,TODAY(),"m")/U78)*U78)&gt;=TODAY(),EDATE(J78,INT(DATEDIF(J78,TODAY(),"m")/U78)*U78),EDATE(J78,INT(DATEDIF(J78,TODAY(),"m")/U78)*U78+U78)))))</f>
        <v/>
      </c>
      <c r="R78" s="27">
        <f>IF(Q78="","",Q78-N(K78))</f>
        <v/>
      </c>
      <c r="S78" s="17">
        <f>IF(OR(B78="",G78="",H78="",AND(L78&lt;&gt;"",L78&lt;=TODAY())),"",MAX(0,N(H78)-N(M78)))</f>
        <v/>
      </c>
      <c r="T78" s="14">
        <f>IF(B78="","",IF(AND(L78&lt;&gt;"",L78&lt;=TODAY()),"Cancelled",IF(L78&lt;&gt;"","Ends "&amp;DAY(L78)&amp;" "&amp;CHOOSE(MONTH(L78),"Jan","Feb","Mar","Apr","May","Jun","Jul","Aug","Sep","Oct","Nov","Dec"),IF(AND(Q78&lt;&gt;"",W78&lt;&gt;"",W78&lt;Q78),"Card expires",IF(AND(Q78&lt;&gt;"",E78&lt;&gt;"Monthly",N(K78)&gt;0,R78&gt;=TODAY(),R78-TODAY()&lt;=N(Settings!$C$5)),"Cancel by "&amp;DAY(R78)&amp;" "&amp;CHOOSE(MONTH(R78),"Jan","Feb","Mar","Apr","May","Jun","Jul","Aug","Sep","Oct","Nov","Dec"),IF(AND(Q78&lt;&gt;"",E78&lt;&gt;"Monthly",Q78-TODAY()&lt;=N(Settings!$C$5)),"Renews "&amp;DAY(Q78)&amp;" "&amp;CHOOSE(MONTH(Q78),"Jan","Feb","Mar","Apr","May","Jun","Jul","Aug","Sep","Oct","Nov","Dec"),IF(N(S78)&gt;0,S78&amp;IF(S78=1," unused seat"," unused seats"),"Active")))))))</f>
        <v/>
      </c>
      <c r="U78" s="1">
        <f>IF(E78="Quarterly",3,IF(E78="Yearly",12,1))</f>
        <v/>
      </c>
      <c r="V78">
        <f>IF(Q78="","",Q78+ROW()/10000000)</f>
        <v/>
      </c>
      <c r="W78">
        <f>IFERROR(IF(INDEX(Cards!$D$6:$D$25,MATCH(I78,Cards!$B$6:$B$25,0))="","",INDEX(Cards!$D$6:$D$25,MATCH(I78,Cards!$B$6:$B$25,0))),"")</f>
        <v/>
      </c>
      <c r="X78">
        <f>IF(OR(T78="",T78="Active",T78="Cancelled"),"",ROW())</f>
        <v/>
      </c>
      <c r="Y78">
        <f>IF(N(S78)=0,0,S78*N(F78)*12/U78)</f>
        <v/>
      </c>
    </row>
    <row r="79">
      <c r="A79" s="1" t="n"/>
      <c r="B79" s="20" t="n"/>
      <c r="C79" s="21" t="n"/>
      <c r="D79" s="21" t="n"/>
      <c r="E79" s="22" t="n"/>
      <c r="F79" s="23" t="n"/>
      <c r="G79" s="22" t="n"/>
      <c r="H79" s="24" t="n"/>
      <c r="I79" s="21" t="n"/>
      <c r="J79" s="25" t="n"/>
      <c r="K79" s="24" t="n"/>
      <c r="L79" s="25" t="n"/>
      <c r="M79" s="26">
        <f>IF(B79="","",SUMIFS(Access!$G$6:$G$405,Access!$C$6:$C$405,B79))</f>
        <v/>
      </c>
      <c r="N79" s="13">
        <f>IF(B79="","",IF(G79&lt;&gt;"",N(F79)*IF(H79="",M79,N(H79)),N(F79)))</f>
        <v/>
      </c>
      <c r="O79" s="13">
        <f>IF(B79="","",IF(AND(L79&lt;&gt;"",L79&lt;=TODAY()),0,N79/U79))</f>
        <v/>
      </c>
      <c r="P79" s="13">
        <f>IF(B79="","",O79*12)</f>
        <v/>
      </c>
      <c r="Q79" s="27">
        <f>IF(OR(B79="",J79=""),"",IF(AND(L79&lt;&gt;"",IF(J79&gt;=TODAY(),J79,IF(EDATE(J79,INT(DATEDIF(J79,TODAY(),"m")/U79)*U79)&gt;=TODAY(),EDATE(J79,INT(DATEDIF(J79,TODAY(),"m")/U79)*U79),EDATE(J79,INT(DATEDIF(J79,TODAY(),"m")/U79)*U79+U79)))&gt;=L79),"",IF(J79&gt;=TODAY(),J79,IF(EDATE(J79,INT(DATEDIF(J79,TODAY(),"m")/U79)*U79)&gt;=TODAY(),EDATE(J79,INT(DATEDIF(J79,TODAY(),"m")/U79)*U79),EDATE(J79,INT(DATEDIF(J79,TODAY(),"m")/U79)*U79+U79)))))</f>
        <v/>
      </c>
      <c r="R79" s="27">
        <f>IF(Q79="","",Q79-N(K79))</f>
        <v/>
      </c>
      <c r="S79" s="17">
        <f>IF(OR(B79="",G79="",H79="",AND(L79&lt;&gt;"",L79&lt;=TODAY())),"",MAX(0,N(H79)-N(M79)))</f>
        <v/>
      </c>
      <c r="T79" s="14">
        <f>IF(B79="","",IF(AND(L79&lt;&gt;"",L79&lt;=TODAY()),"Cancelled",IF(L79&lt;&gt;"","Ends "&amp;DAY(L79)&amp;" "&amp;CHOOSE(MONTH(L79),"Jan","Feb","Mar","Apr","May","Jun","Jul","Aug","Sep","Oct","Nov","Dec"),IF(AND(Q79&lt;&gt;"",W79&lt;&gt;"",W79&lt;Q79),"Card expires",IF(AND(Q79&lt;&gt;"",E79&lt;&gt;"Monthly",N(K79)&gt;0,R79&gt;=TODAY(),R79-TODAY()&lt;=N(Settings!$C$5)),"Cancel by "&amp;DAY(R79)&amp;" "&amp;CHOOSE(MONTH(R79),"Jan","Feb","Mar","Apr","May","Jun","Jul","Aug","Sep","Oct","Nov","Dec"),IF(AND(Q79&lt;&gt;"",E79&lt;&gt;"Monthly",Q79-TODAY()&lt;=N(Settings!$C$5)),"Renews "&amp;DAY(Q79)&amp;" "&amp;CHOOSE(MONTH(Q79),"Jan","Feb","Mar","Apr","May","Jun","Jul","Aug","Sep","Oct","Nov","Dec"),IF(N(S79)&gt;0,S79&amp;IF(S79=1," unused seat"," unused seats"),"Active")))))))</f>
        <v/>
      </c>
      <c r="U79" s="1">
        <f>IF(E79="Quarterly",3,IF(E79="Yearly",12,1))</f>
        <v/>
      </c>
      <c r="V79">
        <f>IF(Q79="","",Q79+ROW()/10000000)</f>
        <v/>
      </c>
      <c r="W79">
        <f>IFERROR(IF(INDEX(Cards!$D$6:$D$25,MATCH(I79,Cards!$B$6:$B$25,0))="","",INDEX(Cards!$D$6:$D$25,MATCH(I79,Cards!$B$6:$B$25,0))),"")</f>
        <v/>
      </c>
      <c r="X79">
        <f>IF(OR(T79="",T79="Active",T79="Cancelled"),"",ROW())</f>
        <v/>
      </c>
      <c r="Y79">
        <f>IF(N(S79)=0,0,S79*N(F79)*12/U79)</f>
        <v/>
      </c>
    </row>
    <row r="80">
      <c r="A80" s="1" t="n"/>
      <c r="B80" s="20" t="n"/>
      <c r="C80" s="21" t="n"/>
      <c r="D80" s="21" t="n"/>
      <c r="E80" s="22" t="n"/>
      <c r="F80" s="23" t="n"/>
      <c r="G80" s="22" t="n"/>
      <c r="H80" s="24" t="n"/>
      <c r="I80" s="21" t="n"/>
      <c r="J80" s="25" t="n"/>
      <c r="K80" s="24" t="n"/>
      <c r="L80" s="25" t="n"/>
      <c r="M80" s="26">
        <f>IF(B80="","",SUMIFS(Access!$G$6:$G$405,Access!$C$6:$C$405,B80))</f>
        <v/>
      </c>
      <c r="N80" s="13">
        <f>IF(B80="","",IF(G80&lt;&gt;"",N(F80)*IF(H80="",M80,N(H80)),N(F80)))</f>
        <v/>
      </c>
      <c r="O80" s="13">
        <f>IF(B80="","",IF(AND(L80&lt;&gt;"",L80&lt;=TODAY()),0,N80/U80))</f>
        <v/>
      </c>
      <c r="P80" s="13">
        <f>IF(B80="","",O80*12)</f>
        <v/>
      </c>
      <c r="Q80" s="27">
        <f>IF(OR(B80="",J80=""),"",IF(AND(L80&lt;&gt;"",IF(J80&gt;=TODAY(),J80,IF(EDATE(J80,INT(DATEDIF(J80,TODAY(),"m")/U80)*U80)&gt;=TODAY(),EDATE(J80,INT(DATEDIF(J80,TODAY(),"m")/U80)*U80),EDATE(J80,INT(DATEDIF(J80,TODAY(),"m")/U80)*U80+U80)))&gt;=L80),"",IF(J80&gt;=TODAY(),J80,IF(EDATE(J80,INT(DATEDIF(J80,TODAY(),"m")/U80)*U80)&gt;=TODAY(),EDATE(J80,INT(DATEDIF(J80,TODAY(),"m")/U80)*U80),EDATE(J80,INT(DATEDIF(J80,TODAY(),"m")/U80)*U80+U80)))))</f>
        <v/>
      </c>
      <c r="R80" s="27">
        <f>IF(Q80="","",Q80-N(K80))</f>
        <v/>
      </c>
      <c r="S80" s="17">
        <f>IF(OR(B80="",G80="",H80="",AND(L80&lt;&gt;"",L80&lt;=TODAY())),"",MAX(0,N(H80)-N(M80)))</f>
        <v/>
      </c>
      <c r="T80" s="14">
        <f>IF(B80="","",IF(AND(L80&lt;&gt;"",L80&lt;=TODAY()),"Cancelled",IF(L80&lt;&gt;"","Ends "&amp;DAY(L80)&amp;" "&amp;CHOOSE(MONTH(L80),"Jan","Feb","Mar","Apr","May","Jun","Jul","Aug","Sep","Oct","Nov","Dec"),IF(AND(Q80&lt;&gt;"",W80&lt;&gt;"",W80&lt;Q80),"Card expires",IF(AND(Q80&lt;&gt;"",E80&lt;&gt;"Monthly",N(K80)&gt;0,R80&gt;=TODAY(),R80-TODAY()&lt;=N(Settings!$C$5)),"Cancel by "&amp;DAY(R80)&amp;" "&amp;CHOOSE(MONTH(R80),"Jan","Feb","Mar","Apr","May","Jun","Jul","Aug","Sep","Oct","Nov","Dec"),IF(AND(Q80&lt;&gt;"",E80&lt;&gt;"Monthly",Q80-TODAY()&lt;=N(Settings!$C$5)),"Renews "&amp;DAY(Q80)&amp;" "&amp;CHOOSE(MONTH(Q80),"Jan","Feb","Mar","Apr","May","Jun","Jul","Aug","Sep","Oct","Nov","Dec"),IF(N(S80)&gt;0,S80&amp;IF(S80=1," unused seat"," unused seats"),"Active")))))))</f>
        <v/>
      </c>
      <c r="U80" s="1">
        <f>IF(E80="Quarterly",3,IF(E80="Yearly",12,1))</f>
        <v/>
      </c>
      <c r="V80">
        <f>IF(Q80="","",Q80+ROW()/10000000)</f>
        <v/>
      </c>
      <c r="W80">
        <f>IFERROR(IF(INDEX(Cards!$D$6:$D$25,MATCH(I80,Cards!$B$6:$B$25,0))="","",INDEX(Cards!$D$6:$D$25,MATCH(I80,Cards!$B$6:$B$25,0))),"")</f>
        <v/>
      </c>
      <c r="X80">
        <f>IF(OR(T80="",T80="Active",T80="Cancelled"),"",ROW())</f>
        <v/>
      </c>
      <c r="Y80">
        <f>IF(N(S80)=0,0,S80*N(F80)*12/U80)</f>
        <v/>
      </c>
    </row>
    <row r="81">
      <c r="A81" s="1" t="n"/>
      <c r="B81" s="20" t="n"/>
      <c r="C81" s="21" t="n"/>
      <c r="D81" s="21" t="n"/>
      <c r="E81" s="22" t="n"/>
      <c r="F81" s="23" t="n"/>
      <c r="G81" s="22" t="n"/>
      <c r="H81" s="24" t="n"/>
      <c r="I81" s="21" t="n"/>
      <c r="J81" s="25" t="n"/>
      <c r="K81" s="24" t="n"/>
      <c r="L81" s="25" t="n"/>
      <c r="M81" s="26">
        <f>IF(B81="","",SUMIFS(Access!$G$6:$G$405,Access!$C$6:$C$405,B81))</f>
        <v/>
      </c>
      <c r="N81" s="13">
        <f>IF(B81="","",IF(G81&lt;&gt;"",N(F81)*IF(H81="",M81,N(H81)),N(F81)))</f>
        <v/>
      </c>
      <c r="O81" s="13">
        <f>IF(B81="","",IF(AND(L81&lt;&gt;"",L81&lt;=TODAY()),0,N81/U81))</f>
        <v/>
      </c>
      <c r="P81" s="13">
        <f>IF(B81="","",O81*12)</f>
        <v/>
      </c>
      <c r="Q81" s="27">
        <f>IF(OR(B81="",J81=""),"",IF(AND(L81&lt;&gt;"",IF(J81&gt;=TODAY(),J81,IF(EDATE(J81,INT(DATEDIF(J81,TODAY(),"m")/U81)*U81)&gt;=TODAY(),EDATE(J81,INT(DATEDIF(J81,TODAY(),"m")/U81)*U81),EDATE(J81,INT(DATEDIF(J81,TODAY(),"m")/U81)*U81+U81)))&gt;=L81),"",IF(J81&gt;=TODAY(),J81,IF(EDATE(J81,INT(DATEDIF(J81,TODAY(),"m")/U81)*U81)&gt;=TODAY(),EDATE(J81,INT(DATEDIF(J81,TODAY(),"m")/U81)*U81),EDATE(J81,INT(DATEDIF(J81,TODAY(),"m")/U81)*U81+U81)))))</f>
        <v/>
      </c>
      <c r="R81" s="27">
        <f>IF(Q81="","",Q81-N(K81))</f>
        <v/>
      </c>
      <c r="S81" s="17">
        <f>IF(OR(B81="",G81="",H81="",AND(L81&lt;&gt;"",L81&lt;=TODAY())),"",MAX(0,N(H81)-N(M81)))</f>
        <v/>
      </c>
      <c r="T81" s="14">
        <f>IF(B81="","",IF(AND(L81&lt;&gt;"",L81&lt;=TODAY()),"Cancelled",IF(L81&lt;&gt;"","Ends "&amp;DAY(L81)&amp;" "&amp;CHOOSE(MONTH(L81),"Jan","Feb","Mar","Apr","May","Jun","Jul","Aug","Sep","Oct","Nov","Dec"),IF(AND(Q81&lt;&gt;"",W81&lt;&gt;"",W81&lt;Q81),"Card expires",IF(AND(Q81&lt;&gt;"",E81&lt;&gt;"Monthly",N(K81)&gt;0,R81&gt;=TODAY(),R81-TODAY()&lt;=N(Settings!$C$5)),"Cancel by "&amp;DAY(R81)&amp;" "&amp;CHOOSE(MONTH(R81),"Jan","Feb","Mar","Apr","May","Jun","Jul","Aug","Sep","Oct","Nov","Dec"),IF(AND(Q81&lt;&gt;"",E81&lt;&gt;"Monthly",Q81-TODAY()&lt;=N(Settings!$C$5)),"Renews "&amp;DAY(Q81)&amp;" "&amp;CHOOSE(MONTH(Q81),"Jan","Feb","Mar","Apr","May","Jun","Jul","Aug","Sep","Oct","Nov","Dec"),IF(N(S81)&gt;0,S81&amp;IF(S81=1," unused seat"," unused seats"),"Active")))))))</f>
        <v/>
      </c>
      <c r="U81" s="1">
        <f>IF(E81="Quarterly",3,IF(E81="Yearly",12,1))</f>
        <v/>
      </c>
      <c r="V81">
        <f>IF(Q81="","",Q81+ROW()/10000000)</f>
        <v/>
      </c>
      <c r="W81">
        <f>IFERROR(IF(INDEX(Cards!$D$6:$D$25,MATCH(I81,Cards!$B$6:$B$25,0))="","",INDEX(Cards!$D$6:$D$25,MATCH(I81,Cards!$B$6:$B$25,0))),"")</f>
        <v/>
      </c>
      <c r="X81">
        <f>IF(OR(T81="",T81="Active",T81="Cancelled"),"",ROW())</f>
        <v/>
      </c>
      <c r="Y81">
        <f>IF(N(S81)=0,0,S81*N(F81)*12/U81)</f>
        <v/>
      </c>
    </row>
    <row r="82">
      <c r="A82" s="1" t="n"/>
      <c r="B82" s="20" t="n"/>
      <c r="C82" s="21" t="n"/>
      <c r="D82" s="21" t="n"/>
      <c r="E82" s="22" t="n"/>
      <c r="F82" s="23" t="n"/>
      <c r="G82" s="22" t="n"/>
      <c r="H82" s="24" t="n"/>
      <c r="I82" s="21" t="n"/>
      <c r="J82" s="25" t="n"/>
      <c r="K82" s="24" t="n"/>
      <c r="L82" s="25" t="n"/>
      <c r="M82" s="26">
        <f>IF(B82="","",SUMIFS(Access!$G$6:$G$405,Access!$C$6:$C$405,B82))</f>
        <v/>
      </c>
      <c r="N82" s="13">
        <f>IF(B82="","",IF(G82&lt;&gt;"",N(F82)*IF(H82="",M82,N(H82)),N(F82)))</f>
        <v/>
      </c>
      <c r="O82" s="13">
        <f>IF(B82="","",IF(AND(L82&lt;&gt;"",L82&lt;=TODAY()),0,N82/U82))</f>
        <v/>
      </c>
      <c r="P82" s="13">
        <f>IF(B82="","",O82*12)</f>
        <v/>
      </c>
      <c r="Q82" s="27">
        <f>IF(OR(B82="",J82=""),"",IF(AND(L82&lt;&gt;"",IF(J82&gt;=TODAY(),J82,IF(EDATE(J82,INT(DATEDIF(J82,TODAY(),"m")/U82)*U82)&gt;=TODAY(),EDATE(J82,INT(DATEDIF(J82,TODAY(),"m")/U82)*U82),EDATE(J82,INT(DATEDIF(J82,TODAY(),"m")/U82)*U82+U82)))&gt;=L82),"",IF(J82&gt;=TODAY(),J82,IF(EDATE(J82,INT(DATEDIF(J82,TODAY(),"m")/U82)*U82)&gt;=TODAY(),EDATE(J82,INT(DATEDIF(J82,TODAY(),"m")/U82)*U82),EDATE(J82,INT(DATEDIF(J82,TODAY(),"m")/U82)*U82+U82)))))</f>
        <v/>
      </c>
      <c r="R82" s="27">
        <f>IF(Q82="","",Q82-N(K82))</f>
        <v/>
      </c>
      <c r="S82" s="17">
        <f>IF(OR(B82="",G82="",H82="",AND(L82&lt;&gt;"",L82&lt;=TODAY())),"",MAX(0,N(H82)-N(M82)))</f>
        <v/>
      </c>
      <c r="T82" s="14">
        <f>IF(B82="","",IF(AND(L82&lt;&gt;"",L82&lt;=TODAY()),"Cancelled",IF(L82&lt;&gt;"","Ends "&amp;DAY(L82)&amp;" "&amp;CHOOSE(MONTH(L82),"Jan","Feb","Mar","Apr","May","Jun","Jul","Aug","Sep","Oct","Nov","Dec"),IF(AND(Q82&lt;&gt;"",W82&lt;&gt;"",W82&lt;Q82),"Card expires",IF(AND(Q82&lt;&gt;"",E82&lt;&gt;"Monthly",N(K82)&gt;0,R82&gt;=TODAY(),R82-TODAY()&lt;=N(Settings!$C$5)),"Cancel by "&amp;DAY(R82)&amp;" "&amp;CHOOSE(MONTH(R82),"Jan","Feb","Mar","Apr","May","Jun","Jul","Aug","Sep","Oct","Nov","Dec"),IF(AND(Q82&lt;&gt;"",E82&lt;&gt;"Monthly",Q82-TODAY()&lt;=N(Settings!$C$5)),"Renews "&amp;DAY(Q82)&amp;" "&amp;CHOOSE(MONTH(Q82),"Jan","Feb","Mar","Apr","May","Jun","Jul","Aug","Sep","Oct","Nov","Dec"),IF(N(S82)&gt;0,S82&amp;IF(S82=1," unused seat"," unused seats"),"Active")))))))</f>
        <v/>
      </c>
      <c r="U82" s="1">
        <f>IF(E82="Quarterly",3,IF(E82="Yearly",12,1))</f>
        <v/>
      </c>
      <c r="V82">
        <f>IF(Q82="","",Q82+ROW()/10000000)</f>
        <v/>
      </c>
      <c r="W82">
        <f>IFERROR(IF(INDEX(Cards!$D$6:$D$25,MATCH(I82,Cards!$B$6:$B$25,0))="","",INDEX(Cards!$D$6:$D$25,MATCH(I82,Cards!$B$6:$B$25,0))),"")</f>
        <v/>
      </c>
      <c r="X82">
        <f>IF(OR(T82="",T82="Active",T82="Cancelled"),"",ROW())</f>
        <v/>
      </c>
      <c r="Y82">
        <f>IF(N(S82)=0,0,S82*N(F82)*12/U82)</f>
        <v/>
      </c>
    </row>
    <row r="83">
      <c r="A83" s="1" t="n"/>
      <c r="B83" s="20" t="n"/>
      <c r="C83" s="21" t="n"/>
      <c r="D83" s="21" t="n"/>
      <c r="E83" s="22" t="n"/>
      <c r="F83" s="23" t="n"/>
      <c r="G83" s="22" t="n"/>
      <c r="H83" s="24" t="n"/>
      <c r="I83" s="21" t="n"/>
      <c r="J83" s="25" t="n"/>
      <c r="K83" s="24" t="n"/>
      <c r="L83" s="25" t="n"/>
      <c r="M83" s="26">
        <f>IF(B83="","",SUMIFS(Access!$G$6:$G$405,Access!$C$6:$C$405,B83))</f>
        <v/>
      </c>
      <c r="N83" s="13">
        <f>IF(B83="","",IF(G83&lt;&gt;"",N(F83)*IF(H83="",M83,N(H83)),N(F83)))</f>
        <v/>
      </c>
      <c r="O83" s="13">
        <f>IF(B83="","",IF(AND(L83&lt;&gt;"",L83&lt;=TODAY()),0,N83/U83))</f>
        <v/>
      </c>
      <c r="P83" s="13">
        <f>IF(B83="","",O83*12)</f>
        <v/>
      </c>
      <c r="Q83" s="27">
        <f>IF(OR(B83="",J83=""),"",IF(AND(L83&lt;&gt;"",IF(J83&gt;=TODAY(),J83,IF(EDATE(J83,INT(DATEDIF(J83,TODAY(),"m")/U83)*U83)&gt;=TODAY(),EDATE(J83,INT(DATEDIF(J83,TODAY(),"m")/U83)*U83),EDATE(J83,INT(DATEDIF(J83,TODAY(),"m")/U83)*U83+U83)))&gt;=L83),"",IF(J83&gt;=TODAY(),J83,IF(EDATE(J83,INT(DATEDIF(J83,TODAY(),"m")/U83)*U83)&gt;=TODAY(),EDATE(J83,INT(DATEDIF(J83,TODAY(),"m")/U83)*U83),EDATE(J83,INT(DATEDIF(J83,TODAY(),"m")/U83)*U83+U83)))))</f>
        <v/>
      </c>
      <c r="R83" s="27">
        <f>IF(Q83="","",Q83-N(K83))</f>
        <v/>
      </c>
      <c r="S83" s="17">
        <f>IF(OR(B83="",G83="",H83="",AND(L83&lt;&gt;"",L83&lt;=TODAY())),"",MAX(0,N(H83)-N(M83)))</f>
        <v/>
      </c>
      <c r="T83" s="14">
        <f>IF(B83="","",IF(AND(L83&lt;&gt;"",L83&lt;=TODAY()),"Cancelled",IF(L83&lt;&gt;"","Ends "&amp;DAY(L83)&amp;" "&amp;CHOOSE(MONTH(L83),"Jan","Feb","Mar","Apr","May","Jun","Jul","Aug","Sep","Oct","Nov","Dec"),IF(AND(Q83&lt;&gt;"",W83&lt;&gt;"",W83&lt;Q83),"Card expires",IF(AND(Q83&lt;&gt;"",E83&lt;&gt;"Monthly",N(K83)&gt;0,R83&gt;=TODAY(),R83-TODAY()&lt;=N(Settings!$C$5)),"Cancel by "&amp;DAY(R83)&amp;" "&amp;CHOOSE(MONTH(R83),"Jan","Feb","Mar","Apr","May","Jun","Jul","Aug","Sep","Oct","Nov","Dec"),IF(AND(Q83&lt;&gt;"",E83&lt;&gt;"Monthly",Q83-TODAY()&lt;=N(Settings!$C$5)),"Renews "&amp;DAY(Q83)&amp;" "&amp;CHOOSE(MONTH(Q83),"Jan","Feb","Mar","Apr","May","Jun","Jul","Aug","Sep","Oct","Nov","Dec"),IF(N(S83)&gt;0,S83&amp;IF(S83=1," unused seat"," unused seats"),"Active")))))))</f>
        <v/>
      </c>
      <c r="U83" s="1">
        <f>IF(E83="Quarterly",3,IF(E83="Yearly",12,1))</f>
        <v/>
      </c>
      <c r="V83">
        <f>IF(Q83="","",Q83+ROW()/10000000)</f>
        <v/>
      </c>
      <c r="W83">
        <f>IFERROR(IF(INDEX(Cards!$D$6:$D$25,MATCH(I83,Cards!$B$6:$B$25,0))="","",INDEX(Cards!$D$6:$D$25,MATCH(I83,Cards!$B$6:$B$25,0))),"")</f>
        <v/>
      </c>
      <c r="X83">
        <f>IF(OR(T83="",T83="Active",T83="Cancelled"),"",ROW())</f>
        <v/>
      </c>
      <c r="Y83">
        <f>IF(N(S83)=0,0,S83*N(F83)*12/U83)</f>
        <v/>
      </c>
    </row>
    <row r="84">
      <c r="A84" s="1" t="n"/>
      <c r="B84" s="20" t="n"/>
      <c r="C84" s="21" t="n"/>
      <c r="D84" s="21" t="n"/>
      <c r="E84" s="22" t="n"/>
      <c r="F84" s="23" t="n"/>
      <c r="G84" s="22" t="n"/>
      <c r="H84" s="24" t="n"/>
      <c r="I84" s="21" t="n"/>
      <c r="J84" s="25" t="n"/>
      <c r="K84" s="24" t="n"/>
      <c r="L84" s="25" t="n"/>
      <c r="M84" s="26">
        <f>IF(B84="","",SUMIFS(Access!$G$6:$G$405,Access!$C$6:$C$405,B84))</f>
        <v/>
      </c>
      <c r="N84" s="13">
        <f>IF(B84="","",IF(G84&lt;&gt;"",N(F84)*IF(H84="",M84,N(H84)),N(F84)))</f>
        <v/>
      </c>
      <c r="O84" s="13">
        <f>IF(B84="","",IF(AND(L84&lt;&gt;"",L84&lt;=TODAY()),0,N84/U84))</f>
        <v/>
      </c>
      <c r="P84" s="13">
        <f>IF(B84="","",O84*12)</f>
        <v/>
      </c>
      <c r="Q84" s="27">
        <f>IF(OR(B84="",J84=""),"",IF(AND(L84&lt;&gt;"",IF(J84&gt;=TODAY(),J84,IF(EDATE(J84,INT(DATEDIF(J84,TODAY(),"m")/U84)*U84)&gt;=TODAY(),EDATE(J84,INT(DATEDIF(J84,TODAY(),"m")/U84)*U84),EDATE(J84,INT(DATEDIF(J84,TODAY(),"m")/U84)*U84+U84)))&gt;=L84),"",IF(J84&gt;=TODAY(),J84,IF(EDATE(J84,INT(DATEDIF(J84,TODAY(),"m")/U84)*U84)&gt;=TODAY(),EDATE(J84,INT(DATEDIF(J84,TODAY(),"m")/U84)*U84),EDATE(J84,INT(DATEDIF(J84,TODAY(),"m")/U84)*U84+U84)))))</f>
        <v/>
      </c>
      <c r="R84" s="27">
        <f>IF(Q84="","",Q84-N(K84))</f>
        <v/>
      </c>
      <c r="S84" s="17">
        <f>IF(OR(B84="",G84="",H84="",AND(L84&lt;&gt;"",L84&lt;=TODAY())),"",MAX(0,N(H84)-N(M84)))</f>
        <v/>
      </c>
      <c r="T84" s="14">
        <f>IF(B84="","",IF(AND(L84&lt;&gt;"",L84&lt;=TODAY()),"Cancelled",IF(L84&lt;&gt;"","Ends "&amp;DAY(L84)&amp;" "&amp;CHOOSE(MONTH(L84),"Jan","Feb","Mar","Apr","May","Jun","Jul","Aug","Sep","Oct","Nov","Dec"),IF(AND(Q84&lt;&gt;"",W84&lt;&gt;"",W84&lt;Q84),"Card expires",IF(AND(Q84&lt;&gt;"",E84&lt;&gt;"Monthly",N(K84)&gt;0,R84&gt;=TODAY(),R84-TODAY()&lt;=N(Settings!$C$5)),"Cancel by "&amp;DAY(R84)&amp;" "&amp;CHOOSE(MONTH(R84),"Jan","Feb","Mar","Apr","May","Jun","Jul","Aug","Sep","Oct","Nov","Dec"),IF(AND(Q84&lt;&gt;"",E84&lt;&gt;"Monthly",Q84-TODAY()&lt;=N(Settings!$C$5)),"Renews "&amp;DAY(Q84)&amp;" "&amp;CHOOSE(MONTH(Q84),"Jan","Feb","Mar","Apr","May","Jun","Jul","Aug","Sep","Oct","Nov","Dec"),IF(N(S84)&gt;0,S84&amp;IF(S84=1," unused seat"," unused seats"),"Active")))))))</f>
        <v/>
      </c>
      <c r="U84" s="1">
        <f>IF(E84="Quarterly",3,IF(E84="Yearly",12,1))</f>
        <v/>
      </c>
      <c r="V84">
        <f>IF(Q84="","",Q84+ROW()/10000000)</f>
        <v/>
      </c>
      <c r="W84">
        <f>IFERROR(IF(INDEX(Cards!$D$6:$D$25,MATCH(I84,Cards!$B$6:$B$25,0))="","",INDEX(Cards!$D$6:$D$25,MATCH(I84,Cards!$B$6:$B$25,0))),"")</f>
        <v/>
      </c>
      <c r="X84">
        <f>IF(OR(T84="",T84="Active",T84="Cancelled"),"",ROW())</f>
        <v/>
      </c>
      <c r="Y84">
        <f>IF(N(S84)=0,0,S84*N(F84)*12/U84)</f>
        <v/>
      </c>
    </row>
    <row r="85">
      <c r="A85" s="1" t="n"/>
      <c r="B85" s="20" t="n"/>
      <c r="C85" s="21" t="n"/>
      <c r="D85" s="21" t="n"/>
      <c r="E85" s="22" t="n"/>
      <c r="F85" s="23" t="n"/>
      <c r="G85" s="22" t="n"/>
      <c r="H85" s="24" t="n"/>
      <c r="I85" s="21" t="n"/>
      <c r="J85" s="25" t="n"/>
      <c r="K85" s="24" t="n"/>
      <c r="L85" s="25" t="n"/>
      <c r="M85" s="26">
        <f>IF(B85="","",SUMIFS(Access!$G$6:$G$405,Access!$C$6:$C$405,B85))</f>
        <v/>
      </c>
      <c r="N85" s="13">
        <f>IF(B85="","",IF(G85&lt;&gt;"",N(F85)*IF(H85="",M85,N(H85)),N(F85)))</f>
        <v/>
      </c>
      <c r="O85" s="13">
        <f>IF(B85="","",IF(AND(L85&lt;&gt;"",L85&lt;=TODAY()),0,N85/U85))</f>
        <v/>
      </c>
      <c r="P85" s="13">
        <f>IF(B85="","",O85*12)</f>
        <v/>
      </c>
      <c r="Q85" s="27">
        <f>IF(OR(B85="",J85=""),"",IF(AND(L85&lt;&gt;"",IF(J85&gt;=TODAY(),J85,IF(EDATE(J85,INT(DATEDIF(J85,TODAY(),"m")/U85)*U85)&gt;=TODAY(),EDATE(J85,INT(DATEDIF(J85,TODAY(),"m")/U85)*U85),EDATE(J85,INT(DATEDIF(J85,TODAY(),"m")/U85)*U85+U85)))&gt;=L85),"",IF(J85&gt;=TODAY(),J85,IF(EDATE(J85,INT(DATEDIF(J85,TODAY(),"m")/U85)*U85)&gt;=TODAY(),EDATE(J85,INT(DATEDIF(J85,TODAY(),"m")/U85)*U85),EDATE(J85,INT(DATEDIF(J85,TODAY(),"m")/U85)*U85+U85)))))</f>
        <v/>
      </c>
      <c r="R85" s="27">
        <f>IF(Q85="","",Q85-N(K85))</f>
        <v/>
      </c>
      <c r="S85" s="17">
        <f>IF(OR(B85="",G85="",H85="",AND(L85&lt;&gt;"",L85&lt;=TODAY())),"",MAX(0,N(H85)-N(M85)))</f>
        <v/>
      </c>
      <c r="T85" s="14">
        <f>IF(B85="","",IF(AND(L85&lt;&gt;"",L85&lt;=TODAY()),"Cancelled",IF(L85&lt;&gt;"","Ends "&amp;DAY(L85)&amp;" "&amp;CHOOSE(MONTH(L85),"Jan","Feb","Mar","Apr","May","Jun","Jul","Aug","Sep","Oct","Nov","Dec"),IF(AND(Q85&lt;&gt;"",W85&lt;&gt;"",W85&lt;Q85),"Card expires",IF(AND(Q85&lt;&gt;"",E85&lt;&gt;"Monthly",N(K85)&gt;0,R85&gt;=TODAY(),R85-TODAY()&lt;=N(Settings!$C$5)),"Cancel by "&amp;DAY(R85)&amp;" "&amp;CHOOSE(MONTH(R85),"Jan","Feb","Mar","Apr","May","Jun","Jul","Aug","Sep","Oct","Nov","Dec"),IF(AND(Q85&lt;&gt;"",E85&lt;&gt;"Monthly",Q85-TODAY()&lt;=N(Settings!$C$5)),"Renews "&amp;DAY(Q85)&amp;" "&amp;CHOOSE(MONTH(Q85),"Jan","Feb","Mar","Apr","May","Jun","Jul","Aug","Sep","Oct","Nov","Dec"),IF(N(S85)&gt;0,S85&amp;IF(S85=1," unused seat"," unused seats"),"Active")))))))</f>
        <v/>
      </c>
      <c r="U85" s="1">
        <f>IF(E85="Quarterly",3,IF(E85="Yearly",12,1))</f>
        <v/>
      </c>
      <c r="V85">
        <f>IF(Q85="","",Q85+ROW()/10000000)</f>
        <v/>
      </c>
      <c r="W85">
        <f>IFERROR(IF(INDEX(Cards!$D$6:$D$25,MATCH(I85,Cards!$B$6:$B$25,0))="","",INDEX(Cards!$D$6:$D$25,MATCH(I85,Cards!$B$6:$B$25,0))),"")</f>
        <v/>
      </c>
      <c r="X85">
        <f>IF(OR(T85="",T85="Active",T85="Cancelled"),"",ROW())</f>
        <v/>
      </c>
      <c r="Y85">
        <f>IF(N(S85)=0,0,S85*N(F85)*12/U85)</f>
        <v/>
      </c>
    </row>
    <row r="86">
      <c r="A86" s="1" t="n"/>
      <c r="B86" s="20" t="n"/>
      <c r="C86" s="21" t="n"/>
      <c r="D86" s="21" t="n"/>
      <c r="E86" s="22" t="n"/>
      <c r="F86" s="23" t="n"/>
      <c r="G86" s="22" t="n"/>
      <c r="H86" s="24" t="n"/>
      <c r="I86" s="21" t="n"/>
      <c r="J86" s="25" t="n"/>
      <c r="K86" s="24" t="n"/>
      <c r="L86" s="25" t="n"/>
      <c r="M86" s="26">
        <f>IF(B86="","",SUMIFS(Access!$G$6:$G$405,Access!$C$6:$C$405,B86))</f>
        <v/>
      </c>
      <c r="N86" s="13">
        <f>IF(B86="","",IF(G86&lt;&gt;"",N(F86)*IF(H86="",M86,N(H86)),N(F86)))</f>
        <v/>
      </c>
      <c r="O86" s="13">
        <f>IF(B86="","",IF(AND(L86&lt;&gt;"",L86&lt;=TODAY()),0,N86/U86))</f>
        <v/>
      </c>
      <c r="P86" s="13">
        <f>IF(B86="","",O86*12)</f>
        <v/>
      </c>
      <c r="Q86" s="27">
        <f>IF(OR(B86="",J86=""),"",IF(AND(L86&lt;&gt;"",IF(J86&gt;=TODAY(),J86,IF(EDATE(J86,INT(DATEDIF(J86,TODAY(),"m")/U86)*U86)&gt;=TODAY(),EDATE(J86,INT(DATEDIF(J86,TODAY(),"m")/U86)*U86),EDATE(J86,INT(DATEDIF(J86,TODAY(),"m")/U86)*U86+U86)))&gt;=L86),"",IF(J86&gt;=TODAY(),J86,IF(EDATE(J86,INT(DATEDIF(J86,TODAY(),"m")/U86)*U86)&gt;=TODAY(),EDATE(J86,INT(DATEDIF(J86,TODAY(),"m")/U86)*U86),EDATE(J86,INT(DATEDIF(J86,TODAY(),"m")/U86)*U86+U86)))))</f>
        <v/>
      </c>
      <c r="R86" s="27">
        <f>IF(Q86="","",Q86-N(K86))</f>
        <v/>
      </c>
      <c r="S86" s="17">
        <f>IF(OR(B86="",G86="",H86="",AND(L86&lt;&gt;"",L86&lt;=TODAY())),"",MAX(0,N(H86)-N(M86)))</f>
        <v/>
      </c>
      <c r="T86" s="14">
        <f>IF(B86="","",IF(AND(L86&lt;&gt;"",L86&lt;=TODAY()),"Cancelled",IF(L86&lt;&gt;"","Ends "&amp;DAY(L86)&amp;" "&amp;CHOOSE(MONTH(L86),"Jan","Feb","Mar","Apr","May","Jun","Jul","Aug","Sep","Oct","Nov","Dec"),IF(AND(Q86&lt;&gt;"",W86&lt;&gt;"",W86&lt;Q86),"Card expires",IF(AND(Q86&lt;&gt;"",E86&lt;&gt;"Monthly",N(K86)&gt;0,R86&gt;=TODAY(),R86-TODAY()&lt;=N(Settings!$C$5)),"Cancel by "&amp;DAY(R86)&amp;" "&amp;CHOOSE(MONTH(R86),"Jan","Feb","Mar","Apr","May","Jun","Jul","Aug","Sep","Oct","Nov","Dec"),IF(AND(Q86&lt;&gt;"",E86&lt;&gt;"Monthly",Q86-TODAY()&lt;=N(Settings!$C$5)),"Renews "&amp;DAY(Q86)&amp;" "&amp;CHOOSE(MONTH(Q86),"Jan","Feb","Mar","Apr","May","Jun","Jul","Aug","Sep","Oct","Nov","Dec"),IF(N(S86)&gt;0,S86&amp;IF(S86=1," unused seat"," unused seats"),"Active")))))))</f>
        <v/>
      </c>
      <c r="U86" s="1">
        <f>IF(E86="Quarterly",3,IF(E86="Yearly",12,1))</f>
        <v/>
      </c>
      <c r="V86">
        <f>IF(Q86="","",Q86+ROW()/10000000)</f>
        <v/>
      </c>
      <c r="W86">
        <f>IFERROR(IF(INDEX(Cards!$D$6:$D$25,MATCH(I86,Cards!$B$6:$B$25,0))="","",INDEX(Cards!$D$6:$D$25,MATCH(I86,Cards!$B$6:$B$25,0))),"")</f>
        <v/>
      </c>
      <c r="X86">
        <f>IF(OR(T86="",T86="Active",T86="Cancelled"),"",ROW())</f>
        <v/>
      </c>
      <c r="Y86">
        <f>IF(N(S86)=0,0,S86*N(F86)*12/U86)</f>
        <v/>
      </c>
    </row>
    <row r="87">
      <c r="A87" s="1" t="n"/>
      <c r="B87" s="20" t="n"/>
      <c r="C87" s="21" t="n"/>
      <c r="D87" s="21" t="n"/>
      <c r="E87" s="22" t="n"/>
      <c r="F87" s="23" t="n"/>
      <c r="G87" s="22" t="n"/>
      <c r="H87" s="24" t="n"/>
      <c r="I87" s="21" t="n"/>
      <c r="J87" s="25" t="n"/>
      <c r="K87" s="24" t="n"/>
      <c r="L87" s="25" t="n"/>
      <c r="M87" s="26">
        <f>IF(B87="","",SUMIFS(Access!$G$6:$G$405,Access!$C$6:$C$405,B87))</f>
        <v/>
      </c>
      <c r="N87" s="13">
        <f>IF(B87="","",IF(G87&lt;&gt;"",N(F87)*IF(H87="",M87,N(H87)),N(F87)))</f>
        <v/>
      </c>
      <c r="O87" s="13">
        <f>IF(B87="","",IF(AND(L87&lt;&gt;"",L87&lt;=TODAY()),0,N87/U87))</f>
        <v/>
      </c>
      <c r="P87" s="13">
        <f>IF(B87="","",O87*12)</f>
        <v/>
      </c>
      <c r="Q87" s="27">
        <f>IF(OR(B87="",J87=""),"",IF(AND(L87&lt;&gt;"",IF(J87&gt;=TODAY(),J87,IF(EDATE(J87,INT(DATEDIF(J87,TODAY(),"m")/U87)*U87)&gt;=TODAY(),EDATE(J87,INT(DATEDIF(J87,TODAY(),"m")/U87)*U87),EDATE(J87,INT(DATEDIF(J87,TODAY(),"m")/U87)*U87+U87)))&gt;=L87),"",IF(J87&gt;=TODAY(),J87,IF(EDATE(J87,INT(DATEDIF(J87,TODAY(),"m")/U87)*U87)&gt;=TODAY(),EDATE(J87,INT(DATEDIF(J87,TODAY(),"m")/U87)*U87),EDATE(J87,INT(DATEDIF(J87,TODAY(),"m")/U87)*U87+U87)))))</f>
        <v/>
      </c>
      <c r="R87" s="27">
        <f>IF(Q87="","",Q87-N(K87))</f>
        <v/>
      </c>
      <c r="S87" s="17">
        <f>IF(OR(B87="",G87="",H87="",AND(L87&lt;&gt;"",L87&lt;=TODAY())),"",MAX(0,N(H87)-N(M87)))</f>
        <v/>
      </c>
      <c r="T87" s="14">
        <f>IF(B87="","",IF(AND(L87&lt;&gt;"",L87&lt;=TODAY()),"Cancelled",IF(L87&lt;&gt;"","Ends "&amp;DAY(L87)&amp;" "&amp;CHOOSE(MONTH(L87),"Jan","Feb","Mar","Apr","May","Jun","Jul","Aug","Sep","Oct","Nov","Dec"),IF(AND(Q87&lt;&gt;"",W87&lt;&gt;"",W87&lt;Q87),"Card expires",IF(AND(Q87&lt;&gt;"",E87&lt;&gt;"Monthly",N(K87)&gt;0,R87&gt;=TODAY(),R87-TODAY()&lt;=N(Settings!$C$5)),"Cancel by "&amp;DAY(R87)&amp;" "&amp;CHOOSE(MONTH(R87),"Jan","Feb","Mar","Apr","May","Jun","Jul","Aug","Sep","Oct","Nov","Dec"),IF(AND(Q87&lt;&gt;"",E87&lt;&gt;"Monthly",Q87-TODAY()&lt;=N(Settings!$C$5)),"Renews "&amp;DAY(Q87)&amp;" "&amp;CHOOSE(MONTH(Q87),"Jan","Feb","Mar","Apr","May","Jun","Jul","Aug","Sep","Oct","Nov","Dec"),IF(N(S87)&gt;0,S87&amp;IF(S87=1," unused seat"," unused seats"),"Active")))))))</f>
        <v/>
      </c>
      <c r="U87" s="1">
        <f>IF(E87="Quarterly",3,IF(E87="Yearly",12,1))</f>
        <v/>
      </c>
      <c r="V87">
        <f>IF(Q87="","",Q87+ROW()/10000000)</f>
        <v/>
      </c>
      <c r="W87">
        <f>IFERROR(IF(INDEX(Cards!$D$6:$D$25,MATCH(I87,Cards!$B$6:$B$25,0))="","",INDEX(Cards!$D$6:$D$25,MATCH(I87,Cards!$B$6:$B$25,0))),"")</f>
        <v/>
      </c>
      <c r="X87">
        <f>IF(OR(T87="",T87="Active",T87="Cancelled"),"",ROW())</f>
        <v/>
      </c>
      <c r="Y87">
        <f>IF(N(S87)=0,0,S87*N(F87)*12/U87)</f>
        <v/>
      </c>
    </row>
    <row r="88">
      <c r="A88" s="1" t="n"/>
      <c r="B88" s="20" t="n"/>
      <c r="C88" s="21" t="n"/>
      <c r="D88" s="21" t="n"/>
      <c r="E88" s="22" t="n"/>
      <c r="F88" s="23" t="n"/>
      <c r="G88" s="22" t="n"/>
      <c r="H88" s="24" t="n"/>
      <c r="I88" s="21" t="n"/>
      <c r="J88" s="25" t="n"/>
      <c r="K88" s="24" t="n"/>
      <c r="L88" s="25" t="n"/>
      <c r="M88" s="26">
        <f>IF(B88="","",SUMIFS(Access!$G$6:$G$405,Access!$C$6:$C$405,B88))</f>
        <v/>
      </c>
      <c r="N88" s="13">
        <f>IF(B88="","",IF(G88&lt;&gt;"",N(F88)*IF(H88="",M88,N(H88)),N(F88)))</f>
        <v/>
      </c>
      <c r="O88" s="13">
        <f>IF(B88="","",IF(AND(L88&lt;&gt;"",L88&lt;=TODAY()),0,N88/U88))</f>
        <v/>
      </c>
      <c r="P88" s="13">
        <f>IF(B88="","",O88*12)</f>
        <v/>
      </c>
      <c r="Q88" s="27">
        <f>IF(OR(B88="",J88=""),"",IF(AND(L88&lt;&gt;"",IF(J88&gt;=TODAY(),J88,IF(EDATE(J88,INT(DATEDIF(J88,TODAY(),"m")/U88)*U88)&gt;=TODAY(),EDATE(J88,INT(DATEDIF(J88,TODAY(),"m")/U88)*U88),EDATE(J88,INT(DATEDIF(J88,TODAY(),"m")/U88)*U88+U88)))&gt;=L88),"",IF(J88&gt;=TODAY(),J88,IF(EDATE(J88,INT(DATEDIF(J88,TODAY(),"m")/U88)*U88)&gt;=TODAY(),EDATE(J88,INT(DATEDIF(J88,TODAY(),"m")/U88)*U88),EDATE(J88,INT(DATEDIF(J88,TODAY(),"m")/U88)*U88+U88)))))</f>
        <v/>
      </c>
      <c r="R88" s="27">
        <f>IF(Q88="","",Q88-N(K88))</f>
        <v/>
      </c>
      <c r="S88" s="17">
        <f>IF(OR(B88="",G88="",H88="",AND(L88&lt;&gt;"",L88&lt;=TODAY())),"",MAX(0,N(H88)-N(M88)))</f>
        <v/>
      </c>
      <c r="T88" s="14">
        <f>IF(B88="","",IF(AND(L88&lt;&gt;"",L88&lt;=TODAY()),"Cancelled",IF(L88&lt;&gt;"","Ends "&amp;DAY(L88)&amp;" "&amp;CHOOSE(MONTH(L88),"Jan","Feb","Mar","Apr","May","Jun","Jul","Aug","Sep","Oct","Nov","Dec"),IF(AND(Q88&lt;&gt;"",W88&lt;&gt;"",W88&lt;Q88),"Card expires",IF(AND(Q88&lt;&gt;"",E88&lt;&gt;"Monthly",N(K88)&gt;0,R88&gt;=TODAY(),R88-TODAY()&lt;=N(Settings!$C$5)),"Cancel by "&amp;DAY(R88)&amp;" "&amp;CHOOSE(MONTH(R88),"Jan","Feb","Mar","Apr","May","Jun","Jul","Aug","Sep","Oct","Nov","Dec"),IF(AND(Q88&lt;&gt;"",E88&lt;&gt;"Monthly",Q88-TODAY()&lt;=N(Settings!$C$5)),"Renews "&amp;DAY(Q88)&amp;" "&amp;CHOOSE(MONTH(Q88),"Jan","Feb","Mar","Apr","May","Jun","Jul","Aug","Sep","Oct","Nov","Dec"),IF(N(S88)&gt;0,S88&amp;IF(S88=1," unused seat"," unused seats"),"Active")))))))</f>
        <v/>
      </c>
      <c r="U88" s="1">
        <f>IF(E88="Quarterly",3,IF(E88="Yearly",12,1))</f>
        <v/>
      </c>
      <c r="V88">
        <f>IF(Q88="","",Q88+ROW()/10000000)</f>
        <v/>
      </c>
      <c r="W88">
        <f>IFERROR(IF(INDEX(Cards!$D$6:$D$25,MATCH(I88,Cards!$B$6:$B$25,0))="","",INDEX(Cards!$D$6:$D$25,MATCH(I88,Cards!$B$6:$B$25,0))),"")</f>
        <v/>
      </c>
      <c r="X88">
        <f>IF(OR(T88="",T88="Active",T88="Cancelled"),"",ROW())</f>
        <v/>
      </c>
      <c r="Y88">
        <f>IF(N(S88)=0,0,S88*N(F88)*12/U88)</f>
        <v/>
      </c>
    </row>
    <row r="89">
      <c r="A89" s="1" t="n"/>
      <c r="B89" s="20" t="n"/>
      <c r="C89" s="21" t="n"/>
      <c r="D89" s="21" t="n"/>
      <c r="E89" s="22" t="n"/>
      <c r="F89" s="23" t="n"/>
      <c r="G89" s="22" t="n"/>
      <c r="H89" s="24" t="n"/>
      <c r="I89" s="21" t="n"/>
      <c r="J89" s="25" t="n"/>
      <c r="K89" s="24" t="n"/>
      <c r="L89" s="25" t="n"/>
      <c r="M89" s="26">
        <f>IF(B89="","",SUMIFS(Access!$G$6:$G$405,Access!$C$6:$C$405,B89))</f>
        <v/>
      </c>
      <c r="N89" s="13">
        <f>IF(B89="","",IF(G89&lt;&gt;"",N(F89)*IF(H89="",M89,N(H89)),N(F89)))</f>
        <v/>
      </c>
      <c r="O89" s="13">
        <f>IF(B89="","",IF(AND(L89&lt;&gt;"",L89&lt;=TODAY()),0,N89/U89))</f>
        <v/>
      </c>
      <c r="P89" s="13">
        <f>IF(B89="","",O89*12)</f>
        <v/>
      </c>
      <c r="Q89" s="27">
        <f>IF(OR(B89="",J89=""),"",IF(AND(L89&lt;&gt;"",IF(J89&gt;=TODAY(),J89,IF(EDATE(J89,INT(DATEDIF(J89,TODAY(),"m")/U89)*U89)&gt;=TODAY(),EDATE(J89,INT(DATEDIF(J89,TODAY(),"m")/U89)*U89),EDATE(J89,INT(DATEDIF(J89,TODAY(),"m")/U89)*U89+U89)))&gt;=L89),"",IF(J89&gt;=TODAY(),J89,IF(EDATE(J89,INT(DATEDIF(J89,TODAY(),"m")/U89)*U89)&gt;=TODAY(),EDATE(J89,INT(DATEDIF(J89,TODAY(),"m")/U89)*U89),EDATE(J89,INT(DATEDIF(J89,TODAY(),"m")/U89)*U89+U89)))))</f>
        <v/>
      </c>
      <c r="R89" s="27">
        <f>IF(Q89="","",Q89-N(K89))</f>
        <v/>
      </c>
      <c r="S89" s="17">
        <f>IF(OR(B89="",G89="",H89="",AND(L89&lt;&gt;"",L89&lt;=TODAY())),"",MAX(0,N(H89)-N(M89)))</f>
        <v/>
      </c>
      <c r="T89" s="14">
        <f>IF(B89="","",IF(AND(L89&lt;&gt;"",L89&lt;=TODAY()),"Cancelled",IF(L89&lt;&gt;"","Ends "&amp;DAY(L89)&amp;" "&amp;CHOOSE(MONTH(L89),"Jan","Feb","Mar","Apr","May","Jun","Jul","Aug","Sep","Oct","Nov","Dec"),IF(AND(Q89&lt;&gt;"",W89&lt;&gt;"",W89&lt;Q89),"Card expires",IF(AND(Q89&lt;&gt;"",E89&lt;&gt;"Monthly",N(K89)&gt;0,R89&gt;=TODAY(),R89-TODAY()&lt;=N(Settings!$C$5)),"Cancel by "&amp;DAY(R89)&amp;" "&amp;CHOOSE(MONTH(R89),"Jan","Feb","Mar","Apr","May","Jun","Jul","Aug","Sep","Oct","Nov","Dec"),IF(AND(Q89&lt;&gt;"",E89&lt;&gt;"Monthly",Q89-TODAY()&lt;=N(Settings!$C$5)),"Renews "&amp;DAY(Q89)&amp;" "&amp;CHOOSE(MONTH(Q89),"Jan","Feb","Mar","Apr","May","Jun","Jul","Aug","Sep","Oct","Nov","Dec"),IF(N(S89)&gt;0,S89&amp;IF(S89=1," unused seat"," unused seats"),"Active")))))))</f>
        <v/>
      </c>
      <c r="U89" s="1">
        <f>IF(E89="Quarterly",3,IF(E89="Yearly",12,1))</f>
        <v/>
      </c>
      <c r="V89">
        <f>IF(Q89="","",Q89+ROW()/10000000)</f>
        <v/>
      </c>
      <c r="W89">
        <f>IFERROR(IF(INDEX(Cards!$D$6:$D$25,MATCH(I89,Cards!$B$6:$B$25,0))="","",INDEX(Cards!$D$6:$D$25,MATCH(I89,Cards!$B$6:$B$25,0))),"")</f>
        <v/>
      </c>
      <c r="X89">
        <f>IF(OR(T89="",T89="Active",T89="Cancelled"),"",ROW())</f>
        <v/>
      </c>
      <c r="Y89">
        <f>IF(N(S89)=0,0,S89*N(F89)*12/U89)</f>
        <v/>
      </c>
    </row>
    <row r="90">
      <c r="A90" s="1" t="n"/>
      <c r="B90" s="20" t="n"/>
      <c r="C90" s="21" t="n"/>
      <c r="D90" s="21" t="n"/>
      <c r="E90" s="22" t="n"/>
      <c r="F90" s="23" t="n"/>
      <c r="G90" s="22" t="n"/>
      <c r="H90" s="24" t="n"/>
      <c r="I90" s="21" t="n"/>
      <c r="J90" s="25" t="n"/>
      <c r="K90" s="24" t="n"/>
      <c r="L90" s="25" t="n"/>
      <c r="M90" s="26">
        <f>IF(B90="","",SUMIFS(Access!$G$6:$G$405,Access!$C$6:$C$405,B90))</f>
        <v/>
      </c>
      <c r="N90" s="13">
        <f>IF(B90="","",IF(G90&lt;&gt;"",N(F90)*IF(H90="",M90,N(H90)),N(F90)))</f>
        <v/>
      </c>
      <c r="O90" s="13">
        <f>IF(B90="","",IF(AND(L90&lt;&gt;"",L90&lt;=TODAY()),0,N90/U90))</f>
        <v/>
      </c>
      <c r="P90" s="13">
        <f>IF(B90="","",O90*12)</f>
        <v/>
      </c>
      <c r="Q90" s="27">
        <f>IF(OR(B90="",J90=""),"",IF(AND(L90&lt;&gt;"",IF(J90&gt;=TODAY(),J90,IF(EDATE(J90,INT(DATEDIF(J90,TODAY(),"m")/U90)*U90)&gt;=TODAY(),EDATE(J90,INT(DATEDIF(J90,TODAY(),"m")/U90)*U90),EDATE(J90,INT(DATEDIF(J90,TODAY(),"m")/U90)*U90+U90)))&gt;=L90),"",IF(J90&gt;=TODAY(),J90,IF(EDATE(J90,INT(DATEDIF(J90,TODAY(),"m")/U90)*U90)&gt;=TODAY(),EDATE(J90,INT(DATEDIF(J90,TODAY(),"m")/U90)*U90),EDATE(J90,INT(DATEDIF(J90,TODAY(),"m")/U90)*U90+U90)))))</f>
        <v/>
      </c>
      <c r="R90" s="27">
        <f>IF(Q90="","",Q90-N(K90))</f>
        <v/>
      </c>
      <c r="S90" s="17">
        <f>IF(OR(B90="",G90="",H90="",AND(L90&lt;&gt;"",L90&lt;=TODAY())),"",MAX(0,N(H90)-N(M90)))</f>
        <v/>
      </c>
      <c r="T90" s="14">
        <f>IF(B90="","",IF(AND(L90&lt;&gt;"",L90&lt;=TODAY()),"Cancelled",IF(L90&lt;&gt;"","Ends "&amp;DAY(L90)&amp;" "&amp;CHOOSE(MONTH(L90),"Jan","Feb","Mar","Apr","May","Jun","Jul","Aug","Sep","Oct","Nov","Dec"),IF(AND(Q90&lt;&gt;"",W90&lt;&gt;"",W90&lt;Q90),"Card expires",IF(AND(Q90&lt;&gt;"",E90&lt;&gt;"Monthly",N(K90)&gt;0,R90&gt;=TODAY(),R90-TODAY()&lt;=N(Settings!$C$5)),"Cancel by "&amp;DAY(R90)&amp;" "&amp;CHOOSE(MONTH(R90),"Jan","Feb","Mar","Apr","May","Jun","Jul","Aug","Sep","Oct","Nov","Dec"),IF(AND(Q90&lt;&gt;"",E90&lt;&gt;"Monthly",Q90-TODAY()&lt;=N(Settings!$C$5)),"Renews "&amp;DAY(Q90)&amp;" "&amp;CHOOSE(MONTH(Q90),"Jan","Feb","Mar","Apr","May","Jun","Jul","Aug","Sep","Oct","Nov","Dec"),IF(N(S90)&gt;0,S90&amp;IF(S90=1," unused seat"," unused seats"),"Active")))))))</f>
        <v/>
      </c>
      <c r="U90" s="1">
        <f>IF(E90="Quarterly",3,IF(E90="Yearly",12,1))</f>
        <v/>
      </c>
      <c r="V90">
        <f>IF(Q90="","",Q90+ROW()/10000000)</f>
        <v/>
      </c>
      <c r="W90">
        <f>IFERROR(IF(INDEX(Cards!$D$6:$D$25,MATCH(I90,Cards!$B$6:$B$25,0))="","",INDEX(Cards!$D$6:$D$25,MATCH(I90,Cards!$B$6:$B$25,0))),"")</f>
        <v/>
      </c>
      <c r="X90">
        <f>IF(OR(T90="",T90="Active",T90="Cancelled"),"",ROW())</f>
        <v/>
      </c>
      <c r="Y90">
        <f>IF(N(S90)=0,0,S90*N(F90)*12/U90)</f>
        <v/>
      </c>
    </row>
    <row r="91">
      <c r="A91" s="1" t="n"/>
      <c r="B91" s="20" t="n"/>
      <c r="C91" s="21" t="n"/>
      <c r="D91" s="21" t="n"/>
      <c r="E91" s="22" t="n"/>
      <c r="F91" s="23" t="n"/>
      <c r="G91" s="22" t="n"/>
      <c r="H91" s="24" t="n"/>
      <c r="I91" s="21" t="n"/>
      <c r="J91" s="25" t="n"/>
      <c r="K91" s="24" t="n"/>
      <c r="L91" s="25" t="n"/>
      <c r="M91" s="26">
        <f>IF(B91="","",SUMIFS(Access!$G$6:$G$405,Access!$C$6:$C$405,B91))</f>
        <v/>
      </c>
      <c r="N91" s="13">
        <f>IF(B91="","",IF(G91&lt;&gt;"",N(F91)*IF(H91="",M91,N(H91)),N(F91)))</f>
        <v/>
      </c>
      <c r="O91" s="13">
        <f>IF(B91="","",IF(AND(L91&lt;&gt;"",L91&lt;=TODAY()),0,N91/U91))</f>
        <v/>
      </c>
      <c r="P91" s="13">
        <f>IF(B91="","",O91*12)</f>
        <v/>
      </c>
      <c r="Q91" s="27">
        <f>IF(OR(B91="",J91=""),"",IF(AND(L91&lt;&gt;"",IF(J91&gt;=TODAY(),J91,IF(EDATE(J91,INT(DATEDIF(J91,TODAY(),"m")/U91)*U91)&gt;=TODAY(),EDATE(J91,INT(DATEDIF(J91,TODAY(),"m")/U91)*U91),EDATE(J91,INT(DATEDIF(J91,TODAY(),"m")/U91)*U91+U91)))&gt;=L91),"",IF(J91&gt;=TODAY(),J91,IF(EDATE(J91,INT(DATEDIF(J91,TODAY(),"m")/U91)*U91)&gt;=TODAY(),EDATE(J91,INT(DATEDIF(J91,TODAY(),"m")/U91)*U91),EDATE(J91,INT(DATEDIF(J91,TODAY(),"m")/U91)*U91+U91)))))</f>
        <v/>
      </c>
      <c r="R91" s="27">
        <f>IF(Q91="","",Q91-N(K91))</f>
        <v/>
      </c>
      <c r="S91" s="17">
        <f>IF(OR(B91="",G91="",H91="",AND(L91&lt;&gt;"",L91&lt;=TODAY())),"",MAX(0,N(H91)-N(M91)))</f>
        <v/>
      </c>
      <c r="T91" s="14">
        <f>IF(B91="","",IF(AND(L91&lt;&gt;"",L91&lt;=TODAY()),"Cancelled",IF(L91&lt;&gt;"","Ends "&amp;DAY(L91)&amp;" "&amp;CHOOSE(MONTH(L91),"Jan","Feb","Mar","Apr","May","Jun","Jul","Aug","Sep","Oct","Nov","Dec"),IF(AND(Q91&lt;&gt;"",W91&lt;&gt;"",W91&lt;Q91),"Card expires",IF(AND(Q91&lt;&gt;"",E91&lt;&gt;"Monthly",N(K91)&gt;0,R91&gt;=TODAY(),R91-TODAY()&lt;=N(Settings!$C$5)),"Cancel by "&amp;DAY(R91)&amp;" "&amp;CHOOSE(MONTH(R91),"Jan","Feb","Mar","Apr","May","Jun","Jul","Aug","Sep","Oct","Nov","Dec"),IF(AND(Q91&lt;&gt;"",E91&lt;&gt;"Monthly",Q91-TODAY()&lt;=N(Settings!$C$5)),"Renews "&amp;DAY(Q91)&amp;" "&amp;CHOOSE(MONTH(Q91),"Jan","Feb","Mar","Apr","May","Jun","Jul","Aug","Sep","Oct","Nov","Dec"),IF(N(S91)&gt;0,S91&amp;IF(S91=1," unused seat"," unused seats"),"Active")))))))</f>
        <v/>
      </c>
      <c r="U91" s="1">
        <f>IF(E91="Quarterly",3,IF(E91="Yearly",12,1))</f>
        <v/>
      </c>
      <c r="V91">
        <f>IF(Q91="","",Q91+ROW()/10000000)</f>
        <v/>
      </c>
      <c r="W91">
        <f>IFERROR(IF(INDEX(Cards!$D$6:$D$25,MATCH(I91,Cards!$B$6:$B$25,0))="","",INDEX(Cards!$D$6:$D$25,MATCH(I91,Cards!$B$6:$B$25,0))),"")</f>
        <v/>
      </c>
      <c r="X91">
        <f>IF(OR(T91="",T91="Active",T91="Cancelled"),"",ROW())</f>
        <v/>
      </c>
      <c r="Y91">
        <f>IF(N(S91)=0,0,S91*N(F91)*12/U91)</f>
        <v/>
      </c>
    </row>
    <row r="92">
      <c r="A92" s="1" t="n"/>
      <c r="B92" s="20" t="n"/>
      <c r="C92" s="21" t="n"/>
      <c r="D92" s="21" t="n"/>
      <c r="E92" s="22" t="n"/>
      <c r="F92" s="23" t="n"/>
      <c r="G92" s="22" t="n"/>
      <c r="H92" s="24" t="n"/>
      <c r="I92" s="21" t="n"/>
      <c r="J92" s="25" t="n"/>
      <c r="K92" s="24" t="n"/>
      <c r="L92" s="25" t="n"/>
      <c r="M92" s="26">
        <f>IF(B92="","",SUMIFS(Access!$G$6:$G$405,Access!$C$6:$C$405,B92))</f>
        <v/>
      </c>
      <c r="N92" s="13">
        <f>IF(B92="","",IF(G92&lt;&gt;"",N(F92)*IF(H92="",M92,N(H92)),N(F92)))</f>
        <v/>
      </c>
      <c r="O92" s="13">
        <f>IF(B92="","",IF(AND(L92&lt;&gt;"",L92&lt;=TODAY()),0,N92/U92))</f>
        <v/>
      </c>
      <c r="P92" s="13">
        <f>IF(B92="","",O92*12)</f>
        <v/>
      </c>
      <c r="Q92" s="27">
        <f>IF(OR(B92="",J92=""),"",IF(AND(L92&lt;&gt;"",IF(J92&gt;=TODAY(),J92,IF(EDATE(J92,INT(DATEDIF(J92,TODAY(),"m")/U92)*U92)&gt;=TODAY(),EDATE(J92,INT(DATEDIF(J92,TODAY(),"m")/U92)*U92),EDATE(J92,INT(DATEDIF(J92,TODAY(),"m")/U92)*U92+U92)))&gt;=L92),"",IF(J92&gt;=TODAY(),J92,IF(EDATE(J92,INT(DATEDIF(J92,TODAY(),"m")/U92)*U92)&gt;=TODAY(),EDATE(J92,INT(DATEDIF(J92,TODAY(),"m")/U92)*U92),EDATE(J92,INT(DATEDIF(J92,TODAY(),"m")/U92)*U92+U92)))))</f>
        <v/>
      </c>
      <c r="R92" s="27">
        <f>IF(Q92="","",Q92-N(K92))</f>
        <v/>
      </c>
      <c r="S92" s="17">
        <f>IF(OR(B92="",G92="",H92="",AND(L92&lt;&gt;"",L92&lt;=TODAY())),"",MAX(0,N(H92)-N(M92)))</f>
        <v/>
      </c>
      <c r="T92" s="14">
        <f>IF(B92="","",IF(AND(L92&lt;&gt;"",L92&lt;=TODAY()),"Cancelled",IF(L92&lt;&gt;"","Ends "&amp;DAY(L92)&amp;" "&amp;CHOOSE(MONTH(L92),"Jan","Feb","Mar","Apr","May","Jun","Jul","Aug","Sep","Oct","Nov","Dec"),IF(AND(Q92&lt;&gt;"",W92&lt;&gt;"",W92&lt;Q92),"Card expires",IF(AND(Q92&lt;&gt;"",E92&lt;&gt;"Monthly",N(K92)&gt;0,R92&gt;=TODAY(),R92-TODAY()&lt;=N(Settings!$C$5)),"Cancel by "&amp;DAY(R92)&amp;" "&amp;CHOOSE(MONTH(R92),"Jan","Feb","Mar","Apr","May","Jun","Jul","Aug","Sep","Oct","Nov","Dec"),IF(AND(Q92&lt;&gt;"",E92&lt;&gt;"Monthly",Q92-TODAY()&lt;=N(Settings!$C$5)),"Renews "&amp;DAY(Q92)&amp;" "&amp;CHOOSE(MONTH(Q92),"Jan","Feb","Mar","Apr","May","Jun","Jul","Aug","Sep","Oct","Nov","Dec"),IF(N(S92)&gt;0,S92&amp;IF(S92=1," unused seat"," unused seats"),"Active")))))))</f>
        <v/>
      </c>
      <c r="U92" s="1">
        <f>IF(E92="Quarterly",3,IF(E92="Yearly",12,1))</f>
        <v/>
      </c>
      <c r="V92">
        <f>IF(Q92="","",Q92+ROW()/10000000)</f>
        <v/>
      </c>
      <c r="W92">
        <f>IFERROR(IF(INDEX(Cards!$D$6:$D$25,MATCH(I92,Cards!$B$6:$B$25,0))="","",INDEX(Cards!$D$6:$D$25,MATCH(I92,Cards!$B$6:$B$25,0))),"")</f>
        <v/>
      </c>
      <c r="X92">
        <f>IF(OR(T92="",T92="Active",T92="Cancelled"),"",ROW())</f>
        <v/>
      </c>
      <c r="Y92">
        <f>IF(N(S92)=0,0,S92*N(F92)*12/U92)</f>
        <v/>
      </c>
    </row>
    <row r="93">
      <c r="A93" s="1" t="n"/>
      <c r="B93" s="20" t="n"/>
      <c r="C93" s="21" t="n"/>
      <c r="D93" s="21" t="n"/>
      <c r="E93" s="22" t="n"/>
      <c r="F93" s="23" t="n"/>
      <c r="G93" s="22" t="n"/>
      <c r="H93" s="24" t="n"/>
      <c r="I93" s="21" t="n"/>
      <c r="J93" s="25" t="n"/>
      <c r="K93" s="24" t="n"/>
      <c r="L93" s="25" t="n"/>
      <c r="M93" s="26">
        <f>IF(B93="","",SUMIFS(Access!$G$6:$G$405,Access!$C$6:$C$405,B93))</f>
        <v/>
      </c>
      <c r="N93" s="13">
        <f>IF(B93="","",IF(G93&lt;&gt;"",N(F93)*IF(H93="",M93,N(H93)),N(F93)))</f>
        <v/>
      </c>
      <c r="O93" s="13">
        <f>IF(B93="","",IF(AND(L93&lt;&gt;"",L93&lt;=TODAY()),0,N93/U93))</f>
        <v/>
      </c>
      <c r="P93" s="13">
        <f>IF(B93="","",O93*12)</f>
        <v/>
      </c>
      <c r="Q93" s="27">
        <f>IF(OR(B93="",J93=""),"",IF(AND(L93&lt;&gt;"",IF(J93&gt;=TODAY(),J93,IF(EDATE(J93,INT(DATEDIF(J93,TODAY(),"m")/U93)*U93)&gt;=TODAY(),EDATE(J93,INT(DATEDIF(J93,TODAY(),"m")/U93)*U93),EDATE(J93,INT(DATEDIF(J93,TODAY(),"m")/U93)*U93+U93)))&gt;=L93),"",IF(J93&gt;=TODAY(),J93,IF(EDATE(J93,INT(DATEDIF(J93,TODAY(),"m")/U93)*U93)&gt;=TODAY(),EDATE(J93,INT(DATEDIF(J93,TODAY(),"m")/U93)*U93),EDATE(J93,INT(DATEDIF(J93,TODAY(),"m")/U93)*U93+U93)))))</f>
        <v/>
      </c>
      <c r="R93" s="27">
        <f>IF(Q93="","",Q93-N(K93))</f>
        <v/>
      </c>
      <c r="S93" s="17">
        <f>IF(OR(B93="",G93="",H93="",AND(L93&lt;&gt;"",L93&lt;=TODAY())),"",MAX(0,N(H93)-N(M93)))</f>
        <v/>
      </c>
      <c r="T93" s="14">
        <f>IF(B93="","",IF(AND(L93&lt;&gt;"",L93&lt;=TODAY()),"Cancelled",IF(L93&lt;&gt;"","Ends "&amp;DAY(L93)&amp;" "&amp;CHOOSE(MONTH(L93),"Jan","Feb","Mar","Apr","May","Jun","Jul","Aug","Sep","Oct","Nov","Dec"),IF(AND(Q93&lt;&gt;"",W93&lt;&gt;"",W93&lt;Q93),"Card expires",IF(AND(Q93&lt;&gt;"",E93&lt;&gt;"Monthly",N(K93)&gt;0,R93&gt;=TODAY(),R93-TODAY()&lt;=N(Settings!$C$5)),"Cancel by "&amp;DAY(R93)&amp;" "&amp;CHOOSE(MONTH(R93),"Jan","Feb","Mar","Apr","May","Jun","Jul","Aug","Sep","Oct","Nov","Dec"),IF(AND(Q93&lt;&gt;"",E93&lt;&gt;"Monthly",Q93-TODAY()&lt;=N(Settings!$C$5)),"Renews "&amp;DAY(Q93)&amp;" "&amp;CHOOSE(MONTH(Q93),"Jan","Feb","Mar","Apr","May","Jun","Jul","Aug","Sep","Oct","Nov","Dec"),IF(N(S93)&gt;0,S93&amp;IF(S93=1," unused seat"," unused seats"),"Active")))))))</f>
        <v/>
      </c>
      <c r="U93" s="1">
        <f>IF(E93="Quarterly",3,IF(E93="Yearly",12,1))</f>
        <v/>
      </c>
      <c r="V93">
        <f>IF(Q93="","",Q93+ROW()/10000000)</f>
        <v/>
      </c>
      <c r="W93">
        <f>IFERROR(IF(INDEX(Cards!$D$6:$D$25,MATCH(I93,Cards!$B$6:$B$25,0))="","",INDEX(Cards!$D$6:$D$25,MATCH(I93,Cards!$B$6:$B$25,0))),"")</f>
        <v/>
      </c>
      <c r="X93">
        <f>IF(OR(T93="",T93="Active",T93="Cancelled"),"",ROW())</f>
        <v/>
      </c>
      <c r="Y93">
        <f>IF(N(S93)=0,0,S93*N(F93)*12/U93)</f>
        <v/>
      </c>
    </row>
    <row r="94">
      <c r="A94" s="1" t="n"/>
      <c r="B94" s="20" t="n"/>
      <c r="C94" s="21" t="n"/>
      <c r="D94" s="21" t="n"/>
      <c r="E94" s="22" t="n"/>
      <c r="F94" s="23" t="n"/>
      <c r="G94" s="22" t="n"/>
      <c r="H94" s="24" t="n"/>
      <c r="I94" s="21" t="n"/>
      <c r="J94" s="25" t="n"/>
      <c r="K94" s="24" t="n"/>
      <c r="L94" s="25" t="n"/>
      <c r="M94" s="26">
        <f>IF(B94="","",SUMIFS(Access!$G$6:$G$405,Access!$C$6:$C$405,B94))</f>
        <v/>
      </c>
      <c r="N94" s="13">
        <f>IF(B94="","",IF(G94&lt;&gt;"",N(F94)*IF(H94="",M94,N(H94)),N(F94)))</f>
        <v/>
      </c>
      <c r="O94" s="13">
        <f>IF(B94="","",IF(AND(L94&lt;&gt;"",L94&lt;=TODAY()),0,N94/U94))</f>
        <v/>
      </c>
      <c r="P94" s="13">
        <f>IF(B94="","",O94*12)</f>
        <v/>
      </c>
      <c r="Q94" s="27">
        <f>IF(OR(B94="",J94=""),"",IF(AND(L94&lt;&gt;"",IF(J94&gt;=TODAY(),J94,IF(EDATE(J94,INT(DATEDIF(J94,TODAY(),"m")/U94)*U94)&gt;=TODAY(),EDATE(J94,INT(DATEDIF(J94,TODAY(),"m")/U94)*U94),EDATE(J94,INT(DATEDIF(J94,TODAY(),"m")/U94)*U94+U94)))&gt;=L94),"",IF(J94&gt;=TODAY(),J94,IF(EDATE(J94,INT(DATEDIF(J94,TODAY(),"m")/U94)*U94)&gt;=TODAY(),EDATE(J94,INT(DATEDIF(J94,TODAY(),"m")/U94)*U94),EDATE(J94,INT(DATEDIF(J94,TODAY(),"m")/U94)*U94+U94)))))</f>
        <v/>
      </c>
      <c r="R94" s="27">
        <f>IF(Q94="","",Q94-N(K94))</f>
        <v/>
      </c>
      <c r="S94" s="17">
        <f>IF(OR(B94="",G94="",H94="",AND(L94&lt;&gt;"",L94&lt;=TODAY())),"",MAX(0,N(H94)-N(M94)))</f>
        <v/>
      </c>
      <c r="T94" s="14">
        <f>IF(B94="","",IF(AND(L94&lt;&gt;"",L94&lt;=TODAY()),"Cancelled",IF(L94&lt;&gt;"","Ends "&amp;DAY(L94)&amp;" "&amp;CHOOSE(MONTH(L94),"Jan","Feb","Mar","Apr","May","Jun","Jul","Aug","Sep","Oct","Nov","Dec"),IF(AND(Q94&lt;&gt;"",W94&lt;&gt;"",W94&lt;Q94),"Card expires",IF(AND(Q94&lt;&gt;"",E94&lt;&gt;"Monthly",N(K94)&gt;0,R94&gt;=TODAY(),R94-TODAY()&lt;=N(Settings!$C$5)),"Cancel by "&amp;DAY(R94)&amp;" "&amp;CHOOSE(MONTH(R94),"Jan","Feb","Mar","Apr","May","Jun","Jul","Aug","Sep","Oct","Nov","Dec"),IF(AND(Q94&lt;&gt;"",E94&lt;&gt;"Monthly",Q94-TODAY()&lt;=N(Settings!$C$5)),"Renews "&amp;DAY(Q94)&amp;" "&amp;CHOOSE(MONTH(Q94),"Jan","Feb","Mar","Apr","May","Jun","Jul","Aug","Sep","Oct","Nov","Dec"),IF(N(S94)&gt;0,S94&amp;IF(S94=1," unused seat"," unused seats"),"Active")))))))</f>
        <v/>
      </c>
      <c r="U94" s="1">
        <f>IF(E94="Quarterly",3,IF(E94="Yearly",12,1))</f>
        <v/>
      </c>
      <c r="V94">
        <f>IF(Q94="","",Q94+ROW()/10000000)</f>
        <v/>
      </c>
      <c r="W94">
        <f>IFERROR(IF(INDEX(Cards!$D$6:$D$25,MATCH(I94,Cards!$B$6:$B$25,0))="","",INDEX(Cards!$D$6:$D$25,MATCH(I94,Cards!$B$6:$B$25,0))),"")</f>
        <v/>
      </c>
      <c r="X94">
        <f>IF(OR(T94="",T94="Active",T94="Cancelled"),"",ROW())</f>
        <v/>
      </c>
      <c r="Y94">
        <f>IF(N(S94)=0,0,S94*N(F94)*12/U94)</f>
        <v/>
      </c>
    </row>
    <row r="95">
      <c r="A95" s="1" t="n"/>
      <c r="B95" s="20" t="n"/>
      <c r="C95" s="21" t="n"/>
      <c r="D95" s="21" t="n"/>
      <c r="E95" s="22" t="n"/>
      <c r="F95" s="23" t="n"/>
      <c r="G95" s="22" t="n"/>
      <c r="H95" s="24" t="n"/>
      <c r="I95" s="21" t="n"/>
      <c r="J95" s="25" t="n"/>
      <c r="K95" s="24" t="n"/>
      <c r="L95" s="25" t="n"/>
      <c r="M95" s="26">
        <f>IF(B95="","",SUMIFS(Access!$G$6:$G$405,Access!$C$6:$C$405,B95))</f>
        <v/>
      </c>
      <c r="N95" s="13">
        <f>IF(B95="","",IF(G95&lt;&gt;"",N(F95)*IF(H95="",M95,N(H95)),N(F95)))</f>
        <v/>
      </c>
      <c r="O95" s="13">
        <f>IF(B95="","",IF(AND(L95&lt;&gt;"",L95&lt;=TODAY()),0,N95/U95))</f>
        <v/>
      </c>
      <c r="P95" s="13">
        <f>IF(B95="","",O95*12)</f>
        <v/>
      </c>
      <c r="Q95" s="27">
        <f>IF(OR(B95="",J95=""),"",IF(AND(L95&lt;&gt;"",IF(J95&gt;=TODAY(),J95,IF(EDATE(J95,INT(DATEDIF(J95,TODAY(),"m")/U95)*U95)&gt;=TODAY(),EDATE(J95,INT(DATEDIF(J95,TODAY(),"m")/U95)*U95),EDATE(J95,INT(DATEDIF(J95,TODAY(),"m")/U95)*U95+U95)))&gt;=L95),"",IF(J95&gt;=TODAY(),J95,IF(EDATE(J95,INT(DATEDIF(J95,TODAY(),"m")/U95)*U95)&gt;=TODAY(),EDATE(J95,INT(DATEDIF(J95,TODAY(),"m")/U95)*U95),EDATE(J95,INT(DATEDIF(J95,TODAY(),"m")/U95)*U95+U95)))))</f>
        <v/>
      </c>
      <c r="R95" s="27">
        <f>IF(Q95="","",Q95-N(K95))</f>
        <v/>
      </c>
      <c r="S95" s="17">
        <f>IF(OR(B95="",G95="",H95="",AND(L95&lt;&gt;"",L95&lt;=TODAY())),"",MAX(0,N(H95)-N(M95)))</f>
        <v/>
      </c>
      <c r="T95" s="14">
        <f>IF(B95="","",IF(AND(L95&lt;&gt;"",L95&lt;=TODAY()),"Cancelled",IF(L95&lt;&gt;"","Ends "&amp;DAY(L95)&amp;" "&amp;CHOOSE(MONTH(L95),"Jan","Feb","Mar","Apr","May","Jun","Jul","Aug","Sep","Oct","Nov","Dec"),IF(AND(Q95&lt;&gt;"",W95&lt;&gt;"",W95&lt;Q95),"Card expires",IF(AND(Q95&lt;&gt;"",E95&lt;&gt;"Monthly",N(K95)&gt;0,R95&gt;=TODAY(),R95-TODAY()&lt;=N(Settings!$C$5)),"Cancel by "&amp;DAY(R95)&amp;" "&amp;CHOOSE(MONTH(R95),"Jan","Feb","Mar","Apr","May","Jun","Jul","Aug","Sep","Oct","Nov","Dec"),IF(AND(Q95&lt;&gt;"",E95&lt;&gt;"Monthly",Q95-TODAY()&lt;=N(Settings!$C$5)),"Renews "&amp;DAY(Q95)&amp;" "&amp;CHOOSE(MONTH(Q95),"Jan","Feb","Mar","Apr","May","Jun","Jul","Aug","Sep","Oct","Nov","Dec"),IF(N(S95)&gt;0,S95&amp;IF(S95=1," unused seat"," unused seats"),"Active")))))))</f>
        <v/>
      </c>
      <c r="U95" s="1">
        <f>IF(E95="Quarterly",3,IF(E95="Yearly",12,1))</f>
        <v/>
      </c>
      <c r="V95">
        <f>IF(Q95="","",Q95+ROW()/10000000)</f>
        <v/>
      </c>
      <c r="W95">
        <f>IFERROR(IF(INDEX(Cards!$D$6:$D$25,MATCH(I95,Cards!$B$6:$B$25,0))="","",INDEX(Cards!$D$6:$D$25,MATCH(I95,Cards!$B$6:$B$25,0))),"")</f>
        <v/>
      </c>
      <c r="X95">
        <f>IF(OR(T95="",T95="Active",T95="Cancelled"),"",ROW())</f>
        <v/>
      </c>
      <c r="Y95">
        <f>IF(N(S95)=0,0,S95*N(F95)*12/U95)</f>
        <v/>
      </c>
    </row>
    <row r="96">
      <c r="A96" s="1" t="n"/>
      <c r="B96" s="20" t="n"/>
      <c r="C96" s="21" t="n"/>
      <c r="D96" s="21" t="n"/>
      <c r="E96" s="22" t="n"/>
      <c r="F96" s="23" t="n"/>
      <c r="G96" s="22" t="n"/>
      <c r="H96" s="24" t="n"/>
      <c r="I96" s="21" t="n"/>
      <c r="J96" s="25" t="n"/>
      <c r="K96" s="24" t="n"/>
      <c r="L96" s="25" t="n"/>
      <c r="M96" s="26">
        <f>IF(B96="","",SUMIFS(Access!$G$6:$G$405,Access!$C$6:$C$405,B96))</f>
        <v/>
      </c>
      <c r="N96" s="13">
        <f>IF(B96="","",IF(G96&lt;&gt;"",N(F96)*IF(H96="",M96,N(H96)),N(F96)))</f>
        <v/>
      </c>
      <c r="O96" s="13">
        <f>IF(B96="","",IF(AND(L96&lt;&gt;"",L96&lt;=TODAY()),0,N96/U96))</f>
        <v/>
      </c>
      <c r="P96" s="13">
        <f>IF(B96="","",O96*12)</f>
        <v/>
      </c>
      <c r="Q96" s="27">
        <f>IF(OR(B96="",J96=""),"",IF(AND(L96&lt;&gt;"",IF(J96&gt;=TODAY(),J96,IF(EDATE(J96,INT(DATEDIF(J96,TODAY(),"m")/U96)*U96)&gt;=TODAY(),EDATE(J96,INT(DATEDIF(J96,TODAY(),"m")/U96)*U96),EDATE(J96,INT(DATEDIF(J96,TODAY(),"m")/U96)*U96+U96)))&gt;=L96),"",IF(J96&gt;=TODAY(),J96,IF(EDATE(J96,INT(DATEDIF(J96,TODAY(),"m")/U96)*U96)&gt;=TODAY(),EDATE(J96,INT(DATEDIF(J96,TODAY(),"m")/U96)*U96),EDATE(J96,INT(DATEDIF(J96,TODAY(),"m")/U96)*U96+U96)))))</f>
        <v/>
      </c>
      <c r="R96" s="27">
        <f>IF(Q96="","",Q96-N(K96))</f>
        <v/>
      </c>
      <c r="S96" s="17">
        <f>IF(OR(B96="",G96="",H96="",AND(L96&lt;&gt;"",L96&lt;=TODAY())),"",MAX(0,N(H96)-N(M96)))</f>
        <v/>
      </c>
      <c r="T96" s="14">
        <f>IF(B96="","",IF(AND(L96&lt;&gt;"",L96&lt;=TODAY()),"Cancelled",IF(L96&lt;&gt;"","Ends "&amp;DAY(L96)&amp;" "&amp;CHOOSE(MONTH(L96),"Jan","Feb","Mar","Apr","May","Jun","Jul","Aug","Sep","Oct","Nov","Dec"),IF(AND(Q96&lt;&gt;"",W96&lt;&gt;"",W96&lt;Q96),"Card expires",IF(AND(Q96&lt;&gt;"",E96&lt;&gt;"Monthly",N(K96)&gt;0,R96&gt;=TODAY(),R96-TODAY()&lt;=N(Settings!$C$5)),"Cancel by "&amp;DAY(R96)&amp;" "&amp;CHOOSE(MONTH(R96),"Jan","Feb","Mar","Apr","May","Jun","Jul","Aug","Sep","Oct","Nov","Dec"),IF(AND(Q96&lt;&gt;"",E96&lt;&gt;"Monthly",Q96-TODAY()&lt;=N(Settings!$C$5)),"Renews "&amp;DAY(Q96)&amp;" "&amp;CHOOSE(MONTH(Q96),"Jan","Feb","Mar","Apr","May","Jun","Jul","Aug","Sep","Oct","Nov","Dec"),IF(N(S96)&gt;0,S96&amp;IF(S96=1," unused seat"," unused seats"),"Active")))))))</f>
        <v/>
      </c>
      <c r="U96" s="1">
        <f>IF(E96="Quarterly",3,IF(E96="Yearly",12,1))</f>
        <v/>
      </c>
      <c r="V96">
        <f>IF(Q96="","",Q96+ROW()/10000000)</f>
        <v/>
      </c>
      <c r="W96">
        <f>IFERROR(IF(INDEX(Cards!$D$6:$D$25,MATCH(I96,Cards!$B$6:$B$25,0))="","",INDEX(Cards!$D$6:$D$25,MATCH(I96,Cards!$B$6:$B$25,0))),"")</f>
        <v/>
      </c>
      <c r="X96">
        <f>IF(OR(T96="",T96="Active",T96="Cancelled"),"",ROW())</f>
        <v/>
      </c>
      <c r="Y96">
        <f>IF(N(S96)=0,0,S96*N(F96)*12/U96)</f>
        <v/>
      </c>
    </row>
    <row r="97">
      <c r="A97" s="1" t="n"/>
      <c r="B97" s="20" t="n"/>
      <c r="C97" s="21" t="n"/>
      <c r="D97" s="21" t="n"/>
      <c r="E97" s="22" t="n"/>
      <c r="F97" s="23" t="n"/>
      <c r="G97" s="22" t="n"/>
      <c r="H97" s="24" t="n"/>
      <c r="I97" s="21" t="n"/>
      <c r="J97" s="25" t="n"/>
      <c r="K97" s="24" t="n"/>
      <c r="L97" s="25" t="n"/>
      <c r="M97" s="26">
        <f>IF(B97="","",SUMIFS(Access!$G$6:$G$405,Access!$C$6:$C$405,B97))</f>
        <v/>
      </c>
      <c r="N97" s="13">
        <f>IF(B97="","",IF(G97&lt;&gt;"",N(F97)*IF(H97="",M97,N(H97)),N(F97)))</f>
        <v/>
      </c>
      <c r="O97" s="13">
        <f>IF(B97="","",IF(AND(L97&lt;&gt;"",L97&lt;=TODAY()),0,N97/U97))</f>
        <v/>
      </c>
      <c r="P97" s="13">
        <f>IF(B97="","",O97*12)</f>
        <v/>
      </c>
      <c r="Q97" s="27">
        <f>IF(OR(B97="",J97=""),"",IF(AND(L97&lt;&gt;"",IF(J97&gt;=TODAY(),J97,IF(EDATE(J97,INT(DATEDIF(J97,TODAY(),"m")/U97)*U97)&gt;=TODAY(),EDATE(J97,INT(DATEDIF(J97,TODAY(),"m")/U97)*U97),EDATE(J97,INT(DATEDIF(J97,TODAY(),"m")/U97)*U97+U97)))&gt;=L97),"",IF(J97&gt;=TODAY(),J97,IF(EDATE(J97,INT(DATEDIF(J97,TODAY(),"m")/U97)*U97)&gt;=TODAY(),EDATE(J97,INT(DATEDIF(J97,TODAY(),"m")/U97)*U97),EDATE(J97,INT(DATEDIF(J97,TODAY(),"m")/U97)*U97+U97)))))</f>
        <v/>
      </c>
      <c r="R97" s="27">
        <f>IF(Q97="","",Q97-N(K97))</f>
        <v/>
      </c>
      <c r="S97" s="17">
        <f>IF(OR(B97="",G97="",H97="",AND(L97&lt;&gt;"",L97&lt;=TODAY())),"",MAX(0,N(H97)-N(M97)))</f>
        <v/>
      </c>
      <c r="T97" s="14">
        <f>IF(B97="","",IF(AND(L97&lt;&gt;"",L97&lt;=TODAY()),"Cancelled",IF(L97&lt;&gt;"","Ends "&amp;DAY(L97)&amp;" "&amp;CHOOSE(MONTH(L97),"Jan","Feb","Mar","Apr","May","Jun","Jul","Aug","Sep","Oct","Nov","Dec"),IF(AND(Q97&lt;&gt;"",W97&lt;&gt;"",W97&lt;Q97),"Card expires",IF(AND(Q97&lt;&gt;"",E97&lt;&gt;"Monthly",N(K97)&gt;0,R97&gt;=TODAY(),R97-TODAY()&lt;=N(Settings!$C$5)),"Cancel by "&amp;DAY(R97)&amp;" "&amp;CHOOSE(MONTH(R97),"Jan","Feb","Mar","Apr","May","Jun","Jul","Aug","Sep","Oct","Nov","Dec"),IF(AND(Q97&lt;&gt;"",E97&lt;&gt;"Monthly",Q97-TODAY()&lt;=N(Settings!$C$5)),"Renews "&amp;DAY(Q97)&amp;" "&amp;CHOOSE(MONTH(Q97),"Jan","Feb","Mar","Apr","May","Jun","Jul","Aug","Sep","Oct","Nov","Dec"),IF(N(S97)&gt;0,S97&amp;IF(S97=1," unused seat"," unused seats"),"Active")))))))</f>
        <v/>
      </c>
      <c r="U97" s="1">
        <f>IF(E97="Quarterly",3,IF(E97="Yearly",12,1))</f>
        <v/>
      </c>
      <c r="V97">
        <f>IF(Q97="","",Q97+ROW()/10000000)</f>
        <v/>
      </c>
      <c r="W97">
        <f>IFERROR(IF(INDEX(Cards!$D$6:$D$25,MATCH(I97,Cards!$B$6:$B$25,0))="","",INDEX(Cards!$D$6:$D$25,MATCH(I97,Cards!$B$6:$B$25,0))),"")</f>
        <v/>
      </c>
      <c r="X97">
        <f>IF(OR(T97="",T97="Active",T97="Cancelled"),"",ROW())</f>
        <v/>
      </c>
      <c r="Y97">
        <f>IF(N(S97)=0,0,S97*N(F97)*12/U97)</f>
        <v/>
      </c>
    </row>
    <row r="98">
      <c r="A98" s="1" t="n"/>
      <c r="B98" s="20" t="n"/>
      <c r="C98" s="21" t="n"/>
      <c r="D98" s="21" t="n"/>
      <c r="E98" s="22" t="n"/>
      <c r="F98" s="23" t="n"/>
      <c r="G98" s="22" t="n"/>
      <c r="H98" s="24" t="n"/>
      <c r="I98" s="21" t="n"/>
      <c r="J98" s="25" t="n"/>
      <c r="K98" s="24" t="n"/>
      <c r="L98" s="25" t="n"/>
      <c r="M98" s="26">
        <f>IF(B98="","",SUMIFS(Access!$G$6:$G$405,Access!$C$6:$C$405,B98))</f>
        <v/>
      </c>
      <c r="N98" s="13">
        <f>IF(B98="","",IF(G98&lt;&gt;"",N(F98)*IF(H98="",M98,N(H98)),N(F98)))</f>
        <v/>
      </c>
      <c r="O98" s="13">
        <f>IF(B98="","",IF(AND(L98&lt;&gt;"",L98&lt;=TODAY()),0,N98/U98))</f>
        <v/>
      </c>
      <c r="P98" s="13">
        <f>IF(B98="","",O98*12)</f>
        <v/>
      </c>
      <c r="Q98" s="27">
        <f>IF(OR(B98="",J98=""),"",IF(AND(L98&lt;&gt;"",IF(J98&gt;=TODAY(),J98,IF(EDATE(J98,INT(DATEDIF(J98,TODAY(),"m")/U98)*U98)&gt;=TODAY(),EDATE(J98,INT(DATEDIF(J98,TODAY(),"m")/U98)*U98),EDATE(J98,INT(DATEDIF(J98,TODAY(),"m")/U98)*U98+U98)))&gt;=L98),"",IF(J98&gt;=TODAY(),J98,IF(EDATE(J98,INT(DATEDIF(J98,TODAY(),"m")/U98)*U98)&gt;=TODAY(),EDATE(J98,INT(DATEDIF(J98,TODAY(),"m")/U98)*U98),EDATE(J98,INT(DATEDIF(J98,TODAY(),"m")/U98)*U98+U98)))))</f>
        <v/>
      </c>
      <c r="R98" s="27">
        <f>IF(Q98="","",Q98-N(K98))</f>
        <v/>
      </c>
      <c r="S98" s="17">
        <f>IF(OR(B98="",G98="",H98="",AND(L98&lt;&gt;"",L98&lt;=TODAY())),"",MAX(0,N(H98)-N(M98)))</f>
        <v/>
      </c>
      <c r="T98" s="14">
        <f>IF(B98="","",IF(AND(L98&lt;&gt;"",L98&lt;=TODAY()),"Cancelled",IF(L98&lt;&gt;"","Ends "&amp;DAY(L98)&amp;" "&amp;CHOOSE(MONTH(L98),"Jan","Feb","Mar","Apr","May","Jun","Jul","Aug","Sep","Oct","Nov","Dec"),IF(AND(Q98&lt;&gt;"",W98&lt;&gt;"",W98&lt;Q98),"Card expires",IF(AND(Q98&lt;&gt;"",E98&lt;&gt;"Monthly",N(K98)&gt;0,R98&gt;=TODAY(),R98-TODAY()&lt;=N(Settings!$C$5)),"Cancel by "&amp;DAY(R98)&amp;" "&amp;CHOOSE(MONTH(R98),"Jan","Feb","Mar","Apr","May","Jun","Jul","Aug","Sep","Oct","Nov","Dec"),IF(AND(Q98&lt;&gt;"",E98&lt;&gt;"Monthly",Q98-TODAY()&lt;=N(Settings!$C$5)),"Renews "&amp;DAY(Q98)&amp;" "&amp;CHOOSE(MONTH(Q98),"Jan","Feb","Mar","Apr","May","Jun","Jul","Aug","Sep","Oct","Nov","Dec"),IF(N(S98)&gt;0,S98&amp;IF(S98=1," unused seat"," unused seats"),"Active")))))))</f>
        <v/>
      </c>
      <c r="U98" s="1">
        <f>IF(E98="Quarterly",3,IF(E98="Yearly",12,1))</f>
        <v/>
      </c>
      <c r="V98">
        <f>IF(Q98="","",Q98+ROW()/10000000)</f>
        <v/>
      </c>
      <c r="W98">
        <f>IFERROR(IF(INDEX(Cards!$D$6:$D$25,MATCH(I98,Cards!$B$6:$B$25,0))="","",INDEX(Cards!$D$6:$D$25,MATCH(I98,Cards!$B$6:$B$25,0))),"")</f>
        <v/>
      </c>
      <c r="X98">
        <f>IF(OR(T98="",T98="Active",T98="Cancelled"),"",ROW())</f>
        <v/>
      </c>
      <c r="Y98">
        <f>IF(N(S98)=0,0,S98*N(F98)*12/U98)</f>
        <v/>
      </c>
    </row>
    <row r="99">
      <c r="A99" s="1" t="n"/>
      <c r="B99" s="20" t="n"/>
      <c r="C99" s="21" t="n"/>
      <c r="D99" s="21" t="n"/>
      <c r="E99" s="22" t="n"/>
      <c r="F99" s="23" t="n"/>
      <c r="G99" s="22" t="n"/>
      <c r="H99" s="24" t="n"/>
      <c r="I99" s="21" t="n"/>
      <c r="J99" s="25" t="n"/>
      <c r="K99" s="24" t="n"/>
      <c r="L99" s="25" t="n"/>
      <c r="M99" s="26">
        <f>IF(B99="","",SUMIFS(Access!$G$6:$G$405,Access!$C$6:$C$405,B99))</f>
        <v/>
      </c>
      <c r="N99" s="13">
        <f>IF(B99="","",IF(G99&lt;&gt;"",N(F99)*IF(H99="",M99,N(H99)),N(F99)))</f>
        <v/>
      </c>
      <c r="O99" s="13">
        <f>IF(B99="","",IF(AND(L99&lt;&gt;"",L99&lt;=TODAY()),0,N99/U99))</f>
        <v/>
      </c>
      <c r="P99" s="13">
        <f>IF(B99="","",O99*12)</f>
        <v/>
      </c>
      <c r="Q99" s="27">
        <f>IF(OR(B99="",J99=""),"",IF(AND(L99&lt;&gt;"",IF(J99&gt;=TODAY(),J99,IF(EDATE(J99,INT(DATEDIF(J99,TODAY(),"m")/U99)*U99)&gt;=TODAY(),EDATE(J99,INT(DATEDIF(J99,TODAY(),"m")/U99)*U99),EDATE(J99,INT(DATEDIF(J99,TODAY(),"m")/U99)*U99+U99)))&gt;=L99),"",IF(J99&gt;=TODAY(),J99,IF(EDATE(J99,INT(DATEDIF(J99,TODAY(),"m")/U99)*U99)&gt;=TODAY(),EDATE(J99,INT(DATEDIF(J99,TODAY(),"m")/U99)*U99),EDATE(J99,INT(DATEDIF(J99,TODAY(),"m")/U99)*U99+U99)))))</f>
        <v/>
      </c>
      <c r="R99" s="27">
        <f>IF(Q99="","",Q99-N(K99))</f>
        <v/>
      </c>
      <c r="S99" s="17">
        <f>IF(OR(B99="",G99="",H99="",AND(L99&lt;&gt;"",L99&lt;=TODAY())),"",MAX(0,N(H99)-N(M99)))</f>
        <v/>
      </c>
      <c r="T99" s="14">
        <f>IF(B99="","",IF(AND(L99&lt;&gt;"",L99&lt;=TODAY()),"Cancelled",IF(L99&lt;&gt;"","Ends "&amp;DAY(L99)&amp;" "&amp;CHOOSE(MONTH(L99),"Jan","Feb","Mar","Apr","May","Jun","Jul","Aug","Sep","Oct","Nov","Dec"),IF(AND(Q99&lt;&gt;"",W99&lt;&gt;"",W99&lt;Q99),"Card expires",IF(AND(Q99&lt;&gt;"",E99&lt;&gt;"Monthly",N(K99)&gt;0,R99&gt;=TODAY(),R99-TODAY()&lt;=N(Settings!$C$5)),"Cancel by "&amp;DAY(R99)&amp;" "&amp;CHOOSE(MONTH(R99),"Jan","Feb","Mar","Apr","May","Jun","Jul","Aug","Sep","Oct","Nov","Dec"),IF(AND(Q99&lt;&gt;"",E99&lt;&gt;"Monthly",Q99-TODAY()&lt;=N(Settings!$C$5)),"Renews "&amp;DAY(Q99)&amp;" "&amp;CHOOSE(MONTH(Q99),"Jan","Feb","Mar","Apr","May","Jun","Jul","Aug","Sep","Oct","Nov","Dec"),IF(N(S99)&gt;0,S99&amp;IF(S99=1," unused seat"," unused seats"),"Active")))))))</f>
        <v/>
      </c>
      <c r="U99" s="1">
        <f>IF(E99="Quarterly",3,IF(E99="Yearly",12,1))</f>
        <v/>
      </c>
      <c r="V99">
        <f>IF(Q99="","",Q99+ROW()/10000000)</f>
        <v/>
      </c>
      <c r="W99">
        <f>IFERROR(IF(INDEX(Cards!$D$6:$D$25,MATCH(I99,Cards!$B$6:$B$25,0))="","",INDEX(Cards!$D$6:$D$25,MATCH(I99,Cards!$B$6:$B$25,0))),"")</f>
        <v/>
      </c>
      <c r="X99">
        <f>IF(OR(T99="",T99="Active",T99="Cancelled"),"",ROW())</f>
        <v/>
      </c>
      <c r="Y99">
        <f>IF(N(S99)=0,0,S99*N(F99)*12/U99)</f>
        <v/>
      </c>
    </row>
    <row r="100">
      <c r="A100" s="1" t="n"/>
      <c r="B100" s="20" t="n"/>
      <c r="C100" s="21" t="n"/>
      <c r="D100" s="21" t="n"/>
      <c r="E100" s="22" t="n"/>
      <c r="F100" s="23" t="n"/>
      <c r="G100" s="22" t="n"/>
      <c r="H100" s="24" t="n"/>
      <c r="I100" s="21" t="n"/>
      <c r="J100" s="25" t="n"/>
      <c r="K100" s="24" t="n"/>
      <c r="L100" s="25" t="n"/>
      <c r="M100" s="26">
        <f>IF(B100="","",SUMIFS(Access!$G$6:$G$405,Access!$C$6:$C$405,B100))</f>
        <v/>
      </c>
      <c r="N100" s="13">
        <f>IF(B100="","",IF(G100&lt;&gt;"",N(F100)*IF(H100="",M100,N(H100)),N(F100)))</f>
        <v/>
      </c>
      <c r="O100" s="13">
        <f>IF(B100="","",IF(AND(L100&lt;&gt;"",L100&lt;=TODAY()),0,N100/U100))</f>
        <v/>
      </c>
      <c r="P100" s="13">
        <f>IF(B100="","",O100*12)</f>
        <v/>
      </c>
      <c r="Q100" s="27">
        <f>IF(OR(B100="",J100=""),"",IF(AND(L100&lt;&gt;"",IF(J100&gt;=TODAY(),J100,IF(EDATE(J100,INT(DATEDIF(J100,TODAY(),"m")/U100)*U100)&gt;=TODAY(),EDATE(J100,INT(DATEDIF(J100,TODAY(),"m")/U100)*U100),EDATE(J100,INT(DATEDIF(J100,TODAY(),"m")/U100)*U100+U100)))&gt;=L100),"",IF(J100&gt;=TODAY(),J100,IF(EDATE(J100,INT(DATEDIF(J100,TODAY(),"m")/U100)*U100)&gt;=TODAY(),EDATE(J100,INT(DATEDIF(J100,TODAY(),"m")/U100)*U100),EDATE(J100,INT(DATEDIF(J100,TODAY(),"m")/U100)*U100+U100)))))</f>
        <v/>
      </c>
      <c r="R100" s="27">
        <f>IF(Q100="","",Q100-N(K100))</f>
        <v/>
      </c>
      <c r="S100" s="17">
        <f>IF(OR(B100="",G100="",H100="",AND(L100&lt;&gt;"",L100&lt;=TODAY())),"",MAX(0,N(H100)-N(M100)))</f>
        <v/>
      </c>
      <c r="T100" s="14">
        <f>IF(B100="","",IF(AND(L100&lt;&gt;"",L100&lt;=TODAY()),"Cancelled",IF(L100&lt;&gt;"","Ends "&amp;DAY(L100)&amp;" "&amp;CHOOSE(MONTH(L100),"Jan","Feb","Mar","Apr","May","Jun","Jul","Aug","Sep","Oct","Nov","Dec"),IF(AND(Q100&lt;&gt;"",W100&lt;&gt;"",W100&lt;Q100),"Card expires",IF(AND(Q100&lt;&gt;"",E100&lt;&gt;"Monthly",N(K100)&gt;0,R100&gt;=TODAY(),R100-TODAY()&lt;=N(Settings!$C$5)),"Cancel by "&amp;DAY(R100)&amp;" "&amp;CHOOSE(MONTH(R100),"Jan","Feb","Mar","Apr","May","Jun","Jul","Aug","Sep","Oct","Nov","Dec"),IF(AND(Q100&lt;&gt;"",E100&lt;&gt;"Monthly",Q100-TODAY()&lt;=N(Settings!$C$5)),"Renews "&amp;DAY(Q100)&amp;" "&amp;CHOOSE(MONTH(Q100),"Jan","Feb","Mar","Apr","May","Jun","Jul","Aug","Sep","Oct","Nov","Dec"),IF(N(S100)&gt;0,S100&amp;IF(S100=1," unused seat"," unused seats"),"Active")))))))</f>
        <v/>
      </c>
      <c r="U100" s="1">
        <f>IF(E100="Quarterly",3,IF(E100="Yearly",12,1))</f>
        <v/>
      </c>
      <c r="V100">
        <f>IF(Q100="","",Q100+ROW()/10000000)</f>
        <v/>
      </c>
      <c r="W100">
        <f>IFERROR(IF(INDEX(Cards!$D$6:$D$25,MATCH(I100,Cards!$B$6:$B$25,0))="","",INDEX(Cards!$D$6:$D$25,MATCH(I100,Cards!$B$6:$B$25,0))),"")</f>
        <v/>
      </c>
      <c r="X100">
        <f>IF(OR(T100="",T100="Active",T100="Cancelled"),"",ROW())</f>
        <v/>
      </c>
      <c r="Y100">
        <f>IF(N(S100)=0,0,S100*N(F100)*12/U100)</f>
        <v/>
      </c>
    </row>
    <row r="101">
      <c r="A101" s="1" t="n"/>
      <c r="B101" s="20" t="n"/>
      <c r="C101" s="21" t="n"/>
      <c r="D101" s="21" t="n"/>
      <c r="E101" s="22" t="n"/>
      <c r="F101" s="23" t="n"/>
      <c r="G101" s="22" t="n"/>
      <c r="H101" s="24" t="n"/>
      <c r="I101" s="21" t="n"/>
      <c r="J101" s="25" t="n"/>
      <c r="K101" s="24" t="n"/>
      <c r="L101" s="25" t="n"/>
      <c r="M101" s="26">
        <f>IF(B101="","",SUMIFS(Access!$G$6:$G$405,Access!$C$6:$C$405,B101))</f>
        <v/>
      </c>
      <c r="N101" s="13">
        <f>IF(B101="","",IF(G101&lt;&gt;"",N(F101)*IF(H101="",M101,N(H101)),N(F101)))</f>
        <v/>
      </c>
      <c r="O101" s="13">
        <f>IF(B101="","",IF(AND(L101&lt;&gt;"",L101&lt;=TODAY()),0,N101/U101))</f>
        <v/>
      </c>
      <c r="P101" s="13">
        <f>IF(B101="","",O101*12)</f>
        <v/>
      </c>
      <c r="Q101" s="27">
        <f>IF(OR(B101="",J101=""),"",IF(AND(L101&lt;&gt;"",IF(J101&gt;=TODAY(),J101,IF(EDATE(J101,INT(DATEDIF(J101,TODAY(),"m")/U101)*U101)&gt;=TODAY(),EDATE(J101,INT(DATEDIF(J101,TODAY(),"m")/U101)*U101),EDATE(J101,INT(DATEDIF(J101,TODAY(),"m")/U101)*U101+U101)))&gt;=L101),"",IF(J101&gt;=TODAY(),J101,IF(EDATE(J101,INT(DATEDIF(J101,TODAY(),"m")/U101)*U101)&gt;=TODAY(),EDATE(J101,INT(DATEDIF(J101,TODAY(),"m")/U101)*U101),EDATE(J101,INT(DATEDIF(J101,TODAY(),"m")/U101)*U101+U101)))))</f>
        <v/>
      </c>
      <c r="R101" s="27">
        <f>IF(Q101="","",Q101-N(K101))</f>
        <v/>
      </c>
      <c r="S101" s="17">
        <f>IF(OR(B101="",G101="",H101="",AND(L101&lt;&gt;"",L101&lt;=TODAY())),"",MAX(0,N(H101)-N(M101)))</f>
        <v/>
      </c>
      <c r="T101" s="14">
        <f>IF(B101="","",IF(AND(L101&lt;&gt;"",L101&lt;=TODAY()),"Cancelled",IF(L101&lt;&gt;"","Ends "&amp;DAY(L101)&amp;" "&amp;CHOOSE(MONTH(L101),"Jan","Feb","Mar","Apr","May","Jun","Jul","Aug","Sep","Oct","Nov","Dec"),IF(AND(Q101&lt;&gt;"",W101&lt;&gt;"",W101&lt;Q101),"Card expires",IF(AND(Q101&lt;&gt;"",E101&lt;&gt;"Monthly",N(K101)&gt;0,R101&gt;=TODAY(),R101-TODAY()&lt;=N(Settings!$C$5)),"Cancel by "&amp;DAY(R101)&amp;" "&amp;CHOOSE(MONTH(R101),"Jan","Feb","Mar","Apr","May","Jun","Jul","Aug","Sep","Oct","Nov","Dec"),IF(AND(Q101&lt;&gt;"",E101&lt;&gt;"Monthly",Q101-TODAY()&lt;=N(Settings!$C$5)),"Renews "&amp;DAY(Q101)&amp;" "&amp;CHOOSE(MONTH(Q101),"Jan","Feb","Mar","Apr","May","Jun","Jul","Aug","Sep","Oct","Nov","Dec"),IF(N(S101)&gt;0,S101&amp;IF(S101=1," unused seat"," unused seats"),"Active")))))))</f>
        <v/>
      </c>
      <c r="U101" s="1">
        <f>IF(E101="Quarterly",3,IF(E101="Yearly",12,1))</f>
        <v/>
      </c>
      <c r="V101">
        <f>IF(Q101="","",Q101+ROW()/10000000)</f>
        <v/>
      </c>
      <c r="W101">
        <f>IFERROR(IF(INDEX(Cards!$D$6:$D$25,MATCH(I101,Cards!$B$6:$B$25,0))="","",INDEX(Cards!$D$6:$D$25,MATCH(I101,Cards!$B$6:$B$25,0))),"")</f>
        <v/>
      </c>
      <c r="X101">
        <f>IF(OR(T101="",T101="Active",T101="Cancelled"),"",ROW())</f>
        <v/>
      </c>
      <c r="Y101">
        <f>IF(N(S101)=0,0,S101*N(F101)*12/U101)</f>
        <v/>
      </c>
    </row>
    <row r="102">
      <c r="A102" s="1" t="n"/>
      <c r="B102" s="20" t="n"/>
      <c r="C102" s="21" t="n"/>
      <c r="D102" s="21" t="n"/>
      <c r="E102" s="22" t="n"/>
      <c r="F102" s="23" t="n"/>
      <c r="G102" s="22" t="n"/>
      <c r="H102" s="24" t="n"/>
      <c r="I102" s="21" t="n"/>
      <c r="J102" s="25" t="n"/>
      <c r="K102" s="24" t="n"/>
      <c r="L102" s="25" t="n"/>
      <c r="M102" s="26">
        <f>IF(B102="","",SUMIFS(Access!$G$6:$G$405,Access!$C$6:$C$405,B102))</f>
        <v/>
      </c>
      <c r="N102" s="13">
        <f>IF(B102="","",IF(G102&lt;&gt;"",N(F102)*IF(H102="",M102,N(H102)),N(F102)))</f>
        <v/>
      </c>
      <c r="O102" s="13">
        <f>IF(B102="","",IF(AND(L102&lt;&gt;"",L102&lt;=TODAY()),0,N102/U102))</f>
        <v/>
      </c>
      <c r="P102" s="13">
        <f>IF(B102="","",O102*12)</f>
        <v/>
      </c>
      <c r="Q102" s="27">
        <f>IF(OR(B102="",J102=""),"",IF(AND(L102&lt;&gt;"",IF(J102&gt;=TODAY(),J102,IF(EDATE(J102,INT(DATEDIF(J102,TODAY(),"m")/U102)*U102)&gt;=TODAY(),EDATE(J102,INT(DATEDIF(J102,TODAY(),"m")/U102)*U102),EDATE(J102,INT(DATEDIF(J102,TODAY(),"m")/U102)*U102+U102)))&gt;=L102),"",IF(J102&gt;=TODAY(),J102,IF(EDATE(J102,INT(DATEDIF(J102,TODAY(),"m")/U102)*U102)&gt;=TODAY(),EDATE(J102,INT(DATEDIF(J102,TODAY(),"m")/U102)*U102),EDATE(J102,INT(DATEDIF(J102,TODAY(),"m")/U102)*U102+U102)))))</f>
        <v/>
      </c>
      <c r="R102" s="27">
        <f>IF(Q102="","",Q102-N(K102))</f>
        <v/>
      </c>
      <c r="S102" s="17">
        <f>IF(OR(B102="",G102="",H102="",AND(L102&lt;&gt;"",L102&lt;=TODAY())),"",MAX(0,N(H102)-N(M102)))</f>
        <v/>
      </c>
      <c r="T102" s="14">
        <f>IF(B102="","",IF(AND(L102&lt;&gt;"",L102&lt;=TODAY()),"Cancelled",IF(L102&lt;&gt;"","Ends "&amp;DAY(L102)&amp;" "&amp;CHOOSE(MONTH(L102),"Jan","Feb","Mar","Apr","May","Jun","Jul","Aug","Sep","Oct","Nov","Dec"),IF(AND(Q102&lt;&gt;"",W102&lt;&gt;"",W102&lt;Q102),"Card expires",IF(AND(Q102&lt;&gt;"",E102&lt;&gt;"Monthly",N(K102)&gt;0,R102&gt;=TODAY(),R102-TODAY()&lt;=N(Settings!$C$5)),"Cancel by "&amp;DAY(R102)&amp;" "&amp;CHOOSE(MONTH(R102),"Jan","Feb","Mar","Apr","May","Jun","Jul","Aug","Sep","Oct","Nov","Dec"),IF(AND(Q102&lt;&gt;"",E102&lt;&gt;"Monthly",Q102-TODAY()&lt;=N(Settings!$C$5)),"Renews "&amp;DAY(Q102)&amp;" "&amp;CHOOSE(MONTH(Q102),"Jan","Feb","Mar","Apr","May","Jun","Jul","Aug","Sep","Oct","Nov","Dec"),IF(N(S102)&gt;0,S102&amp;IF(S102=1," unused seat"," unused seats"),"Active")))))))</f>
        <v/>
      </c>
      <c r="U102" s="1">
        <f>IF(E102="Quarterly",3,IF(E102="Yearly",12,1))</f>
        <v/>
      </c>
      <c r="V102">
        <f>IF(Q102="","",Q102+ROW()/10000000)</f>
        <v/>
      </c>
      <c r="W102">
        <f>IFERROR(IF(INDEX(Cards!$D$6:$D$25,MATCH(I102,Cards!$B$6:$B$25,0))="","",INDEX(Cards!$D$6:$D$25,MATCH(I102,Cards!$B$6:$B$25,0))),"")</f>
        <v/>
      </c>
      <c r="X102">
        <f>IF(OR(T102="",T102="Active",T102="Cancelled"),"",ROW())</f>
        <v/>
      </c>
      <c r="Y102">
        <f>IF(N(S102)=0,0,S102*N(F102)*12/U102)</f>
        <v/>
      </c>
    </row>
    <row r="103">
      <c r="A103" s="1" t="n"/>
      <c r="B103" s="20" t="n"/>
      <c r="C103" s="21" t="n"/>
      <c r="D103" s="21" t="n"/>
      <c r="E103" s="22" t="n"/>
      <c r="F103" s="23" t="n"/>
      <c r="G103" s="22" t="n"/>
      <c r="H103" s="24" t="n"/>
      <c r="I103" s="21" t="n"/>
      <c r="J103" s="25" t="n"/>
      <c r="K103" s="24" t="n"/>
      <c r="L103" s="25" t="n"/>
      <c r="M103" s="26">
        <f>IF(B103="","",SUMIFS(Access!$G$6:$G$405,Access!$C$6:$C$405,B103))</f>
        <v/>
      </c>
      <c r="N103" s="13">
        <f>IF(B103="","",IF(G103&lt;&gt;"",N(F103)*IF(H103="",M103,N(H103)),N(F103)))</f>
        <v/>
      </c>
      <c r="O103" s="13">
        <f>IF(B103="","",IF(AND(L103&lt;&gt;"",L103&lt;=TODAY()),0,N103/U103))</f>
        <v/>
      </c>
      <c r="P103" s="13">
        <f>IF(B103="","",O103*12)</f>
        <v/>
      </c>
      <c r="Q103" s="27">
        <f>IF(OR(B103="",J103=""),"",IF(AND(L103&lt;&gt;"",IF(J103&gt;=TODAY(),J103,IF(EDATE(J103,INT(DATEDIF(J103,TODAY(),"m")/U103)*U103)&gt;=TODAY(),EDATE(J103,INT(DATEDIF(J103,TODAY(),"m")/U103)*U103),EDATE(J103,INT(DATEDIF(J103,TODAY(),"m")/U103)*U103+U103)))&gt;=L103),"",IF(J103&gt;=TODAY(),J103,IF(EDATE(J103,INT(DATEDIF(J103,TODAY(),"m")/U103)*U103)&gt;=TODAY(),EDATE(J103,INT(DATEDIF(J103,TODAY(),"m")/U103)*U103),EDATE(J103,INT(DATEDIF(J103,TODAY(),"m")/U103)*U103+U103)))))</f>
        <v/>
      </c>
      <c r="R103" s="27">
        <f>IF(Q103="","",Q103-N(K103))</f>
        <v/>
      </c>
      <c r="S103" s="17">
        <f>IF(OR(B103="",G103="",H103="",AND(L103&lt;&gt;"",L103&lt;=TODAY())),"",MAX(0,N(H103)-N(M103)))</f>
        <v/>
      </c>
      <c r="T103" s="14">
        <f>IF(B103="","",IF(AND(L103&lt;&gt;"",L103&lt;=TODAY()),"Cancelled",IF(L103&lt;&gt;"","Ends "&amp;DAY(L103)&amp;" "&amp;CHOOSE(MONTH(L103),"Jan","Feb","Mar","Apr","May","Jun","Jul","Aug","Sep","Oct","Nov","Dec"),IF(AND(Q103&lt;&gt;"",W103&lt;&gt;"",W103&lt;Q103),"Card expires",IF(AND(Q103&lt;&gt;"",E103&lt;&gt;"Monthly",N(K103)&gt;0,R103&gt;=TODAY(),R103-TODAY()&lt;=N(Settings!$C$5)),"Cancel by "&amp;DAY(R103)&amp;" "&amp;CHOOSE(MONTH(R103),"Jan","Feb","Mar","Apr","May","Jun","Jul","Aug","Sep","Oct","Nov","Dec"),IF(AND(Q103&lt;&gt;"",E103&lt;&gt;"Monthly",Q103-TODAY()&lt;=N(Settings!$C$5)),"Renews "&amp;DAY(Q103)&amp;" "&amp;CHOOSE(MONTH(Q103),"Jan","Feb","Mar","Apr","May","Jun","Jul","Aug","Sep","Oct","Nov","Dec"),IF(N(S103)&gt;0,S103&amp;IF(S103=1," unused seat"," unused seats"),"Active")))))))</f>
        <v/>
      </c>
      <c r="U103" s="1">
        <f>IF(E103="Quarterly",3,IF(E103="Yearly",12,1))</f>
        <v/>
      </c>
      <c r="V103">
        <f>IF(Q103="","",Q103+ROW()/10000000)</f>
        <v/>
      </c>
      <c r="W103">
        <f>IFERROR(IF(INDEX(Cards!$D$6:$D$25,MATCH(I103,Cards!$B$6:$B$25,0))="","",INDEX(Cards!$D$6:$D$25,MATCH(I103,Cards!$B$6:$B$25,0))),"")</f>
        <v/>
      </c>
      <c r="X103">
        <f>IF(OR(T103="",T103="Active",T103="Cancelled"),"",ROW())</f>
        <v/>
      </c>
      <c r="Y103">
        <f>IF(N(S103)=0,0,S103*N(F103)*12/U103)</f>
        <v/>
      </c>
    </row>
    <row r="104">
      <c r="A104" s="1" t="n"/>
      <c r="B104" s="20" t="n"/>
      <c r="C104" s="21" t="n"/>
      <c r="D104" s="21" t="n"/>
      <c r="E104" s="22" t="n"/>
      <c r="F104" s="23" t="n"/>
      <c r="G104" s="22" t="n"/>
      <c r="H104" s="24" t="n"/>
      <c r="I104" s="21" t="n"/>
      <c r="J104" s="25" t="n"/>
      <c r="K104" s="24" t="n"/>
      <c r="L104" s="25" t="n"/>
      <c r="M104" s="26">
        <f>IF(B104="","",SUMIFS(Access!$G$6:$G$405,Access!$C$6:$C$405,B104))</f>
        <v/>
      </c>
      <c r="N104" s="13">
        <f>IF(B104="","",IF(G104&lt;&gt;"",N(F104)*IF(H104="",M104,N(H104)),N(F104)))</f>
        <v/>
      </c>
      <c r="O104" s="13">
        <f>IF(B104="","",IF(AND(L104&lt;&gt;"",L104&lt;=TODAY()),0,N104/U104))</f>
        <v/>
      </c>
      <c r="P104" s="13">
        <f>IF(B104="","",O104*12)</f>
        <v/>
      </c>
      <c r="Q104" s="27">
        <f>IF(OR(B104="",J104=""),"",IF(AND(L104&lt;&gt;"",IF(J104&gt;=TODAY(),J104,IF(EDATE(J104,INT(DATEDIF(J104,TODAY(),"m")/U104)*U104)&gt;=TODAY(),EDATE(J104,INT(DATEDIF(J104,TODAY(),"m")/U104)*U104),EDATE(J104,INT(DATEDIF(J104,TODAY(),"m")/U104)*U104+U104)))&gt;=L104),"",IF(J104&gt;=TODAY(),J104,IF(EDATE(J104,INT(DATEDIF(J104,TODAY(),"m")/U104)*U104)&gt;=TODAY(),EDATE(J104,INT(DATEDIF(J104,TODAY(),"m")/U104)*U104),EDATE(J104,INT(DATEDIF(J104,TODAY(),"m")/U104)*U104+U104)))))</f>
        <v/>
      </c>
      <c r="R104" s="27">
        <f>IF(Q104="","",Q104-N(K104))</f>
        <v/>
      </c>
      <c r="S104" s="17">
        <f>IF(OR(B104="",G104="",H104="",AND(L104&lt;&gt;"",L104&lt;=TODAY())),"",MAX(0,N(H104)-N(M104)))</f>
        <v/>
      </c>
      <c r="T104" s="14">
        <f>IF(B104="","",IF(AND(L104&lt;&gt;"",L104&lt;=TODAY()),"Cancelled",IF(L104&lt;&gt;"","Ends "&amp;DAY(L104)&amp;" "&amp;CHOOSE(MONTH(L104),"Jan","Feb","Mar","Apr","May","Jun","Jul","Aug","Sep","Oct","Nov","Dec"),IF(AND(Q104&lt;&gt;"",W104&lt;&gt;"",W104&lt;Q104),"Card expires",IF(AND(Q104&lt;&gt;"",E104&lt;&gt;"Monthly",N(K104)&gt;0,R104&gt;=TODAY(),R104-TODAY()&lt;=N(Settings!$C$5)),"Cancel by "&amp;DAY(R104)&amp;" "&amp;CHOOSE(MONTH(R104),"Jan","Feb","Mar","Apr","May","Jun","Jul","Aug","Sep","Oct","Nov","Dec"),IF(AND(Q104&lt;&gt;"",E104&lt;&gt;"Monthly",Q104-TODAY()&lt;=N(Settings!$C$5)),"Renews "&amp;DAY(Q104)&amp;" "&amp;CHOOSE(MONTH(Q104),"Jan","Feb","Mar","Apr","May","Jun","Jul","Aug","Sep","Oct","Nov","Dec"),IF(N(S104)&gt;0,S104&amp;IF(S104=1," unused seat"," unused seats"),"Active")))))))</f>
        <v/>
      </c>
      <c r="U104" s="1">
        <f>IF(E104="Quarterly",3,IF(E104="Yearly",12,1))</f>
        <v/>
      </c>
      <c r="V104">
        <f>IF(Q104="","",Q104+ROW()/10000000)</f>
        <v/>
      </c>
      <c r="W104">
        <f>IFERROR(IF(INDEX(Cards!$D$6:$D$25,MATCH(I104,Cards!$B$6:$B$25,0))="","",INDEX(Cards!$D$6:$D$25,MATCH(I104,Cards!$B$6:$B$25,0))),"")</f>
        <v/>
      </c>
      <c r="X104">
        <f>IF(OR(T104="",T104="Active",T104="Cancelled"),"",ROW())</f>
        <v/>
      </c>
      <c r="Y104">
        <f>IF(N(S104)=0,0,S104*N(F104)*12/U104)</f>
        <v/>
      </c>
    </row>
    <row r="105">
      <c r="A105" s="1" t="n"/>
      <c r="B105" s="20" t="n"/>
      <c r="C105" s="21" t="n"/>
      <c r="D105" s="21" t="n"/>
      <c r="E105" s="22" t="n"/>
      <c r="F105" s="23" t="n"/>
      <c r="G105" s="22" t="n"/>
      <c r="H105" s="24" t="n"/>
      <c r="I105" s="21" t="n"/>
      <c r="J105" s="25" t="n"/>
      <c r="K105" s="24" t="n"/>
      <c r="L105" s="25" t="n"/>
      <c r="M105" s="26">
        <f>IF(B105="","",SUMIFS(Access!$G$6:$G$405,Access!$C$6:$C$405,B105))</f>
        <v/>
      </c>
      <c r="N105" s="13">
        <f>IF(B105="","",IF(G105&lt;&gt;"",N(F105)*IF(H105="",M105,N(H105)),N(F105)))</f>
        <v/>
      </c>
      <c r="O105" s="13">
        <f>IF(B105="","",IF(AND(L105&lt;&gt;"",L105&lt;=TODAY()),0,N105/U105))</f>
        <v/>
      </c>
      <c r="P105" s="13">
        <f>IF(B105="","",O105*12)</f>
        <v/>
      </c>
      <c r="Q105" s="27">
        <f>IF(OR(B105="",J105=""),"",IF(AND(L105&lt;&gt;"",IF(J105&gt;=TODAY(),J105,IF(EDATE(J105,INT(DATEDIF(J105,TODAY(),"m")/U105)*U105)&gt;=TODAY(),EDATE(J105,INT(DATEDIF(J105,TODAY(),"m")/U105)*U105),EDATE(J105,INT(DATEDIF(J105,TODAY(),"m")/U105)*U105+U105)))&gt;=L105),"",IF(J105&gt;=TODAY(),J105,IF(EDATE(J105,INT(DATEDIF(J105,TODAY(),"m")/U105)*U105)&gt;=TODAY(),EDATE(J105,INT(DATEDIF(J105,TODAY(),"m")/U105)*U105),EDATE(J105,INT(DATEDIF(J105,TODAY(),"m")/U105)*U105+U105)))))</f>
        <v/>
      </c>
      <c r="R105" s="27">
        <f>IF(Q105="","",Q105-N(K105))</f>
        <v/>
      </c>
      <c r="S105" s="17">
        <f>IF(OR(B105="",G105="",H105="",AND(L105&lt;&gt;"",L105&lt;=TODAY())),"",MAX(0,N(H105)-N(M105)))</f>
        <v/>
      </c>
      <c r="T105" s="14">
        <f>IF(B105="","",IF(AND(L105&lt;&gt;"",L105&lt;=TODAY()),"Cancelled",IF(L105&lt;&gt;"","Ends "&amp;DAY(L105)&amp;" "&amp;CHOOSE(MONTH(L105),"Jan","Feb","Mar","Apr","May","Jun","Jul","Aug","Sep","Oct","Nov","Dec"),IF(AND(Q105&lt;&gt;"",W105&lt;&gt;"",W105&lt;Q105),"Card expires",IF(AND(Q105&lt;&gt;"",E105&lt;&gt;"Monthly",N(K105)&gt;0,R105&gt;=TODAY(),R105-TODAY()&lt;=N(Settings!$C$5)),"Cancel by "&amp;DAY(R105)&amp;" "&amp;CHOOSE(MONTH(R105),"Jan","Feb","Mar","Apr","May","Jun","Jul","Aug","Sep","Oct","Nov","Dec"),IF(AND(Q105&lt;&gt;"",E105&lt;&gt;"Monthly",Q105-TODAY()&lt;=N(Settings!$C$5)),"Renews "&amp;DAY(Q105)&amp;" "&amp;CHOOSE(MONTH(Q105),"Jan","Feb","Mar","Apr","May","Jun","Jul","Aug","Sep","Oct","Nov","Dec"),IF(N(S105)&gt;0,S105&amp;IF(S105=1," unused seat"," unused seats"),"Active")))))))</f>
        <v/>
      </c>
      <c r="U105" s="1">
        <f>IF(E105="Quarterly",3,IF(E105="Yearly",12,1))</f>
        <v/>
      </c>
      <c r="V105">
        <f>IF(Q105="","",Q105+ROW()/10000000)</f>
        <v/>
      </c>
      <c r="W105">
        <f>IFERROR(IF(INDEX(Cards!$D$6:$D$25,MATCH(I105,Cards!$B$6:$B$25,0))="","",INDEX(Cards!$D$6:$D$25,MATCH(I105,Cards!$B$6:$B$25,0))),"")</f>
        <v/>
      </c>
      <c r="X105">
        <f>IF(OR(T105="",T105="Active",T105="Cancelled"),"",ROW())</f>
        <v/>
      </c>
      <c r="Y105">
        <f>IF(N(S105)=0,0,S105*N(F105)*12/U105)</f>
        <v/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</row>
  </sheetData>
  <conditionalFormatting sqref="T6:T105">
    <cfRule type="expression" priority="1" dxfId="2">
      <formula>LEFT(T6,9)="Cancelled"</formula>
    </cfRule>
    <cfRule type="expression" priority="2" dxfId="2">
      <formula>LEFT(T6,4)="Ends"</formula>
    </cfRule>
    <cfRule type="expression" priority="3" dxfId="0">
      <formula>LEFT(T6,12)="Card expires"</formula>
    </cfRule>
    <cfRule type="expression" priority="4" dxfId="0">
      <formula>LEFT(T6,9)="Cancel by"</formula>
    </cfRule>
    <cfRule type="expression" priority="5" dxfId="1">
      <formula>LEFT(T6,6)="Renews"</formula>
    </cfRule>
    <cfRule type="expression" priority="6" dxfId="4">
      <formula>LEFT(T6,6)="Active"</formula>
    </cfRule>
    <cfRule type="expression" priority="7" dxfId="1">
      <formula>ISNUMBER(SEARCH("unused",T6))</formula>
    </cfRule>
  </conditionalFormatting>
  <conditionalFormatting sqref="B6:S105">
    <cfRule type="expression" priority="8" dxfId="5">
      <formula>$T6="Cancelled"</formula>
    </cfRule>
  </conditionalFormatting>
  <dataValidations count="4">
    <dataValidation sqref="C6:C105" showDropDown="0" showInputMessage="0" showErrorMessage="0" allowBlank="1" type="list">
      <formula1>=Settings!$B$10:$B$21</formula1>
    </dataValidation>
    <dataValidation sqref="D6:D105" showDropDown="0" showInputMessage="0" showErrorMessage="0" allowBlank="1" type="list">
      <formula1>=Team!$B$6:$B$105</formula1>
    </dataValidation>
    <dataValidation sqref="E6:E105" showDropDown="0" showInputMessage="0" showErrorMessage="1" allowBlank="1" type="list">
      <formula1>"Monthly,Quarterly,Yearly"</formula1>
    </dataValidation>
    <dataValidation sqref="I6:I105" showDropDown="0" showInputMessage="0" showErrorMessage="1" allowBlank="1" type="list">
      <formula1>=Cards!$B$6:$B$25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0" customWidth="1" min="3" max="3"/>
    <col width="10" customWidth="1" min="4" max="4"/>
    <col width="13" customWidth="1" min="5" max="5"/>
    <col width="13" customWidth="1" min="6" max="6"/>
    <col hidden="1" width="3" customWidth="1" min="7" max="7"/>
    <col width="16" customWidth="1" min="8" max="8"/>
    <col hidden="1" width="13" customWidth="1" min="9" max="9"/>
    <col hidden="1" width="13" customWidth="1" min="10" max="10"/>
    <col hidden="1" width="13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Access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One line per person and tool. Each line is a seat until the day it is removed.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10" t="inlineStr">
        <is>
          <t>Person</t>
        </is>
      </c>
      <c r="C5" s="10" t="inlineStr">
        <is>
          <t>Tool</t>
        </is>
      </c>
      <c r="D5" s="10" t="inlineStr">
        <is>
          <t>Role</t>
        </is>
      </c>
      <c r="E5" s="10" t="inlineStr">
        <is>
          <t>Added on</t>
        </is>
      </c>
      <c r="F5" s="10" t="inlineStr">
        <is>
          <t>Removed on</t>
        </is>
      </c>
      <c r="G5" s="1" t="n"/>
      <c r="H5" s="10" t="inlineStr">
        <is>
          <t>Status</t>
        </is>
      </c>
      <c r="I5" s="1" t="n"/>
    </row>
    <row r="6">
      <c r="A6" s="1" t="n"/>
      <c r="B6" s="20" t="inlineStr">
        <is>
          <t>Ana</t>
        </is>
      </c>
      <c r="C6" s="21" t="inlineStr">
        <is>
          <t>Email and docs</t>
        </is>
      </c>
      <c r="D6" s="22" t="inlineStr">
        <is>
          <t>Admin</t>
        </is>
      </c>
      <c r="E6" s="25" t="n">
        <v>44927</v>
      </c>
      <c r="F6" s="25" t="n"/>
      <c r="G6" s="1">
        <f>IF(OR(B6="",C6=""),"",IF(AND(F6&lt;&gt;"",F6&lt;=TODAY()),0,1))</f>
        <v/>
      </c>
      <c r="H6" s="14">
        <f>IF(OR(B6="",C6=""),"",IF(G6=0,"Removed",IF(AND(I6&lt;&gt;"",I6&lt;=TODAY()),"Remove now","Active")))</f>
        <v/>
      </c>
      <c r="I6" s="1">
        <f>IFERROR(IF(INDEX(Team!$E$6:$E$105,MATCH(B6,Team!$B$6:$B$105,0))="","",INDEX(Team!$E$6:$E$105,MATCH(B6,Team!$B$6:$B$105,0))),"")</f>
        <v/>
      </c>
      <c r="J6">
        <f>IF(G6&lt;&gt;1,0,IFERROR(IF(INDEX(Tools!$G$6:$G$105,MATCH(C6,Tools!$B$6:$B$105,0))="",0,IF(N(INDEX(Tools!$O$6:$O$105,MATCH(C6,Tools!$B$6:$B$105,0)))=0,0,N(INDEX(Tools!$F$6:$F$105,MATCH(C6,Tools!$B$6:$B$105,0)))/INDEX(Tools!$U$6:$U$105,MATCH(C6,Tools!$B$6:$B$105,0)))),0))</f>
        <v/>
      </c>
      <c r="K6">
        <f>IF(H6="Remove now",ROW(),"")</f>
        <v/>
      </c>
    </row>
    <row r="7">
      <c r="A7" s="1" t="n"/>
      <c r="B7" s="20" t="inlineStr">
        <is>
          <t>Ben</t>
        </is>
      </c>
      <c r="C7" s="21" t="inlineStr">
        <is>
          <t>Email and docs</t>
        </is>
      </c>
      <c r="D7" s="22" t="inlineStr">
        <is>
          <t>User</t>
        </is>
      </c>
      <c r="E7" s="25" t="n">
        <v>44927</v>
      </c>
      <c r="F7" s="25" t="n"/>
      <c r="G7" s="1">
        <f>IF(OR(B7="",C7=""),"",IF(AND(F7&lt;&gt;"",F7&lt;=TODAY()),0,1))</f>
        <v/>
      </c>
      <c r="H7" s="14">
        <f>IF(OR(B7="",C7=""),"",IF(G7=0,"Removed",IF(AND(I7&lt;&gt;"",I7&lt;=TODAY()),"Remove now","Active")))</f>
        <v/>
      </c>
      <c r="I7" s="1">
        <f>IFERROR(IF(INDEX(Team!$E$6:$E$105,MATCH(B7,Team!$B$6:$B$105,0))="","",INDEX(Team!$E$6:$E$105,MATCH(B7,Team!$B$6:$B$105,0))),"")</f>
        <v/>
      </c>
      <c r="J7">
        <f>IF(G7&lt;&gt;1,0,IFERROR(IF(INDEX(Tools!$G$6:$G$105,MATCH(C7,Tools!$B$6:$B$105,0))="",0,IF(N(INDEX(Tools!$O$6:$O$105,MATCH(C7,Tools!$B$6:$B$105,0)))=0,0,N(INDEX(Tools!$F$6:$F$105,MATCH(C7,Tools!$B$6:$B$105,0)))/INDEX(Tools!$U$6:$U$105,MATCH(C7,Tools!$B$6:$B$105,0)))),0))</f>
        <v/>
      </c>
      <c r="K7">
        <f>IF(H7="Remove now",ROW(),"")</f>
        <v/>
      </c>
    </row>
    <row r="8">
      <c r="A8" s="1" t="n"/>
      <c r="B8" s="20" t="inlineStr">
        <is>
          <t>Chloe</t>
        </is>
      </c>
      <c r="C8" s="21" t="inlineStr">
        <is>
          <t>Email and docs</t>
        </is>
      </c>
      <c r="D8" s="22" t="inlineStr">
        <is>
          <t>User</t>
        </is>
      </c>
      <c r="E8" s="25" t="n">
        <v>44958</v>
      </c>
      <c r="F8" s="25" t="n"/>
      <c r="G8" s="1">
        <f>IF(OR(B8="",C8=""),"",IF(AND(F8&lt;&gt;"",F8&lt;=TODAY()),0,1))</f>
        <v/>
      </c>
      <c r="H8" s="14">
        <f>IF(OR(B8="",C8=""),"",IF(G8=0,"Removed",IF(AND(I8&lt;&gt;"",I8&lt;=TODAY()),"Remove now","Active")))</f>
        <v/>
      </c>
      <c r="I8" s="1">
        <f>IFERROR(IF(INDEX(Team!$E$6:$E$105,MATCH(B8,Team!$B$6:$B$105,0))="","",INDEX(Team!$E$6:$E$105,MATCH(B8,Team!$B$6:$B$105,0))),"")</f>
        <v/>
      </c>
      <c r="J8">
        <f>IF(G8&lt;&gt;1,0,IFERROR(IF(INDEX(Tools!$G$6:$G$105,MATCH(C8,Tools!$B$6:$B$105,0))="",0,IF(N(INDEX(Tools!$O$6:$O$105,MATCH(C8,Tools!$B$6:$B$105,0)))=0,0,N(INDEX(Tools!$F$6:$F$105,MATCH(C8,Tools!$B$6:$B$105,0)))/INDEX(Tools!$U$6:$U$105,MATCH(C8,Tools!$B$6:$B$105,0)))),0))</f>
        <v/>
      </c>
      <c r="K8">
        <f>IF(H8="Remove now",ROW(),"")</f>
        <v/>
      </c>
    </row>
    <row r="9">
      <c r="A9" s="1" t="n"/>
      <c r="B9" s="20" t="inlineStr">
        <is>
          <t>Dev</t>
        </is>
      </c>
      <c r="C9" s="21" t="inlineStr">
        <is>
          <t>Email and docs</t>
        </is>
      </c>
      <c r="D9" s="22" t="inlineStr">
        <is>
          <t>User</t>
        </is>
      </c>
      <c r="E9" s="25" t="n">
        <v>44927</v>
      </c>
      <c r="F9" s="25" t="n"/>
      <c r="G9" s="1">
        <f>IF(OR(B9="",C9=""),"",IF(AND(F9&lt;&gt;"",F9&lt;=TODAY()),0,1))</f>
        <v/>
      </c>
      <c r="H9" s="14">
        <f>IF(OR(B9="",C9=""),"",IF(G9=0,"Removed",IF(AND(I9&lt;&gt;"",I9&lt;=TODAY()),"Remove now","Active")))</f>
        <v/>
      </c>
      <c r="I9" s="1">
        <f>IFERROR(IF(INDEX(Team!$E$6:$E$105,MATCH(B9,Team!$B$6:$B$105,0))="","",INDEX(Team!$E$6:$E$105,MATCH(B9,Team!$B$6:$B$105,0))),"")</f>
        <v/>
      </c>
      <c r="J9">
        <f>IF(G9&lt;&gt;1,0,IFERROR(IF(INDEX(Tools!$G$6:$G$105,MATCH(C9,Tools!$B$6:$B$105,0))="",0,IF(N(INDEX(Tools!$O$6:$O$105,MATCH(C9,Tools!$B$6:$B$105,0)))=0,0,N(INDEX(Tools!$F$6:$F$105,MATCH(C9,Tools!$B$6:$B$105,0)))/INDEX(Tools!$U$6:$U$105,MATCH(C9,Tools!$B$6:$B$105,0)))),0))</f>
        <v/>
      </c>
      <c r="K9">
        <f>IF(H9="Remove now",ROW(),"")</f>
        <v/>
      </c>
    </row>
    <row r="10">
      <c r="A10" s="1" t="n"/>
      <c r="B10" s="20" t="inlineStr">
        <is>
          <t>Ella</t>
        </is>
      </c>
      <c r="C10" s="21" t="inlineStr">
        <is>
          <t>Email and docs</t>
        </is>
      </c>
      <c r="D10" s="22" t="inlineStr">
        <is>
          <t>User</t>
        </is>
      </c>
      <c r="E10" s="25" t="n">
        <v>44927</v>
      </c>
      <c r="F10" s="25" t="n"/>
      <c r="G10" s="1">
        <f>IF(OR(B10="",C10=""),"",IF(AND(F10&lt;&gt;"",F10&lt;=TODAY()),0,1))</f>
        <v/>
      </c>
      <c r="H10" s="14">
        <f>IF(OR(B10="",C10=""),"",IF(G10=0,"Removed",IF(AND(I10&lt;&gt;"",I10&lt;=TODAY()),"Remove now","Active")))</f>
        <v/>
      </c>
      <c r="I10" s="1">
        <f>IFERROR(IF(INDEX(Team!$E$6:$E$105,MATCH(B10,Team!$B$6:$B$105,0))="","",INDEX(Team!$E$6:$E$105,MATCH(B10,Team!$B$6:$B$105,0))),"")</f>
        <v/>
      </c>
      <c r="J10">
        <f>IF(G10&lt;&gt;1,0,IFERROR(IF(INDEX(Tools!$G$6:$G$105,MATCH(C10,Tools!$B$6:$B$105,0))="",0,IF(N(INDEX(Tools!$O$6:$O$105,MATCH(C10,Tools!$B$6:$B$105,0)))=0,0,N(INDEX(Tools!$F$6:$F$105,MATCH(C10,Tools!$B$6:$B$105,0)))/INDEX(Tools!$U$6:$U$105,MATCH(C10,Tools!$B$6:$B$105,0)))),0))</f>
        <v/>
      </c>
      <c r="K10">
        <f>IF(H10="Remove now",ROW(),"")</f>
        <v/>
      </c>
    </row>
    <row r="11">
      <c r="A11" s="1" t="n"/>
      <c r="B11" s="20" t="inlineStr">
        <is>
          <t>Finn</t>
        </is>
      </c>
      <c r="C11" s="21" t="inlineStr">
        <is>
          <t>Email and docs</t>
        </is>
      </c>
      <c r="D11" s="22" t="inlineStr">
        <is>
          <t>User</t>
        </is>
      </c>
      <c r="E11" s="25" t="n">
        <v>45299</v>
      </c>
      <c r="F11" s="25" t="n"/>
      <c r="G11" s="1">
        <f>IF(OR(B11="",C11=""),"",IF(AND(F11&lt;&gt;"",F11&lt;=TODAY()),0,1))</f>
        <v/>
      </c>
      <c r="H11" s="14">
        <f>IF(OR(B11="",C11=""),"",IF(G11=0,"Removed",IF(AND(I11&lt;&gt;"",I11&lt;=TODAY()),"Remove now","Active")))</f>
        <v/>
      </c>
      <c r="I11" s="1">
        <f>IFERROR(IF(INDEX(Team!$E$6:$E$105,MATCH(B11,Team!$B$6:$B$105,0))="","",INDEX(Team!$E$6:$E$105,MATCH(B11,Team!$B$6:$B$105,0))),"")</f>
        <v/>
      </c>
      <c r="J11">
        <f>IF(G11&lt;&gt;1,0,IFERROR(IF(INDEX(Tools!$G$6:$G$105,MATCH(C11,Tools!$B$6:$B$105,0))="",0,IF(N(INDEX(Tools!$O$6:$O$105,MATCH(C11,Tools!$B$6:$B$105,0)))=0,0,N(INDEX(Tools!$F$6:$F$105,MATCH(C11,Tools!$B$6:$B$105,0)))/INDEX(Tools!$U$6:$U$105,MATCH(C11,Tools!$B$6:$B$105,0)))),0))</f>
        <v/>
      </c>
      <c r="K11">
        <f>IF(H11="Remove now",ROW(),"")</f>
        <v/>
      </c>
    </row>
    <row r="12">
      <c r="A12" s="1" t="n"/>
      <c r="B12" s="20" t="inlineStr">
        <is>
          <t>Grace</t>
        </is>
      </c>
      <c r="C12" s="21" t="inlineStr">
        <is>
          <t>Email and docs</t>
        </is>
      </c>
      <c r="D12" s="22" t="inlineStr">
        <is>
          <t>User</t>
        </is>
      </c>
      <c r="E12" s="25" t="n">
        <v>44927</v>
      </c>
      <c r="F12" s="25" t="n"/>
      <c r="G12" s="1">
        <f>IF(OR(B12="",C12=""),"",IF(AND(F12&lt;&gt;"",F12&lt;=TODAY()),0,1))</f>
        <v/>
      </c>
      <c r="H12" s="14">
        <f>IF(OR(B12="",C12=""),"",IF(G12=0,"Removed",IF(AND(I12&lt;&gt;"",I12&lt;=TODAY()),"Remove now","Active")))</f>
        <v/>
      </c>
      <c r="I12" s="1">
        <f>IFERROR(IF(INDEX(Team!$E$6:$E$105,MATCH(B12,Team!$B$6:$B$105,0))="","",INDEX(Team!$E$6:$E$105,MATCH(B12,Team!$B$6:$B$105,0))),"")</f>
        <v/>
      </c>
      <c r="J12">
        <f>IF(G12&lt;&gt;1,0,IFERROR(IF(INDEX(Tools!$G$6:$G$105,MATCH(C12,Tools!$B$6:$B$105,0))="",0,IF(N(INDEX(Tools!$O$6:$O$105,MATCH(C12,Tools!$B$6:$B$105,0)))=0,0,N(INDEX(Tools!$F$6:$F$105,MATCH(C12,Tools!$B$6:$B$105,0)))/INDEX(Tools!$U$6:$U$105,MATCH(C12,Tools!$B$6:$B$105,0)))),0))</f>
        <v/>
      </c>
      <c r="K12">
        <f>IF(H12="Remove now",ROW(),"")</f>
        <v/>
      </c>
    </row>
    <row r="13">
      <c r="A13" s="1" t="n"/>
      <c r="B13" s="20" t="inlineStr">
        <is>
          <t>Hugo</t>
        </is>
      </c>
      <c r="C13" s="21" t="inlineStr">
        <is>
          <t>Email and docs</t>
        </is>
      </c>
      <c r="D13" s="22" t="inlineStr">
        <is>
          <t>User</t>
        </is>
      </c>
      <c r="E13" s="25" t="n">
        <v>45061</v>
      </c>
      <c r="F13" s="25" t="n">
        <v>46282</v>
      </c>
      <c r="G13" s="1">
        <f>IF(OR(B13="",C13=""),"",IF(AND(F13&lt;&gt;"",F13&lt;=TODAY()),0,1))</f>
        <v/>
      </c>
      <c r="H13" s="14">
        <f>IF(OR(B13="",C13=""),"",IF(G13=0,"Removed",IF(AND(I13&lt;&gt;"",I13&lt;=TODAY()),"Remove now","Active")))</f>
        <v/>
      </c>
      <c r="I13" s="1">
        <f>IFERROR(IF(INDEX(Team!$E$6:$E$105,MATCH(B13,Team!$B$6:$B$105,0))="","",INDEX(Team!$E$6:$E$105,MATCH(B13,Team!$B$6:$B$105,0))),"")</f>
        <v/>
      </c>
      <c r="J13">
        <f>IF(G13&lt;&gt;1,0,IFERROR(IF(INDEX(Tools!$G$6:$G$105,MATCH(C13,Tools!$B$6:$B$105,0))="",0,IF(N(INDEX(Tools!$O$6:$O$105,MATCH(C13,Tools!$B$6:$B$105,0)))=0,0,N(INDEX(Tools!$F$6:$F$105,MATCH(C13,Tools!$B$6:$B$105,0)))/INDEX(Tools!$U$6:$U$105,MATCH(C13,Tools!$B$6:$B$105,0)))),0))</f>
        <v/>
      </c>
      <c r="K13">
        <f>IF(H13="Remove now",ROW(),"")</f>
        <v/>
      </c>
    </row>
    <row r="14">
      <c r="A14" s="1" t="n"/>
      <c r="B14" s="20" t="inlineStr">
        <is>
          <t>Ana</t>
        </is>
      </c>
      <c r="C14" s="21" t="inlineStr">
        <is>
          <t>Team chat</t>
        </is>
      </c>
      <c r="D14" s="22" t="inlineStr">
        <is>
          <t>User</t>
        </is>
      </c>
      <c r="E14" s="25" t="n">
        <v>45451</v>
      </c>
      <c r="F14" s="25" t="n"/>
      <c r="G14" s="1">
        <f>IF(OR(B14="",C14=""),"",IF(AND(F14&lt;&gt;"",F14&lt;=TODAY()),0,1))</f>
        <v/>
      </c>
      <c r="H14" s="14">
        <f>IF(OR(B14="",C14=""),"",IF(G14=0,"Removed",IF(AND(I14&lt;&gt;"",I14&lt;=TODAY()),"Remove now","Active")))</f>
        <v/>
      </c>
      <c r="I14" s="1">
        <f>IFERROR(IF(INDEX(Team!$E$6:$E$105,MATCH(B14,Team!$B$6:$B$105,0))="","",INDEX(Team!$E$6:$E$105,MATCH(B14,Team!$B$6:$B$105,0))),"")</f>
        <v/>
      </c>
      <c r="J14">
        <f>IF(G14&lt;&gt;1,0,IFERROR(IF(INDEX(Tools!$G$6:$G$105,MATCH(C14,Tools!$B$6:$B$105,0))="",0,IF(N(INDEX(Tools!$O$6:$O$105,MATCH(C14,Tools!$B$6:$B$105,0)))=0,0,N(INDEX(Tools!$F$6:$F$105,MATCH(C14,Tools!$B$6:$B$105,0)))/INDEX(Tools!$U$6:$U$105,MATCH(C14,Tools!$B$6:$B$105,0)))),0))</f>
        <v/>
      </c>
      <c r="K14">
        <f>IF(H14="Remove now",ROW(),"")</f>
        <v/>
      </c>
    </row>
    <row r="15">
      <c r="A15" s="1" t="n"/>
      <c r="B15" s="20" t="inlineStr">
        <is>
          <t>Ben</t>
        </is>
      </c>
      <c r="C15" s="21" t="inlineStr">
        <is>
          <t>Team chat</t>
        </is>
      </c>
      <c r="D15" s="22" t="inlineStr">
        <is>
          <t>User</t>
        </is>
      </c>
      <c r="E15" s="25" t="n">
        <v>45451</v>
      </c>
      <c r="F15" s="25" t="n"/>
      <c r="G15" s="1">
        <f>IF(OR(B15="",C15=""),"",IF(AND(F15&lt;&gt;"",F15&lt;=TODAY()),0,1))</f>
        <v/>
      </c>
      <c r="H15" s="14">
        <f>IF(OR(B15="",C15=""),"",IF(G15=0,"Removed",IF(AND(I15&lt;&gt;"",I15&lt;=TODAY()),"Remove now","Active")))</f>
        <v/>
      </c>
      <c r="I15" s="1">
        <f>IFERROR(IF(INDEX(Team!$E$6:$E$105,MATCH(B15,Team!$B$6:$B$105,0))="","",INDEX(Team!$E$6:$E$105,MATCH(B15,Team!$B$6:$B$105,0))),"")</f>
        <v/>
      </c>
      <c r="J15">
        <f>IF(G15&lt;&gt;1,0,IFERROR(IF(INDEX(Tools!$G$6:$G$105,MATCH(C15,Tools!$B$6:$B$105,0))="",0,IF(N(INDEX(Tools!$O$6:$O$105,MATCH(C15,Tools!$B$6:$B$105,0)))=0,0,N(INDEX(Tools!$F$6:$F$105,MATCH(C15,Tools!$B$6:$B$105,0)))/INDEX(Tools!$U$6:$U$105,MATCH(C15,Tools!$B$6:$B$105,0)))),0))</f>
        <v/>
      </c>
      <c r="K15">
        <f>IF(H15="Remove now",ROW(),"")</f>
        <v/>
      </c>
    </row>
    <row r="16">
      <c r="A16" s="1" t="n"/>
      <c r="B16" s="20" t="inlineStr">
        <is>
          <t>Chloe</t>
        </is>
      </c>
      <c r="C16" s="21" t="inlineStr">
        <is>
          <t>Team chat</t>
        </is>
      </c>
      <c r="D16" s="22" t="inlineStr">
        <is>
          <t>User</t>
        </is>
      </c>
      <c r="E16" s="25" t="n">
        <v>45451</v>
      </c>
      <c r="F16" s="25" t="n"/>
      <c r="G16" s="1">
        <f>IF(OR(B16="",C16=""),"",IF(AND(F16&lt;&gt;"",F16&lt;=TODAY()),0,1))</f>
        <v/>
      </c>
      <c r="H16" s="14">
        <f>IF(OR(B16="",C16=""),"",IF(G16=0,"Removed",IF(AND(I16&lt;&gt;"",I16&lt;=TODAY()),"Remove now","Active")))</f>
        <v/>
      </c>
      <c r="I16" s="1">
        <f>IFERROR(IF(INDEX(Team!$E$6:$E$105,MATCH(B16,Team!$B$6:$B$105,0))="","",INDEX(Team!$E$6:$E$105,MATCH(B16,Team!$B$6:$B$105,0))),"")</f>
        <v/>
      </c>
      <c r="J16">
        <f>IF(G16&lt;&gt;1,0,IFERROR(IF(INDEX(Tools!$G$6:$G$105,MATCH(C16,Tools!$B$6:$B$105,0))="",0,IF(N(INDEX(Tools!$O$6:$O$105,MATCH(C16,Tools!$B$6:$B$105,0)))=0,0,N(INDEX(Tools!$F$6:$F$105,MATCH(C16,Tools!$B$6:$B$105,0)))/INDEX(Tools!$U$6:$U$105,MATCH(C16,Tools!$B$6:$B$105,0)))),0))</f>
        <v/>
      </c>
      <c r="K16">
        <f>IF(H16="Remove now",ROW(),"")</f>
        <v/>
      </c>
    </row>
    <row r="17">
      <c r="A17" s="1" t="n"/>
      <c r="B17" s="20" t="inlineStr">
        <is>
          <t>Dev</t>
        </is>
      </c>
      <c r="C17" s="21" t="inlineStr">
        <is>
          <t>Team chat</t>
        </is>
      </c>
      <c r="D17" s="22" t="inlineStr">
        <is>
          <t>User</t>
        </is>
      </c>
      <c r="E17" s="25" t="n">
        <v>45451</v>
      </c>
      <c r="F17" s="25" t="n"/>
      <c r="G17" s="1">
        <f>IF(OR(B17="",C17=""),"",IF(AND(F17&lt;&gt;"",F17&lt;=TODAY()),0,1))</f>
        <v/>
      </c>
      <c r="H17" s="14">
        <f>IF(OR(B17="",C17=""),"",IF(G17=0,"Removed",IF(AND(I17&lt;&gt;"",I17&lt;=TODAY()),"Remove now","Active")))</f>
        <v/>
      </c>
      <c r="I17" s="1">
        <f>IFERROR(IF(INDEX(Team!$E$6:$E$105,MATCH(B17,Team!$B$6:$B$105,0))="","",INDEX(Team!$E$6:$E$105,MATCH(B17,Team!$B$6:$B$105,0))),"")</f>
        <v/>
      </c>
      <c r="J17">
        <f>IF(G17&lt;&gt;1,0,IFERROR(IF(INDEX(Tools!$G$6:$G$105,MATCH(C17,Tools!$B$6:$B$105,0))="",0,IF(N(INDEX(Tools!$O$6:$O$105,MATCH(C17,Tools!$B$6:$B$105,0)))=0,0,N(INDEX(Tools!$F$6:$F$105,MATCH(C17,Tools!$B$6:$B$105,0)))/INDEX(Tools!$U$6:$U$105,MATCH(C17,Tools!$B$6:$B$105,0)))),0))</f>
        <v/>
      </c>
      <c r="K17">
        <f>IF(H17="Remove now",ROW(),"")</f>
        <v/>
      </c>
    </row>
    <row r="18">
      <c r="A18" s="1" t="n"/>
      <c r="B18" s="20" t="inlineStr">
        <is>
          <t>Ella</t>
        </is>
      </c>
      <c r="C18" s="21" t="inlineStr">
        <is>
          <t>Team chat</t>
        </is>
      </c>
      <c r="D18" s="22" t="inlineStr">
        <is>
          <t>User</t>
        </is>
      </c>
      <c r="E18" s="25" t="n">
        <v>45451</v>
      </c>
      <c r="F18" s="25" t="n"/>
      <c r="G18" s="1">
        <f>IF(OR(B18="",C18=""),"",IF(AND(F18&lt;&gt;"",F18&lt;=TODAY()),0,1))</f>
        <v/>
      </c>
      <c r="H18" s="14">
        <f>IF(OR(B18="",C18=""),"",IF(G18=0,"Removed",IF(AND(I18&lt;&gt;"",I18&lt;=TODAY()),"Remove now","Active")))</f>
        <v/>
      </c>
      <c r="I18" s="1">
        <f>IFERROR(IF(INDEX(Team!$E$6:$E$105,MATCH(B18,Team!$B$6:$B$105,0))="","",INDEX(Team!$E$6:$E$105,MATCH(B18,Team!$B$6:$B$105,0))),"")</f>
        <v/>
      </c>
      <c r="J18">
        <f>IF(G18&lt;&gt;1,0,IFERROR(IF(INDEX(Tools!$G$6:$G$105,MATCH(C18,Tools!$B$6:$B$105,0))="",0,IF(N(INDEX(Tools!$O$6:$O$105,MATCH(C18,Tools!$B$6:$B$105,0)))=0,0,N(INDEX(Tools!$F$6:$F$105,MATCH(C18,Tools!$B$6:$B$105,0)))/INDEX(Tools!$U$6:$U$105,MATCH(C18,Tools!$B$6:$B$105,0)))),0))</f>
        <v/>
      </c>
      <c r="K18">
        <f>IF(H18="Remove now",ROW(),"")</f>
        <v/>
      </c>
    </row>
    <row r="19">
      <c r="A19" s="1" t="n"/>
      <c r="B19" s="20" t="inlineStr">
        <is>
          <t>Finn</t>
        </is>
      </c>
      <c r="C19" s="21" t="inlineStr">
        <is>
          <t>Team chat</t>
        </is>
      </c>
      <c r="D19" s="22" t="inlineStr">
        <is>
          <t>User</t>
        </is>
      </c>
      <c r="E19" s="25" t="n">
        <v>45451</v>
      </c>
      <c r="F19" s="25" t="n"/>
      <c r="G19" s="1">
        <f>IF(OR(B19="",C19=""),"",IF(AND(F19&lt;&gt;"",F19&lt;=TODAY()),0,1))</f>
        <v/>
      </c>
      <c r="H19" s="14">
        <f>IF(OR(B19="",C19=""),"",IF(G19=0,"Removed",IF(AND(I19&lt;&gt;"",I19&lt;=TODAY()),"Remove now","Active")))</f>
        <v/>
      </c>
      <c r="I19" s="1">
        <f>IFERROR(IF(INDEX(Team!$E$6:$E$105,MATCH(B19,Team!$B$6:$B$105,0))="","",INDEX(Team!$E$6:$E$105,MATCH(B19,Team!$B$6:$B$105,0))),"")</f>
        <v/>
      </c>
      <c r="J19">
        <f>IF(G19&lt;&gt;1,0,IFERROR(IF(INDEX(Tools!$G$6:$G$105,MATCH(C19,Tools!$B$6:$B$105,0))="",0,IF(N(INDEX(Tools!$O$6:$O$105,MATCH(C19,Tools!$B$6:$B$105,0)))=0,0,N(INDEX(Tools!$F$6:$F$105,MATCH(C19,Tools!$B$6:$B$105,0)))/INDEX(Tools!$U$6:$U$105,MATCH(C19,Tools!$B$6:$B$105,0)))),0))</f>
        <v/>
      </c>
      <c r="K19">
        <f>IF(H19="Remove now",ROW(),"")</f>
        <v/>
      </c>
    </row>
    <row r="20">
      <c r="A20" s="1" t="n"/>
      <c r="B20" s="20" t="inlineStr">
        <is>
          <t>Grace</t>
        </is>
      </c>
      <c r="C20" s="21" t="inlineStr">
        <is>
          <t>Team chat</t>
        </is>
      </c>
      <c r="D20" s="22" t="inlineStr">
        <is>
          <t>Admin</t>
        </is>
      </c>
      <c r="E20" s="25" t="n">
        <v>45451</v>
      </c>
      <c r="F20" s="25" t="n"/>
      <c r="G20" s="1">
        <f>IF(OR(B20="",C20=""),"",IF(AND(F20&lt;&gt;"",F20&lt;=TODAY()),0,1))</f>
        <v/>
      </c>
      <c r="H20" s="14">
        <f>IF(OR(B20="",C20=""),"",IF(G20=0,"Removed",IF(AND(I20&lt;&gt;"",I20&lt;=TODAY()),"Remove now","Active")))</f>
        <v/>
      </c>
      <c r="I20" s="1">
        <f>IFERROR(IF(INDEX(Team!$E$6:$E$105,MATCH(B20,Team!$B$6:$B$105,0))="","",INDEX(Team!$E$6:$E$105,MATCH(B20,Team!$B$6:$B$105,0))),"")</f>
        <v/>
      </c>
      <c r="J20">
        <f>IF(G20&lt;&gt;1,0,IFERROR(IF(INDEX(Tools!$G$6:$G$105,MATCH(C20,Tools!$B$6:$B$105,0))="",0,IF(N(INDEX(Tools!$O$6:$O$105,MATCH(C20,Tools!$B$6:$B$105,0)))=0,0,N(INDEX(Tools!$F$6:$F$105,MATCH(C20,Tools!$B$6:$B$105,0)))/INDEX(Tools!$U$6:$U$105,MATCH(C20,Tools!$B$6:$B$105,0)))),0))</f>
        <v/>
      </c>
      <c r="K20">
        <f>IF(H20="Remove now",ROW(),"")</f>
        <v/>
      </c>
    </row>
    <row r="21">
      <c r="A21" s="1" t="n"/>
      <c r="B21" s="20" t="inlineStr">
        <is>
          <t>Hugo</t>
        </is>
      </c>
      <c r="C21" s="21" t="inlineStr">
        <is>
          <t>Team chat</t>
        </is>
      </c>
      <c r="D21" s="22" t="inlineStr">
        <is>
          <t>User</t>
        </is>
      </c>
      <c r="E21" s="25" t="n">
        <v>45451</v>
      </c>
      <c r="F21" s="25" t="n"/>
      <c r="G21" s="1">
        <f>IF(OR(B21="",C21=""),"",IF(AND(F21&lt;&gt;"",F21&lt;=TODAY()),0,1))</f>
        <v/>
      </c>
      <c r="H21" s="14">
        <f>IF(OR(B21="",C21=""),"",IF(G21=0,"Removed",IF(AND(I21&lt;&gt;"",I21&lt;=TODAY()),"Remove now","Active")))</f>
        <v/>
      </c>
      <c r="I21" s="1">
        <f>IFERROR(IF(INDEX(Team!$E$6:$E$105,MATCH(B21,Team!$B$6:$B$105,0))="","",INDEX(Team!$E$6:$E$105,MATCH(B21,Team!$B$6:$B$105,0))),"")</f>
        <v/>
      </c>
      <c r="J21">
        <f>IF(G21&lt;&gt;1,0,IFERROR(IF(INDEX(Tools!$G$6:$G$105,MATCH(C21,Tools!$B$6:$B$105,0))="",0,IF(N(INDEX(Tools!$O$6:$O$105,MATCH(C21,Tools!$B$6:$B$105,0)))=0,0,N(INDEX(Tools!$F$6:$F$105,MATCH(C21,Tools!$B$6:$B$105,0)))/INDEX(Tools!$U$6:$U$105,MATCH(C21,Tools!$B$6:$B$105,0)))),0))</f>
        <v/>
      </c>
      <c r="K21">
        <f>IF(H21="Remove now",ROW(),"")</f>
        <v/>
      </c>
    </row>
    <row r="22">
      <c r="A22" s="1" t="n"/>
      <c r="B22" s="20" t="inlineStr">
        <is>
          <t>Ana</t>
        </is>
      </c>
      <c r="C22" s="21" t="inlineStr">
        <is>
          <t>Video calls</t>
        </is>
      </c>
      <c r="D22" s="22" t="inlineStr">
        <is>
          <t>User</t>
        </is>
      </c>
      <c r="E22" s="25" t="n">
        <v>45976</v>
      </c>
      <c r="F22" s="25" t="n"/>
      <c r="G22" s="1">
        <f>IF(OR(B22="",C22=""),"",IF(AND(F22&lt;&gt;"",F22&lt;=TODAY()),0,1))</f>
        <v/>
      </c>
      <c r="H22" s="14">
        <f>IF(OR(B22="",C22=""),"",IF(G22=0,"Removed",IF(AND(I22&lt;&gt;"",I22&lt;=TODAY()),"Remove now","Active")))</f>
        <v/>
      </c>
      <c r="I22" s="1">
        <f>IFERROR(IF(INDEX(Team!$E$6:$E$105,MATCH(B22,Team!$B$6:$B$105,0))="","",INDEX(Team!$E$6:$E$105,MATCH(B22,Team!$B$6:$B$105,0))),"")</f>
        <v/>
      </c>
      <c r="J22">
        <f>IF(G22&lt;&gt;1,0,IFERROR(IF(INDEX(Tools!$G$6:$G$105,MATCH(C22,Tools!$B$6:$B$105,0))="",0,IF(N(INDEX(Tools!$O$6:$O$105,MATCH(C22,Tools!$B$6:$B$105,0)))=0,0,N(INDEX(Tools!$F$6:$F$105,MATCH(C22,Tools!$B$6:$B$105,0)))/INDEX(Tools!$U$6:$U$105,MATCH(C22,Tools!$B$6:$B$105,0)))),0))</f>
        <v/>
      </c>
      <c r="K22">
        <f>IF(H22="Remove now",ROW(),"")</f>
        <v/>
      </c>
    </row>
    <row r="23">
      <c r="A23" s="1" t="n"/>
      <c r="B23" s="20" t="inlineStr">
        <is>
          <t>Grace</t>
        </is>
      </c>
      <c r="C23" s="21" t="inlineStr">
        <is>
          <t>Video calls</t>
        </is>
      </c>
      <c r="D23" s="22" t="inlineStr">
        <is>
          <t>Admin</t>
        </is>
      </c>
      <c r="E23" s="25" t="n">
        <v>45976</v>
      </c>
      <c r="F23" s="25" t="n"/>
      <c r="G23" s="1">
        <f>IF(OR(B23="",C23=""),"",IF(AND(F23&lt;&gt;"",F23&lt;=TODAY()),0,1))</f>
        <v/>
      </c>
      <c r="H23" s="14">
        <f>IF(OR(B23="",C23=""),"",IF(G23=0,"Removed",IF(AND(I23&lt;&gt;"",I23&lt;=TODAY()),"Remove now","Active")))</f>
        <v/>
      </c>
      <c r="I23" s="1">
        <f>IFERROR(IF(INDEX(Team!$E$6:$E$105,MATCH(B23,Team!$B$6:$B$105,0))="","",INDEX(Team!$E$6:$E$105,MATCH(B23,Team!$B$6:$B$105,0))),"")</f>
        <v/>
      </c>
      <c r="J23">
        <f>IF(G23&lt;&gt;1,0,IFERROR(IF(INDEX(Tools!$G$6:$G$105,MATCH(C23,Tools!$B$6:$B$105,0))="",0,IF(N(INDEX(Tools!$O$6:$O$105,MATCH(C23,Tools!$B$6:$B$105,0)))=0,0,N(INDEX(Tools!$F$6:$F$105,MATCH(C23,Tools!$B$6:$B$105,0)))/INDEX(Tools!$U$6:$U$105,MATCH(C23,Tools!$B$6:$B$105,0)))),0))</f>
        <v/>
      </c>
      <c r="K23">
        <f>IF(H23="Remove now",ROW(),"")</f>
        <v/>
      </c>
    </row>
    <row r="24">
      <c r="A24" s="1" t="n"/>
      <c r="B24" s="20" t="inlineStr">
        <is>
          <t>Finn</t>
        </is>
      </c>
      <c r="C24" s="21" t="inlineStr">
        <is>
          <t>Video calls</t>
        </is>
      </c>
      <c r="D24" s="22" t="inlineStr">
        <is>
          <t>User</t>
        </is>
      </c>
      <c r="E24" s="25" t="n">
        <v>45976</v>
      </c>
      <c r="F24" s="25" t="n"/>
      <c r="G24" s="1">
        <f>IF(OR(B24="",C24=""),"",IF(AND(F24&lt;&gt;"",F24&lt;=TODAY()),0,1))</f>
        <v/>
      </c>
      <c r="H24" s="14">
        <f>IF(OR(B24="",C24=""),"",IF(G24=0,"Removed",IF(AND(I24&lt;&gt;"",I24&lt;=TODAY()),"Remove now","Active")))</f>
        <v/>
      </c>
      <c r="I24" s="1">
        <f>IFERROR(IF(INDEX(Team!$E$6:$E$105,MATCH(B24,Team!$B$6:$B$105,0))="","",INDEX(Team!$E$6:$E$105,MATCH(B24,Team!$B$6:$B$105,0))),"")</f>
        <v/>
      </c>
      <c r="J24">
        <f>IF(G24&lt;&gt;1,0,IFERROR(IF(INDEX(Tools!$G$6:$G$105,MATCH(C24,Tools!$B$6:$B$105,0))="",0,IF(N(INDEX(Tools!$O$6:$O$105,MATCH(C24,Tools!$B$6:$B$105,0)))=0,0,N(INDEX(Tools!$F$6:$F$105,MATCH(C24,Tools!$B$6:$B$105,0)))/INDEX(Tools!$U$6:$U$105,MATCH(C24,Tools!$B$6:$B$105,0)))),0))</f>
        <v/>
      </c>
      <c r="K24">
        <f>IF(H24="Remove now",ROW(),"")</f>
        <v/>
      </c>
    </row>
    <row r="25">
      <c r="A25" s="1" t="n"/>
      <c r="B25" s="20" t="inlineStr">
        <is>
          <t>Ben</t>
        </is>
      </c>
      <c r="C25" s="21" t="inlineStr">
        <is>
          <t>Design suite</t>
        </is>
      </c>
      <c r="D25" s="22" t="inlineStr">
        <is>
          <t>Admin</t>
        </is>
      </c>
      <c r="E25" s="25" t="n">
        <v>45038</v>
      </c>
      <c r="F25" s="25" t="n"/>
      <c r="G25" s="1">
        <f>IF(OR(B25="",C25=""),"",IF(AND(F25&lt;&gt;"",F25&lt;=TODAY()),0,1))</f>
        <v/>
      </c>
      <c r="H25" s="14">
        <f>IF(OR(B25="",C25=""),"",IF(G25=0,"Removed",IF(AND(I25&lt;&gt;"",I25&lt;=TODAY()),"Remove now","Active")))</f>
        <v/>
      </c>
      <c r="I25" s="1">
        <f>IFERROR(IF(INDEX(Team!$E$6:$E$105,MATCH(B25,Team!$B$6:$B$105,0))="","",INDEX(Team!$E$6:$E$105,MATCH(B25,Team!$B$6:$B$105,0))),"")</f>
        <v/>
      </c>
      <c r="J25">
        <f>IF(G25&lt;&gt;1,0,IFERROR(IF(INDEX(Tools!$G$6:$G$105,MATCH(C25,Tools!$B$6:$B$105,0))="",0,IF(N(INDEX(Tools!$O$6:$O$105,MATCH(C25,Tools!$B$6:$B$105,0)))=0,0,N(INDEX(Tools!$F$6:$F$105,MATCH(C25,Tools!$B$6:$B$105,0)))/INDEX(Tools!$U$6:$U$105,MATCH(C25,Tools!$B$6:$B$105,0)))),0))</f>
        <v/>
      </c>
      <c r="K25">
        <f>IF(H25="Remove now",ROW(),"")</f>
        <v/>
      </c>
    </row>
    <row r="26">
      <c r="A26" s="1" t="n"/>
      <c r="B26" s="20" t="inlineStr">
        <is>
          <t>Chloe</t>
        </is>
      </c>
      <c r="C26" s="21" t="inlineStr">
        <is>
          <t>Design suite</t>
        </is>
      </c>
      <c r="D26" s="22" t="inlineStr">
        <is>
          <t>User</t>
        </is>
      </c>
      <c r="E26" s="25" t="n">
        <v>45038</v>
      </c>
      <c r="F26" s="25" t="n"/>
      <c r="G26" s="1">
        <f>IF(OR(B26="",C26=""),"",IF(AND(F26&lt;&gt;"",F26&lt;=TODAY()),0,1))</f>
        <v/>
      </c>
      <c r="H26" s="14">
        <f>IF(OR(B26="",C26=""),"",IF(G26=0,"Removed",IF(AND(I26&lt;&gt;"",I26&lt;=TODAY()),"Remove now","Active")))</f>
        <v/>
      </c>
      <c r="I26" s="1">
        <f>IFERROR(IF(INDEX(Team!$E$6:$E$105,MATCH(B26,Team!$B$6:$B$105,0))="","",INDEX(Team!$E$6:$E$105,MATCH(B26,Team!$B$6:$B$105,0))),"")</f>
        <v/>
      </c>
      <c r="J26">
        <f>IF(G26&lt;&gt;1,0,IFERROR(IF(INDEX(Tools!$G$6:$G$105,MATCH(C26,Tools!$B$6:$B$105,0))="",0,IF(N(INDEX(Tools!$O$6:$O$105,MATCH(C26,Tools!$B$6:$B$105,0)))=0,0,N(INDEX(Tools!$F$6:$F$105,MATCH(C26,Tools!$B$6:$B$105,0)))/INDEX(Tools!$U$6:$U$105,MATCH(C26,Tools!$B$6:$B$105,0)))),0))</f>
        <v/>
      </c>
      <c r="K26">
        <f>IF(H26="Remove now",ROW(),"")</f>
        <v/>
      </c>
    </row>
    <row r="27">
      <c r="A27" s="1" t="n"/>
      <c r="B27" s="20" t="inlineStr">
        <is>
          <t>Chloe</t>
        </is>
      </c>
      <c r="C27" s="21" t="inlineStr">
        <is>
          <t>Stock photos</t>
        </is>
      </c>
      <c r="D27" s="22" t="inlineStr">
        <is>
          <t>User</t>
        </is>
      </c>
      <c r="E27" s="25" t="n">
        <v>45537</v>
      </c>
      <c r="F27" s="25" t="n"/>
      <c r="G27" s="1">
        <f>IF(OR(B27="",C27=""),"",IF(AND(F27&lt;&gt;"",F27&lt;=TODAY()),0,1))</f>
        <v/>
      </c>
      <c r="H27" s="14">
        <f>IF(OR(B27="",C27=""),"",IF(G27=0,"Removed",IF(AND(I27&lt;&gt;"",I27&lt;=TODAY()),"Remove now","Active")))</f>
        <v/>
      </c>
      <c r="I27" s="1">
        <f>IFERROR(IF(INDEX(Team!$E$6:$E$105,MATCH(B27,Team!$B$6:$B$105,0))="","",INDEX(Team!$E$6:$E$105,MATCH(B27,Team!$B$6:$B$105,0))),"")</f>
        <v/>
      </c>
      <c r="J27">
        <f>IF(G27&lt;&gt;1,0,IFERROR(IF(INDEX(Tools!$G$6:$G$105,MATCH(C27,Tools!$B$6:$B$105,0))="",0,IF(N(INDEX(Tools!$O$6:$O$105,MATCH(C27,Tools!$B$6:$B$105,0)))=0,0,N(INDEX(Tools!$F$6:$F$105,MATCH(C27,Tools!$B$6:$B$105,0)))/INDEX(Tools!$U$6:$U$105,MATCH(C27,Tools!$B$6:$B$105,0)))),0))</f>
        <v/>
      </c>
      <c r="K27">
        <f>IF(H27="Remove now",ROW(),"")</f>
        <v/>
      </c>
    </row>
    <row r="28">
      <c r="A28" s="1" t="n"/>
      <c r="B28" s="20" t="inlineStr">
        <is>
          <t>Ana</t>
        </is>
      </c>
      <c r="C28" s="21" t="inlineStr">
        <is>
          <t>Accounting</t>
        </is>
      </c>
      <c r="D28" s="22" t="inlineStr">
        <is>
          <t>User</t>
        </is>
      </c>
      <c r="E28" s="25" t="n">
        <v>45697</v>
      </c>
      <c r="F28" s="25" t="n"/>
      <c r="G28" s="1">
        <f>IF(OR(B28="",C28=""),"",IF(AND(F28&lt;&gt;"",F28&lt;=TODAY()),0,1))</f>
        <v/>
      </c>
      <c r="H28" s="14">
        <f>IF(OR(B28="",C28=""),"",IF(G28=0,"Removed",IF(AND(I28&lt;&gt;"",I28&lt;=TODAY()),"Remove now","Active")))</f>
        <v/>
      </c>
      <c r="I28" s="1">
        <f>IFERROR(IF(INDEX(Team!$E$6:$E$105,MATCH(B28,Team!$B$6:$B$105,0))="","",INDEX(Team!$E$6:$E$105,MATCH(B28,Team!$B$6:$B$105,0))),"")</f>
        <v/>
      </c>
      <c r="J28">
        <f>IF(G28&lt;&gt;1,0,IFERROR(IF(INDEX(Tools!$G$6:$G$105,MATCH(C28,Tools!$B$6:$B$105,0))="",0,IF(N(INDEX(Tools!$O$6:$O$105,MATCH(C28,Tools!$B$6:$B$105,0)))=0,0,N(INDEX(Tools!$F$6:$F$105,MATCH(C28,Tools!$B$6:$B$105,0)))/INDEX(Tools!$U$6:$U$105,MATCH(C28,Tools!$B$6:$B$105,0)))),0))</f>
        <v/>
      </c>
      <c r="K28">
        <f>IF(H28="Remove now",ROW(),"")</f>
        <v/>
      </c>
    </row>
    <row r="29">
      <c r="A29" s="1" t="n"/>
      <c r="B29" s="20" t="inlineStr">
        <is>
          <t>Grace</t>
        </is>
      </c>
      <c r="C29" s="21" t="inlineStr">
        <is>
          <t>Accounting</t>
        </is>
      </c>
      <c r="D29" s="22" t="inlineStr">
        <is>
          <t>User</t>
        </is>
      </c>
      <c r="E29" s="25" t="n">
        <v>45697</v>
      </c>
      <c r="F29" s="25" t="n"/>
      <c r="G29" s="1">
        <f>IF(OR(B29="",C29=""),"",IF(AND(F29&lt;&gt;"",F29&lt;=TODAY()),0,1))</f>
        <v/>
      </c>
      <c r="H29" s="14">
        <f>IF(OR(B29="",C29=""),"",IF(G29=0,"Removed",IF(AND(I29&lt;&gt;"",I29&lt;=TODAY()),"Remove now","Active")))</f>
        <v/>
      </c>
      <c r="I29" s="1">
        <f>IFERROR(IF(INDEX(Team!$E$6:$E$105,MATCH(B29,Team!$B$6:$B$105,0))="","",INDEX(Team!$E$6:$E$105,MATCH(B29,Team!$B$6:$B$105,0))),"")</f>
        <v/>
      </c>
      <c r="J29">
        <f>IF(G29&lt;&gt;1,0,IFERROR(IF(INDEX(Tools!$G$6:$G$105,MATCH(C29,Tools!$B$6:$B$105,0))="",0,IF(N(INDEX(Tools!$O$6:$O$105,MATCH(C29,Tools!$B$6:$B$105,0)))=0,0,N(INDEX(Tools!$F$6:$F$105,MATCH(C29,Tools!$B$6:$B$105,0)))/INDEX(Tools!$U$6:$U$105,MATCH(C29,Tools!$B$6:$B$105,0)))),0))</f>
        <v/>
      </c>
      <c r="K29">
        <f>IF(H29="Remove now",ROW(),"")</f>
        <v/>
      </c>
    </row>
    <row r="30">
      <c r="A30" s="1" t="n"/>
      <c r="B30" s="20" t="inlineStr">
        <is>
          <t>Ella</t>
        </is>
      </c>
      <c r="C30" s="21" t="inlineStr">
        <is>
          <t>Website builder</t>
        </is>
      </c>
      <c r="D30" s="22" t="inlineStr">
        <is>
          <t>Admin</t>
        </is>
      </c>
      <c r="E30" s="25" t="n">
        <v>45123</v>
      </c>
      <c r="F30" s="25" t="n"/>
      <c r="G30" s="1">
        <f>IF(OR(B30="",C30=""),"",IF(AND(F30&lt;&gt;"",F30&lt;=TODAY()),0,1))</f>
        <v/>
      </c>
      <c r="H30" s="14">
        <f>IF(OR(B30="",C30=""),"",IF(G30=0,"Removed",IF(AND(I30&lt;&gt;"",I30&lt;=TODAY()),"Remove now","Active")))</f>
        <v/>
      </c>
      <c r="I30" s="1">
        <f>IFERROR(IF(INDEX(Team!$E$6:$E$105,MATCH(B30,Team!$B$6:$B$105,0))="","",INDEX(Team!$E$6:$E$105,MATCH(B30,Team!$B$6:$B$105,0))),"")</f>
        <v/>
      </c>
      <c r="J30">
        <f>IF(G30&lt;&gt;1,0,IFERROR(IF(INDEX(Tools!$G$6:$G$105,MATCH(C30,Tools!$B$6:$B$105,0))="",0,IF(N(INDEX(Tools!$O$6:$O$105,MATCH(C30,Tools!$B$6:$B$105,0)))=0,0,N(INDEX(Tools!$F$6:$F$105,MATCH(C30,Tools!$B$6:$B$105,0)))/INDEX(Tools!$U$6:$U$105,MATCH(C30,Tools!$B$6:$B$105,0)))),0))</f>
        <v/>
      </c>
      <c r="K30">
        <f>IF(H30="Remove now",ROW(),"")</f>
        <v/>
      </c>
    </row>
    <row r="31">
      <c r="A31" s="1" t="n"/>
      <c r="B31" s="20" t="inlineStr">
        <is>
          <t>Dev</t>
        </is>
      </c>
      <c r="C31" s="21" t="inlineStr">
        <is>
          <t>Website builder</t>
        </is>
      </c>
      <c r="D31" s="22" t="inlineStr">
        <is>
          <t>User</t>
        </is>
      </c>
      <c r="E31" s="25" t="n">
        <v>45123</v>
      </c>
      <c r="F31" s="25" t="n"/>
      <c r="G31" s="1">
        <f>IF(OR(B31="",C31=""),"",IF(AND(F31&lt;&gt;"",F31&lt;=TODAY()),0,1))</f>
        <v/>
      </c>
      <c r="H31" s="14">
        <f>IF(OR(B31="",C31=""),"",IF(G31=0,"Removed",IF(AND(I31&lt;&gt;"",I31&lt;=TODAY()),"Remove now","Active")))</f>
        <v/>
      </c>
      <c r="I31" s="1">
        <f>IFERROR(IF(INDEX(Team!$E$6:$E$105,MATCH(B31,Team!$B$6:$B$105,0))="","",INDEX(Team!$E$6:$E$105,MATCH(B31,Team!$B$6:$B$105,0))),"")</f>
        <v/>
      </c>
      <c r="J31">
        <f>IF(G31&lt;&gt;1,0,IFERROR(IF(INDEX(Tools!$G$6:$G$105,MATCH(C31,Tools!$B$6:$B$105,0))="",0,IF(N(INDEX(Tools!$O$6:$O$105,MATCH(C31,Tools!$B$6:$B$105,0)))=0,0,N(INDEX(Tools!$F$6:$F$105,MATCH(C31,Tools!$B$6:$B$105,0)))/INDEX(Tools!$U$6:$U$105,MATCH(C31,Tools!$B$6:$B$105,0)))),0))</f>
        <v/>
      </c>
      <c r="K31">
        <f>IF(H31="Remove now",ROW(),"")</f>
        <v/>
      </c>
    </row>
    <row r="32">
      <c r="A32" s="1" t="n"/>
      <c r="B32" s="20" t="inlineStr">
        <is>
          <t>Dev</t>
        </is>
      </c>
      <c r="C32" s="21" t="inlineStr">
        <is>
          <t>Domain names</t>
        </is>
      </c>
      <c r="D32" s="22" t="inlineStr">
        <is>
          <t>User</t>
        </is>
      </c>
      <c r="E32" s="25" t="n">
        <v>45649</v>
      </c>
      <c r="F32" s="25" t="n"/>
      <c r="G32" s="1">
        <f>IF(OR(B32="",C32=""),"",IF(AND(F32&lt;&gt;"",F32&lt;=TODAY()),0,1))</f>
        <v/>
      </c>
      <c r="H32" s="14">
        <f>IF(OR(B32="",C32=""),"",IF(G32=0,"Removed",IF(AND(I32&lt;&gt;"",I32&lt;=TODAY()),"Remove now","Active")))</f>
        <v/>
      </c>
      <c r="I32" s="1">
        <f>IFERROR(IF(INDEX(Team!$E$6:$E$105,MATCH(B32,Team!$B$6:$B$105,0))="","",INDEX(Team!$E$6:$E$105,MATCH(B32,Team!$B$6:$B$105,0))),"")</f>
        <v/>
      </c>
      <c r="J32">
        <f>IF(G32&lt;&gt;1,0,IFERROR(IF(INDEX(Tools!$G$6:$G$105,MATCH(C32,Tools!$B$6:$B$105,0))="",0,IF(N(INDEX(Tools!$O$6:$O$105,MATCH(C32,Tools!$B$6:$B$105,0)))=0,0,N(INDEX(Tools!$F$6:$F$105,MATCH(C32,Tools!$B$6:$B$105,0)))/INDEX(Tools!$U$6:$U$105,MATCH(C32,Tools!$B$6:$B$105,0)))),0))</f>
        <v/>
      </c>
      <c r="K32">
        <f>IF(H32="Remove now",ROW(),"")</f>
        <v/>
      </c>
    </row>
    <row r="33">
      <c r="A33" s="1" t="n"/>
      <c r="B33" s="20" t="inlineStr">
        <is>
          <t>Finn</t>
        </is>
      </c>
      <c r="C33" s="21" t="inlineStr">
        <is>
          <t>CRM</t>
        </is>
      </c>
      <c r="D33" s="22" t="inlineStr">
        <is>
          <t>Admin</t>
        </is>
      </c>
      <c r="E33" s="25" t="n">
        <v>45780</v>
      </c>
      <c r="F33" s="25" t="n"/>
      <c r="G33" s="1">
        <f>IF(OR(B33="",C33=""),"",IF(AND(F33&lt;&gt;"",F33&lt;=TODAY()),0,1))</f>
        <v/>
      </c>
      <c r="H33" s="14">
        <f>IF(OR(B33="",C33=""),"",IF(G33=0,"Removed",IF(AND(I33&lt;&gt;"",I33&lt;=TODAY()),"Remove now","Active")))</f>
        <v/>
      </c>
      <c r="I33" s="1">
        <f>IFERROR(IF(INDEX(Team!$E$6:$E$105,MATCH(B33,Team!$B$6:$B$105,0))="","",INDEX(Team!$E$6:$E$105,MATCH(B33,Team!$B$6:$B$105,0))),"")</f>
        <v/>
      </c>
      <c r="J33">
        <f>IF(G33&lt;&gt;1,0,IFERROR(IF(INDEX(Tools!$G$6:$G$105,MATCH(C33,Tools!$B$6:$B$105,0))="",0,IF(N(INDEX(Tools!$O$6:$O$105,MATCH(C33,Tools!$B$6:$B$105,0)))=0,0,N(INDEX(Tools!$F$6:$F$105,MATCH(C33,Tools!$B$6:$B$105,0)))/INDEX(Tools!$U$6:$U$105,MATCH(C33,Tools!$B$6:$B$105,0)))),0))</f>
        <v/>
      </c>
      <c r="K33">
        <f>IF(H33="Remove now",ROW(),"")</f>
        <v/>
      </c>
    </row>
    <row r="34">
      <c r="A34" s="1" t="n"/>
      <c r="B34" s="20" t="inlineStr">
        <is>
          <t>Ana</t>
        </is>
      </c>
      <c r="C34" s="21" t="inlineStr">
        <is>
          <t>CRM</t>
        </is>
      </c>
      <c r="D34" s="22" t="inlineStr">
        <is>
          <t>User</t>
        </is>
      </c>
      <c r="E34" s="25" t="n">
        <v>45780</v>
      </c>
      <c r="F34" s="25" t="n"/>
      <c r="G34" s="1">
        <f>IF(OR(B34="",C34=""),"",IF(AND(F34&lt;&gt;"",F34&lt;=TODAY()),0,1))</f>
        <v/>
      </c>
      <c r="H34" s="14">
        <f>IF(OR(B34="",C34=""),"",IF(G34=0,"Removed",IF(AND(I34&lt;&gt;"",I34&lt;=TODAY()),"Remove now","Active")))</f>
        <v/>
      </c>
      <c r="I34" s="1">
        <f>IFERROR(IF(INDEX(Team!$E$6:$E$105,MATCH(B34,Team!$B$6:$B$105,0))="","",INDEX(Team!$E$6:$E$105,MATCH(B34,Team!$B$6:$B$105,0))),"")</f>
        <v/>
      </c>
      <c r="J34">
        <f>IF(G34&lt;&gt;1,0,IFERROR(IF(INDEX(Tools!$G$6:$G$105,MATCH(C34,Tools!$B$6:$B$105,0))="",0,IF(N(INDEX(Tools!$O$6:$O$105,MATCH(C34,Tools!$B$6:$B$105,0)))=0,0,N(INDEX(Tools!$F$6:$F$105,MATCH(C34,Tools!$B$6:$B$105,0)))/INDEX(Tools!$U$6:$U$105,MATCH(C34,Tools!$B$6:$B$105,0)))),0))</f>
        <v/>
      </c>
      <c r="K34">
        <f>IF(H34="Remove now",ROW(),"")</f>
        <v/>
      </c>
    </row>
    <row r="35">
      <c r="A35" s="1" t="n"/>
      <c r="B35" s="20" t="inlineStr">
        <is>
          <t>Ella</t>
        </is>
      </c>
      <c r="C35" s="21" t="inlineStr">
        <is>
          <t>CRM</t>
        </is>
      </c>
      <c r="D35" s="22" t="inlineStr">
        <is>
          <t>User</t>
        </is>
      </c>
      <c r="E35" s="25" t="n">
        <v>45780</v>
      </c>
      <c r="F35" s="25" t="n"/>
      <c r="G35" s="1">
        <f>IF(OR(B35="",C35=""),"",IF(AND(F35&lt;&gt;"",F35&lt;=TODAY()),0,1))</f>
        <v/>
      </c>
      <c r="H35" s="14">
        <f>IF(OR(B35="",C35=""),"",IF(G35=0,"Removed",IF(AND(I35&lt;&gt;"",I35&lt;=TODAY()),"Remove now","Active")))</f>
        <v/>
      </c>
      <c r="I35" s="1">
        <f>IFERROR(IF(INDEX(Team!$E$6:$E$105,MATCH(B35,Team!$B$6:$B$105,0))="","",INDEX(Team!$E$6:$E$105,MATCH(B35,Team!$B$6:$B$105,0))),"")</f>
        <v/>
      </c>
      <c r="J35">
        <f>IF(G35&lt;&gt;1,0,IFERROR(IF(INDEX(Tools!$G$6:$G$105,MATCH(C35,Tools!$B$6:$B$105,0))="",0,IF(N(INDEX(Tools!$O$6:$O$105,MATCH(C35,Tools!$B$6:$B$105,0)))=0,0,N(INDEX(Tools!$F$6:$F$105,MATCH(C35,Tools!$B$6:$B$105,0)))/INDEX(Tools!$U$6:$U$105,MATCH(C35,Tools!$B$6:$B$105,0)))),0))</f>
        <v/>
      </c>
      <c r="K35">
        <f>IF(H35="Remove now",ROW(),"")</f>
        <v/>
      </c>
    </row>
    <row r="36">
      <c r="A36" s="1" t="n"/>
      <c r="B36" s="20" t="inlineStr">
        <is>
          <t>Hugo</t>
        </is>
      </c>
      <c r="C36" s="21" t="inlineStr">
        <is>
          <t>CRM</t>
        </is>
      </c>
      <c r="D36" s="22" t="inlineStr">
        <is>
          <t>User</t>
        </is>
      </c>
      <c r="E36" s="25" t="n">
        <v>45780</v>
      </c>
      <c r="F36" s="25" t="n">
        <v>46282</v>
      </c>
      <c r="G36" s="1">
        <f>IF(OR(B36="",C36=""),"",IF(AND(F36&lt;&gt;"",F36&lt;=TODAY()),0,1))</f>
        <v/>
      </c>
      <c r="H36" s="14">
        <f>IF(OR(B36="",C36=""),"",IF(G36=0,"Removed",IF(AND(I36&lt;&gt;"",I36&lt;=TODAY()),"Remove now","Active")))</f>
        <v/>
      </c>
      <c r="I36" s="1">
        <f>IFERROR(IF(INDEX(Team!$E$6:$E$105,MATCH(B36,Team!$B$6:$B$105,0))="","",INDEX(Team!$E$6:$E$105,MATCH(B36,Team!$B$6:$B$105,0))),"")</f>
        <v/>
      </c>
      <c r="J36">
        <f>IF(G36&lt;&gt;1,0,IFERROR(IF(INDEX(Tools!$G$6:$G$105,MATCH(C36,Tools!$B$6:$B$105,0))="",0,IF(N(INDEX(Tools!$O$6:$O$105,MATCH(C36,Tools!$B$6:$B$105,0)))=0,0,N(INDEX(Tools!$F$6:$F$105,MATCH(C36,Tools!$B$6:$B$105,0)))/INDEX(Tools!$U$6:$U$105,MATCH(C36,Tools!$B$6:$B$105,0)))),0))</f>
        <v/>
      </c>
      <c r="K36">
        <f>IF(H36="Remove now",ROW(),"")</f>
        <v/>
      </c>
    </row>
    <row r="37">
      <c r="A37" s="1" t="n"/>
      <c r="B37" s="20" t="inlineStr">
        <is>
          <t>Ella</t>
        </is>
      </c>
      <c r="C37" s="21" t="inlineStr">
        <is>
          <t>Newsletter</t>
        </is>
      </c>
      <c r="D37" s="22" t="inlineStr">
        <is>
          <t>User</t>
        </is>
      </c>
      <c r="E37" s="25" t="n">
        <v>45209</v>
      </c>
      <c r="F37" s="25" t="n"/>
      <c r="G37" s="1">
        <f>IF(OR(B37="",C37=""),"",IF(AND(F37&lt;&gt;"",F37&lt;=TODAY()),0,1))</f>
        <v/>
      </c>
      <c r="H37" s="14">
        <f>IF(OR(B37="",C37=""),"",IF(G37=0,"Removed",IF(AND(I37&lt;&gt;"",I37&lt;=TODAY()),"Remove now","Active")))</f>
        <v/>
      </c>
      <c r="I37" s="1">
        <f>IFERROR(IF(INDEX(Team!$E$6:$E$105,MATCH(B37,Team!$B$6:$B$105,0))="","",INDEX(Team!$E$6:$E$105,MATCH(B37,Team!$B$6:$B$105,0))),"")</f>
        <v/>
      </c>
      <c r="J37">
        <f>IF(G37&lt;&gt;1,0,IFERROR(IF(INDEX(Tools!$G$6:$G$105,MATCH(C37,Tools!$B$6:$B$105,0))="",0,IF(N(INDEX(Tools!$O$6:$O$105,MATCH(C37,Tools!$B$6:$B$105,0)))=0,0,N(INDEX(Tools!$F$6:$F$105,MATCH(C37,Tools!$B$6:$B$105,0)))/INDEX(Tools!$U$6:$U$105,MATCH(C37,Tools!$B$6:$B$105,0)))),0))</f>
        <v/>
      </c>
      <c r="K37">
        <f>IF(H37="Remove now",ROW(),"")</f>
        <v/>
      </c>
    </row>
    <row r="38">
      <c r="A38" s="1" t="n"/>
      <c r="B38" s="20" t="inlineStr">
        <is>
          <t>Ana</t>
        </is>
      </c>
      <c r="C38" s="21" t="inlineStr">
        <is>
          <t>Project board</t>
        </is>
      </c>
      <c r="D38" s="22" t="inlineStr">
        <is>
          <t>User</t>
        </is>
      </c>
      <c r="E38" s="25" t="n">
        <v>45368</v>
      </c>
      <c r="F38" s="25" t="n"/>
      <c r="G38" s="1">
        <f>IF(OR(B38="",C38=""),"",IF(AND(F38&lt;&gt;"",F38&lt;=TODAY()),0,1))</f>
        <v/>
      </c>
      <c r="H38" s="14">
        <f>IF(OR(B38="",C38=""),"",IF(G38=0,"Removed",IF(AND(I38&lt;&gt;"",I38&lt;=TODAY()),"Remove now","Active")))</f>
        <v/>
      </c>
      <c r="I38" s="1">
        <f>IFERROR(IF(INDEX(Team!$E$6:$E$105,MATCH(B38,Team!$B$6:$B$105,0))="","",INDEX(Team!$E$6:$E$105,MATCH(B38,Team!$B$6:$B$105,0))),"")</f>
        <v/>
      </c>
      <c r="J38">
        <f>IF(G38&lt;&gt;1,0,IFERROR(IF(INDEX(Tools!$G$6:$G$105,MATCH(C38,Tools!$B$6:$B$105,0))="",0,IF(N(INDEX(Tools!$O$6:$O$105,MATCH(C38,Tools!$B$6:$B$105,0)))=0,0,N(INDEX(Tools!$F$6:$F$105,MATCH(C38,Tools!$B$6:$B$105,0)))/INDEX(Tools!$U$6:$U$105,MATCH(C38,Tools!$B$6:$B$105,0)))),0))</f>
        <v/>
      </c>
      <c r="K38">
        <f>IF(H38="Remove now",ROW(),"")</f>
        <v/>
      </c>
    </row>
    <row r="39">
      <c r="A39" s="1" t="n"/>
      <c r="B39" s="20" t="inlineStr">
        <is>
          <t>Ben</t>
        </is>
      </c>
      <c r="C39" s="21" t="inlineStr">
        <is>
          <t>Project board</t>
        </is>
      </c>
      <c r="D39" s="22" t="inlineStr">
        <is>
          <t>User</t>
        </is>
      </c>
      <c r="E39" s="25" t="n">
        <v>45368</v>
      </c>
      <c r="F39" s="25" t="n"/>
      <c r="G39" s="1">
        <f>IF(OR(B39="",C39=""),"",IF(AND(F39&lt;&gt;"",F39&lt;=TODAY()),0,1))</f>
        <v/>
      </c>
      <c r="H39" s="14">
        <f>IF(OR(B39="",C39=""),"",IF(G39=0,"Removed",IF(AND(I39&lt;&gt;"",I39&lt;=TODAY()),"Remove now","Active")))</f>
        <v/>
      </c>
      <c r="I39" s="1">
        <f>IFERROR(IF(INDEX(Team!$E$6:$E$105,MATCH(B39,Team!$B$6:$B$105,0))="","",INDEX(Team!$E$6:$E$105,MATCH(B39,Team!$B$6:$B$105,0))),"")</f>
        <v/>
      </c>
      <c r="J39">
        <f>IF(G39&lt;&gt;1,0,IFERROR(IF(INDEX(Tools!$G$6:$G$105,MATCH(C39,Tools!$B$6:$B$105,0))="",0,IF(N(INDEX(Tools!$O$6:$O$105,MATCH(C39,Tools!$B$6:$B$105,0)))=0,0,N(INDEX(Tools!$F$6:$F$105,MATCH(C39,Tools!$B$6:$B$105,0)))/INDEX(Tools!$U$6:$U$105,MATCH(C39,Tools!$B$6:$B$105,0)))),0))</f>
        <v/>
      </c>
      <c r="K39">
        <f>IF(H39="Remove now",ROW(),"")</f>
        <v/>
      </c>
    </row>
    <row r="40">
      <c r="A40" s="1" t="n"/>
      <c r="B40" s="20" t="inlineStr">
        <is>
          <t>Chloe</t>
        </is>
      </c>
      <c r="C40" s="21" t="inlineStr">
        <is>
          <t>Project board</t>
        </is>
      </c>
      <c r="D40" s="22" t="inlineStr">
        <is>
          <t>User</t>
        </is>
      </c>
      <c r="E40" s="25" t="n">
        <v>45368</v>
      </c>
      <c r="F40" s="25" t="n"/>
      <c r="G40" s="1">
        <f>IF(OR(B40="",C40=""),"",IF(AND(F40&lt;&gt;"",F40&lt;=TODAY()),0,1))</f>
        <v/>
      </c>
      <c r="H40" s="14">
        <f>IF(OR(B40="",C40=""),"",IF(G40=0,"Removed",IF(AND(I40&lt;&gt;"",I40&lt;=TODAY()),"Remove now","Active")))</f>
        <v/>
      </c>
      <c r="I40" s="1">
        <f>IFERROR(IF(INDEX(Team!$E$6:$E$105,MATCH(B40,Team!$B$6:$B$105,0))="","",INDEX(Team!$E$6:$E$105,MATCH(B40,Team!$B$6:$B$105,0))),"")</f>
        <v/>
      </c>
      <c r="J40">
        <f>IF(G40&lt;&gt;1,0,IFERROR(IF(INDEX(Tools!$G$6:$G$105,MATCH(C40,Tools!$B$6:$B$105,0))="",0,IF(N(INDEX(Tools!$O$6:$O$105,MATCH(C40,Tools!$B$6:$B$105,0)))=0,0,N(INDEX(Tools!$F$6:$F$105,MATCH(C40,Tools!$B$6:$B$105,0)))/INDEX(Tools!$U$6:$U$105,MATCH(C40,Tools!$B$6:$B$105,0)))),0))</f>
        <v/>
      </c>
      <c r="K40">
        <f>IF(H40="Remove now",ROW(),"")</f>
        <v/>
      </c>
    </row>
    <row r="41">
      <c r="A41" s="1" t="n"/>
      <c r="B41" s="20" t="inlineStr">
        <is>
          <t>Dev</t>
        </is>
      </c>
      <c r="C41" s="21" t="inlineStr">
        <is>
          <t>Project board</t>
        </is>
      </c>
      <c r="D41" s="22" t="inlineStr">
        <is>
          <t>User</t>
        </is>
      </c>
      <c r="E41" s="25" t="n">
        <v>45368</v>
      </c>
      <c r="F41" s="25" t="n"/>
      <c r="G41" s="1">
        <f>IF(OR(B41="",C41=""),"",IF(AND(F41&lt;&gt;"",F41&lt;=TODAY()),0,1))</f>
        <v/>
      </c>
      <c r="H41" s="14">
        <f>IF(OR(B41="",C41=""),"",IF(G41=0,"Removed",IF(AND(I41&lt;&gt;"",I41&lt;=TODAY()),"Remove now","Active")))</f>
        <v/>
      </c>
      <c r="I41" s="1">
        <f>IFERROR(IF(INDEX(Team!$E$6:$E$105,MATCH(B41,Team!$B$6:$B$105,0))="","",INDEX(Team!$E$6:$E$105,MATCH(B41,Team!$B$6:$B$105,0))),"")</f>
        <v/>
      </c>
      <c r="J41">
        <f>IF(G41&lt;&gt;1,0,IFERROR(IF(INDEX(Tools!$G$6:$G$105,MATCH(C41,Tools!$B$6:$B$105,0))="",0,IF(N(INDEX(Tools!$O$6:$O$105,MATCH(C41,Tools!$B$6:$B$105,0)))=0,0,N(INDEX(Tools!$F$6:$F$105,MATCH(C41,Tools!$B$6:$B$105,0)))/INDEX(Tools!$U$6:$U$105,MATCH(C41,Tools!$B$6:$B$105,0)))),0))</f>
        <v/>
      </c>
      <c r="K41">
        <f>IF(H41="Remove now",ROW(),"")</f>
        <v/>
      </c>
    </row>
    <row r="42">
      <c r="A42" s="1" t="n"/>
      <c r="B42" s="20" t="inlineStr">
        <is>
          <t>Ella</t>
        </is>
      </c>
      <c r="C42" s="21" t="inlineStr">
        <is>
          <t>Project board</t>
        </is>
      </c>
      <c r="D42" s="22" t="inlineStr">
        <is>
          <t>User</t>
        </is>
      </c>
      <c r="E42" s="25" t="n">
        <v>45368</v>
      </c>
      <c r="F42" s="25" t="n"/>
      <c r="G42" s="1">
        <f>IF(OR(B42="",C42=""),"",IF(AND(F42&lt;&gt;"",F42&lt;=TODAY()),0,1))</f>
        <v/>
      </c>
      <c r="H42" s="14">
        <f>IF(OR(B42="",C42=""),"",IF(G42=0,"Removed",IF(AND(I42&lt;&gt;"",I42&lt;=TODAY()),"Remove now","Active")))</f>
        <v/>
      </c>
      <c r="I42" s="1">
        <f>IFERROR(IF(INDEX(Team!$E$6:$E$105,MATCH(B42,Team!$B$6:$B$105,0))="","",INDEX(Team!$E$6:$E$105,MATCH(B42,Team!$B$6:$B$105,0))),"")</f>
        <v/>
      </c>
      <c r="J42">
        <f>IF(G42&lt;&gt;1,0,IFERROR(IF(INDEX(Tools!$G$6:$G$105,MATCH(C42,Tools!$B$6:$B$105,0))="",0,IF(N(INDEX(Tools!$O$6:$O$105,MATCH(C42,Tools!$B$6:$B$105,0)))=0,0,N(INDEX(Tools!$F$6:$F$105,MATCH(C42,Tools!$B$6:$B$105,0)))/INDEX(Tools!$U$6:$U$105,MATCH(C42,Tools!$B$6:$B$105,0)))),0))</f>
        <v/>
      </c>
      <c r="K42">
        <f>IF(H42="Remove now",ROW(),"")</f>
        <v/>
      </c>
    </row>
    <row r="43">
      <c r="A43" s="1" t="n"/>
      <c r="B43" s="20" t="inlineStr">
        <is>
          <t>Finn</t>
        </is>
      </c>
      <c r="C43" s="21" t="inlineStr">
        <is>
          <t>Project board</t>
        </is>
      </c>
      <c r="D43" s="22" t="inlineStr">
        <is>
          <t>User</t>
        </is>
      </c>
      <c r="E43" s="25" t="n">
        <v>45368</v>
      </c>
      <c r="F43" s="25" t="n"/>
      <c r="G43" s="1">
        <f>IF(OR(B43="",C43=""),"",IF(AND(F43&lt;&gt;"",F43&lt;=TODAY()),0,1))</f>
        <v/>
      </c>
      <c r="H43" s="14">
        <f>IF(OR(B43="",C43=""),"",IF(G43=0,"Removed",IF(AND(I43&lt;&gt;"",I43&lt;=TODAY()),"Remove now","Active")))</f>
        <v/>
      </c>
      <c r="I43" s="1">
        <f>IFERROR(IF(INDEX(Team!$E$6:$E$105,MATCH(B43,Team!$B$6:$B$105,0))="","",INDEX(Team!$E$6:$E$105,MATCH(B43,Team!$B$6:$B$105,0))),"")</f>
        <v/>
      </c>
      <c r="J43">
        <f>IF(G43&lt;&gt;1,0,IFERROR(IF(INDEX(Tools!$G$6:$G$105,MATCH(C43,Tools!$B$6:$B$105,0))="",0,IF(N(INDEX(Tools!$O$6:$O$105,MATCH(C43,Tools!$B$6:$B$105,0)))=0,0,N(INDEX(Tools!$F$6:$F$105,MATCH(C43,Tools!$B$6:$B$105,0)))/INDEX(Tools!$U$6:$U$105,MATCH(C43,Tools!$B$6:$B$105,0)))),0))</f>
        <v/>
      </c>
      <c r="K43">
        <f>IF(H43="Remove now",ROW(),"")</f>
        <v/>
      </c>
    </row>
    <row r="44">
      <c r="A44" s="1" t="n"/>
      <c r="B44" s="20" t="inlineStr">
        <is>
          <t>Grace</t>
        </is>
      </c>
      <c r="C44" s="21" t="inlineStr">
        <is>
          <t>Project board</t>
        </is>
      </c>
      <c r="D44" s="22" t="inlineStr">
        <is>
          <t>Admin</t>
        </is>
      </c>
      <c r="E44" s="25" t="n">
        <v>45368</v>
      </c>
      <c r="F44" s="25" t="n"/>
      <c r="G44" s="1">
        <f>IF(OR(B44="",C44=""),"",IF(AND(F44&lt;&gt;"",F44&lt;=TODAY()),0,1))</f>
        <v/>
      </c>
      <c r="H44" s="14">
        <f>IF(OR(B44="",C44=""),"",IF(G44=0,"Removed",IF(AND(I44&lt;&gt;"",I44&lt;=TODAY()),"Remove now","Active")))</f>
        <v/>
      </c>
      <c r="I44" s="1">
        <f>IFERROR(IF(INDEX(Team!$E$6:$E$105,MATCH(B44,Team!$B$6:$B$105,0))="","",INDEX(Team!$E$6:$E$105,MATCH(B44,Team!$B$6:$B$105,0))),"")</f>
        <v/>
      </c>
      <c r="J44">
        <f>IF(G44&lt;&gt;1,0,IFERROR(IF(INDEX(Tools!$G$6:$G$105,MATCH(C44,Tools!$B$6:$B$105,0))="",0,IF(N(INDEX(Tools!$O$6:$O$105,MATCH(C44,Tools!$B$6:$B$105,0)))=0,0,N(INDEX(Tools!$F$6:$F$105,MATCH(C44,Tools!$B$6:$B$105,0)))/INDEX(Tools!$U$6:$U$105,MATCH(C44,Tools!$B$6:$B$105,0)))),0))</f>
        <v/>
      </c>
      <c r="K44">
        <f>IF(H44="Remove now",ROW(),"")</f>
        <v/>
      </c>
    </row>
    <row r="45">
      <c r="A45" s="1" t="n"/>
      <c r="B45" s="20" t="inlineStr">
        <is>
          <t>Ana</t>
        </is>
      </c>
      <c r="C45" s="21" t="inlineStr">
        <is>
          <t>Password manager</t>
        </is>
      </c>
      <c r="D45" s="22" t="inlineStr">
        <is>
          <t>User</t>
        </is>
      </c>
      <c r="E45" s="25" t="n">
        <v>45893</v>
      </c>
      <c r="F45" s="25" t="n"/>
      <c r="G45" s="1">
        <f>IF(OR(B45="",C45=""),"",IF(AND(F45&lt;&gt;"",F45&lt;=TODAY()),0,1))</f>
        <v/>
      </c>
      <c r="H45" s="14">
        <f>IF(OR(B45="",C45=""),"",IF(G45=0,"Removed",IF(AND(I45&lt;&gt;"",I45&lt;=TODAY()),"Remove now","Active")))</f>
        <v/>
      </c>
      <c r="I45" s="1">
        <f>IFERROR(IF(INDEX(Team!$E$6:$E$105,MATCH(B45,Team!$B$6:$B$105,0))="","",INDEX(Team!$E$6:$E$105,MATCH(B45,Team!$B$6:$B$105,0))),"")</f>
        <v/>
      </c>
      <c r="J45">
        <f>IF(G45&lt;&gt;1,0,IFERROR(IF(INDEX(Tools!$G$6:$G$105,MATCH(C45,Tools!$B$6:$B$105,0))="",0,IF(N(INDEX(Tools!$O$6:$O$105,MATCH(C45,Tools!$B$6:$B$105,0)))=0,0,N(INDEX(Tools!$F$6:$F$105,MATCH(C45,Tools!$B$6:$B$105,0)))/INDEX(Tools!$U$6:$U$105,MATCH(C45,Tools!$B$6:$B$105,0)))),0))</f>
        <v/>
      </c>
      <c r="K45">
        <f>IF(H45="Remove now",ROW(),"")</f>
        <v/>
      </c>
    </row>
    <row r="46">
      <c r="A46" s="1" t="n"/>
      <c r="B46" s="20" t="inlineStr">
        <is>
          <t>Ben</t>
        </is>
      </c>
      <c r="C46" s="21" t="inlineStr">
        <is>
          <t>Password manager</t>
        </is>
      </c>
      <c r="D46" s="22" t="inlineStr">
        <is>
          <t>User</t>
        </is>
      </c>
      <c r="E46" s="25" t="n">
        <v>45893</v>
      </c>
      <c r="F46" s="25" t="n"/>
      <c r="G46" s="1">
        <f>IF(OR(B46="",C46=""),"",IF(AND(F46&lt;&gt;"",F46&lt;=TODAY()),0,1))</f>
        <v/>
      </c>
      <c r="H46" s="14">
        <f>IF(OR(B46="",C46=""),"",IF(G46=0,"Removed",IF(AND(I46&lt;&gt;"",I46&lt;=TODAY()),"Remove now","Active")))</f>
        <v/>
      </c>
      <c r="I46" s="1">
        <f>IFERROR(IF(INDEX(Team!$E$6:$E$105,MATCH(B46,Team!$B$6:$B$105,0))="","",INDEX(Team!$E$6:$E$105,MATCH(B46,Team!$B$6:$B$105,0))),"")</f>
        <v/>
      </c>
      <c r="J46">
        <f>IF(G46&lt;&gt;1,0,IFERROR(IF(INDEX(Tools!$G$6:$G$105,MATCH(C46,Tools!$B$6:$B$105,0))="",0,IF(N(INDEX(Tools!$O$6:$O$105,MATCH(C46,Tools!$B$6:$B$105,0)))=0,0,N(INDEX(Tools!$F$6:$F$105,MATCH(C46,Tools!$B$6:$B$105,0)))/INDEX(Tools!$U$6:$U$105,MATCH(C46,Tools!$B$6:$B$105,0)))),0))</f>
        <v/>
      </c>
      <c r="K46">
        <f>IF(H46="Remove now",ROW(),"")</f>
        <v/>
      </c>
    </row>
    <row r="47">
      <c r="A47" s="1" t="n"/>
      <c r="B47" s="20" t="inlineStr">
        <is>
          <t>Chloe</t>
        </is>
      </c>
      <c r="C47" s="21" t="inlineStr">
        <is>
          <t>Password manager</t>
        </is>
      </c>
      <c r="D47" s="22" t="inlineStr">
        <is>
          <t>User</t>
        </is>
      </c>
      <c r="E47" s="25" t="n">
        <v>45893</v>
      </c>
      <c r="F47" s="25" t="n"/>
      <c r="G47" s="1">
        <f>IF(OR(B47="",C47=""),"",IF(AND(F47&lt;&gt;"",F47&lt;=TODAY()),0,1))</f>
        <v/>
      </c>
      <c r="H47" s="14">
        <f>IF(OR(B47="",C47=""),"",IF(G47=0,"Removed",IF(AND(I47&lt;&gt;"",I47&lt;=TODAY()),"Remove now","Active")))</f>
        <v/>
      </c>
      <c r="I47" s="1">
        <f>IFERROR(IF(INDEX(Team!$E$6:$E$105,MATCH(B47,Team!$B$6:$B$105,0))="","",INDEX(Team!$E$6:$E$105,MATCH(B47,Team!$B$6:$B$105,0))),"")</f>
        <v/>
      </c>
      <c r="J47">
        <f>IF(G47&lt;&gt;1,0,IFERROR(IF(INDEX(Tools!$G$6:$G$105,MATCH(C47,Tools!$B$6:$B$105,0))="",0,IF(N(INDEX(Tools!$O$6:$O$105,MATCH(C47,Tools!$B$6:$B$105,0)))=0,0,N(INDEX(Tools!$F$6:$F$105,MATCH(C47,Tools!$B$6:$B$105,0)))/INDEX(Tools!$U$6:$U$105,MATCH(C47,Tools!$B$6:$B$105,0)))),0))</f>
        <v/>
      </c>
      <c r="K47">
        <f>IF(H47="Remove now",ROW(),"")</f>
        <v/>
      </c>
    </row>
    <row r="48">
      <c r="A48" s="1" t="n"/>
      <c r="B48" s="20" t="inlineStr">
        <is>
          <t>Dev</t>
        </is>
      </c>
      <c r="C48" s="21" t="inlineStr">
        <is>
          <t>Password manager</t>
        </is>
      </c>
      <c r="D48" s="22" t="inlineStr">
        <is>
          <t>Admin</t>
        </is>
      </c>
      <c r="E48" s="25" t="n">
        <v>45893</v>
      </c>
      <c r="F48" s="25" t="n"/>
      <c r="G48" s="1">
        <f>IF(OR(B48="",C48=""),"",IF(AND(F48&lt;&gt;"",F48&lt;=TODAY()),0,1))</f>
        <v/>
      </c>
      <c r="H48" s="14">
        <f>IF(OR(B48="",C48=""),"",IF(G48=0,"Removed",IF(AND(I48&lt;&gt;"",I48&lt;=TODAY()),"Remove now","Active")))</f>
        <v/>
      </c>
      <c r="I48" s="1">
        <f>IFERROR(IF(INDEX(Team!$E$6:$E$105,MATCH(B48,Team!$B$6:$B$105,0))="","",INDEX(Team!$E$6:$E$105,MATCH(B48,Team!$B$6:$B$105,0))),"")</f>
        <v/>
      </c>
      <c r="J48">
        <f>IF(G48&lt;&gt;1,0,IFERROR(IF(INDEX(Tools!$G$6:$G$105,MATCH(C48,Tools!$B$6:$B$105,0))="",0,IF(N(INDEX(Tools!$O$6:$O$105,MATCH(C48,Tools!$B$6:$B$105,0)))=0,0,N(INDEX(Tools!$F$6:$F$105,MATCH(C48,Tools!$B$6:$B$105,0)))/INDEX(Tools!$U$6:$U$105,MATCH(C48,Tools!$B$6:$B$105,0)))),0))</f>
        <v/>
      </c>
      <c r="K48">
        <f>IF(H48="Remove now",ROW(),"")</f>
        <v/>
      </c>
    </row>
    <row r="49">
      <c r="A49" s="1" t="n"/>
      <c r="B49" s="20" t="inlineStr">
        <is>
          <t>Ella</t>
        </is>
      </c>
      <c r="C49" s="21" t="inlineStr">
        <is>
          <t>Password manager</t>
        </is>
      </c>
      <c r="D49" s="22" t="inlineStr">
        <is>
          <t>User</t>
        </is>
      </c>
      <c r="E49" s="25" t="n">
        <v>45893</v>
      </c>
      <c r="F49" s="25" t="n"/>
      <c r="G49" s="1">
        <f>IF(OR(B49="",C49=""),"",IF(AND(F49&lt;&gt;"",F49&lt;=TODAY()),0,1))</f>
        <v/>
      </c>
      <c r="H49" s="14">
        <f>IF(OR(B49="",C49=""),"",IF(G49=0,"Removed",IF(AND(I49&lt;&gt;"",I49&lt;=TODAY()),"Remove now","Active")))</f>
        <v/>
      </c>
      <c r="I49" s="1">
        <f>IFERROR(IF(INDEX(Team!$E$6:$E$105,MATCH(B49,Team!$B$6:$B$105,0))="","",INDEX(Team!$E$6:$E$105,MATCH(B49,Team!$B$6:$B$105,0))),"")</f>
        <v/>
      </c>
      <c r="J49">
        <f>IF(G49&lt;&gt;1,0,IFERROR(IF(INDEX(Tools!$G$6:$G$105,MATCH(C49,Tools!$B$6:$B$105,0))="",0,IF(N(INDEX(Tools!$O$6:$O$105,MATCH(C49,Tools!$B$6:$B$105,0)))=0,0,N(INDEX(Tools!$F$6:$F$105,MATCH(C49,Tools!$B$6:$B$105,0)))/INDEX(Tools!$U$6:$U$105,MATCH(C49,Tools!$B$6:$B$105,0)))),0))</f>
        <v/>
      </c>
      <c r="K49">
        <f>IF(H49="Remove now",ROW(),"")</f>
        <v/>
      </c>
    </row>
    <row r="50">
      <c r="A50" s="1" t="n"/>
      <c r="B50" s="20" t="inlineStr">
        <is>
          <t>Finn</t>
        </is>
      </c>
      <c r="C50" s="21" t="inlineStr">
        <is>
          <t>Password manager</t>
        </is>
      </c>
      <c r="D50" s="22" t="inlineStr">
        <is>
          <t>User</t>
        </is>
      </c>
      <c r="E50" s="25" t="n">
        <v>45893</v>
      </c>
      <c r="F50" s="25" t="n"/>
      <c r="G50" s="1">
        <f>IF(OR(B50="",C50=""),"",IF(AND(F50&lt;&gt;"",F50&lt;=TODAY()),0,1))</f>
        <v/>
      </c>
      <c r="H50" s="14">
        <f>IF(OR(B50="",C50=""),"",IF(G50=0,"Removed",IF(AND(I50&lt;&gt;"",I50&lt;=TODAY()),"Remove now","Active")))</f>
        <v/>
      </c>
      <c r="I50" s="1">
        <f>IFERROR(IF(INDEX(Team!$E$6:$E$105,MATCH(B50,Team!$B$6:$B$105,0))="","",INDEX(Team!$E$6:$E$105,MATCH(B50,Team!$B$6:$B$105,0))),"")</f>
        <v/>
      </c>
      <c r="J50">
        <f>IF(G50&lt;&gt;1,0,IFERROR(IF(INDEX(Tools!$G$6:$G$105,MATCH(C50,Tools!$B$6:$B$105,0))="",0,IF(N(INDEX(Tools!$O$6:$O$105,MATCH(C50,Tools!$B$6:$B$105,0)))=0,0,N(INDEX(Tools!$F$6:$F$105,MATCH(C50,Tools!$B$6:$B$105,0)))/INDEX(Tools!$U$6:$U$105,MATCH(C50,Tools!$B$6:$B$105,0)))),0))</f>
        <v/>
      </c>
      <c r="K50">
        <f>IF(H50="Remove now",ROW(),"")</f>
        <v/>
      </c>
    </row>
    <row r="51">
      <c r="A51" s="1" t="n"/>
      <c r="B51" s="20" t="inlineStr">
        <is>
          <t>Grace</t>
        </is>
      </c>
      <c r="C51" s="21" t="inlineStr">
        <is>
          <t>Password manager</t>
        </is>
      </c>
      <c r="D51" s="22" t="inlineStr">
        <is>
          <t>User</t>
        </is>
      </c>
      <c r="E51" s="25" t="n">
        <v>45893</v>
      </c>
      <c r="F51" s="25" t="n"/>
      <c r="G51" s="1">
        <f>IF(OR(B51="",C51=""),"",IF(AND(F51&lt;&gt;"",F51&lt;=TODAY()),0,1))</f>
        <v/>
      </c>
      <c r="H51" s="14">
        <f>IF(OR(B51="",C51=""),"",IF(G51=0,"Removed",IF(AND(I51&lt;&gt;"",I51&lt;=TODAY()),"Remove now","Active")))</f>
        <v/>
      </c>
      <c r="I51" s="1">
        <f>IFERROR(IF(INDEX(Team!$E$6:$E$105,MATCH(B51,Team!$B$6:$B$105,0))="","",INDEX(Team!$E$6:$E$105,MATCH(B51,Team!$B$6:$B$105,0))),"")</f>
        <v/>
      </c>
      <c r="J51">
        <f>IF(G51&lt;&gt;1,0,IFERROR(IF(INDEX(Tools!$G$6:$G$105,MATCH(C51,Tools!$B$6:$B$105,0))="",0,IF(N(INDEX(Tools!$O$6:$O$105,MATCH(C51,Tools!$B$6:$B$105,0)))=0,0,N(INDEX(Tools!$F$6:$F$105,MATCH(C51,Tools!$B$6:$B$105,0)))/INDEX(Tools!$U$6:$U$105,MATCH(C51,Tools!$B$6:$B$105,0)))),0))</f>
        <v/>
      </c>
      <c r="K51">
        <f>IF(H51="Remove now",ROW(),"")</f>
        <v/>
      </c>
    </row>
    <row r="52">
      <c r="A52" s="1" t="n"/>
      <c r="B52" s="20" t="inlineStr">
        <is>
          <t>Hugo</t>
        </is>
      </c>
      <c r="C52" s="21" t="inlineStr">
        <is>
          <t>Password manager</t>
        </is>
      </c>
      <c r="D52" s="22" t="inlineStr">
        <is>
          <t>User</t>
        </is>
      </c>
      <c r="E52" s="25" t="n">
        <v>45893</v>
      </c>
      <c r="F52" s="25" t="n"/>
      <c r="G52" s="1">
        <f>IF(OR(B52="",C52=""),"",IF(AND(F52&lt;&gt;"",F52&lt;=TODAY()),0,1))</f>
        <v/>
      </c>
      <c r="H52" s="14">
        <f>IF(OR(B52="",C52=""),"",IF(G52=0,"Removed",IF(AND(I52&lt;&gt;"",I52&lt;=TODAY()),"Remove now","Active")))</f>
        <v/>
      </c>
      <c r="I52" s="1">
        <f>IFERROR(IF(INDEX(Team!$E$6:$E$105,MATCH(B52,Team!$B$6:$B$105,0))="","",INDEX(Team!$E$6:$E$105,MATCH(B52,Team!$B$6:$B$105,0))),"")</f>
        <v/>
      </c>
      <c r="J52">
        <f>IF(G52&lt;&gt;1,0,IFERROR(IF(INDEX(Tools!$G$6:$G$105,MATCH(C52,Tools!$B$6:$B$105,0))="",0,IF(N(INDEX(Tools!$O$6:$O$105,MATCH(C52,Tools!$B$6:$B$105,0)))=0,0,N(INDEX(Tools!$F$6:$F$105,MATCH(C52,Tools!$B$6:$B$105,0)))/INDEX(Tools!$U$6:$U$105,MATCH(C52,Tools!$B$6:$B$105,0)))),0))</f>
        <v/>
      </c>
      <c r="K52">
        <f>IF(H52="Remove now",ROW(),"")</f>
        <v/>
      </c>
    </row>
    <row r="53">
      <c r="A53" s="1" t="n"/>
      <c r="B53" s="20" t="inlineStr">
        <is>
          <t>Dev</t>
        </is>
      </c>
      <c r="C53" s="21" t="inlineStr">
        <is>
          <t>Cloud storage</t>
        </is>
      </c>
      <c r="D53" s="22" t="inlineStr">
        <is>
          <t>User</t>
        </is>
      </c>
      <c r="E53" s="25" t="n">
        <v>44930</v>
      </c>
      <c r="F53" s="25" t="n"/>
      <c r="G53" s="1">
        <f>IF(OR(B53="",C53=""),"",IF(AND(F53&lt;&gt;"",F53&lt;=TODAY()),0,1))</f>
        <v/>
      </c>
      <c r="H53" s="14">
        <f>IF(OR(B53="",C53=""),"",IF(G53=0,"Removed",IF(AND(I53&lt;&gt;"",I53&lt;=TODAY()),"Remove now","Active")))</f>
        <v/>
      </c>
      <c r="I53" s="1">
        <f>IFERROR(IF(INDEX(Team!$E$6:$E$105,MATCH(B53,Team!$B$6:$B$105,0))="","",INDEX(Team!$E$6:$E$105,MATCH(B53,Team!$B$6:$B$105,0))),"")</f>
        <v/>
      </c>
      <c r="J53">
        <f>IF(G53&lt;&gt;1,0,IFERROR(IF(INDEX(Tools!$G$6:$G$105,MATCH(C53,Tools!$B$6:$B$105,0))="",0,IF(N(INDEX(Tools!$O$6:$O$105,MATCH(C53,Tools!$B$6:$B$105,0)))=0,0,N(INDEX(Tools!$F$6:$F$105,MATCH(C53,Tools!$B$6:$B$105,0)))/INDEX(Tools!$U$6:$U$105,MATCH(C53,Tools!$B$6:$B$105,0)))),0))</f>
        <v/>
      </c>
      <c r="K53">
        <f>IF(H53="Remove now",ROW(),"")</f>
        <v/>
      </c>
    </row>
    <row r="54">
      <c r="A54" s="1" t="n"/>
      <c r="B54" s="20" t="inlineStr">
        <is>
          <t>Ana</t>
        </is>
      </c>
      <c r="C54" s="21" t="inlineStr">
        <is>
          <t>Cloud storage</t>
        </is>
      </c>
      <c r="D54" s="22" t="inlineStr">
        <is>
          <t>User</t>
        </is>
      </c>
      <c r="E54" s="25" t="n">
        <v>44930</v>
      </c>
      <c r="F54" s="25" t="n"/>
      <c r="G54" s="1">
        <f>IF(OR(B54="",C54=""),"",IF(AND(F54&lt;&gt;"",F54&lt;=TODAY()),0,1))</f>
        <v/>
      </c>
      <c r="H54" s="14">
        <f>IF(OR(B54="",C54=""),"",IF(G54=0,"Removed",IF(AND(I54&lt;&gt;"",I54&lt;=TODAY()),"Remove now","Active")))</f>
        <v/>
      </c>
      <c r="I54" s="1">
        <f>IFERROR(IF(INDEX(Team!$E$6:$E$105,MATCH(B54,Team!$B$6:$B$105,0))="","",INDEX(Team!$E$6:$E$105,MATCH(B54,Team!$B$6:$B$105,0))),"")</f>
        <v/>
      </c>
      <c r="J54">
        <f>IF(G54&lt;&gt;1,0,IFERROR(IF(INDEX(Tools!$G$6:$G$105,MATCH(C54,Tools!$B$6:$B$105,0))="",0,IF(N(INDEX(Tools!$O$6:$O$105,MATCH(C54,Tools!$B$6:$B$105,0)))=0,0,N(INDEX(Tools!$F$6:$F$105,MATCH(C54,Tools!$B$6:$B$105,0)))/INDEX(Tools!$U$6:$U$105,MATCH(C54,Tools!$B$6:$B$105,0)))),0))</f>
        <v/>
      </c>
      <c r="K54">
        <f>IF(H54="Remove now",ROW(),"")</f>
        <v/>
      </c>
    </row>
    <row r="55">
      <c r="A55" s="1" t="n"/>
      <c r="B55" s="20" t="inlineStr">
        <is>
          <t>Grace</t>
        </is>
      </c>
      <c r="C55" s="21" t="inlineStr">
        <is>
          <t>Scheduling</t>
        </is>
      </c>
      <c r="D55" s="22" t="inlineStr">
        <is>
          <t>User</t>
        </is>
      </c>
      <c r="E55" s="25" t="n">
        <v>45454</v>
      </c>
      <c r="F55" s="25" t="n"/>
      <c r="G55" s="1">
        <f>IF(OR(B55="",C55=""),"",IF(AND(F55&lt;&gt;"",F55&lt;=TODAY()),0,1))</f>
        <v/>
      </c>
      <c r="H55" s="14">
        <f>IF(OR(B55="",C55=""),"",IF(G55=0,"Removed",IF(AND(I55&lt;&gt;"",I55&lt;=TODAY()),"Remove now","Active")))</f>
        <v/>
      </c>
      <c r="I55" s="1">
        <f>IFERROR(IF(INDEX(Team!$E$6:$E$105,MATCH(B55,Team!$B$6:$B$105,0))="","",INDEX(Team!$E$6:$E$105,MATCH(B55,Team!$B$6:$B$105,0))),"")</f>
        <v/>
      </c>
      <c r="J55">
        <f>IF(G55&lt;&gt;1,0,IFERROR(IF(INDEX(Tools!$G$6:$G$105,MATCH(C55,Tools!$B$6:$B$105,0))="",0,IF(N(INDEX(Tools!$O$6:$O$105,MATCH(C55,Tools!$B$6:$B$105,0)))=0,0,N(INDEX(Tools!$F$6:$F$105,MATCH(C55,Tools!$B$6:$B$105,0)))/INDEX(Tools!$U$6:$U$105,MATCH(C55,Tools!$B$6:$B$105,0)))),0))</f>
        <v/>
      </c>
      <c r="K55">
        <f>IF(H55="Remove now",ROW(),"")</f>
        <v/>
      </c>
    </row>
    <row r="56">
      <c r="A56" s="1" t="n"/>
      <c r="B56" s="20" t="inlineStr">
        <is>
          <t>Finn</t>
        </is>
      </c>
      <c r="C56" s="21" t="inlineStr">
        <is>
          <t>Scheduling</t>
        </is>
      </c>
      <c r="D56" s="22" t="inlineStr">
        <is>
          <t>User</t>
        </is>
      </c>
      <c r="E56" s="25" t="n">
        <v>45454</v>
      </c>
      <c r="F56" s="25" t="n"/>
      <c r="G56" s="1">
        <f>IF(OR(B56="",C56=""),"",IF(AND(F56&lt;&gt;"",F56&lt;=TODAY()),0,1))</f>
        <v/>
      </c>
      <c r="H56" s="14">
        <f>IF(OR(B56="",C56=""),"",IF(G56=0,"Removed",IF(AND(I56&lt;&gt;"",I56&lt;=TODAY()),"Remove now","Active")))</f>
        <v/>
      </c>
      <c r="I56" s="1">
        <f>IFERROR(IF(INDEX(Team!$E$6:$E$105,MATCH(B56,Team!$B$6:$B$105,0))="","",INDEX(Team!$E$6:$E$105,MATCH(B56,Team!$B$6:$B$105,0))),"")</f>
        <v/>
      </c>
      <c r="J56">
        <f>IF(G56&lt;&gt;1,0,IFERROR(IF(INDEX(Tools!$G$6:$G$105,MATCH(C56,Tools!$B$6:$B$105,0))="",0,IF(N(INDEX(Tools!$O$6:$O$105,MATCH(C56,Tools!$B$6:$B$105,0)))=0,0,N(INDEX(Tools!$F$6:$F$105,MATCH(C56,Tools!$B$6:$B$105,0)))/INDEX(Tools!$U$6:$U$105,MATCH(C56,Tools!$B$6:$B$105,0)))),0))</f>
        <v/>
      </c>
      <c r="K56">
        <f>IF(H56="Remove now",ROW(),"")</f>
        <v/>
      </c>
    </row>
    <row r="57">
      <c r="A57" s="1" t="n"/>
      <c r="B57" s="20" t="inlineStr">
        <is>
          <t>Ana</t>
        </is>
      </c>
      <c r="C57" s="21" t="inlineStr">
        <is>
          <t>E-signature</t>
        </is>
      </c>
      <c r="D57" s="22" t="inlineStr">
        <is>
          <t>User</t>
        </is>
      </c>
      <c r="E57" s="25" t="n">
        <v>45979</v>
      </c>
      <c r="F57" s="25" t="n">
        <v>46280</v>
      </c>
      <c r="G57" s="1">
        <f>IF(OR(B57="",C57=""),"",IF(AND(F57&lt;&gt;"",F57&lt;=TODAY()),0,1))</f>
        <v/>
      </c>
      <c r="H57" s="14">
        <f>IF(OR(B57="",C57=""),"",IF(G57=0,"Removed",IF(AND(I57&lt;&gt;"",I57&lt;=TODAY()),"Remove now","Active")))</f>
        <v/>
      </c>
      <c r="I57" s="1">
        <f>IFERROR(IF(INDEX(Team!$E$6:$E$105,MATCH(B57,Team!$B$6:$B$105,0))="","",INDEX(Team!$E$6:$E$105,MATCH(B57,Team!$B$6:$B$105,0))),"")</f>
        <v/>
      </c>
      <c r="J57">
        <f>IF(G57&lt;&gt;1,0,IFERROR(IF(INDEX(Tools!$G$6:$G$105,MATCH(C57,Tools!$B$6:$B$105,0))="",0,IF(N(INDEX(Tools!$O$6:$O$105,MATCH(C57,Tools!$B$6:$B$105,0)))=0,0,N(INDEX(Tools!$F$6:$F$105,MATCH(C57,Tools!$B$6:$B$105,0)))/INDEX(Tools!$U$6:$U$105,MATCH(C57,Tools!$B$6:$B$105,0)))),0))</f>
        <v/>
      </c>
      <c r="K57">
        <f>IF(H57="Remove now",ROW(),"")</f>
        <v/>
      </c>
    </row>
    <row r="58">
      <c r="A58" s="1" t="n"/>
      <c r="B58" s="20" t="inlineStr">
        <is>
          <t>Ella</t>
        </is>
      </c>
      <c r="C58" s="21" t="inlineStr">
        <is>
          <t>AI writing assistant</t>
        </is>
      </c>
      <c r="D58" s="22" t="inlineStr">
        <is>
          <t>User</t>
        </is>
      </c>
      <c r="E58" s="25" t="n">
        <v>45041</v>
      </c>
      <c r="F58" s="25" t="n"/>
      <c r="G58" s="1">
        <f>IF(OR(B58="",C58=""),"",IF(AND(F58&lt;&gt;"",F58&lt;=TODAY()),0,1))</f>
        <v/>
      </c>
      <c r="H58" s="14">
        <f>IF(OR(B58="",C58=""),"",IF(G58=0,"Removed",IF(AND(I58&lt;&gt;"",I58&lt;=TODAY()),"Remove now","Active")))</f>
        <v/>
      </c>
      <c r="I58" s="1">
        <f>IFERROR(IF(INDEX(Team!$E$6:$E$105,MATCH(B58,Team!$B$6:$B$105,0))="","",INDEX(Team!$E$6:$E$105,MATCH(B58,Team!$B$6:$B$105,0))),"")</f>
        <v/>
      </c>
      <c r="J58">
        <f>IF(G58&lt;&gt;1,0,IFERROR(IF(INDEX(Tools!$G$6:$G$105,MATCH(C58,Tools!$B$6:$B$105,0))="",0,IF(N(INDEX(Tools!$O$6:$O$105,MATCH(C58,Tools!$B$6:$B$105,0)))=0,0,N(INDEX(Tools!$F$6:$F$105,MATCH(C58,Tools!$B$6:$B$105,0)))/INDEX(Tools!$U$6:$U$105,MATCH(C58,Tools!$B$6:$B$105,0)))),0))</f>
        <v/>
      </c>
      <c r="K58">
        <f>IF(H58="Remove now",ROW(),"")</f>
        <v/>
      </c>
    </row>
    <row r="59">
      <c r="A59" s="1" t="n"/>
      <c r="B59" s="20" t="inlineStr">
        <is>
          <t>Finn</t>
        </is>
      </c>
      <c r="C59" s="21" t="inlineStr">
        <is>
          <t>AI writing assistant</t>
        </is>
      </c>
      <c r="D59" s="22" t="inlineStr">
        <is>
          <t>User</t>
        </is>
      </c>
      <c r="E59" s="25" t="n">
        <v>45299</v>
      </c>
      <c r="F59" s="25" t="n"/>
      <c r="G59" s="1">
        <f>IF(OR(B59="",C59=""),"",IF(AND(F59&lt;&gt;"",F59&lt;=TODAY()),0,1))</f>
        <v/>
      </c>
      <c r="H59" s="14">
        <f>IF(OR(B59="",C59=""),"",IF(G59=0,"Removed",IF(AND(I59&lt;&gt;"",I59&lt;=TODAY()),"Remove now","Active")))</f>
        <v/>
      </c>
      <c r="I59" s="1">
        <f>IFERROR(IF(INDEX(Team!$E$6:$E$105,MATCH(B59,Team!$B$6:$B$105,0))="","",INDEX(Team!$E$6:$E$105,MATCH(B59,Team!$B$6:$B$105,0))),"")</f>
        <v/>
      </c>
      <c r="J59">
        <f>IF(G59&lt;&gt;1,0,IFERROR(IF(INDEX(Tools!$G$6:$G$105,MATCH(C59,Tools!$B$6:$B$105,0))="",0,IF(N(INDEX(Tools!$O$6:$O$105,MATCH(C59,Tools!$B$6:$B$105,0)))=0,0,N(INDEX(Tools!$F$6:$F$105,MATCH(C59,Tools!$B$6:$B$105,0)))/INDEX(Tools!$U$6:$U$105,MATCH(C59,Tools!$B$6:$B$105,0)))),0))</f>
        <v/>
      </c>
      <c r="K59">
        <f>IF(H59="Remove now",ROW(),"")</f>
        <v/>
      </c>
    </row>
    <row r="60">
      <c r="A60" s="1" t="n"/>
      <c r="B60" s="20" t="n"/>
      <c r="C60" s="21" t="n"/>
      <c r="D60" s="22" t="n"/>
      <c r="E60" s="25" t="n"/>
      <c r="F60" s="25" t="n"/>
      <c r="G60" s="1">
        <f>IF(OR(B60="",C60=""),"",IF(AND(F60&lt;&gt;"",F60&lt;=TODAY()),0,1))</f>
        <v/>
      </c>
      <c r="H60" s="14">
        <f>IF(OR(B60="",C60=""),"",IF(G60=0,"Removed",IF(AND(I60&lt;&gt;"",I60&lt;=TODAY()),"Remove now","Active")))</f>
        <v/>
      </c>
      <c r="I60" s="1">
        <f>IFERROR(IF(INDEX(Team!$E$6:$E$105,MATCH(B60,Team!$B$6:$B$105,0))="","",INDEX(Team!$E$6:$E$105,MATCH(B60,Team!$B$6:$B$105,0))),"")</f>
        <v/>
      </c>
      <c r="J60">
        <f>IF(G60&lt;&gt;1,0,IFERROR(IF(INDEX(Tools!$G$6:$G$105,MATCH(C60,Tools!$B$6:$B$105,0))="",0,IF(N(INDEX(Tools!$O$6:$O$105,MATCH(C60,Tools!$B$6:$B$105,0)))=0,0,N(INDEX(Tools!$F$6:$F$105,MATCH(C60,Tools!$B$6:$B$105,0)))/INDEX(Tools!$U$6:$U$105,MATCH(C60,Tools!$B$6:$B$105,0)))),0))</f>
        <v/>
      </c>
      <c r="K60">
        <f>IF(H60="Remove now",ROW(),"")</f>
        <v/>
      </c>
    </row>
    <row r="61">
      <c r="A61" s="1" t="n"/>
      <c r="B61" s="20" t="n"/>
      <c r="C61" s="21" t="n"/>
      <c r="D61" s="22" t="n"/>
      <c r="E61" s="25" t="n"/>
      <c r="F61" s="25" t="n"/>
      <c r="G61" s="1">
        <f>IF(OR(B61="",C61=""),"",IF(AND(F61&lt;&gt;"",F61&lt;=TODAY()),0,1))</f>
        <v/>
      </c>
      <c r="H61" s="14">
        <f>IF(OR(B61="",C61=""),"",IF(G61=0,"Removed",IF(AND(I61&lt;&gt;"",I61&lt;=TODAY()),"Remove now","Active")))</f>
        <v/>
      </c>
      <c r="I61" s="1">
        <f>IFERROR(IF(INDEX(Team!$E$6:$E$105,MATCH(B61,Team!$B$6:$B$105,0))="","",INDEX(Team!$E$6:$E$105,MATCH(B61,Team!$B$6:$B$105,0))),"")</f>
        <v/>
      </c>
      <c r="J61">
        <f>IF(G61&lt;&gt;1,0,IFERROR(IF(INDEX(Tools!$G$6:$G$105,MATCH(C61,Tools!$B$6:$B$105,0))="",0,IF(N(INDEX(Tools!$O$6:$O$105,MATCH(C61,Tools!$B$6:$B$105,0)))=0,0,N(INDEX(Tools!$F$6:$F$105,MATCH(C61,Tools!$B$6:$B$105,0)))/INDEX(Tools!$U$6:$U$105,MATCH(C61,Tools!$B$6:$B$105,0)))),0))</f>
        <v/>
      </c>
      <c r="K61">
        <f>IF(H61="Remove now",ROW(),"")</f>
        <v/>
      </c>
    </row>
    <row r="62">
      <c r="A62" s="1" t="n"/>
      <c r="B62" s="20" t="n"/>
      <c r="C62" s="21" t="n"/>
      <c r="D62" s="22" t="n"/>
      <c r="E62" s="25" t="n"/>
      <c r="F62" s="25" t="n"/>
      <c r="G62" s="1">
        <f>IF(OR(B62="",C62=""),"",IF(AND(F62&lt;&gt;"",F62&lt;=TODAY()),0,1))</f>
        <v/>
      </c>
      <c r="H62" s="14">
        <f>IF(OR(B62="",C62=""),"",IF(G62=0,"Removed",IF(AND(I62&lt;&gt;"",I62&lt;=TODAY()),"Remove now","Active")))</f>
        <v/>
      </c>
      <c r="I62" s="1">
        <f>IFERROR(IF(INDEX(Team!$E$6:$E$105,MATCH(B62,Team!$B$6:$B$105,0))="","",INDEX(Team!$E$6:$E$105,MATCH(B62,Team!$B$6:$B$105,0))),"")</f>
        <v/>
      </c>
      <c r="J62">
        <f>IF(G62&lt;&gt;1,0,IFERROR(IF(INDEX(Tools!$G$6:$G$105,MATCH(C62,Tools!$B$6:$B$105,0))="",0,IF(N(INDEX(Tools!$O$6:$O$105,MATCH(C62,Tools!$B$6:$B$105,0)))=0,0,N(INDEX(Tools!$F$6:$F$105,MATCH(C62,Tools!$B$6:$B$105,0)))/INDEX(Tools!$U$6:$U$105,MATCH(C62,Tools!$B$6:$B$105,0)))),0))</f>
        <v/>
      </c>
      <c r="K62">
        <f>IF(H62="Remove now",ROW(),"")</f>
        <v/>
      </c>
    </row>
    <row r="63">
      <c r="A63" s="1" t="n"/>
      <c r="B63" s="20" t="n"/>
      <c r="C63" s="21" t="n"/>
      <c r="D63" s="22" t="n"/>
      <c r="E63" s="25" t="n"/>
      <c r="F63" s="25" t="n"/>
      <c r="G63" s="1">
        <f>IF(OR(B63="",C63=""),"",IF(AND(F63&lt;&gt;"",F63&lt;=TODAY()),0,1))</f>
        <v/>
      </c>
      <c r="H63" s="14">
        <f>IF(OR(B63="",C63=""),"",IF(G63=0,"Removed",IF(AND(I63&lt;&gt;"",I63&lt;=TODAY()),"Remove now","Active")))</f>
        <v/>
      </c>
      <c r="I63" s="1">
        <f>IFERROR(IF(INDEX(Team!$E$6:$E$105,MATCH(B63,Team!$B$6:$B$105,0))="","",INDEX(Team!$E$6:$E$105,MATCH(B63,Team!$B$6:$B$105,0))),"")</f>
        <v/>
      </c>
      <c r="J63">
        <f>IF(G63&lt;&gt;1,0,IFERROR(IF(INDEX(Tools!$G$6:$G$105,MATCH(C63,Tools!$B$6:$B$105,0))="",0,IF(N(INDEX(Tools!$O$6:$O$105,MATCH(C63,Tools!$B$6:$B$105,0)))=0,0,N(INDEX(Tools!$F$6:$F$105,MATCH(C63,Tools!$B$6:$B$105,0)))/INDEX(Tools!$U$6:$U$105,MATCH(C63,Tools!$B$6:$B$105,0)))),0))</f>
        <v/>
      </c>
      <c r="K63">
        <f>IF(H63="Remove now",ROW(),"")</f>
        <v/>
      </c>
    </row>
    <row r="64">
      <c r="A64" s="1" t="n"/>
      <c r="B64" s="20" t="n"/>
      <c r="C64" s="21" t="n"/>
      <c r="D64" s="22" t="n"/>
      <c r="E64" s="25" t="n"/>
      <c r="F64" s="25" t="n"/>
      <c r="G64" s="1">
        <f>IF(OR(B64="",C64=""),"",IF(AND(F64&lt;&gt;"",F64&lt;=TODAY()),0,1))</f>
        <v/>
      </c>
      <c r="H64" s="14">
        <f>IF(OR(B64="",C64=""),"",IF(G64=0,"Removed",IF(AND(I64&lt;&gt;"",I64&lt;=TODAY()),"Remove now","Active")))</f>
        <v/>
      </c>
      <c r="I64" s="1">
        <f>IFERROR(IF(INDEX(Team!$E$6:$E$105,MATCH(B64,Team!$B$6:$B$105,0))="","",INDEX(Team!$E$6:$E$105,MATCH(B64,Team!$B$6:$B$105,0))),"")</f>
        <v/>
      </c>
      <c r="J64">
        <f>IF(G64&lt;&gt;1,0,IFERROR(IF(INDEX(Tools!$G$6:$G$105,MATCH(C64,Tools!$B$6:$B$105,0))="",0,IF(N(INDEX(Tools!$O$6:$O$105,MATCH(C64,Tools!$B$6:$B$105,0)))=0,0,N(INDEX(Tools!$F$6:$F$105,MATCH(C64,Tools!$B$6:$B$105,0)))/INDEX(Tools!$U$6:$U$105,MATCH(C64,Tools!$B$6:$B$105,0)))),0))</f>
        <v/>
      </c>
      <c r="K64">
        <f>IF(H64="Remove now",ROW(),"")</f>
        <v/>
      </c>
    </row>
    <row r="65">
      <c r="A65" s="1" t="n"/>
      <c r="B65" s="20" t="n"/>
      <c r="C65" s="21" t="n"/>
      <c r="D65" s="22" t="n"/>
      <c r="E65" s="25" t="n"/>
      <c r="F65" s="25" t="n"/>
      <c r="G65" s="1">
        <f>IF(OR(B65="",C65=""),"",IF(AND(F65&lt;&gt;"",F65&lt;=TODAY()),0,1))</f>
        <v/>
      </c>
      <c r="H65" s="14">
        <f>IF(OR(B65="",C65=""),"",IF(G65=0,"Removed",IF(AND(I65&lt;&gt;"",I65&lt;=TODAY()),"Remove now","Active")))</f>
        <v/>
      </c>
      <c r="I65" s="1">
        <f>IFERROR(IF(INDEX(Team!$E$6:$E$105,MATCH(B65,Team!$B$6:$B$105,0))="","",INDEX(Team!$E$6:$E$105,MATCH(B65,Team!$B$6:$B$105,0))),"")</f>
        <v/>
      </c>
      <c r="J65">
        <f>IF(G65&lt;&gt;1,0,IFERROR(IF(INDEX(Tools!$G$6:$G$105,MATCH(C65,Tools!$B$6:$B$105,0))="",0,IF(N(INDEX(Tools!$O$6:$O$105,MATCH(C65,Tools!$B$6:$B$105,0)))=0,0,N(INDEX(Tools!$F$6:$F$105,MATCH(C65,Tools!$B$6:$B$105,0)))/INDEX(Tools!$U$6:$U$105,MATCH(C65,Tools!$B$6:$B$105,0)))),0))</f>
        <v/>
      </c>
      <c r="K65">
        <f>IF(H65="Remove now",ROW(),"")</f>
        <v/>
      </c>
    </row>
    <row r="66">
      <c r="A66" s="1" t="n"/>
      <c r="B66" s="20" t="n"/>
      <c r="C66" s="21" t="n"/>
      <c r="D66" s="22" t="n"/>
      <c r="E66" s="25" t="n"/>
      <c r="F66" s="25" t="n"/>
      <c r="G66" s="1">
        <f>IF(OR(B66="",C66=""),"",IF(AND(F66&lt;&gt;"",F66&lt;=TODAY()),0,1))</f>
        <v/>
      </c>
      <c r="H66" s="14">
        <f>IF(OR(B66="",C66=""),"",IF(G66=0,"Removed",IF(AND(I66&lt;&gt;"",I66&lt;=TODAY()),"Remove now","Active")))</f>
        <v/>
      </c>
      <c r="I66" s="1">
        <f>IFERROR(IF(INDEX(Team!$E$6:$E$105,MATCH(B66,Team!$B$6:$B$105,0))="","",INDEX(Team!$E$6:$E$105,MATCH(B66,Team!$B$6:$B$105,0))),"")</f>
        <v/>
      </c>
      <c r="J66">
        <f>IF(G66&lt;&gt;1,0,IFERROR(IF(INDEX(Tools!$G$6:$G$105,MATCH(C66,Tools!$B$6:$B$105,0))="",0,IF(N(INDEX(Tools!$O$6:$O$105,MATCH(C66,Tools!$B$6:$B$105,0)))=0,0,N(INDEX(Tools!$F$6:$F$105,MATCH(C66,Tools!$B$6:$B$105,0)))/INDEX(Tools!$U$6:$U$105,MATCH(C66,Tools!$B$6:$B$105,0)))),0))</f>
        <v/>
      </c>
      <c r="K66">
        <f>IF(H66="Remove now",ROW(),"")</f>
        <v/>
      </c>
    </row>
    <row r="67">
      <c r="A67" s="1" t="n"/>
      <c r="B67" s="20" t="n"/>
      <c r="C67" s="21" t="n"/>
      <c r="D67" s="22" t="n"/>
      <c r="E67" s="25" t="n"/>
      <c r="F67" s="25" t="n"/>
      <c r="G67" s="1">
        <f>IF(OR(B67="",C67=""),"",IF(AND(F67&lt;&gt;"",F67&lt;=TODAY()),0,1))</f>
        <v/>
      </c>
      <c r="H67" s="14">
        <f>IF(OR(B67="",C67=""),"",IF(G67=0,"Removed",IF(AND(I67&lt;&gt;"",I67&lt;=TODAY()),"Remove now","Active")))</f>
        <v/>
      </c>
      <c r="I67" s="1">
        <f>IFERROR(IF(INDEX(Team!$E$6:$E$105,MATCH(B67,Team!$B$6:$B$105,0))="","",INDEX(Team!$E$6:$E$105,MATCH(B67,Team!$B$6:$B$105,0))),"")</f>
        <v/>
      </c>
      <c r="J67">
        <f>IF(G67&lt;&gt;1,0,IFERROR(IF(INDEX(Tools!$G$6:$G$105,MATCH(C67,Tools!$B$6:$B$105,0))="",0,IF(N(INDEX(Tools!$O$6:$O$105,MATCH(C67,Tools!$B$6:$B$105,0)))=0,0,N(INDEX(Tools!$F$6:$F$105,MATCH(C67,Tools!$B$6:$B$105,0)))/INDEX(Tools!$U$6:$U$105,MATCH(C67,Tools!$B$6:$B$105,0)))),0))</f>
        <v/>
      </c>
      <c r="K67">
        <f>IF(H67="Remove now",ROW(),"")</f>
        <v/>
      </c>
    </row>
    <row r="68">
      <c r="A68" s="1" t="n"/>
      <c r="B68" s="20" t="n"/>
      <c r="C68" s="21" t="n"/>
      <c r="D68" s="22" t="n"/>
      <c r="E68" s="25" t="n"/>
      <c r="F68" s="25" t="n"/>
      <c r="G68" s="1">
        <f>IF(OR(B68="",C68=""),"",IF(AND(F68&lt;&gt;"",F68&lt;=TODAY()),0,1))</f>
        <v/>
      </c>
      <c r="H68" s="14">
        <f>IF(OR(B68="",C68=""),"",IF(G68=0,"Removed",IF(AND(I68&lt;&gt;"",I68&lt;=TODAY()),"Remove now","Active")))</f>
        <v/>
      </c>
      <c r="I68" s="1">
        <f>IFERROR(IF(INDEX(Team!$E$6:$E$105,MATCH(B68,Team!$B$6:$B$105,0))="","",INDEX(Team!$E$6:$E$105,MATCH(B68,Team!$B$6:$B$105,0))),"")</f>
        <v/>
      </c>
      <c r="J68">
        <f>IF(G68&lt;&gt;1,0,IFERROR(IF(INDEX(Tools!$G$6:$G$105,MATCH(C68,Tools!$B$6:$B$105,0))="",0,IF(N(INDEX(Tools!$O$6:$O$105,MATCH(C68,Tools!$B$6:$B$105,0)))=0,0,N(INDEX(Tools!$F$6:$F$105,MATCH(C68,Tools!$B$6:$B$105,0)))/INDEX(Tools!$U$6:$U$105,MATCH(C68,Tools!$B$6:$B$105,0)))),0))</f>
        <v/>
      </c>
      <c r="K68">
        <f>IF(H68="Remove now",ROW(),"")</f>
        <v/>
      </c>
    </row>
    <row r="69">
      <c r="A69" s="1" t="n"/>
      <c r="B69" s="20" t="n"/>
      <c r="C69" s="21" t="n"/>
      <c r="D69" s="22" t="n"/>
      <c r="E69" s="25" t="n"/>
      <c r="F69" s="25" t="n"/>
      <c r="G69" s="1">
        <f>IF(OR(B69="",C69=""),"",IF(AND(F69&lt;&gt;"",F69&lt;=TODAY()),0,1))</f>
        <v/>
      </c>
      <c r="H69" s="14">
        <f>IF(OR(B69="",C69=""),"",IF(G69=0,"Removed",IF(AND(I69&lt;&gt;"",I69&lt;=TODAY()),"Remove now","Active")))</f>
        <v/>
      </c>
      <c r="I69" s="1">
        <f>IFERROR(IF(INDEX(Team!$E$6:$E$105,MATCH(B69,Team!$B$6:$B$105,0))="","",INDEX(Team!$E$6:$E$105,MATCH(B69,Team!$B$6:$B$105,0))),"")</f>
        <v/>
      </c>
      <c r="J69">
        <f>IF(G69&lt;&gt;1,0,IFERROR(IF(INDEX(Tools!$G$6:$G$105,MATCH(C69,Tools!$B$6:$B$105,0))="",0,IF(N(INDEX(Tools!$O$6:$O$105,MATCH(C69,Tools!$B$6:$B$105,0)))=0,0,N(INDEX(Tools!$F$6:$F$105,MATCH(C69,Tools!$B$6:$B$105,0)))/INDEX(Tools!$U$6:$U$105,MATCH(C69,Tools!$B$6:$B$105,0)))),0))</f>
        <v/>
      </c>
      <c r="K69">
        <f>IF(H69="Remove now",ROW(),"")</f>
        <v/>
      </c>
    </row>
    <row r="70">
      <c r="A70" s="1" t="n"/>
      <c r="B70" s="20" t="n"/>
      <c r="C70" s="21" t="n"/>
      <c r="D70" s="22" t="n"/>
      <c r="E70" s="25" t="n"/>
      <c r="F70" s="25" t="n"/>
      <c r="G70" s="1">
        <f>IF(OR(B70="",C70=""),"",IF(AND(F70&lt;&gt;"",F70&lt;=TODAY()),0,1))</f>
        <v/>
      </c>
      <c r="H70" s="14">
        <f>IF(OR(B70="",C70=""),"",IF(G70=0,"Removed",IF(AND(I70&lt;&gt;"",I70&lt;=TODAY()),"Remove now","Active")))</f>
        <v/>
      </c>
      <c r="I70" s="1">
        <f>IFERROR(IF(INDEX(Team!$E$6:$E$105,MATCH(B70,Team!$B$6:$B$105,0))="","",INDEX(Team!$E$6:$E$105,MATCH(B70,Team!$B$6:$B$105,0))),"")</f>
        <v/>
      </c>
      <c r="J70">
        <f>IF(G70&lt;&gt;1,0,IFERROR(IF(INDEX(Tools!$G$6:$G$105,MATCH(C70,Tools!$B$6:$B$105,0))="",0,IF(N(INDEX(Tools!$O$6:$O$105,MATCH(C70,Tools!$B$6:$B$105,0)))=0,0,N(INDEX(Tools!$F$6:$F$105,MATCH(C70,Tools!$B$6:$B$105,0)))/INDEX(Tools!$U$6:$U$105,MATCH(C70,Tools!$B$6:$B$105,0)))),0))</f>
        <v/>
      </c>
      <c r="K70">
        <f>IF(H70="Remove now",ROW(),"")</f>
        <v/>
      </c>
    </row>
    <row r="71">
      <c r="A71" s="1" t="n"/>
      <c r="B71" s="20" t="n"/>
      <c r="C71" s="21" t="n"/>
      <c r="D71" s="22" t="n"/>
      <c r="E71" s="25" t="n"/>
      <c r="F71" s="25" t="n"/>
      <c r="G71" s="1">
        <f>IF(OR(B71="",C71=""),"",IF(AND(F71&lt;&gt;"",F71&lt;=TODAY()),0,1))</f>
        <v/>
      </c>
      <c r="H71" s="14">
        <f>IF(OR(B71="",C71=""),"",IF(G71=0,"Removed",IF(AND(I71&lt;&gt;"",I71&lt;=TODAY()),"Remove now","Active")))</f>
        <v/>
      </c>
      <c r="I71" s="1">
        <f>IFERROR(IF(INDEX(Team!$E$6:$E$105,MATCH(B71,Team!$B$6:$B$105,0))="","",INDEX(Team!$E$6:$E$105,MATCH(B71,Team!$B$6:$B$105,0))),"")</f>
        <v/>
      </c>
      <c r="J71">
        <f>IF(G71&lt;&gt;1,0,IFERROR(IF(INDEX(Tools!$G$6:$G$105,MATCH(C71,Tools!$B$6:$B$105,0))="",0,IF(N(INDEX(Tools!$O$6:$O$105,MATCH(C71,Tools!$B$6:$B$105,0)))=0,0,N(INDEX(Tools!$F$6:$F$105,MATCH(C71,Tools!$B$6:$B$105,0)))/INDEX(Tools!$U$6:$U$105,MATCH(C71,Tools!$B$6:$B$105,0)))),0))</f>
        <v/>
      </c>
      <c r="K71">
        <f>IF(H71="Remove now",ROW(),"")</f>
        <v/>
      </c>
    </row>
    <row r="72">
      <c r="A72" s="1" t="n"/>
      <c r="B72" s="20" t="n"/>
      <c r="C72" s="21" t="n"/>
      <c r="D72" s="22" t="n"/>
      <c r="E72" s="25" t="n"/>
      <c r="F72" s="25" t="n"/>
      <c r="G72" s="1">
        <f>IF(OR(B72="",C72=""),"",IF(AND(F72&lt;&gt;"",F72&lt;=TODAY()),0,1))</f>
        <v/>
      </c>
      <c r="H72" s="14">
        <f>IF(OR(B72="",C72=""),"",IF(G72=0,"Removed",IF(AND(I72&lt;&gt;"",I72&lt;=TODAY()),"Remove now","Active")))</f>
        <v/>
      </c>
      <c r="I72" s="1">
        <f>IFERROR(IF(INDEX(Team!$E$6:$E$105,MATCH(B72,Team!$B$6:$B$105,0))="","",INDEX(Team!$E$6:$E$105,MATCH(B72,Team!$B$6:$B$105,0))),"")</f>
        <v/>
      </c>
      <c r="J72">
        <f>IF(G72&lt;&gt;1,0,IFERROR(IF(INDEX(Tools!$G$6:$G$105,MATCH(C72,Tools!$B$6:$B$105,0))="",0,IF(N(INDEX(Tools!$O$6:$O$105,MATCH(C72,Tools!$B$6:$B$105,0)))=0,0,N(INDEX(Tools!$F$6:$F$105,MATCH(C72,Tools!$B$6:$B$105,0)))/INDEX(Tools!$U$6:$U$105,MATCH(C72,Tools!$B$6:$B$105,0)))),0))</f>
        <v/>
      </c>
      <c r="K72">
        <f>IF(H72="Remove now",ROW(),"")</f>
        <v/>
      </c>
    </row>
    <row r="73">
      <c r="A73" s="1" t="n"/>
      <c r="B73" s="20" t="n"/>
      <c r="C73" s="21" t="n"/>
      <c r="D73" s="22" t="n"/>
      <c r="E73" s="25" t="n"/>
      <c r="F73" s="25" t="n"/>
      <c r="G73" s="1">
        <f>IF(OR(B73="",C73=""),"",IF(AND(F73&lt;&gt;"",F73&lt;=TODAY()),0,1))</f>
        <v/>
      </c>
      <c r="H73" s="14">
        <f>IF(OR(B73="",C73=""),"",IF(G73=0,"Removed",IF(AND(I73&lt;&gt;"",I73&lt;=TODAY()),"Remove now","Active")))</f>
        <v/>
      </c>
      <c r="I73" s="1">
        <f>IFERROR(IF(INDEX(Team!$E$6:$E$105,MATCH(B73,Team!$B$6:$B$105,0))="","",INDEX(Team!$E$6:$E$105,MATCH(B73,Team!$B$6:$B$105,0))),"")</f>
        <v/>
      </c>
      <c r="J73">
        <f>IF(G73&lt;&gt;1,0,IFERROR(IF(INDEX(Tools!$G$6:$G$105,MATCH(C73,Tools!$B$6:$B$105,0))="",0,IF(N(INDEX(Tools!$O$6:$O$105,MATCH(C73,Tools!$B$6:$B$105,0)))=0,0,N(INDEX(Tools!$F$6:$F$105,MATCH(C73,Tools!$B$6:$B$105,0)))/INDEX(Tools!$U$6:$U$105,MATCH(C73,Tools!$B$6:$B$105,0)))),0))</f>
        <v/>
      </c>
      <c r="K73">
        <f>IF(H73="Remove now",ROW(),"")</f>
        <v/>
      </c>
    </row>
    <row r="74">
      <c r="A74" s="1" t="n"/>
      <c r="B74" s="20" t="n"/>
      <c r="C74" s="21" t="n"/>
      <c r="D74" s="22" t="n"/>
      <c r="E74" s="25" t="n"/>
      <c r="F74" s="25" t="n"/>
      <c r="G74" s="1">
        <f>IF(OR(B74="",C74=""),"",IF(AND(F74&lt;&gt;"",F74&lt;=TODAY()),0,1))</f>
        <v/>
      </c>
      <c r="H74" s="14">
        <f>IF(OR(B74="",C74=""),"",IF(G74=0,"Removed",IF(AND(I74&lt;&gt;"",I74&lt;=TODAY()),"Remove now","Active")))</f>
        <v/>
      </c>
      <c r="I74" s="1">
        <f>IFERROR(IF(INDEX(Team!$E$6:$E$105,MATCH(B74,Team!$B$6:$B$105,0))="","",INDEX(Team!$E$6:$E$105,MATCH(B74,Team!$B$6:$B$105,0))),"")</f>
        <v/>
      </c>
      <c r="J74">
        <f>IF(G74&lt;&gt;1,0,IFERROR(IF(INDEX(Tools!$G$6:$G$105,MATCH(C74,Tools!$B$6:$B$105,0))="",0,IF(N(INDEX(Tools!$O$6:$O$105,MATCH(C74,Tools!$B$6:$B$105,0)))=0,0,N(INDEX(Tools!$F$6:$F$105,MATCH(C74,Tools!$B$6:$B$105,0)))/INDEX(Tools!$U$6:$U$105,MATCH(C74,Tools!$B$6:$B$105,0)))),0))</f>
        <v/>
      </c>
      <c r="K74">
        <f>IF(H74="Remove now",ROW(),"")</f>
        <v/>
      </c>
    </row>
    <row r="75">
      <c r="A75" s="1" t="n"/>
      <c r="B75" s="20" t="n"/>
      <c r="C75" s="21" t="n"/>
      <c r="D75" s="22" t="n"/>
      <c r="E75" s="25" t="n"/>
      <c r="F75" s="25" t="n"/>
      <c r="G75" s="1">
        <f>IF(OR(B75="",C75=""),"",IF(AND(F75&lt;&gt;"",F75&lt;=TODAY()),0,1))</f>
        <v/>
      </c>
      <c r="H75" s="14">
        <f>IF(OR(B75="",C75=""),"",IF(G75=0,"Removed",IF(AND(I75&lt;&gt;"",I75&lt;=TODAY()),"Remove now","Active")))</f>
        <v/>
      </c>
      <c r="I75" s="1">
        <f>IFERROR(IF(INDEX(Team!$E$6:$E$105,MATCH(B75,Team!$B$6:$B$105,0))="","",INDEX(Team!$E$6:$E$105,MATCH(B75,Team!$B$6:$B$105,0))),"")</f>
        <v/>
      </c>
      <c r="J75">
        <f>IF(G75&lt;&gt;1,0,IFERROR(IF(INDEX(Tools!$G$6:$G$105,MATCH(C75,Tools!$B$6:$B$105,0))="",0,IF(N(INDEX(Tools!$O$6:$O$105,MATCH(C75,Tools!$B$6:$B$105,0)))=0,0,N(INDEX(Tools!$F$6:$F$105,MATCH(C75,Tools!$B$6:$B$105,0)))/INDEX(Tools!$U$6:$U$105,MATCH(C75,Tools!$B$6:$B$105,0)))),0))</f>
        <v/>
      </c>
      <c r="K75">
        <f>IF(H75="Remove now",ROW(),"")</f>
        <v/>
      </c>
    </row>
    <row r="76">
      <c r="A76" s="1" t="n"/>
      <c r="B76" s="20" t="n"/>
      <c r="C76" s="21" t="n"/>
      <c r="D76" s="22" t="n"/>
      <c r="E76" s="25" t="n"/>
      <c r="F76" s="25" t="n"/>
      <c r="G76" s="1">
        <f>IF(OR(B76="",C76=""),"",IF(AND(F76&lt;&gt;"",F76&lt;=TODAY()),0,1))</f>
        <v/>
      </c>
      <c r="H76" s="14">
        <f>IF(OR(B76="",C76=""),"",IF(G76=0,"Removed",IF(AND(I76&lt;&gt;"",I76&lt;=TODAY()),"Remove now","Active")))</f>
        <v/>
      </c>
      <c r="I76" s="1">
        <f>IFERROR(IF(INDEX(Team!$E$6:$E$105,MATCH(B76,Team!$B$6:$B$105,0))="","",INDEX(Team!$E$6:$E$105,MATCH(B76,Team!$B$6:$B$105,0))),"")</f>
        <v/>
      </c>
      <c r="J76">
        <f>IF(G76&lt;&gt;1,0,IFERROR(IF(INDEX(Tools!$G$6:$G$105,MATCH(C76,Tools!$B$6:$B$105,0))="",0,IF(N(INDEX(Tools!$O$6:$O$105,MATCH(C76,Tools!$B$6:$B$105,0)))=0,0,N(INDEX(Tools!$F$6:$F$105,MATCH(C76,Tools!$B$6:$B$105,0)))/INDEX(Tools!$U$6:$U$105,MATCH(C76,Tools!$B$6:$B$105,0)))),0))</f>
        <v/>
      </c>
      <c r="K76">
        <f>IF(H76="Remove now",ROW(),"")</f>
        <v/>
      </c>
    </row>
    <row r="77">
      <c r="A77" s="1" t="n"/>
      <c r="B77" s="20" t="n"/>
      <c r="C77" s="21" t="n"/>
      <c r="D77" s="22" t="n"/>
      <c r="E77" s="25" t="n"/>
      <c r="F77" s="25" t="n"/>
      <c r="G77" s="1">
        <f>IF(OR(B77="",C77=""),"",IF(AND(F77&lt;&gt;"",F77&lt;=TODAY()),0,1))</f>
        <v/>
      </c>
      <c r="H77" s="14">
        <f>IF(OR(B77="",C77=""),"",IF(G77=0,"Removed",IF(AND(I77&lt;&gt;"",I77&lt;=TODAY()),"Remove now","Active")))</f>
        <v/>
      </c>
      <c r="I77" s="1">
        <f>IFERROR(IF(INDEX(Team!$E$6:$E$105,MATCH(B77,Team!$B$6:$B$105,0))="","",INDEX(Team!$E$6:$E$105,MATCH(B77,Team!$B$6:$B$105,0))),"")</f>
        <v/>
      </c>
      <c r="J77">
        <f>IF(G77&lt;&gt;1,0,IFERROR(IF(INDEX(Tools!$G$6:$G$105,MATCH(C77,Tools!$B$6:$B$105,0))="",0,IF(N(INDEX(Tools!$O$6:$O$105,MATCH(C77,Tools!$B$6:$B$105,0)))=0,0,N(INDEX(Tools!$F$6:$F$105,MATCH(C77,Tools!$B$6:$B$105,0)))/INDEX(Tools!$U$6:$U$105,MATCH(C77,Tools!$B$6:$B$105,0)))),0))</f>
        <v/>
      </c>
      <c r="K77">
        <f>IF(H77="Remove now",ROW(),"")</f>
        <v/>
      </c>
    </row>
    <row r="78">
      <c r="A78" s="1" t="n"/>
      <c r="B78" s="20" t="n"/>
      <c r="C78" s="21" t="n"/>
      <c r="D78" s="22" t="n"/>
      <c r="E78" s="25" t="n"/>
      <c r="F78" s="25" t="n"/>
      <c r="G78" s="1">
        <f>IF(OR(B78="",C78=""),"",IF(AND(F78&lt;&gt;"",F78&lt;=TODAY()),0,1))</f>
        <v/>
      </c>
      <c r="H78" s="14">
        <f>IF(OR(B78="",C78=""),"",IF(G78=0,"Removed",IF(AND(I78&lt;&gt;"",I78&lt;=TODAY()),"Remove now","Active")))</f>
        <v/>
      </c>
      <c r="I78" s="1">
        <f>IFERROR(IF(INDEX(Team!$E$6:$E$105,MATCH(B78,Team!$B$6:$B$105,0))="","",INDEX(Team!$E$6:$E$105,MATCH(B78,Team!$B$6:$B$105,0))),"")</f>
        <v/>
      </c>
      <c r="J78">
        <f>IF(G78&lt;&gt;1,0,IFERROR(IF(INDEX(Tools!$G$6:$G$105,MATCH(C78,Tools!$B$6:$B$105,0))="",0,IF(N(INDEX(Tools!$O$6:$O$105,MATCH(C78,Tools!$B$6:$B$105,0)))=0,0,N(INDEX(Tools!$F$6:$F$105,MATCH(C78,Tools!$B$6:$B$105,0)))/INDEX(Tools!$U$6:$U$105,MATCH(C78,Tools!$B$6:$B$105,0)))),0))</f>
        <v/>
      </c>
      <c r="K78">
        <f>IF(H78="Remove now",ROW(),"")</f>
        <v/>
      </c>
    </row>
    <row r="79">
      <c r="A79" s="1" t="n"/>
      <c r="B79" s="20" t="n"/>
      <c r="C79" s="21" t="n"/>
      <c r="D79" s="22" t="n"/>
      <c r="E79" s="25" t="n"/>
      <c r="F79" s="25" t="n"/>
      <c r="G79" s="1">
        <f>IF(OR(B79="",C79=""),"",IF(AND(F79&lt;&gt;"",F79&lt;=TODAY()),0,1))</f>
        <v/>
      </c>
      <c r="H79" s="14">
        <f>IF(OR(B79="",C79=""),"",IF(G79=0,"Removed",IF(AND(I79&lt;&gt;"",I79&lt;=TODAY()),"Remove now","Active")))</f>
        <v/>
      </c>
      <c r="I79" s="1">
        <f>IFERROR(IF(INDEX(Team!$E$6:$E$105,MATCH(B79,Team!$B$6:$B$105,0))="","",INDEX(Team!$E$6:$E$105,MATCH(B79,Team!$B$6:$B$105,0))),"")</f>
        <v/>
      </c>
      <c r="J79">
        <f>IF(G79&lt;&gt;1,0,IFERROR(IF(INDEX(Tools!$G$6:$G$105,MATCH(C79,Tools!$B$6:$B$105,0))="",0,IF(N(INDEX(Tools!$O$6:$O$105,MATCH(C79,Tools!$B$6:$B$105,0)))=0,0,N(INDEX(Tools!$F$6:$F$105,MATCH(C79,Tools!$B$6:$B$105,0)))/INDEX(Tools!$U$6:$U$105,MATCH(C79,Tools!$B$6:$B$105,0)))),0))</f>
        <v/>
      </c>
      <c r="K79">
        <f>IF(H79="Remove now",ROW(),"")</f>
        <v/>
      </c>
    </row>
    <row r="80">
      <c r="A80" s="1" t="n"/>
      <c r="B80" s="20" t="n"/>
      <c r="C80" s="21" t="n"/>
      <c r="D80" s="22" t="n"/>
      <c r="E80" s="25" t="n"/>
      <c r="F80" s="25" t="n"/>
      <c r="G80" s="1">
        <f>IF(OR(B80="",C80=""),"",IF(AND(F80&lt;&gt;"",F80&lt;=TODAY()),0,1))</f>
        <v/>
      </c>
      <c r="H80" s="14">
        <f>IF(OR(B80="",C80=""),"",IF(G80=0,"Removed",IF(AND(I80&lt;&gt;"",I80&lt;=TODAY()),"Remove now","Active")))</f>
        <v/>
      </c>
      <c r="I80" s="1">
        <f>IFERROR(IF(INDEX(Team!$E$6:$E$105,MATCH(B80,Team!$B$6:$B$105,0))="","",INDEX(Team!$E$6:$E$105,MATCH(B80,Team!$B$6:$B$105,0))),"")</f>
        <v/>
      </c>
      <c r="J80">
        <f>IF(G80&lt;&gt;1,0,IFERROR(IF(INDEX(Tools!$G$6:$G$105,MATCH(C80,Tools!$B$6:$B$105,0))="",0,IF(N(INDEX(Tools!$O$6:$O$105,MATCH(C80,Tools!$B$6:$B$105,0)))=0,0,N(INDEX(Tools!$F$6:$F$105,MATCH(C80,Tools!$B$6:$B$105,0)))/INDEX(Tools!$U$6:$U$105,MATCH(C80,Tools!$B$6:$B$105,0)))),0))</f>
        <v/>
      </c>
      <c r="K80">
        <f>IF(H80="Remove now",ROW(),"")</f>
        <v/>
      </c>
    </row>
    <row r="81">
      <c r="A81" s="1" t="n"/>
      <c r="B81" s="20" t="n"/>
      <c r="C81" s="21" t="n"/>
      <c r="D81" s="22" t="n"/>
      <c r="E81" s="25" t="n"/>
      <c r="F81" s="25" t="n"/>
      <c r="G81" s="1">
        <f>IF(OR(B81="",C81=""),"",IF(AND(F81&lt;&gt;"",F81&lt;=TODAY()),0,1))</f>
        <v/>
      </c>
      <c r="H81" s="14">
        <f>IF(OR(B81="",C81=""),"",IF(G81=0,"Removed",IF(AND(I81&lt;&gt;"",I81&lt;=TODAY()),"Remove now","Active")))</f>
        <v/>
      </c>
      <c r="I81" s="1">
        <f>IFERROR(IF(INDEX(Team!$E$6:$E$105,MATCH(B81,Team!$B$6:$B$105,0))="","",INDEX(Team!$E$6:$E$105,MATCH(B81,Team!$B$6:$B$105,0))),"")</f>
        <v/>
      </c>
      <c r="J81">
        <f>IF(G81&lt;&gt;1,0,IFERROR(IF(INDEX(Tools!$G$6:$G$105,MATCH(C81,Tools!$B$6:$B$105,0))="",0,IF(N(INDEX(Tools!$O$6:$O$105,MATCH(C81,Tools!$B$6:$B$105,0)))=0,0,N(INDEX(Tools!$F$6:$F$105,MATCH(C81,Tools!$B$6:$B$105,0)))/INDEX(Tools!$U$6:$U$105,MATCH(C81,Tools!$B$6:$B$105,0)))),0))</f>
        <v/>
      </c>
      <c r="K81">
        <f>IF(H81="Remove now",ROW(),"")</f>
        <v/>
      </c>
    </row>
    <row r="82">
      <c r="A82" s="1" t="n"/>
      <c r="B82" s="20" t="n"/>
      <c r="C82" s="21" t="n"/>
      <c r="D82" s="22" t="n"/>
      <c r="E82" s="25" t="n"/>
      <c r="F82" s="25" t="n"/>
      <c r="G82" s="1">
        <f>IF(OR(B82="",C82=""),"",IF(AND(F82&lt;&gt;"",F82&lt;=TODAY()),0,1))</f>
        <v/>
      </c>
      <c r="H82" s="14">
        <f>IF(OR(B82="",C82=""),"",IF(G82=0,"Removed",IF(AND(I82&lt;&gt;"",I82&lt;=TODAY()),"Remove now","Active")))</f>
        <v/>
      </c>
      <c r="I82" s="1">
        <f>IFERROR(IF(INDEX(Team!$E$6:$E$105,MATCH(B82,Team!$B$6:$B$105,0))="","",INDEX(Team!$E$6:$E$105,MATCH(B82,Team!$B$6:$B$105,0))),"")</f>
        <v/>
      </c>
      <c r="J82">
        <f>IF(G82&lt;&gt;1,0,IFERROR(IF(INDEX(Tools!$G$6:$G$105,MATCH(C82,Tools!$B$6:$B$105,0))="",0,IF(N(INDEX(Tools!$O$6:$O$105,MATCH(C82,Tools!$B$6:$B$105,0)))=0,0,N(INDEX(Tools!$F$6:$F$105,MATCH(C82,Tools!$B$6:$B$105,0)))/INDEX(Tools!$U$6:$U$105,MATCH(C82,Tools!$B$6:$B$105,0)))),0))</f>
        <v/>
      </c>
      <c r="K82">
        <f>IF(H82="Remove now",ROW(),"")</f>
        <v/>
      </c>
    </row>
    <row r="83">
      <c r="A83" s="1" t="n"/>
      <c r="B83" s="20" t="n"/>
      <c r="C83" s="21" t="n"/>
      <c r="D83" s="22" t="n"/>
      <c r="E83" s="25" t="n"/>
      <c r="F83" s="25" t="n"/>
      <c r="G83" s="1">
        <f>IF(OR(B83="",C83=""),"",IF(AND(F83&lt;&gt;"",F83&lt;=TODAY()),0,1))</f>
        <v/>
      </c>
      <c r="H83" s="14">
        <f>IF(OR(B83="",C83=""),"",IF(G83=0,"Removed",IF(AND(I83&lt;&gt;"",I83&lt;=TODAY()),"Remove now","Active")))</f>
        <v/>
      </c>
      <c r="I83" s="1">
        <f>IFERROR(IF(INDEX(Team!$E$6:$E$105,MATCH(B83,Team!$B$6:$B$105,0))="","",INDEX(Team!$E$6:$E$105,MATCH(B83,Team!$B$6:$B$105,0))),"")</f>
        <v/>
      </c>
      <c r="J83">
        <f>IF(G83&lt;&gt;1,0,IFERROR(IF(INDEX(Tools!$G$6:$G$105,MATCH(C83,Tools!$B$6:$B$105,0))="",0,IF(N(INDEX(Tools!$O$6:$O$105,MATCH(C83,Tools!$B$6:$B$105,0)))=0,0,N(INDEX(Tools!$F$6:$F$105,MATCH(C83,Tools!$B$6:$B$105,0)))/INDEX(Tools!$U$6:$U$105,MATCH(C83,Tools!$B$6:$B$105,0)))),0))</f>
        <v/>
      </c>
      <c r="K83">
        <f>IF(H83="Remove now",ROW(),"")</f>
        <v/>
      </c>
    </row>
    <row r="84">
      <c r="A84" s="1" t="n"/>
      <c r="B84" s="20" t="n"/>
      <c r="C84" s="21" t="n"/>
      <c r="D84" s="22" t="n"/>
      <c r="E84" s="25" t="n"/>
      <c r="F84" s="25" t="n"/>
      <c r="G84" s="1">
        <f>IF(OR(B84="",C84=""),"",IF(AND(F84&lt;&gt;"",F84&lt;=TODAY()),0,1))</f>
        <v/>
      </c>
      <c r="H84" s="14">
        <f>IF(OR(B84="",C84=""),"",IF(G84=0,"Removed",IF(AND(I84&lt;&gt;"",I84&lt;=TODAY()),"Remove now","Active")))</f>
        <v/>
      </c>
      <c r="I84" s="1">
        <f>IFERROR(IF(INDEX(Team!$E$6:$E$105,MATCH(B84,Team!$B$6:$B$105,0))="","",INDEX(Team!$E$6:$E$105,MATCH(B84,Team!$B$6:$B$105,0))),"")</f>
        <v/>
      </c>
      <c r="J84">
        <f>IF(G84&lt;&gt;1,0,IFERROR(IF(INDEX(Tools!$G$6:$G$105,MATCH(C84,Tools!$B$6:$B$105,0))="",0,IF(N(INDEX(Tools!$O$6:$O$105,MATCH(C84,Tools!$B$6:$B$105,0)))=0,0,N(INDEX(Tools!$F$6:$F$105,MATCH(C84,Tools!$B$6:$B$105,0)))/INDEX(Tools!$U$6:$U$105,MATCH(C84,Tools!$B$6:$B$105,0)))),0))</f>
        <v/>
      </c>
      <c r="K84">
        <f>IF(H84="Remove now",ROW(),"")</f>
        <v/>
      </c>
    </row>
    <row r="85">
      <c r="A85" s="1" t="n"/>
      <c r="B85" s="20" t="n"/>
      <c r="C85" s="21" t="n"/>
      <c r="D85" s="22" t="n"/>
      <c r="E85" s="25" t="n"/>
      <c r="F85" s="25" t="n"/>
      <c r="G85" s="1">
        <f>IF(OR(B85="",C85=""),"",IF(AND(F85&lt;&gt;"",F85&lt;=TODAY()),0,1))</f>
        <v/>
      </c>
      <c r="H85" s="14">
        <f>IF(OR(B85="",C85=""),"",IF(G85=0,"Removed",IF(AND(I85&lt;&gt;"",I85&lt;=TODAY()),"Remove now","Active")))</f>
        <v/>
      </c>
      <c r="I85" s="1">
        <f>IFERROR(IF(INDEX(Team!$E$6:$E$105,MATCH(B85,Team!$B$6:$B$105,0))="","",INDEX(Team!$E$6:$E$105,MATCH(B85,Team!$B$6:$B$105,0))),"")</f>
        <v/>
      </c>
      <c r="J85">
        <f>IF(G85&lt;&gt;1,0,IFERROR(IF(INDEX(Tools!$G$6:$G$105,MATCH(C85,Tools!$B$6:$B$105,0))="",0,IF(N(INDEX(Tools!$O$6:$O$105,MATCH(C85,Tools!$B$6:$B$105,0)))=0,0,N(INDEX(Tools!$F$6:$F$105,MATCH(C85,Tools!$B$6:$B$105,0)))/INDEX(Tools!$U$6:$U$105,MATCH(C85,Tools!$B$6:$B$105,0)))),0))</f>
        <v/>
      </c>
      <c r="K85">
        <f>IF(H85="Remove now",ROW(),"")</f>
        <v/>
      </c>
    </row>
    <row r="86">
      <c r="A86" s="1" t="n"/>
      <c r="B86" s="20" t="n"/>
      <c r="C86" s="21" t="n"/>
      <c r="D86" s="22" t="n"/>
      <c r="E86" s="25" t="n"/>
      <c r="F86" s="25" t="n"/>
      <c r="G86" s="1">
        <f>IF(OR(B86="",C86=""),"",IF(AND(F86&lt;&gt;"",F86&lt;=TODAY()),0,1))</f>
        <v/>
      </c>
      <c r="H86" s="14">
        <f>IF(OR(B86="",C86=""),"",IF(G86=0,"Removed",IF(AND(I86&lt;&gt;"",I86&lt;=TODAY()),"Remove now","Active")))</f>
        <v/>
      </c>
      <c r="I86" s="1">
        <f>IFERROR(IF(INDEX(Team!$E$6:$E$105,MATCH(B86,Team!$B$6:$B$105,0))="","",INDEX(Team!$E$6:$E$105,MATCH(B86,Team!$B$6:$B$105,0))),"")</f>
        <v/>
      </c>
      <c r="J86">
        <f>IF(G86&lt;&gt;1,0,IFERROR(IF(INDEX(Tools!$G$6:$G$105,MATCH(C86,Tools!$B$6:$B$105,0))="",0,IF(N(INDEX(Tools!$O$6:$O$105,MATCH(C86,Tools!$B$6:$B$105,0)))=0,0,N(INDEX(Tools!$F$6:$F$105,MATCH(C86,Tools!$B$6:$B$105,0)))/INDEX(Tools!$U$6:$U$105,MATCH(C86,Tools!$B$6:$B$105,0)))),0))</f>
        <v/>
      </c>
      <c r="K86">
        <f>IF(H86="Remove now",ROW(),"")</f>
        <v/>
      </c>
    </row>
    <row r="87">
      <c r="A87" s="1" t="n"/>
      <c r="B87" s="20" t="n"/>
      <c r="C87" s="21" t="n"/>
      <c r="D87" s="22" t="n"/>
      <c r="E87" s="25" t="n"/>
      <c r="F87" s="25" t="n"/>
      <c r="G87" s="1">
        <f>IF(OR(B87="",C87=""),"",IF(AND(F87&lt;&gt;"",F87&lt;=TODAY()),0,1))</f>
        <v/>
      </c>
      <c r="H87" s="14">
        <f>IF(OR(B87="",C87=""),"",IF(G87=0,"Removed",IF(AND(I87&lt;&gt;"",I87&lt;=TODAY()),"Remove now","Active")))</f>
        <v/>
      </c>
      <c r="I87" s="1">
        <f>IFERROR(IF(INDEX(Team!$E$6:$E$105,MATCH(B87,Team!$B$6:$B$105,0))="","",INDEX(Team!$E$6:$E$105,MATCH(B87,Team!$B$6:$B$105,0))),"")</f>
        <v/>
      </c>
      <c r="J87">
        <f>IF(G87&lt;&gt;1,0,IFERROR(IF(INDEX(Tools!$G$6:$G$105,MATCH(C87,Tools!$B$6:$B$105,0))="",0,IF(N(INDEX(Tools!$O$6:$O$105,MATCH(C87,Tools!$B$6:$B$105,0)))=0,0,N(INDEX(Tools!$F$6:$F$105,MATCH(C87,Tools!$B$6:$B$105,0)))/INDEX(Tools!$U$6:$U$105,MATCH(C87,Tools!$B$6:$B$105,0)))),0))</f>
        <v/>
      </c>
      <c r="K87">
        <f>IF(H87="Remove now",ROW(),"")</f>
        <v/>
      </c>
    </row>
    <row r="88">
      <c r="A88" s="1" t="n"/>
      <c r="B88" s="20" t="n"/>
      <c r="C88" s="21" t="n"/>
      <c r="D88" s="22" t="n"/>
      <c r="E88" s="25" t="n"/>
      <c r="F88" s="25" t="n"/>
      <c r="G88" s="1">
        <f>IF(OR(B88="",C88=""),"",IF(AND(F88&lt;&gt;"",F88&lt;=TODAY()),0,1))</f>
        <v/>
      </c>
      <c r="H88" s="14">
        <f>IF(OR(B88="",C88=""),"",IF(G88=0,"Removed",IF(AND(I88&lt;&gt;"",I88&lt;=TODAY()),"Remove now","Active")))</f>
        <v/>
      </c>
      <c r="I88" s="1">
        <f>IFERROR(IF(INDEX(Team!$E$6:$E$105,MATCH(B88,Team!$B$6:$B$105,0))="","",INDEX(Team!$E$6:$E$105,MATCH(B88,Team!$B$6:$B$105,0))),"")</f>
        <v/>
      </c>
      <c r="J88">
        <f>IF(G88&lt;&gt;1,0,IFERROR(IF(INDEX(Tools!$G$6:$G$105,MATCH(C88,Tools!$B$6:$B$105,0))="",0,IF(N(INDEX(Tools!$O$6:$O$105,MATCH(C88,Tools!$B$6:$B$105,0)))=0,0,N(INDEX(Tools!$F$6:$F$105,MATCH(C88,Tools!$B$6:$B$105,0)))/INDEX(Tools!$U$6:$U$105,MATCH(C88,Tools!$B$6:$B$105,0)))),0))</f>
        <v/>
      </c>
      <c r="K88">
        <f>IF(H88="Remove now",ROW(),"")</f>
        <v/>
      </c>
    </row>
    <row r="89">
      <c r="A89" s="1" t="n"/>
      <c r="B89" s="20" t="n"/>
      <c r="C89" s="21" t="n"/>
      <c r="D89" s="22" t="n"/>
      <c r="E89" s="25" t="n"/>
      <c r="F89" s="25" t="n"/>
      <c r="G89" s="1">
        <f>IF(OR(B89="",C89=""),"",IF(AND(F89&lt;&gt;"",F89&lt;=TODAY()),0,1))</f>
        <v/>
      </c>
      <c r="H89" s="14">
        <f>IF(OR(B89="",C89=""),"",IF(G89=0,"Removed",IF(AND(I89&lt;&gt;"",I89&lt;=TODAY()),"Remove now","Active")))</f>
        <v/>
      </c>
      <c r="I89" s="1">
        <f>IFERROR(IF(INDEX(Team!$E$6:$E$105,MATCH(B89,Team!$B$6:$B$105,0))="","",INDEX(Team!$E$6:$E$105,MATCH(B89,Team!$B$6:$B$105,0))),"")</f>
        <v/>
      </c>
      <c r="J89">
        <f>IF(G89&lt;&gt;1,0,IFERROR(IF(INDEX(Tools!$G$6:$G$105,MATCH(C89,Tools!$B$6:$B$105,0))="",0,IF(N(INDEX(Tools!$O$6:$O$105,MATCH(C89,Tools!$B$6:$B$105,0)))=0,0,N(INDEX(Tools!$F$6:$F$105,MATCH(C89,Tools!$B$6:$B$105,0)))/INDEX(Tools!$U$6:$U$105,MATCH(C89,Tools!$B$6:$B$105,0)))),0))</f>
        <v/>
      </c>
      <c r="K89">
        <f>IF(H89="Remove now",ROW(),"")</f>
        <v/>
      </c>
    </row>
    <row r="90">
      <c r="A90" s="1" t="n"/>
      <c r="B90" s="20" t="n"/>
      <c r="C90" s="21" t="n"/>
      <c r="D90" s="22" t="n"/>
      <c r="E90" s="25" t="n"/>
      <c r="F90" s="25" t="n"/>
      <c r="G90" s="1">
        <f>IF(OR(B90="",C90=""),"",IF(AND(F90&lt;&gt;"",F90&lt;=TODAY()),0,1))</f>
        <v/>
      </c>
      <c r="H90" s="14">
        <f>IF(OR(B90="",C90=""),"",IF(G90=0,"Removed",IF(AND(I90&lt;&gt;"",I90&lt;=TODAY()),"Remove now","Active")))</f>
        <v/>
      </c>
      <c r="I90" s="1">
        <f>IFERROR(IF(INDEX(Team!$E$6:$E$105,MATCH(B90,Team!$B$6:$B$105,0))="","",INDEX(Team!$E$6:$E$105,MATCH(B90,Team!$B$6:$B$105,0))),"")</f>
        <v/>
      </c>
      <c r="J90">
        <f>IF(G90&lt;&gt;1,0,IFERROR(IF(INDEX(Tools!$G$6:$G$105,MATCH(C90,Tools!$B$6:$B$105,0))="",0,IF(N(INDEX(Tools!$O$6:$O$105,MATCH(C90,Tools!$B$6:$B$105,0)))=0,0,N(INDEX(Tools!$F$6:$F$105,MATCH(C90,Tools!$B$6:$B$105,0)))/INDEX(Tools!$U$6:$U$105,MATCH(C90,Tools!$B$6:$B$105,0)))),0))</f>
        <v/>
      </c>
      <c r="K90">
        <f>IF(H90="Remove now",ROW(),"")</f>
        <v/>
      </c>
    </row>
    <row r="91">
      <c r="A91" s="1" t="n"/>
      <c r="B91" s="20" t="n"/>
      <c r="C91" s="21" t="n"/>
      <c r="D91" s="22" t="n"/>
      <c r="E91" s="25" t="n"/>
      <c r="F91" s="25" t="n"/>
      <c r="G91" s="1">
        <f>IF(OR(B91="",C91=""),"",IF(AND(F91&lt;&gt;"",F91&lt;=TODAY()),0,1))</f>
        <v/>
      </c>
      <c r="H91" s="14">
        <f>IF(OR(B91="",C91=""),"",IF(G91=0,"Removed",IF(AND(I91&lt;&gt;"",I91&lt;=TODAY()),"Remove now","Active")))</f>
        <v/>
      </c>
      <c r="I91" s="1">
        <f>IFERROR(IF(INDEX(Team!$E$6:$E$105,MATCH(B91,Team!$B$6:$B$105,0))="","",INDEX(Team!$E$6:$E$105,MATCH(B91,Team!$B$6:$B$105,0))),"")</f>
        <v/>
      </c>
      <c r="J91">
        <f>IF(G91&lt;&gt;1,0,IFERROR(IF(INDEX(Tools!$G$6:$G$105,MATCH(C91,Tools!$B$6:$B$105,0))="",0,IF(N(INDEX(Tools!$O$6:$O$105,MATCH(C91,Tools!$B$6:$B$105,0)))=0,0,N(INDEX(Tools!$F$6:$F$105,MATCH(C91,Tools!$B$6:$B$105,0)))/INDEX(Tools!$U$6:$U$105,MATCH(C91,Tools!$B$6:$B$105,0)))),0))</f>
        <v/>
      </c>
      <c r="K91">
        <f>IF(H91="Remove now",ROW(),"")</f>
        <v/>
      </c>
    </row>
    <row r="92">
      <c r="A92" s="1" t="n"/>
      <c r="B92" s="20" t="n"/>
      <c r="C92" s="21" t="n"/>
      <c r="D92" s="22" t="n"/>
      <c r="E92" s="25" t="n"/>
      <c r="F92" s="25" t="n"/>
      <c r="G92" s="1">
        <f>IF(OR(B92="",C92=""),"",IF(AND(F92&lt;&gt;"",F92&lt;=TODAY()),0,1))</f>
        <v/>
      </c>
      <c r="H92" s="14">
        <f>IF(OR(B92="",C92=""),"",IF(G92=0,"Removed",IF(AND(I92&lt;&gt;"",I92&lt;=TODAY()),"Remove now","Active")))</f>
        <v/>
      </c>
      <c r="I92" s="1">
        <f>IFERROR(IF(INDEX(Team!$E$6:$E$105,MATCH(B92,Team!$B$6:$B$105,0))="","",INDEX(Team!$E$6:$E$105,MATCH(B92,Team!$B$6:$B$105,0))),"")</f>
        <v/>
      </c>
      <c r="J92">
        <f>IF(G92&lt;&gt;1,0,IFERROR(IF(INDEX(Tools!$G$6:$G$105,MATCH(C92,Tools!$B$6:$B$105,0))="",0,IF(N(INDEX(Tools!$O$6:$O$105,MATCH(C92,Tools!$B$6:$B$105,0)))=0,0,N(INDEX(Tools!$F$6:$F$105,MATCH(C92,Tools!$B$6:$B$105,0)))/INDEX(Tools!$U$6:$U$105,MATCH(C92,Tools!$B$6:$B$105,0)))),0))</f>
        <v/>
      </c>
      <c r="K92">
        <f>IF(H92="Remove now",ROW(),"")</f>
        <v/>
      </c>
    </row>
    <row r="93">
      <c r="A93" s="1" t="n"/>
      <c r="B93" s="20" t="n"/>
      <c r="C93" s="21" t="n"/>
      <c r="D93" s="22" t="n"/>
      <c r="E93" s="25" t="n"/>
      <c r="F93" s="25" t="n"/>
      <c r="G93" s="1">
        <f>IF(OR(B93="",C93=""),"",IF(AND(F93&lt;&gt;"",F93&lt;=TODAY()),0,1))</f>
        <v/>
      </c>
      <c r="H93" s="14">
        <f>IF(OR(B93="",C93=""),"",IF(G93=0,"Removed",IF(AND(I93&lt;&gt;"",I93&lt;=TODAY()),"Remove now","Active")))</f>
        <v/>
      </c>
      <c r="I93" s="1">
        <f>IFERROR(IF(INDEX(Team!$E$6:$E$105,MATCH(B93,Team!$B$6:$B$105,0))="","",INDEX(Team!$E$6:$E$105,MATCH(B93,Team!$B$6:$B$105,0))),"")</f>
        <v/>
      </c>
      <c r="J93">
        <f>IF(G93&lt;&gt;1,0,IFERROR(IF(INDEX(Tools!$G$6:$G$105,MATCH(C93,Tools!$B$6:$B$105,0))="",0,IF(N(INDEX(Tools!$O$6:$O$105,MATCH(C93,Tools!$B$6:$B$105,0)))=0,0,N(INDEX(Tools!$F$6:$F$105,MATCH(C93,Tools!$B$6:$B$105,0)))/INDEX(Tools!$U$6:$U$105,MATCH(C93,Tools!$B$6:$B$105,0)))),0))</f>
        <v/>
      </c>
      <c r="K93">
        <f>IF(H93="Remove now",ROW(),"")</f>
        <v/>
      </c>
    </row>
    <row r="94">
      <c r="A94" s="1" t="n"/>
      <c r="B94" s="20" t="n"/>
      <c r="C94" s="21" t="n"/>
      <c r="D94" s="22" t="n"/>
      <c r="E94" s="25" t="n"/>
      <c r="F94" s="25" t="n"/>
      <c r="G94" s="1">
        <f>IF(OR(B94="",C94=""),"",IF(AND(F94&lt;&gt;"",F94&lt;=TODAY()),0,1))</f>
        <v/>
      </c>
      <c r="H94" s="14">
        <f>IF(OR(B94="",C94=""),"",IF(G94=0,"Removed",IF(AND(I94&lt;&gt;"",I94&lt;=TODAY()),"Remove now","Active")))</f>
        <v/>
      </c>
      <c r="I94" s="1">
        <f>IFERROR(IF(INDEX(Team!$E$6:$E$105,MATCH(B94,Team!$B$6:$B$105,0))="","",INDEX(Team!$E$6:$E$105,MATCH(B94,Team!$B$6:$B$105,0))),"")</f>
        <v/>
      </c>
      <c r="J94">
        <f>IF(G94&lt;&gt;1,0,IFERROR(IF(INDEX(Tools!$G$6:$G$105,MATCH(C94,Tools!$B$6:$B$105,0))="",0,IF(N(INDEX(Tools!$O$6:$O$105,MATCH(C94,Tools!$B$6:$B$105,0)))=0,0,N(INDEX(Tools!$F$6:$F$105,MATCH(C94,Tools!$B$6:$B$105,0)))/INDEX(Tools!$U$6:$U$105,MATCH(C94,Tools!$B$6:$B$105,0)))),0))</f>
        <v/>
      </c>
      <c r="K94">
        <f>IF(H94="Remove now",ROW(),"")</f>
        <v/>
      </c>
    </row>
    <row r="95">
      <c r="A95" s="1" t="n"/>
      <c r="B95" s="20" t="n"/>
      <c r="C95" s="21" t="n"/>
      <c r="D95" s="22" t="n"/>
      <c r="E95" s="25" t="n"/>
      <c r="F95" s="25" t="n"/>
      <c r="G95" s="1">
        <f>IF(OR(B95="",C95=""),"",IF(AND(F95&lt;&gt;"",F95&lt;=TODAY()),0,1))</f>
        <v/>
      </c>
      <c r="H95" s="14">
        <f>IF(OR(B95="",C95=""),"",IF(G95=0,"Removed",IF(AND(I95&lt;&gt;"",I95&lt;=TODAY()),"Remove now","Active")))</f>
        <v/>
      </c>
      <c r="I95" s="1">
        <f>IFERROR(IF(INDEX(Team!$E$6:$E$105,MATCH(B95,Team!$B$6:$B$105,0))="","",INDEX(Team!$E$6:$E$105,MATCH(B95,Team!$B$6:$B$105,0))),"")</f>
        <v/>
      </c>
      <c r="J95">
        <f>IF(G95&lt;&gt;1,0,IFERROR(IF(INDEX(Tools!$G$6:$G$105,MATCH(C95,Tools!$B$6:$B$105,0))="",0,IF(N(INDEX(Tools!$O$6:$O$105,MATCH(C95,Tools!$B$6:$B$105,0)))=0,0,N(INDEX(Tools!$F$6:$F$105,MATCH(C95,Tools!$B$6:$B$105,0)))/INDEX(Tools!$U$6:$U$105,MATCH(C95,Tools!$B$6:$B$105,0)))),0))</f>
        <v/>
      </c>
      <c r="K95">
        <f>IF(H95="Remove now",ROW(),"")</f>
        <v/>
      </c>
    </row>
    <row r="96">
      <c r="A96" s="1" t="n"/>
      <c r="B96" s="20" t="n"/>
      <c r="C96" s="21" t="n"/>
      <c r="D96" s="22" t="n"/>
      <c r="E96" s="25" t="n"/>
      <c r="F96" s="25" t="n"/>
      <c r="G96" s="1">
        <f>IF(OR(B96="",C96=""),"",IF(AND(F96&lt;&gt;"",F96&lt;=TODAY()),0,1))</f>
        <v/>
      </c>
      <c r="H96" s="14">
        <f>IF(OR(B96="",C96=""),"",IF(G96=0,"Removed",IF(AND(I96&lt;&gt;"",I96&lt;=TODAY()),"Remove now","Active")))</f>
        <v/>
      </c>
      <c r="I96" s="1">
        <f>IFERROR(IF(INDEX(Team!$E$6:$E$105,MATCH(B96,Team!$B$6:$B$105,0))="","",INDEX(Team!$E$6:$E$105,MATCH(B96,Team!$B$6:$B$105,0))),"")</f>
        <v/>
      </c>
      <c r="J96">
        <f>IF(G96&lt;&gt;1,0,IFERROR(IF(INDEX(Tools!$G$6:$G$105,MATCH(C96,Tools!$B$6:$B$105,0))="",0,IF(N(INDEX(Tools!$O$6:$O$105,MATCH(C96,Tools!$B$6:$B$105,0)))=0,0,N(INDEX(Tools!$F$6:$F$105,MATCH(C96,Tools!$B$6:$B$105,0)))/INDEX(Tools!$U$6:$U$105,MATCH(C96,Tools!$B$6:$B$105,0)))),0))</f>
        <v/>
      </c>
      <c r="K96">
        <f>IF(H96="Remove now",ROW(),"")</f>
        <v/>
      </c>
    </row>
    <row r="97">
      <c r="A97" s="1" t="n"/>
      <c r="B97" s="20" t="n"/>
      <c r="C97" s="21" t="n"/>
      <c r="D97" s="22" t="n"/>
      <c r="E97" s="25" t="n"/>
      <c r="F97" s="25" t="n"/>
      <c r="G97" s="1">
        <f>IF(OR(B97="",C97=""),"",IF(AND(F97&lt;&gt;"",F97&lt;=TODAY()),0,1))</f>
        <v/>
      </c>
      <c r="H97" s="14">
        <f>IF(OR(B97="",C97=""),"",IF(G97=0,"Removed",IF(AND(I97&lt;&gt;"",I97&lt;=TODAY()),"Remove now","Active")))</f>
        <v/>
      </c>
      <c r="I97" s="1">
        <f>IFERROR(IF(INDEX(Team!$E$6:$E$105,MATCH(B97,Team!$B$6:$B$105,0))="","",INDEX(Team!$E$6:$E$105,MATCH(B97,Team!$B$6:$B$105,0))),"")</f>
        <v/>
      </c>
      <c r="J97">
        <f>IF(G97&lt;&gt;1,0,IFERROR(IF(INDEX(Tools!$G$6:$G$105,MATCH(C97,Tools!$B$6:$B$105,0))="",0,IF(N(INDEX(Tools!$O$6:$O$105,MATCH(C97,Tools!$B$6:$B$105,0)))=0,0,N(INDEX(Tools!$F$6:$F$105,MATCH(C97,Tools!$B$6:$B$105,0)))/INDEX(Tools!$U$6:$U$105,MATCH(C97,Tools!$B$6:$B$105,0)))),0))</f>
        <v/>
      </c>
      <c r="K97">
        <f>IF(H97="Remove now",ROW(),"")</f>
        <v/>
      </c>
    </row>
    <row r="98">
      <c r="A98" s="1" t="n"/>
      <c r="B98" s="20" t="n"/>
      <c r="C98" s="21" t="n"/>
      <c r="D98" s="22" t="n"/>
      <c r="E98" s="25" t="n"/>
      <c r="F98" s="25" t="n"/>
      <c r="G98" s="1">
        <f>IF(OR(B98="",C98=""),"",IF(AND(F98&lt;&gt;"",F98&lt;=TODAY()),0,1))</f>
        <v/>
      </c>
      <c r="H98" s="14">
        <f>IF(OR(B98="",C98=""),"",IF(G98=0,"Removed",IF(AND(I98&lt;&gt;"",I98&lt;=TODAY()),"Remove now","Active")))</f>
        <v/>
      </c>
      <c r="I98" s="1">
        <f>IFERROR(IF(INDEX(Team!$E$6:$E$105,MATCH(B98,Team!$B$6:$B$105,0))="","",INDEX(Team!$E$6:$E$105,MATCH(B98,Team!$B$6:$B$105,0))),"")</f>
        <v/>
      </c>
      <c r="J98">
        <f>IF(G98&lt;&gt;1,0,IFERROR(IF(INDEX(Tools!$G$6:$G$105,MATCH(C98,Tools!$B$6:$B$105,0))="",0,IF(N(INDEX(Tools!$O$6:$O$105,MATCH(C98,Tools!$B$6:$B$105,0)))=0,0,N(INDEX(Tools!$F$6:$F$105,MATCH(C98,Tools!$B$6:$B$105,0)))/INDEX(Tools!$U$6:$U$105,MATCH(C98,Tools!$B$6:$B$105,0)))),0))</f>
        <v/>
      </c>
      <c r="K98">
        <f>IF(H98="Remove now",ROW(),"")</f>
        <v/>
      </c>
    </row>
    <row r="99">
      <c r="A99" s="1" t="n"/>
      <c r="B99" s="20" t="n"/>
      <c r="C99" s="21" t="n"/>
      <c r="D99" s="22" t="n"/>
      <c r="E99" s="25" t="n"/>
      <c r="F99" s="25" t="n"/>
      <c r="G99" s="1">
        <f>IF(OR(B99="",C99=""),"",IF(AND(F99&lt;&gt;"",F99&lt;=TODAY()),0,1))</f>
        <v/>
      </c>
      <c r="H99" s="14">
        <f>IF(OR(B99="",C99=""),"",IF(G99=0,"Removed",IF(AND(I99&lt;&gt;"",I99&lt;=TODAY()),"Remove now","Active")))</f>
        <v/>
      </c>
      <c r="I99" s="1">
        <f>IFERROR(IF(INDEX(Team!$E$6:$E$105,MATCH(B99,Team!$B$6:$B$105,0))="","",INDEX(Team!$E$6:$E$105,MATCH(B99,Team!$B$6:$B$105,0))),"")</f>
        <v/>
      </c>
      <c r="J99">
        <f>IF(G99&lt;&gt;1,0,IFERROR(IF(INDEX(Tools!$G$6:$G$105,MATCH(C99,Tools!$B$6:$B$105,0))="",0,IF(N(INDEX(Tools!$O$6:$O$105,MATCH(C99,Tools!$B$6:$B$105,0)))=0,0,N(INDEX(Tools!$F$6:$F$105,MATCH(C99,Tools!$B$6:$B$105,0)))/INDEX(Tools!$U$6:$U$105,MATCH(C99,Tools!$B$6:$B$105,0)))),0))</f>
        <v/>
      </c>
      <c r="K99">
        <f>IF(H99="Remove now",ROW(),"")</f>
        <v/>
      </c>
    </row>
    <row r="100">
      <c r="A100" s="1" t="n"/>
      <c r="B100" s="20" t="n"/>
      <c r="C100" s="21" t="n"/>
      <c r="D100" s="22" t="n"/>
      <c r="E100" s="25" t="n"/>
      <c r="F100" s="25" t="n"/>
      <c r="G100" s="1">
        <f>IF(OR(B100="",C100=""),"",IF(AND(F100&lt;&gt;"",F100&lt;=TODAY()),0,1))</f>
        <v/>
      </c>
      <c r="H100" s="14">
        <f>IF(OR(B100="",C100=""),"",IF(G100=0,"Removed",IF(AND(I100&lt;&gt;"",I100&lt;=TODAY()),"Remove now","Active")))</f>
        <v/>
      </c>
      <c r="I100" s="1">
        <f>IFERROR(IF(INDEX(Team!$E$6:$E$105,MATCH(B100,Team!$B$6:$B$105,0))="","",INDEX(Team!$E$6:$E$105,MATCH(B100,Team!$B$6:$B$105,0))),"")</f>
        <v/>
      </c>
      <c r="J100">
        <f>IF(G100&lt;&gt;1,0,IFERROR(IF(INDEX(Tools!$G$6:$G$105,MATCH(C100,Tools!$B$6:$B$105,0))="",0,IF(N(INDEX(Tools!$O$6:$O$105,MATCH(C100,Tools!$B$6:$B$105,0)))=0,0,N(INDEX(Tools!$F$6:$F$105,MATCH(C100,Tools!$B$6:$B$105,0)))/INDEX(Tools!$U$6:$U$105,MATCH(C100,Tools!$B$6:$B$105,0)))),0))</f>
        <v/>
      </c>
      <c r="K100">
        <f>IF(H100="Remove now",ROW(),"")</f>
        <v/>
      </c>
    </row>
    <row r="101">
      <c r="A101" s="1" t="n"/>
      <c r="B101" s="20" t="n"/>
      <c r="C101" s="21" t="n"/>
      <c r="D101" s="22" t="n"/>
      <c r="E101" s="25" t="n"/>
      <c r="F101" s="25" t="n"/>
      <c r="G101" s="1">
        <f>IF(OR(B101="",C101=""),"",IF(AND(F101&lt;&gt;"",F101&lt;=TODAY()),0,1))</f>
        <v/>
      </c>
      <c r="H101" s="14">
        <f>IF(OR(B101="",C101=""),"",IF(G101=0,"Removed",IF(AND(I101&lt;&gt;"",I101&lt;=TODAY()),"Remove now","Active")))</f>
        <v/>
      </c>
      <c r="I101" s="1">
        <f>IFERROR(IF(INDEX(Team!$E$6:$E$105,MATCH(B101,Team!$B$6:$B$105,0))="","",INDEX(Team!$E$6:$E$105,MATCH(B101,Team!$B$6:$B$105,0))),"")</f>
        <v/>
      </c>
      <c r="J101">
        <f>IF(G101&lt;&gt;1,0,IFERROR(IF(INDEX(Tools!$G$6:$G$105,MATCH(C101,Tools!$B$6:$B$105,0))="",0,IF(N(INDEX(Tools!$O$6:$O$105,MATCH(C101,Tools!$B$6:$B$105,0)))=0,0,N(INDEX(Tools!$F$6:$F$105,MATCH(C101,Tools!$B$6:$B$105,0)))/INDEX(Tools!$U$6:$U$105,MATCH(C101,Tools!$B$6:$B$105,0)))),0))</f>
        <v/>
      </c>
      <c r="K101">
        <f>IF(H101="Remove now",ROW(),"")</f>
        <v/>
      </c>
    </row>
    <row r="102">
      <c r="A102" s="1" t="n"/>
      <c r="B102" s="20" t="n"/>
      <c r="C102" s="21" t="n"/>
      <c r="D102" s="22" t="n"/>
      <c r="E102" s="25" t="n"/>
      <c r="F102" s="25" t="n"/>
      <c r="G102" s="1">
        <f>IF(OR(B102="",C102=""),"",IF(AND(F102&lt;&gt;"",F102&lt;=TODAY()),0,1))</f>
        <v/>
      </c>
      <c r="H102" s="14">
        <f>IF(OR(B102="",C102=""),"",IF(G102=0,"Removed",IF(AND(I102&lt;&gt;"",I102&lt;=TODAY()),"Remove now","Active")))</f>
        <v/>
      </c>
      <c r="I102" s="1">
        <f>IFERROR(IF(INDEX(Team!$E$6:$E$105,MATCH(B102,Team!$B$6:$B$105,0))="","",INDEX(Team!$E$6:$E$105,MATCH(B102,Team!$B$6:$B$105,0))),"")</f>
        <v/>
      </c>
      <c r="J102">
        <f>IF(G102&lt;&gt;1,0,IFERROR(IF(INDEX(Tools!$G$6:$G$105,MATCH(C102,Tools!$B$6:$B$105,0))="",0,IF(N(INDEX(Tools!$O$6:$O$105,MATCH(C102,Tools!$B$6:$B$105,0)))=0,0,N(INDEX(Tools!$F$6:$F$105,MATCH(C102,Tools!$B$6:$B$105,0)))/INDEX(Tools!$U$6:$U$105,MATCH(C102,Tools!$B$6:$B$105,0)))),0))</f>
        <v/>
      </c>
      <c r="K102">
        <f>IF(H102="Remove now",ROW(),"")</f>
        <v/>
      </c>
    </row>
    <row r="103">
      <c r="A103" s="1" t="n"/>
      <c r="B103" s="20" t="n"/>
      <c r="C103" s="21" t="n"/>
      <c r="D103" s="22" t="n"/>
      <c r="E103" s="25" t="n"/>
      <c r="F103" s="25" t="n"/>
      <c r="G103" s="1">
        <f>IF(OR(B103="",C103=""),"",IF(AND(F103&lt;&gt;"",F103&lt;=TODAY()),0,1))</f>
        <v/>
      </c>
      <c r="H103" s="14">
        <f>IF(OR(B103="",C103=""),"",IF(G103=0,"Removed",IF(AND(I103&lt;&gt;"",I103&lt;=TODAY()),"Remove now","Active")))</f>
        <v/>
      </c>
      <c r="I103" s="1">
        <f>IFERROR(IF(INDEX(Team!$E$6:$E$105,MATCH(B103,Team!$B$6:$B$105,0))="","",INDEX(Team!$E$6:$E$105,MATCH(B103,Team!$B$6:$B$105,0))),"")</f>
        <v/>
      </c>
      <c r="J103">
        <f>IF(G103&lt;&gt;1,0,IFERROR(IF(INDEX(Tools!$G$6:$G$105,MATCH(C103,Tools!$B$6:$B$105,0))="",0,IF(N(INDEX(Tools!$O$6:$O$105,MATCH(C103,Tools!$B$6:$B$105,0)))=0,0,N(INDEX(Tools!$F$6:$F$105,MATCH(C103,Tools!$B$6:$B$105,0)))/INDEX(Tools!$U$6:$U$105,MATCH(C103,Tools!$B$6:$B$105,0)))),0))</f>
        <v/>
      </c>
      <c r="K103">
        <f>IF(H103="Remove now",ROW(),"")</f>
        <v/>
      </c>
    </row>
    <row r="104">
      <c r="A104" s="1" t="n"/>
      <c r="B104" s="20" t="n"/>
      <c r="C104" s="21" t="n"/>
      <c r="D104" s="22" t="n"/>
      <c r="E104" s="25" t="n"/>
      <c r="F104" s="25" t="n"/>
      <c r="G104" s="1">
        <f>IF(OR(B104="",C104=""),"",IF(AND(F104&lt;&gt;"",F104&lt;=TODAY()),0,1))</f>
        <v/>
      </c>
      <c r="H104" s="14">
        <f>IF(OR(B104="",C104=""),"",IF(G104=0,"Removed",IF(AND(I104&lt;&gt;"",I104&lt;=TODAY()),"Remove now","Active")))</f>
        <v/>
      </c>
      <c r="I104" s="1">
        <f>IFERROR(IF(INDEX(Team!$E$6:$E$105,MATCH(B104,Team!$B$6:$B$105,0))="","",INDEX(Team!$E$6:$E$105,MATCH(B104,Team!$B$6:$B$105,0))),"")</f>
        <v/>
      </c>
      <c r="J104">
        <f>IF(G104&lt;&gt;1,0,IFERROR(IF(INDEX(Tools!$G$6:$G$105,MATCH(C104,Tools!$B$6:$B$105,0))="",0,IF(N(INDEX(Tools!$O$6:$O$105,MATCH(C104,Tools!$B$6:$B$105,0)))=0,0,N(INDEX(Tools!$F$6:$F$105,MATCH(C104,Tools!$B$6:$B$105,0)))/INDEX(Tools!$U$6:$U$105,MATCH(C104,Tools!$B$6:$B$105,0)))),0))</f>
        <v/>
      </c>
      <c r="K104">
        <f>IF(H104="Remove now",ROW(),"")</f>
        <v/>
      </c>
    </row>
    <row r="105">
      <c r="A105" s="1" t="n"/>
      <c r="B105" s="20" t="n"/>
      <c r="C105" s="21" t="n"/>
      <c r="D105" s="22" t="n"/>
      <c r="E105" s="25" t="n"/>
      <c r="F105" s="25" t="n"/>
      <c r="G105" s="1">
        <f>IF(OR(B105="",C105=""),"",IF(AND(F105&lt;&gt;"",F105&lt;=TODAY()),0,1))</f>
        <v/>
      </c>
      <c r="H105" s="14">
        <f>IF(OR(B105="",C105=""),"",IF(G105=0,"Removed",IF(AND(I105&lt;&gt;"",I105&lt;=TODAY()),"Remove now","Active")))</f>
        <v/>
      </c>
      <c r="I105" s="1">
        <f>IFERROR(IF(INDEX(Team!$E$6:$E$105,MATCH(B105,Team!$B$6:$B$105,0))="","",INDEX(Team!$E$6:$E$105,MATCH(B105,Team!$B$6:$B$105,0))),"")</f>
        <v/>
      </c>
      <c r="J105">
        <f>IF(G105&lt;&gt;1,0,IFERROR(IF(INDEX(Tools!$G$6:$G$105,MATCH(C105,Tools!$B$6:$B$105,0))="",0,IF(N(INDEX(Tools!$O$6:$O$105,MATCH(C105,Tools!$B$6:$B$105,0)))=0,0,N(INDEX(Tools!$F$6:$F$105,MATCH(C105,Tools!$B$6:$B$105,0)))/INDEX(Tools!$U$6:$U$105,MATCH(C105,Tools!$B$6:$B$105,0)))),0))</f>
        <v/>
      </c>
      <c r="K105">
        <f>IF(H105="Remove now",ROW(),"")</f>
        <v/>
      </c>
    </row>
    <row r="106">
      <c r="A106" s="1" t="n"/>
      <c r="B106" s="20" t="n"/>
      <c r="C106" s="21" t="n"/>
      <c r="D106" s="22" t="n"/>
      <c r="E106" s="25" t="n"/>
      <c r="F106" s="25" t="n"/>
      <c r="G106" s="1">
        <f>IF(OR(B106="",C106=""),"",IF(AND(F106&lt;&gt;"",F106&lt;=TODAY()),0,1))</f>
        <v/>
      </c>
      <c r="H106" s="14">
        <f>IF(OR(B106="",C106=""),"",IF(G106=0,"Removed",IF(AND(I106&lt;&gt;"",I106&lt;=TODAY()),"Remove now","Active")))</f>
        <v/>
      </c>
      <c r="I106" s="1">
        <f>IFERROR(IF(INDEX(Team!$E$6:$E$105,MATCH(B106,Team!$B$6:$B$105,0))="","",INDEX(Team!$E$6:$E$105,MATCH(B106,Team!$B$6:$B$105,0))),"")</f>
        <v/>
      </c>
      <c r="J106">
        <f>IF(G106&lt;&gt;1,0,IFERROR(IF(INDEX(Tools!$G$6:$G$105,MATCH(C106,Tools!$B$6:$B$105,0))="",0,IF(N(INDEX(Tools!$O$6:$O$105,MATCH(C106,Tools!$B$6:$B$105,0)))=0,0,N(INDEX(Tools!$F$6:$F$105,MATCH(C106,Tools!$B$6:$B$105,0)))/INDEX(Tools!$U$6:$U$105,MATCH(C106,Tools!$B$6:$B$105,0)))),0))</f>
        <v/>
      </c>
      <c r="K106">
        <f>IF(H106="Remove now",ROW(),"")</f>
        <v/>
      </c>
    </row>
    <row r="107">
      <c r="A107" s="1" t="n"/>
      <c r="B107" s="20" t="n"/>
      <c r="C107" s="21" t="n"/>
      <c r="D107" s="22" t="n"/>
      <c r="E107" s="25" t="n"/>
      <c r="F107" s="25" t="n"/>
      <c r="G107" s="1">
        <f>IF(OR(B107="",C107=""),"",IF(AND(F107&lt;&gt;"",F107&lt;=TODAY()),0,1))</f>
        <v/>
      </c>
      <c r="H107" s="14">
        <f>IF(OR(B107="",C107=""),"",IF(G107=0,"Removed",IF(AND(I107&lt;&gt;"",I107&lt;=TODAY()),"Remove now","Active")))</f>
        <v/>
      </c>
      <c r="I107" s="1">
        <f>IFERROR(IF(INDEX(Team!$E$6:$E$105,MATCH(B107,Team!$B$6:$B$105,0))="","",INDEX(Team!$E$6:$E$105,MATCH(B107,Team!$B$6:$B$105,0))),"")</f>
        <v/>
      </c>
      <c r="J107">
        <f>IF(G107&lt;&gt;1,0,IFERROR(IF(INDEX(Tools!$G$6:$G$105,MATCH(C107,Tools!$B$6:$B$105,0))="",0,IF(N(INDEX(Tools!$O$6:$O$105,MATCH(C107,Tools!$B$6:$B$105,0)))=0,0,N(INDEX(Tools!$F$6:$F$105,MATCH(C107,Tools!$B$6:$B$105,0)))/INDEX(Tools!$U$6:$U$105,MATCH(C107,Tools!$B$6:$B$105,0)))),0))</f>
        <v/>
      </c>
      <c r="K107">
        <f>IF(H107="Remove now",ROW(),"")</f>
        <v/>
      </c>
    </row>
    <row r="108">
      <c r="A108" s="1" t="n"/>
      <c r="B108" s="20" t="n"/>
      <c r="C108" s="21" t="n"/>
      <c r="D108" s="22" t="n"/>
      <c r="E108" s="25" t="n"/>
      <c r="F108" s="25" t="n"/>
      <c r="G108" s="1">
        <f>IF(OR(B108="",C108=""),"",IF(AND(F108&lt;&gt;"",F108&lt;=TODAY()),0,1))</f>
        <v/>
      </c>
      <c r="H108" s="14">
        <f>IF(OR(B108="",C108=""),"",IF(G108=0,"Removed",IF(AND(I108&lt;&gt;"",I108&lt;=TODAY()),"Remove now","Active")))</f>
        <v/>
      </c>
      <c r="I108" s="1">
        <f>IFERROR(IF(INDEX(Team!$E$6:$E$105,MATCH(B108,Team!$B$6:$B$105,0))="","",INDEX(Team!$E$6:$E$105,MATCH(B108,Team!$B$6:$B$105,0))),"")</f>
        <v/>
      </c>
      <c r="J108">
        <f>IF(G108&lt;&gt;1,0,IFERROR(IF(INDEX(Tools!$G$6:$G$105,MATCH(C108,Tools!$B$6:$B$105,0))="",0,IF(N(INDEX(Tools!$O$6:$O$105,MATCH(C108,Tools!$B$6:$B$105,0)))=0,0,N(INDEX(Tools!$F$6:$F$105,MATCH(C108,Tools!$B$6:$B$105,0)))/INDEX(Tools!$U$6:$U$105,MATCH(C108,Tools!$B$6:$B$105,0)))),0))</f>
        <v/>
      </c>
      <c r="K108">
        <f>IF(H108="Remove now",ROW(),"")</f>
        <v/>
      </c>
    </row>
    <row r="109">
      <c r="A109" s="1" t="n"/>
      <c r="B109" s="20" t="n"/>
      <c r="C109" s="21" t="n"/>
      <c r="D109" s="22" t="n"/>
      <c r="E109" s="25" t="n"/>
      <c r="F109" s="25" t="n"/>
      <c r="G109" s="1">
        <f>IF(OR(B109="",C109=""),"",IF(AND(F109&lt;&gt;"",F109&lt;=TODAY()),0,1))</f>
        <v/>
      </c>
      <c r="H109" s="14">
        <f>IF(OR(B109="",C109=""),"",IF(G109=0,"Removed",IF(AND(I109&lt;&gt;"",I109&lt;=TODAY()),"Remove now","Active")))</f>
        <v/>
      </c>
      <c r="I109" s="1">
        <f>IFERROR(IF(INDEX(Team!$E$6:$E$105,MATCH(B109,Team!$B$6:$B$105,0))="","",INDEX(Team!$E$6:$E$105,MATCH(B109,Team!$B$6:$B$105,0))),"")</f>
        <v/>
      </c>
      <c r="J109">
        <f>IF(G109&lt;&gt;1,0,IFERROR(IF(INDEX(Tools!$G$6:$G$105,MATCH(C109,Tools!$B$6:$B$105,0))="",0,IF(N(INDEX(Tools!$O$6:$O$105,MATCH(C109,Tools!$B$6:$B$105,0)))=0,0,N(INDEX(Tools!$F$6:$F$105,MATCH(C109,Tools!$B$6:$B$105,0)))/INDEX(Tools!$U$6:$U$105,MATCH(C109,Tools!$B$6:$B$105,0)))),0))</f>
        <v/>
      </c>
      <c r="K109">
        <f>IF(H109="Remove now",ROW(),"")</f>
        <v/>
      </c>
    </row>
    <row r="110">
      <c r="A110" s="1" t="n"/>
      <c r="B110" s="20" t="n"/>
      <c r="C110" s="21" t="n"/>
      <c r="D110" s="22" t="n"/>
      <c r="E110" s="25" t="n"/>
      <c r="F110" s="25" t="n"/>
      <c r="G110" s="1">
        <f>IF(OR(B110="",C110=""),"",IF(AND(F110&lt;&gt;"",F110&lt;=TODAY()),0,1))</f>
        <v/>
      </c>
      <c r="H110" s="14">
        <f>IF(OR(B110="",C110=""),"",IF(G110=0,"Removed",IF(AND(I110&lt;&gt;"",I110&lt;=TODAY()),"Remove now","Active")))</f>
        <v/>
      </c>
      <c r="I110" s="1">
        <f>IFERROR(IF(INDEX(Team!$E$6:$E$105,MATCH(B110,Team!$B$6:$B$105,0))="","",INDEX(Team!$E$6:$E$105,MATCH(B110,Team!$B$6:$B$105,0))),"")</f>
        <v/>
      </c>
      <c r="J110">
        <f>IF(G110&lt;&gt;1,0,IFERROR(IF(INDEX(Tools!$G$6:$G$105,MATCH(C110,Tools!$B$6:$B$105,0))="",0,IF(N(INDEX(Tools!$O$6:$O$105,MATCH(C110,Tools!$B$6:$B$105,0)))=0,0,N(INDEX(Tools!$F$6:$F$105,MATCH(C110,Tools!$B$6:$B$105,0)))/INDEX(Tools!$U$6:$U$105,MATCH(C110,Tools!$B$6:$B$105,0)))),0))</f>
        <v/>
      </c>
      <c r="K110">
        <f>IF(H110="Remove now",ROW(),"")</f>
        <v/>
      </c>
    </row>
    <row r="111">
      <c r="A111" s="1" t="n"/>
      <c r="B111" s="20" t="n"/>
      <c r="C111" s="21" t="n"/>
      <c r="D111" s="22" t="n"/>
      <c r="E111" s="25" t="n"/>
      <c r="F111" s="25" t="n"/>
      <c r="G111" s="1">
        <f>IF(OR(B111="",C111=""),"",IF(AND(F111&lt;&gt;"",F111&lt;=TODAY()),0,1))</f>
        <v/>
      </c>
      <c r="H111" s="14">
        <f>IF(OR(B111="",C111=""),"",IF(G111=0,"Removed",IF(AND(I111&lt;&gt;"",I111&lt;=TODAY()),"Remove now","Active")))</f>
        <v/>
      </c>
      <c r="I111" s="1">
        <f>IFERROR(IF(INDEX(Team!$E$6:$E$105,MATCH(B111,Team!$B$6:$B$105,0))="","",INDEX(Team!$E$6:$E$105,MATCH(B111,Team!$B$6:$B$105,0))),"")</f>
        <v/>
      </c>
      <c r="J111">
        <f>IF(G111&lt;&gt;1,0,IFERROR(IF(INDEX(Tools!$G$6:$G$105,MATCH(C111,Tools!$B$6:$B$105,0))="",0,IF(N(INDEX(Tools!$O$6:$O$105,MATCH(C111,Tools!$B$6:$B$105,0)))=0,0,N(INDEX(Tools!$F$6:$F$105,MATCH(C111,Tools!$B$6:$B$105,0)))/INDEX(Tools!$U$6:$U$105,MATCH(C111,Tools!$B$6:$B$105,0)))),0))</f>
        <v/>
      </c>
      <c r="K111">
        <f>IF(H111="Remove now",ROW(),"")</f>
        <v/>
      </c>
    </row>
    <row r="112">
      <c r="A112" s="1" t="n"/>
      <c r="B112" s="20" t="n"/>
      <c r="C112" s="21" t="n"/>
      <c r="D112" s="22" t="n"/>
      <c r="E112" s="25" t="n"/>
      <c r="F112" s="25" t="n"/>
      <c r="G112" s="1">
        <f>IF(OR(B112="",C112=""),"",IF(AND(F112&lt;&gt;"",F112&lt;=TODAY()),0,1))</f>
        <v/>
      </c>
      <c r="H112" s="14">
        <f>IF(OR(B112="",C112=""),"",IF(G112=0,"Removed",IF(AND(I112&lt;&gt;"",I112&lt;=TODAY()),"Remove now","Active")))</f>
        <v/>
      </c>
      <c r="I112" s="1">
        <f>IFERROR(IF(INDEX(Team!$E$6:$E$105,MATCH(B112,Team!$B$6:$B$105,0))="","",INDEX(Team!$E$6:$E$105,MATCH(B112,Team!$B$6:$B$105,0))),"")</f>
        <v/>
      </c>
      <c r="J112">
        <f>IF(G112&lt;&gt;1,0,IFERROR(IF(INDEX(Tools!$G$6:$G$105,MATCH(C112,Tools!$B$6:$B$105,0))="",0,IF(N(INDEX(Tools!$O$6:$O$105,MATCH(C112,Tools!$B$6:$B$105,0)))=0,0,N(INDEX(Tools!$F$6:$F$105,MATCH(C112,Tools!$B$6:$B$105,0)))/INDEX(Tools!$U$6:$U$105,MATCH(C112,Tools!$B$6:$B$105,0)))),0))</f>
        <v/>
      </c>
      <c r="K112">
        <f>IF(H112="Remove now",ROW(),"")</f>
        <v/>
      </c>
    </row>
    <row r="113">
      <c r="A113" s="1" t="n"/>
      <c r="B113" s="20" t="n"/>
      <c r="C113" s="21" t="n"/>
      <c r="D113" s="22" t="n"/>
      <c r="E113" s="25" t="n"/>
      <c r="F113" s="25" t="n"/>
      <c r="G113" s="1">
        <f>IF(OR(B113="",C113=""),"",IF(AND(F113&lt;&gt;"",F113&lt;=TODAY()),0,1))</f>
        <v/>
      </c>
      <c r="H113" s="14">
        <f>IF(OR(B113="",C113=""),"",IF(G113=0,"Removed",IF(AND(I113&lt;&gt;"",I113&lt;=TODAY()),"Remove now","Active")))</f>
        <v/>
      </c>
      <c r="I113" s="1">
        <f>IFERROR(IF(INDEX(Team!$E$6:$E$105,MATCH(B113,Team!$B$6:$B$105,0))="","",INDEX(Team!$E$6:$E$105,MATCH(B113,Team!$B$6:$B$105,0))),"")</f>
        <v/>
      </c>
      <c r="J113">
        <f>IF(G113&lt;&gt;1,0,IFERROR(IF(INDEX(Tools!$G$6:$G$105,MATCH(C113,Tools!$B$6:$B$105,0))="",0,IF(N(INDEX(Tools!$O$6:$O$105,MATCH(C113,Tools!$B$6:$B$105,0)))=0,0,N(INDEX(Tools!$F$6:$F$105,MATCH(C113,Tools!$B$6:$B$105,0)))/INDEX(Tools!$U$6:$U$105,MATCH(C113,Tools!$B$6:$B$105,0)))),0))</f>
        <v/>
      </c>
      <c r="K113">
        <f>IF(H113="Remove now",ROW(),"")</f>
        <v/>
      </c>
    </row>
    <row r="114">
      <c r="A114" s="1" t="n"/>
      <c r="B114" s="20" t="n"/>
      <c r="C114" s="21" t="n"/>
      <c r="D114" s="22" t="n"/>
      <c r="E114" s="25" t="n"/>
      <c r="F114" s="25" t="n"/>
      <c r="G114" s="1">
        <f>IF(OR(B114="",C114=""),"",IF(AND(F114&lt;&gt;"",F114&lt;=TODAY()),0,1))</f>
        <v/>
      </c>
      <c r="H114" s="14">
        <f>IF(OR(B114="",C114=""),"",IF(G114=0,"Removed",IF(AND(I114&lt;&gt;"",I114&lt;=TODAY()),"Remove now","Active")))</f>
        <v/>
      </c>
      <c r="I114" s="1">
        <f>IFERROR(IF(INDEX(Team!$E$6:$E$105,MATCH(B114,Team!$B$6:$B$105,0))="","",INDEX(Team!$E$6:$E$105,MATCH(B114,Team!$B$6:$B$105,0))),"")</f>
        <v/>
      </c>
      <c r="J114">
        <f>IF(G114&lt;&gt;1,0,IFERROR(IF(INDEX(Tools!$G$6:$G$105,MATCH(C114,Tools!$B$6:$B$105,0))="",0,IF(N(INDEX(Tools!$O$6:$O$105,MATCH(C114,Tools!$B$6:$B$105,0)))=0,0,N(INDEX(Tools!$F$6:$F$105,MATCH(C114,Tools!$B$6:$B$105,0)))/INDEX(Tools!$U$6:$U$105,MATCH(C114,Tools!$B$6:$B$105,0)))),0))</f>
        <v/>
      </c>
      <c r="K114">
        <f>IF(H114="Remove now",ROW(),"")</f>
        <v/>
      </c>
    </row>
    <row r="115">
      <c r="A115" s="1" t="n"/>
      <c r="B115" s="20" t="n"/>
      <c r="C115" s="21" t="n"/>
      <c r="D115" s="22" t="n"/>
      <c r="E115" s="25" t="n"/>
      <c r="F115" s="25" t="n"/>
      <c r="G115" s="1">
        <f>IF(OR(B115="",C115=""),"",IF(AND(F115&lt;&gt;"",F115&lt;=TODAY()),0,1))</f>
        <v/>
      </c>
      <c r="H115" s="14">
        <f>IF(OR(B115="",C115=""),"",IF(G115=0,"Removed",IF(AND(I115&lt;&gt;"",I115&lt;=TODAY()),"Remove now","Active")))</f>
        <v/>
      </c>
      <c r="I115" s="1">
        <f>IFERROR(IF(INDEX(Team!$E$6:$E$105,MATCH(B115,Team!$B$6:$B$105,0))="","",INDEX(Team!$E$6:$E$105,MATCH(B115,Team!$B$6:$B$105,0))),"")</f>
        <v/>
      </c>
      <c r="J115">
        <f>IF(G115&lt;&gt;1,0,IFERROR(IF(INDEX(Tools!$G$6:$G$105,MATCH(C115,Tools!$B$6:$B$105,0))="",0,IF(N(INDEX(Tools!$O$6:$O$105,MATCH(C115,Tools!$B$6:$B$105,0)))=0,0,N(INDEX(Tools!$F$6:$F$105,MATCH(C115,Tools!$B$6:$B$105,0)))/INDEX(Tools!$U$6:$U$105,MATCH(C115,Tools!$B$6:$B$105,0)))),0))</f>
        <v/>
      </c>
      <c r="K115">
        <f>IF(H115="Remove now",ROW(),"")</f>
        <v/>
      </c>
    </row>
    <row r="116">
      <c r="A116" s="1" t="n"/>
      <c r="B116" s="20" t="n"/>
      <c r="C116" s="21" t="n"/>
      <c r="D116" s="22" t="n"/>
      <c r="E116" s="25" t="n"/>
      <c r="F116" s="25" t="n"/>
      <c r="G116" s="1">
        <f>IF(OR(B116="",C116=""),"",IF(AND(F116&lt;&gt;"",F116&lt;=TODAY()),0,1))</f>
        <v/>
      </c>
      <c r="H116" s="14">
        <f>IF(OR(B116="",C116=""),"",IF(G116=0,"Removed",IF(AND(I116&lt;&gt;"",I116&lt;=TODAY()),"Remove now","Active")))</f>
        <v/>
      </c>
      <c r="I116" s="1">
        <f>IFERROR(IF(INDEX(Team!$E$6:$E$105,MATCH(B116,Team!$B$6:$B$105,0))="","",INDEX(Team!$E$6:$E$105,MATCH(B116,Team!$B$6:$B$105,0))),"")</f>
        <v/>
      </c>
      <c r="J116">
        <f>IF(G116&lt;&gt;1,0,IFERROR(IF(INDEX(Tools!$G$6:$G$105,MATCH(C116,Tools!$B$6:$B$105,0))="",0,IF(N(INDEX(Tools!$O$6:$O$105,MATCH(C116,Tools!$B$6:$B$105,0)))=0,0,N(INDEX(Tools!$F$6:$F$105,MATCH(C116,Tools!$B$6:$B$105,0)))/INDEX(Tools!$U$6:$U$105,MATCH(C116,Tools!$B$6:$B$105,0)))),0))</f>
        <v/>
      </c>
      <c r="K116">
        <f>IF(H116="Remove now",ROW(),"")</f>
        <v/>
      </c>
    </row>
    <row r="117">
      <c r="A117" s="1" t="n"/>
      <c r="B117" s="20" t="n"/>
      <c r="C117" s="21" t="n"/>
      <c r="D117" s="22" t="n"/>
      <c r="E117" s="25" t="n"/>
      <c r="F117" s="25" t="n"/>
      <c r="G117" s="1">
        <f>IF(OR(B117="",C117=""),"",IF(AND(F117&lt;&gt;"",F117&lt;=TODAY()),0,1))</f>
        <v/>
      </c>
      <c r="H117" s="14">
        <f>IF(OR(B117="",C117=""),"",IF(G117=0,"Removed",IF(AND(I117&lt;&gt;"",I117&lt;=TODAY()),"Remove now","Active")))</f>
        <v/>
      </c>
      <c r="I117" s="1">
        <f>IFERROR(IF(INDEX(Team!$E$6:$E$105,MATCH(B117,Team!$B$6:$B$105,0))="","",INDEX(Team!$E$6:$E$105,MATCH(B117,Team!$B$6:$B$105,0))),"")</f>
        <v/>
      </c>
      <c r="J117">
        <f>IF(G117&lt;&gt;1,0,IFERROR(IF(INDEX(Tools!$G$6:$G$105,MATCH(C117,Tools!$B$6:$B$105,0))="",0,IF(N(INDEX(Tools!$O$6:$O$105,MATCH(C117,Tools!$B$6:$B$105,0)))=0,0,N(INDEX(Tools!$F$6:$F$105,MATCH(C117,Tools!$B$6:$B$105,0)))/INDEX(Tools!$U$6:$U$105,MATCH(C117,Tools!$B$6:$B$105,0)))),0))</f>
        <v/>
      </c>
      <c r="K117">
        <f>IF(H117="Remove now",ROW(),"")</f>
        <v/>
      </c>
    </row>
    <row r="118">
      <c r="A118" s="1" t="n"/>
      <c r="B118" s="20" t="n"/>
      <c r="C118" s="21" t="n"/>
      <c r="D118" s="22" t="n"/>
      <c r="E118" s="25" t="n"/>
      <c r="F118" s="25" t="n"/>
      <c r="G118" s="1">
        <f>IF(OR(B118="",C118=""),"",IF(AND(F118&lt;&gt;"",F118&lt;=TODAY()),0,1))</f>
        <v/>
      </c>
      <c r="H118" s="14">
        <f>IF(OR(B118="",C118=""),"",IF(G118=0,"Removed",IF(AND(I118&lt;&gt;"",I118&lt;=TODAY()),"Remove now","Active")))</f>
        <v/>
      </c>
      <c r="I118" s="1">
        <f>IFERROR(IF(INDEX(Team!$E$6:$E$105,MATCH(B118,Team!$B$6:$B$105,0))="","",INDEX(Team!$E$6:$E$105,MATCH(B118,Team!$B$6:$B$105,0))),"")</f>
        <v/>
      </c>
      <c r="J118">
        <f>IF(G118&lt;&gt;1,0,IFERROR(IF(INDEX(Tools!$G$6:$G$105,MATCH(C118,Tools!$B$6:$B$105,0))="",0,IF(N(INDEX(Tools!$O$6:$O$105,MATCH(C118,Tools!$B$6:$B$105,0)))=0,0,N(INDEX(Tools!$F$6:$F$105,MATCH(C118,Tools!$B$6:$B$105,0)))/INDEX(Tools!$U$6:$U$105,MATCH(C118,Tools!$B$6:$B$105,0)))),0))</f>
        <v/>
      </c>
      <c r="K118">
        <f>IF(H118="Remove now",ROW(),"")</f>
        <v/>
      </c>
    </row>
    <row r="119">
      <c r="A119" s="1" t="n"/>
      <c r="B119" s="20" t="n"/>
      <c r="C119" s="21" t="n"/>
      <c r="D119" s="22" t="n"/>
      <c r="E119" s="25" t="n"/>
      <c r="F119" s="25" t="n"/>
      <c r="G119" s="1">
        <f>IF(OR(B119="",C119=""),"",IF(AND(F119&lt;&gt;"",F119&lt;=TODAY()),0,1))</f>
        <v/>
      </c>
      <c r="H119" s="14">
        <f>IF(OR(B119="",C119=""),"",IF(G119=0,"Removed",IF(AND(I119&lt;&gt;"",I119&lt;=TODAY()),"Remove now","Active")))</f>
        <v/>
      </c>
      <c r="I119" s="1">
        <f>IFERROR(IF(INDEX(Team!$E$6:$E$105,MATCH(B119,Team!$B$6:$B$105,0))="","",INDEX(Team!$E$6:$E$105,MATCH(B119,Team!$B$6:$B$105,0))),"")</f>
        <v/>
      </c>
      <c r="J119">
        <f>IF(G119&lt;&gt;1,0,IFERROR(IF(INDEX(Tools!$G$6:$G$105,MATCH(C119,Tools!$B$6:$B$105,0))="",0,IF(N(INDEX(Tools!$O$6:$O$105,MATCH(C119,Tools!$B$6:$B$105,0)))=0,0,N(INDEX(Tools!$F$6:$F$105,MATCH(C119,Tools!$B$6:$B$105,0)))/INDEX(Tools!$U$6:$U$105,MATCH(C119,Tools!$B$6:$B$105,0)))),0))</f>
        <v/>
      </c>
      <c r="K119">
        <f>IF(H119="Remove now",ROW(),"")</f>
        <v/>
      </c>
    </row>
    <row r="120">
      <c r="A120" s="1" t="n"/>
      <c r="B120" s="20" t="n"/>
      <c r="C120" s="21" t="n"/>
      <c r="D120" s="22" t="n"/>
      <c r="E120" s="25" t="n"/>
      <c r="F120" s="25" t="n"/>
      <c r="G120" s="1">
        <f>IF(OR(B120="",C120=""),"",IF(AND(F120&lt;&gt;"",F120&lt;=TODAY()),0,1))</f>
        <v/>
      </c>
      <c r="H120" s="14">
        <f>IF(OR(B120="",C120=""),"",IF(G120=0,"Removed",IF(AND(I120&lt;&gt;"",I120&lt;=TODAY()),"Remove now","Active")))</f>
        <v/>
      </c>
      <c r="I120" s="1">
        <f>IFERROR(IF(INDEX(Team!$E$6:$E$105,MATCH(B120,Team!$B$6:$B$105,0))="","",INDEX(Team!$E$6:$E$105,MATCH(B120,Team!$B$6:$B$105,0))),"")</f>
        <v/>
      </c>
      <c r="J120">
        <f>IF(G120&lt;&gt;1,0,IFERROR(IF(INDEX(Tools!$G$6:$G$105,MATCH(C120,Tools!$B$6:$B$105,0))="",0,IF(N(INDEX(Tools!$O$6:$O$105,MATCH(C120,Tools!$B$6:$B$105,0)))=0,0,N(INDEX(Tools!$F$6:$F$105,MATCH(C120,Tools!$B$6:$B$105,0)))/INDEX(Tools!$U$6:$U$105,MATCH(C120,Tools!$B$6:$B$105,0)))),0))</f>
        <v/>
      </c>
      <c r="K120">
        <f>IF(H120="Remove now",ROW(),"")</f>
        <v/>
      </c>
    </row>
    <row r="121">
      <c r="A121" s="1" t="n"/>
      <c r="B121" s="20" t="n"/>
      <c r="C121" s="21" t="n"/>
      <c r="D121" s="22" t="n"/>
      <c r="E121" s="25" t="n"/>
      <c r="F121" s="25" t="n"/>
      <c r="G121" s="1">
        <f>IF(OR(B121="",C121=""),"",IF(AND(F121&lt;&gt;"",F121&lt;=TODAY()),0,1))</f>
        <v/>
      </c>
      <c r="H121" s="14">
        <f>IF(OR(B121="",C121=""),"",IF(G121=0,"Removed",IF(AND(I121&lt;&gt;"",I121&lt;=TODAY()),"Remove now","Active")))</f>
        <v/>
      </c>
      <c r="I121" s="1">
        <f>IFERROR(IF(INDEX(Team!$E$6:$E$105,MATCH(B121,Team!$B$6:$B$105,0))="","",INDEX(Team!$E$6:$E$105,MATCH(B121,Team!$B$6:$B$105,0))),"")</f>
        <v/>
      </c>
      <c r="J121">
        <f>IF(G121&lt;&gt;1,0,IFERROR(IF(INDEX(Tools!$G$6:$G$105,MATCH(C121,Tools!$B$6:$B$105,0))="",0,IF(N(INDEX(Tools!$O$6:$O$105,MATCH(C121,Tools!$B$6:$B$105,0)))=0,0,N(INDEX(Tools!$F$6:$F$105,MATCH(C121,Tools!$B$6:$B$105,0)))/INDEX(Tools!$U$6:$U$105,MATCH(C121,Tools!$B$6:$B$105,0)))),0))</f>
        <v/>
      </c>
      <c r="K121">
        <f>IF(H121="Remove now",ROW(),"")</f>
        <v/>
      </c>
    </row>
    <row r="122">
      <c r="A122" s="1" t="n"/>
      <c r="B122" s="20" t="n"/>
      <c r="C122" s="21" t="n"/>
      <c r="D122" s="22" t="n"/>
      <c r="E122" s="25" t="n"/>
      <c r="F122" s="25" t="n"/>
      <c r="G122" s="1">
        <f>IF(OR(B122="",C122=""),"",IF(AND(F122&lt;&gt;"",F122&lt;=TODAY()),0,1))</f>
        <v/>
      </c>
      <c r="H122" s="14">
        <f>IF(OR(B122="",C122=""),"",IF(G122=0,"Removed",IF(AND(I122&lt;&gt;"",I122&lt;=TODAY()),"Remove now","Active")))</f>
        <v/>
      </c>
      <c r="I122" s="1">
        <f>IFERROR(IF(INDEX(Team!$E$6:$E$105,MATCH(B122,Team!$B$6:$B$105,0))="","",INDEX(Team!$E$6:$E$105,MATCH(B122,Team!$B$6:$B$105,0))),"")</f>
        <v/>
      </c>
      <c r="J122">
        <f>IF(G122&lt;&gt;1,0,IFERROR(IF(INDEX(Tools!$G$6:$G$105,MATCH(C122,Tools!$B$6:$B$105,0))="",0,IF(N(INDEX(Tools!$O$6:$O$105,MATCH(C122,Tools!$B$6:$B$105,0)))=0,0,N(INDEX(Tools!$F$6:$F$105,MATCH(C122,Tools!$B$6:$B$105,0)))/INDEX(Tools!$U$6:$U$105,MATCH(C122,Tools!$B$6:$B$105,0)))),0))</f>
        <v/>
      </c>
      <c r="K122">
        <f>IF(H122="Remove now",ROW(),"")</f>
        <v/>
      </c>
    </row>
    <row r="123">
      <c r="A123" s="1" t="n"/>
      <c r="B123" s="20" t="n"/>
      <c r="C123" s="21" t="n"/>
      <c r="D123" s="22" t="n"/>
      <c r="E123" s="25" t="n"/>
      <c r="F123" s="25" t="n"/>
      <c r="G123" s="1">
        <f>IF(OR(B123="",C123=""),"",IF(AND(F123&lt;&gt;"",F123&lt;=TODAY()),0,1))</f>
        <v/>
      </c>
      <c r="H123" s="14">
        <f>IF(OR(B123="",C123=""),"",IF(G123=0,"Removed",IF(AND(I123&lt;&gt;"",I123&lt;=TODAY()),"Remove now","Active")))</f>
        <v/>
      </c>
      <c r="I123" s="1">
        <f>IFERROR(IF(INDEX(Team!$E$6:$E$105,MATCH(B123,Team!$B$6:$B$105,0))="","",INDEX(Team!$E$6:$E$105,MATCH(B123,Team!$B$6:$B$105,0))),"")</f>
        <v/>
      </c>
      <c r="J123">
        <f>IF(G123&lt;&gt;1,0,IFERROR(IF(INDEX(Tools!$G$6:$G$105,MATCH(C123,Tools!$B$6:$B$105,0))="",0,IF(N(INDEX(Tools!$O$6:$O$105,MATCH(C123,Tools!$B$6:$B$105,0)))=0,0,N(INDEX(Tools!$F$6:$F$105,MATCH(C123,Tools!$B$6:$B$105,0)))/INDEX(Tools!$U$6:$U$105,MATCH(C123,Tools!$B$6:$B$105,0)))),0))</f>
        <v/>
      </c>
      <c r="K123">
        <f>IF(H123="Remove now",ROW(),"")</f>
        <v/>
      </c>
    </row>
    <row r="124">
      <c r="A124" s="1" t="n"/>
      <c r="B124" s="20" t="n"/>
      <c r="C124" s="21" t="n"/>
      <c r="D124" s="22" t="n"/>
      <c r="E124" s="25" t="n"/>
      <c r="F124" s="25" t="n"/>
      <c r="G124" s="1">
        <f>IF(OR(B124="",C124=""),"",IF(AND(F124&lt;&gt;"",F124&lt;=TODAY()),0,1))</f>
        <v/>
      </c>
      <c r="H124" s="14">
        <f>IF(OR(B124="",C124=""),"",IF(G124=0,"Removed",IF(AND(I124&lt;&gt;"",I124&lt;=TODAY()),"Remove now","Active")))</f>
        <v/>
      </c>
      <c r="I124" s="1">
        <f>IFERROR(IF(INDEX(Team!$E$6:$E$105,MATCH(B124,Team!$B$6:$B$105,0))="","",INDEX(Team!$E$6:$E$105,MATCH(B124,Team!$B$6:$B$105,0))),"")</f>
        <v/>
      </c>
      <c r="J124">
        <f>IF(G124&lt;&gt;1,0,IFERROR(IF(INDEX(Tools!$G$6:$G$105,MATCH(C124,Tools!$B$6:$B$105,0))="",0,IF(N(INDEX(Tools!$O$6:$O$105,MATCH(C124,Tools!$B$6:$B$105,0)))=0,0,N(INDEX(Tools!$F$6:$F$105,MATCH(C124,Tools!$B$6:$B$105,0)))/INDEX(Tools!$U$6:$U$105,MATCH(C124,Tools!$B$6:$B$105,0)))),0))</f>
        <v/>
      </c>
      <c r="K124">
        <f>IF(H124="Remove now",ROW(),"")</f>
        <v/>
      </c>
    </row>
    <row r="125">
      <c r="A125" s="1" t="n"/>
      <c r="B125" s="20" t="n"/>
      <c r="C125" s="21" t="n"/>
      <c r="D125" s="22" t="n"/>
      <c r="E125" s="25" t="n"/>
      <c r="F125" s="25" t="n"/>
      <c r="G125" s="1">
        <f>IF(OR(B125="",C125=""),"",IF(AND(F125&lt;&gt;"",F125&lt;=TODAY()),0,1))</f>
        <v/>
      </c>
      <c r="H125" s="14">
        <f>IF(OR(B125="",C125=""),"",IF(G125=0,"Removed",IF(AND(I125&lt;&gt;"",I125&lt;=TODAY()),"Remove now","Active")))</f>
        <v/>
      </c>
      <c r="I125" s="1">
        <f>IFERROR(IF(INDEX(Team!$E$6:$E$105,MATCH(B125,Team!$B$6:$B$105,0))="","",INDEX(Team!$E$6:$E$105,MATCH(B125,Team!$B$6:$B$105,0))),"")</f>
        <v/>
      </c>
      <c r="J125">
        <f>IF(G125&lt;&gt;1,0,IFERROR(IF(INDEX(Tools!$G$6:$G$105,MATCH(C125,Tools!$B$6:$B$105,0))="",0,IF(N(INDEX(Tools!$O$6:$O$105,MATCH(C125,Tools!$B$6:$B$105,0)))=0,0,N(INDEX(Tools!$F$6:$F$105,MATCH(C125,Tools!$B$6:$B$105,0)))/INDEX(Tools!$U$6:$U$105,MATCH(C125,Tools!$B$6:$B$105,0)))),0))</f>
        <v/>
      </c>
      <c r="K125">
        <f>IF(H125="Remove now",ROW(),"")</f>
        <v/>
      </c>
    </row>
    <row r="126">
      <c r="A126" s="1" t="n"/>
      <c r="B126" s="20" t="n"/>
      <c r="C126" s="21" t="n"/>
      <c r="D126" s="22" t="n"/>
      <c r="E126" s="25" t="n"/>
      <c r="F126" s="25" t="n"/>
      <c r="G126" s="1">
        <f>IF(OR(B126="",C126=""),"",IF(AND(F126&lt;&gt;"",F126&lt;=TODAY()),0,1))</f>
        <v/>
      </c>
      <c r="H126" s="14">
        <f>IF(OR(B126="",C126=""),"",IF(G126=0,"Removed",IF(AND(I126&lt;&gt;"",I126&lt;=TODAY()),"Remove now","Active")))</f>
        <v/>
      </c>
      <c r="I126" s="1">
        <f>IFERROR(IF(INDEX(Team!$E$6:$E$105,MATCH(B126,Team!$B$6:$B$105,0))="","",INDEX(Team!$E$6:$E$105,MATCH(B126,Team!$B$6:$B$105,0))),"")</f>
        <v/>
      </c>
      <c r="J126">
        <f>IF(G126&lt;&gt;1,0,IFERROR(IF(INDEX(Tools!$G$6:$G$105,MATCH(C126,Tools!$B$6:$B$105,0))="",0,IF(N(INDEX(Tools!$O$6:$O$105,MATCH(C126,Tools!$B$6:$B$105,0)))=0,0,N(INDEX(Tools!$F$6:$F$105,MATCH(C126,Tools!$B$6:$B$105,0)))/INDEX(Tools!$U$6:$U$105,MATCH(C126,Tools!$B$6:$B$105,0)))),0))</f>
        <v/>
      </c>
      <c r="K126">
        <f>IF(H126="Remove now",ROW(),"")</f>
        <v/>
      </c>
    </row>
    <row r="127">
      <c r="A127" s="1" t="n"/>
      <c r="B127" s="20" t="n"/>
      <c r="C127" s="21" t="n"/>
      <c r="D127" s="22" t="n"/>
      <c r="E127" s="25" t="n"/>
      <c r="F127" s="25" t="n"/>
      <c r="G127" s="1">
        <f>IF(OR(B127="",C127=""),"",IF(AND(F127&lt;&gt;"",F127&lt;=TODAY()),0,1))</f>
        <v/>
      </c>
      <c r="H127" s="14">
        <f>IF(OR(B127="",C127=""),"",IF(G127=0,"Removed",IF(AND(I127&lt;&gt;"",I127&lt;=TODAY()),"Remove now","Active")))</f>
        <v/>
      </c>
      <c r="I127" s="1">
        <f>IFERROR(IF(INDEX(Team!$E$6:$E$105,MATCH(B127,Team!$B$6:$B$105,0))="","",INDEX(Team!$E$6:$E$105,MATCH(B127,Team!$B$6:$B$105,0))),"")</f>
        <v/>
      </c>
      <c r="J127">
        <f>IF(G127&lt;&gt;1,0,IFERROR(IF(INDEX(Tools!$G$6:$G$105,MATCH(C127,Tools!$B$6:$B$105,0))="",0,IF(N(INDEX(Tools!$O$6:$O$105,MATCH(C127,Tools!$B$6:$B$105,0)))=0,0,N(INDEX(Tools!$F$6:$F$105,MATCH(C127,Tools!$B$6:$B$105,0)))/INDEX(Tools!$U$6:$U$105,MATCH(C127,Tools!$B$6:$B$105,0)))),0))</f>
        <v/>
      </c>
      <c r="K127">
        <f>IF(H127="Remove now",ROW(),"")</f>
        <v/>
      </c>
    </row>
    <row r="128">
      <c r="A128" s="1" t="n"/>
      <c r="B128" s="20" t="n"/>
      <c r="C128" s="21" t="n"/>
      <c r="D128" s="22" t="n"/>
      <c r="E128" s="25" t="n"/>
      <c r="F128" s="25" t="n"/>
      <c r="G128" s="1">
        <f>IF(OR(B128="",C128=""),"",IF(AND(F128&lt;&gt;"",F128&lt;=TODAY()),0,1))</f>
        <v/>
      </c>
      <c r="H128" s="14">
        <f>IF(OR(B128="",C128=""),"",IF(G128=0,"Removed",IF(AND(I128&lt;&gt;"",I128&lt;=TODAY()),"Remove now","Active")))</f>
        <v/>
      </c>
      <c r="I128" s="1">
        <f>IFERROR(IF(INDEX(Team!$E$6:$E$105,MATCH(B128,Team!$B$6:$B$105,0))="","",INDEX(Team!$E$6:$E$105,MATCH(B128,Team!$B$6:$B$105,0))),"")</f>
        <v/>
      </c>
      <c r="J128">
        <f>IF(G128&lt;&gt;1,0,IFERROR(IF(INDEX(Tools!$G$6:$G$105,MATCH(C128,Tools!$B$6:$B$105,0))="",0,IF(N(INDEX(Tools!$O$6:$O$105,MATCH(C128,Tools!$B$6:$B$105,0)))=0,0,N(INDEX(Tools!$F$6:$F$105,MATCH(C128,Tools!$B$6:$B$105,0)))/INDEX(Tools!$U$6:$U$105,MATCH(C128,Tools!$B$6:$B$105,0)))),0))</f>
        <v/>
      </c>
      <c r="K128">
        <f>IF(H128="Remove now",ROW(),"")</f>
        <v/>
      </c>
    </row>
    <row r="129">
      <c r="A129" s="1" t="n"/>
      <c r="B129" s="20" t="n"/>
      <c r="C129" s="21" t="n"/>
      <c r="D129" s="22" t="n"/>
      <c r="E129" s="25" t="n"/>
      <c r="F129" s="25" t="n"/>
      <c r="G129" s="1">
        <f>IF(OR(B129="",C129=""),"",IF(AND(F129&lt;&gt;"",F129&lt;=TODAY()),0,1))</f>
        <v/>
      </c>
      <c r="H129" s="14">
        <f>IF(OR(B129="",C129=""),"",IF(G129=0,"Removed",IF(AND(I129&lt;&gt;"",I129&lt;=TODAY()),"Remove now","Active")))</f>
        <v/>
      </c>
      <c r="I129" s="1">
        <f>IFERROR(IF(INDEX(Team!$E$6:$E$105,MATCH(B129,Team!$B$6:$B$105,0))="","",INDEX(Team!$E$6:$E$105,MATCH(B129,Team!$B$6:$B$105,0))),"")</f>
        <v/>
      </c>
      <c r="J129">
        <f>IF(G129&lt;&gt;1,0,IFERROR(IF(INDEX(Tools!$G$6:$G$105,MATCH(C129,Tools!$B$6:$B$105,0))="",0,IF(N(INDEX(Tools!$O$6:$O$105,MATCH(C129,Tools!$B$6:$B$105,0)))=0,0,N(INDEX(Tools!$F$6:$F$105,MATCH(C129,Tools!$B$6:$B$105,0)))/INDEX(Tools!$U$6:$U$105,MATCH(C129,Tools!$B$6:$B$105,0)))),0))</f>
        <v/>
      </c>
      <c r="K129">
        <f>IF(H129="Remove now",ROW(),"")</f>
        <v/>
      </c>
    </row>
    <row r="130">
      <c r="A130" s="1" t="n"/>
      <c r="B130" s="20" t="n"/>
      <c r="C130" s="21" t="n"/>
      <c r="D130" s="22" t="n"/>
      <c r="E130" s="25" t="n"/>
      <c r="F130" s="25" t="n"/>
      <c r="G130" s="1">
        <f>IF(OR(B130="",C130=""),"",IF(AND(F130&lt;&gt;"",F130&lt;=TODAY()),0,1))</f>
        <v/>
      </c>
      <c r="H130" s="14">
        <f>IF(OR(B130="",C130=""),"",IF(G130=0,"Removed",IF(AND(I130&lt;&gt;"",I130&lt;=TODAY()),"Remove now","Active")))</f>
        <v/>
      </c>
      <c r="I130" s="1">
        <f>IFERROR(IF(INDEX(Team!$E$6:$E$105,MATCH(B130,Team!$B$6:$B$105,0))="","",INDEX(Team!$E$6:$E$105,MATCH(B130,Team!$B$6:$B$105,0))),"")</f>
        <v/>
      </c>
      <c r="J130">
        <f>IF(G130&lt;&gt;1,0,IFERROR(IF(INDEX(Tools!$G$6:$G$105,MATCH(C130,Tools!$B$6:$B$105,0))="",0,IF(N(INDEX(Tools!$O$6:$O$105,MATCH(C130,Tools!$B$6:$B$105,0)))=0,0,N(INDEX(Tools!$F$6:$F$105,MATCH(C130,Tools!$B$6:$B$105,0)))/INDEX(Tools!$U$6:$U$105,MATCH(C130,Tools!$B$6:$B$105,0)))),0))</f>
        <v/>
      </c>
      <c r="K130">
        <f>IF(H130="Remove now",ROW(),"")</f>
        <v/>
      </c>
    </row>
    <row r="131">
      <c r="A131" s="1" t="n"/>
      <c r="B131" s="20" t="n"/>
      <c r="C131" s="21" t="n"/>
      <c r="D131" s="22" t="n"/>
      <c r="E131" s="25" t="n"/>
      <c r="F131" s="25" t="n"/>
      <c r="G131" s="1">
        <f>IF(OR(B131="",C131=""),"",IF(AND(F131&lt;&gt;"",F131&lt;=TODAY()),0,1))</f>
        <v/>
      </c>
      <c r="H131" s="14">
        <f>IF(OR(B131="",C131=""),"",IF(G131=0,"Removed",IF(AND(I131&lt;&gt;"",I131&lt;=TODAY()),"Remove now","Active")))</f>
        <v/>
      </c>
      <c r="I131" s="1">
        <f>IFERROR(IF(INDEX(Team!$E$6:$E$105,MATCH(B131,Team!$B$6:$B$105,0))="","",INDEX(Team!$E$6:$E$105,MATCH(B131,Team!$B$6:$B$105,0))),"")</f>
        <v/>
      </c>
      <c r="J131">
        <f>IF(G131&lt;&gt;1,0,IFERROR(IF(INDEX(Tools!$G$6:$G$105,MATCH(C131,Tools!$B$6:$B$105,0))="",0,IF(N(INDEX(Tools!$O$6:$O$105,MATCH(C131,Tools!$B$6:$B$105,0)))=0,0,N(INDEX(Tools!$F$6:$F$105,MATCH(C131,Tools!$B$6:$B$105,0)))/INDEX(Tools!$U$6:$U$105,MATCH(C131,Tools!$B$6:$B$105,0)))),0))</f>
        <v/>
      </c>
      <c r="K131">
        <f>IF(H131="Remove now",ROW(),"")</f>
        <v/>
      </c>
    </row>
    <row r="132">
      <c r="A132" s="1" t="n"/>
      <c r="B132" s="20" t="n"/>
      <c r="C132" s="21" t="n"/>
      <c r="D132" s="22" t="n"/>
      <c r="E132" s="25" t="n"/>
      <c r="F132" s="25" t="n"/>
      <c r="G132" s="1">
        <f>IF(OR(B132="",C132=""),"",IF(AND(F132&lt;&gt;"",F132&lt;=TODAY()),0,1))</f>
        <v/>
      </c>
      <c r="H132" s="14">
        <f>IF(OR(B132="",C132=""),"",IF(G132=0,"Removed",IF(AND(I132&lt;&gt;"",I132&lt;=TODAY()),"Remove now","Active")))</f>
        <v/>
      </c>
      <c r="I132" s="1">
        <f>IFERROR(IF(INDEX(Team!$E$6:$E$105,MATCH(B132,Team!$B$6:$B$105,0))="","",INDEX(Team!$E$6:$E$105,MATCH(B132,Team!$B$6:$B$105,0))),"")</f>
        <v/>
      </c>
      <c r="J132">
        <f>IF(G132&lt;&gt;1,0,IFERROR(IF(INDEX(Tools!$G$6:$G$105,MATCH(C132,Tools!$B$6:$B$105,0))="",0,IF(N(INDEX(Tools!$O$6:$O$105,MATCH(C132,Tools!$B$6:$B$105,0)))=0,0,N(INDEX(Tools!$F$6:$F$105,MATCH(C132,Tools!$B$6:$B$105,0)))/INDEX(Tools!$U$6:$U$105,MATCH(C132,Tools!$B$6:$B$105,0)))),0))</f>
        <v/>
      </c>
      <c r="K132">
        <f>IF(H132="Remove now",ROW(),"")</f>
        <v/>
      </c>
    </row>
    <row r="133">
      <c r="A133" s="1" t="n"/>
      <c r="B133" s="20" t="n"/>
      <c r="C133" s="21" t="n"/>
      <c r="D133" s="22" t="n"/>
      <c r="E133" s="25" t="n"/>
      <c r="F133" s="25" t="n"/>
      <c r="G133" s="1">
        <f>IF(OR(B133="",C133=""),"",IF(AND(F133&lt;&gt;"",F133&lt;=TODAY()),0,1))</f>
        <v/>
      </c>
      <c r="H133" s="14">
        <f>IF(OR(B133="",C133=""),"",IF(G133=0,"Removed",IF(AND(I133&lt;&gt;"",I133&lt;=TODAY()),"Remove now","Active")))</f>
        <v/>
      </c>
      <c r="I133" s="1">
        <f>IFERROR(IF(INDEX(Team!$E$6:$E$105,MATCH(B133,Team!$B$6:$B$105,0))="","",INDEX(Team!$E$6:$E$105,MATCH(B133,Team!$B$6:$B$105,0))),"")</f>
        <v/>
      </c>
      <c r="J133">
        <f>IF(G133&lt;&gt;1,0,IFERROR(IF(INDEX(Tools!$G$6:$G$105,MATCH(C133,Tools!$B$6:$B$105,0))="",0,IF(N(INDEX(Tools!$O$6:$O$105,MATCH(C133,Tools!$B$6:$B$105,0)))=0,0,N(INDEX(Tools!$F$6:$F$105,MATCH(C133,Tools!$B$6:$B$105,0)))/INDEX(Tools!$U$6:$U$105,MATCH(C133,Tools!$B$6:$B$105,0)))),0))</f>
        <v/>
      </c>
      <c r="K133">
        <f>IF(H133="Remove now",ROW(),"")</f>
        <v/>
      </c>
    </row>
    <row r="134">
      <c r="A134" s="1" t="n"/>
      <c r="B134" s="20" t="n"/>
      <c r="C134" s="21" t="n"/>
      <c r="D134" s="22" t="n"/>
      <c r="E134" s="25" t="n"/>
      <c r="F134" s="25" t="n"/>
      <c r="G134" s="1">
        <f>IF(OR(B134="",C134=""),"",IF(AND(F134&lt;&gt;"",F134&lt;=TODAY()),0,1))</f>
        <v/>
      </c>
      <c r="H134" s="14">
        <f>IF(OR(B134="",C134=""),"",IF(G134=0,"Removed",IF(AND(I134&lt;&gt;"",I134&lt;=TODAY()),"Remove now","Active")))</f>
        <v/>
      </c>
      <c r="I134" s="1">
        <f>IFERROR(IF(INDEX(Team!$E$6:$E$105,MATCH(B134,Team!$B$6:$B$105,0))="","",INDEX(Team!$E$6:$E$105,MATCH(B134,Team!$B$6:$B$105,0))),"")</f>
        <v/>
      </c>
      <c r="J134">
        <f>IF(G134&lt;&gt;1,0,IFERROR(IF(INDEX(Tools!$G$6:$G$105,MATCH(C134,Tools!$B$6:$B$105,0))="",0,IF(N(INDEX(Tools!$O$6:$O$105,MATCH(C134,Tools!$B$6:$B$105,0)))=0,0,N(INDEX(Tools!$F$6:$F$105,MATCH(C134,Tools!$B$6:$B$105,0)))/INDEX(Tools!$U$6:$U$105,MATCH(C134,Tools!$B$6:$B$105,0)))),0))</f>
        <v/>
      </c>
      <c r="K134">
        <f>IF(H134="Remove now",ROW(),"")</f>
        <v/>
      </c>
    </row>
    <row r="135">
      <c r="A135" s="1" t="n"/>
      <c r="B135" s="20" t="n"/>
      <c r="C135" s="21" t="n"/>
      <c r="D135" s="22" t="n"/>
      <c r="E135" s="25" t="n"/>
      <c r="F135" s="25" t="n"/>
      <c r="G135" s="1">
        <f>IF(OR(B135="",C135=""),"",IF(AND(F135&lt;&gt;"",F135&lt;=TODAY()),0,1))</f>
        <v/>
      </c>
      <c r="H135" s="14">
        <f>IF(OR(B135="",C135=""),"",IF(G135=0,"Removed",IF(AND(I135&lt;&gt;"",I135&lt;=TODAY()),"Remove now","Active")))</f>
        <v/>
      </c>
      <c r="I135" s="1">
        <f>IFERROR(IF(INDEX(Team!$E$6:$E$105,MATCH(B135,Team!$B$6:$B$105,0))="","",INDEX(Team!$E$6:$E$105,MATCH(B135,Team!$B$6:$B$105,0))),"")</f>
        <v/>
      </c>
      <c r="J135">
        <f>IF(G135&lt;&gt;1,0,IFERROR(IF(INDEX(Tools!$G$6:$G$105,MATCH(C135,Tools!$B$6:$B$105,0))="",0,IF(N(INDEX(Tools!$O$6:$O$105,MATCH(C135,Tools!$B$6:$B$105,0)))=0,0,N(INDEX(Tools!$F$6:$F$105,MATCH(C135,Tools!$B$6:$B$105,0)))/INDEX(Tools!$U$6:$U$105,MATCH(C135,Tools!$B$6:$B$105,0)))),0))</f>
        <v/>
      </c>
      <c r="K135">
        <f>IF(H135="Remove now",ROW(),"")</f>
        <v/>
      </c>
    </row>
    <row r="136">
      <c r="A136" s="1" t="n"/>
      <c r="B136" s="20" t="n"/>
      <c r="C136" s="21" t="n"/>
      <c r="D136" s="22" t="n"/>
      <c r="E136" s="25" t="n"/>
      <c r="F136" s="25" t="n"/>
      <c r="G136" s="1">
        <f>IF(OR(B136="",C136=""),"",IF(AND(F136&lt;&gt;"",F136&lt;=TODAY()),0,1))</f>
        <v/>
      </c>
      <c r="H136" s="14">
        <f>IF(OR(B136="",C136=""),"",IF(G136=0,"Removed",IF(AND(I136&lt;&gt;"",I136&lt;=TODAY()),"Remove now","Active")))</f>
        <v/>
      </c>
      <c r="I136" s="1">
        <f>IFERROR(IF(INDEX(Team!$E$6:$E$105,MATCH(B136,Team!$B$6:$B$105,0))="","",INDEX(Team!$E$6:$E$105,MATCH(B136,Team!$B$6:$B$105,0))),"")</f>
        <v/>
      </c>
      <c r="J136">
        <f>IF(G136&lt;&gt;1,0,IFERROR(IF(INDEX(Tools!$G$6:$G$105,MATCH(C136,Tools!$B$6:$B$105,0))="",0,IF(N(INDEX(Tools!$O$6:$O$105,MATCH(C136,Tools!$B$6:$B$105,0)))=0,0,N(INDEX(Tools!$F$6:$F$105,MATCH(C136,Tools!$B$6:$B$105,0)))/INDEX(Tools!$U$6:$U$105,MATCH(C136,Tools!$B$6:$B$105,0)))),0))</f>
        <v/>
      </c>
      <c r="K136">
        <f>IF(H136="Remove now",ROW(),"")</f>
        <v/>
      </c>
    </row>
    <row r="137">
      <c r="A137" s="1" t="n"/>
      <c r="B137" s="20" t="n"/>
      <c r="C137" s="21" t="n"/>
      <c r="D137" s="22" t="n"/>
      <c r="E137" s="25" t="n"/>
      <c r="F137" s="25" t="n"/>
      <c r="G137" s="1">
        <f>IF(OR(B137="",C137=""),"",IF(AND(F137&lt;&gt;"",F137&lt;=TODAY()),0,1))</f>
        <v/>
      </c>
      <c r="H137" s="14">
        <f>IF(OR(B137="",C137=""),"",IF(G137=0,"Removed",IF(AND(I137&lt;&gt;"",I137&lt;=TODAY()),"Remove now","Active")))</f>
        <v/>
      </c>
      <c r="I137" s="1">
        <f>IFERROR(IF(INDEX(Team!$E$6:$E$105,MATCH(B137,Team!$B$6:$B$105,0))="","",INDEX(Team!$E$6:$E$105,MATCH(B137,Team!$B$6:$B$105,0))),"")</f>
        <v/>
      </c>
      <c r="J137">
        <f>IF(G137&lt;&gt;1,0,IFERROR(IF(INDEX(Tools!$G$6:$G$105,MATCH(C137,Tools!$B$6:$B$105,0))="",0,IF(N(INDEX(Tools!$O$6:$O$105,MATCH(C137,Tools!$B$6:$B$105,0)))=0,0,N(INDEX(Tools!$F$6:$F$105,MATCH(C137,Tools!$B$6:$B$105,0)))/INDEX(Tools!$U$6:$U$105,MATCH(C137,Tools!$B$6:$B$105,0)))),0))</f>
        <v/>
      </c>
      <c r="K137">
        <f>IF(H137="Remove now",ROW(),"")</f>
        <v/>
      </c>
    </row>
    <row r="138">
      <c r="A138" s="1" t="n"/>
      <c r="B138" s="20" t="n"/>
      <c r="C138" s="21" t="n"/>
      <c r="D138" s="22" t="n"/>
      <c r="E138" s="25" t="n"/>
      <c r="F138" s="25" t="n"/>
      <c r="G138" s="1">
        <f>IF(OR(B138="",C138=""),"",IF(AND(F138&lt;&gt;"",F138&lt;=TODAY()),0,1))</f>
        <v/>
      </c>
      <c r="H138" s="14">
        <f>IF(OR(B138="",C138=""),"",IF(G138=0,"Removed",IF(AND(I138&lt;&gt;"",I138&lt;=TODAY()),"Remove now","Active")))</f>
        <v/>
      </c>
      <c r="I138" s="1">
        <f>IFERROR(IF(INDEX(Team!$E$6:$E$105,MATCH(B138,Team!$B$6:$B$105,0))="","",INDEX(Team!$E$6:$E$105,MATCH(B138,Team!$B$6:$B$105,0))),"")</f>
        <v/>
      </c>
      <c r="J138">
        <f>IF(G138&lt;&gt;1,0,IFERROR(IF(INDEX(Tools!$G$6:$G$105,MATCH(C138,Tools!$B$6:$B$105,0))="",0,IF(N(INDEX(Tools!$O$6:$O$105,MATCH(C138,Tools!$B$6:$B$105,0)))=0,0,N(INDEX(Tools!$F$6:$F$105,MATCH(C138,Tools!$B$6:$B$105,0)))/INDEX(Tools!$U$6:$U$105,MATCH(C138,Tools!$B$6:$B$105,0)))),0))</f>
        <v/>
      </c>
      <c r="K138">
        <f>IF(H138="Remove now",ROW(),"")</f>
        <v/>
      </c>
    </row>
    <row r="139">
      <c r="A139" s="1" t="n"/>
      <c r="B139" s="20" t="n"/>
      <c r="C139" s="21" t="n"/>
      <c r="D139" s="22" t="n"/>
      <c r="E139" s="25" t="n"/>
      <c r="F139" s="25" t="n"/>
      <c r="G139" s="1">
        <f>IF(OR(B139="",C139=""),"",IF(AND(F139&lt;&gt;"",F139&lt;=TODAY()),0,1))</f>
        <v/>
      </c>
      <c r="H139" s="14">
        <f>IF(OR(B139="",C139=""),"",IF(G139=0,"Removed",IF(AND(I139&lt;&gt;"",I139&lt;=TODAY()),"Remove now","Active")))</f>
        <v/>
      </c>
      <c r="I139" s="1">
        <f>IFERROR(IF(INDEX(Team!$E$6:$E$105,MATCH(B139,Team!$B$6:$B$105,0))="","",INDEX(Team!$E$6:$E$105,MATCH(B139,Team!$B$6:$B$105,0))),"")</f>
        <v/>
      </c>
      <c r="J139">
        <f>IF(G139&lt;&gt;1,0,IFERROR(IF(INDEX(Tools!$G$6:$G$105,MATCH(C139,Tools!$B$6:$B$105,0))="",0,IF(N(INDEX(Tools!$O$6:$O$105,MATCH(C139,Tools!$B$6:$B$105,0)))=0,0,N(INDEX(Tools!$F$6:$F$105,MATCH(C139,Tools!$B$6:$B$105,0)))/INDEX(Tools!$U$6:$U$105,MATCH(C139,Tools!$B$6:$B$105,0)))),0))</f>
        <v/>
      </c>
      <c r="K139">
        <f>IF(H139="Remove now",ROW(),"")</f>
        <v/>
      </c>
    </row>
    <row r="140">
      <c r="A140" s="1" t="n"/>
      <c r="B140" s="20" t="n"/>
      <c r="C140" s="21" t="n"/>
      <c r="D140" s="22" t="n"/>
      <c r="E140" s="25" t="n"/>
      <c r="F140" s="25" t="n"/>
      <c r="G140" s="1">
        <f>IF(OR(B140="",C140=""),"",IF(AND(F140&lt;&gt;"",F140&lt;=TODAY()),0,1))</f>
        <v/>
      </c>
      <c r="H140" s="14">
        <f>IF(OR(B140="",C140=""),"",IF(G140=0,"Removed",IF(AND(I140&lt;&gt;"",I140&lt;=TODAY()),"Remove now","Active")))</f>
        <v/>
      </c>
      <c r="I140" s="1">
        <f>IFERROR(IF(INDEX(Team!$E$6:$E$105,MATCH(B140,Team!$B$6:$B$105,0))="","",INDEX(Team!$E$6:$E$105,MATCH(B140,Team!$B$6:$B$105,0))),"")</f>
        <v/>
      </c>
      <c r="J140">
        <f>IF(G140&lt;&gt;1,0,IFERROR(IF(INDEX(Tools!$G$6:$G$105,MATCH(C140,Tools!$B$6:$B$105,0))="",0,IF(N(INDEX(Tools!$O$6:$O$105,MATCH(C140,Tools!$B$6:$B$105,0)))=0,0,N(INDEX(Tools!$F$6:$F$105,MATCH(C140,Tools!$B$6:$B$105,0)))/INDEX(Tools!$U$6:$U$105,MATCH(C140,Tools!$B$6:$B$105,0)))),0))</f>
        <v/>
      </c>
      <c r="K140">
        <f>IF(H140="Remove now",ROW(),"")</f>
        <v/>
      </c>
    </row>
    <row r="141">
      <c r="A141" s="1" t="n"/>
      <c r="B141" s="20" t="n"/>
      <c r="C141" s="21" t="n"/>
      <c r="D141" s="22" t="n"/>
      <c r="E141" s="25" t="n"/>
      <c r="F141" s="25" t="n"/>
      <c r="G141" s="1">
        <f>IF(OR(B141="",C141=""),"",IF(AND(F141&lt;&gt;"",F141&lt;=TODAY()),0,1))</f>
        <v/>
      </c>
      <c r="H141" s="14">
        <f>IF(OR(B141="",C141=""),"",IF(G141=0,"Removed",IF(AND(I141&lt;&gt;"",I141&lt;=TODAY()),"Remove now","Active")))</f>
        <v/>
      </c>
      <c r="I141" s="1">
        <f>IFERROR(IF(INDEX(Team!$E$6:$E$105,MATCH(B141,Team!$B$6:$B$105,0))="","",INDEX(Team!$E$6:$E$105,MATCH(B141,Team!$B$6:$B$105,0))),"")</f>
        <v/>
      </c>
      <c r="J141">
        <f>IF(G141&lt;&gt;1,0,IFERROR(IF(INDEX(Tools!$G$6:$G$105,MATCH(C141,Tools!$B$6:$B$105,0))="",0,IF(N(INDEX(Tools!$O$6:$O$105,MATCH(C141,Tools!$B$6:$B$105,0)))=0,0,N(INDEX(Tools!$F$6:$F$105,MATCH(C141,Tools!$B$6:$B$105,0)))/INDEX(Tools!$U$6:$U$105,MATCH(C141,Tools!$B$6:$B$105,0)))),0))</f>
        <v/>
      </c>
      <c r="K141">
        <f>IF(H141="Remove now",ROW(),"")</f>
        <v/>
      </c>
    </row>
    <row r="142">
      <c r="A142" s="1" t="n"/>
      <c r="B142" s="20" t="n"/>
      <c r="C142" s="21" t="n"/>
      <c r="D142" s="22" t="n"/>
      <c r="E142" s="25" t="n"/>
      <c r="F142" s="25" t="n"/>
      <c r="G142" s="1">
        <f>IF(OR(B142="",C142=""),"",IF(AND(F142&lt;&gt;"",F142&lt;=TODAY()),0,1))</f>
        <v/>
      </c>
      <c r="H142" s="14">
        <f>IF(OR(B142="",C142=""),"",IF(G142=0,"Removed",IF(AND(I142&lt;&gt;"",I142&lt;=TODAY()),"Remove now","Active")))</f>
        <v/>
      </c>
      <c r="I142" s="1">
        <f>IFERROR(IF(INDEX(Team!$E$6:$E$105,MATCH(B142,Team!$B$6:$B$105,0))="","",INDEX(Team!$E$6:$E$105,MATCH(B142,Team!$B$6:$B$105,0))),"")</f>
        <v/>
      </c>
      <c r="J142">
        <f>IF(G142&lt;&gt;1,0,IFERROR(IF(INDEX(Tools!$G$6:$G$105,MATCH(C142,Tools!$B$6:$B$105,0))="",0,IF(N(INDEX(Tools!$O$6:$O$105,MATCH(C142,Tools!$B$6:$B$105,0)))=0,0,N(INDEX(Tools!$F$6:$F$105,MATCH(C142,Tools!$B$6:$B$105,0)))/INDEX(Tools!$U$6:$U$105,MATCH(C142,Tools!$B$6:$B$105,0)))),0))</f>
        <v/>
      </c>
      <c r="K142">
        <f>IF(H142="Remove now",ROW(),"")</f>
        <v/>
      </c>
    </row>
    <row r="143">
      <c r="A143" s="1" t="n"/>
      <c r="B143" s="20" t="n"/>
      <c r="C143" s="21" t="n"/>
      <c r="D143" s="22" t="n"/>
      <c r="E143" s="25" t="n"/>
      <c r="F143" s="25" t="n"/>
      <c r="G143" s="1">
        <f>IF(OR(B143="",C143=""),"",IF(AND(F143&lt;&gt;"",F143&lt;=TODAY()),0,1))</f>
        <v/>
      </c>
      <c r="H143" s="14">
        <f>IF(OR(B143="",C143=""),"",IF(G143=0,"Removed",IF(AND(I143&lt;&gt;"",I143&lt;=TODAY()),"Remove now","Active")))</f>
        <v/>
      </c>
      <c r="I143" s="1">
        <f>IFERROR(IF(INDEX(Team!$E$6:$E$105,MATCH(B143,Team!$B$6:$B$105,0))="","",INDEX(Team!$E$6:$E$105,MATCH(B143,Team!$B$6:$B$105,0))),"")</f>
        <v/>
      </c>
      <c r="J143">
        <f>IF(G143&lt;&gt;1,0,IFERROR(IF(INDEX(Tools!$G$6:$G$105,MATCH(C143,Tools!$B$6:$B$105,0))="",0,IF(N(INDEX(Tools!$O$6:$O$105,MATCH(C143,Tools!$B$6:$B$105,0)))=0,0,N(INDEX(Tools!$F$6:$F$105,MATCH(C143,Tools!$B$6:$B$105,0)))/INDEX(Tools!$U$6:$U$105,MATCH(C143,Tools!$B$6:$B$105,0)))),0))</f>
        <v/>
      </c>
      <c r="K143">
        <f>IF(H143="Remove now",ROW(),"")</f>
        <v/>
      </c>
    </row>
    <row r="144">
      <c r="A144" s="1" t="n"/>
      <c r="B144" s="20" t="n"/>
      <c r="C144" s="21" t="n"/>
      <c r="D144" s="22" t="n"/>
      <c r="E144" s="25" t="n"/>
      <c r="F144" s="25" t="n"/>
      <c r="G144" s="1">
        <f>IF(OR(B144="",C144=""),"",IF(AND(F144&lt;&gt;"",F144&lt;=TODAY()),0,1))</f>
        <v/>
      </c>
      <c r="H144" s="14">
        <f>IF(OR(B144="",C144=""),"",IF(G144=0,"Removed",IF(AND(I144&lt;&gt;"",I144&lt;=TODAY()),"Remove now","Active")))</f>
        <v/>
      </c>
      <c r="I144" s="1">
        <f>IFERROR(IF(INDEX(Team!$E$6:$E$105,MATCH(B144,Team!$B$6:$B$105,0))="","",INDEX(Team!$E$6:$E$105,MATCH(B144,Team!$B$6:$B$105,0))),"")</f>
        <v/>
      </c>
      <c r="J144">
        <f>IF(G144&lt;&gt;1,0,IFERROR(IF(INDEX(Tools!$G$6:$G$105,MATCH(C144,Tools!$B$6:$B$105,0))="",0,IF(N(INDEX(Tools!$O$6:$O$105,MATCH(C144,Tools!$B$6:$B$105,0)))=0,0,N(INDEX(Tools!$F$6:$F$105,MATCH(C144,Tools!$B$6:$B$105,0)))/INDEX(Tools!$U$6:$U$105,MATCH(C144,Tools!$B$6:$B$105,0)))),0))</f>
        <v/>
      </c>
      <c r="K144">
        <f>IF(H144="Remove now",ROW(),"")</f>
        <v/>
      </c>
    </row>
    <row r="145">
      <c r="A145" s="1" t="n"/>
      <c r="B145" s="20" t="n"/>
      <c r="C145" s="21" t="n"/>
      <c r="D145" s="22" t="n"/>
      <c r="E145" s="25" t="n"/>
      <c r="F145" s="25" t="n"/>
      <c r="G145" s="1">
        <f>IF(OR(B145="",C145=""),"",IF(AND(F145&lt;&gt;"",F145&lt;=TODAY()),0,1))</f>
        <v/>
      </c>
      <c r="H145" s="14">
        <f>IF(OR(B145="",C145=""),"",IF(G145=0,"Removed",IF(AND(I145&lt;&gt;"",I145&lt;=TODAY()),"Remove now","Active")))</f>
        <v/>
      </c>
      <c r="I145" s="1">
        <f>IFERROR(IF(INDEX(Team!$E$6:$E$105,MATCH(B145,Team!$B$6:$B$105,0))="","",INDEX(Team!$E$6:$E$105,MATCH(B145,Team!$B$6:$B$105,0))),"")</f>
        <v/>
      </c>
      <c r="J145">
        <f>IF(G145&lt;&gt;1,0,IFERROR(IF(INDEX(Tools!$G$6:$G$105,MATCH(C145,Tools!$B$6:$B$105,0))="",0,IF(N(INDEX(Tools!$O$6:$O$105,MATCH(C145,Tools!$B$6:$B$105,0)))=0,0,N(INDEX(Tools!$F$6:$F$105,MATCH(C145,Tools!$B$6:$B$105,0)))/INDEX(Tools!$U$6:$U$105,MATCH(C145,Tools!$B$6:$B$105,0)))),0))</f>
        <v/>
      </c>
      <c r="K145">
        <f>IF(H145="Remove now",ROW(),"")</f>
        <v/>
      </c>
    </row>
    <row r="146">
      <c r="A146" s="1" t="n"/>
      <c r="B146" s="20" t="n"/>
      <c r="C146" s="21" t="n"/>
      <c r="D146" s="22" t="n"/>
      <c r="E146" s="25" t="n"/>
      <c r="F146" s="25" t="n"/>
      <c r="G146" s="1">
        <f>IF(OR(B146="",C146=""),"",IF(AND(F146&lt;&gt;"",F146&lt;=TODAY()),0,1))</f>
        <v/>
      </c>
      <c r="H146" s="14">
        <f>IF(OR(B146="",C146=""),"",IF(G146=0,"Removed",IF(AND(I146&lt;&gt;"",I146&lt;=TODAY()),"Remove now","Active")))</f>
        <v/>
      </c>
      <c r="I146" s="1">
        <f>IFERROR(IF(INDEX(Team!$E$6:$E$105,MATCH(B146,Team!$B$6:$B$105,0))="","",INDEX(Team!$E$6:$E$105,MATCH(B146,Team!$B$6:$B$105,0))),"")</f>
        <v/>
      </c>
      <c r="J146">
        <f>IF(G146&lt;&gt;1,0,IFERROR(IF(INDEX(Tools!$G$6:$G$105,MATCH(C146,Tools!$B$6:$B$105,0))="",0,IF(N(INDEX(Tools!$O$6:$O$105,MATCH(C146,Tools!$B$6:$B$105,0)))=0,0,N(INDEX(Tools!$F$6:$F$105,MATCH(C146,Tools!$B$6:$B$105,0)))/INDEX(Tools!$U$6:$U$105,MATCH(C146,Tools!$B$6:$B$105,0)))),0))</f>
        <v/>
      </c>
      <c r="K146">
        <f>IF(H146="Remove now",ROW(),"")</f>
        <v/>
      </c>
    </row>
    <row r="147">
      <c r="A147" s="1" t="n"/>
      <c r="B147" s="20" t="n"/>
      <c r="C147" s="21" t="n"/>
      <c r="D147" s="22" t="n"/>
      <c r="E147" s="25" t="n"/>
      <c r="F147" s="25" t="n"/>
      <c r="G147" s="1">
        <f>IF(OR(B147="",C147=""),"",IF(AND(F147&lt;&gt;"",F147&lt;=TODAY()),0,1))</f>
        <v/>
      </c>
      <c r="H147" s="14">
        <f>IF(OR(B147="",C147=""),"",IF(G147=0,"Removed",IF(AND(I147&lt;&gt;"",I147&lt;=TODAY()),"Remove now","Active")))</f>
        <v/>
      </c>
      <c r="I147" s="1">
        <f>IFERROR(IF(INDEX(Team!$E$6:$E$105,MATCH(B147,Team!$B$6:$B$105,0))="","",INDEX(Team!$E$6:$E$105,MATCH(B147,Team!$B$6:$B$105,0))),"")</f>
        <v/>
      </c>
      <c r="J147">
        <f>IF(G147&lt;&gt;1,0,IFERROR(IF(INDEX(Tools!$G$6:$G$105,MATCH(C147,Tools!$B$6:$B$105,0))="",0,IF(N(INDEX(Tools!$O$6:$O$105,MATCH(C147,Tools!$B$6:$B$105,0)))=0,0,N(INDEX(Tools!$F$6:$F$105,MATCH(C147,Tools!$B$6:$B$105,0)))/INDEX(Tools!$U$6:$U$105,MATCH(C147,Tools!$B$6:$B$105,0)))),0))</f>
        <v/>
      </c>
      <c r="K147">
        <f>IF(H147="Remove now",ROW(),"")</f>
        <v/>
      </c>
    </row>
    <row r="148">
      <c r="A148" s="1" t="n"/>
      <c r="B148" s="20" t="n"/>
      <c r="C148" s="21" t="n"/>
      <c r="D148" s="22" t="n"/>
      <c r="E148" s="25" t="n"/>
      <c r="F148" s="25" t="n"/>
      <c r="G148" s="1">
        <f>IF(OR(B148="",C148=""),"",IF(AND(F148&lt;&gt;"",F148&lt;=TODAY()),0,1))</f>
        <v/>
      </c>
      <c r="H148" s="14">
        <f>IF(OR(B148="",C148=""),"",IF(G148=0,"Removed",IF(AND(I148&lt;&gt;"",I148&lt;=TODAY()),"Remove now","Active")))</f>
        <v/>
      </c>
      <c r="I148" s="1">
        <f>IFERROR(IF(INDEX(Team!$E$6:$E$105,MATCH(B148,Team!$B$6:$B$105,0))="","",INDEX(Team!$E$6:$E$105,MATCH(B148,Team!$B$6:$B$105,0))),"")</f>
        <v/>
      </c>
      <c r="J148">
        <f>IF(G148&lt;&gt;1,0,IFERROR(IF(INDEX(Tools!$G$6:$G$105,MATCH(C148,Tools!$B$6:$B$105,0))="",0,IF(N(INDEX(Tools!$O$6:$O$105,MATCH(C148,Tools!$B$6:$B$105,0)))=0,0,N(INDEX(Tools!$F$6:$F$105,MATCH(C148,Tools!$B$6:$B$105,0)))/INDEX(Tools!$U$6:$U$105,MATCH(C148,Tools!$B$6:$B$105,0)))),0))</f>
        <v/>
      </c>
      <c r="K148">
        <f>IF(H148="Remove now",ROW(),"")</f>
        <v/>
      </c>
    </row>
    <row r="149">
      <c r="A149" s="1" t="n"/>
      <c r="B149" s="20" t="n"/>
      <c r="C149" s="21" t="n"/>
      <c r="D149" s="22" t="n"/>
      <c r="E149" s="25" t="n"/>
      <c r="F149" s="25" t="n"/>
      <c r="G149" s="1">
        <f>IF(OR(B149="",C149=""),"",IF(AND(F149&lt;&gt;"",F149&lt;=TODAY()),0,1))</f>
        <v/>
      </c>
      <c r="H149" s="14">
        <f>IF(OR(B149="",C149=""),"",IF(G149=0,"Removed",IF(AND(I149&lt;&gt;"",I149&lt;=TODAY()),"Remove now","Active")))</f>
        <v/>
      </c>
      <c r="I149" s="1">
        <f>IFERROR(IF(INDEX(Team!$E$6:$E$105,MATCH(B149,Team!$B$6:$B$105,0))="","",INDEX(Team!$E$6:$E$105,MATCH(B149,Team!$B$6:$B$105,0))),"")</f>
        <v/>
      </c>
      <c r="J149">
        <f>IF(G149&lt;&gt;1,0,IFERROR(IF(INDEX(Tools!$G$6:$G$105,MATCH(C149,Tools!$B$6:$B$105,0))="",0,IF(N(INDEX(Tools!$O$6:$O$105,MATCH(C149,Tools!$B$6:$B$105,0)))=0,0,N(INDEX(Tools!$F$6:$F$105,MATCH(C149,Tools!$B$6:$B$105,0)))/INDEX(Tools!$U$6:$U$105,MATCH(C149,Tools!$B$6:$B$105,0)))),0))</f>
        <v/>
      </c>
      <c r="K149">
        <f>IF(H149="Remove now",ROW(),"")</f>
        <v/>
      </c>
    </row>
    <row r="150">
      <c r="A150" s="1" t="n"/>
      <c r="B150" s="20" t="n"/>
      <c r="C150" s="21" t="n"/>
      <c r="D150" s="22" t="n"/>
      <c r="E150" s="25" t="n"/>
      <c r="F150" s="25" t="n"/>
      <c r="G150" s="1">
        <f>IF(OR(B150="",C150=""),"",IF(AND(F150&lt;&gt;"",F150&lt;=TODAY()),0,1))</f>
        <v/>
      </c>
      <c r="H150" s="14">
        <f>IF(OR(B150="",C150=""),"",IF(G150=0,"Removed",IF(AND(I150&lt;&gt;"",I150&lt;=TODAY()),"Remove now","Active")))</f>
        <v/>
      </c>
      <c r="I150" s="1">
        <f>IFERROR(IF(INDEX(Team!$E$6:$E$105,MATCH(B150,Team!$B$6:$B$105,0))="","",INDEX(Team!$E$6:$E$105,MATCH(B150,Team!$B$6:$B$105,0))),"")</f>
        <v/>
      </c>
      <c r="J150">
        <f>IF(G150&lt;&gt;1,0,IFERROR(IF(INDEX(Tools!$G$6:$G$105,MATCH(C150,Tools!$B$6:$B$105,0))="",0,IF(N(INDEX(Tools!$O$6:$O$105,MATCH(C150,Tools!$B$6:$B$105,0)))=0,0,N(INDEX(Tools!$F$6:$F$105,MATCH(C150,Tools!$B$6:$B$105,0)))/INDEX(Tools!$U$6:$U$105,MATCH(C150,Tools!$B$6:$B$105,0)))),0))</f>
        <v/>
      </c>
      <c r="K150">
        <f>IF(H150="Remove now",ROW(),"")</f>
        <v/>
      </c>
    </row>
    <row r="151">
      <c r="A151" s="1" t="n"/>
      <c r="B151" s="20" t="n"/>
      <c r="C151" s="21" t="n"/>
      <c r="D151" s="22" t="n"/>
      <c r="E151" s="25" t="n"/>
      <c r="F151" s="25" t="n"/>
      <c r="G151" s="1">
        <f>IF(OR(B151="",C151=""),"",IF(AND(F151&lt;&gt;"",F151&lt;=TODAY()),0,1))</f>
        <v/>
      </c>
      <c r="H151" s="14">
        <f>IF(OR(B151="",C151=""),"",IF(G151=0,"Removed",IF(AND(I151&lt;&gt;"",I151&lt;=TODAY()),"Remove now","Active")))</f>
        <v/>
      </c>
      <c r="I151" s="1">
        <f>IFERROR(IF(INDEX(Team!$E$6:$E$105,MATCH(B151,Team!$B$6:$B$105,0))="","",INDEX(Team!$E$6:$E$105,MATCH(B151,Team!$B$6:$B$105,0))),"")</f>
        <v/>
      </c>
      <c r="J151">
        <f>IF(G151&lt;&gt;1,0,IFERROR(IF(INDEX(Tools!$G$6:$G$105,MATCH(C151,Tools!$B$6:$B$105,0))="",0,IF(N(INDEX(Tools!$O$6:$O$105,MATCH(C151,Tools!$B$6:$B$105,0)))=0,0,N(INDEX(Tools!$F$6:$F$105,MATCH(C151,Tools!$B$6:$B$105,0)))/INDEX(Tools!$U$6:$U$105,MATCH(C151,Tools!$B$6:$B$105,0)))),0))</f>
        <v/>
      </c>
      <c r="K151">
        <f>IF(H151="Remove now",ROW(),"")</f>
        <v/>
      </c>
    </row>
    <row r="152">
      <c r="A152" s="1" t="n"/>
      <c r="B152" s="20" t="n"/>
      <c r="C152" s="21" t="n"/>
      <c r="D152" s="22" t="n"/>
      <c r="E152" s="25" t="n"/>
      <c r="F152" s="25" t="n"/>
      <c r="G152" s="1">
        <f>IF(OR(B152="",C152=""),"",IF(AND(F152&lt;&gt;"",F152&lt;=TODAY()),0,1))</f>
        <v/>
      </c>
      <c r="H152" s="14">
        <f>IF(OR(B152="",C152=""),"",IF(G152=0,"Removed",IF(AND(I152&lt;&gt;"",I152&lt;=TODAY()),"Remove now","Active")))</f>
        <v/>
      </c>
      <c r="I152" s="1">
        <f>IFERROR(IF(INDEX(Team!$E$6:$E$105,MATCH(B152,Team!$B$6:$B$105,0))="","",INDEX(Team!$E$6:$E$105,MATCH(B152,Team!$B$6:$B$105,0))),"")</f>
        <v/>
      </c>
      <c r="J152">
        <f>IF(G152&lt;&gt;1,0,IFERROR(IF(INDEX(Tools!$G$6:$G$105,MATCH(C152,Tools!$B$6:$B$105,0))="",0,IF(N(INDEX(Tools!$O$6:$O$105,MATCH(C152,Tools!$B$6:$B$105,0)))=0,0,N(INDEX(Tools!$F$6:$F$105,MATCH(C152,Tools!$B$6:$B$105,0)))/INDEX(Tools!$U$6:$U$105,MATCH(C152,Tools!$B$6:$B$105,0)))),0))</f>
        <v/>
      </c>
      <c r="K152">
        <f>IF(H152="Remove now",ROW(),"")</f>
        <v/>
      </c>
    </row>
    <row r="153">
      <c r="A153" s="1" t="n"/>
      <c r="B153" s="20" t="n"/>
      <c r="C153" s="21" t="n"/>
      <c r="D153" s="22" t="n"/>
      <c r="E153" s="25" t="n"/>
      <c r="F153" s="25" t="n"/>
      <c r="G153" s="1">
        <f>IF(OR(B153="",C153=""),"",IF(AND(F153&lt;&gt;"",F153&lt;=TODAY()),0,1))</f>
        <v/>
      </c>
      <c r="H153" s="14">
        <f>IF(OR(B153="",C153=""),"",IF(G153=0,"Removed",IF(AND(I153&lt;&gt;"",I153&lt;=TODAY()),"Remove now","Active")))</f>
        <v/>
      </c>
      <c r="I153" s="1">
        <f>IFERROR(IF(INDEX(Team!$E$6:$E$105,MATCH(B153,Team!$B$6:$B$105,0))="","",INDEX(Team!$E$6:$E$105,MATCH(B153,Team!$B$6:$B$105,0))),"")</f>
        <v/>
      </c>
      <c r="J153">
        <f>IF(G153&lt;&gt;1,0,IFERROR(IF(INDEX(Tools!$G$6:$G$105,MATCH(C153,Tools!$B$6:$B$105,0))="",0,IF(N(INDEX(Tools!$O$6:$O$105,MATCH(C153,Tools!$B$6:$B$105,0)))=0,0,N(INDEX(Tools!$F$6:$F$105,MATCH(C153,Tools!$B$6:$B$105,0)))/INDEX(Tools!$U$6:$U$105,MATCH(C153,Tools!$B$6:$B$105,0)))),0))</f>
        <v/>
      </c>
      <c r="K153">
        <f>IF(H153="Remove now",ROW(),"")</f>
        <v/>
      </c>
    </row>
    <row r="154">
      <c r="A154" s="1" t="n"/>
      <c r="B154" s="20" t="n"/>
      <c r="C154" s="21" t="n"/>
      <c r="D154" s="22" t="n"/>
      <c r="E154" s="25" t="n"/>
      <c r="F154" s="25" t="n"/>
      <c r="G154" s="1">
        <f>IF(OR(B154="",C154=""),"",IF(AND(F154&lt;&gt;"",F154&lt;=TODAY()),0,1))</f>
        <v/>
      </c>
      <c r="H154" s="14">
        <f>IF(OR(B154="",C154=""),"",IF(G154=0,"Removed",IF(AND(I154&lt;&gt;"",I154&lt;=TODAY()),"Remove now","Active")))</f>
        <v/>
      </c>
      <c r="I154" s="1">
        <f>IFERROR(IF(INDEX(Team!$E$6:$E$105,MATCH(B154,Team!$B$6:$B$105,0))="","",INDEX(Team!$E$6:$E$105,MATCH(B154,Team!$B$6:$B$105,0))),"")</f>
        <v/>
      </c>
      <c r="J154">
        <f>IF(G154&lt;&gt;1,0,IFERROR(IF(INDEX(Tools!$G$6:$G$105,MATCH(C154,Tools!$B$6:$B$105,0))="",0,IF(N(INDEX(Tools!$O$6:$O$105,MATCH(C154,Tools!$B$6:$B$105,0)))=0,0,N(INDEX(Tools!$F$6:$F$105,MATCH(C154,Tools!$B$6:$B$105,0)))/INDEX(Tools!$U$6:$U$105,MATCH(C154,Tools!$B$6:$B$105,0)))),0))</f>
        <v/>
      </c>
      <c r="K154">
        <f>IF(H154="Remove now",ROW(),"")</f>
        <v/>
      </c>
    </row>
    <row r="155">
      <c r="A155" s="1" t="n"/>
      <c r="B155" s="20" t="n"/>
      <c r="C155" s="21" t="n"/>
      <c r="D155" s="22" t="n"/>
      <c r="E155" s="25" t="n"/>
      <c r="F155" s="25" t="n"/>
      <c r="G155" s="1">
        <f>IF(OR(B155="",C155=""),"",IF(AND(F155&lt;&gt;"",F155&lt;=TODAY()),0,1))</f>
        <v/>
      </c>
      <c r="H155" s="14">
        <f>IF(OR(B155="",C155=""),"",IF(G155=0,"Removed",IF(AND(I155&lt;&gt;"",I155&lt;=TODAY()),"Remove now","Active")))</f>
        <v/>
      </c>
      <c r="I155" s="1">
        <f>IFERROR(IF(INDEX(Team!$E$6:$E$105,MATCH(B155,Team!$B$6:$B$105,0))="","",INDEX(Team!$E$6:$E$105,MATCH(B155,Team!$B$6:$B$105,0))),"")</f>
        <v/>
      </c>
      <c r="J155">
        <f>IF(G155&lt;&gt;1,0,IFERROR(IF(INDEX(Tools!$G$6:$G$105,MATCH(C155,Tools!$B$6:$B$105,0))="",0,IF(N(INDEX(Tools!$O$6:$O$105,MATCH(C155,Tools!$B$6:$B$105,0)))=0,0,N(INDEX(Tools!$F$6:$F$105,MATCH(C155,Tools!$B$6:$B$105,0)))/INDEX(Tools!$U$6:$U$105,MATCH(C155,Tools!$B$6:$B$105,0)))),0))</f>
        <v/>
      </c>
      <c r="K155">
        <f>IF(H155="Remove now",ROW(),"")</f>
        <v/>
      </c>
    </row>
    <row r="156">
      <c r="A156" s="1" t="n"/>
      <c r="B156" s="20" t="n"/>
      <c r="C156" s="21" t="n"/>
      <c r="D156" s="22" t="n"/>
      <c r="E156" s="25" t="n"/>
      <c r="F156" s="25" t="n"/>
      <c r="G156" s="1">
        <f>IF(OR(B156="",C156=""),"",IF(AND(F156&lt;&gt;"",F156&lt;=TODAY()),0,1))</f>
        <v/>
      </c>
      <c r="H156" s="14">
        <f>IF(OR(B156="",C156=""),"",IF(G156=0,"Removed",IF(AND(I156&lt;&gt;"",I156&lt;=TODAY()),"Remove now","Active")))</f>
        <v/>
      </c>
      <c r="I156" s="1">
        <f>IFERROR(IF(INDEX(Team!$E$6:$E$105,MATCH(B156,Team!$B$6:$B$105,0))="","",INDEX(Team!$E$6:$E$105,MATCH(B156,Team!$B$6:$B$105,0))),"")</f>
        <v/>
      </c>
      <c r="J156">
        <f>IF(G156&lt;&gt;1,0,IFERROR(IF(INDEX(Tools!$G$6:$G$105,MATCH(C156,Tools!$B$6:$B$105,0))="",0,IF(N(INDEX(Tools!$O$6:$O$105,MATCH(C156,Tools!$B$6:$B$105,0)))=0,0,N(INDEX(Tools!$F$6:$F$105,MATCH(C156,Tools!$B$6:$B$105,0)))/INDEX(Tools!$U$6:$U$105,MATCH(C156,Tools!$B$6:$B$105,0)))),0))</f>
        <v/>
      </c>
      <c r="K156">
        <f>IF(H156="Remove now",ROW(),"")</f>
        <v/>
      </c>
    </row>
    <row r="157">
      <c r="A157" s="1" t="n"/>
      <c r="B157" s="20" t="n"/>
      <c r="C157" s="21" t="n"/>
      <c r="D157" s="22" t="n"/>
      <c r="E157" s="25" t="n"/>
      <c r="F157" s="25" t="n"/>
      <c r="G157" s="1">
        <f>IF(OR(B157="",C157=""),"",IF(AND(F157&lt;&gt;"",F157&lt;=TODAY()),0,1))</f>
        <v/>
      </c>
      <c r="H157" s="14">
        <f>IF(OR(B157="",C157=""),"",IF(G157=0,"Removed",IF(AND(I157&lt;&gt;"",I157&lt;=TODAY()),"Remove now","Active")))</f>
        <v/>
      </c>
      <c r="I157" s="1">
        <f>IFERROR(IF(INDEX(Team!$E$6:$E$105,MATCH(B157,Team!$B$6:$B$105,0))="","",INDEX(Team!$E$6:$E$105,MATCH(B157,Team!$B$6:$B$105,0))),"")</f>
        <v/>
      </c>
      <c r="J157">
        <f>IF(G157&lt;&gt;1,0,IFERROR(IF(INDEX(Tools!$G$6:$G$105,MATCH(C157,Tools!$B$6:$B$105,0))="",0,IF(N(INDEX(Tools!$O$6:$O$105,MATCH(C157,Tools!$B$6:$B$105,0)))=0,0,N(INDEX(Tools!$F$6:$F$105,MATCH(C157,Tools!$B$6:$B$105,0)))/INDEX(Tools!$U$6:$U$105,MATCH(C157,Tools!$B$6:$B$105,0)))),0))</f>
        <v/>
      </c>
      <c r="K157">
        <f>IF(H157="Remove now",ROW(),"")</f>
        <v/>
      </c>
    </row>
    <row r="158">
      <c r="A158" s="1" t="n"/>
      <c r="B158" s="20" t="n"/>
      <c r="C158" s="21" t="n"/>
      <c r="D158" s="22" t="n"/>
      <c r="E158" s="25" t="n"/>
      <c r="F158" s="25" t="n"/>
      <c r="G158" s="1">
        <f>IF(OR(B158="",C158=""),"",IF(AND(F158&lt;&gt;"",F158&lt;=TODAY()),0,1))</f>
        <v/>
      </c>
      <c r="H158" s="14">
        <f>IF(OR(B158="",C158=""),"",IF(G158=0,"Removed",IF(AND(I158&lt;&gt;"",I158&lt;=TODAY()),"Remove now","Active")))</f>
        <v/>
      </c>
      <c r="I158" s="1">
        <f>IFERROR(IF(INDEX(Team!$E$6:$E$105,MATCH(B158,Team!$B$6:$B$105,0))="","",INDEX(Team!$E$6:$E$105,MATCH(B158,Team!$B$6:$B$105,0))),"")</f>
        <v/>
      </c>
      <c r="J158">
        <f>IF(G158&lt;&gt;1,0,IFERROR(IF(INDEX(Tools!$G$6:$G$105,MATCH(C158,Tools!$B$6:$B$105,0))="",0,IF(N(INDEX(Tools!$O$6:$O$105,MATCH(C158,Tools!$B$6:$B$105,0)))=0,0,N(INDEX(Tools!$F$6:$F$105,MATCH(C158,Tools!$B$6:$B$105,0)))/INDEX(Tools!$U$6:$U$105,MATCH(C158,Tools!$B$6:$B$105,0)))),0))</f>
        <v/>
      </c>
      <c r="K158">
        <f>IF(H158="Remove now",ROW(),"")</f>
        <v/>
      </c>
    </row>
    <row r="159">
      <c r="A159" s="1" t="n"/>
      <c r="B159" s="20" t="n"/>
      <c r="C159" s="21" t="n"/>
      <c r="D159" s="22" t="n"/>
      <c r="E159" s="25" t="n"/>
      <c r="F159" s="25" t="n"/>
      <c r="G159" s="1">
        <f>IF(OR(B159="",C159=""),"",IF(AND(F159&lt;&gt;"",F159&lt;=TODAY()),0,1))</f>
        <v/>
      </c>
      <c r="H159" s="14">
        <f>IF(OR(B159="",C159=""),"",IF(G159=0,"Removed",IF(AND(I159&lt;&gt;"",I159&lt;=TODAY()),"Remove now","Active")))</f>
        <v/>
      </c>
      <c r="I159" s="1">
        <f>IFERROR(IF(INDEX(Team!$E$6:$E$105,MATCH(B159,Team!$B$6:$B$105,0))="","",INDEX(Team!$E$6:$E$105,MATCH(B159,Team!$B$6:$B$105,0))),"")</f>
        <v/>
      </c>
      <c r="J159">
        <f>IF(G159&lt;&gt;1,0,IFERROR(IF(INDEX(Tools!$G$6:$G$105,MATCH(C159,Tools!$B$6:$B$105,0))="",0,IF(N(INDEX(Tools!$O$6:$O$105,MATCH(C159,Tools!$B$6:$B$105,0)))=0,0,N(INDEX(Tools!$F$6:$F$105,MATCH(C159,Tools!$B$6:$B$105,0)))/INDEX(Tools!$U$6:$U$105,MATCH(C159,Tools!$B$6:$B$105,0)))),0))</f>
        <v/>
      </c>
      <c r="K159">
        <f>IF(H159="Remove now",ROW(),"")</f>
        <v/>
      </c>
    </row>
    <row r="160">
      <c r="A160" s="1" t="n"/>
      <c r="B160" s="20" t="n"/>
      <c r="C160" s="21" t="n"/>
      <c r="D160" s="22" t="n"/>
      <c r="E160" s="25" t="n"/>
      <c r="F160" s="25" t="n"/>
      <c r="G160" s="1">
        <f>IF(OR(B160="",C160=""),"",IF(AND(F160&lt;&gt;"",F160&lt;=TODAY()),0,1))</f>
        <v/>
      </c>
      <c r="H160" s="14">
        <f>IF(OR(B160="",C160=""),"",IF(G160=0,"Removed",IF(AND(I160&lt;&gt;"",I160&lt;=TODAY()),"Remove now","Active")))</f>
        <v/>
      </c>
      <c r="I160" s="1">
        <f>IFERROR(IF(INDEX(Team!$E$6:$E$105,MATCH(B160,Team!$B$6:$B$105,0))="","",INDEX(Team!$E$6:$E$105,MATCH(B160,Team!$B$6:$B$105,0))),"")</f>
        <v/>
      </c>
      <c r="J160">
        <f>IF(G160&lt;&gt;1,0,IFERROR(IF(INDEX(Tools!$G$6:$G$105,MATCH(C160,Tools!$B$6:$B$105,0))="",0,IF(N(INDEX(Tools!$O$6:$O$105,MATCH(C160,Tools!$B$6:$B$105,0)))=0,0,N(INDEX(Tools!$F$6:$F$105,MATCH(C160,Tools!$B$6:$B$105,0)))/INDEX(Tools!$U$6:$U$105,MATCH(C160,Tools!$B$6:$B$105,0)))),0))</f>
        <v/>
      </c>
      <c r="K160">
        <f>IF(H160="Remove now",ROW(),"")</f>
        <v/>
      </c>
    </row>
    <row r="161">
      <c r="A161" s="1" t="n"/>
      <c r="B161" s="20" t="n"/>
      <c r="C161" s="21" t="n"/>
      <c r="D161" s="22" t="n"/>
      <c r="E161" s="25" t="n"/>
      <c r="F161" s="25" t="n"/>
      <c r="G161" s="1">
        <f>IF(OR(B161="",C161=""),"",IF(AND(F161&lt;&gt;"",F161&lt;=TODAY()),0,1))</f>
        <v/>
      </c>
      <c r="H161" s="14">
        <f>IF(OR(B161="",C161=""),"",IF(G161=0,"Removed",IF(AND(I161&lt;&gt;"",I161&lt;=TODAY()),"Remove now","Active")))</f>
        <v/>
      </c>
      <c r="I161" s="1">
        <f>IFERROR(IF(INDEX(Team!$E$6:$E$105,MATCH(B161,Team!$B$6:$B$105,0))="","",INDEX(Team!$E$6:$E$105,MATCH(B161,Team!$B$6:$B$105,0))),"")</f>
        <v/>
      </c>
      <c r="J161">
        <f>IF(G161&lt;&gt;1,0,IFERROR(IF(INDEX(Tools!$G$6:$G$105,MATCH(C161,Tools!$B$6:$B$105,0))="",0,IF(N(INDEX(Tools!$O$6:$O$105,MATCH(C161,Tools!$B$6:$B$105,0)))=0,0,N(INDEX(Tools!$F$6:$F$105,MATCH(C161,Tools!$B$6:$B$105,0)))/INDEX(Tools!$U$6:$U$105,MATCH(C161,Tools!$B$6:$B$105,0)))),0))</f>
        <v/>
      </c>
      <c r="K161">
        <f>IF(H161="Remove now",ROW(),"")</f>
        <v/>
      </c>
    </row>
    <row r="162">
      <c r="A162" s="1" t="n"/>
      <c r="B162" s="20" t="n"/>
      <c r="C162" s="21" t="n"/>
      <c r="D162" s="22" t="n"/>
      <c r="E162" s="25" t="n"/>
      <c r="F162" s="25" t="n"/>
      <c r="G162" s="1">
        <f>IF(OR(B162="",C162=""),"",IF(AND(F162&lt;&gt;"",F162&lt;=TODAY()),0,1))</f>
        <v/>
      </c>
      <c r="H162" s="14">
        <f>IF(OR(B162="",C162=""),"",IF(G162=0,"Removed",IF(AND(I162&lt;&gt;"",I162&lt;=TODAY()),"Remove now","Active")))</f>
        <v/>
      </c>
      <c r="I162" s="1">
        <f>IFERROR(IF(INDEX(Team!$E$6:$E$105,MATCH(B162,Team!$B$6:$B$105,0))="","",INDEX(Team!$E$6:$E$105,MATCH(B162,Team!$B$6:$B$105,0))),"")</f>
        <v/>
      </c>
      <c r="J162">
        <f>IF(G162&lt;&gt;1,0,IFERROR(IF(INDEX(Tools!$G$6:$G$105,MATCH(C162,Tools!$B$6:$B$105,0))="",0,IF(N(INDEX(Tools!$O$6:$O$105,MATCH(C162,Tools!$B$6:$B$105,0)))=0,0,N(INDEX(Tools!$F$6:$F$105,MATCH(C162,Tools!$B$6:$B$105,0)))/INDEX(Tools!$U$6:$U$105,MATCH(C162,Tools!$B$6:$B$105,0)))),0))</f>
        <v/>
      </c>
      <c r="K162">
        <f>IF(H162="Remove now",ROW(),"")</f>
        <v/>
      </c>
    </row>
    <row r="163">
      <c r="A163" s="1" t="n"/>
      <c r="B163" s="20" t="n"/>
      <c r="C163" s="21" t="n"/>
      <c r="D163" s="22" t="n"/>
      <c r="E163" s="25" t="n"/>
      <c r="F163" s="25" t="n"/>
      <c r="G163" s="1">
        <f>IF(OR(B163="",C163=""),"",IF(AND(F163&lt;&gt;"",F163&lt;=TODAY()),0,1))</f>
        <v/>
      </c>
      <c r="H163" s="14">
        <f>IF(OR(B163="",C163=""),"",IF(G163=0,"Removed",IF(AND(I163&lt;&gt;"",I163&lt;=TODAY()),"Remove now","Active")))</f>
        <v/>
      </c>
      <c r="I163" s="1">
        <f>IFERROR(IF(INDEX(Team!$E$6:$E$105,MATCH(B163,Team!$B$6:$B$105,0))="","",INDEX(Team!$E$6:$E$105,MATCH(B163,Team!$B$6:$B$105,0))),"")</f>
        <v/>
      </c>
      <c r="J163">
        <f>IF(G163&lt;&gt;1,0,IFERROR(IF(INDEX(Tools!$G$6:$G$105,MATCH(C163,Tools!$B$6:$B$105,0))="",0,IF(N(INDEX(Tools!$O$6:$O$105,MATCH(C163,Tools!$B$6:$B$105,0)))=0,0,N(INDEX(Tools!$F$6:$F$105,MATCH(C163,Tools!$B$6:$B$105,0)))/INDEX(Tools!$U$6:$U$105,MATCH(C163,Tools!$B$6:$B$105,0)))),0))</f>
        <v/>
      </c>
      <c r="K163">
        <f>IF(H163="Remove now",ROW(),"")</f>
        <v/>
      </c>
    </row>
    <row r="164">
      <c r="A164" s="1" t="n"/>
      <c r="B164" s="20" t="n"/>
      <c r="C164" s="21" t="n"/>
      <c r="D164" s="22" t="n"/>
      <c r="E164" s="25" t="n"/>
      <c r="F164" s="25" t="n"/>
      <c r="G164" s="1">
        <f>IF(OR(B164="",C164=""),"",IF(AND(F164&lt;&gt;"",F164&lt;=TODAY()),0,1))</f>
        <v/>
      </c>
      <c r="H164" s="14">
        <f>IF(OR(B164="",C164=""),"",IF(G164=0,"Removed",IF(AND(I164&lt;&gt;"",I164&lt;=TODAY()),"Remove now","Active")))</f>
        <v/>
      </c>
      <c r="I164" s="1">
        <f>IFERROR(IF(INDEX(Team!$E$6:$E$105,MATCH(B164,Team!$B$6:$B$105,0))="","",INDEX(Team!$E$6:$E$105,MATCH(B164,Team!$B$6:$B$105,0))),"")</f>
        <v/>
      </c>
      <c r="J164">
        <f>IF(G164&lt;&gt;1,0,IFERROR(IF(INDEX(Tools!$G$6:$G$105,MATCH(C164,Tools!$B$6:$B$105,0))="",0,IF(N(INDEX(Tools!$O$6:$O$105,MATCH(C164,Tools!$B$6:$B$105,0)))=0,0,N(INDEX(Tools!$F$6:$F$105,MATCH(C164,Tools!$B$6:$B$105,0)))/INDEX(Tools!$U$6:$U$105,MATCH(C164,Tools!$B$6:$B$105,0)))),0))</f>
        <v/>
      </c>
      <c r="K164">
        <f>IF(H164="Remove now",ROW(),"")</f>
        <v/>
      </c>
    </row>
    <row r="165">
      <c r="A165" s="1" t="n"/>
      <c r="B165" s="20" t="n"/>
      <c r="C165" s="21" t="n"/>
      <c r="D165" s="22" t="n"/>
      <c r="E165" s="25" t="n"/>
      <c r="F165" s="25" t="n"/>
      <c r="G165" s="1">
        <f>IF(OR(B165="",C165=""),"",IF(AND(F165&lt;&gt;"",F165&lt;=TODAY()),0,1))</f>
        <v/>
      </c>
      <c r="H165" s="14">
        <f>IF(OR(B165="",C165=""),"",IF(G165=0,"Removed",IF(AND(I165&lt;&gt;"",I165&lt;=TODAY()),"Remove now","Active")))</f>
        <v/>
      </c>
      <c r="I165" s="1">
        <f>IFERROR(IF(INDEX(Team!$E$6:$E$105,MATCH(B165,Team!$B$6:$B$105,0))="","",INDEX(Team!$E$6:$E$105,MATCH(B165,Team!$B$6:$B$105,0))),"")</f>
        <v/>
      </c>
      <c r="J165">
        <f>IF(G165&lt;&gt;1,0,IFERROR(IF(INDEX(Tools!$G$6:$G$105,MATCH(C165,Tools!$B$6:$B$105,0))="",0,IF(N(INDEX(Tools!$O$6:$O$105,MATCH(C165,Tools!$B$6:$B$105,0)))=0,0,N(INDEX(Tools!$F$6:$F$105,MATCH(C165,Tools!$B$6:$B$105,0)))/INDEX(Tools!$U$6:$U$105,MATCH(C165,Tools!$B$6:$B$105,0)))),0))</f>
        <v/>
      </c>
      <c r="K165">
        <f>IF(H165="Remove now",ROW(),"")</f>
        <v/>
      </c>
    </row>
    <row r="166">
      <c r="A166" s="1" t="n"/>
      <c r="B166" s="20" t="n"/>
      <c r="C166" s="21" t="n"/>
      <c r="D166" s="22" t="n"/>
      <c r="E166" s="25" t="n"/>
      <c r="F166" s="25" t="n"/>
      <c r="G166" s="1">
        <f>IF(OR(B166="",C166=""),"",IF(AND(F166&lt;&gt;"",F166&lt;=TODAY()),0,1))</f>
        <v/>
      </c>
      <c r="H166" s="14">
        <f>IF(OR(B166="",C166=""),"",IF(G166=0,"Removed",IF(AND(I166&lt;&gt;"",I166&lt;=TODAY()),"Remove now","Active")))</f>
        <v/>
      </c>
      <c r="I166" s="1">
        <f>IFERROR(IF(INDEX(Team!$E$6:$E$105,MATCH(B166,Team!$B$6:$B$105,0))="","",INDEX(Team!$E$6:$E$105,MATCH(B166,Team!$B$6:$B$105,0))),"")</f>
        <v/>
      </c>
      <c r="J166">
        <f>IF(G166&lt;&gt;1,0,IFERROR(IF(INDEX(Tools!$G$6:$G$105,MATCH(C166,Tools!$B$6:$B$105,0))="",0,IF(N(INDEX(Tools!$O$6:$O$105,MATCH(C166,Tools!$B$6:$B$105,0)))=0,0,N(INDEX(Tools!$F$6:$F$105,MATCH(C166,Tools!$B$6:$B$105,0)))/INDEX(Tools!$U$6:$U$105,MATCH(C166,Tools!$B$6:$B$105,0)))),0))</f>
        <v/>
      </c>
      <c r="K166">
        <f>IF(H166="Remove now",ROW(),"")</f>
        <v/>
      </c>
    </row>
    <row r="167">
      <c r="A167" s="1" t="n"/>
      <c r="B167" s="20" t="n"/>
      <c r="C167" s="21" t="n"/>
      <c r="D167" s="22" t="n"/>
      <c r="E167" s="25" t="n"/>
      <c r="F167" s="25" t="n"/>
      <c r="G167" s="1">
        <f>IF(OR(B167="",C167=""),"",IF(AND(F167&lt;&gt;"",F167&lt;=TODAY()),0,1))</f>
        <v/>
      </c>
      <c r="H167" s="14">
        <f>IF(OR(B167="",C167=""),"",IF(G167=0,"Removed",IF(AND(I167&lt;&gt;"",I167&lt;=TODAY()),"Remove now","Active")))</f>
        <v/>
      </c>
      <c r="I167" s="1">
        <f>IFERROR(IF(INDEX(Team!$E$6:$E$105,MATCH(B167,Team!$B$6:$B$105,0))="","",INDEX(Team!$E$6:$E$105,MATCH(B167,Team!$B$6:$B$105,0))),"")</f>
        <v/>
      </c>
      <c r="J167">
        <f>IF(G167&lt;&gt;1,0,IFERROR(IF(INDEX(Tools!$G$6:$G$105,MATCH(C167,Tools!$B$6:$B$105,0))="",0,IF(N(INDEX(Tools!$O$6:$O$105,MATCH(C167,Tools!$B$6:$B$105,0)))=0,0,N(INDEX(Tools!$F$6:$F$105,MATCH(C167,Tools!$B$6:$B$105,0)))/INDEX(Tools!$U$6:$U$105,MATCH(C167,Tools!$B$6:$B$105,0)))),0))</f>
        <v/>
      </c>
      <c r="K167">
        <f>IF(H167="Remove now",ROW(),"")</f>
        <v/>
      </c>
    </row>
    <row r="168">
      <c r="A168" s="1" t="n"/>
      <c r="B168" s="20" t="n"/>
      <c r="C168" s="21" t="n"/>
      <c r="D168" s="22" t="n"/>
      <c r="E168" s="25" t="n"/>
      <c r="F168" s="25" t="n"/>
      <c r="G168" s="1">
        <f>IF(OR(B168="",C168=""),"",IF(AND(F168&lt;&gt;"",F168&lt;=TODAY()),0,1))</f>
        <v/>
      </c>
      <c r="H168" s="14">
        <f>IF(OR(B168="",C168=""),"",IF(G168=0,"Removed",IF(AND(I168&lt;&gt;"",I168&lt;=TODAY()),"Remove now","Active")))</f>
        <v/>
      </c>
      <c r="I168" s="1">
        <f>IFERROR(IF(INDEX(Team!$E$6:$E$105,MATCH(B168,Team!$B$6:$B$105,0))="","",INDEX(Team!$E$6:$E$105,MATCH(B168,Team!$B$6:$B$105,0))),"")</f>
        <v/>
      </c>
      <c r="J168">
        <f>IF(G168&lt;&gt;1,0,IFERROR(IF(INDEX(Tools!$G$6:$G$105,MATCH(C168,Tools!$B$6:$B$105,0))="",0,IF(N(INDEX(Tools!$O$6:$O$105,MATCH(C168,Tools!$B$6:$B$105,0)))=0,0,N(INDEX(Tools!$F$6:$F$105,MATCH(C168,Tools!$B$6:$B$105,0)))/INDEX(Tools!$U$6:$U$105,MATCH(C168,Tools!$B$6:$B$105,0)))),0))</f>
        <v/>
      </c>
      <c r="K168">
        <f>IF(H168="Remove now",ROW(),"")</f>
        <v/>
      </c>
    </row>
    <row r="169">
      <c r="A169" s="1" t="n"/>
      <c r="B169" s="20" t="n"/>
      <c r="C169" s="21" t="n"/>
      <c r="D169" s="22" t="n"/>
      <c r="E169" s="25" t="n"/>
      <c r="F169" s="25" t="n"/>
      <c r="G169" s="1">
        <f>IF(OR(B169="",C169=""),"",IF(AND(F169&lt;&gt;"",F169&lt;=TODAY()),0,1))</f>
        <v/>
      </c>
      <c r="H169" s="14">
        <f>IF(OR(B169="",C169=""),"",IF(G169=0,"Removed",IF(AND(I169&lt;&gt;"",I169&lt;=TODAY()),"Remove now","Active")))</f>
        <v/>
      </c>
      <c r="I169" s="1">
        <f>IFERROR(IF(INDEX(Team!$E$6:$E$105,MATCH(B169,Team!$B$6:$B$105,0))="","",INDEX(Team!$E$6:$E$105,MATCH(B169,Team!$B$6:$B$105,0))),"")</f>
        <v/>
      </c>
      <c r="J169">
        <f>IF(G169&lt;&gt;1,0,IFERROR(IF(INDEX(Tools!$G$6:$G$105,MATCH(C169,Tools!$B$6:$B$105,0))="",0,IF(N(INDEX(Tools!$O$6:$O$105,MATCH(C169,Tools!$B$6:$B$105,0)))=0,0,N(INDEX(Tools!$F$6:$F$105,MATCH(C169,Tools!$B$6:$B$105,0)))/INDEX(Tools!$U$6:$U$105,MATCH(C169,Tools!$B$6:$B$105,0)))),0))</f>
        <v/>
      </c>
      <c r="K169">
        <f>IF(H169="Remove now",ROW(),"")</f>
        <v/>
      </c>
    </row>
    <row r="170">
      <c r="A170" s="1" t="n"/>
      <c r="B170" s="20" t="n"/>
      <c r="C170" s="21" t="n"/>
      <c r="D170" s="22" t="n"/>
      <c r="E170" s="25" t="n"/>
      <c r="F170" s="25" t="n"/>
      <c r="G170" s="1">
        <f>IF(OR(B170="",C170=""),"",IF(AND(F170&lt;&gt;"",F170&lt;=TODAY()),0,1))</f>
        <v/>
      </c>
      <c r="H170" s="14">
        <f>IF(OR(B170="",C170=""),"",IF(G170=0,"Removed",IF(AND(I170&lt;&gt;"",I170&lt;=TODAY()),"Remove now","Active")))</f>
        <v/>
      </c>
      <c r="I170" s="1">
        <f>IFERROR(IF(INDEX(Team!$E$6:$E$105,MATCH(B170,Team!$B$6:$B$105,0))="","",INDEX(Team!$E$6:$E$105,MATCH(B170,Team!$B$6:$B$105,0))),"")</f>
        <v/>
      </c>
      <c r="J170">
        <f>IF(G170&lt;&gt;1,0,IFERROR(IF(INDEX(Tools!$G$6:$G$105,MATCH(C170,Tools!$B$6:$B$105,0))="",0,IF(N(INDEX(Tools!$O$6:$O$105,MATCH(C170,Tools!$B$6:$B$105,0)))=0,0,N(INDEX(Tools!$F$6:$F$105,MATCH(C170,Tools!$B$6:$B$105,0)))/INDEX(Tools!$U$6:$U$105,MATCH(C170,Tools!$B$6:$B$105,0)))),0))</f>
        <v/>
      </c>
      <c r="K170">
        <f>IF(H170="Remove now",ROW(),"")</f>
        <v/>
      </c>
    </row>
    <row r="171">
      <c r="A171" s="1" t="n"/>
      <c r="B171" s="20" t="n"/>
      <c r="C171" s="21" t="n"/>
      <c r="D171" s="22" t="n"/>
      <c r="E171" s="25" t="n"/>
      <c r="F171" s="25" t="n"/>
      <c r="G171" s="1">
        <f>IF(OR(B171="",C171=""),"",IF(AND(F171&lt;&gt;"",F171&lt;=TODAY()),0,1))</f>
        <v/>
      </c>
      <c r="H171" s="14">
        <f>IF(OR(B171="",C171=""),"",IF(G171=0,"Removed",IF(AND(I171&lt;&gt;"",I171&lt;=TODAY()),"Remove now","Active")))</f>
        <v/>
      </c>
      <c r="I171" s="1">
        <f>IFERROR(IF(INDEX(Team!$E$6:$E$105,MATCH(B171,Team!$B$6:$B$105,0))="","",INDEX(Team!$E$6:$E$105,MATCH(B171,Team!$B$6:$B$105,0))),"")</f>
        <v/>
      </c>
      <c r="J171">
        <f>IF(G171&lt;&gt;1,0,IFERROR(IF(INDEX(Tools!$G$6:$G$105,MATCH(C171,Tools!$B$6:$B$105,0))="",0,IF(N(INDEX(Tools!$O$6:$O$105,MATCH(C171,Tools!$B$6:$B$105,0)))=0,0,N(INDEX(Tools!$F$6:$F$105,MATCH(C171,Tools!$B$6:$B$105,0)))/INDEX(Tools!$U$6:$U$105,MATCH(C171,Tools!$B$6:$B$105,0)))),0))</f>
        <v/>
      </c>
      <c r="K171">
        <f>IF(H171="Remove now",ROW(),"")</f>
        <v/>
      </c>
    </row>
    <row r="172">
      <c r="A172" s="1" t="n"/>
      <c r="B172" s="20" t="n"/>
      <c r="C172" s="21" t="n"/>
      <c r="D172" s="22" t="n"/>
      <c r="E172" s="25" t="n"/>
      <c r="F172" s="25" t="n"/>
      <c r="G172" s="1">
        <f>IF(OR(B172="",C172=""),"",IF(AND(F172&lt;&gt;"",F172&lt;=TODAY()),0,1))</f>
        <v/>
      </c>
      <c r="H172" s="14">
        <f>IF(OR(B172="",C172=""),"",IF(G172=0,"Removed",IF(AND(I172&lt;&gt;"",I172&lt;=TODAY()),"Remove now","Active")))</f>
        <v/>
      </c>
      <c r="I172" s="1">
        <f>IFERROR(IF(INDEX(Team!$E$6:$E$105,MATCH(B172,Team!$B$6:$B$105,0))="","",INDEX(Team!$E$6:$E$105,MATCH(B172,Team!$B$6:$B$105,0))),"")</f>
        <v/>
      </c>
      <c r="J172">
        <f>IF(G172&lt;&gt;1,0,IFERROR(IF(INDEX(Tools!$G$6:$G$105,MATCH(C172,Tools!$B$6:$B$105,0))="",0,IF(N(INDEX(Tools!$O$6:$O$105,MATCH(C172,Tools!$B$6:$B$105,0)))=0,0,N(INDEX(Tools!$F$6:$F$105,MATCH(C172,Tools!$B$6:$B$105,0)))/INDEX(Tools!$U$6:$U$105,MATCH(C172,Tools!$B$6:$B$105,0)))),0))</f>
        <v/>
      </c>
      <c r="K172">
        <f>IF(H172="Remove now",ROW(),"")</f>
        <v/>
      </c>
    </row>
    <row r="173">
      <c r="A173" s="1" t="n"/>
      <c r="B173" s="20" t="n"/>
      <c r="C173" s="21" t="n"/>
      <c r="D173" s="22" t="n"/>
      <c r="E173" s="25" t="n"/>
      <c r="F173" s="25" t="n"/>
      <c r="G173" s="1">
        <f>IF(OR(B173="",C173=""),"",IF(AND(F173&lt;&gt;"",F173&lt;=TODAY()),0,1))</f>
        <v/>
      </c>
      <c r="H173" s="14">
        <f>IF(OR(B173="",C173=""),"",IF(G173=0,"Removed",IF(AND(I173&lt;&gt;"",I173&lt;=TODAY()),"Remove now","Active")))</f>
        <v/>
      </c>
      <c r="I173" s="1">
        <f>IFERROR(IF(INDEX(Team!$E$6:$E$105,MATCH(B173,Team!$B$6:$B$105,0))="","",INDEX(Team!$E$6:$E$105,MATCH(B173,Team!$B$6:$B$105,0))),"")</f>
        <v/>
      </c>
      <c r="J173">
        <f>IF(G173&lt;&gt;1,0,IFERROR(IF(INDEX(Tools!$G$6:$G$105,MATCH(C173,Tools!$B$6:$B$105,0))="",0,IF(N(INDEX(Tools!$O$6:$O$105,MATCH(C173,Tools!$B$6:$B$105,0)))=0,0,N(INDEX(Tools!$F$6:$F$105,MATCH(C173,Tools!$B$6:$B$105,0)))/INDEX(Tools!$U$6:$U$105,MATCH(C173,Tools!$B$6:$B$105,0)))),0))</f>
        <v/>
      </c>
      <c r="K173">
        <f>IF(H173="Remove now",ROW(),"")</f>
        <v/>
      </c>
    </row>
    <row r="174">
      <c r="A174" s="1" t="n"/>
      <c r="B174" s="20" t="n"/>
      <c r="C174" s="21" t="n"/>
      <c r="D174" s="22" t="n"/>
      <c r="E174" s="25" t="n"/>
      <c r="F174" s="25" t="n"/>
      <c r="G174" s="1">
        <f>IF(OR(B174="",C174=""),"",IF(AND(F174&lt;&gt;"",F174&lt;=TODAY()),0,1))</f>
        <v/>
      </c>
      <c r="H174" s="14">
        <f>IF(OR(B174="",C174=""),"",IF(G174=0,"Removed",IF(AND(I174&lt;&gt;"",I174&lt;=TODAY()),"Remove now","Active")))</f>
        <v/>
      </c>
      <c r="I174" s="1">
        <f>IFERROR(IF(INDEX(Team!$E$6:$E$105,MATCH(B174,Team!$B$6:$B$105,0))="","",INDEX(Team!$E$6:$E$105,MATCH(B174,Team!$B$6:$B$105,0))),"")</f>
        <v/>
      </c>
      <c r="J174">
        <f>IF(G174&lt;&gt;1,0,IFERROR(IF(INDEX(Tools!$G$6:$G$105,MATCH(C174,Tools!$B$6:$B$105,0))="",0,IF(N(INDEX(Tools!$O$6:$O$105,MATCH(C174,Tools!$B$6:$B$105,0)))=0,0,N(INDEX(Tools!$F$6:$F$105,MATCH(C174,Tools!$B$6:$B$105,0)))/INDEX(Tools!$U$6:$U$105,MATCH(C174,Tools!$B$6:$B$105,0)))),0))</f>
        <v/>
      </c>
      <c r="K174">
        <f>IF(H174="Remove now",ROW(),"")</f>
        <v/>
      </c>
    </row>
    <row r="175">
      <c r="A175" s="1" t="n"/>
      <c r="B175" s="20" t="n"/>
      <c r="C175" s="21" t="n"/>
      <c r="D175" s="22" t="n"/>
      <c r="E175" s="25" t="n"/>
      <c r="F175" s="25" t="n"/>
      <c r="G175" s="1">
        <f>IF(OR(B175="",C175=""),"",IF(AND(F175&lt;&gt;"",F175&lt;=TODAY()),0,1))</f>
        <v/>
      </c>
      <c r="H175" s="14">
        <f>IF(OR(B175="",C175=""),"",IF(G175=0,"Removed",IF(AND(I175&lt;&gt;"",I175&lt;=TODAY()),"Remove now","Active")))</f>
        <v/>
      </c>
      <c r="I175" s="1">
        <f>IFERROR(IF(INDEX(Team!$E$6:$E$105,MATCH(B175,Team!$B$6:$B$105,0))="","",INDEX(Team!$E$6:$E$105,MATCH(B175,Team!$B$6:$B$105,0))),"")</f>
        <v/>
      </c>
      <c r="J175">
        <f>IF(G175&lt;&gt;1,0,IFERROR(IF(INDEX(Tools!$G$6:$G$105,MATCH(C175,Tools!$B$6:$B$105,0))="",0,IF(N(INDEX(Tools!$O$6:$O$105,MATCH(C175,Tools!$B$6:$B$105,0)))=0,0,N(INDEX(Tools!$F$6:$F$105,MATCH(C175,Tools!$B$6:$B$105,0)))/INDEX(Tools!$U$6:$U$105,MATCH(C175,Tools!$B$6:$B$105,0)))),0))</f>
        <v/>
      </c>
      <c r="K175">
        <f>IF(H175="Remove now",ROW(),"")</f>
        <v/>
      </c>
    </row>
    <row r="176">
      <c r="A176" s="1" t="n"/>
      <c r="B176" s="20" t="n"/>
      <c r="C176" s="21" t="n"/>
      <c r="D176" s="22" t="n"/>
      <c r="E176" s="25" t="n"/>
      <c r="F176" s="25" t="n"/>
      <c r="G176" s="1">
        <f>IF(OR(B176="",C176=""),"",IF(AND(F176&lt;&gt;"",F176&lt;=TODAY()),0,1))</f>
        <v/>
      </c>
      <c r="H176" s="14">
        <f>IF(OR(B176="",C176=""),"",IF(G176=0,"Removed",IF(AND(I176&lt;&gt;"",I176&lt;=TODAY()),"Remove now","Active")))</f>
        <v/>
      </c>
      <c r="I176" s="1">
        <f>IFERROR(IF(INDEX(Team!$E$6:$E$105,MATCH(B176,Team!$B$6:$B$105,0))="","",INDEX(Team!$E$6:$E$105,MATCH(B176,Team!$B$6:$B$105,0))),"")</f>
        <v/>
      </c>
      <c r="J176">
        <f>IF(G176&lt;&gt;1,0,IFERROR(IF(INDEX(Tools!$G$6:$G$105,MATCH(C176,Tools!$B$6:$B$105,0))="",0,IF(N(INDEX(Tools!$O$6:$O$105,MATCH(C176,Tools!$B$6:$B$105,0)))=0,0,N(INDEX(Tools!$F$6:$F$105,MATCH(C176,Tools!$B$6:$B$105,0)))/INDEX(Tools!$U$6:$U$105,MATCH(C176,Tools!$B$6:$B$105,0)))),0))</f>
        <v/>
      </c>
      <c r="K176">
        <f>IF(H176="Remove now",ROW(),"")</f>
        <v/>
      </c>
    </row>
    <row r="177">
      <c r="A177" s="1" t="n"/>
      <c r="B177" s="20" t="n"/>
      <c r="C177" s="21" t="n"/>
      <c r="D177" s="22" t="n"/>
      <c r="E177" s="25" t="n"/>
      <c r="F177" s="25" t="n"/>
      <c r="G177" s="1">
        <f>IF(OR(B177="",C177=""),"",IF(AND(F177&lt;&gt;"",F177&lt;=TODAY()),0,1))</f>
        <v/>
      </c>
      <c r="H177" s="14">
        <f>IF(OR(B177="",C177=""),"",IF(G177=0,"Removed",IF(AND(I177&lt;&gt;"",I177&lt;=TODAY()),"Remove now","Active")))</f>
        <v/>
      </c>
      <c r="I177" s="1">
        <f>IFERROR(IF(INDEX(Team!$E$6:$E$105,MATCH(B177,Team!$B$6:$B$105,0))="","",INDEX(Team!$E$6:$E$105,MATCH(B177,Team!$B$6:$B$105,0))),"")</f>
        <v/>
      </c>
      <c r="J177">
        <f>IF(G177&lt;&gt;1,0,IFERROR(IF(INDEX(Tools!$G$6:$G$105,MATCH(C177,Tools!$B$6:$B$105,0))="",0,IF(N(INDEX(Tools!$O$6:$O$105,MATCH(C177,Tools!$B$6:$B$105,0)))=0,0,N(INDEX(Tools!$F$6:$F$105,MATCH(C177,Tools!$B$6:$B$105,0)))/INDEX(Tools!$U$6:$U$105,MATCH(C177,Tools!$B$6:$B$105,0)))),0))</f>
        <v/>
      </c>
      <c r="K177">
        <f>IF(H177="Remove now",ROW(),"")</f>
        <v/>
      </c>
    </row>
    <row r="178">
      <c r="A178" s="1" t="n"/>
      <c r="B178" s="20" t="n"/>
      <c r="C178" s="21" t="n"/>
      <c r="D178" s="22" t="n"/>
      <c r="E178" s="25" t="n"/>
      <c r="F178" s="25" t="n"/>
      <c r="G178" s="1">
        <f>IF(OR(B178="",C178=""),"",IF(AND(F178&lt;&gt;"",F178&lt;=TODAY()),0,1))</f>
        <v/>
      </c>
      <c r="H178" s="14">
        <f>IF(OR(B178="",C178=""),"",IF(G178=0,"Removed",IF(AND(I178&lt;&gt;"",I178&lt;=TODAY()),"Remove now","Active")))</f>
        <v/>
      </c>
      <c r="I178" s="1">
        <f>IFERROR(IF(INDEX(Team!$E$6:$E$105,MATCH(B178,Team!$B$6:$B$105,0))="","",INDEX(Team!$E$6:$E$105,MATCH(B178,Team!$B$6:$B$105,0))),"")</f>
        <v/>
      </c>
      <c r="J178">
        <f>IF(G178&lt;&gt;1,0,IFERROR(IF(INDEX(Tools!$G$6:$G$105,MATCH(C178,Tools!$B$6:$B$105,0))="",0,IF(N(INDEX(Tools!$O$6:$O$105,MATCH(C178,Tools!$B$6:$B$105,0)))=0,0,N(INDEX(Tools!$F$6:$F$105,MATCH(C178,Tools!$B$6:$B$105,0)))/INDEX(Tools!$U$6:$U$105,MATCH(C178,Tools!$B$6:$B$105,0)))),0))</f>
        <v/>
      </c>
      <c r="K178">
        <f>IF(H178="Remove now",ROW(),"")</f>
        <v/>
      </c>
    </row>
    <row r="179">
      <c r="A179" s="1" t="n"/>
      <c r="B179" s="20" t="n"/>
      <c r="C179" s="21" t="n"/>
      <c r="D179" s="22" t="n"/>
      <c r="E179" s="25" t="n"/>
      <c r="F179" s="25" t="n"/>
      <c r="G179" s="1">
        <f>IF(OR(B179="",C179=""),"",IF(AND(F179&lt;&gt;"",F179&lt;=TODAY()),0,1))</f>
        <v/>
      </c>
      <c r="H179" s="14">
        <f>IF(OR(B179="",C179=""),"",IF(G179=0,"Removed",IF(AND(I179&lt;&gt;"",I179&lt;=TODAY()),"Remove now","Active")))</f>
        <v/>
      </c>
      <c r="I179" s="1">
        <f>IFERROR(IF(INDEX(Team!$E$6:$E$105,MATCH(B179,Team!$B$6:$B$105,0))="","",INDEX(Team!$E$6:$E$105,MATCH(B179,Team!$B$6:$B$105,0))),"")</f>
        <v/>
      </c>
      <c r="J179">
        <f>IF(G179&lt;&gt;1,0,IFERROR(IF(INDEX(Tools!$G$6:$G$105,MATCH(C179,Tools!$B$6:$B$105,0))="",0,IF(N(INDEX(Tools!$O$6:$O$105,MATCH(C179,Tools!$B$6:$B$105,0)))=0,0,N(INDEX(Tools!$F$6:$F$105,MATCH(C179,Tools!$B$6:$B$105,0)))/INDEX(Tools!$U$6:$U$105,MATCH(C179,Tools!$B$6:$B$105,0)))),0))</f>
        <v/>
      </c>
      <c r="K179">
        <f>IF(H179="Remove now",ROW(),"")</f>
        <v/>
      </c>
    </row>
    <row r="180">
      <c r="A180" s="1" t="n"/>
      <c r="B180" s="20" t="n"/>
      <c r="C180" s="21" t="n"/>
      <c r="D180" s="22" t="n"/>
      <c r="E180" s="25" t="n"/>
      <c r="F180" s="25" t="n"/>
      <c r="G180" s="1">
        <f>IF(OR(B180="",C180=""),"",IF(AND(F180&lt;&gt;"",F180&lt;=TODAY()),0,1))</f>
        <v/>
      </c>
      <c r="H180" s="14">
        <f>IF(OR(B180="",C180=""),"",IF(G180=0,"Removed",IF(AND(I180&lt;&gt;"",I180&lt;=TODAY()),"Remove now","Active")))</f>
        <v/>
      </c>
      <c r="I180" s="1">
        <f>IFERROR(IF(INDEX(Team!$E$6:$E$105,MATCH(B180,Team!$B$6:$B$105,0))="","",INDEX(Team!$E$6:$E$105,MATCH(B180,Team!$B$6:$B$105,0))),"")</f>
        <v/>
      </c>
      <c r="J180">
        <f>IF(G180&lt;&gt;1,0,IFERROR(IF(INDEX(Tools!$G$6:$G$105,MATCH(C180,Tools!$B$6:$B$105,0))="",0,IF(N(INDEX(Tools!$O$6:$O$105,MATCH(C180,Tools!$B$6:$B$105,0)))=0,0,N(INDEX(Tools!$F$6:$F$105,MATCH(C180,Tools!$B$6:$B$105,0)))/INDEX(Tools!$U$6:$U$105,MATCH(C180,Tools!$B$6:$B$105,0)))),0))</f>
        <v/>
      </c>
      <c r="K180">
        <f>IF(H180="Remove now",ROW(),"")</f>
        <v/>
      </c>
    </row>
    <row r="181">
      <c r="A181" s="1" t="n"/>
      <c r="B181" s="20" t="n"/>
      <c r="C181" s="21" t="n"/>
      <c r="D181" s="22" t="n"/>
      <c r="E181" s="25" t="n"/>
      <c r="F181" s="25" t="n"/>
      <c r="G181" s="1">
        <f>IF(OR(B181="",C181=""),"",IF(AND(F181&lt;&gt;"",F181&lt;=TODAY()),0,1))</f>
        <v/>
      </c>
      <c r="H181" s="14">
        <f>IF(OR(B181="",C181=""),"",IF(G181=0,"Removed",IF(AND(I181&lt;&gt;"",I181&lt;=TODAY()),"Remove now","Active")))</f>
        <v/>
      </c>
      <c r="I181" s="1">
        <f>IFERROR(IF(INDEX(Team!$E$6:$E$105,MATCH(B181,Team!$B$6:$B$105,0))="","",INDEX(Team!$E$6:$E$105,MATCH(B181,Team!$B$6:$B$105,0))),"")</f>
        <v/>
      </c>
      <c r="J181">
        <f>IF(G181&lt;&gt;1,0,IFERROR(IF(INDEX(Tools!$G$6:$G$105,MATCH(C181,Tools!$B$6:$B$105,0))="",0,IF(N(INDEX(Tools!$O$6:$O$105,MATCH(C181,Tools!$B$6:$B$105,0)))=0,0,N(INDEX(Tools!$F$6:$F$105,MATCH(C181,Tools!$B$6:$B$105,0)))/INDEX(Tools!$U$6:$U$105,MATCH(C181,Tools!$B$6:$B$105,0)))),0))</f>
        <v/>
      </c>
      <c r="K181">
        <f>IF(H181="Remove now",ROW(),"")</f>
        <v/>
      </c>
    </row>
    <row r="182">
      <c r="A182" s="1" t="n"/>
      <c r="B182" s="20" t="n"/>
      <c r="C182" s="21" t="n"/>
      <c r="D182" s="22" t="n"/>
      <c r="E182" s="25" t="n"/>
      <c r="F182" s="25" t="n"/>
      <c r="G182" s="1">
        <f>IF(OR(B182="",C182=""),"",IF(AND(F182&lt;&gt;"",F182&lt;=TODAY()),0,1))</f>
        <v/>
      </c>
      <c r="H182" s="14">
        <f>IF(OR(B182="",C182=""),"",IF(G182=0,"Removed",IF(AND(I182&lt;&gt;"",I182&lt;=TODAY()),"Remove now","Active")))</f>
        <v/>
      </c>
      <c r="I182" s="1">
        <f>IFERROR(IF(INDEX(Team!$E$6:$E$105,MATCH(B182,Team!$B$6:$B$105,0))="","",INDEX(Team!$E$6:$E$105,MATCH(B182,Team!$B$6:$B$105,0))),"")</f>
        <v/>
      </c>
      <c r="J182">
        <f>IF(G182&lt;&gt;1,0,IFERROR(IF(INDEX(Tools!$G$6:$G$105,MATCH(C182,Tools!$B$6:$B$105,0))="",0,IF(N(INDEX(Tools!$O$6:$O$105,MATCH(C182,Tools!$B$6:$B$105,0)))=0,0,N(INDEX(Tools!$F$6:$F$105,MATCH(C182,Tools!$B$6:$B$105,0)))/INDEX(Tools!$U$6:$U$105,MATCH(C182,Tools!$B$6:$B$105,0)))),0))</f>
        <v/>
      </c>
      <c r="K182">
        <f>IF(H182="Remove now",ROW(),"")</f>
        <v/>
      </c>
    </row>
    <row r="183">
      <c r="A183" s="1" t="n"/>
      <c r="B183" s="20" t="n"/>
      <c r="C183" s="21" t="n"/>
      <c r="D183" s="22" t="n"/>
      <c r="E183" s="25" t="n"/>
      <c r="F183" s="25" t="n"/>
      <c r="G183" s="1">
        <f>IF(OR(B183="",C183=""),"",IF(AND(F183&lt;&gt;"",F183&lt;=TODAY()),0,1))</f>
        <v/>
      </c>
      <c r="H183" s="14">
        <f>IF(OR(B183="",C183=""),"",IF(G183=0,"Removed",IF(AND(I183&lt;&gt;"",I183&lt;=TODAY()),"Remove now","Active")))</f>
        <v/>
      </c>
      <c r="I183" s="1">
        <f>IFERROR(IF(INDEX(Team!$E$6:$E$105,MATCH(B183,Team!$B$6:$B$105,0))="","",INDEX(Team!$E$6:$E$105,MATCH(B183,Team!$B$6:$B$105,0))),"")</f>
        <v/>
      </c>
      <c r="J183">
        <f>IF(G183&lt;&gt;1,0,IFERROR(IF(INDEX(Tools!$G$6:$G$105,MATCH(C183,Tools!$B$6:$B$105,0))="",0,IF(N(INDEX(Tools!$O$6:$O$105,MATCH(C183,Tools!$B$6:$B$105,0)))=0,0,N(INDEX(Tools!$F$6:$F$105,MATCH(C183,Tools!$B$6:$B$105,0)))/INDEX(Tools!$U$6:$U$105,MATCH(C183,Tools!$B$6:$B$105,0)))),0))</f>
        <v/>
      </c>
      <c r="K183">
        <f>IF(H183="Remove now",ROW(),"")</f>
        <v/>
      </c>
    </row>
    <row r="184">
      <c r="A184" s="1" t="n"/>
      <c r="B184" s="20" t="n"/>
      <c r="C184" s="21" t="n"/>
      <c r="D184" s="22" t="n"/>
      <c r="E184" s="25" t="n"/>
      <c r="F184" s="25" t="n"/>
      <c r="G184" s="1">
        <f>IF(OR(B184="",C184=""),"",IF(AND(F184&lt;&gt;"",F184&lt;=TODAY()),0,1))</f>
        <v/>
      </c>
      <c r="H184" s="14">
        <f>IF(OR(B184="",C184=""),"",IF(G184=0,"Removed",IF(AND(I184&lt;&gt;"",I184&lt;=TODAY()),"Remove now","Active")))</f>
        <v/>
      </c>
      <c r="I184" s="1">
        <f>IFERROR(IF(INDEX(Team!$E$6:$E$105,MATCH(B184,Team!$B$6:$B$105,0))="","",INDEX(Team!$E$6:$E$105,MATCH(B184,Team!$B$6:$B$105,0))),"")</f>
        <v/>
      </c>
      <c r="J184">
        <f>IF(G184&lt;&gt;1,0,IFERROR(IF(INDEX(Tools!$G$6:$G$105,MATCH(C184,Tools!$B$6:$B$105,0))="",0,IF(N(INDEX(Tools!$O$6:$O$105,MATCH(C184,Tools!$B$6:$B$105,0)))=0,0,N(INDEX(Tools!$F$6:$F$105,MATCH(C184,Tools!$B$6:$B$105,0)))/INDEX(Tools!$U$6:$U$105,MATCH(C184,Tools!$B$6:$B$105,0)))),0))</f>
        <v/>
      </c>
      <c r="K184">
        <f>IF(H184="Remove now",ROW(),"")</f>
        <v/>
      </c>
    </row>
    <row r="185">
      <c r="A185" s="1" t="n"/>
      <c r="B185" s="20" t="n"/>
      <c r="C185" s="21" t="n"/>
      <c r="D185" s="22" t="n"/>
      <c r="E185" s="25" t="n"/>
      <c r="F185" s="25" t="n"/>
      <c r="G185" s="1">
        <f>IF(OR(B185="",C185=""),"",IF(AND(F185&lt;&gt;"",F185&lt;=TODAY()),0,1))</f>
        <v/>
      </c>
      <c r="H185" s="14">
        <f>IF(OR(B185="",C185=""),"",IF(G185=0,"Removed",IF(AND(I185&lt;&gt;"",I185&lt;=TODAY()),"Remove now","Active")))</f>
        <v/>
      </c>
      <c r="I185" s="1">
        <f>IFERROR(IF(INDEX(Team!$E$6:$E$105,MATCH(B185,Team!$B$6:$B$105,0))="","",INDEX(Team!$E$6:$E$105,MATCH(B185,Team!$B$6:$B$105,0))),"")</f>
        <v/>
      </c>
      <c r="J185">
        <f>IF(G185&lt;&gt;1,0,IFERROR(IF(INDEX(Tools!$G$6:$G$105,MATCH(C185,Tools!$B$6:$B$105,0))="",0,IF(N(INDEX(Tools!$O$6:$O$105,MATCH(C185,Tools!$B$6:$B$105,0)))=0,0,N(INDEX(Tools!$F$6:$F$105,MATCH(C185,Tools!$B$6:$B$105,0)))/INDEX(Tools!$U$6:$U$105,MATCH(C185,Tools!$B$6:$B$105,0)))),0))</f>
        <v/>
      </c>
      <c r="K185">
        <f>IF(H185="Remove now",ROW(),"")</f>
        <v/>
      </c>
    </row>
    <row r="186">
      <c r="A186" s="1" t="n"/>
      <c r="B186" s="20" t="n"/>
      <c r="C186" s="21" t="n"/>
      <c r="D186" s="22" t="n"/>
      <c r="E186" s="25" t="n"/>
      <c r="F186" s="25" t="n"/>
      <c r="G186" s="1">
        <f>IF(OR(B186="",C186=""),"",IF(AND(F186&lt;&gt;"",F186&lt;=TODAY()),0,1))</f>
        <v/>
      </c>
      <c r="H186" s="14">
        <f>IF(OR(B186="",C186=""),"",IF(G186=0,"Removed",IF(AND(I186&lt;&gt;"",I186&lt;=TODAY()),"Remove now","Active")))</f>
        <v/>
      </c>
      <c r="I186" s="1">
        <f>IFERROR(IF(INDEX(Team!$E$6:$E$105,MATCH(B186,Team!$B$6:$B$105,0))="","",INDEX(Team!$E$6:$E$105,MATCH(B186,Team!$B$6:$B$105,0))),"")</f>
        <v/>
      </c>
      <c r="J186">
        <f>IF(G186&lt;&gt;1,0,IFERROR(IF(INDEX(Tools!$G$6:$G$105,MATCH(C186,Tools!$B$6:$B$105,0))="",0,IF(N(INDEX(Tools!$O$6:$O$105,MATCH(C186,Tools!$B$6:$B$105,0)))=0,0,N(INDEX(Tools!$F$6:$F$105,MATCH(C186,Tools!$B$6:$B$105,0)))/INDEX(Tools!$U$6:$U$105,MATCH(C186,Tools!$B$6:$B$105,0)))),0))</f>
        <v/>
      </c>
      <c r="K186">
        <f>IF(H186="Remove now",ROW(),"")</f>
        <v/>
      </c>
    </row>
    <row r="187">
      <c r="A187" s="1" t="n"/>
      <c r="B187" s="20" t="n"/>
      <c r="C187" s="21" t="n"/>
      <c r="D187" s="22" t="n"/>
      <c r="E187" s="25" t="n"/>
      <c r="F187" s="25" t="n"/>
      <c r="G187" s="1">
        <f>IF(OR(B187="",C187=""),"",IF(AND(F187&lt;&gt;"",F187&lt;=TODAY()),0,1))</f>
        <v/>
      </c>
      <c r="H187" s="14">
        <f>IF(OR(B187="",C187=""),"",IF(G187=0,"Removed",IF(AND(I187&lt;&gt;"",I187&lt;=TODAY()),"Remove now","Active")))</f>
        <v/>
      </c>
      <c r="I187" s="1">
        <f>IFERROR(IF(INDEX(Team!$E$6:$E$105,MATCH(B187,Team!$B$6:$B$105,0))="","",INDEX(Team!$E$6:$E$105,MATCH(B187,Team!$B$6:$B$105,0))),"")</f>
        <v/>
      </c>
      <c r="J187">
        <f>IF(G187&lt;&gt;1,0,IFERROR(IF(INDEX(Tools!$G$6:$G$105,MATCH(C187,Tools!$B$6:$B$105,0))="",0,IF(N(INDEX(Tools!$O$6:$O$105,MATCH(C187,Tools!$B$6:$B$105,0)))=0,0,N(INDEX(Tools!$F$6:$F$105,MATCH(C187,Tools!$B$6:$B$105,0)))/INDEX(Tools!$U$6:$U$105,MATCH(C187,Tools!$B$6:$B$105,0)))),0))</f>
        <v/>
      </c>
      <c r="K187">
        <f>IF(H187="Remove now",ROW(),"")</f>
        <v/>
      </c>
    </row>
    <row r="188">
      <c r="A188" s="1" t="n"/>
      <c r="B188" s="20" t="n"/>
      <c r="C188" s="21" t="n"/>
      <c r="D188" s="22" t="n"/>
      <c r="E188" s="25" t="n"/>
      <c r="F188" s="25" t="n"/>
      <c r="G188" s="1">
        <f>IF(OR(B188="",C188=""),"",IF(AND(F188&lt;&gt;"",F188&lt;=TODAY()),0,1))</f>
        <v/>
      </c>
      <c r="H188" s="14">
        <f>IF(OR(B188="",C188=""),"",IF(G188=0,"Removed",IF(AND(I188&lt;&gt;"",I188&lt;=TODAY()),"Remove now","Active")))</f>
        <v/>
      </c>
      <c r="I188" s="1">
        <f>IFERROR(IF(INDEX(Team!$E$6:$E$105,MATCH(B188,Team!$B$6:$B$105,0))="","",INDEX(Team!$E$6:$E$105,MATCH(B188,Team!$B$6:$B$105,0))),"")</f>
        <v/>
      </c>
      <c r="J188">
        <f>IF(G188&lt;&gt;1,0,IFERROR(IF(INDEX(Tools!$G$6:$G$105,MATCH(C188,Tools!$B$6:$B$105,0))="",0,IF(N(INDEX(Tools!$O$6:$O$105,MATCH(C188,Tools!$B$6:$B$105,0)))=0,0,N(INDEX(Tools!$F$6:$F$105,MATCH(C188,Tools!$B$6:$B$105,0)))/INDEX(Tools!$U$6:$U$105,MATCH(C188,Tools!$B$6:$B$105,0)))),0))</f>
        <v/>
      </c>
      <c r="K188">
        <f>IF(H188="Remove now",ROW(),"")</f>
        <v/>
      </c>
    </row>
    <row r="189">
      <c r="A189" s="1" t="n"/>
      <c r="B189" s="20" t="n"/>
      <c r="C189" s="21" t="n"/>
      <c r="D189" s="22" t="n"/>
      <c r="E189" s="25" t="n"/>
      <c r="F189" s="25" t="n"/>
      <c r="G189" s="1">
        <f>IF(OR(B189="",C189=""),"",IF(AND(F189&lt;&gt;"",F189&lt;=TODAY()),0,1))</f>
        <v/>
      </c>
      <c r="H189" s="14">
        <f>IF(OR(B189="",C189=""),"",IF(G189=0,"Removed",IF(AND(I189&lt;&gt;"",I189&lt;=TODAY()),"Remove now","Active")))</f>
        <v/>
      </c>
      <c r="I189" s="1">
        <f>IFERROR(IF(INDEX(Team!$E$6:$E$105,MATCH(B189,Team!$B$6:$B$105,0))="","",INDEX(Team!$E$6:$E$105,MATCH(B189,Team!$B$6:$B$105,0))),"")</f>
        <v/>
      </c>
      <c r="J189">
        <f>IF(G189&lt;&gt;1,0,IFERROR(IF(INDEX(Tools!$G$6:$G$105,MATCH(C189,Tools!$B$6:$B$105,0))="",0,IF(N(INDEX(Tools!$O$6:$O$105,MATCH(C189,Tools!$B$6:$B$105,0)))=0,0,N(INDEX(Tools!$F$6:$F$105,MATCH(C189,Tools!$B$6:$B$105,0)))/INDEX(Tools!$U$6:$U$105,MATCH(C189,Tools!$B$6:$B$105,0)))),0))</f>
        <v/>
      </c>
      <c r="K189">
        <f>IF(H189="Remove now",ROW(),"")</f>
        <v/>
      </c>
    </row>
    <row r="190">
      <c r="A190" s="1" t="n"/>
      <c r="B190" s="20" t="n"/>
      <c r="C190" s="21" t="n"/>
      <c r="D190" s="22" t="n"/>
      <c r="E190" s="25" t="n"/>
      <c r="F190" s="25" t="n"/>
      <c r="G190" s="1">
        <f>IF(OR(B190="",C190=""),"",IF(AND(F190&lt;&gt;"",F190&lt;=TODAY()),0,1))</f>
        <v/>
      </c>
      <c r="H190" s="14">
        <f>IF(OR(B190="",C190=""),"",IF(G190=0,"Removed",IF(AND(I190&lt;&gt;"",I190&lt;=TODAY()),"Remove now","Active")))</f>
        <v/>
      </c>
      <c r="I190" s="1">
        <f>IFERROR(IF(INDEX(Team!$E$6:$E$105,MATCH(B190,Team!$B$6:$B$105,0))="","",INDEX(Team!$E$6:$E$105,MATCH(B190,Team!$B$6:$B$105,0))),"")</f>
        <v/>
      </c>
      <c r="J190">
        <f>IF(G190&lt;&gt;1,0,IFERROR(IF(INDEX(Tools!$G$6:$G$105,MATCH(C190,Tools!$B$6:$B$105,0))="",0,IF(N(INDEX(Tools!$O$6:$O$105,MATCH(C190,Tools!$B$6:$B$105,0)))=0,0,N(INDEX(Tools!$F$6:$F$105,MATCH(C190,Tools!$B$6:$B$105,0)))/INDEX(Tools!$U$6:$U$105,MATCH(C190,Tools!$B$6:$B$105,0)))),0))</f>
        <v/>
      </c>
      <c r="K190">
        <f>IF(H190="Remove now",ROW(),"")</f>
        <v/>
      </c>
    </row>
    <row r="191">
      <c r="A191" s="1" t="n"/>
      <c r="B191" s="20" t="n"/>
      <c r="C191" s="21" t="n"/>
      <c r="D191" s="22" t="n"/>
      <c r="E191" s="25" t="n"/>
      <c r="F191" s="25" t="n"/>
      <c r="G191" s="1">
        <f>IF(OR(B191="",C191=""),"",IF(AND(F191&lt;&gt;"",F191&lt;=TODAY()),0,1))</f>
        <v/>
      </c>
      <c r="H191" s="14">
        <f>IF(OR(B191="",C191=""),"",IF(G191=0,"Removed",IF(AND(I191&lt;&gt;"",I191&lt;=TODAY()),"Remove now","Active")))</f>
        <v/>
      </c>
      <c r="I191" s="1">
        <f>IFERROR(IF(INDEX(Team!$E$6:$E$105,MATCH(B191,Team!$B$6:$B$105,0))="","",INDEX(Team!$E$6:$E$105,MATCH(B191,Team!$B$6:$B$105,0))),"")</f>
        <v/>
      </c>
      <c r="J191">
        <f>IF(G191&lt;&gt;1,0,IFERROR(IF(INDEX(Tools!$G$6:$G$105,MATCH(C191,Tools!$B$6:$B$105,0))="",0,IF(N(INDEX(Tools!$O$6:$O$105,MATCH(C191,Tools!$B$6:$B$105,0)))=0,0,N(INDEX(Tools!$F$6:$F$105,MATCH(C191,Tools!$B$6:$B$105,0)))/INDEX(Tools!$U$6:$U$105,MATCH(C191,Tools!$B$6:$B$105,0)))),0))</f>
        <v/>
      </c>
      <c r="K191">
        <f>IF(H191="Remove now",ROW(),"")</f>
        <v/>
      </c>
    </row>
    <row r="192">
      <c r="A192" s="1" t="n"/>
      <c r="B192" s="20" t="n"/>
      <c r="C192" s="21" t="n"/>
      <c r="D192" s="22" t="n"/>
      <c r="E192" s="25" t="n"/>
      <c r="F192" s="25" t="n"/>
      <c r="G192" s="1">
        <f>IF(OR(B192="",C192=""),"",IF(AND(F192&lt;&gt;"",F192&lt;=TODAY()),0,1))</f>
        <v/>
      </c>
      <c r="H192" s="14">
        <f>IF(OR(B192="",C192=""),"",IF(G192=0,"Removed",IF(AND(I192&lt;&gt;"",I192&lt;=TODAY()),"Remove now","Active")))</f>
        <v/>
      </c>
      <c r="I192" s="1">
        <f>IFERROR(IF(INDEX(Team!$E$6:$E$105,MATCH(B192,Team!$B$6:$B$105,0))="","",INDEX(Team!$E$6:$E$105,MATCH(B192,Team!$B$6:$B$105,0))),"")</f>
        <v/>
      </c>
      <c r="J192">
        <f>IF(G192&lt;&gt;1,0,IFERROR(IF(INDEX(Tools!$G$6:$G$105,MATCH(C192,Tools!$B$6:$B$105,0))="",0,IF(N(INDEX(Tools!$O$6:$O$105,MATCH(C192,Tools!$B$6:$B$105,0)))=0,0,N(INDEX(Tools!$F$6:$F$105,MATCH(C192,Tools!$B$6:$B$105,0)))/INDEX(Tools!$U$6:$U$105,MATCH(C192,Tools!$B$6:$B$105,0)))),0))</f>
        <v/>
      </c>
      <c r="K192">
        <f>IF(H192="Remove now",ROW(),"")</f>
        <v/>
      </c>
    </row>
    <row r="193">
      <c r="A193" s="1" t="n"/>
      <c r="B193" s="20" t="n"/>
      <c r="C193" s="21" t="n"/>
      <c r="D193" s="22" t="n"/>
      <c r="E193" s="25" t="n"/>
      <c r="F193" s="25" t="n"/>
      <c r="G193" s="1">
        <f>IF(OR(B193="",C193=""),"",IF(AND(F193&lt;&gt;"",F193&lt;=TODAY()),0,1))</f>
        <v/>
      </c>
      <c r="H193" s="14">
        <f>IF(OR(B193="",C193=""),"",IF(G193=0,"Removed",IF(AND(I193&lt;&gt;"",I193&lt;=TODAY()),"Remove now","Active")))</f>
        <v/>
      </c>
      <c r="I193" s="1">
        <f>IFERROR(IF(INDEX(Team!$E$6:$E$105,MATCH(B193,Team!$B$6:$B$105,0))="","",INDEX(Team!$E$6:$E$105,MATCH(B193,Team!$B$6:$B$105,0))),"")</f>
        <v/>
      </c>
      <c r="J193">
        <f>IF(G193&lt;&gt;1,0,IFERROR(IF(INDEX(Tools!$G$6:$G$105,MATCH(C193,Tools!$B$6:$B$105,0))="",0,IF(N(INDEX(Tools!$O$6:$O$105,MATCH(C193,Tools!$B$6:$B$105,0)))=0,0,N(INDEX(Tools!$F$6:$F$105,MATCH(C193,Tools!$B$6:$B$105,0)))/INDEX(Tools!$U$6:$U$105,MATCH(C193,Tools!$B$6:$B$105,0)))),0))</f>
        <v/>
      </c>
      <c r="K193">
        <f>IF(H193="Remove now",ROW(),"")</f>
        <v/>
      </c>
    </row>
    <row r="194">
      <c r="A194" s="1" t="n"/>
      <c r="B194" s="20" t="n"/>
      <c r="C194" s="21" t="n"/>
      <c r="D194" s="22" t="n"/>
      <c r="E194" s="25" t="n"/>
      <c r="F194" s="25" t="n"/>
      <c r="G194" s="1">
        <f>IF(OR(B194="",C194=""),"",IF(AND(F194&lt;&gt;"",F194&lt;=TODAY()),0,1))</f>
        <v/>
      </c>
      <c r="H194" s="14">
        <f>IF(OR(B194="",C194=""),"",IF(G194=0,"Removed",IF(AND(I194&lt;&gt;"",I194&lt;=TODAY()),"Remove now","Active")))</f>
        <v/>
      </c>
      <c r="I194" s="1">
        <f>IFERROR(IF(INDEX(Team!$E$6:$E$105,MATCH(B194,Team!$B$6:$B$105,0))="","",INDEX(Team!$E$6:$E$105,MATCH(B194,Team!$B$6:$B$105,0))),"")</f>
        <v/>
      </c>
      <c r="J194">
        <f>IF(G194&lt;&gt;1,0,IFERROR(IF(INDEX(Tools!$G$6:$G$105,MATCH(C194,Tools!$B$6:$B$105,0))="",0,IF(N(INDEX(Tools!$O$6:$O$105,MATCH(C194,Tools!$B$6:$B$105,0)))=0,0,N(INDEX(Tools!$F$6:$F$105,MATCH(C194,Tools!$B$6:$B$105,0)))/INDEX(Tools!$U$6:$U$105,MATCH(C194,Tools!$B$6:$B$105,0)))),0))</f>
        <v/>
      </c>
      <c r="K194">
        <f>IF(H194="Remove now",ROW(),"")</f>
        <v/>
      </c>
    </row>
    <row r="195">
      <c r="A195" s="1" t="n"/>
      <c r="B195" s="20" t="n"/>
      <c r="C195" s="21" t="n"/>
      <c r="D195" s="22" t="n"/>
      <c r="E195" s="25" t="n"/>
      <c r="F195" s="25" t="n"/>
      <c r="G195" s="1">
        <f>IF(OR(B195="",C195=""),"",IF(AND(F195&lt;&gt;"",F195&lt;=TODAY()),0,1))</f>
        <v/>
      </c>
      <c r="H195" s="14">
        <f>IF(OR(B195="",C195=""),"",IF(G195=0,"Removed",IF(AND(I195&lt;&gt;"",I195&lt;=TODAY()),"Remove now","Active")))</f>
        <v/>
      </c>
      <c r="I195" s="1">
        <f>IFERROR(IF(INDEX(Team!$E$6:$E$105,MATCH(B195,Team!$B$6:$B$105,0))="","",INDEX(Team!$E$6:$E$105,MATCH(B195,Team!$B$6:$B$105,0))),"")</f>
        <v/>
      </c>
      <c r="J195">
        <f>IF(G195&lt;&gt;1,0,IFERROR(IF(INDEX(Tools!$G$6:$G$105,MATCH(C195,Tools!$B$6:$B$105,0))="",0,IF(N(INDEX(Tools!$O$6:$O$105,MATCH(C195,Tools!$B$6:$B$105,0)))=0,0,N(INDEX(Tools!$F$6:$F$105,MATCH(C195,Tools!$B$6:$B$105,0)))/INDEX(Tools!$U$6:$U$105,MATCH(C195,Tools!$B$6:$B$105,0)))),0))</f>
        <v/>
      </c>
      <c r="K195">
        <f>IF(H195="Remove now",ROW(),"")</f>
        <v/>
      </c>
    </row>
    <row r="196">
      <c r="A196" s="1" t="n"/>
      <c r="B196" s="20" t="n"/>
      <c r="C196" s="21" t="n"/>
      <c r="D196" s="22" t="n"/>
      <c r="E196" s="25" t="n"/>
      <c r="F196" s="25" t="n"/>
      <c r="G196" s="1">
        <f>IF(OR(B196="",C196=""),"",IF(AND(F196&lt;&gt;"",F196&lt;=TODAY()),0,1))</f>
        <v/>
      </c>
      <c r="H196" s="14">
        <f>IF(OR(B196="",C196=""),"",IF(G196=0,"Removed",IF(AND(I196&lt;&gt;"",I196&lt;=TODAY()),"Remove now","Active")))</f>
        <v/>
      </c>
      <c r="I196" s="1">
        <f>IFERROR(IF(INDEX(Team!$E$6:$E$105,MATCH(B196,Team!$B$6:$B$105,0))="","",INDEX(Team!$E$6:$E$105,MATCH(B196,Team!$B$6:$B$105,0))),"")</f>
        <v/>
      </c>
      <c r="J196">
        <f>IF(G196&lt;&gt;1,0,IFERROR(IF(INDEX(Tools!$G$6:$G$105,MATCH(C196,Tools!$B$6:$B$105,0))="",0,IF(N(INDEX(Tools!$O$6:$O$105,MATCH(C196,Tools!$B$6:$B$105,0)))=0,0,N(INDEX(Tools!$F$6:$F$105,MATCH(C196,Tools!$B$6:$B$105,0)))/INDEX(Tools!$U$6:$U$105,MATCH(C196,Tools!$B$6:$B$105,0)))),0))</f>
        <v/>
      </c>
      <c r="K196">
        <f>IF(H196="Remove now",ROW(),"")</f>
        <v/>
      </c>
    </row>
    <row r="197">
      <c r="A197" s="1" t="n"/>
      <c r="B197" s="20" t="n"/>
      <c r="C197" s="21" t="n"/>
      <c r="D197" s="22" t="n"/>
      <c r="E197" s="25" t="n"/>
      <c r="F197" s="25" t="n"/>
      <c r="G197" s="1">
        <f>IF(OR(B197="",C197=""),"",IF(AND(F197&lt;&gt;"",F197&lt;=TODAY()),0,1))</f>
        <v/>
      </c>
      <c r="H197" s="14">
        <f>IF(OR(B197="",C197=""),"",IF(G197=0,"Removed",IF(AND(I197&lt;&gt;"",I197&lt;=TODAY()),"Remove now","Active")))</f>
        <v/>
      </c>
      <c r="I197" s="1">
        <f>IFERROR(IF(INDEX(Team!$E$6:$E$105,MATCH(B197,Team!$B$6:$B$105,0))="","",INDEX(Team!$E$6:$E$105,MATCH(B197,Team!$B$6:$B$105,0))),"")</f>
        <v/>
      </c>
      <c r="J197">
        <f>IF(G197&lt;&gt;1,0,IFERROR(IF(INDEX(Tools!$G$6:$G$105,MATCH(C197,Tools!$B$6:$B$105,0))="",0,IF(N(INDEX(Tools!$O$6:$O$105,MATCH(C197,Tools!$B$6:$B$105,0)))=0,0,N(INDEX(Tools!$F$6:$F$105,MATCH(C197,Tools!$B$6:$B$105,0)))/INDEX(Tools!$U$6:$U$105,MATCH(C197,Tools!$B$6:$B$105,0)))),0))</f>
        <v/>
      </c>
      <c r="K197">
        <f>IF(H197="Remove now",ROW(),"")</f>
        <v/>
      </c>
    </row>
    <row r="198">
      <c r="A198" s="1" t="n"/>
      <c r="B198" s="20" t="n"/>
      <c r="C198" s="21" t="n"/>
      <c r="D198" s="22" t="n"/>
      <c r="E198" s="25" t="n"/>
      <c r="F198" s="25" t="n"/>
      <c r="G198" s="1">
        <f>IF(OR(B198="",C198=""),"",IF(AND(F198&lt;&gt;"",F198&lt;=TODAY()),0,1))</f>
        <v/>
      </c>
      <c r="H198" s="14">
        <f>IF(OR(B198="",C198=""),"",IF(G198=0,"Removed",IF(AND(I198&lt;&gt;"",I198&lt;=TODAY()),"Remove now","Active")))</f>
        <v/>
      </c>
      <c r="I198" s="1">
        <f>IFERROR(IF(INDEX(Team!$E$6:$E$105,MATCH(B198,Team!$B$6:$B$105,0))="","",INDEX(Team!$E$6:$E$105,MATCH(B198,Team!$B$6:$B$105,0))),"")</f>
        <v/>
      </c>
      <c r="J198">
        <f>IF(G198&lt;&gt;1,0,IFERROR(IF(INDEX(Tools!$G$6:$G$105,MATCH(C198,Tools!$B$6:$B$105,0))="",0,IF(N(INDEX(Tools!$O$6:$O$105,MATCH(C198,Tools!$B$6:$B$105,0)))=0,0,N(INDEX(Tools!$F$6:$F$105,MATCH(C198,Tools!$B$6:$B$105,0)))/INDEX(Tools!$U$6:$U$105,MATCH(C198,Tools!$B$6:$B$105,0)))),0))</f>
        <v/>
      </c>
      <c r="K198">
        <f>IF(H198="Remove now",ROW(),"")</f>
        <v/>
      </c>
    </row>
    <row r="199">
      <c r="A199" s="1" t="n"/>
      <c r="B199" s="20" t="n"/>
      <c r="C199" s="21" t="n"/>
      <c r="D199" s="22" t="n"/>
      <c r="E199" s="25" t="n"/>
      <c r="F199" s="25" t="n"/>
      <c r="G199" s="1">
        <f>IF(OR(B199="",C199=""),"",IF(AND(F199&lt;&gt;"",F199&lt;=TODAY()),0,1))</f>
        <v/>
      </c>
      <c r="H199" s="14">
        <f>IF(OR(B199="",C199=""),"",IF(G199=0,"Removed",IF(AND(I199&lt;&gt;"",I199&lt;=TODAY()),"Remove now","Active")))</f>
        <v/>
      </c>
      <c r="I199" s="1">
        <f>IFERROR(IF(INDEX(Team!$E$6:$E$105,MATCH(B199,Team!$B$6:$B$105,0))="","",INDEX(Team!$E$6:$E$105,MATCH(B199,Team!$B$6:$B$105,0))),"")</f>
        <v/>
      </c>
      <c r="J199">
        <f>IF(G199&lt;&gt;1,0,IFERROR(IF(INDEX(Tools!$G$6:$G$105,MATCH(C199,Tools!$B$6:$B$105,0))="",0,IF(N(INDEX(Tools!$O$6:$O$105,MATCH(C199,Tools!$B$6:$B$105,0)))=0,0,N(INDEX(Tools!$F$6:$F$105,MATCH(C199,Tools!$B$6:$B$105,0)))/INDEX(Tools!$U$6:$U$105,MATCH(C199,Tools!$B$6:$B$105,0)))),0))</f>
        <v/>
      </c>
      <c r="K199">
        <f>IF(H199="Remove now",ROW(),"")</f>
        <v/>
      </c>
    </row>
    <row r="200">
      <c r="A200" s="1" t="n"/>
      <c r="B200" s="20" t="n"/>
      <c r="C200" s="21" t="n"/>
      <c r="D200" s="22" t="n"/>
      <c r="E200" s="25" t="n"/>
      <c r="F200" s="25" t="n"/>
      <c r="G200" s="1">
        <f>IF(OR(B200="",C200=""),"",IF(AND(F200&lt;&gt;"",F200&lt;=TODAY()),0,1))</f>
        <v/>
      </c>
      <c r="H200" s="14">
        <f>IF(OR(B200="",C200=""),"",IF(G200=0,"Removed",IF(AND(I200&lt;&gt;"",I200&lt;=TODAY()),"Remove now","Active")))</f>
        <v/>
      </c>
      <c r="I200" s="1">
        <f>IFERROR(IF(INDEX(Team!$E$6:$E$105,MATCH(B200,Team!$B$6:$B$105,0))="","",INDEX(Team!$E$6:$E$105,MATCH(B200,Team!$B$6:$B$105,0))),"")</f>
        <v/>
      </c>
      <c r="J200">
        <f>IF(G200&lt;&gt;1,0,IFERROR(IF(INDEX(Tools!$G$6:$G$105,MATCH(C200,Tools!$B$6:$B$105,0))="",0,IF(N(INDEX(Tools!$O$6:$O$105,MATCH(C200,Tools!$B$6:$B$105,0)))=0,0,N(INDEX(Tools!$F$6:$F$105,MATCH(C200,Tools!$B$6:$B$105,0)))/INDEX(Tools!$U$6:$U$105,MATCH(C200,Tools!$B$6:$B$105,0)))),0))</f>
        <v/>
      </c>
      <c r="K200">
        <f>IF(H200="Remove now",ROW(),"")</f>
        <v/>
      </c>
    </row>
    <row r="201">
      <c r="A201" s="1" t="n"/>
      <c r="B201" s="20" t="n"/>
      <c r="C201" s="21" t="n"/>
      <c r="D201" s="22" t="n"/>
      <c r="E201" s="25" t="n"/>
      <c r="F201" s="25" t="n"/>
      <c r="G201" s="1">
        <f>IF(OR(B201="",C201=""),"",IF(AND(F201&lt;&gt;"",F201&lt;=TODAY()),0,1))</f>
        <v/>
      </c>
      <c r="H201" s="14">
        <f>IF(OR(B201="",C201=""),"",IF(G201=0,"Removed",IF(AND(I201&lt;&gt;"",I201&lt;=TODAY()),"Remove now","Active")))</f>
        <v/>
      </c>
      <c r="I201" s="1">
        <f>IFERROR(IF(INDEX(Team!$E$6:$E$105,MATCH(B201,Team!$B$6:$B$105,0))="","",INDEX(Team!$E$6:$E$105,MATCH(B201,Team!$B$6:$B$105,0))),"")</f>
        <v/>
      </c>
      <c r="J201">
        <f>IF(G201&lt;&gt;1,0,IFERROR(IF(INDEX(Tools!$G$6:$G$105,MATCH(C201,Tools!$B$6:$B$105,0))="",0,IF(N(INDEX(Tools!$O$6:$O$105,MATCH(C201,Tools!$B$6:$B$105,0)))=0,0,N(INDEX(Tools!$F$6:$F$105,MATCH(C201,Tools!$B$6:$B$105,0)))/INDEX(Tools!$U$6:$U$105,MATCH(C201,Tools!$B$6:$B$105,0)))),0))</f>
        <v/>
      </c>
      <c r="K201">
        <f>IF(H201="Remove now",ROW(),"")</f>
        <v/>
      </c>
    </row>
    <row r="202">
      <c r="A202" s="1" t="n"/>
      <c r="B202" s="20" t="n"/>
      <c r="C202" s="21" t="n"/>
      <c r="D202" s="22" t="n"/>
      <c r="E202" s="25" t="n"/>
      <c r="F202" s="25" t="n"/>
      <c r="G202" s="1">
        <f>IF(OR(B202="",C202=""),"",IF(AND(F202&lt;&gt;"",F202&lt;=TODAY()),0,1))</f>
        <v/>
      </c>
      <c r="H202" s="14">
        <f>IF(OR(B202="",C202=""),"",IF(G202=0,"Removed",IF(AND(I202&lt;&gt;"",I202&lt;=TODAY()),"Remove now","Active")))</f>
        <v/>
      </c>
      <c r="I202" s="1">
        <f>IFERROR(IF(INDEX(Team!$E$6:$E$105,MATCH(B202,Team!$B$6:$B$105,0))="","",INDEX(Team!$E$6:$E$105,MATCH(B202,Team!$B$6:$B$105,0))),"")</f>
        <v/>
      </c>
      <c r="J202">
        <f>IF(G202&lt;&gt;1,0,IFERROR(IF(INDEX(Tools!$G$6:$G$105,MATCH(C202,Tools!$B$6:$B$105,0))="",0,IF(N(INDEX(Tools!$O$6:$O$105,MATCH(C202,Tools!$B$6:$B$105,0)))=0,0,N(INDEX(Tools!$F$6:$F$105,MATCH(C202,Tools!$B$6:$B$105,0)))/INDEX(Tools!$U$6:$U$105,MATCH(C202,Tools!$B$6:$B$105,0)))),0))</f>
        <v/>
      </c>
      <c r="K202">
        <f>IF(H202="Remove now",ROW(),"")</f>
        <v/>
      </c>
    </row>
    <row r="203">
      <c r="A203" s="1" t="n"/>
      <c r="B203" s="20" t="n"/>
      <c r="C203" s="21" t="n"/>
      <c r="D203" s="22" t="n"/>
      <c r="E203" s="25" t="n"/>
      <c r="F203" s="25" t="n"/>
      <c r="G203" s="1">
        <f>IF(OR(B203="",C203=""),"",IF(AND(F203&lt;&gt;"",F203&lt;=TODAY()),0,1))</f>
        <v/>
      </c>
      <c r="H203" s="14">
        <f>IF(OR(B203="",C203=""),"",IF(G203=0,"Removed",IF(AND(I203&lt;&gt;"",I203&lt;=TODAY()),"Remove now","Active")))</f>
        <v/>
      </c>
      <c r="I203" s="1">
        <f>IFERROR(IF(INDEX(Team!$E$6:$E$105,MATCH(B203,Team!$B$6:$B$105,0))="","",INDEX(Team!$E$6:$E$105,MATCH(B203,Team!$B$6:$B$105,0))),"")</f>
        <v/>
      </c>
      <c r="J203">
        <f>IF(G203&lt;&gt;1,0,IFERROR(IF(INDEX(Tools!$G$6:$G$105,MATCH(C203,Tools!$B$6:$B$105,0))="",0,IF(N(INDEX(Tools!$O$6:$O$105,MATCH(C203,Tools!$B$6:$B$105,0)))=0,0,N(INDEX(Tools!$F$6:$F$105,MATCH(C203,Tools!$B$6:$B$105,0)))/INDEX(Tools!$U$6:$U$105,MATCH(C203,Tools!$B$6:$B$105,0)))),0))</f>
        <v/>
      </c>
      <c r="K203">
        <f>IF(H203="Remove now",ROW(),"")</f>
        <v/>
      </c>
    </row>
    <row r="204">
      <c r="A204" s="1" t="n"/>
      <c r="B204" s="20" t="n"/>
      <c r="C204" s="21" t="n"/>
      <c r="D204" s="22" t="n"/>
      <c r="E204" s="25" t="n"/>
      <c r="F204" s="25" t="n"/>
      <c r="G204" s="1">
        <f>IF(OR(B204="",C204=""),"",IF(AND(F204&lt;&gt;"",F204&lt;=TODAY()),0,1))</f>
        <v/>
      </c>
      <c r="H204" s="14">
        <f>IF(OR(B204="",C204=""),"",IF(G204=0,"Removed",IF(AND(I204&lt;&gt;"",I204&lt;=TODAY()),"Remove now","Active")))</f>
        <v/>
      </c>
      <c r="I204" s="1">
        <f>IFERROR(IF(INDEX(Team!$E$6:$E$105,MATCH(B204,Team!$B$6:$B$105,0))="","",INDEX(Team!$E$6:$E$105,MATCH(B204,Team!$B$6:$B$105,0))),"")</f>
        <v/>
      </c>
      <c r="J204">
        <f>IF(G204&lt;&gt;1,0,IFERROR(IF(INDEX(Tools!$G$6:$G$105,MATCH(C204,Tools!$B$6:$B$105,0))="",0,IF(N(INDEX(Tools!$O$6:$O$105,MATCH(C204,Tools!$B$6:$B$105,0)))=0,0,N(INDEX(Tools!$F$6:$F$105,MATCH(C204,Tools!$B$6:$B$105,0)))/INDEX(Tools!$U$6:$U$105,MATCH(C204,Tools!$B$6:$B$105,0)))),0))</f>
        <v/>
      </c>
      <c r="K204">
        <f>IF(H204="Remove now",ROW(),"")</f>
        <v/>
      </c>
    </row>
    <row r="205">
      <c r="A205" s="1" t="n"/>
      <c r="B205" s="20" t="n"/>
      <c r="C205" s="21" t="n"/>
      <c r="D205" s="22" t="n"/>
      <c r="E205" s="25" t="n"/>
      <c r="F205" s="25" t="n"/>
      <c r="G205" s="1">
        <f>IF(OR(B205="",C205=""),"",IF(AND(F205&lt;&gt;"",F205&lt;=TODAY()),0,1))</f>
        <v/>
      </c>
      <c r="H205" s="14">
        <f>IF(OR(B205="",C205=""),"",IF(G205=0,"Removed",IF(AND(I205&lt;&gt;"",I205&lt;=TODAY()),"Remove now","Active")))</f>
        <v/>
      </c>
      <c r="I205" s="1">
        <f>IFERROR(IF(INDEX(Team!$E$6:$E$105,MATCH(B205,Team!$B$6:$B$105,0))="","",INDEX(Team!$E$6:$E$105,MATCH(B205,Team!$B$6:$B$105,0))),"")</f>
        <v/>
      </c>
      <c r="J205">
        <f>IF(G205&lt;&gt;1,0,IFERROR(IF(INDEX(Tools!$G$6:$G$105,MATCH(C205,Tools!$B$6:$B$105,0))="",0,IF(N(INDEX(Tools!$O$6:$O$105,MATCH(C205,Tools!$B$6:$B$105,0)))=0,0,N(INDEX(Tools!$F$6:$F$105,MATCH(C205,Tools!$B$6:$B$105,0)))/INDEX(Tools!$U$6:$U$105,MATCH(C205,Tools!$B$6:$B$105,0)))),0))</f>
        <v/>
      </c>
      <c r="K205">
        <f>IF(H205="Remove now",ROW(),"")</f>
        <v/>
      </c>
    </row>
    <row r="206">
      <c r="A206" s="1" t="n"/>
      <c r="B206" s="20" t="n"/>
      <c r="C206" s="21" t="n"/>
      <c r="D206" s="22" t="n"/>
      <c r="E206" s="25" t="n"/>
      <c r="F206" s="25" t="n"/>
      <c r="G206" s="1">
        <f>IF(OR(B206="",C206=""),"",IF(AND(F206&lt;&gt;"",F206&lt;=TODAY()),0,1))</f>
        <v/>
      </c>
      <c r="H206" s="14">
        <f>IF(OR(B206="",C206=""),"",IF(G206=0,"Removed",IF(AND(I206&lt;&gt;"",I206&lt;=TODAY()),"Remove now","Active")))</f>
        <v/>
      </c>
      <c r="I206" s="1">
        <f>IFERROR(IF(INDEX(Team!$E$6:$E$105,MATCH(B206,Team!$B$6:$B$105,0))="","",INDEX(Team!$E$6:$E$105,MATCH(B206,Team!$B$6:$B$105,0))),"")</f>
        <v/>
      </c>
      <c r="J206">
        <f>IF(G206&lt;&gt;1,0,IFERROR(IF(INDEX(Tools!$G$6:$G$105,MATCH(C206,Tools!$B$6:$B$105,0))="",0,IF(N(INDEX(Tools!$O$6:$O$105,MATCH(C206,Tools!$B$6:$B$105,0)))=0,0,N(INDEX(Tools!$F$6:$F$105,MATCH(C206,Tools!$B$6:$B$105,0)))/INDEX(Tools!$U$6:$U$105,MATCH(C206,Tools!$B$6:$B$105,0)))),0))</f>
        <v/>
      </c>
      <c r="K206">
        <f>IF(H206="Remove now",ROW(),"")</f>
        <v/>
      </c>
    </row>
    <row r="207">
      <c r="A207" s="1" t="n"/>
      <c r="B207" s="20" t="n"/>
      <c r="C207" s="21" t="n"/>
      <c r="D207" s="22" t="n"/>
      <c r="E207" s="25" t="n"/>
      <c r="F207" s="25" t="n"/>
      <c r="G207" s="1">
        <f>IF(OR(B207="",C207=""),"",IF(AND(F207&lt;&gt;"",F207&lt;=TODAY()),0,1))</f>
        <v/>
      </c>
      <c r="H207" s="14">
        <f>IF(OR(B207="",C207=""),"",IF(G207=0,"Removed",IF(AND(I207&lt;&gt;"",I207&lt;=TODAY()),"Remove now","Active")))</f>
        <v/>
      </c>
      <c r="I207" s="1">
        <f>IFERROR(IF(INDEX(Team!$E$6:$E$105,MATCH(B207,Team!$B$6:$B$105,0))="","",INDEX(Team!$E$6:$E$105,MATCH(B207,Team!$B$6:$B$105,0))),"")</f>
        <v/>
      </c>
      <c r="J207">
        <f>IF(G207&lt;&gt;1,0,IFERROR(IF(INDEX(Tools!$G$6:$G$105,MATCH(C207,Tools!$B$6:$B$105,0))="",0,IF(N(INDEX(Tools!$O$6:$O$105,MATCH(C207,Tools!$B$6:$B$105,0)))=0,0,N(INDEX(Tools!$F$6:$F$105,MATCH(C207,Tools!$B$6:$B$105,0)))/INDEX(Tools!$U$6:$U$105,MATCH(C207,Tools!$B$6:$B$105,0)))),0))</f>
        <v/>
      </c>
      <c r="K207">
        <f>IF(H207="Remove now",ROW(),"")</f>
        <v/>
      </c>
    </row>
    <row r="208">
      <c r="A208" s="1" t="n"/>
      <c r="B208" s="20" t="n"/>
      <c r="C208" s="21" t="n"/>
      <c r="D208" s="22" t="n"/>
      <c r="E208" s="25" t="n"/>
      <c r="F208" s="25" t="n"/>
      <c r="G208" s="1">
        <f>IF(OR(B208="",C208=""),"",IF(AND(F208&lt;&gt;"",F208&lt;=TODAY()),0,1))</f>
        <v/>
      </c>
      <c r="H208" s="14">
        <f>IF(OR(B208="",C208=""),"",IF(G208=0,"Removed",IF(AND(I208&lt;&gt;"",I208&lt;=TODAY()),"Remove now","Active")))</f>
        <v/>
      </c>
      <c r="I208" s="1">
        <f>IFERROR(IF(INDEX(Team!$E$6:$E$105,MATCH(B208,Team!$B$6:$B$105,0))="","",INDEX(Team!$E$6:$E$105,MATCH(B208,Team!$B$6:$B$105,0))),"")</f>
        <v/>
      </c>
      <c r="J208">
        <f>IF(G208&lt;&gt;1,0,IFERROR(IF(INDEX(Tools!$G$6:$G$105,MATCH(C208,Tools!$B$6:$B$105,0))="",0,IF(N(INDEX(Tools!$O$6:$O$105,MATCH(C208,Tools!$B$6:$B$105,0)))=0,0,N(INDEX(Tools!$F$6:$F$105,MATCH(C208,Tools!$B$6:$B$105,0)))/INDEX(Tools!$U$6:$U$105,MATCH(C208,Tools!$B$6:$B$105,0)))),0))</f>
        <v/>
      </c>
      <c r="K208">
        <f>IF(H208="Remove now",ROW(),"")</f>
        <v/>
      </c>
    </row>
    <row r="209">
      <c r="A209" s="1" t="n"/>
      <c r="B209" s="20" t="n"/>
      <c r="C209" s="21" t="n"/>
      <c r="D209" s="22" t="n"/>
      <c r="E209" s="25" t="n"/>
      <c r="F209" s="25" t="n"/>
      <c r="G209" s="1">
        <f>IF(OR(B209="",C209=""),"",IF(AND(F209&lt;&gt;"",F209&lt;=TODAY()),0,1))</f>
        <v/>
      </c>
      <c r="H209" s="14">
        <f>IF(OR(B209="",C209=""),"",IF(G209=0,"Removed",IF(AND(I209&lt;&gt;"",I209&lt;=TODAY()),"Remove now","Active")))</f>
        <v/>
      </c>
      <c r="I209" s="1">
        <f>IFERROR(IF(INDEX(Team!$E$6:$E$105,MATCH(B209,Team!$B$6:$B$105,0))="","",INDEX(Team!$E$6:$E$105,MATCH(B209,Team!$B$6:$B$105,0))),"")</f>
        <v/>
      </c>
      <c r="J209">
        <f>IF(G209&lt;&gt;1,0,IFERROR(IF(INDEX(Tools!$G$6:$G$105,MATCH(C209,Tools!$B$6:$B$105,0))="",0,IF(N(INDEX(Tools!$O$6:$O$105,MATCH(C209,Tools!$B$6:$B$105,0)))=0,0,N(INDEX(Tools!$F$6:$F$105,MATCH(C209,Tools!$B$6:$B$105,0)))/INDEX(Tools!$U$6:$U$105,MATCH(C209,Tools!$B$6:$B$105,0)))),0))</f>
        <v/>
      </c>
      <c r="K209">
        <f>IF(H209="Remove now",ROW(),"")</f>
        <v/>
      </c>
    </row>
    <row r="210">
      <c r="A210" s="1" t="n"/>
      <c r="B210" s="20" t="n"/>
      <c r="C210" s="21" t="n"/>
      <c r="D210" s="22" t="n"/>
      <c r="E210" s="25" t="n"/>
      <c r="F210" s="25" t="n"/>
      <c r="G210" s="1">
        <f>IF(OR(B210="",C210=""),"",IF(AND(F210&lt;&gt;"",F210&lt;=TODAY()),0,1))</f>
        <v/>
      </c>
      <c r="H210" s="14">
        <f>IF(OR(B210="",C210=""),"",IF(G210=0,"Removed",IF(AND(I210&lt;&gt;"",I210&lt;=TODAY()),"Remove now","Active")))</f>
        <v/>
      </c>
      <c r="I210" s="1">
        <f>IFERROR(IF(INDEX(Team!$E$6:$E$105,MATCH(B210,Team!$B$6:$B$105,0))="","",INDEX(Team!$E$6:$E$105,MATCH(B210,Team!$B$6:$B$105,0))),"")</f>
        <v/>
      </c>
      <c r="J210">
        <f>IF(G210&lt;&gt;1,0,IFERROR(IF(INDEX(Tools!$G$6:$G$105,MATCH(C210,Tools!$B$6:$B$105,0))="",0,IF(N(INDEX(Tools!$O$6:$O$105,MATCH(C210,Tools!$B$6:$B$105,0)))=0,0,N(INDEX(Tools!$F$6:$F$105,MATCH(C210,Tools!$B$6:$B$105,0)))/INDEX(Tools!$U$6:$U$105,MATCH(C210,Tools!$B$6:$B$105,0)))),0))</f>
        <v/>
      </c>
      <c r="K210">
        <f>IF(H210="Remove now",ROW(),"")</f>
        <v/>
      </c>
    </row>
    <row r="211">
      <c r="A211" s="1" t="n"/>
      <c r="B211" s="20" t="n"/>
      <c r="C211" s="21" t="n"/>
      <c r="D211" s="22" t="n"/>
      <c r="E211" s="25" t="n"/>
      <c r="F211" s="25" t="n"/>
      <c r="G211" s="1">
        <f>IF(OR(B211="",C211=""),"",IF(AND(F211&lt;&gt;"",F211&lt;=TODAY()),0,1))</f>
        <v/>
      </c>
      <c r="H211" s="14">
        <f>IF(OR(B211="",C211=""),"",IF(G211=0,"Removed",IF(AND(I211&lt;&gt;"",I211&lt;=TODAY()),"Remove now","Active")))</f>
        <v/>
      </c>
      <c r="I211" s="1">
        <f>IFERROR(IF(INDEX(Team!$E$6:$E$105,MATCH(B211,Team!$B$6:$B$105,0))="","",INDEX(Team!$E$6:$E$105,MATCH(B211,Team!$B$6:$B$105,0))),"")</f>
        <v/>
      </c>
      <c r="J211">
        <f>IF(G211&lt;&gt;1,0,IFERROR(IF(INDEX(Tools!$G$6:$G$105,MATCH(C211,Tools!$B$6:$B$105,0))="",0,IF(N(INDEX(Tools!$O$6:$O$105,MATCH(C211,Tools!$B$6:$B$105,0)))=0,0,N(INDEX(Tools!$F$6:$F$105,MATCH(C211,Tools!$B$6:$B$105,0)))/INDEX(Tools!$U$6:$U$105,MATCH(C211,Tools!$B$6:$B$105,0)))),0))</f>
        <v/>
      </c>
      <c r="K211">
        <f>IF(H211="Remove now",ROW(),"")</f>
        <v/>
      </c>
    </row>
    <row r="212">
      <c r="A212" s="1" t="n"/>
      <c r="B212" s="20" t="n"/>
      <c r="C212" s="21" t="n"/>
      <c r="D212" s="22" t="n"/>
      <c r="E212" s="25" t="n"/>
      <c r="F212" s="25" t="n"/>
      <c r="G212" s="1">
        <f>IF(OR(B212="",C212=""),"",IF(AND(F212&lt;&gt;"",F212&lt;=TODAY()),0,1))</f>
        <v/>
      </c>
      <c r="H212" s="14">
        <f>IF(OR(B212="",C212=""),"",IF(G212=0,"Removed",IF(AND(I212&lt;&gt;"",I212&lt;=TODAY()),"Remove now","Active")))</f>
        <v/>
      </c>
      <c r="I212" s="1">
        <f>IFERROR(IF(INDEX(Team!$E$6:$E$105,MATCH(B212,Team!$B$6:$B$105,0))="","",INDEX(Team!$E$6:$E$105,MATCH(B212,Team!$B$6:$B$105,0))),"")</f>
        <v/>
      </c>
      <c r="J212">
        <f>IF(G212&lt;&gt;1,0,IFERROR(IF(INDEX(Tools!$G$6:$G$105,MATCH(C212,Tools!$B$6:$B$105,0))="",0,IF(N(INDEX(Tools!$O$6:$O$105,MATCH(C212,Tools!$B$6:$B$105,0)))=0,0,N(INDEX(Tools!$F$6:$F$105,MATCH(C212,Tools!$B$6:$B$105,0)))/INDEX(Tools!$U$6:$U$105,MATCH(C212,Tools!$B$6:$B$105,0)))),0))</f>
        <v/>
      </c>
      <c r="K212">
        <f>IF(H212="Remove now",ROW(),"")</f>
        <v/>
      </c>
    </row>
    <row r="213">
      <c r="A213" s="1" t="n"/>
      <c r="B213" s="20" t="n"/>
      <c r="C213" s="21" t="n"/>
      <c r="D213" s="22" t="n"/>
      <c r="E213" s="25" t="n"/>
      <c r="F213" s="25" t="n"/>
      <c r="G213" s="1">
        <f>IF(OR(B213="",C213=""),"",IF(AND(F213&lt;&gt;"",F213&lt;=TODAY()),0,1))</f>
        <v/>
      </c>
      <c r="H213" s="14">
        <f>IF(OR(B213="",C213=""),"",IF(G213=0,"Removed",IF(AND(I213&lt;&gt;"",I213&lt;=TODAY()),"Remove now","Active")))</f>
        <v/>
      </c>
      <c r="I213" s="1">
        <f>IFERROR(IF(INDEX(Team!$E$6:$E$105,MATCH(B213,Team!$B$6:$B$105,0))="","",INDEX(Team!$E$6:$E$105,MATCH(B213,Team!$B$6:$B$105,0))),"")</f>
        <v/>
      </c>
      <c r="J213">
        <f>IF(G213&lt;&gt;1,0,IFERROR(IF(INDEX(Tools!$G$6:$G$105,MATCH(C213,Tools!$B$6:$B$105,0))="",0,IF(N(INDEX(Tools!$O$6:$O$105,MATCH(C213,Tools!$B$6:$B$105,0)))=0,0,N(INDEX(Tools!$F$6:$F$105,MATCH(C213,Tools!$B$6:$B$105,0)))/INDEX(Tools!$U$6:$U$105,MATCH(C213,Tools!$B$6:$B$105,0)))),0))</f>
        <v/>
      </c>
      <c r="K213">
        <f>IF(H213="Remove now",ROW(),"")</f>
        <v/>
      </c>
    </row>
    <row r="214">
      <c r="A214" s="1" t="n"/>
      <c r="B214" s="20" t="n"/>
      <c r="C214" s="21" t="n"/>
      <c r="D214" s="22" t="n"/>
      <c r="E214" s="25" t="n"/>
      <c r="F214" s="25" t="n"/>
      <c r="G214" s="1">
        <f>IF(OR(B214="",C214=""),"",IF(AND(F214&lt;&gt;"",F214&lt;=TODAY()),0,1))</f>
        <v/>
      </c>
      <c r="H214" s="14">
        <f>IF(OR(B214="",C214=""),"",IF(G214=0,"Removed",IF(AND(I214&lt;&gt;"",I214&lt;=TODAY()),"Remove now","Active")))</f>
        <v/>
      </c>
      <c r="I214" s="1">
        <f>IFERROR(IF(INDEX(Team!$E$6:$E$105,MATCH(B214,Team!$B$6:$B$105,0))="","",INDEX(Team!$E$6:$E$105,MATCH(B214,Team!$B$6:$B$105,0))),"")</f>
        <v/>
      </c>
      <c r="J214">
        <f>IF(G214&lt;&gt;1,0,IFERROR(IF(INDEX(Tools!$G$6:$G$105,MATCH(C214,Tools!$B$6:$B$105,0))="",0,IF(N(INDEX(Tools!$O$6:$O$105,MATCH(C214,Tools!$B$6:$B$105,0)))=0,0,N(INDEX(Tools!$F$6:$F$105,MATCH(C214,Tools!$B$6:$B$105,0)))/INDEX(Tools!$U$6:$U$105,MATCH(C214,Tools!$B$6:$B$105,0)))),0))</f>
        <v/>
      </c>
      <c r="K214">
        <f>IF(H214="Remove now",ROW(),"")</f>
        <v/>
      </c>
    </row>
    <row r="215">
      <c r="A215" s="1" t="n"/>
      <c r="B215" s="20" t="n"/>
      <c r="C215" s="21" t="n"/>
      <c r="D215" s="22" t="n"/>
      <c r="E215" s="25" t="n"/>
      <c r="F215" s="25" t="n"/>
      <c r="G215" s="1">
        <f>IF(OR(B215="",C215=""),"",IF(AND(F215&lt;&gt;"",F215&lt;=TODAY()),0,1))</f>
        <v/>
      </c>
      <c r="H215" s="14">
        <f>IF(OR(B215="",C215=""),"",IF(G215=0,"Removed",IF(AND(I215&lt;&gt;"",I215&lt;=TODAY()),"Remove now","Active")))</f>
        <v/>
      </c>
      <c r="I215" s="1">
        <f>IFERROR(IF(INDEX(Team!$E$6:$E$105,MATCH(B215,Team!$B$6:$B$105,0))="","",INDEX(Team!$E$6:$E$105,MATCH(B215,Team!$B$6:$B$105,0))),"")</f>
        <v/>
      </c>
      <c r="J215">
        <f>IF(G215&lt;&gt;1,0,IFERROR(IF(INDEX(Tools!$G$6:$G$105,MATCH(C215,Tools!$B$6:$B$105,0))="",0,IF(N(INDEX(Tools!$O$6:$O$105,MATCH(C215,Tools!$B$6:$B$105,0)))=0,0,N(INDEX(Tools!$F$6:$F$105,MATCH(C215,Tools!$B$6:$B$105,0)))/INDEX(Tools!$U$6:$U$105,MATCH(C215,Tools!$B$6:$B$105,0)))),0))</f>
        <v/>
      </c>
      <c r="K215">
        <f>IF(H215="Remove now",ROW(),"")</f>
        <v/>
      </c>
    </row>
    <row r="216">
      <c r="A216" s="1" t="n"/>
      <c r="B216" s="20" t="n"/>
      <c r="C216" s="21" t="n"/>
      <c r="D216" s="22" t="n"/>
      <c r="E216" s="25" t="n"/>
      <c r="F216" s="25" t="n"/>
      <c r="G216" s="1">
        <f>IF(OR(B216="",C216=""),"",IF(AND(F216&lt;&gt;"",F216&lt;=TODAY()),0,1))</f>
        <v/>
      </c>
      <c r="H216" s="14">
        <f>IF(OR(B216="",C216=""),"",IF(G216=0,"Removed",IF(AND(I216&lt;&gt;"",I216&lt;=TODAY()),"Remove now","Active")))</f>
        <v/>
      </c>
      <c r="I216" s="1">
        <f>IFERROR(IF(INDEX(Team!$E$6:$E$105,MATCH(B216,Team!$B$6:$B$105,0))="","",INDEX(Team!$E$6:$E$105,MATCH(B216,Team!$B$6:$B$105,0))),"")</f>
        <v/>
      </c>
      <c r="J216">
        <f>IF(G216&lt;&gt;1,0,IFERROR(IF(INDEX(Tools!$G$6:$G$105,MATCH(C216,Tools!$B$6:$B$105,0))="",0,IF(N(INDEX(Tools!$O$6:$O$105,MATCH(C216,Tools!$B$6:$B$105,0)))=0,0,N(INDEX(Tools!$F$6:$F$105,MATCH(C216,Tools!$B$6:$B$105,0)))/INDEX(Tools!$U$6:$U$105,MATCH(C216,Tools!$B$6:$B$105,0)))),0))</f>
        <v/>
      </c>
      <c r="K216">
        <f>IF(H216="Remove now",ROW(),"")</f>
        <v/>
      </c>
    </row>
    <row r="217">
      <c r="A217" s="1" t="n"/>
      <c r="B217" s="20" t="n"/>
      <c r="C217" s="21" t="n"/>
      <c r="D217" s="22" t="n"/>
      <c r="E217" s="25" t="n"/>
      <c r="F217" s="25" t="n"/>
      <c r="G217" s="1">
        <f>IF(OR(B217="",C217=""),"",IF(AND(F217&lt;&gt;"",F217&lt;=TODAY()),0,1))</f>
        <v/>
      </c>
      <c r="H217" s="14">
        <f>IF(OR(B217="",C217=""),"",IF(G217=0,"Removed",IF(AND(I217&lt;&gt;"",I217&lt;=TODAY()),"Remove now","Active")))</f>
        <v/>
      </c>
      <c r="I217" s="1">
        <f>IFERROR(IF(INDEX(Team!$E$6:$E$105,MATCH(B217,Team!$B$6:$B$105,0))="","",INDEX(Team!$E$6:$E$105,MATCH(B217,Team!$B$6:$B$105,0))),"")</f>
        <v/>
      </c>
      <c r="J217">
        <f>IF(G217&lt;&gt;1,0,IFERROR(IF(INDEX(Tools!$G$6:$G$105,MATCH(C217,Tools!$B$6:$B$105,0))="",0,IF(N(INDEX(Tools!$O$6:$O$105,MATCH(C217,Tools!$B$6:$B$105,0)))=0,0,N(INDEX(Tools!$F$6:$F$105,MATCH(C217,Tools!$B$6:$B$105,0)))/INDEX(Tools!$U$6:$U$105,MATCH(C217,Tools!$B$6:$B$105,0)))),0))</f>
        <v/>
      </c>
      <c r="K217">
        <f>IF(H217="Remove now",ROW(),"")</f>
        <v/>
      </c>
    </row>
    <row r="218">
      <c r="A218" s="1" t="n"/>
      <c r="B218" s="20" t="n"/>
      <c r="C218" s="21" t="n"/>
      <c r="D218" s="22" t="n"/>
      <c r="E218" s="25" t="n"/>
      <c r="F218" s="25" t="n"/>
      <c r="G218" s="1">
        <f>IF(OR(B218="",C218=""),"",IF(AND(F218&lt;&gt;"",F218&lt;=TODAY()),0,1))</f>
        <v/>
      </c>
      <c r="H218" s="14">
        <f>IF(OR(B218="",C218=""),"",IF(G218=0,"Removed",IF(AND(I218&lt;&gt;"",I218&lt;=TODAY()),"Remove now","Active")))</f>
        <v/>
      </c>
      <c r="I218" s="1">
        <f>IFERROR(IF(INDEX(Team!$E$6:$E$105,MATCH(B218,Team!$B$6:$B$105,0))="","",INDEX(Team!$E$6:$E$105,MATCH(B218,Team!$B$6:$B$105,0))),"")</f>
        <v/>
      </c>
      <c r="J218">
        <f>IF(G218&lt;&gt;1,0,IFERROR(IF(INDEX(Tools!$G$6:$G$105,MATCH(C218,Tools!$B$6:$B$105,0))="",0,IF(N(INDEX(Tools!$O$6:$O$105,MATCH(C218,Tools!$B$6:$B$105,0)))=0,0,N(INDEX(Tools!$F$6:$F$105,MATCH(C218,Tools!$B$6:$B$105,0)))/INDEX(Tools!$U$6:$U$105,MATCH(C218,Tools!$B$6:$B$105,0)))),0))</f>
        <v/>
      </c>
      <c r="K218">
        <f>IF(H218="Remove now",ROW(),"")</f>
        <v/>
      </c>
    </row>
    <row r="219">
      <c r="A219" s="1" t="n"/>
      <c r="B219" s="20" t="n"/>
      <c r="C219" s="21" t="n"/>
      <c r="D219" s="22" t="n"/>
      <c r="E219" s="25" t="n"/>
      <c r="F219" s="25" t="n"/>
      <c r="G219" s="1">
        <f>IF(OR(B219="",C219=""),"",IF(AND(F219&lt;&gt;"",F219&lt;=TODAY()),0,1))</f>
        <v/>
      </c>
      <c r="H219" s="14">
        <f>IF(OR(B219="",C219=""),"",IF(G219=0,"Removed",IF(AND(I219&lt;&gt;"",I219&lt;=TODAY()),"Remove now","Active")))</f>
        <v/>
      </c>
      <c r="I219" s="1">
        <f>IFERROR(IF(INDEX(Team!$E$6:$E$105,MATCH(B219,Team!$B$6:$B$105,0))="","",INDEX(Team!$E$6:$E$105,MATCH(B219,Team!$B$6:$B$105,0))),"")</f>
        <v/>
      </c>
      <c r="J219">
        <f>IF(G219&lt;&gt;1,0,IFERROR(IF(INDEX(Tools!$G$6:$G$105,MATCH(C219,Tools!$B$6:$B$105,0))="",0,IF(N(INDEX(Tools!$O$6:$O$105,MATCH(C219,Tools!$B$6:$B$105,0)))=0,0,N(INDEX(Tools!$F$6:$F$105,MATCH(C219,Tools!$B$6:$B$105,0)))/INDEX(Tools!$U$6:$U$105,MATCH(C219,Tools!$B$6:$B$105,0)))),0))</f>
        <v/>
      </c>
      <c r="K219">
        <f>IF(H219="Remove now",ROW(),"")</f>
        <v/>
      </c>
    </row>
    <row r="220">
      <c r="A220" s="1" t="n"/>
      <c r="B220" s="20" t="n"/>
      <c r="C220" s="21" t="n"/>
      <c r="D220" s="22" t="n"/>
      <c r="E220" s="25" t="n"/>
      <c r="F220" s="25" t="n"/>
      <c r="G220" s="1">
        <f>IF(OR(B220="",C220=""),"",IF(AND(F220&lt;&gt;"",F220&lt;=TODAY()),0,1))</f>
        <v/>
      </c>
      <c r="H220" s="14">
        <f>IF(OR(B220="",C220=""),"",IF(G220=0,"Removed",IF(AND(I220&lt;&gt;"",I220&lt;=TODAY()),"Remove now","Active")))</f>
        <v/>
      </c>
      <c r="I220" s="1">
        <f>IFERROR(IF(INDEX(Team!$E$6:$E$105,MATCH(B220,Team!$B$6:$B$105,0))="","",INDEX(Team!$E$6:$E$105,MATCH(B220,Team!$B$6:$B$105,0))),"")</f>
        <v/>
      </c>
      <c r="J220">
        <f>IF(G220&lt;&gt;1,0,IFERROR(IF(INDEX(Tools!$G$6:$G$105,MATCH(C220,Tools!$B$6:$B$105,0))="",0,IF(N(INDEX(Tools!$O$6:$O$105,MATCH(C220,Tools!$B$6:$B$105,0)))=0,0,N(INDEX(Tools!$F$6:$F$105,MATCH(C220,Tools!$B$6:$B$105,0)))/INDEX(Tools!$U$6:$U$105,MATCH(C220,Tools!$B$6:$B$105,0)))),0))</f>
        <v/>
      </c>
      <c r="K220">
        <f>IF(H220="Remove now",ROW(),"")</f>
        <v/>
      </c>
    </row>
    <row r="221">
      <c r="A221" s="1" t="n"/>
      <c r="B221" s="20" t="n"/>
      <c r="C221" s="21" t="n"/>
      <c r="D221" s="22" t="n"/>
      <c r="E221" s="25" t="n"/>
      <c r="F221" s="25" t="n"/>
      <c r="G221" s="1">
        <f>IF(OR(B221="",C221=""),"",IF(AND(F221&lt;&gt;"",F221&lt;=TODAY()),0,1))</f>
        <v/>
      </c>
      <c r="H221" s="14">
        <f>IF(OR(B221="",C221=""),"",IF(G221=0,"Removed",IF(AND(I221&lt;&gt;"",I221&lt;=TODAY()),"Remove now","Active")))</f>
        <v/>
      </c>
      <c r="I221" s="1">
        <f>IFERROR(IF(INDEX(Team!$E$6:$E$105,MATCH(B221,Team!$B$6:$B$105,0))="","",INDEX(Team!$E$6:$E$105,MATCH(B221,Team!$B$6:$B$105,0))),"")</f>
        <v/>
      </c>
      <c r="J221">
        <f>IF(G221&lt;&gt;1,0,IFERROR(IF(INDEX(Tools!$G$6:$G$105,MATCH(C221,Tools!$B$6:$B$105,0))="",0,IF(N(INDEX(Tools!$O$6:$O$105,MATCH(C221,Tools!$B$6:$B$105,0)))=0,0,N(INDEX(Tools!$F$6:$F$105,MATCH(C221,Tools!$B$6:$B$105,0)))/INDEX(Tools!$U$6:$U$105,MATCH(C221,Tools!$B$6:$B$105,0)))),0))</f>
        <v/>
      </c>
      <c r="K221">
        <f>IF(H221="Remove now",ROW(),"")</f>
        <v/>
      </c>
    </row>
    <row r="222">
      <c r="A222" s="1" t="n"/>
      <c r="B222" s="20" t="n"/>
      <c r="C222" s="21" t="n"/>
      <c r="D222" s="22" t="n"/>
      <c r="E222" s="25" t="n"/>
      <c r="F222" s="25" t="n"/>
      <c r="G222" s="1">
        <f>IF(OR(B222="",C222=""),"",IF(AND(F222&lt;&gt;"",F222&lt;=TODAY()),0,1))</f>
        <v/>
      </c>
      <c r="H222" s="14">
        <f>IF(OR(B222="",C222=""),"",IF(G222=0,"Removed",IF(AND(I222&lt;&gt;"",I222&lt;=TODAY()),"Remove now","Active")))</f>
        <v/>
      </c>
      <c r="I222" s="1">
        <f>IFERROR(IF(INDEX(Team!$E$6:$E$105,MATCH(B222,Team!$B$6:$B$105,0))="","",INDEX(Team!$E$6:$E$105,MATCH(B222,Team!$B$6:$B$105,0))),"")</f>
        <v/>
      </c>
      <c r="J222">
        <f>IF(G222&lt;&gt;1,0,IFERROR(IF(INDEX(Tools!$G$6:$G$105,MATCH(C222,Tools!$B$6:$B$105,0))="",0,IF(N(INDEX(Tools!$O$6:$O$105,MATCH(C222,Tools!$B$6:$B$105,0)))=0,0,N(INDEX(Tools!$F$6:$F$105,MATCH(C222,Tools!$B$6:$B$105,0)))/INDEX(Tools!$U$6:$U$105,MATCH(C222,Tools!$B$6:$B$105,0)))),0))</f>
        <v/>
      </c>
      <c r="K222">
        <f>IF(H222="Remove now",ROW(),"")</f>
        <v/>
      </c>
    </row>
    <row r="223">
      <c r="A223" s="1" t="n"/>
      <c r="B223" s="20" t="n"/>
      <c r="C223" s="21" t="n"/>
      <c r="D223" s="22" t="n"/>
      <c r="E223" s="25" t="n"/>
      <c r="F223" s="25" t="n"/>
      <c r="G223" s="1">
        <f>IF(OR(B223="",C223=""),"",IF(AND(F223&lt;&gt;"",F223&lt;=TODAY()),0,1))</f>
        <v/>
      </c>
      <c r="H223" s="14">
        <f>IF(OR(B223="",C223=""),"",IF(G223=0,"Removed",IF(AND(I223&lt;&gt;"",I223&lt;=TODAY()),"Remove now","Active")))</f>
        <v/>
      </c>
      <c r="I223" s="1">
        <f>IFERROR(IF(INDEX(Team!$E$6:$E$105,MATCH(B223,Team!$B$6:$B$105,0))="","",INDEX(Team!$E$6:$E$105,MATCH(B223,Team!$B$6:$B$105,0))),"")</f>
        <v/>
      </c>
      <c r="J223">
        <f>IF(G223&lt;&gt;1,0,IFERROR(IF(INDEX(Tools!$G$6:$G$105,MATCH(C223,Tools!$B$6:$B$105,0))="",0,IF(N(INDEX(Tools!$O$6:$O$105,MATCH(C223,Tools!$B$6:$B$105,0)))=0,0,N(INDEX(Tools!$F$6:$F$105,MATCH(C223,Tools!$B$6:$B$105,0)))/INDEX(Tools!$U$6:$U$105,MATCH(C223,Tools!$B$6:$B$105,0)))),0))</f>
        <v/>
      </c>
      <c r="K223">
        <f>IF(H223="Remove now",ROW(),"")</f>
        <v/>
      </c>
    </row>
    <row r="224">
      <c r="A224" s="1" t="n"/>
      <c r="B224" s="20" t="n"/>
      <c r="C224" s="21" t="n"/>
      <c r="D224" s="22" t="n"/>
      <c r="E224" s="25" t="n"/>
      <c r="F224" s="25" t="n"/>
      <c r="G224" s="1">
        <f>IF(OR(B224="",C224=""),"",IF(AND(F224&lt;&gt;"",F224&lt;=TODAY()),0,1))</f>
        <v/>
      </c>
      <c r="H224" s="14">
        <f>IF(OR(B224="",C224=""),"",IF(G224=0,"Removed",IF(AND(I224&lt;&gt;"",I224&lt;=TODAY()),"Remove now","Active")))</f>
        <v/>
      </c>
      <c r="I224" s="1">
        <f>IFERROR(IF(INDEX(Team!$E$6:$E$105,MATCH(B224,Team!$B$6:$B$105,0))="","",INDEX(Team!$E$6:$E$105,MATCH(B224,Team!$B$6:$B$105,0))),"")</f>
        <v/>
      </c>
      <c r="J224">
        <f>IF(G224&lt;&gt;1,0,IFERROR(IF(INDEX(Tools!$G$6:$G$105,MATCH(C224,Tools!$B$6:$B$105,0))="",0,IF(N(INDEX(Tools!$O$6:$O$105,MATCH(C224,Tools!$B$6:$B$105,0)))=0,0,N(INDEX(Tools!$F$6:$F$105,MATCH(C224,Tools!$B$6:$B$105,0)))/INDEX(Tools!$U$6:$U$105,MATCH(C224,Tools!$B$6:$B$105,0)))),0))</f>
        <v/>
      </c>
      <c r="K224">
        <f>IF(H224="Remove now",ROW(),"")</f>
        <v/>
      </c>
    </row>
    <row r="225">
      <c r="A225" s="1" t="n"/>
      <c r="B225" s="20" t="n"/>
      <c r="C225" s="21" t="n"/>
      <c r="D225" s="22" t="n"/>
      <c r="E225" s="25" t="n"/>
      <c r="F225" s="25" t="n"/>
      <c r="G225" s="1">
        <f>IF(OR(B225="",C225=""),"",IF(AND(F225&lt;&gt;"",F225&lt;=TODAY()),0,1))</f>
        <v/>
      </c>
      <c r="H225" s="14">
        <f>IF(OR(B225="",C225=""),"",IF(G225=0,"Removed",IF(AND(I225&lt;&gt;"",I225&lt;=TODAY()),"Remove now","Active")))</f>
        <v/>
      </c>
      <c r="I225" s="1">
        <f>IFERROR(IF(INDEX(Team!$E$6:$E$105,MATCH(B225,Team!$B$6:$B$105,0))="","",INDEX(Team!$E$6:$E$105,MATCH(B225,Team!$B$6:$B$105,0))),"")</f>
        <v/>
      </c>
      <c r="J225">
        <f>IF(G225&lt;&gt;1,0,IFERROR(IF(INDEX(Tools!$G$6:$G$105,MATCH(C225,Tools!$B$6:$B$105,0))="",0,IF(N(INDEX(Tools!$O$6:$O$105,MATCH(C225,Tools!$B$6:$B$105,0)))=0,0,N(INDEX(Tools!$F$6:$F$105,MATCH(C225,Tools!$B$6:$B$105,0)))/INDEX(Tools!$U$6:$U$105,MATCH(C225,Tools!$B$6:$B$105,0)))),0))</f>
        <v/>
      </c>
      <c r="K225">
        <f>IF(H225="Remove now",ROW(),"")</f>
        <v/>
      </c>
    </row>
    <row r="226">
      <c r="A226" s="1" t="n"/>
      <c r="B226" s="20" t="n"/>
      <c r="C226" s="21" t="n"/>
      <c r="D226" s="22" t="n"/>
      <c r="E226" s="25" t="n"/>
      <c r="F226" s="25" t="n"/>
      <c r="G226" s="1">
        <f>IF(OR(B226="",C226=""),"",IF(AND(F226&lt;&gt;"",F226&lt;=TODAY()),0,1))</f>
        <v/>
      </c>
      <c r="H226" s="14">
        <f>IF(OR(B226="",C226=""),"",IF(G226=0,"Removed",IF(AND(I226&lt;&gt;"",I226&lt;=TODAY()),"Remove now","Active")))</f>
        <v/>
      </c>
      <c r="I226" s="1">
        <f>IFERROR(IF(INDEX(Team!$E$6:$E$105,MATCH(B226,Team!$B$6:$B$105,0))="","",INDEX(Team!$E$6:$E$105,MATCH(B226,Team!$B$6:$B$105,0))),"")</f>
        <v/>
      </c>
      <c r="J226">
        <f>IF(G226&lt;&gt;1,0,IFERROR(IF(INDEX(Tools!$G$6:$G$105,MATCH(C226,Tools!$B$6:$B$105,0))="",0,IF(N(INDEX(Tools!$O$6:$O$105,MATCH(C226,Tools!$B$6:$B$105,0)))=0,0,N(INDEX(Tools!$F$6:$F$105,MATCH(C226,Tools!$B$6:$B$105,0)))/INDEX(Tools!$U$6:$U$105,MATCH(C226,Tools!$B$6:$B$105,0)))),0))</f>
        <v/>
      </c>
      <c r="K226">
        <f>IF(H226="Remove now",ROW(),"")</f>
        <v/>
      </c>
    </row>
    <row r="227">
      <c r="A227" s="1" t="n"/>
      <c r="B227" s="20" t="n"/>
      <c r="C227" s="21" t="n"/>
      <c r="D227" s="22" t="n"/>
      <c r="E227" s="25" t="n"/>
      <c r="F227" s="25" t="n"/>
      <c r="G227" s="1">
        <f>IF(OR(B227="",C227=""),"",IF(AND(F227&lt;&gt;"",F227&lt;=TODAY()),0,1))</f>
        <v/>
      </c>
      <c r="H227" s="14">
        <f>IF(OR(B227="",C227=""),"",IF(G227=0,"Removed",IF(AND(I227&lt;&gt;"",I227&lt;=TODAY()),"Remove now","Active")))</f>
        <v/>
      </c>
      <c r="I227" s="1">
        <f>IFERROR(IF(INDEX(Team!$E$6:$E$105,MATCH(B227,Team!$B$6:$B$105,0))="","",INDEX(Team!$E$6:$E$105,MATCH(B227,Team!$B$6:$B$105,0))),"")</f>
        <v/>
      </c>
      <c r="J227">
        <f>IF(G227&lt;&gt;1,0,IFERROR(IF(INDEX(Tools!$G$6:$G$105,MATCH(C227,Tools!$B$6:$B$105,0))="",0,IF(N(INDEX(Tools!$O$6:$O$105,MATCH(C227,Tools!$B$6:$B$105,0)))=0,0,N(INDEX(Tools!$F$6:$F$105,MATCH(C227,Tools!$B$6:$B$105,0)))/INDEX(Tools!$U$6:$U$105,MATCH(C227,Tools!$B$6:$B$105,0)))),0))</f>
        <v/>
      </c>
      <c r="K227">
        <f>IF(H227="Remove now",ROW(),"")</f>
        <v/>
      </c>
    </row>
    <row r="228">
      <c r="A228" s="1" t="n"/>
      <c r="B228" s="20" t="n"/>
      <c r="C228" s="21" t="n"/>
      <c r="D228" s="22" t="n"/>
      <c r="E228" s="25" t="n"/>
      <c r="F228" s="25" t="n"/>
      <c r="G228" s="1">
        <f>IF(OR(B228="",C228=""),"",IF(AND(F228&lt;&gt;"",F228&lt;=TODAY()),0,1))</f>
        <v/>
      </c>
      <c r="H228" s="14">
        <f>IF(OR(B228="",C228=""),"",IF(G228=0,"Removed",IF(AND(I228&lt;&gt;"",I228&lt;=TODAY()),"Remove now","Active")))</f>
        <v/>
      </c>
      <c r="I228" s="1">
        <f>IFERROR(IF(INDEX(Team!$E$6:$E$105,MATCH(B228,Team!$B$6:$B$105,0))="","",INDEX(Team!$E$6:$E$105,MATCH(B228,Team!$B$6:$B$105,0))),"")</f>
        <v/>
      </c>
      <c r="J228">
        <f>IF(G228&lt;&gt;1,0,IFERROR(IF(INDEX(Tools!$G$6:$G$105,MATCH(C228,Tools!$B$6:$B$105,0))="",0,IF(N(INDEX(Tools!$O$6:$O$105,MATCH(C228,Tools!$B$6:$B$105,0)))=0,0,N(INDEX(Tools!$F$6:$F$105,MATCH(C228,Tools!$B$6:$B$105,0)))/INDEX(Tools!$U$6:$U$105,MATCH(C228,Tools!$B$6:$B$105,0)))),0))</f>
        <v/>
      </c>
      <c r="K228">
        <f>IF(H228="Remove now",ROW(),"")</f>
        <v/>
      </c>
    </row>
    <row r="229">
      <c r="A229" s="1" t="n"/>
      <c r="B229" s="20" t="n"/>
      <c r="C229" s="21" t="n"/>
      <c r="D229" s="22" t="n"/>
      <c r="E229" s="25" t="n"/>
      <c r="F229" s="25" t="n"/>
      <c r="G229" s="1">
        <f>IF(OR(B229="",C229=""),"",IF(AND(F229&lt;&gt;"",F229&lt;=TODAY()),0,1))</f>
        <v/>
      </c>
      <c r="H229" s="14">
        <f>IF(OR(B229="",C229=""),"",IF(G229=0,"Removed",IF(AND(I229&lt;&gt;"",I229&lt;=TODAY()),"Remove now","Active")))</f>
        <v/>
      </c>
      <c r="I229" s="1">
        <f>IFERROR(IF(INDEX(Team!$E$6:$E$105,MATCH(B229,Team!$B$6:$B$105,0))="","",INDEX(Team!$E$6:$E$105,MATCH(B229,Team!$B$6:$B$105,0))),"")</f>
        <v/>
      </c>
      <c r="J229">
        <f>IF(G229&lt;&gt;1,0,IFERROR(IF(INDEX(Tools!$G$6:$G$105,MATCH(C229,Tools!$B$6:$B$105,0))="",0,IF(N(INDEX(Tools!$O$6:$O$105,MATCH(C229,Tools!$B$6:$B$105,0)))=0,0,N(INDEX(Tools!$F$6:$F$105,MATCH(C229,Tools!$B$6:$B$105,0)))/INDEX(Tools!$U$6:$U$105,MATCH(C229,Tools!$B$6:$B$105,0)))),0))</f>
        <v/>
      </c>
      <c r="K229">
        <f>IF(H229="Remove now",ROW(),"")</f>
        <v/>
      </c>
    </row>
    <row r="230">
      <c r="A230" s="1" t="n"/>
      <c r="B230" s="20" t="n"/>
      <c r="C230" s="21" t="n"/>
      <c r="D230" s="22" t="n"/>
      <c r="E230" s="25" t="n"/>
      <c r="F230" s="25" t="n"/>
      <c r="G230" s="1">
        <f>IF(OR(B230="",C230=""),"",IF(AND(F230&lt;&gt;"",F230&lt;=TODAY()),0,1))</f>
        <v/>
      </c>
      <c r="H230" s="14">
        <f>IF(OR(B230="",C230=""),"",IF(G230=0,"Removed",IF(AND(I230&lt;&gt;"",I230&lt;=TODAY()),"Remove now","Active")))</f>
        <v/>
      </c>
      <c r="I230" s="1">
        <f>IFERROR(IF(INDEX(Team!$E$6:$E$105,MATCH(B230,Team!$B$6:$B$105,0))="","",INDEX(Team!$E$6:$E$105,MATCH(B230,Team!$B$6:$B$105,0))),"")</f>
        <v/>
      </c>
      <c r="J230">
        <f>IF(G230&lt;&gt;1,0,IFERROR(IF(INDEX(Tools!$G$6:$G$105,MATCH(C230,Tools!$B$6:$B$105,0))="",0,IF(N(INDEX(Tools!$O$6:$O$105,MATCH(C230,Tools!$B$6:$B$105,0)))=0,0,N(INDEX(Tools!$F$6:$F$105,MATCH(C230,Tools!$B$6:$B$105,0)))/INDEX(Tools!$U$6:$U$105,MATCH(C230,Tools!$B$6:$B$105,0)))),0))</f>
        <v/>
      </c>
      <c r="K230">
        <f>IF(H230="Remove now",ROW(),"")</f>
        <v/>
      </c>
    </row>
    <row r="231">
      <c r="A231" s="1" t="n"/>
      <c r="B231" s="20" t="n"/>
      <c r="C231" s="21" t="n"/>
      <c r="D231" s="22" t="n"/>
      <c r="E231" s="25" t="n"/>
      <c r="F231" s="25" t="n"/>
      <c r="G231" s="1">
        <f>IF(OR(B231="",C231=""),"",IF(AND(F231&lt;&gt;"",F231&lt;=TODAY()),0,1))</f>
        <v/>
      </c>
      <c r="H231" s="14">
        <f>IF(OR(B231="",C231=""),"",IF(G231=0,"Removed",IF(AND(I231&lt;&gt;"",I231&lt;=TODAY()),"Remove now","Active")))</f>
        <v/>
      </c>
      <c r="I231" s="1">
        <f>IFERROR(IF(INDEX(Team!$E$6:$E$105,MATCH(B231,Team!$B$6:$B$105,0))="","",INDEX(Team!$E$6:$E$105,MATCH(B231,Team!$B$6:$B$105,0))),"")</f>
        <v/>
      </c>
      <c r="J231">
        <f>IF(G231&lt;&gt;1,0,IFERROR(IF(INDEX(Tools!$G$6:$G$105,MATCH(C231,Tools!$B$6:$B$105,0))="",0,IF(N(INDEX(Tools!$O$6:$O$105,MATCH(C231,Tools!$B$6:$B$105,0)))=0,0,N(INDEX(Tools!$F$6:$F$105,MATCH(C231,Tools!$B$6:$B$105,0)))/INDEX(Tools!$U$6:$U$105,MATCH(C231,Tools!$B$6:$B$105,0)))),0))</f>
        <v/>
      </c>
      <c r="K231">
        <f>IF(H231="Remove now",ROW(),"")</f>
        <v/>
      </c>
    </row>
    <row r="232">
      <c r="A232" s="1" t="n"/>
      <c r="B232" s="20" t="n"/>
      <c r="C232" s="21" t="n"/>
      <c r="D232" s="22" t="n"/>
      <c r="E232" s="25" t="n"/>
      <c r="F232" s="25" t="n"/>
      <c r="G232" s="1">
        <f>IF(OR(B232="",C232=""),"",IF(AND(F232&lt;&gt;"",F232&lt;=TODAY()),0,1))</f>
        <v/>
      </c>
      <c r="H232" s="14">
        <f>IF(OR(B232="",C232=""),"",IF(G232=0,"Removed",IF(AND(I232&lt;&gt;"",I232&lt;=TODAY()),"Remove now","Active")))</f>
        <v/>
      </c>
      <c r="I232" s="1">
        <f>IFERROR(IF(INDEX(Team!$E$6:$E$105,MATCH(B232,Team!$B$6:$B$105,0))="","",INDEX(Team!$E$6:$E$105,MATCH(B232,Team!$B$6:$B$105,0))),"")</f>
        <v/>
      </c>
      <c r="J232">
        <f>IF(G232&lt;&gt;1,0,IFERROR(IF(INDEX(Tools!$G$6:$G$105,MATCH(C232,Tools!$B$6:$B$105,0))="",0,IF(N(INDEX(Tools!$O$6:$O$105,MATCH(C232,Tools!$B$6:$B$105,0)))=0,0,N(INDEX(Tools!$F$6:$F$105,MATCH(C232,Tools!$B$6:$B$105,0)))/INDEX(Tools!$U$6:$U$105,MATCH(C232,Tools!$B$6:$B$105,0)))),0))</f>
        <v/>
      </c>
      <c r="K232">
        <f>IF(H232="Remove now",ROW(),"")</f>
        <v/>
      </c>
    </row>
    <row r="233">
      <c r="A233" s="1" t="n"/>
      <c r="B233" s="20" t="n"/>
      <c r="C233" s="21" t="n"/>
      <c r="D233" s="22" t="n"/>
      <c r="E233" s="25" t="n"/>
      <c r="F233" s="25" t="n"/>
      <c r="G233" s="1">
        <f>IF(OR(B233="",C233=""),"",IF(AND(F233&lt;&gt;"",F233&lt;=TODAY()),0,1))</f>
        <v/>
      </c>
      <c r="H233" s="14">
        <f>IF(OR(B233="",C233=""),"",IF(G233=0,"Removed",IF(AND(I233&lt;&gt;"",I233&lt;=TODAY()),"Remove now","Active")))</f>
        <v/>
      </c>
      <c r="I233" s="1">
        <f>IFERROR(IF(INDEX(Team!$E$6:$E$105,MATCH(B233,Team!$B$6:$B$105,0))="","",INDEX(Team!$E$6:$E$105,MATCH(B233,Team!$B$6:$B$105,0))),"")</f>
        <v/>
      </c>
      <c r="J233">
        <f>IF(G233&lt;&gt;1,0,IFERROR(IF(INDEX(Tools!$G$6:$G$105,MATCH(C233,Tools!$B$6:$B$105,0))="",0,IF(N(INDEX(Tools!$O$6:$O$105,MATCH(C233,Tools!$B$6:$B$105,0)))=0,0,N(INDEX(Tools!$F$6:$F$105,MATCH(C233,Tools!$B$6:$B$105,0)))/INDEX(Tools!$U$6:$U$105,MATCH(C233,Tools!$B$6:$B$105,0)))),0))</f>
        <v/>
      </c>
      <c r="K233">
        <f>IF(H233="Remove now",ROW(),"")</f>
        <v/>
      </c>
    </row>
    <row r="234">
      <c r="A234" s="1" t="n"/>
      <c r="B234" s="20" t="n"/>
      <c r="C234" s="21" t="n"/>
      <c r="D234" s="22" t="n"/>
      <c r="E234" s="25" t="n"/>
      <c r="F234" s="25" t="n"/>
      <c r="G234" s="1">
        <f>IF(OR(B234="",C234=""),"",IF(AND(F234&lt;&gt;"",F234&lt;=TODAY()),0,1))</f>
        <v/>
      </c>
      <c r="H234" s="14">
        <f>IF(OR(B234="",C234=""),"",IF(G234=0,"Removed",IF(AND(I234&lt;&gt;"",I234&lt;=TODAY()),"Remove now","Active")))</f>
        <v/>
      </c>
      <c r="I234" s="1">
        <f>IFERROR(IF(INDEX(Team!$E$6:$E$105,MATCH(B234,Team!$B$6:$B$105,0))="","",INDEX(Team!$E$6:$E$105,MATCH(B234,Team!$B$6:$B$105,0))),"")</f>
        <v/>
      </c>
      <c r="J234">
        <f>IF(G234&lt;&gt;1,0,IFERROR(IF(INDEX(Tools!$G$6:$G$105,MATCH(C234,Tools!$B$6:$B$105,0))="",0,IF(N(INDEX(Tools!$O$6:$O$105,MATCH(C234,Tools!$B$6:$B$105,0)))=0,0,N(INDEX(Tools!$F$6:$F$105,MATCH(C234,Tools!$B$6:$B$105,0)))/INDEX(Tools!$U$6:$U$105,MATCH(C234,Tools!$B$6:$B$105,0)))),0))</f>
        <v/>
      </c>
      <c r="K234">
        <f>IF(H234="Remove now",ROW(),"")</f>
        <v/>
      </c>
    </row>
    <row r="235">
      <c r="A235" s="1" t="n"/>
      <c r="B235" s="20" t="n"/>
      <c r="C235" s="21" t="n"/>
      <c r="D235" s="22" t="n"/>
      <c r="E235" s="25" t="n"/>
      <c r="F235" s="25" t="n"/>
      <c r="G235" s="1">
        <f>IF(OR(B235="",C235=""),"",IF(AND(F235&lt;&gt;"",F235&lt;=TODAY()),0,1))</f>
        <v/>
      </c>
      <c r="H235" s="14">
        <f>IF(OR(B235="",C235=""),"",IF(G235=0,"Removed",IF(AND(I235&lt;&gt;"",I235&lt;=TODAY()),"Remove now","Active")))</f>
        <v/>
      </c>
      <c r="I235" s="1">
        <f>IFERROR(IF(INDEX(Team!$E$6:$E$105,MATCH(B235,Team!$B$6:$B$105,0))="","",INDEX(Team!$E$6:$E$105,MATCH(B235,Team!$B$6:$B$105,0))),"")</f>
        <v/>
      </c>
      <c r="J235">
        <f>IF(G235&lt;&gt;1,0,IFERROR(IF(INDEX(Tools!$G$6:$G$105,MATCH(C235,Tools!$B$6:$B$105,0))="",0,IF(N(INDEX(Tools!$O$6:$O$105,MATCH(C235,Tools!$B$6:$B$105,0)))=0,0,N(INDEX(Tools!$F$6:$F$105,MATCH(C235,Tools!$B$6:$B$105,0)))/INDEX(Tools!$U$6:$U$105,MATCH(C235,Tools!$B$6:$B$105,0)))),0))</f>
        <v/>
      </c>
      <c r="K235">
        <f>IF(H235="Remove now",ROW(),"")</f>
        <v/>
      </c>
    </row>
    <row r="236">
      <c r="A236" s="1" t="n"/>
      <c r="B236" s="20" t="n"/>
      <c r="C236" s="21" t="n"/>
      <c r="D236" s="22" t="n"/>
      <c r="E236" s="25" t="n"/>
      <c r="F236" s="25" t="n"/>
      <c r="G236" s="1">
        <f>IF(OR(B236="",C236=""),"",IF(AND(F236&lt;&gt;"",F236&lt;=TODAY()),0,1))</f>
        <v/>
      </c>
      <c r="H236" s="14">
        <f>IF(OR(B236="",C236=""),"",IF(G236=0,"Removed",IF(AND(I236&lt;&gt;"",I236&lt;=TODAY()),"Remove now","Active")))</f>
        <v/>
      </c>
      <c r="I236" s="1">
        <f>IFERROR(IF(INDEX(Team!$E$6:$E$105,MATCH(B236,Team!$B$6:$B$105,0))="","",INDEX(Team!$E$6:$E$105,MATCH(B236,Team!$B$6:$B$105,0))),"")</f>
        <v/>
      </c>
      <c r="J236">
        <f>IF(G236&lt;&gt;1,0,IFERROR(IF(INDEX(Tools!$G$6:$G$105,MATCH(C236,Tools!$B$6:$B$105,0))="",0,IF(N(INDEX(Tools!$O$6:$O$105,MATCH(C236,Tools!$B$6:$B$105,0)))=0,0,N(INDEX(Tools!$F$6:$F$105,MATCH(C236,Tools!$B$6:$B$105,0)))/INDEX(Tools!$U$6:$U$105,MATCH(C236,Tools!$B$6:$B$105,0)))),0))</f>
        <v/>
      </c>
      <c r="K236">
        <f>IF(H236="Remove now",ROW(),"")</f>
        <v/>
      </c>
    </row>
    <row r="237">
      <c r="A237" s="1" t="n"/>
      <c r="B237" s="20" t="n"/>
      <c r="C237" s="21" t="n"/>
      <c r="D237" s="22" t="n"/>
      <c r="E237" s="25" t="n"/>
      <c r="F237" s="25" t="n"/>
      <c r="G237" s="1">
        <f>IF(OR(B237="",C237=""),"",IF(AND(F237&lt;&gt;"",F237&lt;=TODAY()),0,1))</f>
        <v/>
      </c>
      <c r="H237" s="14">
        <f>IF(OR(B237="",C237=""),"",IF(G237=0,"Removed",IF(AND(I237&lt;&gt;"",I237&lt;=TODAY()),"Remove now","Active")))</f>
        <v/>
      </c>
      <c r="I237" s="1">
        <f>IFERROR(IF(INDEX(Team!$E$6:$E$105,MATCH(B237,Team!$B$6:$B$105,0))="","",INDEX(Team!$E$6:$E$105,MATCH(B237,Team!$B$6:$B$105,0))),"")</f>
        <v/>
      </c>
      <c r="J237">
        <f>IF(G237&lt;&gt;1,0,IFERROR(IF(INDEX(Tools!$G$6:$G$105,MATCH(C237,Tools!$B$6:$B$105,0))="",0,IF(N(INDEX(Tools!$O$6:$O$105,MATCH(C237,Tools!$B$6:$B$105,0)))=0,0,N(INDEX(Tools!$F$6:$F$105,MATCH(C237,Tools!$B$6:$B$105,0)))/INDEX(Tools!$U$6:$U$105,MATCH(C237,Tools!$B$6:$B$105,0)))),0))</f>
        <v/>
      </c>
      <c r="K237">
        <f>IF(H237="Remove now",ROW(),"")</f>
        <v/>
      </c>
    </row>
    <row r="238">
      <c r="A238" s="1" t="n"/>
      <c r="B238" s="20" t="n"/>
      <c r="C238" s="21" t="n"/>
      <c r="D238" s="22" t="n"/>
      <c r="E238" s="25" t="n"/>
      <c r="F238" s="25" t="n"/>
      <c r="G238" s="1">
        <f>IF(OR(B238="",C238=""),"",IF(AND(F238&lt;&gt;"",F238&lt;=TODAY()),0,1))</f>
        <v/>
      </c>
      <c r="H238" s="14">
        <f>IF(OR(B238="",C238=""),"",IF(G238=0,"Removed",IF(AND(I238&lt;&gt;"",I238&lt;=TODAY()),"Remove now","Active")))</f>
        <v/>
      </c>
      <c r="I238" s="1">
        <f>IFERROR(IF(INDEX(Team!$E$6:$E$105,MATCH(B238,Team!$B$6:$B$105,0))="","",INDEX(Team!$E$6:$E$105,MATCH(B238,Team!$B$6:$B$105,0))),"")</f>
        <v/>
      </c>
      <c r="J238">
        <f>IF(G238&lt;&gt;1,0,IFERROR(IF(INDEX(Tools!$G$6:$G$105,MATCH(C238,Tools!$B$6:$B$105,0))="",0,IF(N(INDEX(Tools!$O$6:$O$105,MATCH(C238,Tools!$B$6:$B$105,0)))=0,0,N(INDEX(Tools!$F$6:$F$105,MATCH(C238,Tools!$B$6:$B$105,0)))/INDEX(Tools!$U$6:$U$105,MATCH(C238,Tools!$B$6:$B$105,0)))),0))</f>
        <v/>
      </c>
      <c r="K238">
        <f>IF(H238="Remove now",ROW(),"")</f>
        <v/>
      </c>
    </row>
    <row r="239">
      <c r="A239" s="1" t="n"/>
      <c r="B239" s="20" t="n"/>
      <c r="C239" s="21" t="n"/>
      <c r="D239" s="22" t="n"/>
      <c r="E239" s="25" t="n"/>
      <c r="F239" s="25" t="n"/>
      <c r="G239" s="1">
        <f>IF(OR(B239="",C239=""),"",IF(AND(F239&lt;&gt;"",F239&lt;=TODAY()),0,1))</f>
        <v/>
      </c>
      <c r="H239" s="14">
        <f>IF(OR(B239="",C239=""),"",IF(G239=0,"Removed",IF(AND(I239&lt;&gt;"",I239&lt;=TODAY()),"Remove now","Active")))</f>
        <v/>
      </c>
      <c r="I239" s="1">
        <f>IFERROR(IF(INDEX(Team!$E$6:$E$105,MATCH(B239,Team!$B$6:$B$105,0))="","",INDEX(Team!$E$6:$E$105,MATCH(B239,Team!$B$6:$B$105,0))),"")</f>
        <v/>
      </c>
      <c r="J239">
        <f>IF(G239&lt;&gt;1,0,IFERROR(IF(INDEX(Tools!$G$6:$G$105,MATCH(C239,Tools!$B$6:$B$105,0))="",0,IF(N(INDEX(Tools!$O$6:$O$105,MATCH(C239,Tools!$B$6:$B$105,0)))=0,0,N(INDEX(Tools!$F$6:$F$105,MATCH(C239,Tools!$B$6:$B$105,0)))/INDEX(Tools!$U$6:$U$105,MATCH(C239,Tools!$B$6:$B$105,0)))),0))</f>
        <v/>
      </c>
      <c r="K239">
        <f>IF(H239="Remove now",ROW(),"")</f>
        <v/>
      </c>
    </row>
    <row r="240">
      <c r="A240" s="1" t="n"/>
      <c r="B240" s="20" t="n"/>
      <c r="C240" s="21" t="n"/>
      <c r="D240" s="22" t="n"/>
      <c r="E240" s="25" t="n"/>
      <c r="F240" s="25" t="n"/>
      <c r="G240" s="1">
        <f>IF(OR(B240="",C240=""),"",IF(AND(F240&lt;&gt;"",F240&lt;=TODAY()),0,1))</f>
        <v/>
      </c>
      <c r="H240" s="14">
        <f>IF(OR(B240="",C240=""),"",IF(G240=0,"Removed",IF(AND(I240&lt;&gt;"",I240&lt;=TODAY()),"Remove now","Active")))</f>
        <v/>
      </c>
      <c r="I240" s="1">
        <f>IFERROR(IF(INDEX(Team!$E$6:$E$105,MATCH(B240,Team!$B$6:$B$105,0))="","",INDEX(Team!$E$6:$E$105,MATCH(B240,Team!$B$6:$B$105,0))),"")</f>
        <v/>
      </c>
      <c r="J240">
        <f>IF(G240&lt;&gt;1,0,IFERROR(IF(INDEX(Tools!$G$6:$G$105,MATCH(C240,Tools!$B$6:$B$105,0))="",0,IF(N(INDEX(Tools!$O$6:$O$105,MATCH(C240,Tools!$B$6:$B$105,0)))=0,0,N(INDEX(Tools!$F$6:$F$105,MATCH(C240,Tools!$B$6:$B$105,0)))/INDEX(Tools!$U$6:$U$105,MATCH(C240,Tools!$B$6:$B$105,0)))),0))</f>
        <v/>
      </c>
      <c r="K240">
        <f>IF(H240="Remove now",ROW(),"")</f>
        <v/>
      </c>
    </row>
    <row r="241">
      <c r="A241" s="1" t="n"/>
      <c r="B241" s="20" t="n"/>
      <c r="C241" s="21" t="n"/>
      <c r="D241" s="22" t="n"/>
      <c r="E241" s="25" t="n"/>
      <c r="F241" s="25" t="n"/>
      <c r="G241" s="1">
        <f>IF(OR(B241="",C241=""),"",IF(AND(F241&lt;&gt;"",F241&lt;=TODAY()),0,1))</f>
        <v/>
      </c>
      <c r="H241" s="14">
        <f>IF(OR(B241="",C241=""),"",IF(G241=0,"Removed",IF(AND(I241&lt;&gt;"",I241&lt;=TODAY()),"Remove now","Active")))</f>
        <v/>
      </c>
      <c r="I241" s="1">
        <f>IFERROR(IF(INDEX(Team!$E$6:$E$105,MATCH(B241,Team!$B$6:$B$105,0))="","",INDEX(Team!$E$6:$E$105,MATCH(B241,Team!$B$6:$B$105,0))),"")</f>
        <v/>
      </c>
      <c r="J241">
        <f>IF(G241&lt;&gt;1,0,IFERROR(IF(INDEX(Tools!$G$6:$G$105,MATCH(C241,Tools!$B$6:$B$105,0))="",0,IF(N(INDEX(Tools!$O$6:$O$105,MATCH(C241,Tools!$B$6:$B$105,0)))=0,0,N(INDEX(Tools!$F$6:$F$105,MATCH(C241,Tools!$B$6:$B$105,0)))/INDEX(Tools!$U$6:$U$105,MATCH(C241,Tools!$B$6:$B$105,0)))),0))</f>
        <v/>
      </c>
      <c r="K241">
        <f>IF(H241="Remove now",ROW(),"")</f>
        <v/>
      </c>
    </row>
    <row r="242">
      <c r="A242" s="1" t="n"/>
      <c r="B242" s="20" t="n"/>
      <c r="C242" s="21" t="n"/>
      <c r="D242" s="22" t="n"/>
      <c r="E242" s="25" t="n"/>
      <c r="F242" s="25" t="n"/>
      <c r="G242" s="1">
        <f>IF(OR(B242="",C242=""),"",IF(AND(F242&lt;&gt;"",F242&lt;=TODAY()),0,1))</f>
        <v/>
      </c>
      <c r="H242" s="14">
        <f>IF(OR(B242="",C242=""),"",IF(G242=0,"Removed",IF(AND(I242&lt;&gt;"",I242&lt;=TODAY()),"Remove now","Active")))</f>
        <v/>
      </c>
      <c r="I242" s="1">
        <f>IFERROR(IF(INDEX(Team!$E$6:$E$105,MATCH(B242,Team!$B$6:$B$105,0))="","",INDEX(Team!$E$6:$E$105,MATCH(B242,Team!$B$6:$B$105,0))),"")</f>
        <v/>
      </c>
      <c r="J242">
        <f>IF(G242&lt;&gt;1,0,IFERROR(IF(INDEX(Tools!$G$6:$G$105,MATCH(C242,Tools!$B$6:$B$105,0))="",0,IF(N(INDEX(Tools!$O$6:$O$105,MATCH(C242,Tools!$B$6:$B$105,0)))=0,0,N(INDEX(Tools!$F$6:$F$105,MATCH(C242,Tools!$B$6:$B$105,0)))/INDEX(Tools!$U$6:$U$105,MATCH(C242,Tools!$B$6:$B$105,0)))),0))</f>
        <v/>
      </c>
      <c r="K242">
        <f>IF(H242="Remove now",ROW(),"")</f>
        <v/>
      </c>
    </row>
    <row r="243">
      <c r="A243" s="1" t="n"/>
      <c r="B243" s="20" t="n"/>
      <c r="C243" s="21" t="n"/>
      <c r="D243" s="22" t="n"/>
      <c r="E243" s="25" t="n"/>
      <c r="F243" s="25" t="n"/>
      <c r="G243" s="1">
        <f>IF(OR(B243="",C243=""),"",IF(AND(F243&lt;&gt;"",F243&lt;=TODAY()),0,1))</f>
        <v/>
      </c>
      <c r="H243" s="14">
        <f>IF(OR(B243="",C243=""),"",IF(G243=0,"Removed",IF(AND(I243&lt;&gt;"",I243&lt;=TODAY()),"Remove now","Active")))</f>
        <v/>
      </c>
      <c r="I243" s="1">
        <f>IFERROR(IF(INDEX(Team!$E$6:$E$105,MATCH(B243,Team!$B$6:$B$105,0))="","",INDEX(Team!$E$6:$E$105,MATCH(B243,Team!$B$6:$B$105,0))),"")</f>
        <v/>
      </c>
      <c r="J243">
        <f>IF(G243&lt;&gt;1,0,IFERROR(IF(INDEX(Tools!$G$6:$G$105,MATCH(C243,Tools!$B$6:$B$105,0))="",0,IF(N(INDEX(Tools!$O$6:$O$105,MATCH(C243,Tools!$B$6:$B$105,0)))=0,0,N(INDEX(Tools!$F$6:$F$105,MATCH(C243,Tools!$B$6:$B$105,0)))/INDEX(Tools!$U$6:$U$105,MATCH(C243,Tools!$B$6:$B$105,0)))),0))</f>
        <v/>
      </c>
      <c r="K243">
        <f>IF(H243="Remove now",ROW(),"")</f>
        <v/>
      </c>
    </row>
    <row r="244">
      <c r="A244" s="1" t="n"/>
      <c r="B244" s="20" t="n"/>
      <c r="C244" s="21" t="n"/>
      <c r="D244" s="22" t="n"/>
      <c r="E244" s="25" t="n"/>
      <c r="F244" s="25" t="n"/>
      <c r="G244" s="1">
        <f>IF(OR(B244="",C244=""),"",IF(AND(F244&lt;&gt;"",F244&lt;=TODAY()),0,1))</f>
        <v/>
      </c>
      <c r="H244" s="14">
        <f>IF(OR(B244="",C244=""),"",IF(G244=0,"Removed",IF(AND(I244&lt;&gt;"",I244&lt;=TODAY()),"Remove now","Active")))</f>
        <v/>
      </c>
      <c r="I244" s="1">
        <f>IFERROR(IF(INDEX(Team!$E$6:$E$105,MATCH(B244,Team!$B$6:$B$105,0))="","",INDEX(Team!$E$6:$E$105,MATCH(B244,Team!$B$6:$B$105,0))),"")</f>
        <v/>
      </c>
      <c r="J244">
        <f>IF(G244&lt;&gt;1,0,IFERROR(IF(INDEX(Tools!$G$6:$G$105,MATCH(C244,Tools!$B$6:$B$105,0))="",0,IF(N(INDEX(Tools!$O$6:$O$105,MATCH(C244,Tools!$B$6:$B$105,0)))=0,0,N(INDEX(Tools!$F$6:$F$105,MATCH(C244,Tools!$B$6:$B$105,0)))/INDEX(Tools!$U$6:$U$105,MATCH(C244,Tools!$B$6:$B$105,0)))),0))</f>
        <v/>
      </c>
      <c r="K244">
        <f>IF(H244="Remove now",ROW(),"")</f>
        <v/>
      </c>
    </row>
    <row r="245">
      <c r="A245" s="1" t="n"/>
      <c r="B245" s="20" t="n"/>
      <c r="C245" s="21" t="n"/>
      <c r="D245" s="22" t="n"/>
      <c r="E245" s="25" t="n"/>
      <c r="F245" s="25" t="n"/>
      <c r="G245" s="1">
        <f>IF(OR(B245="",C245=""),"",IF(AND(F245&lt;&gt;"",F245&lt;=TODAY()),0,1))</f>
        <v/>
      </c>
      <c r="H245" s="14">
        <f>IF(OR(B245="",C245=""),"",IF(G245=0,"Removed",IF(AND(I245&lt;&gt;"",I245&lt;=TODAY()),"Remove now","Active")))</f>
        <v/>
      </c>
      <c r="I245" s="1">
        <f>IFERROR(IF(INDEX(Team!$E$6:$E$105,MATCH(B245,Team!$B$6:$B$105,0))="","",INDEX(Team!$E$6:$E$105,MATCH(B245,Team!$B$6:$B$105,0))),"")</f>
        <v/>
      </c>
      <c r="J245">
        <f>IF(G245&lt;&gt;1,0,IFERROR(IF(INDEX(Tools!$G$6:$G$105,MATCH(C245,Tools!$B$6:$B$105,0))="",0,IF(N(INDEX(Tools!$O$6:$O$105,MATCH(C245,Tools!$B$6:$B$105,0)))=0,0,N(INDEX(Tools!$F$6:$F$105,MATCH(C245,Tools!$B$6:$B$105,0)))/INDEX(Tools!$U$6:$U$105,MATCH(C245,Tools!$B$6:$B$105,0)))),0))</f>
        <v/>
      </c>
      <c r="K245">
        <f>IF(H245="Remove now",ROW(),"")</f>
        <v/>
      </c>
    </row>
    <row r="246">
      <c r="A246" s="1" t="n"/>
      <c r="B246" s="20" t="n"/>
      <c r="C246" s="21" t="n"/>
      <c r="D246" s="22" t="n"/>
      <c r="E246" s="25" t="n"/>
      <c r="F246" s="25" t="n"/>
      <c r="G246" s="1">
        <f>IF(OR(B246="",C246=""),"",IF(AND(F246&lt;&gt;"",F246&lt;=TODAY()),0,1))</f>
        <v/>
      </c>
      <c r="H246" s="14">
        <f>IF(OR(B246="",C246=""),"",IF(G246=0,"Removed",IF(AND(I246&lt;&gt;"",I246&lt;=TODAY()),"Remove now","Active")))</f>
        <v/>
      </c>
      <c r="I246" s="1">
        <f>IFERROR(IF(INDEX(Team!$E$6:$E$105,MATCH(B246,Team!$B$6:$B$105,0))="","",INDEX(Team!$E$6:$E$105,MATCH(B246,Team!$B$6:$B$105,0))),"")</f>
        <v/>
      </c>
      <c r="J246">
        <f>IF(G246&lt;&gt;1,0,IFERROR(IF(INDEX(Tools!$G$6:$G$105,MATCH(C246,Tools!$B$6:$B$105,0))="",0,IF(N(INDEX(Tools!$O$6:$O$105,MATCH(C246,Tools!$B$6:$B$105,0)))=0,0,N(INDEX(Tools!$F$6:$F$105,MATCH(C246,Tools!$B$6:$B$105,0)))/INDEX(Tools!$U$6:$U$105,MATCH(C246,Tools!$B$6:$B$105,0)))),0))</f>
        <v/>
      </c>
      <c r="K246">
        <f>IF(H246="Remove now",ROW(),"")</f>
        <v/>
      </c>
    </row>
    <row r="247">
      <c r="A247" s="1" t="n"/>
      <c r="B247" s="20" t="n"/>
      <c r="C247" s="21" t="n"/>
      <c r="D247" s="22" t="n"/>
      <c r="E247" s="25" t="n"/>
      <c r="F247" s="25" t="n"/>
      <c r="G247" s="1">
        <f>IF(OR(B247="",C247=""),"",IF(AND(F247&lt;&gt;"",F247&lt;=TODAY()),0,1))</f>
        <v/>
      </c>
      <c r="H247" s="14">
        <f>IF(OR(B247="",C247=""),"",IF(G247=0,"Removed",IF(AND(I247&lt;&gt;"",I247&lt;=TODAY()),"Remove now","Active")))</f>
        <v/>
      </c>
      <c r="I247" s="1">
        <f>IFERROR(IF(INDEX(Team!$E$6:$E$105,MATCH(B247,Team!$B$6:$B$105,0))="","",INDEX(Team!$E$6:$E$105,MATCH(B247,Team!$B$6:$B$105,0))),"")</f>
        <v/>
      </c>
      <c r="J247">
        <f>IF(G247&lt;&gt;1,0,IFERROR(IF(INDEX(Tools!$G$6:$G$105,MATCH(C247,Tools!$B$6:$B$105,0))="",0,IF(N(INDEX(Tools!$O$6:$O$105,MATCH(C247,Tools!$B$6:$B$105,0)))=0,0,N(INDEX(Tools!$F$6:$F$105,MATCH(C247,Tools!$B$6:$B$105,0)))/INDEX(Tools!$U$6:$U$105,MATCH(C247,Tools!$B$6:$B$105,0)))),0))</f>
        <v/>
      </c>
      <c r="K247">
        <f>IF(H247="Remove now",ROW(),"")</f>
        <v/>
      </c>
    </row>
    <row r="248">
      <c r="A248" s="1" t="n"/>
      <c r="B248" s="20" t="n"/>
      <c r="C248" s="21" t="n"/>
      <c r="D248" s="22" t="n"/>
      <c r="E248" s="25" t="n"/>
      <c r="F248" s="25" t="n"/>
      <c r="G248" s="1">
        <f>IF(OR(B248="",C248=""),"",IF(AND(F248&lt;&gt;"",F248&lt;=TODAY()),0,1))</f>
        <v/>
      </c>
      <c r="H248" s="14">
        <f>IF(OR(B248="",C248=""),"",IF(G248=0,"Removed",IF(AND(I248&lt;&gt;"",I248&lt;=TODAY()),"Remove now","Active")))</f>
        <v/>
      </c>
      <c r="I248" s="1">
        <f>IFERROR(IF(INDEX(Team!$E$6:$E$105,MATCH(B248,Team!$B$6:$B$105,0))="","",INDEX(Team!$E$6:$E$105,MATCH(B248,Team!$B$6:$B$105,0))),"")</f>
        <v/>
      </c>
      <c r="J248">
        <f>IF(G248&lt;&gt;1,0,IFERROR(IF(INDEX(Tools!$G$6:$G$105,MATCH(C248,Tools!$B$6:$B$105,0))="",0,IF(N(INDEX(Tools!$O$6:$O$105,MATCH(C248,Tools!$B$6:$B$105,0)))=0,0,N(INDEX(Tools!$F$6:$F$105,MATCH(C248,Tools!$B$6:$B$105,0)))/INDEX(Tools!$U$6:$U$105,MATCH(C248,Tools!$B$6:$B$105,0)))),0))</f>
        <v/>
      </c>
      <c r="K248">
        <f>IF(H248="Remove now",ROW(),"")</f>
        <v/>
      </c>
    </row>
    <row r="249">
      <c r="A249" s="1" t="n"/>
      <c r="B249" s="20" t="n"/>
      <c r="C249" s="21" t="n"/>
      <c r="D249" s="22" t="n"/>
      <c r="E249" s="25" t="n"/>
      <c r="F249" s="25" t="n"/>
      <c r="G249" s="1">
        <f>IF(OR(B249="",C249=""),"",IF(AND(F249&lt;&gt;"",F249&lt;=TODAY()),0,1))</f>
        <v/>
      </c>
      <c r="H249" s="14">
        <f>IF(OR(B249="",C249=""),"",IF(G249=0,"Removed",IF(AND(I249&lt;&gt;"",I249&lt;=TODAY()),"Remove now","Active")))</f>
        <v/>
      </c>
      <c r="I249" s="1">
        <f>IFERROR(IF(INDEX(Team!$E$6:$E$105,MATCH(B249,Team!$B$6:$B$105,0))="","",INDEX(Team!$E$6:$E$105,MATCH(B249,Team!$B$6:$B$105,0))),"")</f>
        <v/>
      </c>
      <c r="J249">
        <f>IF(G249&lt;&gt;1,0,IFERROR(IF(INDEX(Tools!$G$6:$G$105,MATCH(C249,Tools!$B$6:$B$105,0))="",0,IF(N(INDEX(Tools!$O$6:$O$105,MATCH(C249,Tools!$B$6:$B$105,0)))=0,0,N(INDEX(Tools!$F$6:$F$105,MATCH(C249,Tools!$B$6:$B$105,0)))/INDEX(Tools!$U$6:$U$105,MATCH(C249,Tools!$B$6:$B$105,0)))),0))</f>
        <v/>
      </c>
      <c r="K249">
        <f>IF(H249="Remove now",ROW(),"")</f>
        <v/>
      </c>
    </row>
    <row r="250">
      <c r="A250" s="1" t="n"/>
      <c r="B250" s="20" t="n"/>
      <c r="C250" s="21" t="n"/>
      <c r="D250" s="22" t="n"/>
      <c r="E250" s="25" t="n"/>
      <c r="F250" s="25" t="n"/>
      <c r="G250" s="1">
        <f>IF(OR(B250="",C250=""),"",IF(AND(F250&lt;&gt;"",F250&lt;=TODAY()),0,1))</f>
        <v/>
      </c>
      <c r="H250" s="14">
        <f>IF(OR(B250="",C250=""),"",IF(G250=0,"Removed",IF(AND(I250&lt;&gt;"",I250&lt;=TODAY()),"Remove now","Active")))</f>
        <v/>
      </c>
      <c r="I250" s="1">
        <f>IFERROR(IF(INDEX(Team!$E$6:$E$105,MATCH(B250,Team!$B$6:$B$105,0))="","",INDEX(Team!$E$6:$E$105,MATCH(B250,Team!$B$6:$B$105,0))),"")</f>
        <v/>
      </c>
      <c r="J250">
        <f>IF(G250&lt;&gt;1,0,IFERROR(IF(INDEX(Tools!$G$6:$G$105,MATCH(C250,Tools!$B$6:$B$105,0))="",0,IF(N(INDEX(Tools!$O$6:$O$105,MATCH(C250,Tools!$B$6:$B$105,0)))=0,0,N(INDEX(Tools!$F$6:$F$105,MATCH(C250,Tools!$B$6:$B$105,0)))/INDEX(Tools!$U$6:$U$105,MATCH(C250,Tools!$B$6:$B$105,0)))),0))</f>
        <v/>
      </c>
      <c r="K250">
        <f>IF(H250="Remove now",ROW(),"")</f>
        <v/>
      </c>
    </row>
    <row r="251">
      <c r="A251" s="1" t="n"/>
      <c r="B251" s="20" t="n"/>
      <c r="C251" s="21" t="n"/>
      <c r="D251" s="22" t="n"/>
      <c r="E251" s="25" t="n"/>
      <c r="F251" s="25" t="n"/>
      <c r="G251" s="1">
        <f>IF(OR(B251="",C251=""),"",IF(AND(F251&lt;&gt;"",F251&lt;=TODAY()),0,1))</f>
        <v/>
      </c>
      <c r="H251" s="14">
        <f>IF(OR(B251="",C251=""),"",IF(G251=0,"Removed",IF(AND(I251&lt;&gt;"",I251&lt;=TODAY()),"Remove now","Active")))</f>
        <v/>
      </c>
      <c r="I251" s="1">
        <f>IFERROR(IF(INDEX(Team!$E$6:$E$105,MATCH(B251,Team!$B$6:$B$105,0))="","",INDEX(Team!$E$6:$E$105,MATCH(B251,Team!$B$6:$B$105,0))),"")</f>
        <v/>
      </c>
      <c r="J251">
        <f>IF(G251&lt;&gt;1,0,IFERROR(IF(INDEX(Tools!$G$6:$G$105,MATCH(C251,Tools!$B$6:$B$105,0))="",0,IF(N(INDEX(Tools!$O$6:$O$105,MATCH(C251,Tools!$B$6:$B$105,0)))=0,0,N(INDEX(Tools!$F$6:$F$105,MATCH(C251,Tools!$B$6:$B$105,0)))/INDEX(Tools!$U$6:$U$105,MATCH(C251,Tools!$B$6:$B$105,0)))),0))</f>
        <v/>
      </c>
      <c r="K251">
        <f>IF(H251="Remove now",ROW(),"")</f>
        <v/>
      </c>
    </row>
    <row r="252">
      <c r="A252" s="1" t="n"/>
      <c r="B252" s="20" t="n"/>
      <c r="C252" s="21" t="n"/>
      <c r="D252" s="22" t="n"/>
      <c r="E252" s="25" t="n"/>
      <c r="F252" s="25" t="n"/>
      <c r="G252" s="1">
        <f>IF(OR(B252="",C252=""),"",IF(AND(F252&lt;&gt;"",F252&lt;=TODAY()),0,1))</f>
        <v/>
      </c>
      <c r="H252" s="14">
        <f>IF(OR(B252="",C252=""),"",IF(G252=0,"Removed",IF(AND(I252&lt;&gt;"",I252&lt;=TODAY()),"Remove now","Active")))</f>
        <v/>
      </c>
      <c r="I252" s="1">
        <f>IFERROR(IF(INDEX(Team!$E$6:$E$105,MATCH(B252,Team!$B$6:$B$105,0))="","",INDEX(Team!$E$6:$E$105,MATCH(B252,Team!$B$6:$B$105,0))),"")</f>
        <v/>
      </c>
      <c r="J252">
        <f>IF(G252&lt;&gt;1,0,IFERROR(IF(INDEX(Tools!$G$6:$G$105,MATCH(C252,Tools!$B$6:$B$105,0))="",0,IF(N(INDEX(Tools!$O$6:$O$105,MATCH(C252,Tools!$B$6:$B$105,0)))=0,0,N(INDEX(Tools!$F$6:$F$105,MATCH(C252,Tools!$B$6:$B$105,0)))/INDEX(Tools!$U$6:$U$105,MATCH(C252,Tools!$B$6:$B$105,0)))),0))</f>
        <v/>
      </c>
      <c r="K252">
        <f>IF(H252="Remove now",ROW(),"")</f>
        <v/>
      </c>
    </row>
    <row r="253">
      <c r="A253" s="1" t="n"/>
      <c r="B253" s="20" t="n"/>
      <c r="C253" s="21" t="n"/>
      <c r="D253" s="22" t="n"/>
      <c r="E253" s="25" t="n"/>
      <c r="F253" s="25" t="n"/>
      <c r="G253" s="1">
        <f>IF(OR(B253="",C253=""),"",IF(AND(F253&lt;&gt;"",F253&lt;=TODAY()),0,1))</f>
        <v/>
      </c>
      <c r="H253" s="14">
        <f>IF(OR(B253="",C253=""),"",IF(G253=0,"Removed",IF(AND(I253&lt;&gt;"",I253&lt;=TODAY()),"Remove now","Active")))</f>
        <v/>
      </c>
      <c r="I253" s="1">
        <f>IFERROR(IF(INDEX(Team!$E$6:$E$105,MATCH(B253,Team!$B$6:$B$105,0))="","",INDEX(Team!$E$6:$E$105,MATCH(B253,Team!$B$6:$B$105,0))),"")</f>
        <v/>
      </c>
      <c r="J253">
        <f>IF(G253&lt;&gt;1,0,IFERROR(IF(INDEX(Tools!$G$6:$G$105,MATCH(C253,Tools!$B$6:$B$105,0))="",0,IF(N(INDEX(Tools!$O$6:$O$105,MATCH(C253,Tools!$B$6:$B$105,0)))=0,0,N(INDEX(Tools!$F$6:$F$105,MATCH(C253,Tools!$B$6:$B$105,0)))/INDEX(Tools!$U$6:$U$105,MATCH(C253,Tools!$B$6:$B$105,0)))),0))</f>
        <v/>
      </c>
      <c r="K253">
        <f>IF(H253="Remove now",ROW(),"")</f>
        <v/>
      </c>
    </row>
    <row r="254">
      <c r="A254" s="1" t="n"/>
      <c r="B254" s="20" t="n"/>
      <c r="C254" s="21" t="n"/>
      <c r="D254" s="22" t="n"/>
      <c r="E254" s="25" t="n"/>
      <c r="F254" s="25" t="n"/>
      <c r="G254" s="1">
        <f>IF(OR(B254="",C254=""),"",IF(AND(F254&lt;&gt;"",F254&lt;=TODAY()),0,1))</f>
        <v/>
      </c>
      <c r="H254" s="14">
        <f>IF(OR(B254="",C254=""),"",IF(G254=0,"Removed",IF(AND(I254&lt;&gt;"",I254&lt;=TODAY()),"Remove now","Active")))</f>
        <v/>
      </c>
      <c r="I254" s="1">
        <f>IFERROR(IF(INDEX(Team!$E$6:$E$105,MATCH(B254,Team!$B$6:$B$105,0))="","",INDEX(Team!$E$6:$E$105,MATCH(B254,Team!$B$6:$B$105,0))),"")</f>
        <v/>
      </c>
      <c r="J254">
        <f>IF(G254&lt;&gt;1,0,IFERROR(IF(INDEX(Tools!$G$6:$G$105,MATCH(C254,Tools!$B$6:$B$105,0))="",0,IF(N(INDEX(Tools!$O$6:$O$105,MATCH(C254,Tools!$B$6:$B$105,0)))=0,0,N(INDEX(Tools!$F$6:$F$105,MATCH(C254,Tools!$B$6:$B$105,0)))/INDEX(Tools!$U$6:$U$105,MATCH(C254,Tools!$B$6:$B$105,0)))),0))</f>
        <v/>
      </c>
      <c r="K254">
        <f>IF(H254="Remove now",ROW(),"")</f>
        <v/>
      </c>
    </row>
    <row r="255">
      <c r="A255" s="1" t="n"/>
      <c r="B255" s="20" t="n"/>
      <c r="C255" s="21" t="n"/>
      <c r="D255" s="22" t="n"/>
      <c r="E255" s="25" t="n"/>
      <c r="F255" s="25" t="n"/>
      <c r="G255" s="1">
        <f>IF(OR(B255="",C255=""),"",IF(AND(F255&lt;&gt;"",F255&lt;=TODAY()),0,1))</f>
        <v/>
      </c>
      <c r="H255" s="14">
        <f>IF(OR(B255="",C255=""),"",IF(G255=0,"Removed",IF(AND(I255&lt;&gt;"",I255&lt;=TODAY()),"Remove now","Active")))</f>
        <v/>
      </c>
      <c r="I255" s="1">
        <f>IFERROR(IF(INDEX(Team!$E$6:$E$105,MATCH(B255,Team!$B$6:$B$105,0))="","",INDEX(Team!$E$6:$E$105,MATCH(B255,Team!$B$6:$B$105,0))),"")</f>
        <v/>
      </c>
      <c r="J255">
        <f>IF(G255&lt;&gt;1,0,IFERROR(IF(INDEX(Tools!$G$6:$G$105,MATCH(C255,Tools!$B$6:$B$105,0))="",0,IF(N(INDEX(Tools!$O$6:$O$105,MATCH(C255,Tools!$B$6:$B$105,0)))=0,0,N(INDEX(Tools!$F$6:$F$105,MATCH(C255,Tools!$B$6:$B$105,0)))/INDEX(Tools!$U$6:$U$105,MATCH(C255,Tools!$B$6:$B$105,0)))),0))</f>
        <v/>
      </c>
      <c r="K255">
        <f>IF(H255="Remove now",ROW(),"")</f>
        <v/>
      </c>
    </row>
    <row r="256">
      <c r="A256" s="1" t="n"/>
      <c r="B256" s="20" t="n"/>
      <c r="C256" s="21" t="n"/>
      <c r="D256" s="22" t="n"/>
      <c r="E256" s="25" t="n"/>
      <c r="F256" s="25" t="n"/>
      <c r="G256" s="1">
        <f>IF(OR(B256="",C256=""),"",IF(AND(F256&lt;&gt;"",F256&lt;=TODAY()),0,1))</f>
        <v/>
      </c>
      <c r="H256" s="14">
        <f>IF(OR(B256="",C256=""),"",IF(G256=0,"Removed",IF(AND(I256&lt;&gt;"",I256&lt;=TODAY()),"Remove now","Active")))</f>
        <v/>
      </c>
      <c r="I256" s="1">
        <f>IFERROR(IF(INDEX(Team!$E$6:$E$105,MATCH(B256,Team!$B$6:$B$105,0))="","",INDEX(Team!$E$6:$E$105,MATCH(B256,Team!$B$6:$B$105,0))),"")</f>
        <v/>
      </c>
      <c r="J256">
        <f>IF(G256&lt;&gt;1,0,IFERROR(IF(INDEX(Tools!$G$6:$G$105,MATCH(C256,Tools!$B$6:$B$105,0))="",0,IF(N(INDEX(Tools!$O$6:$O$105,MATCH(C256,Tools!$B$6:$B$105,0)))=0,0,N(INDEX(Tools!$F$6:$F$105,MATCH(C256,Tools!$B$6:$B$105,0)))/INDEX(Tools!$U$6:$U$105,MATCH(C256,Tools!$B$6:$B$105,0)))),0))</f>
        <v/>
      </c>
      <c r="K256">
        <f>IF(H256="Remove now",ROW(),"")</f>
        <v/>
      </c>
    </row>
    <row r="257">
      <c r="A257" s="1" t="n"/>
      <c r="B257" s="20" t="n"/>
      <c r="C257" s="21" t="n"/>
      <c r="D257" s="22" t="n"/>
      <c r="E257" s="25" t="n"/>
      <c r="F257" s="25" t="n"/>
      <c r="G257" s="1">
        <f>IF(OR(B257="",C257=""),"",IF(AND(F257&lt;&gt;"",F257&lt;=TODAY()),0,1))</f>
        <v/>
      </c>
      <c r="H257" s="14">
        <f>IF(OR(B257="",C257=""),"",IF(G257=0,"Removed",IF(AND(I257&lt;&gt;"",I257&lt;=TODAY()),"Remove now","Active")))</f>
        <v/>
      </c>
      <c r="I257" s="1">
        <f>IFERROR(IF(INDEX(Team!$E$6:$E$105,MATCH(B257,Team!$B$6:$B$105,0))="","",INDEX(Team!$E$6:$E$105,MATCH(B257,Team!$B$6:$B$105,0))),"")</f>
        <v/>
      </c>
      <c r="J257">
        <f>IF(G257&lt;&gt;1,0,IFERROR(IF(INDEX(Tools!$G$6:$G$105,MATCH(C257,Tools!$B$6:$B$105,0))="",0,IF(N(INDEX(Tools!$O$6:$O$105,MATCH(C257,Tools!$B$6:$B$105,0)))=0,0,N(INDEX(Tools!$F$6:$F$105,MATCH(C257,Tools!$B$6:$B$105,0)))/INDEX(Tools!$U$6:$U$105,MATCH(C257,Tools!$B$6:$B$105,0)))),0))</f>
        <v/>
      </c>
      <c r="K257">
        <f>IF(H257="Remove now",ROW(),"")</f>
        <v/>
      </c>
    </row>
    <row r="258">
      <c r="A258" s="1" t="n"/>
      <c r="B258" s="20" t="n"/>
      <c r="C258" s="21" t="n"/>
      <c r="D258" s="22" t="n"/>
      <c r="E258" s="25" t="n"/>
      <c r="F258" s="25" t="n"/>
      <c r="G258" s="1">
        <f>IF(OR(B258="",C258=""),"",IF(AND(F258&lt;&gt;"",F258&lt;=TODAY()),0,1))</f>
        <v/>
      </c>
      <c r="H258" s="14">
        <f>IF(OR(B258="",C258=""),"",IF(G258=0,"Removed",IF(AND(I258&lt;&gt;"",I258&lt;=TODAY()),"Remove now","Active")))</f>
        <v/>
      </c>
      <c r="I258" s="1">
        <f>IFERROR(IF(INDEX(Team!$E$6:$E$105,MATCH(B258,Team!$B$6:$B$105,0))="","",INDEX(Team!$E$6:$E$105,MATCH(B258,Team!$B$6:$B$105,0))),"")</f>
        <v/>
      </c>
      <c r="J258">
        <f>IF(G258&lt;&gt;1,0,IFERROR(IF(INDEX(Tools!$G$6:$G$105,MATCH(C258,Tools!$B$6:$B$105,0))="",0,IF(N(INDEX(Tools!$O$6:$O$105,MATCH(C258,Tools!$B$6:$B$105,0)))=0,0,N(INDEX(Tools!$F$6:$F$105,MATCH(C258,Tools!$B$6:$B$105,0)))/INDEX(Tools!$U$6:$U$105,MATCH(C258,Tools!$B$6:$B$105,0)))),0))</f>
        <v/>
      </c>
      <c r="K258">
        <f>IF(H258="Remove now",ROW(),"")</f>
        <v/>
      </c>
    </row>
    <row r="259">
      <c r="A259" s="1" t="n"/>
      <c r="B259" s="20" t="n"/>
      <c r="C259" s="21" t="n"/>
      <c r="D259" s="22" t="n"/>
      <c r="E259" s="25" t="n"/>
      <c r="F259" s="25" t="n"/>
      <c r="G259" s="1">
        <f>IF(OR(B259="",C259=""),"",IF(AND(F259&lt;&gt;"",F259&lt;=TODAY()),0,1))</f>
        <v/>
      </c>
      <c r="H259" s="14">
        <f>IF(OR(B259="",C259=""),"",IF(G259=0,"Removed",IF(AND(I259&lt;&gt;"",I259&lt;=TODAY()),"Remove now","Active")))</f>
        <v/>
      </c>
      <c r="I259" s="1">
        <f>IFERROR(IF(INDEX(Team!$E$6:$E$105,MATCH(B259,Team!$B$6:$B$105,0))="","",INDEX(Team!$E$6:$E$105,MATCH(B259,Team!$B$6:$B$105,0))),"")</f>
        <v/>
      </c>
      <c r="J259">
        <f>IF(G259&lt;&gt;1,0,IFERROR(IF(INDEX(Tools!$G$6:$G$105,MATCH(C259,Tools!$B$6:$B$105,0))="",0,IF(N(INDEX(Tools!$O$6:$O$105,MATCH(C259,Tools!$B$6:$B$105,0)))=0,0,N(INDEX(Tools!$F$6:$F$105,MATCH(C259,Tools!$B$6:$B$105,0)))/INDEX(Tools!$U$6:$U$105,MATCH(C259,Tools!$B$6:$B$105,0)))),0))</f>
        <v/>
      </c>
      <c r="K259">
        <f>IF(H259="Remove now",ROW(),"")</f>
        <v/>
      </c>
    </row>
    <row r="260">
      <c r="A260" s="1" t="n"/>
      <c r="B260" s="20" t="n"/>
      <c r="C260" s="21" t="n"/>
      <c r="D260" s="22" t="n"/>
      <c r="E260" s="25" t="n"/>
      <c r="F260" s="25" t="n"/>
      <c r="G260" s="1">
        <f>IF(OR(B260="",C260=""),"",IF(AND(F260&lt;&gt;"",F260&lt;=TODAY()),0,1))</f>
        <v/>
      </c>
      <c r="H260" s="14">
        <f>IF(OR(B260="",C260=""),"",IF(G260=0,"Removed",IF(AND(I260&lt;&gt;"",I260&lt;=TODAY()),"Remove now","Active")))</f>
        <v/>
      </c>
      <c r="I260" s="1">
        <f>IFERROR(IF(INDEX(Team!$E$6:$E$105,MATCH(B260,Team!$B$6:$B$105,0))="","",INDEX(Team!$E$6:$E$105,MATCH(B260,Team!$B$6:$B$105,0))),"")</f>
        <v/>
      </c>
      <c r="J260">
        <f>IF(G260&lt;&gt;1,0,IFERROR(IF(INDEX(Tools!$G$6:$G$105,MATCH(C260,Tools!$B$6:$B$105,0))="",0,IF(N(INDEX(Tools!$O$6:$O$105,MATCH(C260,Tools!$B$6:$B$105,0)))=0,0,N(INDEX(Tools!$F$6:$F$105,MATCH(C260,Tools!$B$6:$B$105,0)))/INDEX(Tools!$U$6:$U$105,MATCH(C260,Tools!$B$6:$B$105,0)))),0))</f>
        <v/>
      </c>
      <c r="K260">
        <f>IF(H260="Remove now",ROW(),"")</f>
        <v/>
      </c>
    </row>
    <row r="261">
      <c r="A261" s="1" t="n"/>
      <c r="B261" s="20" t="n"/>
      <c r="C261" s="21" t="n"/>
      <c r="D261" s="22" t="n"/>
      <c r="E261" s="25" t="n"/>
      <c r="F261" s="25" t="n"/>
      <c r="G261" s="1">
        <f>IF(OR(B261="",C261=""),"",IF(AND(F261&lt;&gt;"",F261&lt;=TODAY()),0,1))</f>
        <v/>
      </c>
      <c r="H261" s="14">
        <f>IF(OR(B261="",C261=""),"",IF(G261=0,"Removed",IF(AND(I261&lt;&gt;"",I261&lt;=TODAY()),"Remove now","Active")))</f>
        <v/>
      </c>
      <c r="I261" s="1">
        <f>IFERROR(IF(INDEX(Team!$E$6:$E$105,MATCH(B261,Team!$B$6:$B$105,0))="","",INDEX(Team!$E$6:$E$105,MATCH(B261,Team!$B$6:$B$105,0))),"")</f>
        <v/>
      </c>
      <c r="J261">
        <f>IF(G261&lt;&gt;1,0,IFERROR(IF(INDEX(Tools!$G$6:$G$105,MATCH(C261,Tools!$B$6:$B$105,0))="",0,IF(N(INDEX(Tools!$O$6:$O$105,MATCH(C261,Tools!$B$6:$B$105,0)))=0,0,N(INDEX(Tools!$F$6:$F$105,MATCH(C261,Tools!$B$6:$B$105,0)))/INDEX(Tools!$U$6:$U$105,MATCH(C261,Tools!$B$6:$B$105,0)))),0))</f>
        <v/>
      </c>
      <c r="K261">
        <f>IF(H261="Remove now",ROW(),"")</f>
        <v/>
      </c>
    </row>
    <row r="262">
      <c r="A262" s="1" t="n"/>
      <c r="B262" s="20" t="n"/>
      <c r="C262" s="21" t="n"/>
      <c r="D262" s="22" t="n"/>
      <c r="E262" s="25" t="n"/>
      <c r="F262" s="25" t="n"/>
      <c r="G262" s="1">
        <f>IF(OR(B262="",C262=""),"",IF(AND(F262&lt;&gt;"",F262&lt;=TODAY()),0,1))</f>
        <v/>
      </c>
      <c r="H262" s="14">
        <f>IF(OR(B262="",C262=""),"",IF(G262=0,"Removed",IF(AND(I262&lt;&gt;"",I262&lt;=TODAY()),"Remove now","Active")))</f>
        <v/>
      </c>
      <c r="I262" s="1">
        <f>IFERROR(IF(INDEX(Team!$E$6:$E$105,MATCH(B262,Team!$B$6:$B$105,0))="","",INDEX(Team!$E$6:$E$105,MATCH(B262,Team!$B$6:$B$105,0))),"")</f>
        <v/>
      </c>
      <c r="J262">
        <f>IF(G262&lt;&gt;1,0,IFERROR(IF(INDEX(Tools!$G$6:$G$105,MATCH(C262,Tools!$B$6:$B$105,0))="",0,IF(N(INDEX(Tools!$O$6:$O$105,MATCH(C262,Tools!$B$6:$B$105,0)))=0,0,N(INDEX(Tools!$F$6:$F$105,MATCH(C262,Tools!$B$6:$B$105,0)))/INDEX(Tools!$U$6:$U$105,MATCH(C262,Tools!$B$6:$B$105,0)))),0))</f>
        <v/>
      </c>
      <c r="K262">
        <f>IF(H262="Remove now",ROW(),"")</f>
        <v/>
      </c>
    </row>
    <row r="263">
      <c r="A263" s="1" t="n"/>
      <c r="B263" s="20" t="n"/>
      <c r="C263" s="21" t="n"/>
      <c r="D263" s="22" t="n"/>
      <c r="E263" s="25" t="n"/>
      <c r="F263" s="25" t="n"/>
      <c r="G263" s="1">
        <f>IF(OR(B263="",C263=""),"",IF(AND(F263&lt;&gt;"",F263&lt;=TODAY()),0,1))</f>
        <v/>
      </c>
      <c r="H263" s="14">
        <f>IF(OR(B263="",C263=""),"",IF(G263=0,"Removed",IF(AND(I263&lt;&gt;"",I263&lt;=TODAY()),"Remove now","Active")))</f>
        <v/>
      </c>
      <c r="I263" s="1">
        <f>IFERROR(IF(INDEX(Team!$E$6:$E$105,MATCH(B263,Team!$B$6:$B$105,0))="","",INDEX(Team!$E$6:$E$105,MATCH(B263,Team!$B$6:$B$105,0))),"")</f>
        <v/>
      </c>
      <c r="J263">
        <f>IF(G263&lt;&gt;1,0,IFERROR(IF(INDEX(Tools!$G$6:$G$105,MATCH(C263,Tools!$B$6:$B$105,0))="",0,IF(N(INDEX(Tools!$O$6:$O$105,MATCH(C263,Tools!$B$6:$B$105,0)))=0,0,N(INDEX(Tools!$F$6:$F$105,MATCH(C263,Tools!$B$6:$B$105,0)))/INDEX(Tools!$U$6:$U$105,MATCH(C263,Tools!$B$6:$B$105,0)))),0))</f>
        <v/>
      </c>
      <c r="K263">
        <f>IF(H263="Remove now",ROW(),"")</f>
        <v/>
      </c>
    </row>
    <row r="264">
      <c r="A264" s="1" t="n"/>
      <c r="B264" s="20" t="n"/>
      <c r="C264" s="21" t="n"/>
      <c r="D264" s="22" t="n"/>
      <c r="E264" s="25" t="n"/>
      <c r="F264" s="25" t="n"/>
      <c r="G264" s="1">
        <f>IF(OR(B264="",C264=""),"",IF(AND(F264&lt;&gt;"",F264&lt;=TODAY()),0,1))</f>
        <v/>
      </c>
      <c r="H264" s="14">
        <f>IF(OR(B264="",C264=""),"",IF(G264=0,"Removed",IF(AND(I264&lt;&gt;"",I264&lt;=TODAY()),"Remove now","Active")))</f>
        <v/>
      </c>
      <c r="I264" s="1">
        <f>IFERROR(IF(INDEX(Team!$E$6:$E$105,MATCH(B264,Team!$B$6:$B$105,0))="","",INDEX(Team!$E$6:$E$105,MATCH(B264,Team!$B$6:$B$105,0))),"")</f>
        <v/>
      </c>
      <c r="J264">
        <f>IF(G264&lt;&gt;1,0,IFERROR(IF(INDEX(Tools!$G$6:$G$105,MATCH(C264,Tools!$B$6:$B$105,0))="",0,IF(N(INDEX(Tools!$O$6:$O$105,MATCH(C264,Tools!$B$6:$B$105,0)))=0,0,N(INDEX(Tools!$F$6:$F$105,MATCH(C264,Tools!$B$6:$B$105,0)))/INDEX(Tools!$U$6:$U$105,MATCH(C264,Tools!$B$6:$B$105,0)))),0))</f>
        <v/>
      </c>
      <c r="K264">
        <f>IF(H264="Remove now",ROW(),"")</f>
        <v/>
      </c>
    </row>
    <row r="265">
      <c r="A265" s="1" t="n"/>
      <c r="B265" s="20" t="n"/>
      <c r="C265" s="21" t="n"/>
      <c r="D265" s="22" t="n"/>
      <c r="E265" s="25" t="n"/>
      <c r="F265" s="25" t="n"/>
      <c r="G265" s="1">
        <f>IF(OR(B265="",C265=""),"",IF(AND(F265&lt;&gt;"",F265&lt;=TODAY()),0,1))</f>
        <v/>
      </c>
      <c r="H265" s="14">
        <f>IF(OR(B265="",C265=""),"",IF(G265=0,"Removed",IF(AND(I265&lt;&gt;"",I265&lt;=TODAY()),"Remove now","Active")))</f>
        <v/>
      </c>
      <c r="I265" s="1">
        <f>IFERROR(IF(INDEX(Team!$E$6:$E$105,MATCH(B265,Team!$B$6:$B$105,0))="","",INDEX(Team!$E$6:$E$105,MATCH(B265,Team!$B$6:$B$105,0))),"")</f>
        <v/>
      </c>
      <c r="J265">
        <f>IF(G265&lt;&gt;1,0,IFERROR(IF(INDEX(Tools!$G$6:$G$105,MATCH(C265,Tools!$B$6:$B$105,0))="",0,IF(N(INDEX(Tools!$O$6:$O$105,MATCH(C265,Tools!$B$6:$B$105,0)))=0,0,N(INDEX(Tools!$F$6:$F$105,MATCH(C265,Tools!$B$6:$B$105,0)))/INDEX(Tools!$U$6:$U$105,MATCH(C265,Tools!$B$6:$B$105,0)))),0))</f>
        <v/>
      </c>
      <c r="K265">
        <f>IF(H265="Remove now",ROW(),"")</f>
        <v/>
      </c>
    </row>
    <row r="266">
      <c r="A266" s="1" t="n"/>
      <c r="B266" s="20" t="n"/>
      <c r="C266" s="21" t="n"/>
      <c r="D266" s="22" t="n"/>
      <c r="E266" s="25" t="n"/>
      <c r="F266" s="25" t="n"/>
      <c r="G266" s="1">
        <f>IF(OR(B266="",C266=""),"",IF(AND(F266&lt;&gt;"",F266&lt;=TODAY()),0,1))</f>
        <v/>
      </c>
      <c r="H266" s="14">
        <f>IF(OR(B266="",C266=""),"",IF(G266=0,"Removed",IF(AND(I266&lt;&gt;"",I266&lt;=TODAY()),"Remove now","Active")))</f>
        <v/>
      </c>
      <c r="I266" s="1">
        <f>IFERROR(IF(INDEX(Team!$E$6:$E$105,MATCH(B266,Team!$B$6:$B$105,0))="","",INDEX(Team!$E$6:$E$105,MATCH(B266,Team!$B$6:$B$105,0))),"")</f>
        <v/>
      </c>
      <c r="J266">
        <f>IF(G266&lt;&gt;1,0,IFERROR(IF(INDEX(Tools!$G$6:$G$105,MATCH(C266,Tools!$B$6:$B$105,0))="",0,IF(N(INDEX(Tools!$O$6:$O$105,MATCH(C266,Tools!$B$6:$B$105,0)))=0,0,N(INDEX(Tools!$F$6:$F$105,MATCH(C266,Tools!$B$6:$B$105,0)))/INDEX(Tools!$U$6:$U$105,MATCH(C266,Tools!$B$6:$B$105,0)))),0))</f>
        <v/>
      </c>
      <c r="K266">
        <f>IF(H266="Remove now",ROW(),"")</f>
        <v/>
      </c>
    </row>
    <row r="267">
      <c r="A267" s="1" t="n"/>
      <c r="B267" s="20" t="n"/>
      <c r="C267" s="21" t="n"/>
      <c r="D267" s="22" t="n"/>
      <c r="E267" s="25" t="n"/>
      <c r="F267" s="25" t="n"/>
      <c r="G267" s="1">
        <f>IF(OR(B267="",C267=""),"",IF(AND(F267&lt;&gt;"",F267&lt;=TODAY()),0,1))</f>
        <v/>
      </c>
      <c r="H267" s="14">
        <f>IF(OR(B267="",C267=""),"",IF(G267=0,"Removed",IF(AND(I267&lt;&gt;"",I267&lt;=TODAY()),"Remove now","Active")))</f>
        <v/>
      </c>
      <c r="I267" s="1">
        <f>IFERROR(IF(INDEX(Team!$E$6:$E$105,MATCH(B267,Team!$B$6:$B$105,0))="","",INDEX(Team!$E$6:$E$105,MATCH(B267,Team!$B$6:$B$105,0))),"")</f>
        <v/>
      </c>
      <c r="J267">
        <f>IF(G267&lt;&gt;1,0,IFERROR(IF(INDEX(Tools!$G$6:$G$105,MATCH(C267,Tools!$B$6:$B$105,0))="",0,IF(N(INDEX(Tools!$O$6:$O$105,MATCH(C267,Tools!$B$6:$B$105,0)))=0,0,N(INDEX(Tools!$F$6:$F$105,MATCH(C267,Tools!$B$6:$B$105,0)))/INDEX(Tools!$U$6:$U$105,MATCH(C267,Tools!$B$6:$B$105,0)))),0))</f>
        <v/>
      </c>
      <c r="K267">
        <f>IF(H267="Remove now",ROW(),"")</f>
        <v/>
      </c>
    </row>
    <row r="268">
      <c r="A268" s="1" t="n"/>
      <c r="B268" s="20" t="n"/>
      <c r="C268" s="21" t="n"/>
      <c r="D268" s="22" t="n"/>
      <c r="E268" s="25" t="n"/>
      <c r="F268" s="25" t="n"/>
      <c r="G268" s="1">
        <f>IF(OR(B268="",C268=""),"",IF(AND(F268&lt;&gt;"",F268&lt;=TODAY()),0,1))</f>
        <v/>
      </c>
      <c r="H268" s="14">
        <f>IF(OR(B268="",C268=""),"",IF(G268=0,"Removed",IF(AND(I268&lt;&gt;"",I268&lt;=TODAY()),"Remove now","Active")))</f>
        <v/>
      </c>
      <c r="I268" s="1">
        <f>IFERROR(IF(INDEX(Team!$E$6:$E$105,MATCH(B268,Team!$B$6:$B$105,0))="","",INDEX(Team!$E$6:$E$105,MATCH(B268,Team!$B$6:$B$105,0))),"")</f>
        <v/>
      </c>
      <c r="J268">
        <f>IF(G268&lt;&gt;1,0,IFERROR(IF(INDEX(Tools!$G$6:$G$105,MATCH(C268,Tools!$B$6:$B$105,0))="",0,IF(N(INDEX(Tools!$O$6:$O$105,MATCH(C268,Tools!$B$6:$B$105,0)))=0,0,N(INDEX(Tools!$F$6:$F$105,MATCH(C268,Tools!$B$6:$B$105,0)))/INDEX(Tools!$U$6:$U$105,MATCH(C268,Tools!$B$6:$B$105,0)))),0))</f>
        <v/>
      </c>
      <c r="K268">
        <f>IF(H268="Remove now",ROW(),"")</f>
        <v/>
      </c>
    </row>
    <row r="269">
      <c r="A269" s="1" t="n"/>
      <c r="B269" s="20" t="n"/>
      <c r="C269" s="21" t="n"/>
      <c r="D269" s="22" t="n"/>
      <c r="E269" s="25" t="n"/>
      <c r="F269" s="25" t="n"/>
      <c r="G269" s="1">
        <f>IF(OR(B269="",C269=""),"",IF(AND(F269&lt;&gt;"",F269&lt;=TODAY()),0,1))</f>
        <v/>
      </c>
      <c r="H269" s="14">
        <f>IF(OR(B269="",C269=""),"",IF(G269=0,"Removed",IF(AND(I269&lt;&gt;"",I269&lt;=TODAY()),"Remove now","Active")))</f>
        <v/>
      </c>
      <c r="I269" s="1">
        <f>IFERROR(IF(INDEX(Team!$E$6:$E$105,MATCH(B269,Team!$B$6:$B$105,0))="","",INDEX(Team!$E$6:$E$105,MATCH(B269,Team!$B$6:$B$105,0))),"")</f>
        <v/>
      </c>
      <c r="J269">
        <f>IF(G269&lt;&gt;1,0,IFERROR(IF(INDEX(Tools!$G$6:$G$105,MATCH(C269,Tools!$B$6:$B$105,0))="",0,IF(N(INDEX(Tools!$O$6:$O$105,MATCH(C269,Tools!$B$6:$B$105,0)))=0,0,N(INDEX(Tools!$F$6:$F$105,MATCH(C269,Tools!$B$6:$B$105,0)))/INDEX(Tools!$U$6:$U$105,MATCH(C269,Tools!$B$6:$B$105,0)))),0))</f>
        <v/>
      </c>
      <c r="K269">
        <f>IF(H269="Remove now",ROW(),"")</f>
        <v/>
      </c>
    </row>
    <row r="270">
      <c r="A270" s="1" t="n"/>
      <c r="B270" s="20" t="n"/>
      <c r="C270" s="21" t="n"/>
      <c r="D270" s="22" t="n"/>
      <c r="E270" s="25" t="n"/>
      <c r="F270" s="25" t="n"/>
      <c r="G270" s="1">
        <f>IF(OR(B270="",C270=""),"",IF(AND(F270&lt;&gt;"",F270&lt;=TODAY()),0,1))</f>
        <v/>
      </c>
      <c r="H270" s="14">
        <f>IF(OR(B270="",C270=""),"",IF(G270=0,"Removed",IF(AND(I270&lt;&gt;"",I270&lt;=TODAY()),"Remove now","Active")))</f>
        <v/>
      </c>
      <c r="I270" s="1">
        <f>IFERROR(IF(INDEX(Team!$E$6:$E$105,MATCH(B270,Team!$B$6:$B$105,0))="","",INDEX(Team!$E$6:$E$105,MATCH(B270,Team!$B$6:$B$105,0))),"")</f>
        <v/>
      </c>
      <c r="J270">
        <f>IF(G270&lt;&gt;1,0,IFERROR(IF(INDEX(Tools!$G$6:$G$105,MATCH(C270,Tools!$B$6:$B$105,0))="",0,IF(N(INDEX(Tools!$O$6:$O$105,MATCH(C270,Tools!$B$6:$B$105,0)))=0,0,N(INDEX(Tools!$F$6:$F$105,MATCH(C270,Tools!$B$6:$B$105,0)))/INDEX(Tools!$U$6:$U$105,MATCH(C270,Tools!$B$6:$B$105,0)))),0))</f>
        <v/>
      </c>
      <c r="K270">
        <f>IF(H270="Remove now",ROW(),"")</f>
        <v/>
      </c>
    </row>
    <row r="271">
      <c r="A271" s="1" t="n"/>
      <c r="B271" s="20" t="n"/>
      <c r="C271" s="21" t="n"/>
      <c r="D271" s="22" t="n"/>
      <c r="E271" s="25" t="n"/>
      <c r="F271" s="25" t="n"/>
      <c r="G271" s="1">
        <f>IF(OR(B271="",C271=""),"",IF(AND(F271&lt;&gt;"",F271&lt;=TODAY()),0,1))</f>
        <v/>
      </c>
      <c r="H271" s="14">
        <f>IF(OR(B271="",C271=""),"",IF(G271=0,"Removed",IF(AND(I271&lt;&gt;"",I271&lt;=TODAY()),"Remove now","Active")))</f>
        <v/>
      </c>
      <c r="I271" s="1">
        <f>IFERROR(IF(INDEX(Team!$E$6:$E$105,MATCH(B271,Team!$B$6:$B$105,0))="","",INDEX(Team!$E$6:$E$105,MATCH(B271,Team!$B$6:$B$105,0))),"")</f>
        <v/>
      </c>
      <c r="J271">
        <f>IF(G271&lt;&gt;1,0,IFERROR(IF(INDEX(Tools!$G$6:$G$105,MATCH(C271,Tools!$B$6:$B$105,0))="",0,IF(N(INDEX(Tools!$O$6:$O$105,MATCH(C271,Tools!$B$6:$B$105,0)))=0,0,N(INDEX(Tools!$F$6:$F$105,MATCH(C271,Tools!$B$6:$B$105,0)))/INDEX(Tools!$U$6:$U$105,MATCH(C271,Tools!$B$6:$B$105,0)))),0))</f>
        <v/>
      </c>
      <c r="K271">
        <f>IF(H271="Remove now",ROW(),"")</f>
        <v/>
      </c>
    </row>
    <row r="272">
      <c r="A272" s="1" t="n"/>
      <c r="B272" s="20" t="n"/>
      <c r="C272" s="21" t="n"/>
      <c r="D272" s="22" t="n"/>
      <c r="E272" s="25" t="n"/>
      <c r="F272" s="25" t="n"/>
      <c r="G272" s="1">
        <f>IF(OR(B272="",C272=""),"",IF(AND(F272&lt;&gt;"",F272&lt;=TODAY()),0,1))</f>
        <v/>
      </c>
      <c r="H272" s="14">
        <f>IF(OR(B272="",C272=""),"",IF(G272=0,"Removed",IF(AND(I272&lt;&gt;"",I272&lt;=TODAY()),"Remove now","Active")))</f>
        <v/>
      </c>
      <c r="I272" s="1">
        <f>IFERROR(IF(INDEX(Team!$E$6:$E$105,MATCH(B272,Team!$B$6:$B$105,0))="","",INDEX(Team!$E$6:$E$105,MATCH(B272,Team!$B$6:$B$105,0))),"")</f>
        <v/>
      </c>
      <c r="J272">
        <f>IF(G272&lt;&gt;1,0,IFERROR(IF(INDEX(Tools!$G$6:$G$105,MATCH(C272,Tools!$B$6:$B$105,0))="",0,IF(N(INDEX(Tools!$O$6:$O$105,MATCH(C272,Tools!$B$6:$B$105,0)))=0,0,N(INDEX(Tools!$F$6:$F$105,MATCH(C272,Tools!$B$6:$B$105,0)))/INDEX(Tools!$U$6:$U$105,MATCH(C272,Tools!$B$6:$B$105,0)))),0))</f>
        <v/>
      </c>
      <c r="K272">
        <f>IF(H272="Remove now",ROW(),"")</f>
        <v/>
      </c>
    </row>
    <row r="273">
      <c r="A273" s="1" t="n"/>
      <c r="B273" s="20" t="n"/>
      <c r="C273" s="21" t="n"/>
      <c r="D273" s="22" t="n"/>
      <c r="E273" s="25" t="n"/>
      <c r="F273" s="25" t="n"/>
      <c r="G273" s="1">
        <f>IF(OR(B273="",C273=""),"",IF(AND(F273&lt;&gt;"",F273&lt;=TODAY()),0,1))</f>
        <v/>
      </c>
      <c r="H273" s="14">
        <f>IF(OR(B273="",C273=""),"",IF(G273=0,"Removed",IF(AND(I273&lt;&gt;"",I273&lt;=TODAY()),"Remove now","Active")))</f>
        <v/>
      </c>
      <c r="I273" s="1">
        <f>IFERROR(IF(INDEX(Team!$E$6:$E$105,MATCH(B273,Team!$B$6:$B$105,0))="","",INDEX(Team!$E$6:$E$105,MATCH(B273,Team!$B$6:$B$105,0))),"")</f>
        <v/>
      </c>
      <c r="J273">
        <f>IF(G273&lt;&gt;1,0,IFERROR(IF(INDEX(Tools!$G$6:$G$105,MATCH(C273,Tools!$B$6:$B$105,0))="",0,IF(N(INDEX(Tools!$O$6:$O$105,MATCH(C273,Tools!$B$6:$B$105,0)))=0,0,N(INDEX(Tools!$F$6:$F$105,MATCH(C273,Tools!$B$6:$B$105,0)))/INDEX(Tools!$U$6:$U$105,MATCH(C273,Tools!$B$6:$B$105,0)))),0))</f>
        <v/>
      </c>
      <c r="K273">
        <f>IF(H273="Remove now",ROW(),"")</f>
        <v/>
      </c>
    </row>
    <row r="274">
      <c r="A274" s="1" t="n"/>
      <c r="B274" s="20" t="n"/>
      <c r="C274" s="21" t="n"/>
      <c r="D274" s="22" t="n"/>
      <c r="E274" s="25" t="n"/>
      <c r="F274" s="25" t="n"/>
      <c r="G274" s="1">
        <f>IF(OR(B274="",C274=""),"",IF(AND(F274&lt;&gt;"",F274&lt;=TODAY()),0,1))</f>
        <v/>
      </c>
      <c r="H274" s="14">
        <f>IF(OR(B274="",C274=""),"",IF(G274=0,"Removed",IF(AND(I274&lt;&gt;"",I274&lt;=TODAY()),"Remove now","Active")))</f>
        <v/>
      </c>
      <c r="I274" s="1">
        <f>IFERROR(IF(INDEX(Team!$E$6:$E$105,MATCH(B274,Team!$B$6:$B$105,0))="","",INDEX(Team!$E$6:$E$105,MATCH(B274,Team!$B$6:$B$105,0))),"")</f>
        <v/>
      </c>
      <c r="J274">
        <f>IF(G274&lt;&gt;1,0,IFERROR(IF(INDEX(Tools!$G$6:$G$105,MATCH(C274,Tools!$B$6:$B$105,0))="",0,IF(N(INDEX(Tools!$O$6:$O$105,MATCH(C274,Tools!$B$6:$B$105,0)))=0,0,N(INDEX(Tools!$F$6:$F$105,MATCH(C274,Tools!$B$6:$B$105,0)))/INDEX(Tools!$U$6:$U$105,MATCH(C274,Tools!$B$6:$B$105,0)))),0))</f>
        <v/>
      </c>
      <c r="K274">
        <f>IF(H274="Remove now",ROW(),"")</f>
        <v/>
      </c>
    </row>
    <row r="275">
      <c r="A275" s="1" t="n"/>
      <c r="B275" s="20" t="n"/>
      <c r="C275" s="21" t="n"/>
      <c r="D275" s="22" t="n"/>
      <c r="E275" s="25" t="n"/>
      <c r="F275" s="25" t="n"/>
      <c r="G275" s="1">
        <f>IF(OR(B275="",C275=""),"",IF(AND(F275&lt;&gt;"",F275&lt;=TODAY()),0,1))</f>
        <v/>
      </c>
      <c r="H275" s="14">
        <f>IF(OR(B275="",C275=""),"",IF(G275=0,"Removed",IF(AND(I275&lt;&gt;"",I275&lt;=TODAY()),"Remove now","Active")))</f>
        <v/>
      </c>
      <c r="I275" s="1">
        <f>IFERROR(IF(INDEX(Team!$E$6:$E$105,MATCH(B275,Team!$B$6:$B$105,0))="","",INDEX(Team!$E$6:$E$105,MATCH(B275,Team!$B$6:$B$105,0))),"")</f>
        <v/>
      </c>
      <c r="J275">
        <f>IF(G275&lt;&gt;1,0,IFERROR(IF(INDEX(Tools!$G$6:$G$105,MATCH(C275,Tools!$B$6:$B$105,0))="",0,IF(N(INDEX(Tools!$O$6:$O$105,MATCH(C275,Tools!$B$6:$B$105,0)))=0,0,N(INDEX(Tools!$F$6:$F$105,MATCH(C275,Tools!$B$6:$B$105,0)))/INDEX(Tools!$U$6:$U$105,MATCH(C275,Tools!$B$6:$B$105,0)))),0))</f>
        <v/>
      </c>
      <c r="K275">
        <f>IF(H275="Remove now",ROW(),"")</f>
        <v/>
      </c>
    </row>
    <row r="276">
      <c r="A276" s="1" t="n"/>
      <c r="B276" s="20" t="n"/>
      <c r="C276" s="21" t="n"/>
      <c r="D276" s="22" t="n"/>
      <c r="E276" s="25" t="n"/>
      <c r="F276" s="25" t="n"/>
      <c r="G276" s="1">
        <f>IF(OR(B276="",C276=""),"",IF(AND(F276&lt;&gt;"",F276&lt;=TODAY()),0,1))</f>
        <v/>
      </c>
      <c r="H276" s="14">
        <f>IF(OR(B276="",C276=""),"",IF(G276=0,"Removed",IF(AND(I276&lt;&gt;"",I276&lt;=TODAY()),"Remove now","Active")))</f>
        <v/>
      </c>
      <c r="I276" s="1">
        <f>IFERROR(IF(INDEX(Team!$E$6:$E$105,MATCH(B276,Team!$B$6:$B$105,0))="","",INDEX(Team!$E$6:$E$105,MATCH(B276,Team!$B$6:$B$105,0))),"")</f>
        <v/>
      </c>
      <c r="J276">
        <f>IF(G276&lt;&gt;1,0,IFERROR(IF(INDEX(Tools!$G$6:$G$105,MATCH(C276,Tools!$B$6:$B$105,0))="",0,IF(N(INDEX(Tools!$O$6:$O$105,MATCH(C276,Tools!$B$6:$B$105,0)))=0,0,N(INDEX(Tools!$F$6:$F$105,MATCH(C276,Tools!$B$6:$B$105,0)))/INDEX(Tools!$U$6:$U$105,MATCH(C276,Tools!$B$6:$B$105,0)))),0))</f>
        <v/>
      </c>
      <c r="K276">
        <f>IF(H276="Remove now",ROW(),"")</f>
        <v/>
      </c>
    </row>
    <row r="277">
      <c r="A277" s="1" t="n"/>
      <c r="B277" s="20" t="n"/>
      <c r="C277" s="21" t="n"/>
      <c r="D277" s="22" t="n"/>
      <c r="E277" s="25" t="n"/>
      <c r="F277" s="25" t="n"/>
      <c r="G277" s="1">
        <f>IF(OR(B277="",C277=""),"",IF(AND(F277&lt;&gt;"",F277&lt;=TODAY()),0,1))</f>
        <v/>
      </c>
      <c r="H277" s="14">
        <f>IF(OR(B277="",C277=""),"",IF(G277=0,"Removed",IF(AND(I277&lt;&gt;"",I277&lt;=TODAY()),"Remove now","Active")))</f>
        <v/>
      </c>
      <c r="I277" s="1">
        <f>IFERROR(IF(INDEX(Team!$E$6:$E$105,MATCH(B277,Team!$B$6:$B$105,0))="","",INDEX(Team!$E$6:$E$105,MATCH(B277,Team!$B$6:$B$105,0))),"")</f>
        <v/>
      </c>
      <c r="J277">
        <f>IF(G277&lt;&gt;1,0,IFERROR(IF(INDEX(Tools!$G$6:$G$105,MATCH(C277,Tools!$B$6:$B$105,0))="",0,IF(N(INDEX(Tools!$O$6:$O$105,MATCH(C277,Tools!$B$6:$B$105,0)))=0,0,N(INDEX(Tools!$F$6:$F$105,MATCH(C277,Tools!$B$6:$B$105,0)))/INDEX(Tools!$U$6:$U$105,MATCH(C277,Tools!$B$6:$B$105,0)))),0))</f>
        <v/>
      </c>
      <c r="K277">
        <f>IF(H277="Remove now",ROW(),"")</f>
        <v/>
      </c>
    </row>
    <row r="278">
      <c r="A278" s="1" t="n"/>
      <c r="B278" s="20" t="n"/>
      <c r="C278" s="21" t="n"/>
      <c r="D278" s="22" t="n"/>
      <c r="E278" s="25" t="n"/>
      <c r="F278" s="25" t="n"/>
      <c r="G278" s="1">
        <f>IF(OR(B278="",C278=""),"",IF(AND(F278&lt;&gt;"",F278&lt;=TODAY()),0,1))</f>
        <v/>
      </c>
      <c r="H278" s="14">
        <f>IF(OR(B278="",C278=""),"",IF(G278=0,"Removed",IF(AND(I278&lt;&gt;"",I278&lt;=TODAY()),"Remove now","Active")))</f>
        <v/>
      </c>
      <c r="I278" s="1">
        <f>IFERROR(IF(INDEX(Team!$E$6:$E$105,MATCH(B278,Team!$B$6:$B$105,0))="","",INDEX(Team!$E$6:$E$105,MATCH(B278,Team!$B$6:$B$105,0))),"")</f>
        <v/>
      </c>
      <c r="J278">
        <f>IF(G278&lt;&gt;1,0,IFERROR(IF(INDEX(Tools!$G$6:$G$105,MATCH(C278,Tools!$B$6:$B$105,0))="",0,IF(N(INDEX(Tools!$O$6:$O$105,MATCH(C278,Tools!$B$6:$B$105,0)))=0,0,N(INDEX(Tools!$F$6:$F$105,MATCH(C278,Tools!$B$6:$B$105,0)))/INDEX(Tools!$U$6:$U$105,MATCH(C278,Tools!$B$6:$B$105,0)))),0))</f>
        <v/>
      </c>
      <c r="K278">
        <f>IF(H278="Remove now",ROW(),"")</f>
        <v/>
      </c>
    </row>
    <row r="279">
      <c r="A279" s="1" t="n"/>
      <c r="B279" s="20" t="n"/>
      <c r="C279" s="21" t="n"/>
      <c r="D279" s="22" t="n"/>
      <c r="E279" s="25" t="n"/>
      <c r="F279" s="25" t="n"/>
      <c r="G279" s="1">
        <f>IF(OR(B279="",C279=""),"",IF(AND(F279&lt;&gt;"",F279&lt;=TODAY()),0,1))</f>
        <v/>
      </c>
      <c r="H279" s="14">
        <f>IF(OR(B279="",C279=""),"",IF(G279=0,"Removed",IF(AND(I279&lt;&gt;"",I279&lt;=TODAY()),"Remove now","Active")))</f>
        <v/>
      </c>
      <c r="I279" s="1">
        <f>IFERROR(IF(INDEX(Team!$E$6:$E$105,MATCH(B279,Team!$B$6:$B$105,0))="","",INDEX(Team!$E$6:$E$105,MATCH(B279,Team!$B$6:$B$105,0))),"")</f>
        <v/>
      </c>
      <c r="J279">
        <f>IF(G279&lt;&gt;1,0,IFERROR(IF(INDEX(Tools!$G$6:$G$105,MATCH(C279,Tools!$B$6:$B$105,0))="",0,IF(N(INDEX(Tools!$O$6:$O$105,MATCH(C279,Tools!$B$6:$B$105,0)))=0,0,N(INDEX(Tools!$F$6:$F$105,MATCH(C279,Tools!$B$6:$B$105,0)))/INDEX(Tools!$U$6:$U$105,MATCH(C279,Tools!$B$6:$B$105,0)))),0))</f>
        <v/>
      </c>
      <c r="K279">
        <f>IF(H279="Remove now",ROW(),"")</f>
        <v/>
      </c>
    </row>
    <row r="280">
      <c r="A280" s="1" t="n"/>
      <c r="B280" s="20" t="n"/>
      <c r="C280" s="21" t="n"/>
      <c r="D280" s="22" t="n"/>
      <c r="E280" s="25" t="n"/>
      <c r="F280" s="25" t="n"/>
      <c r="G280" s="1">
        <f>IF(OR(B280="",C280=""),"",IF(AND(F280&lt;&gt;"",F280&lt;=TODAY()),0,1))</f>
        <v/>
      </c>
      <c r="H280" s="14">
        <f>IF(OR(B280="",C280=""),"",IF(G280=0,"Removed",IF(AND(I280&lt;&gt;"",I280&lt;=TODAY()),"Remove now","Active")))</f>
        <v/>
      </c>
      <c r="I280" s="1">
        <f>IFERROR(IF(INDEX(Team!$E$6:$E$105,MATCH(B280,Team!$B$6:$B$105,0))="","",INDEX(Team!$E$6:$E$105,MATCH(B280,Team!$B$6:$B$105,0))),"")</f>
        <v/>
      </c>
      <c r="J280">
        <f>IF(G280&lt;&gt;1,0,IFERROR(IF(INDEX(Tools!$G$6:$G$105,MATCH(C280,Tools!$B$6:$B$105,0))="",0,IF(N(INDEX(Tools!$O$6:$O$105,MATCH(C280,Tools!$B$6:$B$105,0)))=0,0,N(INDEX(Tools!$F$6:$F$105,MATCH(C280,Tools!$B$6:$B$105,0)))/INDEX(Tools!$U$6:$U$105,MATCH(C280,Tools!$B$6:$B$105,0)))),0))</f>
        <v/>
      </c>
      <c r="K280">
        <f>IF(H280="Remove now",ROW(),"")</f>
        <v/>
      </c>
    </row>
    <row r="281">
      <c r="A281" s="1" t="n"/>
      <c r="B281" s="20" t="n"/>
      <c r="C281" s="21" t="n"/>
      <c r="D281" s="22" t="n"/>
      <c r="E281" s="25" t="n"/>
      <c r="F281" s="25" t="n"/>
      <c r="G281" s="1">
        <f>IF(OR(B281="",C281=""),"",IF(AND(F281&lt;&gt;"",F281&lt;=TODAY()),0,1))</f>
        <v/>
      </c>
      <c r="H281" s="14">
        <f>IF(OR(B281="",C281=""),"",IF(G281=0,"Removed",IF(AND(I281&lt;&gt;"",I281&lt;=TODAY()),"Remove now","Active")))</f>
        <v/>
      </c>
      <c r="I281" s="1">
        <f>IFERROR(IF(INDEX(Team!$E$6:$E$105,MATCH(B281,Team!$B$6:$B$105,0))="","",INDEX(Team!$E$6:$E$105,MATCH(B281,Team!$B$6:$B$105,0))),"")</f>
        <v/>
      </c>
      <c r="J281">
        <f>IF(G281&lt;&gt;1,0,IFERROR(IF(INDEX(Tools!$G$6:$G$105,MATCH(C281,Tools!$B$6:$B$105,0))="",0,IF(N(INDEX(Tools!$O$6:$O$105,MATCH(C281,Tools!$B$6:$B$105,0)))=0,0,N(INDEX(Tools!$F$6:$F$105,MATCH(C281,Tools!$B$6:$B$105,0)))/INDEX(Tools!$U$6:$U$105,MATCH(C281,Tools!$B$6:$B$105,0)))),0))</f>
        <v/>
      </c>
      <c r="K281">
        <f>IF(H281="Remove now",ROW(),"")</f>
        <v/>
      </c>
    </row>
    <row r="282">
      <c r="A282" s="1" t="n"/>
      <c r="B282" s="20" t="n"/>
      <c r="C282" s="21" t="n"/>
      <c r="D282" s="22" t="n"/>
      <c r="E282" s="25" t="n"/>
      <c r="F282" s="25" t="n"/>
      <c r="G282" s="1">
        <f>IF(OR(B282="",C282=""),"",IF(AND(F282&lt;&gt;"",F282&lt;=TODAY()),0,1))</f>
        <v/>
      </c>
      <c r="H282" s="14">
        <f>IF(OR(B282="",C282=""),"",IF(G282=0,"Removed",IF(AND(I282&lt;&gt;"",I282&lt;=TODAY()),"Remove now","Active")))</f>
        <v/>
      </c>
      <c r="I282" s="1">
        <f>IFERROR(IF(INDEX(Team!$E$6:$E$105,MATCH(B282,Team!$B$6:$B$105,0))="","",INDEX(Team!$E$6:$E$105,MATCH(B282,Team!$B$6:$B$105,0))),"")</f>
        <v/>
      </c>
      <c r="J282">
        <f>IF(G282&lt;&gt;1,0,IFERROR(IF(INDEX(Tools!$G$6:$G$105,MATCH(C282,Tools!$B$6:$B$105,0))="",0,IF(N(INDEX(Tools!$O$6:$O$105,MATCH(C282,Tools!$B$6:$B$105,0)))=0,0,N(INDEX(Tools!$F$6:$F$105,MATCH(C282,Tools!$B$6:$B$105,0)))/INDEX(Tools!$U$6:$U$105,MATCH(C282,Tools!$B$6:$B$105,0)))),0))</f>
        <v/>
      </c>
      <c r="K282">
        <f>IF(H282="Remove now",ROW(),"")</f>
        <v/>
      </c>
    </row>
    <row r="283">
      <c r="A283" s="1" t="n"/>
      <c r="B283" s="20" t="n"/>
      <c r="C283" s="21" t="n"/>
      <c r="D283" s="22" t="n"/>
      <c r="E283" s="25" t="n"/>
      <c r="F283" s="25" t="n"/>
      <c r="G283" s="1">
        <f>IF(OR(B283="",C283=""),"",IF(AND(F283&lt;&gt;"",F283&lt;=TODAY()),0,1))</f>
        <v/>
      </c>
      <c r="H283" s="14">
        <f>IF(OR(B283="",C283=""),"",IF(G283=0,"Removed",IF(AND(I283&lt;&gt;"",I283&lt;=TODAY()),"Remove now","Active")))</f>
        <v/>
      </c>
      <c r="I283" s="1">
        <f>IFERROR(IF(INDEX(Team!$E$6:$E$105,MATCH(B283,Team!$B$6:$B$105,0))="","",INDEX(Team!$E$6:$E$105,MATCH(B283,Team!$B$6:$B$105,0))),"")</f>
        <v/>
      </c>
      <c r="J283">
        <f>IF(G283&lt;&gt;1,0,IFERROR(IF(INDEX(Tools!$G$6:$G$105,MATCH(C283,Tools!$B$6:$B$105,0))="",0,IF(N(INDEX(Tools!$O$6:$O$105,MATCH(C283,Tools!$B$6:$B$105,0)))=0,0,N(INDEX(Tools!$F$6:$F$105,MATCH(C283,Tools!$B$6:$B$105,0)))/INDEX(Tools!$U$6:$U$105,MATCH(C283,Tools!$B$6:$B$105,0)))),0))</f>
        <v/>
      </c>
      <c r="K283">
        <f>IF(H283="Remove now",ROW(),"")</f>
        <v/>
      </c>
    </row>
    <row r="284">
      <c r="A284" s="1" t="n"/>
      <c r="B284" s="20" t="n"/>
      <c r="C284" s="21" t="n"/>
      <c r="D284" s="22" t="n"/>
      <c r="E284" s="25" t="n"/>
      <c r="F284" s="25" t="n"/>
      <c r="G284" s="1">
        <f>IF(OR(B284="",C284=""),"",IF(AND(F284&lt;&gt;"",F284&lt;=TODAY()),0,1))</f>
        <v/>
      </c>
      <c r="H284" s="14">
        <f>IF(OR(B284="",C284=""),"",IF(G284=0,"Removed",IF(AND(I284&lt;&gt;"",I284&lt;=TODAY()),"Remove now","Active")))</f>
        <v/>
      </c>
      <c r="I284" s="1">
        <f>IFERROR(IF(INDEX(Team!$E$6:$E$105,MATCH(B284,Team!$B$6:$B$105,0))="","",INDEX(Team!$E$6:$E$105,MATCH(B284,Team!$B$6:$B$105,0))),"")</f>
        <v/>
      </c>
      <c r="J284">
        <f>IF(G284&lt;&gt;1,0,IFERROR(IF(INDEX(Tools!$G$6:$G$105,MATCH(C284,Tools!$B$6:$B$105,0))="",0,IF(N(INDEX(Tools!$O$6:$O$105,MATCH(C284,Tools!$B$6:$B$105,0)))=0,0,N(INDEX(Tools!$F$6:$F$105,MATCH(C284,Tools!$B$6:$B$105,0)))/INDEX(Tools!$U$6:$U$105,MATCH(C284,Tools!$B$6:$B$105,0)))),0))</f>
        <v/>
      </c>
      <c r="K284">
        <f>IF(H284="Remove now",ROW(),"")</f>
        <v/>
      </c>
    </row>
    <row r="285">
      <c r="A285" s="1" t="n"/>
      <c r="B285" s="20" t="n"/>
      <c r="C285" s="21" t="n"/>
      <c r="D285" s="22" t="n"/>
      <c r="E285" s="25" t="n"/>
      <c r="F285" s="25" t="n"/>
      <c r="G285" s="1">
        <f>IF(OR(B285="",C285=""),"",IF(AND(F285&lt;&gt;"",F285&lt;=TODAY()),0,1))</f>
        <v/>
      </c>
      <c r="H285" s="14">
        <f>IF(OR(B285="",C285=""),"",IF(G285=0,"Removed",IF(AND(I285&lt;&gt;"",I285&lt;=TODAY()),"Remove now","Active")))</f>
        <v/>
      </c>
      <c r="I285" s="1">
        <f>IFERROR(IF(INDEX(Team!$E$6:$E$105,MATCH(B285,Team!$B$6:$B$105,0))="","",INDEX(Team!$E$6:$E$105,MATCH(B285,Team!$B$6:$B$105,0))),"")</f>
        <v/>
      </c>
      <c r="J285">
        <f>IF(G285&lt;&gt;1,0,IFERROR(IF(INDEX(Tools!$G$6:$G$105,MATCH(C285,Tools!$B$6:$B$105,0))="",0,IF(N(INDEX(Tools!$O$6:$O$105,MATCH(C285,Tools!$B$6:$B$105,0)))=0,0,N(INDEX(Tools!$F$6:$F$105,MATCH(C285,Tools!$B$6:$B$105,0)))/INDEX(Tools!$U$6:$U$105,MATCH(C285,Tools!$B$6:$B$105,0)))),0))</f>
        <v/>
      </c>
      <c r="K285">
        <f>IF(H285="Remove now",ROW(),"")</f>
        <v/>
      </c>
    </row>
    <row r="286">
      <c r="A286" s="1" t="n"/>
      <c r="B286" s="20" t="n"/>
      <c r="C286" s="21" t="n"/>
      <c r="D286" s="22" t="n"/>
      <c r="E286" s="25" t="n"/>
      <c r="F286" s="25" t="n"/>
      <c r="G286" s="1">
        <f>IF(OR(B286="",C286=""),"",IF(AND(F286&lt;&gt;"",F286&lt;=TODAY()),0,1))</f>
        <v/>
      </c>
      <c r="H286" s="14">
        <f>IF(OR(B286="",C286=""),"",IF(G286=0,"Removed",IF(AND(I286&lt;&gt;"",I286&lt;=TODAY()),"Remove now","Active")))</f>
        <v/>
      </c>
      <c r="I286" s="1">
        <f>IFERROR(IF(INDEX(Team!$E$6:$E$105,MATCH(B286,Team!$B$6:$B$105,0))="","",INDEX(Team!$E$6:$E$105,MATCH(B286,Team!$B$6:$B$105,0))),"")</f>
        <v/>
      </c>
      <c r="J286">
        <f>IF(G286&lt;&gt;1,0,IFERROR(IF(INDEX(Tools!$G$6:$G$105,MATCH(C286,Tools!$B$6:$B$105,0))="",0,IF(N(INDEX(Tools!$O$6:$O$105,MATCH(C286,Tools!$B$6:$B$105,0)))=0,0,N(INDEX(Tools!$F$6:$F$105,MATCH(C286,Tools!$B$6:$B$105,0)))/INDEX(Tools!$U$6:$U$105,MATCH(C286,Tools!$B$6:$B$105,0)))),0))</f>
        <v/>
      </c>
      <c r="K286">
        <f>IF(H286="Remove now",ROW(),"")</f>
        <v/>
      </c>
    </row>
    <row r="287">
      <c r="A287" s="1" t="n"/>
      <c r="B287" s="20" t="n"/>
      <c r="C287" s="21" t="n"/>
      <c r="D287" s="22" t="n"/>
      <c r="E287" s="25" t="n"/>
      <c r="F287" s="25" t="n"/>
      <c r="G287" s="1">
        <f>IF(OR(B287="",C287=""),"",IF(AND(F287&lt;&gt;"",F287&lt;=TODAY()),0,1))</f>
        <v/>
      </c>
      <c r="H287" s="14">
        <f>IF(OR(B287="",C287=""),"",IF(G287=0,"Removed",IF(AND(I287&lt;&gt;"",I287&lt;=TODAY()),"Remove now","Active")))</f>
        <v/>
      </c>
      <c r="I287" s="1">
        <f>IFERROR(IF(INDEX(Team!$E$6:$E$105,MATCH(B287,Team!$B$6:$B$105,0))="","",INDEX(Team!$E$6:$E$105,MATCH(B287,Team!$B$6:$B$105,0))),"")</f>
        <v/>
      </c>
      <c r="J287">
        <f>IF(G287&lt;&gt;1,0,IFERROR(IF(INDEX(Tools!$G$6:$G$105,MATCH(C287,Tools!$B$6:$B$105,0))="",0,IF(N(INDEX(Tools!$O$6:$O$105,MATCH(C287,Tools!$B$6:$B$105,0)))=0,0,N(INDEX(Tools!$F$6:$F$105,MATCH(C287,Tools!$B$6:$B$105,0)))/INDEX(Tools!$U$6:$U$105,MATCH(C287,Tools!$B$6:$B$105,0)))),0))</f>
        <v/>
      </c>
      <c r="K287">
        <f>IF(H287="Remove now",ROW(),"")</f>
        <v/>
      </c>
    </row>
    <row r="288">
      <c r="A288" s="1" t="n"/>
      <c r="B288" s="20" t="n"/>
      <c r="C288" s="21" t="n"/>
      <c r="D288" s="22" t="n"/>
      <c r="E288" s="25" t="n"/>
      <c r="F288" s="25" t="n"/>
      <c r="G288" s="1">
        <f>IF(OR(B288="",C288=""),"",IF(AND(F288&lt;&gt;"",F288&lt;=TODAY()),0,1))</f>
        <v/>
      </c>
      <c r="H288" s="14">
        <f>IF(OR(B288="",C288=""),"",IF(G288=0,"Removed",IF(AND(I288&lt;&gt;"",I288&lt;=TODAY()),"Remove now","Active")))</f>
        <v/>
      </c>
      <c r="I288" s="1">
        <f>IFERROR(IF(INDEX(Team!$E$6:$E$105,MATCH(B288,Team!$B$6:$B$105,0))="","",INDEX(Team!$E$6:$E$105,MATCH(B288,Team!$B$6:$B$105,0))),"")</f>
        <v/>
      </c>
      <c r="J288">
        <f>IF(G288&lt;&gt;1,0,IFERROR(IF(INDEX(Tools!$G$6:$G$105,MATCH(C288,Tools!$B$6:$B$105,0))="",0,IF(N(INDEX(Tools!$O$6:$O$105,MATCH(C288,Tools!$B$6:$B$105,0)))=0,0,N(INDEX(Tools!$F$6:$F$105,MATCH(C288,Tools!$B$6:$B$105,0)))/INDEX(Tools!$U$6:$U$105,MATCH(C288,Tools!$B$6:$B$105,0)))),0))</f>
        <v/>
      </c>
      <c r="K288">
        <f>IF(H288="Remove now",ROW(),"")</f>
        <v/>
      </c>
    </row>
    <row r="289">
      <c r="A289" s="1" t="n"/>
      <c r="B289" s="20" t="n"/>
      <c r="C289" s="21" t="n"/>
      <c r="D289" s="22" t="n"/>
      <c r="E289" s="25" t="n"/>
      <c r="F289" s="25" t="n"/>
      <c r="G289" s="1">
        <f>IF(OR(B289="",C289=""),"",IF(AND(F289&lt;&gt;"",F289&lt;=TODAY()),0,1))</f>
        <v/>
      </c>
      <c r="H289" s="14">
        <f>IF(OR(B289="",C289=""),"",IF(G289=0,"Removed",IF(AND(I289&lt;&gt;"",I289&lt;=TODAY()),"Remove now","Active")))</f>
        <v/>
      </c>
      <c r="I289" s="1">
        <f>IFERROR(IF(INDEX(Team!$E$6:$E$105,MATCH(B289,Team!$B$6:$B$105,0))="","",INDEX(Team!$E$6:$E$105,MATCH(B289,Team!$B$6:$B$105,0))),"")</f>
        <v/>
      </c>
      <c r="J289">
        <f>IF(G289&lt;&gt;1,0,IFERROR(IF(INDEX(Tools!$G$6:$G$105,MATCH(C289,Tools!$B$6:$B$105,0))="",0,IF(N(INDEX(Tools!$O$6:$O$105,MATCH(C289,Tools!$B$6:$B$105,0)))=0,0,N(INDEX(Tools!$F$6:$F$105,MATCH(C289,Tools!$B$6:$B$105,0)))/INDEX(Tools!$U$6:$U$105,MATCH(C289,Tools!$B$6:$B$105,0)))),0))</f>
        <v/>
      </c>
      <c r="K289">
        <f>IF(H289="Remove now",ROW(),"")</f>
        <v/>
      </c>
    </row>
    <row r="290">
      <c r="A290" s="1" t="n"/>
      <c r="B290" s="20" t="n"/>
      <c r="C290" s="21" t="n"/>
      <c r="D290" s="22" t="n"/>
      <c r="E290" s="25" t="n"/>
      <c r="F290" s="25" t="n"/>
      <c r="G290" s="1">
        <f>IF(OR(B290="",C290=""),"",IF(AND(F290&lt;&gt;"",F290&lt;=TODAY()),0,1))</f>
        <v/>
      </c>
      <c r="H290" s="14">
        <f>IF(OR(B290="",C290=""),"",IF(G290=0,"Removed",IF(AND(I290&lt;&gt;"",I290&lt;=TODAY()),"Remove now","Active")))</f>
        <v/>
      </c>
      <c r="I290" s="1">
        <f>IFERROR(IF(INDEX(Team!$E$6:$E$105,MATCH(B290,Team!$B$6:$B$105,0))="","",INDEX(Team!$E$6:$E$105,MATCH(B290,Team!$B$6:$B$105,0))),"")</f>
        <v/>
      </c>
      <c r="J290">
        <f>IF(G290&lt;&gt;1,0,IFERROR(IF(INDEX(Tools!$G$6:$G$105,MATCH(C290,Tools!$B$6:$B$105,0))="",0,IF(N(INDEX(Tools!$O$6:$O$105,MATCH(C290,Tools!$B$6:$B$105,0)))=0,0,N(INDEX(Tools!$F$6:$F$105,MATCH(C290,Tools!$B$6:$B$105,0)))/INDEX(Tools!$U$6:$U$105,MATCH(C290,Tools!$B$6:$B$105,0)))),0))</f>
        <v/>
      </c>
      <c r="K290">
        <f>IF(H290="Remove now",ROW(),"")</f>
        <v/>
      </c>
    </row>
    <row r="291">
      <c r="A291" s="1" t="n"/>
      <c r="B291" s="20" t="n"/>
      <c r="C291" s="21" t="n"/>
      <c r="D291" s="22" t="n"/>
      <c r="E291" s="25" t="n"/>
      <c r="F291" s="25" t="n"/>
      <c r="G291" s="1">
        <f>IF(OR(B291="",C291=""),"",IF(AND(F291&lt;&gt;"",F291&lt;=TODAY()),0,1))</f>
        <v/>
      </c>
      <c r="H291" s="14">
        <f>IF(OR(B291="",C291=""),"",IF(G291=0,"Removed",IF(AND(I291&lt;&gt;"",I291&lt;=TODAY()),"Remove now","Active")))</f>
        <v/>
      </c>
      <c r="I291" s="1">
        <f>IFERROR(IF(INDEX(Team!$E$6:$E$105,MATCH(B291,Team!$B$6:$B$105,0))="","",INDEX(Team!$E$6:$E$105,MATCH(B291,Team!$B$6:$B$105,0))),"")</f>
        <v/>
      </c>
      <c r="J291">
        <f>IF(G291&lt;&gt;1,0,IFERROR(IF(INDEX(Tools!$G$6:$G$105,MATCH(C291,Tools!$B$6:$B$105,0))="",0,IF(N(INDEX(Tools!$O$6:$O$105,MATCH(C291,Tools!$B$6:$B$105,0)))=0,0,N(INDEX(Tools!$F$6:$F$105,MATCH(C291,Tools!$B$6:$B$105,0)))/INDEX(Tools!$U$6:$U$105,MATCH(C291,Tools!$B$6:$B$105,0)))),0))</f>
        <v/>
      </c>
      <c r="K291">
        <f>IF(H291="Remove now",ROW(),"")</f>
        <v/>
      </c>
    </row>
    <row r="292">
      <c r="A292" s="1" t="n"/>
      <c r="B292" s="20" t="n"/>
      <c r="C292" s="21" t="n"/>
      <c r="D292" s="22" t="n"/>
      <c r="E292" s="25" t="n"/>
      <c r="F292" s="25" t="n"/>
      <c r="G292" s="1">
        <f>IF(OR(B292="",C292=""),"",IF(AND(F292&lt;&gt;"",F292&lt;=TODAY()),0,1))</f>
        <v/>
      </c>
      <c r="H292" s="14">
        <f>IF(OR(B292="",C292=""),"",IF(G292=0,"Removed",IF(AND(I292&lt;&gt;"",I292&lt;=TODAY()),"Remove now","Active")))</f>
        <v/>
      </c>
      <c r="I292" s="1">
        <f>IFERROR(IF(INDEX(Team!$E$6:$E$105,MATCH(B292,Team!$B$6:$B$105,0))="","",INDEX(Team!$E$6:$E$105,MATCH(B292,Team!$B$6:$B$105,0))),"")</f>
        <v/>
      </c>
      <c r="J292">
        <f>IF(G292&lt;&gt;1,0,IFERROR(IF(INDEX(Tools!$G$6:$G$105,MATCH(C292,Tools!$B$6:$B$105,0))="",0,IF(N(INDEX(Tools!$O$6:$O$105,MATCH(C292,Tools!$B$6:$B$105,0)))=0,0,N(INDEX(Tools!$F$6:$F$105,MATCH(C292,Tools!$B$6:$B$105,0)))/INDEX(Tools!$U$6:$U$105,MATCH(C292,Tools!$B$6:$B$105,0)))),0))</f>
        <v/>
      </c>
      <c r="K292">
        <f>IF(H292="Remove now",ROW(),"")</f>
        <v/>
      </c>
    </row>
    <row r="293">
      <c r="A293" s="1" t="n"/>
      <c r="B293" s="20" t="n"/>
      <c r="C293" s="21" t="n"/>
      <c r="D293" s="22" t="n"/>
      <c r="E293" s="25" t="n"/>
      <c r="F293" s="25" t="n"/>
      <c r="G293" s="1">
        <f>IF(OR(B293="",C293=""),"",IF(AND(F293&lt;&gt;"",F293&lt;=TODAY()),0,1))</f>
        <v/>
      </c>
      <c r="H293" s="14">
        <f>IF(OR(B293="",C293=""),"",IF(G293=0,"Removed",IF(AND(I293&lt;&gt;"",I293&lt;=TODAY()),"Remove now","Active")))</f>
        <v/>
      </c>
      <c r="I293" s="1">
        <f>IFERROR(IF(INDEX(Team!$E$6:$E$105,MATCH(B293,Team!$B$6:$B$105,0))="","",INDEX(Team!$E$6:$E$105,MATCH(B293,Team!$B$6:$B$105,0))),"")</f>
        <v/>
      </c>
      <c r="J293">
        <f>IF(G293&lt;&gt;1,0,IFERROR(IF(INDEX(Tools!$G$6:$G$105,MATCH(C293,Tools!$B$6:$B$105,0))="",0,IF(N(INDEX(Tools!$O$6:$O$105,MATCH(C293,Tools!$B$6:$B$105,0)))=0,0,N(INDEX(Tools!$F$6:$F$105,MATCH(C293,Tools!$B$6:$B$105,0)))/INDEX(Tools!$U$6:$U$105,MATCH(C293,Tools!$B$6:$B$105,0)))),0))</f>
        <v/>
      </c>
      <c r="K293">
        <f>IF(H293="Remove now",ROW(),"")</f>
        <v/>
      </c>
    </row>
    <row r="294">
      <c r="A294" s="1" t="n"/>
      <c r="B294" s="20" t="n"/>
      <c r="C294" s="21" t="n"/>
      <c r="D294" s="22" t="n"/>
      <c r="E294" s="25" t="n"/>
      <c r="F294" s="25" t="n"/>
      <c r="G294" s="1">
        <f>IF(OR(B294="",C294=""),"",IF(AND(F294&lt;&gt;"",F294&lt;=TODAY()),0,1))</f>
        <v/>
      </c>
      <c r="H294" s="14">
        <f>IF(OR(B294="",C294=""),"",IF(G294=0,"Removed",IF(AND(I294&lt;&gt;"",I294&lt;=TODAY()),"Remove now","Active")))</f>
        <v/>
      </c>
      <c r="I294" s="1">
        <f>IFERROR(IF(INDEX(Team!$E$6:$E$105,MATCH(B294,Team!$B$6:$B$105,0))="","",INDEX(Team!$E$6:$E$105,MATCH(B294,Team!$B$6:$B$105,0))),"")</f>
        <v/>
      </c>
      <c r="J294">
        <f>IF(G294&lt;&gt;1,0,IFERROR(IF(INDEX(Tools!$G$6:$G$105,MATCH(C294,Tools!$B$6:$B$105,0))="",0,IF(N(INDEX(Tools!$O$6:$O$105,MATCH(C294,Tools!$B$6:$B$105,0)))=0,0,N(INDEX(Tools!$F$6:$F$105,MATCH(C294,Tools!$B$6:$B$105,0)))/INDEX(Tools!$U$6:$U$105,MATCH(C294,Tools!$B$6:$B$105,0)))),0))</f>
        <v/>
      </c>
      <c r="K294">
        <f>IF(H294="Remove now",ROW(),"")</f>
        <v/>
      </c>
    </row>
    <row r="295">
      <c r="A295" s="1" t="n"/>
      <c r="B295" s="20" t="n"/>
      <c r="C295" s="21" t="n"/>
      <c r="D295" s="22" t="n"/>
      <c r="E295" s="25" t="n"/>
      <c r="F295" s="25" t="n"/>
      <c r="G295" s="1">
        <f>IF(OR(B295="",C295=""),"",IF(AND(F295&lt;&gt;"",F295&lt;=TODAY()),0,1))</f>
        <v/>
      </c>
      <c r="H295" s="14">
        <f>IF(OR(B295="",C295=""),"",IF(G295=0,"Removed",IF(AND(I295&lt;&gt;"",I295&lt;=TODAY()),"Remove now","Active")))</f>
        <v/>
      </c>
      <c r="I295" s="1">
        <f>IFERROR(IF(INDEX(Team!$E$6:$E$105,MATCH(B295,Team!$B$6:$B$105,0))="","",INDEX(Team!$E$6:$E$105,MATCH(B295,Team!$B$6:$B$105,0))),"")</f>
        <v/>
      </c>
      <c r="J295">
        <f>IF(G295&lt;&gt;1,0,IFERROR(IF(INDEX(Tools!$G$6:$G$105,MATCH(C295,Tools!$B$6:$B$105,0))="",0,IF(N(INDEX(Tools!$O$6:$O$105,MATCH(C295,Tools!$B$6:$B$105,0)))=0,0,N(INDEX(Tools!$F$6:$F$105,MATCH(C295,Tools!$B$6:$B$105,0)))/INDEX(Tools!$U$6:$U$105,MATCH(C295,Tools!$B$6:$B$105,0)))),0))</f>
        <v/>
      </c>
      <c r="K295">
        <f>IF(H295="Remove now",ROW(),"")</f>
        <v/>
      </c>
    </row>
    <row r="296">
      <c r="A296" s="1" t="n"/>
      <c r="B296" s="20" t="n"/>
      <c r="C296" s="21" t="n"/>
      <c r="D296" s="22" t="n"/>
      <c r="E296" s="25" t="n"/>
      <c r="F296" s="25" t="n"/>
      <c r="G296" s="1">
        <f>IF(OR(B296="",C296=""),"",IF(AND(F296&lt;&gt;"",F296&lt;=TODAY()),0,1))</f>
        <v/>
      </c>
      <c r="H296" s="14">
        <f>IF(OR(B296="",C296=""),"",IF(G296=0,"Removed",IF(AND(I296&lt;&gt;"",I296&lt;=TODAY()),"Remove now","Active")))</f>
        <v/>
      </c>
      <c r="I296" s="1">
        <f>IFERROR(IF(INDEX(Team!$E$6:$E$105,MATCH(B296,Team!$B$6:$B$105,0))="","",INDEX(Team!$E$6:$E$105,MATCH(B296,Team!$B$6:$B$105,0))),"")</f>
        <v/>
      </c>
      <c r="J296">
        <f>IF(G296&lt;&gt;1,0,IFERROR(IF(INDEX(Tools!$G$6:$G$105,MATCH(C296,Tools!$B$6:$B$105,0))="",0,IF(N(INDEX(Tools!$O$6:$O$105,MATCH(C296,Tools!$B$6:$B$105,0)))=0,0,N(INDEX(Tools!$F$6:$F$105,MATCH(C296,Tools!$B$6:$B$105,0)))/INDEX(Tools!$U$6:$U$105,MATCH(C296,Tools!$B$6:$B$105,0)))),0))</f>
        <v/>
      </c>
      <c r="K296">
        <f>IF(H296="Remove now",ROW(),"")</f>
        <v/>
      </c>
    </row>
    <row r="297">
      <c r="A297" s="1" t="n"/>
      <c r="B297" s="20" t="n"/>
      <c r="C297" s="21" t="n"/>
      <c r="D297" s="22" t="n"/>
      <c r="E297" s="25" t="n"/>
      <c r="F297" s="25" t="n"/>
      <c r="G297" s="1">
        <f>IF(OR(B297="",C297=""),"",IF(AND(F297&lt;&gt;"",F297&lt;=TODAY()),0,1))</f>
        <v/>
      </c>
      <c r="H297" s="14">
        <f>IF(OR(B297="",C297=""),"",IF(G297=0,"Removed",IF(AND(I297&lt;&gt;"",I297&lt;=TODAY()),"Remove now","Active")))</f>
        <v/>
      </c>
      <c r="I297" s="1">
        <f>IFERROR(IF(INDEX(Team!$E$6:$E$105,MATCH(B297,Team!$B$6:$B$105,0))="","",INDEX(Team!$E$6:$E$105,MATCH(B297,Team!$B$6:$B$105,0))),"")</f>
        <v/>
      </c>
      <c r="J297">
        <f>IF(G297&lt;&gt;1,0,IFERROR(IF(INDEX(Tools!$G$6:$G$105,MATCH(C297,Tools!$B$6:$B$105,0))="",0,IF(N(INDEX(Tools!$O$6:$O$105,MATCH(C297,Tools!$B$6:$B$105,0)))=0,0,N(INDEX(Tools!$F$6:$F$105,MATCH(C297,Tools!$B$6:$B$105,0)))/INDEX(Tools!$U$6:$U$105,MATCH(C297,Tools!$B$6:$B$105,0)))),0))</f>
        <v/>
      </c>
      <c r="K297">
        <f>IF(H297="Remove now",ROW(),"")</f>
        <v/>
      </c>
    </row>
    <row r="298">
      <c r="A298" s="1" t="n"/>
      <c r="B298" s="20" t="n"/>
      <c r="C298" s="21" t="n"/>
      <c r="D298" s="22" t="n"/>
      <c r="E298" s="25" t="n"/>
      <c r="F298" s="25" t="n"/>
      <c r="G298" s="1">
        <f>IF(OR(B298="",C298=""),"",IF(AND(F298&lt;&gt;"",F298&lt;=TODAY()),0,1))</f>
        <v/>
      </c>
      <c r="H298" s="14">
        <f>IF(OR(B298="",C298=""),"",IF(G298=0,"Removed",IF(AND(I298&lt;&gt;"",I298&lt;=TODAY()),"Remove now","Active")))</f>
        <v/>
      </c>
      <c r="I298" s="1">
        <f>IFERROR(IF(INDEX(Team!$E$6:$E$105,MATCH(B298,Team!$B$6:$B$105,0))="","",INDEX(Team!$E$6:$E$105,MATCH(B298,Team!$B$6:$B$105,0))),"")</f>
        <v/>
      </c>
      <c r="J298">
        <f>IF(G298&lt;&gt;1,0,IFERROR(IF(INDEX(Tools!$G$6:$G$105,MATCH(C298,Tools!$B$6:$B$105,0))="",0,IF(N(INDEX(Tools!$O$6:$O$105,MATCH(C298,Tools!$B$6:$B$105,0)))=0,0,N(INDEX(Tools!$F$6:$F$105,MATCH(C298,Tools!$B$6:$B$105,0)))/INDEX(Tools!$U$6:$U$105,MATCH(C298,Tools!$B$6:$B$105,0)))),0))</f>
        <v/>
      </c>
      <c r="K298">
        <f>IF(H298="Remove now",ROW(),"")</f>
        <v/>
      </c>
    </row>
    <row r="299">
      <c r="A299" s="1" t="n"/>
      <c r="B299" s="20" t="n"/>
      <c r="C299" s="21" t="n"/>
      <c r="D299" s="22" t="n"/>
      <c r="E299" s="25" t="n"/>
      <c r="F299" s="25" t="n"/>
      <c r="G299" s="1">
        <f>IF(OR(B299="",C299=""),"",IF(AND(F299&lt;&gt;"",F299&lt;=TODAY()),0,1))</f>
        <v/>
      </c>
      <c r="H299" s="14">
        <f>IF(OR(B299="",C299=""),"",IF(G299=0,"Removed",IF(AND(I299&lt;&gt;"",I299&lt;=TODAY()),"Remove now","Active")))</f>
        <v/>
      </c>
      <c r="I299" s="1">
        <f>IFERROR(IF(INDEX(Team!$E$6:$E$105,MATCH(B299,Team!$B$6:$B$105,0))="","",INDEX(Team!$E$6:$E$105,MATCH(B299,Team!$B$6:$B$105,0))),"")</f>
        <v/>
      </c>
      <c r="J299">
        <f>IF(G299&lt;&gt;1,0,IFERROR(IF(INDEX(Tools!$G$6:$G$105,MATCH(C299,Tools!$B$6:$B$105,0))="",0,IF(N(INDEX(Tools!$O$6:$O$105,MATCH(C299,Tools!$B$6:$B$105,0)))=0,0,N(INDEX(Tools!$F$6:$F$105,MATCH(C299,Tools!$B$6:$B$105,0)))/INDEX(Tools!$U$6:$U$105,MATCH(C299,Tools!$B$6:$B$105,0)))),0))</f>
        <v/>
      </c>
      <c r="K299">
        <f>IF(H299="Remove now",ROW(),"")</f>
        <v/>
      </c>
    </row>
    <row r="300">
      <c r="A300" s="1" t="n"/>
      <c r="B300" s="20" t="n"/>
      <c r="C300" s="21" t="n"/>
      <c r="D300" s="22" t="n"/>
      <c r="E300" s="25" t="n"/>
      <c r="F300" s="25" t="n"/>
      <c r="G300" s="1">
        <f>IF(OR(B300="",C300=""),"",IF(AND(F300&lt;&gt;"",F300&lt;=TODAY()),0,1))</f>
        <v/>
      </c>
      <c r="H300" s="14">
        <f>IF(OR(B300="",C300=""),"",IF(G300=0,"Removed",IF(AND(I300&lt;&gt;"",I300&lt;=TODAY()),"Remove now","Active")))</f>
        <v/>
      </c>
      <c r="I300" s="1">
        <f>IFERROR(IF(INDEX(Team!$E$6:$E$105,MATCH(B300,Team!$B$6:$B$105,0))="","",INDEX(Team!$E$6:$E$105,MATCH(B300,Team!$B$6:$B$105,0))),"")</f>
        <v/>
      </c>
      <c r="J300">
        <f>IF(G300&lt;&gt;1,0,IFERROR(IF(INDEX(Tools!$G$6:$G$105,MATCH(C300,Tools!$B$6:$B$105,0))="",0,IF(N(INDEX(Tools!$O$6:$O$105,MATCH(C300,Tools!$B$6:$B$105,0)))=0,0,N(INDEX(Tools!$F$6:$F$105,MATCH(C300,Tools!$B$6:$B$105,0)))/INDEX(Tools!$U$6:$U$105,MATCH(C300,Tools!$B$6:$B$105,0)))),0))</f>
        <v/>
      </c>
      <c r="K300">
        <f>IF(H300="Remove now",ROW(),"")</f>
        <v/>
      </c>
    </row>
    <row r="301">
      <c r="A301" s="1" t="n"/>
      <c r="B301" s="20" t="n"/>
      <c r="C301" s="21" t="n"/>
      <c r="D301" s="22" t="n"/>
      <c r="E301" s="25" t="n"/>
      <c r="F301" s="25" t="n"/>
      <c r="G301" s="1">
        <f>IF(OR(B301="",C301=""),"",IF(AND(F301&lt;&gt;"",F301&lt;=TODAY()),0,1))</f>
        <v/>
      </c>
      <c r="H301" s="14">
        <f>IF(OR(B301="",C301=""),"",IF(G301=0,"Removed",IF(AND(I301&lt;&gt;"",I301&lt;=TODAY()),"Remove now","Active")))</f>
        <v/>
      </c>
      <c r="I301" s="1">
        <f>IFERROR(IF(INDEX(Team!$E$6:$E$105,MATCH(B301,Team!$B$6:$B$105,0))="","",INDEX(Team!$E$6:$E$105,MATCH(B301,Team!$B$6:$B$105,0))),"")</f>
        <v/>
      </c>
      <c r="J301">
        <f>IF(G301&lt;&gt;1,0,IFERROR(IF(INDEX(Tools!$G$6:$G$105,MATCH(C301,Tools!$B$6:$B$105,0))="",0,IF(N(INDEX(Tools!$O$6:$O$105,MATCH(C301,Tools!$B$6:$B$105,0)))=0,0,N(INDEX(Tools!$F$6:$F$105,MATCH(C301,Tools!$B$6:$B$105,0)))/INDEX(Tools!$U$6:$U$105,MATCH(C301,Tools!$B$6:$B$105,0)))),0))</f>
        <v/>
      </c>
      <c r="K301">
        <f>IF(H301="Remove now",ROW(),"")</f>
        <v/>
      </c>
    </row>
    <row r="302">
      <c r="A302" s="1" t="n"/>
      <c r="B302" s="20" t="n"/>
      <c r="C302" s="21" t="n"/>
      <c r="D302" s="22" t="n"/>
      <c r="E302" s="25" t="n"/>
      <c r="F302" s="25" t="n"/>
      <c r="G302" s="1">
        <f>IF(OR(B302="",C302=""),"",IF(AND(F302&lt;&gt;"",F302&lt;=TODAY()),0,1))</f>
        <v/>
      </c>
      <c r="H302" s="14">
        <f>IF(OR(B302="",C302=""),"",IF(G302=0,"Removed",IF(AND(I302&lt;&gt;"",I302&lt;=TODAY()),"Remove now","Active")))</f>
        <v/>
      </c>
      <c r="I302" s="1">
        <f>IFERROR(IF(INDEX(Team!$E$6:$E$105,MATCH(B302,Team!$B$6:$B$105,0))="","",INDEX(Team!$E$6:$E$105,MATCH(B302,Team!$B$6:$B$105,0))),"")</f>
        <v/>
      </c>
      <c r="J302">
        <f>IF(G302&lt;&gt;1,0,IFERROR(IF(INDEX(Tools!$G$6:$G$105,MATCH(C302,Tools!$B$6:$B$105,0))="",0,IF(N(INDEX(Tools!$O$6:$O$105,MATCH(C302,Tools!$B$6:$B$105,0)))=0,0,N(INDEX(Tools!$F$6:$F$105,MATCH(C302,Tools!$B$6:$B$105,0)))/INDEX(Tools!$U$6:$U$105,MATCH(C302,Tools!$B$6:$B$105,0)))),0))</f>
        <v/>
      </c>
      <c r="K302">
        <f>IF(H302="Remove now",ROW(),"")</f>
        <v/>
      </c>
    </row>
    <row r="303">
      <c r="A303" s="1" t="n"/>
      <c r="B303" s="20" t="n"/>
      <c r="C303" s="21" t="n"/>
      <c r="D303" s="22" t="n"/>
      <c r="E303" s="25" t="n"/>
      <c r="F303" s="25" t="n"/>
      <c r="G303" s="1">
        <f>IF(OR(B303="",C303=""),"",IF(AND(F303&lt;&gt;"",F303&lt;=TODAY()),0,1))</f>
        <v/>
      </c>
      <c r="H303" s="14">
        <f>IF(OR(B303="",C303=""),"",IF(G303=0,"Removed",IF(AND(I303&lt;&gt;"",I303&lt;=TODAY()),"Remove now","Active")))</f>
        <v/>
      </c>
      <c r="I303" s="1">
        <f>IFERROR(IF(INDEX(Team!$E$6:$E$105,MATCH(B303,Team!$B$6:$B$105,0))="","",INDEX(Team!$E$6:$E$105,MATCH(B303,Team!$B$6:$B$105,0))),"")</f>
        <v/>
      </c>
      <c r="J303">
        <f>IF(G303&lt;&gt;1,0,IFERROR(IF(INDEX(Tools!$G$6:$G$105,MATCH(C303,Tools!$B$6:$B$105,0))="",0,IF(N(INDEX(Tools!$O$6:$O$105,MATCH(C303,Tools!$B$6:$B$105,0)))=0,0,N(INDEX(Tools!$F$6:$F$105,MATCH(C303,Tools!$B$6:$B$105,0)))/INDEX(Tools!$U$6:$U$105,MATCH(C303,Tools!$B$6:$B$105,0)))),0))</f>
        <v/>
      </c>
      <c r="K303">
        <f>IF(H303="Remove now",ROW(),"")</f>
        <v/>
      </c>
    </row>
    <row r="304">
      <c r="A304" s="1" t="n"/>
      <c r="B304" s="20" t="n"/>
      <c r="C304" s="21" t="n"/>
      <c r="D304" s="22" t="n"/>
      <c r="E304" s="25" t="n"/>
      <c r="F304" s="25" t="n"/>
      <c r="G304" s="1">
        <f>IF(OR(B304="",C304=""),"",IF(AND(F304&lt;&gt;"",F304&lt;=TODAY()),0,1))</f>
        <v/>
      </c>
      <c r="H304" s="14">
        <f>IF(OR(B304="",C304=""),"",IF(G304=0,"Removed",IF(AND(I304&lt;&gt;"",I304&lt;=TODAY()),"Remove now","Active")))</f>
        <v/>
      </c>
      <c r="I304" s="1">
        <f>IFERROR(IF(INDEX(Team!$E$6:$E$105,MATCH(B304,Team!$B$6:$B$105,0))="","",INDEX(Team!$E$6:$E$105,MATCH(B304,Team!$B$6:$B$105,0))),"")</f>
        <v/>
      </c>
      <c r="J304">
        <f>IF(G304&lt;&gt;1,0,IFERROR(IF(INDEX(Tools!$G$6:$G$105,MATCH(C304,Tools!$B$6:$B$105,0))="",0,IF(N(INDEX(Tools!$O$6:$O$105,MATCH(C304,Tools!$B$6:$B$105,0)))=0,0,N(INDEX(Tools!$F$6:$F$105,MATCH(C304,Tools!$B$6:$B$105,0)))/INDEX(Tools!$U$6:$U$105,MATCH(C304,Tools!$B$6:$B$105,0)))),0))</f>
        <v/>
      </c>
      <c r="K304">
        <f>IF(H304="Remove now",ROW(),"")</f>
        <v/>
      </c>
    </row>
    <row r="305">
      <c r="A305" s="1" t="n"/>
      <c r="B305" s="20" t="n"/>
      <c r="C305" s="21" t="n"/>
      <c r="D305" s="22" t="n"/>
      <c r="E305" s="25" t="n"/>
      <c r="F305" s="25" t="n"/>
      <c r="G305" s="1">
        <f>IF(OR(B305="",C305=""),"",IF(AND(F305&lt;&gt;"",F305&lt;=TODAY()),0,1))</f>
        <v/>
      </c>
      <c r="H305" s="14">
        <f>IF(OR(B305="",C305=""),"",IF(G305=0,"Removed",IF(AND(I305&lt;&gt;"",I305&lt;=TODAY()),"Remove now","Active")))</f>
        <v/>
      </c>
      <c r="I305" s="1">
        <f>IFERROR(IF(INDEX(Team!$E$6:$E$105,MATCH(B305,Team!$B$6:$B$105,0))="","",INDEX(Team!$E$6:$E$105,MATCH(B305,Team!$B$6:$B$105,0))),"")</f>
        <v/>
      </c>
      <c r="J305">
        <f>IF(G305&lt;&gt;1,0,IFERROR(IF(INDEX(Tools!$G$6:$G$105,MATCH(C305,Tools!$B$6:$B$105,0))="",0,IF(N(INDEX(Tools!$O$6:$O$105,MATCH(C305,Tools!$B$6:$B$105,0)))=0,0,N(INDEX(Tools!$F$6:$F$105,MATCH(C305,Tools!$B$6:$B$105,0)))/INDEX(Tools!$U$6:$U$105,MATCH(C305,Tools!$B$6:$B$105,0)))),0))</f>
        <v/>
      </c>
      <c r="K305">
        <f>IF(H305="Remove now",ROW(),"")</f>
        <v/>
      </c>
    </row>
    <row r="306">
      <c r="A306" s="1" t="n"/>
      <c r="B306" s="20" t="n"/>
      <c r="C306" s="21" t="n"/>
      <c r="D306" s="22" t="n"/>
      <c r="E306" s="25" t="n"/>
      <c r="F306" s="25" t="n"/>
      <c r="G306" s="1">
        <f>IF(OR(B306="",C306=""),"",IF(AND(F306&lt;&gt;"",F306&lt;=TODAY()),0,1))</f>
        <v/>
      </c>
      <c r="H306" s="14">
        <f>IF(OR(B306="",C306=""),"",IF(G306=0,"Removed",IF(AND(I306&lt;&gt;"",I306&lt;=TODAY()),"Remove now","Active")))</f>
        <v/>
      </c>
      <c r="I306" s="1">
        <f>IFERROR(IF(INDEX(Team!$E$6:$E$105,MATCH(B306,Team!$B$6:$B$105,0))="","",INDEX(Team!$E$6:$E$105,MATCH(B306,Team!$B$6:$B$105,0))),"")</f>
        <v/>
      </c>
      <c r="J306">
        <f>IF(G306&lt;&gt;1,0,IFERROR(IF(INDEX(Tools!$G$6:$G$105,MATCH(C306,Tools!$B$6:$B$105,0))="",0,IF(N(INDEX(Tools!$O$6:$O$105,MATCH(C306,Tools!$B$6:$B$105,0)))=0,0,N(INDEX(Tools!$F$6:$F$105,MATCH(C306,Tools!$B$6:$B$105,0)))/INDEX(Tools!$U$6:$U$105,MATCH(C306,Tools!$B$6:$B$105,0)))),0))</f>
        <v/>
      </c>
      <c r="K306">
        <f>IF(H306="Remove now",ROW(),"")</f>
        <v/>
      </c>
    </row>
    <row r="307">
      <c r="A307" s="1" t="n"/>
      <c r="B307" s="20" t="n"/>
      <c r="C307" s="21" t="n"/>
      <c r="D307" s="22" t="n"/>
      <c r="E307" s="25" t="n"/>
      <c r="F307" s="25" t="n"/>
      <c r="G307" s="1">
        <f>IF(OR(B307="",C307=""),"",IF(AND(F307&lt;&gt;"",F307&lt;=TODAY()),0,1))</f>
        <v/>
      </c>
      <c r="H307" s="14">
        <f>IF(OR(B307="",C307=""),"",IF(G307=0,"Removed",IF(AND(I307&lt;&gt;"",I307&lt;=TODAY()),"Remove now","Active")))</f>
        <v/>
      </c>
      <c r="I307" s="1">
        <f>IFERROR(IF(INDEX(Team!$E$6:$E$105,MATCH(B307,Team!$B$6:$B$105,0))="","",INDEX(Team!$E$6:$E$105,MATCH(B307,Team!$B$6:$B$105,0))),"")</f>
        <v/>
      </c>
      <c r="J307">
        <f>IF(G307&lt;&gt;1,0,IFERROR(IF(INDEX(Tools!$G$6:$G$105,MATCH(C307,Tools!$B$6:$B$105,0))="",0,IF(N(INDEX(Tools!$O$6:$O$105,MATCH(C307,Tools!$B$6:$B$105,0)))=0,0,N(INDEX(Tools!$F$6:$F$105,MATCH(C307,Tools!$B$6:$B$105,0)))/INDEX(Tools!$U$6:$U$105,MATCH(C307,Tools!$B$6:$B$105,0)))),0))</f>
        <v/>
      </c>
      <c r="K307">
        <f>IF(H307="Remove now",ROW(),"")</f>
        <v/>
      </c>
    </row>
    <row r="308">
      <c r="A308" s="1" t="n"/>
      <c r="B308" s="20" t="n"/>
      <c r="C308" s="21" t="n"/>
      <c r="D308" s="22" t="n"/>
      <c r="E308" s="25" t="n"/>
      <c r="F308" s="25" t="n"/>
      <c r="G308" s="1">
        <f>IF(OR(B308="",C308=""),"",IF(AND(F308&lt;&gt;"",F308&lt;=TODAY()),0,1))</f>
        <v/>
      </c>
      <c r="H308" s="14">
        <f>IF(OR(B308="",C308=""),"",IF(G308=0,"Removed",IF(AND(I308&lt;&gt;"",I308&lt;=TODAY()),"Remove now","Active")))</f>
        <v/>
      </c>
      <c r="I308" s="1">
        <f>IFERROR(IF(INDEX(Team!$E$6:$E$105,MATCH(B308,Team!$B$6:$B$105,0))="","",INDEX(Team!$E$6:$E$105,MATCH(B308,Team!$B$6:$B$105,0))),"")</f>
        <v/>
      </c>
      <c r="J308">
        <f>IF(G308&lt;&gt;1,0,IFERROR(IF(INDEX(Tools!$G$6:$G$105,MATCH(C308,Tools!$B$6:$B$105,0))="",0,IF(N(INDEX(Tools!$O$6:$O$105,MATCH(C308,Tools!$B$6:$B$105,0)))=0,0,N(INDEX(Tools!$F$6:$F$105,MATCH(C308,Tools!$B$6:$B$105,0)))/INDEX(Tools!$U$6:$U$105,MATCH(C308,Tools!$B$6:$B$105,0)))),0))</f>
        <v/>
      </c>
      <c r="K308">
        <f>IF(H308="Remove now",ROW(),"")</f>
        <v/>
      </c>
    </row>
    <row r="309">
      <c r="A309" s="1" t="n"/>
      <c r="B309" s="20" t="n"/>
      <c r="C309" s="21" t="n"/>
      <c r="D309" s="22" t="n"/>
      <c r="E309" s="25" t="n"/>
      <c r="F309" s="25" t="n"/>
      <c r="G309" s="1">
        <f>IF(OR(B309="",C309=""),"",IF(AND(F309&lt;&gt;"",F309&lt;=TODAY()),0,1))</f>
        <v/>
      </c>
      <c r="H309" s="14">
        <f>IF(OR(B309="",C309=""),"",IF(G309=0,"Removed",IF(AND(I309&lt;&gt;"",I309&lt;=TODAY()),"Remove now","Active")))</f>
        <v/>
      </c>
      <c r="I309" s="1">
        <f>IFERROR(IF(INDEX(Team!$E$6:$E$105,MATCH(B309,Team!$B$6:$B$105,0))="","",INDEX(Team!$E$6:$E$105,MATCH(B309,Team!$B$6:$B$105,0))),"")</f>
        <v/>
      </c>
      <c r="J309">
        <f>IF(G309&lt;&gt;1,0,IFERROR(IF(INDEX(Tools!$G$6:$G$105,MATCH(C309,Tools!$B$6:$B$105,0))="",0,IF(N(INDEX(Tools!$O$6:$O$105,MATCH(C309,Tools!$B$6:$B$105,0)))=0,0,N(INDEX(Tools!$F$6:$F$105,MATCH(C309,Tools!$B$6:$B$105,0)))/INDEX(Tools!$U$6:$U$105,MATCH(C309,Tools!$B$6:$B$105,0)))),0))</f>
        <v/>
      </c>
      <c r="K309">
        <f>IF(H309="Remove now",ROW(),"")</f>
        <v/>
      </c>
    </row>
    <row r="310">
      <c r="A310" s="1" t="n"/>
      <c r="B310" s="20" t="n"/>
      <c r="C310" s="21" t="n"/>
      <c r="D310" s="22" t="n"/>
      <c r="E310" s="25" t="n"/>
      <c r="F310" s="25" t="n"/>
      <c r="G310" s="1">
        <f>IF(OR(B310="",C310=""),"",IF(AND(F310&lt;&gt;"",F310&lt;=TODAY()),0,1))</f>
        <v/>
      </c>
      <c r="H310" s="14">
        <f>IF(OR(B310="",C310=""),"",IF(G310=0,"Removed",IF(AND(I310&lt;&gt;"",I310&lt;=TODAY()),"Remove now","Active")))</f>
        <v/>
      </c>
      <c r="I310" s="1">
        <f>IFERROR(IF(INDEX(Team!$E$6:$E$105,MATCH(B310,Team!$B$6:$B$105,0))="","",INDEX(Team!$E$6:$E$105,MATCH(B310,Team!$B$6:$B$105,0))),"")</f>
        <v/>
      </c>
      <c r="J310">
        <f>IF(G310&lt;&gt;1,0,IFERROR(IF(INDEX(Tools!$G$6:$G$105,MATCH(C310,Tools!$B$6:$B$105,0))="",0,IF(N(INDEX(Tools!$O$6:$O$105,MATCH(C310,Tools!$B$6:$B$105,0)))=0,0,N(INDEX(Tools!$F$6:$F$105,MATCH(C310,Tools!$B$6:$B$105,0)))/INDEX(Tools!$U$6:$U$105,MATCH(C310,Tools!$B$6:$B$105,0)))),0))</f>
        <v/>
      </c>
      <c r="K310">
        <f>IF(H310="Remove now",ROW(),"")</f>
        <v/>
      </c>
    </row>
    <row r="311">
      <c r="A311" s="1" t="n"/>
      <c r="B311" s="20" t="n"/>
      <c r="C311" s="21" t="n"/>
      <c r="D311" s="22" t="n"/>
      <c r="E311" s="25" t="n"/>
      <c r="F311" s="25" t="n"/>
      <c r="G311" s="1">
        <f>IF(OR(B311="",C311=""),"",IF(AND(F311&lt;&gt;"",F311&lt;=TODAY()),0,1))</f>
        <v/>
      </c>
      <c r="H311" s="14">
        <f>IF(OR(B311="",C311=""),"",IF(G311=0,"Removed",IF(AND(I311&lt;&gt;"",I311&lt;=TODAY()),"Remove now","Active")))</f>
        <v/>
      </c>
      <c r="I311" s="1">
        <f>IFERROR(IF(INDEX(Team!$E$6:$E$105,MATCH(B311,Team!$B$6:$B$105,0))="","",INDEX(Team!$E$6:$E$105,MATCH(B311,Team!$B$6:$B$105,0))),"")</f>
        <v/>
      </c>
      <c r="J311">
        <f>IF(G311&lt;&gt;1,0,IFERROR(IF(INDEX(Tools!$G$6:$G$105,MATCH(C311,Tools!$B$6:$B$105,0))="",0,IF(N(INDEX(Tools!$O$6:$O$105,MATCH(C311,Tools!$B$6:$B$105,0)))=0,0,N(INDEX(Tools!$F$6:$F$105,MATCH(C311,Tools!$B$6:$B$105,0)))/INDEX(Tools!$U$6:$U$105,MATCH(C311,Tools!$B$6:$B$105,0)))),0))</f>
        <v/>
      </c>
      <c r="K311">
        <f>IF(H311="Remove now",ROW(),"")</f>
        <v/>
      </c>
    </row>
    <row r="312">
      <c r="A312" s="1" t="n"/>
      <c r="B312" s="20" t="n"/>
      <c r="C312" s="21" t="n"/>
      <c r="D312" s="22" t="n"/>
      <c r="E312" s="25" t="n"/>
      <c r="F312" s="25" t="n"/>
      <c r="G312" s="1">
        <f>IF(OR(B312="",C312=""),"",IF(AND(F312&lt;&gt;"",F312&lt;=TODAY()),0,1))</f>
        <v/>
      </c>
      <c r="H312" s="14">
        <f>IF(OR(B312="",C312=""),"",IF(G312=0,"Removed",IF(AND(I312&lt;&gt;"",I312&lt;=TODAY()),"Remove now","Active")))</f>
        <v/>
      </c>
      <c r="I312" s="1">
        <f>IFERROR(IF(INDEX(Team!$E$6:$E$105,MATCH(B312,Team!$B$6:$B$105,0))="","",INDEX(Team!$E$6:$E$105,MATCH(B312,Team!$B$6:$B$105,0))),"")</f>
        <v/>
      </c>
      <c r="J312">
        <f>IF(G312&lt;&gt;1,0,IFERROR(IF(INDEX(Tools!$G$6:$G$105,MATCH(C312,Tools!$B$6:$B$105,0))="",0,IF(N(INDEX(Tools!$O$6:$O$105,MATCH(C312,Tools!$B$6:$B$105,0)))=0,0,N(INDEX(Tools!$F$6:$F$105,MATCH(C312,Tools!$B$6:$B$105,0)))/INDEX(Tools!$U$6:$U$105,MATCH(C312,Tools!$B$6:$B$105,0)))),0))</f>
        <v/>
      </c>
      <c r="K312">
        <f>IF(H312="Remove now",ROW(),"")</f>
        <v/>
      </c>
    </row>
    <row r="313">
      <c r="A313" s="1" t="n"/>
      <c r="B313" s="20" t="n"/>
      <c r="C313" s="21" t="n"/>
      <c r="D313" s="22" t="n"/>
      <c r="E313" s="25" t="n"/>
      <c r="F313" s="25" t="n"/>
      <c r="G313" s="1">
        <f>IF(OR(B313="",C313=""),"",IF(AND(F313&lt;&gt;"",F313&lt;=TODAY()),0,1))</f>
        <v/>
      </c>
      <c r="H313" s="14">
        <f>IF(OR(B313="",C313=""),"",IF(G313=0,"Removed",IF(AND(I313&lt;&gt;"",I313&lt;=TODAY()),"Remove now","Active")))</f>
        <v/>
      </c>
      <c r="I313" s="1">
        <f>IFERROR(IF(INDEX(Team!$E$6:$E$105,MATCH(B313,Team!$B$6:$B$105,0))="","",INDEX(Team!$E$6:$E$105,MATCH(B313,Team!$B$6:$B$105,0))),"")</f>
        <v/>
      </c>
      <c r="J313">
        <f>IF(G313&lt;&gt;1,0,IFERROR(IF(INDEX(Tools!$G$6:$G$105,MATCH(C313,Tools!$B$6:$B$105,0))="",0,IF(N(INDEX(Tools!$O$6:$O$105,MATCH(C313,Tools!$B$6:$B$105,0)))=0,0,N(INDEX(Tools!$F$6:$F$105,MATCH(C313,Tools!$B$6:$B$105,0)))/INDEX(Tools!$U$6:$U$105,MATCH(C313,Tools!$B$6:$B$105,0)))),0))</f>
        <v/>
      </c>
      <c r="K313">
        <f>IF(H313="Remove now",ROW(),"")</f>
        <v/>
      </c>
    </row>
    <row r="314">
      <c r="A314" s="1" t="n"/>
      <c r="B314" s="20" t="n"/>
      <c r="C314" s="21" t="n"/>
      <c r="D314" s="22" t="n"/>
      <c r="E314" s="25" t="n"/>
      <c r="F314" s="25" t="n"/>
      <c r="G314" s="1">
        <f>IF(OR(B314="",C314=""),"",IF(AND(F314&lt;&gt;"",F314&lt;=TODAY()),0,1))</f>
        <v/>
      </c>
      <c r="H314" s="14">
        <f>IF(OR(B314="",C314=""),"",IF(G314=0,"Removed",IF(AND(I314&lt;&gt;"",I314&lt;=TODAY()),"Remove now","Active")))</f>
        <v/>
      </c>
      <c r="I314" s="1">
        <f>IFERROR(IF(INDEX(Team!$E$6:$E$105,MATCH(B314,Team!$B$6:$B$105,0))="","",INDEX(Team!$E$6:$E$105,MATCH(B314,Team!$B$6:$B$105,0))),"")</f>
        <v/>
      </c>
      <c r="J314">
        <f>IF(G314&lt;&gt;1,0,IFERROR(IF(INDEX(Tools!$G$6:$G$105,MATCH(C314,Tools!$B$6:$B$105,0))="",0,IF(N(INDEX(Tools!$O$6:$O$105,MATCH(C314,Tools!$B$6:$B$105,0)))=0,0,N(INDEX(Tools!$F$6:$F$105,MATCH(C314,Tools!$B$6:$B$105,0)))/INDEX(Tools!$U$6:$U$105,MATCH(C314,Tools!$B$6:$B$105,0)))),0))</f>
        <v/>
      </c>
      <c r="K314">
        <f>IF(H314="Remove now",ROW(),"")</f>
        <v/>
      </c>
    </row>
    <row r="315">
      <c r="A315" s="1" t="n"/>
      <c r="B315" s="20" t="n"/>
      <c r="C315" s="21" t="n"/>
      <c r="D315" s="22" t="n"/>
      <c r="E315" s="25" t="n"/>
      <c r="F315" s="25" t="n"/>
      <c r="G315" s="1">
        <f>IF(OR(B315="",C315=""),"",IF(AND(F315&lt;&gt;"",F315&lt;=TODAY()),0,1))</f>
        <v/>
      </c>
      <c r="H315" s="14">
        <f>IF(OR(B315="",C315=""),"",IF(G315=0,"Removed",IF(AND(I315&lt;&gt;"",I315&lt;=TODAY()),"Remove now","Active")))</f>
        <v/>
      </c>
      <c r="I315" s="1">
        <f>IFERROR(IF(INDEX(Team!$E$6:$E$105,MATCH(B315,Team!$B$6:$B$105,0))="","",INDEX(Team!$E$6:$E$105,MATCH(B315,Team!$B$6:$B$105,0))),"")</f>
        <v/>
      </c>
      <c r="J315">
        <f>IF(G315&lt;&gt;1,0,IFERROR(IF(INDEX(Tools!$G$6:$G$105,MATCH(C315,Tools!$B$6:$B$105,0))="",0,IF(N(INDEX(Tools!$O$6:$O$105,MATCH(C315,Tools!$B$6:$B$105,0)))=0,0,N(INDEX(Tools!$F$6:$F$105,MATCH(C315,Tools!$B$6:$B$105,0)))/INDEX(Tools!$U$6:$U$105,MATCH(C315,Tools!$B$6:$B$105,0)))),0))</f>
        <v/>
      </c>
      <c r="K315">
        <f>IF(H315="Remove now",ROW(),"")</f>
        <v/>
      </c>
    </row>
    <row r="316">
      <c r="A316" s="1" t="n"/>
      <c r="B316" s="20" t="n"/>
      <c r="C316" s="21" t="n"/>
      <c r="D316" s="22" t="n"/>
      <c r="E316" s="25" t="n"/>
      <c r="F316" s="25" t="n"/>
      <c r="G316" s="1">
        <f>IF(OR(B316="",C316=""),"",IF(AND(F316&lt;&gt;"",F316&lt;=TODAY()),0,1))</f>
        <v/>
      </c>
      <c r="H316" s="14">
        <f>IF(OR(B316="",C316=""),"",IF(G316=0,"Removed",IF(AND(I316&lt;&gt;"",I316&lt;=TODAY()),"Remove now","Active")))</f>
        <v/>
      </c>
      <c r="I316" s="1">
        <f>IFERROR(IF(INDEX(Team!$E$6:$E$105,MATCH(B316,Team!$B$6:$B$105,0))="","",INDEX(Team!$E$6:$E$105,MATCH(B316,Team!$B$6:$B$105,0))),"")</f>
        <v/>
      </c>
      <c r="J316">
        <f>IF(G316&lt;&gt;1,0,IFERROR(IF(INDEX(Tools!$G$6:$G$105,MATCH(C316,Tools!$B$6:$B$105,0))="",0,IF(N(INDEX(Tools!$O$6:$O$105,MATCH(C316,Tools!$B$6:$B$105,0)))=0,0,N(INDEX(Tools!$F$6:$F$105,MATCH(C316,Tools!$B$6:$B$105,0)))/INDEX(Tools!$U$6:$U$105,MATCH(C316,Tools!$B$6:$B$105,0)))),0))</f>
        <v/>
      </c>
      <c r="K316">
        <f>IF(H316="Remove now",ROW(),"")</f>
        <v/>
      </c>
    </row>
    <row r="317">
      <c r="A317" s="1" t="n"/>
      <c r="B317" s="20" t="n"/>
      <c r="C317" s="21" t="n"/>
      <c r="D317" s="22" t="n"/>
      <c r="E317" s="25" t="n"/>
      <c r="F317" s="25" t="n"/>
      <c r="G317" s="1">
        <f>IF(OR(B317="",C317=""),"",IF(AND(F317&lt;&gt;"",F317&lt;=TODAY()),0,1))</f>
        <v/>
      </c>
      <c r="H317" s="14">
        <f>IF(OR(B317="",C317=""),"",IF(G317=0,"Removed",IF(AND(I317&lt;&gt;"",I317&lt;=TODAY()),"Remove now","Active")))</f>
        <v/>
      </c>
      <c r="I317" s="1">
        <f>IFERROR(IF(INDEX(Team!$E$6:$E$105,MATCH(B317,Team!$B$6:$B$105,0))="","",INDEX(Team!$E$6:$E$105,MATCH(B317,Team!$B$6:$B$105,0))),"")</f>
        <v/>
      </c>
      <c r="J317">
        <f>IF(G317&lt;&gt;1,0,IFERROR(IF(INDEX(Tools!$G$6:$G$105,MATCH(C317,Tools!$B$6:$B$105,0))="",0,IF(N(INDEX(Tools!$O$6:$O$105,MATCH(C317,Tools!$B$6:$B$105,0)))=0,0,N(INDEX(Tools!$F$6:$F$105,MATCH(C317,Tools!$B$6:$B$105,0)))/INDEX(Tools!$U$6:$U$105,MATCH(C317,Tools!$B$6:$B$105,0)))),0))</f>
        <v/>
      </c>
      <c r="K317">
        <f>IF(H317="Remove now",ROW(),"")</f>
        <v/>
      </c>
    </row>
    <row r="318">
      <c r="A318" s="1" t="n"/>
      <c r="B318" s="20" t="n"/>
      <c r="C318" s="21" t="n"/>
      <c r="D318" s="22" t="n"/>
      <c r="E318" s="25" t="n"/>
      <c r="F318" s="25" t="n"/>
      <c r="G318" s="1">
        <f>IF(OR(B318="",C318=""),"",IF(AND(F318&lt;&gt;"",F318&lt;=TODAY()),0,1))</f>
        <v/>
      </c>
      <c r="H318" s="14">
        <f>IF(OR(B318="",C318=""),"",IF(G318=0,"Removed",IF(AND(I318&lt;&gt;"",I318&lt;=TODAY()),"Remove now","Active")))</f>
        <v/>
      </c>
      <c r="I318" s="1">
        <f>IFERROR(IF(INDEX(Team!$E$6:$E$105,MATCH(B318,Team!$B$6:$B$105,0))="","",INDEX(Team!$E$6:$E$105,MATCH(B318,Team!$B$6:$B$105,0))),"")</f>
        <v/>
      </c>
      <c r="J318">
        <f>IF(G318&lt;&gt;1,0,IFERROR(IF(INDEX(Tools!$G$6:$G$105,MATCH(C318,Tools!$B$6:$B$105,0))="",0,IF(N(INDEX(Tools!$O$6:$O$105,MATCH(C318,Tools!$B$6:$B$105,0)))=0,0,N(INDEX(Tools!$F$6:$F$105,MATCH(C318,Tools!$B$6:$B$105,0)))/INDEX(Tools!$U$6:$U$105,MATCH(C318,Tools!$B$6:$B$105,0)))),0))</f>
        <v/>
      </c>
      <c r="K318">
        <f>IF(H318="Remove now",ROW(),"")</f>
        <v/>
      </c>
    </row>
    <row r="319">
      <c r="A319" s="1" t="n"/>
      <c r="B319" s="20" t="n"/>
      <c r="C319" s="21" t="n"/>
      <c r="D319" s="22" t="n"/>
      <c r="E319" s="25" t="n"/>
      <c r="F319" s="25" t="n"/>
      <c r="G319" s="1">
        <f>IF(OR(B319="",C319=""),"",IF(AND(F319&lt;&gt;"",F319&lt;=TODAY()),0,1))</f>
        <v/>
      </c>
      <c r="H319" s="14">
        <f>IF(OR(B319="",C319=""),"",IF(G319=0,"Removed",IF(AND(I319&lt;&gt;"",I319&lt;=TODAY()),"Remove now","Active")))</f>
        <v/>
      </c>
      <c r="I319" s="1">
        <f>IFERROR(IF(INDEX(Team!$E$6:$E$105,MATCH(B319,Team!$B$6:$B$105,0))="","",INDEX(Team!$E$6:$E$105,MATCH(B319,Team!$B$6:$B$105,0))),"")</f>
        <v/>
      </c>
      <c r="J319">
        <f>IF(G319&lt;&gt;1,0,IFERROR(IF(INDEX(Tools!$G$6:$G$105,MATCH(C319,Tools!$B$6:$B$105,0))="",0,IF(N(INDEX(Tools!$O$6:$O$105,MATCH(C319,Tools!$B$6:$B$105,0)))=0,0,N(INDEX(Tools!$F$6:$F$105,MATCH(C319,Tools!$B$6:$B$105,0)))/INDEX(Tools!$U$6:$U$105,MATCH(C319,Tools!$B$6:$B$105,0)))),0))</f>
        <v/>
      </c>
      <c r="K319">
        <f>IF(H319="Remove now",ROW(),"")</f>
        <v/>
      </c>
    </row>
    <row r="320">
      <c r="A320" s="1" t="n"/>
      <c r="B320" s="20" t="n"/>
      <c r="C320" s="21" t="n"/>
      <c r="D320" s="22" t="n"/>
      <c r="E320" s="25" t="n"/>
      <c r="F320" s="25" t="n"/>
      <c r="G320" s="1">
        <f>IF(OR(B320="",C320=""),"",IF(AND(F320&lt;&gt;"",F320&lt;=TODAY()),0,1))</f>
        <v/>
      </c>
      <c r="H320" s="14">
        <f>IF(OR(B320="",C320=""),"",IF(G320=0,"Removed",IF(AND(I320&lt;&gt;"",I320&lt;=TODAY()),"Remove now","Active")))</f>
        <v/>
      </c>
      <c r="I320" s="1">
        <f>IFERROR(IF(INDEX(Team!$E$6:$E$105,MATCH(B320,Team!$B$6:$B$105,0))="","",INDEX(Team!$E$6:$E$105,MATCH(B320,Team!$B$6:$B$105,0))),"")</f>
        <v/>
      </c>
      <c r="J320">
        <f>IF(G320&lt;&gt;1,0,IFERROR(IF(INDEX(Tools!$G$6:$G$105,MATCH(C320,Tools!$B$6:$B$105,0))="",0,IF(N(INDEX(Tools!$O$6:$O$105,MATCH(C320,Tools!$B$6:$B$105,0)))=0,0,N(INDEX(Tools!$F$6:$F$105,MATCH(C320,Tools!$B$6:$B$105,0)))/INDEX(Tools!$U$6:$U$105,MATCH(C320,Tools!$B$6:$B$105,0)))),0))</f>
        <v/>
      </c>
      <c r="K320">
        <f>IF(H320="Remove now",ROW(),"")</f>
        <v/>
      </c>
    </row>
    <row r="321">
      <c r="A321" s="1" t="n"/>
      <c r="B321" s="20" t="n"/>
      <c r="C321" s="21" t="n"/>
      <c r="D321" s="22" t="n"/>
      <c r="E321" s="25" t="n"/>
      <c r="F321" s="25" t="n"/>
      <c r="G321" s="1">
        <f>IF(OR(B321="",C321=""),"",IF(AND(F321&lt;&gt;"",F321&lt;=TODAY()),0,1))</f>
        <v/>
      </c>
      <c r="H321" s="14">
        <f>IF(OR(B321="",C321=""),"",IF(G321=0,"Removed",IF(AND(I321&lt;&gt;"",I321&lt;=TODAY()),"Remove now","Active")))</f>
        <v/>
      </c>
      <c r="I321" s="1">
        <f>IFERROR(IF(INDEX(Team!$E$6:$E$105,MATCH(B321,Team!$B$6:$B$105,0))="","",INDEX(Team!$E$6:$E$105,MATCH(B321,Team!$B$6:$B$105,0))),"")</f>
        <v/>
      </c>
      <c r="J321">
        <f>IF(G321&lt;&gt;1,0,IFERROR(IF(INDEX(Tools!$G$6:$G$105,MATCH(C321,Tools!$B$6:$B$105,0))="",0,IF(N(INDEX(Tools!$O$6:$O$105,MATCH(C321,Tools!$B$6:$B$105,0)))=0,0,N(INDEX(Tools!$F$6:$F$105,MATCH(C321,Tools!$B$6:$B$105,0)))/INDEX(Tools!$U$6:$U$105,MATCH(C321,Tools!$B$6:$B$105,0)))),0))</f>
        <v/>
      </c>
      <c r="K321">
        <f>IF(H321="Remove now",ROW(),"")</f>
        <v/>
      </c>
    </row>
    <row r="322">
      <c r="A322" s="1" t="n"/>
      <c r="B322" s="20" t="n"/>
      <c r="C322" s="21" t="n"/>
      <c r="D322" s="22" t="n"/>
      <c r="E322" s="25" t="n"/>
      <c r="F322" s="25" t="n"/>
      <c r="G322" s="1">
        <f>IF(OR(B322="",C322=""),"",IF(AND(F322&lt;&gt;"",F322&lt;=TODAY()),0,1))</f>
        <v/>
      </c>
      <c r="H322" s="14">
        <f>IF(OR(B322="",C322=""),"",IF(G322=0,"Removed",IF(AND(I322&lt;&gt;"",I322&lt;=TODAY()),"Remove now","Active")))</f>
        <v/>
      </c>
      <c r="I322" s="1">
        <f>IFERROR(IF(INDEX(Team!$E$6:$E$105,MATCH(B322,Team!$B$6:$B$105,0))="","",INDEX(Team!$E$6:$E$105,MATCH(B322,Team!$B$6:$B$105,0))),"")</f>
        <v/>
      </c>
      <c r="J322">
        <f>IF(G322&lt;&gt;1,0,IFERROR(IF(INDEX(Tools!$G$6:$G$105,MATCH(C322,Tools!$B$6:$B$105,0))="",0,IF(N(INDEX(Tools!$O$6:$O$105,MATCH(C322,Tools!$B$6:$B$105,0)))=0,0,N(INDEX(Tools!$F$6:$F$105,MATCH(C322,Tools!$B$6:$B$105,0)))/INDEX(Tools!$U$6:$U$105,MATCH(C322,Tools!$B$6:$B$105,0)))),0))</f>
        <v/>
      </c>
      <c r="K322">
        <f>IF(H322="Remove now",ROW(),"")</f>
        <v/>
      </c>
    </row>
    <row r="323">
      <c r="A323" s="1" t="n"/>
      <c r="B323" s="20" t="n"/>
      <c r="C323" s="21" t="n"/>
      <c r="D323" s="22" t="n"/>
      <c r="E323" s="25" t="n"/>
      <c r="F323" s="25" t="n"/>
      <c r="G323" s="1">
        <f>IF(OR(B323="",C323=""),"",IF(AND(F323&lt;&gt;"",F323&lt;=TODAY()),0,1))</f>
        <v/>
      </c>
      <c r="H323" s="14">
        <f>IF(OR(B323="",C323=""),"",IF(G323=0,"Removed",IF(AND(I323&lt;&gt;"",I323&lt;=TODAY()),"Remove now","Active")))</f>
        <v/>
      </c>
      <c r="I323" s="1">
        <f>IFERROR(IF(INDEX(Team!$E$6:$E$105,MATCH(B323,Team!$B$6:$B$105,0))="","",INDEX(Team!$E$6:$E$105,MATCH(B323,Team!$B$6:$B$105,0))),"")</f>
        <v/>
      </c>
      <c r="J323">
        <f>IF(G323&lt;&gt;1,0,IFERROR(IF(INDEX(Tools!$G$6:$G$105,MATCH(C323,Tools!$B$6:$B$105,0))="",0,IF(N(INDEX(Tools!$O$6:$O$105,MATCH(C323,Tools!$B$6:$B$105,0)))=0,0,N(INDEX(Tools!$F$6:$F$105,MATCH(C323,Tools!$B$6:$B$105,0)))/INDEX(Tools!$U$6:$U$105,MATCH(C323,Tools!$B$6:$B$105,0)))),0))</f>
        <v/>
      </c>
      <c r="K323">
        <f>IF(H323="Remove now",ROW(),"")</f>
        <v/>
      </c>
    </row>
    <row r="324">
      <c r="A324" s="1" t="n"/>
      <c r="B324" s="20" t="n"/>
      <c r="C324" s="21" t="n"/>
      <c r="D324" s="22" t="n"/>
      <c r="E324" s="25" t="n"/>
      <c r="F324" s="25" t="n"/>
      <c r="G324" s="1">
        <f>IF(OR(B324="",C324=""),"",IF(AND(F324&lt;&gt;"",F324&lt;=TODAY()),0,1))</f>
        <v/>
      </c>
      <c r="H324" s="14">
        <f>IF(OR(B324="",C324=""),"",IF(G324=0,"Removed",IF(AND(I324&lt;&gt;"",I324&lt;=TODAY()),"Remove now","Active")))</f>
        <v/>
      </c>
      <c r="I324" s="1">
        <f>IFERROR(IF(INDEX(Team!$E$6:$E$105,MATCH(B324,Team!$B$6:$B$105,0))="","",INDEX(Team!$E$6:$E$105,MATCH(B324,Team!$B$6:$B$105,0))),"")</f>
        <v/>
      </c>
      <c r="J324">
        <f>IF(G324&lt;&gt;1,0,IFERROR(IF(INDEX(Tools!$G$6:$G$105,MATCH(C324,Tools!$B$6:$B$105,0))="",0,IF(N(INDEX(Tools!$O$6:$O$105,MATCH(C324,Tools!$B$6:$B$105,0)))=0,0,N(INDEX(Tools!$F$6:$F$105,MATCH(C324,Tools!$B$6:$B$105,0)))/INDEX(Tools!$U$6:$U$105,MATCH(C324,Tools!$B$6:$B$105,0)))),0))</f>
        <v/>
      </c>
      <c r="K324">
        <f>IF(H324="Remove now",ROW(),"")</f>
        <v/>
      </c>
    </row>
    <row r="325">
      <c r="A325" s="1" t="n"/>
      <c r="B325" s="20" t="n"/>
      <c r="C325" s="21" t="n"/>
      <c r="D325" s="22" t="n"/>
      <c r="E325" s="25" t="n"/>
      <c r="F325" s="25" t="n"/>
      <c r="G325" s="1">
        <f>IF(OR(B325="",C325=""),"",IF(AND(F325&lt;&gt;"",F325&lt;=TODAY()),0,1))</f>
        <v/>
      </c>
      <c r="H325" s="14">
        <f>IF(OR(B325="",C325=""),"",IF(G325=0,"Removed",IF(AND(I325&lt;&gt;"",I325&lt;=TODAY()),"Remove now","Active")))</f>
        <v/>
      </c>
      <c r="I325" s="1">
        <f>IFERROR(IF(INDEX(Team!$E$6:$E$105,MATCH(B325,Team!$B$6:$B$105,0))="","",INDEX(Team!$E$6:$E$105,MATCH(B325,Team!$B$6:$B$105,0))),"")</f>
        <v/>
      </c>
      <c r="J325">
        <f>IF(G325&lt;&gt;1,0,IFERROR(IF(INDEX(Tools!$G$6:$G$105,MATCH(C325,Tools!$B$6:$B$105,0))="",0,IF(N(INDEX(Tools!$O$6:$O$105,MATCH(C325,Tools!$B$6:$B$105,0)))=0,0,N(INDEX(Tools!$F$6:$F$105,MATCH(C325,Tools!$B$6:$B$105,0)))/INDEX(Tools!$U$6:$U$105,MATCH(C325,Tools!$B$6:$B$105,0)))),0))</f>
        <v/>
      </c>
      <c r="K325">
        <f>IF(H325="Remove now",ROW(),"")</f>
        <v/>
      </c>
    </row>
    <row r="326">
      <c r="A326" s="1" t="n"/>
      <c r="B326" s="20" t="n"/>
      <c r="C326" s="21" t="n"/>
      <c r="D326" s="22" t="n"/>
      <c r="E326" s="25" t="n"/>
      <c r="F326" s="25" t="n"/>
      <c r="G326" s="1">
        <f>IF(OR(B326="",C326=""),"",IF(AND(F326&lt;&gt;"",F326&lt;=TODAY()),0,1))</f>
        <v/>
      </c>
      <c r="H326" s="14">
        <f>IF(OR(B326="",C326=""),"",IF(G326=0,"Removed",IF(AND(I326&lt;&gt;"",I326&lt;=TODAY()),"Remove now","Active")))</f>
        <v/>
      </c>
      <c r="I326" s="1">
        <f>IFERROR(IF(INDEX(Team!$E$6:$E$105,MATCH(B326,Team!$B$6:$B$105,0))="","",INDEX(Team!$E$6:$E$105,MATCH(B326,Team!$B$6:$B$105,0))),"")</f>
        <v/>
      </c>
      <c r="J326">
        <f>IF(G326&lt;&gt;1,0,IFERROR(IF(INDEX(Tools!$G$6:$G$105,MATCH(C326,Tools!$B$6:$B$105,0))="",0,IF(N(INDEX(Tools!$O$6:$O$105,MATCH(C326,Tools!$B$6:$B$105,0)))=0,0,N(INDEX(Tools!$F$6:$F$105,MATCH(C326,Tools!$B$6:$B$105,0)))/INDEX(Tools!$U$6:$U$105,MATCH(C326,Tools!$B$6:$B$105,0)))),0))</f>
        <v/>
      </c>
      <c r="K326">
        <f>IF(H326="Remove now",ROW(),"")</f>
        <v/>
      </c>
    </row>
    <row r="327">
      <c r="A327" s="1" t="n"/>
      <c r="B327" s="20" t="n"/>
      <c r="C327" s="21" t="n"/>
      <c r="D327" s="22" t="n"/>
      <c r="E327" s="25" t="n"/>
      <c r="F327" s="25" t="n"/>
      <c r="G327" s="1">
        <f>IF(OR(B327="",C327=""),"",IF(AND(F327&lt;&gt;"",F327&lt;=TODAY()),0,1))</f>
        <v/>
      </c>
      <c r="H327" s="14">
        <f>IF(OR(B327="",C327=""),"",IF(G327=0,"Removed",IF(AND(I327&lt;&gt;"",I327&lt;=TODAY()),"Remove now","Active")))</f>
        <v/>
      </c>
      <c r="I327" s="1">
        <f>IFERROR(IF(INDEX(Team!$E$6:$E$105,MATCH(B327,Team!$B$6:$B$105,0))="","",INDEX(Team!$E$6:$E$105,MATCH(B327,Team!$B$6:$B$105,0))),"")</f>
        <v/>
      </c>
      <c r="J327">
        <f>IF(G327&lt;&gt;1,0,IFERROR(IF(INDEX(Tools!$G$6:$G$105,MATCH(C327,Tools!$B$6:$B$105,0))="",0,IF(N(INDEX(Tools!$O$6:$O$105,MATCH(C327,Tools!$B$6:$B$105,0)))=0,0,N(INDEX(Tools!$F$6:$F$105,MATCH(C327,Tools!$B$6:$B$105,0)))/INDEX(Tools!$U$6:$U$105,MATCH(C327,Tools!$B$6:$B$105,0)))),0))</f>
        <v/>
      </c>
      <c r="K327">
        <f>IF(H327="Remove now",ROW(),"")</f>
        <v/>
      </c>
    </row>
    <row r="328">
      <c r="A328" s="1" t="n"/>
      <c r="B328" s="20" t="n"/>
      <c r="C328" s="21" t="n"/>
      <c r="D328" s="22" t="n"/>
      <c r="E328" s="25" t="n"/>
      <c r="F328" s="25" t="n"/>
      <c r="G328" s="1">
        <f>IF(OR(B328="",C328=""),"",IF(AND(F328&lt;&gt;"",F328&lt;=TODAY()),0,1))</f>
        <v/>
      </c>
      <c r="H328" s="14">
        <f>IF(OR(B328="",C328=""),"",IF(G328=0,"Removed",IF(AND(I328&lt;&gt;"",I328&lt;=TODAY()),"Remove now","Active")))</f>
        <v/>
      </c>
      <c r="I328" s="1">
        <f>IFERROR(IF(INDEX(Team!$E$6:$E$105,MATCH(B328,Team!$B$6:$B$105,0))="","",INDEX(Team!$E$6:$E$105,MATCH(B328,Team!$B$6:$B$105,0))),"")</f>
        <v/>
      </c>
      <c r="J328">
        <f>IF(G328&lt;&gt;1,0,IFERROR(IF(INDEX(Tools!$G$6:$G$105,MATCH(C328,Tools!$B$6:$B$105,0))="",0,IF(N(INDEX(Tools!$O$6:$O$105,MATCH(C328,Tools!$B$6:$B$105,0)))=0,0,N(INDEX(Tools!$F$6:$F$105,MATCH(C328,Tools!$B$6:$B$105,0)))/INDEX(Tools!$U$6:$U$105,MATCH(C328,Tools!$B$6:$B$105,0)))),0))</f>
        <v/>
      </c>
      <c r="K328">
        <f>IF(H328="Remove now",ROW(),"")</f>
        <v/>
      </c>
    </row>
    <row r="329">
      <c r="A329" s="1" t="n"/>
      <c r="B329" s="20" t="n"/>
      <c r="C329" s="21" t="n"/>
      <c r="D329" s="22" t="n"/>
      <c r="E329" s="25" t="n"/>
      <c r="F329" s="25" t="n"/>
      <c r="G329" s="1">
        <f>IF(OR(B329="",C329=""),"",IF(AND(F329&lt;&gt;"",F329&lt;=TODAY()),0,1))</f>
        <v/>
      </c>
      <c r="H329" s="14">
        <f>IF(OR(B329="",C329=""),"",IF(G329=0,"Removed",IF(AND(I329&lt;&gt;"",I329&lt;=TODAY()),"Remove now","Active")))</f>
        <v/>
      </c>
      <c r="I329" s="1">
        <f>IFERROR(IF(INDEX(Team!$E$6:$E$105,MATCH(B329,Team!$B$6:$B$105,0))="","",INDEX(Team!$E$6:$E$105,MATCH(B329,Team!$B$6:$B$105,0))),"")</f>
        <v/>
      </c>
      <c r="J329">
        <f>IF(G329&lt;&gt;1,0,IFERROR(IF(INDEX(Tools!$G$6:$G$105,MATCH(C329,Tools!$B$6:$B$105,0))="",0,IF(N(INDEX(Tools!$O$6:$O$105,MATCH(C329,Tools!$B$6:$B$105,0)))=0,0,N(INDEX(Tools!$F$6:$F$105,MATCH(C329,Tools!$B$6:$B$105,0)))/INDEX(Tools!$U$6:$U$105,MATCH(C329,Tools!$B$6:$B$105,0)))),0))</f>
        <v/>
      </c>
      <c r="K329">
        <f>IF(H329="Remove now",ROW(),"")</f>
        <v/>
      </c>
    </row>
    <row r="330">
      <c r="A330" s="1" t="n"/>
      <c r="B330" s="20" t="n"/>
      <c r="C330" s="21" t="n"/>
      <c r="D330" s="22" t="n"/>
      <c r="E330" s="25" t="n"/>
      <c r="F330" s="25" t="n"/>
      <c r="G330" s="1">
        <f>IF(OR(B330="",C330=""),"",IF(AND(F330&lt;&gt;"",F330&lt;=TODAY()),0,1))</f>
        <v/>
      </c>
      <c r="H330" s="14">
        <f>IF(OR(B330="",C330=""),"",IF(G330=0,"Removed",IF(AND(I330&lt;&gt;"",I330&lt;=TODAY()),"Remove now","Active")))</f>
        <v/>
      </c>
      <c r="I330" s="1">
        <f>IFERROR(IF(INDEX(Team!$E$6:$E$105,MATCH(B330,Team!$B$6:$B$105,0))="","",INDEX(Team!$E$6:$E$105,MATCH(B330,Team!$B$6:$B$105,0))),"")</f>
        <v/>
      </c>
      <c r="J330">
        <f>IF(G330&lt;&gt;1,0,IFERROR(IF(INDEX(Tools!$G$6:$G$105,MATCH(C330,Tools!$B$6:$B$105,0))="",0,IF(N(INDEX(Tools!$O$6:$O$105,MATCH(C330,Tools!$B$6:$B$105,0)))=0,0,N(INDEX(Tools!$F$6:$F$105,MATCH(C330,Tools!$B$6:$B$105,0)))/INDEX(Tools!$U$6:$U$105,MATCH(C330,Tools!$B$6:$B$105,0)))),0))</f>
        <v/>
      </c>
      <c r="K330">
        <f>IF(H330="Remove now",ROW(),"")</f>
        <v/>
      </c>
    </row>
    <row r="331">
      <c r="A331" s="1" t="n"/>
      <c r="B331" s="20" t="n"/>
      <c r="C331" s="21" t="n"/>
      <c r="D331" s="22" t="n"/>
      <c r="E331" s="25" t="n"/>
      <c r="F331" s="25" t="n"/>
      <c r="G331" s="1">
        <f>IF(OR(B331="",C331=""),"",IF(AND(F331&lt;&gt;"",F331&lt;=TODAY()),0,1))</f>
        <v/>
      </c>
      <c r="H331" s="14">
        <f>IF(OR(B331="",C331=""),"",IF(G331=0,"Removed",IF(AND(I331&lt;&gt;"",I331&lt;=TODAY()),"Remove now","Active")))</f>
        <v/>
      </c>
      <c r="I331" s="1">
        <f>IFERROR(IF(INDEX(Team!$E$6:$E$105,MATCH(B331,Team!$B$6:$B$105,0))="","",INDEX(Team!$E$6:$E$105,MATCH(B331,Team!$B$6:$B$105,0))),"")</f>
        <v/>
      </c>
      <c r="J331">
        <f>IF(G331&lt;&gt;1,0,IFERROR(IF(INDEX(Tools!$G$6:$G$105,MATCH(C331,Tools!$B$6:$B$105,0))="",0,IF(N(INDEX(Tools!$O$6:$O$105,MATCH(C331,Tools!$B$6:$B$105,0)))=0,0,N(INDEX(Tools!$F$6:$F$105,MATCH(C331,Tools!$B$6:$B$105,0)))/INDEX(Tools!$U$6:$U$105,MATCH(C331,Tools!$B$6:$B$105,0)))),0))</f>
        <v/>
      </c>
      <c r="K331">
        <f>IF(H331="Remove now",ROW(),"")</f>
        <v/>
      </c>
    </row>
    <row r="332">
      <c r="A332" s="1" t="n"/>
      <c r="B332" s="20" t="n"/>
      <c r="C332" s="21" t="n"/>
      <c r="D332" s="22" t="n"/>
      <c r="E332" s="25" t="n"/>
      <c r="F332" s="25" t="n"/>
      <c r="G332" s="1">
        <f>IF(OR(B332="",C332=""),"",IF(AND(F332&lt;&gt;"",F332&lt;=TODAY()),0,1))</f>
        <v/>
      </c>
      <c r="H332" s="14">
        <f>IF(OR(B332="",C332=""),"",IF(G332=0,"Removed",IF(AND(I332&lt;&gt;"",I332&lt;=TODAY()),"Remove now","Active")))</f>
        <v/>
      </c>
      <c r="I332" s="1">
        <f>IFERROR(IF(INDEX(Team!$E$6:$E$105,MATCH(B332,Team!$B$6:$B$105,0))="","",INDEX(Team!$E$6:$E$105,MATCH(B332,Team!$B$6:$B$105,0))),"")</f>
        <v/>
      </c>
      <c r="J332">
        <f>IF(G332&lt;&gt;1,0,IFERROR(IF(INDEX(Tools!$G$6:$G$105,MATCH(C332,Tools!$B$6:$B$105,0))="",0,IF(N(INDEX(Tools!$O$6:$O$105,MATCH(C332,Tools!$B$6:$B$105,0)))=0,0,N(INDEX(Tools!$F$6:$F$105,MATCH(C332,Tools!$B$6:$B$105,0)))/INDEX(Tools!$U$6:$U$105,MATCH(C332,Tools!$B$6:$B$105,0)))),0))</f>
        <v/>
      </c>
      <c r="K332">
        <f>IF(H332="Remove now",ROW(),"")</f>
        <v/>
      </c>
    </row>
    <row r="333">
      <c r="A333" s="1" t="n"/>
      <c r="B333" s="20" t="n"/>
      <c r="C333" s="21" t="n"/>
      <c r="D333" s="22" t="n"/>
      <c r="E333" s="25" t="n"/>
      <c r="F333" s="25" t="n"/>
      <c r="G333" s="1">
        <f>IF(OR(B333="",C333=""),"",IF(AND(F333&lt;&gt;"",F333&lt;=TODAY()),0,1))</f>
        <v/>
      </c>
      <c r="H333" s="14">
        <f>IF(OR(B333="",C333=""),"",IF(G333=0,"Removed",IF(AND(I333&lt;&gt;"",I333&lt;=TODAY()),"Remove now","Active")))</f>
        <v/>
      </c>
      <c r="I333" s="1">
        <f>IFERROR(IF(INDEX(Team!$E$6:$E$105,MATCH(B333,Team!$B$6:$B$105,0))="","",INDEX(Team!$E$6:$E$105,MATCH(B333,Team!$B$6:$B$105,0))),"")</f>
        <v/>
      </c>
      <c r="J333">
        <f>IF(G333&lt;&gt;1,0,IFERROR(IF(INDEX(Tools!$G$6:$G$105,MATCH(C333,Tools!$B$6:$B$105,0))="",0,IF(N(INDEX(Tools!$O$6:$O$105,MATCH(C333,Tools!$B$6:$B$105,0)))=0,0,N(INDEX(Tools!$F$6:$F$105,MATCH(C333,Tools!$B$6:$B$105,0)))/INDEX(Tools!$U$6:$U$105,MATCH(C333,Tools!$B$6:$B$105,0)))),0))</f>
        <v/>
      </c>
      <c r="K333">
        <f>IF(H333="Remove now",ROW(),"")</f>
        <v/>
      </c>
    </row>
    <row r="334">
      <c r="A334" s="1" t="n"/>
      <c r="B334" s="20" t="n"/>
      <c r="C334" s="21" t="n"/>
      <c r="D334" s="22" t="n"/>
      <c r="E334" s="25" t="n"/>
      <c r="F334" s="25" t="n"/>
      <c r="G334" s="1">
        <f>IF(OR(B334="",C334=""),"",IF(AND(F334&lt;&gt;"",F334&lt;=TODAY()),0,1))</f>
        <v/>
      </c>
      <c r="H334" s="14">
        <f>IF(OR(B334="",C334=""),"",IF(G334=0,"Removed",IF(AND(I334&lt;&gt;"",I334&lt;=TODAY()),"Remove now","Active")))</f>
        <v/>
      </c>
      <c r="I334" s="1">
        <f>IFERROR(IF(INDEX(Team!$E$6:$E$105,MATCH(B334,Team!$B$6:$B$105,0))="","",INDEX(Team!$E$6:$E$105,MATCH(B334,Team!$B$6:$B$105,0))),"")</f>
        <v/>
      </c>
      <c r="J334">
        <f>IF(G334&lt;&gt;1,0,IFERROR(IF(INDEX(Tools!$G$6:$G$105,MATCH(C334,Tools!$B$6:$B$105,0))="",0,IF(N(INDEX(Tools!$O$6:$O$105,MATCH(C334,Tools!$B$6:$B$105,0)))=0,0,N(INDEX(Tools!$F$6:$F$105,MATCH(C334,Tools!$B$6:$B$105,0)))/INDEX(Tools!$U$6:$U$105,MATCH(C334,Tools!$B$6:$B$105,0)))),0))</f>
        <v/>
      </c>
      <c r="K334">
        <f>IF(H334="Remove now",ROW(),"")</f>
        <v/>
      </c>
    </row>
    <row r="335">
      <c r="A335" s="1" t="n"/>
      <c r="B335" s="20" t="n"/>
      <c r="C335" s="21" t="n"/>
      <c r="D335" s="22" t="n"/>
      <c r="E335" s="25" t="n"/>
      <c r="F335" s="25" t="n"/>
      <c r="G335" s="1">
        <f>IF(OR(B335="",C335=""),"",IF(AND(F335&lt;&gt;"",F335&lt;=TODAY()),0,1))</f>
        <v/>
      </c>
      <c r="H335" s="14">
        <f>IF(OR(B335="",C335=""),"",IF(G335=0,"Removed",IF(AND(I335&lt;&gt;"",I335&lt;=TODAY()),"Remove now","Active")))</f>
        <v/>
      </c>
      <c r="I335" s="1">
        <f>IFERROR(IF(INDEX(Team!$E$6:$E$105,MATCH(B335,Team!$B$6:$B$105,0))="","",INDEX(Team!$E$6:$E$105,MATCH(B335,Team!$B$6:$B$105,0))),"")</f>
        <v/>
      </c>
      <c r="J335">
        <f>IF(G335&lt;&gt;1,0,IFERROR(IF(INDEX(Tools!$G$6:$G$105,MATCH(C335,Tools!$B$6:$B$105,0))="",0,IF(N(INDEX(Tools!$O$6:$O$105,MATCH(C335,Tools!$B$6:$B$105,0)))=0,0,N(INDEX(Tools!$F$6:$F$105,MATCH(C335,Tools!$B$6:$B$105,0)))/INDEX(Tools!$U$6:$U$105,MATCH(C335,Tools!$B$6:$B$105,0)))),0))</f>
        <v/>
      </c>
      <c r="K335">
        <f>IF(H335="Remove now",ROW(),"")</f>
        <v/>
      </c>
    </row>
    <row r="336">
      <c r="A336" s="1" t="n"/>
      <c r="B336" s="20" t="n"/>
      <c r="C336" s="21" t="n"/>
      <c r="D336" s="22" t="n"/>
      <c r="E336" s="25" t="n"/>
      <c r="F336" s="25" t="n"/>
      <c r="G336" s="1">
        <f>IF(OR(B336="",C336=""),"",IF(AND(F336&lt;&gt;"",F336&lt;=TODAY()),0,1))</f>
        <v/>
      </c>
      <c r="H336" s="14">
        <f>IF(OR(B336="",C336=""),"",IF(G336=0,"Removed",IF(AND(I336&lt;&gt;"",I336&lt;=TODAY()),"Remove now","Active")))</f>
        <v/>
      </c>
      <c r="I336" s="1">
        <f>IFERROR(IF(INDEX(Team!$E$6:$E$105,MATCH(B336,Team!$B$6:$B$105,0))="","",INDEX(Team!$E$6:$E$105,MATCH(B336,Team!$B$6:$B$105,0))),"")</f>
        <v/>
      </c>
      <c r="J336">
        <f>IF(G336&lt;&gt;1,0,IFERROR(IF(INDEX(Tools!$G$6:$G$105,MATCH(C336,Tools!$B$6:$B$105,0))="",0,IF(N(INDEX(Tools!$O$6:$O$105,MATCH(C336,Tools!$B$6:$B$105,0)))=0,0,N(INDEX(Tools!$F$6:$F$105,MATCH(C336,Tools!$B$6:$B$105,0)))/INDEX(Tools!$U$6:$U$105,MATCH(C336,Tools!$B$6:$B$105,0)))),0))</f>
        <v/>
      </c>
      <c r="K336">
        <f>IF(H336="Remove now",ROW(),"")</f>
        <v/>
      </c>
    </row>
    <row r="337">
      <c r="A337" s="1" t="n"/>
      <c r="B337" s="20" t="n"/>
      <c r="C337" s="21" t="n"/>
      <c r="D337" s="22" t="n"/>
      <c r="E337" s="25" t="n"/>
      <c r="F337" s="25" t="n"/>
      <c r="G337" s="1">
        <f>IF(OR(B337="",C337=""),"",IF(AND(F337&lt;&gt;"",F337&lt;=TODAY()),0,1))</f>
        <v/>
      </c>
      <c r="H337" s="14">
        <f>IF(OR(B337="",C337=""),"",IF(G337=0,"Removed",IF(AND(I337&lt;&gt;"",I337&lt;=TODAY()),"Remove now","Active")))</f>
        <v/>
      </c>
      <c r="I337" s="1">
        <f>IFERROR(IF(INDEX(Team!$E$6:$E$105,MATCH(B337,Team!$B$6:$B$105,0))="","",INDEX(Team!$E$6:$E$105,MATCH(B337,Team!$B$6:$B$105,0))),"")</f>
        <v/>
      </c>
      <c r="J337">
        <f>IF(G337&lt;&gt;1,0,IFERROR(IF(INDEX(Tools!$G$6:$G$105,MATCH(C337,Tools!$B$6:$B$105,0))="",0,IF(N(INDEX(Tools!$O$6:$O$105,MATCH(C337,Tools!$B$6:$B$105,0)))=0,0,N(INDEX(Tools!$F$6:$F$105,MATCH(C337,Tools!$B$6:$B$105,0)))/INDEX(Tools!$U$6:$U$105,MATCH(C337,Tools!$B$6:$B$105,0)))),0))</f>
        <v/>
      </c>
      <c r="K337">
        <f>IF(H337="Remove now",ROW(),"")</f>
        <v/>
      </c>
    </row>
    <row r="338">
      <c r="A338" s="1" t="n"/>
      <c r="B338" s="20" t="n"/>
      <c r="C338" s="21" t="n"/>
      <c r="D338" s="22" t="n"/>
      <c r="E338" s="25" t="n"/>
      <c r="F338" s="25" t="n"/>
      <c r="G338" s="1">
        <f>IF(OR(B338="",C338=""),"",IF(AND(F338&lt;&gt;"",F338&lt;=TODAY()),0,1))</f>
        <v/>
      </c>
      <c r="H338" s="14">
        <f>IF(OR(B338="",C338=""),"",IF(G338=0,"Removed",IF(AND(I338&lt;&gt;"",I338&lt;=TODAY()),"Remove now","Active")))</f>
        <v/>
      </c>
      <c r="I338" s="1">
        <f>IFERROR(IF(INDEX(Team!$E$6:$E$105,MATCH(B338,Team!$B$6:$B$105,0))="","",INDEX(Team!$E$6:$E$105,MATCH(B338,Team!$B$6:$B$105,0))),"")</f>
        <v/>
      </c>
      <c r="J338">
        <f>IF(G338&lt;&gt;1,0,IFERROR(IF(INDEX(Tools!$G$6:$G$105,MATCH(C338,Tools!$B$6:$B$105,0))="",0,IF(N(INDEX(Tools!$O$6:$O$105,MATCH(C338,Tools!$B$6:$B$105,0)))=0,0,N(INDEX(Tools!$F$6:$F$105,MATCH(C338,Tools!$B$6:$B$105,0)))/INDEX(Tools!$U$6:$U$105,MATCH(C338,Tools!$B$6:$B$105,0)))),0))</f>
        <v/>
      </c>
      <c r="K338">
        <f>IF(H338="Remove now",ROW(),"")</f>
        <v/>
      </c>
    </row>
    <row r="339">
      <c r="A339" s="1" t="n"/>
      <c r="B339" s="20" t="n"/>
      <c r="C339" s="21" t="n"/>
      <c r="D339" s="22" t="n"/>
      <c r="E339" s="25" t="n"/>
      <c r="F339" s="25" t="n"/>
      <c r="G339" s="1">
        <f>IF(OR(B339="",C339=""),"",IF(AND(F339&lt;&gt;"",F339&lt;=TODAY()),0,1))</f>
        <v/>
      </c>
      <c r="H339" s="14">
        <f>IF(OR(B339="",C339=""),"",IF(G339=0,"Removed",IF(AND(I339&lt;&gt;"",I339&lt;=TODAY()),"Remove now","Active")))</f>
        <v/>
      </c>
      <c r="I339" s="1">
        <f>IFERROR(IF(INDEX(Team!$E$6:$E$105,MATCH(B339,Team!$B$6:$B$105,0))="","",INDEX(Team!$E$6:$E$105,MATCH(B339,Team!$B$6:$B$105,0))),"")</f>
        <v/>
      </c>
      <c r="J339">
        <f>IF(G339&lt;&gt;1,0,IFERROR(IF(INDEX(Tools!$G$6:$G$105,MATCH(C339,Tools!$B$6:$B$105,0))="",0,IF(N(INDEX(Tools!$O$6:$O$105,MATCH(C339,Tools!$B$6:$B$105,0)))=0,0,N(INDEX(Tools!$F$6:$F$105,MATCH(C339,Tools!$B$6:$B$105,0)))/INDEX(Tools!$U$6:$U$105,MATCH(C339,Tools!$B$6:$B$105,0)))),0))</f>
        <v/>
      </c>
      <c r="K339">
        <f>IF(H339="Remove now",ROW(),"")</f>
        <v/>
      </c>
    </row>
    <row r="340">
      <c r="A340" s="1" t="n"/>
      <c r="B340" s="20" t="n"/>
      <c r="C340" s="21" t="n"/>
      <c r="D340" s="22" t="n"/>
      <c r="E340" s="25" t="n"/>
      <c r="F340" s="25" t="n"/>
      <c r="G340" s="1">
        <f>IF(OR(B340="",C340=""),"",IF(AND(F340&lt;&gt;"",F340&lt;=TODAY()),0,1))</f>
        <v/>
      </c>
      <c r="H340" s="14">
        <f>IF(OR(B340="",C340=""),"",IF(G340=0,"Removed",IF(AND(I340&lt;&gt;"",I340&lt;=TODAY()),"Remove now","Active")))</f>
        <v/>
      </c>
      <c r="I340" s="1">
        <f>IFERROR(IF(INDEX(Team!$E$6:$E$105,MATCH(B340,Team!$B$6:$B$105,0))="","",INDEX(Team!$E$6:$E$105,MATCH(B340,Team!$B$6:$B$105,0))),"")</f>
        <v/>
      </c>
      <c r="J340">
        <f>IF(G340&lt;&gt;1,0,IFERROR(IF(INDEX(Tools!$G$6:$G$105,MATCH(C340,Tools!$B$6:$B$105,0))="",0,IF(N(INDEX(Tools!$O$6:$O$105,MATCH(C340,Tools!$B$6:$B$105,0)))=0,0,N(INDEX(Tools!$F$6:$F$105,MATCH(C340,Tools!$B$6:$B$105,0)))/INDEX(Tools!$U$6:$U$105,MATCH(C340,Tools!$B$6:$B$105,0)))),0))</f>
        <v/>
      </c>
      <c r="K340">
        <f>IF(H340="Remove now",ROW(),"")</f>
        <v/>
      </c>
    </row>
    <row r="341">
      <c r="A341" s="1" t="n"/>
      <c r="B341" s="20" t="n"/>
      <c r="C341" s="21" t="n"/>
      <c r="D341" s="22" t="n"/>
      <c r="E341" s="25" t="n"/>
      <c r="F341" s="25" t="n"/>
      <c r="G341" s="1">
        <f>IF(OR(B341="",C341=""),"",IF(AND(F341&lt;&gt;"",F341&lt;=TODAY()),0,1))</f>
        <v/>
      </c>
      <c r="H341" s="14">
        <f>IF(OR(B341="",C341=""),"",IF(G341=0,"Removed",IF(AND(I341&lt;&gt;"",I341&lt;=TODAY()),"Remove now","Active")))</f>
        <v/>
      </c>
      <c r="I341" s="1">
        <f>IFERROR(IF(INDEX(Team!$E$6:$E$105,MATCH(B341,Team!$B$6:$B$105,0))="","",INDEX(Team!$E$6:$E$105,MATCH(B341,Team!$B$6:$B$105,0))),"")</f>
        <v/>
      </c>
      <c r="J341">
        <f>IF(G341&lt;&gt;1,0,IFERROR(IF(INDEX(Tools!$G$6:$G$105,MATCH(C341,Tools!$B$6:$B$105,0))="",0,IF(N(INDEX(Tools!$O$6:$O$105,MATCH(C341,Tools!$B$6:$B$105,0)))=0,0,N(INDEX(Tools!$F$6:$F$105,MATCH(C341,Tools!$B$6:$B$105,0)))/INDEX(Tools!$U$6:$U$105,MATCH(C341,Tools!$B$6:$B$105,0)))),0))</f>
        <v/>
      </c>
      <c r="K341">
        <f>IF(H341="Remove now",ROW(),"")</f>
        <v/>
      </c>
    </row>
    <row r="342">
      <c r="A342" s="1" t="n"/>
      <c r="B342" s="20" t="n"/>
      <c r="C342" s="21" t="n"/>
      <c r="D342" s="22" t="n"/>
      <c r="E342" s="25" t="n"/>
      <c r="F342" s="25" t="n"/>
      <c r="G342" s="1">
        <f>IF(OR(B342="",C342=""),"",IF(AND(F342&lt;&gt;"",F342&lt;=TODAY()),0,1))</f>
        <v/>
      </c>
      <c r="H342" s="14">
        <f>IF(OR(B342="",C342=""),"",IF(G342=0,"Removed",IF(AND(I342&lt;&gt;"",I342&lt;=TODAY()),"Remove now","Active")))</f>
        <v/>
      </c>
      <c r="I342" s="1">
        <f>IFERROR(IF(INDEX(Team!$E$6:$E$105,MATCH(B342,Team!$B$6:$B$105,0))="","",INDEX(Team!$E$6:$E$105,MATCH(B342,Team!$B$6:$B$105,0))),"")</f>
        <v/>
      </c>
      <c r="J342">
        <f>IF(G342&lt;&gt;1,0,IFERROR(IF(INDEX(Tools!$G$6:$G$105,MATCH(C342,Tools!$B$6:$B$105,0))="",0,IF(N(INDEX(Tools!$O$6:$O$105,MATCH(C342,Tools!$B$6:$B$105,0)))=0,0,N(INDEX(Tools!$F$6:$F$105,MATCH(C342,Tools!$B$6:$B$105,0)))/INDEX(Tools!$U$6:$U$105,MATCH(C342,Tools!$B$6:$B$105,0)))),0))</f>
        <v/>
      </c>
      <c r="K342">
        <f>IF(H342="Remove now",ROW(),"")</f>
        <v/>
      </c>
    </row>
    <row r="343">
      <c r="A343" s="1" t="n"/>
      <c r="B343" s="20" t="n"/>
      <c r="C343" s="21" t="n"/>
      <c r="D343" s="22" t="n"/>
      <c r="E343" s="25" t="n"/>
      <c r="F343" s="25" t="n"/>
      <c r="G343" s="1">
        <f>IF(OR(B343="",C343=""),"",IF(AND(F343&lt;&gt;"",F343&lt;=TODAY()),0,1))</f>
        <v/>
      </c>
      <c r="H343" s="14">
        <f>IF(OR(B343="",C343=""),"",IF(G343=0,"Removed",IF(AND(I343&lt;&gt;"",I343&lt;=TODAY()),"Remove now","Active")))</f>
        <v/>
      </c>
      <c r="I343" s="1">
        <f>IFERROR(IF(INDEX(Team!$E$6:$E$105,MATCH(B343,Team!$B$6:$B$105,0))="","",INDEX(Team!$E$6:$E$105,MATCH(B343,Team!$B$6:$B$105,0))),"")</f>
        <v/>
      </c>
      <c r="J343">
        <f>IF(G343&lt;&gt;1,0,IFERROR(IF(INDEX(Tools!$G$6:$G$105,MATCH(C343,Tools!$B$6:$B$105,0))="",0,IF(N(INDEX(Tools!$O$6:$O$105,MATCH(C343,Tools!$B$6:$B$105,0)))=0,0,N(INDEX(Tools!$F$6:$F$105,MATCH(C343,Tools!$B$6:$B$105,0)))/INDEX(Tools!$U$6:$U$105,MATCH(C343,Tools!$B$6:$B$105,0)))),0))</f>
        <v/>
      </c>
      <c r="K343">
        <f>IF(H343="Remove now",ROW(),"")</f>
        <v/>
      </c>
    </row>
    <row r="344">
      <c r="A344" s="1" t="n"/>
      <c r="B344" s="20" t="n"/>
      <c r="C344" s="21" t="n"/>
      <c r="D344" s="22" t="n"/>
      <c r="E344" s="25" t="n"/>
      <c r="F344" s="25" t="n"/>
      <c r="G344" s="1">
        <f>IF(OR(B344="",C344=""),"",IF(AND(F344&lt;&gt;"",F344&lt;=TODAY()),0,1))</f>
        <v/>
      </c>
      <c r="H344" s="14">
        <f>IF(OR(B344="",C344=""),"",IF(G344=0,"Removed",IF(AND(I344&lt;&gt;"",I344&lt;=TODAY()),"Remove now","Active")))</f>
        <v/>
      </c>
      <c r="I344" s="1">
        <f>IFERROR(IF(INDEX(Team!$E$6:$E$105,MATCH(B344,Team!$B$6:$B$105,0))="","",INDEX(Team!$E$6:$E$105,MATCH(B344,Team!$B$6:$B$105,0))),"")</f>
        <v/>
      </c>
      <c r="J344">
        <f>IF(G344&lt;&gt;1,0,IFERROR(IF(INDEX(Tools!$G$6:$G$105,MATCH(C344,Tools!$B$6:$B$105,0))="",0,IF(N(INDEX(Tools!$O$6:$O$105,MATCH(C344,Tools!$B$6:$B$105,0)))=0,0,N(INDEX(Tools!$F$6:$F$105,MATCH(C344,Tools!$B$6:$B$105,0)))/INDEX(Tools!$U$6:$U$105,MATCH(C344,Tools!$B$6:$B$105,0)))),0))</f>
        <v/>
      </c>
      <c r="K344">
        <f>IF(H344="Remove now",ROW(),"")</f>
        <v/>
      </c>
    </row>
    <row r="345">
      <c r="A345" s="1" t="n"/>
      <c r="B345" s="20" t="n"/>
      <c r="C345" s="21" t="n"/>
      <c r="D345" s="22" t="n"/>
      <c r="E345" s="25" t="n"/>
      <c r="F345" s="25" t="n"/>
      <c r="G345" s="1">
        <f>IF(OR(B345="",C345=""),"",IF(AND(F345&lt;&gt;"",F345&lt;=TODAY()),0,1))</f>
        <v/>
      </c>
      <c r="H345" s="14">
        <f>IF(OR(B345="",C345=""),"",IF(G345=0,"Removed",IF(AND(I345&lt;&gt;"",I345&lt;=TODAY()),"Remove now","Active")))</f>
        <v/>
      </c>
      <c r="I345" s="1">
        <f>IFERROR(IF(INDEX(Team!$E$6:$E$105,MATCH(B345,Team!$B$6:$B$105,0))="","",INDEX(Team!$E$6:$E$105,MATCH(B345,Team!$B$6:$B$105,0))),"")</f>
        <v/>
      </c>
      <c r="J345">
        <f>IF(G345&lt;&gt;1,0,IFERROR(IF(INDEX(Tools!$G$6:$G$105,MATCH(C345,Tools!$B$6:$B$105,0))="",0,IF(N(INDEX(Tools!$O$6:$O$105,MATCH(C345,Tools!$B$6:$B$105,0)))=0,0,N(INDEX(Tools!$F$6:$F$105,MATCH(C345,Tools!$B$6:$B$105,0)))/INDEX(Tools!$U$6:$U$105,MATCH(C345,Tools!$B$6:$B$105,0)))),0))</f>
        <v/>
      </c>
      <c r="K345">
        <f>IF(H345="Remove now",ROW(),"")</f>
        <v/>
      </c>
    </row>
    <row r="346">
      <c r="A346" s="1" t="n"/>
      <c r="B346" s="20" t="n"/>
      <c r="C346" s="21" t="n"/>
      <c r="D346" s="22" t="n"/>
      <c r="E346" s="25" t="n"/>
      <c r="F346" s="25" t="n"/>
      <c r="G346" s="1">
        <f>IF(OR(B346="",C346=""),"",IF(AND(F346&lt;&gt;"",F346&lt;=TODAY()),0,1))</f>
        <v/>
      </c>
      <c r="H346" s="14">
        <f>IF(OR(B346="",C346=""),"",IF(G346=0,"Removed",IF(AND(I346&lt;&gt;"",I346&lt;=TODAY()),"Remove now","Active")))</f>
        <v/>
      </c>
      <c r="I346" s="1">
        <f>IFERROR(IF(INDEX(Team!$E$6:$E$105,MATCH(B346,Team!$B$6:$B$105,0))="","",INDEX(Team!$E$6:$E$105,MATCH(B346,Team!$B$6:$B$105,0))),"")</f>
        <v/>
      </c>
      <c r="J346">
        <f>IF(G346&lt;&gt;1,0,IFERROR(IF(INDEX(Tools!$G$6:$G$105,MATCH(C346,Tools!$B$6:$B$105,0))="",0,IF(N(INDEX(Tools!$O$6:$O$105,MATCH(C346,Tools!$B$6:$B$105,0)))=0,0,N(INDEX(Tools!$F$6:$F$105,MATCH(C346,Tools!$B$6:$B$105,0)))/INDEX(Tools!$U$6:$U$105,MATCH(C346,Tools!$B$6:$B$105,0)))),0))</f>
        <v/>
      </c>
      <c r="K346">
        <f>IF(H346="Remove now",ROW(),"")</f>
        <v/>
      </c>
    </row>
    <row r="347">
      <c r="A347" s="1" t="n"/>
      <c r="B347" s="20" t="n"/>
      <c r="C347" s="21" t="n"/>
      <c r="D347" s="22" t="n"/>
      <c r="E347" s="25" t="n"/>
      <c r="F347" s="25" t="n"/>
      <c r="G347" s="1">
        <f>IF(OR(B347="",C347=""),"",IF(AND(F347&lt;&gt;"",F347&lt;=TODAY()),0,1))</f>
        <v/>
      </c>
      <c r="H347" s="14">
        <f>IF(OR(B347="",C347=""),"",IF(G347=0,"Removed",IF(AND(I347&lt;&gt;"",I347&lt;=TODAY()),"Remove now","Active")))</f>
        <v/>
      </c>
      <c r="I347" s="1">
        <f>IFERROR(IF(INDEX(Team!$E$6:$E$105,MATCH(B347,Team!$B$6:$B$105,0))="","",INDEX(Team!$E$6:$E$105,MATCH(B347,Team!$B$6:$B$105,0))),"")</f>
        <v/>
      </c>
      <c r="J347">
        <f>IF(G347&lt;&gt;1,0,IFERROR(IF(INDEX(Tools!$G$6:$G$105,MATCH(C347,Tools!$B$6:$B$105,0))="",0,IF(N(INDEX(Tools!$O$6:$O$105,MATCH(C347,Tools!$B$6:$B$105,0)))=0,0,N(INDEX(Tools!$F$6:$F$105,MATCH(C347,Tools!$B$6:$B$105,0)))/INDEX(Tools!$U$6:$U$105,MATCH(C347,Tools!$B$6:$B$105,0)))),0))</f>
        <v/>
      </c>
      <c r="K347">
        <f>IF(H347="Remove now",ROW(),"")</f>
        <v/>
      </c>
    </row>
    <row r="348">
      <c r="A348" s="1" t="n"/>
      <c r="B348" s="20" t="n"/>
      <c r="C348" s="21" t="n"/>
      <c r="D348" s="22" t="n"/>
      <c r="E348" s="25" t="n"/>
      <c r="F348" s="25" t="n"/>
      <c r="G348" s="1">
        <f>IF(OR(B348="",C348=""),"",IF(AND(F348&lt;&gt;"",F348&lt;=TODAY()),0,1))</f>
        <v/>
      </c>
      <c r="H348" s="14">
        <f>IF(OR(B348="",C348=""),"",IF(G348=0,"Removed",IF(AND(I348&lt;&gt;"",I348&lt;=TODAY()),"Remove now","Active")))</f>
        <v/>
      </c>
      <c r="I348" s="1">
        <f>IFERROR(IF(INDEX(Team!$E$6:$E$105,MATCH(B348,Team!$B$6:$B$105,0))="","",INDEX(Team!$E$6:$E$105,MATCH(B348,Team!$B$6:$B$105,0))),"")</f>
        <v/>
      </c>
      <c r="J348">
        <f>IF(G348&lt;&gt;1,0,IFERROR(IF(INDEX(Tools!$G$6:$G$105,MATCH(C348,Tools!$B$6:$B$105,0))="",0,IF(N(INDEX(Tools!$O$6:$O$105,MATCH(C348,Tools!$B$6:$B$105,0)))=0,0,N(INDEX(Tools!$F$6:$F$105,MATCH(C348,Tools!$B$6:$B$105,0)))/INDEX(Tools!$U$6:$U$105,MATCH(C348,Tools!$B$6:$B$105,0)))),0))</f>
        <v/>
      </c>
      <c r="K348">
        <f>IF(H348="Remove now",ROW(),"")</f>
        <v/>
      </c>
    </row>
    <row r="349">
      <c r="A349" s="1" t="n"/>
      <c r="B349" s="20" t="n"/>
      <c r="C349" s="21" t="n"/>
      <c r="D349" s="22" t="n"/>
      <c r="E349" s="25" t="n"/>
      <c r="F349" s="25" t="n"/>
      <c r="G349" s="1">
        <f>IF(OR(B349="",C349=""),"",IF(AND(F349&lt;&gt;"",F349&lt;=TODAY()),0,1))</f>
        <v/>
      </c>
      <c r="H349" s="14">
        <f>IF(OR(B349="",C349=""),"",IF(G349=0,"Removed",IF(AND(I349&lt;&gt;"",I349&lt;=TODAY()),"Remove now","Active")))</f>
        <v/>
      </c>
      <c r="I349" s="1">
        <f>IFERROR(IF(INDEX(Team!$E$6:$E$105,MATCH(B349,Team!$B$6:$B$105,0))="","",INDEX(Team!$E$6:$E$105,MATCH(B349,Team!$B$6:$B$105,0))),"")</f>
        <v/>
      </c>
      <c r="J349">
        <f>IF(G349&lt;&gt;1,0,IFERROR(IF(INDEX(Tools!$G$6:$G$105,MATCH(C349,Tools!$B$6:$B$105,0))="",0,IF(N(INDEX(Tools!$O$6:$O$105,MATCH(C349,Tools!$B$6:$B$105,0)))=0,0,N(INDEX(Tools!$F$6:$F$105,MATCH(C349,Tools!$B$6:$B$105,0)))/INDEX(Tools!$U$6:$U$105,MATCH(C349,Tools!$B$6:$B$105,0)))),0))</f>
        <v/>
      </c>
      <c r="K349">
        <f>IF(H349="Remove now",ROW(),"")</f>
        <v/>
      </c>
    </row>
    <row r="350">
      <c r="A350" s="1" t="n"/>
      <c r="B350" s="20" t="n"/>
      <c r="C350" s="21" t="n"/>
      <c r="D350" s="22" t="n"/>
      <c r="E350" s="25" t="n"/>
      <c r="F350" s="25" t="n"/>
      <c r="G350" s="1">
        <f>IF(OR(B350="",C350=""),"",IF(AND(F350&lt;&gt;"",F350&lt;=TODAY()),0,1))</f>
        <v/>
      </c>
      <c r="H350" s="14">
        <f>IF(OR(B350="",C350=""),"",IF(G350=0,"Removed",IF(AND(I350&lt;&gt;"",I350&lt;=TODAY()),"Remove now","Active")))</f>
        <v/>
      </c>
      <c r="I350" s="1">
        <f>IFERROR(IF(INDEX(Team!$E$6:$E$105,MATCH(B350,Team!$B$6:$B$105,0))="","",INDEX(Team!$E$6:$E$105,MATCH(B350,Team!$B$6:$B$105,0))),"")</f>
        <v/>
      </c>
      <c r="J350">
        <f>IF(G350&lt;&gt;1,0,IFERROR(IF(INDEX(Tools!$G$6:$G$105,MATCH(C350,Tools!$B$6:$B$105,0))="",0,IF(N(INDEX(Tools!$O$6:$O$105,MATCH(C350,Tools!$B$6:$B$105,0)))=0,0,N(INDEX(Tools!$F$6:$F$105,MATCH(C350,Tools!$B$6:$B$105,0)))/INDEX(Tools!$U$6:$U$105,MATCH(C350,Tools!$B$6:$B$105,0)))),0))</f>
        <v/>
      </c>
      <c r="K350">
        <f>IF(H350="Remove now",ROW(),"")</f>
        <v/>
      </c>
    </row>
    <row r="351">
      <c r="A351" s="1" t="n"/>
      <c r="B351" s="20" t="n"/>
      <c r="C351" s="21" t="n"/>
      <c r="D351" s="22" t="n"/>
      <c r="E351" s="25" t="n"/>
      <c r="F351" s="25" t="n"/>
      <c r="G351" s="1">
        <f>IF(OR(B351="",C351=""),"",IF(AND(F351&lt;&gt;"",F351&lt;=TODAY()),0,1))</f>
        <v/>
      </c>
      <c r="H351" s="14">
        <f>IF(OR(B351="",C351=""),"",IF(G351=0,"Removed",IF(AND(I351&lt;&gt;"",I351&lt;=TODAY()),"Remove now","Active")))</f>
        <v/>
      </c>
      <c r="I351" s="1">
        <f>IFERROR(IF(INDEX(Team!$E$6:$E$105,MATCH(B351,Team!$B$6:$B$105,0))="","",INDEX(Team!$E$6:$E$105,MATCH(B351,Team!$B$6:$B$105,0))),"")</f>
        <v/>
      </c>
      <c r="J351">
        <f>IF(G351&lt;&gt;1,0,IFERROR(IF(INDEX(Tools!$G$6:$G$105,MATCH(C351,Tools!$B$6:$B$105,0))="",0,IF(N(INDEX(Tools!$O$6:$O$105,MATCH(C351,Tools!$B$6:$B$105,0)))=0,0,N(INDEX(Tools!$F$6:$F$105,MATCH(C351,Tools!$B$6:$B$105,0)))/INDEX(Tools!$U$6:$U$105,MATCH(C351,Tools!$B$6:$B$105,0)))),0))</f>
        <v/>
      </c>
      <c r="K351">
        <f>IF(H351="Remove now",ROW(),"")</f>
        <v/>
      </c>
    </row>
    <row r="352">
      <c r="A352" s="1" t="n"/>
      <c r="B352" s="20" t="n"/>
      <c r="C352" s="21" t="n"/>
      <c r="D352" s="22" t="n"/>
      <c r="E352" s="25" t="n"/>
      <c r="F352" s="25" t="n"/>
      <c r="G352" s="1">
        <f>IF(OR(B352="",C352=""),"",IF(AND(F352&lt;&gt;"",F352&lt;=TODAY()),0,1))</f>
        <v/>
      </c>
      <c r="H352" s="14">
        <f>IF(OR(B352="",C352=""),"",IF(G352=0,"Removed",IF(AND(I352&lt;&gt;"",I352&lt;=TODAY()),"Remove now","Active")))</f>
        <v/>
      </c>
      <c r="I352" s="1">
        <f>IFERROR(IF(INDEX(Team!$E$6:$E$105,MATCH(B352,Team!$B$6:$B$105,0))="","",INDEX(Team!$E$6:$E$105,MATCH(B352,Team!$B$6:$B$105,0))),"")</f>
        <v/>
      </c>
      <c r="J352">
        <f>IF(G352&lt;&gt;1,0,IFERROR(IF(INDEX(Tools!$G$6:$G$105,MATCH(C352,Tools!$B$6:$B$105,0))="",0,IF(N(INDEX(Tools!$O$6:$O$105,MATCH(C352,Tools!$B$6:$B$105,0)))=0,0,N(INDEX(Tools!$F$6:$F$105,MATCH(C352,Tools!$B$6:$B$105,0)))/INDEX(Tools!$U$6:$U$105,MATCH(C352,Tools!$B$6:$B$105,0)))),0))</f>
        <v/>
      </c>
      <c r="K352">
        <f>IF(H352="Remove now",ROW(),"")</f>
        <v/>
      </c>
    </row>
    <row r="353">
      <c r="A353" s="1" t="n"/>
      <c r="B353" s="20" t="n"/>
      <c r="C353" s="21" t="n"/>
      <c r="D353" s="22" t="n"/>
      <c r="E353" s="25" t="n"/>
      <c r="F353" s="25" t="n"/>
      <c r="G353" s="1">
        <f>IF(OR(B353="",C353=""),"",IF(AND(F353&lt;&gt;"",F353&lt;=TODAY()),0,1))</f>
        <v/>
      </c>
      <c r="H353" s="14">
        <f>IF(OR(B353="",C353=""),"",IF(G353=0,"Removed",IF(AND(I353&lt;&gt;"",I353&lt;=TODAY()),"Remove now","Active")))</f>
        <v/>
      </c>
      <c r="I353" s="1">
        <f>IFERROR(IF(INDEX(Team!$E$6:$E$105,MATCH(B353,Team!$B$6:$B$105,0))="","",INDEX(Team!$E$6:$E$105,MATCH(B353,Team!$B$6:$B$105,0))),"")</f>
        <v/>
      </c>
      <c r="J353">
        <f>IF(G353&lt;&gt;1,0,IFERROR(IF(INDEX(Tools!$G$6:$G$105,MATCH(C353,Tools!$B$6:$B$105,0))="",0,IF(N(INDEX(Tools!$O$6:$O$105,MATCH(C353,Tools!$B$6:$B$105,0)))=0,0,N(INDEX(Tools!$F$6:$F$105,MATCH(C353,Tools!$B$6:$B$105,0)))/INDEX(Tools!$U$6:$U$105,MATCH(C353,Tools!$B$6:$B$105,0)))),0))</f>
        <v/>
      </c>
      <c r="K353">
        <f>IF(H353="Remove now",ROW(),"")</f>
        <v/>
      </c>
    </row>
    <row r="354">
      <c r="A354" s="1" t="n"/>
      <c r="B354" s="20" t="n"/>
      <c r="C354" s="21" t="n"/>
      <c r="D354" s="22" t="n"/>
      <c r="E354" s="25" t="n"/>
      <c r="F354" s="25" t="n"/>
      <c r="G354" s="1">
        <f>IF(OR(B354="",C354=""),"",IF(AND(F354&lt;&gt;"",F354&lt;=TODAY()),0,1))</f>
        <v/>
      </c>
      <c r="H354" s="14">
        <f>IF(OR(B354="",C354=""),"",IF(G354=0,"Removed",IF(AND(I354&lt;&gt;"",I354&lt;=TODAY()),"Remove now","Active")))</f>
        <v/>
      </c>
      <c r="I354" s="1">
        <f>IFERROR(IF(INDEX(Team!$E$6:$E$105,MATCH(B354,Team!$B$6:$B$105,0))="","",INDEX(Team!$E$6:$E$105,MATCH(B354,Team!$B$6:$B$105,0))),"")</f>
        <v/>
      </c>
      <c r="J354">
        <f>IF(G354&lt;&gt;1,0,IFERROR(IF(INDEX(Tools!$G$6:$G$105,MATCH(C354,Tools!$B$6:$B$105,0))="",0,IF(N(INDEX(Tools!$O$6:$O$105,MATCH(C354,Tools!$B$6:$B$105,0)))=0,0,N(INDEX(Tools!$F$6:$F$105,MATCH(C354,Tools!$B$6:$B$105,0)))/INDEX(Tools!$U$6:$U$105,MATCH(C354,Tools!$B$6:$B$105,0)))),0))</f>
        <v/>
      </c>
      <c r="K354">
        <f>IF(H354="Remove now",ROW(),"")</f>
        <v/>
      </c>
    </row>
    <row r="355">
      <c r="A355" s="1" t="n"/>
      <c r="B355" s="20" t="n"/>
      <c r="C355" s="21" t="n"/>
      <c r="D355" s="22" t="n"/>
      <c r="E355" s="25" t="n"/>
      <c r="F355" s="25" t="n"/>
      <c r="G355" s="1">
        <f>IF(OR(B355="",C355=""),"",IF(AND(F355&lt;&gt;"",F355&lt;=TODAY()),0,1))</f>
        <v/>
      </c>
      <c r="H355" s="14">
        <f>IF(OR(B355="",C355=""),"",IF(G355=0,"Removed",IF(AND(I355&lt;&gt;"",I355&lt;=TODAY()),"Remove now","Active")))</f>
        <v/>
      </c>
      <c r="I355" s="1">
        <f>IFERROR(IF(INDEX(Team!$E$6:$E$105,MATCH(B355,Team!$B$6:$B$105,0))="","",INDEX(Team!$E$6:$E$105,MATCH(B355,Team!$B$6:$B$105,0))),"")</f>
        <v/>
      </c>
      <c r="J355">
        <f>IF(G355&lt;&gt;1,0,IFERROR(IF(INDEX(Tools!$G$6:$G$105,MATCH(C355,Tools!$B$6:$B$105,0))="",0,IF(N(INDEX(Tools!$O$6:$O$105,MATCH(C355,Tools!$B$6:$B$105,0)))=0,0,N(INDEX(Tools!$F$6:$F$105,MATCH(C355,Tools!$B$6:$B$105,0)))/INDEX(Tools!$U$6:$U$105,MATCH(C355,Tools!$B$6:$B$105,0)))),0))</f>
        <v/>
      </c>
      <c r="K355">
        <f>IF(H355="Remove now",ROW(),"")</f>
        <v/>
      </c>
    </row>
    <row r="356">
      <c r="A356" s="1" t="n"/>
      <c r="B356" s="20" t="n"/>
      <c r="C356" s="21" t="n"/>
      <c r="D356" s="22" t="n"/>
      <c r="E356" s="25" t="n"/>
      <c r="F356" s="25" t="n"/>
      <c r="G356" s="1">
        <f>IF(OR(B356="",C356=""),"",IF(AND(F356&lt;&gt;"",F356&lt;=TODAY()),0,1))</f>
        <v/>
      </c>
      <c r="H356" s="14">
        <f>IF(OR(B356="",C356=""),"",IF(G356=0,"Removed",IF(AND(I356&lt;&gt;"",I356&lt;=TODAY()),"Remove now","Active")))</f>
        <v/>
      </c>
      <c r="I356" s="1">
        <f>IFERROR(IF(INDEX(Team!$E$6:$E$105,MATCH(B356,Team!$B$6:$B$105,0))="","",INDEX(Team!$E$6:$E$105,MATCH(B356,Team!$B$6:$B$105,0))),"")</f>
        <v/>
      </c>
      <c r="J356">
        <f>IF(G356&lt;&gt;1,0,IFERROR(IF(INDEX(Tools!$G$6:$G$105,MATCH(C356,Tools!$B$6:$B$105,0))="",0,IF(N(INDEX(Tools!$O$6:$O$105,MATCH(C356,Tools!$B$6:$B$105,0)))=0,0,N(INDEX(Tools!$F$6:$F$105,MATCH(C356,Tools!$B$6:$B$105,0)))/INDEX(Tools!$U$6:$U$105,MATCH(C356,Tools!$B$6:$B$105,0)))),0))</f>
        <v/>
      </c>
      <c r="K356">
        <f>IF(H356="Remove now",ROW(),"")</f>
        <v/>
      </c>
    </row>
    <row r="357">
      <c r="A357" s="1" t="n"/>
      <c r="B357" s="20" t="n"/>
      <c r="C357" s="21" t="n"/>
      <c r="D357" s="22" t="n"/>
      <c r="E357" s="25" t="n"/>
      <c r="F357" s="25" t="n"/>
      <c r="G357" s="1">
        <f>IF(OR(B357="",C357=""),"",IF(AND(F357&lt;&gt;"",F357&lt;=TODAY()),0,1))</f>
        <v/>
      </c>
      <c r="H357" s="14">
        <f>IF(OR(B357="",C357=""),"",IF(G357=0,"Removed",IF(AND(I357&lt;&gt;"",I357&lt;=TODAY()),"Remove now","Active")))</f>
        <v/>
      </c>
      <c r="I357" s="1">
        <f>IFERROR(IF(INDEX(Team!$E$6:$E$105,MATCH(B357,Team!$B$6:$B$105,0))="","",INDEX(Team!$E$6:$E$105,MATCH(B357,Team!$B$6:$B$105,0))),"")</f>
        <v/>
      </c>
      <c r="J357">
        <f>IF(G357&lt;&gt;1,0,IFERROR(IF(INDEX(Tools!$G$6:$G$105,MATCH(C357,Tools!$B$6:$B$105,0))="",0,IF(N(INDEX(Tools!$O$6:$O$105,MATCH(C357,Tools!$B$6:$B$105,0)))=0,0,N(INDEX(Tools!$F$6:$F$105,MATCH(C357,Tools!$B$6:$B$105,0)))/INDEX(Tools!$U$6:$U$105,MATCH(C357,Tools!$B$6:$B$105,0)))),0))</f>
        <v/>
      </c>
      <c r="K357">
        <f>IF(H357="Remove now",ROW(),"")</f>
        <v/>
      </c>
    </row>
    <row r="358">
      <c r="A358" s="1" t="n"/>
      <c r="B358" s="20" t="n"/>
      <c r="C358" s="21" t="n"/>
      <c r="D358" s="22" t="n"/>
      <c r="E358" s="25" t="n"/>
      <c r="F358" s="25" t="n"/>
      <c r="G358" s="1">
        <f>IF(OR(B358="",C358=""),"",IF(AND(F358&lt;&gt;"",F358&lt;=TODAY()),0,1))</f>
        <v/>
      </c>
      <c r="H358" s="14">
        <f>IF(OR(B358="",C358=""),"",IF(G358=0,"Removed",IF(AND(I358&lt;&gt;"",I358&lt;=TODAY()),"Remove now","Active")))</f>
        <v/>
      </c>
      <c r="I358" s="1">
        <f>IFERROR(IF(INDEX(Team!$E$6:$E$105,MATCH(B358,Team!$B$6:$B$105,0))="","",INDEX(Team!$E$6:$E$105,MATCH(B358,Team!$B$6:$B$105,0))),"")</f>
        <v/>
      </c>
      <c r="J358">
        <f>IF(G358&lt;&gt;1,0,IFERROR(IF(INDEX(Tools!$G$6:$G$105,MATCH(C358,Tools!$B$6:$B$105,0))="",0,IF(N(INDEX(Tools!$O$6:$O$105,MATCH(C358,Tools!$B$6:$B$105,0)))=0,0,N(INDEX(Tools!$F$6:$F$105,MATCH(C358,Tools!$B$6:$B$105,0)))/INDEX(Tools!$U$6:$U$105,MATCH(C358,Tools!$B$6:$B$105,0)))),0))</f>
        <v/>
      </c>
      <c r="K358">
        <f>IF(H358="Remove now",ROW(),"")</f>
        <v/>
      </c>
    </row>
    <row r="359">
      <c r="A359" s="1" t="n"/>
      <c r="B359" s="20" t="n"/>
      <c r="C359" s="21" t="n"/>
      <c r="D359" s="22" t="n"/>
      <c r="E359" s="25" t="n"/>
      <c r="F359" s="25" t="n"/>
      <c r="G359" s="1">
        <f>IF(OR(B359="",C359=""),"",IF(AND(F359&lt;&gt;"",F359&lt;=TODAY()),0,1))</f>
        <v/>
      </c>
      <c r="H359" s="14">
        <f>IF(OR(B359="",C359=""),"",IF(G359=0,"Removed",IF(AND(I359&lt;&gt;"",I359&lt;=TODAY()),"Remove now","Active")))</f>
        <v/>
      </c>
      <c r="I359" s="1">
        <f>IFERROR(IF(INDEX(Team!$E$6:$E$105,MATCH(B359,Team!$B$6:$B$105,0))="","",INDEX(Team!$E$6:$E$105,MATCH(B359,Team!$B$6:$B$105,0))),"")</f>
        <v/>
      </c>
      <c r="J359">
        <f>IF(G359&lt;&gt;1,0,IFERROR(IF(INDEX(Tools!$G$6:$G$105,MATCH(C359,Tools!$B$6:$B$105,0))="",0,IF(N(INDEX(Tools!$O$6:$O$105,MATCH(C359,Tools!$B$6:$B$105,0)))=0,0,N(INDEX(Tools!$F$6:$F$105,MATCH(C359,Tools!$B$6:$B$105,0)))/INDEX(Tools!$U$6:$U$105,MATCH(C359,Tools!$B$6:$B$105,0)))),0))</f>
        <v/>
      </c>
      <c r="K359">
        <f>IF(H359="Remove now",ROW(),"")</f>
        <v/>
      </c>
    </row>
    <row r="360">
      <c r="A360" s="1" t="n"/>
      <c r="B360" s="20" t="n"/>
      <c r="C360" s="21" t="n"/>
      <c r="D360" s="22" t="n"/>
      <c r="E360" s="25" t="n"/>
      <c r="F360" s="25" t="n"/>
      <c r="G360" s="1">
        <f>IF(OR(B360="",C360=""),"",IF(AND(F360&lt;&gt;"",F360&lt;=TODAY()),0,1))</f>
        <v/>
      </c>
      <c r="H360" s="14">
        <f>IF(OR(B360="",C360=""),"",IF(G360=0,"Removed",IF(AND(I360&lt;&gt;"",I360&lt;=TODAY()),"Remove now","Active")))</f>
        <v/>
      </c>
      <c r="I360" s="1">
        <f>IFERROR(IF(INDEX(Team!$E$6:$E$105,MATCH(B360,Team!$B$6:$B$105,0))="","",INDEX(Team!$E$6:$E$105,MATCH(B360,Team!$B$6:$B$105,0))),"")</f>
        <v/>
      </c>
      <c r="J360">
        <f>IF(G360&lt;&gt;1,0,IFERROR(IF(INDEX(Tools!$G$6:$G$105,MATCH(C360,Tools!$B$6:$B$105,0))="",0,IF(N(INDEX(Tools!$O$6:$O$105,MATCH(C360,Tools!$B$6:$B$105,0)))=0,0,N(INDEX(Tools!$F$6:$F$105,MATCH(C360,Tools!$B$6:$B$105,0)))/INDEX(Tools!$U$6:$U$105,MATCH(C360,Tools!$B$6:$B$105,0)))),0))</f>
        <v/>
      </c>
      <c r="K360">
        <f>IF(H360="Remove now",ROW(),"")</f>
        <v/>
      </c>
    </row>
    <row r="361">
      <c r="A361" s="1" t="n"/>
      <c r="B361" s="20" t="n"/>
      <c r="C361" s="21" t="n"/>
      <c r="D361" s="22" t="n"/>
      <c r="E361" s="25" t="n"/>
      <c r="F361" s="25" t="n"/>
      <c r="G361" s="1">
        <f>IF(OR(B361="",C361=""),"",IF(AND(F361&lt;&gt;"",F361&lt;=TODAY()),0,1))</f>
        <v/>
      </c>
      <c r="H361" s="14">
        <f>IF(OR(B361="",C361=""),"",IF(G361=0,"Removed",IF(AND(I361&lt;&gt;"",I361&lt;=TODAY()),"Remove now","Active")))</f>
        <v/>
      </c>
      <c r="I361" s="1">
        <f>IFERROR(IF(INDEX(Team!$E$6:$E$105,MATCH(B361,Team!$B$6:$B$105,0))="","",INDEX(Team!$E$6:$E$105,MATCH(B361,Team!$B$6:$B$105,0))),"")</f>
        <v/>
      </c>
      <c r="J361">
        <f>IF(G361&lt;&gt;1,0,IFERROR(IF(INDEX(Tools!$G$6:$G$105,MATCH(C361,Tools!$B$6:$B$105,0))="",0,IF(N(INDEX(Tools!$O$6:$O$105,MATCH(C361,Tools!$B$6:$B$105,0)))=0,0,N(INDEX(Tools!$F$6:$F$105,MATCH(C361,Tools!$B$6:$B$105,0)))/INDEX(Tools!$U$6:$U$105,MATCH(C361,Tools!$B$6:$B$105,0)))),0))</f>
        <v/>
      </c>
      <c r="K361">
        <f>IF(H361="Remove now",ROW(),"")</f>
        <v/>
      </c>
    </row>
    <row r="362">
      <c r="A362" s="1" t="n"/>
      <c r="B362" s="20" t="n"/>
      <c r="C362" s="21" t="n"/>
      <c r="D362" s="22" t="n"/>
      <c r="E362" s="25" t="n"/>
      <c r="F362" s="25" t="n"/>
      <c r="G362" s="1">
        <f>IF(OR(B362="",C362=""),"",IF(AND(F362&lt;&gt;"",F362&lt;=TODAY()),0,1))</f>
        <v/>
      </c>
      <c r="H362" s="14">
        <f>IF(OR(B362="",C362=""),"",IF(G362=0,"Removed",IF(AND(I362&lt;&gt;"",I362&lt;=TODAY()),"Remove now","Active")))</f>
        <v/>
      </c>
      <c r="I362" s="1">
        <f>IFERROR(IF(INDEX(Team!$E$6:$E$105,MATCH(B362,Team!$B$6:$B$105,0))="","",INDEX(Team!$E$6:$E$105,MATCH(B362,Team!$B$6:$B$105,0))),"")</f>
        <v/>
      </c>
      <c r="J362">
        <f>IF(G362&lt;&gt;1,0,IFERROR(IF(INDEX(Tools!$G$6:$G$105,MATCH(C362,Tools!$B$6:$B$105,0))="",0,IF(N(INDEX(Tools!$O$6:$O$105,MATCH(C362,Tools!$B$6:$B$105,0)))=0,0,N(INDEX(Tools!$F$6:$F$105,MATCH(C362,Tools!$B$6:$B$105,0)))/INDEX(Tools!$U$6:$U$105,MATCH(C362,Tools!$B$6:$B$105,0)))),0))</f>
        <v/>
      </c>
      <c r="K362">
        <f>IF(H362="Remove now",ROW(),"")</f>
        <v/>
      </c>
    </row>
    <row r="363">
      <c r="A363" s="1" t="n"/>
      <c r="B363" s="20" t="n"/>
      <c r="C363" s="21" t="n"/>
      <c r="D363" s="22" t="n"/>
      <c r="E363" s="25" t="n"/>
      <c r="F363" s="25" t="n"/>
      <c r="G363" s="1">
        <f>IF(OR(B363="",C363=""),"",IF(AND(F363&lt;&gt;"",F363&lt;=TODAY()),0,1))</f>
        <v/>
      </c>
      <c r="H363" s="14">
        <f>IF(OR(B363="",C363=""),"",IF(G363=0,"Removed",IF(AND(I363&lt;&gt;"",I363&lt;=TODAY()),"Remove now","Active")))</f>
        <v/>
      </c>
      <c r="I363" s="1">
        <f>IFERROR(IF(INDEX(Team!$E$6:$E$105,MATCH(B363,Team!$B$6:$B$105,0))="","",INDEX(Team!$E$6:$E$105,MATCH(B363,Team!$B$6:$B$105,0))),"")</f>
        <v/>
      </c>
      <c r="J363">
        <f>IF(G363&lt;&gt;1,0,IFERROR(IF(INDEX(Tools!$G$6:$G$105,MATCH(C363,Tools!$B$6:$B$105,0))="",0,IF(N(INDEX(Tools!$O$6:$O$105,MATCH(C363,Tools!$B$6:$B$105,0)))=0,0,N(INDEX(Tools!$F$6:$F$105,MATCH(C363,Tools!$B$6:$B$105,0)))/INDEX(Tools!$U$6:$U$105,MATCH(C363,Tools!$B$6:$B$105,0)))),0))</f>
        <v/>
      </c>
      <c r="K363">
        <f>IF(H363="Remove now",ROW(),"")</f>
        <v/>
      </c>
    </row>
    <row r="364">
      <c r="A364" s="1" t="n"/>
      <c r="B364" s="20" t="n"/>
      <c r="C364" s="21" t="n"/>
      <c r="D364" s="22" t="n"/>
      <c r="E364" s="25" t="n"/>
      <c r="F364" s="25" t="n"/>
      <c r="G364" s="1">
        <f>IF(OR(B364="",C364=""),"",IF(AND(F364&lt;&gt;"",F364&lt;=TODAY()),0,1))</f>
        <v/>
      </c>
      <c r="H364" s="14">
        <f>IF(OR(B364="",C364=""),"",IF(G364=0,"Removed",IF(AND(I364&lt;&gt;"",I364&lt;=TODAY()),"Remove now","Active")))</f>
        <v/>
      </c>
      <c r="I364" s="1">
        <f>IFERROR(IF(INDEX(Team!$E$6:$E$105,MATCH(B364,Team!$B$6:$B$105,0))="","",INDEX(Team!$E$6:$E$105,MATCH(B364,Team!$B$6:$B$105,0))),"")</f>
        <v/>
      </c>
      <c r="J364">
        <f>IF(G364&lt;&gt;1,0,IFERROR(IF(INDEX(Tools!$G$6:$G$105,MATCH(C364,Tools!$B$6:$B$105,0))="",0,IF(N(INDEX(Tools!$O$6:$O$105,MATCH(C364,Tools!$B$6:$B$105,0)))=0,0,N(INDEX(Tools!$F$6:$F$105,MATCH(C364,Tools!$B$6:$B$105,0)))/INDEX(Tools!$U$6:$U$105,MATCH(C364,Tools!$B$6:$B$105,0)))),0))</f>
        <v/>
      </c>
      <c r="K364">
        <f>IF(H364="Remove now",ROW(),"")</f>
        <v/>
      </c>
    </row>
    <row r="365">
      <c r="A365" s="1" t="n"/>
      <c r="B365" s="20" t="n"/>
      <c r="C365" s="21" t="n"/>
      <c r="D365" s="22" t="n"/>
      <c r="E365" s="25" t="n"/>
      <c r="F365" s="25" t="n"/>
      <c r="G365" s="1">
        <f>IF(OR(B365="",C365=""),"",IF(AND(F365&lt;&gt;"",F365&lt;=TODAY()),0,1))</f>
        <v/>
      </c>
      <c r="H365" s="14">
        <f>IF(OR(B365="",C365=""),"",IF(G365=0,"Removed",IF(AND(I365&lt;&gt;"",I365&lt;=TODAY()),"Remove now","Active")))</f>
        <v/>
      </c>
      <c r="I365" s="1">
        <f>IFERROR(IF(INDEX(Team!$E$6:$E$105,MATCH(B365,Team!$B$6:$B$105,0))="","",INDEX(Team!$E$6:$E$105,MATCH(B365,Team!$B$6:$B$105,0))),"")</f>
        <v/>
      </c>
      <c r="J365">
        <f>IF(G365&lt;&gt;1,0,IFERROR(IF(INDEX(Tools!$G$6:$G$105,MATCH(C365,Tools!$B$6:$B$105,0))="",0,IF(N(INDEX(Tools!$O$6:$O$105,MATCH(C365,Tools!$B$6:$B$105,0)))=0,0,N(INDEX(Tools!$F$6:$F$105,MATCH(C365,Tools!$B$6:$B$105,0)))/INDEX(Tools!$U$6:$U$105,MATCH(C365,Tools!$B$6:$B$105,0)))),0))</f>
        <v/>
      </c>
      <c r="K365">
        <f>IF(H365="Remove now",ROW(),"")</f>
        <v/>
      </c>
    </row>
    <row r="366">
      <c r="A366" s="1" t="n"/>
      <c r="B366" s="20" t="n"/>
      <c r="C366" s="21" t="n"/>
      <c r="D366" s="22" t="n"/>
      <c r="E366" s="25" t="n"/>
      <c r="F366" s="25" t="n"/>
      <c r="G366" s="1">
        <f>IF(OR(B366="",C366=""),"",IF(AND(F366&lt;&gt;"",F366&lt;=TODAY()),0,1))</f>
        <v/>
      </c>
      <c r="H366" s="14">
        <f>IF(OR(B366="",C366=""),"",IF(G366=0,"Removed",IF(AND(I366&lt;&gt;"",I366&lt;=TODAY()),"Remove now","Active")))</f>
        <v/>
      </c>
      <c r="I366" s="1">
        <f>IFERROR(IF(INDEX(Team!$E$6:$E$105,MATCH(B366,Team!$B$6:$B$105,0))="","",INDEX(Team!$E$6:$E$105,MATCH(B366,Team!$B$6:$B$105,0))),"")</f>
        <v/>
      </c>
      <c r="J366">
        <f>IF(G366&lt;&gt;1,0,IFERROR(IF(INDEX(Tools!$G$6:$G$105,MATCH(C366,Tools!$B$6:$B$105,0))="",0,IF(N(INDEX(Tools!$O$6:$O$105,MATCH(C366,Tools!$B$6:$B$105,0)))=0,0,N(INDEX(Tools!$F$6:$F$105,MATCH(C366,Tools!$B$6:$B$105,0)))/INDEX(Tools!$U$6:$U$105,MATCH(C366,Tools!$B$6:$B$105,0)))),0))</f>
        <v/>
      </c>
      <c r="K366">
        <f>IF(H366="Remove now",ROW(),"")</f>
        <v/>
      </c>
    </row>
    <row r="367">
      <c r="A367" s="1" t="n"/>
      <c r="B367" s="20" t="n"/>
      <c r="C367" s="21" t="n"/>
      <c r="D367" s="22" t="n"/>
      <c r="E367" s="25" t="n"/>
      <c r="F367" s="25" t="n"/>
      <c r="G367" s="1">
        <f>IF(OR(B367="",C367=""),"",IF(AND(F367&lt;&gt;"",F367&lt;=TODAY()),0,1))</f>
        <v/>
      </c>
      <c r="H367" s="14">
        <f>IF(OR(B367="",C367=""),"",IF(G367=0,"Removed",IF(AND(I367&lt;&gt;"",I367&lt;=TODAY()),"Remove now","Active")))</f>
        <v/>
      </c>
      <c r="I367" s="1">
        <f>IFERROR(IF(INDEX(Team!$E$6:$E$105,MATCH(B367,Team!$B$6:$B$105,0))="","",INDEX(Team!$E$6:$E$105,MATCH(B367,Team!$B$6:$B$105,0))),"")</f>
        <v/>
      </c>
      <c r="J367">
        <f>IF(G367&lt;&gt;1,0,IFERROR(IF(INDEX(Tools!$G$6:$G$105,MATCH(C367,Tools!$B$6:$B$105,0))="",0,IF(N(INDEX(Tools!$O$6:$O$105,MATCH(C367,Tools!$B$6:$B$105,0)))=0,0,N(INDEX(Tools!$F$6:$F$105,MATCH(C367,Tools!$B$6:$B$105,0)))/INDEX(Tools!$U$6:$U$105,MATCH(C367,Tools!$B$6:$B$105,0)))),0))</f>
        <v/>
      </c>
      <c r="K367">
        <f>IF(H367="Remove now",ROW(),"")</f>
        <v/>
      </c>
    </row>
    <row r="368">
      <c r="A368" s="1" t="n"/>
      <c r="B368" s="20" t="n"/>
      <c r="C368" s="21" t="n"/>
      <c r="D368" s="22" t="n"/>
      <c r="E368" s="25" t="n"/>
      <c r="F368" s="25" t="n"/>
      <c r="G368" s="1">
        <f>IF(OR(B368="",C368=""),"",IF(AND(F368&lt;&gt;"",F368&lt;=TODAY()),0,1))</f>
        <v/>
      </c>
      <c r="H368" s="14">
        <f>IF(OR(B368="",C368=""),"",IF(G368=0,"Removed",IF(AND(I368&lt;&gt;"",I368&lt;=TODAY()),"Remove now","Active")))</f>
        <v/>
      </c>
      <c r="I368" s="1">
        <f>IFERROR(IF(INDEX(Team!$E$6:$E$105,MATCH(B368,Team!$B$6:$B$105,0))="","",INDEX(Team!$E$6:$E$105,MATCH(B368,Team!$B$6:$B$105,0))),"")</f>
        <v/>
      </c>
      <c r="J368">
        <f>IF(G368&lt;&gt;1,0,IFERROR(IF(INDEX(Tools!$G$6:$G$105,MATCH(C368,Tools!$B$6:$B$105,0))="",0,IF(N(INDEX(Tools!$O$6:$O$105,MATCH(C368,Tools!$B$6:$B$105,0)))=0,0,N(INDEX(Tools!$F$6:$F$105,MATCH(C368,Tools!$B$6:$B$105,0)))/INDEX(Tools!$U$6:$U$105,MATCH(C368,Tools!$B$6:$B$105,0)))),0))</f>
        <v/>
      </c>
      <c r="K368">
        <f>IF(H368="Remove now",ROW(),"")</f>
        <v/>
      </c>
    </row>
    <row r="369">
      <c r="A369" s="1" t="n"/>
      <c r="B369" s="20" t="n"/>
      <c r="C369" s="21" t="n"/>
      <c r="D369" s="22" t="n"/>
      <c r="E369" s="25" t="n"/>
      <c r="F369" s="25" t="n"/>
      <c r="G369" s="1">
        <f>IF(OR(B369="",C369=""),"",IF(AND(F369&lt;&gt;"",F369&lt;=TODAY()),0,1))</f>
        <v/>
      </c>
      <c r="H369" s="14">
        <f>IF(OR(B369="",C369=""),"",IF(G369=0,"Removed",IF(AND(I369&lt;&gt;"",I369&lt;=TODAY()),"Remove now","Active")))</f>
        <v/>
      </c>
      <c r="I369" s="1">
        <f>IFERROR(IF(INDEX(Team!$E$6:$E$105,MATCH(B369,Team!$B$6:$B$105,0))="","",INDEX(Team!$E$6:$E$105,MATCH(B369,Team!$B$6:$B$105,0))),"")</f>
        <v/>
      </c>
      <c r="J369">
        <f>IF(G369&lt;&gt;1,0,IFERROR(IF(INDEX(Tools!$G$6:$G$105,MATCH(C369,Tools!$B$6:$B$105,0))="",0,IF(N(INDEX(Tools!$O$6:$O$105,MATCH(C369,Tools!$B$6:$B$105,0)))=0,0,N(INDEX(Tools!$F$6:$F$105,MATCH(C369,Tools!$B$6:$B$105,0)))/INDEX(Tools!$U$6:$U$105,MATCH(C369,Tools!$B$6:$B$105,0)))),0))</f>
        <v/>
      </c>
      <c r="K369">
        <f>IF(H369="Remove now",ROW(),"")</f>
        <v/>
      </c>
    </row>
    <row r="370">
      <c r="A370" s="1" t="n"/>
      <c r="B370" s="20" t="n"/>
      <c r="C370" s="21" t="n"/>
      <c r="D370" s="22" t="n"/>
      <c r="E370" s="25" t="n"/>
      <c r="F370" s="25" t="n"/>
      <c r="G370" s="1">
        <f>IF(OR(B370="",C370=""),"",IF(AND(F370&lt;&gt;"",F370&lt;=TODAY()),0,1))</f>
        <v/>
      </c>
      <c r="H370" s="14">
        <f>IF(OR(B370="",C370=""),"",IF(G370=0,"Removed",IF(AND(I370&lt;&gt;"",I370&lt;=TODAY()),"Remove now","Active")))</f>
        <v/>
      </c>
      <c r="I370" s="1">
        <f>IFERROR(IF(INDEX(Team!$E$6:$E$105,MATCH(B370,Team!$B$6:$B$105,0))="","",INDEX(Team!$E$6:$E$105,MATCH(B370,Team!$B$6:$B$105,0))),"")</f>
        <v/>
      </c>
      <c r="J370">
        <f>IF(G370&lt;&gt;1,0,IFERROR(IF(INDEX(Tools!$G$6:$G$105,MATCH(C370,Tools!$B$6:$B$105,0))="",0,IF(N(INDEX(Tools!$O$6:$O$105,MATCH(C370,Tools!$B$6:$B$105,0)))=0,0,N(INDEX(Tools!$F$6:$F$105,MATCH(C370,Tools!$B$6:$B$105,0)))/INDEX(Tools!$U$6:$U$105,MATCH(C370,Tools!$B$6:$B$105,0)))),0))</f>
        <v/>
      </c>
      <c r="K370">
        <f>IF(H370="Remove now",ROW(),"")</f>
        <v/>
      </c>
    </row>
    <row r="371">
      <c r="A371" s="1" t="n"/>
      <c r="B371" s="20" t="n"/>
      <c r="C371" s="21" t="n"/>
      <c r="D371" s="22" t="n"/>
      <c r="E371" s="25" t="n"/>
      <c r="F371" s="25" t="n"/>
      <c r="G371" s="1">
        <f>IF(OR(B371="",C371=""),"",IF(AND(F371&lt;&gt;"",F371&lt;=TODAY()),0,1))</f>
        <v/>
      </c>
      <c r="H371" s="14">
        <f>IF(OR(B371="",C371=""),"",IF(G371=0,"Removed",IF(AND(I371&lt;&gt;"",I371&lt;=TODAY()),"Remove now","Active")))</f>
        <v/>
      </c>
      <c r="I371" s="1">
        <f>IFERROR(IF(INDEX(Team!$E$6:$E$105,MATCH(B371,Team!$B$6:$B$105,0))="","",INDEX(Team!$E$6:$E$105,MATCH(B371,Team!$B$6:$B$105,0))),"")</f>
        <v/>
      </c>
      <c r="J371">
        <f>IF(G371&lt;&gt;1,0,IFERROR(IF(INDEX(Tools!$G$6:$G$105,MATCH(C371,Tools!$B$6:$B$105,0))="",0,IF(N(INDEX(Tools!$O$6:$O$105,MATCH(C371,Tools!$B$6:$B$105,0)))=0,0,N(INDEX(Tools!$F$6:$F$105,MATCH(C371,Tools!$B$6:$B$105,0)))/INDEX(Tools!$U$6:$U$105,MATCH(C371,Tools!$B$6:$B$105,0)))),0))</f>
        <v/>
      </c>
      <c r="K371">
        <f>IF(H371="Remove now",ROW(),"")</f>
        <v/>
      </c>
    </row>
    <row r="372">
      <c r="A372" s="1" t="n"/>
      <c r="B372" s="20" t="n"/>
      <c r="C372" s="21" t="n"/>
      <c r="D372" s="22" t="n"/>
      <c r="E372" s="25" t="n"/>
      <c r="F372" s="25" t="n"/>
      <c r="G372" s="1">
        <f>IF(OR(B372="",C372=""),"",IF(AND(F372&lt;&gt;"",F372&lt;=TODAY()),0,1))</f>
        <v/>
      </c>
      <c r="H372" s="14">
        <f>IF(OR(B372="",C372=""),"",IF(G372=0,"Removed",IF(AND(I372&lt;&gt;"",I372&lt;=TODAY()),"Remove now","Active")))</f>
        <v/>
      </c>
      <c r="I372" s="1">
        <f>IFERROR(IF(INDEX(Team!$E$6:$E$105,MATCH(B372,Team!$B$6:$B$105,0))="","",INDEX(Team!$E$6:$E$105,MATCH(B372,Team!$B$6:$B$105,0))),"")</f>
        <v/>
      </c>
      <c r="J372">
        <f>IF(G372&lt;&gt;1,0,IFERROR(IF(INDEX(Tools!$G$6:$G$105,MATCH(C372,Tools!$B$6:$B$105,0))="",0,IF(N(INDEX(Tools!$O$6:$O$105,MATCH(C372,Tools!$B$6:$B$105,0)))=0,0,N(INDEX(Tools!$F$6:$F$105,MATCH(C372,Tools!$B$6:$B$105,0)))/INDEX(Tools!$U$6:$U$105,MATCH(C372,Tools!$B$6:$B$105,0)))),0))</f>
        <v/>
      </c>
      <c r="K372">
        <f>IF(H372="Remove now",ROW(),"")</f>
        <v/>
      </c>
    </row>
    <row r="373">
      <c r="A373" s="1" t="n"/>
      <c r="B373" s="20" t="n"/>
      <c r="C373" s="21" t="n"/>
      <c r="D373" s="22" t="n"/>
      <c r="E373" s="25" t="n"/>
      <c r="F373" s="25" t="n"/>
      <c r="G373" s="1">
        <f>IF(OR(B373="",C373=""),"",IF(AND(F373&lt;&gt;"",F373&lt;=TODAY()),0,1))</f>
        <v/>
      </c>
      <c r="H373" s="14">
        <f>IF(OR(B373="",C373=""),"",IF(G373=0,"Removed",IF(AND(I373&lt;&gt;"",I373&lt;=TODAY()),"Remove now","Active")))</f>
        <v/>
      </c>
      <c r="I373" s="1">
        <f>IFERROR(IF(INDEX(Team!$E$6:$E$105,MATCH(B373,Team!$B$6:$B$105,0))="","",INDEX(Team!$E$6:$E$105,MATCH(B373,Team!$B$6:$B$105,0))),"")</f>
        <v/>
      </c>
      <c r="J373">
        <f>IF(G373&lt;&gt;1,0,IFERROR(IF(INDEX(Tools!$G$6:$G$105,MATCH(C373,Tools!$B$6:$B$105,0))="",0,IF(N(INDEX(Tools!$O$6:$O$105,MATCH(C373,Tools!$B$6:$B$105,0)))=0,0,N(INDEX(Tools!$F$6:$F$105,MATCH(C373,Tools!$B$6:$B$105,0)))/INDEX(Tools!$U$6:$U$105,MATCH(C373,Tools!$B$6:$B$105,0)))),0))</f>
        <v/>
      </c>
      <c r="K373">
        <f>IF(H373="Remove now",ROW(),"")</f>
        <v/>
      </c>
    </row>
    <row r="374">
      <c r="A374" s="1" t="n"/>
      <c r="B374" s="20" t="n"/>
      <c r="C374" s="21" t="n"/>
      <c r="D374" s="22" t="n"/>
      <c r="E374" s="25" t="n"/>
      <c r="F374" s="25" t="n"/>
      <c r="G374" s="1">
        <f>IF(OR(B374="",C374=""),"",IF(AND(F374&lt;&gt;"",F374&lt;=TODAY()),0,1))</f>
        <v/>
      </c>
      <c r="H374" s="14">
        <f>IF(OR(B374="",C374=""),"",IF(G374=0,"Removed",IF(AND(I374&lt;&gt;"",I374&lt;=TODAY()),"Remove now","Active")))</f>
        <v/>
      </c>
      <c r="I374" s="1">
        <f>IFERROR(IF(INDEX(Team!$E$6:$E$105,MATCH(B374,Team!$B$6:$B$105,0))="","",INDEX(Team!$E$6:$E$105,MATCH(B374,Team!$B$6:$B$105,0))),"")</f>
        <v/>
      </c>
      <c r="J374">
        <f>IF(G374&lt;&gt;1,0,IFERROR(IF(INDEX(Tools!$G$6:$G$105,MATCH(C374,Tools!$B$6:$B$105,0))="",0,IF(N(INDEX(Tools!$O$6:$O$105,MATCH(C374,Tools!$B$6:$B$105,0)))=0,0,N(INDEX(Tools!$F$6:$F$105,MATCH(C374,Tools!$B$6:$B$105,0)))/INDEX(Tools!$U$6:$U$105,MATCH(C374,Tools!$B$6:$B$105,0)))),0))</f>
        <v/>
      </c>
      <c r="K374">
        <f>IF(H374="Remove now",ROW(),"")</f>
        <v/>
      </c>
    </row>
    <row r="375">
      <c r="A375" s="1" t="n"/>
      <c r="B375" s="20" t="n"/>
      <c r="C375" s="21" t="n"/>
      <c r="D375" s="22" t="n"/>
      <c r="E375" s="25" t="n"/>
      <c r="F375" s="25" t="n"/>
      <c r="G375" s="1">
        <f>IF(OR(B375="",C375=""),"",IF(AND(F375&lt;&gt;"",F375&lt;=TODAY()),0,1))</f>
        <v/>
      </c>
      <c r="H375" s="14">
        <f>IF(OR(B375="",C375=""),"",IF(G375=0,"Removed",IF(AND(I375&lt;&gt;"",I375&lt;=TODAY()),"Remove now","Active")))</f>
        <v/>
      </c>
      <c r="I375" s="1">
        <f>IFERROR(IF(INDEX(Team!$E$6:$E$105,MATCH(B375,Team!$B$6:$B$105,0))="","",INDEX(Team!$E$6:$E$105,MATCH(B375,Team!$B$6:$B$105,0))),"")</f>
        <v/>
      </c>
      <c r="J375">
        <f>IF(G375&lt;&gt;1,0,IFERROR(IF(INDEX(Tools!$G$6:$G$105,MATCH(C375,Tools!$B$6:$B$105,0))="",0,IF(N(INDEX(Tools!$O$6:$O$105,MATCH(C375,Tools!$B$6:$B$105,0)))=0,0,N(INDEX(Tools!$F$6:$F$105,MATCH(C375,Tools!$B$6:$B$105,0)))/INDEX(Tools!$U$6:$U$105,MATCH(C375,Tools!$B$6:$B$105,0)))),0))</f>
        <v/>
      </c>
      <c r="K375">
        <f>IF(H375="Remove now",ROW(),"")</f>
        <v/>
      </c>
    </row>
    <row r="376">
      <c r="A376" s="1" t="n"/>
      <c r="B376" s="20" t="n"/>
      <c r="C376" s="21" t="n"/>
      <c r="D376" s="22" t="n"/>
      <c r="E376" s="25" t="n"/>
      <c r="F376" s="25" t="n"/>
      <c r="G376" s="1">
        <f>IF(OR(B376="",C376=""),"",IF(AND(F376&lt;&gt;"",F376&lt;=TODAY()),0,1))</f>
        <v/>
      </c>
      <c r="H376" s="14">
        <f>IF(OR(B376="",C376=""),"",IF(G376=0,"Removed",IF(AND(I376&lt;&gt;"",I376&lt;=TODAY()),"Remove now","Active")))</f>
        <v/>
      </c>
      <c r="I376" s="1">
        <f>IFERROR(IF(INDEX(Team!$E$6:$E$105,MATCH(B376,Team!$B$6:$B$105,0))="","",INDEX(Team!$E$6:$E$105,MATCH(B376,Team!$B$6:$B$105,0))),"")</f>
        <v/>
      </c>
      <c r="J376">
        <f>IF(G376&lt;&gt;1,0,IFERROR(IF(INDEX(Tools!$G$6:$G$105,MATCH(C376,Tools!$B$6:$B$105,0))="",0,IF(N(INDEX(Tools!$O$6:$O$105,MATCH(C376,Tools!$B$6:$B$105,0)))=0,0,N(INDEX(Tools!$F$6:$F$105,MATCH(C376,Tools!$B$6:$B$105,0)))/INDEX(Tools!$U$6:$U$105,MATCH(C376,Tools!$B$6:$B$105,0)))),0))</f>
        <v/>
      </c>
      <c r="K376">
        <f>IF(H376="Remove now",ROW(),"")</f>
        <v/>
      </c>
    </row>
    <row r="377">
      <c r="A377" s="1" t="n"/>
      <c r="B377" s="20" t="n"/>
      <c r="C377" s="21" t="n"/>
      <c r="D377" s="22" t="n"/>
      <c r="E377" s="25" t="n"/>
      <c r="F377" s="25" t="n"/>
      <c r="G377" s="1">
        <f>IF(OR(B377="",C377=""),"",IF(AND(F377&lt;&gt;"",F377&lt;=TODAY()),0,1))</f>
        <v/>
      </c>
      <c r="H377" s="14">
        <f>IF(OR(B377="",C377=""),"",IF(G377=0,"Removed",IF(AND(I377&lt;&gt;"",I377&lt;=TODAY()),"Remove now","Active")))</f>
        <v/>
      </c>
      <c r="I377" s="1">
        <f>IFERROR(IF(INDEX(Team!$E$6:$E$105,MATCH(B377,Team!$B$6:$B$105,0))="","",INDEX(Team!$E$6:$E$105,MATCH(B377,Team!$B$6:$B$105,0))),"")</f>
        <v/>
      </c>
      <c r="J377">
        <f>IF(G377&lt;&gt;1,0,IFERROR(IF(INDEX(Tools!$G$6:$G$105,MATCH(C377,Tools!$B$6:$B$105,0))="",0,IF(N(INDEX(Tools!$O$6:$O$105,MATCH(C377,Tools!$B$6:$B$105,0)))=0,0,N(INDEX(Tools!$F$6:$F$105,MATCH(C377,Tools!$B$6:$B$105,0)))/INDEX(Tools!$U$6:$U$105,MATCH(C377,Tools!$B$6:$B$105,0)))),0))</f>
        <v/>
      </c>
      <c r="K377">
        <f>IF(H377="Remove now",ROW(),"")</f>
        <v/>
      </c>
    </row>
    <row r="378">
      <c r="A378" s="1" t="n"/>
      <c r="B378" s="20" t="n"/>
      <c r="C378" s="21" t="n"/>
      <c r="D378" s="22" t="n"/>
      <c r="E378" s="25" t="n"/>
      <c r="F378" s="25" t="n"/>
      <c r="G378" s="1">
        <f>IF(OR(B378="",C378=""),"",IF(AND(F378&lt;&gt;"",F378&lt;=TODAY()),0,1))</f>
        <v/>
      </c>
      <c r="H378" s="14">
        <f>IF(OR(B378="",C378=""),"",IF(G378=0,"Removed",IF(AND(I378&lt;&gt;"",I378&lt;=TODAY()),"Remove now","Active")))</f>
        <v/>
      </c>
      <c r="I378" s="1">
        <f>IFERROR(IF(INDEX(Team!$E$6:$E$105,MATCH(B378,Team!$B$6:$B$105,0))="","",INDEX(Team!$E$6:$E$105,MATCH(B378,Team!$B$6:$B$105,0))),"")</f>
        <v/>
      </c>
      <c r="J378">
        <f>IF(G378&lt;&gt;1,0,IFERROR(IF(INDEX(Tools!$G$6:$G$105,MATCH(C378,Tools!$B$6:$B$105,0))="",0,IF(N(INDEX(Tools!$O$6:$O$105,MATCH(C378,Tools!$B$6:$B$105,0)))=0,0,N(INDEX(Tools!$F$6:$F$105,MATCH(C378,Tools!$B$6:$B$105,0)))/INDEX(Tools!$U$6:$U$105,MATCH(C378,Tools!$B$6:$B$105,0)))),0))</f>
        <v/>
      </c>
      <c r="K378">
        <f>IF(H378="Remove now",ROW(),"")</f>
        <v/>
      </c>
    </row>
    <row r="379">
      <c r="A379" s="1" t="n"/>
      <c r="B379" s="20" t="n"/>
      <c r="C379" s="21" t="n"/>
      <c r="D379" s="22" t="n"/>
      <c r="E379" s="25" t="n"/>
      <c r="F379" s="25" t="n"/>
      <c r="G379" s="1">
        <f>IF(OR(B379="",C379=""),"",IF(AND(F379&lt;&gt;"",F379&lt;=TODAY()),0,1))</f>
        <v/>
      </c>
      <c r="H379" s="14">
        <f>IF(OR(B379="",C379=""),"",IF(G379=0,"Removed",IF(AND(I379&lt;&gt;"",I379&lt;=TODAY()),"Remove now","Active")))</f>
        <v/>
      </c>
      <c r="I379" s="1">
        <f>IFERROR(IF(INDEX(Team!$E$6:$E$105,MATCH(B379,Team!$B$6:$B$105,0))="","",INDEX(Team!$E$6:$E$105,MATCH(B379,Team!$B$6:$B$105,0))),"")</f>
        <v/>
      </c>
      <c r="J379">
        <f>IF(G379&lt;&gt;1,0,IFERROR(IF(INDEX(Tools!$G$6:$G$105,MATCH(C379,Tools!$B$6:$B$105,0))="",0,IF(N(INDEX(Tools!$O$6:$O$105,MATCH(C379,Tools!$B$6:$B$105,0)))=0,0,N(INDEX(Tools!$F$6:$F$105,MATCH(C379,Tools!$B$6:$B$105,0)))/INDEX(Tools!$U$6:$U$105,MATCH(C379,Tools!$B$6:$B$105,0)))),0))</f>
        <v/>
      </c>
      <c r="K379">
        <f>IF(H379="Remove now",ROW(),"")</f>
        <v/>
      </c>
    </row>
    <row r="380">
      <c r="A380" s="1" t="n"/>
      <c r="B380" s="20" t="n"/>
      <c r="C380" s="21" t="n"/>
      <c r="D380" s="22" t="n"/>
      <c r="E380" s="25" t="n"/>
      <c r="F380" s="25" t="n"/>
      <c r="G380" s="1">
        <f>IF(OR(B380="",C380=""),"",IF(AND(F380&lt;&gt;"",F380&lt;=TODAY()),0,1))</f>
        <v/>
      </c>
      <c r="H380" s="14">
        <f>IF(OR(B380="",C380=""),"",IF(G380=0,"Removed",IF(AND(I380&lt;&gt;"",I380&lt;=TODAY()),"Remove now","Active")))</f>
        <v/>
      </c>
      <c r="I380" s="1">
        <f>IFERROR(IF(INDEX(Team!$E$6:$E$105,MATCH(B380,Team!$B$6:$B$105,0))="","",INDEX(Team!$E$6:$E$105,MATCH(B380,Team!$B$6:$B$105,0))),"")</f>
        <v/>
      </c>
      <c r="J380">
        <f>IF(G380&lt;&gt;1,0,IFERROR(IF(INDEX(Tools!$G$6:$G$105,MATCH(C380,Tools!$B$6:$B$105,0))="",0,IF(N(INDEX(Tools!$O$6:$O$105,MATCH(C380,Tools!$B$6:$B$105,0)))=0,0,N(INDEX(Tools!$F$6:$F$105,MATCH(C380,Tools!$B$6:$B$105,0)))/INDEX(Tools!$U$6:$U$105,MATCH(C380,Tools!$B$6:$B$105,0)))),0))</f>
        <v/>
      </c>
      <c r="K380">
        <f>IF(H380="Remove now",ROW(),"")</f>
        <v/>
      </c>
    </row>
    <row r="381">
      <c r="A381" s="1" t="n"/>
      <c r="B381" s="20" t="n"/>
      <c r="C381" s="21" t="n"/>
      <c r="D381" s="22" t="n"/>
      <c r="E381" s="25" t="n"/>
      <c r="F381" s="25" t="n"/>
      <c r="G381" s="1">
        <f>IF(OR(B381="",C381=""),"",IF(AND(F381&lt;&gt;"",F381&lt;=TODAY()),0,1))</f>
        <v/>
      </c>
      <c r="H381" s="14">
        <f>IF(OR(B381="",C381=""),"",IF(G381=0,"Removed",IF(AND(I381&lt;&gt;"",I381&lt;=TODAY()),"Remove now","Active")))</f>
        <v/>
      </c>
      <c r="I381" s="1">
        <f>IFERROR(IF(INDEX(Team!$E$6:$E$105,MATCH(B381,Team!$B$6:$B$105,0))="","",INDEX(Team!$E$6:$E$105,MATCH(B381,Team!$B$6:$B$105,0))),"")</f>
        <v/>
      </c>
      <c r="J381">
        <f>IF(G381&lt;&gt;1,0,IFERROR(IF(INDEX(Tools!$G$6:$G$105,MATCH(C381,Tools!$B$6:$B$105,0))="",0,IF(N(INDEX(Tools!$O$6:$O$105,MATCH(C381,Tools!$B$6:$B$105,0)))=0,0,N(INDEX(Tools!$F$6:$F$105,MATCH(C381,Tools!$B$6:$B$105,0)))/INDEX(Tools!$U$6:$U$105,MATCH(C381,Tools!$B$6:$B$105,0)))),0))</f>
        <v/>
      </c>
      <c r="K381">
        <f>IF(H381="Remove now",ROW(),"")</f>
        <v/>
      </c>
    </row>
    <row r="382">
      <c r="A382" s="1" t="n"/>
      <c r="B382" s="20" t="n"/>
      <c r="C382" s="21" t="n"/>
      <c r="D382" s="22" t="n"/>
      <c r="E382" s="25" t="n"/>
      <c r="F382" s="25" t="n"/>
      <c r="G382" s="1">
        <f>IF(OR(B382="",C382=""),"",IF(AND(F382&lt;&gt;"",F382&lt;=TODAY()),0,1))</f>
        <v/>
      </c>
      <c r="H382" s="14">
        <f>IF(OR(B382="",C382=""),"",IF(G382=0,"Removed",IF(AND(I382&lt;&gt;"",I382&lt;=TODAY()),"Remove now","Active")))</f>
        <v/>
      </c>
      <c r="I382" s="1">
        <f>IFERROR(IF(INDEX(Team!$E$6:$E$105,MATCH(B382,Team!$B$6:$B$105,0))="","",INDEX(Team!$E$6:$E$105,MATCH(B382,Team!$B$6:$B$105,0))),"")</f>
        <v/>
      </c>
      <c r="J382">
        <f>IF(G382&lt;&gt;1,0,IFERROR(IF(INDEX(Tools!$G$6:$G$105,MATCH(C382,Tools!$B$6:$B$105,0))="",0,IF(N(INDEX(Tools!$O$6:$O$105,MATCH(C382,Tools!$B$6:$B$105,0)))=0,0,N(INDEX(Tools!$F$6:$F$105,MATCH(C382,Tools!$B$6:$B$105,0)))/INDEX(Tools!$U$6:$U$105,MATCH(C382,Tools!$B$6:$B$105,0)))),0))</f>
        <v/>
      </c>
      <c r="K382">
        <f>IF(H382="Remove now",ROW(),"")</f>
        <v/>
      </c>
    </row>
    <row r="383">
      <c r="A383" s="1" t="n"/>
      <c r="B383" s="20" t="n"/>
      <c r="C383" s="21" t="n"/>
      <c r="D383" s="22" t="n"/>
      <c r="E383" s="25" t="n"/>
      <c r="F383" s="25" t="n"/>
      <c r="G383" s="1">
        <f>IF(OR(B383="",C383=""),"",IF(AND(F383&lt;&gt;"",F383&lt;=TODAY()),0,1))</f>
        <v/>
      </c>
      <c r="H383" s="14">
        <f>IF(OR(B383="",C383=""),"",IF(G383=0,"Removed",IF(AND(I383&lt;&gt;"",I383&lt;=TODAY()),"Remove now","Active")))</f>
        <v/>
      </c>
      <c r="I383" s="1">
        <f>IFERROR(IF(INDEX(Team!$E$6:$E$105,MATCH(B383,Team!$B$6:$B$105,0))="","",INDEX(Team!$E$6:$E$105,MATCH(B383,Team!$B$6:$B$105,0))),"")</f>
        <v/>
      </c>
      <c r="J383">
        <f>IF(G383&lt;&gt;1,0,IFERROR(IF(INDEX(Tools!$G$6:$G$105,MATCH(C383,Tools!$B$6:$B$105,0))="",0,IF(N(INDEX(Tools!$O$6:$O$105,MATCH(C383,Tools!$B$6:$B$105,0)))=0,0,N(INDEX(Tools!$F$6:$F$105,MATCH(C383,Tools!$B$6:$B$105,0)))/INDEX(Tools!$U$6:$U$105,MATCH(C383,Tools!$B$6:$B$105,0)))),0))</f>
        <v/>
      </c>
      <c r="K383">
        <f>IF(H383="Remove now",ROW(),"")</f>
        <v/>
      </c>
    </row>
    <row r="384">
      <c r="A384" s="1" t="n"/>
      <c r="B384" s="20" t="n"/>
      <c r="C384" s="21" t="n"/>
      <c r="D384" s="22" t="n"/>
      <c r="E384" s="25" t="n"/>
      <c r="F384" s="25" t="n"/>
      <c r="G384" s="1">
        <f>IF(OR(B384="",C384=""),"",IF(AND(F384&lt;&gt;"",F384&lt;=TODAY()),0,1))</f>
        <v/>
      </c>
      <c r="H384" s="14">
        <f>IF(OR(B384="",C384=""),"",IF(G384=0,"Removed",IF(AND(I384&lt;&gt;"",I384&lt;=TODAY()),"Remove now","Active")))</f>
        <v/>
      </c>
      <c r="I384" s="1">
        <f>IFERROR(IF(INDEX(Team!$E$6:$E$105,MATCH(B384,Team!$B$6:$B$105,0))="","",INDEX(Team!$E$6:$E$105,MATCH(B384,Team!$B$6:$B$105,0))),"")</f>
        <v/>
      </c>
      <c r="J384">
        <f>IF(G384&lt;&gt;1,0,IFERROR(IF(INDEX(Tools!$G$6:$G$105,MATCH(C384,Tools!$B$6:$B$105,0))="",0,IF(N(INDEX(Tools!$O$6:$O$105,MATCH(C384,Tools!$B$6:$B$105,0)))=0,0,N(INDEX(Tools!$F$6:$F$105,MATCH(C384,Tools!$B$6:$B$105,0)))/INDEX(Tools!$U$6:$U$105,MATCH(C384,Tools!$B$6:$B$105,0)))),0))</f>
        <v/>
      </c>
      <c r="K384">
        <f>IF(H384="Remove now",ROW(),"")</f>
        <v/>
      </c>
    </row>
    <row r="385">
      <c r="A385" s="1" t="n"/>
      <c r="B385" s="20" t="n"/>
      <c r="C385" s="21" t="n"/>
      <c r="D385" s="22" t="n"/>
      <c r="E385" s="25" t="n"/>
      <c r="F385" s="25" t="n"/>
      <c r="G385" s="1">
        <f>IF(OR(B385="",C385=""),"",IF(AND(F385&lt;&gt;"",F385&lt;=TODAY()),0,1))</f>
        <v/>
      </c>
      <c r="H385" s="14">
        <f>IF(OR(B385="",C385=""),"",IF(G385=0,"Removed",IF(AND(I385&lt;&gt;"",I385&lt;=TODAY()),"Remove now","Active")))</f>
        <v/>
      </c>
      <c r="I385" s="1">
        <f>IFERROR(IF(INDEX(Team!$E$6:$E$105,MATCH(B385,Team!$B$6:$B$105,0))="","",INDEX(Team!$E$6:$E$105,MATCH(B385,Team!$B$6:$B$105,0))),"")</f>
        <v/>
      </c>
      <c r="J385">
        <f>IF(G385&lt;&gt;1,0,IFERROR(IF(INDEX(Tools!$G$6:$G$105,MATCH(C385,Tools!$B$6:$B$105,0))="",0,IF(N(INDEX(Tools!$O$6:$O$105,MATCH(C385,Tools!$B$6:$B$105,0)))=0,0,N(INDEX(Tools!$F$6:$F$105,MATCH(C385,Tools!$B$6:$B$105,0)))/INDEX(Tools!$U$6:$U$105,MATCH(C385,Tools!$B$6:$B$105,0)))),0))</f>
        <v/>
      </c>
      <c r="K385">
        <f>IF(H385="Remove now",ROW(),"")</f>
        <v/>
      </c>
    </row>
    <row r="386">
      <c r="A386" s="1" t="n"/>
      <c r="B386" s="20" t="n"/>
      <c r="C386" s="21" t="n"/>
      <c r="D386" s="22" t="n"/>
      <c r="E386" s="25" t="n"/>
      <c r="F386" s="25" t="n"/>
      <c r="G386" s="1">
        <f>IF(OR(B386="",C386=""),"",IF(AND(F386&lt;&gt;"",F386&lt;=TODAY()),0,1))</f>
        <v/>
      </c>
      <c r="H386" s="14">
        <f>IF(OR(B386="",C386=""),"",IF(G386=0,"Removed",IF(AND(I386&lt;&gt;"",I386&lt;=TODAY()),"Remove now","Active")))</f>
        <v/>
      </c>
      <c r="I386" s="1">
        <f>IFERROR(IF(INDEX(Team!$E$6:$E$105,MATCH(B386,Team!$B$6:$B$105,0))="","",INDEX(Team!$E$6:$E$105,MATCH(B386,Team!$B$6:$B$105,0))),"")</f>
        <v/>
      </c>
      <c r="J386">
        <f>IF(G386&lt;&gt;1,0,IFERROR(IF(INDEX(Tools!$G$6:$G$105,MATCH(C386,Tools!$B$6:$B$105,0))="",0,IF(N(INDEX(Tools!$O$6:$O$105,MATCH(C386,Tools!$B$6:$B$105,0)))=0,0,N(INDEX(Tools!$F$6:$F$105,MATCH(C386,Tools!$B$6:$B$105,0)))/INDEX(Tools!$U$6:$U$105,MATCH(C386,Tools!$B$6:$B$105,0)))),0))</f>
        <v/>
      </c>
      <c r="K386">
        <f>IF(H386="Remove now",ROW(),"")</f>
        <v/>
      </c>
    </row>
    <row r="387">
      <c r="A387" s="1" t="n"/>
      <c r="B387" s="20" t="n"/>
      <c r="C387" s="21" t="n"/>
      <c r="D387" s="22" t="n"/>
      <c r="E387" s="25" t="n"/>
      <c r="F387" s="25" t="n"/>
      <c r="G387" s="1">
        <f>IF(OR(B387="",C387=""),"",IF(AND(F387&lt;&gt;"",F387&lt;=TODAY()),0,1))</f>
        <v/>
      </c>
      <c r="H387" s="14">
        <f>IF(OR(B387="",C387=""),"",IF(G387=0,"Removed",IF(AND(I387&lt;&gt;"",I387&lt;=TODAY()),"Remove now","Active")))</f>
        <v/>
      </c>
      <c r="I387" s="1">
        <f>IFERROR(IF(INDEX(Team!$E$6:$E$105,MATCH(B387,Team!$B$6:$B$105,0))="","",INDEX(Team!$E$6:$E$105,MATCH(B387,Team!$B$6:$B$105,0))),"")</f>
        <v/>
      </c>
      <c r="J387">
        <f>IF(G387&lt;&gt;1,0,IFERROR(IF(INDEX(Tools!$G$6:$G$105,MATCH(C387,Tools!$B$6:$B$105,0))="",0,IF(N(INDEX(Tools!$O$6:$O$105,MATCH(C387,Tools!$B$6:$B$105,0)))=0,0,N(INDEX(Tools!$F$6:$F$105,MATCH(C387,Tools!$B$6:$B$105,0)))/INDEX(Tools!$U$6:$U$105,MATCH(C387,Tools!$B$6:$B$105,0)))),0))</f>
        <v/>
      </c>
      <c r="K387">
        <f>IF(H387="Remove now",ROW(),"")</f>
        <v/>
      </c>
    </row>
    <row r="388">
      <c r="A388" s="1" t="n"/>
      <c r="B388" s="20" t="n"/>
      <c r="C388" s="21" t="n"/>
      <c r="D388" s="22" t="n"/>
      <c r="E388" s="25" t="n"/>
      <c r="F388" s="25" t="n"/>
      <c r="G388" s="1">
        <f>IF(OR(B388="",C388=""),"",IF(AND(F388&lt;&gt;"",F388&lt;=TODAY()),0,1))</f>
        <v/>
      </c>
      <c r="H388" s="14">
        <f>IF(OR(B388="",C388=""),"",IF(G388=0,"Removed",IF(AND(I388&lt;&gt;"",I388&lt;=TODAY()),"Remove now","Active")))</f>
        <v/>
      </c>
      <c r="I388" s="1">
        <f>IFERROR(IF(INDEX(Team!$E$6:$E$105,MATCH(B388,Team!$B$6:$B$105,0))="","",INDEX(Team!$E$6:$E$105,MATCH(B388,Team!$B$6:$B$105,0))),"")</f>
        <v/>
      </c>
      <c r="J388">
        <f>IF(G388&lt;&gt;1,0,IFERROR(IF(INDEX(Tools!$G$6:$G$105,MATCH(C388,Tools!$B$6:$B$105,0))="",0,IF(N(INDEX(Tools!$O$6:$O$105,MATCH(C388,Tools!$B$6:$B$105,0)))=0,0,N(INDEX(Tools!$F$6:$F$105,MATCH(C388,Tools!$B$6:$B$105,0)))/INDEX(Tools!$U$6:$U$105,MATCH(C388,Tools!$B$6:$B$105,0)))),0))</f>
        <v/>
      </c>
      <c r="K388">
        <f>IF(H388="Remove now",ROW(),"")</f>
        <v/>
      </c>
    </row>
    <row r="389">
      <c r="A389" s="1" t="n"/>
      <c r="B389" s="20" t="n"/>
      <c r="C389" s="21" t="n"/>
      <c r="D389" s="22" t="n"/>
      <c r="E389" s="25" t="n"/>
      <c r="F389" s="25" t="n"/>
      <c r="G389" s="1">
        <f>IF(OR(B389="",C389=""),"",IF(AND(F389&lt;&gt;"",F389&lt;=TODAY()),0,1))</f>
        <v/>
      </c>
      <c r="H389" s="14">
        <f>IF(OR(B389="",C389=""),"",IF(G389=0,"Removed",IF(AND(I389&lt;&gt;"",I389&lt;=TODAY()),"Remove now","Active")))</f>
        <v/>
      </c>
      <c r="I389" s="1">
        <f>IFERROR(IF(INDEX(Team!$E$6:$E$105,MATCH(B389,Team!$B$6:$B$105,0))="","",INDEX(Team!$E$6:$E$105,MATCH(B389,Team!$B$6:$B$105,0))),"")</f>
        <v/>
      </c>
      <c r="J389">
        <f>IF(G389&lt;&gt;1,0,IFERROR(IF(INDEX(Tools!$G$6:$G$105,MATCH(C389,Tools!$B$6:$B$105,0))="",0,IF(N(INDEX(Tools!$O$6:$O$105,MATCH(C389,Tools!$B$6:$B$105,0)))=0,0,N(INDEX(Tools!$F$6:$F$105,MATCH(C389,Tools!$B$6:$B$105,0)))/INDEX(Tools!$U$6:$U$105,MATCH(C389,Tools!$B$6:$B$105,0)))),0))</f>
        <v/>
      </c>
      <c r="K389">
        <f>IF(H389="Remove now",ROW(),"")</f>
        <v/>
      </c>
    </row>
    <row r="390">
      <c r="A390" s="1" t="n"/>
      <c r="B390" s="20" t="n"/>
      <c r="C390" s="21" t="n"/>
      <c r="D390" s="22" t="n"/>
      <c r="E390" s="25" t="n"/>
      <c r="F390" s="25" t="n"/>
      <c r="G390" s="1">
        <f>IF(OR(B390="",C390=""),"",IF(AND(F390&lt;&gt;"",F390&lt;=TODAY()),0,1))</f>
        <v/>
      </c>
      <c r="H390" s="14">
        <f>IF(OR(B390="",C390=""),"",IF(G390=0,"Removed",IF(AND(I390&lt;&gt;"",I390&lt;=TODAY()),"Remove now","Active")))</f>
        <v/>
      </c>
      <c r="I390" s="1">
        <f>IFERROR(IF(INDEX(Team!$E$6:$E$105,MATCH(B390,Team!$B$6:$B$105,0))="","",INDEX(Team!$E$6:$E$105,MATCH(B390,Team!$B$6:$B$105,0))),"")</f>
        <v/>
      </c>
      <c r="J390">
        <f>IF(G390&lt;&gt;1,0,IFERROR(IF(INDEX(Tools!$G$6:$G$105,MATCH(C390,Tools!$B$6:$B$105,0))="",0,IF(N(INDEX(Tools!$O$6:$O$105,MATCH(C390,Tools!$B$6:$B$105,0)))=0,0,N(INDEX(Tools!$F$6:$F$105,MATCH(C390,Tools!$B$6:$B$105,0)))/INDEX(Tools!$U$6:$U$105,MATCH(C390,Tools!$B$6:$B$105,0)))),0))</f>
        <v/>
      </c>
      <c r="K390">
        <f>IF(H390="Remove now",ROW(),"")</f>
        <v/>
      </c>
    </row>
    <row r="391">
      <c r="A391" s="1" t="n"/>
      <c r="B391" s="20" t="n"/>
      <c r="C391" s="21" t="n"/>
      <c r="D391" s="22" t="n"/>
      <c r="E391" s="25" t="n"/>
      <c r="F391" s="25" t="n"/>
      <c r="G391" s="1">
        <f>IF(OR(B391="",C391=""),"",IF(AND(F391&lt;&gt;"",F391&lt;=TODAY()),0,1))</f>
        <v/>
      </c>
      <c r="H391" s="14">
        <f>IF(OR(B391="",C391=""),"",IF(G391=0,"Removed",IF(AND(I391&lt;&gt;"",I391&lt;=TODAY()),"Remove now","Active")))</f>
        <v/>
      </c>
      <c r="I391" s="1">
        <f>IFERROR(IF(INDEX(Team!$E$6:$E$105,MATCH(B391,Team!$B$6:$B$105,0))="","",INDEX(Team!$E$6:$E$105,MATCH(B391,Team!$B$6:$B$105,0))),"")</f>
        <v/>
      </c>
      <c r="J391">
        <f>IF(G391&lt;&gt;1,0,IFERROR(IF(INDEX(Tools!$G$6:$G$105,MATCH(C391,Tools!$B$6:$B$105,0))="",0,IF(N(INDEX(Tools!$O$6:$O$105,MATCH(C391,Tools!$B$6:$B$105,0)))=0,0,N(INDEX(Tools!$F$6:$F$105,MATCH(C391,Tools!$B$6:$B$105,0)))/INDEX(Tools!$U$6:$U$105,MATCH(C391,Tools!$B$6:$B$105,0)))),0))</f>
        <v/>
      </c>
      <c r="K391">
        <f>IF(H391="Remove now",ROW(),"")</f>
        <v/>
      </c>
    </row>
    <row r="392">
      <c r="A392" s="1" t="n"/>
      <c r="B392" s="20" t="n"/>
      <c r="C392" s="21" t="n"/>
      <c r="D392" s="22" t="n"/>
      <c r="E392" s="25" t="n"/>
      <c r="F392" s="25" t="n"/>
      <c r="G392" s="1">
        <f>IF(OR(B392="",C392=""),"",IF(AND(F392&lt;&gt;"",F392&lt;=TODAY()),0,1))</f>
        <v/>
      </c>
      <c r="H392" s="14">
        <f>IF(OR(B392="",C392=""),"",IF(G392=0,"Removed",IF(AND(I392&lt;&gt;"",I392&lt;=TODAY()),"Remove now","Active")))</f>
        <v/>
      </c>
      <c r="I392" s="1">
        <f>IFERROR(IF(INDEX(Team!$E$6:$E$105,MATCH(B392,Team!$B$6:$B$105,0))="","",INDEX(Team!$E$6:$E$105,MATCH(B392,Team!$B$6:$B$105,0))),"")</f>
        <v/>
      </c>
      <c r="J392">
        <f>IF(G392&lt;&gt;1,0,IFERROR(IF(INDEX(Tools!$G$6:$G$105,MATCH(C392,Tools!$B$6:$B$105,0))="",0,IF(N(INDEX(Tools!$O$6:$O$105,MATCH(C392,Tools!$B$6:$B$105,0)))=0,0,N(INDEX(Tools!$F$6:$F$105,MATCH(C392,Tools!$B$6:$B$105,0)))/INDEX(Tools!$U$6:$U$105,MATCH(C392,Tools!$B$6:$B$105,0)))),0))</f>
        <v/>
      </c>
      <c r="K392">
        <f>IF(H392="Remove now",ROW(),"")</f>
        <v/>
      </c>
    </row>
    <row r="393">
      <c r="A393" s="1" t="n"/>
      <c r="B393" s="20" t="n"/>
      <c r="C393" s="21" t="n"/>
      <c r="D393" s="22" t="n"/>
      <c r="E393" s="25" t="n"/>
      <c r="F393" s="25" t="n"/>
      <c r="G393" s="1">
        <f>IF(OR(B393="",C393=""),"",IF(AND(F393&lt;&gt;"",F393&lt;=TODAY()),0,1))</f>
        <v/>
      </c>
      <c r="H393" s="14">
        <f>IF(OR(B393="",C393=""),"",IF(G393=0,"Removed",IF(AND(I393&lt;&gt;"",I393&lt;=TODAY()),"Remove now","Active")))</f>
        <v/>
      </c>
      <c r="I393" s="1">
        <f>IFERROR(IF(INDEX(Team!$E$6:$E$105,MATCH(B393,Team!$B$6:$B$105,0))="","",INDEX(Team!$E$6:$E$105,MATCH(B393,Team!$B$6:$B$105,0))),"")</f>
        <v/>
      </c>
      <c r="J393">
        <f>IF(G393&lt;&gt;1,0,IFERROR(IF(INDEX(Tools!$G$6:$G$105,MATCH(C393,Tools!$B$6:$B$105,0))="",0,IF(N(INDEX(Tools!$O$6:$O$105,MATCH(C393,Tools!$B$6:$B$105,0)))=0,0,N(INDEX(Tools!$F$6:$F$105,MATCH(C393,Tools!$B$6:$B$105,0)))/INDEX(Tools!$U$6:$U$105,MATCH(C393,Tools!$B$6:$B$105,0)))),0))</f>
        <v/>
      </c>
      <c r="K393">
        <f>IF(H393="Remove now",ROW(),"")</f>
        <v/>
      </c>
    </row>
    <row r="394">
      <c r="A394" s="1" t="n"/>
      <c r="B394" s="20" t="n"/>
      <c r="C394" s="21" t="n"/>
      <c r="D394" s="22" t="n"/>
      <c r="E394" s="25" t="n"/>
      <c r="F394" s="25" t="n"/>
      <c r="G394" s="1">
        <f>IF(OR(B394="",C394=""),"",IF(AND(F394&lt;&gt;"",F394&lt;=TODAY()),0,1))</f>
        <v/>
      </c>
      <c r="H394" s="14">
        <f>IF(OR(B394="",C394=""),"",IF(G394=0,"Removed",IF(AND(I394&lt;&gt;"",I394&lt;=TODAY()),"Remove now","Active")))</f>
        <v/>
      </c>
      <c r="I394" s="1">
        <f>IFERROR(IF(INDEX(Team!$E$6:$E$105,MATCH(B394,Team!$B$6:$B$105,0))="","",INDEX(Team!$E$6:$E$105,MATCH(B394,Team!$B$6:$B$105,0))),"")</f>
        <v/>
      </c>
      <c r="J394">
        <f>IF(G394&lt;&gt;1,0,IFERROR(IF(INDEX(Tools!$G$6:$G$105,MATCH(C394,Tools!$B$6:$B$105,0))="",0,IF(N(INDEX(Tools!$O$6:$O$105,MATCH(C394,Tools!$B$6:$B$105,0)))=0,0,N(INDEX(Tools!$F$6:$F$105,MATCH(C394,Tools!$B$6:$B$105,0)))/INDEX(Tools!$U$6:$U$105,MATCH(C394,Tools!$B$6:$B$105,0)))),0))</f>
        <v/>
      </c>
      <c r="K394">
        <f>IF(H394="Remove now",ROW(),"")</f>
        <v/>
      </c>
    </row>
    <row r="395">
      <c r="A395" s="1" t="n"/>
      <c r="B395" s="20" t="n"/>
      <c r="C395" s="21" t="n"/>
      <c r="D395" s="22" t="n"/>
      <c r="E395" s="25" t="n"/>
      <c r="F395" s="25" t="n"/>
      <c r="G395" s="1">
        <f>IF(OR(B395="",C395=""),"",IF(AND(F395&lt;&gt;"",F395&lt;=TODAY()),0,1))</f>
        <v/>
      </c>
      <c r="H395" s="14">
        <f>IF(OR(B395="",C395=""),"",IF(G395=0,"Removed",IF(AND(I395&lt;&gt;"",I395&lt;=TODAY()),"Remove now","Active")))</f>
        <v/>
      </c>
      <c r="I395" s="1">
        <f>IFERROR(IF(INDEX(Team!$E$6:$E$105,MATCH(B395,Team!$B$6:$B$105,0))="","",INDEX(Team!$E$6:$E$105,MATCH(B395,Team!$B$6:$B$105,0))),"")</f>
        <v/>
      </c>
      <c r="J395">
        <f>IF(G395&lt;&gt;1,0,IFERROR(IF(INDEX(Tools!$G$6:$G$105,MATCH(C395,Tools!$B$6:$B$105,0))="",0,IF(N(INDEX(Tools!$O$6:$O$105,MATCH(C395,Tools!$B$6:$B$105,0)))=0,0,N(INDEX(Tools!$F$6:$F$105,MATCH(C395,Tools!$B$6:$B$105,0)))/INDEX(Tools!$U$6:$U$105,MATCH(C395,Tools!$B$6:$B$105,0)))),0))</f>
        <v/>
      </c>
      <c r="K395">
        <f>IF(H395="Remove now",ROW(),"")</f>
        <v/>
      </c>
    </row>
    <row r="396">
      <c r="A396" s="1" t="n"/>
      <c r="B396" s="20" t="n"/>
      <c r="C396" s="21" t="n"/>
      <c r="D396" s="22" t="n"/>
      <c r="E396" s="25" t="n"/>
      <c r="F396" s="25" t="n"/>
      <c r="G396" s="1">
        <f>IF(OR(B396="",C396=""),"",IF(AND(F396&lt;&gt;"",F396&lt;=TODAY()),0,1))</f>
        <v/>
      </c>
      <c r="H396" s="14">
        <f>IF(OR(B396="",C396=""),"",IF(G396=0,"Removed",IF(AND(I396&lt;&gt;"",I396&lt;=TODAY()),"Remove now","Active")))</f>
        <v/>
      </c>
      <c r="I396" s="1">
        <f>IFERROR(IF(INDEX(Team!$E$6:$E$105,MATCH(B396,Team!$B$6:$B$105,0))="","",INDEX(Team!$E$6:$E$105,MATCH(B396,Team!$B$6:$B$105,0))),"")</f>
        <v/>
      </c>
      <c r="J396">
        <f>IF(G396&lt;&gt;1,0,IFERROR(IF(INDEX(Tools!$G$6:$G$105,MATCH(C396,Tools!$B$6:$B$105,0))="",0,IF(N(INDEX(Tools!$O$6:$O$105,MATCH(C396,Tools!$B$6:$B$105,0)))=0,0,N(INDEX(Tools!$F$6:$F$105,MATCH(C396,Tools!$B$6:$B$105,0)))/INDEX(Tools!$U$6:$U$105,MATCH(C396,Tools!$B$6:$B$105,0)))),0))</f>
        <v/>
      </c>
      <c r="K396">
        <f>IF(H396="Remove now",ROW(),"")</f>
        <v/>
      </c>
    </row>
    <row r="397">
      <c r="A397" s="1" t="n"/>
      <c r="B397" s="20" t="n"/>
      <c r="C397" s="21" t="n"/>
      <c r="D397" s="22" t="n"/>
      <c r="E397" s="25" t="n"/>
      <c r="F397" s="25" t="n"/>
      <c r="G397" s="1">
        <f>IF(OR(B397="",C397=""),"",IF(AND(F397&lt;&gt;"",F397&lt;=TODAY()),0,1))</f>
        <v/>
      </c>
      <c r="H397" s="14">
        <f>IF(OR(B397="",C397=""),"",IF(G397=0,"Removed",IF(AND(I397&lt;&gt;"",I397&lt;=TODAY()),"Remove now","Active")))</f>
        <v/>
      </c>
      <c r="I397" s="1">
        <f>IFERROR(IF(INDEX(Team!$E$6:$E$105,MATCH(B397,Team!$B$6:$B$105,0))="","",INDEX(Team!$E$6:$E$105,MATCH(B397,Team!$B$6:$B$105,0))),"")</f>
        <v/>
      </c>
      <c r="J397">
        <f>IF(G397&lt;&gt;1,0,IFERROR(IF(INDEX(Tools!$G$6:$G$105,MATCH(C397,Tools!$B$6:$B$105,0))="",0,IF(N(INDEX(Tools!$O$6:$O$105,MATCH(C397,Tools!$B$6:$B$105,0)))=0,0,N(INDEX(Tools!$F$6:$F$105,MATCH(C397,Tools!$B$6:$B$105,0)))/INDEX(Tools!$U$6:$U$105,MATCH(C397,Tools!$B$6:$B$105,0)))),0))</f>
        <v/>
      </c>
      <c r="K397">
        <f>IF(H397="Remove now",ROW(),"")</f>
        <v/>
      </c>
    </row>
    <row r="398">
      <c r="A398" s="1" t="n"/>
      <c r="B398" s="20" t="n"/>
      <c r="C398" s="21" t="n"/>
      <c r="D398" s="22" t="n"/>
      <c r="E398" s="25" t="n"/>
      <c r="F398" s="25" t="n"/>
      <c r="G398" s="1">
        <f>IF(OR(B398="",C398=""),"",IF(AND(F398&lt;&gt;"",F398&lt;=TODAY()),0,1))</f>
        <v/>
      </c>
      <c r="H398" s="14">
        <f>IF(OR(B398="",C398=""),"",IF(G398=0,"Removed",IF(AND(I398&lt;&gt;"",I398&lt;=TODAY()),"Remove now","Active")))</f>
        <v/>
      </c>
      <c r="I398" s="1">
        <f>IFERROR(IF(INDEX(Team!$E$6:$E$105,MATCH(B398,Team!$B$6:$B$105,0))="","",INDEX(Team!$E$6:$E$105,MATCH(B398,Team!$B$6:$B$105,0))),"")</f>
        <v/>
      </c>
      <c r="J398">
        <f>IF(G398&lt;&gt;1,0,IFERROR(IF(INDEX(Tools!$G$6:$G$105,MATCH(C398,Tools!$B$6:$B$105,0))="",0,IF(N(INDEX(Tools!$O$6:$O$105,MATCH(C398,Tools!$B$6:$B$105,0)))=0,0,N(INDEX(Tools!$F$6:$F$105,MATCH(C398,Tools!$B$6:$B$105,0)))/INDEX(Tools!$U$6:$U$105,MATCH(C398,Tools!$B$6:$B$105,0)))),0))</f>
        <v/>
      </c>
      <c r="K398">
        <f>IF(H398="Remove now",ROW(),"")</f>
        <v/>
      </c>
    </row>
    <row r="399">
      <c r="A399" s="1" t="n"/>
      <c r="B399" s="20" t="n"/>
      <c r="C399" s="21" t="n"/>
      <c r="D399" s="22" t="n"/>
      <c r="E399" s="25" t="n"/>
      <c r="F399" s="25" t="n"/>
      <c r="G399" s="1">
        <f>IF(OR(B399="",C399=""),"",IF(AND(F399&lt;&gt;"",F399&lt;=TODAY()),0,1))</f>
        <v/>
      </c>
      <c r="H399" s="14">
        <f>IF(OR(B399="",C399=""),"",IF(G399=0,"Removed",IF(AND(I399&lt;&gt;"",I399&lt;=TODAY()),"Remove now","Active")))</f>
        <v/>
      </c>
      <c r="I399" s="1">
        <f>IFERROR(IF(INDEX(Team!$E$6:$E$105,MATCH(B399,Team!$B$6:$B$105,0))="","",INDEX(Team!$E$6:$E$105,MATCH(B399,Team!$B$6:$B$105,0))),"")</f>
        <v/>
      </c>
      <c r="J399">
        <f>IF(G399&lt;&gt;1,0,IFERROR(IF(INDEX(Tools!$G$6:$G$105,MATCH(C399,Tools!$B$6:$B$105,0))="",0,IF(N(INDEX(Tools!$O$6:$O$105,MATCH(C399,Tools!$B$6:$B$105,0)))=0,0,N(INDEX(Tools!$F$6:$F$105,MATCH(C399,Tools!$B$6:$B$105,0)))/INDEX(Tools!$U$6:$U$105,MATCH(C399,Tools!$B$6:$B$105,0)))),0))</f>
        <v/>
      </c>
      <c r="K399">
        <f>IF(H399="Remove now",ROW(),"")</f>
        <v/>
      </c>
    </row>
    <row r="400">
      <c r="A400" s="1" t="n"/>
      <c r="B400" s="20" t="n"/>
      <c r="C400" s="21" t="n"/>
      <c r="D400" s="22" t="n"/>
      <c r="E400" s="25" t="n"/>
      <c r="F400" s="25" t="n"/>
      <c r="G400" s="1">
        <f>IF(OR(B400="",C400=""),"",IF(AND(F400&lt;&gt;"",F400&lt;=TODAY()),0,1))</f>
        <v/>
      </c>
      <c r="H400" s="14">
        <f>IF(OR(B400="",C400=""),"",IF(G400=0,"Removed",IF(AND(I400&lt;&gt;"",I400&lt;=TODAY()),"Remove now","Active")))</f>
        <v/>
      </c>
      <c r="I400" s="1">
        <f>IFERROR(IF(INDEX(Team!$E$6:$E$105,MATCH(B400,Team!$B$6:$B$105,0))="","",INDEX(Team!$E$6:$E$105,MATCH(B400,Team!$B$6:$B$105,0))),"")</f>
        <v/>
      </c>
      <c r="J400">
        <f>IF(G400&lt;&gt;1,0,IFERROR(IF(INDEX(Tools!$G$6:$G$105,MATCH(C400,Tools!$B$6:$B$105,0))="",0,IF(N(INDEX(Tools!$O$6:$O$105,MATCH(C400,Tools!$B$6:$B$105,0)))=0,0,N(INDEX(Tools!$F$6:$F$105,MATCH(C400,Tools!$B$6:$B$105,0)))/INDEX(Tools!$U$6:$U$105,MATCH(C400,Tools!$B$6:$B$105,0)))),0))</f>
        <v/>
      </c>
      <c r="K400">
        <f>IF(H400="Remove now",ROW(),"")</f>
        <v/>
      </c>
    </row>
    <row r="401">
      <c r="A401" s="1" t="n"/>
      <c r="B401" s="20" t="n"/>
      <c r="C401" s="21" t="n"/>
      <c r="D401" s="22" t="n"/>
      <c r="E401" s="25" t="n"/>
      <c r="F401" s="25" t="n"/>
      <c r="G401" s="1">
        <f>IF(OR(B401="",C401=""),"",IF(AND(F401&lt;&gt;"",F401&lt;=TODAY()),0,1))</f>
        <v/>
      </c>
      <c r="H401" s="14">
        <f>IF(OR(B401="",C401=""),"",IF(G401=0,"Removed",IF(AND(I401&lt;&gt;"",I401&lt;=TODAY()),"Remove now","Active")))</f>
        <v/>
      </c>
      <c r="I401" s="1">
        <f>IFERROR(IF(INDEX(Team!$E$6:$E$105,MATCH(B401,Team!$B$6:$B$105,0))="","",INDEX(Team!$E$6:$E$105,MATCH(B401,Team!$B$6:$B$105,0))),"")</f>
        <v/>
      </c>
      <c r="J401">
        <f>IF(G401&lt;&gt;1,0,IFERROR(IF(INDEX(Tools!$G$6:$G$105,MATCH(C401,Tools!$B$6:$B$105,0))="",0,IF(N(INDEX(Tools!$O$6:$O$105,MATCH(C401,Tools!$B$6:$B$105,0)))=0,0,N(INDEX(Tools!$F$6:$F$105,MATCH(C401,Tools!$B$6:$B$105,0)))/INDEX(Tools!$U$6:$U$105,MATCH(C401,Tools!$B$6:$B$105,0)))),0))</f>
        <v/>
      </c>
      <c r="K401">
        <f>IF(H401="Remove now",ROW(),"")</f>
        <v/>
      </c>
    </row>
    <row r="402">
      <c r="A402" s="1" t="n"/>
      <c r="B402" s="20" t="n"/>
      <c r="C402" s="21" t="n"/>
      <c r="D402" s="22" t="n"/>
      <c r="E402" s="25" t="n"/>
      <c r="F402" s="25" t="n"/>
      <c r="G402" s="1">
        <f>IF(OR(B402="",C402=""),"",IF(AND(F402&lt;&gt;"",F402&lt;=TODAY()),0,1))</f>
        <v/>
      </c>
      <c r="H402" s="14">
        <f>IF(OR(B402="",C402=""),"",IF(G402=0,"Removed",IF(AND(I402&lt;&gt;"",I402&lt;=TODAY()),"Remove now","Active")))</f>
        <v/>
      </c>
      <c r="I402" s="1">
        <f>IFERROR(IF(INDEX(Team!$E$6:$E$105,MATCH(B402,Team!$B$6:$B$105,0))="","",INDEX(Team!$E$6:$E$105,MATCH(B402,Team!$B$6:$B$105,0))),"")</f>
        <v/>
      </c>
      <c r="J402">
        <f>IF(G402&lt;&gt;1,0,IFERROR(IF(INDEX(Tools!$G$6:$G$105,MATCH(C402,Tools!$B$6:$B$105,0))="",0,IF(N(INDEX(Tools!$O$6:$O$105,MATCH(C402,Tools!$B$6:$B$105,0)))=0,0,N(INDEX(Tools!$F$6:$F$105,MATCH(C402,Tools!$B$6:$B$105,0)))/INDEX(Tools!$U$6:$U$105,MATCH(C402,Tools!$B$6:$B$105,0)))),0))</f>
        <v/>
      </c>
      <c r="K402">
        <f>IF(H402="Remove now",ROW(),"")</f>
        <v/>
      </c>
    </row>
    <row r="403">
      <c r="A403" s="1" t="n"/>
      <c r="B403" s="20" t="n"/>
      <c r="C403" s="21" t="n"/>
      <c r="D403" s="22" t="n"/>
      <c r="E403" s="25" t="n"/>
      <c r="F403" s="25" t="n"/>
      <c r="G403" s="1">
        <f>IF(OR(B403="",C403=""),"",IF(AND(F403&lt;&gt;"",F403&lt;=TODAY()),0,1))</f>
        <v/>
      </c>
      <c r="H403" s="14">
        <f>IF(OR(B403="",C403=""),"",IF(G403=0,"Removed",IF(AND(I403&lt;&gt;"",I403&lt;=TODAY()),"Remove now","Active")))</f>
        <v/>
      </c>
      <c r="I403" s="1">
        <f>IFERROR(IF(INDEX(Team!$E$6:$E$105,MATCH(B403,Team!$B$6:$B$105,0))="","",INDEX(Team!$E$6:$E$105,MATCH(B403,Team!$B$6:$B$105,0))),"")</f>
        <v/>
      </c>
      <c r="J403">
        <f>IF(G403&lt;&gt;1,0,IFERROR(IF(INDEX(Tools!$G$6:$G$105,MATCH(C403,Tools!$B$6:$B$105,0))="",0,IF(N(INDEX(Tools!$O$6:$O$105,MATCH(C403,Tools!$B$6:$B$105,0)))=0,0,N(INDEX(Tools!$F$6:$F$105,MATCH(C403,Tools!$B$6:$B$105,0)))/INDEX(Tools!$U$6:$U$105,MATCH(C403,Tools!$B$6:$B$105,0)))),0))</f>
        <v/>
      </c>
      <c r="K403">
        <f>IF(H403="Remove now",ROW(),"")</f>
        <v/>
      </c>
    </row>
    <row r="404">
      <c r="A404" s="1" t="n"/>
      <c r="B404" s="20" t="n"/>
      <c r="C404" s="21" t="n"/>
      <c r="D404" s="22" t="n"/>
      <c r="E404" s="25" t="n"/>
      <c r="F404" s="25" t="n"/>
      <c r="G404" s="1">
        <f>IF(OR(B404="",C404=""),"",IF(AND(F404&lt;&gt;"",F404&lt;=TODAY()),0,1))</f>
        <v/>
      </c>
      <c r="H404" s="14">
        <f>IF(OR(B404="",C404=""),"",IF(G404=0,"Removed",IF(AND(I404&lt;&gt;"",I404&lt;=TODAY()),"Remove now","Active")))</f>
        <v/>
      </c>
      <c r="I404" s="1">
        <f>IFERROR(IF(INDEX(Team!$E$6:$E$105,MATCH(B404,Team!$B$6:$B$105,0))="","",INDEX(Team!$E$6:$E$105,MATCH(B404,Team!$B$6:$B$105,0))),"")</f>
        <v/>
      </c>
      <c r="J404">
        <f>IF(G404&lt;&gt;1,0,IFERROR(IF(INDEX(Tools!$G$6:$G$105,MATCH(C404,Tools!$B$6:$B$105,0))="",0,IF(N(INDEX(Tools!$O$6:$O$105,MATCH(C404,Tools!$B$6:$B$105,0)))=0,0,N(INDEX(Tools!$F$6:$F$105,MATCH(C404,Tools!$B$6:$B$105,0)))/INDEX(Tools!$U$6:$U$105,MATCH(C404,Tools!$B$6:$B$105,0)))),0))</f>
        <v/>
      </c>
      <c r="K404">
        <f>IF(H404="Remove now",ROW(),"")</f>
        <v/>
      </c>
    </row>
    <row r="405">
      <c r="A405" s="1" t="n"/>
      <c r="B405" s="20" t="n"/>
      <c r="C405" s="21" t="n"/>
      <c r="D405" s="22" t="n"/>
      <c r="E405" s="25" t="n"/>
      <c r="F405" s="25" t="n"/>
      <c r="G405" s="1">
        <f>IF(OR(B405="",C405=""),"",IF(AND(F405&lt;&gt;"",F405&lt;=TODAY()),0,1))</f>
        <v/>
      </c>
      <c r="H405" s="14">
        <f>IF(OR(B405="",C405=""),"",IF(G405=0,"Removed",IF(AND(I405&lt;&gt;"",I405&lt;=TODAY()),"Remove now","Active")))</f>
        <v/>
      </c>
      <c r="I405" s="1">
        <f>IFERROR(IF(INDEX(Team!$E$6:$E$105,MATCH(B405,Team!$B$6:$B$105,0))="","",INDEX(Team!$E$6:$E$105,MATCH(B405,Team!$B$6:$B$105,0))),"")</f>
        <v/>
      </c>
      <c r="J405">
        <f>IF(G405&lt;&gt;1,0,IFERROR(IF(INDEX(Tools!$G$6:$G$105,MATCH(C405,Tools!$B$6:$B$105,0))="",0,IF(N(INDEX(Tools!$O$6:$O$105,MATCH(C405,Tools!$B$6:$B$105,0)))=0,0,N(INDEX(Tools!$F$6:$F$105,MATCH(C405,Tools!$B$6:$B$105,0)))/INDEX(Tools!$U$6:$U$105,MATCH(C405,Tools!$B$6:$B$105,0)))),0))</f>
        <v/>
      </c>
      <c r="K405">
        <f>IF(H405="Remove now",ROW(),"")</f>
        <v/>
      </c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</sheetData>
  <conditionalFormatting sqref="H6:H405">
    <cfRule type="expression" priority="1" dxfId="0">
      <formula>H6="Remove now"</formula>
    </cfRule>
    <cfRule type="expression" priority="2" dxfId="2">
      <formula>H6="Removed"</formula>
    </cfRule>
  </conditionalFormatting>
  <dataValidations count="3">
    <dataValidation sqref="B6:B405" showDropDown="0" showInputMessage="0" showErrorMessage="1" allowBlank="1" type="list">
      <formula1>=Team!$B$6:$B$105</formula1>
    </dataValidation>
    <dataValidation sqref="C6:C405" showDropDown="0" showInputMessage="0" showErrorMessage="1" allowBlank="1" type="list">
      <formula1>=Tools!$B$6:$B$105</formula1>
    </dataValidation>
    <dataValidation sqref="D6:D405" showDropDown="0" showInputMessage="0" showErrorMessage="0" allowBlank="1" type="list">
      <formula1>"Admin,User"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3" customWidth="1" min="4" max="4"/>
    <col width="13" customWidth="1" min="5" max="5"/>
    <col width="9" customWidth="1" min="6" max="6"/>
    <col width="13" customWidth="1" min="7" max="7"/>
    <col width="24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Team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Everyone who uses the tools. When someone leaves, type the day: the Access tab lists what to remove them from.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10" t="inlineStr">
        <is>
          <t>Name</t>
        </is>
      </c>
      <c r="C5" s="10" t="inlineStr">
        <is>
          <t>Team</t>
        </is>
      </c>
      <c r="D5" s="10" t="inlineStr">
        <is>
          <t>Started</t>
        </is>
      </c>
      <c r="E5" s="10" t="inlineStr">
        <is>
          <t>Left on</t>
        </is>
      </c>
      <c r="F5" s="10" t="inlineStr">
        <is>
          <t>Tools</t>
        </is>
      </c>
      <c r="G5" s="10" t="inlineStr">
        <is>
          <t>Seats a month</t>
        </is>
      </c>
      <c r="H5" s="10" t="inlineStr">
        <is>
          <t>Status</t>
        </is>
      </c>
      <c r="I5" s="1" t="n"/>
    </row>
    <row r="6">
      <c r="A6" s="1" t="n"/>
      <c r="B6" s="20" t="inlineStr">
        <is>
          <t>Ana</t>
        </is>
      </c>
      <c r="C6" s="21" t="inlineStr">
        <is>
          <t>Management</t>
        </is>
      </c>
      <c r="D6" s="25" t="n">
        <v>43525</v>
      </c>
      <c r="E6" s="25" t="n"/>
      <c r="F6" s="26">
        <f>IF(B6="","",SUMIFS(Access!$G$6:$G$405,Access!$B$6:$B$405,B6))</f>
        <v/>
      </c>
      <c r="G6" s="13">
        <f>IF(B6="","",SUMIFS(Access!$J$6:$J$405,Access!$B$6:$B$405,B6))</f>
        <v/>
      </c>
      <c r="H6" s="14">
        <f>IF(B6="","",IF(AND(E6&lt;&gt;"",E6&lt;=TODAY()),IF(F6&gt;0,"Left, still has access","Left"),"Active"))</f>
        <v/>
      </c>
      <c r="I6" s="1" t="n"/>
    </row>
    <row r="7">
      <c r="A7" s="1" t="n"/>
      <c r="B7" s="20" t="inlineStr">
        <is>
          <t>Ben</t>
        </is>
      </c>
      <c r="C7" s="21" t="inlineStr">
        <is>
          <t>Design</t>
        </is>
      </c>
      <c r="D7" s="25" t="n">
        <v>43997</v>
      </c>
      <c r="E7" s="25" t="n"/>
      <c r="F7" s="26">
        <f>IF(B7="","",SUMIFS(Access!$G$6:$G$405,Access!$B$6:$B$405,B7))</f>
        <v/>
      </c>
      <c r="G7" s="13">
        <f>IF(B7="","",SUMIFS(Access!$J$6:$J$405,Access!$B$6:$B$405,B7))</f>
        <v/>
      </c>
      <c r="H7" s="14">
        <f>IF(B7="","",IF(AND(E7&lt;&gt;"",E7&lt;=TODAY()),IF(F7&gt;0,"Left, still has access","Left"),"Active"))</f>
        <v/>
      </c>
      <c r="I7" s="1" t="n"/>
    </row>
    <row r="8">
      <c r="A8" s="1" t="n"/>
      <c r="B8" s="20" t="inlineStr">
        <is>
          <t>Chloe</t>
        </is>
      </c>
      <c r="C8" s="21" t="inlineStr">
        <is>
          <t>Design</t>
        </is>
      </c>
      <c r="D8" s="25" t="n">
        <v>44958</v>
      </c>
      <c r="E8" s="25" t="n"/>
      <c r="F8" s="26">
        <f>IF(B8="","",SUMIFS(Access!$G$6:$G$405,Access!$B$6:$B$405,B8))</f>
        <v/>
      </c>
      <c r="G8" s="13">
        <f>IF(B8="","",SUMIFS(Access!$J$6:$J$405,Access!$B$6:$B$405,B8))</f>
        <v/>
      </c>
      <c r="H8" s="14">
        <f>IF(B8="","",IF(AND(E8&lt;&gt;"",E8&lt;=TODAY()),IF(F8&gt;0,"Left, still has access","Left"),"Active"))</f>
        <v/>
      </c>
      <c r="I8" s="1" t="n"/>
    </row>
    <row r="9">
      <c r="A9" s="1" t="n"/>
      <c r="B9" s="20" t="inlineStr">
        <is>
          <t>Dev</t>
        </is>
      </c>
      <c r="C9" s="21" t="inlineStr">
        <is>
          <t>Tech</t>
        </is>
      </c>
      <c r="D9" s="25" t="n">
        <v>44440</v>
      </c>
      <c r="E9" s="25" t="n"/>
      <c r="F9" s="26">
        <f>IF(B9="","",SUMIFS(Access!$G$6:$G$405,Access!$B$6:$B$405,B9))</f>
        <v/>
      </c>
      <c r="G9" s="13">
        <f>IF(B9="","",SUMIFS(Access!$J$6:$J$405,Access!$B$6:$B$405,B9))</f>
        <v/>
      </c>
      <c r="H9" s="14">
        <f>IF(B9="","",IF(AND(E9&lt;&gt;"",E9&lt;=TODAY()),IF(F9&gt;0,"Left, still has access","Left"),"Active"))</f>
        <v/>
      </c>
      <c r="I9" s="1" t="n"/>
    </row>
    <row r="10">
      <c r="A10" s="1" t="n"/>
      <c r="B10" s="20" t="inlineStr">
        <is>
          <t>Ella</t>
        </is>
      </c>
      <c r="C10" s="21" t="inlineStr">
        <is>
          <t>Marketing</t>
        </is>
      </c>
      <c r="D10" s="25" t="n">
        <v>44655</v>
      </c>
      <c r="E10" s="25" t="n"/>
      <c r="F10" s="26">
        <f>IF(B10="","",SUMIFS(Access!$G$6:$G$405,Access!$B$6:$B$405,B10))</f>
        <v/>
      </c>
      <c r="G10" s="13">
        <f>IF(B10="","",SUMIFS(Access!$J$6:$J$405,Access!$B$6:$B$405,B10))</f>
        <v/>
      </c>
      <c r="H10" s="14">
        <f>IF(B10="","",IF(AND(E10&lt;&gt;"",E10&lt;=TODAY()),IF(F10&gt;0,"Left, still has access","Left"),"Active"))</f>
        <v/>
      </c>
      <c r="I10" s="1" t="n"/>
    </row>
    <row r="11">
      <c r="A11" s="1" t="n"/>
      <c r="B11" s="20" t="inlineStr">
        <is>
          <t>Finn</t>
        </is>
      </c>
      <c r="C11" s="21" t="inlineStr">
        <is>
          <t>Sales</t>
        </is>
      </c>
      <c r="D11" s="25" t="n">
        <v>45299</v>
      </c>
      <c r="E11" s="25" t="n"/>
      <c r="F11" s="26">
        <f>IF(B11="","",SUMIFS(Access!$G$6:$G$405,Access!$B$6:$B$405,B11))</f>
        <v/>
      </c>
      <c r="G11" s="13">
        <f>IF(B11="","",SUMIFS(Access!$J$6:$J$405,Access!$B$6:$B$405,B11))</f>
        <v/>
      </c>
      <c r="H11" s="14">
        <f>IF(B11="","",IF(AND(E11&lt;&gt;"",E11&lt;=TODAY()),IF(F11&gt;0,"Left, still has access","Left"),"Active"))</f>
        <v/>
      </c>
      <c r="I11" s="1" t="n"/>
    </row>
    <row r="12">
      <c r="A12" s="1" t="n"/>
      <c r="B12" s="20" t="inlineStr">
        <is>
          <t>Grace</t>
        </is>
      </c>
      <c r="C12" s="21" t="inlineStr">
        <is>
          <t>Operations</t>
        </is>
      </c>
      <c r="D12" s="25" t="n">
        <v>44137</v>
      </c>
      <c r="E12" s="25" t="n"/>
      <c r="F12" s="26">
        <f>IF(B12="","",SUMIFS(Access!$G$6:$G$405,Access!$B$6:$B$405,B12))</f>
        <v/>
      </c>
      <c r="G12" s="13">
        <f>IF(B12="","",SUMIFS(Access!$J$6:$J$405,Access!$B$6:$B$405,B12))</f>
        <v/>
      </c>
      <c r="H12" s="14">
        <f>IF(B12="","",IF(AND(E12&lt;&gt;"",E12&lt;=TODAY()),IF(F12&gt;0,"Left, still has access","Left"),"Active"))</f>
        <v/>
      </c>
      <c r="I12" s="1" t="n"/>
    </row>
    <row r="13">
      <c r="A13" s="1" t="n"/>
      <c r="B13" s="20" t="inlineStr">
        <is>
          <t>Hugo</t>
        </is>
      </c>
      <c r="C13" s="21" t="inlineStr">
        <is>
          <t>Sales</t>
        </is>
      </c>
      <c r="D13" s="25" t="n">
        <v>45061</v>
      </c>
      <c r="E13" s="25" t="n">
        <v>46281</v>
      </c>
      <c r="F13" s="26">
        <f>IF(B13="","",SUMIFS(Access!$G$6:$G$405,Access!$B$6:$B$405,B13))</f>
        <v/>
      </c>
      <c r="G13" s="13">
        <f>IF(B13="","",SUMIFS(Access!$J$6:$J$405,Access!$B$6:$B$405,B13))</f>
        <v/>
      </c>
      <c r="H13" s="14">
        <f>IF(B13="","",IF(AND(E13&lt;&gt;"",E13&lt;=TODAY()),IF(F13&gt;0,"Left, still has access","Left"),"Active"))</f>
        <v/>
      </c>
      <c r="I13" s="1" t="n"/>
    </row>
    <row r="14">
      <c r="A14" s="1" t="n"/>
      <c r="B14" s="20" t="n"/>
      <c r="C14" s="21" t="n"/>
      <c r="D14" s="25" t="n"/>
      <c r="E14" s="25" t="n"/>
      <c r="F14" s="26">
        <f>IF(B14="","",SUMIFS(Access!$G$6:$G$405,Access!$B$6:$B$405,B14))</f>
        <v/>
      </c>
      <c r="G14" s="13">
        <f>IF(B14="","",SUMIFS(Access!$J$6:$J$405,Access!$B$6:$B$405,B14))</f>
        <v/>
      </c>
      <c r="H14" s="14">
        <f>IF(B14="","",IF(AND(E14&lt;&gt;"",E14&lt;=TODAY()),IF(F14&gt;0,"Left, still has access","Left"),"Active"))</f>
        <v/>
      </c>
      <c r="I14" s="1" t="n"/>
    </row>
    <row r="15">
      <c r="A15" s="1" t="n"/>
      <c r="B15" s="20" t="n"/>
      <c r="C15" s="21" t="n"/>
      <c r="D15" s="25" t="n"/>
      <c r="E15" s="25" t="n"/>
      <c r="F15" s="26">
        <f>IF(B15="","",SUMIFS(Access!$G$6:$G$405,Access!$B$6:$B$405,B15))</f>
        <v/>
      </c>
      <c r="G15" s="13">
        <f>IF(B15="","",SUMIFS(Access!$J$6:$J$405,Access!$B$6:$B$405,B15))</f>
        <v/>
      </c>
      <c r="H15" s="14">
        <f>IF(B15="","",IF(AND(E15&lt;&gt;"",E15&lt;=TODAY()),IF(F15&gt;0,"Left, still has access","Left"),"Active"))</f>
        <v/>
      </c>
      <c r="I15" s="1" t="n"/>
    </row>
    <row r="16">
      <c r="A16" s="1" t="n"/>
      <c r="B16" s="20" t="n"/>
      <c r="C16" s="21" t="n"/>
      <c r="D16" s="25" t="n"/>
      <c r="E16" s="25" t="n"/>
      <c r="F16" s="26">
        <f>IF(B16="","",SUMIFS(Access!$G$6:$G$405,Access!$B$6:$B$405,B16))</f>
        <v/>
      </c>
      <c r="G16" s="13">
        <f>IF(B16="","",SUMIFS(Access!$J$6:$J$405,Access!$B$6:$B$405,B16))</f>
        <v/>
      </c>
      <c r="H16" s="14">
        <f>IF(B16="","",IF(AND(E16&lt;&gt;"",E16&lt;=TODAY()),IF(F16&gt;0,"Left, still has access","Left"),"Active"))</f>
        <v/>
      </c>
      <c r="I16" s="1" t="n"/>
    </row>
    <row r="17">
      <c r="A17" s="1" t="n"/>
      <c r="B17" s="20" t="n"/>
      <c r="C17" s="21" t="n"/>
      <c r="D17" s="25" t="n"/>
      <c r="E17" s="25" t="n"/>
      <c r="F17" s="26">
        <f>IF(B17="","",SUMIFS(Access!$G$6:$G$405,Access!$B$6:$B$405,B17))</f>
        <v/>
      </c>
      <c r="G17" s="13">
        <f>IF(B17="","",SUMIFS(Access!$J$6:$J$405,Access!$B$6:$B$405,B17))</f>
        <v/>
      </c>
      <c r="H17" s="14">
        <f>IF(B17="","",IF(AND(E17&lt;&gt;"",E17&lt;=TODAY()),IF(F17&gt;0,"Left, still has access","Left"),"Active"))</f>
        <v/>
      </c>
      <c r="I17" s="1" t="n"/>
    </row>
    <row r="18">
      <c r="A18" s="1" t="n"/>
      <c r="B18" s="20" t="n"/>
      <c r="C18" s="21" t="n"/>
      <c r="D18" s="25" t="n"/>
      <c r="E18" s="25" t="n"/>
      <c r="F18" s="26">
        <f>IF(B18="","",SUMIFS(Access!$G$6:$G$405,Access!$B$6:$B$405,B18))</f>
        <v/>
      </c>
      <c r="G18" s="13">
        <f>IF(B18="","",SUMIFS(Access!$J$6:$J$405,Access!$B$6:$B$405,B18))</f>
        <v/>
      </c>
      <c r="H18" s="14">
        <f>IF(B18="","",IF(AND(E18&lt;&gt;"",E18&lt;=TODAY()),IF(F18&gt;0,"Left, still has access","Left"),"Active"))</f>
        <v/>
      </c>
      <c r="I18" s="1" t="n"/>
    </row>
    <row r="19">
      <c r="A19" s="1" t="n"/>
      <c r="B19" s="20" t="n"/>
      <c r="C19" s="21" t="n"/>
      <c r="D19" s="25" t="n"/>
      <c r="E19" s="25" t="n"/>
      <c r="F19" s="26">
        <f>IF(B19="","",SUMIFS(Access!$G$6:$G$405,Access!$B$6:$B$405,B19))</f>
        <v/>
      </c>
      <c r="G19" s="13">
        <f>IF(B19="","",SUMIFS(Access!$J$6:$J$405,Access!$B$6:$B$405,B19))</f>
        <v/>
      </c>
      <c r="H19" s="14">
        <f>IF(B19="","",IF(AND(E19&lt;&gt;"",E19&lt;=TODAY()),IF(F19&gt;0,"Left, still has access","Left"),"Active"))</f>
        <v/>
      </c>
      <c r="I19" s="1" t="n"/>
    </row>
    <row r="20">
      <c r="A20" s="1" t="n"/>
      <c r="B20" s="20" t="n"/>
      <c r="C20" s="21" t="n"/>
      <c r="D20" s="25" t="n"/>
      <c r="E20" s="25" t="n"/>
      <c r="F20" s="26">
        <f>IF(B20="","",SUMIFS(Access!$G$6:$G$405,Access!$B$6:$B$405,B20))</f>
        <v/>
      </c>
      <c r="G20" s="13">
        <f>IF(B20="","",SUMIFS(Access!$J$6:$J$405,Access!$B$6:$B$405,B20))</f>
        <v/>
      </c>
      <c r="H20" s="14">
        <f>IF(B20="","",IF(AND(E20&lt;&gt;"",E20&lt;=TODAY()),IF(F20&gt;0,"Left, still has access","Left"),"Active"))</f>
        <v/>
      </c>
      <c r="I20" s="1" t="n"/>
    </row>
    <row r="21">
      <c r="A21" s="1" t="n"/>
      <c r="B21" s="20" t="n"/>
      <c r="C21" s="21" t="n"/>
      <c r="D21" s="25" t="n"/>
      <c r="E21" s="25" t="n"/>
      <c r="F21" s="26">
        <f>IF(B21="","",SUMIFS(Access!$G$6:$G$405,Access!$B$6:$B$405,B21))</f>
        <v/>
      </c>
      <c r="G21" s="13">
        <f>IF(B21="","",SUMIFS(Access!$J$6:$J$405,Access!$B$6:$B$405,B21))</f>
        <v/>
      </c>
      <c r="H21" s="14">
        <f>IF(B21="","",IF(AND(E21&lt;&gt;"",E21&lt;=TODAY()),IF(F21&gt;0,"Left, still has access","Left"),"Active"))</f>
        <v/>
      </c>
      <c r="I21" s="1" t="n"/>
    </row>
    <row r="22">
      <c r="A22" s="1" t="n"/>
      <c r="B22" s="20" t="n"/>
      <c r="C22" s="21" t="n"/>
      <c r="D22" s="25" t="n"/>
      <c r="E22" s="25" t="n"/>
      <c r="F22" s="26">
        <f>IF(B22="","",SUMIFS(Access!$G$6:$G$405,Access!$B$6:$B$405,B22))</f>
        <v/>
      </c>
      <c r="G22" s="13">
        <f>IF(B22="","",SUMIFS(Access!$J$6:$J$405,Access!$B$6:$B$405,B22))</f>
        <v/>
      </c>
      <c r="H22" s="14">
        <f>IF(B22="","",IF(AND(E22&lt;&gt;"",E22&lt;=TODAY()),IF(F22&gt;0,"Left, still has access","Left"),"Active"))</f>
        <v/>
      </c>
      <c r="I22" s="1" t="n"/>
    </row>
    <row r="23">
      <c r="A23" s="1" t="n"/>
      <c r="B23" s="20" t="n"/>
      <c r="C23" s="21" t="n"/>
      <c r="D23" s="25" t="n"/>
      <c r="E23" s="25" t="n"/>
      <c r="F23" s="26">
        <f>IF(B23="","",SUMIFS(Access!$G$6:$G$405,Access!$B$6:$B$405,B23))</f>
        <v/>
      </c>
      <c r="G23" s="13">
        <f>IF(B23="","",SUMIFS(Access!$J$6:$J$405,Access!$B$6:$B$405,B23))</f>
        <v/>
      </c>
      <c r="H23" s="14">
        <f>IF(B23="","",IF(AND(E23&lt;&gt;"",E23&lt;=TODAY()),IF(F23&gt;0,"Left, still has access","Left"),"Active"))</f>
        <v/>
      </c>
      <c r="I23" s="1" t="n"/>
    </row>
    <row r="24">
      <c r="A24" s="1" t="n"/>
      <c r="B24" s="20" t="n"/>
      <c r="C24" s="21" t="n"/>
      <c r="D24" s="25" t="n"/>
      <c r="E24" s="25" t="n"/>
      <c r="F24" s="26">
        <f>IF(B24="","",SUMIFS(Access!$G$6:$G$405,Access!$B$6:$B$405,B24))</f>
        <v/>
      </c>
      <c r="G24" s="13">
        <f>IF(B24="","",SUMIFS(Access!$J$6:$J$405,Access!$B$6:$B$405,B24))</f>
        <v/>
      </c>
      <c r="H24" s="14">
        <f>IF(B24="","",IF(AND(E24&lt;&gt;"",E24&lt;=TODAY()),IF(F24&gt;0,"Left, still has access","Left"),"Active"))</f>
        <v/>
      </c>
      <c r="I24" s="1" t="n"/>
    </row>
    <row r="25">
      <c r="A25" s="1" t="n"/>
      <c r="B25" s="20" t="n"/>
      <c r="C25" s="21" t="n"/>
      <c r="D25" s="25" t="n"/>
      <c r="E25" s="25" t="n"/>
      <c r="F25" s="26">
        <f>IF(B25="","",SUMIFS(Access!$G$6:$G$405,Access!$B$6:$B$405,B25))</f>
        <v/>
      </c>
      <c r="G25" s="13">
        <f>IF(B25="","",SUMIFS(Access!$J$6:$J$405,Access!$B$6:$B$405,B25))</f>
        <v/>
      </c>
      <c r="H25" s="14">
        <f>IF(B25="","",IF(AND(E25&lt;&gt;"",E25&lt;=TODAY()),IF(F25&gt;0,"Left, still has access","Left"),"Active"))</f>
        <v/>
      </c>
      <c r="I25" s="1" t="n"/>
    </row>
    <row r="26">
      <c r="A26" s="1" t="n"/>
      <c r="B26" s="20" t="n"/>
      <c r="C26" s="21" t="n"/>
      <c r="D26" s="25" t="n"/>
      <c r="E26" s="25" t="n"/>
      <c r="F26" s="26">
        <f>IF(B26="","",SUMIFS(Access!$G$6:$G$405,Access!$B$6:$B$405,B26))</f>
        <v/>
      </c>
      <c r="G26" s="13">
        <f>IF(B26="","",SUMIFS(Access!$J$6:$J$405,Access!$B$6:$B$405,B26))</f>
        <v/>
      </c>
      <c r="H26" s="14">
        <f>IF(B26="","",IF(AND(E26&lt;&gt;"",E26&lt;=TODAY()),IF(F26&gt;0,"Left, still has access","Left"),"Active"))</f>
        <v/>
      </c>
      <c r="I26" s="1" t="n"/>
    </row>
    <row r="27">
      <c r="A27" s="1" t="n"/>
      <c r="B27" s="20" t="n"/>
      <c r="C27" s="21" t="n"/>
      <c r="D27" s="25" t="n"/>
      <c r="E27" s="25" t="n"/>
      <c r="F27" s="26">
        <f>IF(B27="","",SUMIFS(Access!$G$6:$G$405,Access!$B$6:$B$405,B27))</f>
        <v/>
      </c>
      <c r="G27" s="13">
        <f>IF(B27="","",SUMIFS(Access!$J$6:$J$405,Access!$B$6:$B$405,B27))</f>
        <v/>
      </c>
      <c r="H27" s="14">
        <f>IF(B27="","",IF(AND(E27&lt;&gt;"",E27&lt;=TODAY()),IF(F27&gt;0,"Left, still has access","Left"),"Active"))</f>
        <v/>
      </c>
      <c r="I27" s="1" t="n"/>
    </row>
    <row r="28">
      <c r="A28" s="1" t="n"/>
      <c r="B28" s="20" t="n"/>
      <c r="C28" s="21" t="n"/>
      <c r="D28" s="25" t="n"/>
      <c r="E28" s="25" t="n"/>
      <c r="F28" s="26">
        <f>IF(B28="","",SUMIFS(Access!$G$6:$G$405,Access!$B$6:$B$405,B28))</f>
        <v/>
      </c>
      <c r="G28" s="13">
        <f>IF(B28="","",SUMIFS(Access!$J$6:$J$405,Access!$B$6:$B$405,B28))</f>
        <v/>
      </c>
      <c r="H28" s="14">
        <f>IF(B28="","",IF(AND(E28&lt;&gt;"",E28&lt;=TODAY()),IF(F28&gt;0,"Left, still has access","Left"),"Active"))</f>
        <v/>
      </c>
      <c r="I28" s="1" t="n"/>
    </row>
    <row r="29">
      <c r="A29" s="1" t="n"/>
      <c r="B29" s="20" t="n"/>
      <c r="C29" s="21" t="n"/>
      <c r="D29" s="25" t="n"/>
      <c r="E29" s="25" t="n"/>
      <c r="F29" s="26">
        <f>IF(B29="","",SUMIFS(Access!$G$6:$G$405,Access!$B$6:$B$405,B29))</f>
        <v/>
      </c>
      <c r="G29" s="13">
        <f>IF(B29="","",SUMIFS(Access!$J$6:$J$405,Access!$B$6:$B$405,B29))</f>
        <v/>
      </c>
      <c r="H29" s="14">
        <f>IF(B29="","",IF(AND(E29&lt;&gt;"",E29&lt;=TODAY()),IF(F29&gt;0,"Left, still has access","Left"),"Active"))</f>
        <v/>
      </c>
      <c r="I29" s="1" t="n"/>
    </row>
    <row r="30">
      <c r="A30" s="1" t="n"/>
      <c r="B30" s="20" t="n"/>
      <c r="C30" s="21" t="n"/>
      <c r="D30" s="25" t="n"/>
      <c r="E30" s="25" t="n"/>
      <c r="F30" s="26">
        <f>IF(B30="","",SUMIFS(Access!$G$6:$G$405,Access!$B$6:$B$405,B30))</f>
        <v/>
      </c>
      <c r="G30" s="13">
        <f>IF(B30="","",SUMIFS(Access!$J$6:$J$405,Access!$B$6:$B$405,B30))</f>
        <v/>
      </c>
      <c r="H30" s="14">
        <f>IF(B30="","",IF(AND(E30&lt;&gt;"",E30&lt;=TODAY()),IF(F30&gt;0,"Left, still has access","Left"),"Active"))</f>
        <v/>
      </c>
      <c r="I30" s="1" t="n"/>
    </row>
    <row r="31">
      <c r="A31" s="1" t="n"/>
      <c r="B31" s="20" t="n"/>
      <c r="C31" s="21" t="n"/>
      <c r="D31" s="25" t="n"/>
      <c r="E31" s="25" t="n"/>
      <c r="F31" s="26">
        <f>IF(B31="","",SUMIFS(Access!$G$6:$G$405,Access!$B$6:$B$405,B31))</f>
        <v/>
      </c>
      <c r="G31" s="13">
        <f>IF(B31="","",SUMIFS(Access!$J$6:$J$405,Access!$B$6:$B$405,B31))</f>
        <v/>
      </c>
      <c r="H31" s="14">
        <f>IF(B31="","",IF(AND(E31&lt;&gt;"",E31&lt;=TODAY()),IF(F31&gt;0,"Left, still has access","Left"),"Active"))</f>
        <v/>
      </c>
      <c r="I31" s="1" t="n"/>
    </row>
    <row r="32">
      <c r="A32" s="1" t="n"/>
      <c r="B32" s="20" t="n"/>
      <c r="C32" s="21" t="n"/>
      <c r="D32" s="25" t="n"/>
      <c r="E32" s="25" t="n"/>
      <c r="F32" s="26">
        <f>IF(B32="","",SUMIFS(Access!$G$6:$G$405,Access!$B$6:$B$405,B32))</f>
        <v/>
      </c>
      <c r="G32" s="13">
        <f>IF(B32="","",SUMIFS(Access!$J$6:$J$405,Access!$B$6:$B$405,B32))</f>
        <v/>
      </c>
      <c r="H32" s="14">
        <f>IF(B32="","",IF(AND(E32&lt;&gt;"",E32&lt;=TODAY()),IF(F32&gt;0,"Left, still has access","Left"),"Active"))</f>
        <v/>
      </c>
      <c r="I32" s="1" t="n"/>
    </row>
    <row r="33">
      <c r="A33" s="1" t="n"/>
      <c r="B33" s="20" t="n"/>
      <c r="C33" s="21" t="n"/>
      <c r="D33" s="25" t="n"/>
      <c r="E33" s="25" t="n"/>
      <c r="F33" s="26">
        <f>IF(B33="","",SUMIFS(Access!$G$6:$G$405,Access!$B$6:$B$405,B33))</f>
        <v/>
      </c>
      <c r="G33" s="13">
        <f>IF(B33="","",SUMIFS(Access!$J$6:$J$405,Access!$B$6:$B$405,B33))</f>
        <v/>
      </c>
      <c r="H33" s="14">
        <f>IF(B33="","",IF(AND(E33&lt;&gt;"",E33&lt;=TODAY()),IF(F33&gt;0,"Left, still has access","Left"),"Active"))</f>
        <v/>
      </c>
      <c r="I33" s="1" t="n"/>
    </row>
    <row r="34">
      <c r="A34" s="1" t="n"/>
      <c r="B34" s="20" t="n"/>
      <c r="C34" s="21" t="n"/>
      <c r="D34" s="25" t="n"/>
      <c r="E34" s="25" t="n"/>
      <c r="F34" s="26">
        <f>IF(B34="","",SUMIFS(Access!$G$6:$G$405,Access!$B$6:$B$405,B34))</f>
        <v/>
      </c>
      <c r="G34" s="13">
        <f>IF(B34="","",SUMIFS(Access!$J$6:$J$405,Access!$B$6:$B$405,B34))</f>
        <v/>
      </c>
      <c r="H34" s="14">
        <f>IF(B34="","",IF(AND(E34&lt;&gt;"",E34&lt;=TODAY()),IF(F34&gt;0,"Left, still has access","Left"),"Active"))</f>
        <v/>
      </c>
      <c r="I34" s="1" t="n"/>
    </row>
    <row r="35">
      <c r="A35" s="1" t="n"/>
      <c r="B35" s="20" t="n"/>
      <c r="C35" s="21" t="n"/>
      <c r="D35" s="25" t="n"/>
      <c r="E35" s="25" t="n"/>
      <c r="F35" s="26">
        <f>IF(B35="","",SUMIFS(Access!$G$6:$G$405,Access!$B$6:$B$405,B35))</f>
        <v/>
      </c>
      <c r="G35" s="13">
        <f>IF(B35="","",SUMIFS(Access!$J$6:$J$405,Access!$B$6:$B$405,B35))</f>
        <v/>
      </c>
      <c r="H35" s="14">
        <f>IF(B35="","",IF(AND(E35&lt;&gt;"",E35&lt;=TODAY()),IF(F35&gt;0,"Left, still has access","Left"),"Active"))</f>
        <v/>
      </c>
      <c r="I35" s="1" t="n"/>
    </row>
    <row r="36">
      <c r="A36" s="1" t="n"/>
      <c r="B36" s="20" t="n"/>
      <c r="C36" s="21" t="n"/>
      <c r="D36" s="25" t="n"/>
      <c r="E36" s="25" t="n"/>
      <c r="F36" s="26">
        <f>IF(B36="","",SUMIFS(Access!$G$6:$G$405,Access!$B$6:$B$405,B36))</f>
        <v/>
      </c>
      <c r="G36" s="13">
        <f>IF(B36="","",SUMIFS(Access!$J$6:$J$405,Access!$B$6:$B$405,B36))</f>
        <v/>
      </c>
      <c r="H36" s="14">
        <f>IF(B36="","",IF(AND(E36&lt;&gt;"",E36&lt;=TODAY()),IF(F36&gt;0,"Left, still has access","Left"),"Active"))</f>
        <v/>
      </c>
      <c r="I36" s="1" t="n"/>
    </row>
    <row r="37">
      <c r="A37" s="1" t="n"/>
      <c r="B37" s="20" t="n"/>
      <c r="C37" s="21" t="n"/>
      <c r="D37" s="25" t="n"/>
      <c r="E37" s="25" t="n"/>
      <c r="F37" s="26">
        <f>IF(B37="","",SUMIFS(Access!$G$6:$G$405,Access!$B$6:$B$405,B37))</f>
        <v/>
      </c>
      <c r="G37" s="13">
        <f>IF(B37="","",SUMIFS(Access!$J$6:$J$405,Access!$B$6:$B$405,B37))</f>
        <v/>
      </c>
      <c r="H37" s="14">
        <f>IF(B37="","",IF(AND(E37&lt;&gt;"",E37&lt;=TODAY()),IF(F37&gt;0,"Left, still has access","Left"),"Active"))</f>
        <v/>
      </c>
      <c r="I37" s="1" t="n"/>
    </row>
    <row r="38">
      <c r="A38" s="1" t="n"/>
      <c r="B38" s="20" t="n"/>
      <c r="C38" s="21" t="n"/>
      <c r="D38" s="25" t="n"/>
      <c r="E38" s="25" t="n"/>
      <c r="F38" s="26">
        <f>IF(B38="","",SUMIFS(Access!$G$6:$G$405,Access!$B$6:$B$405,B38))</f>
        <v/>
      </c>
      <c r="G38" s="13">
        <f>IF(B38="","",SUMIFS(Access!$J$6:$J$405,Access!$B$6:$B$405,B38))</f>
        <v/>
      </c>
      <c r="H38" s="14">
        <f>IF(B38="","",IF(AND(E38&lt;&gt;"",E38&lt;=TODAY()),IF(F38&gt;0,"Left, still has access","Left"),"Active"))</f>
        <v/>
      </c>
      <c r="I38" s="1" t="n"/>
    </row>
    <row r="39">
      <c r="A39" s="1" t="n"/>
      <c r="B39" s="20" t="n"/>
      <c r="C39" s="21" t="n"/>
      <c r="D39" s="25" t="n"/>
      <c r="E39" s="25" t="n"/>
      <c r="F39" s="26">
        <f>IF(B39="","",SUMIFS(Access!$G$6:$G$405,Access!$B$6:$B$405,B39))</f>
        <v/>
      </c>
      <c r="G39" s="13">
        <f>IF(B39="","",SUMIFS(Access!$J$6:$J$405,Access!$B$6:$B$405,B39))</f>
        <v/>
      </c>
      <c r="H39" s="14">
        <f>IF(B39="","",IF(AND(E39&lt;&gt;"",E39&lt;=TODAY()),IF(F39&gt;0,"Left, still has access","Left"),"Active"))</f>
        <v/>
      </c>
      <c r="I39" s="1" t="n"/>
    </row>
    <row r="40">
      <c r="A40" s="1" t="n"/>
      <c r="B40" s="20" t="n"/>
      <c r="C40" s="21" t="n"/>
      <c r="D40" s="25" t="n"/>
      <c r="E40" s="25" t="n"/>
      <c r="F40" s="26">
        <f>IF(B40="","",SUMIFS(Access!$G$6:$G$405,Access!$B$6:$B$405,B40))</f>
        <v/>
      </c>
      <c r="G40" s="13">
        <f>IF(B40="","",SUMIFS(Access!$J$6:$J$405,Access!$B$6:$B$405,B40))</f>
        <v/>
      </c>
      <c r="H40" s="14">
        <f>IF(B40="","",IF(AND(E40&lt;&gt;"",E40&lt;=TODAY()),IF(F40&gt;0,"Left, still has access","Left"),"Active"))</f>
        <v/>
      </c>
      <c r="I40" s="1" t="n"/>
    </row>
    <row r="41">
      <c r="A41" s="1" t="n"/>
      <c r="B41" s="20" t="n"/>
      <c r="C41" s="21" t="n"/>
      <c r="D41" s="25" t="n"/>
      <c r="E41" s="25" t="n"/>
      <c r="F41" s="26">
        <f>IF(B41="","",SUMIFS(Access!$G$6:$G$405,Access!$B$6:$B$405,B41))</f>
        <v/>
      </c>
      <c r="G41" s="13">
        <f>IF(B41="","",SUMIFS(Access!$J$6:$J$405,Access!$B$6:$B$405,B41))</f>
        <v/>
      </c>
      <c r="H41" s="14">
        <f>IF(B41="","",IF(AND(E41&lt;&gt;"",E41&lt;=TODAY()),IF(F41&gt;0,"Left, still has access","Left"),"Active"))</f>
        <v/>
      </c>
      <c r="I41" s="1" t="n"/>
    </row>
    <row r="42">
      <c r="A42" s="1" t="n"/>
      <c r="B42" s="20" t="n"/>
      <c r="C42" s="21" t="n"/>
      <c r="D42" s="25" t="n"/>
      <c r="E42" s="25" t="n"/>
      <c r="F42" s="26">
        <f>IF(B42="","",SUMIFS(Access!$G$6:$G$405,Access!$B$6:$B$405,B42))</f>
        <v/>
      </c>
      <c r="G42" s="13">
        <f>IF(B42="","",SUMIFS(Access!$J$6:$J$405,Access!$B$6:$B$405,B42))</f>
        <v/>
      </c>
      <c r="H42" s="14">
        <f>IF(B42="","",IF(AND(E42&lt;&gt;"",E42&lt;=TODAY()),IF(F42&gt;0,"Left, still has access","Left"),"Active"))</f>
        <v/>
      </c>
      <c r="I42" s="1" t="n"/>
    </row>
    <row r="43">
      <c r="A43" s="1" t="n"/>
      <c r="B43" s="20" t="n"/>
      <c r="C43" s="21" t="n"/>
      <c r="D43" s="25" t="n"/>
      <c r="E43" s="25" t="n"/>
      <c r="F43" s="26">
        <f>IF(B43="","",SUMIFS(Access!$G$6:$G$405,Access!$B$6:$B$405,B43))</f>
        <v/>
      </c>
      <c r="G43" s="13">
        <f>IF(B43="","",SUMIFS(Access!$J$6:$J$405,Access!$B$6:$B$405,B43))</f>
        <v/>
      </c>
      <c r="H43" s="14">
        <f>IF(B43="","",IF(AND(E43&lt;&gt;"",E43&lt;=TODAY()),IF(F43&gt;0,"Left, still has access","Left"),"Active"))</f>
        <v/>
      </c>
      <c r="I43" s="1" t="n"/>
    </row>
    <row r="44">
      <c r="A44" s="1" t="n"/>
      <c r="B44" s="20" t="n"/>
      <c r="C44" s="21" t="n"/>
      <c r="D44" s="25" t="n"/>
      <c r="E44" s="25" t="n"/>
      <c r="F44" s="26">
        <f>IF(B44="","",SUMIFS(Access!$G$6:$G$405,Access!$B$6:$B$405,B44))</f>
        <v/>
      </c>
      <c r="G44" s="13">
        <f>IF(B44="","",SUMIFS(Access!$J$6:$J$405,Access!$B$6:$B$405,B44))</f>
        <v/>
      </c>
      <c r="H44" s="14">
        <f>IF(B44="","",IF(AND(E44&lt;&gt;"",E44&lt;=TODAY()),IF(F44&gt;0,"Left, still has access","Left"),"Active"))</f>
        <v/>
      </c>
      <c r="I44" s="1" t="n"/>
    </row>
    <row r="45">
      <c r="A45" s="1" t="n"/>
      <c r="B45" s="20" t="n"/>
      <c r="C45" s="21" t="n"/>
      <c r="D45" s="25" t="n"/>
      <c r="E45" s="25" t="n"/>
      <c r="F45" s="26">
        <f>IF(B45="","",SUMIFS(Access!$G$6:$G$405,Access!$B$6:$B$405,B45))</f>
        <v/>
      </c>
      <c r="G45" s="13">
        <f>IF(B45="","",SUMIFS(Access!$J$6:$J$405,Access!$B$6:$B$405,B45))</f>
        <v/>
      </c>
      <c r="H45" s="14">
        <f>IF(B45="","",IF(AND(E45&lt;&gt;"",E45&lt;=TODAY()),IF(F45&gt;0,"Left, still has access","Left"),"Active"))</f>
        <v/>
      </c>
      <c r="I45" s="1" t="n"/>
    </row>
    <row r="46">
      <c r="A46" s="1" t="n"/>
      <c r="B46" s="20" t="n"/>
      <c r="C46" s="21" t="n"/>
      <c r="D46" s="25" t="n"/>
      <c r="E46" s="25" t="n"/>
      <c r="F46" s="26">
        <f>IF(B46="","",SUMIFS(Access!$G$6:$G$405,Access!$B$6:$B$405,B46))</f>
        <v/>
      </c>
      <c r="G46" s="13">
        <f>IF(B46="","",SUMIFS(Access!$J$6:$J$405,Access!$B$6:$B$405,B46))</f>
        <v/>
      </c>
      <c r="H46" s="14">
        <f>IF(B46="","",IF(AND(E46&lt;&gt;"",E46&lt;=TODAY()),IF(F46&gt;0,"Left, still has access","Left"),"Active"))</f>
        <v/>
      </c>
      <c r="I46" s="1" t="n"/>
    </row>
    <row r="47">
      <c r="A47" s="1" t="n"/>
      <c r="B47" s="20" t="n"/>
      <c r="C47" s="21" t="n"/>
      <c r="D47" s="25" t="n"/>
      <c r="E47" s="25" t="n"/>
      <c r="F47" s="26">
        <f>IF(B47="","",SUMIFS(Access!$G$6:$G$405,Access!$B$6:$B$405,B47))</f>
        <v/>
      </c>
      <c r="G47" s="13">
        <f>IF(B47="","",SUMIFS(Access!$J$6:$J$405,Access!$B$6:$B$405,B47))</f>
        <v/>
      </c>
      <c r="H47" s="14">
        <f>IF(B47="","",IF(AND(E47&lt;&gt;"",E47&lt;=TODAY()),IF(F47&gt;0,"Left, still has access","Left"),"Active"))</f>
        <v/>
      </c>
      <c r="I47" s="1" t="n"/>
    </row>
    <row r="48">
      <c r="A48" s="1" t="n"/>
      <c r="B48" s="20" t="n"/>
      <c r="C48" s="21" t="n"/>
      <c r="D48" s="25" t="n"/>
      <c r="E48" s="25" t="n"/>
      <c r="F48" s="26">
        <f>IF(B48="","",SUMIFS(Access!$G$6:$G$405,Access!$B$6:$B$405,B48))</f>
        <v/>
      </c>
      <c r="G48" s="13">
        <f>IF(B48="","",SUMIFS(Access!$J$6:$J$405,Access!$B$6:$B$405,B48))</f>
        <v/>
      </c>
      <c r="H48" s="14">
        <f>IF(B48="","",IF(AND(E48&lt;&gt;"",E48&lt;=TODAY()),IF(F48&gt;0,"Left, still has access","Left"),"Active"))</f>
        <v/>
      </c>
      <c r="I48" s="1" t="n"/>
    </row>
    <row r="49">
      <c r="A49" s="1" t="n"/>
      <c r="B49" s="20" t="n"/>
      <c r="C49" s="21" t="n"/>
      <c r="D49" s="25" t="n"/>
      <c r="E49" s="25" t="n"/>
      <c r="F49" s="26">
        <f>IF(B49="","",SUMIFS(Access!$G$6:$G$405,Access!$B$6:$B$405,B49))</f>
        <v/>
      </c>
      <c r="G49" s="13">
        <f>IF(B49="","",SUMIFS(Access!$J$6:$J$405,Access!$B$6:$B$405,B49))</f>
        <v/>
      </c>
      <c r="H49" s="14">
        <f>IF(B49="","",IF(AND(E49&lt;&gt;"",E49&lt;=TODAY()),IF(F49&gt;0,"Left, still has access","Left"),"Active"))</f>
        <v/>
      </c>
      <c r="I49" s="1" t="n"/>
    </row>
    <row r="50">
      <c r="A50" s="1" t="n"/>
      <c r="B50" s="20" t="n"/>
      <c r="C50" s="21" t="n"/>
      <c r="D50" s="25" t="n"/>
      <c r="E50" s="25" t="n"/>
      <c r="F50" s="26">
        <f>IF(B50="","",SUMIFS(Access!$G$6:$G$405,Access!$B$6:$B$405,B50))</f>
        <v/>
      </c>
      <c r="G50" s="13">
        <f>IF(B50="","",SUMIFS(Access!$J$6:$J$405,Access!$B$6:$B$405,B50))</f>
        <v/>
      </c>
      <c r="H50" s="14">
        <f>IF(B50="","",IF(AND(E50&lt;&gt;"",E50&lt;=TODAY()),IF(F50&gt;0,"Left, still has access","Left"),"Active"))</f>
        <v/>
      </c>
      <c r="I50" s="1" t="n"/>
    </row>
    <row r="51">
      <c r="A51" s="1" t="n"/>
      <c r="B51" s="20" t="n"/>
      <c r="C51" s="21" t="n"/>
      <c r="D51" s="25" t="n"/>
      <c r="E51" s="25" t="n"/>
      <c r="F51" s="26">
        <f>IF(B51="","",SUMIFS(Access!$G$6:$G$405,Access!$B$6:$B$405,B51))</f>
        <v/>
      </c>
      <c r="G51" s="13">
        <f>IF(B51="","",SUMIFS(Access!$J$6:$J$405,Access!$B$6:$B$405,B51))</f>
        <v/>
      </c>
      <c r="H51" s="14">
        <f>IF(B51="","",IF(AND(E51&lt;&gt;"",E51&lt;=TODAY()),IF(F51&gt;0,"Left, still has access","Left"),"Active"))</f>
        <v/>
      </c>
      <c r="I51" s="1" t="n"/>
    </row>
    <row r="52">
      <c r="A52" s="1" t="n"/>
      <c r="B52" s="20" t="n"/>
      <c r="C52" s="21" t="n"/>
      <c r="D52" s="25" t="n"/>
      <c r="E52" s="25" t="n"/>
      <c r="F52" s="26">
        <f>IF(B52="","",SUMIFS(Access!$G$6:$G$405,Access!$B$6:$B$405,B52))</f>
        <v/>
      </c>
      <c r="G52" s="13">
        <f>IF(B52="","",SUMIFS(Access!$J$6:$J$405,Access!$B$6:$B$405,B52))</f>
        <v/>
      </c>
      <c r="H52" s="14">
        <f>IF(B52="","",IF(AND(E52&lt;&gt;"",E52&lt;=TODAY()),IF(F52&gt;0,"Left, still has access","Left"),"Active"))</f>
        <v/>
      </c>
      <c r="I52" s="1" t="n"/>
    </row>
    <row r="53">
      <c r="A53" s="1" t="n"/>
      <c r="B53" s="20" t="n"/>
      <c r="C53" s="21" t="n"/>
      <c r="D53" s="25" t="n"/>
      <c r="E53" s="25" t="n"/>
      <c r="F53" s="26">
        <f>IF(B53="","",SUMIFS(Access!$G$6:$G$405,Access!$B$6:$B$405,B53))</f>
        <v/>
      </c>
      <c r="G53" s="13">
        <f>IF(B53="","",SUMIFS(Access!$J$6:$J$405,Access!$B$6:$B$405,B53))</f>
        <v/>
      </c>
      <c r="H53" s="14">
        <f>IF(B53="","",IF(AND(E53&lt;&gt;"",E53&lt;=TODAY()),IF(F53&gt;0,"Left, still has access","Left"),"Active"))</f>
        <v/>
      </c>
      <c r="I53" s="1" t="n"/>
    </row>
    <row r="54">
      <c r="A54" s="1" t="n"/>
      <c r="B54" s="20" t="n"/>
      <c r="C54" s="21" t="n"/>
      <c r="D54" s="25" t="n"/>
      <c r="E54" s="25" t="n"/>
      <c r="F54" s="26">
        <f>IF(B54="","",SUMIFS(Access!$G$6:$G$405,Access!$B$6:$B$405,B54))</f>
        <v/>
      </c>
      <c r="G54" s="13">
        <f>IF(B54="","",SUMIFS(Access!$J$6:$J$405,Access!$B$6:$B$405,B54))</f>
        <v/>
      </c>
      <c r="H54" s="14">
        <f>IF(B54="","",IF(AND(E54&lt;&gt;"",E54&lt;=TODAY()),IF(F54&gt;0,"Left, still has access","Left"),"Active"))</f>
        <v/>
      </c>
      <c r="I54" s="1" t="n"/>
    </row>
    <row r="55">
      <c r="A55" s="1" t="n"/>
      <c r="B55" s="20" t="n"/>
      <c r="C55" s="21" t="n"/>
      <c r="D55" s="25" t="n"/>
      <c r="E55" s="25" t="n"/>
      <c r="F55" s="26">
        <f>IF(B55="","",SUMIFS(Access!$G$6:$G$405,Access!$B$6:$B$405,B55))</f>
        <v/>
      </c>
      <c r="G55" s="13">
        <f>IF(B55="","",SUMIFS(Access!$J$6:$J$405,Access!$B$6:$B$405,B55))</f>
        <v/>
      </c>
      <c r="H55" s="14">
        <f>IF(B55="","",IF(AND(E55&lt;&gt;"",E55&lt;=TODAY()),IF(F55&gt;0,"Left, still has access","Left"),"Active"))</f>
        <v/>
      </c>
      <c r="I55" s="1" t="n"/>
    </row>
    <row r="56">
      <c r="A56" s="1" t="n"/>
      <c r="B56" s="20" t="n"/>
      <c r="C56" s="21" t="n"/>
      <c r="D56" s="25" t="n"/>
      <c r="E56" s="25" t="n"/>
      <c r="F56" s="26">
        <f>IF(B56="","",SUMIFS(Access!$G$6:$G$405,Access!$B$6:$B$405,B56))</f>
        <v/>
      </c>
      <c r="G56" s="13">
        <f>IF(B56="","",SUMIFS(Access!$J$6:$J$405,Access!$B$6:$B$405,B56))</f>
        <v/>
      </c>
      <c r="H56" s="14">
        <f>IF(B56="","",IF(AND(E56&lt;&gt;"",E56&lt;=TODAY()),IF(F56&gt;0,"Left, still has access","Left"),"Active"))</f>
        <v/>
      </c>
      <c r="I56" s="1" t="n"/>
    </row>
    <row r="57">
      <c r="A57" s="1" t="n"/>
      <c r="B57" s="20" t="n"/>
      <c r="C57" s="21" t="n"/>
      <c r="D57" s="25" t="n"/>
      <c r="E57" s="25" t="n"/>
      <c r="F57" s="26">
        <f>IF(B57="","",SUMIFS(Access!$G$6:$G$405,Access!$B$6:$B$405,B57))</f>
        <v/>
      </c>
      <c r="G57" s="13">
        <f>IF(B57="","",SUMIFS(Access!$J$6:$J$405,Access!$B$6:$B$405,B57))</f>
        <v/>
      </c>
      <c r="H57" s="14">
        <f>IF(B57="","",IF(AND(E57&lt;&gt;"",E57&lt;=TODAY()),IF(F57&gt;0,"Left, still has access","Left"),"Active"))</f>
        <v/>
      </c>
      <c r="I57" s="1" t="n"/>
    </row>
    <row r="58">
      <c r="A58" s="1" t="n"/>
      <c r="B58" s="20" t="n"/>
      <c r="C58" s="21" t="n"/>
      <c r="D58" s="25" t="n"/>
      <c r="E58" s="25" t="n"/>
      <c r="F58" s="26">
        <f>IF(B58="","",SUMIFS(Access!$G$6:$G$405,Access!$B$6:$B$405,B58))</f>
        <v/>
      </c>
      <c r="G58" s="13">
        <f>IF(B58="","",SUMIFS(Access!$J$6:$J$405,Access!$B$6:$B$405,B58))</f>
        <v/>
      </c>
      <c r="H58" s="14">
        <f>IF(B58="","",IF(AND(E58&lt;&gt;"",E58&lt;=TODAY()),IF(F58&gt;0,"Left, still has access","Left"),"Active"))</f>
        <v/>
      </c>
      <c r="I58" s="1" t="n"/>
    </row>
    <row r="59">
      <c r="A59" s="1" t="n"/>
      <c r="B59" s="20" t="n"/>
      <c r="C59" s="21" t="n"/>
      <c r="D59" s="25" t="n"/>
      <c r="E59" s="25" t="n"/>
      <c r="F59" s="26">
        <f>IF(B59="","",SUMIFS(Access!$G$6:$G$405,Access!$B$6:$B$405,B59))</f>
        <v/>
      </c>
      <c r="G59" s="13">
        <f>IF(B59="","",SUMIFS(Access!$J$6:$J$405,Access!$B$6:$B$405,B59))</f>
        <v/>
      </c>
      <c r="H59" s="14">
        <f>IF(B59="","",IF(AND(E59&lt;&gt;"",E59&lt;=TODAY()),IF(F59&gt;0,"Left, still has access","Left"),"Active"))</f>
        <v/>
      </c>
      <c r="I59" s="1" t="n"/>
    </row>
    <row r="60">
      <c r="A60" s="1" t="n"/>
      <c r="B60" s="20" t="n"/>
      <c r="C60" s="21" t="n"/>
      <c r="D60" s="25" t="n"/>
      <c r="E60" s="25" t="n"/>
      <c r="F60" s="26">
        <f>IF(B60="","",SUMIFS(Access!$G$6:$G$405,Access!$B$6:$B$405,B60))</f>
        <v/>
      </c>
      <c r="G60" s="13">
        <f>IF(B60="","",SUMIFS(Access!$J$6:$J$405,Access!$B$6:$B$405,B60))</f>
        <v/>
      </c>
      <c r="H60" s="14">
        <f>IF(B60="","",IF(AND(E60&lt;&gt;"",E60&lt;=TODAY()),IF(F60&gt;0,"Left, still has access","Left"),"Active"))</f>
        <v/>
      </c>
      <c r="I60" s="1" t="n"/>
    </row>
    <row r="61">
      <c r="A61" s="1" t="n"/>
      <c r="B61" s="20" t="n"/>
      <c r="C61" s="21" t="n"/>
      <c r="D61" s="25" t="n"/>
      <c r="E61" s="25" t="n"/>
      <c r="F61" s="26">
        <f>IF(B61="","",SUMIFS(Access!$G$6:$G$405,Access!$B$6:$B$405,B61))</f>
        <v/>
      </c>
      <c r="G61" s="13">
        <f>IF(B61="","",SUMIFS(Access!$J$6:$J$405,Access!$B$6:$B$405,B61))</f>
        <v/>
      </c>
      <c r="H61" s="14">
        <f>IF(B61="","",IF(AND(E61&lt;&gt;"",E61&lt;=TODAY()),IF(F61&gt;0,"Left, still has access","Left"),"Active"))</f>
        <v/>
      </c>
      <c r="I61" s="1" t="n"/>
    </row>
    <row r="62">
      <c r="A62" s="1" t="n"/>
      <c r="B62" s="20" t="n"/>
      <c r="C62" s="21" t="n"/>
      <c r="D62" s="25" t="n"/>
      <c r="E62" s="25" t="n"/>
      <c r="F62" s="26">
        <f>IF(B62="","",SUMIFS(Access!$G$6:$G$405,Access!$B$6:$B$405,B62))</f>
        <v/>
      </c>
      <c r="G62" s="13">
        <f>IF(B62="","",SUMIFS(Access!$J$6:$J$405,Access!$B$6:$B$405,B62))</f>
        <v/>
      </c>
      <c r="H62" s="14">
        <f>IF(B62="","",IF(AND(E62&lt;&gt;"",E62&lt;=TODAY()),IF(F62&gt;0,"Left, still has access","Left"),"Active"))</f>
        <v/>
      </c>
      <c r="I62" s="1" t="n"/>
    </row>
    <row r="63">
      <c r="A63" s="1" t="n"/>
      <c r="B63" s="20" t="n"/>
      <c r="C63" s="21" t="n"/>
      <c r="D63" s="25" t="n"/>
      <c r="E63" s="25" t="n"/>
      <c r="F63" s="26">
        <f>IF(B63="","",SUMIFS(Access!$G$6:$G$405,Access!$B$6:$B$405,B63))</f>
        <v/>
      </c>
      <c r="G63" s="13">
        <f>IF(B63="","",SUMIFS(Access!$J$6:$J$405,Access!$B$6:$B$405,B63))</f>
        <v/>
      </c>
      <c r="H63" s="14">
        <f>IF(B63="","",IF(AND(E63&lt;&gt;"",E63&lt;=TODAY()),IF(F63&gt;0,"Left, still has access","Left"),"Active"))</f>
        <v/>
      </c>
      <c r="I63" s="1" t="n"/>
    </row>
    <row r="64">
      <c r="A64" s="1" t="n"/>
      <c r="B64" s="20" t="n"/>
      <c r="C64" s="21" t="n"/>
      <c r="D64" s="25" t="n"/>
      <c r="E64" s="25" t="n"/>
      <c r="F64" s="26">
        <f>IF(B64="","",SUMIFS(Access!$G$6:$G$405,Access!$B$6:$B$405,B64))</f>
        <v/>
      </c>
      <c r="G64" s="13">
        <f>IF(B64="","",SUMIFS(Access!$J$6:$J$405,Access!$B$6:$B$405,B64))</f>
        <v/>
      </c>
      <c r="H64" s="14">
        <f>IF(B64="","",IF(AND(E64&lt;&gt;"",E64&lt;=TODAY()),IF(F64&gt;0,"Left, still has access","Left"),"Active"))</f>
        <v/>
      </c>
      <c r="I64" s="1" t="n"/>
    </row>
    <row r="65">
      <c r="A65" s="1" t="n"/>
      <c r="B65" s="20" t="n"/>
      <c r="C65" s="21" t="n"/>
      <c r="D65" s="25" t="n"/>
      <c r="E65" s="25" t="n"/>
      <c r="F65" s="26">
        <f>IF(B65="","",SUMIFS(Access!$G$6:$G$405,Access!$B$6:$B$405,B65))</f>
        <v/>
      </c>
      <c r="G65" s="13">
        <f>IF(B65="","",SUMIFS(Access!$J$6:$J$405,Access!$B$6:$B$405,B65))</f>
        <v/>
      </c>
      <c r="H65" s="14">
        <f>IF(B65="","",IF(AND(E65&lt;&gt;"",E65&lt;=TODAY()),IF(F65&gt;0,"Left, still has access","Left"),"Active"))</f>
        <v/>
      </c>
      <c r="I65" s="1" t="n"/>
    </row>
    <row r="66">
      <c r="A66" s="1" t="n"/>
      <c r="B66" s="20" t="n"/>
      <c r="C66" s="21" t="n"/>
      <c r="D66" s="25" t="n"/>
      <c r="E66" s="25" t="n"/>
      <c r="F66" s="26">
        <f>IF(B66="","",SUMIFS(Access!$G$6:$G$405,Access!$B$6:$B$405,B66))</f>
        <v/>
      </c>
      <c r="G66" s="13">
        <f>IF(B66="","",SUMIFS(Access!$J$6:$J$405,Access!$B$6:$B$405,B66))</f>
        <v/>
      </c>
      <c r="H66" s="14">
        <f>IF(B66="","",IF(AND(E66&lt;&gt;"",E66&lt;=TODAY()),IF(F66&gt;0,"Left, still has access","Left"),"Active"))</f>
        <v/>
      </c>
      <c r="I66" s="1" t="n"/>
    </row>
    <row r="67">
      <c r="A67" s="1" t="n"/>
      <c r="B67" s="20" t="n"/>
      <c r="C67" s="21" t="n"/>
      <c r="D67" s="25" t="n"/>
      <c r="E67" s="25" t="n"/>
      <c r="F67" s="26">
        <f>IF(B67="","",SUMIFS(Access!$G$6:$G$405,Access!$B$6:$B$405,B67))</f>
        <v/>
      </c>
      <c r="G67" s="13">
        <f>IF(B67="","",SUMIFS(Access!$J$6:$J$405,Access!$B$6:$B$405,B67))</f>
        <v/>
      </c>
      <c r="H67" s="14">
        <f>IF(B67="","",IF(AND(E67&lt;&gt;"",E67&lt;=TODAY()),IF(F67&gt;0,"Left, still has access","Left"),"Active"))</f>
        <v/>
      </c>
      <c r="I67" s="1" t="n"/>
    </row>
    <row r="68">
      <c r="A68" s="1" t="n"/>
      <c r="B68" s="20" t="n"/>
      <c r="C68" s="21" t="n"/>
      <c r="D68" s="25" t="n"/>
      <c r="E68" s="25" t="n"/>
      <c r="F68" s="26">
        <f>IF(B68="","",SUMIFS(Access!$G$6:$G$405,Access!$B$6:$B$405,B68))</f>
        <v/>
      </c>
      <c r="G68" s="13">
        <f>IF(B68="","",SUMIFS(Access!$J$6:$J$405,Access!$B$6:$B$405,B68))</f>
        <v/>
      </c>
      <c r="H68" s="14">
        <f>IF(B68="","",IF(AND(E68&lt;&gt;"",E68&lt;=TODAY()),IF(F68&gt;0,"Left, still has access","Left"),"Active"))</f>
        <v/>
      </c>
      <c r="I68" s="1" t="n"/>
    </row>
    <row r="69">
      <c r="A69" s="1" t="n"/>
      <c r="B69" s="20" t="n"/>
      <c r="C69" s="21" t="n"/>
      <c r="D69" s="25" t="n"/>
      <c r="E69" s="25" t="n"/>
      <c r="F69" s="26">
        <f>IF(B69="","",SUMIFS(Access!$G$6:$G$405,Access!$B$6:$B$405,B69))</f>
        <v/>
      </c>
      <c r="G69" s="13">
        <f>IF(B69="","",SUMIFS(Access!$J$6:$J$405,Access!$B$6:$B$405,B69))</f>
        <v/>
      </c>
      <c r="H69" s="14">
        <f>IF(B69="","",IF(AND(E69&lt;&gt;"",E69&lt;=TODAY()),IF(F69&gt;0,"Left, still has access","Left"),"Active"))</f>
        <v/>
      </c>
      <c r="I69" s="1" t="n"/>
    </row>
    <row r="70">
      <c r="A70" s="1" t="n"/>
      <c r="B70" s="20" t="n"/>
      <c r="C70" s="21" t="n"/>
      <c r="D70" s="25" t="n"/>
      <c r="E70" s="25" t="n"/>
      <c r="F70" s="26">
        <f>IF(B70="","",SUMIFS(Access!$G$6:$G$405,Access!$B$6:$B$405,B70))</f>
        <v/>
      </c>
      <c r="G70" s="13">
        <f>IF(B70="","",SUMIFS(Access!$J$6:$J$405,Access!$B$6:$B$405,B70))</f>
        <v/>
      </c>
      <c r="H70" s="14">
        <f>IF(B70="","",IF(AND(E70&lt;&gt;"",E70&lt;=TODAY()),IF(F70&gt;0,"Left, still has access","Left"),"Active"))</f>
        <v/>
      </c>
      <c r="I70" s="1" t="n"/>
    </row>
    <row r="71">
      <c r="A71" s="1" t="n"/>
      <c r="B71" s="20" t="n"/>
      <c r="C71" s="21" t="n"/>
      <c r="D71" s="25" t="n"/>
      <c r="E71" s="25" t="n"/>
      <c r="F71" s="26">
        <f>IF(B71="","",SUMIFS(Access!$G$6:$G$405,Access!$B$6:$B$405,B71))</f>
        <v/>
      </c>
      <c r="G71" s="13">
        <f>IF(B71="","",SUMIFS(Access!$J$6:$J$405,Access!$B$6:$B$405,B71))</f>
        <v/>
      </c>
      <c r="H71" s="14">
        <f>IF(B71="","",IF(AND(E71&lt;&gt;"",E71&lt;=TODAY()),IF(F71&gt;0,"Left, still has access","Left"),"Active"))</f>
        <v/>
      </c>
      <c r="I71" s="1" t="n"/>
    </row>
    <row r="72">
      <c r="A72" s="1" t="n"/>
      <c r="B72" s="20" t="n"/>
      <c r="C72" s="21" t="n"/>
      <c r="D72" s="25" t="n"/>
      <c r="E72" s="25" t="n"/>
      <c r="F72" s="26">
        <f>IF(B72="","",SUMIFS(Access!$G$6:$G$405,Access!$B$6:$B$405,B72))</f>
        <v/>
      </c>
      <c r="G72" s="13">
        <f>IF(B72="","",SUMIFS(Access!$J$6:$J$405,Access!$B$6:$B$405,B72))</f>
        <v/>
      </c>
      <c r="H72" s="14">
        <f>IF(B72="","",IF(AND(E72&lt;&gt;"",E72&lt;=TODAY()),IF(F72&gt;0,"Left, still has access","Left"),"Active"))</f>
        <v/>
      </c>
      <c r="I72" s="1" t="n"/>
    </row>
    <row r="73">
      <c r="A73" s="1" t="n"/>
      <c r="B73" s="20" t="n"/>
      <c r="C73" s="21" t="n"/>
      <c r="D73" s="25" t="n"/>
      <c r="E73" s="25" t="n"/>
      <c r="F73" s="26">
        <f>IF(B73="","",SUMIFS(Access!$G$6:$G$405,Access!$B$6:$B$405,B73))</f>
        <v/>
      </c>
      <c r="G73" s="13">
        <f>IF(B73="","",SUMIFS(Access!$J$6:$J$405,Access!$B$6:$B$405,B73))</f>
        <v/>
      </c>
      <c r="H73" s="14">
        <f>IF(B73="","",IF(AND(E73&lt;&gt;"",E73&lt;=TODAY()),IF(F73&gt;0,"Left, still has access","Left"),"Active"))</f>
        <v/>
      </c>
      <c r="I73" s="1" t="n"/>
    </row>
    <row r="74">
      <c r="A74" s="1" t="n"/>
      <c r="B74" s="20" t="n"/>
      <c r="C74" s="21" t="n"/>
      <c r="D74" s="25" t="n"/>
      <c r="E74" s="25" t="n"/>
      <c r="F74" s="26">
        <f>IF(B74="","",SUMIFS(Access!$G$6:$G$405,Access!$B$6:$B$405,B74))</f>
        <v/>
      </c>
      <c r="G74" s="13">
        <f>IF(B74="","",SUMIFS(Access!$J$6:$J$405,Access!$B$6:$B$405,B74))</f>
        <v/>
      </c>
      <c r="H74" s="14">
        <f>IF(B74="","",IF(AND(E74&lt;&gt;"",E74&lt;=TODAY()),IF(F74&gt;0,"Left, still has access","Left"),"Active"))</f>
        <v/>
      </c>
      <c r="I74" s="1" t="n"/>
    </row>
    <row r="75">
      <c r="A75" s="1" t="n"/>
      <c r="B75" s="20" t="n"/>
      <c r="C75" s="21" t="n"/>
      <c r="D75" s="25" t="n"/>
      <c r="E75" s="25" t="n"/>
      <c r="F75" s="26">
        <f>IF(B75="","",SUMIFS(Access!$G$6:$G$405,Access!$B$6:$B$405,B75))</f>
        <v/>
      </c>
      <c r="G75" s="13">
        <f>IF(B75="","",SUMIFS(Access!$J$6:$J$405,Access!$B$6:$B$405,B75))</f>
        <v/>
      </c>
      <c r="H75" s="14">
        <f>IF(B75="","",IF(AND(E75&lt;&gt;"",E75&lt;=TODAY()),IF(F75&gt;0,"Left, still has access","Left"),"Active"))</f>
        <v/>
      </c>
      <c r="I75" s="1" t="n"/>
    </row>
    <row r="76">
      <c r="A76" s="1" t="n"/>
      <c r="B76" s="20" t="n"/>
      <c r="C76" s="21" t="n"/>
      <c r="D76" s="25" t="n"/>
      <c r="E76" s="25" t="n"/>
      <c r="F76" s="26">
        <f>IF(B76="","",SUMIFS(Access!$G$6:$G$405,Access!$B$6:$B$405,B76))</f>
        <v/>
      </c>
      <c r="G76" s="13">
        <f>IF(B76="","",SUMIFS(Access!$J$6:$J$405,Access!$B$6:$B$405,B76))</f>
        <v/>
      </c>
      <c r="H76" s="14">
        <f>IF(B76="","",IF(AND(E76&lt;&gt;"",E76&lt;=TODAY()),IF(F76&gt;0,"Left, still has access","Left"),"Active"))</f>
        <v/>
      </c>
      <c r="I76" s="1" t="n"/>
    </row>
    <row r="77">
      <c r="A77" s="1" t="n"/>
      <c r="B77" s="20" t="n"/>
      <c r="C77" s="21" t="n"/>
      <c r="D77" s="25" t="n"/>
      <c r="E77" s="25" t="n"/>
      <c r="F77" s="26">
        <f>IF(B77="","",SUMIFS(Access!$G$6:$G$405,Access!$B$6:$B$405,B77))</f>
        <v/>
      </c>
      <c r="G77" s="13">
        <f>IF(B77="","",SUMIFS(Access!$J$6:$J$405,Access!$B$6:$B$405,B77))</f>
        <v/>
      </c>
      <c r="H77" s="14">
        <f>IF(B77="","",IF(AND(E77&lt;&gt;"",E77&lt;=TODAY()),IF(F77&gt;0,"Left, still has access","Left"),"Active"))</f>
        <v/>
      </c>
      <c r="I77" s="1" t="n"/>
    </row>
    <row r="78">
      <c r="A78" s="1" t="n"/>
      <c r="B78" s="20" t="n"/>
      <c r="C78" s="21" t="n"/>
      <c r="D78" s="25" t="n"/>
      <c r="E78" s="25" t="n"/>
      <c r="F78" s="26">
        <f>IF(B78="","",SUMIFS(Access!$G$6:$G$405,Access!$B$6:$B$405,B78))</f>
        <v/>
      </c>
      <c r="G78" s="13">
        <f>IF(B78="","",SUMIFS(Access!$J$6:$J$405,Access!$B$6:$B$405,B78))</f>
        <v/>
      </c>
      <c r="H78" s="14">
        <f>IF(B78="","",IF(AND(E78&lt;&gt;"",E78&lt;=TODAY()),IF(F78&gt;0,"Left, still has access","Left"),"Active"))</f>
        <v/>
      </c>
      <c r="I78" s="1" t="n"/>
    </row>
    <row r="79">
      <c r="A79" s="1" t="n"/>
      <c r="B79" s="20" t="n"/>
      <c r="C79" s="21" t="n"/>
      <c r="D79" s="25" t="n"/>
      <c r="E79" s="25" t="n"/>
      <c r="F79" s="26">
        <f>IF(B79="","",SUMIFS(Access!$G$6:$G$405,Access!$B$6:$B$405,B79))</f>
        <v/>
      </c>
      <c r="G79" s="13">
        <f>IF(B79="","",SUMIFS(Access!$J$6:$J$405,Access!$B$6:$B$405,B79))</f>
        <v/>
      </c>
      <c r="H79" s="14">
        <f>IF(B79="","",IF(AND(E79&lt;&gt;"",E79&lt;=TODAY()),IF(F79&gt;0,"Left, still has access","Left"),"Active"))</f>
        <v/>
      </c>
      <c r="I79" s="1" t="n"/>
    </row>
    <row r="80">
      <c r="A80" s="1" t="n"/>
      <c r="B80" s="20" t="n"/>
      <c r="C80" s="21" t="n"/>
      <c r="D80" s="25" t="n"/>
      <c r="E80" s="25" t="n"/>
      <c r="F80" s="26">
        <f>IF(B80="","",SUMIFS(Access!$G$6:$G$405,Access!$B$6:$B$405,B80))</f>
        <v/>
      </c>
      <c r="G80" s="13">
        <f>IF(B80="","",SUMIFS(Access!$J$6:$J$405,Access!$B$6:$B$405,B80))</f>
        <v/>
      </c>
      <c r="H80" s="14">
        <f>IF(B80="","",IF(AND(E80&lt;&gt;"",E80&lt;=TODAY()),IF(F80&gt;0,"Left, still has access","Left"),"Active"))</f>
        <v/>
      </c>
      <c r="I80" s="1" t="n"/>
    </row>
    <row r="81">
      <c r="A81" s="1" t="n"/>
      <c r="B81" s="20" t="n"/>
      <c r="C81" s="21" t="n"/>
      <c r="D81" s="25" t="n"/>
      <c r="E81" s="25" t="n"/>
      <c r="F81" s="26">
        <f>IF(B81="","",SUMIFS(Access!$G$6:$G$405,Access!$B$6:$B$405,B81))</f>
        <v/>
      </c>
      <c r="G81" s="13">
        <f>IF(B81="","",SUMIFS(Access!$J$6:$J$405,Access!$B$6:$B$405,B81))</f>
        <v/>
      </c>
      <c r="H81" s="14">
        <f>IF(B81="","",IF(AND(E81&lt;&gt;"",E81&lt;=TODAY()),IF(F81&gt;0,"Left, still has access","Left"),"Active"))</f>
        <v/>
      </c>
      <c r="I81" s="1" t="n"/>
    </row>
    <row r="82">
      <c r="A82" s="1" t="n"/>
      <c r="B82" s="20" t="n"/>
      <c r="C82" s="21" t="n"/>
      <c r="D82" s="25" t="n"/>
      <c r="E82" s="25" t="n"/>
      <c r="F82" s="26">
        <f>IF(B82="","",SUMIFS(Access!$G$6:$G$405,Access!$B$6:$B$405,B82))</f>
        <v/>
      </c>
      <c r="G82" s="13">
        <f>IF(B82="","",SUMIFS(Access!$J$6:$J$405,Access!$B$6:$B$405,B82))</f>
        <v/>
      </c>
      <c r="H82" s="14">
        <f>IF(B82="","",IF(AND(E82&lt;&gt;"",E82&lt;=TODAY()),IF(F82&gt;0,"Left, still has access","Left"),"Active"))</f>
        <v/>
      </c>
      <c r="I82" s="1" t="n"/>
    </row>
    <row r="83">
      <c r="A83" s="1" t="n"/>
      <c r="B83" s="20" t="n"/>
      <c r="C83" s="21" t="n"/>
      <c r="D83" s="25" t="n"/>
      <c r="E83" s="25" t="n"/>
      <c r="F83" s="26">
        <f>IF(B83="","",SUMIFS(Access!$G$6:$G$405,Access!$B$6:$B$405,B83))</f>
        <v/>
      </c>
      <c r="G83" s="13">
        <f>IF(B83="","",SUMIFS(Access!$J$6:$J$405,Access!$B$6:$B$405,B83))</f>
        <v/>
      </c>
      <c r="H83" s="14">
        <f>IF(B83="","",IF(AND(E83&lt;&gt;"",E83&lt;=TODAY()),IF(F83&gt;0,"Left, still has access","Left"),"Active"))</f>
        <v/>
      </c>
      <c r="I83" s="1" t="n"/>
    </row>
    <row r="84">
      <c r="A84" s="1" t="n"/>
      <c r="B84" s="20" t="n"/>
      <c r="C84" s="21" t="n"/>
      <c r="D84" s="25" t="n"/>
      <c r="E84" s="25" t="n"/>
      <c r="F84" s="26">
        <f>IF(B84="","",SUMIFS(Access!$G$6:$G$405,Access!$B$6:$B$405,B84))</f>
        <v/>
      </c>
      <c r="G84" s="13">
        <f>IF(B84="","",SUMIFS(Access!$J$6:$J$405,Access!$B$6:$B$405,B84))</f>
        <v/>
      </c>
      <c r="H84" s="14">
        <f>IF(B84="","",IF(AND(E84&lt;&gt;"",E84&lt;=TODAY()),IF(F84&gt;0,"Left, still has access","Left"),"Active"))</f>
        <v/>
      </c>
      <c r="I84" s="1" t="n"/>
    </row>
    <row r="85">
      <c r="A85" s="1" t="n"/>
      <c r="B85" s="20" t="n"/>
      <c r="C85" s="21" t="n"/>
      <c r="D85" s="25" t="n"/>
      <c r="E85" s="25" t="n"/>
      <c r="F85" s="26">
        <f>IF(B85="","",SUMIFS(Access!$G$6:$G$405,Access!$B$6:$B$405,B85))</f>
        <v/>
      </c>
      <c r="G85" s="13">
        <f>IF(B85="","",SUMIFS(Access!$J$6:$J$405,Access!$B$6:$B$405,B85))</f>
        <v/>
      </c>
      <c r="H85" s="14">
        <f>IF(B85="","",IF(AND(E85&lt;&gt;"",E85&lt;=TODAY()),IF(F85&gt;0,"Left, still has access","Left"),"Active"))</f>
        <v/>
      </c>
      <c r="I85" s="1" t="n"/>
    </row>
    <row r="86">
      <c r="A86" s="1" t="n"/>
      <c r="B86" s="20" t="n"/>
      <c r="C86" s="21" t="n"/>
      <c r="D86" s="25" t="n"/>
      <c r="E86" s="25" t="n"/>
      <c r="F86" s="26">
        <f>IF(B86="","",SUMIFS(Access!$G$6:$G$405,Access!$B$6:$B$405,B86))</f>
        <v/>
      </c>
      <c r="G86" s="13">
        <f>IF(B86="","",SUMIFS(Access!$J$6:$J$405,Access!$B$6:$B$405,B86))</f>
        <v/>
      </c>
      <c r="H86" s="14">
        <f>IF(B86="","",IF(AND(E86&lt;&gt;"",E86&lt;=TODAY()),IF(F86&gt;0,"Left, still has access","Left"),"Active"))</f>
        <v/>
      </c>
      <c r="I86" s="1" t="n"/>
    </row>
    <row r="87">
      <c r="A87" s="1" t="n"/>
      <c r="B87" s="20" t="n"/>
      <c r="C87" s="21" t="n"/>
      <c r="D87" s="25" t="n"/>
      <c r="E87" s="25" t="n"/>
      <c r="F87" s="26">
        <f>IF(B87="","",SUMIFS(Access!$G$6:$G$405,Access!$B$6:$B$405,B87))</f>
        <v/>
      </c>
      <c r="G87" s="13">
        <f>IF(B87="","",SUMIFS(Access!$J$6:$J$405,Access!$B$6:$B$405,B87))</f>
        <v/>
      </c>
      <c r="H87" s="14">
        <f>IF(B87="","",IF(AND(E87&lt;&gt;"",E87&lt;=TODAY()),IF(F87&gt;0,"Left, still has access","Left"),"Active"))</f>
        <v/>
      </c>
      <c r="I87" s="1" t="n"/>
    </row>
    <row r="88">
      <c r="A88" s="1" t="n"/>
      <c r="B88" s="20" t="n"/>
      <c r="C88" s="21" t="n"/>
      <c r="D88" s="25" t="n"/>
      <c r="E88" s="25" t="n"/>
      <c r="F88" s="26">
        <f>IF(B88="","",SUMIFS(Access!$G$6:$G$405,Access!$B$6:$B$405,B88))</f>
        <v/>
      </c>
      <c r="G88" s="13">
        <f>IF(B88="","",SUMIFS(Access!$J$6:$J$405,Access!$B$6:$B$405,B88))</f>
        <v/>
      </c>
      <c r="H88" s="14">
        <f>IF(B88="","",IF(AND(E88&lt;&gt;"",E88&lt;=TODAY()),IF(F88&gt;0,"Left, still has access","Left"),"Active"))</f>
        <v/>
      </c>
      <c r="I88" s="1" t="n"/>
    </row>
    <row r="89">
      <c r="A89" s="1" t="n"/>
      <c r="B89" s="20" t="n"/>
      <c r="C89" s="21" t="n"/>
      <c r="D89" s="25" t="n"/>
      <c r="E89" s="25" t="n"/>
      <c r="F89" s="26">
        <f>IF(B89="","",SUMIFS(Access!$G$6:$G$405,Access!$B$6:$B$405,B89))</f>
        <v/>
      </c>
      <c r="G89" s="13">
        <f>IF(B89="","",SUMIFS(Access!$J$6:$J$405,Access!$B$6:$B$405,B89))</f>
        <v/>
      </c>
      <c r="H89" s="14">
        <f>IF(B89="","",IF(AND(E89&lt;&gt;"",E89&lt;=TODAY()),IF(F89&gt;0,"Left, still has access","Left"),"Active"))</f>
        <v/>
      </c>
      <c r="I89" s="1" t="n"/>
    </row>
    <row r="90">
      <c r="A90" s="1" t="n"/>
      <c r="B90" s="20" t="n"/>
      <c r="C90" s="21" t="n"/>
      <c r="D90" s="25" t="n"/>
      <c r="E90" s="25" t="n"/>
      <c r="F90" s="26">
        <f>IF(B90="","",SUMIFS(Access!$G$6:$G$405,Access!$B$6:$B$405,B90))</f>
        <v/>
      </c>
      <c r="G90" s="13">
        <f>IF(B90="","",SUMIFS(Access!$J$6:$J$405,Access!$B$6:$B$405,B90))</f>
        <v/>
      </c>
      <c r="H90" s="14">
        <f>IF(B90="","",IF(AND(E90&lt;&gt;"",E90&lt;=TODAY()),IF(F90&gt;0,"Left, still has access","Left"),"Active"))</f>
        <v/>
      </c>
      <c r="I90" s="1" t="n"/>
    </row>
    <row r="91">
      <c r="A91" s="1" t="n"/>
      <c r="B91" s="20" t="n"/>
      <c r="C91" s="21" t="n"/>
      <c r="D91" s="25" t="n"/>
      <c r="E91" s="25" t="n"/>
      <c r="F91" s="26">
        <f>IF(B91="","",SUMIFS(Access!$G$6:$G$405,Access!$B$6:$B$405,B91))</f>
        <v/>
      </c>
      <c r="G91" s="13">
        <f>IF(B91="","",SUMIFS(Access!$J$6:$J$405,Access!$B$6:$B$405,B91))</f>
        <v/>
      </c>
      <c r="H91" s="14">
        <f>IF(B91="","",IF(AND(E91&lt;&gt;"",E91&lt;=TODAY()),IF(F91&gt;0,"Left, still has access","Left"),"Active"))</f>
        <v/>
      </c>
      <c r="I91" s="1" t="n"/>
    </row>
    <row r="92">
      <c r="A92" s="1" t="n"/>
      <c r="B92" s="20" t="n"/>
      <c r="C92" s="21" t="n"/>
      <c r="D92" s="25" t="n"/>
      <c r="E92" s="25" t="n"/>
      <c r="F92" s="26">
        <f>IF(B92="","",SUMIFS(Access!$G$6:$G$405,Access!$B$6:$B$405,B92))</f>
        <v/>
      </c>
      <c r="G92" s="13">
        <f>IF(B92="","",SUMIFS(Access!$J$6:$J$405,Access!$B$6:$B$405,B92))</f>
        <v/>
      </c>
      <c r="H92" s="14">
        <f>IF(B92="","",IF(AND(E92&lt;&gt;"",E92&lt;=TODAY()),IF(F92&gt;0,"Left, still has access","Left"),"Active"))</f>
        <v/>
      </c>
      <c r="I92" s="1" t="n"/>
    </row>
    <row r="93">
      <c r="A93" s="1" t="n"/>
      <c r="B93" s="20" t="n"/>
      <c r="C93" s="21" t="n"/>
      <c r="D93" s="25" t="n"/>
      <c r="E93" s="25" t="n"/>
      <c r="F93" s="26">
        <f>IF(B93="","",SUMIFS(Access!$G$6:$G$405,Access!$B$6:$B$405,B93))</f>
        <v/>
      </c>
      <c r="G93" s="13">
        <f>IF(B93="","",SUMIFS(Access!$J$6:$J$405,Access!$B$6:$B$405,B93))</f>
        <v/>
      </c>
      <c r="H93" s="14">
        <f>IF(B93="","",IF(AND(E93&lt;&gt;"",E93&lt;=TODAY()),IF(F93&gt;0,"Left, still has access","Left"),"Active"))</f>
        <v/>
      </c>
      <c r="I93" s="1" t="n"/>
    </row>
    <row r="94">
      <c r="A94" s="1" t="n"/>
      <c r="B94" s="20" t="n"/>
      <c r="C94" s="21" t="n"/>
      <c r="D94" s="25" t="n"/>
      <c r="E94" s="25" t="n"/>
      <c r="F94" s="26">
        <f>IF(B94="","",SUMIFS(Access!$G$6:$G$405,Access!$B$6:$B$405,B94))</f>
        <v/>
      </c>
      <c r="G94" s="13">
        <f>IF(B94="","",SUMIFS(Access!$J$6:$J$405,Access!$B$6:$B$405,B94))</f>
        <v/>
      </c>
      <c r="H94" s="14">
        <f>IF(B94="","",IF(AND(E94&lt;&gt;"",E94&lt;=TODAY()),IF(F94&gt;0,"Left, still has access","Left"),"Active"))</f>
        <v/>
      </c>
      <c r="I94" s="1" t="n"/>
    </row>
    <row r="95">
      <c r="A95" s="1" t="n"/>
      <c r="B95" s="20" t="n"/>
      <c r="C95" s="21" t="n"/>
      <c r="D95" s="25" t="n"/>
      <c r="E95" s="25" t="n"/>
      <c r="F95" s="26">
        <f>IF(B95="","",SUMIFS(Access!$G$6:$G$405,Access!$B$6:$B$405,B95))</f>
        <v/>
      </c>
      <c r="G95" s="13">
        <f>IF(B95="","",SUMIFS(Access!$J$6:$J$405,Access!$B$6:$B$405,B95))</f>
        <v/>
      </c>
      <c r="H95" s="14">
        <f>IF(B95="","",IF(AND(E95&lt;&gt;"",E95&lt;=TODAY()),IF(F95&gt;0,"Left, still has access","Left"),"Active"))</f>
        <v/>
      </c>
      <c r="I95" s="1" t="n"/>
    </row>
    <row r="96">
      <c r="A96" s="1" t="n"/>
      <c r="B96" s="20" t="n"/>
      <c r="C96" s="21" t="n"/>
      <c r="D96" s="25" t="n"/>
      <c r="E96" s="25" t="n"/>
      <c r="F96" s="26">
        <f>IF(B96="","",SUMIFS(Access!$G$6:$G$405,Access!$B$6:$B$405,B96))</f>
        <v/>
      </c>
      <c r="G96" s="13">
        <f>IF(B96="","",SUMIFS(Access!$J$6:$J$405,Access!$B$6:$B$405,B96))</f>
        <v/>
      </c>
      <c r="H96" s="14">
        <f>IF(B96="","",IF(AND(E96&lt;&gt;"",E96&lt;=TODAY()),IF(F96&gt;0,"Left, still has access","Left"),"Active"))</f>
        <v/>
      </c>
      <c r="I96" s="1" t="n"/>
    </row>
    <row r="97">
      <c r="A97" s="1" t="n"/>
      <c r="B97" s="20" t="n"/>
      <c r="C97" s="21" t="n"/>
      <c r="D97" s="25" t="n"/>
      <c r="E97" s="25" t="n"/>
      <c r="F97" s="26">
        <f>IF(B97="","",SUMIFS(Access!$G$6:$G$405,Access!$B$6:$B$405,B97))</f>
        <v/>
      </c>
      <c r="G97" s="13">
        <f>IF(B97="","",SUMIFS(Access!$J$6:$J$405,Access!$B$6:$B$405,B97))</f>
        <v/>
      </c>
      <c r="H97" s="14">
        <f>IF(B97="","",IF(AND(E97&lt;&gt;"",E97&lt;=TODAY()),IF(F97&gt;0,"Left, still has access","Left"),"Active"))</f>
        <v/>
      </c>
      <c r="I97" s="1" t="n"/>
    </row>
    <row r="98">
      <c r="A98" s="1" t="n"/>
      <c r="B98" s="20" t="n"/>
      <c r="C98" s="21" t="n"/>
      <c r="D98" s="25" t="n"/>
      <c r="E98" s="25" t="n"/>
      <c r="F98" s="26">
        <f>IF(B98="","",SUMIFS(Access!$G$6:$G$405,Access!$B$6:$B$405,B98))</f>
        <v/>
      </c>
      <c r="G98" s="13">
        <f>IF(B98="","",SUMIFS(Access!$J$6:$J$405,Access!$B$6:$B$405,B98))</f>
        <v/>
      </c>
      <c r="H98" s="14">
        <f>IF(B98="","",IF(AND(E98&lt;&gt;"",E98&lt;=TODAY()),IF(F98&gt;0,"Left, still has access","Left"),"Active"))</f>
        <v/>
      </c>
      <c r="I98" s="1" t="n"/>
    </row>
    <row r="99">
      <c r="A99" s="1" t="n"/>
      <c r="B99" s="20" t="n"/>
      <c r="C99" s="21" t="n"/>
      <c r="D99" s="25" t="n"/>
      <c r="E99" s="25" t="n"/>
      <c r="F99" s="26">
        <f>IF(B99="","",SUMIFS(Access!$G$6:$G$405,Access!$B$6:$B$405,B99))</f>
        <v/>
      </c>
      <c r="G99" s="13">
        <f>IF(B99="","",SUMIFS(Access!$J$6:$J$405,Access!$B$6:$B$405,B99))</f>
        <v/>
      </c>
      <c r="H99" s="14">
        <f>IF(B99="","",IF(AND(E99&lt;&gt;"",E99&lt;=TODAY()),IF(F99&gt;0,"Left, still has access","Left"),"Active"))</f>
        <v/>
      </c>
      <c r="I99" s="1" t="n"/>
    </row>
    <row r="100">
      <c r="A100" s="1" t="n"/>
      <c r="B100" s="20" t="n"/>
      <c r="C100" s="21" t="n"/>
      <c r="D100" s="25" t="n"/>
      <c r="E100" s="25" t="n"/>
      <c r="F100" s="26">
        <f>IF(B100="","",SUMIFS(Access!$G$6:$G$405,Access!$B$6:$B$405,B100))</f>
        <v/>
      </c>
      <c r="G100" s="13">
        <f>IF(B100="","",SUMIFS(Access!$J$6:$J$405,Access!$B$6:$B$405,B100))</f>
        <v/>
      </c>
      <c r="H100" s="14">
        <f>IF(B100="","",IF(AND(E100&lt;&gt;"",E100&lt;=TODAY()),IF(F100&gt;0,"Left, still has access","Left"),"Active"))</f>
        <v/>
      </c>
      <c r="I100" s="1" t="n"/>
    </row>
    <row r="101">
      <c r="A101" s="1" t="n"/>
      <c r="B101" s="20" t="n"/>
      <c r="C101" s="21" t="n"/>
      <c r="D101" s="25" t="n"/>
      <c r="E101" s="25" t="n"/>
      <c r="F101" s="26">
        <f>IF(B101="","",SUMIFS(Access!$G$6:$G$405,Access!$B$6:$B$405,B101))</f>
        <v/>
      </c>
      <c r="G101" s="13">
        <f>IF(B101="","",SUMIFS(Access!$J$6:$J$405,Access!$B$6:$B$405,B101))</f>
        <v/>
      </c>
      <c r="H101" s="14">
        <f>IF(B101="","",IF(AND(E101&lt;&gt;"",E101&lt;=TODAY()),IF(F101&gt;0,"Left, still has access","Left"),"Active"))</f>
        <v/>
      </c>
      <c r="I101" s="1" t="n"/>
    </row>
    <row r="102">
      <c r="A102" s="1" t="n"/>
      <c r="B102" s="20" t="n"/>
      <c r="C102" s="21" t="n"/>
      <c r="D102" s="25" t="n"/>
      <c r="E102" s="25" t="n"/>
      <c r="F102" s="26">
        <f>IF(B102="","",SUMIFS(Access!$G$6:$G$405,Access!$B$6:$B$405,B102))</f>
        <v/>
      </c>
      <c r="G102" s="13">
        <f>IF(B102="","",SUMIFS(Access!$J$6:$J$405,Access!$B$6:$B$405,B102))</f>
        <v/>
      </c>
      <c r="H102" s="14">
        <f>IF(B102="","",IF(AND(E102&lt;&gt;"",E102&lt;=TODAY()),IF(F102&gt;0,"Left, still has access","Left"),"Active"))</f>
        <v/>
      </c>
      <c r="I102" s="1" t="n"/>
    </row>
    <row r="103">
      <c r="A103" s="1" t="n"/>
      <c r="B103" s="20" t="n"/>
      <c r="C103" s="21" t="n"/>
      <c r="D103" s="25" t="n"/>
      <c r="E103" s="25" t="n"/>
      <c r="F103" s="26">
        <f>IF(B103="","",SUMIFS(Access!$G$6:$G$405,Access!$B$6:$B$405,B103))</f>
        <v/>
      </c>
      <c r="G103" s="13">
        <f>IF(B103="","",SUMIFS(Access!$J$6:$J$405,Access!$B$6:$B$405,B103))</f>
        <v/>
      </c>
      <c r="H103" s="14">
        <f>IF(B103="","",IF(AND(E103&lt;&gt;"",E103&lt;=TODAY()),IF(F103&gt;0,"Left, still has access","Left"),"Active"))</f>
        <v/>
      </c>
      <c r="I103" s="1" t="n"/>
    </row>
    <row r="104">
      <c r="A104" s="1" t="n"/>
      <c r="B104" s="20" t="n"/>
      <c r="C104" s="21" t="n"/>
      <c r="D104" s="25" t="n"/>
      <c r="E104" s="25" t="n"/>
      <c r="F104" s="26">
        <f>IF(B104="","",SUMIFS(Access!$G$6:$G$405,Access!$B$6:$B$405,B104))</f>
        <v/>
      </c>
      <c r="G104" s="13">
        <f>IF(B104="","",SUMIFS(Access!$J$6:$J$405,Access!$B$6:$B$405,B104))</f>
        <v/>
      </c>
      <c r="H104" s="14">
        <f>IF(B104="","",IF(AND(E104&lt;&gt;"",E104&lt;=TODAY()),IF(F104&gt;0,"Left, still has access","Left"),"Active"))</f>
        <v/>
      </c>
      <c r="I104" s="1" t="n"/>
    </row>
    <row r="105">
      <c r="A105" s="1" t="n"/>
      <c r="B105" s="20" t="n"/>
      <c r="C105" s="21" t="n"/>
      <c r="D105" s="25" t="n"/>
      <c r="E105" s="25" t="n"/>
      <c r="F105" s="26">
        <f>IF(B105="","",SUMIFS(Access!$G$6:$G$405,Access!$B$6:$B$405,B105))</f>
        <v/>
      </c>
      <c r="G105" s="13">
        <f>IF(B105="","",SUMIFS(Access!$J$6:$J$405,Access!$B$6:$B$405,B105))</f>
        <v/>
      </c>
      <c r="H105" s="14">
        <f>IF(B105="","",IF(AND(E105&lt;&gt;"",E105&lt;=TODAY()),IF(F105&gt;0,"Left, still has access","Left"),"Active"))</f>
        <v/>
      </c>
      <c r="I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</sheetData>
  <conditionalFormatting sqref="H6:H105">
    <cfRule type="expression" priority="1" dxfId="0">
      <formula>H6="Left, still has access"</formula>
    </cfRule>
    <cfRule type="expression" priority="2" dxfId="2">
      <formula>H6="Left"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3" customWidth="1" min="4" max="4"/>
    <col width="9" customWidth="1" min="5" max="5"/>
    <col width="12" customWidth="1" min="6" max="6"/>
    <col width="22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Cards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The cards and accounts the tools are paid with. Type the last day of the month it expires.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10" t="inlineStr">
        <is>
          <t>Card or account</t>
        </is>
      </c>
      <c r="C5" s="10" t="inlineStr">
        <is>
          <t>Held by</t>
        </is>
      </c>
      <c r="D5" s="10" t="inlineStr">
        <is>
          <t>Expires</t>
        </is>
      </c>
      <c r="E5" s="10" t="inlineStr">
        <is>
          <t>Tools</t>
        </is>
      </c>
      <c r="F5" s="10" t="inlineStr">
        <is>
          <t>Per month</t>
        </is>
      </c>
      <c r="G5" s="10" t="inlineStr">
        <is>
          <t>Status</t>
        </is>
      </c>
      <c r="H5" s="1" t="n"/>
    </row>
    <row r="6">
      <c r="A6" s="1" t="n"/>
      <c r="B6" s="20" t="inlineStr">
        <is>
          <t>Business card A</t>
        </is>
      </c>
      <c r="C6" s="21" t="inlineStr">
        <is>
          <t>Ana</t>
        </is>
      </c>
      <c r="D6" s="25" t="n">
        <v>46934</v>
      </c>
      <c r="E6" s="26">
        <f>IF(B6="","",COUNTIFS(Tools!$I$6:$I$105,B6,Tools!$T$6:$T$105,"&lt;&gt;Cancelled"))</f>
        <v/>
      </c>
      <c r="F6" s="13">
        <f>IF(B6="","",SUMIFS(Tools!$O$6:$O$105,Tools!$I$6:$I$105,B6))</f>
        <v/>
      </c>
      <c r="G6" s="14">
        <f>IF(B6="","",IF(D6="","No date",IF(D6&lt;TODAY(),"Expired",IF(COUNTIFS(Tools!$I$6:$I$105,B6,Tools!$Q$6:$Q$105,"&gt;"&amp;D6)&gt;0,"Update "&amp;COUNTIFS(Tools!$I$6:$I$105,B6,Tools!$Q$6:$Q$105,"&gt;"&amp;D6)&amp;IF(COUNTIFS(Tools!$I$6:$I$105,B6,Tools!$Q$6:$Q$105,"&gt;"&amp;D6)=1," tool"," tools"),IF(D6-TODAY()&lt;=N(Settings!$C$6),"Expires soon","OK")))))</f>
        <v/>
      </c>
      <c r="H6" s="1" t="n"/>
    </row>
    <row r="7">
      <c r="A7" s="1" t="n"/>
      <c r="B7" s="20" t="inlineStr">
        <is>
          <t>Business card B</t>
        </is>
      </c>
      <c r="C7" s="21" t="inlineStr">
        <is>
          <t>Grace</t>
        </is>
      </c>
      <c r="D7" s="25" t="n">
        <v>46418</v>
      </c>
      <c r="E7" s="26">
        <f>IF(B7="","",COUNTIFS(Tools!$I$6:$I$105,B7,Tools!$T$6:$T$105,"&lt;&gt;Cancelled"))</f>
        <v/>
      </c>
      <c r="F7" s="13">
        <f>IF(B7="","",SUMIFS(Tools!$O$6:$O$105,Tools!$I$6:$I$105,B7))</f>
        <v/>
      </c>
      <c r="G7" s="14">
        <f>IF(B7="","",IF(D7="","No date",IF(D7&lt;TODAY(),"Expired",IF(COUNTIFS(Tools!$I$6:$I$105,B7,Tools!$Q$6:$Q$105,"&gt;"&amp;D7)&gt;0,"Update "&amp;COUNTIFS(Tools!$I$6:$I$105,B7,Tools!$Q$6:$Q$105,"&gt;"&amp;D7)&amp;IF(COUNTIFS(Tools!$I$6:$I$105,B7,Tools!$Q$6:$Q$105,"&gt;"&amp;D7)=1," tool"," tools"),IF(D7-TODAY()&lt;=N(Settings!$C$6),"Expires soon","OK")))))</f>
        <v/>
      </c>
      <c r="H7" s="1" t="n"/>
    </row>
    <row r="8">
      <c r="A8" s="1" t="n"/>
      <c r="B8" s="20" t="inlineStr">
        <is>
          <t>Debit card C</t>
        </is>
      </c>
      <c r="C8" s="21" t="inlineStr">
        <is>
          <t>Dev</t>
        </is>
      </c>
      <c r="D8" s="25" t="n">
        <v>46356</v>
      </c>
      <c r="E8" s="26">
        <f>IF(B8="","",COUNTIFS(Tools!$I$6:$I$105,B8,Tools!$T$6:$T$105,"&lt;&gt;Cancelled"))</f>
        <v/>
      </c>
      <c r="F8" s="13">
        <f>IF(B8="","",SUMIFS(Tools!$O$6:$O$105,Tools!$I$6:$I$105,B8))</f>
        <v/>
      </c>
      <c r="G8" s="14">
        <f>IF(B8="","",IF(D8="","No date",IF(D8&lt;TODAY(),"Expired",IF(COUNTIFS(Tools!$I$6:$I$105,B8,Tools!$Q$6:$Q$105,"&gt;"&amp;D8)&gt;0,"Update "&amp;COUNTIFS(Tools!$I$6:$I$105,B8,Tools!$Q$6:$Q$105,"&gt;"&amp;D8)&amp;IF(COUNTIFS(Tools!$I$6:$I$105,B8,Tools!$Q$6:$Q$105,"&gt;"&amp;D8)=1," tool"," tools"),IF(D8-TODAY()&lt;=N(Settings!$C$6),"Expires soon","OK")))))</f>
        <v/>
      </c>
      <c r="H8" s="1" t="n"/>
    </row>
    <row r="9">
      <c r="A9" s="1" t="n"/>
      <c r="B9" s="20" t="n"/>
      <c r="C9" s="21" t="n"/>
      <c r="D9" s="25" t="n"/>
      <c r="E9" s="26">
        <f>IF(B9="","",COUNTIFS(Tools!$I$6:$I$105,B9,Tools!$T$6:$T$105,"&lt;&gt;Cancelled"))</f>
        <v/>
      </c>
      <c r="F9" s="13">
        <f>IF(B9="","",SUMIFS(Tools!$O$6:$O$105,Tools!$I$6:$I$105,B9))</f>
        <v/>
      </c>
      <c r="G9" s="14">
        <f>IF(B9="","",IF(D9="","No date",IF(D9&lt;TODAY(),"Expired",IF(COUNTIFS(Tools!$I$6:$I$105,B9,Tools!$Q$6:$Q$105,"&gt;"&amp;D9)&gt;0,"Update "&amp;COUNTIFS(Tools!$I$6:$I$105,B9,Tools!$Q$6:$Q$105,"&gt;"&amp;D9)&amp;IF(COUNTIFS(Tools!$I$6:$I$105,B9,Tools!$Q$6:$Q$105,"&gt;"&amp;D9)=1," tool"," tools"),IF(D9-TODAY()&lt;=N(Settings!$C$6),"Expires soon","OK")))))</f>
        <v/>
      </c>
      <c r="H9" s="1" t="n"/>
    </row>
    <row r="10">
      <c r="A10" s="1" t="n"/>
      <c r="B10" s="20" t="n"/>
      <c r="C10" s="21" t="n"/>
      <c r="D10" s="25" t="n"/>
      <c r="E10" s="26">
        <f>IF(B10="","",COUNTIFS(Tools!$I$6:$I$105,B10,Tools!$T$6:$T$105,"&lt;&gt;Cancelled"))</f>
        <v/>
      </c>
      <c r="F10" s="13">
        <f>IF(B10="","",SUMIFS(Tools!$O$6:$O$105,Tools!$I$6:$I$105,B10))</f>
        <v/>
      </c>
      <c r="G10" s="14">
        <f>IF(B10="","",IF(D10="","No date",IF(D10&lt;TODAY(),"Expired",IF(COUNTIFS(Tools!$I$6:$I$105,B10,Tools!$Q$6:$Q$105,"&gt;"&amp;D10)&gt;0,"Update "&amp;COUNTIFS(Tools!$I$6:$I$105,B10,Tools!$Q$6:$Q$105,"&gt;"&amp;D10)&amp;IF(COUNTIFS(Tools!$I$6:$I$105,B10,Tools!$Q$6:$Q$105,"&gt;"&amp;D10)=1," tool"," tools"),IF(D10-TODAY()&lt;=N(Settings!$C$6),"Expires soon","OK")))))</f>
        <v/>
      </c>
      <c r="H10" s="1" t="n"/>
    </row>
    <row r="11">
      <c r="A11" s="1" t="n"/>
      <c r="B11" s="20" t="n"/>
      <c r="C11" s="21" t="n"/>
      <c r="D11" s="25" t="n"/>
      <c r="E11" s="26">
        <f>IF(B11="","",COUNTIFS(Tools!$I$6:$I$105,B11,Tools!$T$6:$T$105,"&lt;&gt;Cancelled"))</f>
        <v/>
      </c>
      <c r="F11" s="13">
        <f>IF(B11="","",SUMIFS(Tools!$O$6:$O$105,Tools!$I$6:$I$105,B11))</f>
        <v/>
      </c>
      <c r="G11" s="14">
        <f>IF(B11="","",IF(D11="","No date",IF(D11&lt;TODAY(),"Expired",IF(COUNTIFS(Tools!$I$6:$I$105,B11,Tools!$Q$6:$Q$105,"&gt;"&amp;D11)&gt;0,"Update "&amp;COUNTIFS(Tools!$I$6:$I$105,B11,Tools!$Q$6:$Q$105,"&gt;"&amp;D11)&amp;IF(COUNTIFS(Tools!$I$6:$I$105,B11,Tools!$Q$6:$Q$105,"&gt;"&amp;D11)=1," tool"," tools"),IF(D11-TODAY()&lt;=N(Settings!$C$6),"Expires soon","OK")))))</f>
        <v/>
      </c>
      <c r="H11" s="1" t="n"/>
    </row>
    <row r="12">
      <c r="A12" s="1" t="n"/>
      <c r="B12" s="20" t="n"/>
      <c r="C12" s="21" t="n"/>
      <c r="D12" s="25" t="n"/>
      <c r="E12" s="26">
        <f>IF(B12="","",COUNTIFS(Tools!$I$6:$I$105,B12,Tools!$T$6:$T$105,"&lt;&gt;Cancelled"))</f>
        <v/>
      </c>
      <c r="F12" s="13">
        <f>IF(B12="","",SUMIFS(Tools!$O$6:$O$105,Tools!$I$6:$I$105,B12))</f>
        <v/>
      </c>
      <c r="G12" s="14">
        <f>IF(B12="","",IF(D12="","No date",IF(D12&lt;TODAY(),"Expired",IF(COUNTIFS(Tools!$I$6:$I$105,B12,Tools!$Q$6:$Q$105,"&gt;"&amp;D12)&gt;0,"Update "&amp;COUNTIFS(Tools!$I$6:$I$105,B12,Tools!$Q$6:$Q$105,"&gt;"&amp;D12)&amp;IF(COUNTIFS(Tools!$I$6:$I$105,B12,Tools!$Q$6:$Q$105,"&gt;"&amp;D12)=1," tool"," tools"),IF(D12-TODAY()&lt;=N(Settings!$C$6),"Expires soon","OK")))))</f>
        <v/>
      </c>
      <c r="H12" s="1" t="n"/>
    </row>
    <row r="13">
      <c r="A13" s="1" t="n"/>
      <c r="B13" s="20" t="n"/>
      <c r="C13" s="21" t="n"/>
      <c r="D13" s="25" t="n"/>
      <c r="E13" s="26">
        <f>IF(B13="","",COUNTIFS(Tools!$I$6:$I$105,B13,Tools!$T$6:$T$105,"&lt;&gt;Cancelled"))</f>
        <v/>
      </c>
      <c r="F13" s="13">
        <f>IF(B13="","",SUMIFS(Tools!$O$6:$O$105,Tools!$I$6:$I$105,B13))</f>
        <v/>
      </c>
      <c r="G13" s="14">
        <f>IF(B13="","",IF(D13="","No date",IF(D13&lt;TODAY(),"Expired",IF(COUNTIFS(Tools!$I$6:$I$105,B13,Tools!$Q$6:$Q$105,"&gt;"&amp;D13)&gt;0,"Update "&amp;COUNTIFS(Tools!$I$6:$I$105,B13,Tools!$Q$6:$Q$105,"&gt;"&amp;D13)&amp;IF(COUNTIFS(Tools!$I$6:$I$105,B13,Tools!$Q$6:$Q$105,"&gt;"&amp;D13)=1," tool"," tools"),IF(D13-TODAY()&lt;=N(Settings!$C$6),"Expires soon","OK")))))</f>
        <v/>
      </c>
      <c r="H13" s="1" t="n"/>
    </row>
    <row r="14">
      <c r="A14" s="1" t="n"/>
      <c r="B14" s="20" t="n"/>
      <c r="C14" s="21" t="n"/>
      <c r="D14" s="25" t="n"/>
      <c r="E14" s="26">
        <f>IF(B14="","",COUNTIFS(Tools!$I$6:$I$105,B14,Tools!$T$6:$T$105,"&lt;&gt;Cancelled"))</f>
        <v/>
      </c>
      <c r="F14" s="13">
        <f>IF(B14="","",SUMIFS(Tools!$O$6:$O$105,Tools!$I$6:$I$105,B14))</f>
        <v/>
      </c>
      <c r="G14" s="14">
        <f>IF(B14="","",IF(D14="","No date",IF(D14&lt;TODAY(),"Expired",IF(COUNTIFS(Tools!$I$6:$I$105,B14,Tools!$Q$6:$Q$105,"&gt;"&amp;D14)&gt;0,"Update "&amp;COUNTIFS(Tools!$I$6:$I$105,B14,Tools!$Q$6:$Q$105,"&gt;"&amp;D14)&amp;IF(COUNTIFS(Tools!$I$6:$I$105,B14,Tools!$Q$6:$Q$105,"&gt;"&amp;D14)=1," tool"," tools"),IF(D14-TODAY()&lt;=N(Settings!$C$6),"Expires soon","OK")))))</f>
        <v/>
      </c>
      <c r="H14" s="1" t="n"/>
    </row>
    <row r="15">
      <c r="A15" s="1" t="n"/>
      <c r="B15" s="20" t="n"/>
      <c r="C15" s="21" t="n"/>
      <c r="D15" s="25" t="n"/>
      <c r="E15" s="26">
        <f>IF(B15="","",COUNTIFS(Tools!$I$6:$I$105,B15,Tools!$T$6:$T$105,"&lt;&gt;Cancelled"))</f>
        <v/>
      </c>
      <c r="F15" s="13">
        <f>IF(B15="","",SUMIFS(Tools!$O$6:$O$105,Tools!$I$6:$I$105,B15))</f>
        <v/>
      </c>
      <c r="G15" s="14">
        <f>IF(B15="","",IF(D15="","No date",IF(D15&lt;TODAY(),"Expired",IF(COUNTIFS(Tools!$I$6:$I$105,B15,Tools!$Q$6:$Q$105,"&gt;"&amp;D15)&gt;0,"Update "&amp;COUNTIFS(Tools!$I$6:$I$105,B15,Tools!$Q$6:$Q$105,"&gt;"&amp;D15)&amp;IF(COUNTIFS(Tools!$I$6:$I$105,B15,Tools!$Q$6:$Q$105,"&gt;"&amp;D15)=1," tool"," tools"),IF(D15-TODAY()&lt;=N(Settings!$C$6),"Expires soon","OK")))))</f>
        <v/>
      </c>
      <c r="H15" s="1" t="n"/>
    </row>
    <row r="16">
      <c r="A16" s="1" t="n"/>
      <c r="B16" s="20" t="n"/>
      <c r="C16" s="21" t="n"/>
      <c r="D16" s="25" t="n"/>
      <c r="E16" s="26">
        <f>IF(B16="","",COUNTIFS(Tools!$I$6:$I$105,B16,Tools!$T$6:$T$105,"&lt;&gt;Cancelled"))</f>
        <v/>
      </c>
      <c r="F16" s="13">
        <f>IF(B16="","",SUMIFS(Tools!$O$6:$O$105,Tools!$I$6:$I$105,B16))</f>
        <v/>
      </c>
      <c r="G16" s="14">
        <f>IF(B16="","",IF(D16="","No date",IF(D16&lt;TODAY(),"Expired",IF(COUNTIFS(Tools!$I$6:$I$105,B16,Tools!$Q$6:$Q$105,"&gt;"&amp;D16)&gt;0,"Update "&amp;COUNTIFS(Tools!$I$6:$I$105,B16,Tools!$Q$6:$Q$105,"&gt;"&amp;D16)&amp;IF(COUNTIFS(Tools!$I$6:$I$105,B16,Tools!$Q$6:$Q$105,"&gt;"&amp;D16)=1," tool"," tools"),IF(D16-TODAY()&lt;=N(Settings!$C$6),"Expires soon","OK")))))</f>
        <v/>
      </c>
      <c r="H16" s="1" t="n"/>
    </row>
    <row r="17">
      <c r="A17" s="1" t="n"/>
      <c r="B17" s="20" t="n"/>
      <c r="C17" s="21" t="n"/>
      <c r="D17" s="25" t="n"/>
      <c r="E17" s="26">
        <f>IF(B17="","",COUNTIFS(Tools!$I$6:$I$105,B17,Tools!$T$6:$T$105,"&lt;&gt;Cancelled"))</f>
        <v/>
      </c>
      <c r="F17" s="13">
        <f>IF(B17="","",SUMIFS(Tools!$O$6:$O$105,Tools!$I$6:$I$105,B17))</f>
        <v/>
      </c>
      <c r="G17" s="14">
        <f>IF(B17="","",IF(D17="","No date",IF(D17&lt;TODAY(),"Expired",IF(COUNTIFS(Tools!$I$6:$I$105,B17,Tools!$Q$6:$Q$105,"&gt;"&amp;D17)&gt;0,"Update "&amp;COUNTIFS(Tools!$I$6:$I$105,B17,Tools!$Q$6:$Q$105,"&gt;"&amp;D17)&amp;IF(COUNTIFS(Tools!$I$6:$I$105,B17,Tools!$Q$6:$Q$105,"&gt;"&amp;D17)=1," tool"," tools"),IF(D17-TODAY()&lt;=N(Settings!$C$6),"Expires soon","OK")))))</f>
        <v/>
      </c>
      <c r="H17" s="1" t="n"/>
    </row>
    <row r="18">
      <c r="A18" s="1" t="n"/>
      <c r="B18" s="20" t="n"/>
      <c r="C18" s="21" t="n"/>
      <c r="D18" s="25" t="n"/>
      <c r="E18" s="26">
        <f>IF(B18="","",COUNTIFS(Tools!$I$6:$I$105,B18,Tools!$T$6:$T$105,"&lt;&gt;Cancelled"))</f>
        <v/>
      </c>
      <c r="F18" s="13">
        <f>IF(B18="","",SUMIFS(Tools!$O$6:$O$105,Tools!$I$6:$I$105,B18))</f>
        <v/>
      </c>
      <c r="G18" s="14">
        <f>IF(B18="","",IF(D18="","No date",IF(D18&lt;TODAY(),"Expired",IF(COUNTIFS(Tools!$I$6:$I$105,B18,Tools!$Q$6:$Q$105,"&gt;"&amp;D18)&gt;0,"Update "&amp;COUNTIFS(Tools!$I$6:$I$105,B18,Tools!$Q$6:$Q$105,"&gt;"&amp;D18)&amp;IF(COUNTIFS(Tools!$I$6:$I$105,B18,Tools!$Q$6:$Q$105,"&gt;"&amp;D18)=1," tool"," tools"),IF(D18-TODAY()&lt;=N(Settings!$C$6),"Expires soon","OK")))))</f>
        <v/>
      </c>
      <c r="H18" s="1" t="n"/>
    </row>
    <row r="19">
      <c r="A19" s="1" t="n"/>
      <c r="B19" s="20" t="n"/>
      <c r="C19" s="21" t="n"/>
      <c r="D19" s="25" t="n"/>
      <c r="E19" s="26">
        <f>IF(B19="","",COUNTIFS(Tools!$I$6:$I$105,B19,Tools!$T$6:$T$105,"&lt;&gt;Cancelled"))</f>
        <v/>
      </c>
      <c r="F19" s="13">
        <f>IF(B19="","",SUMIFS(Tools!$O$6:$O$105,Tools!$I$6:$I$105,B19))</f>
        <v/>
      </c>
      <c r="G19" s="14">
        <f>IF(B19="","",IF(D19="","No date",IF(D19&lt;TODAY(),"Expired",IF(COUNTIFS(Tools!$I$6:$I$105,B19,Tools!$Q$6:$Q$105,"&gt;"&amp;D19)&gt;0,"Update "&amp;COUNTIFS(Tools!$I$6:$I$105,B19,Tools!$Q$6:$Q$105,"&gt;"&amp;D19)&amp;IF(COUNTIFS(Tools!$I$6:$I$105,B19,Tools!$Q$6:$Q$105,"&gt;"&amp;D19)=1," tool"," tools"),IF(D19-TODAY()&lt;=N(Settings!$C$6),"Expires soon","OK")))))</f>
        <v/>
      </c>
      <c r="H19" s="1" t="n"/>
    </row>
    <row r="20">
      <c r="A20" s="1" t="n"/>
      <c r="B20" s="20" t="n"/>
      <c r="C20" s="21" t="n"/>
      <c r="D20" s="25" t="n"/>
      <c r="E20" s="26">
        <f>IF(B20="","",COUNTIFS(Tools!$I$6:$I$105,B20,Tools!$T$6:$T$105,"&lt;&gt;Cancelled"))</f>
        <v/>
      </c>
      <c r="F20" s="13">
        <f>IF(B20="","",SUMIFS(Tools!$O$6:$O$105,Tools!$I$6:$I$105,B20))</f>
        <v/>
      </c>
      <c r="G20" s="14">
        <f>IF(B20="","",IF(D20="","No date",IF(D20&lt;TODAY(),"Expired",IF(COUNTIFS(Tools!$I$6:$I$105,B20,Tools!$Q$6:$Q$105,"&gt;"&amp;D20)&gt;0,"Update "&amp;COUNTIFS(Tools!$I$6:$I$105,B20,Tools!$Q$6:$Q$105,"&gt;"&amp;D20)&amp;IF(COUNTIFS(Tools!$I$6:$I$105,B20,Tools!$Q$6:$Q$105,"&gt;"&amp;D20)=1," tool"," tools"),IF(D20-TODAY()&lt;=N(Settings!$C$6),"Expires soon","OK")))))</f>
        <v/>
      </c>
      <c r="H20" s="1" t="n"/>
    </row>
    <row r="21">
      <c r="A21" s="1" t="n"/>
      <c r="B21" s="20" t="n"/>
      <c r="C21" s="21" t="n"/>
      <c r="D21" s="25" t="n"/>
      <c r="E21" s="26">
        <f>IF(B21="","",COUNTIFS(Tools!$I$6:$I$105,B21,Tools!$T$6:$T$105,"&lt;&gt;Cancelled"))</f>
        <v/>
      </c>
      <c r="F21" s="13">
        <f>IF(B21="","",SUMIFS(Tools!$O$6:$O$105,Tools!$I$6:$I$105,B21))</f>
        <v/>
      </c>
      <c r="G21" s="14">
        <f>IF(B21="","",IF(D21="","No date",IF(D21&lt;TODAY(),"Expired",IF(COUNTIFS(Tools!$I$6:$I$105,B21,Tools!$Q$6:$Q$105,"&gt;"&amp;D21)&gt;0,"Update "&amp;COUNTIFS(Tools!$I$6:$I$105,B21,Tools!$Q$6:$Q$105,"&gt;"&amp;D21)&amp;IF(COUNTIFS(Tools!$I$6:$I$105,B21,Tools!$Q$6:$Q$105,"&gt;"&amp;D21)=1," tool"," tools"),IF(D21-TODAY()&lt;=N(Settings!$C$6),"Expires soon","OK")))))</f>
        <v/>
      </c>
      <c r="H21" s="1" t="n"/>
    </row>
    <row r="22">
      <c r="A22" s="1" t="n"/>
      <c r="B22" s="20" t="n"/>
      <c r="C22" s="21" t="n"/>
      <c r="D22" s="25" t="n"/>
      <c r="E22" s="26">
        <f>IF(B22="","",COUNTIFS(Tools!$I$6:$I$105,B22,Tools!$T$6:$T$105,"&lt;&gt;Cancelled"))</f>
        <v/>
      </c>
      <c r="F22" s="13">
        <f>IF(B22="","",SUMIFS(Tools!$O$6:$O$105,Tools!$I$6:$I$105,B22))</f>
        <v/>
      </c>
      <c r="G22" s="14">
        <f>IF(B22="","",IF(D22="","No date",IF(D22&lt;TODAY(),"Expired",IF(COUNTIFS(Tools!$I$6:$I$105,B22,Tools!$Q$6:$Q$105,"&gt;"&amp;D22)&gt;0,"Update "&amp;COUNTIFS(Tools!$I$6:$I$105,B22,Tools!$Q$6:$Q$105,"&gt;"&amp;D22)&amp;IF(COUNTIFS(Tools!$I$6:$I$105,B22,Tools!$Q$6:$Q$105,"&gt;"&amp;D22)=1," tool"," tools"),IF(D22-TODAY()&lt;=N(Settings!$C$6),"Expires soon","OK")))))</f>
        <v/>
      </c>
      <c r="H22" s="1" t="n"/>
    </row>
    <row r="23">
      <c r="A23" s="1" t="n"/>
      <c r="B23" s="20" t="n"/>
      <c r="C23" s="21" t="n"/>
      <c r="D23" s="25" t="n"/>
      <c r="E23" s="26">
        <f>IF(B23="","",COUNTIFS(Tools!$I$6:$I$105,B23,Tools!$T$6:$T$105,"&lt;&gt;Cancelled"))</f>
        <v/>
      </c>
      <c r="F23" s="13">
        <f>IF(B23="","",SUMIFS(Tools!$O$6:$O$105,Tools!$I$6:$I$105,B23))</f>
        <v/>
      </c>
      <c r="G23" s="14">
        <f>IF(B23="","",IF(D23="","No date",IF(D23&lt;TODAY(),"Expired",IF(COUNTIFS(Tools!$I$6:$I$105,B23,Tools!$Q$6:$Q$105,"&gt;"&amp;D23)&gt;0,"Update "&amp;COUNTIFS(Tools!$I$6:$I$105,B23,Tools!$Q$6:$Q$105,"&gt;"&amp;D23)&amp;IF(COUNTIFS(Tools!$I$6:$I$105,B23,Tools!$Q$6:$Q$105,"&gt;"&amp;D23)=1," tool"," tools"),IF(D23-TODAY()&lt;=N(Settings!$C$6),"Expires soon","OK")))))</f>
        <v/>
      </c>
      <c r="H23" s="1" t="n"/>
    </row>
    <row r="24">
      <c r="A24" s="1" t="n"/>
      <c r="B24" s="20" t="n"/>
      <c r="C24" s="21" t="n"/>
      <c r="D24" s="25" t="n"/>
      <c r="E24" s="26">
        <f>IF(B24="","",COUNTIFS(Tools!$I$6:$I$105,B24,Tools!$T$6:$T$105,"&lt;&gt;Cancelled"))</f>
        <v/>
      </c>
      <c r="F24" s="13">
        <f>IF(B24="","",SUMIFS(Tools!$O$6:$O$105,Tools!$I$6:$I$105,B24))</f>
        <v/>
      </c>
      <c r="G24" s="14">
        <f>IF(B24="","",IF(D24="","No date",IF(D24&lt;TODAY(),"Expired",IF(COUNTIFS(Tools!$I$6:$I$105,B24,Tools!$Q$6:$Q$105,"&gt;"&amp;D24)&gt;0,"Update "&amp;COUNTIFS(Tools!$I$6:$I$105,B24,Tools!$Q$6:$Q$105,"&gt;"&amp;D24)&amp;IF(COUNTIFS(Tools!$I$6:$I$105,B24,Tools!$Q$6:$Q$105,"&gt;"&amp;D24)=1," tool"," tools"),IF(D24-TODAY()&lt;=N(Settings!$C$6),"Expires soon","OK")))))</f>
        <v/>
      </c>
      <c r="H24" s="1" t="n"/>
    </row>
    <row r="25">
      <c r="A25" s="1" t="n"/>
      <c r="B25" s="20" t="n"/>
      <c r="C25" s="21" t="n"/>
      <c r="D25" s="25" t="n"/>
      <c r="E25" s="26">
        <f>IF(B25="","",COUNTIFS(Tools!$I$6:$I$105,B25,Tools!$T$6:$T$105,"&lt;&gt;Cancelled"))</f>
        <v/>
      </c>
      <c r="F25" s="13">
        <f>IF(B25="","",SUMIFS(Tools!$O$6:$O$105,Tools!$I$6:$I$105,B25))</f>
        <v/>
      </c>
      <c r="G25" s="14">
        <f>IF(B25="","",IF(D25="","No date",IF(D25&lt;TODAY(),"Expired",IF(COUNTIFS(Tools!$I$6:$I$105,B25,Tools!$Q$6:$Q$105,"&gt;"&amp;D25)&gt;0,"Update "&amp;COUNTIFS(Tools!$I$6:$I$105,B25,Tools!$Q$6:$Q$105,"&gt;"&amp;D25)&amp;IF(COUNTIFS(Tools!$I$6:$I$105,B25,Tools!$Q$6:$Q$105,"&gt;"&amp;D25)=1," tool"," tools"),IF(D25-TODAY()&lt;=N(Settings!$C$6),"Expires soon","OK")))))</f>
        <v/>
      </c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</sheetData>
  <conditionalFormatting sqref="G6:G25">
    <cfRule type="expression" priority="1" dxfId="0">
      <formula>LEFT(G6,7)="Expired"</formula>
    </cfRule>
    <cfRule type="expression" priority="2" dxfId="0">
      <formula>LEFT(G6,6)="Update"</formula>
    </cfRule>
    <cfRule type="expression" priority="3" dxfId="1">
      <formula>LEFT(G6,12)="Expires soon"</formula>
    </cfRule>
    <cfRule type="expression" priority="4" dxfId="4">
      <formula>LEFT(G6,2)="OK"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0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2" t="inlineStr">
        <is>
          <t>Year ahead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What each tool will charge in each of the next twelve months, from today.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30" customHeight="1">
      <c r="A5" s="1" t="n"/>
      <c r="B5" s="10" t="inlineStr">
        <is>
          <t>Tool</t>
        </is>
      </c>
      <c r="C5" s="10">
        <f>CHOOSE(MONTH(DATE(YEAR(TODAY()),MONTH(TODAY())+0,1)),"Jan","Feb","Mar","Apr","May","Jun","Jul","Aug","Sep","Oct","Nov","Dec")&amp;" "&amp;RIGHT(YEAR(DATE(YEAR(TODAY()),MONTH(TODAY())+0,1)),2)</f>
        <v/>
      </c>
      <c r="D5" s="10">
        <f>CHOOSE(MONTH(DATE(YEAR(TODAY()),MONTH(TODAY())+1,1)),"Jan","Feb","Mar","Apr","May","Jun","Jul","Aug","Sep","Oct","Nov","Dec")&amp;" "&amp;RIGHT(YEAR(DATE(YEAR(TODAY()),MONTH(TODAY())+1,1)),2)</f>
        <v/>
      </c>
      <c r="E5" s="10">
        <f>CHOOSE(MONTH(DATE(YEAR(TODAY()),MONTH(TODAY())+2,1)),"Jan","Feb","Mar","Apr","May","Jun","Jul","Aug","Sep","Oct","Nov","Dec")&amp;" "&amp;RIGHT(YEAR(DATE(YEAR(TODAY()),MONTH(TODAY())+2,1)),2)</f>
        <v/>
      </c>
      <c r="F5" s="10">
        <f>CHOOSE(MONTH(DATE(YEAR(TODAY()),MONTH(TODAY())+3,1)),"Jan","Feb","Mar","Apr","May","Jun","Jul","Aug","Sep","Oct","Nov","Dec")&amp;" "&amp;RIGHT(YEAR(DATE(YEAR(TODAY()),MONTH(TODAY())+3,1)),2)</f>
        <v/>
      </c>
      <c r="G5" s="10">
        <f>CHOOSE(MONTH(DATE(YEAR(TODAY()),MONTH(TODAY())+4,1)),"Jan","Feb","Mar","Apr","May","Jun","Jul","Aug","Sep","Oct","Nov","Dec")&amp;" "&amp;RIGHT(YEAR(DATE(YEAR(TODAY()),MONTH(TODAY())+4,1)),2)</f>
        <v/>
      </c>
      <c r="H5" s="10">
        <f>CHOOSE(MONTH(DATE(YEAR(TODAY()),MONTH(TODAY())+5,1)),"Jan","Feb","Mar","Apr","May","Jun","Jul","Aug","Sep","Oct","Nov","Dec")&amp;" "&amp;RIGHT(YEAR(DATE(YEAR(TODAY()),MONTH(TODAY())+5,1)),2)</f>
        <v/>
      </c>
      <c r="I5" s="10">
        <f>CHOOSE(MONTH(DATE(YEAR(TODAY()),MONTH(TODAY())+6,1)),"Jan","Feb","Mar","Apr","May","Jun","Jul","Aug","Sep","Oct","Nov","Dec")&amp;" "&amp;RIGHT(YEAR(DATE(YEAR(TODAY()),MONTH(TODAY())+6,1)),2)</f>
        <v/>
      </c>
      <c r="J5" s="10">
        <f>CHOOSE(MONTH(DATE(YEAR(TODAY()),MONTH(TODAY())+7,1)),"Jan","Feb","Mar","Apr","May","Jun","Jul","Aug","Sep","Oct","Nov","Dec")&amp;" "&amp;RIGHT(YEAR(DATE(YEAR(TODAY()),MONTH(TODAY())+7,1)),2)</f>
        <v/>
      </c>
      <c r="K5" s="10">
        <f>CHOOSE(MONTH(DATE(YEAR(TODAY()),MONTH(TODAY())+8,1)),"Jan","Feb","Mar","Apr","May","Jun","Jul","Aug","Sep","Oct","Nov","Dec")&amp;" "&amp;RIGHT(YEAR(DATE(YEAR(TODAY()),MONTH(TODAY())+8,1)),2)</f>
        <v/>
      </c>
      <c r="L5" s="10">
        <f>CHOOSE(MONTH(DATE(YEAR(TODAY()),MONTH(TODAY())+9,1)),"Jan","Feb","Mar","Apr","May","Jun","Jul","Aug","Sep","Oct","Nov","Dec")&amp;" "&amp;RIGHT(YEAR(DATE(YEAR(TODAY()),MONTH(TODAY())+9,1)),2)</f>
        <v/>
      </c>
      <c r="M5" s="10">
        <f>CHOOSE(MONTH(DATE(YEAR(TODAY()),MONTH(TODAY())+10,1)),"Jan","Feb","Mar","Apr","May","Jun","Jul","Aug","Sep","Oct","Nov","Dec")&amp;" "&amp;RIGHT(YEAR(DATE(YEAR(TODAY()),MONTH(TODAY())+10,1)),2)</f>
        <v/>
      </c>
      <c r="N5" s="10">
        <f>CHOOSE(MONTH(DATE(YEAR(TODAY()),MONTH(TODAY())+11,1)),"Jan","Feb","Mar","Apr","May","Jun","Jul","Aug","Sep","Oct","Nov","Dec")&amp;" "&amp;RIGHT(YEAR(DATE(YEAR(TODAY()),MONTH(TODAY())+11,1)),2)</f>
        <v/>
      </c>
      <c r="O5" s="10" t="inlineStr">
        <is>
          <t>Total</t>
        </is>
      </c>
      <c r="P5" s="1" t="n"/>
    </row>
    <row r="6">
      <c r="A6" s="1" t="n"/>
      <c r="B6" s="28" t="inlineStr">
        <is>
          <t>Total</t>
        </is>
      </c>
      <c r="C6" s="29">
        <f>SUM(C7:C106)</f>
        <v/>
      </c>
      <c r="D6" s="29">
        <f>SUM(D7:D106)</f>
        <v/>
      </c>
      <c r="E6" s="29">
        <f>SUM(E7:E106)</f>
        <v/>
      </c>
      <c r="F6" s="29">
        <f>SUM(F7:F106)</f>
        <v/>
      </c>
      <c r="G6" s="29">
        <f>SUM(G7:G106)</f>
        <v/>
      </c>
      <c r="H6" s="29">
        <f>SUM(H7:H106)</f>
        <v/>
      </c>
      <c r="I6" s="29">
        <f>SUM(I7:I106)</f>
        <v/>
      </c>
      <c r="J6" s="29">
        <f>SUM(J7:J106)</f>
        <v/>
      </c>
      <c r="K6" s="29">
        <f>SUM(K7:K106)</f>
        <v/>
      </c>
      <c r="L6" s="29">
        <f>SUM(L7:L106)</f>
        <v/>
      </c>
      <c r="M6" s="29">
        <f>SUM(M7:M106)</f>
        <v/>
      </c>
      <c r="N6" s="29">
        <f>SUM(N7:N106)</f>
        <v/>
      </c>
      <c r="O6" s="29">
        <f>SUM(O7:O106)</f>
        <v/>
      </c>
      <c r="P6" s="1" t="n"/>
    </row>
    <row r="7">
      <c r="A7" s="1" t="n"/>
      <c r="B7" s="11">
        <f>IF(Tools!B6="","",Tools!B6)</f>
        <v/>
      </c>
      <c r="C7" s="30">
        <f>IF(OR(Tools!$B6="",Tools!$Q6=""),"",IF(AND(((YEAR(DATE(YEAR(TODAY()),MONTH(TODAY())+0,1))-YEAR(Tools!$Q6))*12+MONTH(DATE(YEAR(TODAY()),MONTH(TODAY())+0,1))-MONTH(Tools!$Q6))&gt;=0,MOD(((YEAR(DATE(YEAR(TODAY()),MONTH(TODAY())+0,1))-YEAR(Tools!$Q6))*12+MONTH(DATE(YEAR(TODAY()),MONTH(TODAY())+0,1))-MONTH(Tools!$Q6)),Tools!$U6)=0,OR(Tools!$L6="",EDATE(Tools!$Q6,((YEAR(DATE(YEAR(TODAY()),MONTH(TODAY())+0,1))-YEAR(Tools!$Q6))*12+MONTH(DATE(YEAR(TODAY()),MONTH(TODAY())+0,1))-MONTH(Tools!$Q6)))&lt;Tools!$L6)),Tools!$N6,""))</f>
        <v/>
      </c>
      <c r="D7" s="30">
        <f>IF(OR(Tools!$B6="",Tools!$Q6=""),"",IF(AND(((YEAR(DATE(YEAR(TODAY()),MONTH(TODAY())+1,1))-YEAR(Tools!$Q6))*12+MONTH(DATE(YEAR(TODAY()),MONTH(TODAY())+1,1))-MONTH(Tools!$Q6))&gt;=0,MOD(((YEAR(DATE(YEAR(TODAY()),MONTH(TODAY())+1,1))-YEAR(Tools!$Q6))*12+MONTH(DATE(YEAR(TODAY()),MONTH(TODAY())+1,1))-MONTH(Tools!$Q6)),Tools!$U6)=0,OR(Tools!$L6="",EDATE(Tools!$Q6,((YEAR(DATE(YEAR(TODAY()),MONTH(TODAY())+1,1))-YEAR(Tools!$Q6))*12+MONTH(DATE(YEAR(TODAY()),MONTH(TODAY())+1,1))-MONTH(Tools!$Q6)))&lt;Tools!$L6)),Tools!$N6,""))</f>
        <v/>
      </c>
      <c r="E7" s="30">
        <f>IF(OR(Tools!$B6="",Tools!$Q6=""),"",IF(AND(((YEAR(DATE(YEAR(TODAY()),MONTH(TODAY())+2,1))-YEAR(Tools!$Q6))*12+MONTH(DATE(YEAR(TODAY()),MONTH(TODAY())+2,1))-MONTH(Tools!$Q6))&gt;=0,MOD(((YEAR(DATE(YEAR(TODAY()),MONTH(TODAY())+2,1))-YEAR(Tools!$Q6))*12+MONTH(DATE(YEAR(TODAY()),MONTH(TODAY())+2,1))-MONTH(Tools!$Q6)),Tools!$U6)=0,OR(Tools!$L6="",EDATE(Tools!$Q6,((YEAR(DATE(YEAR(TODAY()),MONTH(TODAY())+2,1))-YEAR(Tools!$Q6))*12+MONTH(DATE(YEAR(TODAY()),MONTH(TODAY())+2,1))-MONTH(Tools!$Q6)))&lt;Tools!$L6)),Tools!$N6,""))</f>
        <v/>
      </c>
      <c r="F7" s="30">
        <f>IF(OR(Tools!$B6="",Tools!$Q6=""),"",IF(AND(((YEAR(DATE(YEAR(TODAY()),MONTH(TODAY())+3,1))-YEAR(Tools!$Q6))*12+MONTH(DATE(YEAR(TODAY()),MONTH(TODAY())+3,1))-MONTH(Tools!$Q6))&gt;=0,MOD(((YEAR(DATE(YEAR(TODAY()),MONTH(TODAY())+3,1))-YEAR(Tools!$Q6))*12+MONTH(DATE(YEAR(TODAY()),MONTH(TODAY())+3,1))-MONTH(Tools!$Q6)),Tools!$U6)=0,OR(Tools!$L6="",EDATE(Tools!$Q6,((YEAR(DATE(YEAR(TODAY()),MONTH(TODAY())+3,1))-YEAR(Tools!$Q6))*12+MONTH(DATE(YEAR(TODAY()),MONTH(TODAY())+3,1))-MONTH(Tools!$Q6)))&lt;Tools!$L6)),Tools!$N6,""))</f>
        <v/>
      </c>
      <c r="G7" s="30">
        <f>IF(OR(Tools!$B6="",Tools!$Q6=""),"",IF(AND(((YEAR(DATE(YEAR(TODAY()),MONTH(TODAY())+4,1))-YEAR(Tools!$Q6))*12+MONTH(DATE(YEAR(TODAY()),MONTH(TODAY())+4,1))-MONTH(Tools!$Q6))&gt;=0,MOD(((YEAR(DATE(YEAR(TODAY()),MONTH(TODAY())+4,1))-YEAR(Tools!$Q6))*12+MONTH(DATE(YEAR(TODAY()),MONTH(TODAY())+4,1))-MONTH(Tools!$Q6)),Tools!$U6)=0,OR(Tools!$L6="",EDATE(Tools!$Q6,((YEAR(DATE(YEAR(TODAY()),MONTH(TODAY())+4,1))-YEAR(Tools!$Q6))*12+MONTH(DATE(YEAR(TODAY()),MONTH(TODAY())+4,1))-MONTH(Tools!$Q6)))&lt;Tools!$L6)),Tools!$N6,""))</f>
        <v/>
      </c>
      <c r="H7" s="30">
        <f>IF(OR(Tools!$B6="",Tools!$Q6=""),"",IF(AND(((YEAR(DATE(YEAR(TODAY()),MONTH(TODAY())+5,1))-YEAR(Tools!$Q6))*12+MONTH(DATE(YEAR(TODAY()),MONTH(TODAY())+5,1))-MONTH(Tools!$Q6))&gt;=0,MOD(((YEAR(DATE(YEAR(TODAY()),MONTH(TODAY())+5,1))-YEAR(Tools!$Q6))*12+MONTH(DATE(YEAR(TODAY()),MONTH(TODAY())+5,1))-MONTH(Tools!$Q6)),Tools!$U6)=0,OR(Tools!$L6="",EDATE(Tools!$Q6,((YEAR(DATE(YEAR(TODAY()),MONTH(TODAY())+5,1))-YEAR(Tools!$Q6))*12+MONTH(DATE(YEAR(TODAY()),MONTH(TODAY())+5,1))-MONTH(Tools!$Q6)))&lt;Tools!$L6)),Tools!$N6,""))</f>
        <v/>
      </c>
      <c r="I7" s="30">
        <f>IF(OR(Tools!$B6="",Tools!$Q6=""),"",IF(AND(((YEAR(DATE(YEAR(TODAY()),MONTH(TODAY())+6,1))-YEAR(Tools!$Q6))*12+MONTH(DATE(YEAR(TODAY()),MONTH(TODAY())+6,1))-MONTH(Tools!$Q6))&gt;=0,MOD(((YEAR(DATE(YEAR(TODAY()),MONTH(TODAY())+6,1))-YEAR(Tools!$Q6))*12+MONTH(DATE(YEAR(TODAY()),MONTH(TODAY())+6,1))-MONTH(Tools!$Q6)),Tools!$U6)=0,OR(Tools!$L6="",EDATE(Tools!$Q6,((YEAR(DATE(YEAR(TODAY()),MONTH(TODAY())+6,1))-YEAR(Tools!$Q6))*12+MONTH(DATE(YEAR(TODAY()),MONTH(TODAY())+6,1))-MONTH(Tools!$Q6)))&lt;Tools!$L6)),Tools!$N6,""))</f>
        <v/>
      </c>
      <c r="J7" s="30">
        <f>IF(OR(Tools!$B6="",Tools!$Q6=""),"",IF(AND(((YEAR(DATE(YEAR(TODAY()),MONTH(TODAY())+7,1))-YEAR(Tools!$Q6))*12+MONTH(DATE(YEAR(TODAY()),MONTH(TODAY())+7,1))-MONTH(Tools!$Q6))&gt;=0,MOD(((YEAR(DATE(YEAR(TODAY()),MONTH(TODAY())+7,1))-YEAR(Tools!$Q6))*12+MONTH(DATE(YEAR(TODAY()),MONTH(TODAY())+7,1))-MONTH(Tools!$Q6)),Tools!$U6)=0,OR(Tools!$L6="",EDATE(Tools!$Q6,((YEAR(DATE(YEAR(TODAY()),MONTH(TODAY())+7,1))-YEAR(Tools!$Q6))*12+MONTH(DATE(YEAR(TODAY()),MONTH(TODAY())+7,1))-MONTH(Tools!$Q6)))&lt;Tools!$L6)),Tools!$N6,""))</f>
        <v/>
      </c>
      <c r="K7" s="30">
        <f>IF(OR(Tools!$B6="",Tools!$Q6=""),"",IF(AND(((YEAR(DATE(YEAR(TODAY()),MONTH(TODAY())+8,1))-YEAR(Tools!$Q6))*12+MONTH(DATE(YEAR(TODAY()),MONTH(TODAY())+8,1))-MONTH(Tools!$Q6))&gt;=0,MOD(((YEAR(DATE(YEAR(TODAY()),MONTH(TODAY())+8,1))-YEAR(Tools!$Q6))*12+MONTH(DATE(YEAR(TODAY()),MONTH(TODAY())+8,1))-MONTH(Tools!$Q6)),Tools!$U6)=0,OR(Tools!$L6="",EDATE(Tools!$Q6,((YEAR(DATE(YEAR(TODAY()),MONTH(TODAY())+8,1))-YEAR(Tools!$Q6))*12+MONTH(DATE(YEAR(TODAY()),MONTH(TODAY())+8,1))-MONTH(Tools!$Q6)))&lt;Tools!$L6)),Tools!$N6,""))</f>
        <v/>
      </c>
      <c r="L7" s="30">
        <f>IF(OR(Tools!$B6="",Tools!$Q6=""),"",IF(AND(((YEAR(DATE(YEAR(TODAY()),MONTH(TODAY())+9,1))-YEAR(Tools!$Q6))*12+MONTH(DATE(YEAR(TODAY()),MONTH(TODAY())+9,1))-MONTH(Tools!$Q6))&gt;=0,MOD(((YEAR(DATE(YEAR(TODAY()),MONTH(TODAY())+9,1))-YEAR(Tools!$Q6))*12+MONTH(DATE(YEAR(TODAY()),MONTH(TODAY())+9,1))-MONTH(Tools!$Q6)),Tools!$U6)=0,OR(Tools!$L6="",EDATE(Tools!$Q6,((YEAR(DATE(YEAR(TODAY()),MONTH(TODAY())+9,1))-YEAR(Tools!$Q6))*12+MONTH(DATE(YEAR(TODAY()),MONTH(TODAY())+9,1))-MONTH(Tools!$Q6)))&lt;Tools!$L6)),Tools!$N6,""))</f>
        <v/>
      </c>
      <c r="M7" s="30">
        <f>IF(OR(Tools!$B6="",Tools!$Q6=""),"",IF(AND(((YEAR(DATE(YEAR(TODAY()),MONTH(TODAY())+10,1))-YEAR(Tools!$Q6))*12+MONTH(DATE(YEAR(TODAY()),MONTH(TODAY())+10,1))-MONTH(Tools!$Q6))&gt;=0,MOD(((YEAR(DATE(YEAR(TODAY()),MONTH(TODAY())+10,1))-YEAR(Tools!$Q6))*12+MONTH(DATE(YEAR(TODAY()),MONTH(TODAY())+10,1))-MONTH(Tools!$Q6)),Tools!$U6)=0,OR(Tools!$L6="",EDATE(Tools!$Q6,((YEAR(DATE(YEAR(TODAY()),MONTH(TODAY())+10,1))-YEAR(Tools!$Q6))*12+MONTH(DATE(YEAR(TODAY()),MONTH(TODAY())+10,1))-MONTH(Tools!$Q6)))&lt;Tools!$L6)),Tools!$N6,""))</f>
        <v/>
      </c>
      <c r="N7" s="30">
        <f>IF(OR(Tools!$B6="",Tools!$Q6=""),"",IF(AND(((YEAR(DATE(YEAR(TODAY()),MONTH(TODAY())+11,1))-YEAR(Tools!$Q6))*12+MONTH(DATE(YEAR(TODAY()),MONTH(TODAY())+11,1))-MONTH(Tools!$Q6))&gt;=0,MOD(((YEAR(DATE(YEAR(TODAY()),MONTH(TODAY())+11,1))-YEAR(Tools!$Q6))*12+MONTH(DATE(YEAR(TODAY()),MONTH(TODAY())+11,1))-MONTH(Tools!$Q6)),Tools!$U6)=0,OR(Tools!$L6="",EDATE(Tools!$Q6,((YEAR(DATE(YEAR(TODAY()),MONTH(TODAY())+11,1))-YEAR(Tools!$Q6))*12+MONTH(DATE(YEAR(TODAY()),MONTH(TODAY())+11,1))-MONTH(Tools!$Q6)))&lt;Tools!$L6)),Tools!$N6,""))</f>
        <v/>
      </c>
      <c r="O7" s="31">
        <f>IF(B7="","",SUM(C7:N7))</f>
        <v/>
      </c>
      <c r="P7" s="1" t="n"/>
    </row>
    <row r="8">
      <c r="A8" s="1" t="n"/>
      <c r="B8" s="11">
        <f>IF(Tools!B7="","",Tools!B7)</f>
        <v/>
      </c>
      <c r="C8" s="30">
        <f>IF(OR(Tools!$B7="",Tools!$Q7=""),"",IF(AND(((YEAR(DATE(YEAR(TODAY()),MONTH(TODAY())+0,1))-YEAR(Tools!$Q7))*12+MONTH(DATE(YEAR(TODAY()),MONTH(TODAY())+0,1))-MONTH(Tools!$Q7))&gt;=0,MOD(((YEAR(DATE(YEAR(TODAY()),MONTH(TODAY())+0,1))-YEAR(Tools!$Q7))*12+MONTH(DATE(YEAR(TODAY()),MONTH(TODAY())+0,1))-MONTH(Tools!$Q7)),Tools!$U7)=0,OR(Tools!$L7="",EDATE(Tools!$Q7,((YEAR(DATE(YEAR(TODAY()),MONTH(TODAY())+0,1))-YEAR(Tools!$Q7))*12+MONTH(DATE(YEAR(TODAY()),MONTH(TODAY())+0,1))-MONTH(Tools!$Q7)))&lt;Tools!$L7)),Tools!$N7,""))</f>
        <v/>
      </c>
      <c r="D8" s="30">
        <f>IF(OR(Tools!$B7="",Tools!$Q7=""),"",IF(AND(((YEAR(DATE(YEAR(TODAY()),MONTH(TODAY())+1,1))-YEAR(Tools!$Q7))*12+MONTH(DATE(YEAR(TODAY()),MONTH(TODAY())+1,1))-MONTH(Tools!$Q7))&gt;=0,MOD(((YEAR(DATE(YEAR(TODAY()),MONTH(TODAY())+1,1))-YEAR(Tools!$Q7))*12+MONTH(DATE(YEAR(TODAY()),MONTH(TODAY())+1,1))-MONTH(Tools!$Q7)),Tools!$U7)=0,OR(Tools!$L7="",EDATE(Tools!$Q7,((YEAR(DATE(YEAR(TODAY()),MONTH(TODAY())+1,1))-YEAR(Tools!$Q7))*12+MONTH(DATE(YEAR(TODAY()),MONTH(TODAY())+1,1))-MONTH(Tools!$Q7)))&lt;Tools!$L7)),Tools!$N7,""))</f>
        <v/>
      </c>
      <c r="E8" s="30">
        <f>IF(OR(Tools!$B7="",Tools!$Q7=""),"",IF(AND(((YEAR(DATE(YEAR(TODAY()),MONTH(TODAY())+2,1))-YEAR(Tools!$Q7))*12+MONTH(DATE(YEAR(TODAY()),MONTH(TODAY())+2,1))-MONTH(Tools!$Q7))&gt;=0,MOD(((YEAR(DATE(YEAR(TODAY()),MONTH(TODAY())+2,1))-YEAR(Tools!$Q7))*12+MONTH(DATE(YEAR(TODAY()),MONTH(TODAY())+2,1))-MONTH(Tools!$Q7)),Tools!$U7)=0,OR(Tools!$L7="",EDATE(Tools!$Q7,((YEAR(DATE(YEAR(TODAY()),MONTH(TODAY())+2,1))-YEAR(Tools!$Q7))*12+MONTH(DATE(YEAR(TODAY()),MONTH(TODAY())+2,1))-MONTH(Tools!$Q7)))&lt;Tools!$L7)),Tools!$N7,""))</f>
        <v/>
      </c>
      <c r="F8" s="30">
        <f>IF(OR(Tools!$B7="",Tools!$Q7=""),"",IF(AND(((YEAR(DATE(YEAR(TODAY()),MONTH(TODAY())+3,1))-YEAR(Tools!$Q7))*12+MONTH(DATE(YEAR(TODAY()),MONTH(TODAY())+3,1))-MONTH(Tools!$Q7))&gt;=0,MOD(((YEAR(DATE(YEAR(TODAY()),MONTH(TODAY())+3,1))-YEAR(Tools!$Q7))*12+MONTH(DATE(YEAR(TODAY()),MONTH(TODAY())+3,1))-MONTH(Tools!$Q7)),Tools!$U7)=0,OR(Tools!$L7="",EDATE(Tools!$Q7,((YEAR(DATE(YEAR(TODAY()),MONTH(TODAY())+3,1))-YEAR(Tools!$Q7))*12+MONTH(DATE(YEAR(TODAY()),MONTH(TODAY())+3,1))-MONTH(Tools!$Q7)))&lt;Tools!$L7)),Tools!$N7,""))</f>
        <v/>
      </c>
      <c r="G8" s="30">
        <f>IF(OR(Tools!$B7="",Tools!$Q7=""),"",IF(AND(((YEAR(DATE(YEAR(TODAY()),MONTH(TODAY())+4,1))-YEAR(Tools!$Q7))*12+MONTH(DATE(YEAR(TODAY()),MONTH(TODAY())+4,1))-MONTH(Tools!$Q7))&gt;=0,MOD(((YEAR(DATE(YEAR(TODAY()),MONTH(TODAY())+4,1))-YEAR(Tools!$Q7))*12+MONTH(DATE(YEAR(TODAY()),MONTH(TODAY())+4,1))-MONTH(Tools!$Q7)),Tools!$U7)=0,OR(Tools!$L7="",EDATE(Tools!$Q7,((YEAR(DATE(YEAR(TODAY()),MONTH(TODAY())+4,1))-YEAR(Tools!$Q7))*12+MONTH(DATE(YEAR(TODAY()),MONTH(TODAY())+4,1))-MONTH(Tools!$Q7)))&lt;Tools!$L7)),Tools!$N7,""))</f>
        <v/>
      </c>
      <c r="H8" s="30">
        <f>IF(OR(Tools!$B7="",Tools!$Q7=""),"",IF(AND(((YEAR(DATE(YEAR(TODAY()),MONTH(TODAY())+5,1))-YEAR(Tools!$Q7))*12+MONTH(DATE(YEAR(TODAY()),MONTH(TODAY())+5,1))-MONTH(Tools!$Q7))&gt;=0,MOD(((YEAR(DATE(YEAR(TODAY()),MONTH(TODAY())+5,1))-YEAR(Tools!$Q7))*12+MONTH(DATE(YEAR(TODAY()),MONTH(TODAY())+5,1))-MONTH(Tools!$Q7)),Tools!$U7)=0,OR(Tools!$L7="",EDATE(Tools!$Q7,((YEAR(DATE(YEAR(TODAY()),MONTH(TODAY())+5,1))-YEAR(Tools!$Q7))*12+MONTH(DATE(YEAR(TODAY()),MONTH(TODAY())+5,1))-MONTH(Tools!$Q7)))&lt;Tools!$L7)),Tools!$N7,""))</f>
        <v/>
      </c>
      <c r="I8" s="30">
        <f>IF(OR(Tools!$B7="",Tools!$Q7=""),"",IF(AND(((YEAR(DATE(YEAR(TODAY()),MONTH(TODAY())+6,1))-YEAR(Tools!$Q7))*12+MONTH(DATE(YEAR(TODAY()),MONTH(TODAY())+6,1))-MONTH(Tools!$Q7))&gt;=0,MOD(((YEAR(DATE(YEAR(TODAY()),MONTH(TODAY())+6,1))-YEAR(Tools!$Q7))*12+MONTH(DATE(YEAR(TODAY()),MONTH(TODAY())+6,1))-MONTH(Tools!$Q7)),Tools!$U7)=0,OR(Tools!$L7="",EDATE(Tools!$Q7,((YEAR(DATE(YEAR(TODAY()),MONTH(TODAY())+6,1))-YEAR(Tools!$Q7))*12+MONTH(DATE(YEAR(TODAY()),MONTH(TODAY())+6,1))-MONTH(Tools!$Q7)))&lt;Tools!$L7)),Tools!$N7,""))</f>
        <v/>
      </c>
      <c r="J8" s="30">
        <f>IF(OR(Tools!$B7="",Tools!$Q7=""),"",IF(AND(((YEAR(DATE(YEAR(TODAY()),MONTH(TODAY())+7,1))-YEAR(Tools!$Q7))*12+MONTH(DATE(YEAR(TODAY()),MONTH(TODAY())+7,1))-MONTH(Tools!$Q7))&gt;=0,MOD(((YEAR(DATE(YEAR(TODAY()),MONTH(TODAY())+7,1))-YEAR(Tools!$Q7))*12+MONTH(DATE(YEAR(TODAY()),MONTH(TODAY())+7,1))-MONTH(Tools!$Q7)),Tools!$U7)=0,OR(Tools!$L7="",EDATE(Tools!$Q7,((YEAR(DATE(YEAR(TODAY()),MONTH(TODAY())+7,1))-YEAR(Tools!$Q7))*12+MONTH(DATE(YEAR(TODAY()),MONTH(TODAY())+7,1))-MONTH(Tools!$Q7)))&lt;Tools!$L7)),Tools!$N7,""))</f>
        <v/>
      </c>
      <c r="K8" s="30">
        <f>IF(OR(Tools!$B7="",Tools!$Q7=""),"",IF(AND(((YEAR(DATE(YEAR(TODAY()),MONTH(TODAY())+8,1))-YEAR(Tools!$Q7))*12+MONTH(DATE(YEAR(TODAY()),MONTH(TODAY())+8,1))-MONTH(Tools!$Q7))&gt;=0,MOD(((YEAR(DATE(YEAR(TODAY()),MONTH(TODAY())+8,1))-YEAR(Tools!$Q7))*12+MONTH(DATE(YEAR(TODAY()),MONTH(TODAY())+8,1))-MONTH(Tools!$Q7)),Tools!$U7)=0,OR(Tools!$L7="",EDATE(Tools!$Q7,((YEAR(DATE(YEAR(TODAY()),MONTH(TODAY())+8,1))-YEAR(Tools!$Q7))*12+MONTH(DATE(YEAR(TODAY()),MONTH(TODAY())+8,1))-MONTH(Tools!$Q7)))&lt;Tools!$L7)),Tools!$N7,""))</f>
        <v/>
      </c>
      <c r="L8" s="30">
        <f>IF(OR(Tools!$B7="",Tools!$Q7=""),"",IF(AND(((YEAR(DATE(YEAR(TODAY()),MONTH(TODAY())+9,1))-YEAR(Tools!$Q7))*12+MONTH(DATE(YEAR(TODAY()),MONTH(TODAY())+9,1))-MONTH(Tools!$Q7))&gt;=0,MOD(((YEAR(DATE(YEAR(TODAY()),MONTH(TODAY())+9,1))-YEAR(Tools!$Q7))*12+MONTH(DATE(YEAR(TODAY()),MONTH(TODAY())+9,1))-MONTH(Tools!$Q7)),Tools!$U7)=0,OR(Tools!$L7="",EDATE(Tools!$Q7,((YEAR(DATE(YEAR(TODAY()),MONTH(TODAY())+9,1))-YEAR(Tools!$Q7))*12+MONTH(DATE(YEAR(TODAY()),MONTH(TODAY())+9,1))-MONTH(Tools!$Q7)))&lt;Tools!$L7)),Tools!$N7,""))</f>
        <v/>
      </c>
      <c r="M8" s="30">
        <f>IF(OR(Tools!$B7="",Tools!$Q7=""),"",IF(AND(((YEAR(DATE(YEAR(TODAY()),MONTH(TODAY())+10,1))-YEAR(Tools!$Q7))*12+MONTH(DATE(YEAR(TODAY()),MONTH(TODAY())+10,1))-MONTH(Tools!$Q7))&gt;=0,MOD(((YEAR(DATE(YEAR(TODAY()),MONTH(TODAY())+10,1))-YEAR(Tools!$Q7))*12+MONTH(DATE(YEAR(TODAY()),MONTH(TODAY())+10,1))-MONTH(Tools!$Q7)),Tools!$U7)=0,OR(Tools!$L7="",EDATE(Tools!$Q7,((YEAR(DATE(YEAR(TODAY()),MONTH(TODAY())+10,1))-YEAR(Tools!$Q7))*12+MONTH(DATE(YEAR(TODAY()),MONTH(TODAY())+10,1))-MONTH(Tools!$Q7)))&lt;Tools!$L7)),Tools!$N7,""))</f>
        <v/>
      </c>
      <c r="N8" s="30">
        <f>IF(OR(Tools!$B7="",Tools!$Q7=""),"",IF(AND(((YEAR(DATE(YEAR(TODAY()),MONTH(TODAY())+11,1))-YEAR(Tools!$Q7))*12+MONTH(DATE(YEAR(TODAY()),MONTH(TODAY())+11,1))-MONTH(Tools!$Q7))&gt;=0,MOD(((YEAR(DATE(YEAR(TODAY()),MONTH(TODAY())+11,1))-YEAR(Tools!$Q7))*12+MONTH(DATE(YEAR(TODAY()),MONTH(TODAY())+11,1))-MONTH(Tools!$Q7)),Tools!$U7)=0,OR(Tools!$L7="",EDATE(Tools!$Q7,((YEAR(DATE(YEAR(TODAY()),MONTH(TODAY())+11,1))-YEAR(Tools!$Q7))*12+MONTH(DATE(YEAR(TODAY()),MONTH(TODAY())+11,1))-MONTH(Tools!$Q7)))&lt;Tools!$L7)),Tools!$N7,""))</f>
        <v/>
      </c>
      <c r="O8" s="31">
        <f>IF(B8="","",SUM(C8:N8))</f>
        <v/>
      </c>
      <c r="P8" s="1" t="n"/>
    </row>
    <row r="9">
      <c r="A9" s="1" t="n"/>
      <c r="B9" s="11">
        <f>IF(Tools!B8="","",Tools!B8)</f>
        <v/>
      </c>
      <c r="C9" s="30">
        <f>IF(OR(Tools!$B8="",Tools!$Q8=""),"",IF(AND(((YEAR(DATE(YEAR(TODAY()),MONTH(TODAY())+0,1))-YEAR(Tools!$Q8))*12+MONTH(DATE(YEAR(TODAY()),MONTH(TODAY())+0,1))-MONTH(Tools!$Q8))&gt;=0,MOD(((YEAR(DATE(YEAR(TODAY()),MONTH(TODAY())+0,1))-YEAR(Tools!$Q8))*12+MONTH(DATE(YEAR(TODAY()),MONTH(TODAY())+0,1))-MONTH(Tools!$Q8)),Tools!$U8)=0,OR(Tools!$L8="",EDATE(Tools!$Q8,((YEAR(DATE(YEAR(TODAY()),MONTH(TODAY())+0,1))-YEAR(Tools!$Q8))*12+MONTH(DATE(YEAR(TODAY()),MONTH(TODAY())+0,1))-MONTH(Tools!$Q8)))&lt;Tools!$L8)),Tools!$N8,""))</f>
        <v/>
      </c>
      <c r="D9" s="30">
        <f>IF(OR(Tools!$B8="",Tools!$Q8=""),"",IF(AND(((YEAR(DATE(YEAR(TODAY()),MONTH(TODAY())+1,1))-YEAR(Tools!$Q8))*12+MONTH(DATE(YEAR(TODAY()),MONTH(TODAY())+1,1))-MONTH(Tools!$Q8))&gt;=0,MOD(((YEAR(DATE(YEAR(TODAY()),MONTH(TODAY())+1,1))-YEAR(Tools!$Q8))*12+MONTH(DATE(YEAR(TODAY()),MONTH(TODAY())+1,1))-MONTH(Tools!$Q8)),Tools!$U8)=0,OR(Tools!$L8="",EDATE(Tools!$Q8,((YEAR(DATE(YEAR(TODAY()),MONTH(TODAY())+1,1))-YEAR(Tools!$Q8))*12+MONTH(DATE(YEAR(TODAY()),MONTH(TODAY())+1,1))-MONTH(Tools!$Q8)))&lt;Tools!$L8)),Tools!$N8,""))</f>
        <v/>
      </c>
      <c r="E9" s="30">
        <f>IF(OR(Tools!$B8="",Tools!$Q8=""),"",IF(AND(((YEAR(DATE(YEAR(TODAY()),MONTH(TODAY())+2,1))-YEAR(Tools!$Q8))*12+MONTH(DATE(YEAR(TODAY()),MONTH(TODAY())+2,1))-MONTH(Tools!$Q8))&gt;=0,MOD(((YEAR(DATE(YEAR(TODAY()),MONTH(TODAY())+2,1))-YEAR(Tools!$Q8))*12+MONTH(DATE(YEAR(TODAY()),MONTH(TODAY())+2,1))-MONTH(Tools!$Q8)),Tools!$U8)=0,OR(Tools!$L8="",EDATE(Tools!$Q8,((YEAR(DATE(YEAR(TODAY()),MONTH(TODAY())+2,1))-YEAR(Tools!$Q8))*12+MONTH(DATE(YEAR(TODAY()),MONTH(TODAY())+2,1))-MONTH(Tools!$Q8)))&lt;Tools!$L8)),Tools!$N8,""))</f>
        <v/>
      </c>
      <c r="F9" s="30">
        <f>IF(OR(Tools!$B8="",Tools!$Q8=""),"",IF(AND(((YEAR(DATE(YEAR(TODAY()),MONTH(TODAY())+3,1))-YEAR(Tools!$Q8))*12+MONTH(DATE(YEAR(TODAY()),MONTH(TODAY())+3,1))-MONTH(Tools!$Q8))&gt;=0,MOD(((YEAR(DATE(YEAR(TODAY()),MONTH(TODAY())+3,1))-YEAR(Tools!$Q8))*12+MONTH(DATE(YEAR(TODAY()),MONTH(TODAY())+3,1))-MONTH(Tools!$Q8)),Tools!$U8)=0,OR(Tools!$L8="",EDATE(Tools!$Q8,((YEAR(DATE(YEAR(TODAY()),MONTH(TODAY())+3,1))-YEAR(Tools!$Q8))*12+MONTH(DATE(YEAR(TODAY()),MONTH(TODAY())+3,1))-MONTH(Tools!$Q8)))&lt;Tools!$L8)),Tools!$N8,""))</f>
        <v/>
      </c>
      <c r="G9" s="30">
        <f>IF(OR(Tools!$B8="",Tools!$Q8=""),"",IF(AND(((YEAR(DATE(YEAR(TODAY()),MONTH(TODAY())+4,1))-YEAR(Tools!$Q8))*12+MONTH(DATE(YEAR(TODAY()),MONTH(TODAY())+4,1))-MONTH(Tools!$Q8))&gt;=0,MOD(((YEAR(DATE(YEAR(TODAY()),MONTH(TODAY())+4,1))-YEAR(Tools!$Q8))*12+MONTH(DATE(YEAR(TODAY()),MONTH(TODAY())+4,1))-MONTH(Tools!$Q8)),Tools!$U8)=0,OR(Tools!$L8="",EDATE(Tools!$Q8,((YEAR(DATE(YEAR(TODAY()),MONTH(TODAY())+4,1))-YEAR(Tools!$Q8))*12+MONTH(DATE(YEAR(TODAY()),MONTH(TODAY())+4,1))-MONTH(Tools!$Q8)))&lt;Tools!$L8)),Tools!$N8,""))</f>
        <v/>
      </c>
      <c r="H9" s="30">
        <f>IF(OR(Tools!$B8="",Tools!$Q8=""),"",IF(AND(((YEAR(DATE(YEAR(TODAY()),MONTH(TODAY())+5,1))-YEAR(Tools!$Q8))*12+MONTH(DATE(YEAR(TODAY()),MONTH(TODAY())+5,1))-MONTH(Tools!$Q8))&gt;=0,MOD(((YEAR(DATE(YEAR(TODAY()),MONTH(TODAY())+5,1))-YEAR(Tools!$Q8))*12+MONTH(DATE(YEAR(TODAY()),MONTH(TODAY())+5,1))-MONTH(Tools!$Q8)),Tools!$U8)=0,OR(Tools!$L8="",EDATE(Tools!$Q8,((YEAR(DATE(YEAR(TODAY()),MONTH(TODAY())+5,1))-YEAR(Tools!$Q8))*12+MONTH(DATE(YEAR(TODAY()),MONTH(TODAY())+5,1))-MONTH(Tools!$Q8)))&lt;Tools!$L8)),Tools!$N8,""))</f>
        <v/>
      </c>
      <c r="I9" s="30">
        <f>IF(OR(Tools!$B8="",Tools!$Q8=""),"",IF(AND(((YEAR(DATE(YEAR(TODAY()),MONTH(TODAY())+6,1))-YEAR(Tools!$Q8))*12+MONTH(DATE(YEAR(TODAY()),MONTH(TODAY())+6,1))-MONTH(Tools!$Q8))&gt;=0,MOD(((YEAR(DATE(YEAR(TODAY()),MONTH(TODAY())+6,1))-YEAR(Tools!$Q8))*12+MONTH(DATE(YEAR(TODAY()),MONTH(TODAY())+6,1))-MONTH(Tools!$Q8)),Tools!$U8)=0,OR(Tools!$L8="",EDATE(Tools!$Q8,((YEAR(DATE(YEAR(TODAY()),MONTH(TODAY())+6,1))-YEAR(Tools!$Q8))*12+MONTH(DATE(YEAR(TODAY()),MONTH(TODAY())+6,1))-MONTH(Tools!$Q8)))&lt;Tools!$L8)),Tools!$N8,""))</f>
        <v/>
      </c>
      <c r="J9" s="30">
        <f>IF(OR(Tools!$B8="",Tools!$Q8=""),"",IF(AND(((YEAR(DATE(YEAR(TODAY()),MONTH(TODAY())+7,1))-YEAR(Tools!$Q8))*12+MONTH(DATE(YEAR(TODAY()),MONTH(TODAY())+7,1))-MONTH(Tools!$Q8))&gt;=0,MOD(((YEAR(DATE(YEAR(TODAY()),MONTH(TODAY())+7,1))-YEAR(Tools!$Q8))*12+MONTH(DATE(YEAR(TODAY()),MONTH(TODAY())+7,1))-MONTH(Tools!$Q8)),Tools!$U8)=0,OR(Tools!$L8="",EDATE(Tools!$Q8,((YEAR(DATE(YEAR(TODAY()),MONTH(TODAY())+7,1))-YEAR(Tools!$Q8))*12+MONTH(DATE(YEAR(TODAY()),MONTH(TODAY())+7,1))-MONTH(Tools!$Q8)))&lt;Tools!$L8)),Tools!$N8,""))</f>
        <v/>
      </c>
      <c r="K9" s="30">
        <f>IF(OR(Tools!$B8="",Tools!$Q8=""),"",IF(AND(((YEAR(DATE(YEAR(TODAY()),MONTH(TODAY())+8,1))-YEAR(Tools!$Q8))*12+MONTH(DATE(YEAR(TODAY()),MONTH(TODAY())+8,1))-MONTH(Tools!$Q8))&gt;=0,MOD(((YEAR(DATE(YEAR(TODAY()),MONTH(TODAY())+8,1))-YEAR(Tools!$Q8))*12+MONTH(DATE(YEAR(TODAY()),MONTH(TODAY())+8,1))-MONTH(Tools!$Q8)),Tools!$U8)=0,OR(Tools!$L8="",EDATE(Tools!$Q8,((YEAR(DATE(YEAR(TODAY()),MONTH(TODAY())+8,1))-YEAR(Tools!$Q8))*12+MONTH(DATE(YEAR(TODAY()),MONTH(TODAY())+8,1))-MONTH(Tools!$Q8)))&lt;Tools!$L8)),Tools!$N8,""))</f>
        <v/>
      </c>
      <c r="L9" s="30">
        <f>IF(OR(Tools!$B8="",Tools!$Q8=""),"",IF(AND(((YEAR(DATE(YEAR(TODAY()),MONTH(TODAY())+9,1))-YEAR(Tools!$Q8))*12+MONTH(DATE(YEAR(TODAY()),MONTH(TODAY())+9,1))-MONTH(Tools!$Q8))&gt;=0,MOD(((YEAR(DATE(YEAR(TODAY()),MONTH(TODAY())+9,1))-YEAR(Tools!$Q8))*12+MONTH(DATE(YEAR(TODAY()),MONTH(TODAY())+9,1))-MONTH(Tools!$Q8)),Tools!$U8)=0,OR(Tools!$L8="",EDATE(Tools!$Q8,((YEAR(DATE(YEAR(TODAY()),MONTH(TODAY())+9,1))-YEAR(Tools!$Q8))*12+MONTH(DATE(YEAR(TODAY()),MONTH(TODAY())+9,1))-MONTH(Tools!$Q8)))&lt;Tools!$L8)),Tools!$N8,""))</f>
        <v/>
      </c>
      <c r="M9" s="30">
        <f>IF(OR(Tools!$B8="",Tools!$Q8=""),"",IF(AND(((YEAR(DATE(YEAR(TODAY()),MONTH(TODAY())+10,1))-YEAR(Tools!$Q8))*12+MONTH(DATE(YEAR(TODAY()),MONTH(TODAY())+10,1))-MONTH(Tools!$Q8))&gt;=0,MOD(((YEAR(DATE(YEAR(TODAY()),MONTH(TODAY())+10,1))-YEAR(Tools!$Q8))*12+MONTH(DATE(YEAR(TODAY()),MONTH(TODAY())+10,1))-MONTH(Tools!$Q8)),Tools!$U8)=0,OR(Tools!$L8="",EDATE(Tools!$Q8,((YEAR(DATE(YEAR(TODAY()),MONTH(TODAY())+10,1))-YEAR(Tools!$Q8))*12+MONTH(DATE(YEAR(TODAY()),MONTH(TODAY())+10,1))-MONTH(Tools!$Q8)))&lt;Tools!$L8)),Tools!$N8,""))</f>
        <v/>
      </c>
      <c r="N9" s="30">
        <f>IF(OR(Tools!$B8="",Tools!$Q8=""),"",IF(AND(((YEAR(DATE(YEAR(TODAY()),MONTH(TODAY())+11,1))-YEAR(Tools!$Q8))*12+MONTH(DATE(YEAR(TODAY()),MONTH(TODAY())+11,1))-MONTH(Tools!$Q8))&gt;=0,MOD(((YEAR(DATE(YEAR(TODAY()),MONTH(TODAY())+11,1))-YEAR(Tools!$Q8))*12+MONTH(DATE(YEAR(TODAY()),MONTH(TODAY())+11,1))-MONTH(Tools!$Q8)),Tools!$U8)=0,OR(Tools!$L8="",EDATE(Tools!$Q8,((YEAR(DATE(YEAR(TODAY()),MONTH(TODAY())+11,1))-YEAR(Tools!$Q8))*12+MONTH(DATE(YEAR(TODAY()),MONTH(TODAY())+11,1))-MONTH(Tools!$Q8)))&lt;Tools!$L8)),Tools!$N8,""))</f>
        <v/>
      </c>
      <c r="O9" s="31">
        <f>IF(B9="","",SUM(C9:N9))</f>
        <v/>
      </c>
      <c r="P9" s="1" t="n"/>
    </row>
    <row r="10">
      <c r="A10" s="1" t="n"/>
      <c r="B10" s="11">
        <f>IF(Tools!B9="","",Tools!B9)</f>
        <v/>
      </c>
      <c r="C10" s="30">
        <f>IF(OR(Tools!$B9="",Tools!$Q9=""),"",IF(AND(((YEAR(DATE(YEAR(TODAY()),MONTH(TODAY())+0,1))-YEAR(Tools!$Q9))*12+MONTH(DATE(YEAR(TODAY()),MONTH(TODAY())+0,1))-MONTH(Tools!$Q9))&gt;=0,MOD(((YEAR(DATE(YEAR(TODAY()),MONTH(TODAY())+0,1))-YEAR(Tools!$Q9))*12+MONTH(DATE(YEAR(TODAY()),MONTH(TODAY())+0,1))-MONTH(Tools!$Q9)),Tools!$U9)=0,OR(Tools!$L9="",EDATE(Tools!$Q9,((YEAR(DATE(YEAR(TODAY()),MONTH(TODAY())+0,1))-YEAR(Tools!$Q9))*12+MONTH(DATE(YEAR(TODAY()),MONTH(TODAY())+0,1))-MONTH(Tools!$Q9)))&lt;Tools!$L9)),Tools!$N9,""))</f>
        <v/>
      </c>
      <c r="D10" s="30">
        <f>IF(OR(Tools!$B9="",Tools!$Q9=""),"",IF(AND(((YEAR(DATE(YEAR(TODAY()),MONTH(TODAY())+1,1))-YEAR(Tools!$Q9))*12+MONTH(DATE(YEAR(TODAY()),MONTH(TODAY())+1,1))-MONTH(Tools!$Q9))&gt;=0,MOD(((YEAR(DATE(YEAR(TODAY()),MONTH(TODAY())+1,1))-YEAR(Tools!$Q9))*12+MONTH(DATE(YEAR(TODAY()),MONTH(TODAY())+1,1))-MONTH(Tools!$Q9)),Tools!$U9)=0,OR(Tools!$L9="",EDATE(Tools!$Q9,((YEAR(DATE(YEAR(TODAY()),MONTH(TODAY())+1,1))-YEAR(Tools!$Q9))*12+MONTH(DATE(YEAR(TODAY()),MONTH(TODAY())+1,1))-MONTH(Tools!$Q9)))&lt;Tools!$L9)),Tools!$N9,""))</f>
        <v/>
      </c>
      <c r="E10" s="30">
        <f>IF(OR(Tools!$B9="",Tools!$Q9=""),"",IF(AND(((YEAR(DATE(YEAR(TODAY()),MONTH(TODAY())+2,1))-YEAR(Tools!$Q9))*12+MONTH(DATE(YEAR(TODAY()),MONTH(TODAY())+2,1))-MONTH(Tools!$Q9))&gt;=0,MOD(((YEAR(DATE(YEAR(TODAY()),MONTH(TODAY())+2,1))-YEAR(Tools!$Q9))*12+MONTH(DATE(YEAR(TODAY()),MONTH(TODAY())+2,1))-MONTH(Tools!$Q9)),Tools!$U9)=0,OR(Tools!$L9="",EDATE(Tools!$Q9,((YEAR(DATE(YEAR(TODAY()),MONTH(TODAY())+2,1))-YEAR(Tools!$Q9))*12+MONTH(DATE(YEAR(TODAY()),MONTH(TODAY())+2,1))-MONTH(Tools!$Q9)))&lt;Tools!$L9)),Tools!$N9,""))</f>
        <v/>
      </c>
      <c r="F10" s="30">
        <f>IF(OR(Tools!$B9="",Tools!$Q9=""),"",IF(AND(((YEAR(DATE(YEAR(TODAY()),MONTH(TODAY())+3,1))-YEAR(Tools!$Q9))*12+MONTH(DATE(YEAR(TODAY()),MONTH(TODAY())+3,1))-MONTH(Tools!$Q9))&gt;=0,MOD(((YEAR(DATE(YEAR(TODAY()),MONTH(TODAY())+3,1))-YEAR(Tools!$Q9))*12+MONTH(DATE(YEAR(TODAY()),MONTH(TODAY())+3,1))-MONTH(Tools!$Q9)),Tools!$U9)=0,OR(Tools!$L9="",EDATE(Tools!$Q9,((YEAR(DATE(YEAR(TODAY()),MONTH(TODAY())+3,1))-YEAR(Tools!$Q9))*12+MONTH(DATE(YEAR(TODAY()),MONTH(TODAY())+3,1))-MONTH(Tools!$Q9)))&lt;Tools!$L9)),Tools!$N9,""))</f>
        <v/>
      </c>
      <c r="G10" s="30">
        <f>IF(OR(Tools!$B9="",Tools!$Q9=""),"",IF(AND(((YEAR(DATE(YEAR(TODAY()),MONTH(TODAY())+4,1))-YEAR(Tools!$Q9))*12+MONTH(DATE(YEAR(TODAY()),MONTH(TODAY())+4,1))-MONTH(Tools!$Q9))&gt;=0,MOD(((YEAR(DATE(YEAR(TODAY()),MONTH(TODAY())+4,1))-YEAR(Tools!$Q9))*12+MONTH(DATE(YEAR(TODAY()),MONTH(TODAY())+4,1))-MONTH(Tools!$Q9)),Tools!$U9)=0,OR(Tools!$L9="",EDATE(Tools!$Q9,((YEAR(DATE(YEAR(TODAY()),MONTH(TODAY())+4,1))-YEAR(Tools!$Q9))*12+MONTH(DATE(YEAR(TODAY()),MONTH(TODAY())+4,1))-MONTH(Tools!$Q9)))&lt;Tools!$L9)),Tools!$N9,""))</f>
        <v/>
      </c>
      <c r="H10" s="30">
        <f>IF(OR(Tools!$B9="",Tools!$Q9=""),"",IF(AND(((YEAR(DATE(YEAR(TODAY()),MONTH(TODAY())+5,1))-YEAR(Tools!$Q9))*12+MONTH(DATE(YEAR(TODAY()),MONTH(TODAY())+5,1))-MONTH(Tools!$Q9))&gt;=0,MOD(((YEAR(DATE(YEAR(TODAY()),MONTH(TODAY())+5,1))-YEAR(Tools!$Q9))*12+MONTH(DATE(YEAR(TODAY()),MONTH(TODAY())+5,1))-MONTH(Tools!$Q9)),Tools!$U9)=0,OR(Tools!$L9="",EDATE(Tools!$Q9,((YEAR(DATE(YEAR(TODAY()),MONTH(TODAY())+5,1))-YEAR(Tools!$Q9))*12+MONTH(DATE(YEAR(TODAY()),MONTH(TODAY())+5,1))-MONTH(Tools!$Q9)))&lt;Tools!$L9)),Tools!$N9,""))</f>
        <v/>
      </c>
      <c r="I10" s="30">
        <f>IF(OR(Tools!$B9="",Tools!$Q9=""),"",IF(AND(((YEAR(DATE(YEAR(TODAY()),MONTH(TODAY())+6,1))-YEAR(Tools!$Q9))*12+MONTH(DATE(YEAR(TODAY()),MONTH(TODAY())+6,1))-MONTH(Tools!$Q9))&gt;=0,MOD(((YEAR(DATE(YEAR(TODAY()),MONTH(TODAY())+6,1))-YEAR(Tools!$Q9))*12+MONTH(DATE(YEAR(TODAY()),MONTH(TODAY())+6,1))-MONTH(Tools!$Q9)),Tools!$U9)=0,OR(Tools!$L9="",EDATE(Tools!$Q9,((YEAR(DATE(YEAR(TODAY()),MONTH(TODAY())+6,1))-YEAR(Tools!$Q9))*12+MONTH(DATE(YEAR(TODAY()),MONTH(TODAY())+6,1))-MONTH(Tools!$Q9)))&lt;Tools!$L9)),Tools!$N9,""))</f>
        <v/>
      </c>
      <c r="J10" s="30">
        <f>IF(OR(Tools!$B9="",Tools!$Q9=""),"",IF(AND(((YEAR(DATE(YEAR(TODAY()),MONTH(TODAY())+7,1))-YEAR(Tools!$Q9))*12+MONTH(DATE(YEAR(TODAY()),MONTH(TODAY())+7,1))-MONTH(Tools!$Q9))&gt;=0,MOD(((YEAR(DATE(YEAR(TODAY()),MONTH(TODAY())+7,1))-YEAR(Tools!$Q9))*12+MONTH(DATE(YEAR(TODAY()),MONTH(TODAY())+7,1))-MONTH(Tools!$Q9)),Tools!$U9)=0,OR(Tools!$L9="",EDATE(Tools!$Q9,((YEAR(DATE(YEAR(TODAY()),MONTH(TODAY())+7,1))-YEAR(Tools!$Q9))*12+MONTH(DATE(YEAR(TODAY()),MONTH(TODAY())+7,1))-MONTH(Tools!$Q9)))&lt;Tools!$L9)),Tools!$N9,""))</f>
        <v/>
      </c>
      <c r="K10" s="30">
        <f>IF(OR(Tools!$B9="",Tools!$Q9=""),"",IF(AND(((YEAR(DATE(YEAR(TODAY()),MONTH(TODAY())+8,1))-YEAR(Tools!$Q9))*12+MONTH(DATE(YEAR(TODAY()),MONTH(TODAY())+8,1))-MONTH(Tools!$Q9))&gt;=0,MOD(((YEAR(DATE(YEAR(TODAY()),MONTH(TODAY())+8,1))-YEAR(Tools!$Q9))*12+MONTH(DATE(YEAR(TODAY()),MONTH(TODAY())+8,1))-MONTH(Tools!$Q9)),Tools!$U9)=0,OR(Tools!$L9="",EDATE(Tools!$Q9,((YEAR(DATE(YEAR(TODAY()),MONTH(TODAY())+8,1))-YEAR(Tools!$Q9))*12+MONTH(DATE(YEAR(TODAY()),MONTH(TODAY())+8,1))-MONTH(Tools!$Q9)))&lt;Tools!$L9)),Tools!$N9,""))</f>
        <v/>
      </c>
      <c r="L10" s="30">
        <f>IF(OR(Tools!$B9="",Tools!$Q9=""),"",IF(AND(((YEAR(DATE(YEAR(TODAY()),MONTH(TODAY())+9,1))-YEAR(Tools!$Q9))*12+MONTH(DATE(YEAR(TODAY()),MONTH(TODAY())+9,1))-MONTH(Tools!$Q9))&gt;=0,MOD(((YEAR(DATE(YEAR(TODAY()),MONTH(TODAY())+9,1))-YEAR(Tools!$Q9))*12+MONTH(DATE(YEAR(TODAY()),MONTH(TODAY())+9,1))-MONTH(Tools!$Q9)),Tools!$U9)=0,OR(Tools!$L9="",EDATE(Tools!$Q9,((YEAR(DATE(YEAR(TODAY()),MONTH(TODAY())+9,1))-YEAR(Tools!$Q9))*12+MONTH(DATE(YEAR(TODAY()),MONTH(TODAY())+9,1))-MONTH(Tools!$Q9)))&lt;Tools!$L9)),Tools!$N9,""))</f>
        <v/>
      </c>
      <c r="M10" s="30">
        <f>IF(OR(Tools!$B9="",Tools!$Q9=""),"",IF(AND(((YEAR(DATE(YEAR(TODAY()),MONTH(TODAY())+10,1))-YEAR(Tools!$Q9))*12+MONTH(DATE(YEAR(TODAY()),MONTH(TODAY())+10,1))-MONTH(Tools!$Q9))&gt;=0,MOD(((YEAR(DATE(YEAR(TODAY()),MONTH(TODAY())+10,1))-YEAR(Tools!$Q9))*12+MONTH(DATE(YEAR(TODAY()),MONTH(TODAY())+10,1))-MONTH(Tools!$Q9)),Tools!$U9)=0,OR(Tools!$L9="",EDATE(Tools!$Q9,((YEAR(DATE(YEAR(TODAY()),MONTH(TODAY())+10,1))-YEAR(Tools!$Q9))*12+MONTH(DATE(YEAR(TODAY()),MONTH(TODAY())+10,1))-MONTH(Tools!$Q9)))&lt;Tools!$L9)),Tools!$N9,""))</f>
        <v/>
      </c>
      <c r="N10" s="30">
        <f>IF(OR(Tools!$B9="",Tools!$Q9=""),"",IF(AND(((YEAR(DATE(YEAR(TODAY()),MONTH(TODAY())+11,1))-YEAR(Tools!$Q9))*12+MONTH(DATE(YEAR(TODAY()),MONTH(TODAY())+11,1))-MONTH(Tools!$Q9))&gt;=0,MOD(((YEAR(DATE(YEAR(TODAY()),MONTH(TODAY())+11,1))-YEAR(Tools!$Q9))*12+MONTH(DATE(YEAR(TODAY()),MONTH(TODAY())+11,1))-MONTH(Tools!$Q9)),Tools!$U9)=0,OR(Tools!$L9="",EDATE(Tools!$Q9,((YEAR(DATE(YEAR(TODAY()),MONTH(TODAY())+11,1))-YEAR(Tools!$Q9))*12+MONTH(DATE(YEAR(TODAY()),MONTH(TODAY())+11,1))-MONTH(Tools!$Q9)))&lt;Tools!$L9)),Tools!$N9,""))</f>
        <v/>
      </c>
      <c r="O10" s="31">
        <f>IF(B10="","",SUM(C10:N10))</f>
        <v/>
      </c>
      <c r="P10" s="1" t="n"/>
    </row>
    <row r="11">
      <c r="A11" s="1" t="n"/>
      <c r="B11" s="11">
        <f>IF(Tools!B10="","",Tools!B10)</f>
        <v/>
      </c>
      <c r="C11" s="30">
        <f>IF(OR(Tools!$B10="",Tools!$Q10=""),"",IF(AND(((YEAR(DATE(YEAR(TODAY()),MONTH(TODAY())+0,1))-YEAR(Tools!$Q10))*12+MONTH(DATE(YEAR(TODAY()),MONTH(TODAY())+0,1))-MONTH(Tools!$Q10))&gt;=0,MOD(((YEAR(DATE(YEAR(TODAY()),MONTH(TODAY())+0,1))-YEAR(Tools!$Q10))*12+MONTH(DATE(YEAR(TODAY()),MONTH(TODAY())+0,1))-MONTH(Tools!$Q10)),Tools!$U10)=0,OR(Tools!$L10="",EDATE(Tools!$Q10,((YEAR(DATE(YEAR(TODAY()),MONTH(TODAY())+0,1))-YEAR(Tools!$Q10))*12+MONTH(DATE(YEAR(TODAY()),MONTH(TODAY())+0,1))-MONTH(Tools!$Q10)))&lt;Tools!$L10)),Tools!$N10,""))</f>
        <v/>
      </c>
      <c r="D11" s="30">
        <f>IF(OR(Tools!$B10="",Tools!$Q10=""),"",IF(AND(((YEAR(DATE(YEAR(TODAY()),MONTH(TODAY())+1,1))-YEAR(Tools!$Q10))*12+MONTH(DATE(YEAR(TODAY()),MONTH(TODAY())+1,1))-MONTH(Tools!$Q10))&gt;=0,MOD(((YEAR(DATE(YEAR(TODAY()),MONTH(TODAY())+1,1))-YEAR(Tools!$Q10))*12+MONTH(DATE(YEAR(TODAY()),MONTH(TODAY())+1,1))-MONTH(Tools!$Q10)),Tools!$U10)=0,OR(Tools!$L10="",EDATE(Tools!$Q10,((YEAR(DATE(YEAR(TODAY()),MONTH(TODAY())+1,1))-YEAR(Tools!$Q10))*12+MONTH(DATE(YEAR(TODAY()),MONTH(TODAY())+1,1))-MONTH(Tools!$Q10)))&lt;Tools!$L10)),Tools!$N10,""))</f>
        <v/>
      </c>
      <c r="E11" s="30">
        <f>IF(OR(Tools!$B10="",Tools!$Q10=""),"",IF(AND(((YEAR(DATE(YEAR(TODAY()),MONTH(TODAY())+2,1))-YEAR(Tools!$Q10))*12+MONTH(DATE(YEAR(TODAY()),MONTH(TODAY())+2,1))-MONTH(Tools!$Q10))&gt;=0,MOD(((YEAR(DATE(YEAR(TODAY()),MONTH(TODAY())+2,1))-YEAR(Tools!$Q10))*12+MONTH(DATE(YEAR(TODAY()),MONTH(TODAY())+2,1))-MONTH(Tools!$Q10)),Tools!$U10)=0,OR(Tools!$L10="",EDATE(Tools!$Q10,((YEAR(DATE(YEAR(TODAY()),MONTH(TODAY())+2,1))-YEAR(Tools!$Q10))*12+MONTH(DATE(YEAR(TODAY()),MONTH(TODAY())+2,1))-MONTH(Tools!$Q10)))&lt;Tools!$L10)),Tools!$N10,""))</f>
        <v/>
      </c>
      <c r="F11" s="30">
        <f>IF(OR(Tools!$B10="",Tools!$Q10=""),"",IF(AND(((YEAR(DATE(YEAR(TODAY()),MONTH(TODAY())+3,1))-YEAR(Tools!$Q10))*12+MONTH(DATE(YEAR(TODAY()),MONTH(TODAY())+3,1))-MONTH(Tools!$Q10))&gt;=0,MOD(((YEAR(DATE(YEAR(TODAY()),MONTH(TODAY())+3,1))-YEAR(Tools!$Q10))*12+MONTH(DATE(YEAR(TODAY()),MONTH(TODAY())+3,1))-MONTH(Tools!$Q10)),Tools!$U10)=0,OR(Tools!$L10="",EDATE(Tools!$Q10,((YEAR(DATE(YEAR(TODAY()),MONTH(TODAY())+3,1))-YEAR(Tools!$Q10))*12+MONTH(DATE(YEAR(TODAY()),MONTH(TODAY())+3,1))-MONTH(Tools!$Q10)))&lt;Tools!$L10)),Tools!$N10,""))</f>
        <v/>
      </c>
      <c r="G11" s="30">
        <f>IF(OR(Tools!$B10="",Tools!$Q10=""),"",IF(AND(((YEAR(DATE(YEAR(TODAY()),MONTH(TODAY())+4,1))-YEAR(Tools!$Q10))*12+MONTH(DATE(YEAR(TODAY()),MONTH(TODAY())+4,1))-MONTH(Tools!$Q10))&gt;=0,MOD(((YEAR(DATE(YEAR(TODAY()),MONTH(TODAY())+4,1))-YEAR(Tools!$Q10))*12+MONTH(DATE(YEAR(TODAY()),MONTH(TODAY())+4,1))-MONTH(Tools!$Q10)),Tools!$U10)=0,OR(Tools!$L10="",EDATE(Tools!$Q10,((YEAR(DATE(YEAR(TODAY()),MONTH(TODAY())+4,1))-YEAR(Tools!$Q10))*12+MONTH(DATE(YEAR(TODAY()),MONTH(TODAY())+4,1))-MONTH(Tools!$Q10)))&lt;Tools!$L10)),Tools!$N10,""))</f>
        <v/>
      </c>
      <c r="H11" s="30">
        <f>IF(OR(Tools!$B10="",Tools!$Q10=""),"",IF(AND(((YEAR(DATE(YEAR(TODAY()),MONTH(TODAY())+5,1))-YEAR(Tools!$Q10))*12+MONTH(DATE(YEAR(TODAY()),MONTH(TODAY())+5,1))-MONTH(Tools!$Q10))&gt;=0,MOD(((YEAR(DATE(YEAR(TODAY()),MONTH(TODAY())+5,1))-YEAR(Tools!$Q10))*12+MONTH(DATE(YEAR(TODAY()),MONTH(TODAY())+5,1))-MONTH(Tools!$Q10)),Tools!$U10)=0,OR(Tools!$L10="",EDATE(Tools!$Q10,((YEAR(DATE(YEAR(TODAY()),MONTH(TODAY())+5,1))-YEAR(Tools!$Q10))*12+MONTH(DATE(YEAR(TODAY()),MONTH(TODAY())+5,1))-MONTH(Tools!$Q10)))&lt;Tools!$L10)),Tools!$N10,""))</f>
        <v/>
      </c>
      <c r="I11" s="30">
        <f>IF(OR(Tools!$B10="",Tools!$Q10=""),"",IF(AND(((YEAR(DATE(YEAR(TODAY()),MONTH(TODAY())+6,1))-YEAR(Tools!$Q10))*12+MONTH(DATE(YEAR(TODAY()),MONTH(TODAY())+6,1))-MONTH(Tools!$Q10))&gt;=0,MOD(((YEAR(DATE(YEAR(TODAY()),MONTH(TODAY())+6,1))-YEAR(Tools!$Q10))*12+MONTH(DATE(YEAR(TODAY()),MONTH(TODAY())+6,1))-MONTH(Tools!$Q10)),Tools!$U10)=0,OR(Tools!$L10="",EDATE(Tools!$Q10,((YEAR(DATE(YEAR(TODAY()),MONTH(TODAY())+6,1))-YEAR(Tools!$Q10))*12+MONTH(DATE(YEAR(TODAY()),MONTH(TODAY())+6,1))-MONTH(Tools!$Q10)))&lt;Tools!$L10)),Tools!$N10,""))</f>
        <v/>
      </c>
      <c r="J11" s="30">
        <f>IF(OR(Tools!$B10="",Tools!$Q10=""),"",IF(AND(((YEAR(DATE(YEAR(TODAY()),MONTH(TODAY())+7,1))-YEAR(Tools!$Q10))*12+MONTH(DATE(YEAR(TODAY()),MONTH(TODAY())+7,1))-MONTH(Tools!$Q10))&gt;=0,MOD(((YEAR(DATE(YEAR(TODAY()),MONTH(TODAY())+7,1))-YEAR(Tools!$Q10))*12+MONTH(DATE(YEAR(TODAY()),MONTH(TODAY())+7,1))-MONTH(Tools!$Q10)),Tools!$U10)=0,OR(Tools!$L10="",EDATE(Tools!$Q10,((YEAR(DATE(YEAR(TODAY()),MONTH(TODAY())+7,1))-YEAR(Tools!$Q10))*12+MONTH(DATE(YEAR(TODAY()),MONTH(TODAY())+7,1))-MONTH(Tools!$Q10)))&lt;Tools!$L10)),Tools!$N10,""))</f>
        <v/>
      </c>
      <c r="K11" s="30">
        <f>IF(OR(Tools!$B10="",Tools!$Q10=""),"",IF(AND(((YEAR(DATE(YEAR(TODAY()),MONTH(TODAY())+8,1))-YEAR(Tools!$Q10))*12+MONTH(DATE(YEAR(TODAY()),MONTH(TODAY())+8,1))-MONTH(Tools!$Q10))&gt;=0,MOD(((YEAR(DATE(YEAR(TODAY()),MONTH(TODAY())+8,1))-YEAR(Tools!$Q10))*12+MONTH(DATE(YEAR(TODAY()),MONTH(TODAY())+8,1))-MONTH(Tools!$Q10)),Tools!$U10)=0,OR(Tools!$L10="",EDATE(Tools!$Q10,((YEAR(DATE(YEAR(TODAY()),MONTH(TODAY())+8,1))-YEAR(Tools!$Q10))*12+MONTH(DATE(YEAR(TODAY()),MONTH(TODAY())+8,1))-MONTH(Tools!$Q10)))&lt;Tools!$L10)),Tools!$N10,""))</f>
        <v/>
      </c>
      <c r="L11" s="30">
        <f>IF(OR(Tools!$B10="",Tools!$Q10=""),"",IF(AND(((YEAR(DATE(YEAR(TODAY()),MONTH(TODAY())+9,1))-YEAR(Tools!$Q10))*12+MONTH(DATE(YEAR(TODAY()),MONTH(TODAY())+9,1))-MONTH(Tools!$Q10))&gt;=0,MOD(((YEAR(DATE(YEAR(TODAY()),MONTH(TODAY())+9,1))-YEAR(Tools!$Q10))*12+MONTH(DATE(YEAR(TODAY()),MONTH(TODAY())+9,1))-MONTH(Tools!$Q10)),Tools!$U10)=0,OR(Tools!$L10="",EDATE(Tools!$Q10,((YEAR(DATE(YEAR(TODAY()),MONTH(TODAY())+9,1))-YEAR(Tools!$Q10))*12+MONTH(DATE(YEAR(TODAY()),MONTH(TODAY())+9,1))-MONTH(Tools!$Q10)))&lt;Tools!$L10)),Tools!$N10,""))</f>
        <v/>
      </c>
      <c r="M11" s="30">
        <f>IF(OR(Tools!$B10="",Tools!$Q10=""),"",IF(AND(((YEAR(DATE(YEAR(TODAY()),MONTH(TODAY())+10,1))-YEAR(Tools!$Q10))*12+MONTH(DATE(YEAR(TODAY()),MONTH(TODAY())+10,1))-MONTH(Tools!$Q10))&gt;=0,MOD(((YEAR(DATE(YEAR(TODAY()),MONTH(TODAY())+10,1))-YEAR(Tools!$Q10))*12+MONTH(DATE(YEAR(TODAY()),MONTH(TODAY())+10,1))-MONTH(Tools!$Q10)),Tools!$U10)=0,OR(Tools!$L10="",EDATE(Tools!$Q10,((YEAR(DATE(YEAR(TODAY()),MONTH(TODAY())+10,1))-YEAR(Tools!$Q10))*12+MONTH(DATE(YEAR(TODAY()),MONTH(TODAY())+10,1))-MONTH(Tools!$Q10)))&lt;Tools!$L10)),Tools!$N10,""))</f>
        <v/>
      </c>
      <c r="N11" s="30">
        <f>IF(OR(Tools!$B10="",Tools!$Q10=""),"",IF(AND(((YEAR(DATE(YEAR(TODAY()),MONTH(TODAY())+11,1))-YEAR(Tools!$Q10))*12+MONTH(DATE(YEAR(TODAY()),MONTH(TODAY())+11,1))-MONTH(Tools!$Q10))&gt;=0,MOD(((YEAR(DATE(YEAR(TODAY()),MONTH(TODAY())+11,1))-YEAR(Tools!$Q10))*12+MONTH(DATE(YEAR(TODAY()),MONTH(TODAY())+11,1))-MONTH(Tools!$Q10)),Tools!$U10)=0,OR(Tools!$L10="",EDATE(Tools!$Q10,((YEAR(DATE(YEAR(TODAY()),MONTH(TODAY())+11,1))-YEAR(Tools!$Q10))*12+MONTH(DATE(YEAR(TODAY()),MONTH(TODAY())+11,1))-MONTH(Tools!$Q10)))&lt;Tools!$L10)),Tools!$N10,""))</f>
        <v/>
      </c>
      <c r="O11" s="31">
        <f>IF(B11="","",SUM(C11:N11))</f>
        <v/>
      </c>
      <c r="P11" s="1" t="n"/>
    </row>
    <row r="12">
      <c r="A12" s="1" t="n"/>
      <c r="B12" s="11">
        <f>IF(Tools!B11="","",Tools!B11)</f>
        <v/>
      </c>
      <c r="C12" s="30">
        <f>IF(OR(Tools!$B11="",Tools!$Q11=""),"",IF(AND(((YEAR(DATE(YEAR(TODAY()),MONTH(TODAY())+0,1))-YEAR(Tools!$Q11))*12+MONTH(DATE(YEAR(TODAY()),MONTH(TODAY())+0,1))-MONTH(Tools!$Q11))&gt;=0,MOD(((YEAR(DATE(YEAR(TODAY()),MONTH(TODAY())+0,1))-YEAR(Tools!$Q11))*12+MONTH(DATE(YEAR(TODAY()),MONTH(TODAY())+0,1))-MONTH(Tools!$Q11)),Tools!$U11)=0,OR(Tools!$L11="",EDATE(Tools!$Q11,((YEAR(DATE(YEAR(TODAY()),MONTH(TODAY())+0,1))-YEAR(Tools!$Q11))*12+MONTH(DATE(YEAR(TODAY()),MONTH(TODAY())+0,1))-MONTH(Tools!$Q11)))&lt;Tools!$L11)),Tools!$N11,""))</f>
        <v/>
      </c>
      <c r="D12" s="30">
        <f>IF(OR(Tools!$B11="",Tools!$Q11=""),"",IF(AND(((YEAR(DATE(YEAR(TODAY()),MONTH(TODAY())+1,1))-YEAR(Tools!$Q11))*12+MONTH(DATE(YEAR(TODAY()),MONTH(TODAY())+1,1))-MONTH(Tools!$Q11))&gt;=0,MOD(((YEAR(DATE(YEAR(TODAY()),MONTH(TODAY())+1,1))-YEAR(Tools!$Q11))*12+MONTH(DATE(YEAR(TODAY()),MONTH(TODAY())+1,1))-MONTH(Tools!$Q11)),Tools!$U11)=0,OR(Tools!$L11="",EDATE(Tools!$Q11,((YEAR(DATE(YEAR(TODAY()),MONTH(TODAY())+1,1))-YEAR(Tools!$Q11))*12+MONTH(DATE(YEAR(TODAY()),MONTH(TODAY())+1,1))-MONTH(Tools!$Q11)))&lt;Tools!$L11)),Tools!$N11,""))</f>
        <v/>
      </c>
      <c r="E12" s="30">
        <f>IF(OR(Tools!$B11="",Tools!$Q11=""),"",IF(AND(((YEAR(DATE(YEAR(TODAY()),MONTH(TODAY())+2,1))-YEAR(Tools!$Q11))*12+MONTH(DATE(YEAR(TODAY()),MONTH(TODAY())+2,1))-MONTH(Tools!$Q11))&gt;=0,MOD(((YEAR(DATE(YEAR(TODAY()),MONTH(TODAY())+2,1))-YEAR(Tools!$Q11))*12+MONTH(DATE(YEAR(TODAY()),MONTH(TODAY())+2,1))-MONTH(Tools!$Q11)),Tools!$U11)=0,OR(Tools!$L11="",EDATE(Tools!$Q11,((YEAR(DATE(YEAR(TODAY()),MONTH(TODAY())+2,1))-YEAR(Tools!$Q11))*12+MONTH(DATE(YEAR(TODAY()),MONTH(TODAY())+2,1))-MONTH(Tools!$Q11)))&lt;Tools!$L11)),Tools!$N11,""))</f>
        <v/>
      </c>
      <c r="F12" s="30">
        <f>IF(OR(Tools!$B11="",Tools!$Q11=""),"",IF(AND(((YEAR(DATE(YEAR(TODAY()),MONTH(TODAY())+3,1))-YEAR(Tools!$Q11))*12+MONTH(DATE(YEAR(TODAY()),MONTH(TODAY())+3,1))-MONTH(Tools!$Q11))&gt;=0,MOD(((YEAR(DATE(YEAR(TODAY()),MONTH(TODAY())+3,1))-YEAR(Tools!$Q11))*12+MONTH(DATE(YEAR(TODAY()),MONTH(TODAY())+3,1))-MONTH(Tools!$Q11)),Tools!$U11)=0,OR(Tools!$L11="",EDATE(Tools!$Q11,((YEAR(DATE(YEAR(TODAY()),MONTH(TODAY())+3,1))-YEAR(Tools!$Q11))*12+MONTH(DATE(YEAR(TODAY()),MONTH(TODAY())+3,1))-MONTH(Tools!$Q11)))&lt;Tools!$L11)),Tools!$N11,""))</f>
        <v/>
      </c>
      <c r="G12" s="30">
        <f>IF(OR(Tools!$B11="",Tools!$Q11=""),"",IF(AND(((YEAR(DATE(YEAR(TODAY()),MONTH(TODAY())+4,1))-YEAR(Tools!$Q11))*12+MONTH(DATE(YEAR(TODAY()),MONTH(TODAY())+4,1))-MONTH(Tools!$Q11))&gt;=0,MOD(((YEAR(DATE(YEAR(TODAY()),MONTH(TODAY())+4,1))-YEAR(Tools!$Q11))*12+MONTH(DATE(YEAR(TODAY()),MONTH(TODAY())+4,1))-MONTH(Tools!$Q11)),Tools!$U11)=0,OR(Tools!$L11="",EDATE(Tools!$Q11,((YEAR(DATE(YEAR(TODAY()),MONTH(TODAY())+4,1))-YEAR(Tools!$Q11))*12+MONTH(DATE(YEAR(TODAY()),MONTH(TODAY())+4,1))-MONTH(Tools!$Q11)))&lt;Tools!$L11)),Tools!$N11,""))</f>
        <v/>
      </c>
      <c r="H12" s="30">
        <f>IF(OR(Tools!$B11="",Tools!$Q11=""),"",IF(AND(((YEAR(DATE(YEAR(TODAY()),MONTH(TODAY())+5,1))-YEAR(Tools!$Q11))*12+MONTH(DATE(YEAR(TODAY()),MONTH(TODAY())+5,1))-MONTH(Tools!$Q11))&gt;=0,MOD(((YEAR(DATE(YEAR(TODAY()),MONTH(TODAY())+5,1))-YEAR(Tools!$Q11))*12+MONTH(DATE(YEAR(TODAY()),MONTH(TODAY())+5,1))-MONTH(Tools!$Q11)),Tools!$U11)=0,OR(Tools!$L11="",EDATE(Tools!$Q11,((YEAR(DATE(YEAR(TODAY()),MONTH(TODAY())+5,1))-YEAR(Tools!$Q11))*12+MONTH(DATE(YEAR(TODAY()),MONTH(TODAY())+5,1))-MONTH(Tools!$Q11)))&lt;Tools!$L11)),Tools!$N11,""))</f>
        <v/>
      </c>
      <c r="I12" s="30">
        <f>IF(OR(Tools!$B11="",Tools!$Q11=""),"",IF(AND(((YEAR(DATE(YEAR(TODAY()),MONTH(TODAY())+6,1))-YEAR(Tools!$Q11))*12+MONTH(DATE(YEAR(TODAY()),MONTH(TODAY())+6,1))-MONTH(Tools!$Q11))&gt;=0,MOD(((YEAR(DATE(YEAR(TODAY()),MONTH(TODAY())+6,1))-YEAR(Tools!$Q11))*12+MONTH(DATE(YEAR(TODAY()),MONTH(TODAY())+6,1))-MONTH(Tools!$Q11)),Tools!$U11)=0,OR(Tools!$L11="",EDATE(Tools!$Q11,((YEAR(DATE(YEAR(TODAY()),MONTH(TODAY())+6,1))-YEAR(Tools!$Q11))*12+MONTH(DATE(YEAR(TODAY()),MONTH(TODAY())+6,1))-MONTH(Tools!$Q11)))&lt;Tools!$L11)),Tools!$N11,""))</f>
        <v/>
      </c>
      <c r="J12" s="30">
        <f>IF(OR(Tools!$B11="",Tools!$Q11=""),"",IF(AND(((YEAR(DATE(YEAR(TODAY()),MONTH(TODAY())+7,1))-YEAR(Tools!$Q11))*12+MONTH(DATE(YEAR(TODAY()),MONTH(TODAY())+7,1))-MONTH(Tools!$Q11))&gt;=0,MOD(((YEAR(DATE(YEAR(TODAY()),MONTH(TODAY())+7,1))-YEAR(Tools!$Q11))*12+MONTH(DATE(YEAR(TODAY()),MONTH(TODAY())+7,1))-MONTH(Tools!$Q11)),Tools!$U11)=0,OR(Tools!$L11="",EDATE(Tools!$Q11,((YEAR(DATE(YEAR(TODAY()),MONTH(TODAY())+7,1))-YEAR(Tools!$Q11))*12+MONTH(DATE(YEAR(TODAY()),MONTH(TODAY())+7,1))-MONTH(Tools!$Q11)))&lt;Tools!$L11)),Tools!$N11,""))</f>
        <v/>
      </c>
      <c r="K12" s="30">
        <f>IF(OR(Tools!$B11="",Tools!$Q11=""),"",IF(AND(((YEAR(DATE(YEAR(TODAY()),MONTH(TODAY())+8,1))-YEAR(Tools!$Q11))*12+MONTH(DATE(YEAR(TODAY()),MONTH(TODAY())+8,1))-MONTH(Tools!$Q11))&gt;=0,MOD(((YEAR(DATE(YEAR(TODAY()),MONTH(TODAY())+8,1))-YEAR(Tools!$Q11))*12+MONTH(DATE(YEAR(TODAY()),MONTH(TODAY())+8,1))-MONTH(Tools!$Q11)),Tools!$U11)=0,OR(Tools!$L11="",EDATE(Tools!$Q11,((YEAR(DATE(YEAR(TODAY()),MONTH(TODAY())+8,1))-YEAR(Tools!$Q11))*12+MONTH(DATE(YEAR(TODAY()),MONTH(TODAY())+8,1))-MONTH(Tools!$Q11)))&lt;Tools!$L11)),Tools!$N11,""))</f>
        <v/>
      </c>
      <c r="L12" s="30">
        <f>IF(OR(Tools!$B11="",Tools!$Q11=""),"",IF(AND(((YEAR(DATE(YEAR(TODAY()),MONTH(TODAY())+9,1))-YEAR(Tools!$Q11))*12+MONTH(DATE(YEAR(TODAY()),MONTH(TODAY())+9,1))-MONTH(Tools!$Q11))&gt;=0,MOD(((YEAR(DATE(YEAR(TODAY()),MONTH(TODAY())+9,1))-YEAR(Tools!$Q11))*12+MONTH(DATE(YEAR(TODAY()),MONTH(TODAY())+9,1))-MONTH(Tools!$Q11)),Tools!$U11)=0,OR(Tools!$L11="",EDATE(Tools!$Q11,((YEAR(DATE(YEAR(TODAY()),MONTH(TODAY())+9,1))-YEAR(Tools!$Q11))*12+MONTH(DATE(YEAR(TODAY()),MONTH(TODAY())+9,1))-MONTH(Tools!$Q11)))&lt;Tools!$L11)),Tools!$N11,""))</f>
        <v/>
      </c>
      <c r="M12" s="30">
        <f>IF(OR(Tools!$B11="",Tools!$Q11=""),"",IF(AND(((YEAR(DATE(YEAR(TODAY()),MONTH(TODAY())+10,1))-YEAR(Tools!$Q11))*12+MONTH(DATE(YEAR(TODAY()),MONTH(TODAY())+10,1))-MONTH(Tools!$Q11))&gt;=0,MOD(((YEAR(DATE(YEAR(TODAY()),MONTH(TODAY())+10,1))-YEAR(Tools!$Q11))*12+MONTH(DATE(YEAR(TODAY()),MONTH(TODAY())+10,1))-MONTH(Tools!$Q11)),Tools!$U11)=0,OR(Tools!$L11="",EDATE(Tools!$Q11,((YEAR(DATE(YEAR(TODAY()),MONTH(TODAY())+10,1))-YEAR(Tools!$Q11))*12+MONTH(DATE(YEAR(TODAY()),MONTH(TODAY())+10,1))-MONTH(Tools!$Q11)))&lt;Tools!$L11)),Tools!$N11,""))</f>
        <v/>
      </c>
      <c r="N12" s="30">
        <f>IF(OR(Tools!$B11="",Tools!$Q11=""),"",IF(AND(((YEAR(DATE(YEAR(TODAY()),MONTH(TODAY())+11,1))-YEAR(Tools!$Q11))*12+MONTH(DATE(YEAR(TODAY()),MONTH(TODAY())+11,1))-MONTH(Tools!$Q11))&gt;=0,MOD(((YEAR(DATE(YEAR(TODAY()),MONTH(TODAY())+11,1))-YEAR(Tools!$Q11))*12+MONTH(DATE(YEAR(TODAY()),MONTH(TODAY())+11,1))-MONTH(Tools!$Q11)),Tools!$U11)=0,OR(Tools!$L11="",EDATE(Tools!$Q11,((YEAR(DATE(YEAR(TODAY()),MONTH(TODAY())+11,1))-YEAR(Tools!$Q11))*12+MONTH(DATE(YEAR(TODAY()),MONTH(TODAY())+11,1))-MONTH(Tools!$Q11)))&lt;Tools!$L11)),Tools!$N11,""))</f>
        <v/>
      </c>
      <c r="O12" s="31">
        <f>IF(B12="","",SUM(C12:N12))</f>
        <v/>
      </c>
      <c r="P12" s="1" t="n"/>
    </row>
    <row r="13">
      <c r="A13" s="1" t="n"/>
      <c r="B13" s="11">
        <f>IF(Tools!B12="","",Tools!B12)</f>
        <v/>
      </c>
      <c r="C13" s="30">
        <f>IF(OR(Tools!$B12="",Tools!$Q12=""),"",IF(AND(((YEAR(DATE(YEAR(TODAY()),MONTH(TODAY())+0,1))-YEAR(Tools!$Q12))*12+MONTH(DATE(YEAR(TODAY()),MONTH(TODAY())+0,1))-MONTH(Tools!$Q12))&gt;=0,MOD(((YEAR(DATE(YEAR(TODAY()),MONTH(TODAY())+0,1))-YEAR(Tools!$Q12))*12+MONTH(DATE(YEAR(TODAY()),MONTH(TODAY())+0,1))-MONTH(Tools!$Q12)),Tools!$U12)=0,OR(Tools!$L12="",EDATE(Tools!$Q12,((YEAR(DATE(YEAR(TODAY()),MONTH(TODAY())+0,1))-YEAR(Tools!$Q12))*12+MONTH(DATE(YEAR(TODAY()),MONTH(TODAY())+0,1))-MONTH(Tools!$Q12)))&lt;Tools!$L12)),Tools!$N12,""))</f>
        <v/>
      </c>
      <c r="D13" s="30">
        <f>IF(OR(Tools!$B12="",Tools!$Q12=""),"",IF(AND(((YEAR(DATE(YEAR(TODAY()),MONTH(TODAY())+1,1))-YEAR(Tools!$Q12))*12+MONTH(DATE(YEAR(TODAY()),MONTH(TODAY())+1,1))-MONTH(Tools!$Q12))&gt;=0,MOD(((YEAR(DATE(YEAR(TODAY()),MONTH(TODAY())+1,1))-YEAR(Tools!$Q12))*12+MONTH(DATE(YEAR(TODAY()),MONTH(TODAY())+1,1))-MONTH(Tools!$Q12)),Tools!$U12)=0,OR(Tools!$L12="",EDATE(Tools!$Q12,((YEAR(DATE(YEAR(TODAY()),MONTH(TODAY())+1,1))-YEAR(Tools!$Q12))*12+MONTH(DATE(YEAR(TODAY()),MONTH(TODAY())+1,1))-MONTH(Tools!$Q12)))&lt;Tools!$L12)),Tools!$N12,""))</f>
        <v/>
      </c>
      <c r="E13" s="30">
        <f>IF(OR(Tools!$B12="",Tools!$Q12=""),"",IF(AND(((YEAR(DATE(YEAR(TODAY()),MONTH(TODAY())+2,1))-YEAR(Tools!$Q12))*12+MONTH(DATE(YEAR(TODAY()),MONTH(TODAY())+2,1))-MONTH(Tools!$Q12))&gt;=0,MOD(((YEAR(DATE(YEAR(TODAY()),MONTH(TODAY())+2,1))-YEAR(Tools!$Q12))*12+MONTH(DATE(YEAR(TODAY()),MONTH(TODAY())+2,1))-MONTH(Tools!$Q12)),Tools!$U12)=0,OR(Tools!$L12="",EDATE(Tools!$Q12,((YEAR(DATE(YEAR(TODAY()),MONTH(TODAY())+2,1))-YEAR(Tools!$Q12))*12+MONTH(DATE(YEAR(TODAY()),MONTH(TODAY())+2,1))-MONTH(Tools!$Q12)))&lt;Tools!$L12)),Tools!$N12,""))</f>
        <v/>
      </c>
      <c r="F13" s="30">
        <f>IF(OR(Tools!$B12="",Tools!$Q12=""),"",IF(AND(((YEAR(DATE(YEAR(TODAY()),MONTH(TODAY())+3,1))-YEAR(Tools!$Q12))*12+MONTH(DATE(YEAR(TODAY()),MONTH(TODAY())+3,1))-MONTH(Tools!$Q12))&gt;=0,MOD(((YEAR(DATE(YEAR(TODAY()),MONTH(TODAY())+3,1))-YEAR(Tools!$Q12))*12+MONTH(DATE(YEAR(TODAY()),MONTH(TODAY())+3,1))-MONTH(Tools!$Q12)),Tools!$U12)=0,OR(Tools!$L12="",EDATE(Tools!$Q12,((YEAR(DATE(YEAR(TODAY()),MONTH(TODAY())+3,1))-YEAR(Tools!$Q12))*12+MONTH(DATE(YEAR(TODAY()),MONTH(TODAY())+3,1))-MONTH(Tools!$Q12)))&lt;Tools!$L12)),Tools!$N12,""))</f>
        <v/>
      </c>
      <c r="G13" s="30">
        <f>IF(OR(Tools!$B12="",Tools!$Q12=""),"",IF(AND(((YEAR(DATE(YEAR(TODAY()),MONTH(TODAY())+4,1))-YEAR(Tools!$Q12))*12+MONTH(DATE(YEAR(TODAY()),MONTH(TODAY())+4,1))-MONTH(Tools!$Q12))&gt;=0,MOD(((YEAR(DATE(YEAR(TODAY()),MONTH(TODAY())+4,1))-YEAR(Tools!$Q12))*12+MONTH(DATE(YEAR(TODAY()),MONTH(TODAY())+4,1))-MONTH(Tools!$Q12)),Tools!$U12)=0,OR(Tools!$L12="",EDATE(Tools!$Q12,((YEAR(DATE(YEAR(TODAY()),MONTH(TODAY())+4,1))-YEAR(Tools!$Q12))*12+MONTH(DATE(YEAR(TODAY()),MONTH(TODAY())+4,1))-MONTH(Tools!$Q12)))&lt;Tools!$L12)),Tools!$N12,""))</f>
        <v/>
      </c>
      <c r="H13" s="30">
        <f>IF(OR(Tools!$B12="",Tools!$Q12=""),"",IF(AND(((YEAR(DATE(YEAR(TODAY()),MONTH(TODAY())+5,1))-YEAR(Tools!$Q12))*12+MONTH(DATE(YEAR(TODAY()),MONTH(TODAY())+5,1))-MONTH(Tools!$Q12))&gt;=0,MOD(((YEAR(DATE(YEAR(TODAY()),MONTH(TODAY())+5,1))-YEAR(Tools!$Q12))*12+MONTH(DATE(YEAR(TODAY()),MONTH(TODAY())+5,1))-MONTH(Tools!$Q12)),Tools!$U12)=0,OR(Tools!$L12="",EDATE(Tools!$Q12,((YEAR(DATE(YEAR(TODAY()),MONTH(TODAY())+5,1))-YEAR(Tools!$Q12))*12+MONTH(DATE(YEAR(TODAY()),MONTH(TODAY())+5,1))-MONTH(Tools!$Q12)))&lt;Tools!$L12)),Tools!$N12,""))</f>
        <v/>
      </c>
      <c r="I13" s="30">
        <f>IF(OR(Tools!$B12="",Tools!$Q12=""),"",IF(AND(((YEAR(DATE(YEAR(TODAY()),MONTH(TODAY())+6,1))-YEAR(Tools!$Q12))*12+MONTH(DATE(YEAR(TODAY()),MONTH(TODAY())+6,1))-MONTH(Tools!$Q12))&gt;=0,MOD(((YEAR(DATE(YEAR(TODAY()),MONTH(TODAY())+6,1))-YEAR(Tools!$Q12))*12+MONTH(DATE(YEAR(TODAY()),MONTH(TODAY())+6,1))-MONTH(Tools!$Q12)),Tools!$U12)=0,OR(Tools!$L12="",EDATE(Tools!$Q12,((YEAR(DATE(YEAR(TODAY()),MONTH(TODAY())+6,1))-YEAR(Tools!$Q12))*12+MONTH(DATE(YEAR(TODAY()),MONTH(TODAY())+6,1))-MONTH(Tools!$Q12)))&lt;Tools!$L12)),Tools!$N12,""))</f>
        <v/>
      </c>
      <c r="J13" s="30">
        <f>IF(OR(Tools!$B12="",Tools!$Q12=""),"",IF(AND(((YEAR(DATE(YEAR(TODAY()),MONTH(TODAY())+7,1))-YEAR(Tools!$Q12))*12+MONTH(DATE(YEAR(TODAY()),MONTH(TODAY())+7,1))-MONTH(Tools!$Q12))&gt;=0,MOD(((YEAR(DATE(YEAR(TODAY()),MONTH(TODAY())+7,1))-YEAR(Tools!$Q12))*12+MONTH(DATE(YEAR(TODAY()),MONTH(TODAY())+7,1))-MONTH(Tools!$Q12)),Tools!$U12)=0,OR(Tools!$L12="",EDATE(Tools!$Q12,((YEAR(DATE(YEAR(TODAY()),MONTH(TODAY())+7,1))-YEAR(Tools!$Q12))*12+MONTH(DATE(YEAR(TODAY()),MONTH(TODAY())+7,1))-MONTH(Tools!$Q12)))&lt;Tools!$L12)),Tools!$N12,""))</f>
        <v/>
      </c>
      <c r="K13" s="30">
        <f>IF(OR(Tools!$B12="",Tools!$Q12=""),"",IF(AND(((YEAR(DATE(YEAR(TODAY()),MONTH(TODAY())+8,1))-YEAR(Tools!$Q12))*12+MONTH(DATE(YEAR(TODAY()),MONTH(TODAY())+8,1))-MONTH(Tools!$Q12))&gt;=0,MOD(((YEAR(DATE(YEAR(TODAY()),MONTH(TODAY())+8,1))-YEAR(Tools!$Q12))*12+MONTH(DATE(YEAR(TODAY()),MONTH(TODAY())+8,1))-MONTH(Tools!$Q12)),Tools!$U12)=0,OR(Tools!$L12="",EDATE(Tools!$Q12,((YEAR(DATE(YEAR(TODAY()),MONTH(TODAY())+8,1))-YEAR(Tools!$Q12))*12+MONTH(DATE(YEAR(TODAY()),MONTH(TODAY())+8,1))-MONTH(Tools!$Q12)))&lt;Tools!$L12)),Tools!$N12,""))</f>
        <v/>
      </c>
      <c r="L13" s="30">
        <f>IF(OR(Tools!$B12="",Tools!$Q12=""),"",IF(AND(((YEAR(DATE(YEAR(TODAY()),MONTH(TODAY())+9,1))-YEAR(Tools!$Q12))*12+MONTH(DATE(YEAR(TODAY()),MONTH(TODAY())+9,1))-MONTH(Tools!$Q12))&gt;=0,MOD(((YEAR(DATE(YEAR(TODAY()),MONTH(TODAY())+9,1))-YEAR(Tools!$Q12))*12+MONTH(DATE(YEAR(TODAY()),MONTH(TODAY())+9,1))-MONTH(Tools!$Q12)),Tools!$U12)=0,OR(Tools!$L12="",EDATE(Tools!$Q12,((YEAR(DATE(YEAR(TODAY()),MONTH(TODAY())+9,1))-YEAR(Tools!$Q12))*12+MONTH(DATE(YEAR(TODAY()),MONTH(TODAY())+9,1))-MONTH(Tools!$Q12)))&lt;Tools!$L12)),Tools!$N12,""))</f>
        <v/>
      </c>
      <c r="M13" s="30">
        <f>IF(OR(Tools!$B12="",Tools!$Q12=""),"",IF(AND(((YEAR(DATE(YEAR(TODAY()),MONTH(TODAY())+10,1))-YEAR(Tools!$Q12))*12+MONTH(DATE(YEAR(TODAY()),MONTH(TODAY())+10,1))-MONTH(Tools!$Q12))&gt;=0,MOD(((YEAR(DATE(YEAR(TODAY()),MONTH(TODAY())+10,1))-YEAR(Tools!$Q12))*12+MONTH(DATE(YEAR(TODAY()),MONTH(TODAY())+10,1))-MONTH(Tools!$Q12)),Tools!$U12)=0,OR(Tools!$L12="",EDATE(Tools!$Q12,((YEAR(DATE(YEAR(TODAY()),MONTH(TODAY())+10,1))-YEAR(Tools!$Q12))*12+MONTH(DATE(YEAR(TODAY()),MONTH(TODAY())+10,1))-MONTH(Tools!$Q12)))&lt;Tools!$L12)),Tools!$N12,""))</f>
        <v/>
      </c>
      <c r="N13" s="30">
        <f>IF(OR(Tools!$B12="",Tools!$Q12=""),"",IF(AND(((YEAR(DATE(YEAR(TODAY()),MONTH(TODAY())+11,1))-YEAR(Tools!$Q12))*12+MONTH(DATE(YEAR(TODAY()),MONTH(TODAY())+11,1))-MONTH(Tools!$Q12))&gt;=0,MOD(((YEAR(DATE(YEAR(TODAY()),MONTH(TODAY())+11,1))-YEAR(Tools!$Q12))*12+MONTH(DATE(YEAR(TODAY()),MONTH(TODAY())+11,1))-MONTH(Tools!$Q12)),Tools!$U12)=0,OR(Tools!$L12="",EDATE(Tools!$Q12,((YEAR(DATE(YEAR(TODAY()),MONTH(TODAY())+11,1))-YEAR(Tools!$Q12))*12+MONTH(DATE(YEAR(TODAY()),MONTH(TODAY())+11,1))-MONTH(Tools!$Q12)))&lt;Tools!$L12)),Tools!$N12,""))</f>
        <v/>
      </c>
      <c r="O13" s="31">
        <f>IF(B13="","",SUM(C13:N13))</f>
        <v/>
      </c>
      <c r="P13" s="1" t="n"/>
    </row>
    <row r="14">
      <c r="A14" s="1" t="n"/>
      <c r="B14" s="11">
        <f>IF(Tools!B13="","",Tools!B13)</f>
        <v/>
      </c>
      <c r="C14" s="30">
        <f>IF(OR(Tools!$B13="",Tools!$Q13=""),"",IF(AND(((YEAR(DATE(YEAR(TODAY()),MONTH(TODAY())+0,1))-YEAR(Tools!$Q13))*12+MONTH(DATE(YEAR(TODAY()),MONTH(TODAY())+0,1))-MONTH(Tools!$Q13))&gt;=0,MOD(((YEAR(DATE(YEAR(TODAY()),MONTH(TODAY())+0,1))-YEAR(Tools!$Q13))*12+MONTH(DATE(YEAR(TODAY()),MONTH(TODAY())+0,1))-MONTH(Tools!$Q13)),Tools!$U13)=0,OR(Tools!$L13="",EDATE(Tools!$Q13,((YEAR(DATE(YEAR(TODAY()),MONTH(TODAY())+0,1))-YEAR(Tools!$Q13))*12+MONTH(DATE(YEAR(TODAY()),MONTH(TODAY())+0,1))-MONTH(Tools!$Q13)))&lt;Tools!$L13)),Tools!$N13,""))</f>
        <v/>
      </c>
      <c r="D14" s="30">
        <f>IF(OR(Tools!$B13="",Tools!$Q13=""),"",IF(AND(((YEAR(DATE(YEAR(TODAY()),MONTH(TODAY())+1,1))-YEAR(Tools!$Q13))*12+MONTH(DATE(YEAR(TODAY()),MONTH(TODAY())+1,1))-MONTH(Tools!$Q13))&gt;=0,MOD(((YEAR(DATE(YEAR(TODAY()),MONTH(TODAY())+1,1))-YEAR(Tools!$Q13))*12+MONTH(DATE(YEAR(TODAY()),MONTH(TODAY())+1,1))-MONTH(Tools!$Q13)),Tools!$U13)=0,OR(Tools!$L13="",EDATE(Tools!$Q13,((YEAR(DATE(YEAR(TODAY()),MONTH(TODAY())+1,1))-YEAR(Tools!$Q13))*12+MONTH(DATE(YEAR(TODAY()),MONTH(TODAY())+1,1))-MONTH(Tools!$Q13)))&lt;Tools!$L13)),Tools!$N13,""))</f>
        <v/>
      </c>
      <c r="E14" s="30">
        <f>IF(OR(Tools!$B13="",Tools!$Q13=""),"",IF(AND(((YEAR(DATE(YEAR(TODAY()),MONTH(TODAY())+2,1))-YEAR(Tools!$Q13))*12+MONTH(DATE(YEAR(TODAY()),MONTH(TODAY())+2,1))-MONTH(Tools!$Q13))&gt;=0,MOD(((YEAR(DATE(YEAR(TODAY()),MONTH(TODAY())+2,1))-YEAR(Tools!$Q13))*12+MONTH(DATE(YEAR(TODAY()),MONTH(TODAY())+2,1))-MONTH(Tools!$Q13)),Tools!$U13)=0,OR(Tools!$L13="",EDATE(Tools!$Q13,((YEAR(DATE(YEAR(TODAY()),MONTH(TODAY())+2,1))-YEAR(Tools!$Q13))*12+MONTH(DATE(YEAR(TODAY()),MONTH(TODAY())+2,1))-MONTH(Tools!$Q13)))&lt;Tools!$L13)),Tools!$N13,""))</f>
        <v/>
      </c>
      <c r="F14" s="30">
        <f>IF(OR(Tools!$B13="",Tools!$Q13=""),"",IF(AND(((YEAR(DATE(YEAR(TODAY()),MONTH(TODAY())+3,1))-YEAR(Tools!$Q13))*12+MONTH(DATE(YEAR(TODAY()),MONTH(TODAY())+3,1))-MONTH(Tools!$Q13))&gt;=0,MOD(((YEAR(DATE(YEAR(TODAY()),MONTH(TODAY())+3,1))-YEAR(Tools!$Q13))*12+MONTH(DATE(YEAR(TODAY()),MONTH(TODAY())+3,1))-MONTH(Tools!$Q13)),Tools!$U13)=0,OR(Tools!$L13="",EDATE(Tools!$Q13,((YEAR(DATE(YEAR(TODAY()),MONTH(TODAY())+3,1))-YEAR(Tools!$Q13))*12+MONTH(DATE(YEAR(TODAY()),MONTH(TODAY())+3,1))-MONTH(Tools!$Q13)))&lt;Tools!$L13)),Tools!$N13,""))</f>
        <v/>
      </c>
      <c r="G14" s="30">
        <f>IF(OR(Tools!$B13="",Tools!$Q13=""),"",IF(AND(((YEAR(DATE(YEAR(TODAY()),MONTH(TODAY())+4,1))-YEAR(Tools!$Q13))*12+MONTH(DATE(YEAR(TODAY()),MONTH(TODAY())+4,1))-MONTH(Tools!$Q13))&gt;=0,MOD(((YEAR(DATE(YEAR(TODAY()),MONTH(TODAY())+4,1))-YEAR(Tools!$Q13))*12+MONTH(DATE(YEAR(TODAY()),MONTH(TODAY())+4,1))-MONTH(Tools!$Q13)),Tools!$U13)=0,OR(Tools!$L13="",EDATE(Tools!$Q13,((YEAR(DATE(YEAR(TODAY()),MONTH(TODAY())+4,1))-YEAR(Tools!$Q13))*12+MONTH(DATE(YEAR(TODAY()),MONTH(TODAY())+4,1))-MONTH(Tools!$Q13)))&lt;Tools!$L13)),Tools!$N13,""))</f>
        <v/>
      </c>
      <c r="H14" s="30">
        <f>IF(OR(Tools!$B13="",Tools!$Q13=""),"",IF(AND(((YEAR(DATE(YEAR(TODAY()),MONTH(TODAY())+5,1))-YEAR(Tools!$Q13))*12+MONTH(DATE(YEAR(TODAY()),MONTH(TODAY())+5,1))-MONTH(Tools!$Q13))&gt;=0,MOD(((YEAR(DATE(YEAR(TODAY()),MONTH(TODAY())+5,1))-YEAR(Tools!$Q13))*12+MONTH(DATE(YEAR(TODAY()),MONTH(TODAY())+5,1))-MONTH(Tools!$Q13)),Tools!$U13)=0,OR(Tools!$L13="",EDATE(Tools!$Q13,((YEAR(DATE(YEAR(TODAY()),MONTH(TODAY())+5,1))-YEAR(Tools!$Q13))*12+MONTH(DATE(YEAR(TODAY()),MONTH(TODAY())+5,1))-MONTH(Tools!$Q13)))&lt;Tools!$L13)),Tools!$N13,""))</f>
        <v/>
      </c>
      <c r="I14" s="30">
        <f>IF(OR(Tools!$B13="",Tools!$Q13=""),"",IF(AND(((YEAR(DATE(YEAR(TODAY()),MONTH(TODAY())+6,1))-YEAR(Tools!$Q13))*12+MONTH(DATE(YEAR(TODAY()),MONTH(TODAY())+6,1))-MONTH(Tools!$Q13))&gt;=0,MOD(((YEAR(DATE(YEAR(TODAY()),MONTH(TODAY())+6,1))-YEAR(Tools!$Q13))*12+MONTH(DATE(YEAR(TODAY()),MONTH(TODAY())+6,1))-MONTH(Tools!$Q13)),Tools!$U13)=0,OR(Tools!$L13="",EDATE(Tools!$Q13,((YEAR(DATE(YEAR(TODAY()),MONTH(TODAY())+6,1))-YEAR(Tools!$Q13))*12+MONTH(DATE(YEAR(TODAY()),MONTH(TODAY())+6,1))-MONTH(Tools!$Q13)))&lt;Tools!$L13)),Tools!$N13,""))</f>
        <v/>
      </c>
      <c r="J14" s="30">
        <f>IF(OR(Tools!$B13="",Tools!$Q13=""),"",IF(AND(((YEAR(DATE(YEAR(TODAY()),MONTH(TODAY())+7,1))-YEAR(Tools!$Q13))*12+MONTH(DATE(YEAR(TODAY()),MONTH(TODAY())+7,1))-MONTH(Tools!$Q13))&gt;=0,MOD(((YEAR(DATE(YEAR(TODAY()),MONTH(TODAY())+7,1))-YEAR(Tools!$Q13))*12+MONTH(DATE(YEAR(TODAY()),MONTH(TODAY())+7,1))-MONTH(Tools!$Q13)),Tools!$U13)=0,OR(Tools!$L13="",EDATE(Tools!$Q13,((YEAR(DATE(YEAR(TODAY()),MONTH(TODAY())+7,1))-YEAR(Tools!$Q13))*12+MONTH(DATE(YEAR(TODAY()),MONTH(TODAY())+7,1))-MONTH(Tools!$Q13)))&lt;Tools!$L13)),Tools!$N13,""))</f>
        <v/>
      </c>
      <c r="K14" s="30">
        <f>IF(OR(Tools!$B13="",Tools!$Q13=""),"",IF(AND(((YEAR(DATE(YEAR(TODAY()),MONTH(TODAY())+8,1))-YEAR(Tools!$Q13))*12+MONTH(DATE(YEAR(TODAY()),MONTH(TODAY())+8,1))-MONTH(Tools!$Q13))&gt;=0,MOD(((YEAR(DATE(YEAR(TODAY()),MONTH(TODAY())+8,1))-YEAR(Tools!$Q13))*12+MONTH(DATE(YEAR(TODAY()),MONTH(TODAY())+8,1))-MONTH(Tools!$Q13)),Tools!$U13)=0,OR(Tools!$L13="",EDATE(Tools!$Q13,((YEAR(DATE(YEAR(TODAY()),MONTH(TODAY())+8,1))-YEAR(Tools!$Q13))*12+MONTH(DATE(YEAR(TODAY()),MONTH(TODAY())+8,1))-MONTH(Tools!$Q13)))&lt;Tools!$L13)),Tools!$N13,""))</f>
        <v/>
      </c>
      <c r="L14" s="30">
        <f>IF(OR(Tools!$B13="",Tools!$Q13=""),"",IF(AND(((YEAR(DATE(YEAR(TODAY()),MONTH(TODAY())+9,1))-YEAR(Tools!$Q13))*12+MONTH(DATE(YEAR(TODAY()),MONTH(TODAY())+9,1))-MONTH(Tools!$Q13))&gt;=0,MOD(((YEAR(DATE(YEAR(TODAY()),MONTH(TODAY())+9,1))-YEAR(Tools!$Q13))*12+MONTH(DATE(YEAR(TODAY()),MONTH(TODAY())+9,1))-MONTH(Tools!$Q13)),Tools!$U13)=0,OR(Tools!$L13="",EDATE(Tools!$Q13,((YEAR(DATE(YEAR(TODAY()),MONTH(TODAY())+9,1))-YEAR(Tools!$Q13))*12+MONTH(DATE(YEAR(TODAY()),MONTH(TODAY())+9,1))-MONTH(Tools!$Q13)))&lt;Tools!$L13)),Tools!$N13,""))</f>
        <v/>
      </c>
      <c r="M14" s="30">
        <f>IF(OR(Tools!$B13="",Tools!$Q13=""),"",IF(AND(((YEAR(DATE(YEAR(TODAY()),MONTH(TODAY())+10,1))-YEAR(Tools!$Q13))*12+MONTH(DATE(YEAR(TODAY()),MONTH(TODAY())+10,1))-MONTH(Tools!$Q13))&gt;=0,MOD(((YEAR(DATE(YEAR(TODAY()),MONTH(TODAY())+10,1))-YEAR(Tools!$Q13))*12+MONTH(DATE(YEAR(TODAY()),MONTH(TODAY())+10,1))-MONTH(Tools!$Q13)),Tools!$U13)=0,OR(Tools!$L13="",EDATE(Tools!$Q13,((YEAR(DATE(YEAR(TODAY()),MONTH(TODAY())+10,1))-YEAR(Tools!$Q13))*12+MONTH(DATE(YEAR(TODAY()),MONTH(TODAY())+10,1))-MONTH(Tools!$Q13)))&lt;Tools!$L13)),Tools!$N13,""))</f>
        <v/>
      </c>
      <c r="N14" s="30">
        <f>IF(OR(Tools!$B13="",Tools!$Q13=""),"",IF(AND(((YEAR(DATE(YEAR(TODAY()),MONTH(TODAY())+11,1))-YEAR(Tools!$Q13))*12+MONTH(DATE(YEAR(TODAY()),MONTH(TODAY())+11,1))-MONTH(Tools!$Q13))&gt;=0,MOD(((YEAR(DATE(YEAR(TODAY()),MONTH(TODAY())+11,1))-YEAR(Tools!$Q13))*12+MONTH(DATE(YEAR(TODAY()),MONTH(TODAY())+11,1))-MONTH(Tools!$Q13)),Tools!$U13)=0,OR(Tools!$L13="",EDATE(Tools!$Q13,((YEAR(DATE(YEAR(TODAY()),MONTH(TODAY())+11,1))-YEAR(Tools!$Q13))*12+MONTH(DATE(YEAR(TODAY()),MONTH(TODAY())+11,1))-MONTH(Tools!$Q13)))&lt;Tools!$L13)),Tools!$N13,""))</f>
        <v/>
      </c>
      <c r="O14" s="31">
        <f>IF(B14="","",SUM(C14:N14))</f>
        <v/>
      </c>
      <c r="P14" s="1" t="n"/>
    </row>
    <row r="15">
      <c r="A15" s="1" t="n"/>
      <c r="B15" s="11">
        <f>IF(Tools!B14="","",Tools!B14)</f>
        <v/>
      </c>
      <c r="C15" s="30">
        <f>IF(OR(Tools!$B14="",Tools!$Q14=""),"",IF(AND(((YEAR(DATE(YEAR(TODAY()),MONTH(TODAY())+0,1))-YEAR(Tools!$Q14))*12+MONTH(DATE(YEAR(TODAY()),MONTH(TODAY())+0,1))-MONTH(Tools!$Q14))&gt;=0,MOD(((YEAR(DATE(YEAR(TODAY()),MONTH(TODAY())+0,1))-YEAR(Tools!$Q14))*12+MONTH(DATE(YEAR(TODAY()),MONTH(TODAY())+0,1))-MONTH(Tools!$Q14)),Tools!$U14)=0,OR(Tools!$L14="",EDATE(Tools!$Q14,((YEAR(DATE(YEAR(TODAY()),MONTH(TODAY())+0,1))-YEAR(Tools!$Q14))*12+MONTH(DATE(YEAR(TODAY()),MONTH(TODAY())+0,1))-MONTH(Tools!$Q14)))&lt;Tools!$L14)),Tools!$N14,""))</f>
        <v/>
      </c>
      <c r="D15" s="30">
        <f>IF(OR(Tools!$B14="",Tools!$Q14=""),"",IF(AND(((YEAR(DATE(YEAR(TODAY()),MONTH(TODAY())+1,1))-YEAR(Tools!$Q14))*12+MONTH(DATE(YEAR(TODAY()),MONTH(TODAY())+1,1))-MONTH(Tools!$Q14))&gt;=0,MOD(((YEAR(DATE(YEAR(TODAY()),MONTH(TODAY())+1,1))-YEAR(Tools!$Q14))*12+MONTH(DATE(YEAR(TODAY()),MONTH(TODAY())+1,1))-MONTH(Tools!$Q14)),Tools!$U14)=0,OR(Tools!$L14="",EDATE(Tools!$Q14,((YEAR(DATE(YEAR(TODAY()),MONTH(TODAY())+1,1))-YEAR(Tools!$Q14))*12+MONTH(DATE(YEAR(TODAY()),MONTH(TODAY())+1,1))-MONTH(Tools!$Q14)))&lt;Tools!$L14)),Tools!$N14,""))</f>
        <v/>
      </c>
      <c r="E15" s="30">
        <f>IF(OR(Tools!$B14="",Tools!$Q14=""),"",IF(AND(((YEAR(DATE(YEAR(TODAY()),MONTH(TODAY())+2,1))-YEAR(Tools!$Q14))*12+MONTH(DATE(YEAR(TODAY()),MONTH(TODAY())+2,1))-MONTH(Tools!$Q14))&gt;=0,MOD(((YEAR(DATE(YEAR(TODAY()),MONTH(TODAY())+2,1))-YEAR(Tools!$Q14))*12+MONTH(DATE(YEAR(TODAY()),MONTH(TODAY())+2,1))-MONTH(Tools!$Q14)),Tools!$U14)=0,OR(Tools!$L14="",EDATE(Tools!$Q14,((YEAR(DATE(YEAR(TODAY()),MONTH(TODAY())+2,1))-YEAR(Tools!$Q14))*12+MONTH(DATE(YEAR(TODAY()),MONTH(TODAY())+2,1))-MONTH(Tools!$Q14)))&lt;Tools!$L14)),Tools!$N14,""))</f>
        <v/>
      </c>
      <c r="F15" s="30">
        <f>IF(OR(Tools!$B14="",Tools!$Q14=""),"",IF(AND(((YEAR(DATE(YEAR(TODAY()),MONTH(TODAY())+3,1))-YEAR(Tools!$Q14))*12+MONTH(DATE(YEAR(TODAY()),MONTH(TODAY())+3,1))-MONTH(Tools!$Q14))&gt;=0,MOD(((YEAR(DATE(YEAR(TODAY()),MONTH(TODAY())+3,1))-YEAR(Tools!$Q14))*12+MONTH(DATE(YEAR(TODAY()),MONTH(TODAY())+3,1))-MONTH(Tools!$Q14)),Tools!$U14)=0,OR(Tools!$L14="",EDATE(Tools!$Q14,((YEAR(DATE(YEAR(TODAY()),MONTH(TODAY())+3,1))-YEAR(Tools!$Q14))*12+MONTH(DATE(YEAR(TODAY()),MONTH(TODAY())+3,1))-MONTH(Tools!$Q14)))&lt;Tools!$L14)),Tools!$N14,""))</f>
        <v/>
      </c>
      <c r="G15" s="30">
        <f>IF(OR(Tools!$B14="",Tools!$Q14=""),"",IF(AND(((YEAR(DATE(YEAR(TODAY()),MONTH(TODAY())+4,1))-YEAR(Tools!$Q14))*12+MONTH(DATE(YEAR(TODAY()),MONTH(TODAY())+4,1))-MONTH(Tools!$Q14))&gt;=0,MOD(((YEAR(DATE(YEAR(TODAY()),MONTH(TODAY())+4,1))-YEAR(Tools!$Q14))*12+MONTH(DATE(YEAR(TODAY()),MONTH(TODAY())+4,1))-MONTH(Tools!$Q14)),Tools!$U14)=0,OR(Tools!$L14="",EDATE(Tools!$Q14,((YEAR(DATE(YEAR(TODAY()),MONTH(TODAY())+4,1))-YEAR(Tools!$Q14))*12+MONTH(DATE(YEAR(TODAY()),MONTH(TODAY())+4,1))-MONTH(Tools!$Q14)))&lt;Tools!$L14)),Tools!$N14,""))</f>
        <v/>
      </c>
      <c r="H15" s="30">
        <f>IF(OR(Tools!$B14="",Tools!$Q14=""),"",IF(AND(((YEAR(DATE(YEAR(TODAY()),MONTH(TODAY())+5,1))-YEAR(Tools!$Q14))*12+MONTH(DATE(YEAR(TODAY()),MONTH(TODAY())+5,1))-MONTH(Tools!$Q14))&gt;=0,MOD(((YEAR(DATE(YEAR(TODAY()),MONTH(TODAY())+5,1))-YEAR(Tools!$Q14))*12+MONTH(DATE(YEAR(TODAY()),MONTH(TODAY())+5,1))-MONTH(Tools!$Q14)),Tools!$U14)=0,OR(Tools!$L14="",EDATE(Tools!$Q14,((YEAR(DATE(YEAR(TODAY()),MONTH(TODAY())+5,1))-YEAR(Tools!$Q14))*12+MONTH(DATE(YEAR(TODAY()),MONTH(TODAY())+5,1))-MONTH(Tools!$Q14)))&lt;Tools!$L14)),Tools!$N14,""))</f>
        <v/>
      </c>
      <c r="I15" s="30">
        <f>IF(OR(Tools!$B14="",Tools!$Q14=""),"",IF(AND(((YEAR(DATE(YEAR(TODAY()),MONTH(TODAY())+6,1))-YEAR(Tools!$Q14))*12+MONTH(DATE(YEAR(TODAY()),MONTH(TODAY())+6,1))-MONTH(Tools!$Q14))&gt;=0,MOD(((YEAR(DATE(YEAR(TODAY()),MONTH(TODAY())+6,1))-YEAR(Tools!$Q14))*12+MONTH(DATE(YEAR(TODAY()),MONTH(TODAY())+6,1))-MONTH(Tools!$Q14)),Tools!$U14)=0,OR(Tools!$L14="",EDATE(Tools!$Q14,((YEAR(DATE(YEAR(TODAY()),MONTH(TODAY())+6,1))-YEAR(Tools!$Q14))*12+MONTH(DATE(YEAR(TODAY()),MONTH(TODAY())+6,1))-MONTH(Tools!$Q14)))&lt;Tools!$L14)),Tools!$N14,""))</f>
        <v/>
      </c>
      <c r="J15" s="30">
        <f>IF(OR(Tools!$B14="",Tools!$Q14=""),"",IF(AND(((YEAR(DATE(YEAR(TODAY()),MONTH(TODAY())+7,1))-YEAR(Tools!$Q14))*12+MONTH(DATE(YEAR(TODAY()),MONTH(TODAY())+7,1))-MONTH(Tools!$Q14))&gt;=0,MOD(((YEAR(DATE(YEAR(TODAY()),MONTH(TODAY())+7,1))-YEAR(Tools!$Q14))*12+MONTH(DATE(YEAR(TODAY()),MONTH(TODAY())+7,1))-MONTH(Tools!$Q14)),Tools!$U14)=0,OR(Tools!$L14="",EDATE(Tools!$Q14,((YEAR(DATE(YEAR(TODAY()),MONTH(TODAY())+7,1))-YEAR(Tools!$Q14))*12+MONTH(DATE(YEAR(TODAY()),MONTH(TODAY())+7,1))-MONTH(Tools!$Q14)))&lt;Tools!$L14)),Tools!$N14,""))</f>
        <v/>
      </c>
      <c r="K15" s="30">
        <f>IF(OR(Tools!$B14="",Tools!$Q14=""),"",IF(AND(((YEAR(DATE(YEAR(TODAY()),MONTH(TODAY())+8,1))-YEAR(Tools!$Q14))*12+MONTH(DATE(YEAR(TODAY()),MONTH(TODAY())+8,1))-MONTH(Tools!$Q14))&gt;=0,MOD(((YEAR(DATE(YEAR(TODAY()),MONTH(TODAY())+8,1))-YEAR(Tools!$Q14))*12+MONTH(DATE(YEAR(TODAY()),MONTH(TODAY())+8,1))-MONTH(Tools!$Q14)),Tools!$U14)=0,OR(Tools!$L14="",EDATE(Tools!$Q14,((YEAR(DATE(YEAR(TODAY()),MONTH(TODAY())+8,1))-YEAR(Tools!$Q14))*12+MONTH(DATE(YEAR(TODAY()),MONTH(TODAY())+8,1))-MONTH(Tools!$Q14)))&lt;Tools!$L14)),Tools!$N14,""))</f>
        <v/>
      </c>
      <c r="L15" s="30">
        <f>IF(OR(Tools!$B14="",Tools!$Q14=""),"",IF(AND(((YEAR(DATE(YEAR(TODAY()),MONTH(TODAY())+9,1))-YEAR(Tools!$Q14))*12+MONTH(DATE(YEAR(TODAY()),MONTH(TODAY())+9,1))-MONTH(Tools!$Q14))&gt;=0,MOD(((YEAR(DATE(YEAR(TODAY()),MONTH(TODAY())+9,1))-YEAR(Tools!$Q14))*12+MONTH(DATE(YEAR(TODAY()),MONTH(TODAY())+9,1))-MONTH(Tools!$Q14)),Tools!$U14)=0,OR(Tools!$L14="",EDATE(Tools!$Q14,((YEAR(DATE(YEAR(TODAY()),MONTH(TODAY())+9,1))-YEAR(Tools!$Q14))*12+MONTH(DATE(YEAR(TODAY()),MONTH(TODAY())+9,1))-MONTH(Tools!$Q14)))&lt;Tools!$L14)),Tools!$N14,""))</f>
        <v/>
      </c>
      <c r="M15" s="30">
        <f>IF(OR(Tools!$B14="",Tools!$Q14=""),"",IF(AND(((YEAR(DATE(YEAR(TODAY()),MONTH(TODAY())+10,1))-YEAR(Tools!$Q14))*12+MONTH(DATE(YEAR(TODAY()),MONTH(TODAY())+10,1))-MONTH(Tools!$Q14))&gt;=0,MOD(((YEAR(DATE(YEAR(TODAY()),MONTH(TODAY())+10,1))-YEAR(Tools!$Q14))*12+MONTH(DATE(YEAR(TODAY()),MONTH(TODAY())+10,1))-MONTH(Tools!$Q14)),Tools!$U14)=0,OR(Tools!$L14="",EDATE(Tools!$Q14,((YEAR(DATE(YEAR(TODAY()),MONTH(TODAY())+10,1))-YEAR(Tools!$Q14))*12+MONTH(DATE(YEAR(TODAY()),MONTH(TODAY())+10,1))-MONTH(Tools!$Q14)))&lt;Tools!$L14)),Tools!$N14,""))</f>
        <v/>
      </c>
      <c r="N15" s="30">
        <f>IF(OR(Tools!$B14="",Tools!$Q14=""),"",IF(AND(((YEAR(DATE(YEAR(TODAY()),MONTH(TODAY())+11,1))-YEAR(Tools!$Q14))*12+MONTH(DATE(YEAR(TODAY()),MONTH(TODAY())+11,1))-MONTH(Tools!$Q14))&gt;=0,MOD(((YEAR(DATE(YEAR(TODAY()),MONTH(TODAY())+11,1))-YEAR(Tools!$Q14))*12+MONTH(DATE(YEAR(TODAY()),MONTH(TODAY())+11,1))-MONTH(Tools!$Q14)),Tools!$U14)=0,OR(Tools!$L14="",EDATE(Tools!$Q14,((YEAR(DATE(YEAR(TODAY()),MONTH(TODAY())+11,1))-YEAR(Tools!$Q14))*12+MONTH(DATE(YEAR(TODAY()),MONTH(TODAY())+11,1))-MONTH(Tools!$Q14)))&lt;Tools!$L14)),Tools!$N14,""))</f>
        <v/>
      </c>
      <c r="O15" s="31">
        <f>IF(B15="","",SUM(C15:N15))</f>
        <v/>
      </c>
      <c r="P15" s="1" t="n"/>
    </row>
    <row r="16">
      <c r="A16" s="1" t="n"/>
      <c r="B16" s="11">
        <f>IF(Tools!B15="","",Tools!B15)</f>
        <v/>
      </c>
      <c r="C16" s="30">
        <f>IF(OR(Tools!$B15="",Tools!$Q15=""),"",IF(AND(((YEAR(DATE(YEAR(TODAY()),MONTH(TODAY())+0,1))-YEAR(Tools!$Q15))*12+MONTH(DATE(YEAR(TODAY()),MONTH(TODAY())+0,1))-MONTH(Tools!$Q15))&gt;=0,MOD(((YEAR(DATE(YEAR(TODAY()),MONTH(TODAY())+0,1))-YEAR(Tools!$Q15))*12+MONTH(DATE(YEAR(TODAY()),MONTH(TODAY())+0,1))-MONTH(Tools!$Q15)),Tools!$U15)=0,OR(Tools!$L15="",EDATE(Tools!$Q15,((YEAR(DATE(YEAR(TODAY()),MONTH(TODAY())+0,1))-YEAR(Tools!$Q15))*12+MONTH(DATE(YEAR(TODAY()),MONTH(TODAY())+0,1))-MONTH(Tools!$Q15)))&lt;Tools!$L15)),Tools!$N15,""))</f>
        <v/>
      </c>
      <c r="D16" s="30">
        <f>IF(OR(Tools!$B15="",Tools!$Q15=""),"",IF(AND(((YEAR(DATE(YEAR(TODAY()),MONTH(TODAY())+1,1))-YEAR(Tools!$Q15))*12+MONTH(DATE(YEAR(TODAY()),MONTH(TODAY())+1,1))-MONTH(Tools!$Q15))&gt;=0,MOD(((YEAR(DATE(YEAR(TODAY()),MONTH(TODAY())+1,1))-YEAR(Tools!$Q15))*12+MONTH(DATE(YEAR(TODAY()),MONTH(TODAY())+1,1))-MONTH(Tools!$Q15)),Tools!$U15)=0,OR(Tools!$L15="",EDATE(Tools!$Q15,((YEAR(DATE(YEAR(TODAY()),MONTH(TODAY())+1,1))-YEAR(Tools!$Q15))*12+MONTH(DATE(YEAR(TODAY()),MONTH(TODAY())+1,1))-MONTH(Tools!$Q15)))&lt;Tools!$L15)),Tools!$N15,""))</f>
        <v/>
      </c>
      <c r="E16" s="30">
        <f>IF(OR(Tools!$B15="",Tools!$Q15=""),"",IF(AND(((YEAR(DATE(YEAR(TODAY()),MONTH(TODAY())+2,1))-YEAR(Tools!$Q15))*12+MONTH(DATE(YEAR(TODAY()),MONTH(TODAY())+2,1))-MONTH(Tools!$Q15))&gt;=0,MOD(((YEAR(DATE(YEAR(TODAY()),MONTH(TODAY())+2,1))-YEAR(Tools!$Q15))*12+MONTH(DATE(YEAR(TODAY()),MONTH(TODAY())+2,1))-MONTH(Tools!$Q15)),Tools!$U15)=0,OR(Tools!$L15="",EDATE(Tools!$Q15,((YEAR(DATE(YEAR(TODAY()),MONTH(TODAY())+2,1))-YEAR(Tools!$Q15))*12+MONTH(DATE(YEAR(TODAY()),MONTH(TODAY())+2,1))-MONTH(Tools!$Q15)))&lt;Tools!$L15)),Tools!$N15,""))</f>
        <v/>
      </c>
      <c r="F16" s="30">
        <f>IF(OR(Tools!$B15="",Tools!$Q15=""),"",IF(AND(((YEAR(DATE(YEAR(TODAY()),MONTH(TODAY())+3,1))-YEAR(Tools!$Q15))*12+MONTH(DATE(YEAR(TODAY()),MONTH(TODAY())+3,1))-MONTH(Tools!$Q15))&gt;=0,MOD(((YEAR(DATE(YEAR(TODAY()),MONTH(TODAY())+3,1))-YEAR(Tools!$Q15))*12+MONTH(DATE(YEAR(TODAY()),MONTH(TODAY())+3,1))-MONTH(Tools!$Q15)),Tools!$U15)=0,OR(Tools!$L15="",EDATE(Tools!$Q15,((YEAR(DATE(YEAR(TODAY()),MONTH(TODAY())+3,1))-YEAR(Tools!$Q15))*12+MONTH(DATE(YEAR(TODAY()),MONTH(TODAY())+3,1))-MONTH(Tools!$Q15)))&lt;Tools!$L15)),Tools!$N15,""))</f>
        <v/>
      </c>
      <c r="G16" s="30">
        <f>IF(OR(Tools!$B15="",Tools!$Q15=""),"",IF(AND(((YEAR(DATE(YEAR(TODAY()),MONTH(TODAY())+4,1))-YEAR(Tools!$Q15))*12+MONTH(DATE(YEAR(TODAY()),MONTH(TODAY())+4,1))-MONTH(Tools!$Q15))&gt;=0,MOD(((YEAR(DATE(YEAR(TODAY()),MONTH(TODAY())+4,1))-YEAR(Tools!$Q15))*12+MONTH(DATE(YEAR(TODAY()),MONTH(TODAY())+4,1))-MONTH(Tools!$Q15)),Tools!$U15)=0,OR(Tools!$L15="",EDATE(Tools!$Q15,((YEAR(DATE(YEAR(TODAY()),MONTH(TODAY())+4,1))-YEAR(Tools!$Q15))*12+MONTH(DATE(YEAR(TODAY()),MONTH(TODAY())+4,1))-MONTH(Tools!$Q15)))&lt;Tools!$L15)),Tools!$N15,""))</f>
        <v/>
      </c>
      <c r="H16" s="30">
        <f>IF(OR(Tools!$B15="",Tools!$Q15=""),"",IF(AND(((YEAR(DATE(YEAR(TODAY()),MONTH(TODAY())+5,1))-YEAR(Tools!$Q15))*12+MONTH(DATE(YEAR(TODAY()),MONTH(TODAY())+5,1))-MONTH(Tools!$Q15))&gt;=0,MOD(((YEAR(DATE(YEAR(TODAY()),MONTH(TODAY())+5,1))-YEAR(Tools!$Q15))*12+MONTH(DATE(YEAR(TODAY()),MONTH(TODAY())+5,1))-MONTH(Tools!$Q15)),Tools!$U15)=0,OR(Tools!$L15="",EDATE(Tools!$Q15,((YEAR(DATE(YEAR(TODAY()),MONTH(TODAY())+5,1))-YEAR(Tools!$Q15))*12+MONTH(DATE(YEAR(TODAY()),MONTH(TODAY())+5,1))-MONTH(Tools!$Q15)))&lt;Tools!$L15)),Tools!$N15,""))</f>
        <v/>
      </c>
      <c r="I16" s="30">
        <f>IF(OR(Tools!$B15="",Tools!$Q15=""),"",IF(AND(((YEAR(DATE(YEAR(TODAY()),MONTH(TODAY())+6,1))-YEAR(Tools!$Q15))*12+MONTH(DATE(YEAR(TODAY()),MONTH(TODAY())+6,1))-MONTH(Tools!$Q15))&gt;=0,MOD(((YEAR(DATE(YEAR(TODAY()),MONTH(TODAY())+6,1))-YEAR(Tools!$Q15))*12+MONTH(DATE(YEAR(TODAY()),MONTH(TODAY())+6,1))-MONTH(Tools!$Q15)),Tools!$U15)=0,OR(Tools!$L15="",EDATE(Tools!$Q15,((YEAR(DATE(YEAR(TODAY()),MONTH(TODAY())+6,1))-YEAR(Tools!$Q15))*12+MONTH(DATE(YEAR(TODAY()),MONTH(TODAY())+6,1))-MONTH(Tools!$Q15)))&lt;Tools!$L15)),Tools!$N15,""))</f>
        <v/>
      </c>
      <c r="J16" s="30">
        <f>IF(OR(Tools!$B15="",Tools!$Q15=""),"",IF(AND(((YEAR(DATE(YEAR(TODAY()),MONTH(TODAY())+7,1))-YEAR(Tools!$Q15))*12+MONTH(DATE(YEAR(TODAY()),MONTH(TODAY())+7,1))-MONTH(Tools!$Q15))&gt;=0,MOD(((YEAR(DATE(YEAR(TODAY()),MONTH(TODAY())+7,1))-YEAR(Tools!$Q15))*12+MONTH(DATE(YEAR(TODAY()),MONTH(TODAY())+7,1))-MONTH(Tools!$Q15)),Tools!$U15)=0,OR(Tools!$L15="",EDATE(Tools!$Q15,((YEAR(DATE(YEAR(TODAY()),MONTH(TODAY())+7,1))-YEAR(Tools!$Q15))*12+MONTH(DATE(YEAR(TODAY()),MONTH(TODAY())+7,1))-MONTH(Tools!$Q15)))&lt;Tools!$L15)),Tools!$N15,""))</f>
        <v/>
      </c>
      <c r="K16" s="30">
        <f>IF(OR(Tools!$B15="",Tools!$Q15=""),"",IF(AND(((YEAR(DATE(YEAR(TODAY()),MONTH(TODAY())+8,1))-YEAR(Tools!$Q15))*12+MONTH(DATE(YEAR(TODAY()),MONTH(TODAY())+8,1))-MONTH(Tools!$Q15))&gt;=0,MOD(((YEAR(DATE(YEAR(TODAY()),MONTH(TODAY())+8,1))-YEAR(Tools!$Q15))*12+MONTH(DATE(YEAR(TODAY()),MONTH(TODAY())+8,1))-MONTH(Tools!$Q15)),Tools!$U15)=0,OR(Tools!$L15="",EDATE(Tools!$Q15,((YEAR(DATE(YEAR(TODAY()),MONTH(TODAY())+8,1))-YEAR(Tools!$Q15))*12+MONTH(DATE(YEAR(TODAY()),MONTH(TODAY())+8,1))-MONTH(Tools!$Q15)))&lt;Tools!$L15)),Tools!$N15,""))</f>
        <v/>
      </c>
      <c r="L16" s="30">
        <f>IF(OR(Tools!$B15="",Tools!$Q15=""),"",IF(AND(((YEAR(DATE(YEAR(TODAY()),MONTH(TODAY())+9,1))-YEAR(Tools!$Q15))*12+MONTH(DATE(YEAR(TODAY()),MONTH(TODAY())+9,1))-MONTH(Tools!$Q15))&gt;=0,MOD(((YEAR(DATE(YEAR(TODAY()),MONTH(TODAY())+9,1))-YEAR(Tools!$Q15))*12+MONTH(DATE(YEAR(TODAY()),MONTH(TODAY())+9,1))-MONTH(Tools!$Q15)),Tools!$U15)=0,OR(Tools!$L15="",EDATE(Tools!$Q15,((YEAR(DATE(YEAR(TODAY()),MONTH(TODAY())+9,1))-YEAR(Tools!$Q15))*12+MONTH(DATE(YEAR(TODAY()),MONTH(TODAY())+9,1))-MONTH(Tools!$Q15)))&lt;Tools!$L15)),Tools!$N15,""))</f>
        <v/>
      </c>
      <c r="M16" s="30">
        <f>IF(OR(Tools!$B15="",Tools!$Q15=""),"",IF(AND(((YEAR(DATE(YEAR(TODAY()),MONTH(TODAY())+10,1))-YEAR(Tools!$Q15))*12+MONTH(DATE(YEAR(TODAY()),MONTH(TODAY())+10,1))-MONTH(Tools!$Q15))&gt;=0,MOD(((YEAR(DATE(YEAR(TODAY()),MONTH(TODAY())+10,1))-YEAR(Tools!$Q15))*12+MONTH(DATE(YEAR(TODAY()),MONTH(TODAY())+10,1))-MONTH(Tools!$Q15)),Tools!$U15)=0,OR(Tools!$L15="",EDATE(Tools!$Q15,((YEAR(DATE(YEAR(TODAY()),MONTH(TODAY())+10,1))-YEAR(Tools!$Q15))*12+MONTH(DATE(YEAR(TODAY()),MONTH(TODAY())+10,1))-MONTH(Tools!$Q15)))&lt;Tools!$L15)),Tools!$N15,""))</f>
        <v/>
      </c>
      <c r="N16" s="30">
        <f>IF(OR(Tools!$B15="",Tools!$Q15=""),"",IF(AND(((YEAR(DATE(YEAR(TODAY()),MONTH(TODAY())+11,1))-YEAR(Tools!$Q15))*12+MONTH(DATE(YEAR(TODAY()),MONTH(TODAY())+11,1))-MONTH(Tools!$Q15))&gt;=0,MOD(((YEAR(DATE(YEAR(TODAY()),MONTH(TODAY())+11,1))-YEAR(Tools!$Q15))*12+MONTH(DATE(YEAR(TODAY()),MONTH(TODAY())+11,1))-MONTH(Tools!$Q15)),Tools!$U15)=0,OR(Tools!$L15="",EDATE(Tools!$Q15,((YEAR(DATE(YEAR(TODAY()),MONTH(TODAY())+11,1))-YEAR(Tools!$Q15))*12+MONTH(DATE(YEAR(TODAY()),MONTH(TODAY())+11,1))-MONTH(Tools!$Q15)))&lt;Tools!$L15)),Tools!$N15,""))</f>
        <v/>
      </c>
      <c r="O16" s="31">
        <f>IF(B16="","",SUM(C16:N16))</f>
        <v/>
      </c>
      <c r="P16" s="1" t="n"/>
    </row>
    <row r="17">
      <c r="A17" s="1" t="n"/>
      <c r="B17" s="11">
        <f>IF(Tools!B16="","",Tools!B16)</f>
        <v/>
      </c>
      <c r="C17" s="30">
        <f>IF(OR(Tools!$B16="",Tools!$Q16=""),"",IF(AND(((YEAR(DATE(YEAR(TODAY()),MONTH(TODAY())+0,1))-YEAR(Tools!$Q16))*12+MONTH(DATE(YEAR(TODAY()),MONTH(TODAY())+0,1))-MONTH(Tools!$Q16))&gt;=0,MOD(((YEAR(DATE(YEAR(TODAY()),MONTH(TODAY())+0,1))-YEAR(Tools!$Q16))*12+MONTH(DATE(YEAR(TODAY()),MONTH(TODAY())+0,1))-MONTH(Tools!$Q16)),Tools!$U16)=0,OR(Tools!$L16="",EDATE(Tools!$Q16,((YEAR(DATE(YEAR(TODAY()),MONTH(TODAY())+0,1))-YEAR(Tools!$Q16))*12+MONTH(DATE(YEAR(TODAY()),MONTH(TODAY())+0,1))-MONTH(Tools!$Q16)))&lt;Tools!$L16)),Tools!$N16,""))</f>
        <v/>
      </c>
      <c r="D17" s="30">
        <f>IF(OR(Tools!$B16="",Tools!$Q16=""),"",IF(AND(((YEAR(DATE(YEAR(TODAY()),MONTH(TODAY())+1,1))-YEAR(Tools!$Q16))*12+MONTH(DATE(YEAR(TODAY()),MONTH(TODAY())+1,1))-MONTH(Tools!$Q16))&gt;=0,MOD(((YEAR(DATE(YEAR(TODAY()),MONTH(TODAY())+1,1))-YEAR(Tools!$Q16))*12+MONTH(DATE(YEAR(TODAY()),MONTH(TODAY())+1,1))-MONTH(Tools!$Q16)),Tools!$U16)=0,OR(Tools!$L16="",EDATE(Tools!$Q16,((YEAR(DATE(YEAR(TODAY()),MONTH(TODAY())+1,1))-YEAR(Tools!$Q16))*12+MONTH(DATE(YEAR(TODAY()),MONTH(TODAY())+1,1))-MONTH(Tools!$Q16)))&lt;Tools!$L16)),Tools!$N16,""))</f>
        <v/>
      </c>
      <c r="E17" s="30">
        <f>IF(OR(Tools!$B16="",Tools!$Q16=""),"",IF(AND(((YEAR(DATE(YEAR(TODAY()),MONTH(TODAY())+2,1))-YEAR(Tools!$Q16))*12+MONTH(DATE(YEAR(TODAY()),MONTH(TODAY())+2,1))-MONTH(Tools!$Q16))&gt;=0,MOD(((YEAR(DATE(YEAR(TODAY()),MONTH(TODAY())+2,1))-YEAR(Tools!$Q16))*12+MONTH(DATE(YEAR(TODAY()),MONTH(TODAY())+2,1))-MONTH(Tools!$Q16)),Tools!$U16)=0,OR(Tools!$L16="",EDATE(Tools!$Q16,((YEAR(DATE(YEAR(TODAY()),MONTH(TODAY())+2,1))-YEAR(Tools!$Q16))*12+MONTH(DATE(YEAR(TODAY()),MONTH(TODAY())+2,1))-MONTH(Tools!$Q16)))&lt;Tools!$L16)),Tools!$N16,""))</f>
        <v/>
      </c>
      <c r="F17" s="30">
        <f>IF(OR(Tools!$B16="",Tools!$Q16=""),"",IF(AND(((YEAR(DATE(YEAR(TODAY()),MONTH(TODAY())+3,1))-YEAR(Tools!$Q16))*12+MONTH(DATE(YEAR(TODAY()),MONTH(TODAY())+3,1))-MONTH(Tools!$Q16))&gt;=0,MOD(((YEAR(DATE(YEAR(TODAY()),MONTH(TODAY())+3,1))-YEAR(Tools!$Q16))*12+MONTH(DATE(YEAR(TODAY()),MONTH(TODAY())+3,1))-MONTH(Tools!$Q16)),Tools!$U16)=0,OR(Tools!$L16="",EDATE(Tools!$Q16,((YEAR(DATE(YEAR(TODAY()),MONTH(TODAY())+3,1))-YEAR(Tools!$Q16))*12+MONTH(DATE(YEAR(TODAY()),MONTH(TODAY())+3,1))-MONTH(Tools!$Q16)))&lt;Tools!$L16)),Tools!$N16,""))</f>
        <v/>
      </c>
      <c r="G17" s="30">
        <f>IF(OR(Tools!$B16="",Tools!$Q16=""),"",IF(AND(((YEAR(DATE(YEAR(TODAY()),MONTH(TODAY())+4,1))-YEAR(Tools!$Q16))*12+MONTH(DATE(YEAR(TODAY()),MONTH(TODAY())+4,1))-MONTH(Tools!$Q16))&gt;=0,MOD(((YEAR(DATE(YEAR(TODAY()),MONTH(TODAY())+4,1))-YEAR(Tools!$Q16))*12+MONTH(DATE(YEAR(TODAY()),MONTH(TODAY())+4,1))-MONTH(Tools!$Q16)),Tools!$U16)=0,OR(Tools!$L16="",EDATE(Tools!$Q16,((YEAR(DATE(YEAR(TODAY()),MONTH(TODAY())+4,1))-YEAR(Tools!$Q16))*12+MONTH(DATE(YEAR(TODAY()),MONTH(TODAY())+4,1))-MONTH(Tools!$Q16)))&lt;Tools!$L16)),Tools!$N16,""))</f>
        <v/>
      </c>
      <c r="H17" s="30">
        <f>IF(OR(Tools!$B16="",Tools!$Q16=""),"",IF(AND(((YEAR(DATE(YEAR(TODAY()),MONTH(TODAY())+5,1))-YEAR(Tools!$Q16))*12+MONTH(DATE(YEAR(TODAY()),MONTH(TODAY())+5,1))-MONTH(Tools!$Q16))&gt;=0,MOD(((YEAR(DATE(YEAR(TODAY()),MONTH(TODAY())+5,1))-YEAR(Tools!$Q16))*12+MONTH(DATE(YEAR(TODAY()),MONTH(TODAY())+5,1))-MONTH(Tools!$Q16)),Tools!$U16)=0,OR(Tools!$L16="",EDATE(Tools!$Q16,((YEAR(DATE(YEAR(TODAY()),MONTH(TODAY())+5,1))-YEAR(Tools!$Q16))*12+MONTH(DATE(YEAR(TODAY()),MONTH(TODAY())+5,1))-MONTH(Tools!$Q16)))&lt;Tools!$L16)),Tools!$N16,""))</f>
        <v/>
      </c>
      <c r="I17" s="30">
        <f>IF(OR(Tools!$B16="",Tools!$Q16=""),"",IF(AND(((YEAR(DATE(YEAR(TODAY()),MONTH(TODAY())+6,1))-YEAR(Tools!$Q16))*12+MONTH(DATE(YEAR(TODAY()),MONTH(TODAY())+6,1))-MONTH(Tools!$Q16))&gt;=0,MOD(((YEAR(DATE(YEAR(TODAY()),MONTH(TODAY())+6,1))-YEAR(Tools!$Q16))*12+MONTH(DATE(YEAR(TODAY()),MONTH(TODAY())+6,1))-MONTH(Tools!$Q16)),Tools!$U16)=0,OR(Tools!$L16="",EDATE(Tools!$Q16,((YEAR(DATE(YEAR(TODAY()),MONTH(TODAY())+6,1))-YEAR(Tools!$Q16))*12+MONTH(DATE(YEAR(TODAY()),MONTH(TODAY())+6,1))-MONTH(Tools!$Q16)))&lt;Tools!$L16)),Tools!$N16,""))</f>
        <v/>
      </c>
      <c r="J17" s="30">
        <f>IF(OR(Tools!$B16="",Tools!$Q16=""),"",IF(AND(((YEAR(DATE(YEAR(TODAY()),MONTH(TODAY())+7,1))-YEAR(Tools!$Q16))*12+MONTH(DATE(YEAR(TODAY()),MONTH(TODAY())+7,1))-MONTH(Tools!$Q16))&gt;=0,MOD(((YEAR(DATE(YEAR(TODAY()),MONTH(TODAY())+7,1))-YEAR(Tools!$Q16))*12+MONTH(DATE(YEAR(TODAY()),MONTH(TODAY())+7,1))-MONTH(Tools!$Q16)),Tools!$U16)=0,OR(Tools!$L16="",EDATE(Tools!$Q16,((YEAR(DATE(YEAR(TODAY()),MONTH(TODAY())+7,1))-YEAR(Tools!$Q16))*12+MONTH(DATE(YEAR(TODAY()),MONTH(TODAY())+7,1))-MONTH(Tools!$Q16)))&lt;Tools!$L16)),Tools!$N16,""))</f>
        <v/>
      </c>
      <c r="K17" s="30">
        <f>IF(OR(Tools!$B16="",Tools!$Q16=""),"",IF(AND(((YEAR(DATE(YEAR(TODAY()),MONTH(TODAY())+8,1))-YEAR(Tools!$Q16))*12+MONTH(DATE(YEAR(TODAY()),MONTH(TODAY())+8,1))-MONTH(Tools!$Q16))&gt;=0,MOD(((YEAR(DATE(YEAR(TODAY()),MONTH(TODAY())+8,1))-YEAR(Tools!$Q16))*12+MONTH(DATE(YEAR(TODAY()),MONTH(TODAY())+8,1))-MONTH(Tools!$Q16)),Tools!$U16)=0,OR(Tools!$L16="",EDATE(Tools!$Q16,((YEAR(DATE(YEAR(TODAY()),MONTH(TODAY())+8,1))-YEAR(Tools!$Q16))*12+MONTH(DATE(YEAR(TODAY()),MONTH(TODAY())+8,1))-MONTH(Tools!$Q16)))&lt;Tools!$L16)),Tools!$N16,""))</f>
        <v/>
      </c>
      <c r="L17" s="30">
        <f>IF(OR(Tools!$B16="",Tools!$Q16=""),"",IF(AND(((YEAR(DATE(YEAR(TODAY()),MONTH(TODAY())+9,1))-YEAR(Tools!$Q16))*12+MONTH(DATE(YEAR(TODAY()),MONTH(TODAY())+9,1))-MONTH(Tools!$Q16))&gt;=0,MOD(((YEAR(DATE(YEAR(TODAY()),MONTH(TODAY())+9,1))-YEAR(Tools!$Q16))*12+MONTH(DATE(YEAR(TODAY()),MONTH(TODAY())+9,1))-MONTH(Tools!$Q16)),Tools!$U16)=0,OR(Tools!$L16="",EDATE(Tools!$Q16,((YEAR(DATE(YEAR(TODAY()),MONTH(TODAY())+9,1))-YEAR(Tools!$Q16))*12+MONTH(DATE(YEAR(TODAY()),MONTH(TODAY())+9,1))-MONTH(Tools!$Q16)))&lt;Tools!$L16)),Tools!$N16,""))</f>
        <v/>
      </c>
      <c r="M17" s="30">
        <f>IF(OR(Tools!$B16="",Tools!$Q16=""),"",IF(AND(((YEAR(DATE(YEAR(TODAY()),MONTH(TODAY())+10,1))-YEAR(Tools!$Q16))*12+MONTH(DATE(YEAR(TODAY()),MONTH(TODAY())+10,1))-MONTH(Tools!$Q16))&gt;=0,MOD(((YEAR(DATE(YEAR(TODAY()),MONTH(TODAY())+10,1))-YEAR(Tools!$Q16))*12+MONTH(DATE(YEAR(TODAY()),MONTH(TODAY())+10,1))-MONTH(Tools!$Q16)),Tools!$U16)=0,OR(Tools!$L16="",EDATE(Tools!$Q16,((YEAR(DATE(YEAR(TODAY()),MONTH(TODAY())+10,1))-YEAR(Tools!$Q16))*12+MONTH(DATE(YEAR(TODAY()),MONTH(TODAY())+10,1))-MONTH(Tools!$Q16)))&lt;Tools!$L16)),Tools!$N16,""))</f>
        <v/>
      </c>
      <c r="N17" s="30">
        <f>IF(OR(Tools!$B16="",Tools!$Q16=""),"",IF(AND(((YEAR(DATE(YEAR(TODAY()),MONTH(TODAY())+11,1))-YEAR(Tools!$Q16))*12+MONTH(DATE(YEAR(TODAY()),MONTH(TODAY())+11,1))-MONTH(Tools!$Q16))&gt;=0,MOD(((YEAR(DATE(YEAR(TODAY()),MONTH(TODAY())+11,1))-YEAR(Tools!$Q16))*12+MONTH(DATE(YEAR(TODAY()),MONTH(TODAY())+11,1))-MONTH(Tools!$Q16)),Tools!$U16)=0,OR(Tools!$L16="",EDATE(Tools!$Q16,((YEAR(DATE(YEAR(TODAY()),MONTH(TODAY())+11,1))-YEAR(Tools!$Q16))*12+MONTH(DATE(YEAR(TODAY()),MONTH(TODAY())+11,1))-MONTH(Tools!$Q16)))&lt;Tools!$L16)),Tools!$N16,""))</f>
        <v/>
      </c>
      <c r="O17" s="31">
        <f>IF(B17="","",SUM(C17:N17))</f>
        <v/>
      </c>
      <c r="P17" s="1" t="n"/>
    </row>
    <row r="18">
      <c r="A18" s="1" t="n"/>
      <c r="B18" s="11">
        <f>IF(Tools!B17="","",Tools!B17)</f>
        <v/>
      </c>
      <c r="C18" s="30">
        <f>IF(OR(Tools!$B17="",Tools!$Q17=""),"",IF(AND(((YEAR(DATE(YEAR(TODAY()),MONTH(TODAY())+0,1))-YEAR(Tools!$Q17))*12+MONTH(DATE(YEAR(TODAY()),MONTH(TODAY())+0,1))-MONTH(Tools!$Q17))&gt;=0,MOD(((YEAR(DATE(YEAR(TODAY()),MONTH(TODAY())+0,1))-YEAR(Tools!$Q17))*12+MONTH(DATE(YEAR(TODAY()),MONTH(TODAY())+0,1))-MONTH(Tools!$Q17)),Tools!$U17)=0,OR(Tools!$L17="",EDATE(Tools!$Q17,((YEAR(DATE(YEAR(TODAY()),MONTH(TODAY())+0,1))-YEAR(Tools!$Q17))*12+MONTH(DATE(YEAR(TODAY()),MONTH(TODAY())+0,1))-MONTH(Tools!$Q17)))&lt;Tools!$L17)),Tools!$N17,""))</f>
        <v/>
      </c>
      <c r="D18" s="30">
        <f>IF(OR(Tools!$B17="",Tools!$Q17=""),"",IF(AND(((YEAR(DATE(YEAR(TODAY()),MONTH(TODAY())+1,1))-YEAR(Tools!$Q17))*12+MONTH(DATE(YEAR(TODAY()),MONTH(TODAY())+1,1))-MONTH(Tools!$Q17))&gt;=0,MOD(((YEAR(DATE(YEAR(TODAY()),MONTH(TODAY())+1,1))-YEAR(Tools!$Q17))*12+MONTH(DATE(YEAR(TODAY()),MONTH(TODAY())+1,1))-MONTH(Tools!$Q17)),Tools!$U17)=0,OR(Tools!$L17="",EDATE(Tools!$Q17,((YEAR(DATE(YEAR(TODAY()),MONTH(TODAY())+1,1))-YEAR(Tools!$Q17))*12+MONTH(DATE(YEAR(TODAY()),MONTH(TODAY())+1,1))-MONTH(Tools!$Q17)))&lt;Tools!$L17)),Tools!$N17,""))</f>
        <v/>
      </c>
      <c r="E18" s="30">
        <f>IF(OR(Tools!$B17="",Tools!$Q17=""),"",IF(AND(((YEAR(DATE(YEAR(TODAY()),MONTH(TODAY())+2,1))-YEAR(Tools!$Q17))*12+MONTH(DATE(YEAR(TODAY()),MONTH(TODAY())+2,1))-MONTH(Tools!$Q17))&gt;=0,MOD(((YEAR(DATE(YEAR(TODAY()),MONTH(TODAY())+2,1))-YEAR(Tools!$Q17))*12+MONTH(DATE(YEAR(TODAY()),MONTH(TODAY())+2,1))-MONTH(Tools!$Q17)),Tools!$U17)=0,OR(Tools!$L17="",EDATE(Tools!$Q17,((YEAR(DATE(YEAR(TODAY()),MONTH(TODAY())+2,1))-YEAR(Tools!$Q17))*12+MONTH(DATE(YEAR(TODAY()),MONTH(TODAY())+2,1))-MONTH(Tools!$Q17)))&lt;Tools!$L17)),Tools!$N17,""))</f>
        <v/>
      </c>
      <c r="F18" s="30">
        <f>IF(OR(Tools!$B17="",Tools!$Q17=""),"",IF(AND(((YEAR(DATE(YEAR(TODAY()),MONTH(TODAY())+3,1))-YEAR(Tools!$Q17))*12+MONTH(DATE(YEAR(TODAY()),MONTH(TODAY())+3,1))-MONTH(Tools!$Q17))&gt;=0,MOD(((YEAR(DATE(YEAR(TODAY()),MONTH(TODAY())+3,1))-YEAR(Tools!$Q17))*12+MONTH(DATE(YEAR(TODAY()),MONTH(TODAY())+3,1))-MONTH(Tools!$Q17)),Tools!$U17)=0,OR(Tools!$L17="",EDATE(Tools!$Q17,((YEAR(DATE(YEAR(TODAY()),MONTH(TODAY())+3,1))-YEAR(Tools!$Q17))*12+MONTH(DATE(YEAR(TODAY()),MONTH(TODAY())+3,1))-MONTH(Tools!$Q17)))&lt;Tools!$L17)),Tools!$N17,""))</f>
        <v/>
      </c>
      <c r="G18" s="30">
        <f>IF(OR(Tools!$B17="",Tools!$Q17=""),"",IF(AND(((YEAR(DATE(YEAR(TODAY()),MONTH(TODAY())+4,1))-YEAR(Tools!$Q17))*12+MONTH(DATE(YEAR(TODAY()),MONTH(TODAY())+4,1))-MONTH(Tools!$Q17))&gt;=0,MOD(((YEAR(DATE(YEAR(TODAY()),MONTH(TODAY())+4,1))-YEAR(Tools!$Q17))*12+MONTH(DATE(YEAR(TODAY()),MONTH(TODAY())+4,1))-MONTH(Tools!$Q17)),Tools!$U17)=0,OR(Tools!$L17="",EDATE(Tools!$Q17,((YEAR(DATE(YEAR(TODAY()),MONTH(TODAY())+4,1))-YEAR(Tools!$Q17))*12+MONTH(DATE(YEAR(TODAY()),MONTH(TODAY())+4,1))-MONTH(Tools!$Q17)))&lt;Tools!$L17)),Tools!$N17,""))</f>
        <v/>
      </c>
      <c r="H18" s="30">
        <f>IF(OR(Tools!$B17="",Tools!$Q17=""),"",IF(AND(((YEAR(DATE(YEAR(TODAY()),MONTH(TODAY())+5,1))-YEAR(Tools!$Q17))*12+MONTH(DATE(YEAR(TODAY()),MONTH(TODAY())+5,1))-MONTH(Tools!$Q17))&gt;=0,MOD(((YEAR(DATE(YEAR(TODAY()),MONTH(TODAY())+5,1))-YEAR(Tools!$Q17))*12+MONTH(DATE(YEAR(TODAY()),MONTH(TODAY())+5,1))-MONTH(Tools!$Q17)),Tools!$U17)=0,OR(Tools!$L17="",EDATE(Tools!$Q17,((YEAR(DATE(YEAR(TODAY()),MONTH(TODAY())+5,1))-YEAR(Tools!$Q17))*12+MONTH(DATE(YEAR(TODAY()),MONTH(TODAY())+5,1))-MONTH(Tools!$Q17)))&lt;Tools!$L17)),Tools!$N17,""))</f>
        <v/>
      </c>
      <c r="I18" s="30">
        <f>IF(OR(Tools!$B17="",Tools!$Q17=""),"",IF(AND(((YEAR(DATE(YEAR(TODAY()),MONTH(TODAY())+6,1))-YEAR(Tools!$Q17))*12+MONTH(DATE(YEAR(TODAY()),MONTH(TODAY())+6,1))-MONTH(Tools!$Q17))&gt;=0,MOD(((YEAR(DATE(YEAR(TODAY()),MONTH(TODAY())+6,1))-YEAR(Tools!$Q17))*12+MONTH(DATE(YEAR(TODAY()),MONTH(TODAY())+6,1))-MONTH(Tools!$Q17)),Tools!$U17)=0,OR(Tools!$L17="",EDATE(Tools!$Q17,((YEAR(DATE(YEAR(TODAY()),MONTH(TODAY())+6,1))-YEAR(Tools!$Q17))*12+MONTH(DATE(YEAR(TODAY()),MONTH(TODAY())+6,1))-MONTH(Tools!$Q17)))&lt;Tools!$L17)),Tools!$N17,""))</f>
        <v/>
      </c>
      <c r="J18" s="30">
        <f>IF(OR(Tools!$B17="",Tools!$Q17=""),"",IF(AND(((YEAR(DATE(YEAR(TODAY()),MONTH(TODAY())+7,1))-YEAR(Tools!$Q17))*12+MONTH(DATE(YEAR(TODAY()),MONTH(TODAY())+7,1))-MONTH(Tools!$Q17))&gt;=0,MOD(((YEAR(DATE(YEAR(TODAY()),MONTH(TODAY())+7,1))-YEAR(Tools!$Q17))*12+MONTH(DATE(YEAR(TODAY()),MONTH(TODAY())+7,1))-MONTH(Tools!$Q17)),Tools!$U17)=0,OR(Tools!$L17="",EDATE(Tools!$Q17,((YEAR(DATE(YEAR(TODAY()),MONTH(TODAY())+7,1))-YEAR(Tools!$Q17))*12+MONTH(DATE(YEAR(TODAY()),MONTH(TODAY())+7,1))-MONTH(Tools!$Q17)))&lt;Tools!$L17)),Tools!$N17,""))</f>
        <v/>
      </c>
      <c r="K18" s="30">
        <f>IF(OR(Tools!$B17="",Tools!$Q17=""),"",IF(AND(((YEAR(DATE(YEAR(TODAY()),MONTH(TODAY())+8,1))-YEAR(Tools!$Q17))*12+MONTH(DATE(YEAR(TODAY()),MONTH(TODAY())+8,1))-MONTH(Tools!$Q17))&gt;=0,MOD(((YEAR(DATE(YEAR(TODAY()),MONTH(TODAY())+8,1))-YEAR(Tools!$Q17))*12+MONTH(DATE(YEAR(TODAY()),MONTH(TODAY())+8,1))-MONTH(Tools!$Q17)),Tools!$U17)=0,OR(Tools!$L17="",EDATE(Tools!$Q17,((YEAR(DATE(YEAR(TODAY()),MONTH(TODAY())+8,1))-YEAR(Tools!$Q17))*12+MONTH(DATE(YEAR(TODAY()),MONTH(TODAY())+8,1))-MONTH(Tools!$Q17)))&lt;Tools!$L17)),Tools!$N17,""))</f>
        <v/>
      </c>
      <c r="L18" s="30">
        <f>IF(OR(Tools!$B17="",Tools!$Q17=""),"",IF(AND(((YEAR(DATE(YEAR(TODAY()),MONTH(TODAY())+9,1))-YEAR(Tools!$Q17))*12+MONTH(DATE(YEAR(TODAY()),MONTH(TODAY())+9,1))-MONTH(Tools!$Q17))&gt;=0,MOD(((YEAR(DATE(YEAR(TODAY()),MONTH(TODAY())+9,1))-YEAR(Tools!$Q17))*12+MONTH(DATE(YEAR(TODAY()),MONTH(TODAY())+9,1))-MONTH(Tools!$Q17)),Tools!$U17)=0,OR(Tools!$L17="",EDATE(Tools!$Q17,((YEAR(DATE(YEAR(TODAY()),MONTH(TODAY())+9,1))-YEAR(Tools!$Q17))*12+MONTH(DATE(YEAR(TODAY()),MONTH(TODAY())+9,1))-MONTH(Tools!$Q17)))&lt;Tools!$L17)),Tools!$N17,""))</f>
        <v/>
      </c>
      <c r="M18" s="30">
        <f>IF(OR(Tools!$B17="",Tools!$Q17=""),"",IF(AND(((YEAR(DATE(YEAR(TODAY()),MONTH(TODAY())+10,1))-YEAR(Tools!$Q17))*12+MONTH(DATE(YEAR(TODAY()),MONTH(TODAY())+10,1))-MONTH(Tools!$Q17))&gt;=0,MOD(((YEAR(DATE(YEAR(TODAY()),MONTH(TODAY())+10,1))-YEAR(Tools!$Q17))*12+MONTH(DATE(YEAR(TODAY()),MONTH(TODAY())+10,1))-MONTH(Tools!$Q17)),Tools!$U17)=0,OR(Tools!$L17="",EDATE(Tools!$Q17,((YEAR(DATE(YEAR(TODAY()),MONTH(TODAY())+10,1))-YEAR(Tools!$Q17))*12+MONTH(DATE(YEAR(TODAY()),MONTH(TODAY())+10,1))-MONTH(Tools!$Q17)))&lt;Tools!$L17)),Tools!$N17,""))</f>
        <v/>
      </c>
      <c r="N18" s="30">
        <f>IF(OR(Tools!$B17="",Tools!$Q17=""),"",IF(AND(((YEAR(DATE(YEAR(TODAY()),MONTH(TODAY())+11,1))-YEAR(Tools!$Q17))*12+MONTH(DATE(YEAR(TODAY()),MONTH(TODAY())+11,1))-MONTH(Tools!$Q17))&gt;=0,MOD(((YEAR(DATE(YEAR(TODAY()),MONTH(TODAY())+11,1))-YEAR(Tools!$Q17))*12+MONTH(DATE(YEAR(TODAY()),MONTH(TODAY())+11,1))-MONTH(Tools!$Q17)),Tools!$U17)=0,OR(Tools!$L17="",EDATE(Tools!$Q17,((YEAR(DATE(YEAR(TODAY()),MONTH(TODAY())+11,1))-YEAR(Tools!$Q17))*12+MONTH(DATE(YEAR(TODAY()),MONTH(TODAY())+11,1))-MONTH(Tools!$Q17)))&lt;Tools!$L17)),Tools!$N17,""))</f>
        <v/>
      </c>
      <c r="O18" s="31">
        <f>IF(B18="","",SUM(C18:N18))</f>
        <v/>
      </c>
      <c r="P18" s="1" t="n"/>
    </row>
    <row r="19">
      <c r="A19" s="1" t="n"/>
      <c r="B19" s="11">
        <f>IF(Tools!B18="","",Tools!B18)</f>
        <v/>
      </c>
      <c r="C19" s="30">
        <f>IF(OR(Tools!$B18="",Tools!$Q18=""),"",IF(AND(((YEAR(DATE(YEAR(TODAY()),MONTH(TODAY())+0,1))-YEAR(Tools!$Q18))*12+MONTH(DATE(YEAR(TODAY()),MONTH(TODAY())+0,1))-MONTH(Tools!$Q18))&gt;=0,MOD(((YEAR(DATE(YEAR(TODAY()),MONTH(TODAY())+0,1))-YEAR(Tools!$Q18))*12+MONTH(DATE(YEAR(TODAY()),MONTH(TODAY())+0,1))-MONTH(Tools!$Q18)),Tools!$U18)=0,OR(Tools!$L18="",EDATE(Tools!$Q18,((YEAR(DATE(YEAR(TODAY()),MONTH(TODAY())+0,1))-YEAR(Tools!$Q18))*12+MONTH(DATE(YEAR(TODAY()),MONTH(TODAY())+0,1))-MONTH(Tools!$Q18)))&lt;Tools!$L18)),Tools!$N18,""))</f>
        <v/>
      </c>
      <c r="D19" s="30">
        <f>IF(OR(Tools!$B18="",Tools!$Q18=""),"",IF(AND(((YEAR(DATE(YEAR(TODAY()),MONTH(TODAY())+1,1))-YEAR(Tools!$Q18))*12+MONTH(DATE(YEAR(TODAY()),MONTH(TODAY())+1,1))-MONTH(Tools!$Q18))&gt;=0,MOD(((YEAR(DATE(YEAR(TODAY()),MONTH(TODAY())+1,1))-YEAR(Tools!$Q18))*12+MONTH(DATE(YEAR(TODAY()),MONTH(TODAY())+1,1))-MONTH(Tools!$Q18)),Tools!$U18)=0,OR(Tools!$L18="",EDATE(Tools!$Q18,((YEAR(DATE(YEAR(TODAY()),MONTH(TODAY())+1,1))-YEAR(Tools!$Q18))*12+MONTH(DATE(YEAR(TODAY()),MONTH(TODAY())+1,1))-MONTH(Tools!$Q18)))&lt;Tools!$L18)),Tools!$N18,""))</f>
        <v/>
      </c>
      <c r="E19" s="30">
        <f>IF(OR(Tools!$B18="",Tools!$Q18=""),"",IF(AND(((YEAR(DATE(YEAR(TODAY()),MONTH(TODAY())+2,1))-YEAR(Tools!$Q18))*12+MONTH(DATE(YEAR(TODAY()),MONTH(TODAY())+2,1))-MONTH(Tools!$Q18))&gt;=0,MOD(((YEAR(DATE(YEAR(TODAY()),MONTH(TODAY())+2,1))-YEAR(Tools!$Q18))*12+MONTH(DATE(YEAR(TODAY()),MONTH(TODAY())+2,1))-MONTH(Tools!$Q18)),Tools!$U18)=0,OR(Tools!$L18="",EDATE(Tools!$Q18,((YEAR(DATE(YEAR(TODAY()),MONTH(TODAY())+2,1))-YEAR(Tools!$Q18))*12+MONTH(DATE(YEAR(TODAY()),MONTH(TODAY())+2,1))-MONTH(Tools!$Q18)))&lt;Tools!$L18)),Tools!$N18,""))</f>
        <v/>
      </c>
      <c r="F19" s="30">
        <f>IF(OR(Tools!$B18="",Tools!$Q18=""),"",IF(AND(((YEAR(DATE(YEAR(TODAY()),MONTH(TODAY())+3,1))-YEAR(Tools!$Q18))*12+MONTH(DATE(YEAR(TODAY()),MONTH(TODAY())+3,1))-MONTH(Tools!$Q18))&gt;=0,MOD(((YEAR(DATE(YEAR(TODAY()),MONTH(TODAY())+3,1))-YEAR(Tools!$Q18))*12+MONTH(DATE(YEAR(TODAY()),MONTH(TODAY())+3,1))-MONTH(Tools!$Q18)),Tools!$U18)=0,OR(Tools!$L18="",EDATE(Tools!$Q18,((YEAR(DATE(YEAR(TODAY()),MONTH(TODAY())+3,1))-YEAR(Tools!$Q18))*12+MONTH(DATE(YEAR(TODAY()),MONTH(TODAY())+3,1))-MONTH(Tools!$Q18)))&lt;Tools!$L18)),Tools!$N18,""))</f>
        <v/>
      </c>
      <c r="G19" s="30">
        <f>IF(OR(Tools!$B18="",Tools!$Q18=""),"",IF(AND(((YEAR(DATE(YEAR(TODAY()),MONTH(TODAY())+4,1))-YEAR(Tools!$Q18))*12+MONTH(DATE(YEAR(TODAY()),MONTH(TODAY())+4,1))-MONTH(Tools!$Q18))&gt;=0,MOD(((YEAR(DATE(YEAR(TODAY()),MONTH(TODAY())+4,1))-YEAR(Tools!$Q18))*12+MONTH(DATE(YEAR(TODAY()),MONTH(TODAY())+4,1))-MONTH(Tools!$Q18)),Tools!$U18)=0,OR(Tools!$L18="",EDATE(Tools!$Q18,((YEAR(DATE(YEAR(TODAY()),MONTH(TODAY())+4,1))-YEAR(Tools!$Q18))*12+MONTH(DATE(YEAR(TODAY()),MONTH(TODAY())+4,1))-MONTH(Tools!$Q18)))&lt;Tools!$L18)),Tools!$N18,""))</f>
        <v/>
      </c>
      <c r="H19" s="30">
        <f>IF(OR(Tools!$B18="",Tools!$Q18=""),"",IF(AND(((YEAR(DATE(YEAR(TODAY()),MONTH(TODAY())+5,1))-YEAR(Tools!$Q18))*12+MONTH(DATE(YEAR(TODAY()),MONTH(TODAY())+5,1))-MONTH(Tools!$Q18))&gt;=0,MOD(((YEAR(DATE(YEAR(TODAY()),MONTH(TODAY())+5,1))-YEAR(Tools!$Q18))*12+MONTH(DATE(YEAR(TODAY()),MONTH(TODAY())+5,1))-MONTH(Tools!$Q18)),Tools!$U18)=0,OR(Tools!$L18="",EDATE(Tools!$Q18,((YEAR(DATE(YEAR(TODAY()),MONTH(TODAY())+5,1))-YEAR(Tools!$Q18))*12+MONTH(DATE(YEAR(TODAY()),MONTH(TODAY())+5,1))-MONTH(Tools!$Q18)))&lt;Tools!$L18)),Tools!$N18,""))</f>
        <v/>
      </c>
      <c r="I19" s="30">
        <f>IF(OR(Tools!$B18="",Tools!$Q18=""),"",IF(AND(((YEAR(DATE(YEAR(TODAY()),MONTH(TODAY())+6,1))-YEAR(Tools!$Q18))*12+MONTH(DATE(YEAR(TODAY()),MONTH(TODAY())+6,1))-MONTH(Tools!$Q18))&gt;=0,MOD(((YEAR(DATE(YEAR(TODAY()),MONTH(TODAY())+6,1))-YEAR(Tools!$Q18))*12+MONTH(DATE(YEAR(TODAY()),MONTH(TODAY())+6,1))-MONTH(Tools!$Q18)),Tools!$U18)=0,OR(Tools!$L18="",EDATE(Tools!$Q18,((YEAR(DATE(YEAR(TODAY()),MONTH(TODAY())+6,1))-YEAR(Tools!$Q18))*12+MONTH(DATE(YEAR(TODAY()),MONTH(TODAY())+6,1))-MONTH(Tools!$Q18)))&lt;Tools!$L18)),Tools!$N18,""))</f>
        <v/>
      </c>
      <c r="J19" s="30">
        <f>IF(OR(Tools!$B18="",Tools!$Q18=""),"",IF(AND(((YEAR(DATE(YEAR(TODAY()),MONTH(TODAY())+7,1))-YEAR(Tools!$Q18))*12+MONTH(DATE(YEAR(TODAY()),MONTH(TODAY())+7,1))-MONTH(Tools!$Q18))&gt;=0,MOD(((YEAR(DATE(YEAR(TODAY()),MONTH(TODAY())+7,1))-YEAR(Tools!$Q18))*12+MONTH(DATE(YEAR(TODAY()),MONTH(TODAY())+7,1))-MONTH(Tools!$Q18)),Tools!$U18)=0,OR(Tools!$L18="",EDATE(Tools!$Q18,((YEAR(DATE(YEAR(TODAY()),MONTH(TODAY())+7,1))-YEAR(Tools!$Q18))*12+MONTH(DATE(YEAR(TODAY()),MONTH(TODAY())+7,1))-MONTH(Tools!$Q18)))&lt;Tools!$L18)),Tools!$N18,""))</f>
        <v/>
      </c>
      <c r="K19" s="30">
        <f>IF(OR(Tools!$B18="",Tools!$Q18=""),"",IF(AND(((YEAR(DATE(YEAR(TODAY()),MONTH(TODAY())+8,1))-YEAR(Tools!$Q18))*12+MONTH(DATE(YEAR(TODAY()),MONTH(TODAY())+8,1))-MONTH(Tools!$Q18))&gt;=0,MOD(((YEAR(DATE(YEAR(TODAY()),MONTH(TODAY())+8,1))-YEAR(Tools!$Q18))*12+MONTH(DATE(YEAR(TODAY()),MONTH(TODAY())+8,1))-MONTH(Tools!$Q18)),Tools!$U18)=0,OR(Tools!$L18="",EDATE(Tools!$Q18,((YEAR(DATE(YEAR(TODAY()),MONTH(TODAY())+8,1))-YEAR(Tools!$Q18))*12+MONTH(DATE(YEAR(TODAY()),MONTH(TODAY())+8,1))-MONTH(Tools!$Q18)))&lt;Tools!$L18)),Tools!$N18,""))</f>
        <v/>
      </c>
      <c r="L19" s="30">
        <f>IF(OR(Tools!$B18="",Tools!$Q18=""),"",IF(AND(((YEAR(DATE(YEAR(TODAY()),MONTH(TODAY())+9,1))-YEAR(Tools!$Q18))*12+MONTH(DATE(YEAR(TODAY()),MONTH(TODAY())+9,1))-MONTH(Tools!$Q18))&gt;=0,MOD(((YEAR(DATE(YEAR(TODAY()),MONTH(TODAY())+9,1))-YEAR(Tools!$Q18))*12+MONTH(DATE(YEAR(TODAY()),MONTH(TODAY())+9,1))-MONTH(Tools!$Q18)),Tools!$U18)=0,OR(Tools!$L18="",EDATE(Tools!$Q18,((YEAR(DATE(YEAR(TODAY()),MONTH(TODAY())+9,1))-YEAR(Tools!$Q18))*12+MONTH(DATE(YEAR(TODAY()),MONTH(TODAY())+9,1))-MONTH(Tools!$Q18)))&lt;Tools!$L18)),Tools!$N18,""))</f>
        <v/>
      </c>
      <c r="M19" s="30">
        <f>IF(OR(Tools!$B18="",Tools!$Q18=""),"",IF(AND(((YEAR(DATE(YEAR(TODAY()),MONTH(TODAY())+10,1))-YEAR(Tools!$Q18))*12+MONTH(DATE(YEAR(TODAY()),MONTH(TODAY())+10,1))-MONTH(Tools!$Q18))&gt;=0,MOD(((YEAR(DATE(YEAR(TODAY()),MONTH(TODAY())+10,1))-YEAR(Tools!$Q18))*12+MONTH(DATE(YEAR(TODAY()),MONTH(TODAY())+10,1))-MONTH(Tools!$Q18)),Tools!$U18)=0,OR(Tools!$L18="",EDATE(Tools!$Q18,((YEAR(DATE(YEAR(TODAY()),MONTH(TODAY())+10,1))-YEAR(Tools!$Q18))*12+MONTH(DATE(YEAR(TODAY()),MONTH(TODAY())+10,1))-MONTH(Tools!$Q18)))&lt;Tools!$L18)),Tools!$N18,""))</f>
        <v/>
      </c>
      <c r="N19" s="30">
        <f>IF(OR(Tools!$B18="",Tools!$Q18=""),"",IF(AND(((YEAR(DATE(YEAR(TODAY()),MONTH(TODAY())+11,1))-YEAR(Tools!$Q18))*12+MONTH(DATE(YEAR(TODAY()),MONTH(TODAY())+11,1))-MONTH(Tools!$Q18))&gt;=0,MOD(((YEAR(DATE(YEAR(TODAY()),MONTH(TODAY())+11,1))-YEAR(Tools!$Q18))*12+MONTH(DATE(YEAR(TODAY()),MONTH(TODAY())+11,1))-MONTH(Tools!$Q18)),Tools!$U18)=0,OR(Tools!$L18="",EDATE(Tools!$Q18,((YEAR(DATE(YEAR(TODAY()),MONTH(TODAY())+11,1))-YEAR(Tools!$Q18))*12+MONTH(DATE(YEAR(TODAY()),MONTH(TODAY())+11,1))-MONTH(Tools!$Q18)))&lt;Tools!$L18)),Tools!$N18,""))</f>
        <v/>
      </c>
      <c r="O19" s="31">
        <f>IF(B19="","",SUM(C19:N19))</f>
        <v/>
      </c>
      <c r="P19" s="1" t="n"/>
    </row>
    <row r="20">
      <c r="A20" s="1" t="n"/>
      <c r="B20" s="11">
        <f>IF(Tools!B19="","",Tools!B19)</f>
        <v/>
      </c>
      <c r="C20" s="30">
        <f>IF(OR(Tools!$B19="",Tools!$Q19=""),"",IF(AND(((YEAR(DATE(YEAR(TODAY()),MONTH(TODAY())+0,1))-YEAR(Tools!$Q19))*12+MONTH(DATE(YEAR(TODAY()),MONTH(TODAY())+0,1))-MONTH(Tools!$Q19))&gt;=0,MOD(((YEAR(DATE(YEAR(TODAY()),MONTH(TODAY())+0,1))-YEAR(Tools!$Q19))*12+MONTH(DATE(YEAR(TODAY()),MONTH(TODAY())+0,1))-MONTH(Tools!$Q19)),Tools!$U19)=0,OR(Tools!$L19="",EDATE(Tools!$Q19,((YEAR(DATE(YEAR(TODAY()),MONTH(TODAY())+0,1))-YEAR(Tools!$Q19))*12+MONTH(DATE(YEAR(TODAY()),MONTH(TODAY())+0,1))-MONTH(Tools!$Q19)))&lt;Tools!$L19)),Tools!$N19,""))</f>
        <v/>
      </c>
      <c r="D20" s="30">
        <f>IF(OR(Tools!$B19="",Tools!$Q19=""),"",IF(AND(((YEAR(DATE(YEAR(TODAY()),MONTH(TODAY())+1,1))-YEAR(Tools!$Q19))*12+MONTH(DATE(YEAR(TODAY()),MONTH(TODAY())+1,1))-MONTH(Tools!$Q19))&gt;=0,MOD(((YEAR(DATE(YEAR(TODAY()),MONTH(TODAY())+1,1))-YEAR(Tools!$Q19))*12+MONTH(DATE(YEAR(TODAY()),MONTH(TODAY())+1,1))-MONTH(Tools!$Q19)),Tools!$U19)=0,OR(Tools!$L19="",EDATE(Tools!$Q19,((YEAR(DATE(YEAR(TODAY()),MONTH(TODAY())+1,1))-YEAR(Tools!$Q19))*12+MONTH(DATE(YEAR(TODAY()),MONTH(TODAY())+1,1))-MONTH(Tools!$Q19)))&lt;Tools!$L19)),Tools!$N19,""))</f>
        <v/>
      </c>
      <c r="E20" s="30">
        <f>IF(OR(Tools!$B19="",Tools!$Q19=""),"",IF(AND(((YEAR(DATE(YEAR(TODAY()),MONTH(TODAY())+2,1))-YEAR(Tools!$Q19))*12+MONTH(DATE(YEAR(TODAY()),MONTH(TODAY())+2,1))-MONTH(Tools!$Q19))&gt;=0,MOD(((YEAR(DATE(YEAR(TODAY()),MONTH(TODAY())+2,1))-YEAR(Tools!$Q19))*12+MONTH(DATE(YEAR(TODAY()),MONTH(TODAY())+2,1))-MONTH(Tools!$Q19)),Tools!$U19)=0,OR(Tools!$L19="",EDATE(Tools!$Q19,((YEAR(DATE(YEAR(TODAY()),MONTH(TODAY())+2,1))-YEAR(Tools!$Q19))*12+MONTH(DATE(YEAR(TODAY()),MONTH(TODAY())+2,1))-MONTH(Tools!$Q19)))&lt;Tools!$L19)),Tools!$N19,""))</f>
        <v/>
      </c>
      <c r="F20" s="30">
        <f>IF(OR(Tools!$B19="",Tools!$Q19=""),"",IF(AND(((YEAR(DATE(YEAR(TODAY()),MONTH(TODAY())+3,1))-YEAR(Tools!$Q19))*12+MONTH(DATE(YEAR(TODAY()),MONTH(TODAY())+3,1))-MONTH(Tools!$Q19))&gt;=0,MOD(((YEAR(DATE(YEAR(TODAY()),MONTH(TODAY())+3,1))-YEAR(Tools!$Q19))*12+MONTH(DATE(YEAR(TODAY()),MONTH(TODAY())+3,1))-MONTH(Tools!$Q19)),Tools!$U19)=0,OR(Tools!$L19="",EDATE(Tools!$Q19,((YEAR(DATE(YEAR(TODAY()),MONTH(TODAY())+3,1))-YEAR(Tools!$Q19))*12+MONTH(DATE(YEAR(TODAY()),MONTH(TODAY())+3,1))-MONTH(Tools!$Q19)))&lt;Tools!$L19)),Tools!$N19,""))</f>
        <v/>
      </c>
      <c r="G20" s="30">
        <f>IF(OR(Tools!$B19="",Tools!$Q19=""),"",IF(AND(((YEAR(DATE(YEAR(TODAY()),MONTH(TODAY())+4,1))-YEAR(Tools!$Q19))*12+MONTH(DATE(YEAR(TODAY()),MONTH(TODAY())+4,1))-MONTH(Tools!$Q19))&gt;=0,MOD(((YEAR(DATE(YEAR(TODAY()),MONTH(TODAY())+4,1))-YEAR(Tools!$Q19))*12+MONTH(DATE(YEAR(TODAY()),MONTH(TODAY())+4,1))-MONTH(Tools!$Q19)),Tools!$U19)=0,OR(Tools!$L19="",EDATE(Tools!$Q19,((YEAR(DATE(YEAR(TODAY()),MONTH(TODAY())+4,1))-YEAR(Tools!$Q19))*12+MONTH(DATE(YEAR(TODAY()),MONTH(TODAY())+4,1))-MONTH(Tools!$Q19)))&lt;Tools!$L19)),Tools!$N19,""))</f>
        <v/>
      </c>
      <c r="H20" s="30">
        <f>IF(OR(Tools!$B19="",Tools!$Q19=""),"",IF(AND(((YEAR(DATE(YEAR(TODAY()),MONTH(TODAY())+5,1))-YEAR(Tools!$Q19))*12+MONTH(DATE(YEAR(TODAY()),MONTH(TODAY())+5,1))-MONTH(Tools!$Q19))&gt;=0,MOD(((YEAR(DATE(YEAR(TODAY()),MONTH(TODAY())+5,1))-YEAR(Tools!$Q19))*12+MONTH(DATE(YEAR(TODAY()),MONTH(TODAY())+5,1))-MONTH(Tools!$Q19)),Tools!$U19)=0,OR(Tools!$L19="",EDATE(Tools!$Q19,((YEAR(DATE(YEAR(TODAY()),MONTH(TODAY())+5,1))-YEAR(Tools!$Q19))*12+MONTH(DATE(YEAR(TODAY()),MONTH(TODAY())+5,1))-MONTH(Tools!$Q19)))&lt;Tools!$L19)),Tools!$N19,""))</f>
        <v/>
      </c>
      <c r="I20" s="30">
        <f>IF(OR(Tools!$B19="",Tools!$Q19=""),"",IF(AND(((YEAR(DATE(YEAR(TODAY()),MONTH(TODAY())+6,1))-YEAR(Tools!$Q19))*12+MONTH(DATE(YEAR(TODAY()),MONTH(TODAY())+6,1))-MONTH(Tools!$Q19))&gt;=0,MOD(((YEAR(DATE(YEAR(TODAY()),MONTH(TODAY())+6,1))-YEAR(Tools!$Q19))*12+MONTH(DATE(YEAR(TODAY()),MONTH(TODAY())+6,1))-MONTH(Tools!$Q19)),Tools!$U19)=0,OR(Tools!$L19="",EDATE(Tools!$Q19,((YEAR(DATE(YEAR(TODAY()),MONTH(TODAY())+6,1))-YEAR(Tools!$Q19))*12+MONTH(DATE(YEAR(TODAY()),MONTH(TODAY())+6,1))-MONTH(Tools!$Q19)))&lt;Tools!$L19)),Tools!$N19,""))</f>
        <v/>
      </c>
      <c r="J20" s="30">
        <f>IF(OR(Tools!$B19="",Tools!$Q19=""),"",IF(AND(((YEAR(DATE(YEAR(TODAY()),MONTH(TODAY())+7,1))-YEAR(Tools!$Q19))*12+MONTH(DATE(YEAR(TODAY()),MONTH(TODAY())+7,1))-MONTH(Tools!$Q19))&gt;=0,MOD(((YEAR(DATE(YEAR(TODAY()),MONTH(TODAY())+7,1))-YEAR(Tools!$Q19))*12+MONTH(DATE(YEAR(TODAY()),MONTH(TODAY())+7,1))-MONTH(Tools!$Q19)),Tools!$U19)=0,OR(Tools!$L19="",EDATE(Tools!$Q19,((YEAR(DATE(YEAR(TODAY()),MONTH(TODAY())+7,1))-YEAR(Tools!$Q19))*12+MONTH(DATE(YEAR(TODAY()),MONTH(TODAY())+7,1))-MONTH(Tools!$Q19)))&lt;Tools!$L19)),Tools!$N19,""))</f>
        <v/>
      </c>
      <c r="K20" s="30">
        <f>IF(OR(Tools!$B19="",Tools!$Q19=""),"",IF(AND(((YEAR(DATE(YEAR(TODAY()),MONTH(TODAY())+8,1))-YEAR(Tools!$Q19))*12+MONTH(DATE(YEAR(TODAY()),MONTH(TODAY())+8,1))-MONTH(Tools!$Q19))&gt;=0,MOD(((YEAR(DATE(YEAR(TODAY()),MONTH(TODAY())+8,1))-YEAR(Tools!$Q19))*12+MONTH(DATE(YEAR(TODAY()),MONTH(TODAY())+8,1))-MONTH(Tools!$Q19)),Tools!$U19)=0,OR(Tools!$L19="",EDATE(Tools!$Q19,((YEAR(DATE(YEAR(TODAY()),MONTH(TODAY())+8,1))-YEAR(Tools!$Q19))*12+MONTH(DATE(YEAR(TODAY()),MONTH(TODAY())+8,1))-MONTH(Tools!$Q19)))&lt;Tools!$L19)),Tools!$N19,""))</f>
        <v/>
      </c>
      <c r="L20" s="30">
        <f>IF(OR(Tools!$B19="",Tools!$Q19=""),"",IF(AND(((YEAR(DATE(YEAR(TODAY()),MONTH(TODAY())+9,1))-YEAR(Tools!$Q19))*12+MONTH(DATE(YEAR(TODAY()),MONTH(TODAY())+9,1))-MONTH(Tools!$Q19))&gt;=0,MOD(((YEAR(DATE(YEAR(TODAY()),MONTH(TODAY())+9,1))-YEAR(Tools!$Q19))*12+MONTH(DATE(YEAR(TODAY()),MONTH(TODAY())+9,1))-MONTH(Tools!$Q19)),Tools!$U19)=0,OR(Tools!$L19="",EDATE(Tools!$Q19,((YEAR(DATE(YEAR(TODAY()),MONTH(TODAY())+9,1))-YEAR(Tools!$Q19))*12+MONTH(DATE(YEAR(TODAY()),MONTH(TODAY())+9,1))-MONTH(Tools!$Q19)))&lt;Tools!$L19)),Tools!$N19,""))</f>
        <v/>
      </c>
      <c r="M20" s="30">
        <f>IF(OR(Tools!$B19="",Tools!$Q19=""),"",IF(AND(((YEAR(DATE(YEAR(TODAY()),MONTH(TODAY())+10,1))-YEAR(Tools!$Q19))*12+MONTH(DATE(YEAR(TODAY()),MONTH(TODAY())+10,1))-MONTH(Tools!$Q19))&gt;=0,MOD(((YEAR(DATE(YEAR(TODAY()),MONTH(TODAY())+10,1))-YEAR(Tools!$Q19))*12+MONTH(DATE(YEAR(TODAY()),MONTH(TODAY())+10,1))-MONTH(Tools!$Q19)),Tools!$U19)=0,OR(Tools!$L19="",EDATE(Tools!$Q19,((YEAR(DATE(YEAR(TODAY()),MONTH(TODAY())+10,1))-YEAR(Tools!$Q19))*12+MONTH(DATE(YEAR(TODAY()),MONTH(TODAY())+10,1))-MONTH(Tools!$Q19)))&lt;Tools!$L19)),Tools!$N19,""))</f>
        <v/>
      </c>
      <c r="N20" s="30">
        <f>IF(OR(Tools!$B19="",Tools!$Q19=""),"",IF(AND(((YEAR(DATE(YEAR(TODAY()),MONTH(TODAY())+11,1))-YEAR(Tools!$Q19))*12+MONTH(DATE(YEAR(TODAY()),MONTH(TODAY())+11,1))-MONTH(Tools!$Q19))&gt;=0,MOD(((YEAR(DATE(YEAR(TODAY()),MONTH(TODAY())+11,1))-YEAR(Tools!$Q19))*12+MONTH(DATE(YEAR(TODAY()),MONTH(TODAY())+11,1))-MONTH(Tools!$Q19)),Tools!$U19)=0,OR(Tools!$L19="",EDATE(Tools!$Q19,((YEAR(DATE(YEAR(TODAY()),MONTH(TODAY())+11,1))-YEAR(Tools!$Q19))*12+MONTH(DATE(YEAR(TODAY()),MONTH(TODAY())+11,1))-MONTH(Tools!$Q19)))&lt;Tools!$L19)),Tools!$N19,""))</f>
        <v/>
      </c>
      <c r="O20" s="31">
        <f>IF(B20="","",SUM(C20:N20))</f>
        <v/>
      </c>
      <c r="P20" s="1" t="n"/>
    </row>
    <row r="21">
      <c r="A21" s="1" t="n"/>
      <c r="B21" s="11">
        <f>IF(Tools!B20="","",Tools!B20)</f>
        <v/>
      </c>
      <c r="C21" s="30">
        <f>IF(OR(Tools!$B20="",Tools!$Q20=""),"",IF(AND(((YEAR(DATE(YEAR(TODAY()),MONTH(TODAY())+0,1))-YEAR(Tools!$Q20))*12+MONTH(DATE(YEAR(TODAY()),MONTH(TODAY())+0,1))-MONTH(Tools!$Q20))&gt;=0,MOD(((YEAR(DATE(YEAR(TODAY()),MONTH(TODAY())+0,1))-YEAR(Tools!$Q20))*12+MONTH(DATE(YEAR(TODAY()),MONTH(TODAY())+0,1))-MONTH(Tools!$Q20)),Tools!$U20)=0,OR(Tools!$L20="",EDATE(Tools!$Q20,((YEAR(DATE(YEAR(TODAY()),MONTH(TODAY())+0,1))-YEAR(Tools!$Q20))*12+MONTH(DATE(YEAR(TODAY()),MONTH(TODAY())+0,1))-MONTH(Tools!$Q20)))&lt;Tools!$L20)),Tools!$N20,""))</f>
        <v/>
      </c>
      <c r="D21" s="30">
        <f>IF(OR(Tools!$B20="",Tools!$Q20=""),"",IF(AND(((YEAR(DATE(YEAR(TODAY()),MONTH(TODAY())+1,1))-YEAR(Tools!$Q20))*12+MONTH(DATE(YEAR(TODAY()),MONTH(TODAY())+1,1))-MONTH(Tools!$Q20))&gt;=0,MOD(((YEAR(DATE(YEAR(TODAY()),MONTH(TODAY())+1,1))-YEAR(Tools!$Q20))*12+MONTH(DATE(YEAR(TODAY()),MONTH(TODAY())+1,1))-MONTH(Tools!$Q20)),Tools!$U20)=0,OR(Tools!$L20="",EDATE(Tools!$Q20,((YEAR(DATE(YEAR(TODAY()),MONTH(TODAY())+1,1))-YEAR(Tools!$Q20))*12+MONTH(DATE(YEAR(TODAY()),MONTH(TODAY())+1,1))-MONTH(Tools!$Q20)))&lt;Tools!$L20)),Tools!$N20,""))</f>
        <v/>
      </c>
      <c r="E21" s="30">
        <f>IF(OR(Tools!$B20="",Tools!$Q20=""),"",IF(AND(((YEAR(DATE(YEAR(TODAY()),MONTH(TODAY())+2,1))-YEAR(Tools!$Q20))*12+MONTH(DATE(YEAR(TODAY()),MONTH(TODAY())+2,1))-MONTH(Tools!$Q20))&gt;=0,MOD(((YEAR(DATE(YEAR(TODAY()),MONTH(TODAY())+2,1))-YEAR(Tools!$Q20))*12+MONTH(DATE(YEAR(TODAY()),MONTH(TODAY())+2,1))-MONTH(Tools!$Q20)),Tools!$U20)=0,OR(Tools!$L20="",EDATE(Tools!$Q20,((YEAR(DATE(YEAR(TODAY()),MONTH(TODAY())+2,1))-YEAR(Tools!$Q20))*12+MONTH(DATE(YEAR(TODAY()),MONTH(TODAY())+2,1))-MONTH(Tools!$Q20)))&lt;Tools!$L20)),Tools!$N20,""))</f>
        <v/>
      </c>
      <c r="F21" s="30">
        <f>IF(OR(Tools!$B20="",Tools!$Q20=""),"",IF(AND(((YEAR(DATE(YEAR(TODAY()),MONTH(TODAY())+3,1))-YEAR(Tools!$Q20))*12+MONTH(DATE(YEAR(TODAY()),MONTH(TODAY())+3,1))-MONTH(Tools!$Q20))&gt;=0,MOD(((YEAR(DATE(YEAR(TODAY()),MONTH(TODAY())+3,1))-YEAR(Tools!$Q20))*12+MONTH(DATE(YEAR(TODAY()),MONTH(TODAY())+3,1))-MONTH(Tools!$Q20)),Tools!$U20)=0,OR(Tools!$L20="",EDATE(Tools!$Q20,((YEAR(DATE(YEAR(TODAY()),MONTH(TODAY())+3,1))-YEAR(Tools!$Q20))*12+MONTH(DATE(YEAR(TODAY()),MONTH(TODAY())+3,1))-MONTH(Tools!$Q20)))&lt;Tools!$L20)),Tools!$N20,""))</f>
        <v/>
      </c>
      <c r="G21" s="30">
        <f>IF(OR(Tools!$B20="",Tools!$Q20=""),"",IF(AND(((YEAR(DATE(YEAR(TODAY()),MONTH(TODAY())+4,1))-YEAR(Tools!$Q20))*12+MONTH(DATE(YEAR(TODAY()),MONTH(TODAY())+4,1))-MONTH(Tools!$Q20))&gt;=0,MOD(((YEAR(DATE(YEAR(TODAY()),MONTH(TODAY())+4,1))-YEAR(Tools!$Q20))*12+MONTH(DATE(YEAR(TODAY()),MONTH(TODAY())+4,1))-MONTH(Tools!$Q20)),Tools!$U20)=0,OR(Tools!$L20="",EDATE(Tools!$Q20,((YEAR(DATE(YEAR(TODAY()),MONTH(TODAY())+4,1))-YEAR(Tools!$Q20))*12+MONTH(DATE(YEAR(TODAY()),MONTH(TODAY())+4,1))-MONTH(Tools!$Q20)))&lt;Tools!$L20)),Tools!$N20,""))</f>
        <v/>
      </c>
      <c r="H21" s="30">
        <f>IF(OR(Tools!$B20="",Tools!$Q20=""),"",IF(AND(((YEAR(DATE(YEAR(TODAY()),MONTH(TODAY())+5,1))-YEAR(Tools!$Q20))*12+MONTH(DATE(YEAR(TODAY()),MONTH(TODAY())+5,1))-MONTH(Tools!$Q20))&gt;=0,MOD(((YEAR(DATE(YEAR(TODAY()),MONTH(TODAY())+5,1))-YEAR(Tools!$Q20))*12+MONTH(DATE(YEAR(TODAY()),MONTH(TODAY())+5,1))-MONTH(Tools!$Q20)),Tools!$U20)=0,OR(Tools!$L20="",EDATE(Tools!$Q20,((YEAR(DATE(YEAR(TODAY()),MONTH(TODAY())+5,1))-YEAR(Tools!$Q20))*12+MONTH(DATE(YEAR(TODAY()),MONTH(TODAY())+5,1))-MONTH(Tools!$Q20)))&lt;Tools!$L20)),Tools!$N20,""))</f>
        <v/>
      </c>
      <c r="I21" s="30">
        <f>IF(OR(Tools!$B20="",Tools!$Q20=""),"",IF(AND(((YEAR(DATE(YEAR(TODAY()),MONTH(TODAY())+6,1))-YEAR(Tools!$Q20))*12+MONTH(DATE(YEAR(TODAY()),MONTH(TODAY())+6,1))-MONTH(Tools!$Q20))&gt;=0,MOD(((YEAR(DATE(YEAR(TODAY()),MONTH(TODAY())+6,1))-YEAR(Tools!$Q20))*12+MONTH(DATE(YEAR(TODAY()),MONTH(TODAY())+6,1))-MONTH(Tools!$Q20)),Tools!$U20)=0,OR(Tools!$L20="",EDATE(Tools!$Q20,((YEAR(DATE(YEAR(TODAY()),MONTH(TODAY())+6,1))-YEAR(Tools!$Q20))*12+MONTH(DATE(YEAR(TODAY()),MONTH(TODAY())+6,1))-MONTH(Tools!$Q20)))&lt;Tools!$L20)),Tools!$N20,""))</f>
        <v/>
      </c>
      <c r="J21" s="30">
        <f>IF(OR(Tools!$B20="",Tools!$Q20=""),"",IF(AND(((YEAR(DATE(YEAR(TODAY()),MONTH(TODAY())+7,1))-YEAR(Tools!$Q20))*12+MONTH(DATE(YEAR(TODAY()),MONTH(TODAY())+7,1))-MONTH(Tools!$Q20))&gt;=0,MOD(((YEAR(DATE(YEAR(TODAY()),MONTH(TODAY())+7,1))-YEAR(Tools!$Q20))*12+MONTH(DATE(YEAR(TODAY()),MONTH(TODAY())+7,1))-MONTH(Tools!$Q20)),Tools!$U20)=0,OR(Tools!$L20="",EDATE(Tools!$Q20,((YEAR(DATE(YEAR(TODAY()),MONTH(TODAY())+7,1))-YEAR(Tools!$Q20))*12+MONTH(DATE(YEAR(TODAY()),MONTH(TODAY())+7,1))-MONTH(Tools!$Q20)))&lt;Tools!$L20)),Tools!$N20,""))</f>
        <v/>
      </c>
      <c r="K21" s="30">
        <f>IF(OR(Tools!$B20="",Tools!$Q20=""),"",IF(AND(((YEAR(DATE(YEAR(TODAY()),MONTH(TODAY())+8,1))-YEAR(Tools!$Q20))*12+MONTH(DATE(YEAR(TODAY()),MONTH(TODAY())+8,1))-MONTH(Tools!$Q20))&gt;=0,MOD(((YEAR(DATE(YEAR(TODAY()),MONTH(TODAY())+8,1))-YEAR(Tools!$Q20))*12+MONTH(DATE(YEAR(TODAY()),MONTH(TODAY())+8,1))-MONTH(Tools!$Q20)),Tools!$U20)=0,OR(Tools!$L20="",EDATE(Tools!$Q20,((YEAR(DATE(YEAR(TODAY()),MONTH(TODAY())+8,1))-YEAR(Tools!$Q20))*12+MONTH(DATE(YEAR(TODAY()),MONTH(TODAY())+8,1))-MONTH(Tools!$Q20)))&lt;Tools!$L20)),Tools!$N20,""))</f>
        <v/>
      </c>
      <c r="L21" s="30">
        <f>IF(OR(Tools!$B20="",Tools!$Q20=""),"",IF(AND(((YEAR(DATE(YEAR(TODAY()),MONTH(TODAY())+9,1))-YEAR(Tools!$Q20))*12+MONTH(DATE(YEAR(TODAY()),MONTH(TODAY())+9,1))-MONTH(Tools!$Q20))&gt;=0,MOD(((YEAR(DATE(YEAR(TODAY()),MONTH(TODAY())+9,1))-YEAR(Tools!$Q20))*12+MONTH(DATE(YEAR(TODAY()),MONTH(TODAY())+9,1))-MONTH(Tools!$Q20)),Tools!$U20)=0,OR(Tools!$L20="",EDATE(Tools!$Q20,((YEAR(DATE(YEAR(TODAY()),MONTH(TODAY())+9,1))-YEAR(Tools!$Q20))*12+MONTH(DATE(YEAR(TODAY()),MONTH(TODAY())+9,1))-MONTH(Tools!$Q20)))&lt;Tools!$L20)),Tools!$N20,""))</f>
        <v/>
      </c>
      <c r="M21" s="30">
        <f>IF(OR(Tools!$B20="",Tools!$Q20=""),"",IF(AND(((YEAR(DATE(YEAR(TODAY()),MONTH(TODAY())+10,1))-YEAR(Tools!$Q20))*12+MONTH(DATE(YEAR(TODAY()),MONTH(TODAY())+10,1))-MONTH(Tools!$Q20))&gt;=0,MOD(((YEAR(DATE(YEAR(TODAY()),MONTH(TODAY())+10,1))-YEAR(Tools!$Q20))*12+MONTH(DATE(YEAR(TODAY()),MONTH(TODAY())+10,1))-MONTH(Tools!$Q20)),Tools!$U20)=0,OR(Tools!$L20="",EDATE(Tools!$Q20,((YEAR(DATE(YEAR(TODAY()),MONTH(TODAY())+10,1))-YEAR(Tools!$Q20))*12+MONTH(DATE(YEAR(TODAY()),MONTH(TODAY())+10,1))-MONTH(Tools!$Q20)))&lt;Tools!$L20)),Tools!$N20,""))</f>
        <v/>
      </c>
      <c r="N21" s="30">
        <f>IF(OR(Tools!$B20="",Tools!$Q20=""),"",IF(AND(((YEAR(DATE(YEAR(TODAY()),MONTH(TODAY())+11,1))-YEAR(Tools!$Q20))*12+MONTH(DATE(YEAR(TODAY()),MONTH(TODAY())+11,1))-MONTH(Tools!$Q20))&gt;=0,MOD(((YEAR(DATE(YEAR(TODAY()),MONTH(TODAY())+11,1))-YEAR(Tools!$Q20))*12+MONTH(DATE(YEAR(TODAY()),MONTH(TODAY())+11,1))-MONTH(Tools!$Q20)),Tools!$U20)=0,OR(Tools!$L20="",EDATE(Tools!$Q20,((YEAR(DATE(YEAR(TODAY()),MONTH(TODAY())+11,1))-YEAR(Tools!$Q20))*12+MONTH(DATE(YEAR(TODAY()),MONTH(TODAY())+11,1))-MONTH(Tools!$Q20)))&lt;Tools!$L20)),Tools!$N20,""))</f>
        <v/>
      </c>
      <c r="O21" s="31">
        <f>IF(B21="","",SUM(C21:N21))</f>
        <v/>
      </c>
      <c r="P21" s="1" t="n"/>
    </row>
    <row r="22">
      <c r="A22" s="1" t="n"/>
      <c r="B22" s="11">
        <f>IF(Tools!B21="","",Tools!B21)</f>
        <v/>
      </c>
      <c r="C22" s="30">
        <f>IF(OR(Tools!$B21="",Tools!$Q21=""),"",IF(AND(((YEAR(DATE(YEAR(TODAY()),MONTH(TODAY())+0,1))-YEAR(Tools!$Q21))*12+MONTH(DATE(YEAR(TODAY()),MONTH(TODAY())+0,1))-MONTH(Tools!$Q21))&gt;=0,MOD(((YEAR(DATE(YEAR(TODAY()),MONTH(TODAY())+0,1))-YEAR(Tools!$Q21))*12+MONTH(DATE(YEAR(TODAY()),MONTH(TODAY())+0,1))-MONTH(Tools!$Q21)),Tools!$U21)=0,OR(Tools!$L21="",EDATE(Tools!$Q21,((YEAR(DATE(YEAR(TODAY()),MONTH(TODAY())+0,1))-YEAR(Tools!$Q21))*12+MONTH(DATE(YEAR(TODAY()),MONTH(TODAY())+0,1))-MONTH(Tools!$Q21)))&lt;Tools!$L21)),Tools!$N21,""))</f>
        <v/>
      </c>
      <c r="D22" s="30">
        <f>IF(OR(Tools!$B21="",Tools!$Q21=""),"",IF(AND(((YEAR(DATE(YEAR(TODAY()),MONTH(TODAY())+1,1))-YEAR(Tools!$Q21))*12+MONTH(DATE(YEAR(TODAY()),MONTH(TODAY())+1,1))-MONTH(Tools!$Q21))&gt;=0,MOD(((YEAR(DATE(YEAR(TODAY()),MONTH(TODAY())+1,1))-YEAR(Tools!$Q21))*12+MONTH(DATE(YEAR(TODAY()),MONTH(TODAY())+1,1))-MONTH(Tools!$Q21)),Tools!$U21)=0,OR(Tools!$L21="",EDATE(Tools!$Q21,((YEAR(DATE(YEAR(TODAY()),MONTH(TODAY())+1,1))-YEAR(Tools!$Q21))*12+MONTH(DATE(YEAR(TODAY()),MONTH(TODAY())+1,1))-MONTH(Tools!$Q21)))&lt;Tools!$L21)),Tools!$N21,""))</f>
        <v/>
      </c>
      <c r="E22" s="30">
        <f>IF(OR(Tools!$B21="",Tools!$Q21=""),"",IF(AND(((YEAR(DATE(YEAR(TODAY()),MONTH(TODAY())+2,1))-YEAR(Tools!$Q21))*12+MONTH(DATE(YEAR(TODAY()),MONTH(TODAY())+2,1))-MONTH(Tools!$Q21))&gt;=0,MOD(((YEAR(DATE(YEAR(TODAY()),MONTH(TODAY())+2,1))-YEAR(Tools!$Q21))*12+MONTH(DATE(YEAR(TODAY()),MONTH(TODAY())+2,1))-MONTH(Tools!$Q21)),Tools!$U21)=0,OR(Tools!$L21="",EDATE(Tools!$Q21,((YEAR(DATE(YEAR(TODAY()),MONTH(TODAY())+2,1))-YEAR(Tools!$Q21))*12+MONTH(DATE(YEAR(TODAY()),MONTH(TODAY())+2,1))-MONTH(Tools!$Q21)))&lt;Tools!$L21)),Tools!$N21,""))</f>
        <v/>
      </c>
      <c r="F22" s="30">
        <f>IF(OR(Tools!$B21="",Tools!$Q21=""),"",IF(AND(((YEAR(DATE(YEAR(TODAY()),MONTH(TODAY())+3,1))-YEAR(Tools!$Q21))*12+MONTH(DATE(YEAR(TODAY()),MONTH(TODAY())+3,1))-MONTH(Tools!$Q21))&gt;=0,MOD(((YEAR(DATE(YEAR(TODAY()),MONTH(TODAY())+3,1))-YEAR(Tools!$Q21))*12+MONTH(DATE(YEAR(TODAY()),MONTH(TODAY())+3,1))-MONTH(Tools!$Q21)),Tools!$U21)=0,OR(Tools!$L21="",EDATE(Tools!$Q21,((YEAR(DATE(YEAR(TODAY()),MONTH(TODAY())+3,1))-YEAR(Tools!$Q21))*12+MONTH(DATE(YEAR(TODAY()),MONTH(TODAY())+3,1))-MONTH(Tools!$Q21)))&lt;Tools!$L21)),Tools!$N21,""))</f>
        <v/>
      </c>
      <c r="G22" s="30">
        <f>IF(OR(Tools!$B21="",Tools!$Q21=""),"",IF(AND(((YEAR(DATE(YEAR(TODAY()),MONTH(TODAY())+4,1))-YEAR(Tools!$Q21))*12+MONTH(DATE(YEAR(TODAY()),MONTH(TODAY())+4,1))-MONTH(Tools!$Q21))&gt;=0,MOD(((YEAR(DATE(YEAR(TODAY()),MONTH(TODAY())+4,1))-YEAR(Tools!$Q21))*12+MONTH(DATE(YEAR(TODAY()),MONTH(TODAY())+4,1))-MONTH(Tools!$Q21)),Tools!$U21)=0,OR(Tools!$L21="",EDATE(Tools!$Q21,((YEAR(DATE(YEAR(TODAY()),MONTH(TODAY())+4,1))-YEAR(Tools!$Q21))*12+MONTH(DATE(YEAR(TODAY()),MONTH(TODAY())+4,1))-MONTH(Tools!$Q21)))&lt;Tools!$L21)),Tools!$N21,""))</f>
        <v/>
      </c>
      <c r="H22" s="30">
        <f>IF(OR(Tools!$B21="",Tools!$Q21=""),"",IF(AND(((YEAR(DATE(YEAR(TODAY()),MONTH(TODAY())+5,1))-YEAR(Tools!$Q21))*12+MONTH(DATE(YEAR(TODAY()),MONTH(TODAY())+5,1))-MONTH(Tools!$Q21))&gt;=0,MOD(((YEAR(DATE(YEAR(TODAY()),MONTH(TODAY())+5,1))-YEAR(Tools!$Q21))*12+MONTH(DATE(YEAR(TODAY()),MONTH(TODAY())+5,1))-MONTH(Tools!$Q21)),Tools!$U21)=0,OR(Tools!$L21="",EDATE(Tools!$Q21,((YEAR(DATE(YEAR(TODAY()),MONTH(TODAY())+5,1))-YEAR(Tools!$Q21))*12+MONTH(DATE(YEAR(TODAY()),MONTH(TODAY())+5,1))-MONTH(Tools!$Q21)))&lt;Tools!$L21)),Tools!$N21,""))</f>
        <v/>
      </c>
      <c r="I22" s="30">
        <f>IF(OR(Tools!$B21="",Tools!$Q21=""),"",IF(AND(((YEAR(DATE(YEAR(TODAY()),MONTH(TODAY())+6,1))-YEAR(Tools!$Q21))*12+MONTH(DATE(YEAR(TODAY()),MONTH(TODAY())+6,1))-MONTH(Tools!$Q21))&gt;=0,MOD(((YEAR(DATE(YEAR(TODAY()),MONTH(TODAY())+6,1))-YEAR(Tools!$Q21))*12+MONTH(DATE(YEAR(TODAY()),MONTH(TODAY())+6,1))-MONTH(Tools!$Q21)),Tools!$U21)=0,OR(Tools!$L21="",EDATE(Tools!$Q21,((YEAR(DATE(YEAR(TODAY()),MONTH(TODAY())+6,1))-YEAR(Tools!$Q21))*12+MONTH(DATE(YEAR(TODAY()),MONTH(TODAY())+6,1))-MONTH(Tools!$Q21)))&lt;Tools!$L21)),Tools!$N21,""))</f>
        <v/>
      </c>
      <c r="J22" s="30">
        <f>IF(OR(Tools!$B21="",Tools!$Q21=""),"",IF(AND(((YEAR(DATE(YEAR(TODAY()),MONTH(TODAY())+7,1))-YEAR(Tools!$Q21))*12+MONTH(DATE(YEAR(TODAY()),MONTH(TODAY())+7,1))-MONTH(Tools!$Q21))&gt;=0,MOD(((YEAR(DATE(YEAR(TODAY()),MONTH(TODAY())+7,1))-YEAR(Tools!$Q21))*12+MONTH(DATE(YEAR(TODAY()),MONTH(TODAY())+7,1))-MONTH(Tools!$Q21)),Tools!$U21)=0,OR(Tools!$L21="",EDATE(Tools!$Q21,((YEAR(DATE(YEAR(TODAY()),MONTH(TODAY())+7,1))-YEAR(Tools!$Q21))*12+MONTH(DATE(YEAR(TODAY()),MONTH(TODAY())+7,1))-MONTH(Tools!$Q21)))&lt;Tools!$L21)),Tools!$N21,""))</f>
        <v/>
      </c>
      <c r="K22" s="30">
        <f>IF(OR(Tools!$B21="",Tools!$Q21=""),"",IF(AND(((YEAR(DATE(YEAR(TODAY()),MONTH(TODAY())+8,1))-YEAR(Tools!$Q21))*12+MONTH(DATE(YEAR(TODAY()),MONTH(TODAY())+8,1))-MONTH(Tools!$Q21))&gt;=0,MOD(((YEAR(DATE(YEAR(TODAY()),MONTH(TODAY())+8,1))-YEAR(Tools!$Q21))*12+MONTH(DATE(YEAR(TODAY()),MONTH(TODAY())+8,1))-MONTH(Tools!$Q21)),Tools!$U21)=0,OR(Tools!$L21="",EDATE(Tools!$Q21,((YEAR(DATE(YEAR(TODAY()),MONTH(TODAY())+8,1))-YEAR(Tools!$Q21))*12+MONTH(DATE(YEAR(TODAY()),MONTH(TODAY())+8,1))-MONTH(Tools!$Q21)))&lt;Tools!$L21)),Tools!$N21,""))</f>
        <v/>
      </c>
      <c r="L22" s="30">
        <f>IF(OR(Tools!$B21="",Tools!$Q21=""),"",IF(AND(((YEAR(DATE(YEAR(TODAY()),MONTH(TODAY())+9,1))-YEAR(Tools!$Q21))*12+MONTH(DATE(YEAR(TODAY()),MONTH(TODAY())+9,1))-MONTH(Tools!$Q21))&gt;=0,MOD(((YEAR(DATE(YEAR(TODAY()),MONTH(TODAY())+9,1))-YEAR(Tools!$Q21))*12+MONTH(DATE(YEAR(TODAY()),MONTH(TODAY())+9,1))-MONTH(Tools!$Q21)),Tools!$U21)=0,OR(Tools!$L21="",EDATE(Tools!$Q21,((YEAR(DATE(YEAR(TODAY()),MONTH(TODAY())+9,1))-YEAR(Tools!$Q21))*12+MONTH(DATE(YEAR(TODAY()),MONTH(TODAY())+9,1))-MONTH(Tools!$Q21)))&lt;Tools!$L21)),Tools!$N21,""))</f>
        <v/>
      </c>
      <c r="M22" s="30">
        <f>IF(OR(Tools!$B21="",Tools!$Q21=""),"",IF(AND(((YEAR(DATE(YEAR(TODAY()),MONTH(TODAY())+10,1))-YEAR(Tools!$Q21))*12+MONTH(DATE(YEAR(TODAY()),MONTH(TODAY())+10,1))-MONTH(Tools!$Q21))&gt;=0,MOD(((YEAR(DATE(YEAR(TODAY()),MONTH(TODAY())+10,1))-YEAR(Tools!$Q21))*12+MONTH(DATE(YEAR(TODAY()),MONTH(TODAY())+10,1))-MONTH(Tools!$Q21)),Tools!$U21)=0,OR(Tools!$L21="",EDATE(Tools!$Q21,((YEAR(DATE(YEAR(TODAY()),MONTH(TODAY())+10,1))-YEAR(Tools!$Q21))*12+MONTH(DATE(YEAR(TODAY()),MONTH(TODAY())+10,1))-MONTH(Tools!$Q21)))&lt;Tools!$L21)),Tools!$N21,""))</f>
        <v/>
      </c>
      <c r="N22" s="30">
        <f>IF(OR(Tools!$B21="",Tools!$Q21=""),"",IF(AND(((YEAR(DATE(YEAR(TODAY()),MONTH(TODAY())+11,1))-YEAR(Tools!$Q21))*12+MONTH(DATE(YEAR(TODAY()),MONTH(TODAY())+11,1))-MONTH(Tools!$Q21))&gt;=0,MOD(((YEAR(DATE(YEAR(TODAY()),MONTH(TODAY())+11,1))-YEAR(Tools!$Q21))*12+MONTH(DATE(YEAR(TODAY()),MONTH(TODAY())+11,1))-MONTH(Tools!$Q21)),Tools!$U21)=0,OR(Tools!$L21="",EDATE(Tools!$Q21,((YEAR(DATE(YEAR(TODAY()),MONTH(TODAY())+11,1))-YEAR(Tools!$Q21))*12+MONTH(DATE(YEAR(TODAY()),MONTH(TODAY())+11,1))-MONTH(Tools!$Q21)))&lt;Tools!$L21)),Tools!$N21,""))</f>
        <v/>
      </c>
      <c r="O22" s="31">
        <f>IF(B22="","",SUM(C22:N22))</f>
        <v/>
      </c>
      <c r="P22" s="1" t="n"/>
    </row>
    <row r="23">
      <c r="A23" s="1" t="n"/>
      <c r="B23" s="11">
        <f>IF(Tools!B22="","",Tools!B22)</f>
        <v/>
      </c>
      <c r="C23" s="30">
        <f>IF(OR(Tools!$B22="",Tools!$Q22=""),"",IF(AND(((YEAR(DATE(YEAR(TODAY()),MONTH(TODAY())+0,1))-YEAR(Tools!$Q22))*12+MONTH(DATE(YEAR(TODAY()),MONTH(TODAY())+0,1))-MONTH(Tools!$Q22))&gt;=0,MOD(((YEAR(DATE(YEAR(TODAY()),MONTH(TODAY())+0,1))-YEAR(Tools!$Q22))*12+MONTH(DATE(YEAR(TODAY()),MONTH(TODAY())+0,1))-MONTH(Tools!$Q22)),Tools!$U22)=0,OR(Tools!$L22="",EDATE(Tools!$Q22,((YEAR(DATE(YEAR(TODAY()),MONTH(TODAY())+0,1))-YEAR(Tools!$Q22))*12+MONTH(DATE(YEAR(TODAY()),MONTH(TODAY())+0,1))-MONTH(Tools!$Q22)))&lt;Tools!$L22)),Tools!$N22,""))</f>
        <v/>
      </c>
      <c r="D23" s="30">
        <f>IF(OR(Tools!$B22="",Tools!$Q22=""),"",IF(AND(((YEAR(DATE(YEAR(TODAY()),MONTH(TODAY())+1,1))-YEAR(Tools!$Q22))*12+MONTH(DATE(YEAR(TODAY()),MONTH(TODAY())+1,1))-MONTH(Tools!$Q22))&gt;=0,MOD(((YEAR(DATE(YEAR(TODAY()),MONTH(TODAY())+1,1))-YEAR(Tools!$Q22))*12+MONTH(DATE(YEAR(TODAY()),MONTH(TODAY())+1,1))-MONTH(Tools!$Q22)),Tools!$U22)=0,OR(Tools!$L22="",EDATE(Tools!$Q22,((YEAR(DATE(YEAR(TODAY()),MONTH(TODAY())+1,1))-YEAR(Tools!$Q22))*12+MONTH(DATE(YEAR(TODAY()),MONTH(TODAY())+1,1))-MONTH(Tools!$Q22)))&lt;Tools!$L22)),Tools!$N22,""))</f>
        <v/>
      </c>
      <c r="E23" s="30">
        <f>IF(OR(Tools!$B22="",Tools!$Q22=""),"",IF(AND(((YEAR(DATE(YEAR(TODAY()),MONTH(TODAY())+2,1))-YEAR(Tools!$Q22))*12+MONTH(DATE(YEAR(TODAY()),MONTH(TODAY())+2,1))-MONTH(Tools!$Q22))&gt;=0,MOD(((YEAR(DATE(YEAR(TODAY()),MONTH(TODAY())+2,1))-YEAR(Tools!$Q22))*12+MONTH(DATE(YEAR(TODAY()),MONTH(TODAY())+2,1))-MONTH(Tools!$Q22)),Tools!$U22)=0,OR(Tools!$L22="",EDATE(Tools!$Q22,((YEAR(DATE(YEAR(TODAY()),MONTH(TODAY())+2,1))-YEAR(Tools!$Q22))*12+MONTH(DATE(YEAR(TODAY()),MONTH(TODAY())+2,1))-MONTH(Tools!$Q22)))&lt;Tools!$L22)),Tools!$N22,""))</f>
        <v/>
      </c>
      <c r="F23" s="30">
        <f>IF(OR(Tools!$B22="",Tools!$Q22=""),"",IF(AND(((YEAR(DATE(YEAR(TODAY()),MONTH(TODAY())+3,1))-YEAR(Tools!$Q22))*12+MONTH(DATE(YEAR(TODAY()),MONTH(TODAY())+3,1))-MONTH(Tools!$Q22))&gt;=0,MOD(((YEAR(DATE(YEAR(TODAY()),MONTH(TODAY())+3,1))-YEAR(Tools!$Q22))*12+MONTH(DATE(YEAR(TODAY()),MONTH(TODAY())+3,1))-MONTH(Tools!$Q22)),Tools!$U22)=0,OR(Tools!$L22="",EDATE(Tools!$Q22,((YEAR(DATE(YEAR(TODAY()),MONTH(TODAY())+3,1))-YEAR(Tools!$Q22))*12+MONTH(DATE(YEAR(TODAY()),MONTH(TODAY())+3,1))-MONTH(Tools!$Q22)))&lt;Tools!$L22)),Tools!$N22,""))</f>
        <v/>
      </c>
      <c r="G23" s="30">
        <f>IF(OR(Tools!$B22="",Tools!$Q22=""),"",IF(AND(((YEAR(DATE(YEAR(TODAY()),MONTH(TODAY())+4,1))-YEAR(Tools!$Q22))*12+MONTH(DATE(YEAR(TODAY()),MONTH(TODAY())+4,1))-MONTH(Tools!$Q22))&gt;=0,MOD(((YEAR(DATE(YEAR(TODAY()),MONTH(TODAY())+4,1))-YEAR(Tools!$Q22))*12+MONTH(DATE(YEAR(TODAY()),MONTH(TODAY())+4,1))-MONTH(Tools!$Q22)),Tools!$U22)=0,OR(Tools!$L22="",EDATE(Tools!$Q22,((YEAR(DATE(YEAR(TODAY()),MONTH(TODAY())+4,1))-YEAR(Tools!$Q22))*12+MONTH(DATE(YEAR(TODAY()),MONTH(TODAY())+4,1))-MONTH(Tools!$Q22)))&lt;Tools!$L22)),Tools!$N22,""))</f>
        <v/>
      </c>
      <c r="H23" s="30">
        <f>IF(OR(Tools!$B22="",Tools!$Q22=""),"",IF(AND(((YEAR(DATE(YEAR(TODAY()),MONTH(TODAY())+5,1))-YEAR(Tools!$Q22))*12+MONTH(DATE(YEAR(TODAY()),MONTH(TODAY())+5,1))-MONTH(Tools!$Q22))&gt;=0,MOD(((YEAR(DATE(YEAR(TODAY()),MONTH(TODAY())+5,1))-YEAR(Tools!$Q22))*12+MONTH(DATE(YEAR(TODAY()),MONTH(TODAY())+5,1))-MONTH(Tools!$Q22)),Tools!$U22)=0,OR(Tools!$L22="",EDATE(Tools!$Q22,((YEAR(DATE(YEAR(TODAY()),MONTH(TODAY())+5,1))-YEAR(Tools!$Q22))*12+MONTH(DATE(YEAR(TODAY()),MONTH(TODAY())+5,1))-MONTH(Tools!$Q22)))&lt;Tools!$L22)),Tools!$N22,""))</f>
        <v/>
      </c>
      <c r="I23" s="30">
        <f>IF(OR(Tools!$B22="",Tools!$Q22=""),"",IF(AND(((YEAR(DATE(YEAR(TODAY()),MONTH(TODAY())+6,1))-YEAR(Tools!$Q22))*12+MONTH(DATE(YEAR(TODAY()),MONTH(TODAY())+6,1))-MONTH(Tools!$Q22))&gt;=0,MOD(((YEAR(DATE(YEAR(TODAY()),MONTH(TODAY())+6,1))-YEAR(Tools!$Q22))*12+MONTH(DATE(YEAR(TODAY()),MONTH(TODAY())+6,1))-MONTH(Tools!$Q22)),Tools!$U22)=0,OR(Tools!$L22="",EDATE(Tools!$Q22,((YEAR(DATE(YEAR(TODAY()),MONTH(TODAY())+6,1))-YEAR(Tools!$Q22))*12+MONTH(DATE(YEAR(TODAY()),MONTH(TODAY())+6,1))-MONTH(Tools!$Q22)))&lt;Tools!$L22)),Tools!$N22,""))</f>
        <v/>
      </c>
      <c r="J23" s="30">
        <f>IF(OR(Tools!$B22="",Tools!$Q22=""),"",IF(AND(((YEAR(DATE(YEAR(TODAY()),MONTH(TODAY())+7,1))-YEAR(Tools!$Q22))*12+MONTH(DATE(YEAR(TODAY()),MONTH(TODAY())+7,1))-MONTH(Tools!$Q22))&gt;=0,MOD(((YEAR(DATE(YEAR(TODAY()),MONTH(TODAY())+7,1))-YEAR(Tools!$Q22))*12+MONTH(DATE(YEAR(TODAY()),MONTH(TODAY())+7,1))-MONTH(Tools!$Q22)),Tools!$U22)=0,OR(Tools!$L22="",EDATE(Tools!$Q22,((YEAR(DATE(YEAR(TODAY()),MONTH(TODAY())+7,1))-YEAR(Tools!$Q22))*12+MONTH(DATE(YEAR(TODAY()),MONTH(TODAY())+7,1))-MONTH(Tools!$Q22)))&lt;Tools!$L22)),Tools!$N22,""))</f>
        <v/>
      </c>
      <c r="K23" s="30">
        <f>IF(OR(Tools!$B22="",Tools!$Q22=""),"",IF(AND(((YEAR(DATE(YEAR(TODAY()),MONTH(TODAY())+8,1))-YEAR(Tools!$Q22))*12+MONTH(DATE(YEAR(TODAY()),MONTH(TODAY())+8,1))-MONTH(Tools!$Q22))&gt;=0,MOD(((YEAR(DATE(YEAR(TODAY()),MONTH(TODAY())+8,1))-YEAR(Tools!$Q22))*12+MONTH(DATE(YEAR(TODAY()),MONTH(TODAY())+8,1))-MONTH(Tools!$Q22)),Tools!$U22)=0,OR(Tools!$L22="",EDATE(Tools!$Q22,((YEAR(DATE(YEAR(TODAY()),MONTH(TODAY())+8,1))-YEAR(Tools!$Q22))*12+MONTH(DATE(YEAR(TODAY()),MONTH(TODAY())+8,1))-MONTH(Tools!$Q22)))&lt;Tools!$L22)),Tools!$N22,""))</f>
        <v/>
      </c>
      <c r="L23" s="30">
        <f>IF(OR(Tools!$B22="",Tools!$Q22=""),"",IF(AND(((YEAR(DATE(YEAR(TODAY()),MONTH(TODAY())+9,1))-YEAR(Tools!$Q22))*12+MONTH(DATE(YEAR(TODAY()),MONTH(TODAY())+9,1))-MONTH(Tools!$Q22))&gt;=0,MOD(((YEAR(DATE(YEAR(TODAY()),MONTH(TODAY())+9,1))-YEAR(Tools!$Q22))*12+MONTH(DATE(YEAR(TODAY()),MONTH(TODAY())+9,1))-MONTH(Tools!$Q22)),Tools!$U22)=0,OR(Tools!$L22="",EDATE(Tools!$Q22,((YEAR(DATE(YEAR(TODAY()),MONTH(TODAY())+9,1))-YEAR(Tools!$Q22))*12+MONTH(DATE(YEAR(TODAY()),MONTH(TODAY())+9,1))-MONTH(Tools!$Q22)))&lt;Tools!$L22)),Tools!$N22,""))</f>
        <v/>
      </c>
      <c r="M23" s="30">
        <f>IF(OR(Tools!$B22="",Tools!$Q22=""),"",IF(AND(((YEAR(DATE(YEAR(TODAY()),MONTH(TODAY())+10,1))-YEAR(Tools!$Q22))*12+MONTH(DATE(YEAR(TODAY()),MONTH(TODAY())+10,1))-MONTH(Tools!$Q22))&gt;=0,MOD(((YEAR(DATE(YEAR(TODAY()),MONTH(TODAY())+10,1))-YEAR(Tools!$Q22))*12+MONTH(DATE(YEAR(TODAY()),MONTH(TODAY())+10,1))-MONTH(Tools!$Q22)),Tools!$U22)=0,OR(Tools!$L22="",EDATE(Tools!$Q22,((YEAR(DATE(YEAR(TODAY()),MONTH(TODAY())+10,1))-YEAR(Tools!$Q22))*12+MONTH(DATE(YEAR(TODAY()),MONTH(TODAY())+10,1))-MONTH(Tools!$Q22)))&lt;Tools!$L22)),Tools!$N22,""))</f>
        <v/>
      </c>
      <c r="N23" s="30">
        <f>IF(OR(Tools!$B22="",Tools!$Q22=""),"",IF(AND(((YEAR(DATE(YEAR(TODAY()),MONTH(TODAY())+11,1))-YEAR(Tools!$Q22))*12+MONTH(DATE(YEAR(TODAY()),MONTH(TODAY())+11,1))-MONTH(Tools!$Q22))&gt;=0,MOD(((YEAR(DATE(YEAR(TODAY()),MONTH(TODAY())+11,1))-YEAR(Tools!$Q22))*12+MONTH(DATE(YEAR(TODAY()),MONTH(TODAY())+11,1))-MONTH(Tools!$Q22)),Tools!$U22)=0,OR(Tools!$L22="",EDATE(Tools!$Q22,((YEAR(DATE(YEAR(TODAY()),MONTH(TODAY())+11,1))-YEAR(Tools!$Q22))*12+MONTH(DATE(YEAR(TODAY()),MONTH(TODAY())+11,1))-MONTH(Tools!$Q22)))&lt;Tools!$L22)),Tools!$N22,""))</f>
        <v/>
      </c>
      <c r="O23" s="31">
        <f>IF(B23="","",SUM(C23:N23))</f>
        <v/>
      </c>
      <c r="P23" s="1" t="n"/>
    </row>
    <row r="24">
      <c r="A24" s="1" t="n"/>
      <c r="B24" s="11">
        <f>IF(Tools!B23="","",Tools!B23)</f>
        <v/>
      </c>
      <c r="C24" s="30">
        <f>IF(OR(Tools!$B23="",Tools!$Q23=""),"",IF(AND(((YEAR(DATE(YEAR(TODAY()),MONTH(TODAY())+0,1))-YEAR(Tools!$Q23))*12+MONTH(DATE(YEAR(TODAY()),MONTH(TODAY())+0,1))-MONTH(Tools!$Q23))&gt;=0,MOD(((YEAR(DATE(YEAR(TODAY()),MONTH(TODAY())+0,1))-YEAR(Tools!$Q23))*12+MONTH(DATE(YEAR(TODAY()),MONTH(TODAY())+0,1))-MONTH(Tools!$Q23)),Tools!$U23)=0,OR(Tools!$L23="",EDATE(Tools!$Q23,((YEAR(DATE(YEAR(TODAY()),MONTH(TODAY())+0,1))-YEAR(Tools!$Q23))*12+MONTH(DATE(YEAR(TODAY()),MONTH(TODAY())+0,1))-MONTH(Tools!$Q23)))&lt;Tools!$L23)),Tools!$N23,""))</f>
        <v/>
      </c>
      <c r="D24" s="30">
        <f>IF(OR(Tools!$B23="",Tools!$Q23=""),"",IF(AND(((YEAR(DATE(YEAR(TODAY()),MONTH(TODAY())+1,1))-YEAR(Tools!$Q23))*12+MONTH(DATE(YEAR(TODAY()),MONTH(TODAY())+1,1))-MONTH(Tools!$Q23))&gt;=0,MOD(((YEAR(DATE(YEAR(TODAY()),MONTH(TODAY())+1,1))-YEAR(Tools!$Q23))*12+MONTH(DATE(YEAR(TODAY()),MONTH(TODAY())+1,1))-MONTH(Tools!$Q23)),Tools!$U23)=0,OR(Tools!$L23="",EDATE(Tools!$Q23,((YEAR(DATE(YEAR(TODAY()),MONTH(TODAY())+1,1))-YEAR(Tools!$Q23))*12+MONTH(DATE(YEAR(TODAY()),MONTH(TODAY())+1,1))-MONTH(Tools!$Q23)))&lt;Tools!$L23)),Tools!$N23,""))</f>
        <v/>
      </c>
      <c r="E24" s="30">
        <f>IF(OR(Tools!$B23="",Tools!$Q23=""),"",IF(AND(((YEAR(DATE(YEAR(TODAY()),MONTH(TODAY())+2,1))-YEAR(Tools!$Q23))*12+MONTH(DATE(YEAR(TODAY()),MONTH(TODAY())+2,1))-MONTH(Tools!$Q23))&gt;=0,MOD(((YEAR(DATE(YEAR(TODAY()),MONTH(TODAY())+2,1))-YEAR(Tools!$Q23))*12+MONTH(DATE(YEAR(TODAY()),MONTH(TODAY())+2,1))-MONTH(Tools!$Q23)),Tools!$U23)=0,OR(Tools!$L23="",EDATE(Tools!$Q23,((YEAR(DATE(YEAR(TODAY()),MONTH(TODAY())+2,1))-YEAR(Tools!$Q23))*12+MONTH(DATE(YEAR(TODAY()),MONTH(TODAY())+2,1))-MONTH(Tools!$Q23)))&lt;Tools!$L23)),Tools!$N23,""))</f>
        <v/>
      </c>
      <c r="F24" s="30">
        <f>IF(OR(Tools!$B23="",Tools!$Q23=""),"",IF(AND(((YEAR(DATE(YEAR(TODAY()),MONTH(TODAY())+3,1))-YEAR(Tools!$Q23))*12+MONTH(DATE(YEAR(TODAY()),MONTH(TODAY())+3,1))-MONTH(Tools!$Q23))&gt;=0,MOD(((YEAR(DATE(YEAR(TODAY()),MONTH(TODAY())+3,1))-YEAR(Tools!$Q23))*12+MONTH(DATE(YEAR(TODAY()),MONTH(TODAY())+3,1))-MONTH(Tools!$Q23)),Tools!$U23)=0,OR(Tools!$L23="",EDATE(Tools!$Q23,((YEAR(DATE(YEAR(TODAY()),MONTH(TODAY())+3,1))-YEAR(Tools!$Q23))*12+MONTH(DATE(YEAR(TODAY()),MONTH(TODAY())+3,1))-MONTH(Tools!$Q23)))&lt;Tools!$L23)),Tools!$N23,""))</f>
        <v/>
      </c>
      <c r="G24" s="30">
        <f>IF(OR(Tools!$B23="",Tools!$Q23=""),"",IF(AND(((YEAR(DATE(YEAR(TODAY()),MONTH(TODAY())+4,1))-YEAR(Tools!$Q23))*12+MONTH(DATE(YEAR(TODAY()),MONTH(TODAY())+4,1))-MONTH(Tools!$Q23))&gt;=0,MOD(((YEAR(DATE(YEAR(TODAY()),MONTH(TODAY())+4,1))-YEAR(Tools!$Q23))*12+MONTH(DATE(YEAR(TODAY()),MONTH(TODAY())+4,1))-MONTH(Tools!$Q23)),Tools!$U23)=0,OR(Tools!$L23="",EDATE(Tools!$Q23,((YEAR(DATE(YEAR(TODAY()),MONTH(TODAY())+4,1))-YEAR(Tools!$Q23))*12+MONTH(DATE(YEAR(TODAY()),MONTH(TODAY())+4,1))-MONTH(Tools!$Q23)))&lt;Tools!$L23)),Tools!$N23,""))</f>
        <v/>
      </c>
      <c r="H24" s="30">
        <f>IF(OR(Tools!$B23="",Tools!$Q23=""),"",IF(AND(((YEAR(DATE(YEAR(TODAY()),MONTH(TODAY())+5,1))-YEAR(Tools!$Q23))*12+MONTH(DATE(YEAR(TODAY()),MONTH(TODAY())+5,1))-MONTH(Tools!$Q23))&gt;=0,MOD(((YEAR(DATE(YEAR(TODAY()),MONTH(TODAY())+5,1))-YEAR(Tools!$Q23))*12+MONTH(DATE(YEAR(TODAY()),MONTH(TODAY())+5,1))-MONTH(Tools!$Q23)),Tools!$U23)=0,OR(Tools!$L23="",EDATE(Tools!$Q23,((YEAR(DATE(YEAR(TODAY()),MONTH(TODAY())+5,1))-YEAR(Tools!$Q23))*12+MONTH(DATE(YEAR(TODAY()),MONTH(TODAY())+5,1))-MONTH(Tools!$Q23)))&lt;Tools!$L23)),Tools!$N23,""))</f>
        <v/>
      </c>
      <c r="I24" s="30">
        <f>IF(OR(Tools!$B23="",Tools!$Q23=""),"",IF(AND(((YEAR(DATE(YEAR(TODAY()),MONTH(TODAY())+6,1))-YEAR(Tools!$Q23))*12+MONTH(DATE(YEAR(TODAY()),MONTH(TODAY())+6,1))-MONTH(Tools!$Q23))&gt;=0,MOD(((YEAR(DATE(YEAR(TODAY()),MONTH(TODAY())+6,1))-YEAR(Tools!$Q23))*12+MONTH(DATE(YEAR(TODAY()),MONTH(TODAY())+6,1))-MONTH(Tools!$Q23)),Tools!$U23)=0,OR(Tools!$L23="",EDATE(Tools!$Q23,((YEAR(DATE(YEAR(TODAY()),MONTH(TODAY())+6,1))-YEAR(Tools!$Q23))*12+MONTH(DATE(YEAR(TODAY()),MONTH(TODAY())+6,1))-MONTH(Tools!$Q23)))&lt;Tools!$L23)),Tools!$N23,""))</f>
        <v/>
      </c>
      <c r="J24" s="30">
        <f>IF(OR(Tools!$B23="",Tools!$Q23=""),"",IF(AND(((YEAR(DATE(YEAR(TODAY()),MONTH(TODAY())+7,1))-YEAR(Tools!$Q23))*12+MONTH(DATE(YEAR(TODAY()),MONTH(TODAY())+7,1))-MONTH(Tools!$Q23))&gt;=0,MOD(((YEAR(DATE(YEAR(TODAY()),MONTH(TODAY())+7,1))-YEAR(Tools!$Q23))*12+MONTH(DATE(YEAR(TODAY()),MONTH(TODAY())+7,1))-MONTH(Tools!$Q23)),Tools!$U23)=0,OR(Tools!$L23="",EDATE(Tools!$Q23,((YEAR(DATE(YEAR(TODAY()),MONTH(TODAY())+7,1))-YEAR(Tools!$Q23))*12+MONTH(DATE(YEAR(TODAY()),MONTH(TODAY())+7,1))-MONTH(Tools!$Q23)))&lt;Tools!$L23)),Tools!$N23,""))</f>
        <v/>
      </c>
      <c r="K24" s="30">
        <f>IF(OR(Tools!$B23="",Tools!$Q23=""),"",IF(AND(((YEAR(DATE(YEAR(TODAY()),MONTH(TODAY())+8,1))-YEAR(Tools!$Q23))*12+MONTH(DATE(YEAR(TODAY()),MONTH(TODAY())+8,1))-MONTH(Tools!$Q23))&gt;=0,MOD(((YEAR(DATE(YEAR(TODAY()),MONTH(TODAY())+8,1))-YEAR(Tools!$Q23))*12+MONTH(DATE(YEAR(TODAY()),MONTH(TODAY())+8,1))-MONTH(Tools!$Q23)),Tools!$U23)=0,OR(Tools!$L23="",EDATE(Tools!$Q23,((YEAR(DATE(YEAR(TODAY()),MONTH(TODAY())+8,1))-YEAR(Tools!$Q23))*12+MONTH(DATE(YEAR(TODAY()),MONTH(TODAY())+8,1))-MONTH(Tools!$Q23)))&lt;Tools!$L23)),Tools!$N23,""))</f>
        <v/>
      </c>
      <c r="L24" s="30">
        <f>IF(OR(Tools!$B23="",Tools!$Q23=""),"",IF(AND(((YEAR(DATE(YEAR(TODAY()),MONTH(TODAY())+9,1))-YEAR(Tools!$Q23))*12+MONTH(DATE(YEAR(TODAY()),MONTH(TODAY())+9,1))-MONTH(Tools!$Q23))&gt;=0,MOD(((YEAR(DATE(YEAR(TODAY()),MONTH(TODAY())+9,1))-YEAR(Tools!$Q23))*12+MONTH(DATE(YEAR(TODAY()),MONTH(TODAY())+9,1))-MONTH(Tools!$Q23)),Tools!$U23)=0,OR(Tools!$L23="",EDATE(Tools!$Q23,((YEAR(DATE(YEAR(TODAY()),MONTH(TODAY())+9,1))-YEAR(Tools!$Q23))*12+MONTH(DATE(YEAR(TODAY()),MONTH(TODAY())+9,1))-MONTH(Tools!$Q23)))&lt;Tools!$L23)),Tools!$N23,""))</f>
        <v/>
      </c>
      <c r="M24" s="30">
        <f>IF(OR(Tools!$B23="",Tools!$Q23=""),"",IF(AND(((YEAR(DATE(YEAR(TODAY()),MONTH(TODAY())+10,1))-YEAR(Tools!$Q23))*12+MONTH(DATE(YEAR(TODAY()),MONTH(TODAY())+10,1))-MONTH(Tools!$Q23))&gt;=0,MOD(((YEAR(DATE(YEAR(TODAY()),MONTH(TODAY())+10,1))-YEAR(Tools!$Q23))*12+MONTH(DATE(YEAR(TODAY()),MONTH(TODAY())+10,1))-MONTH(Tools!$Q23)),Tools!$U23)=0,OR(Tools!$L23="",EDATE(Tools!$Q23,((YEAR(DATE(YEAR(TODAY()),MONTH(TODAY())+10,1))-YEAR(Tools!$Q23))*12+MONTH(DATE(YEAR(TODAY()),MONTH(TODAY())+10,1))-MONTH(Tools!$Q23)))&lt;Tools!$L23)),Tools!$N23,""))</f>
        <v/>
      </c>
      <c r="N24" s="30">
        <f>IF(OR(Tools!$B23="",Tools!$Q23=""),"",IF(AND(((YEAR(DATE(YEAR(TODAY()),MONTH(TODAY())+11,1))-YEAR(Tools!$Q23))*12+MONTH(DATE(YEAR(TODAY()),MONTH(TODAY())+11,1))-MONTH(Tools!$Q23))&gt;=0,MOD(((YEAR(DATE(YEAR(TODAY()),MONTH(TODAY())+11,1))-YEAR(Tools!$Q23))*12+MONTH(DATE(YEAR(TODAY()),MONTH(TODAY())+11,1))-MONTH(Tools!$Q23)),Tools!$U23)=0,OR(Tools!$L23="",EDATE(Tools!$Q23,((YEAR(DATE(YEAR(TODAY()),MONTH(TODAY())+11,1))-YEAR(Tools!$Q23))*12+MONTH(DATE(YEAR(TODAY()),MONTH(TODAY())+11,1))-MONTH(Tools!$Q23)))&lt;Tools!$L23)),Tools!$N23,""))</f>
        <v/>
      </c>
      <c r="O24" s="31">
        <f>IF(B24="","",SUM(C24:N24))</f>
        <v/>
      </c>
      <c r="P24" s="1" t="n"/>
    </row>
    <row r="25">
      <c r="A25" s="1" t="n"/>
      <c r="B25" s="11">
        <f>IF(Tools!B24="","",Tools!B24)</f>
        <v/>
      </c>
      <c r="C25" s="30">
        <f>IF(OR(Tools!$B24="",Tools!$Q24=""),"",IF(AND(((YEAR(DATE(YEAR(TODAY()),MONTH(TODAY())+0,1))-YEAR(Tools!$Q24))*12+MONTH(DATE(YEAR(TODAY()),MONTH(TODAY())+0,1))-MONTH(Tools!$Q24))&gt;=0,MOD(((YEAR(DATE(YEAR(TODAY()),MONTH(TODAY())+0,1))-YEAR(Tools!$Q24))*12+MONTH(DATE(YEAR(TODAY()),MONTH(TODAY())+0,1))-MONTH(Tools!$Q24)),Tools!$U24)=0,OR(Tools!$L24="",EDATE(Tools!$Q24,((YEAR(DATE(YEAR(TODAY()),MONTH(TODAY())+0,1))-YEAR(Tools!$Q24))*12+MONTH(DATE(YEAR(TODAY()),MONTH(TODAY())+0,1))-MONTH(Tools!$Q24)))&lt;Tools!$L24)),Tools!$N24,""))</f>
        <v/>
      </c>
      <c r="D25" s="30">
        <f>IF(OR(Tools!$B24="",Tools!$Q24=""),"",IF(AND(((YEAR(DATE(YEAR(TODAY()),MONTH(TODAY())+1,1))-YEAR(Tools!$Q24))*12+MONTH(DATE(YEAR(TODAY()),MONTH(TODAY())+1,1))-MONTH(Tools!$Q24))&gt;=0,MOD(((YEAR(DATE(YEAR(TODAY()),MONTH(TODAY())+1,1))-YEAR(Tools!$Q24))*12+MONTH(DATE(YEAR(TODAY()),MONTH(TODAY())+1,1))-MONTH(Tools!$Q24)),Tools!$U24)=0,OR(Tools!$L24="",EDATE(Tools!$Q24,((YEAR(DATE(YEAR(TODAY()),MONTH(TODAY())+1,1))-YEAR(Tools!$Q24))*12+MONTH(DATE(YEAR(TODAY()),MONTH(TODAY())+1,1))-MONTH(Tools!$Q24)))&lt;Tools!$L24)),Tools!$N24,""))</f>
        <v/>
      </c>
      <c r="E25" s="30">
        <f>IF(OR(Tools!$B24="",Tools!$Q24=""),"",IF(AND(((YEAR(DATE(YEAR(TODAY()),MONTH(TODAY())+2,1))-YEAR(Tools!$Q24))*12+MONTH(DATE(YEAR(TODAY()),MONTH(TODAY())+2,1))-MONTH(Tools!$Q24))&gt;=0,MOD(((YEAR(DATE(YEAR(TODAY()),MONTH(TODAY())+2,1))-YEAR(Tools!$Q24))*12+MONTH(DATE(YEAR(TODAY()),MONTH(TODAY())+2,1))-MONTH(Tools!$Q24)),Tools!$U24)=0,OR(Tools!$L24="",EDATE(Tools!$Q24,((YEAR(DATE(YEAR(TODAY()),MONTH(TODAY())+2,1))-YEAR(Tools!$Q24))*12+MONTH(DATE(YEAR(TODAY()),MONTH(TODAY())+2,1))-MONTH(Tools!$Q24)))&lt;Tools!$L24)),Tools!$N24,""))</f>
        <v/>
      </c>
      <c r="F25" s="30">
        <f>IF(OR(Tools!$B24="",Tools!$Q24=""),"",IF(AND(((YEAR(DATE(YEAR(TODAY()),MONTH(TODAY())+3,1))-YEAR(Tools!$Q24))*12+MONTH(DATE(YEAR(TODAY()),MONTH(TODAY())+3,1))-MONTH(Tools!$Q24))&gt;=0,MOD(((YEAR(DATE(YEAR(TODAY()),MONTH(TODAY())+3,1))-YEAR(Tools!$Q24))*12+MONTH(DATE(YEAR(TODAY()),MONTH(TODAY())+3,1))-MONTH(Tools!$Q24)),Tools!$U24)=0,OR(Tools!$L24="",EDATE(Tools!$Q24,((YEAR(DATE(YEAR(TODAY()),MONTH(TODAY())+3,1))-YEAR(Tools!$Q24))*12+MONTH(DATE(YEAR(TODAY()),MONTH(TODAY())+3,1))-MONTH(Tools!$Q24)))&lt;Tools!$L24)),Tools!$N24,""))</f>
        <v/>
      </c>
      <c r="G25" s="30">
        <f>IF(OR(Tools!$B24="",Tools!$Q24=""),"",IF(AND(((YEAR(DATE(YEAR(TODAY()),MONTH(TODAY())+4,1))-YEAR(Tools!$Q24))*12+MONTH(DATE(YEAR(TODAY()),MONTH(TODAY())+4,1))-MONTH(Tools!$Q24))&gt;=0,MOD(((YEAR(DATE(YEAR(TODAY()),MONTH(TODAY())+4,1))-YEAR(Tools!$Q24))*12+MONTH(DATE(YEAR(TODAY()),MONTH(TODAY())+4,1))-MONTH(Tools!$Q24)),Tools!$U24)=0,OR(Tools!$L24="",EDATE(Tools!$Q24,((YEAR(DATE(YEAR(TODAY()),MONTH(TODAY())+4,1))-YEAR(Tools!$Q24))*12+MONTH(DATE(YEAR(TODAY()),MONTH(TODAY())+4,1))-MONTH(Tools!$Q24)))&lt;Tools!$L24)),Tools!$N24,""))</f>
        <v/>
      </c>
      <c r="H25" s="30">
        <f>IF(OR(Tools!$B24="",Tools!$Q24=""),"",IF(AND(((YEAR(DATE(YEAR(TODAY()),MONTH(TODAY())+5,1))-YEAR(Tools!$Q24))*12+MONTH(DATE(YEAR(TODAY()),MONTH(TODAY())+5,1))-MONTH(Tools!$Q24))&gt;=0,MOD(((YEAR(DATE(YEAR(TODAY()),MONTH(TODAY())+5,1))-YEAR(Tools!$Q24))*12+MONTH(DATE(YEAR(TODAY()),MONTH(TODAY())+5,1))-MONTH(Tools!$Q24)),Tools!$U24)=0,OR(Tools!$L24="",EDATE(Tools!$Q24,((YEAR(DATE(YEAR(TODAY()),MONTH(TODAY())+5,1))-YEAR(Tools!$Q24))*12+MONTH(DATE(YEAR(TODAY()),MONTH(TODAY())+5,1))-MONTH(Tools!$Q24)))&lt;Tools!$L24)),Tools!$N24,""))</f>
        <v/>
      </c>
      <c r="I25" s="30">
        <f>IF(OR(Tools!$B24="",Tools!$Q24=""),"",IF(AND(((YEAR(DATE(YEAR(TODAY()),MONTH(TODAY())+6,1))-YEAR(Tools!$Q24))*12+MONTH(DATE(YEAR(TODAY()),MONTH(TODAY())+6,1))-MONTH(Tools!$Q24))&gt;=0,MOD(((YEAR(DATE(YEAR(TODAY()),MONTH(TODAY())+6,1))-YEAR(Tools!$Q24))*12+MONTH(DATE(YEAR(TODAY()),MONTH(TODAY())+6,1))-MONTH(Tools!$Q24)),Tools!$U24)=0,OR(Tools!$L24="",EDATE(Tools!$Q24,((YEAR(DATE(YEAR(TODAY()),MONTH(TODAY())+6,1))-YEAR(Tools!$Q24))*12+MONTH(DATE(YEAR(TODAY()),MONTH(TODAY())+6,1))-MONTH(Tools!$Q24)))&lt;Tools!$L24)),Tools!$N24,""))</f>
        <v/>
      </c>
      <c r="J25" s="30">
        <f>IF(OR(Tools!$B24="",Tools!$Q24=""),"",IF(AND(((YEAR(DATE(YEAR(TODAY()),MONTH(TODAY())+7,1))-YEAR(Tools!$Q24))*12+MONTH(DATE(YEAR(TODAY()),MONTH(TODAY())+7,1))-MONTH(Tools!$Q24))&gt;=0,MOD(((YEAR(DATE(YEAR(TODAY()),MONTH(TODAY())+7,1))-YEAR(Tools!$Q24))*12+MONTH(DATE(YEAR(TODAY()),MONTH(TODAY())+7,1))-MONTH(Tools!$Q24)),Tools!$U24)=0,OR(Tools!$L24="",EDATE(Tools!$Q24,((YEAR(DATE(YEAR(TODAY()),MONTH(TODAY())+7,1))-YEAR(Tools!$Q24))*12+MONTH(DATE(YEAR(TODAY()),MONTH(TODAY())+7,1))-MONTH(Tools!$Q24)))&lt;Tools!$L24)),Tools!$N24,""))</f>
        <v/>
      </c>
      <c r="K25" s="30">
        <f>IF(OR(Tools!$B24="",Tools!$Q24=""),"",IF(AND(((YEAR(DATE(YEAR(TODAY()),MONTH(TODAY())+8,1))-YEAR(Tools!$Q24))*12+MONTH(DATE(YEAR(TODAY()),MONTH(TODAY())+8,1))-MONTH(Tools!$Q24))&gt;=0,MOD(((YEAR(DATE(YEAR(TODAY()),MONTH(TODAY())+8,1))-YEAR(Tools!$Q24))*12+MONTH(DATE(YEAR(TODAY()),MONTH(TODAY())+8,1))-MONTH(Tools!$Q24)),Tools!$U24)=0,OR(Tools!$L24="",EDATE(Tools!$Q24,((YEAR(DATE(YEAR(TODAY()),MONTH(TODAY())+8,1))-YEAR(Tools!$Q24))*12+MONTH(DATE(YEAR(TODAY()),MONTH(TODAY())+8,1))-MONTH(Tools!$Q24)))&lt;Tools!$L24)),Tools!$N24,""))</f>
        <v/>
      </c>
      <c r="L25" s="30">
        <f>IF(OR(Tools!$B24="",Tools!$Q24=""),"",IF(AND(((YEAR(DATE(YEAR(TODAY()),MONTH(TODAY())+9,1))-YEAR(Tools!$Q24))*12+MONTH(DATE(YEAR(TODAY()),MONTH(TODAY())+9,1))-MONTH(Tools!$Q24))&gt;=0,MOD(((YEAR(DATE(YEAR(TODAY()),MONTH(TODAY())+9,1))-YEAR(Tools!$Q24))*12+MONTH(DATE(YEAR(TODAY()),MONTH(TODAY())+9,1))-MONTH(Tools!$Q24)),Tools!$U24)=0,OR(Tools!$L24="",EDATE(Tools!$Q24,((YEAR(DATE(YEAR(TODAY()),MONTH(TODAY())+9,1))-YEAR(Tools!$Q24))*12+MONTH(DATE(YEAR(TODAY()),MONTH(TODAY())+9,1))-MONTH(Tools!$Q24)))&lt;Tools!$L24)),Tools!$N24,""))</f>
        <v/>
      </c>
      <c r="M25" s="30">
        <f>IF(OR(Tools!$B24="",Tools!$Q24=""),"",IF(AND(((YEAR(DATE(YEAR(TODAY()),MONTH(TODAY())+10,1))-YEAR(Tools!$Q24))*12+MONTH(DATE(YEAR(TODAY()),MONTH(TODAY())+10,1))-MONTH(Tools!$Q24))&gt;=0,MOD(((YEAR(DATE(YEAR(TODAY()),MONTH(TODAY())+10,1))-YEAR(Tools!$Q24))*12+MONTH(DATE(YEAR(TODAY()),MONTH(TODAY())+10,1))-MONTH(Tools!$Q24)),Tools!$U24)=0,OR(Tools!$L24="",EDATE(Tools!$Q24,((YEAR(DATE(YEAR(TODAY()),MONTH(TODAY())+10,1))-YEAR(Tools!$Q24))*12+MONTH(DATE(YEAR(TODAY()),MONTH(TODAY())+10,1))-MONTH(Tools!$Q24)))&lt;Tools!$L24)),Tools!$N24,""))</f>
        <v/>
      </c>
      <c r="N25" s="30">
        <f>IF(OR(Tools!$B24="",Tools!$Q24=""),"",IF(AND(((YEAR(DATE(YEAR(TODAY()),MONTH(TODAY())+11,1))-YEAR(Tools!$Q24))*12+MONTH(DATE(YEAR(TODAY()),MONTH(TODAY())+11,1))-MONTH(Tools!$Q24))&gt;=0,MOD(((YEAR(DATE(YEAR(TODAY()),MONTH(TODAY())+11,1))-YEAR(Tools!$Q24))*12+MONTH(DATE(YEAR(TODAY()),MONTH(TODAY())+11,1))-MONTH(Tools!$Q24)),Tools!$U24)=0,OR(Tools!$L24="",EDATE(Tools!$Q24,((YEAR(DATE(YEAR(TODAY()),MONTH(TODAY())+11,1))-YEAR(Tools!$Q24))*12+MONTH(DATE(YEAR(TODAY()),MONTH(TODAY())+11,1))-MONTH(Tools!$Q24)))&lt;Tools!$L24)),Tools!$N24,""))</f>
        <v/>
      </c>
      <c r="O25" s="31">
        <f>IF(B25="","",SUM(C25:N25))</f>
        <v/>
      </c>
      <c r="P25" s="1" t="n"/>
    </row>
    <row r="26">
      <c r="A26" s="1" t="n"/>
      <c r="B26" s="11">
        <f>IF(Tools!B25="","",Tools!B25)</f>
        <v/>
      </c>
      <c r="C26" s="30">
        <f>IF(OR(Tools!$B25="",Tools!$Q25=""),"",IF(AND(((YEAR(DATE(YEAR(TODAY()),MONTH(TODAY())+0,1))-YEAR(Tools!$Q25))*12+MONTH(DATE(YEAR(TODAY()),MONTH(TODAY())+0,1))-MONTH(Tools!$Q25))&gt;=0,MOD(((YEAR(DATE(YEAR(TODAY()),MONTH(TODAY())+0,1))-YEAR(Tools!$Q25))*12+MONTH(DATE(YEAR(TODAY()),MONTH(TODAY())+0,1))-MONTH(Tools!$Q25)),Tools!$U25)=0,OR(Tools!$L25="",EDATE(Tools!$Q25,((YEAR(DATE(YEAR(TODAY()),MONTH(TODAY())+0,1))-YEAR(Tools!$Q25))*12+MONTH(DATE(YEAR(TODAY()),MONTH(TODAY())+0,1))-MONTH(Tools!$Q25)))&lt;Tools!$L25)),Tools!$N25,""))</f>
        <v/>
      </c>
      <c r="D26" s="30">
        <f>IF(OR(Tools!$B25="",Tools!$Q25=""),"",IF(AND(((YEAR(DATE(YEAR(TODAY()),MONTH(TODAY())+1,1))-YEAR(Tools!$Q25))*12+MONTH(DATE(YEAR(TODAY()),MONTH(TODAY())+1,1))-MONTH(Tools!$Q25))&gt;=0,MOD(((YEAR(DATE(YEAR(TODAY()),MONTH(TODAY())+1,1))-YEAR(Tools!$Q25))*12+MONTH(DATE(YEAR(TODAY()),MONTH(TODAY())+1,1))-MONTH(Tools!$Q25)),Tools!$U25)=0,OR(Tools!$L25="",EDATE(Tools!$Q25,((YEAR(DATE(YEAR(TODAY()),MONTH(TODAY())+1,1))-YEAR(Tools!$Q25))*12+MONTH(DATE(YEAR(TODAY()),MONTH(TODAY())+1,1))-MONTH(Tools!$Q25)))&lt;Tools!$L25)),Tools!$N25,""))</f>
        <v/>
      </c>
      <c r="E26" s="30">
        <f>IF(OR(Tools!$B25="",Tools!$Q25=""),"",IF(AND(((YEAR(DATE(YEAR(TODAY()),MONTH(TODAY())+2,1))-YEAR(Tools!$Q25))*12+MONTH(DATE(YEAR(TODAY()),MONTH(TODAY())+2,1))-MONTH(Tools!$Q25))&gt;=0,MOD(((YEAR(DATE(YEAR(TODAY()),MONTH(TODAY())+2,1))-YEAR(Tools!$Q25))*12+MONTH(DATE(YEAR(TODAY()),MONTH(TODAY())+2,1))-MONTH(Tools!$Q25)),Tools!$U25)=0,OR(Tools!$L25="",EDATE(Tools!$Q25,((YEAR(DATE(YEAR(TODAY()),MONTH(TODAY())+2,1))-YEAR(Tools!$Q25))*12+MONTH(DATE(YEAR(TODAY()),MONTH(TODAY())+2,1))-MONTH(Tools!$Q25)))&lt;Tools!$L25)),Tools!$N25,""))</f>
        <v/>
      </c>
      <c r="F26" s="30">
        <f>IF(OR(Tools!$B25="",Tools!$Q25=""),"",IF(AND(((YEAR(DATE(YEAR(TODAY()),MONTH(TODAY())+3,1))-YEAR(Tools!$Q25))*12+MONTH(DATE(YEAR(TODAY()),MONTH(TODAY())+3,1))-MONTH(Tools!$Q25))&gt;=0,MOD(((YEAR(DATE(YEAR(TODAY()),MONTH(TODAY())+3,1))-YEAR(Tools!$Q25))*12+MONTH(DATE(YEAR(TODAY()),MONTH(TODAY())+3,1))-MONTH(Tools!$Q25)),Tools!$U25)=0,OR(Tools!$L25="",EDATE(Tools!$Q25,((YEAR(DATE(YEAR(TODAY()),MONTH(TODAY())+3,1))-YEAR(Tools!$Q25))*12+MONTH(DATE(YEAR(TODAY()),MONTH(TODAY())+3,1))-MONTH(Tools!$Q25)))&lt;Tools!$L25)),Tools!$N25,""))</f>
        <v/>
      </c>
      <c r="G26" s="30">
        <f>IF(OR(Tools!$B25="",Tools!$Q25=""),"",IF(AND(((YEAR(DATE(YEAR(TODAY()),MONTH(TODAY())+4,1))-YEAR(Tools!$Q25))*12+MONTH(DATE(YEAR(TODAY()),MONTH(TODAY())+4,1))-MONTH(Tools!$Q25))&gt;=0,MOD(((YEAR(DATE(YEAR(TODAY()),MONTH(TODAY())+4,1))-YEAR(Tools!$Q25))*12+MONTH(DATE(YEAR(TODAY()),MONTH(TODAY())+4,1))-MONTH(Tools!$Q25)),Tools!$U25)=0,OR(Tools!$L25="",EDATE(Tools!$Q25,((YEAR(DATE(YEAR(TODAY()),MONTH(TODAY())+4,1))-YEAR(Tools!$Q25))*12+MONTH(DATE(YEAR(TODAY()),MONTH(TODAY())+4,1))-MONTH(Tools!$Q25)))&lt;Tools!$L25)),Tools!$N25,""))</f>
        <v/>
      </c>
      <c r="H26" s="30">
        <f>IF(OR(Tools!$B25="",Tools!$Q25=""),"",IF(AND(((YEAR(DATE(YEAR(TODAY()),MONTH(TODAY())+5,1))-YEAR(Tools!$Q25))*12+MONTH(DATE(YEAR(TODAY()),MONTH(TODAY())+5,1))-MONTH(Tools!$Q25))&gt;=0,MOD(((YEAR(DATE(YEAR(TODAY()),MONTH(TODAY())+5,1))-YEAR(Tools!$Q25))*12+MONTH(DATE(YEAR(TODAY()),MONTH(TODAY())+5,1))-MONTH(Tools!$Q25)),Tools!$U25)=0,OR(Tools!$L25="",EDATE(Tools!$Q25,((YEAR(DATE(YEAR(TODAY()),MONTH(TODAY())+5,1))-YEAR(Tools!$Q25))*12+MONTH(DATE(YEAR(TODAY()),MONTH(TODAY())+5,1))-MONTH(Tools!$Q25)))&lt;Tools!$L25)),Tools!$N25,""))</f>
        <v/>
      </c>
      <c r="I26" s="30">
        <f>IF(OR(Tools!$B25="",Tools!$Q25=""),"",IF(AND(((YEAR(DATE(YEAR(TODAY()),MONTH(TODAY())+6,1))-YEAR(Tools!$Q25))*12+MONTH(DATE(YEAR(TODAY()),MONTH(TODAY())+6,1))-MONTH(Tools!$Q25))&gt;=0,MOD(((YEAR(DATE(YEAR(TODAY()),MONTH(TODAY())+6,1))-YEAR(Tools!$Q25))*12+MONTH(DATE(YEAR(TODAY()),MONTH(TODAY())+6,1))-MONTH(Tools!$Q25)),Tools!$U25)=0,OR(Tools!$L25="",EDATE(Tools!$Q25,((YEAR(DATE(YEAR(TODAY()),MONTH(TODAY())+6,1))-YEAR(Tools!$Q25))*12+MONTH(DATE(YEAR(TODAY()),MONTH(TODAY())+6,1))-MONTH(Tools!$Q25)))&lt;Tools!$L25)),Tools!$N25,""))</f>
        <v/>
      </c>
      <c r="J26" s="30">
        <f>IF(OR(Tools!$B25="",Tools!$Q25=""),"",IF(AND(((YEAR(DATE(YEAR(TODAY()),MONTH(TODAY())+7,1))-YEAR(Tools!$Q25))*12+MONTH(DATE(YEAR(TODAY()),MONTH(TODAY())+7,1))-MONTH(Tools!$Q25))&gt;=0,MOD(((YEAR(DATE(YEAR(TODAY()),MONTH(TODAY())+7,1))-YEAR(Tools!$Q25))*12+MONTH(DATE(YEAR(TODAY()),MONTH(TODAY())+7,1))-MONTH(Tools!$Q25)),Tools!$U25)=0,OR(Tools!$L25="",EDATE(Tools!$Q25,((YEAR(DATE(YEAR(TODAY()),MONTH(TODAY())+7,1))-YEAR(Tools!$Q25))*12+MONTH(DATE(YEAR(TODAY()),MONTH(TODAY())+7,1))-MONTH(Tools!$Q25)))&lt;Tools!$L25)),Tools!$N25,""))</f>
        <v/>
      </c>
      <c r="K26" s="30">
        <f>IF(OR(Tools!$B25="",Tools!$Q25=""),"",IF(AND(((YEAR(DATE(YEAR(TODAY()),MONTH(TODAY())+8,1))-YEAR(Tools!$Q25))*12+MONTH(DATE(YEAR(TODAY()),MONTH(TODAY())+8,1))-MONTH(Tools!$Q25))&gt;=0,MOD(((YEAR(DATE(YEAR(TODAY()),MONTH(TODAY())+8,1))-YEAR(Tools!$Q25))*12+MONTH(DATE(YEAR(TODAY()),MONTH(TODAY())+8,1))-MONTH(Tools!$Q25)),Tools!$U25)=0,OR(Tools!$L25="",EDATE(Tools!$Q25,((YEAR(DATE(YEAR(TODAY()),MONTH(TODAY())+8,1))-YEAR(Tools!$Q25))*12+MONTH(DATE(YEAR(TODAY()),MONTH(TODAY())+8,1))-MONTH(Tools!$Q25)))&lt;Tools!$L25)),Tools!$N25,""))</f>
        <v/>
      </c>
      <c r="L26" s="30">
        <f>IF(OR(Tools!$B25="",Tools!$Q25=""),"",IF(AND(((YEAR(DATE(YEAR(TODAY()),MONTH(TODAY())+9,1))-YEAR(Tools!$Q25))*12+MONTH(DATE(YEAR(TODAY()),MONTH(TODAY())+9,1))-MONTH(Tools!$Q25))&gt;=0,MOD(((YEAR(DATE(YEAR(TODAY()),MONTH(TODAY())+9,1))-YEAR(Tools!$Q25))*12+MONTH(DATE(YEAR(TODAY()),MONTH(TODAY())+9,1))-MONTH(Tools!$Q25)),Tools!$U25)=0,OR(Tools!$L25="",EDATE(Tools!$Q25,((YEAR(DATE(YEAR(TODAY()),MONTH(TODAY())+9,1))-YEAR(Tools!$Q25))*12+MONTH(DATE(YEAR(TODAY()),MONTH(TODAY())+9,1))-MONTH(Tools!$Q25)))&lt;Tools!$L25)),Tools!$N25,""))</f>
        <v/>
      </c>
      <c r="M26" s="30">
        <f>IF(OR(Tools!$B25="",Tools!$Q25=""),"",IF(AND(((YEAR(DATE(YEAR(TODAY()),MONTH(TODAY())+10,1))-YEAR(Tools!$Q25))*12+MONTH(DATE(YEAR(TODAY()),MONTH(TODAY())+10,1))-MONTH(Tools!$Q25))&gt;=0,MOD(((YEAR(DATE(YEAR(TODAY()),MONTH(TODAY())+10,1))-YEAR(Tools!$Q25))*12+MONTH(DATE(YEAR(TODAY()),MONTH(TODAY())+10,1))-MONTH(Tools!$Q25)),Tools!$U25)=0,OR(Tools!$L25="",EDATE(Tools!$Q25,((YEAR(DATE(YEAR(TODAY()),MONTH(TODAY())+10,1))-YEAR(Tools!$Q25))*12+MONTH(DATE(YEAR(TODAY()),MONTH(TODAY())+10,1))-MONTH(Tools!$Q25)))&lt;Tools!$L25)),Tools!$N25,""))</f>
        <v/>
      </c>
      <c r="N26" s="30">
        <f>IF(OR(Tools!$B25="",Tools!$Q25=""),"",IF(AND(((YEAR(DATE(YEAR(TODAY()),MONTH(TODAY())+11,1))-YEAR(Tools!$Q25))*12+MONTH(DATE(YEAR(TODAY()),MONTH(TODAY())+11,1))-MONTH(Tools!$Q25))&gt;=0,MOD(((YEAR(DATE(YEAR(TODAY()),MONTH(TODAY())+11,1))-YEAR(Tools!$Q25))*12+MONTH(DATE(YEAR(TODAY()),MONTH(TODAY())+11,1))-MONTH(Tools!$Q25)),Tools!$U25)=0,OR(Tools!$L25="",EDATE(Tools!$Q25,((YEAR(DATE(YEAR(TODAY()),MONTH(TODAY())+11,1))-YEAR(Tools!$Q25))*12+MONTH(DATE(YEAR(TODAY()),MONTH(TODAY())+11,1))-MONTH(Tools!$Q25)))&lt;Tools!$L25)),Tools!$N25,""))</f>
        <v/>
      </c>
      <c r="O26" s="31">
        <f>IF(B26="","",SUM(C26:N26))</f>
        <v/>
      </c>
      <c r="P26" s="1" t="n"/>
    </row>
    <row r="27">
      <c r="A27" s="1" t="n"/>
      <c r="B27" s="11">
        <f>IF(Tools!B26="","",Tools!B26)</f>
        <v/>
      </c>
      <c r="C27" s="30">
        <f>IF(OR(Tools!$B26="",Tools!$Q26=""),"",IF(AND(((YEAR(DATE(YEAR(TODAY()),MONTH(TODAY())+0,1))-YEAR(Tools!$Q26))*12+MONTH(DATE(YEAR(TODAY()),MONTH(TODAY())+0,1))-MONTH(Tools!$Q26))&gt;=0,MOD(((YEAR(DATE(YEAR(TODAY()),MONTH(TODAY())+0,1))-YEAR(Tools!$Q26))*12+MONTH(DATE(YEAR(TODAY()),MONTH(TODAY())+0,1))-MONTH(Tools!$Q26)),Tools!$U26)=0,OR(Tools!$L26="",EDATE(Tools!$Q26,((YEAR(DATE(YEAR(TODAY()),MONTH(TODAY())+0,1))-YEAR(Tools!$Q26))*12+MONTH(DATE(YEAR(TODAY()),MONTH(TODAY())+0,1))-MONTH(Tools!$Q26)))&lt;Tools!$L26)),Tools!$N26,""))</f>
        <v/>
      </c>
      <c r="D27" s="30">
        <f>IF(OR(Tools!$B26="",Tools!$Q26=""),"",IF(AND(((YEAR(DATE(YEAR(TODAY()),MONTH(TODAY())+1,1))-YEAR(Tools!$Q26))*12+MONTH(DATE(YEAR(TODAY()),MONTH(TODAY())+1,1))-MONTH(Tools!$Q26))&gt;=0,MOD(((YEAR(DATE(YEAR(TODAY()),MONTH(TODAY())+1,1))-YEAR(Tools!$Q26))*12+MONTH(DATE(YEAR(TODAY()),MONTH(TODAY())+1,1))-MONTH(Tools!$Q26)),Tools!$U26)=0,OR(Tools!$L26="",EDATE(Tools!$Q26,((YEAR(DATE(YEAR(TODAY()),MONTH(TODAY())+1,1))-YEAR(Tools!$Q26))*12+MONTH(DATE(YEAR(TODAY()),MONTH(TODAY())+1,1))-MONTH(Tools!$Q26)))&lt;Tools!$L26)),Tools!$N26,""))</f>
        <v/>
      </c>
      <c r="E27" s="30">
        <f>IF(OR(Tools!$B26="",Tools!$Q26=""),"",IF(AND(((YEAR(DATE(YEAR(TODAY()),MONTH(TODAY())+2,1))-YEAR(Tools!$Q26))*12+MONTH(DATE(YEAR(TODAY()),MONTH(TODAY())+2,1))-MONTH(Tools!$Q26))&gt;=0,MOD(((YEAR(DATE(YEAR(TODAY()),MONTH(TODAY())+2,1))-YEAR(Tools!$Q26))*12+MONTH(DATE(YEAR(TODAY()),MONTH(TODAY())+2,1))-MONTH(Tools!$Q26)),Tools!$U26)=0,OR(Tools!$L26="",EDATE(Tools!$Q26,((YEAR(DATE(YEAR(TODAY()),MONTH(TODAY())+2,1))-YEAR(Tools!$Q26))*12+MONTH(DATE(YEAR(TODAY()),MONTH(TODAY())+2,1))-MONTH(Tools!$Q26)))&lt;Tools!$L26)),Tools!$N26,""))</f>
        <v/>
      </c>
      <c r="F27" s="30">
        <f>IF(OR(Tools!$B26="",Tools!$Q26=""),"",IF(AND(((YEAR(DATE(YEAR(TODAY()),MONTH(TODAY())+3,1))-YEAR(Tools!$Q26))*12+MONTH(DATE(YEAR(TODAY()),MONTH(TODAY())+3,1))-MONTH(Tools!$Q26))&gt;=0,MOD(((YEAR(DATE(YEAR(TODAY()),MONTH(TODAY())+3,1))-YEAR(Tools!$Q26))*12+MONTH(DATE(YEAR(TODAY()),MONTH(TODAY())+3,1))-MONTH(Tools!$Q26)),Tools!$U26)=0,OR(Tools!$L26="",EDATE(Tools!$Q26,((YEAR(DATE(YEAR(TODAY()),MONTH(TODAY())+3,1))-YEAR(Tools!$Q26))*12+MONTH(DATE(YEAR(TODAY()),MONTH(TODAY())+3,1))-MONTH(Tools!$Q26)))&lt;Tools!$L26)),Tools!$N26,""))</f>
        <v/>
      </c>
      <c r="G27" s="30">
        <f>IF(OR(Tools!$B26="",Tools!$Q26=""),"",IF(AND(((YEAR(DATE(YEAR(TODAY()),MONTH(TODAY())+4,1))-YEAR(Tools!$Q26))*12+MONTH(DATE(YEAR(TODAY()),MONTH(TODAY())+4,1))-MONTH(Tools!$Q26))&gt;=0,MOD(((YEAR(DATE(YEAR(TODAY()),MONTH(TODAY())+4,1))-YEAR(Tools!$Q26))*12+MONTH(DATE(YEAR(TODAY()),MONTH(TODAY())+4,1))-MONTH(Tools!$Q26)),Tools!$U26)=0,OR(Tools!$L26="",EDATE(Tools!$Q26,((YEAR(DATE(YEAR(TODAY()),MONTH(TODAY())+4,1))-YEAR(Tools!$Q26))*12+MONTH(DATE(YEAR(TODAY()),MONTH(TODAY())+4,1))-MONTH(Tools!$Q26)))&lt;Tools!$L26)),Tools!$N26,""))</f>
        <v/>
      </c>
      <c r="H27" s="30">
        <f>IF(OR(Tools!$B26="",Tools!$Q26=""),"",IF(AND(((YEAR(DATE(YEAR(TODAY()),MONTH(TODAY())+5,1))-YEAR(Tools!$Q26))*12+MONTH(DATE(YEAR(TODAY()),MONTH(TODAY())+5,1))-MONTH(Tools!$Q26))&gt;=0,MOD(((YEAR(DATE(YEAR(TODAY()),MONTH(TODAY())+5,1))-YEAR(Tools!$Q26))*12+MONTH(DATE(YEAR(TODAY()),MONTH(TODAY())+5,1))-MONTH(Tools!$Q26)),Tools!$U26)=0,OR(Tools!$L26="",EDATE(Tools!$Q26,((YEAR(DATE(YEAR(TODAY()),MONTH(TODAY())+5,1))-YEAR(Tools!$Q26))*12+MONTH(DATE(YEAR(TODAY()),MONTH(TODAY())+5,1))-MONTH(Tools!$Q26)))&lt;Tools!$L26)),Tools!$N26,""))</f>
        <v/>
      </c>
      <c r="I27" s="30">
        <f>IF(OR(Tools!$B26="",Tools!$Q26=""),"",IF(AND(((YEAR(DATE(YEAR(TODAY()),MONTH(TODAY())+6,1))-YEAR(Tools!$Q26))*12+MONTH(DATE(YEAR(TODAY()),MONTH(TODAY())+6,1))-MONTH(Tools!$Q26))&gt;=0,MOD(((YEAR(DATE(YEAR(TODAY()),MONTH(TODAY())+6,1))-YEAR(Tools!$Q26))*12+MONTH(DATE(YEAR(TODAY()),MONTH(TODAY())+6,1))-MONTH(Tools!$Q26)),Tools!$U26)=0,OR(Tools!$L26="",EDATE(Tools!$Q26,((YEAR(DATE(YEAR(TODAY()),MONTH(TODAY())+6,1))-YEAR(Tools!$Q26))*12+MONTH(DATE(YEAR(TODAY()),MONTH(TODAY())+6,1))-MONTH(Tools!$Q26)))&lt;Tools!$L26)),Tools!$N26,""))</f>
        <v/>
      </c>
      <c r="J27" s="30">
        <f>IF(OR(Tools!$B26="",Tools!$Q26=""),"",IF(AND(((YEAR(DATE(YEAR(TODAY()),MONTH(TODAY())+7,1))-YEAR(Tools!$Q26))*12+MONTH(DATE(YEAR(TODAY()),MONTH(TODAY())+7,1))-MONTH(Tools!$Q26))&gt;=0,MOD(((YEAR(DATE(YEAR(TODAY()),MONTH(TODAY())+7,1))-YEAR(Tools!$Q26))*12+MONTH(DATE(YEAR(TODAY()),MONTH(TODAY())+7,1))-MONTH(Tools!$Q26)),Tools!$U26)=0,OR(Tools!$L26="",EDATE(Tools!$Q26,((YEAR(DATE(YEAR(TODAY()),MONTH(TODAY())+7,1))-YEAR(Tools!$Q26))*12+MONTH(DATE(YEAR(TODAY()),MONTH(TODAY())+7,1))-MONTH(Tools!$Q26)))&lt;Tools!$L26)),Tools!$N26,""))</f>
        <v/>
      </c>
      <c r="K27" s="30">
        <f>IF(OR(Tools!$B26="",Tools!$Q26=""),"",IF(AND(((YEAR(DATE(YEAR(TODAY()),MONTH(TODAY())+8,1))-YEAR(Tools!$Q26))*12+MONTH(DATE(YEAR(TODAY()),MONTH(TODAY())+8,1))-MONTH(Tools!$Q26))&gt;=0,MOD(((YEAR(DATE(YEAR(TODAY()),MONTH(TODAY())+8,1))-YEAR(Tools!$Q26))*12+MONTH(DATE(YEAR(TODAY()),MONTH(TODAY())+8,1))-MONTH(Tools!$Q26)),Tools!$U26)=0,OR(Tools!$L26="",EDATE(Tools!$Q26,((YEAR(DATE(YEAR(TODAY()),MONTH(TODAY())+8,1))-YEAR(Tools!$Q26))*12+MONTH(DATE(YEAR(TODAY()),MONTH(TODAY())+8,1))-MONTH(Tools!$Q26)))&lt;Tools!$L26)),Tools!$N26,""))</f>
        <v/>
      </c>
      <c r="L27" s="30">
        <f>IF(OR(Tools!$B26="",Tools!$Q26=""),"",IF(AND(((YEAR(DATE(YEAR(TODAY()),MONTH(TODAY())+9,1))-YEAR(Tools!$Q26))*12+MONTH(DATE(YEAR(TODAY()),MONTH(TODAY())+9,1))-MONTH(Tools!$Q26))&gt;=0,MOD(((YEAR(DATE(YEAR(TODAY()),MONTH(TODAY())+9,1))-YEAR(Tools!$Q26))*12+MONTH(DATE(YEAR(TODAY()),MONTH(TODAY())+9,1))-MONTH(Tools!$Q26)),Tools!$U26)=0,OR(Tools!$L26="",EDATE(Tools!$Q26,((YEAR(DATE(YEAR(TODAY()),MONTH(TODAY())+9,1))-YEAR(Tools!$Q26))*12+MONTH(DATE(YEAR(TODAY()),MONTH(TODAY())+9,1))-MONTH(Tools!$Q26)))&lt;Tools!$L26)),Tools!$N26,""))</f>
        <v/>
      </c>
      <c r="M27" s="30">
        <f>IF(OR(Tools!$B26="",Tools!$Q26=""),"",IF(AND(((YEAR(DATE(YEAR(TODAY()),MONTH(TODAY())+10,1))-YEAR(Tools!$Q26))*12+MONTH(DATE(YEAR(TODAY()),MONTH(TODAY())+10,1))-MONTH(Tools!$Q26))&gt;=0,MOD(((YEAR(DATE(YEAR(TODAY()),MONTH(TODAY())+10,1))-YEAR(Tools!$Q26))*12+MONTH(DATE(YEAR(TODAY()),MONTH(TODAY())+10,1))-MONTH(Tools!$Q26)),Tools!$U26)=0,OR(Tools!$L26="",EDATE(Tools!$Q26,((YEAR(DATE(YEAR(TODAY()),MONTH(TODAY())+10,1))-YEAR(Tools!$Q26))*12+MONTH(DATE(YEAR(TODAY()),MONTH(TODAY())+10,1))-MONTH(Tools!$Q26)))&lt;Tools!$L26)),Tools!$N26,""))</f>
        <v/>
      </c>
      <c r="N27" s="30">
        <f>IF(OR(Tools!$B26="",Tools!$Q26=""),"",IF(AND(((YEAR(DATE(YEAR(TODAY()),MONTH(TODAY())+11,1))-YEAR(Tools!$Q26))*12+MONTH(DATE(YEAR(TODAY()),MONTH(TODAY())+11,1))-MONTH(Tools!$Q26))&gt;=0,MOD(((YEAR(DATE(YEAR(TODAY()),MONTH(TODAY())+11,1))-YEAR(Tools!$Q26))*12+MONTH(DATE(YEAR(TODAY()),MONTH(TODAY())+11,1))-MONTH(Tools!$Q26)),Tools!$U26)=0,OR(Tools!$L26="",EDATE(Tools!$Q26,((YEAR(DATE(YEAR(TODAY()),MONTH(TODAY())+11,1))-YEAR(Tools!$Q26))*12+MONTH(DATE(YEAR(TODAY()),MONTH(TODAY())+11,1))-MONTH(Tools!$Q26)))&lt;Tools!$L26)),Tools!$N26,""))</f>
        <v/>
      </c>
      <c r="O27" s="31">
        <f>IF(B27="","",SUM(C27:N27))</f>
        <v/>
      </c>
      <c r="P27" s="1" t="n"/>
    </row>
    <row r="28">
      <c r="A28" s="1" t="n"/>
      <c r="B28" s="11">
        <f>IF(Tools!B27="","",Tools!B27)</f>
        <v/>
      </c>
      <c r="C28" s="30">
        <f>IF(OR(Tools!$B27="",Tools!$Q27=""),"",IF(AND(((YEAR(DATE(YEAR(TODAY()),MONTH(TODAY())+0,1))-YEAR(Tools!$Q27))*12+MONTH(DATE(YEAR(TODAY()),MONTH(TODAY())+0,1))-MONTH(Tools!$Q27))&gt;=0,MOD(((YEAR(DATE(YEAR(TODAY()),MONTH(TODAY())+0,1))-YEAR(Tools!$Q27))*12+MONTH(DATE(YEAR(TODAY()),MONTH(TODAY())+0,1))-MONTH(Tools!$Q27)),Tools!$U27)=0,OR(Tools!$L27="",EDATE(Tools!$Q27,((YEAR(DATE(YEAR(TODAY()),MONTH(TODAY())+0,1))-YEAR(Tools!$Q27))*12+MONTH(DATE(YEAR(TODAY()),MONTH(TODAY())+0,1))-MONTH(Tools!$Q27)))&lt;Tools!$L27)),Tools!$N27,""))</f>
        <v/>
      </c>
      <c r="D28" s="30">
        <f>IF(OR(Tools!$B27="",Tools!$Q27=""),"",IF(AND(((YEAR(DATE(YEAR(TODAY()),MONTH(TODAY())+1,1))-YEAR(Tools!$Q27))*12+MONTH(DATE(YEAR(TODAY()),MONTH(TODAY())+1,1))-MONTH(Tools!$Q27))&gt;=0,MOD(((YEAR(DATE(YEAR(TODAY()),MONTH(TODAY())+1,1))-YEAR(Tools!$Q27))*12+MONTH(DATE(YEAR(TODAY()),MONTH(TODAY())+1,1))-MONTH(Tools!$Q27)),Tools!$U27)=0,OR(Tools!$L27="",EDATE(Tools!$Q27,((YEAR(DATE(YEAR(TODAY()),MONTH(TODAY())+1,1))-YEAR(Tools!$Q27))*12+MONTH(DATE(YEAR(TODAY()),MONTH(TODAY())+1,1))-MONTH(Tools!$Q27)))&lt;Tools!$L27)),Tools!$N27,""))</f>
        <v/>
      </c>
      <c r="E28" s="30">
        <f>IF(OR(Tools!$B27="",Tools!$Q27=""),"",IF(AND(((YEAR(DATE(YEAR(TODAY()),MONTH(TODAY())+2,1))-YEAR(Tools!$Q27))*12+MONTH(DATE(YEAR(TODAY()),MONTH(TODAY())+2,1))-MONTH(Tools!$Q27))&gt;=0,MOD(((YEAR(DATE(YEAR(TODAY()),MONTH(TODAY())+2,1))-YEAR(Tools!$Q27))*12+MONTH(DATE(YEAR(TODAY()),MONTH(TODAY())+2,1))-MONTH(Tools!$Q27)),Tools!$U27)=0,OR(Tools!$L27="",EDATE(Tools!$Q27,((YEAR(DATE(YEAR(TODAY()),MONTH(TODAY())+2,1))-YEAR(Tools!$Q27))*12+MONTH(DATE(YEAR(TODAY()),MONTH(TODAY())+2,1))-MONTH(Tools!$Q27)))&lt;Tools!$L27)),Tools!$N27,""))</f>
        <v/>
      </c>
      <c r="F28" s="30">
        <f>IF(OR(Tools!$B27="",Tools!$Q27=""),"",IF(AND(((YEAR(DATE(YEAR(TODAY()),MONTH(TODAY())+3,1))-YEAR(Tools!$Q27))*12+MONTH(DATE(YEAR(TODAY()),MONTH(TODAY())+3,1))-MONTH(Tools!$Q27))&gt;=0,MOD(((YEAR(DATE(YEAR(TODAY()),MONTH(TODAY())+3,1))-YEAR(Tools!$Q27))*12+MONTH(DATE(YEAR(TODAY()),MONTH(TODAY())+3,1))-MONTH(Tools!$Q27)),Tools!$U27)=0,OR(Tools!$L27="",EDATE(Tools!$Q27,((YEAR(DATE(YEAR(TODAY()),MONTH(TODAY())+3,1))-YEAR(Tools!$Q27))*12+MONTH(DATE(YEAR(TODAY()),MONTH(TODAY())+3,1))-MONTH(Tools!$Q27)))&lt;Tools!$L27)),Tools!$N27,""))</f>
        <v/>
      </c>
      <c r="G28" s="30">
        <f>IF(OR(Tools!$B27="",Tools!$Q27=""),"",IF(AND(((YEAR(DATE(YEAR(TODAY()),MONTH(TODAY())+4,1))-YEAR(Tools!$Q27))*12+MONTH(DATE(YEAR(TODAY()),MONTH(TODAY())+4,1))-MONTH(Tools!$Q27))&gt;=0,MOD(((YEAR(DATE(YEAR(TODAY()),MONTH(TODAY())+4,1))-YEAR(Tools!$Q27))*12+MONTH(DATE(YEAR(TODAY()),MONTH(TODAY())+4,1))-MONTH(Tools!$Q27)),Tools!$U27)=0,OR(Tools!$L27="",EDATE(Tools!$Q27,((YEAR(DATE(YEAR(TODAY()),MONTH(TODAY())+4,1))-YEAR(Tools!$Q27))*12+MONTH(DATE(YEAR(TODAY()),MONTH(TODAY())+4,1))-MONTH(Tools!$Q27)))&lt;Tools!$L27)),Tools!$N27,""))</f>
        <v/>
      </c>
      <c r="H28" s="30">
        <f>IF(OR(Tools!$B27="",Tools!$Q27=""),"",IF(AND(((YEAR(DATE(YEAR(TODAY()),MONTH(TODAY())+5,1))-YEAR(Tools!$Q27))*12+MONTH(DATE(YEAR(TODAY()),MONTH(TODAY())+5,1))-MONTH(Tools!$Q27))&gt;=0,MOD(((YEAR(DATE(YEAR(TODAY()),MONTH(TODAY())+5,1))-YEAR(Tools!$Q27))*12+MONTH(DATE(YEAR(TODAY()),MONTH(TODAY())+5,1))-MONTH(Tools!$Q27)),Tools!$U27)=0,OR(Tools!$L27="",EDATE(Tools!$Q27,((YEAR(DATE(YEAR(TODAY()),MONTH(TODAY())+5,1))-YEAR(Tools!$Q27))*12+MONTH(DATE(YEAR(TODAY()),MONTH(TODAY())+5,1))-MONTH(Tools!$Q27)))&lt;Tools!$L27)),Tools!$N27,""))</f>
        <v/>
      </c>
      <c r="I28" s="30">
        <f>IF(OR(Tools!$B27="",Tools!$Q27=""),"",IF(AND(((YEAR(DATE(YEAR(TODAY()),MONTH(TODAY())+6,1))-YEAR(Tools!$Q27))*12+MONTH(DATE(YEAR(TODAY()),MONTH(TODAY())+6,1))-MONTH(Tools!$Q27))&gt;=0,MOD(((YEAR(DATE(YEAR(TODAY()),MONTH(TODAY())+6,1))-YEAR(Tools!$Q27))*12+MONTH(DATE(YEAR(TODAY()),MONTH(TODAY())+6,1))-MONTH(Tools!$Q27)),Tools!$U27)=0,OR(Tools!$L27="",EDATE(Tools!$Q27,((YEAR(DATE(YEAR(TODAY()),MONTH(TODAY())+6,1))-YEAR(Tools!$Q27))*12+MONTH(DATE(YEAR(TODAY()),MONTH(TODAY())+6,1))-MONTH(Tools!$Q27)))&lt;Tools!$L27)),Tools!$N27,""))</f>
        <v/>
      </c>
      <c r="J28" s="30">
        <f>IF(OR(Tools!$B27="",Tools!$Q27=""),"",IF(AND(((YEAR(DATE(YEAR(TODAY()),MONTH(TODAY())+7,1))-YEAR(Tools!$Q27))*12+MONTH(DATE(YEAR(TODAY()),MONTH(TODAY())+7,1))-MONTH(Tools!$Q27))&gt;=0,MOD(((YEAR(DATE(YEAR(TODAY()),MONTH(TODAY())+7,1))-YEAR(Tools!$Q27))*12+MONTH(DATE(YEAR(TODAY()),MONTH(TODAY())+7,1))-MONTH(Tools!$Q27)),Tools!$U27)=0,OR(Tools!$L27="",EDATE(Tools!$Q27,((YEAR(DATE(YEAR(TODAY()),MONTH(TODAY())+7,1))-YEAR(Tools!$Q27))*12+MONTH(DATE(YEAR(TODAY()),MONTH(TODAY())+7,1))-MONTH(Tools!$Q27)))&lt;Tools!$L27)),Tools!$N27,""))</f>
        <v/>
      </c>
      <c r="K28" s="30">
        <f>IF(OR(Tools!$B27="",Tools!$Q27=""),"",IF(AND(((YEAR(DATE(YEAR(TODAY()),MONTH(TODAY())+8,1))-YEAR(Tools!$Q27))*12+MONTH(DATE(YEAR(TODAY()),MONTH(TODAY())+8,1))-MONTH(Tools!$Q27))&gt;=0,MOD(((YEAR(DATE(YEAR(TODAY()),MONTH(TODAY())+8,1))-YEAR(Tools!$Q27))*12+MONTH(DATE(YEAR(TODAY()),MONTH(TODAY())+8,1))-MONTH(Tools!$Q27)),Tools!$U27)=0,OR(Tools!$L27="",EDATE(Tools!$Q27,((YEAR(DATE(YEAR(TODAY()),MONTH(TODAY())+8,1))-YEAR(Tools!$Q27))*12+MONTH(DATE(YEAR(TODAY()),MONTH(TODAY())+8,1))-MONTH(Tools!$Q27)))&lt;Tools!$L27)),Tools!$N27,""))</f>
        <v/>
      </c>
      <c r="L28" s="30">
        <f>IF(OR(Tools!$B27="",Tools!$Q27=""),"",IF(AND(((YEAR(DATE(YEAR(TODAY()),MONTH(TODAY())+9,1))-YEAR(Tools!$Q27))*12+MONTH(DATE(YEAR(TODAY()),MONTH(TODAY())+9,1))-MONTH(Tools!$Q27))&gt;=0,MOD(((YEAR(DATE(YEAR(TODAY()),MONTH(TODAY())+9,1))-YEAR(Tools!$Q27))*12+MONTH(DATE(YEAR(TODAY()),MONTH(TODAY())+9,1))-MONTH(Tools!$Q27)),Tools!$U27)=0,OR(Tools!$L27="",EDATE(Tools!$Q27,((YEAR(DATE(YEAR(TODAY()),MONTH(TODAY())+9,1))-YEAR(Tools!$Q27))*12+MONTH(DATE(YEAR(TODAY()),MONTH(TODAY())+9,1))-MONTH(Tools!$Q27)))&lt;Tools!$L27)),Tools!$N27,""))</f>
        <v/>
      </c>
      <c r="M28" s="30">
        <f>IF(OR(Tools!$B27="",Tools!$Q27=""),"",IF(AND(((YEAR(DATE(YEAR(TODAY()),MONTH(TODAY())+10,1))-YEAR(Tools!$Q27))*12+MONTH(DATE(YEAR(TODAY()),MONTH(TODAY())+10,1))-MONTH(Tools!$Q27))&gt;=0,MOD(((YEAR(DATE(YEAR(TODAY()),MONTH(TODAY())+10,1))-YEAR(Tools!$Q27))*12+MONTH(DATE(YEAR(TODAY()),MONTH(TODAY())+10,1))-MONTH(Tools!$Q27)),Tools!$U27)=0,OR(Tools!$L27="",EDATE(Tools!$Q27,((YEAR(DATE(YEAR(TODAY()),MONTH(TODAY())+10,1))-YEAR(Tools!$Q27))*12+MONTH(DATE(YEAR(TODAY()),MONTH(TODAY())+10,1))-MONTH(Tools!$Q27)))&lt;Tools!$L27)),Tools!$N27,""))</f>
        <v/>
      </c>
      <c r="N28" s="30">
        <f>IF(OR(Tools!$B27="",Tools!$Q27=""),"",IF(AND(((YEAR(DATE(YEAR(TODAY()),MONTH(TODAY())+11,1))-YEAR(Tools!$Q27))*12+MONTH(DATE(YEAR(TODAY()),MONTH(TODAY())+11,1))-MONTH(Tools!$Q27))&gt;=0,MOD(((YEAR(DATE(YEAR(TODAY()),MONTH(TODAY())+11,1))-YEAR(Tools!$Q27))*12+MONTH(DATE(YEAR(TODAY()),MONTH(TODAY())+11,1))-MONTH(Tools!$Q27)),Tools!$U27)=0,OR(Tools!$L27="",EDATE(Tools!$Q27,((YEAR(DATE(YEAR(TODAY()),MONTH(TODAY())+11,1))-YEAR(Tools!$Q27))*12+MONTH(DATE(YEAR(TODAY()),MONTH(TODAY())+11,1))-MONTH(Tools!$Q27)))&lt;Tools!$L27)),Tools!$N27,""))</f>
        <v/>
      </c>
      <c r="O28" s="31">
        <f>IF(B28="","",SUM(C28:N28))</f>
        <v/>
      </c>
      <c r="P28" s="1" t="n"/>
    </row>
    <row r="29">
      <c r="A29" s="1" t="n"/>
      <c r="B29" s="11">
        <f>IF(Tools!B28="","",Tools!B28)</f>
        <v/>
      </c>
      <c r="C29" s="30">
        <f>IF(OR(Tools!$B28="",Tools!$Q28=""),"",IF(AND(((YEAR(DATE(YEAR(TODAY()),MONTH(TODAY())+0,1))-YEAR(Tools!$Q28))*12+MONTH(DATE(YEAR(TODAY()),MONTH(TODAY())+0,1))-MONTH(Tools!$Q28))&gt;=0,MOD(((YEAR(DATE(YEAR(TODAY()),MONTH(TODAY())+0,1))-YEAR(Tools!$Q28))*12+MONTH(DATE(YEAR(TODAY()),MONTH(TODAY())+0,1))-MONTH(Tools!$Q28)),Tools!$U28)=0,OR(Tools!$L28="",EDATE(Tools!$Q28,((YEAR(DATE(YEAR(TODAY()),MONTH(TODAY())+0,1))-YEAR(Tools!$Q28))*12+MONTH(DATE(YEAR(TODAY()),MONTH(TODAY())+0,1))-MONTH(Tools!$Q28)))&lt;Tools!$L28)),Tools!$N28,""))</f>
        <v/>
      </c>
      <c r="D29" s="30">
        <f>IF(OR(Tools!$B28="",Tools!$Q28=""),"",IF(AND(((YEAR(DATE(YEAR(TODAY()),MONTH(TODAY())+1,1))-YEAR(Tools!$Q28))*12+MONTH(DATE(YEAR(TODAY()),MONTH(TODAY())+1,1))-MONTH(Tools!$Q28))&gt;=0,MOD(((YEAR(DATE(YEAR(TODAY()),MONTH(TODAY())+1,1))-YEAR(Tools!$Q28))*12+MONTH(DATE(YEAR(TODAY()),MONTH(TODAY())+1,1))-MONTH(Tools!$Q28)),Tools!$U28)=0,OR(Tools!$L28="",EDATE(Tools!$Q28,((YEAR(DATE(YEAR(TODAY()),MONTH(TODAY())+1,1))-YEAR(Tools!$Q28))*12+MONTH(DATE(YEAR(TODAY()),MONTH(TODAY())+1,1))-MONTH(Tools!$Q28)))&lt;Tools!$L28)),Tools!$N28,""))</f>
        <v/>
      </c>
      <c r="E29" s="30">
        <f>IF(OR(Tools!$B28="",Tools!$Q28=""),"",IF(AND(((YEAR(DATE(YEAR(TODAY()),MONTH(TODAY())+2,1))-YEAR(Tools!$Q28))*12+MONTH(DATE(YEAR(TODAY()),MONTH(TODAY())+2,1))-MONTH(Tools!$Q28))&gt;=0,MOD(((YEAR(DATE(YEAR(TODAY()),MONTH(TODAY())+2,1))-YEAR(Tools!$Q28))*12+MONTH(DATE(YEAR(TODAY()),MONTH(TODAY())+2,1))-MONTH(Tools!$Q28)),Tools!$U28)=0,OR(Tools!$L28="",EDATE(Tools!$Q28,((YEAR(DATE(YEAR(TODAY()),MONTH(TODAY())+2,1))-YEAR(Tools!$Q28))*12+MONTH(DATE(YEAR(TODAY()),MONTH(TODAY())+2,1))-MONTH(Tools!$Q28)))&lt;Tools!$L28)),Tools!$N28,""))</f>
        <v/>
      </c>
      <c r="F29" s="30">
        <f>IF(OR(Tools!$B28="",Tools!$Q28=""),"",IF(AND(((YEAR(DATE(YEAR(TODAY()),MONTH(TODAY())+3,1))-YEAR(Tools!$Q28))*12+MONTH(DATE(YEAR(TODAY()),MONTH(TODAY())+3,1))-MONTH(Tools!$Q28))&gt;=0,MOD(((YEAR(DATE(YEAR(TODAY()),MONTH(TODAY())+3,1))-YEAR(Tools!$Q28))*12+MONTH(DATE(YEAR(TODAY()),MONTH(TODAY())+3,1))-MONTH(Tools!$Q28)),Tools!$U28)=0,OR(Tools!$L28="",EDATE(Tools!$Q28,((YEAR(DATE(YEAR(TODAY()),MONTH(TODAY())+3,1))-YEAR(Tools!$Q28))*12+MONTH(DATE(YEAR(TODAY()),MONTH(TODAY())+3,1))-MONTH(Tools!$Q28)))&lt;Tools!$L28)),Tools!$N28,""))</f>
        <v/>
      </c>
      <c r="G29" s="30">
        <f>IF(OR(Tools!$B28="",Tools!$Q28=""),"",IF(AND(((YEAR(DATE(YEAR(TODAY()),MONTH(TODAY())+4,1))-YEAR(Tools!$Q28))*12+MONTH(DATE(YEAR(TODAY()),MONTH(TODAY())+4,1))-MONTH(Tools!$Q28))&gt;=0,MOD(((YEAR(DATE(YEAR(TODAY()),MONTH(TODAY())+4,1))-YEAR(Tools!$Q28))*12+MONTH(DATE(YEAR(TODAY()),MONTH(TODAY())+4,1))-MONTH(Tools!$Q28)),Tools!$U28)=0,OR(Tools!$L28="",EDATE(Tools!$Q28,((YEAR(DATE(YEAR(TODAY()),MONTH(TODAY())+4,1))-YEAR(Tools!$Q28))*12+MONTH(DATE(YEAR(TODAY()),MONTH(TODAY())+4,1))-MONTH(Tools!$Q28)))&lt;Tools!$L28)),Tools!$N28,""))</f>
        <v/>
      </c>
      <c r="H29" s="30">
        <f>IF(OR(Tools!$B28="",Tools!$Q28=""),"",IF(AND(((YEAR(DATE(YEAR(TODAY()),MONTH(TODAY())+5,1))-YEAR(Tools!$Q28))*12+MONTH(DATE(YEAR(TODAY()),MONTH(TODAY())+5,1))-MONTH(Tools!$Q28))&gt;=0,MOD(((YEAR(DATE(YEAR(TODAY()),MONTH(TODAY())+5,1))-YEAR(Tools!$Q28))*12+MONTH(DATE(YEAR(TODAY()),MONTH(TODAY())+5,1))-MONTH(Tools!$Q28)),Tools!$U28)=0,OR(Tools!$L28="",EDATE(Tools!$Q28,((YEAR(DATE(YEAR(TODAY()),MONTH(TODAY())+5,1))-YEAR(Tools!$Q28))*12+MONTH(DATE(YEAR(TODAY()),MONTH(TODAY())+5,1))-MONTH(Tools!$Q28)))&lt;Tools!$L28)),Tools!$N28,""))</f>
        <v/>
      </c>
      <c r="I29" s="30">
        <f>IF(OR(Tools!$B28="",Tools!$Q28=""),"",IF(AND(((YEAR(DATE(YEAR(TODAY()),MONTH(TODAY())+6,1))-YEAR(Tools!$Q28))*12+MONTH(DATE(YEAR(TODAY()),MONTH(TODAY())+6,1))-MONTH(Tools!$Q28))&gt;=0,MOD(((YEAR(DATE(YEAR(TODAY()),MONTH(TODAY())+6,1))-YEAR(Tools!$Q28))*12+MONTH(DATE(YEAR(TODAY()),MONTH(TODAY())+6,1))-MONTH(Tools!$Q28)),Tools!$U28)=0,OR(Tools!$L28="",EDATE(Tools!$Q28,((YEAR(DATE(YEAR(TODAY()),MONTH(TODAY())+6,1))-YEAR(Tools!$Q28))*12+MONTH(DATE(YEAR(TODAY()),MONTH(TODAY())+6,1))-MONTH(Tools!$Q28)))&lt;Tools!$L28)),Tools!$N28,""))</f>
        <v/>
      </c>
      <c r="J29" s="30">
        <f>IF(OR(Tools!$B28="",Tools!$Q28=""),"",IF(AND(((YEAR(DATE(YEAR(TODAY()),MONTH(TODAY())+7,1))-YEAR(Tools!$Q28))*12+MONTH(DATE(YEAR(TODAY()),MONTH(TODAY())+7,1))-MONTH(Tools!$Q28))&gt;=0,MOD(((YEAR(DATE(YEAR(TODAY()),MONTH(TODAY())+7,1))-YEAR(Tools!$Q28))*12+MONTH(DATE(YEAR(TODAY()),MONTH(TODAY())+7,1))-MONTH(Tools!$Q28)),Tools!$U28)=0,OR(Tools!$L28="",EDATE(Tools!$Q28,((YEAR(DATE(YEAR(TODAY()),MONTH(TODAY())+7,1))-YEAR(Tools!$Q28))*12+MONTH(DATE(YEAR(TODAY()),MONTH(TODAY())+7,1))-MONTH(Tools!$Q28)))&lt;Tools!$L28)),Tools!$N28,""))</f>
        <v/>
      </c>
      <c r="K29" s="30">
        <f>IF(OR(Tools!$B28="",Tools!$Q28=""),"",IF(AND(((YEAR(DATE(YEAR(TODAY()),MONTH(TODAY())+8,1))-YEAR(Tools!$Q28))*12+MONTH(DATE(YEAR(TODAY()),MONTH(TODAY())+8,1))-MONTH(Tools!$Q28))&gt;=0,MOD(((YEAR(DATE(YEAR(TODAY()),MONTH(TODAY())+8,1))-YEAR(Tools!$Q28))*12+MONTH(DATE(YEAR(TODAY()),MONTH(TODAY())+8,1))-MONTH(Tools!$Q28)),Tools!$U28)=0,OR(Tools!$L28="",EDATE(Tools!$Q28,((YEAR(DATE(YEAR(TODAY()),MONTH(TODAY())+8,1))-YEAR(Tools!$Q28))*12+MONTH(DATE(YEAR(TODAY()),MONTH(TODAY())+8,1))-MONTH(Tools!$Q28)))&lt;Tools!$L28)),Tools!$N28,""))</f>
        <v/>
      </c>
      <c r="L29" s="30">
        <f>IF(OR(Tools!$B28="",Tools!$Q28=""),"",IF(AND(((YEAR(DATE(YEAR(TODAY()),MONTH(TODAY())+9,1))-YEAR(Tools!$Q28))*12+MONTH(DATE(YEAR(TODAY()),MONTH(TODAY())+9,1))-MONTH(Tools!$Q28))&gt;=0,MOD(((YEAR(DATE(YEAR(TODAY()),MONTH(TODAY())+9,1))-YEAR(Tools!$Q28))*12+MONTH(DATE(YEAR(TODAY()),MONTH(TODAY())+9,1))-MONTH(Tools!$Q28)),Tools!$U28)=0,OR(Tools!$L28="",EDATE(Tools!$Q28,((YEAR(DATE(YEAR(TODAY()),MONTH(TODAY())+9,1))-YEAR(Tools!$Q28))*12+MONTH(DATE(YEAR(TODAY()),MONTH(TODAY())+9,1))-MONTH(Tools!$Q28)))&lt;Tools!$L28)),Tools!$N28,""))</f>
        <v/>
      </c>
      <c r="M29" s="30">
        <f>IF(OR(Tools!$B28="",Tools!$Q28=""),"",IF(AND(((YEAR(DATE(YEAR(TODAY()),MONTH(TODAY())+10,1))-YEAR(Tools!$Q28))*12+MONTH(DATE(YEAR(TODAY()),MONTH(TODAY())+10,1))-MONTH(Tools!$Q28))&gt;=0,MOD(((YEAR(DATE(YEAR(TODAY()),MONTH(TODAY())+10,1))-YEAR(Tools!$Q28))*12+MONTH(DATE(YEAR(TODAY()),MONTH(TODAY())+10,1))-MONTH(Tools!$Q28)),Tools!$U28)=0,OR(Tools!$L28="",EDATE(Tools!$Q28,((YEAR(DATE(YEAR(TODAY()),MONTH(TODAY())+10,1))-YEAR(Tools!$Q28))*12+MONTH(DATE(YEAR(TODAY()),MONTH(TODAY())+10,1))-MONTH(Tools!$Q28)))&lt;Tools!$L28)),Tools!$N28,""))</f>
        <v/>
      </c>
      <c r="N29" s="30">
        <f>IF(OR(Tools!$B28="",Tools!$Q28=""),"",IF(AND(((YEAR(DATE(YEAR(TODAY()),MONTH(TODAY())+11,1))-YEAR(Tools!$Q28))*12+MONTH(DATE(YEAR(TODAY()),MONTH(TODAY())+11,1))-MONTH(Tools!$Q28))&gt;=0,MOD(((YEAR(DATE(YEAR(TODAY()),MONTH(TODAY())+11,1))-YEAR(Tools!$Q28))*12+MONTH(DATE(YEAR(TODAY()),MONTH(TODAY())+11,1))-MONTH(Tools!$Q28)),Tools!$U28)=0,OR(Tools!$L28="",EDATE(Tools!$Q28,((YEAR(DATE(YEAR(TODAY()),MONTH(TODAY())+11,1))-YEAR(Tools!$Q28))*12+MONTH(DATE(YEAR(TODAY()),MONTH(TODAY())+11,1))-MONTH(Tools!$Q28)))&lt;Tools!$L28)),Tools!$N28,""))</f>
        <v/>
      </c>
      <c r="O29" s="31">
        <f>IF(B29="","",SUM(C29:N29))</f>
        <v/>
      </c>
      <c r="P29" s="1" t="n"/>
    </row>
    <row r="30">
      <c r="A30" s="1" t="n"/>
      <c r="B30" s="11">
        <f>IF(Tools!B29="","",Tools!B29)</f>
        <v/>
      </c>
      <c r="C30" s="30">
        <f>IF(OR(Tools!$B29="",Tools!$Q29=""),"",IF(AND(((YEAR(DATE(YEAR(TODAY()),MONTH(TODAY())+0,1))-YEAR(Tools!$Q29))*12+MONTH(DATE(YEAR(TODAY()),MONTH(TODAY())+0,1))-MONTH(Tools!$Q29))&gt;=0,MOD(((YEAR(DATE(YEAR(TODAY()),MONTH(TODAY())+0,1))-YEAR(Tools!$Q29))*12+MONTH(DATE(YEAR(TODAY()),MONTH(TODAY())+0,1))-MONTH(Tools!$Q29)),Tools!$U29)=0,OR(Tools!$L29="",EDATE(Tools!$Q29,((YEAR(DATE(YEAR(TODAY()),MONTH(TODAY())+0,1))-YEAR(Tools!$Q29))*12+MONTH(DATE(YEAR(TODAY()),MONTH(TODAY())+0,1))-MONTH(Tools!$Q29)))&lt;Tools!$L29)),Tools!$N29,""))</f>
        <v/>
      </c>
      <c r="D30" s="30">
        <f>IF(OR(Tools!$B29="",Tools!$Q29=""),"",IF(AND(((YEAR(DATE(YEAR(TODAY()),MONTH(TODAY())+1,1))-YEAR(Tools!$Q29))*12+MONTH(DATE(YEAR(TODAY()),MONTH(TODAY())+1,1))-MONTH(Tools!$Q29))&gt;=0,MOD(((YEAR(DATE(YEAR(TODAY()),MONTH(TODAY())+1,1))-YEAR(Tools!$Q29))*12+MONTH(DATE(YEAR(TODAY()),MONTH(TODAY())+1,1))-MONTH(Tools!$Q29)),Tools!$U29)=0,OR(Tools!$L29="",EDATE(Tools!$Q29,((YEAR(DATE(YEAR(TODAY()),MONTH(TODAY())+1,1))-YEAR(Tools!$Q29))*12+MONTH(DATE(YEAR(TODAY()),MONTH(TODAY())+1,1))-MONTH(Tools!$Q29)))&lt;Tools!$L29)),Tools!$N29,""))</f>
        <v/>
      </c>
      <c r="E30" s="30">
        <f>IF(OR(Tools!$B29="",Tools!$Q29=""),"",IF(AND(((YEAR(DATE(YEAR(TODAY()),MONTH(TODAY())+2,1))-YEAR(Tools!$Q29))*12+MONTH(DATE(YEAR(TODAY()),MONTH(TODAY())+2,1))-MONTH(Tools!$Q29))&gt;=0,MOD(((YEAR(DATE(YEAR(TODAY()),MONTH(TODAY())+2,1))-YEAR(Tools!$Q29))*12+MONTH(DATE(YEAR(TODAY()),MONTH(TODAY())+2,1))-MONTH(Tools!$Q29)),Tools!$U29)=0,OR(Tools!$L29="",EDATE(Tools!$Q29,((YEAR(DATE(YEAR(TODAY()),MONTH(TODAY())+2,1))-YEAR(Tools!$Q29))*12+MONTH(DATE(YEAR(TODAY()),MONTH(TODAY())+2,1))-MONTH(Tools!$Q29)))&lt;Tools!$L29)),Tools!$N29,""))</f>
        <v/>
      </c>
      <c r="F30" s="30">
        <f>IF(OR(Tools!$B29="",Tools!$Q29=""),"",IF(AND(((YEAR(DATE(YEAR(TODAY()),MONTH(TODAY())+3,1))-YEAR(Tools!$Q29))*12+MONTH(DATE(YEAR(TODAY()),MONTH(TODAY())+3,1))-MONTH(Tools!$Q29))&gt;=0,MOD(((YEAR(DATE(YEAR(TODAY()),MONTH(TODAY())+3,1))-YEAR(Tools!$Q29))*12+MONTH(DATE(YEAR(TODAY()),MONTH(TODAY())+3,1))-MONTH(Tools!$Q29)),Tools!$U29)=0,OR(Tools!$L29="",EDATE(Tools!$Q29,((YEAR(DATE(YEAR(TODAY()),MONTH(TODAY())+3,1))-YEAR(Tools!$Q29))*12+MONTH(DATE(YEAR(TODAY()),MONTH(TODAY())+3,1))-MONTH(Tools!$Q29)))&lt;Tools!$L29)),Tools!$N29,""))</f>
        <v/>
      </c>
      <c r="G30" s="30">
        <f>IF(OR(Tools!$B29="",Tools!$Q29=""),"",IF(AND(((YEAR(DATE(YEAR(TODAY()),MONTH(TODAY())+4,1))-YEAR(Tools!$Q29))*12+MONTH(DATE(YEAR(TODAY()),MONTH(TODAY())+4,1))-MONTH(Tools!$Q29))&gt;=0,MOD(((YEAR(DATE(YEAR(TODAY()),MONTH(TODAY())+4,1))-YEAR(Tools!$Q29))*12+MONTH(DATE(YEAR(TODAY()),MONTH(TODAY())+4,1))-MONTH(Tools!$Q29)),Tools!$U29)=0,OR(Tools!$L29="",EDATE(Tools!$Q29,((YEAR(DATE(YEAR(TODAY()),MONTH(TODAY())+4,1))-YEAR(Tools!$Q29))*12+MONTH(DATE(YEAR(TODAY()),MONTH(TODAY())+4,1))-MONTH(Tools!$Q29)))&lt;Tools!$L29)),Tools!$N29,""))</f>
        <v/>
      </c>
      <c r="H30" s="30">
        <f>IF(OR(Tools!$B29="",Tools!$Q29=""),"",IF(AND(((YEAR(DATE(YEAR(TODAY()),MONTH(TODAY())+5,1))-YEAR(Tools!$Q29))*12+MONTH(DATE(YEAR(TODAY()),MONTH(TODAY())+5,1))-MONTH(Tools!$Q29))&gt;=0,MOD(((YEAR(DATE(YEAR(TODAY()),MONTH(TODAY())+5,1))-YEAR(Tools!$Q29))*12+MONTH(DATE(YEAR(TODAY()),MONTH(TODAY())+5,1))-MONTH(Tools!$Q29)),Tools!$U29)=0,OR(Tools!$L29="",EDATE(Tools!$Q29,((YEAR(DATE(YEAR(TODAY()),MONTH(TODAY())+5,1))-YEAR(Tools!$Q29))*12+MONTH(DATE(YEAR(TODAY()),MONTH(TODAY())+5,1))-MONTH(Tools!$Q29)))&lt;Tools!$L29)),Tools!$N29,""))</f>
        <v/>
      </c>
      <c r="I30" s="30">
        <f>IF(OR(Tools!$B29="",Tools!$Q29=""),"",IF(AND(((YEAR(DATE(YEAR(TODAY()),MONTH(TODAY())+6,1))-YEAR(Tools!$Q29))*12+MONTH(DATE(YEAR(TODAY()),MONTH(TODAY())+6,1))-MONTH(Tools!$Q29))&gt;=0,MOD(((YEAR(DATE(YEAR(TODAY()),MONTH(TODAY())+6,1))-YEAR(Tools!$Q29))*12+MONTH(DATE(YEAR(TODAY()),MONTH(TODAY())+6,1))-MONTH(Tools!$Q29)),Tools!$U29)=0,OR(Tools!$L29="",EDATE(Tools!$Q29,((YEAR(DATE(YEAR(TODAY()),MONTH(TODAY())+6,1))-YEAR(Tools!$Q29))*12+MONTH(DATE(YEAR(TODAY()),MONTH(TODAY())+6,1))-MONTH(Tools!$Q29)))&lt;Tools!$L29)),Tools!$N29,""))</f>
        <v/>
      </c>
      <c r="J30" s="30">
        <f>IF(OR(Tools!$B29="",Tools!$Q29=""),"",IF(AND(((YEAR(DATE(YEAR(TODAY()),MONTH(TODAY())+7,1))-YEAR(Tools!$Q29))*12+MONTH(DATE(YEAR(TODAY()),MONTH(TODAY())+7,1))-MONTH(Tools!$Q29))&gt;=0,MOD(((YEAR(DATE(YEAR(TODAY()),MONTH(TODAY())+7,1))-YEAR(Tools!$Q29))*12+MONTH(DATE(YEAR(TODAY()),MONTH(TODAY())+7,1))-MONTH(Tools!$Q29)),Tools!$U29)=0,OR(Tools!$L29="",EDATE(Tools!$Q29,((YEAR(DATE(YEAR(TODAY()),MONTH(TODAY())+7,1))-YEAR(Tools!$Q29))*12+MONTH(DATE(YEAR(TODAY()),MONTH(TODAY())+7,1))-MONTH(Tools!$Q29)))&lt;Tools!$L29)),Tools!$N29,""))</f>
        <v/>
      </c>
      <c r="K30" s="30">
        <f>IF(OR(Tools!$B29="",Tools!$Q29=""),"",IF(AND(((YEAR(DATE(YEAR(TODAY()),MONTH(TODAY())+8,1))-YEAR(Tools!$Q29))*12+MONTH(DATE(YEAR(TODAY()),MONTH(TODAY())+8,1))-MONTH(Tools!$Q29))&gt;=0,MOD(((YEAR(DATE(YEAR(TODAY()),MONTH(TODAY())+8,1))-YEAR(Tools!$Q29))*12+MONTH(DATE(YEAR(TODAY()),MONTH(TODAY())+8,1))-MONTH(Tools!$Q29)),Tools!$U29)=0,OR(Tools!$L29="",EDATE(Tools!$Q29,((YEAR(DATE(YEAR(TODAY()),MONTH(TODAY())+8,1))-YEAR(Tools!$Q29))*12+MONTH(DATE(YEAR(TODAY()),MONTH(TODAY())+8,1))-MONTH(Tools!$Q29)))&lt;Tools!$L29)),Tools!$N29,""))</f>
        <v/>
      </c>
      <c r="L30" s="30">
        <f>IF(OR(Tools!$B29="",Tools!$Q29=""),"",IF(AND(((YEAR(DATE(YEAR(TODAY()),MONTH(TODAY())+9,1))-YEAR(Tools!$Q29))*12+MONTH(DATE(YEAR(TODAY()),MONTH(TODAY())+9,1))-MONTH(Tools!$Q29))&gt;=0,MOD(((YEAR(DATE(YEAR(TODAY()),MONTH(TODAY())+9,1))-YEAR(Tools!$Q29))*12+MONTH(DATE(YEAR(TODAY()),MONTH(TODAY())+9,1))-MONTH(Tools!$Q29)),Tools!$U29)=0,OR(Tools!$L29="",EDATE(Tools!$Q29,((YEAR(DATE(YEAR(TODAY()),MONTH(TODAY())+9,1))-YEAR(Tools!$Q29))*12+MONTH(DATE(YEAR(TODAY()),MONTH(TODAY())+9,1))-MONTH(Tools!$Q29)))&lt;Tools!$L29)),Tools!$N29,""))</f>
        <v/>
      </c>
      <c r="M30" s="30">
        <f>IF(OR(Tools!$B29="",Tools!$Q29=""),"",IF(AND(((YEAR(DATE(YEAR(TODAY()),MONTH(TODAY())+10,1))-YEAR(Tools!$Q29))*12+MONTH(DATE(YEAR(TODAY()),MONTH(TODAY())+10,1))-MONTH(Tools!$Q29))&gt;=0,MOD(((YEAR(DATE(YEAR(TODAY()),MONTH(TODAY())+10,1))-YEAR(Tools!$Q29))*12+MONTH(DATE(YEAR(TODAY()),MONTH(TODAY())+10,1))-MONTH(Tools!$Q29)),Tools!$U29)=0,OR(Tools!$L29="",EDATE(Tools!$Q29,((YEAR(DATE(YEAR(TODAY()),MONTH(TODAY())+10,1))-YEAR(Tools!$Q29))*12+MONTH(DATE(YEAR(TODAY()),MONTH(TODAY())+10,1))-MONTH(Tools!$Q29)))&lt;Tools!$L29)),Tools!$N29,""))</f>
        <v/>
      </c>
      <c r="N30" s="30">
        <f>IF(OR(Tools!$B29="",Tools!$Q29=""),"",IF(AND(((YEAR(DATE(YEAR(TODAY()),MONTH(TODAY())+11,1))-YEAR(Tools!$Q29))*12+MONTH(DATE(YEAR(TODAY()),MONTH(TODAY())+11,1))-MONTH(Tools!$Q29))&gt;=0,MOD(((YEAR(DATE(YEAR(TODAY()),MONTH(TODAY())+11,1))-YEAR(Tools!$Q29))*12+MONTH(DATE(YEAR(TODAY()),MONTH(TODAY())+11,1))-MONTH(Tools!$Q29)),Tools!$U29)=0,OR(Tools!$L29="",EDATE(Tools!$Q29,((YEAR(DATE(YEAR(TODAY()),MONTH(TODAY())+11,1))-YEAR(Tools!$Q29))*12+MONTH(DATE(YEAR(TODAY()),MONTH(TODAY())+11,1))-MONTH(Tools!$Q29)))&lt;Tools!$L29)),Tools!$N29,""))</f>
        <v/>
      </c>
      <c r="O30" s="31">
        <f>IF(B30="","",SUM(C30:N30))</f>
        <v/>
      </c>
      <c r="P30" s="1" t="n"/>
    </row>
    <row r="31">
      <c r="A31" s="1" t="n"/>
      <c r="B31" s="11">
        <f>IF(Tools!B30="","",Tools!B30)</f>
        <v/>
      </c>
      <c r="C31" s="30">
        <f>IF(OR(Tools!$B30="",Tools!$Q30=""),"",IF(AND(((YEAR(DATE(YEAR(TODAY()),MONTH(TODAY())+0,1))-YEAR(Tools!$Q30))*12+MONTH(DATE(YEAR(TODAY()),MONTH(TODAY())+0,1))-MONTH(Tools!$Q30))&gt;=0,MOD(((YEAR(DATE(YEAR(TODAY()),MONTH(TODAY())+0,1))-YEAR(Tools!$Q30))*12+MONTH(DATE(YEAR(TODAY()),MONTH(TODAY())+0,1))-MONTH(Tools!$Q30)),Tools!$U30)=0,OR(Tools!$L30="",EDATE(Tools!$Q30,((YEAR(DATE(YEAR(TODAY()),MONTH(TODAY())+0,1))-YEAR(Tools!$Q30))*12+MONTH(DATE(YEAR(TODAY()),MONTH(TODAY())+0,1))-MONTH(Tools!$Q30)))&lt;Tools!$L30)),Tools!$N30,""))</f>
        <v/>
      </c>
      <c r="D31" s="30">
        <f>IF(OR(Tools!$B30="",Tools!$Q30=""),"",IF(AND(((YEAR(DATE(YEAR(TODAY()),MONTH(TODAY())+1,1))-YEAR(Tools!$Q30))*12+MONTH(DATE(YEAR(TODAY()),MONTH(TODAY())+1,1))-MONTH(Tools!$Q30))&gt;=0,MOD(((YEAR(DATE(YEAR(TODAY()),MONTH(TODAY())+1,1))-YEAR(Tools!$Q30))*12+MONTH(DATE(YEAR(TODAY()),MONTH(TODAY())+1,1))-MONTH(Tools!$Q30)),Tools!$U30)=0,OR(Tools!$L30="",EDATE(Tools!$Q30,((YEAR(DATE(YEAR(TODAY()),MONTH(TODAY())+1,1))-YEAR(Tools!$Q30))*12+MONTH(DATE(YEAR(TODAY()),MONTH(TODAY())+1,1))-MONTH(Tools!$Q30)))&lt;Tools!$L30)),Tools!$N30,""))</f>
        <v/>
      </c>
      <c r="E31" s="30">
        <f>IF(OR(Tools!$B30="",Tools!$Q30=""),"",IF(AND(((YEAR(DATE(YEAR(TODAY()),MONTH(TODAY())+2,1))-YEAR(Tools!$Q30))*12+MONTH(DATE(YEAR(TODAY()),MONTH(TODAY())+2,1))-MONTH(Tools!$Q30))&gt;=0,MOD(((YEAR(DATE(YEAR(TODAY()),MONTH(TODAY())+2,1))-YEAR(Tools!$Q30))*12+MONTH(DATE(YEAR(TODAY()),MONTH(TODAY())+2,1))-MONTH(Tools!$Q30)),Tools!$U30)=0,OR(Tools!$L30="",EDATE(Tools!$Q30,((YEAR(DATE(YEAR(TODAY()),MONTH(TODAY())+2,1))-YEAR(Tools!$Q30))*12+MONTH(DATE(YEAR(TODAY()),MONTH(TODAY())+2,1))-MONTH(Tools!$Q30)))&lt;Tools!$L30)),Tools!$N30,""))</f>
        <v/>
      </c>
      <c r="F31" s="30">
        <f>IF(OR(Tools!$B30="",Tools!$Q30=""),"",IF(AND(((YEAR(DATE(YEAR(TODAY()),MONTH(TODAY())+3,1))-YEAR(Tools!$Q30))*12+MONTH(DATE(YEAR(TODAY()),MONTH(TODAY())+3,1))-MONTH(Tools!$Q30))&gt;=0,MOD(((YEAR(DATE(YEAR(TODAY()),MONTH(TODAY())+3,1))-YEAR(Tools!$Q30))*12+MONTH(DATE(YEAR(TODAY()),MONTH(TODAY())+3,1))-MONTH(Tools!$Q30)),Tools!$U30)=0,OR(Tools!$L30="",EDATE(Tools!$Q30,((YEAR(DATE(YEAR(TODAY()),MONTH(TODAY())+3,1))-YEAR(Tools!$Q30))*12+MONTH(DATE(YEAR(TODAY()),MONTH(TODAY())+3,1))-MONTH(Tools!$Q30)))&lt;Tools!$L30)),Tools!$N30,""))</f>
        <v/>
      </c>
      <c r="G31" s="30">
        <f>IF(OR(Tools!$B30="",Tools!$Q30=""),"",IF(AND(((YEAR(DATE(YEAR(TODAY()),MONTH(TODAY())+4,1))-YEAR(Tools!$Q30))*12+MONTH(DATE(YEAR(TODAY()),MONTH(TODAY())+4,1))-MONTH(Tools!$Q30))&gt;=0,MOD(((YEAR(DATE(YEAR(TODAY()),MONTH(TODAY())+4,1))-YEAR(Tools!$Q30))*12+MONTH(DATE(YEAR(TODAY()),MONTH(TODAY())+4,1))-MONTH(Tools!$Q30)),Tools!$U30)=0,OR(Tools!$L30="",EDATE(Tools!$Q30,((YEAR(DATE(YEAR(TODAY()),MONTH(TODAY())+4,1))-YEAR(Tools!$Q30))*12+MONTH(DATE(YEAR(TODAY()),MONTH(TODAY())+4,1))-MONTH(Tools!$Q30)))&lt;Tools!$L30)),Tools!$N30,""))</f>
        <v/>
      </c>
      <c r="H31" s="30">
        <f>IF(OR(Tools!$B30="",Tools!$Q30=""),"",IF(AND(((YEAR(DATE(YEAR(TODAY()),MONTH(TODAY())+5,1))-YEAR(Tools!$Q30))*12+MONTH(DATE(YEAR(TODAY()),MONTH(TODAY())+5,1))-MONTH(Tools!$Q30))&gt;=0,MOD(((YEAR(DATE(YEAR(TODAY()),MONTH(TODAY())+5,1))-YEAR(Tools!$Q30))*12+MONTH(DATE(YEAR(TODAY()),MONTH(TODAY())+5,1))-MONTH(Tools!$Q30)),Tools!$U30)=0,OR(Tools!$L30="",EDATE(Tools!$Q30,((YEAR(DATE(YEAR(TODAY()),MONTH(TODAY())+5,1))-YEAR(Tools!$Q30))*12+MONTH(DATE(YEAR(TODAY()),MONTH(TODAY())+5,1))-MONTH(Tools!$Q30)))&lt;Tools!$L30)),Tools!$N30,""))</f>
        <v/>
      </c>
      <c r="I31" s="30">
        <f>IF(OR(Tools!$B30="",Tools!$Q30=""),"",IF(AND(((YEAR(DATE(YEAR(TODAY()),MONTH(TODAY())+6,1))-YEAR(Tools!$Q30))*12+MONTH(DATE(YEAR(TODAY()),MONTH(TODAY())+6,1))-MONTH(Tools!$Q30))&gt;=0,MOD(((YEAR(DATE(YEAR(TODAY()),MONTH(TODAY())+6,1))-YEAR(Tools!$Q30))*12+MONTH(DATE(YEAR(TODAY()),MONTH(TODAY())+6,1))-MONTH(Tools!$Q30)),Tools!$U30)=0,OR(Tools!$L30="",EDATE(Tools!$Q30,((YEAR(DATE(YEAR(TODAY()),MONTH(TODAY())+6,1))-YEAR(Tools!$Q30))*12+MONTH(DATE(YEAR(TODAY()),MONTH(TODAY())+6,1))-MONTH(Tools!$Q30)))&lt;Tools!$L30)),Tools!$N30,""))</f>
        <v/>
      </c>
      <c r="J31" s="30">
        <f>IF(OR(Tools!$B30="",Tools!$Q30=""),"",IF(AND(((YEAR(DATE(YEAR(TODAY()),MONTH(TODAY())+7,1))-YEAR(Tools!$Q30))*12+MONTH(DATE(YEAR(TODAY()),MONTH(TODAY())+7,1))-MONTH(Tools!$Q30))&gt;=0,MOD(((YEAR(DATE(YEAR(TODAY()),MONTH(TODAY())+7,1))-YEAR(Tools!$Q30))*12+MONTH(DATE(YEAR(TODAY()),MONTH(TODAY())+7,1))-MONTH(Tools!$Q30)),Tools!$U30)=0,OR(Tools!$L30="",EDATE(Tools!$Q30,((YEAR(DATE(YEAR(TODAY()),MONTH(TODAY())+7,1))-YEAR(Tools!$Q30))*12+MONTH(DATE(YEAR(TODAY()),MONTH(TODAY())+7,1))-MONTH(Tools!$Q30)))&lt;Tools!$L30)),Tools!$N30,""))</f>
        <v/>
      </c>
      <c r="K31" s="30">
        <f>IF(OR(Tools!$B30="",Tools!$Q30=""),"",IF(AND(((YEAR(DATE(YEAR(TODAY()),MONTH(TODAY())+8,1))-YEAR(Tools!$Q30))*12+MONTH(DATE(YEAR(TODAY()),MONTH(TODAY())+8,1))-MONTH(Tools!$Q30))&gt;=0,MOD(((YEAR(DATE(YEAR(TODAY()),MONTH(TODAY())+8,1))-YEAR(Tools!$Q30))*12+MONTH(DATE(YEAR(TODAY()),MONTH(TODAY())+8,1))-MONTH(Tools!$Q30)),Tools!$U30)=0,OR(Tools!$L30="",EDATE(Tools!$Q30,((YEAR(DATE(YEAR(TODAY()),MONTH(TODAY())+8,1))-YEAR(Tools!$Q30))*12+MONTH(DATE(YEAR(TODAY()),MONTH(TODAY())+8,1))-MONTH(Tools!$Q30)))&lt;Tools!$L30)),Tools!$N30,""))</f>
        <v/>
      </c>
      <c r="L31" s="30">
        <f>IF(OR(Tools!$B30="",Tools!$Q30=""),"",IF(AND(((YEAR(DATE(YEAR(TODAY()),MONTH(TODAY())+9,1))-YEAR(Tools!$Q30))*12+MONTH(DATE(YEAR(TODAY()),MONTH(TODAY())+9,1))-MONTH(Tools!$Q30))&gt;=0,MOD(((YEAR(DATE(YEAR(TODAY()),MONTH(TODAY())+9,1))-YEAR(Tools!$Q30))*12+MONTH(DATE(YEAR(TODAY()),MONTH(TODAY())+9,1))-MONTH(Tools!$Q30)),Tools!$U30)=0,OR(Tools!$L30="",EDATE(Tools!$Q30,((YEAR(DATE(YEAR(TODAY()),MONTH(TODAY())+9,1))-YEAR(Tools!$Q30))*12+MONTH(DATE(YEAR(TODAY()),MONTH(TODAY())+9,1))-MONTH(Tools!$Q30)))&lt;Tools!$L30)),Tools!$N30,""))</f>
        <v/>
      </c>
      <c r="M31" s="30">
        <f>IF(OR(Tools!$B30="",Tools!$Q30=""),"",IF(AND(((YEAR(DATE(YEAR(TODAY()),MONTH(TODAY())+10,1))-YEAR(Tools!$Q30))*12+MONTH(DATE(YEAR(TODAY()),MONTH(TODAY())+10,1))-MONTH(Tools!$Q30))&gt;=0,MOD(((YEAR(DATE(YEAR(TODAY()),MONTH(TODAY())+10,1))-YEAR(Tools!$Q30))*12+MONTH(DATE(YEAR(TODAY()),MONTH(TODAY())+10,1))-MONTH(Tools!$Q30)),Tools!$U30)=0,OR(Tools!$L30="",EDATE(Tools!$Q30,((YEAR(DATE(YEAR(TODAY()),MONTH(TODAY())+10,1))-YEAR(Tools!$Q30))*12+MONTH(DATE(YEAR(TODAY()),MONTH(TODAY())+10,1))-MONTH(Tools!$Q30)))&lt;Tools!$L30)),Tools!$N30,""))</f>
        <v/>
      </c>
      <c r="N31" s="30">
        <f>IF(OR(Tools!$B30="",Tools!$Q30=""),"",IF(AND(((YEAR(DATE(YEAR(TODAY()),MONTH(TODAY())+11,1))-YEAR(Tools!$Q30))*12+MONTH(DATE(YEAR(TODAY()),MONTH(TODAY())+11,1))-MONTH(Tools!$Q30))&gt;=0,MOD(((YEAR(DATE(YEAR(TODAY()),MONTH(TODAY())+11,1))-YEAR(Tools!$Q30))*12+MONTH(DATE(YEAR(TODAY()),MONTH(TODAY())+11,1))-MONTH(Tools!$Q30)),Tools!$U30)=0,OR(Tools!$L30="",EDATE(Tools!$Q30,((YEAR(DATE(YEAR(TODAY()),MONTH(TODAY())+11,1))-YEAR(Tools!$Q30))*12+MONTH(DATE(YEAR(TODAY()),MONTH(TODAY())+11,1))-MONTH(Tools!$Q30)))&lt;Tools!$L30)),Tools!$N30,""))</f>
        <v/>
      </c>
      <c r="O31" s="31">
        <f>IF(B31="","",SUM(C31:N31))</f>
        <v/>
      </c>
      <c r="P31" s="1" t="n"/>
    </row>
    <row r="32">
      <c r="A32" s="1" t="n"/>
      <c r="B32" s="11">
        <f>IF(Tools!B31="","",Tools!B31)</f>
        <v/>
      </c>
      <c r="C32" s="30">
        <f>IF(OR(Tools!$B31="",Tools!$Q31=""),"",IF(AND(((YEAR(DATE(YEAR(TODAY()),MONTH(TODAY())+0,1))-YEAR(Tools!$Q31))*12+MONTH(DATE(YEAR(TODAY()),MONTH(TODAY())+0,1))-MONTH(Tools!$Q31))&gt;=0,MOD(((YEAR(DATE(YEAR(TODAY()),MONTH(TODAY())+0,1))-YEAR(Tools!$Q31))*12+MONTH(DATE(YEAR(TODAY()),MONTH(TODAY())+0,1))-MONTH(Tools!$Q31)),Tools!$U31)=0,OR(Tools!$L31="",EDATE(Tools!$Q31,((YEAR(DATE(YEAR(TODAY()),MONTH(TODAY())+0,1))-YEAR(Tools!$Q31))*12+MONTH(DATE(YEAR(TODAY()),MONTH(TODAY())+0,1))-MONTH(Tools!$Q31)))&lt;Tools!$L31)),Tools!$N31,""))</f>
        <v/>
      </c>
      <c r="D32" s="30">
        <f>IF(OR(Tools!$B31="",Tools!$Q31=""),"",IF(AND(((YEAR(DATE(YEAR(TODAY()),MONTH(TODAY())+1,1))-YEAR(Tools!$Q31))*12+MONTH(DATE(YEAR(TODAY()),MONTH(TODAY())+1,1))-MONTH(Tools!$Q31))&gt;=0,MOD(((YEAR(DATE(YEAR(TODAY()),MONTH(TODAY())+1,1))-YEAR(Tools!$Q31))*12+MONTH(DATE(YEAR(TODAY()),MONTH(TODAY())+1,1))-MONTH(Tools!$Q31)),Tools!$U31)=0,OR(Tools!$L31="",EDATE(Tools!$Q31,((YEAR(DATE(YEAR(TODAY()),MONTH(TODAY())+1,1))-YEAR(Tools!$Q31))*12+MONTH(DATE(YEAR(TODAY()),MONTH(TODAY())+1,1))-MONTH(Tools!$Q31)))&lt;Tools!$L31)),Tools!$N31,""))</f>
        <v/>
      </c>
      <c r="E32" s="30">
        <f>IF(OR(Tools!$B31="",Tools!$Q31=""),"",IF(AND(((YEAR(DATE(YEAR(TODAY()),MONTH(TODAY())+2,1))-YEAR(Tools!$Q31))*12+MONTH(DATE(YEAR(TODAY()),MONTH(TODAY())+2,1))-MONTH(Tools!$Q31))&gt;=0,MOD(((YEAR(DATE(YEAR(TODAY()),MONTH(TODAY())+2,1))-YEAR(Tools!$Q31))*12+MONTH(DATE(YEAR(TODAY()),MONTH(TODAY())+2,1))-MONTH(Tools!$Q31)),Tools!$U31)=0,OR(Tools!$L31="",EDATE(Tools!$Q31,((YEAR(DATE(YEAR(TODAY()),MONTH(TODAY())+2,1))-YEAR(Tools!$Q31))*12+MONTH(DATE(YEAR(TODAY()),MONTH(TODAY())+2,1))-MONTH(Tools!$Q31)))&lt;Tools!$L31)),Tools!$N31,""))</f>
        <v/>
      </c>
      <c r="F32" s="30">
        <f>IF(OR(Tools!$B31="",Tools!$Q31=""),"",IF(AND(((YEAR(DATE(YEAR(TODAY()),MONTH(TODAY())+3,1))-YEAR(Tools!$Q31))*12+MONTH(DATE(YEAR(TODAY()),MONTH(TODAY())+3,1))-MONTH(Tools!$Q31))&gt;=0,MOD(((YEAR(DATE(YEAR(TODAY()),MONTH(TODAY())+3,1))-YEAR(Tools!$Q31))*12+MONTH(DATE(YEAR(TODAY()),MONTH(TODAY())+3,1))-MONTH(Tools!$Q31)),Tools!$U31)=0,OR(Tools!$L31="",EDATE(Tools!$Q31,((YEAR(DATE(YEAR(TODAY()),MONTH(TODAY())+3,1))-YEAR(Tools!$Q31))*12+MONTH(DATE(YEAR(TODAY()),MONTH(TODAY())+3,1))-MONTH(Tools!$Q31)))&lt;Tools!$L31)),Tools!$N31,""))</f>
        <v/>
      </c>
      <c r="G32" s="30">
        <f>IF(OR(Tools!$B31="",Tools!$Q31=""),"",IF(AND(((YEAR(DATE(YEAR(TODAY()),MONTH(TODAY())+4,1))-YEAR(Tools!$Q31))*12+MONTH(DATE(YEAR(TODAY()),MONTH(TODAY())+4,1))-MONTH(Tools!$Q31))&gt;=0,MOD(((YEAR(DATE(YEAR(TODAY()),MONTH(TODAY())+4,1))-YEAR(Tools!$Q31))*12+MONTH(DATE(YEAR(TODAY()),MONTH(TODAY())+4,1))-MONTH(Tools!$Q31)),Tools!$U31)=0,OR(Tools!$L31="",EDATE(Tools!$Q31,((YEAR(DATE(YEAR(TODAY()),MONTH(TODAY())+4,1))-YEAR(Tools!$Q31))*12+MONTH(DATE(YEAR(TODAY()),MONTH(TODAY())+4,1))-MONTH(Tools!$Q31)))&lt;Tools!$L31)),Tools!$N31,""))</f>
        <v/>
      </c>
      <c r="H32" s="30">
        <f>IF(OR(Tools!$B31="",Tools!$Q31=""),"",IF(AND(((YEAR(DATE(YEAR(TODAY()),MONTH(TODAY())+5,1))-YEAR(Tools!$Q31))*12+MONTH(DATE(YEAR(TODAY()),MONTH(TODAY())+5,1))-MONTH(Tools!$Q31))&gt;=0,MOD(((YEAR(DATE(YEAR(TODAY()),MONTH(TODAY())+5,1))-YEAR(Tools!$Q31))*12+MONTH(DATE(YEAR(TODAY()),MONTH(TODAY())+5,1))-MONTH(Tools!$Q31)),Tools!$U31)=0,OR(Tools!$L31="",EDATE(Tools!$Q31,((YEAR(DATE(YEAR(TODAY()),MONTH(TODAY())+5,1))-YEAR(Tools!$Q31))*12+MONTH(DATE(YEAR(TODAY()),MONTH(TODAY())+5,1))-MONTH(Tools!$Q31)))&lt;Tools!$L31)),Tools!$N31,""))</f>
        <v/>
      </c>
      <c r="I32" s="30">
        <f>IF(OR(Tools!$B31="",Tools!$Q31=""),"",IF(AND(((YEAR(DATE(YEAR(TODAY()),MONTH(TODAY())+6,1))-YEAR(Tools!$Q31))*12+MONTH(DATE(YEAR(TODAY()),MONTH(TODAY())+6,1))-MONTH(Tools!$Q31))&gt;=0,MOD(((YEAR(DATE(YEAR(TODAY()),MONTH(TODAY())+6,1))-YEAR(Tools!$Q31))*12+MONTH(DATE(YEAR(TODAY()),MONTH(TODAY())+6,1))-MONTH(Tools!$Q31)),Tools!$U31)=0,OR(Tools!$L31="",EDATE(Tools!$Q31,((YEAR(DATE(YEAR(TODAY()),MONTH(TODAY())+6,1))-YEAR(Tools!$Q31))*12+MONTH(DATE(YEAR(TODAY()),MONTH(TODAY())+6,1))-MONTH(Tools!$Q31)))&lt;Tools!$L31)),Tools!$N31,""))</f>
        <v/>
      </c>
      <c r="J32" s="30">
        <f>IF(OR(Tools!$B31="",Tools!$Q31=""),"",IF(AND(((YEAR(DATE(YEAR(TODAY()),MONTH(TODAY())+7,1))-YEAR(Tools!$Q31))*12+MONTH(DATE(YEAR(TODAY()),MONTH(TODAY())+7,1))-MONTH(Tools!$Q31))&gt;=0,MOD(((YEAR(DATE(YEAR(TODAY()),MONTH(TODAY())+7,1))-YEAR(Tools!$Q31))*12+MONTH(DATE(YEAR(TODAY()),MONTH(TODAY())+7,1))-MONTH(Tools!$Q31)),Tools!$U31)=0,OR(Tools!$L31="",EDATE(Tools!$Q31,((YEAR(DATE(YEAR(TODAY()),MONTH(TODAY())+7,1))-YEAR(Tools!$Q31))*12+MONTH(DATE(YEAR(TODAY()),MONTH(TODAY())+7,1))-MONTH(Tools!$Q31)))&lt;Tools!$L31)),Tools!$N31,""))</f>
        <v/>
      </c>
      <c r="K32" s="30">
        <f>IF(OR(Tools!$B31="",Tools!$Q31=""),"",IF(AND(((YEAR(DATE(YEAR(TODAY()),MONTH(TODAY())+8,1))-YEAR(Tools!$Q31))*12+MONTH(DATE(YEAR(TODAY()),MONTH(TODAY())+8,1))-MONTH(Tools!$Q31))&gt;=0,MOD(((YEAR(DATE(YEAR(TODAY()),MONTH(TODAY())+8,1))-YEAR(Tools!$Q31))*12+MONTH(DATE(YEAR(TODAY()),MONTH(TODAY())+8,1))-MONTH(Tools!$Q31)),Tools!$U31)=0,OR(Tools!$L31="",EDATE(Tools!$Q31,((YEAR(DATE(YEAR(TODAY()),MONTH(TODAY())+8,1))-YEAR(Tools!$Q31))*12+MONTH(DATE(YEAR(TODAY()),MONTH(TODAY())+8,1))-MONTH(Tools!$Q31)))&lt;Tools!$L31)),Tools!$N31,""))</f>
        <v/>
      </c>
      <c r="L32" s="30">
        <f>IF(OR(Tools!$B31="",Tools!$Q31=""),"",IF(AND(((YEAR(DATE(YEAR(TODAY()),MONTH(TODAY())+9,1))-YEAR(Tools!$Q31))*12+MONTH(DATE(YEAR(TODAY()),MONTH(TODAY())+9,1))-MONTH(Tools!$Q31))&gt;=0,MOD(((YEAR(DATE(YEAR(TODAY()),MONTH(TODAY())+9,1))-YEAR(Tools!$Q31))*12+MONTH(DATE(YEAR(TODAY()),MONTH(TODAY())+9,1))-MONTH(Tools!$Q31)),Tools!$U31)=0,OR(Tools!$L31="",EDATE(Tools!$Q31,((YEAR(DATE(YEAR(TODAY()),MONTH(TODAY())+9,1))-YEAR(Tools!$Q31))*12+MONTH(DATE(YEAR(TODAY()),MONTH(TODAY())+9,1))-MONTH(Tools!$Q31)))&lt;Tools!$L31)),Tools!$N31,""))</f>
        <v/>
      </c>
      <c r="M32" s="30">
        <f>IF(OR(Tools!$B31="",Tools!$Q31=""),"",IF(AND(((YEAR(DATE(YEAR(TODAY()),MONTH(TODAY())+10,1))-YEAR(Tools!$Q31))*12+MONTH(DATE(YEAR(TODAY()),MONTH(TODAY())+10,1))-MONTH(Tools!$Q31))&gt;=0,MOD(((YEAR(DATE(YEAR(TODAY()),MONTH(TODAY())+10,1))-YEAR(Tools!$Q31))*12+MONTH(DATE(YEAR(TODAY()),MONTH(TODAY())+10,1))-MONTH(Tools!$Q31)),Tools!$U31)=0,OR(Tools!$L31="",EDATE(Tools!$Q31,((YEAR(DATE(YEAR(TODAY()),MONTH(TODAY())+10,1))-YEAR(Tools!$Q31))*12+MONTH(DATE(YEAR(TODAY()),MONTH(TODAY())+10,1))-MONTH(Tools!$Q31)))&lt;Tools!$L31)),Tools!$N31,""))</f>
        <v/>
      </c>
      <c r="N32" s="30">
        <f>IF(OR(Tools!$B31="",Tools!$Q31=""),"",IF(AND(((YEAR(DATE(YEAR(TODAY()),MONTH(TODAY())+11,1))-YEAR(Tools!$Q31))*12+MONTH(DATE(YEAR(TODAY()),MONTH(TODAY())+11,1))-MONTH(Tools!$Q31))&gt;=0,MOD(((YEAR(DATE(YEAR(TODAY()),MONTH(TODAY())+11,1))-YEAR(Tools!$Q31))*12+MONTH(DATE(YEAR(TODAY()),MONTH(TODAY())+11,1))-MONTH(Tools!$Q31)),Tools!$U31)=0,OR(Tools!$L31="",EDATE(Tools!$Q31,((YEAR(DATE(YEAR(TODAY()),MONTH(TODAY())+11,1))-YEAR(Tools!$Q31))*12+MONTH(DATE(YEAR(TODAY()),MONTH(TODAY())+11,1))-MONTH(Tools!$Q31)))&lt;Tools!$L31)),Tools!$N31,""))</f>
        <v/>
      </c>
      <c r="O32" s="31">
        <f>IF(B32="","",SUM(C32:N32))</f>
        <v/>
      </c>
      <c r="P32" s="1" t="n"/>
    </row>
    <row r="33">
      <c r="A33" s="1" t="n"/>
      <c r="B33" s="11">
        <f>IF(Tools!B32="","",Tools!B32)</f>
        <v/>
      </c>
      <c r="C33" s="30">
        <f>IF(OR(Tools!$B32="",Tools!$Q32=""),"",IF(AND(((YEAR(DATE(YEAR(TODAY()),MONTH(TODAY())+0,1))-YEAR(Tools!$Q32))*12+MONTH(DATE(YEAR(TODAY()),MONTH(TODAY())+0,1))-MONTH(Tools!$Q32))&gt;=0,MOD(((YEAR(DATE(YEAR(TODAY()),MONTH(TODAY())+0,1))-YEAR(Tools!$Q32))*12+MONTH(DATE(YEAR(TODAY()),MONTH(TODAY())+0,1))-MONTH(Tools!$Q32)),Tools!$U32)=0,OR(Tools!$L32="",EDATE(Tools!$Q32,((YEAR(DATE(YEAR(TODAY()),MONTH(TODAY())+0,1))-YEAR(Tools!$Q32))*12+MONTH(DATE(YEAR(TODAY()),MONTH(TODAY())+0,1))-MONTH(Tools!$Q32)))&lt;Tools!$L32)),Tools!$N32,""))</f>
        <v/>
      </c>
      <c r="D33" s="30">
        <f>IF(OR(Tools!$B32="",Tools!$Q32=""),"",IF(AND(((YEAR(DATE(YEAR(TODAY()),MONTH(TODAY())+1,1))-YEAR(Tools!$Q32))*12+MONTH(DATE(YEAR(TODAY()),MONTH(TODAY())+1,1))-MONTH(Tools!$Q32))&gt;=0,MOD(((YEAR(DATE(YEAR(TODAY()),MONTH(TODAY())+1,1))-YEAR(Tools!$Q32))*12+MONTH(DATE(YEAR(TODAY()),MONTH(TODAY())+1,1))-MONTH(Tools!$Q32)),Tools!$U32)=0,OR(Tools!$L32="",EDATE(Tools!$Q32,((YEAR(DATE(YEAR(TODAY()),MONTH(TODAY())+1,1))-YEAR(Tools!$Q32))*12+MONTH(DATE(YEAR(TODAY()),MONTH(TODAY())+1,1))-MONTH(Tools!$Q32)))&lt;Tools!$L32)),Tools!$N32,""))</f>
        <v/>
      </c>
      <c r="E33" s="30">
        <f>IF(OR(Tools!$B32="",Tools!$Q32=""),"",IF(AND(((YEAR(DATE(YEAR(TODAY()),MONTH(TODAY())+2,1))-YEAR(Tools!$Q32))*12+MONTH(DATE(YEAR(TODAY()),MONTH(TODAY())+2,1))-MONTH(Tools!$Q32))&gt;=0,MOD(((YEAR(DATE(YEAR(TODAY()),MONTH(TODAY())+2,1))-YEAR(Tools!$Q32))*12+MONTH(DATE(YEAR(TODAY()),MONTH(TODAY())+2,1))-MONTH(Tools!$Q32)),Tools!$U32)=0,OR(Tools!$L32="",EDATE(Tools!$Q32,((YEAR(DATE(YEAR(TODAY()),MONTH(TODAY())+2,1))-YEAR(Tools!$Q32))*12+MONTH(DATE(YEAR(TODAY()),MONTH(TODAY())+2,1))-MONTH(Tools!$Q32)))&lt;Tools!$L32)),Tools!$N32,""))</f>
        <v/>
      </c>
      <c r="F33" s="30">
        <f>IF(OR(Tools!$B32="",Tools!$Q32=""),"",IF(AND(((YEAR(DATE(YEAR(TODAY()),MONTH(TODAY())+3,1))-YEAR(Tools!$Q32))*12+MONTH(DATE(YEAR(TODAY()),MONTH(TODAY())+3,1))-MONTH(Tools!$Q32))&gt;=0,MOD(((YEAR(DATE(YEAR(TODAY()),MONTH(TODAY())+3,1))-YEAR(Tools!$Q32))*12+MONTH(DATE(YEAR(TODAY()),MONTH(TODAY())+3,1))-MONTH(Tools!$Q32)),Tools!$U32)=0,OR(Tools!$L32="",EDATE(Tools!$Q32,((YEAR(DATE(YEAR(TODAY()),MONTH(TODAY())+3,1))-YEAR(Tools!$Q32))*12+MONTH(DATE(YEAR(TODAY()),MONTH(TODAY())+3,1))-MONTH(Tools!$Q32)))&lt;Tools!$L32)),Tools!$N32,""))</f>
        <v/>
      </c>
      <c r="G33" s="30">
        <f>IF(OR(Tools!$B32="",Tools!$Q32=""),"",IF(AND(((YEAR(DATE(YEAR(TODAY()),MONTH(TODAY())+4,1))-YEAR(Tools!$Q32))*12+MONTH(DATE(YEAR(TODAY()),MONTH(TODAY())+4,1))-MONTH(Tools!$Q32))&gt;=0,MOD(((YEAR(DATE(YEAR(TODAY()),MONTH(TODAY())+4,1))-YEAR(Tools!$Q32))*12+MONTH(DATE(YEAR(TODAY()),MONTH(TODAY())+4,1))-MONTH(Tools!$Q32)),Tools!$U32)=0,OR(Tools!$L32="",EDATE(Tools!$Q32,((YEAR(DATE(YEAR(TODAY()),MONTH(TODAY())+4,1))-YEAR(Tools!$Q32))*12+MONTH(DATE(YEAR(TODAY()),MONTH(TODAY())+4,1))-MONTH(Tools!$Q32)))&lt;Tools!$L32)),Tools!$N32,""))</f>
        <v/>
      </c>
      <c r="H33" s="30">
        <f>IF(OR(Tools!$B32="",Tools!$Q32=""),"",IF(AND(((YEAR(DATE(YEAR(TODAY()),MONTH(TODAY())+5,1))-YEAR(Tools!$Q32))*12+MONTH(DATE(YEAR(TODAY()),MONTH(TODAY())+5,1))-MONTH(Tools!$Q32))&gt;=0,MOD(((YEAR(DATE(YEAR(TODAY()),MONTH(TODAY())+5,1))-YEAR(Tools!$Q32))*12+MONTH(DATE(YEAR(TODAY()),MONTH(TODAY())+5,1))-MONTH(Tools!$Q32)),Tools!$U32)=0,OR(Tools!$L32="",EDATE(Tools!$Q32,((YEAR(DATE(YEAR(TODAY()),MONTH(TODAY())+5,1))-YEAR(Tools!$Q32))*12+MONTH(DATE(YEAR(TODAY()),MONTH(TODAY())+5,1))-MONTH(Tools!$Q32)))&lt;Tools!$L32)),Tools!$N32,""))</f>
        <v/>
      </c>
      <c r="I33" s="30">
        <f>IF(OR(Tools!$B32="",Tools!$Q32=""),"",IF(AND(((YEAR(DATE(YEAR(TODAY()),MONTH(TODAY())+6,1))-YEAR(Tools!$Q32))*12+MONTH(DATE(YEAR(TODAY()),MONTH(TODAY())+6,1))-MONTH(Tools!$Q32))&gt;=0,MOD(((YEAR(DATE(YEAR(TODAY()),MONTH(TODAY())+6,1))-YEAR(Tools!$Q32))*12+MONTH(DATE(YEAR(TODAY()),MONTH(TODAY())+6,1))-MONTH(Tools!$Q32)),Tools!$U32)=0,OR(Tools!$L32="",EDATE(Tools!$Q32,((YEAR(DATE(YEAR(TODAY()),MONTH(TODAY())+6,1))-YEAR(Tools!$Q32))*12+MONTH(DATE(YEAR(TODAY()),MONTH(TODAY())+6,1))-MONTH(Tools!$Q32)))&lt;Tools!$L32)),Tools!$N32,""))</f>
        <v/>
      </c>
      <c r="J33" s="30">
        <f>IF(OR(Tools!$B32="",Tools!$Q32=""),"",IF(AND(((YEAR(DATE(YEAR(TODAY()),MONTH(TODAY())+7,1))-YEAR(Tools!$Q32))*12+MONTH(DATE(YEAR(TODAY()),MONTH(TODAY())+7,1))-MONTH(Tools!$Q32))&gt;=0,MOD(((YEAR(DATE(YEAR(TODAY()),MONTH(TODAY())+7,1))-YEAR(Tools!$Q32))*12+MONTH(DATE(YEAR(TODAY()),MONTH(TODAY())+7,1))-MONTH(Tools!$Q32)),Tools!$U32)=0,OR(Tools!$L32="",EDATE(Tools!$Q32,((YEAR(DATE(YEAR(TODAY()),MONTH(TODAY())+7,1))-YEAR(Tools!$Q32))*12+MONTH(DATE(YEAR(TODAY()),MONTH(TODAY())+7,1))-MONTH(Tools!$Q32)))&lt;Tools!$L32)),Tools!$N32,""))</f>
        <v/>
      </c>
      <c r="K33" s="30">
        <f>IF(OR(Tools!$B32="",Tools!$Q32=""),"",IF(AND(((YEAR(DATE(YEAR(TODAY()),MONTH(TODAY())+8,1))-YEAR(Tools!$Q32))*12+MONTH(DATE(YEAR(TODAY()),MONTH(TODAY())+8,1))-MONTH(Tools!$Q32))&gt;=0,MOD(((YEAR(DATE(YEAR(TODAY()),MONTH(TODAY())+8,1))-YEAR(Tools!$Q32))*12+MONTH(DATE(YEAR(TODAY()),MONTH(TODAY())+8,1))-MONTH(Tools!$Q32)),Tools!$U32)=0,OR(Tools!$L32="",EDATE(Tools!$Q32,((YEAR(DATE(YEAR(TODAY()),MONTH(TODAY())+8,1))-YEAR(Tools!$Q32))*12+MONTH(DATE(YEAR(TODAY()),MONTH(TODAY())+8,1))-MONTH(Tools!$Q32)))&lt;Tools!$L32)),Tools!$N32,""))</f>
        <v/>
      </c>
      <c r="L33" s="30">
        <f>IF(OR(Tools!$B32="",Tools!$Q32=""),"",IF(AND(((YEAR(DATE(YEAR(TODAY()),MONTH(TODAY())+9,1))-YEAR(Tools!$Q32))*12+MONTH(DATE(YEAR(TODAY()),MONTH(TODAY())+9,1))-MONTH(Tools!$Q32))&gt;=0,MOD(((YEAR(DATE(YEAR(TODAY()),MONTH(TODAY())+9,1))-YEAR(Tools!$Q32))*12+MONTH(DATE(YEAR(TODAY()),MONTH(TODAY())+9,1))-MONTH(Tools!$Q32)),Tools!$U32)=0,OR(Tools!$L32="",EDATE(Tools!$Q32,((YEAR(DATE(YEAR(TODAY()),MONTH(TODAY())+9,1))-YEAR(Tools!$Q32))*12+MONTH(DATE(YEAR(TODAY()),MONTH(TODAY())+9,1))-MONTH(Tools!$Q32)))&lt;Tools!$L32)),Tools!$N32,""))</f>
        <v/>
      </c>
      <c r="M33" s="30">
        <f>IF(OR(Tools!$B32="",Tools!$Q32=""),"",IF(AND(((YEAR(DATE(YEAR(TODAY()),MONTH(TODAY())+10,1))-YEAR(Tools!$Q32))*12+MONTH(DATE(YEAR(TODAY()),MONTH(TODAY())+10,1))-MONTH(Tools!$Q32))&gt;=0,MOD(((YEAR(DATE(YEAR(TODAY()),MONTH(TODAY())+10,1))-YEAR(Tools!$Q32))*12+MONTH(DATE(YEAR(TODAY()),MONTH(TODAY())+10,1))-MONTH(Tools!$Q32)),Tools!$U32)=0,OR(Tools!$L32="",EDATE(Tools!$Q32,((YEAR(DATE(YEAR(TODAY()),MONTH(TODAY())+10,1))-YEAR(Tools!$Q32))*12+MONTH(DATE(YEAR(TODAY()),MONTH(TODAY())+10,1))-MONTH(Tools!$Q32)))&lt;Tools!$L32)),Tools!$N32,""))</f>
        <v/>
      </c>
      <c r="N33" s="30">
        <f>IF(OR(Tools!$B32="",Tools!$Q32=""),"",IF(AND(((YEAR(DATE(YEAR(TODAY()),MONTH(TODAY())+11,1))-YEAR(Tools!$Q32))*12+MONTH(DATE(YEAR(TODAY()),MONTH(TODAY())+11,1))-MONTH(Tools!$Q32))&gt;=0,MOD(((YEAR(DATE(YEAR(TODAY()),MONTH(TODAY())+11,1))-YEAR(Tools!$Q32))*12+MONTH(DATE(YEAR(TODAY()),MONTH(TODAY())+11,1))-MONTH(Tools!$Q32)),Tools!$U32)=0,OR(Tools!$L32="",EDATE(Tools!$Q32,((YEAR(DATE(YEAR(TODAY()),MONTH(TODAY())+11,1))-YEAR(Tools!$Q32))*12+MONTH(DATE(YEAR(TODAY()),MONTH(TODAY())+11,1))-MONTH(Tools!$Q32)))&lt;Tools!$L32)),Tools!$N32,""))</f>
        <v/>
      </c>
      <c r="O33" s="31">
        <f>IF(B33="","",SUM(C33:N33))</f>
        <v/>
      </c>
      <c r="P33" s="1" t="n"/>
    </row>
    <row r="34">
      <c r="A34" s="1" t="n"/>
      <c r="B34" s="11">
        <f>IF(Tools!B33="","",Tools!B33)</f>
        <v/>
      </c>
      <c r="C34" s="30">
        <f>IF(OR(Tools!$B33="",Tools!$Q33=""),"",IF(AND(((YEAR(DATE(YEAR(TODAY()),MONTH(TODAY())+0,1))-YEAR(Tools!$Q33))*12+MONTH(DATE(YEAR(TODAY()),MONTH(TODAY())+0,1))-MONTH(Tools!$Q33))&gt;=0,MOD(((YEAR(DATE(YEAR(TODAY()),MONTH(TODAY())+0,1))-YEAR(Tools!$Q33))*12+MONTH(DATE(YEAR(TODAY()),MONTH(TODAY())+0,1))-MONTH(Tools!$Q33)),Tools!$U33)=0,OR(Tools!$L33="",EDATE(Tools!$Q33,((YEAR(DATE(YEAR(TODAY()),MONTH(TODAY())+0,1))-YEAR(Tools!$Q33))*12+MONTH(DATE(YEAR(TODAY()),MONTH(TODAY())+0,1))-MONTH(Tools!$Q33)))&lt;Tools!$L33)),Tools!$N33,""))</f>
        <v/>
      </c>
      <c r="D34" s="30">
        <f>IF(OR(Tools!$B33="",Tools!$Q33=""),"",IF(AND(((YEAR(DATE(YEAR(TODAY()),MONTH(TODAY())+1,1))-YEAR(Tools!$Q33))*12+MONTH(DATE(YEAR(TODAY()),MONTH(TODAY())+1,1))-MONTH(Tools!$Q33))&gt;=0,MOD(((YEAR(DATE(YEAR(TODAY()),MONTH(TODAY())+1,1))-YEAR(Tools!$Q33))*12+MONTH(DATE(YEAR(TODAY()),MONTH(TODAY())+1,1))-MONTH(Tools!$Q33)),Tools!$U33)=0,OR(Tools!$L33="",EDATE(Tools!$Q33,((YEAR(DATE(YEAR(TODAY()),MONTH(TODAY())+1,1))-YEAR(Tools!$Q33))*12+MONTH(DATE(YEAR(TODAY()),MONTH(TODAY())+1,1))-MONTH(Tools!$Q33)))&lt;Tools!$L33)),Tools!$N33,""))</f>
        <v/>
      </c>
      <c r="E34" s="30">
        <f>IF(OR(Tools!$B33="",Tools!$Q33=""),"",IF(AND(((YEAR(DATE(YEAR(TODAY()),MONTH(TODAY())+2,1))-YEAR(Tools!$Q33))*12+MONTH(DATE(YEAR(TODAY()),MONTH(TODAY())+2,1))-MONTH(Tools!$Q33))&gt;=0,MOD(((YEAR(DATE(YEAR(TODAY()),MONTH(TODAY())+2,1))-YEAR(Tools!$Q33))*12+MONTH(DATE(YEAR(TODAY()),MONTH(TODAY())+2,1))-MONTH(Tools!$Q33)),Tools!$U33)=0,OR(Tools!$L33="",EDATE(Tools!$Q33,((YEAR(DATE(YEAR(TODAY()),MONTH(TODAY())+2,1))-YEAR(Tools!$Q33))*12+MONTH(DATE(YEAR(TODAY()),MONTH(TODAY())+2,1))-MONTH(Tools!$Q33)))&lt;Tools!$L33)),Tools!$N33,""))</f>
        <v/>
      </c>
      <c r="F34" s="30">
        <f>IF(OR(Tools!$B33="",Tools!$Q33=""),"",IF(AND(((YEAR(DATE(YEAR(TODAY()),MONTH(TODAY())+3,1))-YEAR(Tools!$Q33))*12+MONTH(DATE(YEAR(TODAY()),MONTH(TODAY())+3,1))-MONTH(Tools!$Q33))&gt;=0,MOD(((YEAR(DATE(YEAR(TODAY()),MONTH(TODAY())+3,1))-YEAR(Tools!$Q33))*12+MONTH(DATE(YEAR(TODAY()),MONTH(TODAY())+3,1))-MONTH(Tools!$Q33)),Tools!$U33)=0,OR(Tools!$L33="",EDATE(Tools!$Q33,((YEAR(DATE(YEAR(TODAY()),MONTH(TODAY())+3,1))-YEAR(Tools!$Q33))*12+MONTH(DATE(YEAR(TODAY()),MONTH(TODAY())+3,1))-MONTH(Tools!$Q33)))&lt;Tools!$L33)),Tools!$N33,""))</f>
        <v/>
      </c>
      <c r="G34" s="30">
        <f>IF(OR(Tools!$B33="",Tools!$Q33=""),"",IF(AND(((YEAR(DATE(YEAR(TODAY()),MONTH(TODAY())+4,1))-YEAR(Tools!$Q33))*12+MONTH(DATE(YEAR(TODAY()),MONTH(TODAY())+4,1))-MONTH(Tools!$Q33))&gt;=0,MOD(((YEAR(DATE(YEAR(TODAY()),MONTH(TODAY())+4,1))-YEAR(Tools!$Q33))*12+MONTH(DATE(YEAR(TODAY()),MONTH(TODAY())+4,1))-MONTH(Tools!$Q33)),Tools!$U33)=0,OR(Tools!$L33="",EDATE(Tools!$Q33,((YEAR(DATE(YEAR(TODAY()),MONTH(TODAY())+4,1))-YEAR(Tools!$Q33))*12+MONTH(DATE(YEAR(TODAY()),MONTH(TODAY())+4,1))-MONTH(Tools!$Q33)))&lt;Tools!$L33)),Tools!$N33,""))</f>
        <v/>
      </c>
      <c r="H34" s="30">
        <f>IF(OR(Tools!$B33="",Tools!$Q33=""),"",IF(AND(((YEAR(DATE(YEAR(TODAY()),MONTH(TODAY())+5,1))-YEAR(Tools!$Q33))*12+MONTH(DATE(YEAR(TODAY()),MONTH(TODAY())+5,1))-MONTH(Tools!$Q33))&gt;=0,MOD(((YEAR(DATE(YEAR(TODAY()),MONTH(TODAY())+5,1))-YEAR(Tools!$Q33))*12+MONTH(DATE(YEAR(TODAY()),MONTH(TODAY())+5,1))-MONTH(Tools!$Q33)),Tools!$U33)=0,OR(Tools!$L33="",EDATE(Tools!$Q33,((YEAR(DATE(YEAR(TODAY()),MONTH(TODAY())+5,1))-YEAR(Tools!$Q33))*12+MONTH(DATE(YEAR(TODAY()),MONTH(TODAY())+5,1))-MONTH(Tools!$Q33)))&lt;Tools!$L33)),Tools!$N33,""))</f>
        <v/>
      </c>
      <c r="I34" s="30">
        <f>IF(OR(Tools!$B33="",Tools!$Q33=""),"",IF(AND(((YEAR(DATE(YEAR(TODAY()),MONTH(TODAY())+6,1))-YEAR(Tools!$Q33))*12+MONTH(DATE(YEAR(TODAY()),MONTH(TODAY())+6,1))-MONTH(Tools!$Q33))&gt;=0,MOD(((YEAR(DATE(YEAR(TODAY()),MONTH(TODAY())+6,1))-YEAR(Tools!$Q33))*12+MONTH(DATE(YEAR(TODAY()),MONTH(TODAY())+6,1))-MONTH(Tools!$Q33)),Tools!$U33)=0,OR(Tools!$L33="",EDATE(Tools!$Q33,((YEAR(DATE(YEAR(TODAY()),MONTH(TODAY())+6,1))-YEAR(Tools!$Q33))*12+MONTH(DATE(YEAR(TODAY()),MONTH(TODAY())+6,1))-MONTH(Tools!$Q33)))&lt;Tools!$L33)),Tools!$N33,""))</f>
        <v/>
      </c>
      <c r="J34" s="30">
        <f>IF(OR(Tools!$B33="",Tools!$Q33=""),"",IF(AND(((YEAR(DATE(YEAR(TODAY()),MONTH(TODAY())+7,1))-YEAR(Tools!$Q33))*12+MONTH(DATE(YEAR(TODAY()),MONTH(TODAY())+7,1))-MONTH(Tools!$Q33))&gt;=0,MOD(((YEAR(DATE(YEAR(TODAY()),MONTH(TODAY())+7,1))-YEAR(Tools!$Q33))*12+MONTH(DATE(YEAR(TODAY()),MONTH(TODAY())+7,1))-MONTH(Tools!$Q33)),Tools!$U33)=0,OR(Tools!$L33="",EDATE(Tools!$Q33,((YEAR(DATE(YEAR(TODAY()),MONTH(TODAY())+7,1))-YEAR(Tools!$Q33))*12+MONTH(DATE(YEAR(TODAY()),MONTH(TODAY())+7,1))-MONTH(Tools!$Q33)))&lt;Tools!$L33)),Tools!$N33,""))</f>
        <v/>
      </c>
      <c r="K34" s="30">
        <f>IF(OR(Tools!$B33="",Tools!$Q33=""),"",IF(AND(((YEAR(DATE(YEAR(TODAY()),MONTH(TODAY())+8,1))-YEAR(Tools!$Q33))*12+MONTH(DATE(YEAR(TODAY()),MONTH(TODAY())+8,1))-MONTH(Tools!$Q33))&gt;=0,MOD(((YEAR(DATE(YEAR(TODAY()),MONTH(TODAY())+8,1))-YEAR(Tools!$Q33))*12+MONTH(DATE(YEAR(TODAY()),MONTH(TODAY())+8,1))-MONTH(Tools!$Q33)),Tools!$U33)=0,OR(Tools!$L33="",EDATE(Tools!$Q33,((YEAR(DATE(YEAR(TODAY()),MONTH(TODAY())+8,1))-YEAR(Tools!$Q33))*12+MONTH(DATE(YEAR(TODAY()),MONTH(TODAY())+8,1))-MONTH(Tools!$Q33)))&lt;Tools!$L33)),Tools!$N33,""))</f>
        <v/>
      </c>
      <c r="L34" s="30">
        <f>IF(OR(Tools!$B33="",Tools!$Q33=""),"",IF(AND(((YEAR(DATE(YEAR(TODAY()),MONTH(TODAY())+9,1))-YEAR(Tools!$Q33))*12+MONTH(DATE(YEAR(TODAY()),MONTH(TODAY())+9,1))-MONTH(Tools!$Q33))&gt;=0,MOD(((YEAR(DATE(YEAR(TODAY()),MONTH(TODAY())+9,1))-YEAR(Tools!$Q33))*12+MONTH(DATE(YEAR(TODAY()),MONTH(TODAY())+9,1))-MONTH(Tools!$Q33)),Tools!$U33)=0,OR(Tools!$L33="",EDATE(Tools!$Q33,((YEAR(DATE(YEAR(TODAY()),MONTH(TODAY())+9,1))-YEAR(Tools!$Q33))*12+MONTH(DATE(YEAR(TODAY()),MONTH(TODAY())+9,1))-MONTH(Tools!$Q33)))&lt;Tools!$L33)),Tools!$N33,""))</f>
        <v/>
      </c>
      <c r="M34" s="30">
        <f>IF(OR(Tools!$B33="",Tools!$Q33=""),"",IF(AND(((YEAR(DATE(YEAR(TODAY()),MONTH(TODAY())+10,1))-YEAR(Tools!$Q33))*12+MONTH(DATE(YEAR(TODAY()),MONTH(TODAY())+10,1))-MONTH(Tools!$Q33))&gt;=0,MOD(((YEAR(DATE(YEAR(TODAY()),MONTH(TODAY())+10,1))-YEAR(Tools!$Q33))*12+MONTH(DATE(YEAR(TODAY()),MONTH(TODAY())+10,1))-MONTH(Tools!$Q33)),Tools!$U33)=0,OR(Tools!$L33="",EDATE(Tools!$Q33,((YEAR(DATE(YEAR(TODAY()),MONTH(TODAY())+10,1))-YEAR(Tools!$Q33))*12+MONTH(DATE(YEAR(TODAY()),MONTH(TODAY())+10,1))-MONTH(Tools!$Q33)))&lt;Tools!$L33)),Tools!$N33,""))</f>
        <v/>
      </c>
      <c r="N34" s="30">
        <f>IF(OR(Tools!$B33="",Tools!$Q33=""),"",IF(AND(((YEAR(DATE(YEAR(TODAY()),MONTH(TODAY())+11,1))-YEAR(Tools!$Q33))*12+MONTH(DATE(YEAR(TODAY()),MONTH(TODAY())+11,1))-MONTH(Tools!$Q33))&gt;=0,MOD(((YEAR(DATE(YEAR(TODAY()),MONTH(TODAY())+11,1))-YEAR(Tools!$Q33))*12+MONTH(DATE(YEAR(TODAY()),MONTH(TODAY())+11,1))-MONTH(Tools!$Q33)),Tools!$U33)=0,OR(Tools!$L33="",EDATE(Tools!$Q33,((YEAR(DATE(YEAR(TODAY()),MONTH(TODAY())+11,1))-YEAR(Tools!$Q33))*12+MONTH(DATE(YEAR(TODAY()),MONTH(TODAY())+11,1))-MONTH(Tools!$Q33)))&lt;Tools!$L33)),Tools!$N33,""))</f>
        <v/>
      </c>
      <c r="O34" s="31">
        <f>IF(B34="","",SUM(C34:N34))</f>
        <v/>
      </c>
      <c r="P34" s="1" t="n"/>
    </row>
    <row r="35">
      <c r="A35" s="1" t="n"/>
      <c r="B35" s="11">
        <f>IF(Tools!B34="","",Tools!B34)</f>
        <v/>
      </c>
      <c r="C35" s="30">
        <f>IF(OR(Tools!$B34="",Tools!$Q34=""),"",IF(AND(((YEAR(DATE(YEAR(TODAY()),MONTH(TODAY())+0,1))-YEAR(Tools!$Q34))*12+MONTH(DATE(YEAR(TODAY()),MONTH(TODAY())+0,1))-MONTH(Tools!$Q34))&gt;=0,MOD(((YEAR(DATE(YEAR(TODAY()),MONTH(TODAY())+0,1))-YEAR(Tools!$Q34))*12+MONTH(DATE(YEAR(TODAY()),MONTH(TODAY())+0,1))-MONTH(Tools!$Q34)),Tools!$U34)=0,OR(Tools!$L34="",EDATE(Tools!$Q34,((YEAR(DATE(YEAR(TODAY()),MONTH(TODAY())+0,1))-YEAR(Tools!$Q34))*12+MONTH(DATE(YEAR(TODAY()),MONTH(TODAY())+0,1))-MONTH(Tools!$Q34)))&lt;Tools!$L34)),Tools!$N34,""))</f>
        <v/>
      </c>
      <c r="D35" s="30">
        <f>IF(OR(Tools!$B34="",Tools!$Q34=""),"",IF(AND(((YEAR(DATE(YEAR(TODAY()),MONTH(TODAY())+1,1))-YEAR(Tools!$Q34))*12+MONTH(DATE(YEAR(TODAY()),MONTH(TODAY())+1,1))-MONTH(Tools!$Q34))&gt;=0,MOD(((YEAR(DATE(YEAR(TODAY()),MONTH(TODAY())+1,1))-YEAR(Tools!$Q34))*12+MONTH(DATE(YEAR(TODAY()),MONTH(TODAY())+1,1))-MONTH(Tools!$Q34)),Tools!$U34)=0,OR(Tools!$L34="",EDATE(Tools!$Q34,((YEAR(DATE(YEAR(TODAY()),MONTH(TODAY())+1,1))-YEAR(Tools!$Q34))*12+MONTH(DATE(YEAR(TODAY()),MONTH(TODAY())+1,1))-MONTH(Tools!$Q34)))&lt;Tools!$L34)),Tools!$N34,""))</f>
        <v/>
      </c>
      <c r="E35" s="30">
        <f>IF(OR(Tools!$B34="",Tools!$Q34=""),"",IF(AND(((YEAR(DATE(YEAR(TODAY()),MONTH(TODAY())+2,1))-YEAR(Tools!$Q34))*12+MONTH(DATE(YEAR(TODAY()),MONTH(TODAY())+2,1))-MONTH(Tools!$Q34))&gt;=0,MOD(((YEAR(DATE(YEAR(TODAY()),MONTH(TODAY())+2,1))-YEAR(Tools!$Q34))*12+MONTH(DATE(YEAR(TODAY()),MONTH(TODAY())+2,1))-MONTH(Tools!$Q34)),Tools!$U34)=0,OR(Tools!$L34="",EDATE(Tools!$Q34,((YEAR(DATE(YEAR(TODAY()),MONTH(TODAY())+2,1))-YEAR(Tools!$Q34))*12+MONTH(DATE(YEAR(TODAY()),MONTH(TODAY())+2,1))-MONTH(Tools!$Q34)))&lt;Tools!$L34)),Tools!$N34,""))</f>
        <v/>
      </c>
      <c r="F35" s="30">
        <f>IF(OR(Tools!$B34="",Tools!$Q34=""),"",IF(AND(((YEAR(DATE(YEAR(TODAY()),MONTH(TODAY())+3,1))-YEAR(Tools!$Q34))*12+MONTH(DATE(YEAR(TODAY()),MONTH(TODAY())+3,1))-MONTH(Tools!$Q34))&gt;=0,MOD(((YEAR(DATE(YEAR(TODAY()),MONTH(TODAY())+3,1))-YEAR(Tools!$Q34))*12+MONTH(DATE(YEAR(TODAY()),MONTH(TODAY())+3,1))-MONTH(Tools!$Q34)),Tools!$U34)=0,OR(Tools!$L34="",EDATE(Tools!$Q34,((YEAR(DATE(YEAR(TODAY()),MONTH(TODAY())+3,1))-YEAR(Tools!$Q34))*12+MONTH(DATE(YEAR(TODAY()),MONTH(TODAY())+3,1))-MONTH(Tools!$Q34)))&lt;Tools!$L34)),Tools!$N34,""))</f>
        <v/>
      </c>
      <c r="G35" s="30">
        <f>IF(OR(Tools!$B34="",Tools!$Q34=""),"",IF(AND(((YEAR(DATE(YEAR(TODAY()),MONTH(TODAY())+4,1))-YEAR(Tools!$Q34))*12+MONTH(DATE(YEAR(TODAY()),MONTH(TODAY())+4,1))-MONTH(Tools!$Q34))&gt;=0,MOD(((YEAR(DATE(YEAR(TODAY()),MONTH(TODAY())+4,1))-YEAR(Tools!$Q34))*12+MONTH(DATE(YEAR(TODAY()),MONTH(TODAY())+4,1))-MONTH(Tools!$Q34)),Tools!$U34)=0,OR(Tools!$L34="",EDATE(Tools!$Q34,((YEAR(DATE(YEAR(TODAY()),MONTH(TODAY())+4,1))-YEAR(Tools!$Q34))*12+MONTH(DATE(YEAR(TODAY()),MONTH(TODAY())+4,1))-MONTH(Tools!$Q34)))&lt;Tools!$L34)),Tools!$N34,""))</f>
        <v/>
      </c>
      <c r="H35" s="30">
        <f>IF(OR(Tools!$B34="",Tools!$Q34=""),"",IF(AND(((YEAR(DATE(YEAR(TODAY()),MONTH(TODAY())+5,1))-YEAR(Tools!$Q34))*12+MONTH(DATE(YEAR(TODAY()),MONTH(TODAY())+5,1))-MONTH(Tools!$Q34))&gt;=0,MOD(((YEAR(DATE(YEAR(TODAY()),MONTH(TODAY())+5,1))-YEAR(Tools!$Q34))*12+MONTH(DATE(YEAR(TODAY()),MONTH(TODAY())+5,1))-MONTH(Tools!$Q34)),Tools!$U34)=0,OR(Tools!$L34="",EDATE(Tools!$Q34,((YEAR(DATE(YEAR(TODAY()),MONTH(TODAY())+5,1))-YEAR(Tools!$Q34))*12+MONTH(DATE(YEAR(TODAY()),MONTH(TODAY())+5,1))-MONTH(Tools!$Q34)))&lt;Tools!$L34)),Tools!$N34,""))</f>
        <v/>
      </c>
      <c r="I35" s="30">
        <f>IF(OR(Tools!$B34="",Tools!$Q34=""),"",IF(AND(((YEAR(DATE(YEAR(TODAY()),MONTH(TODAY())+6,1))-YEAR(Tools!$Q34))*12+MONTH(DATE(YEAR(TODAY()),MONTH(TODAY())+6,1))-MONTH(Tools!$Q34))&gt;=0,MOD(((YEAR(DATE(YEAR(TODAY()),MONTH(TODAY())+6,1))-YEAR(Tools!$Q34))*12+MONTH(DATE(YEAR(TODAY()),MONTH(TODAY())+6,1))-MONTH(Tools!$Q34)),Tools!$U34)=0,OR(Tools!$L34="",EDATE(Tools!$Q34,((YEAR(DATE(YEAR(TODAY()),MONTH(TODAY())+6,1))-YEAR(Tools!$Q34))*12+MONTH(DATE(YEAR(TODAY()),MONTH(TODAY())+6,1))-MONTH(Tools!$Q34)))&lt;Tools!$L34)),Tools!$N34,""))</f>
        <v/>
      </c>
      <c r="J35" s="30">
        <f>IF(OR(Tools!$B34="",Tools!$Q34=""),"",IF(AND(((YEAR(DATE(YEAR(TODAY()),MONTH(TODAY())+7,1))-YEAR(Tools!$Q34))*12+MONTH(DATE(YEAR(TODAY()),MONTH(TODAY())+7,1))-MONTH(Tools!$Q34))&gt;=0,MOD(((YEAR(DATE(YEAR(TODAY()),MONTH(TODAY())+7,1))-YEAR(Tools!$Q34))*12+MONTH(DATE(YEAR(TODAY()),MONTH(TODAY())+7,1))-MONTH(Tools!$Q34)),Tools!$U34)=0,OR(Tools!$L34="",EDATE(Tools!$Q34,((YEAR(DATE(YEAR(TODAY()),MONTH(TODAY())+7,1))-YEAR(Tools!$Q34))*12+MONTH(DATE(YEAR(TODAY()),MONTH(TODAY())+7,1))-MONTH(Tools!$Q34)))&lt;Tools!$L34)),Tools!$N34,""))</f>
        <v/>
      </c>
      <c r="K35" s="30">
        <f>IF(OR(Tools!$B34="",Tools!$Q34=""),"",IF(AND(((YEAR(DATE(YEAR(TODAY()),MONTH(TODAY())+8,1))-YEAR(Tools!$Q34))*12+MONTH(DATE(YEAR(TODAY()),MONTH(TODAY())+8,1))-MONTH(Tools!$Q34))&gt;=0,MOD(((YEAR(DATE(YEAR(TODAY()),MONTH(TODAY())+8,1))-YEAR(Tools!$Q34))*12+MONTH(DATE(YEAR(TODAY()),MONTH(TODAY())+8,1))-MONTH(Tools!$Q34)),Tools!$U34)=0,OR(Tools!$L34="",EDATE(Tools!$Q34,((YEAR(DATE(YEAR(TODAY()),MONTH(TODAY())+8,1))-YEAR(Tools!$Q34))*12+MONTH(DATE(YEAR(TODAY()),MONTH(TODAY())+8,1))-MONTH(Tools!$Q34)))&lt;Tools!$L34)),Tools!$N34,""))</f>
        <v/>
      </c>
      <c r="L35" s="30">
        <f>IF(OR(Tools!$B34="",Tools!$Q34=""),"",IF(AND(((YEAR(DATE(YEAR(TODAY()),MONTH(TODAY())+9,1))-YEAR(Tools!$Q34))*12+MONTH(DATE(YEAR(TODAY()),MONTH(TODAY())+9,1))-MONTH(Tools!$Q34))&gt;=0,MOD(((YEAR(DATE(YEAR(TODAY()),MONTH(TODAY())+9,1))-YEAR(Tools!$Q34))*12+MONTH(DATE(YEAR(TODAY()),MONTH(TODAY())+9,1))-MONTH(Tools!$Q34)),Tools!$U34)=0,OR(Tools!$L34="",EDATE(Tools!$Q34,((YEAR(DATE(YEAR(TODAY()),MONTH(TODAY())+9,1))-YEAR(Tools!$Q34))*12+MONTH(DATE(YEAR(TODAY()),MONTH(TODAY())+9,1))-MONTH(Tools!$Q34)))&lt;Tools!$L34)),Tools!$N34,""))</f>
        <v/>
      </c>
      <c r="M35" s="30">
        <f>IF(OR(Tools!$B34="",Tools!$Q34=""),"",IF(AND(((YEAR(DATE(YEAR(TODAY()),MONTH(TODAY())+10,1))-YEAR(Tools!$Q34))*12+MONTH(DATE(YEAR(TODAY()),MONTH(TODAY())+10,1))-MONTH(Tools!$Q34))&gt;=0,MOD(((YEAR(DATE(YEAR(TODAY()),MONTH(TODAY())+10,1))-YEAR(Tools!$Q34))*12+MONTH(DATE(YEAR(TODAY()),MONTH(TODAY())+10,1))-MONTH(Tools!$Q34)),Tools!$U34)=0,OR(Tools!$L34="",EDATE(Tools!$Q34,((YEAR(DATE(YEAR(TODAY()),MONTH(TODAY())+10,1))-YEAR(Tools!$Q34))*12+MONTH(DATE(YEAR(TODAY()),MONTH(TODAY())+10,1))-MONTH(Tools!$Q34)))&lt;Tools!$L34)),Tools!$N34,""))</f>
        <v/>
      </c>
      <c r="N35" s="30">
        <f>IF(OR(Tools!$B34="",Tools!$Q34=""),"",IF(AND(((YEAR(DATE(YEAR(TODAY()),MONTH(TODAY())+11,1))-YEAR(Tools!$Q34))*12+MONTH(DATE(YEAR(TODAY()),MONTH(TODAY())+11,1))-MONTH(Tools!$Q34))&gt;=0,MOD(((YEAR(DATE(YEAR(TODAY()),MONTH(TODAY())+11,1))-YEAR(Tools!$Q34))*12+MONTH(DATE(YEAR(TODAY()),MONTH(TODAY())+11,1))-MONTH(Tools!$Q34)),Tools!$U34)=0,OR(Tools!$L34="",EDATE(Tools!$Q34,((YEAR(DATE(YEAR(TODAY()),MONTH(TODAY())+11,1))-YEAR(Tools!$Q34))*12+MONTH(DATE(YEAR(TODAY()),MONTH(TODAY())+11,1))-MONTH(Tools!$Q34)))&lt;Tools!$L34)),Tools!$N34,""))</f>
        <v/>
      </c>
      <c r="O35" s="31">
        <f>IF(B35="","",SUM(C35:N35))</f>
        <v/>
      </c>
      <c r="P35" s="1" t="n"/>
    </row>
    <row r="36">
      <c r="A36" s="1" t="n"/>
      <c r="B36" s="11">
        <f>IF(Tools!B35="","",Tools!B35)</f>
        <v/>
      </c>
      <c r="C36" s="30">
        <f>IF(OR(Tools!$B35="",Tools!$Q35=""),"",IF(AND(((YEAR(DATE(YEAR(TODAY()),MONTH(TODAY())+0,1))-YEAR(Tools!$Q35))*12+MONTH(DATE(YEAR(TODAY()),MONTH(TODAY())+0,1))-MONTH(Tools!$Q35))&gt;=0,MOD(((YEAR(DATE(YEAR(TODAY()),MONTH(TODAY())+0,1))-YEAR(Tools!$Q35))*12+MONTH(DATE(YEAR(TODAY()),MONTH(TODAY())+0,1))-MONTH(Tools!$Q35)),Tools!$U35)=0,OR(Tools!$L35="",EDATE(Tools!$Q35,((YEAR(DATE(YEAR(TODAY()),MONTH(TODAY())+0,1))-YEAR(Tools!$Q35))*12+MONTH(DATE(YEAR(TODAY()),MONTH(TODAY())+0,1))-MONTH(Tools!$Q35)))&lt;Tools!$L35)),Tools!$N35,""))</f>
        <v/>
      </c>
      <c r="D36" s="30">
        <f>IF(OR(Tools!$B35="",Tools!$Q35=""),"",IF(AND(((YEAR(DATE(YEAR(TODAY()),MONTH(TODAY())+1,1))-YEAR(Tools!$Q35))*12+MONTH(DATE(YEAR(TODAY()),MONTH(TODAY())+1,1))-MONTH(Tools!$Q35))&gt;=0,MOD(((YEAR(DATE(YEAR(TODAY()),MONTH(TODAY())+1,1))-YEAR(Tools!$Q35))*12+MONTH(DATE(YEAR(TODAY()),MONTH(TODAY())+1,1))-MONTH(Tools!$Q35)),Tools!$U35)=0,OR(Tools!$L35="",EDATE(Tools!$Q35,((YEAR(DATE(YEAR(TODAY()),MONTH(TODAY())+1,1))-YEAR(Tools!$Q35))*12+MONTH(DATE(YEAR(TODAY()),MONTH(TODAY())+1,1))-MONTH(Tools!$Q35)))&lt;Tools!$L35)),Tools!$N35,""))</f>
        <v/>
      </c>
      <c r="E36" s="30">
        <f>IF(OR(Tools!$B35="",Tools!$Q35=""),"",IF(AND(((YEAR(DATE(YEAR(TODAY()),MONTH(TODAY())+2,1))-YEAR(Tools!$Q35))*12+MONTH(DATE(YEAR(TODAY()),MONTH(TODAY())+2,1))-MONTH(Tools!$Q35))&gt;=0,MOD(((YEAR(DATE(YEAR(TODAY()),MONTH(TODAY())+2,1))-YEAR(Tools!$Q35))*12+MONTH(DATE(YEAR(TODAY()),MONTH(TODAY())+2,1))-MONTH(Tools!$Q35)),Tools!$U35)=0,OR(Tools!$L35="",EDATE(Tools!$Q35,((YEAR(DATE(YEAR(TODAY()),MONTH(TODAY())+2,1))-YEAR(Tools!$Q35))*12+MONTH(DATE(YEAR(TODAY()),MONTH(TODAY())+2,1))-MONTH(Tools!$Q35)))&lt;Tools!$L35)),Tools!$N35,""))</f>
        <v/>
      </c>
      <c r="F36" s="30">
        <f>IF(OR(Tools!$B35="",Tools!$Q35=""),"",IF(AND(((YEAR(DATE(YEAR(TODAY()),MONTH(TODAY())+3,1))-YEAR(Tools!$Q35))*12+MONTH(DATE(YEAR(TODAY()),MONTH(TODAY())+3,1))-MONTH(Tools!$Q35))&gt;=0,MOD(((YEAR(DATE(YEAR(TODAY()),MONTH(TODAY())+3,1))-YEAR(Tools!$Q35))*12+MONTH(DATE(YEAR(TODAY()),MONTH(TODAY())+3,1))-MONTH(Tools!$Q35)),Tools!$U35)=0,OR(Tools!$L35="",EDATE(Tools!$Q35,((YEAR(DATE(YEAR(TODAY()),MONTH(TODAY())+3,1))-YEAR(Tools!$Q35))*12+MONTH(DATE(YEAR(TODAY()),MONTH(TODAY())+3,1))-MONTH(Tools!$Q35)))&lt;Tools!$L35)),Tools!$N35,""))</f>
        <v/>
      </c>
      <c r="G36" s="30">
        <f>IF(OR(Tools!$B35="",Tools!$Q35=""),"",IF(AND(((YEAR(DATE(YEAR(TODAY()),MONTH(TODAY())+4,1))-YEAR(Tools!$Q35))*12+MONTH(DATE(YEAR(TODAY()),MONTH(TODAY())+4,1))-MONTH(Tools!$Q35))&gt;=0,MOD(((YEAR(DATE(YEAR(TODAY()),MONTH(TODAY())+4,1))-YEAR(Tools!$Q35))*12+MONTH(DATE(YEAR(TODAY()),MONTH(TODAY())+4,1))-MONTH(Tools!$Q35)),Tools!$U35)=0,OR(Tools!$L35="",EDATE(Tools!$Q35,((YEAR(DATE(YEAR(TODAY()),MONTH(TODAY())+4,1))-YEAR(Tools!$Q35))*12+MONTH(DATE(YEAR(TODAY()),MONTH(TODAY())+4,1))-MONTH(Tools!$Q35)))&lt;Tools!$L35)),Tools!$N35,""))</f>
        <v/>
      </c>
      <c r="H36" s="30">
        <f>IF(OR(Tools!$B35="",Tools!$Q35=""),"",IF(AND(((YEAR(DATE(YEAR(TODAY()),MONTH(TODAY())+5,1))-YEAR(Tools!$Q35))*12+MONTH(DATE(YEAR(TODAY()),MONTH(TODAY())+5,1))-MONTH(Tools!$Q35))&gt;=0,MOD(((YEAR(DATE(YEAR(TODAY()),MONTH(TODAY())+5,1))-YEAR(Tools!$Q35))*12+MONTH(DATE(YEAR(TODAY()),MONTH(TODAY())+5,1))-MONTH(Tools!$Q35)),Tools!$U35)=0,OR(Tools!$L35="",EDATE(Tools!$Q35,((YEAR(DATE(YEAR(TODAY()),MONTH(TODAY())+5,1))-YEAR(Tools!$Q35))*12+MONTH(DATE(YEAR(TODAY()),MONTH(TODAY())+5,1))-MONTH(Tools!$Q35)))&lt;Tools!$L35)),Tools!$N35,""))</f>
        <v/>
      </c>
      <c r="I36" s="30">
        <f>IF(OR(Tools!$B35="",Tools!$Q35=""),"",IF(AND(((YEAR(DATE(YEAR(TODAY()),MONTH(TODAY())+6,1))-YEAR(Tools!$Q35))*12+MONTH(DATE(YEAR(TODAY()),MONTH(TODAY())+6,1))-MONTH(Tools!$Q35))&gt;=0,MOD(((YEAR(DATE(YEAR(TODAY()),MONTH(TODAY())+6,1))-YEAR(Tools!$Q35))*12+MONTH(DATE(YEAR(TODAY()),MONTH(TODAY())+6,1))-MONTH(Tools!$Q35)),Tools!$U35)=0,OR(Tools!$L35="",EDATE(Tools!$Q35,((YEAR(DATE(YEAR(TODAY()),MONTH(TODAY())+6,1))-YEAR(Tools!$Q35))*12+MONTH(DATE(YEAR(TODAY()),MONTH(TODAY())+6,1))-MONTH(Tools!$Q35)))&lt;Tools!$L35)),Tools!$N35,""))</f>
        <v/>
      </c>
      <c r="J36" s="30">
        <f>IF(OR(Tools!$B35="",Tools!$Q35=""),"",IF(AND(((YEAR(DATE(YEAR(TODAY()),MONTH(TODAY())+7,1))-YEAR(Tools!$Q35))*12+MONTH(DATE(YEAR(TODAY()),MONTH(TODAY())+7,1))-MONTH(Tools!$Q35))&gt;=0,MOD(((YEAR(DATE(YEAR(TODAY()),MONTH(TODAY())+7,1))-YEAR(Tools!$Q35))*12+MONTH(DATE(YEAR(TODAY()),MONTH(TODAY())+7,1))-MONTH(Tools!$Q35)),Tools!$U35)=0,OR(Tools!$L35="",EDATE(Tools!$Q35,((YEAR(DATE(YEAR(TODAY()),MONTH(TODAY())+7,1))-YEAR(Tools!$Q35))*12+MONTH(DATE(YEAR(TODAY()),MONTH(TODAY())+7,1))-MONTH(Tools!$Q35)))&lt;Tools!$L35)),Tools!$N35,""))</f>
        <v/>
      </c>
      <c r="K36" s="30">
        <f>IF(OR(Tools!$B35="",Tools!$Q35=""),"",IF(AND(((YEAR(DATE(YEAR(TODAY()),MONTH(TODAY())+8,1))-YEAR(Tools!$Q35))*12+MONTH(DATE(YEAR(TODAY()),MONTH(TODAY())+8,1))-MONTH(Tools!$Q35))&gt;=0,MOD(((YEAR(DATE(YEAR(TODAY()),MONTH(TODAY())+8,1))-YEAR(Tools!$Q35))*12+MONTH(DATE(YEAR(TODAY()),MONTH(TODAY())+8,1))-MONTH(Tools!$Q35)),Tools!$U35)=0,OR(Tools!$L35="",EDATE(Tools!$Q35,((YEAR(DATE(YEAR(TODAY()),MONTH(TODAY())+8,1))-YEAR(Tools!$Q35))*12+MONTH(DATE(YEAR(TODAY()),MONTH(TODAY())+8,1))-MONTH(Tools!$Q35)))&lt;Tools!$L35)),Tools!$N35,""))</f>
        <v/>
      </c>
      <c r="L36" s="30">
        <f>IF(OR(Tools!$B35="",Tools!$Q35=""),"",IF(AND(((YEAR(DATE(YEAR(TODAY()),MONTH(TODAY())+9,1))-YEAR(Tools!$Q35))*12+MONTH(DATE(YEAR(TODAY()),MONTH(TODAY())+9,1))-MONTH(Tools!$Q35))&gt;=0,MOD(((YEAR(DATE(YEAR(TODAY()),MONTH(TODAY())+9,1))-YEAR(Tools!$Q35))*12+MONTH(DATE(YEAR(TODAY()),MONTH(TODAY())+9,1))-MONTH(Tools!$Q35)),Tools!$U35)=0,OR(Tools!$L35="",EDATE(Tools!$Q35,((YEAR(DATE(YEAR(TODAY()),MONTH(TODAY())+9,1))-YEAR(Tools!$Q35))*12+MONTH(DATE(YEAR(TODAY()),MONTH(TODAY())+9,1))-MONTH(Tools!$Q35)))&lt;Tools!$L35)),Tools!$N35,""))</f>
        <v/>
      </c>
      <c r="M36" s="30">
        <f>IF(OR(Tools!$B35="",Tools!$Q35=""),"",IF(AND(((YEAR(DATE(YEAR(TODAY()),MONTH(TODAY())+10,1))-YEAR(Tools!$Q35))*12+MONTH(DATE(YEAR(TODAY()),MONTH(TODAY())+10,1))-MONTH(Tools!$Q35))&gt;=0,MOD(((YEAR(DATE(YEAR(TODAY()),MONTH(TODAY())+10,1))-YEAR(Tools!$Q35))*12+MONTH(DATE(YEAR(TODAY()),MONTH(TODAY())+10,1))-MONTH(Tools!$Q35)),Tools!$U35)=0,OR(Tools!$L35="",EDATE(Tools!$Q35,((YEAR(DATE(YEAR(TODAY()),MONTH(TODAY())+10,1))-YEAR(Tools!$Q35))*12+MONTH(DATE(YEAR(TODAY()),MONTH(TODAY())+10,1))-MONTH(Tools!$Q35)))&lt;Tools!$L35)),Tools!$N35,""))</f>
        <v/>
      </c>
      <c r="N36" s="30">
        <f>IF(OR(Tools!$B35="",Tools!$Q35=""),"",IF(AND(((YEAR(DATE(YEAR(TODAY()),MONTH(TODAY())+11,1))-YEAR(Tools!$Q35))*12+MONTH(DATE(YEAR(TODAY()),MONTH(TODAY())+11,1))-MONTH(Tools!$Q35))&gt;=0,MOD(((YEAR(DATE(YEAR(TODAY()),MONTH(TODAY())+11,1))-YEAR(Tools!$Q35))*12+MONTH(DATE(YEAR(TODAY()),MONTH(TODAY())+11,1))-MONTH(Tools!$Q35)),Tools!$U35)=0,OR(Tools!$L35="",EDATE(Tools!$Q35,((YEAR(DATE(YEAR(TODAY()),MONTH(TODAY())+11,1))-YEAR(Tools!$Q35))*12+MONTH(DATE(YEAR(TODAY()),MONTH(TODAY())+11,1))-MONTH(Tools!$Q35)))&lt;Tools!$L35)),Tools!$N35,""))</f>
        <v/>
      </c>
      <c r="O36" s="31">
        <f>IF(B36="","",SUM(C36:N36))</f>
        <v/>
      </c>
      <c r="P36" s="1" t="n"/>
    </row>
    <row r="37">
      <c r="A37" s="1" t="n"/>
      <c r="B37" s="11">
        <f>IF(Tools!B36="","",Tools!B36)</f>
        <v/>
      </c>
      <c r="C37" s="30">
        <f>IF(OR(Tools!$B36="",Tools!$Q36=""),"",IF(AND(((YEAR(DATE(YEAR(TODAY()),MONTH(TODAY())+0,1))-YEAR(Tools!$Q36))*12+MONTH(DATE(YEAR(TODAY()),MONTH(TODAY())+0,1))-MONTH(Tools!$Q36))&gt;=0,MOD(((YEAR(DATE(YEAR(TODAY()),MONTH(TODAY())+0,1))-YEAR(Tools!$Q36))*12+MONTH(DATE(YEAR(TODAY()),MONTH(TODAY())+0,1))-MONTH(Tools!$Q36)),Tools!$U36)=0,OR(Tools!$L36="",EDATE(Tools!$Q36,((YEAR(DATE(YEAR(TODAY()),MONTH(TODAY())+0,1))-YEAR(Tools!$Q36))*12+MONTH(DATE(YEAR(TODAY()),MONTH(TODAY())+0,1))-MONTH(Tools!$Q36)))&lt;Tools!$L36)),Tools!$N36,""))</f>
        <v/>
      </c>
      <c r="D37" s="30">
        <f>IF(OR(Tools!$B36="",Tools!$Q36=""),"",IF(AND(((YEAR(DATE(YEAR(TODAY()),MONTH(TODAY())+1,1))-YEAR(Tools!$Q36))*12+MONTH(DATE(YEAR(TODAY()),MONTH(TODAY())+1,1))-MONTH(Tools!$Q36))&gt;=0,MOD(((YEAR(DATE(YEAR(TODAY()),MONTH(TODAY())+1,1))-YEAR(Tools!$Q36))*12+MONTH(DATE(YEAR(TODAY()),MONTH(TODAY())+1,1))-MONTH(Tools!$Q36)),Tools!$U36)=0,OR(Tools!$L36="",EDATE(Tools!$Q36,((YEAR(DATE(YEAR(TODAY()),MONTH(TODAY())+1,1))-YEAR(Tools!$Q36))*12+MONTH(DATE(YEAR(TODAY()),MONTH(TODAY())+1,1))-MONTH(Tools!$Q36)))&lt;Tools!$L36)),Tools!$N36,""))</f>
        <v/>
      </c>
      <c r="E37" s="30">
        <f>IF(OR(Tools!$B36="",Tools!$Q36=""),"",IF(AND(((YEAR(DATE(YEAR(TODAY()),MONTH(TODAY())+2,1))-YEAR(Tools!$Q36))*12+MONTH(DATE(YEAR(TODAY()),MONTH(TODAY())+2,1))-MONTH(Tools!$Q36))&gt;=0,MOD(((YEAR(DATE(YEAR(TODAY()),MONTH(TODAY())+2,1))-YEAR(Tools!$Q36))*12+MONTH(DATE(YEAR(TODAY()),MONTH(TODAY())+2,1))-MONTH(Tools!$Q36)),Tools!$U36)=0,OR(Tools!$L36="",EDATE(Tools!$Q36,((YEAR(DATE(YEAR(TODAY()),MONTH(TODAY())+2,1))-YEAR(Tools!$Q36))*12+MONTH(DATE(YEAR(TODAY()),MONTH(TODAY())+2,1))-MONTH(Tools!$Q36)))&lt;Tools!$L36)),Tools!$N36,""))</f>
        <v/>
      </c>
      <c r="F37" s="30">
        <f>IF(OR(Tools!$B36="",Tools!$Q36=""),"",IF(AND(((YEAR(DATE(YEAR(TODAY()),MONTH(TODAY())+3,1))-YEAR(Tools!$Q36))*12+MONTH(DATE(YEAR(TODAY()),MONTH(TODAY())+3,1))-MONTH(Tools!$Q36))&gt;=0,MOD(((YEAR(DATE(YEAR(TODAY()),MONTH(TODAY())+3,1))-YEAR(Tools!$Q36))*12+MONTH(DATE(YEAR(TODAY()),MONTH(TODAY())+3,1))-MONTH(Tools!$Q36)),Tools!$U36)=0,OR(Tools!$L36="",EDATE(Tools!$Q36,((YEAR(DATE(YEAR(TODAY()),MONTH(TODAY())+3,1))-YEAR(Tools!$Q36))*12+MONTH(DATE(YEAR(TODAY()),MONTH(TODAY())+3,1))-MONTH(Tools!$Q36)))&lt;Tools!$L36)),Tools!$N36,""))</f>
        <v/>
      </c>
      <c r="G37" s="30">
        <f>IF(OR(Tools!$B36="",Tools!$Q36=""),"",IF(AND(((YEAR(DATE(YEAR(TODAY()),MONTH(TODAY())+4,1))-YEAR(Tools!$Q36))*12+MONTH(DATE(YEAR(TODAY()),MONTH(TODAY())+4,1))-MONTH(Tools!$Q36))&gt;=0,MOD(((YEAR(DATE(YEAR(TODAY()),MONTH(TODAY())+4,1))-YEAR(Tools!$Q36))*12+MONTH(DATE(YEAR(TODAY()),MONTH(TODAY())+4,1))-MONTH(Tools!$Q36)),Tools!$U36)=0,OR(Tools!$L36="",EDATE(Tools!$Q36,((YEAR(DATE(YEAR(TODAY()),MONTH(TODAY())+4,1))-YEAR(Tools!$Q36))*12+MONTH(DATE(YEAR(TODAY()),MONTH(TODAY())+4,1))-MONTH(Tools!$Q36)))&lt;Tools!$L36)),Tools!$N36,""))</f>
        <v/>
      </c>
      <c r="H37" s="30">
        <f>IF(OR(Tools!$B36="",Tools!$Q36=""),"",IF(AND(((YEAR(DATE(YEAR(TODAY()),MONTH(TODAY())+5,1))-YEAR(Tools!$Q36))*12+MONTH(DATE(YEAR(TODAY()),MONTH(TODAY())+5,1))-MONTH(Tools!$Q36))&gt;=0,MOD(((YEAR(DATE(YEAR(TODAY()),MONTH(TODAY())+5,1))-YEAR(Tools!$Q36))*12+MONTH(DATE(YEAR(TODAY()),MONTH(TODAY())+5,1))-MONTH(Tools!$Q36)),Tools!$U36)=0,OR(Tools!$L36="",EDATE(Tools!$Q36,((YEAR(DATE(YEAR(TODAY()),MONTH(TODAY())+5,1))-YEAR(Tools!$Q36))*12+MONTH(DATE(YEAR(TODAY()),MONTH(TODAY())+5,1))-MONTH(Tools!$Q36)))&lt;Tools!$L36)),Tools!$N36,""))</f>
        <v/>
      </c>
      <c r="I37" s="30">
        <f>IF(OR(Tools!$B36="",Tools!$Q36=""),"",IF(AND(((YEAR(DATE(YEAR(TODAY()),MONTH(TODAY())+6,1))-YEAR(Tools!$Q36))*12+MONTH(DATE(YEAR(TODAY()),MONTH(TODAY())+6,1))-MONTH(Tools!$Q36))&gt;=0,MOD(((YEAR(DATE(YEAR(TODAY()),MONTH(TODAY())+6,1))-YEAR(Tools!$Q36))*12+MONTH(DATE(YEAR(TODAY()),MONTH(TODAY())+6,1))-MONTH(Tools!$Q36)),Tools!$U36)=0,OR(Tools!$L36="",EDATE(Tools!$Q36,((YEAR(DATE(YEAR(TODAY()),MONTH(TODAY())+6,1))-YEAR(Tools!$Q36))*12+MONTH(DATE(YEAR(TODAY()),MONTH(TODAY())+6,1))-MONTH(Tools!$Q36)))&lt;Tools!$L36)),Tools!$N36,""))</f>
        <v/>
      </c>
      <c r="J37" s="30">
        <f>IF(OR(Tools!$B36="",Tools!$Q36=""),"",IF(AND(((YEAR(DATE(YEAR(TODAY()),MONTH(TODAY())+7,1))-YEAR(Tools!$Q36))*12+MONTH(DATE(YEAR(TODAY()),MONTH(TODAY())+7,1))-MONTH(Tools!$Q36))&gt;=0,MOD(((YEAR(DATE(YEAR(TODAY()),MONTH(TODAY())+7,1))-YEAR(Tools!$Q36))*12+MONTH(DATE(YEAR(TODAY()),MONTH(TODAY())+7,1))-MONTH(Tools!$Q36)),Tools!$U36)=0,OR(Tools!$L36="",EDATE(Tools!$Q36,((YEAR(DATE(YEAR(TODAY()),MONTH(TODAY())+7,1))-YEAR(Tools!$Q36))*12+MONTH(DATE(YEAR(TODAY()),MONTH(TODAY())+7,1))-MONTH(Tools!$Q36)))&lt;Tools!$L36)),Tools!$N36,""))</f>
        <v/>
      </c>
      <c r="K37" s="30">
        <f>IF(OR(Tools!$B36="",Tools!$Q36=""),"",IF(AND(((YEAR(DATE(YEAR(TODAY()),MONTH(TODAY())+8,1))-YEAR(Tools!$Q36))*12+MONTH(DATE(YEAR(TODAY()),MONTH(TODAY())+8,1))-MONTH(Tools!$Q36))&gt;=0,MOD(((YEAR(DATE(YEAR(TODAY()),MONTH(TODAY())+8,1))-YEAR(Tools!$Q36))*12+MONTH(DATE(YEAR(TODAY()),MONTH(TODAY())+8,1))-MONTH(Tools!$Q36)),Tools!$U36)=0,OR(Tools!$L36="",EDATE(Tools!$Q36,((YEAR(DATE(YEAR(TODAY()),MONTH(TODAY())+8,1))-YEAR(Tools!$Q36))*12+MONTH(DATE(YEAR(TODAY()),MONTH(TODAY())+8,1))-MONTH(Tools!$Q36)))&lt;Tools!$L36)),Tools!$N36,""))</f>
        <v/>
      </c>
      <c r="L37" s="30">
        <f>IF(OR(Tools!$B36="",Tools!$Q36=""),"",IF(AND(((YEAR(DATE(YEAR(TODAY()),MONTH(TODAY())+9,1))-YEAR(Tools!$Q36))*12+MONTH(DATE(YEAR(TODAY()),MONTH(TODAY())+9,1))-MONTH(Tools!$Q36))&gt;=0,MOD(((YEAR(DATE(YEAR(TODAY()),MONTH(TODAY())+9,1))-YEAR(Tools!$Q36))*12+MONTH(DATE(YEAR(TODAY()),MONTH(TODAY())+9,1))-MONTH(Tools!$Q36)),Tools!$U36)=0,OR(Tools!$L36="",EDATE(Tools!$Q36,((YEAR(DATE(YEAR(TODAY()),MONTH(TODAY())+9,1))-YEAR(Tools!$Q36))*12+MONTH(DATE(YEAR(TODAY()),MONTH(TODAY())+9,1))-MONTH(Tools!$Q36)))&lt;Tools!$L36)),Tools!$N36,""))</f>
        <v/>
      </c>
      <c r="M37" s="30">
        <f>IF(OR(Tools!$B36="",Tools!$Q36=""),"",IF(AND(((YEAR(DATE(YEAR(TODAY()),MONTH(TODAY())+10,1))-YEAR(Tools!$Q36))*12+MONTH(DATE(YEAR(TODAY()),MONTH(TODAY())+10,1))-MONTH(Tools!$Q36))&gt;=0,MOD(((YEAR(DATE(YEAR(TODAY()),MONTH(TODAY())+10,1))-YEAR(Tools!$Q36))*12+MONTH(DATE(YEAR(TODAY()),MONTH(TODAY())+10,1))-MONTH(Tools!$Q36)),Tools!$U36)=0,OR(Tools!$L36="",EDATE(Tools!$Q36,((YEAR(DATE(YEAR(TODAY()),MONTH(TODAY())+10,1))-YEAR(Tools!$Q36))*12+MONTH(DATE(YEAR(TODAY()),MONTH(TODAY())+10,1))-MONTH(Tools!$Q36)))&lt;Tools!$L36)),Tools!$N36,""))</f>
        <v/>
      </c>
      <c r="N37" s="30">
        <f>IF(OR(Tools!$B36="",Tools!$Q36=""),"",IF(AND(((YEAR(DATE(YEAR(TODAY()),MONTH(TODAY())+11,1))-YEAR(Tools!$Q36))*12+MONTH(DATE(YEAR(TODAY()),MONTH(TODAY())+11,1))-MONTH(Tools!$Q36))&gt;=0,MOD(((YEAR(DATE(YEAR(TODAY()),MONTH(TODAY())+11,1))-YEAR(Tools!$Q36))*12+MONTH(DATE(YEAR(TODAY()),MONTH(TODAY())+11,1))-MONTH(Tools!$Q36)),Tools!$U36)=0,OR(Tools!$L36="",EDATE(Tools!$Q36,((YEAR(DATE(YEAR(TODAY()),MONTH(TODAY())+11,1))-YEAR(Tools!$Q36))*12+MONTH(DATE(YEAR(TODAY()),MONTH(TODAY())+11,1))-MONTH(Tools!$Q36)))&lt;Tools!$L36)),Tools!$N36,""))</f>
        <v/>
      </c>
      <c r="O37" s="31">
        <f>IF(B37="","",SUM(C37:N37))</f>
        <v/>
      </c>
      <c r="P37" s="1" t="n"/>
    </row>
    <row r="38">
      <c r="A38" s="1" t="n"/>
      <c r="B38" s="11">
        <f>IF(Tools!B37="","",Tools!B37)</f>
        <v/>
      </c>
      <c r="C38" s="30">
        <f>IF(OR(Tools!$B37="",Tools!$Q37=""),"",IF(AND(((YEAR(DATE(YEAR(TODAY()),MONTH(TODAY())+0,1))-YEAR(Tools!$Q37))*12+MONTH(DATE(YEAR(TODAY()),MONTH(TODAY())+0,1))-MONTH(Tools!$Q37))&gt;=0,MOD(((YEAR(DATE(YEAR(TODAY()),MONTH(TODAY())+0,1))-YEAR(Tools!$Q37))*12+MONTH(DATE(YEAR(TODAY()),MONTH(TODAY())+0,1))-MONTH(Tools!$Q37)),Tools!$U37)=0,OR(Tools!$L37="",EDATE(Tools!$Q37,((YEAR(DATE(YEAR(TODAY()),MONTH(TODAY())+0,1))-YEAR(Tools!$Q37))*12+MONTH(DATE(YEAR(TODAY()),MONTH(TODAY())+0,1))-MONTH(Tools!$Q37)))&lt;Tools!$L37)),Tools!$N37,""))</f>
        <v/>
      </c>
      <c r="D38" s="30">
        <f>IF(OR(Tools!$B37="",Tools!$Q37=""),"",IF(AND(((YEAR(DATE(YEAR(TODAY()),MONTH(TODAY())+1,1))-YEAR(Tools!$Q37))*12+MONTH(DATE(YEAR(TODAY()),MONTH(TODAY())+1,1))-MONTH(Tools!$Q37))&gt;=0,MOD(((YEAR(DATE(YEAR(TODAY()),MONTH(TODAY())+1,1))-YEAR(Tools!$Q37))*12+MONTH(DATE(YEAR(TODAY()),MONTH(TODAY())+1,1))-MONTH(Tools!$Q37)),Tools!$U37)=0,OR(Tools!$L37="",EDATE(Tools!$Q37,((YEAR(DATE(YEAR(TODAY()),MONTH(TODAY())+1,1))-YEAR(Tools!$Q37))*12+MONTH(DATE(YEAR(TODAY()),MONTH(TODAY())+1,1))-MONTH(Tools!$Q37)))&lt;Tools!$L37)),Tools!$N37,""))</f>
        <v/>
      </c>
      <c r="E38" s="30">
        <f>IF(OR(Tools!$B37="",Tools!$Q37=""),"",IF(AND(((YEAR(DATE(YEAR(TODAY()),MONTH(TODAY())+2,1))-YEAR(Tools!$Q37))*12+MONTH(DATE(YEAR(TODAY()),MONTH(TODAY())+2,1))-MONTH(Tools!$Q37))&gt;=0,MOD(((YEAR(DATE(YEAR(TODAY()),MONTH(TODAY())+2,1))-YEAR(Tools!$Q37))*12+MONTH(DATE(YEAR(TODAY()),MONTH(TODAY())+2,1))-MONTH(Tools!$Q37)),Tools!$U37)=0,OR(Tools!$L37="",EDATE(Tools!$Q37,((YEAR(DATE(YEAR(TODAY()),MONTH(TODAY())+2,1))-YEAR(Tools!$Q37))*12+MONTH(DATE(YEAR(TODAY()),MONTH(TODAY())+2,1))-MONTH(Tools!$Q37)))&lt;Tools!$L37)),Tools!$N37,""))</f>
        <v/>
      </c>
      <c r="F38" s="30">
        <f>IF(OR(Tools!$B37="",Tools!$Q37=""),"",IF(AND(((YEAR(DATE(YEAR(TODAY()),MONTH(TODAY())+3,1))-YEAR(Tools!$Q37))*12+MONTH(DATE(YEAR(TODAY()),MONTH(TODAY())+3,1))-MONTH(Tools!$Q37))&gt;=0,MOD(((YEAR(DATE(YEAR(TODAY()),MONTH(TODAY())+3,1))-YEAR(Tools!$Q37))*12+MONTH(DATE(YEAR(TODAY()),MONTH(TODAY())+3,1))-MONTH(Tools!$Q37)),Tools!$U37)=0,OR(Tools!$L37="",EDATE(Tools!$Q37,((YEAR(DATE(YEAR(TODAY()),MONTH(TODAY())+3,1))-YEAR(Tools!$Q37))*12+MONTH(DATE(YEAR(TODAY()),MONTH(TODAY())+3,1))-MONTH(Tools!$Q37)))&lt;Tools!$L37)),Tools!$N37,""))</f>
        <v/>
      </c>
      <c r="G38" s="30">
        <f>IF(OR(Tools!$B37="",Tools!$Q37=""),"",IF(AND(((YEAR(DATE(YEAR(TODAY()),MONTH(TODAY())+4,1))-YEAR(Tools!$Q37))*12+MONTH(DATE(YEAR(TODAY()),MONTH(TODAY())+4,1))-MONTH(Tools!$Q37))&gt;=0,MOD(((YEAR(DATE(YEAR(TODAY()),MONTH(TODAY())+4,1))-YEAR(Tools!$Q37))*12+MONTH(DATE(YEAR(TODAY()),MONTH(TODAY())+4,1))-MONTH(Tools!$Q37)),Tools!$U37)=0,OR(Tools!$L37="",EDATE(Tools!$Q37,((YEAR(DATE(YEAR(TODAY()),MONTH(TODAY())+4,1))-YEAR(Tools!$Q37))*12+MONTH(DATE(YEAR(TODAY()),MONTH(TODAY())+4,1))-MONTH(Tools!$Q37)))&lt;Tools!$L37)),Tools!$N37,""))</f>
        <v/>
      </c>
      <c r="H38" s="30">
        <f>IF(OR(Tools!$B37="",Tools!$Q37=""),"",IF(AND(((YEAR(DATE(YEAR(TODAY()),MONTH(TODAY())+5,1))-YEAR(Tools!$Q37))*12+MONTH(DATE(YEAR(TODAY()),MONTH(TODAY())+5,1))-MONTH(Tools!$Q37))&gt;=0,MOD(((YEAR(DATE(YEAR(TODAY()),MONTH(TODAY())+5,1))-YEAR(Tools!$Q37))*12+MONTH(DATE(YEAR(TODAY()),MONTH(TODAY())+5,1))-MONTH(Tools!$Q37)),Tools!$U37)=0,OR(Tools!$L37="",EDATE(Tools!$Q37,((YEAR(DATE(YEAR(TODAY()),MONTH(TODAY())+5,1))-YEAR(Tools!$Q37))*12+MONTH(DATE(YEAR(TODAY()),MONTH(TODAY())+5,1))-MONTH(Tools!$Q37)))&lt;Tools!$L37)),Tools!$N37,""))</f>
        <v/>
      </c>
      <c r="I38" s="30">
        <f>IF(OR(Tools!$B37="",Tools!$Q37=""),"",IF(AND(((YEAR(DATE(YEAR(TODAY()),MONTH(TODAY())+6,1))-YEAR(Tools!$Q37))*12+MONTH(DATE(YEAR(TODAY()),MONTH(TODAY())+6,1))-MONTH(Tools!$Q37))&gt;=0,MOD(((YEAR(DATE(YEAR(TODAY()),MONTH(TODAY())+6,1))-YEAR(Tools!$Q37))*12+MONTH(DATE(YEAR(TODAY()),MONTH(TODAY())+6,1))-MONTH(Tools!$Q37)),Tools!$U37)=0,OR(Tools!$L37="",EDATE(Tools!$Q37,((YEAR(DATE(YEAR(TODAY()),MONTH(TODAY())+6,1))-YEAR(Tools!$Q37))*12+MONTH(DATE(YEAR(TODAY()),MONTH(TODAY())+6,1))-MONTH(Tools!$Q37)))&lt;Tools!$L37)),Tools!$N37,""))</f>
        <v/>
      </c>
      <c r="J38" s="30">
        <f>IF(OR(Tools!$B37="",Tools!$Q37=""),"",IF(AND(((YEAR(DATE(YEAR(TODAY()),MONTH(TODAY())+7,1))-YEAR(Tools!$Q37))*12+MONTH(DATE(YEAR(TODAY()),MONTH(TODAY())+7,1))-MONTH(Tools!$Q37))&gt;=0,MOD(((YEAR(DATE(YEAR(TODAY()),MONTH(TODAY())+7,1))-YEAR(Tools!$Q37))*12+MONTH(DATE(YEAR(TODAY()),MONTH(TODAY())+7,1))-MONTH(Tools!$Q37)),Tools!$U37)=0,OR(Tools!$L37="",EDATE(Tools!$Q37,((YEAR(DATE(YEAR(TODAY()),MONTH(TODAY())+7,1))-YEAR(Tools!$Q37))*12+MONTH(DATE(YEAR(TODAY()),MONTH(TODAY())+7,1))-MONTH(Tools!$Q37)))&lt;Tools!$L37)),Tools!$N37,""))</f>
        <v/>
      </c>
      <c r="K38" s="30">
        <f>IF(OR(Tools!$B37="",Tools!$Q37=""),"",IF(AND(((YEAR(DATE(YEAR(TODAY()),MONTH(TODAY())+8,1))-YEAR(Tools!$Q37))*12+MONTH(DATE(YEAR(TODAY()),MONTH(TODAY())+8,1))-MONTH(Tools!$Q37))&gt;=0,MOD(((YEAR(DATE(YEAR(TODAY()),MONTH(TODAY())+8,1))-YEAR(Tools!$Q37))*12+MONTH(DATE(YEAR(TODAY()),MONTH(TODAY())+8,1))-MONTH(Tools!$Q37)),Tools!$U37)=0,OR(Tools!$L37="",EDATE(Tools!$Q37,((YEAR(DATE(YEAR(TODAY()),MONTH(TODAY())+8,1))-YEAR(Tools!$Q37))*12+MONTH(DATE(YEAR(TODAY()),MONTH(TODAY())+8,1))-MONTH(Tools!$Q37)))&lt;Tools!$L37)),Tools!$N37,""))</f>
        <v/>
      </c>
      <c r="L38" s="30">
        <f>IF(OR(Tools!$B37="",Tools!$Q37=""),"",IF(AND(((YEAR(DATE(YEAR(TODAY()),MONTH(TODAY())+9,1))-YEAR(Tools!$Q37))*12+MONTH(DATE(YEAR(TODAY()),MONTH(TODAY())+9,1))-MONTH(Tools!$Q37))&gt;=0,MOD(((YEAR(DATE(YEAR(TODAY()),MONTH(TODAY())+9,1))-YEAR(Tools!$Q37))*12+MONTH(DATE(YEAR(TODAY()),MONTH(TODAY())+9,1))-MONTH(Tools!$Q37)),Tools!$U37)=0,OR(Tools!$L37="",EDATE(Tools!$Q37,((YEAR(DATE(YEAR(TODAY()),MONTH(TODAY())+9,1))-YEAR(Tools!$Q37))*12+MONTH(DATE(YEAR(TODAY()),MONTH(TODAY())+9,1))-MONTH(Tools!$Q37)))&lt;Tools!$L37)),Tools!$N37,""))</f>
        <v/>
      </c>
      <c r="M38" s="30">
        <f>IF(OR(Tools!$B37="",Tools!$Q37=""),"",IF(AND(((YEAR(DATE(YEAR(TODAY()),MONTH(TODAY())+10,1))-YEAR(Tools!$Q37))*12+MONTH(DATE(YEAR(TODAY()),MONTH(TODAY())+10,1))-MONTH(Tools!$Q37))&gt;=0,MOD(((YEAR(DATE(YEAR(TODAY()),MONTH(TODAY())+10,1))-YEAR(Tools!$Q37))*12+MONTH(DATE(YEAR(TODAY()),MONTH(TODAY())+10,1))-MONTH(Tools!$Q37)),Tools!$U37)=0,OR(Tools!$L37="",EDATE(Tools!$Q37,((YEAR(DATE(YEAR(TODAY()),MONTH(TODAY())+10,1))-YEAR(Tools!$Q37))*12+MONTH(DATE(YEAR(TODAY()),MONTH(TODAY())+10,1))-MONTH(Tools!$Q37)))&lt;Tools!$L37)),Tools!$N37,""))</f>
        <v/>
      </c>
      <c r="N38" s="30">
        <f>IF(OR(Tools!$B37="",Tools!$Q37=""),"",IF(AND(((YEAR(DATE(YEAR(TODAY()),MONTH(TODAY())+11,1))-YEAR(Tools!$Q37))*12+MONTH(DATE(YEAR(TODAY()),MONTH(TODAY())+11,1))-MONTH(Tools!$Q37))&gt;=0,MOD(((YEAR(DATE(YEAR(TODAY()),MONTH(TODAY())+11,1))-YEAR(Tools!$Q37))*12+MONTH(DATE(YEAR(TODAY()),MONTH(TODAY())+11,1))-MONTH(Tools!$Q37)),Tools!$U37)=0,OR(Tools!$L37="",EDATE(Tools!$Q37,((YEAR(DATE(YEAR(TODAY()),MONTH(TODAY())+11,1))-YEAR(Tools!$Q37))*12+MONTH(DATE(YEAR(TODAY()),MONTH(TODAY())+11,1))-MONTH(Tools!$Q37)))&lt;Tools!$L37)),Tools!$N37,""))</f>
        <v/>
      </c>
      <c r="O38" s="31">
        <f>IF(B38="","",SUM(C38:N38))</f>
        <v/>
      </c>
      <c r="P38" s="1" t="n"/>
    </row>
    <row r="39">
      <c r="A39" s="1" t="n"/>
      <c r="B39" s="11">
        <f>IF(Tools!B38="","",Tools!B38)</f>
        <v/>
      </c>
      <c r="C39" s="30">
        <f>IF(OR(Tools!$B38="",Tools!$Q38=""),"",IF(AND(((YEAR(DATE(YEAR(TODAY()),MONTH(TODAY())+0,1))-YEAR(Tools!$Q38))*12+MONTH(DATE(YEAR(TODAY()),MONTH(TODAY())+0,1))-MONTH(Tools!$Q38))&gt;=0,MOD(((YEAR(DATE(YEAR(TODAY()),MONTH(TODAY())+0,1))-YEAR(Tools!$Q38))*12+MONTH(DATE(YEAR(TODAY()),MONTH(TODAY())+0,1))-MONTH(Tools!$Q38)),Tools!$U38)=0,OR(Tools!$L38="",EDATE(Tools!$Q38,((YEAR(DATE(YEAR(TODAY()),MONTH(TODAY())+0,1))-YEAR(Tools!$Q38))*12+MONTH(DATE(YEAR(TODAY()),MONTH(TODAY())+0,1))-MONTH(Tools!$Q38)))&lt;Tools!$L38)),Tools!$N38,""))</f>
        <v/>
      </c>
      <c r="D39" s="30">
        <f>IF(OR(Tools!$B38="",Tools!$Q38=""),"",IF(AND(((YEAR(DATE(YEAR(TODAY()),MONTH(TODAY())+1,1))-YEAR(Tools!$Q38))*12+MONTH(DATE(YEAR(TODAY()),MONTH(TODAY())+1,1))-MONTH(Tools!$Q38))&gt;=0,MOD(((YEAR(DATE(YEAR(TODAY()),MONTH(TODAY())+1,1))-YEAR(Tools!$Q38))*12+MONTH(DATE(YEAR(TODAY()),MONTH(TODAY())+1,1))-MONTH(Tools!$Q38)),Tools!$U38)=0,OR(Tools!$L38="",EDATE(Tools!$Q38,((YEAR(DATE(YEAR(TODAY()),MONTH(TODAY())+1,1))-YEAR(Tools!$Q38))*12+MONTH(DATE(YEAR(TODAY()),MONTH(TODAY())+1,1))-MONTH(Tools!$Q38)))&lt;Tools!$L38)),Tools!$N38,""))</f>
        <v/>
      </c>
      <c r="E39" s="30">
        <f>IF(OR(Tools!$B38="",Tools!$Q38=""),"",IF(AND(((YEAR(DATE(YEAR(TODAY()),MONTH(TODAY())+2,1))-YEAR(Tools!$Q38))*12+MONTH(DATE(YEAR(TODAY()),MONTH(TODAY())+2,1))-MONTH(Tools!$Q38))&gt;=0,MOD(((YEAR(DATE(YEAR(TODAY()),MONTH(TODAY())+2,1))-YEAR(Tools!$Q38))*12+MONTH(DATE(YEAR(TODAY()),MONTH(TODAY())+2,1))-MONTH(Tools!$Q38)),Tools!$U38)=0,OR(Tools!$L38="",EDATE(Tools!$Q38,((YEAR(DATE(YEAR(TODAY()),MONTH(TODAY())+2,1))-YEAR(Tools!$Q38))*12+MONTH(DATE(YEAR(TODAY()),MONTH(TODAY())+2,1))-MONTH(Tools!$Q38)))&lt;Tools!$L38)),Tools!$N38,""))</f>
        <v/>
      </c>
      <c r="F39" s="30">
        <f>IF(OR(Tools!$B38="",Tools!$Q38=""),"",IF(AND(((YEAR(DATE(YEAR(TODAY()),MONTH(TODAY())+3,1))-YEAR(Tools!$Q38))*12+MONTH(DATE(YEAR(TODAY()),MONTH(TODAY())+3,1))-MONTH(Tools!$Q38))&gt;=0,MOD(((YEAR(DATE(YEAR(TODAY()),MONTH(TODAY())+3,1))-YEAR(Tools!$Q38))*12+MONTH(DATE(YEAR(TODAY()),MONTH(TODAY())+3,1))-MONTH(Tools!$Q38)),Tools!$U38)=0,OR(Tools!$L38="",EDATE(Tools!$Q38,((YEAR(DATE(YEAR(TODAY()),MONTH(TODAY())+3,1))-YEAR(Tools!$Q38))*12+MONTH(DATE(YEAR(TODAY()),MONTH(TODAY())+3,1))-MONTH(Tools!$Q38)))&lt;Tools!$L38)),Tools!$N38,""))</f>
        <v/>
      </c>
      <c r="G39" s="30">
        <f>IF(OR(Tools!$B38="",Tools!$Q38=""),"",IF(AND(((YEAR(DATE(YEAR(TODAY()),MONTH(TODAY())+4,1))-YEAR(Tools!$Q38))*12+MONTH(DATE(YEAR(TODAY()),MONTH(TODAY())+4,1))-MONTH(Tools!$Q38))&gt;=0,MOD(((YEAR(DATE(YEAR(TODAY()),MONTH(TODAY())+4,1))-YEAR(Tools!$Q38))*12+MONTH(DATE(YEAR(TODAY()),MONTH(TODAY())+4,1))-MONTH(Tools!$Q38)),Tools!$U38)=0,OR(Tools!$L38="",EDATE(Tools!$Q38,((YEAR(DATE(YEAR(TODAY()),MONTH(TODAY())+4,1))-YEAR(Tools!$Q38))*12+MONTH(DATE(YEAR(TODAY()),MONTH(TODAY())+4,1))-MONTH(Tools!$Q38)))&lt;Tools!$L38)),Tools!$N38,""))</f>
        <v/>
      </c>
      <c r="H39" s="30">
        <f>IF(OR(Tools!$B38="",Tools!$Q38=""),"",IF(AND(((YEAR(DATE(YEAR(TODAY()),MONTH(TODAY())+5,1))-YEAR(Tools!$Q38))*12+MONTH(DATE(YEAR(TODAY()),MONTH(TODAY())+5,1))-MONTH(Tools!$Q38))&gt;=0,MOD(((YEAR(DATE(YEAR(TODAY()),MONTH(TODAY())+5,1))-YEAR(Tools!$Q38))*12+MONTH(DATE(YEAR(TODAY()),MONTH(TODAY())+5,1))-MONTH(Tools!$Q38)),Tools!$U38)=0,OR(Tools!$L38="",EDATE(Tools!$Q38,((YEAR(DATE(YEAR(TODAY()),MONTH(TODAY())+5,1))-YEAR(Tools!$Q38))*12+MONTH(DATE(YEAR(TODAY()),MONTH(TODAY())+5,1))-MONTH(Tools!$Q38)))&lt;Tools!$L38)),Tools!$N38,""))</f>
        <v/>
      </c>
      <c r="I39" s="30">
        <f>IF(OR(Tools!$B38="",Tools!$Q38=""),"",IF(AND(((YEAR(DATE(YEAR(TODAY()),MONTH(TODAY())+6,1))-YEAR(Tools!$Q38))*12+MONTH(DATE(YEAR(TODAY()),MONTH(TODAY())+6,1))-MONTH(Tools!$Q38))&gt;=0,MOD(((YEAR(DATE(YEAR(TODAY()),MONTH(TODAY())+6,1))-YEAR(Tools!$Q38))*12+MONTH(DATE(YEAR(TODAY()),MONTH(TODAY())+6,1))-MONTH(Tools!$Q38)),Tools!$U38)=0,OR(Tools!$L38="",EDATE(Tools!$Q38,((YEAR(DATE(YEAR(TODAY()),MONTH(TODAY())+6,1))-YEAR(Tools!$Q38))*12+MONTH(DATE(YEAR(TODAY()),MONTH(TODAY())+6,1))-MONTH(Tools!$Q38)))&lt;Tools!$L38)),Tools!$N38,""))</f>
        <v/>
      </c>
      <c r="J39" s="30">
        <f>IF(OR(Tools!$B38="",Tools!$Q38=""),"",IF(AND(((YEAR(DATE(YEAR(TODAY()),MONTH(TODAY())+7,1))-YEAR(Tools!$Q38))*12+MONTH(DATE(YEAR(TODAY()),MONTH(TODAY())+7,1))-MONTH(Tools!$Q38))&gt;=0,MOD(((YEAR(DATE(YEAR(TODAY()),MONTH(TODAY())+7,1))-YEAR(Tools!$Q38))*12+MONTH(DATE(YEAR(TODAY()),MONTH(TODAY())+7,1))-MONTH(Tools!$Q38)),Tools!$U38)=0,OR(Tools!$L38="",EDATE(Tools!$Q38,((YEAR(DATE(YEAR(TODAY()),MONTH(TODAY())+7,1))-YEAR(Tools!$Q38))*12+MONTH(DATE(YEAR(TODAY()),MONTH(TODAY())+7,1))-MONTH(Tools!$Q38)))&lt;Tools!$L38)),Tools!$N38,""))</f>
        <v/>
      </c>
      <c r="K39" s="30">
        <f>IF(OR(Tools!$B38="",Tools!$Q38=""),"",IF(AND(((YEAR(DATE(YEAR(TODAY()),MONTH(TODAY())+8,1))-YEAR(Tools!$Q38))*12+MONTH(DATE(YEAR(TODAY()),MONTH(TODAY())+8,1))-MONTH(Tools!$Q38))&gt;=0,MOD(((YEAR(DATE(YEAR(TODAY()),MONTH(TODAY())+8,1))-YEAR(Tools!$Q38))*12+MONTH(DATE(YEAR(TODAY()),MONTH(TODAY())+8,1))-MONTH(Tools!$Q38)),Tools!$U38)=0,OR(Tools!$L38="",EDATE(Tools!$Q38,((YEAR(DATE(YEAR(TODAY()),MONTH(TODAY())+8,1))-YEAR(Tools!$Q38))*12+MONTH(DATE(YEAR(TODAY()),MONTH(TODAY())+8,1))-MONTH(Tools!$Q38)))&lt;Tools!$L38)),Tools!$N38,""))</f>
        <v/>
      </c>
      <c r="L39" s="30">
        <f>IF(OR(Tools!$B38="",Tools!$Q38=""),"",IF(AND(((YEAR(DATE(YEAR(TODAY()),MONTH(TODAY())+9,1))-YEAR(Tools!$Q38))*12+MONTH(DATE(YEAR(TODAY()),MONTH(TODAY())+9,1))-MONTH(Tools!$Q38))&gt;=0,MOD(((YEAR(DATE(YEAR(TODAY()),MONTH(TODAY())+9,1))-YEAR(Tools!$Q38))*12+MONTH(DATE(YEAR(TODAY()),MONTH(TODAY())+9,1))-MONTH(Tools!$Q38)),Tools!$U38)=0,OR(Tools!$L38="",EDATE(Tools!$Q38,((YEAR(DATE(YEAR(TODAY()),MONTH(TODAY())+9,1))-YEAR(Tools!$Q38))*12+MONTH(DATE(YEAR(TODAY()),MONTH(TODAY())+9,1))-MONTH(Tools!$Q38)))&lt;Tools!$L38)),Tools!$N38,""))</f>
        <v/>
      </c>
      <c r="M39" s="30">
        <f>IF(OR(Tools!$B38="",Tools!$Q38=""),"",IF(AND(((YEAR(DATE(YEAR(TODAY()),MONTH(TODAY())+10,1))-YEAR(Tools!$Q38))*12+MONTH(DATE(YEAR(TODAY()),MONTH(TODAY())+10,1))-MONTH(Tools!$Q38))&gt;=0,MOD(((YEAR(DATE(YEAR(TODAY()),MONTH(TODAY())+10,1))-YEAR(Tools!$Q38))*12+MONTH(DATE(YEAR(TODAY()),MONTH(TODAY())+10,1))-MONTH(Tools!$Q38)),Tools!$U38)=0,OR(Tools!$L38="",EDATE(Tools!$Q38,((YEAR(DATE(YEAR(TODAY()),MONTH(TODAY())+10,1))-YEAR(Tools!$Q38))*12+MONTH(DATE(YEAR(TODAY()),MONTH(TODAY())+10,1))-MONTH(Tools!$Q38)))&lt;Tools!$L38)),Tools!$N38,""))</f>
        <v/>
      </c>
      <c r="N39" s="30">
        <f>IF(OR(Tools!$B38="",Tools!$Q38=""),"",IF(AND(((YEAR(DATE(YEAR(TODAY()),MONTH(TODAY())+11,1))-YEAR(Tools!$Q38))*12+MONTH(DATE(YEAR(TODAY()),MONTH(TODAY())+11,1))-MONTH(Tools!$Q38))&gt;=0,MOD(((YEAR(DATE(YEAR(TODAY()),MONTH(TODAY())+11,1))-YEAR(Tools!$Q38))*12+MONTH(DATE(YEAR(TODAY()),MONTH(TODAY())+11,1))-MONTH(Tools!$Q38)),Tools!$U38)=0,OR(Tools!$L38="",EDATE(Tools!$Q38,((YEAR(DATE(YEAR(TODAY()),MONTH(TODAY())+11,1))-YEAR(Tools!$Q38))*12+MONTH(DATE(YEAR(TODAY()),MONTH(TODAY())+11,1))-MONTH(Tools!$Q38)))&lt;Tools!$L38)),Tools!$N38,""))</f>
        <v/>
      </c>
      <c r="O39" s="31">
        <f>IF(B39="","",SUM(C39:N39))</f>
        <v/>
      </c>
      <c r="P39" s="1" t="n"/>
    </row>
    <row r="40">
      <c r="A40" s="1" t="n"/>
      <c r="B40" s="11">
        <f>IF(Tools!B39="","",Tools!B39)</f>
        <v/>
      </c>
      <c r="C40" s="30">
        <f>IF(OR(Tools!$B39="",Tools!$Q39=""),"",IF(AND(((YEAR(DATE(YEAR(TODAY()),MONTH(TODAY())+0,1))-YEAR(Tools!$Q39))*12+MONTH(DATE(YEAR(TODAY()),MONTH(TODAY())+0,1))-MONTH(Tools!$Q39))&gt;=0,MOD(((YEAR(DATE(YEAR(TODAY()),MONTH(TODAY())+0,1))-YEAR(Tools!$Q39))*12+MONTH(DATE(YEAR(TODAY()),MONTH(TODAY())+0,1))-MONTH(Tools!$Q39)),Tools!$U39)=0,OR(Tools!$L39="",EDATE(Tools!$Q39,((YEAR(DATE(YEAR(TODAY()),MONTH(TODAY())+0,1))-YEAR(Tools!$Q39))*12+MONTH(DATE(YEAR(TODAY()),MONTH(TODAY())+0,1))-MONTH(Tools!$Q39)))&lt;Tools!$L39)),Tools!$N39,""))</f>
        <v/>
      </c>
      <c r="D40" s="30">
        <f>IF(OR(Tools!$B39="",Tools!$Q39=""),"",IF(AND(((YEAR(DATE(YEAR(TODAY()),MONTH(TODAY())+1,1))-YEAR(Tools!$Q39))*12+MONTH(DATE(YEAR(TODAY()),MONTH(TODAY())+1,1))-MONTH(Tools!$Q39))&gt;=0,MOD(((YEAR(DATE(YEAR(TODAY()),MONTH(TODAY())+1,1))-YEAR(Tools!$Q39))*12+MONTH(DATE(YEAR(TODAY()),MONTH(TODAY())+1,1))-MONTH(Tools!$Q39)),Tools!$U39)=0,OR(Tools!$L39="",EDATE(Tools!$Q39,((YEAR(DATE(YEAR(TODAY()),MONTH(TODAY())+1,1))-YEAR(Tools!$Q39))*12+MONTH(DATE(YEAR(TODAY()),MONTH(TODAY())+1,1))-MONTH(Tools!$Q39)))&lt;Tools!$L39)),Tools!$N39,""))</f>
        <v/>
      </c>
      <c r="E40" s="30">
        <f>IF(OR(Tools!$B39="",Tools!$Q39=""),"",IF(AND(((YEAR(DATE(YEAR(TODAY()),MONTH(TODAY())+2,1))-YEAR(Tools!$Q39))*12+MONTH(DATE(YEAR(TODAY()),MONTH(TODAY())+2,1))-MONTH(Tools!$Q39))&gt;=0,MOD(((YEAR(DATE(YEAR(TODAY()),MONTH(TODAY())+2,1))-YEAR(Tools!$Q39))*12+MONTH(DATE(YEAR(TODAY()),MONTH(TODAY())+2,1))-MONTH(Tools!$Q39)),Tools!$U39)=0,OR(Tools!$L39="",EDATE(Tools!$Q39,((YEAR(DATE(YEAR(TODAY()),MONTH(TODAY())+2,1))-YEAR(Tools!$Q39))*12+MONTH(DATE(YEAR(TODAY()),MONTH(TODAY())+2,1))-MONTH(Tools!$Q39)))&lt;Tools!$L39)),Tools!$N39,""))</f>
        <v/>
      </c>
      <c r="F40" s="30">
        <f>IF(OR(Tools!$B39="",Tools!$Q39=""),"",IF(AND(((YEAR(DATE(YEAR(TODAY()),MONTH(TODAY())+3,1))-YEAR(Tools!$Q39))*12+MONTH(DATE(YEAR(TODAY()),MONTH(TODAY())+3,1))-MONTH(Tools!$Q39))&gt;=0,MOD(((YEAR(DATE(YEAR(TODAY()),MONTH(TODAY())+3,1))-YEAR(Tools!$Q39))*12+MONTH(DATE(YEAR(TODAY()),MONTH(TODAY())+3,1))-MONTH(Tools!$Q39)),Tools!$U39)=0,OR(Tools!$L39="",EDATE(Tools!$Q39,((YEAR(DATE(YEAR(TODAY()),MONTH(TODAY())+3,1))-YEAR(Tools!$Q39))*12+MONTH(DATE(YEAR(TODAY()),MONTH(TODAY())+3,1))-MONTH(Tools!$Q39)))&lt;Tools!$L39)),Tools!$N39,""))</f>
        <v/>
      </c>
      <c r="G40" s="30">
        <f>IF(OR(Tools!$B39="",Tools!$Q39=""),"",IF(AND(((YEAR(DATE(YEAR(TODAY()),MONTH(TODAY())+4,1))-YEAR(Tools!$Q39))*12+MONTH(DATE(YEAR(TODAY()),MONTH(TODAY())+4,1))-MONTH(Tools!$Q39))&gt;=0,MOD(((YEAR(DATE(YEAR(TODAY()),MONTH(TODAY())+4,1))-YEAR(Tools!$Q39))*12+MONTH(DATE(YEAR(TODAY()),MONTH(TODAY())+4,1))-MONTH(Tools!$Q39)),Tools!$U39)=0,OR(Tools!$L39="",EDATE(Tools!$Q39,((YEAR(DATE(YEAR(TODAY()),MONTH(TODAY())+4,1))-YEAR(Tools!$Q39))*12+MONTH(DATE(YEAR(TODAY()),MONTH(TODAY())+4,1))-MONTH(Tools!$Q39)))&lt;Tools!$L39)),Tools!$N39,""))</f>
        <v/>
      </c>
      <c r="H40" s="30">
        <f>IF(OR(Tools!$B39="",Tools!$Q39=""),"",IF(AND(((YEAR(DATE(YEAR(TODAY()),MONTH(TODAY())+5,1))-YEAR(Tools!$Q39))*12+MONTH(DATE(YEAR(TODAY()),MONTH(TODAY())+5,1))-MONTH(Tools!$Q39))&gt;=0,MOD(((YEAR(DATE(YEAR(TODAY()),MONTH(TODAY())+5,1))-YEAR(Tools!$Q39))*12+MONTH(DATE(YEAR(TODAY()),MONTH(TODAY())+5,1))-MONTH(Tools!$Q39)),Tools!$U39)=0,OR(Tools!$L39="",EDATE(Tools!$Q39,((YEAR(DATE(YEAR(TODAY()),MONTH(TODAY())+5,1))-YEAR(Tools!$Q39))*12+MONTH(DATE(YEAR(TODAY()),MONTH(TODAY())+5,1))-MONTH(Tools!$Q39)))&lt;Tools!$L39)),Tools!$N39,""))</f>
        <v/>
      </c>
      <c r="I40" s="30">
        <f>IF(OR(Tools!$B39="",Tools!$Q39=""),"",IF(AND(((YEAR(DATE(YEAR(TODAY()),MONTH(TODAY())+6,1))-YEAR(Tools!$Q39))*12+MONTH(DATE(YEAR(TODAY()),MONTH(TODAY())+6,1))-MONTH(Tools!$Q39))&gt;=0,MOD(((YEAR(DATE(YEAR(TODAY()),MONTH(TODAY())+6,1))-YEAR(Tools!$Q39))*12+MONTH(DATE(YEAR(TODAY()),MONTH(TODAY())+6,1))-MONTH(Tools!$Q39)),Tools!$U39)=0,OR(Tools!$L39="",EDATE(Tools!$Q39,((YEAR(DATE(YEAR(TODAY()),MONTH(TODAY())+6,1))-YEAR(Tools!$Q39))*12+MONTH(DATE(YEAR(TODAY()),MONTH(TODAY())+6,1))-MONTH(Tools!$Q39)))&lt;Tools!$L39)),Tools!$N39,""))</f>
        <v/>
      </c>
      <c r="J40" s="30">
        <f>IF(OR(Tools!$B39="",Tools!$Q39=""),"",IF(AND(((YEAR(DATE(YEAR(TODAY()),MONTH(TODAY())+7,1))-YEAR(Tools!$Q39))*12+MONTH(DATE(YEAR(TODAY()),MONTH(TODAY())+7,1))-MONTH(Tools!$Q39))&gt;=0,MOD(((YEAR(DATE(YEAR(TODAY()),MONTH(TODAY())+7,1))-YEAR(Tools!$Q39))*12+MONTH(DATE(YEAR(TODAY()),MONTH(TODAY())+7,1))-MONTH(Tools!$Q39)),Tools!$U39)=0,OR(Tools!$L39="",EDATE(Tools!$Q39,((YEAR(DATE(YEAR(TODAY()),MONTH(TODAY())+7,1))-YEAR(Tools!$Q39))*12+MONTH(DATE(YEAR(TODAY()),MONTH(TODAY())+7,1))-MONTH(Tools!$Q39)))&lt;Tools!$L39)),Tools!$N39,""))</f>
        <v/>
      </c>
      <c r="K40" s="30">
        <f>IF(OR(Tools!$B39="",Tools!$Q39=""),"",IF(AND(((YEAR(DATE(YEAR(TODAY()),MONTH(TODAY())+8,1))-YEAR(Tools!$Q39))*12+MONTH(DATE(YEAR(TODAY()),MONTH(TODAY())+8,1))-MONTH(Tools!$Q39))&gt;=0,MOD(((YEAR(DATE(YEAR(TODAY()),MONTH(TODAY())+8,1))-YEAR(Tools!$Q39))*12+MONTH(DATE(YEAR(TODAY()),MONTH(TODAY())+8,1))-MONTH(Tools!$Q39)),Tools!$U39)=0,OR(Tools!$L39="",EDATE(Tools!$Q39,((YEAR(DATE(YEAR(TODAY()),MONTH(TODAY())+8,1))-YEAR(Tools!$Q39))*12+MONTH(DATE(YEAR(TODAY()),MONTH(TODAY())+8,1))-MONTH(Tools!$Q39)))&lt;Tools!$L39)),Tools!$N39,""))</f>
        <v/>
      </c>
      <c r="L40" s="30">
        <f>IF(OR(Tools!$B39="",Tools!$Q39=""),"",IF(AND(((YEAR(DATE(YEAR(TODAY()),MONTH(TODAY())+9,1))-YEAR(Tools!$Q39))*12+MONTH(DATE(YEAR(TODAY()),MONTH(TODAY())+9,1))-MONTH(Tools!$Q39))&gt;=0,MOD(((YEAR(DATE(YEAR(TODAY()),MONTH(TODAY())+9,1))-YEAR(Tools!$Q39))*12+MONTH(DATE(YEAR(TODAY()),MONTH(TODAY())+9,1))-MONTH(Tools!$Q39)),Tools!$U39)=0,OR(Tools!$L39="",EDATE(Tools!$Q39,((YEAR(DATE(YEAR(TODAY()),MONTH(TODAY())+9,1))-YEAR(Tools!$Q39))*12+MONTH(DATE(YEAR(TODAY()),MONTH(TODAY())+9,1))-MONTH(Tools!$Q39)))&lt;Tools!$L39)),Tools!$N39,""))</f>
        <v/>
      </c>
      <c r="M40" s="30">
        <f>IF(OR(Tools!$B39="",Tools!$Q39=""),"",IF(AND(((YEAR(DATE(YEAR(TODAY()),MONTH(TODAY())+10,1))-YEAR(Tools!$Q39))*12+MONTH(DATE(YEAR(TODAY()),MONTH(TODAY())+10,1))-MONTH(Tools!$Q39))&gt;=0,MOD(((YEAR(DATE(YEAR(TODAY()),MONTH(TODAY())+10,1))-YEAR(Tools!$Q39))*12+MONTH(DATE(YEAR(TODAY()),MONTH(TODAY())+10,1))-MONTH(Tools!$Q39)),Tools!$U39)=0,OR(Tools!$L39="",EDATE(Tools!$Q39,((YEAR(DATE(YEAR(TODAY()),MONTH(TODAY())+10,1))-YEAR(Tools!$Q39))*12+MONTH(DATE(YEAR(TODAY()),MONTH(TODAY())+10,1))-MONTH(Tools!$Q39)))&lt;Tools!$L39)),Tools!$N39,""))</f>
        <v/>
      </c>
      <c r="N40" s="30">
        <f>IF(OR(Tools!$B39="",Tools!$Q39=""),"",IF(AND(((YEAR(DATE(YEAR(TODAY()),MONTH(TODAY())+11,1))-YEAR(Tools!$Q39))*12+MONTH(DATE(YEAR(TODAY()),MONTH(TODAY())+11,1))-MONTH(Tools!$Q39))&gt;=0,MOD(((YEAR(DATE(YEAR(TODAY()),MONTH(TODAY())+11,1))-YEAR(Tools!$Q39))*12+MONTH(DATE(YEAR(TODAY()),MONTH(TODAY())+11,1))-MONTH(Tools!$Q39)),Tools!$U39)=0,OR(Tools!$L39="",EDATE(Tools!$Q39,((YEAR(DATE(YEAR(TODAY()),MONTH(TODAY())+11,1))-YEAR(Tools!$Q39))*12+MONTH(DATE(YEAR(TODAY()),MONTH(TODAY())+11,1))-MONTH(Tools!$Q39)))&lt;Tools!$L39)),Tools!$N39,""))</f>
        <v/>
      </c>
      <c r="O40" s="31">
        <f>IF(B40="","",SUM(C40:N40))</f>
        <v/>
      </c>
      <c r="P40" s="1" t="n"/>
    </row>
    <row r="41">
      <c r="A41" s="1" t="n"/>
      <c r="B41" s="11">
        <f>IF(Tools!B40="","",Tools!B40)</f>
        <v/>
      </c>
      <c r="C41" s="30">
        <f>IF(OR(Tools!$B40="",Tools!$Q40=""),"",IF(AND(((YEAR(DATE(YEAR(TODAY()),MONTH(TODAY())+0,1))-YEAR(Tools!$Q40))*12+MONTH(DATE(YEAR(TODAY()),MONTH(TODAY())+0,1))-MONTH(Tools!$Q40))&gt;=0,MOD(((YEAR(DATE(YEAR(TODAY()),MONTH(TODAY())+0,1))-YEAR(Tools!$Q40))*12+MONTH(DATE(YEAR(TODAY()),MONTH(TODAY())+0,1))-MONTH(Tools!$Q40)),Tools!$U40)=0,OR(Tools!$L40="",EDATE(Tools!$Q40,((YEAR(DATE(YEAR(TODAY()),MONTH(TODAY())+0,1))-YEAR(Tools!$Q40))*12+MONTH(DATE(YEAR(TODAY()),MONTH(TODAY())+0,1))-MONTH(Tools!$Q40)))&lt;Tools!$L40)),Tools!$N40,""))</f>
        <v/>
      </c>
      <c r="D41" s="30">
        <f>IF(OR(Tools!$B40="",Tools!$Q40=""),"",IF(AND(((YEAR(DATE(YEAR(TODAY()),MONTH(TODAY())+1,1))-YEAR(Tools!$Q40))*12+MONTH(DATE(YEAR(TODAY()),MONTH(TODAY())+1,1))-MONTH(Tools!$Q40))&gt;=0,MOD(((YEAR(DATE(YEAR(TODAY()),MONTH(TODAY())+1,1))-YEAR(Tools!$Q40))*12+MONTH(DATE(YEAR(TODAY()),MONTH(TODAY())+1,1))-MONTH(Tools!$Q40)),Tools!$U40)=0,OR(Tools!$L40="",EDATE(Tools!$Q40,((YEAR(DATE(YEAR(TODAY()),MONTH(TODAY())+1,1))-YEAR(Tools!$Q40))*12+MONTH(DATE(YEAR(TODAY()),MONTH(TODAY())+1,1))-MONTH(Tools!$Q40)))&lt;Tools!$L40)),Tools!$N40,""))</f>
        <v/>
      </c>
      <c r="E41" s="30">
        <f>IF(OR(Tools!$B40="",Tools!$Q40=""),"",IF(AND(((YEAR(DATE(YEAR(TODAY()),MONTH(TODAY())+2,1))-YEAR(Tools!$Q40))*12+MONTH(DATE(YEAR(TODAY()),MONTH(TODAY())+2,1))-MONTH(Tools!$Q40))&gt;=0,MOD(((YEAR(DATE(YEAR(TODAY()),MONTH(TODAY())+2,1))-YEAR(Tools!$Q40))*12+MONTH(DATE(YEAR(TODAY()),MONTH(TODAY())+2,1))-MONTH(Tools!$Q40)),Tools!$U40)=0,OR(Tools!$L40="",EDATE(Tools!$Q40,((YEAR(DATE(YEAR(TODAY()),MONTH(TODAY())+2,1))-YEAR(Tools!$Q40))*12+MONTH(DATE(YEAR(TODAY()),MONTH(TODAY())+2,1))-MONTH(Tools!$Q40)))&lt;Tools!$L40)),Tools!$N40,""))</f>
        <v/>
      </c>
      <c r="F41" s="30">
        <f>IF(OR(Tools!$B40="",Tools!$Q40=""),"",IF(AND(((YEAR(DATE(YEAR(TODAY()),MONTH(TODAY())+3,1))-YEAR(Tools!$Q40))*12+MONTH(DATE(YEAR(TODAY()),MONTH(TODAY())+3,1))-MONTH(Tools!$Q40))&gt;=0,MOD(((YEAR(DATE(YEAR(TODAY()),MONTH(TODAY())+3,1))-YEAR(Tools!$Q40))*12+MONTH(DATE(YEAR(TODAY()),MONTH(TODAY())+3,1))-MONTH(Tools!$Q40)),Tools!$U40)=0,OR(Tools!$L40="",EDATE(Tools!$Q40,((YEAR(DATE(YEAR(TODAY()),MONTH(TODAY())+3,1))-YEAR(Tools!$Q40))*12+MONTH(DATE(YEAR(TODAY()),MONTH(TODAY())+3,1))-MONTH(Tools!$Q40)))&lt;Tools!$L40)),Tools!$N40,""))</f>
        <v/>
      </c>
      <c r="G41" s="30">
        <f>IF(OR(Tools!$B40="",Tools!$Q40=""),"",IF(AND(((YEAR(DATE(YEAR(TODAY()),MONTH(TODAY())+4,1))-YEAR(Tools!$Q40))*12+MONTH(DATE(YEAR(TODAY()),MONTH(TODAY())+4,1))-MONTH(Tools!$Q40))&gt;=0,MOD(((YEAR(DATE(YEAR(TODAY()),MONTH(TODAY())+4,1))-YEAR(Tools!$Q40))*12+MONTH(DATE(YEAR(TODAY()),MONTH(TODAY())+4,1))-MONTH(Tools!$Q40)),Tools!$U40)=0,OR(Tools!$L40="",EDATE(Tools!$Q40,((YEAR(DATE(YEAR(TODAY()),MONTH(TODAY())+4,1))-YEAR(Tools!$Q40))*12+MONTH(DATE(YEAR(TODAY()),MONTH(TODAY())+4,1))-MONTH(Tools!$Q40)))&lt;Tools!$L40)),Tools!$N40,""))</f>
        <v/>
      </c>
      <c r="H41" s="30">
        <f>IF(OR(Tools!$B40="",Tools!$Q40=""),"",IF(AND(((YEAR(DATE(YEAR(TODAY()),MONTH(TODAY())+5,1))-YEAR(Tools!$Q40))*12+MONTH(DATE(YEAR(TODAY()),MONTH(TODAY())+5,1))-MONTH(Tools!$Q40))&gt;=0,MOD(((YEAR(DATE(YEAR(TODAY()),MONTH(TODAY())+5,1))-YEAR(Tools!$Q40))*12+MONTH(DATE(YEAR(TODAY()),MONTH(TODAY())+5,1))-MONTH(Tools!$Q40)),Tools!$U40)=0,OR(Tools!$L40="",EDATE(Tools!$Q40,((YEAR(DATE(YEAR(TODAY()),MONTH(TODAY())+5,1))-YEAR(Tools!$Q40))*12+MONTH(DATE(YEAR(TODAY()),MONTH(TODAY())+5,1))-MONTH(Tools!$Q40)))&lt;Tools!$L40)),Tools!$N40,""))</f>
        <v/>
      </c>
      <c r="I41" s="30">
        <f>IF(OR(Tools!$B40="",Tools!$Q40=""),"",IF(AND(((YEAR(DATE(YEAR(TODAY()),MONTH(TODAY())+6,1))-YEAR(Tools!$Q40))*12+MONTH(DATE(YEAR(TODAY()),MONTH(TODAY())+6,1))-MONTH(Tools!$Q40))&gt;=0,MOD(((YEAR(DATE(YEAR(TODAY()),MONTH(TODAY())+6,1))-YEAR(Tools!$Q40))*12+MONTH(DATE(YEAR(TODAY()),MONTH(TODAY())+6,1))-MONTH(Tools!$Q40)),Tools!$U40)=0,OR(Tools!$L40="",EDATE(Tools!$Q40,((YEAR(DATE(YEAR(TODAY()),MONTH(TODAY())+6,1))-YEAR(Tools!$Q40))*12+MONTH(DATE(YEAR(TODAY()),MONTH(TODAY())+6,1))-MONTH(Tools!$Q40)))&lt;Tools!$L40)),Tools!$N40,""))</f>
        <v/>
      </c>
      <c r="J41" s="30">
        <f>IF(OR(Tools!$B40="",Tools!$Q40=""),"",IF(AND(((YEAR(DATE(YEAR(TODAY()),MONTH(TODAY())+7,1))-YEAR(Tools!$Q40))*12+MONTH(DATE(YEAR(TODAY()),MONTH(TODAY())+7,1))-MONTH(Tools!$Q40))&gt;=0,MOD(((YEAR(DATE(YEAR(TODAY()),MONTH(TODAY())+7,1))-YEAR(Tools!$Q40))*12+MONTH(DATE(YEAR(TODAY()),MONTH(TODAY())+7,1))-MONTH(Tools!$Q40)),Tools!$U40)=0,OR(Tools!$L40="",EDATE(Tools!$Q40,((YEAR(DATE(YEAR(TODAY()),MONTH(TODAY())+7,1))-YEAR(Tools!$Q40))*12+MONTH(DATE(YEAR(TODAY()),MONTH(TODAY())+7,1))-MONTH(Tools!$Q40)))&lt;Tools!$L40)),Tools!$N40,""))</f>
        <v/>
      </c>
      <c r="K41" s="30">
        <f>IF(OR(Tools!$B40="",Tools!$Q40=""),"",IF(AND(((YEAR(DATE(YEAR(TODAY()),MONTH(TODAY())+8,1))-YEAR(Tools!$Q40))*12+MONTH(DATE(YEAR(TODAY()),MONTH(TODAY())+8,1))-MONTH(Tools!$Q40))&gt;=0,MOD(((YEAR(DATE(YEAR(TODAY()),MONTH(TODAY())+8,1))-YEAR(Tools!$Q40))*12+MONTH(DATE(YEAR(TODAY()),MONTH(TODAY())+8,1))-MONTH(Tools!$Q40)),Tools!$U40)=0,OR(Tools!$L40="",EDATE(Tools!$Q40,((YEAR(DATE(YEAR(TODAY()),MONTH(TODAY())+8,1))-YEAR(Tools!$Q40))*12+MONTH(DATE(YEAR(TODAY()),MONTH(TODAY())+8,1))-MONTH(Tools!$Q40)))&lt;Tools!$L40)),Tools!$N40,""))</f>
        <v/>
      </c>
      <c r="L41" s="30">
        <f>IF(OR(Tools!$B40="",Tools!$Q40=""),"",IF(AND(((YEAR(DATE(YEAR(TODAY()),MONTH(TODAY())+9,1))-YEAR(Tools!$Q40))*12+MONTH(DATE(YEAR(TODAY()),MONTH(TODAY())+9,1))-MONTH(Tools!$Q40))&gt;=0,MOD(((YEAR(DATE(YEAR(TODAY()),MONTH(TODAY())+9,1))-YEAR(Tools!$Q40))*12+MONTH(DATE(YEAR(TODAY()),MONTH(TODAY())+9,1))-MONTH(Tools!$Q40)),Tools!$U40)=0,OR(Tools!$L40="",EDATE(Tools!$Q40,((YEAR(DATE(YEAR(TODAY()),MONTH(TODAY())+9,1))-YEAR(Tools!$Q40))*12+MONTH(DATE(YEAR(TODAY()),MONTH(TODAY())+9,1))-MONTH(Tools!$Q40)))&lt;Tools!$L40)),Tools!$N40,""))</f>
        <v/>
      </c>
      <c r="M41" s="30">
        <f>IF(OR(Tools!$B40="",Tools!$Q40=""),"",IF(AND(((YEAR(DATE(YEAR(TODAY()),MONTH(TODAY())+10,1))-YEAR(Tools!$Q40))*12+MONTH(DATE(YEAR(TODAY()),MONTH(TODAY())+10,1))-MONTH(Tools!$Q40))&gt;=0,MOD(((YEAR(DATE(YEAR(TODAY()),MONTH(TODAY())+10,1))-YEAR(Tools!$Q40))*12+MONTH(DATE(YEAR(TODAY()),MONTH(TODAY())+10,1))-MONTH(Tools!$Q40)),Tools!$U40)=0,OR(Tools!$L40="",EDATE(Tools!$Q40,((YEAR(DATE(YEAR(TODAY()),MONTH(TODAY())+10,1))-YEAR(Tools!$Q40))*12+MONTH(DATE(YEAR(TODAY()),MONTH(TODAY())+10,1))-MONTH(Tools!$Q40)))&lt;Tools!$L40)),Tools!$N40,""))</f>
        <v/>
      </c>
      <c r="N41" s="30">
        <f>IF(OR(Tools!$B40="",Tools!$Q40=""),"",IF(AND(((YEAR(DATE(YEAR(TODAY()),MONTH(TODAY())+11,1))-YEAR(Tools!$Q40))*12+MONTH(DATE(YEAR(TODAY()),MONTH(TODAY())+11,1))-MONTH(Tools!$Q40))&gt;=0,MOD(((YEAR(DATE(YEAR(TODAY()),MONTH(TODAY())+11,1))-YEAR(Tools!$Q40))*12+MONTH(DATE(YEAR(TODAY()),MONTH(TODAY())+11,1))-MONTH(Tools!$Q40)),Tools!$U40)=0,OR(Tools!$L40="",EDATE(Tools!$Q40,((YEAR(DATE(YEAR(TODAY()),MONTH(TODAY())+11,1))-YEAR(Tools!$Q40))*12+MONTH(DATE(YEAR(TODAY()),MONTH(TODAY())+11,1))-MONTH(Tools!$Q40)))&lt;Tools!$L40)),Tools!$N40,""))</f>
        <v/>
      </c>
      <c r="O41" s="31">
        <f>IF(B41="","",SUM(C41:N41))</f>
        <v/>
      </c>
      <c r="P41" s="1" t="n"/>
    </row>
    <row r="42">
      <c r="A42" s="1" t="n"/>
      <c r="B42" s="11">
        <f>IF(Tools!B41="","",Tools!B41)</f>
        <v/>
      </c>
      <c r="C42" s="30">
        <f>IF(OR(Tools!$B41="",Tools!$Q41=""),"",IF(AND(((YEAR(DATE(YEAR(TODAY()),MONTH(TODAY())+0,1))-YEAR(Tools!$Q41))*12+MONTH(DATE(YEAR(TODAY()),MONTH(TODAY())+0,1))-MONTH(Tools!$Q41))&gt;=0,MOD(((YEAR(DATE(YEAR(TODAY()),MONTH(TODAY())+0,1))-YEAR(Tools!$Q41))*12+MONTH(DATE(YEAR(TODAY()),MONTH(TODAY())+0,1))-MONTH(Tools!$Q41)),Tools!$U41)=0,OR(Tools!$L41="",EDATE(Tools!$Q41,((YEAR(DATE(YEAR(TODAY()),MONTH(TODAY())+0,1))-YEAR(Tools!$Q41))*12+MONTH(DATE(YEAR(TODAY()),MONTH(TODAY())+0,1))-MONTH(Tools!$Q41)))&lt;Tools!$L41)),Tools!$N41,""))</f>
        <v/>
      </c>
      <c r="D42" s="30">
        <f>IF(OR(Tools!$B41="",Tools!$Q41=""),"",IF(AND(((YEAR(DATE(YEAR(TODAY()),MONTH(TODAY())+1,1))-YEAR(Tools!$Q41))*12+MONTH(DATE(YEAR(TODAY()),MONTH(TODAY())+1,1))-MONTH(Tools!$Q41))&gt;=0,MOD(((YEAR(DATE(YEAR(TODAY()),MONTH(TODAY())+1,1))-YEAR(Tools!$Q41))*12+MONTH(DATE(YEAR(TODAY()),MONTH(TODAY())+1,1))-MONTH(Tools!$Q41)),Tools!$U41)=0,OR(Tools!$L41="",EDATE(Tools!$Q41,((YEAR(DATE(YEAR(TODAY()),MONTH(TODAY())+1,1))-YEAR(Tools!$Q41))*12+MONTH(DATE(YEAR(TODAY()),MONTH(TODAY())+1,1))-MONTH(Tools!$Q41)))&lt;Tools!$L41)),Tools!$N41,""))</f>
        <v/>
      </c>
      <c r="E42" s="30">
        <f>IF(OR(Tools!$B41="",Tools!$Q41=""),"",IF(AND(((YEAR(DATE(YEAR(TODAY()),MONTH(TODAY())+2,1))-YEAR(Tools!$Q41))*12+MONTH(DATE(YEAR(TODAY()),MONTH(TODAY())+2,1))-MONTH(Tools!$Q41))&gt;=0,MOD(((YEAR(DATE(YEAR(TODAY()),MONTH(TODAY())+2,1))-YEAR(Tools!$Q41))*12+MONTH(DATE(YEAR(TODAY()),MONTH(TODAY())+2,1))-MONTH(Tools!$Q41)),Tools!$U41)=0,OR(Tools!$L41="",EDATE(Tools!$Q41,((YEAR(DATE(YEAR(TODAY()),MONTH(TODAY())+2,1))-YEAR(Tools!$Q41))*12+MONTH(DATE(YEAR(TODAY()),MONTH(TODAY())+2,1))-MONTH(Tools!$Q41)))&lt;Tools!$L41)),Tools!$N41,""))</f>
        <v/>
      </c>
      <c r="F42" s="30">
        <f>IF(OR(Tools!$B41="",Tools!$Q41=""),"",IF(AND(((YEAR(DATE(YEAR(TODAY()),MONTH(TODAY())+3,1))-YEAR(Tools!$Q41))*12+MONTH(DATE(YEAR(TODAY()),MONTH(TODAY())+3,1))-MONTH(Tools!$Q41))&gt;=0,MOD(((YEAR(DATE(YEAR(TODAY()),MONTH(TODAY())+3,1))-YEAR(Tools!$Q41))*12+MONTH(DATE(YEAR(TODAY()),MONTH(TODAY())+3,1))-MONTH(Tools!$Q41)),Tools!$U41)=0,OR(Tools!$L41="",EDATE(Tools!$Q41,((YEAR(DATE(YEAR(TODAY()),MONTH(TODAY())+3,1))-YEAR(Tools!$Q41))*12+MONTH(DATE(YEAR(TODAY()),MONTH(TODAY())+3,1))-MONTH(Tools!$Q41)))&lt;Tools!$L41)),Tools!$N41,""))</f>
        <v/>
      </c>
      <c r="G42" s="30">
        <f>IF(OR(Tools!$B41="",Tools!$Q41=""),"",IF(AND(((YEAR(DATE(YEAR(TODAY()),MONTH(TODAY())+4,1))-YEAR(Tools!$Q41))*12+MONTH(DATE(YEAR(TODAY()),MONTH(TODAY())+4,1))-MONTH(Tools!$Q41))&gt;=0,MOD(((YEAR(DATE(YEAR(TODAY()),MONTH(TODAY())+4,1))-YEAR(Tools!$Q41))*12+MONTH(DATE(YEAR(TODAY()),MONTH(TODAY())+4,1))-MONTH(Tools!$Q41)),Tools!$U41)=0,OR(Tools!$L41="",EDATE(Tools!$Q41,((YEAR(DATE(YEAR(TODAY()),MONTH(TODAY())+4,1))-YEAR(Tools!$Q41))*12+MONTH(DATE(YEAR(TODAY()),MONTH(TODAY())+4,1))-MONTH(Tools!$Q41)))&lt;Tools!$L41)),Tools!$N41,""))</f>
        <v/>
      </c>
      <c r="H42" s="30">
        <f>IF(OR(Tools!$B41="",Tools!$Q41=""),"",IF(AND(((YEAR(DATE(YEAR(TODAY()),MONTH(TODAY())+5,1))-YEAR(Tools!$Q41))*12+MONTH(DATE(YEAR(TODAY()),MONTH(TODAY())+5,1))-MONTH(Tools!$Q41))&gt;=0,MOD(((YEAR(DATE(YEAR(TODAY()),MONTH(TODAY())+5,1))-YEAR(Tools!$Q41))*12+MONTH(DATE(YEAR(TODAY()),MONTH(TODAY())+5,1))-MONTH(Tools!$Q41)),Tools!$U41)=0,OR(Tools!$L41="",EDATE(Tools!$Q41,((YEAR(DATE(YEAR(TODAY()),MONTH(TODAY())+5,1))-YEAR(Tools!$Q41))*12+MONTH(DATE(YEAR(TODAY()),MONTH(TODAY())+5,1))-MONTH(Tools!$Q41)))&lt;Tools!$L41)),Tools!$N41,""))</f>
        <v/>
      </c>
      <c r="I42" s="30">
        <f>IF(OR(Tools!$B41="",Tools!$Q41=""),"",IF(AND(((YEAR(DATE(YEAR(TODAY()),MONTH(TODAY())+6,1))-YEAR(Tools!$Q41))*12+MONTH(DATE(YEAR(TODAY()),MONTH(TODAY())+6,1))-MONTH(Tools!$Q41))&gt;=0,MOD(((YEAR(DATE(YEAR(TODAY()),MONTH(TODAY())+6,1))-YEAR(Tools!$Q41))*12+MONTH(DATE(YEAR(TODAY()),MONTH(TODAY())+6,1))-MONTH(Tools!$Q41)),Tools!$U41)=0,OR(Tools!$L41="",EDATE(Tools!$Q41,((YEAR(DATE(YEAR(TODAY()),MONTH(TODAY())+6,1))-YEAR(Tools!$Q41))*12+MONTH(DATE(YEAR(TODAY()),MONTH(TODAY())+6,1))-MONTH(Tools!$Q41)))&lt;Tools!$L41)),Tools!$N41,""))</f>
        <v/>
      </c>
      <c r="J42" s="30">
        <f>IF(OR(Tools!$B41="",Tools!$Q41=""),"",IF(AND(((YEAR(DATE(YEAR(TODAY()),MONTH(TODAY())+7,1))-YEAR(Tools!$Q41))*12+MONTH(DATE(YEAR(TODAY()),MONTH(TODAY())+7,1))-MONTH(Tools!$Q41))&gt;=0,MOD(((YEAR(DATE(YEAR(TODAY()),MONTH(TODAY())+7,1))-YEAR(Tools!$Q41))*12+MONTH(DATE(YEAR(TODAY()),MONTH(TODAY())+7,1))-MONTH(Tools!$Q41)),Tools!$U41)=0,OR(Tools!$L41="",EDATE(Tools!$Q41,((YEAR(DATE(YEAR(TODAY()),MONTH(TODAY())+7,1))-YEAR(Tools!$Q41))*12+MONTH(DATE(YEAR(TODAY()),MONTH(TODAY())+7,1))-MONTH(Tools!$Q41)))&lt;Tools!$L41)),Tools!$N41,""))</f>
        <v/>
      </c>
      <c r="K42" s="30">
        <f>IF(OR(Tools!$B41="",Tools!$Q41=""),"",IF(AND(((YEAR(DATE(YEAR(TODAY()),MONTH(TODAY())+8,1))-YEAR(Tools!$Q41))*12+MONTH(DATE(YEAR(TODAY()),MONTH(TODAY())+8,1))-MONTH(Tools!$Q41))&gt;=0,MOD(((YEAR(DATE(YEAR(TODAY()),MONTH(TODAY())+8,1))-YEAR(Tools!$Q41))*12+MONTH(DATE(YEAR(TODAY()),MONTH(TODAY())+8,1))-MONTH(Tools!$Q41)),Tools!$U41)=0,OR(Tools!$L41="",EDATE(Tools!$Q41,((YEAR(DATE(YEAR(TODAY()),MONTH(TODAY())+8,1))-YEAR(Tools!$Q41))*12+MONTH(DATE(YEAR(TODAY()),MONTH(TODAY())+8,1))-MONTH(Tools!$Q41)))&lt;Tools!$L41)),Tools!$N41,""))</f>
        <v/>
      </c>
      <c r="L42" s="30">
        <f>IF(OR(Tools!$B41="",Tools!$Q41=""),"",IF(AND(((YEAR(DATE(YEAR(TODAY()),MONTH(TODAY())+9,1))-YEAR(Tools!$Q41))*12+MONTH(DATE(YEAR(TODAY()),MONTH(TODAY())+9,1))-MONTH(Tools!$Q41))&gt;=0,MOD(((YEAR(DATE(YEAR(TODAY()),MONTH(TODAY())+9,1))-YEAR(Tools!$Q41))*12+MONTH(DATE(YEAR(TODAY()),MONTH(TODAY())+9,1))-MONTH(Tools!$Q41)),Tools!$U41)=0,OR(Tools!$L41="",EDATE(Tools!$Q41,((YEAR(DATE(YEAR(TODAY()),MONTH(TODAY())+9,1))-YEAR(Tools!$Q41))*12+MONTH(DATE(YEAR(TODAY()),MONTH(TODAY())+9,1))-MONTH(Tools!$Q41)))&lt;Tools!$L41)),Tools!$N41,""))</f>
        <v/>
      </c>
      <c r="M42" s="30">
        <f>IF(OR(Tools!$B41="",Tools!$Q41=""),"",IF(AND(((YEAR(DATE(YEAR(TODAY()),MONTH(TODAY())+10,1))-YEAR(Tools!$Q41))*12+MONTH(DATE(YEAR(TODAY()),MONTH(TODAY())+10,1))-MONTH(Tools!$Q41))&gt;=0,MOD(((YEAR(DATE(YEAR(TODAY()),MONTH(TODAY())+10,1))-YEAR(Tools!$Q41))*12+MONTH(DATE(YEAR(TODAY()),MONTH(TODAY())+10,1))-MONTH(Tools!$Q41)),Tools!$U41)=0,OR(Tools!$L41="",EDATE(Tools!$Q41,((YEAR(DATE(YEAR(TODAY()),MONTH(TODAY())+10,1))-YEAR(Tools!$Q41))*12+MONTH(DATE(YEAR(TODAY()),MONTH(TODAY())+10,1))-MONTH(Tools!$Q41)))&lt;Tools!$L41)),Tools!$N41,""))</f>
        <v/>
      </c>
      <c r="N42" s="30">
        <f>IF(OR(Tools!$B41="",Tools!$Q41=""),"",IF(AND(((YEAR(DATE(YEAR(TODAY()),MONTH(TODAY())+11,1))-YEAR(Tools!$Q41))*12+MONTH(DATE(YEAR(TODAY()),MONTH(TODAY())+11,1))-MONTH(Tools!$Q41))&gt;=0,MOD(((YEAR(DATE(YEAR(TODAY()),MONTH(TODAY())+11,1))-YEAR(Tools!$Q41))*12+MONTH(DATE(YEAR(TODAY()),MONTH(TODAY())+11,1))-MONTH(Tools!$Q41)),Tools!$U41)=0,OR(Tools!$L41="",EDATE(Tools!$Q41,((YEAR(DATE(YEAR(TODAY()),MONTH(TODAY())+11,1))-YEAR(Tools!$Q41))*12+MONTH(DATE(YEAR(TODAY()),MONTH(TODAY())+11,1))-MONTH(Tools!$Q41)))&lt;Tools!$L41)),Tools!$N41,""))</f>
        <v/>
      </c>
      <c r="O42" s="31">
        <f>IF(B42="","",SUM(C42:N42))</f>
        <v/>
      </c>
      <c r="P42" s="1" t="n"/>
    </row>
    <row r="43">
      <c r="A43" s="1" t="n"/>
      <c r="B43" s="11">
        <f>IF(Tools!B42="","",Tools!B42)</f>
        <v/>
      </c>
      <c r="C43" s="30">
        <f>IF(OR(Tools!$B42="",Tools!$Q42=""),"",IF(AND(((YEAR(DATE(YEAR(TODAY()),MONTH(TODAY())+0,1))-YEAR(Tools!$Q42))*12+MONTH(DATE(YEAR(TODAY()),MONTH(TODAY())+0,1))-MONTH(Tools!$Q42))&gt;=0,MOD(((YEAR(DATE(YEAR(TODAY()),MONTH(TODAY())+0,1))-YEAR(Tools!$Q42))*12+MONTH(DATE(YEAR(TODAY()),MONTH(TODAY())+0,1))-MONTH(Tools!$Q42)),Tools!$U42)=0,OR(Tools!$L42="",EDATE(Tools!$Q42,((YEAR(DATE(YEAR(TODAY()),MONTH(TODAY())+0,1))-YEAR(Tools!$Q42))*12+MONTH(DATE(YEAR(TODAY()),MONTH(TODAY())+0,1))-MONTH(Tools!$Q42)))&lt;Tools!$L42)),Tools!$N42,""))</f>
        <v/>
      </c>
      <c r="D43" s="30">
        <f>IF(OR(Tools!$B42="",Tools!$Q42=""),"",IF(AND(((YEAR(DATE(YEAR(TODAY()),MONTH(TODAY())+1,1))-YEAR(Tools!$Q42))*12+MONTH(DATE(YEAR(TODAY()),MONTH(TODAY())+1,1))-MONTH(Tools!$Q42))&gt;=0,MOD(((YEAR(DATE(YEAR(TODAY()),MONTH(TODAY())+1,1))-YEAR(Tools!$Q42))*12+MONTH(DATE(YEAR(TODAY()),MONTH(TODAY())+1,1))-MONTH(Tools!$Q42)),Tools!$U42)=0,OR(Tools!$L42="",EDATE(Tools!$Q42,((YEAR(DATE(YEAR(TODAY()),MONTH(TODAY())+1,1))-YEAR(Tools!$Q42))*12+MONTH(DATE(YEAR(TODAY()),MONTH(TODAY())+1,1))-MONTH(Tools!$Q42)))&lt;Tools!$L42)),Tools!$N42,""))</f>
        <v/>
      </c>
      <c r="E43" s="30">
        <f>IF(OR(Tools!$B42="",Tools!$Q42=""),"",IF(AND(((YEAR(DATE(YEAR(TODAY()),MONTH(TODAY())+2,1))-YEAR(Tools!$Q42))*12+MONTH(DATE(YEAR(TODAY()),MONTH(TODAY())+2,1))-MONTH(Tools!$Q42))&gt;=0,MOD(((YEAR(DATE(YEAR(TODAY()),MONTH(TODAY())+2,1))-YEAR(Tools!$Q42))*12+MONTH(DATE(YEAR(TODAY()),MONTH(TODAY())+2,1))-MONTH(Tools!$Q42)),Tools!$U42)=0,OR(Tools!$L42="",EDATE(Tools!$Q42,((YEAR(DATE(YEAR(TODAY()),MONTH(TODAY())+2,1))-YEAR(Tools!$Q42))*12+MONTH(DATE(YEAR(TODAY()),MONTH(TODAY())+2,1))-MONTH(Tools!$Q42)))&lt;Tools!$L42)),Tools!$N42,""))</f>
        <v/>
      </c>
      <c r="F43" s="30">
        <f>IF(OR(Tools!$B42="",Tools!$Q42=""),"",IF(AND(((YEAR(DATE(YEAR(TODAY()),MONTH(TODAY())+3,1))-YEAR(Tools!$Q42))*12+MONTH(DATE(YEAR(TODAY()),MONTH(TODAY())+3,1))-MONTH(Tools!$Q42))&gt;=0,MOD(((YEAR(DATE(YEAR(TODAY()),MONTH(TODAY())+3,1))-YEAR(Tools!$Q42))*12+MONTH(DATE(YEAR(TODAY()),MONTH(TODAY())+3,1))-MONTH(Tools!$Q42)),Tools!$U42)=0,OR(Tools!$L42="",EDATE(Tools!$Q42,((YEAR(DATE(YEAR(TODAY()),MONTH(TODAY())+3,1))-YEAR(Tools!$Q42))*12+MONTH(DATE(YEAR(TODAY()),MONTH(TODAY())+3,1))-MONTH(Tools!$Q42)))&lt;Tools!$L42)),Tools!$N42,""))</f>
        <v/>
      </c>
      <c r="G43" s="30">
        <f>IF(OR(Tools!$B42="",Tools!$Q42=""),"",IF(AND(((YEAR(DATE(YEAR(TODAY()),MONTH(TODAY())+4,1))-YEAR(Tools!$Q42))*12+MONTH(DATE(YEAR(TODAY()),MONTH(TODAY())+4,1))-MONTH(Tools!$Q42))&gt;=0,MOD(((YEAR(DATE(YEAR(TODAY()),MONTH(TODAY())+4,1))-YEAR(Tools!$Q42))*12+MONTH(DATE(YEAR(TODAY()),MONTH(TODAY())+4,1))-MONTH(Tools!$Q42)),Tools!$U42)=0,OR(Tools!$L42="",EDATE(Tools!$Q42,((YEAR(DATE(YEAR(TODAY()),MONTH(TODAY())+4,1))-YEAR(Tools!$Q42))*12+MONTH(DATE(YEAR(TODAY()),MONTH(TODAY())+4,1))-MONTH(Tools!$Q42)))&lt;Tools!$L42)),Tools!$N42,""))</f>
        <v/>
      </c>
      <c r="H43" s="30">
        <f>IF(OR(Tools!$B42="",Tools!$Q42=""),"",IF(AND(((YEAR(DATE(YEAR(TODAY()),MONTH(TODAY())+5,1))-YEAR(Tools!$Q42))*12+MONTH(DATE(YEAR(TODAY()),MONTH(TODAY())+5,1))-MONTH(Tools!$Q42))&gt;=0,MOD(((YEAR(DATE(YEAR(TODAY()),MONTH(TODAY())+5,1))-YEAR(Tools!$Q42))*12+MONTH(DATE(YEAR(TODAY()),MONTH(TODAY())+5,1))-MONTH(Tools!$Q42)),Tools!$U42)=0,OR(Tools!$L42="",EDATE(Tools!$Q42,((YEAR(DATE(YEAR(TODAY()),MONTH(TODAY())+5,1))-YEAR(Tools!$Q42))*12+MONTH(DATE(YEAR(TODAY()),MONTH(TODAY())+5,1))-MONTH(Tools!$Q42)))&lt;Tools!$L42)),Tools!$N42,""))</f>
        <v/>
      </c>
      <c r="I43" s="30">
        <f>IF(OR(Tools!$B42="",Tools!$Q42=""),"",IF(AND(((YEAR(DATE(YEAR(TODAY()),MONTH(TODAY())+6,1))-YEAR(Tools!$Q42))*12+MONTH(DATE(YEAR(TODAY()),MONTH(TODAY())+6,1))-MONTH(Tools!$Q42))&gt;=0,MOD(((YEAR(DATE(YEAR(TODAY()),MONTH(TODAY())+6,1))-YEAR(Tools!$Q42))*12+MONTH(DATE(YEAR(TODAY()),MONTH(TODAY())+6,1))-MONTH(Tools!$Q42)),Tools!$U42)=0,OR(Tools!$L42="",EDATE(Tools!$Q42,((YEAR(DATE(YEAR(TODAY()),MONTH(TODAY())+6,1))-YEAR(Tools!$Q42))*12+MONTH(DATE(YEAR(TODAY()),MONTH(TODAY())+6,1))-MONTH(Tools!$Q42)))&lt;Tools!$L42)),Tools!$N42,""))</f>
        <v/>
      </c>
      <c r="J43" s="30">
        <f>IF(OR(Tools!$B42="",Tools!$Q42=""),"",IF(AND(((YEAR(DATE(YEAR(TODAY()),MONTH(TODAY())+7,1))-YEAR(Tools!$Q42))*12+MONTH(DATE(YEAR(TODAY()),MONTH(TODAY())+7,1))-MONTH(Tools!$Q42))&gt;=0,MOD(((YEAR(DATE(YEAR(TODAY()),MONTH(TODAY())+7,1))-YEAR(Tools!$Q42))*12+MONTH(DATE(YEAR(TODAY()),MONTH(TODAY())+7,1))-MONTH(Tools!$Q42)),Tools!$U42)=0,OR(Tools!$L42="",EDATE(Tools!$Q42,((YEAR(DATE(YEAR(TODAY()),MONTH(TODAY())+7,1))-YEAR(Tools!$Q42))*12+MONTH(DATE(YEAR(TODAY()),MONTH(TODAY())+7,1))-MONTH(Tools!$Q42)))&lt;Tools!$L42)),Tools!$N42,""))</f>
        <v/>
      </c>
      <c r="K43" s="30">
        <f>IF(OR(Tools!$B42="",Tools!$Q42=""),"",IF(AND(((YEAR(DATE(YEAR(TODAY()),MONTH(TODAY())+8,1))-YEAR(Tools!$Q42))*12+MONTH(DATE(YEAR(TODAY()),MONTH(TODAY())+8,1))-MONTH(Tools!$Q42))&gt;=0,MOD(((YEAR(DATE(YEAR(TODAY()),MONTH(TODAY())+8,1))-YEAR(Tools!$Q42))*12+MONTH(DATE(YEAR(TODAY()),MONTH(TODAY())+8,1))-MONTH(Tools!$Q42)),Tools!$U42)=0,OR(Tools!$L42="",EDATE(Tools!$Q42,((YEAR(DATE(YEAR(TODAY()),MONTH(TODAY())+8,1))-YEAR(Tools!$Q42))*12+MONTH(DATE(YEAR(TODAY()),MONTH(TODAY())+8,1))-MONTH(Tools!$Q42)))&lt;Tools!$L42)),Tools!$N42,""))</f>
        <v/>
      </c>
      <c r="L43" s="30">
        <f>IF(OR(Tools!$B42="",Tools!$Q42=""),"",IF(AND(((YEAR(DATE(YEAR(TODAY()),MONTH(TODAY())+9,1))-YEAR(Tools!$Q42))*12+MONTH(DATE(YEAR(TODAY()),MONTH(TODAY())+9,1))-MONTH(Tools!$Q42))&gt;=0,MOD(((YEAR(DATE(YEAR(TODAY()),MONTH(TODAY())+9,1))-YEAR(Tools!$Q42))*12+MONTH(DATE(YEAR(TODAY()),MONTH(TODAY())+9,1))-MONTH(Tools!$Q42)),Tools!$U42)=0,OR(Tools!$L42="",EDATE(Tools!$Q42,((YEAR(DATE(YEAR(TODAY()),MONTH(TODAY())+9,1))-YEAR(Tools!$Q42))*12+MONTH(DATE(YEAR(TODAY()),MONTH(TODAY())+9,1))-MONTH(Tools!$Q42)))&lt;Tools!$L42)),Tools!$N42,""))</f>
        <v/>
      </c>
      <c r="M43" s="30">
        <f>IF(OR(Tools!$B42="",Tools!$Q42=""),"",IF(AND(((YEAR(DATE(YEAR(TODAY()),MONTH(TODAY())+10,1))-YEAR(Tools!$Q42))*12+MONTH(DATE(YEAR(TODAY()),MONTH(TODAY())+10,1))-MONTH(Tools!$Q42))&gt;=0,MOD(((YEAR(DATE(YEAR(TODAY()),MONTH(TODAY())+10,1))-YEAR(Tools!$Q42))*12+MONTH(DATE(YEAR(TODAY()),MONTH(TODAY())+10,1))-MONTH(Tools!$Q42)),Tools!$U42)=0,OR(Tools!$L42="",EDATE(Tools!$Q42,((YEAR(DATE(YEAR(TODAY()),MONTH(TODAY())+10,1))-YEAR(Tools!$Q42))*12+MONTH(DATE(YEAR(TODAY()),MONTH(TODAY())+10,1))-MONTH(Tools!$Q42)))&lt;Tools!$L42)),Tools!$N42,""))</f>
        <v/>
      </c>
      <c r="N43" s="30">
        <f>IF(OR(Tools!$B42="",Tools!$Q42=""),"",IF(AND(((YEAR(DATE(YEAR(TODAY()),MONTH(TODAY())+11,1))-YEAR(Tools!$Q42))*12+MONTH(DATE(YEAR(TODAY()),MONTH(TODAY())+11,1))-MONTH(Tools!$Q42))&gt;=0,MOD(((YEAR(DATE(YEAR(TODAY()),MONTH(TODAY())+11,1))-YEAR(Tools!$Q42))*12+MONTH(DATE(YEAR(TODAY()),MONTH(TODAY())+11,1))-MONTH(Tools!$Q42)),Tools!$U42)=0,OR(Tools!$L42="",EDATE(Tools!$Q42,((YEAR(DATE(YEAR(TODAY()),MONTH(TODAY())+11,1))-YEAR(Tools!$Q42))*12+MONTH(DATE(YEAR(TODAY()),MONTH(TODAY())+11,1))-MONTH(Tools!$Q42)))&lt;Tools!$L42)),Tools!$N42,""))</f>
        <v/>
      </c>
      <c r="O43" s="31">
        <f>IF(B43="","",SUM(C43:N43))</f>
        <v/>
      </c>
      <c r="P43" s="1" t="n"/>
    </row>
    <row r="44">
      <c r="A44" s="1" t="n"/>
      <c r="B44" s="11">
        <f>IF(Tools!B43="","",Tools!B43)</f>
        <v/>
      </c>
      <c r="C44" s="30">
        <f>IF(OR(Tools!$B43="",Tools!$Q43=""),"",IF(AND(((YEAR(DATE(YEAR(TODAY()),MONTH(TODAY())+0,1))-YEAR(Tools!$Q43))*12+MONTH(DATE(YEAR(TODAY()),MONTH(TODAY())+0,1))-MONTH(Tools!$Q43))&gt;=0,MOD(((YEAR(DATE(YEAR(TODAY()),MONTH(TODAY())+0,1))-YEAR(Tools!$Q43))*12+MONTH(DATE(YEAR(TODAY()),MONTH(TODAY())+0,1))-MONTH(Tools!$Q43)),Tools!$U43)=0,OR(Tools!$L43="",EDATE(Tools!$Q43,((YEAR(DATE(YEAR(TODAY()),MONTH(TODAY())+0,1))-YEAR(Tools!$Q43))*12+MONTH(DATE(YEAR(TODAY()),MONTH(TODAY())+0,1))-MONTH(Tools!$Q43)))&lt;Tools!$L43)),Tools!$N43,""))</f>
        <v/>
      </c>
      <c r="D44" s="30">
        <f>IF(OR(Tools!$B43="",Tools!$Q43=""),"",IF(AND(((YEAR(DATE(YEAR(TODAY()),MONTH(TODAY())+1,1))-YEAR(Tools!$Q43))*12+MONTH(DATE(YEAR(TODAY()),MONTH(TODAY())+1,1))-MONTH(Tools!$Q43))&gt;=0,MOD(((YEAR(DATE(YEAR(TODAY()),MONTH(TODAY())+1,1))-YEAR(Tools!$Q43))*12+MONTH(DATE(YEAR(TODAY()),MONTH(TODAY())+1,1))-MONTH(Tools!$Q43)),Tools!$U43)=0,OR(Tools!$L43="",EDATE(Tools!$Q43,((YEAR(DATE(YEAR(TODAY()),MONTH(TODAY())+1,1))-YEAR(Tools!$Q43))*12+MONTH(DATE(YEAR(TODAY()),MONTH(TODAY())+1,1))-MONTH(Tools!$Q43)))&lt;Tools!$L43)),Tools!$N43,""))</f>
        <v/>
      </c>
      <c r="E44" s="30">
        <f>IF(OR(Tools!$B43="",Tools!$Q43=""),"",IF(AND(((YEAR(DATE(YEAR(TODAY()),MONTH(TODAY())+2,1))-YEAR(Tools!$Q43))*12+MONTH(DATE(YEAR(TODAY()),MONTH(TODAY())+2,1))-MONTH(Tools!$Q43))&gt;=0,MOD(((YEAR(DATE(YEAR(TODAY()),MONTH(TODAY())+2,1))-YEAR(Tools!$Q43))*12+MONTH(DATE(YEAR(TODAY()),MONTH(TODAY())+2,1))-MONTH(Tools!$Q43)),Tools!$U43)=0,OR(Tools!$L43="",EDATE(Tools!$Q43,((YEAR(DATE(YEAR(TODAY()),MONTH(TODAY())+2,1))-YEAR(Tools!$Q43))*12+MONTH(DATE(YEAR(TODAY()),MONTH(TODAY())+2,1))-MONTH(Tools!$Q43)))&lt;Tools!$L43)),Tools!$N43,""))</f>
        <v/>
      </c>
      <c r="F44" s="30">
        <f>IF(OR(Tools!$B43="",Tools!$Q43=""),"",IF(AND(((YEAR(DATE(YEAR(TODAY()),MONTH(TODAY())+3,1))-YEAR(Tools!$Q43))*12+MONTH(DATE(YEAR(TODAY()),MONTH(TODAY())+3,1))-MONTH(Tools!$Q43))&gt;=0,MOD(((YEAR(DATE(YEAR(TODAY()),MONTH(TODAY())+3,1))-YEAR(Tools!$Q43))*12+MONTH(DATE(YEAR(TODAY()),MONTH(TODAY())+3,1))-MONTH(Tools!$Q43)),Tools!$U43)=0,OR(Tools!$L43="",EDATE(Tools!$Q43,((YEAR(DATE(YEAR(TODAY()),MONTH(TODAY())+3,1))-YEAR(Tools!$Q43))*12+MONTH(DATE(YEAR(TODAY()),MONTH(TODAY())+3,1))-MONTH(Tools!$Q43)))&lt;Tools!$L43)),Tools!$N43,""))</f>
        <v/>
      </c>
      <c r="G44" s="30">
        <f>IF(OR(Tools!$B43="",Tools!$Q43=""),"",IF(AND(((YEAR(DATE(YEAR(TODAY()),MONTH(TODAY())+4,1))-YEAR(Tools!$Q43))*12+MONTH(DATE(YEAR(TODAY()),MONTH(TODAY())+4,1))-MONTH(Tools!$Q43))&gt;=0,MOD(((YEAR(DATE(YEAR(TODAY()),MONTH(TODAY())+4,1))-YEAR(Tools!$Q43))*12+MONTH(DATE(YEAR(TODAY()),MONTH(TODAY())+4,1))-MONTH(Tools!$Q43)),Tools!$U43)=0,OR(Tools!$L43="",EDATE(Tools!$Q43,((YEAR(DATE(YEAR(TODAY()),MONTH(TODAY())+4,1))-YEAR(Tools!$Q43))*12+MONTH(DATE(YEAR(TODAY()),MONTH(TODAY())+4,1))-MONTH(Tools!$Q43)))&lt;Tools!$L43)),Tools!$N43,""))</f>
        <v/>
      </c>
      <c r="H44" s="30">
        <f>IF(OR(Tools!$B43="",Tools!$Q43=""),"",IF(AND(((YEAR(DATE(YEAR(TODAY()),MONTH(TODAY())+5,1))-YEAR(Tools!$Q43))*12+MONTH(DATE(YEAR(TODAY()),MONTH(TODAY())+5,1))-MONTH(Tools!$Q43))&gt;=0,MOD(((YEAR(DATE(YEAR(TODAY()),MONTH(TODAY())+5,1))-YEAR(Tools!$Q43))*12+MONTH(DATE(YEAR(TODAY()),MONTH(TODAY())+5,1))-MONTH(Tools!$Q43)),Tools!$U43)=0,OR(Tools!$L43="",EDATE(Tools!$Q43,((YEAR(DATE(YEAR(TODAY()),MONTH(TODAY())+5,1))-YEAR(Tools!$Q43))*12+MONTH(DATE(YEAR(TODAY()),MONTH(TODAY())+5,1))-MONTH(Tools!$Q43)))&lt;Tools!$L43)),Tools!$N43,""))</f>
        <v/>
      </c>
      <c r="I44" s="30">
        <f>IF(OR(Tools!$B43="",Tools!$Q43=""),"",IF(AND(((YEAR(DATE(YEAR(TODAY()),MONTH(TODAY())+6,1))-YEAR(Tools!$Q43))*12+MONTH(DATE(YEAR(TODAY()),MONTH(TODAY())+6,1))-MONTH(Tools!$Q43))&gt;=0,MOD(((YEAR(DATE(YEAR(TODAY()),MONTH(TODAY())+6,1))-YEAR(Tools!$Q43))*12+MONTH(DATE(YEAR(TODAY()),MONTH(TODAY())+6,1))-MONTH(Tools!$Q43)),Tools!$U43)=0,OR(Tools!$L43="",EDATE(Tools!$Q43,((YEAR(DATE(YEAR(TODAY()),MONTH(TODAY())+6,1))-YEAR(Tools!$Q43))*12+MONTH(DATE(YEAR(TODAY()),MONTH(TODAY())+6,1))-MONTH(Tools!$Q43)))&lt;Tools!$L43)),Tools!$N43,""))</f>
        <v/>
      </c>
      <c r="J44" s="30">
        <f>IF(OR(Tools!$B43="",Tools!$Q43=""),"",IF(AND(((YEAR(DATE(YEAR(TODAY()),MONTH(TODAY())+7,1))-YEAR(Tools!$Q43))*12+MONTH(DATE(YEAR(TODAY()),MONTH(TODAY())+7,1))-MONTH(Tools!$Q43))&gt;=0,MOD(((YEAR(DATE(YEAR(TODAY()),MONTH(TODAY())+7,1))-YEAR(Tools!$Q43))*12+MONTH(DATE(YEAR(TODAY()),MONTH(TODAY())+7,1))-MONTH(Tools!$Q43)),Tools!$U43)=0,OR(Tools!$L43="",EDATE(Tools!$Q43,((YEAR(DATE(YEAR(TODAY()),MONTH(TODAY())+7,1))-YEAR(Tools!$Q43))*12+MONTH(DATE(YEAR(TODAY()),MONTH(TODAY())+7,1))-MONTH(Tools!$Q43)))&lt;Tools!$L43)),Tools!$N43,""))</f>
        <v/>
      </c>
      <c r="K44" s="30">
        <f>IF(OR(Tools!$B43="",Tools!$Q43=""),"",IF(AND(((YEAR(DATE(YEAR(TODAY()),MONTH(TODAY())+8,1))-YEAR(Tools!$Q43))*12+MONTH(DATE(YEAR(TODAY()),MONTH(TODAY())+8,1))-MONTH(Tools!$Q43))&gt;=0,MOD(((YEAR(DATE(YEAR(TODAY()),MONTH(TODAY())+8,1))-YEAR(Tools!$Q43))*12+MONTH(DATE(YEAR(TODAY()),MONTH(TODAY())+8,1))-MONTH(Tools!$Q43)),Tools!$U43)=0,OR(Tools!$L43="",EDATE(Tools!$Q43,((YEAR(DATE(YEAR(TODAY()),MONTH(TODAY())+8,1))-YEAR(Tools!$Q43))*12+MONTH(DATE(YEAR(TODAY()),MONTH(TODAY())+8,1))-MONTH(Tools!$Q43)))&lt;Tools!$L43)),Tools!$N43,""))</f>
        <v/>
      </c>
      <c r="L44" s="30">
        <f>IF(OR(Tools!$B43="",Tools!$Q43=""),"",IF(AND(((YEAR(DATE(YEAR(TODAY()),MONTH(TODAY())+9,1))-YEAR(Tools!$Q43))*12+MONTH(DATE(YEAR(TODAY()),MONTH(TODAY())+9,1))-MONTH(Tools!$Q43))&gt;=0,MOD(((YEAR(DATE(YEAR(TODAY()),MONTH(TODAY())+9,1))-YEAR(Tools!$Q43))*12+MONTH(DATE(YEAR(TODAY()),MONTH(TODAY())+9,1))-MONTH(Tools!$Q43)),Tools!$U43)=0,OR(Tools!$L43="",EDATE(Tools!$Q43,((YEAR(DATE(YEAR(TODAY()),MONTH(TODAY())+9,1))-YEAR(Tools!$Q43))*12+MONTH(DATE(YEAR(TODAY()),MONTH(TODAY())+9,1))-MONTH(Tools!$Q43)))&lt;Tools!$L43)),Tools!$N43,""))</f>
        <v/>
      </c>
      <c r="M44" s="30">
        <f>IF(OR(Tools!$B43="",Tools!$Q43=""),"",IF(AND(((YEAR(DATE(YEAR(TODAY()),MONTH(TODAY())+10,1))-YEAR(Tools!$Q43))*12+MONTH(DATE(YEAR(TODAY()),MONTH(TODAY())+10,1))-MONTH(Tools!$Q43))&gt;=0,MOD(((YEAR(DATE(YEAR(TODAY()),MONTH(TODAY())+10,1))-YEAR(Tools!$Q43))*12+MONTH(DATE(YEAR(TODAY()),MONTH(TODAY())+10,1))-MONTH(Tools!$Q43)),Tools!$U43)=0,OR(Tools!$L43="",EDATE(Tools!$Q43,((YEAR(DATE(YEAR(TODAY()),MONTH(TODAY())+10,1))-YEAR(Tools!$Q43))*12+MONTH(DATE(YEAR(TODAY()),MONTH(TODAY())+10,1))-MONTH(Tools!$Q43)))&lt;Tools!$L43)),Tools!$N43,""))</f>
        <v/>
      </c>
      <c r="N44" s="30">
        <f>IF(OR(Tools!$B43="",Tools!$Q43=""),"",IF(AND(((YEAR(DATE(YEAR(TODAY()),MONTH(TODAY())+11,1))-YEAR(Tools!$Q43))*12+MONTH(DATE(YEAR(TODAY()),MONTH(TODAY())+11,1))-MONTH(Tools!$Q43))&gt;=0,MOD(((YEAR(DATE(YEAR(TODAY()),MONTH(TODAY())+11,1))-YEAR(Tools!$Q43))*12+MONTH(DATE(YEAR(TODAY()),MONTH(TODAY())+11,1))-MONTH(Tools!$Q43)),Tools!$U43)=0,OR(Tools!$L43="",EDATE(Tools!$Q43,((YEAR(DATE(YEAR(TODAY()),MONTH(TODAY())+11,1))-YEAR(Tools!$Q43))*12+MONTH(DATE(YEAR(TODAY()),MONTH(TODAY())+11,1))-MONTH(Tools!$Q43)))&lt;Tools!$L43)),Tools!$N43,""))</f>
        <v/>
      </c>
      <c r="O44" s="31">
        <f>IF(B44="","",SUM(C44:N44))</f>
        <v/>
      </c>
      <c r="P44" s="1" t="n"/>
    </row>
    <row r="45">
      <c r="A45" s="1" t="n"/>
      <c r="B45" s="11">
        <f>IF(Tools!B44="","",Tools!B44)</f>
        <v/>
      </c>
      <c r="C45" s="30">
        <f>IF(OR(Tools!$B44="",Tools!$Q44=""),"",IF(AND(((YEAR(DATE(YEAR(TODAY()),MONTH(TODAY())+0,1))-YEAR(Tools!$Q44))*12+MONTH(DATE(YEAR(TODAY()),MONTH(TODAY())+0,1))-MONTH(Tools!$Q44))&gt;=0,MOD(((YEAR(DATE(YEAR(TODAY()),MONTH(TODAY())+0,1))-YEAR(Tools!$Q44))*12+MONTH(DATE(YEAR(TODAY()),MONTH(TODAY())+0,1))-MONTH(Tools!$Q44)),Tools!$U44)=0,OR(Tools!$L44="",EDATE(Tools!$Q44,((YEAR(DATE(YEAR(TODAY()),MONTH(TODAY())+0,1))-YEAR(Tools!$Q44))*12+MONTH(DATE(YEAR(TODAY()),MONTH(TODAY())+0,1))-MONTH(Tools!$Q44)))&lt;Tools!$L44)),Tools!$N44,""))</f>
        <v/>
      </c>
      <c r="D45" s="30">
        <f>IF(OR(Tools!$B44="",Tools!$Q44=""),"",IF(AND(((YEAR(DATE(YEAR(TODAY()),MONTH(TODAY())+1,1))-YEAR(Tools!$Q44))*12+MONTH(DATE(YEAR(TODAY()),MONTH(TODAY())+1,1))-MONTH(Tools!$Q44))&gt;=0,MOD(((YEAR(DATE(YEAR(TODAY()),MONTH(TODAY())+1,1))-YEAR(Tools!$Q44))*12+MONTH(DATE(YEAR(TODAY()),MONTH(TODAY())+1,1))-MONTH(Tools!$Q44)),Tools!$U44)=0,OR(Tools!$L44="",EDATE(Tools!$Q44,((YEAR(DATE(YEAR(TODAY()),MONTH(TODAY())+1,1))-YEAR(Tools!$Q44))*12+MONTH(DATE(YEAR(TODAY()),MONTH(TODAY())+1,1))-MONTH(Tools!$Q44)))&lt;Tools!$L44)),Tools!$N44,""))</f>
        <v/>
      </c>
      <c r="E45" s="30">
        <f>IF(OR(Tools!$B44="",Tools!$Q44=""),"",IF(AND(((YEAR(DATE(YEAR(TODAY()),MONTH(TODAY())+2,1))-YEAR(Tools!$Q44))*12+MONTH(DATE(YEAR(TODAY()),MONTH(TODAY())+2,1))-MONTH(Tools!$Q44))&gt;=0,MOD(((YEAR(DATE(YEAR(TODAY()),MONTH(TODAY())+2,1))-YEAR(Tools!$Q44))*12+MONTH(DATE(YEAR(TODAY()),MONTH(TODAY())+2,1))-MONTH(Tools!$Q44)),Tools!$U44)=0,OR(Tools!$L44="",EDATE(Tools!$Q44,((YEAR(DATE(YEAR(TODAY()),MONTH(TODAY())+2,1))-YEAR(Tools!$Q44))*12+MONTH(DATE(YEAR(TODAY()),MONTH(TODAY())+2,1))-MONTH(Tools!$Q44)))&lt;Tools!$L44)),Tools!$N44,""))</f>
        <v/>
      </c>
      <c r="F45" s="30">
        <f>IF(OR(Tools!$B44="",Tools!$Q44=""),"",IF(AND(((YEAR(DATE(YEAR(TODAY()),MONTH(TODAY())+3,1))-YEAR(Tools!$Q44))*12+MONTH(DATE(YEAR(TODAY()),MONTH(TODAY())+3,1))-MONTH(Tools!$Q44))&gt;=0,MOD(((YEAR(DATE(YEAR(TODAY()),MONTH(TODAY())+3,1))-YEAR(Tools!$Q44))*12+MONTH(DATE(YEAR(TODAY()),MONTH(TODAY())+3,1))-MONTH(Tools!$Q44)),Tools!$U44)=0,OR(Tools!$L44="",EDATE(Tools!$Q44,((YEAR(DATE(YEAR(TODAY()),MONTH(TODAY())+3,1))-YEAR(Tools!$Q44))*12+MONTH(DATE(YEAR(TODAY()),MONTH(TODAY())+3,1))-MONTH(Tools!$Q44)))&lt;Tools!$L44)),Tools!$N44,""))</f>
        <v/>
      </c>
      <c r="G45" s="30">
        <f>IF(OR(Tools!$B44="",Tools!$Q44=""),"",IF(AND(((YEAR(DATE(YEAR(TODAY()),MONTH(TODAY())+4,1))-YEAR(Tools!$Q44))*12+MONTH(DATE(YEAR(TODAY()),MONTH(TODAY())+4,1))-MONTH(Tools!$Q44))&gt;=0,MOD(((YEAR(DATE(YEAR(TODAY()),MONTH(TODAY())+4,1))-YEAR(Tools!$Q44))*12+MONTH(DATE(YEAR(TODAY()),MONTH(TODAY())+4,1))-MONTH(Tools!$Q44)),Tools!$U44)=0,OR(Tools!$L44="",EDATE(Tools!$Q44,((YEAR(DATE(YEAR(TODAY()),MONTH(TODAY())+4,1))-YEAR(Tools!$Q44))*12+MONTH(DATE(YEAR(TODAY()),MONTH(TODAY())+4,1))-MONTH(Tools!$Q44)))&lt;Tools!$L44)),Tools!$N44,""))</f>
        <v/>
      </c>
      <c r="H45" s="30">
        <f>IF(OR(Tools!$B44="",Tools!$Q44=""),"",IF(AND(((YEAR(DATE(YEAR(TODAY()),MONTH(TODAY())+5,1))-YEAR(Tools!$Q44))*12+MONTH(DATE(YEAR(TODAY()),MONTH(TODAY())+5,1))-MONTH(Tools!$Q44))&gt;=0,MOD(((YEAR(DATE(YEAR(TODAY()),MONTH(TODAY())+5,1))-YEAR(Tools!$Q44))*12+MONTH(DATE(YEAR(TODAY()),MONTH(TODAY())+5,1))-MONTH(Tools!$Q44)),Tools!$U44)=0,OR(Tools!$L44="",EDATE(Tools!$Q44,((YEAR(DATE(YEAR(TODAY()),MONTH(TODAY())+5,1))-YEAR(Tools!$Q44))*12+MONTH(DATE(YEAR(TODAY()),MONTH(TODAY())+5,1))-MONTH(Tools!$Q44)))&lt;Tools!$L44)),Tools!$N44,""))</f>
        <v/>
      </c>
      <c r="I45" s="30">
        <f>IF(OR(Tools!$B44="",Tools!$Q44=""),"",IF(AND(((YEAR(DATE(YEAR(TODAY()),MONTH(TODAY())+6,1))-YEAR(Tools!$Q44))*12+MONTH(DATE(YEAR(TODAY()),MONTH(TODAY())+6,1))-MONTH(Tools!$Q44))&gt;=0,MOD(((YEAR(DATE(YEAR(TODAY()),MONTH(TODAY())+6,1))-YEAR(Tools!$Q44))*12+MONTH(DATE(YEAR(TODAY()),MONTH(TODAY())+6,1))-MONTH(Tools!$Q44)),Tools!$U44)=0,OR(Tools!$L44="",EDATE(Tools!$Q44,((YEAR(DATE(YEAR(TODAY()),MONTH(TODAY())+6,1))-YEAR(Tools!$Q44))*12+MONTH(DATE(YEAR(TODAY()),MONTH(TODAY())+6,1))-MONTH(Tools!$Q44)))&lt;Tools!$L44)),Tools!$N44,""))</f>
        <v/>
      </c>
      <c r="J45" s="30">
        <f>IF(OR(Tools!$B44="",Tools!$Q44=""),"",IF(AND(((YEAR(DATE(YEAR(TODAY()),MONTH(TODAY())+7,1))-YEAR(Tools!$Q44))*12+MONTH(DATE(YEAR(TODAY()),MONTH(TODAY())+7,1))-MONTH(Tools!$Q44))&gt;=0,MOD(((YEAR(DATE(YEAR(TODAY()),MONTH(TODAY())+7,1))-YEAR(Tools!$Q44))*12+MONTH(DATE(YEAR(TODAY()),MONTH(TODAY())+7,1))-MONTH(Tools!$Q44)),Tools!$U44)=0,OR(Tools!$L44="",EDATE(Tools!$Q44,((YEAR(DATE(YEAR(TODAY()),MONTH(TODAY())+7,1))-YEAR(Tools!$Q44))*12+MONTH(DATE(YEAR(TODAY()),MONTH(TODAY())+7,1))-MONTH(Tools!$Q44)))&lt;Tools!$L44)),Tools!$N44,""))</f>
        <v/>
      </c>
      <c r="K45" s="30">
        <f>IF(OR(Tools!$B44="",Tools!$Q44=""),"",IF(AND(((YEAR(DATE(YEAR(TODAY()),MONTH(TODAY())+8,1))-YEAR(Tools!$Q44))*12+MONTH(DATE(YEAR(TODAY()),MONTH(TODAY())+8,1))-MONTH(Tools!$Q44))&gt;=0,MOD(((YEAR(DATE(YEAR(TODAY()),MONTH(TODAY())+8,1))-YEAR(Tools!$Q44))*12+MONTH(DATE(YEAR(TODAY()),MONTH(TODAY())+8,1))-MONTH(Tools!$Q44)),Tools!$U44)=0,OR(Tools!$L44="",EDATE(Tools!$Q44,((YEAR(DATE(YEAR(TODAY()),MONTH(TODAY())+8,1))-YEAR(Tools!$Q44))*12+MONTH(DATE(YEAR(TODAY()),MONTH(TODAY())+8,1))-MONTH(Tools!$Q44)))&lt;Tools!$L44)),Tools!$N44,""))</f>
        <v/>
      </c>
      <c r="L45" s="30">
        <f>IF(OR(Tools!$B44="",Tools!$Q44=""),"",IF(AND(((YEAR(DATE(YEAR(TODAY()),MONTH(TODAY())+9,1))-YEAR(Tools!$Q44))*12+MONTH(DATE(YEAR(TODAY()),MONTH(TODAY())+9,1))-MONTH(Tools!$Q44))&gt;=0,MOD(((YEAR(DATE(YEAR(TODAY()),MONTH(TODAY())+9,1))-YEAR(Tools!$Q44))*12+MONTH(DATE(YEAR(TODAY()),MONTH(TODAY())+9,1))-MONTH(Tools!$Q44)),Tools!$U44)=0,OR(Tools!$L44="",EDATE(Tools!$Q44,((YEAR(DATE(YEAR(TODAY()),MONTH(TODAY())+9,1))-YEAR(Tools!$Q44))*12+MONTH(DATE(YEAR(TODAY()),MONTH(TODAY())+9,1))-MONTH(Tools!$Q44)))&lt;Tools!$L44)),Tools!$N44,""))</f>
        <v/>
      </c>
      <c r="M45" s="30">
        <f>IF(OR(Tools!$B44="",Tools!$Q44=""),"",IF(AND(((YEAR(DATE(YEAR(TODAY()),MONTH(TODAY())+10,1))-YEAR(Tools!$Q44))*12+MONTH(DATE(YEAR(TODAY()),MONTH(TODAY())+10,1))-MONTH(Tools!$Q44))&gt;=0,MOD(((YEAR(DATE(YEAR(TODAY()),MONTH(TODAY())+10,1))-YEAR(Tools!$Q44))*12+MONTH(DATE(YEAR(TODAY()),MONTH(TODAY())+10,1))-MONTH(Tools!$Q44)),Tools!$U44)=0,OR(Tools!$L44="",EDATE(Tools!$Q44,((YEAR(DATE(YEAR(TODAY()),MONTH(TODAY())+10,1))-YEAR(Tools!$Q44))*12+MONTH(DATE(YEAR(TODAY()),MONTH(TODAY())+10,1))-MONTH(Tools!$Q44)))&lt;Tools!$L44)),Tools!$N44,""))</f>
        <v/>
      </c>
      <c r="N45" s="30">
        <f>IF(OR(Tools!$B44="",Tools!$Q44=""),"",IF(AND(((YEAR(DATE(YEAR(TODAY()),MONTH(TODAY())+11,1))-YEAR(Tools!$Q44))*12+MONTH(DATE(YEAR(TODAY()),MONTH(TODAY())+11,1))-MONTH(Tools!$Q44))&gt;=0,MOD(((YEAR(DATE(YEAR(TODAY()),MONTH(TODAY())+11,1))-YEAR(Tools!$Q44))*12+MONTH(DATE(YEAR(TODAY()),MONTH(TODAY())+11,1))-MONTH(Tools!$Q44)),Tools!$U44)=0,OR(Tools!$L44="",EDATE(Tools!$Q44,((YEAR(DATE(YEAR(TODAY()),MONTH(TODAY())+11,1))-YEAR(Tools!$Q44))*12+MONTH(DATE(YEAR(TODAY()),MONTH(TODAY())+11,1))-MONTH(Tools!$Q44)))&lt;Tools!$L44)),Tools!$N44,""))</f>
        <v/>
      </c>
      <c r="O45" s="31">
        <f>IF(B45="","",SUM(C45:N45))</f>
        <v/>
      </c>
      <c r="P45" s="1" t="n"/>
    </row>
    <row r="46">
      <c r="A46" s="1" t="n"/>
      <c r="B46" s="11">
        <f>IF(Tools!B45="","",Tools!B45)</f>
        <v/>
      </c>
      <c r="C46" s="30">
        <f>IF(OR(Tools!$B45="",Tools!$Q45=""),"",IF(AND(((YEAR(DATE(YEAR(TODAY()),MONTH(TODAY())+0,1))-YEAR(Tools!$Q45))*12+MONTH(DATE(YEAR(TODAY()),MONTH(TODAY())+0,1))-MONTH(Tools!$Q45))&gt;=0,MOD(((YEAR(DATE(YEAR(TODAY()),MONTH(TODAY())+0,1))-YEAR(Tools!$Q45))*12+MONTH(DATE(YEAR(TODAY()),MONTH(TODAY())+0,1))-MONTH(Tools!$Q45)),Tools!$U45)=0,OR(Tools!$L45="",EDATE(Tools!$Q45,((YEAR(DATE(YEAR(TODAY()),MONTH(TODAY())+0,1))-YEAR(Tools!$Q45))*12+MONTH(DATE(YEAR(TODAY()),MONTH(TODAY())+0,1))-MONTH(Tools!$Q45)))&lt;Tools!$L45)),Tools!$N45,""))</f>
        <v/>
      </c>
      <c r="D46" s="30">
        <f>IF(OR(Tools!$B45="",Tools!$Q45=""),"",IF(AND(((YEAR(DATE(YEAR(TODAY()),MONTH(TODAY())+1,1))-YEAR(Tools!$Q45))*12+MONTH(DATE(YEAR(TODAY()),MONTH(TODAY())+1,1))-MONTH(Tools!$Q45))&gt;=0,MOD(((YEAR(DATE(YEAR(TODAY()),MONTH(TODAY())+1,1))-YEAR(Tools!$Q45))*12+MONTH(DATE(YEAR(TODAY()),MONTH(TODAY())+1,1))-MONTH(Tools!$Q45)),Tools!$U45)=0,OR(Tools!$L45="",EDATE(Tools!$Q45,((YEAR(DATE(YEAR(TODAY()),MONTH(TODAY())+1,1))-YEAR(Tools!$Q45))*12+MONTH(DATE(YEAR(TODAY()),MONTH(TODAY())+1,1))-MONTH(Tools!$Q45)))&lt;Tools!$L45)),Tools!$N45,""))</f>
        <v/>
      </c>
      <c r="E46" s="30">
        <f>IF(OR(Tools!$B45="",Tools!$Q45=""),"",IF(AND(((YEAR(DATE(YEAR(TODAY()),MONTH(TODAY())+2,1))-YEAR(Tools!$Q45))*12+MONTH(DATE(YEAR(TODAY()),MONTH(TODAY())+2,1))-MONTH(Tools!$Q45))&gt;=0,MOD(((YEAR(DATE(YEAR(TODAY()),MONTH(TODAY())+2,1))-YEAR(Tools!$Q45))*12+MONTH(DATE(YEAR(TODAY()),MONTH(TODAY())+2,1))-MONTH(Tools!$Q45)),Tools!$U45)=0,OR(Tools!$L45="",EDATE(Tools!$Q45,((YEAR(DATE(YEAR(TODAY()),MONTH(TODAY())+2,1))-YEAR(Tools!$Q45))*12+MONTH(DATE(YEAR(TODAY()),MONTH(TODAY())+2,1))-MONTH(Tools!$Q45)))&lt;Tools!$L45)),Tools!$N45,""))</f>
        <v/>
      </c>
      <c r="F46" s="30">
        <f>IF(OR(Tools!$B45="",Tools!$Q45=""),"",IF(AND(((YEAR(DATE(YEAR(TODAY()),MONTH(TODAY())+3,1))-YEAR(Tools!$Q45))*12+MONTH(DATE(YEAR(TODAY()),MONTH(TODAY())+3,1))-MONTH(Tools!$Q45))&gt;=0,MOD(((YEAR(DATE(YEAR(TODAY()),MONTH(TODAY())+3,1))-YEAR(Tools!$Q45))*12+MONTH(DATE(YEAR(TODAY()),MONTH(TODAY())+3,1))-MONTH(Tools!$Q45)),Tools!$U45)=0,OR(Tools!$L45="",EDATE(Tools!$Q45,((YEAR(DATE(YEAR(TODAY()),MONTH(TODAY())+3,1))-YEAR(Tools!$Q45))*12+MONTH(DATE(YEAR(TODAY()),MONTH(TODAY())+3,1))-MONTH(Tools!$Q45)))&lt;Tools!$L45)),Tools!$N45,""))</f>
        <v/>
      </c>
      <c r="G46" s="30">
        <f>IF(OR(Tools!$B45="",Tools!$Q45=""),"",IF(AND(((YEAR(DATE(YEAR(TODAY()),MONTH(TODAY())+4,1))-YEAR(Tools!$Q45))*12+MONTH(DATE(YEAR(TODAY()),MONTH(TODAY())+4,1))-MONTH(Tools!$Q45))&gt;=0,MOD(((YEAR(DATE(YEAR(TODAY()),MONTH(TODAY())+4,1))-YEAR(Tools!$Q45))*12+MONTH(DATE(YEAR(TODAY()),MONTH(TODAY())+4,1))-MONTH(Tools!$Q45)),Tools!$U45)=0,OR(Tools!$L45="",EDATE(Tools!$Q45,((YEAR(DATE(YEAR(TODAY()),MONTH(TODAY())+4,1))-YEAR(Tools!$Q45))*12+MONTH(DATE(YEAR(TODAY()),MONTH(TODAY())+4,1))-MONTH(Tools!$Q45)))&lt;Tools!$L45)),Tools!$N45,""))</f>
        <v/>
      </c>
      <c r="H46" s="30">
        <f>IF(OR(Tools!$B45="",Tools!$Q45=""),"",IF(AND(((YEAR(DATE(YEAR(TODAY()),MONTH(TODAY())+5,1))-YEAR(Tools!$Q45))*12+MONTH(DATE(YEAR(TODAY()),MONTH(TODAY())+5,1))-MONTH(Tools!$Q45))&gt;=0,MOD(((YEAR(DATE(YEAR(TODAY()),MONTH(TODAY())+5,1))-YEAR(Tools!$Q45))*12+MONTH(DATE(YEAR(TODAY()),MONTH(TODAY())+5,1))-MONTH(Tools!$Q45)),Tools!$U45)=0,OR(Tools!$L45="",EDATE(Tools!$Q45,((YEAR(DATE(YEAR(TODAY()),MONTH(TODAY())+5,1))-YEAR(Tools!$Q45))*12+MONTH(DATE(YEAR(TODAY()),MONTH(TODAY())+5,1))-MONTH(Tools!$Q45)))&lt;Tools!$L45)),Tools!$N45,""))</f>
        <v/>
      </c>
      <c r="I46" s="30">
        <f>IF(OR(Tools!$B45="",Tools!$Q45=""),"",IF(AND(((YEAR(DATE(YEAR(TODAY()),MONTH(TODAY())+6,1))-YEAR(Tools!$Q45))*12+MONTH(DATE(YEAR(TODAY()),MONTH(TODAY())+6,1))-MONTH(Tools!$Q45))&gt;=0,MOD(((YEAR(DATE(YEAR(TODAY()),MONTH(TODAY())+6,1))-YEAR(Tools!$Q45))*12+MONTH(DATE(YEAR(TODAY()),MONTH(TODAY())+6,1))-MONTH(Tools!$Q45)),Tools!$U45)=0,OR(Tools!$L45="",EDATE(Tools!$Q45,((YEAR(DATE(YEAR(TODAY()),MONTH(TODAY())+6,1))-YEAR(Tools!$Q45))*12+MONTH(DATE(YEAR(TODAY()),MONTH(TODAY())+6,1))-MONTH(Tools!$Q45)))&lt;Tools!$L45)),Tools!$N45,""))</f>
        <v/>
      </c>
      <c r="J46" s="30">
        <f>IF(OR(Tools!$B45="",Tools!$Q45=""),"",IF(AND(((YEAR(DATE(YEAR(TODAY()),MONTH(TODAY())+7,1))-YEAR(Tools!$Q45))*12+MONTH(DATE(YEAR(TODAY()),MONTH(TODAY())+7,1))-MONTH(Tools!$Q45))&gt;=0,MOD(((YEAR(DATE(YEAR(TODAY()),MONTH(TODAY())+7,1))-YEAR(Tools!$Q45))*12+MONTH(DATE(YEAR(TODAY()),MONTH(TODAY())+7,1))-MONTH(Tools!$Q45)),Tools!$U45)=0,OR(Tools!$L45="",EDATE(Tools!$Q45,((YEAR(DATE(YEAR(TODAY()),MONTH(TODAY())+7,1))-YEAR(Tools!$Q45))*12+MONTH(DATE(YEAR(TODAY()),MONTH(TODAY())+7,1))-MONTH(Tools!$Q45)))&lt;Tools!$L45)),Tools!$N45,""))</f>
        <v/>
      </c>
      <c r="K46" s="30">
        <f>IF(OR(Tools!$B45="",Tools!$Q45=""),"",IF(AND(((YEAR(DATE(YEAR(TODAY()),MONTH(TODAY())+8,1))-YEAR(Tools!$Q45))*12+MONTH(DATE(YEAR(TODAY()),MONTH(TODAY())+8,1))-MONTH(Tools!$Q45))&gt;=0,MOD(((YEAR(DATE(YEAR(TODAY()),MONTH(TODAY())+8,1))-YEAR(Tools!$Q45))*12+MONTH(DATE(YEAR(TODAY()),MONTH(TODAY())+8,1))-MONTH(Tools!$Q45)),Tools!$U45)=0,OR(Tools!$L45="",EDATE(Tools!$Q45,((YEAR(DATE(YEAR(TODAY()),MONTH(TODAY())+8,1))-YEAR(Tools!$Q45))*12+MONTH(DATE(YEAR(TODAY()),MONTH(TODAY())+8,1))-MONTH(Tools!$Q45)))&lt;Tools!$L45)),Tools!$N45,""))</f>
        <v/>
      </c>
      <c r="L46" s="30">
        <f>IF(OR(Tools!$B45="",Tools!$Q45=""),"",IF(AND(((YEAR(DATE(YEAR(TODAY()),MONTH(TODAY())+9,1))-YEAR(Tools!$Q45))*12+MONTH(DATE(YEAR(TODAY()),MONTH(TODAY())+9,1))-MONTH(Tools!$Q45))&gt;=0,MOD(((YEAR(DATE(YEAR(TODAY()),MONTH(TODAY())+9,1))-YEAR(Tools!$Q45))*12+MONTH(DATE(YEAR(TODAY()),MONTH(TODAY())+9,1))-MONTH(Tools!$Q45)),Tools!$U45)=0,OR(Tools!$L45="",EDATE(Tools!$Q45,((YEAR(DATE(YEAR(TODAY()),MONTH(TODAY())+9,1))-YEAR(Tools!$Q45))*12+MONTH(DATE(YEAR(TODAY()),MONTH(TODAY())+9,1))-MONTH(Tools!$Q45)))&lt;Tools!$L45)),Tools!$N45,""))</f>
        <v/>
      </c>
      <c r="M46" s="30">
        <f>IF(OR(Tools!$B45="",Tools!$Q45=""),"",IF(AND(((YEAR(DATE(YEAR(TODAY()),MONTH(TODAY())+10,1))-YEAR(Tools!$Q45))*12+MONTH(DATE(YEAR(TODAY()),MONTH(TODAY())+10,1))-MONTH(Tools!$Q45))&gt;=0,MOD(((YEAR(DATE(YEAR(TODAY()),MONTH(TODAY())+10,1))-YEAR(Tools!$Q45))*12+MONTH(DATE(YEAR(TODAY()),MONTH(TODAY())+10,1))-MONTH(Tools!$Q45)),Tools!$U45)=0,OR(Tools!$L45="",EDATE(Tools!$Q45,((YEAR(DATE(YEAR(TODAY()),MONTH(TODAY())+10,1))-YEAR(Tools!$Q45))*12+MONTH(DATE(YEAR(TODAY()),MONTH(TODAY())+10,1))-MONTH(Tools!$Q45)))&lt;Tools!$L45)),Tools!$N45,""))</f>
        <v/>
      </c>
      <c r="N46" s="30">
        <f>IF(OR(Tools!$B45="",Tools!$Q45=""),"",IF(AND(((YEAR(DATE(YEAR(TODAY()),MONTH(TODAY())+11,1))-YEAR(Tools!$Q45))*12+MONTH(DATE(YEAR(TODAY()),MONTH(TODAY())+11,1))-MONTH(Tools!$Q45))&gt;=0,MOD(((YEAR(DATE(YEAR(TODAY()),MONTH(TODAY())+11,1))-YEAR(Tools!$Q45))*12+MONTH(DATE(YEAR(TODAY()),MONTH(TODAY())+11,1))-MONTH(Tools!$Q45)),Tools!$U45)=0,OR(Tools!$L45="",EDATE(Tools!$Q45,((YEAR(DATE(YEAR(TODAY()),MONTH(TODAY())+11,1))-YEAR(Tools!$Q45))*12+MONTH(DATE(YEAR(TODAY()),MONTH(TODAY())+11,1))-MONTH(Tools!$Q45)))&lt;Tools!$L45)),Tools!$N45,""))</f>
        <v/>
      </c>
      <c r="O46" s="31">
        <f>IF(B46="","",SUM(C46:N46))</f>
        <v/>
      </c>
      <c r="P46" s="1" t="n"/>
    </row>
    <row r="47">
      <c r="A47" s="1" t="n"/>
      <c r="B47" s="11">
        <f>IF(Tools!B46="","",Tools!B46)</f>
        <v/>
      </c>
      <c r="C47" s="30">
        <f>IF(OR(Tools!$B46="",Tools!$Q46=""),"",IF(AND(((YEAR(DATE(YEAR(TODAY()),MONTH(TODAY())+0,1))-YEAR(Tools!$Q46))*12+MONTH(DATE(YEAR(TODAY()),MONTH(TODAY())+0,1))-MONTH(Tools!$Q46))&gt;=0,MOD(((YEAR(DATE(YEAR(TODAY()),MONTH(TODAY())+0,1))-YEAR(Tools!$Q46))*12+MONTH(DATE(YEAR(TODAY()),MONTH(TODAY())+0,1))-MONTH(Tools!$Q46)),Tools!$U46)=0,OR(Tools!$L46="",EDATE(Tools!$Q46,((YEAR(DATE(YEAR(TODAY()),MONTH(TODAY())+0,1))-YEAR(Tools!$Q46))*12+MONTH(DATE(YEAR(TODAY()),MONTH(TODAY())+0,1))-MONTH(Tools!$Q46)))&lt;Tools!$L46)),Tools!$N46,""))</f>
        <v/>
      </c>
      <c r="D47" s="30">
        <f>IF(OR(Tools!$B46="",Tools!$Q46=""),"",IF(AND(((YEAR(DATE(YEAR(TODAY()),MONTH(TODAY())+1,1))-YEAR(Tools!$Q46))*12+MONTH(DATE(YEAR(TODAY()),MONTH(TODAY())+1,1))-MONTH(Tools!$Q46))&gt;=0,MOD(((YEAR(DATE(YEAR(TODAY()),MONTH(TODAY())+1,1))-YEAR(Tools!$Q46))*12+MONTH(DATE(YEAR(TODAY()),MONTH(TODAY())+1,1))-MONTH(Tools!$Q46)),Tools!$U46)=0,OR(Tools!$L46="",EDATE(Tools!$Q46,((YEAR(DATE(YEAR(TODAY()),MONTH(TODAY())+1,1))-YEAR(Tools!$Q46))*12+MONTH(DATE(YEAR(TODAY()),MONTH(TODAY())+1,1))-MONTH(Tools!$Q46)))&lt;Tools!$L46)),Tools!$N46,""))</f>
        <v/>
      </c>
      <c r="E47" s="30">
        <f>IF(OR(Tools!$B46="",Tools!$Q46=""),"",IF(AND(((YEAR(DATE(YEAR(TODAY()),MONTH(TODAY())+2,1))-YEAR(Tools!$Q46))*12+MONTH(DATE(YEAR(TODAY()),MONTH(TODAY())+2,1))-MONTH(Tools!$Q46))&gt;=0,MOD(((YEAR(DATE(YEAR(TODAY()),MONTH(TODAY())+2,1))-YEAR(Tools!$Q46))*12+MONTH(DATE(YEAR(TODAY()),MONTH(TODAY())+2,1))-MONTH(Tools!$Q46)),Tools!$U46)=0,OR(Tools!$L46="",EDATE(Tools!$Q46,((YEAR(DATE(YEAR(TODAY()),MONTH(TODAY())+2,1))-YEAR(Tools!$Q46))*12+MONTH(DATE(YEAR(TODAY()),MONTH(TODAY())+2,1))-MONTH(Tools!$Q46)))&lt;Tools!$L46)),Tools!$N46,""))</f>
        <v/>
      </c>
      <c r="F47" s="30">
        <f>IF(OR(Tools!$B46="",Tools!$Q46=""),"",IF(AND(((YEAR(DATE(YEAR(TODAY()),MONTH(TODAY())+3,1))-YEAR(Tools!$Q46))*12+MONTH(DATE(YEAR(TODAY()),MONTH(TODAY())+3,1))-MONTH(Tools!$Q46))&gt;=0,MOD(((YEAR(DATE(YEAR(TODAY()),MONTH(TODAY())+3,1))-YEAR(Tools!$Q46))*12+MONTH(DATE(YEAR(TODAY()),MONTH(TODAY())+3,1))-MONTH(Tools!$Q46)),Tools!$U46)=0,OR(Tools!$L46="",EDATE(Tools!$Q46,((YEAR(DATE(YEAR(TODAY()),MONTH(TODAY())+3,1))-YEAR(Tools!$Q46))*12+MONTH(DATE(YEAR(TODAY()),MONTH(TODAY())+3,1))-MONTH(Tools!$Q46)))&lt;Tools!$L46)),Tools!$N46,""))</f>
        <v/>
      </c>
      <c r="G47" s="30">
        <f>IF(OR(Tools!$B46="",Tools!$Q46=""),"",IF(AND(((YEAR(DATE(YEAR(TODAY()),MONTH(TODAY())+4,1))-YEAR(Tools!$Q46))*12+MONTH(DATE(YEAR(TODAY()),MONTH(TODAY())+4,1))-MONTH(Tools!$Q46))&gt;=0,MOD(((YEAR(DATE(YEAR(TODAY()),MONTH(TODAY())+4,1))-YEAR(Tools!$Q46))*12+MONTH(DATE(YEAR(TODAY()),MONTH(TODAY())+4,1))-MONTH(Tools!$Q46)),Tools!$U46)=0,OR(Tools!$L46="",EDATE(Tools!$Q46,((YEAR(DATE(YEAR(TODAY()),MONTH(TODAY())+4,1))-YEAR(Tools!$Q46))*12+MONTH(DATE(YEAR(TODAY()),MONTH(TODAY())+4,1))-MONTH(Tools!$Q46)))&lt;Tools!$L46)),Tools!$N46,""))</f>
        <v/>
      </c>
      <c r="H47" s="30">
        <f>IF(OR(Tools!$B46="",Tools!$Q46=""),"",IF(AND(((YEAR(DATE(YEAR(TODAY()),MONTH(TODAY())+5,1))-YEAR(Tools!$Q46))*12+MONTH(DATE(YEAR(TODAY()),MONTH(TODAY())+5,1))-MONTH(Tools!$Q46))&gt;=0,MOD(((YEAR(DATE(YEAR(TODAY()),MONTH(TODAY())+5,1))-YEAR(Tools!$Q46))*12+MONTH(DATE(YEAR(TODAY()),MONTH(TODAY())+5,1))-MONTH(Tools!$Q46)),Tools!$U46)=0,OR(Tools!$L46="",EDATE(Tools!$Q46,((YEAR(DATE(YEAR(TODAY()),MONTH(TODAY())+5,1))-YEAR(Tools!$Q46))*12+MONTH(DATE(YEAR(TODAY()),MONTH(TODAY())+5,1))-MONTH(Tools!$Q46)))&lt;Tools!$L46)),Tools!$N46,""))</f>
        <v/>
      </c>
      <c r="I47" s="30">
        <f>IF(OR(Tools!$B46="",Tools!$Q46=""),"",IF(AND(((YEAR(DATE(YEAR(TODAY()),MONTH(TODAY())+6,1))-YEAR(Tools!$Q46))*12+MONTH(DATE(YEAR(TODAY()),MONTH(TODAY())+6,1))-MONTH(Tools!$Q46))&gt;=0,MOD(((YEAR(DATE(YEAR(TODAY()),MONTH(TODAY())+6,1))-YEAR(Tools!$Q46))*12+MONTH(DATE(YEAR(TODAY()),MONTH(TODAY())+6,1))-MONTH(Tools!$Q46)),Tools!$U46)=0,OR(Tools!$L46="",EDATE(Tools!$Q46,((YEAR(DATE(YEAR(TODAY()),MONTH(TODAY())+6,1))-YEAR(Tools!$Q46))*12+MONTH(DATE(YEAR(TODAY()),MONTH(TODAY())+6,1))-MONTH(Tools!$Q46)))&lt;Tools!$L46)),Tools!$N46,""))</f>
        <v/>
      </c>
      <c r="J47" s="30">
        <f>IF(OR(Tools!$B46="",Tools!$Q46=""),"",IF(AND(((YEAR(DATE(YEAR(TODAY()),MONTH(TODAY())+7,1))-YEAR(Tools!$Q46))*12+MONTH(DATE(YEAR(TODAY()),MONTH(TODAY())+7,1))-MONTH(Tools!$Q46))&gt;=0,MOD(((YEAR(DATE(YEAR(TODAY()),MONTH(TODAY())+7,1))-YEAR(Tools!$Q46))*12+MONTH(DATE(YEAR(TODAY()),MONTH(TODAY())+7,1))-MONTH(Tools!$Q46)),Tools!$U46)=0,OR(Tools!$L46="",EDATE(Tools!$Q46,((YEAR(DATE(YEAR(TODAY()),MONTH(TODAY())+7,1))-YEAR(Tools!$Q46))*12+MONTH(DATE(YEAR(TODAY()),MONTH(TODAY())+7,1))-MONTH(Tools!$Q46)))&lt;Tools!$L46)),Tools!$N46,""))</f>
        <v/>
      </c>
      <c r="K47" s="30">
        <f>IF(OR(Tools!$B46="",Tools!$Q46=""),"",IF(AND(((YEAR(DATE(YEAR(TODAY()),MONTH(TODAY())+8,1))-YEAR(Tools!$Q46))*12+MONTH(DATE(YEAR(TODAY()),MONTH(TODAY())+8,1))-MONTH(Tools!$Q46))&gt;=0,MOD(((YEAR(DATE(YEAR(TODAY()),MONTH(TODAY())+8,1))-YEAR(Tools!$Q46))*12+MONTH(DATE(YEAR(TODAY()),MONTH(TODAY())+8,1))-MONTH(Tools!$Q46)),Tools!$U46)=0,OR(Tools!$L46="",EDATE(Tools!$Q46,((YEAR(DATE(YEAR(TODAY()),MONTH(TODAY())+8,1))-YEAR(Tools!$Q46))*12+MONTH(DATE(YEAR(TODAY()),MONTH(TODAY())+8,1))-MONTH(Tools!$Q46)))&lt;Tools!$L46)),Tools!$N46,""))</f>
        <v/>
      </c>
      <c r="L47" s="30">
        <f>IF(OR(Tools!$B46="",Tools!$Q46=""),"",IF(AND(((YEAR(DATE(YEAR(TODAY()),MONTH(TODAY())+9,1))-YEAR(Tools!$Q46))*12+MONTH(DATE(YEAR(TODAY()),MONTH(TODAY())+9,1))-MONTH(Tools!$Q46))&gt;=0,MOD(((YEAR(DATE(YEAR(TODAY()),MONTH(TODAY())+9,1))-YEAR(Tools!$Q46))*12+MONTH(DATE(YEAR(TODAY()),MONTH(TODAY())+9,1))-MONTH(Tools!$Q46)),Tools!$U46)=0,OR(Tools!$L46="",EDATE(Tools!$Q46,((YEAR(DATE(YEAR(TODAY()),MONTH(TODAY())+9,1))-YEAR(Tools!$Q46))*12+MONTH(DATE(YEAR(TODAY()),MONTH(TODAY())+9,1))-MONTH(Tools!$Q46)))&lt;Tools!$L46)),Tools!$N46,""))</f>
        <v/>
      </c>
      <c r="M47" s="30">
        <f>IF(OR(Tools!$B46="",Tools!$Q46=""),"",IF(AND(((YEAR(DATE(YEAR(TODAY()),MONTH(TODAY())+10,1))-YEAR(Tools!$Q46))*12+MONTH(DATE(YEAR(TODAY()),MONTH(TODAY())+10,1))-MONTH(Tools!$Q46))&gt;=0,MOD(((YEAR(DATE(YEAR(TODAY()),MONTH(TODAY())+10,1))-YEAR(Tools!$Q46))*12+MONTH(DATE(YEAR(TODAY()),MONTH(TODAY())+10,1))-MONTH(Tools!$Q46)),Tools!$U46)=0,OR(Tools!$L46="",EDATE(Tools!$Q46,((YEAR(DATE(YEAR(TODAY()),MONTH(TODAY())+10,1))-YEAR(Tools!$Q46))*12+MONTH(DATE(YEAR(TODAY()),MONTH(TODAY())+10,1))-MONTH(Tools!$Q46)))&lt;Tools!$L46)),Tools!$N46,""))</f>
        <v/>
      </c>
      <c r="N47" s="30">
        <f>IF(OR(Tools!$B46="",Tools!$Q46=""),"",IF(AND(((YEAR(DATE(YEAR(TODAY()),MONTH(TODAY())+11,1))-YEAR(Tools!$Q46))*12+MONTH(DATE(YEAR(TODAY()),MONTH(TODAY())+11,1))-MONTH(Tools!$Q46))&gt;=0,MOD(((YEAR(DATE(YEAR(TODAY()),MONTH(TODAY())+11,1))-YEAR(Tools!$Q46))*12+MONTH(DATE(YEAR(TODAY()),MONTH(TODAY())+11,1))-MONTH(Tools!$Q46)),Tools!$U46)=0,OR(Tools!$L46="",EDATE(Tools!$Q46,((YEAR(DATE(YEAR(TODAY()),MONTH(TODAY())+11,1))-YEAR(Tools!$Q46))*12+MONTH(DATE(YEAR(TODAY()),MONTH(TODAY())+11,1))-MONTH(Tools!$Q46)))&lt;Tools!$L46)),Tools!$N46,""))</f>
        <v/>
      </c>
      <c r="O47" s="31">
        <f>IF(B47="","",SUM(C47:N47))</f>
        <v/>
      </c>
      <c r="P47" s="1" t="n"/>
    </row>
    <row r="48">
      <c r="A48" s="1" t="n"/>
      <c r="B48" s="11">
        <f>IF(Tools!B47="","",Tools!B47)</f>
        <v/>
      </c>
      <c r="C48" s="30">
        <f>IF(OR(Tools!$B47="",Tools!$Q47=""),"",IF(AND(((YEAR(DATE(YEAR(TODAY()),MONTH(TODAY())+0,1))-YEAR(Tools!$Q47))*12+MONTH(DATE(YEAR(TODAY()),MONTH(TODAY())+0,1))-MONTH(Tools!$Q47))&gt;=0,MOD(((YEAR(DATE(YEAR(TODAY()),MONTH(TODAY())+0,1))-YEAR(Tools!$Q47))*12+MONTH(DATE(YEAR(TODAY()),MONTH(TODAY())+0,1))-MONTH(Tools!$Q47)),Tools!$U47)=0,OR(Tools!$L47="",EDATE(Tools!$Q47,((YEAR(DATE(YEAR(TODAY()),MONTH(TODAY())+0,1))-YEAR(Tools!$Q47))*12+MONTH(DATE(YEAR(TODAY()),MONTH(TODAY())+0,1))-MONTH(Tools!$Q47)))&lt;Tools!$L47)),Tools!$N47,""))</f>
        <v/>
      </c>
      <c r="D48" s="30">
        <f>IF(OR(Tools!$B47="",Tools!$Q47=""),"",IF(AND(((YEAR(DATE(YEAR(TODAY()),MONTH(TODAY())+1,1))-YEAR(Tools!$Q47))*12+MONTH(DATE(YEAR(TODAY()),MONTH(TODAY())+1,1))-MONTH(Tools!$Q47))&gt;=0,MOD(((YEAR(DATE(YEAR(TODAY()),MONTH(TODAY())+1,1))-YEAR(Tools!$Q47))*12+MONTH(DATE(YEAR(TODAY()),MONTH(TODAY())+1,1))-MONTH(Tools!$Q47)),Tools!$U47)=0,OR(Tools!$L47="",EDATE(Tools!$Q47,((YEAR(DATE(YEAR(TODAY()),MONTH(TODAY())+1,1))-YEAR(Tools!$Q47))*12+MONTH(DATE(YEAR(TODAY()),MONTH(TODAY())+1,1))-MONTH(Tools!$Q47)))&lt;Tools!$L47)),Tools!$N47,""))</f>
        <v/>
      </c>
      <c r="E48" s="30">
        <f>IF(OR(Tools!$B47="",Tools!$Q47=""),"",IF(AND(((YEAR(DATE(YEAR(TODAY()),MONTH(TODAY())+2,1))-YEAR(Tools!$Q47))*12+MONTH(DATE(YEAR(TODAY()),MONTH(TODAY())+2,1))-MONTH(Tools!$Q47))&gt;=0,MOD(((YEAR(DATE(YEAR(TODAY()),MONTH(TODAY())+2,1))-YEAR(Tools!$Q47))*12+MONTH(DATE(YEAR(TODAY()),MONTH(TODAY())+2,1))-MONTH(Tools!$Q47)),Tools!$U47)=0,OR(Tools!$L47="",EDATE(Tools!$Q47,((YEAR(DATE(YEAR(TODAY()),MONTH(TODAY())+2,1))-YEAR(Tools!$Q47))*12+MONTH(DATE(YEAR(TODAY()),MONTH(TODAY())+2,1))-MONTH(Tools!$Q47)))&lt;Tools!$L47)),Tools!$N47,""))</f>
        <v/>
      </c>
      <c r="F48" s="30">
        <f>IF(OR(Tools!$B47="",Tools!$Q47=""),"",IF(AND(((YEAR(DATE(YEAR(TODAY()),MONTH(TODAY())+3,1))-YEAR(Tools!$Q47))*12+MONTH(DATE(YEAR(TODAY()),MONTH(TODAY())+3,1))-MONTH(Tools!$Q47))&gt;=0,MOD(((YEAR(DATE(YEAR(TODAY()),MONTH(TODAY())+3,1))-YEAR(Tools!$Q47))*12+MONTH(DATE(YEAR(TODAY()),MONTH(TODAY())+3,1))-MONTH(Tools!$Q47)),Tools!$U47)=0,OR(Tools!$L47="",EDATE(Tools!$Q47,((YEAR(DATE(YEAR(TODAY()),MONTH(TODAY())+3,1))-YEAR(Tools!$Q47))*12+MONTH(DATE(YEAR(TODAY()),MONTH(TODAY())+3,1))-MONTH(Tools!$Q47)))&lt;Tools!$L47)),Tools!$N47,""))</f>
        <v/>
      </c>
      <c r="G48" s="30">
        <f>IF(OR(Tools!$B47="",Tools!$Q47=""),"",IF(AND(((YEAR(DATE(YEAR(TODAY()),MONTH(TODAY())+4,1))-YEAR(Tools!$Q47))*12+MONTH(DATE(YEAR(TODAY()),MONTH(TODAY())+4,1))-MONTH(Tools!$Q47))&gt;=0,MOD(((YEAR(DATE(YEAR(TODAY()),MONTH(TODAY())+4,1))-YEAR(Tools!$Q47))*12+MONTH(DATE(YEAR(TODAY()),MONTH(TODAY())+4,1))-MONTH(Tools!$Q47)),Tools!$U47)=0,OR(Tools!$L47="",EDATE(Tools!$Q47,((YEAR(DATE(YEAR(TODAY()),MONTH(TODAY())+4,1))-YEAR(Tools!$Q47))*12+MONTH(DATE(YEAR(TODAY()),MONTH(TODAY())+4,1))-MONTH(Tools!$Q47)))&lt;Tools!$L47)),Tools!$N47,""))</f>
        <v/>
      </c>
      <c r="H48" s="30">
        <f>IF(OR(Tools!$B47="",Tools!$Q47=""),"",IF(AND(((YEAR(DATE(YEAR(TODAY()),MONTH(TODAY())+5,1))-YEAR(Tools!$Q47))*12+MONTH(DATE(YEAR(TODAY()),MONTH(TODAY())+5,1))-MONTH(Tools!$Q47))&gt;=0,MOD(((YEAR(DATE(YEAR(TODAY()),MONTH(TODAY())+5,1))-YEAR(Tools!$Q47))*12+MONTH(DATE(YEAR(TODAY()),MONTH(TODAY())+5,1))-MONTH(Tools!$Q47)),Tools!$U47)=0,OR(Tools!$L47="",EDATE(Tools!$Q47,((YEAR(DATE(YEAR(TODAY()),MONTH(TODAY())+5,1))-YEAR(Tools!$Q47))*12+MONTH(DATE(YEAR(TODAY()),MONTH(TODAY())+5,1))-MONTH(Tools!$Q47)))&lt;Tools!$L47)),Tools!$N47,""))</f>
        <v/>
      </c>
      <c r="I48" s="30">
        <f>IF(OR(Tools!$B47="",Tools!$Q47=""),"",IF(AND(((YEAR(DATE(YEAR(TODAY()),MONTH(TODAY())+6,1))-YEAR(Tools!$Q47))*12+MONTH(DATE(YEAR(TODAY()),MONTH(TODAY())+6,1))-MONTH(Tools!$Q47))&gt;=0,MOD(((YEAR(DATE(YEAR(TODAY()),MONTH(TODAY())+6,1))-YEAR(Tools!$Q47))*12+MONTH(DATE(YEAR(TODAY()),MONTH(TODAY())+6,1))-MONTH(Tools!$Q47)),Tools!$U47)=0,OR(Tools!$L47="",EDATE(Tools!$Q47,((YEAR(DATE(YEAR(TODAY()),MONTH(TODAY())+6,1))-YEAR(Tools!$Q47))*12+MONTH(DATE(YEAR(TODAY()),MONTH(TODAY())+6,1))-MONTH(Tools!$Q47)))&lt;Tools!$L47)),Tools!$N47,""))</f>
        <v/>
      </c>
      <c r="J48" s="30">
        <f>IF(OR(Tools!$B47="",Tools!$Q47=""),"",IF(AND(((YEAR(DATE(YEAR(TODAY()),MONTH(TODAY())+7,1))-YEAR(Tools!$Q47))*12+MONTH(DATE(YEAR(TODAY()),MONTH(TODAY())+7,1))-MONTH(Tools!$Q47))&gt;=0,MOD(((YEAR(DATE(YEAR(TODAY()),MONTH(TODAY())+7,1))-YEAR(Tools!$Q47))*12+MONTH(DATE(YEAR(TODAY()),MONTH(TODAY())+7,1))-MONTH(Tools!$Q47)),Tools!$U47)=0,OR(Tools!$L47="",EDATE(Tools!$Q47,((YEAR(DATE(YEAR(TODAY()),MONTH(TODAY())+7,1))-YEAR(Tools!$Q47))*12+MONTH(DATE(YEAR(TODAY()),MONTH(TODAY())+7,1))-MONTH(Tools!$Q47)))&lt;Tools!$L47)),Tools!$N47,""))</f>
        <v/>
      </c>
      <c r="K48" s="30">
        <f>IF(OR(Tools!$B47="",Tools!$Q47=""),"",IF(AND(((YEAR(DATE(YEAR(TODAY()),MONTH(TODAY())+8,1))-YEAR(Tools!$Q47))*12+MONTH(DATE(YEAR(TODAY()),MONTH(TODAY())+8,1))-MONTH(Tools!$Q47))&gt;=0,MOD(((YEAR(DATE(YEAR(TODAY()),MONTH(TODAY())+8,1))-YEAR(Tools!$Q47))*12+MONTH(DATE(YEAR(TODAY()),MONTH(TODAY())+8,1))-MONTH(Tools!$Q47)),Tools!$U47)=0,OR(Tools!$L47="",EDATE(Tools!$Q47,((YEAR(DATE(YEAR(TODAY()),MONTH(TODAY())+8,1))-YEAR(Tools!$Q47))*12+MONTH(DATE(YEAR(TODAY()),MONTH(TODAY())+8,1))-MONTH(Tools!$Q47)))&lt;Tools!$L47)),Tools!$N47,""))</f>
        <v/>
      </c>
      <c r="L48" s="30">
        <f>IF(OR(Tools!$B47="",Tools!$Q47=""),"",IF(AND(((YEAR(DATE(YEAR(TODAY()),MONTH(TODAY())+9,1))-YEAR(Tools!$Q47))*12+MONTH(DATE(YEAR(TODAY()),MONTH(TODAY())+9,1))-MONTH(Tools!$Q47))&gt;=0,MOD(((YEAR(DATE(YEAR(TODAY()),MONTH(TODAY())+9,1))-YEAR(Tools!$Q47))*12+MONTH(DATE(YEAR(TODAY()),MONTH(TODAY())+9,1))-MONTH(Tools!$Q47)),Tools!$U47)=0,OR(Tools!$L47="",EDATE(Tools!$Q47,((YEAR(DATE(YEAR(TODAY()),MONTH(TODAY())+9,1))-YEAR(Tools!$Q47))*12+MONTH(DATE(YEAR(TODAY()),MONTH(TODAY())+9,1))-MONTH(Tools!$Q47)))&lt;Tools!$L47)),Tools!$N47,""))</f>
        <v/>
      </c>
      <c r="M48" s="30">
        <f>IF(OR(Tools!$B47="",Tools!$Q47=""),"",IF(AND(((YEAR(DATE(YEAR(TODAY()),MONTH(TODAY())+10,1))-YEAR(Tools!$Q47))*12+MONTH(DATE(YEAR(TODAY()),MONTH(TODAY())+10,1))-MONTH(Tools!$Q47))&gt;=0,MOD(((YEAR(DATE(YEAR(TODAY()),MONTH(TODAY())+10,1))-YEAR(Tools!$Q47))*12+MONTH(DATE(YEAR(TODAY()),MONTH(TODAY())+10,1))-MONTH(Tools!$Q47)),Tools!$U47)=0,OR(Tools!$L47="",EDATE(Tools!$Q47,((YEAR(DATE(YEAR(TODAY()),MONTH(TODAY())+10,1))-YEAR(Tools!$Q47))*12+MONTH(DATE(YEAR(TODAY()),MONTH(TODAY())+10,1))-MONTH(Tools!$Q47)))&lt;Tools!$L47)),Tools!$N47,""))</f>
        <v/>
      </c>
      <c r="N48" s="30">
        <f>IF(OR(Tools!$B47="",Tools!$Q47=""),"",IF(AND(((YEAR(DATE(YEAR(TODAY()),MONTH(TODAY())+11,1))-YEAR(Tools!$Q47))*12+MONTH(DATE(YEAR(TODAY()),MONTH(TODAY())+11,1))-MONTH(Tools!$Q47))&gt;=0,MOD(((YEAR(DATE(YEAR(TODAY()),MONTH(TODAY())+11,1))-YEAR(Tools!$Q47))*12+MONTH(DATE(YEAR(TODAY()),MONTH(TODAY())+11,1))-MONTH(Tools!$Q47)),Tools!$U47)=0,OR(Tools!$L47="",EDATE(Tools!$Q47,((YEAR(DATE(YEAR(TODAY()),MONTH(TODAY())+11,1))-YEAR(Tools!$Q47))*12+MONTH(DATE(YEAR(TODAY()),MONTH(TODAY())+11,1))-MONTH(Tools!$Q47)))&lt;Tools!$L47)),Tools!$N47,""))</f>
        <v/>
      </c>
      <c r="O48" s="31">
        <f>IF(B48="","",SUM(C48:N48))</f>
        <v/>
      </c>
      <c r="P48" s="1" t="n"/>
    </row>
    <row r="49">
      <c r="A49" s="1" t="n"/>
      <c r="B49" s="11">
        <f>IF(Tools!B48="","",Tools!B48)</f>
        <v/>
      </c>
      <c r="C49" s="30">
        <f>IF(OR(Tools!$B48="",Tools!$Q48=""),"",IF(AND(((YEAR(DATE(YEAR(TODAY()),MONTH(TODAY())+0,1))-YEAR(Tools!$Q48))*12+MONTH(DATE(YEAR(TODAY()),MONTH(TODAY())+0,1))-MONTH(Tools!$Q48))&gt;=0,MOD(((YEAR(DATE(YEAR(TODAY()),MONTH(TODAY())+0,1))-YEAR(Tools!$Q48))*12+MONTH(DATE(YEAR(TODAY()),MONTH(TODAY())+0,1))-MONTH(Tools!$Q48)),Tools!$U48)=0,OR(Tools!$L48="",EDATE(Tools!$Q48,((YEAR(DATE(YEAR(TODAY()),MONTH(TODAY())+0,1))-YEAR(Tools!$Q48))*12+MONTH(DATE(YEAR(TODAY()),MONTH(TODAY())+0,1))-MONTH(Tools!$Q48)))&lt;Tools!$L48)),Tools!$N48,""))</f>
        <v/>
      </c>
      <c r="D49" s="30">
        <f>IF(OR(Tools!$B48="",Tools!$Q48=""),"",IF(AND(((YEAR(DATE(YEAR(TODAY()),MONTH(TODAY())+1,1))-YEAR(Tools!$Q48))*12+MONTH(DATE(YEAR(TODAY()),MONTH(TODAY())+1,1))-MONTH(Tools!$Q48))&gt;=0,MOD(((YEAR(DATE(YEAR(TODAY()),MONTH(TODAY())+1,1))-YEAR(Tools!$Q48))*12+MONTH(DATE(YEAR(TODAY()),MONTH(TODAY())+1,1))-MONTH(Tools!$Q48)),Tools!$U48)=0,OR(Tools!$L48="",EDATE(Tools!$Q48,((YEAR(DATE(YEAR(TODAY()),MONTH(TODAY())+1,1))-YEAR(Tools!$Q48))*12+MONTH(DATE(YEAR(TODAY()),MONTH(TODAY())+1,1))-MONTH(Tools!$Q48)))&lt;Tools!$L48)),Tools!$N48,""))</f>
        <v/>
      </c>
      <c r="E49" s="30">
        <f>IF(OR(Tools!$B48="",Tools!$Q48=""),"",IF(AND(((YEAR(DATE(YEAR(TODAY()),MONTH(TODAY())+2,1))-YEAR(Tools!$Q48))*12+MONTH(DATE(YEAR(TODAY()),MONTH(TODAY())+2,1))-MONTH(Tools!$Q48))&gt;=0,MOD(((YEAR(DATE(YEAR(TODAY()),MONTH(TODAY())+2,1))-YEAR(Tools!$Q48))*12+MONTH(DATE(YEAR(TODAY()),MONTH(TODAY())+2,1))-MONTH(Tools!$Q48)),Tools!$U48)=0,OR(Tools!$L48="",EDATE(Tools!$Q48,((YEAR(DATE(YEAR(TODAY()),MONTH(TODAY())+2,1))-YEAR(Tools!$Q48))*12+MONTH(DATE(YEAR(TODAY()),MONTH(TODAY())+2,1))-MONTH(Tools!$Q48)))&lt;Tools!$L48)),Tools!$N48,""))</f>
        <v/>
      </c>
      <c r="F49" s="30">
        <f>IF(OR(Tools!$B48="",Tools!$Q48=""),"",IF(AND(((YEAR(DATE(YEAR(TODAY()),MONTH(TODAY())+3,1))-YEAR(Tools!$Q48))*12+MONTH(DATE(YEAR(TODAY()),MONTH(TODAY())+3,1))-MONTH(Tools!$Q48))&gt;=0,MOD(((YEAR(DATE(YEAR(TODAY()),MONTH(TODAY())+3,1))-YEAR(Tools!$Q48))*12+MONTH(DATE(YEAR(TODAY()),MONTH(TODAY())+3,1))-MONTH(Tools!$Q48)),Tools!$U48)=0,OR(Tools!$L48="",EDATE(Tools!$Q48,((YEAR(DATE(YEAR(TODAY()),MONTH(TODAY())+3,1))-YEAR(Tools!$Q48))*12+MONTH(DATE(YEAR(TODAY()),MONTH(TODAY())+3,1))-MONTH(Tools!$Q48)))&lt;Tools!$L48)),Tools!$N48,""))</f>
        <v/>
      </c>
      <c r="G49" s="30">
        <f>IF(OR(Tools!$B48="",Tools!$Q48=""),"",IF(AND(((YEAR(DATE(YEAR(TODAY()),MONTH(TODAY())+4,1))-YEAR(Tools!$Q48))*12+MONTH(DATE(YEAR(TODAY()),MONTH(TODAY())+4,1))-MONTH(Tools!$Q48))&gt;=0,MOD(((YEAR(DATE(YEAR(TODAY()),MONTH(TODAY())+4,1))-YEAR(Tools!$Q48))*12+MONTH(DATE(YEAR(TODAY()),MONTH(TODAY())+4,1))-MONTH(Tools!$Q48)),Tools!$U48)=0,OR(Tools!$L48="",EDATE(Tools!$Q48,((YEAR(DATE(YEAR(TODAY()),MONTH(TODAY())+4,1))-YEAR(Tools!$Q48))*12+MONTH(DATE(YEAR(TODAY()),MONTH(TODAY())+4,1))-MONTH(Tools!$Q48)))&lt;Tools!$L48)),Tools!$N48,""))</f>
        <v/>
      </c>
      <c r="H49" s="30">
        <f>IF(OR(Tools!$B48="",Tools!$Q48=""),"",IF(AND(((YEAR(DATE(YEAR(TODAY()),MONTH(TODAY())+5,1))-YEAR(Tools!$Q48))*12+MONTH(DATE(YEAR(TODAY()),MONTH(TODAY())+5,1))-MONTH(Tools!$Q48))&gt;=0,MOD(((YEAR(DATE(YEAR(TODAY()),MONTH(TODAY())+5,1))-YEAR(Tools!$Q48))*12+MONTH(DATE(YEAR(TODAY()),MONTH(TODAY())+5,1))-MONTH(Tools!$Q48)),Tools!$U48)=0,OR(Tools!$L48="",EDATE(Tools!$Q48,((YEAR(DATE(YEAR(TODAY()),MONTH(TODAY())+5,1))-YEAR(Tools!$Q48))*12+MONTH(DATE(YEAR(TODAY()),MONTH(TODAY())+5,1))-MONTH(Tools!$Q48)))&lt;Tools!$L48)),Tools!$N48,""))</f>
        <v/>
      </c>
      <c r="I49" s="30">
        <f>IF(OR(Tools!$B48="",Tools!$Q48=""),"",IF(AND(((YEAR(DATE(YEAR(TODAY()),MONTH(TODAY())+6,1))-YEAR(Tools!$Q48))*12+MONTH(DATE(YEAR(TODAY()),MONTH(TODAY())+6,1))-MONTH(Tools!$Q48))&gt;=0,MOD(((YEAR(DATE(YEAR(TODAY()),MONTH(TODAY())+6,1))-YEAR(Tools!$Q48))*12+MONTH(DATE(YEAR(TODAY()),MONTH(TODAY())+6,1))-MONTH(Tools!$Q48)),Tools!$U48)=0,OR(Tools!$L48="",EDATE(Tools!$Q48,((YEAR(DATE(YEAR(TODAY()),MONTH(TODAY())+6,1))-YEAR(Tools!$Q48))*12+MONTH(DATE(YEAR(TODAY()),MONTH(TODAY())+6,1))-MONTH(Tools!$Q48)))&lt;Tools!$L48)),Tools!$N48,""))</f>
        <v/>
      </c>
      <c r="J49" s="30">
        <f>IF(OR(Tools!$B48="",Tools!$Q48=""),"",IF(AND(((YEAR(DATE(YEAR(TODAY()),MONTH(TODAY())+7,1))-YEAR(Tools!$Q48))*12+MONTH(DATE(YEAR(TODAY()),MONTH(TODAY())+7,1))-MONTH(Tools!$Q48))&gt;=0,MOD(((YEAR(DATE(YEAR(TODAY()),MONTH(TODAY())+7,1))-YEAR(Tools!$Q48))*12+MONTH(DATE(YEAR(TODAY()),MONTH(TODAY())+7,1))-MONTH(Tools!$Q48)),Tools!$U48)=0,OR(Tools!$L48="",EDATE(Tools!$Q48,((YEAR(DATE(YEAR(TODAY()),MONTH(TODAY())+7,1))-YEAR(Tools!$Q48))*12+MONTH(DATE(YEAR(TODAY()),MONTH(TODAY())+7,1))-MONTH(Tools!$Q48)))&lt;Tools!$L48)),Tools!$N48,""))</f>
        <v/>
      </c>
      <c r="K49" s="30">
        <f>IF(OR(Tools!$B48="",Tools!$Q48=""),"",IF(AND(((YEAR(DATE(YEAR(TODAY()),MONTH(TODAY())+8,1))-YEAR(Tools!$Q48))*12+MONTH(DATE(YEAR(TODAY()),MONTH(TODAY())+8,1))-MONTH(Tools!$Q48))&gt;=0,MOD(((YEAR(DATE(YEAR(TODAY()),MONTH(TODAY())+8,1))-YEAR(Tools!$Q48))*12+MONTH(DATE(YEAR(TODAY()),MONTH(TODAY())+8,1))-MONTH(Tools!$Q48)),Tools!$U48)=0,OR(Tools!$L48="",EDATE(Tools!$Q48,((YEAR(DATE(YEAR(TODAY()),MONTH(TODAY())+8,1))-YEAR(Tools!$Q48))*12+MONTH(DATE(YEAR(TODAY()),MONTH(TODAY())+8,1))-MONTH(Tools!$Q48)))&lt;Tools!$L48)),Tools!$N48,""))</f>
        <v/>
      </c>
      <c r="L49" s="30">
        <f>IF(OR(Tools!$B48="",Tools!$Q48=""),"",IF(AND(((YEAR(DATE(YEAR(TODAY()),MONTH(TODAY())+9,1))-YEAR(Tools!$Q48))*12+MONTH(DATE(YEAR(TODAY()),MONTH(TODAY())+9,1))-MONTH(Tools!$Q48))&gt;=0,MOD(((YEAR(DATE(YEAR(TODAY()),MONTH(TODAY())+9,1))-YEAR(Tools!$Q48))*12+MONTH(DATE(YEAR(TODAY()),MONTH(TODAY())+9,1))-MONTH(Tools!$Q48)),Tools!$U48)=0,OR(Tools!$L48="",EDATE(Tools!$Q48,((YEAR(DATE(YEAR(TODAY()),MONTH(TODAY())+9,1))-YEAR(Tools!$Q48))*12+MONTH(DATE(YEAR(TODAY()),MONTH(TODAY())+9,1))-MONTH(Tools!$Q48)))&lt;Tools!$L48)),Tools!$N48,""))</f>
        <v/>
      </c>
      <c r="M49" s="30">
        <f>IF(OR(Tools!$B48="",Tools!$Q48=""),"",IF(AND(((YEAR(DATE(YEAR(TODAY()),MONTH(TODAY())+10,1))-YEAR(Tools!$Q48))*12+MONTH(DATE(YEAR(TODAY()),MONTH(TODAY())+10,1))-MONTH(Tools!$Q48))&gt;=0,MOD(((YEAR(DATE(YEAR(TODAY()),MONTH(TODAY())+10,1))-YEAR(Tools!$Q48))*12+MONTH(DATE(YEAR(TODAY()),MONTH(TODAY())+10,1))-MONTH(Tools!$Q48)),Tools!$U48)=0,OR(Tools!$L48="",EDATE(Tools!$Q48,((YEAR(DATE(YEAR(TODAY()),MONTH(TODAY())+10,1))-YEAR(Tools!$Q48))*12+MONTH(DATE(YEAR(TODAY()),MONTH(TODAY())+10,1))-MONTH(Tools!$Q48)))&lt;Tools!$L48)),Tools!$N48,""))</f>
        <v/>
      </c>
      <c r="N49" s="30">
        <f>IF(OR(Tools!$B48="",Tools!$Q48=""),"",IF(AND(((YEAR(DATE(YEAR(TODAY()),MONTH(TODAY())+11,1))-YEAR(Tools!$Q48))*12+MONTH(DATE(YEAR(TODAY()),MONTH(TODAY())+11,1))-MONTH(Tools!$Q48))&gt;=0,MOD(((YEAR(DATE(YEAR(TODAY()),MONTH(TODAY())+11,1))-YEAR(Tools!$Q48))*12+MONTH(DATE(YEAR(TODAY()),MONTH(TODAY())+11,1))-MONTH(Tools!$Q48)),Tools!$U48)=0,OR(Tools!$L48="",EDATE(Tools!$Q48,((YEAR(DATE(YEAR(TODAY()),MONTH(TODAY())+11,1))-YEAR(Tools!$Q48))*12+MONTH(DATE(YEAR(TODAY()),MONTH(TODAY())+11,1))-MONTH(Tools!$Q48)))&lt;Tools!$L48)),Tools!$N48,""))</f>
        <v/>
      </c>
      <c r="O49" s="31">
        <f>IF(B49="","",SUM(C49:N49))</f>
        <v/>
      </c>
      <c r="P49" s="1" t="n"/>
    </row>
    <row r="50">
      <c r="A50" s="1" t="n"/>
      <c r="B50" s="11">
        <f>IF(Tools!B49="","",Tools!B49)</f>
        <v/>
      </c>
      <c r="C50" s="30">
        <f>IF(OR(Tools!$B49="",Tools!$Q49=""),"",IF(AND(((YEAR(DATE(YEAR(TODAY()),MONTH(TODAY())+0,1))-YEAR(Tools!$Q49))*12+MONTH(DATE(YEAR(TODAY()),MONTH(TODAY())+0,1))-MONTH(Tools!$Q49))&gt;=0,MOD(((YEAR(DATE(YEAR(TODAY()),MONTH(TODAY())+0,1))-YEAR(Tools!$Q49))*12+MONTH(DATE(YEAR(TODAY()),MONTH(TODAY())+0,1))-MONTH(Tools!$Q49)),Tools!$U49)=0,OR(Tools!$L49="",EDATE(Tools!$Q49,((YEAR(DATE(YEAR(TODAY()),MONTH(TODAY())+0,1))-YEAR(Tools!$Q49))*12+MONTH(DATE(YEAR(TODAY()),MONTH(TODAY())+0,1))-MONTH(Tools!$Q49)))&lt;Tools!$L49)),Tools!$N49,""))</f>
        <v/>
      </c>
      <c r="D50" s="30">
        <f>IF(OR(Tools!$B49="",Tools!$Q49=""),"",IF(AND(((YEAR(DATE(YEAR(TODAY()),MONTH(TODAY())+1,1))-YEAR(Tools!$Q49))*12+MONTH(DATE(YEAR(TODAY()),MONTH(TODAY())+1,1))-MONTH(Tools!$Q49))&gt;=0,MOD(((YEAR(DATE(YEAR(TODAY()),MONTH(TODAY())+1,1))-YEAR(Tools!$Q49))*12+MONTH(DATE(YEAR(TODAY()),MONTH(TODAY())+1,1))-MONTH(Tools!$Q49)),Tools!$U49)=0,OR(Tools!$L49="",EDATE(Tools!$Q49,((YEAR(DATE(YEAR(TODAY()),MONTH(TODAY())+1,1))-YEAR(Tools!$Q49))*12+MONTH(DATE(YEAR(TODAY()),MONTH(TODAY())+1,1))-MONTH(Tools!$Q49)))&lt;Tools!$L49)),Tools!$N49,""))</f>
        <v/>
      </c>
      <c r="E50" s="30">
        <f>IF(OR(Tools!$B49="",Tools!$Q49=""),"",IF(AND(((YEAR(DATE(YEAR(TODAY()),MONTH(TODAY())+2,1))-YEAR(Tools!$Q49))*12+MONTH(DATE(YEAR(TODAY()),MONTH(TODAY())+2,1))-MONTH(Tools!$Q49))&gt;=0,MOD(((YEAR(DATE(YEAR(TODAY()),MONTH(TODAY())+2,1))-YEAR(Tools!$Q49))*12+MONTH(DATE(YEAR(TODAY()),MONTH(TODAY())+2,1))-MONTH(Tools!$Q49)),Tools!$U49)=0,OR(Tools!$L49="",EDATE(Tools!$Q49,((YEAR(DATE(YEAR(TODAY()),MONTH(TODAY())+2,1))-YEAR(Tools!$Q49))*12+MONTH(DATE(YEAR(TODAY()),MONTH(TODAY())+2,1))-MONTH(Tools!$Q49)))&lt;Tools!$L49)),Tools!$N49,""))</f>
        <v/>
      </c>
      <c r="F50" s="30">
        <f>IF(OR(Tools!$B49="",Tools!$Q49=""),"",IF(AND(((YEAR(DATE(YEAR(TODAY()),MONTH(TODAY())+3,1))-YEAR(Tools!$Q49))*12+MONTH(DATE(YEAR(TODAY()),MONTH(TODAY())+3,1))-MONTH(Tools!$Q49))&gt;=0,MOD(((YEAR(DATE(YEAR(TODAY()),MONTH(TODAY())+3,1))-YEAR(Tools!$Q49))*12+MONTH(DATE(YEAR(TODAY()),MONTH(TODAY())+3,1))-MONTH(Tools!$Q49)),Tools!$U49)=0,OR(Tools!$L49="",EDATE(Tools!$Q49,((YEAR(DATE(YEAR(TODAY()),MONTH(TODAY())+3,1))-YEAR(Tools!$Q49))*12+MONTH(DATE(YEAR(TODAY()),MONTH(TODAY())+3,1))-MONTH(Tools!$Q49)))&lt;Tools!$L49)),Tools!$N49,""))</f>
        <v/>
      </c>
      <c r="G50" s="30">
        <f>IF(OR(Tools!$B49="",Tools!$Q49=""),"",IF(AND(((YEAR(DATE(YEAR(TODAY()),MONTH(TODAY())+4,1))-YEAR(Tools!$Q49))*12+MONTH(DATE(YEAR(TODAY()),MONTH(TODAY())+4,1))-MONTH(Tools!$Q49))&gt;=0,MOD(((YEAR(DATE(YEAR(TODAY()),MONTH(TODAY())+4,1))-YEAR(Tools!$Q49))*12+MONTH(DATE(YEAR(TODAY()),MONTH(TODAY())+4,1))-MONTH(Tools!$Q49)),Tools!$U49)=0,OR(Tools!$L49="",EDATE(Tools!$Q49,((YEAR(DATE(YEAR(TODAY()),MONTH(TODAY())+4,1))-YEAR(Tools!$Q49))*12+MONTH(DATE(YEAR(TODAY()),MONTH(TODAY())+4,1))-MONTH(Tools!$Q49)))&lt;Tools!$L49)),Tools!$N49,""))</f>
        <v/>
      </c>
      <c r="H50" s="30">
        <f>IF(OR(Tools!$B49="",Tools!$Q49=""),"",IF(AND(((YEAR(DATE(YEAR(TODAY()),MONTH(TODAY())+5,1))-YEAR(Tools!$Q49))*12+MONTH(DATE(YEAR(TODAY()),MONTH(TODAY())+5,1))-MONTH(Tools!$Q49))&gt;=0,MOD(((YEAR(DATE(YEAR(TODAY()),MONTH(TODAY())+5,1))-YEAR(Tools!$Q49))*12+MONTH(DATE(YEAR(TODAY()),MONTH(TODAY())+5,1))-MONTH(Tools!$Q49)),Tools!$U49)=0,OR(Tools!$L49="",EDATE(Tools!$Q49,((YEAR(DATE(YEAR(TODAY()),MONTH(TODAY())+5,1))-YEAR(Tools!$Q49))*12+MONTH(DATE(YEAR(TODAY()),MONTH(TODAY())+5,1))-MONTH(Tools!$Q49)))&lt;Tools!$L49)),Tools!$N49,""))</f>
        <v/>
      </c>
      <c r="I50" s="30">
        <f>IF(OR(Tools!$B49="",Tools!$Q49=""),"",IF(AND(((YEAR(DATE(YEAR(TODAY()),MONTH(TODAY())+6,1))-YEAR(Tools!$Q49))*12+MONTH(DATE(YEAR(TODAY()),MONTH(TODAY())+6,1))-MONTH(Tools!$Q49))&gt;=0,MOD(((YEAR(DATE(YEAR(TODAY()),MONTH(TODAY())+6,1))-YEAR(Tools!$Q49))*12+MONTH(DATE(YEAR(TODAY()),MONTH(TODAY())+6,1))-MONTH(Tools!$Q49)),Tools!$U49)=0,OR(Tools!$L49="",EDATE(Tools!$Q49,((YEAR(DATE(YEAR(TODAY()),MONTH(TODAY())+6,1))-YEAR(Tools!$Q49))*12+MONTH(DATE(YEAR(TODAY()),MONTH(TODAY())+6,1))-MONTH(Tools!$Q49)))&lt;Tools!$L49)),Tools!$N49,""))</f>
        <v/>
      </c>
      <c r="J50" s="30">
        <f>IF(OR(Tools!$B49="",Tools!$Q49=""),"",IF(AND(((YEAR(DATE(YEAR(TODAY()),MONTH(TODAY())+7,1))-YEAR(Tools!$Q49))*12+MONTH(DATE(YEAR(TODAY()),MONTH(TODAY())+7,1))-MONTH(Tools!$Q49))&gt;=0,MOD(((YEAR(DATE(YEAR(TODAY()),MONTH(TODAY())+7,1))-YEAR(Tools!$Q49))*12+MONTH(DATE(YEAR(TODAY()),MONTH(TODAY())+7,1))-MONTH(Tools!$Q49)),Tools!$U49)=0,OR(Tools!$L49="",EDATE(Tools!$Q49,((YEAR(DATE(YEAR(TODAY()),MONTH(TODAY())+7,1))-YEAR(Tools!$Q49))*12+MONTH(DATE(YEAR(TODAY()),MONTH(TODAY())+7,1))-MONTH(Tools!$Q49)))&lt;Tools!$L49)),Tools!$N49,""))</f>
        <v/>
      </c>
      <c r="K50" s="30">
        <f>IF(OR(Tools!$B49="",Tools!$Q49=""),"",IF(AND(((YEAR(DATE(YEAR(TODAY()),MONTH(TODAY())+8,1))-YEAR(Tools!$Q49))*12+MONTH(DATE(YEAR(TODAY()),MONTH(TODAY())+8,1))-MONTH(Tools!$Q49))&gt;=0,MOD(((YEAR(DATE(YEAR(TODAY()),MONTH(TODAY())+8,1))-YEAR(Tools!$Q49))*12+MONTH(DATE(YEAR(TODAY()),MONTH(TODAY())+8,1))-MONTH(Tools!$Q49)),Tools!$U49)=0,OR(Tools!$L49="",EDATE(Tools!$Q49,((YEAR(DATE(YEAR(TODAY()),MONTH(TODAY())+8,1))-YEAR(Tools!$Q49))*12+MONTH(DATE(YEAR(TODAY()),MONTH(TODAY())+8,1))-MONTH(Tools!$Q49)))&lt;Tools!$L49)),Tools!$N49,""))</f>
        <v/>
      </c>
      <c r="L50" s="30">
        <f>IF(OR(Tools!$B49="",Tools!$Q49=""),"",IF(AND(((YEAR(DATE(YEAR(TODAY()),MONTH(TODAY())+9,1))-YEAR(Tools!$Q49))*12+MONTH(DATE(YEAR(TODAY()),MONTH(TODAY())+9,1))-MONTH(Tools!$Q49))&gt;=0,MOD(((YEAR(DATE(YEAR(TODAY()),MONTH(TODAY())+9,1))-YEAR(Tools!$Q49))*12+MONTH(DATE(YEAR(TODAY()),MONTH(TODAY())+9,1))-MONTH(Tools!$Q49)),Tools!$U49)=0,OR(Tools!$L49="",EDATE(Tools!$Q49,((YEAR(DATE(YEAR(TODAY()),MONTH(TODAY())+9,1))-YEAR(Tools!$Q49))*12+MONTH(DATE(YEAR(TODAY()),MONTH(TODAY())+9,1))-MONTH(Tools!$Q49)))&lt;Tools!$L49)),Tools!$N49,""))</f>
        <v/>
      </c>
      <c r="M50" s="30">
        <f>IF(OR(Tools!$B49="",Tools!$Q49=""),"",IF(AND(((YEAR(DATE(YEAR(TODAY()),MONTH(TODAY())+10,1))-YEAR(Tools!$Q49))*12+MONTH(DATE(YEAR(TODAY()),MONTH(TODAY())+10,1))-MONTH(Tools!$Q49))&gt;=0,MOD(((YEAR(DATE(YEAR(TODAY()),MONTH(TODAY())+10,1))-YEAR(Tools!$Q49))*12+MONTH(DATE(YEAR(TODAY()),MONTH(TODAY())+10,1))-MONTH(Tools!$Q49)),Tools!$U49)=0,OR(Tools!$L49="",EDATE(Tools!$Q49,((YEAR(DATE(YEAR(TODAY()),MONTH(TODAY())+10,1))-YEAR(Tools!$Q49))*12+MONTH(DATE(YEAR(TODAY()),MONTH(TODAY())+10,1))-MONTH(Tools!$Q49)))&lt;Tools!$L49)),Tools!$N49,""))</f>
        <v/>
      </c>
      <c r="N50" s="30">
        <f>IF(OR(Tools!$B49="",Tools!$Q49=""),"",IF(AND(((YEAR(DATE(YEAR(TODAY()),MONTH(TODAY())+11,1))-YEAR(Tools!$Q49))*12+MONTH(DATE(YEAR(TODAY()),MONTH(TODAY())+11,1))-MONTH(Tools!$Q49))&gt;=0,MOD(((YEAR(DATE(YEAR(TODAY()),MONTH(TODAY())+11,1))-YEAR(Tools!$Q49))*12+MONTH(DATE(YEAR(TODAY()),MONTH(TODAY())+11,1))-MONTH(Tools!$Q49)),Tools!$U49)=0,OR(Tools!$L49="",EDATE(Tools!$Q49,((YEAR(DATE(YEAR(TODAY()),MONTH(TODAY())+11,1))-YEAR(Tools!$Q49))*12+MONTH(DATE(YEAR(TODAY()),MONTH(TODAY())+11,1))-MONTH(Tools!$Q49)))&lt;Tools!$L49)),Tools!$N49,""))</f>
        <v/>
      </c>
      <c r="O50" s="31">
        <f>IF(B50="","",SUM(C50:N50))</f>
        <v/>
      </c>
      <c r="P50" s="1" t="n"/>
    </row>
    <row r="51">
      <c r="A51" s="1" t="n"/>
      <c r="B51" s="11">
        <f>IF(Tools!B50="","",Tools!B50)</f>
        <v/>
      </c>
      <c r="C51" s="30">
        <f>IF(OR(Tools!$B50="",Tools!$Q50=""),"",IF(AND(((YEAR(DATE(YEAR(TODAY()),MONTH(TODAY())+0,1))-YEAR(Tools!$Q50))*12+MONTH(DATE(YEAR(TODAY()),MONTH(TODAY())+0,1))-MONTH(Tools!$Q50))&gt;=0,MOD(((YEAR(DATE(YEAR(TODAY()),MONTH(TODAY())+0,1))-YEAR(Tools!$Q50))*12+MONTH(DATE(YEAR(TODAY()),MONTH(TODAY())+0,1))-MONTH(Tools!$Q50)),Tools!$U50)=0,OR(Tools!$L50="",EDATE(Tools!$Q50,((YEAR(DATE(YEAR(TODAY()),MONTH(TODAY())+0,1))-YEAR(Tools!$Q50))*12+MONTH(DATE(YEAR(TODAY()),MONTH(TODAY())+0,1))-MONTH(Tools!$Q50)))&lt;Tools!$L50)),Tools!$N50,""))</f>
        <v/>
      </c>
      <c r="D51" s="30">
        <f>IF(OR(Tools!$B50="",Tools!$Q50=""),"",IF(AND(((YEAR(DATE(YEAR(TODAY()),MONTH(TODAY())+1,1))-YEAR(Tools!$Q50))*12+MONTH(DATE(YEAR(TODAY()),MONTH(TODAY())+1,1))-MONTH(Tools!$Q50))&gt;=0,MOD(((YEAR(DATE(YEAR(TODAY()),MONTH(TODAY())+1,1))-YEAR(Tools!$Q50))*12+MONTH(DATE(YEAR(TODAY()),MONTH(TODAY())+1,1))-MONTH(Tools!$Q50)),Tools!$U50)=0,OR(Tools!$L50="",EDATE(Tools!$Q50,((YEAR(DATE(YEAR(TODAY()),MONTH(TODAY())+1,1))-YEAR(Tools!$Q50))*12+MONTH(DATE(YEAR(TODAY()),MONTH(TODAY())+1,1))-MONTH(Tools!$Q50)))&lt;Tools!$L50)),Tools!$N50,""))</f>
        <v/>
      </c>
      <c r="E51" s="30">
        <f>IF(OR(Tools!$B50="",Tools!$Q50=""),"",IF(AND(((YEAR(DATE(YEAR(TODAY()),MONTH(TODAY())+2,1))-YEAR(Tools!$Q50))*12+MONTH(DATE(YEAR(TODAY()),MONTH(TODAY())+2,1))-MONTH(Tools!$Q50))&gt;=0,MOD(((YEAR(DATE(YEAR(TODAY()),MONTH(TODAY())+2,1))-YEAR(Tools!$Q50))*12+MONTH(DATE(YEAR(TODAY()),MONTH(TODAY())+2,1))-MONTH(Tools!$Q50)),Tools!$U50)=0,OR(Tools!$L50="",EDATE(Tools!$Q50,((YEAR(DATE(YEAR(TODAY()),MONTH(TODAY())+2,1))-YEAR(Tools!$Q50))*12+MONTH(DATE(YEAR(TODAY()),MONTH(TODAY())+2,1))-MONTH(Tools!$Q50)))&lt;Tools!$L50)),Tools!$N50,""))</f>
        <v/>
      </c>
      <c r="F51" s="30">
        <f>IF(OR(Tools!$B50="",Tools!$Q50=""),"",IF(AND(((YEAR(DATE(YEAR(TODAY()),MONTH(TODAY())+3,1))-YEAR(Tools!$Q50))*12+MONTH(DATE(YEAR(TODAY()),MONTH(TODAY())+3,1))-MONTH(Tools!$Q50))&gt;=0,MOD(((YEAR(DATE(YEAR(TODAY()),MONTH(TODAY())+3,1))-YEAR(Tools!$Q50))*12+MONTH(DATE(YEAR(TODAY()),MONTH(TODAY())+3,1))-MONTH(Tools!$Q50)),Tools!$U50)=0,OR(Tools!$L50="",EDATE(Tools!$Q50,((YEAR(DATE(YEAR(TODAY()),MONTH(TODAY())+3,1))-YEAR(Tools!$Q50))*12+MONTH(DATE(YEAR(TODAY()),MONTH(TODAY())+3,1))-MONTH(Tools!$Q50)))&lt;Tools!$L50)),Tools!$N50,""))</f>
        <v/>
      </c>
      <c r="G51" s="30">
        <f>IF(OR(Tools!$B50="",Tools!$Q50=""),"",IF(AND(((YEAR(DATE(YEAR(TODAY()),MONTH(TODAY())+4,1))-YEAR(Tools!$Q50))*12+MONTH(DATE(YEAR(TODAY()),MONTH(TODAY())+4,1))-MONTH(Tools!$Q50))&gt;=0,MOD(((YEAR(DATE(YEAR(TODAY()),MONTH(TODAY())+4,1))-YEAR(Tools!$Q50))*12+MONTH(DATE(YEAR(TODAY()),MONTH(TODAY())+4,1))-MONTH(Tools!$Q50)),Tools!$U50)=0,OR(Tools!$L50="",EDATE(Tools!$Q50,((YEAR(DATE(YEAR(TODAY()),MONTH(TODAY())+4,1))-YEAR(Tools!$Q50))*12+MONTH(DATE(YEAR(TODAY()),MONTH(TODAY())+4,1))-MONTH(Tools!$Q50)))&lt;Tools!$L50)),Tools!$N50,""))</f>
        <v/>
      </c>
      <c r="H51" s="30">
        <f>IF(OR(Tools!$B50="",Tools!$Q50=""),"",IF(AND(((YEAR(DATE(YEAR(TODAY()),MONTH(TODAY())+5,1))-YEAR(Tools!$Q50))*12+MONTH(DATE(YEAR(TODAY()),MONTH(TODAY())+5,1))-MONTH(Tools!$Q50))&gt;=0,MOD(((YEAR(DATE(YEAR(TODAY()),MONTH(TODAY())+5,1))-YEAR(Tools!$Q50))*12+MONTH(DATE(YEAR(TODAY()),MONTH(TODAY())+5,1))-MONTH(Tools!$Q50)),Tools!$U50)=0,OR(Tools!$L50="",EDATE(Tools!$Q50,((YEAR(DATE(YEAR(TODAY()),MONTH(TODAY())+5,1))-YEAR(Tools!$Q50))*12+MONTH(DATE(YEAR(TODAY()),MONTH(TODAY())+5,1))-MONTH(Tools!$Q50)))&lt;Tools!$L50)),Tools!$N50,""))</f>
        <v/>
      </c>
      <c r="I51" s="30">
        <f>IF(OR(Tools!$B50="",Tools!$Q50=""),"",IF(AND(((YEAR(DATE(YEAR(TODAY()),MONTH(TODAY())+6,1))-YEAR(Tools!$Q50))*12+MONTH(DATE(YEAR(TODAY()),MONTH(TODAY())+6,1))-MONTH(Tools!$Q50))&gt;=0,MOD(((YEAR(DATE(YEAR(TODAY()),MONTH(TODAY())+6,1))-YEAR(Tools!$Q50))*12+MONTH(DATE(YEAR(TODAY()),MONTH(TODAY())+6,1))-MONTH(Tools!$Q50)),Tools!$U50)=0,OR(Tools!$L50="",EDATE(Tools!$Q50,((YEAR(DATE(YEAR(TODAY()),MONTH(TODAY())+6,1))-YEAR(Tools!$Q50))*12+MONTH(DATE(YEAR(TODAY()),MONTH(TODAY())+6,1))-MONTH(Tools!$Q50)))&lt;Tools!$L50)),Tools!$N50,""))</f>
        <v/>
      </c>
      <c r="J51" s="30">
        <f>IF(OR(Tools!$B50="",Tools!$Q50=""),"",IF(AND(((YEAR(DATE(YEAR(TODAY()),MONTH(TODAY())+7,1))-YEAR(Tools!$Q50))*12+MONTH(DATE(YEAR(TODAY()),MONTH(TODAY())+7,1))-MONTH(Tools!$Q50))&gt;=0,MOD(((YEAR(DATE(YEAR(TODAY()),MONTH(TODAY())+7,1))-YEAR(Tools!$Q50))*12+MONTH(DATE(YEAR(TODAY()),MONTH(TODAY())+7,1))-MONTH(Tools!$Q50)),Tools!$U50)=0,OR(Tools!$L50="",EDATE(Tools!$Q50,((YEAR(DATE(YEAR(TODAY()),MONTH(TODAY())+7,1))-YEAR(Tools!$Q50))*12+MONTH(DATE(YEAR(TODAY()),MONTH(TODAY())+7,1))-MONTH(Tools!$Q50)))&lt;Tools!$L50)),Tools!$N50,""))</f>
        <v/>
      </c>
      <c r="K51" s="30">
        <f>IF(OR(Tools!$B50="",Tools!$Q50=""),"",IF(AND(((YEAR(DATE(YEAR(TODAY()),MONTH(TODAY())+8,1))-YEAR(Tools!$Q50))*12+MONTH(DATE(YEAR(TODAY()),MONTH(TODAY())+8,1))-MONTH(Tools!$Q50))&gt;=0,MOD(((YEAR(DATE(YEAR(TODAY()),MONTH(TODAY())+8,1))-YEAR(Tools!$Q50))*12+MONTH(DATE(YEAR(TODAY()),MONTH(TODAY())+8,1))-MONTH(Tools!$Q50)),Tools!$U50)=0,OR(Tools!$L50="",EDATE(Tools!$Q50,((YEAR(DATE(YEAR(TODAY()),MONTH(TODAY())+8,1))-YEAR(Tools!$Q50))*12+MONTH(DATE(YEAR(TODAY()),MONTH(TODAY())+8,1))-MONTH(Tools!$Q50)))&lt;Tools!$L50)),Tools!$N50,""))</f>
        <v/>
      </c>
      <c r="L51" s="30">
        <f>IF(OR(Tools!$B50="",Tools!$Q50=""),"",IF(AND(((YEAR(DATE(YEAR(TODAY()),MONTH(TODAY())+9,1))-YEAR(Tools!$Q50))*12+MONTH(DATE(YEAR(TODAY()),MONTH(TODAY())+9,1))-MONTH(Tools!$Q50))&gt;=0,MOD(((YEAR(DATE(YEAR(TODAY()),MONTH(TODAY())+9,1))-YEAR(Tools!$Q50))*12+MONTH(DATE(YEAR(TODAY()),MONTH(TODAY())+9,1))-MONTH(Tools!$Q50)),Tools!$U50)=0,OR(Tools!$L50="",EDATE(Tools!$Q50,((YEAR(DATE(YEAR(TODAY()),MONTH(TODAY())+9,1))-YEAR(Tools!$Q50))*12+MONTH(DATE(YEAR(TODAY()),MONTH(TODAY())+9,1))-MONTH(Tools!$Q50)))&lt;Tools!$L50)),Tools!$N50,""))</f>
        <v/>
      </c>
      <c r="M51" s="30">
        <f>IF(OR(Tools!$B50="",Tools!$Q50=""),"",IF(AND(((YEAR(DATE(YEAR(TODAY()),MONTH(TODAY())+10,1))-YEAR(Tools!$Q50))*12+MONTH(DATE(YEAR(TODAY()),MONTH(TODAY())+10,1))-MONTH(Tools!$Q50))&gt;=0,MOD(((YEAR(DATE(YEAR(TODAY()),MONTH(TODAY())+10,1))-YEAR(Tools!$Q50))*12+MONTH(DATE(YEAR(TODAY()),MONTH(TODAY())+10,1))-MONTH(Tools!$Q50)),Tools!$U50)=0,OR(Tools!$L50="",EDATE(Tools!$Q50,((YEAR(DATE(YEAR(TODAY()),MONTH(TODAY())+10,1))-YEAR(Tools!$Q50))*12+MONTH(DATE(YEAR(TODAY()),MONTH(TODAY())+10,1))-MONTH(Tools!$Q50)))&lt;Tools!$L50)),Tools!$N50,""))</f>
        <v/>
      </c>
      <c r="N51" s="30">
        <f>IF(OR(Tools!$B50="",Tools!$Q50=""),"",IF(AND(((YEAR(DATE(YEAR(TODAY()),MONTH(TODAY())+11,1))-YEAR(Tools!$Q50))*12+MONTH(DATE(YEAR(TODAY()),MONTH(TODAY())+11,1))-MONTH(Tools!$Q50))&gt;=0,MOD(((YEAR(DATE(YEAR(TODAY()),MONTH(TODAY())+11,1))-YEAR(Tools!$Q50))*12+MONTH(DATE(YEAR(TODAY()),MONTH(TODAY())+11,1))-MONTH(Tools!$Q50)),Tools!$U50)=0,OR(Tools!$L50="",EDATE(Tools!$Q50,((YEAR(DATE(YEAR(TODAY()),MONTH(TODAY())+11,1))-YEAR(Tools!$Q50))*12+MONTH(DATE(YEAR(TODAY()),MONTH(TODAY())+11,1))-MONTH(Tools!$Q50)))&lt;Tools!$L50)),Tools!$N50,""))</f>
        <v/>
      </c>
      <c r="O51" s="31">
        <f>IF(B51="","",SUM(C51:N51))</f>
        <v/>
      </c>
      <c r="P51" s="1" t="n"/>
    </row>
    <row r="52">
      <c r="A52" s="1" t="n"/>
      <c r="B52" s="11">
        <f>IF(Tools!B51="","",Tools!B51)</f>
        <v/>
      </c>
      <c r="C52" s="30">
        <f>IF(OR(Tools!$B51="",Tools!$Q51=""),"",IF(AND(((YEAR(DATE(YEAR(TODAY()),MONTH(TODAY())+0,1))-YEAR(Tools!$Q51))*12+MONTH(DATE(YEAR(TODAY()),MONTH(TODAY())+0,1))-MONTH(Tools!$Q51))&gt;=0,MOD(((YEAR(DATE(YEAR(TODAY()),MONTH(TODAY())+0,1))-YEAR(Tools!$Q51))*12+MONTH(DATE(YEAR(TODAY()),MONTH(TODAY())+0,1))-MONTH(Tools!$Q51)),Tools!$U51)=0,OR(Tools!$L51="",EDATE(Tools!$Q51,((YEAR(DATE(YEAR(TODAY()),MONTH(TODAY())+0,1))-YEAR(Tools!$Q51))*12+MONTH(DATE(YEAR(TODAY()),MONTH(TODAY())+0,1))-MONTH(Tools!$Q51)))&lt;Tools!$L51)),Tools!$N51,""))</f>
        <v/>
      </c>
      <c r="D52" s="30">
        <f>IF(OR(Tools!$B51="",Tools!$Q51=""),"",IF(AND(((YEAR(DATE(YEAR(TODAY()),MONTH(TODAY())+1,1))-YEAR(Tools!$Q51))*12+MONTH(DATE(YEAR(TODAY()),MONTH(TODAY())+1,1))-MONTH(Tools!$Q51))&gt;=0,MOD(((YEAR(DATE(YEAR(TODAY()),MONTH(TODAY())+1,1))-YEAR(Tools!$Q51))*12+MONTH(DATE(YEAR(TODAY()),MONTH(TODAY())+1,1))-MONTH(Tools!$Q51)),Tools!$U51)=0,OR(Tools!$L51="",EDATE(Tools!$Q51,((YEAR(DATE(YEAR(TODAY()),MONTH(TODAY())+1,1))-YEAR(Tools!$Q51))*12+MONTH(DATE(YEAR(TODAY()),MONTH(TODAY())+1,1))-MONTH(Tools!$Q51)))&lt;Tools!$L51)),Tools!$N51,""))</f>
        <v/>
      </c>
      <c r="E52" s="30">
        <f>IF(OR(Tools!$B51="",Tools!$Q51=""),"",IF(AND(((YEAR(DATE(YEAR(TODAY()),MONTH(TODAY())+2,1))-YEAR(Tools!$Q51))*12+MONTH(DATE(YEAR(TODAY()),MONTH(TODAY())+2,1))-MONTH(Tools!$Q51))&gt;=0,MOD(((YEAR(DATE(YEAR(TODAY()),MONTH(TODAY())+2,1))-YEAR(Tools!$Q51))*12+MONTH(DATE(YEAR(TODAY()),MONTH(TODAY())+2,1))-MONTH(Tools!$Q51)),Tools!$U51)=0,OR(Tools!$L51="",EDATE(Tools!$Q51,((YEAR(DATE(YEAR(TODAY()),MONTH(TODAY())+2,1))-YEAR(Tools!$Q51))*12+MONTH(DATE(YEAR(TODAY()),MONTH(TODAY())+2,1))-MONTH(Tools!$Q51)))&lt;Tools!$L51)),Tools!$N51,""))</f>
        <v/>
      </c>
      <c r="F52" s="30">
        <f>IF(OR(Tools!$B51="",Tools!$Q51=""),"",IF(AND(((YEAR(DATE(YEAR(TODAY()),MONTH(TODAY())+3,1))-YEAR(Tools!$Q51))*12+MONTH(DATE(YEAR(TODAY()),MONTH(TODAY())+3,1))-MONTH(Tools!$Q51))&gt;=0,MOD(((YEAR(DATE(YEAR(TODAY()),MONTH(TODAY())+3,1))-YEAR(Tools!$Q51))*12+MONTH(DATE(YEAR(TODAY()),MONTH(TODAY())+3,1))-MONTH(Tools!$Q51)),Tools!$U51)=0,OR(Tools!$L51="",EDATE(Tools!$Q51,((YEAR(DATE(YEAR(TODAY()),MONTH(TODAY())+3,1))-YEAR(Tools!$Q51))*12+MONTH(DATE(YEAR(TODAY()),MONTH(TODAY())+3,1))-MONTH(Tools!$Q51)))&lt;Tools!$L51)),Tools!$N51,""))</f>
        <v/>
      </c>
      <c r="G52" s="30">
        <f>IF(OR(Tools!$B51="",Tools!$Q51=""),"",IF(AND(((YEAR(DATE(YEAR(TODAY()),MONTH(TODAY())+4,1))-YEAR(Tools!$Q51))*12+MONTH(DATE(YEAR(TODAY()),MONTH(TODAY())+4,1))-MONTH(Tools!$Q51))&gt;=0,MOD(((YEAR(DATE(YEAR(TODAY()),MONTH(TODAY())+4,1))-YEAR(Tools!$Q51))*12+MONTH(DATE(YEAR(TODAY()),MONTH(TODAY())+4,1))-MONTH(Tools!$Q51)),Tools!$U51)=0,OR(Tools!$L51="",EDATE(Tools!$Q51,((YEAR(DATE(YEAR(TODAY()),MONTH(TODAY())+4,1))-YEAR(Tools!$Q51))*12+MONTH(DATE(YEAR(TODAY()),MONTH(TODAY())+4,1))-MONTH(Tools!$Q51)))&lt;Tools!$L51)),Tools!$N51,""))</f>
        <v/>
      </c>
      <c r="H52" s="30">
        <f>IF(OR(Tools!$B51="",Tools!$Q51=""),"",IF(AND(((YEAR(DATE(YEAR(TODAY()),MONTH(TODAY())+5,1))-YEAR(Tools!$Q51))*12+MONTH(DATE(YEAR(TODAY()),MONTH(TODAY())+5,1))-MONTH(Tools!$Q51))&gt;=0,MOD(((YEAR(DATE(YEAR(TODAY()),MONTH(TODAY())+5,1))-YEAR(Tools!$Q51))*12+MONTH(DATE(YEAR(TODAY()),MONTH(TODAY())+5,1))-MONTH(Tools!$Q51)),Tools!$U51)=0,OR(Tools!$L51="",EDATE(Tools!$Q51,((YEAR(DATE(YEAR(TODAY()),MONTH(TODAY())+5,1))-YEAR(Tools!$Q51))*12+MONTH(DATE(YEAR(TODAY()),MONTH(TODAY())+5,1))-MONTH(Tools!$Q51)))&lt;Tools!$L51)),Tools!$N51,""))</f>
        <v/>
      </c>
      <c r="I52" s="30">
        <f>IF(OR(Tools!$B51="",Tools!$Q51=""),"",IF(AND(((YEAR(DATE(YEAR(TODAY()),MONTH(TODAY())+6,1))-YEAR(Tools!$Q51))*12+MONTH(DATE(YEAR(TODAY()),MONTH(TODAY())+6,1))-MONTH(Tools!$Q51))&gt;=0,MOD(((YEAR(DATE(YEAR(TODAY()),MONTH(TODAY())+6,1))-YEAR(Tools!$Q51))*12+MONTH(DATE(YEAR(TODAY()),MONTH(TODAY())+6,1))-MONTH(Tools!$Q51)),Tools!$U51)=0,OR(Tools!$L51="",EDATE(Tools!$Q51,((YEAR(DATE(YEAR(TODAY()),MONTH(TODAY())+6,1))-YEAR(Tools!$Q51))*12+MONTH(DATE(YEAR(TODAY()),MONTH(TODAY())+6,1))-MONTH(Tools!$Q51)))&lt;Tools!$L51)),Tools!$N51,""))</f>
        <v/>
      </c>
      <c r="J52" s="30">
        <f>IF(OR(Tools!$B51="",Tools!$Q51=""),"",IF(AND(((YEAR(DATE(YEAR(TODAY()),MONTH(TODAY())+7,1))-YEAR(Tools!$Q51))*12+MONTH(DATE(YEAR(TODAY()),MONTH(TODAY())+7,1))-MONTH(Tools!$Q51))&gt;=0,MOD(((YEAR(DATE(YEAR(TODAY()),MONTH(TODAY())+7,1))-YEAR(Tools!$Q51))*12+MONTH(DATE(YEAR(TODAY()),MONTH(TODAY())+7,1))-MONTH(Tools!$Q51)),Tools!$U51)=0,OR(Tools!$L51="",EDATE(Tools!$Q51,((YEAR(DATE(YEAR(TODAY()),MONTH(TODAY())+7,1))-YEAR(Tools!$Q51))*12+MONTH(DATE(YEAR(TODAY()),MONTH(TODAY())+7,1))-MONTH(Tools!$Q51)))&lt;Tools!$L51)),Tools!$N51,""))</f>
        <v/>
      </c>
      <c r="K52" s="30">
        <f>IF(OR(Tools!$B51="",Tools!$Q51=""),"",IF(AND(((YEAR(DATE(YEAR(TODAY()),MONTH(TODAY())+8,1))-YEAR(Tools!$Q51))*12+MONTH(DATE(YEAR(TODAY()),MONTH(TODAY())+8,1))-MONTH(Tools!$Q51))&gt;=0,MOD(((YEAR(DATE(YEAR(TODAY()),MONTH(TODAY())+8,1))-YEAR(Tools!$Q51))*12+MONTH(DATE(YEAR(TODAY()),MONTH(TODAY())+8,1))-MONTH(Tools!$Q51)),Tools!$U51)=0,OR(Tools!$L51="",EDATE(Tools!$Q51,((YEAR(DATE(YEAR(TODAY()),MONTH(TODAY())+8,1))-YEAR(Tools!$Q51))*12+MONTH(DATE(YEAR(TODAY()),MONTH(TODAY())+8,1))-MONTH(Tools!$Q51)))&lt;Tools!$L51)),Tools!$N51,""))</f>
        <v/>
      </c>
      <c r="L52" s="30">
        <f>IF(OR(Tools!$B51="",Tools!$Q51=""),"",IF(AND(((YEAR(DATE(YEAR(TODAY()),MONTH(TODAY())+9,1))-YEAR(Tools!$Q51))*12+MONTH(DATE(YEAR(TODAY()),MONTH(TODAY())+9,1))-MONTH(Tools!$Q51))&gt;=0,MOD(((YEAR(DATE(YEAR(TODAY()),MONTH(TODAY())+9,1))-YEAR(Tools!$Q51))*12+MONTH(DATE(YEAR(TODAY()),MONTH(TODAY())+9,1))-MONTH(Tools!$Q51)),Tools!$U51)=0,OR(Tools!$L51="",EDATE(Tools!$Q51,((YEAR(DATE(YEAR(TODAY()),MONTH(TODAY())+9,1))-YEAR(Tools!$Q51))*12+MONTH(DATE(YEAR(TODAY()),MONTH(TODAY())+9,1))-MONTH(Tools!$Q51)))&lt;Tools!$L51)),Tools!$N51,""))</f>
        <v/>
      </c>
      <c r="M52" s="30">
        <f>IF(OR(Tools!$B51="",Tools!$Q51=""),"",IF(AND(((YEAR(DATE(YEAR(TODAY()),MONTH(TODAY())+10,1))-YEAR(Tools!$Q51))*12+MONTH(DATE(YEAR(TODAY()),MONTH(TODAY())+10,1))-MONTH(Tools!$Q51))&gt;=0,MOD(((YEAR(DATE(YEAR(TODAY()),MONTH(TODAY())+10,1))-YEAR(Tools!$Q51))*12+MONTH(DATE(YEAR(TODAY()),MONTH(TODAY())+10,1))-MONTH(Tools!$Q51)),Tools!$U51)=0,OR(Tools!$L51="",EDATE(Tools!$Q51,((YEAR(DATE(YEAR(TODAY()),MONTH(TODAY())+10,1))-YEAR(Tools!$Q51))*12+MONTH(DATE(YEAR(TODAY()),MONTH(TODAY())+10,1))-MONTH(Tools!$Q51)))&lt;Tools!$L51)),Tools!$N51,""))</f>
        <v/>
      </c>
      <c r="N52" s="30">
        <f>IF(OR(Tools!$B51="",Tools!$Q51=""),"",IF(AND(((YEAR(DATE(YEAR(TODAY()),MONTH(TODAY())+11,1))-YEAR(Tools!$Q51))*12+MONTH(DATE(YEAR(TODAY()),MONTH(TODAY())+11,1))-MONTH(Tools!$Q51))&gt;=0,MOD(((YEAR(DATE(YEAR(TODAY()),MONTH(TODAY())+11,1))-YEAR(Tools!$Q51))*12+MONTH(DATE(YEAR(TODAY()),MONTH(TODAY())+11,1))-MONTH(Tools!$Q51)),Tools!$U51)=0,OR(Tools!$L51="",EDATE(Tools!$Q51,((YEAR(DATE(YEAR(TODAY()),MONTH(TODAY())+11,1))-YEAR(Tools!$Q51))*12+MONTH(DATE(YEAR(TODAY()),MONTH(TODAY())+11,1))-MONTH(Tools!$Q51)))&lt;Tools!$L51)),Tools!$N51,""))</f>
        <v/>
      </c>
      <c r="O52" s="31">
        <f>IF(B52="","",SUM(C52:N52))</f>
        <v/>
      </c>
      <c r="P52" s="1" t="n"/>
    </row>
    <row r="53">
      <c r="A53" s="1" t="n"/>
      <c r="B53" s="11">
        <f>IF(Tools!B52="","",Tools!B52)</f>
        <v/>
      </c>
      <c r="C53" s="30">
        <f>IF(OR(Tools!$B52="",Tools!$Q52=""),"",IF(AND(((YEAR(DATE(YEAR(TODAY()),MONTH(TODAY())+0,1))-YEAR(Tools!$Q52))*12+MONTH(DATE(YEAR(TODAY()),MONTH(TODAY())+0,1))-MONTH(Tools!$Q52))&gt;=0,MOD(((YEAR(DATE(YEAR(TODAY()),MONTH(TODAY())+0,1))-YEAR(Tools!$Q52))*12+MONTH(DATE(YEAR(TODAY()),MONTH(TODAY())+0,1))-MONTH(Tools!$Q52)),Tools!$U52)=0,OR(Tools!$L52="",EDATE(Tools!$Q52,((YEAR(DATE(YEAR(TODAY()),MONTH(TODAY())+0,1))-YEAR(Tools!$Q52))*12+MONTH(DATE(YEAR(TODAY()),MONTH(TODAY())+0,1))-MONTH(Tools!$Q52)))&lt;Tools!$L52)),Tools!$N52,""))</f>
        <v/>
      </c>
      <c r="D53" s="30">
        <f>IF(OR(Tools!$B52="",Tools!$Q52=""),"",IF(AND(((YEAR(DATE(YEAR(TODAY()),MONTH(TODAY())+1,1))-YEAR(Tools!$Q52))*12+MONTH(DATE(YEAR(TODAY()),MONTH(TODAY())+1,1))-MONTH(Tools!$Q52))&gt;=0,MOD(((YEAR(DATE(YEAR(TODAY()),MONTH(TODAY())+1,1))-YEAR(Tools!$Q52))*12+MONTH(DATE(YEAR(TODAY()),MONTH(TODAY())+1,1))-MONTH(Tools!$Q52)),Tools!$U52)=0,OR(Tools!$L52="",EDATE(Tools!$Q52,((YEAR(DATE(YEAR(TODAY()),MONTH(TODAY())+1,1))-YEAR(Tools!$Q52))*12+MONTH(DATE(YEAR(TODAY()),MONTH(TODAY())+1,1))-MONTH(Tools!$Q52)))&lt;Tools!$L52)),Tools!$N52,""))</f>
        <v/>
      </c>
      <c r="E53" s="30">
        <f>IF(OR(Tools!$B52="",Tools!$Q52=""),"",IF(AND(((YEAR(DATE(YEAR(TODAY()),MONTH(TODAY())+2,1))-YEAR(Tools!$Q52))*12+MONTH(DATE(YEAR(TODAY()),MONTH(TODAY())+2,1))-MONTH(Tools!$Q52))&gt;=0,MOD(((YEAR(DATE(YEAR(TODAY()),MONTH(TODAY())+2,1))-YEAR(Tools!$Q52))*12+MONTH(DATE(YEAR(TODAY()),MONTH(TODAY())+2,1))-MONTH(Tools!$Q52)),Tools!$U52)=0,OR(Tools!$L52="",EDATE(Tools!$Q52,((YEAR(DATE(YEAR(TODAY()),MONTH(TODAY())+2,1))-YEAR(Tools!$Q52))*12+MONTH(DATE(YEAR(TODAY()),MONTH(TODAY())+2,1))-MONTH(Tools!$Q52)))&lt;Tools!$L52)),Tools!$N52,""))</f>
        <v/>
      </c>
      <c r="F53" s="30">
        <f>IF(OR(Tools!$B52="",Tools!$Q52=""),"",IF(AND(((YEAR(DATE(YEAR(TODAY()),MONTH(TODAY())+3,1))-YEAR(Tools!$Q52))*12+MONTH(DATE(YEAR(TODAY()),MONTH(TODAY())+3,1))-MONTH(Tools!$Q52))&gt;=0,MOD(((YEAR(DATE(YEAR(TODAY()),MONTH(TODAY())+3,1))-YEAR(Tools!$Q52))*12+MONTH(DATE(YEAR(TODAY()),MONTH(TODAY())+3,1))-MONTH(Tools!$Q52)),Tools!$U52)=0,OR(Tools!$L52="",EDATE(Tools!$Q52,((YEAR(DATE(YEAR(TODAY()),MONTH(TODAY())+3,1))-YEAR(Tools!$Q52))*12+MONTH(DATE(YEAR(TODAY()),MONTH(TODAY())+3,1))-MONTH(Tools!$Q52)))&lt;Tools!$L52)),Tools!$N52,""))</f>
        <v/>
      </c>
      <c r="G53" s="30">
        <f>IF(OR(Tools!$B52="",Tools!$Q52=""),"",IF(AND(((YEAR(DATE(YEAR(TODAY()),MONTH(TODAY())+4,1))-YEAR(Tools!$Q52))*12+MONTH(DATE(YEAR(TODAY()),MONTH(TODAY())+4,1))-MONTH(Tools!$Q52))&gt;=0,MOD(((YEAR(DATE(YEAR(TODAY()),MONTH(TODAY())+4,1))-YEAR(Tools!$Q52))*12+MONTH(DATE(YEAR(TODAY()),MONTH(TODAY())+4,1))-MONTH(Tools!$Q52)),Tools!$U52)=0,OR(Tools!$L52="",EDATE(Tools!$Q52,((YEAR(DATE(YEAR(TODAY()),MONTH(TODAY())+4,1))-YEAR(Tools!$Q52))*12+MONTH(DATE(YEAR(TODAY()),MONTH(TODAY())+4,1))-MONTH(Tools!$Q52)))&lt;Tools!$L52)),Tools!$N52,""))</f>
        <v/>
      </c>
      <c r="H53" s="30">
        <f>IF(OR(Tools!$B52="",Tools!$Q52=""),"",IF(AND(((YEAR(DATE(YEAR(TODAY()),MONTH(TODAY())+5,1))-YEAR(Tools!$Q52))*12+MONTH(DATE(YEAR(TODAY()),MONTH(TODAY())+5,1))-MONTH(Tools!$Q52))&gt;=0,MOD(((YEAR(DATE(YEAR(TODAY()),MONTH(TODAY())+5,1))-YEAR(Tools!$Q52))*12+MONTH(DATE(YEAR(TODAY()),MONTH(TODAY())+5,1))-MONTH(Tools!$Q52)),Tools!$U52)=0,OR(Tools!$L52="",EDATE(Tools!$Q52,((YEAR(DATE(YEAR(TODAY()),MONTH(TODAY())+5,1))-YEAR(Tools!$Q52))*12+MONTH(DATE(YEAR(TODAY()),MONTH(TODAY())+5,1))-MONTH(Tools!$Q52)))&lt;Tools!$L52)),Tools!$N52,""))</f>
        <v/>
      </c>
      <c r="I53" s="30">
        <f>IF(OR(Tools!$B52="",Tools!$Q52=""),"",IF(AND(((YEAR(DATE(YEAR(TODAY()),MONTH(TODAY())+6,1))-YEAR(Tools!$Q52))*12+MONTH(DATE(YEAR(TODAY()),MONTH(TODAY())+6,1))-MONTH(Tools!$Q52))&gt;=0,MOD(((YEAR(DATE(YEAR(TODAY()),MONTH(TODAY())+6,1))-YEAR(Tools!$Q52))*12+MONTH(DATE(YEAR(TODAY()),MONTH(TODAY())+6,1))-MONTH(Tools!$Q52)),Tools!$U52)=0,OR(Tools!$L52="",EDATE(Tools!$Q52,((YEAR(DATE(YEAR(TODAY()),MONTH(TODAY())+6,1))-YEAR(Tools!$Q52))*12+MONTH(DATE(YEAR(TODAY()),MONTH(TODAY())+6,1))-MONTH(Tools!$Q52)))&lt;Tools!$L52)),Tools!$N52,""))</f>
        <v/>
      </c>
      <c r="J53" s="30">
        <f>IF(OR(Tools!$B52="",Tools!$Q52=""),"",IF(AND(((YEAR(DATE(YEAR(TODAY()),MONTH(TODAY())+7,1))-YEAR(Tools!$Q52))*12+MONTH(DATE(YEAR(TODAY()),MONTH(TODAY())+7,1))-MONTH(Tools!$Q52))&gt;=0,MOD(((YEAR(DATE(YEAR(TODAY()),MONTH(TODAY())+7,1))-YEAR(Tools!$Q52))*12+MONTH(DATE(YEAR(TODAY()),MONTH(TODAY())+7,1))-MONTH(Tools!$Q52)),Tools!$U52)=0,OR(Tools!$L52="",EDATE(Tools!$Q52,((YEAR(DATE(YEAR(TODAY()),MONTH(TODAY())+7,1))-YEAR(Tools!$Q52))*12+MONTH(DATE(YEAR(TODAY()),MONTH(TODAY())+7,1))-MONTH(Tools!$Q52)))&lt;Tools!$L52)),Tools!$N52,""))</f>
        <v/>
      </c>
      <c r="K53" s="30">
        <f>IF(OR(Tools!$B52="",Tools!$Q52=""),"",IF(AND(((YEAR(DATE(YEAR(TODAY()),MONTH(TODAY())+8,1))-YEAR(Tools!$Q52))*12+MONTH(DATE(YEAR(TODAY()),MONTH(TODAY())+8,1))-MONTH(Tools!$Q52))&gt;=0,MOD(((YEAR(DATE(YEAR(TODAY()),MONTH(TODAY())+8,1))-YEAR(Tools!$Q52))*12+MONTH(DATE(YEAR(TODAY()),MONTH(TODAY())+8,1))-MONTH(Tools!$Q52)),Tools!$U52)=0,OR(Tools!$L52="",EDATE(Tools!$Q52,((YEAR(DATE(YEAR(TODAY()),MONTH(TODAY())+8,1))-YEAR(Tools!$Q52))*12+MONTH(DATE(YEAR(TODAY()),MONTH(TODAY())+8,1))-MONTH(Tools!$Q52)))&lt;Tools!$L52)),Tools!$N52,""))</f>
        <v/>
      </c>
      <c r="L53" s="30">
        <f>IF(OR(Tools!$B52="",Tools!$Q52=""),"",IF(AND(((YEAR(DATE(YEAR(TODAY()),MONTH(TODAY())+9,1))-YEAR(Tools!$Q52))*12+MONTH(DATE(YEAR(TODAY()),MONTH(TODAY())+9,1))-MONTH(Tools!$Q52))&gt;=0,MOD(((YEAR(DATE(YEAR(TODAY()),MONTH(TODAY())+9,1))-YEAR(Tools!$Q52))*12+MONTH(DATE(YEAR(TODAY()),MONTH(TODAY())+9,1))-MONTH(Tools!$Q52)),Tools!$U52)=0,OR(Tools!$L52="",EDATE(Tools!$Q52,((YEAR(DATE(YEAR(TODAY()),MONTH(TODAY())+9,1))-YEAR(Tools!$Q52))*12+MONTH(DATE(YEAR(TODAY()),MONTH(TODAY())+9,1))-MONTH(Tools!$Q52)))&lt;Tools!$L52)),Tools!$N52,""))</f>
        <v/>
      </c>
      <c r="M53" s="30">
        <f>IF(OR(Tools!$B52="",Tools!$Q52=""),"",IF(AND(((YEAR(DATE(YEAR(TODAY()),MONTH(TODAY())+10,1))-YEAR(Tools!$Q52))*12+MONTH(DATE(YEAR(TODAY()),MONTH(TODAY())+10,1))-MONTH(Tools!$Q52))&gt;=0,MOD(((YEAR(DATE(YEAR(TODAY()),MONTH(TODAY())+10,1))-YEAR(Tools!$Q52))*12+MONTH(DATE(YEAR(TODAY()),MONTH(TODAY())+10,1))-MONTH(Tools!$Q52)),Tools!$U52)=0,OR(Tools!$L52="",EDATE(Tools!$Q52,((YEAR(DATE(YEAR(TODAY()),MONTH(TODAY())+10,1))-YEAR(Tools!$Q52))*12+MONTH(DATE(YEAR(TODAY()),MONTH(TODAY())+10,1))-MONTH(Tools!$Q52)))&lt;Tools!$L52)),Tools!$N52,""))</f>
        <v/>
      </c>
      <c r="N53" s="30">
        <f>IF(OR(Tools!$B52="",Tools!$Q52=""),"",IF(AND(((YEAR(DATE(YEAR(TODAY()),MONTH(TODAY())+11,1))-YEAR(Tools!$Q52))*12+MONTH(DATE(YEAR(TODAY()),MONTH(TODAY())+11,1))-MONTH(Tools!$Q52))&gt;=0,MOD(((YEAR(DATE(YEAR(TODAY()),MONTH(TODAY())+11,1))-YEAR(Tools!$Q52))*12+MONTH(DATE(YEAR(TODAY()),MONTH(TODAY())+11,1))-MONTH(Tools!$Q52)),Tools!$U52)=0,OR(Tools!$L52="",EDATE(Tools!$Q52,((YEAR(DATE(YEAR(TODAY()),MONTH(TODAY())+11,1))-YEAR(Tools!$Q52))*12+MONTH(DATE(YEAR(TODAY()),MONTH(TODAY())+11,1))-MONTH(Tools!$Q52)))&lt;Tools!$L52)),Tools!$N52,""))</f>
        <v/>
      </c>
      <c r="O53" s="31">
        <f>IF(B53="","",SUM(C53:N53))</f>
        <v/>
      </c>
      <c r="P53" s="1" t="n"/>
    </row>
    <row r="54">
      <c r="A54" s="1" t="n"/>
      <c r="B54" s="11">
        <f>IF(Tools!B53="","",Tools!B53)</f>
        <v/>
      </c>
      <c r="C54" s="30">
        <f>IF(OR(Tools!$B53="",Tools!$Q53=""),"",IF(AND(((YEAR(DATE(YEAR(TODAY()),MONTH(TODAY())+0,1))-YEAR(Tools!$Q53))*12+MONTH(DATE(YEAR(TODAY()),MONTH(TODAY())+0,1))-MONTH(Tools!$Q53))&gt;=0,MOD(((YEAR(DATE(YEAR(TODAY()),MONTH(TODAY())+0,1))-YEAR(Tools!$Q53))*12+MONTH(DATE(YEAR(TODAY()),MONTH(TODAY())+0,1))-MONTH(Tools!$Q53)),Tools!$U53)=0,OR(Tools!$L53="",EDATE(Tools!$Q53,((YEAR(DATE(YEAR(TODAY()),MONTH(TODAY())+0,1))-YEAR(Tools!$Q53))*12+MONTH(DATE(YEAR(TODAY()),MONTH(TODAY())+0,1))-MONTH(Tools!$Q53)))&lt;Tools!$L53)),Tools!$N53,""))</f>
        <v/>
      </c>
      <c r="D54" s="30">
        <f>IF(OR(Tools!$B53="",Tools!$Q53=""),"",IF(AND(((YEAR(DATE(YEAR(TODAY()),MONTH(TODAY())+1,1))-YEAR(Tools!$Q53))*12+MONTH(DATE(YEAR(TODAY()),MONTH(TODAY())+1,1))-MONTH(Tools!$Q53))&gt;=0,MOD(((YEAR(DATE(YEAR(TODAY()),MONTH(TODAY())+1,1))-YEAR(Tools!$Q53))*12+MONTH(DATE(YEAR(TODAY()),MONTH(TODAY())+1,1))-MONTH(Tools!$Q53)),Tools!$U53)=0,OR(Tools!$L53="",EDATE(Tools!$Q53,((YEAR(DATE(YEAR(TODAY()),MONTH(TODAY())+1,1))-YEAR(Tools!$Q53))*12+MONTH(DATE(YEAR(TODAY()),MONTH(TODAY())+1,1))-MONTH(Tools!$Q53)))&lt;Tools!$L53)),Tools!$N53,""))</f>
        <v/>
      </c>
      <c r="E54" s="30">
        <f>IF(OR(Tools!$B53="",Tools!$Q53=""),"",IF(AND(((YEAR(DATE(YEAR(TODAY()),MONTH(TODAY())+2,1))-YEAR(Tools!$Q53))*12+MONTH(DATE(YEAR(TODAY()),MONTH(TODAY())+2,1))-MONTH(Tools!$Q53))&gt;=0,MOD(((YEAR(DATE(YEAR(TODAY()),MONTH(TODAY())+2,1))-YEAR(Tools!$Q53))*12+MONTH(DATE(YEAR(TODAY()),MONTH(TODAY())+2,1))-MONTH(Tools!$Q53)),Tools!$U53)=0,OR(Tools!$L53="",EDATE(Tools!$Q53,((YEAR(DATE(YEAR(TODAY()),MONTH(TODAY())+2,1))-YEAR(Tools!$Q53))*12+MONTH(DATE(YEAR(TODAY()),MONTH(TODAY())+2,1))-MONTH(Tools!$Q53)))&lt;Tools!$L53)),Tools!$N53,""))</f>
        <v/>
      </c>
      <c r="F54" s="30">
        <f>IF(OR(Tools!$B53="",Tools!$Q53=""),"",IF(AND(((YEAR(DATE(YEAR(TODAY()),MONTH(TODAY())+3,1))-YEAR(Tools!$Q53))*12+MONTH(DATE(YEAR(TODAY()),MONTH(TODAY())+3,1))-MONTH(Tools!$Q53))&gt;=0,MOD(((YEAR(DATE(YEAR(TODAY()),MONTH(TODAY())+3,1))-YEAR(Tools!$Q53))*12+MONTH(DATE(YEAR(TODAY()),MONTH(TODAY())+3,1))-MONTH(Tools!$Q53)),Tools!$U53)=0,OR(Tools!$L53="",EDATE(Tools!$Q53,((YEAR(DATE(YEAR(TODAY()),MONTH(TODAY())+3,1))-YEAR(Tools!$Q53))*12+MONTH(DATE(YEAR(TODAY()),MONTH(TODAY())+3,1))-MONTH(Tools!$Q53)))&lt;Tools!$L53)),Tools!$N53,""))</f>
        <v/>
      </c>
      <c r="G54" s="30">
        <f>IF(OR(Tools!$B53="",Tools!$Q53=""),"",IF(AND(((YEAR(DATE(YEAR(TODAY()),MONTH(TODAY())+4,1))-YEAR(Tools!$Q53))*12+MONTH(DATE(YEAR(TODAY()),MONTH(TODAY())+4,1))-MONTH(Tools!$Q53))&gt;=0,MOD(((YEAR(DATE(YEAR(TODAY()),MONTH(TODAY())+4,1))-YEAR(Tools!$Q53))*12+MONTH(DATE(YEAR(TODAY()),MONTH(TODAY())+4,1))-MONTH(Tools!$Q53)),Tools!$U53)=0,OR(Tools!$L53="",EDATE(Tools!$Q53,((YEAR(DATE(YEAR(TODAY()),MONTH(TODAY())+4,1))-YEAR(Tools!$Q53))*12+MONTH(DATE(YEAR(TODAY()),MONTH(TODAY())+4,1))-MONTH(Tools!$Q53)))&lt;Tools!$L53)),Tools!$N53,""))</f>
        <v/>
      </c>
      <c r="H54" s="30">
        <f>IF(OR(Tools!$B53="",Tools!$Q53=""),"",IF(AND(((YEAR(DATE(YEAR(TODAY()),MONTH(TODAY())+5,1))-YEAR(Tools!$Q53))*12+MONTH(DATE(YEAR(TODAY()),MONTH(TODAY())+5,1))-MONTH(Tools!$Q53))&gt;=0,MOD(((YEAR(DATE(YEAR(TODAY()),MONTH(TODAY())+5,1))-YEAR(Tools!$Q53))*12+MONTH(DATE(YEAR(TODAY()),MONTH(TODAY())+5,1))-MONTH(Tools!$Q53)),Tools!$U53)=0,OR(Tools!$L53="",EDATE(Tools!$Q53,((YEAR(DATE(YEAR(TODAY()),MONTH(TODAY())+5,1))-YEAR(Tools!$Q53))*12+MONTH(DATE(YEAR(TODAY()),MONTH(TODAY())+5,1))-MONTH(Tools!$Q53)))&lt;Tools!$L53)),Tools!$N53,""))</f>
        <v/>
      </c>
      <c r="I54" s="30">
        <f>IF(OR(Tools!$B53="",Tools!$Q53=""),"",IF(AND(((YEAR(DATE(YEAR(TODAY()),MONTH(TODAY())+6,1))-YEAR(Tools!$Q53))*12+MONTH(DATE(YEAR(TODAY()),MONTH(TODAY())+6,1))-MONTH(Tools!$Q53))&gt;=0,MOD(((YEAR(DATE(YEAR(TODAY()),MONTH(TODAY())+6,1))-YEAR(Tools!$Q53))*12+MONTH(DATE(YEAR(TODAY()),MONTH(TODAY())+6,1))-MONTH(Tools!$Q53)),Tools!$U53)=0,OR(Tools!$L53="",EDATE(Tools!$Q53,((YEAR(DATE(YEAR(TODAY()),MONTH(TODAY())+6,1))-YEAR(Tools!$Q53))*12+MONTH(DATE(YEAR(TODAY()),MONTH(TODAY())+6,1))-MONTH(Tools!$Q53)))&lt;Tools!$L53)),Tools!$N53,""))</f>
        <v/>
      </c>
      <c r="J54" s="30">
        <f>IF(OR(Tools!$B53="",Tools!$Q53=""),"",IF(AND(((YEAR(DATE(YEAR(TODAY()),MONTH(TODAY())+7,1))-YEAR(Tools!$Q53))*12+MONTH(DATE(YEAR(TODAY()),MONTH(TODAY())+7,1))-MONTH(Tools!$Q53))&gt;=0,MOD(((YEAR(DATE(YEAR(TODAY()),MONTH(TODAY())+7,1))-YEAR(Tools!$Q53))*12+MONTH(DATE(YEAR(TODAY()),MONTH(TODAY())+7,1))-MONTH(Tools!$Q53)),Tools!$U53)=0,OR(Tools!$L53="",EDATE(Tools!$Q53,((YEAR(DATE(YEAR(TODAY()),MONTH(TODAY())+7,1))-YEAR(Tools!$Q53))*12+MONTH(DATE(YEAR(TODAY()),MONTH(TODAY())+7,1))-MONTH(Tools!$Q53)))&lt;Tools!$L53)),Tools!$N53,""))</f>
        <v/>
      </c>
      <c r="K54" s="30">
        <f>IF(OR(Tools!$B53="",Tools!$Q53=""),"",IF(AND(((YEAR(DATE(YEAR(TODAY()),MONTH(TODAY())+8,1))-YEAR(Tools!$Q53))*12+MONTH(DATE(YEAR(TODAY()),MONTH(TODAY())+8,1))-MONTH(Tools!$Q53))&gt;=0,MOD(((YEAR(DATE(YEAR(TODAY()),MONTH(TODAY())+8,1))-YEAR(Tools!$Q53))*12+MONTH(DATE(YEAR(TODAY()),MONTH(TODAY())+8,1))-MONTH(Tools!$Q53)),Tools!$U53)=0,OR(Tools!$L53="",EDATE(Tools!$Q53,((YEAR(DATE(YEAR(TODAY()),MONTH(TODAY())+8,1))-YEAR(Tools!$Q53))*12+MONTH(DATE(YEAR(TODAY()),MONTH(TODAY())+8,1))-MONTH(Tools!$Q53)))&lt;Tools!$L53)),Tools!$N53,""))</f>
        <v/>
      </c>
      <c r="L54" s="30">
        <f>IF(OR(Tools!$B53="",Tools!$Q53=""),"",IF(AND(((YEAR(DATE(YEAR(TODAY()),MONTH(TODAY())+9,1))-YEAR(Tools!$Q53))*12+MONTH(DATE(YEAR(TODAY()),MONTH(TODAY())+9,1))-MONTH(Tools!$Q53))&gt;=0,MOD(((YEAR(DATE(YEAR(TODAY()),MONTH(TODAY())+9,1))-YEAR(Tools!$Q53))*12+MONTH(DATE(YEAR(TODAY()),MONTH(TODAY())+9,1))-MONTH(Tools!$Q53)),Tools!$U53)=0,OR(Tools!$L53="",EDATE(Tools!$Q53,((YEAR(DATE(YEAR(TODAY()),MONTH(TODAY())+9,1))-YEAR(Tools!$Q53))*12+MONTH(DATE(YEAR(TODAY()),MONTH(TODAY())+9,1))-MONTH(Tools!$Q53)))&lt;Tools!$L53)),Tools!$N53,""))</f>
        <v/>
      </c>
      <c r="M54" s="30">
        <f>IF(OR(Tools!$B53="",Tools!$Q53=""),"",IF(AND(((YEAR(DATE(YEAR(TODAY()),MONTH(TODAY())+10,1))-YEAR(Tools!$Q53))*12+MONTH(DATE(YEAR(TODAY()),MONTH(TODAY())+10,1))-MONTH(Tools!$Q53))&gt;=0,MOD(((YEAR(DATE(YEAR(TODAY()),MONTH(TODAY())+10,1))-YEAR(Tools!$Q53))*12+MONTH(DATE(YEAR(TODAY()),MONTH(TODAY())+10,1))-MONTH(Tools!$Q53)),Tools!$U53)=0,OR(Tools!$L53="",EDATE(Tools!$Q53,((YEAR(DATE(YEAR(TODAY()),MONTH(TODAY())+10,1))-YEAR(Tools!$Q53))*12+MONTH(DATE(YEAR(TODAY()),MONTH(TODAY())+10,1))-MONTH(Tools!$Q53)))&lt;Tools!$L53)),Tools!$N53,""))</f>
        <v/>
      </c>
      <c r="N54" s="30">
        <f>IF(OR(Tools!$B53="",Tools!$Q53=""),"",IF(AND(((YEAR(DATE(YEAR(TODAY()),MONTH(TODAY())+11,1))-YEAR(Tools!$Q53))*12+MONTH(DATE(YEAR(TODAY()),MONTH(TODAY())+11,1))-MONTH(Tools!$Q53))&gt;=0,MOD(((YEAR(DATE(YEAR(TODAY()),MONTH(TODAY())+11,1))-YEAR(Tools!$Q53))*12+MONTH(DATE(YEAR(TODAY()),MONTH(TODAY())+11,1))-MONTH(Tools!$Q53)),Tools!$U53)=0,OR(Tools!$L53="",EDATE(Tools!$Q53,((YEAR(DATE(YEAR(TODAY()),MONTH(TODAY())+11,1))-YEAR(Tools!$Q53))*12+MONTH(DATE(YEAR(TODAY()),MONTH(TODAY())+11,1))-MONTH(Tools!$Q53)))&lt;Tools!$L53)),Tools!$N53,""))</f>
        <v/>
      </c>
      <c r="O54" s="31">
        <f>IF(B54="","",SUM(C54:N54))</f>
        <v/>
      </c>
      <c r="P54" s="1" t="n"/>
    </row>
    <row r="55">
      <c r="A55" s="1" t="n"/>
      <c r="B55" s="11">
        <f>IF(Tools!B54="","",Tools!B54)</f>
        <v/>
      </c>
      <c r="C55" s="30">
        <f>IF(OR(Tools!$B54="",Tools!$Q54=""),"",IF(AND(((YEAR(DATE(YEAR(TODAY()),MONTH(TODAY())+0,1))-YEAR(Tools!$Q54))*12+MONTH(DATE(YEAR(TODAY()),MONTH(TODAY())+0,1))-MONTH(Tools!$Q54))&gt;=0,MOD(((YEAR(DATE(YEAR(TODAY()),MONTH(TODAY())+0,1))-YEAR(Tools!$Q54))*12+MONTH(DATE(YEAR(TODAY()),MONTH(TODAY())+0,1))-MONTH(Tools!$Q54)),Tools!$U54)=0,OR(Tools!$L54="",EDATE(Tools!$Q54,((YEAR(DATE(YEAR(TODAY()),MONTH(TODAY())+0,1))-YEAR(Tools!$Q54))*12+MONTH(DATE(YEAR(TODAY()),MONTH(TODAY())+0,1))-MONTH(Tools!$Q54)))&lt;Tools!$L54)),Tools!$N54,""))</f>
        <v/>
      </c>
      <c r="D55" s="30">
        <f>IF(OR(Tools!$B54="",Tools!$Q54=""),"",IF(AND(((YEAR(DATE(YEAR(TODAY()),MONTH(TODAY())+1,1))-YEAR(Tools!$Q54))*12+MONTH(DATE(YEAR(TODAY()),MONTH(TODAY())+1,1))-MONTH(Tools!$Q54))&gt;=0,MOD(((YEAR(DATE(YEAR(TODAY()),MONTH(TODAY())+1,1))-YEAR(Tools!$Q54))*12+MONTH(DATE(YEAR(TODAY()),MONTH(TODAY())+1,1))-MONTH(Tools!$Q54)),Tools!$U54)=0,OR(Tools!$L54="",EDATE(Tools!$Q54,((YEAR(DATE(YEAR(TODAY()),MONTH(TODAY())+1,1))-YEAR(Tools!$Q54))*12+MONTH(DATE(YEAR(TODAY()),MONTH(TODAY())+1,1))-MONTH(Tools!$Q54)))&lt;Tools!$L54)),Tools!$N54,""))</f>
        <v/>
      </c>
      <c r="E55" s="30">
        <f>IF(OR(Tools!$B54="",Tools!$Q54=""),"",IF(AND(((YEAR(DATE(YEAR(TODAY()),MONTH(TODAY())+2,1))-YEAR(Tools!$Q54))*12+MONTH(DATE(YEAR(TODAY()),MONTH(TODAY())+2,1))-MONTH(Tools!$Q54))&gt;=0,MOD(((YEAR(DATE(YEAR(TODAY()),MONTH(TODAY())+2,1))-YEAR(Tools!$Q54))*12+MONTH(DATE(YEAR(TODAY()),MONTH(TODAY())+2,1))-MONTH(Tools!$Q54)),Tools!$U54)=0,OR(Tools!$L54="",EDATE(Tools!$Q54,((YEAR(DATE(YEAR(TODAY()),MONTH(TODAY())+2,1))-YEAR(Tools!$Q54))*12+MONTH(DATE(YEAR(TODAY()),MONTH(TODAY())+2,1))-MONTH(Tools!$Q54)))&lt;Tools!$L54)),Tools!$N54,""))</f>
        <v/>
      </c>
      <c r="F55" s="30">
        <f>IF(OR(Tools!$B54="",Tools!$Q54=""),"",IF(AND(((YEAR(DATE(YEAR(TODAY()),MONTH(TODAY())+3,1))-YEAR(Tools!$Q54))*12+MONTH(DATE(YEAR(TODAY()),MONTH(TODAY())+3,1))-MONTH(Tools!$Q54))&gt;=0,MOD(((YEAR(DATE(YEAR(TODAY()),MONTH(TODAY())+3,1))-YEAR(Tools!$Q54))*12+MONTH(DATE(YEAR(TODAY()),MONTH(TODAY())+3,1))-MONTH(Tools!$Q54)),Tools!$U54)=0,OR(Tools!$L54="",EDATE(Tools!$Q54,((YEAR(DATE(YEAR(TODAY()),MONTH(TODAY())+3,1))-YEAR(Tools!$Q54))*12+MONTH(DATE(YEAR(TODAY()),MONTH(TODAY())+3,1))-MONTH(Tools!$Q54)))&lt;Tools!$L54)),Tools!$N54,""))</f>
        <v/>
      </c>
      <c r="G55" s="30">
        <f>IF(OR(Tools!$B54="",Tools!$Q54=""),"",IF(AND(((YEAR(DATE(YEAR(TODAY()),MONTH(TODAY())+4,1))-YEAR(Tools!$Q54))*12+MONTH(DATE(YEAR(TODAY()),MONTH(TODAY())+4,1))-MONTH(Tools!$Q54))&gt;=0,MOD(((YEAR(DATE(YEAR(TODAY()),MONTH(TODAY())+4,1))-YEAR(Tools!$Q54))*12+MONTH(DATE(YEAR(TODAY()),MONTH(TODAY())+4,1))-MONTH(Tools!$Q54)),Tools!$U54)=0,OR(Tools!$L54="",EDATE(Tools!$Q54,((YEAR(DATE(YEAR(TODAY()),MONTH(TODAY())+4,1))-YEAR(Tools!$Q54))*12+MONTH(DATE(YEAR(TODAY()),MONTH(TODAY())+4,1))-MONTH(Tools!$Q54)))&lt;Tools!$L54)),Tools!$N54,""))</f>
        <v/>
      </c>
      <c r="H55" s="30">
        <f>IF(OR(Tools!$B54="",Tools!$Q54=""),"",IF(AND(((YEAR(DATE(YEAR(TODAY()),MONTH(TODAY())+5,1))-YEAR(Tools!$Q54))*12+MONTH(DATE(YEAR(TODAY()),MONTH(TODAY())+5,1))-MONTH(Tools!$Q54))&gt;=0,MOD(((YEAR(DATE(YEAR(TODAY()),MONTH(TODAY())+5,1))-YEAR(Tools!$Q54))*12+MONTH(DATE(YEAR(TODAY()),MONTH(TODAY())+5,1))-MONTH(Tools!$Q54)),Tools!$U54)=0,OR(Tools!$L54="",EDATE(Tools!$Q54,((YEAR(DATE(YEAR(TODAY()),MONTH(TODAY())+5,1))-YEAR(Tools!$Q54))*12+MONTH(DATE(YEAR(TODAY()),MONTH(TODAY())+5,1))-MONTH(Tools!$Q54)))&lt;Tools!$L54)),Tools!$N54,""))</f>
        <v/>
      </c>
      <c r="I55" s="30">
        <f>IF(OR(Tools!$B54="",Tools!$Q54=""),"",IF(AND(((YEAR(DATE(YEAR(TODAY()),MONTH(TODAY())+6,1))-YEAR(Tools!$Q54))*12+MONTH(DATE(YEAR(TODAY()),MONTH(TODAY())+6,1))-MONTH(Tools!$Q54))&gt;=0,MOD(((YEAR(DATE(YEAR(TODAY()),MONTH(TODAY())+6,1))-YEAR(Tools!$Q54))*12+MONTH(DATE(YEAR(TODAY()),MONTH(TODAY())+6,1))-MONTH(Tools!$Q54)),Tools!$U54)=0,OR(Tools!$L54="",EDATE(Tools!$Q54,((YEAR(DATE(YEAR(TODAY()),MONTH(TODAY())+6,1))-YEAR(Tools!$Q54))*12+MONTH(DATE(YEAR(TODAY()),MONTH(TODAY())+6,1))-MONTH(Tools!$Q54)))&lt;Tools!$L54)),Tools!$N54,""))</f>
        <v/>
      </c>
      <c r="J55" s="30">
        <f>IF(OR(Tools!$B54="",Tools!$Q54=""),"",IF(AND(((YEAR(DATE(YEAR(TODAY()),MONTH(TODAY())+7,1))-YEAR(Tools!$Q54))*12+MONTH(DATE(YEAR(TODAY()),MONTH(TODAY())+7,1))-MONTH(Tools!$Q54))&gt;=0,MOD(((YEAR(DATE(YEAR(TODAY()),MONTH(TODAY())+7,1))-YEAR(Tools!$Q54))*12+MONTH(DATE(YEAR(TODAY()),MONTH(TODAY())+7,1))-MONTH(Tools!$Q54)),Tools!$U54)=0,OR(Tools!$L54="",EDATE(Tools!$Q54,((YEAR(DATE(YEAR(TODAY()),MONTH(TODAY())+7,1))-YEAR(Tools!$Q54))*12+MONTH(DATE(YEAR(TODAY()),MONTH(TODAY())+7,1))-MONTH(Tools!$Q54)))&lt;Tools!$L54)),Tools!$N54,""))</f>
        <v/>
      </c>
      <c r="K55" s="30">
        <f>IF(OR(Tools!$B54="",Tools!$Q54=""),"",IF(AND(((YEAR(DATE(YEAR(TODAY()),MONTH(TODAY())+8,1))-YEAR(Tools!$Q54))*12+MONTH(DATE(YEAR(TODAY()),MONTH(TODAY())+8,1))-MONTH(Tools!$Q54))&gt;=0,MOD(((YEAR(DATE(YEAR(TODAY()),MONTH(TODAY())+8,1))-YEAR(Tools!$Q54))*12+MONTH(DATE(YEAR(TODAY()),MONTH(TODAY())+8,1))-MONTH(Tools!$Q54)),Tools!$U54)=0,OR(Tools!$L54="",EDATE(Tools!$Q54,((YEAR(DATE(YEAR(TODAY()),MONTH(TODAY())+8,1))-YEAR(Tools!$Q54))*12+MONTH(DATE(YEAR(TODAY()),MONTH(TODAY())+8,1))-MONTH(Tools!$Q54)))&lt;Tools!$L54)),Tools!$N54,""))</f>
        <v/>
      </c>
      <c r="L55" s="30">
        <f>IF(OR(Tools!$B54="",Tools!$Q54=""),"",IF(AND(((YEAR(DATE(YEAR(TODAY()),MONTH(TODAY())+9,1))-YEAR(Tools!$Q54))*12+MONTH(DATE(YEAR(TODAY()),MONTH(TODAY())+9,1))-MONTH(Tools!$Q54))&gt;=0,MOD(((YEAR(DATE(YEAR(TODAY()),MONTH(TODAY())+9,1))-YEAR(Tools!$Q54))*12+MONTH(DATE(YEAR(TODAY()),MONTH(TODAY())+9,1))-MONTH(Tools!$Q54)),Tools!$U54)=0,OR(Tools!$L54="",EDATE(Tools!$Q54,((YEAR(DATE(YEAR(TODAY()),MONTH(TODAY())+9,1))-YEAR(Tools!$Q54))*12+MONTH(DATE(YEAR(TODAY()),MONTH(TODAY())+9,1))-MONTH(Tools!$Q54)))&lt;Tools!$L54)),Tools!$N54,""))</f>
        <v/>
      </c>
      <c r="M55" s="30">
        <f>IF(OR(Tools!$B54="",Tools!$Q54=""),"",IF(AND(((YEAR(DATE(YEAR(TODAY()),MONTH(TODAY())+10,1))-YEAR(Tools!$Q54))*12+MONTH(DATE(YEAR(TODAY()),MONTH(TODAY())+10,1))-MONTH(Tools!$Q54))&gt;=0,MOD(((YEAR(DATE(YEAR(TODAY()),MONTH(TODAY())+10,1))-YEAR(Tools!$Q54))*12+MONTH(DATE(YEAR(TODAY()),MONTH(TODAY())+10,1))-MONTH(Tools!$Q54)),Tools!$U54)=0,OR(Tools!$L54="",EDATE(Tools!$Q54,((YEAR(DATE(YEAR(TODAY()),MONTH(TODAY())+10,1))-YEAR(Tools!$Q54))*12+MONTH(DATE(YEAR(TODAY()),MONTH(TODAY())+10,1))-MONTH(Tools!$Q54)))&lt;Tools!$L54)),Tools!$N54,""))</f>
        <v/>
      </c>
      <c r="N55" s="30">
        <f>IF(OR(Tools!$B54="",Tools!$Q54=""),"",IF(AND(((YEAR(DATE(YEAR(TODAY()),MONTH(TODAY())+11,1))-YEAR(Tools!$Q54))*12+MONTH(DATE(YEAR(TODAY()),MONTH(TODAY())+11,1))-MONTH(Tools!$Q54))&gt;=0,MOD(((YEAR(DATE(YEAR(TODAY()),MONTH(TODAY())+11,1))-YEAR(Tools!$Q54))*12+MONTH(DATE(YEAR(TODAY()),MONTH(TODAY())+11,1))-MONTH(Tools!$Q54)),Tools!$U54)=0,OR(Tools!$L54="",EDATE(Tools!$Q54,((YEAR(DATE(YEAR(TODAY()),MONTH(TODAY())+11,1))-YEAR(Tools!$Q54))*12+MONTH(DATE(YEAR(TODAY()),MONTH(TODAY())+11,1))-MONTH(Tools!$Q54)))&lt;Tools!$L54)),Tools!$N54,""))</f>
        <v/>
      </c>
      <c r="O55" s="31">
        <f>IF(B55="","",SUM(C55:N55))</f>
        <v/>
      </c>
      <c r="P55" s="1" t="n"/>
    </row>
    <row r="56">
      <c r="A56" s="1" t="n"/>
      <c r="B56" s="11">
        <f>IF(Tools!B55="","",Tools!B55)</f>
        <v/>
      </c>
      <c r="C56" s="30">
        <f>IF(OR(Tools!$B55="",Tools!$Q55=""),"",IF(AND(((YEAR(DATE(YEAR(TODAY()),MONTH(TODAY())+0,1))-YEAR(Tools!$Q55))*12+MONTH(DATE(YEAR(TODAY()),MONTH(TODAY())+0,1))-MONTH(Tools!$Q55))&gt;=0,MOD(((YEAR(DATE(YEAR(TODAY()),MONTH(TODAY())+0,1))-YEAR(Tools!$Q55))*12+MONTH(DATE(YEAR(TODAY()),MONTH(TODAY())+0,1))-MONTH(Tools!$Q55)),Tools!$U55)=0,OR(Tools!$L55="",EDATE(Tools!$Q55,((YEAR(DATE(YEAR(TODAY()),MONTH(TODAY())+0,1))-YEAR(Tools!$Q55))*12+MONTH(DATE(YEAR(TODAY()),MONTH(TODAY())+0,1))-MONTH(Tools!$Q55)))&lt;Tools!$L55)),Tools!$N55,""))</f>
        <v/>
      </c>
      <c r="D56" s="30">
        <f>IF(OR(Tools!$B55="",Tools!$Q55=""),"",IF(AND(((YEAR(DATE(YEAR(TODAY()),MONTH(TODAY())+1,1))-YEAR(Tools!$Q55))*12+MONTH(DATE(YEAR(TODAY()),MONTH(TODAY())+1,1))-MONTH(Tools!$Q55))&gt;=0,MOD(((YEAR(DATE(YEAR(TODAY()),MONTH(TODAY())+1,1))-YEAR(Tools!$Q55))*12+MONTH(DATE(YEAR(TODAY()),MONTH(TODAY())+1,1))-MONTH(Tools!$Q55)),Tools!$U55)=0,OR(Tools!$L55="",EDATE(Tools!$Q55,((YEAR(DATE(YEAR(TODAY()),MONTH(TODAY())+1,1))-YEAR(Tools!$Q55))*12+MONTH(DATE(YEAR(TODAY()),MONTH(TODAY())+1,1))-MONTH(Tools!$Q55)))&lt;Tools!$L55)),Tools!$N55,""))</f>
        <v/>
      </c>
      <c r="E56" s="30">
        <f>IF(OR(Tools!$B55="",Tools!$Q55=""),"",IF(AND(((YEAR(DATE(YEAR(TODAY()),MONTH(TODAY())+2,1))-YEAR(Tools!$Q55))*12+MONTH(DATE(YEAR(TODAY()),MONTH(TODAY())+2,1))-MONTH(Tools!$Q55))&gt;=0,MOD(((YEAR(DATE(YEAR(TODAY()),MONTH(TODAY())+2,1))-YEAR(Tools!$Q55))*12+MONTH(DATE(YEAR(TODAY()),MONTH(TODAY())+2,1))-MONTH(Tools!$Q55)),Tools!$U55)=0,OR(Tools!$L55="",EDATE(Tools!$Q55,((YEAR(DATE(YEAR(TODAY()),MONTH(TODAY())+2,1))-YEAR(Tools!$Q55))*12+MONTH(DATE(YEAR(TODAY()),MONTH(TODAY())+2,1))-MONTH(Tools!$Q55)))&lt;Tools!$L55)),Tools!$N55,""))</f>
        <v/>
      </c>
      <c r="F56" s="30">
        <f>IF(OR(Tools!$B55="",Tools!$Q55=""),"",IF(AND(((YEAR(DATE(YEAR(TODAY()),MONTH(TODAY())+3,1))-YEAR(Tools!$Q55))*12+MONTH(DATE(YEAR(TODAY()),MONTH(TODAY())+3,1))-MONTH(Tools!$Q55))&gt;=0,MOD(((YEAR(DATE(YEAR(TODAY()),MONTH(TODAY())+3,1))-YEAR(Tools!$Q55))*12+MONTH(DATE(YEAR(TODAY()),MONTH(TODAY())+3,1))-MONTH(Tools!$Q55)),Tools!$U55)=0,OR(Tools!$L55="",EDATE(Tools!$Q55,((YEAR(DATE(YEAR(TODAY()),MONTH(TODAY())+3,1))-YEAR(Tools!$Q55))*12+MONTH(DATE(YEAR(TODAY()),MONTH(TODAY())+3,1))-MONTH(Tools!$Q55)))&lt;Tools!$L55)),Tools!$N55,""))</f>
        <v/>
      </c>
      <c r="G56" s="30">
        <f>IF(OR(Tools!$B55="",Tools!$Q55=""),"",IF(AND(((YEAR(DATE(YEAR(TODAY()),MONTH(TODAY())+4,1))-YEAR(Tools!$Q55))*12+MONTH(DATE(YEAR(TODAY()),MONTH(TODAY())+4,1))-MONTH(Tools!$Q55))&gt;=0,MOD(((YEAR(DATE(YEAR(TODAY()),MONTH(TODAY())+4,1))-YEAR(Tools!$Q55))*12+MONTH(DATE(YEAR(TODAY()),MONTH(TODAY())+4,1))-MONTH(Tools!$Q55)),Tools!$U55)=0,OR(Tools!$L55="",EDATE(Tools!$Q55,((YEAR(DATE(YEAR(TODAY()),MONTH(TODAY())+4,1))-YEAR(Tools!$Q55))*12+MONTH(DATE(YEAR(TODAY()),MONTH(TODAY())+4,1))-MONTH(Tools!$Q55)))&lt;Tools!$L55)),Tools!$N55,""))</f>
        <v/>
      </c>
      <c r="H56" s="30">
        <f>IF(OR(Tools!$B55="",Tools!$Q55=""),"",IF(AND(((YEAR(DATE(YEAR(TODAY()),MONTH(TODAY())+5,1))-YEAR(Tools!$Q55))*12+MONTH(DATE(YEAR(TODAY()),MONTH(TODAY())+5,1))-MONTH(Tools!$Q55))&gt;=0,MOD(((YEAR(DATE(YEAR(TODAY()),MONTH(TODAY())+5,1))-YEAR(Tools!$Q55))*12+MONTH(DATE(YEAR(TODAY()),MONTH(TODAY())+5,1))-MONTH(Tools!$Q55)),Tools!$U55)=0,OR(Tools!$L55="",EDATE(Tools!$Q55,((YEAR(DATE(YEAR(TODAY()),MONTH(TODAY())+5,1))-YEAR(Tools!$Q55))*12+MONTH(DATE(YEAR(TODAY()),MONTH(TODAY())+5,1))-MONTH(Tools!$Q55)))&lt;Tools!$L55)),Tools!$N55,""))</f>
        <v/>
      </c>
      <c r="I56" s="30">
        <f>IF(OR(Tools!$B55="",Tools!$Q55=""),"",IF(AND(((YEAR(DATE(YEAR(TODAY()),MONTH(TODAY())+6,1))-YEAR(Tools!$Q55))*12+MONTH(DATE(YEAR(TODAY()),MONTH(TODAY())+6,1))-MONTH(Tools!$Q55))&gt;=0,MOD(((YEAR(DATE(YEAR(TODAY()),MONTH(TODAY())+6,1))-YEAR(Tools!$Q55))*12+MONTH(DATE(YEAR(TODAY()),MONTH(TODAY())+6,1))-MONTH(Tools!$Q55)),Tools!$U55)=0,OR(Tools!$L55="",EDATE(Tools!$Q55,((YEAR(DATE(YEAR(TODAY()),MONTH(TODAY())+6,1))-YEAR(Tools!$Q55))*12+MONTH(DATE(YEAR(TODAY()),MONTH(TODAY())+6,1))-MONTH(Tools!$Q55)))&lt;Tools!$L55)),Tools!$N55,""))</f>
        <v/>
      </c>
      <c r="J56" s="30">
        <f>IF(OR(Tools!$B55="",Tools!$Q55=""),"",IF(AND(((YEAR(DATE(YEAR(TODAY()),MONTH(TODAY())+7,1))-YEAR(Tools!$Q55))*12+MONTH(DATE(YEAR(TODAY()),MONTH(TODAY())+7,1))-MONTH(Tools!$Q55))&gt;=0,MOD(((YEAR(DATE(YEAR(TODAY()),MONTH(TODAY())+7,1))-YEAR(Tools!$Q55))*12+MONTH(DATE(YEAR(TODAY()),MONTH(TODAY())+7,1))-MONTH(Tools!$Q55)),Tools!$U55)=0,OR(Tools!$L55="",EDATE(Tools!$Q55,((YEAR(DATE(YEAR(TODAY()),MONTH(TODAY())+7,1))-YEAR(Tools!$Q55))*12+MONTH(DATE(YEAR(TODAY()),MONTH(TODAY())+7,1))-MONTH(Tools!$Q55)))&lt;Tools!$L55)),Tools!$N55,""))</f>
        <v/>
      </c>
      <c r="K56" s="30">
        <f>IF(OR(Tools!$B55="",Tools!$Q55=""),"",IF(AND(((YEAR(DATE(YEAR(TODAY()),MONTH(TODAY())+8,1))-YEAR(Tools!$Q55))*12+MONTH(DATE(YEAR(TODAY()),MONTH(TODAY())+8,1))-MONTH(Tools!$Q55))&gt;=0,MOD(((YEAR(DATE(YEAR(TODAY()),MONTH(TODAY())+8,1))-YEAR(Tools!$Q55))*12+MONTH(DATE(YEAR(TODAY()),MONTH(TODAY())+8,1))-MONTH(Tools!$Q55)),Tools!$U55)=0,OR(Tools!$L55="",EDATE(Tools!$Q55,((YEAR(DATE(YEAR(TODAY()),MONTH(TODAY())+8,1))-YEAR(Tools!$Q55))*12+MONTH(DATE(YEAR(TODAY()),MONTH(TODAY())+8,1))-MONTH(Tools!$Q55)))&lt;Tools!$L55)),Tools!$N55,""))</f>
        <v/>
      </c>
      <c r="L56" s="30">
        <f>IF(OR(Tools!$B55="",Tools!$Q55=""),"",IF(AND(((YEAR(DATE(YEAR(TODAY()),MONTH(TODAY())+9,1))-YEAR(Tools!$Q55))*12+MONTH(DATE(YEAR(TODAY()),MONTH(TODAY())+9,1))-MONTH(Tools!$Q55))&gt;=0,MOD(((YEAR(DATE(YEAR(TODAY()),MONTH(TODAY())+9,1))-YEAR(Tools!$Q55))*12+MONTH(DATE(YEAR(TODAY()),MONTH(TODAY())+9,1))-MONTH(Tools!$Q55)),Tools!$U55)=0,OR(Tools!$L55="",EDATE(Tools!$Q55,((YEAR(DATE(YEAR(TODAY()),MONTH(TODAY())+9,1))-YEAR(Tools!$Q55))*12+MONTH(DATE(YEAR(TODAY()),MONTH(TODAY())+9,1))-MONTH(Tools!$Q55)))&lt;Tools!$L55)),Tools!$N55,""))</f>
        <v/>
      </c>
      <c r="M56" s="30">
        <f>IF(OR(Tools!$B55="",Tools!$Q55=""),"",IF(AND(((YEAR(DATE(YEAR(TODAY()),MONTH(TODAY())+10,1))-YEAR(Tools!$Q55))*12+MONTH(DATE(YEAR(TODAY()),MONTH(TODAY())+10,1))-MONTH(Tools!$Q55))&gt;=0,MOD(((YEAR(DATE(YEAR(TODAY()),MONTH(TODAY())+10,1))-YEAR(Tools!$Q55))*12+MONTH(DATE(YEAR(TODAY()),MONTH(TODAY())+10,1))-MONTH(Tools!$Q55)),Tools!$U55)=0,OR(Tools!$L55="",EDATE(Tools!$Q55,((YEAR(DATE(YEAR(TODAY()),MONTH(TODAY())+10,1))-YEAR(Tools!$Q55))*12+MONTH(DATE(YEAR(TODAY()),MONTH(TODAY())+10,1))-MONTH(Tools!$Q55)))&lt;Tools!$L55)),Tools!$N55,""))</f>
        <v/>
      </c>
      <c r="N56" s="30">
        <f>IF(OR(Tools!$B55="",Tools!$Q55=""),"",IF(AND(((YEAR(DATE(YEAR(TODAY()),MONTH(TODAY())+11,1))-YEAR(Tools!$Q55))*12+MONTH(DATE(YEAR(TODAY()),MONTH(TODAY())+11,1))-MONTH(Tools!$Q55))&gt;=0,MOD(((YEAR(DATE(YEAR(TODAY()),MONTH(TODAY())+11,1))-YEAR(Tools!$Q55))*12+MONTH(DATE(YEAR(TODAY()),MONTH(TODAY())+11,1))-MONTH(Tools!$Q55)),Tools!$U55)=0,OR(Tools!$L55="",EDATE(Tools!$Q55,((YEAR(DATE(YEAR(TODAY()),MONTH(TODAY())+11,1))-YEAR(Tools!$Q55))*12+MONTH(DATE(YEAR(TODAY()),MONTH(TODAY())+11,1))-MONTH(Tools!$Q55)))&lt;Tools!$L55)),Tools!$N55,""))</f>
        <v/>
      </c>
      <c r="O56" s="31">
        <f>IF(B56="","",SUM(C56:N56))</f>
        <v/>
      </c>
      <c r="P56" s="1" t="n"/>
    </row>
    <row r="57">
      <c r="A57" s="1" t="n"/>
      <c r="B57" s="11">
        <f>IF(Tools!B56="","",Tools!B56)</f>
        <v/>
      </c>
      <c r="C57" s="30">
        <f>IF(OR(Tools!$B56="",Tools!$Q56=""),"",IF(AND(((YEAR(DATE(YEAR(TODAY()),MONTH(TODAY())+0,1))-YEAR(Tools!$Q56))*12+MONTH(DATE(YEAR(TODAY()),MONTH(TODAY())+0,1))-MONTH(Tools!$Q56))&gt;=0,MOD(((YEAR(DATE(YEAR(TODAY()),MONTH(TODAY())+0,1))-YEAR(Tools!$Q56))*12+MONTH(DATE(YEAR(TODAY()),MONTH(TODAY())+0,1))-MONTH(Tools!$Q56)),Tools!$U56)=0,OR(Tools!$L56="",EDATE(Tools!$Q56,((YEAR(DATE(YEAR(TODAY()),MONTH(TODAY())+0,1))-YEAR(Tools!$Q56))*12+MONTH(DATE(YEAR(TODAY()),MONTH(TODAY())+0,1))-MONTH(Tools!$Q56)))&lt;Tools!$L56)),Tools!$N56,""))</f>
        <v/>
      </c>
      <c r="D57" s="30">
        <f>IF(OR(Tools!$B56="",Tools!$Q56=""),"",IF(AND(((YEAR(DATE(YEAR(TODAY()),MONTH(TODAY())+1,1))-YEAR(Tools!$Q56))*12+MONTH(DATE(YEAR(TODAY()),MONTH(TODAY())+1,1))-MONTH(Tools!$Q56))&gt;=0,MOD(((YEAR(DATE(YEAR(TODAY()),MONTH(TODAY())+1,1))-YEAR(Tools!$Q56))*12+MONTH(DATE(YEAR(TODAY()),MONTH(TODAY())+1,1))-MONTH(Tools!$Q56)),Tools!$U56)=0,OR(Tools!$L56="",EDATE(Tools!$Q56,((YEAR(DATE(YEAR(TODAY()),MONTH(TODAY())+1,1))-YEAR(Tools!$Q56))*12+MONTH(DATE(YEAR(TODAY()),MONTH(TODAY())+1,1))-MONTH(Tools!$Q56)))&lt;Tools!$L56)),Tools!$N56,""))</f>
        <v/>
      </c>
      <c r="E57" s="30">
        <f>IF(OR(Tools!$B56="",Tools!$Q56=""),"",IF(AND(((YEAR(DATE(YEAR(TODAY()),MONTH(TODAY())+2,1))-YEAR(Tools!$Q56))*12+MONTH(DATE(YEAR(TODAY()),MONTH(TODAY())+2,1))-MONTH(Tools!$Q56))&gt;=0,MOD(((YEAR(DATE(YEAR(TODAY()),MONTH(TODAY())+2,1))-YEAR(Tools!$Q56))*12+MONTH(DATE(YEAR(TODAY()),MONTH(TODAY())+2,1))-MONTH(Tools!$Q56)),Tools!$U56)=0,OR(Tools!$L56="",EDATE(Tools!$Q56,((YEAR(DATE(YEAR(TODAY()),MONTH(TODAY())+2,1))-YEAR(Tools!$Q56))*12+MONTH(DATE(YEAR(TODAY()),MONTH(TODAY())+2,1))-MONTH(Tools!$Q56)))&lt;Tools!$L56)),Tools!$N56,""))</f>
        <v/>
      </c>
      <c r="F57" s="30">
        <f>IF(OR(Tools!$B56="",Tools!$Q56=""),"",IF(AND(((YEAR(DATE(YEAR(TODAY()),MONTH(TODAY())+3,1))-YEAR(Tools!$Q56))*12+MONTH(DATE(YEAR(TODAY()),MONTH(TODAY())+3,1))-MONTH(Tools!$Q56))&gt;=0,MOD(((YEAR(DATE(YEAR(TODAY()),MONTH(TODAY())+3,1))-YEAR(Tools!$Q56))*12+MONTH(DATE(YEAR(TODAY()),MONTH(TODAY())+3,1))-MONTH(Tools!$Q56)),Tools!$U56)=0,OR(Tools!$L56="",EDATE(Tools!$Q56,((YEAR(DATE(YEAR(TODAY()),MONTH(TODAY())+3,1))-YEAR(Tools!$Q56))*12+MONTH(DATE(YEAR(TODAY()),MONTH(TODAY())+3,1))-MONTH(Tools!$Q56)))&lt;Tools!$L56)),Tools!$N56,""))</f>
        <v/>
      </c>
      <c r="G57" s="30">
        <f>IF(OR(Tools!$B56="",Tools!$Q56=""),"",IF(AND(((YEAR(DATE(YEAR(TODAY()),MONTH(TODAY())+4,1))-YEAR(Tools!$Q56))*12+MONTH(DATE(YEAR(TODAY()),MONTH(TODAY())+4,1))-MONTH(Tools!$Q56))&gt;=0,MOD(((YEAR(DATE(YEAR(TODAY()),MONTH(TODAY())+4,1))-YEAR(Tools!$Q56))*12+MONTH(DATE(YEAR(TODAY()),MONTH(TODAY())+4,1))-MONTH(Tools!$Q56)),Tools!$U56)=0,OR(Tools!$L56="",EDATE(Tools!$Q56,((YEAR(DATE(YEAR(TODAY()),MONTH(TODAY())+4,1))-YEAR(Tools!$Q56))*12+MONTH(DATE(YEAR(TODAY()),MONTH(TODAY())+4,1))-MONTH(Tools!$Q56)))&lt;Tools!$L56)),Tools!$N56,""))</f>
        <v/>
      </c>
      <c r="H57" s="30">
        <f>IF(OR(Tools!$B56="",Tools!$Q56=""),"",IF(AND(((YEAR(DATE(YEAR(TODAY()),MONTH(TODAY())+5,1))-YEAR(Tools!$Q56))*12+MONTH(DATE(YEAR(TODAY()),MONTH(TODAY())+5,1))-MONTH(Tools!$Q56))&gt;=0,MOD(((YEAR(DATE(YEAR(TODAY()),MONTH(TODAY())+5,1))-YEAR(Tools!$Q56))*12+MONTH(DATE(YEAR(TODAY()),MONTH(TODAY())+5,1))-MONTH(Tools!$Q56)),Tools!$U56)=0,OR(Tools!$L56="",EDATE(Tools!$Q56,((YEAR(DATE(YEAR(TODAY()),MONTH(TODAY())+5,1))-YEAR(Tools!$Q56))*12+MONTH(DATE(YEAR(TODAY()),MONTH(TODAY())+5,1))-MONTH(Tools!$Q56)))&lt;Tools!$L56)),Tools!$N56,""))</f>
        <v/>
      </c>
      <c r="I57" s="30">
        <f>IF(OR(Tools!$B56="",Tools!$Q56=""),"",IF(AND(((YEAR(DATE(YEAR(TODAY()),MONTH(TODAY())+6,1))-YEAR(Tools!$Q56))*12+MONTH(DATE(YEAR(TODAY()),MONTH(TODAY())+6,1))-MONTH(Tools!$Q56))&gt;=0,MOD(((YEAR(DATE(YEAR(TODAY()),MONTH(TODAY())+6,1))-YEAR(Tools!$Q56))*12+MONTH(DATE(YEAR(TODAY()),MONTH(TODAY())+6,1))-MONTH(Tools!$Q56)),Tools!$U56)=0,OR(Tools!$L56="",EDATE(Tools!$Q56,((YEAR(DATE(YEAR(TODAY()),MONTH(TODAY())+6,1))-YEAR(Tools!$Q56))*12+MONTH(DATE(YEAR(TODAY()),MONTH(TODAY())+6,1))-MONTH(Tools!$Q56)))&lt;Tools!$L56)),Tools!$N56,""))</f>
        <v/>
      </c>
      <c r="J57" s="30">
        <f>IF(OR(Tools!$B56="",Tools!$Q56=""),"",IF(AND(((YEAR(DATE(YEAR(TODAY()),MONTH(TODAY())+7,1))-YEAR(Tools!$Q56))*12+MONTH(DATE(YEAR(TODAY()),MONTH(TODAY())+7,1))-MONTH(Tools!$Q56))&gt;=0,MOD(((YEAR(DATE(YEAR(TODAY()),MONTH(TODAY())+7,1))-YEAR(Tools!$Q56))*12+MONTH(DATE(YEAR(TODAY()),MONTH(TODAY())+7,1))-MONTH(Tools!$Q56)),Tools!$U56)=0,OR(Tools!$L56="",EDATE(Tools!$Q56,((YEAR(DATE(YEAR(TODAY()),MONTH(TODAY())+7,1))-YEAR(Tools!$Q56))*12+MONTH(DATE(YEAR(TODAY()),MONTH(TODAY())+7,1))-MONTH(Tools!$Q56)))&lt;Tools!$L56)),Tools!$N56,""))</f>
        <v/>
      </c>
      <c r="K57" s="30">
        <f>IF(OR(Tools!$B56="",Tools!$Q56=""),"",IF(AND(((YEAR(DATE(YEAR(TODAY()),MONTH(TODAY())+8,1))-YEAR(Tools!$Q56))*12+MONTH(DATE(YEAR(TODAY()),MONTH(TODAY())+8,1))-MONTH(Tools!$Q56))&gt;=0,MOD(((YEAR(DATE(YEAR(TODAY()),MONTH(TODAY())+8,1))-YEAR(Tools!$Q56))*12+MONTH(DATE(YEAR(TODAY()),MONTH(TODAY())+8,1))-MONTH(Tools!$Q56)),Tools!$U56)=0,OR(Tools!$L56="",EDATE(Tools!$Q56,((YEAR(DATE(YEAR(TODAY()),MONTH(TODAY())+8,1))-YEAR(Tools!$Q56))*12+MONTH(DATE(YEAR(TODAY()),MONTH(TODAY())+8,1))-MONTH(Tools!$Q56)))&lt;Tools!$L56)),Tools!$N56,""))</f>
        <v/>
      </c>
      <c r="L57" s="30">
        <f>IF(OR(Tools!$B56="",Tools!$Q56=""),"",IF(AND(((YEAR(DATE(YEAR(TODAY()),MONTH(TODAY())+9,1))-YEAR(Tools!$Q56))*12+MONTH(DATE(YEAR(TODAY()),MONTH(TODAY())+9,1))-MONTH(Tools!$Q56))&gt;=0,MOD(((YEAR(DATE(YEAR(TODAY()),MONTH(TODAY())+9,1))-YEAR(Tools!$Q56))*12+MONTH(DATE(YEAR(TODAY()),MONTH(TODAY())+9,1))-MONTH(Tools!$Q56)),Tools!$U56)=0,OR(Tools!$L56="",EDATE(Tools!$Q56,((YEAR(DATE(YEAR(TODAY()),MONTH(TODAY())+9,1))-YEAR(Tools!$Q56))*12+MONTH(DATE(YEAR(TODAY()),MONTH(TODAY())+9,1))-MONTH(Tools!$Q56)))&lt;Tools!$L56)),Tools!$N56,""))</f>
        <v/>
      </c>
      <c r="M57" s="30">
        <f>IF(OR(Tools!$B56="",Tools!$Q56=""),"",IF(AND(((YEAR(DATE(YEAR(TODAY()),MONTH(TODAY())+10,1))-YEAR(Tools!$Q56))*12+MONTH(DATE(YEAR(TODAY()),MONTH(TODAY())+10,1))-MONTH(Tools!$Q56))&gt;=0,MOD(((YEAR(DATE(YEAR(TODAY()),MONTH(TODAY())+10,1))-YEAR(Tools!$Q56))*12+MONTH(DATE(YEAR(TODAY()),MONTH(TODAY())+10,1))-MONTH(Tools!$Q56)),Tools!$U56)=0,OR(Tools!$L56="",EDATE(Tools!$Q56,((YEAR(DATE(YEAR(TODAY()),MONTH(TODAY())+10,1))-YEAR(Tools!$Q56))*12+MONTH(DATE(YEAR(TODAY()),MONTH(TODAY())+10,1))-MONTH(Tools!$Q56)))&lt;Tools!$L56)),Tools!$N56,""))</f>
        <v/>
      </c>
      <c r="N57" s="30">
        <f>IF(OR(Tools!$B56="",Tools!$Q56=""),"",IF(AND(((YEAR(DATE(YEAR(TODAY()),MONTH(TODAY())+11,1))-YEAR(Tools!$Q56))*12+MONTH(DATE(YEAR(TODAY()),MONTH(TODAY())+11,1))-MONTH(Tools!$Q56))&gt;=0,MOD(((YEAR(DATE(YEAR(TODAY()),MONTH(TODAY())+11,1))-YEAR(Tools!$Q56))*12+MONTH(DATE(YEAR(TODAY()),MONTH(TODAY())+11,1))-MONTH(Tools!$Q56)),Tools!$U56)=0,OR(Tools!$L56="",EDATE(Tools!$Q56,((YEAR(DATE(YEAR(TODAY()),MONTH(TODAY())+11,1))-YEAR(Tools!$Q56))*12+MONTH(DATE(YEAR(TODAY()),MONTH(TODAY())+11,1))-MONTH(Tools!$Q56)))&lt;Tools!$L56)),Tools!$N56,""))</f>
        <v/>
      </c>
      <c r="O57" s="31">
        <f>IF(B57="","",SUM(C57:N57))</f>
        <v/>
      </c>
      <c r="P57" s="1" t="n"/>
    </row>
    <row r="58">
      <c r="A58" s="1" t="n"/>
      <c r="B58" s="11">
        <f>IF(Tools!B57="","",Tools!B57)</f>
        <v/>
      </c>
      <c r="C58" s="30">
        <f>IF(OR(Tools!$B57="",Tools!$Q57=""),"",IF(AND(((YEAR(DATE(YEAR(TODAY()),MONTH(TODAY())+0,1))-YEAR(Tools!$Q57))*12+MONTH(DATE(YEAR(TODAY()),MONTH(TODAY())+0,1))-MONTH(Tools!$Q57))&gt;=0,MOD(((YEAR(DATE(YEAR(TODAY()),MONTH(TODAY())+0,1))-YEAR(Tools!$Q57))*12+MONTH(DATE(YEAR(TODAY()),MONTH(TODAY())+0,1))-MONTH(Tools!$Q57)),Tools!$U57)=0,OR(Tools!$L57="",EDATE(Tools!$Q57,((YEAR(DATE(YEAR(TODAY()),MONTH(TODAY())+0,1))-YEAR(Tools!$Q57))*12+MONTH(DATE(YEAR(TODAY()),MONTH(TODAY())+0,1))-MONTH(Tools!$Q57)))&lt;Tools!$L57)),Tools!$N57,""))</f>
        <v/>
      </c>
      <c r="D58" s="30">
        <f>IF(OR(Tools!$B57="",Tools!$Q57=""),"",IF(AND(((YEAR(DATE(YEAR(TODAY()),MONTH(TODAY())+1,1))-YEAR(Tools!$Q57))*12+MONTH(DATE(YEAR(TODAY()),MONTH(TODAY())+1,1))-MONTH(Tools!$Q57))&gt;=0,MOD(((YEAR(DATE(YEAR(TODAY()),MONTH(TODAY())+1,1))-YEAR(Tools!$Q57))*12+MONTH(DATE(YEAR(TODAY()),MONTH(TODAY())+1,1))-MONTH(Tools!$Q57)),Tools!$U57)=0,OR(Tools!$L57="",EDATE(Tools!$Q57,((YEAR(DATE(YEAR(TODAY()),MONTH(TODAY())+1,1))-YEAR(Tools!$Q57))*12+MONTH(DATE(YEAR(TODAY()),MONTH(TODAY())+1,1))-MONTH(Tools!$Q57)))&lt;Tools!$L57)),Tools!$N57,""))</f>
        <v/>
      </c>
      <c r="E58" s="30">
        <f>IF(OR(Tools!$B57="",Tools!$Q57=""),"",IF(AND(((YEAR(DATE(YEAR(TODAY()),MONTH(TODAY())+2,1))-YEAR(Tools!$Q57))*12+MONTH(DATE(YEAR(TODAY()),MONTH(TODAY())+2,1))-MONTH(Tools!$Q57))&gt;=0,MOD(((YEAR(DATE(YEAR(TODAY()),MONTH(TODAY())+2,1))-YEAR(Tools!$Q57))*12+MONTH(DATE(YEAR(TODAY()),MONTH(TODAY())+2,1))-MONTH(Tools!$Q57)),Tools!$U57)=0,OR(Tools!$L57="",EDATE(Tools!$Q57,((YEAR(DATE(YEAR(TODAY()),MONTH(TODAY())+2,1))-YEAR(Tools!$Q57))*12+MONTH(DATE(YEAR(TODAY()),MONTH(TODAY())+2,1))-MONTH(Tools!$Q57)))&lt;Tools!$L57)),Tools!$N57,""))</f>
        <v/>
      </c>
      <c r="F58" s="30">
        <f>IF(OR(Tools!$B57="",Tools!$Q57=""),"",IF(AND(((YEAR(DATE(YEAR(TODAY()),MONTH(TODAY())+3,1))-YEAR(Tools!$Q57))*12+MONTH(DATE(YEAR(TODAY()),MONTH(TODAY())+3,1))-MONTH(Tools!$Q57))&gt;=0,MOD(((YEAR(DATE(YEAR(TODAY()),MONTH(TODAY())+3,1))-YEAR(Tools!$Q57))*12+MONTH(DATE(YEAR(TODAY()),MONTH(TODAY())+3,1))-MONTH(Tools!$Q57)),Tools!$U57)=0,OR(Tools!$L57="",EDATE(Tools!$Q57,((YEAR(DATE(YEAR(TODAY()),MONTH(TODAY())+3,1))-YEAR(Tools!$Q57))*12+MONTH(DATE(YEAR(TODAY()),MONTH(TODAY())+3,1))-MONTH(Tools!$Q57)))&lt;Tools!$L57)),Tools!$N57,""))</f>
        <v/>
      </c>
      <c r="G58" s="30">
        <f>IF(OR(Tools!$B57="",Tools!$Q57=""),"",IF(AND(((YEAR(DATE(YEAR(TODAY()),MONTH(TODAY())+4,1))-YEAR(Tools!$Q57))*12+MONTH(DATE(YEAR(TODAY()),MONTH(TODAY())+4,1))-MONTH(Tools!$Q57))&gt;=0,MOD(((YEAR(DATE(YEAR(TODAY()),MONTH(TODAY())+4,1))-YEAR(Tools!$Q57))*12+MONTH(DATE(YEAR(TODAY()),MONTH(TODAY())+4,1))-MONTH(Tools!$Q57)),Tools!$U57)=0,OR(Tools!$L57="",EDATE(Tools!$Q57,((YEAR(DATE(YEAR(TODAY()),MONTH(TODAY())+4,1))-YEAR(Tools!$Q57))*12+MONTH(DATE(YEAR(TODAY()),MONTH(TODAY())+4,1))-MONTH(Tools!$Q57)))&lt;Tools!$L57)),Tools!$N57,""))</f>
        <v/>
      </c>
      <c r="H58" s="30">
        <f>IF(OR(Tools!$B57="",Tools!$Q57=""),"",IF(AND(((YEAR(DATE(YEAR(TODAY()),MONTH(TODAY())+5,1))-YEAR(Tools!$Q57))*12+MONTH(DATE(YEAR(TODAY()),MONTH(TODAY())+5,1))-MONTH(Tools!$Q57))&gt;=0,MOD(((YEAR(DATE(YEAR(TODAY()),MONTH(TODAY())+5,1))-YEAR(Tools!$Q57))*12+MONTH(DATE(YEAR(TODAY()),MONTH(TODAY())+5,1))-MONTH(Tools!$Q57)),Tools!$U57)=0,OR(Tools!$L57="",EDATE(Tools!$Q57,((YEAR(DATE(YEAR(TODAY()),MONTH(TODAY())+5,1))-YEAR(Tools!$Q57))*12+MONTH(DATE(YEAR(TODAY()),MONTH(TODAY())+5,1))-MONTH(Tools!$Q57)))&lt;Tools!$L57)),Tools!$N57,""))</f>
        <v/>
      </c>
      <c r="I58" s="30">
        <f>IF(OR(Tools!$B57="",Tools!$Q57=""),"",IF(AND(((YEAR(DATE(YEAR(TODAY()),MONTH(TODAY())+6,1))-YEAR(Tools!$Q57))*12+MONTH(DATE(YEAR(TODAY()),MONTH(TODAY())+6,1))-MONTH(Tools!$Q57))&gt;=0,MOD(((YEAR(DATE(YEAR(TODAY()),MONTH(TODAY())+6,1))-YEAR(Tools!$Q57))*12+MONTH(DATE(YEAR(TODAY()),MONTH(TODAY())+6,1))-MONTH(Tools!$Q57)),Tools!$U57)=0,OR(Tools!$L57="",EDATE(Tools!$Q57,((YEAR(DATE(YEAR(TODAY()),MONTH(TODAY())+6,1))-YEAR(Tools!$Q57))*12+MONTH(DATE(YEAR(TODAY()),MONTH(TODAY())+6,1))-MONTH(Tools!$Q57)))&lt;Tools!$L57)),Tools!$N57,""))</f>
        <v/>
      </c>
      <c r="J58" s="30">
        <f>IF(OR(Tools!$B57="",Tools!$Q57=""),"",IF(AND(((YEAR(DATE(YEAR(TODAY()),MONTH(TODAY())+7,1))-YEAR(Tools!$Q57))*12+MONTH(DATE(YEAR(TODAY()),MONTH(TODAY())+7,1))-MONTH(Tools!$Q57))&gt;=0,MOD(((YEAR(DATE(YEAR(TODAY()),MONTH(TODAY())+7,1))-YEAR(Tools!$Q57))*12+MONTH(DATE(YEAR(TODAY()),MONTH(TODAY())+7,1))-MONTH(Tools!$Q57)),Tools!$U57)=0,OR(Tools!$L57="",EDATE(Tools!$Q57,((YEAR(DATE(YEAR(TODAY()),MONTH(TODAY())+7,1))-YEAR(Tools!$Q57))*12+MONTH(DATE(YEAR(TODAY()),MONTH(TODAY())+7,1))-MONTH(Tools!$Q57)))&lt;Tools!$L57)),Tools!$N57,""))</f>
        <v/>
      </c>
      <c r="K58" s="30">
        <f>IF(OR(Tools!$B57="",Tools!$Q57=""),"",IF(AND(((YEAR(DATE(YEAR(TODAY()),MONTH(TODAY())+8,1))-YEAR(Tools!$Q57))*12+MONTH(DATE(YEAR(TODAY()),MONTH(TODAY())+8,1))-MONTH(Tools!$Q57))&gt;=0,MOD(((YEAR(DATE(YEAR(TODAY()),MONTH(TODAY())+8,1))-YEAR(Tools!$Q57))*12+MONTH(DATE(YEAR(TODAY()),MONTH(TODAY())+8,1))-MONTH(Tools!$Q57)),Tools!$U57)=0,OR(Tools!$L57="",EDATE(Tools!$Q57,((YEAR(DATE(YEAR(TODAY()),MONTH(TODAY())+8,1))-YEAR(Tools!$Q57))*12+MONTH(DATE(YEAR(TODAY()),MONTH(TODAY())+8,1))-MONTH(Tools!$Q57)))&lt;Tools!$L57)),Tools!$N57,""))</f>
        <v/>
      </c>
      <c r="L58" s="30">
        <f>IF(OR(Tools!$B57="",Tools!$Q57=""),"",IF(AND(((YEAR(DATE(YEAR(TODAY()),MONTH(TODAY())+9,1))-YEAR(Tools!$Q57))*12+MONTH(DATE(YEAR(TODAY()),MONTH(TODAY())+9,1))-MONTH(Tools!$Q57))&gt;=0,MOD(((YEAR(DATE(YEAR(TODAY()),MONTH(TODAY())+9,1))-YEAR(Tools!$Q57))*12+MONTH(DATE(YEAR(TODAY()),MONTH(TODAY())+9,1))-MONTH(Tools!$Q57)),Tools!$U57)=0,OR(Tools!$L57="",EDATE(Tools!$Q57,((YEAR(DATE(YEAR(TODAY()),MONTH(TODAY())+9,1))-YEAR(Tools!$Q57))*12+MONTH(DATE(YEAR(TODAY()),MONTH(TODAY())+9,1))-MONTH(Tools!$Q57)))&lt;Tools!$L57)),Tools!$N57,""))</f>
        <v/>
      </c>
      <c r="M58" s="30">
        <f>IF(OR(Tools!$B57="",Tools!$Q57=""),"",IF(AND(((YEAR(DATE(YEAR(TODAY()),MONTH(TODAY())+10,1))-YEAR(Tools!$Q57))*12+MONTH(DATE(YEAR(TODAY()),MONTH(TODAY())+10,1))-MONTH(Tools!$Q57))&gt;=0,MOD(((YEAR(DATE(YEAR(TODAY()),MONTH(TODAY())+10,1))-YEAR(Tools!$Q57))*12+MONTH(DATE(YEAR(TODAY()),MONTH(TODAY())+10,1))-MONTH(Tools!$Q57)),Tools!$U57)=0,OR(Tools!$L57="",EDATE(Tools!$Q57,((YEAR(DATE(YEAR(TODAY()),MONTH(TODAY())+10,1))-YEAR(Tools!$Q57))*12+MONTH(DATE(YEAR(TODAY()),MONTH(TODAY())+10,1))-MONTH(Tools!$Q57)))&lt;Tools!$L57)),Tools!$N57,""))</f>
        <v/>
      </c>
      <c r="N58" s="30">
        <f>IF(OR(Tools!$B57="",Tools!$Q57=""),"",IF(AND(((YEAR(DATE(YEAR(TODAY()),MONTH(TODAY())+11,1))-YEAR(Tools!$Q57))*12+MONTH(DATE(YEAR(TODAY()),MONTH(TODAY())+11,1))-MONTH(Tools!$Q57))&gt;=0,MOD(((YEAR(DATE(YEAR(TODAY()),MONTH(TODAY())+11,1))-YEAR(Tools!$Q57))*12+MONTH(DATE(YEAR(TODAY()),MONTH(TODAY())+11,1))-MONTH(Tools!$Q57)),Tools!$U57)=0,OR(Tools!$L57="",EDATE(Tools!$Q57,((YEAR(DATE(YEAR(TODAY()),MONTH(TODAY())+11,1))-YEAR(Tools!$Q57))*12+MONTH(DATE(YEAR(TODAY()),MONTH(TODAY())+11,1))-MONTH(Tools!$Q57)))&lt;Tools!$L57)),Tools!$N57,""))</f>
        <v/>
      </c>
      <c r="O58" s="31">
        <f>IF(B58="","",SUM(C58:N58))</f>
        <v/>
      </c>
      <c r="P58" s="1" t="n"/>
    </row>
    <row r="59">
      <c r="A59" s="1" t="n"/>
      <c r="B59" s="11">
        <f>IF(Tools!B58="","",Tools!B58)</f>
        <v/>
      </c>
      <c r="C59" s="30">
        <f>IF(OR(Tools!$B58="",Tools!$Q58=""),"",IF(AND(((YEAR(DATE(YEAR(TODAY()),MONTH(TODAY())+0,1))-YEAR(Tools!$Q58))*12+MONTH(DATE(YEAR(TODAY()),MONTH(TODAY())+0,1))-MONTH(Tools!$Q58))&gt;=0,MOD(((YEAR(DATE(YEAR(TODAY()),MONTH(TODAY())+0,1))-YEAR(Tools!$Q58))*12+MONTH(DATE(YEAR(TODAY()),MONTH(TODAY())+0,1))-MONTH(Tools!$Q58)),Tools!$U58)=0,OR(Tools!$L58="",EDATE(Tools!$Q58,((YEAR(DATE(YEAR(TODAY()),MONTH(TODAY())+0,1))-YEAR(Tools!$Q58))*12+MONTH(DATE(YEAR(TODAY()),MONTH(TODAY())+0,1))-MONTH(Tools!$Q58)))&lt;Tools!$L58)),Tools!$N58,""))</f>
        <v/>
      </c>
      <c r="D59" s="30">
        <f>IF(OR(Tools!$B58="",Tools!$Q58=""),"",IF(AND(((YEAR(DATE(YEAR(TODAY()),MONTH(TODAY())+1,1))-YEAR(Tools!$Q58))*12+MONTH(DATE(YEAR(TODAY()),MONTH(TODAY())+1,1))-MONTH(Tools!$Q58))&gt;=0,MOD(((YEAR(DATE(YEAR(TODAY()),MONTH(TODAY())+1,1))-YEAR(Tools!$Q58))*12+MONTH(DATE(YEAR(TODAY()),MONTH(TODAY())+1,1))-MONTH(Tools!$Q58)),Tools!$U58)=0,OR(Tools!$L58="",EDATE(Tools!$Q58,((YEAR(DATE(YEAR(TODAY()),MONTH(TODAY())+1,1))-YEAR(Tools!$Q58))*12+MONTH(DATE(YEAR(TODAY()),MONTH(TODAY())+1,1))-MONTH(Tools!$Q58)))&lt;Tools!$L58)),Tools!$N58,""))</f>
        <v/>
      </c>
      <c r="E59" s="30">
        <f>IF(OR(Tools!$B58="",Tools!$Q58=""),"",IF(AND(((YEAR(DATE(YEAR(TODAY()),MONTH(TODAY())+2,1))-YEAR(Tools!$Q58))*12+MONTH(DATE(YEAR(TODAY()),MONTH(TODAY())+2,1))-MONTH(Tools!$Q58))&gt;=0,MOD(((YEAR(DATE(YEAR(TODAY()),MONTH(TODAY())+2,1))-YEAR(Tools!$Q58))*12+MONTH(DATE(YEAR(TODAY()),MONTH(TODAY())+2,1))-MONTH(Tools!$Q58)),Tools!$U58)=0,OR(Tools!$L58="",EDATE(Tools!$Q58,((YEAR(DATE(YEAR(TODAY()),MONTH(TODAY())+2,1))-YEAR(Tools!$Q58))*12+MONTH(DATE(YEAR(TODAY()),MONTH(TODAY())+2,1))-MONTH(Tools!$Q58)))&lt;Tools!$L58)),Tools!$N58,""))</f>
        <v/>
      </c>
      <c r="F59" s="30">
        <f>IF(OR(Tools!$B58="",Tools!$Q58=""),"",IF(AND(((YEAR(DATE(YEAR(TODAY()),MONTH(TODAY())+3,1))-YEAR(Tools!$Q58))*12+MONTH(DATE(YEAR(TODAY()),MONTH(TODAY())+3,1))-MONTH(Tools!$Q58))&gt;=0,MOD(((YEAR(DATE(YEAR(TODAY()),MONTH(TODAY())+3,1))-YEAR(Tools!$Q58))*12+MONTH(DATE(YEAR(TODAY()),MONTH(TODAY())+3,1))-MONTH(Tools!$Q58)),Tools!$U58)=0,OR(Tools!$L58="",EDATE(Tools!$Q58,((YEAR(DATE(YEAR(TODAY()),MONTH(TODAY())+3,1))-YEAR(Tools!$Q58))*12+MONTH(DATE(YEAR(TODAY()),MONTH(TODAY())+3,1))-MONTH(Tools!$Q58)))&lt;Tools!$L58)),Tools!$N58,""))</f>
        <v/>
      </c>
      <c r="G59" s="30">
        <f>IF(OR(Tools!$B58="",Tools!$Q58=""),"",IF(AND(((YEAR(DATE(YEAR(TODAY()),MONTH(TODAY())+4,1))-YEAR(Tools!$Q58))*12+MONTH(DATE(YEAR(TODAY()),MONTH(TODAY())+4,1))-MONTH(Tools!$Q58))&gt;=0,MOD(((YEAR(DATE(YEAR(TODAY()),MONTH(TODAY())+4,1))-YEAR(Tools!$Q58))*12+MONTH(DATE(YEAR(TODAY()),MONTH(TODAY())+4,1))-MONTH(Tools!$Q58)),Tools!$U58)=0,OR(Tools!$L58="",EDATE(Tools!$Q58,((YEAR(DATE(YEAR(TODAY()),MONTH(TODAY())+4,1))-YEAR(Tools!$Q58))*12+MONTH(DATE(YEAR(TODAY()),MONTH(TODAY())+4,1))-MONTH(Tools!$Q58)))&lt;Tools!$L58)),Tools!$N58,""))</f>
        <v/>
      </c>
      <c r="H59" s="30">
        <f>IF(OR(Tools!$B58="",Tools!$Q58=""),"",IF(AND(((YEAR(DATE(YEAR(TODAY()),MONTH(TODAY())+5,1))-YEAR(Tools!$Q58))*12+MONTH(DATE(YEAR(TODAY()),MONTH(TODAY())+5,1))-MONTH(Tools!$Q58))&gt;=0,MOD(((YEAR(DATE(YEAR(TODAY()),MONTH(TODAY())+5,1))-YEAR(Tools!$Q58))*12+MONTH(DATE(YEAR(TODAY()),MONTH(TODAY())+5,1))-MONTH(Tools!$Q58)),Tools!$U58)=0,OR(Tools!$L58="",EDATE(Tools!$Q58,((YEAR(DATE(YEAR(TODAY()),MONTH(TODAY())+5,1))-YEAR(Tools!$Q58))*12+MONTH(DATE(YEAR(TODAY()),MONTH(TODAY())+5,1))-MONTH(Tools!$Q58)))&lt;Tools!$L58)),Tools!$N58,""))</f>
        <v/>
      </c>
      <c r="I59" s="30">
        <f>IF(OR(Tools!$B58="",Tools!$Q58=""),"",IF(AND(((YEAR(DATE(YEAR(TODAY()),MONTH(TODAY())+6,1))-YEAR(Tools!$Q58))*12+MONTH(DATE(YEAR(TODAY()),MONTH(TODAY())+6,1))-MONTH(Tools!$Q58))&gt;=0,MOD(((YEAR(DATE(YEAR(TODAY()),MONTH(TODAY())+6,1))-YEAR(Tools!$Q58))*12+MONTH(DATE(YEAR(TODAY()),MONTH(TODAY())+6,1))-MONTH(Tools!$Q58)),Tools!$U58)=0,OR(Tools!$L58="",EDATE(Tools!$Q58,((YEAR(DATE(YEAR(TODAY()),MONTH(TODAY())+6,1))-YEAR(Tools!$Q58))*12+MONTH(DATE(YEAR(TODAY()),MONTH(TODAY())+6,1))-MONTH(Tools!$Q58)))&lt;Tools!$L58)),Tools!$N58,""))</f>
        <v/>
      </c>
      <c r="J59" s="30">
        <f>IF(OR(Tools!$B58="",Tools!$Q58=""),"",IF(AND(((YEAR(DATE(YEAR(TODAY()),MONTH(TODAY())+7,1))-YEAR(Tools!$Q58))*12+MONTH(DATE(YEAR(TODAY()),MONTH(TODAY())+7,1))-MONTH(Tools!$Q58))&gt;=0,MOD(((YEAR(DATE(YEAR(TODAY()),MONTH(TODAY())+7,1))-YEAR(Tools!$Q58))*12+MONTH(DATE(YEAR(TODAY()),MONTH(TODAY())+7,1))-MONTH(Tools!$Q58)),Tools!$U58)=0,OR(Tools!$L58="",EDATE(Tools!$Q58,((YEAR(DATE(YEAR(TODAY()),MONTH(TODAY())+7,1))-YEAR(Tools!$Q58))*12+MONTH(DATE(YEAR(TODAY()),MONTH(TODAY())+7,1))-MONTH(Tools!$Q58)))&lt;Tools!$L58)),Tools!$N58,""))</f>
        <v/>
      </c>
      <c r="K59" s="30">
        <f>IF(OR(Tools!$B58="",Tools!$Q58=""),"",IF(AND(((YEAR(DATE(YEAR(TODAY()),MONTH(TODAY())+8,1))-YEAR(Tools!$Q58))*12+MONTH(DATE(YEAR(TODAY()),MONTH(TODAY())+8,1))-MONTH(Tools!$Q58))&gt;=0,MOD(((YEAR(DATE(YEAR(TODAY()),MONTH(TODAY())+8,1))-YEAR(Tools!$Q58))*12+MONTH(DATE(YEAR(TODAY()),MONTH(TODAY())+8,1))-MONTH(Tools!$Q58)),Tools!$U58)=0,OR(Tools!$L58="",EDATE(Tools!$Q58,((YEAR(DATE(YEAR(TODAY()),MONTH(TODAY())+8,1))-YEAR(Tools!$Q58))*12+MONTH(DATE(YEAR(TODAY()),MONTH(TODAY())+8,1))-MONTH(Tools!$Q58)))&lt;Tools!$L58)),Tools!$N58,""))</f>
        <v/>
      </c>
      <c r="L59" s="30">
        <f>IF(OR(Tools!$B58="",Tools!$Q58=""),"",IF(AND(((YEAR(DATE(YEAR(TODAY()),MONTH(TODAY())+9,1))-YEAR(Tools!$Q58))*12+MONTH(DATE(YEAR(TODAY()),MONTH(TODAY())+9,1))-MONTH(Tools!$Q58))&gt;=0,MOD(((YEAR(DATE(YEAR(TODAY()),MONTH(TODAY())+9,1))-YEAR(Tools!$Q58))*12+MONTH(DATE(YEAR(TODAY()),MONTH(TODAY())+9,1))-MONTH(Tools!$Q58)),Tools!$U58)=0,OR(Tools!$L58="",EDATE(Tools!$Q58,((YEAR(DATE(YEAR(TODAY()),MONTH(TODAY())+9,1))-YEAR(Tools!$Q58))*12+MONTH(DATE(YEAR(TODAY()),MONTH(TODAY())+9,1))-MONTH(Tools!$Q58)))&lt;Tools!$L58)),Tools!$N58,""))</f>
        <v/>
      </c>
      <c r="M59" s="30">
        <f>IF(OR(Tools!$B58="",Tools!$Q58=""),"",IF(AND(((YEAR(DATE(YEAR(TODAY()),MONTH(TODAY())+10,1))-YEAR(Tools!$Q58))*12+MONTH(DATE(YEAR(TODAY()),MONTH(TODAY())+10,1))-MONTH(Tools!$Q58))&gt;=0,MOD(((YEAR(DATE(YEAR(TODAY()),MONTH(TODAY())+10,1))-YEAR(Tools!$Q58))*12+MONTH(DATE(YEAR(TODAY()),MONTH(TODAY())+10,1))-MONTH(Tools!$Q58)),Tools!$U58)=0,OR(Tools!$L58="",EDATE(Tools!$Q58,((YEAR(DATE(YEAR(TODAY()),MONTH(TODAY())+10,1))-YEAR(Tools!$Q58))*12+MONTH(DATE(YEAR(TODAY()),MONTH(TODAY())+10,1))-MONTH(Tools!$Q58)))&lt;Tools!$L58)),Tools!$N58,""))</f>
        <v/>
      </c>
      <c r="N59" s="30">
        <f>IF(OR(Tools!$B58="",Tools!$Q58=""),"",IF(AND(((YEAR(DATE(YEAR(TODAY()),MONTH(TODAY())+11,1))-YEAR(Tools!$Q58))*12+MONTH(DATE(YEAR(TODAY()),MONTH(TODAY())+11,1))-MONTH(Tools!$Q58))&gt;=0,MOD(((YEAR(DATE(YEAR(TODAY()),MONTH(TODAY())+11,1))-YEAR(Tools!$Q58))*12+MONTH(DATE(YEAR(TODAY()),MONTH(TODAY())+11,1))-MONTH(Tools!$Q58)),Tools!$U58)=0,OR(Tools!$L58="",EDATE(Tools!$Q58,((YEAR(DATE(YEAR(TODAY()),MONTH(TODAY())+11,1))-YEAR(Tools!$Q58))*12+MONTH(DATE(YEAR(TODAY()),MONTH(TODAY())+11,1))-MONTH(Tools!$Q58)))&lt;Tools!$L58)),Tools!$N58,""))</f>
        <v/>
      </c>
      <c r="O59" s="31">
        <f>IF(B59="","",SUM(C59:N59))</f>
        <v/>
      </c>
      <c r="P59" s="1" t="n"/>
    </row>
    <row r="60">
      <c r="A60" s="1" t="n"/>
      <c r="B60" s="11">
        <f>IF(Tools!B59="","",Tools!B59)</f>
        <v/>
      </c>
      <c r="C60" s="30">
        <f>IF(OR(Tools!$B59="",Tools!$Q59=""),"",IF(AND(((YEAR(DATE(YEAR(TODAY()),MONTH(TODAY())+0,1))-YEAR(Tools!$Q59))*12+MONTH(DATE(YEAR(TODAY()),MONTH(TODAY())+0,1))-MONTH(Tools!$Q59))&gt;=0,MOD(((YEAR(DATE(YEAR(TODAY()),MONTH(TODAY())+0,1))-YEAR(Tools!$Q59))*12+MONTH(DATE(YEAR(TODAY()),MONTH(TODAY())+0,1))-MONTH(Tools!$Q59)),Tools!$U59)=0,OR(Tools!$L59="",EDATE(Tools!$Q59,((YEAR(DATE(YEAR(TODAY()),MONTH(TODAY())+0,1))-YEAR(Tools!$Q59))*12+MONTH(DATE(YEAR(TODAY()),MONTH(TODAY())+0,1))-MONTH(Tools!$Q59)))&lt;Tools!$L59)),Tools!$N59,""))</f>
        <v/>
      </c>
      <c r="D60" s="30">
        <f>IF(OR(Tools!$B59="",Tools!$Q59=""),"",IF(AND(((YEAR(DATE(YEAR(TODAY()),MONTH(TODAY())+1,1))-YEAR(Tools!$Q59))*12+MONTH(DATE(YEAR(TODAY()),MONTH(TODAY())+1,1))-MONTH(Tools!$Q59))&gt;=0,MOD(((YEAR(DATE(YEAR(TODAY()),MONTH(TODAY())+1,1))-YEAR(Tools!$Q59))*12+MONTH(DATE(YEAR(TODAY()),MONTH(TODAY())+1,1))-MONTH(Tools!$Q59)),Tools!$U59)=0,OR(Tools!$L59="",EDATE(Tools!$Q59,((YEAR(DATE(YEAR(TODAY()),MONTH(TODAY())+1,1))-YEAR(Tools!$Q59))*12+MONTH(DATE(YEAR(TODAY()),MONTH(TODAY())+1,1))-MONTH(Tools!$Q59)))&lt;Tools!$L59)),Tools!$N59,""))</f>
        <v/>
      </c>
      <c r="E60" s="30">
        <f>IF(OR(Tools!$B59="",Tools!$Q59=""),"",IF(AND(((YEAR(DATE(YEAR(TODAY()),MONTH(TODAY())+2,1))-YEAR(Tools!$Q59))*12+MONTH(DATE(YEAR(TODAY()),MONTH(TODAY())+2,1))-MONTH(Tools!$Q59))&gt;=0,MOD(((YEAR(DATE(YEAR(TODAY()),MONTH(TODAY())+2,1))-YEAR(Tools!$Q59))*12+MONTH(DATE(YEAR(TODAY()),MONTH(TODAY())+2,1))-MONTH(Tools!$Q59)),Tools!$U59)=0,OR(Tools!$L59="",EDATE(Tools!$Q59,((YEAR(DATE(YEAR(TODAY()),MONTH(TODAY())+2,1))-YEAR(Tools!$Q59))*12+MONTH(DATE(YEAR(TODAY()),MONTH(TODAY())+2,1))-MONTH(Tools!$Q59)))&lt;Tools!$L59)),Tools!$N59,""))</f>
        <v/>
      </c>
      <c r="F60" s="30">
        <f>IF(OR(Tools!$B59="",Tools!$Q59=""),"",IF(AND(((YEAR(DATE(YEAR(TODAY()),MONTH(TODAY())+3,1))-YEAR(Tools!$Q59))*12+MONTH(DATE(YEAR(TODAY()),MONTH(TODAY())+3,1))-MONTH(Tools!$Q59))&gt;=0,MOD(((YEAR(DATE(YEAR(TODAY()),MONTH(TODAY())+3,1))-YEAR(Tools!$Q59))*12+MONTH(DATE(YEAR(TODAY()),MONTH(TODAY())+3,1))-MONTH(Tools!$Q59)),Tools!$U59)=0,OR(Tools!$L59="",EDATE(Tools!$Q59,((YEAR(DATE(YEAR(TODAY()),MONTH(TODAY())+3,1))-YEAR(Tools!$Q59))*12+MONTH(DATE(YEAR(TODAY()),MONTH(TODAY())+3,1))-MONTH(Tools!$Q59)))&lt;Tools!$L59)),Tools!$N59,""))</f>
        <v/>
      </c>
      <c r="G60" s="30">
        <f>IF(OR(Tools!$B59="",Tools!$Q59=""),"",IF(AND(((YEAR(DATE(YEAR(TODAY()),MONTH(TODAY())+4,1))-YEAR(Tools!$Q59))*12+MONTH(DATE(YEAR(TODAY()),MONTH(TODAY())+4,1))-MONTH(Tools!$Q59))&gt;=0,MOD(((YEAR(DATE(YEAR(TODAY()),MONTH(TODAY())+4,1))-YEAR(Tools!$Q59))*12+MONTH(DATE(YEAR(TODAY()),MONTH(TODAY())+4,1))-MONTH(Tools!$Q59)),Tools!$U59)=0,OR(Tools!$L59="",EDATE(Tools!$Q59,((YEAR(DATE(YEAR(TODAY()),MONTH(TODAY())+4,1))-YEAR(Tools!$Q59))*12+MONTH(DATE(YEAR(TODAY()),MONTH(TODAY())+4,1))-MONTH(Tools!$Q59)))&lt;Tools!$L59)),Tools!$N59,""))</f>
        <v/>
      </c>
      <c r="H60" s="30">
        <f>IF(OR(Tools!$B59="",Tools!$Q59=""),"",IF(AND(((YEAR(DATE(YEAR(TODAY()),MONTH(TODAY())+5,1))-YEAR(Tools!$Q59))*12+MONTH(DATE(YEAR(TODAY()),MONTH(TODAY())+5,1))-MONTH(Tools!$Q59))&gt;=0,MOD(((YEAR(DATE(YEAR(TODAY()),MONTH(TODAY())+5,1))-YEAR(Tools!$Q59))*12+MONTH(DATE(YEAR(TODAY()),MONTH(TODAY())+5,1))-MONTH(Tools!$Q59)),Tools!$U59)=0,OR(Tools!$L59="",EDATE(Tools!$Q59,((YEAR(DATE(YEAR(TODAY()),MONTH(TODAY())+5,1))-YEAR(Tools!$Q59))*12+MONTH(DATE(YEAR(TODAY()),MONTH(TODAY())+5,1))-MONTH(Tools!$Q59)))&lt;Tools!$L59)),Tools!$N59,""))</f>
        <v/>
      </c>
      <c r="I60" s="30">
        <f>IF(OR(Tools!$B59="",Tools!$Q59=""),"",IF(AND(((YEAR(DATE(YEAR(TODAY()),MONTH(TODAY())+6,1))-YEAR(Tools!$Q59))*12+MONTH(DATE(YEAR(TODAY()),MONTH(TODAY())+6,1))-MONTH(Tools!$Q59))&gt;=0,MOD(((YEAR(DATE(YEAR(TODAY()),MONTH(TODAY())+6,1))-YEAR(Tools!$Q59))*12+MONTH(DATE(YEAR(TODAY()),MONTH(TODAY())+6,1))-MONTH(Tools!$Q59)),Tools!$U59)=0,OR(Tools!$L59="",EDATE(Tools!$Q59,((YEAR(DATE(YEAR(TODAY()),MONTH(TODAY())+6,1))-YEAR(Tools!$Q59))*12+MONTH(DATE(YEAR(TODAY()),MONTH(TODAY())+6,1))-MONTH(Tools!$Q59)))&lt;Tools!$L59)),Tools!$N59,""))</f>
        <v/>
      </c>
      <c r="J60" s="30">
        <f>IF(OR(Tools!$B59="",Tools!$Q59=""),"",IF(AND(((YEAR(DATE(YEAR(TODAY()),MONTH(TODAY())+7,1))-YEAR(Tools!$Q59))*12+MONTH(DATE(YEAR(TODAY()),MONTH(TODAY())+7,1))-MONTH(Tools!$Q59))&gt;=0,MOD(((YEAR(DATE(YEAR(TODAY()),MONTH(TODAY())+7,1))-YEAR(Tools!$Q59))*12+MONTH(DATE(YEAR(TODAY()),MONTH(TODAY())+7,1))-MONTH(Tools!$Q59)),Tools!$U59)=0,OR(Tools!$L59="",EDATE(Tools!$Q59,((YEAR(DATE(YEAR(TODAY()),MONTH(TODAY())+7,1))-YEAR(Tools!$Q59))*12+MONTH(DATE(YEAR(TODAY()),MONTH(TODAY())+7,1))-MONTH(Tools!$Q59)))&lt;Tools!$L59)),Tools!$N59,""))</f>
        <v/>
      </c>
      <c r="K60" s="30">
        <f>IF(OR(Tools!$B59="",Tools!$Q59=""),"",IF(AND(((YEAR(DATE(YEAR(TODAY()),MONTH(TODAY())+8,1))-YEAR(Tools!$Q59))*12+MONTH(DATE(YEAR(TODAY()),MONTH(TODAY())+8,1))-MONTH(Tools!$Q59))&gt;=0,MOD(((YEAR(DATE(YEAR(TODAY()),MONTH(TODAY())+8,1))-YEAR(Tools!$Q59))*12+MONTH(DATE(YEAR(TODAY()),MONTH(TODAY())+8,1))-MONTH(Tools!$Q59)),Tools!$U59)=0,OR(Tools!$L59="",EDATE(Tools!$Q59,((YEAR(DATE(YEAR(TODAY()),MONTH(TODAY())+8,1))-YEAR(Tools!$Q59))*12+MONTH(DATE(YEAR(TODAY()),MONTH(TODAY())+8,1))-MONTH(Tools!$Q59)))&lt;Tools!$L59)),Tools!$N59,""))</f>
        <v/>
      </c>
      <c r="L60" s="30">
        <f>IF(OR(Tools!$B59="",Tools!$Q59=""),"",IF(AND(((YEAR(DATE(YEAR(TODAY()),MONTH(TODAY())+9,1))-YEAR(Tools!$Q59))*12+MONTH(DATE(YEAR(TODAY()),MONTH(TODAY())+9,1))-MONTH(Tools!$Q59))&gt;=0,MOD(((YEAR(DATE(YEAR(TODAY()),MONTH(TODAY())+9,1))-YEAR(Tools!$Q59))*12+MONTH(DATE(YEAR(TODAY()),MONTH(TODAY())+9,1))-MONTH(Tools!$Q59)),Tools!$U59)=0,OR(Tools!$L59="",EDATE(Tools!$Q59,((YEAR(DATE(YEAR(TODAY()),MONTH(TODAY())+9,1))-YEAR(Tools!$Q59))*12+MONTH(DATE(YEAR(TODAY()),MONTH(TODAY())+9,1))-MONTH(Tools!$Q59)))&lt;Tools!$L59)),Tools!$N59,""))</f>
        <v/>
      </c>
      <c r="M60" s="30">
        <f>IF(OR(Tools!$B59="",Tools!$Q59=""),"",IF(AND(((YEAR(DATE(YEAR(TODAY()),MONTH(TODAY())+10,1))-YEAR(Tools!$Q59))*12+MONTH(DATE(YEAR(TODAY()),MONTH(TODAY())+10,1))-MONTH(Tools!$Q59))&gt;=0,MOD(((YEAR(DATE(YEAR(TODAY()),MONTH(TODAY())+10,1))-YEAR(Tools!$Q59))*12+MONTH(DATE(YEAR(TODAY()),MONTH(TODAY())+10,1))-MONTH(Tools!$Q59)),Tools!$U59)=0,OR(Tools!$L59="",EDATE(Tools!$Q59,((YEAR(DATE(YEAR(TODAY()),MONTH(TODAY())+10,1))-YEAR(Tools!$Q59))*12+MONTH(DATE(YEAR(TODAY()),MONTH(TODAY())+10,1))-MONTH(Tools!$Q59)))&lt;Tools!$L59)),Tools!$N59,""))</f>
        <v/>
      </c>
      <c r="N60" s="30">
        <f>IF(OR(Tools!$B59="",Tools!$Q59=""),"",IF(AND(((YEAR(DATE(YEAR(TODAY()),MONTH(TODAY())+11,1))-YEAR(Tools!$Q59))*12+MONTH(DATE(YEAR(TODAY()),MONTH(TODAY())+11,1))-MONTH(Tools!$Q59))&gt;=0,MOD(((YEAR(DATE(YEAR(TODAY()),MONTH(TODAY())+11,1))-YEAR(Tools!$Q59))*12+MONTH(DATE(YEAR(TODAY()),MONTH(TODAY())+11,1))-MONTH(Tools!$Q59)),Tools!$U59)=0,OR(Tools!$L59="",EDATE(Tools!$Q59,((YEAR(DATE(YEAR(TODAY()),MONTH(TODAY())+11,1))-YEAR(Tools!$Q59))*12+MONTH(DATE(YEAR(TODAY()),MONTH(TODAY())+11,1))-MONTH(Tools!$Q59)))&lt;Tools!$L59)),Tools!$N59,""))</f>
        <v/>
      </c>
      <c r="O60" s="31">
        <f>IF(B60="","",SUM(C60:N60))</f>
        <v/>
      </c>
      <c r="P60" s="1" t="n"/>
    </row>
    <row r="61">
      <c r="A61" s="1" t="n"/>
      <c r="B61" s="11">
        <f>IF(Tools!B60="","",Tools!B60)</f>
        <v/>
      </c>
      <c r="C61" s="30">
        <f>IF(OR(Tools!$B60="",Tools!$Q60=""),"",IF(AND(((YEAR(DATE(YEAR(TODAY()),MONTH(TODAY())+0,1))-YEAR(Tools!$Q60))*12+MONTH(DATE(YEAR(TODAY()),MONTH(TODAY())+0,1))-MONTH(Tools!$Q60))&gt;=0,MOD(((YEAR(DATE(YEAR(TODAY()),MONTH(TODAY())+0,1))-YEAR(Tools!$Q60))*12+MONTH(DATE(YEAR(TODAY()),MONTH(TODAY())+0,1))-MONTH(Tools!$Q60)),Tools!$U60)=0,OR(Tools!$L60="",EDATE(Tools!$Q60,((YEAR(DATE(YEAR(TODAY()),MONTH(TODAY())+0,1))-YEAR(Tools!$Q60))*12+MONTH(DATE(YEAR(TODAY()),MONTH(TODAY())+0,1))-MONTH(Tools!$Q60)))&lt;Tools!$L60)),Tools!$N60,""))</f>
        <v/>
      </c>
      <c r="D61" s="30">
        <f>IF(OR(Tools!$B60="",Tools!$Q60=""),"",IF(AND(((YEAR(DATE(YEAR(TODAY()),MONTH(TODAY())+1,1))-YEAR(Tools!$Q60))*12+MONTH(DATE(YEAR(TODAY()),MONTH(TODAY())+1,1))-MONTH(Tools!$Q60))&gt;=0,MOD(((YEAR(DATE(YEAR(TODAY()),MONTH(TODAY())+1,1))-YEAR(Tools!$Q60))*12+MONTH(DATE(YEAR(TODAY()),MONTH(TODAY())+1,1))-MONTH(Tools!$Q60)),Tools!$U60)=0,OR(Tools!$L60="",EDATE(Tools!$Q60,((YEAR(DATE(YEAR(TODAY()),MONTH(TODAY())+1,1))-YEAR(Tools!$Q60))*12+MONTH(DATE(YEAR(TODAY()),MONTH(TODAY())+1,1))-MONTH(Tools!$Q60)))&lt;Tools!$L60)),Tools!$N60,""))</f>
        <v/>
      </c>
      <c r="E61" s="30">
        <f>IF(OR(Tools!$B60="",Tools!$Q60=""),"",IF(AND(((YEAR(DATE(YEAR(TODAY()),MONTH(TODAY())+2,1))-YEAR(Tools!$Q60))*12+MONTH(DATE(YEAR(TODAY()),MONTH(TODAY())+2,1))-MONTH(Tools!$Q60))&gt;=0,MOD(((YEAR(DATE(YEAR(TODAY()),MONTH(TODAY())+2,1))-YEAR(Tools!$Q60))*12+MONTH(DATE(YEAR(TODAY()),MONTH(TODAY())+2,1))-MONTH(Tools!$Q60)),Tools!$U60)=0,OR(Tools!$L60="",EDATE(Tools!$Q60,((YEAR(DATE(YEAR(TODAY()),MONTH(TODAY())+2,1))-YEAR(Tools!$Q60))*12+MONTH(DATE(YEAR(TODAY()),MONTH(TODAY())+2,1))-MONTH(Tools!$Q60)))&lt;Tools!$L60)),Tools!$N60,""))</f>
        <v/>
      </c>
      <c r="F61" s="30">
        <f>IF(OR(Tools!$B60="",Tools!$Q60=""),"",IF(AND(((YEAR(DATE(YEAR(TODAY()),MONTH(TODAY())+3,1))-YEAR(Tools!$Q60))*12+MONTH(DATE(YEAR(TODAY()),MONTH(TODAY())+3,1))-MONTH(Tools!$Q60))&gt;=0,MOD(((YEAR(DATE(YEAR(TODAY()),MONTH(TODAY())+3,1))-YEAR(Tools!$Q60))*12+MONTH(DATE(YEAR(TODAY()),MONTH(TODAY())+3,1))-MONTH(Tools!$Q60)),Tools!$U60)=0,OR(Tools!$L60="",EDATE(Tools!$Q60,((YEAR(DATE(YEAR(TODAY()),MONTH(TODAY())+3,1))-YEAR(Tools!$Q60))*12+MONTH(DATE(YEAR(TODAY()),MONTH(TODAY())+3,1))-MONTH(Tools!$Q60)))&lt;Tools!$L60)),Tools!$N60,""))</f>
        <v/>
      </c>
      <c r="G61" s="30">
        <f>IF(OR(Tools!$B60="",Tools!$Q60=""),"",IF(AND(((YEAR(DATE(YEAR(TODAY()),MONTH(TODAY())+4,1))-YEAR(Tools!$Q60))*12+MONTH(DATE(YEAR(TODAY()),MONTH(TODAY())+4,1))-MONTH(Tools!$Q60))&gt;=0,MOD(((YEAR(DATE(YEAR(TODAY()),MONTH(TODAY())+4,1))-YEAR(Tools!$Q60))*12+MONTH(DATE(YEAR(TODAY()),MONTH(TODAY())+4,1))-MONTH(Tools!$Q60)),Tools!$U60)=0,OR(Tools!$L60="",EDATE(Tools!$Q60,((YEAR(DATE(YEAR(TODAY()),MONTH(TODAY())+4,1))-YEAR(Tools!$Q60))*12+MONTH(DATE(YEAR(TODAY()),MONTH(TODAY())+4,1))-MONTH(Tools!$Q60)))&lt;Tools!$L60)),Tools!$N60,""))</f>
        <v/>
      </c>
      <c r="H61" s="30">
        <f>IF(OR(Tools!$B60="",Tools!$Q60=""),"",IF(AND(((YEAR(DATE(YEAR(TODAY()),MONTH(TODAY())+5,1))-YEAR(Tools!$Q60))*12+MONTH(DATE(YEAR(TODAY()),MONTH(TODAY())+5,1))-MONTH(Tools!$Q60))&gt;=0,MOD(((YEAR(DATE(YEAR(TODAY()),MONTH(TODAY())+5,1))-YEAR(Tools!$Q60))*12+MONTH(DATE(YEAR(TODAY()),MONTH(TODAY())+5,1))-MONTH(Tools!$Q60)),Tools!$U60)=0,OR(Tools!$L60="",EDATE(Tools!$Q60,((YEAR(DATE(YEAR(TODAY()),MONTH(TODAY())+5,1))-YEAR(Tools!$Q60))*12+MONTH(DATE(YEAR(TODAY()),MONTH(TODAY())+5,1))-MONTH(Tools!$Q60)))&lt;Tools!$L60)),Tools!$N60,""))</f>
        <v/>
      </c>
      <c r="I61" s="30">
        <f>IF(OR(Tools!$B60="",Tools!$Q60=""),"",IF(AND(((YEAR(DATE(YEAR(TODAY()),MONTH(TODAY())+6,1))-YEAR(Tools!$Q60))*12+MONTH(DATE(YEAR(TODAY()),MONTH(TODAY())+6,1))-MONTH(Tools!$Q60))&gt;=0,MOD(((YEAR(DATE(YEAR(TODAY()),MONTH(TODAY())+6,1))-YEAR(Tools!$Q60))*12+MONTH(DATE(YEAR(TODAY()),MONTH(TODAY())+6,1))-MONTH(Tools!$Q60)),Tools!$U60)=0,OR(Tools!$L60="",EDATE(Tools!$Q60,((YEAR(DATE(YEAR(TODAY()),MONTH(TODAY())+6,1))-YEAR(Tools!$Q60))*12+MONTH(DATE(YEAR(TODAY()),MONTH(TODAY())+6,1))-MONTH(Tools!$Q60)))&lt;Tools!$L60)),Tools!$N60,""))</f>
        <v/>
      </c>
      <c r="J61" s="30">
        <f>IF(OR(Tools!$B60="",Tools!$Q60=""),"",IF(AND(((YEAR(DATE(YEAR(TODAY()),MONTH(TODAY())+7,1))-YEAR(Tools!$Q60))*12+MONTH(DATE(YEAR(TODAY()),MONTH(TODAY())+7,1))-MONTH(Tools!$Q60))&gt;=0,MOD(((YEAR(DATE(YEAR(TODAY()),MONTH(TODAY())+7,1))-YEAR(Tools!$Q60))*12+MONTH(DATE(YEAR(TODAY()),MONTH(TODAY())+7,1))-MONTH(Tools!$Q60)),Tools!$U60)=0,OR(Tools!$L60="",EDATE(Tools!$Q60,((YEAR(DATE(YEAR(TODAY()),MONTH(TODAY())+7,1))-YEAR(Tools!$Q60))*12+MONTH(DATE(YEAR(TODAY()),MONTH(TODAY())+7,1))-MONTH(Tools!$Q60)))&lt;Tools!$L60)),Tools!$N60,""))</f>
        <v/>
      </c>
      <c r="K61" s="30">
        <f>IF(OR(Tools!$B60="",Tools!$Q60=""),"",IF(AND(((YEAR(DATE(YEAR(TODAY()),MONTH(TODAY())+8,1))-YEAR(Tools!$Q60))*12+MONTH(DATE(YEAR(TODAY()),MONTH(TODAY())+8,1))-MONTH(Tools!$Q60))&gt;=0,MOD(((YEAR(DATE(YEAR(TODAY()),MONTH(TODAY())+8,1))-YEAR(Tools!$Q60))*12+MONTH(DATE(YEAR(TODAY()),MONTH(TODAY())+8,1))-MONTH(Tools!$Q60)),Tools!$U60)=0,OR(Tools!$L60="",EDATE(Tools!$Q60,((YEAR(DATE(YEAR(TODAY()),MONTH(TODAY())+8,1))-YEAR(Tools!$Q60))*12+MONTH(DATE(YEAR(TODAY()),MONTH(TODAY())+8,1))-MONTH(Tools!$Q60)))&lt;Tools!$L60)),Tools!$N60,""))</f>
        <v/>
      </c>
      <c r="L61" s="30">
        <f>IF(OR(Tools!$B60="",Tools!$Q60=""),"",IF(AND(((YEAR(DATE(YEAR(TODAY()),MONTH(TODAY())+9,1))-YEAR(Tools!$Q60))*12+MONTH(DATE(YEAR(TODAY()),MONTH(TODAY())+9,1))-MONTH(Tools!$Q60))&gt;=0,MOD(((YEAR(DATE(YEAR(TODAY()),MONTH(TODAY())+9,1))-YEAR(Tools!$Q60))*12+MONTH(DATE(YEAR(TODAY()),MONTH(TODAY())+9,1))-MONTH(Tools!$Q60)),Tools!$U60)=0,OR(Tools!$L60="",EDATE(Tools!$Q60,((YEAR(DATE(YEAR(TODAY()),MONTH(TODAY())+9,1))-YEAR(Tools!$Q60))*12+MONTH(DATE(YEAR(TODAY()),MONTH(TODAY())+9,1))-MONTH(Tools!$Q60)))&lt;Tools!$L60)),Tools!$N60,""))</f>
        <v/>
      </c>
      <c r="M61" s="30">
        <f>IF(OR(Tools!$B60="",Tools!$Q60=""),"",IF(AND(((YEAR(DATE(YEAR(TODAY()),MONTH(TODAY())+10,1))-YEAR(Tools!$Q60))*12+MONTH(DATE(YEAR(TODAY()),MONTH(TODAY())+10,1))-MONTH(Tools!$Q60))&gt;=0,MOD(((YEAR(DATE(YEAR(TODAY()),MONTH(TODAY())+10,1))-YEAR(Tools!$Q60))*12+MONTH(DATE(YEAR(TODAY()),MONTH(TODAY())+10,1))-MONTH(Tools!$Q60)),Tools!$U60)=0,OR(Tools!$L60="",EDATE(Tools!$Q60,((YEAR(DATE(YEAR(TODAY()),MONTH(TODAY())+10,1))-YEAR(Tools!$Q60))*12+MONTH(DATE(YEAR(TODAY()),MONTH(TODAY())+10,1))-MONTH(Tools!$Q60)))&lt;Tools!$L60)),Tools!$N60,""))</f>
        <v/>
      </c>
      <c r="N61" s="30">
        <f>IF(OR(Tools!$B60="",Tools!$Q60=""),"",IF(AND(((YEAR(DATE(YEAR(TODAY()),MONTH(TODAY())+11,1))-YEAR(Tools!$Q60))*12+MONTH(DATE(YEAR(TODAY()),MONTH(TODAY())+11,1))-MONTH(Tools!$Q60))&gt;=0,MOD(((YEAR(DATE(YEAR(TODAY()),MONTH(TODAY())+11,1))-YEAR(Tools!$Q60))*12+MONTH(DATE(YEAR(TODAY()),MONTH(TODAY())+11,1))-MONTH(Tools!$Q60)),Tools!$U60)=0,OR(Tools!$L60="",EDATE(Tools!$Q60,((YEAR(DATE(YEAR(TODAY()),MONTH(TODAY())+11,1))-YEAR(Tools!$Q60))*12+MONTH(DATE(YEAR(TODAY()),MONTH(TODAY())+11,1))-MONTH(Tools!$Q60)))&lt;Tools!$L60)),Tools!$N60,""))</f>
        <v/>
      </c>
      <c r="O61" s="31">
        <f>IF(B61="","",SUM(C61:N61))</f>
        <v/>
      </c>
      <c r="P61" s="1" t="n"/>
    </row>
    <row r="62">
      <c r="A62" s="1" t="n"/>
      <c r="B62" s="11">
        <f>IF(Tools!B61="","",Tools!B61)</f>
        <v/>
      </c>
      <c r="C62" s="30">
        <f>IF(OR(Tools!$B61="",Tools!$Q61=""),"",IF(AND(((YEAR(DATE(YEAR(TODAY()),MONTH(TODAY())+0,1))-YEAR(Tools!$Q61))*12+MONTH(DATE(YEAR(TODAY()),MONTH(TODAY())+0,1))-MONTH(Tools!$Q61))&gt;=0,MOD(((YEAR(DATE(YEAR(TODAY()),MONTH(TODAY())+0,1))-YEAR(Tools!$Q61))*12+MONTH(DATE(YEAR(TODAY()),MONTH(TODAY())+0,1))-MONTH(Tools!$Q61)),Tools!$U61)=0,OR(Tools!$L61="",EDATE(Tools!$Q61,((YEAR(DATE(YEAR(TODAY()),MONTH(TODAY())+0,1))-YEAR(Tools!$Q61))*12+MONTH(DATE(YEAR(TODAY()),MONTH(TODAY())+0,1))-MONTH(Tools!$Q61)))&lt;Tools!$L61)),Tools!$N61,""))</f>
        <v/>
      </c>
      <c r="D62" s="30">
        <f>IF(OR(Tools!$B61="",Tools!$Q61=""),"",IF(AND(((YEAR(DATE(YEAR(TODAY()),MONTH(TODAY())+1,1))-YEAR(Tools!$Q61))*12+MONTH(DATE(YEAR(TODAY()),MONTH(TODAY())+1,1))-MONTH(Tools!$Q61))&gt;=0,MOD(((YEAR(DATE(YEAR(TODAY()),MONTH(TODAY())+1,1))-YEAR(Tools!$Q61))*12+MONTH(DATE(YEAR(TODAY()),MONTH(TODAY())+1,1))-MONTH(Tools!$Q61)),Tools!$U61)=0,OR(Tools!$L61="",EDATE(Tools!$Q61,((YEAR(DATE(YEAR(TODAY()),MONTH(TODAY())+1,1))-YEAR(Tools!$Q61))*12+MONTH(DATE(YEAR(TODAY()),MONTH(TODAY())+1,1))-MONTH(Tools!$Q61)))&lt;Tools!$L61)),Tools!$N61,""))</f>
        <v/>
      </c>
      <c r="E62" s="30">
        <f>IF(OR(Tools!$B61="",Tools!$Q61=""),"",IF(AND(((YEAR(DATE(YEAR(TODAY()),MONTH(TODAY())+2,1))-YEAR(Tools!$Q61))*12+MONTH(DATE(YEAR(TODAY()),MONTH(TODAY())+2,1))-MONTH(Tools!$Q61))&gt;=0,MOD(((YEAR(DATE(YEAR(TODAY()),MONTH(TODAY())+2,1))-YEAR(Tools!$Q61))*12+MONTH(DATE(YEAR(TODAY()),MONTH(TODAY())+2,1))-MONTH(Tools!$Q61)),Tools!$U61)=0,OR(Tools!$L61="",EDATE(Tools!$Q61,((YEAR(DATE(YEAR(TODAY()),MONTH(TODAY())+2,1))-YEAR(Tools!$Q61))*12+MONTH(DATE(YEAR(TODAY()),MONTH(TODAY())+2,1))-MONTH(Tools!$Q61)))&lt;Tools!$L61)),Tools!$N61,""))</f>
        <v/>
      </c>
      <c r="F62" s="30">
        <f>IF(OR(Tools!$B61="",Tools!$Q61=""),"",IF(AND(((YEAR(DATE(YEAR(TODAY()),MONTH(TODAY())+3,1))-YEAR(Tools!$Q61))*12+MONTH(DATE(YEAR(TODAY()),MONTH(TODAY())+3,1))-MONTH(Tools!$Q61))&gt;=0,MOD(((YEAR(DATE(YEAR(TODAY()),MONTH(TODAY())+3,1))-YEAR(Tools!$Q61))*12+MONTH(DATE(YEAR(TODAY()),MONTH(TODAY())+3,1))-MONTH(Tools!$Q61)),Tools!$U61)=0,OR(Tools!$L61="",EDATE(Tools!$Q61,((YEAR(DATE(YEAR(TODAY()),MONTH(TODAY())+3,1))-YEAR(Tools!$Q61))*12+MONTH(DATE(YEAR(TODAY()),MONTH(TODAY())+3,1))-MONTH(Tools!$Q61)))&lt;Tools!$L61)),Tools!$N61,""))</f>
        <v/>
      </c>
      <c r="G62" s="30">
        <f>IF(OR(Tools!$B61="",Tools!$Q61=""),"",IF(AND(((YEAR(DATE(YEAR(TODAY()),MONTH(TODAY())+4,1))-YEAR(Tools!$Q61))*12+MONTH(DATE(YEAR(TODAY()),MONTH(TODAY())+4,1))-MONTH(Tools!$Q61))&gt;=0,MOD(((YEAR(DATE(YEAR(TODAY()),MONTH(TODAY())+4,1))-YEAR(Tools!$Q61))*12+MONTH(DATE(YEAR(TODAY()),MONTH(TODAY())+4,1))-MONTH(Tools!$Q61)),Tools!$U61)=0,OR(Tools!$L61="",EDATE(Tools!$Q61,((YEAR(DATE(YEAR(TODAY()),MONTH(TODAY())+4,1))-YEAR(Tools!$Q61))*12+MONTH(DATE(YEAR(TODAY()),MONTH(TODAY())+4,1))-MONTH(Tools!$Q61)))&lt;Tools!$L61)),Tools!$N61,""))</f>
        <v/>
      </c>
      <c r="H62" s="30">
        <f>IF(OR(Tools!$B61="",Tools!$Q61=""),"",IF(AND(((YEAR(DATE(YEAR(TODAY()),MONTH(TODAY())+5,1))-YEAR(Tools!$Q61))*12+MONTH(DATE(YEAR(TODAY()),MONTH(TODAY())+5,1))-MONTH(Tools!$Q61))&gt;=0,MOD(((YEAR(DATE(YEAR(TODAY()),MONTH(TODAY())+5,1))-YEAR(Tools!$Q61))*12+MONTH(DATE(YEAR(TODAY()),MONTH(TODAY())+5,1))-MONTH(Tools!$Q61)),Tools!$U61)=0,OR(Tools!$L61="",EDATE(Tools!$Q61,((YEAR(DATE(YEAR(TODAY()),MONTH(TODAY())+5,1))-YEAR(Tools!$Q61))*12+MONTH(DATE(YEAR(TODAY()),MONTH(TODAY())+5,1))-MONTH(Tools!$Q61)))&lt;Tools!$L61)),Tools!$N61,""))</f>
        <v/>
      </c>
      <c r="I62" s="30">
        <f>IF(OR(Tools!$B61="",Tools!$Q61=""),"",IF(AND(((YEAR(DATE(YEAR(TODAY()),MONTH(TODAY())+6,1))-YEAR(Tools!$Q61))*12+MONTH(DATE(YEAR(TODAY()),MONTH(TODAY())+6,1))-MONTH(Tools!$Q61))&gt;=0,MOD(((YEAR(DATE(YEAR(TODAY()),MONTH(TODAY())+6,1))-YEAR(Tools!$Q61))*12+MONTH(DATE(YEAR(TODAY()),MONTH(TODAY())+6,1))-MONTH(Tools!$Q61)),Tools!$U61)=0,OR(Tools!$L61="",EDATE(Tools!$Q61,((YEAR(DATE(YEAR(TODAY()),MONTH(TODAY())+6,1))-YEAR(Tools!$Q61))*12+MONTH(DATE(YEAR(TODAY()),MONTH(TODAY())+6,1))-MONTH(Tools!$Q61)))&lt;Tools!$L61)),Tools!$N61,""))</f>
        <v/>
      </c>
      <c r="J62" s="30">
        <f>IF(OR(Tools!$B61="",Tools!$Q61=""),"",IF(AND(((YEAR(DATE(YEAR(TODAY()),MONTH(TODAY())+7,1))-YEAR(Tools!$Q61))*12+MONTH(DATE(YEAR(TODAY()),MONTH(TODAY())+7,1))-MONTH(Tools!$Q61))&gt;=0,MOD(((YEAR(DATE(YEAR(TODAY()),MONTH(TODAY())+7,1))-YEAR(Tools!$Q61))*12+MONTH(DATE(YEAR(TODAY()),MONTH(TODAY())+7,1))-MONTH(Tools!$Q61)),Tools!$U61)=0,OR(Tools!$L61="",EDATE(Tools!$Q61,((YEAR(DATE(YEAR(TODAY()),MONTH(TODAY())+7,1))-YEAR(Tools!$Q61))*12+MONTH(DATE(YEAR(TODAY()),MONTH(TODAY())+7,1))-MONTH(Tools!$Q61)))&lt;Tools!$L61)),Tools!$N61,""))</f>
        <v/>
      </c>
      <c r="K62" s="30">
        <f>IF(OR(Tools!$B61="",Tools!$Q61=""),"",IF(AND(((YEAR(DATE(YEAR(TODAY()),MONTH(TODAY())+8,1))-YEAR(Tools!$Q61))*12+MONTH(DATE(YEAR(TODAY()),MONTH(TODAY())+8,1))-MONTH(Tools!$Q61))&gt;=0,MOD(((YEAR(DATE(YEAR(TODAY()),MONTH(TODAY())+8,1))-YEAR(Tools!$Q61))*12+MONTH(DATE(YEAR(TODAY()),MONTH(TODAY())+8,1))-MONTH(Tools!$Q61)),Tools!$U61)=0,OR(Tools!$L61="",EDATE(Tools!$Q61,((YEAR(DATE(YEAR(TODAY()),MONTH(TODAY())+8,1))-YEAR(Tools!$Q61))*12+MONTH(DATE(YEAR(TODAY()),MONTH(TODAY())+8,1))-MONTH(Tools!$Q61)))&lt;Tools!$L61)),Tools!$N61,""))</f>
        <v/>
      </c>
      <c r="L62" s="30">
        <f>IF(OR(Tools!$B61="",Tools!$Q61=""),"",IF(AND(((YEAR(DATE(YEAR(TODAY()),MONTH(TODAY())+9,1))-YEAR(Tools!$Q61))*12+MONTH(DATE(YEAR(TODAY()),MONTH(TODAY())+9,1))-MONTH(Tools!$Q61))&gt;=0,MOD(((YEAR(DATE(YEAR(TODAY()),MONTH(TODAY())+9,1))-YEAR(Tools!$Q61))*12+MONTH(DATE(YEAR(TODAY()),MONTH(TODAY())+9,1))-MONTH(Tools!$Q61)),Tools!$U61)=0,OR(Tools!$L61="",EDATE(Tools!$Q61,((YEAR(DATE(YEAR(TODAY()),MONTH(TODAY())+9,1))-YEAR(Tools!$Q61))*12+MONTH(DATE(YEAR(TODAY()),MONTH(TODAY())+9,1))-MONTH(Tools!$Q61)))&lt;Tools!$L61)),Tools!$N61,""))</f>
        <v/>
      </c>
      <c r="M62" s="30">
        <f>IF(OR(Tools!$B61="",Tools!$Q61=""),"",IF(AND(((YEAR(DATE(YEAR(TODAY()),MONTH(TODAY())+10,1))-YEAR(Tools!$Q61))*12+MONTH(DATE(YEAR(TODAY()),MONTH(TODAY())+10,1))-MONTH(Tools!$Q61))&gt;=0,MOD(((YEAR(DATE(YEAR(TODAY()),MONTH(TODAY())+10,1))-YEAR(Tools!$Q61))*12+MONTH(DATE(YEAR(TODAY()),MONTH(TODAY())+10,1))-MONTH(Tools!$Q61)),Tools!$U61)=0,OR(Tools!$L61="",EDATE(Tools!$Q61,((YEAR(DATE(YEAR(TODAY()),MONTH(TODAY())+10,1))-YEAR(Tools!$Q61))*12+MONTH(DATE(YEAR(TODAY()),MONTH(TODAY())+10,1))-MONTH(Tools!$Q61)))&lt;Tools!$L61)),Tools!$N61,""))</f>
        <v/>
      </c>
      <c r="N62" s="30">
        <f>IF(OR(Tools!$B61="",Tools!$Q61=""),"",IF(AND(((YEAR(DATE(YEAR(TODAY()),MONTH(TODAY())+11,1))-YEAR(Tools!$Q61))*12+MONTH(DATE(YEAR(TODAY()),MONTH(TODAY())+11,1))-MONTH(Tools!$Q61))&gt;=0,MOD(((YEAR(DATE(YEAR(TODAY()),MONTH(TODAY())+11,1))-YEAR(Tools!$Q61))*12+MONTH(DATE(YEAR(TODAY()),MONTH(TODAY())+11,1))-MONTH(Tools!$Q61)),Tools!$U61)=0,OR(Tools!$L61="",EDATE(Tools!$Q61,((YEAR(DATE(YEAR(TODAY()),MONTH(TODAY())+11,1))-YEAR(Tools!$Q61))*12+MONTH(DATE(YEAR(TODAY()),MONTH(TODAY())+11,1))-MONTH(Tools!$Q61)))&lt;Tools!$L61)),Tools!$N61,""))</f>
        <v/>
      </c>
      <c r="O62" s="31">
        <f>IF(B62="","",SUM(C62:N62))</f>
        <v/>
      </c>
      <c r="P62" s="1" t="n"/>
    </row>
    <row r="63">
      <c r="A63" s="1" t="n"/>
      <c r="B63" s="11">
        <f>IF(Tools!B62="","",Tools!B62)</f>
        <v/>
      </c>
      <c r="C63" s="30">
        <f>IF(OR(Tools!$B62="",Tools!$Q62=""),"",IF(AND(((YEAR(DATE(YEAR(TODAY()),MONTH(TODAY())+0,1))-YEAR(Tools!$Q62))*12+MONTH(DATE(YEAR(TODAY()),MONTH(TODAY())+0,1))-MONTH(Tools!$Q62))&gt;=0,MOD(((YEAR(DATE(YEAR(TODAY()),MONTH(TODAY())+0,1))-YEAR(Tools!$Q62))*12+MONTH(DATE(YEAR(TODAY()),MONTH(TODAY())+0,1))-MONTH(Tools!$Q62)),Tools!$U62)=0,OR(Tools!$L62="",EDATE(Tools!$Q62,((YEAR(DATE(YEAR(TODAY()),MONTH(TODAY())+0,1))-YEAR(Tools!$Q62))*12+MONTH(DATE(YEAR(TODAY()),MONTH(TODAY())+0,1))-MONTH(Tools!$Q62)))&lt;Tools!$L62)),Tools!$N62,""))</f>
        <v/>
      </c>
      <c r="D63" s="30">
        <f>IF(OR(Tools!$B62="",Tools!$Q62=""),"",IF(AND(((YEAR(DATE(YEAR(TODAY()),MONTH(TODAY())+1,1))-YEAR(Tools!$Q62))*12+MONTH(DATE(YEAR(TODAY()),MONTH(TODAY())+1,1))-MONTH(Tools!$Q62))&gt;=0,MOD(((YEAR(DATE(YEAR(TODAY()),MONTH(TODAY())+1,1))-YEAR(Tools!$Q62))*12+MONTH(DATE(YEAR(TODAY()),MONTH(TODAY())+1,1))-MONTH(Tools!$Q62)),Tools!$U62)=0,OR(Tools!$L62="",EDATE(Tools!$Q62,((YEAR(DATE(YEAR(TODAY()),MONTH(TODAY())+1,1))-YEAR(Tools!$Q62))*12+MONTH(DATE(YEAR(TODAY()),MONTH(TODAY())+1,1))-MONTH(Tools!$Q62)))&lt;Tools!$L62)),Tools!$N62,""))</f>
        <v/>
      </c>
      <c r="E63" s="30">
        <f>IF(OR(Tools!$B62="",Tools!$Q62=""),"",IF(AND(((YEAR(DATE(YEAR(TODAY()),MONTH(TODAY())+2,1))-YEAR(Tools!$Q62))*12+MONTH(DATE(YEAR(TODAY()),MONTH(TODAY())+2,1))-MONTH(Tools!$Q62))&gt;=0,MOD(((YEAR(DATE(YEAR(TODAY()),MONTH(TODAY())+2,1))-YEAR(Tools!$Q62))*12+MONTH(DATE(YEAR(TODAY()),MONTH(TODAY())+2,1))-MONTH(Tools!$Q62)),Tools!$U62)=0,OR(Tools!$L62="",EDATE(Tools!$Q62,((YEAR(DATE(YEAR(TODAY()),MONTH(TODAY())+2,1))-YEAR(Tools!$Q62))*12+MONTH(DATE(YEAR(TODAY()),MONTH(TODAY())+2,1))-MONTH(Tools!$Q62)))&lt;Tools!$L62)),Tools!$N62,""))</f>
        <v/>
      </c>
      <c r="F63" s="30">
        <f>IF(OR(Tools!$B62="",Tools!$Q62=""),"",IF(AND(((YEAR(DATE(YEAR(TODAY()),MONTH(TODAY())+3,1))-YEAR(Tools!$Q62))*12+MONTH(DATE(YEAR(TODAY()),MONTH(TODAY())+3,1))-MONTH(Tools!$Q62))&gt;=0,MOD(((YEAR(DATE(YEAR(TODAY()),MONTH(TODAY())+3,1))-YEAR(Tools!$Q62))*12+MONTH(DATE(YEAR(TODAY()),MONTH(TODAY())+3,1))-MONTH(Tools!$Q62)),Tools!$U62)=0,OR(Tools!$L62="",EDATE(Tools!$Q62,((YEAR(DATE(YEAR(TODAY()),MONTH(TODAY())+3,1))-YEAR(Tools!$Q62))*12+MONTH(DATE(YEAR(TODAY()),MONTH(TODAY())+3,1))-MONTH(Tools!$Q62)))&lt;Tools!$L62)),Tools!$N62,""))</f>
        <v/>
      </c>
      <c r="G63" s="30">
        <f>IF(OR(Tools!$B62="",Tools!$Q62=""),"",IF(AND(((YEAR(DATE(YEAR(TODAY()),MONTH(TODAY())+4,1))-YEAR(Tools!$Q62))*12+MONTH(DATE(YEAR(TODAY()),MONTH(TODAY())+4,1))-MONTH(Tools!$Q62))&gt;=0,MOD(((YEAR(DATE(YEAR(TODAY()),MONTH(TODAY())+4,1))-YEAR(Tools!$Q62))*12+MONTH(DATE(YEAR(TODAY()),MONTH(TODAY())+4,1))-MONTH(Tools!$Q62)),Tools!$U62)=0,OR(Tools!$L62="",EDATE(Tools!$Q62,((YEAR(DATE(YEAR(TODAY()),MONTH(TODAY())+4,1))-YEAR(Tools!$Q62))*12+MONTH(DATE(YEAR(TODAY()),MONTH(TODAY())+4,1))-MONTH(Tools!$Q62)))&lt;Tools!$L62)),Tools!$N62,""))</f>
        <v/>
      </c>
      <c r="H63" s="30">
        <f>IF(OR(Tools!$B62="",Tools!$Q62=""),"",IF(AND(((YEAR(DATE(YEAR(TODAY()),MONTH(TODAY())+5,1))-YEAR(Tools!$Q62))*12+MONTH(DATE(YEAR(TODAY()),MONTH(TODAY())+5,1))-MONTH(Tools!$Q62))&gt;=0,MOD(((YEAR(DATE(YEAR(TODAY()),MONTH(TODAY())+5,1))-YEAR(Tools!$Q62))*12+MONTH(DATE(YEAR(TODAY()),MONTH(TODAY())+5,1))-MONTH(Tools!$Q62)),Tools!$U62)=0,OR(Tools!$L62="",EDATE(Tools!$Q62,((YEAR(DATE(YEAR(TODAY()),MONTH(TODAY())+5,1))-YEAR(Tools!$Q62))*12+MONTH(DATE(YEAR(TODAY()),MONTH(TODAY())+5,1))-MONTH(Tools!$Q62)))&lt;Tools!$L62)),Tools!$N62,""))</f>
        <v/>
      </c>
      <c r="I63" s="30">
        <f>IF(OR(Tools!$B62="",Tools!$Q62=""),"",IF(AND(((YEAR(DATE(YEAR(TODAY()),MONTH(TODAY())+6,1))-YEAR(Tools!$Q62))*12+MONTH(DATE(YEAR(TODAY()),MONTH(TODAY())+6,1))-MONTH(Tools!$Q62))&gt;=0,MOD(((YEAR(DATE(YEAR(TODAY()),MONTH(TODAY())+6,1))-YEAR(Tools!$Q62))*12+MONTH(DATE(YEAR(TODAY()),MONTH(TODAY())+6,1))-MONTH(Tools!$Q62)),Tools!$U62)=0,OR(Tools!$L62="",EDATE(Tools!$Q62,((YEAR(DATE(YEAR(TODAY()),MONTH(TODAY())+6,1))-YEAR(Tools!$Q62))*12+MONTH(DATE(YEAR(TODAY()),MONTH(TODAY())+6,1))-MONTH(Tools!$Q62)))&lt;Tools!$L62)),Tools!$N62,""))</f>
        <v/>
      </c>
      <c r="J63" s="30">
        <f>IF(OR(Tools!$B62="",Tools!$Q62=""),"",IF(AND(((YEAR(DATE(YEAR(TODAY()),MONTH(TODAY())+7,1))-YEAR(Tools!$Q62))*12+MONTH(DATE(YEAR(TODAY()),MONTH(TODAY())+7,1))-MONTH(Tools!$Q62))&gt;=0,MOD(((YEAR(DATE(YEAR(TODAY()),MONTH(TODAY())+7,1))-YEAR(Tools!$Q62))*12+MONTH(DATE(YEAR(TODAY()),MONTH(TODAY())+7,1))-MONTH(Tools!$Q62)),Tools!$U62)=0,OR(Tools!$L62="",EDATE(Tools!$Q62,((YEAR(DATE(YEAR(TODAY()),MONTH(TODAY())+7,1))-YEAR(Tools!$Q62))*12+MONTH(DATE(YEAR(TODAY()),MONTH(TODAY())+7,1))-MONTH(Tools!$Q62)))&lt;Tools!$L62)),Tools!$N62,""))</f>
        <v/>
      </c>
      <c r="K63" s="30">
        <f>IF(OR(Tools!$B62="",Tools!$Q62=""),"",IF(AND(((YEAR(DATE(YEAR(TODAY()),MONTH(TODAY())+8,1))-YEAR(Tools!$Q62))*12+MONTH(DATE(YEAR(TODAY()),MONTH(TODAY())+8,1))-MONTH(Tools!$Q62))&gt;=0,MOD(((YEAR(DATE(YEAR(TODAY()),MONTH(TODAY())+8,1))-YEAR(Tools!$Q62))*12+MONTH(DATE(YEAR(TODAY()),MONTH(TODAY())+8,1))-MONTH(Tools!$Q62)),Tools!$U62)=0,OR(Tools!$L62="",EDATE(Tools!$Q62,((YEAR(DATE(YEAR(TODAY()),MONTH(TODAY())+8,1))-YEAR(Tools!$Q62))*12+MONTH(DATE(YEAR(TODAY()),MONTH(TODAY())+8,1))-MONTH(Tools!$Q62)))&lt;Tools!$L62)),Tools!$N62,""))</f>
        <v/>
      </c>
      <c r="L63" s="30">
        <f>IF(OR(Tools!$B62="",Tools!$Q62=""),"",IF(AND(((YEAR(DATE(YEAR(TODAY()),MONTH(TODAY())+9,1))-YEAR(Tools!$Q62))*12+MONTH(DATE(YEAR(TODAY()),MONTH(TODAY())+9,1))-MONTH(Tools!$Q62))&gt;=0,MOD(((YEAR(DATE(YEAR(TODAY()),MONTH(TODAY())+9,1))-YEAR(Tools!$Q62))*12+MONTH(DATE(YEAR(TODAY()),MONTH(TODAY())+9,1))-MONTH(Tools!$Q62)),Tools!$U62)=0,OR(Tools!$L62="",EDATE(Tools!$Q62,((YEAR(DATE(YEAR(TODAY()),MONTH(TODAY())+9,1))-YEAR(Tools!$Q62))*12+MONTH(DATE(YEAR(TODAY()),MONTH(TODAY())+9,1))-MONTH(Tools!$Q62)))&lt;Tools!$L62)),Tools!$N62,""))</f>
        <v/>
      </c>
      <c r="M63" s="30">
        <f>IF(OR(Tools!$B62="",Tools!$Q62=""),"",IF(AND(((YEAR(DATE(YEAR(TODAY()),MONTH(TODAY())+10,1))-YEAR(Tools!$Q62))*12+MONTH(DATE(YEAR(TODAY()),MONTH(TODAY())+10,1))-MONTH(Tools!$Q62))&gt;=0,MOD(((YEAR(DATE(YEAR(TODAY()),MONTH(TODAY())+10,1))-YEAR(Tools!$Q62))*12+MONTH(DATE(YEAR(TODAY()),MONTH(TODAY())+10,1))-MONTH(Tools!$Q62)),Tools!$U62)=0,OR(Tools!$L62="",EDATE(Tools!$Q62,((YEAR(DATE(YEAR(TODAY()),MONTH(TODAY())+10,1))-YEAR(Tools!$Q62))*12+MONTH(DATE(YEAR(TODAY()),MONTH(TODAY())+10,1))-MONTH(Tools!$Q62)))&lt;Tools!$L62)),Tools!$N62,""))</f>
        <v/>
      </c>
      <c r="N63" s="30">
        <f>IF(OR(Tools!$B62="",Tools!$Q62=""),"",IF(AND(((YEAR(DATE(YEAR(TODAY()),MONTH(TODAY())+11,1))-YEAR(Tools!$Q62))*12+MONTH(DATE(YEAR(TODAY()),MONTH(TODAY())+11,1))-MONTH(Tools!$Q62))&gt;=0,MOD(((YEAR(DATE(YEAR(TODAY()),MONTH(TODAY())+11,1))-YEAR(Tools!$Q62))*12+MONTH(DATE(YEAR(TODAY()),MONTH(TODAY())+11,1))-MONTH(Tools!$Q62)),Tools!$U62)=0,OR(Tools!$L62="",EDATE(Tools!$Q62,((YEAR(DATE(YEAR(TODAY()),MONTH(TODAY())+11,1))-YEAR(Tools!$Q62))*12+MONTH(DATE(YEAR(TODAY()),MONTH(TODAY())+11,1))-MONTH(Tools!$Q62)))&lt;Tools!$L62)),Tools!$N62,""))</f>
        <v/>
      </c>
      <c r="O63" s="31">
        <f>IF(B63="","",SUM(C63:N63))</f>
        <v/>
      </c>
      <c r="P63" s="1" t="n"/>
    </row>
    <row r="64">
      <c r="A64" s="1" t="n"/>
      <c r="B64" s="11">
        <f>IF(Tools!B63="","",Tools!B63)</f>
        <v/>
      </c>
      <c r="C64" s="30">
        <f>IF(OR(Tools!$B63="",Tools!$Q63=""),"",IF(AND(((YEAR(DATE(YEAR(TODAY()),MONTH(TODAY())+0,1))-YEAR(Tools!$Q63))*12+MONTH(DATE(YEAR(TODAY()),MONTH(TODAY())+0,1))-MONTH(Tools!$Q63))&gt;=0,MOD(((YEAR(DATE(YEAR(TODAY()),MONTH(TODAY())+0,1))-YEAR(Tools!$Q63))*12+MONTH(DATE(YEAR(TODAY()),MONTH(TODAY())+0,1))-MONTH(Tools!$Q63)),Tools!$U63)=0,OR(Tools!$L63="",EDATE(Tools!$Q63,((YEAR(DATE(YEAR(TODAY()),MONTH(TODAY())+0,1))-YEAR(Tools!$Q63))*12+MONTH(DATE(YEAR(TODAY()),MONTH(TODAY())+0,1))-MONTH(Tools!$Q63)))&lt;Tools!$L63)),Tools!$N63,""))</f>
        <v/>
      </c>
      <c r="D64" s="30">
        <f>IF(OR(Tools!$B63="",Tools!$Q63=""),"",IF(AND(((YEAR(DATE(YEAR(TODAY()),MONTH(TODAY())+1,1))-YEAR(Tools!$Q63))*12+MONTH(DATE(YEAR(TODAY()),MONTH(TODAY())+1,1))-MONTH(Tools!$Q63))&gt;=0,MOD(((YEAR(DATE(YEAR(TODAY()),MONTH(TODAY())+1,1))-YEAR(Tools!$Q63))*12+MONTH(DATE(YEAR(TODAY()),MONTH(TODAY())+1,1))-MONTH(Tools!$Q63)),Tools!$U63)=0,OR(Tools!$L63="",EDATE(Tools!$Q63,((YEAR(DATE(YEAR(TODAY()),MONTH(TODAY())+1,1))-YEAR(Tools!$Q63))*12+MONTH(DATE(YEAR(TODAY()),MONTH(TODAY())+1,1))-MONTH(Tools!$Q63)))&lt;Tools!$L63)),Tools!$N63,""))</f>
        <v/>
      </c>
      <c r="E64" s="30">
        <f>IF(OR(Tools!$B63="",Tools!$Q63=""),"",IF(AND(((YEAR(DATE(YEAR(TODAY()),MONTH(TODAY())+2,1))-YEAR(Tools!$Q63))*12+MONTH(DATE(YEAR(TODAY()),MONTH(TODAY())+2,1))-MONTH(Tools!$Q63))&gt;=0,MOD(((YEAR(DATE(YEAR(TODAY()),MONTH(TODAY())+2,1))-YEAR(Tools!$Q63))*12+MONTH(DATE(YEAR(TODAY()),MONTH(TODAY())+2,1))-MONTH(Tools!$Q63)),Tools!$U63)=0,OR(Tools!$L63="",EDATE(Tools!$Q63,((YEAR(DATE(YEAR(TODAY()),MONTH(TODAY())+2,1))-YEAR(Tools!$Q63))*12+MONTH(DATE(YEAR(TODAY()),MONTH(TODAY())+2,1))-MONTH(Tools!$Q63)))&lt;Tools!$L63)),Tools!$N63,""))</f>
        <v/>
      </c>
      <c r="F64" s="30">
        <f>IF(OR(Tools!$B63="",Tools!$Q63=""),"",IF(AND(((YEAR(DATE(YEAR(TODAY()),MONTH(TODAY())+3,1))-YEAR(Tools!$Q63))*12+MONTH(DATE(YEAR(TODAY()),MONTH(TODAY())+3,1))-MONTH(Tools!$Q63))&gt;=0,MOD(((YEAR(DATE(YEAR(TODAY()),MONTH(TODAY())+3,1))-YEAR(Tools!$Q63))*12+MONTH(DATE(YEAR(TODAY()),MONTH(TODAY())+3,1))-MONTH(Tools!$Q63)),Tools!$U63)=0,OR(Tools!$L63="",EDATE(Tools!$Q63,((YEAR(DATE(YEAR(TODAY()),MONTH(TODAY())+3,1))-YEAR(Tools!$Q63))*12+MONTH(DATE(YEAR(TODAY()),MONTH(TODAY())+3,1))-MONTH(Tools!$Q63)))&lt;Tools!$L63)),Tools!$N63,""))</f>
        <v/>
      </c>
      <c r="G64" s="30">
        <f>IF(OR(Tools!$B63="",Tools!$Q63=""),"",IF(AND(((YEAR(DATE(YEAR(TODAY()),MONTH(TODAY())+4,1))-YEAR(Tools!$Q63))*12+MONTH(DATE(YEAR(TODAY()),MONTH(TODAY())+4,1))-MONTH(Tools!$Q63))&gt;=0,MOD(((YEAR(DATE(YEAR(TODAY()),MONTH(TODAY())+4,1))-YEAR(Tools!$Q63))*12+MONTH(DATE(YEAR(TODAY()),MONTH(TODAY())+4,1))-MONTH(Tools!$Q63)),Tools!$U63)=0,OR(Tools!$L63="",EDATE(Tools!$Q63,((YEAR(DATE(YEAR(TODAY()),MONTH(TODAY())+4,1))-YEAR(Tools!$Q63))*12+MONTH(DATE(YEAR(TODAY()),MONTH(TODAY())+4,1))-MONTH(Tools!$Q63)))&lt;Tools!$L63)),Tools!$N63,""))</f>
        <v/>
      </c>
      <c r="H64" s="30">
        <f>IF(OR(Tools!$B63="",Tools!$Q63=""),"",IF(AND(((YEAR(DATE(YEAR(TODAY()),MONTH(TODAY())+5,1))-YEAR(Tools!$Q63))*12+MONTH(DATE(YEAR(TODAY()),MONTH(TODAY())+5,1))-MONTH(Tools!$Q63))&gt;=0,MOD(((YEAR(DATE(YEAR(TODAY()),MONTH(TODAY())+5,1))-YEAR(Tools!$Q63))*12+MONTH(DATE(YEAR(TODAY()),MONTH(TODAY())+5,1))-MONTH(Tools!$Q63)),Tools!$U63)=0,OR(Tools!$L63="",EDATE(Tools!$Q63,((YEAR(DATE(YEAR(TODAY()),MONTH(TODAY())+5,1))-YEAR(Tools!$Q63))*12+MONTH(DATE(YEAR(TODAY()),MONTH(TODAY())+5,1))-MONTH(Tools!$Q63)))&lt;Tools!$L63)),Tools!$N63,""))</f>
        <v/>
      </c>
      <c r="I64" s="30">
        <f>IF(OR(Tools!$B63="",Tools!$Q63=""),"",IF(AND(((YEAR(DATE(YEAR(TODAY()),MONTH(TODAY())+6,1))-YEAR(Tools!$Q63))*12+MONTH(DATE(YEAR(TODAY()),MONTH(TODAY())+6,1))-MONTH(Tools!$Q63))&gt;=0,MOD(((YEAR(DATE(YEAR(TODAY()),MONTH(TODAY())+6,1))-YEAR(Tools!$Q63))*12+MONTH(DATE(YEAR(TODAY()),MONTH(TODAY())+6,1))-MONTH(Tools!$Q63)),Tools!$U63)=0,OR(Tools!$L63="",EDATE(Tools!$Q63,((YEAR(DATE(YEAR(TODAY()),MONTH(TODAY())+6,1))-YEAR(Tools!$Q63))*12+MONTH(DATE(YEAR(TODAY()),MONTH(TODAY())+6,1))-MONTH(Tools!$Q63)))&lt;Tools!$L63)),Tools!$N63,""))</f>
        <v/>
      </c>
      <c r="J64" s="30">
        <f>IF(OR(Tools!$B63="",Tools!$Q63=""),"",IF(AND(((YEAR(DATE(YEAR(TODAY()),MONTH(TODAY())+7,1))-YEAR(Tools!$Q63))*12+MONTH(DATE(YEAR(TODAY()),MONTH(TODAY())+7,1))-MONTH(Tools!$Q63))&gt;=0,MOD(((YEAR(DATE(YEAR(TODAY()),MONTH(TODAY())+7,1))-YEAR(Tools!$Q63))*12+MONTH(DATE(YEAR(TODAY()),MONTH(TODAY())+7,1))-MONTH(Tools!$Q63)),Tools!$U63)=0,OR(Tools!$L63="",EDATE(Tools!$Q63,((YEAR(DATE(YEAR(TODAY()),MONTH(TODAY())+7,1))-YEAR(Tools!$Q63))*12+MONTH(DATE(YEAR(TODAY()),MONTH(TODAY())+7,1))-MONTH(Tools!$Q63)))&lt;Tools!$L63)),Tools!$N63,""))</f>
        <v/>
      </c>
      <c r="K64" s="30">
        <f>IF(OR(Tools!$B63="",Tools!$Q63=""),"",IF(AND(((YEAR(DATE(YEAR(TODAY()),MONTH(TODAY())+8,1))-YEAR(Tools!$Q63))*12+MONTH(DATE(YEAR(TODAY()),MONTH(TODAY())+8,1))-MONTH(Tools!$Q63))&gt;=0,MOD(((YEAR(DATE(YEAR(TODAY()),MONTH(TODAY())+8,1))-YEAR(Tools!$Q63))*12+MONTH(DATE(YEAR(TODAY()),MONTH(TODAY())+8,1))-MONTH(Tools!$Q63)),Tools!$U63)=0,OR(Tools!$L63="",EDATE(Tools!$Q63,((YEAR(DATE(YEAR(TODAY()),MONTH(TODAY())+8,1))-YEAR(Tools!$Q63))*12+MONTH(DATE(YEAR(TODAY()),MONTH(TODAY())+8,1))-MONTH(Tools!$Q63)))&lt;Tools!$L63)),Tools!$N63,""))</f>
        <v/>
      </c>
      <c r="L64" s="30">
        <f>IF(OR(Tools!$B63="",Tools!$Q63=""),"",IF(AND(((YEAR(DATE(YEAR(TODAY()),MONTH(TODAY())+9,1))-YEAR(Tools!$Q63))*12+MONTH(DATE(YEAR(TODAY()),MONTH(TODAY())+9,1))-MONTH(Tools!$Q63))&gt;=0,MOD(((YEAR(DATE(YEAR(TODAY()),MONTH(TODAY())+9,1))-YEAR(Tools!$Q63))*12+MONTH(DATE(YEAR(TODAY()),MONTH(TODAY())+9,1))-MONTH(Tools!$Q63)),Tools!$U63)=0,OR(Tools!$L63="",EDATE(Tools!$Q63,((YEAR(DATE(YEAR(TODAY()),MONTH(TODAY())+9,1))-YEAR(Tools!$Q63))*12+MONTH(DATE(YEAR(TODAY()),MONTH(TODAY())+9,1))-MONTH(Tools!$Q63)))&lt;Tools!$L63)),Tools!$N63,""))</f>
        <v/>
      </c>
      <c r="M64" s="30">
        <f>IF(OR(Tools!$B63="",Tools!$Q63=""),"",IF(AND(((YEAR(DATE(YEAR(TODAY()),MONTH(TODAY())+10,1))-YEAR(Tools!$Q63))*12+MONTH(DATE(YEAR(TODAY()),MONTH(TODAY())+10,1))-MONTH(Tools!$Q63))&gt;=0,MOD(((YEAR(DATE(YEAR(TODAY()),MONTH(TODAY())+10,1))-YEAR(Tools!$Q63))*12+MONTH(DATE(YEAR(TODAY()),MONTH(TODAY())+10,1))-MONTH(Tools!$Q63)),Tools!$U63)=0,OR(Tools!$L63="",EDATE(Tools!$Q63,((YEAR(DATE(YEAR(TODAY()),MONTH(TODAY())+10,1))-YEAR(Tools!$Q63))*12+MONTH(DATE(YEAR(TODAY()),MONTH(TODAY())+10,1))-MONTH(Tools!$Q63)))&lt;Tools!$L63)),Tools!$N63,""))</f>
        <v/>
      </c>
      <c r="N64" s="30">
        <f>IF(OR(Tools!$B63="",Tools!$Q63=""),"",IF(AND(((YEAR(DATE(YEAR(TODAY()),MONTH(TODAY())+11,1))-YEAR(Tools!$Q63))*12+MONTH(DATE(YEAR(TODAY()),MONTH(TODAY())+11,1))-MONTH(Tools!$Q63))&gt;=0,MOD(((YEAR(DATE(YEAR(TODAY()),MONTH(TODAY())+11,1))-YEAR(Tools!$Q63))*12+MONTH(DATE(YEAR(TODAY()),MONTH(TODAY())+11,1))-MONTH(Tools!$Q63)),Tools!$U63)=0,OR(Tools!$L63="",EDATE(Tools!$Q63,((YEAR(DATE(YEAR(TODAY()),MONTH(TODAY())+11,1))-YEAR(Tools!$Q63))*12+MONTH(DATE(YEAR(TODAY()),MONTH(TODAY())+11,1))-MONTH(Tools!$Q63)))&lt;Tools!$L63)),Tools!$N63,""))</f>
        <v/>
      </c>
      <c r="O64" s="31">
        <f>IF(B64="","",SUM(C64:N64))</f>
        <v/>
      </c>
      <c r="P64" s="1" t="n"/>
    </row>
    <row r="65">
      <c r="A65" s="1" t="n"/>
      <c r="B65" s="11">
        <f>IF(Tools!B64="","",Tools!B64)</f>
        <v/>
      </c>
      <c r="C65" s="30">
        <f>IF(OR(Tools!$B64="",Tools!$Q64=""),"",IF(AND(((YEAR(DATE(YEAR(TODAY()),MONTH(TODAY())+0,1))-YEAR(Tools!$Q64))*12+MONTH(DATE(YEAR(TODAY()),MONTH(TODAY())+0,1))-MONTH(Tools!$Q64))&gt;=0,MOD(((YEAR(DATE(YEAR(TODAY()),MONTH(TODAY())+0,1))-YEAR(Tools!$Q64))*12+MONTH(DATE(YEAR(TODAY()),MONTH(TODAY())+0,1))-MONTH(Tools!$Q64)),Tools!$U64)=0,OR(Tools!$L64="",EDATE(Tools!$Q64,((YEAR(DATE(YEAR(TODAY()),MONTH(TODAY())+0,1))-YEAR(Tools!$Q64))*12+MONTH(DATE(YEAR(TODAY()),MONTH(TODAY())+0,1))-MONTH(Tools!$Q64)))&lt;Tools!$L64)),Tools!$N64,""))</f>
        <v/>
      </c>
      <c r="D65" s="30">
        <f>IF(OR(Tools!$B64="",Tools!$Q64=""),"",IF(AND(((YEAR(DATE(YEAR(TODAY()),MONTH(TODAY())+1,1))-YEAR(Tools!$Q64))*12+MONTH(DATE(YEAR(TODAY()),MONTH(TODAY())+1,1))-MONTH(Tools!$Q64))&gt;=0,MOD(((YEAR(DATE(YEAR(TODAY()),MONTH(TODAY())+1,1))-YEAR(Tools!$Q64))*12+MONTH(DATE(YEAR(TODAY()),MONTH(TODAY())+1,1))-MONTH(Tools!$Q64)),Tools!$U64)=0,OR(Tools!$L64="",EDATE(Tools!$Q64,((YEAR(DATE(YEAR(TODAY()),MONTH(TODAY())+1,1))-YEAR(Tools!$Q64))*12+MONTH(DATE(YEAR(TODAY()),MONTH(TODAY())+1,1))-MONTH(Tools!$Q64)))&lt;Tools!$L64)),Tools!$N64,""))</f>
        <v/>
      </c>
      <c r="E65" s="30">
        <f>IF(OR(Tools!$B64="",Tools!$Q64=""),"",IF(AND(((YEAR(DATE(YEAR(TODAY()),MONTH(TODAY())+2,1))-YEAR(Tools!$Q64))*12+MONTH(DATE(YEAR(TODAY()),MONTH(TODAY())+2,1))-MONTH(Tools!$Q64))&gt;=0,MOD(((YEAR(DATE(YEAR(TODAY()),MONTH(TODAY())+2,1))-YEAR(Tools!$Q64))*12+MONTH(DATE(YEAR(TODAY()),MONTH(TODAY())+2,1))-MONTH(Tools!$Q64)),Tools!$U64)=0,OR(Tools!$L64="",EDATE(Tools!$Q64,((YEAR(DATE(YEAR(TODAY()),MONTH(TODAY())+2,1))-YEAR(Tools!$Q64))*12+MONTH(DATE(YEAR(TODAY()),MONTH(TODAY())+2,1))-MONTH(Tools!$Q64)))&lt;Tools!$L64)),Tools!$N64,""))</f>
        <v/>
      </c>
      <c r="F65" s="30">
        <f>IF(OR(Tools!$B64="",Tools!$Q64=""),"",IF(AND(((YEAR(DATE(YEAR(TODAY()),MONTH(TODAY())+3,1))-YEAR(Tools!$Q64))*12+MONTH(DATE(YEAR(TODAY()),MONTH(TODAY())+3,1))-MONTH(Tools!$Q64))&gt;=0,MOD(((YEAR(DATE(YEAR(TODAY()),MONTH(TODAY())+3,1))-YEAR(Tools!$Q64))*12+MONTH(DATE(YEAR(TODAY()),MONTH(TODAY())+3,1))-MONTH(Tools!$Q64)),Tools!$U64)=0,OR(Tools!$L64="",EDATE(Tools!$Q64,((YEAR(DATE(YEAR(TODAY()),MONTH(TODAY())+3,1))-YEAR(Tools!$Q64))*12+MONTH(DATE(YEAR(TODAY()),MONTH(TODAY())+3,1))-MONTH(Tools!$Q64)))&lt;Tools!$L64)),Tools!$N64,""))</f>
        <v/>
      </c>
      <c r="G65" s="30">
        <f>IF(OR(Tools!$B64="",Tools!$Q64=""),"",IF(AND(((YEAR(DATE(YEAR(TODAY()),MONTH(TODAY())+4,1))-YEAR(Tools!$Q64))*12+MONTH(DATE(YEAR(TODAY()),MONTH(TODAY())+4,1))-MONTH(Tools!$Q64))&gt;=0,MOD(((YEAR(DATE(YEAR(TODAY()),MONTH(TODAY())+4,1))-YEAR(Tools!$Q64))*12+MONTH(DATE(YEAR(TODAY()),MONTH(TODAY())+4,1))-MONTH(Tools!$Q64)),Tools!$U64)=0,OR(Tools!$L64="",EDATE(Tools!$Q64,((YEAR(DATE(YEAR(TODAY()),MONTH(TODAY())+4,1))-YEAR(Tools!$Q64))*12+MONTH(DATE(YEAR(TODAY()),MONTH(TODAY())+4,1))-MONTH(Tools!$Q64)))&lt;Tools!$L64)),Tools!$N64,""))</f>
        <v/>
      </c>
      <c r="H65" s="30">
        <f>IF(OR(Tools!$B64="",Tools!$Q64=""),"",IF(AND(((YEAR(DATE(YEAR(TODAY()),MONTH(TODAY())+5,1))-YEAR(Tools!$Q64))*12+MONTH(DATE(YEAR(TODAY()),MONTH(TODAY())+5,1))-MONTH(Tools!$Q64))&gt;=0,MOD(((YEAR(DATE(YEAR(TODAY()),MONTH(TODAY())+5,1))-YEAR(Tools!$Q64))*12+MONTH(DATE(YEAR(TODAY()),MONTH(TODAY())+5,1))-MONTH(Tools!$Q64)),Tools!$U64)=0,OR(Tools!$L64="",EDATE(Tools!$Q64,((YEAR(DATE(YEAR(TODAY()),MONTH(TODAY())+5,1))-YEAR(Tools!$Q64))*12+MONTH(DATE(YEAR(TODAY()),MONTH(TODAY())+5,1))-MONTH(Tools!$Q64)))&lt;Tools!$L64)),Tools!$N64,""))</f>
        <v/>
      </c>
      <c r="I65" s="30">
        <f>IF(OR(Tools!$B64="",Tools!$Q64=""),"",IF(AND(((YEAR(DATE(YEAR(TODAY()),MONTH(TODAY())+6,1))-YEAR(Tools!$Q64))*12+MONTH(DATE(YEAR(TODAY()),MONTH(TODAY())+6,1))-MONTH(Tools!$Q64))&gt;=0,MOD(((YEAR(DATE(YEAR(TODAY()),MONTH(TODAY())+6,1))-YEAR(Tools!$Q64))*12+MONTH(DATE(YEAR(TODAY()),MONTH(TODAY())+6,1))-MONTH(Tools!$Q64)),Tools!$U64)=0,OR(Tools!$L64="",EDATE(Tools!$Q64,((YEAR(DATE(YEAR(TODAY()),MONTH(TODAY())+6,1))-YEAR(Tools!$Q64))*12+MONTH(DATE(YEAR(TODAY()),MONTH(TODAY())+6,1))-MONTH(Tools!$Q64)))&lt;Tools!$L64)),Tools!$N64,""))</f>
        <v/>
      </c>
      <c r="J65" s="30">
        <f>IF(OR(Tools!$B64="",Tools!$Q64=""),"",IF(AND(((YEAR(DATE(YEAR(TODAY()),MONTH(TODAY())+7,1))-YEAR(Tools!$Q64))*12+MONTH(DATE(YEAR(TODAY()),MONTH(TODAY())+7,1))-MONTH(Tools!$Q64))&gt;=0,MOD(((YEAR(DATE(YEAR(TODAY()),MONTH(TODAY())+7,1))-YEAR(Tools!$Q64))*12+MONTH(DATE(YEAR(TODAY()),MONTH(TODAY())+7,1))-MONTH(Tools!$Q64)),Tools!$U64)=0,OR(Tools!$L64="",EDATE(Tools!$Q64,((YEAR(DATE(YEAR(TODAY()),MONTH(TODAY())+7,1))-YEAR(Tools!$Q64))*12+MONTH(DATE(YEAR(TODAY()),MONTH(TODAY())+7,1))-MONTH(Tools!$Q64)))&lt;Tools!$L64)),Tools!$N64,""))</f>
        <v/>
      </c>
      <c r="K65" s="30">
        <f>IF(OR(Tools!$B64="",Tools!$Q64=""),"",IF(AND(((YEAR(DATE(YEAR(TODAY()),MONTH(TODAY())+8,1))-YEAR(Tools!$Q64))*12+MONTH(DATE(YEAR(TODAY()),MONTH(TODAY())+8,1))-MONTH(Tools!$Q64))&gt;=0,MOD(((YEAR(DATE(YEAR(TODAY()),MONTH(TODAY())+8,1))-YEAR(Tools!$Q64))*12+MONTH(DATE(YEAR(TODAY()),MONTH(TODAY())+8,1))-MONTH(Tools!$Q64)),Tools!$U64)=0,OR(Tools!$L64="",EDATE(Tools!$Q64,((YEAR(DATE(YEAR(TODAY()),MONTH(TODAY())+8,1))-YEAR(Tools!$Q64))*12+MONTH(DATE(YEAR(TODAY()),MONTH(TODAY())+8,1))-MONTH(Tools!$Q64)))&lt;Tools!$L64)),Tools!$N64,""))</f>
        <v/>
      </c>
      <c r="L65" s="30">
        <f>IF(OR(Tools!$B64="",Tools!$Q64=""),"",IF(AND(((YEAR(DATE(YEAR(TODAY()),MONTH(TODAY())+9,1))-YEAR(Tools!$Q64))*12+MONTH(DATE(YEAR(TODAY()),MONTH(TODAY())+9,1))-MONTH(Tools!$Q64))&gt;=0,MOD(((YEAR(DATE(YEAR(TODAY()),MONTH(TODAY())+9,1))-YEAR(Tools!$Q64))*12+MONTH(DATE(YEAR(TODAY()),MONTH(TODAY())+9,1))-MONTH(Tools!$Q64)),Tools!$U64)=0,OR(Tools!$L64="",EDATE(Tools!$Q64,((YEAR(DATE(YEAR(TODAY()),MONTH(TODAY())+9,1))-YEAR(Tools!$Q64))*12+MONTH(DATE(YEAR(TODAY()),MONTH(TODAY())+9,1))-MONTH(Tools!$Q64)))&lt;Tools!$L64)),Tools!$N64,""))</f>
        <v/>
      </c>
      <c r="M65" s="30">
        <f>IF(OR(Tools!$B64="",Tools!$Q64=""),"",IF(AND(((YEAR(DATE(YEAR(TODAY()),MONTH(TODAY())+10,1))-YEAR(Tools!$Q64))*12+MONTH(DATE(YEAR(TODAY()),MONTH(TODAY())+10,1))-MONTH(Tools!$Q64))&gt;=0,MOD(((YEAR(DATE(YEAR(TODAY()),MONTH(TODAY())+10,1))-YEAR(Tools!$Q64))*12+MONTH(DATE(YEAR(TODAY()),MONTH(TODAY())+10,1))-MONTH(Tools!$Q64)),Tools!$U64)=0,OR(Tools!$L64="",EDATE(Tools!$Q64,((YEAR(DATE(YEAR(TODAY()),MONTH(TODAY())+10,1))-YEAR(Tools!$Q64))*12+MONTH(DATE(YEAR(TODAY()),MONTH(TODAY())+10,1))-MONTH(Tools!$Q64)))&lt;Tools!$L64)),Tools!$N64,""))</f>
        <v/>
      </c>
      <c r="N65" s="30">
        <f>IF(OR(Tools!$B64="",Tools!$Q64=""),"",IF(AND(((YEAR(DATE(YEAR(TODAY()),MONTH(TODAY())+11,1))-YEAR(Tools!$Q64))*12+MONTH(DATE(YEAR(TODAY()),MONTH(TODAY())+11,1))-MONTH(Tools!$Q64))&gt;=0,MOD(((YEAR(DATE(YEAR(TODAY()),MONTH(TODAY())+11,1))-YEAR(Tools!$Q64))*12+MONTH(DATE(YEAR(TODAY()),MONTH(TODAY())+11,1))-MONTH(Tools!$Q64)),Tools!$U64)=0,OR(Tools!$L64="",EDATE(Tools!$Q64,((YEAR(DATE(YEAR(TODAY()),MONTH(TODAY())+11,1))-YEAR(Tools!$Q64))*12+MONTH(DATE(YEAR(TODAY()),MONTH(TODAY())+11,1))-MONTH(Tools!$Q64)))&lt;Tools!$L64)),Tools!$N64,""))</f>
        <v/>
      </c>
      <c r="O65" s="31">
        <f>IF(B65="","",SUM(C65:N65))</f>
        <v/>
      </c>
      <c r="P65" s="1" t="n"/>
    </row>
    <row r="66">
      <c r="A66" s="1" t="n"/>
      <c r="B66" s="11">
        <f>IF(Tools!B65="","",Tools!B65)</f>
        <v/>
      </c>
      <c r="C66" s="30">
        <f>IF(OR(Tools!$B65="",Tools!$Q65=""),"",IF(AND(((YEAR(DATE(YEAR(TODAY()),MONTH(TODAY())+0,1))-YEAR(Tools!$Q65))*12+MONTH(DATE(YEAR(TODAY()),MONTH(TODAY())+0,1))-MONTH(Tools!$Q65))&gt;=0,MOD(((YEAR(DATE(YEAR(TODAY()),MONTH(TODAY())+0,1))-YEAR(Tools!$Q65))*12+MONTH(DATE(YEAR(TODAY()),MONTH(TODAY())+0,1))-MONTH(Tools!$Q65)),Tools!$U65)=0,OR(Tools!$L65="",EDATE(Tools!$Q65,((YEAR(DATE(YEAR(TODAY()),MONTH(TODAY())+0,1))-YEAR(Tools!$Q65))*12+MONTH(DATE(YEAR(TODAY()),MONTH(TODAY())+0,1))-MONTH(Tools!$Q65)))&lt;Tools!$L65)),Tools!$N65,""))</f>
        <v/>
      </c>
      <c r="D66" s="30">
        <f>IF(OR(Tools!$B65="",Tools!$Q65=""),"",IF(AND(((YEAR(DATE(YEAR(TODAY()),MONTH(TODAY())+1,1))-YEAR(Tools!$Q65))*12+MONTH(DATE(YEAR(TODAY()),MONTH(TODAY())+1,1))-MONTH(Tools!$Q65))&gt;=0,MOD(((YEAR(DATE(YEAR(TODAY()),MONTH(TODAY())+1,1))-YEAR(Tools!$Q65))*12+MONTH(DATE(YEAR(TODAY()),MONTH(TODAY())+1,1))-MONTH(Tools!$Q65)),Tools!$U65)=0,OR(Tools!$L65="",EDATE(Tools!$Q65,((YEAR(DATE(YEAR(TODAY()),MONTH(TODAY())+1,1))-YEAR(Tools!$Q65))*12+MONTH(DATE(YEAR(TODAY()),MONTH(TODAY())+1,1))-MONTH(Tools!$Q65)))&lt;Tools!$L65)),Tools!$N65,""))</f>
        <v/>
      </c>
      <c r="E66" s="30">
        <f>IF(OR(Tools!$B65="",Tools!$Q65=""),"",IF(AND(((YEAR(DATE(YEAR(TODAY()),MONTH(TODAY())+2,1))-YEAR(Tools!$Q65))*12+MONTH(DATE(YEAR(TODAY()),MONTH(TODAY())+2,1))-MONTH(Tools!$Q65))&gt;=0,MOD(((YEAR(DATE(YEAR(TODAY()),MONTH(TODAY())+2,1))-YEAR(Tools!$Q65))*12+MONTH(DATE(YEAR(TODAY()),MONTH(TODAY())+2,1))-MONTH(Tools!$Q65)),Tools!$U65)=0,OR(Tools!$L65="",EDATE(Tools!$Q65,((YEAR(DATE(YEAR(TODAY()),MONTH(TODAY())+2,1))-YEAR(Tools!$Q65))*12+MONTH(DATE(YEAR(TODAY()),MONTH(TODAY())+2,1))-MONTH(Tools!$Q65)))&lt;Tools!$L65)),Tools!$N65,""))</f>
        <v/>
      </c>
      <c r="F66" s="30">
        <f>IF(OR(Tools!$B65="",Tools!$Q65=""),"",IF(AND(((YEAR(DATE(YEAR(TODAY()),MONTH(TODAY())+3,1))-YEAR(Tools!$Q65))*12+MONTH(DATE(YEAR(TODAY()),MONTH(TODAY())+3,1))-MONTH(Tools!$Q65))&gt;=0,MOD(((YEAR(DATE(YEAR(TODAY()),MONTH(TODAY())+3,1))-YEAR(Tools!$Q65))*12+MONTH(DATE(YEAR(TODAY()),MONTH(TODAY())+3,1))-MONTH(Tools!$Q65)),Tools!$U65)=0,OR(Tools!$L65="",EDATE(Tools!$Q65,((YEAR(DATE(YEAR(TODAY()),MONTH(TODAY())+3,1))-YEAR(Tools!$Q65))*12+MONTH(DATE(YEAR(TODAY()),MONTH(TODAY())+3,1))-MONTH(Tools!$Q65)))&lt;Tools!$L65)),Tools!$N65,""))</f>
        <v/>
      </c>
      <c r="G66" s="30">
        <f>IF(OR(Tools!$B65="",Tools!$Q65=""),"",IF(AND(((YEAR(DATE(YEAR(TODAY()),MONTH(TODAY())+4,1))-YEAR(Tools!$Q65))*12+MONTH(DATE(YEAR(TODAY()),MONTH(TODAY())+4,1))-MONTH(Tools!$Q65))&gt;=0,MOD(((YEAR(DATE(YEAR(TODAY()),MONTH(TODAY())+4,1))-YEAR(Tools!$Q65))*12+MONTH(DATE(YEAR(TODAY()),MONTH(TODAY())+4,1))-MONTH(Tools!$Q65)),Tools!$U65)=0,OR(Tools!$L65="",EDATE(Tools!$Q65,((YEAR(DATE(YEAR(TODAY()),MONTH(TODAY())+4,1))-YEAR(Tools!$Q65))*12+MONTH(DATE(YEAR(TODAY()),MONTH(TODAY())+4,1))-MONTH(Tools!$Q65)))&lt;Tools!$L65)),Tools!$N65,""))</f>
        <v/>
      </c>
      <c r="H66" s="30">
        <f>IF(OR(Tools!$B65="",Tools!$Q65=""),"",IF(AND(((YEAR(DATE(YEAR(TODAY()),MONTH(TODAY())+5,1))-YEAR(Tools!$Q65))*12+MONTH(DATE(YEAR(TODAY()),MONTH(TODAY())+5,1))-MONTH(Tools!$Q65))&gt;=0,MOD(((YEAR(DATE(YEAR(TODAY()),MONTH(TODAY())+5,1))-YEAR(Tools!$Q65))*12+MONTH(DATE(YEAR(TODAY()),MONTH(TODAY())+5,1))-MONTH(Tools!$Q65)),Tools!$U65)=0,OR(Tools!$L65="",EDATE(Tools!$Q65,((YEAR(DATE(YEAR(TODAY()),MONTH(TODAY())+5,1))-YEAR(Tools!$Q65))*12+MONTH(DATE(YEAR(TODAY()),MONTH(TODAY())+5,1))-MONTH(Tools!$Q65)))&lt;Tools!$L65)),Tools!$N65,""))</f>
        <v/>
      </c>
      <c r="I66" s="30">
        <f>IF(OR(Tools!$B65="",Tools!$Q65=""),"",IF(AND(((YEAR(DATE(YEAR(TODAY()),MONTH(TODAY())+6,1))-YEAR(Tools!$Q65))*12+MONTH(DATE(YEAR(TODAY()),MONTH(TODAY())+6,1))-MONTH(Tools!$Q65))&gt;=0,MOD(((YEAR(DATE(YEAR(TODAY()),MONTH(TODAY())+6,1))-YEAR(Tools!$Q65))*12+MONTH(DATE(YEAR(TODAY()),MONTH(TODAY())+6,1))-MONTH(Tools!$Q65)),Tools!$U65)=0,OR(Tools!$L65="",EDATE(Tools!$Q65,((YEAR(DATE(YEAR(TODAY()),MONTH(TODAY())+6,1))-YEAR(Tools!$Q65))*12+MONTH(DATE(YEAR(TODAY()),MONTH(TODAY())+6,1))-MONTH(Tools!$Q65)))&lt;Tools!$L65)),Tools!$N65,""))</f>
        <v/>
      </c>
      <c r="J66" s="30">
        <f>IF(OR(Tools!$B65="",Tools!$Q65=""),"",IF(AND(((YEAR(DATE(YEAR(TODAY()),MONTH(TODAY())+7,1))-YEAR(Tools!$Q65))*12+MONTH(DATE(YEAR(TODAY()),MONTH(TODAY())+7,1))-MONTH(Tools!$Q65))&gt;=0,MOD(((YEAR(DATE(YEAR(TODAY()),MONTH(TODAY())+7,1))-YEAR(Tools!$Q65))*12+MONTH(DATE(YEAR(TODAY()),MONTH(TODAY())+7,1))-MONTH(Tools!$Q65)),Tools!$U65)=0,OR(Tools!$L65="",EDATE(Tools!$Q65,((YEAR(DATE(YEAR(TODAY()),MONTH(TODAY())+7,1))-YEAR(Tools!$Q65))*12+MONTH(DATE(YEAR(TODAY()),MONTH(TODAY())+7,1))-MONTH(Tools!$Q65)))&lt;Tools!$L65)),Tools!$N65,""))</f>
        <v/>
      </c>
      <c r="K66" s="30">
        <f>IF(OR(Tools!$B65="",Tools!$Q65=""),"",IF(AND(((YEAR(DATE(YEAR(TODAY()),MONTH(TODAY())+8,1))-YEAR(Tools!$Q65))*12+MONTH(DATE(YEAR(TODAY()),MONTH(TODAY())+8,1))-MONTH(Tools!$Q65))&gt;=0,MOD(((YEAR(DATE(YEAR(TODAY()),MONTH(TODAY())+8,1))-YEAR(Tools!$Q65))*12+MONTH(DATE(YEAR(TODAY()),MONTH(TODAY())+8,1))-MONTH(Tools!$Q65)),Tools!$U65)=0,OR(Tools!$L65="",EDATE(Tools!$Q65,((YEAR(DATE(YEAR(TODAY()),MONTH(TODAY())+8,1))-YEAR(Tools!$Q65))*12+MONTH(DATE(YEAR(TODAY()),MONTH(TODAY())+8,1))-MONTH(Tools!$Q65)))&lt;Tools!$L65)),Tools!$N65,""))</f>
        <v/>
      </c>
      <c r="L66" s="30">
        <f>IF(OR(Tools!$B65="",Tools!$Q65=""),"",IF(AND(((YEAR(DATE(YEAR(TODAY()),MONTH(TODAY())+9,1))-YEAR(Tools!$Q65))*12+MONTH(DATE(YEAR(TODAY()),MONTH(TODAY())+9,1))-MONTH(Tools!$Q65))&gt;=0,MOD(((YEAR(DATE(YEAR(TODAY()),MONTH(TODAY())+9,1))-YEAR(Tools!$Q65))*12+MONTH(DATE(YEAR(TODAY()),MONTH(TODAY())+9,1))-MONTH(Tools!$Q65)),Tools!$U65)=0,OR(Tools!$L65="",EDATE(Tools!$Q65,((YEAR(DATE(YEAR(TODAY()),MONTH(TODAY())+9,1))-YEAR(Tools!$Q65))*12+MONTH(DATE(YEAR(TODAY()),MONTH(TODAY())+9,1))-MONTH(Tools!$Q65)))&lt;Tools!$L65)),Tools!$N65,""))</f>
        <v/>
      </c>
      <c r="M66" s="30">
        <f>IF(OR(Tools!$B65="",Tools!$Q65=""),"",IF(AND(((YEAR(DATE(YEAR(TODAY()),MONTH(TODAY())+10,1))-YEAR(Tools!$Q65))*12+MONTH(DATE(YEAR(TODAY()),MONTH(TODAY())+10,1))-MONTH(Tools!$Q65))&gt;=0,MOD(((YEAR(DATE(YEAR(TODAY()),MONTH(TODAY())+10,1))-YEAR(Tools!$Q65))*12+MONTH(DATE(YEAR(TODAY()),MONTH(TODAY())+10,1))-MONTH(Tools!$Q65)),Tools!$U65)=0,OR(Tools!$L65="",EDATE(Tools!$Q65,((YEAR(DATE(YEAR(TODAY()),MONTH(TODAY())+10,1))-YEAR(Tools!$Q65))*12+MONTH(DATE(YEAR(TODAY()),MONTH(TODAY())+10,1))-MONTH(Tools!$Q65)))&lt;Tools!$L65)),Tools!$N65,""))</f>
        <v/>
      </c>
      <c r="N66" s="30">
        <f>IF(OR(Tools!$B65="",Tools!$Q65=""),"",IF(AND(((YEAR(DATE(YEAR(TODAY()),MONTH(TODAY())+11,1))-YEAR(Tools!$Q65))*12+MONTH(DATE(YEAR(TODAY()),MONTH(TODAY())+11,1))-MONTH(Tools!$Q65))&gt;=0,MOD(((YEAR(DATE(YEAR(TODAY()),MONTH(TODAY())+11,1))-YEAR(Tools!$Q65))*12+MONTH(DATE(YEAR(TODAY()),MONTH(TODAY())+11,1))-MONTH(Tools!$Q65)),Tools!$U65)=0,OR(Tools!$L65="",EDATE(Tools!$Q65,((YEAR(DATE(YEAR(TODAY()),MONTH(TODAY())+11,1))-YEAR(Tools!$Q65))*12+MONTH(DATE(YEAR(TODAY()),MONTH(TODAY())+11,1))-MONTH(Tools!$Q65)))&lt;Tools!$L65)),Tools!$N65,""))</f>
        <v/>
      </c>
      <c r="O66" s="31">
        <f>IF(B66="","",SUM(C66:N66))</f>
        <v/>
      </c>
      <c r="P66" s="1" t="n"/>
    </row>
    <row r="67">
      <c r="A67" s="1" t="n"/>
      <c r="B67" s="11">
        <f>IF(Tools!B66="","",Tools!B66)</f>
        <v/>
      </c>
      <c r="C67" s="30">
        <f>IF(OR(Tools!$B66="",Tools!$Q66=""),"",IF(AND(((YEAR(DATE(YEAR(TODAY()),MONTH(TODAY())+0,1))-YEAR(Tools!$Q66))*12+MONTH(DATE(YEAR(TODAY()),MONTH(TODAY())+0,1))-MONTH(Tools!$Q66))&gt;=0,MOD(((YEAR(DATE(YEAR(TODAY()),MONTH(TODAY())+0,1))-YEAR(Tools!$Q66))*12+MONTH(DATE(YEAR(TODAY()),MONTH(TODAY())+0,1))-MONTH(Tools!$Q66)),Tools!$U66)=0,OR(Tools!$L66="",EDATE(Tools!$Q66,((YEAR(DATE(YEAR(TODAY()),MONTH(TODAY())+0,1))-YEAR(Tools!$Q66))*12+MONTH(DATE(YEAR(TODAY()),MONTH(TODAY())+0,1))-MONTH(Tools!$Q66)))&lt;Tools!$L66)),Tools!$N66,""))</f>
        <v/>
      </c>
      <c r="D67" s="30">
        <f>IF(OR(Tools!$B66="",Tools!$Q66=""),"",IF(AND(((YEAR(DATE(YEAR(TODAY()),MONTH(TODAY())+1,1))-YEAR(Tools!$Q66))*12+MONTH(DATE(YEAR(TODAY()),MONTH(TODAY())+1,1))-MONTH(Tools!$Q66))&gt;=0,MOD(((YEAR(DATE(YEAR(TODAY()),MONTH(TODAY())+1,1))-YEAR(Tools!$Q66))*12+MONTH(DATE(YEAR(TODAY()),MONTH(TODAY())+1,1))-MONTH(Tools!$Q66)),Tools!$U66)=0,OR(Tools!$L66="",EDATE(Tools!$Q66,((YEAR(DATE(YEAR(TODAY()),MONTH(TODAY())+1,1))-YEAR(Tools!$Q66))*12+MONTH(DATE(YEAR(TODAY()),MONTH(TODAY())+1,1))-MONTH(Tools!$Q66)))&lt;Tools!$L66)),Tools!$N66,""))</f>
        <v/>
      </c>
      <c r="E67" s="30">
        <f>IF(OR(Tools!$B66="",Tools!$Q66=""),"",IF(AND(((YEAR(DATE(YEAR(TODAY()),MONTH(TODAY())+2,1))-YEAR(Tools!$Q66))*12+MONTH(DATE(YEAR(TODAY()),MONTH(TODAY())+2,1))-MONTH(Tools!$Q66))&gt;=0,MOD(((YEAR(DATE(YEAR(TODAY()),MONTH(TODAY())+2,1))-YEAR(Tools!$Q66))*12+MONTH(DATE(YEAR(TODAY()),MONTH(TODAY())+2,1))-MONTH(Tools!$Q66)),Tools!$U66)=0,OR(Tools!$L66="",EDATE(Tools!$Q66,((YEAR(DATE(YEAR(TODAY()),MONTH(TODAY())+2,1))-YEAR(Tools!$Q66))*12+MONTH(DATE(YEAR(TODAY()),MONTH(TODAY())+2,1))-MONTH(Tools!$Q66)))&lt;Tools!$L66)),Tools!$N66,""))</f>
        <v/>
      </c>
      <c r="F67" s="30">
        <f>IF(OR(Tools!$B66="",Tools!$Q66=""),"",IF(AND(((YEAR(DATE(YEAR(TODAY()),MONTH(TODAY())+3,1))-YEAR(Tools!$Q66))*12+MONTH(DATE(YEAR(TODAY()),MONTH(TODAY())+3,1))-MONTH(Tools!$Q66))&gt;=0,MOD(((YEAR(DATE(YEAR(TODAY()),MONTH(TODAY())+3,1))-YEAR(Tools!$Q66))*12+MONTH(DATE(YEAR(TODAY()),MONTH(TODAY())+3,1))-MONTH(Tools!$Q66)),Tools!$U66)=0,OR(Tools!$L66="",EDATE(Tools!$Q66,((YEAR(DATE(YEAR(TODAY()),MONTH(TODAY())+3,1))-YEAR(Tools!$Q66))*12+MONTH(DATE(YEAR(TODAY()),MONTH(TODAY())+3,1))-MONTH(Tools!$Q66)))&lt;Tools!$L66)),Tools!$N66,""))</f>
        <v/>
      </c>
      <c r="G67" s="30">
        <f>IF(OR(Tools!$B66="",Tools!$Q66=""),"",IF(AND(((YEAR(DATE(YEAR(TODAY()),MONTH(TODAY())+4,1))-YEAR(Tools!$Q66))*12+MONTH(DATE(YEAR(TODAY()),MONTH(TODAY())+4,1))-MONTH(Tools!$Q66))&gt;=0,MOD(((YEAR(DATE(YEAR(TODAY()),MONTH(TODAY())+4,1))-YEAR(Tools!$Q66))*12+MONTH(DATE(YEAR(TODAY()),MONTH(TODAY())+4,1))-MONTH(Tools!$Q66)),Tools!$U66)=0,OR(Tools!$L66="",EDATE(Tools!$Q66,((YEAR(DATE(YEAR(TODAY()),MONTH(TODAY())+4,1))-YEAR(Tools!$Q66))*12+MONTH(DATE(YEAR(TODAY()),MONTH(TODAY())+4,1))-MONTH(Tools!$Q66)))&lt;Tools!$L66)),Tools!$N66,""))</f>
        <v/>
      </c>
      <c r="H67" s="30">
        <f>IF(OR(Tools!$B66="",Tools!$Q66=""),"",IF(AND(((YEAR(DATE(YEAR(TODAY()),MONTH(TODAY())+5,1))-YEAR(Tools!$Q66))*12+MONTH(DATE(YEAR(TODAY()),MONTH(TODAY())+5,1))-MONTH(Tools!$Q66))&gt;=0,MOD(((YEAR(DATE(YEAR(TODAY()),MONTH(TODAY())+5,1))-YEAR(Tools!$Q66))*12+MONTH(DATE(YEAR(TODAY()),MONTH(TODAY())+5,1))-MONTH(Tools!$Q66)),Tools!$U66)=0,OR(Tools!$L66="",EDATE(Tools!$Q66,((YEAR(DATE(YEAR(TODAY()),MONTH(TODAY())+5,1))-YEAR(Tools!$Q66))*12+MONTH(DATE(YEAR(TODAY()),MONTH(TODAY())+5,1))-MONTH(Tools!$Q66)))&lt;Tools!$L66)),Tools!$N66,""))</f>
        <v/>
      </c>
      <c r="I67" s="30">
        <f>IF(OR(Tools!$B66="",Tools!$Q66=""),"",IF(AND(((YEAR(DATE(YEAR(TODAY()),MONTH(TODAY())+6,1))-YEAR(Tools!$Q66))*12+MONTH(DATE(YEAR(TODAY()),MONTH(TODAY())+6,1))-MONTH(Tools!$Q66))&gt;=0,MOD(((YEAR(DATE(YEAR(TODAY()),MONTH(TODAY())+6,1))-YEAR(Tools!$Q66))*12+MONTH(DATE(YEAR(TODAY()),MONTH(TODAY())+6,1))-MONTH(Tools!$Q66)),Tools!$U66)=0,OR(Tools!$L66="",EDATE(Tools!$Q66,((YEAR(DATE(YEAR(TODAY()),MONTH(TODAY())+6,1))-YEAR(Tools!$Q66))*12+MONTH(DATE(YEAR(TODAY()),MONTH(TODAY())+6,1))-MONTH(Tools!$Q66)))&lt;Tools!$L66)),Tools!$N66,""))</f>
        <v/>
      </c>
      <c r="J67" s="30">
        <f>IF(OR(Tools!$B66="",Tools!$Q66=""),"",IF(AND(((YEAR(DATE(YEAR(TODAY()),MONTH(TODAY())+7,1))-YEAR(Tools!$Q66))*12+MONTH(DATE(YEAR(TODAY()),MONTH(TODAY())+7,1))-MONTH(Tools!$Q66))&gt;=0,MOD(((YEAR(DATE(YEAR(TODAY()),MONTH(TODAY())+7,1))-YEAR(Tools!$Q66))*12+MONTH(DATE(YEAR(TODAY()),MONTH(TODAY())+7,1))-MONTH(Tools!$Q66)),Tools!$U66)=0,OR(Tools!$L66="",EDATE(Tools!$Q66,((YEAR(DATE(YEAR(TODAY()),MONTH(TODAY())+7,1))-YEAR(Tools!$Q66))*12+MONTH(DATE(YEAR(TODAY()),MONTH(TODAY())+7,1))-MONTH(Tools!$Q66)))&lt;Tools!$L66)),Tools!$N66,""))</f>
        <v/>
      </c>
      <c r="K67" s="30">
        <f>IF(OR(Tools!$B66="",Tools!$Q66=""),"",IF(AND(((YEAR(DATE(YEAR(TODAY()),MONTH(TODAY())+8,1))-YEAR(Tools!$Q66))*12+MONTH(DATE(YEAR(TODAY()),MONTH(TODAY())+8,1))-MONTH(Tools!$Q66))&gt;=0,MOD(((YEAR(DATE(YEAR(TODAY()),MONTH(TODAY())+8,1))-YEAR(Tools!$Q66))*12+MONTH(DATE(YEAR(TODAY()),MONTH(TODAY())+8,1))-MONTH(Tools!$Q66)),Tools!$U66)=0,OR(Tools!$L66="",EDATE(Tools!$Q66,((YEAR(DATE(YEAR(TODAY()),MONTH(TODAY())+8,1))-YEAR(Tools!$Q66))*12+MONTH(DATE(YEAR(TODAY()),MONTH(TODAY())+8,1))-MONTH(Tools!$Q66)))&lt;Tools!$L66)),Tools!$N66,""))</f>
        <v/>
      </c>
      <c r="L67" s="30">
        <f>IF(OR(Tools!$B66="",Tools!$Q66=""),"",IF(AND(((YEAR(DATE(YEAR(TODAY()),MONTH(TODAY())+9,1))-YEAR(Tools!$Q66))*12+MONTH(DATE(YEAR(TODAY()),MONTH(TODAY())+9,1))-MONTH(Tools!$Q66))&gt;=0,MOD(((YEAR(DATE(YEAR(TODAY()),MONTH(TODAY())+9,1))-YEAR(Tools!$Q66))*12+MONTH(DATE(YEAR(TODAY()),MONTH(TODAY())+9,1))-MONTH(Tools!$Q66)),Tools!$U66)=0,OR(Tools!$L66="",EDATE(Tools!$Q66,((YEAR(DATE(YEAR(TODAY()),MONTH(TODAY())+9,1))-YEAR(Tools!$Q66))*12+MONTH(DATE(YEAR(TODAY()),MONTH(TODAY())+9,1))-MONTH(Tools!$Q66)))&lt;Tools!$L66)),Tools!$N66,""))</f>
        <v/>
      </c>
      <c r="M67" s="30">
        <f>IF(OR(Tools!$B66="",Tools!$Q66=""),"",IF(AND(((YEAR(DATE(YEAR(TODAY()),MONTH(TODAY())+10,1))-YEAR(Tools!$Q66))*12+MONTH(DATE(YEAR(TODAY()),MONTH(TODAY())+10,1))-MONTH(Tools!$Q66))&gt;=0,MOD(((YEAR(DATE(YEAR(TODAY()),MONTH(TODAY())+10,1))-YEAR(Tools!$Q66))*12+MONTH(DATE(YEAR(TODAY()),MONTH(TODAY())+10,1))-MONTH(Tools!$Q66)),Tools!$U66)=0,OR(Tools!$L66="",EDATE(Tools!$Q66,((YEAR(DATE(YEAR(TODAY()),MONTH(TODAY())+10,1))-YEAR(Tools!$Q66))*12+MONTH(DATE(YEAR(TODAY()),MONTH(TODAY())+10,1))-MONTH(Tools!$Q66)))&lt;Tools!$L66)),Tools!$N66,""))</f>
        <v/>
      </c>
      <c r="N67" s="30">
        <f>IF(OR(Tools!$B66="",Tools!$Q66=""),"",IF(AND(((YEAR(DATE(YEAR(TODAY()),MONTH(TODAY())+11,1))-YEAR(Tools!$Q66))*12+MONTH(DATE(YEAR(TODAY()),MONTH(TODAY())+11,1))-MONTH(Tools!$Q66))&gt;=0,MOD(((YEAR(DATE(YEAR(TODAY()),MONTH(TODAY())+11,1))-YEAR(Tools!$Q66))*12+MONTH(DATE(YEAR(TODAY()),MONTH(TODAY())+11,1))-MONTH(Tools!$Q66)),Tools!$U66)=0,OR(Tools!$L66="",EDATE(Tools!$Q66,((YEAR(DATE(YEAR(TODAY()),MONTH(TODAY())+11,1))-YEAR(Tools!$Q66))*12+MONTH(DATE(YEAR(TODAY()),MONTH(TODAY())+11,1))-MONTH(Tools!$Q66)))&lt;Tools!$L66)),Tools!$N66,""))</f>
        <v/>
      </c>
      <c r="O67" s="31">
        <f>IF(B67="","",SUM(C67:N67))</f>
        <v/>
      </c>
      <c r="P67" s="1" t="n"/>
    </row>
    <row r="68">
      <c r="A68" s="1" t="n"/>
      <c r="B68" s="11">
        <f>IF(Tools!B67="","",Tools!B67)</f>
        <v/>
      </c>
      <c r="C68" s="30">
        <f>IF(OR(Tools!$B67="",Tools!$Q67=""),"",IF(AND(((YEAR(DATE(YEAR(TODAY()),MONTH(TODAY())+0,1))-YEAR(Tools!$Q67))*12+MONTH(DATE(YEAR(TODAY()),MONTH(TODAY())+0,1))-MONTH(Tools!$Q67))&gt;=0,MOD(((YEAR(DATE(YEAR(TODAY()),MONTH(TODAY())+0,1))-YEAR(Tools!$Q67))*12+MONTH(DATE(YEAR(TODAY()),MONTH(TODAY())+0,1))-MONTH(Tools!$Q67)),Tools!$U67)=0,OR(Tools!$L67="",EDATE(Tools!$Q67,((YEAR(DATE(YEAR(TODAY()),MONTH(TODAY())+0,1))-YEAR(Tools!$Q67))*12+MONTH(DATE(YEAR(TODAY()),MONTH(TODAY())+0,1))-MONTH(Tools!$Q67)))&lt;Tools!$L67)),Tools!$N67,""))</f>
        <v/>
      </c>
      <c r="D68" s="30">
        <f>IF(OR(Tools!$B67="",Tools!$Q67=""),"",IF(AND(((YEAR(DATE(YEAR(TODAY()),MONTH(TODAY())+1,1))-YEAR(Tools!$Q67))*12+MONTH(DATE(YEAR(TODAY()),MONTH(TODAY())+1,1))-MONTH(Tools!$Q67))&gt;=0,MOD(((YEAR(DATE(YEAR(TODAY()),MONTH(TODAY())+1,1))-YEAR(Tools!$Q67))*12+MONTH(DATE(YEAR(TODAY()),MONTH(TODAY())+1,1))-MONTH(Tools!$Q67)),Tools!$U67)=0,OR(Tools!$L67="",EDATE(Tools!$Q67,((YEAR(DATE(YEAR(TODAY()),MONTH(TODAY())+1,1))-YEAR(Tools!$Q67))*12+MONTH(DATE(YEAR(TODAY()),MONTH(TODAY())+1,1))-MONTH(Tools!$Q67)))&lt;Tools!$L67)),Tools!$N67,""))</f>
        <v/>
      </c>
      <c r="E68" s="30">
        <f>IF(OR(Tools!$B67="",Tools!$Q67=""),"",IF(AND(((YEAR(DATE(YEAR(TODAY()),MONTH(TODAY())+2,1))-YEAR(Tools!$Q67))*12+MONTH(DATE(YEAR(TODAY()),MONTH(TODAY())+2,1))-MONTH(Tools!$Q67))&gt;=0,MOD(((YEAR(DATE(YEAR(TODAY()),MONTH(TODAY())+2,1))-YEAR(Tools!$Q67))*12+MONTH(DATE(YEAR(TODAY()),MONTH(TODAY())+2,1))-MONTH(Tools!$Q67)),Tools!$U67)=0,OR(Tools!$L67="",EDATE(Tools!$Q67,((YEAR(DATE(YEAR(TODAY()),MONTH(TODAY())+2,1))-YEAR(Tools!$Q67))*12+MONTH(DATE(YEAR(TODAY()),MONTH(TODAY())+2,1))-MONTH(Tools!$Q67)))&lt;Tools!$L67)),Tools!$N67,""))</f>
        <v/>
      </c>
      <c r="F68" s="30">
        <f>IF(OR(Tools!$B67="",Tools!$Q67=""),"",IF(AND(((YEAR(DATE(YEAR(TODAY()),MONTH(TODAY())+3,1))-YEAR(Tools!$Q67))*12+MONTH(DATE(YEAR(TODAY()),MONTH(TODAY())+3,1))-MONTH(Tools!$Q67))&gt;=0,MOD(((YEAR(DATE(YEAR(TODAY()),MONTH(TODAY())+3,1))-YEAR(Tools!$Q67))*12+MONTH(DATE(YEAR(TODAY()),MONTH(TODAY())+3,1))-MONTH(Tools!$Q67)),Tools!$U67)=0,OR(Tools!$L67="",EDATE(Tools!$Q67,((YEAR(DATE(YEAR(TODAY()),MONTH(TODAY())+3,1))-YEAR(Tools!$Q67))*12+MONTH(DATE(YEAR(TODAY()),MONTH(TODAY())+3,1))-MONTH(Tools!$Q67)))&lt;Tools!$L67)),Tools!$N67,""))</f>
        <v/>
      </c>
      <c r="G68" s="30">
        <f>IF(OR(Tools!$B67="",Tools!$Q67=""),"",IF(AND(((YEAR(DATE(YEAR(TODAY()),MONTH(TODAY())+4,1))-YEAR(Tools!$Q67))*12+MONTH(DATE(YEAR(TODAY()),MONTH(TODAY())+4,1))-MONTH(Tools!$Q67))&gt;=0,MOD(((YEAR(DATE(YEAR(TODAY()),MONTH(TODAY())+4,1))-YEAR(Tools!$Q67))*12+MONTH(DATE(YEAR(TODAY()),MONTH(TODAY())+4,1))-MONTH(Tools!$Q67)),Tools!$U67)=0,OR(Tools!$L67="",EDATE(Tools!$Q67,((YEAR(DATE(YEAR(TODAY()),MONTH(TODAY())+4,1))-YEAR(Tools!$Q67))*12+MONTH(DATE(YEAR(TODAY()),MONTH(TODAY())+4,1))-MONTH(Tools!$Q67)))&lt;Tools!$L67)),Tools!$N67,""))</f>
        <v/>
      </c>
      <c r="H68" s="30">
        <f>IF(OR(Tools!$B67="",Tools!$Q67=""),"",IF(AND(((YEAR(DATE(YEAR(TODAY()),MONTH(TODAY())+5,1))-YEAR(Tools!$Q67))*12+MONTH(DATE(YEAR(TODAY()),MONTH(TODAY())+5,1))-MONTH(Tools!$Q67))&gt;=0,MOD(((YEAR(DATE(YEAR(TODAY()),MONTH(TODAY())+5,1))-YEAR(Tools!$Q67))*12+MONTH(DATE(YEAR(TODAY()),MONTH(TODAY())+5,1))-MONTH(Tools!$Q67)),Tools!$U67)=0,OR(Tools!$L67="",EDATE(Tools!$Q67,((YEAR(DATE(YEAR(TODAY()),MONTH(TODAY())+5,1))-YEAR(Tools!$Q67))*12+MONTH(DATE(YEAR(TODAY()),MONTH(TODAY())+5,1))-MONTH(Tools!$Q67)))&lt;Tools!$L67)),Tools!$N67,""))</f>
        <v/>
      </c>
      <c r="I68" s="30">
        <f>IF(OR(Tools!$B67="",Tools!$Q67=""),"",IF(AND(((YEAR(DATE(YEAR(TODAY()),MONTH(TODAY())+6,1))-YEAR(Tools!$Q67))*12+MONTH(DATE(YEAR(TODAY()),MONTH(TODAY())+6,1))-MONTH(Tools!$Q67))&gt;=0,MOD(((YEAR(DATE(YEAR(TODAY()),MONTH(TODAY())+6,1))-YEAR(Tools!$Q67))*12+MONTH(DATE(YEAR(TODAY()),MONTH(TODAY())+6,1))-MONTH(Tools!$Q67)),Tools!$U67)=0,OR(Tools!$L67="",EDATE(Tools!$Q67,((YEAR(DATE(YEAR(TODAY()),MONTH(TODAY())+6,1))-YEAR(Tools!$Q67))*12+MONTH(DATE(YEAR(TODAY()),MONTH(TODAY())+6,1))-MONTH(Tools!$Q67)))&lt;Tools!$L67)),Tools!$N67,""))</f>
        <v/>
      </c>
      <c r="J68" s="30">
        <f>IF(OR(Tools!$B67="",Tools!$Q67=""),"",IF(AND(((YEAR(DATE(YEAR(TODAY()),MONTH(TODAY())+7,1))-YEAR(Tools!$Q67))*12+MONTH(DATE(YEAR(TODAY()),MONTH(TODAY())+7,1))-MONTH(Tools!$Q67))&gt;=0,MOD(((YEAR(DATE(YEAR(TODAY()),MONTH(TODAY())+7,1))-YEAR(Tools!$Q67))*12+MONTH(DATE(YEAR(TODAY()),MONTH(TODAY())+7,1))-MONTH(Tools!$Q67)),Tools!$U67)=0,OR(Tools!$L67="",EDATE(Tools!$Q67,((YEAR(DATE(YEAR(TODAY()),MONTH(TODAY())+7,1))-YEAR(Tools!$Q67))*12+MONTH(DATE(YEAR(TODAY()),MONTH(TODAY())+7,1))-MONTH(Tools!$Q67)))&lt;Tools!$L67)),Tools!$N67,""))</f>
        <v/>
      </c>
      <c r="K68" s="30">
        <f>IF(OR(Tools!$B67="",Tools!$Q67=""),"",IF(AND(((YEAR(DATE(YEAR(TODAY()),MONTH(TODAY())+8,1))-YEAR(Tools!$Q67))*12+MONTH(DATE(YEAR(TODAY()),MONTH(TODAY())+8,1))-MONTH(Tools!$Q67))&gt;=0,MOD(((YEAR(DATE(YEAR(TODAY()),MONTH(TODAY())+8,1))-YEAR(Tools!$Q67))*12+MONTH(DATE(YEAR(TODAY()),MONTH(TODAY())+8,1))-MONTH(Tools!$Q67)),Tools!$U67)=0,OR(Tools!$L67="",EDATE(Tools!$Q67,((YEAR(DATE(YEAR(TODAY()),MONTH(TODAY())+8,1))-YEAR(Tools!$Q67))*12+MONTH(DATE(YEAR(TODAY()),MONTH(TODAY())+8,1))-MONTH(Tools!$Q67)))&lt;Tools!$L67)),Tools!$N67,""))</f>
        <v/>
      </c>
      <c r="L68" s="30">
        <f>IF(OR(Tools!$B67="",Tools!$Q67=""),"",IF(AND(((YEAR(DATE(YEAR(TODAY()),MONTH(TODAY())+9,1))-YEAR(Tools!$Q67))*12+MONTH(DATE(YEAR(TODAY()),MONTH(TODAY())+9,1))-MONTH(Tools!$Q67))&gt;=0,MOD(((YEAR(DATE(YEAR(TODAY()),MONTH(TODAY())+9,1))-YEAR(Tools!$Q67))*12+MONTH(DATE(YEAR(TODAY()),MONTH(TODAY())+9,1))-MONTH(Tools!$Q67)),Tools!$U67)=0,OR(Tools!$L67="",EDATE(Tools!$Q67,((YEAR(DATE(YEAR(TODAY()),MONTH(TODAY())+9,1))-YEAR(Tools!$Q67))*12+MONTH(DATE(YEAR(TODAY()),MONTH(TODAY())+9,1))-MONTH(Tools!$Q67)))&lt;Tools!$L67)),Tools!$N67,""))</f>
        <v/>
      </c>
      <c r="M68" s="30">
        <f>IF(OR(Tools!$B67="",Tools!$Q67=""),"",IF(AND(((YEAR(DATE(YEAR(TODAY()),MONTH(TODAY())+10,1))-YEAR(Tools!$Q67))*12+MONTH(DATE(YEAR(TODAY()),MONTH(TODAY())+10,1))-MONTH(Tools!$Q67))&gt;=0,MOD(((YEAR(DATE(YEAR(TODAY()),MONTH(TODAY())+10,1))-YEAR(Tools!$Q67))*12+MONTH(DATE(YEAR(TODAY()),MONTH(TODAY())+10,1))-MONTH(Tools!$Q67)),Tools!$U67)=0,OR(Tools!$L67="",EDATE(Tools!$Q67,((YEAR(DATE(YEAR(TODAY()),MONTH(TODAY())+10,1))-YEAR(Tools!$Q67))*12+MONTH(DATE(YEAR(TODAY()),MONTH(TODAY())+10,1))-MONTH(Tools!$Q67)))&lt;Tools!$L67)),Tools!$N67,""))</f>
        <v/>
      </c>
      <c r="N68" s="30">
        <f>IF(OR(Tools!$B67="",Tools!$Q67=""),"",IF(AND(((YEAR(DATE(YEAR(TODAY()),MONTH(TODAY())+11,1))-YEAR(Tools!$Q67))*12+MONTH(DATE(YEAR(TODAY()),MONTH(TODAY())+11,1))-MONTH(Tools!$Q67))&gt;=0,MOD(((YEAR(DATE(YEAR(TODAY()),MONTH(TODAY())+11,1))-YEAR(Tools!$Q67))*12+MONTH(DATE(YEAR(TODAY()),MONTH(TODAY())+11,1))-MONTH(Tools!$Q67)),Tools!$U67)=0,OR(Tools!$L67="",EDATE(Tools!$Q67,((YEAR(DATE(YEAR(TODAY()),MONTH(TODAY())+11,1))-YEAR(Tools!$Q67))*12+MONTH(DATE(YEAR(TODAY()),MONTH(TODAY())+11,1))-MONTH(Tools!$Q67)))&lt;Tools!$L67)),Tools!$N67,""))</f>
        <v/>
      </c>
      <c r="O68" s="31">
        <f>IF(B68="","",SUM(C68:N68))</f>
        <v/>
      </c>
      <c r="P68" s="1" t="n"/>
    </row>
    <row r="69">
      <c r="A69" s="1" t="n"/>
      <c r="B69" s="11">
        <f>IF(Tools!B68="","",Tools!B68)</f>
        <v/>
      </c>
      <c r="C69" s="30">
        <f>IF(OR(Tools!$B68="",Tools!$Q68=""),"",IF(AND(((YEAR(DATE(YEAR(TODAY()),MONTH(TODAY())+0,1))-YEAR(Tools!$Q68))*12+MONTH(DATE(YEAR(TODAY()),MONTH(TODAY())+0,1))-MONTH(Tools!$Q68))&gt;=0,MOD(((YEAR(DATE(YEAR(TODAY()),MONTH(TODAY())+0,1))-YEAR(Tools!$Q68))*12+MONTH(DATE(YEAR(TODAY()),MONTH(TODAY())+0,1))-MONTH(Tools!$Q68)),Tools!$U68)=0,OR(Tools!$L68="",EDATE(Tools!$Q68,((YEAR(DATE(YEAR(TODAY()),MONTH(TODAY())+0,1))-YEAR(Tools!$Q68))*12+MONTH(DATE(YEAR(TODAY()),MONTH(TODAY())+0,1))-MONTH(Tools!$Q68)))&lt;Tools!$L68)),Tools!$N68,""))</f>
        <v/>
      </c>
      <c r="D69" s="30">
        <f>IF(OR(Tools!$B68="",Tools!$Q68=""),"",IF(AND(((YEAR(DATE(YEAR(TODAY()),MONTH(TODAY())+1,1))-YEAR(Tools!$Q68))*12+MONTH(DATE(YEAR(TODAY()),MONTH(TODAY())+1,1))-MONTH(Tools!$Q68))&gt;=0,MOD(((YEAR(DATE(YEAR(TODAY()),MONTH(TODAY())+1,1))-YEAR(Tools!$Q68))*12+MONTH(DATE(YEAR(TODAY()),MONTH(TODAY())+1,1))-MONTH(Tools!$Q68)),Tools!$U68)=0,OR(Tools!$L68="",EDATE(Tools!$Q68,((YEAR(DATE(YEAR(TODAY()),MONTH(TODAY())+1,1))-YEAR(Tools!$Q68))*12+MONTH(DATE(YEAR(TODAY()),MONTH(TODAY())+1,1))-MONTH(Tools!$Q68)))&lt;Tools!$L68)),Tools!$N68,""))</f>
        <v/>
      </c>
      <c r="E69" s="30">
        <f>IF(OR(Tools!$B68="",Tools!$Q68=""),"",IF(AND(((YEAR(DATE(YEAR(TODAY()),MONTH(TODAY())+2,1))-YEAR(Tools!$Q68))*12+MONTH(DATE(YEAR(TODAY()),MONTH(TODAY())+2,1))-MONTH(Tools!$Q68))&gt;=0,MOD(((YEAR(DATE(YEAR(TODAY()),MONTH(TODAY())+2,1))-YEAR(Tools!$Q68))*12+MONTH(DATE(YEAR(TODAY()),MONTH(TODAY())+2,1))-MONTH(Tools!$Q68)),Tools!$U68)=0,OR(Tools!$L68="",EDATE(Tools!$Q68,((YEAR(DATE(YEAR(TODAY()),MONTH(TODAY())+2,1))-YEAR(Tools!$Q68))*12+MONTH(DATE(YEAR(TODAY()),MONTH(TODAY())+2,1))-MONTH(Tools!$Q68)))&lt;Tools!$L68)),Tools!$N68,""))</f>
        <v/>
      </c>
      <c r="F69" s="30">
        <f>IF(OR(Tools!$B68="",Tools!$Q68=""),"",IF(AND(((YEAR(DATE(YEAR(TODAY()),MONTH(TODAY())+3,1))-YEAR(Tools!$Q68))*12+MONTH(DATE(YEAR(TODAY()),MONTH(TODAY())+3,1))-MONTH(Tools!$Q68))&gt;=0,MOD(((YEAR(DATE(YEAR(TODAY()),MONTH(TODAY())+3,1))-YEAR(Tools!$Q68))*12+MONTH(DATE(YEAR(TODAY()),MONTH(TODAY())+3,1))-MONTH(Tools!$Q68)),Tools!$U68)=0,OR(Tools!$L68="",EDATE(Tools!$Q68,((YEAR(DATE(YEAR(TODAY()),MONTH(TODAY())+3,1))-YEAR(Tools!$Q68))*12+MONTH(DATE(YEAR(TODAY()),MONTH(TODAY())+3,1))-MONTH(Tools!$Q68)))&lt;Tools!$L68)),Tools!$N68,""))</f>
        <v/>
      </c>
      <c r="G69" s="30">
        <f>IF(OR(Tools!$B68="",Tools!$Q68=""),"",IF(AND(((YEAR(DATE(YEAR(TODAY()),MONTH(TODAY())+4,1))-YEAR(Tools!$Q68))*12+MONTH(DATE(YEAR(TODAY()),MONTH(TODAY())+4,1))-MONTH(Tools!$Q68))&gt;=0,MOD(((YEAR(DATE(YEAR(TODAY()),MONTH(TODAY())+4,1))-YEAR(Tools!$Q68))*12+MONTH(DATE(YEAR(TODAY()),MONTH(TODAY())+4,1))-MONTH(Tools!$Q68)),Tools!$U68)=0,OR(Tools!$L68="",EDATE(Tools!$Q68,((YEAR(DATE(YEAR(TODAY()),MONTH(TODAY())+4,1))-YEAR(Tools!$Q68))*12+MONTH(DATE(YEAR(TODAY()),MONTH(TODAY())+4,1))-MONTH(Tools!$Q68)))&lt;Tools!$L68)),Tools!$N68,""))</f>
        <v/>
      </c>
      <c r="H69" s="30">
        <f>IF(OR(Tools!$B68="",Tools!$Q68=""),"",IF(AND(((YEAR(DATE(YEAR(TODAY()),MONTH(TODAY())+5,1))-YEAR(Tools!$Q68))*12+MONTH(DATE(YEAR(TODAY()),MONTH(TODAY())+5,1))-MONTH(Tools!$Q68))&gt;=0,MOD(((YEAR(DATE(YEAR(TODAY()),MONTH(TODAY())+5,1))-YEAR(Tools!$Q68))*12+MONTH(DATE(YEAR(TODAY()),MONTH(TODAY())+5,1))-MONTH(Tools!$Q68)),Tools!$U68)=0,OR(Tools!$L68="",EDATE(Tools!$Q68,((YEAR(DATE(YEAR(TODAY()),MONTH(TODAY())+5,1))-YEAR(Tools!$Q68))*12+MONTH(DATE(YEAR(TODAY()),MONTH(TODAY())+5,1))-MONTH(Tools!$Q68)))&lt;Tools!$L68)),Tools!$N68,""))</f>
        <v/>
      </c>
      <c r="I69" s="30">
        <f>IF(OR(Tools!$B68="",Tools!$Q68=""),"",IF(AND(((YEAR(DATE(YEAR(TODAY()),MONTH(TODAY())+6,1))-YEAR(Tools!$Q68))*12+MONTH(DATE(YEAR(TODAY()),MONTH(TODAY())+6,1))-MONTH(Tools!$Q68))&gt;=0,MOD(((YEAR(DATE(YEAR(TODAY()),MONTH(TODAY())+6,1))-YEAR(Tools!$Q68))*12+MONTH(DATE(YEAR(TODAY()),MONTH(TODAY())+6,1))-MONTH(Tools!$Q68)),Tools!$U68)=0,OR(Tools!$L68="",EDATE(Tools!$Q68,((YEAR(DATE(YEAR(TODAY()),MONTH(TODAY())+6,1))-YEAR(Tools!$Q68))*12+MONTH(DATE(YEAR(TODAY()),MONTH(TODAY())+6,1))-MONTH(Tools!$Q68)))&lt;Tools!$L68)),Tools!$N68,""))</f>
        <v/>
      </c>
      <c r="J69" s="30">
        <f>IF(OR(Tools!$B68="",Tools!$Q68=""),"",IF(AND(((YEAR(DATE(YEAR(TODAY()),MONTH(TODAY())+7,1))-YEAR(Tools!$Q68))*12+MONTH(DATE(YEAR(TODAY()),MONTH(TODAY())+7,1))-MONTH(Tools!$Q68))&gt;=0,MOD(((YEAR(DATE(YEAR(TODAY()),MONTH(TODAY())+7,1))-YEAR(Tools!$Q68))*12+MONTH(DATE(YEAR(TODAY()),MONTH(TODAY())+7,1))-MONTH(Tools!$Q68)),Tools!$U68)=0,OR(Tools!$L68="",EDATE(Tools!$Q68,((YEAR(DATE(YEAR(TODAY()),MONTH(TODAY())+7,1))-YEAR(Tools!$Q68))*12+MONTH(DATE(YEAR(TODAY()),MONTH(TODAY())+7,1))-MONTH(Tools!$Q68)))&lt;Tools!$L68)),Tools!$N68,""))</f>
        <v/>
      </c>
      <c r="K69" s="30">
        <f>IF(OR(Tools!$B68="",Tools!$Q68=""),"",IF(AND(((YEAR(DATE(YEAR(TODAY()),MONTH(TODAY())+8,1))-YEAR(Tools!$Q68))*12+MONTH(DATE(YEAR(TODAY()),MONTH(TODAY())+8,1))-MONTH(Tools!$Q68))&gt;=0,MOD(((YEAR(DATE(YEAR(TODAY()),MONTH(TODAY())+8,1))-YEAR(Tools!$Q68))*12+MONTH(DATE(YEAR(TODAY()),MONTH(TODAY())+8,1))-MONTH(Tools!$Q68)),Tools!$U68)=0,OR(Tools!$L68="",EDATE(Tools!$Q68,((YEAR(DATE(YEAR(TODAY()),MONTH(TODAY())+8,1))-YEAR(Tools!$Q68))*12+MONTH(DATE(YEAR(TODAY()),MONTH(TODAY())+8,1))-MONTH(Tools!$Q68)))&lt;Tools!$L68)),Tools!$N68,""))</f>
        <v/>
      </c>
      <c r="L69" s="30">
        <f>IF(OR(Tools!$B68="",Tools!$Q68=""),"",IF(AND(((YEAR(DATE(YEAR(TODAY()),MONTH(TODAY())+9,1))-YEAR(Tools!$Q68))*12+MONTH(DATE(YEAR(TODAY()),MONTH(TODAY())+9,1))-MONTH(Tools!$Q68))&gt;=0,MOD(((YEAR(DATE(YEAR(TODAY()),MONTH(TODAY())+9,1))-YEAR(Tools!$Q68))*12+MONTH(DATE(YEAR(TODAY()),MONTH(TODAY())+9,1))-MONTH(Tools!$Q68)),Tools!$U68)=0,OR(Tools!$L68="",EDATE(Tools!$Q68,((YEAR(DATE(YEAR(TODAY()),MONTH(TODAY())+9,1))-YEAR(Tools!$Q68))*12+MONTH(DATE(YEAR(TODAY()),MONTH(TODAY())+9,1))-MONTH(Tools!$Q68)))&lt;Tools!$L68)),Tools!$N68,""))</f>
        <v/>
      </c>
      <c r="M69" s="30">
        <f>IF(OR(Tools!$B68="",Tools!$Q68=""),"",IF(AND(((YEAR(DATE(YEAR(TODAY()),MONTH(TODAY())+10,1))-YEAR(Tools!$Q68))*12+MONTH(DATE(YEAR(TODAY()),MONTH(TODAY())+10,1))-MONTH(Tools!$Q68))&gt;=0,MOD(((YEAR(DATE(YEAR(TODAY()),MONTH(TODAY())+10,1))-YEAR(Tools!$Q68))*12+MONTH(DATE(YEAR(TODAY()),MONTH(TODAY())+10,1))-MONTH(Tools!$Q68)),Tools!$U68)=0,OR(Tools!$L68="",EDATE(Tools!$Q68,((YEAR(DATE(YEAR(TODAY()),MONTH(TODAY())+10,1))-YEAR(Tools!$Q68))*12+MONTH(DATE(YEAR(TODAY()),MONTH(TODAY())+10,1))-MONTH(Tools!$Q68)))&lt;Tools!$L68)),Tools!$N68,""))</f>
        <v/>
      </c>
      <c r="N69" s="30">
        <f>IF(OR(Tools!$B68="",Tools!$Q68=""),"",IF(AND(((YEAR(DATE(YEAR(TODAY()),MONTH(TODAY())+11,1))-YEAR(Tools!$Q68))*12+MONTH(DATE(YEAR(TODAY()),MONTH(TODAY())+11,1))-MONTH(Tools!$Q68))&gt;=0,MOD(((YEAR(DATE(YEAR(TODAY()),MONTH(TODAY())+11,1))-YEAR(Tools!$Q68))*12+MONTH(DATE(YEAR(TODAY()),MONTH(TODAY())+11,1))-MONTH(Tools!$Q68)),Tools!$U68)=0,OR(Tools!$L68="",EDATE(Tools!$Q68,((YEAR(DATE(YEAR(TODAY()),MONTH(TODAY())+11,1))-YEAR(Tools!$Q68))*12+MONTH(DATE(YEAR(TODAY()),MONTH(TODAY())+11,1))-MONTH(Tools!$Q68)))&lt;Tools!$L68)),Tools!$N68,""))</f>
        <v/>
      </c>
      <c r="O69" s="31">
        <f>IF(B69="","",SUM(C69:N69))</f>
        <v/>
      </c>
      <c r="P69" s="1" t="n"/>
    </row>
    <row r="70">
      <c r="A70" s="1" t="n"/>
      <c r="B70" s="11">
        <f>IF(Tools!B69="","",Tools!B69)</f>
        <v/>
      </c>
      <c r="C70" s="30">
        <f>IF(OR(Tools!$B69="",Tools!$Q69=""),"",IF(AND(((YEAR(DATE(YEAR(TODAY()),MONTH(TODAY())+0,1))-YEAR(Tools!$Q69))*12+MONTH(DATE(YEAR(TODAY()),MONTH(TODAY())+0,1))-MONTH(Tools!$Q69))&gt;=0,MOD(((YEAR(DATE(YEAR(TODAY()),MONTH(TODAY())+0,1))-YEAR(Tools!$Q69))*12+MONTH(DATE(YEAR(TODAY()),MONTH(TODAY())+0,1))-MONTH(Tools!$Q69)),Tools!$U69)=0,OR(Tools!$L69="",EDATE(Tools!$Q69,((YEAR(DATE(YEAR(TODAY()),MONTH(TODAY())+0,1))-YEAR(Tools!$Q69))*12+MONTH(DATE(YEAR(TODAY()),MONTH(TODAY())+0,1))-MONTH(Tools!$Q69)))&lt;Tools!$L69)),Tools!$N69,""))</f>
        <v/>
      </c>
      <c r="D70" s="30">
        <f>IF(OR(Tools!$B69="",Tools!$Q69=""),"",IF(AND(((YEAR(DATE(YEAR(TODAY()),MONTH(TODAY())+1,1))-YEAR(Tools!$Q69))*12+MONTH(DATE(YEAR(TODAY()),MONTH(TODAY())+1,1))-MONTH(Tools!$Q69))&gt;=0,MOD(((YEAR(DATE(YEAR(TODAY()),MONTH(TODAY())+1,1))-YEAR(Tools!$Q69))*12+MONTH(DATE(YEAR(TODAY()),MONTH(TODAY())+1,1))-MONTH(Tools!$Q69)),Tools!$U69)=0,OR(Tools!$L69="",EDATE(Tools!$Q69,((YEAR(DATE(YEAR(TODAY()),MONTH(TODAY())+1,1))-YEAR(Tools!$Q69))*12+MONTH(DATE(YEAR(TODAY()),MONTH(TODAY())+1,1))-MONTH(Tools!$Q69)))&lt;Tools!$L69)),Tools!$N69,""))</f>
        <v/>
      </c>
      <c r="E70" s="30">
        <f>IF(OR(Tools!$B69="",Tools!$Q69=""),"",IF(AND(((YEAR(DATE(YEAR(TODAY()),MONTH(TODAY())+2,1))-YEAR(Tools!$Q69))*12+MONTH(DATE(YEAR(TODAY()),MONTH(TODAY())+2,1))-MONTH(Tools!$Q69))&gt;=0,MOD(((YEAR(DATE(YEAR(TODAY()),MONTH(TODAY())+2,1))-YEAR(Tools!$Q69))*12+MONTH(DATE(YEAR(TODAY()),MONTH(TODAY())+2,1))-MONTH(Tools!$Q69)),Tools!$U69)=0,OR(Tools!$L69="",EDATE(Tools!$Q69,((YEAR(DATE(YEAR(TODAY()),MONTH(TODAY())+2,1))-YEAR(Tools!$Q69))*12+MONTH(DATE(YEAR(TODAY()),MONTH(TODAY())+2,1))-MONTH(Tools!$Q69)))&lt;Tools!$L69)),Tools!$N69,""))</f>
        <v/>
      </c>
      <c r="F70" s="30">
        <f>IF(OR(Tools!$B69="",Tools!$Q69=""),"",IF(AND(((YEAR(DATE(YEAR(TODAY()),MONTH(TODAY())+3,1))-YEAR(Tools!$Q69))*12+MONTH(DATE(YEAR(TODAY()),MONTH(TODAY())+3,1))-MONTH(Tools!$Q69))&gt;=0,MOD(((YEAR(DATE(YEAR(TODAY()),MONTH(TODAY())+3,1))-YEAR(Tools!$Q69))*12+MONTH(DATE(YEAR(TODAY()),MONTH(TODAY())+3,1))-MONTH(Tools!$Q69)),Tools!$U69)=0,OR(Tools!$L69="",EDATE(Tools!$Q69,((YEAR(DATE(YEAR(TODAY()),MONTH(TODAY())+3,1))-YEAR(Tools!$Q69))*12+MONTH(DATE(YEAR(TODAY()),MONTH(TODAY())+3,1))-MONTH(Tools!$Q69)))&lt;Tools!$L69)),Tools!$N69,""))</f>
        <v/>
      </c>
      <c r="G70" s="30">
        <f>IF(OR(Tools!$B69="",Tools!$Q69=""),"",IF(AND(((YEAR(DATE(YEAR(TODAY()),MONTH(TODAY())+4,1))-YEAR(Tools!$Q69))*12+MONTH(DATE(YEAR(TODAY()),MONTH(TODAY())+4,1))-MONTH(Tools!$Q69))&gt;=0,MOD(((YEAR(DATE(YEAR(TODAY()),MONTH(TODAY())+4,1))-YEAR(Tools!$Q69))*12+MONTH(DATE(YEAR(TODAY()),MONTH(TODAY())+4,1))-MONTH(Tools!$Q69)),Tools!$U69)=0,OR(Tools!$L69="",EDATE(Tools!$Q69,((YEAR(DATE(YEAR(TODAY()),MONTH(TODAY())+4,1))-YEAR(Tools!$Q69))*12+MONTH(DATE(YEAR(TODAY()),MONTH(TODAY())+4,1))-MONTH(Tools!$Q69)))&lt;Tools!$L69)),Tools!$N69,""))</f>
        <v/>
      </c>
      <c r="H70" s="30">
        <f>IF(OR(Tools!$B69="",Tools!$Q69=""),"",IF(AND(((YEAR(DATE(YEAR(TODAY()),MONTH(TODAY())+5,1))-YEAR(Tools!$Q69))*12+MONTH(DATE(YEAR(TODAY()),MONTH(TODAY())+5,1))-MONTH(Tools!$Q69))&gt;=0,MOD(((YEAR(DATE(YEAR(TODAY()),MONTH(TODAY())+5,1))-YEAR(Tools!$Q69))*12+MONTH(DATE(YEAR(TODAY()),MONTH(TODAY())+5,1))-MONTH(Tools!$Q69)),Tools!$U69)=0,OR(Tools!$L69="",EDATE(Tools!$Q69,((YEAR(DATE(YEAR(TODAY()),MONTH(TODAY())+5,1))-YEAR(Tools!$Q69))*12+MONTH(DATE(YEAR(TODAY()),MONTH(TODAY())+5,1))-MONTH(Tools!$Q69)))&lt;Tools!$L69)),Tools!$N69,""))</f>
        <v/>
      </c>
      <c r="I70" s="30">
        <f>IF(OR(Tools!$B69="",Tools!$Q69=""),"",IF(AND(((YEAR(DATE(YEAR(TODAY()),MONTH(TODAY())+6,1))-YEAR(Tools!$Q69))*12+MONTH(DATE(YEAR(TODAY()),MONTH(TODAY())+6,1))-MONTH(Tools!$Q69))&gt;=0,MOD(((YEAR(DATE(YEAR(TODAY()),MONTH(TODAY())+6,1))-YEAR(Tools!$Q69))*12+MONTH(DATE(YEAR(TODAY()),MONTH(TODAY())+6,1))-MONTH(Tools!$Q69)),Tools!$U69)=0,OR(Tools!$L69="",EDATE(Tools!$Q69,((YEAR(DATE(YEAR(TODAY()),MONTH(TODAY())+6,1))-YEAR(Tools!$Q69))*12+MONTH(DATE(YEAR(TODAY()),MONTH(TODAY())+6,1))-MONTH(Tools!$Q69)))&lt;Tools!$L69)),Tools!$N69,""))</f>
        <v/>
      </c>
      <c r="J70" s="30">
        <f>IF(OR(Tools!$B69="",Tools!$Q69=""),"",IF(AND(((YEAR(DATE(YEAR(TODAY()),MONTH(TODAY())+7,1))-YEAR(Tools!$Q69))*12+MONTH(DATE(YEAR(TODAY()),MONTH(TODAY())+7,1))-MONTH(Tools!$Q69))&gt;=0,MOD(((YEAR(DATE(YEAR(TODAY()),MONTH(TODAY())+7,1))-YEAR(Tools!$Q69))*12+MONTH(DATE(YEAR(TODAY()),MONTH(TODAY())+7,1))-MONTH(Tools!$Q69)),Tools!$U69)=0,OR(Tools!$L69="",EDATE(Tools!$Q69,((YEAR(DATE(YEAR(TODAY()),MONTH(TODAY())+7,1))-YEAR(Tools!$Q69))*12+MONTH(DATE(YEAR(TODAY()),MONTH(TODAY())+7,1))-MONTH(Tools!$Q69)))&lt;Tools!$L69)),Tools!$N69,""))</f>
        <v/>
      </c>
      <c r="K70" s="30">
        <f>IF(OR(Tools!$B69="",Tools!$Q69=""),"",IF(AND(((YEAR(DATE(YEAR(TODAY()),MONTH(TODAY())+8,1))-YEAR(Tools!$Q69))*12+MONTH(DATE(YEAR(TODAY()),MONTH(TODAY())+8,1))-MONTH(Tools!$Q69))&gt;=0,MOD(((YEAR(DATE(YEAR(TODAY()),MONTH(TODAY())+8,1))-YEAR(Tools!$Q69))*12+MONTH(DATE(YEAR(TODAY()),MONTH(TODAY())+8,1))-MONTH(Tools!$Q69)),Tools!$U69)=0,OR(Tools!$L69="",EDATE(Tools!$Q69,((YEAR(DATE(YEAR(TODAY()),MONTH(TODAY())+8,1))-YEAR(Tools!$Q69))*12+MONTH(DATE(YEAR(TODAY()),MONTH(TODAY())+8,1))-MONTH(Tools!$Q69)))&lt;Tools!$L69)),Tools!$N69,""))</f>
        <v/>
      </c>
      <c r="L70" s="30">
        <f>IF(OR(Tools!$B69="",Tools!$Q69=""),"",IF(AND(((YEAR(DATE(YEAR(TODAY()),MONTH(TODAY())+9,1))-YEAR(Tools!$Q69))*12+MONTH(DATE(YEAR(TODAY()),MONTH(TODAY())+9,1))-MONTH(Tools!$Q69))&gt;=0,MOD(((YEAR(DATE(YEAR(TODAY()),MONTH(TODAY())+9,1))-YEAR(Tools!$Q69))*12+MONTH(DATE(YEAR(TODAY()),MONTH(TODAY())+9,1))-MONTH(Tools!$Q69)),Tools!$U69)=0,OR(Tools!$L69="",EDATE(Tools!$Q69,((YEAR(DATE(YEAR(TODAY()),MONTH(TODAY())+9,1))-YEAR(Tools!$Q69))*12+MONTH(DATE(YEAR(TODAY()),MONTH(TODAY())+9,1))-MONTH(Tools!$Q69)))&lt;Tools!$L69)),Tools!$N69,""))</f>
        <v/>
      </c>
      <c r="M70" s="30">
        <f>IF(OR(Tools!$B69="",Tools!$Q69=""),"",IF(AND(((YEAR(DATE(YEAR(TODAY()),MONTH(TODAY())+10,1))-YEAR(Tools!$Q69))*12+MONTH(DATE(YEAR(TODAY()),MONTH(TODAY())+10,1))-MONTH(Tools!$Q69))&gt;=0,MOD(((YEAR(DATE(YEAR(TODAY()),MONTH(TODAY())+10,1))-YEAR(Tools!$Q69))*12+MONTH(DATE(YEAR(TODAY()),MONTH(TODAY())+10,1))-MONTH(Tools!$Q69)),Tools!$U69)=0,OR(Tools!$L69="",EDATE(Tools!$Q69,((YEAR(DATE(YEAR(TODAY()),MONTH(TODAY())+10,1))-YEAR(Tools!$Q69))*12+MONTH(DATE(YEAR(TODAY()),MONTH(TODAY())+10,1))-MONTH(Tools!$Q69)))&lt;Tools!$L69)),Tools!$N69,""))</f>
        <v/>
      </c>
      <c r="N70" s="30">
        <f>IF(OR(Tools!$B69="",Tools!$Q69=""),"",IF(AND(((YEAR(DATE(YEAR(TODAY()),MONTH(TODAY())+11,1))-YEAR(Tools!$Q69))*12+MONTH(DATE(YEAR(TODAY()),MONTH(TODAY())+11,1))-MONTH(Tools!$Q69))&gt;=0,MOD(((YEAR(DATE(YEAR(TODAY()),MONTH(TODAY())+11,1))-YEAR(Tools!$Q69))*12+MONTH(DATE(YEAR(TODAY()),MONTH(TODAY())+11,1))-MONTH(Tools!$Q69)),Tools!$U69)=0,OR(Tools!$L69="",EDATE(Tools!$Q69,((YEAR(DATE(YEAR(TODAY()),MONTH(TODAY())+11,1))-YEAR(Tools!$Q69))*12+MONTH(DATE(YEAR(TODAY()),MONTH(TODAY())+11,1))-MONTH(Tools!$Q69)))&lt;Tools!$L69)),Tools!$N69,""))</f>
        <v/>
      </c>
      <c r="O70" s="31">
        <f>IF(B70="","",SUM(C70:N70))</f>
        <v/>
      </c>
      <c r="P70" s="1" t="n"/>
    </row>
    <row r="71">
      <c r="A71" s="1" t="n"/>
      <c r="B71" s="11">
        <f>IF(Tools!B70="","",Tools!B70)</f>
        <v/>
      </c>
      <c r="C71" s="30">
        <f>IF(OR(Tools!$B70="",Tools!$Q70=""),"",IF(AND(((YEAR(DATE(YEAR(TODAY()),MONTH(TODAY())+0,1))-YEAR(Tools!$Q70))*12+MONTH(DATE(YEAR(TODAY()),MONTH(TODAY())+0,1))-MONTH(Tools!$Q70))&gt;=0,MOD(((YEAR(DATE(YEAR(TODAY()),MONTH(TODAY())+0,1))-YEAR(Tools!$Q70))*12+MONTH(DATE(YEAR(TODAY()),MONTH(TODAY())+0,1))-MONTH(Tools!$Q70)),Tools!$U70)=0,OR(Tools!$L70="",EDATE(Tools!$Q70,((YEAR(DATE(YEAR(TODAY()),MONTH(TODAY())+0,1))-YEAR(Tools!$Q70))*12+MONTH(DATE(YEAR(TODAY()),MONTH(TODAY())+0,1))-MONTH(Tools!$Q70)))&lt;Tools!$L70)),Tools!$N70,""))</f>
        <v/>
      </c>
      <c r="D71" s="30">
        <f>IF(OR(Tools!$B70="",Tools!$Q70=""),"",IF(AND(((YEAR(DATE(YEAR(TODAY()),MONTH(TODAY())+1,1))-YEAR(Tools!$Q70))*12+MONTH(DATE(YEAR(TODAY()),MONTH(TODAY())+1,1))-MONTH(Tools!$Q70))&gt;=0,MOD(((YEAR(DATE(YEAR(TODAY()),MONTH(TODAY())+1,1))-YEAR(Tools!$Q70))*12+MONTH(DATE(YEAR(TODAY()),MONTH(TODAY())+1,1))-MONTH(Tools!$Q70)),Tools!$U70)=0,OR(Tools!$L70="",EDATE(Tools!$Q70,((YEAR(DATE(YEAR(TODAY()),MONTH(TODAY())+1,1))-YEAR(Tools!$Q70))*12+MONTH(DATE(YEAR(TODAY()),MONTH(TODAY())+1,1))-MONTH(Tools!$Q70)))&lt;Tools!$L70)),Tools!$N70,""))</f>
        <v/>
      </c>
      <c r="E71" s="30">
        <f>IF(OR(Tools!$B70="",Tools!$Q70=""),"",IF(AND(((YEAR(DATE(YEAR(TODAY()),MONTH(TODAY())+2,1))-YEAR(Tools!$Q70))*12+MONTH(DATE(YEAR(TODAY()),MONTH(TODAY())+2,1))-MONTH(Tools!$Q70))&gt;=0,MOD(((YEAR(DATE(YEAR(TODAY()),MONTH(TODAY())+2,1))-YEAR(Tools!$Q70))*12+MONTH(DATE(YEAR(TODAY()),MONTH(TODAY())+2,1))-MONTH(Tools!$Q70)),Tools!$U70)=0,OR(Tools!$L70="",EDATE(Tools!$Q70,((YEAR(DATE(YEAR(TODAY()),MONTH(TODAY())+2,1))-YEAR(Tools!$Q70))*12+MONTH(DATE(YEAR(TODAY()),MONTH(TODAY())+2,1))-MONTH(Tools!$Q70)))&lt;Tools!$L70)),Tools!$N70,""))</f>
        <v/>
      </c>
      <c r="F71" s="30">
        <f>IF(OR(Tools!$B70="",Tools!$Q70=""),"",IF(AND(((YEAR(DATE(YEAR(TODAY()),MONTH(TODAY())+3,1))-YEAR(Tools!$Q70))*12+MONTH(DATE(YEAR(TODAY()),MONTH(TODAY())+3,1))-MONTH(Tools!$Q70))&gt;=0,MOD(((YEAR(DATE(YEAR(TODAY()),MONTH(TODAY())+3,1))-YEAR(Tools!$Q70))*12+MONTH(DATE(YEAR(TODAY()),MONTH(TODAY())+3,1))-MONTH(Tools!$Q70)),Tools!$U70)=0,OR(Tools!$L70="",EDATE(Tools!$Q70,((YEAR(DATE(YEAR(TODAY()),MONTH(TODAY())+3,1))-YEAR(Tools!$Q70))*12+MONTH(DATE(YEAR(TODAY()),MONTH(TODAY())+3,1))-MONTH(Tools!$Q70)))&lt;Tools!$L70)),Tools!$N70,""))</f>
        <v/>
      </c>
      <c r="G71" s="30">
        <f>IF(OR(Tools!$B70="",Tools!$Q70=""),"",IF(AND(((YEAR(DATE(YEAR(TODAY()),MONTH(TODAY())+4,1))-YEAR(Tools!$Q70))*12+MONTH(DATE(YEAR(TODAY()),MONTH(TODAY())+4,1))-MONTH(Tools!$Q70))&gt;=0,MOD(((YEAR(DATE(YEAR(TODAY()),MONTH(TODAY())+4,1))-YEAR(Tools!$Q70))*12+MONTH(DATE(YEAR(TODAY()),MONTH(TODAY())+4,1))-MONTH(Tools!$Q70)),Tools!$U70)=0,OR(Tools!$L70="",EDATE(Tools!$Q70,((YEAR(DATE(YEAR(TODAY()),MONTH(TODAY())+4,1))-YEAR(Tools!$Q70))*12+MONTH(DATE(YEAR(TODAY()),MONTH(TODAY())+4,1))-MONTH(Tools!$Q70)))&lt;Tools!$L70)),Tools!$N70,""))</f>
        <v/>
      </c>
      <c r="H71" s="30">
        <f>IF(OR(Tools!$B70="",Tools!$Q70=""),"",IF(AND(((YEAR(DATE(YEAR(TODAY()),MONTH(TODAY())+5,1))-YEAR(Tools!$Q70))*12+MONTH(DATE(YEAR(TODAY()),MONTH(TODAY())+5,1))-MONTH(Tools!$Q70))&gt;=0,MOD(((YEAR(DATE(YEAR(TODAY()),MONTH(TODAY())+5,1))-YEAR(Tools!$Q70))*12+MONTH(DATE(YEAR(TODAY()),MONTH(TODAY())+5,1))-MONTH(Tools!$Q70)),Tools!$U70)=0,OR(Tools!$L70="",EDATE(Tools!$Q70,((YEAR(DATE(YEAR(TODAY()),MONTH(TODAY())+5,1))-YEAR(Tools!$Q70))*12+MONTH(DATE(YEAR(TODAY()),MONTH(TODAY())+5,1))-MONTH(Tools!$Q70)))&lt;Tools!$L70)),Tools!$N70,""))</f>
        <v/>
      </c>
      <c r="I71" s="30">
        <f>IF(OR(Tools!$B70="",Tools!$Q70=""),"",IF(AND(((YEAR(DATE(YEAR(TODAY()),MONTH(TODAY())+6,1))-YEAR(Tools!$Q70))*12+MONTH(DATE(YEAR(TODAY()),MONTH(TODAY())+6,1))-MONTH(Tools!$Q70))&gt;=0,MOD(((YEAR(DATE(YEAR(TODAY()),MONTH(TODAY())+6,1))-YEAR(Tools!$Q70))*12+MONTH(DATE(YEAR(TODAY()),MONTH(TODAY())+6,1))-MONTH(Tools!$Q70)),Tools!$U70)=0,OR(Tools!$L70="",EDATE(Tools!$Q70,((YEAR(DATE(YEAR(TODAY()),MONTH(TODAY())+6,1))-YEAR(Tools!$Q70))*12+MONTH(DATE(YEAR(TODAY()),MONTH(TODAY())+6,1))-MONTH(Tools!$Q70)))&lt;Tools!$L70)),Tools!$N70,""))</f>
        <v/>
      </c>
      <c r="J71" s="30">
        <f>IF(OR(Tools!$B70="",Tools!$Q70=""),"",IF(AND(((YEAR(DATE(YEAR(TODAY()),MONTH(TODAY())+7,1))-YEAR(Tools!$Q70))*12+MONTH(DATE(YEAR(TODAY()),MONTH(TODAY())+7,1))-MONTH(Tools!$Q70))&gt;=0,MOD(((YEAR(DATE(YEAR(TODAY()),MONTH(TODAY())+7,1))-YEAR(Tools!$Q70))*12+MONTH(DATE(YEAR(TODAY()),MONTH(TODAY())+7,1))-MONTH(Tools!$Q70)),Tools!$U70)=0,OR(Tools!$L70="",EDATE(Tools!$Q70,((YEAR(DATE(YEAR(TODAY()),MONTH(TODAY())+7,1))-YEAR(Tools!$Q70))*12+MONTH(DATE(YEAR(TODAY()),MONTH(TODAY())+7,1))-MONTH(Tools!$Q70)))&lt;Tools!$L70)),Tools!$N70,""))</f>
        <v/>
      </c>
      <c r="K71" s="30">
        <f>IF(OR(Tools!$B70="",Tools!$Q70=""),"",IF(AND(((YEAR(DATE(YEAR(TODAY()),MONTH(TODAY())+8,1))-YEAR(Tools!$Q70))*12+MONTH(DATE(YEAR(TODAY()),MONTH(TODAY())+8,1))-MONTH(Tools!$Q70))&gt;=0,MOD(((YEAR(DATE(YEAR(TODAY()),MONTH(TODAY())+8,1))-YEAR(Tools!$Q70))*12+MONTH(DATE(YEAR(TODAY()),MONTH(TODAY())+8,1))-MONTH(Tools!$Q70)),Tools!$U70)=0,OR(Tools!$L70="",EDATE(Tools!$Q70,((YEAR(DATE(YEAR(TODAY()),MONTH(TODAY())+8,1))-YEAR(Tools!$Q70))*12+MONTH(DATE(YEAR(TODAY()),MONTH(TODAY())+8,1))-MONTH(Tools!$Q70)))&lt;Tools!$L70)),Tools!$N70,""))</f>
        <v/>
      </c>
      <c r="L71" s="30">
        <f>IF(OR(Tools!$B70="",Tools!$Q70=""),"",IF(AND(((YEAR(DATE(YEAR(TODAY()),MONTH(TODAY())+9,1))-YEAR(Tools!$Q70))*12+MONTH(DATE(YEAR(TODAY()),MONTH(TODAY())+9,1))-MONTH(Tools!$Q70))&gt;=0,MOD(((YEAR(DATE(YEAR(TODAY()),MONTH(TODAY())+9,1))-YEAR(Tools!$Q70))*12+MONTH(DATE(YEAR(TODAY()),MONTH(TODAY())+9,1))-MONTH(Tools!$Q70)),Tools!$U70)=0,OR(Tools!$L70="",EDATE(Tools!$Q70,((YEAR(DATE(YEAR(TODAY()),MONTH(TODAY())+9,1))-YEAR(Tools!$Q70))*12+MONTH(DATE(YEAR(TODAY()),MONTH(TODAY())+9,1))-MONTH(Tools!$Q70)))&lt;Tools!$L70)),Tools!$N70,""))</f>
        <v/>
      </c>
      <c r="M71" s="30">
        <f>IF(OR(Tools!$B70="",Tools!$Q70=""),"",IF(AND(((YEAR(DATE(YEAR(TODAY()),MONTH(TODAY())+10,1))-YEAR(Tools!$Q70))*12+MONTH(DATE(YEAR(TODAY()),MONTH(TODAY())+10,1))-MONTH(Tools!$Q70))&gt;=0,MOD(((YEAR(DATE(YEAR(TODAY()),MONTH(TODAY())+10,1))-YEAR(Tools!$Q70))*12+MONTH(DATE(YEAR(TODAY()),MONTH(TODAY())+10,1))-MONTH(Tools!$Q70)),Tools!$U70)=0,OR(Tools!$L70="",EDATE(Tools!$Q70,((YEAR(DATE(YEAR(TODAY()),MONTH(TODAY())+10,1))-YEAR(Tools!$Q70))*12+MONTH(DATE(YEAR(TODAY()),MONTH(TODAY())+10,1))-MONTH(Tools!$Q70)))&lt;Tools!$L70)),Tools!$N70,""))</f>
        <v/>
      </c>
      <c r="N71" s="30">
        <f>IF(OR(Tools!$B70="",Tools!$Q70=""),"",IF(AND(((YEAR(DATE(YEAR(TODAY()),MONTH(TODAY())+11,1))-YEAR(Tools!$Q70))*12+MONTH(DATE(YEAR(TODAY()),MONTH(TODAY())+11,1))-MONTH(Tools!$Q70))&gt;=0,MOD(((YEAR(DATE(YEAR(TODAY()),MONTH(TODAY())+11,1))-YEAR(Tools!$Q70))*12+MONTH(DATE(YEAR(TODAY()),MONTH(TODAY())+11,1))-MONTH(Tools!$Q70)),Tools!$U70)=0,OR(Tools!$L70="",EDATE(Tools!$Q70,((YEAR(DATE(YEAR(TODAY()),MONTH(TODAY())+11,1))-YEAR(Tools!$Q70))*12+MONTH(DATE(YEAR(TODAY()),MONTH(TODAY())+11,1))-MONTH(Tools!$Q70)))&lt;Tools!$L70)),Tools!$N70,""))</f>
        <v/>
      </c>
      <c r="O71" s="31">
        <f>IF(B71="","",SUM(C71:N71))</f>
        <v/>
      </c>
      <c r="P71" s="1" t="n"/>
    </row>
    <row r="72">
      <c r="A72" s="1" t="n"/>
      <c r="B72" s="11">
        <f>IF(Tools!B71="","",Tools!B71)</f>
        <v/>
      </c>
      <c r="C72" s="30">
        <f>IF(OR(Tools!$B71="",Tools!$Q71=""),"",IF(AND(((YEAR(DATE(YEAR(TODAY()),MONTH(TODAY())+0,1))-YEAR(Tools!$Q71))*12+MONTH(DATE(YEAR(TODAY()),MONTH(TODAY())+0,1))-MONTH(Tools!$Q71))&gt;=0,MOD(((YEAR(DATE(YEAR(TODAY()),MONTH(TODAY())+0,1))-YEAR(Tools!$Q71))*12+MONTH(DATE(YEAR(TODAY()),MONTH(TODAY())+0,1))-MONTH(Tools!$Q71)),Tools!$U71)=0,OR(Tools!$L71="",EDATE(Tools!$Q71,((YEAR(DATE(YEAR(TODAY()),MONTH(TODAY())+0,1))-YEAR(Tools!$Q71))*12+MONTH(DATE(YEAR(TODAY()),MONTH(TODAY())+0,1))-MONTH(Tools!$Q71)))&lt;Tools!$L71)),Tools!$N71,""))</f>
        <v/>
      </c>
      <c r="D72" s="30">
        <f>IF(OR(Tools!$B71="",Tools!$Q71=""),"",IF(AND(((YEAR(DATE(YEAR(TODAY()),MONTH(TODAY())+1,1))-YEAR(Tools!$Q71))*12+MONTH(DATE(YEAR(TODAY()),MONTH(TODAY())+1,1))-MONTH(Tools!$Q71))&gt;=0,MOD(((YEAR(DATE(YEAR(TODAY()),MONTH(TODAY())+1,1))-YEAR(Tools!$Q71))*12+MONTH(DATE(YEAR(TODAY()),MONTH(TODAY())+1,1))-MONTH(Tools!$Q71)),Tools!$U71)=0,OR(Tools!$L71="",EDATE(Tools!$Q71,((YEAR(DATE(YEAR(TODAY()),MONTH(TODAY())+1,1))-YEAR(Tools!$Q71))*12+MONTH(DATE(YEAR(TODAY()),MONTH(TODAY())+1,1))-MONTH(Tools!$Q71)))&lt;Tools!$L71)),Tools!$N71,""))</f>
        <v/>
      </c>
      <c r="E72" s="30">
        <f>IF(OR(Tools!$B71="",Tools!$Q71=""),"",IF(AND(((YEAR(DATE(YEAR(TODAY()),MONTH(TODAY())+2,1))-YEAR(Tools!$Q71))*12+MONTH(DATE(YEAR(TODAY()),MONTH(TODAY())+2,1))-MONTH(Tools!$Q71))&gt;=0,MOD(((YEAR(DATE(YEAR(TODAY()),MONTH(TODAY())+2,1))-YEAR(Tools!$Q71))*12+MONTH(DATE(YEAR(TODAY()),MONTH(TODAY())+2,1))-MONTH(Tools!$Q71)),Tools!$U71)=0,OR(Tools!$L71="",EDATE(Tools!$Q71,((YEAR(DATE(YEAR(TODAY()),MONTH(TODAY())+2,1))-YEAR(Tools!$Q71))*12+MONTH(DATE(YEAR(TODAY()),MONTH(TODAY())+2,1))-MONTH(Tools!$Q71)))&lt;Tools!$L71)),Tools!$N71,""))</f>
        <v/>
      </c>
      <c r="F72" s="30">
        <f>IF(OR(Tools!$B71="",Tools!$Q71=""),"",IF(AND(((YEAR(DATE(YEAR(TODAY()),MONTH(TODAY())+3,1))-YEAR(Tools!$Q71))*12+MONTH(DATE(YEAR(TODAY()),MONTH(TODAY())+3,1))-MONTH(Tools!$Q71))&gt;=0,MOD(((YEAR(DATE(YEAR(TODAY()),MONTH(TODAY())+3,1))-YEAR(Tools!$Q71))*12+MONTH(DATE(YEAR(TODAY()),MONTH(TODAY())+3,1))-MONTH(Tools!$Q71)),Tools!$U71)=0,OR(Tools!$L71="",EDATE(Tools!$Q71,((YEAR(DATE(YEAR(TODAY()),MONTH(TODAY())+3,1))-YEAR(Tools!$Q71))*12+MONTH(DATE(YEAR(TODAY()),MONTH(TODAY())+3,1))-MONTH(Tools!$Q71)))&lt;Tools!$L71)),Tools!$N71,""))</f>
        <v/>
      </c>
      <c r="G72" s="30">
        <f>IF(OR(Tools!$B71="",Tools!$Q71=""),"",IF(AND(((YEAR(DATE(YEAR(TODAY()),MONTH(TODAY())+4,1))-YEAR(Tools!$Q71))*12+MONTH(DATE(YEAR(TODAY()),MONTH(TODAY())+4,1))-MONTH(Tools!$Q71))&gt;=0,MOD(((YEAR(DATE(YEAR(TODAY()),MONTH(TODAY())+4,1))-YEAR(Tools!$Q71))*12+MONTH(DATE(YEAR(TODAY()),MONTH(TODAY())+4,1))-MONTH(Tools!$Q71)),Tools!$U71)=0,OR(Tools!$L71="",EDATE(Tools!$Q71,((YEAR(DATE(YEAR(TODAY()),MONTH(TODAY())+4,1))-YEAR(Tools!$Q71))*12+MONTH(DATE(YEAR(TODAY()),MONTH(TODAY())+4,1))-MONTH(Tools!$Q71)))&lt;Tools!$L71)),Tools!$N71,""))</f>
        <v/>
      </c>
      <c r="H72" s="30">
        <f>IF(OR(Tools!$B71="",Tools!$Q71=""),"",IF(AND(((YEAR(DATE(YEAR(TODAY()),MONTH(TODAY())+5,1))-YEAR(Tools!$Q71))*12+MONTH(DATE(YEAR(TODAY()),MONTH(TODAY())+5,1))-MONTH(Tools!$Q71))&gt;=0,MOD(((YEAR(DATE(YEAR(TODAY()),MONTH(TODAY())+5,1))-YEAR(Tools!$Q71))*12+MONTH(DATE(YEAR(TODAY()),MONTH(TODAY())+5,1))-MONTH(Tools!$Q71)),Tools!$U71)=0,OR(Tools!$L71="",EDATE(Tools!$Q71,((YEAR(DATE(YEAR(TODAY()),MONTH(TODAY())+5,1))-YEAR(Tools!$Q71))*12+MONTH(DATE(YEAR(TODAY()),MONTH(TODAY())+5,1))-MONTH(Tools!$Q71)))&lt;Tools!$L71)),Tools!$N71,""))</f>
        <v/>
      </c>
      <c r="I72" s="30">
        <f>IF(OR(Tools!$B71="",Tools!$Q71=""),"",IF(AND(((YEAR(DATE(YEAR(TODAY()),MONTH(TODAY())+6,1))-YEAR(Tools!$Q71))*12+MONTH(DATE(YEAR(TODAY()),MONTH(TODAY())+6,1))-MONTH(Tools!$Q71))&gt;=0,MOD(((YEAR(DATE(YEAR(TODAY()),MONTH(TODAY())+6,1))-YEAR(Tools!$Q71))*12+MONTH(DATE(YEAR(TODAY()),MONTH(TODAY())+6,1))-MONTH(Tools!$Q71)),Tools!$U71)=0,OR(Tools!$L71="",EDATE(Tools!$Q71,((YEAR(DATE(YEAR(TODAY()),MONTH(TODAY())+6,1))-YEAR(Tools!$Q71))*12+MONTH(DATE(YEAR(TODAY()),MONTH(TODAY())+6,1))-MONTH(Tools!$Q71)))&lt;Tools!$L71)),Tools!$N71,""))</f>
        <v/>
      </c>
      <c r="J72" s="30">
        <f>IF(OR(Tools!$B71="",Tools!$Q71=""),"",IF(AND(((YEAR(DATE(YEAR(TODAY()),MONTH(TODAY())+7,1))-YEAR(Tools!$Q71))*12+MONTH(DATE(YEAR(TODAY()),MONTH(TODAY())+7,1))-MONTH(Tools!$Q71))&gt;=0,MOD(((YEAR(DATE(YEAR(TODAY()),MONTH(TODAY())+7,1))-YEAR(Tools!$Q71))*12+MONTH(DATE(YEAR(TODAY()),MONTH(TODAY())+7,1))-MONTH(Tools!$Q71)),Tools!$U71)=0,OR(Tools!$L71="",EDATE(Tools!$Q71,((YEAR(DATE(YEAR(TODAY()),MONTH(TODAY())+7,1))-YEAR(Tools!$Q71))*12+MONTH(DATE(YEAR(TODAY()),MONTH(TODAY())+7,1))-MONTH(Tools!$Q71)))&lt;Tools!$L71)),Tools!$N71,""))</f>
        <v/>
      </c>
      <c r="K72" s="30">
        <f>IF(OR(Tools!$B71="",Tools!$Q71=""),"",IF(AND(((YEAR(DATE(YEAR(TODAY()),MONTH(TODAY())+8,1))-YEAR(Tools!$Q71))*12+MONTH(DATE(YEAR(TODAY()),MONTH(TODAY())+8,1))-MONTH(Tools!$Q71))&gt;=0,MOD(((YEAR(DATE(YEAR(TODAY()),MONTH(TODAY())+8,1))-YEAR(Tools!$Q71))*12+MONTH(DATE(YEAR(TODAY()),MONTH(TODAY())+8,1))-MONTH(Tools!$Q71)),Tools!$U71)=0,OR(Tools!$L71="",EDATE(Tools!$Q71,((YEAR(DATE(YEAR(TODAY()),MONTH(TODAY())+8,1))-YEAR(Tools!$Q71))*12+MONTH(DATE(YEAR(TODAY()),MONTH(TODAY())+8,1))-MONTH(Tools!$Q71)))&lt;Tools!$L71)),Tools!$N71,""))</f>
        <v/>
      </c>
      <c r="L72" s="30">
        <f>IF(OR(Tools!$B71="",Tools!$Q71=""),"",IF(AND(((YEAR(DATE(YEAR(TODAY()),MONTH(TODAY())+9,1))-YEAR(Tools!$Q71))*12+MONTH(DATE(YEAR(TODAY()),MONTH(TODAY())+9,1))-MONTH(Tools!$Q71))&gt;=0,MOD(((YEAR(DATE(YEAR(TODAY()),MONTH(TODAY())+9,1))-YEAR(Tools!$Q71))*12+MONTH(DATE(YEAR(TODAY()),MONTH(TODAY())+9,1))-MONTH(Tools!$Q71)),Tools!$U71)=0,OR(Tools!$L71="",EDATE(Tools!$Q71,((YEAR(DATE(YEAR(TODAY()),MONTH(TODAY())+9,1))-YEAR(Tools!$Q71))*12+MONTH(DATE(YEAR(TODAY()),MONTH(TODAY())+9,1))-MONTH(Tools!$Q71)))&lt;Tools!$L71)),Tools!$N71,""))</f>
        <v/>
      </c>
      <c r="M72" s="30">
        <f>IF(OR(Tools!$B71="",Tools!$Q71=""),"",IF(AND(((YEAR(DATE(YEAR(TODAY()),MONTH(TODAY())+10,1))-YEAR(Tools!$Q71))*12+MONTH(DATE(YEAR(TODAY()),MONTH(TODAY())+10,1))-MONTH(Tools!$Q71))&gt;=0,MOD(((YEAR(DATE(YEAR(TODAY()),MONTH(TODAY())+10,1))-YEAR(Tools!$Q71))*12+MONTH(DATE(YEAR(TODAY()),MONTH(TODAY())+10,1))-MONTH(Tools!$Q71)),Tools!$U71)=0,OR(Tools!$L71="",EDATE(Tools!$Q71,((YEAR(DATE(YEAR(TODAY()),MONTH(TODAY())+10,1))-YEAR(Tools!$Q71))*12+MONTH(DATE(YEAR(TODAY()),MONTH(TODAY())+10,1))-MONTH(Tools!$Q71)))&lt;Tools!$L71)),Tools!$N71,""))</f>
        <v/>
      </c>
      <c r="N72" s="30">
        <f>IF(OR(Tools!$B71="",Tools!$Q71=""),"",IF(AND(((YEAR(DATE(YEAR(TODAY()),MONTH(TODAY())+11,1))-YEAR(Tools!$Q71))*12+MONTH(DATE(YEAR(TODAY()),MONTH(TODAY())+11,1))-MONTH(Tools!$Q71))&gt;=0,MOD(((YEAR(DATE(YEAR(TODAY()),MONTH(TODAY())+11,1))-YEAR(Tools!$Q71))*12+MONTH(DATE(YEAR(TODAY()),MONTH(TODAY())+11,1))-MONTH(Tools!$Q71)),Tools!$U71)=0,OR(Tools!$L71="",EDATE(Tools!$Q71,((YEAR(DATE(YEAR(TODAY()),MONTH(TODAY())+11,1))-YEAR(Tools!$Q71))*12+MONTH(DATE(YEAR(TODAY()),MONTH(TODAY())+11,1))-MONTH(Tools!$Q71)))&lt;Tools!$L71)),Tools!$N71,""))</f>
        <v/>
      </c>
      <c r="O72" s="31">
        <f>IF(B72="","",SUM(C72:N72))</f>
        <v/>
      </c>
      <c r="P72" s="1" t="n"/>
    </row>
    <row r="73">
      <c r="A73" s="1" t="n"/>
      <c r="B73" s="11">
        <f>IF(Tools!B72="","",Tools!B72)</f>
        <v/>
      </c>
      <c r="C73" s="30">
        <f>IF(OR(Tools!$B72="",Tools!$Q72=""),"",IF(AND(((YEAR(DATE(YEAR(TODAY()),MONTH(TODAY())+0,1))-YEAR(Tools!$Q72))*12+MONTH(DATE(YEAR(TODAY()),MONTH(TODAY())+0,1))-MONTH(Tools!$Q72))&gt;=0,MOD(((YEAR(DATE(YEAR(TODAY()),MONTH(TODAY())+0,1))-YEAR(Tools!$Q72))*12+MONTH(DATE(YEAR(TODAY()),MONTH(TODAY())+0,1))-MONTH(Tools!$Q72)),Tools!$U72)=0,OR(Tools!$L72="",EDATE(Tools!$Q72,((YEAR(DATE(YEAR(TODAY()),MONTH(TODAY())+0,1))-YEAR(Tools!$Q72))*12+MONTH(DATE(YEAR(TODAY()),MONTH(TODAY())+0,1))-MONTH(Tools!$Q72)))&lt;Tools!$L72)),Tools!$N72,""))</f>
        <v/>
      </c>
      <c r="D73" s="30">
        <f>IF(OR(Tools!$B72="",Tools!$Q72=""),"",IF(AND(((YEAR(DATE(YEAR(TODAY()),MONTH(TODAY())+1,1))-YEAR(Tools!$Q72))*12+MONTH(DATE(YEAR(TODAY()),MONTH(TODAY())+1,1))-MONTH(Tools!$Q72))&gt;=0,MOD(((YEAR(DATE(YEAR(TODAY()),MONTH(TODAY())+1,1))-YEAR(Tools!$Q72))*12+MONTH(DATE(YEAR(TODAY()),MONTH(TODAY())+1,1))-MONTH(Tools!$Q72)),Tools!$U72)=0,OR(Tools!$L72="",EDATE(Tools!$Q72,((YEAR(DATE(YEAR(TODAY()),MONTH(TODAY())+1,1))-YEAR(Tools!$Q72))*12+MONTH(DATE(YEAR(TODAY()),MONTH(TODAY())+1,1))-MONTH(Tools!$Q72)))&lt;Tools!$L72)),Tools!$N72,""))</f>
        <v/>
      </c>
      <c r="E73" s="30">
        <f>IF(OR(Tools!$B72="",Tools!$Q72=""),"",IF(AND(((YEAR(DATE(YEAR(TODAY()),MONTH(TODAY())+2,1))-YEAR(Tools!$Q72))*12+MONTH(DATE(YEAR(TODAY()),MONTH(TODAY())+2,1))-MONTH(Tools!$Q72))&gt;=0,MOD(((YEAR(DATE(YEAR(TODAY()),MONTH(TODAY())+2,1))-YEAR(Tools!$Q72))*12+MONTH(DATE(YEAR(TODAY()),MONTH(TODAY())+2,1))-MONTH(Tools!$Q72)),Tools!$U72)=0,OR(Tools!$L72="",EDATE(Tools!$Q72,((YEAR(DATE(YEAR(TODAY()),MONTH(TODAY())+2,1))-YEAR(Tools!$Q72))*12+MONTH(DATE(YEAR(TODAY()),MONTH(TODAY())+2,1))-MONTH(Tools!$Q72)))&lt;Tools!$L72)),Tools!$N72,""))</f>
        <v/>
      </c>
      <c r="F73" s="30">
        <f>IF(OR(Tools!$B72="",Tools!$Q72=""),"",IF(AND(((YEAR(DATE(YEAR(TODAY()),MONTH(TODAY())+3,1))-YEAR(Tools!$Q72))*12+MONTH(DATE(YEAR(TODAY()),MONTH(TODAY())+3,1))-MONTH(Tools!$Q72))&gt;=0,MOD(((YEAR(DATE(YEAR(TODAY()),MONTH(TODAY())+3,1))-YEAR(Tools!$Q72))*12+MONTH(DATE(YEAR(TODAY()),MONTH(TODAY())+3,1))-MONTH(Tools!$Q72)),Tools!$U72)=0,OR(Tools!$L72="",EDATE(Tools!$Q72,((YEAR(DATE(YEAR(TODAY()),MONTH(TODAY())+3,1))-YEAR(Tools!$Q72))*12+MONTH(DATE(YEAR(TODAY()),MONTH(TODAY())+3,1))-MONTH(Tools!$Q72)))&lt;Tools!$L72)),Tools!$N72,""))</f>
        <v/>
      </c>
      <c r="G73" s="30">
        <f>IF(OR(Tools!$B72="",Tools!$Q72=""),"",IF(AND(((YEAR(DATE(YEAR(TODAY()),MONTH(TODAY())+4,1))-YEAR(Tools!$Q72))*12+MONTH(DATE(YEAR(TODAY()),MONTH(TODAY())+4,1))-MONTH(Tools!$Q72))&gt;=0,MOD(((YEAR(DATE(YEAR(TODAY()),MONTH(TODAY())+4,1))-YEAR(Tools!$Q72))*12+MONTH(DATE(YEAR(TODAY()),MONTH(TODAY())+4,1))-MONTH(Tools!$Q72)),Tools!$U72)=0,OR(Tools!$L72="",EDATE(Tools!$Q72,((YEAR(DATE(YEAR(TODAY()),MONTH(TODAY())+4,1))-YEAR(Tools!$Q72))*12+MONTH(DATE(YEAR(TODAY()),MONTH(TODAY())+4,1))-MONTH(Tools!$Q72)))&lt;Tools!$L72)),Tools!$N72,""))</f>
        <v/>
      </c>
      <c r="H73" s="30">
        <f>IF(OR(Tools!$B72="",Tools!$Q72=""),"",IF(AND(((YEAR(DATE(YEAR(TODAY()),MONTH(TODAY())+5,1))-YEAR(Tools!$Q72))*12+MONTH(DATE(YEAR(TODAY()),MONTH(TODAY())+5,1))-MONTH(Tools!$Q72))&gt;=0,MOD(((YEAR(DATE(YEAR(TODAY()),MONTH(TODAY())+5,1))-YEAR(Tools!$Q72))*12+MONTH(DATE(YEAR(TODAY()),MONTH(TODAY())+5,1))-MONTH(Tools!$Q72)),Tools!$U72)=0,OR(Tools!$L72="",EDATE(Tools!$Q72,((YEAR(DATE(YEAR(TODAY()),MONTH(TODAY())+5,1))-YEAR(Tools!$Q72))*12+MONTH(DATE(YEAR(TODAY()),MONTH(TODAY())+5,1))-MONTH(Tools!$Q72)))&lt;Tools!$L72)),Tools!$N72,""))</f>
        <v/>
      </c>
      <c r="I73" s="30">
        <f>IF(OR(Tools!$B72="",Tools!$Q72=""),"",IF(AND(((YEAR(DATE(YEAR(TODAY()),MONTH(TODAY())+6,1))-YEAR(Tools!$Q72))*12+MONTH(DATE(YEAR(TODAY()),MONTH(TODAY())+6,1))-MONTH(Tools!$Q72))&gt;=0,MOD(((YEAR(DATE(YEAR(TODAY()),MONTH(TODAY())+6,1))-YEAR(Tools!$Q72))*12+MONTH(DATE(YEAR(TODAY()),MONTH(TODAY())+6,1))-MONTH(Tools!$Q72)),Tools!$U72)=0,OR(Tools!$L72="",EDATE(Tools!$Q72,((YEAR(DATE(YEAR(TODAY()),MONTH(TODAY())+6,1))-YEAR(Tools!$Q72))*12+MONTH(DATE(YEAR(TODAY()),MONTH(TODAY())+6,1))-MONTH(Tools!$Q72)))&lt;Tools!$L72)),Tools!$N72,""))</f>
        <v/>
      </c>
      <c r="J73" s="30">
        <f>IF(OR(Tools!$B72="",Tools!$Q72=""),"",IF(AND(((YEAR(DATE(YEAR(TODAY()),MONTH(TODAY())+7,1))-YEAR(Tools!$Q72))*12+MONTH(DATE(YEAR(TODAY()),MONTH(TODAY())+7,1))-MONTH(Tools!$Q72))&gt;=0,MOD(((YEAR(DATE(YEAR(TODAY()),MONTH(TODAY())+7,1))-YEAR(Tools!$Q72))*12+MONTH(DATE(YEAR(TODAY()),MONTH(TODAY())+7,1))-MONTH(Tools!$Q72)),Tools!$U72)=0,OR(Tools!$L72="",EDATE(Tools!$Q72,((YEAR(DATE(YEAR(TODAY()),MONTH(TODAY())+7,1))-YEAR(Tools!$Q72))*12+MONTH(DATE(YEAR(TODAY()),MONTH(TODAY())+7,1))-MONTH(Tools!$Q72)))&lt;Tools!$L72)),Tools!$N72,""))</f>
        <v/>
      </c>
      <c r="K73" s="30">
        <f>IF(OR(Tools!$B72="",Tools!$Q72=""),"",IF(AND(((YEAR(DATE(YEAR(TODAY()),MONTH(TODAY())+8,1))-YEAR(Tools!$Q72))*12+MONTH(DATE(YEAR(TODAY()),MONTH(TODAY())+8,1))-MONTH(Tools!$Q72))&gt;=0,MOD(((YEAR(DATE(YEAR(TODAY()),MONTH(TODAY())+8,1))-YEAR(Tools!$Q72))*12+MONTH(DATE(YEAR(TODAY()),MONTH(TODAY())+8,1))-MONTH(Tools!$Q72)),Tools!$U72)=0,OR(Tools!$L72="",EDATE(Tools!$Q72,((YEAR(DATE(YEAR(TODAY()),MONTH(TODAY())+8,1))-YEAR(Tools!$Q72))*12+MONTH(DATE(YEAR(TODAY()),MONTH(TODAY())+8,1))-MONTH(Tools!$Q72)))&lt;Tools!$L72)),Tools!$N72,""))</f>
        <v/>
      </c>
      <c r="L73" s="30">
        <f>IF(OR(Tools!$B72="",Tools!$Q72=""),"",IF(AND(((YEAR(DATE(YEAR(TODAY()),MONTH(TODAY())+9,1))-YEAR(Tools!$Q72))*12+MONTH(DATE(YEAR(TODAY()),MONTH(TODAY())+9,1))-MONTH(Tools!$Q72))&gt;=0,MOD(((YEAR(DATE(YEAR(TODAY()),MONTH(TODAY())+9,1))-YEAR(Tools!$Q72))*12+MONTH(DATE(YEAR(TODAY()),MONTH(TODAY())+9,1))-MONTH(Tools!$Q72)),Tools!$U72)=0,OR(Tools!$L72="",EDATE(Tools!$Q72,((YEAR(DATE(YEAR(TODAY()),MONTH(TODAY())+9,1))-YEAR(Tools!$Q72))*12+MONTH(DATE(YEAR(TODAY()),MONTH(TODAY())+9,1))-MONTH(Tools!$Q72)))&lt;Tools!$L72)),Tools!$N72,""))</f>
        <v/>
      </c>
      <c r="M73" s="30">
        <f>IF(OR(Tools!$B72="",Tools!$Q72=""),"",IF(AND(((YEAR(DATE(YEAR(TODAY()),MONTH(TODAY())+10,1))-YEAR(Tools!$Q72))*12+MONTH(DATE(YEAR(TODAY()),MONTH(TODAY())+10,1))-MONTH(Tools!$Q72))&gt;=0,MOD(((YEAR(DATE(YEAR(TODAY()),MONTH(TODAY())+10,1))-YEAR(Tools!$Q72))*12+MONTH(DATE(YEAR(TODAY()),MONTH(TODAY())+10,1))-MONTH(Tools!$Q72)),Tools!$U72)=0,OR(Tools!$L72="",EDATE(Tools!$Q72,((YEAR(DATE(YEAR(TODAY()),MONTH(TODAY())+10,1))-YEAR(Tools!$Q72))*12+MONTH(DATE(YEAR(TODAY()),MONTH(TODAY())+10,1))-MONTH(Tools!$Q72)))&lt;Tools!$L72)),Tools!$N72,""))</f>
        <v/>
      </c>
      <c r="N73" s="30">
        <f>IF(OR(Tools!$B72="",Tools!$Q72=""),"",IF(AND(((YEAR(DATE(YEAR(TODAY()),MONTH(TODAY())+11,1))-YEAR(Tools!$Q72))*12+MONTH(DATE(YEAR(TODAY()),MONTH(TODAY())+11,1))-MONTH(Tools!$Q72))&gt;=0,MOD(((YEAR(DATE(YEAR(TODAY()),MONTH(TODAY())+11,1))-YEAR(Tools!$Q72))*12+MONTH(DATE(YEAR(TODAY()),MONTH(TODAY())+11,1))-MONTH(Tools!$Q72)),Tools!$U72)=0,OR(Tools!$L72="",EDATE(Tools!$Q72,((YEAR(DATE(YEAR(TODAY()),MONTH(TODAY())+11,1))-YEAR(Tools!$Q72))*12+MONTH(DATE(YEAR(TODAY()),MONTH(TODAY())+11,1))-MONTH(Tools!$Q72)))&lt;Tools!$L72)),Tools!$N72,""))</f>
        <v/>
      </c>
      <c r="O73" s="31">
        <f>IF(B73="","",SUM(C73:N73))</f>
        <v/>
      </c>
      <c r="P73" s="1" t="n"/>
    </row>
    <row r="74">
      <c r="A74" s="1" t="n"/>
      <c r="B74" s="11">
        <f>IF(Tools!B73="","",Tools!B73)</f>
        <v/>
      </c>
      <c r="C74" s="30">
        <f>IF(OR(Tools!$B73="",Tools!$Q73=""),"",IF(AND(((YEAR(DATE(YEAR(TODAY()),MONTH(TODAY())+0,1))-YEAR(Tools!$Q73))*12+MONTH(DATE(YEAR(TODAY()),MONTH(TODAY())+0,1))-MONTH(Tools!$Q73))&gt;=0,MOD(((YEAR(DATE(YEAR(TODAY()),MONTH(TODAY())+0,1))-YEAR(Tools!$Q73))*12+MONTH(DATE(YEAR(TODAY()),MONTH(TODAY())+0,1))-MONTH(Tools!$Q73)),Tools!$U73)=0,OR(Tools!$L73="",EDATE(Tools!$Q73,((YEAR(DATE(YEAR(TODAY()),MONTH(TODAY())+0,1))-YEAR(Tools!$Q73))*12+MONTH(DATE(YEAR(TODAY()),MONTH(TODAY())+0,1))-MONTH(Tools!$Q73)))&lt;Tools!$L73)),Tools!$N73,""))</f>
        <v/>
      </c>
      <c r="D74" s="30">
        <f>IF(OR(Tools!$B73="",Tools!$Q73=""),"",IF(AND(((YEAR(DATE(YEAR(TODAY()),MONTH(TODAY())+1,1))-YEAR(Tools!$Q73))*12+MONTH(DATE(YEAR(TODAY()),MONTH(TODAY())+1,1))-MONTH(Tools!$Q73))&gt;=0,MOD(((YEAR(DATE(YEAR(TODAY()),MONTH(TODAY())+1,1))-YEAR(Tools!$Q73))*12+MONTH(DATE(YEAR(TODAY()),MONTH(TODAY())+1,1))-MONTH(Tools!$Q73)),Tools!$U73)=0,OR(Tools!$L73="",EDATE(Tools!$Q73,((YEAR(DATE(YEAR(TODAY()),MONTH(TODAY())+1,1))-YEAR(Tools!$Q73))*12+MONTH(DATE(YEAR(TODAY()),MONTH(TODAY())+1,1))-MONTH(Tools!$Q73)))&lt;Tools!$L73)),Tools!$N73,""))</f>
        <v/>
      </c>
      <c r="E74" s="30">
        <f>IF(OR(Tools!$B73="",Tools!$Q73=""),"",IF(AND(((YEAR(DATE(YEAR(TODAY()),MONTH(TODAY())+2,1))-YEAR(Tools!$Q73))*12+MONTH(DATE(YEAR(TODAY()),MONTH(TODAY())+2,1))-MONTH(Tools!$Q73))&gt;=0,MOD(((YEAR(DATE(YEAR(TODAY()),MONTH(TODAY())+2,1))-YEAR(Tools!$Q73))*12+MONTH(DATE(YEAR(TODAY()),MONTH(TODAY())+2,1))-MONTH(Tools!$Q73)),Tools!$U73)=0,OR(Tools!$L73="",EDATE(Tools!$Q73,((YEAR(DATE(YEAR(TODAY()),MONTH(TODAY())+2,1))-YEAR(Tools!$Q73))*12+MONTH(DATE(YEAR(TODAY()),MONTH(TODAY())+2,1))-MONTH(Tools!$Q73)))&lt;Tools!$L73)),Tools!$N73,""))</f>
        <v/>
      </c>
      <c r="F74" s="30">
        <f>IF(OR(Tools!$B73="",Tools!$Q73=""),"",IF(AND(((YEAR(DATE(YEAR(TODAY()),MONTH(TODAY())+3,1))-YEAR(Tools!$Q73))*12+MONTH(DATE(YEAR(TODAY()),MONTH(TODAY())+3,1))-MONTH(Tools!$Q73))&gt;=0,MOD(((YEAR(DATE(YEAR(TODAY()),MONTH(TODAY())+3,1))-YEAR(Tools!$Q73))*12+MONTH(DATE(YEAR(TODAY()),MONTH(TODAY())+3,1))-MONTH(Tools!$Q73)),Tools!$U73)=0,OR(Tools!$L73="",EDATE(Tools!$Q73,((YEAR(DATE(YEAR(TODAY()),MONTH(TODAY())+3,1))-YEAR(Tools!$Q73))*12+MONTH(DATE(YEAR(TODAY()),MONTH(TODAY())+3,1))-MONTH(Tools!$Q73)))&lt;Tools!$L73)),Tools!$N73,""))</f>
        <v/>
      </c>
      <c r="G74" s="30">
        <f>IF(OR(Tools!$B73="",Tools!$Q73=""),"",IF(AND(((YEAR(DATE(YEAR(TODAY()),MONTH(TODAY())+4,1))-YEAR(Tools!$Q73))*12+MONTH(DATE(YEAR(TODAY()),MONTH(TODAY())+4,1))-MONTH(Tools!$Q73))&gt;=0,MOD(((YEAR(DATE(YEAR(TODAY()),MONTH(TODAY())+4,1))-YEAR(Tools!$Q73))*12+MONTH(DATE(YEAR(TODAY()),MONTH(TODAY())+4,1))-MONTH(Tools!$Q73)),Tools!$U73)=0,OR(Tools!$L73="",EDATE(Tools!$Q73,((YEAR(DATE(YEAR(TODAY()),MONTH(TODAY())+4,1))-YEAR(Tools!$Q73))*12+MONTH(DATE(YEAR(TODAY()),MONTH(TODAY())+4,1))-MONTH(Tools!$Q73)))&lt;Tools!$L73)),Tools!$N73,""))</f>
        <v/>
      </c>
      <c r="H74" s="30">
        <f>IF(OR(Tools!$B73="",Tools!$Q73=""),"",IF(AND(((YEAR(DATE(YEAR(TODAY()),MONTH(TODAY())+5,1))-YEAR(Tools!$Q73))*12+MONTH(DATE(YEAR(TODAY()),MONTH(TODAY())+5,1))-MONTH(Tools!$Q73))&gt;=0,MOD(((YEAR(DATE(YEAR(TODAY()),MONTH(TODAY())+5,1))-YEAR(Tools!$Q73))*12+MONTH(DATE(YEAR(TODAY()),MONTH(TODAY())+5,1))-MONTH(Tools!$Q73)),Tools!$U73)=0,OR(Tools!$L73="",EDATE(Tools!$Q73,((YEAR(DATE(YEAR(TODAY()),MONTH(TODAY())+5,1))-YEAR(Tools!$Q73))*12+MONTH(DATE(YEAR(TODAY()),MONTH(TODAY())+5,1))-MONTH(Tools!$Q73)))&lt;Tools!$L73)),Tools!$N73,""))</f>
        <v/>
      </c>
      <c r="I74" s="30">
        <f>IF(OR(Tools!$B73="",Tools!$Q73=""),"",IF(AND(((YEAR(DATE(YEAR(TODAY()),MONTH(TODAY())+6,1))-YEAR(Tools!$Q73))*12+MONTH(DATE(YEAR(TODAY()),MONTH(TODAY())+6,1))-MONTH(Tools!$Q73))&gt;=0,MOD(((YEAR(DATE(YEAR(TODAY()),MONTH(TODAY())+6,1))-YEAR(Tools!$Q73))*12+MONTH(DATE(YEAR(TODAY()),MONTH(TODAY())+6,1))-MONTH(Tools!$Q73)),Tools!$U73)=0,OR(Tools!$L73="",EDATE(Tools!$Q73,((YEAR(DATE(YEAR(TODAY()),MONTH(TODAY())+6,1))-YEAR(Tools!$Q73))*12+MONTH(DATE(YEAR(TODAY()),MONTH(TODAY())+6,1))-MONTH(Tools!$Q73)))&lt;Tools!$L73)),Tools!$N73,""))</f>
        <v/>
      </c>
      <c r="J74" s="30">
        <f>IF(OR(Tools!$B73="",Tools!$Q73=""),"",IF(AND(((YEAR(DATE(YEAR(TODAY()),MONTH(TODAY())+7,1))-YEAR(Tools!$Q73))*12+MONTH(DATE(YEAR(TODAY()),MONTH(TODAY())+7,1))-MONTH(Tools!$Q73))&gt;=0,MOD(((YEAR(DATE(YEAR(TODAY()),MONTH(TODAY())+7,1))-YEAR(Tools!$Q73))*12+MONTH(DATE(YEAR(TODAY()),MONTH(TODAY())+7,1))-MONTH(Tools!$Q73)),Tools!$U73)=0,OR(Tools!$L73="",EDATE(Tools!$Q73,((YEAR(DATE(YEAR(TODAY()),MONTH(TODAY())+7,1))-YEAR(Tools!$Q73))*12+MONTH(DATE(YEAR(TODAY()),MONTH(TODAY())+7,1))-MONTH(Tools!$Q73)))&lt;Tools!$L73)),Tools!$N73,""))</f>
        <v/>
      </c>
      <c r="K74" s="30">
        <f>IF(OR(Tools!$B73="",Tools!$Q73=""),"",IF(AND(((YEAR(DATE(YEAR(TODAY()),MONTH(TODAY())+8,1))-YEAR(Tools!$Q73))*12+MONTH(DATE(YEAR(TODAY()),MONTH(TODAY())+8,1))-MONTH(Tools!$Q73))&gt;=0,MOD(((YEAR(DATE(YEAR(TODAY()),MONTH(TODAY())+8,1))-YEAR(Tools!$Q73))*12+MONTH(DATE(YEAR(TODAY()),MONTH(TODAY())+8,1))-MONTH(Tools!$Q73)),Tools!$U73)=0,OR(Tools!$L73="",EDATE(Tools!$Q73,((YEAR(DATE(YEAR(TODAY()),MONTH(TODAY())+8,1))-YEAR(Tools!$Q73))*12+MONTH(DATE(YEAR(TODAY()),MONTH(TODAY())+8,1))-MONTH(Tools!$Q73)))&lt;Tools!$L73)),Tools!$N73,""))</f>
        <v/>
      </c>
      <c r="L74" s="30">
        <f>IF(OR(Tools!$B73="",Tools!$Q73=""),"",IF(AND(((YEAR(DATE(YEAR(TODAY()),MONTH(TODAY())+9,1))-YEAR(Tools!$Q73))*12+MONTH(DATE(YEAR(TODAY()),MONTH(TODAY())+9,1))-MONTH(Tools!$Q73))&gt;=0,MOD(((YEAR(DATE(YEAR(TODAY()),MONTH(TODAY())+9,1))-YEAR(Tools!$Q73))*12+MONTH(DATE(YEAR(TODAY()),MONTH(TODAY())+9,1))-MONTH(Tools!$Q73)),Tools!$U73)=0,OR(Tools!$L73="",EDATE(Tools!$Q73,((YEAR(DATE(YEAR(TODAY()),MONTH(TODAY())+9,1))-YEAR(Tools!$Q73))*12+MONTH(DATE(YEAR(TODAY()),MONTH(TODAY())+9,1))-MONTH(Tools!$Q73)))&lt;Tools!$L73)),Tools!$N73,""))</f>
        <v/>
      </c>
      <c r="M74" s="30">
        <f>IF(OR(Tools!$B73="",Tools!$Q73=""),"",IF(AND(((YEAR(DATE(YEAR(TODAY()),MONTH(TODAY())+10,1))-YEAR(Tools!$Q73))*12+MONTH(DATE(YEAR(TODAY()),MONTH(TODAY())+10,1))-MONTH(Tools!$Q73))&gt;=0,MOD(((YEAR(DATE(YEAR(TODAY()),MONTH(TODAY())+10,1))-YEAR(Tools!$Q73))*12+MONTH(DATE(YEAR(TODAY()),MONTH(TODAY())+10,1))-MONTH(Tools!$Q73)),Tools!$U73)=0,OR(Tools!$L73="",EDATE(Tools!$Q73,((YEAR(DATE(YEAR(TODAY()),MONTH(TODAY())+10,1))-YEAR(Tools!$Q73))*12+MONTH(DATE(YEAR(TODAY()),MONTH(TODAY())+10,1))-MONTH(Tools!$Q73)))&lt;Tools!$L73)),Tools!$N73,""))</f>
        <v/>
      </c>
      <c r="N74" s="30">
        <f>IF(OR(Tools!$B73="",Tools!$Q73=""),"",IF(AND(((YEAR(DATE(YEAR(TODAY()),MONTH(TODAY())+11,1))-YEAR(Tools!$Q73))*12+MONTH(DATE(YEAR(TODAY()),MONTH(TODAY())+11,1))-MONTH(Tools!$Q73))&gt;=0,MOD(((YEAR(DATE(YEAR(TODAY()),MONTH(TODAY())+11,1))-YEAR(Tools!$Q73))*12+MONTH(DATE(YEAR(TODAY()),MONTH(TODAY())+11,1))-MONTH(Tools!$Q73)),Tools!$U73)=0,OR(Tools!$L73="",EDATE(Tools!$Q73,((YEAR(DATE(YEAR(TODAY()),MONTH(TODAY())+11,1))-YEAR(Tools!$Q73))*12+MONTH(DATE(YEAR(TODAY()),MONTH(TODAY())+11,1))-MONTH(Tools!$Q73)))&lt;Tools!$L73)),Tools!$N73,""))</f>
        <v/>
      </c>
      <c r="O74" s="31">
        <f>IF(B74="","",SUM(C74:N74))</f>
        <v/>
      </c>
      <c r="P74" s="1" t="n"/>
    </row>
    <row r="75">
      <c r="A75" s="1" t="n"/>
      <c r="B75" s="11">
        <f>IF(Tools!B74="","",Tools!B74)</f>
        <v/>
      </c>
      <c r="C75" s="30">
        <f>IF(OR(Tools!$B74="",Tools!$Q74=""),"",IF(AND(((YEAR(DATE(YEAR(TODAY()),MONTH(TODAY())+0,1))-YEAR(Tools!$Q74))*12+MONTH(DATE(YEAR(TODAY()),MONTH(TODAY())+0,1))-MONTH(Tools!$Q74))&gt;=0,MOD(((YEAR(DATE(YEAR(TODAY()),MONTH(TODAY())+0,1))-YEAR(Tools!$Q74))*12+MONTH(DATE(YEAR(TODAY()),MONTH(TODAY())+0,1))-MONTH(Tools!$Q74)),Tools!$U74)=0,OR(Tools!$L74="",EDATE(Tools!$Q74,((YEAR(DATE(YEAR(TODAY()),MONTH(TODAY())+0,1))-YEAR(Tools!$Q74))*12+MONTH(DATE(YEAR(TODAY()),MONTH(TODAY())+0,1))-MONTH(Tools!$Q74)))&lt;Tools!$L74)),Tools!$N74,""))</f>
        <v/>
      </c>
      <c r="D75" s="30">
        <f>IF(OR(Tools!$B74="",Tools!$Q74=""),"",IF(AND(((YEAR(DATE(YEAR(TODAY()),MONTH(TODAY())+1,1))-YEAR(Tools!$Q74))*12+MONTH(DATE(YEAR(TODAY()),MONTH(TODAY())+1,1))-MONTH(Tools!$Q74))&gt;=0,MOD(((YEAR(DATE(YEAR(TODAY()),MONTH(TODAY())+1,1))-YEAR(Tools!$Q74))*12+MONTH(DATE(YEAR(TODAY()),MONTH(TODAY())+1,1))-MONTH(Tools!$Q74)),Tools!$U74)=0,OR(Tools!$L74="",EDATE(Tools!$Q74,((YEAR(DATE(YEAR(TODAY()),MONTH(TODAY())+1,1))-YEAR(Tools!$Q74))*12+MONTH(DATE(YEAR(TODAY()),MONTH(TODAY())+1,1))-MONTH(Tools!$Q74)))&lt;Tools!$L74)),Tools!$N74,""))</f>
        <v/>
      </c>
      <c r="E75" s="30">
        <f>IF(OR(Tools!$B74="",Tools!$Q74=""),"",IF(AND(((YEAR(DATE(YEAR(TODAY()),MONTH(TODAY())+2,1))-YEAR(Tools!$Q74))*12+MONTH(DATE(YEAR(TODAY()),MONTH(TODAY())+2,1))-MONTH(Tools!$Q74))&gt;=0,MOD(((YEAR(DATE(YEAR(TODAY()),MONTH(TODAY())+2,1))-YEAR(Tools!$Q74))*12+MONTH(DATE(YEAR(TODAY()),MONTH(TODAY())+2,1))-MONTH(Tools!$Q74)),Tools!$U74)=0,OR(Tools!$L74="",EDATE(Tools!$Q74,((YEAR(DATE(YEAR(TODAY()),MONTH(TODAY())+2,1))-YEAR(Tools!$Q74))*12+MONTH(DATE(YEAR(TODAY()),MONTH(TODAY())+2,1))-MONTH(Tools!$Q74)))&lt;Tools!$L74)),Tools!$N74,""))</f>
        <v/>
      </c>
      <c r="F75" s="30">
        <f>IF(OR(Tools!$B74="",Tools!$Q74=""),"",IF(AND(((YEAR(DATE(YEAR(TODAY()),MONTH(TODAY())+3,1))-YEAR(Tools!$Q74))*12+MONTH(DATE(YEAR(TODAY()),MONTH(TODAY())+3,1))-MONTH(Tools!$Q74))&gt;=0,MOD(((YEAR(DATE(YEAR(TODAY()),MONTH(TODAY())+3,1))-YEAR(Tools!$Q74))*12+MONTH(DATE(YEAR(TODAY()),MONTH(TODAY())+3,1))-MONTH(Tools!$Q74)),Tools!$U74)=0,OR(Tools!$L74="",EDATE(Tools!$Q74,((YEAR(DATE(YEAR(TODAY()),MONTH(TODAY())+3,1))-YEAR(Tools!$Q74))*12+MONTH(DATE(YEAR(TODAY()),MONTH(TODAY())+3,1))-MONTH(Tools!$Q74)))&lt;Tools!$L74)),Tools!$N74,""))</f>
        <v/>
      </c>
      <c r="G75" s="30">
        <f>IF(OR(Tools!$B74="",Tools!$Q74=""),"",IF(AND(((YEAR(DATE(YEAR(TODAY()),MONTH(TODAY())+4,1))-YEAR(Tools!$Q74))*12+MONTH(DATE(YEAR(TODAY()),MONTH(TODAY())+4,1))-MONTH(Tools!$Q74))&gt;=0,MOD(((YEAR(DATE(YEAR(TODAY()),MONTH(TODAY())+4,1))-YEAR(Tools!$Q74))*12+MONTH(DATE(YEAR(TODAY()),MONTH(TODAY())+4,1))-MONTH(Tools!$Q74)),Tools!$U74)=0,OR(Tools!$L74="",EDATE(Tools!$Q74,((YEAR(DATE(YEAR(TODAY()),MONTH(TODAY())+4,1))-YEAR(Tools!$Q74))*12+MONTH(DATE(YEAR(TODAY()),MONTH(TODAY())+4,1))-MONTH(Tools!$Q74)))&lt;Tools!$L74)),Tools!$N74,""))</f>
        <v/>
      </c>
      <c r="H75" s="30">
        <f>IF(OR(Tools!$B74="",Tools!$Q74=""),"",IF(AND(((YEAR(DATE(YEAR(TODAY()),MONTH(TODAY())+5,1))-YEAR(Tools!$Q74))*12+MONTH(DATE(YEAR(TODAY()),MONTH(TODAY())+5,1))-MONTH(Tools!$Q74))&gt;=0,MOD(((YEAR(DATE(YEAR(TODAY()),MONTH(TODAY())+5,1))-YEAR(Tools!$Q74))*12+MONTH(DATE(YEAR(TODAY()),MONTH(TODAY())+5,1))-MONTH(Tools!$Q74)),Tools!$U74)=0,OR(Tools!$L74="",EDATE(Tools!$Q74,((YEAR(DATE(YEAR(TODAY()),MONTH(TODAY())+5,1))-YEAR(Tools!$Q74))*12+MONTH(DATE(YEAR(TODAY()),MONTH(TODAY())+5,1))-MONTH(Tools!$Q74)))&lt;Tools!$L74)),Tools!$N74,""))</f>
        <v/>
      </c>
      <c r="I75" s="30">
        <f>IF(OR(Tools!$B74="",Tools!$Q74=""),"",IF(AND(((YEAR(DATE(YEAR(TODAY()),MONTH(TODAY())+6,1))-YEAR(Tools!$Q74))*12+MONTH(DATE(YEAR(TODAY()),MONTH(TODAY())+6,1))-MONTH(Tools!$Q74))&gt;=0,MOD(((YEAR(DATE(YEAR(TODAY()),MONTH(TODAY())+6,1))-YEAR(Tools!$Q74))*12+MONTH(DATE(YEAR(TODAY()),MONTH(TODAY())+6,1))-MONTH(Tools!$Q74)),Tools!$U74)=0,OR(Tools!$L74="",EDATE(Tools!$Q74,((YEAR(DATE(YEAR(TODAY()),MONTH(TODAY())+6,1))-YEAR(Tools!$Q74))*12+MONTH(DATE(YEAR(TODAY()),MONTH(TODAY())+6,1))-MONTH(Tools!$Q74)))&lt;Tools!$L74)),Tools!$N74,""))</f>
        <v/>
      </c>
      <c r="J75" s="30">
        <f>IF(OR(Tools!$B74="",Tools!$Q74=""),"",IF(AND(((YEAR(DATE(YEAR(TODAY()),MONTH(TODAY())+7,1))-YEAR(Tools!$Q74))*12+MONTH(DATE(YEAR(TODAY()),MONTH(TODAY())+7,1))-MONTH(Tools!$Q74))&gt;=0,MOD(((YEAR(DATE(YEAR(TODAY()),MONTH(TODAY())+7,1))-YEAR(Tools!$Q74))*12+MONTH(DATE(YEAR(TODAY()),MONTH(TODAY())+7,1))-MONTH(Tools!$Q74)),Tools!$U74)=0,OR(Tools!$L74="",EDATE(Tools!$Q74,((YEAR(DATE(YEAR(TODAY()),MONTH(TODAY())+7,1))-YEAR(Tools!$Q74))*12+MONTH(DATE(YEAR(TODAY()),MONTH(TODAY())+7,1))-MONTH(Tools!$Q74)))&lt;Tools!$L74)),Tools!$N74,""))</f>
        <v/>
      </c>
      <c r="K75" s="30">
        <f>IF(OR(Tools!$B74="",Tools!$Q74=""),"",IF(AND(((YEAR(DATE(YEAR(TODAY()),MONTH(TODAY())+8,1))-YEAR(Tools!$Q74))*12+MONTH(DATE(YEAR(TODAY()),MONTH(TODAY())+8,1))-MONTH(Tools!$Q74))&gt;=0,MOD(((YEAR(DATE(YEAR(TODAY()),MONTH(TODAY())+8,1))-YEAR(Tools!$Q74))*12+MONTH(DATE(YEAR(TODAY()),MONTH(TODAY())+8,1))-MONTH(Tools!$Q74)),Tools!$U74)=0,OR(Tools!$L74="",EDATE(Tools!$Q74,((YEAR(DATE(YEAR(TODAY()),MONTH(TODAY())+8,1))-YEAR(Tools!$Q74))*12+MONTH(DATE(YEAR(TODAY()),MONTH(TODAY())+8,1))-MONTH(Tools!$Q74)))&lt;Tools!$L74)),Tools!$N74,""))</f>
        <v/>
      </c>
      <c r="L75" s="30">
        <f>IF(OR(Tools!$B74="",Tools!$Q74=""),"",IF(AND(((YEAR(DATE(YEAR(TODAY()),MONTH(TODAY())+9,1))-YEAR(Tools!$Q74))*12+MONTH(DATE(YEAR(TODAY()),MONTH(TODAY())+9,1))-MONTH(Tools!$Q74))&gt;=0,MOD(((YEAR(DATE(YEAR(TODAY()),MONTH(TODAY())+9,1))-YEAR(Tools!$Q74))*12+MONTH(DATE(YEAR(TODAY()),MONTH(TODAY())+9,1))-MONTH(Tools!$Q74)),Tools!$U74)=0,OR(Tools!$L74="",EDATE(Tools!$Q74,((YEAR(DATE(YEAR(TODAY()),MONTH(TODAY())+9,1))-YEAR(Tools!$Q74))*12+MONTH(DATE(YEAR(TODAY()),MONTH(TODAY())+9,1))-MONTH(Tools!$Q74)))&lt;Tools!$L74)),Tools!$N74,""))</f>
        <v/>
      </c>
      <c r="M75" s="30">
        <f>IF(OR(Tools!$B74="",Tools!$Q74=""),"",IF(AND(((YEAR(DATE(YEAR(TODAY()),MONTH(TODAY())+10,1))-YEAR(Tools!$Q74))*12+MONTH(DATE(YEAR(TODAY()),MONTH(TODAY())+10,1))-MONTH(Tools!$Q74))&gt;=0,MOD(((YEAR(DATE(YEAR(TODAY()),MONTH(TODAY())+10,1))-YEAR(Tools!$Q74))*12+MONTH(DATE(YEAR(TODAY()),MONTH(TODAY())+10,1))-MONTH(Tools!$Q74)),Tools!$U74)=0,OR(Tools!$L74="",EDATE(Tools!$Q74,((YEAR(DATE(YEAR(TODAY()),MONTH(TODAY())+10,1))-YEAR(Tools!$Q74))*12+MONTH(DATE(YEAR(TODAY()),MONTH(TODAY())+10,1))-MONTH(Tools!$Q74)))&lt;Tools!$L74)),Tools!$N74,""))</f>
        <v/>
      </c>
      <c r="N75" s="30">
        <f>IF(OR(Tools!$B74="",Tools!$Q74=""),"",IF(AND(((YEAR(DATE(YEAR(TODAY()),MONTH(TODAY())+11,1))-YEAR(Tools!$Q74))*12+MONTH(DATE(YEAR(TODAY()),MONTH(TODAY())+11,1))-MONTH(Tools!$Q74))&gt;=0,MOD(((YEAR(DATE(YEAR(TODAY()),MONTH(TODAY())+11,1))-YEAR(Tools!$Q74))*12+MONTH(DATE(YEAR(TODAY()),MONTH(TODAY())+11,1))-MONTH(Tools!$Q74)),Tools!$U74)=0,OR(Tools!$L74="",EDATE(Tools!$Q74,((YEAR(DATE(YEAR(TODAY()),MONTH(TODAY())+11,1))-YEAR(Tools!$Q74))*12+MONTH(DATE(YEAR(TODAY()),MONTH(TODAY())+11,1))-MONTH(Tools!$Q74)))&lt;Tools!$L74)),Tools!$N74,""))</f>
        <v/>
      </c>
      <c r="O75" s="31">
        <f>IF(B75="","",SUM(C75:N75))</f>
        <v/>
      </c>
      <c r="P75" s="1" t="n"/>
    </row>
    <row r="76">
      <c r="A76" s="1" t="n"/>
      <c r="B76" s="11">
        <f>IF(Tools!B75="","",Tools!B75)</f>
        <v/>
      </c>
      <c r="C76" s="30">
        <f>IF(OR(Tools!$B75="",Tools!$Q75=""),"",IF(AND(((YEAR(DATE(YEAR(TODAY()),MONTH(TODAY())+0,1))-YEAR(Tools!$Q75))*12+MONTH(DATE(YEAR(TODAY()),MONTH(TODAY())+0,1))-MONTH(Tools!$Q75))&gt;=0,MOD(((YEAR(DATE(YEAR(TODAY()),MONTH(TODAY())+0,1))-YEAR(Tools!$Q75))*12+MONTH(DATE(YEAR(TODAY()),MONTH(TODAY())+0,1))-MONTH(Tools!$Q75)),Tools!$U75)=0,OR(Tools!$L75="",EDATE(Tools!$Q75,((YEAR(DATE(YEAR(TODAY()),MONTH(TODAY())+0,1))-YEAR(Tools!$Q75))*12+MONTH(DATE(YEAR(TODAY()),MONTH(TODAY())+0,1))-MONTH(Tools!$Q75)))&lt;Tools!$L75)),Tools!$N75,""))</f>
        <v/>
      </c>
      <c r="D76" s="30">
        <f>IF(OR(Tools!$B75="",Tools!$Q75=""),"",IF(AND(((YEAR(DATE(YEAR(TODAY()),MONTH(TODAY())+1,1))-YEAR(Tools!$Q75))*12+MONTH(DATE(YEAR(TODAY()),MONTH(TODAY())+1,1))-MONTH(Tools!$Q75))&gt;=0,MOD(((YEAR(DATE(YEAR(TODAY()),MONTH(TODAY())+1,1))-YEAR(Tools!$Q75))*12+MONTH(DATE(YEAR(TODAY()),MONTH(TODAY())+1,1))-MONTH(Tools!$Q75)),Tools!$U75)=0,OR(Tools!$L75="",EDATE(Tools!$Q75,((YEAR(DATE(YEAR(TODAY()),MONTH(TODAY())+1,1))-YEAR(Tools!$Q75))*12+MONTH(DATE(YEAR(TODAY()),MONTH(TODAY())+1,1))-MONTH(Tools!$Q75)))&lt;Tools!$L75)),Tools!$N75,""))</f>
        <v/>
      </c>
      <c r="E76" s="30">
        <f>IF(OR(Tools!$B75="",Tools!$Q75=""),"",IF(AND(((YEAR(DATE(YEAR(TODAY()),MONTH(TODAY())+2,1))-YEAR(Tools!$Q75))*12+MONTH(DATE(YEAR(TODAY()),MONTH(TODAY())+2,1))-MONTH(Tools!$Q75))&gt;=0,MOD(((YEAR(DATE(YEAR(TODAY()),MONTH(TODAY())+2,1))-YEAR(Tools!$Q75))*12+MONTH(DATE(YEAR(TODAY()),MONTH(TODAY())+2,1))-MONTH(Tools!$Q75)),Tools!$U75)=0,OR(Tools!$L75="",EDATE(Tools!$Q75,((YEAR(DATE(YEAR(TODAY()),MONTH(TODAY())+2,1))-YEAR(Tools!$Q75))*12+MONTH(DATE(YEAR(TODAY()),MONTH(TODAY())+2,1))-MONTH(Tools!$Q75)))&lt;Tools!$L75)),Tools!$N75,""))</f>
        <v/>
      </c>
      <c r="F76" s="30">
        <f>IF(OR(Tools!$B75="",Tools!$Q75=""),"",IF(AND(((YEAR(DATE(YEAR(TODAY()),MONTH(TODAY())+3,1))-YEAR(Tools!$Q75))*12+MONTH(DATE(YEAR(TODAY()),MONTH(TODAY())+3,1))-MONTH(Tools!$Q75))&gt;=0,MOD(((YEAR(DATE(YEAR(TODAY()),MONTH(TODAY())+3,1))-YEAR(Tools!$Q75))*12+MONTH(DATE(YEAR(TODAY()),MONTH(TODAY())+3,1))-MONTH(Tools!$Q75)),Tools!$U75)=0,OR(Tools!$L75="",EDATE(Tools!$Q75,((YEAR(DATE(YEAR(TODAY()),MONTH(TODAY())+3,1))-YEAR(Tools!$Q75))*12+MONTH(DATE(YEAR(TODAY()),MONTH(TODAY())+3,1))-MONTH(Tools!$Q75)))&lt;Tools!$L75)),Tools!$N75,""))</f>
        <v/>
      </c>
      <c r="G76" s="30">
        <f>IF(OR(Tools!$B75="",Tools!$Q75=""),"",IF(AND(((YEAR(DATE(YEAR(TODAY()),MONTH(TODAY())+4,1))-YEAR(Tools!$Q75))*12+MONTH(DATE(YEAR(TODAY()),MONTH(TODAY())+4,1))-MONTH(Tools!$Q75))&gt;=0,MOD(((YEAR(DATE(YEAR(TODAY()),MONTH(TODAY())+4,1))-YEAR(Tools!$Q75))*12+MONTH(DATE(YEAR(TODAY()),MONTH(TODAY())+4,1))-MONTH(Tools!$Q75)),Tools!$U75)=0,OR(Tools!$L75="",EDATE(Tools!$Q75,((YEAR(DATE(YEAR(TODAY()),MONTH(TODAY())+4,1))-YEAR(Tools!$Q75))*12+MONTH(DATE(YEAR(TODAY()),MONTH(TODAY())+4,1))-MONTH(Tools!$Q75)))&lt;Tools!$L75)),Tools!$N75,""))</f>
        <v/>
      </c>
      <c r="H76" s="30">
        <f>IF(OR(Tools!$B75="",Tools!$Q75=""),"",IF(AND(((YEAR(DATE(YEAR(TODAY()),MONTH(TODAY())+5,1))-YEAR(Tools!$Q75))*12+MONTH(DATE(YEAR(TODAY()),MONTH(TODAY())+5,1))-MONTH(Tools!$Q75))&gt;=0,MOD(((YEAR(DATE(YEAR(TODAY()),MONTH(TODAY())+5,1))-YEAR(Tools!$Q75))*12+MONTH(DATE(YEAR(TODAY()),MONTH(TODAY())+5,1))-MONTH(Tools!$Q75)),Tools!$U75)=0,OR(Tools!$L75="",EDATE(Tools!$Q75,((YEAR(DATE(YEAR(TODAY()),MONTH(TODAY())+5,1))-YEAR(Tools!$Q75))*12+MONTH(DATE(YEAR(TODAY()),MONTH(TODAY())+5,1))-MONTH(Tools!$Q75)))&lt;Tools!$L75)),Tools!$N75,""))</f>
        <v/>
      </c>
      <c r="I76" s="30">
        <f>IF(OR(Tools!$B75="",Tools!$Q75=""),"",IF(AND(((YEAR(DATE(YEAR(TODAY()),MONTH(TODAY())+6,1))-YEAR(Tools!$Q75))*12+MONTH(DATE(YEAR(TODAY()),MONTH(TODAY())+6,1))-MONTH(Tools!$Q75))&gt;=0,MOD(((YEAR(DATE(YEAR(TODAY()),MONTH(TODAY())+6,1))-YEAR(Tools!$Q75))*12+MONTH(DATE(YEAR(TODAY()),MONTH(TODAY())+6,1))-MONTH(Tools!$Q75)),Tools!$U75)=0,OR(Tools!$L75="",EDATE(Tools!$Q75,((YEAR(DATE(YEAR(TODAY()),MONTH(TODAY())+6,1))-YEAR(Tools!$Q75))*12+MONTH(DATE(YEAR(TODAY()),MONTH(TODAY())+6,1))-MONTH(Tools!$Q75)))&lt;Tools!$L75)),Tools!$N75,""))</f>
        <v/>
      </c>
      <c r="J76" s="30">
        <f>IF(OR(Tools!$B75="",Tools!$Q75=""),"",IF(AND(((YEAR(DATE(YEAR(TODAY()),MONTH(TODAY())+7,1))-YEAR(Tools!$Q75))*12+MONTH(DATE(YEAR(TODAY()),MONTH(TODAY())+7,1))-MONTH(Tools!$Q75))&gt;=0,MOD(((YEAR(DATE(YEAR(TODAY()),MONTH(TODAY())+7,1))-YEAR(Tools!$Q75))*12+MONTH(DATE(YEAR(TODAY()),MONTH(TODAY())+7,1))-MONTH(Tools!$Q75)),Tools!$U75)=0,OR(Tools!$L75="",EDATE(Tools!$Q75,((YEAR(DATE(YEAR(TODAY()),MONTH(TODAY())+7,1))-YEAR(Tools!$Q75))*12+MONTH(DATE(YEAR(TODAY()),MONTH(TODAY())+7,1))-MONTH(Tools!$Q75)))&lt;Tools!$L75)),Tools!$N75,""))</f>
        <v/>
      </c>
      <c r="K76" s="30">
        <f>IF(OR(Tools!$B75="",Tools!$Q75=""),"",IF(AND(((YEAR(DATE(YEAR(TODAY()),MONTH(TODAY())+8,1))-YEAR(Tools!$Q75))*12+MONTH(DATE(YEAR(TODAY()),MONTH(TODAY())+8,1))-MONTH(Tools!$Q75))&gt;=0,MOD(((YEAR(DATE(YEAR(TODAY()),MONTH(TODAY())+8,1))-YEAR(Tools!$Q75))*12+MONTH(DATE(YEAR(TODAY()),MONTH(TODAY())+8,1))-MONTH(Tools!$Q75)),Tools!$U75)=0,OR(Tools!$L75="",EDATE(Tools!$Q75,((YEAR(DATE(YEAR(TODAY()),MONTH(TODAY())+8,1))-YEAR(Tools!$Q75))*12+MONTH(DATE(YEAR(TODAY()),MONTH(TODAY())+8,1))-MONTH(Tools!$Q75)))&lt;Tools!$L75)),Tools!$N75,""))</f>
        <v/>
      </c>
      <c r="L76" s="30">
        <f>IF(OR(Tools!$B75="",Tools!$Q75=""),"",IF(AND(((YEAR(DATE(YEAR(TODAY()),MONTH(TODAY())+9,1))-YEAR(Tools!$Q75))*12+MONTH(DATE(YEAR(TODAY()),MONTH(TODAY())+9,1))-MONTH(Tools!$Q75))&gt;=0,MOD(((YEAR(DATE(YEAR(TODAY()),MONTH(TODAY())+9,1))-YEAR(Tools!$Q75))*12+MONTH(DATE(YEAR(TODAY()),MONTH(TODAY())+9,1))-MONTH(Tools!$Q75)),Tools!$U75)=0,OR(Tools!$L75="",EDATE(Tools!$Q75,((YEAR(DATE(YEAR(TODAY()),MONTH(TODAY())+9,1))-YEAR(Tools!$Q75))*12+MONTH(DATE(YEAR(TODAY()),MONTH(TODAY())+9,1))-MONTH(Tools!$Q75)))&lt;Tools!$L75)),Tools!$N75,""))</f>
        <v/>
      </c>
      <c r="M76" s="30">
        <f>IF(OR(Tools!$B75="",Tools!$Q75=""),"",IF(AND(((YEAR(DATE(YEAR(TODAY()),MONTH(TODAY())+10,1))-YEAR(Tools!$Q75))*12+MONTH(DATE(YEAR(TODAY()),MONTH(TODAY())+10,1))-MONTH(Tools!$Q75))&gt;=0,MOD(((YEAR(DATE(YEAR(TODAY()),MONTH(TODAY())+10,1))-YEAR(Tools!$Q75))*12+MONTH(DATE(YEAR(TODAY()),MONTH(TODAY())+10,1))-MONTH(Tools!$Q75)),Tools!$U75)=0,OR(Tools!$L75="",EDATE(Tools!$Q75,((YEAR(DATE(YEAR(TODAY()),MONTH(TODAY())+10,1))-YEAR(Tools!$Q75))*12+MONTH(DATE(YEAR(TODAY()),MONTH(TODAY())+10,1))-MONTH(Tools!$Q75)))&lt;Tools!$L75)),Tools!$N75,""))</f>
        <v/>
      </c>
      <c r="N76" s="30">
        <f>IF(OR(Tools!$B75="",Tools!$Q75=""),"",IF(AND(((YEAR(DATE(YEAR(TODAY()),MONTH(TODAY())+11,1))-YEAR(Tools!$Q75))*12+MONTH(DATE(YEAR(TODAY()),MONTH(TODAY())+11,1))-MONTH(Tools!$Q75))&gt;=0,MOD(((YEAR(DATE(YEAR(TODAY()),MONTH(TODAY())+11,1))-YEAR(Tools!$Q75))*12+MONTH(DATE(YEAR(TODAY()),MONTH(TODAY())+11,1))-MONTH(Tools!$Q75)),Tools!$U75)=0,OR(Tools!$L75="",EDATE(Tools!$Q75,((YEAR(DATE(YEAR(TODAY()),MONTH(TODAY())+11,1))-YEAR(Tools!$Q75))*12+MONTH(DATE(YEAR(TODAY()),MONTH(TODAY())+11,1))-MONTH(Tools!$Q75)))&lt;Tools!$L75)),Tools!$N75,""))</f>
        <v/>
      </c>
      <c r="O76" s="31">
        <f>IF(B76="","",SUM(C76:N76))</f>
        <v/>
      </c>
      <c r="P76" s="1" t="n"/>
    </row>
    <row r="77">
      <c r="A77" s="1" t="n"/>
      <c r="B77" s="11">
        <f>IF(Tools!B76="","",Tools!B76)</f>
        <v/>
      </c>
      <c r="C77" s="30">
        <f>IF(OR(Tools!$B76="",Tools!$Q76=""),"",IF(AND(((YEAR(DATE(YEAR(TODAY()),MONTH(TODAY())+0,1))-YEAR(Tools!$Q76))*12+MONTH(DATE(YEAR(TODAY()),MONTH(TODAY())+0,1))-MONTH(Tools!$Q76))&gt;=0,MOD(((YEAR(DATE(YEAR(TODAY()),MONTH(TODAY())+0,1))-YEAR(Tools!$Q76))*12+MONTH(DATE(YEAR(TODAY()),MONTH(TODAY())+0,1))-MONTH(Tools!$Q76)),Tools!$U76)=0,OR(Tools!$L76="",EDATE(Tools!$Q76,((YEAR(DATE(YEAR(TODAY()),MONTH(TODAY())+0,1))-YEAR(Tools!$Q76))*12+MONTH(DATE(YEAR(TODAY()),MONTH(TODAY())+0,1))-MONTH(Tools!$Q76)))&lt;Tools!$L76)),Tools!$N76,""))</f>
        <v/>
      </c>
      <c r="D77" s="30">
        <f>IF(OR(Tools!$B76="",Tools!$Q76=""),"",IF(AND(((YEAR(DATE(YEAR(TODAY()),MONTH(TODAY())+1,1))-YEAR(Tools!$Q76))*12+MONTH(DATE(YEAR(TODAY()),MONTH(TODAY())+1,1))-MONTH(Tools!$Q76))&gt;=0,MOD(((YEAR(DATE(YEAR(TODAY()),MONTH(TODAY())+1,1))-YEAR(Tools!$Q76))*12+MONTH(DATE(YEAR(TODAY()),MONTH(TODAY())+1,1))-MONTH(Tools!$Q76)),Tools!$U76)=0,OR(Tools!$L76="",EDATE(Tools!$Q76,((YEAR(DATE(YEAR(TODAY()),MONTH(TODAY())+1,1))-YEAR(Tools!$Q76))*12+MONTH(DATE(YEAR(TODAY()),MONTH(TODAY())+1,1))-MONTH(Tools!$Q76)))&lt;Tools!$L76)),Tools!$N76,""))</f>
        <v/>
      </c>
      <c r="E77" s="30">
        <f>IF(OR(Tools!$B76="",Tools!$Q76=""),"",IF(AND(((YEAR(DATE(YEAR(TODAY()),MONTH(TODAY())+2,1))-YEAR(Tools!$Q76))*12+MONTH(DATE(YEAR(TODAY()),MONTH(TODAY())+2,1))-MONTH(Tools!$Q76))&gt;=0,MOD(((YEAR(DATE(YEAR(TODAY()),MONTH(TODAY())+2,1))-YEAR(Tools!$Q76))*12+MONTH(DATE(YEAR(TODAY()),MONTH(TODAY())+2,1))-MONTH(Tools!$Q76)),Tools!$U76)=0,OR(Tools!$L76="",EDATE(Tools!$Q76,((YEAR(DATE(YEAR(TODAY()),MONTH(TODAY())+2,1))-YEAR(Tools!$Q76))*12+MONTH(DATE(YEAR(TODAY()),MONTH(TODAY())+2,1))-MONTH(Tools!$Q76)))&lt;Tools!$L76)),Tools!$N76,""))</f>
        <v/>
      </c>
      <c r="F77" s="30">
        <f>IF(OR(Tools!$B76="",Tools!$Q76=""),"",IF(AND(((YEAR(DATE(YEAR(TODAY()),MONTH(TODAY())+3,1))-YEAR(Tools!$Q76))*12+MONTH(DATE(YEAR(TODAY()),MONTH(TODAY())+3,1))-MONTH(Tools!$Q76))&gt;=0,MOD(((YEAR(DATE(YEAR(TODAY()),MONTH(TODAY())+3,1))-YEAR(Tools!$Q76))*12+MONTH(DATE(YEAR(TODAY()),MONTH(TODAY())+3,1))-MONTH(Tools!$Q76)),Tools!$U76)=0,OR(Tools!$L76="",EDATE(Tools!$Q76,((YEAR(DATE(YEAR(TODAY()),MONTH(TODAY())+3,1))-YEAR(Tools!$Q76))*12+MONTH(DATE(YEAR(TODAY()),MONTH(TODAY())+3,1))-MONTH(Tools!$Q76)))&lt;Tools!$L76)),Tools!$N76,""))</f>
        <v/>
      </c>
      <c r="G77" s="30">
        <f>IF(OR(Tools!$B76="",Tools!$Q76=""),"",IF(AND(((YEAR(DATE(YEAR(TODAY()),MONTH(TODAY())+4,1))-YEAR(Tools!$Q76))*12+MONTH(DATE(YEAR(TODAY()),MONTH(TODAY())+4,1))-MONTH(Tools!$Q76))&gt;=0,MOD(((YEAR(DATE(YEAR(TODAY()),MONTH(TODAY())+4,1))-YEAR(Tools!$Q76))*12+MONTH(DATE(YEAR(TODAY()),MONTH(TODAY())+4,1))-MONTH(Tools!$Q76)),Tools!$U76)=0,OR(Tools!$L76="",EDATE(Tools!$Q76,((YEAR(DATE(YEAR(TODAY()),MONTH(TODAY())+4,1))-YEAR(Tools!$Q76))*12+MONTH(DATE(YEAR(TODAY()),MONTH(TODAY())+4,1))-MONTH(Tools!$Q76)))&lt;Tools!$L76)),Tools!$N76,""))</f>
        <v/>
      </c>
      <c r="H77" s="30">
        <f>IF(OR(Tools!$B76="",Tools!$Q76=""),"",IF(AND(((YEAR(DATE(YEAR(TODAY()),MONTH(TODAY())+5,1))-YEAR(Tools!$Q76))*12+MONTH(DATE(YEAR(TODAY()),MONTH(TODAY())+5,1))-MONTH(Tools!$Q76))&gt;=0,MOD(((YEAR(DATE(YEAR(TODAY()),MONTH(TODAY())+5,1))-YEAR(Tools!$Q76))*12+MONTH(DATE(YEAR(TODAY()),MONTH(TODAY())+5,1))-MONTH(Tools!$Q76)),Tools!$U76)=0,OR(Tools!$L76="",EDATE(Tools!$Q76,((YEAR(DATE(YEAR(TODAY()),MONTH(TODAY())+5,1))-YEAR(Tools!$Q76))*12+MONTH(DATE(YEAR(TODAY()),MONTH(TODAY())+5,1))-MONTH(Tools!$Q76)))&lt;Tools!$L76)),Tools!$N76,""))</f>
        <v/>
      </c>
      <c r="I77" s="30">
        <f>IF(OR(Tools!$B76="",Tools!$Q76=""),"",IF(AND(((YEAR(DATE(YEAR(TODAY()),MONTH(TODAY())+6,1))-YEAR(Tools!$Q76))*12+MONTH(DATE(YEAR(TODAY()),MONTH(TODAY())+6,1))-MONTH(Tools!$Q76))&gt;=0,MOD(((YEAR(DATE(YEAR(TODAY()),MONTH(TODAY())+6,1))-YEAR(Tools!$Q76))*12+MONTH(DATE(YEAR(TODAY()),MONTH(TODAY())+6,1))-MONTH(Tools!$Q76)),Tools!$U76)=0,OR(Tools!$L76="",EDATE(Tools!$Q76,((YEAR(DATE(YEAR(TODAY()),MONTH(TODAY())+6,1))-YEAR(Tools!$Q76))*12+MONTH(DATE(YEAR(TODAY()),MONTH(TODAY())+6,1))-MONTH(Tools!$Q76)))&lt;Tools!$L76)),Tools!$N76,""))</f>
        <v/>
      </c>
      <c r="J77" s="30">
        <f>IF(OR(Tools!$B76="",Tools!$Q76=""),"",IF(AND(((YEAR(DATE(YEAR(TODAY()),MONTH(TODAY())+7,1))-YEAR(Tools!$Q76))*12+MONTH(DATE(YEAR(TODAY()),MONTH(TODAY())+7,1))-MONTH(Tools!$Q76))&gt;=0,MOD(((YEAR(DATE(YEAR(TODAY()),MONTH(TODAY())+7,1))-YEAR(Tools!$Q76))*12+MONTH(DATE(YEAR(TODAY()),MONTH(TODAY())+7,1))-MONTH(Tools!$Q76)),Tools!$U76)=0,OR(Tools!$L76="",EDATE(Tools!$Q76,((YEAR(DATE(YEAR(TODAY()),MONTH(TODAY())+7,1))-YEAR(Tools!$Q76))*12+MONTH(DATE(YEAR(TODAY()),MONTH(TODAY())+7,1))-MONTH(Tools!$Q76)))&lt;Tools!$L76)),Tools!$N76,""))</f>
        <v/>
      </c>
      <c r="K77" s="30">
        <f>IF(OR(Tools!$B76="",Tools!$Q76=""),"",IF(AND(((YEAR(DATE(YEAR(TODAY()),MONTH(TODAY())+8,1))-YEAR(Tools!$Q76))*12+MONTH(DATE(YEAR(TODAY()),MONTH(TODAY())+8,1))-MONTH(Tools!$Q76))&gt;=0,MOD(((YEAR(DATE(YEAR(TODAY()),MONTH(TODAY())+8,1))-YEAR(Tools!$Q76))*12+MONTH(DATE(YEAR(TODAY()),MONTH(TODAY())+8,1))-MONTH(Tools!$Q76)),Tools!$U76)=0,OR(Tools!$L76="",EDATE(Tools!$Q76,((YEAR(DATE(YEAR(TODAY()),MONTH(TODAY())+8,1))-YEAR(Tools!$Q76))*12+MONTH(DATE(YEAR(TODAY()),MONTH(TODAY())+8,1))-MONTH(Tools!$Q76)))&lt;Tools!$L76)),Tools!$N76,""))</f>
        <v/>
      </c>
      <c r="L77" s="30">
        <f>IF(OR(Tools!$B76="",Tools!$Q76=""),"",IF(AND(((YEAR(DATE(YEAR(TODAY()),MONTH(TODAY())+9,1))-YEAR(Tools!$Q76))*12+MONTH(DATE(YEAR(TODAY()),MONTH(TODAY())+9,1))-MONTH(Tools!$Q76))&gt;=0,MOD(((YEAR(DATE(YEAR(TODAY()),MONTH(TODAY())+9,1))-YEAR(Tools!$Q76))*12+MONTH(DATE(YEAR(TODAY()),MONTH(TODAY())+9,1))-MONTH(Tools!$Q76)),Tools!$U76)=0,OR(Tools!$L76="",EDATE(Tools!$Q76,((YEAR(DATE(YEAR(TODAY()),MONTH(TODAY())+9,1))-YEAR(Tools!$Q76))*12+MONTH(DATE(YEAR(TODAY()),MONTH(TODAY())+9,1))-MONTH(Tools!$Q76)))&lt;Tools!$L76)),Tools!$N76,""))</f>
        <v/>
      </c>
      <c r="M77" s="30">
        <f>IF(OR(Tools!$B76="",Tools!$Q76=""),"",IF(AND(((YEAR(DATE(YEAR(TODAY()),MONTH(TODAY())+10,1))-YEAR(Tools!$Q76))*12+MONTH(DATE(YEAR(TODAY()),MONTH(TODAY())+10,1))-MONTH(Tools!$Q76))&gt;=0,MOD(((YEAR(DATE(YEAR(TODAY()),MONTH(TODAY())+10,1))-YEAR(Tools!$Q76))*12+MONTH(DATE(YEAR(TODAY()),MONTH(TODAY())+10,1))-MONTH(Tools!$Q76)),Tools!$U76)=0,OR(Tools!$L76="",EDATE(Tools!$Q76,((YEAR(DATE(YEAR(TODAY()),MONTH(TODAY())+10,1))-YEAR(Tools!$Q76))*12+MONTH(DATE(YEAR(TODAY()),MONTH(TODAY())+10,1))-MONTH(Tools!$Q76)))&lt;Tools!$L76)),Tools!$N76,""))</f>
        <v/>
      </c>
      <c r="N77" s="30">
        <f>IF(OR(Tools!$B76="",Tools!$Q76=""),"",IF(AND(((YEAR(DATE(YEAR(TODAY()),MONTH(TODAY())+11,1))-YEAR(Tools!$Q76))*12+MONTH(DATE(YEAR(TODAY()),MONTH(TODAY())+11,1))-MONTH(Tools!$Q76))&gt;=0,MOD(((YEAR(DATE(YEAR(TODAY()),MONTH(TODAY())+11,1))-YEAR(Tools!$Q76))*12+MONTH(DATE(YEAR(TODAY()),MONTH(TODAY())+11,1))-MONTH(Tools!$Q76)),Tools!$U76)=0,OR(Tools!$L76="",EDATE(Tools!$Q76,((YEAR(DATE(YEAR(TODAY()),MONTH(TODAY())+11,1))-YEAR(Tools!$Q76))*12+MONTH(DATE(YEAR(TODAY()),MONTH(TODAY())+11,1))-MONTH(Tools!$Q76)))&lt;Tools!$L76)),Tools!$N76,""))</f>
        <v/>
      </c>
      <c r="O77" s="31">
        <f>IF(B77="","",SUM(C77:N77))</f>
        <v/>
      </c>
      <c r="P77" s="1" t="n"/>
    </row>
    <row r="78">
      <c r="A78" s="1" t="n"/>
      <c r="B78" s="11">
        <f>IF(Tools!B77="","",Tools!B77)</f>
        <v/>
      </c>
      <c r="C78" s="30">
        <f>IF(OR(Tools!$B77="",Tools!$Q77=""),"",IF(AND(((YEAR(DATE(YEAR(TODAY()),MONTH(TODAY())+0,1))-YEAR(Tools!$Q77))*12+MONTH(DATE(YEAR(TODAY()),MONTH(TODAY())+0,1))-MONTH(Tools!$Q77))&gt;=0,MOD(((YEAR(DATE(YEAR(TODAY()),MONTH(TODAY())+0,1))-YEAR(Tools!$Q77))*12+MONTH(DATE(YEAR(TODAY()),MONTH(TODAY())+0,1))-MONTH(Tools!$Q77)),Tools!$U77)=0,OR(Tools!$L77="",EDATE(Tools!$Q77,((YEAR(DATE(YEAR(TODAY()),MONTH(TODAY())+0,1))-YEAR(Tools!$Q77))*12+MONTH(DATE(YEAR(TODAY()),MONTH(TODAY())+0,1))-MONTH(Tools!$Q77)))&lt;Tools!$L77)),Tools!$N77,""))</f>
        <v/>
      </c>
      <c r="D78" s="30">
        <f>IF(OR(Tools!$B77="",Tools!$Q77=""),"",IF(AND(((YEAR(DATE(YEAR(TODAY()),MONTH(TODAY())+1,1))-YEAR(Tools!$Q77))*12+MONTH(DATE(YEAR(TODAY()),MONTH(TODAY())+1,1))-MONTH(Tools!$Q77))&gt;=0,MOD(((YEAR(DATE(YEAR(TODAY()),MONTH(TODAY())+1,1))-YEAR(Tools!$Q77))*12+MONTH(DATE(YEAR(TODAY()),MONTH(TODAY())+1,1))-MONTH(Tools!$Q77)),Tools!$U77)=0,OR(Tools!$L77="",EDATE(Tools!$Q77,((YEAR(DATE(YEAR(TODAY()),MONTH(TODAY())+1,1))-YEAR(Tools!$Q77))*12+MONTH(DATE(YEAR(TODAY()),MONTH(TODAY())+1,1))-MONTH(Tools!$Q77)))&lt;Tools!$L77)),Tools!$N77,""))</f>
        <v/>
      </c>
      <c r="E78" s="30">
        <f>IF(OR(Tools!$B77="",Tools!$Q77=""),"",IF(AND(((YEAR(DATE(YEAR(TODAY()),MONTH(TODAY())+2,1))-YEAR(Tools!$Q77))*12+MONTH(DATE(YEAR(TODAY()),MONTH(TODAY())+2,1))-MONTH(Tools!$Q77))&gt;=0,MOD(((YEAR(DATE(YEAR(TODAY()),MONTH(TODAY())+2,1))-YEAR(Tools!$Q77))*12+MONTH(DATE(YEAR(TODAY()),MONTH(TODAY())+2,1))-MONTH(Tools!$Q77)),Tools!$U77)=0,OR(Tools!$L77="",EDATE(Tools!$Q77,((YEAR(DATE(YEAR(TODAY()),MONTH(TODAY())+2,1))-YEAR(Tools!$Q77))*12+MONTH(DATE(YEAR(TODAY()),MONTH(TODAY())+2,1))-MONTH(Tools!$Q77)))&lt;Tools!$L77)),Tools!$N77,""))</f>
        <v/>
      </c>
      <c r="F78" s="30">
        <f>IF(OR(Tools!$B77="",Tools!$Q77=""),"",IF(AND(((YEAR(DATE(YEAR(TODAY()),MONTH(TODAY())+3,1))-YEAR(Tools!$Q77))*12+MONTH(DATE(YEAR(TODAY()),MONTH(TODAY())+3,1))-MONTH(Tools!$Q77))&gt;=0,MOD(((YEAR(DATE(YEAR(TODAY()),MONTH(TODAY())+3,1))-YEAR(Tools!$Q77))*12+MONTH(DATE(YEAR(TODAY()),MONTH(TODAY())+3,1))-MONTH(Tools!$Q77)),Tools!$U77)=0,OR(Tools!$L77="",EDATE(Tools!$Q77,((YEAR(DATE(YEAR(TODAY()),MONTH(TODAY())+3,1))-YEAR(Tools!$Q77))*12+MONTH(DATE(YEAR(TODAY()),MONTH(TODAY())+3,1))-MONTH(Tools!$Q77)))&lt;Tools!$L77)),Tools!$N77,""))</f>
        <v/>
      </c>
      <c r="G78" s="30">
        <f>IF(OR(Tools!$B77="",Tools!$Q77=""),"",IF(AND(((YEAR(DATE(YEAR(TODAY()),MONTH(TODAY())+4,1))-YEAR(Tools!$Q77))*12+MONTH(DATE(YEAR(TODAY()),MONTH(TODAY())+4,1))-MONTH(Tools!$Q77))&gt;=0,MOD(((YEAR(DATE(YEAR(TODAY()),MONTH(TODAY())+4,1))-YEAR(Tools!$Q77))*12+MONTH(DATE(YEAR(TODAY()),MONTH(TODAY())+4,1))-MONTH(Tools!$Q77)),Tools!$U77)=0,OR(Tools!$L77="",EDATE(Tools!$Q77,((YEAR(DATE(YEAR(TODAY()),MONTH(TODAY())+4,1))-YEAR(Tools!$Q77))*12+MONTH(DATE(YEAR(TODAY()),MONTH(TODAY())+4,1))-MONTH(Tools!$Q77)))&lt;Tools!$L77)),Tools!$N77,""))</f>
        <v/>
      </c>
      <c r="H78" s="30">
        <f>IF(OR(Tools!$B77="",Tools!$Q77=""),"",IF(AND(((YEAR(DATE(YEAR(TODAY()),MONTH(TODAY())+5,1))-YEAR(Tools!$Q77))*12+MONTH(DATE(YEAR(TODAY()),MONTH(TODAY())+5,1))-MONTH(Tools!$Q77))&gt;=0,MOD(((YEAR(DATE(YEAR(TODAY()),MONTH(TODAY())+5,1))-YEAR(Tools!$Q77))*12+MONTH(DATE(YEAR(TODAY()),MONTH(TODAY())+5,1))-MONTH(Tools!$Q77)),Tools!$U77)=0,OR(Tools!$L77="",EDATE(Tools!$Q77,((YEAR(DATE(YEAR(TODAY()),MONTH(TODAY())+5,1))-YEAR(Tools!$Q77))*12+MONTH(DATE(YEAR(TODAY()),MONTH(TODAY())+5,1))-MONTH(Tools!$Q77)))&lt;Tools!$L77)),Tools!$N77,""))</f>
        <v/>
      </c>
      <c r="I78" s="30">
        <f>IF(OR(Tools!$B77="",Tools!$Q77=""),"",IF(AND(((YEAR(DATE(YEAR(TODAY()),MONTH(TODAY())+6,1))-YEAR(Tools!$Q77))*12+MONTH(DATE(YEAR(TODAY()),MONTH(TODAY())+6,1))-MONTH(Tools!$Q77))&gt;=0,MOD(((YEAR(DATE(YEAR(TODAY()),MONTH(TODAY())+6,1))-YEAR(Tools!$Q77))*12+MONTH(DATE(YEAR(TODAY()),MONTH(TODAY())+6,1))-MONTH(Tools!$Q77)),Tools!$U77)=0,OR(Tools!$L77="",EDATE(Tools!$Q77,((YEAR(DATE(YEAR(TODAY()),MONTH(TODAY())+6,1))-YEAR(Tools!$Q77))*12+MONTH(DATE(YEAR(TODAY()),MONTH(TODAY())+6,1))-MONTH(Tools!$Q77)))&lt;Tools!$L77)),Tools!$N77,""))</f>
        <v/>
      </c>
      <c r="J78" s="30">
        <f>IF(OR(Tools!$B77="",Tools!$Q77=""),"",IF(AND(((YEAR(DATE(YEAR(TODAY()),MONTH(TODAY())+7,1))-YEAR(Tools!$Q77))*12+MONTH(DATE(YEAR(TODAY()),MONTH(TODAY())+7,1))-MONTH(Tools!$Q77))&gt;=0,MOD(((YEAR(DATE(YEAR(TODAY()),MONTH(TODAY())+7,1))-YEAR(Tools!$Q77))*12+MONTH(DATE(YEAR(TODAY()),MONTH(TODAY())+7,1))-MONTH(Tools!$Q77)),Tools!$U77)=0,OR(Tools!$L77="",EDATE(Tools!$Q77,((YEAR(DATE(YEAR(TODAY()),MONTH(TODAY())+7,1))-YEAR(Tools!$Q77))*12+MONTH(DATE(YEAR(TODAY()),MONTH(TODAY())+7,1))-MONTH(Tools!$Q77)))&lt;Tools!$L77)),Tools!$N77,""))</f>
        <v/>
      </c>
      <c r="K78" s="30">
        <f>IF(OR(Tools!$B77="",Tools!$Q77=""),"",IF(AND(((YEAR(DATE(YEAR(TODAY()),MONTH(TODAY())+8,1))-YEAR(Tools!$Q77))*12+MONTH(DATE(YEAR(TODAY()),MONTH(TODAY())+8,1))-MONTH(Tools!$Q77))&gt;=0,MOD(((YEAR(DATE(YEAR(TODAY()),MONTH(TODAY())+8,1))-YEAR(Tools!$Q77))*12+MONTH(DATE(YEAR(TODAY()),MONTH(TODAY())+8,1))-MONTH(Tools!$Q77)),Tools!$U77)=0,OR(Tools!$L77="",EDATE(Tools!$Q77,((YEAR(DATE(YEAR(TODAY()),MONTH(TODAY())+8,1))-YEAR(Tools!$Q77))*12+MONTH(DATE(YEAR(TODAY()),MONTH(TODAY())+8,1))-MONTH(Tools!$Q77)))&lt;Tools!$L77)),Tools!$N77,""))</f>
        <v/>
      </c>
      <c r="L78" s="30">
        <f>IF(OR(Tools!$B77="",Tools!$Q77=""),"",IF(AND(((YEAR(DATE(YEAR(TODAY()),MONTH(TODAY())+9,1))-YEAR(Tools!$Q77))*12+MONTH(DATE(YEAR(TODAY()),MONTH(TODAY())+9,1))-MONTH(Tools!$Q77))&gt;=0,MOD(((YEAR(DATE(YEAR(TODAY()),MONTH(TODAY())+9,1))-YEAR(Tools!$Q77))*12+MONTH(DATE(YEAR(TODAY()),MONTH(TODAY())+9,1))-MONTH(Tools!$Q77)),Tools!$U77)=0,OR(Tools!$L77="",EDATE(Tools!$Q77,((YEAR(DATE(YEAR(TODAY()),MONTH(TODAY())+9,1))-YEAR(Tools!$Q77))*12+MONTH(DATE(YEAR(TODAY()),MONTH(TODAY())+9,1))-MONTH(Tools!$Q77)))&lt;Tools!$L77)),Tools!$N77,""))</f>
        <v/>
      </c>
      <c r="M78" s="30">
        <f>IF(OR(Tools!$B77="",Tools!$Q77=""),"",IF(AND(((YEAR(DATE(YEAR(TODAY()),MONTH(TODAY())+10,1))-YEAR(Tools!$Q77))*12+MONTH(DATE(YEAR(TODAY()),MONTH(TODAY())+10,1))-MONTH(Tools!$Q77))&gt;=0,MOD(((YEAR(DATE(YEAR(TODAY()),MONTH(TODAY())+10,1))-YEAR(Tools!$Q77))*12+MONTH(DATE(YEAR(TODAY()),MONTH(TODAY())+10,1))-MONTH(Tools!$Q77)),Tools!$U77)=0,OR(Tools!$L77="",EDATE(Tools!$Q77,((YEAR(DATE(YEAR(TODAY()),MONTH(TODAY())+10,1))-YEAR(Tools!$Q77))*12+MONTH(DATE(YEAR(TODAY()),MONTH(TODAY())+10,1))-MONTH(Tools!$Q77)))&lt;Tools!$L77)),Tools!$N77,""))</f>
        <v/>
      </c>
      <c r="N78" s="30">
        <f>IF(OR(Tools!$B77="",Tools!$Q77=""),"",IF(AND(((YEAR(DATE(YEAR(TODAY()),MONTH(TODAY())+11,1))-YEAR(Tools!$Q77))*12+MONTH(DATE(YEAR(TODAY()),MONTH(TODAY())+11,1))-MONTH(Tools!$Q77))&gt;=0,MOD(((YEAR(DATE(YEAR(TODAY()),MONTH(TODAY())+11,1))-YEAR(Tools!$Q77))*12+MONTH(DATE(YEAR(TODAY()),MONTH(TODAY())+11,1))-MONTH(Tools!$Q77)),Tools!$U77)=0,OR(Tools!$L77="",EDATE(Tools!$Q77,((YEAR(DATE(YEAR(TODAY()),MONTH(TODAY())+11,1))-YEAR(Tools!$Q77))*12+MONTH(DATE(YEAR(TODAY()),MONTH(TODAY())+11,1))-MONTH(Tools!$Q77)))&lt;Tools!$L77)),Tools!$N77,""))</f>
        <v/>
      </c>
      <c r="O78" s="31">
        <f>IF(B78="","",SUM(C78:N78))</f>
        <v/>
      </c>
      <c r="P78" s="1" t="n"/>
    </row>
    <row r="79">
      <c r="A79" s="1" t="n"/>
      <c r="B79" s="11">
        <f>IF(Tools!B78="","",Tools!B78)</f>
        <v/>
      </c>
      <c r="C79" s="30">
        <f>IF(OR(Tools!$B78="",Tools!$Q78=""),"",IF(AND(((YEAR(DATE(YEAR(TODAY()),MONTH(TODAY())+0,1))-YEAR(Tools!$Q78))*12+MONTH(DATE(YEAR(TODAY()),MONTH(TODAY())+0,1))-MONTH(Tools!$Q78))&gt;=0,MOD(((YEAR(DATE(YEAR(TODAY()),MONTH(TODAY())+0,1))-YEAR(Tools!$Q78))*12+MONTH(DATE(YEAR(TODAY()),MONTH(TODAY())+0,1))-MONTH(Tools!$Q78)),Tools!$U78)=0,OR(Tools!$L78="",EDATE(Tools!$Q78,((YEAR(DATE(YEAR(TODAY()),MONTH(TODAY())+0,1))-YEAR(Tools!$Q78))*12+MONTH(DATE(YEAR(TODAY()),MONTH(TODAY())+0,1))-MONTH(Tools!$Q78)))&lt;Tools!$L78)),Tools!$N78,""))</f>
        <v/>
      </c>
      <c r="D79" s="30">
        <f>IF(OR(Tools!$B78="",Tools!$Q78=""),"",IF(AND(((YEAR(DATE(YEAR(TODAY()),MONTH(TODAY())+1,1))-YEAR(Tools!$Q78))*12+MONTH(DATE(YEAR(TODAY()),MONTH(TODAY())+1,1))-MONTH(Tools!$Q78))&gt;=0,MOD(((YEAR(DATE(YEAR(TODAY()),MONTH(TODAY())+1,1))-YEAR(Tools!$Q78))*12+MONTH(DATE(YEAR(TODAY()),MONTH(TODAY())+1,1))-MONTH(Tools!$Q78)),Tools!$U78)=0,OR(Tools!$L78="",EDATE(Tools!$Q78,((YEAR(DATE(YEAR(TODAY()),MONTH(TODAY())+1,1))-YEAR(Tools!$Q78))*12+MONTH(DATE(YEAR(TODAY()),MONTH(TODAY())+1,1))-MONTH(Tools!$Q78)))&lt;Tools!$L78)),Tools!$N78,""))</f>
        <v/>
      </c>
      <c r="E79" s="30">
        <f>IF(OR(Tools!$B78="",Tools!$Q78=""),"",IF(AND(((YEAR(DATE(YEAR(TODAY()),MONTH(TODAY())+2,1))-YEAR(Tools!$Q78))*12+MONTH(DATE(YEAR(TODAY()),MONTH(TODAY())+2,1))-MONTH(Tools!$Q78))&gt;=0,MOD(((YEAR(DATE(YEAR(TODAY()),MONTH(TODAY())+2,1))-YEAR(Tools!$Q78))*12+MONTH(DATE(YEAR(TODAY()),MONTH(TODAY())+2,1))-MONTH(Tools!$Q78)),Tools!$U78)=0,OR(Tools!$L78="",EDATE(Tools!$Q78,((YEAR(DATE(YEAR(TODAY()),MONTH(TODAY())+2,1))-YEAR(Tools!$Q78))*12+MONTH(DATE(YEAR(TODAY()),MONTH(TODAY())+2,1))-MONTH(Tools!$Q78)))&lt;Tools!$L78)),Tools!$N78,""))</f>
        <v/>
      </c>
      <c r="F79" s="30">
        <f>IF(OR(Tools!$B78="",Tools!$Q78=""),"",IF(AND(((YEAR(DATE(YEAR(TODAY()),MONTH(TODAY())+3,1))-YEAR(Tools!$Q78))*12+MONTH(DATE(YEAR(TODAY()),MONTH(TODAY())+3,1))-MONTH(Tools!$Q78))&gt;=0,MOD(((YEAR(DATE(YEAR(TODAY()),MONTH(TODAY())+3,1))-YEAR(Tools!$Q78))*12+MONTH(DATE(YEAR(TODAY()),MONTH(TODAY())+3,1))-MONTH(Tools!$Q78)),Tools!$U78)=0,OR(Tools!$L78="",EDATE(Tools!$Q78,((YEAR(DATE(YEAR(TODAY()),MONTH(TODAY())+3,1))-YEAR(Tools!$Q78))*12+MONTH(DATE(YEAR(TODAY()),MONTH(TODAY())+3,1))-MONTH(Tools!$Q78)))&lt;Tools!$L78)),Tools!$N78,""))</f>
        <v/>
      </c>
      <c r="G79" s="30">
        <f>IF(OR(Tools!$B78="",Tools!$Q78=""),"",IF(AND(((YEAR(DATE(YEAR(TODAY()),MONTH(TODAY())+4,1))-YEAR(Tools!$Q78))*12+MONTH(DATE(YEAR(TODAY()),MONTH(TODAY())+4,1))-MONTH(Tools!$Q78))&gt;=0,MOD(((YEAR(DATE(YEAR(TODAY()),MONTH(TODAY())+4,1))-YEAR(Tools!$Q78))*12+MONTH(DATE(YEAR(TODAY()),MONTH(TODAY())+4,1))-MONTH(Tools!$Q78)),Tools!$U78)=0,OR(Tools!$L78="",EDATE(Tools!$Q78,((YEAR(DATE(YEAR(TODAY()),MONTH(TODAY())+4,1))-YEAR(Tools!$Q78))*12+MONTH(DATE(YEAR(TODAY()),MONTH(TODAY())+4,1))-MONTH(Tools!$Q78)))&lt;Tools!$L78)),Tools!$N78,""))</f>
        <v/>
      </c>
      <c r="H79" s="30">
        <f>IF(OR(Tools!$B78="",Tools!$Q78=""),"",IF(AND(((YEAR(DATE(YEAR(TODAY()),MONTH(TODAY())+5,1))-YEAR(Tools!$Q78))*12+MONTH(DATE(YEAR(TODAY()),MONTH(TODAY())+5,1))-MONTH(Tools!$Q78))&gt;=0,MOD(((YEAR(DATE(YEAR(TODAY()),MONTH(TODAY())+5,1))-YEAR(Tools!$Q78))*12+MONTH(DATE(YEAR(TODAY()),MONTH(TODAY())+5,1))-MONTH(Tools!$Q78)),Tools!$U78)=0,OR(Tools!$L78="",EDATE(Tools!$Q78,((YEAR(DATE(YEAR(TODAY()),MONTH(TODAY())+5,1))-YEAR(Tools!$Q78))*12+MONTH(DATE(YEAR(TODAY()),MONTH(TODAY())+5,1))-MONTH(Tools!$Q78)))&lt;Tools!$L78)),Tools!$N78,""))</f>
        <v/>
      </c>
      <c r="I79" s="30">
        <f>IF(OR(Tools!$B78="",Tools!$Q78=""),"",IF(AND(((YEAR(DATE(YEAR(TODAY()),MONTH(TODAY())+6,1))-YEAR(Tools!$Q78))*12+MONTH(DATE(YEAR(TODAY()),MONTH(TODAY())+6,1))-MONTH(Tools!$Q78))&gt;=0,MOD(((YEAR(DATE(YEAR(TODAY()),MONTH(TODAY())+6,1))-YEAR(Tools!$Q78))*12+MONTH(DATE(YEAR(TODAY()),MONTH(TODAY())+6,1))-MONTH(Tools!$Q78)),Tools!$U78)=0,OR(Tools!$L78="",EDATE(Tools!$Q78,((YEAR(DATE(YEAR(TODAY()),MONTH(TODAY())+6,1))-YEAR(Tools!$Q78))*12+MONTH(DATE(YEAR(TODAY()),MONTH(TODAY())+6,1))-MONTH(Tools!$Q78)))&lt;Tools!$L78)),Tools!$N78,""))</f>
        <v/>
      </c>
      <c r="J79" s="30">
        <f>IF(OR(Tools!$B78="",Tools!$Q78=""),"",IF(AND(((YEAR(DATE(YEAR(TODAY()),MONTH(TODAY())+7,1))-YEAR(Tools!$Q78))*12+MONTH(DATE(YEAR(TODAY()),MONTH(TODAY())+7,1))-MONTH(Tools!$Q78))&gt;=0,MOD(((YEAR(DATE(YEAR(TODAY()),MONTH(TODAY())+7,1))-YEAR(Tools!$Q78))*12+MONTH(DATE(YEAR(TODAY()),MONTH(TODAY())+7,1))-MONTH(Tools!$Q78)),Tools!$U78)=0,OR(Tools!$L78="",EDATE(Tools!$Q78,((YEAR(DATE(YEAR(TODAY()),MONTH(TODAY())+7,1))-YEAR(Tools!$Q78))*12+MONTH(DATE(YEAR(TODAY()),MONTH(TODAY())+7,1))-MONTH(Tools!$Q78)))&lt;Tools!$L78)),Tools!$N78,""))</f>
        <v/>
      </c>
      <c r="K79" s="30">
        <f>IF(OR(Tools!$B78="",Tools!$Q78=""),"",IF(AND(((YEAR(DATE(YEAR(TODAY()),MONTH(TODAY())+8,1))-YEAR(Tools!$Q78))*12+MONTH(DATE(YEAR(TODAY()),MONTH(TODAY())+8,1))-MONTH(Tools!$Q78))&gt;=0,MOD(((YEAR(DATE(YEAR(TODAY()),MONTH(TODAY())+8,1))-YEAR(Tools!$Q78))*12+MONTH(DATE(YEAR(TODAY()),MONTH(TODAY())+8,1))-MONTH(Tools!$Q78)),Tools!$U78)=0,OR(Tools!$L78="",EDATE(Tools!$Q78,((YEAR(DATE(YEAR(TODAY()),MONTH(TODAY())+8,1))-YEAR(Tools!$Q78))*12+MONTH(DATE(YEAR(TODAY()),MONTH(TODAY())+8,1))-MONTH(Tools!$Q78)))&lt;Tools!$L78)),Tools!$N78,""))</f>
        <v/>
      </c>
      <c r="L79" s="30">
        <f>IF(OR(Tools!$B78="",Tools!$Q78=""),"",IF(AND(((YEAR(DATE(YEAR(TODAY()),MONTH(TODAY())+9,1))-YEAR(Tools!$Q78))*12+MONTH(DATE(YEAR(TODAY()),MONTH(TODAY())+9,1))-MONTH(Tools!$Q78))&gt;=0,MOD(((YEAR(DATE(YEAR(TODAY()),MONTH(TODAY())+9,1))-YEAR(Tools!$Q78))*12+MONTH(DATE(YEAR(TODAY()),MONTH(TODAY())+9,1))-MONTH(Tools!$Q78)),Tools!$U78)=0,OR(Tools!$L78="",EDATE(Tools!$Q78,((YEAR(DATE(YEAR(TODAY()),MONTH(TODAY())+9,1))-YEAR(Tools!$Q78))*12+MONTH(DATE(YEAR(TODAY()),MONTH(TODAY())+9,1))-MONTH(Tools!$Q78)))&lt;Tools!$L78)),Tools!$N78,""))</f>
        <v/>
      </c>
      <c r="M79" s="30">
        <f>IF(OR(Tools!$B78="",Tools!$Q78=""),"",IF(AND(((YEAR(DATE(YEAR(TODAY()),MONTH(TODAY())+10,1))-YEAR(Tools!$Q78))*12+MONTH(DATE(YEAR(TODAY()),MONTH(TODAY())+10,1))-MONTH(Tools!$Q78))&gt;=0,MOD(((YEAR(DATE(YEAR(TODAY()),MONTH(TODAY())+10,1))-YEAR(Tools!$Q78))*12+MONTH(DATE(YEAR(TODAY()),MONTH(TODAY())+10,1))-MONTH(Tools!$Q78)),Tools!$U78)=0,OR(Tools!$L78="",EDATE(Tools!$Q78,((YEAR(DATE(YEAR(TODAY()),MONTH(TODAY())+10,1))-YEAR(Tools!$Q78))*12+MONTH(DATE(YEAR(TODAY()),MONTH(TODAY())+10,1))-MONTH(Tools!$Q78)))&lt;Tools!$L78)),Tools!$N78,""))</f>
        <v/>
      </c>
      <c r="N79" s="30">
        <f>IF(OR(Tools!$B78="",Tools!$Q78=""),"",IF(AND(((YEAR(DATE(YEAR(TODAY()),MONTH(TODAY())+11,1))-YEAR(Tools!$Q78))*12+MONTH(DATE(YEAR(TODAY()),MONTH(TODAY())+11,1))-MONTH(Tools!$Q78))&gt;=0,MOD(((YEAR(DATE(YEAR(TODAY()),MONTH(TODAY())+11,1))-YEAR(Tools!$Q78))*12+MONTH(DATE(YEAR(TODAY()),MONTH(TODAY())+11,1))-MONTH(Tools!$Q78)),Tools!$U78)=0,OR(Tools!$L78="",EDATE(Tools!$Q78,((YEAR(DATE(YEAR(TODAY()),MONTH(TODAY())+11,1))-YEAR(Tools!$Q78))*12+MONTH(DATE(YEAR(TODAY()),MONTH(TODAY())+11,1))-MONTH(Tools!$Q78)))&lt;Tools!$L78)),Tools!$N78,""))</f>
        <v/>
      </c>
      <c r="O79" s="31">
        <f>IF(B79="","",SUM(C79:N79))</f>
        <v/>
      </c>
      <c r="P79" s="1" t="n"/>
    </row>
    <row r="80">
      <c r="A80" s="1" t="n"/>
      <c r="B80" s="11">
        <f>IF(Tools!B79="","",Tools!B79)</f>
        <v/>
      </c>
      <c r="C80" s="30">
        <f>IF(OR(Tools!$B79="",Tools!$Q79=""),"",IF(AND(((YEAR(DATE(YEAR(TODAY()),MONTH(TODAY())+0,1))-YEAR(Tools!$Q79))*12+MONTH(DATE(YEAR(TODAY()),MONTH(TODAY())+0,1))-MONTH(Tools!$Q79))&gt;=0,MOD(((YEAR(DATE(YEAR(TODAY()),MONTH(TODAY())+0,1))-YEAR(Tools!$Q79))*12+MONTH(DATE(YEAR(TODAY()),MONTH(TODAY())+0,1))-MONTH(Tools!$Q79)),Tools!$U79)=0,OR(Tools!$L79="",EDATE(Tools!$Q79,((YEAR(DATE(YEAR(TODAY()),MONTH(TODAY())+0,1))-YEAR(Tools!$Q79))*12+MONTH(DATE(YEAR(TODAY()),MONTH(TODAY())+0,1))-MONTH(Tools!$Q79)))&lt;Tools!$L79)),Tools!$N79,""))</f>
        <v/>
      </c>
      <c r="D80" s="30">
        <f>IF(OR(Tools!$B79="",Tools!$Q79=""),"",IF(AND(((YEAR(DATE(YEAR(TODAY()),MONTH(TODAY())+1,1))-YEAR(Tools!$Q79))*12+MONTH(DATE(YEAR(TODAY()),MONTH(TODAY())+1,1))-MONTH(Tools!$Q79))&gt;=0,MOD(((YEAR(DATE(YEAR(TODAY()),MONTH(TODAY())+1,1))-YEAR(Tools!$Q79))*12+MONTH(DATE(YEAR(TODAY()),MONTH(TODAY())+1,1))-MONTH(Tools!$Q79)),Tools!$U79)=0,OR(Tools!$L79="",EDATE(Tools!$Q79,((YEAR(DATE(YEAR(TODAY()),MONTH(TODAY())+1,1))-YEAR(Tools!$Q79))*12+MONTH(DATE(YEAR(TODAY()),MONTH(TODAY())+1,1))-MONTH(Tools!$Q79)))&lt;Tools!$L79)),Tools!$N79,""))</f>
        <v/>
      </c>
      <c r="E80" s="30">
        <f>IF(OR(Tools!$B79="",Tools!$Q79=""),"",IF(AND(((YEAR(DATE(YEAR(TODAY()),MONTH(TODAY())+2,1))-YEAR(Tools!$Q79))*12+MONTH(DATE(YEAR(TODAY()),MONTH(TODAY())+2,1))-MONTH(Tools!$Q79))&gt;=0,MOD(((YEAR(DATE(YEAR(TODAY()),MONTH(TODAY())+2,1))-YEAR(Tools!$Q79))*12+MONTH(DATE(YEAR(TODAY()),MONTH(TODAY())+2,1))-MONTH(Tools!$Q79)),Tools!$U79)=0,OR(Tools!$L79="",EDATE(Tools!$Q79,((YEAR(DATE(YEAR(TODAY()),MONTH(TODAY())+2,1))-YEAR(Tools!$Q79))*12+MONTH(DATE(YEAR(TODAY()),MONTH(TODAY())+2,1))-MONTH(Tools!$Q79)))&lt;Tools!$L79)),Tools!$N79,""))</f>
        <v/>
      </c>
      <c r="F80" s="30">
        <f>IF(OR(Tools!$B79="",Tools!$Q79=""),"",IF(AND(((YEAR(DATE(YEAR(TODAY()),MONTH(TODAY())+3,1))-YEAR(Tools!$Q79))*12+MONTH(DATE(YEAR(TODAY()),MONTH(TODAY())+3,1))-MONTH(Tools!$Q79))&gt;=0,MOD(((YEAR(DATE(YEAR(TODAY()),MONTH(TODAY())+3,1))-YEAR(Tools!$Q79))*12+MONTH(DATE(YEAR(TODAY()),MONTH(TODAY())+3,1))-MONTH(Tools!$Q79)),Tools!$U79)=0,OR(Tools!$L79="",EDATE(Tools!$Q79,((YEAR(DATE(YEAR(TODAY()),MONTH(TODAY())+3,1))-YEAR(Tools!$Q79))*12+MONTH(DATE(YEAR(TODAY()),MONTH(TODAY())+3,1))-MONTH(Tools!$Q79)))&lt;Tools!$L79)),Tools!$N79,""))</f>
        <v/>
      </c>
      <c r="G80" s="30">
        <f>IF(OR(Tools!$B79="",Tools!$Q79=""),"",IF(AND(((YEAR(DATE(YEAR(TODAY()),MONTH(TODAY())+4,1))-YEAR(Tools!$Q79))*12+MONTH(DATE(YEAR(TODAY()),MONTH(TODAY())+4,1))-MONTH(Tools!$Q79))&gt;=0,MOD(((YEAR(DATE(YEAR(TODAY()),MONTH(TODAY())+4,1))-YEAR(Tools!$Q79))*12+MONTH(DATE(YEAR(TODAY()),MONTH(TODAY())+4,1))-MONTH(Tools!$Q79)),Tools!$U79)=0,OR(Tools!$L79="",EDATE(Tools!$Q79,((YEAR(DATE(YEAR(TODAY()),MONTH(TODAY())+4,1))-YEAR(Tools!$Q79))*12+MONTH(DATE(YEAR(TODAY()),MONTH(TODAY())+4,1))-MONTH(Tools!$Q79)))&lt;Tools!$L79)),Tools!$N79,""))</f>
        <v/>
      </c>
      <c r="H80" s="30">
        <f>IF(OR(Tools!$B79="",Tools!$Q79=""),"",IF(AND(((YEAR(DATE(YEAR(TODAY()),MONTH(TODAY())+5,1))-YEAR(Tools!$Q79))*12+MONTH(DATE(YEAR(TODAY()),MONTH(TODAY())+5,1))-MONTH(Tools!$Q79))&gt;=0,MOD(((YEAR(DATE(YEAR(TODAY()),MONTH(TODAY())+5,1))-YEAR(Tools!$Q79))*12+MONTH(DATE(YEAR(TODAY()),MONTH(TODAY())+5,1))-MONTH(Tools!$Q79)),Tools!$U79)=0,OR(Tools!$L79="",EDATE(Tools!$Q79,((YEAR(DATE(YEAR(TODAY()),MONTH(TODAY())+5,1))-YEAR(Tools!$Q79))*12+MONTH(DATE(YEAR(TODAY()),MONTH(TODAY())+5,1))-MONTH(Tools!$Q79)))&lt;Tools!$L79)),Tools!$N79,""))</f>
        <v/>
      </c>
      <c r="I80" s="30">
        <f>IF(OR(Tools!$B79="",Tools!$Q79=""),"",IF(AND(((YEAR(DATE(YEAR(TODAY()),MONTH(TODAY())+6,1))-YEAR(Tools!$Q79))*12+MONTH(DATE(YEAR(TODAY()),MONTH(TODAY())+6,1))-MONTH(Tools!$Q79))&gt;=0,MOD(((YEAR(DATE(YEAR(TODAY()),MONTH(TODAY())+6,1))-YEAR(Tools!$Q79))*12+MONTH(DATE(YEAR(TODAY()),MONTH(TODAY())+6,1))-MONTH(Tools!$Q79)),Tools!$U79)=0,OR(Tools!$L79="",EDATE(Tools!$Q79,((YEAR(DATE(YEAR(TODAY()),MONTH(TODAY())+6,1))-YEAR(Tools!$Q79))*12+MONTH(DATE(YEAR(TODAY()),MONTH(TODAY())+6,1))-MONTH(Tools!$Q79)))&lt;Tools!$L79)),Tools!$N79,""))</f>
        <v/>
      </c>
      <c r="J80" s="30">
        <f>IF(OR(Tools!$B79="",Tools!$Q79=""),"",IF(AND(((YEAR(DATE(YEAR(TODAY()),MONTH(TODAY())+7,1))-YEAR(Tools!$Q79))*12+MONTH(DATE(YEAR(TODAY()),MONTH(TODAY())+7,1))-MONTH(Tools!$Q79))&gt;=0,MOD(((YEAR(DATE(YEAR(TODAY()),MONTH(TODAY())+7,1))-YEAR(Tools!$Q79))*12+MONTH(DATE(YEAR(TODAY()),MONTH(TODAY())+7,1))-MONTH(Tools!$Q79)),Tools!$U79)=0,OR(Tools!$L79="",EDATE(Tools!$Q79,((YEAR(DATE(YEAR(TODAY()),MONTH(TODAY())+7,1))-YEAR(Tools!$Q79))*12+MONTH(DATE(YEAR(TODAY()),MONTH(TODAY())+7,1))-MONTH(Tools!$Q79)))&lt;Tools!$L79)),Tools!$N79,""))</f>
        <v/>
      </c>
      <c r="K80" s="30">
        <f>IF(OR(Tools!$B79="",Tools!$Q79=""),"",IF(AND(((YEAR(DATE(YEAR(TODAY()),MONTH(TODAY())+8,1))-YEAR(Tools!$Q79))*12+MONTH(DATE(YEAR(TODAY()),MONTH(TODAY())+8,1))-MONTH(Tools!$Q79))&gt;=0,MOD(((YEAR(DATE(YEAR(TODAY()),MONTH(TODAY())+8,1))-YEAR(Tools!$Q79))*12+MONTH(DATE(YEAR(TODAY()),MONTH(TODAY())+8,1))-MONTH(Tools!$Q79)),Tools!$U79)=0,OR(Tools!$L79="",EDATE(Tools!$Q79,((YEAR(DATE(YEAR(TODAY()),MONTH(TODAY())+8,1))-YEAR(Tools!$Q79))*12+MONTH(DATE(YEAR(TODAY()),MONTH(TODAY())+8,1))-MONTH(Tools!$Q79)))&lt;Tools!$L79)),Tools!$N79,""))</f>
        <v/>
      </c>
      <c r="L80" s="30">
        <f>IF(OR(Tools!$B79="",Tools!$Q79=""),"",IF(AND(((YEAR(DATE(YEAR(TODAY()),MONTH(TODAY())+9,1))-YEAR(Tools!$Q79))*12+MONTH(DATE(YEAR(TODAY()),MONTH(TODAY())+9,1))-MONTH(Tools!$Q79))&gt;=0,MOD(((YEAR(DATE(YEAR(TODAY()),MONTH(TODAY())+9,1))-YEAR(Tools!$Q79))*12+MONTH(DATE(YEAR(TODAY()),MONTH(TODAY())+9,1))-MONTH(Tools!$Q79)),Tools!$U79)=0,OR(Tools!$L79="",EDATE(Tools!$Q79,((YEAR(DATE(YEAR(TODAY()),MONTH(TODAY())+9,1))-YEAR(Tools!$Q79))*12+MONTH(DATE(YEAR(TODAY()),MONTH(TODAY())+9,1))-MONTH(Tools!$Q79)))&lt;Tools!$L79)),Tools!$N79,""))</f>
        <v/>
      </c>
      <c r="M80" s="30">
        <f>IF(OR(Tools!$B79="",Tools!$Q79=""),"",IF(AND(((YEAR(DATE(YEAR(TODAY()),MONTH(TODAY())+10,1))-YEAR(Tools!$Q79))*12+MONTH(DATE(YEAR(TODAY()),MONTH(TODAY())+10,1))-MONTH(Tools!$Q79))&gt;=0,MOD(((YEAR(DATE(YEAR(TODAY()),MONTH(TODAY())+10,1))-YEAR(Tools!$Q79))*12+MONTH(DATE(YEAR(TODAY()),MONTH(TODAY())+10,1))-MONTH(Tools!$Q79)),Tools!$U79)=0,OR(Tools!$L79="",EDATE(Tools!$Q79,((YEAR(DATE(YEAR(TODAY()),MONTH(TODAY())+10,1))-YEAR(Tools!$Q79))*12+MONTH(DATE(YEAR(TODAY()),MONTH(TODAY())+10,1))-MONTH(Tools!$Q79)))&lt;Tools!$L79)),Tools!$N79,""))</f>
        <v/>
      </c>
      <c r="N80" s="30">
        <f>IF(OR(Tools!$B79="",Tools!$Q79=""),"",IF(AND(((YEAR(DATE(YEAR(TODAY()),MONTH(TODAY())+11,1))-YEAR(Tools!$Q79))*12+MONTH(DATE(YEAR(TODAY()),MONTH(TODAY())+11,1))-MONTH(Tools!$Q79))&gt;=0,MOD(((YEAR(DATE(YEAR(TODAY()),MONTH(TODAY())+11,1))-YEAR(Tools!$Q79))*12+MONTH(DATE(YEAR(TODAY()),MONTH(TODAY())+11,1))-MONTH(Tools!$Q79)),Tools!$U79)=0,OR(Tools!$L79="",EDATE(Tools!$Q79,((YEAR(DATE(YEAR(TODAY()),MONTH(TODAY())+11,1))-YEAR(Tools!$Q79))*12+MONTH(DATE(YEAR(TODAY()),MONTH(TODAY())+11,1))-MONTH(Tools!$Q79)))&lt;Tools!$L79)),Tools!$N79,""))</f>
        <v/>
      </c>
      <c r="O80" s="31">
        <f>IF(B80="","",SUM(C80:N80))</f>
        <v/>
      </c>
      <c r="P80" s="1" t="n"/>
    </row>
    <row r="81">
      <c r="A81" s="1" t="n"/>
      <c r="B81" s="11">
        <f>IF(Tools!B80="","",Tools!B80)</f>
        <v/>
      </c>
      <c r="C81" s="30">
        <f>IF(OR(Tools!$B80="",Tools!$Q80=""),"",IF(AND(((YEAR(DATE(YEAR(TODAY()),MONTH(TODAY())+0,1))-YEAR(Tools!$Q80))*12+MONTH(DATE(YEAR(TODAY()),MONTH(TODAY())+0,1))-MONTH(Tools!$Q80))&gt;=0,MOD(((YEAR(DATE(YEAR(TODAY()),MONTH(TODAY())+0,1))-YEAR(Tools!$Q80))*12+MONTH(DATE(YEAR(TODAY()),MONTH(TODAY())+0,1))-MONTH(Tools!$Q80)),Tools!$U80)=0,OR(Tools!$L80="",EDATE(Tools!$Q80,((YEAR(DATE(YEAR(TODAY()),MONTH(TODAY())+0,1))-YEAR(Tools!$Q80))*12+MONTH(DATE(YEAR(TODAY()),MONTH(TODAY())+0,1))-MONTH(Tools!$Q80)))&lt;Tools!$L80)),Tools!$N80,""))</f>
        <v/>
      </c>
      <c r="D81" s="30">
        <f>IF(OR(Tools!$B80="",Tools!$Q80=""),"",IF(AND(((YEAR(DATE(YEAR(TODAY()),MONTH(TODAY())+1,1))-YEAR(Tools!$Q80))*12+MONTH(DATE(YEAR(TODAY()),MONTH(TODAY())+1,1))-MONTH(Tools!$Q80))&gt;=0,MOD(((YEAR(DATE(YEAR(TODAY()),MONTH(TODAY())+1,1))-YEAR(Tools!$Q80))*12+MONTH(DATE(YEAR(TODAY()),MONTH(TODAY())+1,1))-MONTH(Tools!$Q80)),Tools!$U80)=0,OR(Tools!$L80="",EDATE(Tools!$Q80,((YEAR(DATE(YEAR(TODAY()),MONTH(TODAY())+1,1))-YEAR(Tools!$Q80))*12+MONTH(DATE(YEAR(TODAY()),MONTH(TODAY())+1,1))-MONTH(Tools!$Q80)))&lt;Tools!$L80)),Tools!$N80,""))</f>
        <v/>
      </c>
      <c r="E81" s="30">
        <f>IF(OR(Tools!$B80="",Tools!$Q80=""),"",IF(AND(((YEAR(DATE(YEAR(TODAY()),MONTH(TODAY())+2,1))-YEAR(Tools!$Q80))*12+MONTH(DATE(YEAR(TODAY()),MONTH(TODAY())+2,1))-MONTH(Tools!$Q80))&gt;=0,MOD(((YEAR(DATE(YEAR(TODAY()),MONTH(TODAY())+2,1))-YEAR(Tools!$Q80))*12+MONTH(DATE(YEAR(TODAY()),MONTH(TODAY())+2,1))-MONTH(Tools!$Q80)),Tools!$U80)=0,OR(Tools!$L80="",EDATE(Tools!$Q80,((YEAR(DATE(YEAR(TODAY()),MONTH(TODAY())+2,1))-YEAR(Tools!$Q80))*12+MONTH(DATE(YEAR(TODAY()),MONTH(TODAY())+2,1))-MONTH(Tools!$Q80)))&lt;Tools!$L80)),Tools!$N80,""))</f>
        <v/>
      </c>
      <c r="F81" s="30">
        <f>IF(OR(Tools!$B80="",Tools!$Q80=""),"",IF(AND(((YEAR(DATE(YEAR(TODAY()),MONTH(TODAY())+3,1))-YEAR(Tools!$Q80))*12+MONTH(DATE(YEAR(TODAY()),MONTH(TODAY())+3,1))-MONTH(Tools!$Q80))&gt;=0,MOD(((YEAR(DATE(YEAR(TODAY()),MONTH(TODAY())+3,1))-YEAR(Tools!$Q80))*12+MONTH(DATE(YEAR(TODAY()),MONTH(TODAY())+3,1))-MONTH(Tools!$Q80)),Tools!$U80)=0,OR(Tools!$L80="",EDATE(Tools!$Q80,((YEAR(DATE(YEAR(TODAY()),MONTH(TODAY())+3,1))-YEAR(Tools!$Q80))*12+MONTH(DATE(YEAR(TODAY()),MONTH(TODAY())+3,1))-MONTH(Tools!$Q80)))&lt;Tools!$L80)),Tools!$N80,""))</f>
        <v/>
      </c>
      <c r="G81" s="30">
        <f>IF(OR(Tools!$B80="",Tools!$Q80=""),"",IF(AND(((YEAR(DATE(YEAR(TODAY()),MONTH(TODAY())+4,1))-YEAR(Tools!$Q80))*12+MONTH(DATE(YEAR(TODAY()),MONTH(TODAY())+4,1))-MONTH(Tools!$Q80))&gt;=0,MOD(((YEAR(DATE(YEAR(TODAY()),MONTH(TODAY())+4,1))-YEAR(Tools!$Q80))*12+MONTH(DATE(YEAR(TODAY()),MONTH(TODAY())+4,1))-MONTH(Tools!$Q80)),Tools!$U80)=0,OR(Tools!$L80="",EDATE(Tools!$Q80,((YEAR(DATE(YEAR(TODAY()),MONTH(TODAY())+4,1))-YEAR(Tools!$Q80))*12+MONTH(DATE(YEAR(TODAY()),MONTH(TODAY())+4,1))-MONTH(Tools!$Q80)))&lt;Tools!$L80)),Tools!$N80,""))</f>
        <v/>
      </c>
      <c r="H81" s="30">
        <f>IF(OR(Tools!$B80="",Tools!$Q80=""),"",IF(AND(((YEAR(DATE(YEAR(TODAY()),MONTH(TODAY())+5,1))-YEAR(Tools!$Q80))*12+MONTH(DATE(YEAR(TODAY()),MONTH(TODAY())+5,1))-MONTH(Tools!$Q80))&gt;=0,MOD(((YEAR(DATE(YEAR(TODAY()),MONTH(TODAY())+5,1))-YEAR(Tools!$Q80))*12+MONTH(DATE(YEAR(TODAY()),MONTH(TODAY())+5,1))-MONTH(Tools!$Q80)),Tools!$U80)=0,OR(Tools!$L80="",EDATE(Tools!$Q80,((YEAR(DATE(YEAR(TODAY()),MONTH(TODAY())+5,1))-YEAR(Tools!$Q80))*12+MONTH(DATE(YEAR(TODAY()),MONTH(TODAY())+5,1))-MONTH(Tools!$Q80)))&lt;Tools!$L80)),Tools!$N80,""))</f>
        <v/>
      </c>
      <c r="I81" s="30">
        <f>IF(OR(Tools!$B80="",Tools!$Q80=""),"",IF(AND(((YEAR(DATE(YEAR(TODAY()),MONTH(TODAY())+6,1))-YEAR(Tools!$Q80))*12+MONTH(DATE(YEAR(TODAY()),MONTH(TODAY())+6,1))-MONTH(Tools!$Q80))&gt;=0,MOD(((YEAR(DATE(YEAR(TODAY()),MONTH(TODAY())+6,1))-YEAR(Tools!$Q80))*12+MONTH(DATE(YEAR(TODAY()),MONTH(TODAY())+6,1))-MONTH(Tools!$Q80)),Tools!$U80)=0,OR(Tools!$L80="",EDATE(Tools!$Q80,((YEAR(DATE(YEAR(TODAY()),MONTH(TODAY())+6,1))-YEAR(Tools!$Q80))*12+MONTH(DATE(YEAR(TODAY()),MONTH(TODAY())+6,1))-MONTH(Tools!$Q80)))&lt;Tools!$L80)),Tools!$N80,""))</f>
        <v/>
      </c>
      <c r="J81" s="30">
        <f>IF(OR(Tools!$B80="",Tools!$Q80=""),"",IF(AND(((YEAR(DATE(YEAR(TODAY()),MONTH(TODAY())+7,1))-YEAR(Tools!$Q80))*12+MONTH(DATE(YEAR(TODAY()),MONTH(TODAY())+7,1))-MONTH(Tools!$Q80))&gt;=0,MOD(((YEAR(DATE(YEAR(TODAY()),MONTH(TODAY())+7,1))-YEAR(Tools!$Q80))*12+MONTH(DATE(YEAR(TODAY()),MONTH(TODAY())+7,1))-MONTH(Tools!$Q80)),Tools!$U80)=0,OR(Tools!$L80="",EDATE(Tools!$Q80,((YEAR(DATE(YEAR(TODAY()),MONTH(TODAY())+7,1))-YEAR(Tools!$Q80))*12+MONTH(DATE(YEAR(TODAY()),MONTH(TODAY())+7,1))-MONTH(Tools!$Q80)))&lt;Tools!$L80)),Tools!$N80,""))</f>
        <v/>
      </c>
      <c r="K81" s="30">
        <f>IF(OR(Tools!$B80="",Tools!$Q80=""),"",IF(AND(((YEAR(DATE(YEAR(TODAY()),MONTH(TODAY())+8,1))-YEAR(Tools!$Q80))*12+MONTH(DATE(YEAR(TODAY()),MONTH(TODAY())+8,1))-MONTH(Tools!$Q80))&gt;=0,MOD(((YEAR(DATE(YEAR(TODAY()),MONTH(TODAY())+8,1))-YEAR(Tools!$Q80))*12+MONTH(DATE(YEAR(TODAY()),MONTH(TODAY())+8,1))-MONTH(Tools!$Q80)),Tools!$U80)=0,OR(Tools!$L80="",EDATE(Tools!$Q80,((YEAR(DATE(YEAR(TODAY()),MONTH(TODAY())+8,1))-YEAR(Tools!$Q80))*12+MONTH(DATE(YEAR(TODAY()),MONTH(TODAY())+8,1))-MONTH(Tools!$Q80)))&lt;Tools!$L80)),Tools!$N80,""))</f>
        <v/>
      </c>
      <c r="L81" s="30">
        <f>IF(OR(Tools!$B80="",Tools!$Q80=""),"",IF(AND(((YEAR(DATE(YEAR(TODAY()),MONTH(TODAY())+9,1))-YEAR(Tools!$Q80))*12+MONTH(DATE(YEAR(TODAY()),MONTH(TODAY())+9,1))-MONTH(Tools!$Q80))&gt;=0,MOD(((YEAR(DATE(YEAR(TODAY()),MONTH(TODAY())+9,1))-YEAR(Tools!$Q80))*12+MONTH(DATE(YEAR(TODAY()),MONTH(TODAY())+9,1))-MONTH(Tools!$Q80)),Tools!$U80)=0,OR(Tools!$L80="",EDATE(Tools!$Q80,((YEAR(DATE(YEAR(TODAY()),MONTH(TODAY())+9,1))-YEAR(Tools!$Q80))*12+MONTH(DATE(YEAR(TODAY()),MONTH(TODAY())+9,1))-MONTH(Tools!$Q80)))&lt;Tools!$L80)),Tools!$N80,""))</f>
        <v/>
      </c>
      <c r="M81" s="30">
        <f>IF(OR(Tools!$B80="",Tools!$Q80=""),"",IF(AND(((YEAR(DATE(YEAR(TODAY()),MONTH(TODAY())+10,1))-YEAR(Tools!$Q80))*12+MONTH(DATE(YEAR(TODAY()),MONTH(TODAY())+10,1))-MONTH(Tools!$Q80))&gt;=0,MOD(((YEAR(DATE(YEAR(TODAY()),MONTH(TODAY())+10,1))-YEAR(Tools!$Q80))*12+MONTH(DATE(YEAR(TODAY()),MONTH(TODAY())+10,1))-MONTH(Tools!$Q80)),Tools!$U80)=0,OR(Tools!$L80="",EDATE(Tools!$Q80,((YEAR(DATE(YEAR(TODAY()),MONTH(TODAY())+10,1))-YEAR(Tools!$Q80))*12+MONTH(DATE(YEAR(TODAY()),MONTH(TODAY())+10,1))-MONTH(Tools!$Q80)))&lt;Tools!$L80)),Tools!$N80,""))</f>
        <v/>
      </c>
      <c r="N81" s="30">
        <f>IF(OR(Tools!$B80="",Tools!$Q80=""),"",IF(AND(((YEAR(DATE(YEAR(TODAY()),MONTH(TODAY())+11,1))-YEAR(Tools!$Q80))*12+MONTH(DATE(YEAR(TODAY()),MONTH(TODAY())+11,1))-MONTH(Tools!$Q80))&gt;=0,MOD(((YEAR(DATE(YEAR(TODAY()),MONTH(TODAY())+11,1))-YEAR(Tools!$Q80))*12+MONTH(DATE(YEAR(TODAY()),MONTH(TODAY())+11,1))-MONTH(Tools!$Q80)),Tools!$U80)=0,OR(Tools!$L80="",EDATE(Tools!$Q80,((YEAR(DATE(YEAR(TODAY()),MONTH(TODAY())+11,1))-YEAR(Tools!$Q80))*12+MONTH(DATE(YEAR(TODAY()),MONTH(TODAY())+11,1))-MONTH(Tools!$Q80)))&lt;Tools!$L80)),Tools!$N80,""))</f>
        <v/>
      </c>
      <c r="O81" s="31">
        <f>IF(B81="","",SUM(C81:N81))</f>
        <v/>
      </c>
      <c r="P81" s="1" t="n"/>
    </row>
    <row r="82">
      <c r="A82" s="1" t="n"/>
      <c r="B82" s="11">
        <f>IF(Tools!B81="","",Tools!B81)</f>
        <v/>
      </c>
      <c r="C82" s="30">
        <f>IF(OR(Tools!$B81="",Tools!$Q81=""),"",IF(AND(((YEAR(DATE(YEAR(TODAY()),MONTH(TODAY())+0,1))-YEAR(Tools!$Q81))*12+MONTH(DATE(YEAR(TODAY()),MONTH(TODAY())+0,1))-MONTH(Tools!$Q81))&gt;=0,MOD(((YEAR(DATE(YEAR(TODAY()),MONTH(TODAY())+0,1))-YEAR(Tools!$Q81))*12+MONTH(DATE(YEAR(TODAY()),MONTH(TODAY())+0,1))-MONTH(Tools!$Q81)),Tools!$U81)=0,OR(Tools!$L81="",EDATE(Tools!$Q81,((YEAR(DATE(YEAR(TODAY()),MONTH(TODAY())+0,1))-YEAR(Tools!$Q81))*12+MONTH(DATE(YEAR(TODAY()),MONTH(TODAY())+0,1))-MONTH(Tools!$Q81)))&lt;Tools!$L81)),Tools!$N81,""))</f>
        <v/>
      </c>
      <c r="D82" s="30">
        <f>IF(OR(Tools!$B81="",Tools!$Q81=""),"",IF(AND(((YEAR(DATE(YEAR(TODAY()),MONTH(TODAY())+1,1))-YEAR(Tools!$Q81))*12+MONTH(DATE(YEAR(TODAY()),MONTH(TODAY())+1,1))-MONTH(Tools!$Q81))&gt;=0,MOD(((YEAR(DATE(YEAR(TODAY()),MONTH(TODAY())+1,1))-YEAR(Tools!$Q81))*12+MONTH(DATE(YEAR(TODAY()),MONTH(TODAY())+1,1))-MONTH(Tools!$Q81)),Tools!$U81)=0,OR(Tools!$L81="",EDATE(Tools!$Q81,((YEAR(DATE(YEAR(TODAY()),MONTH(TODAY())+1,1))-YEAR(Tools!$Q81))*12+MONTH(DATE(YEAR(TODAY()),MONTH(TODAY())+1,1))-MONTH(Tools!$Q81)))&lt;Tools!$L81)),Tools!$N81,""))</f>
        <v/>
      </c>
      <c r="E82" s="30">
        <f>IF(OR(Tools!$B81="",Tools!$Q81=""),"",IF(AND(((YEAR(DATE(YEAR(TODAY()),MONTH(TODAY())+2,1))-YEAR(Tools!$Q81))*12+MONTH(DATE(YEAR(TODAY()),MONTH(TODAY())+2,1))-MONTH(Tools!$Q81))&gt;=0,MOD(((YEAR(DATE(YEAR(TODAY()),MONTH(TODAY())+2,1))-YEAR(Tools!$Q81))*12+MONTH(DATE(YEAR(TODAY()),MONTH(TODAY())+2,1))-MONTH(Tools!$Q81)),Tools!$U81)=0,OR(Tools!$L81="",EDATE(Tools!$Q81,((YEAR(DATE(YEAR(TODAY()),MONTH(TODAY())+2,1))-YEAR(Tools!$Q81))*12+MONTH(DATE(YEAR(TODAY()),MONTH(TODAY())+2,1))-MONTH(Tools!$Q81)))&lt;Tools!$L81)),Tools!$N81,""))</f>
        <v/>
      </c>
      <c r="F82" s="30">
        <f>IF(OR(Tools!$B81="",Tools!$Q81=""),"",IF(AND(((YEAR(DATE(YEAR(TODAY()),MONTH(TODAY())+3,1))-YEAR(Tools!$Q81))*12+MONTH(DATE(YEAR(TODAY()),MONTH(TODAY())+3,1))-MONTH(Tools!$Q81))&gt;=0,MOD(((YEAR(DATE(YEAR(TODAY()),MONTH(TODAY())+3,1))-YEAR(Tools!$Q81))*12+MONTH(DATE(YEAR(TODAY()),MONTH(TODAY())+3,1))-MONTH(Tools!$Q81)),Tools!$U81)=0,OR(Tools!$L81="",EDATE(Tools!$Q81,((YEAR(DATE(YEAR(TODAY()),MONTH(TODAY())+3,1))-YEAR(Tools!$Q81))*12+MONTH(DATE(YEAR(TODAY()),MONTH(TODAY())+3,1))-MONTH(Tools!$Q81)))&lt;Tools!$L81)),Tools!$N81,""))</f>
        <v/>
      </c>
      <c r="G82" s="30">
        <f>IF(OR(Tools!$B81="",Tools!$Q81=""),"",IF(AND(((YEAR(DATE(YEAR(TODAY()),MONTH(TODAY())+4,1))-YEAR(Tools!$Q81))*12+MONTH(DATE(YEAR(TODAY()),MONTH(TODAY())+4,1))-MONTH(Tools!$Q81))&gt;=0,MOD(((YEAR(DATE(YEAR(TODAY()),MONTH(TODAY())+4,1))-YEAR(Tools!$Q81))*12+MONTH(DATE(YEAR(TODAY()),MONTH(TODAY())+4,1))-MONTH(Tools!$Q81)),Tools!$U81)=0,OR(Tools!$L81="",EDATE(Tools!$Q81,((YEAR(DATE(YEAR(TODAY()),MONTH(TODAY())+4,1))-YEAR(Tools!$Q81))*12+MONTH(DATE(YEAR(TODAY()),MONTH(TODAY())+4,1))-MONTH(Tools!$Q81)))&lt;Tools!$L81)),Tools!$N81,""))</f>
        <v/>
      </c>
      <c r="H82" s="30">
        <f>IF(OR(Tools!$B81="",Tools!$Q81=""),"",IF(AND(((YEAR(DATE(YEAR(TODAY()),MONTH(TODAY())+5,1))-YEAR(Tools!$Q81))*12+MONTH(DATE(YEAR(TODAY()),MONTH(TODAY())+5,1))-MONTH(Tools!$Q81))&gt;=0,MOD(((YEAR(DATE(YEAR(TODAY()),MONTH(TODAY())+5,1))-YEAR(Tools!$Q81))*12+MONTH(DATE(YEAR(TODAY()),MONTH(TODAY())+5,1))-MONTH(Tools!$Q81)),Tools!$U81)=0,OR(Tools!$L81="",EDATE(Tools!$Q81,((YEAR(DATE(YEAR(TODAY()),MONTH(TODAY())+5,1))-YEAR(Tools!$Q81))*12+MONTH(DATE(YEAR(TODAY()),MONTH(TODAY())+5,1))-MONTH(Tools!$Q81)))&lt;Tools!$L81)),Tools!$N81,""))</f>
        <v/>
      </c>
      <c r="I82" s="30">
        <f>IF(OR(Tools!$B81="",Tools!$Q81=""),"",IF(AND(((YEAR(DATE(YEAR(TODAY()),MONTH(TODAY())+6,1))-YEAR(Tools!$Q81))*12+MONTH(DATE(YEAR(TODAY()),MONTH(TODAY())+6,1))-MONTH(Tools!$Q81))&gt;=0,MOD(((YEAR(DATE(YEAR(TODAY()),MONTH(TODAY())+6,1))-YEAR(Tools!$Q81))*12+MONTH(DATE(YEAR(TODAY()),MONTH(TODAY())+6,1))-MONTH(Tools!$Q81)),Tools!$U81)=0,OR(Tools!$L81="",EDATE(Tools!$Q81,((YEAR(DATE(YEAR(TODAY()),MONTH(TODAY())+6,1))-YEAR(Tools!$Q81))*12+MONTH(DATE(YEAR(TODAY()),MONTH(TODAY())+6,1))-MONTH(Tools!$Q81)))&lt;Tools!$L81)),Tools!$N81,""))</f>
        <v/>
      </c>
      <c r="J82" s="30">
        <f>IF(OR(Tools!$B81="",Tools!$Q81=""),"",IF(AND(((YEAR(DATE(YEAR(TODAY()),MONTH(TODAY())+7,1))-YEAR(Tools!$Q81))*12+MONTH(DATE(YEAR(TODAY()),MONTH(TODAY())+7,1))-MONTH(Tools!$Q81))&gt;=0,MOD(((YEAR(DATE(YEAR(TODAY()),MONTH(TODAY())+7,1))-YEAR(Tools!$Q81))*12+MONTH(DATE(YEAR(TODAY()),MONTH(TODAY())+7,1))-MONTH(Tools!$Q81)),Tools!$U81)=0,OR(Tools!$L81="",EDATE(Tools!$Q81,((YEAR(DATE(YEAR(TODAY()),MONTH(TODAY())+7,1))-YEAR(Tools!$Q81))*12+MONTH(DATE(YEAR(TODAY()),MONTH(TODAY())+7,1))-MONTH(Tools!$Q81)))&lt;Tools!$L81)),Tools!$N81,""))</f>
        <v/>
      </c>
      <c r="K82" s="30">
        <f>IF(OR(Tools!$B81="",Tools!$Q81=""),"",IF(AND(((YEAR(DATE(YEAR(TODAY()),MONTH(TODAY())+8,1))-YEAR(Tools!$Q81))*12+MONTH(DATE(YEAR(TODAY()),MONTH(TODAY())+8,1))-MONTH(Tools!$Q81))&gt;=0,MOD(((YEAR(DATE(YEAR(TODAY()),MONTH(TODAY())+8,1))-YEAR(Tools!$Q81))*12+MONTH(DATE(YEAR(TODAY()),MONTH(TODAY())+8,1))-MONTH(Tools!$Q81)),Tools!$U81)=0,OR(Tools!$L81="",EDATE(Tools!$Q81,((YEAR(DATE(YEAR(TODAY()),MONTH(TODAY())+8,1))-YEAR(Tools!$Q81))*12+MONTH(DATE(YEAR(TODAY()),MONTH(TODAY())+8,1))-MONTH(Tools!$Q81)))&lt;Tools!$L81)),Tools!$N81,""))</f>
        <v/>
      </c>
      <c r="L82" s="30">
        <f>IF(OR(Tools!$B81="",Tools!$Q81=""),"",IF(AND(((YEAR(DATE(YEAR(TODAY()),MONTH(TODAY())+9,1))-YEAR(Tools!$Q81))*12+MONTH(DATE(YEAR(TODAY()),MONTH(TODAY())+9,1))-MONTH(Tools!$Q81))&gt;=0,MOD(((YEAR(DATE(YEAR(TODAY()),MONTH(TODAY())+9,1))-YEAR(Tools!$Q81))*12+MONTH(DATE(YEAR(TODAY()),MONTH(TODAY())+9,1))-MONTH(Tools!$Q81)),Tools!$U81)=0,OR(Tools!$L81="",EDATE(Tools!$Q81,((YEAR(DATE(YEAR(TODAY()),MONTH(TODAY())+9,1))-YEAR(Tools!$Q81))*12+MONTH(DATE(YEAR(TODAY()),MONTH(TODAY())+9,1))-MONTH(Tools!$Q81)))&lt;Tools!$L81)),Tools!$N81,""))</f>
        <v/>
      </c>
      <c r="M82" s="30">
        <f>IF(OR(Tools!$B81="",Tools!$Q81=""),"",IF(AND(((YEAR(DATE(YEAR(TODAY()),MONTH(TODAY())+10,1))-YEAR(Tools!$Q81))*12+MONTH(DATE(YEAR(TODAY()),MONTH(TODAY())+10,1))-MONTH(Tools!$Q81))&gt;=0,MOD(((YEAR(DATE(YEAR(TODAY()),MONTH(TODAY())+10,1))-YEAR(Tools!$Q81))*12+MONTH(DATE(YEAR(TODAY()),MONTH(TODAY())+10,1))-MONTH(Tools!$Q81)),Tools!$U81)=0,OR(Tools!$L81="",EDATE(Tools!$Q81,((YEAR(DATE(YEAR(TODAY()),MONTH(TODAY())+10,1))-YEAR(Tools!$Q81))*12+MONTH(DATE(YEAR(TODAY()),MONTH(TODAY())+10,1))-MONTH(Tools!$Q81)))&lt;Tools!$L81)),Tools!$N81,""))</f>
        <v/>
      </c>
      <c r="N82" s="30">
        <f>IF(OR(Tools!$B81="",Tools!$Q81=""),"",IF(AND(((YEAR(DATE(YEAR(TODAY()),MONTH(TODAY())+11,1))-YEAR(Tools!$Q81))*12+MONTH(DATE(YEAR(TODAY()),MONTH(TODAY())+11,1))-MONTH(Tools!$Q81))&gt;=0,MOD(((YEAR(DATE(YEAR(TODAY()),MONTH(TODAY())+11,1))-YEAR(Tools!$Q81))*12+MONTH(DATE(YEAR(TODAY()),MONTH(TODAY())+11,1))-MONTH(Tools!$Q81)),Tools!$U81)=0,OR(Tools!$L81="",EDATE(Tools!$Q81,((YEAR(DATE(YEAR(TODAY()),MONTH(TODAY())+11,1))-YEAR(Tools!$Q81))*12+MONTH(DATE(YEAR(TODAY()),MONTH(TODAY())+11,1))-MONTH(Tools!$Q81)))&lt;Tools!$L81)),Tools!$N81,""))</f>
        <v/>
      </c>
      <c r="O82" s="31">
        <f>IF(B82="","",SUM(C82:N82))</f>
        <v/>
      </c>
      <c r="P82" s="1" t="n"/>
    </row>
    <row r="83">
      <c r="A83" s="1" t="n"/>
      <c r="B83" s="11">
        <f>IF(Tools!B82="","",Tools!B82)</f>
        <v/>
      </c>
      <c r="C83" s="30">
        <f>IF(OR(Tools!$B82="",Tools!$Q82=""),"",IF(AND(((YEAR(DATE(YEAR(TODAY()),MONTH(TODAY())+0,1))-YEAR(Tools!$Q82))*12+MONTH(DATE(YEAR(TODAY()),MONTH(TODAY())+0,1))-MONTH(Tools!$Q82))&gt;=0,MOD(((YEAR(DATE(YEAR(TODAY()),MONTH(TODAY())+0,1))-YEAR(Tools!$Q82))*12+MONTH(DATE(YEAR(TODAY()),MONTH(TODAY())+0,1))-MONTH(Tools!$Q82)),Tools!$U82)=0,OR(Tools!$L82="",EDATE(Tools!$Q82,((YEAR(DATE(YEAR(TODAY()),MONTH(TODAY())+0,1))-YEAR(Tools!$Q82))*12+MONTH(DATE(YEAR(TODAY()),MONTH(TODAY())+0,1))-MONTH(Tools!$Q82)))&lt;Tools!$L82)),Tools!$N82,""))</f>
        <v/>
      </c>
      <c r="D83" s="30">
        <f>IF(OR(Tools!$B82="",Tools!$Q82=""),"",IF(AND(((YEAR(DATE(YEAR(TODAY()),MONTH(TODAY())+1,1))-YEAR(Tools!$Q82))*12+MONTH(DATE(YEAR(TODAY()),MONTH(TODAY())+1,1))-MONTH(Tools!$Q82))&gt;=0,MOD(((YEAR(DATE(YEAR(TODAY()),MONTH(TODAY())+1,1))-YEAR(Tools!$Q82))*12+MONTH(DATE(YEAR(TODAY()),MONTH(TODAY())+1,1))-MONTH(Tools!$Q82)),Tools!$U82)=0,OR(Tools!$L82="",EDATE(Tools!$Q82,((YEAR(DATE(YEAR(TODAY()),MONTH(TODAY())+1,1))-YEAR(Tools!$Q82))*12+MONTH(DATE(YEAR(TODAY()),MONTH(TODAY())+1,1))-MONTH(Tools!$Q82)))&lt;Tools!$L82)),Tools!$N82,""))</f>
        <v/>
      </c>
      <c r="E83" s="30">
        <f>IF(OR(Tools!$B82="",Tools!$Q82=""),"",IF(AND(((YEAR(DATE(YEAR(TODAY()),MONTH(TODAY())+2,1))-YEAR(Tools!$Q82))*12+MONTH(DATE(YEAR(TODAY()),MONTH(TODAY())+2,1))-MONTH(Tools!$Q82))&gt;=0,MOD(((YEAR(DATE(YEAR(TODAY()),MONTH(TODAY())+2,1))-YEAR(Tools!$Q82))*12+MONTH(DATE(YEAR(TODAY()),MONTH(TODAY())+2,1))-MONTH(Tools!$Q82)),Tools!$U82)=0,OR(Tools!$L82="",EDATE(Tools!$Q82,((YEAR(DATE(YEAR(TODAY()),MONTH(TODAY())+2,1))-YEAR(Tools!$Q82))*12+MONTH(DATE(YEAR(TODAY()),MONTH(TODAY())+2,1))-MONTH(Tools!$Q82)))&lt;Tools!$L82)),Tools!$N82,""))</f>
        <v/>
      </c>
      <c r="F83" s="30">
        <f>IF(OR(Tools!$B82="",Tools!$Q82=""),"",IF(AND(((YEAR(DATE(YEAR(TODAY()),MONTH(TODAY())+3,1))-YEAR(Tools!$Q82))*12+MONTH(DATE(YEAR(TODAY()),MONTH(TODAY())+3,1))-MONTH(Tools!$Q82))&gt;=0,MOD(((YEAR(DATE(YEAR(TODAY()),MONTH(TODAY())+3,1))-YEAR(Tools!$Q82))*12+MONTH(DATE(YEAR(TODAY()),MONTH(TODAY())+3,1))-MONTH(Tools!$Q82)),Tools!$U82)=0,OR(Tools!$L82="",EDATE(Tools!$Q82,((YEAR(DATE(YEAR(TODAY()),MONTH(TODAY())+3,1))-YEAR(Tools!$Q82))*12+MONTH(DATE(YEAR(TODAY()),MONTH(TODAY())+3,1))-MONTH(Tools!$Q82)))&lt;Tools!$L82)),Tools!$N82,""))</f>
        <v/>
      </c>
      <c r="G83" s="30">
        <f>IF(OR(Tools!$B82="",Tools!$Q82=""),"",IF(AND(((YEAR(DATE(YEAR(TODAY()),MONTH(TODAY())+4,1))-YEAR(Tools!$Q82))*12+MONTH(DATE(YEAR(TODAY()),MONTH(TODAY())+4,1))-MONTH(Tools!$Q82))&gt;=0,MOD(((YEAR(DATE(YEAR(TODAY()),MONTH(TODAY())+4,1))-YEAR(Tools!$Q82))*12+MONTH(DATE(YEAR(TODAY()),MONTH(TODAY())+4,1))-MONTH(Tools!$Q82)),Tools!$U82)=0,OR(Tools!$L82="",EDATE(Tools!$Q82,((YEAR(DATE(YEAR(TODAY()),MONTH(TODAY())+4,1))-YEAR(Tools!$Q82))*12+MONTH(DATE(YEAR(TODAY()),MONTH(TODAY())+4,1))-MONTH(Tools!$Q82)))&lt;Tools!$L82)),Tools!$N82,""))</f>
        <v/>
      </c>
      <c r="H83" s="30">
        <f>IF(OR(Tools!$B82="",Tools!$Q82=""),"",IF(AND(((YEAR(DATE(YEAR(TODAY()),MONTH(TODAY())+5,1))-YEAR(Tools!$Q82))*12+MONTH(DATE(YEAR(TODAY()),MONTH(TODAY())+5,1))-MONTH(Tools!$Q82))&gt;=0,MOD(((YEAR(DATE(YEAR(TODAY()),MONTH(TODAY())+5,1))-YEAR(Tools!$Q82))*12+MONTH(DATE(YEAR(TODAY()),MONTH(TODAY())+5,1))-MONTH(Tools!$Q82)),Tools!$U82)=0,OR(Tools!$L82="",EDATE(Tools!$Q82,((YEAR(DATE(YEAR(TODAY()),MONTH(TODAY())+5,1))-YEAR(Tools!$Q82))*12+MONTH(DATE(YEAR(TODAY()),MONTH(TODAY())+5,1))-MONTH(Tools!$Q82)))&lt;Tools!$L82)),Tools!$N82,""))</f>
        <v/>
      </c>
      <c r="I83" s="30">
        <f>IF(OR(Tools!$B82="",Tools!$Q82=""),"",IF(AND(((YEAR(DATE(YEAR(TODAY()),MONTH(TODAY())+6,1))-YEAR(Tools!$Q82))*12+MONTH(DATE(YEAR(TODAY()),MONTH(TODAY())+6,1))-MONTH(Tools!$Q82))&gt;=0,MOD(((YEAR(DATE(YEAR(TODAY()),MONTH(TODAY())+6,1))-YEAR(Tools!$Q82))*12+MONTH(DATE(YEAR(TODAY()),MONTH(TODAY())+6,1))-MONTH(Tools!$Q82)),Tools!$U82)=0,OR(Tools!$L82="",EDATE(Tools!$Q82,((YEAR(DATE(YEAR(TODAY()),MONTH(TODAY())+6,1))-YEAR(Tools!$Q82))*12+MONTH(DATE(YEAR(TODAY()),MONTH(TODAY())+6,1))-MONTH(Tools!$Q82)))&lt;Tools!$L82)),Tools!$N82,""))</f>
        <v/>
      </c>
      <c r="J83" s="30">
        <f>IF(OR(Tools!$B82="",Tools!$Q82=""),"",IF(AND(((YEAR(DATE(YEAR(TODAY()),MONTH(TODAY())+7,1))-YEAR(Tools!$Q82))*12+MONTH(DATE(YEAR(TODAY()),MONTH(TODAY())+7,1))-MONTH(Tools!$Q82))&gt;=0,MOD(((YEAR(DATE(YEAR(TODAY()),MONTH(TODAY())+7,1))-YEAR(Tools!$Q82))*12+MONTH(DATE(YEAR(TODAY()),MONTH(TODAY())+7,1))-MONTH(Tools!$Q82)),Tools!$U82)=0,OR(Tools!$L82="",EDATE(Tools!$Q82,((YEAR(DATE(YEAR(TODAY()),MONTH(TODAY())+7,1))-YEAR(Tools!$Q82))*12+MONTH(DATE(YEAR(TODAY()),MONTH(TODAY())+7,1))-MONTH(Tools!$Q82)))&lt;Tools!$L82)),Tools!$N82,""))</f>
        <v/>
      </c>
      <c r="K83" s="30">
        <f>IF(OR(Tools!$B82="",Tools!$Q82=""),"",IF(AND(((YEAR(DATE(YEAR(TODAY()),MONTH(TODAY())+8,1))-YEAR(Tools!$Q82))*12+MONTH(DATE(YEAR(TODAY()),MONTH(TODAY())+8,1))-MONTH(Tools!$Q82))&gt;=0,MOD(((YEAR(DATE(YEAR(TODAY()),MONTH(TODAY())+8,1))-YEAR(Tools!$Q82))*12+MONTH(DATE(YEAR(TODAY()),MONTH(TODAY())+8,1))-MONTH(Tools!$Q82)),Tools!$U82)=0,OR(Tools!$L82="",EDATE(Tools!$Q82,((YEAR(DATE(YEAR(TODAY()),MONTH(TODAY())+8,1))-YEAR(Tools!$Q82))*12+MONTH(DATE(YEAR(TODAY()),MONTH(TODAY())+8,1))-MONTH(Tools!$Q82)))&lt;Tools!$L82)),Tools!$N82,""))</f>
        <v/>
      </c>
      <c r="L83" s="30">
        <f>IF(OR(Tools!$B82="",Tools!$Q82=""),"",IF(AND(((YEAR(DATE(YEAR(TODAY()),MONTH(TODAY())+9,1))-YEAR(Tools!$Q82))*12+MONTH(DATE(YEAR(TODAY()),MONTH(TODAY())+9,1))-MONTH(Tools!$Q82))&gt;=0,MOD(((YEAR(DATE(YEAR(TODAY()),MONTH(TODAY())+9,1))-YEAR(Tools!$Q82))*12+MONTH(DATE(YEAR(TODAY()),MONTH(TODAY())+9,1))-MONTH(Tools!$Q82)),Tools!$U82)=0,OR(Tools!$L82="",EDATE(Tools!$Q82,((YEAR(DATE(YEAR(TODAY()),MONTH(TODAY())+9,1))-YEAR(Tools!$Q82))*12+MONTH(DATE(YEAR(TODAY()),MONTH(TODAY())+9,1))-MONTH(Tools!$Q82)))&lt;Tools!$L82)),Tools!$N82,""))</f>
        <v/>
      </c>
      <c r="M83" s="30">
        <f>IF(OR(Tools!$B82="",Tools!$Q82=""),"",IF(AND(((YEAR(DATE(YEAR(TODAY()),MONTH(TODAY())+10,1))-YEAR(Tools!$Q82))*12+MONTH(DATE(YEAR(TODAY()),MONTH(TODAY())+10,1))-MONTH(Tools!$Q82))&gt;=0,MOD(((YEAR(DATE(YEAR(TODAY()),MONTH(TODAY())+10,1))-YEAR(Tools!$Q82))*12+MONTH(DATE(YEAR(TODAY()),MONTH(TODAY())+10,1))-MONTH(Tools!$Q82)),Tools!$U82)=0,OR(Tools!$L82="",EDATE(Tools!$Q82,((YEAR(DATE(YEAR(TODAY()),MONTH(TODAY())+10,1))-YEAR(Tools!$Q82))*12+MONTH(DATE(YEAR(TODAY()),MONTH(TODAY())+10,1))-MONTH(Tools!$Q82)))&lt;Tools!$L82)),Tools!$N82,""))</f>
        <v/>
      </c>
      <c r="N83" s="30">
        <f>IF(OR(Tools!$B82="",Tools!$Q82=""),"",IF(AND(((YEAR(DATE(YEAR(TODAY()),MONTH(TODAY())+11,1))-YEAR(Tools!$Q82))*12+MONTH(DATE(YEAR(TODAY()),MONTH(TODAY())+11,1))-MONTH(Tools!$Q82))&gt;=0,MOD(((YEAR(DATE(YEAR(TODAY()),MONTH(TODAY())+11,1))-YEAR(Tools!$Q82))*12+MONTH(DATE(YEAR(TODAY()),MONTH(TODAY())+11,1))-MONTH(Tools!$Q82)),Tools!$U82)=0,OR(Tools!$L82="",EDATE(Tools!$Q82,((YEAR(DATE(YEAR(TODAY()),MONTH(TODAY())+11,1))-YEAR(Tools!$Q82))*12+MONTH(DATE(YEAR(TODAY()),MONTH(TODAY())+11,1))-MONTH(Tools!$Q82)))&lt;Tools!$L82)),Tools!$N82,""))</f>
        <v/>
      </c>
      <c r="O83" s="31">
        <f>IF(B83="","",SUM(C83:N83))</f>
        <v/>
      </c>
      <c r="P83" s="1" t="n"/>
    </row>
    <row r="84">
      <c r="A84" s="1" t="n"/>
      <c r="B84" s="11">
        <f>IF(Tools!B83="","",Tools!B83)</f>
        <v/>
      </c>
      <c r="C84" s="30">
        <f>IF(OR(Tools!$B83="",Tools!$Q83=""),"",IF(AND(((YEAR(DATE(YEAR(TODAY()),MONTH(TODAY())+0,1))-YEAR(Tools!$Q83))*12+MONTH(DATE(YEAR(TODAY()),MONTH(TODAY())+0,1))-MONTH(Tools!$Q83))&gt;=0,MOD(((YEAR(DATE(YEAR(TODAY()),MONTH(TODAY())+0,1))-YEAR(Tools!$Q83))*12+MONTH(DATE(YEAR(TODAY()),MONTH(TODAY())+0,1))-MONTH(Tools!$Q83)),Tools!$U83)=0,OR(Tools!$L83="",EDATE(Tools!$Q83,((YEAR(DATE(YEAR(TODAY()),MONTH(TODAY())+0,1))-YEAR(Tools!$Q83))*12+MONTH(DATE(YEAR(TODAY()),MONTH(TODAY())+0,1))-MONTH(Tools!$Q83)))&lt;Tools!$L83)),Tools!$N83,""))</f>
        <v/>
      </c>
      <c r="D84" s="30">
        <f>IF(OR(Tools!$B83="",Tools!$Q83=""),"",IF(AND(((YEAR(DATE(YEAR(TODAY()),MONTH(TODAY())+1,1))-YEAR(Tools!$Q83))*12+MONTH(DATE(YEAR(TODAY()),MONTH(TODAY())+1,1))-MONTH(Tools!$Q83))&gt;=0,MOD(((YEAR(DATE(YEAR(TODAY()),MONTH(TODAY())+1,1))-YEAR(Tools!$Q83))*12+MONTH(DATE(YEAR(TODAY()),MONTH(TODAY())+1,1))-MONTH(Tools!$Q83)),Tools!$U83)=0,OR(Tools!$L83="",EDATE(Tools!$Q83,((YEAR(DATE(YEAR(TODAY()),MONTH(TODAY())+1,1))-YEAR(Tools!$Q83))*12+MONTH(DATE(YEAR(TODAY()),MONTH(TODAY())+1,1))-MONTH(Tools!$Q83)))&lt;Tools!$L83)),Tools!$N83,""))</f>
        <v/>
      </c>
      <c r="E84" s="30">
        <f>IF(OR(Tools!$B83="",Tools!$Q83=""),"",IF(AND(((YEAR(DATE(YEAR(TODAY()),MONTH(TODAY())+2,1))-YEAR(Tools!$Q83))*12+MONTH(DATE(YEAR(TODAY()),MONTH(TODAY())+2,1))-MONTH(Tools!$Q83))&gt;=0,MOD(((YEAR(DATE(YEAR(TODAY()),MONTH(TODAY())+2,1))-YEAR(Tools!$Q83))*12+MONTH(DATE(YEAR(TODAY()),MONTH(TODAY())+2,1))-MONTH(Tools!$Q83)),Tools!$U83)=0,OR(Tools!$L83="",EDATE(Tools!$Q83,((YEAR(DATE(YEAR(TODAY()),MONTH(TODAY())+2,1))-YEAR(Tools!$Q83))*12+MONTH(DATE(YEAR(TODAY()),MONTH(TODAY())+2,1))-MONTH(Tools!$Q83)))&lt;Tools!$L83)),Tools!$N83,""))</f>
        <v/>
      </c>
      <c r="F84" s="30">
        <f>IF(OR(Tools!$B83="",Tools!$Q83=""),"",IF(AND(((YEAR(DATE(YEAR(TODAY()),MONTH(TODAY())+3,1))-YEAR(Tools!$Q83))*12+MONTH(DATE(YEAR(TODAY()),MONTH(TODAY())+3,1))-MONTH(Tools!$Q83))&gt;=0,MOD(((YEAR(DATE(YEAR(TODAY()),MONTH(TODAY())+3,1))-YEAR(Tools!$Q83))*12+MONTH(DATE(YEAR(TODAY()),MONTH(TODAY())+3,1))-MONTH(Tools!$Q83)),Tools!$U83)=0,OR(Tools!$L83="",EDATE(Tools!$Q83,((YEAR(DATE(YEAR(TODAY()),MONTH(TODAY())+3,1))-YEAR(Tools!$Q83))*12+MONTH(DATE(YEAR(TODAY()),MONTH(TODAY())+3,1))-MONTH(Tools!$Q83)))&lt;Tools!$L83)),Tools!$N83,""))</f>
        <v/>
      </c>
      <c r="G84" s="30">
        <f>IF(OR(Tools!$B83="",Tools!$Q83=""),"",IF(AND(((YEAR(DATE(YEAR(TODAY()),MONTH(TODAY())+4,1))-YEAR(Tools!$Q83))*12+MONTH(DATE(YEAR(TODAY()),MONTH(TODAY())+4,1))-MONTH(Tools!$Q83))&gt;=0,MOD(((YEAR(DATE(YEAR(TODAY()),MONTH(TODAY())+4,1))-YEAR(Tools!$Q83))*12+MONTH(DATE(YEAR(TODAY()),MONTH(TODAY())+4,1))-MONTH(Tools!$Q83)),Tools!$U83)=0,OR(Tools!$L83="",EDATE(Tools!$Q83,((YEAR(DATE(YEAR(TODAY()),MONTH(TODAY())+4,1))-YEAR(Tools!$Q83))*12+MONTH(DATE(YEAR(TODAY()),MONTH(TODAY())+4,1))-MONTH(Tools!$Q83)))&lt;Tools!$L83)),Tools!$N83,""))</f>
        <v/>
      </c>
      <c r="H84" s="30">
        <f>IF(OR(Tools!$B83="",Tools!$Q83=""),"",IF(AND(((YEAR(DATE(YEAR(TODAY()),MONTH(TODAY())+5,1))-YEAR(Tools!$Q83))*12+MONTH(DATE(YEAR(TODAY()),MONTH(TODAY())+5,1))-MONTH(Tools!$Q83))&gt;=0,MOD(((YEAR(DATE(YEAR(TODAY()),MONTH(TODAY())+5,1))-YEAR(Tools!$Q83))*12+MONTH(DATE(YEAR(TODAY()),MONTH(TODAY())+5,1))-MONTH(Tools!$Q83)),Tools!$U83)=0,OR(Tools!$L83="",EDATE(Tools!$Q83,((YEAR(DATE(YEAR(TODAY()),MONTH(TODAY())+5,1))-YEAR(Tools!$Q83))*12+MONTH(DATE(YEAR(TODAY()),MONTH(TODAY())+5,1))-MONTH(Tools!$Q83)))&lt;Tools!$L83)),Tools!$N83,""))</f>
        <v/>
      </c>
      <c r="I84" s="30">
        <f>IF(OR(Tools!$B83="",Tools!$Q83=""),"",IF(AND(((YEAR(DATE(YEAR(TODAY()),MONTH(TODAY())+6,1))-YEAR(Tools!$Q83))*12+MONTH(DATE(YEAR(TODAY()),MONTH(TODAY())+6,1))-MONTH(Tools!$Q83))&gt;=0,MOD(((YEAR(DATE(YEAR(TODAY()),MONTH(TODAY())+6,1))-YEAR(Tools!$Q83))*12+MONTH(DATE(YEAR(TODAY()),MONTH(TODAY())+6,1))-MONTH(Tools!$Q83)),Tools!$U83)=0,OR(Tools!$L83="",EDATE(Tools!$Q83,((YEAR(DATE(YEAR(TODAY()),MONTH(TODAY())+6,1))-YEAR(Tools!$Q83))*12+MONTH(DATE(YEAR(TODAY()),MONTH(TODAY())+6,1))-MONTH(Tools!$Q83)))&lt;Tools!$L83)),Tools!$N83,""))</f>
        <v/>
      </c>
      <c r="J84" s="30">
        <f>IF(OR(Tools!$B83="",Tools!$Q83=""),"",IF(AND(((YEAR(DATE(YEAR(TODAY()),MONTH(TODAY())+7,1))-YEAR(Tools!$Q83))*12+MONTH(DATE(YEAR(TODAY()),MONTH(TODAY())+7,1))-MONTH(Tools!$Q83))&gt;=0,MOD(((YEAR(DATE(YEAR(TODAY()),MONTH(TODAY())+7,1))-YEAR(Tools!$Q83))*12+MONTH(DATE(YEAR(TODAY()),MONTH(TODAY())+7,1))-MONTH(Tools!$Q83)),Tools!$U83)=0,OR(Tools!$L83="",EDATE(Tools!$Q83,((YEAR(DATE(YEAR(TODAY()),MONTH(TODAY())+7,1))-YEAR(Tools!$Q83))*12+MONTH(DATE(YEAR(TODAY()),MONTH(TODAY())+7,1))-MONTH(Tools!$Q83)))&lt;Tools!$L83)),Tools!$N83,""))</f>
        <v/>
      </c>
      <c r="K84" s="30">
        <f>IF(OR(Tools!$B83="",Tools!$Q83=""),"",IF(AND(((YEAR(DATE(YEAR(TODAY()),MONTH(TODAY())+8,1))-YEAR(Tools!$Q83))*12+MONTH(DATE(YEAR(TODAY()),MONTH(TODAY())+8,1))-MONTH(Tools!$Q83))&gt;=0,MOD(((YEAR(DATE(YEAR(TODAY()),MONTH(TODAY())+8,1))-YEAR(Tools!$Q83))*12+MONTH(DATE(YEAR(TODAY()),MONTH(TODAY())+8,1))-MONTH(Tools!$Q83)),Tools!$U83)=0,OR(Tools!$L83="",EDATE(Tools!$Q83,((YEAR(DATE(YEAR(TODAY()),MONTH(TODAY())+8,1))-YEAR(Tools!$Q83))*12+MONTH(DATE(YEAR(TODAY()),MONTH(TODAY())+8,1))-MONTH(Tools!$Q83)))&lt;Tools!$L83)),Tools!$N83,""))</f>
        <v/>
      </c>
      <c r="L84" s="30">
        <f>IF(OR(Tools!$B83="",Tools!$Q83=""),"",IF(AND(((YEAR(DATE(YEAR(TODAY()),MONTH(TODAY())+9,1))-YEAR(Tools!$Q83))*12+MONTH(DATE(YEAR(TODAY()),MONTH(TODAY())+9,1))-MONTH(Tools!$Q83))&gt;=0,MOD(((YEAR(DATE(YEAR(TODAY()),MONTH(TODAY())+9,1))-YEAR(Tools!$Q83))*12+MONTH(DATE(YEAR(TODAY()),MONTH(TODAY())+9,1))-MONTH(Tools!$Q83)),Tools!$U83)=0,OR(Tools!$L83="",EDATE(Tools!$Q83,((YEAR(DATE(YEAR(TODAY()),MONTH(TODAY())+9,1))-YEAR(Tools!$Q83))*12+MONTH(DATE(YEAR(TODAY()),MONTH(TODAY())+9,1))-MONTH(Tools!$Q83)))&lt;Tools!$L83)),Tools!$N83,""))</f>
        <v/>
      </c>
      <c r="M84" s="30">
        <f>IF(OR(Tools!$B83="",Tools!$Q83=""),"",IF(AND(((YEAR(DATE(YEAR(TODAY()),MONTH(TODAY())+10,1))-YEAR(Tools!$Q83))*12+MONTH(DATE(YEAR(TODAY()),MONTH(TODAY())+10,1))-MONTH(Tools!$Q83))&gt;=0,MOD(((YEAR(DATE(YEAR(TODAY()),MONTH(TODAY())+10,1))-YEAR(Tools!$Q83))*12+MONTH(DATE(YEAR(TODAY()),MONTH(TODAY())+10,1))-MONTH(Tools!$Q83)),Tools!$U83)=0,OR(Tools!$L83="",EDATE(Tools!$Q83,((YEAR(DATE(YEAR(TODAY()),MONTH(TODAY())+10,1))-YEAR(Tools!$Q83))*12+MONTH(DATE(YEAR(TODAY()),MONTH(TODAY())+10,1))-MONTH(Tools!$Q83)))&lt;Tools!$L83)),Tools!$N83,""))</f>
        <v/>
      </c>
      <c r="N84" s="30">
        <f>IF(OR(Tools!$B83="",Tools!$Q83=""),"",IF(AND(((YEAR(DATE(YEAR(TODAY()),MONTH(TODAY())+11,1))-YEAR(Tools!$Q83))*12+MONTH(DATE(YEAR(TODAY()),MONTH(TODAY())+11,1))-MONTH(Tools!$Q83))&gt;=0,MOD(((YEAR(DATE(YEAR(TODAY()),MONTH(TODAY())+11,1))-YEAR(Tools!$Q83))*12+MONTH(DATE(YEAR(TODAY()),MONTH(TODAY())+11,1))-MONTH(Tools!$Q83)),Tools!$U83)=0,OR(Tools!$L83="",EDATE(Tools!$Q83,((YEAR(DATE(YEAR(TODAY()),MONTH(TODAY())+11,1))-YEAR(Tools!$Q83))*12+MONTH(DATE(YEAR(TODAY()),MONTH(TODAY())+11,1))-MONTH(Tools!$Q83)))&lt;Tools!$L83)),Tools!$N83,""))</f>
        <v/>
      </c>
      <c r="O84" s="31">
        <f>IF(B84="","",SUM(C84:N84))</f>
        <v/>
      </c>
      <c r="P84" s="1" t="n"/>
    </row>
    <row r="85">
      <c r="A85" s="1" t="n"/>
      <c r="B85" s="11">
        <f>IF(Tools!B84="","",Tools!B84)</f>
        <v/>
      </c>
      <c r="C85" s="30">
        <f>IF(OR(Tools!$B84="",Tools!$Q84=""),"",IF(AND(((YEAR(DATE(YEAR(TODAY()),MONTH(TODAY())+0,1))-YEAR(Tools!$Q84))*12+MONTH(DATE(YEAR(TODAY()),MONTH(TODAY())+0,1))-MONTH(Tools!$Q84))&gt;=0,MOD(((YEAR(DATE(YEAR(TODAY()),MONTH(TODAY())+0,1))-YEAR(Tools!$Q84))*12+MONTH(DATE(YEAR(TODAY()),MONTH(TODAY())+0,1))-MONTH(Tools!$Q84)),Tools!$U84)=0,OR(Tools!$L84="",EDATE(Tools!$Q84,((YEAR(DATE(YEAR(TODAY()),MONTH(TODAY())+0,1))-YEAR(Tools!$Q84))*12+MONTH(DATE(YEAR(TODAY()),MONTH(TODAY())+0,1))-MONTH(Tools!$Q84)))&lt;Tools!$L84)),Tools!$N84,""))</f>
        <v/>
      </c>
      <c r="D85" s="30">
        <f>IF(OR(Tools!$B84="",Tools!$Q84=""),"",IF(AND(((YEAR(DATE(YEAR(TODAY()),MONTH(TODAY())+1,1))-YEAR(Tools!$Q84))*12+MONTH(DATE(YEAR(TODAY()),MONTH(TODAY())+1,1))-MONTH(Tools!$Q84))&gt;=0,MOD(((YEAR(DATE(YEAR(TODAY()),MONTH(TODAY())+1,1))-YEAR(Tools!$Q84))*12+MONTH(DATE(YEAR(TODAY()),MONTH(TODAY())+1,1))-MONTH(Tools!$Q84)),Tools!$U84)=0,OR(Tools!$L84="",EDATE(Tools!$Q84,((YEAR(DATE(YEAR(TODAY()),MONTH(TODAY())+1,1))-YEAR(Tools!$Q84))*12+MONTH(DATE(YEAR(TODAY()),MONTH(TODAY())+1,1))-MONTH(Tools!$Q84)))&lt;Tools!$L84)),Tools!$N84,""))</f>
        <v/>
      </c>
      <c r="E85" s="30">
        <f>IF(OR(Tools!$B84="",Tools!$Q84=""),"",IF(AND(((YEAR(DATE(YEAR(TODAY()),MONTH(TODAY())+2,1))-YEAR(Tools!$Q84))*12+MONTH(DATE(YEAR(TODAY()),MONTH(TODAY())+2,1))-MONTH(Tools!$Q84))&gt;=0,MOD(((YEAR(DATE(YEAR(TODAY()),MONTH(TODAY())+2,1))-YEAR(Tools!$Q84))*12+MONTH(DATE(YEAR(TODAY()),MONTH(TODAY())+2,1))-MONTH(Tools!$Q84)),Tools!$U84)=0,OR(Tools!$L84="",EDATE(Tools!$Q84,((YEAR(DATE(YEAR(TODAY()),MONTH(TODAY())+2,1))-YEAR(Tools!$Q84))*12+MONTH(DATE(YEAR(TODAY()),MONTH(TODAY())+2,1))-MONTH(Tools!$Q84)))&lt;Tools!$L84)),Tools!$N84,""))</f>
        <v/>
      </c>
      <c r="F85" s="30">
        <f>IF(OR(Tools!$B84="",Tools!$Q84=""),"",IF(AND(((YEAR(DATE(YEAR(TODAY()),MONTH(TODAY())+3,1))-YEAR(Tools!$Q84))*12+MONTH(DATE(YEAR(TODAY()),MONTH(TODAY())+3,1))-MONTH(Tools!$Q84))&gt;=0,MOD(((YEAR(DATE(YEAR(TODAY()),MONTH(TODAY())+3,1))-YEAR(Tools!$Q84))*12+MONTH(DATE(YEAR(TODAY()),MONTH(TODAY())+3,1))-MONTH(Tools!$Q84)),Tools!$U84)=0,OR(Tools!$L84="",EDATE(Tools!$Q84,((YEAR(DATE(YEAR(TODAY()),MONTH(TODAY())+3,1))-YEAR(Tools!$Q84))*12+MONTH(DATE(YEAR(TODAY()),MONTH(TODAY())+3,1))-MONTH(Tools!$Q84)))&lt;Tools!$L84)),Tools!$N84,""))</f>
        <v/>
      </c>
      <c r="G85" s="30">
        <f>IF(OR(Tools!$B84="",Tools!$Q84=""),"",IF(AND(((YEAR(DATE(YEAR(TODAY()),MONTH(TODAY())+4,1))-YEAR(Tools!$Q84))*12+MONTH(DATE(YEAR(TODAY()),MONTH(TODAY())+4,1))-MONTH(Tools!$Q84))&gt;=0,MOD(((YEAR(DATE(YEAR(TODAY()),MONTH(TODAY())+4,1))-YEAR(Tools!$Q84))*12+MONTH(DATE(YEAR(TODAY()),MONTH(TODAY())+4,1))-MONTH(Tools!$Q84)),Tools!$U84)=0,OR(Tools!$L84="",EDATE(Tools!$Q84,((YEAR(DATE(YEAR(TODAY()),MONTH(TODAY())+4,1))-YEAR(Tools!$Q84))*12+MONTH(DATE(YEAR(TODAY()),MONTH(TODAY())+4,1))-MONTH(Tools!$Q84)))&lt;Tools!$L84)),Tools!$N84,""))</f>
        <v/>
      </c>
      <c r="H85" s="30">
        <f>IF(OR(Tools!$B84="",Tools!$Q84=""),"",IF(AND(((YEAR(DATE(YEAR(TODAY()),MONTH(TODAY())+5,1))-YEAR(Tools!$Q84))*12+MONTH(DATE(YEAR(TODAY()),MONTH(TODAY())+5,1))-MONTH(Tools!$Q84))&gt;=0,MOD(((YEAR(DATE(YEAR(TODAY()),MONTH(TODAY())+5,1))-YEAR(Tools!$Q84))*12+MONTH(DATE(YEAR(TODAY()),MONTH(TODAY())+5,1))-MONTH(Tools!$Q84)),Tools!$U84)=0,OR(Tools!$L84="",EDATE(Tools!$Q84,((YEAR(DATE(YEAR(TODAY()),MONTH(TODAY())+5,1))-YEAR(Tools!$Q84))*12+MONTH(DATE(YEAR(TODAY()),MONTH(TODAY())+5,1))-MONTH(Tools!$Q84)))&lt;Tools!$L84)),Tools!$N84,""))</f>
        <v/>
      </c>
      <c r="I85" s="30">
        <f>IF(OR(Tools!$B84="",Tools!$Q84=""),"",IF(AND(((YEAR(DATE(YEAR(TODAY()),MONTH(TODAY())+6,1))-YEAR(Tools!$Q84))*12+MONTH(DATE(YEAR(TODAY()),MONTH(TODAY())+6,1))-MONTH(Tools!$Q84))&gt;=0,MOD(((YEAR(DATE(YEAR(TODAY()),MONTH(TODAY())+6,1))-YEAR(Tools!$Q84))*12+MONTH(DATE(YEAR(TODAY()),MONTH(TODAY())+6,1))-MONTH(Tools!$Q84)),Tools!$U84)=0,OR(Tools!$L84="",EDATE(Tools!$Q84,((YEAR(DATE(YEAR(TODAY()),MONTH(TODAY())+6,1))-YEAR(Tools!$Q84))*12+MONTH(DATE(YEAR(TODAY()),MONTH(TODAY())+6,1))-MONTH(Tools!$Q84)))&lt;Tools!$L84)),Tools!$N84,""))</f>
        <v/>
      </c>
      <c r="J85" s="30">
        <f>IF(OR(Tools!$B84="",Tools!$Q84=""),"",IF(AND(((YEAR(DATE(YEAR(TODAY()),MONTH(TODAY())+7,1))-YEAR(Tools!$Q84))*12+MONTH(DATE(YEAR(TODAY()),MONTH(TODAY())+7,1))-MONTH(Tools!$Q84))&gt;=0,MOD(((YEAR(DATE(YEAR(TODAY()),MONTH(TODAY())+7,1))-YEAR(Tools!$Q84))*12+MONTH(DATE(YEAR(TODAY()),MONTH(TODAY())+7,1))-MONTH(Tools!$Q84)),Tools!$U84)=0,OR(Tools!$L84="",EDATE(Tools!$Q84,((YEAR(DATE(YEAR(TODAY()),MONTH(TODAY())+7,1))-YEAR(Tools!$Q84))*12+MONTH(DATE(YEAR(TODAY()),MONTH(TODAY())+7,1))-MONTH(Tools!$Q84)))&lt;Tools!$L84)),Tools!$N84,""))</f>
        <v/>
      </c>
      <c r="K85" s="30">
        <f>IF(OR(Tools!$B84="",Tools!$Q84=""),"",IF(AND(((YEAR(DATE(YEAR(TODAY()),MONTH(TODAY())+8,1))-YEAR(Tools!$Q84))*12+MONTH(DATE(YEAR(TODAY()),MONTH(TODAY())+8,1))-MONTH(Tools!$Q84))&gt;=0,MOD(((YEAR(DATE(YEAR(TODAY()),MONTH(TODAY())+8,1))-YEAR(Tools!$Q84))*12+MONTH(DATE(YEAR(TODAY()),MONTH(TODAY())+8,1))-MONTH(Tools!$Q84)),Tools!$U84)=0,OR(Tools!$L84="",EDATE(Tools!$Q84,((YEAR(DATE(YEAR(TODAY()),MONTH(TODAY())+8,1))-YEAR(Tools!$Q84))*12+MONTH(DATE(YEAR(TODAY()),MONTH(TODAY())+8,1))-MONTH(Tools!$Q84)))&lt;Tools!$L84)),Tools!$N84,""))</f>
        <v/>
      </c>
      <c r="L85" s="30">
        <f>IF(OR(Tools!$B84="",Tools!$Q84=""),"",IF(AND(((YEAR(DATE(YEAR(TODAY()),MONTH(TODAY())+9,1))-YEAR(Tools!$Q84))*12+MONTH(DATE(YEAR(TODAY()),MONTH(TODAY())+9,1))-MONTH(Tools!$Q84))&gt;=0,MOD(((YEAR(DATE(YEAR(TODAY()),MONTH(TODAY())+9,1))-YEAR(Tools!$Q84))*12+MONTH(DATE(YEAR(TODAY()),MONTH(TODAY())+9,1))-MONTH(Tools!$Q84)),Tools!$U84)=0,OR(Tools!$L84="",EDATE(Tools!$Q84,((YEAR(DATE(YEAR(TODAY()),MONTH(TODAY())+9,1))-YEAR(Tools!$Q84))*12+MONTH(DATE(YEAR(TODAY()),MONTH(TODAY())+9,1))-MONTH(Tools!$Q84)))&lt;Tools!$L84)),Tools!$N84,""))</f>
        <v/>
      </c>
      <c r="M85" s="30">
        <f>IF(OR(Tools!$B84="",Tools!$Q84=""),"",IF(AND(((YEAR(DATE(YEAR(TODAY()),MONTH(TODAY())+10,1))-YEAR(Tools!$Q84))*12+MONTH(DATE(YEAR(TODAY()),MONTH(TODAY())+10,1))-MONTH(Tools!$Q84))&gt;=0,MOD(((YEAR(DATE(YEAR(TODAY()),MONTH(TODAY())+10,1))-YEAR(Tools!$Q84))*12+MONTH(DATE(YEAR(TODAY()),MONTH(TODAY())+10,1))-MONTH(Tools!$Q84)),Tools!$U84)=0,OR(Tools!$L84="",EDATE(Tools!$Q84,((YEAR(DATE(YEAR(TODAY()),MONTH(TODAY())+10,1))-YEAR(Tools!$Q84))*12+MONTH(DATE(YEAR(TODAY()),MONTH(TODAY())+10,1))-MONTH(Tools!$Q84)))&lt;Tools!$L84)),Tools!$N84,""))</f>
        <v/>
      </c>
      <c r="N85" s="30">
        <f>IF(OR(Tools!$B84="",Tools!$Q84=""),"",IF(AND(((YEAR(DATE(YEAR(TODAY()),MONTH(TODAY())+11,1))-YEAR(Tools!$Q84))*12+MONTH(DATE(YEAR(TODAY()),MONTH(TODAY())+11,1))-MONTH(Tools!$Q84))&gt;=0,MOD(((YEAR(DATE(YEAR(TODAY()),MONTH(TODAY())+11,1))-YEAR(Tools!$Q84))*12+MONTH(DATE(YEAR(TODAY()),MONTH(TODAY())+11,1))-MONTH(Tools!$Q84)),Tools!$U84)=0,OR(Tools!$L84="",EDATE(Tools!$Q84,((YEAR(DATE(YEAR(TODAY()),MONTH(TODAY())+11,1))-YEAR(Tools!$Q84))*12+MONTH(DATE(YEAR(TODAY()),MONTH(TODAY())+11,1))-MONTH(Tools!$Q84)))&lt;Tools!$L84)),Tools!$N84,""))</f>
        <v/>
      </c>
      <c r="O85" s="31">
        <f>IF(B85="","",SUM(C85:N85))</f>
        <v/>
      </c>
      <c r="P85" s="1" t="n"/>
    </row>
    <row r="86">
      <c r="A86" s="1" t="n"/>
      <c r="B86" s="11">
        <f>IF(Tools!B85="","",Tools!B85)</f>
        <v/>
      </c>
      <c r="C86" s="30">
        <f>IF(OR(Tools!$B85="",Tools!$Q85=""),"",IF(AND(((YEAR(DATE(YEAR(TODAY()),MONTH(TODAY())+0,1))-YEAR(Tools!$Q85))*12+MONTH(DATE(YEAR(TODAY()),MONTH(TODAY())+0,1))-MONTH(Tools!$Q85))&gt;=0,MOD(((YEAR(DATE(YEAR(TODAY()),MONTH(TODAY())+0,1))-YEAR(Tools!$Q85))*12+MONTH(DATE(YEAR(TODAY()),MONTH(TODAY())+0,1))-MONTH(Tools!$Q85)),Tools!$U85)=0,OR(Tools!$L85="",EDATE(Tools!$Q85,((YEAR(DATE(YEAR(TODAY()),MONTH(TODAY())+0,1))-YEAR(Tools!$Q85))*12+MONTH(DATE(YEAR(TODAY()),MONTH(TODAY())+0,1))-MONTH(Tools!$Q85)))&lt;Tools!$L85)),Tools!$N85,""))</f>
        <v/>
      </c>
      <c r="D86" s="30">
        <f>IF(OR(Tools!$B85="",Tools!$Q85=""),"",IF(AND(((YEAR(DATE(YEAR(TODAY()),MONTH(TODAY())+1,1))-YEAR(Tools!$Q85))*12+MONTH(DATE(YEAR(TODAY()),MONTH(TODAY())+1,1))-MONTH(Tools!$Q85))&gt;=0,MOD(((YEAR(DATE(YEAR(TODAY()),MONTH(TODAY())+1,1))-YEAR(Tools!$Q85))*12+MONTH(DATE(YEAR(TODAY()),MONTH(TODAY())+1,1))-MONTH(Tools!$Q85)),Tools!$U85)=0,OR(Tools!$L85="",EDATE(Tools!$Q85,((YEAR(DATE(YEAR(TODAY()),MONTH(TODAY())+1,1))-YEAR(Tools!$Q85))*12+MONTH(DATE(YEAR(TODAY()),MONTH(TODAY())+1,1))-MONTH(Tools!$Q85)))&lt;Tools!$L85)),Tools!$N85,""))</f>
        <v/>
      </c>
      <c r="E86" s="30">
        <f>IF(OR(Tools!$B85="",Tools!$Q85=""),"",IF(AND(((YEAR(DATE(YEAR(TODAY()),MONTH(TODAY())+2,1))-YEAR(Tools!$Q85))*12+MONTH(DATE(YEAR(TODAY()),MONTH(TODAY())+2,1))-MONTH(Tools!$Q85))&gt;=0,MOD(((YEAR(DATE(YEAR(TODAY()),MONTH(TODAY())+2,1))-YEAR(Tools!$Q85))*12+MONTH(DATE(YEAR(TODAY()),MONTH(TODAY())+2,1))-MONTH(Tools!$Q85)),Tools!$U85)=0,OR(Tools!$L85="",EDATE(Tools!$Q85,((YEAR(DATE(YEAR(TODAY()),MONTH(TODAY())+2,1))-YEAR(Tools!$Q85))*12+MONTH(DATE(YEAR(TODAY()),MONTH(TODAY())+2,1))-MONTH(Tools!$Q85)))&lt;Tools!$L85)),Tools!$N85,""))</f>
        <v/>
      </c>
      <c r="F86" s="30">
        <f>IF(OR(Tools!$B85="",Tools!$Q85=""),"",IF(AND(((YEAR(DATE(YEAR(TODAY()),MONTH(TODAY())+3,1))-YEAR(Tools!$Q85))*12+MONTH(DATE(YEAR(TODAY()),MONTH(TODAY())+3,1))-MONTH(Tools!$Q85))&gt;=0,MOD(((YEAR(DATE(YEAR(TODAY()),MONTH(TODAY())+3,1))-YEAR(Tools!$Q85))*12+MONTH(DATE(YEAR(TODAY()),MONTH(TODAY())+3,1))-MONTH(Tools!$Q85)),Tools!$U85)=0,OR(Tools!$L85="",EDATE(Tools!$Q85,((YEAR(DATE(YEAR(TODAY()),MONTH(TODAY())+3,1))-YEAR(Tools!$Q85))*12+MONTH(DATE(YEAR(TODAY()),MONTH(TODAY())+3,1))-MONTH(Tools!$Q85)))&lt;Tools!$L85)),Tools!$N85,""))</f>
        <v/>
      </c>
      <c r="G86" s="30">
        <f>IF(OR(Tools!$B85="",Tools!$Q85=""),"",IF(AND(((YEAR(DATE(YEAR(TODAY()),MONTH(TODAY())+4,1))-YEAR(Tools!$Q85))*12+MONTH(DATE(YEAR(TODAY()),MONTH(TODAY())+4,1))-MONTH(Tools!$Q85))&gt;=0,MOD(((YEAR(DATE(YEAR(TODAY()),MONTH(TODAY())+4,1))-YEAR(Tools!$Q85))*12+MONTH(DATE(YEAR(TODAY()),MONTH(TODAY())+4,1))-MONTH(Tools!$Q85)),Tools!$U85)=0,OR(Tools!$L85="",EDATE(Tools!$Q85,((YEAR(DATE(YEAR(TODAY()),MONTH(TODAY())+4,1))-YEAR(Tools!$Q85))*12+MONTH(DATE(YEAR(TODAY()),MONTH(TODAY())+4,1))-MONTH(Tools!$Q85)))&lt;Tools!$L85)),Tools!$N85,""))</f>
        <v/>
      </c>
      <c r="H86" s="30">
        <f>IF(OR(Tools!$B85="",Tools!$Q85=""),"",IF(AND(((YEAR(DATE(YEAR(TODAY()),MONTH(TODAY())+5,1))-YEAR(Tools!$Q85))*12+MONTH(DATE(YEAR(TODAY()),MONTH(TODAY())+5,1))-MONTH(Tools!$Q85))&gt;=0,MOD(((YEAR(DATE(YEAR(TODAY()),MONTH(TODAY())+5,1))-YEAR(Tools!$Q85))*12+MONTH(DATE(YEAR(TODAY()),MONTH(TODAY())+5,1))-MONTH(Tools!$Q85)),Tools!$U85)=0,OR(Tools!$L85="",EDATE(Tools!$Q85,((YEAR(DATE(YEAR(TODAY()),MONTH(TODAY())+5,1))-YEAR(Tools!$Q85))*12+MONTH(DATE(YEAR(TODAY()),MONTH(TODAY())+5,1))-MONTH(Tools!$Q85)))&lt;Tools!$L85)),Tools!$N85,""))</f>
        <v/>
      </c>
      <c r="I86" s="30">
        <f>IF(OR(Tools!$B85="",Tools!$Q85=""),"",IF(AND(((YEAR(DATE(YEAR(TODAY()),MONTH(TODAY())+6,1))-YEAR(Tools!$Q85))*12+MONTH(DATE(YEAR(TODAY()),MONTH(TODAY())+6,1))-MONTH(Tools!$Q85))&gt;=0,MOD(((YEAR(DATE(YEAR(TODAY()),MONTH(TODAY())+6,1))-YEAR(Tools!$Q85))*12+MONTH(DATE(YEAR(TODAY()),MONTH(TODAY())+6,1))-MONTH(Tools!$Q85)),Tools!$U85)=0,OR(Tools!$L85="",EDATE(Tools!$Q85,((YEAR(DATE(YEAR(TODAY()),MONTH(TODAY())+6,1))-YEAR(Tools!$Q85))*12+MONTH(DATE(YEAR(TODAY()),MONTH(TODAY())+6,1))-MONTH(Tools!$Q85)))&lt;Tools!$L85)),Tools!$N85,""))</f>
        <v/>
      </c>
      <c r="J86" s="30">
        <f>IF(OR(Tools!$B85="",Tools!$Q85=""),"",IF(AND(((YEAR(DATE(YEAR(TODAY()),MONTH(TODAY())+7,1))-YEAR(Tools!$Q85))*12+MONTH(DATE(YEAR(TODAY()),MONTH(TODAY())+7,1))-MONTH(Tools!$Q85))&gt;=0,MOD(((YEAR(DATE(YEAR(TODAY()),MONTH(TODAY())+7,1))-YEAR(Tools!$Q85))*12+MONTH(DATE(YEAR(TODAY()),MONTH(TODAY())+7,1))-MONTH(Tools!$Q85)),Tools!$U85)=0,OR(Tools!$L85="",EDATE(Tools!$Q85,((YEAR(DATE(YEAR(TODAY()),MONTH(TODAY())+7,1))-YEAR(Tools!$Q85))*12+MONTH(DATE(YEAR(TODAY()),MONTH(TODAY())+7,1))-MONTH(Tools!$Q85)))&lt;Tools!$L85)),Tools!$N85,""))</f>
        <v/>
      </c>
      <c r="K86" s="30">
        <f>IF(OR(Tools!$B85="",Tools!$Q85=""),"",IF(AND(((YEAR(DATE(YEAR(TODAY()),MONTH(TODAY())+8,1))-YEAR(Tools!$Q85))*12+MONTH(DATE(YEAR(TODAY()),MONTH(TODAY())+8,1))-MONTH(Tools!$Q85))&gt;=0,MOD(((YEAR(DATE(YEAR(TODAY()),MONTH(TODAY())+8,1))-YEAR(Tools!$Q85))*12+MONTH(DATE(YEAR(TODAY()),MONTH(TODAY())+8,1))-MONTH(Tools!$Q85)),Tools!$U85)=0,OR(Tools!$L85="",EDATE(Tools!$Q85,((YEAR(DATE(YEAR(TODAY()),MONTH(TODAY())+8,1))-YEAR(Tools!$Q85))*12+MONTH(DATE(YEAR(TODAY()),MONTH(TODAY())+8,1))-MONTH(Tools!$Q85)))&lt;Tools!$L85)),Tools!$N85,""))</f>
        <v/>
      </c>
      <c r="L86" s="30">
        <f>IF(OR(Tools!$B85="",Tools!$Q85=""),"",IF(AND(((YEAR(DATE(YEAR(TODAY()),MONTH(TODAY())+9,1))-YEAR(Tools!$Q85))*12+MONTH(DATE(YEAR(TODAY()),MONTH(TODAY())+9,1))-MONTH(Tools!$Q85))&gt;=0,MOD(((YEAR(DATE(YEAR(TODAY()),MONTH(TODAY())+9,1))-YEAR(Tools!$Q85))*12+MONTH(DATE(YEAR(TODAY()),MONTH(TODAY())+9,1))-MONTH(Tools!$Q85)),Tools!$U85)=0,OR(Tools!$L85="",EDATE(Tools!$Q85,((YEAR(DATE(YEAR(TODAY()),MONTH(TODAY())+9,1))-YEAR(Tools!$Q85))*12+MONTH(DATE(YEAR(TODAY()),MONTH(TODAY())+9,1))-MONTH(Tools!$Q85)))&lt;Tools!$L85)),Tools!$N85,""))</f>
        <v/>
      </c>
      <c r="M86" s="30">
        <f>IF(OR(Tools!$B85="",Tools!$Q85=""),"",IF(AND(((YEAR(DATE(YEAR(TODAY()),MONTH(TODAY())+10,1))-YEAR(Tools!$Q85))*12+MONTH(DATE(YEAR(TODAY()),MONTH(TODAY())+10,1))-MONTH(Tools!$Q85))&gt;=0,MOD(((YEAR(DATE(YEAR(TODAY()),MONTH(TODAY())+10,1))-YEAR(Tools!$Q85))*12+MONTH(DATE(YEAR(TODAY()),MONTH(TODAY())+10,1))-MONTH(Tools!$Q85)),Tools!$U85)=0,OR(Tools!$L85="",EDATE(Tools!$Q85,((YEAR(DATE(YEAR(TODAY()),MONTH(TODAY())+10,1))-YEAR(Tools!$Q85))*12+MONTH(DATE(YEAR(TODAY()),MONTH(TODAY())+10,1))-MONTH(Tools!$Q85)))&lt;Tools!$L85)),Tools!$N85,""))</f>
        <v/>
      </c>
      <c r="N86" s="30">
        <f>IF(OR(Tools!$B85="",Tools!$Q85=""),"",IF(AND(((YEAR(DATE(YEAR(TODAY()),MONTH(TODAY())+11,1))-YEAR(Tools!$Q85))*12+MONTH(DATE(YEAR(TODAY()),MONTH(TODAY())+11,1))-MONTH(Tools!$Q85))&gt;=0,MOD(((YEAR(DATE(YEAR(TODAY()),MONTH(TODAY())+11,1))-YEAR(Tools!$Q85))*12+MONTH(DATE(YEAR(TODAY()),MONTH(TODAY())+11,1))-MONTH(Tools!$Q85)),Tools!$U85)=0,OR(Tools!$L85="",EDATE(Tools!$Q85,((YEAR(DATE(YEAR(TODAY()),MONTH(TODAY())+11,1))-YEAR(Tools!$Q85))*12+MONTH(DATE(YEAR(TODAY()),MONTH(TODAY())+11,1))-MONTH(Tools!$Q85)))&lt;Tools!$L85)),Tools!$N85,""))</f>
        <v/>
      </c>
      <c r="O86" s="31">
        <f>IF(B86="","",SUM(C86:N86))</f>
        <v/>
      </c>
      <c r="P86" s="1" t="n"/>
    </row>
    <row r="87">
      <c r="A87" s="1" t="n"/>
      <c r="B87" s="11">
        <f>IF(Tools!B86="","",Tools!B86)</f>
        <v/>
      </c>
      <c r="C87" s="30">
        <f>IF(OR(Tools!$B86="",Tools!$Q86=""),"",IF(AND(((YEAR(DATE(YEAR(TODAY()),MONTH(TODAY())+0,1))-YEAR(Tools!$Q86))*12+MONTH(DATE(YEAR(TODAY()),MONTH(TODAY())+0,1))-MONTH(Tools!$Q86))&gt;=0,MOD(((YEAR(DATE(YEAR(TODAY()),MONTH(TODAY())+0,1))-YEAR(Tools!$Q86))*12+MONTH(DATE(YEAR(TODAY()),MONTH(TODAY())+0,1))-MONTH(Tools!$Q86)),Tools!$U86)=0,OR(Tools!$L86="",EDATE(Tools!$Q86,((YEAR(DATE(YEAR(TODAY()),MONTH(TODAY())+0,1))-YEAR(Tools!$Q86))*12+MONTH(DATE(YEAR(TODAY()),MONTH(TODAY())+0,1))-MONTH(Tools!$Q86)))&lt;Tools!$L86)),Tools!$N86,""))</f>
        <v/>
      </c>
      <c r="D87" s="30">
        <f>IF(OR(Tools!$B86="",Tools!$Q86=""),"",IF(AND(((YEAR(DATE(YEAR(TODAY()),MONTH(TODAY())+1,1))-YEAR(Tools!$Q86))*12+MONTH(DATE(YEAR(TODAY()),MONTH(TODAY())+1,1))-MONTH(Tools!$Q86))&gt;=0,MOD(((YEAR(DATE(YEAR(TODAY()),MONTH(TODAY())+1,1))-YEAR(Tools!$Q86))*12+MONTH(DATE(YEAR(TODAY()),MONTH(TODAY())+1,1))-MONTH(Tools!$Q86)),Tools!$U86)=0,OR(Tools!$L86="",EDATE(Tools!$Q86,((YEAR(DATE(YEAR(TODAY()),MONTH(TODAY())+1,1))-YEAR(Tools!$Q86))*12+MONTH(DATE(YEAR(TODAY()),MONTH(TODAY())+1,1))-MONTH(Tools!$Q86)))&lt;Tools!$L86)),Tools!$N86,""))</f>
        <v/>
      </c>
      <c r="E87" s="30">
        <f>IF(OR(Tools!$B86="",Tools!$Q86=""),"",IF(AND(((YEAR(DATE(YEAR(TODAY()),MONTH(TODAY())+2,1))-YEAR(Tools!$Q86))*12+MONTH(DATE(YEAR(TODAY()),MONTH(TODAY())+2,1))-MONTH(Tools!$Q86))&gt;=0,MOD(((YEAR(DATE(YEAR(TODAY()),MONTH(TODAY())+2,1))-YEAR(Tools!$Q86))*12+MONTH(DATE(YEAR(TODAY()),MONTH(TODAY())+2,1))-MONTH(Tools!$Q86)),Tools!$U86)=0,OR(Tools!$L86="",EDATE(Tools!$Q86,((YEAR(DATE(YEAR(TODAY()),MONTH(TODAY())+2,1))-YEAR(Tools!$Q86))*12+MONTH(DATE(YEAR(TODAY()),MONTH(TODAY())+2,1))-MONTH(Tools!$Q86)))&lt;Tools!$L86)),Tools!$N86,""))</f>
        <v/>
      </c>
      <c r="F87" s="30">
        <f>IF(OR(Tools!$B86="",Tools!$Q86=""),"",IF(AND(((YEAR(DATE(YEAR(TODAY()),MONTH(TODAY())+3,1))-YEAR(Tools!$Q86))*12+MONTH(DATE(YEAR(TODAY()),MONTH(TODAY())+3,1))-MONTH(Tools!$Q86))&gt;=0,MOD(((YEAR(DATE(YEAR(TODAY()),MONTH(TODAY())+3,1))-YEAR(Tools!$Q86))*12+MONTH(DATE(YEAR(TODAY()),MONTH(TODAY())+3,1))-MONTH(Tools!$Q86)),Tools!$U86)=0,OR(Tools!$L86="",EDATE(Tools!$Q86,((YEAR(DATE(YEAR(TODAY()),MONTH(TODAY())+3,1))-YEAR(Tools!$Q86))*12+MONTH(DATE(YEAR(TODAY()),MONTH(TODAY())+3,1))-MONTH(Tools!$Q86)))&lt;Tools!$L86)),Tools!$N86,""))</f>
        <v/>
      </c>
      <c r="G87" s="30">
        <f>IF(OR(Tools!$B86="",Tools!$Q86=""),"",IF(AND(((YEAR(DATE(YEAR(TODAY()),MONTH(TODAY())+4,1))-YEAR(Tools!$Q86))*12+MONTH(DATE(YEAR(TODAY()),MONTH(TODAY())+4,1))-MONTH(Tools!$Q86))&gt;=0,MOD(((YEAR(DATE(YEAR(TODAY()),MONTH(TODAY())+4,1))-YEAR(Tools!$Q86))*12+MONTH(DATE(YEAR(TODAY()),MONTH(TODAY())+4,1))-MONTH(Tools!$Q86)),Tools!$U86)=0,OR(Tools!$L86="",EDATE(Tools!$Q86,((YEAR(DATE(YEAR(TODAY()),MONTH(TODAY())+4,1))-YEAR(Tools!$Q86))*12+MONTH(DATE(YEAR(TODAY()),MONTH(TODAY())+4,1))-MONTH(Tools!$Q86)))&lt;Tools!$L86)),Tools!$N86,""))</f>
        <v/>
      </c>
      <c r="H87" s="30">
        <f>IF(OR(Tools!$B86="",Tools!$Q86=""),"",IF(AND(((YEAR(DATE(YEAR(TODAY()),MONTH(TODAY())+5,1))-YEAR(Tools!$Q86))*12+MONTH(DATE(YEAR(TODAY()),MONTH(TODAY())+5,1))-MONTH(Tools!$Q86))&gt;=0,MOD(((YEAR(DATE(YEAR(TODAY()),MONTH(TODAY())+5,1))-YEAR(Tools!$Q86))*12+MONTH(DATE(YEAR(TODAY()),MONTH(TODAY())+5,1))-MONTH(Tools!$Q86)),Tools!$U86)=0,OR(Tools!$L86="",EDATE(Tools!$Q86,((YEAR(DATE(YEAR(TODAY()),MONTH(TODAY())+5,1))-YEAR(Tools!$Q86))*12+MONTH(DATE(YEAR(TODAY()),MONTH(TODAY())+5,1))-MONTH(Tools!$Q86)))&lt;Tools!$L86)),Tools!$N86,""))</f>
        <v/>
      </c>
      <c r="I87" s="30">
        <f>IF(OR(Tools!$B86="",Tools!$Q86=""),"",IF(AND(((YEAR(DATE(YEAR(TODAY()),MONTH(TODAY())+6,1))-YEAR(Tools!$Q86))*12+MONTH(DATE(YEAR(TODAY()),MONTH(TODAY())+6,1))-MONTH(Tools!$Q86))&gt;=0,MOD(((YEAR(DATE(YEAR(TODAY()),MONTH(TODAY())+6,1))-YEAR(Tools!$Q86))*12+MONTH(DATE(YEAR(TODAY()),MONTH(TODAY())+6,1))-MONTH(Tools!$Q86)),Tools!$U86)=0,OR(Tools!$L86="",EDATE(Tools!$Q86,((YEAR(DATE(YEAR(TODAY()),MONTH(TODAY())+6,1))-YEAR(Tools!$Q86))*12+MONTH(DATE(YEAR(TODAY()),MONTH(TODAY())+6,1))-MONTH(Tools!$Q86)))&lt;Tools!$L86)),Tools!$N86,""))</f>
        <v/>
      </c>
      <c r="J87" s="30">
        <f>IF(OR(Tools!$B86="",Tools!$Q86=""),"",IF(AND(((YEAR(DATE(YEAR(TODAY()),MONTH(TODAY())+7,1))-YEAR(Tools!$Q86))*12+MONTH(DATE(YEAR(TODAY()),MONTH(TODAY())+7,1))-MONTH(Tools!$Q86))&gt;=0,MOD(((YEAR(DATE(YEAR(TODAY()),MONTH(TODAY())+7,1))-YEAR(Tools!$Q86))*12+MONTH(DATE(YEAR(TODAY()),MONTH(TODAY())+7,1))-MONTH(Tools!$Q86)),Tools!$U86)=0,OR(Tools!$L86="",EDATE(Tools!$Q86,((YEAR(DATE(YEAR(TODAY()),MONTH(TODAY())+7,1))-YEAR(Tools!$Q86))*12+MONTH(DATE(YEAR(TODAY()),MONTH(TODAY())+7,1))-MONTH(Tools!$Q86)))&lt;Tools!$L86)),Tools!$N86,""))</f>
        <v/>
      </c>
      <c r="K87" s="30">
        <f>IF(OR(Tools!$B86="",Tools!$Q86=""),"",IF(AND(((YEAR(DATE(YEAR(TODAY()),MONTH(TODAY())+8,1))-YEAR(Tools!$Q86))*12+MONTH(DATE(YEAR(TODAY()),MONTH(TODAY())+8,1))-MONTH(Tools!$Q86))&gt;=0,MOD(((YEAR(DATE(YEAR(TODAY()),MONTH(TODAY())+8,1))-YEAR(Tools!$Q86))*12+MONTH(DATE(YEAR(TODAY()),MONTH(TODAY())+8,1))-MONTH(Tools!$Q86)),Tools!$U86)=0,OR(Tools!$L86="",EDATE(Tools!$Q86,((YEAR(DATE(YEAR(TODAY()),MONTH(TODAY())+8,1))-YEAR(Tools!$Q86))*12+MONTH(DATE(YEAR(TODAY()),MONTH(TODAY())+8,1))-MONTH(Tools!$Q86)))&lt;Tools!$L86)),Tools!$N86,""))</f>
        <v/>
      </c>
      <c r="L87" s="30">
        <f>IF(OR(Tools!$B86="",Tools!$Q86=""),"",IF(AND(((YEAR(DATE(YEAR(TODAY()),MONTH(TODAY())+9,1))-YEAR(Tools!$Q86))*12+MONTH(DATE(YEAR(TODAY()),MONTH(TODAY())+9,1))-MONTH(Tools!$Q86))&gt;=0,MOD(((YEAR(DATE(YEAR(TODAY()),MONTH(TODAY())+9,1))-YEAR(Tools!$Q86))*12+MONTH(DATE(YEAR(TODAY()),MONTH(TODAY())+9,1))-MONTH(Tools!$Q86)),Tools!$U86)=0,OR(Tools!$L86="",EDATE(Tools!$Q86,((YEAR(DATE(YEAR(TODAY()),MONTH(TODAY())+9,1))-YEAR(Tools!$Q86))*12+MONTH(DATE(YEAR(TODAY()),MONTH(TODAY())+9,1))-MONTH(Tools!$Q86)))&lt;Tools!$L86)),Tools!$N86,""))</f>
        <v/>
      </c>
      <c r="M87" s="30">
        <f>IF(OR(Tools!$B86="",Tools!$Q86=""),"",IF(AND(((YEAR(DATE(YEAR(TODAY()),MONTH(TODAY())+10,1))-YEAR(Tools!$Q86))*12+MONTH(DATE(YEAR(TODAY()),MONTH(TODAY())+10,1))-MONTH(Tools!$Q86))&gt;=0,MOD(((YEAR(DATE(YEAR(TODAY()),MONTH(TODAY())+10,1))-YEAR(Tools!$Q86))*12+MONTH(DATE(YEAR(TODAY()),MONTH(TODAY())+10,1))-MONTH(Tools!$Q86)),Tools!$U86)=0,OR(Tools!$L86="",EDATE(Tools!$Q86,((YEAR(DATE(YEAR(TODAY()),MONTH(TODAY())+10,1))-YEAR(Tools!$Q86))*12+MONTH(DATE(YEAR(TODAY()),MONTH(TODAY())+10,1))-MONTH(Tools!$Q86)))&lt;Tools!$L86)),Tools!$N86,""))</f>
        <v/>
      </c>
      <c r="N87" s="30">
        <f>IF(OR(Tools!$B86="",Tools!$Q86=""),"",IF(AND(((YEAR(DATE(YEAR(TODAY()),MONTH(TODAY())+11,1))-YEAR(Tools!$Q86))*12+MONTH(DATE(YEAR(TODAY()),MONTH(TODAY())+11,1))-MONTH(Tools!$Q86))&gt;=0,MOD(((YEAR(DATE(YEAR(TODAY()),MONTH(TODAY())+11,1))-YEAR(Tools!$Q86))*12+MONTH(DATE(YEAR(TODAY()),MONTH(TODAY())+11,1))-MONTH(Tools!$Q86)),Tools!$U86)=0,OR(Tools!$L86="",EDATE(Tools!$Q86,((YEAR(DATE(YEAR(TODAY()),MONTH(TODAY())+11,1))-YEAR(Tools!$Q86))*12+MONTH(DATE(YEAR(TODAY()),MONTH(TODAY())+11,1))-MONTH(Tools!$Q86)))&lt;Tools!$L86)),Tools!$N86,""))</f>
        <v/>
      </c>
      <c r="O87" s="31">
        <f>IF(B87="","",SUM(C87:N87))</f>
        <v/>
      </c>
      <c r="P87" s="1" t="n"/>
    </row>
    <row r="88">
      <c r="A88" s="1" t="n"/>
      <c r="B88" s="11">
        <f>IF(Tools!B87="","",Tools!B87)</f>
        <v/>
      </c>
      <c r="C88" s="30">
        <f>IF(OR(Tools!$B87="",Tools!$Q87=""),"",IF(AND(((YEAR(DATE(YEAR(TODAY()),MONTH(TODAY())+0,1))-YEAR(Tools!$Q87))*12+MONTH(DATE(YEAR(TODAY()),MONTH(TODAY())+0,1))-MONTH(Tools!$Q87))&gt;=0,MOD(((YEAR(DATE(YEAR(TODAY()),MONTH(TODAY())+0,1))-YEAR(Tools!$Q87))*12+MONTH(DATE(YEAR(TODAY()),MONTH(TODAY())+0,1))-MONTH(Tools!$Q87)),Tools!$U87)=0,OR(Tools!$L87="",EDATE(Tools!$Q87,((YEAR(DATE(YEAR(TODAY()),MONTH(TODAY())+0,1))-YEAR(Tools!$Q87))*12+MONTH(DATE(YEAR(TODAY()),MONTH(TODAY())+0,1))-MONTH(Tools!$Q87)))&lt;Tools!$L87)),Tools!$N87,""))</f>
        <v/>
      </c>
      <c r="D88" s="30">
        <f>IF(OR(Tools!$B87="",Tools!$Q87=""),"",IF(AND(((YEAR(DATE(YEAR(TODAY()),MONTH(TODAY())+1,1))-YEAR(Tools!$Q87))*12+MONTH(DATE(YEAR(TODAY()),MONTH(TODAY())+1,1))-MONTH(Tools!$Q87))&gt;=0,MOD(((YEAR(DATE(YEAR(TODAY()),MONTH(TODAY())+1,1))-YEAR(Tools!$Q87))*12+MONTH(DATE(YEAR(TODAY()),MONTH(TODAY())+1,1))-MONTH(Tools!$Q87)),Tools!$U87)=0,OR(Tools!$L87="",EDATE(Tools!$Q87,((YEAR(DATE(YEAR(TODAY()),MONTH(TODAY())+1,1))-YEAR(Tools!$Q87))*12+MONTH(DATE(YEAR(TODAY()),MONTH(TODAY())+1,1))-MONTH(Tools!$Q87)))&lt;Tools!$L87)),Tools!$N87,""))</f>
        <v/>
      </c>
      <c r="E88" s="30">
        <f>IF(OR(Tools!$B87="",Tools!$Q87=""),"",IF(AND(((YEAR(DATE(YEAR(TODAY()),MONTH(TODAY())+2,1))-YEAR(Tools!$Q87))*12+MONTH(DATE(YEAR(TODAY()),MONTH(TODAY())+2,1))-MONTH(Tools!$Q87))&gt;=0,MOD(((YEAR(DATE(YEAR(TODAY()),MONTH(TODAY())+2,1))-YEAR(Tools!$Q87))*12+MONTH(DATE(YEAR(TODAY()),MONTH(TODAY())+2,1))-MONTH(Tools!$Q87)),Tools!$U87)=0,OR(Tools!$L87="",EDATE(Tools!$Q87,((YEAR(DATE(YEAR(TODAY()),MONTH(TODAY())+2,1))-YEAR(Tools!$Q87))*12+MONTH(DATE(YEAR(TODAY()),MONTH(TODAY())+2,1))-MONTH(Tools!$Q87)))&lt;Tools!$L87)),Tools!$N87,""))</f>
        <v/>
      </c>
      <c r="F88" s="30">
        <f>IF(OR(Tools!$B87="",Tools!$Q87=""),"",IF(AND(((YEAR(DATE(YEAR(TODAY()),MONTH(TODAY())+3,1))-YEAR(Tools!$Q87))*12+MONTH(DATE(YEAR(TODAY()),MONTH(TODAY())+3,1))-MONTH(Tools!$Q87))&gt;=0,MOD(((YEAR(DATE(YEAR(TODAY()),MONTH(TODAY())+3,1))-YEAR(Tools!$Q87))*12+MONTH(DATE(YEAR(TODAY()),MONTH(TODAY())+3,1))-MONTH(Tools!$Q87)),Tools!$U87)=0,OR(Tools!$L87="",EDATE(Tools!$Q87,((YEAR(DATE(YEAR(TODAY()),MONTH(TODAY())+3,1))-YEAR(Tools!$Q87))*12+MONTH(DATE(YEAR(TODAY()),MONTH(TODAY())+3,1))-MONTH(Tools!$Q87)))&lt;Tools!$L87)),Tools!$N87,""))</f>
        <v/>
      </c>
      <c r="G88" s="30">
        <f>IF(OR(Tools!$B87="",Tools!$Q87=""),"",IF(AND(((YEAR(DATE(YEAR(TODAY()),MONTH(TODAY())+4,1))-YEAR(Tools!$Q87))*12+MONTH(DATE(YEAR(TODAY()),MONTH(TODAY())+4,1))-MONTH(Tools!$Q87))&gt;=0,MOD(((YEAR(DATE(YEAR(TODAY()),MONTH(TODAY())+4,1))-YEAR(Tools!$Q87))*12+MONTH(DATE(YEAR(TODAY()),MONTH(TODAY())+4,1))-MONTH(Tools!$Q87)),Tools!$U87)=0,OR(Tools!$L87="",EDATE(Tools!$Q87,((YEAR(DATE(YEAR(TODAY()),MONTH(TODAY())+4,1))-YEAR(Tools!$Q87))*12+MONTH(DATE(YEAR(TODAY()),MONTH(TODAY())+4,1))-MONTH(Tools!$Q87)))&lt;Tools!$L87)),Tools!$N87,""))</f>
        <v/>
      </c>
      <c r="H88" s="30">
        <f>IF(OR(Tools!$B87="",Tools!$Q87=""),"",IF(AND(((YEAR(DATE(YEAR(TODAY()),MONTH(TODAY())+5,1))-YEAR(Tools!$Q87))*12+MONTH(DATE(YEAR(TODAY()),MONTH(TODAY())+5,1))-MONTH(Tools!$Q87))&gt;=0,MOD(((YEAR(DATE(YEAR(TODAY()),MONTH(TODAY())+5,1))-YEAR(Tools!$Q87))*12+MONTH(DATE(YEAR(TODAY()),MONTH(TODAY())+5,1))-MONTH(Tools!$Q87)),Tools!$U87)=0,OR(Tools!$L87="",EDATE(Tools!$Q87,((YEAR(DATE(YEAR(TODAY()),MONTH(TODAY())+5,1))-YEAR(Tools!$Q87))*12+MONTH(DATE(YEAR(TODAY()),MONTH(TODAY())+5,1))-MONTH(Tools!$Q87)))&lt;Tools!$L87)),Tools!$N87,""))</f>
        <v/>
      </c>
      <c r="I88" s="30">
        <f>IF(OR(Tools!$B87="",Tools!$Q87=""),"",IF(AND(((YEAR(DATE(YEAR(TODAY()),MONTH(TODAY())+6,1))-YEAR(Tools!$Q87))*12+MONTH(DATE(YEAR(TODAY()),MONTH(TODAY())+6,1))-MONTH(Tools!$Q87))&gt;=0,MOD(((YEAR(DATE(YEAR(TODAY()),MONTH(TODAY())+6,1))-YEAR(Tools!$Q87))*12+MONTH(DATE(YEAR(TODAY()),MONTH(TODAY())+6,1))-MONTH(Tools!$Q87)),Tools!$U87)=0,OR(Tools!$L87="",EDATE(Tools!$Q87,((YEAR(DATE(YEAR(TODAY()),MONTH(TODAY())+6,1))-YEAR(Tools!$Q87))*12+MONTH(DATE(YEAR(TODAY()),MONTH(TODAY())+6,1))-MONTH(Tools!$Q87)))&lt;Tools!$L87)),Tools!$N87,""))</f>
        <v/>
      </c>
      <c r="J88" s="30">
        <f>IF(OR(Tools!$B87="",Tools!$Q87=""),"",IF(AND(((YEAR(DATE(YEAR(TODAY()),MONTH(TODAY())+7,1))-YEAR(Tools!$Q87))*12+MONTH(DATE(YEAR(TODAY()),MONTH(TODAY())+7,1))-MONTH(Tools!$Q87))&gt;=0,MOD(((YEAR(DATE(YEAR(TODAY()),MONTH(TODAY())+7,1))-YEAR(Tools!$Q87))*12+MONTH(DATE(YEAR(TODAY()),MONTH(TODAY())+7,1))-MONTH(Tools!$Q87)),Tools!$U87)=0,OR(Tools!$L87="",EDATE(Tools!$Q87,((YEAR(DATE(YEAR(TODAY()),MONTH(TODAY())+7,1))-YEAR(Tools!$Q87))*12+MONTH(DATE(YEAR(TODAY()),MONTH(TODAY())+7,1))-MONTH(Tools!$Q87)))&lt;Tools!$L87)),Tools!$N87,""))</f>
        <v/>
      </c>
      <c r="K88" s="30">
        <f>IF(OR(Tools!$B87="",Tools!$Q87=""),"",IF(AND(((YEAR(DATE(YEAR(TODAY()),MONTH(TODAY())+8,1))-YEAR(Tools!$Q87))*12+MONTH(DATE(YEAR(TODAY()),MONTH(TODAY())+8,1))-MONTH(Tools!$Q87))&gt;=0,MOD(((YEAR(DATE(YEAR(TODAY()),MONTH(TODAY())+8,1))-YEAR(Tools!$Q87))*12+MONTH(DATE(YEAR(TODAY()),MONTH(TODAY())+8,1))-MONTH(Tools!$Q87)),Tools!$U87)=0,OR(Tools!$L87="",EDATE(Tools!$Q87,((YEAR(DATE(YEAR(TODAY()),MONTH(TODAY())+8,1))-YEAR(Tools!$Q87))*12+MONTH(DATE(YEAR(TODAY()),MONTH(TODAY())+8,1))-MONTH(Tools!$Q87)))&lt;Tools!$L87)),Tools!$N87,""))</f>
        <v/>
      </c>
      <c r="L88" s="30">
        <f>IF(OR(Tools!$B87="",Tools!$Q87=""),"",IF(AND(((YEAR(DATE(YEAR(TODAY()),MONTH(TODAY())+9,1))-YEAR(Tools!$Q87))*12+MONTH(DATE(YEAR(TODAY()),MONTH(TODAY())+9,1))-MONTH(Tools!$Q87))&gt;=0,MOD(((YEAR(DATE(YEAR(TODAY()),MONTH(TODAY())+9,1))-YEAR(Tools!$Q87))*12+MONTH(DATE(YEAR(TODAY()),MONTH(TODAY())+9,1))-MONTH(Tools!$Q87)),Tools!$U87)=0,OR(Tools!$L87="",EDATE(Tools!$Q87,((YEAR(DATE(YEAR(TODAY()),MONTH(TODAY())+9,1))-YEAR(Tools!$Q87))*12+MONTH(DATE(YEAR(TODAY()),MONTH(TODAY())+9,1))-MONTH(Tools!$Q87)))&lt;Tools!$L87)),Tools!$N87,""))</f>
        <v/>
      </c>
      <c r="M88" s="30">
        <f>IF(OR(Tools!$B87="",Tools!$Q87=""),"",IF(AND(((YEAR(DATE(YEAR(TODAY()),MONTH(TODAY())+10,1))-YEAR(Tools!$Q87))*12+MONTH(DATE(YEAR(TODAY()),MONTH(TODAY())+10,1))-MONTH(Tools!$Q87))&gt;=0,MOD(((YEAR(DATE(YEAR(TODAY()),MONTH(TODAY())+10,1))-YEAR(Tools!$Q87))*12+MONTH(DATE(YEAR(TODAY()),MONTH(TODAY())+10,1))-MONTH(Tools!$Q87)),Tools!$U87)=0,OR(Tools!$L87="",EDATE(Tools!$Q87,((YEAR(DATE(YEAR(TODAY()),MONTH(TODAY())+10,1))-YEAR(Tools!$Q87))*12+MONTH(DATE(YEAR(TODAY()),MONTH(TODAY())+10,1))-MONTH(Tools!$Q87)))&lt;Tools!$L87)),Tools!$N87,""))</f>
        <v/>
      </c>
      <c r="N88" s="30">
        <f>IF(OR(Tools!$B87="",Tools!$Q87=""),"",IF(AND(((YEAR(DATE(YEAR(TODAY()),MONTH(TODAY())+11,1))-YEAR(Tools!$Q87))*12+MONTH(DATE(YEAR(TODAY()),MONTH(TODAY())+11,1))-MONTH(Tools!$Q87))&gt;=0,MOD(((YEAR(DATE(YEAR(TODAY()),MONTH(TODAY())+11,1))-YEAR(Tools!$Q87))*12+MONTH(DATE(YEAR(TODAY()),MONTH(TODAY())+11,1))-MONTH(Tools!$Q87)),Tools!$U87)=0,OR(Tools!$L87="",EDATE(Tools!$Q87,((YEAR(DATE(YEAR(TODAY()),MONTH(TODAY())+11,1))-YEAR(Tools!$Q87))*12+MONTH(DATE(YEAR(TODAY()),MONTH(TODAY())+11,1))-MONTH(Tools!$Q87)))&lt;Tools!$L87)),Tools!$N87,""))</f>
        <v/>
      </c>
      <c r="O88" s="31">
        <f>IF(B88="","",SUM(C88:N88))</f>
        <v/>
      </c>
      <c r="P88" s="1" t="n"/>
    </row>
    <row r="89">
      <c r="A89" s="1" t="n"/>
      <c r="B89" s="11">
        <f>IF(Tools!B88="","",Tools!B88)</f>
        <v/>
      </c>
      <c r="C89" s="30">
        <f>IF(OR(Tools!$B88="",Tools!$Q88=""),"",IF(AND(((YEAR(DATE(YEAR(TODAY()),MONTH(TODAY())+0,1))-YEAR(Tools!$Q88))*12+MONTH(DATE(YEAR(TODAY()),MONTH(TODAY())+0,1))-MONTH(Tools!$Q88))&gt;=0,MOD(((YEAR(DATE(YEAR(TODAY()),MONTH(TODAY())+0,1))-YEAR(Tools!$Q88))*12+MONTH(DATE(YEAR(TODAY()),MONTH(TODAY())+0,1))-MONTH(Tools!$Q88)),Tools!$U88)=0,OR(Tools!$L88="",EDATE(Tools!$Q88,((YEAR(DATE(YEAR(TODAY()),MONTH(TODAY())+0,1))-YEAR(Tools!$Q88))*12+MONTH(DATE(YEAR(TODAY()),MONTH(TODAY())+0,1))-MONTH(Tools!$Q88)))&lt;Tools!$L88)),Tools!$N88,""))</f>
        <v/>
      </c>
      <c r="D89" s="30">
        <f>IF(OR(Tools!$B88="",Tools!$Q88=""),"",IF(AND(((YEAR(DATE(YEAR(TODAY()),MONTH(TODAY())+1,1))-YEAR(Tools!$Q88))*12+MONTH(DATE(YEAR(TODAY()),MONTH(TODAY())+1,1))-MONTH(Tools!$Q88))&gt;=0,MOD(((YEAR(DATE(YEAR(TODAY()),MONTH(TODAY())+1,1))-YEAR(Tools!$Q88))*12+MONTH(DATE(YEAR(TODAY()),MONTH(TODAY())+1,1))-MONTH(Tools!$Q88)),Tools!$U88)=0,OR(Tools!$L88="",EDATE(Tools!$Q88,((YEAR(DATE(YEAR(TODAY()),MONTH(TODAY())+1,1))-YEAR(Tools!$Q88))*12+MONTH(DATE(YEAR(TODAY()),MONTH(TODAY())+1,1))-MONTH(Tools!$Q88)))&lt;Tools!$L88)),Tools!$N88,""))</f>
        <v/>
      </c>
      <c r="E89" s="30">
        <f>IF(OR(Tools!$B88="",Tools!$Q88=""),"",IF(AND(((YEAR(DATE(YEAR(TODAY()),MONTH(TODAY())+2,1))-YEAR(Tools!$Q88))*12+MONTH(DATE(YEAR(TODAY()),MONTH(TODAY())+2,1))-MONTH(Tools!$Q88))&gt;=0,MOD(((YEAR(DATE(YEAR(TODAY()),MONTH(TODAY())+2,1))-YEAR(Tools!$Q88))*12+MONTH(DATE(YEAR(TODAY()),MONTH(TODAY())+2,1))-MONTH(Tools!$Q88)),Tools!$U88)=0,OR(Tools!$L88="",EDATE(Tools!$Q88,((YEAR(DATE(YEAR(TODAY()),MONTH(TODAY())+2,1))-YEAR(Tools!$Q88))*12+MONTH(DATE(YEAR(TODAY()),MONTH(TODAY())+2,1))-MONTH(Tools!$Q88)))&lt;Tools!$L88)),Tools!$N88,""))</f>
        <v/>
      </c>
      <c r="F89" s="30">
        <f>IF(OR(Tools!$B88="",Tools!$Q88=""),"",IF(AND(((YEAR(DATE(YEAR(TODAY()),MONTH(TODAY())+3,1))-YEAR(Tools!$Q88))*12+MONTH(DATE(YEAR(TODAY()),MONTH(TODAY())+3,1))-MONTH(Tools!$Q88))&gt;=0,MOD(((YEAR(DATE(YEAR(TODAY()),MONTH(TODAY())+3,1))-YEAR(Tools!$Q88))*12+MONTH(DATE(YEAR(TODAY()),MONTH(TODAY())+3,1))-MONTH(Tools!$Q88)),Tools!$U88)=0,OR(Tools!$L88="",EDATE(Tools!$Q88,((YEAR(DATE(YEAR(TODAY()),MONTH(TODAY())+3,1))-YEAR(Tools!$Q88))*12+MONTH(DATE(YEAR(TODAY()),MONTH(TODAY())+3,1))-MONTH(Tools!$Q88)))&lt;Tools!$L88)),Tools!$N88,""))</f>
        <v/>
      </c>
      <c r="G89" s="30">
        <f>IF(OR(Tools!$B88="",Tools!$Q88=""),"",IF(AND(((YEAR(DATE(YEAR(TODAY()),MONTH(TODAY())+4,1))-YEAR(Tools!$Q88))*12+MONTH(DATE(YEAR(TODAY()),MONTH(TODAY())+4,1))-MONTH(Tools!$Q88))&gt;=0,MOD(((YEAR(DATE(YEAR(TODAY()),MONTH(TODAY())+4,1))-YEAR(Tools!$Q88))*12+MONTH(DATE(YEAR(TODAY()),MONTH(TODAY())+4,1))-MONTH(Tools!$Q88)),Tools!$U88)=0,OR(Tools!$L88="",EDATE(Tools!$Q88,((YEAR(DATE(YEAR(TODAY()),MONTH(TODAY())+4,1))-YEAR(Tools!$Q88))*12+MONTH(DATE(YEAR(TODAY()),MONTH(TODAY())+4,1))-MONTH(Tools!$Q88)))&lt;Tools!$L88)),Tools!$N88,""))</f>
        <v/>
      </c>
      <c r="H89" s="30">
        <f>IF(OR(Tools!$B88="",Tools!$Q88=""),"",IF(AND(((YEAR(DATE(YEAR(TODAY()),MONTH(TODAY())+5,1))-YEAR(Tools!$Q88))*12+MONTH(DATE(YEAR(TODAY()),MONTH(TODAY())+5,1))-MONTH(Tools!$Q88))&gt;=0,MOD(((YEAR(DATE(YEAR(TODAY()),MONTH(TODAY())+5,1))-YEAR(Tools!$Q88))*12+MONTH(DATE(YEAR(TODAY()),MONTH(TODAY())+5,1))-MONTH(Tools!$Q88)),Tools!$U88)=0,OR(Tools!$L88="",EDATE(Tools!$Q88,((YEAR(DATE(YEAR(TODAY()),MONTH(TODAY())+5,1))-YEAR(Tools!$Q88))*12+MONTH(DATE(YEAR(TODAY()),MONTH(TODAY())+5,1))-MONTH(Tools!$Q88)))&lt;Tools!$L88)),Tools!$N88,""))</f>
        <v/>
      </c>
      <c r="I89" s="30">
        <f>IF(OR(Tools!$B88="",Tools!$Q88=""),"",IF(AND(((YEAR(DATE(YEAR(TODAY()),MONTH(TODAY())+6,1))-YEAR(Tools!$Q88))*12+MONTH(DATE(YEAR(TODAY()),MONTH(TODAY())+6,1))-MONTH(Tools!$Q88))&gt;=0,MOD(((YEAR(DATE(YEAR(TODAY()),MONTH(TODAY())+6,1))-YEAR(Tools!$Q88))*12+MONTH(DATE(YEAR(TODAY()),MONTH(TODAY())+6,1))-MONTH(Tools!$Q88)),Tools!$U88)=0,OR(Tools!$L88="",EDATE(Tools!$Q88,((YEAR(DATE(YEAR(TODAY()),MONTH(TODAY())+6,1))-YEAR(Tools!$Q88))*12+MONTH(DATE(YEAR(TODAY()),MONTH(TODAY())+6,1))-MONTH(Tools!$Q88)))&lt;Tools!$L88)),Tools!$N88,""))</f>
        <v/>
      </c>
      <c r="J89" s="30">
        <f>IF(OR(Tools!$B88="",Tools!$Q88=""),"",IF(AND(((YEAR(DATE(YEAR(TODAY()),MONTH(TODAY())+7,1))-YEAR(Tools!$Q88))*12+MONTH(DATE(YEAR(TODAY()),MONTH(TODAY())+7,1))-MONTH(Tools!$Q88))&gt;=0,MOD(((YEAR(DATE(YEAR(TODAY()),MONTH(TODAY())+7,1))-YEAR(Tools!$Q88))*12+MONTH(DATE(YEAR(TODAY()),MONTH(TODAY())+7,1))-MONTH(Tools!$Q88)),Tools!$U88)=0,OR(Tools!$L88="",EDATE(Tools!$Q88,((YEAR(DATE(YEAR(TODAY()),MONTH(TODAY())+7,1))-YEAR(Tools!$Q88))*12+MONTH(DATE(YEAR(TODAY()),MONTH(TODAY())+7,1))-MONTH(Tools!$Q88)))&lt;Tools!$L88)),Tools!$N88,""))</f>
        <v/>
      </c>
      <c r="K89" s="30">
        <f>IF(OR(Tools!$B88="",Tools!$Q88=""),"",IF(AND(((YEAR(DATE(YEAR(TODAY()),MONTH(TODAY())+8,1))-YEAR(Tools!$Q88))*12+MONTH(DATE(YEAR(TODAY()),MONTH(TODAY())+8,1))-MONTH(Tools!$Q88))&gt;=0,MOD(((YEAR(DATE(YEAR(TODAY()),MONTH(TODAY())+8,1))-YEAR(Tools!$Q88))*12+MONTH(DATE(YEAR(TODAY()),MONTH(TODAY())+8,1))-MONTH(Tools!$Q88)),Tools!$U88)=0,OR(Tools!$L88="",EDATE(Tools!$Q88,((YEAR(DATE(YEAR(TODAY()),MONTH(TODAY())+8,1))-YEAR(Tools!$Q88))*12+MONTH(DATE(YEAR(TODAY()),MONTH(TODAY())+8,1))-MONTH(Tools!$Q88)))&lt;Tools!$L88)),Tools!$N88,""))</f>
        <v/>
      </c>
      <c r="L89" s="30">
        <f>IF(OR(Tools!$B88="",Tools!$Q88=""),"",IF(AND(((YEAR(DATE(YEAR(TODAY()),MONTH(TODAY())+9,1))-YEAR(Tools!$Q88))*12+MONTH(DATE(YEAR(TODAY()),MONTH(TODAY())+9,1))-MONTH(Tools!$Q88))&gt;=0,MOD(((YEAR(DATE(YEAR(TODAY()),MONTH(TODAY())+9,1))-YEAR(Tools!$Q88))*12+MONTH(DATE(YEAR(TODAY()),MONTH(TODAY())+9,1))-MONTH(Tools!$Q88)),Tools!$U88)=0,OR(Tools!$L88="",EDATE(Tools!$Q88,((YEAR(DATE(YEAR(TODAY()),MONTH(TODAY())+9,1))-YEAR(Tools!$Q88))*12+MONTH(DATE(YEAR(TODAY()),MONTH(TODAY())+9,1))-MONTH(Tools!$Q88)))&lt;Tools!$L88)),Tools!$N88,""))</f>
        <v/>
      </c>
      <c r="M89" s="30">
        <f>IF(OR(Tools!$B88="",Tools!$Q88=""),"",IF(AND(((YEAR(DATE(YEAR(TODAY()),MONTH(TODAY())+10,1))-YEAR(Tools!$Q88))*12+MONTH(DATE(YEAR(TODAY()),MONTH(TODAY())+10,1))-MONTH(Tools!$Q88))&gt;=0,MOD(((YEAR(DATE(YEAR(TODAY()),MONTH(TODAY())+10,1))-YEAR(Tools!$Q88))*12+MONTH(DATE(YEAR(TODAY()),MONTH(TODAY())+10,1))-MONTH(Tools!$Q88)),Tools!$U88)=0,OR(Tools!$L88="",EDATE(Tools!$Q88,((YEAR(DATE(YEAR(TODAY()),MONTH(TODAY())+10,1))-YEAR(Tools!$Q88))*12+MONTH(DATE(YEAR(TODAY()),MONTH(TODAY())+10,1))-MONTH(Tools!$Q88)))&lt;Tools!$L88)),Tools!$N88,""))</f>
        <v/>
      </c>
      <c r="N89" s="30">
        <f>IF(OR(Tools!$B88="",Tools!$Q88=""),"",IF(AND(((YEAR(DATE(YEAR(TODAY()),MONTH(TODAY())+11,1))-YEAR(Tools!$Q88))*12+MONTH(DATE(YEAR(TODAY()),MONTH(TODAY())+11,1))-MONTH(Tools!$Q88))&gt;=0,MOD(((YEAR(DATE(YEAR(TODAY()),MONTH(TODAY())+11,1))-YEAR(Tools!$Q88))*12+MONTH(DATE(YEAR(TODAY()),MONTH(TODAY())+11,1))-MONTH(Tools!$Q88)),Tools!$U88)=0,OR(Tools!$L88="",EDATE(Tools!$Q88,((YEAR(DATE(YEAR(TODAY()),MONTH(TODAY())+11,1))-YEAR(Tools!$Q88))*12+MONTH(DATE(YEAR(TODAY()),MONTH(TODAY())+11,1))-MONTH(Tools!$Q88)))&lt;Tools!$L88)),Tools!$N88,""))</f>
        <v/>
      </c>
      <c r="O89" s="31">
        <f>IF(B89="","",SUM(C89:N89))</f>
        <v/>
      </c>
      <c r="P89" s="1" t="n"/>
    </row>
    <row r="90">
      <c r="A90" s="1" t="n"/>
      <c r="B90" s="11">
        <f>IF(Tools!B89="","",Tools!B89)</f>
        <v/>
      </c>
      <c r="C90" s="30">
        <f>IF(OR(Tools!$B89="",Tools!$Q89=""),"",IF(AND(((YEAR(DATE(YEAR(TODAY()),MONTH(TODAY())+0,1))-YEAR(Tools!$Q89))*12+MONTH(DATE(YEAR(TODAY()),MONTH(TODAY())+0,1))-MONTH(Tools!$Q89))&gt;=0,MOD(((YEAR(DATE(YEAR(TODAY()),MONTH(TODAY())+0,1))-YEAR(Tools!$Q89))*12+MONTH(DATE(YEAR(TODAY()),MONTH(TODAY())+0,1))-MONTH(Tools!$Q89)),Tools!$U89)=0,OR(Tools!$L89="",EDATE(Tools!$Q89,((YEAR(DATE(YEAR(TODAY()),MONTH(TODAY())+0,1))-YEAR(Tools!$Q89))*12+MONTH(DATE(YEAR(TODAY()),MONTH(TODAY())+0,1))-MONTH(Tools!$Q89)))&lt;Tools!$L89)),Tools!$N89,""))</f>
        <v/>
      </c>
      <c r="D90" s="30">
        <f>IF(OR(Tools!$B89="",Tools!$Q89=""),"",IF(AND(((YEAR(DATE(YEAR(TODAY()),MONTH(TODAY())+1,1))-YEAR(Tools!$Q89))*12+MONTH(DATE(YEAR(TODAY()),MONTH(TODAY())+1,1))-MONTH(Tools!$Q89))&gt;=0,MOD(((YEAR(DATE(YEAR(TODAY()),MONTH(TODAY())+1,1))-YEAR(Tools!$Q89))*12+MONTH(DATE(YEAR(TODAY()),MONTH(TODAY())+1,1))-MONTH(Tools!$Q89)),Tools!$U89)=0,OR(Tools!$L89="",EDATE(Tools!$Q89,((YEAR(DATE(YEAR(TODAY()),MONTH(TODAY())+1,1))-YEAR(Tools!$Q89))*12+MONTH(DATE(YEAR(TODAY()),MONTH(TODAY())+1,1))-MONTH(Tools!$Q89)))&lt;Tools!$L89)),Tools!$N89,""))</f>
        <v/>
      </c>
      <c r="E90" s="30">
        <f>IF(OR(Tools!$B89="",Tools!$Q89=""),"",IF(AND(((YEAR(DATE(YEAR(TODAY()),MONTH(TODAY())+2,1))-YEAR(Tools!$Q89))*12+MONTH(DATE(YEAR(TODAY()),MONTH(TODAY())+2,1))-MONTH(Tools!$Q89))&gt;=0,MOD(((YEAR(DATE(YEAR(TODAY()),MONTH(TODAY())+2,1))-YEAR(Tools!$Q89))*12+MONTH(DATE(YEAR(TODAY()),MONTH(TODAY())+2,1))-MONTH(Tools!$Q89)),Tools!$U89)=0,OR(Tools!$L89="",EDATE(Tools!$Q89,((YEAR(DATE(YEAR(TODAY()),MONTH(TODAY())+2,1))-YEAR(Tools!$Q89))*12+MONTH(DATE(YEAR(TODAY()),MONTH(TODAY())+2,1))-MONTH(Tools!$Q89)))&lt;Tools!$L89)),Tools!$N89,""))</f>
        <v/>
      </c>
      <c r="F90" s="30">
        <f>IF(OR(Tools!$B89="",Tools!$Q89=""),"",IF(AND(((YEAR(DATE(YEAR(TODAY()),MONTH(TODAY())+3,1))-YEAR(Tools!$Q89))*12+MONTH(DATE(YEAR(TODAY()),MONTH(TODAY())+3,1))-MONTH(Tools!$Q89))&gt;=0,MOD(((YEAR(DATE(YEAR(TODAY()),MONTH(TODAY())+3,1))-YEAR(Tools!$Q89))*12+MONTH(DATE(YEAR(TODAY()),MONTH(TODAY())+3,1))-MONTH(Tools!$Q89)),Tools!$U89)=0,OR(Tools!$L89="",EDATE(Tools!$Q89,((YEAR(DATE(YEAR(TODAY()),MONTH(TODAY())+3,1))-YEAR(Tools!$Q89))*12+MONTH(DATE(YEAR(TODAY()),MONTH(TODAY())+3,1))-MONTH(Tools!$Q89)))&lt;Tools!$L89)),Tools!$N89,""))</f>
        <v/>
      </c>
      <c r="G90" s="30">
        <f>IF(OR(Tools!$B89="",Tools!$Q89=""),"",IF(AND(((YEAR(DATE(YEAR(TODAY()),MONTH(TODAY())+4,1))-YEAR(Tools!$Q89))*12+MONTH(DATE(YEAR(TODAY()),MONTH(TODAY())+4,1))-MONTH(Tools!$Q89))&gt;=0,MOD(((YEAR(DATE(YEAR(TODAY()),MONTH(TODAY())+4,1))-YEAR(Tools!$Q89))*12+MONTH(DATE(YEAR(TODAY()),MONTH(TODAY())+4,1))-MONTH(Tools!$Q89)),Tools!$U89)=0,OR(Tools!$L89="",EDATE(Tools!$Q89,((YEAR(DATE(YEAR(TODAY()),MONTH(TODAY())+4,1))-YEAR(Tools!$Q89))*12+MONTH(DATE(YEAR(TODAY()),MONTH(TODAY())+4,1))-MONTH(Tools!$Q89)))&lt;Tools!$L89)),Tools!$N89,""))</f>
        <v/>
      </c>
      <c r="H90" s="30">
        <f>IF(OR(Tools!$B89="",Tools!$Q89=""),"",IF(AND(((YEAR(DATE(YEAR(TODAY()),MONTH(TODAY())+5,1))-YEAR(Tools!$Q89))*12+MONTH(DATE(YEAR(TODAY()),MONTH(TODAY())+5,1))-MONTH(Tools!$Q89))&gt;=0,MOD(((YEAR(DATE(YEAR(TODAY()),MONTH(TODAY())+5,1))-YEAR(Tools!$Q89))*12+MONTH(DATE(YEAR(TODAY()),MONTH(TODAY())+5,1))-MONTH(Tools!$Q89)),Tools!$U89)=0,OR(Tools!$L89="",EDATE(Tools!$Q89,((YEAR(DATE(YEAR(TODAY()),MONTH(TODAY())+5,1))-YEAR(Tools!$Q89))*12+MONTH(DATE(YEAR(TODAY()),MONTH(TODAY())+5,1))-MONTH(Tools!$Q89)))&lt;Tools!$L89)),Tools!$N89,""))</f>
        <v/>
      </c>
      <c r="I90" s="30">
        <f>IF(OR(Tools!$B89="",Tools!$Q89=""),"",IF(AND(((YEAR(DATE(YEAR(TODAY()),MONTH(TODAY())+6,1))-YEAR(Tools!$Q89))*12+MONTH(DATE(YEAR(TODAY()),MONTH(TODAY())+6,1))-MONTH(Tools!$Q89))&gt;=0,MOD(((YEAR(DATE(YEAR(TODAY()),MONTH(TODAY())+6,1))-YEAR(Tools!$Q89))*12+MONTH(DATE(YEAR(TODAY()),MONTH(TODAY())+6,1))-MONTH(Tools!$Q89)),Tools!$U89)=0,OR(Tools!$L89="",EDATE(Tools!$Q89,((YEAR(DATE(YEAR(TODAY()),MONTH(TODAY())+6,1))-YEAR(Tools!$Q89))*12+MONTH(DATE(YEAR(TODAY()),MONTH(TODAY())+6,1))-MONTH(Tools!$Q89)))&lt;Tools!$L89)),Tools!$N89,""))</f>
        <v/>
      </c>
      <c r="J90" s="30">
        <f>IF(OR(Tools!$B89="",Tools!$Q89=""),"",IF(AND(((YEAR(DATE(YEAR(TODAY()),MONTH(TODAY())+7,1))-YEAR(Tools!$Q89))*12+MONTH(DATE(YEAR(TODAY()),MONTH(TODAY())+7,1))-MONTH(Tools!$Q89))&gt;=0,MOD(((YEAR(DATE(YEAR(TODAY()),MONTH(TODAY())+7,1))-YEAR(Tools!$Q89))*12+MONTH(DATE(YEAR(TODAY()),MONTH(TODAY())+7,1))-MONTH(Tools!$Q89)),Tools!$U89)=0,OR(Tools!$L89="",EDATE(Tools!$Q89,((YEAR(DATE(YEAR(TODAY()),MONTH(TODAY())+7,1))-YEAR(Tools!$Q89))*12+MONTH(DATE(YEAR(TODAY()),MONTH(TODAY())+7,1))-MONTH(Tools!$Q89)))&lt;Tools!$L89)),Tools!$N89,""))</f>
        <v/>
      </c>
      <c r="K90" s="30">
        <f>IF(OR(Tools!$B89="",Tools!$Q89=""),"",IF(AND(((YEAR(DATE(YEAR(TODAY()),MONTH(TODAY())+8,1))-YEAR(Tools!$Q89))*12+MONTH(DATE(YEAR(TODAY()),MONTH(TODAY())+8,1))-MONTH(Tools!$Q89))&gt;=0,MOD(((YEAR(DATE(YEAR(TODAY()),MONTH(TODAY())+8,1))-YEAR(Tools!$Q89))*12+MONTH(DATE(YEAR(TODAY()),MONTH(TODAY())+8,1))-MONTH(Tools!$Q89)),Tools!$U89)=0,OR(Tools!$L89="",EDATE(Tools!$Q89,((YEAR(DATE(YEAR(TODAY()),MONTH(TODAY())+8,1))-YEAR(Tools!$Q89))*12+MONTH(DATE(YEAR(TODAY()),MONTH(TODAY())+8,1))-MONTH(Tools!$Q89)))&lt;Tools!$L89)),Tools!$N89,""))</f>
        <v/>
      </c>
      <c r="L90" s="30">
        <f>IF(OR(Tools!$B89="",Tools!$Q89=""),"",IF(AND(((YEAR(DATE(YEAR(TODAY()),MONTH(TODAY())+9,1))-YEAR(Tools!$Q89))*12+MONTH(DATE(YEAR(TODAY()),MONTH(TODAY())+9,1))-MONTH(Tools!$Q89))&gt;=0,MOD(((YEAR(DATE(YEAR(TODAY()),MONTH(TODAY())+9,1))-YEAR(Tools!$Q89))*12+MONTH(DATE(YEAR(TODAY()),MONTH(TODAY())+9,1))-MONTH(Tools!$Q89)),Tools!$U89)=0,OR(Tools!$L89="",EDATE(Tools!$Q89,((YEAR(DATE(YEAR(TODAY()),MONTH(TODAY())+9,1))-YEAR(Tools!$Q89))*12+MONTH(DATE(YEAR(TODAY()),MONTH(TODAY())+9,1))-MONTH(Tools!$Q89)))&lt;Tools!$L89)),Tools!$N89,""))</f>
        <v/>
      </c>
      <c r="M90" s="30">
        <f>IF(OR(Tools!$B89="",Tools!$Q89=""),"",IF(AND(((YEAR(DATE(YEAR(TODAY()),MONTH(TODAY())+10,1))-YEAR(Tools!$Q89))*12+MONTH(DATE(YEAR(TODAY()),MONTH(TODAY())+10,1))-MONTH(Tools!$Q89))&gt;=0,MOD(((YEAR(DATE(YEAR(TODAY()),MONTH(TODAY())+10,1))-YEAR(Tools!$Q89))*12+MONTH(DATE(YEAR(TODAY()),MONTH(TODAY())+10,1))-MONTH(Tools!$Q89)),Tools!$U89)=0,OR(Tools!$L89="",EDATE(Tools!$Q89,((YEAR(DATE(YEAR(TODAY()),MONTH(TODAY())+10,1))-YEAR(Tools!$Q89))*12+MONTH(DATE(YEAR(TODAY()),MONTH(TODAY())+10,1))-MONTH(Tools!$Q89)))&lt;Tools!$L89)),Tools!$N89,""))</f>
        <v/>
      </c>
      <c r="N90" s="30">
        <f>IF(OR(Tools!$B89="",Tools!$Q89=""),"",IF(AND(((YEAR(DATE(YEAR(TODAY()),MONTH(TODAY())+11,1))-YEAR(Tools!$Q89))*12+MONTH(DATE(YEAR(TODAY()),MONTH(TODAY())+11,1))-MONTH(Tools!$Q89))&gt;=0,MOD(((YEAR(DATE(YEAR(TODAY()),MONTH(TODAY())+11,1))-YEAR(Tools!$Q89))*12+MONTH(DATE(YEAR(TODAY()),MONTH(TODAY())+11,1))-MONTH(Tools!$Q89)),Tools!$U89)=0,OR(Tools!$L89="",EDATE(Tools!$Q89,((YEAR(DATE(YEAR(TODAY()),MONTH(TODAY())+11,1))-YEAR(Tools!$Q89))*12+MONTH(DATE(YEAR(TODAY()),MONTH(TODAY())+11,1))-MONTH(Tools!$Q89)))&lt;Tools!$L89)),Tools!$N89,""))</f>
        <v/>
      </c>
      <c r="O90" s="31">
        <f>IF(B90="","",SUM(C90:N90))</f>
        <v/>
      </c>
      <c r="P90" s="1" t="n"/>
    </row>
    <row r="91">
      <c r="A91" s="1" t="n"/>
      <c r="B91" s="11">
        <f>IF(Tools!B90="","",Tools!B90)</f>
        <v/>
      </c>
      <c r="C91" s="30">
        <f>IF(OR(Tools!$B90="",Tools!$Q90=""),"",IF(AND(((YEAR(DATE(YEAR(TODAY()),MONTH(TODAY())+0,1))-YEAR(Tools!$Q90))*12+MONTH(DATE(YEAR(TODAY()),MONTH(TODAY())+0,1))-MONTH(Tools!$Q90))&gt;=0,MOD(((YEAR(DATE(YEAR(TODAY()),MONTH(TODAY())+0,1))-YEAR(Tools!$Q90))*12+MONTH(DATE(YEAR(TODAY()),MONTH(TODAY())+0,1))-MONTH(Tools!$Q90)),Tools!$U90)=0,OR(Tools!$L90="",EDATE(Tools!$Q90,((YEAR(DATE(YEAR(TODAY()),MONTH(TODAY())+0,1))-YEAR(Tools!$Q90))*12+MONTH(DATE(YEAR(TODAY()),MONTH(TODAY())+0,1))-MONTH(Tools!$Q90)))&lt;Tools!$L90)),Tools!$N90,""))</f>
        <v/>
      </c>
      <c r="D91" s="30">
        <f>IF(OR(Tools!$B90="",Tools!$Q90=""),"",IF(AND(((YEAR(DATE(YEAR(TODAY()),MONTH(TODAY())+1,1))-YEAR(Tools!$Q90))*12+MONTH(DATE(YEAR(TODAY()),MONTH(TODAY())+1,1))-MONTH(Tools!$Q90))&gt;=0,MOD(((YEAR(DATE(YEAR(TODAY()),MONTH(TODAY())+1,1))-YEAR(Tools!$Q90))*12+MONTH(DATE(YEAR(TODAY()),MONTH(TODAY())+1,1))-MONTH(Tools!$Q90)),Tools!$U90)=0,OR(Tools!$L90="",EDATE(Tools!$Q90,((YEAR(DATE(YEAR(TODAY()),MONTH(TODAY())+1,1))-YEAR(Tools!$Q90))*12+MONTH(DATE(YEAR(TODAY()),MONTH(TODAY())+1,1))-MONTH(Tools!$Q90)))&lt;Tools!$L90)),Tools!$N90,""))</f>
        <v/>
      </c>
      <c r="E91" s="30">
        <f>IF(OR(Tools!$B90="",Tools!$Q90=""),"",IF(AND(((YEAR(DATE(YEAR(TODAY()),MONTH(TODAY())+2,1))-YEAR(Tools!$Q90))*12+MONTH(DATE(YEAR(TODAY()),MONTH(TODAY())+2,1))-MONTH(Tools!$Q90))&gt;=0,MOD(((YEAR(DATE(YEAR(TODAY()),MONTH(TODAY())+2,1))-YEAR(Tools!$Q90))*12+MONTH(DATE(YEAR(TODAY()),MONTH(TODAY())+2,1))-MONTH(Tools!$Q90)),Tools!$U90)=0,OR(Tools!$L90="",EDATE(Tools!$Q90,((YEAR(DATE(YEAR(TODAY()),MONTH(TODAY())+2,1))-YEAR(Tools!$Q90))*12+MONTH(DATE(YEAR(TODAY()),MONTH(TODAY())+2,1))-MONTH(Tools!$Q90)))&lt;Tools!$L90)),Tools!$N90,""))</f>
        <v/>
      </c>
      <c r="F91" s="30">
        <f>IF(OR(Tools!$B90="",Tools!$Q90=""),"",IF(AND(((YEAR(DATE(YEAR(TODAY()),MONTH(TODAY())+3,1))-YEAR(Tools!$Q90))*12+MONTH(DATE(YEAR(TODAY()),MONTH(TODAY())+3,1))-MONTH(Tools!$Q90))&gt;=0,MOD(((YEAR(DATE(YEAR(TODAY()),MONTH(TODAY())+3,1))-YEAR(Tools!$Q90))*12+MONTH(DATE(YEAR(TODAY()),MONTH(TODAY())+3,1))-MONTH(Tools!$Q90)),Tools!$U90)=0,OR(Tools!$L90="",EDATE(Tools!$Q90,((YEAR(DATE(YEAR(TODAY()),MONTH(TODAY())+3,1))-YEAR(Tools!$Q90))*12+MONTH(DATE(YEAR(TODAY()),MONTH(TODAY())+3,1))-MONTH(Tools!$Q90)))&lt;Tools!$L90)),Tools!$N90,""))</f>
        <v/>
      </c>
      <c r="G91" s="30">
        <f>IF(OR(Tools!$B90="",Tools!$Q90=""),"",IF(AND(((YEAR(DATE(YEAR(TODAY()),MONTH(TODAY())+4,1))-YEAR(Tools!$Q90))*12+MONTH(DATE(YEAR(TODAY()),MONTH(TODAY())+4,1))-MONTH(Tools!$Q90))&gt;=0,MOD(((YEAR(DATE(YEAR(TODAY()),MONTH(TODAY())+4,1))-YEAR(Tools!$Q90))*12+MONTH(DATE(YEAR(TODAY()),MONTH(TODAY())+4,1))-MONTH(Tools!$Q90)),Tools!$U90)=0,OR(Tools!$L90="",EDATE(Tools!$Q90,((YEAR(DATE(YEAR(TODAY()),MONTH(TODAY())+4,1))-YEAR(Tools!$Q90))*12+MONTH(DATE(YEAR(TODAY()),MONTH(TODAY())+4,1))-MONTH(Tools!$Q90)))&lt;Tools!$L90)),Tools!$N90,""))</f>
        <v/>
      </c>
      <c r="H91" s="30">
        <f>IF(OR(Tools!$B90="",Tools!$Q90=""),"",IF(AND(((YEAR(DATE(YEAR(TODAY()),MONTH(TODAY())+5,1))-YEAR(Tools!$Q90))*12+MONTH(DATE(YEAR(TODAY()),MONTH(TODAY())+5,1))-MONTH(Tools!$Q90))&gt;=0,MOD(((YEAR(DATE(YEAR(TODAY()),MONTH(TODAY())+5,1))-YEAR(Tools!$Q90))*12+MONTH(DATE(YEAR(TODAY()),MONTH(TODAY())+5,1))-MONTH(Tools!$Q90)),Tools!$U90)=0,OR(Tools!$L90="",EDATE(Tools!$Q90,((YEAR(DATE(YEAR(TODAY()),MONTH(TODAY())+5,1))-YEAR(Tools!$Q90))*12+MONTH(DATE(YEAR(TODAY()),MONTH(TODAY())+5,1))-MONTH(Tools!$Q90)))&lt;Tools!$L90)),Tools!$N90,""))</f>
        <v/>
      </c>
      <c r="I91" s="30">
        <f>IF(OR(Tools!$B90="",Tools!$Q90=""),"",IF(AND(((YEAR(DATE(YEAR(TODAY()),MONTH(TODAY())+6,1))-YEAR(Tools!$Q90))*12+MONTH(DATE(YEAR(TODAY()),MONTH(TODAY())+6,1))-MONTH(Tools!$Q90))&gt;=0,MOD(((YEAR(DATE(YEAR(TODAY()),MONTH(TODAY())+6,1))-YEAR(Tools!$Q90))*12+MONTH(DATE(YEAR(TODAY()),MONTH(TODAY())+6,1))-MONTH(Tools!$Q90)),Tools!$U90)=0,OR(Tools!$L90="",EDATE(Tools!$Q90,((YEAR(DATE(YEAR(TODAY()),MONTH(TODAY())+6,1))-YEAR(Tools!$Q90))*12+MONTH(DATE(YEAR(TODAY()),MONTH(TODAY())+6,1))-MONTH(Tools!$Q90)))&lt;Tools!$L90)),Tools!$N90,""))</f>
        <v/>
      </c>
      <c r="J91" s="30">
        <f>IF(OR(Tools!$B90="",Tools!$Q90=""),"",IF(AND(((YEAR(DATE(YEAR(TODAY()),MONTH(TODAY())+7,1))-YEAR(Tools!$Q90))*12+MONTH(DATE(YEAR(TODAY()),MONTH(TODAY())+7,1))-MONTH(Tools!$Q90))&gt;=0,MOD(((YEAR(DATE(YEAR(TODAY()),MONTH(TODAY())+7,1))-YEAR(Tools!$Q90))*12+MONTH(DATE(YEAR(TODAY()),MONTH(TODAY())+7,1))-MONTH(Tools!$Q90)),Tools!$U90)=0,OR(Tools!$L90="",EDATE(Tools!$Q90,((YEAR(DATE(YEAR(TODAY()),MONTH(TODAY())+7,1))-YEAR(Tools!$Q90))*12+MONTH(DATE(YEAR(TODAY()),MONTH(TODAY())+7,1))-MONTH(Tools!$Q90)))&lt;Tools!$L90)),Tools!$N90,""))</f>
        <v/>
      </c>
      <c r="K91" s="30">
        <f>IF(OR(Tools!$B90="",Tools!$Q90=""),"",IF(AND(((YEAR(DATE(YEAR(TODAY()),MONTH(TODAY())+8,1))-YEAR(Tools!$Q90))*12+MONTH(DATE(YEAR(TODAY()),MONTH(TODAY())+8,1))-MONTH(Tools!$Q90))&gt;=0,MOD(((YEAR(DATE(YEAR(TODAY()),MONTH(TODAY())+8,1))-YEAR(Tools!$Q90))*12+MONTH(DATE(YEAR(TODAY()),MONTH(TODAY())+8,1))-MONTH(Tools!$Q90)),Tools!$U90)=0,OR(Tools!$L90="",EDATE(Tools!$Q90,((YEAR(DATE(YEAR(TODAY()),MONTH(TODAY())+8,1))-YEAR(Tools!$Q90))*12+MONTH(DATE(YEAR(TODAY()),MONTH(TODAY())+8,1))-MONTH(Tools!$Q90)))&lt;Tools!$L90)),Tools!$N90,""))</f>
        <v/>
      </c>
      <c r="L91" s="30">
        <f>IF(OR(Tools!$B90="",Tools!$Q90=""),"",IF(AND(((YEAR(DATE(YEAR(TODAY()),MONTH(TODAY())+9,1))-YEAR(Tools!$Q90))*12+MONTH(DATE(YEAR(TODAY()),MONTH(TODAY())+9,1))-MONTH(Tools!$Q90))&gt;=0,MOD(((YEAR(DATE(YEAR(TODAY()),MONTH(TODAY())+9,1))-YEAR(Tools!$Q90))*12+MONTH(DATE(YEAR(TODAY()),MONTH(TODAY())+9,1))-MONTH(Tools!$Q90)),Tools!$U90)=0,OR(Tools!$L90="",EDATE(Tools!$Q90,((YEAR(DATE(YEAR(TODAY()),MONTH(TODAY())+9,1))-YEAR(Tools!$Q90))*12+MONTH(DATE(YEAR(TODAY()),MONTH(TODAY())+9,1))-MONTH(Tools!$Q90)))&lt;Tools!$L90)),Tools!$N90,""))</f>
        <v/>
      </c>
      <c r="M91" s="30">
        <f>IF(OR(Tools!$B90="",Tools!$Q90=""),"",IF(AND(((YEAR(DATE(YEAR(TODAY()),MONTH(TODAY())+10,1))-YEAR(Tools!$Q90))*12+MONTH(DATE(YEAR(TODAY()),MONTH(TODAY())+10,1))-MONTH(Tools!$Q90))&gt;=0,MOD(((YEAR(DATE(YEAR(TODAY()),MONTH(TODAY())+10,1))-YEAR(Tools!$Q90))*12+MONTH(DATE(YEAR(TODAY()),MONTH(TODAY())+10,1))-MONTH(Tools!$Q90)),Tools!$U90)=0,OR(Tools!$L90="",EDATE(Tools!$Q90,((YEAR(DATE(YEAR(TODAY()),MONTH(TODAY())+10,1))-YEAR(Tools!$Q90))*12+MONTH(DATE(YEAR(TODAY()),MONTH(TODAY())+10,1))-MONTH(Tools!$Q90)))&lt;Tools!$L90)),Tools!$N90,""))</f>
        <v/>
      </c>
      <c r="N91" s="30">
        <f>IF(OR(Tools!$B90="",Tools!$Q90=""),"",IF(AND(((YEAR(DATE(YEAR(TODAY()),MONTH(TODAY())+11,1))-YEAR(Tools!$Q90))*12+MONTH(DATE(YEAR(TODAY()),MONTH(TODAY())+11,1))-MONTH(Tools!$Q90))&gt;=0,MOD(((YEAR(DATE(YEAR(TODAY()),MONTH(TODAY())+11,1))-YEAR(Tools!$Q90))*12+MONTH(DATE(YEAR(TODAY()),MONTH(TODAY())+11,1))-MONTH(Tools!$Q90)),Tools!$U90)=0,OR(Tools!$L90="",EDATE(Tools!$Q90,((YEAR(DATE(YEAR(TODAY()),MONTH(TODAY())+11,1))-YEAR(Tools!$Q90))*12+MONTH(DATE(YEAR(TODAY()),MONTH(TODAY())+11,1))-MONTH(Tools!$Q90)))&lt;Tools!$L90)),Tools!$N90,""))</f>
        <v/>
      </c>
      <c r="O91" s="31">
        <f>IF(B91="","",SUM(C91:N91))</f>
        <v/>
      </c>
      <c r="P91" s="1" t="n"/>
    </row>
    <row r="92">
      <c r="A92" s="1" t="n"/>
      <c r="B92" s="11">
        <f>IF(Tools!B91="","",Tools!B91)</f>
        <v/>
      </c>
      <c r="C92" s="30">
        <f>IF(OR(Tools!$B91="",Tools!$Q91=""),"",IF(AND(((YEAR(DATE(YEAR(TODAY()),MONTH(TODAY())+0,1))-YEAR(Tools!$Q91))*12+MONTH(DATE(YEAR(TODAY()),MONTH(TODAY())+0,1))-MONTH(Tools!$Q91))&gt;=0,MOD(((YEAR(DATE(YEAR(TODAY()),MONTH(TODAY())+0,1))-YEAR(Tools!$Q91))*12+MONTH(DATE(YEAR(TODAY()),MONTH(TODAY())+0,1))-MONTH(Tools!$Q91)),Tools!$U91)=0,OR(Tools!$L91="",EDATE(Tools!$Q91,((YEAR(DATE(YEAR(TODAY()),MONTH(TODAY())+0,1))-YEAR(Tools!$Q91))*12+MONTH(DATE(YEAR(TODAY()),MONTH(TODAY())+0,1))-MONTH(Tools!$Q91)))&lt;Tools!$L91)),Tools!$N91,""))</f>
        <v/>
      </c>
      <c r="D92" s="30">
        <f>IF(OR(Tools!$B91="",Tools!$Q91=""),"",IF(AND(((YEAR(DATE(YEAR(TODAY()),MONTH(TODAY())+1,1))-YEAR(Tools!$Q91))*12+MONTH(DATE(YEAR(TODAY()),MONTH(TODAY())+1,1))-MONTH(Tools!$Q91))&gt;=0,MOD(((YEAR(DATE(YEAR(TODAY()),MONTH(TODAY())+1,1))-YEAR(Tools!$Q91))*12+MONTH(DATE(YEAR(TODAY()),MONTH(TODAY())+1,1))-MONTH(Tools!$Q91)),Tools!$U91)=0,OR(Tools!$L91="",EDATE(Tools!$Q91,((YEAR(DATE(YEAR(TODAY()),MONTH(TODAY())+1,1))-YEAR(Tools!$Q91))*12+MONTH(DATE(YEAR(TODAY()),MONTH(TODAY())+1,1))-MONTH(Tools!$Q91)))&lt;Tools!$L91)),Tools!$N91,""))</f>
        <v/>
      </c>
      <c r="E92" s="30">
        <f>IF(OR(Tools!$B91="",Tools!$Q91=""),"",IF(AND(((YEAR(DATE(YEAR(TODAY()),MONTH(TODAY())+2,1))-YEAR(Tools!$Q91))*12+MONTH(DATE(YEAR(TODAY()),MONTH(TODAY())+2,1))-MONTH(Tools!$Q91))&gt;=0,MOD(((YEAR(DATE(YEAR(TODAY()),MONTH(TODAY())+2,1))-YEAR(Tools!$Q91))*12+MONTH(DATE(YEAR(TODAY()),MONTH(TODAY())+2,1))-MONTH(Tools!$Q91)),Tools!$U91)=0,OR(Tools!$L91="",EDATE(Tools!$Q91,((YEAR(DATE(YEAR(TODAY()),MONTH(TODAY())+2,1))-YEAR(Tools!$Q91))*12+MONTH(DATE(YEAR(TODAY()),MONTH(TODAY())+2,1))-MONTH(Tools!$Q91)))&lt;Tools!$L91)),Tools!$N91,""))</f>
        <v/>
      </c>
      <c r="F92" s="30">
        <f>IF(OR(Tools!$B91="",Tools!$Q91=""),"",IF(AND(((YEAR(DATE(YEAR(TODAY()),MONTH(TODAY())+3,1))-YEAR(Tools!$Q91))*12+MONTH(DATE(YEAR(TODAY()),MONTH(TODAY())+3,1))-MONTH(Tools!$Q91))&gt;=0,MOD(((YEAR(DATE(YEAR(TODAY()),MONTH(TODAY())+3,1))-YEAR(Tools!$Q91))*12+MONTH(DATE(YEAR(TODAY()),MONTH(TODAY())+3,1))-MONTH(Tools!$Q91)),Tools!$U91)=0,OR(Tools!$L91="",EDATE(Tools!$Q91,((YEAR(DATE(YEAR(TODAY()),MONTH(TODAY())+3,1))-YEAR(Tools!$Q91))*12+MONTH(DATE(YEAR(TODAY()),MONTH(TODAY())+3,1))-MONTH(Tools!$Q91)))&lt;Tools!$L91)),Tools!$N91,""))</f>
        <v/>
      </c>
      <c r="G92" s="30">
        <f>IF(OR(Tools!$B91="",Tools!$Q91=""),"",IF(AND(((YEAR(DATE(YEAR(TODAY()),MONTH(TODAY())+4,1))-YEAR(Tools!$Q91))*12+MONTH(DATE(YEAR(TODAY()),MONTH(TODAY())+4,1))-MONTH(Tools!$Q91))&gt;=0,MOD(((YEAR(DATE(YEAR(TODAY()),MONTH(TODAY())+4,1))-YEAR(Tools!$Q91))*12+MONTH(DATE(YEAR(TODAY()),MONTH(TODAY())+4,1))-MONTH(Tools!$Q91)),Tools!$U91)=0,OR(Tools!$L91="",EDATE(Tools!$Q91,((YEAR(DATE(YEAR(TODAY()),MONTH(TODAY())+4,1))-YEAR(Tools!$Q91))*12+MONTH(DATE(YEAR(TODAY()),MONTH(TODAY())+4,1))-MONTH(Tools!$Q91)))&lt;Tools!$L91)),Tools!$N91,""))</f>
        <v/>
      </c>
      <c r="H92" s="30">
        <f>IF(OR(Tools!$B91="",Tools!$Q91=""),"",IF(AND(((YEAR(DATE(YEAR(TODAY()),MONTH(TODAY())+5,1))-YEAR(Tools!$Q91))*12+MONTH(DATE(YEAR(TODAY()),MONTH(TODAY())+5,1))-MONTH(Tools!$Q91))&gt;=0,MOD(((YEAR(DATE(YEAR(TODAY()),MONTH(TODAY())+5,1))-YEAR(Tools!$Q91))*12+MONTH(DATE(YEAR(TODAY()),MONTH(TODAY())+5,1))-MONTH(Tools!$Q91)),Tools!$U91)=0,OR(Tools!$L91="",EDATE(Tools!$Q91,((YEAR(DATE(YEAR(TODAY()),MONTH(TODAY())+5,1))-YEAR(Tools!$Q91))*12+MONTH(DATE(YEAR(TODAY()),MONTH(TODAY())+5,1))-MONTH(Tools!$Q91)))&lt;Tools!$L91)),Tools!$N91,""))</f>
        <v/>
      </c>
      <c r="I92" s="30">
        <f>IF(OR(Tools!$B91="",Tools!$Q91=""),"",IF(AND(((YEAR(DATE(YEAR(TODAY()),MONTH(TODAY())+6,1))-YEAR(Tools!$Q91))*12+MONTH(DATE(YEAR(TODAY()),MONTH(TODAY())+6,1))-MONTH(Tools!$Q91))&gt;=0,MOD(((YEAR(DATE(YEAR(TODAY()),MONTH(TODAY())+6,1))-YEAR(Tools!$Q91))*12+MONTH(DATE(YEAR(TODAY()),MONTH(TODAY())+6,1))-MONTH(Tools!$Q91)),Tools!$U91)=0,OR(Tools!$L91="",EDATE(Tools!$Q91,((YEAR(DATE(YEAR(TODAY()),MONTH(TODAY())+6,1))-YEAR(Tools!$Q91))*12+MONTH(DATE(YEAR(TODAY()),MONTH(TODAY())+6,1))-MONTH(Tools!$Q91)))&lt;Tools!$L91)),Tools!$N91,""))</f>
        <v/>
      </c>
      <c r="J92" s="30">
        <f>IF(OR(Tools!$B91="",Tools!$Q91=""),"",IF(AND(((YEAR(DATE(YEAR(TODAY()),MONTH(TODAY())+7,1))-YEAR(Tools!$Q91))*12+MONTH(DATE(YEAR(TODAY()),MONTH(TODAY())+7,1))-MONTH(Tools!$Q91))&gt;=0,MOD(((YEAR(DATE(YEAR(TODAY()),MONTH(TODAY())+7,1))-YEAR(Tools!$Q91))*12+MONTH(DATE(YEAR(TODAY()),MONTH(TODAY())+7,1))-MONTH(Tools!$Q91)),Tools!$U91)=0,OR(Tools!$L91="",EDATE(Tools!$Q91,((YEAR(DATE(YEAR(TODAY()),MONTH(TODAY())+7,1))-YEAR(Tools!$Q91))*12+MONTH(DATE(YEAR(TODAY()),MONTH(TODAY())+7,1))-MONTH(Tools!$Q91)))&lt;Tools!$L91)),Tools!$N91,""))</f>
        <v/>
      </c>
      <c r="K92" s="30">
        <f>IF(OR(Tools!$B91="",Tools!$Q91=""),"",IF(AND(((YEAR(DATE(YEAR(TODAY()),MONTH(TODAY())+8,1))-YEAR(Tools!$Q91))*12+MONTH(DATE(YEAR(TODAY()),MONTH(TODAY())+8,1))-MONTH(Tools!$Q91))&gt;=0,MOD(((YEAR(DATE(YEAR(TODAY()),MONTH(TODAY())+8,1))-YEAR(Tools!$Q91))*12+MONTH(DATE(YEAR(TODAY()),MONTH(TODAY())+8,1))-MONTH(Tools!$Q91)),Tools!$U91)=0,OR(Tools!$L91="",EDATE(Tools!$Q91,((YEAR(DATE(YEAR(TODAY()),MONTH(TODAY())+8,1))-YEAR(Tools!$Q91))*12+MONTH(DATE(YEAR(TODAY()),MONTH(TODAY())+8,1))-MONTH(Tools!$Q91)))&lt;Tools!$L91)),Tools!$N91,""))</f>
        <v/>
      </c>
      <c r="L92" s="30">
        <f>IF(OR(Tools!$B91="",Tools!$Q91=""),"",IF(AND(((YEAR(DATE(YEAR(TODAY()),MONTH(TODAY())+9,1))-YEAR(Tools!$Q91))*12+MONTH(DATE(YEAR(TODAY()),MONTH(TODAY())+9,1))-MONTH(Tools!$Q91))&gt;=0,MOD(((YEAR(DATE(YEAR(TODAY()),MONTH(TODAY())+9,1))-YEAR(Tools!$Q91))*12+MONTH(DATE(YEAR(TODAY()),MONTH(TODAY())+9,1))-MONTH(Tools!$Q91)),Tools!$U91)=0,OR(Tools!$L91="",EDATE(Tools!$Q91,((YEAR(DATE(YEAR(TODAY()),MONTH(TODAY())+9,1))-YEAR(Tools!$Q91))*12+MONTH(DATE(YEAR(TODAY()),MONTH(TODAY())+9,1))-MONTH(Tools!$Q91)))&lt;Tools!$L91)),Tools!$N91,""))</f>
        <v/>
      </c>
      <c r="M92" s="30">
        <f>IF(OR(Tools!$B91="",Tools!$Q91=""),"",IF(AND(((YEAR(DATE(YEAR(TODAY()),MONTH(TODAY())+10,1))-YEAR(Tools!$Q91))*12+MONTH(DATE(YEAR(TODAY()),MONTH(TODAY())+10,1))-MONTH(Tools!$Q91))&gt;=0,MOD(((YEAR(DATE(YEAR(TODAY()),MONTH(TODAY())+10,1))-YEAR(Tools!$Q91))*12+MONTH(DATE(YEAR(TODAY()),MONTH(TODAY())+10,1))-MONTH(Tools!$Q91)),Tools!$U91)=0,OR(Tools!$L91="",EDATE(Tools!$Q91,((YEAR(DATE(YEAR(TODAY()),MONTH(TODAY())+10,1))-YEAR(Tools!$Q91))*12+MONTH(DATE(YEAR(TODAY()),MONTH(TODAY())+10,1))-MONTH(Tools!$Q91)))&lt;Tools!$L91)),Tools!$N91,""))</f>
        <v/>
      </c>
      <c r="N92" s="30">
        <f>IF(OR(Tools!$B91="",Tools!$Q91=""),"",IF(AND(((YEAR(DATE(YEAR(TODAY()),MONTH(TODAY())+11,1))-YEAR(Tools!$Q91))*12+MONTH(DATE(YEAR(TODAY()),MONTH(TODAY())+11,1))-MONTH(Tools!$Q91))&gt;=0,MOD(((YEAR(DATE(YEAR(TODAY()),MONTH(TODAY())+11,1))-YEAR(Tools!$Q91))*12+MONTH(DATE(YEAR(TODAY()),MONTH(TODAY())+11,1))-MONTH(Tools!$Q91)),Tools!$U91)=0,OR(Tools!$L91="",EDATE(Tools!$Q91,((YEAR(DATE(YEAR(TODAY()),MONTH(TODAY())+11,1))-YEAR(Tools!$Q91))*12+MONTH(DATE(YEAR(TODAY()),MONTH(TODAY())+11,1))-MONTH(Tools!$Q91)))&lt;Tools!$L91)),Tools!$N91,""))</f>
        <v/>
      </c>
      <c r="O92" s="31">
        <f>IF(B92="","",SUM(C92:N92))</f>
        <v/>
      </c>
      <c r="P92" s="1" t="n"/>
    </row>
    <row r="93">
      <c r="A93" s="1" t="n"/>
      <c r="B93" s="11">
        <f>IF(Tools!B92="","",Tools!B92)</f>
        <v/>
      </c>
      <c r="C93" s="30">
        <f>IF(OR(Tools!$B92="",Tools!$Q92=""),"",IF(AND(((YEAR(DATE(YEAR(TODAY()),MONTH(TODAY())+0,1))-YEAR(Tools!$Q92))*12+MONTH(DATE(YEAR(TODAY()),MONTH(TODAY())+0,1))-MONTH(Tools!$Q92))&gt;=0,MOD(((YEAR(DATE(YEAR(TODAY()),MONTH(TODAY())+0,1))-YEAR(Tools!$Q92))*12+MONTH(DATE(YEAR(TODAY()),MONTH(TODAY())+0,1))-MONTH(Tools!$Q92)),Tools!$U92)=0,OR(Tools!$L92="",EDATE(Tools!$Q92,((YEAR(DATE(YEAR(TODAY()),MONTH(TODAY())+0,1))-YEAR(Tools!$Q92))*12+MONTH(DATE(YEAR(TODAY()),MONTH(TODAY())+0,1))-MONTH(Tools!$Q92)))&lt;Tools!$L92)),Tools!$N92,""))</f>
        <v/>
      </c>
      <c r="D93" s="30">
        <f>IF(OR(Tools!$B92="",Tools!$Q92=""),"",IF(AND(((YEAR(DATE(YEAR(TODAY()),MONTH(TODAY())+1,1))-YEAR(Tools!$Q92))*12+MONTH(DATE(YEAR(TODAY()),MONTH(TODAY())+1,1))-MONTH(Tools!$Q92))&gt;=0,MOD(((YEAR(DATE(YEAR(TODAY()),MONTH(TODAY())+1,1))-YEAR(Tools!$Q92))*12+MONTH(DATE(YEAR(TODAY()),MONTH(TODAY())+1,1))-MONTH(Tools!$Q92)),Tools!$U92)=0,OR(Tools!$L92="",EDATE(Tools!$Q92,((YEAR(DATE(YEAR(TODAY()),MONTH(TODAY())+1,1))-YEAR(Tools!$Q92))*12+MONTH(DATE(YEAR(TODAY()),MONTH(TODAY())+1,1))-MONTH(Tools!$Q92)))&lt;Tools!$L92)),Tools!$N92,""))</f>
        <v/>
      </c>
      <c r="E93" s="30">
        <f>IF(OR(Tools!$B92="",Tools!$Q92=""),"",IF(AND(((YEAR(DATE(YEAR(TODAY()),MONTH(TODAY())+2,1))-YEAR(Tools!$Q92))*12+MONTH(DATE(YEAR(TODAY()),MONTH(TODAY())+2,1))-MONTH(Tools!$Q92))&gt;=0,MOD(((YEAR(DATE(YEAR(TODAY()),MONTH(TODAY())+2,1))-YEAR(Tools!$Q92))*12+MONTH(DATE(YEAR(TODAY()),MONTH(TODAY())+2,1))-MONTH(Tools!$Q92)),Tools!$U92)=0,OR(Tools!$L92="",EDATE(Tools!$Q92,((YEAR(DATE(YEAR(TODAY()),MONTH(TODAY())+2,1))-YEAR(Tools!$Q92))*12+MONTH(DATE(YEAR(TODAY()),MONTH(TODAY())+2,1))-MONTH(Tools!$Q92)))&lt;Tools!$L92)),Tools!$N92,""))</f>
        <v/>
      </c>
      <c r="F93" s="30">
        <f>IF(OR(Tools!$B92="",Tools!$Q92=""),"",IF(AND(((YEAR(DATE(YEAR(TODAY()),MONTH(TODAY())+3,1))-YEAR(Tools!$Q92))*12+MONTH(DATE(YEAR(TODAY()),MONTH(TODAY())+3,1))-MONTH(Tools!$Q92))&gt;=0,MOD(((YEAR(DATE(YEAR(TODAY()),MONTH(TODAY())+3,1))-YEAR(Tools!$Q92))*12+MONTH(DATE(YEAR(TODAY()),MONTH(TODAY())+3,1))-MONTH(Tools!$Q92)),Tools!$U92)=0,OR(Tools!$L92="",EDATE(Tools!$Q92,((YEAR(DATE(YEAR(TODAY()),MONTH(TODAY())+3,1))-YEAR(Tools!$Q92))*12+MONTH(DATE(YEAR(TODAY()),MONTH(TODAY())+3,1))-MONTH(Tools!$Q92)))&lt;Tools!$L92)),Tools!$N92,""))</f>
        <v/>
      </c>
      <c r="G93" s="30">
        <f>IF(OR(Tools!$B92="",Tools!$Q92=""),"",IF(AND(((YEAR(DATE(YEAR(TODAY()),MONTH(TODAY())+4,1))-YEAR(Tools!$Q92))*12+MONTH(DATE(YEAR(TODAY()),MONTH(TODAY())+4,1))-MONTH(Tools!$Q92))&gt;=0,MOD(((YEAR(DATE(YEAR(TODAY()),MONTH(TODAY())+4,1))-YEAR(Tools!$Q92))*12+MONTH(DATE(YEAR(TODAY()),MONTH(TODAY())+4,1))-MONTH(Tools!$Q92)),Tools!$U92)=0,OR(Tools!$L92="",EDATE(Tools!$Q92,((YEAR(DATE(YEAR(TODAY()),MONTH(TODAY())+4,1))-YEAR(Tools!$Q92))*12+MONTH(DATE(YEAR(TODAY()),MONTH(TODAY())+4,1))-MONTH(Tools!$Q92)))&lt;Tools!$L92)),Tools!$N92,""))</f>
        <v/>
      </c>
      <c r="H93" s="30">
        <f>IF(OR(Tools!$B92="",Tools!$Q92=""),"",IF(AND(((YEAR(DATE(YEAR(TODAY()),MONTH(TODAY())+5,1))-YEAR(Tools!$Q92))*12+MONTH(DATE(YEAR(TODAY()),MONTH(TODAY())+5,1))-MONTH(Tools!$Q92))&gt;=0,MOD(((YEAR(DATE(YEAR(TODAY()),MONTH(TODAY())+5,1))-YEAR(Tools!$Q92))*12+MONTH(DATE(YEAR(TODAY()),MONTH(TODAY())+5,1))-MONTH(Tools!$Q92)),Tools!$U92)=0,OR(Tools!$L92="",EDATE(Tools!$Q92,((YEAR(DATE(YEAR(TODAY()),MONTH(TODAY())+5,1))-YEAR(Tools!$Q92))*12+MONTH(DATE(YEAR(TODAY()),MONTH(TODAY())+5,1))-MONTH(Tools!$Q92)))&lt;Tools!$L92)),Tools!$N92,""))</f>
        <v/>
      </c>
      <c r="I93" s="30">
        <f>IF(OR(Tools!$B92="",Tools!$Q92=""),"",IF(AND(((YEAR(DATE(YEAR(TODAY()),MONTH(TODAY())+6,1))-YEAR(Tools!$Q92))*12+MONTH(DATE(YEAR(TODAY()),MONTH(TODAY())+6,1))-MONTH(Tools!$Q92))&gt;=0,MOD(((YEAR(DATE(YEAR(TODAY()),MONTH(TODAY())+6,1))-YEAR(Tools!$Q92))*12+MONTH(DATE(YEAR(TODAY()),MONTH(TODAY())+6,1))-MONTH(Tools!$Q92)),Tools!$U92)=0,OR(Tools!$L92="",EDATE(Tools!$Q92,((YEAR(DATE(YEAR(TODAY()),MONTH(TODAY())+6,1))-YEAR(Tools!$Q92))*12+MONTH(DATE(YEAR(TODAY()),MONTH(TODAY())+6,1))-MONTH(Tools!$Q92)))&lt;Tools!$L92)),Tools!$N92,""))</f>
        <v/>
      </c>
      <c r="J93" s="30">
        <f>IF(OR(Tools!$B92="",Tools!$Q92=""),"",IF(AND(((YEAR(DATE(YEAR(TODAY()),MONTH(TODAY())+7,1))-YEAR(Tools!$Q92))*12+MONTH(DATE(YEAR(TODAY()),MONTH(TODAY())+7,1))-MONTH(Tools!$Q92))&gt;=0,MOD(((YEAR(DATE(YEAR(TODAY()),MONTH(TODAY())+7,1))-YEAR(Tools!$Q92))*12+MONTH(DATE(YEAR(TODAY()),MONTH(TODAY())+7,1))-MONTH(Tools!$Q92)),Tools!$U92)=0,OR(Tools!$L92="",EDATE(Tools!$Q92,((YEAR(DATE(YEAR(TODAY()),MONTH(TODAY())+7,1))-YEAR(Tools!$Q92))*12+MONTH(DATE(YEAR(TODAY()),MONTH(TODAY())+7,1))-MONTH(Tools!$Q92)))&lt;Tools!$L92)),Tools!$N92,""))</f>
        <v/>
      </c>
      <c r="K93" s="30">
        <f>IF(OR(Tools!$B92="",Tools!$Q92=""),"",IF(AND(((YEAR(DATE(YEAR(TODAY()),MONTH(TODAY())+8,1))-YEAR(Tools!$Q92))*12+MONTH(DATE(YEAR(TODAY()),MONTH(TODAY())+8,1))-MONTH(Tools!$Q92))&gt;=0,MOD(((YEAR(DATE(YEAR(TODAY()),MONTH(TODAY())+8,1))-YEAR(Tools!$Q92))*12+MONTH(DATE(YEAR(TODAY()),MONTH(TODAY())+8,1))-MONTH(Tools!$Q92)),Tools!$U92)=0,OR(Tools!$L92="",EDATE(Tools!$Q92,((YEAR(DATE(YEAR(TODAY()),MONTH(TODAY())+8,1))-YEAR(Tools!$Q92))*12+MONTH(DATE(YEAR(TODAY()),MONTH(TODAY())+8,1))-MONTH(Tools!$Q92)))&lt;Tools!$L92)),Tools!$N92,""))</f>
        <v/>
      </c>
      <c r="L93" s="30">
        <f>IF(OR(Tools!$B92="",Tools!$Q92=""),"",IF(AND(((YEAR(DATE(YEAR(TODAY()),MONTH(TODAY())+9,1))-YEAR(Tools!$Q92))*12+MONTH(DATE(YEAR(TODAY()),MONTH(TODAY())+9,1))-MONTH(Tools!$Q92))&gt;=0,MOD(((YEAR(DATE(YEAR(TODAY()),MONTH(TODAY())+9,1))-YEAR(Tools!$Q92))*12+MONTH(DATE(YEAR(TODAY()),MONTH(TODAY())+9,1))-MONTH(Tools!$Q92)),Tools!$U92)=0,OR(Tools!$L92="",EDATE(Tools!$Q92,((YEAR(DATE(YEAR(TODAY()),MONTH(TODAY())+9,1))-YEAR(Tools!$Q92))*12+MONTH(DATE(YEAR(TODAY()),MONTH(TODAY())+9,1))-MONTH(Tools!$Q92)))&lt;Tools!$L92)),Tools!$N92,""))</f>
        <v/>
      </c>
      <c r="M93" s="30">
        <f>IF(OR(Tools!$B92="",Tools!$Q92=""),"",IF(AND(((YEAR(DATE(YEAR(TODAY()),MONTH(TODAY())+10,1))-YEAR(Tools!$Q92))*12+MONTH(DATE(YEAR(TODAY()),MONTH(TODAY())+10,1))-MONTH(Tools!$Q92))&gt;=0,MOD(((YEAR(DATE(YEAR(TODAY()),MONTH(TODAY())+10,1))-YEAR(Tools!$Q92))*12+MONTH(DATE(YEAR(TODAY()),MONTH(TODAY())+10,1))-MONTH(Tools!$Q92)),Tools!$U92)=0,OR(Tools!$L92="",EDATE(Tools!$Q92,((YEAR(DATE(YEAR(TODAY()),MONTH(TODAY())+10,1))-YEAR(Tools!$Q92))*12+MONTH(DATE(YEAR(TODAY()),MONTH(TODAY())+10,1))-MONTH(Tools!$Q92)))&lt;Tools!$L92)),Tools!$N92,""))</f>
        <v/>
      </c>
      <c r="N93" s="30">
        <f>IF(OR(Tools!$B92="",Tools!$Q92=""),"",IF(AND(((YEAR(DATE(YEAR(TODAY()),MONTH(TODAY())+11,1))-YEAR(Tools!$Q92))*12+MONTH(DATE(YEAR(TODAY()),MONTH(TODAY())+11,1))-MONTH(Tools!$Q92))&gt;=0,MOD(((YEAR(DATE(YEAR(TODAY()),MONTH(TODAY())+11,1))-YEAR(Tools!$Q92))*12+MONTH(DATE(YEAR(TODAY()),MONTH(TODAY())+11,1))-MONTH(Tools!$Q92)),Tools!$U92)=0,OR(Tools!$L92="",EDATE(Tools!$Q92,((YEAR(DATE(YEAR(TODAY()),MONTH(TODAY())+11,1))-YEAR(Tools!$Q92))*12+MONTH(DATE(YEAR(TODAY()),MONTH(TODAY())+11,1))-MONTH(Tools!$Q92)))&lt;Tools!$L92)),Tools!$N92,""))</f>
        <v/>
      </c>
      <c r="O93" s="31">
        <f>IF(B93="","",SUM(C93:N93))</f>
        <v/>
      </c>
      <c r="P93" s="1" t="n"/>
    </row>
    <row r="94">
      <c r="A94" s="1" t="n"/>
      <c r="B94" s="11">
        <f>IF(Tools!B93="","",Tools!B93)</f>
        <v/>
      </c>
      <c r="C94" s="30">
        <f>IF(OR(Tools!$B93="",Tools!$Q93=""),"",IF(AND(((YEAR(DATE(YEAR(TODAY()),MONTH(TODAY())+0,1))-YEAR(Tools!$Q93))*12+MONTH(DATE(YEAR(TODAY()),MONTH(TODAY())+0,1))-MONTH(Tools!$Q93))&gt;=0,MOD(((YEAR(DATE(YEAR(TODAY()),MONTH(TODAY())+0,1))-YEAR(Tools!$Q93))*12+MONTH(DATE(YEAR(TODAY()),MONTH(TODAY())+0,1))-MONTH(Tools!$Q93)),Tools!$U93)=0,OR(Tools!$L93="",EDATE(Tools!$Q93,((YEAR(DATE(YEAR(TODAY()),MONTH(TODAY())+0,1))-YEAR(Tools!$Q93))*12+MONTH(DATE(YEAR(TODAY()),MONTH(TODAY())+0,1))-MONTH(Tools!$Q93)))&lt;Tools!$L93)),Tools!$N93,""))</f>
        <v/>
      </c>
      <c r="D94" s="30">
        <f>IF(OR(Tools!$B93="",Tools!$Q93=""),"",IF(AND(((YEAR(DATE(YEAR(TODAY()),MONTH(TODAY())+1,1))-YEAR(Tools!$Q93))*12+MONTH(DATE(YEAR(TODAY()),MONTH(TODAY())+1,1))-MONTH(Tools!$Q93))&gt;=0,MOD(((YEAR(DATE(YEAR(TODAY()),MONTH(TODAY())+1,1))-YEAR(Tools!$Q93))*12+MONTH(DATE(YEAR(TODAY()),MONTH(TODAY())+1,1))-MONTH(Tools!$Q93)),Tools!$U93)=0,OR(Tools!$L93="",EDATE(Tools!$Q93,((YEAR(DATE(YEAR(TODAY()),MONTH(TODAY())+1,1))-YEAR(Tools!$Q93))*12+MONTH(DATE(YEAR(TODAY()),MONTH(TODAY())+1,1))-MONTH(Tools!$Q93)))&lt;Tools!$L93)),Tools!$N93,""))</f>
        <v/>
      </c>
      <c r="E94" s="30">
        <f>IF(OR(Tools!$B93="",Tools!$Q93=""),"",IF(AND(((YEAR(DATE(YEAR(TODAY()),MONTH(TODAY())+2,1))-YEAR(Tools!$Q93))*12+MONTH(DATE(YEAR(TODAY()),MONTH(TODAY())+2,1))-MONTH(Tools!$Q93))&gt;=0,MOD(((YEAR(DATE(YEAR(TODAY()),MONTH(TODAY())+2,1))-YEAR(Tools!$Q93))*12+MONTH(DATE(YEAR(TODAY()),MONTH(TODAY())+2,1))-MONTH(Tools!$Q93)),Tools!$U93)=0,OR(Tools!$L93="",EDATE(Tools!$Q93,((YEAR(DATE(YEAR(TODAY()),MONTH(TODAY())+2,1))-YEAR(Tools!$Q93))*12+MONTH(DATE(YEAR(TODAY()),MONTH(TODAY())+2,1))-MONTH(Tools!$Q93)))&lt;Tools!$L93)),Tools!$N93,""))</f>
        <v/>
      </c>
      <c r="F94" s="30">
        <f>IF(OR(Tools!$B93="",Tools!$Q93=""),"",IF(AND(((YEAR(DATE(YEAR(TODAY()),MONTH(TODAY())+3,1))-YEAR(Tools!$Q93))*12+MONTH(DATE(YEAR(TODAY()),MONTH(TODAY())+3,1))-MONTH(Tools!$Q93))&gt;=0,MOD(((YEAR(DATE(YEAR(TODAY()),MONTH(TODAY())+3,1))-YEAR(Tools!$Q93))*12+MONTH(DATE(YEAR(TODAY()),MONTH(TODAY())+3,1))-MONTH(Tools!$Q93)),Tools!$U93)=0,OR(Tools!$L93="",EDATE(Tools!$Q93,((YEAR(DATE(YEAR(TODAY()),MONTH(TODAY())+3,1))-YEAR(Tools!$Q93))*12+MONTH(DATE(YEAR(TODAY()),MONTH(TODAY())+3,1))-MONTH(Tools!$Q93)))&lt;Tools!$L93)),Tools!$N93,""))</f>
        <v/>
      </c>
      <c r="G94" s="30">
        <f>IF(OR(Tools!$B93="",Tools!$Q93=""),"",IF(AND(((YEAR(DATE(YEAR(TODAY()),MONTH(TODAY())+4,1))-YEAR(Tools!$Q93))*12+MONTH(DATE(YEAR(TODAY()),MONTH(TODAY())+4,1))-MONTH(Tools!$Q93))&gt;=0,MOD(((YEAR(DATE(YEAR(TODAY()),MONTH(TODAY())+4,1))-YEAR(Tools!$Q93))*12+MONTH(DATE(YEAR(TODAY()),MONTH(TODAY())+4,1))-MONTH(Tools!$Q93)),Tools!$U93)=0,OR(Tools!$L93="",EDATE(Tools!$Q93,((YEAR(DATE(YEAR(TODAY()),MONTH(TODAY())+4,1))-YEAR(Tools!$Q93))*12+MONTH(DATE(YEAR(TODAY()),MONTH(TODAY())+4,1))-MONTH(Tools!$Q93)))&lt;Tools!$L93)),Tools!$N93,""))</f>
        <v/>
      </c>
      <c r="H94" s="30">
        <f>IF(OR(Tools!$B93="",Tools!$Q93=""),"",IF(AND(((YEAR(DATE(YEAR(TODAY()),MONTH(TODAY())+5,1))-YEAR(Tools!$Q93))*12+MONTH(DATE(YEAR(TODAY()),MONTH(TODAY())+5,1))-MONTH(Tools!$Q93))&gt;=0,MOD(((YEAR(DATE(YEAR(TODAY()),MONTH(TODAY())+5,1))-YEAR(Tools!$Q93))*12+MONTH(DATE(YEAR(TODAY()),MONTH(TODAY())+5,1))-MONTH(Tools!$Q93)),Tools!$U93)=0,OR(Tools!$L93="",EDATE(Tools!$Q93,((YEAR(DATE(YEAR(TODAY()),MONTH(TODAY())+5,1))-YEAR(Tools!$Q93))*12+MONTH(DATE(YEAR(TODAY()),MONTH(TODAY())+5,1))-MONTH(Tools!$Q93)))&lt;Tools!$L93)),Tools!$N93,""))</f>
        <v/>
      </c>
      <c r="I94" s="30">
        <f>IF(OR(Tools!$B93="",Tools!$Q93=""),"",IF(AND(((YEAR(DATE(YEAR(TODAY()),MONTH(TODAY())+6,1))-YEAR(Tools!$Q93))*12+MONTH(DATE(YEAR(TODAY()),MONTH(TODAY())+6,1))-MONTH(Tools!$Q93))&gt;=0,MOD(((YEAR(DATE(YEAR(TODAY()),MONTH(TODAY())+6,1))-YEAR(Tools!$Q93))*12+MONTH(DATE(YEAR(TODAY()),MONTH(TODAY())+6,1))-MONTH(Tools!$Q93)),Tools!$U93)=0,OR(Tools!$L93="",EDATE(Tools!$Q93,((YEAR(DATE(YEAR(TODAY()),MONTH(TODAY())+6,1))-YEAR(Tools!$Q93))*12+MONTH(DATE(YEAR(TODAY()),MONTH(TODAY())+6,1))-MONTH(Tools!$Q93)))&lt;Tools!$L93)),Tools!$N93,""))</f>
        <v/>
      </c>
      <c r="J94" s="30">
        <f>IF(OR(Tools!$B93="",Tools!$Q93=""),"",IF(AND(((YEAR(DATE(YEAR(TODAY()),MONTH(TODAY())+7,1))-YEAR(Tools!$Q93))*12+MONTH(DATE(YEAR(TODAY()),MONTH(TODAY())+7,1))-MONTH(Tools!$Q93))&gt;=0,MOD(((YEAR(DATE(YEAR(TODAY()),MONTH(TODAY())+7,1))-YEAR(Tools!$Q93))*12+MONTH(DATE(YEAR(TODAY()),MONTH(TODAY())+7,1))-MONTH(Tools!$Q93)),Tools!$U93)=0,OR(Tools!$L93="",EDATE(Tools!$Q93,((YEAR(DATE(YEAR(TODAY()),MONTH(TODAY())+7,1))-YEAR(Tools!$Q93))*12+MONTH(DATE(YEAR(TODAY()),MONTH(TODAY())+7,1))-MONTH(Tools!$Q93)))&lt;Tools!$L93)),Tools!$N93,""))</f>
        <v/>
      </c>
      <c r="K94" s="30">
        <f>IF(OR(Tools!$B93="",Tools!$Q93=""),"",IF(AND(((YEAR(DATE(YEAR(TODAY()),MONTH(TODAY())+8,1))-YEAR(Tools!$Q93))*12+MONTH(DATE(YEAR(TODAY()),MONTH(TODAY())+8,1))-MONTH(Tools!$Q93))&gt;=0,MOD(((YEAR(DATE(YEAR(TODAY()),MONTH(TODAY())+8,1))-YEAR(Tools!$Q93))*12+MONTH(DATE(YEAR(TODAY()),MONTH(TODAY())+8,1))-MONTH(Tools!$Q93)),Tools!$U93)=0,OR(Tools!$L93="",EDATE(Tools!$Q93,((YEAR(DATE(YEAR(TODAY()),MONTH(TODAY())+8,1))-YEAR(Tools!$Q93))*12+MONTH(DATE(YEAR(TODAY()),MONTH(TODAY())+8,1))-MONTH(Tools!$Q93)))&lt;Tools!$L93)),Tools!$N93,""))</f>
        <v/>
      </c>
      <c r="L94" s="30">
        <f>IF(OR(Tools!$B93="",Tools!$Q93=""),"",IF(AND(((YEAR(DATE(YEAR(TODAY()),MONTH(TODAY())+9,1))-YEAR(Tools!$Q93))*12+MONTH(DATE(YEAR(TODAY()),MONTH(TODAY())+9,1))-MONTH(Tools!$Q93))&gt;=0,MOD(((YEAR(DATE(YEAR(TODAY()),MONTH(TODAY())+9,1))-YEAR(Tools!$Q93))*12+MONTH(DATE(YEAR(TODAY()),MONTH(TODAY())+9,1))-MONTH(Tools!$Q93)),Tools!$U93)=0,OR(Tools!$L93="",EDATE(Tools!$Q93,((YEAR(DATE(YEAR(TODAY()),MONTH(TODAY())+9,1))-YEAR(Tools!$Q93))*12+MONTH(DATE(YEAR(TODAY()),MONTH(TODAY())+9,1))-MONTH(Tools!$Q93)))&lt;Tools!$L93)),Tools!$N93,""))</f>
        <v/>
      </c>
      <c r="M94" s="30">
        <f>IF(OR(Tools!$B93="",Tools!$Q93=""),"",IF(AND(((YEAR(DATE(YEAR(TODAY()),MONTH(TODAY())+10,1))-YEAR(Tools!$Q93))*12+MONTH(DATE(YEAR(TODAY()),MONTH(TODAY())+10,1))-MONTH(Tools!$Q93))&gt;=0,MOD(((YEAR(DATE(YEAR(TODAY()),MONTH(TODAY())+10,1))-YEAR(Tools!$Q93))*12+MONTH(DATE(YEAR(TODAY()),MONTH(TODAY())+10,1))-MONTH(Tools!$Q93)),Tools!$U93)=0,OR(Tools!$L93="",EDATE(Tools!$Q93,((YEAR(DATE(YEAR(TODAY()),MONTH(TODAY())+10,1))-YEAR(Tools!$Q93))*12+MONTH(DATE(YEAR(TODAY()),MONTH(TODAY())+10,1))-MONTH(Tools!$Q93)))&lt;Tools!$L93)),Tools!$N93,""))</f>
        <v/>
      </c>
      <c r="N94" s="30">
        <f>IF(OR(Tools!$B93="",Tools!$Q93=""),"",IF(AND(((YEAR(DATE(YEAR(TODAY()),MONTH(TODAY())+11,1))-YEAR(Tools!$Q93))*12+MONTH(DATE(YEAR(TODAY()),MONTH(TODAY())+11,1))-MONTH(Tools!$Q93))&gt;=0,MOD(((YEAR(DATE(YEAR(TODAY()),MONTH(TODAY())+11,1))-YEAR(Tools!$Q93))*12+MONTH(DATE(YEAR(TODAY()),MONTH(TODAY())+11,1))-MONTH(Tools!$Q93)),Tools!$U93)=0,OR(Tools!$L93="",EDATE(Tools!$Q93,((YEAR(DATE(YEAR(TODAY()),MONTH(TODAY())+11,1))-YEAR(Tools!$Q93))*12+MONTH(DATE(YEAR(TODAY()),MONTH(TODAY())+11,1))-MONTH(Tools!$Q93)))&lt;Tools!$L93)),Tools!$N93,""))</f>
        <v/>
      </c>
      <c r="O94" s="31">
        <f>IF(B94="","",SUM(C94:N94))</f>
        <v/>
      </c>
      <c r="P94" s="1" t="n"/>
    </row>
    <row r="95">
      <c r="A95" s="1" t="n"/>
      <c r="B95" s="11">
        <f>IF(Tools!B94="","",Tools!B94)</f>
        <v/>
      </c>
      <c r="C95" s="30">
        <f>IF(OR(Tools!$B94="",Tools!$Q94=""),"",IF(AND(((YEAR(DATE(YEAR(TODAY()),MONTH(TODAY())+0,1))-YEAR(Tools!$Q94))*12+MONTH(DATE(YEAR(TODAY()),MONTH(TODAY())+0,1))-MONTH(Tools!$Q94))&gt;=0,MOD(((YEAR(DATE(YEAR(TODAY()),MONTH(TODAY())+0,1))-YEAR(Tools!$Q94))*12+MONTH(DATE(YEAR(TODAY()),MONTH(TODAY())+0,1))-MONTH(Tools!$Q94)),Tools!$U94)=0,OR(Tools!$L94="",EDATE(Tools!$Q94,((YEAR(DATE(YEAR(TODAY()),MONTH(TODAY())+0,1))-YEAR(Tools!$Q94))*12+MONTH(DATE(YEAR(TODAY()),MONTH(TODAY())+0,1))-MONTH(Tools!$Q94)))&lt;Tools!$L94)),Tools!$N94,""))</f>
        <v/>
      </c>
      <c r="D95" s="30">
        <f>IF(OR(Tools!$B94="",Tools!$Q94=""),"",IF(AND(((YEAR(DATE(YEAR(TODAY()),MONTH(TODAY())+1,1))-YEAR(Tools!$Q94))*12+MONTH(DATE(YEAR(TODAY()),MONTH(TODAY())+1,1))-MONTH(Tools!$Q94))&gt;=0,MOD(((YEAR(DATE(YEAR(TODAY()),MONTH(TODAY())+1,1))-YEAR(Tools!$Q94))*12+MONTH(DATE(YEAR(TODAY()),MONTH(TODAY())+1,1))-MONTH(Tools!$Q94)),Tools!$U94)=0,OR(Tools!$L94="",EDATE(Tools!$Q94,((YEAR(DATE(YEAR(TODAY()),MONTH(TODAY())+1,1))-YEAR(Tools!$Q94))*12+MONTH(DATE(YEAR(TODAY()),MONTH(TODAY())+1,1))-MONTH(Tools!$Q94)))&lt;Tools!$L94)),Tools!$N94,""))</f>
        <v/>
      </c>
      <c r="E95" s="30">
        <f>IF(OR(Tools!$B94="",Tools!$Q94=""),"",IF(AND(((YEAR(DATE(YEAR(TODAY()),MONTH(TODAY())+2,1))-YEAR(Tools!$Q94))*12+MONTH(DATE(YEAR(TODAY()),MONTH(TODAY())+2,1))-MONTH(Tools!$Q94))&gt;=0,MOD(((YEAR(DATE(YEAR(TODAY()),MONTH(TODAY())+2,1))-YEAR(Tools!$Q94))*12+MONTH(DATE(YEAR(TODAY()),MONTH(TODAY())+2,1))-MONTH(Tools!$Q94)),Tools!$U94)=0,OR(Tools!$L94="",EDATE(Tools!$Q94,((YEAR(DATE(YEAR(TODAY()),MONTH(TODAY())+2,1))-YEAR(Tools!$Q94))*12+MONTH(DATE(YEAR(TODAY()),MONTH(TODAY())+2,1))-MONTH(Tools!$Q94)))&lt;Tools!$L94)),Tools!$N94,""))</f>
        <v/>
      </c>
      <c r="F95" s="30">
        <f>IF(OR(Tools!$B94="",Tools!$Q94=""),"",IF(AND(((YEAR(DATE(YEAR(TODAY()),MONTH(TODAY())+3,1))-YEAR(Tools!$Q94))*12+MONTH(DATE(YEAR(TODAY()),MONTH(TODAY())+3,1))-MONTH(Tools!$Q94))&gt;=0,MOD(((YEAR(DATE(YEAR(TODAY()),MONTH(TODAY())+3,1))-YEAR(Tools!$Q94))*12+MONTH(DATE(YEAR(TODAY()),MONTH(TODAY())+3,1))-MONTH(Tools!$Q94)),Tools!$U94)=0,OR(Tools!$L94="",EDATE(Tools!$Q94,((YEAR(DATE(YEAR(TODAY()),MONTH(TODAY())+3,1))-YEAR(Tools!$Q94))*12+MONTH(DATE(YEAR(TODAY()),MONTH(TODAY())+3,1))-MONTH(Tools!$Q94)))&lt;Tools!$L94)),Tools!$N94,""))</f>
        <v/>
      </c>
      <c r="G95" s="30">
        <f>IF(OR(Tools!$B94="",Tools!$Q94=""),"",IF(AND(((YEAR(DATE(YEAR(TODAY()),MONTH(TODAY())+4,1))-YEAR(Tools!$Q94))*12+MONTH(DATE(YEAR(TODAY()),MONTH(TODAY())+4,1))-MONTH(Tools!$Q94))&gt;=0,MOD(((YEAR(DATE(YEAR(TODAY()),MONTH(TODAY())+4,1))-YEAR(Tools!$Q94))*12+MONTH(DATE(YEAR(TODAY()),MONTH(TODAY())+4,1))-MONTH(Tools!$Q94)),Tools!$U94)=0,OR(Tools!$L94="",EDATE(Tools!$Q94,((YEAR(DATE(YEAR(TODAY()),MONTH(TODAY())+4,1))-YEAR(Tools!$Q94))*12+MONTH(DATE(YEAR(TODAY()),MONTH(TODAY())+4,1))-MONTH(Tools!$Q94)))&lt;Tools!$L94)),Tools!$N94,""))</f>
        <v/>
      </c>
      <c r="H95" s="30">
        <f>IF(OR(Tools!$B94="",Tools!$Q94=""),"",IF(AND(((YEAR(DATE(YEAR(TODAY()),MONTH(TODAY())+5,1))-YEAR(Tools!$Q94))*12+MONTH(DATE(YEAR(TODAY()),MONTH(TODAY())+5,1))-MONTH(Tools!$Q94))&gt;=0,MOD(((YEAR(DATE(YEAR(TODAY()),MONTH(TODAY())+5,1))-YEAR(Tools!$Q94))*12+MONTH(DATE(YEAR(TODAY()),MONTH(TODAY())+5,1))-MONTH(Tools!$Q94)),Tools!$U94)=0,OR(Tools!$L94="",EDATE(Tools!$Q94,((YEAR(DATE(YEAR(TODAY()),MONTH(TODAY())+5,1))-YEAR(Tools!$Q94))*12+MONTH(DATE(YEAR(TODAY()),MONTH(TODAY())+5,1))-MONTH(Tools!$Q94)))&lt;Tools!$L94)),Tools!$N94,""))</f>
        <v/>
      </c>
      <c r="I95" s="30">
        <f>IF(OR(Tools!$B94="",Tools!$Q94=""),"",IF(AND(((YEAR(DATE(YEAR(TODAY()),MONTH(TODAY())+6,1))-YEAR(Tools!$Q94))*12+MONTH(DATE(YEAR(TODAY()),MONTH(TODAY())+6,1))-MONTH(Tools!$Q94))&gt;=0,MOD(((YEAR(DATE(YEAR(TODAY()),MONTH(TODAY())+6,1))-YEAR(Tools!$Q94))*12+MONTH(DATE(YEAR(TODAY()),MONTH(TODAY())+6,1))-MONTH(Tools!$Q94)),Tools!$U94)=0,OR(Tools!$L94="",EDATE(Tools!$Q94,((YEAR(DATE(YEAR(TODAY()),MONTH(TODAY())+6,1))-YEAR(Tools!$Q94))*12+MONTH(DATE(YEAR(TODAY()),MONTH(TODAY())+6,1))-MONTH(Tools!$Q94)))&lt;Tools!$L94)),Tools!$N94,""))</f>
        <v/>
      </c>
      <c r="J95" s="30">
        <f>IF(OR(Tools!$B94="",Tools!$Q94=""),"",IF(AND(((YEAR(DATE(YEAR(TODAY()),MONTH(TODAY())+7,1))-YEAR(Tools!$Q94))*12+MONTH(DATE(YEAR(TODAY()),MONTH(TODAY())+7,1))-MONTH(Tools!$Q94))&gt;=0,MOD(((YEAR(DATE(YEAR(TODAY()),MONTH(TODAY())+7,1))-YEAR(Tools!$Q94))*12+MONTH(DATE(YEAR(TODAY()),MONTH(TODAY())+7,1))-MONTH(Tools!$Q94)),Tools!$U94)=0,OR(Tools!$L94="",EDATE(Tools!$Q94,((YEAR(DATE(YEAR(TODAY()),MONTH(TODAY())+7,1))-YEAR(Tools!$Q94))*12+MONTH(DATE(YEAR(TODAY()),MONTH(TODAY())+7,1))-MONTH(Tools!$Q94)))&lt;Tools!$L94)),Tools!$N94,""))</f>
        <v/>
      </c>
      <c r="K95" s="30">
        <f>IF(OR(Tools!$B94="",Tools!$Q94=""),"",IF(AND(((YEAR(DATE(YEAR(TODAY()),MONTH(TODAY())+8,1))-YEAR(Tools!$Q94))*12+MONTH(DATE(YEAR(TODAY()),MONTH(TODAY())+8,1))-MONTH(Tools!$Q94))&gt;=0,MOD(((YEAR(DATE(YEAR(TODAY()),MONTH(TODAY())+8,1))-YEAR(Tools!$Q94))*12+MONTH(DATE(YEAR(TODAY()),MONTH(TODAY())+8,1))-MONTH(Tools!$Q94)),Tools!$U94)=0,OR(Tools!$L94="",EDATE(Tools!$Q94,((YEAR(DATE(YEAR(TODAY()),MONTH(TODAY())+8,1))-YEAR(Tools!$Q94))*12+MONTH(DATE(YEAR(TODAY()),MONTH(TODAY())+8,1))-MONTH(Tools!$Q94)))&lt;Tools!$L94)),Tools!$N94,""))</f>
        <v/>
      </c>
      <c r="L95" s="30">
        <f>IF(OR(Tools!$B94="",Tools!$Q94=""),"",IF(AND(((YEAR(DATE(YEAR(TODAY()),MONTH(TODAY())+9,1))-YEAR(Tools!$Q94))*12+MONTH(DATE(YEAR(TODAY()),MONTH(TODAY())+9,1))-MONTH(Tools!$Q94))&gt;=0,MOD(((YEAR(DATE(YEAR(TODAY()),MONTH(TODAY())+9,1))-YEAR(Tools!$Q94))*12+MONTH(DATE(YEAR(TODAY()),MONTH(TODAY())+9,1))-MONTH(Tools!$Q94)),Tools!$U94)=0,OR(Tools!$L94="",EDATE(Tools!$Q94,((YEAR(DATE(YEAR(TODAY()),MONTH(TODAY())+9,1))-YEAR(Tools!$Q94))*12+MONTH(DATE(YEAR(TODAY()),MONTH(TODAY())+9,1))-MONTH(Tools!$Q94)))&lt;Tools!$L94)),Tools!$N94,""))</f>
        <v/>
      </c>
      <c r="M95" s="30">
        <f>IF(OR(Tools!$B94="",Tools!$Q94=""),"",IF(AND(((YEAR(DATE(YEAR(TODAY()),MONTH(TODAY())+10,1))-YEAR(Tools!$Q94))*12+MONTH(DATE(YEAR(TODAY()),MONTH(TODAY())+10,1))-MONTH(Tools!$Q94))&gt;=0,MOD(((YEAR(DATE(YEAR(TODAY()),MONTH(TODAY())+10,1))-YEAR(Tools!$Q94))*12+MONTH(DATE(YEAR(TODAY()),MONTH(TODAY())+10,1))-MONTH(Tools!$Q94)),Tools!$U94)=0,OR(Tools!$L94="",EDATE(Tools!$Q94,((YEAR(DATE(YEAR(TODAY()),MONTH(TODAY())+10,1))-YEAR(Tools!$Q94))*12+MONTH(DATE(YEAR(TODAY()),MONTH(TODAY())+10,1))-MONTH(Tools!$Q94)))&lt;Tools!$L94)),Tools!$N94,""))</f>
        <v/>
      </c>
      <c r="N95" s="30">
        <f>IF(OR(Tools!$B94="",Tools!$Q94=""),"",IF(AND(((YEAR(DATE(YEAR(TODAY()),MONTH(TODAY())+11,1))-YEAR(Tools!$Q94))*12+MONTH(DATE(YEAR(TODAY()),MONTH(TODAY())+11,1))-MONTH(Tools!$Q94))&gt;=0,MOD(((YEAR(DATE(YEAR(TODAY()),MONTH(TODAY())+11,1))-YEAR(Tools!$Q94))*12+MONTH(DATE(YEAR(TODAY()),MONTH(TODAY())+11,1))-MONTH(Tools!$Q94)),Tools!$U94)=0,OR(Tools!$L94="",EDATE(Tools!$Q94,((YEAR(DATE(YEAR(TODAY()),MONTH(TODAY())+11,1))-YEAR(Tools!$Q94))*12+MONTH(DATE(YEAR(TODAY()),MONTH(TODAY())+11,1))-MONTH(Tools!$Q94)))&lt;Tools!$L94)),Tools!$N94,""))</f>
        <v/>
      </c>
      <c r="O95" s="31">
        <f>IF(B95="","",SUM(C95:N95))</f>
        <v/>
      </c>
      <c r="P95" s="1" t="n"/>
    </row>
    <row r="96">
      <c r="A96" s="1" t="n"/>
      <c r="B96" s="11">
        <f>IF(Tools!B95="","",Tools!B95)</f>
        <v/>
      </c>
      <c r="C96" s="30">
        <f>IF(OR(Tools!$B95="",Tools!$Q95=""),"",IF(AND(((YEAR(DATE(YEAR(TODAY()),MONTH(TODAY())+0,1))-YEAR(Tools!$Q95))*12+MONTH(DATE(YEAR(TODAY()),MONTH(TODAY())+0,1))-MONTH(Tools!$Q95))&gt;=0,MOD(((YEAR(DATE(YEAR(TODAY()),MONTH(TODAY())+0,1))-YEAR(Tools!$Q95))*12+MONTH(DATE(YEAR(TODAY()),MONTH(TODAY())+0,1))-MONTH(Tools!$Q95)),Tools!$U95)=0,OR(Tools!$L95="",EDATE(Tools!$Q95,((YEAR(DATE(YEAR(TODAY()),MONTH(TODAY())+0,1))-YEAR(Tools!$Q95))*12+MONTH(DATE(YEAR(TODAY()),MONTH(TODAY())+0,1))-MONTH(Tools!$Q95)))&lt;Tools!$L95)),Tools!$N95,""))</f>
        <v/>
      </c>
      <c r="D96" s="30">
        <f>IF(OR(Tools!$B95="",Tools!$Q95=""),"",IF(AND(((YEAR(DATE(YEAR(TODAY()),MONTH(TODAY())+1,1))-YEAR(Tools!$Q95))*12+MONTH(DATE(YEAR(TODAY()),MONTH(TODAY())+1,1))-MONTH(Tools!$Q95))&gt;=0,MOD(((YEAR(DATE(YEAR(TODAY()),MONTH(TODAY())+1,1))-YEAR(Tools!$Q95))*12+MONTH(DATE(YEAR(TODAY()),MONTH(TODAY())+1,1))-MONTH(Tools!$Q95)),Tools!$U95)=0,OR(Tools!$L95="",EDATE(Tools!$Q95,((YEAR(DATE(YEAR(TODAY()),MONTH(TODAY())+1,1))-YEAR(Tools!$Q95))*12+MONTH(DATE(YEAR(TODAY()),MONTH(TODAY())+1,1))-MONTH(Tools!$Q95)))&lt;Tools!$L95)),Tools!$N95,""))</f>
        <v/>
      </c>
      <c r="E96" s="30">
        <f>IF(OR(Tools!$B95="",Tools!$Q95=""),"",IF(AND(((YEAR(DATE(YEAR(TODAY()),MONTH(TODAY())+2,1))-YEAR(Tools!$Q95))*12+MONTH(DATE(YEAR(TODAY()),MONTH(TODAY())+2,1))-MONTH(Tools!$Q95))&gt;=0,MOD(((YEAR(DATE(YEAR(TODAY()),MONTH(TODAY())+2,1))-YEAR(Tools!$Q95))*12+MONTH(DATE(YEAR(TODAY()),MONTH(TODAY())+2,1))-MONTH(Tools!$Q95)),Tools!$U95)=0,OR(Tools!$L95="",EDATE(Tools!$Q95,((YEAR(DATE(YEAR(TODAY()),MONTH(TODAY())+2,1))-YEAR(Tools!$Q95))*12+MONTH(DATE(YEAR(TODAY()),MONTH(TODAY())+2,1))-MONTH(Tools!$Q95)))&lt;Tools!$L95)),Tools!$N95,""))</f>
        <v/>
      </c>
      <c r="F96" s="30">
        <f>IF(OR(Tools!$B95="",Tools!$Q95=""),"",IF(AND(((YEAR(DATE(YEAR(TODAY()),MONTH(TODAY())+3,1))-YEAR(Tools!$Q95))*12+MONTH(DATE(YEAR(TODAY()),MONTH(TODAY())+3,1))-MONTH(Tools!$Q95))&gt;=0,MOD(((YEAR(DATE(YEAR(TODAY()),MONTH(TODAY())+3,1))-YEAR(Tools!$Q95))*12+MONTH(DATE(YEAR(TODAY()),MONTH(TODAY())+3,1))-MONTH(Tools!$Q95)),Tools!$U95)=0,OR(Tools!$L95="",EDATE(Tools!$Q95,((YEAR(DATE(YEAR(TODAY()),MONTH(TODAY())+3,1))-YEAR(Tools!$Q95))*12+MONTH(DATE(YEAR(TODAY()),MONTH(TODAY())+3,1))-MONTH(Tools!$Q95)))&lt;Tools!$L95)),Tools!$N95,""))</f>
        <v/>
      </c>
      <c r="G96" s="30">
        <f>IF(OR(Tools!$B95="",Tools!$Q95=""),"",IF(AND(((YEAR(DATE(YEAR(TODAY()),MONTH(TODAY())+4,1))-YEAR(Tools!$Q95))*12+MONTH(DATE(YEAR(TODAY()),MONTH(TODAY())+4,1))-MONTH(Tools!$Q95))&gt;=0,MOD(((YEAR(DATE(YEAR(TODAY()),MONTH(TODAY())+4,1))-YEAR(Tools!$Q95))*12+MONTH(DATE(YEAR(TODAY()),MONTH(TODAY())+4,1))-MONTH(Tools!$Q95)),Tools!$U95)=0,OR(Tools!$L95="",EDATE(Tools!$Q95,((YEAR(DATE(YEAR(TODAY()),MONTH(TODAY())+4,1))-YEAR(Tools!$Q95))*12+MONTH(DATE(YEAR(TODAY()),MONTH(TODAY())+4,1))-MONTH(Tools!$Q95)))&lt;Tools!$L95)),Tools!$N95,""))</f>
        <v/>
      </c>
      <c r="H96" s="30">
        <f>IF(OR(Tools!$B95="",Tools!$Q95=""),"",IF(AND(((YEAR(DATE(YEAR(TODAY()),MONTH(TODAY())+5,1))-YEAR(Tools!$Q95))*12+MONTH(DATE(YEAR(TODAY()),MONTH(TODAY())+5,1))-MONTH(Tools!$Q95))&gt;=0,MOD(((YEAR(DATE(YEAR(TODAY()),MONTH(TODAY())+5,1))-YEAR(Tools!$Q95))*12+MONTH(DATE(YEAR(TODAY()),MONTH(TODAY())+5,1))-MONTH(Tools!$Q95)),Tools!$U95)=0,OR(Tools!$L95="",EDATE(Tools!$Q95,((YEAR(DATE(YEAR(TODAY()),MONTH(TODAY())+5,1))-YEAR(Tools!$Q95))*12+MONTH(DATE(YEAR(TODAY()),MONTH(TODAY())+5,1))-MONTH(Tools!$Q95)))&lt;Tools!$L95)),Tools!$N95,""))</f>
        <v/>
      </c>
      <c r="I96" s="30">
        <f>IF(OR(Tools!$B95="",Tools!$Q95=""),"",IF(AND(((YEAR(DATE(YEAR(TODAY()),MONTH(TODAY())+6,1))-YEAR(Tools!$Q95))*12+MONTH(DATE(YEAR(TODAY()),MONTH(TODAY())+6,1))-MONTH(Tools!$Q95))&gt;=0,MOD(((YEAR(DATE(YEAR(TODAY()),MONTH(TODAY())+6,1))-YEAR(Tools!$Q95))*12+MONTH(DATE(YEAR(TODAY()),MONTH(TODAY())+6,1))-MONTH(Tools!$Q95)),Tools!$U95)=0,OR(Tools!$L95="",EDATE(Tools!$Q95,((YEAR(DATE(YEAR(TODAY()),MONTH(TODAY())+6,1))-YEAR(Tools!$Q95))*12+MONTH(DATE(YEAR(TODAY()),MONTH(TODAY())+6,1))-MONTH(Tools!$Q95)))&lt;Tools!$L95)),Tools!$N95,""))</f>
        <v/>
      </c>
      <c r="J96" s="30">
        <f>IF(OR(Tools!$B95="",Tools!$Q95=""),"",IF(AND(((YEAR(DATE(YEAR(TODAY()),MONTH(TODAY())+7,1))-YEAR(Tools!$Q95))*12+MONTH(DATE(YEAR(TODAY()),MONTH(TODAY())+7,1))-MONTH(Tools!$Q95))&gt;=0,MOD(((YEAR(DATE(YEAR(TODAY()),MONTH(TODAY())+7,1))-YEAR(Tools!$Q95))*12+MONTH(DATE(YEAR(TODAY()),MONTH(TODAY())+7,1))-MONTH(Tools!$Q95)),Tools!$U95)=0,OR(Tools!$L95="",EDATE(Tools!$Q95,((YEAR(DATE(YEAR(TODAY()),MONTH(TODAY())+7,1))-YEAR(Tools!$Q95))*12+MONTH(DATE(YEAR(TODAY()),MONTH(TODAY())+7,1))-MONTH(Tools!$Q95)))&lt;Tools!$L95)),Tools!$N95,""))</f>
        <v/>
      </c>
      <c r="K96" s="30">
        <f>IF(OR(Tools!$B95="",Tools!$Q95=""),"",IF(AND(((YEAR(DATE(YEAR(TODAY()),MONTH(TODAY())+8,1))-YEAR(Tools!$Q95))*12+MONTH(DATE(YEAR(TODAY()),MONTH(TODAY())+8,1))-MONTH(Tools!$Q95))&gt;=0,MOD(((YEAR(DATE(YEAR(TODAY()),MONTH(TODAY())+8,1))-YEAR(Tools!$Q95))*12+MONTH(DATE(YEAR(TODAY()),MONTH(TODAY())+8,1))-MONTH(Tools!$Q95)),Tools!$U95)=0,OR(Tools!$L95="",EDATE(Tools!$Q95,((YEAR(DATE(YEAR(TODAY()),MONTH(TODAY())+8,1))-YEAR(Tools!$Q95))*12+MONTH(DATE(YEAR(TODAY()),MONTH(TODAY())+8,1))-MONTH(Tools!$Q95)))&lt;Tools!$L95)),Tools!$N95,""))</f>
        <v/>
      </c>
      <c r="L96" s="30">
        <f>IF(OR(Tools!$B95="",Tools!$Q95=""),"",IF(AND(((YEAR(DATE(YEAR(TODAY()),MONTH(TODAY())+9,1))-YEAR(Tools!$Q95))*12+MONTH(DATE(YEAR(TODAY()),MONTH(TODAY())+9,1))-MONTH(Tools!$Q95))&gt;=0,MOD(((YEAR(DATE(YEAR(TODAY()),MONTH(TODAY())+9,1))-YEAR(Tools!$Q95))*12+MONTH(DATE(YEAR(TODAY()),MONTH(TODAY())+9,1))-MONTH(Tools!$Q95)),Tools!$U95)=0,OR(Tools!$L95="",EDATE(Tools!$Q95,((YEAR(DATE(YEAR(TODAY()),MONTH(TODAY())+9,1))-YEAR(Tools!$Q95))*12+MONTH(DATE(YEAR(TODAY()),MONTH(TODAY())+9,1))-MONTH(Tools!$Q95)))&lt;Tools!$L95)),Tools!$N95,""))</f>
        <v/>
      </c>
      <c r="M96" s="30">
        <f>IF(OR(Tools!$B95="",Tools!$Q95=""),"",IF(AND(((YEAR(DATE(YEAR(TODAY()),MONTH(TODAY())+10,1))-YEAR(Tools!$Q95))*12+MONTH(DATE(YEAR(TODAY()),MONTH(TODAY())+10,1))-MONTH(Tools!$Q95))&gt;=0,MOD(((YEAR(DATE(YEAR(TODAY()),MONTH(TODAY())+10,1))-YEAR(Tools!$Q95))*12+MONTH(DATE(YEAR(TODAY()),MONTH(TODAY())+10,1))-MONTH(Tools!$Q95)),Tools!$U95)=0,OR(Tools!$L95="",EDATE(Tools!$Q95,((YEAR(DATE(YEAR(TODAY()),MONTH(TODAY())+10,1))-YEAR(Tools!$Q95))*12+MONTH(DATE(YEAR(TODAY()),MONTH(TODAY())+10,1))-MONTH(Tools!$Q95)))&lt;Tools!$L95)),Tools!$N95,""))</f>
        <v/>
      </c>
      <c r="N96" s="30">
        <f>IF(OR(Tools!$B95="",Tools!$Q95=""),"",IF(AND(((YEAR(DATE(YEAR(TODAY()),MONTH(TODAY())+11,1))-YEAR(Tools!$Q95))*12+MONTH(DATE(YEAR(TODAY()),MONTH(TODAY())+11,1))-MONTH(Tools!$Q95))&gt;=0,MOD(((YEAR(DATE(YEAR(TODAY()),MONTH(TODAY())+11,1))-YEAR(Tools!$Q95))*12+MONTH(DATE(YEAR(TODAY()),MONTH(TODAY())+11,1))-MONTH(Tools!$Q95)),Tools!$U95)=0,OR(Tools!$L95="",EDATE(Tools!$Q95,((YEAR(DATE(YEAR(TODAY()),MONTH(TODAY())+11,1))-YEAR(Tools!$Q95))*12+MONTH(DATE(YEAR(TODAY()),MONTH(TODAY())+11,1))-MONTH(Tools!$Q95)))&lt;Tools!$L95)),Tools!$N95,""))</f>
        <v/>
      </c>
      <c r="O96" s="31">
        <f>IF(B96="","",SUM(C96:N96))</f>
        <v/>
      </c>
      <c r="P96" s="1" t="n"/>
    </row>
    <row r="97">
      <c r="A97" s="1" t="n"/>
      <c r="B97" s="11">
        <f>IF(Tools!B96="","",Tools!B96)</f>
        <v/>
      </c>
      <c r="C97" s="30">
        <f>IF(OR(Tools!$B96="",Tools!$Q96=""),"",IF(AND(((YEAR(DATE(YEAR(TODAY()),MONTH(TODAY())+0,1))-YEAR(Tools!$Q96))*12+MONTH(DATE(YEAR(TODAY()),MONTH(TODAY())+0,1))-MONTH(Tools!$Q96))&gt;=0,MOD(((YEAR(DATE(YEAR(TODAY()),MONTH(TODAY())+0,1))-YEAR(Tools!$Q96))*12+MONTH(DATE(YEAR(TODAY()),MONTH(TODAY())+0,1))-MONTH(Tools!$Q96)),Tools!$U96)=0,OR(Tools!$L96="",EDATE(Tools!$Q96,((YEAR(DATE(YEAR(TODAY()),MONTH(TODAY())+0,1))-YEAR(Tools!$Q96))*12+MONTH(DATE(YEAR(TODAY()),MONTH(TODAY())+0,1))-MONTH(Tools!$Q96)))&lt;Tools!$L96)),Tools!$N96,""))</f>
        <v/>
      </c>
      <c r="D97" s="30">
        <f>IF(OR(Tools!$B96="",Tools!$Q96=""),"",IF(AND(((YEAR(DATE(YEAR(TODAY()),MONTH(TODAY())+1,1))-YEAR(Tools!$Q96))*12+MONTH(DATE(YEAR(TODAY()),MONTH(TODAY())+1,1))-MONTH(Tools!$Q96))&gt;=0,MOD(((YEAR(DATE(YEAR(TODAY()),MONTH(TODAY())+1,1))-YEAR(Tools!$Q96))*12+MONTH(DATE(YEAR(TODAY()),MONTH(TODAY())+1,1))-MONTH(Tools!$Q96)),Tools!$U96)=0,OR(Tools!$L96="",EDATE(Tools!$Q96,((YEAR(DATE(YEAR(TODAY()),MONTH(TODAY())+1,1))-YEAR(Tools!$Q96))*12+MONTH(DATE(YEAR(TODAY()),MONTH(TODAY())+1,1))-MONTH(Tools!$Q96)))&lt;Tools!$L96)),Tools!$N96,""))</f>
        <v/>
      </c>
      <c r="E97" s="30">
        <f>IF(OR(Tools!$B96="",Tools!$Q96=""),"",IF(AND(((YEAR(DATE(YEAR(TODAY()),MONTH(TODAY())+2,1))-YEAR(Tools!$Q96))*12+MONTH(DATE(YEAR(TODAY()),MONTH(TODAY())+2,1))-MONTH(Tools!$Q96))&gt;=0,MOD(((YEAR(DATE(YEAR(TODAY()),MONTH(TODAY())+2,1))-YEAR(Tools!$Q96))*12+MONTH(DATE(YEAR(TODAY()),MONTH(TODAY())+2,1))-MONTH(Tools!$Q96)),Tools!$U96)=0,OR(Tools!$L96="",EDATE(Tools!$Q96,((YEAR(DATE(YEAR(TODAY()),MONTH(TODAY())+2,1))-YEAR(Tools!$Q96))*12+MONTH(DATE(YEAR(TODAY()),MONTH(TODAY())+2,1))-MONTH(Tools!$Q96)))&lt;Tools!$L96)),Tools!$N96,""))</f>
        <v/>
      </c>
      <c r="F97" s="30">
        <f>IF(OR(Tools!$B96="",Tools!$Q96=""),"",IF(AND(((YEAR(DATE(YEAR(TODAY()),MONTH(TODAY())+3,1))-YEAR(Tools!$Q96))*12+MONTH(DATE(YEAR(TODAY()),MONTH(TODAY())+3,1))-MONTH(Tools!$Q96))&gt;=0,MOD(((YEAR(DATE(YEAR(TODAY()),MONTH(TODAY())+3,1))-YEAR(Tools!$Q96))*12+MONTH(DATE(YEAR(TODAY()),MONTH(TODAY())+3,1))-MONTH(Tools!$Q96)),Tools!$U96)=0,OR(Tools!$L96="",EDATE(Tools!$Q96,((YEAR(DATE(YEAR(TODAY()),MONTH(TODAY())+3,1))-YEAR(Tools!$Q96))*12+MONTH(DATE(YEAR(TODAY()),MONTH(TODAY())+3,1))-MONTH(Tools!$Q96)))&lt;Tools!$L96)),Tools!$N96,""))</f>
        <v/>
      </c>
      <c r="G97" s="30">
        <f>IF(OR(Tools!$B96="",Tools!$Q96=""),"",IF(AND(((YEAR(DATE(YEAR(TODAY()),MONTH(TODAY())+4,1))-YEAR(Tools!$Q96))*12+MONTH(DATE(YEAR(TODAY()),MONTH(TODAY())+4,1))-MONTH(Tools!$Q96))&gt;=0,MOD(((YEAR(DATE(YEAR(TODAY()),MONTH(TODAY())+4,1))-YEAR(Tools!$Q96))*12+MONTH(DATE(YEAR(TODAY()),MONTH(TODAY())+4,1))-MONTH(Tools!$Q96)),Tools!$U96)=0,OR(Tools!$L96="",EDATE(Tools!$Q96,((YEAR(DATE(YEAR(TODAY()),MONTH(TODAY())+4,1))-YEAR(Tools!$Q96))*12+MONTH(DATE(YEAR(TODAY()),MONTH(TODAY())+4,1))-MONTH(Tools!$Q96)))&lt;Tools!$L96)),Tools!$N96,""))</f>
        <v/>
      </c>
      <c r="H97" s="30">
        <f>IF(OR(Tools!$B96="",Tools!$Q96=""),"",IF(AND(((YEAR(DATE(YEAR(TODAY()),MONTH(TODAY())+5,1))-YEAR(Tools!$Q96))*12+MONTH(DATE(YEAR(TODAY()),MONTH(TODAY())+5,1))-MONTH(Tools!$Q96))&gt;=0,MOD(((YEAR(DATE(YEAR(TODAY()),MONTH(TODAY())+5,1))-YEAR(Tools!$Q96))*12+MONTH(DATE(YEAR(TODAY()),MONTH(TODAY())+5,1))-MONTH(Tools!$Q96)),Tools!$U96)=0,OR(Tools!$L96="",EDATE(Tools!$Q96,((YEAR(DATE(YEAR(TODAY()),MONTH(TODAY())+5,1))-YEAR(Tools!$Q96))*12+MONTH(DATE(YEAR(TODAY()),MONTH(TODAY())+5,1))-MONTH(Tools!$Q96)))&lt;Tools!$L96)),Tools!$N96,""))</f>
        <v/>
      </c>
      <c r="I97" s="30">
        <f>IF(OR(Tools!$B96="",Tools!$Q96=""),"",IF(AND(((YEAR(DATE(YEAR(TODAY()),MONTH(TODAY())+6,1))-YEAR(Tools!$Q96))*12+MONTH(DATE(YEAR(TODAY()),MONTH(TODAY())+6,1))-MONTH(Tools!$Q96))&gt;=0,MOD(((YEAR(DATE(YEAR(TODAY()),MONTH(TODAY())+6,1))-YEAR(Tools!$Q96))*12+MONTH(DATE(YEAR(TODAY()),MONTH(TODAY())+6,1))-MONTH(Tools!$Q96)),Tools!$U96)=0,OR(Tools!$L96="",EDATE(Tools!$Q96,((YEAR(DATE(YEAR(TODAY()),MONTH(TODAY())+6,1))-YEAR(Tools!$Q96))*12+MONTH(DATE(YEAR(TODAY()),MONTH(TODAY())+6,1))-MONTH(Tools!$Q96)))&lt;Tools!$L96)),Tools!$N96,""))</f>
        <v/>
      </c>
      <c r="J97" s="30">
        <f>IF(OR(Tools!$B96="",Tools!$Q96=""),"",IF(AND(((YEAR(DATE(YEAR(TODAY()),MONTH(TODAY())+7,1))-YEAR(Tools!$Q96))*12+MONTH(DATE(YEAR(TODAY()),MONTH(TODAY())+7,1))-MONTH(Tools!$Q96))&gt;=0,MOD(((YEAR(DATE(YEAR(TODAY()),MONTH(TODAY())+7,1))-YEAR(Tools!$Q96))*12+MONTH(DATE(YEAR(TODAY()),MONTH(TODAY())+7,1))-MONTH(Tools!$Q96)),Tools!$U96)=0,OR(Tools!$L96="",EDATE(Tools!$Q96,((YEAR(DATE(YEAR(TODAY()),MONTH(TODAY())+7,1))-YEAR(Tools!$Q96))*12+MONTH(DATE(YEAR(TODAY()),MONTH(TODAY())+7,1))-MONTH(Tools!$Q96)))&lt;Tools!$L96)),Tools!$N96,""))</f>
        <v/>
      </c>
      <c r="K97" s="30">
        <f>IF(OR(Tools!$B96="",Tools!$Q96=""),"",IF(AND(((YEAR(DATE(YEAR(TODAY()),MONTH(TODAY())+8,1))-YEAR(Tools!$Q96))*12+MONTH(DATE(YEAR(TODAY()),MONTH(TODAY())+8,1))-MONTH(Tools!$Q96))&gt;=0,MOD(((YEAR(DATE(YEAR(TODAY()),MONTH(TODAY())+8,1))-YEAR(Tools!$Q96))*12+MONTH(DATE(YEAR(TODAY()),MONTH(TODAY())+8,1))-MONTH(Tools!$Q96)),Tools!$U96)=0,OR(Tools!$L96="",EDATE(Tools!$Q96,((YEAR(DATE(YEAR(TODAY()),MONTH(TODAY())+8,1))-YEAR(Tools!$Q96))*12+MONTH(DATE(YEAR(TODAY()),MONTH(TODAY())+8,1))-MONTH(Tools!$Q96)))&lt;Tools!$L96)),Tools!$N96,""))</f>
        <v/>
      </c>
      <c r="L97" s="30">
        <f>IF(OR(Tools!$B96="",Tools!$Q96=""),"",IF(AND(((YEAR(DATE(YEAR(TODAY()),MONTH(TODAY())+9,1))-YEAR(Tools!$Q96))*12+MONTH(DATE(YEAR(TODAY()),MONTH(TODAY())+9,1))-MONTH(Tools!$Q96))&gt;=0,MOD(((YEAR(DATE(YEAR(TODAY()),MONTH(TODAY())+9,1))-YEAR(Tools!$Q96))*12+MONTH(DATE(YEAR(TODAY()),MONTH(TODAY())+9,1))-MONTH(Tools!$Q96)),Tools!$U96)=0,OR(Tools!$L96="",EDATE(Tools!$Q96,((YEAR(DATE(YEAR(TODAY()),MONTH(TODAY())+9,1))-YEAR(Tools!$Q96))*12+MONTH(DATE(YEAR(TODAY()),MONTH(TODAY())+9,1))-MONTH(Tools!$Q96)))&lt;Tools!$L96)),Tools!$N96,""))</f>
        <v/>
      </c>
      <c r="M97" s="30">
        <f>IF(OR(Tools!$B96="",Tools!$Q96=""),"",IF(AND(((YEAR(DATE(YEAR(TODAY()),MONTH(TODAY())+10,1))-YEAR(Tools!$Q96))*12+MONTH(DATE(YEAR(TODAY()),MONTH(TODAY())+10,1))-MONTH(Tools!$Q96))&gt;=0,MOD(((YEAR(DATE(YEAR(TODAY()),MONTH(TODAY())+10,1))-YEAR(Tools!$Q96))*12+MONTH(DATE(YEAR(TODAY()),MONTH(TODAY())+10,1))-MONTH(Tools!$Q96)),Tools!$U96)=0,OR(Tools!$L96="",EDATE(Tools!$Q96,((YEAR(DATE(YEAR(TODAY()),MONTH(TODAY())+10,1))-YEAR(Tools!$Q96))*12+MONTH(DATE(YEAR(TODAY()),MONTH(TODAY())+10,1))-MONTH(Tools!$Q96)))&lt;Tools!$L96)),Tools!$N96,""))</f>
        <v/>
      </c>
      <c r="N97" s="30">
        <f>IF(OR(Tools!$B96="",Tools!$Q96=""),"",IF(AND(((YEAR(DATE(YEAR(TODAY()),MONTH(TODAY())+11,1))-YEAR(Tools!$Q96))*12+MONTH(DATE(YEAR(TODAY()),MONTH(TODAY())+11,1))-MONTH(Tools!$Q96))&gt;=0,MOD(((YEAR(DATE(YEAR(TODAY()),MONTH(TODAY())+11,1))-YEAR(Tools!$Q96))*12+MONTH(DATE(YEAR(TODAY()),MONTH(TODAY())+11,1))-MONTH(Tools!$Q96)),Tools!$U96)=0,OR(Tools!$L96="",EDATE(Tools!$Q96,((YEAR(DATE(YEAR(TODAY()),MONTH(TODAY())+11,1))-YEAR(Tools!$Q96))*12+MONTH(DATE(YEAR(TODAY()),MONTH(TODAY())+11,1))-MONTH(Tools!$Q96)))&lt;Tools!$L96)),Tools!$N96,""))</f>
        <v/>
      </c>
      <c r="O97" s="31">
        <f>IF(B97="","",SUM(C97:N97))</f>
        <v/>
      </c>
      <c r="P97" s="1" t="n"/>
    </row>
    <row r="98">
      <c r="A98" s="1" t="n"/>
      <c r="B98" s="11">
        <f>IF(Tools!B97="","",Tools!B97)</f>
        <v/>
      </c>
      <c r="C98" s="30">
        <f>IF(OR(Tools!$B97="",Tools!$Q97=""),"",IF(AND(((YEAR(DATE(YEAR(TODAY()),MONTH(TODAY())+0,1))-YEAR(Tools!$Q97))*12+MONTH(DATE(YEAR(TODAY()),MONTH(TODAY())+0,1))-MONTH(Tools!$Q97))&gt;=0,MOD(((YEAR(DATE(YEAR(TODAY()),MONTH(TODAY())+0,1))-YEAR(Tools!$Q97))*12+MONTH(DATE(YEAR(TODAY()),MONTH(TODAY())+0,1))-MONTH(Tools!$Q97)),Tools!$U97)=0,OR(Tools!$L97="",EDATE(Tools!$Q97,((YEAR(DATE(YEAR(TODAY()),MONTH(TODAY())+0,1))-YEAR(Tools!$Q97))*12+MONTH(DATE(YEAR(TODAY()),MONTH(TODAY())+0,1))-MONTH(Tools!$Q97)))&lt;Tools!$L97)),Tools!$N97,""))</f>
        <v/>
      </c>
      <c r="D98" s="30">
        <f>IF(OR(Tools!$B97="",Tools!$Q97=""),"",IF(AND(((YEAR(DATE(YEAR(TODAY()),MONTH(TODAY())+1,1))-YEAR(Tools!$Q97))*12+MONTH(DATE(YEAR(TODAY()),MONTH(TODAY())+1,1))-MONTH(Tools!$Q97))&gt;=0,MOD(((YEAR(DATE(YEAR(TODAY()),MONTH(TODAY())+1,1))-YEAR(Tools!$Q97))*12+MONTH(DATE(YEAR(TODAY()),MONTH(TODAY())+1,1))-MONTH(Tools!$Q97)),Tools!$U97)=0,OR(Tools!$L97="",EDATE(Tools!$Q97,((YEAR(DATE(YEAR(TODAY()),MONTH(TODAY())+1,1))-YEAR(Tools!$Q97))*12+MONTH(DATE(YEAR(TODAY()),MONTH(TODAY())+1,1))-MONTH(Tools!$Q97)))&lt;Tools!$L97)),Tools!$N97,""))</f>
        <v/>
      </c>
      <c r="E98" s="30">
        <f>IF(OR(Tools!$B97="",Tools!$Q97=""),"",IF(AND(((YEAR(DATE(YEAR(TODAY()),MONTH(TODAY())+2,1))-YEAR(Tools!$Q97))*12+MONTH(DATE(YEAR(TODAY()),MONTH(TODAY())+2,1))-MONTH(Tools!$Q97))&gt;=0,MOD(((YEAR(DATE(YEAR(TODAY()),MONTH(TODAY())+2,1))-YEAR(Tools!$Q97))*12+MONTH(DATE(YEAR(TODAY()),MONTH(TODAY())+2,1))-MONTH(Tools!$Q97)),Tools!$U97)=0,OR(Tools!$L97="",EDATE(Tools!$Q97,((YEAR(DATE(YEAR(TODAY()),MONTH(TODAY())+2,1))-YEAR(Tools!$Q97))*12+MONTH(DATE(YEAR(TODAY()),MONTH(TODAY())+2,1))-MONTH(Tools!$Q97)))&lt;Tools!$L97)),Tools!$N97,""))</f>
        <v/>
      </c>
      <c r="F98" s="30">
        <f>IF(OR(Tools!$B97="",Tools!$Q97=""),"",IF(AND(((YEAR(DATE(YEAR(TODAY()),MONTH(TODAY())+3,1))-YEAR(Tools!$Q97))*12+MONTH(DATE(YEAR(TODAY()),MONTH(TODAY())+3,1))-MONTH(Tools!$Q97))&gt;=0,MOD(((YEAR(DATE(YEAR(TODAY()),MONTH(TODAY())+3,1))-YEAR(Tools!$Q97))*12+MONTH(DATE(YEAR(TODAY()),MONTH(TODAY())+3,1))-MONTH(Tools!$Q97)),Tools!$U97)=0,OR(Tools!$L97="",EDATE(Tools!$Q97,((YEAR(DATE(YEAR(TODAY()),MONTH(TODAY())+3,1))-YEAR(Tools!$Q97))*12+MONTH(DATE(YEAR(TODAY()),MONTH(TODAY())+3,1))-MONTH(Tools!$Q97)))&lt;Tools!$L97)),Tools!$N97,""))</f>
        <v/>
      </c>
      <c r="G98" s="30">
        <f>IF(OR(Tools!$B97="",Tools!$Q97=""),"",IF(AND(((YEAR(DATE(YEAR(TODAY()),MONTH(TODAY())+4,1))-YEAR(Tools!$Q97))*12+MONTH(DATE(YEAR(TODAY()),MONTH(TODAY())+4,1))-MONTH(Tools!$Q97))&gt;=0,MOD(((YEAR(DATE(YEAR(TODAY()),MONTH(TODAY())+4,1))-YEAR(Tools!$Q97))*12+MONTH(DATE(YEAR(TODAY()),MONTH(TODAY())+4,1))-MONTH(Tools!$Q97)),Tools!$U97)=0,OR(Tools!$L97="",EDATE(Tools!$Q97,((YEAR(DATE(YEAR(TODAY()),MONTH(TODAY())+4,1))-YEAR(Tools!$Q97))*12+MONTH(DATE(YEAR(TODAY()),MONTH(TODAY())+4,1))-MONTH(Tools!$Q97)))&lt;Tools!$L97)),Tools!$N97,""))</f>
        <v/>
      </c>
      <c r="H98" s="30">
        <f>IF(OR(Tools!$B97="",Tools!$Q97=""),"",IF(AND(((YEAR(DATE(YEAR(TODAY()),MONTH(TODAY())+5,1))-YEAR(Tools!$Q97))*12+MONTH(DATE(YEAR(TODAY()),MONTH(TODAY())+5,1))-MONTH(Tools!$Q97))&gt;=0,MOD(((YEAR(DATE(YEAR(TODAY()),MONTH(TODAY())+5,1))-YEAR(Tools!$Q97))*12+MONTH(DATE(YEAR(TODAY()),MONTH(TODAY())+5,1))-MONTH(Tools!$Q97)),Tools!$U97)=0,OR(Tools!$L97="",EDATE(Tools!$Q97,((YEAR(DATE(YEAR(TODAY()),MONTH(TODAY())+5,1))-YEAR(Tools!$Q97))*12+MONTH(DATE(YEAR(TODAY()),MONTH(TODAY())+5,1))-MONTH(Tools!$Q97)))&lt;Tools!$L97)),Tools!$N97,""))</f>
        <v/>
      </c>
      <c r="I98" s="30">
        <f>IF(OR(Tools!$B97="",Tools!$Q97=""),"",IF(AND(((YEAR(DATE(YEAR(TODAY()),MONTH(TODAY())+6,1))-YEAR(Tools!$Q97))*12+MONTH(DATE(YEAR(TODAY()),MONTH(TODAY())+6,1))-MONTH(Tools!$Q97))&gt;=0,MOD(((YEAR(DATE(YEAR(TODAY()),MONTH(TODAY())+6,1))-YEAR(Tools!$Q97))*12+MONTH(DATE(YEAR(TODAY()),MONTH(TODAY())+6,1))-MONTH(Tools!$Q97)),Tools!$U97)=0,OR(Tools!$L97="",EDATE(Tools!$Q97,((YEAR(DATE(YEAR(TODAY()),MONTH(TODAY())+6,1))-YEAR(Tools!$Q97))*12+MONTH(DATE(YEAR(TODAY()),MONTH(TODAY())+6,1))-MONTH(Tools!$Q97)))&lt;Tools!$L97)),Tools!$N97,""))</f>
        <v/>
      </c>
      <c r="J98" s="30">
        <f>IF(OR(Tools!$B97="",Tools!$Q97=""),"",IF(AND(((YEAR(DATE(YEAR(TODAY()),MONTH(TODAY())+7,1))-YEAR(Tools!$Q97))*12+MONTH(DATE(YEAR(TODAY()),MONTH(TODAY())+7,1))-MONTH(Tools!$Q97))&gt;=0,MOD(((YEAR(DATE(YEAR(TODAY()),MONTH(TODAY())+7,1))-YEAR(Tools!$Q97))*12+MONTH(DATE(YEAR(TODAY()),MONTH(TODAY())+7,1))-MONTH(Tools!$Q97)),Tools!$U97)=0,OR(Tools!$L97="",EDATE(Tools!$Q97,((YEAR(DATE(YEAR(TODAY()),MONTH(TODAY())+7,1))-YEAR(Tools!$Q97))*12+MONTH(DATE(YEAR(TODAY()),MONTH(TODAY())+7,1))-MONTH(Tools!$Q97)))&lt;Tools!$L97)),Tools!$N97,""))</f>
        <v/>
      </c>
      <c r="K98" s="30">
        <f>IF(OR(Tools!$B97="",Tools!$Q97=""),"",IF(AND(((YEAR(DATE(YEAR(TODAY()),MONTH(TODAY())+8,1))-YEAR(Tools!$Q97))*12+MONTH(DATE(YEAR(TODAY()),MONTH(TODAY())+8,1))-MONTH(Tools!$Q97))&gt;=0,MOD(((YEAR(DATE(YEAR(TODAY()),MONTH(TODAY())+8,1))-YEAR(Tools!$Q97))*12+MONTH(DATE(YEAR(TODAY()),MONTH(TODAY())+8,1))-MONTH(Tools!$Q97)),Tools!$U97)=0,OR(Tools!$L97="",EDATE(Tools!$Q97,((YEAR(DATE(YEAR(TODAY()),MONTH(TODAY())+8,1))-YEAR(Tools!$Q97))*12+MONTH(DATE(YEAR(TODAY()),MONTH(TODAY())+8,1))-MONTH(Tools!$Q97)))&lt;Tools!$L97)),Tools!$N97,""))</f>
        <v/>
      </c>
      <c r="L98" s="30">
        <f>IF(OR(Tools!$B97="",Tools!$Q97=""),"",IF(AND(((YEAR(DATE(YEAR(TODAY()),MONTH(TODAY())+9,1))-YEAR(Tools!$Q97))*12+MONTH(DATE(YEAR(TODAY()),MONTH(TODAY())+9,1))-MONTH(Tools!$Q97))&gt;=0,MOD(((YEAR(DATE(YEAR(TODAY()),MONTH(TODAY())+9,1))-YEAR(Tools!$Q97))*12+MONTH(DATE(YEAR(TODAY()),MONTH(TODAY())+9,1))-MONTH(Tools!$Q97)),Tools!$U97)=0,OR(Tools!$L97="",EDATE(Tools!$Q97,((YEAR(DATE(YEAR(TODAY()),MONTH(TODAY())+9,1))-YEAR(Tools!$Q97))*12+MONTH(DATE(YEAR(TODAY()),MONTH(TODAY())+9,1))-MONTH(Tools!$Q97)))&lt;Tools!$L97)),Tools!$N97,""))</f>
        <v/>
      </c>
      <c r="M98" s="30">
        <f>IF(OR(Tools!$B97="",Tools!$Q97=""),"",IF(AND(((YEAR(DATE(YEAR(TODAY()),MONTH(TODAY())+10,1))-YEAR(Tools!$Q97))*12+MONTH(DATE(YEAR(TODAY()),MONTH(TODAY())+10,1))-MONTH(Tools!$Q97))&gt;=0,MOD(((YEAR(DATE(YEAR(TODAY()),MONTH(TODAY())+10,1))-YEAR(Tools!$Q97))*12+MONTH(DATE(YEAR(TODAY()),MONTH(TODAY())+10,1))-MONTH(Tools!$Q97)),Tools!$U97)=0,OR(Tools!$L97="",EDATE(Tools!$Q97,((YEAR(DATE(YEAR(TODAY()),MONTH(TODAY())+10,1))-YEAR(Tools!$Q97))*12+MONTH(DATE(YEAR(TODAY()),MONTH(TODAY())+10,1))-MONTH(Tools!$Q97)))&lt;Tools!$L97)),Tools!$N97,""))</f>
        <v/>
      </c>
      <c r="N98" s="30">
        <f>IF(OR(Tools!$B97="",Tools!$Q97=""),"",IF(AND(((YEAR(DATE(YEAR(TODAY()),MONTH(TODAY())+11,1))-YEAR(Tools!$Q97))*12+MONTH(DATE(YEAR(TODAY()),MONTH(TODAY())+11,1))-MONTH(Tools!$Q97))&gt;=0,MOD(((YEAR(DATE(YEAR(TODAY()),MONTH(TODAY())+11,1))-YEAR(Tools!$Q97))*12+MONTH(DATE(YEAR(TODAY()),MONTH(TODAY())+11,1))-MONTH(Tools!$Q97)),Tools!$U97)=0,OR(Tools!$L97="",EDATE(Tools!$Q97,((YEAR(DATE(YEAR(TODAY()),MONTH(TODAY())+11,1))-YEAR(Tools!$Q97))*12+MONTH(DATE(YEAR(TODAY()),MONTH(TODAY())+11,1))-MONTH(Tools!$Q97)))&lt;Tools!$L97)),Tools!$N97,""))</f>
        <v/>
      </c>
      <c r="O98" s="31">
        <f>IF(B98="","",SUM(C98:N98))</f>
        <v/>
      </c>
      <c r="P98" s="1" t="n"/>
    </row>
    <row r="99">
      <c r="A99" s="1" t="n"/>
      <c r="B99" s="11">
        <f>IF(Tools!B98="","",Tools!B98)</f>
        <v/>
      </c>
      <c r="C99" s="30">
        <f>IF(OR(Tools!$B98="",Tools!$Q98=""),"",IF(AND(((YEAR(DATE(YEAR(TODAY()),MONTH(TODAY())+0,1))-YEAR(Tools!$Q98))*12+MONTH(DATE(YEAR(TODAY()),MONTH(TODAY())+0,1))-MONTH(Tools!$Q98))&gt;=0,MOD(((YEAR(DATE(YEAR(TODAY()),MONTH(TODAY())+0,1))-YEAR(Tools!$Q98))*12+MONTH(DATE(YEAR(TODAY()),MONTH(TODAY())+0,1))-MONTH(Tools!$Q98)),Tools!$U98)=0,OR(Tools!$L98="",EDATE(Tools!$Q98,((YEAR(DATE(YEAR(TODAY()),MONTH(TODAY())+0,1))-YEAR(Tools!$Q98))*12+MONTH(DATE(YEAR(TODAY()),MONTH(TODAY())+0,1))-MONTH(Tools!$Q98)))&lt;Tools!$L98)),Tools!$N98,""))</f>
        <v/>
      </c>
      <c r="D99" s="30">
        <f>IF(OR(Tools!$B98="",Tools!$Q98=""),"",IF(AND(((YEAR(DATE(YEAR(TODAY()),MONTH(TODAY())+1,1))-YEAR(Tools!$Q98))*12+MONTH(DATE(YEAR(TODAY()),MONTH(TODAY())+1,1))-MONTH(Tools!$Q98))&gt;=0,MOD(((YEAR(DATE(YEAR(TODAY()),MONTH(TODAY())+1,1))-YEAR(Tools!$Q98))*12+MONTH(DATE(YEAR(TODAY()),MONTH(TODAY())+1,1))-MONTH(Tools!$Q98)),Tools!$U98)=0,OR(Tools!$L98="",EDATE(Tools!$Q98,((YEAR(DATE(YEAR(TODAY()),MONTH(TODAY())+1,1))-YEAR(Tools!$Q98))*12+MONTH(DATE(YEAR(TODAY()),MONTH(TODAY())+1,1))-MONTH(Tools!$Q98)))&lt;Tools!$L98)),Tools!$N98,""))</f>
        <v/>
      </c>
      <c r="E99" s="30">
        <f>IF(OR(Tools!$B98="",Tools!$Q98=""),"",IF(AND(((YEAR(DATE(YEAR(TODAY()),MONTH(TODAY())+2,1))-YEAR(Tools!$Q98))*12+MONTH(DATE(YEAR(TODAY()),MONTH(TODAY())+2,1))-MONTH(Tools!$Q98))&gt;=0,MOD(((YEAR(DATE(YEAR(TODAY()),MONTH(TODAY())+2,1))-YEAR(Tools!$Q98))*12+MONTH(DATE(YEAR(TODAY()),MONTH(TODAY())+2,1))-MONTH(Tools!$Q98)),Tools!$U98)=0,OR(Tools!$L98="",EDATE(Tools!$Q98,((YEAR(DATE(YEAR(TODAY()),MONTH(TODAY())+2,1))-YEAR(Tools!$Q98))*12+MONTH(DATE(YEAR(TODAY()),MONTH(TODAY())+2,1))-MONTH(Tools!$Q98)))&lt;Tools!$L98)),Tools!$N98,""))</f>
        <v/>
      </c>
      <c r="F99" s="30">
        <f>IF(OR(Tools!$B98="",Tools!$Q98=""),"",IF(AND(((YEAR(DATE(YEAR(TODAY()),MONTH(TODAY())+3,1))-YEAR(Tools!$Q98))*12+MONTH(DATE(YEAR(TODAY()),MONTH(TODAY())+3,1))-MONTH(Tools!$Q98))&gt;=0,MOD(((YEAR(DATE(YEAR(TODAY()),MONTH(TODAY())+3,1))-YEAR(Tools!$Q98))*12+MONTH(DATE(YEAR(TODAY()),MONTH(TODAY())+3,1))-MONTH(Tools!$Q98)),Tools!$U98)=0,OR(Tools!$L98="",EDATE(Tools!$Q98,((YEAR(DATE(YEAR(TODAY()),MONTH(TODAY())+3,1))-YEAR(Tools!$Q98))*12+MONTH(DATE(YEAR(TODAY()),MONTH(TODAY())+3,1))-MONTH(Tools!$Q98)))&lt;Tools!$L98)),Tools!$N98,""))</f>
        <v/>
      </c>
      <c r="G99" s="30">
        <f>IF(OR(Tools!$B98="",Tools!$Q98=""),"",IF(AND(((YEAR(DATE(YEAR(TODAY()),MONTH(TODAY())+4,1))-YEAR(Tools!$Q98))*12+MONTH(DATE(YEAR(TODAY()),MONTH(TODAY())+4,1))-MONTH(Tools!$Q98))&gt;=0,MOD(((YEAR(DATE(YEAR(TODAY()),MONTH(TODAY())+4,1))-YEAR(Tools!$Q98))*12+MONTH(DATE(YEAR(TODAY()),MONTH(TODAY())+4,1))-MONTH(Tools!$Q98)),Tools!$U98)=0,OR(Tools!$L98="",EDATE(Tools!$Q98,((YEAR(DATE(YEAR(TODAY()),MONTH(TODAY())+4,1))-YEAR(Tools!$Q98))*12+MONTH(DATE(YEAR(TODAY()),MONTH(TODAY())+4,1))-MONTH(Tools!$Q98)))&lt;Tools!$L98)),Tools!$N98,""))</f>
        <v/>
      </c>
      <c r="H99" s="30">
        <f>IF(OR(Tools!$B98="",Tools!$Q98=""),"",IF(AND(((YEAR(DATE(YEAR(TODAY()),MONTH(TODAY())+5,1))-YEAR(Tools!$Q98))*12+MONTH(DATE(YEAR(TODAY()),MONTH(TODAY())+5,1))-MONTH(Tools!$Q98))&gt;=0,MOD(((YEAR(DATE(YEAR(TODAY()),MONTH(TODAY())+5,1))-YEAR(Tools!$Q98))*12+MONTH(DATE(YEAR(TODAY()),MONTH(TODAY())+5,1))-MONTH(Tools!$Q98)),Tools!$U98)=0,OR(Tools!$L98="",EDATE(Tools!$Q98,((YEAR(DATE(YEAR(TODAY()),MONTH(TODAY())+5,1))-YEAR(Tools!$Q98))*12+MONTH(DATE(YEAR(TODAY()),MONTH(TODAY())+5,1))-MONTH(Tools!$Q98)))&lt;Tools!$L98)),Tools!$N98,""))</f>
        <v/>
      </c>
      <c r="I99" s="30">
        <f>IF(OR(Tools!$B98="",Tools!$Q98=""),"",IF(AND(((YEAR(DATE(YEAR(TODAY()),MONTH(TODAY())+6,1))-YEAR(Tools!$Q98))*12+MONTH(DATE(YEAR(TODAY()),MONTH(TODAY())+6,1))-MONTH(Tools!$Q98))&gt;=0,MOD(((YEAR(DATE(YEAR(TODAY()),MONTH(TODAY())+6,1))-YEAR(Tools!$Q98))*12+MONTH(DATE(YEAR(TODAY()),MONTH(TODAY())+6,1))-MONTH(Tools!$Q98)),Tools!$U98)=0,OR(Tools!$L98="",EDATE(Tools!$Q98,((YEAR(DATE(YEAR(TODAY()),MONTH(TODAY())+6,1))-YEAR(Tools!$Q98))*12+MONTH(DATE(YEAR(TODAY()),MONTH(TODAY())+6,1))-MONTH(Tools!$Q98)))&lt;Tools!$L98)),Tools!$N98,""))</f>
        <v/>
      </c>
      <c r="J99" s="30">
        <f>IF(OR(Tools!$B98="",Tools!$Q98=""),"",IF(AND(((YEAR(DATE(YEAR(TODAY()),MONTH(TODAY())+7,1))-YEAR(Tools!$Q98))*12+MONTH(DATE(YEAR(TODAY()),MONTH(TODAY())+7,1))-MONTH(Tools!$Q98))&gt;=0,MOD(((YEAR(DATE(YEAR(TODAY()),MONTH(TODAY())+7,1))-YEAR(Tools!$Q98))*12+MONTH(DATE(YEAR(TODAY()),MONTH(TODAY())+7,1))-MONTH(Tools!$Q98)),Tools!$U98)=0,OR(Tools!$L98="",EDATE(Tools!$Q98,((YEAR(DATE(YEAR(TODAY()),MONTH(TODAY())+7,1))-YEAR(Tools!$Q98))*12+MONTH(DATE(YEAR(TODAY()),MONTH(TODAY())+7,1))-MONTH(Tools!$Q98)))&lt;Tools!$L98)),Tools!$N98,""))</f>
        <v/>
      </c>
      <c r="K99" s="30">
        <f>IF(OR(Tools!$B98="",Tools!$Q98=""),"",IF(AND(((YEAR(DATE(YEAR(TODAY()),MONTH(TODAY())+8,1))-YEAR(Tools!$Q98))*12+MONTH(DATE(YEAR(TODAY()),MONTH(TODAY())+8,1))-MONTH(Tools!$Q98))&gt;=0,MOD(((YEAR(DATE(YEAR(TODAY()),MONTH(TODAY())+8,1))-YEAR(Tools!$Q98))*12+MONTH(DATE(YEAR(TODAY()),MONTH(TODAY())+8,1))-MONTH(Tools!$Q98)),Tools!$U98)=0,OR(Tools!$L98="",EDATE(Tools!$Q98,((YEAR(DATE(YEAR(TODAY()),MONTH(TODAY())+8,1))-YEAR(Tools!$Q98))*12+MONTH(DATE(YEAR(TODAY()),MONTH(TODAY())+8,1))-MONTH(Tools!$Q98)))&lt;Tools!$L98)),Tools!$N98,""))</f>
        <v/>
      </c>
      <c r="L99" s="30">
        <f>IF(OR(Tools!$B98="",Tools!$Q98=""),"",IF(AND(((YEAR(DATE(YEAR(TODAY()),MONTH(TODAY())+9,1))-YEAR(Tools!$Q98))*12+MONTH(DATE(YEAR(TODAY()),MONTH(TODAY())+9,1))-MONTH(Tools!$Q98))&gt;=0,MOD(((YEAR(DATE(YEAR(TODAY()),MONTH(TODAY())+9,1))-YEAR(Tools!$Q98))*12+MONTH(DATE(YEAR(TODAY()),MONTH(TODAY())+9,1))-MONTH(Tools!$Q98)),Tools!$U98)=0,OR(Tools!$L98="",EDATE(Tools!$Q98,((YEAR(DATE(YEAR(TODAY()),MONTH(TODAY())+9,1))-YEAR(Tools!$Q98))*12+MONTH(DATE(YEAR(TODAY()),MONTH(TODAY())+9,1))-MONTH(Tools!$Q98)))&lt;Tools!$L98)),Tools!$N98,""))</f>
        <v/>
      </c>
      <c r="M99" s="30">
        <f>IF(OR(Tools!$B98="",Tools!$Q98=""),"",IF(AND(((YEAR(DATE(YEAR(TODAY()),MONTH(TODAY())+10,1))-YEAR(Tools!$Q98))*12+MONTH(DATE(YEAR(TODAY()),MONTH(TODAY())+10,1))-MONTH(Tools!$Q98))&gt;=0,MOD(((YEAR(DATE(YEAR(TODAY()),MONTH(TODAY())+10,1))-YEAR(Tools!$Q98))*12+MONTH(DATE(YEAR(TODAY()),MONTH(TODAY())+10,1))-MONTH(Tools!$Q98)),Tools!$U98)=0,OR(Tools!$L98="",EDATE(Tools!$Q98,((YEAR(DATE(YEAR(TODAY()),MONTH(TODAY())+10,1))-YEAR(Tools!$Q98))*12+MONTH(DATE(YEAR(TODAY()),MONTH(TODAY())+10,1))-MONTH(Tools!$Q98)))&lt;Tools!$L98)),Tools!$N98,""))</f>
        <v/>
      </c>
      <c r="N99" s="30">
        <f>IF(OR(Tools!$B98="",Tools!$Q98=""),"",IF(AND(((YEAR(DATE(YEAR(TODAY()),MONTH(TODAY())+11,1))-YEAR(Tools!$Q98))*12+MONTH(DATE(YEAR(TODAY()),MONTH(TODAY())+11,1))-MONTH(Tools!$Q98))&gt;=0,MOD(((YEAR(DATE(YEAR(TODAY()),MONTH(TODAY())+11,1))-YEAR(Tools!$Q98))*12+MONTH(DATE(YEAR(TODAY()),MONTH(TODAY())+11,1))-MONTH(Tools!$Q98)),Tools!$U98)=0,OR(Tools!$L98="",EDATE(Tools!$Q98,((YEAR(DATE(YEAR(TODAY()),MONTH(TODAY())+11,1))-YEAR(Tools!$Q98))*12+MONTH(DATE(YEAR(TODAY()),MONTH(TODAY())+11,1))-MONTH(Tools!$Q98)))&lt;Tools!$L98)),Tools!$N98,""))</f>
        <v/>
      </c>
      <c r="O99" s="31">
        <f>IF(B99="","",SUM(C99:N99))</f>
        <v/>
      </c>
      <c r="P99" s="1" t="n"/>
    </row>
    <row r="100">
      <c r="A100" s="1" t="n"/>
      <c r="B100" s="11">
        <f>IF(Tools!B99="","",Tools!B99)</f>
        <v/>
      </c>
      <c r="C100" s="30">
        <f>IF(OR(Tools!$B99="",Tools!$Q99=""),"",IF(AND(((YEAR(DATE(YEAR(TODAY()),MONTH(TODAY())+0,1))-YEAR(Tools!$Q99))*12+MONTH(DATE(YEAR(TODAY()),MONTH(TODAY())+0,1))-MONTH(Tools!$Q99))&gt;=0,MOD(((YEAR(DATE(YEAR(TODAY()),MONTH(TODAY())+0,1))-YEAR(Tools!$Q99))*12+MONTH(DATE(YEAR(TODAY()),MONTH(TODAY())+0,1))-MONTH(Tools!$Q99)),Tools!$U99)=0,OR(Tools!$L99="",EDATE(Tools!$Q99,((YEAR(DATE(YEAR(TODAY()),MONTH(TODAY())+0,1))-YEAR(Tools!$Q99))*12+MONTH(DATE(YEAR(TODAY()),MONTH(TODAY())+0,1))-MONTH(Tools!$Q99)))&lt;Tools!$L99)),Tools!$N99,""))</f>
        <v/>
      </c>
      <c r="D100" s="30">
        <f>IF(OR(Tools!$B99="",Tools!$Q99=""),"",IF(AND(((YEAR(DATE(YEAR(TODAY()),MONTH(TODAY())+1,1))-YEAR(Tools!$Q99))*12+MONTH(DATE(YEAR(TODAY()),MONTH(TODAY())+1,1))-MONTH(Tools!$Q99))&gt;=0,MOD(((YEAR(DATE(YEAR(TODAY()),MONTH(TODAY())+1,1))-YEAR(Tools!$Q99))*12+MONTH(DATE(YEAR(TODAY()),MONTH(TODAY())+1,1))-MONTH(Tools!$Q99)),Tools!$U99)=0,OR(Tools!$L99="",EDATE(Tools!$Q99,((YEAR(DATE(YEAR(TODAY()),MONTH(TODAY())+1,1))-YEAR(Tools!$Q99))*12+MONTH(DATE(YEAR(TODAY()),MONTH(TODAY())+1,1))-MONTH(Tools!$Q99)))&lt;Tools!$L99)),Tools!$N99,""))</f>
        <v/>
      </c>
      <c r="E100" s="30">
        <f>IF(OR(Tools!$B99="",Tools!$Q99=""),"",IF(AND(((YEAR(DATE(YEAR(TODAY()),MONTH(TODAY())+2,1))-YEAR(Tools!$Q99))*12+MONTH(DATE(YEAR(TODAY()),MONTH(TODAY())+2,1))-MONTH(Tools!$Q99))&gt;=0,MOD(((YEAR(DATE(YEAR(TODAY()),MONTH(TODAY())+2,1))-YEAR(Tools!$Q99))*12+MONTH(DATE(YEAR(TODAY()),MONTH(TODAY())+2,1))-MONTH(Tools!$Q99)),Tools!$U99)=0,OR(Tools!$L99="",EDATE(Tools!$Q99,((YEAR(DATE(YEAR(TODAY()),MONTH(TODAY())+2,1))-YEAR(Tools!$Q99))*12+MONTH(DATE(YEAR(TODAY()),MONTH(TODAY())+2,1))-MONTH(Tools!$Q99)))&lt;Tools!$L99)),Tools!$N99,""))</f>
        <v/>
      </c>
      <c r="F100" s="30">
        <f>IF(OR(Tools!$B99="",Tools!$Q99=""),"",IF(AND(((YEAR(DATE(YEAR(TODAY()),MONTH(TODAY())+3,1))-YEAR(Tools!$Q99))*12+MONTH(DATE(YEAR(TODAY()),MONTH(TODAY())+3,1))-MONTH(Tools!$Q99))&gt;=0,MOD(((YEAR(DATE(YEAR(TODAY()),MONTH(TODAY())+3,1))-YEAR(Tools!$Q99))*12+MONTH(DATE(YEAR(TODAY()),MONTH(TODAY())+3,1))-MONTH(Tools!$Q99)),Tools!$U99)=0,OR(Tools!$L99="",EDATE(Tools!$Q99,((YEAR(DATE(YEAR(TODAY()),MONTH(TODAY())+3,1))-YEAR(Tools!$Q99))*12+MONTH(DATE(YEAR(TODAY()),MONTH(TODAY())+3,1))-MONTH(Tools!$Q99)))&lt;Tools!$L99)),Tools!$N99,""))</f>
        <v/>
      </c>
      <c r="G100" s="30">
        <f>IF(OR(Tools!$B99="",Tools!$Q99=""),"",IF(AND(((YEAR(DATE(YEAR(TODAY()),MONTH(TODAY())+4,1))-YEAR(Tools!$Q99))*12+MONTH(DATE(YEAR(TODAY()),MONTH(TODAY())+4,1))-MONTH(Tools!$Q99))&gt;=0,MOD(((YEAR(DATE(YEAR(TODAY()),MONTH(TODAY())+4,1))-YEAR(Tools!$Q99))*12+MONTH(DATE(YEAR(TODAY()),MONTH(TODAY())+4,1))-MONTH(Tools!$Q99)),Tools!$U99)=0,OR(Tools!$L99="",EDATE(Tools!$Q99,((YEAR(DATE(YEAR(TODAY()),MONTH(TODAY())+4,1))-YEAR(Tools!$Q99))*12+MONTH(DATE(YEAR(TODAY()),MONTH(TODAY())+4,1))-MONTH(Tools!$Q99)))&lt;Tools!$L99)),Tools!$N99,""))</f>
        <v/>
      </c>
      <c r="H100" s="30">
        <f>IF(OR(Tools!$B99="",Tools!$Q99=""),"",IF(AND(((YEAR(DATE(YEAR(TODAY()),MONTH(TODAY())+5,1))-YEAR(Tools!$Q99))*12+MONTH(DATE(YEAR(TODAY()),MONTH(TODAY())+5,1))-MONTH(Tools!$Q99))&gt;=0,MOD(((YEAR(DATE(YEAR(TODAY()),MONTH(TODAY())+5,1))-YEAR(Tools!$Q99))*12+MONTH(DATE(YEAR(TODAY()),MONTH(TODAY())+5,1))-MONTH(Tools!$Q99)),Tools!$U99)=0,OR(Tools!$L99="",EDATE(Tools!$Q99,((YEAR(DATE(YEAR(TODAY()),MONTH(TODAY())+5,1))-YEAR(Tools!$Q99))*12+MONTH(DATE(YEAR(TODAY()),MONTH(TODAY())+5,1))-MONTH(Tools!$Q99)))&lt;Tools!$L99)),Tools!$N99,""))</f>
        <v/>
      </c>
      <c r="I100" s="30">
        <f>IF(OR(Tools!$B99="",Tools!$Q99=""),"",IF(AND(((YEAR(DATE(YEAR(TODAY()),MONTH(TODAY())+6,1))-YEAR(Tools!$Q99))*12+MONTH(DATE(YEAR(TODAY()),MONTH(TODAY())+6,1))-MONTH(Tools!$Q99))&gt;=0,MOD(((YEAR(DATE(YEAR(TODAY()),MONTH(TODAY())+6,1))-YEAR(Tools!$Q99))*12+MONTH(DATE(YEAR(TODAY()),MONTH(TODAY())+6,1))-MONTH(Tools!$Q99)),Tools!$U99)=0,OR(Tools!$L99="",EDATE(Tools!$Q99,((YEAR(DATE(YEAR(TODAY()),MONTH(TODAY())+6,1))-YEAR(Tools!$Q99))*12+MONTH(DATE(YEAR(TODAY()),MONTH(TODAY())+6,1))-MONTH(Tools!$Q99)))&lt;Tools!$L99)),Tools!$N99,""))</f>
        <v/>
      </c>
      <c r="J100" s="30">
        <f>IF(OR(Tools!$B99="",Tools!$Q99=""),"",IF(AND(((YEAR(DATE(YEAR(TODAY()),MONTH(TODAY())+7,1))-YEAR(Tools!$Q99))*12+MONTH(DATE(YEAR(TODAY()),MONTH(TODAY())+7,1))-MONTH(Tools!$Q99))&gt;=0,MOD(((YEAR(DATE(YEAR(TODAY()),MONTH(TODAY())+7,1))-YEAR(Tools!$Q99))*12+MONTH(DATE(YEAR(TODAY()),MONTH(TODAY())+7,1))-MONTH(Tools!$Q99)),Tools!$U99)=0,OR(Tools!$L99="",EDATE(Tools!$Q99,((YEAR(DATE(YEAR(TODAY()),MONTH(TODAY())+7,1))-YEAR(Tools!$Q99))*12+MONTH(DATE(YEAR(TODAY()),MONTH(TODAY())+7,1))-MONTH(Tools!$Q99)))&lt;Tools!$L99)),Tools!$N99,""))</f>
        <v/>
      </c>
      <c r="K100" s="30">
        <f>IF(OR(Tools!$B99="",Tools!$Q99=""),"",IF(AND(((YEAR(DATE(YEAR(TODAY()),MONTH(TODAY())+8,1))-YEAR(Tools!$Q99))*12+MONTH(DATE(YEAR(TODAY()),MONTH(TODAY())+8,1))-MONTH(Tools!$Q99))&gt;=0,MOD(((YEAR(DATE(YEAR(TODAY()),MONTH(TODAY())+8,1))-YEAR(Tools!$Q99))*12+MONTH(DATE(YEAR(TODAY()),MONTH(TODAY())+8,1))-MONTH(Tools!$Q99)),Tools!$U99)=0,OR(Tools!$L99="",EDATE(Tools!$Q99,((YEAR(DATE(YEAR(TODAY()),MONTH(TODAY())+8,1))-YEAR(Tools!$Q99))*12+MONTH(DATE(YEAR(TODAY()),MONTH(TODAY())+8,1))-MONTH(Tools!$Q99)))&lt;Tools!$L99)),Tools!$N99,""))</f>
        <v/>
      </c>
      <c r="L100" s="30">
        <f>IF(OR(Tools!$B99="",Tools!$Q99=""),"",IF(AND(((YEAR(DATE(YEAR(TODAY()),MONTH(TODAY())+9,1))-YEAR(Tools!$Q99))*12+MONTH(DATE(YEAR(TODAY()),MONTH(TODAY())+9,1))-MONTH(Tools!$Q99))&gt;=0,MOD(((YEAR(DATE(YEAR(TODAY()),MONTH(TODAY())+9,1))-YEAR(Tools!$Q99))*12+MONTH(DATE(YEAR(TODAY()),MONTH(TODAY())+9,1))-MONTH(Tools!$Q99)),Tools!$U99)=0,OR(Tools!$L99="",EDATE(Tools!$Q99,((YEAR(DATE(YEAR(TODAY()),MONTH(TODAY())+9,1))-YEAR(Tools!$Q99))*12+MONTH(DATE(YEAR(TODAY()),MONTH(TODAY())+9,1))-MONTH(Tools!$Q99)))&lt;Tools!$L99)),Tools!$N99,""))</f>
        <v/>
      </c>
      <c r="M100" s="30">
        <f>IF(OR(Tools!$B99="",Tools!$Q99=""),"",IF(AND(((YEAR(DATE(YEAR(TODAY()),MONTH(TODAY())+10,1))-YEAR(Tools!$Q99))*12+MONTH(DATE(YEAR(TODAY()),MONTH(TODAY())+10,1))-MONTH(Tools!$Q99))&gt;=0,MOD(((YEAR(DATE(YEAR(TODAY()),MONTH(TODAY())+10,1))-YEAR(Tools!$Q99))*12+MONTH(DATE(YEAR(TODAY()),MONTH(TODAY())+10,1))-MONTH(Tools!$Q99)),Tools!$U99)=0,OR(Tools!$L99="",EDATE(Tools!$Q99,((YEAR(DATE(YEAR(TODAY()),MONTH(TODAY())+10,1))-YEAR(Tools!$Q99))*12+MONTH(DATE(YEAR(TODAY()),MONTH(TODAY())+10,1))-MONTH(Tools!$Q99)))&lt;Tools!$L99)),Tools!$N99,""))</f>
        <v/>
      </c>
      <c r="N100" s="30">
        <f>IF(OR(Tools!$B99="",Tools!$Q99=""),"",IF(AND(((YEAR(DATE(YEAR(TODAY()),MONTH(TODAY())+11,1))-YEAR(Tools!$Q99))*12+MONTH(DATE(YEAR(TODAY()),MONTH(TODAY())+11,1))-MONTH(Tools!$Q99))&gt;=0,MOD(((YEAR(DATE(YEAR(TODAY()),MONTH(TODAY())+11,1))-YEAR(Tools!$Q99))*12+MONTH(DATE(YEAR(TODAY()),MONTH(TODAY())+11,1))-MONTH(Tools!$Q99)),Tools!$U99)=0,OR(Tools!$L99="",EDATE(Tools!$Q99,((YEAR(DATE(YEAR(TODAY()),MONTH(TODAY())+11,1))-YEAR(Tools!$Q99))*12+MONTH(DATE(YEAR(TODAY()),MONTH(TODAY())+11,1))-MONTH(Tools!$Q99)))&lt;Tools!$L99)),Tools!$N99,""))</f>
        <v/>
      </c>
      <c r="O100" s="31">
        <f>IF(B100="","",SUM(C100:N100))</f>
        <v/>
      </c>
      <c r="P100" s="1" t="n"/>
    </row>
    <row r="101">
      <c r="A101" s="1" t="n"/>
      <c r="B101" s="11">
        <f>IF(Tools!B100="","",Tools!B100)</f>
        <v/>
      </c>
      <c r="C101" s="30">
        <f>IF(OR(Tools!$B100="",Tools!$Q100=""),"",IF(AND(((YEAR(DATE(YEAR(TODAY()),MONTH(TODAY())+0,1))-YEAR(Tools!$Q100))*12+MONTH(DATE(YEAR(TODAY()),MONTH(TODAY())+0,1))-MONTH(Tools!$Q100))&gt;=0,MOD(((YEAR(DATE(YEAR(TODAY()),MONTH(TODAY())+0,1))-YEAR(Tools!$Q100))*12+MONTH(DATE(YEAR(TODAY()),MONTH(TODAY())+0,1))-MONTH(Tools!$Q100)),Tools!$U100)=0,OR(Tools!$L100="",EDATE(Tools!$Q100,((YEAR(DATE(YEAR(TODAY()),MONTH(TODAY())+0,1))-YEAR(Tools!$Q100))*12+MONTH(DATE(YEAR(TODAY()),MONTH(TODAY())+0,1))-MONTH(Tools!$Q100)))&lt;Tools!$L100)),Tools!$N100,""))</f>
        <v/>
      </c>
      <c r="D101" s="30">
        <f>IF(OR(Tools!$B100="",Tools!$Q100=""),"",IF(AND(((YEAR(DATE(YEAR(TODAY()),MONTH(TODAY())+1,1))-YEAR(Tools!$Q100))*12+MONTH(DATE(YEAR(TODAY()),MONTH(TODAY())+1,1))-MONTH(Tools!$Q100))&gt;=0,MOD(((YEAR(DATE(YEAR(TODAY()),MONTH(TODAY())+1,1))-YEAR(Tools!$Q100))*12+MONTH(DATE(YEAR(TODAY()),MONTH(TODAY())+1,1))-MONTH(Tools!$Q100)),Tools!$U100)=0,OR(Tools!$L100="",EDATE(Tools!$Q100,((YEAR(DATE(YEAR(TODAY()),MONTH(TODAY())+1,1))-YEAR(Tools!$Q100))*12+MONTH(DATE(YEAR(TODAY()),MONTH(TODAY())+1,1))-MONTH(Tools!$Q100)))&lt;Tools!$L100)),Tools!$N100,""))</f>
        <v/>
      </c>
      <c r="E101" s="30">
        <f>IF(OR(Tools!$B100="",Tools!$Q100=""),"",IF(AND(((YEAR(DATE(YEAR(TODAY()),MONTH(TODAY())+2,1))-YEAR(Tools!$Q100))*12+MONTH(DATE(YEAR(TODAY()),MONTH(TODAY())+2,1))-MONTH(Tools!$Q100))&gt;=0,MOD(((YEAR(DATE(YEAR(TODAY()),MONTH(TODAY())+2,1))-YEAR(Tools!$Q100))*12+MONTH(DATE(YEAR(TODAY()),MONTH(TODAY())+2,1))-MONTH(Tools!$Q100)),Tools!$U100)=0,OR(Tools!$L100="",EDATE(Tools!$Q100,((YEAR(DATE(YEAR(TODAY()),MONTH(TODAY())+2,1))-YEAR(Tools!$Q100))*12+MONTH(DATE(YEAR(TODAY()),MONTH(TODAY())+2,1))-MONTH(Tools!$Q100)))&lt;Tools!$L100)),Tools!$N100,""))</f>
        <v/>
      </c>
      <c r="F101" s="30">
        <f>IF(OR(Tools!$B100="",Tools!$Q100=""),"",IF(AND(((YEAR(DATE(YEAR(TODAY()),MONTH(TODAY())+3,1))-YEAR(Tools!$Q100))*12+MONTH(DATE(YEAR(TODAY()),MONTH(TODAY())+3,1))-MONTH(Tools!$Q100))&gt;=0,MOD(((YEAR(DATE(YEAR(TODAY()),MONTH(TODAY())+3,1))-YEAR(Tools!$Q100))*12+MONTH(DATE(YEAR(TODAY()),MONTH(TODAY())+3,1))-MONTH(Tools!$Q100)),Tools!$U100)=0,OR(Tools!$L100="",EDATE(Tools!$Q100,((YEAR(DATE(YEAR(TODAY()),MONTH(TODAY())+3,1))-YEAR(Tools!$Q100))*12+MONTH(DATE(YEAR(TODAY()),MONTH(TODAY())+3,1))-MONTH(Tools!$Q100)))&lt;Tools!$L100)),Tools!$N100,""))</f>
        <v/>
      </c>
      <c r="G101" s="30">
        <f>IF(OR(Tools!$B100="",Tools!$Q100=""),"",IF(AND(((YEAR(DATE(YEAR(TODAY()),MONTH(TODAY())+4,1))-YEAR(Tools!$Q100))*12+MONTH(DATE(YEAR(TODAY()),MONTH(TODAY())+4,1))-MONTH(Tools!$Q100))&gt;=0,MOD(((YEAR(DATE(YEAR(TODAY()),MONTH(TODAY())+4,1))-YEAR(Tools!$Q100))*12+MONTH(DATE(YEAR(TODAY()),MONTH(TODAY())+4,1))-MONTH(Tools!$Q100)),Tools!$U100)=0,OR(Tools!$L100="",EDATE(Tools!$Q100,((YEAR(DATE(YEAR(TODAY()),MONTH(TODAY())+4,1))-YEAR(Tools!$Q100))*12+MONTH(DATE(YEAR(TODAY()),MONTH(TODAY())+4,1))-MONTH(Tools!$Q100)))&lt;Tools!$L100)),Tools!$N100,""))</f>
        <v/>
      </c>
      <c r="H101" s="30">
        <f>IF(OR(Tools!$B100="",Tools!$Q100=""),"",IF(AND(((YEAR(DATE(YEAR(TODAY()),MONTH(TODAY())+5,1))-YEAR(Tools!$Q100))*12+MONTH(DATE(YEAR(TODAY()),MONTH(TODAY())+5,1))-MONTH(Tools!$Q100))&gt;=0,MOD(((YEAR(DATE(YEAR(TODAY()),MONTH(TODAY())+5,1))-YEAR(Tools!$Q100))*12+MONTH(DATE(YEAR(TODAY()),MONTH(TODAY())+5,1))-MONTH(Tools!$Q100)),Tools!$U100)=0,OR(Tools!$L100="",EDATE(Tools!$Q100,((YEAR(DATE(YEAR(TODAY()),MONTH(TODAY())+5,1))-YEAR(Tools!$Q100))*12+MONTH(DATE(YEAR(TODAY()),MONTH(TODAY())+5,1))-MONTH(Tools!$Q100)))&lt;Tools!$L100)),Tools!$N100,""))</f>
        <v/>
      </c>
      <c r="I101" s="30">
        <f>IF(OR(Tools!$B100="",Tools!$Q100=""),"",IF(AND(((YEAR(DATE(YEAR(TODAY()),MONTH(TODAY())+6,1))-YEAR(Tools!$Q100))*12+MONTH(DATE(YEAR(TODAY()),MONTH(TODAY())+6,1))-MONTH(Tools!$Q100))&gt;=0,MOD(((YEAR(DATE(YEAR(TODAY()),MONTH(TODAY())+6,1))-YEAR(Tools!$Q100))*12+MONTH(DATE(YEAR(TODAY()),MONTH(TODAY())+6,1))-MONTH(Tools!$Q100)),Tools!$U100)=0,OR(Tools!$L100="",EDATE(Tools!$Q100,((YEAR(DATE(YEAR(TODAY()),MONTH(TODAY())+6,1))-YEAR(Tools!$Q100))*12+MONTH(DATE(YEAR(TODAY()),MONTH(TODAY())+6,1))-MONTH(Tools!$Q100)))&lt;Tools!$L100)),Tools!$N100,""))</f>
        <v/>
      </c>
      <c r="J101" s="30">
        <f>IF(OR(Tools!$B100="",Tools!$Q100=""),"",IF(AND(((YEAR(DATE(YEAR(TODAY()),MONTH(TODAY())+7,1))-YEAR(Tools!$Q100))*12+MONTH(DATE(YEAR(TODAY()),MONTH(TODAY())+7,1))-MONTH(Tools!$Q100))&gt;=0,MOD(((YEAR(DATE(YEAR(TODAY()),MONTH(TODAY())+7,1))-YEAR(Tools!$Q100))*12+MONTH(DATE(YEAR(TODAY()),MONTH(TODAY())+7,1))-MONTH(Tools!$Q100)),Tools!$U100)=0,OR(Tools!$L100="",EDATE(Tools!$Q100,((YEAR(DATE(YEAR(TODAY()),MONTH(TODAY())+7,1))-YEAR(Tools!$Q100))*12+MONTH(DATE(YEAR(TODAY()),MONTH(TODAY())+7,1))-MONTH(Tools!$Q100)))&lt;Tools!$L100)),Tools!$N100,""))</f>
        <v/>
      </c>
      <c r="K101" s="30">
        <f>IF(OR(Tools!$B100="",Tools!$Q100=""),"",IF(AND(((YEAR(DATE(YEAR(TODAY()),MONTH(TODAY())+8,1))-YEAR(Tools!$Q100))*12+MONTH(DATE(YEAR(TODAY()),MONTH(TODAY())+8,1))-MONTH(Tools!$Q100))&gt;=0,MOD(((YEAR(DATE(YEAR(TODAY()),MONTH(TODAY())+8,1))-YEAR(Tools!$Q100))*12+MONTH(DATE(YEAR(TODAY()),MONTH(TODAY())+8,1))-MONTH(Tools!$Q100)),Tools!$U100)=0,OR(Tools!$L100="",EDATE(Tools!$Q100,((YEAR(DATE(YEAR(TODAY()),MONTH(TODAY())+8,1))-YEAR(Tools!$Q100))*12+MONTH(DATE(YEAR(TODAY()),MONTH(TODAY())+8,1))-MONTH(Tools!$Q100)))&lt;Tools!$L100)),Tools!$N100,""))</f>
        <v/>
      </c>
      <c r="L101" s="30">
        <f>IF(OR(Tools!$B100="",Tools!$Q100=""),"",IF(AND(((YEAR(DATE(YEAR(TODAY()),MONTH(TODAY())+9,1))-YEAR(Tools!$Q100))*12+MONTH(DATE(YEAR(TODAY()),MONTH(TODAY())+9,1))-MONTH(Tools!$Q100))&gt;=0,MOD(((YEAR(DATE(YEAR(TODAY()),MONTH(TODAY())+9,1))-YEAR(Tools!$Q100))*12+MONTH(DATE(YEAR(TODAY()),MONTH(TODAY())+9,1))-MONTH(Tools!$Q100)),Tools!$U100)=0,OR(Tools!$L100="",EDATE(Tools!$Q100,((YEAR(DATE(YEAR(TODAY()),MONTH(TODAY())+9,1))-YEAR(Tools!$Q100))*12+MONTH(DATE(YEAR(TODAY()),MONTH(TODAY())+9,1))-MONTH(Tools!$Q100)))&lt;Tools!$L100)),Tools!$N100,""))</f>
        <v/>
      </c>
      <c r="M101" s="30">
        <f>IF(OR(Tools!$B100="",Tools!$Q100=""),"",IF(AND(((YEAR(DATE(YEAR(TODAY()),MONTH(TODAY())+10,1))-YEAR(Tools!$Q100))*12+MONTH(DATE(YEAR(TODAY()),MONTH(TODAY())+10,1))-MONTH(Tools!$Q100))&gt;=0,MOD(((YEAR(DATE(YEAR(TODAY()),MONTH(TODAY())+10,1))-YEAR(Tools!$Q100))*12+MONTH(DATE(YEAR(TODAY()),MONTH(TODAY())+10,1))-MONTH(Tools!$Q100)),Tools!$U100)=0,OR(Tools!$L100="",EDATE(Tools!$Q100,((YEAR(DATE(YEAR(TODAY()),MONTH(TODAY())+10,1))-YEAR(Tools!$Q100))*12+MONTH(DATE(YEAR(TODAY()),MONTH(TODAY())+10,1))-MONTH(Tools!$Q100)))&lt;Tools!$L100)),Tools!$N100,""))</f>
        <v/>
      </c>
      <c r="N101" s="30">
        <f>IF(OR(Tools!$B100="",Tools!$Q100=""),"",IF(AND(((YEAR(DATE(YEAR(TODAY()),MONTH(TODAY())+11,1))-YEAR(Tools!$Q100))*12+MONTH(DATE(YEAR(TODAY()),MONTH(TODAY())+11,1))-MONTH(Tools!$Q100))&gt;=0,MOD(((YEAR(DATE(YEAR(TODAY()),MONTH(TODAY())+11,1))-YEAR(Tools!$Q100))*12+MONTH(DATE(YEAR(TODAY()),MONTH(TODAY())+11,1))-MONTH(Tools!$Q100)),Tools!$U100)=0,OR(Tools!$L100="",EDATE(Tools!$Q100,((YEAR(DATE(YEAR(TODAY()),MONTH(TODAY())+11,1))-YEAR(Tools!$Q100))*12+MONTH(DATE(YEAR(TODAY()),MONTH(TODAY())+11,1))-MONTH(Tools!$Q100)))&lt;Tools!$L100)),Tools!$N100,""))</f>
        <v/>
      </c>
      <c r="O101" s="31">
        <f>IF(B101="","",SUM(C101:N101))</f>
        <v/>
      </c>
      <c r="P101" s="1" t="n"/>
    </row>
    <row r="102">
      <c r="A102" s="1" t="n"/>
      <c r="B102" s="11">
        <f>IF(Tools!B101="","",Tools!B101)</f>
        <v/>
      </c>
      <c r="C102" s="30">
        <f>IF(OR(Tools!$B101="",Tools!$Q101=""),"",IF(AND(((YEAR(DATE(YEAR(TODAY()),MONTH(TODAY())+0,1))-YEAR(Tools!$Q101))*12+MONTH(DATE(YEAR(TODAY()),MONTH(TODAY())+0,1))-MONTH(Tools!$Q101))&gt;=0,MOD(((YEAR(DATE(YEAR(TODAY()),MONTH(TODAY())+0,1))-YEAR(Tools!$Q101))*12+MONTH(DATE(YEAR(TODAY()),MONTH(TODAY())+0,1))-MONTH(Tools!$Q101)),Tools!$U101)=0,OR(Tools!$L101="",EDATE(Tools!$Q101,((YEAR(DATE(YEAR(TODAY()),MONTH(TODAY())+0,1))-YEAR(Tools!$Q101))*12+MONTH(DATE(YEAR(TODAY()),MONTH(TODAY())+0,1))-MONTH(Tools!$Q101)))&lt;Tools!$L101)),Tools!$N101,""))</f>
        <v/>
      </c>
      <c r="D102" s="30">
        <f>IF(OR(Tools!$B101="",Tools!$Q101=""),"",IF(AND(((YEAR(DATE(YEAR(TODAY()),MONTH(TODAY())+1,1))-YEAR(Tools!$Q101))*12+MONTH(DATE(YEAR(TODAY()),MONTH(TODAY())+1,1))-MONTH(Tools!$Q101))&gt;=0,MOD(((YEAR(DATE(YEAR(TODAY()),MONTH(TODAY())+1,1))-YEAR(Tools!$Q101))*12+MONTH(DATE(YEAR(TODAY()),MONTH(TODAY())+1,1))-MONTH(Tools!$Q101)),Tools!$U101)=0,OR(Tools!$L101="",EDATE(Tools!$Q101,((YEAR(DATE(YEAR(TODAY()),MONTH(TODAY())+1,1))-YEAR(Tools!$Q101))*12+MONTH(DATE(YEAR(TODAY()),MONTH(TODAY())+1,1))-MONTH(Tools!$Q101)))&lt;Tools!$L101)),Tools!$N101,""))</f>
        <v/>
      </c>
      <c r="E102" s="30">
        <f>IF(OR(Tools!$B101="",Tools!$Q101=""),"",IF(AND(((YEAR(DATE(YEAR(TODAY()),MONTH(TODAY())+2,1))-YEAR(Tools!$Q101))*12+MONTH(DATE(YEAR(TODAY()),MONTH(TODAY())+2,1))-MONTH(Tools!$Q101))&gt;=0,MOD(((YEAR(DATE(YEAR(TODAY()),MONTH(TODAY())+2,1))-YEAR(Tools!$Q101))*12+MONTH(DATE(YEAR(TODAY()),MONTH(TODAY())+2,1))-MONTH(Tools!$Q101)),Tools!$U101)=0,OR(Tools!$L101="",EDATE(Tools!$Q101,((YEAR(DATE(YEAR(TODAY()),MONTH(TODAY())+2,1))-YEAR(Tools!$Q101))*12+MONTH(DATE(YEAR(TODAY()),MONTH(TODAY())+2,1))-MONTH(Tools!$Q101)))&lt;Tools!$L101)),Tools!$N101,""))</f>
        <v/>
      </c>
      <c r="F102" s="30">
        <f>IF(OR(Tools!$B101="",Tools!$Q101=""),"",IF(AND(((YEAR(DATE(YEAR(TODAY()),MONTH(TODAY())+3,1))-YEAR(Tools!$Q101))*12+MONTH(DATE(YEAR(TODAY()),MONTH(TODAY())+3,1))-MONTH(Tools!$Q101))&gt;=0,MOD(((YEAR(DATE(YEAR(TODAY()),MONTH(TODAY())+3,1))-YEAR(Tools!$Q101))*12+MONTH(DATE(YEAR(TODAY()),MONTH(TODAY())+3,1))-MONTH(Tools!$Q101)),Tools!$U101)=0,OR(Tools!$L101="",EDATE(Tools!$Q101,((YEAR(DATE(YEAR(TODAY()),MONTH(TODAY())+3,1))-YEAR(Tools!$Q101))*12+MONTH(DATE(YEAR(TODAY()),MONTH(TODAY())+3,1))-MONTH(Tools!$Q101)))&lt;Tools!$L101)),Tools!$N101,""))</f>
        <v/>
      </c>
      <c r="G102" s="30">
        <f>IF(OR(Tools!$B101="",Tools!$Q101=""),"",IF(AND(((YEAR(DATE(YEAR(TODAY()),MONTH(TODAY())+4,1))-YEAR(Tools!$Q101))*12+MONTH(DATE(YEAR(TODAY()),MONTH(TODAY())+4,1))-MONTH(Tools!$Q101))&gt;=0,MOD(((YEAR(DATE(YEAR(TODAY()),MONTH(TODAY())+4,1))-YEAR(Tools!$Q101))*12+MONTH(DATE(YEAR(TODAY()),MONTH(TODAY())+4,1))-MONTH(Tools!$Q101)),Tools!$U101)=0,OR(Tools!$L101="",EDATE(Tools!$Q101,((YEAR(DATE(YEAR(TODAY()),MONTH(TODAY())+4,1))-YEAR(Tools!$Q101))*12+MONTH(DATE(YEAR(TODAY()),MONTH(TODAY())+4,1))-MONTH(Tools!$Q101)))&lt;Tools!$L101)),Tools!$N101,""))</f>
        <v/>
      </c>
      <c r="H102" s="30">
        <f>IF(OR(Tools!$B101="",Tools!$Q101=""),"",IF(AND(((YEAR(DATE(YEAR(TODAY()),MONTH(TODAY())+5,1))-YEAR(Tools!$Q101))*12+MONTH(DATE(YEAR(TODAY()),MONTH(TODAY())+5,1))-MONTH(Tools!$Q101))&gt;=0,MOD(((YEAR(DATE(YEAR(TODAY()),MONTH(TODAY())+5,1))-YEAR(Tools!$Q101))*12+MONTH(DATE(YEAR(TODAY()),MONTH(TODAY())+5,1))-MONTH(Tools!$Q101)),Tools!$U101)=0,OR(Tools!$L101="",EDATE(Tools!$Q101,((YEAR(DATE(YEAR(TODAY()),MONTH(TODAY())+5,1))-YEAR(Tools!$Q101))*12+MONTH(DATE(YEAR(TODAY()),MONTH(TODAY())+5,1))-MONTH(Tools!$Q101)))&lt;Tools!$L101)),Tools!$N101,""))</f>
        <v/>
      </c>
      <c r="I102" s="30">
        <f>IF(OR(Tools!$B101="",Tools!$Q101=""),"",IF(AND(((YEAR(DATE(YEAR(TODAY()),MONTH(TODAY())+6,1))-YEAR(Tools!$Q101))*12+MONTH(DATE(YEAR(TODAY()),MONTH(TODAY())+6,1))-MONTH(Tools!$Q101))&gt;=0,MOD(((YEAR(DATE(YEAR(TODAY()),MONTH(TODAY())+6,1))-YEAR(Tools!$Q101))*12+MONTH(DATE(YEAR(TODAY()),MONTH(TODAY())+6,1))-MONTH(Tools!$Q101)),Tools!$U101)=0,OR(Tools!$L101="",EDATE(Tools!$Q101,((YEAR(DATE(YEAR(TODAY()),MONTH(TODAY())+6,1))-YEAR(Tools!$Q101))*12+MONTH(DATE(YEAR(TODAY()),MONTH(TODAY())+6,1))-MONTH(Tools!$Q101)))&lt;Tools!$L101)),Tools!$N101,""))</f>
        <v/>
      </c>
      <c r="J102" s="30">
        <f>IF(OR(Tools!$B101="",Tools!$Q101=""),"",IF(AND(((YEAR(DATE(YEAR(TODAY()),MONTH(TODAY())+7,1))-YEAR(Tools!$Q101))*12+MONTH(DATE(YEAR(TODAY()),MONTH(TODAY())+7,1))-MONTH(Tools!$Q101))&gt;=0,MOD(((YEAR(DATE(YEAR(TODAY()),MONTH(TODAY())+7,1))-YEAR(Tools!$Q101))*12+MONTH(DATE(YEAR(TODAY()),MONTH(TODAY())+7,1))-MONTH(Tools!$Q101)),Tools!$U101)=0,OR(Tools!$L101="",EDATE(Tools!$Q101,((YEAR(DATE(YEAR(TODAY()),MONTH(TODAY())+7,1))-YEAR(Tools!$Q101))*12+MONTH(DATE(YEAR(TODAY()),MONTH(TODAY())+7,1))-MONTH(Tools!$Q101)))&lt;Tools!$L101)),Tools!$N101,""))</f>
        <v/>
      </c>
      <c r="K102" s="30">
        <f>IF(OR(Tools!$B101="",Tools!$Q101=""),"",IF(AND(((YEAR(DATE(YEAR(TODAY()),MONTH(TODAY())+8,1))-YEAR(Tools!$Q101))*12+MONTH(DATE(YEAR(TODAY()),MONTH(TODAY())+8,1))-MONTH(Tools!$Q101))&gt;=0,MOD(((YEAR(DATE(YEAR(TODAY()),MONTH(TODAY())+8,1))-YEAR(Tools!$Q101))*12+MONTH(DATE(YEAR(TODAY()),MONTH(TODAY())+8,1))-MONTH(Tools!$Q101)),Tools!$U101)=0,OR(Tools!$L101="",EDATE(Tools!$Q101,((YEAR(DATE(YEAR(TODAY()),MONTH(TODAY())+8,1))-YEAR(Tools!$Q101))*12+MONTH(DATE(YEAR(TODAY()),MONTH(TODAY())+8,1))-MONTH(Tools!$Q101)))&lt;Tools!$L101)),Tools!$N101,""))</f>
        <v/>
      </c>
      <c r="L102" s="30">
        <f>IF(OR(Tools!$B101="",Tools!$Q101=""),"",IF(AND(((YEAR(DATE(YEAR(TODAY()),MONTH(TODAY())+9,1))-YEAR(Tools!$Q101))*12+MONTH(DATE(YEAR(TODAY()),MONTH(TODAY())+9,1))-MONTH(Tools!$Q101))&gt;=0,MOD(((YEAR(DATE(YEAR(TODAY()),MONTH(TODAY())+9,1))-YEAR(Tools!$Q101))*12+MONTH(DATE(YEAR(TODAY()),MONTH(TODAY())+9,1))-MONTH(Tools!$Q101)),Tools!$U101)=0,OR(Tools!$L101="",EDATE(Tools!$Q101,((YEAR(DATE(YEAR(TODAY()),MONTH(TODAY())+9,1))-YEAR(Tools!$Q101))*12+MONTH(DATE(YEAR(TODAY()),MONTH(TODAY())+9,1))-MONTH(Tools!$Q101)))&lt;Tools!$L101)),Tools!$N101,""))</f>
        <v/>
      </c>
      <c r="M102" s="30">
        <f>IF(OR(Tools!$B101="",Tools!$Q101=""),"",IF(AND(((YEAR(DATE(YEAR(TODAY()),MONTH(TODAY())+10,1))-YEAR(Tools!$Q101))*12+MONTH(DATE(YEAR(TODAY()),MONTH(TODAY())+10,1))-MONTH(Tools!$Q101))&gt;=0,MOD(((YEAR(DATE(YEAR(TODAY()),MONTH(TODAY())+10,1))-YEAR(Tools!$Q101))*12+MONTH(DATE(YEAR(TODAY()),MONTH(TODAY())+10,1))-MONTH(Tools!$Q101)),Tools!$U101)=0,OR(Tools!$L101="",EDATE(Tools!$Q101,((YEAR(DATE(YEAR(TODAY()),MONTH(TODAY())+10,1))-YEAR(Tools!$Q101))*12+MONTH(DATE(YEAR(TODAY()),MONTH(TODAY())+10,1))-MONTH(Tools!$Q101)))&lt;Tools!$L101)),Tools!$N101,""))</f>
        <v/>
      </c>
      <c r="N102" s="30">
        <f>IF(OR(Tools!$B101="",Tools!$Q101=""),"",IF(AND(((YEAR(DATE(YEAR(TODAY()),MONTH(TODAY())+11,1))-YEAR(Tools!$Q101))*12+MONTH(DATE(YEAR(TODAY()),MONTH(TODAY())+11,1))-MONTH(Tools!$Q101))&gt;=0,MOD(((YEAR(DATE(YEAR(TODAY()),MONTH(TODAY())+11,1))-YEAR(Tools!$Q101))*12+MONTH(DATE(YEAR(TODAY()),MONTH(TODAY())+11,1))-MONTH(Tools!$Q101)),Tools!$U101)=0,OR(Tools!$L101="",EDATE(Tools!$Q101,((YEAR(DATE(YEAR(TODAY()),MONTH(TODAY())+11,1))-YEAR(Tools!$Q101))*12+MONTH(DATE(YEAR(TODAY()),MONTH(TODAY())+11,1))-MONTH(Tools!$Q101)))&lt;Tools!$L101)),Tools!$N101,""))</f>
        <v/>
      </c>
      <c r="O102" s="31">
        <f>IF(B102="","",SUM(C102:N102))</f>
        <v/>
      </c>
      <c r="P102" s="1" t="n"/>
    </row>
    <row r="103">
      <c r="A103" s="1" t="n"/>
      <c r="B103" s="11">
        <f>IF(Tools!B102="","",Tools!B102)</f>
        <v/>
      </c>
      <c r="C103" s="30">
        <f>IF(OR(Tools!$B102="",Tools!$Q102=""),"",IF(AND(((YEAR(DATE(YEAR(TODAY()),MONTH(TODAY())+0,1))-YEAR(Tools!$Q102))*12+MONTH(DATE(YEAR(TODAY()),MONTH(TODAY())+0,1))-MONTH(Tools!$Q102))&gt;=0,MOD(((YEAR(DATE(YEAR(TODAY()),MONTH(TODAY())+0,1))-YEAR(Tools!$Q102))*12+MONTH(DATE(YEAR(TODAY()),MONTH(TODAY())+0,1))-MONTH(Tools!$Q102)),Tools!$U102)=0,OR(Tools!$L102="",EDATE(Tools!$Q102,((YEAR(DATE(YEAR(TODAY()),MONTH(TODAY())+0,1))-YEAR(Tools!$Q102))*12+MONTH(DATE(YEAR(TODAY()),MONTH(TODAY())+0,1))-MONTH(Tools!$Q102)))&lt;Tools!$L102)),Tools!$N102,""))</f>
        <v/>
      </c>
      <c r="D103" s="30">
        <f>IF(OR(Tools!$B102="",Tools!$Q102=""),"",IF(AND(((YEAR(DATE(YEAR(TODAY()),MONTH(TODAY())+1,1))-YEAR(Tools!$Q102))*12+MONTH(DATE(YEAR(TODAY()),MONTH(TODAY())+1,1))-MONTH(Tools!$Q102))&gt;=0,MOD(((YEAR(DATE(YEAR(TODAY()),MONTH(TODAY())+1,1))-YEAR(Tools!$Q102))*12+MONTH(DATE(YEAR(TODAY()),MONTH(TODAY())+1,1))-MONTH(Tools!$Q102)),Tools!$U102)=0,OR(Tools!$L102="",EDATE(Tools!$Q102,((YEAR(DATE(YEAR(TODAY()),MONTH(TODAY())+1,1))-YEAR(Tools!$Q102))*12+MONTH(DATE(YEAR(TODAY()),MONTH(TODAY())+1,1))-MONTH(Tools!$Q102)))&lt;Tools!$L102)),Tools!$N102,""))</f>
        <v/>
      </c>
      <c r="E103" s="30">
        <f>IF(OR(Tools!$B102="",Tools!$Q102=""),"",IF(AND(((YEAR(DATE(YEAR(TODAY()),MONTH(TODAY())+2,1))-YEAR(Tools!$Q102))*12+MONTH(DATE(YEAR(TODAY()),MONTH(TODAY())+2,1))-MONTH(Tools!$Q102))&gt;=0,MOD(((YEAR(DATE(YEAR(TODAY()),MONTH(TODAY())+2,1))-YEAR(Tools!$Q102))*12+MONTH(DATE(YEAR(TODAY()),MONTH(TODAY())+2,1))-MONTH(Tools!$Q102)),Tools!$U102)=0,OR(Tools!$L102="",EDATE(Tools!$Q102,((YEAR(DATE(YEAR(TODAY()),MONTH(TODAY())+2,1))-YEAR(Tools!$Q102))*12+MONTH(DATE(YEAR(TODAY()),MONTH(TODAY())+2,1))-MONTH(Tools!$Q102)))&lt;Tools!$L102)),Tools!$N102,""))</f>
        <v/>
      </c>
      <c r="F103" s="30">
        <f>IF(OR(Tools!$B102="",Tools!$Q102=""),"",IF(AND(((YEAR(DATE(YEAR(TODAY()),MONTH(TODAY())+3,1))-YEAR(Tools!$Q102))*12+MONTH(DATE(YEAR(TODAY()),MONTH(TODAY())+3,1))-MONTH(Tools!$Q102))&gt;=0,MOD(((YEAR(DATE(YEAR(TODAY()),MONTH(TODAY())+3,1))-YEAR(Tools!$Q102))*12+MONTH(DATE(YEAR(TODAY()),MONTH(TODAY())+3,1))-MONTH(Tools!$Q102)),Tools!$U102)=0,OR(Tools!$L102="",EDATE(Tools!$Q102,((YEAR(DATE(YEAR(TODAY()),MONTH(TODAY())+3,1))-YEAR(Tools!$Q102))*12+MONTH(DATE(YEAR(TODAY()),MONTH(TODAY())+3,1))-MONTH(Tools!$Q102)))&lt;Tools!$L102)),Tools!$N102,""))</f>
        <v/>
      </c>
      <c r="G103" s="30">
        <f>IF(OR(Tools!$B102="",Tools!$Q102=""),"",IF(AND(((YEAR(DATE(YEAR(TODAY()),MONTH(TODAY())+4,1))-YEAR(Tools!$Q102))*12+MONTH(DATE(YEAR(TODAY()),MONTH(TODAY())+4,1))-MONTH(Tools!$Q102))&gt;=0,MOD(((YEAR(DATE(YEAR(TODAY()),MONTH(TODAY())+4,1))-YEAR(Tools!$Q102))*12+MONTH(DATE(YEAR(TODAY()),MONTH(TODAY())+4,1))-MONTH(Tools!$Q102)),Tools!$U102)=0,OR(Tools!$L102="",EDATE(Tools!$Q102,((YEAR(DATE(YEAR(TODAY()),MONTH(TODAY())+4,1))-YEAR(Tools!$Q102))*12+MONTH(DATE(YEAR(TODAY()),MONTH(TODAY())+4,1))-MONTH(Tools!$Q102)))&lt;Tools!$L102)),Tools!$N102,""))</f>
        <v/>
      </c>
      <c r="H103" s="30">
        <f>IF(OR(Tools!$B102="",Tools!$Q102=""),"",IF(AND(((YEAR(DATE(YEAR(TODAY()),MONTH(TODAY())+5,1))-YEAR(Tools!$Q102))*12+MONTH(DATE(YEAR(TODAY()),MONTH(TODAY())+5,1))-MONTH(Tools!$Q102))&gt;=0,MOD(((YEAR(DATE(YEAR(TODAY()),MONTH(TODAY())+5,1))-YEAR(Tools!$Q102))*12+MONTH(DATE(YEAR(TODAY()),MONTH(TODAY())+5,1))-MONTH(Tools!$Q102)),Tools!$U102)=0,OR(Tools!$L102="",EDATE(Tools!$Q102,((YEAR(DATE(YEAR(TODAY()),MONTH(TODAY())+5,1))-YEAR(Tools!$Q102))*12+MONTH(DATE(YEAR(TODAY()),MONTH(TODAY())+5,1))-MONTH(Tools!$Q102)))&lt;Tools!$L102)),Tools!$N102,""))</f>
        <v/>
      </c>
      <c r="I103" s="30">
        <f>IF(OR(Tools!$B102="",Tools!$Q102=""),"",IF(AND(((YEAR(DATE(YEAR(TODAY()),MONTH(TODAY())+6,1))-YEAR(Tools!$Q102))*12+MONTH(DATE(YEAR(TODAY()),MONTH(TODAY())+6,1))-MONTH(Tools!$Q102))&gt;=0,MOD(((YEAR(DATE(YEAR(TODAY()),MONTH(TODAY())+6,1))-YEAR(Tools!$Q102))*12+MONTH(DATE(YEAR(TODAY()),MONTH(TODAY())+6,1))-MONTH(Tools!$Q102)),Tools!$U102)=0,OR(Tools!$L102="",EDATE(Tools!$Q102,((YEAR(DATE(YEAR(TODAY()),MONTH(TODAY())+6,1))-YEAR(Tools!$Q102))*12+MONTH(DATE(YEAR(TODAY()),MONTH(TODAY())+6,1))-MONTH(Tools!$Q102)))&lt;Tools!$L102)),Tools!$N102,""))</f>
        <v/>
      </c>
      <c r="J103" s="30">
        <f>IF(OR(Tools!$B102="",Tools!$Q102=""),"",IF(AND(((YEAR(DATE(YEAR(TODAY()),MONTH(TODAY())+7,1))-YEAR(Tools!$Q102))*12+MONTH(DATE(YEAR(TODAY()),MONTH(TODAY())+7,1))-MONTH(Tools!$Q102))&gt;=0,MOD(((YEAR(DATE(YEAR(TODAY()),MONTH(TODAY())+7,1))-YEAR(Tools!$Q102))*12+MONTH(DATE(YEAR(TODAY()),MONTH(TODAY())+7,1))-MONTH(Tools!$Q102)),Tools!$U102)=0,OR(Tools!$L102="",EDATE(Tools!$Q102,((YEAR(DATE(YEAR(TODAY()),MONTH(TODAY())+7,1))-YEAR(Tools!$Q102))*12+MONTH(DATE(YEAR(TODAY()),MONTH(TODAY())+7,1))-MONTH(Tools!$Q102)))&lt;Tools!$L102)),Tools!$N102,""))</f>
        <v/>
      </c>
      <c r="K103" s="30">
        <f>IF(OR(Tools!$B102="",Tools!$Q102=""),"",IF(AND(((YEAR(DATE(YEAR(TODAY()),MONTH(TODAY())+8,1))-YEAR(Tools!$Q102))*12+MONTH(DATE(YEAR(TODAY()),MONTH(TODAY())+8,1))-MONTH(Tools!$Q102))&gt;=0,MOD(((YEAR(DATE(YEAR(TODAY()),MONTH(TODAY())+8,1))-YEAR(Tools!$Q102))*12+MONTH(DATE(YEAR(TODAY()),MONTH(TODAY())+8,1))-MONTH(Tools!$Q102)),Tools!$U102)=0,OR(Tools!$L102="",EDATE(Tools!$Q102,((YEAR(DATE(YEAR(TODAY()),MONTH(TODAY())+8,1))-YEAR(Tools!$Q102))*12+MONTH(DATE(YEAR(TODAY()),MONTH(TODAY())+8,1))-MONTH(Tools!$Q102)))&lt;Tools!$L102)),Tools!$N102,""))</f>
        <v/>
      </c>
      <c r="L103" s="30">
        <f>IF(OR(Tools!$B102="",Tools!$Q102=""),"",IF(AND(((YEAR(DATE(YEAR(TODAY()),MONTH(TODAY())+9,1))-YEAR(Tools!$Q102))*12+MONTH(DATE(YEAR(TODAY()),MONTH(TODAY())+9,1))-MONTH(Tools!$Q102))&gt;=0,MOD(((YEAR(DATE(YEAR(TODAY()),MONTH(TODAY())+9,1))-YEAR(Tools!$Q102))*12+MONTH(DATE(YEAR(TODAY()),MONTH(TODAY())+9,1))-MONTH(Tools!$Q102)),Tools!$U102)=0,OR(Tools!$L102="",EDATE(Tools!$Q102,((YEAR(DATE(YEAR(TODAY()),MONTH(TODAY())+9,1))-YEAR(Tools!$Q102))*12+MONTH(DATE(YEAR(TODAY()),MONTH(TODAY())+9,1))-MONTH(Tools!$Q102)))&lt;Tools!$L102)),Tools!$N102,""))</f>
        <v/>
      </c>
      <c r="M103" s="30">
        <f>IF(OR(Tools!$B102="",Tools!$Q102=""),"",IF(AND(((YEAR(DATE(YEAR(TODAY()),MONTH(TODAY())+10,1))-YEAR(Tools!$Q102))*12+MONTH(DATE(YEAR(TODAY()),MONTH(TODAY())+10,1))-MONTH(Tools!$Q102))&gt;=0,MOD(((YEAR(DATE(YEAR(TODAY()),MONTH(TODAY())+10,1))-YEAR(Tools!$Q102))*12+MONTH(DATE(YEAR(TODAY()),MONTH(TODAY())+10,1))-MONTH(Tools!$Q102)),Tools!$U102)=0,OR(Tools!$L102="",EDATE(Tools!$Q102,((YEAR(DATE(YEAR(TODAY()),MONTH(TODAY())+10,1))-YEAR(Tools!$Q102))*12+MONTH(DATE(YEAR(TODAY()),MONTH(TODAY())+10,1))-MONTH(Tools!$Q102)))&lt;Tools!$L102)),Tools!$N102,""))</f>
        <v/>
      </c>
      <c r="N103" s="30">
        <f>IF(OR(Tools!$B102="",Tools!$Q102=""),"",IF(AND(((YEAR(DATE(YEAR(TODAY()),MONTH(TODAY())+11,1))-YEAR(Tools!$Q102))*12+MONTH(DATE(YEAR(TODAY()),MONTH(TODAY())+11,1))-MONTH(Tools!$Q102))&gt;=0,MOD(((YEAR(DATE(YEAR(TODAY()),MONTH(TODAY())+11,1))-YEAR(Tools!$Q102))*12+MONTH(DATE(YEAR(TODAY()),MONTH(TODAY())+11,1))-MONTH(Tools!$Q102)),Tools!$U102)=0,OR(Tools!$L102="",EDATE(Tools!$Q102,((YEAR(DATE(YEAR(TODAY()),MONTH(TODAY())+11,1))-YEAR(Tools!$Q102))*12+MONTH(DATE(YEAR(TODAY()),MONTH(TODAY())+11,1))-MONTH(Tools!$Q102)))&lt;Tools!$L102)),Tools!$N102,""))</f>
        <v/>
      </c>
      <c r="O103" s="31">
        <f>IF(B103="","",SUM(C103:N103))</f>
        <v/>
      </c>
      <c r="P103" s="1" t="n"/>
    </row>
    <row r="104">
      <c r="A104" s="1" t="n"/>
      <c r="B104" s="11">
        <f>IF(Tools!B103="","",Tools!B103)</f>
        <v/>
      </c>
      <c r="C104" s="30">
        <f>IF(OR(Tools!$B103="",Tools!$Q103=""),"",IF(AND(((YEAR(DATE(YEAR(TODAY()),MONTH(TODAY())+0,1))-YEAR(Tools!$Q103))*12+MONTH(DATE(YEAR(TODAY()),MONTH(TODAY())+0,1))-MONTH(Tools!$Q103))&gt;=0,MOD(((YEAR(DATE(YEAR(TODAY()),MONTH(TODAY())+0,1))-YEAR(Tools!$Q103))*12+MONTH(DATE(YEAR(TODAY()),MONTH(TODAY())+0,1))-MONTH(Tools!$Q103)),Tools!$U103)=0,OR(Tools!$L103="",EDATE(Tools!$Q103,((YEAR(DATE(YEAR(TODAY()),MONTH(TODAY())+0,1))-YEAR(Tools!$Q103))*12+MONTH(DATE(YEAR(TODAY()),MONTH(TODAY())+0,1))-MONTH(Tools!$Q103)))&lt;Tools!$L103)),Tools!$N103,""))</f>
        <v/>
      </c>
      <c r="D104" s="30">
        <f>IF(OR(Tools!$B103="",Tools!$Q103=""),"",IF(AND(((YEAR(DATE(YEAR(TODAY()),MONTH(TODAY())+1,1))-YEAR(Tools!$Q103))*12+MONTH(DATE(YEAR(TODAY()),MONTH(TODAY())+1,1))-MONTH(Tools!$Q103))&gt;=0,MOD(((YEAR(DATE(YEAR(TODAY()),MONTH(TODAY())+1,1))-YEAR(Tools!$Q103))*12+MONTH(DATE(YEAR(TODAY()),MONTH(TODAY())+1,1))-MONTH(Tools!$Q103)),Tools!$U103)=0,OR(Tools!$L103="",EDATE(Tools!$Q103,((YEAR(DATE(YEAR(TODAY()),MONTH(TODAY())+1,1))-YEAR(Tools!$Q103))*12+MONTH(DATE(YEAR(TODAY()),MONTH(TODAY())+1,1))-MONTH(Tools!$Q103)))&lt;Tools!$L103)),Tools!$N103,""))</f>
        <v/>
      </c>
      <c r="E104" s="30">
        <f>IF(OR(Tools!$B103="",Tools!$Q103=""),"",IF(AND(((YEAR(DATE(YEAR(TODAY()),MONTH(TODAY())+2,1))-YEAR(Tools!$Q103))*12+MONTH(DATE(YEAR(TODAY()),MONTH(TODAY())+2,1))-MONTH(Tools!$Q103))&gt;=0,MOD(((YEAR(DATE(YEAR(TODAY()),MONTH(TODAY())+2,1))-YEAR(Tools!$Q103))*12+MONTH(DATE(YEAR(TODAY()),MONTH(TODAY())+2,1))-MONTH(Tools!$Q103)),Tools!$U103)=0,OR(Tools!$L103="",EDATE(Tools!$Q103,((YEAR(DATE(YEAR(TODAY()),MONTH(TODAY())+2,1))-YEAR(Tools!$Q103))*12+MONTH(DATE(YEAR(TODAY()),MONTH(TODAY())+2,1))-MONTH(Tools!$Q103)))&lt;Tools!$L103)),Tools!$N103,""))</f>
        <v/>
      </c>
      <c r="F104" s="30">
        <f>IF(OR(Tools!$B103="",Tools!$Q103=""),"",IF(AND(((YEAR(DATE(YEAR(TODAY()),MONTH(TODAY())+3,1))-YEAR(Tools!$Q103))*12+MONTH(DATE(YEAR(TODAY()),MONTH(TODAY())+3,1))-MONTH(Tools!$Q103))&gt;=0,MOD(((YEAR(DATE(YEAR(TODAY()),MONTH(TODAY())+3,1))-YEAR(Tools!$Q103))*12+MONTH(DATE(YEAR(TODAY()),MONTH(TODAY())+3,1))-MONTH(Tools!$Q103)),Tools!$U103)=0,OR(Tools!$L103="",EDATE(Tools!$Q103,((YEAR(DATE(YEAR(TODAY()),MONTH(TODAY())+3,1))-YEAR(Tools!$Q103))*12+MONTH(DATE(YEAR(TODAY()),MONTH(TODAY())+3,1))-MONTH(Tools!$Q103)))&lt;Tools!$L103)),Tools!$N103,""))</f>
        <v/>
      </c>
      <c r="G104" s="30">
        <f>IF(OR(Tools!$B103="",Tools!$Q103=""),"",IF(AND(((YEAR(DATE(YEAR(TODAY()),MONTH(TODAY())+4,1))-YEAR(Tools!$Q103))*12+MONTH(DATE(YEAR(TODAY()),MONTH(TODAY())+4,1))-MONTH(Tools!$Q103))&gt;=0,MOD(((YEAR(DATE(YEAR(TODAY()),MONTH(TODAY())+4,1))-YEAR(Tools!$Q103))*12+MONTH(DATE(YEAR(TODAY()),MONTH(TODAY())+4,1))-MONTH(Tools!$Q103)),Tools!$U103)=0,OR(Tools!$L103="",EDATE(Tools!$Q103,((YEAR(DATE(YEAR(TODAY()),MONTH(TODAY())+4,1))-YEAR(Tools!$Q103))*12+MONTH(DATE(YEAR(TODAY()),MONTH(TODAY())+4,1))-MONTH(Tools!$Q103)))&lt;Tools!$L103)),Tools!$N103,""))</f>
        <v/>
      </c>
      <c r="H104" s="30">
        <f>IF(OR(Tools!$B103="",Tools!$Q103=""),"",IF(AND(((YEAR(DATE(YEAR(TODAY()),MONTH(TODAY())+5,1))-YEAR(Tools!$Q103))*12+MONTH(DATE(YEAR(TODAY()),MONTH(TODAY())+5,1))-MONTH(Tools!$Q103))&gt;=0,MOD(((YEAR(DATE(YEAR(TODAY()),MONTH(TODAY())+5,1))-YEAR(Tools!$Q103))*12+MONTH(DATE(YEAR(TODAY()),MONTH(TODAY())+5,1))-MONTH(Tools!$Q103)),Tools!$U103)=0,OR(Tools!$L103="",EDATE(Tools!$Q103,((YEAR(DATE(YEAR(TODAY()),MONTH(TODAY())+5,1))-YEAR(Tools!$Q103))*12+MONTH(DATE(YEAR(TODAY()),MONTH(TODAY())+5,1))-MONTH(Tools!$Q103)))&lt;Tools!$L103)),Tools!$N103,""))</f>
        <v/>
      </c>
      <c r="I104" s="30">
        <f>IF(OR(Tools!$B103="",Tools!$Q103=""),"",IF(AND(((YEAR(DATE(YEAR(TODAY()),MONTH(TODAY())+6,1))-YEAR(Tools!$Q103))*12+MONTH(DATE(YEAR(TODAY()),MONTH(TODAY())+6,1))-MONTH(Tools!$Q103))&gt;=0,MOD(((YEAR(DATE(YEAR(TODAY()),MONTH(TODAY())+6,1))-YEAR(Tools!$Q103))*12+MONTH(DATE(YEAR(TODAY()),MONTH(TODAY())+6,1))-MONTH(Tools!$Q103)),Tools!$U103)=0,OR(Tools!$L103="",EDATE(Tools!$Q103,((YEAR(DATE(YEAR(TODAY()),MONTH(TODAY())+6,1))-YEAR(Tools!$Q103))*12+MONTH(DATE(YEAR(TODAY()),MONTH(TODAY())+6,1))-MONTH(Tools!$Q103)))&lt;Tools!$L103)),Tools!$N103,""))</f>
        <v/>
      </c>
      <c r="J104" s="30">
        <f>IF(OR(Tools!$B103="",Tools!$Q103=""),"",IF(AND(((YEAR(DATE(YEAR(TODAY()),MONTH(TODAY())+7,1))-YEAR(Tools!$Q103))*12+MONTH(DATE(YEAR(TODAY()),MONTH(TODAY())+7,1))-MONTH(Tools!$Q103))&gt;=0,MOD(((YEAR(DATE(YEAR(TODAY()),MONTH(TODAY())+7,1))-YEAR(Tools!$Q103))*12+MONTH(DATE(YEAR(TODAY()),MONTH(TODAY())+7,1))-MONTH(Tools!$Q103)),Tools!$U103)=0,OR(Tools!$L103="",EDATE(Tools!$Q103,((YEAR(DATE(YEAR(TODAY()),MONTH(TODAY())+7,1))-YEAR(Tools!$Q103))*12+MONTH(DATE(YEAR(TODAY()),MONTH(TODAY())+7,1))-MONTH(Tools!$Q103)))&lt;Tools!$L103)),Tools!$N103,""))</f>
        <v/>
      </c>
      <c r="K104" s="30">
        <f>IF(OR(Tools!$B103="",Tools!$Q103=""),"",IF(AND(((YEAR(DATE(YEAR(TODAY()),MONTH(TODAY())+8,1))-YEAR(Tools!$Q103))*12+MONTH(DATE(YEAR(TODAY()),MONTH(TODAY())+8,1))-MONTH(Tools!$Q103))&gt;=0,MOD(((YEAR(DATE(YEAR(TODAY()),MONTH(TODAY())+8,1))-YEAR(Tools!$Q103))*12+MONTH(DATE(YEAR(TODAY()),MONTH(TODAY())+8,1))-MONTH(Tools!$Q103)),Tools!$U103)=0,OR(Tools!$L103="",EDATE(Tools!$Q103,((YEAR(DATE(YEAR(TODAY()),MONTH(TODAY())+8,1))-YEAR(Tools!$Q103))*12+MONTH(DATE(YEAR(TODAY()),MONTH(TODAY())+8,1))-MONTH(Tools!$Q103)))&lt;Tools!$L103)),Tools!$N103,""))</f>
        <v/>
      </c>
      <c r="L104" s="30">
        <f>IF(OR(Tools!$B103="",Tools!$Q103=""),"",IF(AND(((YEAR(DATE(YEAR(TODAY()),MONTH(TODAY())+9,1))-YEAR(Tools!$Q103))*12+MONTH(DATE(YEAR(TODAY()),MONTH(TODAY())+9,1))-MONTH(Tools!$Q103))&gt;=0,MOD(((YEAR(DATE(YEAR(TODAY()),MONTH(TODAY())+9,1))-YEAR(Tools!$Q103))*12+MONTH(DATE(YEAR(TODAY()),MONTH(TODAY())+9,1))-MONTH(Tools!$Q103)),Tools!$U103)=0,OR(Tools!$L103="",EDATE(Tools!$Q103,((YEAR(DATE(YEAR(TODAY()),MONTH(TODAY())+9,1))-YEAR(Tools!$Q103))*12+MONTH(DATE(YEAR(TODAY()),MONTH(TODAY())+9,1))-MONTH(Tools!$Q103)))&lt;Tools!$L103)),Tools!$N103,""))</f>
        <v/>
      </c>
      <c r="M104" s="30">
        <f>IF(OR(Tools!$B103="",Tools!$Q103=""),"",IF(AND(((YEAR(DATE(YEAR(TODAY()),MONTH(TODAY())+10,1))-YEAR(Tools!$Q103))*12+MONTH(DATE(YEAR(TODAY()),MONTH(TODAY())+10,1))-MONTH(Tools!$Q103))&gt;=0,MOD(((YEAR(DATE(YEAR(TODAY()),MONTH(TODAY())+10,1))-YEAR(Tools!$Q103))*12+MONTH(DATE(YEAR(TODAY()),MONTH(TODAY())+10,1))-MONTH(Tools!$Q103)),Tools!$U103)=0,OR(Tools!$L103="",EDATE(Tools!$Q103,((YEAR(DATE(YEAR(TODAY()),MONTH(TODAY())+10,1))-YEAR(Tools!$Q103))*12+MONTH(DATE(YEAR(TODAY()),MONTH(TODAY())+10,1))-MONTH(Tools!$Q103)))&lt;Tools!$L103)),Tools!$N103,""))</f>
        <v/>
      </c>
      <c r="N104" s="30">
        <f>IF(OR(Tools!$B103="",Tools!$Q103=""),"",IF(AND(((YEAR(DATE(YEAR(TODAY()),MONTH(TODAY())+11,1))-YEAR(Tools!$Q103))*12+MONTH(DATE(YEAR(TODAY()),MONTH(TODAY())+11,1))-MONTH(Tools!$Q103))&gt;=0,MOD(((YEAR(DATE(YEAR(TODAY()),MONTH(TODAY())+11,1))-YEAR(Tools!$Q103))*12+MONTH(DATE(YEAR(TODAY()),MONTH(TODAY())+11,1))-MONTH(Tools!$Q103)),Tools!$U103)=0,OR(Tools!$L103="",EDATE(Tools!$Q103,((YEAR(DATE(YEAR(TODAY()),MONTH(TODAY())+11,1))-YEAR(Tools!$Q103))*12+MONTH(DATE(YEAR(TODAY()),MONTH(TODAY())+11,1))-MONTH(Tools!$Q103)))&lt;Tools!$L103)),Tools!$N103,""))</f>
        <v/>
      </c>
      <c r="O104" s="31">
        <f>IF(B104="","",SUM(C104:N104))</f>
        <v/>
      </c>
      <c r="P104" s="1" t="n"/>
    </row>
    <row r="105">
      <c r="A105" s="1" t="n"/>
      <c r="B105" s="11">
        <f>IF(Tools!B104="","",Tools!B104)</f>
        <v/>
      </c>
      <c r="C105" s="30">
        <f>IF(OR(Tools!$B104="",Tools!$Q104=""),"",IF(AND(((YEAR(DATE(YEAR(TODAY()),MONTH(TODAY())+0,1))-YEAR(Tools!$Q104))*12+MONTH(DATE(YEAR(TODAY()),MONTH(TODAY())+0,1))-MONTH(Tools!$Q104))&gt;=0,MOD(((YEAR(DATE(YEAR(TODAY()),MONTH(TODAY())+0,1))-YEAR(Tools!$Q104))*12+MONTH(DATE(YEAR(TODAY()),MONTH(TODAY())+0,1))-MONTH(Tools!$Q104)),Tools!$U104)=0,OR(Tools!$L104="",EDATE(Tools!$Q104,((YEAR(DATE(YEAR(TODAY()),MONTH(TODAY())+0,1))-YEAR(Tools!$Q104))*12+MONTH(DATE(YEAR(TODAY()),MONTH(TODAY())+0,1))-MONTH(Tools!$Q104)))&lt;Tools!$L104)),Tools!$N104,""))</f>
        <v/>
      </c>
      <c r="D105" s="30">
        <f>IF(OR(Tools!$B104="",Tools!$Q104=""),"",IF(AND(((YEAR(DATE(YEAR(TODAY()),MONTH(TODAY())+1,1))-YEAR(Tools!$Q104))*12+MONTH(DATE(YEAR(TODAY()),MONTH(TODAY())+1,1))-MONTH(Tools!$Q104))&gt;=0,MOD(((YEAR(DATE(YEAR(TODAY()),MONTH(TODAY())+1,1))-YEAR(Tools!$Q104))*12+MONTH(DATE(YEAR(TODAY()),MONTH(TODAY())+1,1))-MONTH(Tools!$Q104)),Tools!$U104)=0,OR(Tools!$L104="",EDATE(Tools!$Q104,((YEAR(DATE(YEAR(TODAY()),MONTH(TODAY())+1,1))-YEAR(Tools!$Q104))*12+MONTH(DATE(YEAR(TODAY()),MONTH(TODAY())+1,1))-MONTH(Tools!$Q104)))&lt;Tools!$L104)),Tools!$N104,""))</f>
        <v/>
      </c>
      <c r="E105" s="30">
        <f>IF(OR(Tools!$B104="",Tools!$Q104=""),"",IF(AND(((YEAR(DATE(YEAR(TODAY()),MONTH(TODAY())+2,1))-YEAR(Tools!$Q104))*12+MONTH(DATE(YEAR(TODAY()),MONTH(TODAY())+2,1))-MONTH(Tools!$Q104))&gt;=0,MOD(((YEAR(DATE(YEAR(TODAY()),MONTH(TODAY())+2,1))-YEAR(Tools!$Q104))*12+MONTH(DATE(YEAR(TODAY()),MONTH(TODAY())+2,1))-MONTH(Tools!$Q104)),Tools!$U104)=0,OR(Tools!$L104="",EDATE(Tools!$Q104,((YEAR(DATE(YEAR(TODAY()),MONTH(TODAY())+2,1))-YEAR(Tools!$Q104))*12+MONTH(DATE(YEAR(TODAY()),MONTH(TODAY())+2,1))-MONTH(Tools!$Q104)))&lt;Tools!$L104)),Tools!$N104,""))</f>
        <v/>
      </c>
      <c r="F105" s="30">
        <f>IF(OR(Tools!$B104="",Tools!$Q104=""),"",IF(AND(((YEAR(DATE(YEAR(TODAY()),MONTH(TODAY())+3,1))-YEAR(Tools!$Q104))*12+MONTH(DATE(YEAR(TODAY()),MONTH(TODAY())+3,1))-MONTH(Tools!$Q104))&gt;=0,MOD(((YEAR(DATE(YEAR(TODAY()),MONTH(TODAY())+3,1))-YEAR(Tools!$Q104))*12+MONTH(DATE(YEAR(TODAY()),MONTH(TODAY())+3,1))-MONTH(Tools!$Q104)),Tools!$U104)=0,OR(Tools!$L104="",EDATE(Tools!$Q104,((YEAR(DATE(YEAR(TODAY()),MONTH(TODAY())+3,1))-YEAR(Tools!$Q104))*12+MONTH(DATE(YEAR(TODAY()),MONTH(TODAY())+3,1))-MONTH(Tools!$Q104)))&lt;Tools!$L104)),Tools!$N104,""))</f>
        <v/>
      </c>
      <c r="G105" s="30">
        <f>IF(OR(Tools!$B104="",Tools!$Q104=""),"",IF(AND(((YEAR(DATE(YEAR(TODAY()),MONTH(TODAY())+4,1))-YEAR(Tools!$Q104))*12+MONTH(DATE(YEAR(TODAY()),MONTH(TODAY())+4,1))-MONTH(Tools!$Q104))&gt;=0,MOD(((YEAR(DATE(YEAR(TODAY()),MONTH(TODAY())+4,1))-YEAR(Tools!$Q104))*12+MONTH(DATE(YEAR(TODAY()),MONTH(TODAY())+4,1))-MONTH(Tools!$Q104)),Tools!$U104)=0,OR(Tools!$L104="",EDATE(Tools!$Q104,((YEAR(DATE(YEAR(TODAY()),MONTH(TODAY())+4,1))-YEAR(Tools!$Q104))*12+MONTH(DATE(YEAR(TODAY()),MONTH(TODAY())+4,1))-MONTH(Tools!$Q104)))&lt;Tools!$L104)),Tools!$N104,""))</f>
        <v/>
      </c>
      <c r="H105" s="30">
        <f>IF(OR(Tools!$B104="",Tools!$Q104=""),"",IF(AND(((YEAR(DATE(YEAR(TODAY()),MONTH(TODAY())+5,1))-YEAR(Tools!$Q104))*12+MONTH(DATE(YEAR(TODAY()),MONTH(TODAY())+5,1))-MONTH(Tools!$Q104))&gt;=0,MOD(((YEAR(DATE(YEAR(TODAY()),MONTH(TODAY())+5,1))-YEAR(Tools!$Q104))*12+MONTH(DATE(YEAR(TODAY()),MONTH(TODAY())+5,1))-MONTH(Tools!$Q104)),Tools!$U104)=0,OR(Tools!$L104="",EDATE(Tools!$Q104,((YEAR(DATE(YEAR(TODAY()),MONTH(TODAY())+5,1))-YEAR(Tools!$Q104))*12+MONTH(DATE(YEAR(TODAY()),MONTH(TODAY())+5,1))-MONTH(Tools!$Q104)))&lt;Tools!$L104)),Tools!$N104,""))</f>
        <v/>
      </c>
      <c r="I105" s="30">
        <f>IF(OR(Tools!$B104="",Tools!$Q104=""),"",IF(AND(((YEAR(DATE(YEAR(TODAY()),MONTH(TODAY())+6,1))-YEAR(Tools!$Q104))*12+MONTH(DATE(YEAR(TODAY()),MONTH(TODAY())+6,1))-MONTH(Tools!$Q104))&gt;=0,MOD(((YEAR(DATE(YEAR(TODAY()),MONTH(TODAY())+6,1))-YEAR(Tools!$Q104))*12+MONTH(DATE(YEAR(TODAY()),MONTH(TODAY())+6,1))-MONTH(Tools!$Q104)),Tools!$U104)=0,OR(Tools!$L104="",EDATE(Tools!$Q104,((YEAR(DATE(YEAR(TODAY()),MONTH(TODAY())+6,1))-YEAR(Tools!$Q104))*12+MONTH(DATE(YEAR(TODAY()),MONTH(TODAY())+6,1))-MONTH(Tools!$Q104)))&lt;Tools!$L104)),Tools!$N104,""))</f>
        <v/>
      </c>
      <c r="J105" s="30">
        <f>IF(OR(Tools!$B104="",Tools!$Q104=""),"",IF(AND(((YEAR(DATE(YEAR(TODAY()),MONTH(TODAY())+7,1))-YEAR(Tools!$Q104))*12+MONTH(DATE(YEAR(TODAY()),MONTH(TODAY())+7,1))-MONTH(Tools!$Q104))&gt;=0,MOD(((YEAR(DATE(YEAR(TODAY()),MONTH(TODAY())+7,1))-YEAR(Tools!$Q104))*12+MONTH(DATE(YEAR(TODAY()),MONTH(TODAY())+7,1))-MONTH(Tools!$Q104)),Tools!$U104)=0,OR(Tools!$L104="",EDATE(Tools!$Q104,((YEAR(DATE(YEAR(TODAY()),MONTH(TODAY())+7,1))-YEAR(Tools!$Q104))*12+MONTH(DATE(YEAR(TODAY()),MONTH(TODAY())+7,1))-MONTH(Tools!$Q104)))&lt;Tools!$L104)),Tools!$N104,""))</f>
        <v/>
      </c>
      <c r="K105" s="30">
        <f>IF(OR(Tools!$B104="",Tools!$Q104=""),"",IF(AND(((YEAR(DATE(YEAR(TODAY()),MONTH(TODAY())+8,1))-YEAR(Tools!$Q104))*12+MONTH(DATE(YEAR(TODAY()),MONTH(TODAY())+8,1))-MONTH(Tools!$Q104))&gt;=0,MOD(((YEAR(DATE(YEAR(TODAY()),MONTH(TODAY())+8,1))-YEAR(Tools!$Q104))*12+MONTH(DATE(YEAR(TODAY()),MONTH(TODAY())+8,1))-MONTH(Tools!$Q104)),Tools!$U104)=0,OR(Tools!$L104="",EDATE(Tools!$Q104,((YEAR(DATE(YEAR(TODAY()),MONTH(TODAY())+8,1))-YEAR(Tools!$Q104))*12+MONTH(DATE(YEAR(TODAY()),MONTH(TODAY())+8,1))-MONTH(Tools!$Q104)))&lt;Tools!$L104)),Tools!$N104,""))</f>
        <v/>
      </c>
      <c r="L105" s="30">
        <f>IF(OR(Tools!$B104="",Tools!$Q104=""),"",IF(AND(((YEAR(DATE(YEAR(TODAY()),MONTH(TODAY())+9,1))-YEAR(Tools!$Q104))*12+MONTH(DATE(YEAR(TODAY()),MONTH(TODAY())+9,1))-MONTH(Tools!$Q104))&gt;=0,MOD(((YEAR(DATE(YEAR(TODAY()),MONTH(TODAY())+9,1))-YEAR(Tools!$Q104))*12+MONTH(DATE(YEAR(TODAY()),MONTH(TODAY())+9,1))-MONTH(Tools!$Q104)),Tools!$U104)=0,OR(Tools!$L104="",EDATE(Tools!$Q104,((YEAR(DATE(YEAR(TODAY()),MONTH(TODAY())+9,1))-YEAR(Tools!$Q104))*12+MONTH(DATE(YEAR(TODAY()),MONTH(TODAY())+9,1))-MONTH(Tools!$Q104)))&lt;Tools!$L104)),Tools!$N104,""))</f>
        <v/>
      </c>
      <c r="M105" s="30">
        <f>IF(OR(Tools!$B104="",Tools!$Q104=""),"",IF(AND(((YEAR(DATE(YEAR(TODAY()),MONTH(TODAY())+10,1))-YEAR(Tools!$Q104))*12+MONTH(DATE(YEAR(TODAY()),MONTH(TODAY())+10,1))-MONTH(Tools!$Q104))&gt;=0,MOD(((YEAR(DATE(YEAR(TODAY()),MONTH(TODAY())+10,1))-YEAR(Tools!$Q104))*12+MONTH(DATE(YEAR(TODAY()),MONTH(TODAY())+10,1))-MONTH(Tools!$Q104)),Tools!$U104)=0,OR(Tools!$L104="",EDATE(Tools!$Q104,((YEAR(DATE(YEAR(TODAY()),MONTH(TODAY())+10,1))-YEAR(Tools!$Q104))*12+MONTH(DATE(YEAR(TODAY()),MONTH(TODAY())+10,1))-MONTH(Tools!$Q104)))&lt;Tools!$L104)),Tools!$N104,""))</f>
        <v/>
      </c>
      <c r="N105" s="30">
        <f>IF(OR(Tools!$B104="",Tools!$Q104=""),"",IF(AND(((YEAR(DATE(YEAR(TODAY()),MONTH(TODAY())+11,1))-YEAR(Tools!$Q104))*12+MONTH(DATE(YEAR(TODAY()),MONTH(TODAY())+11,1))-MONTH(Tools!$Q104))&gt;=0,MOD(((YEAR(DATE(YEAR(TODAY()),MONTH(TODAY())+11,1))-YEAR(Tools!$Q104))*12+MONTH(DATE(YEAR(TODAY()),MONTH(TODAY())+11,1))-MONTH(Tools!$Q104)),Tools!$U104)=0,OR(Tools!$L104="",EDATE(Tools!$Q104,((YEAR(DATE(YEAR(TODAY()),MONTH(TODAY())+11,1))-YEAR(Tools!$Q104))*12+MONTH(DATE(YEAR(TODAY()),MONTH(TODAY())+11,1))-MONTH(Tools!$Q104)))&lt;Tools!$L104)),Tools!$N104,""))</f>
        <v/>
      </c>
      <c r="O105" s="31">
        <f>IF(B105="","",SUM(C105:N105))</f>
        <v/>
      </c>
      <c r="P105" s="1" t="n"/>
    </row>
    <row r="106">
      <c r="A106" s="1" t="n"/>
      <c r="B106" s="11">
        <f>IF(Tools!B105="","",Tools!B105)</f>
        <v/>
      </c>
      <c r="C106" s="30">
        <f>IF(OR(Tools!$B105="",Tools!$Q105=""),"",IF(AND(((YEAR(DATE(YEAR(TODAY()),MONTH(TODAY())+0,1))-YEAR(Tools!$Q105))*12+MONTH(DATE(YEAR(TODAY()),MONTH(TODAY())+0,1))-MONTH(Tools!$Q105))&gt;=0,MOD(((YEAR(DATE(YEAR(TODAY()),MONTH(TODAY())+0,1))-YEAR(Tools!$Q105))*12+MONTH(DATE(YEAR(TODAY()),MONTH(TODAY())+0,1))-MONTH(Tools!$Q105)),Tools!$U105)=0,OR(Tools!$L105="",EDATE(Tools!$Q105,((YEAR(DATE(YEAR(TODAY()),MONTH(TODAY())+0,1))-YEAR(Tools!$Q105))*12+MONTH(DATE(YEAR(TODAY()),MONTH(TODAY())+0,1))-MONTH(Tools!$Q105)))&lt;Tools!$L105)),Tools!$N105,""))</f>
        <v/>
      </c>
      <c r="D106" s="30">
        <f>IF(OR(Tools!$B105="",Tools!$Q105=""),"",IF(AND(((YEAR(DATE(YEAR(TODAY()),MONTH(TODAY())+1,1))-YEAR(Tools!$Q105))*12+MONTH(DATE(YEAR(TODAY()),MONTH(TODAY())+1,1))-MONTH(Tools!$Q105))&gt;=0,MOD(((YEAR(DATE(YEAR(TODAY()),MONTH(TODAY())+1,1))-YEAR(Tools!$Q105))*12+MONTH(DATE(YEAR(TODAY()),MONTH(TODAY())+1,1))-MONTH(Tools!$Q105)),Tools!$U105)=0,OR(Tools!$L105="",EDATE(Tools!$Q105,((YEAR(DATE(YEAR(TODAY()),MONTH(TODAY())+1,1))-YEAR(Tools!$Q105))*12+MONTH(DATE(YEAR(TODAY()),MONTH(TODAY())+1,1))-MONTH(Tools!$Q105)))&lt;Tools!$L105)),Tools!$N105,""))</f>
        <v/>
      </c>
      <c r="E106" s="30">
        <f>IF(OR(Tools!$B105="",Tools!$Q105=""),"",IF(AND(((YEAR(DATE(YEAR(TODAY()),MONTH(TODAY())+2,1))-YEAR(Tools!$Q105))*12+MONTH(DATE(YEAR(TODAY()),MONTH(TODAY())+2,1))-MONTH(Tools!$Q105))&gt;=0,MOD(((YEAR(DATE(YEAR(TODAY()),MONTH(TODAY())+2,1))-YEAR(Tools!$Q105))*12+MONTH(DATE(YEAR(TODAY()),MONTH(TODAY())+2,1))-MONTH(Tools!$Q105)),Tools!$U105)=0,OR(Tools!$L105="",EDATE(Tools!$Q105,((YEAR(DATE(YEAR(TODAY()),MONTH(TODAY())+2,1))-YEAR(Tools!$Q105))*12+MONTH(DATE(YEAR(TODAY()),MONTH(TODAY())+2,1))-MONTH(Tools!$Q105)))&lt;Tools!$L105)),Tools!$N105,""))</f>
        <v/>
      </c>
      <c r="F106" s="30">
        <f>IF(OR(Tools!$B105="",Tools!$Q105=""),"",IF(AND(((YEAR(DATE(YEAR(TODAY()),MONTH(TODAY())+3,1))-YEAR(Tools!$Q105))*12+MONTH(DATE(YEAR(TODAY()),MONTH(TODAY())+3,1))-MONTH(Tools!$Q105))&gt;=0,MOD(((YEAR(DATE(YEAR(TODAY()),MONTH(TODAY())+3,1))-YEAR(Tools!$Q105))*12+MONTH(DATE(YEAR(TODAY()),MONTH(TODAY())+3,1))-MONTH(Tools!$Q105)),Tools!$U105)=0,OR(Tools!$L105="",EDATE(Tools!$Q105,((YEAR(DATE(YEAR(TODAY()),MONTH(TODAY())+3,1))-YEAR(Tools!$Q105))*12+MONTH(DATE(YEAR(TODAY()),MONTH(TODAY())+3,1))-MONTH(Tools!$Q105)))&lt;Tools!$L105)),Tools!$N105,""))</f>
        <v/>
      </c>
      <c r="G106" s="30">
        <f>IF(OR(Tools!$B105="",Tools!$Q105=""),"",IF(AND(((YEAR(DATE(YEAR(TODAY()),MONTH(TODAY())+4,1))-YEAR(Tools!$Q105))*12+MONTH(DATE(YEAR(TODAY()),MONTH(TODAY())+4,1))-MONTH(Tools!$Q105))&gt;=0,MOD(((YEAR(DATE(YEAR(TODAY()),MONTH(TODAY())+4,1))-YEAR(Tools!$Q105))*12+MONTH(DATE(YEAR(TODAY()),MONTH(TODAY())+4,1))-MONTH(Tools!$Q105)),Tools!$U105)=0,OR(Tools!$L105="",EDATE(Tools!$Q105,((YEAR(DATE(YEAR(TODAY()),MONTH(TODAY())+4,1))-YEAR(Tools!$Q105))*12+MONTH(DATE(YEAR(TODAY()),MONTH(TODAY())+4,1))-MONTH(Tools!$Q105)))&lt;Tools!$L105)),Tools!$N105,""))</f>
        <v/>
      </c>
      <c r="H106" s="30">
        <f>IF(OR(Tools!$B105="",Tools!$Q105=""),"",IF(AND(((YEAR(DATE(YEAR(TODAY()),MONTH(TODAY())+5,1))-YEAR(Tools!$Q105))*12+MONTH(DATE(YEAR(TODAY()),MONTH(TODAY())+5,1))-MONTH(Tools!$Q105))&gt;=0,MOD(((YEAR(DATE(YEAR(TODAY()),MONTH(TODAY())+5,1))-YEAR(Tools!$Q105))*12+MONTH(DATE(YEAR(TODAY()),MONTH(TODAY())+5,1))-MONTH(Tools!$Q105)),Tools!$U105)=0,OR(Tools!$L105="",EDATE(Tools!$Q105,((YEAR(DATE(YEAR(TODAY()),MONTH(TODAY())+5,1))-YEAR(Tools!$Q105))*12+MONTH(DATE(YEAR(TODAY()),MONTH(TODAY())+5,1))-MONTH(Tools!$Q105)))&lt;Tools!$L105)),Tools!$N105,""))</f>
        <v/>
      </c>
      <c r="I106" s="30">
        <f>IF(OR(Tools!$B105="",Tools!$Q105=""),"",IF(AND(((YEAR(DATE(YEAR(TODAY()),MONTH(TODAY())+6,1))-YEAR(Tools!$Q105))*12+MONTH(DATE(YEAR(TODAY()),MONTH(TODAY())+6,1))-MONTH(Tools!$Q105))&gt;=0,MOD(((YEAR(DATE(YEAR(TODAY()),MONTH(TODAY())+6,1))-YEAR(Tools!$Q105))*12+MONTH(DATE(YEAR(TODAY()),MONTH(TODAY())+6,1))-MONTH(Tools!$Q105)),Tools!$U105)=0,OR(Tools!$L105="",EDATE(Tools!$Q105,((YEAR(DATE(YEAR(TODAY()),MONTH(TODAY())+6,1))-YEAR(Tools!$Q105))*12+MONTH(DATE(YEAR(TODAY()),MONTH(TODAY())+6,1))-MONTH(Tools!$Q105)))&lt;Tools!$L105)),Tools!$N105,""))</f>
        <v/>
      </c>
      <c r="J106" s="30">
        <f>IF(OR(Tools!$B105="",Tools!$Q105=""),"",IF(AND(((YEAR(DATE(YEAR(TODAY()),MONTH(TODAY())+7,1))-YEAR(Tools!$Q105))*12+MONTH(DATE(YEAR(TODAY()),MONTH(TODAY())+7,1))-MONTH(Tools!$Q105))&gt;=0,MOD(((YEAR(DATE(YEAR(TODAY()),MONTH(TODAY())+7,1))-YEAR(Tools!$Q105))*12+MONTH(DATE(YEAR(TODAY()),MONTH(TODAY())+7,1))-MONTH(Tools!$Q105)),Tools!$U105)=0,OR(Tools!$L105="",EDATE(Tools!$Q105,((YEAR(DATE(YEAR(TODAY()),MONTH(TODAY())+7,1))-YEAR(Tools!$Q105))*12+MONTH(DATE(YEAR(TODAY()),MONTH(TODAY())+7,1))-MONTH(Tools!$Q105)))&lt;Tools!$L105)),Tools!$N105,""))</f>
        <v/>
      </c>
      <c r="K106" s="30">
        <f>IF(OR(Tools!$B105="",Tools!$Q105=""),"",IF(AND(((YEAR(DATE(YEAR(TODAY()),MONTH(TODAY())+8,1))-YEAR(Tools!$Q105))*12+MONTH(DATE(YEAR(TODAY()),MONTH(TODAY())+8,1))-MONTH(Tools!$Q105))&gt;=0,MOD(((YEAR(DATE(YEAR(TODAY()),MONTH(TODAY())+8,1))-YEAR(Tools!$Q105))*12+MONTH(DATE(YEAR(TODAY()),MONTH(TODAY())+8,1))-MONTH(Tools!$Q105)),Tools!$U105)=0,OR(Tools!$L105="",EDATE(Tools!$Q105,((YEAR(DATE(YEAR(TODAY()),MONTH(TODAY())+8,1))-YEAR(Tools!$Q105))*12+MONTH(DATE(YEAR(TODAY()),MONTH(TODAY())+8,1))-MONTH(Tools!$Q105)))&lt;Tools!$L105)),Tools!$N105,""))</f>
        <v/>
      </c>
      <c r="L106" s="30">
        <f>IF(OR(Tools!$B105="",Tools!$Q105=""),"",IF(AND(((YEAR(DATE(YEAR(TODAY()),MONTH(TODAY())+9,1))-YEAR(Tools!$Q105))*12+MONTH(DATE(YEAR(TODAY()),MONTH(TODAY())+9,1))-MONTH(Tools!$Q105))&gt;=0,MOD(((YEAR(DATE(YEAR(TODAY()),MONTH(TODAY())+9,1))-YEAR(Tools!$Q105))*12+MONTH(DATE(YEAR(TODAY()),MONTH(TODAY())+9,1))-MONTH(Tools!$Q105)),Tools!$U105)=0,OR(Tools!$L105="",EDATE(Tools!$Q105,((YEAR(DATE(YEAR(TODAY()),MONTH(TODAY())+9,1))-YEAR(Tools!$Q105))*12+MONTH(DATE(YEAR(TODAY()),MONTH(TODAY())+9,1))-MONTH(Tools!$Q105)))&lt;Tools!$L105)),Tools!$N105,""))</f>
        <v/>
      </c>
      <c r="M106" s="30">
        <f>IF(OR(Tools!$B105="",Tools!$Q105=""),"",IF(AND(((YEAR(DATE(YEAR(TODAY()),MONTH(TODAY())+10,1))-YEAR(Tools!$Q105))*12+MONTH(DATE(YEAR(TODAY()),MONTH(TODAY())+10,1))-MONTH(Tools!$Q105))&gt;=0,MOD(((YEAR(DATE(YEAR(TODAY()),MONTH(TODAY())+10,1))-YEAR(Tools!$Q105))*12+MONTH(DATE(YEAR(TODAY()),MONTH(TODAY())+10,1))-MONTH(Tools!$Q105)),Tools!$U105)=0,OR(Tools!$L105="",EDATE(Tools!$Q105,((YEAR(DATE(YEAR(TODAY()),MONTH(TODAY())+10,1))-YEAR(Tools!$Q105))*12+MONTH(DATE(YEAR(TODAY()),MONTH(TODAY())+10,1))-MONTH(Tools!$Q105)))&lt;Tools!$L105)),Tools!$N105,""))</f>
        <v/>
      </c>
      <c r="N106" s="30">
        <f>IF(OR(Tools!$B105="",Tools!$Q105=""),"",IF(AND(((YEAR(DATE(YEAR(TODAY()),MONTH(TODAY())+11,1))-YEAR(Tools!$Q105))*12+MONTH(DATE(YEAR(TODAY()),MONTH(TODAY())+11,1))-MONTH(Tools!$Q105))&gt;=0,MOD(((YEAR(DATE(YEAR(TODAY()),MONTH(TODAY())+11,1))-YEAR(Tools!$Q105))*12+MONTH(DATE(YEAR(TODAY()),MONTH(TODAY())+11,1))-MONTH(Tools!$Q105)),Tools!$U105)=0,OR(Tools!$L105="",EDATE(Tools!$Q105,((YEAR(DATE(YEAR(TODAY()),MONTH(TODAY())+11,1))-YEAR(Tools!$Q105))*12+MONTH(DATE(YEAR(TODAY()),MONTH(TODAY())+11,1))-MONTH(Tools!$Q105)))&lt;Tools!$L105)),Tools!$N105,""))</f>
        <v/>
      </c>
      <c r="O106" s="31">
        <f>IF(B106="","",SUM(C106:N106))</f>
        <v/>
      </c>
      <c r="P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4" customWidth="1" min="4" max="4"/>
    <col width="6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The currency, how early you want a warning, and the categories.</t>
        </is>
      </c>
      <c r="C3" s="1" t="n"/>
      <c r="D3" s="1" t="n"/>
      <c r="E3" s="1" t="n"/>
      <c r="F3" s="1" t="n"/>
    </row>
    <row r="4">
      <c r="A4" s="1" t="n"/>
      <c r="B4" s="32" t="inlineStr">
        <is>
          <t>Currency</t>
        </is>
      </c>
      <c r="C4" s="33" t="inlineStr">
        <is>
          <t>USD</t>
        </is>
      </c>
      <c r="D4" s="1" t="n"/>
      <c r="E4" s="34" t="inlineStr">
        <is>
          <t>Amounts have no currency sign, so any currency works.</t>
        </is>
      </c>
      <c r="F4" s="1" t="n"/>
    </row>
    <row r="5">
      <c r="A5" s="1" t="n"/>
      <c r="B5" s="32" t="inlineStr">
        <is>
          <t>Warn me before a yearly charge (days)</t>
        </is>
      </c>
      <c r="C5" s="35" t="n">
        <v>30</v>
      </c>
      <c r="D5" s="1" t="n"/>
      <c r="E5" s="34" t="inlineStr">
        <is>
          <t>Monthly charges are not warned about: they come every month.</t>
        </is>
      </c>
      <c r="F5" s="1" t="n"/>
    </row>
    <row r="6">
      <c r="A6" s="1" t="n"/>
      <c r="B6" s="32" t="inlineStr">
        <is>
          <t>Warn me before a card runs out (days)</t>
        </is>
      </c>
      <c r="C6" s="35" t="n">
        <v>60</v>
      </c>
      <c r="D6" s="1" t="n"/>
      <c r="E6" s="34" t="inlineStr">
        <is>
          <t>A card warns you this many days before it expires.</t>
        </is>
      </c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 ht="30" customHeight="1">
      <c r="A9" s="1" t="n"/>
      <c r="B9" s="10" t="inlineStr">
        <is>
          <t>Categories</t>
        </is>
      </c>
      <c r="C9" s="1" t="n"/>
      <c r="D9" s="1" t="n"/>
      <c r="E9" s="1" t="n"/>
      <c r="F9" s="1" t="n"/>
    </row>
    <row r="10">
      <c r="A10" s="1" t="n"/>
      <c r="B10" s="21" t="inlineStr">
        <is>
          <t>Office</t>
        </is>
      </c>
      <c r="C10" s="1" t="n"/>
      <c r="D10" s="1" t="n"/>
      <c r="E10" s="1" t="n"/>
      <c r="F10" s="1" t="n"/>
    </row>
    <row r="11">
      <c r="A11" s="1" t="n"/>
      <c r="B11" s="21" t="inlineStr">
        <is>
          <t>Communication</t>
        </is>
      </c>
      <c r="C11" s="1" t="n"/>
      <c r="D11" s="1" t="n"/>
      <c r="E11" s="1" t="n"/>
      <c r="F11" s="1" t="n"/>
    </row>
    <row r="12">
      <c r="A12" s="1" t="n"/>
      <c r="B12" s="21" t="inlineStr">
        <is>
          <t>Design</t>
        </is>
      </c>
      <c r="C12" s="1" t="n"/>
      <c r="D12" s="1" t="n"/>
      <c r="E12" s="1" t="n"/>
      <c r="F12" s="1" t="n"/>
    </row>
    <row r="13">
      <c r="A13" s="1" t="n"/>
      <c r="B13" s="21" t="inlineStr">
        <is>
          <t>Finance</t>
        </is>
      </c>
      <c r="C13" s="1" t="n"/>
      <c r="D13" s="1" t="n"/>
      <c r="E13" s="1" t="n"/>
      <c r="F13" s="1" t="n"/>
    </row>
    <row r="14">
      <c r="A14" s="1" t="n"/>
      <c r="B14" s="21" t="inlineStr">
        <is>
          <t>Sales</t>
        </is>
      </c>
      <c r="C14" s="1" t="n"/>
      <c r="D14" s="1" t="n"/>
      <c r="E14" s="1" t="n"/>
      <c r="F14" s="1" t="n"/>
    </row>
    <row r="15">
      <c r="A15" s="1" t="n"/>
      <c r="B15" s="21" t="inlineStr">
        <is>
          <t>Marketing</t>
        </is>
      </c>
      <c r="C15" s="1" t="n"/>
      <c r="D15" s="1" t="n"/>
      <c r="E15" s="1" t="n"/>
      <c r="F15" s="1" t="n"/>
    </row>
    <row r="16">
      <c r="A16" s="1" t="n"/>
      <c r="B16" s="21" t="inlineStr">
        <is>
          <t>Website</t>
        </is>
      </c>
      <c r="C16" s="1" t="n"/>
      <c r="D16" s="1" t="n"/>
      <c r="E16" s="1" t="n"/>
      <c r="F16" s="1" t="n"/>
    </row>
    <row r="17">
      <c r="A17" s="1" t="n"/>
      <c r="B17" s="21" t="inlineStr">
        <is>
          <t>Operations</t>
        </is>
      </c>
      <c r="C17" s="1" t="n"/>
      <c r="D17" s="1" t="n"/>
      <c r="E17" s="1" t="n"/>
      <c r="F17" s="1" t="n"/>
    </row>
    <row r="18">
      <c r="A18" s="1" t="n"/>
      <c r="B18" s="21" t="inlineStr">
        <is>
          <t>Security</t>
        </is>
      </c>
      <c r="C18" s="1" t="n"/>
      <c r="D18" s="1" t="n"/>
      <c r="E18" s="1" t="n"/>
      <c r="F18" s="1" t="n"/>
    </row>
    <row r="19">
      <c r="A19" s="1" t="n"/>
      <c r="B19" s="21" t="inlineStr">
        <is>
          <t>Other</t>
        </is>
      </c>
      <c r="C19" s="1" t="n"/>
      <c r="D19" s="1" t="n"/>
      <c r="E19" s="1" t="n"/>
      <c r="F19" s="1" t="n"/>
    </row>
    <row r="20">
      <c r="A20" s="1" t="n"/>
      <c r="B20" s="21" t="n"/>
      <c r="C20" s="1" t="n"/>
      <c r="D20" s="1" t="n"/>
      <c r="E20" s="1" t="n"/>
      <c r="F20" s="1" t="n"/>
    </row>
    <row r="21">
      <c r="A21" s="1" t="n"/>
      <c r="B21" s="2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6" t="inlineStr">
        <is>
          <t>1</t>
        </is>
      </c>
      <c r="C5" s="37" t="inlineStr">
        <is>
          <t>Settings: the currency and how early you want a warning. Cards: each card or account and when it expires.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6" t="inlineStr">
        <is>
          <t>2</t>
        </is>
      </c>
      <c r="C7" s="37" t="inlineStr">
        <is>
          <t>Team: everyone who uses the tools, and the day someone leaves.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6" t="inlineStr">
        <is>
          <t>3</t>
        </is>
      </c>
      <c r="C9" s="37" t="inlineStr">
        <is>
          <t>Tools: each tool with its price, billing, card and the day it renews. Per seat: an x and how many seats.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6" t="inlineStr">
        <is>
          <t>4</t>
        </is>
      </c>
      <c r="C11" s="37" t="inlineStr">
        <is>
          <t>Access: one line per person and tool. The seats used and the leavers to remove come from it.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6" t="inlineStr">
        <is>
          <t>5</t>
        </is>
      </c>
      <c r="C13" s="37" t="inlineStr">
        <is>
          <t>Dashboard and Year ahead: what it all costs, what renews soon, and every charge month by month.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business, its team and tools are made up. Delete them and add your own.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Keep passwords out of this file: a password manager is the place for them.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2026-09-28T17:55:43Z</dcterms:created>
  <dcterms:modified xsi:type="dcterms:W3CDTF">2026-09-28T17:55:44Z</dcterms:modified>
</cp:coreProperties>
</file>